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6DF8B2AF-1D27-4253-948C-586C6BCD7891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Customer Names" sheetId="3" r:id="rId1"/>
    <sheet name="Medical Examinations" sheetId="2" r:id="rId2"/>
    <sheet name="Errors in Hospitalisation Detai" sheetId="7" r:id="rId3"/>
    <sheet name="Hospitalisation Details (3)" sheetId="11" r:id="rId4"/>
    <sheet name="Customer Names (3)" sheetId="10" r:id="rId5"/>
    <sheet name="Medical Examinations (2)" sheetId="5" r:id="rId6"/>
    <sheet name="Customer Names (2)" sheetId="4" r:id="rId7"/>
    <sheet name="Healthcare" sheetId="9" r:id="rId8"/>
  </sheets>
  <definedNames>
    <definedName name="ExternalData_2" localSheetId="5" hidden="1">'Medical Examinations (2)'!$A$1:$J$2336</definedName>
    <definedName name="ExternalData_3" localSheetId="4" hidden="1">'Customer Names (3)'!$A$1:$D$2336</definedName>
    <definedName name="ExternalData_4" localSheetId="3" hidden="1">'Hospitalisation Details (3)'!$A$1:$G$2336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8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P1307" i="9"/>
  <c r="P1308" i="9"/>
  <c r="P1309" i="9"/>
  <c r="P1310" i="9"/>
  <c r="P1311" i="9"/>
  <c r="P1312" i="9"/>
  <c r="P1313" i="9"/>
  <c r="P1314" i="9"/>
  <c r="P1315" i="9"/>
  <c r="P1316" i="9"/>
  <c r="P1317" i="9"/>
  <c r="P1318" i="9"/>
  <c r="P1319" i="9"/>
  <c r="P1320" i="9"/>
  <c r="P1321" i="9"/>
  <c r="P1322" i="9"/>
  <c r="P1323" i="9"/>
  <c r="P1324" i="9"/>
  <c r="P1325" i="9"/>
  <c r="P1326" i="9"/>
  <c r="P1327" i="9"/>
  <c r="P1328" i="9"/>
  <c r="P1329" i="9"/>
  <c r="P1330" i="9"/>
  <c r="P1331" i="9"/>
  <c r="P1332" i="9"/>
  <c r="P1333" i="9"/>
  <c r="P1334" i="9"/>
  <c r="P1335" i="9"/>
  <c r="P1336" i="9"/>
  <c r="P1337" i="9"/>
  <c r="P1338" i="9"/>
  <c r="P1339" i="9"/>
  <c r="P1340" i="9"/>
  <c r="P1341" i="9"/>
  <c r="P1342" i="9"/>
  <c r="P1343" i="9"/>
  <c r="P1344" i="9"/>
  <c r="P1345" i="9"/>
  <c r="P1346" i="9"/>
  <c r="P1347" i="9"/>
  <c r="P1348" i="9"/>
  <c r="P1349" i="9"/>
  <c r="P1350" i="9"/>
  <c r="P1351" i="9"/>
  <c r="P1352" i="9"/>
  <c r="P1353" i="9"/>
  <c r="P1354" i="9"/>
  <c r="P1355" i="9"/>
  <c r="P1356" i="9"/>
  <c r="P1357" i="9"/>
  <c r="P1358" i="9"/>
  <c r="P1359" i="9"/>
  <c r="P1360" i="9"/>
  <c r="P1361" i="9"/>
  <c r="P1362" i="9"/>
  <c r="P1363" i="9"/>
  <c r="P1364" i="9"/>
  <c r="P1365" i="9"/>
  <c r="P1366" i="9"/>
  <c r="P1367" i="9"/>
  <c r="P1368" i="9"/>
  <c r="P1369" i="9"/>
  <c r="P1370" i="9"/>
  <c r="P1371" i="9"/>
  <c r="P1372" i="9"/>
  <c r="P1373" i="9"/>
  <c r="P1374" i="9"/>
  <c r="P1375" i="9"/>
  <c r="P1376" i="9"/>
  <c r="P1377" i="9"/>
  <c r="P1378" i="9"/>
  <c r="P1379" i="9"/>
  <c r="P1380" i="9"/>
  <c r="P1381" i="9"/>
  <c r="P1382" i="9"/>
  <c r="P1383" i="9"/>
  <c r="P1384" i="9"/>
  <c r="P1385" i="9"/>
  <c r="P1386" i="9"/>
  <c r="P1387" i="9"/>
  <c r="P1388" i="9"/>
  <c r="P1389" i="9"/>
  <c r="P1390" i="9"/>
  <c r="P1391" i="9"/>
  <c r="P1392" i="9"/>
  <c r="P1393" i="9"/>
  <c r="P1394" i="9"/>
  <c r="P1395" i="9"/>
  <c r="P1396" i="9"/>
  <c r="P1397" i="9"/>
  <c r="P1398" i="9"/>
  <c r="P1399" i="9"/>
  <c r="P1400" i="9"/>
  <c r="P1401" i="9"/>
  <c r="P1402" i="9"/>
  <c r="P1403" i="9"/>
  <c r="P1404" i="9"/>
  <c r="P1405" i="9"/>
  <c r="P1406" i="9"/>
  <c r="P1407" i="9"/>
  <c r="P1408" i="9"/>
  <c r="P1409" i="9"/>
  <c r="P1410" i="9"/>
  <c r="P1411" i="9"/>
  <c r="P1412" i="9"/>
  <c r="P1413" i="9"/>
  <c r="P1414" i="9"/>
  <c r="P1415" i="9"/>
  <c r="P1416" i="9"/>
  <c r="P1417" i="9"/>
  <c r="P1418" i="9"/>
  <c r="P1419" i="9"/>
  <c r="P1420" i="9"/>
  <c r="P1421" i="9"/>
  <c r="P1422" i="9"/>
  <c r="P1423" i="9"/>
  <c r="P1424" i="9"/>
  <c r="P1425" i="9"/>
  <c r="P1426" i="9"/>
  <c r="P1427" i="9"/>
  <c r="P1428" i="9"/>
  <c r="P1429" i="9"/>
  <c r="P1430" i="9"/>
  <c r="P1431" i="9"/>
  <c r="P1432" i="9"/>
  <c r="P1433" i="9"/>
  <c r="P1434" i="9"/>
  <c r="P1435" i="9"/>
  <c r="P1436" i="9"/>
  <c r="P1437" i="9"/>
  <c r="P1438" i="9"/>
  <c r="P1439" i="9"/>
  <c r="P1440" i="9"/>
  <c r="P1441" i="9"/>
  <c r="P1442" i="9"/>
  <c r="P1443" i="9"/>
  <c r="P1444" i="9"/>
  <c r="P1445" i="9"/>
  <c r="P1446" i="9"/>
  <c r="P1447" i="9"/>
  <c r="P1448" i="9"/>
  <c r="P1449" i="9"/>
  <c r="P1450" i="9"/>
  <c r="P1451" i="9"/>
  <c r="P1452" i="9"/>
  <c r="P1453" i="9"/>
  <c r="P1454" i="9"/>
  <c r="P1455" i="9"/>
  <c r="P1456" i="9"/>
  <c r="P1457" i="9"/>
  <c r="P1458" i="9"/>
  <c r="P1459" i="9"/>
  <c r="P1460" i="9"/>
  <c r="P1461" i="9"/>
  <c r="P1462" i="9"/>
  <c r="P1463" i="9"/>
  <c r="P1464" i="9"/>
  <c r="P1465" i="9"/>
  <c r="P1466" i="9"/>
  <c r="P1467" i="9"/>
  <c r="P1468" i="9"/>
  <c r="P1469" i="9"/>
  <c r="P1470" i="9"/>
  <c r="P1471" i="9"/>
  <c r="P1472" i="9"/>
  <c r="P1473" i="9"/>
  <c r="P1474" i="9"/>
  <c r="P1475" i="9"/>
  <c r="P1476" i="9"/>
  <c r="P1477" i="9"/>
  <c r="P1478" i="9"/>
  <c r="P1479" i="9"/>
  <c r="P1480" i="9"/>
  <c r="P1481" i="9"/>
  <c r="P1482" i="9"/>
  <c r="P1483" i="9"/>
  <c r="P1484" i="9"/>
  <c r="P1485" i="9"/>
  <c r="P1486" i="9"/>
  <c r="P1487" i="9"/>
  <c r="P1488" i="9"/>
  <c r="P1489" i="9"/>
  <c r="P1490" i="9"/>
  <c r="P1491" i="9"/>
  <c r="P1492" i="9"/>
  <c r="P1493" i="9"/>
  <c r="P1494" i="9"/>
  <c r="P1495" i="9"/>
  <c r="P1496" i="9"/>
  <c r="P1497" i="9"/>
  <c r="P1498" i="9"/>
  <c r="P1499" i="9"/>
  <c r="P1500" i="9"/>
  <c r="P1501" i="9"/>
  <c r="P1502" i="9"/>
  <c r="P1503" i="9"/>
  <c r="P1504" i="9"/>
  <c r="P1505" i="9"/>
  <c r="P1506" i="9"/>
  <c r="P1507" i="9"/>
  <c r="P1508" i="9"/>
  <c r="P1509" i="9"/>
  <c r="P1510" i="9"/>
  <c r="P1511" i="9"/>
  <c r="P1512" i="9"/>
  <c r="P1513" i="9"/>
  <c r="P1514" i="9"/>
  <c r="P1515" i="9"/>
  <c r="P1516" i="9"/>
  <c r="P1517" i="9"/>
  <c r="P1518" i="9"/>
  <c r="P1519" i="9"/>
  <c r="P1520" i="9"/>
  <c r="P1521" i="9"/>
  <c r="P1522" i="9"/>
  <c r="P1523" i="9"/>
  <c r="P1524" i="9"/>
  <c r="P1525" i="9"/>
  <c r="P1526" i="9"/>
  <c r="P1527" i="9"/>
  <c r="P1528" i="9"/>
  <c r="P1529" i="9"/>
  <c r="P1530" i="9"/>
  <c r="P1531" i="9"/>
  <c r="P1532" i="9"/>
  <c r="P1533" i="9"/>
  <c r="P1534" i="9"/>
  <c r="P1535" i="9"/>
  <c r="P1536" i="9"/>
  <c r="P1537" i="9"/>
  <c r="P1538" i="9"/>
  <c r="P1539" i="9"/>
  <c r="P1540" i="9"/>
  <c r="P1541" i="9"/>
  <c r="P1542" i="9"/>
  <c r="P1543" i="9"/>
  <c r="P1544" i="9"/>
  <c r="P1545" i="9"/>
  <c r="P1546" i="9"/>
  <c r="P1547" i="9"/>
  <c r="P1548" i="9"/>
  <c r="P1549" i="9"/>
  <c r="P1550" i="9"/>
  <c r="P1551" i="9"/>
  <c r="P1552" i="9"/>
  <c r="P1553" i="9"/>
  <c r="P1554" i="9"/>
  <c r="P1555" i="9"/>
  <c r="P1556" i="9"/>
  <c r="P1557" i="9"/>
  <c r="P1558" i="9"/>
  <c r="P1559" i="9"/>
  <c r="P1560" i="9"/>
  <c r="P1561" i="9"/>
  <c r="P1562" i="9"/>
  <c r="P1563" i="9"/>
  <c r="P1564" i="9"/>
  <c r="P1565" i="9"/>
  <c r="P1566" i="9"/>
  <c r="P1567" i="9"/>
  <c r="P1568" i="9"/>
  <c r="P1569" i="9"/>
  <c r="P1570" i="9"/>
  <c r="P1571" i="9"/>
  <c r="P1572" i="9"/>
  <c r="P1573" i="9"/>
  <c r="P1574" i="9"/>
  <c r="P1575" i="9"/>
  <c r="P1576" i="9"/>
  <c r="P1577" i="9"/>
  <c r="P1578" i="9"/>
  <c r="P1579" i="9"/>
  <c r="P1580" i="9"/>
  <c r="P1581" i="9"/>
  <c r="P1582" i="9"/>
  <c r="P1583" i="9"/>
  <c r="P1584" i="9"/>
  <c r="P1585" i="9"/>
  <c r="P1586" i="9"/>
  <c r="P1587" i="9"/>
  <c r="P1588" i="9"/>
  <c r="P1589" i="9"/>
  <c r="P1590" i="9"/>
  <c r="P1591" i="9"/>
  <c r="P1592" i="9"/>
  <c r="P1593" i="9"/>
  <c r="P1594" i="9"/>
  <c r="P1595" i="9"/>
  <c r="P1596" i="9"/>
  <c r="P1597" i="9"/>
  <c r="P1598" i="9"/>
  <c r="P1599" i="9"/>
  <c r="P1600" i="9"/>
  <c r="P1601" i="9"/>
  <c r="P1602" i="9"/>
  <c r="P1603" i="9"/>
  <c r="P1604" i="9"/>
  <c r="P1605" i="9"/>
  <c r="P1606" i="9"/>
  <c r="P1607" i="9"/>
  <c r="P1608" i="9"/>
  <c r="P1609" i="9"/>
  <c r="P1610" i="9"/>
  <c r="P1611" i="9"/>
  <c r="P1612" i="9"/>
  <c r="P1613" i="9"/>
  <c r="P1614" i="9"/>
  <c r="P1615" i="9"/>
  <c r="P1616" i="9"/>
  <c r="P1617" i="9"/>
  <c r="P1618" i="9"/>
  <c r="P1619" i="9"/>
  <c r="P1620" i="9"/>
  <c r="P1621" i="9"/>
  <c r="P1622" i="9"/>
  <c r="P1623" i="9"/>
  <c r="P1624" i="9"/>
  <c r="P1625" i="9"/>
  <c r="P1626" i="9"/>
  <c r="P1627" i="9"/>
  <c r="P1628" i="9"/>
  <c r="P1629" i="9"/>
  <c r="P1630" i="9"/>
  <c r="P1631" i="9"/>
  <c r="P1632" i="9"/>
  <c r="P1633" i="9"/>
  <c r="P1634" i="9"/>
  <c r="P1635" i="9"/>
  <c r="P1636" i="9"/>
  <c r="P1637" i="9"/>
  <c r="P1638" i="9"/>
  <c r="P1639" i="9"/>
  <c r="P1640" i="9"/>
  <c r="P1641" i="9"/>
  <c r="P1642" i="9"/>
  <c r="P1643" i="9"/>
  <c r="P1644" i="9"/>
  <c r="P1645" i="9"/>
  <c r="P1646" i="9"/>
  <c r="P1647" i="9"/>
  <c r="P1648" i="9"/>
  <c r="P1649" i="9"/>
  <c r="P1650" i="9"/>
  <c r="P1651" i="9"/>
  <c r="P1652" i="9"/>
  <c r="P1653" i="9"/>
  <c r="P1654" i="9"/>
  <c r="P1655" i="9"/>
  <c r="P1656" i="9"/>
  <c r="P1657" i="9"/>
  <c r="P1658" i="9"/>
  <c r="P1659" i="9"/>
  <c r="P1660" i="9"/>
  <c r="P1661" i="9"/>
  <c r="P1662" i="9"/>
  <c r="P1663" i="9"/>
  <c r="P1664" i="9"/>
  <c r="P1665" i="9"/>
  <c r="P1666" i="9"/>
  <c r="P1667" i="9"/>
  <c r="P1668" i="9"/>
  <c r="P1669" i="9"/>
  <c r="P1670" i="9"/>
  <c r="P1671" i="9"/>
  <c r="P1672" i="9"/>
  <c r="P1673" i="9"/>
  <c r="P1674" i="9"/>
  <c r="P1675" i="9"/>
  <c r="P1676" i="9"/>
  <c r="P1677" i="9"/>
  <c r="P1678" i="9"/>
  <c r="P1679" i="9"/>
  <c r="P1680" i="9"/>
  <c r="P1681" i="9"/>
  <c r="P1682" i="9"/>
  <c r="P1683" i="9"/>
  <c r="P1684" i="9"/>
  <c r="P1685" i="9"/>
  <c r="P1686" i="9"/>
  <c r="P1687" i="9"/>
  <c r="P1688" i="9"/>
  <c r="P1689" i="9"/>
  <c r="P1690" i="9"/>
  <c r="P1691" i="9"/>
  <c r="P1692" i="9"/>
  <c r="P1693" i="9"/>
  <c r="P1694" i="9"/>
  <c r="P1695" i="9"/>
  <c r="P1696" i="9"/>
  <c r="P1697" i="9"/>
  <c r="P1698" i="9"/>
  <c r="P1699" i="9"/>
  <c r="P1700" i="9"/>
  <c r="P1701" i="9"/>
  <c r="P1702" i="9"/>
  <c r="P1703" i="9"/>
  <c r="P1704" i="9"/>
  <c r="P1705" i="9"/>
  <c r="P1706" i="9"/>
  <c r="P1707" i="9"/>
  <c r="P1708" i="9"/>
  <c r="P1709" i="9"/>
  <c r="P1710" i="9"/>
  <c r="P1711" i="9"/>
  <c r="P1712" i="9"/>
  <c r="P1713" i="9"/>
  <c r="P1714" i="9"/>
  <c r="P1715" i="9"/>
  <c r="P1716" i="9"/>
  <c r="P1717" i="9"/>
  <c r="P1718" i="9"/>
  <c r="P1719" i="9"/>
  <c r="P1720" i="9"/>
  <c r="P1721" i="9"/>
  <c r="P1722" i="9"/>
  <c r="P1723" i="9"/>
  <c r="P1724" i="9"/>
  <c r="P1725" i="9"/>
  <c r="P1726" i="9"/>
  <c r="P1727" i="9"/>
  <c r="P1728" i="9"/>
  <c r="P1729" i="9"/>
  <c r="P1730" i="9"/>
  <c r="P1731" i="9"/>
  <c r="P1732" i="9"/>
  <c r="P1733" i="9"/>
  <c r="P1734" i="9"/>
  <c r="P1735" i="9"/>
  <c r="P1736" i="9"/>
  <c r="P1737" i="9"/>
  <c r="P1738" i="9"/>
  <c r="P1739" i="9"/>
  <c r="P1740" i="9"/>
  <c r="P1741" i="9"/>
  <c r="P1742" i="9"/>
  <c r="P1743" i="9"/>
  <c r="P1744" i="9"/>
  <c r="P1745" i="9"/>
  <c r="P1746" i="9"/>
  <c r="P1747" i="9"/>
  <c r="P1748" i="9"/>
  <c r="P1749" i="9"/>
  <c r="P1750" i="9"/>
  <c r="P1751" i="9"/>
  <c r="P1752" i="9"/>
  <c r="P1753" i="9"/>
  <c r="P1754" i="9"/>
  <c r="P1755" i="9"/>
  <c r="P1756" i="9"/>
  <c r="P1757" i="9"/>
  <c r="P1758" i="9"/>
  <c r="P1759" i="9"/>
  <c r="P1760" i="9"/>
  <c r="P1761" i="9"/>
  <c r="P1762" i="9"/>
  <c r="P1763" i="9"/>
  <c r="P1764" i="9"/>
  <c r="P1765" i="9"/>
  <c r="P1766" i="9"/>
  <c r="P1767" i="9"/>
  <c r="P1768" i="9"/>
  <c r="P1769" i="9"/>
  <c r="P1770" i="9"/>
  <c r="P1771" i="9"/>
  <c r="P1772" i="9"/>
  <c r="P1773" i="9"/>
  <c r="P1774" i="9"/>
  <c r="P1775" i="9"/>
  <c r="P1776" i="9"/>
  <c r="P1777" i="9"/>
  <c r="P1778" i="9"/>
  <c r="P1779" i="9"/>
  <c r="P1780" i="9"/>
  <c r="P1781" i="9"/>
  <c r="P1782" i="9"/>
  <c r="P1783" i="9"/>
  <c r="P1784" i="9"/>
  <c r="P1785" i="9"/>
  <c r="P1786" i="9"/>
  <c r="P1787" i="9"/>
  <c r="P1788" i="9"/>
  <c r="P1789" i="9"/>
  <c r="P1790" i="9"/>
  <c r="P1791" i="9"/>
  <c r="P1792" i="9"/>
  <c r="P1793" i="9"/>
  <c r="P1794" i="9"/>
  <c r="P1795" i="9"/>
  <c r="P1796" i="9"/>
  <c r="P1797" i="9"/>
  <c r="P1798" i="9"/>
  <c r="P1799" i="9"/>
  <c r="P1800" i="9"/>
  <c r="P1801" i="9"/>
  <c r="P1802" i="9"/>
  <c r="P1803" i="9"/>
  <c r="P1804" i="9"/>
  <c r="P1805" i="9"/>
  <c r="P1806" i="9"/>
  <c r="P1807" i="9"/>
  <c r="P1808" i="9"/>
  <c r="P1809" i="9"/>
  <c r="P1810" i="9"/>
  <c r="P1811" i="9"/>
  <c r="P1812" i="9"/>
  <c r="P1813" i="9"/>
  <c r="P1814" i="9"/>
  <c r="P1815" i="9"/>
  <c r="P1816" i="9"/>
  <c r="P1817" i="9"/>
  <c r="P1818" i="9"/>
  <c r="P1819" i="9"/>
  <c r="P1820" i="9"/>
  <c r="P1821" i="9"/>
  <c r="P1822" i="9"/>
  <c r="P1823" i="9"/>
  <c r="P1824" i="9"/>
  <c r="P1825" i="9"/>
  <c r="P1826" i="9"/>
  <c r="P1827" i="9"/>
  <c r="P1828" i="9"/>
  <c r="P1829" i="9"/>
  <c r="P1830" i="9"/>
  <c r="P1831" i="9"/>
  <c r="P1832" i="9"/>
  <c r="P1833" i="9"/>
  <c r="P1834" i="9"/>
  <c r="P1835" i="9"/>
  <c r="P1836" i="9"/>
  <c r="P1837" i="9"/>
  <c r="P1838" i="9"/>
  <c r="P1839" i="9"/>
  <c r="P1840" i="9"/>
  <c r="P1841" i="9"/>
  <c r="P1842" i="9"/>
  <c r="P1843" i="9"/>
  <c r="P1844" i="9"/>
  <c r="P1845" i="9"/>
  <c r="P1846" i="9"/>
  <c r="P1847" i="9"/>
  <c r="P1848" i="9"/>
  <c r="P1849" i="9"/>
  <c r="P1850" i="9"/>
  <c r="P1851" i="9"/>
  <c r="P1852" i="9"/>
  <c r="P1853" i="9"/>
  <c r="P1854" i="9"/>
  <c r="P1855" i="9"/>
  <c r="P1856" i="9"/>
  <c r="P1857" i="9"/>
  <c r="P1858" i="9"/>
  <c r="P1859" i="9"/>
  <c r="P1860" i="9"/>
  <c r="P1861" i="9"/>
  <c r="P1862" i="9"/>
  <c r="P1863" i="9"/>
  <c r="P1864" i="9"/>
  <c r="P1865" i="9"/>
  <c r="P1866" i="9"/>
  <c r="P1867" i="9"/>
  <c r="P1868" i="9"/>
  <c r="P1869" i="9"/>
  <c r="P1870" i="9"/>
  <c r="P1871" i="9"/>
  <c r="P1872" i="9"/>
  <c r="P1873" i="9"/>
  <c r="P1874" i="9"/>
  <c r="P1875" i="9"/>
  <c r="P1876" i="9"/>
  <c r="P1877" i="9"/>
  <c r="P1878" i="9"/>
  <c r="P1879" i="9"/>
  <c r="P1880" i="9"/>
  <c r="P1881" i="9"/>
  <c r="P1882" i="9"/>
  <c r="P1883" i="9"/>
  <c r="P1884" i="9"/>
  <c r="P1885" i="9"/>
  <c r="P1886" i="9"/>
  <c r="P1887" i="9"/>
  <c r="P1888" i="9"/>
  <c r="P1889" i="9"/>
  <c r="P1890" i="9"/>
  <c r="P1891" i="9"/>
  <c r="P1892" i="9"/>
  <c r="P1893" i="9"/>
  <c r="P1894" i="9"/>
  <c r="P1895" i="9"/>
  <c r="P1896" i="9"/>
  <c r="P1897" i="9"/>
  <c r="P1898" i="9"/>
  <c r="P1899" i="9"/>
  <c r="P1900" i="9"/>
  <c r="P1901" i="9"/>
  <c r="P1902" i="9"/>
  <c r="P1903" i="9"/>
  <c r="P1904" i="9"/>
  <c r="P1905" i="9"/>
  <c r="P1906" i="9"/>
  <c r="P1907" i="9"/>
  <c r="P1908" i="9"/>
  <c r="P1909" i="9"/>
  <c r="P1910" i="9"/>
  <c r="P1911" i="9"/>
  <c r="P1912" i="9"/>
  <c r="P1913" i="9"/>
  <c r="P1914" i="9"/>
  <c r="P1915" i="9"/>
  <c r="P1916" i="9"/>
  <c r="P1917" i="9"/>
  <c r="P1918" i="9"/>
  <c r="P1919" i="9"/>
  <c r="P1920" i="9"/>
  <c r="P1921" i="9"/>
  <c r="P1922" i="9"/>
  <c r="P1923" i="9"/>
  <c r="P1924" i="9"/>
  <c r="P1925" i="9"/>
  <c r="P1926" i="9"/>
  <c r="P1927" i="9"/>
  <c r="P1928" i="9"/>
  <c r="P1929" i="9"/>
  <c r="P1930" i="9"/>
  <c r="P1931" i="9"/>
  <c r="P1932" i="9"/>
  <c r="P1933" i="9"/>
  <c r="P1934" i="9"/>
  <c r="P1935" i="9"/>
  <c r="P1936" i="9"/>
  <c r="P1937" i="9"/>
  <c r="P1938" i="9"/>
  <c r="P1939" i="9"/>
  <c r="P1940" i="9"/>
  <c r="P1941" i="9"/>
  <c r="P1942" i="9"/>
  <c r="P1943" i="9"/>
  <c r="P1944" i="9"/>
  <c r="P1945" i="9"/>
  <c r="P1946" i="9"/>
  <c r="P1947" i="9"/>
  <c r="P1948" i="9"/>
  <c r="P1949" i="9"/>
  <c r="P1950" i="9"/>
  <c r="P1951" i="9"/>
  <c r="P1952" i="9"/>
  <c r="P1953" i="9"/>
  <c r="P1954" i="9"/>
  <c r="P1955" i="9"/>
  <c r="P1956" i="9"/>
  <c r="P1957" i="9"/>
  <c r="P1958" i="9"/>
  <c r="P1959" i="9"/>
  <c r="P1960" i="9"/>
  <c r="P1961" i="9"/>
  <c r="P1962" i="9"/>
  <c r="P1963" i="9"/>
  <c r="P1964" i="9"/>
  <c r="P1965" i="9"/>
  <c r="P1966" i="9"/>
  <c r="P1967" i="9"/>
  <c r="P1968" i="9"/>
  <c r="P1969" i="9"/>
  <c r="P1970" i="9"/>
  <c r="P1971" i="9"/>
  <c r="P1972" i="9"/>
  <c r="P1973" i="9"/>
  <c r="P1974" i="9"/>
  <c r="P1975" i="9"/>
  <c r="P1976" i="9"/>
  <c r="P1977" i="9"/>
  <c r="P1978" i="9"/>
  <c r="P1979" i="9"/>
  <c r="P1980" i="9"/>
  <c r="P1981" i="9"/>
  <c r="P1982" i="9"/>
  <c r="P1983" i="9"/>
  <c r="P1984" i="9"/>
  <c r="P1985" i="9"/>
  <c r="P1986" i="9"/>
  <c r="P1987" i="9"/>
  <c r="P1988" i="9"/>
  <c r="P1989" i="9"/>
  <c r="P1990" i="9"/>
  <c r="P1991" i="9"/>
  <c r="P1992" i="9"/>
  <c r="P1993" i="9"/>
  <c r="P1994" i="9"/>
  <c r="P1995" i="9"/>
  <c r="P1996" i="9"/>
  <c r="P1997" i="9"/>
  <c r="P1998" i="9"/>
  <c r="P1999" i="9"/>
  <c r="P2000" i="9"/>
  <c r="P2001" i="9"/>
  <c r="P2002" i="9"/>
  <c r="P2003" i="9"/>
  <c r="P2004" i="9"/>
  <c r="P2005" i="9"/>
  <c r="P2006" i="9"/>
  <c r="P2007" i="9"/>
  <c r="P2008" i="9"/>
  <c r="P2009" i="9"/>
  <c r="P2010" i="9"/>
  <c r="P2011" i="9"/>
  <c r="P2012" i="9"/>
  <c r="P2013" i="9"/>
  <c r="P2014" i="9"/>
  <c r="P2015" i="9"/>
  <c r="P2016" i="9"/>
  <c r="P2017" i="9"/>
  <c r="P2018" i="9"/>
  <c r="P2019" i="9"/>
  <c r="P2020" i="9"/>
  <c r="P2021" i="9"/>
  <c r="P2022" i="9"/>
  <c r="P2023" i="9"/>
  <c r="P2024" i="9"/>
  <c r="P2025" i="9"/>
  <c r="P2026" i="9"/>
  <c r="P2027" i="9"/>
  <c r="P2028" i="9"/>
  <c r="P2029" i="9"/>
  <c r="P2030" i="9"/>
  <c r="P2031" i="9"/>
  <c r="P2032" i="9"/>
  <c r="P2033" i="9"/>
  <c r="P2034" i="9"/>
  <c r="P2035" i="9"/>
  <c r="P2036" i="9"/>
  <c r="P2037" i="9"/>
  <c r="P2038" i="9"/>
  <c r="P2039" i="9"/>
  <c r="P2040" i="9"/>
  <c r="P2041" i="9"/>
  <c r="P2042" i="9"/>
  <c r="P2043" i="9"/>
  <c r="P2044" i="9"/>
  <c r="P2045" i="9"/>
  <c r="P2046" i="9"/>
  <c r="P2047" i="9"/>
  <c r="P2048" i="9"/>
  <c r="P2049" i="9"/>
  <c r="P2050" i="9"/>
  <c r="P2051" i="9"/>
  <c r="P2052" i="9"/>
  <c r="P2053" i="9"/>
  <c r="P2054" i="9"/>
  <c r="P2055" i="9"/>
  <c r="P2056" i="9"/>
  <c r="P2057" i="9"/>
  <c r="P2058" i="9"/>
  <c r="P2059" i="9"/>
  <c r="P2060" i="9"/>
  <c r="P2061" i="9"/>
  <c r="P2062" i="9"/>
  <c r="P2063" i="9"/>
  <c r="P2064" i="9"/>
  <c r="P2065" i="9"/>
  <c r="P2066" i="9"/>
  <c r="P2067" i="9"/>
  <c r="P2068" i="9"/>
  <c r="P2069" i="9"/>
  <c r="P2070" i="9"/>
  <c r="P2071" i="9"/>
  <c r="P2072" i="9"/>
  <c r="P2073" i="9"/>
  <c r="P2074" i="9"/>
  <c r="P2075" i="9"/>
  <c r="P2076" i="9"/>
  <c r="P2077" i="9"/>
  <c r="P2078" i="9"/>
  <c r="P2079" i="9"/>
  <c r="P2080" i="9"/>
  <c r="P2081" i="9"/>
  <c r="P2082" i="9"/>
  <c r="P2083" i="9"/>
  <c r="P2084" i="9"/>
  <c r="P2085" i="9"/>
  <c r="P2086" i="9"/>
  <c r="P2087" i="9"/>
  <c r="P2088" i="9"/>
  <c r="P2089" i="9"/>
  <c r="P2090" i="9"/>
  <c r="P2091" i="9"/>
  <c r="P2092" i="9"/>
  <c r="P2093" i="9"/>
  <c r="P2094" i="9"/>
  <c r="P2095" i="9"/>
  <c r="P2096" i="9"/>
  <c r="P2097" i="9"/>
  <c r="P2098" i="9"/>
  <c r="P2099" i="9"/>
  <c r="P2100" i="9"/>
  <c r="P2101" i="9"/>
  <c r="P2102" i="9"/>
  <c r="P2103" i="9"/>
  <c r="P2104" i="9"/>
  <c r="P2105" i="9"/>
  <c r="P2106" i="9"/>
  <c r="P2107" i="9"/>
  <c r="P2108" i="9"/>
  <c r="P2109" i="9"/>
  <c r="P2110" i="9"/>
  <c r="P2111" i="9"/>
  <c r="P2112" i="9"/>
  <c r="P2113" i="9"/>
  <c r="P2114" i="9"/>
  <c r="P2115" i="9"/>
  <c r="P2116" i="9"/>
  <c r="P2117" i="9"/>
  <c r="P2118" i="9"/>
  <c r="P2119" i="9"/>
  <c r="P2120" i="9"/>
  <c r="P2121" i="9"/>
  <c r="P2122" i="9"/>
  <c r="P2123" i="9"/>
  <c r="P2124" i="9"/>
  <c r="P2125" i="9"/>
  <c r="P2126" i="9"/>
  <c r="P2127" i="9"/>
  <c r="P2128" i="9"/>
  <c r="P2129" i="9"/>
  <c r="P2130" i="9"/>
  <c r="P2131" i="9"/>
  <c r="P2132" i="9"/>
  <c r="P2133" i="9"/>
  <c r="P2134" i="9"/>
  <c r="P2135" i="9"/>
  <c r="P2136" i="9"/>
  <c r="P2137" i="9"/>
  <c r="P2138" i="9"/>
  <c r="P2139" i="9"/>
  <c r="P2140" i="9"/>
  <c r="P2141" i="9"/>
  <c r="P2142" i="9"/>
  <c r="P2143" i="9"/>
  <c r="P2144" i="9"/>
  <c r="P2145" i="9"/>
  <c r="P2146" i="9"/>
  <c r="P2147" i="9"/>
  <c r="P2148" i="9"/>
  <c r="P2149" i="9"/>
  <c r="P2150" i="9"/>
  <c r="P2151" i="9"/>
  <c r="P2152" i="9"/>
  <c r="P2153" i="9"/>
  <c r="P2154" i="9"/>
  <c r="P2155" i="9"/>
  <c r="P2156" i="9"/>
  <c r="P2157" i="9"/>
  <c r="P2158" i="9"/>
  <c r="P2159" i="9"/>
  <c r="P2160" i="9"/>
  <c r="P2161" i="9"/>
  <c r="P2162" i="9"/>
  <c r="P2163" i="9"/>
  <c r="P2164" i="9"/>
  <c r="P2165" i="9"/>
  <c r="P2166" i="9"/>
  <c r="P2167" i="9"/>
  <c r="P2168" i="9"/>
  <c r="P2169" i="9"/>
  <c r="P2170" i="9"/>
  <c r="P2171" i="9"/>
  <c r="P2172" i="9"/>
  <c r="P2173" i="9"/>
  <c r="P2174" i="9"/>
  <c r="P2175" i="9"/>
  <c r="P2176" i="9"/>
  <c r="P2177" i="9"/>
  <c r="P2178" i="9"/>
  <c r="P2179" i="9"/>
  <c r="P2180" i="9"/>
  <c r="P2181" i="9"/>
  <c r="P2182" i="9"/>
  <c r="P2183" i="9"/>
  <c r="P2184" i="9"/>
  <c r="P2185" i="9"/>
  <c r="P2186" i="9"/>
  <c r="P2187" i="9"/>
  <c r="P2188" i="9"/>
  <c r="P2189" i="9"/>
  <c r="P2190" i="9"/>
  <c r="P2191" i="9"/>
  <c r="P2192" i="9"/>
  <c r="P2193" i="9"/>
  <c r="P2194" i="9"/>
  <c r="P2195" i="9"/>
  <c r="P2196" i="9"/>
  <c r="P2197" i="9"/>
  <c r="P2198" i="9"/>
  <c r="P2199" i="9"/>
  <c r="P2200" i="9"/>
  <c r="P2201" i="9"/>
  <c r="P2202" i="9"/>
  <c r="P2203" i="9"/>
  <c r="P2204" i="9"/>
  <c r="P2205" i="9"/>
  <c r="P2206" i="9"/>
  <c r="P2207" i="9"/>
  <c r="P2208" i="9"/>
  <c r="P2209" i="9"/>
  <c r="P2210" i="9"/>
  <c r="P2211" i="9"/>
  <c r="P2212" i="9"/>
  <c r="P2213" i="9"/>
  <c r="P2214" i="9"/>
  <c r="P2215" i="9"/>
  <c r="P2216" i="9"/>
  <c r="P2217" i="9"/>
  <c r="P2218" i="9"/>
  <c r="P2219" i="9"/>
  <c r="P2220" i="9"/>
  <c r="P2221" i="9"/>
  <c r="P2222" i="9"/>
  <c r="P2223" i="9"/>
  <c r="P2224" i="9"/>
  <c r="P2225" i="9"/>
  <c r="P2226" i="9"/>
  <c r="P2227" i="9"/>
  <c r="P2228" i="9"/>
  <c r="P2229" i="9"/>
  <c r="P2230" i="9"/>
  <c r="P2231" i="9"/>
  <c r="P2232" i="9"/>
  <c r="P2233" i="9"/>
  <c r="P2234" i="9"/>
  <c r="P2235" i="9"/>
  <c r="P2236" i="9"/>
  <c r="P2237" i="9"/>
  <c r="P2238" i="9"/>
  <c r="P2239" i="9"/>
  <c r="P2240" i="9"/>
  <c r="P2241" i="9"/>
  <c r="P2242" i="9"/>
  <c r="P2243" i="9"/>
  <c r="P2244" i="9"/>
  <c r="P2245" i="9"/>
  <c r="P2246" i="9"/>
  <c r="P2247" i="9"/>
  <c r="P2248" i="9"/>
  <c r="P2249" i="9"/>
  <c r="P2250" i="9"/>
  <c r="P2251" i="9"/>
  <c r="P2252" i="9"/>
  <c r="P2253" i="9"/>
  <c r="P2254" i="9"/>
  <c r="P2255" i="9"/>
  <c r="P2256" i="9"/>
  <c r="P2257" i="9"/>
  <c r="P2258" i="9"/>
  <c r="P2259" i="9"/>
  <c r="P2260" i="9"/>
  <c r="P2261" i="9"/>
  <c r="P2262" i="9"/>
  <c r="P2263" i="9"/>
  <c r="P2264" i="9"/>
  <c r="P2265" i="9"/>
  <c r="P2266" i="9"/>
  <c r="P2267" i="9"/>
  <c r="P2268" i="9"/>
  <c r="P2269" i="9"/>
  <c r="P2270" i="9"/>
  <c r="P2271" i="9"/>
  <c r="P2272" i="9"/>
  <c r="P2273" i="9"/>
  <c r="P2274" i="9"/>
  <c r="P2275" i="9"/>
  <c r="P2276" i="9"/>
  <c r="P2277" i="9"/>
  <c r="P2278" i="9"/>
  <c r="P2279" i="9"/>
  <c r="P2280" i="9"/>
  <c r="P2281" i="9"/>
  <c r="P2282" i="9"/>
  <c r="P2283" i="9"/>
  <c r="P2284" i="9"/>
  <c r="P2285" i="9"/>
  <c r="P2286" i="9"/>
  <c r="P2287" i="9"/>
  <c r="P2288" i="9"/>
  <c r="P2289" i="9"/>
  <c r="P2290" i="9"/>
  <c r="P2291" i="9"/>
  <c r="P2292" i="9"/>
  <c r="P2293" i="9"/>
  <c r="P2294" i="9"/>
  <c r="P2295" i="9"/>
  <c r="P2296" i="9"/>
  <c r="P2297" i="9"/>
  <c r="P2298" i="9"/>
  <c r="P2299" i="9"/>
  <c r="P2300" i="9"/>
  <c r="P2301" i="9"/>
  <c r="P2302" i="9"/>
  <c r="P2303" i="9"/>
  <c r="P2304" i="9"/>
  <c r="P2305" i="9"/>
  <c r="P2306" i="9"/>
  <c r="P2307" i="9"/>
  <c r="P2308" i="9"/>
  <c r="P2309" i="9"/>
  <c r="P2310" i="9"/>
  <c r="P2311" i="9"/>
  <c r="P2312" i="9"/>
  <c r="P2313" i="9"/>
  <c r="P2314" i="9"/>
  <c r="P2315" i="9"/>
  <c r="P2316" i="9"/>
  <c r="P2317" i="9"/>
  <c r="P2318" i="9"/>
  <c r="P2319" i="9"/>
  <c r="P2320" i="9"/>
  <c r="P2321" i="9"/>
  <c r="P2322" i="9"/>
  <c r="P2323" i="9"/>
  <c r="P2324" i="9"/>
  <c r="P2325" i="9"/>
  <c r="P2326" i="9"/>
  <c r="P2327" i="9"/>
  <c r="P2328" i="9"/>
  <c r="P2329" i="9"/>
  <c r="P2330" i="9"/>
  <c r="P2331" i="9"/>
  <c r="P2332" i="9"/>
  <c r="P2333" i="9"/>
  <c r="P2334" i="9"/>
  <c r="P2335" i="9"/>
  <c r="P2336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N1307" i="9"/>
  <c r="N1308" i="9"/>
  <c r="N1309" i="9"/>
  <c r="N1310" i="9"/>
  <c r="N1311" i="9"/>
  <c r="N1312" i="9"/>
  <c r="N1313" i="9"/>
  <c r="N1314" i="9"/>
  <c r="N1315" i="9"/>
  <c r="N1316" i="9"/>
  <c r="N1317" i="9"/>
  <c r="N1318" i="9"/>
  <c r="N1319" i="9"/>
  <c r="N1320" i="9"/>
  <c r="N1321" i="9"/>
  <c r="N1322" i="9"/>
  <c r="N1323" i="9"/>
  <c r="N1324" i="9"/>
  <c r="N1325" i="9"/>
  <c r="N1326" i="9"/>
  <c r="N1327" i="9"/>
  <c r="N1328" i="9"/>
  <c r="N1329" i="9"/>
  <c r="N1330" i="9"/>
  <c r="N1331" i="9"/>
  <c r="N1332" i="9"/>
  <c r="N1333" i="9"/>
  <c r="N1334" i="9"/>
  <c r="N1335" i="9"/>
  <c r="N1336" i="9"/>
  <c r="N1337" i="9"/>
  <c r="N1338" i="9"/>
  <c r="N1339" i="9"/>
  <c r="N1340" i="9"/>
  <c r="N1341" i="9"/>
  <c r="N1342" i="9"/>
  <c r="N1343" i="9"/>
  <c r="N1344" i="9"/>
  <c r="N1345" i="9"/>
  <c r="N1346" i="9"/>
  <c r="N1347" i="9"/>
  <c r="N1348" i="9"/>
  <c r="N1349" i="9"/>
  <c r="N1350" i="9"/>
  <c r="N1351" i="9"/>
  <c r="N1352" i="9"/>
  <c r="N1353" i="9"/>
  <c r="N1354" i="9"/>
  <c r="N1355" i="9"/>
  <c r="N1356" i="9"/>
  <c r="N1357" i="9"/>
  <c r="N1358" i="9"/>
  <c r="N1359" i="9"/>
  <c r="N1360" i="9"/>
  <c r="N1361" i="9"/>
  <c r="N1362" i="9"/>
  <c r="N1363" i="9"/>
  <c r="N1364" i="9"/>
  <c r="N1365" i="9"/>
  <c r="N1366" i="9"/>
  <c r="N1367" i="9"/>
  <c r="N1368" i="9"/>
  <c r="N1369" i="9"/>
  <c r="N1370" i="9"/>
  <c r="N1371" i="9"/>
  <c r="N1372" i="9"/>
  <c r="N1373" i="9"/>
  <c r="N1374" i="9"/>
  <c r="N1375" i="9"/>
  <c r="N1376" i="9"/>
  <c r="N1377" i="9"/>
  <c r="N1378" i="9"/>
  <c r="N1379" i="9"/>
  <c r="N1380" i="9"/>
  <c r="N1381" i="9"/>
  <c r="N1382" i="9"/>
  <c r="N1383" i="9"/>
  <c r="N1384" i="9"/>
  <c r="N1385" i="9"/>
  <c r="N1386" i="9"/>
  <c r="N1387" i="9"/>
  <c r="N1388" i="9"/>
  <c r="N1389" i="9"/>
  <c r="N1390" i="9"/>
  <c r="N1391" i="9"/>
  <c r="N1392" i="9"/>
  <c r="N1393" i="9"/>
  <c r="N1394" i="9"/>
  <c r="N1395" i="9"/>
  <c r="N1396" i="9"/>
  <c r="N1397" i="9"/>
  <c r="N1398" i="9"/>
  <c r="N1399" i="9"/>
  <c r="N1400" i="9"/>
  <c r="N1401" i="9"/>
  <c r="N1402" i="9"/>
  <c r="N1403" i="9"/>
  <c r="N1404" i="9"/>
  <c r="N1405" i="9"/>
  <c r="N1406" i="9"/>
  <c r="N1407" i="9"/>
  <c r="N1408" i="9"/>
  <c r="N1409" i="9"/>
  <c r="N1410" i="9"/>
  <c r="N1411" i="9"/>
  <c r="N1412" i="9"/>
  <c r="N1413" i="9"/>
  <c r="N1414" i="9"/>
  <c r="N1415" i="9"/>
  <c r="N1416" i="9"/>
  <c r="N1417" i="9"/>
  <c r="N1418" i="9"/>
  <c r="N1419" i="9"/>
  <c r="N1420" i="9"/>
  <c r="N1421" i="9"/>
  <c r="N1422" i="9"/>
  <c r="N1423" i="9"/>
  <c r="N1424" i="9"/>
  <c r="N1425" i="9"/>
  <c r="N1426" i="9"/>
  <c r="N1427" i="9"/>
  <c r="N1428" i="9"/>
  <c r="N1429" i="9"/>
  <c r="N1430" i="9"/>
  <c r="N1431" i="9"/>
  <c r="N1432" i="9"/>
  <c r="N1433" i="9"/>
  <c r="N1434" i="9"/>
  <c r="N1435" i="9"/>
  <c r="N1436" i="9"/>
  <c r="N1437" i="9"/>
  <c r="N1438" i="9"/>
  <c r="N1439" i="9"/>
  <c r="N1440" i="9"/>
  <c r="N1441" i="9"/>
  <c r="N1442" i="9"/>
  <c r="N1443" i="9"/>
  <c r="N1444" i="9"/>
  <c r="N1445" i="9"/>
  <c r="N1446" i="9"/>
  <c r="N1447" i="9"/>
  <c r="N1448" i="9"/>
  <c r="N1449" i="9"/>
  <c r="N1450" i="9"/>
  <c r="N1451" i="9"/>
  <c r="N1452" i="9"/>
  <c r="N1453" i="9"/>
  <c r="N1454" i="9"/>
  <c r="N1455" i="9"/>
  <c r="N1456" i="9"/>
  <c r="N1457" i="9"/>
  <c r="N1458" i="9"/>
  <c r="N1459" i="9"/>
  <c r="N1460" i="9"/>
  <c r="N1461" i="9"/>
  <c r="N1462" i="9"/>
  <c r="N1463" i="9"/>
  <c r="N1464" i="9"/>
  <c r="N1465" i="9"/>
  <c r="N1466" i="9"/>
  <c r="N1467" i="9"/>
  <c r="N1468" i="9"/>
  <c r="N1469" i="9"/>
  <c r="N1470" i="9"/>
  <c r="N1471" i="9"/>
  <c r="N1472" i="9"/>
  <c r="N1473" i="9"/>
  <c r="N1474" i="9"/>
  <c r="N1475" i="9"/>
  <c r="N1476" i="9"/>
  <c r="N1477" i="9"/>
  <c r="N1478" i="9"/>
  <c r="N1479" i="9"/>
  <c r="N1480" i="9"/>
  <c r="N1481" i="9"/>
  <c r="N1482" i="9"/>
  <c r="N1483" i="9"/>
  <c r="N1484" i="9"/>
  <c r="N1485" i="9"/>
  <c r="N1486" i="9"/>
  <c r="N1487" i="9"/>
  <c r="N1488" i="9"/>
  <c r="N1489" i="9"/>
  <c r="N1490" i="9"/>
  <c r="N1491" i="9"/>
  <c r="N1492" i="9"/>
  <c r="N1493" i="9"/>
  <c r="N1494" i="9"/>
  <c r="N1495" i="9"/>
  <c r="N1496" i="9"/>
  <c r="N1497" i="9"/>
  <c r="N1498" i="9"/>
  <c r="N1499" i="9"/>
  <c r="N1500" i="9"/>
  <c r="N1501" i="9"/>
  <c r="N1502" i="9"/>
  <c r="N1503" i="9"/>
  <c r="N1504" i="9"/>
  <c r="N1505" i="9"/>
  <c r="N1506" i="9"/>
  <c r="N1507" i="9"/>
  <c r="N1508" i="9"/>
  <c r="N1509" i="9"/>
  <c r="N1510" i="9"/>
  <c r="N1511" i="9"/>
  <c r="N1512" i="9"/>
  <c r="N1513" i="9"/>
  <c r="N1514" i="9"/>
  <c r="N1515" i="9"/>
  <c r="N1516" i="9"/>
  <c r="N1517" i="9"/>
  <c r="N1518" i="9"/>
  <c r="N1519" i="9"/>
  <c r="N1520" i="9"/>
  <c r="N1521" i="9"/>
  <c r="N1522" i="9"/>
  <c r="N1523" i="9"/>
  <c r="N1524" i="9"/>
  <c r="N1525" i="9"/>
  <c r="N1526" i="9"/>
  <c r="N1527" i="9"/>
  <c r="N1528" i="9"/>
  <c r="N1529" i="9"/>
  <c r="N1530" i="9"/>
  <c r="N1531" i="9"/>
  <c r="N1532" i="9"/>
  <c r="N1533" i="9"/>
  <c r="N1534" i="9"/>
  <c r="N1535" i="9"/>
  <c r="N1536" i="9"/>
  <c r="N1537" i="9"/>
  <c r="N1538" i="9"/>
  <c r="N1539" i="9"/>
  <c r="N1540" i="9"/>
  <c r="N1541" i="9"/>
  <c r="N1542" i="9"/>
  <c r="N1543" i="9"/>
  <c r="N1544" i="9"/>
  <c r="N1545" i="9"/>
  <c r="N1546" i="9"/>
  <c r="N1547" i="9"/>
  <c r="N1548" i="9"/>
  <c r="N1549" i="9"/>
  <c r="N1550" i="9"/>
  <c r="N1551" i="9"/>
  <c r="N1552" i="9"/>
  <c r="N1553" i="9"/>
  <c r="N1554" i="9"/>
  <c r="N1555" i="9"/>
  <c r="N1556" i="9"/>
  <c r="N1557" i="9"/>
  <c r="N1558" i="9"/>
  <c r="N1559" i="9"/>
  <c r="N1560" i="9"/>
  <c r="N1561" i="9"/>
  <c r="N1562" i="9"/>
  <c r="N1563" i="9"/>
  <c r="N1564" i="9"/>
  <c r="N1565" i="9"/>
  <c r="N1566" i="9"/>
  <c r="N1567" i="9"/>
  <c r="N1568" i="9"/>
  <c r="N1569" i="9"/>
  <c r="N1570" i="9"/>
  <c r="N1571" i="9"/>
  <c r="N1572" i="9"/>
  <c r="N1573" i="9"/>
  <c r="N1574" i="9"/>
  <c r="N1575" i="9"/>
  <c r="N1576" i="9"/>
  <c r="N1577" i="9"/>
  <c r="N1578" i="9"/>
  <c r="N1579" i="9"/>
  <c r="N1580" i="9"/>
  <c r="N1581" i="9"/>
  <c r="N1582" i="9"/>
  <c r="N1583" i="9"/>
  <c r="N1584" i="9"/>
  <c r="N1585" i="9"/>
  <c r="N1586" i="9"/>
  <c r="N1587" i="9"/>
  <c r="N1588" i="9"/>
  <c r="N1589" i="9"/>
  <c r="N1590" i="9"/>
  <c r="N1591" i="9"/>
  <c r="N1592" i="9"/>
  <c r="N1593" i="9"/>
  <c r="N1594" i="9"/>
  <c r="N1595" i="9"/>
  <c r="N1596" i="9"/>
  <c r="N1597" i="9"/>
  <c r="N1598" i="9"/>
  <c r="N1599" i="9"/>
  <c r="N1600" i="9"/>
  <c r="N1601" i="9"/>
  <c r="N1602" i="9"/>
  <c r="N1603" i="9"/>
  <c r="N1604" i="9"/>
  <c r="N1605" i="9"/>
  <c r="N1606" i="9"/>
  <c r="N1607" i="9"/>
  <c r="N1608" i="9"/>
  <c r="N1609" i="9"/>
  <c r="N1610" i="9"/>
  <c r="N1611" i="9"/>
  <c r="N1612" i="9"/>
  <c r="N1613" i="9"/>
  <c r="N1614" i="9"/>
  <c r="N1615" i="9"/>
  <c r="N1616" i="9"/>
  <c r="N1617" i="9"/>
  <c r="N1618" i="9"/>
  <c r="N1619" i="9"/>
  <c r="N1620" i="9"/>
  <c r="N1621" i="9"/>
  <c r="N1622" i="9"/>
  <c r="N1623" i="9"/>
  <c r="N1624" i="9"/>
  <c r="N1625" i="9"/>
  <c r="N1626" i="9"/>
  <c r="N1627" i="9"/>
  <c r="N1628" i="9"/>
  <c r="N1629" i="9"/>
  <c r="N1630" i="9"/>
  <c r="N1631" i="9"/>
  <c r="N1632" i="9"/>
  <c r="N1633" i="9"/>
  <c r="N1634" i="9"/>
  <c r="N1635" i="9"/>
  <c r="N1636" i="9"/>
  <c r="N1637" i="9"/>
  <c r="N1638" i="9"/>
  <c r="N1639" i="9"/>
  <c r="N1640" i="9"/>
  <c r="N1641" i="9"/>
  <c r="N1642" i="9"/>
  <c r="N1643" i="9"/>
  <c r="N1644" i="9"/>
  <c r="N1645" i="9"/>
  <c r="N1646" i="9"/>
  <c r="N1647" i="9"/>
  <c r="N1648" i="9"/>
  <c r="N1649" i="9"/>
  <c r="N1650" i="9"/>
  <c r="N1651" i="9"/>
  <c r="N1652" i="9"/>
  <c r="N1653" i="9"/>
  <c r="N1654" i="9"/>
  <c r="N1655" i="9"/>
  <c r="N1656" i="9"/>
  <c r="N1657" i="9"/>
  <c r="N1658" i="9"/>
  <c r="N1659" i="9"/>
  <c r="N1660" i="9"/>
  <c r="N1661" i="9"/>
  <c r="N1662" i="9"/>
  <c r="N1663" i="9"/>
  <c r="N1664" i="9"/>
  <c r="N1665" i="9"/>
  <c r="N1666" i="9"/>
  <c r="N1667" i="9"/>
  <c r="N1668" i="9"/>
  <c r="N1669" i="9"/>
  <c r="N1670" i="9"/>
  <c r="N1671" i="9"/>
  <c r="N1672" i="9"/>
  <c r="N1673" i="9"/>
  <c r="N1674" i="9"/>
  <c r="N1675" i="9"/>
  <c r="N1676" i="9"/>
  <c r="N1677" i="9"/>
  <c r="N1678" i="9"/>
  <c r="N1679" i="9"/>
  <c r="N1680" i="9"/>
  <c r="N1681" i="9"/>
  <c r="N1682" i="9"/>
  <c r="N1683" i="9"/>
  <c r="N1684" i="9"/>
  <c r="N1685" i="9"/>
  <c r="N1686" i="9"/>
  <c r="N1687" i="9"/>
  <c r="N1688" i="9"/>
  <c r="N1689" i="9"/>
  <c r="N1690" i="9"/>
  <c r="N1691" i="9"/>
  <c r="N1692" i="9"/>
  <c r="N1693" i="9"/>
  <c r="N1694" i="9"/>
  <c r="N1695" i="9"/>
  <c r="N1696" i="9"/>
  <c r="N1697" i="9"/>
  <c r="N1698" i="9"/>
  <c r="N1699" i="9"/>
  <c r="N1700" i="9"/>
  <c r="N1701" i="9"/>
  <c r="N1702" i="9"/>
  <c r="N1703" i="9"/>
  <c r="N1704" i="9"/>
  <c r="N1705" i="9"/>
  <c r="N1706" i="9"/>
  <c r="N1707" i="9"/>
  <c r="N1708" i="9"/>
  <c r="N1709" i="9"/>
  <c r="N1710" i="9"/>
  <c r="N1711" i="9"/>
  <c r="N1712" i="9"/>
  <c r="N1713" i="9"/>
  <c r="N1714" i="9"/>
  <c r="N1715" i="9"/>
  <c r="N1716" i="9"/>
  <c r="N1717" i="9"/>
  <c r="N1718" i="9"/>
  <c r="N1719" i="9"/>
  <c r="N1720" i="9"/>
  <c r="N1721" i="9"/>
  <c r="N1722" i="9"/>
  <c r="N1723" i="9"/>
  <c r="N1724" i="9"/>
  <c r="N1725" i="9"/>
  <c r="N1726" i="9"/>
  <c r="N1727" i="9"/>
  <c r="N1728" i="9"/>
  <c r="N1729" i="9"/>
  <c r="N1730" i="9"/>
  <c r="N1731" i="9"/>
  <c r="N1732" i="9"/>
  <c r="N1733" i="9"/>
  <c r="N1734" i="9"/>
  <c r="N1735" i="9"/>
  <c r="N1736" i="9"/>
  <c r="N1737" i="9"/>
  <c r="N1738" i="9"/>
  <c r="N1739" i="9"/>
  <c r="N1740" i="9"/>
  <c r="N1741" i="9"/>
  <c r="N1742" i="9"/>
  <c r="N1743" i="9"/>
  <c r="N1744" i="9"/>
  <c r="N1745" i="9"/>
  <c r="N1746" i="9"/>
  <c r="N1747" i="9"/>
  <c r="N1748" i="9"/>
  <c r="N1749" i="9"/>
  <c r="N1750" i="9"/>
  <c r="N1751" i="9"/>
  <c r="N1752" i="9"/>
  <c r="N1753" i="9"/>
  <c r="N1754" i="9"/>
  <c r="N1755" i="9"/>
  <c r="N1756" i="9"/>
  <c r="N1757" i="9"/>
  <c r="N1758" i="9"/>
  <c r="N1759" i="9"/>
  <c r="N1760" i="9"/>
  <c r="N1761" i="9"/>
  <c r="N1762" i="9"/>
  <c r="N1763" i="9"/>
  <c r="N1764" i="9"/>
  <c r="N1765" i="9"/>
  <c r="N1766" i="9"/>
  <c r="N1767" i="9"/>
  <c r="N1768" i="9"/>
  <c r="N1769" i="9"/>
  <c r="N1770" i="9"/>
  <c r="N1771" i="9"/>
  <c r="N1772" i="9"/>
  <c r="N1773" i="9"/>
  <c r="N1774" i="9"/>
  <c r="N1775" i="9"/>
  <c r="N1776" i="9"/>
  <c r="N1777" i="9"/>
  <c r="N1778" i="9"/>
  <c r="N1779" i="9"/>
  <c r="N1780" i="9"/>
  <c r="N1781" i="9"/>
  <c r="N1782" i="9"/>
  <c r="N1783" i="9"/>
  <c r="N1784" i="9"/>
  <c r="N1785" i="9"/>
  <c r="N1786" i="9"/>
  <c r="N1787" i="9"/>
  <c r="N1788" i="9"/>
  <c r="N1789" i="9"/>
  <c r="N1790" i="9"/>
  <c r="N1791" i="9"/>
  <c r="N1792" i="9"/>
  <c r="N1793" i="9"/>
  <c r="N1794" i="9"/>
  <c r="N1795" i="9"/>
  <c r="N1796" i="9"/>
  <c r="N1797" i="9"/>
  <c r="N1798" i="9"/>
  <c r="N1799" i="9"/>
  <c r="N1800" i="9"/>
  <c r="N1801" i="9"/>
  <c r="N1802" i="9"/>
  <c r="N1803" i="9"/>
  <c r="N1804" i="9"/>
  <c r="N1805" i="9"/>
  <c r="N1806" i="9"/>
  <c r="N1807" i="9"/>
  <c r="N1808" i="9"/>
  <c r="N1809" i="9"/>
  <c r="N1810" i="9"/>
  <c r="N1811" i="9"/>
  <c r="N1812" i="9"/>
  <c r="N1813" i="9"/>
  <c r="N1814" i="9"/>
  <c r="N1815" i="9"/>
  <c r="N1816" i="9"/>
  <c r="N1817" i="9"/>
  <c r="N1818" i="9"/>
  <c r="N1819" i="9"/>
  <c r="N1820" i="9"/>
  <c r="N1821" i="9"/>
  <c r="N1822" i="9"/>
  <c r="N1823" i="9"/>
  <c r="N1824" i="9"/>
  <c r="N1825" i="9"/>
  <c r="N1826" i="9"/>
  <c r="N1827" i="9"/>
  <c r="N1828" i="9"/>
  <c r="N1829" i="9"/>
  <c r="N1830" i="9"/>
  <c r="N1831" i="9"/>
  <c r="N1832" i="9"/>
  <c r="N1833" i="9"/>
  <c r="N1834" i="9"/>
  <c r="N1835" i="9"/>
  <c r="N1836" i="9"/>
  <c r="N1837" i="9"/>
  <c r="N1838" i="9"/>
  <c r="N1839" i="9"/>
  <c r="N1840" i="9"/>
  <c r="N1841" i="9"/>
  <c r="N1842" i="9"/>
  <c r="N1843" i="9"/>
  <c r="N1844" i="9"/>
  <c r="N1845" i="9"/>
  <c r="N1846" i="9"/>
  <c r="N1847" i="9"/>
  <c r="N1848" i="9"/>
  <c r="N1849" i="9"/>
  <c r="N1850" i="9"/>
  <c r="N1851" i="9"/>
  <c r="N1852" i="9"/>
  <c r="N1853" i="9"/>
  <c r="N1854" i="9"/>
  <c r="N1855" i="9"/>
  <c r="N1856" i="9"/>
  <c r="N1857" i="9"/>
  <c r="N1858" i="9"/>
  <c r="N1859" i="9"/>
  <c r="N1860" i="9"/>
  <c r="N1861" i="9"/>
  <c r="N1862" i="9"/>
  <c r="N1863" i="9"/>
  <c r="N1864" i="9"/>
  <c r="N1865" i="9"/>
  <c r="N1866" i="9"/>
  <c r="N1867" i="9"/>
  <c r="N1868" i="9"/>
  <c r="N1869" i="9"/>
  <c r="N1870" i="9"/>
  <c r="N1871" i="9"/>
  <c r="N1872" i="9"/>
  <c r="N1873" i="9"/>
  <c r="N1874" i="9"/>
  <c r="N1875" i="9"/>
  <c r="N1876" i="9"/>
  <c r="N1877" i="9"/>
  <c r="N1878" i="9"/>
  <c r="N1879" i="9"/>
  <c r="N1880" i="9"/>
  <c r="N1881" i="9"/>
  <c r="N1882" i="9"/>
  <c r="N1883" i="9"/>
  <c r="N1884" i="9"/>
  <c r="N1885" i="9"/>
  <c r="N1886" i="9"/>
  <c r="N1887" i="9"/>
  <c r="N1888" i="9"/>
  <c r="N1889" i="9"/>
  <c r="N1890" i="9"/>
  <c r="N1891" i="9"/>
  <c r="N1892" i="9"/>
  <c r="N1893" i="9"/>
  <c r="N1894" i="9"/>
  <c r="N1895" i="9"/>
  <c r="N1896" i="9"/>
  <c r="N1897" i="9"/>
  <c r="N1898" i="9"/>
  <c r="N1899" i="9"/>
  <c r="N1900" i="9"/>
  <c r="N1901" i="9"/>
  <c r="N1902" i="9"/>
  <c r="N1903" i="9"/>
  <c r="N1904" i="9"/>
  <c r="N1905" i="9"/>
  <c r="N1906" i="9"/>
  <c r="N1907" i="9"/>
  <c r="N1908" i="9"/>
  <c r="N1909" i="9"/>
  <c r="N1910" i="9"/>
  <c r="N1911" i="9"/>
  <c r="N1912" i="9"/>
  <c r="N1913" i="9"/>
  <c r="N1914" i="9"/>
  <c r="N1915" i="9"/>
  <c r="N1916" i="9"/>
  <c r="N1917" i="9"/>
  <c r="N1918" i="9"/>
  <c r="N1919" i="9"/>
  <c r="N1920" i="9"/>
  <c r="N1921" i="9"/>
  <c r="N1922" i="9"/>
  <c r="N1923" i="9"/>
  <c r="N1924" i="9"/>
  <c r="N1925" i="9"/>
  <c r="N1926" i="9"/>
  <c r="N1927" i="9"/>
  <c r="N1928" i="9"/>
  <c r="N1929" i="9"/>
  <c r="N1930" i="9"/>
  <c r="N1931" i="9"/>
  <c r="N1932" i="9"/>
  <c r="N1933" i="9"/>
  <c r="N1934" i="9"/>
  <c r="N1935" i="9"/>
  <c r="N1936" i="9"/>
  <c r="N1937" i="9"/>
  <c r="N1938" i="9"/>
  <c r="N1939" i="9"/>
  <c r="N1940" i="9"/>
  <c r="N1941" i="9"/>
  <c r="N1942" i="9"/>
  <c r="N1943" i="9"/>
  <c r="N1944" i="9"/>
  <c r="N1945" i="9"/>
  <c r="N1946" i="9"/>
  <c r="N1947" i="9"/>
  <c r="N1948" i="9"/>
  <c r="N1949" i="9"/>
  <c r="N1950" i="9"/>
  <c r="N1951" i="9"/>
  <c r="N1952" i="9"/>
  <c r="N1953" i="9"/>
  <c r="N1954" i="9"/>
  <c r="N1955" i="9"/>
  <c r="N1956" i="9"/>
  <c r="N1957" i="9"/>
  <c r="N1958" i="9"/>
  <c r="N1959" i="9"/>
  <c r="N1960" i="9"/>
  <c r="N1961" i="9"/>
  <c r="N1962" i="9"/>
  <c r="N1963" i="9"/>
  <c r="N1964" i="9"/>
  <c r="N1965" i="9"/>
  <c r="N1966" i="9"/>
  <c r="N1967" i="9"/>
  <c r="N1968" i="9"/>
  <c r="N1969" i="9"/>
  <c r="N1970" i="9"/>
  <c r="N1971" i="9"/>
  <c r="N1972" i="9"/>
  <c r="N1973" i="9"/>
  <c r="N1974" i="9"/>
  <c r="N1975" i="9"/>
  <c r="N1976" i="9"/>
  <c r="N1977" i="9"/>
  <c r="N1978" i="9"/>
  <c r="N1979" i="9"/>
  <c r="N1980" i="9"/>
  <c r="N1981" i="9"/>
  <c r="N1982" i="9"/>
  <c r="N1983" i="9"/>
  <c r="N1984" i="9"/>
  <c r="N1985" i="9"/>
  <c r="N1986" i="9"/>
  <c r="N1987" i="9"/>
  <c r="N1988" i="9"/>
  <c r="N1989" i="9"/>
  <c r="N1990" i="9"/>
  <c r="N1991" i="9"/>
  <c r="N1992" i="9"/>
  <c r="N1993" i="9"/>
  <c r="N1994" i="9"/>
  <c r="N1995" i="9"/>
  <c r="N1996" i="9"/>
  <c r="N1997" i="9"/>
  <c r="N1998" i="9"/>
  <c r="N1999" i="9"/>
  <c r="N2000" i="9"/>
  <c r="N2001" i="9"/>
  <c r="N2002" i="9"/>
  <c r="N2003" i="9"/>
  <c r="N2004" i="9"/>
  <c r="N2005" i="9"/>
  <c r="N2006" i="9"/>
  <c r="N2007" i="9"/>
  <c r="N2008" i="9"/>
  <c r="N2009" i="9"/>
  <c r="N2010" i="9"/>
  <c r="N2011" i="9"/>
  <c r="N2012" i="9"/>
  <c r="N2013" i="9"/>
  <c r="N2014" i="9"/>
  <c r="N2015" i="9"/>
  <c r="N2016" i="9"/>
  <c r="N2017" i="9"/>
  <c r="N2018" i="9"/>
  <c r="N2019" i="9"/>
  <c r="N2020" i="9"/>
  <c r="N2021" i="9"/>
  <c r="N2022" i="9"/>
  <c r="N2023" i="9"/>
  <c r="N2024" i="9"/>
  <c r="N2025" i="9"/>
  <c r="N2026" i="9"/>
  <c r="N2027" i="9"/>
  <c r="N2028" i="9"/>
  <c r="N2029" i="9"/>
  <c r="N2030" i="9"/>
  <c r="N2031" i="9"/>
  <c r="N2032" i="9"/>
  <c r="N2033" i="9"/>
  <c r="N2034" i="9"/>
  <c r="N2035" i="9"/>
  <c r="N2036" i="9"/>
  <c r="N2037" i="9"/>
  <c r="N2038" i="9"/>
  <c r="N2039" i="9"/>
  <c r="N2040" i="9"/>
  <c r="N2041" i="9"/>
  <c r="N2042" i="9"/>
  <c r="N2043" i="9"/>
  <c r="N2044" i="9"/>
  <c r="N2045" i="9"/>
  <c r="N2046" i="9"/>
  <c r="N2047" i="9"/>
  <c r="N2048" i="9"/>
  <c r="N2049" i="9"/>
  <c r="N2050" i="9"/>
  <c r="N2051" i="9"/>
  <c r="N2052" i="9"/>
  <c r="N2053" i="9"/>
  <c r="N2054" i="9"/>
  <c r="N2055" i="9"/>
  <c r="N2056" i="9"/>
  <c r="N2057" i="9"/>
  <c r="N2058" i="9"/>
  <c r="N2059" i="9"/>
  <c r="N2060" i="9"/>
  <c r="N2061" i="9"/>
  <c r="N2062" i="9"/>
  <c r="N2063" i="9"/>
  <c r="N2064" i="9"/>
  <c r="N2065" i="9"/>
  <c r="N2066" i="9"/>
  <c r="N2067" i="9"/>
  <c r="N2068" i="9"/>
  <c r="N2069" i="9"/>
  <c r="N2070" i="9"/>
  <c r="N2071" i="9"/>
  <c r="N2072" i="9"/>
  <c r="N2073" i="9"/>
  <c r="N2074" i="9"/>
  <c r="N2075" i="9"/>
  <c r="N2076" i="9"/>
  <c r="N2077" i="9"/>
  <c r="N2078" i="9"/>
  <c r="N2079" i="9"/>
  <c r="N2080" i="9"/>
  <c r="N2081" i="9"/>
  <c r="N2082" i="9"/>
  <c r="N2083" i="9"/>
  <c r="N2084" i="9"/>
  <c r="N2085" i="9"/>
  <c r="N2086" i="9"/>
  <c r="N2087" i="9"/>
  <c r="N2088" i="9"/>
  <c r="N2089" i="9"/>
  <c r="N2090" i="9"/>
  <c r="N2091" i="9"/>
  <c r="N2092" i="9"/>
  <c r="N2093" i="9"/>
  <c r="N2094" i="9"/>
  <c r="N2095" i="9"/>
  <c r="N2096" i="9"/>
  <c r="N2097" i="9"/>
  <c r="N2098" i="9"/>
  <c r="N2099" i="9"/>
  <c r="N2100" i="9"/>
  <c r="N2101" i="9"/>
  <c r="N2102" i="9"/>
  <c r="N2103" i="9"/>
  <c r="N2104" i="9"/>
  <c r="N2105" i="9"/>
  <c r="N2106" i="9"/>
  <c r="N2107" i="9"/>
  <c r="N2108" i="9"/>
  <c r="N2109" i="9"/>
  <c r="N2110" i="9"/>
  <c r="N2111" i="9"/>
  <c r="N2112" i="9"/>
  <c r="N2113" i="9"/>
  <c r="N2114" i="9"/>
  <c r="N2115" i="9"/>
  <c r="N2116" i="9"/>
  <c r="N2117" i="9"/>
  <c r="N2118" i="9"/>
  <c r="N2119" i="9"/>
  <c r="N2120" i="9"/>
  <c r="N2121" i="9"/>
  <c r="N2122" i="9"/>
  <c r="N2123" i="9"/>
  <c r="N2124" i="9"/>
  <c r="N2125" i="9"/>
  <c r="N2126" i="9"/>
  <c r="N2127" i="9"/>
  <c r="N2128" i="9"/>
  <c r="N2129" i="9"/>
  <c r="N2130" i="9"/>
  <c r="N2131" i="9"/>
  <c r="N2132" i="9"/>
  <c r="N2133" i="9"/>
  <c r="N2134" i="9"/>
  <c r="N2135" i="9"/>
  <c r="N2136" i="9"/>
  <c r="N2137" i="9"/>
  <c r="N2138" i="9"/>
  <c r="N2139" i="9"/>
  <c r="N2140" i="9"/>
  <c r="N2141" i="9"/>
  <c r="N2142" i="9"/>
  <c r="N2143" i="9"/>
  <c r="N2144" i="9"/>
  <c r="N2145" i="9"/>
  <c r="N2146" i="9"/>
  <c r="N2147" i="9"/>
  <c r="N2148" i="9"/>
  <c r="N2149" i="9"/>
  <c r="N2150" i="9"/>
  <c r="N2151" i="9"/>
  <c r="N2152" i="9"/>
  <c r="N2153" i="9"/>
  <c r="N2154" i="9"/>
  <c r="N2155" i="9"/>
  <c r="N2156" i="9"/>
  <c r="N2157" i="9"/>
  <c r="N2158" i="9"/>
  <c r="N2159" i="9"/>
  <c r="N2160" i="9"/>
  <c r="N2161" i="9"/>
  <c r="N2162" i="9"/>
  <c r="N2163" i="9"/>
  <c r="N2164" i="9"/>
  <c r="N2165" i="9"/>
  <c r="N2166" i="9"/>
  <c r="N2167" i="9"/>
  <c r="N2168" i="9"/>
  <c r="N2169" i="9"/>
  <c r="N2170" i="9"/>
  <c r="N2171" i="9"/>
  <c r="N2172" i="9"/>
  <c r="N2173" i="9"/>
  <c r="N2174" i="9"/>
  <c r="N2175" i="9"/>
  <c r="N2176" i="9"/>
  <c r="N2177" i="9"/>
  <c r="N2178" i="9"/>
  <c r="N2179" i="9"/>
  <c r="N2180" i="9"/>
  <c r="N2181" i="9"/>
  <c r="N2182" i="9"/>
  <c r="N2183" i="9"/>
  <c r="N2184" i="9"/>
  <c r="N2185" i="9"/>
  <c r="N2186" i="9"/>
  <c r="N2187" i="9"/>
  <c r="N2188" i="9"/>
  <c r="N2189" i="9"/>
  <c r="N2190" i="9"/>
  <c r="N2191" i="9"/>
  <c r="N2192" i="9"/>
  <c r="N2193" i="9"/>
  <c r="N2194" i="9"/>
  <c r="N2195" i="9"/>
  <c r="N2196" i="9"/>
  <c r="N2197" i="9"/>
  <c r="N2198" i="9"/>
  <c r="N2199" i="9"/>
  <c r="N2200" i="9"/>
  <c r="N2201" i="9"/>
  <c r="N2202" i="9"/>
  <c r="N2203" i="9"/>
  <c r="N2204" i="9"/>
  <c r="N2205" i="9"/>
  <c r="N2206" i="9"/>
  <c r="N2207" i="9"/>
  <c r="N2208" i="9"/>
  <c r="N2209" i="9"/>
  <c r="N2210" i="9"/>
  <c r="N2211" i="9"/>
  <c r="N2212" i="9"/>
  <c r="N2213" i="9"/>
  <c r="N2214" i="9"/>
  <c r="N2215" i="9"/>
  <c r="N2216" i="9"/>
  <c r="N2217" i="9"/>
  <c r="N2218" i="9"/>
  <c r="N2219" i="9"/>
  <c r="N2220" i="9"/>
  <c r="N2221" i="9"/>
  <c r="N2222" i="9"/>
  <c r="N2223" i="9"/>
  <c r="N2224" i="9"/>
  <c r="N2225" i="9"/>
  <c r="N2226" i="9"/>
  <c r="N2227" i="9"/>
  <c r="N2228" i="9"/>
  <c r="N2229" i="9"/>
  <c r="N2230" i="9"/>
  <c r="N2231" i="9"/>
  <c r="N2232" i="9"/>
  <c r="N2233" i="9"/>
  <c r="N2234" i="9"/>
  <c r="N2235" i="9"/>
  <c r="N2236" i="9"/>
  <c r="N2237" i="9"/>
  <c r="N2238" i="9"/>
  <c r="N2239" i="9"/>
  <c r="N2240" i="9"/>
  <c r="N2241" i="9"/>
  <c r="N2242" i="9"/>
  <c r="N2243" i="9"/>
  <c r="N2244" i="9"/>
  <c r="N2245" i="9"/>
  <c r="N2246" i="9"/>
  <c r="N2247" i="9"/>
  <c r="N2248" i="9"/>
  <c r="N2249" i="9"/>
  <c r="N2250" i="9"/>
  <c r="N2251" i="9"/>
  <c r="N2252" i="9"/>
  <c r="N2253" i="9"/>
  <c r="N2254" i="9"/>
  <c r="N2255" i="9"/>
  <c r="N2256" i="9"/>
  <c r="N2257" i="9"/>
  <c r="N2258" i="9"/>
  <c r="N2259" i="9"/>
  <c r="N2260" i="9"/>
  <c r="N2261" i="9"/>
  <c r="N2262" i="9"/>
  <c r="N2263" i="9"/>
  <c r="N2264" i="9"/>
  <c r="N2265" i="9"/>
  <c r="N2266" i="9"/>
  <c r="N2267" i="9"/>
  <c r="N2268" i="9"/>
  <c r="N2269" i="9"/>
  <c r="N2270" i="9"/>
  <c r="N2271" i="9"/>
  <c r="N2272" i="9"/>
  <c r="N2273" i="9"/>
  <c r="N2274" i="9"/>
  <c r="N2275" i="9"/>
  <c r="N2276" i="9"/>
  <c r="N2277" i="9"/>
  <c r="N2278" i="9"/>
  <c r="N2279" i="9"/>
  <c r="N2280" i="9"/>
  <c r="N2281" i="9"/>
  <c r="N2282" i="9"/>
  <c r="N2283" i="9"/>
  <c r="N2284" i="9"/>
  <c r="N2285" i="9"/>
  <c r="N2286" i="9"/>
  <c r="N2287" i="9"/>
  <c r="N2288" i="9"/>
  <c r="N2289" i="9"/>
  <c r="N2290" i="9"/>
  <c r="N2291" i="9"/>
  <c r="N2292" i="9"/>
  <c r="N2293" i="9"/>
  <c r="N2294" i="9"/>
  <c r="N2295" i="9"/>
  <c r="N2296" i="9"/>
  <c r="N2297" i="9"/>
  <c r="N2298" i="9"/>
  <c r="N2299" i="9"/>
  <c r="N2300" i="9"/>
  <c r="N2301" i="9"/>
  <c r="N2302" i="9"/>
  <c r="N2303" i="9"/>
  <c r="N2304" i="9"/>
  <c r="N2305" i="9"/>
  <c r="N2306" i="9"/>
  <c r="N2307" i="9"/>
  <c r="N2308" i="9"/>
  <c r="N2309" i="9"/>
  <c r="N2310" i="9"/>
  <c r="N2311" i="9"/>
  <c r="N2312" i="9"/>
  <c r="N2313" i="9"/>
  <c r="N2314" i="9"/>
  <c r="N2315" i="9"/>
  <c r="N2316" i="9"/>
  <c r="N2317" i="9"/>
  <c r="N2318" i="9"/>
  <c r="N2319" i="9"/>
  <c r="N2320" i="9"/>
  <c r="N2321" i="9"/>
  <c r="N2322" i="9"/>
  <c r="N2323" i="9"/>
  <c r="N2324" i="9"/>
  <c r="N2325" i="9"/>
  <c r="N2326" i="9"/>
  <c r="N2327" i="9"/>
  <c r="N2328" i="9"/>
  <c r="N2329" i="9"/>
  <c r="N2330" i="9"/>
  <c r="N2331" i="9"/>
  <c r="N2332" i="9"/>
  <c r="N2333" i="9"/>
  <c r="N2334" i="9"/>
  <c r="N2335" i="9"/>
  <c r="N2336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M2002" i="9"/>
  <c r="M2003" i="9"/>
  <c r="M2004" i="9"/>
  <c r="M2005" i="9"/>
  <c r="M2006" i="9"/>
  <c r="M2007" i="9"/>
  <c r="M2008" i="9"/>
  <c r="M2009" i="9"/>
  <c r="M2010" i="9"/>
  <c r="M2011" i="9"/>
  <c r="M2012" i="9"/>
  <c r="M2013" i="9"/>
  <c r="M2014" i="9"/>
  <c r="M2015" i="9"/>
  <c r="M2016" i="9"/>
  <c r="M2017" i="9"/>
  <c r="M2018" i="9"/>
  <c r="M2019" i="9"/>
  <c r="M2020" i="9"/>
  <c r="M2021" i="9"/>
  <c r="M2022" i="9"/>
  <c r="M2023" i="9"/>
  <c r="M2024" i="9"/>
  <c r="M2025" i="9"/>
  <c r="M2026" i="9"/>
  <c r="M2027" i="9"/>
  <c r="M2028" i="9"/>
  <c r="M2029" i="9"/>
  <c r="M2030" i="9"/>
  <c r="M2031" i="9"/>
  <c r="M2032" i="9"/>
  <c r="M2033" i="9"/>
  <c r="M2034" i="9"/>
  <c r="M2035" i="9"/>
  <c r="M2036" i="9"/>
  <c r="M2037" i="9"/>
  <c r="M2038" i="9"/>
  <c r="M2039" i="9"/>
  <c r="M2040" i="9"/>
  <c r="M2041" i="9"/>
  <c r="M2042" i="9"/>
  <c r="M2043" i="9"/>
  <c r="M2044" i="9"/>
  <c r="M2045" i="9"/>
  <c r="M2046" i="9"/>
  <c r="M2047" i="9"/>
  <c r="M2048" i="9"/>
  <c r="M2049" i="9"/>
  <c r="M2050" i="9"/>
  <c r="M2051" i="9"/>
  <c r="M2052" i="9"/>
  <c r="M2053" i="9"/>
  <c r="M2054" i="9"/>
  <c r="M2055" i="9"/>
  <c r="M2056" i="9"/>
  <c r="M2057" i="9"/>
  <c r="M2058" i="9"/>
  <c r="M2059" i="9"/>
  <c r="M2060" i="9"/>
  <c r="M2061" i="9"/>
  <c r="M2062" i="9"/>
  <c r="M2063" i="9"/>
  <c r="M2064" i="9"/>
  <c r="M2065" i="9"/>
  <c r="M2066" i="9"/>
  <c r="M2067" i="9"/>
  <c r="M2068" i="9"/>
  <c r="M2069" i="9"/>
  <c r="M2070" i="9"/>
  <c r="M2071" i="9"/>
  <c r="M2072" i="9"/>
  <c r="M2073" i="9"/>
  <c r="M2074" i="9"/>
  <c r="M2075" i="9"/>
  <c r="M2076" i="9"/>
  <c r="M2077" i="9"/>
  <c r="M2078" i="9"/>
  <c r="M2079" i="9"/>
  <c r="M2080" i="9"/>
  <c r="M2081" i="9"/>
  <c r="M2082" i="9"/>
  <c r="M2083" i="9"/>
  <c r="M2084" i="9"/>
  <c r="M2085" i="9"/>
  <c r="M2086" i="9"/>
  <c r="M2087" i="9"/>
  <c r="M2088" i="9"/>
  <c r="M2089" i="9"/>
  <c r="M2090" i="9"/>
  <c r="M2091" i="9"/>
  <c r="M2092" i="9"/>
  <c r="M2093" i="9"/>
  <c r="M2094" i="9"/>
  <c r="M2095" i="9"/>
  <c r="M2096" i="9"/>
  <c r="M2097" i="9"/>
  <c r="M2098" i="9"/>
  <c r="M2099" i="9"/>
  <c r="M2100" i="9"/>
  <c r="M2101" i="9"/>
  <c r="M2102" i="9"/>
  <c r="M2103" i="9"/>
  <c r="M2104" i="9"/>
  <c r="M2105" i="9"/>
  <c r="M2106" i="9"/>
  <c r="M2107" i="9"/>
  <c r="M2108" i="9"/>
  <c r="M2109" i="9"/>
  <c r="M2110" i="9"/>
  <c r="M2111" i="9"/>
  <c r="M2112" i="9"/>
  <c r="M2113" i="9"/>
  <c r="M2114" i="9"/>
  <c r="M2115" i="9"/>
  <c r="M2116" i="9"/>
  <c r="M2117" i="9"/>
  <c r="M2118" i="9"/>
  <c r="M2119" i="9"/>
  <c r="M2120" i="9"/>
  <c r="M2121" i="9"/>
  <c r="M2122" i="9"/>
  <c r="M2123" i="9"/>
  <c r="M2124" i="9"/>
  <c r="M2125" i="9"/>
  <c r="M2126" i="9"/>
  <c r="M2127" i="9"/>
  <c r="M2128" i="9"/>
  <c r="M2129" i="9"/>
  <c r="M2130" i="9"/>
  <c r="M2131" i="9"/>
  <c r="M2132" i="9"/>
  <c r="M2133" i="9"/>
  <c r="M2134" i="9"/>
  <c r="M2135" i="9"/>
  <c r="M2136" i="9"/>
  <c r="M2137" i="9"/>
  <c r="M2138" i="9"/>
  <c r="M2139" i="9"/>
  <c r="M2140" i="9"/>
  <c r="M2141" i="9"/>
  <c r="M2142" i="9"/>
  <c r="M2143" i="9"/>
  <c r="M2144" i="9"/>
  <c r="M2145" i="9"/>
  <c r="M2146" i="9"/>
  <c r="M2147" i="9"/>
  <c r="M2148" i="9"/>
  <c r="M2149" i="9"/>
  <c r="M2150" i="9"/>
  <c r="M2151" i="9"/>
  <c r="M2152" i="9"/>
  <c r="M2153" i="9"/>
  <c r="M2154" i="9"/>
  <c r="M2155" i="9"/>
  <c r="M2156" i="9"/>
  <c r="M2157" i="9"/>
  <c r="M2158" i="9"/>
  <c r="M2159" i="9"/>
  <c r="M2160" i="9"/>
  <c r="M2161" i="9"/>
  <c r="M2162" i="9"/>
  <c r="M2163" i="9"/>
  <c r="M2164" i="9"/>
  <c r="M2165" i="9"/>
  <c r="M2166" i="9"/>
  <c r="M2167" i="9"/>
  <c r="M2168" i="9"/>
  <c r="M2169" i="9"/>
  <c r="M2170" i="9"/>
  <c r="M2171" i="9"/>
  <c r="M2172" i="9"/>
  <c r="M2173" i="9"/>
  <c r="M2174" i="9"/>
  <c r="M2175" i="9"/>
  <c r="M2176" i="9"/>
  <c r="M2177" i="9"/>
  <c r="M2178" i="9"/>
  <c r="M2179" i="9"/>
  <c r="M2180" i="9"/>
  <c r="M2181" i="9"/>
  <c r="M2182" i="9"/>
  <c r="M2183" i="9"/>
  <c r="M2184" i="9"/>
  <c r="M2185" i="9"/>
  <c r="M2186" i="9"/>
  <c r="M2187" i="9"/>
  <c r="M2188" i="9"/>
  <c r="M2189" i="9"/>
  <c r="M2190" i="9"/>
  <c r="M2191" i="9"/>
  <c r="M2192" i="9"/>
  <c r="M2193" i="9"/>
  <c r="M2194" i="9"/>
  <c r="M2195" i="9"/>
  <c r="M2196" i="9"/>
  <c r="M2197" i="9"/>
  <c r="M2198" i="9"/>
  <c r="M2199" i="9"/>
  <c r="M2200" i="9"/>
  <c r="M2201" i="9"/>
  <c r="M2202" i="9"/>
  <c r="M2203" i="9"/>
  <c r="M2204" i="9"/>
  <c r="M2205" i="9"/>
  <c r="M2206" i="9"/>
  <c r="M2207" i="9"/>
  <c r="M2208" i="9"/>
  <c r="M2209" i="9"/>
  <c r="M2210" i="9"/>
  <c r="M2211" i="9"/>
  <c r="M2212" i="9"/>
  <c r="M2213" i="9"/>
  <c r="M2214" i="9"/>
  <c r="M2215" i="9"/>
  <c r="M2216" i="9"/>
  <c r="M2217" i="9"/>
  <c r="M2218" i="9"/>
  <c r="M2219" i="9"/>
  <c r="M2220" i="9"/>
  <c r="M2221" i="9"/>
  <c r="M2222" i="9"/>
  <c r="M2223" i="9"/>
  <c r="M2224" i="9"/>
  <c r="M2225" i="9"/>
  <c r="M2226" i="9"/>
  <c r="M2227" i="9"/>
  <c r="M2228" i="9"/>
  <c r="M2229" i="9"/>
  <c r="M2230" i="9"/>
  <c r="M2231" i="9"/>
  <c r="M2232" i="9"/>
  <c r="M2233" i="9"/>
  <c r="M2234" i="9"/>
  <c r="M2235" i="9"/>
  <c r="M2236" i="9"/>
  <c r="M2237" i="9"/>
  <c r="M2238" i="9"/>
  <c r="M2239" i="9"/>
  <c r="M2240" i="9"/>
  <c r="M2241" i="9"/>
  <c r="M2242" i="9"/>
  <c r="M2243" i="9"/>
  <c r="M2244" i="9"/>
  <c r="M2245" i="9"/>
  <c r="M2246" i="9"/>
  <c r="M2247" i="9"/>
  <c r="M2248" i="9"/>
  <c r="M2249" i="9"/>
  <c r="M2250" i="9"/>
  <c r="M2251" i="9"/>
  <c r="M2252" i="9"/>
  <c r="M2253" i="9"/>
  <c r="M2254" i="9"/>
  <c r="M2255" i="9"/>
  <c r="M2256" i="9"/>
  <c r="M2257" i="9"/>
  <c r="M2258" i="9"/>
  <c r="M2259" i="9"/>
  <c r="M2260" i="9"/>
  <c r="M2261" i="9"/>
  <c r="M2262" i="9"/>
  <c r="M2263" i="9"/>
  <c r="M2264" i="9"/>
  <c r="M2265" i="9"/>
  <c r="M2266" i="9"/>
  <c r="M2267" i="9"/>
  <c r="M2268" i="9"/>
  <c r="M2269" i="9"/>
  <c r="M2270" i="9"/>
  <c r="M2271" i="9"/>
  <c r="M2272" i="9"/>
  <c r="M2273" i="9"/>
  <c r="M2274" i="9"/>
  <c r="M2275" i="9"/>
  <c r="M2276" i="9"/>
  <c r="M2277" i="9"/>
  <c r="M2278" i="9"/>
  <c r="M2279" i="9"/>
  <c r="M2280" i="9"/>
  <c r="M2281" i="9"/>
  <c r="M2282" i="9"/>
  <c r="M2283" i="9"/>
  <c r="M2284" i="9"/>
  <c r="M2285" i="9"/>
  <c r="M2286" i="9"/>
  <c r="M2287" i="9"/>
  <c r="M2288" i="9"/>
  <c r="M2289" i="9"/>
  <c r="M2290" i="9"/>
  <c r="M2291" i="9"/>
  <c r="M2292" i="9"/>
  <c r="M2293" i="9"/>
  <c r="M2294" i="9"/>
  <c r="M2295" i="9"/>
  <c r="M2296" i="9"/>
  <c r="M2297" i="9"/>
  <c r="M2298" i="9"/>
  <c r="M2299" i="9"/>
  <c r="M2300" i="9"/>
  <c r="M2301" i="9"/>
  <c r="M2302" i="9"/>
  <c r="M2303" i="9"/>
  <c r="M2304" i="9"/>
  <c r="M2305" i="9"/>
  <c r="M2306" i="9"/>
  <c r="M2307" i="9"/>
  <c r="M2308" i="9"/>
  <c r="M2309" i="9"/>
  <c r="M2310" i="9"/>
  <c r="M2311" i="9"/>
  <c r="M2312" i="9"/>
  <c r="M2313" i="9"/>
  <c r="M2314" i="9"/>
  <c r="M2315" i="9"/>
  <c r="M2316" i="9"/>
  <c r="M2317" i="9"/>
  <c r="M2318" i="9"/>
  <c r="M2319" i="9"/>
  <c r="M2320" i="9"/>
  <c r="M2321" i="9"/>
  <c r="M2322" i="9"/>
  <c r="M2323" i="9"/>
  <c r="M2324" i="9"/>
  <c r="M2325" i="9"/>
  <c r="M2326" i="9"/>
  <c r="M2327" i="9"/>
  <c r="M2328" i="9"/>
  <c r="M2329" i="9"/>
  <c r="M2330" i="9"/>
  <c r="M2331" i="9"/>
  <c r="M2332" i="9"/>
  <c r="M2333" i="9"/>
  <c r="M2334" i="9"/>
  <c r="M2335" i="9"/>
  <c r="M2336" i="9"/>
  <c r="M2" i="9"/>
  <c r="I122" i="9"/>
  <c r="I123" i="9"/>
  <c r="I124" i="9"/>
  <c r="H1545" i="9"/>
  <c r="H1606" i="9"/>
  <c r="H1734" i="9"/>
  <c r="G573" i="9"/>
  <c r="G606" i="9"/>
  <c r="G607" i="9"/>
  <c r="G1310" i="9"/>
  <c r="G1311" i="9"/>
  <c r="G1312" i="9"/>
  <c r="G1950" i="9"/>
  <c r="G2013" i="9"/>
  <c r="G2014" i="9"/>
  <c r="F190" i="9"/>
  <c r="F222" i="9"/>
  <c r="F257" i="9"/>
  <c r="F705" i="9"/>
  <c r="F734" i="9"/>
  <c r="F769" i="9"/>
  <c r="F1217" i="9"/>
  <c r="F1246" i="9"/>
  <c r="F1281" i="9"/>
  <c r="F1711" i="9"/>
  <c r="F1733" i="9"/>
  <c r="F1758" i="9"/>
  <c r="F2025" i="9"/>
  <c r="F2038" i="9"/>
  <c r="F2087" i="9"/>
  <c r="F2281" i="9"/>
  <c r="E7" i="9"/>
  <c r="E8" i="9"/>
  <c r="E234" i="9"/>
  <c r="E247" i="9"/>
  <c r="E263" i="9"/>
  <c r="E394" i="9"/>
  <c r="E407" i="9"/>
  <c r="E423" i="9"/>
  <c r="E554" i="9"/>
  <c r="E567" i="9"/>
  <c r="E583" i="9"/>
  <c r="E714" i="9"/>
  <c r="E727" i="9"/>
  <c r="E746" i="9"/>
  <c r="E874" i="9"/>
  <c r="E905" i="9"/>
  <c r="E906" i="9"/>
  <c r="E1064" i="9"/>
  <c r="E1065" i="9"/>
  <c r="E1066" i="9"/>
  <c r="E1224" i="9"/>
  <c r="E1225" i="9"/>
  <c r="E1226" i="9"/>
  <c r="E1384" i="9"/>
  <c r="E1385" i="9"/>
  <c r="E1386" i="9"/>
  <c r="E1544" i="9"/>
  <c r="E1545" i="9"/>
  <c r="E1576" i="9"/>
  <c r="E1704" i="9"/>
  <c r="E1735" i="9"/>
  <c r="E1736" i="9"/>
  <c r="E1873" i="9"/>
  <c r="E1887" i="9"/>
  <c r="E1888" i="9"/>
  <c r="E2001" i="9"/>
  <c r="E2015" i="9"/>
  <c r="E2016" i="9"/>
  <c r="E2112" i="9"/>
  <c r="E2122" i="9"/>
  <c r="E2123" i="9"/>
  <c r="E2218" i="9"/>
  <c r="E2229" i="9"/>
  <c r="E2240" i="9"/>
  <c r="E2309" i="9"/>
  <c r="E2320" i="9"/>
  <c r="E2325" i="9"/>
  <c r="D64" i="9"/>
  <c r="D65" i="9"/>
  <c r="D70" i="9"/>
  <c r="D128" i="9"/>
  <c r="D142" i="9"/>
  <c r="D143" i="9"/>
  <c r="D198" i="9"/>
  <c r="D206" i="9"/>
  <c r="D207" i="9"/>
  <c r="D271" i="9"/>
  <c r="D272" i="9"/>
  <c r="D273" i="9"/>
  <c r="D334" i="9"/>
  <c r="D335" i="9"/>
  <c r="D342" i="9"/>
  <c r="D382" i="9"/>
  <c r="D399" i="9"/>
  <c r="D400" i="9"/>
  <c r="D433" i="9"/>
  <c r="D447" i="9"/>
  <c r="D448" i="9"/>
  <c r="D497" i="9"/>
  <c r="D502" i="9"/>
  <c r="D510" i="9"/>
  <c r="D545" i="9"/>
  <c r="D550" i="9"/>
  <c r="D561" i="9"/>
  <c r="D607" i="9"/>
  <c r="D608" i="9"/>
  <c r="D609" i="9"/>
  <c r="D655" i="9"/>
  <c r="D670" i="9"/>
  <c r="D673" i="9"/>
  <c r="D710" i="9"/>
  <c r="D718" i="9"/>
  <c r="D719" i="9"/>
  <c r="D768" i="9"/>
  <c r="D782" i="9"/>
  <c r="D783" i="9"/>
  <c r="D816" i="9"/>
  <c r="D817" i="9"/>
  <c r="D838" i="9"/>
  <c r="D880" i="9"/>
  <c r="D881" i="9"/>
  <c r="D886" i="9"/>
  <c r="D926" i="9"/>
  <c r="D943" i="9"/>
  <c r="D944" i="9"/>
  <c r="D990" i="9"/>
  <c r="D991" i="9"/>
  <c r="D992" i="9"/>
  <c r="D1041" i="9"/>
  <c r="D1046" i="9"/>
  <c r="D1054" i="9"/>
  <c r="D1089" i="9"/>
  <c r="D1094" i="9"/>
  <c r="D1118" i="9"/>
  <c r="D1151" i="9"/>
  <c r="D1152" i="9"/>
  <c r="D1166" i="9"/>
  <c r="D1199" i="9"/>
  <c r="D1216" i="9"/>
  <c r="D1217" i="9"/>
  <c r="D1254" i="9"/>
  <c r="D1264" i="9"/>
  <c r="D1265" i="9"/>
  <c r="D1318" i="9"/>
  <c r="D1326" i="9"/>
  <c r="D1327" i="9"/>
  <c r="D1366" i="9"/>
  <c r="D1374" i="9"/>
  <c r="D1382" i="9"/>
  <c r="D1424" i="9"/>
  <c r="D1425" i="9"/>
  <c r="D1430" i="9"/>
  <c r="D1472" i="9"/>
  <c r="D1487" i="9"/>
  <c r="D1494" i="9"/>
  <c r="D1521" i="9"/>
  <c r="D1526" i="9"/>
  <c r="D1534" i="9"/>
  <c r="D1568" i="9"/>
  <c r="D1569" i="9"/>
  <c r="D1574" i="9"/>
  <c r="D1601" i="9"/>
  <c r="D1606" i="9"/>
  <c r="D1617" i="9"/>
  <c r="D1648" i="9"/>
  <c r="D1649" i="9"/>
  <c r="D1654" i="9"/>
  <c r="D1681" i="9"/>
  <c r="D1696" i="9"/>
  <c r="D1697" i="9"/>
  <c r="D1728" i="9"/>
  <c r="D1729" i="9"/>
  <c r="D1734" i="9"/>
  <c r="D1775" i="9"/>
  <c r="D1776" i="9"/>
  <c r="D1777" i="9"/>
  <c r="D1808" i="9"/>
  <c r="D1809" i="9"/>
  <c r="D1824" i="9"/>
  <c r="D1855" i="9"/>
  <c r="D1856" i="9"/>
  <c r="D1857" i="9"/>
  <c r="D1886" i="9"/>
  <c r="D1896" i="9"/>
  <c r="D1897" i="9"/>
  <c r="D1921" i="9"/>
  <c r="D1922" i="9"/>
  <c r="D1926" i="9"/>
  <c r="D1959" i="9"/>
  <c r="D1960" i="9"/>
  <c r="D1961" i="9"/>
  <c r="D1985" i="9"/>
  <c r="D1986" i="9"/>
  <c r="D1999" i="9"/>
  <c r="D2023" i="9"/>
  <c r="D2024" i="9"/>
  <c r="D2025" i="9"/>
  <c r="D2046" i="9"/>
  <c r="D2055" i="9"/>
  <c r="D2056" i="9"/>
  <c r="D2077" i="9"/>
  <c r="D2078" i="9"/>
  <c r="D2079" i="9"/>
  <c r="D2103" i="9"/>
  <c r="D2109" i="9"/>
  <c r="D2110" i="9"/>
  <c r="D2129" i="9"/>
  <c r="D2130" i="9"/>
  <c r="D2141" i="9"/>
  <c r="D2157" i="9"/>
  <c r="D2161" i="9"/>
  <c r="D2162" i="9"/>
  <c r="D2183" i="9"/>
  <c r="D2189" i="9"/>
  <c r="D2193" i="9"/>
  <c r="D2209" i="9"/>
  <c r="D2215" i="9"/>
  <c r="D2216" i="9"/>
  <c r="D2240" i="9"/>
  <c r="D2241" i="9"/>
  <c r="D2247" i="9"/>
  <c r="D2263" i="9"/>
  <c r="D2269" i="9"/>
  <c r="D2273" i="9"/>
  <c r="D2294" i="9"/>
  <c r="D2295" i="9"/>
  <c r="D2301" i="9"/>
  <c r="D2317" i="9"/>
  <c r="D2325" i="9"/>
  <c r="D2326" i="9"/>
  <c r="C2331" i="9"/>
  <c r="C2330" i="9"/>
  <c r="C2325" i="9"/>
  <c r="C2305" i="9"/>
  <c r="C2304" i="9"/>
  <c r="C2303" i="9"/>
  <c r="C2285" i="9"/>
  <c r="C2284" i="9"/>
  <c r="C2276" i="9"/>
  <c r="C2259" i="9"/>
  <c r="C2258" i="9"/>
  <c r="C2257" i="9"/>
  <c r="C2240" i="9"/>
  <c r="C2232" i="9"/>
  <c r="C2231" i="9"/>
  <c r="C2213" i="9"/>
  <c r="C2212" i="9"/>
  <c r="C2211" i="9"/>
  <c r="C2187" i="9"/>
  <c r="C2186" i="9"/>
  <c r="C2185" i="9"/>
  <c r="C2168" i="9"/>
  <c r="C2167" i="9"/>
  <c r="C2159" i="9"/>
  <c r="C2141" i="9"/>
  <c r="C2140" i="9"/>
  <c r="C2139" i="9"/>
  <c r="C2122" i="9"/>
  <c r="C2114" i="9"/>
  <c r="C2113" i="9"/>
  <c r="C2096" i="9"/>
  <c r="C2095" i="9"/>
  <c r="C2094" i="9"/>
  <c r="C2073" i="9"/>
  <c r="C2072" i="9"/>
  <c r="C2071" i="9"/>
  <c r="C2056" i="9"/>
  <c r="C2055" i="9"/>
  <c r="C2048" i="9"/>
  <c r="C2033" i="9"/>
  <c r="C2032" i="9"/>
  <c r="C2031" i="9"/>
  <c r="C2016" i="9"/>
  <c r="C2009" i="9"/>
  <c r="C2008" i="9"/>
  <c r="C1993" i="9"/>
  <c r="C1992" i="9"/>
  <c r="C1991" i="9"/>
  <c r="C1973" i="9"/>
  <c r="C1969" i="9"/>
  <c r="C1968" i="9"/>
  <c r="C1953" i="9"/>
  <c r="C1952" i="9"/>
  <c r="C1945" i="9"/>
  <c r="C1933" i="9"/>
  <c r="C1929" i="9"/>
  <c r="C1928" i="9"/>
  <c r="C1913" i="9"/>
  <c r="C1909" i="9"/>
  <c r="C1905" i="9"/>
  <c r="C1893" i="9"/>
  <c r="C1889" i="9"/>
  <c r="C1888" i="9"/>
  <c r="C1870" i="9"/>
  <c r="C1869" i="9"/>
  <c r="C1865" i="9"/>
  <c r="C1853" i="9"/>
  <c r="C1849" i="9"/>
  <c r="C1845" i="9"/>
  <c r="C1830" i="9"/>
  <c r="C1829" i="9"/>
  <c r="C1825" i="9"/>
  <c r="C1813" i="9"/>
  <c r="C1806" i="9"/>
  <c r="C1805" i="9"/>
  <c r="C1790" i="9"/>
  <c r="C1789" i="9"/>
  <c r="C1785" i="9"/>
  <c r="C1767" i="9"/>
  <c r="C1766" i="9"/>
  <c r="C1765" i="9"/>
  <c r="C1750" i="9"/>
  <c r="C1749" i="9"/>
  <c r="C1742" i="9"/>
  <c r="C1727" i="9"/>
  <c r="C1726" i="9"/>
  <c r="C1725" i="9"/>
  <c r="C1710" i="9"/>
  <c r="C1703" i="9"/>
  <c r="C1702" i="9"/>
  <c r="C1687" i="9"/>
  <c r="C1686" i="9"/>
  <c r="C1685" i="9"/>
  <c r="C1664" i="9"/>
  <c r="C1663" i="9"/>
  <c r="C1662" i="9"/>
  <c r="C1647" i="9"/>
  <c r="C1646" i="9"/>
  <c r="C1639" i="9"/>
  <c r="C1624" i="9"/>
  <c r="C1623" i="9"/>
  <c r="C1622" i="9"/>
  <c r="C1607" i="9"/>
  <c r="C1600" i="9"/>
  <c r="C1599" i="9"/>
  <c r="C1584" i="9"/>
  <c r="C1583" i="9"/>
  <c r="C1582" i="9"/>
  <c r="C1561" i="9"/>
  <c r="C1560" i="9"/>
  <c r="C1559" i="9"/>
  <c r="C1544" i="9"/>
  <c r="C1543" i="9"/>
  <c r="C1536" i="9"/>
  <c r="C1521" i="9"/>
  <c r="C1520" i="9"/>
  <c r="C1519" i="9"/>
  <c r="C1504" i="9"/>
  <c r="C1497" i="9"/>
  <c r="C1496" i="9"/>
  <c r="C1481" i="9"/>
  <c r="C1480" i="9"/>
  <c r="C1479" i="9"/>
  <c r="C1461" i="9"/>
  <c r="C1457" i="9"/>
  <c r="C1456" i="9"/>
  <c r="C1441" i="9"/>
  <c r="C1440" i="9"/>
  <c r="C1433" i="9"/>
  <c r="C1421" i="9"/>
  <c r="C1417" i="9"/>
  <c r="C1416" i="9"/>
  <c r="C1401" i="9"/>
  <c r="C1397" i="9"/>
  <c r="C1393" i="9"/>
  <c r="C1381" i="9"/>
  <c r="C1377" i="9"/>
  <c r="C1376" i="9"/>
  <c r="C1358" i="9"/>
  <c r="C1357" i="9"/>
  <c r="C1353" i="9"/>
  <c r="C1341" i="9"/>
  <c r="C1337" i="9"/>
  <c r="C1333" i="9"/>
  <c r="C1318" i="9"/>
  <c r="C1317" i="9"/>
  <c r="C1313" i="9"/>
  <c r="C1301" i="9"/>
  <c r="C1294" i="9"/>
  <c r="C1293" i="9"/>
  <c r="C1278" i="9"/>
  <c r="C1277" i="9"/>
  <c r="C1273" i="9"/>
  <c r="C1255" i="9"/>
  <c r="C1254" i="9"/>
  <c r="C1253" i="9"/>
  <c r="C1238" i="9"/>
  <c r="C1237" i="9"/>
  <c r="C1230" i="9"/>
  <c r="C1215" i="9"/>
  <c r="C1214" i="9"/>
  <c r="C1213" i="9"/>
  <c r="C1198" i="9"/>
  <c r="C1191" i="9"/>
  <c r="C1190" i="9"/>
  <c r="C1175" i="9"/>
  <c r="C1174" i="9"/>
  <c r="C1173" i="9"/>
  <c r="C1152" i="9"/>
  <c r="C1151" i="9"/>
  <c r="C1150" i="9"/>
  <c r="C1135" i="9"/>
  <c r="C1134" i="9"/>
  <c r="C1127" i="9"/>
  <c r="C1112" i="9"/>
  <c r="C1111" i="9"/>
  <c r="C1110" i="9"/>
  <c r="C1095" i="9"/>
  <c r="C1088" i="9"/>
  <c r="C1087" i="9"/>
  <c r="C1072" i="9"/>
  <c r="C1071" i="9"/>
  <c r="C1070" i="9"/>
  <c r="C1049" i="9"/>
  <c r="C1048" i="9"/>
  <c r="C1047" i="9"/>
  <c r="C1032" i="9"/>
  <c r="C1031" i="9"/>
  <c r="C1024" i="9"/>
  <c r="C1009" i="9"/>
  <c r="C1008" i="9"/>
  <c r="C1007" i="9"/>
  <c r="C992" i="9"/>
  <c r="C985" i="9"/>
  <c r="C984" i="9"/>
  <c r="C969" i="9"/>
  <c r="C968" i="9"/>
  <c r="C967" i="9"/>
  <c r="C949" i="9"/>
  <c r="C945" i="9"/>
  <c r="C944" i="9"/>
  <c r="C929" i="9"/>
  <c r="C928" i="9"/>
  <c r="C921" i="9"/>
  <c r="C909" i="9"/>
  <c r="C905" i="9"/>
  <c r="C904" i="9"/>
  <c r="C893" i="9"/>
  <c r="C889" i="9"/>
  <c r="C885" i="9"/>
  <c r="C881" i="9"/>
  <c r="C870" i="9"/>
  <c r="C869" i="9"/>
  <c r="C865" i="9"/>
  <c r="C864" i="9"/>
  <c r="C853" i="9"/>
  <c r="C846" i="9"/>
  <c r="C845" i="9"/>
  <c r="C841" i="9"/>
  <c r="C830" i="9"/>
  <c r="C829" i="9"/>
  <c r="C825" i="9"/>
  <c r="C821" i="9"/>
  <c r="C807" i="9"/>
  <c r="C806" i="9"/>
  <c r="C805" i="9"/>
  <c r="C801" i="9"/>
  <c r="C790" i="9"/>
  <c r="C789" i="9"/>
  <c r="C782" i="9"/>
  <c r="C781" i="9"/>
  <c r="C767" i="9"/>
  <c r="C766" i="9"/>
  <c r="C765" i="9"/>
  <c r="C761" i="9"/>
  <c r="C750" i="9"/>
  <c r="C743" i="9"/>
  <c r="C742" i="9"/>
  <c r="C741" i="9"/>
  <c r="C727" i="9"/>
  <c r="C726" i="9"/>
  <c r="C725" i="9"/>
  <c r="C718" i="9"/>
  <c r="C704" i="9"/>
  <c r="C703" i="9"/>
  <c r="C702" i="9"/>
  <c r="C701" i="9"/>
  <c r="C687" i="9"/>
  <c r="C686" i="9"/>
  <c r="C679" i="9"/>
  <c r="C678" i="9"/>
  <c r="C664" i="9"/>
  <c r="C663" i="9"/>
  <c r="C662" i="9"/>
  <c r="C661" i="9"/>
  <c r="C647" i="9"/>
  <c r="C640" i="9"/>
  <c r="C639" i="9"/>
  <c r="C638" i="9"/>
  <c r="C624" i="9"/>
  <c r="C623" i="9"/>
  <c r="C622" i="9"/>
  <c r="C615" i="9"/>
  <c r="C601" i="9"/>
  <c r="C600" i="9"/>
  <c r="C599" i="9"/>
  <c r="C598" i="9"/>
  <c r="C584" i="9"/>
  <c r="C583" i="9"/>
  <c r="C576" i="9"/>
  <c r="C575" i="9"/>
  <c r="C561" i="9"/>
  <c r="C560" i="9"/>
  <c r="C559" i="9"/>
  <c r="C558" i="9"/>
  <c r="C544" i="9"/>
  <c r="C537" i="9"/>
  <c r="C536" i="9"/>
  <c r="C535" i="9"/>
  <c r="C521" i="9"/>
  <c r="C520" i="9"/>
  <c r="C519" i="9"/>
  <c r="C512" i="9"/>
  <c r="C501" i="9"/>
  <c r="C497" i="9"/>
  <c r="C496" i="9"/>
  <c r="C495" i="9"/>
  <c r="C481" i="9"/>
  <c r="C480" i="9"/>
  <c r="C473" i="9"/>
  <c r="C472" i="9"/>
  <c r="C461" i="9"/>
  <c r="C457" i="9"/>
  <c r="C456" i="9"/>
  <c r="C455" i="9"/>
  <c r="C441" i="9"/>
  <c r="C437" i="9"/>
  <c r="C433" i="9"/>
  <c r="C432" i="9"/>
  <c r="C421" i="9"/>
  <c r="C417" i="9"/>
  <c r="C416" i="9"/>
  <c r="C409" i="9"/>
  <c r="C398" i="9"/>
  <c r="C397" i="9"/>
  <c r="C393" i="9"/>
  <c r="C392" i="9"/>
  <c r="C381" i="9"/>
  <c r="C377" i="9"/>
  <c r="C373" i="9"/>
  <c r="C369" i="9"/>
  <c r="C358" i="9"/>
  <c r="C357" i="9"/>
  <c r="C353" i="9"/>
  <c r="C352" i="9"/>
  <c r="C341" i="9"/>
  <c r="C334" i="9"/>
  <c r="C333" i="9"/>
  <c r="C329" i="9"/>
  <c r="C318" i="9"/>
  <c r="C317" i="9"/>
  <c r="C313" i="9"/>
  <c r="C309" i="9"/>
  <c r="C295" i="9"/>
  <c r="C294" i="9"/>
  <c r="C293" i="9"/>
  <c r="C289" i="9"/>
  <c r="C278" i="9"/>
  <c r="C277" i="9"/>
  <c r="C270" i="9"/>
  <c r="C269" i="9"/>
  <c r="C255" i="9"/>
  <c r="C254" i="9"/>
  <c r="C253" i="9"/>
  <c r="C249" i="9"/>
  <c r="C238" i="9"/>
  <c r="C237" i="9"/>
  <c r="C231" i="9"/>
  <c r="C230" i="9"/>
  <c r="C217" i="9"/>
  <c r="C216" i="9"/>
  <c r="C215" i="9"/>
  <c r="C214" i="9"/>
  <c r="C201" i="9"/>
  <c r="C200" i="9"/>
  <c r="C199" i="9"/>
  <c r="C198" i="9"/>
  <c r="C185" i="9"/>
  <c r="C184" i="9"/>
  <c r="C181" i="9"/>
  <c r="C177" i="9"/>
  <c r="C167" i="9"/>
  <c r="C166" i="9"/>
  <c r="C165" i="9"/>
  <c r="C161" i="9"/>
  <c r="C151" i="9"/>
  <c r="C150" i="9"/>
  <c r="C149" i="9"/>
  <c r="C145" i="9"/>
  <c r="C135" i="9"/>
  <c r="C134" i="9"/>
  <c r="C128" i="9"/>
  <c r="C127" i="9"/>
  <c r="C117" i="9"/>
  <c r="C113" i="9"/>
  <c r="C112" i="9"/>
  <c r="C111" i="9"/>
  <c r="C101" i="9"/>
  <c r="C97" i="9"/>
  <c r="C96" i="9"/>
  <c r="C95" i="9"/>
  <c r="C87" i="9"/>
  <c r="C86" i="9"/>
  <c r="C85" i="9"/>
  <c r="C81" i="9"/>
  <c r="C73" i="9"/>
  <c r="C72" i="9"/>
  <c r="C71" i="9"/>
  <c r="C70" i="9"/>
  <c r="C62" i="9"/>
  <c r="C61" i="9"/>
  <c r="C57" i="9"/>
  <c r="C56" i="9"/>
  <c r="C48" i="9"/>
  <c r="C47" i="9"/>
  <c r="C46" i="9"/>
  <c r="C45" i="9"/>
  <c r="C37" i="9"/>
  <c r="C33" i="9"/>
  <c r="C32" i="9"/>
  <c r="C31" i="9"/>
  <c r="C23" i="9"/>
  <c r="C22" i="9"/>
  <c r="C21" i="9"/>
  <c r="C17" i="9"/>
  <c r="C9" i="9"/>
  <c r="C8" i="9"/>
  <c r="C7" i="9"/>
  <c r="C6" i="9"/>
  <c r="B105" i="9"/>
  <c r="B116" i="9"/>
  <c r="B169" i="9"/>
  <c r="B221" i="9"/>
  <c r="B337" i="9"/>
  <c r="B381" i="9"/>
  <c r="B385" i="9"/>
  <c r="B391" i="9"/>
  <c r="B545" i="9"/>
  <c r="B608" i="9"/>
  <c r="B652" i="9"/>
  <c r="B661" i="9"/>
  <c r="B784" i="9"/>
  <c r="B785" i="9"/>
  <c r="B786" i="9"/>
  <c r="B860" i="9"/>
  <c r="B915" i="9"/>
  <c r="B938" i="9"/>
  <c r="B939" i="9"/>
  <c r="B940" i="9"/>
  <c r="B1017" i="9"/>
  <c r="B1018" i="9"/>
  <c r="B1066" i="9"/>
  <c r="B1067" i="9"/>
  <c r="B1144" i="9"/>
  <c r="B1145" i="9"/>
  <c r="B1146" i="9"/>
  <c r="B1169" i="9"/>
  <c r="B1224" i="9"/>
  <c r="B1272" i="9"/>
  <c r="B1273" i="9"/>
  <c r="B1274" i="9"/>
  <c r="B1348" i="9"/>
  <c r="B1352" i="9"/>
  <c r="B1372" i="9"/>
  <c r="B1401" i="9"/>
  <c r="B1465" i="9"/>
  <c r="B1466" i="9"/>
  <c r="B1473" i="9"/>
  <c r="B1488" i="9"/>
  <c r="B1530" i="9"/>
  <c r="B1548" i="9"/>
  <c r="B1569" i="9"/>
  <c r="B1576" i="9"/>
  <c r="B1632" i="9"/>
  <c r="B1633" i="9"/>
  <c r="B1651" i="9"/>
  <c r="B1652" i="9"/>
  <c r="B1708" i="9"/>
  <c r="B1731" i="9"/>
  <c r="B1732" i="9"/>
  <c r="B1748" i="9"/>
  <c r="B1785" i="9"/>
  <c r="B1794" i="9"/>
  <c r="B1798" i="9"/>
  <c r="B1810" i="9"/>
  <c r="B1848" i="9"/>
  <c r="B1849" i="9"/>
  <c r="B1858" i="9"/>
  <c r="B1862" i="9"/>
  <c r="B1897" i="9"/>
  <c r="B1898" i="9"/>
  <c r="B1913" i="9"/>
  <c r="B1922" i="9"/>
  <c r="B1952" i="9"/>
  <c r="B1961" i="9"/>
  <c r="B1962" i="9"/>
  <c r="B1966" i="9"/>
  <c r="B2001" i="9"/>
  <c r="B2016" i="9"/>
  <c r="B2025" i="9"/>
  <c r="B2026" i="9"/>
  <c r="B2064" i="9"/>
  <c r="B2065" i="9"/>
  <c r="B2066" i="9"/>
  <c r="B2089" i="9"/>
  <c r="B2119" i="9"/>
  <c r="B2128" i="9"/>
  <c r="B2129" i="9"/>
  <c r="B2130" i="9"/>
  <c r="B2166" i="9"/>
  <c r="B2167" i="9"/>
  <c r="B2178" i="9"/>
  <c r="B2182" i="9"/>
  <c r="B2207" i="9"/>
  <c r="B2208" i="9"/>
  <c r="B2216" i="9"/>
  <c r="B2217" i="9"/>
  <c r="B2242" i="9"/>
  <c r="B2256" i="9"/>
  <c r="B2257" i="9"/>
  <c r="B2258" i="9"/>
  <c r="B2286" i="9"/>
  <c r="B2293" i="9"/>
  <c r="B2294" i="9"/>
  <c r="B2304" i="9"/>
  <c r="B2324" i="9"/>
  <c r="B2325" i="9"/>
  <c r="B2326" i="9"/>
  <c r="B2332" i="9"/>
  <c r="A2" i="9" a="1"/>
  <c r="C973" i="9" l="1"/>
  <c r="C1033" i="9"/>
  <c r="C1096" i="9"/>
  <c r="C1159" i="9"/>
  <c r="C1239" i="9"/>
  <c r="C1262" i="9"/>
  <c r="C1319" i="9"/>
  <c r="C1382" i="9"/>
  <c r="C1445" i="9"/>
  <c r="C1505" i="9"/>
  <c r="C1568" i="9"/>
  <c r="C1608" i="9"/>
  <c r="C1671" i="9"/>
  <c r="C1728" i="9"/>
  <c r="C1791" i="9"/>
  <c r="C1854" i="9"/>
  <c r="C1917" i="9"/>
  <c r="C1957" i="9"/>
  <c r="C2017" i="9"/>
  <c r="C2057" i="9"/>
  <c r="C2097" i="9"/>
  <c r="C2143" i="9"/>
  <c r="C2195" i="9"/>
  <c r="C2241" i="9"/>
  <c r="C2287" i="9"/>
  <c r="D2293" i="9"/>
  <c r="D2177" i="9"/>
  <c r="D2071" i="9"/>
  <c r="D1946" i="9"/>
  <c r="D1854" i="9"/>
  <c r="D1727" i="9"/>
  <c r="D1600" i="9"/>
  <c r="D1471" i="9"/>
  <c r="D1297" i="9"/>
  <c r="D1150" i="9"/>
  <c r="D982" i="9"/>
  <c r="D815" i="9"/>
  <c r="D654" i="9"/>
  <c r="D432" i="9"/>
  <c r="D193" i="9"/>
  <c r="E2211" i="9"/>
  <c r="E1859" i="9"/>
  <c r="E1383" i="9"/>
  <c r="E873" i="9"/>
  <c r="E553" i="9"/>
  <c r="F2280" i="9"/>
  <c r="F1710" i="9"/>
  <c r="F127" i="9"/>
  <c r="G509" i="9"/>
  <c r="B2158" i="9"/>
  <c r="B1833" i="9"/>
  <c r="B1347" i="9"/>
  <c r="B746" i="9"/>
  <c r="B63" i="9"/>
  <c r="C38" i="9"/>
  <c r="C88" i="9"/>
  <c r="C136" i="9"/>
  <c r="C189" i="9"/>
  <c r="C239" i="9"/>
  <c r="C319" i="9"/>
  <c r="C382" i="9"/>
  <c r="C462" i="9"/>
  <c r="C525" i="9"/>
  <c r="C608" i="9"/>
  <c r="C665" i="9"/>
  <c r="C711" i="9"/>
  <c r="C768" i="9"/>
  <c r="C854" i="9"/>
  <c r="C934" i="9"/>
  <c r="C997" i="9"/>
  <c r="C1077" i="9"/>
  <c r="C1137" i="9"/>
  <c r="C1223" i="9"/>
  <c r="C1280" i="9"/>
  <c r="C1366" i="9"/>
  <c r="C1429" i="9"/>
  <c r="C1486" i="9"/>
  <c r="C1569" i="9"/>
  <c r="C1649" i="9"/>
  <c r="C1712" i="9"/>
  <c r="C1775" i="9"/>
  <c r="C1838" i="9"/>
  <c r="C1918" i="9"/>
  <c r="C1998" i="9"/>
  <c r="C2081" i="9"/>
  <c r="C2170" i="9"/>
  <c r="C2314" i="9"/>
  <c r="D2207" i="9"/>
  <c r="D2070" i="9"/>
  <c r="D1945" i="9"/>
  <c r="D1806" i="9"/>
  <c r="D1679" i="9"/>
  <c r="D1599" i="9"/>
  <c r="D1519" i="9"/>
  <c r="D1457" i="9"/>
  <c r="D1406" i="9"/>
  <c r="D1358" i="9"/>
  <c r="D1296" i="9"/>
  <c r="D1248" i="9"/>
  <c r="D1190" i="9"/>
  <c r="D1126" i="9"/>
  <c r="D1087" i="9"/>
  <c r="D1023" i="9"/>
  <c r="D975" i="9"/>
  <c r="D913" i="9"/>
  <c r="D862" i="9"/>
  <c r="D814" i="9"/>
  <c r="D752" i="9"/>
  <c r="D704" i="9"/>
  <c r="D534" i="9"/>
  <c r="D479" i="9"/>
  <c r="D431" i="9"/>
  <c r="D369" i="9"/>
  <c r="D305" i="9"/>
  <c r="D241" i="9"/>
  <c r="D175" i="9"/>
  <c r="D102" i="9"/>
  <c r="D30" i="9"/>
  <c r="E2285" i="9"/>
  <c r="E2186" i="9"/>
  <c r="E2080" i="9"/>
  <c r="E1962" i="9"/>
  <c r="E1801" i="9"/>
  <c r="E1641" i="9"/>
  <c r="E1481" i="9"/>
  <c r="E1321" i="9"/>
  <c r="E1161" i="9"/>
  <c r="E983" i="9"/>
  <c r="E823" i="9"/>
  <c r="E663" i="9"/>
  <c r="E503" i="9"/>
  <c r="E343" i="9"/>
  <c r="E106" i="9"/>
  <c r="F2185" i="9"/>
  <c r="F1928" i="9"/>
  <c r="F1537" i="9"/>
  <c r="F1025" i="9"/>
  <c r="F510" i="9"/>
  <c r="G2333" i="9"/>
  <c r="G1694" i="9"/>
  <c r="G992" i="9"/>
  <c r="G185" i="9"/>
  <c r="H597" i="9"/>
  <c r="C933" i="9"/>
  <c r="C1013" i="9"/>
  <c r="C1073" i="9"/>
  <c r="C1136" i="9"/>
  <c r="C1216" i="9"/>
  <c r="C1302" i="9"/>
  <c r="C1342" i="9"/>
  <c r="C1405" i="9"/>
  <c r="C1485" i="9"/>
  <c r="C1545" i="9"/>
  <c r="C1625" i="9"/>
  <c r="C1688" i="9"/>
  <c r="C1751" i="9"/>
  <c r="C1814" i="9"/>
  <c r="C1877" i="9"/>
  <c r="C1934" i="9"/>
  <c r="C1997" i="9"/>
  <c r="C2037" i="9"/>
  <c r="C2080" i="9"/>
  <c r="C2123" i="9"/>
  <c r="C2169" i="9"/>
  <c r="C2215" i="9"/>
  <c r="C2260" i="9"/>
  <c r="C2332" i="9"/>
  <c r="D2262" i="9"/>
  <c r="D2208" i="9"/>
  <c r="D2125" i="9"/>
  <c r="D2045" i="9"/>
  <c r="D1984" i="9"/>
  <c r="D1882" i="9"/>
  <c r="D1760" i="9"/>
  <c r="D1647" i="9"/>
  <c r="D1520" i="9"/>
  <c r="D1423" i="9"/>
  <c r="D1249" i="9"/>
  <c r="D1088" i="9"/>
  <c r="D870" i="9"/>
  <c r="D705" i="9"/>
  <c r="D542" i="9"/>
  <c r="D480" i="9"/>
  <c r="D326" i="9"/>
  <c r="D127" i="9"/>
  <c r="E2304" i="9"/>
  <c r="E2105" i="9"/>
  <c r="E1703" i="9"/>
  <c r="E1223" i="9"/>
  <c r="E713" i="9"/>
  <c r="E201" i="9"/>
  <c r="F1216" i="9"/>
  <c r="G1949" i="9"/>
  <c r="H1544" i="9"/>
  <c r="B2314" i="9"/>
  <c r="B2241" i="9"/>
  <c r="B2104" i="9"/>
  <c r="B2000" i="9"/>
  <c r="B1888" i="9"/>
  <c r="B1628" i="9"/>
  <c r="B1427" i="9"/>
  <c r="B1121" i="9"/>
  <c r="B889" i="9"/>
  <c r="B328" i="9"/>
  <c r="C24" i="9"/>
  <c r="C63" i="9"/>
  <c r="C120" i="9"/>
  <c r="C173" i="9"/>
  <c r="C223" i="9"/>
  <c r="C256" i="9"/>
  <c r="C302" i="9"/>
  <c r="C359" i="9"/>
  <c r="C422" i="9"/>
  <c r="C485" i="9"/>
  <c r="C545" i="9"/>
  <c r="C585" i="9"/>
  <c r="C625" i="9"/>
  <c r="C688" i="9"/>
  <c r="C751" i="9"/>
  <c r="C814" i="9"/>
  <c r="C871" i="9"/>
  <c r="C894" i="9"/>
  <c r="C957" i="9"/>
  <c r="C1017" i="9"/>
  <c r="C1057" i="9"/>
  <c r="C1097" i="9"/>
  <c r="C1160" i="9"/>
  <c r="C1200" i="9"/>
  <c r="C1240" i="9"/>
  <c r="C1303" i="9"/>
  <c r="C1343" i="9"/>
  <c r="C1406" i="9"/>
  <c r="C1446" i="9"/>
  <c r="C1529" i="9"/>
  <c r="C1589" i="9"/>
  <c r="C1632" i="9"/>
  <c r="C1689" i="9"/>
  <c r="C1752" i="9"/>
  <c r="C1855" i="9"/>
  <c r="C1941" i="9"/>
  <c r="C1981" i="9"/>
  <c r="C2041" i="9"/>
  <c r="C2101" i="9"/>
  <c r="C2151" i="9"/>
  <c r="C2216" i="9"/>
  <c r="C2242" i="9"/>
  <c r="C2288" i="9"/>
  <c r="D2313" i="9"/>
  <c r="D2261" i="9"/>
  <c r="D2176" i="9"/>
  <c r="D2122" i="9"/>
  <c r="D2009" i="9"/>
  <c r="D1913" i="9"/>
  <c r="D1839" i="9"/>
  <c r="D1759" i="9"/>
  <c r="D1632" i="9"/>
  <c r="D582" i="9"/>
  <c r="B2281" i="9"/>
  <c r="B2154" i="9"/>
  <c r="B2054" i="9"/>
  <c r="B1887" i="9"/>
  <c r="B745" i="9"/>
  <c r="B273" i="9"/>
  <c r="C14" i="9"/>
  <c r="C39" i="9"/>
  <c r="C89" i="9"/>
  <c r="C121" i="9"/>
  <c r="C137" i="9"/>
  <c r="C190" i="9"/>
  <c r="C224" i="9"/>
  <c r="C263" i="9"/>
  <c r="C303" i="9"/>
  <c r="C343" i="9"/>
  <c r="C383" i="9"/>
  <c r="C446" i="9"/>
  <c r="C509" i="9"/>
  <c r="C549" i="9"/>
  <c r="C569" i="9"/>
  <c r="C609" i="9"/>
  <c r="C649" i="9"/>
  <c r="C689" i="9"/>
  <c r="C729" i="9"/>
  <c r="C775" i="9"/>
  <c r="C815" i="9"/>
  <c r="C878" i="9"/>
  <c r="C918" i="9"/>
  <c r="C958" i="9"/>
  <c r="C998" i="9"/>
  <c r="C1038" i="9"/>
  <c r="C1101" i="9"/>
  <c r="C1141" i="9"/>
  <c r="C1184" i="9"/>
  <c r="C1201" i="9"/>
  <c r="C1241" i="9"/>
  <c r="C1287" i="9"/>
  <c r="C1327" i="9"/>
  <c r="C1367" i="9"/>
  <c r="C1390" i="9"/>
  <c r="C1430" i="9"/>
  <c r="C1493" i="9"/>
  <c r="C1533" i="9"/>
  <c r="C1573" i="9"/>
  <c r="C1593" i="9"/>
  <c r="C1633" i="9"/>
  <c r="C1673" i="9"/>
  <c r="C1713" i="9"/>
  <c r="C1753" i="9"/>
  <c r="C1816" i="9"/>
  <c r="C1856" i="9"/>
  <c r="C1902" i="9"/>
  <c r="C1942" i="9"/>
  <c r="C1982" i="9"/>
  <c r="C2022" i="9"/>
  <c r="C2062" i="9"/>
  <c r="C2106" i="9"/>
  <c r="C2152" i="9"/>
  <c r="C2197" i="9"/>
  <c r="C2243" i="9"/>
  <c r="C2269" i="9"/>
  <c r="C2315" i="9"/>
  <c r="D2333" i="9"/>
  <c r="D2312" i="9"/>
  <c r="D2281" i="9"/>
  <c r="D2258" i="9"/>
  <c r="D2229" i="9"/>
  <c r="D2198" i="9"/>
  <c r="D2175" i="9"/>
  <c r="D2144" i="9"/>
  <c r="D2121" i="9"/>
  <c r="D2090" i="9"/>
  <c r="D2061" i="9"/>
  <c r="D2038" i="9"/>
  <c r="D2002" i="9"/>
  <c r="D1976" i="9"/>
  <c r="D1938" i="9"/>
  <c r="D1906" i="9"/>
  <c r="D1838" i="9"/>
  <c r="D1798" i="9"/>
  <c r="D1758" i="9"/>
  <c r="D1711" i="9"/>
  <c r="D1678" i="9"/>
  <c r="D1631" i="9"/>
  <c r="D1598" i="9"/>
  <c r="D1551" i="9"/>
  <c r="D1504" i="9"/>
  <c r="D1456" i="9"/>
  <c r="D1398" i="9"/>
  <c r="D1350" i="9"/>
  <c r="D1295" i="9"/>
  <c r="D1231" i="9"/>
  <c r="D1185" i="9"/>
  <c r="D1121" i="9"/>
  <c r="D1073" i="9"/>
  <c r="D1022" i="9"/>
  <c r="D960" i="9"/>
  <c r="D912" i="9"/>
  <c r="D854" i="9"/>
  <c r="D806" i="9"/>
  <c r="D742" i="9"/>
  <c r="D687" i="9"/>
  <c r="D639" i="9"/>
  <c r="D577" i="9"/>
  <c r="D529" i="9"/>
  <c r="D478" i="9"/>
  <c r="D414" i="9"/>
  <c r="D368" i="9"/>
  <c r="D304" i="9"/>
  <c r="D240" i="9"/>
  <c r="D174" i="9"/>
  <c r="D97" i="9"/>
  <c r="D22" i="9"/>
  <c r="E2277" i="9"/>
  <c r="E2176" i="9"/>
  <c r="E2069" i="9"/>
  <c r="E1938" i="9"/>
  <c r="E1800" i="9"/>
  <c r="E1640" i="9"/>
  <c r="E1480" i="9"/>
  <c r="E1320" i="9"/>
  <c r="E1130" i="9"/>
  <c r="E970" i="9"/>
  <c r="E810" i="9"/>
  <c r="E650" i="9"/>
  <c r="E490" i="9"/>
  <c r="E327" i="9"/>
  <c r="E105" i="9"/>
  <c r="F2184" i="9"/>
  <c r="F1927" i="9"/>
  <c r="F1536" i="9"/>
  <c r="F990" i="9"/>
  <c r="F478" i="9"/>
  <c r="G2301" i="9"/>
  <c r="G1631" i="9"/>
  <c r="G991" i="9"/>
  <c r="G141" i="9"/>
  <c r="H472" i="9"/>
  <c r="C910" i="9"/>
  <c r="C953" i="9"/>
  <c r="C993" i="9"/>
  <c r="C1056" i="9"/>
  <c r="C1113" i="9"/>
  <c r="C1176" i="9"/>
  <c r="C1199" i="9"/>
  <c r="C1279" i="9"/>
  <c r="C1365" i="9"/>
  <c r="C1422" i="9"/>
  <c r="C1465" i="9"/>
  <c r="C1525" i="9"/>
  <c r="C1585" i="9"/>
  <c r="C1648" i="9"/>
  <c r="C1711" i="9"/>
  <c r="C1774" i="9"/>
  <c r="C1831" i="9"/>
  <c r="C1894" i="9"/>
  <c r="C1977" i="9"/>
  <c r="C2313" i="9"/>
  <c r="D2314" i="9"/>
  <c r="D2231" i="9"/>
  <c r="D2154" i="9"/>
  <c r="D2097" i="9"/>
  <c r="D2016" i="9"/>
  <c r="D1920" i="9"/>
  <c r="D1807" i="9"/>
  <c r="D1680" i="9"/>
  <c r="D1553" i="9"/>
  <c r="D1359" i="9"/>
  <c r="D1198" i="9"/>
  <c r="D1024" i="9"/>
  <c r="D918" i="9"/>
  <c r="D753" i="9"/>
  <c r="D606" i="9"/>
  <c r="D374" i="9"/>
  <c r="D270" i="9"/>
  <c r="D49" i="9"/>
  <c r="E1993" i="9"/>
  <c r="E1543" i="9"/>
  <c r="E1033" i="9"/>
  <c r="E393" i="9"/>
  <c r="F2024" i="9"/>
  <c r="F639" i="9"/>
  <c r="G1309" i="9"/>
  <c r="J1944" i="9"/>
  <c r="B2282" i="9"/>
  <c r="B2206" i="9"/>
  <c r="B2055" i="9"/>
  <c r="B1951" i="9"/>
  <c r="B1784" i="9"/>
  <c r="B1696" i="9"/>
  <c r="B1529" i="9"/>
  <c r="B1220" i="9"/>
  <c r="B1016" i="9"/>
  <c r="B544" i="9"/>
  <c r="C13" i="9"/>
  <c r="C49" i="9"/>
  <c r="C77" i="9"/>
  <c r="C102" i="9"/>
  <c r="C152" i="9"/>
  <c r="C205" i="9"/>
  <c r="C279" i="9"/>
  <c r="C342" i="9"/>
  <c r="C405" i="9"/>
  <c r="C445" i="9"/>
  <c r="C505" i="9"/>
  <c r="C565" i="9"/>
  <c r="C648" i="9"/>
  <c r="C728" i="9"/>
  <c r="C791" i="9"/>
  <c r="C831" i="9"/>
  <c r="C917" i="9"/>
  <c r="C974" i="9"/>
  <c r="C1037" i="9"/>
  <c r="C1120" i="9"/>
  <c r="C1177" i="9"/>
  <c r="C1263" i="9"/>
  <c r="C1326" i="9"/>
  <c r="C1383" i="9"/>
  <c r="C1469" i="9"/>
  <c r="C1509" i="9"/>
  <c r="C1549" i="9"/>
  <c r="C1609" i="9"/>
  <c r="C1672" i="9"/>
  <c r="C1735" i="9"/>
  <c r="C1792" i="9"/>
  <c r="C1815" i="9"/>
  <c r="C1878" i="9"/>
  <c r="C1895" i="9"/>
  <c r="C1958" i="9"/>
  <c r="C2021" i="9"/>
  <c r="C2061" i="9"/>
  <c r="C2124" i="9"/>
  <c r="C2196" i="9"/>
  <c r="C2268" i="9"/>
  <c r="C2333" i="9"/>
  <c r="D2282" i="9"/>
  <c r="D2230" i="9"/>
  <c r="D2145" i="9"/>
  <c r="D2093" i="9"/>
  <c r="D2039" i="9"/>
  <c r="D1977" i="9"/>
  <c r="D1881" i="9"/>
  <c r="D1726" i="9"/>
  <c r="D1552" i="9"/>
  <c r="D640" i="9"/>
  <c r="B2313" i="9"/>
  <c r="B2233" i="9"/>
  <c r="B2192" i="9"/>
  <c r="B2103" i="9"/>
  <c r="B1991" i="9"/>
  <c r="B1936" i="9"/>
  <c r="B1824" i="9"/>
  <c r="B1782" i="9"/>
  <c r="B1692" i="9"/>
  <c r="B1593" i="9"/>
  <c r="B1528" i="9"/>
  <c r="B1426" i="9"/>
  <c r="B1324" i="9"/>
  <c r="B1219" i="9"/>
  <c r="B1092" i="9"/>
  <c r="B993" i="9"/>
  <c r="B888" i="9"/>
  <c r="B497" i="9"/>
  <c r="B54" i="9"/>
  <c r="C25" i="9"/>
  <c r="C53" i="9"/>
  <c r="C64" i="9"/>
  <c r="C78" i="9"/>
  <c r="C103" i="9"/>
  <c r="C153" i="9"/>
  <c r="C174" i="9"/>
  <c r="C206" i="9"/>
  <c r="C240" i="9"/>
  <c r="C280" i="9"/>
  <c r="C320" i="9"/>
  <c r="C366" i="9"/>
  <c r="C406" i="9"/>
  <c r="C423" i="9"/>
  <c r="C469" i="9"/>
  <c r="C486" i="9"/>
  <c r="C526" i="9"/>
  <c r="C589" i="9"/>
  <c r="C629" i="9"/>
  <c r="C672" i="9"/>
  <c r="C712" i="9"/>
  <c r="C752" i="9"/>
  <c r="C792" i="9"/>
  <c r="C832" i="9"/>
  <c r="C855" i="9"/>
  <c r="C895" i="9"/>
  <c r="C935" i="9"/>
  <c r="C981" i="9"/>
  <c r="C1021" i="9"/>
  <c r="C1061" i="9"/>
  <c r="C1081" i="9"/>
  <c r="C1121" i="9"/>
  <c r="C1161" i="9"/>
  <c r="C1224" i="9"/>
  <c r="C1264" i="9"/>
  <c r="C1304" i="9"/>
  <c r="C1344" i="9"/>
  <c r="C1407" i="9"/>
  <c r="C1447" i="9"/>
  <c r="C1470" i="9"/>
  <c r="C1510" i="9"/>
  <c r="C1550" i="9"/>
  <c r="C1613" i="9"/>
  <c r="C1653" i="9"/>
  <c r="C1696" i="9"/>
  <c r="C1736" i="9"/>
  <c r="C1776" i="9"/>
  <c r="C1799" i="9"/>
  <c r="C1839" i="9"/>
  <c r="C1879" i="9"/>
  <c r="C1919" i="9"/>
  <c r="C1959" i="9"/>
  <c r="C2005" i="9"/>
  <c r="C2045" i="9"/>
  <c r="C2085" i="9"/>
  <c r="C2129" i="9"/>
  <c r="C2175" i="9"/>
  <c r="C2224" i="9"/>
  <c r="C2289" i="9"/>
  <c r="D1874" i="9"/>
  <c r="B2153" i="9"/>
  <c r="B992" i="9"/>
  <c r="B865" i="9"/>
  <c r="B704" i="9"/>
  <c r="B493" i="9"/>
  <c r="B223" i="9"/>
  <c r="B53" i="9"/>
  <c r="C15" i="9"/>
  <c r="C29" i="9"/>
  <c r="C40" i="9"/>
  <c r="C54" i="9"/>
  <c r="C65" i="9"/>
  <c r="C79" i="9"/>
  <c r="C93" i="9"/>
  <c r="C109" i="9"/>
  <c r="C125" i="9"/>
  <c r="C141" i="9"/>
  <c r="C159" i="9"/>
  <c r="C175" i="9"/>
  <c r="C191" i="9"/>
  <c r="C209" i="9"/>
  <c r="C225" i="9"/>
  <c r="C241" i="9"/>
  <c r="C264" i="9"/>
  <c r="C281" i="9"/>
  <c r="C304" i="9"/>
  <c r="C327" i="9"/>
  <c r="C344" i="9"/>
  <c r="C367" i="9"/>
  <c r="C384" i="9"/>
  <c r="C407" i="9"/>
  <c r="C430" i="9"/>
  <c r="C447" i="9"/>
  <c r="C470" i="9"/>
  <c r="C487" i="9"/>
  <c r="C510" i="9"/>
  <c r="C533" i="9"/>
  <c r="C550" i="9"/>
  <c r="C573" i="9"/>
  <c r="C590" i="9"/>
  <c r="C613" i="9"/>
  <c r="C633" i="9"/>
  <c r="C653" i="9"/>
  <c r="C673" i="9"/>
  <c r="C693" i="9"/>
  <c r="C713" i="9"/>
  <c r="C736" i="9"/>
  <c r="C753" i="9"/>
  <c r="C776" i="9"/>
  <c r="C793" i="9"/>
  <c r="C816" i="9"/>
  <c r="C839" i="9"/>
  <c r="C856" i="9"/>
  <c r="C879" i="9"/>
  <c r="C896" i="9"/>
  <c r="C919" i="9"/>
  <c r="C942" i="9"/>
  <c r="C959" i="9"/>
  <c r="C982" i="9"/>
  <c r="C999" i="9"/>
  <c r="C1022" i="9"/>
  <c r="C1045" i="9"/>
  <c r="C1062" i="9"/>
  <c r="C1085" i="9"/>
  <c r="C1102" i="9"/>
  <c r="C1125" i="9"/>
  <c r="C1145" i="9"/>
  <c r="C1165" i="9"/>
  <c r="C1185" i="9"/>
  <c r="C1205" i="9"/>
  <c r="C1225" i="9"/>
  <c r="C1248" i="9"/>
  <c r="C1265" i="9"/>
  <c r="C1288" i="9"/>
  <c r="C1305" i="9"/>
  <c r="C1328" i="9"/>
  <c r="C1351" i="9"/>
  <c r="C1368" i="9"/>
  <c r="C1391" i="9"/>
  <c r="C1408" i="9"/>
  <c r="C1431" i="9"/>
  <c r="C1454" i="9"/>
  <c r="C1471" i="9"/>
  <c r="C1494" i="9"/>
  <c r="C1511" i="9"/>
  <c r="C1534" i="9"/>
  <c r="C1557" i="9"/>
  <c r="C1574" i="9"/>
  <c r="C1597" i="9"/>
  <c r="C1614" i="9"/>
  <c r="C1637" i="9"/>
  <c r="C1657" i="9"/>
  <c r="C1677" i="9"/>
  <c r="C1697" i="9"/>
  <c r="C1717" i="9"/>
  <c r="C1737" i="9"/>
  <c r="C1760" i="9"/>
  <c r="C1777" i="9"/>
  <c r="C1800" i="9"/>
  <c r="C1817" i="9"/>
  <c r="C1840" i="9"/>
  <c r="C1863" i="9"/>
  <c r="C1880" i="9"/>
  <c r="C1903" i="9"/>
  <c r="C1920" i="9"/>
  <c r="C1943" i="9"/>
  <c r="C1966" i="9"/>
  <c r="C1983" i="9"/>
  <c r="C2006" i="9"/>
  <c r="C2023" i="9"/>
  <c r="C2046" i="9"/>
  <c r="C2069" i="9"/>
  <c r="C2086" i="9"/>
  <c r="C2111" i="9"/>
  <c r="C2130" i="9"/>
  <c r="C2156" i="9"/>
  <c r="C2179" i="9"/>
  <c r="C2202" i="9"/>
  <c r="C2225" i="9"/>
  <c r="C2248" i="9"/>
  <c r="C2271" i="9"/>
  <c r="C2297" i="9"/>
  <c r="C2316" i="9"/>
  <c r="D2331" i="9"/>
  <c r="D2311" i="9"/>
  <c r="D2280" i="9"/>
  <c r="D2249" i="9"/>
  <c r="D2226" i="9"/>
  <c r="D2197" i="9"/>
  <c r="D2174" i="9"/>
  <c r="D2143" i="9"/>
  <c r="D2112" i="9"/>
  <c r="D2089" i="9"/>
  <c r="D2058" i="9"/>
  <c r="D2037" i="9"/>
  <c r="D2001" i="9"/>
  <c r="D1966" i="9"/>
  <c r="D1937" i="9"/>
  <c r="D1902" i="9"/>
  <c r="D1873" i="9"/>
  <c r="D1830" i="9"/>
  <c r="D1790" i="9"/>
  <c r="D1750" i="9"/>
  <c r="D1710" i="9"/>
  <c r="D1670" i="9"/>
  <c r="D1630" i="9"/>
  <c r="D1583" i="9"/>
  <c r="D1550" i="9"/>
  <c r="D1503" i="9"/>
  <c r="D1455" i="9"/>
  <c r="D1393" i="9"/>
  <c r="D1329" i="9"/>
  <c r="D1294" i="9"/>
  <c r="D1230" i="9"/>
  <c r="D1182" i="9"/>
  <c r="D1120" i="9"/>
  <c r="D1062" i="9"/>
  <c r="D1014" i="9"/>
  <c r="D959" i="9"/>
  <c r="D911" i="9"/>
  <c r="D847" i="9"/>
  <c r="D785" i="9"/>
  <c r="D737" i="9"/>
  <c r="D686" i="9"/>
  <c r="D638" i="9"/>
  <c r="D576" i="9"/>
  <c r="D512" i="9"/>
  <c r="D470" i="9"/>
  <c r="D406" i="9"/>
  <c r="D358" i="9"/>
  <c r="D303" i="9"/>
  <c r="D230" i="9"/>
  <c r="D166" i="9"/>
  <c r="D96" i="9"/>
  <c r="D17" i="9"/>
  <c r="E2272" i="9"/>
  <c r="E2169" i="9"/>
  <c r="E2058" i="9"/>
  <c r="E1937" i="9"/>
  <c r="E1799" i="9"/>
  <c r="E1639" i="9"/>
  <c r="E1479" i="9"/>
  <c r="E1289" i="9"/>
  <c r="E1129" i="9"/>
  <c r="E969" i="9"/>
  <c r="E809" i="9"/>
  <c r="E649" i="9"/>
  <c r="E471" i="9"/>
  <c r="E311" i="9"/>
  <c r="E104" i="9"/>
  <c r="F2183" i="9"/>
  <c r="F1926" i="9"/>
  <c r="F1470" i="9"/>
  <c r="F958" i="9"/>
  <c r="F446" i="9"/>
  <c r="G2269" i="9"/>
  <c r="G1630" i="9"/>
  <c r="G990" i="9"/>
  <c r="G39" i="9"/>
  <c r="H471" i="9"/>
  <c r="J1433" i="9"/>
  <c r="I923" i="9"/>
  <c r="I1947" i="9"/>
  <c r="H214" i="9"/>
  <c r="H726" i="9"/>
  <c r="H1158" i="9"/>
  <c r="H1415" i="9"/>
  <c r="H1671" i="9"/>
  <c r="H1927" i="9"/>
  <c r="H2183" i="9"/>
  <c r="G90" i="9"/>
  <c r="G269" i="9"/>
  <c r="G414" i="9"/>
  <c r="G542" i="9"/>
  <c r="G670" i="9"/>
  <c r="G798" i="9"/>
  <c r="G926" i="9"/>
  <c r="G1053" i="9"/>
  <c r="G1120" i="9"/>
  <c r="G1246" i="9"/>
  <c r="G1341" i="9"/>
  <c r="G1439" i="9"/>
  <c r="G1565" i="9"/>
  <c r="G1632" i="9"/>
  <c r="G1758" i="9"/>
  <c r="G1853" i="9"/>
  <c r="G1951" i="9"/>
  <c r="G2077" i="9"/>
  <c r="G2144" i="9"/>
  <c r="G2270" i="9"/>
  <c r="F30" i="9"/>
  <c r="F128" i="9"/>
  <c r="F254" i="9"/>
  <c r="F321" i="9"/>
  <c r="F447" i="9"/>
  <c r="F542" i="9"/>
  <c r="F640" i="9"/>
  <c r="F766" i="9"/>
  <c r="F833" i="9"/>
  <c r="F959" i="9"/>
  <c r="F1054" i="9"/>
  <c r="F1152" i="9"/>
  <c r="F1278" i="9"/>
  <c r="F1345" i="9"/>
  <c r="F1471" i="9"/>
  <c r="F1566" i="9"/>
  <c r="F1657" i="9"/>
  <c r="F1753" i="9"/>
  <c r="F1800" i="9"/>
  <c r="F1883" i="9"/>
  <c r="F1942" i="9"/>
  <c r="F1992" i="9"/>
  <c r="F2054" i="9"/>
  <c r="F2089" i="9"/>
  <c r="F2151" i="9"/>
  <c r="F2198" i="9"/>
  <c r="F2248" i="9"/>
  <c r="F2310" i="9"/>
  <c r="E10" i="9"/>
  <c r="E72" i="9"/>
  <c r="E119" i="9"/>
  <c r="E169" i="9"/>
  <c r="E231" i="9"/>
  <c r="J1434" i="9"/>
  <c r="I924" i="9"/>
  <c r="I1948" i="9"/>
  <c r="H215" i="9"/>
  <c r="H727" i="9"/>
  <c r="H1159" i="9"/>
  <c r="H1416" i="9"/>
  <c r="H1672" i="9"/>
  <c r="H1928" i="9"/>
  <c r="H2184" i="9"/>
  <c r="G93" i="9"/>
  <c r="G270" i="9"/>
  <c r="G415" i="9"/>
  <c r="G543" i="9"/>
  <c r="G671" i="9"/>
  <c r="G799" i="9"/>
  <c r="G927" i="9"/>
  <c r="G1054" i="9"/>
  <c r="G1149" i="9"/>
  <c r="G1247" i="9"/>
  <c r="G1373" i="9"/>
  <c r="G1440" i="9"/>
  <c r="G1566" i="9"/>
  <c r="G1661" i="9"/>
  <c r="G1759" i="9"/>
  <c r="G1885" i="9"/>
  <c r="G1952" i="9"/>
  <c r="G2078" i="9"/>
  <c r="G2173" i="9"/>
  <c r="G2271" i="9"/>
  <c r="F62" i="9"/>
  <c r="F129" i="9"/>
  <c r="F255" i="9"/>
  <c r="F350" i="9"/>
  <c r="F448" i="9"/>
  <c r="F574" i="9"/>
  <c r="F641" i="9"/>
  <c r="F767" i="9"/>
  <c r="F862" i="9"/>
  <c r="F960" i="9"/>
  <c r="F1086" i="9"/>
  <c r="F1153" i="9"/>
  <c r="F1279" i="9"/>
  <c r="F1374" i="9"/>
  <c r="F1472" i="9"/>
  <c r="F1598" i="9"/>
  <c r="F1661" i="9"/>
  <c r="F1755" i="9"/>
  <c r="F1817" i="9"/>
  <c r="F1885" i="9"/>
  <c r="F1958" i="9"/>
  <c r="F1993" i="9"/>
  <c r="F2055" i="9"/>
  <c r="F2102" i="9"/>
  <c r="F2152" i="9"/>
  <c r="F2214" i="9"/>
  <c r="F2249" i="9"/>
  <c r="F2311" i="9"/>
  <c r="E23" i="9"/>
  <c r="E73" i="9"/>
  <c r="E135" i="9"/>
  <c r="E170" i="9"/>
  <c r="J1435" i="9"/>
  <c r="I925" i="9"/>
  <c r="I1949" i="9"/>
  <c r="H216" i="9"/>
  <c r="H728" i="9"/>
  <c r="H1160" i="9"/>
  <c r="H1417" i="9"/>
  <c r="H1673" i="9"/>
  <c r="H1929" i="9"/>
  <c r="H2185" i="9"/>
  <c r="G95" i="9"/>
  <c r="G271" i="9"/>
  <c r="G416" i="9"/>
  <c r="G544" i="9"/>
  <c r="G672" i="9"/>
  <c r="G800" i="9"/>
  <c r="G928" i="9"/>
  <c r="G1055" i="9"/>
  <c r="G1181" i="9"/>
  <c r="G1248" i="9"/>
  <c r="G1374" i="9"/>
  <c r="G1469" i="9"/>
  <c r="G1567" i="9"/>
  <c r="G1693" i="9"/>
  <c r="G1760" i="9"/>
  <c r="G1886" i="9"/>
  <c r="G1981" i="9"/>
  <c r="G2079" i="9"/>
  <c r="G2205" i="9"/>
  <c r="G2272" i="9"/>
  <c r="F63" i="9"/>
  <c r="F158" i="9"/>
  <c r="F256" i="9"/>
  <c r="F382" i="9"/>
  <c r="F449" i="9"/>
  <c r="F575" i="9"/>
  <c r="F670" i="9"/>
  <c r="F768" i="9"/>
  <c r="F894" i="9"/>
  <c r="F961" i="9"/>
  <c r="F1087" i="9"/>
  <c r="F1182" i="9"/>
  <c r="F1280" i="9"/>
  <c r="F1406" i="9"/>
  <c r="F1473" i="9"/>
  <c r="F1599" i="9"/>
  <c r="F1680" i="9"/>
  <c r="F1757" i="9"/>
  <c r="F1839" i="9"/>
  <c r="F1886" i="9"/>
  <c r="F1959" i="9"/>
  <c r="F2006" i="9"/>
  <c r="F2056" i="9"/>
  <c r="F2118" i="9"/>
  <c r="F2153" i="9"/>
  <c r="F2215" i="9"/>
  <c r="F2262" i="9"/>
  <c r="F2312" i="9"/>
  <c r="E39" i="9"/>
  <c r="E74" i="9"/>
  <c r="E136" i="9"/>
  <c r="E183" i="9"/>
  <c r="E233" i="9"/>
  <c r="I620" i="9"/>
  <c r="I2294" i="9"/>
  <c r="H853" i="9"/>
  <c r="H1289" i="9"/>
  <c r="H1799" i="9"/>
  <c r="H2118" i="9"/>
  <c r="G186" i="9"/>
  <c r="G445" i="9"/>
  <c r="G608" i="9"/>
  <c r="G862" i="9"/>
  <c r="G1021" i="9"/>
  <c r="G1184" i="9"/>
  <c r="G1375" i="9"/>
  <c r="G1504" i="9"/>
  <c r="G1695" i="9"/>
  <c r="G1824" i="9"/>
  <c r="G2015" i="9"/>
  <c r="G2206" i="9"/>
  <c r="G2335" i="9"/>
  <c r="F191" i="9"/>
  <c r="F320" i="9"/>
  <c r="F511" i="9"/>
  <c r="F702" i="9"/>
  <c r="F831" i="9"/>
  <c r="F1022" i="9"/>
  <c r="F1151" i="9"/>
  <c r="F1342" i="9"/>
  <c r="F1502" i="9"/>
  <c r="F1655" i="9"/>
  <c r="F1775" i="9"/>
  <c r="F1881" i="9"/>
  <c r="F1974" i="9"/>
  <c r="F2057" i="9"/>
  <c r="F2134" i="9"/>
  <c r="F2217" i="9"/>
  <c r="F2294" i="9"/>
  <c r="E42" i="9"/>
  <c r="E137" i="9"/>
  <c r="E202" i="9"/>
  <c r="E266" i="9"/>
  <c r="E328" i="9"/>
  <c r="E375" i="9"/>
  <c r="E425" i="9"/>
  <c r="E487" i="9"/>
  <c r="E522" i="9"/>
  <c r="E584" i="9"/>
  <c r="E631" i="9"/>
  <c r="E681" i="9"/>
  <c r="E743" i="9"/>
  <c r="E778" i="9"/>
  <c r="E840" i="9"/>
  <c r="E887" i="9"/>
  <c r="E937" i="9"/>
  <c r="E999" i="9"/>
  <c r="E1034" i="9"/>
  <c r="E1096" i="9"/>
  <c r="E1143" i="9"/>
  <c r="E1193" i="9"/>
  <c r="E1255" i="9"/>
  <c r="E1290" i="9"/>
  <c r="E1352" i="9"/>
  <c r="E1399" i="9"/>
  <c r="E1449" i="9"/>
  <c r="E1511" i="9"/>
  <c r="E1546" i="9"/>
  <c r="E1608" i="9"/>
  <c r="E1655" i="9"/>
  <c r="E1705" i="9"/>
  <c r="E1767" i="9"/>
  <c r="E1802" i="9"/>
  <c r="E1863" i="9"/>
  <c r="E1898" i="9"/>
  <c r="E1939" i="9"/>
  <c r="E1987" i="9"/>
  <c r="E2018" i="9"/>
  <c r="E2059" i="9"/>
  <c r="E2090" i="9"/>
  <c r="E2125" i="9"/>
  <c r="E2165" i="9"/>
  <c r="E2191" i="9"/>
  <c r="E2231" i="9"/>
  <c r="E2260" i="9"/>
  <c r="E2287" i="9"/>
  <c r="E2317" i="9"/>
  <c r="E2336" i="9"/>
  <c r="D31" i="9"/>
  <c r="D54" i="9"/>
  <c r="D80" i="9"/>
  <c r="D110" i="9"/>
  <c r="D129" i="9"/>
  <c r="D159" i="9"/>
  <c r="D182" i="9"/>
  <c r="D208" i="9"/>
  <c r="D238" i="9"/>
  <c r="D257" i="9"/>
  <c r="D287" i="9"/>
  <c r="D310" i="9"/>
  <c r="D336" i="9"/>
  <c r="D366" i="9"/>
  <c r="D385" i="9"/>
  <c r="D415" i="9"/>
  <c r="D438" i="9"/>
  <c r="D464" i="9"/>
  <c r="D494" i="9"/>
  <c r="D513" i="9"/>
  <c r="D543" i="9"/>
  <c r="D566" i="9"/>
  <c r="D592" i="9"/>
  <c r="D622" i="9"/>
  <c r="D641" i="9"/>
  <c r="D671" i="9"/>
  <c r="D694" i="9"/>
  <c r="D720" i="9"/>
  <c r="D750" i="9"/>
  <c r="D769" i="9"/>
  <c r="D799" i="9"/>
  <c r="D822" i="9"/>
  <c r="D848" i="9"/>
  <c r="D878" i="9"/>
  <c r="D897" i="9"/>
  <c r="D927" i="9"/>
  <c r="D950" i="9"/>
  <c r="D976" i="9"/>
  <c r="D1006" i="9"/>
  <c r="D1025" i="9"/>
  <c r="D1055" i="9"/>
  <c r="D1078" i="9"/>
  <c r="D1104" i="9"/>
  <c r="D1134" i="9"/>
  <c r="D1153" i="9"/>
  <c r="D1183" i="9"/>
  <c r="D1206" i="9"/>
  <c r="D1232" i="9"/>
  <c r="D1262" i="9"/>
  <c r="D1281" i="9"/>
  <c r="D1311" i="9"/>
  <c r="D1334" i="9"/>
  <c r="D1360" i="9"/>
  <c r="D1390" i="9"/>
  <c r="D1409" i="9"/>
  <c r="D1439" i="9"/>
  <c r="D1462" i="9"/>
  <c r="D1488" i="9"/>
  <c r="I1178" i="9"/>
  <c r="I2295" i="9"/>
  <c r="H982" i="9"/>
  <c r="H1350" i="9"/>
  <c r="H1800" i="9"/>
  <c r="H2246" i="9"/>
  <c r="G189" i="9"/>
  <c r="G478" i="9"/>
  <c r="G637" i="9"/>
  <c r="G863" i="9"/>
  <c r="G1056" i="9"/>
  <c r="G1213" i="9"/>
  <c r="G1376" i="9"/>
  <c r="G1533" i="9"/>
  <c r="G1696" i="9"/>
  <c r="G1887" i="9"/>
  <c r="G2016" i="9"/>
  <c r="G2207" i="9"/>
  <c r="G2336" i="9"/>
  <c r="F192" i="9"/>
  <c r="F383" i="9"/>
  <c r="F512" i="9"/>
  <c r="F703" i="9"/>
  <c r="F832" i="9"/>
  <c r="F1023" i="9"/>
  <c r="F1214" i="9"/>
  <c r="F1343" i="9"/>
  <c r="F1534" i="9"/>
  <c r="F1656" i="9"/>
  <c r="F1797" i="9"/>
  <c r="F1903" i="9"/>
  <c r="F1990" i="9"/>
  <c r="F2070" i="9"/>
  <c r="F2150" i="9"/>
  <c r="F2230" i="9"/>
  <c r="F2313" i="9"/>
  <c r="E55" i="9"/>
  <c r="E138" i="9"/>
  <c r="E215" i="9"/>
  <c r="E279" i="9"/>
  <c r="E329" i="9"/>
  <c r="E391" i="9"/>
  <c r="E426" i="9"/>
  <c r="E488" i="9"/>
  <c r="E535" i="9"/>
  <c r="E585" i="9"/>
  <c r="E647" i="9"/>
  <c r="E682" i="9"/>
  <c r="E744" i="9"/>
  <c r="E791" i="9"/>
  <c r="E841" i="9"/>
  <c r="E903" i="9"/>
  <c r="E938" i="9"/>
  <c r="E1000" i="9"/>
  <c r="E1047" i="9"/>
  <c r="E1097" i="9"/>
  <c r="E1159" i="9"/>
  <c r="E1194" i="9"/>
  <c r="E1256" i="9"/>
  <c r="E1303" i="9"/>
  <c r="E1353" i="9"/>
  <c r="E1415" i="9"/>
  <c r="E1450" i="9"/>
  <c r="E1512" i="9"/>
  <c r="E1559" i="9"/>
  <c r="E1609" i="9"/>
  <c r="E1671" i="9"/>
  <c r="E1706" i="9"/>
  <c r="E1768" i="9"/>
  <c r="E1815" i="9"/>
  <c r="E1864" i="9"/>
  <c r="E1912" i="9"/>
  <c r="E1943" i="9"/>
  <c r="E1991" i="9"/>
  <c r="E2026" i="9"/>
  <c r="E2061" i="9"/>
  <c r="E2101" i="9"/>
  <c r="E2127" i="9"/>
  <c r="E2167" i="9"/>
  <c r="E2197" i="9"/>
  <c r="E2232" i="9"/>
  <c r="E2269" i="9"/>
  <c r="E2288" i="9"/>
  <c r="E2318" i="9"/>
  <c r="D6" i="9"/>
  <c r="D32" i="9"/>
  <c r="D62" i="9"/>
  <c r="D81" i="9"/>
  <c r="D111" i="9"/>
  <c r="D134" i="9"/>
  <c r="D160" i="9"/>
  <c r="D190" i="9"/>
  <c r="D209" i="9"/>
  <c r="D239" i="9"/>
  <c r="D262" i="9"/>
  <c r="D288" i="9"/>
  <c r="D318" i="9"/>
  <c r="D337" i="9"/>
  <c r="D367" i="9"/>
  <c r="D390" i="9"/>
  <c r="D416" i="9"/>
  <c r="D446" i="9"/>
  <c r="D465" i="9"/>
  <c r="D495" i="9"/>
  <c r="D518" i="9"/>
  <c r="D544" i="9"/>
  <c r="D574" i="9"/>
  <c r="D593" i="9"/>
  <c r="D623" i="9"/>
  <c r="D646" i="9"/>
  <c r="D672" i="9"/>
  <c r="D702" i="9"/>
  <c r="D721" i="9"/>
  <c r="D751" i="9"/>
  <c r="D774" i="9"/>
  <c r="D800" i="9"/>
  <c r="D830" i="9"/>
  <c r="D849" i="9"/>
  <c r="D879" i="9"/>
  <c r="D902" i="9"/>
  <c r="D928" i="9"/>
  <c r="D958" i="9"/>
  <c r="D977" i="9"/>
  <c r="D1007" i="9"/>
  <c r="D1030" i="9"/>
  <c r="D1056" i="9"/>
  <c r="D1086" i="9"/>
  <c r="D1105" i="9"/>
  <c r="D1135" i="9"/>
  <c r="D1158" i="9"/>
  <c r="D1184" i="9"/>
  <c r="D1214" i="9"/>
  <c r="D1233" i="9"/>
  <c r="D1263" i="9"/>
  <c r="D1286" i="9"/>
  <c r="D1312" i="9"/>
  <c r="D1342" i="9"/>
  <c r="D1361" i="9"/>
  <c r="D1391" i="9"/>
  <c r="D1414" i="9"/>
  <c r="D1440" i="9"/>
  <c r="D1470" i="9"/>
  <c r="D1489" i="9"/>
  <c r="I1435" i="9"/>
  <c r="H85" i="9"/>
  <c r="H983" i="9"/>
  <c r="H1478" i="9"/>
  <c r="H1801" i="9"/>
  <c r="H2311" i="9"/>
  <c r="G226" i="9"/>
  <c r="G479" i="9"/>
  <c r="G701" i="9"/>
  <c r="G864" i="9"/>
  <c r="G1085" i="9"/>
  <c r="G1245" i="9"/>
  <c r="G1405" i="9"/>
  <c r="G1568" i="9"/>
  <c r="G1725" i="9"/>
  <c r="G1888" i="9"/>
  <c r="G2045" i="9"/>
  <c r="G2208" i="9"/>
  <c r="F64" i="9"/>
  <c r="F193" i="9"/>
  <c r="F384" i="9"/>
  <c r="F513" i="9"/>
  <c r="F704" i="9"/>
  <c r="F895" i="9"/>
  <c r="F1024" i="9"/>
  <c r="F1215" i="9"/>
  <c r="F1344" i="9"/>
  <c r="F1535" i="9"/>
  <c r="F1705" i="9"/>
  <c r="F1798" i="9"/>
  <c r="F1925" i="9"/>
  <c r="F1991" i="9"/>
  <c r="F2086" i="9"/>
  <c r="F2166" i="9"/>
  <c r="F2246" i="9"/>
  <c r="F2326" i="9"/>
  <c r="E71" i="9"/>
  <c r="E151" i="9"/>
  <c r="E232" i="9"/>
  <c r="E295" i="9"/>
  <c r="E330" i="9"/>
  <c r="E392" i="9"/>
  <c r="E439" i="9"/>
  <c r="E489" i="9"/>
  <c r="E551" i="9"/>
  <c r="E586" i="9"/>
  <c r="E648" i="9"/>
  <c r="E695" i="9"/>
  <c r="E745" i="9"/>
  <c r="E807" i="9"/>
  <c r="E842" i="9"/>
  <c r="E904" i="9"/>
  <c r="E951" i="9"/>
  <c r="E1001" i="9"/>
  <c r="E1063" i="9"/>
  <c r="E1098" i="9"/>
  <c r="E1160" i="9"/>
  <c r="E1207" i="9"/>
  <c r="E1257" i="9"/>
  <c r="E1319" i="9"/>
  <c r="E1354" i="9"/>
  <c r="E1416" i="9"/>
  <c r="E1463" i="9"/>
  <c r="E1513" i="9"/>
  <c r="E1575" i="9"/>
  <c r="E1610" i="9"/>
  <c r="E1672" i="9"/>
  <c r="E1719" i="9"/>
  <c r="E1769" i="9"/>
  <c r="E1831" i="9"/>
  <c r="E1865" i="9"/>
  <c r="E1913" i="9"/>
  <c r="E1951" i="9"/>
  <c r="E1992" i="9"/>
  <c r="E2037" i="9"/>
  <c r="E2063" i="9"/>
  <c r="E2103" i="9"/>
  <c r="E2133" i="9"/>
  <c r="E2168" i="9"/>
  <c r="E2208" i="9"/>
  <c r="E2233" i="9"/>
  <c r="E2270" i="9"/>
  <c r="E2293" i="9"/>
  <c r="E2319" i="9"/>
  <c r="D14" i="9"/>
  <c r="D33" i="9"/>
  <c r="D63" i="9"/>
  <c r="I1436" i="9"/>
  <c r="H341" i="9"/>
  <c r="H984" i="9"/>
  <c r="H1543" i="9"/>
  <c r="H1862" i="9"/>
  <c r="H2312" i="9"/>
  <c r="G304" i="9"/>
  <c r="G480" i="9"/>
  <c r="G734" i="9"/>
  <c r="G893" i="9"/>
  <c r="G1117" i="9"/>
  <c r="G1277" i="9"/>
  <c r="G1437" i="9"/>
  <c r="G1597" i="9"/>
  <c r="G1757" i="9"/>
  <c r="G1917" i="9"/>
  <c r="G2080" i="9"/>
  <c r="I1437" i="9"/>
  <c r="H1072" i="9"/>
  <c r="H1990" i="9"/>
  <c r="G342" i="9"/>
  <c r="G735" i="9"/>
  <c r="G1118" i="9"/>
  <c r="G1438" i="9"/>
  <c r="G1789" i="9"/>
  <c r="G2109" i="9"/>
  <c r="G2334" i="9"/>
  <c r="F286" i="9"/>
  <c r="F576" i="9"/>
  <c r="F798" i="9"/>
  <c r="F1088" i="9"/>
  <c r="F1310" i="9"/>
  <c r="F1600" i="9"/>
  <c r="F1799" i="9"/>
  <c r="F1960" i="9"/>
  <c r="F2088" i="9"/>
  <c r="F2216" i="9"/>
  <c r="E9" i="9"/>
  <c r="E167" i="9"/>
  <c r="E264" i="9"/>
  <c r="E359" i="9"/>
  <c r="E424" i="9"/>
  <c r="E519" i="9"/>
  <c r="E599" i="9"/>
  <c r="E679" i="9"/>
  <c r="E759" i="9"/>
  <c r="E839" i="9"/>
  <c r="E919" i="9"/>
  <c r="E1002" i="9"/>
  <c r="E1079" i="9"/>
  <c r="E1162" i="9"/>
  <c r="E1239" i="9"/>
  <c r="E1322" i="9"/>
  <c r="E1417" i="9"/>
  <c r="E1482" i="9"/>
  <c r="E1577" i="9"/>
  <c r="E1642" i="9"/>
  <c r="E1737" i="9"/>
  <c r="E1832" i="9"/>
  <c r="E1889" i="9"/>
  <c r="E1963" i="9"/>
  <c r="E2017" i="9"/>
  <c r="E2081" i="9"/>
  <c r="E2144" i="9"/>
  <c r="E2187" i="9"/>
  <c r="E2250" i="9"/>
  <c r="E2286" i="9"/>
  <c r="E2333" i="9"/>
  <c r="D38" i="9"/>
  <c r="D78" i="9"/>
  <c r="D112" i="9"/>
  <c r="D144" i="9"/>
  <c r="D176" i="9"/>
  <c r="D214" i="9"/>
  <c r="D246" i="9"/>
  <c r="D278" i="9"/>
  <c r="D319" i="9"/>
  <c r="D351" i="9"/>
  <c r="D383" i="9"/>
  <c r="D417" i="9"/>
  <c r="D449" i="9"/>
  <c r="D481" i="9"/>
  <c r="D526" i="9"/>
  <c r="D558" i="9"/>
  <c r="D590" i="9"/>
  <c r="D624" i="9"/>
  <c r="D656" i="9"/>
  <c r="D688" i="9"/>
  <c r="D726" i="9"/>
  <c r="D758" i="9"/>
  <c r="D790" i="9"/>
  <c r="D831" i="9"/>
  <c r="D863" i="9"/>
  <c r="D895" i="9"/>
  <c r="D929" i="9"/>
  <c r="D961" i="9"/>
  <c r="D993" i="9"/>
  <c r="D1038" i="9"/>
  <c r="D1070" i="9"/>
  <c r="D1102" i="9"/>
  <c r="D1136" i="9"/>
  <c r="D1168" i="9"/>
  <c r="D1200" i="9"/>
  <c r="D1238" i="9"/>
  <c r="D1270" i="9"/>
  <c r="D1302" i="9"/>
  <c r="D1343" i="9"/>
  <c r="D1375" i="9"/>
  <c r="D1407" i="9"/>
  <c r="D1441" i="9"/>
  <c r="D1473" i="9"/>
  <c r="D1505" i="9"/>
  <c r="D1535" i="9"/>
  <c r="D1558" i="9"/>
  <c r="D1584" i="9"/>
  <c r="D1614" i="9"/>
  <c r="D1633" i="9"/>
  <c r="D1663" i="9"/>
  <c r="D1686" i="9"/>
  <c r="D1712" i="9"/>
  <c r="D1742" i="9"/>
  <c r="D1761" i="9"/>
  <c r="D1791" i="9"/>
  <c r="D1814" i="9"/>
  <c r="D1840" i="9"/>
  <c r="D1870" i="9"/>
  <c r="D1887" i="9"/>
  <c r="D1910" i="9"/>
  <c r="D1927" i="9"/>
  <c r="D1950" i="9"/>
  <c r="D1970" i="9"/>
  <c r="D1990" i="9"/>
  <c r="D2010" i="9"/>
  <c r="D2029" i="9"/>
  <c r="D2047" i="9"/>
  <c r="D2065" i="9"/>
  <c r="D2080" i="9"/>
  <c r="D2098" i="9"/>
  <c r="D2113" i="9"/>
  <c r="D2133" i="9"/>
  <c r="D2151" i="9"/>
  <c r="D2166" i="9"/>
  <c r="D2184" i="9"/>
  <c r="D2199" i="9"/>
  <c r="D2217" i="9"/>
  <c r="D2237" i="9"/>
  <c r="D2250" i="9"/>
  <c r="D2270" i="9"/>
  <c r="D2285" i="9"/>
  <c r="D2303" i="9"/>
  <c r="D2321" i="9"/>
  <c r="D2334" i="9"/>
  <c r="C2324" i="9"/>
  <c r="C2312" i="9"/>
  <c r="C2296" i="9"/>
  <c r="C2280" i="9"/>
  <c r="C2267" i="9"/>
  <c r="C2251" i="9"/>
  <c r="C2239" i="9"/>
  <c r="C2223" i="9"/>
  <c r="C2207" i="9"/>
  <c r="C2194" i="9"/>
  <c r="C2178" i="9"/>
  <c r="C2165" i="9"/>
  <c r="C2149" i="9"/>
  <c r="C2133" i="9"/>
  <c r="C2121" i="9"/>
  <c r="C2105" i="9"/>
  <c r="C2093" i="9"/>
  <c r="C2079" i="9"/>
  <c r="C2065" i="9"/>
  <c r="C2054" i="9"/>
  <c r="C2040" i="9"/>
  <c r="C2029" i="9"/>
  <c r="C2015" i="9"/>
  <c r="C2001" i="9"/>
  <c r="C1990" i="9"/>
  <c r="C1976" i="9"/>
  <c r="C1965" i="9"/>
  <c r="C1951" i="9"/>
  <c r="C1937" i="9"/>
  <c r="C1926" i="9"/>
  <c r="C1912" i="9"/>
  <c r="C1901" i="9"/>
  <c r="C1887" i="9"/>
  <c r="C1873" i="9"/>
  <c r="C1862" i="9"/>
  <c r="C1848" i="9"/>
  <c r="C1837" i="9"/>
  <c r="C1823" i="9"/>
  <c r="C1809" i="9"/>
  <c r="C1798" i="9"/>
  <c r="C1784" i="9"/>
  <c r="C1773" i="9"/>
  <c r="C1759" i="9"/>
  <c r="C1745" i="9"/>
  <c r="C1734" i="9"/>
  <c r="C1720" i="9"/>
  <c r="C1709" i="9"/>
  <c r="C1695" i="9"/>
  <c r="C1681" i="9"/>
  <c r="C1670" i="9"/>
  <c r="C1656" i="9"/>
  <c r="C1645" i="9"/>
  <c r="C1631" i="9"/>
  <c r="C1617" i="9"/>
  <c r="C1606" i="9"/>
  <c r="C1592" i="9"/>
  <c r="C1581" i="9"/>
  <c r="C1567" i="9"/>
  <c r="C1553" i="9"/>
  <c r="C1542" i="9"/>
  <c r="C1528" i="9"/>
  <c r="C1517" i="9"/>
  <c r="C1503" i="9"/>
  <c r="C1489" i="9"/>
  <c r="C1478" i="9"/>
  <c r="C1464" i="9"/>
  <c r="C1453" i="9"/>
  <c r="C1439" i="9"/>
  <c r="C1425" i="9"/>
  <c r="C1414" i="9"/>
  <c r="C1400" i="9"/>
  <c r="C1389" i="9"/>
  <c r="C1375" i="9"/>
  <c r="C1361" i="9"/>
  <c r="C1350" i="9"/>
  <c r="C1336" i="9"/>
  <c r="C1325" i="9"/>
  <c r="C1311" i="9"/>
  <c r="C1297" i="9"/>
  <c r="C1286" i="9"/>
  <c r="C1272" i="9"/>
  <c r="C1261" i="9"/>
  <c r="C1247" i="9"/>
  <c r="C1233" i="9"/>
  <c r="C1222" i="9"/>
  <c r="C1208" i="9"/>
  <c r="C1197" i="9"/>
  <c r="C1183" i="9"/>
  <c r="C1169" i="9"/>
  <c r="C1158" i="9"/>
  <c r="C1144" i="9"/>
  <c r="C1133" i="9"/>
  <c r="C1119" i="9"/>
  <c r="C1105" i="9"/>
  <c r="C1094" i="9"/>
  <c r="C1080" i="9"/>
  <c r="C1069" i="9"/>
  <c r="C1055" i="9"/>
  <c r="C1041" i="9"/>
  <c r="C1030" i="9"/>
  <c r="C1016" i="9"/>
  <c r="C1005" i="9"/>
  <c r="C991" i="9"/>
  <c r="C977" i="9"/>
  <c r="C966" i="9"/>
  <c r="C952" i="9"/>
  <c r="C941" i="9"/>
  <c r="C927" i="9"/>
  <c r="C913" i="9"/>
  <c r="C902" i="9"/>
  <c r="C888" i="9"/>
  <c r="C877" i="9"/>
  <c r="C863" i="9"/>
  <c r="C849" i="9"/>
  <c r="C838" i="9"/>
  <c r="C824" i="9"/>
  <c r="C813" i="9"/>
  <c r="C799" i="9"/>
  <c r="C785" i="9"/>
  <c r="C774" i="9"/>
  <c r="C760" i="9"/>
  <c r="C749" i="9"/>
  <c r="C735" i="9"/>
  <c r="C721" i="9"/>
  <c r="C710" i="9"/>
  <c r="C696" i="9"/>
  <c r="C685" i="9"/>
  <c r="C671" i="9"/>
  <c r="C657" i="9"/>
  <c r="C646" i="9"/>
  <c r="C632" i="9"/>
  <c r="C621" i="9"/>
  <c r="C607" i="9"/>
  <c r="C593" i="9"/>
  <c r="C582" i="9"/>
  <c r="C568" i="9"/>
  <c r="C557" i="9"/>
  <c r="C543" i="9"/>
  <c r="C529" i="9"/>
  <c r="C518" i="9"/>
  <c r="C504" i="9"/>
  <c r="C493" i="9"/>
  <c r="C479" i="9"/>
  <c r="C465" i="9"/>
  <c r="C454" i="9"/>
  <c r="C440" i="9"/>
  <c r="C429" i="9"/>
  <c r="C415" i="9"/>
  <c r="C401" i="9"/>
  <c r="C390" i="9"/>
  <c r="C376" i="9"/>
  <c r="C365" i="9"/>
  <c r="C351" i="9"/>
  <c r="C337" i="9"/>
  <c r="C326" i="9"/>
  <c r="C312" i="9"/>
  <c r="C301" i="9"/>
  <c r="C287" i="9"/>
  <c r="C273" i="9"/>
  <c r="C262" i="9"/>
  <c r="C248" i="9"/>
  <c r="I1690" i="9"/>
  <c r="H1222" i="9"/>
  <c r="H2055" i="9"/>
  <c r="G343" i="9"/>
  <c r="G736" i="9"/>
  <c r="G1119" i="9"/>
  <c r="G1501" i="9"/>
  <c r="G1821" i="9"/>
  <c r="G2141" i="9"/>
  <c r="F65" i="9"/>
  <c r="F318" i="9"/>
  <c r="F577" i="9"/>
  <c r="F830" i="9"/>
  <c r="F1089" i="9"/>
  <c r="F1407" i="9"/>
  <c r="F1601" i="9"/>
  <c r="F1840" i="9"/>
  <c r="F1961" i="9"/>
  <c r="F2119" i="9"/>
  <c r="F2247" i="9"/>
  <c r="E40" i="9"/>
  <c r="E168" i="9"/>
  <c r="E265" i="9"/>
  <c r="E360" i="9"/>
  <c r="E455" i="9"/>
  <c r="E520" i="9"/>
  <c r="E615" i="9"/>
  <c r="E680" i="9"/>
  <c r="E775" i="9"/>
  <c r="E855" i="9"/>
  <c r="E935" i="9"/>
  <c r="E1015" i="9"/>
  <c r="E1095" i="9"/>
  <c r="E1175" i="9"/>
  <c r="E1258" i="9"/>
  <c r="E1335" i="9"/>
  <c r="E1418" i="9"/>
  <c r="E1495" i="9"/>
  <c r="E1578" i="9"/>
  <c r="E1673" i="9"/>
  <c r="E1738" i="9"/>
  <c r="E1833" i="9"/>
  <c r="E1890" i="9"/>
  <c r="E1967" i="9"/>
  <c r="E2039" i="9"/>
  <c r="E2082" i="9"/>
  <c r="E2145" i="9"/>
  <c r="E2189" i="9"/>
  <c r="E2251" i="9"/>
  <c r="E2301" i="9"/>
  <c r="E2334" i="9"/>
  <c r="D46" i="9"/>
  <c r="D79" i="9"/>
  <c r="D113" i="9"/>
  <c r="D145" i="9"/>
  <c r="D177" i="9"/>
  <c r="D222" i="9"/>
  <c r="D254" i="9"/>
  <c r="D286" i="9"/>
  <c r="D320" i="9"/>
  <c r="D352" i="9"/>
  <c r="D384" i="9"/>
  <c r="D422" i="9"/>
  <c r="D454" i="9"/>
  <c r="D486" i="9"/>
  <c r="D527" i="9"/>
  <c r="D559" i="9"/>
  <c r="D591" i="9"/>
  <c r="D625" i="9"/>
  <c r="D657" i="9"/>
  <c r="D689" i="9"/>
  <c r="D734" i="9"/>
  <c r="D766" i="9"/>
  <c r="D798" i="9"/>
  <c r="D832" i="9"/>
  <c r="D864" i="9"/>
  <c r="D896" i="9"/>
  <c r="D934" i="9"/>
  <c r="D966" i="9"/>
  <c r="D998" i="9"/>
  <c r="D1039" i="9"/>
  <c r="D1071" i="9"/>
  <c r="D1103" i="9"/>
  <c r="D1137" i="9"/>
  <c r="D1169" i="9"/>
  <c r="D1201" i="9"/>
  <c r="D1246" i="9"/>
  <c r="D1278" i="9"/>
  <c r="D1310" i="9"/>
  <c r="D1344" i="9"/>
  <c r="D1376" i="9"/>
  <c r="D1408" i="9"/>
  <c r="D1446" i="9"/>
  <c r="D1478" i="9"/>
  <c r="D1510" i="9"/>
  <c r="D1536" i="9"/>
  <c r="D1566" i="9"/>
  <c r="D1585" i="9"/>
  <c r="D1615" i="9"/>
  <c r="D1638" i="9"/>
  <c r="D1664" i="9"/>
  <c r="D1694" i="9"/>
  <c r="D1713" i="9"/>
  <c r="D1743" i="9"/>
  <c r="D1766" i="9"/>
  <c r="D1792" i="9"/>
  <c r="D1822" i="9"/>
  <c r="D1841" i="9"/>
  <c r="D1871" i="9"/>
  <c r="D1888" i="9"/>
  <c r="D1911" i="9"/>
  <c r="D1934" i="9"/>
  <c r="D1951" i="9"/>
  <c r="D1974" i="9"/>
  <c r="D1991" i="9"/>
  <c r="D2014" i="9"/>
  <c r="D2033" i="9"/>
  <c r="D2048" i="9"/>
  <c r="D2066" i="9"/>
  <c r="D2081" i="9"/>
  <c r="D2101" i="9"/>
  <c r="D2119" i="9"/>
  <c r="D2134" i="9"/>
  <c r="D2152" i="9"/>
  <c r="D2167" i="9"/>
  <c r="D2185" i="9"/>
  <c r="D2205" i="9"/>
  <c r="D2218" i="9"/>
  <c r="D2238" i="9"/>
  <c r="D2253" i="9"/>
  <c r="D2271" i="9"/>
  <c r="D2289" i="9"/>
  <c r="D2304" i="9"/>
  <c r="D2322" i="9"/>
  <c r="D2335" i="9"/>
  <c r="C2323" i="9"/>
  <c r="C2307" i="9"/>
  <c r="C2295" i="9"/>
  <c r="C2279" i="9"/>
  <c r="C2266" i="9"/>
  <c r="C2250" i="9"/>
  <c r="C2234" i="9"/>
  <c r="C2221" i="9"/>
  <c r="C2205" i="9"/>
  <c r="C2193" i="9"/>
  <c r="C2177" i="9"/>
  <c r="C2161" i="9"/>
  <c r="C2148" i="9"/>
  <c r="C2132" i="9"/>
  <c r="C2120" i="9"/>
  <c r="C2104" i="9"/>
  <c r="C2089" i="9"/>
  <c r="C2078" i="9"/>
  <c r="C2064" i="9"/>
  <c r="C2053" i="9"/>
  <c r="C2039" i="9"/>
  <c r="C2025" i="9"/>
  <c r="C2014" i="9"/>
  <c r="C2000" i="9"/>
  <c r="C1989" i="9"/>
  <c r="C1975" i="9"/>
  <c r="C1961" i="9"/>
  <c r="C1950" i="9"/>
  <c r="C1936" i="9"/>
  <c r="C1925" i="9"/>
  <c r="C1911" i="9"/>
  <c r="C1897" i="9"/>
  <c r="C1886" i="9"/>
  <c r="C1872" i="9"/>
  <c r="C1861" i="9"/>
  <c r="C1847" i="9"/>
  <c r="C1833" i="9"/>
  <c r="C1822" i="9"/>
  <c r="C1808" i="9"/>
  <c r="C1797" i="9"/>
  <c r="C1783" i="9"/>
  <c r="C1769" i="9"/>
  <c r="C1758" i="9"/>
  <c r="C1744" i="9"/>
  <c r="C1733" i="9"/>
  <c r="C1719" i="9"/>
  <c r="C1705" i="9"/>
  <c r="C1694" i="9"/>
  <c r="C1680" i="9"/>
  <c r="C1669" i="9"/>
  <c r="C1655" i="9"/>
  <c r="C1641" i="9"/>
  <c r="C1630" i="9"/>
  <c r="C1616" i="9"/>
  <c r="C1605" i="9"/>
  <c r="C1591" i="9"/>
  <c r="C1577" i="9"/>
  <c r="C1566" i="9"/>
  <c r="C1552" i="9"/>
  <c r="C1541" i="9"/>
  <c r="C1527" i="9"/>
  <c r="C1513" i="9"/>
  <c r="C1502" i="9"/>
  <c r="C1488" i="9"/>
  <c r="C1477" i="9"/>
  <c r="C1463" i="9"/>
  <c r="C1449" i="9"/>
  <c r="C1438" i="9"/>
  <c r="C1424" i="9"/>
  <c r="C1413" i="9"/>
  <c r="C1399" i="9"/>
  <c r="C1385" i="9"/>
  <c r="C1374" i="9"/>
  <c r="C1360" i="9"/>
  <c r="C1349" i="9"/>
  <c r="C1335" i="9"/>
  <c r="C1321" i="9"/>
  <c r="C1310" i="9"/>
  <c r="C1296" i="9"/>
  <c r="C1285" i="9"/>
  <c r="C1271" i="9"/>
  <c r="C1257" i="9"/>
  <c r="C1246" i="9"/>
  <c r="C1232" i="9"/>
  <c r="C1221" i="9"/>
  <c r="C1207" i="9"/>
  <c r="C1193" i="9"/>
  <c r="C1182" i="9"/>
  <c r="C1168" i="9"/>
  <c r="C1157" i="9"/>
  <c r="C1143" i="9"/>
  <c r="C1129" i="9"/>
  <c r="C1118" i="9"/>
  <c r="C1104" i="9"/>
  <c r="C1093" i="9"/>
  <c r="C1079" i="9"/>
  <c r="C1065" i="9"/>
  <c r="C1054" i="9"/>
  <c r="C1040" i="9"/>
  <c r="C1029" i="9"/>
  <c r="C1015" i="9"/>
  <c r="C1001" i="9"/>
  <c r="C990" i="9"/>
  <c r="C976" i="9"/>
  <c r="C965" i="9"/>
  <c r="C951" i="9"/>
  <c r="C937" i="9"/>
  <c r="C926" i="9"/>
  <c r="C912" i="9"/>
  <c r="C901" i="9"/>
  <c r="C887" i="9"/>
  <c r="C873" i="9"/>
  <c r="C862" i="9"/>
  <c r="C848" i="9"/>
  <c r="C837" i="9"/>
  <c r="C823" i="9"/>
  <c r="C809" i="9"/>
  <c r="C798" i="9"/>
  <c r="C784" i="9"/>
  <c r="C773" i="9"/>
  <c r="C759" i="9"/>
  <c r="C745" i="9"/>
  <c r="C734" i="9"/>
  <c r="C720" i="9"/>
  <c r="C709" i="9"/>
  <c r="C695" i="9"/>
  <c r="C681" i="9"/>
  <c r="C670" i="9"/>
  <c r="C656" i="9"/>
  <c r="C645" i="9"/>
  <c r="C631" i="9"/>
  <c r="C617" i="9"/>
  <c r="C606" i="9"/>
  <c r="C592" i="9"/>
  <c r="C581" i="9"/>
  <c r="C567" i="9"/>
  <c r="C553" i="9"/>
  <c r="C542" i="9"/>
  <c r="C528" i="9"/>
  <c r="C517" i="9"/>
  <c r="C503" i="9"/>
  <c r="C489" i="9"/>
  <c r="C478" i="9"/>
  <c r="C464" i="9"/>
  <c r="C453" i="9"/>
  <c r="C439" i="9"/>
  <c r="C425" i="9"/>
  <c r="C414" i="9"/>
  <c r="C400" i="9"/>
  <c r="C389" i="9"/>
  <c r="C375" i="9"/>
  <c r="C361" i="9"/>
  <c r="C350" i="9"/>
  <c r="C336" i="9"/>
  <c r="C325" i="9"/>
  <c r="C311" i="9"/>
  <c r="C297" i="9"/>
  <c r="C286" i="9"/>
  <c r="C272" i="9"/>
  <c r="C261" i="9"/>
  <c r="C247" i="9"/>
  <c r="C233" i="9"/>
  <c r="C222" i="9"/>
  <c r="C208" i="9"/>
  <c r="C197" i="9"/>
  <c r="C183" i="9"/>
  <c r="C169" i="9"/>
  <c r="C158" i="9"/>
  <c r="C144" i="9"/>
  <c r="C133" i="9"/>
  <c r="C119" i="9"/>
  <c r="C105" i="9"/>
  <c r="I2146" i="9"/>
  <c r="H1287" i="9"/>
  <c r="H2056" i="9"/>
  <c r="G344" i="9"/>
  <c r="G765" i="9"/>
  <c r="G1182" i="9"/>
  <c r="G1502" i="9"/>
  <c r="G1822" i="9"/>
  <c r="G2142" i="9"/>
  <c r="F94" i="9"/>
  <c r="F319" i="9"/>
  <c r="F606" i="9"/>
  <c r="F896" i="9"/>
  <c r="F1118" i="9"/>
  <c r="F1408" i="9"/>
  <c r="F1630" i="9"/>
  <c r="F1841" i="9"/>
  <c r="F2022" i="9"/>
  <c r="F2120" i="9"/>
  <c r="F2278" i="9"/>
  <c r="E41" i="9"/>
  <c r="E199" i="9"/>
  <c r="E296" i="9"/>
  <c r="E361" i="9"/>
  <c r="E456" i="9"/>
  <c r="E521" i="9"/>
  <c r="E616" i="9"/>
  <c r="E711" i="9"/>
  <c r="E776" i="9"/>
  <c r="E871" i="9"/>
  <c r="E936" i="9"/>
  <c r="E1031" i="9"/>
  <c r="E1111" i="9"/>
  <c r="E1191" i="9"/>
  <c r="E1271" i="9"/>
  <c r="E1351" i="9"/>
  <c r="E1431" i="9"/>
  <c r="E1514" i="9"/>
  <c r="E1591" i="9"/>
  <c r="E1674" i="9"/>
  <c r="E1751" i="9"/>
  <c r="E1834" i="9"/>
  <c r="E1914" i="9"/>
  <c r="E1968" i="9"/>
  <c r="E2040" i="9"/>
  <c r="E2083" i="9"/>
  <c r="E2146" i="9"/>
  <c r="E2209" i="9"/>
  <c r="E2253" i="9"/>
  <c r="E2302" i="9"/>
  <c r="E2335" i="9"/>
  <c r="D47" i="9"/>
  <c r="D86" i="9"/>
  <c r="D118" i="9"/>
  <c r="D150" i="9"/>
  <c r="D191" i="9"/>
  <c r="D223" i="9"/>
  <c r="D255" i="9"/>
  <c r="D289" i="9"/>
  <c r="D321" i="9"/>
  <c r="D353" i="9"/>
  <c r="D398" i="9"/>
  <c r="D430" i="9"/>
  <c r="D462" i="9"/>
  <c r="D496" i="9"/>
  <c r="D528" i="9"/>
  <c r="D560" i="9"/>
  <c r="D598" i="9"/>
  <c r="D630" i="9"/>
  <c r="D662" i="9"/>
  <c r="D703" i="9"/>
  <c r="D735" i="9"/>
  <c r="D767" i="9"/>
  <c r="D801" i="9"/>
  <c r="D833" i="9"/>
  <c r="D865" i="9"/>
  <c r="D910" i="9"/>
  <c r="D942" i="9"/>
  <c r="D974" i="9"/>
  <c r="D1008" i="9"/>
  <c r="D1040" i="9"/>
  <c r="D1072" i="9"/>
  <c r="D1110" i="9"/>
  <c r="D1142" i="9"/>
  <c r="D1174" i="9"/>
  <c r="D1215" i="9"/>
  <c r="D1247" i="9"/>
  <c r="D1279" i="9"/>
  <c r="D1313" i="9"/>
  <c r="D1345" i="9"/>
  <c r="D1377" i="9"/>
  <c r="D1422" i="9"/>
  <c r="D1454" i="9"/>
  <c r="D1486" i="9"/>
  <c r="D1518" i="9"/>
  <c r="D1537" i="9"/>
  <c r="D1567" i="9"/>
  <c r="D1590" i="9"/>
  <c r="D1616" i="9"/>
  <c r="D1646" i="9"/>
  <c r="D1665" i="9"/>
  <c r="D1695" i="9"/>
  <c r="D1718" i="9"/>
  <c r="D1744" i="9"/>
  <c r="D1774" i="9"/>
  <c r="D1793" i="9"/>
  <c r="D1823" i="9"/>
  <c r="D1846" i="9"/>
  <c r="D1872" i="9"/>
  <c r="D1895" i="9"/>
  <c r="D1912" i="9"/>
  <c r="D1935" i="9"/>
  <c r="D1952" i="9"/>
  <c r="D1975" i="9"/>
  <c r="D1998" i="9"/>
  <c r="D2015" i="9"/>
  <c r="D2034" i="9"/>
  <c r="D2049" i="9"/>
  <c r="D2069" i="9"/>
  <c r="D2087" i="9"/>
  <c r="D2102" i="9"/>
  <c r="D2120" i="9"/>
  <c r="D2135" i="9"/>
  <c r="D2153" i="9"/>
  <c r="D2173" i="9"/>
  <c r="D2186" i="9"/>
  <c r="D2206" i="9"/>
  <c r="D2221" i="9"/>
  <c r="D2239" i="9"/>
  <c r="D2257" i="9"/>
  <c r="D2272" i="9"/>
  <c r="D2290" i="9"/>
  <c r="D2305" i="9"/>
  <c r="D2323" i="9"/>
  <c r="C2335" i="9"/>
  <c r="C2322" i="9"/>
  <c r="C2306" i="9"/>
  <c r="C2293" i="9"/>
  <c r="C2277" i="9"/>
  <c r="C2261" i="9"/>
  <c r="C2249" i="9"/>
  <c r="C2233" i="9"/>
  <c r="C2220" i="9"/>
  <c r="C2204" i="9"/>
  <c r="C2188" i="9"/>
  <c r="C2176" i="9"/>
  <c r="C2160" i="9"/>
  <c r="C2147" i="9"/>
  <c r="C2131" i="9"/>
  <c r="C2115" i="9"/>
  <c r="C2103" i="9"/>
  <c r="C2088" i="9"/>
  <c r="C2077" i="9"/>
  <c r="C2063" i="9"/>
  <c r="C2049" i="9"/>
  <c r="C2038" i="9"/>
  <c r="C2024" i="9"/>
  <c r="C2013" i="9"/>
  <c r="C1999" i="9"/>
  <c r="C1985" i="9"/>
  <c r="C1974" i="9"/>
  <c r="C1960" i="9"/>
  <c r="C1949" i="9"/>
  <c r="C1935" i="9"/>
  <c r="C1921" i="9"/>
  <c r="C1910" i="9"/>
  <c r="C1896" i="9"/>
  <c r="C1885" i="9"/>
  <c r="C1871" i="9"/>
  <c r="C1857" i="9"/>
  <c r="C1846" i="9"/>
  <c r="C1832" i="9"/>
  <c r="C1821" i="9"/>
  <c r="C1807" i="9"/>
  <c r="C1793" i="9"/>
  <c r="C1782" i="9"/>
  <c r="C1768" i="9"/>
  <c r="C1757" i="9"/>
  <c r="C1743" i="9"/>
  <c r="C1729" i="9"/>
  <c r="C1718" i="9"/>
  <c r="C1704" i="9"/>
  <c r="C1693" i="9"/>
  <c r="C1679" i="9"/>
  <c r="C1665" i="9"/>
  <c r="C1654" i="9"/>
  <c r="C1640" i="9"/>
  <c r="C1629" i="9"/>
  <c r="C1615" i="9"/>
  <c r="C1601" i="9"/>
  <c r="C1590" i="9"/>
  <c r="C1576" i="9"/>
  <c r="C1565" i="9"/>
  <c r="C1551" i="9"/>
  <c r="C1537" i="9"/>
  <c r="C1526" i="9"/>
  <c r="C1512" i="9"/>
  <c r="C1501" i="9"/>
  <c r="C1487" i="9"/>
  <c r="C1473" i="9"/>
  <c r="C1462" i="9"/>
  <c r="C1448" i="9"/>
  <c r="C1437" i="9"/>
  <c r="C1423" i="9"/>
  <c r="C1409" i="9"/>
  <c r="C1398" i="9"/>
  <c r="C1384" i="9"/>
  <c r="C1373" i="9"/>
  <c r="C1359" i="9"/>
  <c r="C1345" i="9"/>
  <c r="C1334" i="9"/>
  <c r="C1320" i="9"/>
  <c r="C1309" i="9"/>
  <c r="C1295" i="9"/>
  <c r="C1281" i="9"/>
  <c r="C1270" i="9"/>
  <c r="C1256" i="9"/>
  <c r="C1245" i="9"/>
  <c r="C1231" i="9"/>
  <c r="C1217" i="9"/>
  <c r="C1206" i="9"/>
  <c r="C1192" i="9"/>
  <c r="C1181" i="9"/>
  <c r="C1167" i="9"/>
  <c r="C1153" i="9"/>
  <c r="C1142" i="9"/>
  <c r="C1128" i="9"/>
  <c r="C1117" i="9"/>
  <c r="C1103" i="9"/>
  <c r="C1089" i="9"/>
  <c r="C1078" i="9"/>
  <c r="C1064" i="9"/>
  <c r="C1053" i="9"/>
  <c r="C1039" i="9"/>
  <c r="C1025" i="9"/>
  <c r="C1014" i="9"/>
  <c r="C1000" i="9"/>
  <c r="C989" i="9"/>
  <c r="C975" i="9"/>
  <c r="C961" i="9"/>
  <c r="C950" i="9"/>
  <c r="C936" i="9"/>
  <c r="C925" i="9"/>
  <c r="C911" i="9"/>
  <c r="C897" i="9"/>
  <c r="C886" i="9"/>
  <c r="C872" i="9"/>
  <c r="C861" i="9"/>
  <c r="C847" i="9"/>
  <c r="C833" i="9"/>
  <c r="C822" i="9"/>
  <c r="C808" i="9"/>
  <c r="C797" i="9"/>
  <c r="C783" i="9"/>
  <c r="C769" i="9"/>
  <c r="C758" i="9"/>
  <c r="C744" i="9"/>
  <c r="C733" i="9"/>
  <c r="C719" i="9"/>
  <c r="C705" i="9"/>
  <c r="C694" i="9"/>
  <c r="C680" i="9"/>
  <c r="C669" i="9"/>
  <c r="C655" i="9"/>
  <c r="C641" i="9"/>
  <c r="C630" i="9"/>
  <c r="C616" i="9"/>
  <c r="C605" i="9"/>
  <c r="C591" i="9"/>
  <c r="C577" i="9"/>
  <c r="C566" i="9"/>
  <c r="C552" i="9"/>
  <c r="C541" i="9"/>
  <c r="C527" i="9"/>
  <c r="C513" i="9"/>
  <c r="C502" i="9"/>
  <c r="C488" i="9"/>
  <c r="C477" i="9"/>
  <c r="C463" i="9"/>
  <c r="C449" i="9"/>
  <c r="C438" i="9"/>
  <c r="C424" i="9"/>
  <c r="C413" i="9"/>
  <c r="C399" i="9"/>
  <c r="C385" i="9"/>
  <c r="C374" i="9"/>
  <c r="C360" i="9"/>
  <c r="C349" i="9"/>
  <c r="C335" i="9"/>
  <c r="C321" i="9"/>
  <c r="C310" i="9"/>
  <c r="C296" i="9"/>
  <c r="C285" i="9"/>
  <c r="C271" i="9"/>
  <c r="C257" i="9"/>
  <c r="C246" i="9"/>
  <c r="C232" i="9"/>
  <c r="C221" i="9"/>
  <c r="C207" i="9"/>
  <c r="C193" i="9"/>
  <c r="C182" i="9"/>
  <c r="C168" i="9"/>
  <c r="C157" i="9"/>
  <c r="C143" i="9"/>
  <c r="C129" i="9"/>
  <c r="C118" i="9"/>
  <c r="C104" i="9"/>
  <c r="I2293" i="9"/>
  <c r="H1288" i="9"/>
  <c r="H2057" i="9"/>
  <c r="G377" i="9"/>
  <c r="G829" i="9"/>
  <c r="G1183" i="9"/>
  <c r="G1503" i="9"/>
  <c r="G1823" i="9"/>
  <c r="G2143" i="9"/>
  <c r="F126" i="9"/>
  <c r="F385" i="9"/>
  <c r="F638" i="9"/>
  <c r="F897" i="9"/>
  <c r="F1150" i="9"/>
  <c r="F1409" i="9"/>
  <c r="F1709" i="9"/>
  <c r="F1843" i="9"/>
  <c r="F2023" i="9"/>
  <c r="F2121" i="9"/>
  <c r="F2279" i="9"/>
  <c r="E87" i="9"/>
  <c r="E200" i="9"/>
  <c r="E297" i="9"/>
  <c r="E362" i="9"/>
  <c r="E457" i="9"/>
  <c r="E552" i="9"/>
  <c r="E617" i="9"/>
  <c r="E712" i="9"/>
  <c r="E777" i="9"/>
  <c r="E872" i="9"/>
  <c r="E967" i="9"/>
  <c r="E1032" i="9"/>
  <c r="E1127" i="9"/>
  <c r="E1192" i="9"/>
  <c r="E1287" i="9"/>
  <c r="E1367" i="9"/>
  <c r="E1447" i="9"/>
  <c r="E1527" i="9"/>
  <c r="E1607" i="9"/>
  <c r="E1687" i="9"/>
  <c r="E1770" i="9"/>
  <c r="E1847" i="9"/>
  <c r="E1915" i="9"/>
  <c r="E1976" i="9"/>
  <c r="E2041" i="9"/>
  <c r="E2104" i="9"/>
  <c r="E2147" i="9"/>
  <c r="E2210" i="9"/>
  <c r="E2255" i="9"/>
  <c r="E2303" i="9"/>
  <c r="D15" i="9"/>
  <c r="D48" i="9"/>
  <c r="D94" i="9"/>
  <c r="D126" i="9"/>
  <c r="D158" i="9"/>
  <c r="D192" i="9"/>
  <c r="D224" i="9"/>
  <c r="D256" i="9"/>
  <c r="D294" i="9"/>
  <c r="B2306" i="9"/>
  <c r="B2270" i="9"/>
  <c r="B2232" i="9"/>
  <c r="B2191" i="9"/>
  <c r="B2094" i="9"/>
  <c r="B2039" i="9"/>
  <c r="B1990" i="9"/>
  <c r="B1927" i="9"/>
  <c r="B1886" i="9"/>
  <c r="B1823" i="9"/>
  <c r="B1752" i="9"/>
  <c r="B1691" i="9"/>
  <c r="B1592" i="9"/>
  <c r="B1513" i="9"/>
  <c r="B1425" i="9"/>
  <c r="B1298" i="9"/>
  <c r="B1196" i="9"/>
  <c r="B1091" i="9"/>
  <c r="B2333" i="9"/>
  <c r="B2305" i="9"/>
  <c r="B2266" i="9"/>
  <c r="B2231" i="9"/>
  <c r="B2183" i="9"/>
  <c r="B2142" i="9"/>
  <c r="B2090" i="9"/>
  <c r="B2030" i="9"/>
  <c r="B1986" i="9"/>
  <c r="B1926" i="9"/>
  <c r="B1863" i="9"/>
  <c r="B1822" i="9"/>
  <c r="B1750" i="9"/>
  <c r="B1676" i="9"/>
  <c r="B1588" i="9"/>
  <c r="B1489" i="9"/>
  <c r="B1402" i="9"/>
  <c r="B1297" i="9"/>
  <c r="B1195" i="9"/>
  <c r="B1068" i="9"/>
  <c r="B963" i="9"/>
  <c r="B864" i="9"/>
  <c r="B662" i="9"/>
  <c r="B492" i="9"/>
  <c r="B222" i="9"/>
  <c r="C5" i="9"/>
  <c r="C16" i="9"/>
  <c r="C30" i="9"/>
  <c r="C41" i="9"/>
  <c r="C55" i="9"/>
  <c r="C69" i="9"/>
  <c r="C80" i="9"/>
  <c r="C94" i="9"/>
  <c r="C110" i="9"/>
  <c r="C126" i="9"/>
  <c r="C142" i="9"/>
  <c r="C160" i="9"/>
  <c r="C176" i="9"/>
  <c r="C192" i="9"/>
  <c r="C213" i="9"/>
  <c r="C229" i="9"/>
  <c r="C245" i="9"/>
  <c r="C265" i="9"/>
  <c r="C288" i="9"/>
  <c r="C305" i="9"/>
  <c r="C328" i="9"/>
  <c r="C345" i="9"/>
  <c r="C368" i="9"/>
  <c r="C391" i="9"/>
  <c r="C408" i="9"/>
  <c r="C431" i="9"/>
  <c r="C448" i="9"/>
  <c r="C471" i="9"/>
  <c r="C494" i="9"/>
  <c r="C511" i="9"/>
  <c r="C534" i="9"/>
  <c r="C551" i="9"/>
  <c r="C574" i="9"/>
  <c r="C597" i="9"/>
  <c r="C614" i="9"/>
  <c r="C637" i="9"/>
  <c r="C654" i="9"/>
  <c r="C677" i="9"/>
  <c r="C697" i="9"/>
  <c r="C717" i="9"/>
  <c r="C737" i="9"/>
  <c r="C757" i="9"/>
  <c r="C777" i="9"/>
  <c r="C800" i="9"/>
  <c r="C817" i="9"/>
  <c r="C840" i="9"/>
  <c r="C857" i="9"/>
  <c r="C880" i="9"/>
  <c r="C903" i="9"/>
  <c r="C920" i="9"/>
  <c r="C943" i="9"/>
  <c r="C960" i="9"/>
  <c r="C983" i="9"/>
  <c r="C1006" i="9"/>
  <c r="C1023" i="9"/>
  <c r="C1046" i="9"/>
  <c r="C1063" i="9"/>
  <c r="C1086" i="9"/>
  <c r="C1109" i="9"/>
  <c r="C1126" i="9"/>
  <c r="C1149" i="9"/>
  <c r="C1166" i="9"/>
  <c r="C1189" i="9"/>
  <c r="C1209" i="9"/>
  <c r="C1229" i="9"/>
  <c r="C1249" i="9"/>
  <c r="C1269" i="9"/>
  <c r="C1289" i="9"/>
  <c r="C1312" i="9"/>
  <c r="C1329" i="9"/>
  <c r="C1352" i="9"/>
  <c r="C1369" i="9"/>
  <c r="C1392" i="9"/>
  <c r="C1415" i="9"/>
  <c r="C1432" i="9"/>
  <c r="C1455" i="9"/>
  <c r="C1472" i="9"/>
  <c r="C1495" i="9"/>
  <c r="C1518" i="9"/>
  <c r="C1535" i="9"/>
  <c r="C1558" i="9"/>
  <c r="C1575" i="9"/>
  <c r="C1598" i="9"/>
  <c r="C1621" i="9"/>
  <c r="C1638" i="9"/>
  <c r="C1661" i="9"/>
  <c r="C1678" i="9"/>
  <c r="C1701" i="9"/>
  <c r="C1721" i="9"/>
  <c r="C1741" i="9"/>
  <c r="C1761" i="9"/>
  <c r="C1781" i="9"/>
  <c r="C1801" i="9"/>
  <c r="C1824" i="9"/>
  <c r="C1841" i="9"/>
  <c r="C1864" i="9"/>
  <c r="C1881" i="9"/>
  <c r="C1904" i="9"/>
  <c r="C1927" i="9"/>
  <c r="C1944" i="9"/>
  <c r="C1967" i="9"/>
  <c r="C1984" i="9"/>
  <c r="C2007" i="9"/>
  <c r="C2030" i="9"/>
  <c r="C2047" i="9"/>
  <c r="C2070" i="9"/>
  <c r="C2087" i="9"/>
  <c r="C2112" i="9"/>
  <c r="C2138" i="9"/>
  <c r="C2157" i="9"/>
  <c r="C2184" i="9"/>
  <c r="C2203" i="9"/>
  <c r="C2229" i="9"/>
  <c r="C2252" i="9"/>
  <c r="C2275" i="9"/>
  <c r="C2298" i="9"/>
  <c r="C2321" i="9"/>
  <c r="D2330" i="9"/>
  <c r="D2302" i="9"/>
  <c r="D2279" i="9"/>
  <c r="D2248" i="9"/>
  <c r="D2225" i="9"/>
  <c r="D2194" i="9"/>
  <c r="D2165" i="9"/>
  <c r="D2142" i="9"/>
  <c r="D2111" i="9"/>
  <c r="D2088" i="9"/>
  <c r="D2057" i="9"/>
  <c r="D2026" i="9"/>
  <c r="D2000" i="9"/>
  <c r="D1962" i="9"/>
  <c r="D1936" i="9"/>
  <c r="D1898" i="9"/>
  <c r="D1862" i="9"/>
  <c r="D1825" i="9"/>
  <c r="D1782" i="9"/>
  <c r="D1745" i="9"/>
  <c r="D1702" i="9"/>
  <c r="D1662" i="9"/>
  <c r="D1622" i="9"/>
  <c r="D1582" i="9"/>
  <c r="D1542" i="9"/>
  <c r="D1502" i="9"/>
  <c r="D1438" i="9"/>
  <c r="D1392" i="9"/>
  <c r="D1328" i="9"/>
  <c r="D1280" i="9"/>
  <c r="D1222" i="9"/>
  <c r="D1167" i="9"/>
  <c r="D1119" i="9"/>
  <c r="D1057" i="9"/>
  <c r="D1009" i="9"/>
  <c r="D945" i="9"/>
  <c r="D894" i="9"/>
  <c r="D846" i="9"/>
  <c r="D784" i="9"/>
  <c r="D736" i="9"/>
  <c r="D678" i="9"/>
  <c r="D614" i="9"/>
  <c r="D575" i="9"/>
  <c r="D511" i="9"/>
  <c r="D463" i="9"/>
  <c r="D401" i="9"/>
  <c r="D350" i="9"/>
  <c r="D302" i="9"/>
  <c r="D225" i="9"/>
  <c r="D161" i="9"/>
  <c r="D95" i="9"/>
  <c r="D16" i="9"/>
  <c r="E2271" i="9"/>
  <c r="E2154" i="9"/>
  <c r="E2048" i="9"/>
  <c r="E1923" i="9"/>
  <c r="E1783" i="9"/>
  <c r="E1623" i="9"/>
  <c r="E1448" i="9"/>
  <c r="E1288" i="9"/>
  <c r="E1128" i="9"/>
  <c r="E968" i="9"/>
  <c r="E808" i="9"/>
  <c r="E618" i="9"/>
  <c r="E458" i="9"/>
  <c r="E298" i="9"/>
  <c r="E103" i="9"/>
  <c r="F2182" i="9"/>
  <c r="F1861" i="9"/>
  <c r="F1438" i="9"/>
  <c r="F926" i="9"/>
  <c r="F414" i="9"/>
  <c r="G2237" i="9"/>
  <c r="G1629" i="9"/>
  <c r="G957" i="9"/>
  <c r="H2313" i="9"/>
  <c r="H470" i="9"/>
  <c r="B2034" i="9"/>
  <c r="K3" i="9"/>
  <c r="K11" i="9"/>
  <c r="K19" i="9"/>
  <c r="K27" i="9"/>
  <c r="K35" i="9"/>
  <c r="K43" i="9"/>
  <c r="K51" i="9"/>
  <c r="K59" i="9"/>
  <c r="K67" i="9"/>
  <c r="K75" i="9"/>
  <c r="K83" i="9"/>
  <c r="K91" i="9"/>
  <c r="K99" i="9"/>
  <c r="K107" i="9"/>
  <c r="K115" i="9"/>
  <c r="K123" i="9"/>
  <c r="K131" i="9"/>
  <c r="K139" i="9"/>
  <c r="K147" i="9"/>
  <c r="K155" i="9"/>
  <c r="K163" i="9"/>
  <c r="K171" i="9"/>
  <c r="K179" i="9"/>
  <c r="K187" i="9"/>
  <c r="K195" i="9"/>
  <c r="K203" i="9"/>
  <c r="K211" i="9"/>
  <c r="K219" i="9"/>
  <c r="K227" i="9"/>
  <c r="K235" i="9"/>
  <c r="K243" i="9"/>
  <c r="K251" i="9"/>
  <c r="K259" i="9"/>
  <c r="K267" i="9"/>
  <c r="K275" i="9"/>
  <c r="K283" i="9"/>
  <c r="K291" i="9"/>
  <c r="K299" i="9"/>
  <c r="K307" i="9"/>
  <c r="K315" i="9"/>
  <c r="K323" i="9"/>
  <c r="K331" i="9"/>
  <c r="K339" i="9"/>
  <c r="K347" i="9"/>
  <c r="K355" i="9"/>
  <c r="K363" i="9"/>
  <c r="K371" i="9"/>
  <c r="K379" i="9"/>
  <c r="K387" i="9"/>
  <c r="K395" i="9"/>
  <c r="K403" i="9"/>
  <c r="K411" i="9"/>
  <c r="K419" i="9"/>
  <c r="K427" i="9"/>
  <c r="K435" i="9"/>
  <c r="K443" i="9"/>
  <c r="K451" i="9"/>
  <c r="K459" i="9"/>
  <c r="K467" i="9"/>
  <c r="K475" i="9"/>
  <c r="K483" i="9"/>
  <c r="K491" i="9"/>
  <c r="K499" i="9"/>
  <c r="K507" i="9"/>
  <c r="K515" i="9"/>
  <c r="K523" i="9"/>
  <c r="K531" i="9"/>
  <c r="K539" i="9"/>
  <c r="K547" i="9"/>
  <c r="K555" i="9"/>
  <c r="K563" i="9"/>
  <c r="K571" i="9"/>
  <c r="K579" i="9"/>
  <c r="K587" i="9"/>
  <c r="K595" i="9"/>
  <c r="K603" i="9"/>
  <c r="K611" i="9"/>
  <c r="K619" i="9"/>
  <c r="K627" i="9"/>
  <c r="K635" i="9"/>
  <c r="K643" i="9"/>
  <c r="K651" i="9"/>
  <c r="K659" i="9"/>
  <c r="K667" i="9"/>
  <c r="K675" i="9"/>
  <c r="K4" i="9"/>
  <c r="K12" i="9"/>
  <c r="K20" i="9"/>
  <c r="K28" i="9"/>
  <c r="K36" i="9"/>
  <c r="K44" i="9"/>
  <c r="K52" i="9"/>
  <c r="K60" i="9"/>
  <c r="K68" i="9"/>
  <c r="K76" i="9"/>
  <c r="K84" i="9"/>
  <c r="K92" i="9"/>
  <c r="K100" i="9"/>
  <c r="K108" i="9"/>
  <c r="K116" i="9"/>
  <c r="K124" i="9"/>
  <c r="K132" i="9"/>
  <c r="K140" i="9"/>
  <c r="K148" i="9"/>
  <c r="K156" i="9"/>
  <c r="K164" i="9"/>
  <c r="K172" i="9"/>
  <c r="K180" i="9"/>
  <c r="K188" i="9"/>
  <c r="K196" i="9"/>
  <c r="K204" i="9"/>
  <c r="K212" i="9"/>
  <c r="K220" i="9"/>
  <c r="K228" i="9"/>
  <c r="K236" i="9"/>
  <c r="K244" i="9"/>
  <c r="K252" i="9"/>
  <c r="K260" i="9"/>
  <c r="K268" i="9"/>
  <c r="K276" i="9"/>
  <c r="K284" i="9"/>
  <c r="K292" i="9"/>
  <c r="K300" i="9"/>
  <c r="K308" i="9"/>
  <c r="K316" i="9"/>
  <c r="K324" i="9"/>
  <c r="K332" i="9"/>
  <c r="K340" i="9"/>
  <c r="K348" i="9"/>
  <c r="K356" i="9"/>
  <c r="K364" i="9"/>
  <c r="K372" i="9"/>
  <c r="K380" i="9"/>
  <c r="K388" i="9"/>
  <c r="K396" i="9"/>
  <c r="K404" i="9"/>
  <c r="K412" i="9"/>
  <c r="K420" i="9"/>
  <c r="K428" i="9"/>
  <c r="K436" i="9"/>
  <c r="K444" i="9"/>
  <c r="K452" i="9"/>
  <c r="K460" i="9"/>
  <c r="K468" i="9"/>
  <c r="K476" i="9"/>
  <c r="K484" i="9"/>
  <c r="K492" i="9"/>
  <c r="K500" i="9"/>
  <c r="K508" i="9"/>
  <c r="K516" i="9"/>
  <c r="K524" i="9"/>
  <c r="K532" i="9"/>
  <c r="K540" i="9"/>
  <c r="K548" i="9"/>
  <c r="K556" i="9"/>
  <c r="K564" i="9"/>
  <c r="K572" i="9"/>
  <c r="K580" i="9"/>
  <c r="K588" i="9"/>
  <c r="K596" i="9"/>
  <c r="K604" i="9"/>
  <c r="K612" i="9"/>
  <c r="K620" i="9"/>
  <c r="K628" i="9"/>
  <c r="K636" i="9"/>
  <c r="K644" i="9"/>
  <c r="K652" i="9"/>
  <c r="K660" i="9"/>
  <c r="K668" i="9"/>
  <c r="K676" i="9"/>
  <c r="K5" i="9"/>
  <c r="K13" i="9"/>
  <c r="K21" i="9"/>
  <c r="K29" i="9"/>
  <c r="K37" i="9"/>
  <c r="K45" i="9"/>
  <c r="K53" i="9"/>
  <c r="K61" i="9"/>
  <c r="K69" i="9"/>
  <c r="K77" i="9"/>
  <c r="K85" i="9"/>
  <c r="K93" i="9"/>
  <c r="K101" i="9"/>
  <c r="K109" i="9"/>
  <c r="K117" i="9"/>
  <c r="K125" i="9"/>
  <c r="K133" i="9"/>
  <c r="K141" i="9"/>
  <c r="K149" i="9"/>
  <c r="K157" i="9"/>
  <c r="K165" i="9"/>
  <c r="K173" i="9"/>
  <c r="K181" i="9"/>
  <c r="K189" i="9"/>
  <c r="K197" i="9"/>
  <c r="K205" i="9"/>
  <c r="K213" i="9"/>
  <c r="K221" i="9"/>
  <c r="K229" i="9"/>
  <c r="K237" i="9"/>
  <c r="K245" i="9"/>
  <c r="K253" i="9"/>
  <c r="K261" i="9"/>
  <c r="K269" i="9"/>
  <c r="K277" i="9"/>
  <c r="K285" i="9"/>
  <c r="K293" i="9"/>
  <c r="K301" i="9"/>
  <c r="K309" i="9"/>
  <c r="K317" i="9"/>
  <c r="K325" i="9"/>
  <c r="K333" i="9"/>
  <c r="K341" i="9"/>
  <c r="K349" i="9"/>
  <c r="K357" i="9"/>
  <c r="K365" i="9"/>
  <c r="K373" i="9"/>
  <c r="K381" i="9"/>
  <c r="K389" i="9"/>
  <c r="K397" i="9"/>
  <c r="K405" i="9"/>
  <c r="K413" i="9"/>
  <c r="K421" i="9"/>
  <c r="K429" i="9"/>
  <c r="K437" i="9"/>
  <c r="K445" i="9"/>
  <c r="K453" i="9"/>
  <c r="K461" i="9"/>
  <c r="K469" i="9"/>
  <c r="K477" i="9"/>
  <c r="K485" i="9"/>
  <c r="K493" i="9"/>
  <c r="K501" i="9"/>
  <c r="K509" i="9"/>
  <c r="K517" i="9"/>
  <c r="K525" i="9"/>
  <c r="K533" i="9"/>
  <c r="K541" i="9"/>
  <c r="K549" i="9"/>
  <c r="K557" i="9"/>
  <c r="K565" i="9"/>
  <c r="K573" i="9"/>
  <c r="K581" i="9"/>
  <c r="K589" i="9"/>
  <c r="K597" i="9"/>
  <c r="K605" i="9"/>
  <c r="K613" i="9"/>
  <c r="K621" i="9"/>
  <c r="K629" i="9"/>
  <c r="K637" i="9"/>
  <c r="K645" i="9"/>
  <c r="K653" i="9"/>
  <c r="K661" i="9"/>
  <c r="K669" i="9"/>
  <c r="K677" i="9"/>
  <c r="K6" i="9"/>
  <c r="K14" i="9"/>
  <c r="K22" i="9"/>
  <c r="K30" i="9"/>
  <c r="K38" i="9"/>
  <c r="K46" i="9"/>
  <c r="K54" i="9"/>
  <c r="K62" i="9"/>
  <c r="K70" i="9"/>
  <c r="K78" i="9"/>
  <c r="K86" i="9"/>
  <c r="K94" i="9"/>
  <c r="K102" i="9"/>
  <c r="K110" i="9"/>
  <c r="K118" i="9"/>
  <c r="K126" i="9"/>
  <c r="K134" i="9"/>
  <c r="K142" i="9"/>
  <c r="K150" i="9"/>
  <c r="K158" i="9"/>
  <c r="K166" i="9"/>
  <c r="K174" i="9"/>
  <c r="K182" i="9"/>
  <c r="K190" i="9"/>
  <c r="K198" i="9"/>
  <c r="K206" i="9"/>
  <c r="K214" i="9"/>
  <c r="K222" i="9"/>
  <c r="K230" i="9"/>
  <c r="K238" i="9"/>
  <c r="K246" i="9"/>
  <c r="K254" i="9"/>
  <c r="K262" i="9"/>
  <c r="K270" i="9"/>
  <c r="K278" i="9"/>
  <c r="K286" i="9"/>
  <c r="K294" i="9"/>
  <c r="K302" i="9"/>
  <c r="K310" i="9"/>
  <c r="K318" i="9"/>
  <c r="K326" i="9"/>
  <c r="K334" i="9"/>
  <c r="K342" i="9"/>
  <c r="K350" i="9"/>
  <c r="K358" i="9"/>
  <c r="K366" i="9"/>
  <c r="K374" i="9"/>
  <c r="K382" i="9"/>
  <c r="K390" i="9"/>
  <c r="K398" i="9"/>
  <c r="K406" i="9"/>
  <c r="K414" i="9"/>
  <c r="K422" i="9"/>
  <c r="K430" i="9"/>
  <c r="K438" i="9"/>
  <c r="K446" i="9"/>
  <c r="K454" i="9"/>
  <c r="K462" i="9"/>
  <c r="K470" i="9"/>
  <c r="K478" i="9"/>
  <c r="K486" i="9"/>
  <c r="K494" i="9"/>
  <c r="K502" i="9"/>
  <c r="K510" i="9"/>
  <c r="K518" i="9"/>
  <c r="K526" i="9"/>
  <c r="K534" i="9"/>
  <c r="K542" i="9"/>
  <c r="K550" i="9"/>
  <c r="K558" i="9"/>
  <c r="K566" i="9"/>
  <c r="K574" i="9"/>
  <c r="K582" i="9"/>
  <c r="K590" i="9"/>
  <c r="K598" i="9"/>
  <c r="K606" i="9"/>
  <c r="K614" i="9"/>
  <c r="K622" i="9"/>
  <c r="K630" i="9"/>
  <c r="K638" i="9"/>
  <c r="K646" i="9"/>
  <c r="K654" i="9"/>
  <c r="K662" i="9"/>
  <c r="K670" i="9"/>
  <c r="K678" i="9"/>
  <c r="K7" i="9"/>
  <c r="K23" i="9"/>
  <c r="K39" i="9"/>
  <c r="K55" i="9"/>
  <c r="K71" i="9"/>
  <c r="K87" i="9"/>
  <c r="K103" i="9"/>
  <c r="K119" i="9"/>
  <c r="K135" i="9"/>
  <c r="K151" i="9"/>
  <c r="K167" i="9"/>
  <c r="K183" i="9"/>
  <c r="K199" i="9"/>
  <c r="K215" i="9"/>
  <c r="K231" i="9"/>
  <c r="K247" i="9"/>
  <c r="K263" i="9"/>
  <c r="K279" i="9"/>
  <c r="K295" i="9"/>
  <c r="K311" i="9"/>
  <c r="K327" i="9"/>
  <c r="K343" i="9"/>
  <c r="K359" i="9"/>
  <c r="K375" i="9"/>
  <c r="K391" i="9"/>
  <c r="K407" i="9"/>
  <c r="K423" i="9"/>
  <c r="K439" i="9"/>
  <c r="K455" i="9"/>
  <c r="K471" i="9"/>
  <c r="K487" i="9"/>
  <c r="K503" i="9"/>
  <c r="K519" i="9"/>
  <c r="K535" i="9"/>
  <c r="K551" i="9"/>
  <c r="K567" i="9"/>
  <c r="K583" i="9"/>
  <c r="K599" i="9"/>
  <c r="K615" i="9"/>
  <c r="K631" i="9"/>
  <c r="K647" i="9"/>
  <c r="K663" i="9"/>
  <c r="K679" i="9"/>
  <c r="K687" i="9"/>
  <c r="K695" i="9"/>
  <c r="K703" i="9"/>
  <c r="K711" i="9"/>
  <c r="K719" i="9"/>
  <c r="K727" i="9"/>
  <c r="K735" i="9"/>
  <c r="K743" i="9"/>
  <c r="K751" i="9"/>
  <c r="K759" i="9"/>
  <c r="K767" i="9"/>
  <c r="K775" i="9"/>
  <c r="K783" i="9"/>
  <c r="K791" i="9"/>
  <c r="K799" i="9"/>
  <c r="K807" i="9"/>
  <c r="K815" i="9"/>
  <c r="K823" i="9"/>
  <c r="K831" i="9"/>
  <c r="K839" i="9"/>
  <c r="K847" i="9"/>
  <c r="K855" i="9"/>
  <c r="K863" i="9"/>
  <c r="K871" i="9"/>
  <c r="K879" i="9"/>
  <c r="K887" i="9"/>
  <c r="K895" i="9"/>
  <c r="K903" i="9"/>
  <c r="K911" i="9"/>
  <c r="K919" i="9"/>
  <c r="K927" i="9"/>
  <c r="K935" i="9"/>
  <c r="K943" i="9"/>
  <c r="K951" i="9"/>
  <c r="K959" i="9"/>
  <c r="K967" i="9"/>
  <c r="K975" i="9"/>
  <c r="K983" i="9"/>
  <c r="K991" i="9"/>
  <c r="K999" i="9"/>
  <c r="K1007" i="9"/>
  <c r="K1015" i="9"/>
  <c r="K8" i="9"/>
  <c r="K24" i="9"/>
  <c r="K40" i="9"/>
  <c r="K56" i="9"/>
  <c r="K72" i="9"/>
  <c r="K88" i="9"/>
  <c r="K104" i="9"/>
  <c r="K120" i="9"/>
  <c r="K136" i="9"/>
  <c r="K152" i="9"/>
  <c r="K168" i="9"/>
  <c r="K184" i="9"/>
  <c r="K200" i="9"/>
  <c r="K216" i="9"/>
  <c r="K232" i="9"/>
  <c r="K248" i="9"/>
  <c r="K264" i="9"/>
  <c r="K280" i="9"/>
  <c r="K296" i="9"/>
  <c r="K312" i="9"/>
  <c r="K328" i="9"/>
  <c r="K344" i="9"/>
  <c r="K360" i="9"/>
  <c r="K376" i="9"/>
  <c r="K392" i="9"/>
  <c r="K408" i="9"/>
  <c r="K424" i="9"/>
  <c r="K440" i="9"/>
  <c r="K456" i="9"/>
  <c r="K472" i="9"/>
  <c r="K488" i="9"/>
  <c r="K504" i="9"/>
  <c r="K520" i="9"/>
  <c r="K536" i="9"/>
  <c r="K552" i="9"/>
  <c r="K568" i="9"/>
  <c r="K584" i="9"/>
  <c r="K600" i="9"/>
  <c r="K616" i="9"/>
  <c r="K632" i="9"/>
  <c r="K648" i="9"/>
  <c r="K664" i="9"/>
  <c r="K680" i="9"/>
  <c r="K688" i="9"/>
  <c r="K696" i="9"/>
  <c r="K704" i="9"/>
  <c r="K712" i="9"/>
  <c r="K720" i="9"/>
  <c r="K728" i="9"/>
  <c r="K736" i="9"/>
  <c r="K744" i="9"/>
  <c r="K752" i="9"/>
  <c r="K760" i="9"/>
  <c r="K768" i="9"/>
  <c r="K776" i="9"/>
  <c r="K784" i="9"/>
  <c r="K792" i="9"/>
  <c r="K800" i="9"/>
  <c r="K808" i="9"/>
  <c r="K816" i="9"/>
  <c r="K824" i="9"/>
  <c r="K832" i="9"/>
  <c r="K840" i="9"/>
  <c r="K848" i="9"/>
  <c r="K856" i="9"/>
  <c r="K864" i="9"/>
  <c r="K872" i="9"/>
  <c r="K880" i="9"/>
  <c r="K888" i="9"/>
  <c r="K896" i="9"/>
  <c r="K904" i="9"/>
  <c r="K912" i="9"/>
  <c r="K920" i="9"/>
  <c r="K928" i="9"/>
  <c r="K936" i="9"/>
  <c r="K944" i="9"/>
  <c r="K952" i="9"/>
  <c r="K960" i="9"/>
  <c r="K968" i="9"/>
  <c r="K976" i="9"/>
  <c r="K984" i="9"/>
  <c r="K992" i="9"/>
  <c r="K1000" i="9"/>
  <c r="K1008" i="9"/>
  <c r="K1016" i="9"/>
  <c r="K1024" i="9"/>
  <c r="K9" i="9"/>
  <c r="K25" i="9"/>
  <c r="K41" i="9"/>
  <c r="K57" i="9"/>
  <c r="K73" i="9"/>
  <c r="K89" i="9"/>
  <c r="K105" i="9"/>
  <c r="K121" i="9"/>
  <c r="K137" i="9"/>
  <c r="K153" i="9"/>
  <c r="K169" i="9"/>
  <c r="K185" i="9"/>
  <c r="K201" i="9"/>
  <c r="K217" i="9"/>
  <c r="K233" i="9"/>
  <c r="K249" i="9"/>
  <c r="K265" i="9"/>
  <c r="K281" i="9"/>
  <c r="K297" i="9"/>
  <c r="K313" i="9"/>
  <c r="K329" i="9"/>
  <c r="K345" i="9"/>
  <c r="K361" i="9"/>
  <c r="K377" i="9"/>
  <c r="K393" i="9"/>
  <c r="K409" i="9"/>
  <c r="K425" i="9"/>
  <c r="K441" i="9"/>
  <c r="K457" i="9"/>
  <c r="K473" i="9"/>
  <c r="K489" i="9"/>
  <c r="K505" i="9"/>
  <c r="K521" i="9"/>
  <c r="K537" i="9"/>
  <c r="K553" i="9"/>
  <c r="K569" i="9"/>
  <c r="K585" i="9"/>
  <c r="K601" i="9"/>
  <c r="K617" i="9"/>
  <c r="K633" i="9"/>
  <c r="K649" i="9"/>
  <c r="K665" i="9"/>
  <c r="K681" i="9"/>
  <c r="K689" i="9"/>
  <c r="K697" i="9"/>
  <c r="K705" i="9"/>
  <c r="K713" i="9"/>
  <c r="K721" i="9"/>
  <c r="K729" i="9"/>
  <c r="K737" i="9"/>
  <c r="K745" i="9"/>
  <c r="K753" i="9"/>
  <c r="K761" i="9"/>
  <c r="K769" i="9"/>
  <c r="K777" i="9"/>
  <c r="K785" i="9"/>
  <c r="K793" i="9"/>
  <c r="K801" i="9"/>
  <c r="K809" i="9"/>
  <c r="K817" i="9"/>
  <c r="K825" i="9"/>
  <c r="K833" i="9"/>
  <c r="K841" i="9"/>
  <c r="K849" i="9"/>
  <c r="K857" i="9"/>
  <c r="K865" i="9"/>
  <c r="K873" i="9"/>
  <c r="K881" i="9"/>
  <c r="K889" i="9"/>
  <c r="K897" i="9"/>
  <c r="K905" i="9"/>
  <c r="K913" i="9"/>
  <c r="K921" i="9"/>
  <c r="K929" i="9"/>
  <c r="K937" i="9"/>
  <c r="K945" i="9"/>
  <c r="K953" i="9"/>
  <c r="K961" i="9"/>
  <c r="K969" i="9"/>
  <c r="K977" i="9"/>
  <c r="K985" i="9"/>
  <c r="K10" i="9"/>
  <c r="K26" i="9"/>
  <c r="K42" i="9"/>
  <c r="K58" i="9"/>
  <c r="K74" i="9"/>
  <c r="K90" i="9"/>
  <c r="K106" i="9"/>
  <c r="K122" i="9"/>
  <c r="K138" i="9"/>
  <c r="K154" i="9"/>
  <c r="K170" i="9"/>
  <c r="K186" i="9"/>
  <c r="K202" i="9"/>
  <c r="K218" i="9"/>
  <c r="K234" i="9"/>
  <c r="K250" i="9"/>
  <c r="K266" i="9"/>
  <c r="K282" i="9"/>
  <c r="K298" i="9"/>
  <c r="K314" i="9"/>
  <c r="K330" i="9"/>
  <c r="K346" i="9"/>
  <c r="K362" i="9"/>
  <c r="K378" i="9"/>
  <c r="K394" i="9"/>
  <c r="K410" i="9"/>
  <c r="K426" i="9"/>
  <c r="K442" i="9"/>
  <c r="K458" i="9"/>
  <c r="K474" i="9"/>
  <c r="K490" i="9"/>
  <c r="K506" i="9"/>
  <c r="K522" i="9"/>
  <c r="K538" i="9"/>
  <c r="K554" i="9"/>
  <c r="K570" i="9"/>
  <c r="K586" i="9"/>
  <c r="K602" i="9"/>
  <c r="K618" i="9"/>
  <c r="K634" i="9"/>
  <c r="K650" i="9"/>
  <c r="K666" i="9"/>
  <c r="K682" i="9"/>
  <c r="K690" i="9"/>
  <c r="K698" i="9"/>
  <c r="K706" i="9"/>
  <c r="K714" i="9"/>
  <c r="K722" i="9"/>
  <c r="K730" i="9"/>
  <c r="K738" i="9"/>
  <c r="K746" i="9"/>
  <c r="K754" i="9"/>
  <c r="K762" i="9"/>
  <c r="K770" i="9"/>
  <c r="K778" i="9"/>
  <c r="K786" i="9"/>
  <c r="K794" i="9"/>
  <c r="K802" i="9"/>
  <c r="K810" i="9"/>
  <c r="K818" i="9"/>
  <c r="K826" i="9"/>
  <c r="K834" i="9"/>
  <c r="K842" i="9"/>
  <c r="K850" i="9"/>
  <c r="K858" i="9"/>
  <c r="K866" i="9"/>
  <c r="K874" i="9"/>
  <c r="K882" i="9"/>
  <c r="K890" i="9"/>
  <c r="K898" i="9"/>
  <c r="K906" i="9"/>
  <c r="K914" i="9"/>
  <c r="K922" i="9"/>
  <c r="K930" i="9"/>
  <c r="K938" i="9"/>
  <c r="K946" i="9"/>
  <c r="K954" i="9"/>
  <c r="K962" i="9"/>
  <c r="K970" i="9"/>
  <c r="K978" i="9"/>
  <c r="K986" i="9"/>
  <c r="K15" i="9"/>
  <c r="K47" i="9"/>
  <c r="K79" i="9"/>
  <c r="K111" i="9"/>
  <c r="K143" i="9"/>
  <c r="K175" i="9"/>
  <c r="K207" i="9"/>
  <c r="K239" i="9"/>
  <c r="K271" i="9"/>
  <c r="K303" i="9"/>
  <c r="K335" i="9"/>
  <c r="K367" i="9"/>
  <c r="K399" i="9"/>
  <c r="K431" i="9"/>
  <c r="K463" i="9"/>
  <c r="K495" i="9"/>
  <c r="K527" i="9"/>
  <c r="K559" i="9"/>
  <c r="K591" i="9"/>
  <c r="K623" i="9"/>
  <c r="K655" i="9"/>
  <c r="K683" i="9"/>
  <c r="K699" i="9"/>
  <c r="K715" i="9"/>
  <c r="K731" i="9"/>
  <c r="K747" i="9"/>
  <c r="K763" i="9"/>
  <c r="K779" i="9"/>
  <c r="K795" i="9"/>
  <c r="K811" i="9"/>
  <c r="K827" i="9"/>
  <c r="K843" i="9"/>
  <c r="K859" i="9"/>
  <c r="K875" i="9"/>
  <c r="K891" i="9"/>
  <c r="K907" i="9"/>
  <c r="K923" i="9"/>
  <c r="K939" i="9"/>
  <c r="K955" i="9"/>
  <c r="K971" i="9"/>
  <c r="K987" i="9"/>
  <c r="K997" i="9"/>
  <c r="K1009" i="9"/>
  <c r="K1019" i="9"/>
  <c r="K1028" i="9"/>
  <c r="K1036" i="9"/>
  <c r="K1044" i="9"/>
  <c r="K1052" i="9"/>
  <c r="K1060" i="9"/>
  <c r="K1068" i="9"/>
  <c r="K1076" i="9"/>
  <c r="K1084" i="9"/>
  <c r="K1092" i="9"/>
  <c r="K1100" i="9"/>
  <c r="K1108" i="9"/>
  <c r="K1116" i="9"/>
  <c r="K1124" i="9"/>
  <c r="K1132" i="9"/>
  <c r="K1140" i="9"/>
  <c r="K1148" i="9"/>
  <c r="K1156" i="9"/>
  <c r="K1164" i="9"/>
  <c r="K1172" i="9"/>
  <c r="K1180" i="9"/>
  <c r="K1188" i="9"/>
  <c r="K1196" i="9"/>
  <c r="K1204" i="9"/>
  <c r="K1212" i="9"/>
  <c r="K1220" i="9"/>
  <c r="K1228" i="9"/>
  <c r="K1236" i="9"/>
  <c r="K1244" i="9"/>
  <c r="K1252" i="9"/>
  <c r="K1260" i="9"/>
  <c r="K1268" i="9"/>
  <c r="K1276" i="9"/>
  <c r="K1284" i="9"/>
  <c r="K1292" i="9"/>
  <c r="K1300" i="9"/>
  <c r="K1308" i="9"/>
  <c r="K1316" i="9"/>
  <c r="K1324" i="9"/>
  <c r="K1332" i="9"/>
  <c r="K1340" i="9"/>
  <c r="K1348" i="9"/>
  <c r="K1356" i="9"/>
  <c r="K1364" i="9"/>
  <c r="K1372" i="9"/>
  <c r="K1380" i="9"/>
  <c r="K1388" i="9"/>
  <c r="K1396" i="9"/>
  <c r="K1404" i="9"/>
  <c r="K1412" i="9"/>
  <c r="K1420" i="9"/>
  <c r="K1428" i="9"/>
  <c r="K1436" i="9"/>
  <c r="K1444" i="9"/>
  <c r="K1452" i="9"/>
  <c r="K1460" i="9"/>
  <c r="K1468" i="9"/>
  <c r="K1476" i="9"/>
  <c r="K1484" i="9"/>
  <c r="K1492" i="9"/>
  <c r="K1500" i="9"/>
  <c r="K1508" i="9"/>
  <c r="K1516" i="9"/>
  <c r="K1524" i="9"/>
  <c r="K1532" i="9"/>
  <c r="K1540" i="9"/>
  <c r="K1548" i="9"/>
  <c r="K1556" i="9"/>
  <c r="K1564" i="9"/>
  <c r="K1572" i="9"/>
  <c r="K1580" i="9"/>
  <c r="K1588" i="9"/>
  <c r="K1596" i="9"/>
  <c r="K1604" i="9"/>
  <c r="K1612" i="9"/>
  <c r="K1620" i="9"/>
  <c r="K1628" i="9"/>
  <c r="K1636" i="9"/>
  <c r="K1644" i="9"/>
  <c r="K1652" i="9"/>
  <c r="K1660" i="9"/>
  <c r="K1668" i="9"/>
  <c r="K1676" i="9"/>
  <c r="K1684" i="9"/>
  <c r="K1692" i="9"/>
  <c r="K1700" i="9"/>
  <c r="K1708" i="9"/>
  <c r="K1716" i="9"/>
  <c r="K1724" i="9"/>
  <c r="K1732" i="9"/>
  <c r="K1740" i="9"/>
  <c r="K1748" i="9"/>
  <c r="K1756" i="9"/>
  <c r="K1764" i="9"/>
  <c r="K1772" i="9"/>
  <c r="K1780" i="9"/>
  <c r="K1788" i="9"/>
  <c r="K1796" i="9"/>
  <c r="K1804" i="9"/>
  <c r="K1812" i="9"/>
  <c r="K1820" i="9"/>
  <c r="K1828" i="9"/>
  <c r="K1836" i="9"/>
  <c r="K1844" i="9"/>
  <c r="K1852" i="9"/>
  <c r="K1860" i="9"/>
  <c r="K1868" i="9"/>
  <c r="K1876" i="9"/>
  <c r="K1884" i="9"/>
  <c r="K1892" i="9"/>
  <c r="K1900" i="9"/>
  <c r="K1908" i="9"/>
  <c r="K1916" i="9"/>
  <c r="K1924" i="9"/>
  <c r="K1932" i="9"/>
  <c r="K1940" i="9"/>
  <c r="K1948" i="9"/>
  <c r="K1956" i="9"/>
  <c r="K1964" i="9"/>
  <c r="K1972" i="9"/>
  <c r="K1980" i="9"/>
  <c r="K1988" i="9"/>
  <c r="K1996" i="9"/>
  <c r="K2004" i="9"/>
  <c r="K2012" i="9"/>
  <c r="K2020" i="9"/>
  <c r="K2028" i="9"/>
  <c r="K16" i="9"/>
  <c r="K48" i="9"/>
  <c r="K80" i="9"/>
  <c r="K112" i="9"/>
  <c r="K144" i="9"/>
  <c r="K176" i="9"/>
  <c r="K208" i="9"/>
  <c r="K240" i="9"/>
  <c r="K272" i="9"/>
  <c r="K304" i="9"/>
  <c r="K336" i="9"/>
  <c r="K368" i="9"/>
  <c r="K400" i="9"/>
  <c r="K432" i="9"/>
  <c r="K464" i="9"/>
  <c r="K496" i="9"/>
  <c r="K528" i="9"/>
  <c r="K560" i="9"/>
  <c r="K592" i="9"/>
  <c r="K624" i="9"/>
  <c r="K656" i="9"/>
  <c r="K684" i="9"/>
  <c r="K700" i="9"/>
  <c r="K716" i="9"/>
  <c r="K732" i="9"/>
  <c r="K748" i="9"/>
  <c r="K764" i="9"/>
  <c r="K780" i="9"/>
  <c r="K796" i="9"/>
  <c r="K812" i="9"/>
  <c r="K828" i="9"/>
  <c r="K844" i="9"/>
  <c r="K860" i="9"/>
  <c r="K876" i="9"/>
  <c r="K892" i="9"/>
  <c r="K908" i="9"/>
  <c r="K924" i="9"/>
  <c r="K940" i="9"/>
  <c r="K956" i="9"/>
  <c r="K972" i="9"/>
  <c r="K988" i="9"/>
  <c r="K998" i="9"/>
  <c r="K1010" i="9"/>
  <c r="K1020" i="9"/>
  <c r="K1029" i="9"/>
  <c r="K1037" i="9"/>
  <c r="K1045" i="9"/>
  <c r="K1053" i="9"/>
  <c r="K1061" i="9"/>
  <c r="K1069" i="9"/>
  <c r="K1077" i="9"/>
  <c r="K1085" i="9"/>
  <c r="K1093" i="9"/>
  <c r="K1101" i="9"/>
  <c r="K1109" i="9"/>
  <c r="K1117" i="9"/>
  <c r="K1125" i="9"/>
  <c r="K1133" i="9"/>
  <c r="K1141" i="9"/>
  <c r="K1149" i="9"/>
  <c r="K1157" i="9"/>
  <c r="K1165" i="9"/>
  <c r="K1173" i="9"/>
  <c r="K1181" i="9"/>
  <c r="K1189" i="9"/>
  <c r="K1197" i="9"/>
  <c r="K1205" i="9"/>
  <c r="K1213" i="9"/>
  <c r="K1221" i="9"/>
  <c r="K1229" i="9"/>
  <c r="K1237" i="9"/>
  <c r="K1245" i="9"/>
  <c r="K1253" i="9"/>
  <c r="K1261" i="9"/>
  <c r="K1269" i="9"/>
  <c r="K1277" i="9"/>
  <c r="K1285" i="9"/>
  <c r="K1293" i="9"/>
  <c r="K1301" i="9"/>
  <c r="K1309" i="9"/>
  <c r="K1317" i="9"/>
  <c r="K1325" i="9"/>
  <c r="K1333" i="9"/>
  <c r="K1341" i="9"/>
  <c r="K1349" i="9"/>
  <c r="K1357" i="9"/>
  <c r="K1365" i="9"/>
  <c r="K1373" i="9"/>
  <c r="K1381" i="9"/>
  <c r="K1389" i="9"/>
  <c r="K1397" i="9"/>
  <c r="K1405" i="9"/>
  <c r="K1413" i="9"/>
  <c r="K1421" i="9"/>
  <c r="K1429" i="9"/>
  <c r="K1437" i="9"/>
  <c r="K1445" i="9"/>
  <c r="K1453" i="9"/>
  <c r="K1461" i="9"/>
  <c r="K1469" i="9"/>
  <c r="K1477" i="9"/>
  <c r="K1485" i="9"/>
  <c r="K1493" i="9"/>
  <c r="K1501" i="9"/>
  <c r="K1509" i="9"/>
  <c r="K1517" i="9"/>
  <c r="K1525" i="9"/>
  <c r="K1533" i="9"/>
  <c r="K1541" i="9"/>
  <c r="K1549" i="9"/>
  <c r="K1557" i="9"/>
  <c r="K1565" i="9"/>
  <c r="K1573" i="9"/>
  <c r="K1581" i="9"/>
  <c r="K1589" i="9"/>
  <c r="K1597" i="9"/>
  <c r="K1605" i="9"/>
  <c r="K1613" i="9"/>
  <c r="K1621" i="9"/>
  <c r="K1629" i="9"/>
  <c r="K1637" i="9"/>
  <c r="K1645" i="9"/>
  <c r="K1653" i="9"/>
  <c r="K1661" i="9"/>
  <c r="K1669" i="9"/>
  <c r="K1677" i="9"/>
  <c r="K1685" i="9"/>
  <c r="K1693" i="9"/>
  <c r="K1701" i="9"/>
  <c r="K1709" i="9"/>
  <c r="K1717" i="9"/>
  <c r="K1725" i="9"/>
  <c r="K1733" i="9"/>
  <c r="K1741" i="9"/>
  <c r="K1749" i="9"/>
  <c r="K1757" i="9"/>
  <c r="K1765" i="9"/>
  <c r="K1773" i="9"/>
  <c r="K1781" i="9"/>
  <c r="K1789" i="9"/>
  <c r="K1797" i="9"/>
  <c r="K1805" i="9"/>
  <c r="K1813" i="9"/>
  <c r="K1821" i="9"/>
  <c r="K1829" i="9"/>
  <c r="K1837" i="9"/>
  <c r="K1845" i="9"/>
  <c r="K1853" i="9"/>
  <c r="K1861" i="9"/>
  <c r="K1869" i="9"/>
  <c r="K1877" i="9"/>
  <c r="K1885" i="9"/>
  <c r="K1893" i="9"/>
  <c r="K1901" i="9"/>
  <c r="K1909" i="9"/>
  <c r="K1917" i="9"/>
  <c r="K1925" i="9"/>
  <c r="K1933" i="9"/>
  <c r="K1941" i="9"/>
  <c r="K1949" i="9"/>
  <c r="K1957" i="9"/>
  <c r="K1965" i="9"/>
  <c r="K1973" i="9"/>
  <c r="K1981" i="9"/>
  <c r="K1989" i="9"/>
  <c r="K1997" i="9"/>
  <c r="K2005" i="9"/>
  <c r="K2013" i="9"/>
  <c r="K2021" i="9"/>
  <c r="K2029" i="9"/>
  <c r="K17" i="9"/>
  <c r="K49" i="9"/>
  <c r="K81" i="9"/>
  <c r="K113" i="9"/>
  <c r="K145" i="9"/>
  <c r="K177" i="9"/>
  <c r="K209" i="9"/>
  <c r="K241" i="9"/>
  <c r="K273" i="9"/>
  <c r="K305" i="9"/>
  <c r="K337" i="9"/>
  <c r="K369" i="9"/>
  <c r="K401" i="9"/>
  <c r="K433" i="9"/>
  <c r="K465" i="9"/>
  <c r="K497" i="9"/>
  <c r="K529" i="9"/>
  <c r="K561" i="9"/>
  <c r="K593" i="9"/>
  <c r="K625" i="9"/>
  <c r="K657" i="9"/>
  <c r="K685" i="9"/>
  <c r="K701" i="9"/>
  <c r="K717" i="9"/>
  <c r="K733" i="9"/>
  <c r="K749" i="9"/>
  <c r="K765" i="9"/>
  <c r="K781" i="9"/>
  <c r="K797" i="9"/>
  <c r="K813" i="9"/>
  <c r="K829" i="9"/>
  <c r="K845" i="9"/>
  <c r="K861" i="9"/>
  <c r="K877" i="9"/>
  <c r="K893" i="9"/>
  <c r="K909" i="9"/>
  <c r="K925" i="9"/>
  <c r="K941" i="9"/>
  <c r="K957" i="9"/>
  <c r="K973" i="9"/>
  <c r="K989" i="9"/>
  <c r="K1001" i="9"/>
  <c r="K1011" i="9"/>
  <c r="K1021" i="9"/>
  <c r="K1030" i="9"/>
  <c r="K1038" i="9"/>
  <c r="K1046" i="9"/>
  <c r="K1054" i="9"/>
  <c r="K1062" i="9"/>
  <c r="K1070" i="9"/>
  <c r="K1078" i="9"/>
  <c r="K1086" i="9"/>
  <c r="K1094" i="9"/>
  <c r="K1102" i="9"/>
  <c r="K1110" i="9"/>
  <c r="K1118" i="9"/>
  <c r="K1126" i="9"/>
  <c r="K1134" i="9"/>
  <c r="K1142" i="9"/>
  <c r="K1150" i="9"/>
  <c r="K1158" i="9"/>
  <c r="K1166" i="9"/>
  <c r="K1174" i="9"/>
  <c r="K1182" i="9"/>
  <c r="K1190" i="9"/>
  <c r="K1198" i="9"/>
  <c r="K1206" i="9"/>
  <c r="K1214" i="9"/>
  <c r="K1222" i="9"/>
  <c r="K1230" i="9"/>
  <c r="K1238" i="9"/>
  <c r="K1246" i="9"/>
  <c r="K1254" i="9"/>
  <c r="K1262" i="9"/>
  <c r="K1270" i="9"/>
  <c r="K1278" i="9"/>
  <c r="K1286" i="9"/>
  <c r="K1294" i="9"/>
  <c r="K1302" i="9"/>
  <c r="K1310" i="9"/>
  <c r="K1318" i="9"/>
  <c r="K1326" i="9"/>
  <c r="K1334" i="9"/>
  <c r="K1342" i="9"/>
  <c r="K1350" i="9"/>
  <c r="K1358" i="9"/>
  <c r="K1366" i="9"/>
  <c r="K1374" i="9"/>
  <c r="K1382" i="9"/>
  <c r="K1390" i="9"/>
  <c r="K1398" i="9"/>
  <c r="K1406" i="9"/>
  <c r="K1414" i="9"/>
  <c r="K1422" i="9"/>
  <c r="K1430" i="9"/>
  <c r="K1438" i="9"/>
  <c r="K1446" i="9"/>
  <c r="K1454" i="9"/>
  <c r="K1462" i="9"/>
  <c r="K1470" i="9"/>
  <c r="K1478" i="9"/>
  <c r="K1486" i="9"/>
  <c r="K1494" i="9"/>
  <c r="K1502" i="9"/>
  <c r="K1510" i="9"/>
  <c r="K1518" i="9"/>
  <c r="K1526" i="9"/>
  <c r="K1534" i="9"/>
  <c r="K1542" i="9"/>
  <c r="K1550" i="9"/>
  <c r="K1558" i="9"/>
  <c r="K1566" i="9"/>
  <c r="K1574" i="9"/>
  <c r="K1582" i="9"/>
  <c r="K1590" i="9"/>
  <c r="K1598" i="9"/>
  <c r="K1606" i="9"/>
  <c r="K1614" i="9"/>
  <c r="K1622" i="9"/>
  <c r="K1630" i="9"/>
  <c r="K1638" i="9"/>
  <c r="K1646" i="9"/>
  <c r="K1654" i="9"/>
  <c r="K1662" i="9"/>
  <c r="K1670" i="9"/>
  <c r="K1678" i="9"/>
  <c r="K1686" i="9"/>
  <c r="K1694" i="9"/>
  <c r="K1702" i="9"/>
  <c r="K1710" i="9"/>
  <c r="K1718" i="9"/>
  <c r="K1726" i="9"/>
  <c r="K1734" i="9"/>
  <c r="K1742" i="9"/>
  <c r="K1750" i="9"/>
  <c r="K1758" i="9"/>
  <c r="K1766" i="9"/>
  <c r="K1774" i="9"/>
  <c r="K1782" i="9"/>
  <c r="K1790" i="9"/>
  <c r="K1798" i="9"/>
  <c r="K1806" i="9"/>
  <c r="K1814" i="9"/>
  <c r="K1822" i="9"/>
  <c r="K1830" i="9"/>
  <c r="K1838" i="9"/>
  <c r="K1846" i="9"/>
  <c r="K1854" i="9"/>
  <c r="K1862" i="9"/>
  <c r="K1870" i="9"/>
  <c r="K1878" i="9"/>
  <c r="K1886" i="9"/>
  <c r="K1894" i="9"/>
  <c r="K1902" i="9"/>
  <c r="K1910" i="9"/>
  <c r="K1918" i="9"/>
  <c r="K1926" i="9"/>
  <c r="K1934" i="9"/>
  <c r="K1942" i="9"/>
  <c r="K1950" i="9"/>
  <c r="K1958" i="9"/>
  <c r="K1966" i="9"/>
  <c r="K1974" i="9"/>
  <c r="K1982" i="9"/>
  <c r="K1990" i="9"/>
  <c r="K1998" i="9"/>
  <c r="K2006" i="9"/>
  <c r="K2014" i="9"/>
  <c r="K2022" i="9"/>
  <c r="K2030" i="9"/>
  <c r="K18" i="9"/>
  <c r="K50" i="9"/>
  <c r="K82" i="9"/>
  <c r="K114" i="9"/>
  <c r="K146" i="9"/>
  <c r="K178" i="9"/>
  <c r="K210" i="9"/>
  <c r="K242" i="9"/>
  <c r="K274" i="9"/>
  <c r="K306" i="9"/>
  <c r="K338" i="9"/>
  <c r="K370" i="9"/>
  <c r="K402" i="9"/>
  <c r="K434" i="9"/>
  <c r="K466" i="9"/>
  <c r="K498" i="9"/>
  <c r="K530" i="9"/>
  <c r="K562" i="9"/>
  <c r="K594" i="9"/>
  <c r="K626" i="9"/>
  <c r="K658" i="9"/>
  <c r="K686" i="9"/>
  <c r="K702" i="9"/>
  <c r="K718" i="9"/>
  <c r="K734" i="9"/>
  <c r="K750" i="9"/>
  <c r="K766" i="9"/>
  <c r="K782" i="9"/>
  <c r="K798" i="9"/>
  <c r="K814" i="9"/>
  <c r="K830" i="9"/>
  <c r="K846" i="9"/>
  <c r="K862" i="9"/>
  <c r="K878" i="9"/>
  <c r="K894" i="9"/>
  <c r="K910" i="9"/>
  <c r="K926" i="9"/>
  <c r="K942" i="9"/>
  <c r="K958" i="9"/>
  <c r="K974" i="9"/>
  <c r="K990" i="9"/>
  <c r="K1002" i="9"/>
  <c r="K1012" i="9"/>
  <c r="K1022" i="9"/>
  <c r="K1031" i="9"/>
  <c r="K1039" i="9"/>
  <c r="K1047" i="9"/>
  <c r="K1055" i="9"/>
  <c r="K1063" i="9"/>
  <c r="K1071" i="9"/>
  <c r="K1079" i="9"/>
  <c r="K1087" i="9"/>
  <c r="K1095" i="9"/>
  <c r="K1103" i="9"/>
  <c r="K1111" i="9"/>
  <c r="K1119" i="9"/>
  <c r="K1127" i="9"/>
  <c r="K1135" i="9"/>
  <c r="K1143" i="9"/>
  <c r="K1151" i="9"/>
  <c r="K1159" i="9"/>
  <c r="K1167" i="9"/>
  <c r="K1175" i="9"/>
  <c r="K1183" i="9"/>
  <c r="K1191" i="9"/>
  <c r="K1199" i="9"/>
  <c r="K1207" i="9"/>
  <c r="K1215" i="9"/>
  <c r="K1223" i="9"/>
  <c r="K1231" i="9"/>
  <c r="K1239" i="9"/>
  <c r="K1247" i="9"/>
  <c r="K1255" i="9"/>
  <c r="K1263" i="9"/>
  <c r="K1271" i="9"/>
  <c r="K1279" i="9"/>
  <c r="K1287" i="9"/>
  <c r="K1295" i="9"/>
  <c r="K1303" i="9"/>
  <c r="K1311" i="9"/>
  <c r="K1319" i="9"/>
  <c r="K1327" i="9"/>
  <c r="K1335" i="9"/>
  <c r="K1343" i="9"/>
  <c r="K1351" i="9"/>
  <c r="K1359" i="9"/>
  <c r="K1367" i="9"/>
  <c r="K1375" i="9"/>
  <c r="K1383" i="9"/>
  <c r="K1391" i="9"/>
  <c r="K1399" i="9"/>
  <c r="K1407" i="9"/>
  <c r="K1415" i="9"/>
  <c r="K1423" i="9"/>
  <c r="K1431" i="9"/>
  <c r="K1439" i="9"/>
  <c r="K1447" i="9"/>
  <c r="K1455" i="9"/>
  <c r="K1463" i="9"/>
  <c r="K1471" i="9"/>
  <c r="K1479" i="9"/>
  <c r="K1487" i="9"/>
  <c r="K1495" i="9"/>
  <c r="K1503" i="9"/>
  <c r="K1511" i="9"/>
  <c r="K1519" i="9"/>
  <c r="K1527" i="9"/>
  <c r="K1535" i="9"/>
  <c r="K1543" i="9"/>
  <c r="K1551" i="9"/>
  <c r="K1559" i="9"/>
  <c r="K1567" i="9"/>
  <c r="K1575" i="9"/>
  <c r="K1583" i="9"/>
  <c r="K1591" i="9"/>
  <c r="K1599" i="9"/>
  <c r="K1607" i="9"/>
  <c r="K1615" i="9"/>
  <c r="K1623" i="9"/>
  <c r="K1631" i="9"/>
  <c r="K1639" i="9"/>
  <c r="K1647" i="9"/>
  <c r="K1655" i="9"/>
  <c r="K1663" i="9"/>
  <c r="K1671" i="9"/>
  <c r="K1679" i="9"/>
  <c r="K1687" i="9"/>
  <c r="K1695" i="9"/>
  <c r="K1703" i="9"/>
  <c r="K1711" i="9"/>
  <c r="K1719" i="9"/>
  <c r="K1727" i="9"/>
  <c r="K1735" i="9"/>
  <c r="K1743" i="9"/>
  <c r="K1751" i="9"/>
  <c r="K1759" i="9"/>
  <c r="K1767" i="9"/>
  <c r="K1775" i="9"/>
  <c r="K1783" i="9"/>
  <c r="K1791" i="9"/>
  <c r="K1799" i="9"/>
  <c r="K1807" i="9"/>
  <c r="K1815" i="9"/>
  <c r="K1823" i="9"/>
  <c r="K1831" i="9"/>
  <c r="K1839" i="9"/>
  <c r="K1847" i="9"/>
  <c r="K1855" i="9"/>
  <c r="K1863" i="9"/>
  <c r="K1871" i="9"/>
  <c r="K1879" i="9"/>
  <c r="K1887" i="9"/>
  <c r="K1895" i="9"/>
  <c r="K1903" i="9"/>
  <c r="K1911" i="9"/>
  <c r="K1919" i="9"/>
  <c r="K1927" i="9"/>
  <c r="K1935" i="9"/>
  <c r="K1943" i="9"/>
  <c r="K1951" i="9"/>
  <c r="K1959" i="9"/>
  <c r="K1967" i="9"/>
  <c r="K1975" i="9"/>
  <c r="K1983" i="9"/>
  <c r="K1991" i="9"/>
  <c r="K1999" i="9"/>
  <c r="K2007" i="9"/>
  <c r="K2015" i="9"/>
  <c r="K2023" i="9"/>
  <c r="K2031" i="9"/>
  <c r="K31" i="9"/>
  <c r="K95" i="9"/>
  <c r="K159" i="9"/>
  <c r="K223" i="9"/>
  <c r="K287" i="9"/>
  <c r="K351" i="9"/>
  <c r="K415" i="9"/>
  <c r="K479" i="9"/>
  <c r="K543" i="9"/>
  <c r="K607" i="9"/>
  <c r="K671" i="9"/>
  <c r="K707" i="9"/>
  <c r="K739" i="9"/>
  <c r="K771" i="9"/>
  <c r="K803" i="9"/>
  <c r="K835" i="9"/>
  <c r="K867" i="9"/>
  <c r="K899" i="9"/>
  <c r="K931" i="9"/>
  <c r="K963" i="9"/>
  <c r="K993" i="9"/>
  <c r="K1013" i="9"/>
  <c r="K1032" i="9"/>
  <c r="K1048" i="9"/>
  <c r="K1064" i="9"/>
  <c r="K1080" i="9"/>
  <c r="K1096" i="9"/>
  <c r="K1112" i="9"/>
  <c r="K1128" i="9"/>
  <c r="K1144" i="9"/>
  <c r="K1160" i="9"/>
  <c r="K1176" i="9"/>
  <c r="K1192" i="9"/>
  <c r="K1208" i="9"/>
  <c r="K1224" i="9"/>
  <c r="K1240" i="9"/>
  <c r="K1256" i="9"/>
  <c r="K1272" i="9"/>
  <c r="K1288" i="9"/>
  <c r="K1304" i="9"/>
  <c r="K1320" i="9"/>
  <c r="K1336" i="9"/>
  <c r="K1352" i="9"/>
  <c r="K1368" i="9"/>
  <c r="K1384" i="9"/>
  <c r="K1400" i="9"/>
  <c r="K1416" i="9"/>
  <c r="K1432" i="9"/>
  <c r="K1448" i="9"/>
  <c r="K1464" i="9"/>
  <c r="K1480" i="9"/>
  <c r="K1496" i="9"/>
  <c r="K1512" i="9"/>
  <c r="K1528" i="9"/>
  <c r="K1544" i="9"/>
  <c r="K1560" i="9"/>
  <c r="K1576" i="9"/>
  <c r="K1592" i="9"/>
  <c r="K1608" i="9"/>
  <c r="K1624" i="9"/>
  <c r="K1640" i="9"/>
  <c r="K1656" i="9"/>
  <c r="K1672" i="9"/>
  <c r="K1688" i="9"/>
  <c r="K1704" i="9"/>
  <c r="K1720" i="9"/>
  <c r="K1736" i="9"/>
  <c r="K1752" i="9"/>
  <c r="K1768" i="9"/>
  <c r="K1784" i="9"/>
  <c r="K1800" i="9"/>
  <c r="K1816" i="9"/>
  <c r="K1832" i="9"/>
  <c r="K1848" i="9"/>
  <c r="K1864" i="9"/>
  <c r="K1880" i="9"/>
  <c r="K1896" i="9"/>
  <c r="K1912" i="9"/>
  <c r="K1928" i="9"/>
  <c r="K1944" i="9"/>
  <c r="K1960" i="9"/>
  <c r="K1976" i="9"/>
  <c r="K1992" i="9"/>
  <c r="K2008" i="9"/>
  <c r="K2024" i="9"/>
  <c r="K2036" i="9"/>
  <c r="K2044" i="9"/>
  <c r="K2052" i="9"/>
  <c r="K2060" i="9"/>
  <c r="K2068" i="9"/>
  <c r="K2076" i="9"/>
  <c r="K2084" i="9"/>
  <c r="K2092" i="9"/>
  <c r="K2100" i="9"/>
  <c r="K2108" i="9"/>
  <c r="K2116" i="9"/>
  <c r="K2124" i="9"/>
  <c r="K2132" i="9"/>
  <c r="K2140" i="9"/>
  <c r="K2148" i="9"/>
  <c r="K2156" i="9"/>
  <c r="K2164" i="9"/>
  <c r="K2172" i="9"/>
  <c r="K2180" i="9"/>
  <c r="K2188" i="9"/>
  <c r="K2196" i="9"/>
  <c r="K2204" i="9"/>
  <c r="K2212" i="9"/>
  <c r="K2220" i="9"/>
  <c r="K2228" i="9"/>
  <c r="K2236" i="9"/>
  <c r="K2244" i="9"/>
  <c r="K2252" i="9"/>
  <c r="K2260" i="9"/>
  <c r="K2268" i="9"/>
  <c r="K2276" i="9"/>
  <c r="K2284" i="9"/>
  <c r="K2292" i="9"/>
  <c r="K2300" i="9"/>
  <c r="K2308" i="9"/>
  <c r="K2316" i="9"/>
  <c r="K2324" i="9"/>
  <c r="K2332" i="9"/>
  <c r="J5" i="9"/>
  <c r="J13" i="9"/>
  <c r="J21" i="9"/>
  <c r="J29" i="9"/>
  <c r="J37" i="9"/>
  <c r="J45" i="9"/>
  <c r="J53" i="9"/>
  <c r="J61" i="9"/>
  <c r="J69" i="9"/>
  <c r="J77" i="9"/>
  <c r="J85" i="9"/>
  <c r="J93" i="9"/>
  <c r="J101" i="9"/>
  <c r="J109" i="9"/>
  <c r="J117" i="9"/>
  <c r="J125" i="9"/>
  <c r="J133" i="9"/>
  <c r="J141" i="9"/>
  <c r="J149" i="9"/>
  <c r="J157" i="9"/>
  <c r="J165" i="9"/>
  <c r="J173" i="9"/>
  <c r="J181" i="9"/>
  <c r="J189" i="9"/>
  <c r="J197" i="9"/>
  <c r="J205" i="9"/>
  <c r="J213" i="9"/>
  <c r="J221" i="9"/>
  <c r="J229" i="9"/>
  <c r="J237" i="9"/>
  <c r="J245" i="9"/>
  <c r="J253" i="9"/>
  <c r="J261" i="9"/>
  <c r="J269" i="9"/>
  <c r="J277" i="9"/>
  <c r="J285" i="9"/>
  <c r="J293" i="9"/>
  <c r="J301" i="9"/>
  <c r="J309" i="9"/>
  <c r="J317" i="9"/>
  <c r="J325" i="9"/>
  <c r="J333" i="9"/>
  <c r="J341" i="9"/>
  <c r="J349" i="9"/>
  <c r="J357" i="9"/>
  <c r="J365" i="9"/>
  <c r="J373" i="9"/>
  <c r="J381" i="9"/>
  <c r="K32" i="9"/>
  <c r="K96" i="9"/>
  <c r="K160" i="9"/>
  <c r="K224" i="9"/>
  <c r="K288" i="9"/>
  <c r="K352" i="9"/>
  <c r="K416" i="9"/>
  <c r="K480" i="9"/>
  <c r="K544" i="9"/>
  <c r="K608" i="9"/>
  <c r="K672" i="9"/>
  <c r="K708" i="9"/>
  <c r="K740" i="9"/>
  <c r="K772" i="9"/>
  <c r="K804" i="9"/>
  <c r="K836" i="9"/>
  <c r="K868" i="9"/>
  <c r="K900" i="9"/>
  <c r="K932" i="9"/>
  <c r="K964" i="9"/>
  <c r="K994" i="9"/>
  <c r="K1014" i="9"/>
  <c r="K1033" i="9"/>
  <c r="K1049" i="9"/>
  <c r="K1065" i="9"/>
  <c r="K1081" i="9"/>
  <c r="K1097" i="9"/>
  <c r="K1113" i="9"/>
  <c r="K1129" i="9"/>
  <c r="K1145" i="9"/>
  <c r="K1161" i="9"/>
  <c r="K1177" i="9"/>
  <c r="K1193" i="9"/>
  <c r="K1209" i="9"/>
  <c r="K1225" i="9"/>
  <c r="K1241" i="9"/>
  <c r="K1257" i="9"/>
  <c r="K1273" i="9"/>
  <c r="K1289" i="9"/>
  <c r="K1305" i="9"/>
  <c r="K1321" i="9"/>
  <c r="K1337" i="9"/>
  <c r="K1353" i="9"/>
  <c r="K1369" i="9"/>
  <c r="K1385" i="9"/>
  <c r="K1401" i="9"/>
  <c r="K1417" i="9"/>
  <c r="K1433" i="9"/>
  <c r="K1449" i="9"/>
  <c r="K1465" i="9"/>
  <c r="K1481" i="9"/>
  <c r="K1497" i="9"/>
  <c r="K1513" i="9"/>
  <c r="K1529" i="9"/>
  <c r="K1545" i="9"/>
  <c r="K1561" i="9"/>
  <c r="K1577" i="9"/>
  <c r="K1593" i="9"/>
  <c r="K1609" i="9"/>
  <c r="K1625" i="9"/>
  <c r="K1641" i="9"/>
  <c r="K1657" i="9"/>
  <c r="K1673" i="9"/>
  <c r="K1689" i="9"/>
  <c r="K1705" i="9"/>
  <c r="K1721" i="9"/>
  <c r="K1737" i="9"/>
  <c r="K1753" i="9"/>
  <c r="K1769" i="9"/>
  <c r="K1785" i="9"/>
  <c r="K1801" i="9"/>
  <c r="K1817" i="9"/>
  <c r="K1833" i="9"/>
  <c r="K1849" i="9"/>
  <c r="K1865" i="9"/>
  <c r="K1881" i="9"/>
  <c r="K1897" i="9"/>
  <c r="K1913" i="9"/>
  <c r="K1929" i="9"/>
  <c r="K1945" i="9"/>
  <c r="K1961" i="9"/>
  <c r="K1977" i="9"/>
  <c r="K1993" i="9"/>
  <c r="K2009" i="9"/>
  <c r="K2025" i="9"/>
  <c r="K2037" i="9"/>
  <c r="K2045" i="9"/>
  <c r="K2053" i="9"/>
  <c r="K2061" i="9"/>
  <c r="K2069" i="9"/>
  <c r="K2077" i="9"/>
  <c r="K2085" i="9"/>
  <c r="K2093" i="9"/>
  <c r="K2101" i="9"/>
  <c r="K2109" i="9"/>
  <c r="K2117" i="9"/>
  <c r="K2125" i="9"/>
  <c r="K2133" i="9"/>
  <c r="K2141" i="9"/>
  <c r="K2149" i="9"/>
  <c r="K2157" i="9"/>
  <c r="K2165" i="9"/>
  <c r="K2173" i="9"/>
  <c r="K2181" i="9"/>
  <c r="K2189" i="9"/>
  <c r="K2197" i="9"/>
  <c r="K2205" i="9"/>
  <c r="K2213" i="9"/>
  <c r="K2221" i="9"/>
  <c r="K2229" i="9"/>
  <c r="K2237" i="9"/>
  <c r="K2245" i="9"/>
  <c r="K2253" i="9"/>
  <c r="K2261" i="9"/>
  <c r="K2269" i="9"/>
  <c r="K2277" i="9"/>
  <c r="K2285" i="9"/>
  <c r="K2293" i="9"/>
  <c r="K2301" i="9"/>
  <c r="K2309" i="9"/>
  <c r="K2317" i="9"/>
  <c r="K2325" i="9"/>
  <c r="K2333" i="9"/>
  <c r="J6" i="9"/>
  <c r="J14" i="9"/>
  <c r="J22" i="9"/>
  <c r="J30" i="9"/>
  <c r="J38" i="9"/>
  <c r="J46" i="9"/>
  <c r="J54" i="9"/>
  <c r="J62" i="9"/>
  <c r="J70" i="9"/>
  <c r="J78" i="9"/>
  <c r="J86" i="9"/>
  <c r="J94" i="9"/>
  <c r="J102" i="9"/>
  <c r="J110" i="9"/>
  <c r="J118" i="9"/>
  <c r="J126" i="9"/>
  <c r="J134" i="9"/>
  <c r="J142" i="9"/>
  <c r="J150" i="9"/>
  <c r="J158" i="9"/>
  <c r="J166" i="9"/>
  <c r="J174" i="9"/>
  <c r="J182" i="9"/>
  <c r="J190" i="9"/>
  <c r="J198" i="9"/>
  <c r="J206" i="9"/>
  <c r="J214" i="9"/>
  <c r="J222" i="9"/>
  <c r="J230" i="9"/>
  <c r="J238" i="9"/>
  <c r="J246" i="9"/>
  <c r="J254" i="9"/>
  <c r="J262" i="9"/>
  <c r="J270" i="9"/>
  <c r="J278" i="9"/>
  <c r="J286" i="9"/>
  <c r="J294" i="9"/>
  <c r="J302" i="9"/>
  <c r="J310" i="9"/>
  <c r="J318" i="9"/>
  <c r="J326" i="9"/>
  <c r="J334" i="9"/>
  <c r="J342" i="9"/>
  <c r="J350" i="9"/>
  <c r="J358" i="9"/>
  <c r="J366" i="9"/>
  <c r="J374" i="9"/>
  <c r="K33" i="9"/>
  <c r="K97" i="9"/>
  <c r="K161" i="9"/>
  <c r="K225" i="9"/>
  <c r="K289" i="9"/>
  <c r="K353" i="9"/>
  <c r="K417" i="9"/>
  <c r="K481" i="9"/>
  <c r="K545" i="9"/>
  <c r="K609" i="9"/>
  <c r="K673" i="9"/>
  <c r="K709" i="9"/>
  <c r="K741" i="9"/>
  <c r="K773" i="9"/>
  <c r="K805" i="9"/>
  <c r="K837" i="9"/>
  <c r="K869" i="9"/>
  <c r="K901" i="9"/>
  <c r="K933" i="9"/>
  <c r="K965" i="9"/>
  <c r="K995" i="9"/>
  <c r="K1017" i="9"/>
  <c r="K1034" i="9"/>
  <c r="K1050" i="9"/>
  <c r="K1066" i="9"/>
  <c r="K1082" i="9"/>
  <c r="K1098" i="9"/>
  <c r="K1114" i="9"/>
  <c r="K1130" i="9"/>
  <c r="K1146" i="9"/>
  <c r="K1162" i="9"/>
  <c r="K1178" i="9"/>
  <c r="K1194" i="9"/>
  <c r="K1210" i="9"/>
  <c r="K1226" i="9"/>
  <c r="K1242" i="9"/>
  <c r="K1258" i="9"/>
  <c r="K1274" i="9"/>
  <c r="K1290" i="9"/>
  <c r="K1306" i="9"/>
  <c r="K1322" i="9"/>
  <c r="K1338" i="9"/>
  <c r="K1354" i="9"/>
  <c r="K1370" i="9"/>
  <c r="K1386" i="9"/>
  <c r="K1402" i="9"/>
  <c r="K1418" i="9"/>
  <c r="K1434" i="9"/>
  <c r="K1450" i="9"/>
  <c r="K1466" i="9"/>
  <c r="K1482" i="9"/>
  <c r="K1498" i="9"/>
  <c r="K1514" i="9"/>
  <c r="K1530" i="9"/>
  <c r="K1546" i="9"/>
  <c r="K1562" i="9"/>
  <c r="K1578" i="9"/>
  <c r="K1594" i="9"/>
  <c r="K1610" i="9"/>
  <c r="K1626" i="9"/>
  <c r="K1642" i="9"/>
  <c r="K1658" i="9"/>
  <c r="K1674" i="9"/>
  <c r="K1690" i="9"/>
  <c r="K1706" i="9"/>
  <c r="K1722" i="9"/>
  <c r="K1738" i="9"/>
  <c r="K1754" i="9"/>
  <c r="K1770" i="9"/>
  <c r="K1786" i="9"/>
  <c r="K1802" i="9"/>
  <c r="K1818" i="9"/>
  <c r="K1834" i="9"/>
  <c r="K1850" i="9"/>
  <c r="K1866" i="9"/>
  <c r="K1882" i="9"/>
  <c r="K1898" i="9"/>
  <c r="K1914" i="9"/>
  <c r="K1930" i="9"/>
  <c r="K1946" i="9"/>
  <c r="K1962" i="9"/>
  <c r="K1978" i="9"/>
  <c r="K1994" i="9"/>
  <c r="K2010" i="9"/>
  <c r="K2026" i="9"/>
  <c r="K2038" i="9"/>
  <c r="K2046" i="9"/>
  <c r="K2054" i="9"/>
  <c r="K2062" i="9"/>
  <c r="K2070" i="9"/>
  <c r="K2078" i="9"/>
  <c r="K2086" i="9"/>
  <c r="K2094" i="9"/>
  <c r="K2102" i="9"/>
  <c r="K2110" i="9"/>
  <c r="K2118" i="9"/>
  <c r="K2126" i="9"/>
  <c r="K2134" i="9"/>
  <c r="K2142" i="9"/>
  <c r="K2150" i="9"/>
  <c r="K2158" i="9"/>
  <c r="K2166" i="9"/>
  <c r="K2174" i="9"/>
  <c r="K2182" i="9"/>
  <c r="K2190" i="9"/>
  <c r="K2198" i="9"/>
  <c r="K2206" i="9"/>
  <c r="K2214" i="9"/>
  <c r="K2222" i="9"/>
  <c r="K2230" i="9"/>
  <c r="K2238" i="9"/>
  <c r="K2246" i="9"/>
  <c r="K2254" i="9"/>
  <c r="K2262" i="9"/>
  <c r="K2270" i="9"/>
  <c r="K2278" i="9"/>
  <c r="K2286" i="9"/>
  <c r="K2294" i="9"/>
  <c r="K2302" i="9"/>
  <c r="K2310" i="9"/>
  <c r="K2318" i="9"/>
  <c r="K2326" i="9"/>
  <c r="K2334" i="9"/>
  <c r="J7" i="9"/>
  <c r="J15" i="9"/>
  <c r="J23" i="9"/>
  <c r="J31" i="9"/>
  <c r="J39" i="9"/>
  <c r="J47" i="9"/>
  <c r="J55" i="9"/>
  <c r="J63" i="9"/>
  <c r="J71" i="9"/>
  <c r="J79" i="9"/>
  <c r="J87" i="9"/>
  <c r="J95" i="9"/>
  <c r="J103" i="9"/>
  <c r="J111" i="9"/>
  <c r="J119" i="9"/>
  <c r="J127" i="9"/>
  <c r="J135" i="9"/>
  <c r="J143" i="9"/>
  <c r="J151" i="9"/>
  <c r="J159" i="9"/>
  <c r="J167" i="9"/>
  <c r="J175" i="9"/>
  <c r="J183" i="9"/>
  <c r="J191" i="9"/>
  <c r="J199" i="9"/>
  <c r="J207" i="9"/>
  <c r="J215" i="9"/>
  <c r="J223" i="9"/>
  <c r="J231" i="9"/>
  <c r="J239" i="9"/>
  <c r="J247" i="9"/>
  <c r="J255" i="9"/>
  <c r="J263" i="9"/>
  <c r="J271" i="9"/>
  <c r="J279" i="9"/>
  <c r="J287" i="9"/>
  <c r="J295" i="9"/>
  <c r="J303" i="9"/>
  <c r="J311" i="9"/>
  <c r="J319" i="9"/>
  <c r="J327" i="9"/>
  <c r="J335" i="9"/>
  <c r="J343" i="9"/>
  <c r="K34" i="9"/>
  <c r="K98" i="9"/>
  <c r="K162" i="9"/>
  <c r="K226" i="9"/>
  <c r="K290" i="9"/>
  <c r="K354" i="9"/>
  <c r="K418" i="9"/>
  <c r="K482" i="9"/>
  <c r="K546" i="9"/>
  <c r="K610" i="9"/>
  <c r="K674" i="9"/>
  <c r="K710" i="9"/>
  <c r="K742" i="9"/>
  <c r="K774" i="9"/>
  <c r="K806" i="9"/>
  <c r="K838" i="9"/>
  <c r="K870" i="9"/>
  <c r="K902" i="9"/>
  <c r="K934" i="9"/>
  <c r="K966" i="9"/>
  <c r="K996" i="9"/>
  <c r="K1018" i="9"/>
  <c r="K1035" i="9"/>
  <c r="K1051" i="9"/>
  <c r="K1067" i="9"/>
  <c r="K1083" i="9"/>
  <c r="K1099" i="9"/>
  <c r="K1115" i="9"/>
  <c r="K1131" i="9"/>
  <c r="K1147" i="9"/>
  <c r="K1163" i="9"/>
  <c r="K1179" i="9"/>
  <c r="K1195" i="9"/>
  <c r="K1211" i="9"/>
  <c r="K1227" i="9"/>
  <c r="K1243" i="9"/>
  <c r="K1259" i="9"/>
  <c r="K1275" i="9"/>
  <c r="K1291" i="9"/>
  <c r="K1307" i="9"/>
  <c r="K1323" i="9"/>
  <c r="K1339" i="9"/>
  <c r="K1355" i="9"/>
  <c r="K1371" i="9"/>
  <c r="K1387" i="9"/>
  <c r="K1403" i="9"/>
  <c r="K1419" i="9"/>
  <c r="K1435" i="9"/>
  <c r="K1451" i="9"/>
  <c r="K1467" i="9"/>
  <c r="K1483" i="9"/>
  <c r="K1499" i="9"/>
  <c r="K1515" i="9"/>
  <c r="K1531" i="9"/>
  <c r="K1547" i="9"/>
  <c r="K1563" i="9"/>
  <c r="K1579" i="9"/>
  <c r="K1595" i="9"/>
  <c r="K1611" i="9"/>
  <c r="K1627" i="9"/>
  <c r="K1643" i="9"/>
  <c r="K1659" i="9"/>
  <c r="K1675" i="9"/>
  <c r="K1691" i="9"/>
  <c r="K1707" i="9"/>
  <c r="K1723" i="9"/>
  <c r="K1739" i="9"/>
  <c r="K1755" i="9"/>
  <c r="K1771" i="9"/>
  <c r="K1787" i="9"/>
  <c r="K1803" i="9"/>
  <c r="K1819" i="9"/>
  <c r="K1835" i="9"/>
  <c r="K1851" i="9"/>
  <c r="K1867" i="9"/>
  <c r="K1883" i="9"/>
  <c r="K1899" i="9"/>
  <c r="K1915" i="9"/>
  <c r="K1931" i="9"/>
  <c r="K1947" i="9"/>
  <c r="K1963" i="9"/>
  <c r="K1979" i="9"/>
  <c r="K1995" i="9"/>
  <c r="K2011" i="9"/>
  <c r="K2027" i="9"/>
  <c r="K2039" i="9"/>
  <c r="K2047" i="9"/>
  <c r="K2055" i="9"/>
  <c r="K2063" i="9"/>
  <c r="K2071" i="9"/>
  <c r="K2079" i="9"/>
  <c r="K2087" i="9"/>
  <c r="K2095" i="9"/>
  <c r="K2103" i="9"/>
  <c r="K2111" i="9"/>
  <c r="K2119" i="9"/>
  <c r="K2127" i="9"/>
  <c r="K2135" i="9"/>
  <c r="K2143" i="9"/>
  <c r="K2151" i="9"/>
  <c r="K2159" i="9"/>
  <c r="K2167" i="9"/>
  <c r="K2175" i="9"/>
  <c r="K2183" i="9"/>
  <c r="K2191" i="9"/>
  <c r="K2199" i="9"/>
  <c r="K2207" i="9"/>
  <c r="K2215" i="9"/>
  <c r="K2223" i="9"/>
  <c r="K2231" i="9"/>
  <c r="K2239" i="9"/>
  <c r="K2247" i="9"/>
  <c r="K2255" i="9"/>
  <c r="K2263" i="9"/>
  <c r="K2271" i="9"/>
  <c r="K2279" i="9"/>
  <c r="K2287" i="9"/>
  <c r="K2295" i="9"/>
  <c r="K2303" i="9"/>
  <c r="K2311" i="9"/>
  <c r="K2319" i="9"/>
  <c r="K2327" i="9"/>
  <c r="K2335" i="9"/>
  <c r="J8" i="9"/>
  <c r="J16" i="9"/>
  <c r="J24" i="9"/>
  <c r="J32" i="9"/>
  <c r="J40" i="9"/>
  <c r="J48" i="9"/>
  <c r="J56" i="9"/>
  <c r="J64" i="9"/>
  <c r="J72" i="9"/>
  <c r="J80" i="9"/>
  <c r="J88" i="9"/>
  <c r="J96" i="9"/>
  <c r="J104" i="9"/>
  <c r="J112" i="9"/>
  <c r="J120" i="9"/>
  <c r="J128" i="9"/>
  <c r="J136" i="9"/>
  <c r="J144" i="9"/>
  <c r="J152" i="9"/>
  <c r="J160" i="9"/>
  <c r="J168" i="9"/>
  <c r="J176" i="9"/>
  <c r="J184" i="9"/>
  <c r="J192" i="9"/>
  <c r="J200" i="9"/>
  <c r="J208" i="9"/>
  <c r="J216" i="9"/>
  <c r="J224" i="9"/>
  <c r="J232" i="9"/>
  <c r="J240" i="9"/>
  <c r="J248" i="9"/>
  <c r="J256" i="9"/>
  <c r="J264" i="9"/>
  <c r="J272" i="9"/>
  <c r="J280" i="9"/>
  <c r="J288" i="9"/>
  <c r="J296" i="9"/>
  <c r="J304" i="9"/>
  <c r="J312" i="9"/>
  <c r="J320" i="9"/>
  <c r="J328" i="9"/>
  <c r="J336" i="9"/>
  <c r="J344" i="9"/>
  <c r="J352" i="9"/>
  <c r="K63" i="9"/>
  <c r="K191" i="9"/>
  <c r="K319" i="9"/>
  <c r="K447" i="9"/>
  <c r="K575" i="9"/>
  <c r="K691" i="9"/>
  <c r="K755" i="9"/>
  <c r="K819" i="9"/>
  <c r="K883" i="9"/>
  <c r="K947" i="9"/>
  <c r="K1003" i="9"/>
  <c r="K1040" i="9"/>
  <c r="K1072" i="9"/>
  <c r="K1104" i="9"/>
  <c r="K1136" i="9"/>
  <c r="K1168" i="9"/>
  <c r="K1200" i="9"/>
  <c r="K1232" i="9"/>
  <c r="K1264" i="9"/>
  <c r="K1296" i="9"/>
  <c r="K1328" i="9"/>
  <c r="K1360" i="9"/>
  <c r="K1392" i="9"/>
  <c r="K1424" i="9"/>
  <c r="K1456" i="9"/>
  <c r="K1488" i="9"/>
  <c r="K1520" i="9"/>
  <c r="K1552" i="9"/>
  <c r="K1584" i="9"/>
  <c r="K1616" i="9"/>
  <c r="K1648" i="9"/>
  <c r="K1680" i="9"/>
  <c r="K1712" i="9"/>
  <c r="K1744" i="9"/>
  <c r="K1776" i="9"/>
  <c r="K1808" i="9"/>
  <c r="K1840" i="9"/>
  <c r="K1872" i="9"/>
  <c r="K1904" i="9"/>
  <c r="K1936" i="9"/>
  <c r="K1968" i="9"/>
  <c r="K2000" i="9"/>
  <c r="K2032" i="9"/>
  <c r="K2048" i="9"/>
  <c r="K2064" i="9"/>
  <c r="K2080" i="9"/>
  <c r="K2096" i="9"/>
  <c r="K2112" i="9"/>
  <c r="K2128" i="9"/>
  <c r="K2144" i="9"/>
  <c r="K2160" i="9"/>
  <c r="K2176" i="9"/>
  <c r="K2192" i="9"/>
  <c r="K2208" i="9"/>
  <c r="K2224" i="9"/>
  <c r="K2240" i="9"/>
  <c r="K2256" i="9"/>
  <c r="K2272" i="9"/>
  <c r="K2288" i="9"/>
  <c r="K2304" i="9"/>
  <c r="K2320" i="9"/>
  <c r="K2336" i="9"/>
  <c r="J17" i="9"/>
  <c r="J33" i="9"/>
  <c r="J49" i="9"/>
  <c r="J65" i="9"/>
  <c r="J81" i="9"/>
  <c r="J97" i="9"/>
  <c r="J113" i="9"/>
  <c r="J129" i="9"/>
  <c r="J145" i="9"/>
  <c r="J161" i="9"/>
  <c r="J177" i="9"/>
  <c r="J193" i="9"/>
  <c r="J209" i="9"/>
  <c r="J225" i="9"/>
  <c r="J241" i="9"/>
  <c r="J257" i="9"/>
  <c r="J273" i="9"/>
  <c r="J289" i="9"/>
  <c r="J305" i="9"/>
  <c r="J321" i="9"/>
  <c r="J337" i="9"/>
  <c r="J351" i="9"/>
  <c r="J362" i="9"/>
  <c r="J372" i="9"/>
  <c r="J383" i="9"/>
  <c r="J391" i="9"/>
  <c r="J399" i="9"/>
  <c r="J407" i="9"/>
  <c r="J415" i="9"/>
  <c r="J423" i="9"/>
  <c r="J431" i="9"/>
  <c r="J439" i="9"/>
  <c r="J447" i="9"/>
  <c r="J455" i="9"/>
  <c r="J463" i="9"/>
  <c r="J471" i="9"/>
  <c r="J479" i="9"/>
  <c r="J487" i="9"/>
  <c r="J495" i="9"/>
  <c r="J503" i="9"/>
  <c r="J511" i="9"/>
  <c r="J519" i="9"/>
  <c r="J527" i="9"/>
  <c r="J535" i="9"/>
  <c r="J543" i="9"/>
  <c r="J551" i="9"/>
  <c r="J559" i="9"/>
  <c r="J567" i="9"/>
  <c r="J575" i="9"/>
  <c r="J583" i="9"/>
  <c r="J591" i="9"/>
  <c r="J599" i="9"/>
  <c r="J607" i="9"/>
  <c r="J615" i="9"/>
  <c r="J623" i="9"/>
  <c r="J631" i="9"/>
  <c r="J639" i="9"/>
  <c r="J647" i="9"/>
  <c r="J655" i="9"/>
  <c r="J663" i="9"/>
  <c r="J671" i="9"/>
  <c r="J679" i="9"/>
  <c r="J687" i="9"/>
  <c r="J695" i="9"/>
  <c r="J703" i="9"/>
  <c r="J711" i="9"/>
  <c r="J719" i="9"/>
  <c r="J727" i="9"/>
  <c r="J735" i="9"/>
  <c r="J743" i="9"/>
  <c r="J751" i="9"/>
  <c r="J759" i="9"/>
  <c r="J767" i="9"/>
  <c r="J775" i="9"/>
  <c r="J783" i="9"/>
  <c r="J791" i="9"/>
  <c r="J799" i="9"/>
  <c r="J807" i="9"/>
  <c r="J815" i="9"/>
  <c r="J823" i="9"/>
  <c r="J831" i="9"/>
  <c r="J839" i="9"/>
  <c r="J847" i="9"/>
  <c r="J855" i="9"/>
  <c r="J863" i="9"/>
  <c r="J871" i="9"/>
  <c r="J879" i="9"/>
  <c r="J887" i="9"/>
  <c r="J895" i="9"/>
  <c r="J903" i="9"/>
  <c r="J911" i="9"/>
  <c r="J919" i="9"/>
  <c r="J927" i="9"/>
  <c r="J935" i="9"/>
  <c r="J943" i="9"/>
  <c r="J951" i="9"/>
  <c r="J959" i="9"/>
  <c r="J967" i="9"/>
  <c r="J975" i="9"/>
  <c r="J983" i="9"/>
  <c r="J991" i="9"/>
  <c r="J999" i="9"/>
  <c r="J1007" i="9"/>
  <c r="J1015" i="9"/>
  <c r="J1023" i="9"/>
  <c r="J1031" i="9"/>
  <c r="J1039" i="9"/>
  <c r="J1047" i="9"/>
  <c r="J1055" i="9"/>
  <c r="J1063" i="9"/>
  <c r="J1071" i="9"/>
  <c r="J1079" i="9"/>
  <c r="J1087" i="9"/>
  <c r="J1095" i="9"/>
  <c r="J1103" i="9"/>
  <c r="J1111" i="9"/>
  <c r="J1119" i="9"/>
  <c r="J1127" i="9"/>
  <c r="J1135" i="9"/>
  <c r="J1143" i="9"/>
  <c r="J1151" i="9"/>
  <c r="J1159" i="9"/>
  <c r="J1167" i="9"/>
  <c r="J1175" i="9"/>
  <c r="J1183" i="9"/>
  <c r="J1191" i="9"/>
  <c r="J1199" i="9"/>
  <c r="J1207" i="9"/>
  <c r="K64" i="9"/>
  <c r="K192" i="9"/>
  <c r="K320" i="9"/>
  <c r="K448" i="9"/>
  <c r="K576" i="9"/>
  <c r="K692" i="9"/>
  <c r="K756" i="9"/>
  <c r="K820" i="9"/>
  <c r="K884" i="9"/>
  <c r="K948" i="9"/>
  <c r="K1004" i="9"/>
  <c r="K1041" i="9"/>
  <c r="K1073" i="9"/>
  <c r="K1105" i="9"/>
  <c r="K1137" i="9"/>
  <c r="K1169" i="9"/>
  <c r="K1201" i="9"/>
  <c r="K1233" i="9"/>
  <c r="K1265" i="9"/>
  <c r="K1297" i="9"/>
  <c r="K1329" i="9"/>
  <c r="K1361" i="9"/>
  <c r="K1393" i="9"/>
  <c r="K1425" i="9"/>
  <c r="K1457" i="9"/>
  <c r="K1489" i="9"/>
  <c r="K1521" i="9"/>
  <c r="K1553" i="9"/>
  <c r="K1585" i="9"/>
  <c r="K1617" i="9"/>
  <c r="K1649" i="9"/>
  <c r="K1681" i="9"/>
  <c r="K1713" i="9"/>
  <c r="K1745" i="9"/>
  <c r="K1777" i="9"/>
  <c r="K1809" i="9"/>
  <c r="K1841" i="9"/>
  <c r="K1873" i="9"/>
  <c r="K1905" i="9"/>
  <c r="K1937" i="9"/>
  <c r="K1969" i="9"/>
  <c r="K2001" i="9"/>
  <c r="K2033" i="9"/>
  <c r="K2049" i="9"/>
  <c r="K2065" i="9"/>
  <c r="K2081" i="9"/>
  <c r="K2097" i="9"/>
  <c r="K2113" i="9"/>
  <c r="K2129" i="9"/>
  <c r="K2145" i="9"/>
  <c r="K2161" i="9"/>
  <c r="K2177" i="9"/>
  <c r="K2193" i="9"/>
  <c r="K2209" i="9"/>
  <c r="K2225" i="9"/>
  <c r="K2241" i="9"/>
  <c r="K2257" i="9"/>
  <c r="K2273" i="9"/>
  <c r="K2289" i="9"/>
  <c r="K2305" i="9"/>
  <c r="K2321" i="9"/>
  <c r="J18" i="9"/>
  <c r="J34" i="9"/>
  <c r="J50" i="9"/>
  <c r="J66" i="9"/>
  <c r="J82" i="9"/>
  <c r="J98" i="9"/>
  <c r="J114" i="9"/>
  <c r="J130" i="9"/>
  <c r="J146" i="9"/>
  <c r="J162" i="9"/>
  <c r="J178" i="9"/>
  <c r="J194" i="9"/>
  <c r="J210" i="9"/>
  <c r="J226" i="9"/>
  <c r="J242" i="9"/>
  <c r="J258" i="9"/>
  <c r="J274" i="9"/>
  <c r="J290" i="9"/>
  <c r="J306" i="9"/>
  <c r="J322" i="9"/>
  <c r="J338" i="9"/>
  <c r="J353" i="9"/>
  <c r="J363" i="9"/>
  <c r="J375" i="9"/>
  <c r="J384" i="9"/>
  <c r="J392" i="9"/>
  <c r="J400" i="9"/>
  <c r="J408" i="9"/>
  <c r="J416" i="9"/>
  <c r="J424" i="9"/>
  <c r="J432" i="9"/>
  <c r="J440" i="9"/>
  <c r="J448" i="9"/>
  <c r="J456" i="9"/>
  <c r="J464" i="9"/>
  <c r="J472" i="9"/>
  <c r="J480" i="9"/>
  <c r="J488" i="9"/>
  <c r="J496" i="9"/>
  <c r="J504" i="9"/>
  <c r="J512" i="9"/>
  <c r="J520" i="9"/>
  <c r="J528" i="9"/>
  <c r="J536" i="9"/>
  <c r="J544" i="9"/>
  <c r="J552" i="9"/>
  <c r="J560" i="9"/>
  <c r="J568" i="9"/>
  <c r="J576" i="9"/>
  <c r="J584" i="9"/>
  <c r="J592" i="9"/>
  <c r="J600" i="9"/>
  <c r="J608" i="9"/>
  <c r="J616" i="9"/>
  <c r="J624" i="9"/>
  <c r="J632" i="9"/>
  <c r="J640" i="9"/>
  <c r="J648" i="9"/>
  <c r="J656" i="9"/>
  <c r="J664" i="9"/>
  <c r="J672" i="9"/>
  <c r="J680" i="9"/>
  <c r="J688" i="9"/>
  <c r="J696" i="9"/>
  <c r="J704" i="9"/>
  <c r="J712" i="9"/>
  <c r="J720" i="9"/>
  <c r="J728" i="9"/>
  <c r="J736" i="9"/>
  <c r="J744" i="9"/>
  <c r="J752" i="9"/>
  <c r="J760" i="9"/>
  <c r="J768" i="9"/>
  <c r="J776" i="9"/>
  <c r="J784" i="9"/>
  <c r="J792" i="9"/>
  <c r="J800" i="9"/>
  <c r="J808" i="9"/>
  <c r="J816" i="9"/>
  <c r="J824" i="9"/>
  <c r="J832" i="9"/>
  <c r="J840" i="9"/>
  <c r="J848" i="9"/>
  <c r="J856" i="9"/>
  <c r="J864" i="9"/>
  <c r="J872" i="9"/>
  <c r="J880" i="9"/>
  <c r="J888" i="9"/>
  <c r="J896" i="9"/>
  <c r="J904" i="9"/>
  <c r="J912" i="9"/>
  <c r="J920" i="9"/>
  <c r="J928" i="9"/>
  <c r="J936" i="9"/>
  <c r="J944" i="9"/>
  <c r="J952" i="9"/>
  <c r="J960" i="9"/>
  <c r="J968" i="9"/>
  <c r="J976" i="9"/>
  <c r="J984" i="9"/>
  <c r="J992" i="9"/>
  <c r="J1000" i="9"/>
  <c r="J1008" i="9"/>
  <c r="J1016" i="9"/>
  <c r="J1024" i="9"/>
  <c r="J1032" i="9"/>
  <c r="J1040" i="9"/>
  <c r="J1048" i="9"/>
  <c r="J1056" i="9"/>
  <c r="J1064" i="9"/>
  <c r="J1072" i="9"/>
  <c r="J1080" i="9"/>
  <c r="J1088" i="9"/>
  <c r="J1096" i="9"/>
  <c r="J1104" i="9"/>
  <c r="J1112" i="9"/>
  <c r="J1120" i="9"/>
  <c r="J1128" i="9"/>
  <c r="J1136" i="9"/>
  <c r="J1144" i="9"/>
  <c r="J1152" i="9"/>
  <c r="J1160" i="9"/>
  <c r="J1168" i="9"/>
  <c r="J1176" i="9"/>
  <c r="J1184" i="9"/>
  <c r="K65" i="9"/>
  <c r="K193" i="9"/>
  <c r="K321" i="9"/>
  <c r="K449" i="9"/>
  <c r="K577" i="9"/>
  <c r="K693" i="9"/>
  <c r="K757" i="9"/>
  <c r="K821" i="9"/>
  <c r="K885" i="9"/>
  <c r="K949" i="9"/>
  <c r="K1005" i="9"/>
  <c r="K1042" i="9"/>
  <c r="K1074" i="9"/>
  <c r="K1106" i="9"/>
  <c r="K1138" i="9"/>
  <c r="K1170" i="9"/>
  <c r="K1202" i="9"/>
  <c r="K1234" i="9"/>
  <c r="K1266" i="9"/>
  <c r="K1298" i="9"/>
  <c r="K1330" i="9"/>
  <c r="K1362" i="9"/>
  <c r="K1394" i="9"/>
  <c r="K1426" i="9"/>
  <c r="K1458" i="9"/>
  <c r="K1490" i="9"/>
  <c r="K1522" i="9"/>
  <c r="K1554" i="9"/>
  <c r="K1586" i="9"/>
  <c r="K1618" i="9"/>
  <c r="K1650" i="9"/>
  <c r="K1682" i="9"/>
  <c r="K1714" i="9"/>
  <c r="K1746" i="9"/>
  <c r="K1778" i="9"/>
  <c r="K1810" i="9"/>
  <c r="K1842" i="9"/>
  <c r="K1874" i="9"/>
  <c r="K1906" i="9"/>
  <c r="K1938" i="9"/>
  <c r="K1970" i="9"/>
  <c r="K2002" i="9"/>
  <c r="K2034" i="9"/>
  <c r="K2050" i="9"/>
  <c r="K2066" i="9"/>
  <c r="K2082" i="9"/>
  <c r="K2098" i="9"/>
  <c r="K2114" i="9"/>
  <c r="K2130" i="9"/>
  <c r="K2146" i="9"/>
  <c r="K2162" i="9"/>
  <c r="K2178" i="9"/>
  <c r="K2194" i="9"/>
  <c r="K2210" i="9"/>
  <c r="K2226" i="9"/>
  <c r="K2242" i="9"/>
  <c r="K2258" i="9"/>
  <c r="K2274" i="9"/>
  <c r="K2290" i="9"/>
  <c r="K2306" i="9"/>
  <c r="K2322" i="9"/>
  <c r="J3" i="9"/>
  <c r="J19" i="9"/>
  <c r="J35" i="9"/>
  <c r="J51" i="9"/>
  <c r="J67" i="9"/>
  <c r="J83" i="9"/>
  <c r="J99" i="9"/>
  <c r="J115" i="9"/>
  <c r="J131" i="9"/>
  <c r="J147" i="9"/>
  <c r="J163" i="9"/>
  <c r="J179" i="9"/>
  <c r="J195" i="9"/>
  <c r="J211" i="9"/>
  <c r="J227" i="9"/>
  <c r="J243" i="9"/>
  <c r="J259" i="9"/>
  <c r="J275" i="9"/>
  <c r="J291" i="9"/>
  <c r="J307" i="9"/>
  <c r="J323" i="9"/>
  <c r="J339" i="9"/>
  <c r="J354" i="9"/>
  <c r="J364" i="9"/>
  <c r="J376" i="9"/>
  <c r="J385" i="9"/>
  <c r="J393" i="9"/>
  <c r="J401" i="9"/>
  <c r="J409" i="9"/>
  <c r="J417" i="9"/>
  <c r="J425" i="9"/>
  <c r="J433" i="9"/>
  <c r="J441" i="9"/>
  <c r="J449" i="9"/>
  <c r="J457" i="9"/>
  <c r="J465" i="9"/>
  <c r="J473" i="9"/>
  <c r="J481" i="9"/>
  <c r="J489" i="9"/>
  <c r="J497" i="9"/>
  <c r="J505" i="9"/>
  <c r="J513" i="9"/>
  <c r="J521" i="9"/>
  <c r="J529" i="9"/>
  <c r="J537" i="9"/>
  <c r="J545" i="9"/>
  <c r="J553" i="9"/>
  <c r="J561" i="9"/>
  <c r="J569" i="9"/>
  <c r="J577" i="9"/>
  <c r="J585" i="9"/>
  <c r="J593" i="9"/>
  <c r="J601" i="9"/>
  <c r="J609" i="9"/>
  <c r="J617" i="9"/>
  <c r="J625" i="9"/>
  <c r="J633" i="9"/>
  <c r="J641" i="9"/>
  <c r="J649" i="9"/>
  <c r="J657" i="9"/>
  <c r="J665" i="9"/>
  <c r="J673" i="9"/>
  <c r="J681" i="9"/>
  <c r="J689" i="9"/>
  <c r="J697" i="9"/>
  <c r="J705" i="9"/>
  <c r="J713" i="9"/>
  <c r="J721" i="9"/>
  <c r="J729" i="9"/>
  <c r="J737" i="9"/>
  <c r="J745" i="9"/>
  <c r="J753" i="9"/>
  <c r="J761" i="9"/>
  <c r="J769" i="9"/>
  <c r="J777" i="9"/>
  <c r="J785" i="9"/>
  <c r="J793" i="9"/>
  <c r="J801" i="9"/>
  <c r="J809" i="9"/>
  <c r="J817" i="9"/>
  <c r="J825" i="9"/>
  <c r="J833" i="9"/>
  <c r="J841" i="9"/>
  <c r="J849" i="9"/>
  <c r="J857" i="9"/>
  <c r="J865" i="9"/>
  <c r="J873" i="9"/>
  <c r="J881" i="9"/>
  <c r="J889" i="9"/>
  <c r="J897" i="9"/>
  <c r="J905" i="9"/>
  <c r="J913" i="9"/>
  <c r="J921" i="9"/>
  <c r="J929" i="9"/>
  <c r="J937" i="9"/>
  <c r="J945" i="9"/>
  <c r="J953" i="9"/>
  <c r="J961" i="9"/>
  <c r="J969" i="9"/>
  <c r="J977" i="9"/>
  <c r="J985" i="9"/>
  <c r="J993" i="9"/>
  <c r="J1001" i="9"/>
  <c r="J1009" i="9"/>
  <c r="J1017" i="9"/>
  <c r="J1025" i="9"/>
  <c r="J1033" i="9"/>
  <c r="J1041" i="9"/>
  <c r="J1049" i="9"/>
  <c r="K66" i="9"/>
  <c r="K194" i="9"/>
  <c r="K322" i="9"/>
  <c r="K450" i="9"/>
  <c r="K578" i="9"/>
  <c r="K694" i="9"/>
  <c r="K758" i="9"/>
  <c r="K822" i="9"/>
  <c r="K886" i="9"/>
  <c r="K950" i="9"/>
  <c r="K1006" i="9"/>
  <c r="K1043" i="9"/>
  <c r="K1075" i="9"/>
  <c r="K1107" i="9"/>
  <c r="K1139" i="9"/>
  <c r="K1171" i="9"/>
  <c r="K1203" i="9"/>
  <c r="K1235" i="9"/>
  <c r="K1267" i="9"/>
  <c r="K1299" i="9"/>
  <c r="K1331" i="9"/>
  <c r="K1363" i="9"/>
  <c r="K1395" i="9"/>
  <c r="K1427" i="9"/>
  <c r="K1459" i="9"/>
  <c r="K1491" i="9"/>
  <c r="K1523" i="9"/>
  <c r="K1555" i="9"/>
  <c r="K1587" i="9"/>
  <c r="K1619" i="9"/>
  <c r="K1651" i="9"/>
  <c r="K1683" i="9"/>
  <c r="K1715" i="9"/>
  <c r="K1747" i="9"/>
  <c r="K1779" i="9"/>
  <c r="K1811" i="9"/>
  <c r="K1843" i="9"/>
  <c r="K1875" i="9"/>
  <c r="K1907" i="9"/>
  <c r="K1939" i="9"/>
  <c r="K1971" i="9"/>
  <c r="K2003" i="9"/>
  <c r="K2035" i="9"/>
  <c r="K2051" i="9"/>
  <c r="K2067" i="9"/>
  <c r="K2083" i="9"/>
  <c r="K2099" i="9"/>
  <c r="K2115" i="9"/>
  <c r="K2131" i="9"/>
  <c r="K2147" i="9"/>
  <c r="K2163" i="9"/>
  <c r="K2179" i="9"/>
  <c r="K2195" i="9"/>
  <c r="K2211" i="9"/>
  <c r="K2227" i="9"/>
  <c r="K2243" i="9"/>
  <c r="K2259" i="9"/>
  <c r="K2275" i="9"/>
  <c r="K2291" i="9"/>
  <c r="K2307" i="9"/>
  <c r="K2323" i="9"/>
  <c r="J4" i="9"/>
  <c r="J20" i="9"/>
  <c r="J36" i="9"/>
  <c r="J52" i="9"/>
  <c r="J68" i="9"/>
  <c r="J84" i="9"/>
  <c r="J100" i="9"/>
  <c r="J116" i="9"/>
  <c r="J132" i="9"/>
  <c r="J148" i="9"/>
  <c r="J164" i="9"/>
  <c r="J180" i="9"/>
  <c r="J196" i="9"/>
  <c r="J212" i="9"/>
  <c r="J228" i="9"/>
  <c r="J244" i="9"/>
  <c r="J260" i="9"/>
  <c r="J276" i="9"/>
  <c r="J292" i="9"/>
  <c r="J308" i="9"/>
  <c r="J324" i="9"/>
  <c r="J340" i="9"/>
  <c r="J355" i="9"/>
  <c r="J367" i="9"/>
  <c r="J377" i="9"/>
  <c r="J386" i="9"/>
  <c r="J394" i="9"/>
  <c r="J402" i="9"/>
  <c r="J410" i="9"/>
  <c r="J418" i="9"/>
  <c r="J426" i="9"/>
  <c r="J434" i="9"/>
  <c r="J442" i="9"/>
  <c r="J450" i="9"/>
  <c r="J458" i="9"/>
  <c r="J466" i="9"/>
  <c r="J474" i="9"/>
  <c r="J482" i="9"/>
  <c r="J490" i="9"/>
  <c r="J498" i="9"/>
  <c r="J506" i="9"/>
  <c r="J514" i="9"/>
  <c r="J522" i="9"/>
  <c r="J530" i="9"/>
  <c r="J538" i="9"/>
  <c r="J546" i="9"/>
  <c r="J554" i="9"/>
  <c r="J562" i="9"/>
  <c r="J570" i="9"/>
  <c r="J578" i="9"/>
  <c r="J586" i="9"/>
  <c r="J594" i="9"/>
  <c r="J602" i="9"/>
  <c r="J610" i="9"/>
  <c r="J618" i="9"/>
  <c r="J626" i="9"/>
  <c r="J634" i="9"/>
  <c r="J642" i="9"/>
  <c r="J650" i="9"/>
  <c r="J658" i="9"/>
  <c r="J666" i="9"/>
  <c r="J674" i="9"/>
  <c r="J682" i="9"/>
  <c r="J690" i="9"/>
  <c r="J698" i="9"/>
  <c r="J706" i="9"/>
  <c r="J714" i="9"/>
  <c r="J722" i="9"/>
  <c r="J730" i="9"/>
  <c r="J738" i="9"/>
  <c r="J746" i="9"/>
  <c r="J754" i="9"/>
  <c r="J762" i="9"/>
  <c r="J770" i="9"/>
  <c r="J778" i="9"/>
  <c r="J786" i="9"/>
  <c r="J794" i="9"/>
  <c r="J802" i="9"/>
  <c r="J810" i="9"/>
  <c r="J818" i="9"/>
  <c r="J826" i="9"/>
  <c r="J834" i="9"/>
  <c r="J842" i="9"/>
  <c r="J850" i="9"/>
  <c r="J858" i="9"/>
  <c r="J866" i="9"/>
  <c r="J874" i="9"/>
  <c r="J882" i="9"/>
  <c r="J890" i="9"/>
  <c r="J898" i="9"/>
  <c r="J906" i="9"/>
  <c r="J914" i="9"/>
  <c r="J922" i="9"/>
  <c r="J930" i="9"/>
  <c r="J938" i="9"/>
  <c r="J946" i="9"/>
  <c r="J954" i="9"/>
  <c r="J962" i="9"/>
  <c r="J970" i="9"/>
  <c r="J978" i="9"/>
  <c r="J986" i="9"/>
  <c r="J994" i="9"/>
  <c r="J1002" i="9"/>
  <c r="J1010" i="9"/>
  <c r="J1018" i="9"/>
  <c r="J1026" i="9"/>
  <c r="J1034" i="9"/>
  <c r="J1042" i="9"/>
  <c r="J1050" i="9"/>
  <c r="K127" i="9"/>
  <c r="K383" i="9"/>
  <c r="K639" i="9"/>
  <c r="K787" i="9"/>
  <c r="K915" i="9"/>
  <c r="K1023" i="9"/>
  <c r="K1088" i="9"/>
  <c r="K1152" i="9"/>
  <c r="K1216" i="9"/>
  <c r="K1280" i="9"/>
  <c r="K1344" i="9"/>
  <c r="K1408" i="9"/>
  <c r="K1472" i="9"/>
  <c r="K1536" i="9"/>
  <c r="K1600" i="9"/>
  <c r="K1664" i="9"/>
  <c r="K1728" i="9"/>
  <c r="K1792" i="9"/>
  <c r="K1856" i="9"/>
  <c r="K1920" i="9"/>
  <c r="K1984" i="9"/>
  <c r="K2040" i="9"/>
  <c r="K2072" i="9"/>
  <c r="K2104" i="9"/>
  <c r="K2136" i="9"/>
  <c r="K2168" i="9"/>
  <c r="K2200" i="9"/>
  <c r="K2232" i="9"/>
  <c r="K2264" i="9"/>
  <c r="K2296" i="9"/>
  <c r="K2328" i="9"/>
  <c r="J25" i="9"/>
  <c r="J57" i="9"/>
  <c r="J89" i="9"/>
  <c r="J121" i="9"/>
  <c r="J153" i="9"/>
  <c r="J185" i="9"/>
  <c r="J217" i="9"/>
  <c r="J249" i="9"/>
  <c r="J281" i="9"/>
  <c r="J313" i="9"/>
  <c r="J345" i="9"/>
  <c r="J368" i="9"/>
  <c r="J387" i="9"/>
  <c r="J403" i="9"/>
  <c r="J419" i="9"/>
  <c r="J435" i="9"/>
  <c r="J451" i="9"/>
  <c r="J467" i="9"/>
  <c r="J483" i="9"/>
  <c r="J499" i="9"/>
  <c r="J515" i="9"/>
  <c r="J531" i="9"/>
  <c r="J547" i="9"/>
  <c r="J563" i="9"/>
  <c r="J579" i="9"/>
  <c r="J595" i="9"/>
  <c r="J611" i="9"/>
  <c r="J627" i="9"/>
  <c r="J643" i="9"/>
  <c r="J659" i="9"/>
  <c r="J675" i="9"/>
  <c r="J691" i="9"/>
  <c r="J707" i="9"/>
  <c r="J723" i="9"/>
  <c r="J739" i="9"/>
  <c r="J755" i="9"/>
  <c r="J771" i="9"/>
  <c r="J787" i="9"/>
  <c r="J803" i="9"/>
  <c r="J819" i="9"/>
  <c r="J835" i="9"/>
  <c r="J851" i="9"/>
  <c r="J867" i="9"/>
  <c r="J883" i="9"/>
  <c r="J899" i="9"/>
  <c r="J915" i="9"/>
  <c r="J931" i="9"/>
  <c r="J947" i="9"/>
  <c r="J963" i="9"/>
  <c r="J979" i="9"/>
  <c r="J995" i="9"/>
  <c r="J1011" i="9"/>
  <c r="J1027" i="9"/>
  <c r="J1043" i="9"/>
  <c r="J1057" i="9"/>
  <c r="J1067" i="9"/>
  <c r="J1077" i="9"/>
  <c r="J1089" i="9"/>
  <c r="J1099" i="9"/>
  <c r="J1109" i="9"/>
  <c r="J1121" i="9"/>
  <c r="J1131" i="9"/>
  <c r="J1141" i="9"/>
  <c r="J1153" i="9"/>
  <c r="J1163" i="9"/>
  <c r="J1173" i="9"/>
  <c r="J1185" i="9"/>
  <c r="J1194" i="9"/>
  <c r="J1203" i="9"/>
  <c r="J1212" i="9"/>
  <c r="J1220" i="9"/>
  <c r="J1228" i="9"/>
  <c r="J1236" i="9"/>
  <c r="J1244" i="9"/>
  <c r="J1252" i="9"/>
  <c r="J1260" i="9"/>
  <c r="J1268" i="9"/>
  <c r="J1276" i="9"/>
  <c r="J1284" i="9"/>
  <c r="J1292" i="9"/>
  <c r="J1300" i="9"/>
  <c r="J1308" i="9"/>
  <c r="J1316" i="9"/>
  <c r="J1324" i="9"/>
  <c r="J1332" i="9"/>
  <c r="J1340" i="9"/>
  <c r="J1348" i="9"/>
  <c r="J1356" i="9"/>
  <c r="J1364" i="9"/>
  <c r="J1372" i="9"/>
  <c r="J1380" i="9"/>
  <c r="J1388" i="9"/>
  <c r="J1396" i="9"/>
  <c r="J1404" i="9"/>
  <c r="J1412" i="9"/>
  <c r="J1420" i="9"/>
  <c r="J1428" i="9"/>
  <c r="J1436" i="9"/>
  <c r="J1444" i="9"/>
  <c r="J1452" i="9"/>
  <c r="J1460" i="9"/>
  <c r="J1468" i="9"/>
  <c r="J1476" i="9"/>
  <c r="J1484" i="9"/>
  <c r="J1492" i="9"/>
  <c r="J1500" i="9"/>
  <c r="J1508" i="9"/>
  <c r="J1516" i="9"/>
  <c r="J1524" i="9"/>
  <c r="J1532" i="9"/>
  <c r="J1540" i="9"/>
  <c r="J1548" i="9"/>
  <c r="J1556" i="9"/>
  <c r="J1564" i="9"/>
  <c r="J1572" i="9"/>
  <c r="J1580" i="9"/>
  <c r="J1588" i="9"/>
  <c r="J1596" i="9"/>
  <c r="J1604" i="9"/>
  <c r="J1612" i="9"/>
  <c r="J1620" i="9"/>
  <c r="J1628" i="9"/>
  <c r="J1636" i="9"/>
  <c r="J1644" i="9"/>
  <c r="J1652" i="9"/>
  <c r="J1660" i="9"/>
  <c r="J1668" i="9"/>
  <c r="J1676" i="9"/>
  <c r="J1684" i="9"/>
  <c r="J1692" i="9"/>
  <c r="J1700" i="9"/>
  <c r="J1708" i="9"/>
  <c r="J1716" i="9"/>
  <c r="J1724" i="9"/>
  <c r="J1732" i="9"/>
  <c r="J1740" i="9"/>
  <c r="J1748" i="9"/>
  <c r="J1756" i="9"/>
  <c r="J1764" i="9"/>
  <c r="J1772" i="9"/>
  <c r="J1780" i="9"/>
  <c r="J1788" i="9"/>
  <c r="J1796" i="9"/>
  <c r="J1804" i="9"/>
  <c r="J1812" i="9"/>
  <c r="J1820" i="9"/>
  <c r="J1828" i="9"/>
  <c r="J1836" i="9"/>
  <c r="J1844" i="9"/>
  <c r="J1852" i="9"/>
  <c r="J1860" i="9"/>
  <c r="J1868" i="9"/>
  <c r="J1876" i="9"/>
  <c r="J1884" i="9"/>
  <c r="J1892" i="9"/>
  <c r="J1900" i="9"/>
  <c r="J1908" i="9"/>
  <c r="J1916" i="9"/>
  <c r="J1924" i="9"/>
  <c r="J1932" i="9"/>
  <c r="J1940" i="9"/>
  <c r="J1948" i="9"/>
  <c r="J1956" i="9"/>
  <c r="J1964" i="9"/>
  <c r="J1972" i="9"/>
  <c r="J1980" i="9"/>
  <c r="J1988" i="9"/>
  <c r="J1996" i="9"/>
  <c r="J2004" i="9"/>
  <c r="J2012" i="9"/>
  <c r="J2020" i="9"/>
  <c r="J2028" i="9"/>
  <c r="J2036" i="9"/>
  <c r="J2044" i="9"/>
  <c r="J2052" i="9"/>
  <c r="J2060" i="9"/>
  <c r="J2068" i="9"/>
  <c r="J2076" i="9"/>
  <c r="J2084" i="9"/>
  <c r="J2092" i="9"/>
  <c r="J2100" i="9"/>
  <c r="J2108" i="9"/>
  <c r="J2116" i="9"/>
  <c r="J2124" i="9"/>
  <c r="J2132" i="9"/>
  <c r="J2140" i="9"/>
  <c r="J2148" i="9"/>
  <c r="J2156" i="9"/>
  <c r="J2164" i="9"/>
  <c r="J2172" i="9"/>
  <c r="J2180" i="9"/>
  <c r="J2188" i="9"/>
  <c r="J2196" i="9"/>
  <c r="J2204" i="9"/>
  <c r="J2212" i="9"/>
  <c r="J2220" i="9"/>
  <c r="J2228" i="9"/>
  <c r="J2236" i="9"/>
  <c r="J2244" i="9"/>
  <c r="J2252" i="9"/>
  <c r="J2260" i="9"/>
  <c r="J2268" i="9"/>
  <c r="J2276" i="9"/>
  <c r="J2284" i="9"/>
  <c r="J2292" i="9"/>
  <c r="J2300" i="9"/>
  <c r="J2308" i="9"/>
  <c r="J2316" i="9"/>
  <c r="J2324" i="9"/>
  <c r="J2332" i="9"/>
  <c r="I5" i="9"/>
  <c r="I13" i="9"/>
  <c r="I21" i="9"/>
  <c r="I29" i="9"/>
  <c r="I37" i="9"/>
  <c r="I45" i="9"/>
  <c r="I53" i="9"/>
  <c r="I61" i="9"/>
  <c r="I69" i="9"/>
  <c r="I77" i="9"/>
  <c r="I85" i="9"/>
  <c r="I93" i="9"/>
  <c r="I101" i="9"/>
  <c r="I109" i="9"/>
  <c r="I117" i="9"/>
  <c r="I125" i="9"/>
  <c r="I133" i="9"/>
  <c r="I141" i="9"/>
  <c r="I149" i="9"/>
  <c r="I157" i="9"/>
  <c r="I165" i="9"/>
  <c r="I173" i="9"/>
  <c r="I181" i="9"/>
  <c r="I189" i="9"/>
  <c r="I197" i="9"/>
  <c r="I205" i="9"/>
  <c r="I213" i="9"/>
  <c r="I221" i="9"/>
  <c r="I229" i="9"/>
  <c r="I237" i="9"/>
  <c r="I245" i="9"/>
  <c r="I253" i="9"/>
  <c r="I261" i="9"/>
  <c r="I269" i="9"/>
  <c r="I277" i="9"/>
  <c r="I285" i="9"/>
  <c r="I293" i="9"/>
  <c r="I301" i="9"/>
  <c r="I309" i="9"/>
  <c r="I317" i="9"/>
  <c r="I325" i="9"/>
  <c r="I333" i="9"/>
  <c r="I341" i="9"/>
  <c r="I349" i="9"/>
  <c r="I357" i="9"/>
  <c r="I365" i="9"/>
  <c r="I373" i="9"/>
  <c r="I381" i="9"/>
  <c r="I389" i="9"/>
  <c r="I397" i="9"/>
  <c r="I405" i="9"/>
  <c r="I413" i="9"/>
  <c r="I421" i="9"/>
  <c r="I429" i="9"/>
  <c r="I437" i="9"/>
  <c r="I445" i="9"/>
  <c r="I453" i="9"/>
  <c r="I461" i="9"/>
  <c r="I469" i="9"/>
  <c r="I477" i="9"/>
  <c r="I485" i="9"/>
  <c r="I493" i="9"/>
  <c r="I501" i="9"/>
  <c r="I509" i="9"/>
  <c r="I517" i="9"/>
  <c r="I525" i="9"/>
  <c r="I533" i="9"/>
  <c r="I541" i="9"/>
  <c r="I549" i="9"/>
  <c r="I557" i="9"/>
  <c r="I565" i="9"/>
  <c r="I573" i="9"/>
  <c r="I581" i="9"/>
  <c r="I589" i="9"/>
  <c r="I597" i="9"/>
  <c r="I605" i="9"/>
  <c r="I613" i="9"/>
  <c r="I621" i="9"/>
  <c r="I629" i="9"/>
  <c r="I637" i="9"/>
  <c r="I645" i="9"/>
  <c r="I653" i="9"/>
  <c r="I661" i="9"/>
  <c r="I669" i="9"/>
  <c r="I677" i="9"/>
  <c r="I685" i="9"/>
  <c r="I693" i="9"/>
  <c r="I701" i="9"/>
  <c r="I709" i="9"/>
  <c r="I717" i="9"/>
  <c r="I725" i="9"/>
  <c r="I733" i="9"/>
  <c r="I741" i="9"/>
  <c r="I749" i="9"/>
  <c r="I757" i="9"/>
  <c r="I765" i="9"/>
  <c r="I773" i="9"/>
  <c r="I781" i="9"/>
  <c r="I789" i="9"/>
  <c r="I797" i="9"/>
  <c r="K128" i="9"/>
  <c r="K384" i="9"/>
  <c r="K640" i="9"/>
  <c r="K788" i="9"/>
  <c r="K916" i="9"/>
  <c r="K1025" i="9"/>
  <c r="K1089" i="9"/>
  <c r="K1153" i="9"/>
  <c r="K1217" i="9"/>
  <c r="K1281" i="9"/>
  <c r="K1345" i="9"/>
  <c r="K1409" i="9"/>
  <c r="K1473" i="9"/>
  <c r="K1537" i="9"/>
  <c r="K1601" i="9"/>
  <c r="K1665" i="9"/>
  <c r="K1729" i="9"/>
  <c r="K1793" i="9"/>
  <c r="K1857" i="9"/>
  <c r="K1921" i="9"/>
  <c r="K1985" i="9"/>
  <c r="K2041" i="9"/>
  <c r="K2073" i="9"/>
  <c r="K2105" i="9"/>
  <c r="K2137" i="9"/>
  <c r="K2169" i="9"/>
  <c r="K2201" i="9"/>
  <c r="K2233" i="9"/>
  <c r="K2265" i="9"/>
  <c r="K2297" i="9"/>
  <c r="K2329" i="9"/>
  <c r="J26" i="9"/>
  <c r="J58" i="9"/>
  <c r="J90" i="9"/>
  <c r="J122" i="9"/>
  <c r="J154" i="9"/>
  <c r="J186" i="9"/>
  <c r="J218" i="9"/>
  <c r="J250" i="9"/>
  <c r="J282" i="9"/>
  <c r="J314" i="9"/>
  <c r="J346" i="9"/>
  <c r="J369" i="9"/>
  <c r="J388" i="9"/>
  <c r="J404" i="9"/>
  <c r="J420" i="9"/>
  <c r="J436" i="9"/>
  <c r="J452" i="9"/>
  <c r="J468" i="9"/>
  <c r="J484" i="9"/>
  <c r="J500" i="9"/>
  <c r="J516" i="9"/>
  <c r="J532" i="9"/>
  <c r="J548" i="9"/>
  <c r="J564" i="9"/>
  <c r="J580" i="9"/>
  <c r="J596" i="9"/>
  <c r="J612" i="9"/>
  <c r="J628" i="9"/>
  <c r="J644" i="9"/>
  <c r="J660" i="9"/>
  <c r="J676" i="9"/>
  <c r="J692" i="9"/>
  <c r="J708" i="9"/>
  <c r="J724" i="9"/>
  <c r="J740" i="9"/>
  <c r="J756" i="9"/>
  <c r="J772" i="9"/>
  <c r="J788" i="9"/>
  <c r="J804" i="9"/>
  <c r="J820" i="9"/>
  <c r="J836" i="9"/>
  <c r="J852" i="9"/>
  <c r="J868" i="9"/>
  <c r="J884" i="9"/>
  <c r="J900" i="9"/>
  <c r="J916" i="9"/>
  <c r="J932" i="9"/>
  <c r="J948" i="9"/>
  <c r="J964" i="9"/>
  <c r="J980" i="9"/>
  <c r="J996" i="9"/>
  <c r="J1012" i="9"/>
  <c r="J1028" i="9"/>
  <c r="J1044" i="9"/>
  <c r="J1058" i="9"/>
  <c r="J1068" i="9"/>
  <c r="J1078" i="9"/>
  <c r="J1090" i="9"/>
  <c r="J1100" i="9"/>
  <c r="J1110" i="9"/>
  <c r="J1122" i="9"/>
  <c r="J1132" i="9"/>
  <c r="J1142" i="9"/>
  <c r="J1154" i="9"/>
  <c r="J1164" i="9"/>
  <c r="J1174" i="9"/>
  <c r="J1186" i="9"/>
  <c r="J1195" i="9"/>
  <c r="J1204" i="9"/>
  <c r="J1213" i="9"/>
  <c r="J1221" i="9"/>
  <c r="J1229" i="9"/>
  <c r="J1237" i="9"/>
  <c r="J1245" i="9"/>
  <c r="J1253" i="9"/>
  <c r="J1261" i="9"/>
  <c r="J1269" i="9"/>
  <c r="J1277" i="9"/>
  <c r="J1285" i="9"/>
  <c r="J1293" i="9"/>
  <c r="J1301" i="9"/>
  <c r="J1309" i="9"/>
  <c r="J1317" i="9"/>
  <c r="J1325" i="9"/>
  <c r="J1333" i="9"/>
  <c r="J1341" i="9"/>
  <c r="J1349" i="9"/>
  <c r="J1357" i="9"/>
  <c r="J1365" i="9"/>
  <c r="J1373" i="9"/>
  <c r="J1381" i="9"/>
  <c r="J1389" i="9"/>
  <c r="J1397" i="9"/>
  <c r="J1405" i="9"/>
  <c r="J1413" i="9"/>
  <c r="J1421" i="9"/>
  <c r="J1429" i="9"/>
  <c r="J1437" i="9"/>
  <c r="J1445" i="9"/>
  <c r="J1453" i="9"/>
  <c r="J1461" i="9"/>
  <c r="J1469" i="9"/>
  <c r="J1477" i="9"/>
  <c r="J1485" i="9"/>
  <c r="J1493" i="9"/>
  <c r="J1501" i="9"/>
  <c r="J1509" i="9"/>
  <c r="J1517" i="9"/>
  <c r="J1525" i="9"/>
  <c r="J1533" i="9"/>
  <c r="J1541" i="9"/>
  <c r="J1549" i="9"/>
  <c r="J1557" i="9"/>
  <c r="J1565" i="9"/>
  <c r="J1573" i="9"/>
  <c r="J1581" i="9"/>
  <c r="J1589" i="9"/>
  <c r="J1597" i="9"/>
  <c r="J1605" i="9"/>
  <c r="J1613" i="9"/>
  <c r="J1621" i="9"/>
  <c r="J1629" i="9"/>
  <c r="J1637" i="9"/>
  <c r="J1645" i="9"/>
  <c r="J1653" i="9"/>
  <c r="J1661" i="9"/>
  <c r="J1669" i="9"/>
  <c r="J1677" i="9"/>
  <c r="J1685" i="9"/>
  <c r="J1693" i="9"/>
  <c r="J1701" i="9"/>
  <c r="J1709" i="9"/>
  <c r="J1717" i="9"/>
  <c r="J1725" i="9"/>
  <c r="J1733" i="9"/>
  <c r="J1741" i="9"/>
  <c r="J1749" i="9"/>
  <c r="J1757" i="9"/>
  <c r="J1765" i="9"/>
  <c r="J1773" i="9"/>
  <c r="J1781" i="9"/>
  <c r="J1789" i="9"/>
  <c r="J1797" i="9"/>
  <c r="J1805" i="9"/>
  <c r="J1813" i="9"/>
  <c r="J1821" i="9"/>
  <c r="J1829" i="9"/>
  <c r="J1837" i="9"/>
  <c r="J1845" i="9"/>
  <c r="J1853" i="9"/>
  <c r="J1861" i="9"/>
  <c r="J1869" i="9"/>
  <c r="J1877" i="9"/>
  <c r="J1885" i="9"/>
  <c r="J1893" i="9"/>
  <c r="J1901" i="9"/>
  <c r="J1909" i="9"/>
  <c r="J1917" i="9"/>
  <c r="J1925" i="9"/>
  <c r="J1933" i="9"/>
  <c r="J1941" i="9"/>
  <c r="J1949" i="9"/>
  <c r="J1957" i="9"/>
  <c r="J1965" i="9"/>
  <c r="J1973" i="9"/>
  <c r="J1981" i="9"/>
  <c r="J1989" i="9"/>
  <c r="J1997" i="9"/>
  <c r="J2005" i="9"/>
  <c r="J2013" i="9"/>
  <c r="J2021" i="9"/>
  <c r="J2029" i="9"/>
  <c r="J2037" i="9"/>
  <c r="J2045" i="9"/>
  <c r="J2053" i="9"/>
  <c r="J2061" i="9"/>
  <c r="J2069" i="9"/>
  <c r="J2077" i="9"/>
  <c r="J2085" i="9"/>
  <c r="J2093" i="9"/>
  <c r="J2101" i="9"/>
  <c r="J2109" i="9"/>
  <c r="J2117" i="9"/>
  <c r="J2125" i="9"/>
  <c r="J2133" i="9"/>
  <c r="J2141" i="9"/>
  <c r="J2149" i="9"/>
  <c r="J2157" i="9"/>
  <c r="J2165" i="9"/>
  <c r="J2173" i="9"/>
  <c r="J2181" i="9"/>
  <c r="J2189" i="9"/>
  <c r="J2197" i="9"/>
  <c r="J2205" i="9"/>
  <c r="J2213" i="9"/>
  <c r="J2221" i="9"/>
  <c r="J2229" i="9"/>
  <c r="J2237" i="9"/>
  <c r="J2245" i="9"/>
  <c r="J2253" i="9"/>
  <c r="J2261" i="9"/>
  <c r="J2269" i="9"/>
  <c r="J2277" i="9"/>
  <c r="J2285" i="9"/>
  <c r="J2293" i="9"/>
  <c r="J2301" i="9"/>
  <c r="J2309" i="9"/>
  <c r="J2317" i="9"/>
  <c r="J2325" i="9"/>
  <c r="J2333" i="9"/>
  <c r="I6" i="9"/>
  <c r="I14" i="9"/>
  <c r="I22" i="9"/>
  <c r="I30" i="9"/>
  <c r="I38" i="9"/>
  <c r="I46" i="9"/>
  <c r="I54" i="9"/>
  <c r="I62" i="9"/>
  <c r="I70" i="9"/>
  <c r="I78" i="9"/>
  <c r="I86" i="9"/>
  <c r="I94" i="9"/>
  <c r="I102" i="9"/>
  <c r="I110" i="9"/>
  <c r="I118" i="9"/>
  <c r="I126" i="9"/>
  <c r="I134" i="9"/>
  <c r="I142" i="9"/>
  <c r="I150" i="9"/>
  <c r="I158" i="9"/>
  <c r="I166" i="9"/>
  <c r="I174" i="9"/>
  <c r="I182" i="9"/>
  <c r="I190" i="9"/>
  <c r="I198" i="9"/>
  <c r="I206" i="9"/>
  <c r="I214" i="9"/>
  <c r="I222" i="9"/>
  <c r="I230" i="9"/>
  <c r="I238" i="9"/>
  <c r="I246" i="9"/>
  <c r="I254" i="9"/>
  <c r="I262" i="9"/>
  <c r="I270" i="9"/>
  <c r="I278" i="9"/>
  <c r="I286" i="9"/>
  <c r="I294" i="9"/>
  <c r="I302" i="9"/>
  <c r="I310" i="9"/>
  <c r="I318" i="9"/>
  <c r="I326" i="9"/>
  <c r="I334" i="9"/>
  <c r="I342" i="9"/>
  <c r="I350" i="9"/>
  <c r="I358" i="9"/>
  <c r="I366" i="9"/>
  <c r="I374" i="9"/>
  <c r="I382" i="9"/>
  <c r="I390" i="9"/>
  <c r="I398" i="9"/>
  <c r="I406" i="9"/>
  <c r="I414" i="9"/>
  <c r="I422" i="9"/>
  <c r="I430" i="9"/>
  <c r="I438" i="9"/>
  <c r="I446" i="9"/>
  <c r="I454" i="9"/>
  <c r="I462" i="9"/>
  <c r="I470" i="9"/>
  <c r="I478" i="9"/>
  <c r="I486" i="9"/>
  <c r="I494" i="9"/>
  <c r="I502" i="9"/>
  <c r="I510" i="9"/>
  <c r="I518" i="9"/>
  <c r="I526" i="9"/>
  <c r="I534" i="9"/>
  <c r="I542" i="9"/>
  <c r="I550" i="9"/>
  <c r="I558" i="9"/>
  <c r="I566" i="9"/>
  <c r="I574" i="9"/>
  <c r="I582" i="9"/>
  <c r="I590" i="9"/>
  <c r="I598" i="9"/>
  <c r="I606" i="9"/>
  <c r="I614" i="9"/>
  <c r="I622" i="9"/>
  <c r="I630" i="9"/>
  <c r="I638" i="9"/>
  <c r="I646" i="9"/>
  <c r="I654" i="9"/>
  <c r="I662" i="9"/>
  <c r="I670" i="9"/>
  <c r="I678" i="9"/>
  <c r="I686" i="9"/>
  <c r="I694" i="9"/>
  <c r="I702" i="9"/>
  <c r="I710" i="9"/>
  <c r="I718" i="9"/>
  <c r="I726" i="9"/>
  <c r="I734" i="9"/>
  <c r="I742" i="9"/>
  <c r="I750" i="9"/>
  <c r="I758" i="9"/>
  <c r="I766" i="9"/>
  <c r="I774" i="9"/>
  <c r="I782" i="9"/>
  <c r="I790" i="9"/>
  <c r="I798" i="9"/>
  <c r="K129" i="9"/>
  <c r="K385" i="9"/>
  <c r="K641" i="9"/>
  <c r="K789" i="9"/>
  <c r="K917" i="9"/>
  <c r="K1026" i="9"/>
  <c r="K1090" i="9"/>
  <c r="K1154" i="9"/>
  <c r="K1218" i="9"/>
  <c r="K1282" i="9"/>
  <c r="K1346" i="9"/>
  <c r="K1410" i="9"/>
  <c r="K1474" i="9"/>
  <c r="K1538" i="9"/>
  <c r="K1602" i="9"/>
  <c r="K1666" i="9"/>
  <c r="K1730" i="9"/>
  <c r="K1794" i="9"/>
  <c r="K1858" i="9"/>
  <c r="K1922" i="9"/>
  <c r="K1986" i="9"/>
  <c r="K2042" i="9"/>
  <c r="K2074" i="9"/>
  <c r="K2106" i="9"/>
  <c r="K2138" i="9"/>
  <c r="K2170" i="9"/>
  <c r="K2202" i="9"/>
  <c r="K2234" i="9"/>
  <c r="K2266" i="9"/>
  <c r="K2298" i="9"/>
  <c r="K2330" i="9"/>
  <c r="J27" i="9"/>
  <c r="J59" i="9"/>
  <c r="J91" i="9"/>
  <c r="J123" i="9"/>
  <c r="J155" i="9"/>
  <c r="J187" i="9"/>
  <c r="J219" i="9"/>
  <c r="J251" i="9"/>
  <c r="J283" i="9"/>
  <c r="J315" i="9"/>
  <c r="J347" i="9"/>
  <c r="J370" i="9"/>
  <c r="J389" i="9"/>
  <c r="J405" i="9"/>
  <c r="J421" i="9"/>
  <c r="J437" i="9"/>
  <c r="J453" i="9"/>
  <c r="J469" i="9"/>
  <c r="J485" i="9"/>
  <c r="J501" i="9"/>
  <c r="J517" i="9"/>
  <c r="J533" i="9"/>
  <c r="J549" i="9"/>
  <c r="J565" i="9"/>
  <c r="J581" i="9"/>
  <c r="J597" i="9"/>
  <c r="J613" i="9"/>
  <c r="J629" i="9"/>
  <c r="J645" i="9"/>
  <c r="J661" i="9"/>
  <c r="J677" i="9"/>
  <c r="J693" i="9"/>
  <c r="J709" i="9"/>
  <c r="J725" i="9"/>
  <c r="J741" i="9"/>
  <c r="J757" i="9"/>
  <c r="J773" i="9"/>
  <c r="J789" i="9"/>
  <c r="J805" i="9"/>
  <c r="J821" i="9"/>
  <c r="J837" i="9"/>
  <c r="J853" i="9"/>
  <c r="J869" i="9"/>
  <c r="J885" i="9"/>
  <c r="J901" i="9"/>
  <c r="J917" i="9"/>
  <c r="J933" i="9"/>
  <c r="J949" i="9"/>
  <c r="J965" i="9"/>
  <c r="J981" i="9"/>
  <c r="J997" i="9"/>
  <c r="J1013" i="9"/>
  <c r="J1029" i="9"/>
  <c r="J1045" i="9"/>
  <c r="J1059" i="9"/>
  <c r="J1069" i="9"/>
  <c r="J1081" i="9"/>
  <c r="J1091" i="9"/>
  <c r="J1101" i="9"/>
  <c r="J1113" i="9"/>
  <c r="J1123" i="9"/>
  <c r="J1133" i="9"/>
  <c r="J1145" i="9"/>
  <c r="J1155" i="9"/>
  <c r="J1165" i="9"/>
  <c r="J1177" i="9"/>
  <c r="J1187" i="9"/>
  <c r="J1196" i="9"/>
  <c r="J1205" i="9"/>
  <c r="J1214" i="9"/>
  <c r="J1222" i="9"/>
  <c r="J1230" i="9"/>
  <c r="J1238" i="9"/>
  <c r="J1246" i="9"/>
  <c r="J1254" i="9"/>
  <c r="J1262" i="9"/>
  <c r="J1270" i="9"/>
  <c r="J1278" i="9"/>
  <c r="J1286" i="9"/>
  <c r="J1294" i="9"/>
  <c r="J1302" i="9"/>
  <c r="J1310" i="9"/>
  <c r="J1318" i="9"/>
  <c r="J1326" i="9"/>
  <c r="J1334" i="9"/>
  <c r="J1342" i="9"/>
  <c r="J1350" i="9"/>
  <c r="J1358" i="9"/>
  <c r="J1366" i="9"/>
  <c r="J1374" i="9"/>
  <c r="J1382" i="9"/>
  <c r="J1390" i="9"/>
  <c r="J1398" i="9"/>
  <c r="J1406" i="9"/>
  <c r="J1414" i="9"/>
  <c r="J1422" i="9"/>
  <c r="J1430" i="9"/>
  <c r="J1438" i="9"/>
  <c r="J1446" i="9"/>
  <c r="J1454" i="9"/>
  <c r="J1462" i="9"/>
  <c r="J1470" i="9"/>
  <c r="J1478" i="9"/>
  <c r="J1486" i="9"/>
  <c r="J1494" i="9"/>
  <c r="J1502" i="9"/>
  <c r="J1510" i="9"/>
  <c r="J1518" i="9"/>
  <c r="J1526" i="9"/>
  <c r="J1534" i="9"/>
  <c r="J1542" i="9"/>
  <c r="J1550" i="9"/>
  <c r="J1558" i="9"/>
  <c r="J1566" i="9"/>
  <c r="J1574" i="9"/>
  <c r="J1582" i="9"/>
  <c r="J1590" i="9"/>
  <c r="J1598" i="9"/>
  <c r="J1606" i="9"/>
  <c r="J1614" i="9"/>
  <c r="J1622" i="9"/>
  <c r="J1630" i="9"/>
  <c r="J1638" i="9"/>
  <c r="J1646" i="9"/>
  <c r="J1654" i="9"/>
  <c r="J1662" i="9"/>
  <c r="J1670" i="9"/>
  <c r="J1678" i="9"/>
  <c r="J1686" i="9"/>
  <c r="J1694" i="9"/>
  <c r="J1702" i="9"/>
  <c r="J1710" i="9"/>
  <c r="J1718" i="9"/>
  <c r="J1726" i="9"/>
  <c r="J1734" i="9"/>
  <c r="J1742" i="9"/>
  <c r="J1750" i="9"/>
  <c r="J1758" i="9"/>
  <c r="J1766" i="9"/>
  <c r="J1774" i="9"/>
  <c r="J1782" i="9"/>
  <c r="J1790" i="9"/>
  <c r="J1798" i="9"/>
  <c r="J1806" i="9"/>
  <c r="J1814" i="9"/>
  <c r="J1822" i="9"/>
  <c r="J1830" i="9"/>
  <c r="J1838" i="9"/>
  <c r="J1846" i="9"/>
  <c r="J1854" i="9"/>
  <c r="J1862" i="9"/>
  <c r="J1870" i="9"/>
  <c r="J1878" i="9"/>
  <c r="J1886" i="9"/>
  <c r="J1894" i="9"/>
  <c r="J1902" i="9"/>
  <c r="J1910" i="9"/>
  <c r="J1918" i="9"/>
  <c r="J1926" i="9"/>
  <c r="J1934" i="9"/>
  <c r="J1942" i="9"/>
  <c r="J1950" i="9"/>
  <c r="J1958" i="9"/>
  <c r="J1966" i="9"/>
  <c r="J1974" i="9"/>
  <c r="J1982" i="9"/>
  <c r="J1990" i="9"/>
  <c r="J1998" i="9"/>
  <c r="J2006" i="9"/>
  <c r="J2014" i="9"/>
  <c r="J2022" i="9"/>
  <c r="J2030" i="9"/>
  <c r="J2038" i="9"/>
  <c r="J2046" i="9"/>
  <c r="J2054" i="9"/>
  <c r="J2062" i="9"/>
  <c r="J2070" i="9"/>
  <c r="J2078" i="9"/>
  <c r="J2086" i="9"/>
  <c r="J2094" i="9"/>
  <c r="J2102" i="9"/>
  <c r="J2110" i="9"/>
  <c r="J2118" i="9"/>
  <c r="J2126" i="9"/>
  <c r="J2134" i="9"/>
  <c r="J2142" i="9"/>
  <c r="J2150" i="9"/>
  <c r="J2158" i="9"/>
  <c r="J2166" i="9"/>
  <c r="J2174" i="9"/>
  <c r="J2182" i="9"/>
  <c r="J2190" i="9"/>
  <c r="J2198" i="9"/>
  <c r="J2206" i="9"/>
  <c r="J2214" i="9"/>
  <c r="J2222" i="9"/>
  <c r="J2230" i="9"/>
  <c r="J2238" i="9"/>
  <c r="J2246" i="9"/>
  <c r="J2254" i="9"/>
  <c r="J2262" i="9"/>
  <c r="J2270" i="9"/>
  <c r="J2278" i="9"/>
  <c r="J2286" i="9"/>
  <c r="J2294" i="9"/>
  <c r="J2302" i="9"/>
  <c r="J2310" i="9"/>
  <c r="J2318" i="9"/>
  <c r="J2326" i="9"/>
  <c r="J2334" i="9"/>
  <c r="I7" i="9"/>
  <c r="I15" i="9"/>
  <c r="I23" i="9"/>
  <c r="I31" i="9"/>
  <c r="I39" i="9"/>
  <c r="I47" i="9"/>
  <c r="I55" i="9"/>
  <c r="I63" i="9"/>
  <c r="I71" i="9"/>
  <c r="I79" i="9"/>
  <c r="I87" i="9"/>
  <c r="I95" i="9"/>
  <c r="I103" i="9"/>
  <c r="I111" i="9"/>
  <c r="I119" i="9"/>
  <c r="I127" i="9"/>
  <c r="I135" i="9"/>
  <c r="I143" i="9"/>
  <c r="I151" i="9"/>
  <c r="I159" i="9"/>
  <c r="I167" i="9"/>
  <c r="I175" i="9"/>
  <c r="I183" i="9"/>
  <c r="I191" i="9"/>
  <c r="I199" i="9"/>
  <c r="I207" i="9"/>
  <c r="I215" i="9"/>
  <c r="I223" i="9"/>
  <c r="I231" i="9"/>
  <c r="I239" i="9"/>
  <c r="I247" i="9"/>
  <c r="I255" i="9"/>
  <c r="I263" i="9"/>
  <c r="I271" i="9"/>
  <c r="I279" i="9"/>
  <c r="I287" i="9"/>
  <c r="I295" i="9"/>
  <c r="I303" i="9"/>
  <c r="I311" i="9"/>
  <c r="I319" i="9"/>
  <c r="I327" i="9"/>
  <c r="I335" i="9"/>
  <c r="I343" i="9"/>
  <c r="I351" i="9"/>
  <c r="I359" i="9"/>
  <c r="I367" i="9"/>
  <c r="I375" i="9"/>
  <c r="I383" i="9"/>
  <c r="I391" i="9"/>
  <c r="I399" i="9"/>
  <c r="I407" i="9"/>
  <c r="I415" i="9"/>
  <c r="I423" i="9"/>
  <c r="I431" i="9"/>
  <c r="I439" i="9"/>
  <c r="I447" i="9"/>
  <c r="I455" i="9"/>
  <c r="I463" i="9"/>
  <c r="I471" i="9"/>
  <c r="I479" i="9"/>
  <c r="I487" i="9"/>
  <c r="I495" i="9"/>
  <c r="I503" i="9"/>
  <c r="I511" i="9"/>
  <c r="I519" i="9"/>
  <c r="I527" i="9"/>
  <c r="I535" i="9"/>
  <c r="I543" i="9"/>
  <c r="I551" i="9"/>
  <c r="I559" i="9"/>
  <c r="I567" i="9"/>
  <c r="I575" i="9"/>
  <c r="I583" i="9"/>
  <c r="I591" i="9"/>
  <c r="K130" i="9"/>
  <c r="K386" i="9"/>
  <c r="K642" i="9"/>
  <c r="K790" i="9"/>
  <c r="K918" i="9"/>
  <c r="K1027" i="9"/>
  <c r="K1091" i="9"/>
  <c r="K1155" i="9"/>
  <c r="K1219" i="9"/>
  <c r="K1283" i="9"/>
  <c r="K1347" i="9"/>
  <c r="K1411" i="9"/>
  <c r="K1475" i="9"/>
  <c r="K1539" i="9"/>
  <c r="K1603" i="9"/>
  <c r="K1667" i="9"/>
  <c r="K1731" i="9"/>
  <c r="K1795" i="9"/>
  <c r="K1859" i="9"/>
  <c r="K1923" i="9"/>
  <c r="K1987" i="9"/>
  <c r="K2043" i="9"/>
  <c r="K2075" i="9"/>
  <c r="K2107" i="9"/>
  <c r="K2139" i="9"/>
  <c r="K2171" i="9"/>
  <c r="K2203" i="9"/>
  <c r="K2235" i="9"/>
  <c r="K2267" i="9"/>
  <c r="K2299" i="9"/>
  <c r="K2331" i="9"/>
  <c r="J28" i="9"/>
  <c r="J60" i="9"/>
  <c r="J92" i="9"/>
  <c r="J124" i="9"/>
  <c r="J156" i="9"/>
  <c r="J188" i="9"/>
  <c r="J220" i="9"/>
  <c r="J252" i="9"/>
  <c r="J284" i="9"/>
  <c r="J316" i="9"/>
  <c r="J348" i="9"/>
  <c r="J371" i="9"/>
  <c r="J390" i="9"/>
  <c r="J406" i="9"/>
  <c r="J422" i="9"/>
  <c r="J438" i="9"/>
  <c r="J454" i="9"/>
  <c r="J470" i="9"/>
  <c r="J486" i="9"/>
  <c r="J502" i="9"/>
  <c r="J518" i="9"/>
  <c r="J534" i="9"/>
  <c r="J550" i="9"/>
  <c r="J566" i="9"/>
  <c r="J582" i="9"/>
  <c r="J598" i="9"/>
  <c r="J614" i="9"/>
  <c r="J630" i="9"/>
  <c r="J646" i="9"/>
  <c r="J662" i="9"/>
  <c r="J678" i="9"/>
  <c r="J694" i="9"/>
  <c r="J710" i="9"/>
  <c r="J726" i="9"/>
  <c r="J742" i="9"/>
  <c r="J758" i="9"/>
  <c r="J774" i="9"/>
  <c r="J790" i="9"/>
  <c r="J806" i="9"/>
  <c r="J822" i="9"/>
  <c r="J838" i="9"/>
  <c r="J854" i="9"/>
  <c r="J870" i="9"/>
  <c r="J886" i="9"/>
  <c r="J902" i="9"/>
  <c r="J918" i="9"/>
  <c r="J934" i="9"/>
  <c r="J950" i="9"/>
  <c r="J966" i="9"/>
  <c r="J982" i="9"/>
  <c r="J998" i="9"/>
  <c r="J1014" i="9"/>
  <c r="J1030" i="9"/>
  <c r="J1046" i="9"/>
  <c r="J1060" i="9"/>
  <c r="J1070" i="9"/>
  <c r="J1082" i="9"/>
  <c r="J1092" i="9"/>
  <c r="J1102" i="9"/>
  <c r="J1114" i="9"/>
  <c r="J1124" i="9"/>
  <c r="J1134" i="9"/>
  <c r="J1146" i="9"/>
  <c r="J1156" i="9"/>
  <c r="J1166" i="9"/>
  <c r="J1178" i="9"/>
  <c r="J1188" i="9"/>
  <c r="J1197" i="9"/>
  <c r="J1206" i="9"/>
  <c r="J1215" i="9"/>
  <c r="J1223" i="9"/>
  <c r="J1231" i="9"/>
  <c r="J1239" i="9"/>
  <c r="J1247" i="9"/>
  <c r="J1255" i="9"/>
  <c r="J1263" i="9"/>
  <c r="J1271" i="9"/>
  <c r="J1279" i="9"/>
  <c r="J1287" i="9"/>
  <c r="J1295" i="9"/>
  <c r="J1303" i="9"/>
  <c r="J1311" i="9"/>
  <c r="J1319" i="9"/>
  <c r="J1327" i="9"/>
  <c r="J1335" i="9"/>
  <c r="J1343" i="9"/>
  <c r="J1351" i="9"/>
  <c r="J1359" i="9"/>
  <c r="J1367" i="9"/>
  <c r="J1375" i="9"/>
  <c r="J1383" i="9"/>
  <c r="J1391" i="9"/>
  <c r="J1399" i="9"/>
  <c r="J1407" i="9"/>
  <c r="J1415" i="9"/>
  <c r="J1423" i="9"/>
  <c r="J1431" i="9"/>
  <c r="J1439" i="9"/>
  <c r="J1447" i="9"/>
  <c r="J1455" i="9"/>
  <c r="J1463" i="9"/>
  <c r="J1471" i="9"/>
  <c r="J1479" i="9"/>
  <c r="J1487" i="9"/>
  <c r="J1495" i="9"/>
  <c r="J1503" i="9"/>
  <c r="J1511" i="9"/>
  <c r="J1519" i="9"/>
  <c r="J1527" i="9"/>
  <c r="J1535" i="9"/>
  <c r="J1543" i="9"/>
  <c r="J1551" i="9"/>
  <c r="J1559" i="9"/>
  <c r="J1567" i="9"/>
  <c r="J1575" i="9"/>
  <c r="J1583" i="9"/>
  <c r="J1591" i="9"/>
  <c r="J1599" i="9"/>
  <c r="J1607" i="9"/>
  <c r="J1615" i="9"/>
  <c r="J1623" i="9"/>
  <c r="J1631" i="9"/>
  <c r="J1639" i="9"/>
  <c r="J1647" i="9"/>
  <c r="J1655" i="9"/>
  <c r="J1663" i="9"/>
  <c r="J1671" i="9"/>
  <c r="J1679" i="9"/>
  <c r="J1687" i="9"/>
  <c r="J1695" i="9"/>
  <c r="J1703" i="9"/>
  <c r="J1711" i="9"/>
  <c r="J1719" i="9"/>
  <c r="J1727" i="9"/>
  <c r="J1735" i="9"/>
  <c r="J1743" i="9"/>
  <c r="J1751" i="9"/>
  <c r="J1759" i="9"/>
  <c r="J1767" i="9"/>
  <c r="J1775" i="9"/>
  <c r="J1783" i="9"/>
  <c r="J1791" i="9"/>
  <c r="J1799" i="9"/>
  <c r="J1807" i="9"/>
  <c r="J1815" i="9"/>
  <c r="J1823" i="9"/>
  <c r="J1831" i="9"/>
  <c r="J1839" i="9"/>
  <c r="J1847" i="9"/>
  <c r="J1855" i="9"/>
  <c r="J1863" i="9"/>
  <c r="J1871" i="9"/>
  <c r="J1879" i="9"/>
  <c r="J1887" i="9"/>
  <c r="J1895" i="9"/>
  <c r="J1903" i="9"/>
  <c r="J1911" i="9"/>
  <c r="J1919" i="9"/>
  <c r="J1927" i="9"/>
  <c r="J1935" i="9"/>
  <c r="J1943" i="9"/>
  <c r="J1951" i="9"/>
  <c r="J1959" i="9"/>
  <c r="J1967" i="9"/>
  <c r="J1975" i="9"/>
  <c r="J1983" i="9"/>
  <c r="J1991" i="9"/>
  <c r="J1999" i="9"/>
  <c r="J2007" i="9"/>
  <c r="J2015" i="9"/>
  <c r="J2023" i="9"/>
  <c r="J2031" i="9"/>
  <c r="J2039" i="9"/>
  <c r="J2047" i="9"/>
  <c r="J2055" i="9"/>
  <c r="J2063" i="9"/>
  <c r="J2071" i="9"/>
  <c r="J2079" i="9"/>
  <c r="J2087" i="9"/>
  <c r="J2095" i="9"/>
  <c r="J2103" i="9"/>
  <c r="J2111" i="9"/>
  <c r="J2119" i="9"/>
  <c r="J2127" i="9"/>
  <c r="J2135" i="9"/>
  <c r="J2143" i="9"/>
  <c r="J2151" i="9"/>
  <c r="J2159" i="9"/>
  <c r="J2167" i="9"/>
  <c r="J2175" i="9"/>
  <c r="J2183" i="9"/>
  <c r="J2191" i="9"/>
  <c r="J2199" i="9"/>
  <c r="J2207" i="9"/>
  <c r="J2215" i="9"/>
  <c r="J2223" i="9"/>
  <c r="J2231" i="9"/>
  <c r="J2239" i="9"/>
  <c r="J2247" i="9"/>
  <c r="J2255" i="9"/>
  <c r="J2263" i="9"/>
  <c r="J2271" i="9"/>
  <c r="J2279" i="9"/>
  <c r="J2287" i="9"/>
  <c r="J2295" i="9"/>
  <c r="J2303" i="9"/>
  <c r="J2311" i="9"/>
  <c r="J2319" i="9"/>
  <c r="J2327" i="9"/>
  <c r="J2335" i="9"/>
  <c r="I8" i="9"/>
  <c r="I16" i="9"/>
  <c r="I24" i="9"/>
  <c r="I32" i="9"/>
  <c r="I40" i="9"/>
  <c r="I48" i="9"/>
  <c r="I56" i="9"/>
  <c r="I64" i="9"/>
  <c r="I72" i="9"/>
  <c r="I80" i="9"/>
  <c r="I88" i="9"/>
  <c r="I96" i="9"/>
  <c r="I104" i="9"/>
  <c r="I112" i="9"/>
  <c r="I120" i="9"/>
  <c r="I128" i="9"/>
  <c r="I136" i="9"/>
  <c r="I144" i="9"/>
  <c r="I152" i="9"/>
  <c r="I160" i="9"/>
  <c r="I168" i="9"/>
  <c r="I176" i="9"/>
  <c r="I184" i="9"/>
  <c r="I192" i="9"/>
  <c r="I200" i="9"/>
  <c r="I208" i="9"/>
  <c r="I216" i="9"/>
  <c r="I224" i="9"/>
  <c r="I232" i="9"/>
  <c r="I240" i="9"/>
  <c r="I248" i="9"/>
  <c r="I256" i="9"/>
  <c r="I264" i="9"/>
  <c r="I272" i="9"/>
  <c r="I280" i="9"/>
  <c r="I288" i="9"/>
  <c r="I296" i="9"/>
  <c r="I304" i="9"/>
  <c r="I312" i="9"/>
  <c r="I320" i="9"/>
  <c r="I328" i="9"/>
  <c r="I336" i="9"/>
  <c r="I344" i="9"/>
  <c r="I352" i="9"/>
  <c r="I360" i="9"/>
  <c r="I368" i="9"/>
  <c r="I376" i="9"/>
  <c r="I384" i="9"/>
  <c r="I392" i="9"/>
  <c r="I400" i="9"/>
  <c r="I408" i="9"/>
  <c r="I416" i="9"/>
  <c r="I424" i="9"/>
  <c r="I432" i="9"/>
  <c r="I440" i="9"/>
  <c r="I448" i="9"/>
  <c r="I456" i="9"/>
  <c r="I464" i="9"/>
  <c r="I472" i="9"/>
  <c r="I480" i="9"/>
  <c r="I488" i="9"/>
  <c r="I496" i="9"/>
  <c r="I504" i="9"/>
  <c r="I512" i="9"/>
  <c r="I520" i="9"/>
  <c r="I528" i="9"/>
  <c r="I536" i="9"/>
  <c r="I544" i="9"/>
  <c r="I552" i="9"/>
  <c r="I560" i="9"/>
  <c r="I568" i="9"/>
  <c r="I576" i="9"/>
  <c r="I584" i="9"/>
  <c r="I592" i="9"/>
  <c r="I600" i="9"/>
  <c r="K255" i="9"/>
  <c r="K723" i="9"/>
  <c r="K979" i="9"/>
  <c r="K1120" i="9"/>
  <c r="K1248" i="9"/>
  <c r="K1376" i="9"/>
  <c r="K1504" i="9"/>
  <c r="K1632" i="9"/>
  <c r="K1760" i="9"/>
  <c r="K1888" i="9"/>
  <c r="K2016" i="9"/>
  <c r="K2088" i="9"/>
  <c r="K2152" i="9"/>
  <c r="K2216" i="9"/>
  <c r="K2280" i="9"/>
  <c r="J9" i="9"/>
  <c r="J73" i="9"/>
  <c r="J137" i="9"/>
  <c r="J201" i="9"/>
  <c r="J265" i="9"/>
  <c r="J329" i="9"/>
  <c r="J378" i="9"/>
  <c r="J411" i="9"/>
  <c r="J443" i="9"/>
  <c r="J475" i="9"/>
  <c r="J507" i="9"/>
  <c r="J539" i="9"/>
  <c r="J571" i="9"/>
  <c r="J603" i="9"/>
  <c r="J635" i="9"/>
  <c r="J667" i="9"/>
  <c r="J699" i="9"/>
  <c r="J731" i="9"/>
  <c r="J763" i="9"/>
  <c r="J795" i="9"/>
  <c r="J827" i="9"/>
  <c r="J859" i="9"/>
  <c r="J891" i="9"/>
  <c r="J923" i="9"/>
  <c r="J955" i="9"/>
  <c r="J987" i="9"/>
  <c r="J1019" i="9"/>
  <c r="J1051" i="9"/>
  <c r="J1073" i="9"/>
  <c r="J1093" i="9"/>
  <c r="J1115" i="9"/>
  <c r="J1137" i="9"/>
  <c r="J1157" i="9"/>
  <c r="J1179" i="9"/>
  <c r="J1198" i="9"/>
  <c r="J1216" i="9"/>
  <c r="J1232" i="9"/>
  <c r="J1248" i="9"/>
  <c r="J1264" i="9"/>
  <c r="J1280" i="9"/>
  <c r="J1296" i="9"/>
  <c r="J1312" i="9"/>
  <c r="J1328" i="9"/>
  <c r="J1344" i="9"/>
  <c r="J1360" i="9"/>
  <c r="J1376" i="9"/>
  <c r="J1392" i="9"/>
  <c r="J1408" i="9"/>
  <c r="J1424" i="9"/>
  <c r="J1440" i="9"/>
  <c r="J1456" i="9"/>
  <c r="J1472" i="9"/>
  <c r="J1488" i="9"/>
  <c r="J1504" i="9"/>
  <c r="J1520" i="9"/>
  <c r="J1536" i="9"/>
  <c r="J1552" i="9"/>
  <c r="J1568" i="9"/>
  <c r="J1584" i="9"/>
  <c r="J1600" i="9"/>
  <c r="J1616" i="9"/>
  <c r="J1632" i="9"/>
  <c r="J1648" i="9"/>
  <c r="J1664" i="9"/>
  <c r="J1680" i="9"/>
  <c r="J1696" i="9"/>
  <c r="J1712" i="9"/>
  <c r="J1728" i="9"/>
  <c r="J1744" i="9"/>
  <c r="J1760" i="9"/>
  <c r="J1776" i="9"/>
  <c r="J1792" i="9"/>
  <c r="J1808" i="9"/>
  <c r="J1824" i="9"/>
  <c r="J1840" i="9"/>
  <c r="J1856" i="9"/>
  <c r="J1872" i="9"/>
  <c r="J1888" i="9"/>
  <c r="J1904" i="9"/>
  <c r="J1920" i="9"/>
  <c r="J1936" i="9"/>
  <c r="J1952" i="9"/>
  <c r="J1968" i="9"/>
  <c r="J1984" i="9"/>
  <c r="J2000" i="9"/>
  <c r="J2016" i="9"/>
  <c r="J2032" i="9"/>
  <c r="J2048" i="9"/>
  <c r="J2064" i="9"/>
  <c r="J2080" i="9"/>
  <c r="J2096" i="9"/>
  <c r="J2112" i="9"/>
  <c r="J2128" i="9"/>
  <c r="J2144" i="9"/>
  <c r="J2160" i="9"/>
  <c r="J2176" i="9"/>
  <c r="J2192" i="9"/>
  <c r="J2208" i="9"/>
  <c r="J2224" i="9"/>
  <c r="J2240" i="9"/>
  <c r="J2256" i="9"/>
  <c r="J2272" i="9"/>
  <c r="J2288" i="9"/>
  <c r="J2304" i="9"/>
  <c r="J2320" i="9"/>
  <c r="J2336" i="9"/>
  <c r="I17" i="9"/>
  <c r="I33" i="9"/>
  <c r="I49" i="9"/>
  <c r="I65" i="9"/>
  <c r="I81" i="9"/>
  <c r="I97" i="9"/>
  <c r="I113" i="9"/>
  <c r="I129" i="9"/>
  <c r="I145" i="9"/>
  <c r="I161" i="9"/>
  <c r="I177" i="9"/>
  <c r="I193" i="9"/>
  <c r="I209" i="9"/>
  <c r="I225" i="9"/>
  <c r="I241" i="9"/>
  <c r="I257" i="9"/>
  <c r="I273" i="9"/>
  <c r="I289" i="9"/>
  <c r="I305" i="9"/>
  <c r="I321" i="9"/>
  <c r="I337" i="9"/>
  <c r="I353" i="9"/>
  <c r="I369" i="9"/>
  <c r="I385" i="9"/>
  <c r="I401" i="9"/>
  <c r="I417" i="9"/>
  <c r="I433" i="9"/>
  <c r="I449" i="9"/>
  <c r="I465" i="9"/>
  <c r="I481" i="9"/>
  <c r="I497" i="9"/>
  <c r="I513" i="9"/>
  <c r="I529" i="9"/>
  <c r="I545" i="9"/>
  <c r="I561" i="9"/>
  <c r="I577" i="9"/>
  <c r="I593" i="9"/>
  <c r="I604" i="9"/>
  <c r="I616" i="9"/>
  <c r="I626" i="9"/>
  <c r="I636" i="9"/>
  <c r="I648" i="9"/>
  <c r="I658" i="9"/>
  <c r="I668" i="9"/>
  <c r="I680" i="9"/>
  <c r="I690" i="9"/>
  <c r="I700" i="9"/>
  <c r="I712" i="9"/>
  <c r="I722" i="9"/>
  <c r="I732" i="9"/>
  <c r="I744" i="9"/>
  <c r="I754" i="9"/>
  <c r="I764" i="9"/>
  <c r="I776" i="9"/>
  <c r="I786" i="9"/>
  <c r="I796" i="9"/>
  <c r="I806" i="9"/>
  <c r="I814" i="9"/>
  <c r="I822" i="9"/>
  <c r="I830" i="9"/>
  <c r="I838" i="9"/>
  <c r="I846" i="9"/>
  <c r="I854" i="9"/>
  <c r="I862" i="9"/>
  <c r="I870" i="9"/>
  <c r="I878" i="9"/>
  <c r="I886" i="9"/>
  <c r="I894" i="9"/>
  <c r="I902" i="9"/>
  <c r="I910" i="9"/>
  <c r="I918" i="9"/>
  <c r="I926" i="9"/>
  <c r="I934" i="9"/>
  <c r="I942" i="9"/>
  <c r="I950" i="9"/>
  <c r="I958" i="9"/>
  <c r="I966" i="9"/>
  <c r="I974" i="9"/>
  <c r="I982" i="9"/>
  <c r="I990" i="9"/>
  <c r="I998" i="9"/>
  <c r="I1006" i="9"/>
  <c r="I1014" i="9"/>
  <c r="I1022" i="9"/>
  <c r="I1030" i="9"/>
  <c r="I1038" i="9"/>
  <c r="I1046" i="9"/>
  <c r="I1054" i="9"/>
  <c r="I1062" i="9"/>
  <c r="I1070" i="9"/>
  <c r="I1078" i="9"/>
  <c r="I1086" i="9"/>
  <c r="I1094" i="9"/>
  <c r="I1102" i="9"/>
  <c r="I1110" i="9"/>
  <c r="I1118" i="9"/>
  <c r="I1126" i="9"/>
  <c r="I1134" i="9"/>
  <c r="I1142" i="9"/>
  <c r="I1150" i="9"/>
  <c r="I1158" i="9"/>
  <c r="I1166" i="9"/>
  <c r="I1174" i="9"/>
  <c r="I1182" i="9"/>
  <c r="I1190" i="9"/>
  <c r="I1198" i="9"/>
  <c r="I1206" i="9"/>
  <c r="I1214" i="9"/>
  <c r="I1222" i="9"/>
  <c r="I1230" i="9"/>
  <c r="I1238" i="9"/>
  <c r="I1246" i="9"/>
  <c r="I1254" i="9"/>
  <c r="I1262" i="9"/>
  <c r="I1270" i="9"/>
  <c r="I1278" i="9"/>
  <c r="I1286" i="9"/>
  <c r="I1294" i="9"/>
  <c r="I1302" i="9"/>
  <c r="I1310" i="9"/>
  <c r="I1318" i="9"/>
  <c r="I1326" i="9"/>
  <c r="I1334" i="9"/>
  <c r="I1342" i="9"/>
  <c r="I1350" i="9"/>
  <c r="I1358" i="9"/>
  <c r="I1366" i="9"/>
  <c r="I1374" i="9"/>
  <c r="I1382" i="9"/>
  <c r="I1390" i="9"/>
  <c r="I1398" i="9"/>
  <c r="I1406" i="9"/>
  <c r="I1414" i="9"/>
  <c r="I1422" i="9"/>
  <c r="I1430" i="9"/>
  <c r="I1438" i="9"/>
  <c r="I1446" i="9"/>
  <c r="I1454" i="9"/>
  <c r="I1462" i="9"/>
  <c r="I1470" i="9"/>
  <c r="I1478" i="9"/>
  <c r="I1486" i="9"/>
  <c r="I1494" i="9"/>
  <c r="I1502" i="9"/>
  <c r="I1510" i="9"/>
  <c r="I1518" i="9"/>
  <c r="I1526" i="9"/>
  <c r="I1534" i="9"/>
  <c r="I1542" i="9"/>
  <c r="I1550" i="9"/>
  <c r="I1558" i="9"/>
  <c r="I1566" i="9"/>
  <c r="I1574" i="9"/>
  <c r="I1582" i="9"/>
  <c r="I1590" i="9"/>
  <c r="I1598" i="9"/>
  <c r="I1606" i="9"/>
  <c r="I1614" i="9"/>
  <c r="I1622" i="9"/>
  <c r="I1630" i="9"/>
  <c r="I1638" i="9"/>
  <c r="I1646" i="9"/>
  <c r="I1654" i="9"/>
  <c r="I1662" i="9"/>
  <c r="I1670" i="9"/>
  <c r="I1678" i="9"/>
  <c r="I1686" i="9"/>
  <c r="I1694" i="9"/>
  <c r="I1702" i="9"/>
  <c r="I1710" i="9"/>
  <c r="I1718" i="9"/>
  <c r="I1726" i="9"/>
  <c r="I1734" i="9"/>
  <c r="I1742" i="9"/>
  <c r="I1750" i="9"/>
  <c r="I1758" i="9"/>
  <c r="I1766" i="9"/>
  <c r="I1774" i="9"/>
  <c r="I1782" i="9"/>
  <c r="I1790" i="9"/>
  <c r="I1798" i="9"/>
  <c r="I1806" i="9"/>
  <c r="I1814" i="9"/>
  <c r="I1822" i="9"/>
  <c r="I1830" i="9"/>
  <c r="I1838" i="9"/>
  <c r="I1846" i="9"/>
  <c r="I1854" i="9"/>
  <c r="I1862" i="9"/>
  <c r="I1870" i="9"/>
  <c r="I1878" i="9"/>
  <c r="I1886" i="9"/>
  <c r="I1894" i="9"/>
  <c r="I1902" i="9"/>
  <c r="I1910" i="9"/>
  <c r="I1918" i="9"/>
  <c r="I1926" i="9"/>
  <c r="I1934" i="9"/>
  <c r="I1942" i="9"/>
  <c r="I1950" i="9"/>
  <c r="I1958" i="9"/>
  <c r="I1966" i="9"/>
  <c r="I1974" i="9"/>
  <c r="I1982" i="9"/>
  <c r="I1990" i="9"/>
  <c r="I1998" i="9"/>
  <c r="I2006" i="9"/>
  <c r="I2014" i="9"/>
  <c r="I2022" i="9"/>
  <c r="I2030" i="9"/>
  <c r="I2038" i="9"/>
  <c r="I2046" i="9"/>
  <c r="I2054" i="9"/>
  <c r="I2062" i="9"/>
  <c r="I2070" i="9"/>
  <c r="I2078" i="9"/>
  <c r="I2086" i="9"/>
  <c r="I2094" i="9"/>
  <c r="I2102" i="9"/>
  <c r="I2110" i="9"/>
  <c r="I2118" i="9"/>
  <c r="I2126" i="9"/>
  <c r="I2134" i="9"/>
  <c r="I2142" i="9"/>
  <c r="I2150" i="9"/>
  <c r="I2158" i="9"/>
  <c r="I2166" i="9"/>
  <c r="I2174" i="9"/>
  <c r="I2182" i="9"/>
  <c r="I2190" i="9"/>
  <c r="I2198" i="9"/>
  <c r="I2206" i="9"/>
  <c r="I2214" i="9"/>
  <c r="I2222" i="9"/>
  <c r="I2230" i="9"/>
  <c r="I2238" i="9"/>
  <c r="I2246" i="9"/>
  <c r="I2254" i="9"/>
  <c r="I2262" i="9"/>
  <c r="I2270" i="9"/>
  <c r="I2278" i="9"/>
  <c r="I2286" i="9"/>
  <c r="K256" i="9"/>
  <c r="K724" i="9"/>
  <c r="K980" i="9"/>
  <c r="K1121" i="9"/>
  <c r="K1249" i="9"/>
  <c r="K1377" i="9"/>
  <c r="K1505" i="9"/>
  <c r="K1633" i="9"/>
  <c r="K1761" i="9"/>
  <c r="K1889" i="9"/>
  <c r="K2017" i="9"/>
  <c r="K2089" i="9"/>
  <c r="K2153" i="9"/>
  <c r="K2217" i="9"/>
  <c r="K2281" i="9"/>
  <c r="J10" i="9"/>
  <c r="J74" i="9"/>
  <c r="J138" i="9"/>
  <c r="J202" i="9"/>
  <c r="J266" i="9"/>
  <c r="J330" i="9"/>
  <c r="J379" i="9"/>
  <c r="J412" i="9"/>
  <c r="J444" i="9"/>
  <c r="J476" i="9"/>
  <c r="J508" i="9"/>
  <c r="J540" i="9"/>
  <c r="J572" i="9"/>
  <c r="J604" i="9"/>
  <c r="J636" i="9"/>
  <c r="J668" i="9"/>
  <c r="J700" i="9"/>
  <c r="J732" i="9"/>
  <c r="J764" i="9"/>
  <c r="J796" i="9"/>
  <c r="J828" i="9"/>
  <c r="J860" i="9"/>
  <c r="J892" i="9"/>
  <c r="J924" i="9"/>
  <c r="J956" i="9"/>
  <c r="J988" i="9"/>
  <c r="J1020" i="9"/>
  <c r="J1052" i="9"/>
  <c r="J1074" i="9"/>
  <c r="J1094" i="9"/>
  <c r="J1116" i="9"/>
  <c r="J1138" i="9"/>
  <c r="J1158" i="9"/>
  <c r="J1180" i="9"/>
  <c r="J1200" i="9"/>
  <c r="J1217" i="9"/>
  <c r="J1233" i="9"/>
  <c r="J1249" i="9"/>
  <c r="J1265" i="9"/>
  <c r="J1281" i="9"/>
  <c r="J1297" i="9"/>
  <c r="J1313" i="9"/>
  <c r="J1329" i="9"/>
  <c r="J1345" i="9"/>
  <c r="J1361" i="9"/>
  <c r="J1377" i="9"/>
  <c r="J1393" i="9"/>
  <c r="J1409" i="9"/>
  <c r="J1425" i="9"/>
  <c r="J1441" i="9"/>
  <c r="J1457" i="9"/>
  <c r="J1473" i="9"/>
  <c r="J1489" i="9"/>
  <c r="J1505" i="9"/>
  <c r="J1521" i="9"/>
  <c r="J1537" i="9"/>
  <c r="J1553" i="9"/>
  <c r="J1569" i="9"/>
  <c r="J1585" i="9"/>
  <c r="J1601" i="9"/>
  <c r="J1617" i="9"/>
  <c r="J1633" i="9"/>
  <c r="J1649" i="9"/>
  <c r="J1665" i="9"/>
  <c r="J1681" i="9"/>
  <c r="J1697" i="9"/>
  <c r="J1713" i="9"/>
  <c r="J1729" i="9"/>
  <c r="J1745" i="9"/>
  <c r="J1761" i="9"/>
  <c r="J1777" i="9"/>
  <c r="J1793" i="9"/>
  <c r="J1809" i="9"/>
  <c r="J1825" i="9"/>
  <c r="J1841" i="9"/>
  <c r="J1857" i="9"/>
  <c r="J1873" i="9"/>
  <c r="J1889" i="9"/>
  <c r="J1905" i="9"/>
  <c r="J1921" i="9"/>
  <c r="J1937" i="9"/>
  <c r="J1953" i="9"/>
  <c r="J1969" i="9"/>
  <c r="J1985" i="9"/>
  <c r="J2001" i="9"/>
  <c r="J2017" i="9"/>
  <c r="J2033" i="9"/>
  <c r="J2049" i="9"/>
  <c r="J2065" i="9"/>
  <c r="J2081" i="9"/>
  <c r="J2097" i="9"/>
  <c r="J2113" i="9"/>
  <c r="J2129" i="9"/>
  <c r="J2145" i="9"/>
  <c r="J2161" i="9"/>
  <c r="J2177" i="9"/>
  <c r="J2193" i="9"/>
  <c r="J2209" i="9"/>
  <c r="J2225" i="9"/>
  <c r="J2241" i="9"/>
  <c r="J2257" i="9"/>
  <c r="J2273" i="9"/>
  <c r="J2289" i="9"/>
  <c r="J2305" i="9"/>
  <c r="J2321" i="9"/>
  <c r="I18" i="9"/>
  <c r="I34" i="9"/>
  <c r="I50" i="9"/>
  <c r="I66" i="9"/>
  <c r="I82" i="9"/>
  <c r="I98" i="9"/>
  <c r="I114" i="9"/>
  <c r="I130" i="9"/>
  <c r="I146" i="9"/>
  <c r="I162" i="9"/>
  <c r="I178" i="9"/>
  <c r="I194" i="9"/>
  <c r="I210" i="9"/>
  <c r="I226" i="9"/>
  <c r="I242" i="9"/>
  <c r="I258" i="9"/>
  <c r="I274" i="9"/>
  <c r="I290" i="9"/>
  <c r="I306" i="9"/>
  <c r="I322" i="9"/>
  <c r="I338" i="9"/>
  <c r="I354" i="9"/>
  <c r="I370" i="9"/>
  <c r="I386" i="9"/>
  <c r="I402" i="9"/>
  <c r="I418" i="9"/>
  <c r="I434" i="9"/>
  <c r="I450" i="9"/>
  <c r="I466" i="9"/>
  <c r="I482" i="9"/>
  <c r="I498" i="9"/>
  <c r="I514" i="9"/>
  <c r="I530" i="9"/>
  <c r="I546" i="9"/>
  <c r="I562" i="9"/>
  <c r="I578" i="9"/>
  <c r="I594" i="9"/>
  <c r="I607" i="9"/>
  <c r="I617" i="9"/>
  <c r="I627" i="9"/>
  <c r="I639" i="9"/>
  <c r="I649" i="9"/>
  <c r="I659" i="9"/>
  <c r="I671" i="9"/>
  <c r="I681" i="9"/>
  <c r="I691" i="9"/>
  <c r="I703" i="9"/>
  <c r="I713" i="9"/>
  <c r="I723" i="9"/>
  <c r="I735" i="9"/>
  <c r="I745" i="9"/>
  <c r="I755" i="9"/>
  <c r="I767" i="9"/>
  <c r="I777" i="9"/>
  <c r="I787" i="9"/>
  <c r="I799" i="9"/>
  <c r="I807" i="9"/>
  <c r="I815" i="9"/>
  <c r="I823" i="9"/>
  <c r="I831" i="9"/>
  <c r="I839" i="9"/>
  <c r="I847" i="9"/>
  <c r="I855" i="9"/>
  <c r="I863" i="9"/>
  <c r="I871" i="9"/>
  <c r="I879" i="9"/>
  <c r="I887" i="9"/>
  <c r="I895" i="9"/>
  <c r="I903" i="9"/>
  <c r="I911" i="9"/>
  <c r="I919" i="9"/>
  <c r="I927" i="9"/>
  <c r="I935" i="9"/>
  <c r="I943" i="9"/>
  <c r="I951" i="9"/>
  <c r="I959" i="9"/>
  <c r="I967" i="9"/>
  <c r="I975" i="9"/>
  <c r="I983" i="9"/>
  <c r="I991" i="9"/>
  <c r="I999" i="9"/>
  <c r="I1007" i="9"/>
  <c r="I1015" i="9"/>
  <c r="I1023" i="9"/>
  <c r="I1031" i="9"/>
  <c r="I1039" i="9"/>
  <c r="I1047" i="9"/>
  <c r="I1055" i="9"/>
  <c r="I1063" i="9"/>
  <c r="I1071" i="9"/>
  <c r="I1079" i="9"/>
  <c r="I1087" i="9"/>
  <c r="I1095" i="9"/>
  <c r="I1103" i="9"/>
  <c r="I1111" i="9"/>
  <c r="I1119" i="9"/>
  <c r="I1127" i="9"/>
  <c r="I1135" i="9"/>
  <c r="I1143" i="9"/>
  <c r="I1151" i="9"/>
  <c r="I1159" i="9"/>
  <c r="I1167" i="9"/>
  <c r="I1175" i="9"/>
  <c r="I1183" i="9"/>
  <c r="I1191" i="9"/>
  <c r="I1199" i="9"/>
  <c r="I1207" i="9"/>
  <c r="I1215" i="9"/>
  <c r="I1223" i="9"/>
  <c r="I1231" i="9"/>
  <c r="I1239" i="9"/>
  <c r="I1247" i="9"/>
  <c r="I1255" i="9"/>
  <c r="I1263" i="9"/>
  <c r="I1271" i="9"/>
  <c r="I1279" i="9"/>
  <c r="I1287" i="9"/>
  <c r="I1295" i="9"/>
  <c r="I1303" i="9"/>
  <c r="I1311" i="9"/>
  <c r="I1319" i="9"/>
  <c r="I1327" i="9"/>
  <c r="I1335" i="9"/>
  <c r="I1343" i="9"/>
  <c r="I1351" i="9"/>
  <c r="I1359" i="9"/>
  <c r="I1367" i="9"/>
  <c r="I1375" i="9"/>
  <c r="I1383" i="9"/>
  <c r="I1391" i="9"/>
  <c r="I1399" i="9"/>
  <c r="I1407" i="9"/>
  <c r="I1415" i="9"/>
  <c r="I1423" i="9"/>
  <c r="I1431" i="9"/>
  <c r="I1439" i="9"/>
  <c r="I1447" i="9"/>
  <c r="I1455" i="9"/>
  <c r="I1463" i="9"/>
  <c r="I1471" i="9"/>
  <c r="I1479" i="9"/>
  <c r="I1487" i="9"/>
  <c r="I1495" i="9"/>
  <c r="I1503" i="9"/>
  <c r="I1511" i="9"/>
  <c r="I1519" i="9"/>
  <c r="I1527" i="9"/>
  <c r="I1535" i="9"/>
  <c r="I1543" i="9"/>
  <c r="I1551" i="9"/>
  <c r="I1559" i="9"/>
  <c r="I1567" i="9"/>
  <c r="I1575" i="9"/>
  <c r="I1583" i="9"/>
  <c r="I1591" i="9"/>
  <c r="I1599" i="9"/>
  <c r="I1607" i="9"/>
  <c r="I1615" i="9"/>
  <c r="I1623" i="9"/>
  <c r="I1631" i="9"/>
  <c r="I1639" i="9"/>
  <c r="I1647" i="9"/>
  <c r="I1655" i="9"/>
  <c r="I1663" i="9"/>
  <c r="I1671" i="9"/>
  <c r="I1679" i="9"/>
  <c r="I1687" i="9"/>
  <c r="I1695" i="9"/>
  <c r="I1703" i="9"/>
  <c r="I1711" i="9"/>
  <c r="I1719" i="9"/>
  <c r="I1727" i="9"/>
  <c r="I1735" i="9"/>
  <c r="I1743" i="9"/>
  <c r="I1751" i="9"/>
  <c r="I1759" i="9"/>
  <c r="I1767" i="9"/>
  <c r="I1775" i="9"/>
  <c r="I1783" i="9"/>
  <c r="I1791" i="9"/>
  <c r="I1799" i="9"/>
  <c r="I1807" i="9"/>
  <c r="I1815" i="9"/>
  <c r="I1823" i="9"/>
  <c r="I1831" i="9"/>
  <c r="I1839" i="9"/>
  <c r="I1847" i="9"/>
  <c r="I1855" i="9"/>
  <c r="I1863" i="9"/>
  <c r="I1871" i="9"/>
  <c r="I1879" i="9"/>
  <c r="I1887" i="9"/>
  <c r="I1895" i="9"/>
  <c r="I1903" i="9"/>
  <c r="I1911" i="9"/>
  <c r="I1919" i="9"/>
  <c r="I1927" i="9"/>
  <c r="I1935" i="9"/>
  <c r="I1943" i="9"/>
  <c r="I1951" i="9"/>
  <c r="I1959" i="9"/>
  <c r="I1967" i="9"/>
  <c r="I1975" i="9"/>
  <c r="I1983" i="9"/>
  <c r="I1991" i="9"/>
  <c r="I1999" i="9"/>
  <c r="I2007" i="9"/>
  <c r="I2015" i="9"/>
  <c r="I2023" i="9"/>
  <c r="I2031" i="9"/>
  <c r="I2039" i="9"/>
  <c r="I2047" i="9"/>
  <c r="I2055" i="9"/>
  <c r="I2063" i="9"/>
  <c r="I2071" i="9"/>
  <c r="I2079" i="9"/>
  <c r="I2087" i="9"/>
  <c r="I2095" i="9"/>
  <c r="I2103" i="9"/>
  <c r="I2111" i="9"/>
  <c r="K257" i="9"/>
  <c r="K725" i="9"/>
  <c r="K981" i="9"/>
  <c r="K1122" i="9"/>
  <c r="K1250" i="9"/>
  <c r="K1378" i="9"/>
  <c r="K1506" i="9"/>
  <c r="K1634" i="9"/>
  <c r="K1762" i="9"/>
  <c r="K1890" i="9"/>
  <c r="K2018" i="9"/>
  <c r="K2090" i="9"/>
  <c r="K2154" i="9"/>
  <c r="K2218" i="9"/>
  <c r="K2282" i="9"/>
  <c r="J11" i="9"/>
  <c r="J75" i="9"/>
  <c r="J139" i="9"/>
  <c r="J203" i="9"/>
  <c r="J267" i="9"/>
  <c r="J331" i="9"/>
  <c r="J380" i="9"/>
  <c r="J413" i="9"/>
  <c r="J445" i="9"/>
  <c r="J477" i="9"/>
  <c r="J509" i="9"/>
  <c r="J541" i="9"/>
  <c r="J573" i="9"/>
  <c r="J605" i="9"/>
  <c r="J637" i="9"/>
  <c r="J669" i="9"/>
  <c r="J701" i="9"/>
  <c r="J733" i="9"/>
  <c r="J765" i="9"/>
  <c r="J797" i="9"/>
  <c r="J829" i="9"/>
  <c r="J861" i="9"/>
  <c r="J893" i="9"/>
  <c r="J925" i="9"/>
  <c r="J957" i="9"/>
  <c r="J989" i="9"/>
  <c r="J1021" i="9"/>
  <c r="J1053" i="9"/>
  <c r="J1075" i="9"/>
  <c r="J1097" i="9"/>
  <c r="J1117" i="9"/>
  <c r="J1139" i="9"/>
  <c r="J1161" i="9"/>
  <c r="J1181" i="9"/>
  <c r="J1201" i="9"/>
  <c r="J1218" i="9"/>
  <c r="J1234" i="9"/>
  <c r="J1250" i="9"/>
  <c r="J1266" i="9"/>
  <c r="J1282" i="9"/>
  <c r="J1298" i="9"/>
  <c r="J1314" i="9"/>
  <c r="J1330" i="9"/>
  <c r="J1346" i="9"/>
  <c r="J1362" i="9"/>
  <c r="J1378" i="9"/>
  <c r="J1394" i="9"/>
  <c r="J1410" i="9"/>
  <c r="J1426" i="9"/>
  <c r="J1442" i="9"/>
  <c r="J1458" i="9"/>
  <c r="J1474" i="9"/>
  <c r="J1490" i="9"/>
  <c r="J1506" i="9"/>
  <c r="J1522" i="9"/>
  <c r="J1538" i="9"/>
  <c r="J1554" i="9"/>
  <c r="J1570" i="9"/>
  <c r="J1586" i="9"/>
  <c r="J1602" i="9"/>
  <c r="J1618" i="9"/>
  <c r="J1634" i="9"/>
  <c r="J1650" i="9"/>
  <c r="J1666" i="9"/>
  <c r="J1682" i="9"/>
  <c r="J1698" i="9"/>
  <c r="J1714" i="9"/>
  <c r="J1730" i="9"/>
  <c r="J1746" i="9"/>
  <c r="J1762" i="9"/>
  <c r="J1778" i="9"/>
  <c r="J1794" i="9"/>
  <c r="J1810" i="9"/>
  <c r="J1826" i="9"/>
  <c r="J1842" i="9"/>
  <c r="J1858" i="9"/>
  <c r="J1874" i="9"/>
  <c r="J1890" i="9"/>
  <c r="J1906" i="9"/>
  <c r="J1922" i="9"/>
  <c r="J1938" i="9"/>
  <c r="J1954" i="9"/>
  <c r="J1970" i="9"/>
  <c r="J1986" i="9"/>
  <c r="J2002" i="9"/>
  <c r="J2018" i="9"/>
  <c r="J2034" i="9"/>
  <c r="J2050" i="9"/>
  <c r="J2066" i="9"/>
  <c r="J2082" i="9"/>
  <c r="J2098" i="9"/>
  <c r="J2114" i="9"/>
  <c r="J2130" i="9"/>
  <c r="J2146" i="9"/>
  <c r="J2162" i="9"/>
  <c r="J2178" i="9"/>
  <c r="J2194" i="9"/>
  <c r="J2210" i="9"/>
  <c r="J2226" i="9"/>
  <c r="J2242" i="9"/>
  <c r="J2258" i="9"/>
  <c r="J2274" i="9"/>
  <c r="J2290" i="9"/>
  <c r="J2306" i="9"/>
  <c r="J2322" i="9"/>
  <c r="I3" i="9"/>
  <c r="I19" i="9"/>
  <c r="I35" i="9"/>
  <c r="I51" i="9"/>
  <c r="I67" i="9"/>
  <c r="I83" i="9"/>
  <c r="I99" i="9"/>
  <c r="I115" i="9"/>
  <c r="I131" i="9"/>
  <c r="I147" i="9"/>
  <c r="I163" i="9"/>
  <c r="I179" i="9"/>
  <c r="I195" i="9"/>
  <c r="I211" i="9"/>
  <c r="I227" i="9"/>
  <c r="I243" i="9"/>
  <c r="I259" i="9"/>
  <c r="I275" i="9"/>
  <c r="I291" i="9"/>
  <c r="I307" i="9"/>
  <c r="I323" i="9"/>
  <c r="I339" i="9"/>
  <c r="I355" i="9"/>
  <c r="I371" i="9"/>
  <c r="I387" i="9"/>
  <c r="I403" i="9"/>
  <c r="I419" i="9"/>
  <c r="I435" i="9"/>
  <c r="I451" i="9"/>
  <c r="I467" i="9"/>
  <c r="I483" i="9"/>
  <c r="I499" i="9"/>
  <c r="I515" i="9"/>
  <c r="I531" i="9"/>
  <c r="I547" i="9"/>
  <c r="I563" i="9"/>
  <c r="I579" i="9"/>
  <c r="I595" i="9"/>
  <c r="I608" i="9"/>
  <c r="I618" i="9"/>
  <c r="I628" i="9"/>
  <c r="I640" i="9"/>
  <c r="I650" i="9"/>
  <c r="I660" i="9"/>
  <c r="I672" i="9"/>
  <c r="I682" i="9"/>
  <c r="I692" i="9"/>
  <c r="I704" i="9"/>
  <c r="I714" i="9"/>
  <c r="I724" i="9"/>
  <c r="I736" i="9"/>
  <c r="I746" i="9"/>
  <c r="I756" i="9"/>
  <c r="I768" i="9"/>
  <c r="I778" i="9"/>
  <c r="I788" i="9"/>
  <c r="I800" i="9"/>
  <c r="I808" i="9"/>
  <c r="I816" i="9"/>
  <c r="I824" i="9"/>
  <c r="I832" i="9"/>
  <c r="I840" i="9"/>
  <c r="I848" i="9"/>
  <c r="I856" i="9"/>
  <c r="I864" i="9"/>
  <c r="I872" i="9"/>
  <c r="I880" i="9"/>
  <c r="I888" i="9"/>
  <c r="I896" i="9"/>
  <c r="I904" i="9"/>
  <c r="I912" i="9"/>
  <c r="I920" i="9"/>
  <c r="I928" i="9"/>
  <c r="I936" i="9"/>
  <c r="I944" i="9"/>
  <c r="I952" i="9"/>
  <c r="I960" i="9"/>
  <c r="I968" i="9"/>
  <c r="I976" i="9"/>
  <c r="I984" i="9"/>
  <c r="I992" i="9"/>
  <c r="I1000" i="9"/>
  <c r="I1008" i="9"/>
  <c r="I1016" i="9"/>
  <c r="I1024" i="9"/>
  <c r="I1032" i="9"/>
  <c r="I1040" i="9"/>
  <c r="I1048" i="9"/>
  <c r="I1056" i="9"/>
  <c r="I1064" i="9"/>
  <c r="I1072" i="9"/>
  <c r="I1080" i="9"/>
  <c r="I1088" i="9"/>
  <c r="I1096" i="9"/>
  <c r="I1104" i="9"/>
  <c r="I1112" i="9"/>
  <c r="I1120" i="9"/>
  <c r="I1128" i="9"/>
  <c r="I1136" i="9"/>
  <c r="I1144" i="9"/>
  <c r="I1152" i="9"/>
  <c r="I1160" i="9"/>
  <c r="I1168" i="9"/>
  <c r="I1176" i="9"/>
  <c r="I1184" i="9"/>
  <c r="I1192" i="9"/>
  <c r="I1200" i="9"/>
  <c r="I1208" i="9"/>
  <c r="I1216" i="9"/>
  <c r="I1224" i="9"/>
  <c r="I1232" i="9"/>
  <c r="I1240" i="9"/>
  <c r="I1248" i="9"/>
  <c r="I1256" i="9"/>
  <c r="I1264" i="9"/>
  <c r="I1272" i="9"/>
  <c r="I1280" i="9"/>
  <c r="I1288" i="9"/>
  <c r="I1296" i="9"/>
  <c r="I1304" i="9"/>
  <c r="I1312" i="9"/>
  <c r="I1320" i="9"/>
  <c r="I1328" i="9"/>
  <c r="I1336" i="9"/>
  <c r="I1344" i="9"/>
  <c r="I1352" i="9"/>
  <c r="I1360" i="9"/>
  <c r="I1368" i="9"/>
  <c r="I1376" i="9"/>
  <c r="I1384" i="9"/>
  <c r="I1392" i="9"/>
  <c r="I1400" i="9"/>
  <c r="I1408" i="9"/>
  <c r="I1416" i="9"/>
  <c r="I1424" i="9"/>
  <c r="I1432" i="9"/>
  <c r="I1440" i="9"/>
  <c r="I1448" i="9"/>
  <c r="I1456" i="9"/>
  <c r="I1464" i="9"/>
  <c r="I1472" i="9"/>
  <c r="I1480" i="9"/>
  <c r="I1488" i="9"/>
  <c r="I1496" i="9"/>
  <c r="I1504" i="9"/>
  <c r="I1512" i="9"/>
  <c r="I1520" i="9"/>
  <c r="I1528" i="9"/>
  <c r="I1536" i="9"/>
  <c r="I1544" i="9"/>
  <c r="I1552" i="9"/>
  <c r="I1560" i="9"/>
  <c r="I1568" i="9"/>
  <c r="I1576" i="9"/>
  <c r="I1584" i="9"/>
  <c r="I1592" i="9"/>
  <c r="I1600" i="9"/>
  <c r="I1608" i="9"/>
  <c r="I1616" i="9"/>
  <c r="I1624" i="9"/>
  <c r="I1632" i="9"/>
  <c r="I1640" i="9"/>
  <c r="I1648" i="9"/>
  <c r="I1656" i="9"/>
  <c r="I1664" i="9"/>
  <c r="I1672" i="9"/>
  <c r="I1680" i="9"/>
  <c r="I1688" i="9"/>
  <c r="I1696" i="9"/>
  <c r="I1704" i="9"/>
  <c r="I1712" i="9"/>
  <c r="I1720" i="9"/>
  <c r="I1728" i="9"/>
  <c r="I1736" i="9"/>
  <c r="I1744" i="9"/>
  <c r="I1752" i="9"/>
  <c r="I1760" i="9"/>
  <c r="I1768" i="9"/>
  <c r="I1776" i="9"/>
  <c r="I1784" i="9"/>
  <c r="I1792" i="9"/>
  <c r="I1800" i="9"/>
  <c r="I1808" i="9"/>
  <c r="I1816" i="9"/>
  <c r="I1824" i="9"/>
  <c r="I1832" i="9"/>
  <c r="I1840" i="9"/>
  <c r="I1848" i="9"/>
  <c r="I1856" i="9"/>
  <c r="I1864" i="9"/>
  <c r="I1872" i="9"/>
  <c r="I1880" i="9"/>
  <c r="I1888" i="9"/>
  <c r="I1896" i="9"/>
  <c r="I1904" i="9"/>
  <c r="I1912" i="9"/>
  <c r="I1920" i="9"/>
  <c r="I1928" i="9"/>
  <c r="I1936" i="9"/>
  <c r="I1944" i="9"/>
  <c r="I1952" i="9"/>
  <c r="I1960" i="9"/>
  <c r="I1968" i="9"/>
  <c r="I1976" i="9"/>
  <c r="I1984" i="9"/>
  <c r="I1992" i="9"/>
  <c r="I2000" i="9"/>
  <c r="I2008" i="9"/>
  <c r="I2016" i="9"/>
  <c r="I2024" i="9"/>
  <c r="I2032" i="9"/>
  <c r="I2040" i="9"/>
  <c r="K258" i="9"/>
  <c r="K726" i="9"/>
  <c r="K982" i="9"/>
  <c r="K1123" i="9"/>
  <c r="K1251" i="9"/>
  <c r="K1379" i="9"/>
  <c r="K1507" i="9"/>
  <c r="K1635" i="9"/>
  <c r="K1763" i="9"/>
  <c r="K1891" i="9"/>
  <c r="K2019" i="9"/>
  <c r="K2091" i="9"/>
  <c r="K2155" i="9"/>
  <c r="K2219" i="9"/>
  <c r="K2283" i="9"/>
  <c r="J12" i="9"/>
  <c r="J76" i="9"/>
  <c r="J140" i="9"/>
  <c r="J204" i="9"/>
  <c r="J268" i="9"/>
  <c r="J332" i="9"/>
  <c r="J382" i="9"/>
  <c r="J414" i="9"/>
  <c r="J446" i="9"/>
  <c r="J478" i="9"/>
  <c r="J510" i="9"/>
  <c r="J542" i="9"/>
  <c r="J574" i="9"/>
  <c r="J606" i="9"/>
  <c r="J638" i="9"/>
  <c r="J670" i="9"/>
  <c r="J702" i="9"/>
  <c r="J734" i="9"/>
  <c r="J766" i="9"/>
  <c r="J798" i="9"/>
  <c r="J830" i="9"/>
  <c r="J862" i="9"/>
  <c r="J894" i="9"/>
  <c r="J926" i="9"/>
  <c r="J958" i="9"/>
  <c r="J990" i="9"/>
  <c r="J1022" i="9"/>
  <c r="J1054" i="9"/>
  <c r="J1076" i="9"/>
  <c r="J1098" i="9"/>
  <c r="J1118" i="9"/>
  <c r="J1140" i="9"/>
  <c r="J1162" i="9"/>
  <c r="J1182" i="9"/>
  <c r="J1202" i="9"/>
  <c r="J1219" i="9"/>
  <c r="J1235" i="9"/>
  <c r="J1251" i="9"/>
  <c r="J1267" i="9"/>
  <c r="J1283" i="9"/>
  <c r="J1299" i="9"/>
  <c r="J1315" i="9"/>
  <c r="J1331" i="9"/>
  <c r="J1347" i="9"/>
  <c r="J1363" i="9"/>
  <c r="J1379" i="9"/>
  <c r="J1395" i="9"/>
  <c r="J1411" i="9"/>
  <c r="J1427" i="9"/>
  <c r="J1443" i="9"/>
  <c r="J1459" i="9"/>
  <c r="J1475" i="9"/>
  <c r="J1491" i="9"/>
  <c r="J1507" i="9"/>
  <c r="J1523" i="9"/>
  <c r="J1539" i="9"/>
  <c r="J1555" i="9"/>
  <c r="J1571" i="9"/>
  <c r="J1587" i="9"/>
  <c r="J1603" i="9"/>
  <c r="J1619" i="9"/>
  <c r="J1635" i="9"/>
  <c r="J1651" i="9"/>
  <c r="J1667" i="9"/>
  <c r="J1683" i="9"/>
  <c r="J1699" i="9"/>
  <c r="J1715" i="9"/>
  <c r="J1731" i="9"/>
  <c r="J1747" i="9"/>
  <c r="J1763" i="9"/>
  <c r="J1779" i="9"/>
  <c r="J1795" i="9"/>
  <c r="J1811" i="9"/>
  <c r="J1827" i="9"/>
  <c r="J1843" i="9"/>
  <c r="J1859" i="9"/>
  <c r="J1875" i="9"/>
  <c r="J1891" i="9"/>
  <c r="J1907" i="9"/>
  <c r="J1923" i="9"/>
  <c r="J1939" i="9"/>
  <c r="J1955" i="9"/>
  <c r="J1971" i="9"/>
  <c r="J1987" i="9"/>
  <c r="J2003" i="9"/>
  <c r="J2019" i="9"/>
  <c r="J2035" i="9"/>
  <c r="J2051" i="9"/>
  <c r="J2067" i="9"/>
  <c r="J2083" i="9"/>
  <c r="J2099" i="9"/>
  <c r="J2115" i="9"/>
  <c r="J2131" i="9"/>
  <c r="J2147" i="9"/>
  <c r="J2163" i="9"/>
  <c r="J2179" i="9"/>
  <c r="J2195" i="9"/>
  <c r="J2211" i="9"/>
  <c r="J2227" i="9"/>
  <c r="J2243" i="9"/>
  <c r="J2259" i="9"/>
  <c r="J2275" i="9"/>
  <c r="J2291" i="9"/>
  <c r="J2307" i="9"/>
  <c r="J2323" i="9"/>
  <c r="I4" i="9"/>
  <c r="I20" i="9"/>
  <c r="I36" i="9"/>
  <c r="I52" i="9"/>
  <c r="I68" i="9"/>
  <c r="I84" i="9"/>
  <c r="I100" i="9"/>
  <c r="I116" i="9"/>
  <c r="I132" i="9"/>
  <c r="I148" i="9"/>
  <c r="I164" i="9"/>
  <c r="I180" i="9"/>
  <c r="I196" i="9"/>
  <c r="I212" i="9"/>
  <c r="I228" i="9"/>
  <c r="I244" i="9"/>
  <c r="I260" i="9"/>
  <c r="I276" i="9"/>
  <c r="I292" i="9"/>
  <c r="I308" i="9"/>
  <c r="I324" i="9"/>
  <c r="I340" i="9"/>
  <c r="I356" i="9"/>
  <c r="I372" i="9"/>
  <c r="I388" i="9"/>
  <c r="I404" i="9"/>
  <c r="I420" i="9"/>
  <c r="I436" i="9"/>
  <c r="I452" i="9"/>
  <c r="I468" i="9"/>
  <c r="I484" i="9"/>
  <c r="I500" i="9"/>
  <c r="I516" i="9"/>
  <c r="I532" i="9"/>
  <c r="I548" i="9"/>
  <c r="I564" i="9"/>
  <c r="I580" i="9"/>
  <c r="I596" i="9"/>
  <c r="I609" i="9"/>
  <c r="I619" i="9"/>
  <c r="I631" i="9"/>
  <c r="I641" i="9"/>
  <c r="I651" i="9"/>
  <c r="I663" i="9"/>
  <c r="I673" i="9"/>
  <c r="I683" i="9"/>
  <c r="I695" i="9"/>
  <c r="I705" i="9"/>
  <c r="I715" i="9"/>
  <c r="I727" i="9"/>
  <c r="I737" i="9"/>
  <c r="I747" i="9"/>
  <c r="I759" i="9"/>
  <c r="I769" i="9"/>
  <c r="I779" i="9"/>
  <c r="I791" i="9"/>
  <c r="I801" i="9"/>
  <c r="I809" i="9"/>
  <c r="I817" i="9"/>
  <c r="I825" i="9"/>
  <c r="I833" i="9"/>
  <c r="I841" i="9"/>
  <c r="I849" i="9"/>
  <c r="I857" i="9"/>
  <c r="I865" i="9"/>
  <c r="I873" i="9"/>
  <c r="I881" i="9"/>
  <c r="I889" i="9"/>
  <c r="I897" i="9"/>
  <c r="I905" i="9"/>
  <c r="I913" i="9"/>
  <c r="I921" i="9"/>
  <c r="I929" i="9"/>
  <c r="I937" i="9"/>
  <c r="I945" i="9"/>
  <c r="I953" i="9"/>
  <c r="I961" i="9"/>
  <c r="I969" i="9"/>
  <c r="I977" i="9"/>
  <c r="I985" i="9"/>
  <c r="I993" i="9"/>
  <c r="I1001" i="9"/>
  <c r="I1009" i="9"/>
  <c r="I1017" i="9"/>
  <c r="I1025" i="9"/>
  <c r="I1033" i="9"/>
  <c r="I1041" i="9"/>
  <c r="I1049" i="9"/>
  <c r="I1057" i="9"/>
  <c r="I1065" i="9"/>
  <c r="I1073" i="9"/>
  <c r="I1081" i="9"/>
  <c r="I1089" i="9"/>
  <c r="I1097" i="9"/>
  <c r="I1105" i="9"/>
  <c r="I1113" i="9"/>
  <c r="I1121" i="9"/>
  <c r="I1129" i="9"/>
  <c r="I1137" i="9"/>
  <c r="I1145" i="9"/>
  <c r="I1153" i="9"/>
  <c r="I1161" i="9"/>
  <c r="I1169" i="9"/>
  <c r="I1177" i="9"/>
  <c r="I1185" i="9"/>
  <c r="I1193" i="9"/>
  <c r="I1201" i="9"/>
  <c r="I1209" i="9"/>
  <c r="I1217" i="9"/>
  <c r="I1225" i="9"/>
  <c r="I1233" i="9"/>
  <c r="I1241" i="9"/>
  <c r="I1249" i="9"/>
  <c r="I1257" i="9"/>
  <c r="I1265" i="9"/>
  <c r="I1273" i="9"/>
  <c r="I1281" i="9"/>
  <c r="I1289" i="9"/>
  <c r="I1297" i="9"/>
  <c r="I1305" i="9"/>
  <c r="I1313" i="9"/>
  <c r="I1321" i="9"/>
  <c r="I1329" i="9"/>
  <c r="I1337" i="9"/>
  <c r="I1345" i="9"/>
  <c r="I1353" i="9"/>
  <c r="I1361" i="9"/>
  <c r="I1369" i="9"/>
  <c r="I1377" i="9"/>
  <c r="I1385" i="9"/>
  <c r="I1393" i="9"/>
  <c r="I1401" i="9"/>
  <c r="I1409" i="9"/>
  <c r="I1417" i="9"/>
  <c r="I1425" i="9"/>
  <c r="I1433" i="9"/>
  <c r="I1441" i="9"/>
  <c r="I1449" i="9"/>
  <c r="I1457" i="9"/>
  <c r="I1465" i="9"/>
  <c r="I1473" i="9"/>
  <c r="I1481" i="9"/>
  <c r="I1489" i="9"/>
  <c r="I1497" i="9"/>
  <c r="I1505" i="9"/>
  <c r="I1513" i="9"/>
  <c r="I1521" i="9"/>
  <c r="I1529" i="9"/>
  <c r="I1537" i="9"/>
  <c r="I1545" i="9"/>
  <c r="I1553" i="9"/>
  <c r="I1561" i="9"/>
  <c r="I1569" i="9"/>
  <c r="I1577" i="9"/>
  <c r="I1585" i="9"/>
  <c r="I1593" i="9"/>
  <c r="I1601" i="9"/>
  <c r="I1609" i="9"/>
  <c r="I1617" i="9"/>
  <c r="I1625" i="9"/>
  <c r="I1633" i="9"/>
  <c r="I1641" i="9"/>
  <c r="I1649" i="9"/>
  <c r="I1657" i="9"/>
  <c r="I1665" i="9"/>
  <c r="I1673" i="9"/>
  <c r="I1681" i="9"/>
  <c r="I1689" i="9"/>
  <c r="I1697" i="9"/>
  <c r="I1705" i="9"/>
  <c r="I1713" i="9"/>
  <c r="I1721" i="9"/>
  <c r="I1729" i="9"/>
  <c r="I1737" i="9"/>
  <c r="I1745" i="9"/>
  <c r="I1753" i="9"/>
  <c r="I1761" i="9"/>
  <c r="I1769" i="9"/>
  <c r="I1777" i="9"/>
  <c r="I1785" i="9"/>
  <c r="I1793" i="9"/>
  <c r="I1801" i="9"/>
  <c r="I1809" i="9"/>
  <c r="I1817" i="9"/>
  <c r="I1825" i="9"/>
  <c r="I1833" i="9"/>
  <c r="I1841" i="9"/>
  <c r="I1849" i="9"/>
  <c r="I1857" i="9"/>
  <c r="I1865" i="9"/>
  <c r="I1873" i="9"/>
  <c r="I1881" i="9"/>
  <c r="I1889" i="9"/>
  <c r="I1897" i="9"/>
  <c r="I1905" i="9"/>
  <c r="I1913" i="9"/>
  <c r="I1921" i="9"/>
  <c r="I1929" i="9"/>
  <c r="I1937" i="9"/>
  <c r="I1945" i="9"/>
  <c r="I1953" i="9"/>
  <c r="I1961" i="9"/>
  <c r="I1969" i="9"/>
  <c r="I1977" i="9"/>
  <c r="I1985" i="9"/>
  <c r="I1993" i="9"/>
  <c r="I2001" i="9"/>
  <c r="I2009" i="9"/>
  <c r="I2017" i="9"/>
  <c r="I2025" i="9"/>
  <c r="I2033" i="9"/>
  <c r="I2041" i="9"/>
  <c r="I2049" i="9"/>
  <c r="I2057" i="9"/>
  <c r="K511" i="9"/>
  <c r="K1056" i="9"/>
  <c r="K1312" i="9"/>
  <c r="K1568" i="9"/>
  <c r="K1824" i="9"/>
  <c r="K2056" i="9"/>
  <c r="K2184" i="9"/>
  <c r="K2312" i="9"/>
  <c r="J105" i="9"/>
  <c r="J233" i="9"/>
  <c r="J356" i="9"/>
  <c r="J427" i="9"/>
  <c r="J491" i="9"/>
  <c r="J555" i="9"/>
  <c r="J619" i="9"/>
  <c r="J683" i="9"/>
  <c r="J747" i="9"/>
  <c r="J811" i="9"/>
  <c r="J875" i="9"/>
  <c r="J939" i="9"/>
  <c r="J1003" i="9"/>
  <c r="J1061" i="9"/>
  <c r="J1105" i="9"/>
  <c r="J1147" i="9"/>
  <c r="J1189" i="9"/>
  <c r="J1224" i="9"/>
  <c r="J1256" i="9"/>
  <c r="J1288" i="9"/>
  <c r="J1320" i="9"/>
  <c r="J1352" i="9"/>
  <c r="J1384" i="9"/>
  <c r="J1416" i="9"/>
  <c r="J1448" i="9"/>
  <c r="J1480" i="9"/>
  <c r="J1512" i="9"/>
  <c r="J1544" i="9"/>
  <c r="J1576" i="9"/>
  <c r="J1608" i="9"/>
  <c r="J1640" i="9"/>
  <c r="J1672" i="9"/>
  <c r="J1704" i="9"/>
  <c r="J1736" i="9"/>
  <c r="J1768" i="9"/>
  <c r="J1800" i="9"/>
  <c r="J1832" i="9"/>
  <c r="J1864" i="9"/>
  <c r="J1896" i="9"/>
  <c r="J1928" i="9"/>
  <c r="J1960" i="9"/>
  <c r="J1992" i="9"/>
  <c r="J2024" i="9"/>
  <c r="J2056" i="9"/>
  <c r="J2088" i="9"/>
  <c r="J2120" i="9"/>
  <c r="J2152" i="9"/>
  <c r="J2184" i="9"/>
  <c r="J2216" i="9"/>
  <c r="J2248" i="9"/>
  <c r="J2280" i="9"/>
  <c r="J2312" i="9"/>
  <c r="I9" i="9"/>
  <c r="I41" i="9"/>
  <c r="I73" i="9"/>
  <c r="I105" i="9"/>
  <c r="I137" i="9"/>
  <c r="I169" i="9"/>
  <c r="I201" i="9"/>
  <c r="I233" i="9"/>
  <c r="I265" i="9"/>
  <c r="I297" i="9"/>
  <c r="I329" i="9"/>
  <c r="I361" i="9"/>
  <c r="I393" i="9"/>
  <c r="I425" i="9"/>
  <c r="I457" i="9"/>
  <c r="I489" i="9"/>
  <c r="I521" i="9"/>
  <c r="I553" i="9"/>
  <c r="I585" i="9"/>
  <c r="I610" i="9"/>
  <c r="I632" i="9"/>
  <c r="I652" i="9"/>
  <c r="I674" i="9"/>
  <c r="I696" i="9"/>
  <c r="I716" i="9"/>
  <c r="I738" i="9"/>
  <c r="I760" i="9"/>
  <c r="I780" i="9"/>
  <c r="I802" i="9"/>
  <c r="I818" i="9"/>
  <c r="I834" i="9"/>
  <c r="I850" i="9"/>
  <c r="I866" i="9"/>
  <c r="I882" i="9"/>
  <c r="I898" i="9"/>
  <c r="I914" i="9"/>
  <c r="I930" i="9"/>
  <c r="I946" i="9"/>
  <c r="I962" i="9"/>
  <c r="I978" i="9"/>
  <c r="I994" i="9"/>
  <c r="I1010" i="9"/>
  <c r="I1026" i="9"/>
  <c r="I1042" i="9"/>
  <c r="I1058" i="9"/>
  <c r="I1074" i="9"/>
  <c r="I1090" i="9"/>
  <c r="I1106" i="9"/>
  <c r="I1122" i="9"/>
  <c r="I1138" i="9"/>
  <c r="I1154" i="9"/>
  <c r="I1170" i="9"/>
  <c r="I1186" i="9"/>
  <c r="I1202" i="9"/>
  <c r="I1218" i="9"/>
  <c r="I1234" i="9"/>
  <c r="I1250" i="9"/>
  <c r="I1266" i="9"/>
  <c r="I1282" i="9"/>
  <c r="I1298" i="9"/>
  <c r="I1314" i="9"/>
  <c r="I1330" i="9"/>
  <c r="I1346" i="9"/>
  <c r="I1362" i="9"/>
  <c r="I1378" i="9"/>
  <c r="I1394" i="9"/>
  <c r="I1410" i="9"/>
  <c r="I1426" i="9"/>
  <c r="I1442" i="9"/>
  <c r="I1458" i="9"/>
  <c r="I1474" i="9"/>
  <c r="I1490" i="9"/>
  <c r="I1506" i="9"/>
  <c r="I1522" i="9"/>
  <c r="I1538" i="9"/>
  <c r="I1554" i="9"/>
  <c r="I1570" i="9"/>
  <c r="I1586" i="9"/>
  <c r="I1602" i="9"/>
  <c r="I1618" i="9"/>
  <c r="I1634" i="9"/>
  <c r="I1650" i="9"/>
  <c r="I1666" i="9"/>
  <c r="I1682" i="9"/>
  <c r="I1698" i="9"/>
  <c r="I1714" i="9"/>
  <c r="I1730" i="9"/>
  <c r="I1746" i="9"/>
  <c r="I1762" i="9"/>
  <c r="I1778" i="9"/>
  <c r="I1794" i="9"/>
  <c r="I1810" i="9"/>
  <c r="I1826" i="9"/>
  <c r="I1842" i="9"/>
  <c r="I1858" i="9"/>
  <c r="I1874" i="9"/>
  <c r="I1890" i="9"/>
  <c r="I1906" i="9"/>
  <c r="I1922" i="9"/>
  <c r="I1938" i="9"/>
  <c r="I1954" i="9"/>
  <c r="I1970" i="9"/>
  <c r="I1986" i="9"/>
  <c r="I2002" i="9"/>
  <c r="I2018" i="9"/>
  <c r="I2034" i="9"/>
  <c r="I2048" i="9"/>
  <c r="I2060" i="9"/>
  <c r="I2072" i="9"/>
  <c r="I2082" i="9"/>
  <c r="I2092" i="9"/>
  <c r="I2104" i="9"/>
  <c r="I2114" i="9"/>
  <c r="I2123" i="9"/>
  <c r="I2132" i="9"/>
  <c r="I2141" i="9"/>
  <c r="I2151" i="9"/>
  <c r="I2160" i="9"/>
  <c r="I2169" i="9"/>
  <c r="I2178" i="9"/>
  <c r="I2187" i="9"/>
  <c r="I2196" i="9"/>
  <c r="I2205" i="9"/>
  <c r="I2215" i="9"/>
  <c r="I2224" i="9"/>
  <c r="I2233" i="9"/>
  <c r="I2242" i="9"/>
  <c r="I2251" i="9"/>
  <c r="I2260" i="9"/>
  <c r="I2269" i="9"/>
  <c r="I2279" i="9"/>
  <c r="I2288" i="9"/>
  <c r="I2296" i="9"/>
  <c r="I2304" i="9"/>
  <c r="I2312" i="9"/>
  <c r="I2320" i="9"/>
  <c r="I2328" i="9"/>
  <c r="I2336" i="9"/>
  <c r="H9" i="9"/>
  <c r="H17" i="9"/>
  <c r="H25" i="9"/>
  <c r="H33" i="9"/>
  <c r="H41" i="9"/>
  <c r="H49" i="9"/>
  <c r="H57" i="9"/>
  <c r="H65" i="9"/>
  <c r="H73" i="9"/>
  <c r="H81" i="9"/>
  <c r="H89" i="9"/>
  <c r="H97" i="9"/>
  <c r="H105" i="9"/>
  <c r="H113" i="9"/>
  <c r="H121" i="9"/>
  <c r="H129" i="9"/>
  <c r="H137" i="9"/>
  <c r="H145" i="9"/>
  <c r="H153" i="9"/>
  <c r="H161" i="9"/>
  <c r="H169" i="9"/>
  <c r="H177" i="9"/>
  <c r="H185" i="9"/>
  <c r="H193" i="9"/>
  <c r="H201" i="9"/>
  <c r="H209" i="9"/>
  <c r="H217" i="9"/>
  <c r="H225" i="9"/>
  <c r="H233" i="9"/>
  <c r="H241" i="9"/>
  <c r="H249" i="9"/>
  <c r="H257" i="9"/>
  <c r="H265" i="9"/>
  <c r="H273" i="9"/>
  <c r="H281" i="9"/>
  <c r="H289" i="9"/>
  <c r="H297" i="9"/>
  <c r="H305" i="9"/>
  <c r="H313" i="9"/>
  <c r="H321" i="9"/>
  <c r="H329" i="9"/>
  <c r="H337" i="9"/>
  <c r="H345" i="9"/>
  <c r="H353" i="9"/>
  <c r="H361" i="9"/>
  <c r="H369" i="9"/>
  <c r="H377" i="9"/>
  <c r="H385" i="9"/>
  <c r="H393" i="9"/>
  <c r="H401" i="9"/>
  <c r="H409" i="9"/>
  <c r="H417" i="9"/>
  <c r="H425" i="9"/>
  <c r="H433" i="9"/>
  <c r="H441" i="9"/>
  <c r="H449" i="9"/>
  <c r="H457" i="9"/>
  <c r="H465" i="9"/>
  <c r="H473" i="9"/>
  <c r="H481" i="9"/>
  <c r="H489" i="9"/>
  <c r="H497" i="9"/>
  <c r="H505" i="9"/>
  <c r="H513" i="9"/>
  <c r="H521" i="9"/>
  <c r="H529" i="9"/>
  <c r="H537" i="9"/>
  <c r="H545" i="9"/>
  <c r="H553" i="9"/>
  <c r="H561" i="9"/>
  <c r="H569" i="9"/>
  <c r="H577" i="9"/>
  <c r="H585" i="9"/>
  <c r="H593" i="9"/>
  <c r="H601" i="9"/>
  <c r="H609" i="9"/>
  <c r="H617" i="9"/>
  <c r="H625" i="9"/>
  <c r="H633" i="9"/>
  <c r="H641" i="9"/>
  <c r="H649" i="9"/>
  <c r="H657" i="9"/>
  <c r="H665" i="9"/>
  <c r="H673" i="9"/>
  <c r="H681" i="9"/>
  <c r="H689" i="9"/>
  <c r="H697" i="9"/>
  <c r="H705" i="9"/>
  <c r="H713" i="9"/>
  <c r="H721" i="9"/>
  <c r="H729" i="9"/>
  <c r="H737" i="9"/>
  <c r="H745" i="9"/>
  <c r="H753" i="9"/>
  <c r="H761" i="9"/>
  <c r="H769" i="9"/>
  <c r="H777" i="9"/>
  <c r="H785" i="9"/>
  <c r="H793" i="9"/>
  <c r="H801" i="9"/>
  <c r="H809" i="9"/>
  <c r="H817" i="9"/>
  <c r="H825" i="9"/>
  <c r="H833" i="9"/>
  <c r="H841" i="9"/>
  <c r="H849" i="9"/>
  <c r="H857" i="9"/>
  <c r="H865" i="9"/>
  <c r="H873" i="9"/>
  <c r="H881" i="9"/>
  <c r="H889" i="9"/>
  <c r="H897" i="9"/>
  <c r="H905" i="9"/>
  <c r="H913" i="9"/>
  <c r="H921" i="9"/>
  <c r="H929" i="9"/>
  <c r="H937" i="9"/>
  <c r="H945" i="9"/>
  <c r="H953" i="9"/>
  <c r="H961" i="9"/>
  <c r="H969" i="9"/>
  <c r="H977" i="9"/>
  <c r="H985" i="9"/>
  <c r="H993" i="9"/>
  <c r="H1001" i="9"/>
  <c r="H1009" i="9"/>
  <c r="H1017" i="9"/>
  <c r="H1025" i="9"/>
  <c r="H1033" i="9"/>
  <c r="H1041" i="9"/>
  <c r="H1049" i="9"/>
  <c r="H1057" i="9"/>
  <c r="H1065" i="9"/>
  <c r="H1073" i="9"/>
  <c r="H1081" i="9"/>
  <c r="H1089" i="9"/>
  <c r="H1097" i="9"/>
  <c r="H1105" i="9"/>
  <c r="H1113" i="9"/>
  <c r="H1121" i="9"/>
  <c r="H1129" i="9"/>
  <c r="H1137" i="9"/>
  <c r="H1145" i="9"/>
  <c r="H1153" i="9"/>
  <c r="H1161" i="9"/>
  <c r="K512" i="9"/>
  <c r="K1057" i="9"/>
  <c r="K1313" i="9"/>
  <c r="K1569" i="9"/>
  <c r="K1825" i="9"/>
  <c r="K2057" i="9"/>
  <c r="K2185" i="9"/>
  <c r="K2313" i="9"/>
  <c r="J106" i="9"/>
  <c r="J234" i="9"/>
  <c r="J359" i="9"/>
  <c r="J428" i="9"/>
  <c r="J492" i="9"/>
  <c r="J556" i="9"/>
  <c r="J620" i="9"/>
  <c r="J684" i="9"/>
  <c r="J748" i="9"/>
  <c r="J812" i="9"/>
  <c r="J876" i="9"/>
  <c r="J940" i="9"/>
  <c r="J1004" i="9"/>
  <c r="J1062" i="9"/>
  <c r="J1106" i="9"/>
  <c r="J1148" i="9"/>
  <c r="J1190" i="9"/>
  <c r="J1225" i="9"/>
  <c r="J1257" i="9"/>
  <c r="J1289" i="9"/>
  <c r="J1321" i="9"/>
  <c r="J1353" i="9"/>
  <c r="J1385" i="9"/>
  <c r="J1417" i="9"/>
  <c r="J1449" i="9"/>
  <c r="J1481" i="9"/>
  <c r="J1513" i="9"/>
  <c r="J1545" i="9"/>
  <c r="J1577" i="9"/>
  <c r="J1609" i="9"/>
  <c r="J1641" i="9"/>
  <c r="J1673" i="9"/>
  <c r="J1705" i="9"/>
  <c r="J1737" i="9"/>
  <c r="J1769" i="9"/>
  <c r="J1801" i="9"/>
  <c r="J1833" i="9"/>
  <c r="J1865" i="9"/>
  <c r="J1897" i="9"/>
  <c r="J1929" i="9"/>
  <c r="J1961" i="9"/>
  <c r="J1993" i="9"/>
  <c r="J2025" i="9"/>
  <c r="J2057" i="9"/>
  <c r="J2089" i="9"/>
  <c r="J2121" i="9"/>
  <c r="J2153" i="9"/>
  <c r="J2185" i="9"/>
  <c r="J2217" i="9"/>
  <c r="J2249" i="9"/>
  <c r="J2281" i="9"/>
  <c r="J2313" i="9"/>
  <c r="I10" i="9"/>
  <c r="I42" i="9"/>
  <c r="I74" i="9"/>
  <c r="I106" i="9"/>
  <c r="I138" i="9"/>
  <c r="I170" i="9"/>
  <c r="I202" i="9"/>
  <c r="I234" i="9"/>
  <c r="I266" i="9"/>
  <c r="I298" i="9"/>
  <c r="I330" i="9"/>
  <c r="I362" i="9"/>
  <c r="I394" i="9"/>
  <c r="I426" i="9"/>
  <c r="I458" i="9"/>
  <c r="I490" i="9"/>
  <c r="I522" i="9"/>
  <c r="I554" i="9"/>
  <c r="I586" i="9"/>
  <c r="I611" i="9"/>
  <c r="I633" i="9"/>
  <c r="I655" i="9"/>
  <c r="I675" i="9"/>
  <c r="I697" i="9"/>
  <c r="I719" i="9"/>
  <c r="I739" i="9"/>
  <c r="I761" i="9"/>
  <c r="I783" i="9"/>
  <c r="I803" i="9"/>
  <c r="I819" i="9"/>
  <c r="I835" i="9"/>
  <c r="I851" i="9"/>
  <c r="I867" i="9"/>
  <c r="I883" i="9"/>
  <c r="I899" i="9"/>
  <c r="I915" i="9"/>
  <c r="I931" i="9"/>
  <c r="I947" i="9"/>
  <c r="I963" i="9"/>
  <c r="I979" i="9"/>
  <c r="I995" i="9"/>
  <c r="I1011" i="9"/>
  <c r="I1027" i="9"/>
  <c r="I1043" i="9"/>
  <c r="I1059" i="9"/>
  <c r="I1075" i="9"/>
  <c r="I1091" i="9"/>
  <c r="I1107" i="9"/>
  <c r="I1123" i="9"/>
  <c r="I1139" i="9"/>
  <c r="I1155" i="9"/>
  <c r="I1171" i="9"/>
  <c r="I1187" i="9"/>
  <c r="I1203" i="9"/>
  <c r="I1219" i="9"/>
  <c r="I1235" i="9"/>
  <c r="I1251" i="9"/>
  <c r="I1267" i="9"/>
  <c r="I1283" i="9"/>
  <c r="I1299" i="9"/>
  <c r="I1315" i="9"/>
  <c r="I1331" i="9"/>
  <c r="I1347" i="9"/>
  <c r="I1363" i="9"/>
  <c r="I1379" i="9"/>
  <c r="I1395" i="9"/>
  <c r="I1411" i="9"/>
  <c r="I1427" i="9"/>
  <c r="I1443" i="9"/>
  <c r="I1459" i="9"/>
  <c r="I1475" i="9"/>
  <c r="I1491" i="9"/>
  <c r="I1507" i="9"/>
  <c r="I1523" i="9"/>
  <c r="I1539" i="9"/>
  <c r="I1555" i="9"/>
  <c r="I1571" i="9"/>
  <c r="I1587" i="9"/>
  <c r="I1603" i="9"/>
  <c r="I1619" i="9"/>
  <c r="I1635" i="9"/>
  <c r="I1651" i="9"/>
  <c r="I1667" i="9"/>
  <c r="I1683" i="9"/>
  <c r="I1699" i="9"/>
  <c r="I1715" i="9"/>
  <c r="I1731" i="9"/>
  <c r="I1747" i="9"/>
  <c r="I1763" i="9"/>
  <c r="I1779" i="9"/>
  <c r="I1795" i="9"/>
  <c r="I1811" i="9"/>
  <c r="I1827" i="9"/>
  <c r="I1843" i="9"/>
  <c r="I1859" i="9"/>
  <c r="I1875" i="9"/>
  <c r="I1891" i="9"/>
  <c r="I1907" i="9"/>
  <c r="I1923" i="9"/>
  <c r="I1939" i="9"/>
  <c r="I1955" i="9"/>
  <c r="I1971" i="9"/>
  <c r="I1987" i="9"/>
  <c r="I2003" i="9"/>
  <c r="I2019" i="9"/>
  <c r="I2035" i="9"/>
  <c r="I2050" i="9"/>
  <c r="I2061" i="9"/>
  <c r="I2073" i="9"/>
  <c r="I2083" i="9"/>
  <c r="I2093" i="9"/>
  <c r="I2105" i="9"/>
  <c r="I2115" i="9"/>
  <c r="I2124" i="9"/>
  <c r="I2133" i="9"/>
  <c r="I2143" i="9"/>
  <c r="I2152" i="9"/>
  <c r="I2161" i="9"/>
  <c r="I2170" i="9"/>
  <c r="I2179" i="9"/>
  <c r="I2188" i="9"/>
  <c r="I2197" i="9"/>
  <c r="I2207" i="9"/>
  <c r="I2216" i="9"/>
  <c r="I2225" i="9"/>
  <c r="I2234" i="9"/>
  <c r="I2243" i="9"/>
  <c r="I2252" i="9"/>
  <c r="I2261" i="9"/>
  <c r="I2271" i="9"/>
  <c r="I2280" i="9"/>
  <c r="I2289" i="9"/>
  <c r="I2297" i="9"/>
  <c r="I2305" i="9"/>
  <c r="I2313" i="9"/>
  <c r="I2321" i="9"/>
  <c r="I2329" i="9"/>
  <c r="H10" i="9"/>
  <c r="H18" i="9"/>
  <c r="H26" i="9"/>
  <c r="H34" i="9"/>
  <c r="H42" i="9"/>
  <c r="H50" i="9"/>
  <c r="H58" i="9"/>
  <c r="H66" i="9"/>
  <c r="H74" i="9"/>
  <c r="H82" i="9"/>
  <c r="H90" i="9"/>
  <c r="H98" i="9"/>
  <c r="H106" i="9"/>
  <c r="H114" i="9"/>
  <c r="H122" i="9"/>
  <c r="H130" i="9"/>
  <c r="H138" i="9"/>
  <c r="H146" i="9"/>
  <c r="H154" i="9"/>
  <c r="H162" i="9"/>
  <c r="H170" i="9"/>
  <c r="H178" i="9"/>
  <c r="H186" i="9"/>
  <c r="H194" i="9"/>
  <c r="H202" i="9"/>
  <c r="H210" i="9"/>
  <c r="H218" i="9"/>
  <c r="H226" i="9"/>
  <c r="H234" i="9"/>
  <c r="H242" i="9"/>
  <c r="H250" i="9"/>
  <c r="H258" i="9"/>
  <c r="H266" i="9"/>
  <c r="H274" i="9"/>
  <c r="H282" i="9"/>
  <c r="H290" i="9"/>
  <c r="H298" i="9"/>
  <c r="H306" i="9"/>
  <c r="H314" i="9"/>
  <c r="H322" i="9"/>
  <c r="H330" i="9"/>
  <c r="H338" i="9"/>
  <c r="H346" i="9"/>
  <c r="H354" i="9"/>
  <c r="H362" i="9"/>
  <c r="H370" i="9"/>
  <c r="H378" i="9"/>
  <c r="H386" i="9"/>
  <c r="H394" i="9"/>
  <c r="H402" i="9"/>
  <c r="H410" i="9"/>
  <c r="H418" i="9"/>
  <c r="H426" i="9"/>
  <c r="H434" i="9"/>
  <c r="H442" i="9"/>
  <c r="H450" i="9"/>
  <c r="H458" i="9"/>
  <c r="H466" i="9"/>
  <c r="H474" i="9"/>
  <c r="H482" i="9"/>
  <c r="H490" i="9"/>
  <c r="H498" i="9"/>
  <c r="H506" i="9"/>
  <c r="H514" i="9"/>
  <c r="H522" i="9"/>
  <c r="H530" i="9"/>
  <c r="H538" i="9"/>
  <c r="H546" i="9"/>
  <c r="H554" i="9"/>
  <c r="H562" i="9"/>
  <c r="H570" i="9"/>
  <c r="H578" i="9"/>
  <c r="H586" i="9"/>
  <c r="H594" i="9"/>
  <c r="H602" i="9"/>
  <c r="H610" i="9"/>
  <c r="H618" i="9"/>
  <c r="H626" i="9"/>
  <c r="H634" i="9"/>
  <c r="H642" i="9"/>
  <c r="H650" i="9"/>
  <c r="H658" i="9"/>
  <c r="H666" i="9"/>
  <c r="H674" i="9"/>
  <c r="H682" i="9"/>
  <c r="H690" i="9"/>
  <c r="H698" i="9"/>
  <c r="H706" i="9"/>
  <c r="H714" i="9"/>
  <c r="H722" i="9"/>
  <c r="H730" i="9"/>
  <c r="H738" i="9"/>
  <c r="H746" i="9"/>
  <c r="H754" i="9"/>
  <c r="H762" i="9"/>
  <c r="H770" i="9"/>
  <c r="H778" i="9"/>
  <c r="H786" i="9"/>
  <c r="H794" i="9"/>
  <c r="H802" i="9"/>
  <c r="H810" i="9"/>
  <c r="H818" i="9"/>
  <c r="H826" i="9"/>
  <c r="H834" i="9"/>
  <c r="H842" i="9"/>
  <c r="H850" i="9"/>
  <c r="H858" i="9"/>
  <c r="H866" i="9"/>
  <c r="H874" i="9"/>
  <c r="H882" i="9"/>
  <c r="H890" i="9"/>
  <c r="H898" i="9"/>
  <c r="H906" i="9"/>
  <c r="H914" i="9"/>
  <c r="H922" i="9"/>
  <c r="H930" i="9"/>
  <c r="H938" i="9"/>
  <c r="H946" i="9"/>
  <c r="H954" i="9"/>
  <c r="H962" i="9"/>
  <c r="H970" i="9"/>
  <c r="H978" i="9"/>
  <c r="K513" i="9"/>
  <c r="K1058" i="9"/>
  <c r="K1314" i="9"/>
  <c r="K1570" i="9"/>
  <c r="K1826" i="9"/>
  <c r="K2058" i="9"/>
  <c r="K2186" i="9"/>
  <c r="K2314" i="9"/>
  <c r="J107" i="9"/>
  <c r="J235" i="9"/>
  <c r="J360" i="9"/>
  <c r="J429" i="9"/>
  <c r="J493" i="9"/>
  <c r="J557" i="9"/>
  <c r="J621" i="9"/>
  <c r="J685" i="9"/>
  <c r="J749" i="9"/>
  <c r="J813" i="9"/>
  <c r="J877" i="9"/>
  <c r="J941" i="9"/>
  <c r="J1005" i="9"/>
  <c r="J1065" i="9"/>
  <c r="J1107" i="9"/>
  <c r="J1149" i="9"/>
  <c r="J1192" i="9"/>
  <c r="J1226" i="9"/>
  <c r="J1258" i="9"/>
  <c r="J1290" i="9"/>
  <c r="J1322" i="9"/>
  <c r="J1354" i="9"/>
  <c r="J1386" i="9"/>
  <c r="J1418" i="9"/>
  <c r="J1450" i="9"/>
  <c r="J1482" i="9"/>
  <c r="J1514" i="9"/>
  <c r="J1546" i="9"/>
  <c r="J1578" i="9"/>
  <c r="J1610" i="9"/>
  <c r="J1642" i="9"/>
  <c r="J1674" i="9"/>
  <c r="J1706" i="9"/>
  <c r="J1738" i="9"/>
  <c r="J1770" i="9"/>
  <c r="J1802" i="9"/>
  <c r="J1834" i="9"/>
  <c r="J1866" i="9"/>
  <c r="J1898" i="9"/>
  <c r="J1930" i="9"/>
  <c r="J1962" i="9"/>
  <c r="J1994" i="9"/>
  <c r="J2026" i="9"/>
  <c r="J2058" i="9"/>
  <c r="J2090" i="9"/>
  <c r="J2122" i="9"/>
  <c r="J2154" i="9"/>
  <c r="J2186" i="9"/>
  <c r="J2218" i="9"/>
  <c r="J2250" i="9"/>
  <c r="J2282" i="9"/>
  <c r="J2314" i="9"/>
  <c r="I11" i="9"/>
  <c r="I43" i="9"/>
  <c r="I75" i="9"/>
  <c r="I107" i="9"/>
  <c r="I139" i="9"/>
  <c r="I171" i="9"/>
  <c r="I203" i="9"/>
  <c r="I235" i="9"/>
  <c r="I267" i="9"/>
  <c r="I299" i="9"/>
  <c r="I331" i="9"/>
  <c r="I363" i="9"/>
  <c r="I395" i="9"/>
  <c r="I427" i="9"/>
  <c r="I459" i="9"/>
  <c r="I491" i="9"/>
  <c r="I523" i="9"/>
  <c r="I555" i="9"/>
  <c r="I587" i="9"/>
  <c r="I612" i="9"/>
  <c r="I634" i="9"/>
  <c r="I656" i="9"/>
  <c r="I676" i="9"/>
  <c r="I698" i="9"/>
  <c r="I720" i="9"/>
  <c r="I740" i="9"/>
  <c r="I762" i="9"/>
  <c r="I784" i="9"/>
  <c r="I804" i="9"/>
  <c r="I820" i="9"/>
  <c r="I836" i="9"/>
  <c r="I852" i="9"/>
  <c r="I868" i="9"/>
  <c r="I884" i="9"/>
  <c r="I900" i="9"/>
  <c r="I916" i="9"/>
  <c r="I932" i="9"/>
  <c r="I948" i="9"/>
  <c r="I964" i="9"/>
  <c r="I980" i="9"/>
  <c r="I996" i="9"/>
  <c r="I1012" i="9"/>
  <c r="I1028" i="9"/>
  <c r="I1044" i="9"/>
  <c r="I1060" i="9"/>
  <c r="I1076" i="9"/>
  <c r="I1092" i="9"/>
  <c r="I1108" i="9"/>
  <c r="I1124" i="9"/>
  <c r="I1140" i="9"/>
  <c r="I1156" i="9"/>
  <c r="I1172" i="9"/>
  <c r="I1188" i="9"/>
  <c r="I1204" i="9"/>
  <c r="I1220" i="9"/>
  <c r="I1236" i="9"/>
  <c r="I1252" i="9"/>
  <c r="I1268" i="9"/>
  <c r="I1284" i="9"/>
  <c r="I1300" i="9"/>
  <c r="I1316" i="9"/>
  <c r="I1332" i="9"/>
  <c r="I1348" i="9"/>
  <c r="I1364" i="9"/>
  <c r="I1380" i="9"/>
  <c r="I1396" i="9"/>
  <c r="I1412" i="9"/>
  <c r="I1428" i="9"/>
  <c r="I1444" i="9"/>
  <c r="I1460" i="9"/>
  <c r="I1476" i="9"/>
  <c r="I1492" i="9"/>
  <c r="I1508" i="9"/>
  <c r="I1524" i="9"/>
  <c r="I1540" i="9"/>
  <c r="I1556" i="9"/>
  <c r="I1572" i="9"/>
  <c r="I1588" i="9"/>
  <c r="I1604" i="9"/>
  <c r="I1620" i="9"/>
  <c r="I1636" i="9"/>
  <c r="I1652" i="9"/>
  <c r="I1668" i="9"/>
  <c r="I1684" i="9"/>
  <c r="I1700" i="9"/>
  <c r="I1716" i="9"/>
  <c r="I1732" i="9"/>
  <c r="I1748" i="9"/>
  <c r="I1764" i="9"/>
  <c r="I1780" i="9"/>
  <c r="I1796" i="9"/>
  <c r="I1812" i="9"/>
  <c r="I1828" i="9"/>
  <c r="I1844" i="9"/>
  <c r="I1860" i="9"/>
  <c r="I1876" i="9"/>
  <c r="I1892" i="9"/>
  <c r="I1908" i="9"/>
  <c r="I1924" i="9"/>
  <c r="I1940" i="9"/>
  <c r="I1956" i="9"/>
  <c r="I1972" i="9"/>
  <c r="I1988" i="9"/>
  <c r="I2004" i="9"/>
  <c r="I2020" i="9"/>
  <c r="I2036" i="9"/>
  <c r="I2051" i="9"/>
  <c r="I2064" i="9"/>
  <c r="I2074" i="9"/>
  <c r="I2084" i="9"/>
  <c r="I2096" i="9"/>
  <c r="I2106" i="9"/>
  <c r="I2116" i="9"/>
  <c r="I2125" i="9"/>
  <c r="I2135" i="9"/>
  <c r="I2144" i="9"/>
  <c r="I2153" i="9"/>
  <c r="I2162" i="9"/>
  <c r="I2171" i="9"/>
  <c r="I2180" i="9"/>
  <c r="I2189" i="9"/>
  <c r="I2199" i="9"/>
  <c r="I2208" i="9"/>
  <c r="I2217" i="9"/>
  <c r="I2226" i="9"/>
  <c r="I2235" i="9"/>
  <c r="I2244" i="9"/>
  <c r="I2253" i="9"/>
  <c r="I2263" i="9"/>
  <c r="I2272" i="9"/>
  <c r="I2281" i="9"/>
  <c r="I2290" i="9"/>
  <c r="I2298" i="9"/>
  <c r="I2306" i="9"/>
  <c r="I2314" i="9"/>
  <c r="I2322" i="9"/>
  <c r="I2330" i="9"/>
  <c r="H3" i="9"/>
  <c r="H11" i="9"/>
  <c r="H19" i="9"/>
  <c r="H27" i="9"/>
  <c r="H35" i="9"/>
  <c r="H43" i="9"/>
  <c r="H51" i="9"/>
  <c r="H59" i="9"/>
  <c r="H67" i="9"/>
  <c r="H75" i="9"/>
  <c r="H83" i="9"/>
  <c r="H91" i="9"/>
  <c r="H99" i="9"/>
  <c r="H107" i="9"/>
  <c r="H115" i="9"/>
  <c r="H123" i="9"/>
  <c r="H131" i="9"/>
  <c r="H139" i="9"/>
  <c r="H147" i="9"/>
  <c r="H155" i="9"/>
  <c r="H163" i="9"/>
  <c r="H171" i="9"/>
  <c r="H179" i="9"/>
  <c r="H187" i="9"/>
  <c r="H195" i="9"/>
  <c r="H203" i="9"/>
  <c r="H211" i="9"/>
  <c r="H219" i="9"/>
  <c r="H227" i="9"/>
  <c r="H235" i="9"/>
  <c r="H243" i="9"/>
  <c r="H251" i="9"/>
  <c r="H259" i="9"/>
  <c r="H267" i="9"/>
  <c r="H275" i="9"/>
  <c r="H283" i="9"/>
  <c r="H291" i="9"/>
  <c r="H299" i="9"/>
  <c r="H307" i="9"/>
  <c r="H315" i="9"/>
  <c r="H323" i="9"/>
  <c r="H331" i="9"/>
  <c r="H339" i="9"/>
  <c r="H347" i="9"/>
  <c r="H355" i="9"/>
  <c r="H363" i="9"/>
  <c r="H371" i="9"/>
  <c r="H379" i="9"/>
  <c r="H387" i="9"/>
  <c r="H395" i="9"/>
  <c r="H403" i="9"/>
  <c r="H411" i="9"/>
  <c r="H419" i="9"/>
  <c r="H427" i="9"/>
  <c r="H435" i="9"/>
  <c r="H443" i="9"/>
  <c r="H451" i="9"/>
  <c r="H459" i="9"/>
  <c r="H467" i="9"/>
  <c r="H475" i="9"/>
  <c r="H483" i="9"/>
  <c r="H491" i="9"/>
  <c r="H499" i="9"/>
  <c r="H507" i="9"/>
  <c r="H515" i="9"/>
  <c r="H523" i="9"/>
  <c r="H531" i="9"/>
  <c r="H539" i="9"/>
  <c r="H547" i="9"/>
  <c r="H555" i="9"/>
  <c r="H563" i="9"/>
  <c r="H571" i="9"/>
  <c r="H579" i="9"/>
  <c r="H587" i="9"/>
  <c r="H595" i="9"/>
  <c r="H603" i="9"/>
  <c r="H611" i="9"/>
  <c r="H619" i="9"/>
  <c r="H627" i="9"/>
  <c r="H635" i="9"/>
  <c r="H643" i="9"/>
  <c r="H651" i="9"/>
  <c r="H659" i="9"/>
  <c r="H667" i="9"/>
  <c r="H675" i="9"/>
  <c r="H683" i="9"/>
  <c r="H691" i="9"/>
  <c r="H699" i="9"/>
  <c r="H707" i="9"/>
  <c r="H715" i="9"/>
  <c r="H723" i="9"/>
  <c r="H731" i="9"/>
  <c r="H739" i="9"/>
  <c r="H747" i="9"/>
  <c r="H755" i="9"/>
  <c r="H763" i="9"/>
  <c r="H771" i="9"/>
  <c r="H779" i="9"/>
  <c r="H787" i="9"/>
  <c r="H795" i="9"/>
  <c r="H803" i="9"/>
  <c r="H811" i="9"/>
  <c r="H819" i="9"/>
  <c r="H827" i="9"/>
  <c r="H835" i="9"/>
  <c r="H843" i="9"/>
  <c r="H851" i="9"/>
  <c r="H859" i="9"/>
  <c r="H867" i="9"/>
  <c r="H875" i="9"/>
  <c r="H883" i="9"/>
  <c r="H891" i="9"/>
  <c r="H899" i="9"/>
  <c r="H907" i="9"/>
  <c r="H915" i="9"/>
  <c r="H923" i="9"/>
  <c r="H931" i="9"/>
  <c r="H939" i="9"/>
  <c r="H947" i="9"/>
  <c r="H955" i="9"/>
  <c r="H963" i="9"/>
  <c r="H971" i="9"/>
  <c r="H979" i="9"/>
  <c r="H987" i="9"/>
  <c r="H995" i="9"/>
  <c r="H1003" i="9"/>
  <c r="H1011" i="9"/>
  <c r="H1019" i="9"/>
  <c r="H1027" i="9"/>
  <c r="H1035" i="9"/>
  <c r="H1043" i="9"/>
  <c r="H1051" i="9"/>
  <c r="H1059" i="9"/>
  <c r="H1067" i="9"/>
  <c r="H1075" i="9"/>
  <c r="H1083" i="9"/>
  <c r="H1091" i="9"/>
  <c r="H1099" i="9"/>
  <c r="H1107" i="9"/>
  <c r="H1115" i="9"/>
  <c r="H1123" i="9"/>
  <c r="H1131" i="9"/>
  <c r="H1139" i="9"/>
  <c r="H1147" i="9"/>
  <c r="K514" i="9"/>
  <c r="K1059" i="9"/>
  <c r="K1315" i="9"/>
  <c r="K1571" i="9"/>
  <c r="K1827" i="9"/>
  <c r="K2059" i="9"/>
  <c r="K2187" i="9"/>
  <c r="K2315" i="9"/>
  <c r="J108" i="9"/>
  <c r="J236" i="9"/>
  <c r="J361" i="9"/>
  <c r="J430" i="9"/>
  <c r="J494" i="9"/>
  <c r="J558" i="9"/>
  <c r="J622" i="9"/>
  <c r="J686" i="9"/>
  <c r="J750" i="9"/>
  <c r="J814" i="9"/>
  <c r="J878" i="9"/>
  <c r="J942" i="9"/>
  <c r="J1006" i="9"/>
  <c r="J1066" i="9"/>
  <c r="J1108" i="9"/>
  <c r="J1150" i="9"/>
  <c r="J1193" i="9"/>
  <c r="J1227" i="9"/>
  <c r="J1259" i="9"/>
  <c r="J1291" i="9"/>
  <c r="J1323" i="9"/>
  <c r="J1355" i="9"/>
  <c r="J1387" i="9"/>
  <c r="J1419" i="9"/>
  <c r="J1451" i="9"/>
  <c r="J1483" i="9"/>
  <c r="J1515" i="9"/>
  <c r="J1547" i="9"/>
  <c r="J1579" i="9"/>
  <c r="J1611" i="9"/>
  <c r="J1643" i="9"/>
  <c r="J1675" i="9"/>
  <c r="J1707" i="9"/>
  <c r="J1739" i="9"/>
  <c r="J1771" i="9"/>
  <c r="J1803" i="9"/>
  <c r="J1835" i="9"/>
  <c r="J1867" i="9"/>
  <c r="J1899" i="9"/>
  <c r="J1931" i="9"/>
  <c r="J1963" i="9"/>
  <c r="J1995" i="9"/>
  <c r="J2027" i="9"/>
  <c r="J2059" i="9"/>
  <c r="J2091" i="9"/>
  <c r="J2123" i="9"/>
  <c r="J2155" i="9"/>
  <c r="J2187" i="9"/>
  <c r="J2219" i="9"/>
  <c r="J2251" i="9"/>
  <c r="J2283" i="9"/>
  <c r="J2315" i="9"/>
  <c r="I12" i="9"/>
  <c r="I44" i="9"/>
  <c r="I76" i="9"/>
  <c r="I108" i="9"/>
  <c r="I140" i="9"/>
  <c r="I172" i="9"/>
  <c r="I204" i="9"/>
  <c r="I236" i="9"/>
  <c r="I268" i="9"/>
  <c r="I300" i="9"/>
  <c r="I332" i="9"/>
  <c r="I364" i="9"/>
  <c r="I396" i="9"/>
  <c r="I428" i="9"/>
  <c r="I460" i="9"/>
  <c r="I492" i="9"/>
  <c r="I524" i="9"/>
  <c r="I556" i="9"/>
  <c r="I588" i="9"/>
  <c r="I615" i="9"/>
  <c r="I635" i="9"/>
  <c r="I657" i="9"/>
  <c r="I679" i="9"/>
  <c r="I699" i="9"/>
  <c r="I721" i="9"/>
  <c r="I743" i="9"/>
  <c r="I763" i="9"/>
  <c r="I785" i="9"/>
  <c r="I805" i="9"/>
  <c r="I821" i="9"/>
  <c r="I837" i="9"/>
  <c r="I853" i="9"/>
  <c r="I869" i="9"/>
  <c r="I885" i="9"/>
  <c r="I901" i="9"/>
  <c r="I917" i="9"/>
  <c r="I933" i="9"/>
  <c r="I949" i="9"/>
  <c r="I965" i="9"/>
  <c r="I981" i="9"/>
  <c r="I997" i="9"/>
  <c r="I1013" i="9"/>
  <c r="I1029" i="9"/>
  <c r="I1045" i="9"/>
  <c r="I1061" i="9"/>
  <c r="I1077" i="9"/>
  <c r="I1093" i="9"/>
  <c r="I1109" i="9"/>
  <c r="I1125" i="9"/>
  <c r="I1141" i="9"/>
  <c r="I1157" i="9"/>
  <c r="I1173" i="9"/>
  <c r="I1189" i="9"/>
  <c r="I1205" i="9"/>
  <c r="I1221" i="9"/>
  <c r="I1237" i="9"/>
  <c r="I1253" i="9"/>
  <c r="I1269" i="9"/>
  <c r="I1285" i="9"/>
  <c r="I1301" i="9"/>
  <c r="I1317" i="9"/>
  <c r="I1333" i="9"/>
  <c r="I1349" i="9"/>
  <c r="I1365" i="9"/>
  <c r="I1381" i="9"/>
  <c r="I1397" i="9"/>
  <c r="I1413" i="9"/>
  <c r="I1429" i="9"/>
  <c r="I1445" i="9"/>
  <c r="I1461" i="9"/>
  <c r="I1477" i="9"/>
  <c r="I1493" i="9"/>
  <c r="I1509" i="9"/>
  <c r="I1525" i="9"/>
  <c r="I1541" i="9"/>
  <c r="I1557" i="9"/>
  <c r="I1573" i="9"/>
  <c r="I1589" i="9"/>
  <c r="I1605" i="9"/>
  <c r="I1621" i="9"/>
  <c r="I1637" i="9"/>
  <c r="I1653" i="9"/>
  <c r="I1669" i="9"/>
  <c r="I1685" i="9"/>
  <c r="I1701" i="9"/>
  <c r="I1717" i="9"/>
  <c r="I1733" i="9"/>
  <c r="I1749" i="9"/>
  <c r="I1765" i="9"/>
  <c r="I1781" i="9"/>
  <c r="I1797" i="9"/>
  <c r="I1813" i="9"/>
  <c r="I1829" i="9"/>
  <c r="I1845" i="9"/>
  <c r="I1861" i="9"/>
  <c r="I1877" i="9"/>
  <c r="I1893" i="9"/>
  <c r="I1909" i="9"/>
  <c r="I1925" i="9"/>
  <c r="I1941" i="9"/>
  <c r="I1957" i="9"/>
  <c r="I1973" i="9"/>
  <c r="I1989" i="9"/>
  <c r="I2005" i="9"/>
  <c r="I2021" i="9"/>
  <c r="I2037" i="9"/>
  <c r="I2052" i="9"/>
  <c r="I2065" i="9"/>
  <c r="I2075" i="9"/>
  <c r="I2085" i="9"/>
  <c r="I2097" i="9"/>
  <c r="I2107" i="9"/>
  <c r="I2117" i="9"/>
  <c r="I2127" i="9"/>
  <c r="I2136" i="9"/>
  <c r="I2145" i="9"/>
  <c r="I2154" i="9"/>
  <c r="I2163" i="9"/>
  <c r="I2172" i="9"/>
  <c r="I2181" i="9"/>
  <c r="I2191" i="9"/>
  <c r="I2200" i="9"/>
  <c r="I2209" i="9"/>
  <c r="I2218" i="9"/>
  <c r="I2227" i="9"/>
  <c r="I2236" i="9"/>
  <c r="I2245" i="9"/>
  <c r="I2255" i="9"/>
  <c r="I2264" i="9"/>
  <c r="I2273" i="9"/>
  <c r="I2282" i="9"/>
  <c r="I2291" i="9"/>
  <c r="I2299" i="9"/>
  <c r="I2307" i="9"/>
  <c r="I2315" i="9"/>
  <c r="I2323" i="9"/>
  <c r="I2331" i="9"/>
  <c r="H4" i="9"/>
  <c r="H12" i="9"/>
  <c r="H20" i="9"/>
  <c r="H28" i="9"/>
  <c r="H36" i="9"/>
  <c r="H44" i="9"/>
  <c r="H52" i="9"/>
  <c r="H60" i="9"/>
  <c r="H68" i="9"/>
  <c r="H76" i="9"/>
  <c r="H84" i="9"/>
  <c r="H92" i="9"/>
  <c r="H100" i="9"/>
  <c r="H108" i="9"/>
  <c r="H116" i="9"/>
  <c r="H124" i="9"/>
  <c r="H132" i="9"/>
  <c r="H140" i="9"/>
  <c r="H148" i="9"/>
  <c r="H156" i="9"/>
  <c r="H164" i="9"/>
  <c r="H172" i="9"/>
  <c r="H180" i="9"/>
  <c r="H188" i="9"/>
  <c r="H196" i="9"/>
  <c r="H204" i="9"/>
  <c r="H212" i="9"/>
  <c r="H220" i="9"/>
  <c r="H228" i="9"/>
  <c r="H236" i="9"/>
  <c r="H244" i="9"/>
  <c r="H252" i="9"/>
  <c r="H260" i="9"/>
  <c r="H268" i="9"/>
  <c r="H276" i="9"/>
  <c r="H284" i="9"/>
  <c r="H292" i="9"/>
  <c r="H300" i="9"/>
  <c r="H308" i="9"/>
  <c r="H316" i="9"/>
  <c r="H324" i="9"/>
  <c r="H332" i="9"/>
  <c r="H340" i="9"/>
  <c r="H348" i="9"/>
  <c r="H356" i="9"/>
  <c r="H364" i="9"/>
  <c r="H372" i="9"/>
  <c r="H380" i="9"/>
  <c r="H388" i="9"/>
  <c r="H396" i="9"/>
  <c r="H404" i="9"/>
  <c r="H412" i="9"/>
  <c r="H420" i="9"/>
  <c r="H428" i="9"/>
  <c r="H436" i="9"/>
  <c r="H444" i="9"/>
  <c r="H452" i="9"/>
  <c r="H460" i="9"/>
  <c r="H468" i="9"/>
  <c r="H476" i="9"/>
  <c r="H484" i="9"/>
  <c r="H492" i="9"/>
  <c r="H500" i="9"/>
  <c r="H508" i="9"/>
  <c r="H516" i="9"/>
  <c r="H524" i="9"/>
  <c r="H532" i="9"/>
  <c r="H540" i="9"/>
  <c r="H548" i="9"/>
  <c r="H556" i="9"/>
  <c r="H564" i="9"/>
  <c r="H572" i="9"/>
  <c r="H580" i="9"/>
  <c r="H588" i="9"/>
  <c r="H596" i="9"/>
  <c r="H604" i="9"/>
  <c r="H612" i="9"/>
  <c r="H620" i="9"/>
  <c r="H628" i="9"/>
  <c r="H636" i="9"/>
  <c r="H644" i="9"/>
  <c r="H652" i="9"/>
  <c r="H660" i="9"/>
  <c r="H668" i="9"/>
  <c r="H676" i="9"/>
  <c r="H684" i="9"/>
  <c r="H692" i="9"/>
  <c r="H700" i="9"/>
  <c r="H708" i="9"/>
  <c r="H716" i="9"/>
  <c r="H724" i="9"/>
  <c r="H732" i="9"/>
  <c r="H740" i="9"/>
  <c r="H748" i="9"/>
  <c r="H756" i="9"/>
  <c r="H764" i="9"/>
  <c r="H772" i="9"/>
  <c r="H780" i="9"/>
  <c r="H788" i="9"/>
  <c r="H796" i="9"/>
  <c r="H804" i="9"/>
  <c r="H812" i="9"/>
  <c r="H820" i="9"/>
  <c r="H828" i="9"/>
  <c r="H836" i="9"/>
  <c r="H844" i="9"/>
  <c r="H852" i="9"/>
  <c r="H860" i="9"/>
  <c r="H868" i="9"/>
  <c r="H876" i="9"/>
  <c r="H884" i="9"/>
  <c r="H892" i="9"/>
  <c r="H900" i="9"/>
  <c r="H908" i="9"/>
  <c r="H916" i="9"/>
  <c r="H924" i="9"/>
  <c r="H932" i="9"/>
  <c r="H940" i="9"/>
  <c r="H948" i="9"/>
  <c r="H956" i="9"/>
  <c r="H964" i="9"/>
  <c r="H972" i="9"/>
  <c r="H980" i="9"/>
  <c r="H988" i="9"/>
  <c r="H996" i="9"/>
  <c r="H1004" i="9"/>
  <c r="H1012" i="9"/>
  <c r="H1020" i="9"/>
  <c r="K851" i="9"/>
  <c r="K1440" i="9"/>
  <c r="K1952" i="9"/>
  <c r="K2248" i="9"/>
  <c r="J169" i="9"/>
  <c r="J395" i="9"/>
  <c r="J523" i="9"/>
  <c r="J651" i="9"/>
  <c r="J779" i="9"/>
  <c r="J907" i="9"/>
  <c r="J1035" i="9"/>
  <c r="J1125" i="9"/>
  <c r="J1208" i="9"/>
  <c r="J1272" i="9"/>
  <c r="J1336" i="9"/>
  <c r="J1400" i="9"/>
  <c r="J1464" i="9"/>
  <c r="J1528" i="9"/>
  <c r="J1592" i="9"/>
  <c r="J1656" i="9"/>
  <c r="J1720" i="9"/>
  <c r="J1784" i="9"/>
  <c r="J1848" i="9"/>
  <c r="J1912" i="9"/>
  <c r="J1976" i="9"/>
  <c r="J2040" i="9"/>
  <c r="J2104" i="9"/>
  <c r="J2168" i="9"/>
  <c r="J2232" i="9"/>
  <c r="J2296" i="9"/>
  <c r="I25" i="9"/>
  <c r="I89" i="9"/>
  <c r="I153" i="9"/>
  <c r="I217" i="9"/>
  <c r="I281" i="9"/>
  <c r="I345" i="9"/>
  <c r="I409" i="9"/>
  <c r="I473" i="9"/>
  <c r="I537" i="9"/>
  <c r="I599" i="9"/>
  <c r="I642" i="9"/>
  <c r="I684" i="9"/>
  <c r="I728" i="9"/>
  <c r="I770" i="9"/>
  <c r="I810" i="9"/>
  <c r="I842" i="9"/>
  <c r="I874" i="9"/>
  <c r="I906" i="9"/>
  <c r="I938" i="9"/>
  <c r="I970" i="9"/>
  <c r="I1002" i="9"/>
  <c r="I1034" i="9"/>
  <c r="I1066" i="9"/>
  <c r="I1098" i="9"/>
  <c r="I1130" i="9"/>
  <c r="I1162" i="9"/>
  <c r="I1194" i="9"/>
  <c r="I1226" i="9"/>
  <c r="I1258" i="9"/>
  <c r="I1290" i="9"/>
  <c r="I1322" i="9"/>
  <c r="I1354" i="9"/>
  <c r="I1386" i="9"/>
  <c r="I1418" i="9"/>
  <c r="I1450" i="9"/>
  <c r="I1482" i="9"/>
  <c r="I1514" i="9"/>
  <c r="I1546" i="9"/>
  <c r="I1578" i="9"/>
  <c r="I1610" i="9"/>
  <c r="I1642" i="9"/>
  <c r="I1674" i="9"/>
  <c r="I1706" i="9"/>
  <c r="I1738" i="9"/>
  <c r="I1770" i="9"/>
  <c r="I1802" i="9"/>
  <c r="I1834" i="9"/>
  <c r="I1866" i="9"/>
  <c r="I1898" i="9"/>
  <c r="I1930" i="9"/>
  <c r="I1962" i="9"/>
  <c r="I1994" i="9"/>
  <c r="I2026" i="9"/>
  <c r="I2053" i="9"/>
  <c r="I2076" i="9"/>
  <c r="I2098" i="9"/>
  <c r="I2119" i="9"/>
  <c r="I2137" i="9"/>
  <c r="I2155" i="9"/>
  <c r="I2173" i="9"/>
  <c r="I2192" i="9"/>
  <c r="I2210" i="9"/>
  <c r="I2228" i="9"/>
  <c r="I2247" i="9"/>
  <c r="I2265" i="9"/>
  <c r="I2283" i="9"/>
  <c r="I2300" i="9"/>
  <c r="I2316" i="9"/>
  <c r="I2332" i="9"/>
  <c r="H13" i="9"/>
  <c r="H29" i="9"/>
  <c r="H45" i="9"/>
  <c r="H61" i="9"/>
  <c r="H77" i="9"/>
  <c r="H93" i="9"/>
  <c r="H109" i="9"/>
  <c r="H125" i="9"/>
  <c r="H141" i="9"/>
  <c r="H157" i="9"/>
  <c r="H173" i="9"/>
  <c r="H189" i="9"/>
  <c r="H205" i="9"/>
  <c r="H221" i="9"/>
  <c r="H237" i="9"/>
  <c r="H253" i="9"/>
  <c r="H269" i="9"/>
  <c r="H285" i="9"/>
  <c r="H301" i="9"/>
  <c r="H317" i="9"/>
  <c r="H333" i="9"/>
  <c r="H349" i="9"/>
  <c r="H365" i="9"/>
  <c r="H381" i="9"/>
  <c r="H397" i="9"/>
  <c r="H413" i="9"/>
  <c r="H429" i="9"/>
  <c r="H445" i="9"/>
  <c r="H461" i="9"/>
  <c r="H477" i="9"/>
  <c r="H493" i="9"/>
  <c r="H509" i="9"/>
  <c r="H525" i="9"/>
  <c r="H541" i="9"/>
  <c r="H557" i="9"/>
  <c r="H573" i="9"/>
  <c r="H589" i="9"/>
  <c r="H605" i="9"/>
  <c r="H621" i="9"/>
  <c r="H637" i="9"/>
  <c r="H653" i="9"/>
  <c r="H669" i="9"/>
  <c r="H685" i="9"/>
  <c r="H701" i="9"/>
  <c r="H717" i="9"/>
  <c r="H733" i="9"/>
  <c r="H749" i="9"/>
  <c r="H765" i="9"/>
  <c r="H781" i="9"/>
  <c r="H797" i="9"/>
  <c r="H813" i="9"/>
  <c r="H829" i="9"/>
  <c r="H845" i="9"/>
  <c r="H861" i="9"/>
  <c r="H877" i="9"/>
  <c r="H893" i="9"/>
  <c r="H909" i="9"/>
  <c r="H925" i="9"/>
  <c r="H941" i="9"/>
  <c r="H957" i="9"/>
  <c r="H973" i="9"/>
  <c r="H986" i="9"/>
  <c r="H999" i="9"/>
  <c r="H1013" i="9"/>
  <c r="H1024" i="9"/>
  <c r="H1036" i="9"/>
  <c r="H1046" i="9"/>
  <c r="H1056" i="9"/>
  <c r="H1068" i="9"/>
  <c r="H1078" i="9"/>
  <c r="H1088" i="9"/>
  <c r="H1100" i="9"/>
  <c r="H1110" i="9"/>
  <c r="H1120" i="9"/>
  <c r="H1132" i="9"/>
  <c r="H1142" i="9"/>
  <c r="H1152" i="9"/>
  <c r="H1162" i="9"/>
  <c r="H1170" i="9"/>
  <c r="H1178" i="9"/>
  <c r="H1186" i="9"/>
  <c r="H1194" i="9"/>
  <c r="H1202" i="9"/>
  <c r="H1210" i="9"/>
  <c r="H1218" i="9"/>
  <c r="H1226" i="9"/>
  <c r="H1234" i="9"/>
  <c r="H1242" i="9"/>
  <c r="H1250" i="9"/>
  <c r="H1258" i="9"/>
  <c r="H1266" i="9"/>
  <c r="H1274" i="9"/>
  <c r="H1282" i="9"/>
  <c r="H1290" i="9"/>
  <c r="H1298" i="9"/>
  <c r="H1306" i="9"/>
  <c r="H1314" i="9"/>
  <c r="H1322" i="9"/>
  <c r="H1330" i="9"/>
  <c r="H1338" i="9"/>
  <c r="H1346" i="9"/>
  <c r="H1354" i="9"/>
  <c r="H1362" i="9"/>
  <c r="H1370" i="9"/>
  <c r="H1378" i="9"/>
  <c r="H1386" i="9"/>
  <c r="H1394" i="9"/>
  <c r="H1402" i="9"/>
  <c r="H1410" i="9"/>
  <c r="H1418" i="9"/>
  <c r="H1426" i="9"/>
  <c r="H1434" i="9"/>
  <c r="H1442" i="9"/>
  <c r="H1450" i="9"/>
  <c r="H1458" i="9"/>
  <c r="H1466" i="9"/>
  <c r="H1474" i="9"/>
  <c r="H1482" i="9"/>
  <c r="H1490" i="9"/>
  <c r="H1498" i="9"/>
  <c r="H1506" i="9"/>
  <c r="H1514" i="9"/>
  <c r="H1522" i="9"/>
  <c r="H1530" i="9"/>
  <c r="H1538" i="9"/>
  <c r="H1546" i="9"/>
  <c r="H1554" i="9"/>
  <c r="H1562" i="9"/>
  <c r="H1570" i="9"/>
  <c r="H1578" i="9"/>
  <c r="H1586" i="9"/>
  <c r="H1594" i="9"/>
  <c r="H1602" i="9"/>
  <c r="H1610" i="9"/>
  <c r="H1618" i="9"/>
  <c r="H1626" i="9"/>
  <c r="H1634" i="9"/>
  <c r="H1642" i="9"/>
  <c r="H1650" i="9"/>
  <c r="H1658" i="9"/>
  <c r="H1666" i="9"/>
  <c r="H1674" i="9"/>
  <c r="H1682" i="9"/>
  <c r="H1690" i="9"/>
  <c r="H1698" i="9"/>
  <c r="H1706" i="9"/>
  <c r="H1714" i="9"/>
  <c r="H1722" i="9"/>
  <c r="H1730" i="9"/>
  <c r="H1738" i="9"/>
  <c r="H1746" i="9"/>
  <c r="H1754" i="9"/>
  <c r="H1762" i="9"/>
  <c r="H1770" i="9"/>
  <c r="H1778" i="9"/>
  <c r="H1786" i="9"/>
  <c r="H1794" i="9"/>
  <c r="H1802" i="9"/>
  <c r="H1810" i="9"/>
  <c r="H1818" i="9"/>
  <c r="H1826" i="9"/>
  <c r="H1834" i="9"/>
  <c r="H1842" i="9"/>
  <c r="H1850" i="9"/>
  <c r="H1858" i="9"/>
  <c r="H1866" i="9"/>
  <c r="H1874" i="9"/>
  <c r="H1882" i="9"/>
  <c r="H1890" i="9"/>
  <c r="H1898" i="9"/>
  <c r="H1906" i="9"/>
  <c r="H1914" i="9"/>
  <c r="H1922" i="9"/>
  <c r="H1930" i="9"/>
  <c r="H1938" i="9"/>
  <c r="H1946" i="9"/>
  <c r="H1954" i="9"/>
  <c r="H1962" i="9"/>
  <c r="H1970" i="9"/>
  <c r="H1978" i="9"/>
  <c r="H1986" i="9"/>
  <c r="H1994" i="9"/>
  <c r="H2002" i="9"/>
  <c r="H2010" i="9"/>
  <c r="H2018" i="9"/>
  <c r="H2026" i="9"/>
  <c r="H2034" i="9"/>
  <c r="H2042" i="9"/>
  <c r="H2050" i="9"/>
  <c r="H2058" i="9"/>
  <c r="H2066" i="9"/>
  <c r="H2074" i="9"/>
  <c r="H2082" i="9"/>
  <c r="H2090" i="9"/>
  <c r="H2098" i="9"/>
  <c r="H2106" i="9"/>
  <c r="H2114" i="9"/>
  <c r="H2122" i="9"/>
  <c r="H2130" i="9"/>
  <c r="H2138" i="9"/>
  <c r="H2146" i="9"/>
  <c r="H2154" i="9"/>
  <c r="H2162" i="9"/>
  <c r="H2170" i="9"/>
  <c r="H2178" i="9"/>
  <c r="H2186" i="9"/>
  <c r="H2194" i="9"/>
  <c r="H2202" i="9"/>
  <c r="H2210" i="9"/>
  <c r="H2218" i="9"/>
  <c r="H2226" i="9"/>
  <c r="H2234" i="9"/>
  <c r="H2242" i="9"/>
  <c r="H2250" i="9"/>
  <c r="H2258" i="9"/>
  <c r="H2266" i="9"/>
  <c r="H2274" i="9"/>
  <c r="H2282" i="9"/>
  <c r="H2290" i="9"/>
  <c r="H2298" i="9"/>
  <c r="H2306" i="9"/>
  <c r="H2314" i="9"/>
  <c r="H2322" i="9"/>
  <c r="H2330" i="9"/>
  <c r="G3" i="9"/>
  <c r="G11" i="9"/>
  <c r="G19" i="9"/>
  <c r="G27" i="9"/>
  <c r="G35" i="9"/>
  <c r="G43" i="9"/>
  <c r="G51" i="9"/>
  <c r="G59" i="9"/>
  <c r="G67" i="9"/>
  <c r="G75" i="9"/>
  <c r="G83" i="9"/>
  <c r="G91" i="9"/>
  <c r="G99" i="9"/>
  <c r="G107" i="9"/>
  <c r="G115" i="9"/>
  <c r="G123" i="9"/>
  <c r="G131" i="9"/>
  <c r="G139" i="9"/>
  <c r="G147" i="9"/>
  <c r="G155" i="9"/>
  <c r="G163" i="9"/>
  <c r="G171" i="9"/>
  <c r="G179" i="9"/>
  <c r="G187" i="9"/>
  <c r="G195" i="9"/>
  <c r="G203" i="9"/>
  <c r="G211" i="9"/>
  <c r="G219" i="9"/>
  <c r="G227" i="9"/>
  <c r="G235" i="9"/>
  <c r="G243" i="9"/>
  <c r="G251" i="9"/>
  <c r="G259" i="9"/>
  <c r="G267" i="9"/>
  <c r="G275" i="9"/>
  <c r="G283" i="9"/>
  <c r="G291" i="9"/>
  <c r="G299" i="9"/>
  <c r="G307" i="9"/>
  <c r="G315" i="9"/>
  <c r="G323" i="9"/>
  <c r="G331" i="9"/>
  <c r="G339" i="9"/>
  <c r="G347" i="9"/>
  <c r="G355" i="9"/>
  <c r="G363" i="9"/>
  <c r="G371" i="9"/>
  <c r="G379" i="9"/>
  <c r="G387" i="9"/>
  <c r="G395" i="9"/>
  <c r="G403" i="9"/>
  <c r="K852" i="9"/>
  <c r="K1441" i="9"/>
  <c r="K1953" i="9"/>
  <c r="K2249" i="9"/>
  <c r="J170" i="9"/>
  <c r="J396" i="9"/>
  <c r="J524" i="9"/>
  <c r="J652" i="9"/>
  <c r="J780" i="9"/>
  <c r="J908" i="9"/>
  <c r="J1036" i="9"/>
  <c r="J1126" i="9"/>
  <c r="J1209" i="9"/>
  <c r="J1273" i="9"/>
  <c r="J1337" i="9"/>
  <c r="J1401" i="9"/>
  <c r="J1465" i="9"/>
  <c r="J1529" i="9"/>
  <c r="J1593" i="9"/>
  <c r="J1657" i="9"/>
  <c r="J1721" i="9"/>
  <c r="J1785" i="9"/>
  <c r="J1849" i="9"/>
  <c r="J1913" i="9"/>
  <c r="J1977" i="9"/>
  <c r="J2041" i="9"/>
  <c r="J2105" i="9"/>
  <c r="J2169" i="9"/>
  <c r="J2233" i="9"/>
  <c r="J2297" i="9"/>
  <c r="I26" i="9"/>
  <c r="I90" i="9"/>
  <c r="I154" i="9"/>
  <c r="I218" i="9"/>
  <c r="I282" i="9"/>
  <c r="I346" i="9"/>
  <c r="I410" i="9"/>
  <c r="I474" i="9"/>
  <c r="I538" i="9"/>
  <c r="I601" i="9"/>
  <c r="I643" i="9"/>
  <c r="I687" i="9"/>
  <c r="I729" i="9"/>
  <c r="I771" i="9"/>
  <c r="I811" i="9"/>
  <c r="I843" i="9"/>
  <c r="I875" i="9"/>
  <c r="I907" i="9"/>
  <c r="I939" i="9"/>
  <c r="I971" i="9"/>
  <c r="I1003" i="9"/>
  <c r="I1035" i="9"/>
  <c r="I1067" i="9"/>
  <c r="I1099" i="9"/>
  <c r="I1131" i="9"/>
  <c r="I1163" i="9"/>
  <c r="I1195" i="9"/>
  <c r="I1227" i="9"/>
  <c r="I1259" i="9"/>
  <c r="I1291" i="9"/>
  <c r="I1323" i="9"/>
  <c r="I1355" i="9"/>
  <c r="I1387" i="9"/>
  <c r="I1419" i="9"/>
  <c r="I1451" i="9"/>
  <c r="I1483" i="9"/>
  <c r="I1515" i="9"/>
  <c r="I1547" i="9"/>
  <c r="I1579" i="9"/>
  <c r="I1611" i="9"/>
  <c r="I1643" i="9"/>
  <c r="I1675" i="9"/>
  <c r="I1707" i="9"/>
  <c r="I1739" i="9"/>
  <c r="I1771" i="9"/>
  <c r="I1803" i="9"/>
  <c r="I1835" i="9"/>
  <c r="I1867" i="9"/>
  <c r="I1899" i="9"/>
  <c r="I1931" i="9"/>
  <c r="I1963" i="9"/>
  <c r="I1995" i="9"/>
  <c r="I2027" i="9"/>
  <c r="I2056" i="9"/>
  <c r="I2077" i="9"/>
  <c r="I2099" i="9"/>
  <c r="I2120" i="9"/>
  <c r="I2138" i="9"/>
  <c r="I2156" i="9"/>
  <c r="I2175" i="9"/>
  <c r="I2193" i="9"/>
  <c r="I2211" i="9"/>
  <c r="I2229" i="9"/>
  <c r="I2248" i="9"/>
  <c r="I2266" i="9"/>
  <c r="I2284" i="9"/>
  <c r="I2301" i="9"/>
  <c r="I2317" i="9"/>
  <c r="I2333" i="9"/>
  <c r="H14" i="9"/>
  <c r="H30" i="9"/>
  <c r="H46" i="9"/>
  <c r="H62" i="9"/>
  <c r="H78" i="9"/>
  <c r="H94" i="9"/>
  <c r="H110" i="9"/>
  <c r="H126" i="9"/>
  <c r="H142" i="9"/>
  <c r="H158" i="9"/>
  <c r="H174" i="9"/>
  <c r="H190" i="9"/>
  <c r="H206" i="9"/>
  <c r="H222" i="9"/>
  <c r="H238" i="9"/>
  <c r="H254" i="9"/>
  <c r="H270" i="9"/>
  <c r="H286" i="9"/>
  <c r="H302" i="9"/>
  <c r="H318" i="9"/>
  <c r="H334" i="9"/>
  <c r="H350" i="9"/>
  <c r="H366" i="9"/>
  <c r="H382" i="9"/>
  <c r="H398" i="9"/>
  <c r="H414" i="9"/>
  <c r="H430" i="9"/>
  <c r="H446" i="9"/>
  <c r="H462" i="9"/>
  <c r="H478" i="9"/>
  <c r="H494" i="9"/>
  <c r="H510" i="9"/>
  <c r="H526" i="9"/>
  <c r="H542" i="9"/>
  <c r="H558" i="9"/>
  <c r="H574" i="9"/>
  <c r="H590" i="9"/>
  <c r="H606" i="9"/>
  <c r="H622" i="9"/>
  <c r="H638" i="9"/>
  <c r="H654" i="9"/>
  <c r="H670" i="9"/>
  <c r="H686" i="9"/>
  <c r="H702" i="9"/>
  <c r="H718" i="9"/>
  <c r="H734" i="9"/>
  <c r="H750" i="9"/>
  <c r="H766" i="9"/>
  <c r="H782" i="9"/>
  <c r="H798" i="9"/>
  <c r="H814" i="9"/>
  <c r="H830" i="9"/>
  <c r="H846" i="9"/>
  <c r="H862" i="9"/>
  <c r="H878" i="9"/>
  <c r="H894" i="9"/>
  <c r="H910" i="9"/>
  <c r="H926" i="9"/>
  <c r="H942" i="9"/>
  <c r="H958" i="9"/>
  <c r="H974" i="9"/>
  <c r="H989" i="9"/>
  <c r="H1000" i="9"/>
  <c r="H1014" i="9"/>
  <c r="H1026" i="9"/>
  <c r="H1037" i="9"/>
  <c r="H1047" i="9"/>
  <c r="H1058" i="9"/>
  <c r="H1069" i="9"/>
  <c r="H1079" i="9"/>
  <c r="H1090" i="9"/>
  <c r="H1101" i="9"/>
  <c r="H1111" i="9"/>
  <c r="H1122" i="9"/>
  <c r="H1133" i="9"/>
  <c r="H1143" i="9"/>
  <c r="H1154" i="9"/>
  <c r="H1163" i="9"/>
  <c r="H1171" i="9"/>
  <c r="H1179" i="9"/>
  <c r="H1187" i="9"/>
  <c r="H1195" i="9"/>
  <c r="H1203" i="9"/>
  <c r="H1211" i="9"/>
  <c r="H1219" i="9"/>
  <c r="H1227" i="9"/>
  <c r="H1235" i="9"/>
  <c r="H1243" i="9"/>
  <c r="H1251" i="9"/>
  <c r="H1259" i="9"/>
  <c r="H1267" i="9"/>
  <c r="H1275" i="9"/>
  <c r="H1283" i="9"/>
  <c r="H1291" i="9"/>
  <c r="H1299" i="9"/>
  <c r="H1307" i="9"/>
  <c r="H1315" i="9"/>
  <c r="H1323" i="9"/>
  <c r="H1331" i="9"/>
  <c r="H1339" i="9"/>
  <c r="H1347" i="9"/>
  <c r="H1355" i="9"/>
  <c r="H1363" i="9"/>
  <c r="H1371" i="9"/>
  <c r="H1379" i="9"/>
  <c r="H1387" i="9"/>
  <c r="H1395" i="9"/>
  <c r="H1403" i="9"/>
  <c r="H1411" i="9"/>
  <c r="H1419" i="9"/>
  <c r="H1427" i="9"/>
  <c r="H1435" i="9"/>
  <c r="H1443" i="9"/>
  <c r="H1451" i="9"/>
  <c r="H1459" i="9"/>
  <c r="H1467" i="9"/>
  <c r="H1475" i="9"/>
  <c r="H1483" i="9"/>
  <c r="H1491" i="9"/>
  <c r="H1499" i="9"/>
  <c r="H1507" i="9"/>
  <c r="H1515" i="9"/>
  <c r="H1523" i="9"/>
  <c r="H1531" i="9"/>
  <c r="H1539" i="9"/>
  <c r="H1547" i="9"/>
  <c r="H1555" i="9"/>
  <c r="H1563" i="9"/>
  <c r="H1571" i="9"/>
  <c r="H1579" i="9"/>
  <c r="H1587" i="9"/>
  <c r="H1595" i="9"/>
  <c r="H1603" i="9"/>
  <c r="H1611" i="9"/>
  <c r="H1619" i="9"/>
  <c r="H1627" i="9"/>
  <c r="H1635" i="9"/>
  <c r="H1643" i="9"/>
  <c r="H1651" i="9"/>
  <c r="H1659" i="9"/>
  <c r="H1667" i="9"/>
  <c r="H1675" i="9"/>
  <c r="H1683" i="9"/>
  <c r="H1691" i="9"/>
  <c r="H1699" i="9"/>
  <c r="H1707" i="9"/>
  <c r="H1715" i="9"/>
  <c r="H1723" i="9"/>
  <c r="H1731" i="9"/>
  <c r="H1739" i="9"/>
  <c r="H1747" i="9"/>
  <c r="H1755" i="9"/>
  <c r="H1763" i="9"/>
  <c r="H1771" i="9"/>
  <c r="H1779" i="9"/>
  <c r="H1787" i="9"/>
  <c r="H1795" i="9"/>
  <c r="H1803" i="9"/>
  <c r="H1811" i="9"/>
  <c r="H1819" i="9"/>
  <c r="H1827" i="9"/>
  <c r="H1835" i="9"/>
  <c r="H1843" i="9"/>
  <c r="H1851" i="9"/>
  <c r="H1859" i="9"/>
  <c r="H1867" i="9"/>
  <c r="H1875" i="9"/>
  <c r="H1883" i="9"/>
  <c r="H1891" i="9"/>
  <c r="H1899" i="9"/>
  <c r="H1907" i="9"/>
  <c r="H1915" i="9"/>
  <c r="H1923" i="9"/>
  <c r="H1931" i="9"/>
  <c r="H1939" i="9"/>
  <c r="H1947" i="9"/>
  <c r="H1955" i="9"/>
  <c r="H1963" i="9"/>
  <c r="H1971" i="9"/>
  <c r="H1979" i="9"/>
  <c r="H1987" i="9"/>
  <c r="H1995" i="9"/>
  <c r="H2003" i="9"/>
  <c r="H2011" i="9"/>
  <c r="H2019" i="9"/>
  <c r="H2027" i="9"/>
  <c r="H2035" i="9"/>
  <c r="H2043" i="9"/>
  <c r="H2051" i="9"/>
  <c r="H2059" i="9"/>
  <c r="H2067" i="9"/>
  <c r="H2075" i="9"/>
  <c r="H2083" i="9"/>
  <c r="H2091" i="9"/>
  <c r="H2099" i="9"/>
  <c r="H2107" i="9"/>
  <c r="H2115" i="9"/>
  <c r="H2123" i="9"/>
  <c r="H2131" i="9"/>
  <c r="H2139" i="9"/>
  <c r="H2147" i="9"/>
  <c r="H2155" i="9"/>
  <c r="H2163" i="9"/>
  <c r="H2171" i="9"/>
  <c r="H2179" i="9"/>
  <c r="H2187" i="9"/>
  <c r="H2195" i="9"/>
  <c r="H2203" i="9"/>
  <c r="H2211" i="9"/>
  <c r="H2219" i="9"/>
  <c r="H2227" i="9"/>
  <c r="H2235" i="9"/>
  <c r="H2243" i="9"/>
  <c r="H2251" i="9"/>
  <c r="H2259" i="9"/>
  <c r="H2267" i="9"/>
  <c r="H2275" i="9"/>
  <c r="H2283" i="9"/>
  <c r="H2291" i="9"/>
  <c r="H2299" i="9"/>
  <c r="H2307" i="9"/>
  <c r="H2315" i="9"/>
  <c r="H2323" i="9"/>
  <c r="H2331" i="9"/>
  <c r="G4" i="9"/>
  <c r="G12" i="9"/>
  <c r="G20" i="9"/>
  <c r="G28" i="9"/>
  <c r="G36" i="9"/>
  <c r="G44" i="9"/>
  <c r="G52" i="9"/>
  <c r="G60" i="9"/>
  <c r="G68" i="9"/>
  <c r="G76" i="9"/>
  <c r="G84" i="9"/>
  <c r="G92" i="9"/>
  <c r="G100" i="9"/>
  <c r="G108" i="9"/>
  <c r="G116" i="9"/>
  <c r="G124" i="9"/>
  <c r="G132" i="9"/>
  <c r="G140" i="9"/>
  <c r="G148" i="9"/>
  <c r="G156" i="9"/>
  <c r="G164" i="9"/>
  <c r="G172" i="9"/>
  <c r="G180" i="9"/>
  <c r="G188" i="9"/>
  <c r="G196" i="9"/>
  <c r="G204" i="9"/>
  <c r="G212" i="9"/>
  <c r="G220" i="9"/>
  <c r="G228" i="9"/>
  <c r="G236" i="9"/>
  <c r="G244" i="9"/>
  <c r="G252" i="9"/>
  <c r="K853" i="9"/>
  <c r="K1442" i="9"/>
  <c r="K1954" i="9"/>
  <c r="K2250" i="9"/>
  <c r="J171" i="9"/>
  <c r="J397" i="9"/>
  <c r="J525" i="9"/>
  <c r="J653" i="9"/>
  <c r="J781" i="9"/>
  <c r="J909" i="9"/>
  <c r="J1037" i="9"/>
  <c r="J1129" i="9"/>
  <c r="J1210" i="9"/>
  <c r="J1274" i="9"/>
  <c r="J1338" i="9"/>
  <c r="J1402" i="9"/>
  <c r="J1466" i="9"/>
  <c r="J1530" i="9"/>
  <c r="J1594" i="9"/>
  <c r="J1658" i="9"/>
  <c r="J1722" i="9"/>
  <c r="J1786" i="9"/>
  <c r="J1850" i="9"/>
  <c r="J1914" i="9"/>
  <c r="J1978" i="9"/>
  <c r="J2042" i="9"/>
  <c r="J2106" i="9"/>
  <c r="J2170" i="9"/>
  <c r="J2234" i="9"/>
  <c r="J2298" i="9"/>
  <c r="I27" i="9"/>
  <c r="I91" i="9"/>
  <c r="I155" i="9"/>
  <c r="I219" i="9"/>
  <c r="I283" i="9"/>
  <c r="I347" i="9"/>
  <c r="I411" i="9"/>
  <c r="I475" i="9"/>
  <c r="I539" i="9"/>
  <c r="I602" i="9"/>
  <c r="I644" i="9"/>
  <c r="I688" i="9"/>
  <c r="I730" i="9"/>
  <c r="I772" i="9"/>
  <c r="I812" i="9"/>
  <c r="I844" i="9"/>
  <c r="I876" i="9"/>
  <c r="I908" i="9"/>
  <c r="I940" i="9"/>
  <c r="I972" i="9"/>
  <c r="I1004" i="9"/>
  <c r="I1036" i="9"/>
  <c r="I1068" i="9"/>
  <c r="I1100" i="9"/>
  <c r="I1132" i="9"/>
  <c r="I1164" i="9"/>
  <c r="I1196" i="9"/>
  <c r="I1228" i="9"/>
  <c r="I1260" i="9"/>
  <c r="I1292" i="9"/>
  <c r="I1324" i="9"/>
  <c r="I1356" i="9"/>
  <c r="I1388" i="9"/>
  <c r="I1420" i="9"/>
  <c r="I1452" i="9"/>
  <c r="I1484" i="9"/>
  <c r="I1516" i="9"/>
  <c r="I1548" i="9"/>
  <c r="I1580" i="9"/>
  <c r="I1612" i="9"/>
  <c r="I1644" i="9"/>
  <c r="I1676" i="9"/>
  <c r="I1708" i="9"/>
  <c r="I1740" i="9"/>
  <c r="I1772" i="9"/>
  <c r="I1804" i="9"/>
  <c r="I1836" i="9"/>
  <c r="I1868" i="9"/>
  <c r="I1900" i="9"/>
  <c r="I1932" i="9"/>
  <c r="I1964" i="9"/>
  <c r="I1996" i="9"/>
  <c r="I2028" i="9"/>
  <c r="I2058" i="9"/>
  <c r="I2080" i="9"/>
  <c r="I2100" i="9"/>
  <c r="I2121" i="9"/>
  <c r="I2139" i="9"/>
  <c r="I2157" i="9"/>
  <c r="I2176" i="9"/>
  <c r="I2194" i="9"/>
  <c r="I2212" i="9"/>
  <c r="I2231" i="9"/>
  <c r="I2249" i="9"/>
  <c r="I2267" i="9"/>
  <c r="I2285" i="9"/>
  <c r="I2302" i="9"/>
  <c r="I2318" i="9"/>
  <c r="I2334" i="9"/>
  <c r="H15" i="9"/>
  <c r="H31" i="9"/>
  <c r="H47" i="9"/>
  <c r="H63" i="9"/>
  <c r="H79" i="9"/>
  <c r="H95" i="9"/>
  <c r="H111" i="9"/>
  <c r="H127" i="9"/>
  <c r="H143" i="9"/>
  <c r="H159" i="9"/>
  <c r="H175" i="9"/>
  <c r="H191" i="9"/>
  <c r="H207" i="9"/>
  <c r="H223" i="9"/>
  <c r="H239" i="9"/>
  <c r="H255" i="9"/>
  <c r="H271" i="9"/>
  <c r="H287" i="9"/>
  <c r="H303" i="9"/>
  <c r="H319" i="9"/>
  <c r="H335" i="9"/>
  <c r="H351" i="9"/>
  <c r="H367" i="9"/>
  <c r="H383" i="9"/>
  <c r="H399" i="9"/>
  <c r="H415" i="9"/>
  <c r="H431" i="9"/>
  <c r="H447" i="9"/>
  <c r="H463" i="9"/>
  <c r="H479" i="9"/>
  <c r="H495" i="9"/>
  <c r="H511" i="9"/>
  <c r="H527" i="9"/>
  <c r="H543" i="9"/>
  <c r="H559" i="9"/>
  <c r="H575" i="9"/>
  <c r="H591" i="9"/>
  <c r="H607" i="9"/>
  <c r="H623" i="9"/>
  <c r="H639" i="9"/>
  <c r="H655" i="9"/>
  <c r="H671" i="9"/>
  <c r="H687" i="9"/>
  <c r="H703" i="9"/>
  <c r="H719" i="9"/>
  <c r="H735" i="9"/>
  <c r="H751" i="9"/>
  <c r="H767" i="9"/>
  <c r="H783" i="9"/>
  <c r="H799" i="9"/>
  <c r="H815" i="9"/>
  <c r="H831" i="9"/>
  <c r="H847" i="9"/>
  <c r="H863" i="9"/>
  <c r="H879" i="9"/>
  <c r="H895" i="9"/>
  <c r="H911" i="9"/>
  <c r="H927" i="9"/>
  <c r="H943" i="9"/>
  <c r="H959" i="9"/>
  <c r="H975" i="9"/>
  <c r="H990" i="9"/>
  <c r="H1002" i="9"/>
  <c r="H1015" i="9"/>
  <c r="H1028" i="9"/>
  <c r="H1038" i="9"/>
  <c r="H1048" i="9"/>
  <c r="H1060" i="9"/>
  <c r="H1070" i="9"/>
  <c r="H1080" i="9"/>
  <c r="H1092" i="9"/>
  <c r="H1102" i="9"/>
  <c r="H1112" i="9"/>
  <c r="H1124" i="9"/>
  <c r="H1134" i="9"/>
  <c r="H1144" i="9"/>
  <c r="H1155" i="9"/>
  <c r="H1164" i="9"/>
  <c r="H1172" i="9"/>
  <c r="H1180" i="9"/>
  <c r="H1188" i="9"/>
  <c r="H1196" i="9"/>
  <c r="H1204" i="9"/>
  <c r="H1212" i="9"/>
  <c r="H1220" i="9"/>
  <c r="H1228" i="9"/>
  <c r="H1236" i="9"/>
  <c r="H1244" i="9"/>
  <c r="H1252" i="9"/>
  <c r="H1260" i="9"/>
  <c r="H1268" i="9"/>
  <c r="H1276" i="9"/>
  <c r="H1284" i="9"/>
  <c r="H1292" i="9"/>
  <c r="H1300" i="9"/>
  <c r="H1308" i="9"/>
  <c r="H1316" i="9"/>
  <c r="H1324" i="9"/>
  <c r="H1332" i="9"/>
  <c r="H1340" i="9"/>
  <c r="H1348" i="9"/>
  <c r="H1356" i="9"/>
  <c r="H1364" i="9"/>
  <c r="H1372" i="9"/>
  <c r="H1380" i="9"/>
  <c r="H1388" i="9"/>
  <c r="H1396" i="9"/>
  <c r="H1404" i="9"/>
  <c r="H1412" i="9"/>
  <c r="H1420" i="9"/>
  <c r="H1428" i="9"/>
  <c r="H1436" i="9"/>
  <c r="H1444" i="9"/>
  <c r="H1452" i="9"/>
  <c r="H1460" i="9"/>
  <c r="H1468" i="9"/>
  <c r="H1476" i="9"/>
  <c r="H1484" i="9"/>
  <c r="H1492" i="9"/>
  <c r="H1500" i="9"/>
  <c r="H1508" i="9"/>
  <c r="H1516" i="9"/>
  <c r="H1524" i="9"/>
  <c r="H1532" i="9"/>
  <c r="H1540" i="9"/>
  <c r="H1548" i="9"/>
  <c r="H1556" i="9"/>
  <c r="H1564" i="9"/>
  <c r="H1572" i="9"/>
  <c r="H1580" i="9"/>
  <c r="H1588" i="9"/>
  <c r="H1596" i="9"/>
  <c r="H1604" i="9"/>
  <c r="H1612" i="9"/>
  <c r="H1620" i="9"/>
  <c r="H1628" i="9"/>
  <c r="H1636" i="9"/>
  <c r="H1644" i="9"/>
  <c r="H1652" i="9"/>
  <c r="H1660" i="9"/>
  <c r="H1668" i="9"/>
  <c r="H1676" i="9"/>
  <c r="H1684" i="9"/>
  <c r="H1692" i="9"/>
  <c r="H1700" i="9"/>
  <c r="H1708" i="9"/>
  <c r="H1716" i="9"/>
  <c r="H1724" i="9"/>
  <c r="H1732" i="9"/>
  <c r="H1740" i="9"/>
  <c r="H1748" i="9"/>
  <c r="H1756" i="9"/>
  <c r="H1764" i="9"/>
  <c r="H1772" i="9"/>
  <c r="H1780" i="9"/>
  <c r="H1788" i="9"/>
  <c r="H1796" i="9"/>
  <c r="H1804" i="9"/>
  <c r="H1812" i="9"/>
  <c r="H1820" i="9"/>
  <c r="H1828" i="9"/>
  <c r="H1836" i="9"/>
  <c r="H1844" i="9"/>
  <c r="H1852" i="9"/>
  <c r="H1860" i="9"/>
  <c r="H1868" i="9"/>
  <c r="H1876" i="9"/>
  <c r="H1884" i="9"/>
  <c r="H1892" i="9"/>
  <c r="H1900" i="9"/>
  <c r="H1908" i="9"/>
  <c r="H1916" i="9"/>
  <c r="H1924" i="9"/>
  <c r="H1932" i="9"/>
  <c r="H1940" i="9"/>
  <c r="H1948" i="9"/>
  <c r="H1956" i="9"/>
  <c r="H1964" i="9"/>
  <c r="H1972" i="9"/>
  <c r="H1980" i="9"/>
  <c r="H1988" i="9"/>
  <c r="H1996" i="9"/>
  <c r="H2004" i="9"/>
  <c r="H2012" i="9"/>
  <c r="H2020" i="9"/>
  <c r="H2028" i="9"/>
  <c r="H2036" i="9"/>
  <c r="H2044" i="9"/>
  <c r="H2052" i="9"/>
  <c r="H2060" i="9"/>
  <c r="H2068" i="9"/>
  <c r="H2076" i="9"/>
  <c r="H2084" i="9"/>
  <c r="H2092" i="9"/>
  <c r="H2100" i="9"/>
  <c r="H2108" i="9"/>
  <c r="H2116" i="9"/>
  <c r="H2124" i="9"/>
  <c r="H2132" i="9"/>
  <c r="H2140" i="9"/>
  <c r="H2148" i="9"/>
  <c r="H2156" i="9"/>
  <c r="H2164" i="9"/>
  <c r="H2172" i="9"/>
  <c r="H2180" i="9"/>
  <c r="H2188" i="9"/>
  <c r="H2196" i="9"/>
  <c r="H2204" i="9"/>
  <c r="H2212" i="9"/>
  <c r="H2220" i="9"/>
  <c r="H2228" i="9"/>
  <c r="H2236" i="9"/>
  <c r="H2244" i="9"/>
  <c r="H2252" i="9"/>
  <c r="H2260" i="9"/>
  <c r="H2268" i="9"/>
  <c r="H2276" i="9"/>
  <c r="H2284" i="9"/>
  <c r="H2292" i="9"/>
  <c r="H2300" i="9"/>
  <c r="H2308" i="9"/>
  <c r="H2316" i="9"/>
  <c r="H2324" i="9"/>
  <c r="H2332" i="9"/>
  <c r="G5" i="9"/>
  <c r="G13" i="9"/>
  <c r="G21" i="9"/>
  <c r="G29" i="9"/>
  <c r="G37" i="9"/>
  <c r="K854" i="9"/>
  <c r="K1443" i="9"/>
  <c r="K1955" i="9"/>
  <c r="K2251" i="9"/>
  <c r="J172" i="9"/>
  <c r="J398" i="9"/>
  <c r="J526" i="9"/>
  <c r="J654" i="9"/>
  <c r="J782" i="9"/>
  <c r="J910" i="9"/>
  <c r="J1038" i="9"/>
  <c r="J1130" i="9"/>
  <c r="J1211" i="9"/>
  <c r="J1275" i="9"/>
  <c r="J1339" i="9"/>
  <c r="J1403" i="9"/>
  <c r="J1467" i="9"/>
  <c r="J1531" i="9"/>
  <c r="J1595" i="9"/>
  <c r="J1659" i="9"/>
  <c r="J1723" i="9"/>
  <c r="J1787" i="9"/>
  <c r="J1851" i="9"/>
  <c r="J1915" i="9"/>
  <c r="J1979" i="9"/>
  <c r="J2043" i="9"/>
  <c r="J2107" i="9"/>
  <c r="J2171" i="9"/>
  <c r="J2235" i="9"/>
  <c r="J2299" i="9"/>
  <c r="I28" i="9"/>
  <c r="I92" i="9"/>
  <c r="I156" i="9"/>
  <c r="I220" i="9"/>
  <c r="I284" i="9"/>
  <c r="I348" i="9"/>
  <c r="I412" i="9"/>
  <c r="I476" i="9"/>
  <c r="I540" i="9"/>
  <c r="I603" i="9"/>
  <c r="I647" i="9"/>
  <c r="I689" i="9"/>
  <c r="I731" i="9"/>
  <c r="I775" i="9"/>
  <c r="I813" i="9"/>
  <c r="I845" i="9"/>
  <c r="I877" i="9"/>
  <c r="I909" i="9"/>
  <c r="I941" i="9"/>
  <c r="I973" i="9"/>
  <c r="I1005" i="9"/>
  <c r="I1037" i="9"/>
  <c r="I1069" i="9"/>
  <c r="I1101" i="9"/>
  <c r="I1133" i="9"/>
  <c r="I1165" i="9"/>
  <c r="I1197" i="9"/>
  <c r="I1229" i="9"/>
  <c r="I1261" i="9"/>
  <c r="I1293" i="9"/>
  <c r="I1325" i="9"/>
  <c r="I1357" i="9"/>
  <c r="I1389" i="9"/>
  <c r="I1421" i="9"/>
  <c r="I1453" i="9"/>
  <c r="I1485" i="9"/>
  <c r="I1517" i="9"/>
  <c r="I1549" i="9"/>
  <c r="I1581" i="9"/>
  <c r="I1613" i="9"/>
  <c r="I1645" i="9"/>
  <c r="I1677" i="9"/>
  <c r="I1709" i="9"/>
  <c r="I1741" i="9"/>
  <c r="I1773" i="9"/>
  <c r="I1805" i="9"/>
  <c r="I1837" i="9"/>
  <c r="I1869" i="9"/>
  <c r="I1901" i="9"/>
  <c r="I1933" i="9"/>
  <c r="I1965" i="9"/>
  <c r="I1997" i="9"/>
  <c r="I2029" i="9"/>
  <c r="I2059" i="9"/>
  <c r="I2081" i="9"/>
  <c r="I2101" i="9"/>
  <c r="I2122" i="9"/>
  <c r="I2140" i="9"/>
  <c r="I2159" i="9"/>
  <c r="I2177" i="9"/>
  <c r="I2195" i="9"/>
  <c r="I2213" i="9"/>
  <c r="I2232" i="9"/>
  <c r="I2250" i="9"/>
  <c r="I2268" i="9"/>
  <c r="I2287" i="9"/>
  <c r="I2303" i="9"/>
  <c r="I2319" i="9"/>
  <c r="I2335" i="9"/>
  <c r="H16" i="9"/>
  <c r="H32" i="9"/>
  <c r="H48" i="9"/>
  <c r="H64" i="9"/>
  <c r="H80" i="9"/>
  <c r="H96" i="9"/>
  <c r="H112" i="9"/>
  <c r="H128" i="9"/>
  <c r="H144" i="9"/>
  <c r="H160" i="9"/>
  <c r="H176" i="9"/>
  <c r="H192" i="9"/>
  <c r="H208" i="9"/>
  <c r="H224" i="9"/>
  <c r="H240" i="9"/>
  <c r="H256" i="9"/>
  <c r="H272" i="9"/>
  <c r="H288" i="9"/>
  <c r="H304" i="9"/>
  <c r="H320" i="9"/>
  <c r="H336" i="9"/>
  <c r="H352" i="9"/>
  <c r="H368" i="9"/>
  <c r="H384" i="9"/>
  <c r="H400" i="9"/>
  <c r="H416" i="9"/>
  <c r="H432" i="9"/>
  <c r="H448" i="9"/>
  <c r="H464" i="9"/>
  <c r="H480" i="9"/>
  <c r="H496" i="9"/>
  <c r="H512" i="9"/>
  <c r="H528" i="9"/>
  <c r="H544" i="9"/>
  <c r="H560" i="9"/>
  <c r="H576" i="9"/>
  <c r="H592" i="9"/>
  <c r="H608" i="9"/>
  <c r="H624" i="9"/>
  <c r="H640" i="9"/>
  <c r="H656" i="9"/>
  <c r="H672" i="9"/>
  <c r="H688" i="9"/>
  <c r="H704" i="9"/>
  <c r="H720" i="9"/>
  <c r="H736" i="9"/>
  <c r="H752" i="9"/>
  <c r="H768" i="9"/>
  <c r="H784" i="9"/>
  <c r="H800" i="9"/>
  <c r="H816" i="9"/>
  <c r="H832" i="9"/>
  <c r="H848" i="9"/>
  <c r="H864" i="9"/>
  <c r="H880" i="9"/>
  <c r="H896" i="9"/>
  <c r="H912" i="9"/>
  <c r="H928" i="9"/>
  <c r="H944" i="9"/>
  <c r="H960" i="9"/>
  <c r="H976" i="9"/>
  <c r="H991" i="9"/>
  <c r="H1005" i="9"/>
  <c r="H1016" i="9"/>
  <c r="H1029" i="9"/>
  <c r="H1039" i="9"/>
  <c r="H1050" i="9"/>
  <c r="H1061" i="9"/>
  <c r="H1071" i="9"/>
  <c r="H1082" i="9"/>
  <c r="H1093" i="9"/>
  <c r="H1103" i="9"/>
  <c r="H1114" i="9"/>
  <c r="H1125" i="9"/>
  <c r="H1135" i="9"/>
  <c r="H1146" i="9"/>
  <c r="H1156" i="9"/>
  <c r="H1165" i="9"/>
  <c r="H1173" i="9"/>
  <c r="H1181" i="9"/>
  <c r="H1189" i="9"/>
  <c r="H1197" i="9"/>
  <c r="H1205" i="9"/>
  <c r="H1213" i="9"/>
  <c r="H1221" i="9"/>
  <c r="H1229" i="9"/>
  <c r="H1237" i="9"/>
  <c r="H1245" i="9"/>
  <c r="H1253" i="9"/>
  <c r="H1261" i="9"/>
  <c r="H1269" i="9"/>
  <c r="H1277" i="9"/>
  <c r="H1285" i="9"/>
  <c r="H1293" i="9"/>
  <c r="H1301" i="9"/>
  <c r="H1309" i="9"/>
  <c r="H1317" i="9"/>
  <c r="H1325" i="9"/>
  <c r="H1333" i="9"/>
  <c r="H1341" i="9"/>
  <c r="H1349" i="9"/>
  <c r="H1357" i="9"/>
  <c r="H1365" i="9"/>
  <c r="H1373" i="9"/>
  <c r="H1381" i="9"/>
  <c r="H1389" i="9"/>
  <c r="H1397" i="9"/>
  <c r="H1405" i="9"/>
  <c r="H1413" i="9"/>
  <c r="H1421" i="9"/>
  <c r="H1429" i="9"/>
  <c r="H1437" i="9"/>
  <c r="H1445" i="9"/>
  <c r="H1453" i="9"/>
  <c r="H1461" i="9"/>
  <c r="H1469" i="9"/>
  <c r="H1477" i="9"/>
  <c r="H1485" i="9"/>
  <c r="H1493" i="9"/>
  <c r="H1501" i="9"/>
  <c r="H1509" i="9"/>
  <c r="H1517" i="9"/>
  <c r="H1525" i="9"/>
  <c r="H1533" i="9"/>
  <c r="H1541" i="9"/>
  <c r="H1549" i="9"/>
  <c r="H1557" i="9"/>
  <c r="H1565" i="9"/>
  <c r="H1573" i="9"/>
  <c r="H1581" i="9"/>
  <c r="H1589" i="9"/>
  <c r="H1597" i="9"/>
  <c r="H1605" i="9"/>
  <c r="H1613" i="9"/>
  <c r="H1621" i="9"/>
  <c r="H1629" i="9"/>
  <c r="H1637" i="9"/>
  <c r="H1645" i="9"/>
  <c r="H1653" i="9"/>
  <c r="H1661" i="9"/>
  <c r="H1669" i="9"/>
  <c r="H1677" i="9"/>
  <c r="H1685" i="9"/>
  <c r="H1693" i="9"/>
  <c r="H1701" i="9"/>
  <c r="H1709" i="9"/>
  <c r="H1717" i="9"/>
  <c r="H1725" i="9"/>
  <c r="H1733" i="9"/>
  <c r="H1741" i="9"/>
  <c r="H1749" i="9"/>
  <c r="H1757" i="9"/>
  <c r="H1765" i="9"/>
  <c r="H1773" i="9"/>
  <c r="H1781" i="9"/>
  <c r="H1789" i="9"/>
  <c r="H1797" i="9"/>
  <c r="H1805" i="9"/>
  <c r="H1813" i="9"/>
  <c r="H1821" i="9"/>
  <c r="H1829" i="9"/>
  <c r="H1837" i="9"/>
  <c r="H1845" i="9"/>
  <c r="H1853" i="9"/>
  <c r="H1861" i="9"/>
  <c r="H1869" i="9"/>
  <c r="H1877" i="9"/>
  <c r="H1885" i="9"/>
  <c r="H1893" i="9"/>
  <c r="H1901" i="9"/>
  <c r="H1909" i="9"/>
  <c r="H1917" i="9"/>
  <c r="H1925" i="9"/>
  <c r="H1933" i="9"/>
  <c r="H1941" i="9"/>
  <c r="H1949" i="9"/>
  <c r="H1957" i="9"/>
  <c r="H1965" i="9"/>
  <c r="H1973" i="9"/>
  <c r="H1981" i="9"/>
  <c r="H1989" i="9"/>
  <c r="H1997" i="9"/>
  <c r="H2005" i="9"/>
  <c r="H2013" i="9"/>
  <c r="H2021" i="9"/>
  <c r="H2029" i="9"/>
  <c r="H2037" i="9"/>
  <c r="H2045" i="9"/>
  <c r="H2053" i="9"/>
  <c r="H2061" i="9"/>
  <c r="H2069" i="9"/>
  <c r="H2077" i="9"/>
  <c r="H2085" i="9"/>
  <c r="H2093" i="9"/>
  <c r="H2101" i="9"/>
  <c r="H2109" i="9"/>
  <c r="H2117" i="9"/>
  <c r="H2125" i="9"/>
  <c r="H2133" i="9"/>
  <c r="H2141" i="9"/>
  <c r="H2149" i="9"/>
  <c r="H2157" i="9"/>
  <c r="H2165" i="9"/>
  <c r="H2173" i="9"/>
  <c r="H2181" i="9"/>
  <c r="H2189" i="9"/>
  <c r="H2197" i="9"/>
  <c r="H2205" i="9"/>
  <c r="H2213" i="9"/>
  <c r="H2221" i="9"/>
  <c r="H2229" i="9"/>
  <c r="H2237" i="9"/>
  <c r="H2245" i="9"/>
  <c r="H2253" i="9"/>
  <c r="H2261" i="9"/>
  <c r="H2269" i="9"/>
  <c r="H2277" i="9"/>
  <c r="H2285" i="9"/>
  <c r="H2293" i="9"/>
  <c r="H2301" i="9"/>
  <c r="H2309" i="9"/>
  <c r="H2317" i="9"/>
  <c r="H2325" i="9"/>
  <c r="H2333" i="9"/>
  <c r="G6" i="9"/>
  <c r="G14" i="9"/>
  <c r="G22" i="9"/>
  <c r="G30" i="9"/>
  <c r="G38" i="9"/>
  <c r="G46" i="9"/>
  <c r="G54" i="9"/>
  <c r="G62" i="9"/>
  <c r="G70" i="9"/>
  <c r="G78" i="9"/>
  <c r="G86" i="9"/>
  <c r="G94" i="9"/>
  <c r="G102" i="9"/>
  <c r="G110" i="9"/>
  <c r="G118" i="9"/>
  <c r="G126" i="9"/>
  <c r="G134" i="9"/>
  <c r="G142" i="9"/>
  <c r="K1184" i="9"/>
  <c r="K2120" i="9"/>
  <c r="J297" i="9"/>
  <c r="J587" i="9"/>
  <c r="J843" i="9"/>
  <c r="J1083" i="9"/>
  <c r="J1240" i="9"/>
  <c r="J1368" i="9"/>
  <c r="J1496" i="9"/>
  <c r="J1624" i="9"/>
  <c r="J1752" i="9"/>
  <c r="J1880" i="9"/>
  <c r="J2008" i="9"/>
  <c r="J2136" i="9"/>
  <c r="J2264" i="9"/>
  <c r="I57" i="9"/>
  <c r="I185" i="9"/>
  <c r="I313" i="9"/>
  <c r="I441" i="9"/>
  <c r="I569" i="9"/>
  <c r="I664" i="9"/>
  <c r="I748" i="9"/>
  <c r="I826" i="9"/>
  <c r="I890" i="9"/>
  <c r="I954" i="9"/>
  <c r="I1018" i="9"/>
  <c r="I1082" i="9"/>
  <c r="I1146" i="9"/>
  <c r="I1210" i="9"/>
  <c r="I1274" i="9"/>
  <c r="I1338" i="9"/>
  <c r="I1402" i="9"/>
  <c r="I1466" i="9"/>
  <c r="I1530" i="9"/>
  <c r="I1594" i="9"/>
  <c r="I1658" i="9"/>
  <c r="I1722" i="9"/>
  <c r="I1786" i="9"/>
  <c r="I1850" i="9"/>
  <c r="I1914" i="9"/>
  <c r="I1978" i="9"/>
  <c r="I2042" i="9"/>
  <c r="I2088" i="9"/>
  <c r="I2128" i="9"/>
  <c r="I2164" i="9"/>
  <c r="I2201" i="9"/>
  <c r="I2237" i="9"/>
  <c r="I2274" i="9"/>
  <c r="I2308" i="9"/>
  <c r="H5" i="9"/>
  <c r="H37" i="9"/>
  <c r="H69" i="9"/>
  <c r="H101" i="9"/>
  <c r="H133" i="9"/>
  <c r="H165" i="9"/>
  <c r="H197" i="9"/>
  <c r="H229" i="9"/>
  <c r="H261" i="9"/>
  <c r="H293" i="9"/>
  <c r="H325" i="9"/>
  <c r="H357" i="9"/>
  <c r="H389" i="9"/>
  <c r="H421" i="9"/>
  <c r="H453" i="9"/>
  <c r="H485" i="9"/>
  <c r="H517" i="9"/>
  <c r="H549" i="9"/>
  <c r="H581" i="9"/>
  <c r="H613" i="9"/>
  <c r="H645" i="9"/>
  <c r="H677" i="9"/>
  <c r="H709" i="9"/>
  <c r="H741" i="9"/>
  <c r="H773" i="9"/>
  <c r="H805" i="9"/>
  <c r="H837" i="9"/>
  <c r="H869" i="9"/>
  <c r="H901" i="9"/>
  <c r="H933" i="9"/>
  <c r="H965" i="9"/>
  <c r="H992" i="9"/>
  <c r="H1018" i="9"/>
  <c r="H1040" i="9"/>
  <c r="H1062" i="9"/>
  <c r="H1084" i="9"/>
  <c r="H1104" i="9"/>
  <c r="H1126" i="9"/>
  <c r="H1148" i="9"/>
  <c r="H1166" i="9"/>
  <c r="H1182" i="9"/>
  <c r="H1198" i="9"/>
  <c r="H1214" i="9"/>
  <c r="H1230" i="9"/>
  <c r="H1246" i="9"/>
  <c r="H1262" i="9"/>
  <c r="H1278" i="9"/>
  <c r="H1294" i="9"/>
  <c r="H1310" i="9"/>
  <c r="H1326" i="9"/>
  <c r="H1342" i="9"/>
  <c r="H1358" i="9"/>
  <c r="H1374" i="9"/>
  <c r="H1390" i="9"/>
  <c r="H1406" i="9"/>
  <c r="H1422" i="9"/>
  <c r="H1438" i="9"/>
  <c r="H1454" i="9"/>
  <c r="H1470" i="9"/>
  <c r="H1486" i="9"/>
  <c r="H1502" i="9"/>
  <c r="H1518" i="9"/>
  <c r="H1534" i="9"/>
  <c r="H1550" i="9"/>
  <c r="H1566" i="9"/>
  <c r="H1582" i="9"/>
  <c r="H1598" i="9"/>
  <c r="H1614" i="9"/>
  <c r="H1630" i="9"/>
  <c r="H1646" i="9"/>
  <c r="H1662" i="9"/>
  <c r="H1678" i="9"/>
  <c r="H1694" i="9"/>
  <c r="H1710" i="9"/>
  <c r="H1726" i="9"/>
  <c r="H1742" i="9"/>
  <c r="H1758" i="9"/>
  <c r="H1774" i="9"/>
  <c r="H1790" i="9"/>
  <c r="H1806" i="9"/>
  <c r="H1822" i="9"/>
  <c r="H1838" i="9"/>
  <c r="H1854" i="9"/>
  <c r="H1870" i="9"/>
  <c r="H1886" i="9"/>
  <c r="H1902" i="9"/>
  <c r="H1918" i="9"/>
  <c r="H1934" i="9"/>
  <c r="H1950" i="9"/>
  <c r="H1966" i="9"/>
  <c r="H1982" i="9"/>
  <c r="H1998" i="9"/>
  <c r="H2014" i="9"/>
  <c r="H2030" i="9"/>
  <c r="H2046" i="9"/>
  <c r="H2062" i="9"/>
  <c r="H2078" i="9"/>
  <c r="H2094" i="9"/>
  <c r="H2110" i="9"/>
  <c r="H2126" i="9"/>
  <c r="H2142" i="9"/>
  <c r="H2158" i="9"/>
  <c r="H2174" i="9"/>
  <c r="H2190" i="9"/>
  <c r="H2206" i="9"/>
  <c r="H2222" i="9"/>
  <c r="H2238" i="9"/>
  <c r="H2254" i="9"/>
  <c r="H2270" i="9"/>
  <c r="H2286" i="9"/>
  <c r="H2302" i="9"/>
  <c r="H2318" i="9"/>
  <c r="H2334" i="9"/>
  <c r="G15" i="9"/>
  <c r="G31" i="9"/>
  <c r="G45" i="9"/>
  <c r="G57" i="9"/>
  <c r="G71" i="9"/>
  <c r="G82" i="9"/>
  <c r="G96" i="9"/>
  <c r="G109" i="9"/>
  <c r="G121" i="9"/>
  <c r="G135" i="9"/>
  <c r="G146" i="9"/>
  <c r="G158" i="9"/>
  <c r="G168" i="9"/>
  <c r="G178" i="9"/>
  <c r="G190" i="9"/>
  <c r="G200" i="9"/>
  <c r="G210" i="9"/>
  <c r="G222" i="9"/>
  <c r="G232" i="9"/>
  <c r="G242" i="9"/>
  <c r="G254" i="9"/>
  <c r="G263" i="9"/>
  <c r="G272" i="9"/>
  <c r="G281" i="9"/>
  <c r="G290" i="9"/>
  <c r="G300" i="9"/>
  <c r="G309" i="9"/>
  <c r="G318" i="9"/>
  <c r="G327" i="9"/>
  <c r="G336" i="9"/>
  <c r="G345" i="9"/>
  <c r="G354" i="9"/>
  <c r="G364" i="9"/>
  <c r="G373" i="9"/>
  <c r="G382" i="9"/>
  <c r="G391" i="9"/>
  <c r="G400" i="9"/>
  <c r="G409" i="9"/>
  <c r="G417" i="9"/>
  <c r="G425" i="9"/>
  <c r="G433" i="9"/>
  <c r="G441" i="9"/>
  <c r="G449" i="9"/>
  <c r="G457" i="9"/>
  <c r="G465" i="9"/>
  <c r="G473" i="9"/>
  <c r="G481" i="9"/>
  <c r="G489" i="9"/>
  <c r="G497" i="9"/>
  <c r="G505" i="9"/>
  <c r="G513" i="9"/>
  <c r="G521" i="9"/>
  <c r="G529" i="9"/>
  <c r="G537" i="9"/>
  <c r="G545" i="9"/>
  <c r="G553" i="9"/>
  <c r="G561" i="9"/>
  <c r="G569" i="9"/>
  <c r="G577" i="9"/>
  <c r="G585" i="9"/>
  <c r="G593" i="9"/>
  <c r="G601" i="9"/>
  <c r="G609" i="9"/>
  <c r="G617" i="9"/>
  <c r="G625" i="9"/>
  <c r="G633" i="9"/>
  <c r="G641" i="9"/>
  <c r="G649" i="9"/>
  <c r="G657" i="9"/>
  <c r="G665" i="9"/>
  <c r="G673" i="9"/>
  <c r="G681" i="9"/>
  <c r="G689" i="9"/>
  <c r="G697" i="9"/>
  <c r="G705" i="9"/>
  <c r="G713" i="9"/>
  <c r="G721" i="9"/>
  <c r="G729" i="9"/>
  <c r="G737" i="9"/>
  <c r="G745" i="9"/>
  <c r="G753" i="9"/>
  <c r="G761" i="9"/>
  <c r="G769" i="9"/>
  <c r="G777" i="9"/>
  <c r="G785" i="9"/>
  <c r="G793" i="9"/>
  <c r="G801" i="9"/>
  <c r="G809" i="9"/>
  <c r="G817" i="9"/>
  <c r="G825" i="9"/>
  <c r="G833" i="9"/>
  <c r="G841" i="9"/>
  <c r="G849" i="9"/>
  <c r="G857" i="9"/>
  <c r="G865" i="9"/>
  <c r="G873" i="9"/>
  <c r="G881" i="9"/>
  <c r="G889" i="9"/>
  <c r="G897" i="9"/>
  <c r="G905" i="9"/>
  <c r="G913" i="9"/>
  <c r="G921" i="9"/>
  <c r="G929" i="9"/>
  <c r="G937" i="9"/>
  <c r="G945" i="9"/>
  <c r="G953" i="9"/>
  <c r="G961" i="9"/>
  <c r="G969" i="9"/>
  <c r="G977" i="9"/>
  <c r="G985" i="9"/>
  <c r="G993" i="9"/>
  <c r="G1001" i="9"/>
  <c r="G1009" i="9"/>
  <c r="G1017" i="9"/>
  <c r="G1025" i="9"/>
  <c r="G1033" i="9"/>
  <c r="G1041" i="9"/>
  <c r="G1049" i="9"/>
  <c r="G1057" i="9"/>
  <c r="G1065" i="9"/>
  <c r="G1073" i="9"/>
  <c r="G1081" i="9"/>
  <c r="G1089" i="9"/>
  <c r="G1097" i="9"/>
  <c r="G1105" i="9"/>
  <c r="G1113" i="9"/>
  <c r="G1121" i="9"/>
  <c r="G1129" i="9"/>
  <c r="G1137" i="9"/>
  <c r="G1145" i="9"/>
  <c r="G1153" i="9"/>
  <c r="G1161" i="9"/>
  <c r="G1169" i="9"/>
  <c r="G1177" i="9"/>
  <c r="G1185" i="9"/>
  <c r="G1193" i="9"/>
  <c r="G1201" i="9"/>
  <c r="G1209" i="9"/>
  <c r="G1217" i="9"/>
  <c r="G1225" i="9"/>
  <c r="G1233" i="9"/>
  <c r="G1241" i="9"/>
  <c r="G1249" i="9"/>
  <c r="G1257" i="9"/>
  <c r="G1265" i="9"/>
  <c r="G1273" i="9"/>
  <c r="G1281" i="9"/>
  <c r="G1289" i="9"/>
  <c r="G1297" i="9"/>
  <c r="G1305" i="9"/>
  <c r="G1313" i="9"/>
  <c r="G1321" i="9"/>
  <c r="G1329" i="9"/>
  <c r="G1337" i="9"/>
  <c r="G1345" i="9"/>
  <c r="G1353" i="9"/>
  <c r="G1361" i="9"/>
  <c r="G1369" i="9"/>
  <c r="G1377" i="9"/>
  <c r="G1385" i="9"/>
  <c r="G1393" i="9"/>
  <c r="G1401" i="9"/>
  <c r="G1409" i="9"/>
  <c r="G1417" i="9"/>
  <c r="G1425" i="9"/>
  <c r="G1433" i="9"/>
  <c r="G1441" i="9"/>
  <c r="G1449" i="9"/>
  <c r="G1457" i="9"/>
  <c r="G1465" i="9"/>
  <c r="G1473" i="9"/>
  <c r="G1481" i="9"/>
  <c r="G1489" i="9"/>
  <c r="G1497" i="9"/>
  <c r="G1505" i="9"/>
  <c r="G1513" i="9"/>
  <c r="G1521" i="9"/>
  <c r="G1529" i="9"/>
  <c r="G1537" i="9"/>
  <c r="G1545" i="9"/>
  <c r="G1553" i="9"/>
  <c r="G1561" i="9"/>
  <c r="G1569" i="9"/>
  <c r="G1577" i="9"/>
  <c r="G1585" i="9"/>
  <c r="G1593" i="9"/>
  <c r="G1601" i="9"/>
  <c r="G1609" i="9"/>
  <c r="G1617" i="9"/>
  <c r="G1625" i="9"/>
  <c r="G1633" i="9"/>
  <c r="G1641" i="9"/>
  <c r="G1649" i="9"/>
  <c r="G1657" i="9"/>
  <c r="G1665" i="9"/>
  <c r="G1673" i="9"/>
  <c r="G1681" i="9"/>
  <c r="G1689" i="9"/>
  <c r="G1697" i="9"/>
  <c r="G1705" i="9"/>
  <c r="G1713" i="9"/>
  <c r="G1721" i="9"/>
  <c r="G1729" i="9"/>
  <c r="G1737" i="9"/>
  <c r="G1745" i="9"/>
  <c r="G1753" i="9"/>
  <c r="G1761" i="9"/>
  <c r="G1769" i="9"/>
  <c r="G1777" i="9"/>
  <c r="G1785" i="9"/>
  <c r="G1793" i="9"/>
  <c r="G1801" i="9"/>
  <c r="G1809" i="9"/>
  <c r="G1817" i="9"/>
  <c r="G1825" i="9"/>
  <c r="G1833" i="9"/>
  <c r="G1841" i="9"/>
  <c r="G1849" i="9"/>
  <c r="G1857" i="9"/>
  <c r="G1865" i="9"/>
  <c r="G1873" i="9"/>
  <c r="G1881" i="9"/>
  <c r="G1889" i="9"/>
  <c r="G1897" i="9"/>
  <c r="G1905" i="9"/>
  <c r="G1913" i="9"/>
  <c r="G1921" i="9"/>
  <c r="G1929" i="9"/>
  <c r="G1937" i="9"/>
  <c r="G1945" i="9"/>
  <c r="G1953" i="9"/>
  <c r="G1961" i="9"/>
  <c r="G1969" i="9"/>
  <c r="G1977" i="9"/>
  <c r="G1985" i="9"/>
  <c r="G1993" i="9"/>
  <c r="G2001" i="9"/>
  <c r="G2009" i="9"/>
  <c r="G2017" i="9"/>
  <c r="G2025" i="9"/>
  <c r="G2033" i="9"/>
  <c r="G2041" i="9"/>
  <c r="G2049" i="9"/>
  <c r="G2057" i="9"/>
  <c r="G2065" i="9"/>
  <c r="G2073" i="9"/>
  <c r="G2081" i="9"/>
  <c r="G2089" i="9"/>
  <c r="G2097" i="9"/>
  <c r="G2105" i="9"/>
  <c r="G2113" i="9"/>
  <c r="G2121" i="9"/>
  <c r="G2129" i="9"/>
  <c r="G2137" i="9"/>
  <c r="G2145" i="9"/>
  <c r="G2153" i="9"/>
  <c r="G2161" i="9"/>
  <c r="G2169" i="9"/>
  <c r="G2177" i="9"/>
  <c r="G2185" i="9"/>
  <c r="G2193" i="9"/>
  <c r="G2201" i="9"/>
  <c r="G2209" i="9"/>
  <c r="G2217" i="9"/>
  <c r="G2225" i="9"/>
  <c r="G2233" i="9"/>
  <c r="G2241" i="9"/>
  <c r="G2249" i="9"/>
  <c r="G2257" i="9"/>
  <c r="G2265" i="9"/>
  <c r="G2273" i="9"/>
  <c r="G2281" i="9"/>
  <c r="G2289" i="9"/>
  <c r="G2297" i="9"/>
  <c r="G2305" i="9"/>
  <c r="G2313" i="9"/>
  <c r="G2321" i="9"/>
  <c r="G2329" i="9"/>
  <c r="F10" i="9"/>
  <c r="F18" i="9"/>
  <c r="F26" i="9"/>
  <c r="F34" i="9"/>
  <c r="F42" i="9"/>
  <c r="F50" i="9"/>
  <c r="F58" i="9"/>
  <c r="F66" i="9"/>
  <c r="F74" i="9"/>
  <c r="F82" i="9"/>
  <c r="F90" i="9"/>
  <c r="F98" i="9"/>
  <c r="F106" i="9"/>
  <c r="F114" i="9"/>
  <c r="F122" i="9"/>
  <c r="F130" i="9"/>
  <c r="F138" i="9"/>
  <c r="F146" i="9"/>
  <c r="F154" i="9"/>
  <c r="F162" i="9"/>
  <c r="F170" i="9"/>
  <c r="F178" i="9"/>
  <c r="F186" i="9"/>
  <c r="F194" i="9"/>
  <c r="F202" i="9"/>
  <c r="F210" i="9"/>
  <c r="F218" i="9"/>
  <c r="F226" i="9"/>
  <c r="F234" i="9"/>
  <c r="F242" i="9"/>
  <c r="F250" i="9"/>
  <c r="F258" i="9"/>
  <c r="F266" i="9"/>
  <c r="F274" i="9"/>
  <c r="F282" i="9"/>
  <c r="F290" i="9"/>
  <c r="F298" i="9"/>
  <c r="F306" i="9"/>
  <c r="F314" i="9"/>
  <c r="F322" i="9"/>
  <c r="F330" i="9"/>
  <c r="F338" i="9"/>
  <c r="F346" i="9"/>
  <c r="F354" i="9"/>
  <c r="F362" i="9"/>
  <c r="F370" i="9"/>
  <c r="F378" i="9"/>
  <c r="F386" i="9"/>
  <c r="F394" i="9"/>
  <c r="F402" i="9"/>
  <c r="F410" i="9"/>
  <c r="F418" i="9"/>
  <c r="F426" i="9"/>
  <c r="F434" i="9"/>
  <c r="F442" i="9"/>
  <c r="F450" i="9"/>
  <c r="F458" i="9"/>
  <c r="F466" i="9"/>
  <c r="F474" i="9"/>
  <c r="F482" i="9"/>
  <c r="F490" i="9"/>
  <c r="F498" i="9"/>
  <c r="F506" i="9"/>
  <c r="F514" i="9"/>
  <c r="F522" i="9"/>
  <c r="F530" i="9"/>
  <c r="F538" i="9"/>
  <c r="F546" i="9"/>
  <c r="F554" i="9"/>
  <c r="F562" i="9"/>
  <c r="F570" i="9"/>
  <c r="F578" i="9"/>
  <c r="F586" i="9"/>
  <c r="F594" i="9"/>
  <c r="F602" i="9"/>
  <c r="F610" i="9"/>
  <c r="F618" i="9"/>
  <c r="F626" i="9"/>
  <c r="F634" i="9"/>
  <c r="F642" i="9"/>
  <c r="F650" i="9"/>
  <c r="F658" i="9"/>
  <c r="F666" i="9"/>
  <c r="F674" i="9"/>
  <c r="F682" i="9"/>
  <c r="F690" i="9"/>
  <c r="F698" i="9"/>
  <c r="F706" i="9"/>
  <c r="F714" i="9"/>
  <c r="F722" i="9"/>
  <c r="F730" i="9"/>
  <c r="F738" i="9"/>
  <c r="F746" i="9"/>
  <c r="F754" i="9"/>
  <c r="F762" i="9"/>
  <c r="F770" i="9"/>
  <c r="F778" i="9"/>
  <c r="F786" i="9"/>
  <c r="F794" i="9"/>
  <c r="F802" i="9"/>
  <c r="F810" i="9"/>
  <c r="F818" i="9"/>
  <c r="F826" i="9"/>
  <c r="F834" i="9"/>
  <c r="F842" i="9"/>
  <c r="F850" i="9"/>
  <c r="F858" i="9"/>
  <c r="F866" i="9"/>
  <c r="F874" i="9"/>
  <c r="F882" i="9"/>
  <c r="F890" i="9"/>
  <c r="F898" i="9"/>
  <c r="F906" i="9"/>
  <c r="F914" i="9"/>
  <c r="F922" i="9"/>
  <c r="F930" i="9"/>
  <c r="F938" i="9"/>
  <c r="F946" i="9"/>
  <c r="F954" i="9"/>
  <c r="F962" i="9"/>
  <c r="F970" i="9"/>
  <c r="F978" i="9"/>
  <c r="F986" i="9"/>
  <c r="F994" i="9"/>
  <c r="F1002" i="9"/>
  <c r="F1010" i="9"/>
  <c r="F1018" i="9"/>
  <c r="F1026" i="9"/>
  <c r="F1034" i="9"/>
  <c r="F1042" i="9"/>
  <c r="F1050" i="9"/>
  <c r="F1058" i="9"/>
  <c r="F1066" i="9"/>
  <c r="F1074" i="9"/>
  <c r="F1082" i="9"/>
  <c r="F1090" i="9"/>
  <c r="F1098" i="9"/>
  <c r="F1106" i="9"/>
  <c r="F1114" i="9"/>
  <c r="F1122" i="9"/>
  <c r="F1130" i="9"/>
  <c r="F1138" i="9"/>
  <c r="F1146" i="9"/>
  <c r="F1154" i="9"/>
  <c r="F1162" i="9"/>
  <c r="F1170" i="9"/>
  <c r="F1178" i="9"/>
  <c r="F1186" i="9"/>
  <c r="F1194" i="9"/>
  <c r="F1202" i="9"/>
  <c r="F1210" i="9"/>
  <c r="F1218" i="9"/>
  <c r="F1226" i="9"/>
  <c r="F1234" i="9"/>
  <c r="F1242" i="9"/>
  <c r="F1250" i="9"/>
  <c r="F1258" i="9"/>
  <c r="F1266" i="9"/>
  <c r="F1274" i="9"/>
  <c r="F1282" i="9"/>
  <c r="F1290" i="9"/>
  <c r="F1298" i="9"/>
  <c r="F1306" i="9"/>
  <c r="F1314" i="9"/>
  <c r="F1322" i="9"/>
  <c r="F1330" i="9"/>
  <c r="F1338" i="9"/>
  <c r="F1346" i="9"/>
  <c r="F1354" i="9"/>
  <c r="F1362" i="9"/>
  <c r="F1370" i="9"/>
  <c r="F1378" i="9"/>
  <c r="F1386" i="9"/>
  <c r="F1394" i="9"/>
  <c r="F1402" i="9"/>
  <c r="F1410" i="9"/>
  <c r="F1418" i="9"/>
  <c r="F1426" i="9"/>
  <c r="F1434" i="9"/>
  <c r="F1442" i="9"/>
  <c r="F1450" i="9"/>
  <c r="F1458" i="9"/>
  <c r="F1466" i="9"/>
  <c r="F1474" i="9"/>
  <c r="F1482" i="9"/>
  <c r="F1490" i="9"/>
  <c r="F1498" i="9"/>
  <c r="F1506" i="9"/>
  <c r="F1514" i="9"/>
  <c r="F1522" i="9"/>
  <c r="F1530" i="9"/>
  <c r="F1538" i="9"/>
  <c r="F1546" i="9"/>
  <c r="F1554" i="9"/>
  <c r="F1562" i="9"/>
  <c r="F1570" i="9"/>
  <c r="F1578" i="9"/>
  <c r="F1586" i="9"/>
  <c r="F1594" i="9"/>
  <c r="F1602" i="9"/>
  <c r="F1610" i="9"/>
  <c r="F1618" i="9"/>
  <c r="F1626" i="9"/>
  <c r="F1634" i="9"/>
  <c r="F1642" i="9"/>
  <c r="F1650" i="9"/>
  <c r="F1658" i="9"/>
  <c r="F1666" i="9"/>
  <c r="F1674" i="9"/>
  <c r="F1682" i="9"/>
  <c r="F1690" i="9"/>
  <c r="F1698" i="9"/>
  <c r="F1706" i="9"/>
  <c r="F1714" i="9"/>
  <c r="F1722" i="9"/>
  <c r="F1730" i="9"/>
  <c r="F1738" i="9"/>
  <c r="F1746" i="9"/>
  <c r="F1754" i="9"/>
  <c r="F1762" i="9"/>
  <c r="F1770" i="9"/>
  <c r="F1778" i="9"/>
  <c r="F1786" i="9"/>
  <c r="F1794" i="9"/>
  <c r="F1802" i="9"/>
  <c r="F1810" i="9"/>
  <c r="F1818" i="9"/>
  <c r="F1826" i="9"/>
  <c r="F1834" i="9"/>
  <c r="F1842" i="9"/>
  <c r="F1850" i="9"/>
  <c r="F1858" i="9"/>
  <c r="F1866" i="9"/>
  <c r="F1874" i="9"/>
  <c r="F1882" i="9"/>
  <c r="F1890" i="9"/>
  <c r="F1898" i="9"/>
  <c r="F1906" i="9"/>
  <c r="F1914" i="9"/>
  <c r="F1922" i="9"/>
  <c r="F1930" i="9"/>
  <c r="K1185" i="9"/>
  <c r="K2121" i="9"/>
  <c r="J298" i="9"/>
  <c r="J588" i="9"/>
  <c r="J844" i="9"/>
  <c r="J1084" i="9"/>
  <c r="J1241" i="9"/>
  <c r="J1369" i="9"/>
  <c r="J1497" i="9"/>
  <c r="J1625" i="9"/>
  <c r="J1753" i="9"/>
  <c r="J1881" i="9"/>
  <c r="J2009" i="9"/>
  <c r="J2137" i="9"/>
  <c r="J2265" i="9"/>
  <c r="I58" i="9"/>
  <c r="I186" i="9"/>
  <c r="I314" i="9"/>
  <c r="I442" i="9"/>
  <c r="I570" i="9"/>
  <c r="I665" i="9"/>
  <c r="I751" i="9"/>
  <c r="I827" i="9"/>
  <c r="I891" i="9"/>
  <c r="I955" i="9"/>
  <c r="I1019" i="9"/>
  <c r="I1083" i="9"/>
  <c r="I1147" i="9"/>
  <c r="I1211" i="9"/>
  <c r="I1275" i="9"/>
  <c r="I1339" i="9"/>
  <c r="I1403" i="9"/>
  <c r="I1467" i="9"/>
  <c r="I1531" i="9"/>
  <c r="I1595" i="9"/>
  <c r="I1659" i="9"/>
  <c r="I1723" i="9"/>
  <c r="I1787" i="9"/>
  <c r="I1851" i="9"/>
  <c r="I1915" i="9"/>
  <c r="I1979" i="9"/>
  <c r="I2043" i="9"/>
  <c r="I2089" i="9"/>
  <c r="I2129" i="9"/>
  <c r="I2165" i="9"/>
  <c r="I2202" i="9"/>
  <c r="I2239" i="9"/>
  <c r="I2275" i="9"/>
  <c r="I2309" i="9"/>
  <c r="H6" i="9"/>
  <c r="H38" i="9"/>
  <c r="H70" i="9"/>
  <c r="H102" i="9"/>
  <c r="H134" i="9"/>
  <c r="H166" i="9"/>
  <c r="H198" i="9"/>
  <c r="H230" i="9"/>
  <c r="H262" i="9"/>
  <c r="H294" i="9"/>
  <c r="H326" i="9"/>
  <c r="H358" i="9"/>
  <c r="H390" i="9"/>
  <c r="H422" i="9"/>
  <c r="H454" i="9"/>
  <c r="H486" i="9"/>
  <c r="H518" i="9"/>
  <c r="H550" i="9"/>
  <c r="H582" i="9"/>
  <c r="H614" i="9"/>
  <c r="H646" i="9"/>
  <c r="H678" i="9"/>
  <c r="H710" i="9"/>
  <c r="H742" i="9"/>
  <c r="H774" i="9"/>
  <c r="H806" i="9"/>
  <c r="H838" i="9"/>
  <c r="H870" i="9"/>
  <c r="H902" i="9"/>
  <c r="H934" i="9"/>
  <c r="H966" i="9"/>
  <c r="H994" i="9"/>
  <c r="H1021" i="9"/>
  <c r="H1042" i="9"/>
  <c r="H1063" i="9"/>
  <c r="H1085" i="9"/>
  <c r="H1106" i="9"/>
  <c r="H1127" i="9"/>
  <c r="H1149" i="9"/>
  <c r="H1167" i="9"/>
  <c r="H1183" i="9"/>
  <c r="H1199" i="9"/>
  <c r="H1215" i="9"/>
  <c r="H1231" i="9"/>
  <c r="H1247" i="9"/>
  <c r="H1263" i="9"/>
  <c r="H1279" i="9"/>
  <c r="H1295" i="9"/>
  <c r="H1311" i="9"/>
  <c r="H1327" i="9"/>
  <c r="H1343" i="9"/>
  <c r="H1359" i="9"/>
  <c r="H1375" i="9"/>
  <c r="H1391" i="9"/>
  <c r="H1407" i="9"/>
  <c r="H1423" i="9"/>
  <c r="H1439" i="9"/>
  <c r="H1455" i="9"/>
  <c r="H1471" i="9"/>
  <c r="H1487" i="9"/>
  <c r="H1503" i="9"/>
  <c r="H1519" i="9"/>
  <c r="H1535" i="9"/>
  <c r="H1551" i="9"/>
  <c r="H1567" i="9"/>
  <c r="H1583" i="9"/>
  <c r="H1599" i="9"/>
  <c r="H1615" i="9"/>
  <c r="H1631" i="9"/>
  <c r="H1647" i="9"/>
  <c r="H1663" i="9"/>
  <c r="H1679" i="9"/>
  <c r="H1695" i="9"/>
  <c r="H1711" i="9"/>
  <c r="H1727" i="9"/>
  <c r="H1743" i="9"/>
  <c r="H1759" i="9"/>
  <c r="H1775" i="9"/>
  <c r="H1791" i="9"/>
  <c r="H1807" i="9"/>
  <c r="H1823" i="9"/>
  <c r="H1839" i="9"/>
  <c r="H1855" i="9"/>
  <c r="H1871" i="9"/>
  <c r="H1887" i="9"/>
  <c r="H1903" i="9"/>
  <c r="H1919" i="9"/>
  <c r="H1935" i="9"/>
  <c r="H1951" i="9"/>
  <c r="H1967" i="9"/>
  <c r="H1983" i="9"/>
  <c r="H1999" i="9"/>
  <c r="H2015" i="9"/>
  <c r="H2031" i="9"/>
  <c r="H2047" i="9"/>
  <c r="H2063" i="9"/>
  <c r="H2079" i="9"/>
  <c r="H2095" i="9"/>
  <c r="H2111" i="9"/>
  <c r="H2127" i="9"/>
  <c r="H2143" i="9"/>
  <c r="H2159" i="9"/>
  <c r="H2175" i="9"/>
  <c r="H2191" i="9"/>
  <c r="H2207" i="9"/>
  <c r="H2223" i="9"/>
  <c r="H2239" i="9"/>
  <c r="H2255" i="9"/>
  <c r="H2271" i="9"/>
  <c r="H2287" i="9"/>
  <c r="H2303" i="9"/>
  <c r="H2319" i="9"/>
  <c r="H2335" i="9"/>
  <c r="G16" i="9"/>
  <c r="G32" i="9"/>
  <c r="G47" i="9"/>
  <c r="G58" i="9"/>
  <c r="G72" i="9"/>
  <c r="G85" i="9"/>
  <c r="G97" i="9"/>
  <c r="G111" i="9"/>
  <c r="G122" i="9"/>
  <c r="G136" i="9"/>
  <c r="G149" i="9"/>
  <c r="G159" i="9"/>
  <c r="G169" i="9"/>
  <c r="G181" i="9"/>
  <c r="G191" i="9"/>
  <c r="G201" i="9"/>
  <c r="G213" i="9"/>
  <c r="G223" i="9"/>
  <c r="G233" i="9"/>
  <c r="G245" i="9"/>
  <c r="G255" i="9"/>
  <c r="G264" i="9"/>
  <c r="G273" i="9"/>
  <c r="G282" i="9"/>
  <c r="G292" i="9"/>
  <c r="G301" i="9"/>
  <c r="G310" i="9"/>
  <c r="G319" i="9"/>
  <c r="G328" i="9"/>
  <c r="G337" i="9"/>
  <c r="G346" i="9"/>
  <c r="G356" i="9"/>
  <c r="G365" i="9"/>
  <c r="G374" i="9"/>
  <c r="G383" i="9"/>
  <c r="G392" i="9"/>
  <c r="G401" i="9"/>
  <c r="G410" i="9"/>
  <c r="G418" i="9"/>
  <c r="G426" i="9"/>
  <c r="G434" i="9"/>
  <c r="G442" i="9"/>
  <c r="G450" i="9"/>
  <c r="G458" i="9"/>
  <c r="G466" i="9"/>
  <c r="G474" i="9"/>
  <c r="G482" i="9"/>
  <c r="G490" i="9"/>
  <c r="G498" i="9"/>
  <c r="G506" i="9"/>
  <c r="G514" i="9"/>
  <c r="G522" i="9"/>
  <c r="G530" i="9"/>
  <c r="G538" i="9"/>
  <c r="G546" i="9"/>
  <c r="G554" i="9"/>
  <c r="G562" i="9"/>
  <c r="G570" i="9"/>
  <c r="G578" i="9"/>
  <c r="G586" i="9"/>
  <c r="G594" i="9"/>
  <c r="G602" i="9"/>
  <c r="G610" i="9"/>
  <c r="G618" i="9"/>
  <c r="G626" i="9"/>
  <c r="G634" i="9"/>
  <c r="G642" i="9"/>
  <c r="G650" i="9"/>
  <c r="G658" i="9"/>
  <c r="G666" i="9"/>
  <c r="G674" i="9"/>
  <c r="G682" i="9"/>
  <c r="G690" i="9"/>
  <c r="G698" i="9"/>
  <c r="G706" i="9"/>
  <c r="G714" i="9"/>
  <c r="G722" i="9"/>
  <c r="G730" i="9"/>
  <c r="G738" i="9"/>
  <c r="G746" i="9"/>
  <c r="G754" i="9"/>
  <c r="G762" i="9"/>
  <c r="G770" i="9"/>
  <c r="G778" i="9"/>
  <c r="G786" i="9"/>
  <c r="G794" i="9"/>
  <c r="G802" i="9"/>
  <c r="G810" i="9"/>
  <c r="G818" i="9"/>
  <c r="G826" i="9"/>
  <c r="G834" i="9"/>
  <c r="G842" i="9"/>
  <c r="G850" i="9"/>
  <c r="G858" i="9"/>
  <c r="G866" i="9"/>
  <c r="G874" i="9"/>
  <c r="G882" i="9"/>
  <c r="G890" i="9"/>
  <c r="G898" i="9"/>
  <c r="G906" i="9"/>
  <c r="G914" i="9"/>
  <c r="G922" i="9"/>
  <c r="G930" i="9"/>
  <c r="G938" i="9"/>
  <c r="G946" i="9"/>
  <c r="G954" i="9"/>
  <c r="G962" i="9"/>
  <c r="G970" i="9"/>
  <c r="G978" i="9"/>
  <c r="G986" i="9"/>
  <c r="G994" i="9"/>
  <c r="G1002" i="9"/>
  <c r="G1010" i="9"/>
  <c r="G1018" i="9"/>
  <c r="G1026" i="9"/>
  <c r="G1034" i="9"/>
  <c r="G1042" i="9"/>
  <c r="G1050" i="9"/>
  <c r="G1058" i="9"/>
  <c r="G1066" i="9"/>
  <c r="G1074" i="9"/>
  <c r="G1082" i="9"/>
  <c r="G1090" i="9"/>
  <c r="G1098" i="9"/>
  <c r="G1106" i="9"/>
  <c r="G1114" i="9"/>
  <c r="G1122" i="9"/>
  <c r="G1130" i="9"/>
  <c r="G1138" i="9"/>
  <c r="G1146" i="9"/>
  <c r="G1154" i="9"/>
  <c r="G1162" i="9"/>
  <c r="G1170" i="9"/>
  <c r="G1178" i="9"/>
  <c r="G1186" i="9"/>
  <c r="G1194" i="9"/>
  <c r="G1202" i="9"/>
  <c r="G1210" i="9"/>
  <c r="G1218" i="9"/>
  <c r="G1226" i="9"/>
  <c r="G1234" i="9"/>
  <c r="G1242" i="9"/>
  <c r="G1250" i="9"/>
  <c r="G1258" i="9"/>
  <c r="G1266" i="9"/>
  <c r="G1274" i="9"/>
  <c r="G1282" i="9"/>
  <c r="G1290" i="9"/>
  <c r="G1298" i="9"/>
  <c r="G1306" i="9"/>
  <c r="G1314" i="9"/>
  <c r="G1322" i="9"/>
  <c r="G1330" i="9"/>
  <c r="G1338" i="9"/>
  <c r="G1346" i="9"/>
  <c r="G1354" i="9"/>
  <c r="G1362" i="9"/>
  <c r="G1370" i="9"/>
  <c r="G1378" i="9"/>
  <c r="G1386" i="9"/>
  <c r="G1394" i="9"/>
  <c r="G1402" i="9"/>
  <c r="G1410" i="9"/>
  <c r="G1418" i="9"/>
  <c r="G1426" i="9"/>
  <c r="G1434" i="9"/>
  <c r="G1442" i="9"/>
  <c r="G1450" i="9"/>
  <c r="G1458" i="9"/>
  <c r="G1466" i="9"/>
  <c r="G1474" i="9"/>
  <c r="G1482" i="9"/>
  <c r="G1490" i="9"/>
  <c r="G1498" i="9"/>
  <c r="G1506" i="9"/>
  <c r="G1514" i="9"/>
  <c r="G1522" i="9"/>
  <c r="G1530" i="9"/>
  <c r="G1538" i="9"/>
  <c r="G1546" i="9"/>
  <c r="G1554" i="9"/>
  <c r="G1562" i="9"/>
  <c r="G1570" i="9"/>
  <c r="G1578" i="9"/>
  <c r="G1586" i="9"/>
  <c r="G1594" i="9"/>
  <c r="G1602" i="9"/>
  <c r="G1610" i="9"/>
  <c r="G1618" i="9"/>
  <c r="G1626" i="9"/>
  <c r="G1634" i="9"/>
  <c r="G1642" i="9"/>
  <c r="G1650" i="9"/>
  <c r="G1658" i="9"/>
  <c r="G1666" i="9"/>
  <c r="G1674" i="9"/>
  <c r="G1682" i="9"/>
  <c r="G1690" i="9"/>
  <c r="G1698" i="9"/>
  <c r="G1706" i="9"/>
  <c r="G1714" i="9"/>
  <c r="G1722" i="9"/>
  <c r="G1730" i="9"/>
  <c r="G1738" i="9"/>
  <c r="G1746" i="9"/>
  <c r="G1754" i="9"/>
  <c r="G1762" i="9"/>
  <c r="G1770" i="9"/>
  <c r="G1778" i="9"/>
  <c r="G1786" i="9"/>
  <c r="G1794" i="9"/>
  <c r="G1802" i="9"/>
  <c r="G1810" i="9"/>
  <c r="G1818" i="9"/>
  <c r="G1826" i="9"/>
  <c r="G1834" i="9"/>
  <c r="G1842" i="9"/>
  <c r="G1850" i="9"/>
  <c r="G1858" i="9"/>
  <c r="G1866" i="9"/>
  <c r="G1874" i="9"/>
  <c r="G1882" i="9"/>
  <c r="G1890" i="9"/>
  <c r="G1898" i="9"/>
  <c r="G1906" i="9"/>
  <c r="G1914" i="9"/>
  <c r="G1922" i="9"/>
  <c r="G1930" i="9"/>
  <c r="G1938" i="9"/>
  <c r="G1946" i="9"/>
  <c r="G1954" i="9"/>
  <c r="G1962" i="9"/>
  <c r="G1970" i="9"/>
  <c r="G1978" i="9"/>
  <c r="G1986" i="9"/>
  <c r="G1994" i="9"/>
  <c r="G2002" i="9"/>
  <c r="G2010" i="9"/>
  <c r="G2018" i="9"/>
  <c r="G2026" i="9"/>
  <c r="G2034" i="9"/>
  <c r="G2042" i="9"/>
  <c r="G2050" i="9"/>
  <c r="G2058" i="9"/>
  <c r="G2066" i="9"/>
  <c r="G2074" i="9"/>
  <c r="G2082" i="9"/>
  <c r="G2090" i="9"/>
  <c r="G2098" i="9"/>
  <c r="G2106" i="9"/>
  <c r="G2114" i="9"/>
  <c r="G2122" i="9"/>
  <c r="G2130" i="9"/>
  <c r="G2138" i="9"/>
  <c r="G2146" i="9"/>
  <c r="G2154" i="9"/>
  <c r="G2162" i="9"/>
  <c r="G2170" i="9"/>
  <c r="G2178" i="9"/>
  <c r="G2186" i="9"/>
  <c r="G2194" i="9"/>
  <c r="G2202" i="9"/>
  <c r="G2210" i="9"/>
  <c r="G2218" i="9"/>
  <c r="G2226" i="9"/>
  <c r="G2234" i="9"/>
  <c r="G2242" i="9"/>
  <c r="G2250" i="9"/>
  <c r="G2258" i="9"/>
  <c r="G2266" i="9"/>
  <c r="G2274" i="9"/>
  <c r="G2282" i="9"/>
  <c r="G2290" i="9"/>
  <c r="G2298" i="9"/>
  <c r="G2306" i="9"/>
  <c r="G2314" i="9"/>
  <c r="G2322" i="9"/>
  <c r="G2330" i="9"/>
  <c r="F3" i="9"/>
  <c r="F11" i="9"/>
  <c r="F19" i="9"/>
  <c r="F27" i="9"/>
  <c r="F35" i="9"/>
  <c r="F43" i="9"/>
  <c r="F51" i="9"/>
  <c r="F59" i="9"/>
  <c r="F67" i="9"/>
  <c r="F75" i="9"/>
  <c r="F83" i="9"/>
  <c r="F91" i="9"/>
  <c r="F99" i="9"/>
  <c r="F107" i="9"/>
  <c r="F115" i="9"/>
  <c r="F123" i="9"/>
  <c r="F131" i="9"/>
  <c r="F139" i="9"/>
  <c r="F147" i="9"/>
  <c r="F155" i="9"/>
  <c r="F163" i="9"/>
  <c r="F171" i="9"/>
  <c r="F179" i="9"/>
  <c r="F187" i="9"/>
  <c r="F195" i="9"/>
  <c r="F203" i="9"/>
  <c r="F211" i="9"/>
  <c r="F219" i="9"/>
  <c r="F227" i="9"/>
  <c r="F235" i="9"/>
  <c r="F243" i="9"/>
  <c r="F251" i="9"/>
  <c r="F259" i="9"/>
  <c r="F267" i="9"/>
  <c r="F275" i="9"/>
  <c r="F283" i="9"/>
  <c r="F291" i="9"/>
  <c r="F299" i="9"/>
  <c r="F307" i="9"/>
  <c r="F315" i="9"/>
  <c r="F323" i="9"/>
  <c r="F331" i="9"/>
  <c r="F339" i="9"/>
  <c r="F347" i="9"/>
  <c r="F355" i="9"/>
  <c r="F363" i="9"/>
  <c r="F371" i="9"/>
  <c r="F379" i="9"/>
  <c r="F387" i="9"/>
  <c r="F395" i="9"/>
  <c r="F403" i="9"/>
  <c r="F411" i="9"/>
  <c r="F419" i="9"/>
  <c r="F427" i="9"/>
  <c r="F435" i="9"/>
  <c r="F443" i="9"/>
  <c r="F451" i="9"/>
  <c r="F459" i="9"/>
  <c r="F467" i="9"/>
  <c r="F475" i="9"/>
  <c r="F483" i="9"/>
  <c r="F491" i="9"/>
  <c r="F499" i="9"/>
  <c r="F507" i="9"/>
  <c r="F515" i="9"/>
  <c r="F523" i="9"/>
  <c r="F531" i="9"/>
  <c r="F539" i="9"/>
  <c r="F547" i="9"/>
  <c r="F555" i="9"/>
  <c r="F563" i="9"/>
  <c r="F571" i="9"/>
  <c r="F579" i="9"/>
  <c r="F587" i="9"/>
  <c r="F595" i="9"/>
  <c r="F603" i="9"/>
  <c r="F611" i="9"/>
  <c r="F619" i="9"/>
  <c r="F627" i="9"/>
  <c r="F635" i="9"/>
  <c r="F643" i="9"/>
  <c r="F651" i="9"/>
  <c r="F659" i="9"/>
  <c r="F667" i="9"/>
  <c r="F675" i="9"/>
  <c r="F683" i="9"/>
  <c r="F691" i="9"/>
  <c r="F699" i="9"/>
  <c r="F707" i="9"/>
  <c r="F715" i="9"/>
  <c r="F723" i="9"/>
  <c r="F731" i="9"/>
  <c r="F739" i="9"/>
  <c r="F747" i="9"/>
  <c r="F755" i="9"/>
  <c r="F763" i="9"/>
  <c r="F771" i="9"/>
  <c r="F779" i="9"/>
  <c r="F787" i="9"/>
  <c r="F795" i="9"/>
  <c r="F803" i="9"/>
  <c r="F811" i="9"/>
  <c r="F819" i="9"/>
  <c r="F827" i="9"/>
  <c r="F835" i="9"/>
  <c r="F843" i="9"/>
  <c r="F851" i="9"/>
  <c r="F859" i="9"/>
  <c r="F867" i="9"/>
  <c r="F875" i="9"/>
  <c r="F883" i="9"/>
  <c r="F891" i="9"/>
  <c r="F899" i="9"/>
  <c r="F907" i="9"/>
  <c r="F915" i="9"/>
  <c r="F923" i="9"/>
  <c r="F931" i="9"/>
  <c r="F939" i="9"/>
  <c r="F947" i="9"/>
  <c r="F955" i="9"/>
  <c r="F963" i="9"/>
  <c r="F971" i="9"/>
  <c r="F979" i="9"/>
  <c r="F987" i="9"/>
  <c r="F995" i="9"/>
  <c r="F1003" i="9"/>
  <c r="F1011" i="9"/>
  <c r="F1019" i="9"/>
  <c r="F1027" i="9"/>
  <c r="F1035" i="9"/>
  <c r="F1043" i="9"/>
  <c r="F1051" i="9"/>
  <c r="F1059" i="9"/>
  <c r="F1067" i="9"/>
  <c r="F1075" i="9"/>
  <c r="F1083" i="9"/>
  <c r="F1091" i="9"/>
  <c r="F1099" i="9"/>
  <c r="F1107" i="9"/>
  <c r="F1115" i="9"/>
  <c r="F1123" i="9"/>
  <c r="F1131" i="9"/>
  <c r="F1139" i="9"/>
  <c r="F1147" i="9"/>
  <c r="F1155" i="9"/>
  <c r="F1163" i="9"/>
  <c r="F1171" i="9"/>
  <c r="F1179" i="9"/>
  <c r="F1187" i="9"/>
  <c r="F1195" i="9"/>
  <c r="F1203" i="9"/>
  <c r="F1211" i="9"/>
  <c r="F1219" i="9"/>
  <c r="F1227" i="9"/>
  <c r="F1235" i="9"/>
  <c r="F1243" i="9"/>
  <c r="F1251" i="9"/>
  <c r="F1259" i="9"/>
  <c r="F1267" i="9"/>
  <c r="F1275" i="9"/>
  <c r="F1283" i="9"/>
  <c r="F1291" i="9"/>
  <c r="F1299" i="9"/>
  <c r="F1307" i="9"/>
  <c r="F1315" i="9"/>
  <c r="F1323" i="9"/>
  <c r="F1331" i="9"/>
  <c r="F1339" i="9"/>
  <c r="F1347" i="9"/>
  <c r="F1355" i="9"/>
  <c r="F1363" i="9"/>
  <c r="F1371" i="9"/>
  <c r="F1379" i="9"/>
  <c r="F1387" i="9"/>
  <c r="F1395" i="9"/>
  <c r="F1403" i="9"/>
  <c r="F1411" i="9"/>
  <c r="F1419" i="9"/>
  <c r="F1427" i="9"/>
  <c r="F1435" i="9"/>
  <c r="F1443" i="9"/>
  <c r="F1451" i="9"/>
  <c r="F1459" i="9"/>
  <c r="F1467" i="9"/>
  <c r="F1475" i="9"/>
  <c r="F1483" i="9"/>
  <c r="F1491" i="9"/>
  <c r="F1499" i="9"/>
  <c r="F1507" i="9"/>
  <c r="F1515" i="9"/>
  <c r="F1523" i="9"/>
  <c r="F1531" i="9"/>
  <c r="F1539" i="9"/>
  <c r="F1547" i="9"/>
  <c r="F1555" i="9"/>
  <c r="F1563" i="9"/>
  <c r="F1571" i="9"/>
  <c r="F1579" i="9"/>
  <c r="F1587" i="9"/>
  <c r="F1595" i="9"/>
  <c r="F1603" i="9"/>
  <c r="F1611" i="9"/>
  <c r="F1619" i="9"/>
  <c r="F1627" i="9"/>
  <c r="F1635" i="9"/>
  <c r="F1643" i="9"/>
  <c r="F1651" i="9"/>
  <c r="F1659" i="9"/>
  <c r="F1667" i="9"/>
  <c r="F1675" i="9"/>
  <c r="F1683" i="9"/>
  <c r="F1691" i="9"/>
  <c r="F1699" i="9"/>
  <c r="F1707" i="9"/>
  <c r="F1715" i="9"/>
  <c r="F1723" i="9"/>
  <c r="F1731" i="9"/>
  <c r="K1186" i="9"/>
  <c r="K2122" i="9"/>
  <c r="J299" i="9"/>
  <c r="J589" i="9"/>
  <c r="J845" i="9"/>
  <c r="J1085" i="9"/>
  <c r="J1242" i="9"/>
  <c r="J1370" i="9"/>
  <c r="J1498" i="9"/>
  <c r="J1626" i="9"/>
  <c r="J1754" i="9"/>
  <c r="J1882" i="9"/>
  <c r="J2010" i="9"/>
  <c r="J2138" i="9"/>
  <c r="J2266" i="9"/>
  <c r="I59" i="9"/>
  <c r="I187" i="9"/>
  <c r="I315" i="9"/>
  <c r="I443" i="9"/>
  <c r="I571" i="9"/>
  <c r="I666" i="9"/>
  <c r="I752" i="9"/>
  <c r="I828" i="9"/>
  <c r="I892" i="9"/>
  <c r="I956" i="9"/>
  <c r="I1020" i="9"/>
  <c r="I1084" i="9"/>
  <c r="I1148" i="9"/>
  <c r="I1212" i="9"/>
  <c r="I1276" i="9"/>
  <c r="I1340" i="9"/>
  <c r="I1404" i="9"/>
  <c r="I1468" i="9"/>
  <c r="I1532" i="9"/>
  <c r="I1596" i="9"/>
  <c r="I1660" i="9"/>
  <c r="I1724" i="9"/>
  <c r="I1788" i="9"/>
  <c r="I1852" i="9"/>
  <c r="I1916" i="9"/>
  <c r="I1980" i="9"/>
  <c r="I2044" i="9"/>
  <c r="I2090" i="9"/>
  <c r="I2130" i="9"/>
  <c r="I2167" i="9"/>
  <c r="I2203" i="9"/>
  <c r="I2240" i="9"/>
  <c r="I2276" i="9"/>
  <c r="I2310" i="9"/>
  <c r="H7" i="9"/>
  <c r="H39" i="9"/>
  <c r="H71" i="9"/>
  <c r="H103" i="9"/>
  <c r="H135" i="9"/>
  <c r="H167" i="9"/>
  <c r="H199" i="9"/>
  <c r="H231" i="9"/>
  <c r="H263" i="9"/>
  <c r="H295" i="9"/>
  <c r="H327" i="9"/>
  <c r="H359" i="9"/>
  <c r="H391" i="9"/>
  <c r="H423" i="9"/>
  <c r="H455" i="9"/>
  <c r="H487" i="9"/>
  <c r="H519" i="9"/>
  <c r="H551" i="9"/>
  <c r="H583" i="9"/>
  <c r="H615" i="9"/>
  <c r="H647" i="9"/>
  <c r="H679" i="9"/>
  <c r="H711" i="9"/>
  <c r="H743" i="9"/>
  <c r="H775" i="9"/>
  <c r="H807" i="9"/>
  <c r="H839" i="9"/>
  <c r="H871" i="9"/>
  <c r="H903" i="9"/>
  <c r="H935" i="9"/>
  <c r="H967" i="9"/>
  <c r="H997" i="9"/>
  <c r="H1022" i="9"/>
  <c r="H1044" i="9"/>
  <c r="H1064" i="9"/>
  <c r="H1086" i="9"/>
  <c r="H1108" i="9"/>
  <c r="H1128" i="9"/>
  <c r="H1150" i="9"/>
  <c r="H1168" i="9"/>
  <c r="H1184" i="9"/>
  <c r="H1200" i="9"/>
  <c r="H1216" i="9"/>
  <c r="H1232" i="9"/>
  <c r="H1248" i="9"/>
  <c r="H1264" i="9"/>
  <c r="H1280" i="9"/>
  <c r="H1296" i="9"/>
  <c r="H1312" i="9"/>
  <c r="H1328" i="9"/>
  <c r="H1344" i="9"/>
  <c r="H1360" i="9"/>
  <c r="H1376" i="9"/>
  <c r="H1392" i="9"/>
  <c r="H1408" i="9"/>
  <c r="H1424" i="9"/>
  <c r="H1440" i="9"/>
  <c r="H1456" i="9"/>
  <c r="H1472" i="9"/>
  <c r="H1488" i="9"/>
  <c r="H1504" i="9"/>
  <c r="H1520" i="9"/>
  <c r="H1536" i="9"/>
  <c r="H1552" i="9"/>
  <c r="H1568" i="9"/>
  <c r="H1584" i="9"/>
  <c r="H1600" i="9"/>
  <c r="H1616" i="9"/>
  <c r="H1632" i="9"/>
  <c r="H1648" i="9"/>
  <c r="H1664" i="9"/>
  <c r="H1680" i="9"/>
  <c r="H1696" i="9"/>
  <c r="H1712" i="9"/>
  <c r="H1728" i="9"/>
  <c r="H1744" i="9"/>
  <c r="H1760" i="9"/>
  <c r="H1776" i="9"/>
  <c r="H1792" i="9"/>
  <c r="H1808" i="9"/>
  <c r="H1824" i="9"/>
  <c r="H1840" i="9"/>
  <c r="H1856" i="9"/>
  <c r="H1872" i="9"/>
  <c r="H1888" i="9"/>
  <c r="H1904" i="9"/>
  <c r="H1920" i="9"/>
  <c r="H1936" i="9"/>
  <c r="H1952" i="9"/>
  <c r="H1968" i="9"/>
  <c r="H1984" i="9"/>
  <c r="H2000" i="9"/>
  <c r="H2016" i="9"/>
  <c r="H2032" i="9"/>
  <c r="H2048" i="9"/>
  <c r="H2064" i="9"/>
  <c r="H2080" i="9"/>
  <c r="H2096" i="9"/>
  <c r="H2112" i="9"/>
  <c r="H2128" i="9"/>
  <c r="H2144" i="9"/>
  <c r="H2160" i="9"/>
  <c r="H2176" i="9"/>
  <c r="H2192" i="9"/>
  <c r="H2208" i="9"/>
  <c r="H2224" i="9"/>
  <c r="H2240" i="9"/>
  <c r="H2256" i="9"/>
  <c r="H2272" i="9"/>
  <c r="H2288" i="9"/>
  <c r="H2304" i="9"/>
  <c r="H2320" i="9"/>
  <c r="H2336" i="9"/>
  <c r="G17" i="9"/>
  <c r="G33" i="9"/>
  <c r="G48" i="9"/>
  <c r="G61" i="9"/>
  <c r="G73" i="9"/>
  <c r="G87" i="9"/>
  <c r="G98" i="9"/>
  <c r="G112" i="9"/>
  <c r="G125" i="9"/>
  <c r="G137" i="9"/>
  <c r="G150" i="9"/>
  <c r="G160" i="9"/>
  <c r="G170" i="9"/>
  <c r="G182" i="9"/>
  <c r="G192" i="9"/>
  <c r="G202" i="9"/>
  <c r="G214" i="9"/>
  <c r="G224" i="9"/>
  <c r="G234" i="9"/>
  <c r="G246" i="9"/>
  <c r="G256" i="9"/>
  <c r="G265" i="9"/>
  <c r="G274" i="9"/>
  <c r="G284" i="9"/>
  <c r="G293" i="9"/>
  <c r="G302" i="9"/>
  <c r="G311" i="9"/>
  <c r="G320" i="9"/>
  <c r="G329" i="9"/>
  <c r="G338" i="9"/>
  <c r="G348" i="9"/>
  <c r="G357" i="9"/>
  <c r="G366" i="9"/>
  <c r="G375" i="9"/>
  <c r="G384" i="9"/>
  <c r="G393" i="9"/>
  <c r="G402" i="9"/>
  <c r="G411" i="9"/>
  <c r="G419" i="9"/>
  <c r="G427" i="9"/>
  <c r="G435" i="9"/>
  <c r="G443" i="9"/>
  <c r="G451" i="9"/>
  <c r="G459" i="9"/>
  <c r="G467" i="9"/>
  <c r="G475" i="9"/>
  <c r="G483" i="9"/>
  <c r="G491" i="9"/>
  <c r="G499" i="9"/>
  <c r="G507" i="9"/>
  <c r="G515" i="9"/>
  <c r="G523" i="9"/>
  <c r="G531" i="9"/>
  <c r="G539" i="9"/>
  <c r="G547" i="9"/>
  <c r="G555" i="9"/>
  <c r="G563" i="9"/>
  <c r="G571" i="9"/>
  <c r="G579" i="9"/>
  <c r="G587" i="9"/>
  <c r="G595" i="9"/>
  <c r="G603" i="9"/>
  <c r="G611" i="9"/>
  <c r="G619" i="9"/>
  <c r="G627" i="9"/>
  <c r="G635" i="9"/>
  <c r="G643" i="9"/>
  <c r="G651" i="9"/>
  <c r="G659" i="9"/>
  <c r="G667" i="9"/>
  <c r="G675" i="9"/>
  <c r="G683" i="9"/>
  <c r="G691" i="9"/>
  <c r="G699" i="9"/>
  <c r="G707" i="9"/>
  <c r="G715" i="9"/>
  <c r="G723" i="9"/>
  <c r="G731" i="9"/>
  <c r="G739" i="9"/>
  <c r="G747" i="9"/>
  <c r="G755" i="9"/>
  <c r="G763" i="9"/>
  <c r="G771" i="9"/>
  <c r="G779" i="9"/>
  <c r="G787" i="9"/>
  <c r="G795" i="9"/>
  <c r="G803" i="9"/>
  <c r="G811" i="9"/>
  <c r="G819" i="9"/>
  <c r="G827" i="9"/>
  <c r="G835" i="9"/>
  <c r="G843" i="9"/>
  <c r="G851" i="9"/>
  <c r="G859" i="9"/>
  <c r="G867" i="9"/>
  <c r="G875" i="9"/>
  <c r="G883" i="9"/>
  <c r="G891" i="9"/>
  <c r="G899" i="9"/>
  <c r="G907" i="9"/>
  <c r="G915" i="9"/>
  <c r="G923" i="9"/>
  <c r="G931" i="9"/>
  <c r="G939" i="9"/>
  <c r="G947" i="9"/>
  <c r="G955" i="9"/>
  <c r="G963" i="9"/>
  <c r="G971" i="9"/>
  <c r="G979" i="9"/>
  <c r="G987" i="9"/>
  <c r="G995" i="9"/>
  <c r="G1003" i="9"/>
  <c r="G1011" i="9"/>
  <c r="G1019" i="9"/>
  <c r="G1027" i="9"/>
  <c r="G1035" i="9"/>
  <c r="G1043" i="9"/>
  <c r="G1051" i="9"/>
  <c r="G1059" i="9"/>
  <c r="G1067" i="9"/>
  <c r="G1075" i="9"/>
  <c r="G1083" i="9"/>
  <c r="G1091" i="9"/>
  <c r="G1099" i="9"/>
  <c r="G1107" i="9"/>
  <c r="G1115" i="9"/>
  <c r="G1123" i="9"/>
  <c r="G1131" i="9"/>
  <c r="G1139" i="9"/>
  <c r="G1147" i="9"/>
  <c r="G1155" i="9"/>
  <c r="G1163" i="9"/>
  <c r="G1171" i="9"/>
  <c r="G1179" i="9"/>
  <c r="G1187" i="9"/>
  <c r="G1195" i="9"/>
  <c r="G1203" i="9"/>
  <c r="G1211" i="9"/>
  <c r="G1219" i="9"/>
  <c r="G1227" i="9"/>
  <c r="G1235" i="9"/>
  <c r="G1243" i="9"/>
  <c r="G1251" i="9"/>
  <c r="G1259" i="9"/>
  <c r="G1267" i="9"/>
  <c r="G1275" i="9"/>
  <c r="G1283" i="9"/>
  <c r="G1291" i="9"/>
  <c r="G1299" i="9"/>
  <c r="G1307" i="9"/>
  <c r="G1315" i="9"/>
  <c r="G1323" i="9"/>
  <c r="G1331" i="9"/>
  <c r="G1339" i="9"/>
  <c r="G1347" i="9"/>
  <c r="G1355" i="9"/>
  <c r="G1363" i="9"/>
  <c r="G1371" i="9"/>
  <c r="G1379" i="9"/>
  <c r="G1387" i="9"/>
  <c r="G1395" i="9"/>
  <c r="G1403" i="9"/>
  <c r="G1411" i="9"/>
  <c r="G1419" i="9"/>
  <c r="G1427" i="9"/>
  <c r="G1435" i="9"/>
  <c r="G1443" i="9"/>
  <c r="G1451" i="9"/>
  <c r="G1459" i="9"/>
  <c r="G1467" i="9"/>
  <c r="G1475" i="9"/>
  <c r="G1483" i="9"/>
  <c r="G1491" i="9"/>
  <c r="G1499" i="9"/>
  <c r="G1507" i="9"/>
  <c r="G1515" i="9"/>
  <c r="G1523" i="9"/>
  <c r="G1531" i="9"/>
  <c r="G1539" i="9"/>
  <c r="G1547" i="9"/>
  <c r="G1555" i="9"/>
  <c r="G1563" i="9"/>
  <c r="G1571" i="9"/>
  <c r="G1579" i="9"/>
  <c r="G1587" i="9"/>
  <c r="G1595" i="9"/>
  <c r="G1603" i="9"/>
  <c r="G1611" i="9"/>
  <c r="G1619" i="9"/>
  <c r="G1627" i="9"/>
  <c r="G1635" i="9"/>
  <c r="G1643" i="9"/>
  <c r="G1651" i="9"/>
  <c r="G1659" i="9"/>
  <c r="G1667" i="9"/>
  <c r="G1675" i="9"/>
  <c r="G1683" i="9"/>
  <c r="G1691" i="9"/>
  <c r="G1699" i="9"/>
  <c r="G1707" i="9"/>
  <c r="G1715" i="9"/>
  <c r="G1723" i="9"/>
  <c r="G1731" i="9"/>
  <c r="G1739" i="9"/>
  <c r="G1747" i="9"/>
  <c r="G1755" i="9"/>
  <c r="G1763" i="9"/>
  <c r="G1771" i="9"/>
  <c r="G1779" i="9"/>
  <c r="G1787" i="9"/>
  <c r="G1795" i="9"/>
  <c r="G1803" i="9"/>
  <c r="G1811" i="9"/>
  <c r="G1819" i="9"/>
  <c r="G1827" i="9"/>
  <c r="G1835" i="9"/>
  <c r="G1843" i="9"/>
  <c r="G1851" i="9"/>
  <c r="G1859" i="9"/>
  <c r="G1867" i="9"/>
  <c r="G1875" i="9"/>
  <c r="G1883" i="9"/>
  <c r="G1891" i="9"/>
  <c r="G1899" i="9"/>
  <c r="G1907" i="9"/>
  <c r="G1915" i="9"/>
  <c r="G1923" i="9"/>
  <c r="G1931" i="9"/>
  <c r="G1939" i="9"/>
  <c r="G1947" i="9"/>
  <c r="G1955" i="9"/>
  <c r="G1963" i="9"/>
  <c r="G1971" i="9"/>
  <c r="G1979" i="9"/>
  <c r="G1987" i="9"/>
  <c r="G1995" i="9"/>
  <c r="G2003" i="9"/>
  <c r="G2011" i="9"/>
  <c r="G2019" i="9"/>
  <c r="G2027" i="9"/>
  <c r="G2035" i="9"/>
  <c r="G2043" i="9"/>
  <c r="G2051" i="9"/>
  <c r="G2059" i="9"/>
  <c r="G2067" i="9"/>
  <c r="G2075" i="9"/>
  <c r="G2083" i="9"/>
  <c r="G2091" i="9"/>
  <c r="G2099" i="9"/>
  <c r="G2107" i="9"/>
  <c r="G2115" i="9"/>
  <c r="G2123" i="9"/>
  <c r="G2131" i="9"/>
  <c r="G2139" i="9"/>
  <c r="G2147" i="9"/>
  <c r="G2155" i="9"/>
  <c r="G2163" i="9"/>
  <c r="G2171" i="9"/>
  <c r="G2179" i="9"/>
  <c r="G2187" i="9"/>
  <c r="G2195" i="9"/>
  <c r="G2203" i="9"/>
  <c r="G2211" i="9"/>
  <c r="G2219" i="9"/>
  <c r="G2227" i="9"/>
  <c r="G2235" i="9"/>
  <c r="G2243" i="9"/>
  <c r="G2251" i="9"/>
  <c r="G2259" i="9"/>
  <c r="G2267" i="9"/>
  <c r="G2275" i="9"/>
  <c r="G2283" i="9"/>
  <c r="G2291" i="9"/>
  <c r="G2299" i="9"/>
  <c r="G2307" i="9"/>
  <c r="G2315" i="9"/>
  <c r="G2323" i="9"/>
  <c r="G2331" i="9"/>
  <c r="F4" i="9"/>
  <c r="F12" i="9"/>
  <c r="F20" i="9"/>
  <c r="F28" i="9"/>
  <c r="F36" i="9"/>
  <c r="F44" i="9"/>
  <c r="F52" i="9"/>
  <c r="F60" i="9"/>
  <c r="F68" i="9"/>
  <c r="F76" i="9"/>
  <c r="F84" i="9"/>
  <c r="F92" i="9"/>
  <c r="F100" i="9"/>
  <c r="F108" i="9"/>
  <c r="F116" i="9"/>
  <c r="F124" i="9"/>
  <c r="F132" i="9"/>
  <c r="F140" i="9"/>
  <c r="F148" i="9"/>
  <c r="F156" i="9"/>
  <c r="F164" i="9"/>
  <c r="F172" i="9"/>
  <c r="F180" i="9"/>
  <c r="F188" i="9"/>
  <c r="F196" i="9"/>
  <c r="F204" i="9"/>
  <c r="F212" i="9"/>
  <c r="F220" i="9"/>
  <c r="F228" i="9"/>
  <c r="F236" i="9"/>
  <c r="F244" i="9"/>
  <c r="F252" i="9"/>
  <c r="F260" i="9"/>
  <c r="F268" i="9"/>
  <c r="F276" i="9"/>
  <c r="F284" i="9"/>
  <c r="F292" i="9"/>
  <c r="F300" i="9"/>
  <c r="F308" i="9"/>
  <c r="F316" i="9"/>
  <c r="F324" i="9"/>
  <c r="F332" i="9"/>
  <c r="F340" i="9"/>
  <c r="F348" i="9"/>
  <c r="F356" i="9"/>
  <c r="F364" i="9"/>
  <c r="F372" i="9"/>
  <c r="F380" i="9"/>
  <c r="F388" i="9"/>
  <c r="F396" i="9"/>
  <c r="F404" i="9"/>
  <c r="F412" i="9"/>
  <c r="F420" i="9"/>
  <c r="F428" i="9"/>
  <c r="F436" i="9"/>
  <c r="F444" i="9"/>
  <c r="F452" i="9"/>
  <c r="F460" i="9"/>
  <c r="F468" i="9"/>
  <c r="F476" i="9"/>
  <c r="F484" i="9"/>
  <c r="F492" i="9"/>
  <c r="F500" i="9"/>
  <c r="F508" i="9"/>
  <c r="F516" i="9"/>
  <c r="F524" i="9"/>
  <c r="F532" i="9"/>
  <c r="F540" i="9"/>
  <c r="F548" i="9"/>
  <c r="F556" i="9"/>
  <c r="F564" i="9"/>
  <c r="F572" i="9"/>
  <c r="F580" i="9"/>
  <c r="F588" i="9"/>
  <c r="F596" i="9"/>
  <c r="F604" i="9"/>
  <c r="F612" i="9"/>
  <c r="F620" i="9"/>
  <c r="F628" i="9"/>
  <c r="F636" i="9"/>
  <c r="F644" i="9"/>
  <c r="F652" i="9"/>
  <c r="F660" i="9"/>
  <c r="F668" i="9"/>
  <c r="F676" i="9"/>
  <c r="F684" i="9"/>
  <c r="F692" i="9"/>
  <c r="F700" i="9"/>
  <c r="F708" i="9"/>
  <c r="F716" i="9"/>
  <c r="F724" i="9"/>
  <c r="F732" i="9"/>
  <c r="F740" i="9"/>
  <c r="F748" i="9"/>
  <c r="F756" i="9"/>
  <c r="F764" i="9"/>
  <c r="F772" i="9"/>
  <c r="F780" i="9"/>
  <c r="F788" i="9"/>
  <c r="F796" i="9"/>
  <c r="F804" i="9"/>
  <c r="F812" i="9"/>
  <c r="F820" i="9"/>
  <c r="F828" i="9"/>
  <c r="F836" i="9"/>
  <c r="F844" i="9"/>
  <c r="F852" i="9"/>
  <c r="F860" i="9"/>
  <c r="F868" i="9"/>
  <c r="F876" i="9"/>
  <c r="F884" i="9"/>
  <c r="F892" i="9"/>
  <c r="F900" i="9"/>
  <c r="F908" i="9"/>
  <c r="F916" i="9"/>
  <c r="F924" i="9"/>
  <c r="F932" i="9"/>
  <c r="F940" i="9"/>
  <c r="F948" i="9"/>
  <c r="F956" i="9"/>
  <c r="F964" i="9"/>
  <c r="F972" i="9"/>
  <c r="F980" i="9"/>
  <c r="F988" i="9"/>
  <c r="F996" i="9"/>
  <c r="F1004" i="9"/>
  <c r="F1012" i="9"/>
  <c r="F1020" i="9"/>
  <c r="F1028" i="9"/>
  <c r="F1036" i="9"/>
  <c r="F1044" i="9"/>
  <c r="F1052" i="9"/>
  <c r="F1060" i="9"/>
  <c r="F1068" i="9"/>
  <c r="F1076" i="9"/>
  <c r="F1084" i="9"/>
  <c r="F1092" i="9"/>
  <c r="F1100" i="9"/>
  <c r="F1108" i="9"/>
  <c r="F1116" i="9"/>
  <c r="F1124" i="9"/>
  <c r="F1132" i="9"/>
  <c r="F1140" i="9"/>
  <c r="F1148" i="9"/>
  <c r="F1156" i="9"/>
  <c r="F1164" i="9"/>
  <c r="F1172" i="9"/>
  <c r="F1180" i="9"/>
  <c r="F1188" i="9"/>
  <c r="F1196" i="9"/>
  <c r="F1204" i="9"/>
  <c r="F1212" i="9"/>
  <c r="F1220" i="9"/>
  <c r="F1228" i="9"/>
  <c r="F1236" i="9"/>
  <c r="F1244" i="9"/>
  <c r="F1252" i="9"/>
  <c r="F1260" i="9"/>
  <c r="F1268" i="9"/>
  <c r="F1276" i="9"/>
  <c r="F1284" i="9"/>
  <c r="F1292" i="9"/>
  <c r="F1300" i="9"/>
  <c r="F1308" i="9"/>
  <c r="F1316" i="9"/>
  <c r="F1324" i="9"/>
  <c r="F1332" i="9"/>
  <c r="F1340" i="9"/>
  <c r="F1348" i="9"/>
  <c r="F1356" i="9"/>
  <c r="F1364" i="9"/>
  <c r="F1372" i="9"/>
  <c r="F1380" i="9"/>
  <c r="F1388" i="9"/>
  <c r="F1396" i="9"/>
  <c r="F1404" i="9"/>
  <c r="F1412" i="9"/>
  <c r="F1420" i="9"/>
  <c r="F1428" i="9"/>
  <c r="F1436" i="9"/>
  <c r="F1444" i="9"/>
  <c r="F1452" i="9"/>
  <c r="F1460" i="9"/>
  <c r="F1468" i="9"/>
  <c r="F1476" i="9"/>
  <c r="F1484" i="9"/>
  <c r="F1492" i="9"/>
  <c r="F1500" i="9"/>
  <c r="F1508" i="9"/>
  <c r="F1516" i="9"/>
  <c r="F1524" i="9"/>
  <c r="F1532" i="9"/>
  <c r="F1540" i="9"/>
  <c r="F1548" i="9"/>
  <c r="F1556" i="9"/>
  <c r="F1564" i="9"/>
  <c r="F1572" i="9"/>
  <c r="F1580" i="9"/>
  <c r="F1588" i="9"/>
  <c r="F1596" i="9"/>
  <c r="F1604" i="9"/>
  <c r="F1612" i="9"/>
  <c r="F1620" i="9"/>
  <c r="F1628" i="9"/>
  <c r="F1636" i="9"/>
  <c r="F1644" i="9"/>
  <c r="F1652" i="9"/>
  <c r="F1660" i="9"/>
  <c r="F1668" i="9"/>
  <c r="F1676" i="9"/>
  <c r="F1684" i="9"/>
  <c r="F1692" i="9"/>
  <c r="F1700" i="9"/>
  <c r="F1708" i="9"/>
  <c r="F1716" i="9"/>
  <c r="F1724" i="9"/>
  <c r="F1732" i="9"/>
  <c r="F1740" i="9"/>
  <c r="F1748" i="9"/>
  <c r="F1756" i="9"/>
  <c r="F1764" i="9"/>
  <c r="F1772" i="9"/>
  <c r="F1780" i="9"/>
  <c r="F1788" i="9"/>
  <c r="F1796" i="9"/>
  <c r="F1804" i="9"/>
  <c r="F1812" i="9"/>
  <c r="F1820" i="9"/>
  <c r="F1828" i="9"/>
  <c r="F1836" i="9"/>
  <c r="F1844" i="9"/>
  <c r="F1852" i="9"/>
  <c r="F1860" i="9"/>
  <c r="F1868" i="9"/>
  <c r="F1876" i="9"/>
  <c r="F1884" i="9"/>
  <c r="F1892" i="9"/>
  <c r="F1900" i="9"/>
  <c r="F1908" i="9"/>
  <c r="F1916" i="9"/>
  <c r="F1924" i="9"/>
  <c r="K1187" i="9"/>
  <c r="K2123" i="9"/>
  <c r="J300" i="9"/>
  <c r="J590" i="9"/>
  <c r="J846" i="9"/>
  <c r="J1086" i="9"/>
  <c r="J1243" i="9"/>
  <c r="J1371" i="9"/>
  <c r="J1499" i="9"/>
  <c r="J1627" i="9"/>
  <c r="J1755" i="9"/>
  <c r="J1883" i="9"/>
  <c r="J2011" i="9"/>
  <c r="J2139" i="9"/>
  <c r="J2267" i="9"/>
  <c r="I60" i="9"/>
  <c r="I188" i="9"/>
  <c r="I316" i="9"/>
  <c r="I444" i="9"/>
  <c r="I572" i="9"/>
  <c r="I667" i="9"/>
  <c r="I753" i="9"/>
  <c r="I829" i="9"/>
  <c r="I893" i="9"/>
  <c r="I957" i="9"/>
  <c r="I1021" i="9"/>
  <c r="I1085" i="9"/>
  <c r="I1149" i="9"/>
  <c r="I1213" i="9"/>
  <c r="I1277" i="9"/>
  <c r="I1341" i="9"/>
  <c r="I1405" i="9"/>
  <c r="I1469" i="9"/>
  <c r="I1533" i="9"/>
  <c r="I1597" i="9"/>
  <c r="I1661" i="9"/>
  <c r="I1725" i="9"/>
  <c r="I1789" i="9"/>
  <c r="I1853" i="9"/>
  <c r="I1917" i="9"/>
  <c r="I1981" i="9"/>
  <c r="I2045" i="9"/>
  <c r="I2091" i="9"/>
  <c r="I2131" i="9"/>
  <c r="I2168" i="9"/>
  <c r="I2204" i="9"/>
  <c r="I2241" i="9"/>
  <c r="I2277" i="9"/>
  <c r="I2311" i="9"/>
  <c r="H8" i="9"/>
  <c r="H40" i="9"/>
  <c r="H72" i="9"/>
  <c r="H104" i="9"/>
  <c r="H136" i="9"/>
  <c r="H168" i="9"/>
  <c r="H200" i="9"/>
  <c r="H232" i="9"/>
  <c r="H264" i="9"/>
  <c r="H296" i="9"/>
  <c r="H328" i="9"/>
  <c r="H360" i="9"/>
  <c r="H392" i="9"/>
  <c r="H424" i="9"/>
  <c r="H456" i="9"/>
  <c r="H488" i="9"/>
  <c r="H520" i="9"/>
  <c r="H552" i="9"/>
  <c r="H584" i="9"/>
  <c r="H616" i="9"/>
  <c r="H648" i="9"/>
  <c r="H680" i="9"/>
  <c r="H712" i="9"/>
  <c r="H744" i="9"/>
  <c r="H776" i="9"/>
  <c r="H808" i="9"/>
  <c r="H840" i="9"/>
  <c r="H872" i="9"/>
  <c r="H904" i="9"/>
  <c r="H936" i="9"/>
  <c r="H968" i="9"/>
  <c r="H998" i="9"/>
  <c r="H1023" i="9"/>
  <c r="H1045" i="9"/>
  <c r="H1066" i="9"/>
  <c r="H1087" i="9"/>
  <c r="H1109" i="9"/>
  <c r="H1130" i="9"/>
  <c r="H1151" i="9"/>
  <c r="H1169" i="9"/>
  <c r="H1185" i="9"/>
  <c r="H1201" i="9"/>
  <c r="H1217" i="9"/>
  <c r="H1233" i="9"/>
  <c r="H1249" i="9"/>
  <c r="H1265" i="9"/>
  <c r="H1281" i="9"/>
  <c r="H1297" i="9"/>
  <c r="H1313" i="9"/>
  <c r="H1329" i="9"/>
  <c r="H1345" i="9"/>
  <c r="H1361" i="9"/>
  <c r="H1377" i="9"/>
  <c r="H1393" i="9"/>
  <c r="H1409" i="9"/>
  <c r="H1425" i="9"/>
  <c r="H1441" i="9"/>
  <c r="H1457" i="9"/>
  <c r="H1473" i="9"/>
  <c r="H1489" i="9"/>
  <c r="H1505" i="9"/>
  <c r="H1521" i="9"/>
  <c r="H1537" i="9"/>
  <c r="H1553" i="9"/>
  <c r="H1569" i="9"/>
  <c r="H1585" i="9"/>
  <c r="H1601" i="9"/>
  <c r="H1617" i="9"/>
  <c r="H1633" i="9"/>
  <c r="H1649" i="9"/>
  <c r="H1665" i="9"/>
  <c r="H1681" i="9"/>
  <c r="H1697" i="9"/>
  <c r="H1713" i="9"/>
  <c r="H1729" i="9"/>
  <c r="H1745" i="9"/>
  <c r="H1761" i="9"/>
  <c r="H1777" i="9"/>
  <c r="H1793" i="9"/>
  <c r="H1809" i="9"/>
  <c r="H1825" i="9"/>
  <c r="H1841" i="9"/>
  <c r="H1857" i="9"/>
  <c r="H1873" i="9"/>
  <c r="H1889" i="9"/>
  <c r="H1905" i="9"/>
  <c r="H1921" i="9"/>
  <c r="H1937" i="9"/>
  <c r="H1953" i="9"/>
  <c r="H1969" i="9"/>
  <c r="H1985" i="9"/>
  <c r="H2001" i="9"/>
  <c r="H2017" i="9"/>
  <c r="H2033" i="9"/>
  <c r="H2049" i="9"/>
  <c r="H2065" i="9"/>
  <c r="H2081" i="9"/>
  <c r="H2097" i="9"/>
  <c r="H2113" i="9"/>
  <c r="H2129" i="9"/>
  <c r="H2145" i="9"/>
  <c r="H2161" i="9"/>
  <c r="H2177" i="9"/>
  <c r="H2193" i="9"/>
  <c r="H2209" i="9"/>
  <c r="H2225" i="9"/>
  <c r="H2241" i="9"/>
  <c r="H2257" i="9"/>
  <c r="H2273" i="9"/>
  <c r="H2289" i="9"/>
  <c r="H2305" i="9"/>
  <c r="H2321" i="9"/>
  <c r="G18" i="9"/>
  <c r="G34" i="9"/>
  <c r="G49" i="9"/>
  <c r="G63" i="9"/>
  <c r="G74" i="9"/>
  <c r="G88" i="9"/>
  <c r="G101" i="9"/>
  <c r="G113" i="9"/>
  <c r="G127" i="9"/>
  <c r="G138" i="9"/>
  <c r="G151" i="9"/>
  <c r="G161" i="9"/>
  <c r="G173" i="9"/>
  <c r="G183" i="9"/>
  <c r="G193" i="9"/>
  <c r="G205" i="9"/>
  <c r="G215" i="9"/>
  <c r="G225" i="9"/>
  <c r="G237" i="9"/>
  <c r="G247" i="9"/>
  <c r="G257" i="9"/>
  <c r="G266" i="9"/>
  <c r="G276" i="9"/>
  <c r="G285" i="9"/>
  <c r="G294" i="9"/>
  <c r="G303" i="9"/>
  <c r="G312" i="9"/>
  <c r="G321" i="9"/>
  <c r="G330" i="9"/>
  <c r="G340" i="9"/>
  <c r="G349" i="9"/>
  <c r="G358" i="9"/>
  <c r="G367" i="9"/>
  <c r="G376" i="9"/>
  <c r="G385" i="9"/>
  <c r="G394" i="9"/>
  <c r="G404" i="9"/>
  <c r="G412" i="9"/>
  <c r="G420" i="9"/>
  <c r="G428" i="9"/>
  <c r="G436" i="9"/>
  <c r="G444" i="9"/>
  <c r="G452" i="9"/>
  <c r="G460" i="9"/>
  <c r="G468" i="9"/>
  <c r="G476" i="9"/>
  <c r="G484" i="9"/>
  <c r="G492" i="9"/>
  <c r="G500" i="9"/>
  <c r="G508" i="9"/>
  <c r="G516" i="9"/>
  <c r="G524" i="9"/>
  <c r="G532" i="9"/>
  <c r="G540" i="9"/>
  <c r="G548" i="9"/>
  <c r="G556" i="9"/>
  <c r="G564" i="9"/>
  <c r="G572" i="9"/>
  <c r="G580" i="9"/>
  <c r="G588" i="9"/>
  <c r="G596" i="9"/>
  <c r="G604" i="9"/>
  <c r="G612" i="9"/>
  <c r="G620" i="9"/>
  <c r="G628" i="9"/>
  <c r="G636" i="9"/>
  <c r="G644" i="9"/>
  <c r="G652" i="9"/>
  <c r="G660" i="9"/>
  <c r="G668" i="9"/>
  <c r="G676" i="9"/>
  <c r="G684" i="9"/>
  <c r="G692" i="9"/>
  <c r="G700" i="9"/>
  <c r="G708" i="9"/>
  <c r="G716" i="9"/>
  <c r="G724" i="9"/>
  <c r="G732" i="9"/>
  <c r="G740" i="9"/>
  <c r="G748" i="9"/>
  <c r="G756" i="9"/>
  <c r="G764" i="9"/>
  <c r="G772" i="9"/>
  <c r="G780" i="9"/>
  <c r="G788" i="9"/>
  <c r="G796" i="9"/>
  <c r="G804" i="9"/>
  <c r="G812" i="9"/>
  <c r="G820" i="9"/>
  <c r="G828" i="9"/>
  <c r="G836" i="9"/>
  <c r="G844" i="9"/>
  <c r="G852" i="9"/>
  <c r="G860" i="9"/>
  <c r="G868" i="9"/>
  <c r="G876" i="9"/>
  <c r="G884" i="9"/>
  <c r="G892" i="9"/>
  <c r="G900" i="9"/>
  <c r="G908" i="9"/>
  <c r="G916" i="9"/>
  <c r="G924" i="9"/>
  <c r="G932" i="9"/>
  <c r="G940" i="9"/>
  <c r="G948" i="9"/>
  <c r="G956" i="9"/>
  <c r="G964" i="9"/>
  <c r="G972" i="9"/>
  <c r="G980" i="9"/>
  <c r="G988" i="9"/>
  <c r="G996" i="9"/>
  <c r="G1004" i="9"/>
  <c r="G1012" i="9"/>
  <c r="G1020" i="9"/>
  <c r="G1028" i="9"/>
  <c r="G1036" i="9"/>
  <c r="G1044" i="9"/>
  <c r="G1052" i="9"/>
  <c r="G1060" i="9"/>
  <c r="G1068" i="9"/>
  <c r="G1076" i="9"/>
  <c r="G1084" i="9"/>
  <c r="G1092" i="9"/>
  <c r="G1100" i="9"/>
  <c r="G1108" i="9"/>
  <c r="G1116" i="9"/>
  <c r="G1124" i="9"/>
  <c r="G1132" i="9"/>
  <c r="G1140" i="9"/>
  <c r="G1148" i="9"/>
  <c r="G1156" i="9"/>
  <c r="G1164" i="9"/>
  <c r="G1172" i="9"/>
  <c r="G1180" i="9"/>
  <c r="G1188" i="9"/>
  <c r="G1196" i="9"/>
  <c r="G1204" i="9"/>
  <c r="G1212" i="9"/>
  <c r="G1220" i="9"/>
  <c r="G1228" i="9"/>
  <c r="G1236" i="9"/>
  <c r="G1244" i="9"/>
  <c r="G1252" i="9"/>
  <c r="G1260" i="9"/>
  <c r="G1268" i="9"/>
  <c r="G1276" i="9"/>
  <c r="G1284" i="9"/>
  <c r="G1292" i="9"/>
  <c r="G1300" i="9"/>
  <c r="G1308" i="9"/>
  <c r="G1316" i="9"/>
  <c r="G1324" i="9"/>
  <c r="G1332" i="9"/>
  <c r="G1340" i="9"/>
  <c r="G1348" i="9"/>
  <c r="G1356" i="9"/>
  <c r="G1364" i="9"/>
  <c r="G1372" i="9"/>
  <c r="G1380" i="9"/>
  <c r="G1388" i="9"/>
  <c r="G1396" i="9"/>
  <c r="G1404" i="9"/>
  <c r="G1412" i="9"/>
  <c r="G1420" i="9"/>
  <c r="G1428" i="9"/>
  <c r="G1436" i="9"/>
  <c r="G1444" i="9"/>
  <c r="G1452" i="9"/>
  <c r="G1460" i="9"/>
  <c r="G1468" i="9"/>
  <c r="G1476" i="9"/>
  <c r="G1484" i="9"/>
  <c r="G1492" i="9"/>
  <c r="G1500" i="9"/>
  <c r="G1508" i="9"/>
  <c r="G1516" i="9"/>
  <c r="G1524" i="9"/>
  <c r="G1532" i="9"/>
  <c r="G1540" i="9"/>
  <c r="G1548" i="9"/>
  <c r="G1556" i="9"/>
  <c r="G1564" i="9"/>
  <c r="G1572" i="9"/>
  <c r="G1580" i="9"/>
  <c r="G1588" i="9"/>
  <c r="G1596" i="9"/>
  <c r="G1604" i="9"/>
  <c r="G1612" i="9"/>
  <c r="G1620" i="9"/>
  <c r="G1628" i="9"/>
  <c r="G1636" i="9"/>
  <c r="G1644" i="9"/>
  <c r="G1652" i="9"/>
  <c r="G1660" i="9"/>
  <c r="G1668" i="9"/>
  <c r="G1676" i="9"/>
  <c r="G1684" i="9"/>
  <c r="G1692" i="9"/>
  <c r="G1700" i="9"/>
  <c r="G1708" i="9"/>
  <c r="G1716" i="9"/>
  <c r="G1724" i="9"/>
  <c r="G1732" i="9"/>
  <c r="G1740" i="9"/>
  <c r="G1748" i="9"/>
  <c r="G1756" i="9"/>
  <c r="G1764" i="9"/>
  <c r="G1772" i="9"/>
  <c r="G1780" i="9"/>
  <c r="G1788" i="9"/>
  <c r="G1796" i="9"/>
  <c r="G1804" i="9"/>
  <c r="G1812" i="9"/>
  <c r="G1820" i="9"/>
  <c r="G1828" i="9"/>
  <c r="G1836" i="9"/>
  <c r="G1844" i="9"/>
  <c r="G1852" i="9"/>
  <c r="G1860" i="9"/>
  <c r="G1868" i="9"/>
  <c r="G1876" i="9"/>
  <c r="G1884" i="9"/>
  <c r="G1892" i="9"/>
  <c r="G1900" i="9"/>
  <c r="G1908" i="9"/>
  <c r="G1916" i="9"/>
  <c r="G1924" i="9"/>
  <c r="G1932" i="9"/>
  <c r="G1940" i="9"/>
  <c r="G1948" i="9"/>
  <c r="G1956" i="9"/>
  <c r="G1964" i="9"/>
  <c r="G1972" i="9"/>
  <c r="G1980" i="9"/>
  <c r="G1988" i="9"/>
  <c r="G1996" i="9"/>
  <c r="G2004" i="9"/>
  <c r="G2012" i="9"/>
  <c r="G2020" i="9"/>
  <c r="G2028" i="9"/>
  <c r="G2036" i="9"/>
  <c r="G2044" i="9"/>
  <c r="G2052" i="9"/>
  <c r="G2060" i="9"/>
  <c r="G2068" i="9"/>
  <c r="G2076" i="9"/>
  <c r="G2084" i="9"/>
  <c r="G2092" i="9"/>
  <c r="G2100" i="9"/>
  <c r="G2108" i="9"/>
  <c r="G2116" i="9"/>
  <c r="G2124" i="9"/>
  <c r="G2132" i="9"/>
  <c r="G2140" i="9"/>
  <c r="G2148" i="9"/>
  <c r="G2156" i="9"/>
  <c r="G2164" i="9"/>
  <c r="G2172" i="9"/>
  <c r="G2180" i="9"/>
  <c r="G2188" i="9"/>
  <c r="G2196" i="9"/>
  <c r="G2204" i="9"/>
  <c r="G2212" i="9"/>
  <c r="G2220" i="9"/>
  <c r="G2228" i="9"/>
  <c r="G2236" i="9"/>
  <c r="G2244" i="9"/>
  <c r="G2252" i="9"/>
  <c r="G2260" i="9"/>
  <c r="G2268" i="9"/>
  <c r="G2276" i="9"/>
  <c r="G2284" i="9"/>
  <c r="G2292" i="9"/>
  <c r="G2300" i="9"/>
  <c r="G2308" i="9"/>
  <c r="G2316" i="9"/>
  <c r="G2324" i="9"/>
  <c r="G2332" i="9"/>
  <c r="F5" i="9"/>
  <c r="F13" i="9"/>
  <c r="F21" i="9"/>
  <c r="F29" i="9"/>
  <c r="F37" i="9"/>
  <c r="F45" i="9"/>
  <c r="F53" i="9"/>
  <c r="F61" i="9"/>
  <c r="F69" i="9"/>
  <c r="F77" i="9"/>
  <c r="F85" i="9"/>
  <c r="F93" i="9"/>
  <c r="F101" i="9"/>
  <c r="F109" i="9"/>
  <c r="F117" i="9"/>
  <c r="F125" i="9"/>
  <c r="F133" i="9"/>
  <c r="F141" i="9"/>
  <c r="F149" i="9"/>
  <c r="F157" i="9"/>
  <c r="F165" i="9"/>
  <c r="F173" i="9"/>
  <c r="F181" i="9"/>
  <c r="F189" i="9"/>
  <c r="F197" i="9"/>
  <c r="F205" i="9"/>
  <c r="F213" i="9"/>
  <c r="F221" i="9"/>
  <c r="F229" i="9"/>
  <c r="F237" i="9"/>
  <c r="F245" i="9"/>
  <c r="F253" i="9"/>
  <c r="F261" i="9"/>
  <c r="F269" i="9"/>
  <c r="F277" i="9"/>
  <c r="F285" i="9"/>
  <c r="F293" i="9"/>
  <c r="F301" i="9"/>
  <c r="F309" i="9"/>
  <c r="F317" i="9"/>
  <c r="F325" i="9"/>
  <c r="F333" i="9"/>
  <c r="F341" i="9"/>
  <c r="F349" i="9"/>
  <c r="F357" i="9"/>
  <c r="F365" i="9"/>
  <c r="F373" i="9"/>
  <c r="F381" i="9"/>
  <c r="F389" i="9"/>
  <c r="F397" i="9"/>
  <c r="F405" i="9"/>
  <c r="F413" i="9"/>
  <c r="F421" i="9"/>
  <c r="F429" i="9"/>
  <c r="F437" i="9"/>
  <c r="F445" i="9"/>
  <c r="F453" i="9"/>
  <c r="F461" i="9"/>
  <c r="F469" i="9"/>
  <c r="F477" i="9"/>
  <c r="F485" i="9"/>
  <c r="F493" i="9"/>
  <c r="F501" i="9"/>
  <c r="F509" i="9"/>
  <c r="F517" i="9"/>
  <c r="F525" i="9"/>
  <c r="F533" i="9"/>
  <c r="F541" i="9"/>
  <c r="F549" i="9"/>
  <c r="F557" i="9"/>
  <c r="F565" i="9"/>
  <c r="F573" i="9"/>
  <c r="F581" i="9"/>
  <c r="F589" i="9"/>
  <c r="F597" i="9"/>
  <c r="F605" i="9"/>
  <c r="F613" i="9"/>
  <c r="F621" i="9"/>
  <c r="F629" i="9"/>
  <c r="F637" i="9"/>
  <c r="F645" i="9"/>
  <c r="F653" i="9"/>
  <c r="F661" i="9"/>
  <c r="F669" i="9"/>
  <c r="F677" i="9"/>
  <c r="F685" i="9"/>
  <c r="F693" i="9"/>
  <c r="F701" i="9"/>
  <c r="F709" i="9"/>
  <c r="F717" i="9"/>
  <c r="F725" i="9"/>
  <c r="F733" i="9"/>
  <c r="F741" i="9"/>
  <c r="F749" i="9"/>
  <c r="F757" i="9"/>
  <c r="F765" i="9"/>
  <c r="F773" i="9"/>
  <c r="F781" i="9"/>
  <c r="F789" i="9"/>
  <c r="F797" i="9"/>
  <c r="F805" i="9"/>
  <c r="F813" i="9"/>
  <c r="F821" i="9"/>
  <c r="F829" i="9"/>
  <c r="F837" i="9"/>
  <c r="F845" i="9"/>
  <c r="F853" i="9"/>
  <c r="F861" i="9"/>
  <c r="F869" i="9"/>
  <c r="F877" i="9"/>
  <c r="F885" i="9"/>
  <c r="F893" i="9"/>
  <c r="F901" i="9"/>
  <c r="F909" i="9"/>
  <c r="F917" i="9"/>
  <c r="F925" i="9"/>
  <c r="F933" i="9"/>
  <c r="F941" i="9"/>
  <c r="F949" i="9"/>
  <c r="F957" i="9"/>
  <c r="F965" i="9"/>
  <c r="F973" i="9"/>
  <c r="F981" i="9"/>
  <c r="F989" i="9"/>
  <c r="F997" i="9"/>
  <c r="F1005" i="9"/>
  <c r="F1013" i="9"/>
  <c r="F1021" i="9"/>
  <c r="F1029" i="9"/>
  <c r="F1037" i="9"/>
  <c r="F1045" i="9"/>
  <c r="F1053" i="9"/>
  <c r="F1061" i="9"/>
  <c r="F1069" i="9"/>
  <c r="F1077" i="9"/>
  <c r="F1085" i="9"/>
  <c r="F1093" i="9"/>
  <c r="F1101" i="9"/>
  <c r="F1109" i="9"/>
  <c r="F1117" i="9"/>
  <c r="F1125" i="9"/>
  <c r="F1133" i="9"/>
  <c r="F1141" i="9"/>
  <c r="F1149" i="9"/>
  <c r="F1157" i="9"/>
  <c r="F1165" i="9"/>
  <c r="F1173" i="9"/>
  <c r="F1181" i="9"/>
  <c r="F1189" i="9"/>
  <c r="F1197" i="9"/>
  <c r="F1205" i="9"/>
  <c r="F1213" i="9"/>
  <c r="F1221" i="9"/>
  <c r="F1229" i="9"/>
  <c r="F1237" i="9"/>
  <c r="F1245" i="9"/>
  <c r="F1253" i="9"/>
  <c r="F1261" i="9"/>
  <c r="F1269" i="9"/>
  <c r="F1277" i="9"/>
  <c r="F1285" i="9"/>
  <c r="F1293" i="9"/>
  <c r="F1301" i="9"/>
  <c r="F1309" i="9"/>
  <c r="F1317" i="9"/>
  <c r="F1325" i="9"/>
  <c r="F1333" i="9"/>
  <c r="F1341" i="9"/>
  <c r="F1349" i="9"/>
  <c r="F1357" i="9"/>
  <c r="F1365" i="9"/>
  <c r="F1373" i="9"/>
  <c r="F1381" i="9"/>
  <c r="F1389" i="9"/>
  <c r="F1397" i="9"/>
  <c r="F1405" i="9"/>
  <c r="F1413" i="9"/>
  <c r="F1421" i="9"/>
  <c r="F1429" i="9"/>
  <c r="F1437" i="9"/>
  <c r="F1445" i="9"/>
  <c r="F1453" i="9"/>
  <c r="F1461" i="9"/>
  <c r="F1469" i="9"/>
  <c r="F1477" i="9"/>
  <c r="F1485" i="9"/>
  <c r="F1493" i="9"/>
  <c r="F1501" i="9"/>
  <c r="F1509" i="9"/>
  <c r="F1517" i="9"/>
  <c r="F1525" i="9"/>
  <c r="F1533" i="9"/>
  <c r="F1541" i="9"/>
  <c r="F1549" i="9"/>
  <c r="F1557" i="9"/>
  <c r="F1565" i="9"/>
  <c r="F1573" i="9"/>
  <c r="F1581" i="9"/>
  <c r="F1589" i="9"/>
  <c r="F1597" i="9"/>
  <c r="F1605" i="9"/>
  <c r="F1613" i="9"/>
  <c r="F1621" i="9"/>
  <c r="F1629" i="9"/>
  <c r="K1696" i="9"/>
  <c r="J459" i="9"/>
  <c r="J971" i="9"/>
  <c r="J1304" i="9"/>
  <c r="J1560" i="9"/>
  <c r="J1816" i="9"/>
  <c r="J2072" i="9"/>
  <c r="J2328" i="9"/>
  <c r="I249" i="9"/>
  <c r="I505" i="9"/>
  <c r="I706" i="9"/>
  <c r="I858" i="9"/>
  <c r="I986" i="9"/>
  <c r="I1114" i="9"/>
  <c r="I1242" i="9"/>
  <c r="I1370" i="9"/>
  <c r="I1498" i="9"/>
  <c r="I1626" i="9"/>
  <c r="I1754" i="9"/>
  <c r="I1882" i="9"/>
  <c r="I2010" i="9"/>
  <c r="I2108" i="9"/>
  <c r="I2183" i="9"/>
  <c r="I2256" i="9"/>
  <c r="I2324" i="9"/>
  <c r="H53" i="9"/>
  <c r="H117" i="9"/>
  <c r="H181" i="9"/>
  <c r="H245" i="9"/>
  <c r="H309" i="9"/>
  <c r="H373" i="9"/>
  <c r="H437" i="9"/>
  <c r="H501" i="9"/>
  <c r="H565" i="9"/>
  <c r="H629" i="9"/>
  <c r="H693" i="9"/>
  <c r="H757" i="9"/>
  <c r="H821" i="9"/>
  <c r="H885" i="9"/>
  <c r="H949" i="9"/>
  <c r="H1006" i="9"/>
  <c r="H1052" i="9"/>
  <c r="H1094" i="9"/>
  <c r="H1136" i="9"/>
  <c r="H1174" i="9"/>
  <c r="H1206" i="9"/>
  <c r="H1238" i="9"/>
  <c r="H1270" i="9"/>
  <c r="H1302" i="9"/>
  <c r="H1334" i="9"/>
  <c r="H1366" i="9"/>
  <c r="H1398" i="9"/>
  <c r="H1430" i="9"/>
  <c r="H1462" i="9"/>
  <c r="H1494" i="9"/>
  <c r="H1526" i="9"/>
  <c r="H1558" i="9"/>
  <c r="H1590" i="9"/>
  <c r="H1622" i="9"/>
  <c r="H1654" i="9"/>
  <c r="H1686" i="9"/>
  <c r="H1718" i="9"/>
  <c r="H1750" i="9"/>
  <c r="H1782" i="9"/>
  <c r="H1814" i="9"/>
  <c r="H1846" i="9"/>
  <c r="H1878" i="9"/>
  <c r="H1910" i="9"/>
  <c r="H1942" i="9"/>
  <c r="H1974" i="9"/>
  <c r="H2006" i="9"/>
  <c r="H2038" i="9"/>
  <c r="H2070" i="9"/>
  <c r="H2102" i="9"/>
  <c r="H2134" i="9"/>
  <c r="H2166" i="9"/>
  <c r="H2198" i="9"/>
  <c r="H2230" i="9"/>
  <c r="H2262" i="9"/>
  <c r="H2294" i="9"/>
  <c r="H2326" i="9"/>
  <c r="G23" i="9"/>
  <c r="G50" i="9"/>
  <c r="G77" i="9"/>
  <c r="G103" i="9"/>
  <c r="G128" i="9"/>
  <c r="G152" i="9"/>
  <c r="G174" i="9"/>
  <c r="G194" i="9"/>
  <c r="G216" i="9"/>
  <c r="G238" i="9"/>
  <c r="G258" i="9"/>
  <c r="G277" i="9"/>
  <c r="G295" i="9"/>
  <c r="G313" i="9"/>
  <c r="G332" i="9"/>
  <c r="G350" i="9"/>
  <c r="G368" i="9"/>
  <c r="G386" i="9"/>
  <c r="G405" i="9"/>
  <c r="G421" i="9"/>
  <c r="G437" i="9"/>
  <c r="G453" i="9"/>
  <c r="G469" i="9"/>
  <c r="G485" i="9"/>
  <c r="G501" i="9"/>
  <c r="G517" i="9"/>
  <c r="G533" i="9"/>
  <c r="G549" i="9"/>
  <c r="G565" i="9"/>
  <c r="G581" i="9"/>
  <c r="G597" i="9"/>
  <c r="G613" i="9"/>
  <c r="G629" i="9"/>
  <c r="G645" i="9"/>
  <c r="G661" i="9"/>
  <c r="G677" i="9"/>
  <c r="G693" i="9"/>
  <c r="G709" i="9"/>
  <c r="G725" i="9"/>
  <c r="G741" i="9"/>
  <c r="G757" i="9"/>
  <c r="G773" i="9"/>
  <c r="G789" i="9"/>
  <c r="G805" i="9"/>
  <c r="G821" i="9"/>
  <c r="G837" i="9"/>
  <c r="G853" i="9"/>
  <c r="G869" i="9"/>
  <c r="G885" i="9"/>
  <c r="G901" i="9"/>
  <c r="G917" i="9"/>
  <c r="G933" i="9"/>
  <c r="G949" i="9"/>
  <c r="G965" i="9"/>
  <c r="G981" i="9"/>
  <c r="G997" i="9"/>
  <c r="G1013" i="9"/>
  <c r="G1029" i="9"/>
  <c r="G1045" i="9"/>
  <c r="G1061" i="9"/>
  <c r="G1077" i="9"/>
  <c r="G1093" i="9"/>
  <c r="G1109" i="9"/>
  <c r="G1125" i="9"/>
  <c r="G1141" i="9"/>
  <c r="G1157" i="9"/>
  <c r="G1173" i="9"/>
  <c r="G1189" i="9"/>
  <c r="G1205" i="9"/>
  <c r="G1221" i="9"/>
  <c r="G1237" i="9"/>
  <c r="G1253" i="9"/>
  <c r="G1269" i="9"/>
  <c r="G1285" i="9"/>
  <c r="G1301" i="9"/>
  <c r="G1317" i="9"/>
  <c r="G1333" i="9"/>
  <c r="G1349" i="9"/>
  <c r="G1365" i="9"/>
  <c r="G1381" i="9"/>
  <c r="G1397" i="9"/>
  <c r="G1413" i="9"/>
  <c r="G1429" i="9"/>
  <c r="G1445" i="9"/>
  <c r="G1461" i="9"/>
  <c r="G1477" i="9"/>
  <c r="G1493" i="9"/>
  <c r="G1509" i="9"/>
  <c r="G1525" i="9"/>
  <c r="G1541" i="9"/>
  <c r="G1557" i="9"/>
  <c r="G1573" i="9"/>
  <c r="G1589" i="9"/>
  <c r="G1605" i="9"/>
  <c r="G1621" i="9"/>
  <c r="G1637" i="9"/>
  <c r="G1653" i="9"/>
  <c r="G1669" i="9"/>
  <c r="G1685" i="9"/>
  <c r="G1701" i="9"/>
  <c r="G1717" i="9"/>
  <c r="G1733" i="9"/>
  <c r="G1749" i="9"/>
  <c r="G1765" i="9"/>
  <c r="G1781" i="9"/>
  <c r="G1797" i="9"/>
  <c r="G1813" i="9"/>
  <c r="G1829" i="9"/>
  <c r="G1845" i="9"/>
  <c r="G1861" i="9"/>
  <c r="G1877" i="9"/>
  <c r="G1893" i="9"/>
  <c r="G1909" i="9"/>
  <c r="G1925" i="9"/>
  <c r="G1941" i="9"/>
  <c r="G1957" i="9"/>
  <c r="G1973" i="9"/>
  <c r="G1989" i="9"/>
  <c r="G2005" i="9"/>
  <c r="G2021" i="9"/>
  <c r="G2037" i="9"/>
  <c r="G2053" i="9"/>
  <c r="G2069" i="9"/>
  <c r="G2085" i="9"/>
  <c r="G2101" i="9"/>
  <c r="G2117" i="9"/>
  <c r="G2133" i="9"/>
  <c r="G2149" i="9"/>
  <c r="G2165" i="9"/>
  <c r="G2181" i="9"/>
  <c r="G2197" i="9"/>
  <c r="G2213" i="9"/>
  <c r="G2229" i="9"/>
  <c r="G2245" i="9"/>
  <c r="G2261" i="9"/>
  <c r="G2277" i="9"/>
  <c r="G2293" i="9"/>
  <c r="G2309" i="9"/>
  <c r="G2325" i="9"/>
  <c r="F6" i="9"/>
  <c r="F22" i="9"/>
  <c r="F38" i="9"/>
  <c r="F54" i="9"/>
  <c r="F70" i="9"/>
  <c r="F86" i="9"/>
  <c r="F102" i="9"/>
  <c r="F118" i="9"/>
  <c r="F134" i="9"/>
  <c r="F150" i="9"/>
  <c r="F166" i="9"/>
  <c r="F182" i="9"/>
  <c r="F198" i="9"/>
  <c r="F214" i="9"/>
  <c r="F230" i="9"/>
  <c r="F246" i="9"/>
  <c r="F262" i="9"/>
  <c r="F278" i="9"/>
  <c r="F294" i="9"/>
  <c r="F310" i="9"/>
  <c r="F326" i="9"/>
  <c r="F342" i="9"/>
  <c r="F358" i="9"/>
  <c r="F374" i="9"/>
  <c r="F390" i="9"/>
  <c r="F406" i="9"/>
  <c r="F422" i="9"/>
  <c r="F438" i="9"/>
  <c r="F454" i="9"/>
  <c r="F470" i="9"/>
  <c r="F486" i="9"/>
  <c r="F502" i="9"/>
  <c r="F518" i="9"/>
  <c r="F534" i="9"/>
  <c r="F550" i="9"/>
  <c r="F566" i="9"/>
  <c r="F582" i="9"/>
  <c r="F598" i="9"/>
  <c r="F614" i="9"/>
  <c r="F630" i="9"/>
  <c r="F646" i="9"/>
  <c r="F662" i="9"/>
  <c r="F678" i="9"/>
  <c r="F694" i="9"/>
  <c r="F710" i="9"/>
  <c r="F726" i="9"/>
  <c r="F742" i="9"/>
  <c r="F758" i="9"/>
  <c r="F774" i="9"/>
  <c r="F790" i="9"/>
  <c r="F806" i="9"/>
  <c r="F822" i="9"/>
  <c r="F838" i="9"/>
  <c r="F854" i="9"/>
  <c r="F870" i="9"/>
  <c r="F886" i="9"/>
  <c r="F902" i="9"/>
  <c r="F918" i="9"/>
  <c r="F934" i="9"/>
  <c r="F950" i="9"/>
  <c r="F966" i="9"/>
  <c r="F982" i="9"/>
  <c r="F998" i="9"/>
  <c r="F1014" i="9"/>
  <c r="F1030" i="9"/>
  <c r="F1046" i="9"/>
  <c r="F1062" i="9"/>
  <c r="F1078" i="9"/>
  <c r="F1094" i="9"/>
  <c r="F1110" i="9"/>
  <c r="F1126" i="9"/>
  <c r="F1142" i="9"/>
  <c r="F1158" i="9"/>
  <c r="F1174" i="9"/>
  <c r="F1190" i="9"/>
  <c r="F1206" i="9"/>
  <c r="F1222" i="9"/>
  <c r="F1238" i="9"/>
  <c r="F1254" i="9"/>
  <c r="F1270" i="9"/>
  <c r="F1286" i="9"/>
  <c r="F1302" i="9"/>
  <c r="F1318" i="9"/>
  <c r="F1334" i="9"/>
  <c r="F1350" i="9"/>
  <c r="F1366" i="9"/>
  <c r="F1382" i="9"/>
  <c r="F1398" i="9"/>
  <c r="F1414" i="9"/>
  <c r="F1430" i="9"/>
  <c r="F1446" i="9"/>
  <c r="F1462" i="9"/>
  <c r="F1478" i="9"/>
  <c r="F1494" i="9"/>
  <c r="F1510" i="9"/>
  <c r="F1526" i="9"/>
  <c r="F1542" i="9"/>
  <c r="F1558" i="9"/>
  <c r="F1574" i="9"/>
  <c r="F1590" i="9"/>
  <c r="F1606" i="9"/>
  <c r="F1622" i="9"/>
  <c r="F1637" i="9"/>
  <c r="F1648" i="9"/>
  <c r="F1662" i="9"/>
  <c r="F1673" i="9"/>
  <c r="F1687" i="9"/>
  <c r="F1701" i="9"/>
  <c r="F1712" i="9"/>
  <c r="F1726" i="9"/>
  <c r="F1737" i="9"/>
  <c r="F1749" i="9"/>
  <c r="F1759" i="9"/>
  <c r="F1769" i="9"/>
  <c r="F1781" i="9"/>
  <c r="F1791" i="9"/>
  <c r="F1801" i="9"/>
  <c r="F1813" i="9"/>
  <c r="F1823" i="9"/>
  <c r="F1833" i="9"/>
  <c r="F1845" i="9"/>
  <c r="F1855" i="9"/>
  <c r="F1865" i="9"/>
  <c r="F1877" i="9"/>
  <c r="F1887" i="9"/>
  <c r="F1897" i="9"/>
  <c r="F1909" i="9"/>
  <c r="F1919" i="9"/>
  <c r="F1929" i="9"/>
  <c r="F1938" i="9"/>
  <c r="F1946" i="9"/>
  <c r="F1954" i="9"/>
  <c r="F1962" i="9"/>
  <c r="F1970" i="9"/>
  <c r="F1978" i="9"/>
  <c r="F1986" i="9"/>
  <c r="F1994" i="9"/>
  <c r="F2002" i="9"/>
  <c r="F2010" i="9"/>
  <c r="F2018" i="9"/>
  <c r="F2026" i="9"/>
  <c r="F2034" i="9"/>
  <c r="F2042" i="9"/>
  <c r="F2050" i="9"/>
  <c r="F2058" i="9"/>
  <c r="F2066" i="9"/>
  <c r="F2074" i="9"/>
  <c r="F2082" i="9"/>
  <c r="F2090" i="9"/>
  <c r="F2098" i="9"/>
  <c r="F2106" i="9"/>
  <c r="F2114" i="9"/>
  <c r="F2122" i="9"/>
  <c r="F2130" i="9"/>
  <c r="F2138" i="9"/>
  <c r="F2146" i="9"/>
  <c r="F2154" i="9"/>
  <c r="F2162" i="9"/>
  <c r="F2170" i="9"/>
  <c r="F2178" i="9"/>
  <c r="F2186" i="9"/>
  <c r="F2194" i="9"/>
  <c r="F2202" i="9"/>
  <c r="F2210" i="9"/>
  <c r="F2218" i="9"/>
  <c r="F2226" i="9"/>
  <c r="F2234" i="9"/>
  <c r="F2242" i="9"/>
  <c r="F2250" i="9"/>
  <c r="F2258" i="9"/>
  <c r="F2266" i="9"/>
  <c r="F2274" i="9"/>
  <c r="F2282" i="9"/>
  <c r="F2290" i="9"/>
  <c r="F2298" i="9"/>
  <c r="F2306" i="9"/>
  <c r="F2314" i="9"/>
  <c r="F2322" i="9"/>
  <c r="F2330" i="9"/>
  <c r="E3" i="9"/>
  <c r="E11" i="9"/>
  <c r="E19" i="9"/>
  <c r="E27" i="9"/>
  <c r="E35" i="9"/>
  <c r="E43" i="9"/>
  <c r="E51" i="9"/>
  <c r="E59" i="9"/>
  <c r="E67" i="9"/>
  <c r="E75" i="9"/>
  <c r="E83" i="9"/>
  <c r="E91" i="9"/>
  <c r="E99" i="9"/>
  <c r="E107" i="9"/>
  <c r="E115" i="9"/>
  <c r="E123" i="9"/>
  <c r="E131" i="9"/>
  <c r="E139" i="9"/>
  <c r="E147" i="9"/>
  <c r="E155" i="9"/>
  <c r="E163" i="9"/>
  <c r="E171" i="9"/>
  <c r="E179" i="9"/>
  <c r="E187" i="9"/>
  <c r="E195" i="9"/>
  <c r="E203" i="9"/>
  <c r="E211" i="9"/>
  <c r="E219" i="9"/>
  <c r="E227" i="9"/>
  <c r="E235" i="9"/>
  <c r="E243" i="9"/>
  <c r="E251" i="9"/>
  <c r="E259" i="9"/>
  <c r="E267" i="9"/>
  <c r="E275" i="9"/>
  <c r="E283" i="9"/>
  <c r="E291" i="9"/>
  <c r="E299" i="9"/>
  <c r="E307" i="9"/>
  <c r="E315" i="9"/>
  <c r="E323" i="9"/>
  <c r="E331" i="9"/>
  <c r="E339" i="9"/>
  <c r="E347" i="9"/>
  <c r="E355" i="9"/>
  <c r="E363" i="9"/>
  <c r="E371" i="9"/>
  <c r="E379" i="9"/>
  <c r="E387" i="9"/>
  <c r="E395" i="9"/>
  <c r="E403" i="9"/>
  <c r="E411" i="9"/>
  <c r="E419" i="9"/>
  <c r="E427" i="9"/>
  <c r="E435" i="9"/>
  <c r="E443" i="9"/>
  <c r="E451" i="9"/>
  <c r="E459" i="9"/>
  <c r="E467" i="9"/>
  <c r="E475" i="9"/>
  <c r="E483" i="9"/>
  <c r="E491" i="9"/>
  <c r="E499" i="9"/>
  <c r="E507" i="9"/>
  <c r="E515" i="9"/>
  <c r="E523" i="9"/>
  <c r="E531" i="9"/>
  <c r="E539" i="9"/>
  <c r="E547" i="9"/>
  <c r="E555" i="9"/>
  <c r="E563" i="9"/>
  <c r="E571" i="9"/>
  <c r="E579" i="9"/>
  <c r="E587" i="9"/>
  <c r="E595" i="9"/>
  <c r="E603" i="9"/>
  <c r="E611" i="9"/>
  <c r="E619" i="9"/>
  <c r="E627" i="9"/>
  <c r="E635" i="9"/>
  <c r="E643" i="9"/>
  <c r="E651" i="9"/>
  <c r="E659" i="9"/>
  <c r="E667" i="9"/>
  <c r="E675" i="9"/>
  <c r="E683" i="9"/>
  <c r="E691" i="9"/>
  <c r="E699" i="9"/>
  <c r="E707" i="9"/>
  <c r="E715" i="9"/>
  <c r="E723" i="9"/>
  <c r="E731" i="9"/>
  <c r="E739" i="9"/>
  <c r="E747" i="9"/>
  <c r="E755" i="9"/>
  <c r="E763" i="9"/>
  <c r="E771" i="9"/>
  <c r="E779" i="9"/>
  <c r="E787" i="9"/>
  <c r="E795" i="9"/>
  <c r="E803" i="9"/>
  <c r="E811" i="9"/>
  <c r="E819" i="9"/>
  <c r="E827" i="9"/>
  <c r="E835" i="9"/>
  <c r="E843" i="9"/>
  <c r="E851" i="9"/>
  <c r="E859" i="9"/>
  <c r="E867" i="9"/>
  <c r="E875" i="9"/>
  <c r="E883" i="9"/>
  <c r="E891" i="9"/>
  <c r="E899" i="9"/>
  <c r="E907" i="9"/>
  <c r="E915" i="9"/>
  <c r="E923" i="9"/>
  <c r="E931" i="9"/>
  <c r="E939" i="9"/>
  <c r="E947" i="9"/>
  <c r="E955" i="9"/>
  <c r="E963" i="9"/>
  <c r="E971" i="9"/>
  <c r="E979" i="9"/>
  <c r="E987" i="9"/>
  <c r="E995" i="9"/>
  <c r="E1003" i="9"/>
  <c r="E1011" i="9"/>
  <c r="E1019" i="9"/>
  <c r="E1027" i="9"/>
  <c r="E1035" i="9"/>
  <c r="E1043" i="9"/>
  <c r="E1051" i="9"/>
  <c r="E1059" i="9"/>
  <c r="E1067" i="9"/>
  <c r="E1075" i="9"/>
  <c r="E1083" i="9"/>
  <c r="E1091" i="9"/>
  <c r="E1099" i="9"/>
  <c r="E1107" i="9"/>
  <c r="E1115" i="9"/>
  <c r="E1123" i="9"/>
  <c r="E1131" i="9"/>
  <c r="E1139" i="9"/>
  <c r="E1147" i="9"/>
  <c r="E1155" i="9"/>
  <c r="E1163" i="9"/>
  <c r="E1171" i="9"/>
  <c r="E1179" i="9"/>
  <c r="E1187" i="9"/>
  <c r="E1195" i="9"/>
  <c r="E1203" i="9"/>
  <c r="E1211" i="9"/>
  <c r="E1219" i="9"/>
  <c r="E1227" i="9"/>
  <c r="E1235" i="9"/>
  <c r="E1243" i="9"/>
  <c r="E1251" i="9"/>
  <c r="E1259" i="9"/>
  <c r="E1267" i="9"/>
  <c r="E1275" i="9"/>
  <c r="E1283" i="9"/>
  <c r="E1291" i="9"/>
  <c r="E1299" i="9"/>
  <c r="E1307" i="9"/>
  <c r="E1315" i="9"/>
  <c r="E1323" i="9"/>
  <c r="E1331" i="9"/>
  <c r="E1339" i="9"/>
  <c r="E1347" i="9"/>
  <c r="E1355" i="9"/>
  <c r="E1363" i="9"/>
  <c r="E1371" i="9"/>
  <c r="E1379" i="9"/>
  <c r="E1387" i="9"/>
  <c r="E1395" i="9"/>
  <c r="E1403" i="9"/>
  <c r="E1411" i="9"/>
  <c r="E1419" i="9"/>
  <c r="E1427" i="9"/>
  <c r="E1435" i="9"/>
  <c r="E1443" i="9"/>
  <c r="E1451" i="9"/>
  <c r="E1459" i="9"/>
  <c r="E1467" i="9"/>
  <c r="E1475" i="9"/>
  <c r="E1483" i="9"/>
  <c r="E1491" i="9"/>
  <c r="E1499" i="9"/>
  <c r="E1507" i="9"/>
  <c r="E1515" i="9"/>
  <c r="E1523" i="9"/>
  <c r="E1531" i="9"/>
  <c r="E1539" i="9"/>
  <c r="E1547" i="9"/>
  <c r="E1555" i="9"/>
  <c r="E1563" i="9"/>
  <c r="E1571" i="9"/>
  <c r="E1579" i="9"/>
  <c r="E1587" i="9"/>
  <c r="E1595" i="9"/>
  <c r="E1603" i="9"/>
  <c r="E1611" i="9"/>
  <c r="E1619" i="9"/>
  <c r="E1627" i="9"/>
  <c r="E1635" i="9"/>
  <c r="E1643" i="9"/>
  <c r="E1651" i="9"/>
  <c r="E1659" i="9"/>
  <c r="E1667" i="9"/>
  <c r="E1675" i="9"/>
  <c r="E1683" i="9"/>
  <c r="E1691" i="9"/>
  <c r="E1699" i="9"/>
  <c r="E1707" i="9"/>
  <c r="E1715" i="9"/>
  <c r="E1723" i="9"/>
  <c r="E1731" i="9"/>
  <c r="E1739" i="9"/>
  <c r="E1747" i="9"/>
  <c r="E1755" i="9"/>
  <c r="E1763" i="9"/>
  <c r="E1771" i="9"/>
  <c r="E1779" i="9"/>
  <c r="E1787" i="9"/>
  <c r="E1795" i="9"/>
  <c r="E1803" i="9"/>
  <c r="E1811" i="9"/>
  <c r="E1819" i="9"/>
  <c r="E1827" i="9"/>
  <c r="E1835" i="9"/>
  <c r="E1843" i="9"/>
  <c r="E1851" i="9"/>
  <c r="K1697" i="9"/>
  <c r="J460" i="9"/>
  <c r="J972" i="9"/>
  <c r="J1305" i="9"/>
  <c r="J1561" i="9"/>
  <c r="J1817" i="9"/>
  <c r="J2073" i="9"/>
  <c r="J2329" i="9"/>
  <c r="I250" i="9"/>
  <c r="I506" i="9"/>
  <c r="I707" i="9"/>
  <c r="I859" i="9"/>
  <c r="I987" i="9"/>
  <c r="I1115" i="9"/>
  <c r="I1243" i="9"/>
  <c r="I1371" i="9"/>
  <c r="I1499" i="9"/>
  <c r="I1627" i="9"/>
  <c r="I1755" i="9"/>
  <c r="I1883" i="9"/>
  <c r="I2011" i="9"/>
  <c r="I2109" i="9"/>
  <c r="I2184" i="9"/>
  <c r="I2257" i="9"/>
  <c r="I2325" i="9"/>
  <c r="H54" i="9"/>
  <c r="H118" i="9"/>
  <c r="H182" i="9"/>
  <c r="H246" i="9"/>
  <c r="H310" i="9"/>
  <c r="H374" i="9"/>
  <c r="H438" i="9"/>
  <c r="H502" i="9"/>
  <c r="H566" i="9"/>
  <c r="H630" i="9"/>
  <c r="H694" i="9"/>
  <c r="H758" i="9"/>
  <c r="H822" i="9"/>
  <c r="H886" i="9"/>
  <c r="H950" i="9"/>
  <c r="H1007" i="9"/>
  <c r="H1053" i="9"/>
  <c r="H1095" i="9"/>
  <c r="H1138" i="9"/>
  <c r="H1175" i="9"/>
  <c r="H1207" i="9"/>
  <c r="H1239" i="9"/>
  <c r="H1271" i="9"/>
  <c r="H1303" i="9"/>
  <c r="H1335" i="9"/>
  <c r="H1367" i="9"/>
  <c r="H1399" i="9"/>
  <c r="H1431" i="9"/>
  <c r="H1463" i="9"/>
  <c r="H1495" i="9"/>
  <c r="H1527" i="9"/>
  <c r="H1559" i="9"/>
  <c r="H1591" i="9"/>
  <c r="H1623" i="9"/>
  <c r="H1655" i="9"/>
  <c r="H1687" i="9"/>
  <c r="H1719" i="9"/>
  <c r="H1751" i="9"/>
  <c r="H1783" i="9"/>
  <c r="H1815" i="9"/>
  <c r="H1847" i="9"/>
  <c r="H1879" i="9"/>
  <c r="H1911" i="9"/>
  <c r="H1943" i="9"/>
  <c r="H1975" i="9"/>
  <c r="H2007" i="9"/>
  <c r="H2039" i="9"/>
  <c r="H2071" i="9"/>
  <c r="H2103" i="9"/>
  <c r="H2135" i="9"/>
  <c r="H2167" i="9"/>
  <c r="H2199" i="9"/>
  <c r="H2231" i="9"/>
  <c r="H2263" i="9"/>
  <c r="H2295" i="9"/>
  <c r="H2327" i="9"/>
  <c r="G24" i="9"/>
  <c r="G53" i="9"/>
  <c r="G79" i="9"/>
  <c r="G104" i="9"/>
  <c r="G129" i="9"/>
  <c r="G153" i="9"/>
  <c r="G175" i="9"/>
  <c r="G197" i="9"/>
  <c r="G217" i="9"/>
  <c r="G239" i="9"/>
  <c r="G260" i="9"/>
  <c r="G278" i="9"/>
  <c r="G296" i="9"/>
  <c r="G314" i="9"/>
  <c r="G333" i="9"/>
  <c r="G351" i="9"/>
  <c r="G369" i="9"/>
  <c r="G388" i="9"/>
  <c r="G406" i="9"/>
  <c r="G422" i="9"/>
  <c r="G438" i="9"/>
  <c r="G454" i="9"/>
  <c r="G470" i="9"/>
  <c r="G486" i="9"/>
  <c r="G502" i="9"/>
  <c r="G518" i="9"/>
  <c r="G534" i="9"/>
  <c r="G550" i="9"/>
  <c r="G566" i="9"/>
  <c r="G582" i="9"/>
  <c r="G598" i="9"/>
  <c r="G614" i="9"/>
  <c r="G630" i="9"/>
  <c r="G646" i="9"/>
  <c r="G662" i="9"/>
  <c r="G678" i="9"/>
  <c r="G694" i="9"/>
  <c r="G710" i="9"/>
  <c r="G726" i="9"/>
  <c r="G742" i="9"/>
  <c r="G758" i="9"/>
  <c r="G774" i="9"/>
  <c r="G790" i="9"/>
  <c r="G806" i="9"/>
  <c r="G822" i="9"/>
  <c r="G838" i="9"/>
  <c r="G854" i="9"/>
  <c r="G870" i="9"/>
  <c r="G886" i="9"/>
  <c r="G902" i="9"/>
  <c r="G918" i="9"/>
  <c r="G934" i="9"/>
  <c r="G950" i="9"/>
  <c r="G966" i="9"/>
  <c r="G982" i="9"/>
  <c r="G998" i="9"/>
  <c r="G1014" i="9"/>
  <c r="G1030" i="9"/>
  <c r="G1046" i="9"/>
  <c r="G1062" i="9"/>
  <c r="G1078" i="9"/>
  <c r="G1094" i="9"/>
  <c r="G1110" i="9"/>
  <c r="G1126" i="9"/>
  <c r="G1142" i="9"/>
  <c r="G1158" i="9"/>
  <c r="G1174" i="9"/>
  <c r="G1190" i="9"/>
  <c r="G1206" i="9"/>
  <c r="G1222" i="9"/>
  <c r="G1238" i="9"/>
  <c r="G1254" i="9"/>
  <c r="G1270" i="9"/>
  <c r="G1286" i="9"/>
  <c r="G1302" i="9"/>
  <c r="G1318" i="9"/>
  <c r="G1334" i="9"/>
  <c r="G1350" i="9"/>
  <c r="G1366" i="9"/>
  <c r="G1382" i="9"/>
  <c r="G1398" i="9"/>
  <c r="G1414" i="9"/>
  <c r="G1430" i="9"/>
  <c r="G1446" i="9"/>
  <c r="G1462" i="9"/>
  <c r="G1478" i="9"/>
  <c r="G1494" i="9"/>
  <c r="G1510" i="9"/>
  <c r="G1526" i="9"/>
  <c r="G1542" i="9"/>
  <c r="G1558" i="9"/>
  <c r="G1574" i="9"/>
  <c r="G1590" i="9"/>
  <c r="G1606" i="9"/>
  <c r="G1622" i="9"/>
  <c r="G1638" i="9"/>
  <c r="G1654" i="9"/>
  <c r="G1670" i="9"/>
  <c r="G1686" i="9"/>
  <c r="G1702" i="9"/>
  <c r="G1718" i="9"/>
  <c r="G1734" i="9"/>
  <c r="G1750" i="9"/>
  <c r="G1766" i="9"/>
  <c r="G1782" i="9"/>
  <c r="G1798" i="9"/>
  <c r="G1814" i="9"/>
  <c r="G1830" i="9"/>
  <c r="G1846" i="9"/>
  <c r="G1862" i="9"/>
  <c r="G1878" i="9"/>
  <c r="G1894" i="9"/>
  <c r="G1910" i="9"/>
  <c r="G1926" i="9"/>
  <c r="G1942" i="9"/>
  <c r="G1958" i="9"/>
  <c r="G1974" i="9"/>
  <c r="G1990" i="9"/>
  <c r="G2006" i="9"/>
  <c r="G2022" i="9"/>
  <c r="G2038" i="9"/>
  <c r="G2054" i="9"/>
  <c r="G2070" i="9"/>
  <c r="G2086" i="9"/>
  <c r="G2102" i="9"/>
  <c r="G2118" i="9"/>
  <c r="G2134" i="9"/>
  <c r="G2150" i="9"/>
  <c r="G2166" i="9"/>
  <c r="G2182" i="9"/>
  <c r="G2198" i="9"/>
  <c r="G2214" i="9"/>
  <c r="G2230" i="9"/>
  <c r="G2246" i="9"/>
  <c r="G2262" i="9"/>
  <c r="G2278" i="9"/>
  <c r="G2294" i="9"/>
  <c r="G2310" i="9"/>
  <c r="G2326" i="9"/>
  <c r="F7" i="9"/>
  <c r="F23" i="9"/>
  <c r="F39" i="9"/>
  <c r="F55" i="9"/>
  <c r="F71" i="9"/>
  <c r="F87" i="9"/>
  <c r="F103" i="9"/>
  <c r="F119" i="9"/>
  <c r="F135" i="9"/>
  <c r="F151" i="9"/>
  <c r="F167" i="9"/>
  <c r="F183" i="9"/>
  <c r="F199" i="9"/>
  <c r="F215" i="9"/>
  <c r="F231" i="9"/>
  <c r="F247" i="9"/>
  <c r="F263" i="9"/>
  <c r="F279" i="9"/>
  <c r="F295" i="9"/>
  <c r="F311" i="9"/>
  <c r="F327" i="9"/>
  <c r="F343" i="9"/>
  <c r="F359" i="9"/>
  <c r="F375" i="9"/>
  <c r="F391" i="9"/>
  <c r="F407" i="9"/>
  <c r="F423" i="9"/>
  <c r="F439" i="9"/>
  <c r="F455" i="9"/>
  <c r="F471" i="9"/>
  <c r="F487" i="9"/>
  <c r="F503" i="9"/>
  <c r="F519" i="9"/>
  <c r="F535" i="9"/>
  <c r="F551" i="9"/>
  <c r="F567" i="9"/>
  <c r="F583" i="9"/>
  <c r="F599" i="9"/>
  <c r="F615" i="9"/>
  <c r="F631" i="9"/>
  <c r="F647" i="9"/>
  <c r="F663" i="9"/>
  <c r="F679" i="9"/>
  <c r="F695" i="9"/>
  <c r="F711" i="9"/>
  <c r="F727" i="9"/>
  <c r="F743" i="9"/>
  <c r="F759" i="9"/>
  <c r="F775" i="9"/>
  <c r="F791" i="9"/>
  <c r="F807" i="9"/>
  <c r="F823" i="9"/>
  <c r="F839" i="9"/>
  <c r="F855" i="9"/>
  <c r="F871" i="9"/>
  <c r="F887" i="9"/>
  <c r="F903" i="9"/>
  <c r="F919" i="9"/>
  <c r="F935" i="9"/>
  <c r="F951" i="9"/>
  <c r="F967" i="9"/>
  <c r="F983" i="9"/>
  <c r="F999" i="9"/>
  <c r="F1015" i="9"/>
  <c r="F1031" i="9"/>
  <c r="F1047" i="9"/>
  <c r="F1063" i="9"/>
  <c r="F1079" i="9"/>
  <c r="F1095" i="9"/>
  <c r="F1111" i="9"/>
  <c r="F1127" i="9"/>
  <c r="F1143" i="9"/>
  <c r="F1159" i="9"/>
  <c r="F1175" i="9"/>
  <c r="F1191" i="9"/>
  <c r="F1207" i="9"/>
  <c r="F1223" i="9"/>
  <c r="F1239" i="9"/>
  <c r="F1255" i="9"/>
  <c r="F1271" i="9"/>
  <c r="F1287" i="9"/>
  <c r="F1303" i="9"/>
  <c r="F1319" i="9"/>
  <c r="F1335" i="9"/>
  <c r="F1351" i="9"/>
  <c r="F1367" i="9"/>
  <c r="F1383" i="9"/>
  <c r="F1399" i="9"/>
  <c r="F1415" i="9"/>
  <c r="F1431" i="9"/>
  <c r="F1447" i="9"/>
  <c r="F1463" i="9"/>
  <c r="F1479" i="9"/>
  <c r="F1495" i="9"/>
  <c r="F1511" i="9"/>
  <c r="F1527" i="9"/>
  <c r="F1543" i="9"/>
  <c r="F1559" i="9"/>
  <c r="F1575" i="9"/>
  <c r="F1591" i="9"/>
  <c r="F1607" i="9"/>
  <c r="F1623" i="9"/>
  <c r="F1638" i="9"/>
  <c r="F1649" i="9"/>
  <c r="F1663" i="9"/>
  <c r="F1677" i="9"/>
  <c r="F1688" i="9"/>
  <c r="F1702" i="9"/>
  <c r="F1713" i="9"/>
  <c r="F1727" i="9"/>
  <c r="F1739" i="9"/>
  <c r="F1750" i="9"/>
  <c r="F1760" i="9"/>
  <c r="F1771" i="9"/>
  <c r="F1782" i="9"/>
  <c r="F1792" i="9"/>
  <c r="F1803" i="9"/>
  <c r="F1814" i="9"/>
  <c r="F1824" i="9"/>
  <c r="F1835" i="9"/>
  <c r="F1846" i="9"/>
  <c r="F1856" i="9"/>
  <c r="F1867" i="9"/>
  <c r="F1878" i="9"/>
  <c r="F1888" i="9"/>
  <c r="F1899" i="9"/>
  <c r="F1910" i="9"/>
  <c r="F1920" i="9"/>
  <c r="F1931" i="9"/>
  <c r="F1939" i="9"/>
  <c r="F1947" i="9"/>
  <c r="F1955" i="9"/>
  <c r="F1963" i="9"/>
  <c r="F1971" i="9"/>
  <c r="F1979" i="9"/>
  <c r="F1987" i="9"/>
  <c r="F1995" i="9"/>
  <c r="F2003" i="9"/>
  <c r="F2011" i="9"/>
  <c r="F2019" i="9"/>
  <c r="F2027" i="9"/>
  <c r="F2035" i="9"/>
  <c r="F2043" i="9"/>
  <c r="F2051" i="9"/>
  <c r="F2059" i="9"/>
  <c r="F2067" i="9"/>
  <c r="F2075" i="9"/>
  <c r="F2083" i="9"/>
  <c r="F2091" i="9"/>
  <c r="F2099" i="9"/>
  <c r="F2107" i="9"/>
  <c r="F2115" i="9"/>
  <c r="F2123" i="9"/>
  <c r="F2131" i="9"/>
  <c r="F2139" i="9"/>
  <c r="F2147" i="9"/>
  <c r="F2155" i="9"/>
  <c r="F2163" i="9"/>
  <c r="F2171" i="9"/>
  <c r="F2179" i="9"/>
  <c r="F2187" i="9"/>
  <c r="F2195" i="9"/>
  <c r="F2203" i="9"/>
  <c r="F2211" i="9"/>
  <c r="F2219" i="9"/>
  <c r="F2227" i="9"/>
  <c r="F2235" i="9"/>
  <c r="F2243" i="9"/>
  <c r="F2251" i="9"/>
  <c r="F2259" i="9"/>
  <c r="F2267" i="9"/>
  <c r="F2275" i="9"/>
  <c r="F2283" i="9"/>
  <c r="F2291" i="9"/>
  <c r="F2299" i="9"/>
  <c r="F2307" i="9"/>
  <c r="F2315" i="9"/>
  <c r="F2323" i="9"/>
  <c r="F2331" i="9"/>
  <c r="E4" i="9"/>
  <c r="E12" i="9"/>
  <c r="E20" i="9"/>
  <c r="E28" i="9"/>
  <c r="E36" i="9"/>
  <c r="E44" i="9"/>
  <c r="E52" i="9"/>
  <c r="E60" i="9"/>
  <c r="E68" i="9"/>
  <c r="E76" i="9"/>
  <c r="E84" i="9"/>
  <c r="E92" i="9"/>
  <c r="E100" i="9"/>
  <c r="E108" i="9"/>
  <c r="E116" i="9"/>
  <c r="E124" i="9"/>
  <c r="E132" i="9"/>
  <c r="E140" i="9"/>
  <c r="E148" i="9"/>
  <c r="E156" i="9"/>
  <c r="E164" i="9"/>
  <c r="E172" i="9"/>
  <c r="E180" i="9"/>
  <c r="E188" i="9"/>
  <c r="E196" i="9"/>
  <c r="E204" i="9"/>
  <c r="E212" i="9"/>
  <c r="E220" i="9"/>
  <c r="E228" i="9"/>
  <c r="E236" i="9"/>
  <c r="E244" i="9"/>
  <c r="E252" i="9"/>
  <c r="E260" i="9"/>
  <c r="E268" i="9"/>
  <c r="E276" i="9"/>
  <c r="E284" i="9"/>
  <c r="E292" i="9"/>
  <c r="E300" i="9"/>
  <c r="E308" i="9"/>
  <c r="E316" i="9"/>
  <c r="E324" i="9"/>
  <c r="E332" i="9"/>
  <c r="E340" i="9"/>
  <c r="E348" i="9"/>
  <c r="E356" i="9"/>
  <c r="E364" i="9"/>
  <c r="E372" i="9"/>
  <c r="E380" i="9"/>
  <c r="E388" i="9"/>
  <c r="E396" i="9"/>
  <c r="E404" i="9"/>
  <c r="E412" i="9"/>
  <c r="E420" i="9"/>
  <c r="E428" i="9"/>
  <c r="E436" i="9"/>
  <c r="E444" i="9"/>
  <c r="E452" i="9"/>
  <c r="E460" i="9"/>
  <c r="E468" i="9"/>
  <c r="E476" i="9"/>
  <c r="E484" i="9"/>
  <c r="E492" i="9"/>
  <c r="E500" i="9"/>
  <c r="E508" i="9"/>
  <c r="E516" i="9"/>
  <c r="E524" i="9"/>
  <c r="E532" i="9"/>
  <c r="E540" i="9"/>
  <c r="E548" i="9"/>
  <c r="E556" i="9"/>
  <c r="E564" i="9"/>
  <c r="E572" i="9"/>
  <c r="E580" i="9"/>
  <c r="E588" i="9"/>
  <c r="E596" i="9"/>
  <c r="E604" i="9"/>
  <c r="E612" i="9"/>
  <c r="E620" i="9"/>
  <c r="E628" i="9"/>
  <c r="E636" i="9"/>
  <c r="E644" i="9"/>
  <c r="E652" i="9"/>
  <c r="E660" i="9"/>
  <c r="E668" i="9"/>
  <c r="E676" i="9"/>
  <c r="E684" i="9"/>
  <c r="E692" i="9"/>
  <c r="E700" i="9"/>
  <c r="E708" i="9"/>
  <c r="E716" i="9"/>
  <c r="E724" i="9"/>
  <c r="E732" i="9"/>
  <c r="E740" i="9"/>
  <c r="E748" i="9"/>
  <c r="E756" i="9"/>
  <c r="E764" i="9"/>
  <c r="E772" i="9"/>
  <c r="E780" i="9"/>
  <c r="E788" i="9"/>
  <c r="E796" i="9"/>
  <c r="E804" i="9"/>
  <c r="E812" i="9"/>
  <c r="E820" i="9"/>
  <c r="E828" i="9"/>
  <c r="E836" i="9"/>
  <c r="E844" i="9"/>
  <c r="E852" i="9"/>
  <c r="E860" i="9"/>
  <c r="E868" i="9"/>
  <c r="E876" i="9"/>
  <c r="E884" i="9"/>
  <c r="E892" i="9"/>
  <c r="E900" i="9"/>
  <c r="E908" i="9"/>
  <c r="E916" i="9"/>
  <c r="E924" i="9"/>
  <c r="E932" i="9"/>
  <c r="E940" i="9"/>
  <c r="E948" i="9"/>
  <c r="E956" i="9"/>
  <c r="E964" i="9"/>
  <c r="E972" i="9"/>
  <c r="E980" i="9"/>
  <c r="E988" i="9"/>
  <c r="E996" i="9"/>
  <c r="E1004" i="9"/>
  <c r="E1012" i="9"/>
  <c r="E1020" i="9"/>
  <c r="E1028" i="9"/>
  <c r="E1036" i="9"/>
  <c r="E1044" i="9"/>
  <c r="E1052" i="9"/>
  <c r="E1060" i="9"/>
  <c r="E1068" i="9"/>
  <c r="E1076" i="9"/>
  <c r="E1084" i="9"/>
  <c r="E1092" i="9"/>
  <c r="E1100" i="9"/>
  <c r="E1108" i="9"/>
  <c r="E1116" i="9"/>
  <c r="E1124" i="9"/>
  <c r="E1132" i="9"/>
  <c r="E1140" i="9"/>
  <c r="E1148" i="9"/>
  <c r="E1156" i="9"/>
  <c r="E1164" i="9"/>
  <c r="E1172" i="9"/>
  <c r="E1180" i="9"/>
  <c r="E1188" i="9"/>
  <c r="E1196" i="9"/>
  <c r="E1204" i="9"/>
  <c r="E1212" i="9"/>
  <c r="E1220" i="9"/>
  <c r="E1228" i="9"/>
  <c r="E1236" i="9"/>
  <c r="E1244" i="9"/>
  <c r="E1252" i="9"/>
  <c r="E1260" i="9"/>
  <c r="E1268" i="9"/>
  <c r="E1276" i="9"/>
  <c r="E1284" i="9"/>
  <c r="E1292" i="9"/>
  <c r="E1300" i="9"/>
  <c r="E1308" i="9"/>
  <c r="E1316" i="9"/>
  <c r="E1324" i="9"/>
  <c r="E1332" i="9"/>
  <c r="E1340" i="9"/>
  <c r="E1348" i="9"/>
  <c r="E1356" i="9"/>
  <c r="E1364" i="9"/>
  <c r="E1372" i="9"/>
  <c r="E1380" i="9"/>
  <c r="E1388" i="9"/>
  <c r="E1396" i="9"/>
  <c r="E1404" i="9"/>
  <c r="E1412" i="9"/>
  <c r="E1420" i="9"/>
  <c r="E1428" i="9"/>
  <c r="E1436" i="9"/>
  <c r="E1444" i="9"/>
  <c r="E1452" i="9"/>
  <c r="E1460" i="9"/>
  <c r="E1468" i="9"/>
  <c r="E1476" i="9"/>
  <c r="E1484" i="9"/>
  <c r="E1492" i="9"/>
  <c r="E1500" i="9"/>
  <c r="E1508" i="9"/>
  <c r="E1516" i="9"/>
  <c r="E1524" i="9"/>
  <c r="E1532" i="9"/>
  <c r="E1540" i="9"/>
  <c r="E1548" i="9"/>
  <c r="E1556" i="9"/>
  <c r="E1564" i="9"/>
  <c r="E1572" i="9"/>
  <c r="E1580" i="9"/>
  <c r="E1588" i="9"/>
  <c r="E1596" i="9"/>
  <c r="E1604" i="9"/>
  <c r="E1612" i="9"/>
  <c r="E1620" i="9"/>
  <c r="E1628" i="9"/>
  <c r="E1636" i="9"/>
  <c r="E1644" i="9"/>
  <c r="E1652" i="9"/>
  <c r="E1660" i="9"/>
  <c r="E1668" i="9"/>
  <c r="E1676" i="9"/>
  <c r="E1684" i="9"/>
  <c r="E1692" i="9"/>
  <c r="E1700" i="9"/>
  <c r="E1708" i="9"/>
  <c r="E1716" i="9"/>
  <c r="E1724" i="9"/>
  <c r="E1732" i="9"/>
  <c r="E1740" i="9"/>
  <c r="E1748" i="9"/>
  <c r="E1756" i="9"/>
  <c r="E1764" i="9"/>
  <c r="E1772" i="9"/>
  <c r="E1780" i="9"/>
  <c r="E1788" i="9"/>
  <c r="E1796" i="9"/>
  <c r="E1804" i="9"/>
  <c r="E1812" i="9"/>
  <c r="E1820" i="9"/>
  <c r="E1828" i="9"/>
  <c r="E1836" i="9"/>
  <c r="E1844" i="9"/>
  <c r="E1852" i="9"/>
  <c r="E1860" i="9"/>
  <c r="E1868" i="9"/>
  <c r="E1876" i="9"/>
  <c r="E1884" i="9"/>
  <c r="E1892" i="9"/>
  <c r="E1900" i="9"/>
  <c r="E1908" i="9"/>
  <c r="E1916" i="9"/>
  <c r="E1924" i="9"/>
  <c r="E1932" i="9"/>
  <c r="E1940" i="9"/>
  <c r="E1948" i="9"/>
  <c r="E1956" i="9"/>
  <c r="E1964" i="9"/>
  <c r="E1972" i="9"/>
  <c r="E1980" i="9"/>
  <c r="E1988" i="9"/>
  <c r="E1996" i="9"/>
  <c r="E2004" i="9"/>
  <c r="E2012" i="9"/>
  <c r="E2020" i="9"/>
  <c r="E2028" i="9"/>
  <c r="E2036" i="9"/>
  <c r="E2044" i="9"/>
  <c r="E2052" i="9"/>
  <c r="E2060" i="9"/>
  <c r="E2068" i="9"/>
  <c r="E2076" i="9"/>
  <c r="E2084" i="9"/>
  <c r="E2092" i="9"/>
  <c r="E2100" i="9"/>
  <c r="E2108" i="9"/>
  <c r="E2116" i="9"/>
  <c r="E2124" i="9"/>
  <c r="E2132" i="9"/>
  <c r="E2140" i="9"/>
  <c r="E2148" i="9"/>
  <c r="E2156" i="9"/>
  <c r="E2164" i="9"/>
  <c r="E2172" i="9"/>
  <c r="E2180" i="9"/>
  <c r="E2188" i="9"/>
  <c r="E2196" i="9"/>
  <c r="E2204" i="9"/>
  <c r="E2212" i="9"/>
  <c r="E2220" i="9"/>
  <c r="E2228" i="9"/>
  <c r="E2236" i="9"/>
  <c r="E2244" i="9"/>
  <c r="E2252" i="9"/>
  <c r="K1698" i="9"/>
  <c r="J461" i="9"/>
  <c r="J973" i="9"/>
  <c r="J1306" i="9"/>
  <c r="J1562" i="9"/>
  <c r="J1818" i="9"/>
  <c r="J2074" i="9"/>
  <c r="J2330" i="9"/>
  <c r="I251" i="9"/>
  <c r="I507" i="9"/>
  <c r="I708" i="9"/>
  <c r="I860" i="9"/>
  <c r="I988" i="9"/>
  <c r="I1116" i="9"/>
  <c r="I1244" i="9"/>
  <c r="I1372" i="9"/>
  <c r="I1500" i="9"/>
  <c r="I1628" i="9"/>
  <c r="I1756" i="9"/>
  <c r="I1884" i="9"/>
  <c r="I2012" i="9"/>
  <c r="I2112" i="9"/>
  <c r="I2185" i="9"/>
  <c r="I2258" i="9"/>
  <c r="I2326" i="9"/>
  <c r="H55" i="9"/>
  <c r="H119" i="9"/>
  <c r="H183" i="9"/>
  <c r="H247" i="9"/>
  <c r="H311" i="9"/>
  <c r="H375" i="9"/>
  <c r="H439" i="9"/>
  <c r="H503" i="9"/>
  <c r="H567" i="9"/>
  <c r="H631" i="9"/>
  <c r="H695" i="9"/>
  <c r="H759" i="9"/>
  <c r="H823" i="9"/>
  <c r="H887" i="9"/>
  <c r="H951" i="9"/>
  <c r="H1008" i="9"/>
  <c r="H1054" i="9"/>
  <c r="H1096" i="9"/>
  <c r="H1140" i="9"/>
  <c r="H1176" i="9"/>
  <c r="H1208" i="9"/>
  <c r="H1240" i="9"/>
  <c r="H1272" i="9"/>
  <c r="H1304" i="9"/>
  <c r="H1336" i="9"/>
  <c r="H1368" i="9"/>
  <c r="H1400" i="9"/>
  <c r="H1432" i="9"/>
  <c r="H1464" i="9"/>
  <c r="H1496" i="9"/>
  <c r="H1528" i="9"/>
  <c r="H1560" i="9"/>
  <c r="H1592" i="9"/>
  <c r="H1624" i="9"/>
  <c r="H1656" i="9"/>
  <c r="H1688" i="9"/>
  <c r="H1720" i="9"/>
  <c r="H1752" i="9"/>
  <c r="H1784" i="9"/>
  <c r="H1816" i="9"/>
  <c r="H1848" i="9"/>
  <c r="H1880" i="9"/>
  <c r="H1912" i="9"/>
  <c r="H1944" i="9"/>
  <c r="H1976" i="9"/>
  <c r="H2008" i="9"/>
  <c r="H2040" i="9"/>
  <c r="H2072" i="9"/>
  <c r="H2104" i="9"/>
  <c r="H2136" i="9"/>
  <c r="H2168" i="9"/>
  <c r="H2200" i="9"/>
  <c r="H2232" i="9"/>
  <c r="H2264" i="9"/>
  <c r="H2296" i="9"/>
  <c r="H2328" i="9"/>
  <c r="G25" i="9"/>
  <c r="G55" i="9"/>
  <c r="G80" i="9"/>
  <c r="G105" i="9"/>
  <c r="G130" i="9"/>
  <c r="G154" i="9"/>
  <c r="G176" i="9"/>
  <c r="G198" i="9"/>
  <c r="G218" i="9"/>
  <c r="G240" i="9"/>
  <c r="G261" i="9"/>
  <c r="G279" i="9"/>
  <c r="G297" i="9"/>
  <c r="G316" i="9"/>
  <c r="G334" i="9"/>
  <c r="G352" i="9"/>
  <c r="G370" i="9"/>
  <c r="G389" i="9"/>
  <c r="G407" i="9"/>
  <c r="G423" i="9"/>
  <c r="G439" i="9"/>
  <c r="G455" i="9"/>
  <c r="G471" i="9"/>
  <c r="G487" i="9"/>
  <c r="G503" i="9"/>
  <c r="G519" i="9"/>
  <c r="G535" i="9"/>
  <c r="G551" i="9"/>
  <c r="G567" i="9"/>
  <c r="G583" i="9"/>
  <c r="G599" i="9"/>
  <c r="G615" i="9"/>
  <c r="G631" i="9"/>
  <c r="G647" i="9"/>
  <c r="G663" i="9"/>
  <c r="G679" i="9"/>
  <c r="G695" i="9"/>
  <c r="G711" i="9"/>
  <c r="G727" i="9"/>
  <c r="G743" i="9"/>
  <c r="G759" i="9"/>
  <c r="G775" i="9"/>
  <c r="G791" i="9"/>
  <c r="G807" i="9"/>
  <c r="G823" i="9"/>
  <c r="G839" i="9"/>
  <c r="G855" i="9"/>
  <c r="G871" i="9"/>
  <c r="G887" i="9"/>
  <c r="G903" i="9"/>
  <c r="G919" i="9"/>
  <c r="G935" i="9"/>
  <c r="G951" i="9"/>
  <c r="G967" i="9"/>
  <c r="G983" i="9"/>
  <c r="G999" i="9"/>
  <c r="G1015" i="9"/>
  <c r="G1031" i="9"/>
  <c r="G1047" i="9"/>
  <c r="G1063" i="9"/>
  <c r="G1079" i="9"/>
  <c r="G1095" i="9"/>
  <c r="G1111" i="9"/>
  <c r="G1127" i="9"/>
  <c r="G1143" i="9"/>
  <c r="G1159" i="9"/>
  <c r="G1175" i="9"/>
  <c r="G1191" i="9"/>
  <c r="G1207" i="9"/>
  <c r="G1223" i="9"/>
  <c r="G1239" i="9"/>
  <c r="G1255" i="9"/>
  <c r="G1271" i="9"/>
  <c r="G1287" i="9"/>
  <c r="G1303" i="9"/>
  <c r="G1319" i="9"/>
  <c r="G1335" i="9"/>
  <c r="G1351" i="9"/>
  <c r="G1367" i="9"/>
  <c r="G1383" i="9"/>
  <c r="G1399" i="9"/>
  <c r="G1415" i="9"/>
  <c r="G1431" i="9"/>
  <c r="G1447" i="9"/>
  <c r="G1463" i="9"/>
  <c r="G1479" i="9"/>
  <c r="G1495" i="9"/>
  <c r="G1511" i="9"/>
  <c r="G1527" i="9"/>
  <c r="G1543" i="9"/>
  <c r="G1559" i="9"/>
  <c r="G1575" i="9"/>
  <c r="G1591" i="9"/>
  <c r="G1607" i="9"/>
  <c r="G1623" i="9"/>
  <c r="G1639" i="9"/>
  <c r="G1655" i="9"/>
  <c r="G1671" i="9"/>
  <c r="G1687" i="9"/>
  <c r="G1703" i="9"/>
  <c r="G1719" i="9"/>
  <c r="G1735" i="9"/>
  <c r="G1751" i="9"/>
  <c r="G1767" i="9"/>
  <c r="G1783" i="9"/>
  <c r="G1799" i="9"/>
  <c r="G1815" i="9"/>
  <c r="G1831" i="9"/>
  <c r="G1847" i="9"/>
  <c r="G1863" i="9"/>
  <c r="G1879" i="9"/>
  <c r="G1895" i="9"/>
  <c r="G1911" i="9"/>
  <c r="G1927" i="9"/>
  <c r="G1943" i="9"/>
  <c r="G1959" i="9"/>
  <c r="G1975" i="9"/>
  <c r="G1991" i="9"/>
  <c r="G2007" i="9"/>
  <c r="G2023" i="9"/>
  <c r="G2039" i="9"/>
  <c r="G2055" i="9"/>
  <c r="G2071" i="9"/>
  <c r="G2087" i="9"/>
  <c r="G2103" i="9"/>
  <c r="G2119" i="9"/>
  <c r="G2135" i="9"/>
  <c r="G2151" i="9"/>
  <c r="G2167" i="9"/>
  <c r="G2183" i="9"/>
  <c r="G2199" i="9"/>
  <c r="G2215" i="9"/>
  <c r="G2231" i="9"/>
  <c r="G2247" i="9"/>
  <c r="G2263" i="9"/>
  <c r="G2279" i="9"/>
  <c r="G2295" i="9"/>
  <c r="G2311" i="9"/>
  <c r="G2327" i="9"/>
  <c r="F8" i="9"/>
  <c r="F24" i="9"/>
  <c r="F40" i="9"/>
  <c r="F56" i="9"/>
  <c r="F72" i="9"/>
  <c r="F88" i="9"/>
  <c r="F104" i="9"/>
  <c r="F120" i="9"/>
  <c r="F136" i="9"/>
  <c r="F152" i="9"/>
  <c r="F168" i="9"/>
  <c r="F184" i="9"/>
  <c r="F200" i="9"/>
  <c r="F216" i="9"/>
  <c r="F232" i="9"/>
  <c r="F248" i="9"/>
  <c r="F264" i="9"/>
  <c r="F280" i="9"/>
  <c r="F296" i="9"/>
  <c r="F312" i="9"/>
  <c r="F328" i="9"/>
  <c r="F344" i="9"/>
  <c r="F360" i="9"/>
  <c r="F376" i="9"/>
  <c r="F392" i="9"/>
  <c r="F408" i="9"/>
  <c r="F424" i="9"/>
  <c r="F440" i="9"/>
  <c r="F456" i="9"/>
  <c r="F472" i="9"/>
  <c r="F488" i="9"/>
  <c r="F504" i="9"/>
  <c r="F520" i="9"/>
  <c r="F536" i="9"/>
  <c r="F552" i="9"/>
  <c r="F568" i="9"/>
  <c r="F584" i="9"/>
  <c r="F600" i="9"/>
  <c r="F616" i="9"/>
  <c r="F632" i="9"/>
  <c r="F648" i="9"/>
  <c r="F664" i="9"/>
  <c r="F680" i="9"/>
  <c r="F696" i="9"/>
  <c r="F712" i="9"/>
  <c r="F728" i="9"/>
  <c r="F744" i="9"/>
  <c r="F760" i="9"/>
  <c r="F776" i="9"/>
  <c r="F792" i="9"/>
  <c r="F808" i="9"/>
  <c r="F824" i="9"/>
  <c r="F840" i="9"/>
  <c r="F856" i="9"/>
  <c r="F872" i="9"/>
  <c r="F888" i="9"/>
  <c r="F904" i="9"/>
  <c r="F920" i="9"/>
  <c r="F936" i="9"/>
  <c r="F952" i="9"/>
  <c r="F968" i="9"/>
  <c r="F984" i="9"/>
  <c r="F1000" i="9"/>
  <c r="F1016" i="9"/>
  <c r="F1032" i="9"/>
  <c r="F1048" i="9"/>
  <c r="F1064" i="9"/>
  <c r="F1080" i="9"/>
  <c r="F1096" i="9"/>
  <c r="F1112" i="9"/>
  <c r="F1128" i="9"/>
  <c r="F1144" i="9"/>
  <c r="F1160" i="9"/>
  <c r="F1176" i="9"/>
  <c r="F1192" i="9"/>
  <c r="F1208" i="9"/>
  <c r="F1224" i="9"/>
  <c r="F1240" i="9"/>
  <c r="F1256" i="9"/>
  <c r="F1272" i="9"/>
  <c r="F1288" i="9"/>
  <c r="F1304" i="9"/>
  <c r="F1320" i="9"/>
  <c r="F1336" i="9"/>
  <c r="F1352" i="9"/>
  <c r="F1368" i="9"/>
  <c r="F1384" i="9"/>
  <c r="F1400" i="9"/>
  <c r="F1416" i="9"/>
  <c r="F1432" i="9"/>
  <c r="F1448" i="9"/>
  <c r="F1464" i="9"/>
  <c r="F1480" i="9"/>
  <c r="F1496" i="9"/>
  <c r="F1512" i="9"/>
  <c r="F1528" i="9"/>
  <c r="F1544" i="9"/>
  <c r="F1560" i="9"/>
  <c r="F1576" i="9"/>
  <c r="F1592" i="9"/>
  <c r="F1608" i="9"/>
  <c r="F1624" i="9"/>
  <c r="F1639" i="9"/>
  <c r="F1653" i="9"/>
  <c r="F1664" i="9"/>
  <c r="F1678" i="9"/>
  <c r="F1689" i="9"/>
  <c r="F1703" i="9"/>
  <c r="F1717" i="9"/>
  <c r="F1728" i="9"/>
  <c r="F1741" i="9"/>
  <c r="F1751" i="9"/>
  <c r="F1761" i="9"/>
  <c r="F1773" i="9"/>
  <c r="F1783" i="9"/>
  <c r="F1793" i="9"/>
  <c r="F1805" i="9"/>
  <c r="F1815" i="9"/>
  <c r="F1825" i="9"/>
  <c r="F1837" i="9"/>
  <c r="F1847" i="9"/>
  <c r="F1857" i="9"/>
  <c r="F1869" i="9"/>
  <c r="F1879" i="9"/>
  <c r="F1889" i="9"/>
  <c r="F1901" i="9"/>
  <c r="F1911" i="9"/>
  <c r="F1921" i="9"/>
  <c r="F1932" i="9"/>
  <c r="F1940" i="9"/>
  <c r="F1948" i="9"/>
  <c r="F1956" i="9"/>
  <c r="F1964" i="9"/>
  <c r="F1972" i="9"/>
  <c r="F1980" i="9"/>
  <c r="F1988" i="9"/>
  <c r="F1996" i="9"/>
  <c r="F2004" i="9"/>
  <c r="F2012" i="9"/>
  <c r="F2020" i="9"/>
  <c r="F2028" i="9"/>
  <c r="F2036" i="9"/>
  <c r="F2044" i="9"/>
  <c r="F2052" i="9"/>
  <c r="F2060" i="9"/>
  <c r="F2068" i="9"/>
  <c r="F2076" i="9"/>
  <c r="F2084" i="9"/>
  <c r="F2092" i="9"/>
  <c r="F2100" i="9"/>
  <c r="F2108" i="9"/>
  <c r="F2116" i="9"/>
  <c r="F2124" i="9"/>
  <c r="F2132" i="9"/>
  <c r="F2140" i="9"/>
  <c r="F2148" i="9"/>
  <c r="F2156" i="9"/>
  <c r="F2164" i="9"/>
  <c r="F2172" i="9"/>
  <c r="F2180" i="9"/>
  <c r="F2188" i="9"/>
  <c r="F2196" i="9"/>
  <c r="F2204" i="9"/>
  <c r="F2212" i="9"/>
  <c r="F2220" i="9"/>
  <c r="F2228" i="9"/>
  <c r="F2236" i="9"/>
  <c r="F2244" i="9"/>
  <c r="F2252" i="9"/>
  <c r="F2260" i="9"/>
  <c r="F2268" i="9"/>
  <c r="F2276" i="9"/>
  <c r="F2284" i="9"/>
  <c r="F2292" i="9"/>
  <c r="F2300" i="9"/>
  <c r="F2308" i="9"/>
  <c r="F2316" i="9"/>
  <c r="F2324" i="9"/>
  <c r="F2332" i="9"/>
  <c r="E5" i="9"/>
  <c r="E13" i="9"/>
  <c r="E21" i="9"/>
  <c r="E29" i="9"/>
  <c r="E37" i="9"/>
  <c r="E45" i="9"/>
  <c r="E53" i="9"/>
  <c r="E61" i="9"/>
  <c r="E69" i="9"/>
  <c r="E77" i="9"/>
  <c r="E85" i="9"/>
  <c r="E93" i="9"/>
  <c r="E101" i="9"/>
  <c r="E109" i="9"/>
  <c r="E117" i="9"/>
  <c r="E125" i="9"/>
  <c r="E133" i="9"/>
  <c r="E141" i="9"/>
  <c r="E149" i="9"/>
  <c r="E157" i="9"/>
  <c r="E165" i="9"/>
  <c r="E173" i="9"/>
  <c r="E181" i="9"/>
  <c r="E189" i="9"/>
  <c r="E197" i="9"/>
  <c r="E205" i="9"/>
  <c r="E213" i="9"/>
  <c r="E221" i="9"/>
  <c r="E229" i="9"/>
  <c r="E237" i="9"/>
  <c r="E245" i="9"/>
  <c r="E253" i="9"/>
  <c r="E261" i="9"/>
  <c r="E269" i="9"/>
  <c r="E277" i="9"/>
  <c r="E285" i="9"/>
  <c r="E293" i="9"/>
  <c r="E301" i="9"/>
  <c r="E309" i="9"/>
  <c r="E317" i="9"/>
  <c r="E325" i="9"/>
  <c r="E333" i="9"/>
  <c r="E341" i="9"/>
  <c r="E349" i="9"/>
  <c r="E357" i="9"/>
  <c r="E365" i="9"/>
  <c r="E373" i="9"/>
  <c r="E381" i="9"/>
  <c r="E389" i="9"/>
  <c r="E397" i="9"/>
  <c r="E405" i="9"/>
  <c r="E413" i="9"/>
  <c r="E421" i="9"/>
  <c r="E429" i="9"/>
  <c r="E437" i="9"/>
  <c r="E445" i="9"/>
  <c r="E453" i="9"/>
  <c r="E461" i="9"/>
  <c r="E469" i="9"/>
  <c r="E477" i="9"/>
  <c r="E485" i="9"/>
  <c r="E493" i="9"/>
  <c r="E501" i="9"/>
  <c r="E509" i="9"/>
  <c r="E517" i="9"/>
  <c r="E525" i="9"/>
  <c r="E533" i="9"/>
  <c r="E541" i="9"/>
  <c r="E549" i="9"/>
  <c r="E557" i="9"/>
  <c r="E565" i="9"/>
  <c r="E573" i="9"/>
  <c r="E581" i="9"/>
  <c r="E589" i="9"/>
  <c r="E597" i="9"/>
  <c r="E605" i="9"/>
  <c r="E613" i="9"/>
  <c r="E621" i="9"/>
  <c r="E629" i="9"/>
  <c r="E637" i="9"/>
  <c r="E645" i="9"/>
  <c r="E653" i="9"/>
  <c r="E661" i="9"/>
  <c r="E669" i="9"/>
  <c r="E677" i="9"/>
  <c r="E685" i="9"/>
  <c r="E693" i="9"/>
  <c r="E701" i="9"/>
  <c r="E709" i="9"/>
  <c r="E717" i="9"/>
  <c r="E725" i="9"/>
  <c r="E733" i="9"/>
  <c r="E741" i="9"/>
  <c r="E749" i="9"/>
  <c r="E757" i="9"/>
  <c r="E765" i="9"/>
  <c r="E773" i="9"/>
  <c r="E781" i="9"/>
  <c r="E789" i="9"/>
  <c r="E797" i="9"/>
  <c r="E805" i="9"/>
  <c r="E813" i="9"/>
  <c r="E821" i="9"/>
  <c r="E829" i="9"/>
  <c r="E837" i="9"/>
  <c r="E845" i="9"/>
  <c r="E853" i="9"/>
  <c r="E861" i="9"/>
  <c r="E869" i="9"/>
  <c r="E877" i="9"/>
  <c r="E885" i="9"/>
  <c r="E893" i="9"/>
  <c r="E901" i="9"/>
  <c r="E909" i="9"/>
  <c r="E917" i="9"/>
  <c r="E925" i="9"/>
  <c r="E933" i="9"/>
  <c r="E941" i="9"/>
  <c r="E949" i="9"/>
  <c r="E957" i="9"/>
  <c r="E965" i="9"/>
  <c r="E973" i="9"/>
  <c r="E981" i="9"/>
  <c r="E989" i="9"/>
  <c r="E997" i="9"/>
  <c r="E1005" i="9"/>
  <c r="E1013" i="9"/>
  <c r="E1021" i="9"/>
  <c r="E1029" i="9"/>
  <c r="E1037" i="9"/>
  <c r="E1045" i="9"/>
  <c r="E1053" i="9"/>
  <c r="E1061" i="9"/>
  <c r="E1069" i="9"/>
  <c r="E1077" i="9"/>
  <c r="E1085" i="9"/>
  <c r="E1093" i="9"/>
  <c r="E1101" i="9"/>
  <c r="E1109" i="9"/>
  <c r="E1117" i="9"/>
  <c r="E1125" i="9"/>
  <c r="E1133" i="9"/>
  <c r="E1141" i="9"/>
  <c r="E1149" i="9"/>
  <c r="E1157" i="9"/>
  <c r="E1165" i="9"/>
  <c r="E1173" i="9"/>
  <c r="E1181" i="9"/>
  <c r="E1189" i="9"/>
  <c r="E1197" i="9"/>
  <c r="E1205" i="9"/>
  <c r="E1213" i="9"/>
  <c r="E1221" i="9"/>
  <c r="E1229" i="9"/>
  <c r="E1237" i="9"/>
  <c r="E1245" i="9"/>
  <c r="E1253" i="9"/>
  <c r="E1261" i="9"/>
  <c r="E1269" i="9"/>
  <c r="E1277" i="9"/>
  <c r="E1285" i="9"/>
  <c r="E1293" i="9"/>
  <c r="E1301" i="9"/>
  <c r="E1309" i="9"/>
  <c r="E1317" i="9"/>
  <c r="E1325" i="9"/>
  <c r="E1333" i="9"/>
  <c r="E1341" i="9"/>
  <c r="E1349" i="9"/>
  <c r="E1357" i="9"/>
  <c r="E1365" i="9"/>
  <c r="E1373" i="9"/>
  <c r="E1381" i="9"/>
  <c r="E1389" i="9"/>
  <c r="E1397" i="9"/>
  <c r="E1405" i="9"/>
  <c r="E1413" i="9"/>
  <c r="E1421" i="9"/>
  <c r="E1429" i="9"/>
  <c r="E1437" i="9"/>
  <c r="E1445" i="9"/>
  <c r="E1453" i="9"/>
  <c r="E1461" i="9"/>
  <c r="E1469" i="9"/>
  <c r="E1477" i="9"/>
  <c r="E1485" i="9"/>
  <c r="E1493" i="9"/>
  <c r="E1501" i="9"/>
  <c r="E1509" i="9"/>
  <c r="E1517" i="9"/>
  <c r="E1525" i="9"/>
  <c r="E1533" i="9"/>
  <c r="E1541" i="9"/>
  <c r="E1549" i="9"/>
  <c r="E1557" i="9"/>
  <c r="E1565" i="9"/>
  <c r="E1573" i="9"/>
  <c r="E1581" i="9"/>
  <c r="E1589" i="9"/>
  <c r="E1597" i="9"/>
  <c r="E1605" i="9"/>
  <c r="E1613" i="9"/>
  <c r="E1621" i="9"/>
  <c r="E1629" i="9"/>
  <c r="E1637" i="9"/>
  <c r="E1645" i="9"/>
  <c r="E1653" i="9"/>
  <c r="E1661" i="9"/>
  <c r="E1669" i="9"/>
  <c r="E1677" i="9"/>
  <c r="E1685" i="9"/>
  <c r="E1693" i="9"/>
  <c r="E1701" i="9"/>
  <c r="E1709" i="9"/>
  <c r="E1717" i="9"/>
  <c r="E1725" i="9"/>
  <c r="E1733" i="9"/>
  <c r="E1741" i="9"/>
  <c r="E1749" i="9"/>
  <c r="E1757" i="9"/>
  <c r="E1765" i="9"/>
  <c r="E1773" i="9"/>
  <c r="E1781" i="9"/>
  <c r="E1789" i="9"/>
  <c r="E1797" i="9"/>
  <c r="E1805" i="9"/>
  <c r="E1813" i="9"/>
  <c r="E1821" i="9"/>
  <c r="E1829" i="9"/>
  <c r="E1837" i="9"/>
  <c r="E1845" i="9"/>
  <c r="E1853" i="9"/>
  <c r="E1861" i="9"/>
  <c r="E1869" i="9"/>
  <c r="E1877" i="9"/>
  <c r="E1885" i="9"/>
  <c r="E1893" i="9"/>
  <c r="E1901" i="9"/>
  <c r="E1909" i="9"/>
  <c r="E1917" i="9"/>
  <c r="E1925" i="9"/>
  <c r="E1933" i="9"/>
  <c r="E1941" i="9"/>
  <c r="E1949" i="9"/>
  <c r="E1957" i="9"/>
  <c r="E1965" i="9"/>
  <c r="E1973" i="9"/>
  <c r="E1981" i="9"/>
  <c r="E1989" i="9"/>
  <c r="E1997" i="9"/>
  <c r="E2005" i="9"/>
  <c r="E2013" i="9"/>
  <c r="E2021" i="9"/>
  <c r="K1699" i="9"/>
  <c r="J462" i="9"/>
  <c r="J974" i="9"/>
  <c r="J1307" i="9"/>
  <c r="J1563" i="9"/>
  <c r="J1819" i="9"/>
  <c r="J2075" i="9"/>
  <c r="J2331" i="9"/>
  <c r="I252" i="9"/>
  <c r="I508" i="9"/>
  <c r="I711" i="9"/>
  <c r="I861" i="9"/>
  <c r="I989" i="9"/>
  <c r="I1117" i="9"/>
  <c r="I1245" i="9"/>
  <c r="I1373" i="9"/>
  <c r="I1501" i="9"/>
  <c r="I1629" i="9"/>
  <c r="I1757" i="9"/>
  <c r="I1885" i="9"/>
  <c r="I2013" i="9"/>
  <c r="I2113" i="9"/>
  <c r="I2186" i="9"/>
  <c r="I2259" i="9"/>
  <c r="I2327" i="9"/>
  <c r="H56" i="9"/>
  <c r="H120" i="9"/>
  <c r="H184" i="9"/>
  <c r="H248" i="9"/>
  <c r="H312" i="9"/>
  <c r="H376" i="9"/>
  <c r="H440" i="9"/>
  <c r="H504" i="9"/>
  <c r="H568" i="9"/>
  <c r="H632" i="9"/>
  <c r="H696" i="9"/>
  <c r="H760" i="9"/>
  <c r="H824" i="9"/>
  <c r="H888" i="9"/>
  <c r="H952" i="9"/>
  <c r="H1010" i="9"/>
  <c r="H1055" i="9"/>
  <c r="H1098" i="9"/>
  <c r="H1141" i="9"/>
  <c r="H1177" i="9"/>
  <c r="H1209" i="9"/>
  <c r="H1241" i="9"/>
  <c r="H1273" i="9"/>
  <c r="H1305" i="9"/>
  <c r="H1337" i="9"/>
  <c r="H1369" i="9"/>
  <c r="H1401" i="9"/>
  <c r="H1433" i="9"/>
  <c r="H1465" i="9"/>
  <c r="H1497" i="9"/>
  <c r="H1529" i="9"/>
  <c r="H1561" i="9"/>
  <c r="H1593" i="9"/>
  <c r="H1625" i="9"/>
  <c r="H1657" i="9"/>
  <c r="H1689" i="9"/>
  <c r="H1721" i="9"/>
  <c r="H1753" i="9"/>
  <c r="H1785" i="9"/>
  <c r="H1817" i="9"/>
  <c r="H1849" i="9"/>
  <c r="H1881" i="9"/>
  <c r="H1913" i="9"/>
  <c r="H1945" i="9"/>
  <c r="H1977" i="9"/>
  <c r="H2009" i="9"/>
  <c r="H2041" i="9"/>
  <c r="H2073" i="9"/>
  <c r="H2105" i="9"/>
  <c r="H2137" i="9"/>
  <c r="H2169" i="9"/>
  <c r="H2201" i="9"/>
  <c r="H2233" i="9"/>
  <c r="H2265" i="9"/>
  <c r="H2297" i="9"/>
  <c r="H2329" i="9"/>
  <c r="G26" i="9"/>
  <c r="G56" i="9"/>
  <c r="G81" i="9"/>
  <c r="G106" i="9"/>
  <c r="G133" i="9"/>
  <c r="G157" i="9"/>
  <c r="G177" i="9"/>
  <c r="G199" i="9"/>
  <c r="G221" i="9"/>
  <c r="G241" i="9"/>
  <c r="G262" i="9"/>
  <c r="G280" i="9"/>
  <c r="G298" i="9"/>
  <c r="G317" i="9"/>
  <c r="G335" i="9"/>
  <c r="G353" i="9"/>
  <c r="G372" i="9"/>
  <c r="G390" i="9"/>
  <c r="G408" i="9"/>
  <c r="G424" i="9"/>
  <c r="G440" i="9"/>
  <c r="G456" i="9"/>
  <c r="G472" i="9"/>
  <c r="G488" i="9"/>
  <c r="G504" i="9"/>
  <c r="G520" i="9"/>
  <c r="G536" i="9"/>
  <c r="G552" i="9"/>
  <c r="G568" i="9"/>
  <c r="G584" i="9"/>
  <c r="G600" i="9"/>
  <c r="G616" i="9"/>
  <c r="G632" i="9"/>
  <c r="G648" i="9"/>
  <c r="G664" i="9"/>
  <c r="G680" i="9"/>
  <c r="G696" i="9"/>
  <c r="G712" i="9"/>
  <c r="G728" i="9"/>
  <c r="G744" i="9"/>
  <c r="G760" i="9"/>
  <c r="G776" i="9"/>
  <c r="G792" i="9"/>
  <c r="G808" i="9"/>
  <c r="G824" i="9"/>
  <c r="G840" i="9"/>
  <c r="G856" i="9"/>
  <c r="G872" i="9"/>
  <c r="G888" i="9"/>
  <c r="G904" i="9"/>
  <c r="G920" i="9"/>
  <c r="G936" i="9"/>
  <c r="G952" i="9"/>
  <c r="G968" i="9"/>
  <c r="G984" i="9"/>
  <c r="G1000" i="9"/>
  <c r="G1016" i="9"/>
  <c r="G1032" i="9"/>
  <c r="G1048" i="9"/>
  <c r="G1064" i="9"/>
  <c r="G1080" i="9"/>
  <c r="G1096" i="9"/>
  <c r="G1112" i="9"/>
  <c r="G1128" i="9"/>
  <c r="G1144" i="9"/>
  <c r="G1160" i="9"/>
  <c r="G1176" i="9"/>
  <c r="G1192" i="9"/>
  <c r="G1208" i="9"/>
  <c r="G1224" i="9"/>
  <c r="G1240" i="9"/>
  <c r="G1256" i="9"/>
  <c r="G1272" i="9"/>
  <c r="G1288" i="9"/>
  <c r="G1304" i="9"/>
  <c r="G1320" i="9"/>
  <c r="G1336" i="9"/>
  <c r="G1352" i="9"/>
  <c r="G1368" i="9"/>
  <c r="G1384" i="9"/>
  <c r="G1400" i="9"/>
  <c r="G1416" i="9"/>
  <c r="G1432" i="9"/>
  <c r="G1448" i="9"/>
  <c r="G1464" i="9"/>
  <c r="G1480" i="9"/>
  <c r="G1496" i="9"/>
  <c r="G1512" i="9"/>
  <c r="G1528" i="9"/>
  <c r="G1544" i="9"/>
  <c r="G1560" i="9"/>
  <c r="G1576" i="9"/>
  <c r="G1592" i="9"/>
  <c r="G1608" i="9"/>
  <c r="G1624" i="9"/>
  <c r="G1640" i="9"/>
  <c r="G1656" i="9"/>
  <c r="G1672" i="9"/>
  <c r="G1688" i="9"/>
  <c r="G1704" i="9"/>
  <c r="G1720" i="9"/>
  <c r="G1736" i="9"/>
  <c r="G1752" i="9"/>
  <c r="G1768" i="9"/>
  <c r="G1784" i="9"/>
  <c r="G1800" i="9"/>
  <c r="G1816" i="9"/>
  <c r="G1832" i="9"/>
  <c r="G1848" i="9"/>
  <c r="G1864" i="9"/>
  <c r="G1880" i="9"/>
  <c r="G1896" i="9"/>
  <c r="G1912" i="9"/>
  <c r="G1928" i="9"/>
  <c r="G1944" i="9"/>
  <c r="G1960" i="9"/>
  <c r="G1976" i="9"/>
  <c r="G1992" i="9"/>
  <c r="G2008" i="9"/>
  <c r="G2024" i="9"/>
  <c r="G2040" i="9"/>
  <c r="G2056" i="9"/>
  <c r="G2072" i="9"/>
  <c r="G2088" i="9"/>
  <c r="G2104" i="9"/>
  <c r="G2120" i="9"/>
  <c r="G2136" i="9"/>
  <c r="G2152" i="9"/>
  <c r="G2168" i="9"/>
  <c r="G2184" i="9"/>
  <c r="G2200" i="9"/>
  <c r="G2216" i="9"/>
  <c r="G2232" i="9"/>
  <c r="G2248" i="9"/>
  <c r="G2264" i="9"/>
  <c r="G2280" i="9"/>
  <c r="G2296" i="9"/>
  <c r="G2312" i="9"/>
  <c r="G2328" i="9"/>
  <c r="F9" i="9"/>
  <c r="F25" i="9"/>
  <c r="F41" i="9"/>
  <c r="F57" i="9"/>
  <c r="F73" i="9"/>
  <c r="F89" i="9"/>
  <c r="F105" i="9"/>
  <c r="F121" i="9"/>
  <c r="F137" i="9"/>
  <c r="F153" i="9"/>
  <c r="F169" i="9"/>
  <c r="F185" i="9"/>
  <c r="F201" i="9"/>
  <c r="F217" i="9"/>
  <c r="F233" i="9"/>
  <c r="F249" i="9"/>
  <c r="F265" i="9"/>
  <c r="F281" i="9"/>
  <c r="F297" i="9"/>
  <c r="F313" i="9"/>
  <c r="F329" i="9"/>
  <c r="F345" i="9"/>
  <c r="F361" i="9"/>
  <c r="F377" i="9"/>
  <c r="F393" i="9"/>
  <c r="F409" i="9"/>
  <c r="F425" i="9"/>
  <c r="F441" i="9"/>
  <c r="F457" i="9"/>
  <c r="F473" i="9"/>
  <c r="F489" i="9"/>
  <c r="F505" i="9"/>
  <c r="F521" i="9"/>
  <c r="F537" i="9"/>
  <c r="F553" i="9"/>
  <c r="F569" i="9"/>
  <c r="F585" i="9"/>
  <c r="F601" i="9"/>
  <c r="F617" i="9"/>
  <c r="F633" i="9"/>
  <c r="F649" i="9"/>
  <c r="F665" i="9"/>
  <c r="F681" i="9"/>
  <c r="F697" i="9"/>
  <c r="F713" i="9"/>
  <c r="F729" i="9"/>
  <c r="F745" i="9"/>
  <c r="F761" i="9"/>
  <c r="F777" i="9"/>
  <c r="F793" i="9"/>
  <c r="F809" i="9"/>
  <c r="F825" i="9"/>
  <c r="F841" i="9"/>
  <c r="F857" i="9"/>
  <c r="F873" i="9"/>
  <c r="F889" i="9"/>
  <c r="F905" i="9"/>
  <c r="F921" i="9"/>
  <c r="F937" i="9"/>
  <c r="F953" i="9"/>
  <c r="F969" i="9"/>
  <c r="F985" i="9"/>
  <c r="F1001" i="9"/>
  <c r="F1017" i="9"/>
  <c r="F1033" i="9"/>
  <c r="F1049" i="9"/>
  <c r="F1065" i="9"/>
  <c r="F1081" i="9"/>
  <c r="F1097" i="9"/>
  <c r="F1113" i="9"/>
  <c r="F1129" i="9"/>
  <c r="F1145" i="9"/>
  <c r="F1161" i="9"/>
  <c r="F1177" i="9"/>
  <c r="F1193" i="9"/>
  <c r="F1209" i="9"/>
  <c r="F1225" i="9"/>
  <c r="F1241" i="9"/>
  <c r="F1257" i="9"/>
  <c r="F1273" i="9"/>
  <c r="F1289" i="9"/>
  <c r="F1305" i="9"/>
  <c r="F1321" i="9"/>
  <c r="F1337" i="9"/>
  <c r="F1353" i="9"/>
  <c r="F1369" i="9"/>
  <c r="F1385" i="9"/>
  <c r="F1401" i="9"/>
  <c r="F1417" i="9"/>
  <c r="F1433" i="9"/>
  <c r="F1449" i="9"/>
  <c r="F1465" i="9"/>
  <c r="F1481" i="9"/>
  <c r="F1497" i="9"/>
  <c r="F1513" i="9"/>
  <c r="F1529" i="9"/>
  <c r="F1545" i="9"/>
  <c r="F1561" i="9"/>
  <c r="F1577" i="9"/>
  <c r="F1593" i="9"/>
  <c r="F1609" i="9"/>
  <c r="F1625" i="9"/>
  <c r="F1640" i="9"/>
  <c r="F1654" i="9"/>
  <c r="F1665" i="9"/>
  <c r="F1679" i="9"/>
  <c r="F1693" i="9"/>
  <c r="F1704" i="9"/>
  <c r="F1718" i="9"/>
  <c r="F1729" i="9"/>
  <c r="F1742" i="9"/>
  <c r="F1752" i="9"/>
  <c r="F1763" i="9"/>
  <c r="F1774" i="9"/>
  <c r="F1784" i="9"/>
  <c r="F1795" i="9"/>
  <c r="F1806" i="9"/>
  <c r="F1816" i="9"/>
  <c r="F1827" i="9"/>
  <c r="F1838" i="9"/>
  <c r="F1848" i="9"/>
  <c r="F1859" i="9"/>
  <c r="F1870" i="9"/>
  <c r="F1880" i="9"/>
  <c r="F1891" i="9"/>
  <c r="F1902" i="9"/>
  <c r="F1912" i="9"/>
  <c r="F1923" i="9"/>
  <c r="F1933" i="9"/>
  <c r="F1941" i="9"/>
  <c r="F1949" i="9"/>
  <c r="F1957" i="9"/>
  <c r="F1965" i="9"/>
  <c r="F1973" i="9"/>
  <c r="F1981" i="9"/>
  <c r="F1989" i="9"/>
  <c r="F1997" i="9"/>
  <c r="F2005" i="9"/>
  <c r="F2013" i="9"/>
  <c r="F2021" i="9"/>
  <c r="F2029" i="9"/>
  <c r="F2037" i="9"/>
  <c r="F2045" i="9"/>
  <c r="F2053" i="9"/>
  <c r="F2061" i="9"/>
  <c r="F2069" i="9"/>
  <c r="F2077" i="9"/>
  <c r="F2085" i="9"/>
  <c r="F2093" i="9"/>
  <c r="F2101" i="9"/>
  <c r="F2109" i="9"/>
  <c r="F2117" i="9"/>
  <c r="F2125" i="9"/>
  <c r="F2133" i="9"/>
  <c r="F2141" i="9"/>
  <c r="F2149" i="9"/>
  <c r="F2157" i="9"/>
  <c r="F2165" i="9"/>
  <c r="F2173" i="9"/>
  <c r="F2181" i="9"/>
  <c r="F2189" i="9"/>
  <c r="F2197" i="9"/>
  <c r="F2205" i="9"/>
  <c r="F2213" i="9"/>
  <c r="F2221" i="9"/>
  <c r="F2229" i="9"/>
  <c r="F2237" i="9"/>
  <c r="F2245" i="9"/>
  <c r="F2253" i="9"/>
  <c r="F2261" i="9"/>
  <c r="F2269" i="9"/>
  <c r="F2277" i="9"/>
  <c r="F2285" i="9"/>
  <c r="F2293" i="9"/>
  <c r="F2301" i="9"/>
  <c r="F2309" i="9"/>
  <c r="F2317" i="9"/>
  <c r="F2325" i="9"/>
  <c r="F2333" i="9"/>
  <c r="E6" i="9"/>
  <c r="E14" i="9"/>
  <c r="E22" i="9"/>
  <c r="E30" i="9"/>
  <c r="E38" i="9"/>
  <c r="E46" i="9"/>
  <c r="E54" i="9"/>
  <c r="E62" i="9"/>
  <c r="E70" i="9"/>
  <c r="E78" i="9"/>
  <c r="E86" i="9"/>
  <c r="E94" i="9"/>
  <c r="E102" i="9"/>
  <c r="E110" i="9"/>
  <c r="E118" i="9"/>
  <c r="E126" i="9"/>
  <c r="E134" i="9"/>
  <c r="E142" i="9"/>
  <c r="E150" i="9"/>
  <c r="E158" i="9"/>
  <c r="E166" i="9"/>
  <c r="E174" i="9"/>
  <c r="E182" i="9"/>
  <c r="E190" i="9"/>
  <c r="E198" i="9"/>
  <c r="E206" i="9"/>
  <c r="E214" i="9"/>
  <c r="E222" i="9"/>
  <c r="E230" i="9"/>
  <c r="E238" i="9"/>
  <c r="E246" i="9"/>
  <c r="E254" i="9"/>
  <c r="E262" i="9"/>
  <c r="E270" i="9"/>
  <c r="E278" i="9"/>
  <c r="E286" i="9"/>
  <c r="E294" i="9"/>
  <c r="E302" i="9"/>
  <c r="E310" i="9"/>
  <c r="E318" i="9"/>
  <c r="E326" i="9"/>
  <c r="E334" i="9"/>
  <c r="E342" i="9"/>
  <c r="E350" i="9"/>
  <c r="E358" i="9"/>
  <c r="E366" i="9"/>
  <c r="E374" i="9"/>
  <c r="E382" i="9"/>
  <c r="E390" i="9"/>
  <c r="E398" i="9"/>
  <c r="E406" i="9"/>
  <c r="E414" i="9"/>
  <c r="E422" i="9"/>
  <c r="E430" i="9"/>
  <c r="E438" i="9"/>
  <c r="E446" i="9"/>
  <c r="E454" i="9"/>
  <c r="E462" i="9"/>
  <c r="E470" i="9"/>
  <c r="E478" i="9"/>
  <c r="E486" i="9"/>
  <c r="E494" i="9"/>
  <c r="E502" i="9"/>
  <c r="E510" i="9"/>
  <c r="E518" i="9"/>
  <c r="E526" i="9"/>
  <c r="E534" i="9"/>
  <c r="E542" i="9"/>
  <c r="E550" i="9"/>
  <c r="E558" i="9"/>
  <c r="E566" i="9"/>
  <c r="E574" i="9"/>
  <c r="E582" i="9"/>
  <c r="E590" i="9"/>
  <c r="E598" i="9"/>
  <c r="E606" i="9"/>
  <c r="E614" i="9"/>
  <c r="E622" i="9"/>
  <c r="E630" i="9"/>
  <c r="E638" i="9"/>
  <c r="E646" i="9"/>
  <c r="E654" i="9"/>
  <c r="E662" i="9"/>
  <c r="E670" i="9"/>
  <c r="E678" i="9"/>
  <c r="E686" i="9"/>
  <c r="E694" i="9"/>
  <c r="E702" i="9"/>
  <c r="E710" i="9"/>
  <c r="E718" i="9"/>
  <c r="E726" i="9"/>
  <c r="E734" i="9"/>
  <c r="E742" i="9"/>
  <c r="E750" i="9"/>
  <c r="E758" i="9"/>
  <c r="E766" i="9"/>
  <c r="E774" i="9"/>
  <c r="E782" i="9"/>
  <c r="E790" i="9"/>
  <c r="E798" i="9"/>
  <c r="E806" i="9"/>
  <c r="E814" i="9"/>
  <c r="E822" i="9"/>
  <c r="E830" i="9"/>
  <c r="E838" i="9"/>
  <c r="E846" i="9"/>
  <c r="E854" i="9"/>
  <c r="E862" i="9"/>
  <c r="E870" i="9"/>
  <c r="E878" i="9"/>
  <c r="E886" i="9"/>
  <c r="E894" i="9"/>
  <c r="E902" i="9"/>
  <c r="E910" i="9"/>
  <c r="E918" i="9"/>
  <c r="E926" i="9"/>
  <c r="E934" i="9"/>
  <c r="E942" i="9"/>
  <c r="E950" i="9"/>
  <c r="E958" i="9"/>
  <c r="E966" i="9"/>
  <c r="E974" i="9"/>
  <c r="E982" i="9"/>
  <c r="E990" i="9"/>
  <c r="E998" i="9"/>
  <c r="E1006" i="9"/>
  <c r="E1014" i="9"/>
  <c r="E1022" i="9"/>
  <c r="E1030" i="9"/>
  <c r="E1038" i="9"/>
  <c r="E1046" i="9"/>
  <c r="E1054" i="9"/>
  <c r="E1062" i="9"/>
  <c r="E1070" i="9"/>
  <c r="E1078" i="9"/>
  <c r="E1086" i="9"/>
  <c r="E1094" i="9"/>
  <c r="E1102" i="9"/>
  <c r="E1110" i="9"/>
  <c r="E1118" i="9"/>
  <c r="E1126" i="9"/>
  <c r="E1134" i="9"/>
  <c r="E1142" i="9"/>
  <c r="E1150" i="9"/>
  <c r="E1158" i="9"/>
  <c r="E1166" i="9"/>
  <c r="E1174" i="9"/>
  <c r="E1182" i="9"/>
  <c r="E1190" i="9"/>
  <c r="E1198" i="9"/>
  <c r="E1206" i="9"/>
  <c r="E1214" i="9"/>
  <c r="E1222" i="9"/>
  <c r="E1230" i="9"/>
  <c r="E1238" i="9"/>
  <c r="E1246" i="9"/>
  <c r="E1254" i="9"/>
  <c r="E1262" i="9"/>
  <c r="E1270" i="9"/>
  <c r="E1278" i="9"/>
  <c r="E1286" i="9"/>
  <c r="E1294" i="9"/>
  <c r="E1302" i="9"/>
  <c r="E1310" i="9"/>
  <c r="E1318" i="9"/>
  <c r="E1326" i="9"/>
  <c r="E1334" i="9"/>
  <c r="E1342" i="9"/>
  <c r="E1350" i="9"/>
  <c r="E1358" i="9"/>
  <c r="E1366" i="9"/>
  <c r="E1374" i="9"/>
  <c r="E1382" i="9"/>
  <c r="E1390" i="9"/>
  <c r="E1398" i="9"/>
  <c r="E1406" i="9"/>
  <c r="E1414" i="9"/>
  <c r="E1422" i="9"/>
  <c r="E1430" i="9"/>
  <c r="E1438" i="9"/>
  <c r="E1446" i="9"/>
  <c r="E1454" i="9"/>
  <c r="E1462" i="9"/>
  <c r="E1470" i="9"/>
  <c r="E1478" i="9"/>
  <c r="E1486" i="9"/>
  <c r="E1494" i="9"/>
  <c r="E1502" i="9"/>
  <c r="E1510" i="9"/>
  <c r="E1518" i="9"/>
  <c r="E1526" i="9"/>
  <c r="E1534" i="9"/>
  <c r="E1542" i="9"/>
  <c r="E1550" i="9"/>
  <c r="E1558" i="9"/>
  <c r="E1566" i="9"/>
  <c r="E1574" i="9"/>
  <c r="E1582" i="9"/>
  <c r="E1590" i="9"/>
  <c r="E1598" i="9"/>
  <c r="E1606" i="9"/>
  <c r="E1614" i="9"/>
  <c r="E1622" i="9"/>
  <c r="E1630" i="9"/>
  <c r="E1638" i="9"/>
  <c r="E1646" i="9"/>
  <c r="E1654" i="9"/>
  <c r="E1662" i="9"/>
  <c r="E1670" i="9"/>
  <c r="E1678" i="9"/>
  <c r="E1686" i="9"/>
  <c r="E1694" i="9"/>
  <c r="E1702" i="9"/>
  <c r="E1710" i="9"/>
  <c r="E1718" i="9"/>
  <c r="E1726" i="9"/>
  <c r="E1734" i="9"/>
  <c r="E1742" i="9"/>
  <c r="E1750" i="9"/>
  <c r="E1758" i="9"/>
  <c r="E1766" i="9"/>
  <c r="E1774" i="9"/>
  <c r="E1782" i="9"/>
  <c r="E1790" i="9"/>
  <c r="E1798" i="9"/>
  <c r="E1806" i="9"/>
  <c r="E1814" i="9"/>
  <c r="E1822" i="9"/>
  <c r="E1830" i="9"/>
  <c r="E1838" i="9"/>
  <c r="E1846" i="9"/>
  <c r="E1854" i="9"/>
  <c r="E1862" i="9"/>
  <c r="E1870" i="9"/>
  <c r="E1878" i="9"/>
  <c r="E1886" i="9"/>
  <c r="E1894" i="9"/>
  <c r="E1902" i="9"/>
  <c r="E1910" i="9"/>
  <c r="E1918" i="9"/>
  <c r="E1926" i="9"/>
  <c r="E1934" i="9"/>
  <c r="E1942" i="9"/>
  <c r="E1950" i="9"/>
  <c r="E1958" i="9"/>
  <c r="E1966" i="9"/>
  <c r="E1974" i="9"/>
  <c r="E1982" i="9"/>
  <c r="E1990" i="9"/>
  <c r="E1998" i="9"/>
  <c r="E2006" i="9"/>
  <c r="E2014" i="9"/>
  <c r="E2022" i="9"/>
  <c r="E2030" i="9"/>
  <c r="E2038" i="9"/>
  <c r="E2046" i="9"/>
  <c r="E2054" i="9"/>
  <c r="E2062" i="9"/>
  <c r="E2070" i="9"/>
  <c r="E2078" i="9"/>
  <c r="E2086" i="9"/>
  <c r="E2094" i="9"/>
  <c r="E2102" i="9"/>
  <c r="E2110" i="9"/>
  <c r="E2118" i="9"/>
  <c r="E2126" i="9"/>
  <c r="E2134" i="9"/>
  <c r="E2142" i="9"/>
  <c r="E2150" i="9"/>
  <c r="E2158" i="9"/>
  <c r="E2166" i="9"/>
  <c r="E2174" i="9"/>
  <c r="E2182" i="9"/>
  <c r="E2190" i="9"/>
  <c r="E2198" i="9"/>
  <c r="E2206" i="9"/>
  <c r="E2214" i="9"/>
  <c r="E2222" i="9"/>
  <c r="E2230" i="9"/>
  <c r="E2238" i="9"/>
  <c r="E2246" i="9"/>
  <c r="E2254" i="9"/>
  <c r="E2262" i="9"/>
  <c r="J41" i="9"/>
  <c r="J1169" i="9"/>
  <c r="J1688" i="9"/>
  <c r="J2200" i="9"/>
  <c r="I377" i="9"/>
  <c r="I792" i="9"/>
  <c r="I1050" i="9"/>
  <c r="I1306" i="9"/>
  <c r="I1562" i="9"/>
  <c r="I1818" i="9"/>
  <c r="I2066" i="9"/>
  <c r="I2219" i="9"/>
  <c r="H21" i="9"/>
  <c r="H149" i="9"/>
  <c r="H277" i="9"/>
  <c r="H405" i="9"/>
  <c r="H533" i="9"/>
  <c r="H661" i="9"/>
  <c r="H789" i="9"/>
  <c r="H917" i="9"/>
  <c r="H1030" i="9"/>
  <c r="H1116" i="9"/>
  <c r="H1190" i="9"/>
  <c r="H1254" i="9"/>
  <c r="H1318" i="9"/>
  <c r="H1382" i="9"/>
  <c r="H1446" i="9"/>
  <c r="H1510" i="9"/>
  <c r="H1574" i="9"/>
  <c r="H1638" i="9"/>
  <c r="H1702" i="9"/>
  <c r="H1766" i="9"/>
  <c r="H1830" i="9"/>
  <c r="H1894" i="9"/>
  <c r="H1958" i="9"/>
  <c r="H2022" i="9"/>
  <c r="H2086" i="9"/>
  <c r="H2150" i="9"/>
  <c r="H2214" i="9"/>
  <c r="H2278" i="9"/>
  <c r="G7" i="9"/>
  <c r="G64" i="9"/>
  <c r="G114" i="9"/>
  <c r="G162" i="9"/>
  <c r="G206" i="9"/>
  <c r="G248" i="9"/>
  <c r="G286" i="9"/>
  <c r="G322" i="9"/>
  <c r="G359" i="9"/>
  <c r="G396" i="9"/>
  <c r="G429" i="9"/>
  <c r="G461" i="9"/>
  <c r="G493" i="9"/>
  <c r="G525" i="9"/>
  <c r="G557" i="9"/>
  <c r="G589" i="9"/>
  <c r="G621" i="9"/>
  <c r="G653" i="9"/>
  <c r="G685" i="9"/>
  <c r="G717" i="9"/>
  <c r="G749" i="9"/>
  <c r="G781" i="9"/>
  <c r="G813" i="9"/>
  <c r="G845" i="9"/>
  <c r="G877" i="9"/>
  <c r="G909" i="9"/>
  <c r="G941" i="9"/>
  <c r="G973" i="9"/>
  <c r="G1005" i="9"/>
  <c r="G1037" i="9"/>
  <c r="G1069" i="9"/>
  <c r="G1101" i="9"/>
  <c r="G1133" i="9"/>
  <c r="G1165" i="9"/>
  <c r="G1197" i="9"/>
  <c r="G1229" i="9"/>
  <c r="G1261" i="9"/>
  <c r="G1293" i="9"/>
  <c r="G1325" i="9"/>
  <c r="G1357" i="9"/>
  <c r="G1389" i="9"/>
  <c r="G1421" i="9"/>
  <c r="G1453" i="9"/>
  <c r="G1485" i="9"/>
  <c r="G1517" i="9"/>
  <c r="G1549" i="9"/>
  <c r="G1581" i="9"/>
  <c r="G1613" i="9"/>
  <c r="G1645" i="9"/>
  <c r="G1677" i="9"/>
  <c r="G1709" i="9"/>
  <c r="G1741" i="9"/>
  <c r="G1773" i="9"/>
  <c r="G1805" i="9"/>
  <c r="G1837" i="9"/>
  <c r="G1869" i="9"/>
  <c r="G1901" i="9"/>
  <c r="G1933" i="9"/>
  <c r="G1965" i="9"/>
  <c r="G1997" i="9"/>
  <c r="G2029" i="9"/>
  <c r="G2061" i="9"/>
  <c r="G2093" i="9"/>
  <c r="G2125" i="9"/>
  <c r="G2157" i="9"/>
  <c r="G2189" i="9"/>
  <c r="G2221" i="9"/>
  <c r="G2253" i="9"/>
  <c r="G2285" i="9"/>
  <c r="G2317" i="9"/>
  <c r="F14" i="9"/>
  <c r="F46" i="9"/>
  <c r="F78" i="9"/>
  <c r="F110" i="9"/>
  <c r="F142" i="9"/>
  <c r="F174" i="9"/>
  <c r="F206" i="9"/>
  <c r="F238" i="9"/>
  <c r="F270" i="9"/>
  <c r="F302" i="9"/>
  <c r="F334" i="9"/>
  <c r="F366" i="9"/>
  <c r="F398" i="9"/>
  <c r="F430" i="9"/>
  <c r="F462" i="9"/>
  <c r="F494" i="9"/>
  <c r="F526" i="9"/>
  <c r="F558" i="9"/>
  <c r="F590" i="9"/>
  <c r="F622" i="9"/>
  <c r="F654" i="9"/>
  <c r="F686" i="9"/>
  <c r="F718" i="9"/>
  <c r="F750" i="9"/>
  <c r="F782" i="9"/>
  <c r="F814" i="9"/>
  <c r="F846" i="9"/>
  <c r="F878" i="9"/>
  <c r="F910" i="9"/>
  <c r="F942" i="9"/>
  <c r="F974" i="9"/>
  <c r="F1006" i="9"/>
  <c r="F1038" i="9"/>
  <c r="F1070" i="9"/>
  <c r="F1102" i="9"/>
  <c r="F1134" i="9"/>
  <c r="F1166" i="9"/>
  <c r="F1198" i="9"/>
  <c r="F1230" i="9"/>
  <c r="F1262" i="9"/>
  <c r="F1294" i="9"/>
  <c r="F1326" i="9"/>
  <c r="F1358" i="9"/>
  <c r="F1390" i="9"/>
  <c r="F1422" i="9"/>
  <c r="F1454" i="9"/>
  <c r="F1486" i="9"/>
  <c r="F1518" i="9"/>
  <c r="F1550" i="9"/>
  <c r="F1582" i="9"/>
  <c r="F1614" i="9"/>
  <c r="F1641" i="9"/>
  <c r="F1669" i="9"/>
  <c r="F1694" i="9"/>
  <c r="F1719" i="9"/>
  <c r="F1743" i="9"/>
  <c r="F1765" i="9"/>
  <c r="F1785" i="9"/>
  <c r="F1807" i="9"/>
  <c r="F1829" i="9"/>
  <c r="F1849" i="9"/>
  <c r="F1871" i="9"/>
  <c r="F1893" i="9"/>
  <c r="F1913" i="9"/>
  <c r="F1934" i="9"/>
  <c r="F1950" i="9"/>
  <c r="F1966" i="9"/>
  <c r="F1982" i="9"/>
  <c r="F1998" i="9"/>
  <c r="F2014" i="9"/>
  <c r="F2030" i="9"/>
  <c r="F2046" i="9"/>
  <c r="F2062" i="9"/>
  <c r="F2078" i="9"/>
  <c r="F2094" i="9"/>
  <c r="F2110" i="9"/>
  <c r="F2126" i="9"/>
  <c r="F2142" i="9"/>
  <c r="F2158" i="9"/>
  <c r="F2174" i="9"/>
  <c r="F2190" i="9"/>
  <c r="F2206" i="9"/>
  <c r="F2222" i="9"/>
  <c r="F2238" i="9"/>
  <c r="F2254" i="9"/>
  <c r="F2270" i="9"/>
  <c r="F2286" i="9"/>
  <c r="F2302" i="9"/>
  <c r="F2318" i="9"/>
  <c r="F2334" i="9"/>
  <c r="E15" i="9"/>
  <c r="E31" i="9"/>
  <c r="E47" i="9"/>
  <c r="E63" i="9"/>
  <c r="E79" i="9"/>
  <c r="E95" i="9"/>
  <c r="E111" i="9"/>
  <c r="E127" i="9"/>
  <c r="E143" i="9"/>
  <c r="E159" i="9"/>
  <c r="E175" i="9"/>
  <c r="E191" i="9"/>
  <c r="E207" i="9"/>
  <c r="E223" i="9"/>
  <c r="E239" i="9"/>
  <c r="E255" i="9"/>
  <c r="E271" i="9"/>
  <c r="E287" i="9"/>
  <c r="E303" i="9"/>
  <c r="E319" i="9"/>
  <c r="E335" i="9"/>
  <c r="E351" i="9"/>
  <c r="E367" i="9"/>
  <c r="E383" i="9"/>
  <c r="E399" i="9"/>
  <c r="E415" i="9"/>
  <c r="E431" i="9"/>
  <c r="E447" i="9"/>
  <c r="E463" i="9"/>
  <c r="E479" i="9"/>
  <c r="E495" i="9"/>
  <c r="E511" i="9"/>
  <c r="E527" i="9"/>
  <c r="E543" i="9"/>
  <c r="E559" i="9"/>
  <c r="E575" i="9"/>
  <c r="E591" i="9"/>
  <c r="E607" i="9"/>
  <c r="E623" i="9"/>
  <c r="E639" i="9"/>
  <c r="E655" i="9"/>
  <c r="E671" i="9"/>
  <c r="E687" i="9"/>
  <c r="E703" i="9"/>
  <c r="E719" i="9"/>
  <c r="E735" i="9"/>
  <c r="E751" i="9"/>
  <c r="E767" i="9"/>
  <c r="E783" i="9"/>
  <c r="E799" i="9"/>
  <c r="E815" i="9"/>
  <c r="E831" i="9"/>
  <c r="E847" i="9"/>
  <c r="E863" i="9"/>
  <c r="E879" i="9"/>
  <c r="E895" i="9"/>
  <c r="E911" i="9"/>
  <c r="E927" i="9"/>
  <c r="E943" i="9"/>
  <c r="E959" i="9"/>
  <c r="E975" i="9"/>
  <c r="E991" i="9"/>
  <c r="E1007" i="9"/>
  <c r="E1023" i="9"/>
  <c r="E1039" i="9"/>
  <c r="E1055" i="9"/>
  <c r="E1071" i="9"/>
  <c r="E1087" i="9"/>
  <c r="E1103" i="9"/>
  <c r="E1119" i="9"/>
  <c r="E1135" i="9"/>
  <c r="E1151" i="9"/>
  <c r="E1167" i="9"/>
  <c r="E1183" i="9"/>
  <c r="E1199" i="9"/>
  <c r="E1215" i="9"/>
  <c r="E1231" i="9"/>
  <c r="E1247" i="9"/>
  <c r="E1263" i="9"/>
  <c r="E1279" i="9"/>
  <c r="E1295" i="9"/>
  <c r="E1311" i="9"/>
  <c r="E1327" i="9"/>
  <c r="E1343" i="9"/>
  <c r="E1359" i="9"/>
  <c r="E1375" i="9"/>
  <c r="E1391" i="9"/>
  <c r="E1407" i="9"/>
  <c r="E1423" i="9"/>
  <c r="E1439" i="9"/>
  <c r="E1455" i="9"/>
  <c r="E1471" i="9"/>
  <c r="E1487" i="9"/>
  <c r="E1503" i="9"/>
  <c r="E1519" i="9"/>
  <c r="E1535" i="9"/>
  <c r="E1551" i="9"/>
  <c r="E1567" i="9"/>
  <c r="E1583" i="9"/>
  <c r="E1599" i="9"/>
  <c r="E1615" i="9"/>
  <c r="E1631" i="9"/>
  <c r="E1647" i="9"/>
  <c r="E1663" i="9"/>
  <c r="E1679" i="9"/>
  <c r="E1695" i="9"/>
  <c r="E1711" i="9"/>
  <c r="E1727" i="9"/>
  <c r="E1743" i="9"/>
  <c r="E1759" i="9"/>
  <c r="E1775" i="9"/>
  <c r="E1791" i="9"/>
  <c r="E1807" i="9"/>
  <c r="E1823" i="9"/>
  <c r="E1839" i="9"/>
  <c r="E1855" i="9"/>
  <c r="E1866" i="9"/>
  <c r="E1880" i="9"/>
  <c r="E1891" i="9"/>
  <c r="E1905" i="9"/>
  <c r="E1919" i="9"/>
  <c r="E1930" i="9"/>
  <c r="E1944" i="9"/>
  <c r="E1955" i="9"/>
  <c r="E1969" i="9"/>
  <c r="E1983" i="9"/>
  <c r="E1994" i="9"/>
  <c r="E2008" i="9"/>
  <c r="E2019" i="9"/>
  <c r="E2032" i="9"/>
  <c r="E2042" i="9"/>
  <c r="E2053" i="9"/>
  <c r="E2064" i="9"/>
  <c r="E2074" i="9"/>
  <c r="E2085" i="9"/>
  <c r="E2096" i="9"/>
  <c r="E2106" i="9"/>
  <c r="E2117" i="9"/>
  <c r="E2128" i="9"/>
  <c r="E2138" i="9"/>
  <c r="E2149" i="9"/>
  <c r="E2160" i="9"/>
  <c r="E2170" i="9"/>
  <c r="E2181" i="9"/>
  <c r="E2192" i="9"/>
  <c r="E2202" i="9"/>
  <c r="E2213" i="9"/>
  <c r="E2224" i="9"/>
  <c r="E2234" i="9"/>
  <c r="E2245" i="9"/>
  <c r="E2256" i="9"/>
  <c r="E2265" i="9"/>
  <c r="E2273" i="9"/>
  <c r="E2281" i="9"/>
  <c r="E2289" i="9"/>
  <c r="E2297" i="9"/>
  <c r="E2305" i="9"/>
  <c r="E2313" i="9"/>
  <c r="E2321" i="9"/>
  <c r="E2329" i="9"/>
  <c r="D10" i="9"/>
  <c r="D18" i="9"/>
  <c r="D26" i="9"/>
  <c r="D34" i="9"/>
  <c r="D42" i="9"/>
  <c r="D50" i="9"/>
  <c r="D58" i="9"/>
  <c r="D66" i="9"/>
  <c r="D74" i="9"/>
  <c r="D82" i="9"/>
  <c r="D90" i="9"/>
  <c r="D98" i="9"/>
  <c r="D106" i="9"/>
  <c r="D114" i="9"/>
  <c r="D122" i="9"/>
  <c r="D130" i="9"/>
  <c r="D138" i="9"/>
  <c r="D146" i="9"/>
  <c r="D154" i="9"/>
  <c r="D162" i="9"/>
  <c r="D170" i="9"/>
  <c r="D178" i="9"/>
  <c r="D186" i="9"/>
  <c r="D194" i="9"/>
  <c r="D202" i="9"/>
  <c r="D210" i="9"/>
  <c r="D218" i="9"/>
  <c r="D226" i="9"/>
  <c r="D234" i="9"/>
  <c r="D242" i="9"/>
  <c r="D250" i="9"/>
  <c r="D258" i="9"/>
  <c r="D266" i="9"/>
  <c r="D274" i="9"/>
  <c r="D282" i="9"/>
  <c r="D290" i="9"/>
  <c r="D298" i="9"/>
  <c r="D306" i="9"/>
  <c r="D314" i="9"/>
  <c r="D322" i="9"/>
  <c r="D330" i="9"/>
  <c r="D338" i="9"/>
  <c r="D346" i="9"/>
  <c r="D354" i="9"/>
  <c r="D362" i="9"/>
  <c r="D370" i="9"/>
  <c r="D378" i="9"/>
  <c r="D386" i="9"/>
  <c r="D394" i="9"/>
  <c r="D402" i="9"/>
  <c r="D410" i="9"/>
  <c r="D418" i="9"/>
  <c r="D426" i="9"/>
  <c r="D434" i="9"/>
  <c r="D442" i="9"/>
  <c r="D450" i="9"/>
  <c r="D458" i="9"/>
  <c r="D466" i="9"/>
  <c r="D474" i="9"/>
  <c r="D482" i="9"/>
  <c r="D490" i="9"/>
  <c r="D498" i="9"/>
  <c r="D506" i="9"/>
  <c r="D514" i="9"/>
  <c r="D522" i="9"/>
  <c r="D530" i="9"/>
  <c r="D538" i="9"/>
  <c r="D546" i="9"/>
  <c r="D554" i="9"/>
  <c r="D562" i="9"/>
  <c r="D570" i="9"/>
  <c r="D578" i="9"/>
  <c r="D586" i="9"/>
  <c r="D594" i="9"/>
  <c r="D602" i="9"/>
  <c r="D610" i="9"/>
  <c r="D618" i="9"/>
  <c r="D626" i="9"/>
  <c r="D634" i="9"/>
  <c r="D642" i="9"/>
  <c r="D650" i="9"/>
  <c r="D658" i="9"/>
  <c r="D666" i="9"/>
  <c r="D674" i="9"/>
  <c r="D682" i="9"/>
  <c r="D690" i="9"/>
  <c r="D698" i="9"/>
  <c r="D706" i="9"/>
  <c r="D714" i="9"/>
  <c r="D722" i="9"/>
  <c r="D730" i="9"/>
  <c r="D738" i="9"/>
  <c r="D746" i="9"/>
  <c r="D754" i="9"/>
  <c r="D762" i="9"/>
  <c r="D770" i="9"/>
  <c r="D778" i="9"/>
  <c r="D786" i="9"/>
  <c r="D794" i="9"/>
  <c r="D802" i="9"/>
  <c r="D810" i="9"/>
  <c r="D818" i="9"/>
  <c r="D826" i="9"/>
  <c r="D834" i="9"/>
  <c r="D842" i="9"/>
  <c r="D850" i="9"/>
  <c r="D858" i="9"/>
  <c r="D866" i="9"/>
  <c r="D874" i="9"/>
  <c r="D882" i="9"/>
  <c r="D890" i="9"/>
  <c r="D898" i="9"/>
  <c r="D906" i="9"/>
  <c r="D914" i="9"/>
  <c r="D922" i="9"/>
  <c r="D930" i="9"/>
  <c r="D938" i="9"/>
  <c r="D946" i="9"/>
  <c r="D954" i="9"/>
  <c r="D962" i="9"/>
  <c r="D970" i="9"/>
  <c r="D978" i="9"/>
  <c r="D986" i="9"/>
  <c r="D994" i="9"/>
  <c r="D1002" i="9"/>
  <c r="D1010" i="9"/>
  <c r="D1018" i="9"/>
  <c r="D1026" i="9"/>
  <c r="D1034" i="9"/>
  <c r="D1042" i="9"/>
  <c r="D1050" i="9"/>
  <c r="D1058" i="9"/>
  <c r="D1066" i="9"/>
  <c r="D1074" i="9"/>
  <c r="D1082" i="9"/>
  <c r="D1090" i="9"/>
  <c r="D1098" i="9"/>
  <c r="D1106" i="9"/>
  <c r="D1114" i="9"/>
  <c r="D1122" i="9"/>
  <c r="D1130" i="9"/>
  <c r="D1138" i="9"/>
  <c r="D1146" i="9"/>
  <c r="D1154" i="9"/>
  <c r="D1162" i="9"/>
  <c r="D1170" i="9"/>
  <c r="D1178" i="9"/>
  <c r="D1186" i="9"/>
  <c r="D1194" i="9"/>
  <c r="D1202" i="9"/>
  <c r="D1210" i="9"/>
  <c r="D1218" i="9"/>
  <c r="D1226" i="9"/>
  <c r="D1234" i="9"/>
  <c r="D1242" i="9"/>
  <c r="D1250" i="9"/>
  <c r="D1258" i="9"/>
  <c r="D1266" i="9"/>
  <c r="D1274" i="9"/>
  <c r="D1282" i="9"/>
  <c r="D1290" i="9"/>
  <c r="D1298" i="9"/>
  <c r="D1306" i="9"/>
  <c r="D1314" i="9"/>
  <c r="D1322" i="9"/>
  <c r="D1330" i="9"/>
  <c r="D1338" i="9"/>
  <c r="D1346" i="9"/>
  <c r="D1354" i="9"/>
  <c r="D1362" i="9"/>
  <c r="D1370" i="9"/>
  <c r="D1378" i="9"/>
  <c r="D1386" i="9"/>
  <c r="D1394" i="9"/>
  <c r="D1402" i="9"/>
  <c r="D1410" i="9"/>
  <c r="D1418" i="9"/>
  <c r="D1426" i="9"/>
  <c r="D1434" i="9"/>
  <c r="D1442" i="9"/>
  <c r="D1450" i="9"/>
  <c r="D1458" i="9"/>
  <c r="D1466" i="9"/>
  <c r="D1474" i="9"/>
  <c r="D1482" i="9"/>
  <c r="D1490" i="9"/>
  <c r="D1498" i="9"/>
  <c r="D1506" i="9"/>
  <c r="D1514" i="9"/>
  <c r="D1522" i="9"/>
  <c r="D1530" i="9"/>
  <c r="D1538" i="9"/>
  <c r="D1546" i="9"/>
  <c r="D1554" i="9"/>
  <c r="D1562" i="9"/>
  <c r="D1570" i="9"/>
  <c r="D1578" i="9"/>
  <c r="D1586" i="9"/>
  <c r="D1594" i="9"/>
  <c r="D1602" i="9"/>
  <c r="D1610" i="9"/>
  <c r="D1618" i="9"/>
  <c r="D1626" i="9"/>
  <c r="D1634" i="9"/>
  <c r="D1642" i="9"/>
  <c r="D1650" i="9"/>
  <c r="D1658" i="9"/>
  <c r="D1666" i="9"/>
  <c r="D1674" i="9"/>
  <c r="D1682" i="9"/>
  <c r="D1690" i="9"/>
  <c r="D1698" i="9"/>
  <c r="D1706" i="9"/>
  <c r="D1714" i="9"/>
  <c r="D1722" i="9"/>
  <c r="D1730" i="9"/>
  <c r="D1738" i="9"/>
  <c r="D1746" i="9"/>
  <c r="D1754" i="9"/>
  <c r="D1762" i="9"/>
  <c r="D1770" i="9"/>
  <c r="D1778" i="9"/>
  <c r="D1786" i="9"/>
  <c r="D1794" i="9"/>
  <c r="D1802" i="9"/>
  <c r="D1810" i="9"/>
  <c r="D1818" i="9"/>
  <c r="D1826" i="9"/>
  <c r="D1834" i="9"/>
  <c r="D1842" i="9"/>
  <c r="D1850" i="9"/>
  <c r="D1858" i="9"/>
  <c r="D1866" i="9"/>
  <c r="J42" i="9"/>
  <c r="J1170" i="9"/>
  <c r="J1689" i="9"/>
  <c r="J2201" i="9"/>
  <c r="I378" i="9"/>
  <c r="I793" i="9"/>
  <c r="I1051" i="9"/>
  <c r="I1307" i="9"/>
  <c r="I1563" i="9"/>
  <c r="I1819" i="9"/>
  <c r="I2067" i="9"/>
  <c r="I2220" i="9"/>
  <c r="H22" i="9"/>
  <c r="H150" i="9"/>
  <c r="H278" i="9"/>
  <c r="H406" i="9"/>
  <c r="H534" i="9"/>
  <c r="H662" i="9"/>
  <c r="H790" i="9"/>
  <c r="H918" i="9"/>
  <c r="H1031" i="9"/>
  <c r="H1117" i="9"/>
  <c r="H1191" i="9"/>
  <c r="H1255" i="9"/>
  <c r="H1319" i="9"/>
  <c r="H1383" i="9"/>
  <c r="H1447" i="9"/>
  <c r="H1511" i="9"/>
  <c r="H1575" i="9"/>
  <c r="H1639" i="9"/>
  <c r="H1703" i="9"/>
  <c r="H1767" i="9"/>
  <c r="H1831" i="9"/>
  <c r="H1895" i="9"/>
  <c r="H1959" i="9"/>
  <c r="H2023" i="9"/>
  <c r="H2087" i="9"/>
  <c r="H2151" i="9"/>
  <c r="H2215" i="9"/>
  <c r="H2279" i="9"/>
  <c r="G8" i="9"/>
  <c r="G65" i="9"/>
  <c r="G117" i="9"/>
  <c r="G165" i="9"/>
  <c r="G207" i="9"/>
  <c r="G249" i="9"/>
  <c r="G287" i="9"/>
  <c r="G324" i="9"/>
  <c r="G360" i="9"/>
  <c r="G397" i="9"/>
  <c r="G430" i="9"/>
  <c r="G462" i="9"/>
  <c r="G494" i="9"/>
  <c r="G526" i="9"/>
  <c r="G558" i="9"/>
  <c r="G590" i="9"/>
  <c r="G622" i="9"/>
  <c r="G654" i="9"/>
  <c r="G686" i="9"/>
  <c r="G718" i="9"/>
  <c r="G750" i="9"/>
  <c r="G782" i="9"/>
  <c r="G814" i="9"/>
  <c r="G846" i="9"/>
  <c r="G878" i="9"/>
  <c r="G910" i="9"/>
  <c r="G942" i="9"/>
  <c r="G974" i="9"/>
  <c r="G1006" i="9"/>
  <c r="G1038" i="9"/>
  <c r="G1070" i="9"/>
  <c r="G1102" i="9"/>
  <c r="G1134" i="9"/>
  <c r="G1166" i="9"/>
  <c r="G1198" i="9"/>
  <c r="G1230" i="9"/>
  <c r="G1262" i="9"/>
  <c r="G1294" i="9"/>
  <c r="G1326" i="9"/>
  <c r="G1358" i="9"/>
  <c r="G1390" i="9"/>
  <c r="G1422" i="9"/>
  <c r="G1454" i="9"/>
  <c r="G1486" i="9"/>
  <c r="G1518" i="9"/>
  <c r="G1550" i="9"/>
  <c r="G1582" i="9"/>
  <c r="G1614" i="9"/>
  <c r="G1646" i="9"/>
  <c r="G1678" i="9"/>
  <c r="G1710" i="9"/>
  <c r="G1742" i="9"/>
  <c r="G1774" i="9"/>
  <c r="G1806" i="9"/>
  <c r="G1838" i="9"/>
  <c r="G1870" i="9"/>
  <c r="G1902" i="9"/>
  <c r="G1934" i="9"/>
  <c r="G1966" i="9"/>
  <c r="G1998" i="9"/>
  <c r="G2030" i="9"/>
  <c r="G2062" i="9"/>
  <c r="G2094" i="9"/>
  <c r="G2126" i="9"/>
  <c r="G2158" i="9"/>
  <c r="G2190" i="9"/>
  <c r="G2222" i="9"/>
  <c r="G2254" i="9"/>
  <c r="G2286" i="9"/>
  <c r="G2318" i="9"/>
  <c r="F15" i="9"/>
  <c r="F47" i="9"/>
  <c r="F79" i="9"/>
  <c r="F111" i="9"/>
  <c r="F143" i="9"/>
  <c r="F175" i="9"/>
  <c r="F207" i="9"/>
  <c r="F239" i="9"/>
  <c r="F271" i="9"/>
  <c r="F303" i="9"/>
  <c r="F335" i="9"/>
  <c r="F367" i="9"/>
  <c r="F399" i="9"/>
  <c r="F431" i="9"/>
  <c r="F463" i="9"/>
  <c r="F495" i="9"/>
  <c r="F527" i="9"/>
  <c r="F559" i="9"/>
  <c r="F591" i="9"/>
  <c r="F623" i="9"/>
  <c r="F655" i="9"/>
  <c r="F687" i="9"/>
  <c r="F719" i="9"/>
  <c r="F751" i="9"/>
  <c r="F783" i="9"/>
  <c r="F815" i="9"/>
  <c r="F847" i="9"/>
  <c r="F879" i="9"/>
  <c r="F911" i="9"/>
  <c r="F943" i="9"/>
  <c r="F975" i="9"/>
  <c r="F1007" i="9"/>
  <c r="F1039" i="9"/>
  <c r="F1071" i="9"/>
  <c r="F1103" i="9"/>
  <c r="F1135" i="9"/>
  <c r="F1167" i="9"/>
  <c r="F1199" i="9"/>
  <c r="F1231" i="9"/>
  <c r="F1263" i="9"/>
  <c r="F1295" i="9"/>
  <c r="F1327" i="9"/>
  <c r="F1359" i="9"/>
  <c r="F1391" i="9"/>
  <c r="F1423" i="9"/>
  <c r="F1455" i="9"/>
  <c r="F1487" i="9"/>
  <c r="F1519" i="9"/>
  <c r="F1551" i="9"/>
  <c r="F1583" i="9"/>
  <c r="F1615" i="9"/>
  <c r="F1645" i="9"/>
  <c r="F1670" i="9"/>
  <c r="F1695" i="9"/>
  <c r="F1720" i="9"/>
  <c r="F1744" i="9"/>
  <c r="F1766" i="9"/>
  <c r="F1787" i="9"/>
  <c r="F1808" i="9"/>
  <c r="F1830" i="9"/>
  <c r="F1851" i="9"/>
  <c r="F1872" i="9"/>
  <c r="F1894" i="9"/>
  <c r="F1915" i="9"/>
  <c r="F1935" i="9"/>
  <c r="F1951" i="9"/>
  <c r="F1967" i="9"/>
  <c r="F1983" i="9"/>
  <c r="F1999" i="9"/>
  <c r="F2015" i="9"/>
  <c r="F2031" i="9"/>
  <c r="F2047" i="9"/>
  <c r="F2063" i="9"/>
  <c r="F2079" i="9"/>
  <c r="F2095" i="9"/>
  <c r="F2111" i="9"/>
  <c r="F2127" i="9"/>
  <c r="F2143" i="9"/>
  <c r="F2159" i="9"/>
  <c r="F2175" i="9"/>
  <c r="F2191" i="9"/>
  <c r="F2207" i="9"/>
  <c r="F2223" i="9"/>
  <c r="F2239" i="9"/>
  <c r="F2255" i="9"/>
  <c r="F2271" i="9"/>
  <c r="F2287" i="9"/>
  <c r="F2303" i="9"/>
  <c r="F2319" i="9"/>
  <c r="F2335" i="9"/>
  <c r="E16" i="9"/>
  <c r="E32" i="9"/>
  <c r="E48" i="9"/>
  <c r="E64" i="9"/>
  <c r="E80" i="9"/>
  <c r="E96" i="9"/>
  <c r="E112" i="9"/>
  <c r="E128" i="9"/>
  <c r="E144" i="9"/>
  <c r="E160" i="9"/>
  <c r="E176" i="9"/>
  <c r="E192" i="9"/>
  <c r="E208" i="9"/>
  <c r="E224" i="9"/>
  <c r="E240" i="9"/>
  <c r="E256" i="9"/>
  <c r="E272" i="9"/>
  <c r="E288" i="9"/>
  <c r="E304" i="9"/>
  <c r="E320" i="9"/>
  <c r="E336" i="9"/>
  <c r="E352" i="9"/>
  <c r="E368" i="9"/>
  <c r="E384" i="9"/>
  <c r="E400" i="9"/>
  <c r="E416" i="9"/>
  <c r="E432" i="9"/>
  <c r="E448" i="9"/>
  <c r="E464" i="9"/>
  <c r="E480" i="9"/>
  <c r="E496" i="9"/>
  <c r="E512" i="9"/>
  <c r="E528" i="9"/>
  <c r="E544" i="9"/>
  <c r="E560" i="9"/>
  <c r="E576" i="9"/>
  <c r="E592" i="9"/>
  <c r="E608" i="9"/>
  <c r="E624" i="9"/>
  <c r="E640" i="9"/>
  <c r="E656" i="9"/>
  <c r="E672" i="9"/>
  <c r="E688" i="9"/>
  <c r="E704" i="9"/>
  <c r="E720" i="9"/>
  <c r="E736" i="9"/>
  <c r="E752" i="9"/>
  <c r="E768" i="9"/>
  <c r="E784" i="9"/>
  <c r="E800" i="9"/>
  <c r="E816" i="9"/>
  <c r="E832" i="9"/>
  <c r="E848" i="9"/>
  <c r="E864" i="9"/>
  <c r="E880" i="9"/>
  <c r="E896" i="9"/>
  <c r="E912" i="9"/>
  <c r="E928" i="9"/>
  <c r="E944" i="9"/>
  <c r="E960" i="9"/>
  <c r="E976" i="9"/>
  <c r="E992" i="9"/>
  <c r="E1008" i="9"/>
  <c r="E1024" i="9"/>
  <c r="E1040" i="9"/>
  <c r="E1056" i="9"/>
  <c r="E1072" i="9"/>
  <c r="E1088" i="9"/>
  <c r="E1104" i="9"/>
  <c r="E1120" i="9"/>
  <c r="E1136" i="9"/>
  <c r="E1152" i="9"/>
  <c r="E1168" i="9"/>
  <c r="E1184" i="9"/>
  <c r="E1200" i="9"/>
  <c r="E1216" i="9"/>
  <c r="E1232" i="9"/>
  <c r="E1248" i="9"/>
  <c r="E1264" i="9"/>
  <c r="E1280" i="9"/>
  <c r="E1296" i="9"/>
  <c r="E1312" i="9"/>
  <c r="E1328" i="9"/>
  <c r="E1344" i="9"/>
  <c r="E1360" i="9"/>
  <c r="E1376" i="9"/>
  <c r="E1392" i="9"/>
  <c r="E1408" i="9"/>
  <c r="E1424" i="9"/>
  <c r="E1440" i="9"/>
  <c r="E1456" i="9"/>
  <c r="E1472" i="9"/>
  <c r="E1488" i="9"/>
  <c r="E1504" i="9"/>
  <c r="E1520" i="9"/>
  <c r="E1536" i="9"/>
  <c r="E1552" i="9"/>
  <c r="E1568" i="9"/>
  <c r="E1584" i="9"/>
  <c r="E1600" i="9"/>
  <c r="E1616" i="9"/>
  <c r="E1632" i="9"/>
  <c r="E1648" i="9"/>
  <c r="E1664" i="9"/>
  <c r="E1680" i="9"/>
  <c r="E1696" i="9"/>
  <c r="E1712" i="9"/>
  <c r="E1728" i="9"/>
  <c r="E1744" i="9"/>
  <c r="E1760" i="9"/>
  <c r="E1776" i="9"/>
  <c r="E1792" i="9"/>
  <c r="E1808" i="9"/>
  <c r="E1824" i="9"/>
  <c r="E1840" i="9"/>
  <c r="E1856" i="9"/>
  <c r="E1867" i="9"/>
  <c r="E1881" i="9"/>
  <c r="E1895" i="9"/>
  <c r="E1906" i="9"/>
  <c r="E1920" i="9"/>
  <c r="E1931" i="9"/>
  <c r="E1945" i="9"/>
  <c r="E1959" i="9"/>
  <c r="E1970" i="9"/>
  <c r="E1984" i="9"/>
  <c r="E1995" i="9"/>
  <c r="E2009" i="9"/>
  <c r="E2023" i="9"/>
  <c r="E2033" i="9"/>
  <c r="E2043" i="9"/>
  <c r="E2055" i="9"/>
  <c r="E2065" i="9"/>
  <c r="E2075" i="9"/>
  <c r="E2087" i="9"/>
  <c r="E2097" i="9"/>
  <c r="E2107" i="9"/>
  <c r="E2119" i="9"/>
  <c r="E2129" i="9"/>
  <c r="E2139" i="9"/>
  <c r="E2151" i="9"/>
  <c r="E2161" i="9"/>
  <c r="E2171" i="9"/>
  <c r="E2183" i="9"/>
  <c r="E2193" i="9"/>
  <c r="E2203" i="9"/>
  <c r="E2215" i="9"/>
  <c r="E2225" i="9"/>
  <c r="E2235" i="9"/>
  <c r="E2247" i="9"/>
  <c r="E2257" i="9"/>
  <c r="E2266" i="9"/>
  <c r="E2274" i="9"/>
  <c r="E2282" i="9"/>
  <c r="E2290" i="9"/>
  <c r="E2298" i="9"/>
  <c r="E2306" i="9"/>
  <c r="E2314" i="9"/>
  <c r="E2322" i="9"/>
  <c r="E2330" i="9"/>
  <c r="D3" i="9"/>
  <c r="D11" i="9"/>
  <c r="D19" i="9"/>
  <c r="D27" i="9"/>
  <c r="D35" i="9"/>
  <c r="D43" i="9"/>
  <c r="D51" i="9"/>
  <c r="D59" i="9"/>
  <c r="D67" i="9"/>
  <c r="D75" i="9"/>
  <c r="D83" i="9"/>
  <c r="D91" i="9"/>
  <c r="D99" i="9"/>
  <c r="D107" i="9"/>
  <c r="D115" i="9"/>
  <c r="D123" i="9"/>
  <c r="D131" i="9"/>
  <c r="D139" i="9"/>
  <c r="D147" i="9"/>
  <c r="D155" i="9"/>
  <c r="D163" i="9"/>
  <c r="D171" i="9"/>
  <c r="D179" i="9"/>
  <c r="D187" i="9"/>
  <c r="D195" i="9"/>
  <c r="D203" i="9"/>
  <c r="D211" i="9"/>
  <c r="D219" i="9"/>
  <c r="D227" i="9"/>
  <c r="D235" i="9"/>
  <c r="D243" i="9"/>
  <c r="D251" i="9"/>
  <c r="D259" i="9"/>
  <c r="D267" i="9"/>
  <c r="D275" i="9"/>
  <c r="D283" i="9"/>
  <c r="D291" i="9"/>
  <c r="D299" i="9"/>
  <c r="D307" i="9"/>
  <c r="D315" i="9"/>
  <c r="D323" i="9"/>
  <c r="D331" i="9"/>
  <c r="D339" i="9"/>
  <c r="D347" i="9"/>
  <c r="D355" i="9"/>
  <c r="D363" i="9"/>
  <c r="D371" i="9"/>
  <c r="D379" i="9"/>
  <c r="D387" i="9"/>
  <c r="D395" i="9"/>
  <c r="D403" i="9"/>
  <c r="D411" i="9"/>
  <c r="D419" i="9"/>
  <c r="D427" i="9"/>
  <c r="D435" i="9"/>
  <c r="D443" i="9"/>
  <c r="D451" i="9"/>
  <c r="D459" i="9"/>
  <c r="D467" i="9"/>
  <c r="D475" i="9"/>
  <c r="D483" i="9"/>
  <c r="D491" i="9"/>
  <c r="D499" i="9"/>
  <c r="D507" i="9"/>
  <c r="D515" i="9"/>
  <c r="D523" i="9"/>
  <c r="D531" i="9"/>
  <c r="D539" i="9"/>
  <c r="D547" i="9"/>
  <c r="D555" i="9"/>
  <c r="D563" i="9"/>
  <c r="D571" i="9"/>
  <c r="D579" i="9"/>
  <c r="D587" i="9"/>
  <c r="D595" i="9"/>
  <c r="D603" i="9"/>
  <c r="D611" i="9"/>
  <c r="D619" i="9"/>
  <c r="D627" i="9"/>
  <c r="D635" i="9"/>
  <c r="D643" i="9"/>
  <c r="D651" i="9"/>
  <c r="D659" i="9"/>
  <c r="D667" i="9"/>
  <c r="D675" i="9"/>
  <c r="D683" i="9"/>
  <c r="D691" i="9"/>
  <c r="D699" i="9"/>
  <c r="D707" i="9"/>
  <c r="D715" i="9"/>
  <c r="D723" i="9"/>
  <c r="D731" i="9"/>
  <c r="D739" i="9"/>
  <c r="D747" i="9"/>
  <c r="D755" i="9"/>
  <c r="D763" i="9"/>
  <c r="D771" i="9"/>
  <c r="D779" i="9"/>
  <c r="D787" i="9"/>
  <c r="D795" i="9"/>
  <c r="D803" i="9"/>
  <c r="D811" i="9"/>
  <c r="D819" i="9"/>
  <c r="D827" i="9"/>
  <c r="D835" i="9"/>
  <c r="D843" i="9"/>
  <c r="D851" i="9"/>
  <c r="D859" i="9"/>
  <c r="D867" i="9"/>
  <c r="D875" i="9"/>
  <c r="D883" i="9"/>
  <c r="D891" i="9"/>
  <c r="D899" i="9"/>
  <c r="D907" i="9"/>
  <c r="D915" i="9"/>
  <c r="D923" i="9"/>
  <c r="D931" i="9"/>
  <c r="D939" i="9"/>
  <c r="D947" i="9"/>
  <c r="D955" i="9"/>
  <c r="D963" i="9"/>
  <c r="D971" i="9"/>
  <c r="D979" i="9"/>
  <c r="D987" i="9"/>
  <c r="D995" i="9"/>
  <c r="D1003" i="9"/>
  <c r="D1011" i="9"/>
  <c r="D1019" i="9"/>
  <c r="D1027" i="9"/>
  <c r="D1035" i="9"/>
  <c r="D1043" i="9"/>
  <c r="D1051" i="9"/>
  <c r="D1059" i="9"/>
  <c r="D1067" i="9"/>
  <c r="D1075" i="9"/>
  <c r="D1083" i="9"/>
  <c r="D1091" i="9"/>
  <c r="D1099" i="9"/>
  <c r="D1107" i="9"/>
  <c r="D1115" i="9"/>
  <c r="D1123" i="9"/>
  <c r="D1131" i="9"/>
  <c r="D1139" i="9"/>
  <c r="D1147" i="9"/>
  <c r="D1155" i="9"/>
  <c r="D1163" i="9"/>
  <c r="D1171" i="9"/>
  <c r="D1179" i="9"/>
  <c r="D1187" i="9"/>
  <c r="D1195" i="9"/>
  <c r="D1203" i="9"/>
  <c r="D1211" i="9"/>
  <c r="D1219" i="9"/>
  <c r="D1227" i="9"/>
  <c r="D1235" i="9"/>
  <c r="D1243" i="9"/>
  <c r="D1251" i="9"/>
  <c r="D1259" i="9"/>
  <c r="D1267" i="9"/>
  <c r="D1275" i="9"/>
  <c r="D1283" i="9"/>
  <c r="D1291" i="9"/>
  <c r="D1299" i="9"/>
  <c r="D1307" i="9"/>
  <c r="D1315" i="9"/>
  <c r="D1323" i="9"/>
  <c r="D1331" i="9"/>
  <c r="D1339" i="9"/>
  <c r="D1347" i="9"/>
  <c r="D1355" i="9"/>
  <c r="D1363" i="9"/>
  <c r="D1371" i="9"/>
  <c r="D1379" i="9"/>
  <c r="D1387" i="9"/>
  <c r="D1395" i="9"/>
  <c r="D1403" i="9"/>
  <c r="D1411" i="9"/>
  <c r="D1419" i="9"/>
  <c r="D1427" i="9"/>
  <c r="D1435" i="9"/>
  <c r="D1443" i="9"/>
  <c r="D1451" i="9"/>
  <c r="D1459" i="9"/>
  <c r="D1467" i="9"/>
  <c r="D1475" i="9"/>
  <c r="D1483" i="9"/>
  <c r="D1491" i="9"/>
  <c r="D1499" i="9"/>
  <c r="D1507" i="9"/>
  <c r="D1515" i="9"/>
  <c r="D1523" i="9"/>
  <c r="D1531" i="9"/>
  <c r="D1539" i="9"/>
  <c r="D1547" i="9"/>
  <c r="D1555" i="9"/>
  <c r="D1563" i="9"/>
  <c r="D1571" i="9"/>
  <c r="D1579" i="9"/>
  <c r="D1587" i="9"/>
  <c r="D1595" i="9"/>
  <c r="D1603" i="9"/>
  <c r="D1611" i="9"/>
  <c r="D1619" i="9"/>
  <c r="D1627" i="9"/>
  <c r="D1635" i="9"/>
  <c r="D1643" i="9"/>
  <c r="D1651" i="9"/>
  <c r="D1659" i="9"/>
  <c r="D1667" i="9"/>
  <c r="D1675" i="9"/>
  <c r="D1683" i="9"/>
  <c r="D1691" i="9"/>
  <c r="D1699" i="9"/>
  <c r="D1707" i="9"/>
  <c r="D1715" i="9"/>
  <c r="D1723" i="9"/>
  <c r="D1731" i="9"/>
  <c r="D1739" i="9"/>
  <c r="D1747" i="9"/>
  <c r="D1755" i="9"/>
  <c r="D1763" i="9"/>
  <c r="D1771" i="9"/>
  <c r="D1779" i="9"/>
  <c r="D1787" i="9"/>
  <c r="D1795" i="9"/>
  <c r="D1803" i="9"/>
  <c r="D1811" i="9"/>
  <c r="D1819" i="9"/>
  <c r="D1827" i="9"/>
  <c r="D1835" i="9"/>
  <c r="D1843" i="9"/>
  <c r="D1851" i="9"/>
  <c r="D1859" i="9"/>
  <c r="D1867" i="9"/>
  <c r="D1875" i="9"/>
  <c r="D1883" i="9"/>
  <c r="D1891" i="9"/>
  <c r="D1899" i="9"/>
  <c r="D1907" i="9"/>
  <c r="D1915" i="9"/>
  <c r="D1923" i="9"/>
  <c r="D1931" i="9"/>
  <c r="D1939" i="9"/>
  <c r="D1947" i="9"/>
  <c r="D1955" i="9"/>
  <c r="D1963" i="9"/>
  <c r="D1971" i="9"/>
  <c r="D1979" i="9"/>
  <c r="D1987" i="9"/>
  <c r="D1995" i="9"/>
  <c r="D2003" i="9"/>
  <c r="D2011" i="9"/>
  <c r="D2019" i="9"/>
  <c r="D2027" i="9"/>
  <c r="D2035" i="9"/>
  <c r="D2043" i="9"/>
  <c r="D2051" i="9"/>
  <c r="D2059" i="9"/>
  <c r="D2067" i="9"/>
  <c r="D2075" i="9"/>
  <c r="D2083" i="9"/>
  <c r="D2091" i="9"/>
  <c r="D2099" i="9"/>
  <c r="D2107" i="9"/>
  <c r="D2115" i="9"/>
  <c r="D2123" i="9"/>
  <c r="D2131" i="9"/>
  <c r="D2139" i="9"/>
  <c r="D2147" i="9"/>
  <c r="D2155" i="9"/>
  <c r="D2163" i="9"/>
  <c r="D2171" i="9"/>
  <c r="D2179" i="9"/>
  <c r="D2187" i="9"/>
  <c r="D2195" i="9"/>
  <c r="D2203" i="9"/>
  <c r="D2211" i="9"/>
  <c r="D2219" i="9"/>
  <c r="D2227" i="9"/>
  <c r="D2235" i="9"/>
  <c r="D2243" i="9"/>
  <c r="D2251" i="9"/>
  <c r="D2259" i="9"/>
  <c r="D2267" i="9"/>
  <c r="D2275" i="9"/>
  <c r="D2283" i="9"/>
  <c r="D2291" i="9"/>
  <c r="D2299" i="9"/>
  <c r="D2307" i="9"/>
  <c r="D2315" i="9"/>
  <c r="J43" i="9"/>
  <c r="J1171" i="9"/>
  <c r="J1690" i="9"/>
  <c r="J2202" i="9"/>
  <c r="I379" i="9"/>
  <c r="I794" i="9"/>
  <c r="I1052" i="9"/>
  <c r="I1308" i="9"/>
  <c r="I1564" i="9"/>
  <c r="I1820" i="9"/>
  <c r="I2068" i="9"/>
  <c r="I2221" i="9"/>
  <c r="H23" i="9"/>
  <c r="H151" i="9"/>
  <c r="H279" i="9"/>
  <c r="H407" i="9"/>
  <c r="H535" i="9"/>
  <c r="H663" i="9"/>
  <c r="H791" i="9"/>
  <c r="H919" i="9"/>
  <c r="H1032" i="9"/>
  <c r="H1118" i="9"/>
  <c r="H1192" i="9"/>
  <c r="H1256" i="9"/>
  <c r="H1320" i="9"/>
  <c r="H1384" i="9"/>
  <c r="H1448" i="9"/>
  <c r="H1512" i="9"/>
  <c r="H1576" i="9"/>
  <c r="H1640" i="9"/>
  <c r="H1704" i="9"/>
  <c r="H1768" i="9"/>
  <c r="H1832" i="9"/>
  <c r="H1896" i="9"/>
  <c r="H1960" i="9"/>
  <c r="H2024" i="9"/>
  <c r="H2088" i="9"/>
  <c r="H2152" i="9"/>
  <c r="H2216" i="9"/>
  <c r="H2280" i="9"/>
  <c r="G9" i="9"/>
  <c r="G66" i="9"/>
  <c r="G119" i="9"/>
  <c r="G166" i="9"/>
  <c r="G208" i="9"/>
  <c r="G250" i="9"/>
  <c r="G288" i="9"/>
  <c r="G325" i="9"/>
  <c r="G361" i="9"/>
  <c r="G398" i="9"/>
  <c r="G431" i="9"/>
  <c r="G463" i="9"/>
  <c r="G495" i="9"/>
  <c r="G527" i="9"/>
  <c r="G559" i="9"/>
  <c r="G591" i="9"/>
  <c r="G623" i="9"/>
  <c r="G655" i="9"/>
  <c r="G687" i="9"/>
  <c r="G719" i="9"/>
  <c r="G751" i="9"/>
  <c r="G783" i="9"/>
  <c r="G815" i="9"/>
  <c r="G847" i="9"/>
  <c r="G879" i="9"/>
  <c r="G911" i="9"/>
  <c r="G943" i="9"/>
  <c r="G975" i="9"/>
  <c r="G1007" i="9"/>
  <c r="G1039" i="9"/>
  <c r="G1071" i="9"/>
  <c r="G1103" i="9"/>
  <c r="G1135" i="9"/>
  <c r="G1167" i="9"/>
  <c r="G1199" i="9"/>
  <c r="G1231" i="9"/>
  <c r="G1263" i="9"/>
  <c r="G1295" i="9"/>
  <c r="G1327" i="9"/>
  <c r="G1359" i="9"/>
  <c r="G1391" i="9"/>
  <c r="G1423" i="9"/>
  <c r="G1455" i="9"/>
  <c r="G1487" i="9"/>
  <c r="G1519" i="9"/>
  <c r="G1551" i="9"/>
  <c r="G1583" i="9"/>
  <c r="G1615" i="9"/>
  <c r="G1647" i="9"/>
  <c r="G1679" i="9"/>
  <c r="G1711" i="9"/>
  <c r="G1743" i="9"/>
  <c r="G1775" i="9"/>
  <c r="G1807" i="9"/>
  <c r="G1839" i="9"/>
  <c r="G1871" i="9"/>
  <c r="G1903" i="9"/>
  <c r="G1935" i="9"/>
  <c r="G1967" i="9"/>
  <c r="G1999" i="9"/>
  <c r="G2031" i="9"/>
  <c r="G2063" i="9"/>
  <c r="G2095" i="9"/>
  <c r="G2127" i="9"/>
  <c r="G2159" i="9"/>
  <c r="G2191" i="9"/>
  <c r="G2223" i="9"/>
  <c r="G2255" i="9"/>
  <c r="G2287" i="9"/>
  <c r="G2319" i="9"/>
  <c r="F16" i="9"/>
  <c r="F48" i="9"/>
  <c r="F80" i="9"/>
  <c r="F112" i="9"/>
  <c r="F144" i="9"/>
  <c r="F176" i="9"/>
  <c r="F208" i="9"/>
  <c r="F240" i="9"/>
  <c r="F272" i="9"/>
  <c r="F304" i="9"/>
  <c r="F336" i="9"/>
  <c r="F368" i="9"/>
  <c r="F400" i="9"/>
  <c r="F432" i="9"/>
  <c r="F464" i="9"/>
  <c r="F496" i="9"/>
  <c r="F528" i="9"/>
  <c r="F560" i="9"/>
  <c r="F592" i="9"/>
  <c r="F624" i="9"/>
  <c r="F656" i="9"/>
  <c r="F688" i="9"/>
  <c r="F720" i="9"/>
  <c r="F752" i="9"/>
  <c r="F784" i="9"/>
  <c r="F816" i="9"/>
  <c r="F848" i="9"/>
  <c r="F880" i="9"/>
  <c r="F912" i="9"/>
  <c r="F944" i="9"/>
  <c r="F976" i="9"/>
  <c r="F1008" i="9"/>
  <c r="F1040" i="9"/>
  <c r="F1072" i="9"/>
  <c r="F1104" i="9"/>
  <c r="F1136" i="9"/>
  <c r="F1168" i="9"/>
  <c r="F1200" i="9"/>
  <c r="F1232" i="9"/>
  <c r="F1264" i="9"/>
  <c r="F1296" i="9"/>
  <c r="F1328" i="9"/>
  <c r="F1360" i="9"/>
  <c r="F1392" i="9"/>
  <c r="F1424" i="9"/>
  <c r="F1456" i="9"/>
  <c r="F1488" i="9"/>
  <c r="F1520" i="9"/>
  <c r="F1552" i="9"/>
  <c r="F1584" i="9"/>
  <c r="F1616" i="9"/>
  <c r="F1646" i="9"/>
  <c r="F1671" i="9"/>
  <c r="F1696" i="9"/>
  <c r="F1721" i="9"/>
  <c r="F1745" i="9"/>
  <c r="F1767" i="9"/>
  <c r="F1789" i="9"/>
  <c r="F1809" i="9"/>
  <c r="F1831" i="9"/>
  <c r="F1853" i="9"/>
  <c r="F1873" i="9"/>
  <c r="F1895" i="9"/>
  <c r="F1917" i="9"/>
  <c r="F1936" i="9"/>
  <c r="F1952" i="9"/>
  <c r="F1968" i="9"/>
  <c r="F1984" i="9"/>
  <c r="F2000" i="9"/>
  <c r="F2016" i="9"/>
  <c r="F2032" i="9"/>
  <c r="F2048" i="9"/>
  <c r="F2064" i="9"/>
  <c r="F2080" i="9"/>
  <c r="F2096" i="9"/>
  <c r="F2112" i="9"/>
  <c r="F2128" i="9"/>
  <c r="F2144" i="9"/>
  <c r="F2160" i="9"/>
  <c r="F2176" i="9"/>
  <c r="F2192" i="9"/>
  <c r="F2208" i="9"/>
  <c r="F2224" i="9"/>
  <c r="F2240" i="9"/>
  <c r="F2256" i="9"/>
  <c r="F2272" i="9"/>
  <c r="F2288" i="9"/>
  <c r="F2304" i="9"/>
  <c r="F2320" i="9"/>
  <c r="F2336" i="9"/>
  <c r="E17" i="9"/>
  <c r="E33" i="9"/>
  <c r="E49" i="9"/>
  <c r="E65" i="9"/>
  <c r="E81" i="9"/>
  <c r="E97" i="9"/>
  <c r="E113" i="9"/>
  <c r="E129" i="9"/>
  <c r="E145" i="9"/>
  <c r="E161" i="9"/>
  <c r="E177" i="9"/>
  <c r="E193" i="9"/>
  <c r="E209" i="9"/>
  <c r="E225" i="9"/>
  <c r="E241" i="9"/>
  <c r="E257" i="9"/>
  <c r="E273" i="9"/>
  <c r="E289" i="9"/>
  <c r="E305" i="9"/>
  <c r="E321" i="9"/>
  <c r="E337" i="9"/>
  <c r="E353" i="9"/>
  <c r="E369" i="9"/>
  <c r="E385" i="9"/>
  <c r="E401" i="9"/>
  <c r="E417" i="9"/>
  <c r="E433" i="9"/>
  <c r="E449" i="9"/>
  <c r="E465" i="9"/>
  <c r="E481" i="9"/>
  <c r="E497" i="9"/>
  <c r="E513" i="9"/>
  <c r="E529" i="9"/>
  <c r="E545" i="9"/>
  <c r="E561" i="9"/>
  <c r="E577" i="9"/>
  <c r="E593" i="9"/>
  <c r="E609" i="9"/>
  <c r="E625" i="9"/>
  <c r="E641" i="9"/>
  <c r="E657" i="9"/>
  <c r="E673" i="9"/>
  <c r="E689" i="9"/>
  <c r="E705" i="9"/>
  <c r="E721" i="9"/>
  <c r="E737" i="9"/>
  <c r="E753" i="9"/>
  <c r="E769" i="9"/>
  <c r="E785" i="9"/>
  <c r="E801" i="9"/>
  <c r="E817" i="9"/>
  <c r="E833" i="9"/>
  <c r="E849" i="9"/>
  <c r="E865" i="9"/>
  <c r="E881" i="9"/>
  <c r="E897" i="9"/>
  <c r="E913" i="9"/>
  <c r="E929" i="9"/>
  <c r="E945" i="9"/>
  <c r="E961" i="9"/>
  <c r="E977" i="9"/>
  <c r="E993" i="9"/>
  <c r="E1009" i="9"/>
  <c r="E1025" i="9"/>
  <c r="E1041" i="9"/>
  <c r="E1057" i="9"/>
  <c r="E1073" i="9"/>
  <c r="E1089" i="9"/>
  <c r="E1105" i="9"/>
  <c r="E1121" i="9"/>
  <c r="E1137" i="9"/>
  <c r="E1153" i="9"/>
  <c r="E1169" i="9"/>
  <c r="E1185" i="9"/>
  <c r="E1201" i="9"/>
  <c r="E1217" i="9"/>
  <c r="E1233" i="9"/>
  <c r="E1249" i="9"/>
  <c r="E1265" i="9"/>
  <c r="E1281" i="9"/>
  <c r="E1297" i="9"/>
  <c r="E1313" i="9"/>
  <c r="E1329" i="9"/>
  <c r="E1345" i="9"/>
  <c r="E1361" i="9"/>
  <c r="E1377" i="9"/>
  <c r="E1393" i="9"/>
  <c r="E1409" i="9"/>
  <c r="E1425" i="9"/>
  <c r="E1441" i="9"/>
  <c r="E1457" i="9"/>
  <c r="E1473" i="9"/>
  <c r="E1489" i="9"/>
  <c r="E1505" i="9"/>
  <c r="E1521" i="9"/>
  <c r="E1537" i="9"/>
  <c r="E1553" i="9"/>
  <c r="E1569" i="9"/>
  <c r="E1585" i="9"/>
  <c r="E1601" i="9"/>
  <c r="E1617" i="9"/>
  <c r="E1633" i="9"/>
  <c r="E1649" i="9"/>
  <c r="E1665" i="9"/>
  <c r="E1681" i="9"/>
  <c r="E1697" i="9"/>
  <c r="E1713" i="9"/>
  <c r="E1729" i="9"/>
  <c r="E1745" i="9"/>
  <c r="E1761" i="9"/>
  <c r="E1777" i="9"/>
  <c r="E1793" i="9"/>
  <c r="E1809" i="9"/>
  <c r="E1825" i="9"/>
  <c r="E1841" i="9"/>
  <c r="E1857" i="9"/>
  <c r="E1871" i="9"/>
  <c r="E1882" i="9"/>
  <c r="E1896" i="9"/>
  <c r="E1907" i="9"/>
  <c r="E1921" i="9"/>
  <c r="E1935" i="9"/>
  <c r="E1946" i="9"/>
  <c r="E1960" i="9"/>
  <c r="E1971" i="9"/>
  <c r="E1985" i="9"/>
  <c r="E1999" i="9"/>
  <c r="E2010" i="9"/>
  <c r="E2024" i="9"/>
  <c r="E2034" i="9"/>
  <c r="E2045" i="9"/>
  <c r="E2056" i="9"/>
  <c r="E2066" i="9"/>
  <c r="E2077" i="9"/>
  <c r="E2088" i="9"/>
  <c r="E2098" i="9"/>
  <c r="E2109" i="9"/>
  <c r="E2120" i="9"/>
  <c r="E2130" i="9"/>
  <c r="E2141" i="9"/>
  <c r="E2152" i="9"/>
  <c r="E2162" i="9"/>
  <c r="E2173" i="9"/>
  <c r="E2184" i="9"/>
  <c r="E2194" i="9"/>
  <c r="E2205" i="9"/>
  <c r="E2216" i="9"/>
  <c r="E2226" i="9"/>
  <c r="E2237" i="9"/>
  <c r="E2248" i="9"/>
  <c r="E2258" i="9"/>
  <c r="E2267" i="9"/>
  <c r="E2275" i="9"/>
  <c r="E2283" i="9"/>
  <c r="E2291" i="9"/>
  <c r="E2299" i="9"/>
  <c r="E2307" i="9"/>
  <c r="E2315" i="9"/>
  <c r="E2323" i="9"/>
  <c r="E2331" i="9"/>
  <c r="D4" i="9"/>
  <c r="D12" i="9"/>
  <c r="D20" i="9"/>
  <c r="D28" i="9"/>
  <c r="D36" i="9"/>
  <c r="D44" i="9"/>
  <c r="D52" i="9"/>
  <c r="D60" i="9"/>
  <c r="D68" i="9"/>
  <c r="D76" i="9"/>
  <c r="D84" i="9"/>
  <c r="D92" i="9"/>
  <c r="D100" i="9"/>
  <c r="D108" i="9"/>
  <c r="D116" i="9"/>
  <c r="D124" i="9"/>
  <c r="D132" i="9"/>
  <c r="D140" i="9"/>
  <c r="D148" i="9"/>
  <c r="D156" i="9"/>
  <c r="D164" i="9"/>
  <c r="D172" i="9"/>
  <c r="D180" i="9"/>
  <c r="D188" i="9"/>
  <c r="D196" i="9"/>
  <c r="D204" i="9"/>
  <c r="D212" i="9"/>
  <c r="D220" i="9"/>
  <c r="D228" i="9"/>
  <c r="D236" i="9"/>
  <c r="D244" i="9"/>
  <c r="D252" i="9"/>
  <c r="D260" i="9"/>
  <c r="D268" i="9"/>
  <c r="D276" i="9"/>
  <c r="D284" i="9"/>
  <c r="D292" i="9"/>
  <c r="D300" i="9"/>
  <c r="D308" i="9"/>
  <c r="D316" i="9"/>
  <c r="D324" i="9"/>
  <c r="D332" i="9"/>
  <c r="D340" i="9"/>
  <c r="D348" i="9"/>
  <c r="D356" i="9"/>
  <c r="D364" i="9"/>
  <c r="D372" i="9"/>
  <c r="D380" i="9"/>
  <c r="D388" i="9"/>
  <c r="D396" i="9"/>
  <c r="D404" i="9"/>
  <c r="D412" i="9"/>
  <c r="D420" i="9"/>
  <c r="D428" i="9"/>
  <c r="D436" i="9"/>
  <c r="D444" i="9"/>
  <c r="D452" i="9"/>
  <c r="D460" i="9"/>
  <c r="D468" i="9"/>
  <c r="D476" i="9"/>
  <c r="D484" i="9"/>
  <c r="D492" i="9"/>
  <c r="D500" i="9"/>
  <c r="D508" i="9"/>
  <c r="D516" i="9"/>
  <c r="D524" i="9"/>
  <c r="D532" i="9"/>
  <c r="D540" i="9"/>
  <c r="D548" i="9"/>
  <c r="D556" i="9"/>
  <c r="D564" i="9"/>
  <c r="D572" i="9"/>
  <c r="D580" i="9"/>
  <c r="D588" i="9"/>
  <c r="D596" i="9"/>
  <c r="D604" i="9"/>
  <c r="D612" i="9"/>
  <c r="D620" i="9"/>
  <c r="D628" i="9"/>
  <c r="D636" i="9"/>
  <c r="D644" i="9"/>
  <c r="D652" i="9"/>
  <c r="D660" i="9"/>
  <c r="D668" i="9"/>
  <c r="D676" i="9"/>
  <c r="D684" i="9"/>
  <c r="D692" i="9"/>
  <c r="D700" i="9"/>
  <c r="D708" i="9"/>
  <c r="D716" i="9"/>
  <c r="D724" i="9"/>
  <c r="D732" i="9"/>
  <c r="D740" i="9"/>
  <c r="D748" i="9"/>
  <c r="D756" i="9"/>
  <c r="D764" i="9"/>
  <c r="D772" i="9"/>
  <c r="D780" i="9"/>
  <c r="D788" i="9"/>
  <c r="D796" i="9"/>
  <c r="D804" i="9"/>
  <c r="D812" i="9"/>
  <c r="D820" i="9"/>
  <c r="D828" i="9"/>
  <c r="D836" i="9"/>
  <c r="D844" i="9"/>
  <c r="D852" i="9"/>
  <c r="D860" i="9"/>
  <c r="D868" i="9"/>
  <c r="D876" i="9"/>
  <c r="D884" i="9"/>
  <c r="D892" i="9"/>
  <c r="D900" i="9"/>
  <c r="D908" i="9"/>
  <c r="D916" i="9"/>
  <c r="D924" i="9"/>
  <c r="D932" i="9"/>
  <c r="D940" i="9"/>
  <c r="D948" i="9"/>
  <c r="D956" i="9"/>
  <c r="D964" i="9"/>
  <c r="D972" i="9"/>
  <c r="D980" i="9"/>
  <c r="D988" i="9"/>
  <c r="D996" i="9"/>
  <c r="D1004" i="9"/>
  <c r="D1012" i="9"/>
  <c r="D1020" i="9"/>
  <c r="D1028" i="9"/>
  <c r="D1036" i="9"/>
  <c r="D1044" i="9"/>
  <c r="D1052" i="9"/>
  <c r="D1060" i="9"/>
  <c r="D1068" i="9"/>
  <c r="D1076" i="9"/>
  <c r="D1084" i="9"/>
  <c r="D1092" i="9"/>
  <c r="D1100" i="9"/>
  <c r="D1108" i="9"/>
  <c r="D1116" i="9"/>
  <c r="D1124" i="9"/>
  <c r="D1132" i="9"/>
  <c r="D1140" i="9"/>
  <c r="D1148" i="9"/>
  <c r="D1156" i="9"/>
  <c r="D1164" i="9"/>
  <c r="D1172" i="9"/>
  <c r="D1180" i="9"/>
  <c r="D1188" i="9"/>
  <c r="D1196" i="9"/>
  <c r="D1204" i="9"/>
  <c r="D1212" i="9"/>
  <c r="D1220" i="9"/>
  <c r="D1228" i="9"/>
  <c r="D1236" i="9"/>
  <c r="D1244" i="9"/>
  <c r="D1252" i="9"/>
  <c r="D1260" i="9"/>
  <c r="D1268" i="9"/>
  <c r="D1276" i="9"/>
  <c r="D1284" i="9"/>
  <c r="D1292" i="9"/>
  <c r="D1300" i="9"/>
  <c r="D1308" i="9"/>
  <c r="D1316" i="9"/>
  <c r="D1324" i="9"/>
  <c r="D1332" i="9"/>
  <c r="D1340" i="9"/>
  <c r="D1348" i="9"/>
  <c r="D1356" i="9"/>
  <c r="D1364" i="9"/>
  <c r="D1372" i="9"/>
  <c r="D1380" i="9"/>
  <c r="D1388" i="9"/>
  <c r="D1396" i="9"/>
  <c r="D1404" i="9"/>
  <c r="D1412" i="9"/>
  <c r="D1420" i="9"/>
  <c r="D1428" i="9"/>
  <c r="D1436" i="9"/>
  <c r="D1444" i="9"/>
  <c r="D1452" i="9"/>
  <c r="D1460" i="9"/>
  <c r="D1468" i="9"/>
  <c r="D1476" i="9"/>
  <c r="D1484" i="9"/>
  <c r="D1492" i="9"/>
  <c r="D1500" i="9"/>
  <c r="D1508" i="9"/>
  <c r="D1516" i="9"/>
  <c r="D1524" i="9"/>
  <c r="D1532" i="9"/>
  <c r="D1540" i="9"/>
  <c r="D1548" i="9"/>
  <c r="D1556" i="9"/>
  <c r="D1564" i="9"/>
  <c r="D1572" i="9"/>
  <c r="D1580" i="9"/>
  <c r="D1588" i="9"/>
  <c r="D1596" i="9"/>
  <c r="D1604" i="9"/>
  <c r="D1612" i="9"/>
  <c r="D1620" i="9"/>
  <c r="D1628" i="9"/>
  <c r="D1636" i="9"/>
  <c r="D1644" i="9"/>
  <c r="D1652" i="9"/>
  <c r="D1660" i="9"/>
  <c r="D1668" i="9"/>
  <c r="D1676" i="9"/>
  <c r="D1684" i="9"/>
  <c r="D1692" i="9"/>
  <c r="D1700" i="9"/>
  <c r="D1708" i="9"/>
  <c r="D1716" i="9"/>
  <c r="D1724" i="9"/>
  <c r="D1732" i="9"/>
  <c r="D1740" i="9"/>
  <c r="D1748" i="9"/>
  <c r="D1756" i="9"/>
  <c r="D1764" i="9"/>
  <c r="D1772" i="9"/>
  <c r="D1780" i="9"/>
  <c r="D1788" i="9"/>
  <c r="D1796" i="9"/>
  <c r="D1804" i="9"/>
  <c r="D1812" i="9"/>
  <c r="D1820" i="9"/>
  <c r="D1828" i="9"/>
  <c r="D1836" i="9"/>
  <c r="D1844" i="9"/>
  <c r="D1852" i="9"/>
  <c r="D1860" i="9"/>
  <c r="D1868" i="9"/>
  <c r="D1876" i="9"/>
  <c r="D1884" i="9"/>
  <c r="D1892" i="9"/>
  <c r="D1900" i="9"/>
  <c r="D1908" i="9"/>
  <c r="D1916" i="9"/>
  <c r="D1924" i="9"/>
  <c r="D1932" i="9"/>
  <c r="D1940" i="9"/>
  <c r="D1948" i="9"/>
  <c r="D1956" i="9"/>
  <c r="D1964" i="9"/>
  <c r="D1972" i="9"/>
  <c r="D1980" i="9"/>
  <c r="D1988" i="9"/>
  <c r="D1996" i="9"/>
  <c r="D2004" i="9"/>
  <c r="D2012" i="9"/>
  <c r="D2020" i="9"/>
  <c r="D2028" i="9"/>
  <c r="D2036" i="9"/>
  <c r="D2044" i="9"/>
  <c r="D2052" i="9"/>
  <c r="D2060" i="9"/>
  <c r="D2068" i="9"/>
  <c r="D2076" i="9"/>
  <c r="D2084" i="9"/>
  <c r="D2092" i="9"/>
  <c r="D2100" i="9"/>
  <c r="D2108" i="9"/>
  <c r="D2116" i="9"/>
  <c r="D2124" i="9"/>
  <c r="D2132" i="9"/>
  <c r="D2140" i="9"/>
  <c r="D2148" i="9"/>
  <c r="D2156" i="9"/>
  <c r="D2164" i="9"/>
  <c r="D2172" i="9"/>
  <c r="D2180" i="9"/>
  <c r="D2188" i="9"/>
  <c r="D2196" i="9"/>
  <c r="D2204" i="9"/>
  <c r="D2212" i="9"/>
  <c r="D2220" i="9"/>
  <c r="D2228" i="9"/>
  <c r="D2236" i="9"/>
  <c r="D2244" i="9"/>
  <c r="D2252" i="9"/>
  <c r="D2260" i="9"/>
  <c r="D2268" i="9"/>
  <c r="D2276" i="9"/>
  <c r="D2284" i="9"/>
  <c r="D2292" i="9"/>
  <c r="D2300" i="9"/>
  <c r="D2308" i="9"/>
  <c r="D2316" i="9"/>
  <c r="D2324" i="9"/>
  <c r="D2332" i="9"/>
  <c r="C2334" i="9"/>
  <c r="C2326" i="9"/>
  <c r="C2318" i="9"/>
  <c r="C2310" i="9"/>
  <c r="C2302" i="9"/>
  <c r="C2294" i="9"/>
  <c r="C2286" i="9"/>
  <c r="C2278" i="9"/>
  <c r="C2270" i="9"/>
  <c r="C2262" i="9"/>
  <c r="C2254" i="9"/>
  <c r="C2246" i="9"/>
  <c r="C2238" i="9"/>
  <c r="C2230" i="9"/>
  <c r="C2222" i="9"/>
  <c r="C2214" i="9"/>
  <c r="C2206" i="9"/>
  <c r="C2198" i="9"/>
  <c r="C2190" i="9"/>
  <c r="C2182" i="9"/>
  <c r="C2174" i="9"/>
  <c r="C2166" i="9"/>
  <c r="C2158" i="9"/>
  <c r="C2150" i="9"/>
  <c r="C2142" i="9"/>
  <c r="C2134" i="9"/>
  <c r="C2126" i="9"/>
  <c r="C2118" i="9"/>
  <c r="C2110" i="9"/>
  <c r="C2102" i="9"/>
  <c r="J44" i="9"/>
  <c r="J1172" i="9"/>
  <c r="J1691" i="9"/>
  <c r="J2203" i="9"/>
  <c r="I380" i="9"/>
  <c r="I795" i="9"/>
  <c r="I1053" i="9"/>
  <c r="I1309" i="9"/>
  <c r="I1565" i="9"/>
  <c r="I1821" i="9"/>
  <c r="I2069" i="9"/>
  <c r="I2223" i="9"/>
  <c r="H24" i="9"/>
  <c r="H152" i="9"/>
  <c r="H280" i="9"/>
  <c r="H408" i="9"/>
  <c r="H536" i="9"/>
  <c r="H664" i="9"/>
  <c r="H792" i="9"/>
  <c r="H920" i="9"/>
  <c r="H1034" i="9"/>
  <c r="H1119" i="9"/>
  <c r="H1193" i="9"/>
  <c r="H1257" i="9"/>
  <c r="H1321" i="9"/>
  <c r="H1385" i="9"/>
  <c r="H1449" i="9"/>
  <c r="H1513" i="9"/>
  <c r="H1577" i="9"/>
  <c r="H1641" i="9"/>
  <c r="H1705" i="9"/>
  <c r="H1769" i="9"/>
  <c r="H1833" i="9"/>
  <c r="H1897" i="9"/>
  <c r="H1961" i="9"/>
  <c r="H2025" i="9"/>
  <c r="H2089" i="9"/>
  <c r="H2153" i="9"/>
  <c r="H2217" i="9"/>
  <c r="H2281" i="9"/>
  <c r="G10" i="9"/>
  <c r="G69" i="9"/>
  <c r="G120" i="9"/>
  <c r="G167" i="9"/>
  <c r="G209" i="9"/>
  <c r="G253" i="9"/>
  <c r="G289" i="9"/>
  <c r="G326" i="9"/>
  <c r="G362" i="9"/>
  <c r="G399" i="9"/>
  <c r="G432" i="9"/>
  <c r="G464" i="9"/>
  <c r="G496" i="9"/>
  <c r="G528" i="9"/>
  <c r="G560" i="9"/>
  <c r="G592" i="9"/>
  <c r="G624" i="9"/>
  <c r="G656" i="9"/>
  <c r="G688" i="9"/>
  <c r="G720" i="9"/>
  <c r="G752" i="9"/>
  <c r="G784" i="9"/>
  <c r="G816" i="9"/>
  <c r="G848" i="9"/>
  <c r="G880" i="9"/>
  <c r="G912" i="9"/>
  <c r="G944" i="9"/>
  <c r="G976" i="9"/>
  <c r="G1008" i="9"/>
  <c r="G1040" i="9"/>
  <c r="G1072" i="9"/>
  <c r="G1104" i="9"/>
  <c r="G1136" i="9"/>
  <c r="G1168" i="9"/>
  <c r="G1200" i="9"/>
  <c r="G1232" i="9"/>
  <c r="G1264" i="9"/>
  <c r="G1296" i="9"/>
  <c r="G1328" i="9"/>
  <c r="G1360" i="9"/>
  <c r="G1392" i="9"/>
  <c r="G1424" i="9"/>
  <c r="G1456" i="9"/>
  <c r="G1488" i="9"/>
  <c r="G1520" i="9"/>
  <c r="G1552" i="9"/>
  <c r="G1584" i="9"/>
  <c r="G1616" i="9"/>
  <c r="G1648" i="9"/>
  <c r="G1680" i="9"/>
  <c r="G1712" i="9"/>
  <c r="G1744" i="9"/>
  <c r="G1776" i="9"/>
  <c r="G1808" i="9"/>
  <c r="G1840" i="9"/>
  <c r="G1872" i="9"/>
  <c r="G1904" i="9"/>
  <c r="G1936" i="9"/>
  <c r="G1968" i="9"/>
  <c r="G2000" i="9"/>
  <c r="G2032" i="9"/>
  <c r="G2064" i="9"/>
  <c r="G2096" i="9"/>
  <c r="G2128" i="9"/>
  <c r="G2160" i="9"/>
  <c r="G2192" i="9"/>
  <c r="G2224" i="9"/>
  <c r="G2256" i="9"/>
  <c r="G2288" i="9"/>
  <c r="G2320" i="9"/>
  <c r="F17" i="9"/>
  <c r="F49" i="9"/>
  <c r="F81" i="9"/>
  <c r="F113" i="9"/>
  <c r="F145" i="9"/>
  <c r="F177" i="9"/>
  <c r="F209" i="9"/>
  <c r="F241" i="9"/>
  <c r="F273" i="9"/>
  <c r="F305" i="9"/>
  <c r="F337" i="9"/>
  <c r="F369" i="9"/>
  <c r="F401" i="9"/>
  <c r="F433" i="9"/>
  <c r="F465" i="9"/>
  <c r="F497" i="9"/>
  <c r="F529" i="9"/>
  <c r="F561" i="9"/>
  <c r="F593" i="9"/>
  <c r="F625" i="9"/>
  <c r="F657" i="9"/>
  <c r="F689" i="9"/>
  <c r="F721" i="9"/>
  <c r="F753" i="9"/>
  <c r="F785" i="9"/>
  <c r="F817" i="9"/>
  <c r="F849" i="9"/>
  <c r="F881" i="9"/>
  <c r="F913" i="9"/>
  <c r="F945" i="9"/>
  <c r="F977" i="9"/>
  <c r="F1009" i="9"/>
  <c r="F1041" i="9"/>
  <c r="F1073" i="9"/>
  <c r="F1105" i="9"/>
  <c r="F1137" i="9"/>
  <c r="F1169" i="9"/>
  <c r="F1201" i="9"/>
  <c r="F1233" i="9"/>
  <c r="F1265" i="9"/>
  <c r="F1297" i="9"/>
  <c r="F1329" i="9"/>
  <c r="F1361" i="9"/>
  <c r="F1393" i="9"/>
  <c r="F1425" i="9"/>
  <c r="F1457" i="9"/>
  <c r="F1489" i="9"/>
  <c r="F1521" i="9"/>
  <c r="F1553" i="9"/>
  <c r="F1585" i="9"/>
  <c r="F1617" i="9"/>
  <c r="F1647" i="9"/>
  <c r="F1672" i="9"/>
  <c r="F1697" i="9"/>
  <c r="F1725" i="9"/>
  <c r="F1747" i="9"/>
  <c r="F1768" i="9"/>
  <c r="F1790" i="9"/>
  <c r="F1811" i="9"/>
  <c r="F1832" i="9"/>
  <c r="F1854" i="9"/>
  <c r="F1875" i="9"/>
  <c r="F1896" i="9"/>
  <c r="F1918" i="9"/>
  <c r="F1937" i="9"/>
  <c r="F1953" i="9"/>
  <c r="F1969" i="9"/>
  <c r="F1985" i="9"/>
  <c r="F2001" i="9"/>
  <c r="F2017" i="9"/>
  <c r="F2033" i="9"/>
  <c r="F2049" i="9"/>
  <c r="F2065" i="9"/>
  <c r="F2081" i="9"/>
  <c r="F2097" i="9"/>
  <c r="F2113" i="9"/>
  <c r="F2129" i="9"/>
  <c r="F2145" i="9"/>
  <c r="F2161" i="9"/>
  <c r="F2177" i="9"/>
  <c r="F2193" i="9"/>
  <c r="F2209" i="9"/>
  <c r="F2225" i="9"/>
  <c r="F2241" i="9"/>
  <c r="F2257" i="9"/>
  <c r="F2273" i="9"/>
  <c r="F2289" i="9"/>
  <c r="F2305" i="9"/>
  <c r="F2321" i="9"/>
  <c r="E18" i="9"/>
  <c r="E34" i="9"/>
  <c r="E50" i="9"/>
  <c r="E66" i="9"/>
  <c r="E82" i="9"/>
  <c r="E98" i="9"/>
  <c r="E114" i="9"/>
  <c r="E130" i="9"/>
  <c r="E146" i="9"/>
  <c r="E162" i="9"/>
  <c r="E178" i="9"/>
  <c r="E194" i="9"/>
  <c r="E210" i="9"/>
  <c r="E226" i="9"/>
  <c r="E242" i="9"/>
  <c r="E258" i="9"/>
  <c r="E274" i="9"/>
  <c r="E290" i="9"/>
  <c r="E306" i="9"/>
  <c r="E322" i="9"/>
  <c r="E338" i="9"/>
  <c r="E354" i="9"/>
  <c r="E370" i="9"/>
  <c r="E386" i="9"/>
  <c r="E402" i="9"/>
  <c r="E418" i="9"/>
  <c r="E434" i="9"/>
  <c r="E450" i="9"/>
  <c r="E466" i="9"/>
  <c r="E482" i="9"/>
  <c r="E498" i="9"/>
  <c r="E514" i="9"/>
  <c r="E530" i="9"/>
  <c r="E546" i="9"/>
  <c r="E562" i="9"/>
  <c r="E578" i="9"/>
  <c r="E594" i="9"/>
  <c r="E610" i="9"/>
  <c r="E626" i="9"/>
  <c r="E642" i="9"/>
  <c r="E658" i="9"/>
  <c r="E674" i="9"/>
  <c r="E690" i="9"/>
  <c r="E706" i="9"/>
  <c r="E722" i="9"/>
  <c r="E738" i="9"/>
  <c r="E754" i="9"/>
  <c r="E770" i="9"/>
  <c r="E786" i="9"/>
  <c r="E802" i="9"/>
  <c r="E818" i="9"/>
  <c r="E834" i="9"/>
  <c r="E850" i="9"/>
  <c r="E866" i="9"/>
  <c r="E882" i="9"/>
  <c r="E898" i="9"/>
  <c r="E914" i="9"/>
  <c r="E930" i="9"/>
  <c r="E946" i="9"/>
  <c r="E962" i="9"/>
  <c r="E978" i="9"/>
  <c r="E994" i="9"/>
  <c r="E1010" i="9"/>
  <c r="E1026" i="9"/>
  <c r="E1042" i="9"/>
  <c r="E1058" i="9"/>
  <c r="E1074" i="9"/>
  <c r="E1090" i="9"/>
  <c r="E1106" i="9"/>
  <c r="E1122" i="9"/>
  <c r="E1138" i="9"/>
  <c r="E1154" i="9"/>
  <c r="E1170" i="9"/>
  <c r="E1186" i="9"/>
  <c r="E1202" i="9"/>
  <c r="E1218" i="9"/>
  <c r="E1234" i="9"/>
  <c r="E1250" i="9"/>
  <c r="E1266" i="9"/>
  <c r="E1282" i="9"/>
  <c r="E1298" i="9"/>
  <c r="E1314" i="9"/>
  <c r="E1330" i="9"/>
  <c r="E1346" i="9"/>
  <c r="E1362" i="9"/>
  <c r="E1378" i="9"/>
  <c r="E1394" i="9"/>
  <c r="E1410" i="9"/>
  <c r="E1426" i="9"/>
  <c r="E1442" i="9"/>
  <c r="E1458" i="9"/>
  <c r="E1474" i="9"/>
  <c r="E1490" i="9"/>
  <c r="E1506" i="9"/>
  <c r="E1522" i="9"/>
  <c r="E1538" i="9"/>
  <c r="E1554" i="9"/>
  <c r="E1570" i="9"/>
  <c r="E1586" i="9"/>
  <c r="E1602" i="9"/>
  <c r="E1618" i="9"/>
  <c r="E1634" i="9"/>
  <c r="E1650" i="9"/>
  <c r="E1666" i="9"/>
  <c r="E1682" i="9"/>
  <c r="E1698" i="9"/>
  <c r="E1714" i="9"/>
  <c r="E1730" i="9"/>
  <c r="E1746" i="9"/>
  <c r="E1762" i="9"/>
  <c r="E1778" i="9"/>
  <c r="E1794" i="9"/>
  <c r="E1810" i="9"/>
  <c r="E1826" i="9"/>
  <c r="E1842" i="9"/>
  <c r="E1858" i="9"/>
  <c r="E1872" i="9"/>
  <c r="E1883" i="9"/>
  <c r="E1897" i="9"/>
  <c r="E1911" i="9"/>
  <c r="E1922" i="9"/>
  <c r="E1936" i="9"/>
  <c r="E1947" i="9"/>
  <c r="E1961" i="9"/>
  <c r="E1975" i="9"/>
  <c r="E1986" i="9"/>
  <c r="E2000" i="9"/>
  <c r="E2011" i="9"/>
  <c r="E2025" i="9"/>
  <c r="E2035" i="9"/>
  <c r="E2047" i="9"/>
  <c r="E2057" i="9"/>
  <c r="E2067" i="9"/>
  <c r="E2079" i="9"/>
  <c r="E2089" i="9"/>
  <c r="E2099" i="9"/>
  <c r="E2111" i="9"/>
  <c r="E2121" i="9"/>
  <c r="E2131" i="9"/>
  <c r="E2143" i="9"/>
  <c r="E2153" i="9"/>
  <c r="E2163" i="9"/>
  <c r="E2175" i="9"/>
  <c r="E2185" i="9"/>
  <c r="E2195" i="9"/>
  <c r="E2207" i="9"/>
  <c r="E2217" i="9"/>
  <c r="E2227" i="9"/>
  <c r="E2239" i="9"/>
  <c r="E2249" i="9"/>
  <c r="E2259" i="9"/>
  <c r="E2268" i="9"/>
  <c r="E2276" i="9"/>
  <c r="E2284" i="9"/>
  <c r="E2292" i="9"/>
  <c r="E2300" i="9"/>
  <c r="E2308" i="9"/>
  <c r="E2316" i="9"/>
  <c r="E2324" i="9"/>
  <c r="E2332" i="9"/>
  <c r="D5" i="9"/>
  <c r="D13" i="9"/>
  <c r="D21" i="9"/>
  <c r="D29" i="9"/>
  <c r="D37" i="9"/>
  <c r="D45" i="9"/>
  <c r="D53" i="9"/>
  <c r="D61" i="9"/>
  <c r="D69" i="9"/>
  <c r="D77" i="9"/>
  <c r="D85" i="9"/>
  <c r="D93" i="9"/>
  <c r="D101" i="9"/>
  <c r="D109" i="9"/>
  <c r="D117" i="9"/>
  <c r="D125" i="9"/>
  <c r="D133" i="9"/>
  <c r="D141" i="9"/>
  <c r="D149" i="9"/>
  <c r="D157" i="9"/>
  <c r="D165" i="9"/>
  <c r="D173" i="9"/>
  <c r="D181" i="9"/>
  <c r="D189" i="9"/>
  <c r="D197" i="9"/>
  <c r="D205" i="9"/>
  <c r="D213" i="9"/>
  <c r="D221" i="9"/>
  <c r="D229" i="9"/>
  <c r="D237" i="9"/>
  <c r="D245" i="9"/>
  <c r="D253" i="9"/>
  <c r="D261" i="9"/>
  <c r="D269" i="9"/>
  <c r="D277" i="9"/>
  <c r="D285" i="9"/>
  <c r="D293" i="9"/>
  <c r="D301" i="9"/>
  <c r="D309" i="9"/>
  <c r="D317" i="9"/>
  <c r="D325" i="9"/>
  <c r="D333" i="9"/>
  <c r="D341" i="9"/>
  <c r="D349" i="9"/>
  <c r="D357" i="9"/>
  <c r="D365" i="9"/>
  <c r="D373" i="9"/>
  <c r="D381" i="9"/>
  <c r="D389" i="9"/>
  <c r="D397" i="9"/>
  <c r="D405" i="9"/>
  <c r="D413" i="9"/>
  <c r="D421" i="9"/>
  <c r="D429" i="9"/>
  <c r="D437" i="9"/>
  <c r="D445" i="9"/>
  <c r="D453" i="9"/>
  <c r="D461" i="9"/>
  <c r="D469" i="9"/>
  <c r="D477" i="9"/>
  <c r="D485" i="9"/>
  <c r="D493" i="9"/>
  <c r="D501" i="9"/>
  <c r="D509" i="9"/>
  <c r="D517" i="9"/>
  <c r="D525" i="9"/>
  <c r="D533" i="9"/>
  <c r="D541" i="9"/>
  <c r="D549" i="9"/>
  <c r="D557" i="9"/>
  <c r="D565" i="9"/>
  <c r="D573" i="9"/>
  <c r="D581" i="9"/>
  <c r="D589" i="9"/>
  <c r="D597" i="9"/>
  <c r="D605" i="9"/>
  <c r="D613" i="9"/>
  <c r="D621" i="9"/>
  <c r="D629" i="9"/>
  <c r="D637" i="9"/>
  <c r="D645" i="9"/>
  <c r="D653" i="9"/>
  <c r="D661" i="9"/>
  <c r="D669" i="9"/>
  <c r="D677" i="9"/>
  <c r="D685" i="9"/>
  <c r="D693" i="9"/>
  <c r="D701" i="9"/>
  <c r="D709" i="9"/>
  <c r="D717" i="9"/>
  <c r="D725" i="9"/>
  <c r="D733" i="9"/>
  <c r="D741" i="9"/>
  <c r="D749" i="9"/>
  <c r="D757" i="9"/>
  <c r="D765" i="9"/>
  <c r="D773" i="9"/>
  <c r="D781" i="9"/>
  <c r="D789" i="9"/>
  <c r="D797" i="9"/>
  <c r="D805" i="9"/>
  <c r="D813" i="9"/>
  <c r="D821" i="9"/>
  <c r="D829" i="9"/>
  <c r="D837" i="9"/>
  <c r="D845" i="9"/>
  <c r="D853" i="9"/>
  <c r="D861" i="9"/>
  <c r="D869" i="9"/>
  <c r="D877" i="9"/>
  <c r="D885" i="9"/>
  <c r="D893" i="9"/>
  <c r="D901" i="9"/>
  <c r="D909" i="9"/>
  <c r="D917" i="9"/>
  <c r="D925" i="9"/>
  <c r="D933" i="9"/>
  <c r="D941" i="9"/>
  <c r="D949" i="9"/>
  <c r="D957" i="9"/>
  <c r="D965" i="9"/>
  <c r="D973" i="9"/>
  <c r="D981" i="9"/>
  <c r="D989" i="9"/>
  <c r="D997" i="9"/>
  <c r="D1005" i="9"/>
  <c r="D1013" i="9"/>
  <c r="D1021" i="9"/>
  <c r="D1029" i="9"/>
  <c r="D1037" i="9"/>
  <c r="D1045" i="9"/>
  <c r="D1053" i="9"/>
  <c r="D1061" i="9"/>
  <c r="D1069" i="9"/>
  <c r="D1077" i="9"/>
  <c r="D1085" i="9"/>
  <c r="D1093" i="9"/>
  <c r="D1101" i="9"/>
  <c r="D1109" i="9"/>
  <c r="D1117" i="9"/>
  <c r="D1125" i="9"/>
  <c r="D1133" i="9"/>
  <c r="D1141" i="9"/>
  <c r="D1149" i="9"/>
  <c r="D1157" i="9"/>
  <c r="D1165" i="9"/>
  <c r="D1173" i="9"/>
  <c r="D1181" i="9"/>
  <c r="D1189" i="9"/>
  <c r="D1197" i="9"/>
  <c r="D1205" i="9"/>
  <c r="D1213" i="9"/>
  <c r="D1221" i="9"/>
  <c r="D1229" i="9"/>
  <c r="D1237" i="9"/>
  <c r="D1245" i="9"/>
  <c r="D1253" i="9"/>
  <c r="D1261" i="9"/>
  <c r="D1269" i="9"/>
  <c r="D1277" i="9"/>
  <c r="D1285" i="9"/>
  <c r="D1293" i="9"/>
  <c r="D1301" i="9"/>
  <c r="D1309" i="9"/>
  <c r="D1317" i="9"/>
  <c r="D1325" i="9"/>
  <c r="D1333" i="9"/>
  <c r="D1341" i="9"/>
  <c r="D1349" i="9"/>
  <c r="D1357" i="9"/>
  <c r="D1365" i="9"/>
  <c r="D1373" i="9"/>
  <c r="D1381" i="9"/>
  <c r="D1389" i="9"/>
  <c r="D1397" i="9"/>
  <c r="D1405" i="9"/>
  <c r="D1413" i="9"/>
  <c r="D1421" i="9"/>
  <c r="D1429" i="9"/>
  <c r="D1437" i="9"/>
  <c r="D1445" i="9"/>
  <c r="D1453" i="9"/>
  <c r="D1461" i="9"/>
  <c r="D1469" i="9"/>
  <c r="D1477" i="9"/>
  <c r="D1485" i="9"/>
  <c r="D1493" i="9"/>
  <c r="D1501" i="9"/>
  <c r="D1509" i="9"/>
  <c r="D1517" i="9"/>
  <c r="D1525" i="9"/>
  <c r="D1533" i="9"/>
  <c r="D1541" i="9"/>
  <c r="D1549" i="9"/>
  <c r="D1557" i="9"/>
  <c r="D1565" i="9"/>
  <c r="D1573" i="9"/>
  <c r="D1581" i="9"/>
  <c r="D1589" i="9"/>
  <c r="D1597" i="9"/>
  <c r="D1605" i="9"/>
  <c r="D1613" i="9"/>
  <c r="D1621" i="9"/>
  <c r="D1629" i="9"/>
  <c r="D1637" i="9"/>
  <c r="D1645" i="9"/>
  <c r="D1653" i="9"/>
  <c r="D1661" i="9"/>
  <c r="D1669" i="9"/>
  <c r="D1677" i="9"/>
  <c r="D1685" i="9"/>
  <c r="D1693" i="9"/>
  <c r="D1701" i="9"/>
  <c r="D1709" i="9"/>
  <c r="D1717" i="9"/>
  <c r="D1725" i="9"/>
  <c r="D1733" i="9"/>
  <c r="D1741" i="9"/>
  <c r="D1749" i="9"/>
  <c r="D1757" i="9"/>
  <c r="D1765" i="9"/>
  <c r="D1773" i="9"/>
  <c r="D1781" i="9"/>
  <c r="D1789" i="9"/>
  <c r="D1797" i="9"/>
  <c r="D1805" i="9"/>
  <c r="D1813" i="9"/>
  <c r="D1821" i="9"/>
  <c r="D1829" i="9"/>
  <c r="D1837" i="9"/>
  <c r="D1845" i="9"/>
  <c r="D1853" i="9"/>
  <c r="D1861" i="9"/>
  <c r="D1869" i="9"/>
  <c r="D1877" i="9"/>
  <c r="D1885" i="9"/>
  <c r="D1893" i="9"/>
  <c r="D1901" i="9"/>
  <c r="D1909" i="9"/>
  <c r="D1917" i="9"/>
  <c r="D1925" i="9"/>
  <c r="D1933" i="9"/>
  <c r="D1941" i="9"/>
  <c r="D1949" i="9"/>
  <c r="D1957" i="9"/>
  <c r="D1965" i="9"/>
  <c r="D1973" i="9"/>
  <c r="D1981" i="9"/>
  <c r="D1989" i="9"/>
  <c r="D1997" i="9"/>
  <c r="D2005" i="9"/>
  <c r="D2013" i="9"/>
  <c r="D2021" i="9"/>
  <c r="J715" i="9"/>
  <c r="B2322" i="9"/>
  <c r="B2303" i="9"/>
  <c r="B2280" i="9"/>
  <c r="B2255" i="9"/>
  <c r="B2230" i="9"/>
  <c r="B2202" i="9"/>
  <c r="B2177" i="9"/>
  <c r="B2152" i="9"/>
  <c r="B2118" i="9"/>
  <c r="B2080" i="9"/>
  <c r="B2050" i="9"/>
  <c r="B2015" i="9"/>
  <c r="B1977" i="9"/>
  <c r="B1950" i="9"/>
  <c r="B1912" i="9"/>
  <c r="B1874" i="9"/>
  <c r="B1847" i="9"/>
  <c r="B1809" i="9"/>
  <c r="B1770" i="9"/>
  <c r="B1730" i="9"/>
  <c r="B1672" i="9"/>
  <c r="B1616" i="9"/>
  <c r="B1568" i="9"/>
  <c r="B1512" i="9"/>
  <c r="B1450" i="9"/>
  <c r="B1400" i="9"/>
  <c r="B1323" i="9"/>
  <c r="B1249" i="9"/>
  <c r="B1194" i="9"/>
  <c r="B1120" i="9"/>
  <c r="B1043" i="9"/>
  <c r="B988" i="9"/>
  <c r="B914" i="9"/>
  <c r="B832" i="9"/>
  <c r="B744" i="9"/>
  <c r="B599" i="9"/>
  <c r="B445" i="9"/>
  <c r="B327" i="9"/>
  <c r="B168" i="9"/>
  <c r="C10" i="9"/>
  <c r="C18" i="9"/>
  <c r="C26" i="9"/>
  <c r="C34" i="9"/>
  <c r="C42" i="9"/>
  <c r="C50" i="9"/>
  <c r="C58" i="9"/>
  <c r="C66" i="9"/>
  <c r="C74" i="9"/>
  <c r="C82" i="9"/>
  <c r="C90" i="9"/>
  <c r="C98" i="9"/>
  <c r="C106" i="9"/>
  <c r="C114" i="9"/>
  <c r="C122" i="9"/>
  <c r="C130" i="9"/>
  <c r="C138" i="9"/>
  <c r="C146" i="9"/>
  <c r="C154" i="9"/>
  <c r="C162" i="9"/>
  <c r="C170" i="9"/>
  <c r="C178" i="9"/>
  <c r="C186" i="9"/>
  <c r="C194" i="9"/>
  <c r="C202" i="9"/>
  <c r="C210" i="9"/>
  <c r="C218" i="9"/>
  <c r="C226" i="9"/>
  <c r="C234" i="9"/>
  <c r="C242" i="9"/>
  <c r="C250" i="9"/>
  <c r="C258" i="9"/>
  <c r="C266" i="9"/>
  <c r="C274" i="9"/>
  <c r="C282" i="9"/>
  <c r="C290" i="9"/>
  <c r="C298" i="9"/>
  <c r="C306" i="9"/>
  <c r="C314" i="9"/>
  <c r="C322" i="9"/>
  <c r="C330" i="9"/>
  <c r="C338" i="9"/>
  <c r="C346" i="9"/>
  <c r="C354" i="9"/>
  <c r="C362" i="9"/>
  <c r="C370" i="9"/>
  <c r="C378" i="9"/>
  <c r="C386" i="9"/>
  <c r="C394" i="9"/>
  <c r="C402" i="9"/>
  <c r="C410" i="9"/>
  <c r="C418" i="9"/>
  <c r="C426" i="9"/>
  <c r="C434" i="9"/>
  <c r="C442" i="9"/>
  <c r="C450" i="9"/>
  <c r="C458" i="9"/>
  <c r="C466" i="9"/>
  <c r="C474" i="9"/>
  <c r="C482" i="9"/>
  <c r="C490" i="9"/>
  <c r="C498" i="9"/>
  <c r="C506" i="9"/>
  <c r="C514" i="9"/>
  <c r="C522" i="9"/>
  <c r="C530" i="9"/>
  <c r="C538" i="9"/>
  <c r="C546" i="9"/>
  <c r="C554" i="9"/>
  <c r="C562" i="9"/>
  <c r="C570" i="9"/>
  <c r="C578" i="9"/>
  <c r="C586" i="9"/>
  <c r="C594" i="9"/>
  <c r="C602" i="9"/>
  <c r="C610" i="9"/>
  <c r="C618" i="9"/>
  <c r="C626" i="9"/>
  <c r="C634" i="9"/>
  <c r="C642" i="9"/>
  <c r="C650" i="9"/>
  <c r="C658" i="9"/>
  <c r="C666" i="9"/>
  <c r="C674" i="9"/>
  <c r="C682" i="9"/>
  <c r="C690" i="9"/>
  <c r="C698" i="9"/>
  <c r="C706" i="9"/>
  <c r="C714" i="9"/>
  <c r="C722" i="9"/>
  <c r="C730" i="9"/>
  <c r="C738" i="9"/>
  <c r="C746" i="9"/>
  <c r="C754" i="9"/>
  <c r="C762" i="9"/>
  <c r="C770" i="9"/>
  <c r="C778" i="9"/>
  <c r="C786" i="9"/>
  <c r="C794" i="9"/>
  <c r="C802" i="9"/>
  <c r="C810" i="9"/>
  <c r="C818" i="9"/>
  <c r="C826" i="9"/>
  <c r="C834" i="9"/>
  <c r="C842" i="9"/>
  <c r="C850" i="9"/>
  <c r="C858" i="9"/>
  <c r="C866" i="9"/>
  <c r="C874" i="9"/>
  <c r="C882" i="9"/>
  <c r="C890" i="9"/>
  <c r="C898" i="9"/>
  <c r="C906" i="9"/>
  <c r="C914" i="9"/>
  <c r="C922" i="9"/>
  <c r="C930" i="9"/>
  <c r="C938" i="9"/>
  <c r="C946" i="9"/>
  <c r="C954" i="9"/>
  <c r="C962" i="9"/>
  <c r="C970" i="9"/>
  <c r="C978" i="9"/>
  <c r="C986" i="9"/>
  <c r="C994" i="9"/>
  <c r="C1002" i="9"/>
  <c r="C1010" i="9"/>
  <c r="C1018" i="9"/>
  <c r="C1026" i="9"/>
  <c r="C1034" i="9"/>
  <c r="C1042" i="9"/>
  <c r="C1050" i="9"/>
  <c r="C1058" i="9"/>
  <c r="C1066" i="9"/>
  <c r="C1074" i="9"/>
  <c r="C1082" i="9"/>
  <c r="C1090" i="9"/>
  <c r="C1098" i="9"/>
  <c r="C1106" i="9"/>
  <c r="C1114" i="9"/>
  <c r="C1122" i="9"/>
  <c r="C1130" i="9"/>
  <c r="C1138" i="9"/>
  <c r="C1146" i="9"/>
  <c r="C1154" i="9"/>
  <c r="C1162" i="9"/>
  <c r="C1170" i="9"/>
  <c r="C1178" i="9"/>
  <c r="C1186" i="9"/>
  <c r="C1194" i="9"/>
  <c r="C1202" i="9"/>
  <c r="C1210" i="9"/>
  <c r="C1218" i="9"/>
  <c r="C1226" i="9"/>
  <c r="C1234" i="9"/>
  <c r="C1242" i="9"/>
  <c r="C1250" i="9"/>
  <c r="C1258" i="9"/>
  <c r="C1266" i="9"/>
  <c r="C1274" i="9"/>
  <c r="C1282" i="9"/>
  <c r="C1290" i="9"/>
  <c r="C1298" i="9"/>
  <c r="C1306" i="9"/>
  <c r="C1314" i="9"/>
  <c r="C1322" i="9"/>
  <c r="C1330" i="9"/>
  <c r="C1338" i="9"/>
  <c r="C1346" i="9"/>
  <c r="C1354" i="9"/>
  <c r="C1362" i="9"/>
  <c r="C1370" i="9"/>
  <c r="C1378" i="9"/>
  <c r="C1386" i="9"/>
  <c r="C1394" i="9"/>
  <c r="C1402" i="9"/>
  <c r="C1410" i="9"/>
  <c r="C1418" i="9"/>
  <c r="C1426" i="9"/>
  <c r="C1434" i="9"/>
  <c r="C1442" i="9"/>
  <c r="C1450" i="9"/>
  <c r="C1458" i="9"/>
  <c r="C1466" i="9"/>
  <c r="C1474" i="9"/>
  <c r="C1482" i="9"/>
  <c r="C1490" i="9"/>
  <c r="C1498" i="9"/>
  <c r="C1506" i="9"/>
  <c r="C1514" i="9"/>
  <c r="C1522" i="9"/>
  <c r="C1530" i="9"/>
  <c r="C1538" i="9"/>
  <c r="C1546" i="9"/>
  <c r="C1554" i="9"/>
  <c r="C1562" i="9"/>
  <c r="C1570" i="9"/>
  <c r="C1578" i="9"/>
  <c r="C1586" i="9"/>
  <c r="C1594" i="9"/>
  <c r="C1602" i="9"/>
  <c r="C1610" i="9"/>
  <c r="C1618" i="9"/>
  <c r="C1626" i="9"/>
  <c r="C1634" i="9"/>
  <c r="C1642" i="9"/>
  <c r="C1650" i="9"/>
  <c r="C1658" i="9"/>
  <c r="C1666" i="9"/>
  <c r="C1674" i="9"/>
  <c r="C1682" i="9"/>
  <c r="C1690" i="9"/>
  <c r="C1698" i="9"/>
  <c r="C1706" i="9"/>
  <c r="C1714" i="9"/>
  <c r="C1722" i="9"/>
  <c r="C1730" i="9"/>
  <c r="C1738" i="9"/>
  <c r="C1746" i="9"/>
  <c r="C1754" i="9"/>
  <c r="C1762" i="9"/>
  <c r="C1770" i="9"/>
  <c r="C1778" i="9"/>
  <c r="C1786" i="9"/>
  <c r="C1794" i="9"/>
  <c r="C1802" i="9"/>
  <c r="C1810" i="9"/>
  <c r="C1818" i="9"/>
  <c r="C1826" i="9"/>
  <c r="C1834" i="9"/>
  <c r="C1842" i="9"/>
  <c r="C1850" i="9"/>
  <c r="C1858" i="9"/>
  <c r="C1866" i="9"/>
  <c r="C1874" i="9"/>
  <c r="C1882" i="9"/>
  <c r="C1890" i="9"/>
  <c r="C1898" i="9"/>
  <c r="C1906" i="9"/>
  <c r="C1914" i="9"/>
  <c r="C1922" i="9"/>
  <c r="C1930" i="9"/>
  <c r="C1938" i="9"/>
  <c r="C1946" i="9"/>
  <c r="C1954" i="9"/>
  <c r="C1962" i="9"/>
  <c r="C1970" i="9"/>
  <c r="C1978" i="9"/>
  <c r="C1986" i="9"/>
  <c r="C1994" i="9"/>
  <c r="C2002" i="9"/>
  <c r="C2010" i="9"/>
  <c r="C2018" i="9"/>
  <c r="C2026" i="9"/>
  <c r="C2034" i="9"/>
  <c r="C2042" i="9"/>
  <c r="C2050" i="9"/>
  <c r="C2058" i="9"/>
  <c r="C2066" i="9"/>
  <c r="C2074" i="9"/>
  <c r="C2082" i="9"/>
  <c r="C2090" i="9"/>
  <c r="C2098" i="9"/>
  <c r="C2107" i="9"/>
  <c r="C2116" i="9"/>
  <c r="C2125" i="9"/>
  <c r="C2135" i="9"/>
  <c r="C2144" i="9"/>
  <c r="C2153" i="9"/>
  <c r="C2162" i="9"/>
  <c r="C2171" i="9"/>
  <c r="C2180" i="9"/>
  <c r="C2189" i="9"/>
  <c r="C2199" i="9"/>
  <c r="C2208" i="9"/>
  <c r="C2217" i="9"/>
  <c r="C2226" i="9"/>
  <c r="C2235" i="9"/>
  <c r="C2244" i="9"/>
  <c r="C2253" i="9"/>
  <c r="C2263" i="9"/>
  <c r="C2272" i="9"/>
  <c r="C2281" i="9"/>
  <c r="C2290" i="9"/>
  <c r="C2299" i="9"/>
  <c r="C2308" i="9"/>
  <c r="C2317" i="9"/>
  <c r="C2327" i="9"/>
  <c r="C2336" i="9"/>
  <c r="D2329" i="9"/>
  <c r="D2320" i="9"/>
  <c r="D2310" i="9"/>
  <c r="D2298" i="9"/>
  <c r="D2288" i="9"/>
  <c r="D2278" i="9"/>
  <c r="D2266" i="9"/>
  <c r="D2256" i="9"/>
  <c r="D2246" i="9"/>
  <c r="D2234" i="9"/>
  <c r="D2224" i="9"/>
  <c r="D2214" i="9"/>
  <c r="D2202" i="9"/>
  <c r="D2192" i="9"/>
  <c r="D2182" i="9"/>
  <c r="D2170" i="9"/>
  <c r="D2160" i="9"/>
  <c r="D2150" i="9"/>
  <c r="D2138" i="9"/>
  <c r="D2128" i="9"/>
  <c r="D2118" i="9"/>
  <c r="D2106" i="9"/>
  <c r="D2096" i="9"/>
  <c r="D2086" i="9"/>
  <c r="D2074" i="9"/>
  <c r="D2064" i="9"/>
  <c r="D2054" i="9"/>
  <c r="D2042" i="9"/>
  <c r="D2032" i="9"/>
  <c r="D2022" i="9"/>
  <c r="D2008" i="9"/>
  <c r="D1994" i="9"/>
  <c r="D1983" i="9"/>
  <c r="D1969" i="9"/>
  <c r="D1958" i="9"/>
  <c r="D1944" i="9"/>
  <c r="D1930" i="9"/>
  <c r="D1919" i="9"/>
  <c r="D1905" i="9"/>
  <c r="D1894" i="9"/>
  <c r="D1880" i="9"/>
  <c r="D1865" i="9"/>
  <c r="D1849" i="9"/>
  <c r="D1833" i="9"/>
  <c r="D1817" i="9"/>
  <c r="D1801" i="9"/>
  <c r="D1785" i="9"/>
  <c r="D1769" i="9"/>
  <c r="D1753" i="9"/>
  <c r="D1737" i="9"/>
  <c r="D1721" i="9"/>
  <c r="D1705" i="9"/>
  <c r="D1689" i="9"/>
  <c r="D1673" i="9"/>
  <c r="D1657" i="9"/>
  <c r="D1641" i="9"/>
  <c r="D1625" i="9"/>
  <c r="D1609" i="9"/>
  <c r="D1593" i="9"/>
  <c r="D1577" i="9"/>
  <c r="D1561" i="9"/>
  <c r="D1545" i="9"/>
  <c r="D1529" i="9"/>
  <c r="D1513" i="9"/>
  <c r="D1497" i="9"/>
  <c r="D1481" i="9"/>
  <c r="D1465" i="9"/>
  <c r="D1449" i="9"/>
  <c r="D1433" i="9"/>
  <c r="D1417" i="9"/>
  <c r="D1401" i="9"/>
  <c r="D1385" i="9"/>
  <c r="D1369" i="9"/>
  <c r="D1353" i="9"/>
  <c r="D1337" i="9"/>
  <c r="D1321" i="9"/>
  <c r="D1305" i="9"/>
  <c r="D1289" i="9"/>
  <c r="D1273" i="9"/>
  <c r="D1257" i="9"/>
  <c r="D1241" i="9"/>
  <c r="D1225" i="9"/>
  <c r="D1209" i="9"/>
  <c r="D1193" i="9"/>
  <c r="D1177" i="9"/>
  <c r="D1161" i="9"/>
  <c r="D1145" i="9"/>
  <c r="D1129" i="9"/>
  <c r="D1113" i="9"/>
  <c r="D1097" i="9"/>
  <c r="D1081" i="9"/>
  <c r="D1065" i="9"/>
  <c r="D1049" i="9"/>
  <c r="D1033" i="9"/>
  <c r="D1017" i="9"/>
  <c r="D1001" i="9"/>
  <c r="D985" i="9"/>
  <c r="D969" i="9"/>
  <c r="D953" i="9"/>
  <c r="D937" i="9"/>
  <c r="D921" i="9"/>
  <c r="D905" i="9"/>
  <c r="D889" i="9"/>
  <c r="D873" i="9"/>
  <c r="D857" i="9"/>
  <c r="D841" i="9"/>
  <c r="D825" i="9"/>
  <c r="D809" i="9"/>
  <c r="D793" i="9"/>
  <c r="D777" i="9"/>
  <c r="D761" i="9"/>
  <c r="D745" i="9"/>
  <c r="D729" i="9"/>
  <c r="D713" i="9"/>
  <c r="D697" i="9"/>
  <c r="D681" i="9"/>
  <c r="D665" i="9"/>
  <c r="D649" i="9"/>
  <c r="D633" i="9"/>
  <c r="D617" i="9"/>
  <c r="D601" i="9"/>
  <c r="D585" i="9"/>
  <c r="D569" i="9"/>
  <c r="D553" i="9"/>
  <c r="D537" i="9"/>
  <c r="D521" i="9"/>
  <c r="D505" i="9"/>
  <c r="D489" i="9"/>
  <c r="D473" i="9"/>
  <c r="D457" i="9"/>
  <c r="D441" i="9"/>
  <c r="D425" i="9"/>
  <c r="D409" i="9"/>
  <c r="D393" i="9"/>
  <c r="D377" i="9"/>
  <c r="D361" i="9"/>
  <c r="D345" i="9"/>
  <c r="D329" i="9"/>
  <c r="D313" i="9"/>
  <c r="D297" i="9"/>
  <c r="D281" i="9"/>
  <c r="D265" i="9"/>
  <c r="D249" i="9"/>
  <c r="D233" i="9"/>
  <c r="D217" i="9"/>
  <c r="D201" i="9"/>
  <c r="D185" i="9"/>
  <c r="D169" i="9"/>
  <c r="D153" i="9"/>
  <c r="D137" i="9"/>
  <c r="D121" i="9"/>
  <c r="D105" i="9"/>
  <c r="D89" i="9"/>
  <c r="D73" i="9"/>
  <c r="D57" i="9"/>
  <c r="D41" i="9"/>
  <c r="D25" i="9"/>
  <c r="D9" i="9"/>
  <c r="E2328" i="9"/>
  <c r="E2312" i="9"/>
  <c r="E2296" i="9"/>
  <c r="E2280" i="9"/>
  <c r="E2264" i="9"/>
  <c r="E2243" i="9"/>
  <c r="E2223" i="9"/>
  <c r="E2201" i="9"/>
  <c r="E2179" i="9"/>
  <c r="E2159" i="9"/>
  <c r="E2137" i="9"/>
  <c r="E2115" i="9"/>
  <c r="E2095" i="9"/>
  <c r="E2073" i="9"/>
  <c r="E2051" i="9"/>
  <c r="E2031" i="9"/>
  <c r="E2007" i="9"/>
  <c r="E1979" i="9"/>
  <c r="E1954" i="9"/>
  <c r="E1929" i="9"/>
  <c r="E1904" i="9"/>
  <c r="E1879" i="9"/>
  <c r="E1850" i="9"/>
  <c r="E1818" i="9"/>
  <c r="E1786" i="9"/>
  <c r="E1754" i="9"/>
  <c r="E1722" i="9"/>
  <c r="E1690" i="9"/>
  <c r="E1658" i="9"/>
  <c r="E1626" i="9"/>
  <c r="E1594" i="9"/>
  <c r="E1562" i="9"/>
  <c r="E1530" i="9"/>
  <c r="E1498" i="9"/>
  <c r="E1466" i="9"/>
  <c r="E1434" i="9"/>
  <c r="E1402" i="9"/>
  <c r="E1370" i="9"/>
  <c r="E1338" i="9"/>
  <c r="E1306" i="9"/>
  <c r="E1274" i="9"/>
  <c r="E1242" i="9"/>
  <c r="E1210" i="9"/>
  <c r="E1178" i="9"/>
  <c r="E1146" i="9"/>
  <c r="E1114" i="9"/>
  <c r="E1082" i="9"/>
  <c r="E1050" i="9"/>
  <c r="E1018" i="9"/>
  <c r="E986" i="9"/>
  <c r="E954" i="9"/>
  <c r="E922" i="9"/>
  <c r="E890" i="9"/>
  <c r="E858" i="9"/>
  <c r="E826" i="9"/>
  <c r="E794" i="9"/>
  <c r="E762" i="9"/>
  <c r="E730" i="9"/>
  <c r="E698" i="9"/>
  <c r="E666" i="9"/>
  <c r="E634" i="9"/>
  <c r="E602" i="9"/>
  <c r="E570" i="9"/>
  <c r="E538" i="9"/>
  <c r="E506" i="9"/>
  <c r="E474" i="9"/>
  <c r="E442" i="9"/>
  <c r="E410" i="9"/>
  <c r="E378" i="9"/>
  <c r="E346" i="9"/>
  <c r="E314" i="9"/>
  <c r="E282" i="9"/>
  <c r="E250" i="9"/>
  <c r="E218" i="9"/>
  <c r="E186" i="9"/>
  <c r="E154" i="9"/>
  <c r="E122" i="9"/>
  <c r="E90" i="9"/>
  <c r="E58" i="9"/>
  <c r="E26" i="9"/>
  <c r="F2329" i="9"/>
  <c r="F2297" i="9"/>
  <c r="F2265" i="9"/>
  <c r="F2233" i="9"/>
  <c r="F2201" i="9"/>
  <c r="F2169" i="9"/>
  <c r="F2137" i="9"/>
  <c r="F2105" i="9"/>
  <c r="F2073" i="9"/>
  <c r="F2041" i="9"/>
  <c r="F2009" i="9"/>
  <c r="F1977" i="9"/>
  <c r="F1945" i="9"/>
  <c r="F1907" i="9"/>
  <c r="F1864" i="9"/>
  <c r="F1822" i="9"/>
  <c r="F1779" i="9"/>
  <c r="F1736" i="9"/>
  <c r="F1686" i="9"/>
  <c r="F1633" i="9"/>
  <c r="F1569" i="9"/>
  <c r="F1505" i="9"/>
  <c r="F1441" i="9"/>
  <c r="F1377" i="9"/>
  <c r="F1313" i="9"/>
  <c r="F1249" i="9"/>
  <c r="F1185" i="9"/>
  <c r="F1121" i="9"/>
  <c r="F1057" i="9"/>
  <c r="F993" i="9"/>
  <c r="F929" i="9"/>
  <c r="F865" i="9"/>
  <c r="F801" i="9"/>
  <c r="F737" i="9"/>
  <c r="F673" i="9"/>
  <c r="F609" i="9"/>
  <c r="F545" i="9"/>
  <c r="F481" i="9"/>
  <c r="F417" i="9"/>
  <c r="F353" i="9"/>
  <c r="F289" i="9"/>
  <c r="F225" i="9"/>
  <c r="F161" i="9"/>
  <c r="F97" i="9"/>
  <c r="F33" i="9"/>
  <c r="G2304" i="9"/>
  <c r="G2240" i="9"/>
  <c r="G2176" i="9"/>
  <c r="G2112" i="9"/>
  <c r="G2048" i="9"/>
  <c r="G1984" i="9"/>
  <c r="G1920" i="9"/>
  <c r="G1856" i="9"/>
  <c r="G1792" i="9"/>
  <c r="G1728" i="9"/>
  <c r="G1664" i="9"/>
  <c r="G1600" i="9"/>
  <c r="G1536" i="9"/>
  <c r="G1472" i="9"/>
  <c r="G1408" i="9"/>
  <c r="G1344" i="9"/>
  <c r="G1280" i="9"/>
  <c r="G1216" i="9"/>
  <c r="G1152" i="9"/>
  <c r="G1088" i="9"/>
  <c r="G1024" i="9"/>
  <c r="G960" i="9"/>
  <c r="G896" i="9"/>
  <c r="G832" i="9"/>
  <c r="G768" i="9"/>
  <c r="G704" i="9"/>
  <c r="G640" i="9"/>
  <c r="G576" i="9"/>
  <c r="G512" i="9"/>
  <c r="G448" i="9"/>
  <c r="G381" i="9"/>
  <c r="G308" i="9"/>
  <c r="G231" i="9"/>
  <c r="G145" i="9"/>
  <c r="G42" i="9"/>
  <c r="H2249" i="9"/>
  <c r="H2121" i="9"/>
  <c r="H1993" i="9"/>
  <c r="H1865" i="9"/>
  <c r="H1737" i="9"/>
  <c r="H1609" i="9"/>
  <c r="H1481" i="9"/>
  <c r="H1353" i="9"/>
  <c r="H1225" i="9"/>
  <c r="H1077" i="9"/>
  <c r="H856" i="9"/>
  <c r="H600" i="9"/>
  <c r="H344" i="9"/>
  <c r="H88" i="9"/>
  <c r="I2149" i="9"/>
  <c r="I1693" i="9"/>
  <c r="I1181" i="9"/>
  <c r="I625" i="9"/>
  <c r="J1947" i="9"/>
  <c r="J718" i="9"/>
  <c r="G925" i="9"/>
  <c r="G797" i="9"/>
  <c r="G669" i="9"/>
  <c r="G541" i="9"/>
  <c r="G413" i="9"/>
  <c r="G268" i="9"/>
  <c r="G89" i="9"/>
  <c r="H2182" i="9"/>
  <c r="H1926" i="9"/>
  <c r="H1670" i="9"/>
  <c r="H1414" i="9"/>
  <c r="H1157" i="9"/>
  <c r="H725" i="9"/>
  <c r="H213" i="9"/>
  <c r="I1946" i="9"/>
  <c r="I922" i="9"/>
  <c r="I121" i="9"/>
  <c r="B2335" i="9"/>
  <c r="B2296" i="9"/>
  <c r="B2247" i="9"/>
  <c r="B2222" i="9"/>
  <c r="B2194" i="9"/>
  <c r="B2169" i="9"/>
  <c r="B2144" i="9"/>
  <c r="B2114" i="9"/>
  <c r="B2079" i="9"/>
  <c r="B2041" i="9"/>
  <c r="B2014" i="9"/>
  <c r="B1976" i="9"/>
  <c r="B1938" i="9"/>
  <c r="B1911" i="9"/>
  <c r="B1873" i="9"/>
  <c r="B1838" i="9"/>
  <c r="B1808" i="9"/>
  <c r="B1764" i="9"/>
  <c r="B1716" i="9"/>
  <c r="B1668" i="9"/>
  <c r="B1612" i="9"/>
  <c r="B1553" i="9"/>
  <c r="B1505" i="9"/>
  <c r="B1449" i="9"/>
  <c r="B1377" i="9"/>
  <c r="B1322" i="9"/>
  <c r="B1248" i="9"/>
  <c r="B1171" i="9"/>
  <c r="B1116" i="9"/>
  <c r="B1042" i="9"/>
  <c r="B968" i="9"/>
  <c r="B913" i="9"/>
  <c r="B825" i="9"/>
  <c r="B706" i="9"/>
  <c r="B598" i="9"/>
  <c r="B439" i="9"/>
  <c r="B277" i="9"/>
  <c r="B167" i="9"/>
  <c r="C3" i="9"/>
  <c r="C11" i="9"/>
  <c r="C19" i="9"/>
  <c r="C27" i="9"/>
  <c r="C35" i="9"/>
  <c r="C43" i="9"/>
  <c r="C51" i="9"/>
  <c r="C59" i="9"/>
  <c r="C67" i="9"/>
  <c r="C75" i="9"/>
  <c r="C83" i="9"/>
  <c r="C91" i="9"/>
  <c r="C99" i="9"/>
  <c r="C107" i="9"/>
  <c r="C115" i="9"/>
  <c r="C123" i="9"/>
  <c r="C131" i="9"/>
  <c r="C139" i="9"/>
  <c r="C147" i="9"/>
  <c r="C155" i="9"/>
  <c r="C163" i="9"/>
  <c r="C171" i="9"/>
  <c r="C179" i="9"/>
  <c r="C187" i="9"/>
  <c r="C195" i="9"/>
  <c r="C203" i="9"/>
  <c r="C211" i="9"/>
  <c r="C219" i="9"/>
  <c r="C227" i="9"/>
  <c r="C235" i="9"/>
  <c r="C243" i="9"/>
  <c r="C251" i="9"/>
  <c r="C259" i="9"/>
  <c r="C267" i="9"/>
  <c r="C275" i="9"/>
  <c r="C283" i="9"/>
  <c r="C291" i="9"/>
  <c r="C299" i="9"/>
  <c r="C307" i="9"/>
  <c r="C315" i="9"/>
  <c r="C323" i="9"/>
  <c r="C331" i="9"/>
  <c r="C339" i="9"/>
  <c r="C347" i="9"/>
  <c r="C355" i="9"/>
  <c r="C363" i="9"/>
  <c r="C371" i="9"/>
  <c r="C379" i="9"/>
  <c r="C387" i="9"/>
  <c r="C395" i="9"/>
  <c r="C403" i="9"/>
  <c r="C411" i="9"/>
  <c r="C419" i="9"/>
  <c r="C427" i="9"/>
  <c r="C435" i="9"/>
  <c r="C443" i="9"/>
  <c r="C451" i="9"/>
  <c r="C459" i="9"/>
  <c r="C467" i="9"/>
  <c r="C475" i="9"/>
  <c r="C483" i="9"/>
  <c r="C491" i="9"/>
  <c r="C499" i="9"/>
  <c r="C507" i="9"/>
  <c r="C515" i="9"/>
  <c r="C523" i="9"/>
  <c r="C531" i="9"/>
  <c r="C539" i="9"/>
  <c r="C547" i="9"/>
  <c r="C555" i="9"/>
  <c r="C563" i="9"/>
  <c r="C571" i="9"/>
  <c r="C579" i="9"/>
  <c r="C587" i="9"/>
  <c r="C595" i="9"/>
  <c r="C603" i="9"/>
  <c r="C611" i="9"/>
  <c r="C619" i="9"/>
  <c r="C627" i="9"/>
  <c r="C635" i="9"/>
  <c r="C643" i="9"/>
  <c r="C651" i="9"/>
  <c r="C659" i="9"/>
  <c r="C667" i="9"/>
  <c r="C675" i="9"/>
  <c r="C683" i="9"/>
  <c r="C691" i="9"/>
  <c r="C699" i="9"/>
  <c r="C707" i="9"/>
  <c r="C715" i="9"/>
  <c r="C723" i="9"/>
  <c r="C731" i="9"/>
  <c r="C739" i="9"/>
  <c r="C747" i="9"/>
  <c r="C755" i="9"/>
  <c r="C763" i="9"/>
  <c r="C771" i="9"/>
  <c r="C779" i="9"/>
  <c r="C787" i="9"/>
  <c r="C795" i="9"/>
  <c r="C803" i="9"/>
  <c r="C811" i="9"/>
  <c r="C819" i="9"/>
  <c r="C827" i="9"/>
  <c r="C835" i="9"/>
  <c r="C843" i="9"/>
  <c r="C851" i="9"/>
  <c r="C859" i="9"/>
  <c r="C867" i="9"/>
  <c r="C875" i="9"/>
  <c r="C883" i="9"/>
  <c r="C891" i="9"/>
  <c r="C899" i="9"/>
  <c r="C907" i="9"/>
  <c r="C915" i="9"/>
  <c r="C923" i="9"/>
  <c r="C931" i="9"/>
  <c r="C939" i="9"/>
  <c r="C947" i="9"/>
  <c r="C955" i="9"/>
  <c r="C963" i="9"/>
  <c r="C971" i="9"/>
  <c r="C979" i="9"/>
  <c r="C987" i="9"/>
  <c r="C995" i="9"/>
  <c r="C1003" i="9"/>
  <c r="C1011" i="9"/>
  <c r="C1019" i="9"/>
  <c r="C1027" i="9"/>
  <c r="C1035" i="9"/>
  <c r="C1043" i="9"/>
  <c r="C1051" i="9"/>
  <c r="C1059" i="9"/>
  <c r="C1067" i="9"/>
  <c r="C1075" i="9"/>
  <c r="C1083" i="9"/>
  <c r="C1091" i="9"/>
  <c r="C1099" i="9"/>
  <c r="C1107" i="9"/>
  <c r="C1115" i="9"/>
  <c r="C1123" i="9"/>
  <c r="C1131" i="9"/>
  <c r="C1139" i="9"/>
  <c r="C1147" i="9"/>
  <c r="C1155" i="9"/>
  <c r="C1163" i="9"/>
  <c r="C1171" i="9"/>
  <c r="C1179" i="9"/>
  <c r="C1187" i="9"/>
  <c r="C1195" i="9"/>
  <c r="C1203" i="9"/>
  <c r="C1211" i="9"/>
  <c r="C1219" i="9"/>
  <c r="C1227" i="9"/>
  <c r="C1235" i="9"/>
  <c r="C1243" i="9"/>
  <c r="C1251" i="9"/>
  <c r="C1259" i="9"/>
  <c r="C1267" i="9"/>
  <c r="C1275" i="9"/>
  <c r="C1283" i="9"/>
  <c r="C1291" i="9"/>
  <c r="C1299" i="9"/>
  <c r="C1307" i="9"/>
  <c r="C1315" i="9"/>
  <c r="C1323" i="9"/>
  <c r="C1331" i="9"/>
  <c r="C1339" i="9"/>
  <c r="C1347" i="9"/>
  <c r="C1355" i="9"/>
  <c r="C1363" i="9"/>
  <c r="C1371" i="9"/>
  <c r="C1379" i="9"/>
  <c r="C1387" i="9"/>
  <c r="C1395" i="9"/>
  <c r="C1403" i="9"/>
  <c r="C1411" i="9"/>
  <c r="C1419" i="9"/>
  <c r="C1427" i="9"/>
  <c r="C1435" i="9"/>
  <c r="C1443" i="9"/>
  <c r="C1451" i="9"/>
  <c r="C1459" i="9"/>
  <c r="C1467" i="9"/>
  <c r="C1475" i="9"/>
  <c r="C1483" i="9"/>
  <c r="C1491" i="9"/>
  <c r="C1499" i="9"/>
  <c r="C1507" i="9"/>
  <c r="C1515" i="9"/>
  <c r="C1523" i="9"/>
  <c r="C1531" i="9"/>
  <c r="C1539" i="9"/>
  <c r="C1547" i="9"/>
  <c r="C1555" i="9"/>
  <c r="C1563" i="9"/>
  <c r="C1571" i="9"/>
  <c r="C1579" i="9"/>
  <c r="C1587" i="9"/>
  <c r="C1595" i="9"/>
  <c r="C1603" i="9"/>
  <c r="C1611" i="9"/>
  <c r="C1619" i="9"/>
  <c r="C1627" i="9"/>
  <c r="C1635" i="9"/>
  <c r="C1643" i="9"/>
  <c r="C1651" i="9"/>
  <c r="C1659" i="9"/>
  <c r="C1667" i="9"/>
  <c r="C1675" i="9"/>
  <c r="C1683" i="9"/>
  <c r="C1691" i="9"/>
  <c r="C1699" i="9"/>
  <c r="C1707" i="9"/>
  <c r="C1715" i="9"/>
  <c r="C1723" i="9"/>
  <c r="C1731" i="9"/>
  <c r="C1739" i="9"/>
  <c r="C1747" i="9"/>
  <c r="C1755" i="9"/>
  <c r="C1763" i="9"/>
  <c r="C1771" i="9"/>
  <c r="C1779" i="9"/>
  <c r="C1787" i="9"/>
  <c r="C1795" i="9"/>
  <c r="C1803" i="9"/>
  <c r="C1811" i="9"/>
  <c r="C1819" i="9"/>
  <c r="C1827" i="9"/>
  <c r="C1835" i="9"/>
  <c r="C1843" i="9"/>
  <c r="C1851" i="9"/>
  <c r="C1859" i="9"/>
  <c r="C1867" i="9"/>
  <c r="C1875" i="9"/>
  <c r="C1883" i="9"/>
  <c r="C1891" i="9"/>
  <c r="C1899" i="9"/>
  <c r="C1907" i="9"/>
  <c r="C1915" i="9"/>
  <c r="C1923" i="9"/>
  <c r="C1931" i="9"/>
  <c r="C1939" i="9"/>
  <c r="C1947" i="9"/>
  <c r="C1955" i="9"/>
  <c r="C1963" i="9"/>
  <c r="C1971" i="9"/>
  <c r="C1979" i="9"/>
  <c r="C1987" i="9"/>
  <c r="C1995" i="9"/>
  <c r="C2003" i="9"/>
  <c r="C2011" i="9"/>
  <c r="C2019" i="9"/>
  <c r="C2027" i="9"/>
  <c r="C2035" i="9"/>
  <c r="C2043" i="9"/>
  <c r="C2051" i="9"/>
  <c r="C2059" i="9"/>
  <c r="C2067" i="9"/>
  <c r="C2075" i="9"/>
  <c r="C2083" i="9"/>
  <c r="C2091" i="9"/>
  <c r="C2099" i="9"/>
  <c r="C2108" i="9"/>
  <c r="C2117" i="9"/>
  <c r="C2127" i="9"/>
  <c r="C2136" i="9"/>
  <c r="C2145" i="9"/>
  <c r="C2154" i="9"/>
  <c r="C2163" i="9"/>
  <c r="C2172" i="9"/>
  <c r="C2181" i="9"/>
  <c r="C2191" i="9"/>
  <c r="C2200" i="9"/>
  <c r="C2209" i="9"/>
  <c r="C2218" i="9"/>
  <c r="C2227" i="9"/>
  <c r="C2236" i="9"/>
  <c r="C2245" i="9"/>
  <c r="C2255" i="9"/>
  <c r="C2264" i="9"/>
  <c r="C2273" i="9"/>
  <c r="C2282" i="9"/>
  <c r="C2291" i="9"/>
  <c r="C2300" i="9"/>
  <c r="C2309" i="9"/>
  <c r="C2319" i="9"/>
  <c r="C2328" i="9"/>
  <c r="D2328" i="9"/>
  <c r="D2319" i="9"/>
  <c r="D2309" i="9"/>
  <c r="D2297" i="9"/>
  <c r="D2287" i="9"/>
  <c r="D2277" i="9"/>
  <c r="D2265" i="9"/>
  <c r="D2255" i="9"/>
  <c r="D2245" i="9"/>
  <c r="D2233" i="9"/>
  <c r="D2223" i="9"/>
  <c r="D2213" i="9"/>
  <c r="D2201" i="9"/>
  <c r="D2191" i="9"/>
  <c r="D2181" i="9"/>
  <c r="D2169" i="9"/>
  <c r="D2159" i="9"/>
  <c r="D2149" i="9"/>
  <c r="D2137" i="9"/>
  <c r="D2127" i="9"/>
  <c r="D2117" i="9"/>
  <c r="D2105" i="9"/>
  <c r="D2095" i="9"/>
  <c r="D2085" i="9"/>
  <c r="D2073" i="9"/>
  <c r="D2063" i="9"/>
  <c r="D2053" i="9"/>
  <c r="D2041" i="9"/>
  <c r="D2031" i="9"/>
  <c r="D2018" i="9"/>
  <c r="D2007" i="9"/>
  <c r="D1993" i="9"/>
  <c r="D1982" i="9"/>
  <c r="D1968" i="9"/>
  <c r="D1954" i="9"/>
  <c r="D1943" i="9"/>
  <c r="D1929" i="9"/>
  <c r="D1918" i="9"/>
  <c r="D1904" i="9"/>
  <c r="D1890" i="9"/>
  <c r="D1879" i="9"/>
  <c r="D1864" i="9"/>
  <c r="D1848" i="9"/>
  <c r="D1832" i="9"/>
  <c r="D1816" i="9"/>
  <c r="D1800" i="9"/>
  <c r="D1784" i="9"/>
  <c r="D1768" i="9"/>
  <c r="D1752" i="9"/>
  <c r="D1736" i="9"/>
  <c r="D1720" i="9"/>
  <c r="D1704" i="9"/>
  <c r="D1688" i="9"/>
  <c r="D1672" i="9"/>
  <c r="D1656" i="9"/>
  <c r="D1640" i="9"/>
  <c r="D1624" i="9"/>
  <c r="D1608" i="9"/>
  <c r="D1592" i="9"/>
  <c r="D1576" i="9"/>
  <c r="D1560" i="9"/>
  <c r="D1544" i="9"/>
  <c r="D1528" i="9"/>
  <c r="D1512" i="9"/>
  <c r="D1496" i="9"/>
  <c r="D1480" i="9"/>
  <c r="D1464" i="9"/>
  <c r="D1448" i="9"/>
  <c r="D1432" i="9"/>
  <c r="D1416" i="9"/>
  <c r="D1400" i="9"/>
  <c r="D1384" i="9"/>
  <c r="D1368" i="9"/>
  <c r="D1352" i="9"/>
  <c r="D1336" i="9"/>
  <c r="D1320" i="9"/>
  <c r="D1304" i="9"/>
  <c r="D1288" i="9"/>
  <c r="D1272" i="9"/>
  <c r="D1256" i="9"/>
  <c r="D1240" i="9"/>
  <c r="D1224" i="9"/>
  <c r="D1208" i="9"/>
  <c r="D1192" i="9"/>
  <c r="D1176" i="9"/>
  <c r="D1160" i="9"/>
  <c r="D1144" i="9"/>
  <c r="D1128" i="9"/>
  <c r="D1112" i="9"/>
  <c r="D1096" i="9"/>
  <c r="D1080" i="9"/>
  <c r="D1064" i="9"/>
  <c r="D1048" i="9"/>
  <c r="D1032" i="9"/>
  <c r="D1016" i="9"/>
  <c r="D1000" i="9"/>
  <c r="D984" i="9"/>
  <c r="D968" i="9"/>
  <c r="D952" i="9"/>
  <c r="D936" i="9"/>
  <c r="D920" i="9"/>
  <c r="D904" i="9"/>
  <c r="D888" i="9"/>
  <c r="D872" i="9"/>
  <c r="D856" i="9"/>
  <c r="D840" i="9"/>
  <c r="D824" i="9"/>
  <c r="D808" i="9"/>
  <c r="D792" i="9"/>
  <c r="D776" i="9"/>
  <c r="D760" i="9"/>
  <c r="D744" i="9"/>
  <c r="D728" i="9"/>
  <c r="D712" i="9"/>
  <c r="D696" i="9"/>
  <c r="D680" i="9"/>
  <c r="D664" i="9"/>
  <c r="D648" i="9"/>
  <c r="D632" i="9"/>
  <c r="D616" i="9"/>
  <c r="D600" i="9"/>
  <c r="D584" i="9"/>
  <c r="D568" i="9"/>
  <c r="D552" i="9"/>
  <c r="D536" i="9"/>
  <c r="D520" i="9"/>
  <c r="D504" i="9"/>
  <c r="D488" i="9"/>
  <c r="D472" i="9"/>
  <c r="D456" i="9"/>
  <c r="D440" i="9"/>
  <c r="D424" i="9"/>
  <c r="D408" i="9"/>
  <c r="D392" i="9"/>
  <c r="D376" i="9"/>
  <c r="D360" i="9"/>
  <c r="D344" i="9"/>
  <c r="D328" i="9"/>
  <c r="D312" i="9"/>
  <c r="D296" i="9"/>
  <c r="D280" i="9"/>
  <c r="D264" i="9"/>
  <c r="D248" i="9"/>
  <c r="D232" i="9"/>
  <c r="D216" i="9"/>
  <c r="D200" i="9"/>
  <c r="D184" i="9"/>
  <c r="D168" i="9"/>
  <c r="D152" i="9"/>
  <c r="D136" i="9"/>
  <c r="D120" i="9"/>
  <c r="D104" i="9"/>
  <c r="D88" i="9"/>
  <c r="D72" i="9"/>
  <c r="D56" i="9"/>
  <c r="D40" i="9"/>
  <c r="D24" i="9"/>
  <c r="D8" i="9"/>
  <c r="E2327" i="9"/>
  <c r="E2311" i="9"/>
  <c r="E2295" i="9"/>
  <c r="E2279" i="9"/>
  <c r="E2263" i="9"/>
  <c r="E2242" i="9"/>
  <c r="E2221" i="9"/>
  <c r="E2200" i="9"/>
  <c r="E2178" i="9"/>
  <c r="E2157" i="9"/>
  <c r="E2136" i="9"/>
  <c r="E2114" i="9"/>
  <c r="E2093" i="9"/>
  <c r="E2072" i="9"/>
  <c r="E2050" i="9"/>
  <c r="E2029" i="9"/>
  <c r="E2003" i="9"/>
  <c r="E1978" i="9"/>
  <c r="E1953" i="9"/>
  <c r="E1928" i="9"/>
  <c r="E1903" i="9"/>
  <c r="E1875" i="9"/>
  <c r="E1849" i="9"/>
  <c r="E1817" i="9"/>
  <c r="E1785" i="9"/>
  <c r="E1753" i="9"/>
  <c r="E1721" i="9"/>
  <c r="E1689" i="9"/>
  <c r="E1657" i="9"/>
  <c r="E1625" i="9"/>
  <c r="E1593" i="9"/>
  <c r="E1561" i="9"/>
  <c r="E1529" i="9"/>
  <c r="E1497" i="9"/>
  <c r="E1465" i="9"/>
  <c r="E1433" i="9"/>
  <c r="E1401" i="9"/>
  <c r="E1369" i="9"/>
  <c r="E1337" i="9"/>
  <c r="E1305" i="9"/>
  <c r="E1273" i="9"/>
  <c r="E1241" i="9"/>
  <c r="E1209" i="9"/>
  <c r="E1177" i="9"/>
  <c r="E1145" i="9"/>
  <c r="E1113" i="9"/>
  <c r="E1081" i="9"/>
  <c r="E1049" i="9"/>
  <c r="E1017" i="9"/>
  <c r="E985" i="9"/>
  <c r="E953" i="9"/>
  <c r="E921" i="9"/>
  <c r="E889" i="9"/>
  <c r="E857" i="9"/>
  <c r="E825" i="9"/>
  <c r="E793" i="9"/>
  <c r="E761" i="9"/>
  <c r="E729" i="9"/>
  <c r="E697" i="9"/>
  <c r="E665" i="9"/>
  <c r="E633" i="9"/>
  <c r="E601" i="9"/>
  <c r="E569" i="9"/>
  <c r="E537" i="9"/>
  <c r="E505" i="9"/>
  <c r="E473" i="9"/>
  <c r="E441" i="9"/>
  <c r="E409" i="9"/>
  <c r="E377" i="9"/>
  <c r="E345" i="9"/>
  <c r="E313" i="9"/>
  <c r="E281" i="9"/>
  <c r="E249" i="9"/>
  <c r="E217" i="9"/>
  <c r="E185" i="9"/>
  <c r="E153" i="9"/>
  <c r="E121" i="9"/>
  <c r="E89" i="9"/>
  <c r="E57" i="9"/>
  <c r="E25" i="9"/>
  <c r="F2328" i="9"/>
  <c r="F2296" i="9"/>
  <c r="F2264" i="9"/>
  <c r="F2232" i="9"/>
  <c r="F2200" i="9"/>
  <c r="F2168" i="9"/>
  <c r="F2136" i="9"/>
  <c r="F2104" i="9"/>
  <c r="F2072" i="9"/>
  <c r="F2040" i="9"/>
  <c r="F2008" i="9"/>
  <c r="F1976" i="9"/>
  <c r="F1944" i="9"/>
  <c r="F1905" i="9"/>
  <c r="F1863" i="9"/>
  <c r="F1821" i="9"/>
  <c r="F1777" i="9"/>
  <c r="F1735" i="9"/>
  <c r="F1685" i="9"/>
  <c r="F1632" i="9"/>
  <c r="F1568" i="9"/>
  <c r="F1504" i="9"/>
  <c r="F1440" i="9"/>
  <c r="F1376" i="9"/>
  <c r="F1312" i="9"/>
  <c r="F1248" i="9"/>
  <c r="F1184" i="9"/>
  <c r="F1120" i="9"/>
  <c r="F1056" i="9"/>
  <c r="F992" i="9"/>
  <c r="F928" i="9"/>
  <c r="F864" i="9"/>
  <c r="F800" i="9"/>
  <c r="F736" i="9"/>
  <c r="F672" i="9"/>
  <c r="F608" i="9"/>
  <c r="F544" i="9"/>
  <c r="F480" i="9"/>
  <c r="F416" i="9"/>
  <c r="F352" i="9"/>
  <c r="F288" i="9"/>
  <c r="F224" i="9"/>
  <c r="F160" i="9"/>
  <c r="F96" i="9"/>
  <c r="F32" i="9"/>
  <c r="G2303" i="9"/>
  <c r="G2239" i="9"/>
  <c r="G2175" i="9"/>
  <c r="G2111" i="9"/>
  <c r="G2047" i="9"/>
  <c r="G1983" i="9"/>
  <c r="G1919" i="9"/>
  <c r="G1855" i="9"/>
  <c r="G1791" i="9"/>
  <c r="G1727" i="9"/>
  <c r="G1663" i="9"/>
  <c r="G1599" i="9"/>
  <c r="G1535" i="9"/>
  <c r="G1471" i="9"/>
  <c r="G1407" i="9"/>
  <c r="G1343" i="9"/>
  <c r="G1279" i="9"/>
  <c r="G1215" i="9"/>
  <c r="G1151" i="9"/>
  <c r="G1087" i="9"/>
  <c r="G1023" i="9"/>
  <c r="G959" i="9"/>
  <c r="G895" i="9"/>
  <c r="G831" i="9"/>
  <c r="G767" i="9"/>
  <c r="G703" i="9"/>
  <c r="G639" i="9"/>
  <c r="G575" i="9"/>
  <c r="G511" i="9"/>
  <c r="G447" i="9"/>
  <c r="G380" i="9"/>
  <c r="G306" i="9"/>
  <c r="G230" i="9"/>
  <c r="G144" i="9"/>
  <c r="G41" i="9"/>
  <c r="H2248" i="9"/>
  <c r="H2120" i="9"/>
  <c r="H1992" i="9"/>
  <c r="H1864" i="9"/>
  <c r="H1736" i="9"/>
  <c r="H1608" i="9"/>
  <c r="H1480" i="9"/>
  <c r="H1352" i="9"/>
  <c r="H1224" i="9"/>
  <c r="H1076" i="9"/>
  <c r="H855" i="9"/>
  <c r="H599" i="9"/>
  <c r="H343" i="9"/>
  <c r="H87" i="9"/>
  <c r="I2148" i="9"/>
  <c r="I1692" i="9"/>
  <c r="I1180" i="9"/>
  <c r="I624" i="9"/>
  <c r="J1946" i="9"/>
  <c r="J717" i="9"/>
  <c r="G989" i="9"/>
  <c r="G861" i="9"/>
  <c r="G733" i="9"/>
  <c r="G605" i="9"/>
  <c r="G477" i="9"/>
  <c r="G341" i="9"/>
  <c r="G184" i="9"/>
  <c r="H2310" i="9"/>
  <c r="H2054" i="9"/>
  <c r="H1798" i="9"/>
  <c r="H1542" i="9"/>
  <c r="H1286" i="9"/>
  <c r="H981" i="9"/>
  <c r="H469" i="9"/>
  <c r="I2292" i="9"/>
  <c r="I1434" i="9"/>
  <c r="J1432" i="9"/>
  <c r="B2317" i="9"/>
  <c r="B2272" i="9"/>
  <c r="B2334" i="9"/>
  <c r="B2316" i="9"/>
  <c r="B2295" i="9"/>
  <c r="B2271" i="9"/>
  <c r="B2246" i="9"/>
  <c r="B2218" i="9"/>
  <c r="B2193" i="9"/>
  <c r="B2168" i="9"/>
  <c r="B2143" i="9"/>
  <c r="B2105" i="9"/>
  <c r="B2078" i="9"/>
  <c r="B2040" i="9"/>
  <c r="B2002" i="9"/>
  <c r="B1975" i="9"/>
  <c r="B1937" i="9"/>
  <c r="B1902" i="9"/>
  <c r="B1872" i="9"/>
  <c r="B1834" i="9"/>
  <c r="B1799" i="9"/>
  <c r="B1763" i="9"/>
  <c r="B1715" i="9"/>
  <c r="B1656" i="9"/>
  <c r="B1608" i="9"/>
  <c r="B1552" i="9"/>
  <c r="B1490" i="9"/>
  <c r="B1448" i="9"/>
  <c r="B1376" i="9"/>
  <c r="B1299" i="9"/>
  <c r="B1244" i="9"/>
  <c r="B1170" i="9"/>
  <c r="B1096" i="9"/>
  <c r="B1041" i="9"/>
  <c r="B964" i="9"/>
  <c r="B890" i="9"/>
  <c r="B824" i="9"/>
  <c r="B705" i="9"/>
  <c r="B551" i="9"/>
  <c r="B438" i="9"/>
  <c r="B276" i="9"/>
  <c r="B117" i="9"/>
  <c r="C4" i="9"/>
  <c r="C12" i="9"/>
  <c r="C20" i="9"/>
  <c r="C28" i="9"/>
  <c r="C36" i="9"/>
  <c r="C44" i="9"/>
  <c r="C52" i="9"/>
  <c r="C60" i="9"/>
  <c r="C68" i="9"/>
  <c r="C76" i="9"/>
  <c r="C84" i="9"/>
  <c r="C92" i="9"/>
  <c r="C100" i="9"/>
  <c r="C108" i="9"/>
  <c r="C116" i="9"/>
  <c r="C124" i="9"/>
  <c r="C132" i="9"/>
  <c r="C140" i="9"/>
  <c r="C148" i="9"/>
  <c r="C156" i="9"/>
  <c r="C164" i="9"/>
  <c r="C172" i="9"/>
  <c r="C180" i="9"/>
  <c r="C188" i="9"/>
  <c r="C196" i="9"/>
  <c r="C204" i="9"/>
  <c r="C212" i="9"/>
  <c r="C220" i="9"/>
  <c r="C228" i="9"/>
  <c r="C236" i="9"/>
  <c r="C244" i="9"/>
  <c r="C252" i="9"/>
  <c r="C260" i="9"/>
  <c r="C268" i="9"/>
  <c r="C276" i="9"/>
  <c r="C284" i="9"/>
  <c r="C292" i="9"/>
  <c r="C300" i="9"/>
  <c r="C308" i="9"/>
  <c r="C316" i="9"/>
  <c r="C324" i="9"/>
  <c r="C332" i="9"/>
  <c r="C340" i="9"/>
  <c r="C348" i="9"/>
  <c r="C356" i="9"/>
  <c r="C364" i="9"/>
  <c r="C372" i="9"/>
  <c r="C380" i="9"/>
  <c r="C388" i="9"/>
  <c r="C396" i="9"/>
  <c r="C404" i="9"/>
  <c r="C412" i="9"/>
  <c r="C420" i="9"/>
  <c r="C428" i="9"/>
  <c r="C436" i="9"/>
  <c r="C444" i="9"/>
  <c r="C452" i="9"/>
  <c r="C460" i="9"/>
  <c r="C468" i="9"/>
  <c r="C476" i="9"/>
  <c r="C484" i="9"/>
  <c r="C492" i="9"/>
  <c r="C500" i="9"/>
  <c r="C508" i="9"/>
  <c r="C516" i="9"/>
  <c r="C524" i="9"/>
  <c r="C532" i="9"/>
  <c r="C540" i="9"/>
  <c r="C548" i="9"/>
  <c r="C556" i="9"/>
  <c r="C564" i="9"/>
  <c r="C572" i="9"/>
  <c r="C580" i="9"/>
  <c r="C588" i="9"/>
  <c r="C596" i="9"/>
  <c r="C604" i="9"/>
  <c r="C612" i="9"/>
  <c r="C620" i="9"/>
  <c r="C628" i="9"/>
  <c r="C636" i="9"/>
  <c r="C644" i="9"/>
  <c r="C652" i="9"/>
  <c r="C660" i="9"/>
  <c r="C668" i="9"/>
  <c r="C676" i="9"/>
  <c r="C684" i="9"/>
  <c r="C692" i="9"/>
  <c r="C700" i="9"/>
  <c r="C708" i="9"/>
  <c r="C716" i="9"/>
  <c r="C724" i="9"/>
  <c r="C732" i="9"/>
  <c r="C740" i="9"/>
  <c r="C748" i="9"/>
  <c r="C756" i="9"/>
  <c r="C764" i="9"/>
  <c r="C772" i="9"/>
  <c r="C780" i="9"/>
  <c r="C788" i="9"/>
  <c r="C796" i="9"/>
  <c r="C804" i="9"/>
  <c r="C812" i="9"/>
  <c r="C820" i="9"/>
  <c r="C828" i="9"/>
  <c r="C836" i="9"/>
  <c r="C844" i="9"/>
  <c r="C852" i="9"/>
  <c r="C860" i="9"/>
  <c r="C868" i="9"/>
  <c r="C876" i="9"/>
  <c r="C884" i="9"/>
  <c r="C892" i="9"/>
  <c r="C900" i="9"/>
  <c r="C908" i="9"/>
  <c r="C916" i="9"/>
  <c r="C924" i="9"/>
  <c r="C932" i="9"/>
  <c r="C940" i="9"/>
  <c r="C948" i="9"/>
  <c r="C956" i="9"/>
  <c r="C964" i="9"/>
  <c r="C972" i="9"/>
  <c r="C980" i="9"/>
  <c r="C988" i="9"/>
  <c r="C996" i="9"/>
  <c r="C1004" i="9"/>
  <c r="C1012" i="9"/>
  <c r="C1020" i="9"/>
  <c r="C1028" i="9"/>
  <c r="C1036" i="9"/>
  <c r="C1044" i="9"/>
  <c r="C1052" i="9"/>
  <c r="C1060" i="9"/>
  <c r="C1068" i="9"/>
  <c r="C1076" i="9"/>
  <c r="C1084" i="9"/>
  <c r="C1092" i="9"/>
  <c r="C1100" i="9"/>
  <c r="C1108" i="9"/>
  <c r="C1116" i="9"/>
  <c r="C1124" i="9"/>
  <c r="C1132" i="9"/>
  <c r="C1140" i="9"/>
  <c r="C1148" i="9"/>
  <c r="C1156" i="9"/>
  <c r="C1164" i="9"/>
  <c r="C1172" i="9"/>
  <c r="C1180" i="9"/>
  <c r="C1188" i="9"/>
  <c r="C1196" i="9"/>
  <c r="C1204" i="9"/>
  <c r="C1212" i="9"/>
  <c r="C1220" i="9"/>
  <c r="C1228" i="9"/>
  <c r="C1236" i="9"/>
  <c r="C1244" i="9"/>
  <c r="C1252" i="9"/>
  <c r="C1260" i="9"/>
  <c r="C1268" i="9"/>
  <c r="C1276" i="9"/>
  <c r="C1284" i="9"/>
  <c r="C1292" i="9"/>
  <c r="C1300" i="9"/>
  <c r="C1308" i="9"/>
  <c r="C1316" i="9"/>
  <c r="C1324" i="9"/>
  <c r="C1332" i="9"/>
  <c r="C1340" i="9"/>
  <c r="C1348" i="9"/>
  <c r="C1356" i="9"/>
  <c r="C1364" i="9"/>
  <c r="C1372" i="9"/>
  <c r="C1380" i="9"/>
  <c r="C1388" i="9"/>
  <c r="C1396" i="9"/>
  <c r="C1404" i="9"/>
  <c r="C1412" i="9"/>
  <c r="C1420" i="9"/>
  <c r="C1428" i="9"/>
  <c r="C1436" i="9"/>
  <c r="C1444" i="9"/>
  <c r="C1452" i="9"/>
  <c r="C1460" i="9"/>
  <c r="C1468" i="9"/>
  <c r="C1476" i="9"/>
  <c r="C1484" i="9"/>
  <c r="C1492" i="9"/>
  <c r="C1500" i="9"/>
  <c r="C1508" i="9"/>
  <c r="C1516" i="9"/>
  <c r="C1524" i="9"/>
  <c r="C1532" i="9"/>
  <c r="C1540" i="9"/>
  <c r="C1548" i="9"/>
  <c r="C1556" i="9"/>
  <c r="C1564" i="9"/>
  <c r="C1572" i="9"/>
  <c r="C1580" i="9"/>
  <c r="C1588" i="9"/>
  <c r="C1596" i="9"/>
  <c r="C1604" i="9"/>
  <c r="C1612" i="9"/>
  <c r="C1620" i="9"/>
  <c r="C1628" i="9"/>
  <c r="C1636" i="9"/>
  <c r="C1644" i="9"/>
  <c r="C1652" i="9"/>
  <c r="C1660" i="9"/>
  <c r="C1668" i="9"/>
  <c r="C1676" i="9"/>
  <c r="C1684" i="9"/>
  <c r="C1692" i="9"/>
  <c r="C1700" i="9"/>
  <c r="C1708" i="9"/>
  <c r="C1716" i="9"/>
  <c r="C1724" i="9"/>
  <c r="C1732" i="9"/>
  <c r="C1740" i="9"/>
  <c r="C1748" i="9"/>
  <c r="C1756" i="9"/>
  <c r="C1764" i="9"/>
  <c r="C1772" i="9"/>
  <c r="C1780" i="9"/>
  <c r="C1788" i="9"/>
  <c r="C1796" i="9"/>
  <c r="C1804" i="9"/>
  <c r="C1812" i="9"/>
  <c r="C1820" i="9"/>
  <c r="C1828" i="9"/>
  <c r="C1836" i="9"/>
  <c r="C1844" i="9"/>
  <c r="C1852" i="9"/>
  <c r="C1860" i="9"/>
  <c r="C1868" i="9"/>
  <c r="C1876" i="9"/>
  <c r="C1884" i="9"/>
  <c r="C1892" i="9"/>
  <c r="C1900" i="9"/>
  <c r="C1908" i="9"/>
  <c r="C1916" i="9"/>
  <c r="C1924" i="9"/>
  <c r="C1932" i="9"/>
  <c r="C1940" i="9"/>
  <c r="C1948" i="9"/>
  <c r="C1956" i="9"/>
  <c r="C1964" i="9"/>
  <c r="C1972" i="9"/>
  <c r="C1980" i="9"/>
  <c r="C1988" i="9"/>
  <c r="C1996" i="9"/>
  <c r="C2004" i="9"/>
  <c r="C2012" i="9"/>
  <c r="C2020" i="9"/>
  <c r="C2028" i="9"/>
  <c r="C2036" i="9"/>
  <c r="C2044" i="9"/>
  <c r="C2052" i="9"/>
  <c r="C2060" i="9"/>
  <c r="C2068" i="9"/>
  <c r="C2076" i="9"/>
  <c r="C2084" i="9"/>
  <c r="C2092" i="9"/>
  <c r="C2100" i="9"/>
  <c r="C2109" i="9"/>
  <c r="C2119" i="9"/>
  <c r="C2128" i="9"/>
  <c r="C2137" i="9"/>
  <c r="C2146" i="9"/>
  <c r="C2155" i="9"/>
  <c r="C2164" i="9"/>
  <c r="C2173" i="9"/>
  <c r="C2183" i="9"/>
  <c r="C2192" i="9"/>
  <c r="C2201" i="9"/>
  <c r="C2210" i="9"/>
  <c r="C2219" i="9"/>
  <c r="C2228" i="9"/>
  <c r="C2237" i="9"/>
  <c r="C2247" i="9"/>
  <c r="C2256" i="9"/>
  <c r="C2265" i="9"/>
  <c r="C2274" i="9"/>
  <c r="C2283" i="9"/>
  <c r="C2292" i="9"/>
  <c r="C2301" i="9"/>
  <c r="C2311" i="9"/>
  <c r="C2320" i="9"/>
  <c r="C2329" i="9"/>
  <c r="D2336" i="9"/>
  <c r="D2327" i="9"/>
  <c r="D2318" i="9"/>
  <c r="D2306" i="9"/>
  <c r="D2296" i="9"/>
  <c r="D2286" i="9"/>
  <c r="D2274" i="9"/>
  <c r="D2264" i="9"/>
  <c r="D2254" i="9"/>
  <c r="D2242" i="9"/>
  <c r="D2232" i="9"/>
  <c r="D2222" i="9"/>
  <c r="D2210" i="9"/>
  <c r="D2200" i="9"/>
  <c r="D2190" i="9"/>
  <c r="D2178" i="9"/>
  <c r="D2168" i="9"/>
  <c r="D2158" i="9"/>
  <c r="D2146" i="9"/>
  <c r="D2136" i="9"/>
  <c r="D2126" i="9"/>
  <c r="D2114" i="9"/>
  <c r="D2104" i="9"/>
  <c r="D2094" i="9"/>
  <c r="D2082" i="9"/>
  <c r="D2072" i="9"/>
  <c r="D2062" i="9"/>
  <c r="D2050" i="9"/>
  <c r="D2040" i="9"/>
  <c r="D2030" i="9"/>
  <c r="D2017" i="9"/>
  <c r="D2006" i="9"/>
  <c r="D1992" i="9"/>
  <c r="D1978" i="9"/>
  <c r="D1967" i="9"/>
  <c r="D1953" i="9"/>
  <c r="D1942" i="9"/>
  <c r="D1928" i="9"/>
  <c r="D1914" i="9"/>
  <c r="D1903" i="9"/>
  <c r="D1889" i="9"/>
  <c r="D1878" i="9"/>
  <c r="D1863" i="9"/>
  <c r="D1847" i="9"/>
  <c r="D1831" i="9"/>
  <c r="D1815" i="9"/>
  <c r="D1799" i="9"/>
  <c r="D1783" i="9"/>
  <c r="D1767" i="9"/>
  <c r="D1751" i="9"/>
  <c r="D1735" i="9"/>
  <c r="D1719" i="9"/>
  <c r="D1703" i="9"/>
  <c r="D1687" i="9"/>
  <c r="D1671" i="9"/>
  <c r="D1655" i="9"/>
  <c r="D1639" i="9"/>
  <c r="D1623" i="9"/>
  <c r="D1607" i="9"/>
  <c r="D1591" i="9"/>
  <c r="D1575" i="9"/>
  <c r="D1559" i="9"/>
  <c r="D1543" i="9"/>
  <c r="D1527" i="9"/>
  <c r="D1511" i="9"/>
  <c r="D1495" i="9"/>
  <c r="D1479" i="9"/>
  <c r="D1463" i="9"/>
  <c r="D1447" i="9"/>
  <c r="D1431" i="9"/>
  <c r="D1415" i="9"/>
  <c r="D1399" i="9"/>
  <c r="D1383" i="9"/>
  <c r="D1367" i="9"/>
  <c r="D1351" i="9"/>
  <c r="D1335" i="9"/>
  <c r="D1319" i="9"/>
  <c r="D1303" i="9"/>
  <c r="D1287" i="9"/>
  <c r="D1271" i="9"/>
  <c r="D1255" i="9"/>
  <c r="D1239" i="9"/>
  <c r="D1223" i="9"/>
  <c r="D1207" i="9"/>
  <c r="D1191" i="9"/>
  <c r="D1175" i="9"/>
  <c r="D1159" i="9"/>
  <c r="D1143" i="9"/>
  <c r="D1127" i="9"/>
  <c r="D1111" i="9"/>
  <c r="D1095" i="9"/>
  <c r="D1079" i="9"/>
  <c r="D1063" i="9"/>
  <c r="D1047" i="9"/>
  <c r="D1031" i="9"/>
  <c r="D1015" i="9"/>
  <c r="D999" i="9"/>
  <c r="D983" i="9"/>
  <c r="D967" i="9"/>
  <c r="D951" i="9"/>
  <c r="D935" i="9"/>
  <c r="D919" i="9"/>
  <c r="D903" i="9"/>
  <c r="D887" i="9"/>
  <c r="D871" i="9"/>
  <c r="D855" i="9"/>
  <c r="D839" i="9"/>
  <c r="D823" i="9"/>
  <c r="D807" i="9"/>
  <c r="D791" i="9"/>
  <c r="D775" i="9"/>
  <c r="D759" i="9"/>
  <c r="D743" i="9"/>
  <c r="D727" i="9"/>
  <c r="D711" i="9"/>
  <c r="D695" i="9"/>
  <c r="D679" i="9"/>
  <c r="D663" i="9"/>
  <c r="D647" i="9"/>
  <c r="D631" i="9"/>
  <c r="D615" i="9"/>
  <c r="D599" i="9"/>
  <c r="D583" i="9"/>
  <c r="D567" i="9"/>
  <c r="D551" i="9"/>
  <c r="D535" i="9"/>
  <c r="D519" i="9"/>
  <c r="D503" i="9"/>
  <c r="D487" i="9"/>
  <c r="D471" i="9"/>
  <c r="D455" i="9"/>
  <c r="D439" i="9"/>
  <c r="D423" i="9"/>
  <c r="D407" i="9"/>
  <c r="D391" i="9"/>
  <c r="D375" i="9"/>
  <c r="D359" i="9"/>
  <c r="D343" i="9"/>
  <c r="D327" i="9"/>
  <c r="D311" i="9"/>
  <c r="D295" i="9"/>
  <c r="D279" i="9"/>
  <c r="D263" i="9"/>
  <c r="D247" i="9"/>
  <c r="D231" i="9"/>
  <c r="D215" i="9"/>
  <c r="D199" i="9"/>
  <c r="D183" i="9"/>
  <c r="D167" i="9"/>
  <c r="D151" i="9"/>
  <c r="D135" i="9"/>
  <c r="D119" i="9"/>
  <c r="D103" i="9"/>
  <c r="D87" i="9"/>
  <c r="D71" i="9"/>
  <c r="D55" i="9"/>
  <c r="D39" i="9"/>
  <c r="D23" i="9"/>
  <c r="D7" i="9"/>
  <c r="E2326" i="9"/>
  <c r="E2310" i="9"/>
  <c r="E2294" i="9"/>
  <c r="E2278" i="9"/>
  <c r="E2261" i="9"/>
  <c r="E2241" i="9"/>
  <c r="E2219" i="9"/>
  <c r="E2199" i="9"/>
  <c r="E2177" i="9"/>
  <c r="E2155" i="9"/>
  <c r="E2135" i="9"/>
  <c r="E2113" i="9"/>
  <c r="E2091" i="9"/>
  <c r="E2071" i="9"/>
  <c r="E2049" i="9"/>
  <c r="E2027" i="9"/>
  <c r="E2002" i="9"/>
  <c r="E1977" i="9"/>
  <c r="E1952" i="9"/>
  <c r="E1927" i="9"/>
  <c r="E1899" i="9"/>
  <c r="E1874" i="9"/>
  <c r="E1848" i="9"/>
  <c r="E1816" i="9"/>
  <c r="E1784" i="9"/>
  <c r="E1752" i="9"/>
  <c r="E1720" i="9"/>
  <c r="E1688" i="9"/>
  <c r="E1656" i="9"/>
  <c r="E1624" i="9"/>
  <c r="E1592" i="9"/>
  <c r="E1560" i="9"/>
  <c r="E1528" i="9"/>
  <c r="E1496" i="9"/>
  <c r="E1464" i="9"/>
  <c r="E1432" i="9"/>
  <c r="E1400" i="9"/>
  <c r="E1368" i="9"/>
  <c r="E1336" i="9"/>
  <c r="E1304" i="9"/>
  <c r="E1272" i="9"/>
  <c r="E1240" i="9"/>
  <c r="E1208" i="9"/>
  <c r="E1176" i="9"/>
  <c r="E1144" i="9"/>
  <c r="E1112" i="9"/>
  <c r="E1080" i="9"/>
  <c r="E1048" i="9"/>
  <c r="E1016" i="9"/>
  <c r="E984" i="9"/>
  <c r="E952" i="9"/>
  <c r="E920" i="9"/>
  <c r="E888" i="9"/>
  <c r="E856" i="9"/>
  <c r="E824" i="9"/>
  <c r="E792" i="9"/>
  <c r="E760" i="9"/>
  <c r="E728" i="9"/>
  <c r="E696" i="9"/>
  <c r="E664" i="9"/>
  <c r="E632" i="9"/>
  <c r="E600" i="9"/>
  <c r="E568" i="9"/>
  <c r="E536" i="9"/>
  <c r="E504" i="9"/>
  <c r="E472" i="9"/>
  <c r="E440" i="9"/>
  <c r="E408" i="9"/>
  <c r="E376" i="9"/>
  <c r="E344" i="9"/>
  <c r="E312" i="9"/>
  <c r="E280" i="9"/>
  <c r="E248" i="9"/>
  <c r="E216" i="9"/>
  <c r="E184" i="9"/>
  <c r="E152" i="9"/>
  <c r="E120" i="9"/>
  <c r="E88" i="9"/>
  <c r="E56" i="9"/>
  <c r="E24" i="9"/>
  <c r="F2327" i="9"/>
  <c r="F2295" i="9"/>
  <c r="F2263" i="9"/>
  <c r="F2231" i="9"/>
  <c r="F2199" i="9"/>
  <c r="F2167" i="9"/>
  <c r="F2135" i="9"/>
  <c r="F2103" i="9"/>
  <c r="F2071" i="9"/>
  <c r="F2039" i="9"/>
  <c r="F2007" i="9"/>
  <c r="F1975" i="9"/>
  <c r="F1943" i="9"/>
  <c r="F1904" i="9"/>
  <c r="F1862" i="9"/>
  <c r="F1819" i="9"/>
  <c r="F1776" i="9"/>
  <c r="F1734" i="9"/>
  <c r="F1681" i="9"/>
  <c r="F1631" i="9"/>
  <c r="F1567" i="9"/>
  <c r="F1503" i="9"/>
  <c r="F1439" i="9"/>
  <c r="F1375" i="9"/>
  <c r="F1311" i="9"/>
  <c r="F1247" i="9"/>
  <c r="F1183" i="9"/>
  <c r="F1119" i="9"/>
  <c r="F1055" i="9"/>
  <c r="F991" i="9"/>
  <c r="F927" i="9"/>
  <c r="F863" i="9"/>
  <c r="F799" i="9"/>
  <c r="F735" i="9"/>
  <c r="F671" i="9"/>
  <c r="F607" i="9"/>
  <c r="F543" i="9"/>
  <c r="F479" i="9"/>
  <c r="F415" i="9"/>
  <c r="F351" i="9"/>
  <c r="F287" i="9"/>
  <c r="F223" i="9"/>
  <c r="F159" i="9"/>
  <c r="F95" i="9"/>
  <c r="F31" i="9"/>
  <c r="G2302" i="9"/>
  <c r="G2238" i="9"/>
  <c r="G2174" i="9"/>
  <c r="G2110" i="9"/>
  <c r="G2046" i="9"/>
  <c r="G1982" i="9"/>
  <c r="G1918" i="9"/>
  <c r="G1854" i="9"/>
  <c r="G1790" i="9"/>
  <c r="G1726" i="9"/>
  <c r="G1662" i="9"/>
  <c r="G1598" i="9"/>
  <c r="G1534" i="9"/>
  <c r="G1470" i="9"/>
  <c r="G1406" i="9"/>
  <c r="G1342" i="9"/>
  <c r="G1278" i="9"/>
  <c r="G1214" i="9"/>
  <c r="G1150" i="9"/>
  <c r="G1086" i="9"/>
  <c r="G1022" i="9"/>
  <c r="G958" i="9"/>
  <c r="G894" i="9"/>
  <c r="G830" i="9"/>
  <c r="G766" i="9"/>
  <c r="G702" i="9"/>
  <c r="G638" i="9"/>
  <c r="G574" i="9"/>
  <c r="G510" i="9"/>
  <c r="G446" i="9"/>
  <c r="G378" i="9"/>
  <c r="G305" i="9"/>
  <c r="G229" i="9"/>
  <c r="G143" i="9"/>
  <c r="G40" i="9"/>
  <c r="H2247" i="9"/>
  <c r="H2119" i="9"/>
  <c r="H1991" i="9"/>
  <c r="H1863" i="9"/>
  <c r="H1735" i="9"/>
  <c r="H1607" i="9"/>
  <c r="H1479" i="9"/>
  <c r="H1351" i="9"/>
  <c r="H1223" i="9"/>
  <c r="H1074" i="9"/>
  <c r="H854" i="9"/>
  <c r="H598" i="9"/>
  <c r="H342" i="9"/>
  <c r="H86" i="9"/>
  <c r="I2147" i="9"/>
  <c r="I1691" i="9"/>
  <c r="I1179" i="9"/>
  <c r="I623" i="9"/>
  <c r="J1945" i="9"/>
  <c r="J716" i="9"/>
  <c r="B2127" i="9"/>
  <c r="B2088" i="9"/>
  <c r="B2038" i="9"/>
  <c r="B1999" i="9"/>
  <c r="B1974" i="9"/>
  <c r="B1935" i="9"/>
  <c r="B1896" i="9"/>
  <c r="B1857" i="9"/>
  <c r="B1818" i="9"/>
  <c r="B1780" i="9"/>
  <c r="B1729" i="9"/>
  <c r="B1667" i="9"/>
  <c r="B1627" i="9"/>
  <c r="B1564" i="9"/>
  <c r="B1504" i="9"/>
  <c r="B1441" i="9"/>
  <c r="B1371" i="9"/>
  <c r="B1296" i="9"/>
  <c r="B1193" i="9"/>
  <c r="B1140" i="9"/>
  <c r="B1065" i="9"/>
  <c r="B987" i="9"/>
  <c r="B884" i="9"/>
  <c r="B783" i="9"/>
  <c r="B649" i="9"/>
  <c r="B597" i="9"/>
  <c r="B429" i="9"/>
  <c r="B269" i="9"/>
  <c r="B158" i="9"/>
  <c r="B2321" i="9"/>
  <c r="B2265" i="9"/>
  <c r="A2" i="9"/>
  <c r="B10" i="9"/>
  <c r="B18" i="9"/>
  <c r="B26" i="9"/>
  <c r="B34" i="9"/>
  <c r="B42" i="9"/>
  <c r="B50" i="9"/>
  <c r="B58" i="9"/>
  <c r="B66" i="9"/>
  <c r="B74" i="9"/>
  <c r="B82" i="9"/>
  <c r="B90" i="9"/>
  <c r="B98" i="9"/>
  <c r="B106" i="9"/>
  <c r="B114" i="9"/>
  <c r="B122" i="9"/>
  <c r="B130" i="9"/>
  <c r="B138" i="9"/>
  <c r="B146" i="9"/>
  <c r="B154" i="9"/>
  <c r="B162" i="9"/>
  <c r="B170" i="9"/>
  <c r="B178" i="9"/>
  <c r="B186" i="9"/>
  <c r="B194" i="9"/>
  <c r="B202" i="9"/>
  <c r="B210" i="9"/>
  <c r="B218" i="9"/>
  <c r="B226" i="9"/>
  <c r="B234" i="9"/>
  <c r="B242" i="9"/>
  <c r="B250" i="9"/>
  <c r="B258" i="9"/>
  <c r="B266" i="9"/>
  <c r="B274" i="9"/>
  <c r="B282" i="9"/>
  <c r="B290" i="9"/>
  <c r="B298" i="9"/>
  <c r="B306" i="9"/>
  <c r="B314" i="9"/>
  <c r="B322" i="9"/>
  <c r="B330" i="9"/>
  <c r="B338" i="9"/>
  <c r="B346" i="9"/>
  <c r="B354" i="9"/>
  <c r="B362" i="9"/>
  <c r="B370" i="9"/>
  <c r="B378" i="9"/>
  <c r="B386" i="9"/>
  <c r="B394" i="9"/>
  <c r="B402" i="9"/>
  <c r="B410" i="9"/>
  <c r="B418" i="9"/>
  <c r="B426" i="9"/>
  <c r="B434" i="9"/>
  <c r="B442" i="9"/>
  <c r="B450" i="9"/>
  <c r="B458" i="9"/>
  <c r="B466" i="9"/>
  <c r="B474" i="9"/>
  <c r="B482" i="9"/>
  <c r="B490" i="9"/>
  <c r="B498" i="9"/>
  <c r="B506" i="9"/>
  <c r="B514" i="9"/>
  <c r="B522" i="9"/>
  <c r="B530" i="9"/>
  <c r="B538" i="9"/>
  <c r="B546" i="9"/>
  <c r="B554" i="9"/>
  <c r="B562" i="9"/>
  <c r="B570" i="9"/>
  <c r="B578" i="9"/>
  <c r="B586" i="9"/>
  <c r="B594" i="9"/>
  <c r="B602" i="9"/>
  <c r="B610" i="9"/>
  <c r="B618" i="9"/>
  <c r="B626" i="9"/>
  <c r="B634" i="9"/>
  <c r="B642" i="9"/>
  <c r="B650" i="9"/>
  <c r="B658" i="9"/>
  <c r="B666" i="9"/>
  <c r="B674" i="9"/>
  <c r="B3" i="9"/>
  <c r="B11" i="9"/>
  <c r="B19" i="9"/>
  <c r="B27" i="9"/>
  <c r="B35" i="9"/>
  <c r="B43" i="9"/>
  <c r="B51" i="9"/>
  <c r="B59" i="9"/>
  <c r="B67" i="9"/>
  <c r="B75" i="9"/>
  <c r="B83" i="9"/>
  <c r="B91" i="9"/>
  <c r="B99" i="9"/>
  <c r="B107" i="9"/>
  <c r="B115" i="9"/>
  <c r="B123" i="9"/>
  <c r="B131" i="9"/>
  <c r="B139" i="9"/>
  <c r="B147" i="9"/>
  <c r="B155" i="9"/>
  <c r="B163" i="9"/>
  <c r="B171" i="9"/>
  <c r="B179" i="9"/>
  <c r="B187" i="9"/>
  <c r="B195" i="9"/>
  <c r="B203" i="9"/>
  <c r="B211" i="9"/>
  <c r="B219" i="9"/>
  <c r="B227" i="9"/>
  <c r="B235" i="9"/>
  <c r="B243" i="9"/>
  <c r="B251" i="9"/>
  <c r="B259" i="9"/>
  <c r="B267" i="9"/>
  <c r="B275" i="9"/>
  <c r="B283" i="9"/>
  <c r="B291" i="9"/>
  <c r="B299" i="9"/>
  <c r="B307" i="9"/>
  <c r="B315" i="9"/>
  <c r="B323" i="9"/>
  <c r="B331" i="9"/>
  <c r="B339" i="9"/>
  <c r="B347" i="9"/>
  <c r="B355" i="9"/>
  <c r="B363" i="9"/>
  <c r="B371" i="9"/>
  <c r="B379" i="9"/>
  <c r="B387" i="9"/>
  <c r="B395" i="9"/>
  <c r="B403" i="9"/>
  <c r="B411" i="9"/>
  <c r="B419" i="9"/>
  <c r="B427" i="9"/>
  <c r="B435" i="9"/>
  <c r="B443" i="9"/>
  <c r="B451" i="9"/>
  <c r="B459" i="9"/>
  <c r="B467" i="9"/>
  <c r="B475" i="9"/>
  <c r="B483" i="9"/>
  <c r="B491" i="9"/>
  <c r="B499" i="9"/>
  <c r="B507" i="9"/>
  <c r="B515" i="9"/>
  <c r="B523" i="9"/>
  <c r="B531" i="9"/>
  <c r="B539" i="9"/>
  <c r="B547" i="9"/>
  <c r="B555" i="9"/>
  <c r="B563" i="9"/>
  <c r="B571" i="9"/>
  <c r="B579" i="9"/>
  <c r="B587" i="9"/>
  <c r="B595" i="9"/>
  <c r="B603" i="9"/>
  <c r="B611" i="9"/>
  <c r="B619" i="9"/>
  <c r="B627" i="9"/>
  <c r="B635" i="9"/>
  <c r="B643" i="9"/>
  <c r="B651" i="9"/>
  <c r="B659" i="9"/>
  <c r="B667" i="9"/>
  <c r="B675" i="9"/>
  <c r="B4" i="9"/>
  <c r="B14" i="9"/>
  <c r="B24" i="9"/>
  <c r="B36" i="9"/>
  <c r="B46" i="9"/>
  <c r="B56" i="9"/>
  <c r="B68" i="9"/>
  <c r="B78" i="9"/>
  <c r="B88" i="9"/>
  <c r="B100" i="9"/>
  <c r="B110" i="9"/>
  <c r="B120" i="9"/>
  <c r="B132" i="9"/>
  <c r="B142" i="9"/>
  <c r="B152" i="9"/>
  <c r="B164" i="9"/>
  <c r="B174" i="9"/>
  <c r="B184" i="9"/>
  <c r="B196" i="9"/>
  <c r="B206" i="9"/>
  <c r="B216" i="9"/>
  <c r="B228" i="9"/>
  <c r="B238" i="9"/>
  <c r="B248" i="9"/>
  <c r="B260" i="9"/>
  <c r="B270" i="9"/>
  <c r="B280" i="9"/>
  <c r="B292" i="9"/>
  <c r="B302" i="9"/>
  <c r="B312" i="9"/>
  <c r="B324" i="9"/>
  <c r="B334" i="9"/>
  <c r="B344" i="9"/>
  <c r="B356" i="9"/>
  <c r="B366" i="9"/>
  <c r="B376" i="9"/>
  <c r="B388" i="9"/>
  <c r="B398" i="9"/>
  <c r="B408" i="9"/>
  <c r="B420" i="9"/>
  <c r="B430" i="9"/>
  <c r="B440" i="9"/>
  <c r="B452" i="9"/>
  <c r="B462" i="9"/>
  <c r="B472" i="9"/>
  <c r="B484" i="9"/>
  <c r="B494" i="9"/>
  <c r="B504" i="9"/>
  <c r="B516" i="9"/>
  <c r="B526" i="9"/>
  <c r="B536" i="9"/>
  <c r="B548" i="9"/>
  <c r="B558" i="9"/>
  <c r="B568" i="9"/>
  <c r="B580" i="9"/>
  <c r="B590" i="9"/>
  <c r="B600" i="9"/>
  <c r="B612" i="9"/>
  <c r="B622" i="9"/>
  <c r="B632" i="9"/>
  <c r="B644" i="9"/>
  <c r="B654" i="9"/>
  <c r="B664" i="9"/>
  <c r="B676" i="9"/>
  <c r="B684" i="9"/>
  <c r="B692" i="9"/>
  <c r="B700" i="9"/>
  <c r="B708" i="9"/>
  <c r="B716" i="9"/>
  <c r="B724" i="9"/>
  <c r="B732" i="9"/>
  <c r="B740" i="9"/>
  <c r="B748" i="9"/>
  <c r="B756" i="9"/>
  <c r="B764" i="9"/>
  <c r="B772" i="9"/>
  <c r="B780" i="9"/>
  <c r="B788" i="9"/>
  <c r="B796" i="9"/>
  <c r="B804" i="9"/>
  <c r="B812" i="9"/>
  <c r="B820" i="9"/>
  <c r="B828" i="9"/>
  <c r="B836" i="9"/>
  <c r="B844" i="9"/>
  <c r="B852" i="9"/>
  <c r="B5" i="9"/>
  <c r="B15" i="9"/>
  <c r="B25" i="9"/>
  <c r="B37" i="9"/>
  <c r="B47" i="9"/>
  <c r="B57" i="9"/>
  <c r="B69" i="9"/>
  <c r="B79" i="9"/>
  <c r="B89" i="9"/>
  <c r="B101" i="9"/>
  <c r="B111" i="9"/>
  <c r="B121" i="9"/>
  <c r="B133" i="9"/>
  <c r="B143" i="9"/>
  <c r="B153" i="9"/>
  <c r="B165" i="9"/>
  <c r="B175" i="9"/>
  <c r="B185" i="9"/>
  <c r="B197" i="9"/>
  <c r="B207" i="9"/>
  <c r="B217" i="9"/>
  <c r="B229" i="9"/>
  <c r="B239" i="9"/>
  <c r="B249" i="9"/>
  <c r="B261" i="9"/>
  <c r="B271" i="9"/>
  <c r="B281" i="9"/>
  <c r="B293" i="9"/>
  <c r="B303" i="9"/>
  <c r="B313" i="9"/>
  <c r="B325" i="9"/>
  <c r="B335" i="9"/>
  <c r="B345" i="9"/>
  <c r="B357" i="9"/>
  <c r="B367" i="9"/>
  <c r="B377" i="9"/>
  <c r="B389" i="9"/>
  <c r="B399" i="9"/>
  <c r="B409" i="9"/>
  <c r="B421" i="9"/>
  <c r="B431" i="9"/>
  <c r="B441" i="9"/>
  <c r="B453" i="9"/>
  <c r="B463" i="9"/>
  <c r="B473" i="9"/>
  <c r="B485" i="9"/>
  <c r="B495" i="9"/>
  <c r="B505" i="9"/>
  <c r="B517" i="9"/>
  <c r="B527" i="9"/>
  <c r="B537" i="9"/>
  <c r="B549" i="9"/>
  <c r="B559" i="9"/>
  <c r="B569" i="9"/>
  <c r="B581" i="9"/>
  <c r="B591" i="9"/>
  <c r="B601" i="9"/>
  <c r="B613" i="9"/>
  <c r="B623" i="9"/>
  <c r="B633" i="9"/>
  <c r="B645" i="9"/>
  <c r="B655" i="9"/>
  <c r="B665" i="9"/>
  <c r="B677" i="9"/>
  <c r="B685" i="9"/>
  <c r="B693" i="9"/>
  <c r="B701" i="9"/>
  <c r="B709" i="9"/>
  <c r="B717" i="9"/>
  <c r="B725" i="9"/>
  <c r="B733" i="9"/>
  <c r="B741" i="9"/>
  <c r="B749" i="9"/>
  <c r="B757" i="9"/>
  <c r="B765" i="9"/>
  <c r="B773" i="9"/>
  <c r="B781" i="9"/>
  <c r="B789" i="9"/>
  <c r="B797" i="9"/>
  <c r="B805" i="9"/>
  <c r="B813" i="9"/>
  <c r="B821" i="9"/>
  <c r="B829" i="9"/>
  <c r="B837" i="9"/>
  <c r="B845" i="9"/>
  <c r="B853" i="9"/>
  <c r="B6" i="9"/>
  <c r="B16" i="9"/>
  <c r="B28" i="9"/>
  <c r="B38" i="9"/>
  <c r="B48" i="9"/>
  <c r="B60" i="9"/>
  <c r="B70" i="9"/>
  <c r="B80" i="9"/>
  <c r="B92" i="9"/>
  <c r="B102" i="9"/>
  <c r="B112" i="9"/>
  <c r="B124" i="9"/>
  <c r="B134" i="9"/>
  <c r="B144" i="9"/>
  <c r="B156" i="9"/>
  <c r="B166" i="9"/>
  <c r="B176" i="9"/>
  <c r="B188" i="9"/>
  <c r="B198" i="9"/>
  <c r="B208" i="9"/>
  <c r="B220" i="9"/>
  <c r="B230" i="9"/>
  <c r="B240" i="9"/>
  <c r="B252" i="9"/>
  <c r="B262" i="9"/>
  <c r="B272" i="9"/>
  <c r="B284" i="9"/>
  <c r="B294" i="9"/>
  <c r="B304" i="9"/>
  <c r="B316" i="9"/>
  <c r="B326" i="9"/>
  <c r="B336" i="9"/>
  <c r="B348" i="9"/>
  <c r="B358" i="9"/>
  <c r="B368" i="9"/>
  <c r="B380" i="9"/>
  <c r="B390" i="9"/>
  <c r="B400" i="9"/>
  <c r="B412" i="9"/>
  <c r="B422" i="9"/>
  <c r="B432" i="9"/>
  <c r="B444" i="9"/>
  <c r="B454" i="9"/>
  <c r="B464" i="9"/>
  <c r="B476" i="9"/>
  <c r="B486" i="9"/>
  <c r="B496" i="9"/>
  <c r="B508" i="9"/>
  <c r="B518" i="9"/>
  <c r="B528" i="9"/>
  <c r="B540" i="9"/>
  <c r="B550" i="9"/>
  <c r="B560" i="9"/>
  <c r="B572" i="9"/>
  <c r="B582" i="9"/>
  <c r="B592" i="9"/>
  <c r="B604" i="9"/>
  <c r="B614" i="9"/>
  <c r="B624" i="9"/>
  <c r="B636" i="9"/>
  <c r="B646" i="9"/>
  <c r="B656" i="9"/>
  <c r="B668" i="9"/>
  <c r="B678" i="9"/>
  <c r="B686" i="9"/>
  <c r="B694" i="9"/>
  <c r="B702" i="9"/>
  <c r="B710" i="9"/>
  <c r="B718" i="9"/>
  <c r="B726" i="9"/>
  <c r="B734" i="9"/>
  <c r="B742" i="9"/>
  <c r="B750" i="9"/>
  <c r="B758" i="9"/>
  <c r="B766" i="9"/>
  <c r="B774" i="9"/>
  <c r="B782" i="9"/>
  <c r="B790" i="9"/>
  <c r="B798" i="9"/>
  <c r="B806" i="9"/>
  <c r="B814" i="9"/>
  <c r="B822" i="9"/>
  <c r="B830" i="9"/>
  <c r="B838" i="9"/>
  <c r="B846" i="9"/>
  <c r="B7" i="9"/>
  <c r="B22" i="9"/>
  <c r="B40" i="9"/>
  <c r="B55" i="9"/>
  <c r="B73" i="9"/>
  <c r="B93" i="9"/>
  <c r="B108" i="9"/>
  <c r="B126" i="9"/>
  <c r="B141" i="9"/>
  <c r="B159" i="9"/>
  <c r="B177" i="9"/>
  <c r="B192" i="9"/>
  <c r="B212" i="9"/>
  <c r="B225" i="9"/>
  <c r="B245" i="9"/>
  <c r="B263" i="9"/>
  <c r="B278" i="9"/>
  <c r="B296" i="9"/>
  <c r="B311" i="9"/>
  <c r="B329" i="9"/>
  <c r="B349" i="9"/>
  <c r="B364" i="9"/>
  <c r="B382" i="9"/>
  <c r="B397" i="9"/>
  <c r="B415" i="9"/>
  <c r="B433" i="9"/>
  <c r="B448" i="9"/>
  <c r="B468" i="9"/>
  <c r="B481" i="9"/>
  <c r="B501" i="9"/>
  <c r="B519" i="9"/>
  <c r="B534" i="9"/>
  <c r="B552" i="9"/>
  <c r="B567" i="9"/>
  <c r="B585" i="9"/>
  <c r="B605" i="9"/>
  <c r="B620" i="9"/>
  <c r="B638" i="9"/>
  <c r="B653" i="9"/>
  <c r="B671" i="9"/>
  <c r="B687" i="9"/>
  <c r="B698" i="9"/>
  <c r="B712" i="9"/>
  <c r="B723" i="9"/>
  <c r="B737" i="9"/>
  <c r="B751" i="9"/>
  <c r="B762" i="9"/>
  <c r="B776" i="9"/>
  <c r="B787" i="9"/>
  <c r="B801" i="9"/>
  <c r="B815" i="9"/>
  <c r="B826" i="9"/>
  <c r="B840" i="9"/>
  <c r="B851" i="9"/>
  <c r="B861" i="9"/>
  <c r="B869" i="9"/>
  <c r="B877" i="9"/>
  <c r="B885" i="9"/>
  <c r="B893" i="9"/>
  <c r="B901" i="9"/>
  <c r="B909" i="9"/>
  <c r="B917" i="9"/>
  <c r="B925" i="9"/>
  <c r="B933" i="9"/>
  <c r="B941" i="9"/>
  <c r="B949" i="9"/>
  <c r="B957" i="9"/>
  <c r="B965" i="9"/>
  <c r="B973" i="9"/>
  <c r="B981" i="9"/>
  <c r="B989" i="9"/>
  <c r="B997" i="9"/>
  <c r="B1005" i="9"/>
  <c r="B1013" i="9"/>
  <c r="B1021" i="9"/>
  <c r="B1029" i="9"/>
  <c r="B1037" i="9"/>
  <c r="B1045" i="9"/>
  <c r="B1053" i="9"/>
  <c r="B1061" i="9"/>
  <c r="B1069" i="9"/>
  <c r="B1077" i="9"/>
  <c r="B1085" i="9"/>
  <c r="B1093" i="9"/>
  <c r="B1101" i="9"/>
  <c r="B1109" i="9"/>
  <c r="B1117" i="9"/>
  <c r="B1125" i="9"/>
  <c r="B1133" i="9"/>
  <c r="B1141" i="9"/>
  <c r="B1149" i="9"/>
  <c r="B1157" i="9"/>
  <c r="B1165" i="9"/>
  <c r="B1173" i="9"/>
  <c r="B1181" i="9"/>
  <c r="B1189" i="9"/>
  <c r="B1197" i="9"/>
  <c r="B1205" i="9"/>
  <c r="B1213" i="9"/>
  <c r="B1221" i="9"/>
  <c r="B1229" i="9"/>
  <c r="B1237" i="9"/>
  <c r="B1245" i="9"/>
  <c r="B1253" i="9"/>
  <c r="B1261" i="9"/>
  <c r="B1269" i="9"/>
  <c r="B1277" i="9"/>
  <c r="B1285" i="9"/>
  <c r="B1293" i="9"/>
  <c r="B1301" i="9"/>
  <c r="B1309" i="9"/>
  <c r="B1317" i="9"/>
  <c r="B1325" i="9"/>
  <c r="B1333" i="9"/>
  <c r="B1341" i="9"/>
  <c r="B1349" i="9"/>
  <c r="B1357" i="9"/>
  <c r="B1365" i="9"/>
  <c r="B1373" i="9"/>
  <c r="B1381" i="9"/>
  <c r="B1389" i="9"/>
  <c r="B1397" i="9"/>
  <c r="B1405" i="9"/>
  <c r="B1413" i="9"/>
  <c r="B1421" i="9"/>
  <c r="B1429" i="9"/>
  <c r="B1437" i="9"/>
  <c r="B1445" i="9"/>
  <c r="B1453" i="9"/>
  <c r="B1461" i="9"/>
  <c r="B1469" i="9"/>
  <c r="B1477" i="9"/>
  <c r="B1485" i="9"/>
  <c r="B1493" i="9"/>
  <c r="B1501" i="9"/>
  <c r="B1509" i="9"/>
  <c r="B1517" i="9"/>
  <c r="B1525" i="9"/>
  <c r="B1533" i="9"/>
  <c r="B1541" i="9"/>
  <c r="B1549" i="9"/>
  <c r="B1557" i="9"/>
  <c r="B1565" i="9"/>
  <c r="B1573" i="9"/>
  <c r="B1581" i="9"/>
  <c r="B1589" i="9"/>
  <c r="B1597" i="9"/>
  <c r="B1605" i="9"/>
  <c r="B1613" i="9"/>
  <c r="B1621" i="9"/>
  <c r="B1629" i="9"/>
  <c r="B1637" i="9"/>
  <c r="B1645" i="9"/>
  <c r="B1653" i="9"/>
  <c r="B1661" i="9"/>
  <c r="B1669" i="9"/>
  <c r="B1677" i="9"/>
  <c r="B1685" i="9"/>
  <c r="B1693" i="9"/>
  <c r="B1701" i="9"/>
  <c r="B1709" i="9"/>
  <c r="B1717" i="9"/>
  <c r="B1725" i="9"/>
  <c r="B1733" i="9"/>
  <c r="B1741" i="9"/>
  <c r="B1749" i="9"/>
  <c r="B1757" i="9"/>
  <c r="B1765" i="9"/>
  <c r="B1773" i="9"/>
  <c r="B1781" i="9"/>
  <c r="B8" i="9"/>
  <c r="B23" i="9"/>
  <c r="B41" i="9"/>
  <c r="B61" i="9"/>
  <c r="B76" i="9"/>
  <c r="B94" i="9"/>
  <c r="B109" i="9"/>
  <c r="B127" i="9"/>
  <c r="B145" i="9"/>
  <c r="B160" i="9"/>
  <c r="B180" i="9"/>
  <c r="B193" i="9"/>
  <c r="B213" i="9"/>
  <c r="B231" i="9"/>
  <c r="B246" i="9"/>
  <c r="B264" i="9"/>
  <c r="B279" i="9"/>
  <c r="B297" i="9"/>
  <c r="B317" i="9"/>
  <c r="B332" i="9"/>
  <c r="B350" i="9"/>
  <c r="B365" i="9"/>
  <c r="B383" i="9"/>
  <c r="B401" i="9"/>
  <c r="B416" i="9"/>
  <c r="B436" i="9"/>
  <c r="B449" i="9"/>
  <c r="B469" i="9"/>
  <c r="B487" i="9"/>
  <c r="B502" i="9"/>
  <c r="B520" i="9"/>
  <c r="B535" i="9"/>
  <c r="B553" i="9"/>
  <c r="B573" i="9"/>
  <c r="B588" i="9"/>
  <c r="B606" i="9"/>
  <c r="B621" i="9"/>
  <c r="B639" i="9"/>
  <c r="B657" i="9"/>
  <c r="B672" i="9"/>
  <c r="B688" i="9"/>
  <c r="B699" i="9"/>
  <c r="B713" i="9"/>
  <c r="B727" i="9"/>
  <c r="B738" i="9"/>
  <c r="B752" i="9"/>
  <c r="B763" i="9"/>
  <c r="B777" i="9"/>
  <c r="B791" i="9"/>
  <c r="B802" i="9"/>
  <c r="B816" i="9"/>
  <c r="B827" i="9"/>
  <c r="B841" i="9"/>
  <c r="B854" i="9"/>
  <c r="B862" i="9"/>
  <c r="B870" i="9"/>
  <c r="B878" i="9"/>
  <c r="B886" i="9"/>
  <c r="B894" i="9"/>
  <c r="B902" i="9"/>
  <c r="B910" i="9"/>
  <c r="B918" i="9"/>
  <c r="B926" i="9"/>
  <c r="B934" i="9"/>
  <c r="B942" i="9"/>
  <c r="B950" i="9"/>
  <c r="B958" i="9"/>
  <c r="B966" i="9"/>
  <c r="B974" i="9"/>
  <c r="B982" i="9"/>
  <c r="B990" i="9"/>
  <c r="B998" i="9"/>
  <c r="B1006" i="9"/>
  <c r="B1014" i="9"/>
  <c r="B1022" i="9"/>
  <c r="B1030" i="9"/>
  <c r="B1038" i="9"/>
  <c r="B1046" i="9"/>
  <c r="B1054" i="9"/>
  <c r="B1062" i="9"/>
  <c r="B1070" i="9"/>
  <c r="B1078" i="9"/>
  <c r="B1086" i="9"/>
  <c r="B1094" i="9"/>
  <c r="B1102" i="9"/>
  <c r="B1110" i="9"/>
  <c r="B1118" i="9"/>
  <c r="B1126" i="9"/>
  <c r="B1134" i="9"/>
  <c r="B1142" i="9"/>
  <c r="B1150" i="9"/>
  <c r="B1158" i="9"/>
  <c r="B1166" i="9"/>
  <c r="B1174" i="9"/>
  <c r="B1182" i="9"/>
  <c r="B1190" i="9"/>
  <c r="B1198" i="9"/>
  <c r="B1206" i="9"/>
  <c r="B1214" i="9"/>
  <c r="B1222" i="9"/>
  <c r="B1230" i="9"/>
  <c r="B1238" i="9"/>
  <c r="B1246" i="9"/>
  <c r="B1254" i="9"/>
  <c r="B1262" i="9"/>
  <c r="B1270" i="9"/>
  <c r="B1278" i="9"/>
  <c r="B1286" i="9"/>
  <c r="B1294" i="9"/>
  <c r="B1302" i="9"/>
  <c r="B1310" i="9"/>
  <c r="B1318" i="9"/>
  <c r="B1326" i="9"/>
  <c r="B1334" i="9"/>
  <c r="B1342" i="9"/>
  <c r="B1350" i="9"/>
  <c r="B1358" i="9"/>
  <c r="B1366" i="9"/>
  <c r="B1374" i="9"/>
  <c r="B1382" i="9"/>
  <c r="B1390" i="9"/>
  <c r="B1398" i="9"/>
  <c r="B1406" i="9"/>
  <c r="B1414" i="9"/>
  <c r="B1422" i="9"/>
  <c r="B1430" i="9"/>
  <c r="B1438" i="9"/>
  <c r="B1446" i="9"/>
  <c r="B1454" i="9"/>
  <c r="B1462" i="9"/>
  <c r="B1470" i="9"/>
  <c r="B1478" i="9"/>
  <c r="B1486" i="9"/>
  <c r="B1494" i="9"/>
  <c r="B1502" i="9"/>
  <c r="B1510" i="9"/>
  <c r="B1518" i="9"/>
  <c r="B1526" i="9"/>
  <c r="B1534" i="9"/>
  <c r="B1542" i="9"/>
  <c r="B1550" i="9"/>
  <c r="B1558" i="9"/>
  <c r="B1566" i="9"/>
  <c r="B1574" i="9"/>
  <c r="B1582" i="9"/>
  <c r="B1590" i="9"/>
  <c r="B1598" i="9"/>
  <c r="B1606" i="9"/>
  <c r="B1614" i="9"/>
  <c r="B1622" i="9"/>
  <c r="B1630" i="9"/>
  <c r="B1638" i="9"/>
  <c r="B1646" i="9"/>
  <c r="B1654" i="9"/>
  <c r="B1662" i="9"/>
  <c r="B1670" i="9"/>
  <c r="B1678" i="9"/>
  <c r="B1686" i="9"/>
  <c r="B1694" i="9"/>
  <c r="B1702" i="9"/>
  <c r="B1710" i="9"/>
  <c r="B1718" i="9"/>
  <c r="B9" i="9"/>
  <c r="B29" i="9"/>
  <c r="B44" i="9"/>
  <c r="B62" i="9"/>
  <c r="B77" i="9"/>
  <c r="B95" i="9"/>
  <c r="B113" i="9"/>
  <c r="B128" i="9"/>
  <c r="B148" i="9"/>
  <c r="B161" i="9"/>
  <c r="B181" i="9"/>
  <c r="B199" i="9"/>
  <c r="B214" i="9"/>
  <c r="B232" i="9"/>
  <c r="B247" i="9"/>
  <c r="B265" i="9"/>
  <c r="B285" i="9"/>
  <c r="B300" i="9"/>
  <c r="B318" i="9"/>
  <c r="B333" i="9"/>
  <c r="B351" i="9"/>
  <c r="B369" i="9"/>
  <c r="B384" i="9"/>
  <c r="B404" i="9"/>
  <c r="B417" i="9"/>
  <c r="B437" i="9"/>
  <c r="B455" i="9"/>
  <c r="B470" i="9"/>
  <c r="B488" i="9"/>
  <c r="B503" i="9"/>
  <c r="B521" i="9"/>
  <c r="B541" i="9"/>
  <c r="B556" i="9"/>
  <c r="B574" i="9"/>
  <c r="B589" i="9"/>
  <c r="B607" i="9"/>
  <c r="B625" i="9"/>
  <c r="B640" i="9"/>
  <c r="B660" i="9"/>
  <c r="B673" i="9"/>
  <c r="B689" i="9"/>
  <c r="B703" i="9"/>
  <c r="B714" i="9"/>
  <c r="B728" i="9"/>
  <c r="B739" i="9"/>
  <c r="B753" i="9"/>
  <c r="B767" i="9"/>
  <c r="B778" i="9"/>
  <c r="B792" i="9"/>
  <c r="B803" i="9"/>
  <c r="B817" i="9"/>
  <c r="B831" i="9"/>
  <c r="B842" i="9"/>
  <c r="B855" i="9"/>
  <c r="B863" i="9"/>
  <c r="B871" i="9"/>
  <c r="B879" i="9"/>
  <c r="B887" i="9"/>
  <c r="B895" i="9"/>
  <c r="B903" i="9"/>
  <c r="B911" i="9"/>
  <c r="B919" i="9"/>
  <c r="B927" i="9"/>
  <c r="B935" i="9"/>
  <c r="B943" i="9"/>
  <c r="B951" i="9"/>
  <c r="B959" i="9"/>
  <c r="B967" i="9"/>
  <c r="B975" i="9"/>
  <c r="B983" i="9"/>
  <c r="B991" i="9"/>
  <c r="B999" i="9"/>
  <c r="B1007" i="9"/>
  <c r="B1015" i="9"/>
  <c r="B1023" i="9"/>
  <c r="B1031" i="9"/>
  <c r="B1039" i="9"/>
  <c r="B1047" i="9"/>
  <c r="B1055" i="9"/>
  <c r="B1063" i="9"/>
  <c r="B1071" i="9"/>
  <c r="B1079" i="9"/>
  <c r="B1087" i="9"/>
  <c r="B1095" i="9"/>
  <c r="B1103" i="9"/>
  <c r="B1111" i="9"/>
  <c r="B1119" i="9"/>
  <c r="B1127" i="9"/>
  <c r="B1135" i="9"/>
  <c r="B1143" i="9"/>
  <c r="B1151" i="9"/>
  <c r="B1159" i="9"/>
  <c r="B1167" i="9"/>
  <c r="B1175" i="9"/>
  <c r="B1183" i="9"/>
  <c r="B1191" i="9"/>
  <c r="B1199" i="9"/>
  <c r="B1207" i="9"/>
  <c r="B1215" i="9"/>
  <c r="B1223" i="9"/>
  <c r="B1231" i="9"/>
  <c r="B1239" i="9"/>
  <c r="B1247" i="9"/>
  <c r="B1255" i="9"/>
  <c r="B1263" i="9"/>
  <c r="B1271" i="9"/>
  <c r="B1279" i="9"/>
  <c r="B1287" i="9"/>
  <c r="B1295" i="9"/>
  <c r="B1303" i="9"/>
  <c r="B1311" i="9"/>
  <c r="B1319" i="9"/>
  <c r="B1327" i="9"/>
  <c r="B1335" i="9"/>
  <c r="B1343" i="9"/>
  <c r="B1351" i="9"/>
  <c r="B1359" i="9"/>
  <c r="B1367" i="9"/>
  <c r="B1375" i="9"/>
  <c r="B1383" i="9"/>
  <c r="B1391" i="9"/>
  <c r="B1399" i="9"/>
  <c r="B1407" i="9"/>
  <c r="B1415" i="9"/>
  <c r="B1423" i="9"/>
  <c r="B1431" i="9"/>
  <c r="B1439" i="9"/>
  <c r="B1447" i="9"/>
  <c r="B1455" i="9"/>
  <c r="B1463" i="9"/>
  <c r="B1471" i="9"/>
  <c r="B1479" i="9"/>
  <c r="B1487" i="9"/>
  <c r="B1495" i="9"/>
  <c r="B1503" i="9"/>
  <c r="B1511" i="9"/>
  <c r="B1519" i="9"/>
  <c r="B1527" i="9"/>
  <c r="B1535" i="9"/>
  <c r="B1543" i="9"/>
  <c r="B1551" i="9"/>
  <c r="B1559" i="9"/>
  <c r="B1567" i="9"/>
  <c r="B1575" i="9"/>
  <c r="B1583" i="9"/>
  <c r="B1591" i="9"/>
  <c r="B1599" i="9"/>
  <c r="B1607" i="9"/>
  <c r="B1615" i="9"/>
  <c r="B1623" i="9"/>
  <c r="B1631" i="9"/>
  <c r="B1639" i="9"/>
  <c r="B1647" i="9"/>
  <c r="B1655" i="9"/>
  <c r="B1663" i="9"/>
  <c r="B1671" i="9"/>
  <c r="B1679" i="9"/>
  <c r="B1687" i="9"/>
  <c r="B1695" i="9"/>
  <c r="B1703" i="9"/>
  <c r="B1711" i="9"/>
  <c r="B1719" i="9"/>
  <c r="B1727" i="9"/>
  <c r="B1735" i="9"/>
  <c r="B1743" i="9"/>
  <c r="B1751" i="9"/>
  <c r="B1759" i="9"/>
  <c r="B1767" i="9"/>
  <c r="B1775" i="9"/>
  <c r="B1783" i="9"/>
  <c r="B12" i="9"/>
  <c r="B33" i="9"/>
  <c r="B64" i="9"/>
  <c r="B87" i="9"/>
  <c r="B118" i="9"/>
  <c r="B149" i="9"/>
  <c r="B172" i="9"/>
  <c r="B201" i="9"/>
  <c r="B224" i="9"/>
  <c r="B255" i="9"/>
  <c r="B286" i="9"/>
  <c r="B309" i="9"/>
  <c r="B340" i="9"/>
  <c r="B361" i="9"/>
  <c r="B392" i="9"/>
  <c r="B423" i="9"/>
  <c r="B446" i="9"/>
  <c r="B477" i="9"/>
  <c r="B500" i="9"/>
  <c r="B529" i="9"/>
  <c r="B557" i="9"/>
  <c r="B583" i="9"/>
  <c r="B609" i="9"/>
  <c r="B637" i="9"/>
  <c r="B663" i="9"/>
  <c r="B690" i="9"/>
  <c r="B707" i="9"/>
  <c r="B730" i="9"/>
  <c r="B747" i="9"/>
  <c r="B770" i="9"/>
  <c r="B793" i="9"/>
  <c r="B810" i="9"/>
  <c r="B833" i="9"/>
  <c r="B850" i="9"/>
  <c r="B866" i="9"/>
  <c r="B880" i="9"/>
  <c r="B891" i="9"/>
  <c r="B905" i="9"/>
  <c r="B916" i="9"/>
  <c r="B930" i="9"/>
  <c r="B944" i="9"/>
  <c r="B955" i="9"/>
  <c r="B969" i="9"/>
  <c r="B980" i="9"/>
  <c r="B994" i="9"/>
  <c r="B1008" i="9"/>
  <c r="B1019" i="9"/>
  <c r="B1033" i="9"/>
  <c r="B1044" i="9"/>
  <c r="B1058" i="9"/>
  <c r="B1072" i="9"/>
  <c r="B1083" i="9"/>
  <c r="B1097" i="9"/>
  <c r="B1108" i="9"/>
  <c r="B1122" i="9"/>
  <c r="B1136" i="9"/>
  <c r="B1147" i="9"/>
  <c r="B1161" i="9"/>
  <c r="B1172" i="9"/>
  <c r="B1186" i="9"/>
  <c r="B1200" i="9"/>
  <c r="B1211" i="9"/>
  <c r="B1225" i="9"/>
  <c r="B1236" i="9"/>
  <c r="B1250" i="9"/>
  <c r="B1264" i="9"/>
  <c r="B1275" i="9"/>
  <c r="B1289" i="9"/>
  <c r="B1300" i="9"/>
  <c r="B1314" i="9"/>
  <c r="B1328" i="9"/>
  <c r="B1339" i="9"/>
  <c r="B1353" i="9"/>
  <c r="B1364" i="9"/>
  <c r="B1378" i="9"/>
  <c r="B1392" i="9"/>
  <c r="B1403" i="9"/>
  <c r="B1417" i="9"/>
  <c r="B1428" i="9"/>
  <c r="B1442" i="9"/>
  <c r="B1456" i="9"/>
  <c r="B1467" i="9"/>
  <c r="B1481" i="9"/>
  <c r="B1492" i="9"/>
  <c r="B1506" i="9"/>
  <c r="B1520" i="9"/>
  <c r="B1531" i="9"/>
  <c r="B1545" i="9"/>
  <c r="B1556" i="9"/>
  <c r="B1570" i="9"/>
  <c r="B1584" i="9"/>
  <c r="B1595" i="9"/>
  <c r="B1609" i="9"/>
  <c r="B1620" i="9"/>
  <c r="B1634" i="9"/>
  <c r="B1648" i="9"/>
  <c r="B1659" i="9"/>
  <c r="B1673" i="9"/>
  <c r="B1684" i="9"/>
  <c r="B1698" i="9"/>
  <c r="B1712" i="9"/>
  <c r="B1723" i="9"/>
  <c r="B1734" i="9"/>
  <c r="B1745" i="9"/>
  <c r="B1755" i="9"/>
  <c r="B1766" i="9"/>
  <c r="B1777" i="9"/>
  <c r="B1787" i="9"/>
  <c r="B1795" i="9"/>
  <c r="B1803" i="9"/>
  <c r="B1811" i="9"/>
  <c r="B1819" i="9"/>
  <c r="B1827" i="9"/>
  <c r="B1835" i="9"/>
  <c r="B1843" i="9"/>
  <c r="B1851" i="9"/>
  <c r="B1859" i="9"/>
  <c r="B1867" i="9"/>
  <c r="B1875" i="9"/>
  <c r="B1883" i="9"/>
  <c r="B1891" i="9"/>
  <c r="B1899" i="9"/>
  <c r="B1907" i="9"/>
  <c r="B1915" i="9"/>
  <c r="B1923" i="9"/>
  <c r="B1931" i="9"/>
  <c r="B1939" i="9"/>
  <c r="B1947" i="9"/>
  <c r="B1955" i="9"/>
  <c r="B1963" i="9"/>
  <c r="B1971" i="9"/>
  <c r="B1979" i="9"/>
  <c r="B1987" i="9"/>
  <c r="B1995" i="9"/>
  <c r="B2003" i="9"/>
  <c r="B2011" i="9"/>
  <c r="B2019" i="9"/>
  <c r="B2027" i="9"/>
  <c r="B2035" i="9"/>
  <c r="B2043" i="9"/>
  <c r="B2051" i="9"/>
  <c r="B2059" i="9"/>
  <c r="B2067" i="9"/>
  <c r="B2075" i="9"/>
  <c r="B2083" i="9"/>
  <c r="B2091" i="9"/>
  <c r="B2099" i="9"/>
  <c r="B2107" i="9"/>
  <c r="B2115" i="9"/>
  <c r="B2123" i="9"/>
  <c r="B2131" i="9"/>
  <c r="B2139" i="9"/>
  <c r="B2147" i="9"/>
  <c r="B2155" i="9"/>
  <c r="B2163" i="9"/>
  <c r="B2171" i="9"/>
  <c r="B2179" i="9"/>
  <c r="B2187" i="9"/>
  <c r="B2195" i="9"/>
  <c r="B2203" i="9"/>
  <c r="B2211" i="9"/>
  <c r="B2219" i="9"/>
  <c r="B2227" i="9"/>
  <c r="B2235" i="9"/>
  <c r="B2243" i="9"/>
  <c r="B2251" i="9"/>
  <c r="B2259" i="9"/>
  <c r="B2267" i="9"/>
  <c r="B2275" i="9"/>
  <c r="B2283" i="9"/>
  <c r="B2291" i="9"/>
  <c r="B2299" i="9"/>
  <c r="B2307" i="9"/>
  <c r="B2315" i="9"/>
  <c r="B2323" i="9"/>
  <c r="B2331" i="9"/>
  <c r="B2276" i="9"/>
  <c r="B2292" i="9"/>
  <c r="B2308" i="9"/>
  <c r="B13" i="9"/>
  <c r="B39" i="9"/>
  <c r="B65" i="9"/>
  <c r="B96" i="9"/>
  <c r="B119" i="9"/>
  <c r="B150" i="9"/>
  <c r="B173" i="9"/>
  <c r="B204" i="9"/>
  <c r="B233" i="9"/>
  <c r="B256" i="9"/>
  <c r="B287" i="9"/>
  <c r="B310" i="9"/>
  <c r="B341" i="9"/>
  <c r="B372" i="9"/>
  <c r="B393" i="9"/>
  <c r="B424" i="9"/>
  <c r="B447" i="9"/>
  <c r="B478" i="9"/>
  <c r="B509" i="9"/>
  <c r="B532" i="9"/>
  <c r="B561" i="9"/>
  <c r="B584" i="9"/>
  <c r="B615" i="9"/>
  <c r="B641" i="9"/>
  <c r="B669" i="9"/>
  <c r="B691" i="9"/>
  <c r="B711" i="9"/>
  <c r="B731" i="9"/>
  <c r="B754" i="9"/>
  <c r="B771" i="9"/>
  <c r="B794" i="9"/>
  <c r="B811" i="9"/>
  <c r="B834" i="9"/>
  <c r="B856" i="9"/>
  <c r="B867" i="9"/>
  <c r="B881" i="9"/>
  <c r="B892" i="9"/>
  <c r="B906" i="9"/>
  <c r="B920" i="9"/>
  <c r="B931" i="9"/>
  <c r="B945" i="9"/>
  <c r="B956" i="9"/>
  <c r="B970" i="9"/>
  <c r="B984" i="9"/>
  <c r="B995" i="9"/>
  <c r="B1009" i="9"/>
  <c r="B1020" i="9"/>
  <c r="B1034" i="9"/>
  <c r="B1048" i="9"/>
  <c r="B1059" i="9"/>
  <c r="B1073" i="9"/>
  <c r="B1084" i="9"/>
  <c r="B1098" i="9"/>
  <c r="B1112" i="9"/>
  <c r="B1123" i="9"/>
  <c r="B1137" i="9"/>
  <c r="B1148" i="9"/>
  <c r="B1162" i="9"/>
  <c r="B1176" i="9"/>
  <c r="B1187" i="9"/>
  <c r="B1201" i="9"/>
  <c r="B1212" i="9"/>
  <c r="B1226" i="9"/>
  <c r="B1240" i="9"/>
  <c r="B1251" i="9"/>
  <c r="B1265" i="9"/>
  <c r="B1276" i="9"/>
  <c r="B1290" i="9"/>
  <c r="B1304" i="9"/>
  <c r="B1315" i="9"/>
  <c r="B1329" i="9"/>
  <c r="B1340" i="9"/>
  <c r="B1354" i="9"/>
  <c r="B1368" i="9"/>
  <c r="B1379" i="9"/>
  <c r="B1393" i="9"/>
  <c r="B1404" i="9"/>
  <c r="B1418" i="9"/>
  <c r="B1432" i="9"/>
  <c r="B1443" i="9"/>
  <c r="B1457" i="9"/>
  <c r="B1468" i="9"/>
  <c r="B1482" i="9"/>
  <c r="B1496" i="9"/>
  <c r="B1507" i="9"/>
  <c r="B1521" i="9"/>
  <c r="B1532" i="9"/>
  <c r="B1546" i="9"/>
  <c r="B1560" i="9"/>
  <c r="B1571" i="9"/>
  <c r="B1585" i="9"/>
  <c r="B1596" i="9"/>
  <c r="B1610" i="9"/>
  <c r="B1624" i="9"/>
  <c r="B1635" i="9"/>
  <c r="B1649" i="9"/>
  <c r="B1660" i="9"/>
  <c r="B1674" i="9"/>
  <c r="B1688" i="9"/>
  <c r="B1699" i="9"/>
  <c r="B1713" i="9"/>
  <c r="B1724" i="9"/>
  <c r="B1736" i="9"/>
  <c r="B1746" i="9"/>
  <c r="B1756" i="9"/>
  <c r="B1768" i="9"/>
  <c r="B1778" i="9"/>
  <c r="B1788" i="9"/>
  <c r="B1796" i="9"/>
  <c r="B1804" i="9"/>
  <c r="B1812" i="9"/>
  <c r="B1820" i="9"/>
  <c r="B1828" i="9"/>
  <c r="B1836" i="9"/>
  <c r="B1844" i="9"/>
  <c r="B1852" i="9"/>
  <c r="B1860" i="9"/>
  <c r="B1868" i="9"/>
  <c r="B1876" i="9"/>
  <c r="B1884" i="9"/>
  <c r="B1892" i="9"/>
  <c r="B1900" i="9"/>
  <c r="B1908" i="9"/>
  <c r="B1916" i="9"/>
  <c r="B1924" i="9"/>
  <c r="B1932" i="9"/>
  <c r="B1940" i="9"/>
  <c r="B1948" i="9"/>
  <c r="B1956" i="9"/>
  <c r="B1964" i="9"/>
  <c r="B1972" i="9"/>
  <c r="B1980" i="9"/>
  <c r="B1988" i="9"/>
  <c r="B1996" i="9"/>
  <c r="B2004" i="9"/>
  <c r="B2012" i="9"/>
  <c r="B2020" i="9"/>
  <c r="B2028" i="9"/>
  <c r="B2036" i="9"/>
  <c r="B2044" i="9"/>
  <c r="B2052" i="9"/>
  <c r="B2060" i="9"/>
  <c r="B2068" i="9"/>
  <c r="B2076" i="9"/>
  <c r="B2084" i="9"/>
  <c r="B2092" i="9"/>
  <c r="B2100" i="9"/>
  <c r="B2108" i="9"/>
  <c r="B2116" i="9"/>
  <c r="B2124" i="9"/>
  <c r="B2132" i="9"/>
  <c r="B2140" i="9"/>
  <c r="B2148" i="9"/>
  <c r="B2156" i="9"/>
  <c r="B2164" i="9"/>
  <c r="B2172" i="9"/>
  <c r="B2180" i="9"/>
  <c r="B2188" i="9"/>
  <c r="B2196" i="9"/>
  <c r="B2204" i="9"/>
  <c r="B2212" i="9"/>
  <c r="B2220" i="9"/>
  <c r="B2228" i="9"/>
  <c r="B2236" i="9"/>
  <c r="B2244" i="9"/>
  <c r="B2252" i="9"/>
  <c r="B2260" i="9"/>
  <c r="B2268" i="9"/>
  <c r="B2284" i="9"/>
  <c r="B2300" i="9"/>
  <c r="B17" i="9"/>
  <c r="B45" i="9"/>
  <c r="B71" i="9"/>
  <c r="B97" i="9"/>
  <c r="B125" i="9"/>
  <c r="B151" i="9"/>
  <c r="B182" i="9"/>
  <c r="B205" i="9"/>
  <c r="B236" i="9"/>
  <c r="B257" i="9"/>
  <c r="B288" i="9"/>
  <c r="B319" i="9"/>
  <c r="B342" i="9"/>
  <c r="B373" i="9"/>
  <c r="B396" i="9"/>
  <c r="B425" i="9"/>
  <c r="B456" i="9"/>
  <c r="B479" i="9"/>
  <c r="B510" i="9"/>
  <c r="B533" i="9"/>
  <c r="B564" i="9"/>
  <c r="B593" i="9"/>
  <c r="B616" i="9"/>
  <c r="B647" i="9"/>
  <c r="B670" i="9"/>
  <c r="B695" i="9"/>
  <c r="B715" i="9"/>
  <c r="B735" i="9"/>
  <c r="B755" i="9"/>
  <c r="B775" i="9"/>
  <c r="B795" i="9"/>
  <c r="B818" i="9"/>
  <c r="B835" i="9"/>
  <c r="B857" i="9"/>
  <c r="B868" i="9"/>
  <c r="B882" i="9"/>
  <c r="B896" i="9"/>
  <c r="B907" i="9"/>
  <c r="B921" i="9"/>
  <c r="B932" i="9"/>
  <c r="B946" i="9"/>
  <c r="B960" i="9"/>
  <c r="B971" i="9"/>
  <c r="B985" i="9"/>
  <c r="B996" i="9"/>
  <c r="B1010" i="9"/>
  <c r="B1024" i="9"/>
  <c r="B1035" i="9"/>
  <c r="B1049" i="9"/>
  <c r="B1060" i="9"/>
  <c r="B1074" i="9"/>
  <c r="B1088" i="9"/>
  <c r="B1099" i="9"/>
  <c r="B1113" i="9"/>
  <c r="B1124" i="9"/>
  <c r="B1138" i="9"/>
  <c r="B1152" i="9"/>
  <c r="B1163" i="9"/>
  <c r="B1177" i="9"/>
  <c r="B1188" i="9"/>
  <c r="B1202" i="9"/>
  <c r="B1216" i="9"/>
  <c r="B1227" i="9"/>
  <c r="B1241" i="9"/>
  <c r="B1252" i="9"/>
  <c r="B1266" i="9"/>
  <c r="B1280" i="9"/>
  <c r="B1291" i="9"/>
  <c r="B1305" i="9"/>
  <c r="B1316" i="9"/>
  <c r="B1330" i="9"/>
  <c r="B1344" i="9"/>
  <c r="B1355" i="9"/>
  <c r="B1369" i="9"/>
  <c r="B1380" i="9"/>
  <c r="B1394" i="9"/>
  <c r="B1408" i="9"/>
  <c r="B1419" i="9"/>
  <c r="B1433" i="9"/>
  <c r="B1444" i="9"/>
  <c r="B1458" i="9"/>
  <c r="B1472" i="9"/>
  <c r="B1483" i="9"/>
  <c r="B1497" i="9"/>
  <c r="B1508" i="9"/>
  <c r="B1522" i="9"/>
  <c r="B1536" i="9"/>
  <c r="B1547" i="9"/>
  <c r="B1561" i="9"/>
  <c r="B1572" i="9"/>
  <c r="B1586" i="9"/>
  <c r="B1600" i="9"/>
  <c r="B1611" i="9"/>
  <c r="B1625" i="9"/>
  <c r="B1636" i="9"/>
  <c r="B1650" i="9"/>
  <c r="B1664" i="9"/>
  <c r="B1675" i="9"/>
  <c r="B1689" i="9"/>
  <c r="B1700" i="9"/>
  <c r="B1714" i="9"/>
  <c r="B1726" i="9"/>
  <c r="B1737" i="9"/>
  <c r="B1747" i="9"/>
  <c r="B1758" i="9"/>
  <c r="B1769" i="9"/>
  <c r="B1779" i="9"/>
  <c r="B1789" i="9"/>
  <c r="B1797" i="9"/>
  <c r="B1805" i="9"/>
  <c r="B1813" i="9"/>
  <c r="B1821" i="9"/>
  <c r="B1829" i="9"/>
  <c r="B1837" i="9"/>
  <c r="B1845" i="9"/>
  <c r="B1853" i="9"/>
  <c r="B1861" i="9"/>
  <c r="B1869" i="9"/>
  <c r="B1877" i="9"/>
  <c r="B1885" i="9"/>
  <c r="B1893" i="9"/>
  <c r="B1901" i="9"/>
  <c r="B1909" i="9"/>
  <c r="B1917" i="9"/>
  <c r="B1925" i="9"/>
  <c r="B1933" i="9"/>
  <c r="B1941" i="9"/>
  <c r="B1949" i="9"/>
  <c r="B1957" i="9"/>
  <c r="B1965" i="9"/>
  <c r="B1973" i="9"/>
  <c r="B1981" i="9"/>
  <c r="B1989" i="9"/>
  <c r="B1997" i="9"/>
  <c r="B2005" i="9"/>
  <c r="B2013" i="9"/>
  <c r="B2021" i="9"/>
  <c r="B2029" i="9"/>
  <c r="B2037" i="9"/>
  <c r="B2045" i="9"/>
  <c r="B2053" i="9"/>
  <c r="B2061" i="9"/>
  <c r="B2069" i="9"/>
  <c r="B2077" i="9"/>
  <c r="B2085" i="9"/>
  <c r="B2093" i="9"/>
  <c r="B2101" i="9"/>
  <c r="B2109" i="9"/>
  <c r="B2117" i="9"/>
  <c r="B2125" i="9"/>
  <c r="B2133" i="9"/>
  <c r="B2141" i="9"/>
  <c r="B2149" i="9"/>
  <c r="B2157" i="9"/>
  <c r="B2165" i="9"/>
  <c r="B2173" i="9"/>
  <c r="B2181" i="9"/>
  <c r="B2189" i="9"/>
  <c r="B2197" i="9"/>
  <c r="B2205" i="9"/>
  <c r="B2213" i="9"/>
  <c r="B2221" i="9"/>
  <c r="B2229" i="9"/>
  <c r="B2237" i="9"/>
  <c r="B2245" i="9"/>
  <c r="B2253" i="9"/>
  <c r="B2261" i="9"/>
  <c r="B2269" i="9"/>
  <c r="B2277" i="9"/>
  <c r="B2285" i="9"/>
  <c r="B20" i="9"/>
  <c r="B49" i="9"/>
  <c r="B72" i="9"/>
  <c r="B103" i="9"/>
  <c r="B129" i="9"/>
  <c r="B157" i="9"/>
  <c r="B183" i="9"/>
  <c r="B209" i="9"/>
  <c r="B237" i="9"/>
  <c r="B268" i="9"/>
  <c r="B289" i="9"/>
  <c r="B320" i="9"/>
  <c r="B343" i="9"/>
  <c r="B374" i="9"/>
  <c r="B405" i="9"/>
  <c r="B428" i="9"/>
  <c r="B457" i="9"/>
  <c r="B480" i="9"/>
  <c r="B511" i="9"/>
  <c r="B542" i="9"/>
  <c r="B565" i="9"/>
  <c r="B596" i="9"/>
  <c r="B617" i="9"/>
  <c r="B648" i="9"/>
  <c r="B679" i="9"/>
  <c r="B696" i="9"/>
  <c r="B719" i="9"/>
  <c r="B736" i="9"/>
  <c r="B759" i="9"/>
  <c r="B779" i="9"/>
  <c r="B799" i="9"/>
  <c r="B819" i="9"/>
  <c r="B839" i="9"/>
  <c r="B858" i="9"/>
  <c r="B872" i="9"/>
  <c r="B883" i="9"/>
  <c r="B897" i="9"/>
  <c r="B908" i="9"/>
  <c r="B922" i="9"/>
  <c r="B936" i="9"/>
  <c r="B947" i="9"/>
  <c r="B961" i="9"/>
  <c r="B972" i="9"/>
  <c r="B986" i="9"/>
  <c r="B1000" i="9"/>
  <c r="B1011" i="9"/>
  <c r="B1025" i="9"/>
  <c r="B1036" i="9"/>
  <c r="B1050" i="9"/>
  <c r="B1064" i="9"/>
  <c r="B1075" i="9"/>
  <c r="B1089" i="9"/>
  <c r="B1100" i="9"/>
  <c r="B1114" i="9"/>
  <c r="B1128" i="9"/>
  <c r="B1139" i="9"/>
  <c r="B1153" i="9"/>
  <c r="B1164" i="9"/>
  <c r="B1178" i="9"/>
  <c r="B1192" i="9"/>
  <c r="B1203" i="9"/>
  <c r="B1217" i="9"/>
  <c r="B1228" i="9"/>
  <c r="B1242" i="9"/>
  <c r="B1256" i="9"/>
  <c r="B1267" i="9"/>
  <c r="B1281" i="9"/>
  <c r="B1292" i="9"/>
  <c r="B1306" i="9"/>
  <c r="B1320" i="9"/>
  <c r="B1331" i="9"/>
  <c r="B1345" i="9"/>
  <c r="B1356" i="9"/>
  <c r="B1370" i="9"/>
  <c r="B1384" i="9"/>
  <c r="B1395" i="9"/>
  <c r="B1409" i="9"/>
  <c r="B1420" i="9"/>
  <c r="B2329" i="9"/>
  <c r="B2320" i="9"/>
  <c r="B2311" i="9"/>
  <c r="B2301" i="9"/>
  <c r="B2289" i="9"/>
  <c r="B2278" i="9"/>
  <c r="B2264" i="9"/>
  <c r="B2250" i="9"/>
  <c r="B2239" i="9"/>
  <c r="B2225" i="9"/>
  <c r="B2214" i="9"/>
  <c r="B2200" i="9"/>
  <c r="B2186" i="9"/>
  <c r="B2175" i="9"/>
  <c r="B2161" i="9"/>
  <c r="B2150" i="9"/>
  <c r="B2136" i="9"/>
  <c r="B2122" i="9"/>
  <c r="B2111" i="9"/>
  <c r="B2097" i="9"/>
  <c r="B2086" i="9"/>
  <c r="B2072" i="9"/>
  <c r="B2058" i="9"/>
  <c r="B2047" i="9"/>
  <c r="B2033" i="9"/>
  <c r="B2022" i="9"/>
  <c r="B2008" i="9"/>
  <c r="B1994" i="9"/>
  <c r="B1983" i="9"/>
  <c r="B1969" i="9"/>
  <c r="B1958" i="9"/>
  <c r="B1944" i="9"/>
  <c r="B1930" i="9"/>
  <c r="B1919" i="9"/>
  <c r="B1905" i="9"/>
  <c r="B1894" i="9"/>
  <c r="B1880" i="9"/>
  <c r="B1866" i="9"/>
  <c r="B1855" i="9"/>
  <c r="B1841" i="9"/>
  <c r="B1830" i="9"/>
  <c r="B1816" i="9"/>
  <c r="B1802" i="9"/>
  <c r="B1791" i="9"/>
  <c r="B1774" i="9"/>
  <c r="B1760" i="9"/>
  <c r="B1740" i="9"/>
  <c r="B1722" i="9"/>
  <c r="B1705" i="9"/>
  <c r="B1682" i="9"/>
  <c r="B1665" i="9"/>
  <c r="B1642" i="9"/>
  <c r="B1619" i="9"/>
  <c r="B1602" i="9"/>
  <c r="B1579" i="9"/>
  <c r="B1562" i="9"/>
  <c r="B1539" i="9"/>
  <c r="B1516" i="9"/>
  <c r="B1499" i="9"/>
  <c r="B1476" i="9"/>
  <c r="B1459" i="9"/>
  <c r="B1436" i="9"/>
  <c r="B1412" i="9"/>
  <c r="B1387" i="9"/>
  <c r="B1362" i="9"/>
  <c r="B1337" i="9"/>
  <c r="B1312" i="9"/>
  <c r="B1284" i="9"/>
  <c r="B1259" i="9"/>
  <c r="B1234" i="9"/>
  <c r="B1209" i="9"/>
  <c r="B1184" i="9"/>
  <c r="B1156" i="9"/>
  <c r="B1131" i="9"/>
  <c r="B1106" i="9"/>
  <c r="B1081" i="9"/>
  <c r="B1056" i="9"/>
  <c r="B1028" i="9"/>
  <c r="B1003" i="9"/>
  <c r="B978" i="9"/>
  <c r="B953" i="9"/>
  <c r="B928" i="9"/>
  <c r="B900" i="9"/>
  <c r="B875" i="9"/>
  <c r="B848" i="9"/>
  <c r="B808" i="9"/>
  <c r="B768" i="9"/>
  <c r="B722" i="9"/>
  <c r="B682" i="9"/>
  <c r="B630" i="9"/>
  <c r="B576" i="9"/>
  <c r="B524" i="9"/>
  <c r="B465" i="9"/>
  <c r="B413" i="9"/>
  <c r="B359" i="9"/>
  <c r="B305" i="9"/>
  <c r="B253" i="9"/>
  <c r="B191" i="9"/>
  <c r="B137" i="9"/>
  <c r="B85" i="9"/>
  <c r="B31" i="9"/>
  <c r="B2113" i="9"/>
  <c r="B2074" i="9"/>
  <c r="B2049" i="9"/>
  <c r="B2024" i="9"/>
  <c r="B1985" i="9"/>
  <c r="B1946" i="9"/>
  <c r="B1910" i="9"/>
  <c r="B1871" i="9"/>
  <c r="B1832" i="9"/>
  <c r="B1793" i="9"/>
  <c r="B1744" i="9"/>
  <c r="B1690" i="9"/>
  <c r="B1604" i="9"/>
  <c r="B1544" i="9"/>
  <c r="B1484" i="9"/>
  <c r="B1424" i="9"/>
  <c r="B1346" i="9"/>
  <c r="B1268" i="9"/>
  <c r="B1218" i="9"/>
  <c r="B1115" i="9"/>
  <c r="B1040" i="9"/>
  <c r="B962" i="9"/>
  <c r="B912" i="9"/>
  <c r="B823" i="9"/>
  <c r="B697" i="9"/>
  <c r="B489" i="9"/>
  <c r="B375" i="9"/>
  <c r="B215" i="9"/>
  <c r="B52" i="9"/>
  <c r="B2312" i="9"/>
  <c r="B2279" i="9"/>
  <c r="B2240" i="9"/>
  <c r="B2215" i="9"/>
  <c r="B2190" i="9"/>
  <c r="B2162" i="9"/>
  <c r="B2137" i="9"/>
  <c r="B2112" i="9"/>
  <c r="B2087" i="9"/>
  <c r="B2048" i="9"/>
  <c r="B2009" i="9"/>
  <c r="B1984" i="9"/>
  <c r="B1959" i="9"/>
  <c r="B1934" i="9"/>
  <c r="B1895" i="9"/>
  <c r="B1881" i="9"/>
  <c r="B1856" i="9"/>
  <c r="B1831" i="9"/>
  <c r="B1806" i="9"/>
  <c r="B1776" i="9"/>
  <c r="B1742" i="9"/>
  <c r="B1706" i="9"/>
  <c r="B1643" i="9"/>
  <c r="B1603" i="9"/>
  <c r="B1563" i="9"/>
  <c r="B1523" i="9"/>
  <c r="B1480" i="9"/>
  <c r="B1440" i="9"/>
  <c r="B1388" i="9"/>
  <c r="B1338" i="9"/>
  <c r="B1288" i="9"/>
  <c r="B1235" i="9"/>
  <c r="B1185" i="9"/>
  <c r="B1132" i="9"/>
  <c r="B1082" i="9"/>
  <c r="B1032" i="9"/>
  <c r="B979" i="9"/>
  <c r="B929" i="9"/>
  <c r="B876" i="9"/>
  <c r="B809" i="9"/>
  <c r="B769" i="9"/>
  <c r="B683" i="9"/>
  <c r="B577" i="9"/>
  <c r="B471" i="9"/>
  <c r="B360" i="9"/>
  <c r="B254" i="9"/>
  <c r="B86" i="9"/>
  <c r="B2310" i="9"/>
  <c r="B2274" i="9"/>
  <c r="B2249" i="9"/>
  <c r="B2224" i="9"/>
  <c r="B2199" i="9"/>
  <c r="B2174" i="9"/>
  <c r="B2160" i="9"/>
  <c r="B2146" i="9"/>
  <c r="B2135" i="9"/>
  <c r="B2121" i="9"/>
  <c r="B2110" i="9"/>
  <c r="B2096" i="9"/>
  <c r="B2082" i="9"/>
  <c r="B2071" i="9"/>
  <c r="B2057" i="9"/>
  <c r="B2046" i="9"/>
  <c r="B2032" i="9"/>
  <c r="B2018" i="9"/>
  <c r="B2007" i="9"/>
  <c r="B1993" i="9"/>
  <c r="B1982" i="9"/>
  <c r="B1968" i="9"/>
  <c r="B1954" i="9"/>
  <c r="B1943" i="9"/>
  <c r="B1929" i="9"/>
  <c r="B1918" i="9"/>
  <c r="B1904" i="9"/>
  <c r="B1890" i="9"/>
  <c r="B1879" i="9"/>
  <c r="B1865" i="9"/>
  <c r="B1854" i="9"/>
  <c r="B1840" i="9"/>
  <c r="B1826" i="9"/>
  <c r="B1815" i="9"/>
  <c r="B1801" i="9"/>
  <c r="B1790" i="9"/>
  <c r="B1772" i="9"/>
  <c r="B1754" i="9"/>
  <c r="B1739" i="9"/>
  <c r="B1721" i="9"/>
  <c r="B1704" i="9"/>
  <c r="B1681" i="9"/>
  <c r="B1658" i="9"/>
  <c r="B1641" i="9"/>
  <c r="B1618" i="9"/>
  <c r="B1601" i="9"/>
  <c r="B1578" i="9"/>
  <c r="B1555" i="9"/>
  <c r="B1538" i="9"/>
  <c r="B1515" i="9"/>
  <c r="B1498" i="9"/>
  <c r="B1475" i="9"/>
  <c r="B1452" i="9"/>
  <c r="B1435" i="9"/>
  <c r="B1411" i="9"/>
  <c r="B1386" i="9"/>
  <c r="B1361" i="9"/>
  <c r="B1336" i="9"/>
  <c r="B1308" i="9"/>
  <c r="B1283" i="9"/>
  <c r="B1258" i="9"/>
  <c r="B1233" i="9"/>
  <c r="B1208" i="9"/>
  <c r="B1180" i="9"/>
  <c r="B1155" i="9"/>
  <c r="B1130" i="9"/>
  <c r="B1105" i="9"/>
  <c r="B1080" i="9"/>
  <c r="B1052" i="9"/>
  <c r="B1027" i="9"/>
  <c r="B1002" i="9"/>
  <c r="B977" i="9"/>
  <c r="B952" i="9"/>
  <c r="B924" i="9"/>
  <c r="B899" i="9"/>
  <c r="B874" i="9"/>
  <c r="B847" i="9"/>
  <c r="B807" i="9"/>
  <c r="B761" i="9"/>
  <c r="B721" i="9"/>
  <c r="B681" i="9"/>
  <c r="B629" i="9"/>
  <c r="B575" i="9"/>
  <c r="B513" i="9"/>
  <c r="B461" i="9"/>
  <c r="B407" i="9"/>
  <c r="B353" i="9"/>
  <c r="B301" i="9"/>
  <c r="B244" i="9"/>
  <c r="B190" i="9"/>
  <c r="B136" i="9"/>
  <c r="B84" i="9"/>
  <c r="B30" i="9"/>
  <c r="B2138" i="9"/>
  <c r="B2102" i="9"/>
  <c r="B2063" i="9"/>
  <c r="B2010" i="9"/>
  <c r="B1960" i="9"/>
  <c r="B1921" i="9"/>
  <c r="B1882" i="9"/>
  <c r="B1846" i="9"/>
  <c r="B1807" i="9"/>
  <c r="B1762" i="9"/>
  <c r="B1707" i="9"/>
  <c r="B1644" i="9"/>
  <c r="B1587" i="9"/>
  <c r="B1524" i="9"/>
  <c r="B1464" i="9"/>
  <c r="B1396" i="9"/>
  <c r="B1321" i="9"/>
  <c r="B1243" i="9"/>
  <c r="B1168" i="9"/>
  <c r="B1090" i="9"/>
  <c r="B1012" i="9"/>
  <c r="B937" i="9"/>
  <c r="B859" i="9"/>
  <c r="B743" i="9"/>
  <c r="B543" i="9"/>
  <c r="B321" i="9"/>
  <c r="B104" i="9"/>
  <c r="B2330" i="9"/>
  <c r="B2302" i="9"/>
  <c r="B2290" i="9"/>
  <c r="B2254" i="9"/>
  <c r="B2226" i="9"/>
  <c r="B2201" i="9"/>
  <c r="B2176" i="9"/>
  <c r="B2151" i="9"/>
  <c r="B2126" i="9"/>
  <c r="B2098" i="9"/>
  <c r="B2073" i="9"/>
  <c r="B2062" i="9"/>
  <c r="B2023" i="9"/>
  <c r="B1998" i="9"/>
  <c r="B1970" i="9"/>
  <c r="B1945" i="9"/>
  <c r="B1920" i="9"/>
  <c r="B1906" i="9"/>
  <c r="B1870" i="9"/>
  <c r="B1842" i="9"/>
  <c r="B1817" i="9"/>
  <c r="B1792" i="9"/>
  <c r="B1761" i="9"/>
  <c r="B1728" i="9"/>
  <c r="B1683" i="9"/>
  <c r="B1666" i="9"/>
  <c r="B1626" i="9"/>
  <c r="B1580" i="9"/>
  <c r="B1540" i="9"/>
  <c r="B1500" i="9"/>
  <c r="B1460" i="9"/>
  <c r="B1416" i="9"/>
  <c r="B1363" i="9"/>
  <c r="B1313" i="9"/>
  <c r="B1260" i="9"/>
  <c r="B1210" i="9"/>
  <c r="B1160" i="9"/>
  <c r="B1107" i="9"/>
  <c r="B1057" i="9"/>
  <c r="B1004" i="9"/>
  <c r="B954" i="9"/>
  <c r="B904" i="9"/>
  <c r="B849" i="9"/>
  <c r="B729" i="9"/>
  <c r="B631" i="9"/>
  <c r="B525" i="9"/>
  <c r="B414" i="9"/>
  <c r="B308" i="9"/>
  <c r="B200" i="9"/>
  <c r="B140" i="9"/>
  <c r="B32" i="9"/>
  <c r="B2328" i="9"/>
  <c r="B2319" i="9"/>
  <c r="B2298" i="9"/>
  <c r="B2288" i="9"/>
  <c r="B2263" i="9"/>
  <c r="B2238" i="9"/>
  <c r="B2210" i="9"/>
  <c r="B2185" i="9"/>
  <c r="B2336" i="9"/>
  <c r="B2327" i="9"/>
  <c r="B2318" i="9"/>
  <c r="B2309" i="9"/>
  <c r="B2297" i="9"/>
  <c r="B2287" i="9"/>
  <c r="B2273" i="9"/>
  <c r="B2262" i="9"/>
  <c r="B2248" i="9"/>
  <c r="B2234" i="9"/>
  <c r="B2223" i="9"/>
  <c r="B2209" i="9"/>
  <c r="B2198" i="9"/>
  <c r="B2184" i="9"/>
  <c r="B2170" i="9"/>
  <c r="B2159" i="9"/>
  <c r="B2145" i="9"/>
  <c r="B2134" i="9"/>
  <c r="B2120" i="9"/>
  <c r="B2106" i="9"/>
  <c r="B2095" i="9"/>
  <c r="B2081" i="9"/>
  <c r="B2070" i="9"/>
  <c r="B2056" i="9"/>
  <c r="B2042" i="9"/>
  <c r="B2031" i="9"/>
  <c r="B2017" i="9"/>
  <c r="B2006" i="9"/>
  <c r="B1992" i="9"/>
  <c r="B1978" i="9"/>
  <c r="B1967" i="9"/>
  <c r="B1953" i="9"/>
  <c r="B1942" i="9"/>
  <c r="B1928" i="9"/>
  <c r="B1914" i="9"/>
  <c r="B1903" i="9"/>
  <c r="B1889" i="9"/>
  <c r="B1878" i="9"/>
  <c r="B1864" i="9"/>
  <c r="B1850" i="9"/>
  <c r="B1839" i="9"/>
  <c r="B1825" i="9"/>
  <c r="B1814" i="9"/>
  <c r="B1800" i="9"/>
  <c r="B1786" i="9"/>
  <c r="B1771" i="9"/>
  <c r="B1753" i="9"/>
  <c r="B1738" i="9"/>
  <c r="B1720" i="9"/>
  <c r="B1697" i="9"/>
  <c r="B1680" i="9"/>
  <c r="B1657" i="9"/>
  <c r="B1640" i="9"/>
  <c r="B1617" i="9"/>
  <c r="B1594" i="9"/>
  <c r="B1577" i="9"/>
  <c r="B1554" i="9"/>
  <c r="B1537" i="9"/>
  <c r="B1514" i="9"/>
  <c r="B1491" i="9"/>
  <c r="B1474" i="9"/>
  <c r="B1451" i="9"/>
  <c r="B1434" i="9"/>
  <c r="B1410" i="9"/>
  <c r="B1385" i="9"/>
  <c r="B1360" i="9"/>
  <c r="B1332" i="9"/>
  <c r="B1307" i="9"/>
  <c r="B1282" i="9"/>
  <c r="B1257" i="9"/>
  <c r="B1232" i="9"/>
  <c r="B1204" i="9"/>
  <c r="B1179" i="9"/>
  <c r="B1154" i="9"/>
  <c r="B1129" i="9"/>
  <c r="B1104" i="9"/>
  <c r="B1076" i="9"/>
  <c r="B1051" i="9"/>
  <c r="B1026" i="9"/>
  <c r="B1001" i="9"/>
  <c r="B976" i="9"/>
  <c r="B948" i="9"/>
  <c r="B923" i="9"/>
  <c r="B898" i="9"/>
  <c r="B873" i="9"/>
  <c r="B843" i="9"/>
  <c r="B800" i="9"/>
  <c r="B760" i="9"/>
  <c r="B720" i="9"/>
  <c r="B680" i="9"/>
  <c r="B628" i="9"/>
  <c r="B566" i="9"/>
  <c r="B512" i="9"/>
  <c r="B460" i="9"/>
  <c r="B406" i="9"/>
  <c r="B352" i="9"/>
  <c r="B295" i="9"/>
  <c r="B241" i="9"/>
  <c r="B189" i="9"/>
  <c r="B135" i="9"/>
  <c r="B81" i="9"/>
  <c r="B21" i="9"/>
  <c r="K2" i="9" l="1"/>
  <c r="J2" i="9"/>
  <c r="I2" i="9"/>
  <c r="G2" i="9"/>
  <c r="H2" i="9"/>
  <c r="E2" i="9"/>
  <c r="F2" i="9"/>
  <c r="D2" i="9"/>
  <c r="C2" i="9"/>
  <c r="B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E5F6BB-A679-48E8-9407-0ED44AD2E578}" keepAlive="1" name="Query - Customer Names" description="Connection to the 'Customer Names' query in the workbook." type="5" refreshedVersion="8" background="1" saveData="1">
    <dbPr connection="Provider=Microsoft.Mashup.OleDb.1;Data Source=$Workbook$;Location=&quot;Customer Names&quot;;Extended Properties=&quot;&quot;" command="SELECT * FROM [Customer Names]"/>
  </connection>
  <connection id="2" xr16:uid="{91F28F13-E2E3-4029-9056-EB81129A9D30}" keepAlive="1" name="Query - Hospitalisation Details (2)" description="Connection to the 'Hospitalisation Details (2)' query in the workbook." type="5" refreshedVersion="8" background="1" saveData="1">
    <dbPr connection="Provider=Microsoft.Mashup.OleDb.1;Data Source=$Workbook$;Location=&quot;Hospitalisation Details (2)&quot;;Extended Properties=&quot;&quot;" command="SELECT * FROM [Hospitalisation Details (2)]"/>
  </connection>
  <connection id="3" xr16:uid="{CA4E30F3-4A51-48C3-B292-99577877FD6A}" keepAlive="1" name="Query - Medical Examinations" description="Connection to the 'Medical Examinations' query in the workbook." type="5" refreshedVersion="8" background="1" saveData="1">
    <dbPr connection="Provider=Microsoft.Mashup.OleDb.1;Data Source=$Workbook$;Location=&quot;Medical Examinations&quot;;Extended Properties=&quot;&quot;" command="SELECT * FROM [Medical Examination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<sst xmlns="http://schemas.openxmlformats.org/spreadsheetml/2006/main" count="61845" uniqueCount="8387">
  <si>
    <t>Customer ID</t>
  </si>
  <si>
    <t>children</t>
  </si>
  <si>
    <t>charges</t>
  </si>
  <si>
    <t>Hospital tier</t>
  </si>
  <si>
    <t>City tier</t>
  </si>
  <si>
    <t>State ID</t>
  </si>
  <si>
    <t>Id2335</t>
  </si>
  <si>
    <t>tier - 2</t>
  </si>
  <si>
    <t>tier - 3</t>
  </si>
  <si>
    <t>R1013</t>
  </si>
  <si>
    <t>Id2334</t>
  </si>
  <si>
    <t>tier - 1</t>
  </si>
  <si>
    <t>Id2333</t>
  </si>
  <si>
    <t>Id2332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</si>
  <si>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</si>
  <si>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</si>
  <si>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</si>
  <si>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</si>
  <si>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</si>
  <si>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</si>
  <si>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</si>
  <si>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</si>
  <si>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</si>
  <si>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?</t>
  </si>
  <si>
    <t>Id2323</t>
  </si>
  <si>
    <t>Id2322</t>
  </si>
  <si>
    <t>Id2321</t>
  </si>
  <si>
    <t>Id2320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</si>
  <si>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</si>
  <si>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</si>
  <si>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</si>
  <si>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</si>
  <si>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</si>
  <si>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</si>
  <si>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</si>
  <si>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</si>
  <si>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</si>
  <si>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</si>
  <si>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</si>
  <si>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</si>
  <si>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</si>
  <si>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</si>
  <si>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</si>
  <si>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</si>
  <si>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</si>
  <si>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</si>
  <si>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</si>
  <si>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</si>
  <si>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</si>
  <si>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</si>
  <si>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</si>
  <si>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</si>
  <si>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</si>
  <si>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</si>
  <si>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</si>
  <si>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</si>
  <si>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</si>
  <si>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</si>
  <si>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</si>
  <si>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</si>
  <si>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</si>
  <si>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</si>
  <si>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</si>
  <si>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</si>
  <si>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</si>
  <si>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</si>
  <si>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</si>
  <si>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</si>
  <si>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</si>
  <si>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</si>
  <si>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</si>
  <si>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</si>
  <si>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</si>
  <si>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</si>
  <si>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</si>
  <si>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</si>
  <si>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</si>
  <si>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</si>
  <si>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</si>
  <si>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</si>
  <si>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</si>
  <si>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</si>
  <si>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</si>
  <si>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</si>
  <si>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</si>
  <si>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</si>
  <si>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</si>
  <si>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</si>
  <si>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</si>
  <si>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</si>
  <si>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</si>
  <si>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</si>
  <si>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</si>
  <si>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</si>
  <si>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</si>
  <si>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</si>
  <si>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</si>
  <si>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</si>
  <si>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</si>
  <si>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</si>
  <si>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</si>
  <si>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</si>
  <si>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</si>
  <si>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</si>
  <si>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</si>
  <si>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</si>
  <si>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</si>
  <si>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</si>
  <si>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</si>
  <si>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</si>
  <si>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</si>
  <si>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</si>
  <si>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</si>
  <si>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</si>
  <si>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</si>
  <si>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</si>
  <si>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</si>
  <si>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</si>
  <si>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</si>
  <si>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</si>
  <si>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</si>
  <si>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</si>
  <si>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</si>
  <si>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</si>
  <si>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</si>
  <si>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</si>
  <si>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</si>
  <si>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</si>
  <si>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</si>
  <si>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</si>
  <si>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</si>
  <si>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</si>
  <si>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</si>
  <si>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</si>
  <si>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</si>
  <si>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</si>
  <si>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</si>
  <si>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</si>
  <si>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</si>
  <si>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</si>
  <si>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</si>
  <si>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</si>
  <si>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</si>
  <si>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</si>
  <si>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</si>
  <si>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</si>
  <si>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</si>
  <si>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</si>
  <si>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</si>
  <si>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</si>
  <si>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</si>
  <si>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</si>
  <si>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</si>
  <si>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</si>
  <si>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</si>
  <si>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</si>
  <si>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</si>
  <si>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</si>
  <si>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</si>
  <si>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</si>
  <si>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</si>
  <si>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</si>
  <si>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</si>
  <si>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</si>
  <si>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</si>
  <si>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</si>
  <si>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</si>
  <si>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</si>
  <si>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</si>
  <si>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</si>
  <si>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</si>
  <si>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</si>
  <si>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</si>
  <si>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</si>
  <si>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</si>
  <si>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</si>
  <si>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</si>
  <si>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</si>
  <si>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</si>
  <si>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</si>
  <si>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</si>
  <si>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</si>
  <si>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</si>
  <si>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</si>
  <si>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</si>
  <si>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</si>
  <si>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</si>
  <si>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</si>
  <si>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</si>
  <si>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</si>
  <si>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</si>
  <si>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</si>
  <si>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</si>
  <si>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</si>
  <si>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</si>
  <si>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</si>
  <si>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</si>
  <si>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</si>
  <si>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</si>
  <si>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</si>
  <si>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</si>
  <si>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</si>
  <si>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</si>
  <si>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</si>
  <si>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</si>
  <si>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</si>
  <si>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</si>
  <si>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</si>
  <si>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</si>
  <si>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</si>
  <si>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</si>
  <si>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</si>
  <si>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</si>
  <si>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</si>
  <si>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</si>
  <si>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</si>
  <si>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</si>
  <si>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</si>
  <si>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</si>
  <si>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</si>
  <si>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</si>
  <si>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</si>
  <si>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</si>
  <si>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</si>
  <si>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</si>
  <si>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</si>
  <si>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</si>
  <si>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</si>
  <si>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</si>
  <si>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</si>
  <si>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</si>
  <si>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</si>
  <si>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</si>
  <si>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</si>
  <si>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</si>
  <si>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</si>
  <si>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</si>
  <si>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</si>
  <si>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</si>
  <si>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</si>
  <si>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</si>
  <si>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</si>
  <si>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</si>
  <si>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</si>
  <si>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</si>
  <si>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</si>
  <si>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</si>
  <si>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</si>
  <si>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</si>
  <si>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</si>
  <si>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</si>
  <si>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</si>
  <si>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</si>
  <si>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</si>
  <si>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</si>
  <si>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</si>
  <si>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</si>
  <si>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</si>
  <si>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</si>
  <si>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</si>
  <si>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</si>
  <si>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</si>
  <si>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</si>
  <si>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</si>
  <si>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</si>
  <si>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</si>
  <si>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</si>
  <si>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</si>
  <si>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</si>
  <si>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</si>
  <si>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</si>
  <si>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</si>
  <si>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</si>
  <si>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</si>
  <si>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</si>
  <si>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</si>
  <si>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</si>
  <si>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</si>
  <si>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</si>
  <si>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</si>
  <si>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</si>
  <si>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</si>
  <si>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</si>
  <si>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</si>
  <si>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</si>
  <si>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</si>
  <si>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</si>
  <si>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</si>
  <si>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</si>
  <si>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</si>
  <si>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</si>
  <si>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</si>
  <si>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</si>
  <si>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</si>
  <si>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</si>
  <si>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</si>
  <si>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</si>
  <si>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</si>
  <si>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</si>
  <si>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</si>
  <si>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</si>
  <si>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</si>
  <si>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</si>
  <si>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</si>
  <si>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</si>
  <si>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</si>
  <si>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</si>
  <si>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</si>
  <si>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</si>
  <si>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</si>
  <si>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</si>
  <si>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</si>
  <si>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</si>
  <si>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</si>
  <si>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</si>
  <si>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</si>
  <si>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</si>
  <si>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</si>
  <si>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</si>
  <si>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</si>
  <si>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</si>
  <si>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</si>
  <si>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</si>
  <si>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</si>
  <si>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</si>
  <si>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</si>
  <si>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</si>
  <si>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</si>
  <si>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</si>
  <si>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</si>
  <si>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</si>
  <si>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</si>
  <si>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</si>
  <si>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</si>
  <si>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</si>
  <si>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</si>
  <si>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</si>
  <si>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</si>
  <si>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</si>
  <si>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</si>
  <si>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</si>
  <si>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</si>
  <si>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</si>
  <si>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</si>
  <si>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</si>
  <si>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</si>
  <si>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</si>
  <si>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</si>
  <si>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</si>
  <si>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</si>
  <si>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</si>
  <si>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</si>
  <si>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</si>
  <si>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</si>
  <si>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</si>
  <si>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</si>
  <si>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</si>
  <si>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</si>
  <si>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</si>
  <si>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</si>
  <si>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</si>
  <si>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</si>
  <si>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</si>
  <si>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</si>
  <si>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</si>
  <si>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</si>
  <si>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</si>
  <si>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</si>
  <si>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</si>
  <si>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</si>
  <si>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</si>
  <si>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</si>
  <si>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</si>
  <si>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</si>
  <si>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</si>
  <si>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</si>
  <si>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</si>
  <si>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</si>
  <si>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</si>
  <si>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</si>
  <si>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</si>
  <si>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</si>
  <si>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</si>
  <si>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</si>
  <si>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</si>
  <si>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</si>
  <si>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</si>
  <si>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</si>
  <si>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</si>
  <si>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</si>
  <si>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</si>
  <si>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</si>
  <si>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</si>
  <si>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</si>
  <si>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</si>
  <si>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</si>
  <si>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</si>
  <si>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</si>
  <si>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</si>
  <si>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</si>
  <si>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</si>
  <si>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</si>
  <si>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</si>
  <si>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</si>
  <si>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</si>
  <si>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</si>
  <si>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</si>
  <si>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</si>
  <si>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</si>
  <si>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</si>
  <si>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</si>
  <si>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</si>
  <si>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</si>
  <si>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</si>
  <si>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</si>
  <si>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</si>
  <si>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</si>
  <si>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</si>
  <si>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</si>
  <si>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</si>
  <si>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</si>
  <si>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</si>
  <si>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</si>
  <si>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</si>
  <si>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</si>
  <si>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</si>
  <si>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</si>
  <si>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</si>
  <si>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</si>
  <si>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</si>
  <si>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</si>
  <si>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</si>
  <si>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</si>
  <si>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</si>
  <si>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</si>
  <si>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</si>
  <si>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</si>
  <si>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</si>
  <si>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</si>
  <si>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</si>
  <si>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</si>
  <si>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</si>
  <si>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</si>
  <si>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</si>
  <si>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</si>
  <si>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</si>
  <si>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</si>
  <si>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</si>
  <si>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</si>
  <si>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</si>
  <si>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</si>
  <si>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</si>
  <si>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</si>
  <si>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</si>
  <si>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</si>
  <si>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</si>
  <si>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</si>
  <si>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</si>
  <si>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</si>
  <si>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</si>
  <si>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</si>
  <si>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</si>
  <si>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</si>
  <si>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</si>
  <si>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</si>
  <si>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</si>
  <si>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</si>
  <si>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</si>
  <si>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</si>
  <si>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</si>
  <si>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</si>
  <si>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</si>
  <si>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</si>
  <si>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</si>
  <si>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</si>
  <si>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</si>
  <si>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</si>
  <si>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</si>
  <si>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</si>
  <si>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</si>
  <si>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</si>
  <si>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</si>
  <si>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</si>
  <si>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</si>
  <si>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</si>
  <si>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</si>
  <si>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</si>
  <si>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</si>
  <si>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</si>
  <si>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</si>
  <si>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</si>
  <si>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</si>
  <si>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</si>
  <si>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</si>
  <si>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</si>
  <si>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</si>
  <si>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</si>
  <si>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</si>
  <si>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</si>
  <si>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</si>
  <si>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</si>
  <si>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</si>
  <si>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</si>
  <si>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</si>
  <si>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</si>
  <si>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</si>
  <si>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</si>
  <si>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</si>
  <si>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</si>
  <si>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</si>
  <si>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</si>
  <si>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</si>
  <si>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</si>
  <si>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</si>
  <si>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</si>
  <si>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</si>
  <si>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</si>
  <si>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</si>
  <si>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</si>
  <si>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</si>
  <si>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</si>
  <si>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</si>
  <si>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</si>
  <si>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</si>
  <si>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</si>
  <si>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</si>
  <si>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</si>
  <si>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</si>
  <si>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</si>
  <si>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</si>
  <si>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</si>
  <si>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</si>
  <si>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</si>
  <si>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</si>
  <si>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</si>
  <si>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</si>
  <si>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</si>
  <si>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</si>
  <si>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</si>
  <si>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</si>
  <si>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</si>
  <si>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</si>
  <si>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</si>
  <si>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</si>
  <si>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</si>
  <si>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</si>
  <si>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</si>
  <si>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</si>
  <si>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</si>
  <si>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</si>
  <si>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</si>
  <si>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</si>
  <si>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</si>
  <si>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</si>
  <si>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</si>
  <si>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</si>
  <si>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</si>
  <si>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</si>
  <si>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</si>
  <si>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</si>
  <si>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</si>
  <si>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</si>
  <si>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</si>
  <si>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</si>
  <si>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</si>
  <si>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</si>
  <si>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</si>
  <si>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</si>
  <si>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</si>
  <si>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</si>
  <si>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</si>
  <si>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</si>
  <si>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</si>
  <si>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</si>
  <si>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</si>
  <si>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</si>
  <si>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</si>
  <si>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</si>
  <si>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</si>
  <si>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</si>
  <si>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</si>
  <si>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</si>
  <si>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</si>
  <si>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</si>
  <si>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</si>
  <si>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</si>
  <si>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</si>
  <si>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</si>
  <si>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</si>
  <si>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</si>
  <si>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</si>
  <si>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</si>
  <si>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</si>
  <si>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</si>
  <si>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</si>
  <si>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</si>
  <si>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</si>
  <si>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</si>
  <si>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</si>
  <si>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</si>
  <si>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</si>
  <si>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</si>
  <si>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</si>
  <si>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</si>
  <si>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</si>
  <si>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</si>
  <si>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</si>
  <si>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</si>
  <si>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</si>
  <si>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</si>
  <si>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</si>
  <si>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</si>
  <si>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</si>
  <si>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</si>
  <si>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</si>
  <si>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</si>
  <si>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</si>
  <si>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</si>
  <si>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</si>
  <si>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</si>
  <si>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</si>
  <si>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</si>
  <si>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</si>
  <si>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</si>
  <si>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</si>
  <si>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</si>
  <si>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</si>
  <si>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</si>
  <si>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</si>
  <si>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</si>
  <si>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</si>
  <si>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</si>
  <si>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</si>
  <si>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</si>
  <si>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</si>
  <si>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</si>
  <si>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</si>
  <si>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</si>
  <si>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</si>
  <si>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</si>
  <si>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</si>
  <si>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</si>
  <si>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</si>
  <si>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</si>
  <si>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</si>
  <si>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</si>
  <si>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</si>
  <si>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</si>
  <si>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</si>
  <si>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</si>
  <si>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</si>
  <si>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</si>
  <si>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</si>
  <si>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</si>
  <si>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</si>
  <si>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</si>
  <si>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</si>
  <si>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</si>
  <si>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</si>
  <si>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</si>
  <si>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</si>
  <si>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</si>
  <si>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</si>
  <si>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</si>
  <si>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</si>
  <si>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</si>
  <si>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</si>
  <si>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</si>
  <si>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</si>
  <si>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</si>
  <si>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</si>
  <si>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</si>
  <si>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</si>
  <si>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</si>
  <si>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</si>
  <si>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</si>
  <si>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</si>
  <si>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</si>
  <si>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</si>
  <si>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</si>
  <si>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</si>
  <si>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</si>
  <si>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</si>
  <si>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</si>
  <si>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</si>
  <si>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</si>
  <si>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</si>
  <si>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</si>
  <si>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</si>
  <si>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</si>
  <si>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</si>
  <si>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</si>
  <si>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</si>
  <si>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</si>
  <si>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</si>
  <si>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</si>
  <si>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</si>
  <si>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</si>
  <si>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</si>
  <si>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</si>
  <si>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</si>
  <si>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</si>
  <si>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</si>
  <si>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</si>
  <si>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</si>
  <si>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</si>
  <si>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</si>
  <si>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</si>
  <si>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</si>
  <si>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</si>
  <si>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</si>
  <si>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</si>
  <si>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</si>
  <si>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</si>
  <si>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</si>
  <si>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</si>
  <si>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</si>
  <si>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</si>
  <si>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</si>
  <si>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</si>
  <si>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</si>
  <si>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</si>
  <si>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</si>
  <si>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</si>
  <si>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</si>
  <si>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</si>
  <si>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</si>
  <si>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</si>
  <si>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</si>
  <si>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</si>
  <si>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</si>
  <si>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</si>
  <si>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</si>
  <si>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</si>
  <si>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</si>
  <si>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</si>
  <si>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</si>
  <si>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</si>
  <si>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</si>
  <si>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</si>
  <si>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</si>
  <si>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</si>
  <si>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</si>
  <si>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</si>
  <si>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</si>
  <si>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</si>
  <si>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</si>
  <si>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</si>
  <si>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</si>
  <si>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</si>
  <si>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</si>
  <si>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</si>
  <si>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</si>
  <si>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</si>
  <si>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</si>
  <si>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</si>
  <si>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</si>
  <si>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</si>
  <si>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</si>
  <si>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</si>
  <si>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</si>
  <si>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</si>
  <si>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</si>
  <si>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</si>
  <si>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</si>
  <si>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</si>
  <si>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</si>
  <si>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</si>
  <si>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</si>
  <si>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</si>
  <si>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</si>
  <si>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</si>
  <si>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</si>
  <si>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</si>
  <si>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</si>
  <si>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</si>
  <si>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</si>
  <si>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</si>
  <si>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</si>
  <si>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</si>
  <si>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</si>
  <si>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</si>
  <si>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</si>
  <si>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</si>
  <si>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</si>
  <si>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</si>
  <si>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</si>
  <si>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</si>
  <si>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</si>
  <si>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</si>
  <si>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</si>
  <si>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</si>
  <si>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</si>
  <si>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</si>
  <si>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</si>
  <si>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</si>
  <si>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</si>
  <si>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</si>
  <si>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</si>
  <si>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</si>
  <si>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</si>
  <si>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</si>
  <si>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</si>
  <si>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</si>
  <si>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</si>
  <si>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</si>
  <si>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</si>
  <si>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</si>
  <si>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</si>
  <si>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</si>
  <si>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</si>
  <si>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</si>
  <si>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</si>
  <si>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</si>
  <si>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</si>
  <si>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</si>
  <si>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</si>
  <si>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</si>
  <si>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</si>
  <si>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</si>
  <si>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</si>
  <si>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</si>
  <si>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</si>
  <si>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</si>
  <si>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</si>
  <si>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</si>
  <si>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</si>
  <si>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</si>
  <si>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</si>
  <si>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</si>
  <si>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</si>
  <si>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</si>
  <si>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</si>
  <si>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</si>
  <si>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</si>
  <si>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</si>
  <si>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</si>
  <si>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</si>
  <si>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</si>
  <si>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</si>
  <si>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</si>
  <si>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</si>
  <si>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</si>
  <si>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</si>
  <si>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</si>
  <si>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</si>
  <si>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</si>
  <si>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</si>
  <si>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</si>
  <si>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</si>
  <si>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</si>
  <si>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</si>
  <si>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</si>
  <si>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</si>
  <si>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</si>
  <si>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</si>
  <si>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</si>
  <si>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</si>
  <si>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</si>
  <si>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</si>
  <si>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</si>
  <si>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</si>
  <si>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</si>
  <si>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</si>
  <si>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</si>
  <si>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</si>
  <si>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</si>
  <si>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</si>
  <si>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</si>
  <si>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</si>
  <si>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</si>
  <si>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</si>
  <si>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</si>
  <si>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</si>
  <si>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</si>
  <si>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</si>
  <si>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</si>
  <si>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</si>
  <si>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</si>
  <si>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</si>
  <si>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</si>
  <si>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</si>
  <si>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</si>
  <si>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</si>
  <si>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</si>
  <si>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</si>
  <si>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</si>
  <si>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</si>
  <si>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</si>
  <si>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</si>
  <si>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</si>
  <si>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</si>
  <si>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</si>
  <si>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</si>
  <si>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</si>
  <si>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</si>
  <si>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</si>
  <si>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</si>
  <si>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</si>
  <si>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</si>
  <si>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</si>
  <si>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</si>
  <si>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</si>
  <si>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</si>
  <si>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</si>
  <si>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</si>
  <si>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</si>
  <si>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</si>
  <si>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</si>
  <si>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</si>
  <si>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</si>
  <si>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</si>
  <si>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</si>
  <si>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</si>
  <si>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</si>
  <si>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</si>
  <si>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</si>
  <si>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</si>
  <si>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</si>
  <si>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</si>
  <si>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</si>
  <si>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</si>
  <si>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</si>
  <si>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</si>
  <si>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</si>
  <si>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</si>
  <si>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</si>
  <si>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</si>
  <si>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</si>
  <si>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</si>
  <si>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</si>
  <si>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</si>
  <si>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</si>
  <si>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</si>
  <si>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</si>
  <si>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</si>
  <si>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</si>
  <si>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</si>
  <si>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</si>
  <si>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</si>
  <si>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</si>
  <si>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</si>
  <si>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</si>
  <si>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</si>
  <si>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</si>
  <si>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</si>
  <si>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</si>
  <si>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</si>
  <si>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</si>
  <si>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</si>
  <si>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</si>
  <si>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</si>
  <si>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</si>
  <si>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</si>
  <si>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</si>
  <si>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</si>
  <si>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</si>
  <si>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</si>
  <si>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</si>
  <si>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</si>
  <si>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</si>
  <si>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</si>
  <si>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</si>
  <si>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</si>
  <si>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</si>
  <si>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</si>
  <si>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</si>
  <si>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</si>
  <si>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</si>
  <si>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</si>
  <si>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</si>
  <si>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</si>
  <si>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</si>
  <si>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</si>
  <si>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</si>
  <si>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</si>
  <si>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</si>
  <si>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</si>
  <si>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</si>
  <si>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</si>
  <si>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</si>
  <si>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</si>
  <si>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</si>
  <si>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</si>
  <si>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</si>
  <si>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</si>
  <si>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</si>
  <si>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</si>
  <si>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</si>
  <si>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</si>
  <si>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</si>
  <si>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</si>
  <si>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</si>
  <si>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</si>
  <si>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</si>
  <si>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</si>
  <si>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</si>
  <si>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</si>
  <si>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</si>
  <si>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</si>
  <si>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</si>
  <si>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</si>
  <si>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</si>
  <si>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</si>
  <si>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</si>
  <si>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</si>
  <si>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</si>
  <si>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</si>
  <si>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</si>
  <si>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</si>
  <si>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</si>
  <si>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</si>
  <si>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</si>
  <si>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</si>
  <si>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</si>
  <si>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</si>
  <si>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</si>
  <si>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</si>
  <si>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</si>
  <si>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</si>
  <si>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</si>
  <si>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</si>
  <si>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</si>
  <si>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</si>
  <si>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</si>
  <si>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</si>
  <si>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</si>
  <si>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</si>
  <si>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</si>
  <si>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</si>
  <si>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</si>
  <si>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</si>
  <si>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</si>
  <si>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</si>
  <si>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</si>
  <si>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</si>
  <si>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</si>
  <si>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</si>
  <si>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</si>
  <si>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</si>
  <si>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</si>
  <si>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</si>
  <si>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</si>
  <si>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</si>
  <si>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</si>
  <si>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</si>
  <si>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</si>
  <si>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</si>
  <si>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</si>
  <si>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</si>
  <si>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</si>
  <si>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</si>
  <si>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</si>
  <si>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</si>
  <si>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</si>
  <si>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</si>
  <si>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</si>
  <si>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</si>
  <si>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</si>
  <si>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</si>
  <si>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</si>
  <si>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</si>
  <si>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</si>
  <si>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</si>
  <si>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</si>
  <si>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</si>
  <si>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</si>
  <si>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</si>
  <si>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</si>
  <si>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</si>
  <si>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</si>
  <si>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</si>
  <si>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</si>
  <si>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</si>
  <si>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</si>
  <si>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</si>
  <si>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</si>
  <si>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</si>
  <si>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</si>
  <si>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</si>
  <si>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</si>
  <si>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</si>
  <si>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</si>
  <si>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</si>
  <si>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</si>
  <si>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</si>
  <si>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</si>
  <si>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</si>
  <si>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</si>
  <si>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</si>
  <si>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</si>
  <si>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</si>
  <si>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</si>
  <si>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</si>
  <si>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</si>
  <si>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</si>
  <si>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</si>
  <si>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</si>
  <si>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</si>
  <si>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</si>
  <si>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</si>
  <si>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</si>
  <si>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</si>
  <si>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</si>
  <si>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</si>
  <si>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</si>
  <si>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</si>
  <si>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</si>
  <si>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</si>
  <si>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</si>
  <si>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</si>
  <si>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</si>
  <si>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</si>
  <si>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</si>
  <si>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</si>
  <si>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</si>
  <si>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</si>
  <si>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</si>
  <si>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</si>
  <si>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</si>
  <si>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</si>
  <si>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</si>
  <si>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</si>
  <si>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</si>
  <si>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</si>
  <si>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</si>
  <si>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</si>
  <si>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</si>
  <si>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</si>
  <si>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</si>
  <si>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</si>
  <si>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</si>
  <si>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</si>
  <si>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</si>
  <si>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</si>
  <si>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</si>
  <si>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</si>
  <si>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</si>
  <si>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</si>
  <si>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</si>
  <si>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</si>
  <si>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</si>
  <si>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</si>
  <si>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</si>
  <si>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</si>
  <si>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</si>
  <si>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</si>
  <si>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</si>
  <si>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</si>
  <si>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</si>
  <si>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</si>
  <si>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</si>
  <si>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</si>
  <si>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</si>
  <si>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</si>
  <si>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</si>
  <si>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</si>
  <si>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</si>
  <si>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</si>
  <si>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</si>
  <si>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</si>
  <si>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</si>
  <si>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</si>
  <si>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</si>
  <si>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</si>
  <si>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</si>
  <si>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</si>
  <si>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</si>
  <si>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</si>
  <si>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</si>
  <si>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</si>
  <si>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</si>
  <si>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</si>
  <si>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</si>
  <si>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</si>
  <si>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</si>
  <si>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</si>
  <si>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</si>
  <si>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</si>
  <si>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</si>
  <si>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</si>
  <si>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</si>
  <si>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</si>
  <si>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</si>
  <si>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</si>
  <si>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</si>
  <si>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</si>
  <si>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</si>
  <si>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</si>
  <si>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</si>
  <si>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</si>
  <si>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</si>
  <si>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</si>
  <si>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</si>
  <si>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</si>
  <si>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</si>
  <si>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</si>
  <si>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</si>
  <si>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</si>
  <si>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</si>
  <si>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</si>
  <si>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</si>
  <si>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</si>
  <si>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</si>
  <si>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</si>
  <si>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</si>
  <si>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</si>
  <si>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</si>
  <si>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</si>
  <si>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</si>
  <si>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</si>
  <si>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</si>
  <si>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</si>
  <si>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</si>
  <si>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</si>
  <si>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</si>
  <si>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</si>
  <si>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</si>
  <si>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</si>
  <si>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</si>
  <si>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</si>
  <si>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</si>
  <si>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</si>
  <si>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</si>
  <si>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</si>
  <si>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</si>
  <si>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</si>
  <si>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</si>
  <si>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</si>
  <si>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</si>
  <si>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</si>
  <si>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</si>
  <si>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</si>
  <si>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</si>
  <si>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</si>
  <si>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</si>
  <si>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</si>
  <si>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</si>
  <si>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</si>
  <si>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</si>
  <si>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</si>
  <si>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</si>
  <si>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</si>
  <si>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</si>
  <si>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</si>
  <si>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</si>
  <si>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</si>
  <si>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</si>
  <si>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</si>
  <si>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</si>
  <si>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</si>
  <si>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</si>
  <si>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</si>
  <si>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</si>
  <si>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</si>
  <si>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</si>
  <si>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</si>
  <si>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</si>
  <si>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</si>
  <si>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</si>
  <si>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</si>
  <si>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</si>
  <si>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</si>
  <si>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</si>
  <si>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</si>
  <si>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</si>
  <si>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</si>
  <si>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</si>
  <si>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</si>
  <si>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</si>
  <si>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</si>
  <si>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</si>
  <si>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</si>
  <si>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</si>
  <si>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</si>
  <si>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</si>
  <si>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</si>
  <si>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</si>
  <si>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</si>
  <si>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</si>
  <si>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</si>
  <si>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</si>
  <si>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</si>
  <si>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</si>
  <si>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</si>
  <si>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</si>
  <si>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</si>
  <si>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</si>
  <si>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</si>
  <si>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</si>
  <si>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</si>
  <si>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</si>
  <si>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</si>
  <si>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</si>
  <si>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</si>
  <si>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</si>
  <si>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</si>
  <si>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</si>
  <si>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</si>
  <si>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</si>
  <si>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</si>
  <si>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</si>
  <si>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</si>
  <si>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</si>
  <si>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</si>
  <si>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</si>
  <si>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</si>
  <si>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</si>
  <si>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</si>
  <si>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</si>
  <si>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</si>
  <si>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</si>
  <si>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</si>
  <si>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</si>
  <si>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</si>
  <si>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</si>
  <si>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</si>
  <si>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</si>
  <si>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</si>
  <si>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</si>
  <si>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</si>
  <si>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</si>
  <si>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</si>
  <si>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</si>
  <si>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</si>
  <si>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</si>
  <si>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</si>
  <si>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</si>
  <si>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</si>
  <si>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</si>
  <si>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</si>
  <si>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</si>
  <si>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</si>
  <si>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</si>
  <si>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</si>
  <si>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</si>
  <si>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</si>
  <si>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</si>
  <si>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</si>
  <si>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</si>
  <si>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</si>
  <si>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</si>
  <si>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</si>
  <si>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</si>
  <si>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</si>
  <si>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</si>
  <si>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</si>
  <si>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</si>
  <si>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</si>
  <si>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</si>
  <si>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</si>
  <si>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</si>
  <si>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</si>
  <si>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</si>
  <si>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</si>
  <si>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</si>
  <si>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</si>
  <si>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</si>
  <si>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</si>
  <si>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</si>
  <si>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</si>
  <si>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</si>
  <si>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</si>
  <si>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</si>
  <si>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</si>
  <si>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</si>
  <si>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</si>
  <si>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</si>
  <si>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</si>
  <si>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</si>
  <si>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</si>
  <si>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</si>
  <si>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</si>
  <si>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</si>
  <si>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</si>
  <si>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</si>
  <si>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</si>
  <si>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</si>
  <si>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</si>
  <si>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</si>
  <si>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</si>
  <si>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</si>
  <si>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</si>
  <si>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</si>
  <si>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</si>
  <si>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</si>
  <si>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</si>
  <si>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</si>
  <si>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</si>
  <si>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</si>
  <si>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</si>
  <si>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</si>
  <si>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</si>
  <si>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</si>
  <si>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</si>
  <si>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</si>
  <si>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</si>
  <si>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</si>
  <si>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</si>
  <si>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</si>
  <si>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</si>
  <si>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</si>
  <si>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</si>
  <si>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</si>
  <si>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</si>
  <si>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</si>
  <si>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</si>
  <si>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</si>
  <si>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</si>
  <si>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</si>
  <si>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</si>
  <si>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</si>
  <si>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</si>
  <si>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</si>
  <si>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</si>
  <si>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</si>
  <si>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</si>
  <si>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</si>
  <si>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</si>
  <si>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</si>
  <si>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</si>
  <si>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</si>
  <si>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</si>
  <si>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</si>
  <si>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</si>
  <si>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</si>
  <si>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</si>
  <si>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</si>
  <si>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</si>
  <si>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</si>
  <si>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</si>
  <si>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</si>
  <si>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</si>
  <si>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</si>
  <si>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</si>
  <si>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</si>
  <si>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</si>
  <si>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</si>
  <si>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</si>
  <si>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</si>
  <si>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</si>
  <si>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</si>
  <si>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</si>
  <si>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</si>
  <si>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</si>
  <si>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</si>
  <si>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</si>
  <si>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</si>
  <si>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</si>
  <si>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</si>
  <si>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</si>
  <si>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</si>
  <si>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</si>
  <si>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</si>
  <si>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</si>
  <si>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</si>
  <si>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</si>
  <si>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</si>
  <si>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</si>
  <si>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</si>
  <si>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</si>
  <si>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</si>
  <si>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</si>
  <si>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</si>
  <si>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</si>
  <si>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</si>
  <si>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</si>
  <si>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</si>
  <si>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</si>
  <si>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</si>
  <si>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</si>
  <si>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</si>
  <si>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</si>
  <si>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</si>
  <si>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</si>
  <si>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</si>
  <si>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</si>
  <si>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</si>
  <si>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</si>
  <si>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</si>
  <si>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</si>
  <si>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</si>
  <si>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</si>
  <si>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</si>
  <si>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</si>
  <si>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</si>
  <si>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</si>
  <si>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</si>
  <si>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</si>
  <si>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</si>
  <si>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</si>
  <si>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</si>
  <si>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</si>
  <si>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</si>
  <si>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</si>
  <si>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</si>
  <si>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</si>
  <si>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</si>
  <si>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</si>
  <si>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</si>
  <si>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</si>
  <si>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</si>
  <si>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</si>
  <si>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</si>
  <si>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</si>
  <si>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</si>
  <si>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</si>
  <si>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</si>
  <si>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</si>
  <si>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</si>
  <si>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</si>
  <si>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</si>
  <si>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</si>
  <si>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</si>
  <si>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</si>
  <si>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</si>
  <si>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</si>
  <si>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</si>
  <si>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</si>
  <si>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</si>
  <si>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</si>
  <si>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</si>
  <si>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</si>
  <si>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</si>
  <si>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</si>
  <si>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</si>
  <si>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</si>
  <si>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</si>
  <si>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</si>
  <si>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</si>
  <si>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</si>
  <si>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</si>
  <si>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</si>
  <si>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</si>
  <si>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</si>
  <si>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</si>
  <si>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</si>
  <si>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</si>
  <si>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</si>
  <si>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</si>
  <si>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</si>
  <si>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</si>
  <si>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</si>
  <si>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</si>
  <si>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</si>
  <si>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</si>
  <si>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</si>
  <si>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</si>
  <si>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</si>
  <si>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</si>
  <si>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</si>
  <si>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</si>
  <si>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</si>
  <si>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</si>
  <si>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</si>
  <si>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</si>
  <si>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</si>
  <si>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</si>
  <si>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</si>
  <si>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</si>
  <si>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</si>
  <si>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</si>
  <si>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</si>
  <si>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</si>
  <si>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</si>
  <si>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</si>
  <si>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</si>
  <si>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</si>
  <si>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</si>
  <si>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</si>
  <si>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</si>
  <si>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</si>
  <si>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</si>
  <si>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</si>
  <si>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</si>
  <si>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</si>
  <si>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</si>
  <si>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</si>
  <si>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</si>
  <si>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</si>
  <si>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</si>
  <si>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</si>
  <si>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</si>
  <si>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</si>
  <si>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</si>
  <si>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</si>
  <si>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</si>
  <si>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</si>
  <si>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</si>
  <si>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</si>
  <si>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</si>
  <si>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</si>
  <si>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</si>
  <si>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</si>
  <si>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</si>
  <si>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</si>
  <si>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</si>
  <si>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</si>
  <si>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</si>
  <si>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</si>
  <si>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</si>
  <si>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</si>
  <si>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</si>
  <si>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</si>
  <si>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</si>
  <si>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</si>
  <si>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</si>
  <si>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</si>
  <si>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</si>
  <si>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</si>
  <si>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</si>
  <si>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</si>
  <si>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</si>
  <si>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</si>
  <si>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</si>
  <si>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</si>
  <si>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</si>
  <si>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</si>
  <si>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</si>
  <si>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</si>
  <si>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</si>
  <si>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</si>
  <si>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</si>
  <si>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</si>
  <si>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</si>
  <si>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</si>
  <si>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</si>
  <si>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</si>
  <si>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</si>
  <si>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</si>
  <si>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</si>
  <si>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</si>
  <si>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</si>
  <si>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</si>
  <si>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</si>
  <si>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</si>
  <si>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</si>
  <si>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</si>
  <si>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</si>
  <si>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</si>
  <si>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</si>
  <si>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</si>
  <si>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</si>
  <si>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</si>
  <si>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</si>
  <si>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</si>
  <si>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</si>
  <si>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</si>
  <si>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</si>
  <si>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</si>
  <si>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</si>
  <si>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</si>
  <si>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</si>
  <si>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</si>
  <si>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</si>
  <si>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</si>
  <si>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</si>
  <si>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</si>
  <si>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</si>
  <si>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</si>
  <si>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</si>
  <si>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</si>
  <si>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</si>
  <si>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</si>
  <si>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</si>
  <si>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</si>
  <si>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</si>
  <si>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</si>
  <si>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</si>
  <si>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</si>
  <si>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</si>
  <si>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</si>
  <si>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</si>
  <si>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</si>
  <si>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</si>
  <si>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</si>
  <si>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</si>
  <si>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</si>
  <si>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</si>
  <si>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</si>
  <si>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</si>
  <si>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</si>
  <si>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</si>
  <si>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</si>
  <si>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</si>
  <si>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</si>
  <si>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</si>
  <si>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</si>
  <si>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</si>
  <si>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</si>
  <si>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</si>
  <si>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</si>
  <si>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</si>
  <si>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</si>
  <si>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</si>
  <si>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</si>
  <si>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</si>
  <si>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</si>
  <si>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</si>
  <si>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</si>
  <si>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</si>
  <si>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</si>
  <si>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</si>
  <si>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</si>
  <si>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</si>
  <si>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</si>
  <si>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</si>
  <si>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</si>
  <si>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</si>
  <si>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</si>
  <si>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</si>
  <si>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</si>
  <si>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</si>
  <si>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</si>
  <si>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</si>
  <si>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</si>
  <si>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</si>
  <si>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</si>
  <si>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</si>
  <si>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</si>
  <si>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</si>
  <si>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</si>
  <si>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</si>
  <si>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</si>
  <si>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</si>
  <si>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</si>
  <si>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</si>
  <si>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</si>
  <si>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</si>
  <si>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</si>
  <si>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</si>
  <si>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</si>
  <si>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</si>
  <si>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</si>
  <si>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</si>
  <si>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</si>
  <si>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</si>
  <si>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</si>
  <si>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</si>
  <si>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</si>
  <si>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</si>
  <si>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</si>
  <si>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</si>
  <si>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</si>
  <si>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</si>
  <si>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</si>
  <si>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</si>
  <si>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</si>
  <si>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</si>
  <si>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</si>
  <si>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</si>
  <si>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</si>
  <si>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</si>
  <si>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</si>
  <si>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</si>
  <si>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</si>
  <si>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</si>
  <si>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</si>
  <si>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</si>
  <si>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</si>
  <si>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</si>
  <si>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</si>
  <si>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</si>
  <si>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</si>
  <si>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</si>
  <si>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</si>
  <si>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</si>
  <si>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</si>
  <si>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</si>
  <si>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</si>
  <si>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</si>
  <si>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</si>
  <si>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</si>
  <si>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</si>
  <si>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</si>
  <si>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</si>
  <si>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</si>
  <si>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</si>
  <si>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</si>
  <si>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</si>
  <si>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</si>
  <si>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</si>
  <si>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</si>
  <si>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</si>
  <si>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</si>
  <si>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</si>
  <si>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</si>
  <si>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</si>
  <si>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</si>
  <si>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</si>
  <si>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</si>
  <si>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</si>
  <si>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</si>
  <si>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</si>
  <si>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</si>
  <si>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</si>
  <si>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</si>
  <si>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</si>
  <si>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</si>
  <si>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</si>
  <si>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</si>
  <si>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</si>
  <si>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</si>
  <si>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</si>
  <si>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</si>
  <si>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</si>
  <si>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</si>
  <si>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</si>
  <si>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</si>
  <si>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</si>
  <si>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</si>
  <si>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</si>
  <si>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</si>
  <si>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</si>
  <si>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</si>
  <si>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</si>
  <si>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</si>
  <si>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</si>
  <si>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</si>
  <si>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</si>
  <si>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</si>
  <si>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</si>
  <si>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</si>
  <si>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</si>
  <si>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</si>
  <si>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</si>
  <si>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</si>
  <si>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</si>
  <si>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</si>
  <si>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</si>
  <si>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</si>
  <si>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</si>
  <si>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</si>
  <si>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</si>
  <si>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</si>
  <si>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</si>
  <si>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</si>
  <si>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</si>
  <si>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</si>
  <si>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</si>
  <si>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</si>
  <si>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</si>
  <si>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</si>
  <si>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</si>
  <si>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</si>
  <si>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</si>
  <si>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</si>
  <si>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</si>
  <si>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</si>
  <si>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</si>
  <si>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</si>
  <si>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</si>
  <si>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</si>
  <si>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</si>
  <si>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</si>
  <si>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</si>
  <si>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</si>
  <si>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</si>
  <si>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</si>
  <si>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</si>
  <si>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</si>
  <si>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</si>
  <si>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</si>
  <si>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</si>
  <si>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</si>
  <si>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</si>
  <si>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</si>
  <si>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</si>
  <si>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</si>
  <si>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</si>
  <si>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</si>
  <si>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</si>
  <si>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</si>
  <si>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</si>
  <si>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</si>
  <si>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</si>
  <si>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</si>
  <si>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</si>
  <si>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</si>
  <si>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</si>
  <si>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</si>
  <si>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</si>
  <si>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</si>
  <si>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</si>
  <si>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</si>
  <si>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</si>
  <si>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</si>
  <si>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</si>
  <si>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</si>
  <si>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</si>
  <si>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</si>
  <si>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</si>
  <si>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</si>
  <si>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</si>
  <si>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</si>
  <si>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</si>
  <si>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</si>
  <si>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</si>
  <si>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</si>
  <si>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</si>
  <si>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</si>
  <si>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</si>
  <si>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</si>
  <si>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</si>
  <si>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</si>
  <si>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</si>
  <si>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</si>
  <si>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</si>
  <si>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</si>
  <si>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</si>
  <si>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</si>
  <si>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</si>
  <si>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</si>
  <si>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</si>
  <si>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</si>
  <si>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</si>
  <si>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</si>
  <si>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</si>
  <si>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</si>
  <si>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</si>
  <si>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</si>
  <si>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</si>
  <si>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</si>
  <si>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</si>
  <si>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</si>
  <si>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</si>
  <si>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</si>
  <si>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</si>
  <si>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</si>
  <si>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</si>
  <si>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</si>
  <si>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</si>
  <si>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</si>
  <si>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</si>
  <si>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</si>
  <si>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</si>
  <si>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</si>
  <si>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</si>
  <si>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</si>
  <si>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</si>
  <si>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</si>
  <si>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</si>
  <si>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</si>
  <si>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</si>
  <si>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</si>
  <si>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</si>
  <si>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</si>
  <si>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</si>
  <si>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</si>
  <si>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</si>
  <si>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</si>
  <si>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</si>
  <si>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</si>
  <si>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</si>
  <si>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</si>
  <si>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</si>
  <si>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</si>
  <si>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</si>
  <si>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</si>
  <si>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</si>
  <si>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</si>
  <si>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</si>
  <si>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</si>
  <si>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</si>
  <si>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</si>
  <si>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</si>
  <si>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</si>
  <si>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</si>
  <si>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</si>
  <si>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</si>
  <si>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</si>
  <si>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</si>
  <si>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</si>
  <si>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</si>
  <si>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</si>
  <si>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</si>
  <si>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</si>
  <si>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</si>
  <si>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</si>
  <si>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</si>
  <si>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</si>
  <si>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</si>
  <si>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</si>
  <si>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</si>
  <si>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</si>
  <si>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</si>
  <si>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</si>
  <si>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</si>
  <si>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</si>
  <si>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</si>
  <si>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</si>
  <si>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</si>
  <si>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</si>
  <si>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</si>
  <si>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</si>
  <si>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</si>
  <si>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</si>
  <si>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</si>
  <si>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</si>
  <si>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</si>
  <si>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</si>
  <si>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</si>
  <si>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</si>
  <si>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</si>
  <si>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</si>
  <si>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</si>
  <si>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</si>
  <si>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</si>
  <si>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</si>
  <si>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</si>
  <si>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</si>
  <si>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</si>
  <si>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</si>
  <si>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</si>
  <si>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</si>
  <si>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</si>
  <si>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</si>
  <si>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</si>
  <si>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</si>
  <si>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</si>
  <si>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</si>
  <si>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</si>
  <si>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</si>
  <si>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</si>
  <si>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</si>
  <si>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</si>
  <si>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</si>
  <si>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</si>
  <si>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</si>
  <si>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</si>
  <si>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</si>
  <si>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</si>
  <si>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</si>
  <si>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</si>
  <si>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</si>
  <si>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</si>
  <si>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</si>
  <si>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</si>
  <si>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</si>
  <si>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</si>
  <si>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</si>
  <si>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</si>
  <si>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</si>
  <si>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</si>
  <si>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</si>
  <si>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</si>
  <si>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</si>
  <si>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</si>
  <si>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</si>
  <si>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</si>
  <si>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</si>
  <si>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</si>
  <si>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</si>
  <si>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</si>
  <si>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</si>
  <si>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</si>
  <si>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</si>
  <si>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</si>
  <si>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</si>
  <si>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</si>
  <si>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</si>
  <si>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</si>
  <si>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</si>
  <si>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</si>
  <si>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</si>
  <si>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</si>
  <si>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</si>
  <si>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</si>
  <si>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</si>
  <si>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</si>
  <si>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</si>
  <si>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</si>
  <si>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</si>
  <si>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</si>
  <si>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</si>
  <si>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</si>
  <si>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</si>
  <si>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</si>
  <si>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</si>
  <si>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</si>
  <si>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</si>
  <si>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</si>
  <si>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</si>
  <si>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</si>
  <si>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</si>
  <si>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</si>
  <si>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</si>
  <si>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</si>
  <si>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</si>
  <si>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</si>
  <si>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</si>
  <si>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</si>
  <si>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</si>
  <si>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</si>
  <si>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</si>
  <si>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</si>
  <si>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</si>
  <si>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</si>
  <si>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</si>
  <si>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</si>
  <si>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</si>
  <si>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</si>
  <si>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</si>
  <si>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</si>
  <si>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</si>
  <si>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</si>
  <si>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</si>
  <si>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</si>
  <si>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</si>
  <si>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</si>
  <si>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</si>
  <si>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</si>
  <si>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</si>
  <si>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</si>
  <si>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</si>
  <si>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</si>
  <si>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</si>
  <si>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</si>
  <si>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</si>
  <si>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</si>
  <si>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</si>
  <si>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</si>
  <si>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</si>
  <si>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</si>
  <si>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</si>
  <si>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</si>
  <si>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</si>
  <si>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</si>
  <si>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</si>
  <si>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</si>
  <si>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</si>
  <si>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</si>
  <si>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</si>
  <si>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</si>
  <si>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</si>
  <si>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</si>
  <si>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</si>
  <si>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</si>
  <si>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</si>
  <si>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</si>
  <si>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</si>
  <si>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</si>
  <si>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</si>
  <si>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</si>
  <si>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</si>
  <si>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</si>
  <si>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</si>
  <si>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</si>
  <si>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</si>
  <si>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</si>
  <si>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</si>
  <si>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</si>
  <si>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</si>
  <si>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</si>
  <si>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</si>
  <si>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</si>
  <si>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</si>
  <si>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</si>
  <si>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</si>
  <si>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</si>
  <si>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</si>
  <si>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</si>
  <si>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</si>
  <si>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</si>
  <si>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</si>
  <si>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</si>
  <si>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</si>
  <si>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</si>
  <si>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</si>
  <si>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</si>
  <si>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</si>
  <si>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</si>
  <si>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</si>
  <si>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</si>
  <si>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</si>
  <si>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</si>
  <si>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</si>
  <si>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</si>
  <si>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</si>
  <si>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</si>
  <si>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</si>
  <si>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</si>
  <si>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</si>
  <si>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</si>
  <si>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</si>
  <si>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</si>
  <si>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</si>
  <si>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</si>
  <si>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</si>
  <si>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</si>
  <si>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</si>
  <si>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</si>
  <si>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</si>
  <si>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</si>
  <si>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</si>
  <si>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</si>
  <si>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</si>
  <si>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</si>
  <si>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</si>
  <si>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</si>
  <si>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</si>
  <si>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</si>
  <si>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</si>
  <si>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</si>
  <si>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</si>
  <si>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</si>
  <si>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</si>
  <si>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</si>
  <si>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</si>
  <si>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</si>
  <si>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</si>
  <si>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</si>
  <si>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</si>
  <si>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</si>
  <si>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</si>
  <si>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</si>
  <si>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</si>
  <si>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</si>
  <si>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</si>
  <si>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</si>
  <si>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</si>
  <si>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</si>
  <si>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</si>
  <si>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</si>
  <si>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</si>
  <si>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</si>
  <si>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</si>
  <si>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</si>
  <si>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</si>
  <si>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</si>
  <si>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</si>
  <si>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</si>
  <si>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</si>
  <si>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</si>
  <si>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</si>
  <si>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</si>
  <si>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</si>
  <si>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</si>
  <si>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</si>
  <si>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</si>
  <si>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</si>
  <si>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</si>
  <si>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</si>
  <si>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</si>
  <si>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</si>
  <si>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</si>
  <si>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</si>
  <si>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</si>
  <si>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</si>
  <si>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</si>
  <si>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</si>
  <si>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</si>
  <si>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</si>
  <si>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</si>
  <si>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</si>
  <si>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</si>
  <si>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</si>
  <si>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</si>
  <si>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</si>
  <si>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</si>
  <si>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</si>
  <si>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</si>
  <si>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</si>
  <si>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</si>
  <si>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</si>
  <si>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</si>
  <si>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</si>
  <si>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</si>
  <si>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</si>
  <si>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</si>
  <si>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</si>
  <si>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</si>
  <si>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</si>
  <si>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</si>
  <si>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</si>
  <si>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</si>
  <si>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</si>
  <si>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</si>
  <si>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</si>
  <si>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</si>
  <si>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</si>
  <si>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</si>
  <si>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</si>
  <si>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</si>
  <si>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</si>
  <si>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</si>
  <si>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</si>
  <si>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</si>
  <si>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</si>
  <si>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</si>
  <si>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</si>
  <si>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</si>
  <si>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</si>
  <si>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</si>
  <si>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</si>
  <si>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</si>
  <si>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</si>
  <si>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</si>
  <si>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</si>
  <si>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</si>
  <si>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</si>
  <si>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</si>
  <si>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</si>
  <si>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</si>
  <si>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</si>
  <si>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</si>
  <si>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</si>
  <si>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</si>
  <si>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</si>
  <si>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</si>
  <si>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</si>
  <si>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</si>
  <si>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</si>
  <si>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</si>
  <si>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</si>
  <si>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</si>
  <si>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</si>
  <si>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</si>
  <si>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</si>
  <si>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</si>
  <si>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</si>
  <si>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</si>
  <si>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</si>
  <si>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</si>
  <si>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</si>
  <si>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</si>
  <si>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</si>
  <si>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</si>
  <si>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</si>
  <si>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</si>
  <si>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</si>
  <si>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</si>
  <si>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</si>
  <si>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</si>
  <si>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</si>
  <si>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</si>
  <si>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</si>
  <si>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</si>
  <si>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</si>
  <si>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</si>
  <si>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</si>
  <si>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</si>
  <si>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</si>
  <si>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</si>
  <si>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</si>
  <si>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</si>
  <si>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</si>
  <si>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</si>
  <si>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</si>
  <si>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</si>
  <si>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</si>
  <si>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</si>
  <si>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</si>
  <si>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</si>
  <si>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</si>
  <si>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</si>
  <si>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</si>
  <si>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</si>
  <si>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</si>
  <si>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</si>
  <si>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</si>
  <si>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</si>
  <si>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</si>
  <si>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</si>
  <si>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</si>
  <si>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</si>
  <si>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</si>
  <si>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</si>
  <si>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</si>
  <si>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</si>
  <si>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</si>
  <si>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</si>
  <si>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</si>
  <si>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</si>
  <si>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</si>
  <si>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</si>
  <si>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</si>
  <si>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</si>
  <si>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</si>
  <si>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</si>
  <si>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</si>
  <si>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</si>
  <si>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</si>
  <si>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</si>
  <si>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</si>
  <si>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</si>
  <si>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</si>
  <si>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</si>
  <si>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</si>
  <si>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</si>
  <si>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</si>
  <si>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</si>
  <si>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</si>
  <si>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</si>
  <si>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</si>
  <si>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</si>
  <si>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</si>
  <si>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</si>
  <si>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</si>
  <si>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</si>
  <si>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</si>
  <si>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</si>
  <si>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</si>
  <si>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</si>
  <si>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</si>
  <si>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</si>
  <si>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</si>
  <si>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</si>
  <si>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</si>
  <si>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</si>
  <si>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</si>
  <si>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</si>
  <si>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</si>
  <si>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</si>
  <si>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</si>
  <si>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</si>
  <si>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</si>
  <si>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</si>
  <si>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</si>
  <si>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</si>
  <si>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</si>
  <si>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</si>
  <si>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</si>
  <si>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</si>
  <si>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</si>
  <si>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</si>
  <si>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</si>
  <si>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</si>
  <si>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</si>
  <si>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</si>
  <si>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</si>
  <si>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</si>
  <si>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</si>
  <si>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</si>
  <si>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</si>
  <si>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</si>
  <si>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</si>
  <si>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</si>
  <si>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</si>
  <si>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</si>
  <si>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</si>
  <si>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</si>
  <si>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</si>
  <si>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</si>
  <si>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</si>
  <si>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</si>
  <si>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</si>
  <si>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</si>
  <si>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</si>
  <si>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</si>
  <si>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</si>
  <si>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</si>
  <si>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</si>
  <si>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</si>
  <si>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</si>
  <si>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</si>
  <si>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</si>
  <si>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</si>
  <si>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</si>
  <si>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</si>
  <si>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</si>
  <si>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</si>
  <si>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</si>
  <si>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</si>
  <si>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</si>
  <si>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</si>
  <si>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</si>
  <si>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</si>
  <si>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</si>
  <si>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</si>
  <si>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</si>
  <si>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</si>
  <si>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</si>
  <si>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</si>
  <si>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</si>
  <si>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</si>
  <si>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</si>
  <si>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</si>
  <si>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</si>
  <si>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</si>
  <si>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</si>
  <si>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</si>
  <si>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</si>
  <si>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</si>
  <si>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</si>
  <si>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</si>
  <si>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</si>
  <si>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</si>
  <si>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</si>
  <si>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</si>
  <si>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</si>
  <si>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</si>
  <si>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</si>
  <si>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</si>
  <si>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</si>
  <si>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</si>
  <si>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</si>
  <si>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</si>
  <si>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</si>
  <si>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</si>
  <si>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</si>
  <si>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</si>
  <si>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</si>
  <si>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</si>
  <si>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</si>
  <si>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</si>
  <si>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</si>
  <si>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</si>
  <si>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</si>
  <si>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</si>
  <si>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</si>
  <si>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</si>
  <si>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</si>
  <si>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</si>
  <si>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</si>
  <si>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</si>
  <si>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</si>
  <si>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</si>
  <si>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</si>
  <si>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</si>
  <si>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</si>
  <si>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</si>
  <si>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</si>
  <si>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</si>
  <si>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</si>
  <si>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</si>
  <si>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</si>
  <si>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</si>
  <si>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</si>
  <si>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</si>
  <si>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</si>
  <si>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</si>
  <si>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</si>
  <si>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</si>
  <si>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</si>
  <si>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</si>
  <si>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</si>
  <si>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</si>
  <si>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</si>
  <si>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</si>
  <si>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</si>
  <si>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</si>
  <si>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</si>
  <si>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</si>
  <si>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</si>
  <si>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</si>
  <si>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</si>
  <si>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</si>
  <si>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</si>
  <si>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</si>
  <si>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</si>
  <si>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</si>
  <si>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</si>
  <si>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</si>
  <si>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</si>
  <si>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</si>
  <si>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</si>
  <si>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</si>
  <si>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</si>
  <si>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</si>
  <si>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</si>
  <si>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</si>
  <si>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</si>
  <si>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</si>
  <si>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</si>
  <si>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</si>
  <si>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</si>
  <si>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</si>
  <si>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</si>
  <si>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</si>
  <si>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</si>
  <si>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</si>
  <si>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</si>
  <si>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</si>
  <si>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</si>
  <si>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</si>
  <si>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</si>
  <si>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</si>
  <si>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</si>
  <si>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</si>
  <si>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</si>
  <si>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</si>
  <si>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</si>
  <si>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</si>
  <si>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</si>
  <si>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</si>
  <si>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</si>
  <si>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</si>
  <si>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</si>
  <si>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</si>
  <si>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</si>
  <si>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</si>
  <si>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</si>
  <si>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</si>
  <si>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</si>
  <si>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</si>
  <si>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</si>
  <si>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</si>
  <si>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</si>
  <si>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</si>
  <si>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</si>
  <si>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</si>
  <si>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</si>
  <si>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</si>
  <si>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</si>
  <si>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</si>
  <si>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</si>
  <si>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</si>
  <si>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</si>
  <si>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</si>
  <si>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</si>
  <si>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</si>
  <si>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</si>
  <si>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</si>
  <si>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</si>
  <si>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</si>
  <si>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</si>
  <si>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</si>
  <si>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</si>
  <si>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</si>
  <si>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</si>
  <si>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</si>
  <si>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</si>
  <si>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</si>
  <si>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</si>
  <si>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</si>
  <si>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</si>
  <si>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</si>
  <si>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</si>
  <si>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</si>
  <si>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</si>
  <si>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</si>
  <si>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</si>
  <si>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</si>
  <si>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</si>
  <si>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</si>
  <si>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</si>
  <si>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</si>
  <si>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</si>
  <si>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</si>
  <si>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</si>
  <si>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</si>
  <si>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</si>
  <si>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</si>
  <si>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</si>
  <si>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</si>
  <si>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</si>
  <si>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</si>
  <si>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</si>
  <si>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</si>
  <si>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</si>
  <si>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</si>
  <si>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</si>
  <si>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</si>
  <si>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</si>
  <si>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</si>
  <si>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</si>
  <si>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</si>
  <si>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</si>
  <si>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</si>
  <si>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</si>
  <si>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</si>
  <si>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</si>
  <si>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</si>
  <si>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</si>
  <si>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</si>
  <si>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</si>
  <si>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</si>
  <si>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</si>
  <si>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</si>
  <si>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</si>
  <si>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</si>
  <si>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</si>
  <si>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</si>
  <si>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</si>
  <si>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</si>
  <si>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</si>
  <si>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</si>
  <si>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</si>
  <si>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</si>
  <si>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</si>
  <si>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</si>
  <si>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</si>
  <si>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</si>
  <si>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</si>
  <si>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</si>
  <si>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</si>
  <si>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</si>
  <si>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</si>
  <si>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</si>
  <si>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</si>
  <si>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</si>
  <si>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</si>
  <si>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</si>
  <si>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</si>
  <si>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</si>
  <si>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</si>
  <si>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</si>
  <si>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</si>
  <si>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</si>
  <si>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</si>
  <si>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</si>
  <si>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</si>
  <si>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</si>
  <si>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</si>
  <si>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</si>
  <si>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</si>
  <si>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</si>
  <si>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</si>
  <si>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</si>
  <si>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</si>
  <si>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</si>
  <si>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</si>
  <si>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</si>
  <si>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</si>
  <si>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</si>
  <si>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</si>
  <si>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</si>
  <si>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</si>
  <si>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</si>
  <si>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</si>
  <si>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</si>
  <si>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</si>
  <si>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</si>
  <si>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</si>
  <si>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</si>
  <si>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</si>
  <si>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</si>
  <si>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</si>
  <si>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</si>
  <si>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</si>
  <si>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</si>
  <si>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</si>
  <si>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</si>
  <si>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</si>
  <si>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</si>
  <si>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</si>
  <si>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</si>
  <si>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</si>
  <si>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</si>
  <si>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</si>
  <si>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</si>
  <si>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</si>
  <si>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</si>
  <si>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</si>
  <si>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</si>
  <si>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</si>
  <si>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</si>
  <si>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</si>
  <si>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</si>
  <si>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</si>
  <si>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</si>
  <si>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</si>
  <si>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</si>
  <si>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</si>
  <si>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</si>
  <si>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</si>
  <si>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</si>
  <si>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</si>
  <si>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</si>
  <si>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</si>
  <si>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</si>
  <si>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</si>
  <si>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</si>
  <si>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</si>
  <si>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</si>
  <si>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</si>
  <si>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</si>
  <si>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</si>
  <si>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</si>
  <si>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</si>
  <si>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</si>
  <si>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</si>
  <si>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</si>
  <si>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</si>
  <si>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</si>
  <si>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</si>
  <si>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</si>
  <si>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</si>
  <si>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</si>
  <si>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</si>
  <si>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</si>
  <si>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</si>
  <si>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</si>
  <si>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</si>
  <si>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</si>
  <si>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</si>
  <si>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</si>
  <si>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</si>
  <si>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</si>
  <si>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</si>
  <si>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</si>
  <si>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</si>
  <si>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</si>
  <si>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</si>
  <si>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</si>
  <si>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</si>
  <si>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</si>
  <si>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</si>
  <si>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</si>
  <si>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</si>
  <si>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</si>
  <si>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</si>
  <si>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</si>
  <si>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</si>
  <si>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</si>
  <si>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</si>
  <si>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</si>
  <si>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</si>
  <si>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</si>
  <si>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</si>
  <si>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</si>
  <si>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</si>
  <si>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</si>
  <si>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</si>
  <si>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</si>
  <si>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</si>
  <si>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</si>
  <si>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</si>
  <si>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</si>
  <si>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</si>
  <si>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</si>
  <si>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</si>
  <si>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</si>
  <si>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</si>
  <si>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</si>
  <si>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</si>
  <si>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</si>
  <si>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</si>
  <si>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</si>
  <si>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</si>
  <si>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</si>
  <si>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</si>
  <si>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</si>
  <si>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</si>
  <si>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</si>
  <si>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</si>
  <si>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</si>
  <si>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</si>
  <si>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</si>
  <si>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</si>
  <si>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</si>
  <si>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</si>
  <si>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</si>
  <si>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</si>
  <si>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</si>
  <si>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</si>
  <si>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</si>
  <si>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</si>
  <si>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</si>
  <si>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</si>
  <si>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</si>
  <si>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</si>
  <si>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</si>
  <si>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</si>
  <si>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</si>
  <si>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</si>
  <si>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</si>
  <si>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</si>
  <si>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</si>
  <si>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</si>
  <si>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</si>
  <si>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</si>
  <si>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</si>
  <si>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</si>
  <si>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</si>
  <si>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</si>
  <si>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</si>
  <si>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</si>
  <si>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</si>
  <si>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</si>
  <si>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</si>
  <si>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</si>
  <si>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</si>
  <si>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</si>
  <si>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</si>
  <si>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</si>
  <si>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</si>
  <si>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</si>
  <si>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</si>
  <si>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</si>
  <si>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</si>
  <si>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</si>
  <si>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</si>
  <si>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</si>
  <si>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</si>
  <si>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</si>
  <si>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</si>
  <si>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</si>
  <si>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</si>
  <si>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</si>
  <si>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</si>
  <si>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</si>
  <si>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</si>
  <si>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</si>
  <si>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</si>
  <si>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</si>
  <si>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</si>
  <si>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</si>
  <si>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</si>
  <si>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</si>
  <si>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</si>
  <si>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</si>
  <si>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</si>
  <si>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</si>
  <si>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</si>
  <si>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</si>
  <si>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</si>
  <si>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</si>
  <si>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</si>
  <si>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</si>
  <si>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</si>
  <si>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</si>
  <si>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</si>
  <si>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</si>
  <si>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</si>
  <si>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</si>
  <si>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</si>
  <si>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</si>
  <si>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</si>
  <si>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</si>
  <si>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</si>
  <si>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</si>
  <si>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</si>
  <si>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</si>
  <si>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</si>
  <si>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</si>
  <si>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</si>
  <si>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</si>
  <si>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</si>
  <si>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</si>
  <si>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</si>
  <si>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</si>
  <si>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</si>
  <si>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</si>
  <si>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</si>
  <si>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</si>
  <si>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</si>
  <si>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</si>
  <si>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</si>
  <si>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</si>
  <si>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</si>
  <si>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</si>
  <si>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</si>
  <si>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</si>
  <si>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</si>
  <si>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</si>
  <si>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</si>
  <si>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</si>
  <si>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</si>
  <si>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</si>
  <si>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</si>
  <si>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</si>
  <si>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</si>
  <si>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</si>
  <si>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</si>
  <si>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</si>
  <si>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</si>
  <si>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</si>
  <si>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</si>
  <si>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</si>
  <si>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</si>
  <si>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</si>
  <si>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</si>
  <si>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</si>
  <si>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</si>
  <si>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</si>
  <si>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</si>
  <si>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</si>
  <si>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</si>
  <si>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</si>
  <si>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</si>
  <si>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</si>
  <si>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</si>
  <si>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</si>
  <si>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</si>
  <si>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</si>
  <si>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</si>
  <si>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</si>
  <si>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</si>
  <si>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</si>
  <si>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</si>
  <si>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</si>
  <si>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</si>
  <si>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</si>
  <si>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</si>
  <si>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</si>
  <si>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</si>
  <si>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</si>
  <si>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</si>
  <si>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</si>
  <si>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</si>
  <si>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</si>
  <si>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</si>
  <si>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</si>
  <si>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</si>
  <si>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</si>
  <si>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</si>
  <si>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</si>
  <si>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</si>
  <si>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</si>
  <si>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</si>
  <si>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</si>
  <si>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</si>
  <si>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</si>
  <si>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</si>
  <si>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</si>
  <si>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</si>
  <si>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</si>
  <si>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</si>
  <si>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</si>
  <si>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</si>
  <si>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</si>
  <si>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</si>
  <si>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</si>
  <si>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</si>
  <si>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</si>
  <si>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</si>
  <si>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</si>
  <si>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</si>
  <si>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</si>
  <si>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</si>
  <si>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</si>
  <si>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</si>
  <si>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</si>
  <si>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</si>
  <si>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</si>
  <si>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</si>
  <si>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</si>
  <si>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</si>
  <si>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</si>
  <si>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</si>
  <si>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</si>
  <si>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</si>
  <si>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</si>
  <si>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</si>
  <si>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</si>
  <si>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</si>
  <si>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</si>
  <si>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</si>
  <si>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</si>
  <si>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</si>
  <si>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</si>
  <si>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</si>
  <si>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</si>
  <si>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</si>
  <si>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</si>
  <si>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</si>
  <si>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</si>
  <si>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</si>
  <si>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</si>
  <si>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</si>
  <si>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</si>
  <si>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</si>
  <si>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</si>
  <si>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</si>
  <si>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</si>
  <si>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</si>
  <si>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</si>
  <si>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</si>
  <si>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</si>
  <si>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</si>
  <si>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</si>
  <si>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</si>
  <si>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</si>
  <si>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</si>
  <si>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</si>
  <si>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</si>
  <si>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</si>
  <si>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</si>
  <si>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</si>
  <si>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</si>
  <si>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</si>
  <si>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</si>
  <si>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</si>
  <si>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</si>
  <si>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</si>
  <si>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</si>
  <si>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</si>
  <si>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</si>
  <si>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</si>
  <si>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</si>
  <si>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</si>
  <si>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</si>
  <si>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</si>
  <si>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</si>
  <si>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</si>
  <si>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</si>
  <si>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</si>
  <si>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</si>
  <si>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</si>
  <si>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</si>
  <si>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</si>
  <si>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</si>
  <si>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</si>
  <si>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</si>
  <si>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</si>
  <si>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</si>
  <si>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</si>
  <si>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</si>
  <si>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</si>
  <si>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</si>
  <si>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</si>
  <si>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</si>
  <si>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</si>
  <si>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</si>
  <si>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</si>
  <si>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</si>
  <si>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</si>
  <si>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</si>
  <si>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</si>
  <si>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</si>
  <si>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</si>
  <si>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</si>
  <si>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</si>
  <si>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</si>
  <si>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</si>
  <si>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</si>
  <si>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</si>
  <si>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</si>
  <si>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</si>
  <si>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</si>
  <si>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</si>
  <si>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</si>
  <si>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</si>
  <si>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</si>
  <si>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</si>
  <si>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</si>
  <si>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</si>
  <si>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</si>
  <si>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</si>
  <si>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</si>
  <si>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</si>
  <si>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</si>
  <si>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</si>
  <si>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</si>
  <si>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</si>
  <si>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</si>
  <si>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</si>
  <si>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</si>
  <si>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</si>
  <si>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</si>
  <si>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</si>
  <si>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</si>
  <si>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</si>
  <si>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</si>
  <si>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</si>
  <si>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</si>
  <si>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</si>
  <si>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</si>
  <si>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</si>
  <si>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</si>
  <si>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</si>
  <si>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</si>
  <si>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</si>
  <si>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</si>
  <si>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</si>
  <si>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</si>
  <si>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</si>
  <si>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</si>
  <si>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</si>
  <si>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</si>
  <si>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</si>
  <si>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</si>
  <si>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</si>
  <si>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</si>
  <si>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</si>
  <si>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</si>
  <si>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</si>
  <si>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</si>
  <si>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</si>
  <si>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</si>
  <si>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</si>
  <si>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</si>
  <si>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</si>
  <si>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</si>
  <si>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</si>
  <si>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</si>
  <si>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</si>
  <si>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</si>
  <si>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</si>
  <si>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</si>
  <si>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</si>
  <si>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</si>
  <si>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</si>
  <si>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</si>
  <si>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</si>
  <si>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</si>
  <si>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</si>
  <si>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</si>
  <si>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</si>
  <si>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</si>
  <si>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</si>
  <si>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</si>
  <si>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</si>
  <si>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</si>
  <si>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</si>
  <si>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</si>
  <si>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</si>
  <si>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</si>
  <si>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</si>
  <si>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</si>
  <si>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</si>
  <si>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</si>
  <si>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</si>
  <si>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</si>
  <si>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</si>
  <si>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</si>
  <si>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</si>
  <si>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</si>
  <si>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</si>
  <si>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</si>
  <si>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</si>
  <si>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</si>
  <si>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</si>
  <si>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</si>
  <si>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</si>
  <si>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</si>
  <si>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</si>
  <si>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</si>
  <si>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</si>
  <si>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</si>
  <si>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</si>
  <si>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</si>
  <si>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</si>
  <si>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</si>
  <si>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</si>
  <si>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</si>
  <si>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</si>
  <si>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</si>
  <si>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</si>
  <si>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</si>
  <si>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</si>
  <si>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</si>
  <si>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</si>
  <si>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</si>
  <si>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</si>
  <si>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</si>
  <si>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</si>
  <si>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</si>
  <si>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</si>
  <si>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</si>
  <si>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</si>
  <si>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</si>
  <si>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</si>
  <si>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</si>
  <si>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</si>
  <si>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</si>
  <si>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</si>
  <si>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</si>
  <si>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</si>
  <si>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</si>
  <si>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</si>
  <si>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</si>
  <si>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</si>
  <si>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</si>
  <si>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</si>
  <si>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</si>
  <si>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</si>
  <si>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</si>
  <si>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</si>
  <si>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</si>
  <si>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</si>
  <si>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</si>
  <si>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</si>
  <si>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</si>
  <si>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</si>
  <si>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</si>
  <si>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</si>
  <si>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</si>
  <si>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</si>
  <si>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</si>
  <si>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</si>
  <si>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</si>
  <si>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</si>
  <si>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</si>
  <si>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</si>
  <si>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</si>
  <si>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</si>
  <si>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</si>
  <si>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</si>
  <si>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</si>
  <si>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</si>
  <si>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</si>
  <si>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</si>
  <si>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</si>
  <si>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</si>
  <si>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</si>
  <si>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</si>
  <si>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</si>
  <si>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</si>
  <si>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</si>
  <si>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</si>
  <si>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</si>
  <si>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</si>
  <si>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</si>
  <si>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</si>
  <si>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</si>
  <si>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</si>
  <si>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</si>
  <si>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</si>
  <si>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</si>
  <si>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</si>
  <si>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</si>
  <si>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</si>
  <si>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</si>
  <si>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</si>
  <si>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</si>
  <si>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</si>
  <si>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</si>
  <si>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</si>
  <si>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</si>
  <si>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</si>
  <si>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</si>
  <si>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</si>
  <si>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</si>
  <si>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</si>
  <si>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</si>
  <si>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</si>
  <si>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</si>
  <si>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</si>
  <si>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</si>
  <si>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</si>
  <si>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</si>
  <si>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</si>
  <si>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</si>
  <si>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</si>
  <si>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</si>
  <si>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</si>
  <si>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</si>
  <si>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</si>
  <si>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</si>
  <si>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</si>
  <si>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</si>
  <si>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</si>
  <si>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</si>
  <si>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</si>
  <si>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</si>
  <si>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</si>
  <si>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</si>
  <si>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</si>
  <si>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</si>
  <si>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</si>
  <si>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</si>
  <si>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</si>
  <si>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</si>
  <si>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</si>
  <si>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</si>
  <si>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</si>
  <si>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</si>
  <si>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</si>
  <si>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</si>
  <si>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</si>
  <si>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</si>
  <si>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</si>
  <si>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</si>
  <si>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</si>
  <si>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</si>
  <si>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</si>
  <si>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</si>
  <si>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</si>
  <si>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</si>
  <si>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</si>
  <si>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</si>
  <si>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</si>
  <si>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</si>
  <si>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</si>
  <si>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</si>
  <si>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</si>
  <si>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</si>
  <si>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</si>
  <si>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</si>
  <si>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</si>
  <si>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</si>
  <si>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</si>
  <si>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</si>
  <si>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</si>
  <si>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</si>
  <si>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</si>
  <si>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</si>
  <si>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</si>
  <si>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</si>
  <si>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</si>
  <si>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</si>
  <si>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</si>
  <si>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</si>
  <si>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</si>
  <si>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</si>
  <si>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</si>
  <si>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</si>
  <si>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</si>
  <si>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</si>
  <si>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</si>
  <si>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</si>
  <si>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</si>
  <si>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</si>
  <si>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</si>
  <si>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</si>
  <si>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</si>
  <si>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</si>
  <si>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</si>
  <si>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</si>
  <si>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</si>
  <si>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</si>
  <si>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</si>
  <si>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</si>
  <si>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</si>
  <si>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</si>
  <si>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</si>
  <si>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</si>
  <si>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</si>
  <si>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</si>
  <si>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</si>
  <si>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</si>
  <si>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</si>
  <si>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</si>
  <si>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</si>
  <si>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</si>
  <si>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</si>
  <si>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</si>
  <si>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</si>
  <si>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</si>
  <si>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</si>
  <si>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</si>
  <si>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</si>
  <si>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</si>
  <si>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</si>
  <si>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</si>
  <si>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</si>
  <si>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</si>
  <si>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</si>
  <si>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</si>
  <si>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</si>
  <si>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</si>
  <si>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</si>
  <si>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</si>
  <si>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</si>
  <si>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</si>
  <si>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</si>
  <si>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</si>
  <si>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</si>
  <si>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</si>
  <si>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</si>
  <si>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</si>
  <si>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</si>
  <si>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</si>
  <si>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</si>
  <si>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</si>
  <si>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</si>
  <si>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</si>
  <si>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</si>
  <si>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</si>
  <si>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</si>
  <si>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</si>
  <si>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</si>
  <si>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</si>
  <si>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</si>
  <si>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</si>
  <si>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</si>
  <si>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</si>
  <si>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</si>
  <si>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</si>
  <si>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</si>
  <si>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</si>
  <si>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</si>
  <si>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</si>
  <si>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</si>
  <si>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</si>
  <si>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</si>
  <si>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</si>
  <si>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</si>
  <si>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</si>
  <si>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</si>
  <si>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</si>
  <si>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</si>
  <si>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</si>
  <si>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</si>
  <si>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</si>
  <si>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</si>
  <si>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</si>
  <si>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</si>
  <si>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</si>
  <si>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</si>
  <si>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</si>
  <si>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</si>
  <si>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</si>
  <si>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</si>
  <si>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</si>
  <si>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</si>
  <si>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</si>
  <si>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</si>
  <si>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</si>
  <si>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</si>
  <si>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</si>
  <si>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</si>
  <si>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</si>
  <si>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</si>
  <si>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</si>
  <si>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</si>
  <si>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</si>
  <si>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</si>
  <si>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</si>
  <si>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</si>
  <si>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</si>
  <si>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</si>
  <si>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</si>
  <si>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</si>
  <si>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</si>
  <si>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</si>
  <si>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</si>
  <si>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</si>
  <si>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</si>
  <si>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</si>
  <si>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</si>
  <si>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</si>
  <si>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</si>
  <si>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</si>
  <si>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</si>
  <si>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</si>
  <si>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</si>
  <si>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</si>
  <si>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</si>
  <si>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</si>
  <si>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</si>
  <si>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</si>
  <si>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</si>
  <si>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</si>
  <si>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</si>
  <si>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</si>
  <si>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</si>
  <si>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</si>
  <si>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</si>
  <si>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</si>
  <si>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</si>
  <si>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</si>
  <si>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</si>
  <si>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</si>
  <si>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</si>
  <si>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</si>
  <si>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</si>
  <si>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</si>
  <si>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</si>
  <si>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</si>
  <si>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</si>
  <si>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</si>
  <si>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</si>
  <si>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</si>
  <si>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</si>
  <si>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</si>
  <si>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</si>
  <si>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</si>
  <si>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</si>
  <si>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</si>
  <si>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</si>
  <si>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</si>
  <si>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</si>
  <si>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</si>
  <si>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</si>
  <si>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</si>
  <si>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</si>
  <si>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</si>
  <si>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</si>
  <si>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</si>
  <si>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</si>
  <si>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</si>
  <si>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</si>
  <si>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</si>
  <si>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</si>
  <si>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</si>
  <si>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</si>
  <si>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</si>
  <si>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</si>
  <si>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</si>
  <si>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</si>
  <si>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</si>
  <si>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</si>
  <si>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</si>
  <si>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</si>
  <si>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</si>
  <si>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</si>
  <si>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</si>
  <si>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</si>
  <si>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</si>
  <si>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</si>
  <si>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</si>
  <si>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</si>
  <si>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</si>
  <si>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</si>
  <si>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</si>
  <si>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</si>
  <si>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</si>
  <si>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</si>
  <si>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</si>
  <si>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</si>
  <si>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</si>
  <si>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</si>
  <si>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</si>
  <si>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</si>
  <si>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</si>
  <si>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</si>
  <si>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</si>
  <si>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</si>
  <si>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</si>
  <si>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</si>
  <si>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</si>
  <si>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</si>
  <si>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</si>
  <si>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</si>
  <si>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</si>
  <si>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</si>
  <si>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</si>
  <si>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</si>
  <si>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</si>
  <si>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</si>
  <si>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</si>
  <si>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</si>
  <si>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</si>
  <si>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</si>
  <si>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</si>
  <si>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</si>
  <si>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</si>
  <si>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</si>
  <si>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</si>
  <si>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</si>
  <si>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</si>
  <si>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</si>
  <si>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</si>
  <si>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</si>
  <si>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</si>
  <si>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</si>
  <si>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</si>
  <si>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</si>
  <si>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</si>
  <si>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</si>
  <si>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</si>
  <si>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</si>
  <si>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</si>
  <si>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</si>
  <si>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</si>
  <si>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</si>
  <si>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</si>
  <si>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</si>
  <si>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</si>
  <si>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</si>
  <si>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</si>
  <si>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</si>
  <si>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</si>
  <si>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</si>
  <si>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</si>
  <si>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</si>
  <si>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</si>
  <si>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</si>
  <si>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</si>
  <si>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</si>
  <si>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</si>
  <si>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</si>
  <si>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</si>
  <si>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</si>
  <si>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</si>
  <si>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</si>
  <si>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</si>
  <si>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</si>
  <si>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</si>
  <si>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</si>
  <si>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</si>
  <si>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</si>
  <si>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</si>
  <si>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</si>
  <si>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</si>
  <si>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</si>
  <si>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</si>
  <si>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</si>
  <si>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</si>
  <si>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</si>
  <si>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</si>
  <si>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</si>
  <si>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</si>
  <si>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</si>
  <si>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</si>
  <si>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</si>
  <si>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</si>
  <si>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</si>
  <si>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</si>
  <si>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</si>
  <si>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</si>
  <si>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</si>
  <si>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</si>
  <si>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</si>
  <si>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</si>
  <si>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</si>
  <si>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</si>
  <si>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</si>
  <si>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</si>
  <si>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</si>
  <si>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</si>
  <si>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</si>
  <si>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</si>
  <si>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</si>
  <si>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</si>
  <si>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</si>
  <si>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</si>
  <si>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</si>
  <si>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</si>
  <si>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</si>
  <si>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</si>
  <si>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</si>
  <si>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</si>
  <si>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</si>
  <si>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</si>
  <si>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</si>
  <si>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</si>
  <si>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</si>
  <si>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</si>
  <si>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</si>
  <si>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</si>
  <si>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</si>
  <si>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</si>
  <si>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</si>
  <si>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</si>
  <si>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</si>
  <si>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</si>
  <si>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</si>
  <si>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</si>
  <si>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</si>
  <si>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</si>
  <si>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</si>
  <si>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</si>
  <si>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</si>
  <si>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</si>
  <si>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</si>
  <si>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</si>
  <si>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</si>
  <si>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</si>
  <si>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</si>
  <si>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</si>
  <si>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</si>
  <si>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</si>
  <si>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</si>
  <si>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</si>
  <si>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</si>
  <si>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</si>
  <si>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</si>
  <si>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</si>
  <si>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</si>
  <si>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</si>
  <si>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</si>
  <si>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</si>
  <si>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</si>
  <si>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</si>
  <si>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</si>
  <si>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</si>
  <si>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</si>
  <si>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</si>
  <si>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</si>
  <si>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</si>
  <si>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</si>
  <si>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</si>
  <si>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</si>
  <si>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</si>
  <si>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</si>
  <si>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</si>
  <si>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</si>
  <si>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</si>
  <si>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</si>
  <si>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</si>
  <si>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</si>
  <si>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</si>
  <si>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</si>
  <si>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</si>
  <si>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</si>
  <si>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</si>
  <si>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</si>
  <si>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</si>
  <si>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</si>
  <si>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</si>
  <si>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</si>
  <si>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</si>
  <si>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</si>
  <si>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</si>
  <si>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</si>
  <si>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</si>
  <si>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</si>
  <si>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</si>
  <si>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</si>
  <si>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</si>
  <si>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</si>
  <si>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</si>
  <si>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</si>
  <si>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</si>
  <si>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</si>
  <si>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</si>
  <si>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</si>
  <si>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</si>
  <si>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</si>
  <si>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</si>
  <si>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</si>
  <si>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</si>
  <si>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</si>
  <si>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</si>
  <si>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</si>
  <si>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</si>
  <si>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</si>
  <si>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</si>
  <si>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</si>
  <si>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</si>
  <si>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</si>
  <si>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</si>
  <si>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</si>
  <si>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</si>
  <si>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</si>
  <si>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</si>
  <si>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</si>
  <si>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</si>
  <si>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</si>
  <si>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</si>
  <si>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</si>
  <si>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</si>
  <si>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</si>
  <si>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</si>
  <si>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</si>
  <si>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</si>
  <si>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</si>
  <si>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</si>
  <si>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</si>
  <si>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</si>
  <si>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</si>
  <si>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</si>
  <si>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</si>
  <si>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</si>
  <si>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</si>
  <si>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</si>
  <si>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</si>
  <si>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</si>
  <si>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</si>
  <si>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</si>
  <si>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</si>
  <si>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</si>
  <si>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</si>
  <si>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</si>
  <si>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</si>
  <si>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</si>
  <si>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</si>
  <si>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</si>
  <si>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</si>
  <si>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</si>
  <si>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</si>
  <si>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</si>
  <si>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</si>
  <si>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</si>
  <si>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</si>
  <si>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</si>
  <si>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</si>
  <si>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</si>
  <si>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</si>
  <si>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</si>
  <si>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</si>
  <si>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</si>
  <si>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</si>
  <si>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</si>
  <si>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</si>
  <si>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</si>
  <si>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</si>
  <si>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</si>
  <si>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</si>
  <si>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</si>
  <si>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</si>
  <si>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</si>
  <si>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</si>
  <si>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</si>
  <si>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</si>
  <si>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</si>
  <si>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</si>
  <si>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</si>
  <si>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</si>
  <si>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</si>
  <si>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</si>
  <si>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</si>
  <si>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</si>
  <si>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</si>
  <si>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</si>
  <si>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</si>
  <si>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</si>
  <si>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</si>
  <si>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</si>
  <si>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</si>
  <si>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</si>
  <si>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</si>
  <si>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</si>
  <si>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</si>
  <si>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</si>
  <si>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</si>
  <si>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</si>
  <si>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</si>
  <si>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</si>
  <si>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</si>
  <si>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</si>
  <si>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</si>
  <si>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</si>
  <si>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</si>
  <si>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</si>
  <si>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</si>
  <si>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</si>
  <si>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</si>
  <si>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</si>
  <si>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</si>
  <si>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</si>
  <si>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</si>
  <si>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</si>
  <si>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</si>
  <si>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</si>
  <si>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</si>
  <si>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</si>
  <si>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</si>
  <si>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</si>
  <si>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</si>
  <si>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</si>
  <si>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</si>
  <si>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</si>
  <si>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</si>
  <si>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</si>
  <si>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</si>
  <si>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</si>
  <si>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</si>
  <si>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</si>
  <si>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</si>
  <si>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</si>
  <si>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</si>
  <si>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</si>
  <si>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</si>
  <si>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</si>
  <si>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</si>
  <si>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</si>
  <si>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</si>
  <si>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</si>
  <si>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</si>
  <si>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</si>
  <si>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</si>
  <si>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</si>
  <si>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</si>
  <si>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</si>
  <si>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</si>
  <si>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</si>
  <si>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</si>
  <si>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</si>
  <si>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</si>
  <si>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</si>
  <si>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</si>
  <si>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</si>
  <si>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</si>
  <si>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</si>
  <si>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</si>
  <si>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</si>
  <si>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</si>
  <si>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</si>
  <si>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</si>
  <si>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</si>
  <si>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</si>
  <si>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</si>
  <si>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</si>
  <si>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</si>
  <si>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</si>
  <si>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</si>
  <si>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</si>
  <si>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</si>
  <si>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</si>
  <si>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</si>
  <si>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</si>
  <si>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</si>
  <si>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</si>
  <si>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</si>
  <si>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</si>
  <si>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</si>
  <si>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</si>
  <si>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</si>
  <si>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</si>
  <si>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</si>
  <si>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</si>
  <si>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</si>
  <si>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</si>
  <si>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</si>
  <si>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</si>
  <si>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</si>
  <si>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</si>
  <si>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</si>
  <si>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</si>
  <si>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</si>
  <si>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</si>
  <si>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</si>
  <si>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</si>
  <si>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</si>
  <si>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</si>
  <si>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</si>
  <si>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</si>
  <si>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</si>
  <si>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</si>
  <si>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</si>
  <si>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</si>
  <si>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</si>
  <si>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</si>
  <si>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</si>
  <si>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</si>
  <si>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</si>
  <si>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</si>
  <si>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</si>
  <si>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</si>
  <si>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</si>
  <si>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</si>
  <si>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</si>
  <si>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</si>
  <si>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</si>
  <si>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</si>
  <si>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</si>
  <si>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</si>
  <si>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</si>
  <si>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</si>
  <si>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</si>
  <si>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</si>
  <si>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</si>
  <si>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</si>
  <si>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</si>
  <si>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</si>
  <si>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</si>
  <si>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</si>
  <si>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</si>
  <si>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</si>
  <si>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</si>
  <si>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</si>
  <si>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</si>
  <si>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</si>
  <si>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</si>
  <si>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</si>
  <si>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</si>
  <si>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</si>
  <si>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</si>
  <si>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</si>
  <si>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</si>
  <si>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</si>
  <si>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</si>
  <si>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</si>
  <si>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</si>
  <si>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</si>
  <si>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</si>
  <si>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</si>
  <si>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</si>
  <si>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</si>
  <si>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</si>
  <si>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</si>
  <si>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</si>
  <si>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</si>
  <si>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</si>
  <si>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</si>
  <si>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</si>
  <si>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</si>
  <si>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</si>
  <si>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</si>
  <si>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</si>
  <si>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</si>
  <si>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</si>
  <si>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</si>
  <si>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</si>
  <si>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</si>
  <si>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</si>
  <si>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</si>
  <si>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</si>
  <si>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</si>
  <si>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</si>
  <si>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</si>
  <si>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</si>
  <si>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</si>
  <si>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</si>
  <si>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</si>
  <si>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</si>
  <si>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</si>
  <si>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</si>
  <si>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</si>
  <si>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</si>
  <si>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</si>
  <si>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</si>
  <si>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</si>
  <si>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</si>
  <si>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</si>
  <si>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</si>
  <si>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</si>
  <si>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</si>
  <si>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</si>
  <si>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</si>
  <si>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</si>
  <si>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</si>
  <si>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</si>
  <si>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</si>
  <si>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</si>
  <si>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</si>
  <si>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</si>
  <si>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</si>
  <si>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</si>
  <si>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</si>
  <si>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</si>
  <si>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</si>
  <si>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</si>
  <si>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</si>
  <si>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</si>
  <si>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</si>
  <si>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</si>
  <si>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</si>
  <si>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</si>
  <si>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</si>
  <si>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</si>
  <si>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</si>
  <si>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</si>
  <si>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</si>
  <si>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</si>
  <si>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</si>
  <si>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</si>
  <si>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</si>
  <si>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</si>
  <si>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</si>
  <si>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</si>
  <si>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</si>
  <si>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</si>
  <si>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</si>
  <si>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</si>
  <si>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</si>
  <si>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</si>
  <si>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</si>
  <si>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</si>
  <si>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</si>
  <si>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</si>
  <si>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</si>
  <si>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</si>
  <si>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</si>
  <si>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</si>
  <si>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</si>
  <si>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</si>
  <si>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</si>
  <si>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</si>
  <si>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</si>
  <si>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</si>
  <si>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</si>
  <si>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</si>
  <si>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</si>
  <si>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</si>
  <si>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</si>
  <si>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</si>
  <si>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</si>
  <si>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</si>
  <si>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</si>
  <si>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</si>
  <si>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</si>
  <si>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</si>
  <si>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</si>
  <si>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</si>
  <si>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</si>
  <si>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</si>
  <si>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</si>
  <si>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</si>
  <si>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</si>
  <si>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</si>
  <si>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</si>
  <si>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</si>
  <si>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</si>
  <si>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</si>
  <si>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</si>
  <si>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</si>
  <si>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</si>
  <si>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</si>
  <si>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</si>
  <si>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</si>
  <si>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</si>
  <si>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</si>
  <si>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</si>
  <si>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</si>
  <si>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</si>
  <si>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</si>
  <si>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</si>
  <si>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</si>
  <si>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</si>
  <si>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</si>
  <si>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</si>
  <si>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</si>
  <si>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</si>
  <si>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</si>
  <si>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</si>
  <si>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</si>
  <si>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</si>
  <si>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</si>
  <si>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</si>
  <si>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</si>
  <si>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</si>
  <si>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</si>
  <si>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</si>
  <si>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</si>
  <si>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</si>
  <si>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</si>
  <si>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</si>
  <si>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</si>
  <si>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</si>
  <si>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</si>
  <si>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</si>
  <si>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</si>
  <si>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</si>
  <si>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</si>
  <si>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</si>
  <si>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</si>
  <si>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</si>
  <si>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</si>
  <si>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</si>
  <si>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</si>
  <si>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</si>
  <si>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</si>
  <si>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</si>
  <si>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</si>
  <si>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</si>
  <si>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</si>
  <si>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</si>
  <si>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</si>
  <si>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</si>
  <si>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</si>
  <si>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</si>
  <si>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</si>
  <si>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</si>
  <si>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</si>
  <si>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</si>
  <si>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</si>
  <si>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</si>
  <si>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</si>
  <si>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</si>
  <si>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</si>
  <si>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</si>
  <si>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</si>
  <si>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</si>
  <si>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</si>
  <si>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</si>
  <si>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</si>
  <si>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</si>
  <si>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</si>
  <si>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</si>
  <si>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</si>
  <si>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</si>
  <si>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</si>
  <si>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</si>
  <si>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</si>
  <si>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</si>
  <si>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</si>
  <si>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</si>
  <si>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</si>
  <si>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</si>
  <si>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</si>
  <si>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</si>
  <si>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</si>
  <si>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</si>
  <si>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</si>
  <si>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</si>
  <si>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</si>
  <si>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</si>
  <si>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</si>
  <si>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</si>
  <si>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</si>
  <si>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</si>
  <si>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</si>
  <si>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</si>
  <si>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</si>
  <si>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</si>
  <si>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</si>
  <si>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</si>
  <si>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</si>
  <si>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</si>
  <si>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</si>
  <si>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</si>
  <si>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</si>
  <si>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</si>
  <si>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</si>
  <si>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</si>
  <si>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</si>
  <si>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</si>
  <si>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</si>
  <si>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</si>
  <si>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</si>
  <si>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</si>
  <si>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</si>
  <si>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</si>
  <si>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</si>
  <si>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</si>
  <si>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</si>
  <si>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</si>
  <si>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</si>
  <si>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</si>
  <si>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</si>
  <si>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</si>
  <si>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</si>
  <si>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</si>
  <si>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</si>
  <si>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</si>
  <si>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</si>
  <si>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</si>
  <si>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</si>
  <si>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</si>
  <si>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</si>
  <si>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</si>
  <si>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</si>
  <si>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</si>
  <si>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</si>
  <si>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</si>
  <si>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</si>
  <si>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</si>
  <si>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</si>
  <si>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</si>
  <si>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</si>
  <si>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</si>
  <si>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</si>
  <si>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</si>
  <si>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</si>
  <si>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</si>
  <si>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</si>
  <si>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</si>
  <si>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</si>
  <si>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</si>
  <si>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</si>
  <si>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</si>
  <si>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</si>
  <si>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</si>
  <si>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</si>
  <si>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</si>
  <si>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</si>
  <si>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</si>
  <si>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</si>
  <si>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</si>
  <si>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</si>
  <si>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</si>
  <si>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</si>
  <si>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</si>
  <si>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</si>
  <si>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</si>
  <si>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</si>
  <si>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</si>
  <si>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</si>
  <si>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</si>
  <si>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</si>
  <si>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</si>
  <si>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</si>
  <si>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</si>
  <si>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</si>
  <si>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</si>
  <si>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</si>
  <si>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</si>
  <si>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</si>
  <si>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</si>
  <si>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</si>
  <si>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</si>
  <si>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</si>
  <si>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</si>
  <si>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</si>
  <si>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</si>
  <si>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</si>
  <si>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</si>
  <si>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</si>
  <si>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</si>
  <si>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</si>
  <si>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</si>
  <si>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</si>
  <si>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</si>
  <si>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</si>
  <si>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</si>
  <si>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</si>
  <si>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</si>
  <si>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</si>
  <si>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</si>
  <si>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</si>
  <si>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</si>
  <si>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</si>
  <si>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</si>
  <si>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</si>
  <si>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</si>
  <si>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</si>
  <si>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</si>
  <si>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</si>
  <si>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</si>
  <si>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</si>
  <si>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</si>
  <si>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</si>
  <si>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</si>
  <si>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</si>
  <si>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</si>
  <si>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</si>
  <si>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</si>
  <si>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</si>
  <si>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</si>
  <si>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</si>
  <si>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</si>
  <si>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</si>
  <si>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</si>
  <si>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</si>
  <si>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</si>
  <si>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</si>
  <si>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</si>
  <si>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</si>
  <si>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</si>
  <si>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</si>
  <si>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</si>
  <si>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</si>
  <si>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</si>
  <si>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</si>
  <si>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</si>
  <si>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</si>
  <si>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</si>
  <si>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</si>
  <si>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</si>
  <si>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</si>
  <si>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</si>
  <si>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</si>
  <si>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</si>
  <si>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</si>
  <si>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</si>
  <si>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</si>
  <si>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</si>
  <si>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</si>
  <si>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</si>
  <si>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</si>
  <si>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</si>
  <si>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</si>
  <si>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</si>
  <si>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</si>
  <si>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</si>
  <si>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</si>
  <si>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</si>
  <si>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</si>
  <si>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</si>
  <si>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</si>
  <si>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</si>
  <si>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</si>
  <si>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</si>
  <si>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</si>
  <si>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</si>
  <si>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</si>
  <si>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</si>
  <si>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</si>
  <si>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</si>
  <si>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</si>
  <si>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</si>
  <si>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</si>
  <si>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</si>
  <si>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</si>
  <si>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</si>
  <si>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</si>
  <si>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</si>
  <si>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</si>
  <si>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</si>
  <si>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</si>
  <si>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</si>
  <si>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</si>
  <si>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</si>
  <si>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</si>
  <si>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</si>
  <si>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</si>
  <si>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</si>
  <si>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</si>
  <si>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</si>
  <si>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</si>
  <si>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</si>
  <si>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</si>
  <si>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</si>
  <si>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</si>
  <si>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</si>
  <si>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</si>
  <si>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</si>
  <si>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</si>
  <si>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</si>
  <si>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</si>
  <si>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</si>
  <si>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</si>
  <si>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</si>
  <si>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</si>
  <si>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</si>
  <si>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</si>
  <si>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</si>
  <si>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</si>
  <si>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</si>
  <si>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</si>
  <si>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</si>
  <si>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</si>
  <si>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</si>
  <si>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</si>
  <si>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</si>
  <si>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</si>
  <si>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</si>
  <si>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</si>
  <si>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</si>
  <si>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</si>
  <si>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</si>
  <si>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</si>
  <si>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</si>
  <si>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</si>
  <si>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</si>
  <si>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</si>
  <si>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</si>
  <si>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</si>
  <si>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</si>
  <si>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</si>
  <si>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</si>
  <si>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</si>
  <si>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</si>
  <si>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</si>
  <si>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</si>
  <si>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</si>
  <si>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</si>
  <si>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</si>
  <si>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</si>
  <si>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</si>
  <si>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</si>
  <si>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</si>
  <si>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</si>
  <si>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</si>
  <si>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</si>
  <si>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</si>
  <si>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</si>
  <si>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</si>
  <si>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</si>
  <si>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</si>
  <si>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</si>
  <si>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</si>
  <si>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</si>
  <si>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</si>
  <si>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</si>
  <si>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</si>
  <si>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</si>
  <si>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</si>
  <si>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</si>
  <si>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</si>
  <si>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</si>
  <si>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</si>
  <si>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</si>
  <si>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</si>
  <si>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</si>
  <si>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</si>
  <si>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</si>
  <si>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</si>
  <si>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</si>
  <si>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</si>
  <si>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</si>
  <si>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</si>
  <si>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</si>
  <si>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</si>
  <si>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</si>
  <si>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</si>
  <si>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</si>
  <si>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</si>
  <si>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</si>
  <si>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</si>
  <si>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</si>
  <si>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</si>
  <si>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</si>
  <si>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</si>
  <si>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</si>
  <si>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</si>
  <si>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</si>
  <si>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</si>
  <si>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</si>
  <si>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</si>
  <si>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</si>
  <si>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</si>
  <si>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</si>
  <si>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</si>
  <si>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</si>
  <si>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</si>
  <si>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</si>
  <si>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</si>
  <si>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</si>
  <si>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</si>
  <si>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</si>
  <si>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</si>
  <si>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</si>
  <si>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</si>
  <si>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</si>
  <si>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</si>
  <si>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</si>
  <si>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</si>
  <si>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</si>
  <si>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</si>
  <si>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</si>
  <si>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</si>
  <si>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</si>
  <si>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</si>
  <si>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</si>
  <si>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</si>
  <si>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</si>
  <si>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</si>
  <si>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</si>
  <si>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</si>
  <si>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</si>
  <si>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</si>
  <si>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</si>
  <si>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</si>
  <si>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</si>
  <si>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</si>
  <si>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</si>
  <si>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</si>
  <si>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</si>
  <si>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</si>
  <si>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</si>
  <si>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</si>
  <si>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</si>
  <si>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</si>
  <si>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</si>
  <si>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</si>
  <si>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</si>
  <si>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</si>
  <si>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</si>
  <si>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</si>
  <si>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</si>
  <si>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</si>
  <si>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</si>
  <si>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</si>
  <si>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</si>
  <si>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</si>
  <si>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</si>
  <si>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</si>
  <si>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</si>
  <si>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</si>
  <si>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</si>
  <si>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</si>
  <si>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</si>
  <si>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</si>
  <si>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</si>
  <si>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</si>
  <si>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</si>
  <si>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</si>
  <si>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</si>
  <si>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</si>
  <si>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</si>
  <si>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</si>
  <si>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</si>
  <si>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</si>
  <si>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</si>
  <si>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</si>
  <si>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</si>
  <si>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</si>
  <si>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</si>
  <si>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</si>
  <si>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</si>
  <si>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</si>
  <si>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</si>
  <si>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</si>
  <si>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</si>
  <si>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</si>
  <si>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</si>
  <si>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</si>
  <si>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</si>
  <si>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</si>
  <si>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</si>
  <si>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</si>
  <si>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</si>
  <si>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</si>
  <si>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</si>
  <si>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</si>
  <si>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</si>
  <si>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</si>
  <si>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</si>
  <si>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</si>
  <si>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</si>
  <si>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</si>
  <si>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</si>
  <si>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</si>
  <si>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</si>
  <si>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</si>
  <si>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</si>
  <si>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</si>
  <si>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</si>
  <si>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</si>
  <si>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</si>
  <si>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</si>
  <si>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</si>
  <si>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</si>
  <si>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</si>
  <si>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</si>
  <si>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</si>
  <si>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</si>
  <si>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</si>
  <si>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</si>
  <si>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</si>
  <si>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</si>
  <si>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</si>
  <si>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</si>
  <si>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</si>
  <si>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</si>
  <si>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</si>
  <si>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</si>
  <si>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</si>
  <si>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</si>
  <si>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</si>
  <si>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</si>
  <si>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</si>
  <si>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</si>
  <si>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</si>
  <si>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</si>
  <si>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</si>
  <si>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</si>
  <si>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</si>
  <si>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</si>
  <si>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</si>
  <si>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</si>
  <si>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</si>
  <si>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</si>
  <si>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</si>
  <si>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</si>
  <si>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</si>
  <si>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</si>
  <si>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</si>
  <si>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</si>
  <si>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</si>
  <si>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</si>
  <si>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</si>
  <si>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Title</t>
  </si>
  <si>
    <t>First Name</t>
  </si>
  <si>
    <t>Last Name</t>
  </si>
  <si>
    <t>Ms</t>
  </si>
  <si>
    <t>Hawks</t>
  </si>
  <si>
    <t xml:space="preserve">  Kelly</t>
  </si>
  <si>
    <t>Mr</t>
  </si>
  <si>
    <t>Lehner</t>
  </si>
  <si>
    <t xml:space="preserve">  Matthew D</t>
  </si>
  <si>
    <t>Lu</t>
  </si>
  <si>
    <t xml:space="preserve">  Phil</t>
  </si>
  <si>
    <t>Osborne</t>
  </si>
  <si>
    <t xml:space="preserve">  Kelsey</t>
  </si>
  <si>
    <t>Kadala</t>
  </si>
  <si>
    <t xml:space="preserve">  Kristyn</t>
  </si>
  <si>
    <t>Baker</t>
  </si>
  <si>
    <t xml:space="preserve">  Russell B.</t>
  </si>
  <si>
    <t>Macpherson</t>
  </si>
  <si>
    <t xml:space="preserve">  Scott</t>
  </si>
  <si>
    <t>Hallman</t>
  </si>
  <si>
    <t xml:space="preserve">  Stephen</t>
  </si>
  <si>
    <t>Moran</t>
  </si>
  <si>
    <t xml:space="preserve">  Patrick R.</t>
  </si>
  <si>
    <t>Benner</t>
  </si>
  <si>
    <t xml:space="preserve">  Brooke N.</t>
  </si>
  <si>
    <t>Fierro Vargas</t>
  </si>
  <si>
    <t xml:space="preserve">  Paola Andrea</t>
  </si>
  <si>
    <t>Franz</t>
  </si>
  <si>
    <t xml:space="preserve">  David</t>
  </si>
  <si>
    <t>Foster</t>
  </si>
  <si>
    <t xml:space="preserve">  Wade</t>
  </si>
  <si>
    <t>Tenorio</t>
  </si>
  <si>
    <t xml:space="preserve">  Franklin</t>
  </si>
  <si>
    <t>Rios</t>
  </si>
  <si>
    <t xml:space="preserve">  Leilani M.</t>
  </si>
  <si>
    <t>Viau-Dupuis</t>
  </si>
  <si>
    <t xml:space="preserve">  Philippe</t>
  </si>
  <si>
    <t>Cronin</t>
  </si>
  <si>
    <t xml:space="preserve">  Jennifer A.</t>
  </si>
  <si>
    <t>Noordstar</t>
  </si>
  <si>
    <t xml:space="preserve">  Christina M.</t>
  </si>
  <si>
    <t>Boudalia</t>
  </si>
  <si>
    <t xml:space="preserve">  Said Sr.</t>
  </si>
  <si>
    <t>Flor</t>
  </si>
  <si>
    <t xml:space="preserve">  John</t>
  </si>
  <si>
    <t>Fennon</t>
  </si>
  <si>
    <t xml:space="preserve">  Myles</t>
  </si>
  <si>
    <t>Hribar</t>
  </si>
  <si>
    <t xml:space="preserve">  Madelyn C</t>
  </si>
  <si>
    <t>Tassello</t>
  </si>
  <si>
    <t xml:space="preserve">  Nicole</t>
  </si>
  <si>
    <t>Mauricette</t>
  </si>
  <si>
    <t xml:space="preserve">  Eric A.</t>
  </si>
  <si>
    <t>Garcia</t>
  </si>
  <si>
    <t xml:space="preserve">  Emiliano I.</t>
  </si>
  <si>
    <t>Airoldi</t>
  </si>
  <si>
    <t xml:space="preserve">  Adam</t>
  </si>
  <si>
    <t>Cater-Cyker</t>
  </si>
  <si>
    <t xml:space="preserve">  Zach</t>
  </si>
  <si>
    <t>Hamm</t>
  </si>
  <si>
    <t xml:space="preserve">  Stephanie W.</t>
  </si>
  <si>
    <t>Cox</t>
  </si>
  <si>
    <t>Sachrajda</t>
  </si>
  <si>
    <t xml:space="preserve">  Natalie</t>
  </si>
  <si>
    <t>Gareri</t>
  </si>
  <si>
    <t xml:space="preserve">  Nicole J.</t>
  </si>
  <si>
    <t>Welch</t>
  </si>
  <si>
    <t xml:space="preserve">  Jefferson D</t>
  </si>
  <si>
    <t>Prindiville</t>
  </si>
  <si>
    <t xml:space="preserve">  Brendan D.</t>
  </si>
  <si>
    <t>Kincaid</t>
  </si>
  <si>
    <t xml:space="preserve">  Courtney</t>
  </si>
  <si>
    <t>Bruestle</t>
  </si>
  <si>
    <t xml:space="preserve">  Sydney L.</t>
  </si>
  <si>
    <t>Lachance</t>
  </si>
  <si>
    <t xml:space="preserve">  Julien</t>
  </si>
  <si>
    <t>Eason</t>
  </si>
  <si>
    <t xml:space="preserve">  Ryan M</t>
  </si>
  <si>
    <t>Grummon</t>
  </si>
  <si>
    <t xml:space="preserve">  Anna H.</t>
  </si>
  <si>
    <t>Vanwechel</t>
  </si>
  <si>
    <t xml:space="preserve">  Samantha</t>
  </si>
  <si>
    <t>Fisher</t>
  </si>
  <si>
    <t xml:space="preserve">  Robert</t>
  </si>
  <si>
    <t>Jenkins</t>
  </si>
  <si>
    <t xml:space="preserve">  James R.</t>
  </si>
  <si>
    <t>Peters</t>
  </si>
  <si>
    <t xml:space="preserve">  Roseann</t>
  </si>
  <si>
    <t>Aha</t>
  </si>
  <si>
    <t>McElwain</t>
  </si>
  <si>
    <t xml:space="preserve">  Spencer</t>
  </si>
  <si>
    <t>Januszewski</t>
  </si>
  <si>
    <t xml:space="preserve">  Eric W</t>
  </si>
  <si>
    <t>Rohne</t>
  </si>
  <si>
    <t xml:space="preserve">  Brianna L</t>
  </si>
  <si>
    <t>O'Grady</t>
  </si>
  <si>
    <t xml:space="preserve">  Thomas J.</t>
  </si>
  <si>
    <t xml:space="preserve">  Melissa L</t>
  </si>
  <si>
    <t>De Simone</t>
  </si>
  <si>
    <t xml:space="preserve">  Flavio</t>
  </si>
  <si>
    <t>Beckett</t>
  </si>
  <si>
    <t xml:space="preserve">  Ryan</t>
  </si>
  <si>
    <t>Sobrilsky</t>
  </si>
  <si>
    <t xml:space="preserve">  Anthony J.</t>
  </si>
  <si>
    <t>Wang</t>
  </si>
  <si>
    <t xml:space="preserve">  Alex</t>
  </si>
  <si>
    <t>Campa</t>
  </si>
  <si>
    <t>Clifford</t>
  </si>
  <si>
    <t xml:space="preserve">  Andrew B</t>
  </si>
  <si>
    <t>Dalmata</t>
  </si>
  <si>
    <t xml:space="preserve">  Dara E</t>
  </si>
  <si>
    <t>Vishik</t>
  </si>
  <si>
    <t xml:space="preserve">  Inna</t>
  </si>
  <si>
    <t>Schorr</t>
  </si>
  <si>
    <t xml:space="preserve">  Ari</t>
  </si>
  <si>
    <t>Lusardi</t>
  </si>
  <si>
    <t xml:space="preserve">  Lindsey</t>
  </si>
  <si>
    <t>Rayner</t>
  </si>
  <si>
    <t xml:space="preserve">  Kenny</t>
  </si>
  <si>
    <t>Voghel</t>
  </si>
  <si>
    <t xml:space="preserve">  Louise</t>
  </si>
  <si>
    <t>Rieth</t>
  </si>
  <si>
    <t xml:space="preserve">  Cameron</t>
  </si>
  <si>
    <t>Gollotto</t>
  </si>
  <si>
    <t xml:space="preserve">  Katie T.</t>
  </si>
  <si>
    <t>Dunn</t>
  </si>
  <si>
    <t xml:space="preserve">  Casey</t>
  </si>
  <si>
    <t>Blitzer</t>
  </si>
  <si>
    <t>Smith</t>
  </si>
  <si>
    <t xml:space="preserve">  Bryson C.</t>
  </si>
  <si>
    <t>Hyland</t>
  </si>
  <si>
    <t xml:space="preserve">  Megan</t>
  </si>
  <si>
    <t>Ducharme</t>
  </si>
  <si>
    <t xml:space="preserve">  Daniel</t>
  </si>
  <si>
    <t>Johnson</t>
  </si>
  <si>
    <t xml:space="preserve">  Steven M.</t>
  </si>
  <si>
    <t>Mutz</t>
  </si>
  <si>
    <t xml:space="preserve">  Jenna L.</t>
  </si>
  <si>
    <t>Lee</t>
  </si>
  <si>
    <t xml:space="preserve">  Freeman</t>
  </si>
  <si>
    <t>Turner</t>
  </si>
  <si>
    <t xml:space="preserve">  Jeff</t>
  </si>
  <si>
    <t>Rangel</t>
  </si>
  <si>
    <t xml:space="preserve">  Elenilton V. Sr.</t>
  </si>
  <si>
    <t>Lacey</t>
  </si>
  <si>
    <t xml:space="preserve">  Maurya</t>
  </si>
  <si>
    <t>Stiger</t>
  </si>
  <si>
    <t xml:space="preserve">  Samantha C</t>
  </si>
  <si>
    <t>Caldwell</t>
  </si>
  <si>
    <t xml:space="preserve">  Bethany A</t>
  </si>
  <si>
    <t>Marmillod</t>
  </si>
  <si>
    <t xml:space="preserve">  Yves</t>
  </si>
  <si>
    <t>Cloutier-Simons</t>
  </si>
  <si>
    <t xml:space="preserve">  Danielle</t>
  </si>
  <si>
    <t>Vegas</t>
  </si>
  <si>
    <t xml:space="preserve">  Julia</t>
  </si>
  <si>
    <t>Cochran</t>
  </si>
  <si>
    <t xml:space="preserve">  Joshua</t>
  </si>
  <si>
    <t>Holtzapple</t>
  </si>
  <si>
    <t xml:space="preserve">  Jennifer</t>
  </si>
  <si>
    <t>Meyer</t>
  </si>
  <si>
    <t xml:space="preserve">  Gwen M.</t>
  </si>
  <si>
    <t>Brickley</t>
  </si>
  <si>
    <t xml:space="preserve">  Patrick</t>
  </si>
  <si>
    <t>Magee</t>
  </si>
  <si>
    <t xml:space="preserve">  Kate</t>
  </si>
  <si>
    <t>Thoma</t>
  </si>
  <si>
    <t xml:space="preserve">  Kevin</t>
  </si>
  <si>
    <t>Heagy</t>
  </si>
  <si>
    <t xml:space="preserve">  Stephen II</t>
  </si>
  <si>
    <t>Regnier</t>
  </si>
  <si>
    <t xml:space="preserve">  Philip</t>
  </si>
  <si>
    <t>Parendo</t>
  </si>
  <si>
    <t xml:space="preserve">  Brett A</t>
  </si>
  <si>
    <t>Schell</t>
  </si>
  <si>
    <t xml:space="preserve">  Rebecca</t>
  </si>
  <si>
    <t>Driscoll</t>
  </si>
  <si>
    <t xml:space="preserve">  Kelley</t>
  </si>
  <si>
    <t>Mitchell</t>
  </si>
  <si>
    <t xml:space="preserve">  Abigail K</t>
  </si>
  <si>
    <t>Cutler</t>
  </si>
  <si>
    <t xml:space="preserve">  Hope</t>
  </si>
  <si>
    <t>Derian</t>
  </si>
  <si>
    <t xml:space="preserve">  Elyse M.</t>
  </si>
  <si>
    <t>Farina</t>
  </si>
  <si>
    <t xml:space="preserve">  Nicholas</t>
  </si>
  <si>
    <t>Saunders</t>
  </si>
  <si>
    <t>Kratz</t>
  </si>
  <si>
    <t>Boland</t>
  </si>
  <si>
    <t xml:space="preserve">  Thomas</t>
  </si>
  <si>
    <t>Van Hout</t>
  </si>
  <si>
    <t xml:space="preserve">  Pamela J.</t>
  </si>
  <si>
    <t>Ramsey</t>
  </si>
  <si>
    <t xml:space="preserve">  Jessica</t>
  </si>
  <si>
    <t>Gage</t>
  </si>
  <si>
    <t xml:space="preserve">  Ron N</t>
  </si>
  <si>
    <t>Gollins</t>
  </si>
  <si>
    <t>Benestad</t>
  </si>
  <si>
    <t xml:space="preserve">  Brian</t>
  </si>
  <si>
    <t>Aviv</t>
  </si>
  <si>
    <t xml:space="preserve">  Sari</t>
  </si>
  <si>
    <t>Burns</t>
  </si>
  <si>
    <t xml:space="preserve">  Robert M.</t>
  </si>
  <si>
    <t>Maldonado</t>
  </si>
  <si>
    <t xml:space="preserve">  Ricardo</t>
  </si>
  <si>
    <t>Yitref</t>
  </si>
  <si>
    <t xml:space="preserve">  Gedion</t>
  </si>
  <si>
    <t>Loudon-Brown</t>
  </si>
  <si>
    <t xml:space="preserve">  Mark</t>
  </si>
  <si>
    <t>Sugathadasa</t>
  </si>
  <si>
    <t xml:space="preserve">  Gamini P.</t>
  </si>
  <si>
    <t>Ganley</t>
  </si>
  <si>
    <t xml:space="preserve">  Emily J</t>
  </si>
  <si>
    <t>Potter</t>
  </si>
  <si>
    <t xml:space="preserve">  Amanda</t>
  </si>
  <si>
    <t>Rasmussen</t>
  </si>
  <si>
    <t>Robinson</t>
  </si>
  <si>
    <t xml:space="preserve">  Knox</t>
  </si>
  <si>
    <t>Antonopoulos</t>
  </si>
  <si>
    <t xml:space="preserve">  Yianna</t>
  </si>
  <si>
    <t>Groner</t>
  </si>
  <si>
    <t xml:space="preserve">  Roberta</t>
  </si>
  <si>
    <t>Zywicki</t>
  </si>
  <si>
    <t xml:space="preserve">  Benjamin P.</t>
  </si>
  <si>
    <t>Cardinal</t>
  </si>
  <si>
    <t xml:space="preserve">  Craig</t>
  </si>
  <si>
    <t>Alleman</t>
  </si>
  <si>
    <t xml:space="preserve">  Ann</t>
  </si>
  <si>
    <t>Stroffolino</t>
  </si>
  <si>
    <t xml:space="preserve">  Jamie P</t>
  </si>
  <si>
    <t>Clubb</t>
  </si>
  <si>
    <t>McGoogan</t>
  </si>
  <si>
    <t xml:space="preserve">  Charlie</t>
  </si>
  <si>
    <t>Keflezighi</t>
  </si>
  <si>
    <t xml:space="preserve">  Meb</t>
  </si>
  <si>
    <t>Syed</t>
  </si>
  <si>
    <t xml:space="preserve">  Aaqib L.</t>
  </si>
  <si>
    <t>Segal</t>
  </si>
  <si>
    <t xml:space="preserve">  Craig A.</t>
  </si>
  <si>
    <t>Defranco</t>
  </si>
  <si>
    <t xml:space="preserve">  Meredith</t>
  </si>
  <si>
    <t>Kells</t>
  </si>
  <si>
    <t xml:space="preserve">  Doug</t>
  </si>
  <si>
    <t>Lawton</t>
  </si>
  <si>
    <t xml:space="preserve">  Elizabeth J.</t>
  </si>
  <si>
    <t>Bejar</t>
  </si>
  <si>
    <t xml:space="preserve">  Matthew P</t>
  </si>
  <si>
    <t>Navarro Castro</t>
  </si>
  <si>
    <t xml:space="preserve">  Guillermo Sr.</t>
  </si>
  <si>
    <t>Tice</t>
  </si>
  <si>
    <t xml:space="preserve">  Ryan C</t>
  </si>
  <si>
    <t>Wolf</t>
  </si>
  <si>
    <t xml:space="preserve">  Dane</t>
  </si>
  <si>
    <t>Oppedal</t>
  </si>
  <si>
    <t xml:space="preserve">  Jonas</t>
  </si>
  <si>
    <t>Wright</t>
  </si>
  <si>
    <t xml:space="preserve">  George E</t>
  </si>
  <si>
    <t>Ellis</t>
  </si>
  <si>
    <t xml:space="preserve">  Sara S</t>
  </si>
  <si>
    <t>Taormina</t>
  </si>
  <si>
    <t xml:space="preserve">  Nick</t>
  </si>
  <si>
    <t>Lynch</t>
  </si>
  <si>
    <t xml:space="preserve">  Timothy</t>
  </si>
  <si>
    <t>Tavella</t>
  </si>
  <si>
    <t xml:space="preserve">  Becky L</t>
  </si>
  <si>
    <t>Neufeld</t>
  </si>
  <si>
    <t xml:space="preserve">  Steph K.</t>
  </si>
  <si>
    <t>Walhovd</t>
  </si>
  <si>
    <t xml:space="preserve">  Kristine B.</t>
  </si>
  <si>
    <t>Washburn</t>
  </si>
  <si>
    <t xml:space="preserve">  Taylor B</t>
  </si>
  <si>
    <t>Mroz</t>
  </si>
  <si>
    <t xml:space="preserve">  William</t>
  </si>
  <si>
    <t>Canaday</t>
  </si>
  <si>
    <t xml:space="preserve">  Sage</t>
  </si>
  <si>
    <t>Atkins</t>
  </si>
  <si>
    <t xml:space="preserve">  Cole</t>
  </si>
  <si>
    <t>Kropelnicki</t>
  </si>
  <si>
    <t xml:space="preserve">  Jesse</t>
  </si>
  <si>
    <t>Braund</t>
  </si>
  <si>
    <t xml:space="preserve">  Tammi J.</t>
  </si>
  <si>
    <t>Anderson</t>
  </si>
  <si>
    <t xml:space="preserve">  Matthew S.</t>
  </si>
  <si>
    <t>Bilbrey</t>
  </si>
  <si>
    <t xml:space="preserve">  Eric</t>
  </si>
  <si>
    <t>Curtis</t>
  </si>
  <si>
    <t xml:space="preserve">  Valeria R</t>
  </si>
  <si>
    <t xml:space="preserve">  Michael P</t>
  </si>
  <si>
    <t>Bardeesy</t>
  </si>
  <si>
    <t xml:space="preserve">  Rami</t>
  </si>
  <si>
    <t>Shanahan</t>
  </si>
  <si>
    <t xml:space="preserve">  Denis</t>
  </si>
  <si>
    <t>Sutter</t>
  </si>
  <si>
    <t xml:space="preserve">  Brian E</t>
  </si>
  <si>
    <t>Yesian</t>
  </si>
  <si>
    <t xml:space="preserve">  Bonnie</t>
  </si>
  <si>
    <t>Meers</t>
  </si>
  <si>
    <t>Conlon</t>
  </si>
  <si>
    <t xml:space="preserve">  Paul</t>
  </si>
  <si>
    <t>Arnstein</t>
  </si>
  <si>
    <t xml:space="preserve">  Michael</t>
  </si>
  <si>
    <t>Jurek</t>
  </si>
  <si>
    <t xml:space="preserve">  Samuel</t>
  </si>
  <si>
    <t>Thill</t>
  </si>
  <si>
    <t xml:space="preserve">  Matthew</t>
  </si>
  <si>
    <t>Glaz</t>
  </si>
  <si>
    <t>Sampson</t>
  </si>
  <si>
    <t xml:space="preserve">  Syndy</t>
  </si>
  <si>
    <t>Duliba</t>
  </si>
  <si>
    <t xml:space="preserve">  Aleksandra</t>
  </si>
  <si>
    <t>Tanguay</t>
  </si>
  <si>
    <t xml:space="preserve">  Steeve T Sr.</t>
  </si>
  <si>
    <t>McClelland</t>
  </si>
  <si>
    <t xml:space="preserve">  Richard</t>
  </si>
  <si>
    <t>Gorman</t>
  </si>
  <si>
    <t xml:space="preserve">  Aaron T</t>
  </si>
  <si>
    <t>Nishimura</t>
  </si>
  <si>
    <t xml:space="preserve">  Akira</t>
  </si>
  <si>
    <t>Brimble</t>
  </si>
  <si>
    <t xml:space="preserve">  Ben</t>
  </si>
  <si>
    <t>Trenk</t>
  </si>
  <si>
    <t xml:space="preserve">  Jana</t>
  </si>
  <si>
    <t>Wittmann</t>
  </si>
  <si>
    <t xml:space="preserve">  Jay T.</t>
  </si>
  <si>
    <t>Tremblay</t>
  </si>
  <si>
    <t xml:space="preserve">  Marie-Helene</t>
  </si>
  <si>
    <t>Scofield</t>
  </si>
  <si>
    <t xml:space="preserve">  Bret R</t>
  </si>
  <si>
    <t>Yost</t>
  </si>
  <si>
    <t xml:space="preserve">  Gardner L</t>
  </si>
  <si>
    <t>Torphy</t>
  </si>
  <si>
    <t xml:space="preserve">  Bobby</t>
  </si>
  <si>
    <t>Busby</t>
  </si>
  <si>
    <t>Nguyen</t>
  </si>
  <si>
    <t xml:space="preserve">  Lina</t>
  </si>
  <si>
    <t>Hanley</t>
  </si>
  <si>
    <t xml:space="preserve">  Zebulon</t>
  </si>
  <si>
    <t>Scheer</t>
  </si>
  <si>
    <t>Rankin</t>
  </si>
  <si>
    <t xml:space="preserve">  Greg</t>
  </si>
  <si>
    <t>Ricardi</t>
  </si>
  <si>
    <t>Karkos</t>
  </si>
  <si>
    <t xml:space="preserve">  Kelsey A.</t>
  </si>
  <si>
    <t>Price-Dierksen</t>
  </si>
  <si>
    <t xml:space="preserve">  Bronwen L</t>
  </si>
  <si>
    <t>Knispel</t>
  </si>
  <si>
    <t xml:space="preserve">  Manuela</t>
  </si>
  <si>
    <t>King</t>
  </si>
  <si>
    <t xml:space="preserve">  Jennifer L</t>
  </si>
  <si>
    <t>Samuelson</t>
  </si>
  <si>
    <t xml:space="preserve">  Abby W.</t>
  </si>
  <si>
    <t>Fredsall</t>
  </si>
  <si>
    <t xml:space="preserve">  Tyler</t>
  </si>
  <si>
    <t>Eggleston</t>
  </si>
  <si>
    <t xml:space="preserve">  Jeffrey</t>
  </si>
  <si>
    <t>Palombaro</t>
  </si>
  <si>
    <t xml:space="preserve">  Matthew F</t>
  </si>
  <si>
    <t>Silva</t>
  </si>
  <si>
    <t xml:space="preserve">  Ryan J.</t>
  </si>
  <si>
    <t>Bugala</t>
  </si>
  <si>
    <t xml:space="preserve">  Amy</t>
  </si>
  <si>
    <t>Dublin</t>
  </si>
  <si>
    <t xml:space="preserve">  Andrew P</t>
  </si>
  <si>
    <t>Cleland</t>
  </si>
  <si>
    <t xml:space="preserve">  George M. V</t>
  </si>
  <si>
    <t>Evans</t>
  </si>
  <si>
    <t xml:space="preserve">  Sarah</t>
  </si>
  <si>
    <t>Boyd</t>
  </si>
  <si>
    <t xml:space="preserve">  Lara</t>
  </si>
  <si>
    <t>Roulier</t>
  </si>
  <si>
    <t xml:space="preserve">  Sebastien</t>
  </si>
  <si>
    <t>Mullins</t>
  </si>
  <si>
    <t xml:space="preserve">  Padraig</t>
  </si>
  <si>
    <t>Hofmann</t>
  </si>
  <si>
    <t xml:space="preserve">  Heather</t>
  </si>
  <si>
    <t>Garcia Garcia</t>
  </si>
  <si>
    <t xml:space="preserve">  Jorge</t>
  </si>
  <si>
    <t>Klecker</t>
  </si>
  <si>
    <t xml:space="preserve">  Jack R</t>
  </si>
  <si>
    <t>Cancre</t>
  </si>
  <si>
    <t xml:space="preserve">  Felix</t>
  </si>
  <si>
    <t>Denucci</t>
  </si>
  <si>
    <t xml:space="preserve">  Christopher C</t>
  </si>
  <si>
    <t>Saldana</t>
  </si>
  <si>
    <t>Weinberg</t>
  </si>
  <si>
    <t xml:space="preserve">  Jill</t>
  </si>
  <si>
    <t>Walsh</t>
  </si>
  <si>
    <t>Pasten</t>
  </si>
  <si>
    <t xml:space="preserve">  Alejandro</t>
  </si>
  <si>
    <t>LaBelle</t>
  </si>
  <si>
    <t xml:space="preserve">  Ian E.</t>
  </si>
  <si>
    <t>Guzman</t>
  </si>
  <si>
    <t xml:space="preserve">  Hector Sr.</t>
  </si>
  <si>
    <t>Turnbull</t>
  </si>
  <si>
    <t>Aguero</t>
  </si>
  <si>
    <t xml:space="preserve">  Matt</t>
  </si>
  <si>
    <t>Woodward</t>
  </si>
  <si>
    <t xml:space="preserve">  Elizabeth H</t>
  </si>
  <si>
    <t>McElroy</t>
  </si>
  <si>
    <t xml:space="preserve">  Grace</t>
  </si>
  <si>
    <t>Lopez</t>
  </si>
  <si>
    <t xml:space="preserve">  Jaime</t>
  </si>
  <si>
    <t>Cardosi</t>
  </si>
  <si>
    <t xml:space="preserve">  Calesse</t>
  </si>
  <si>
    <t>Looney</t>
  </si>
  <si>
    <t xml:space="preserve">  Kate L</t>
  </si>
  <si>
    <t>Zyryanov</t>
  </si>
  <si>
    <t xml:space="preserve">  Sergey</t>
  </si>
  <si>
    <t>Gavin</t>
  </si>
  <si>
    <t xml:space="preserve">  Timothy V</t>
  </si>
  <si>
    <t>Littlefield</t>
  </si>
  <si>
    <t xml:space="preserve">  Andrew S</t>
  </si>
  <si>
    <t>Shearer</t>
  </si>
  <si>
    <t>Armstrong</t>
  </si>
  <si>
    <t>Warriner</t>
  </si>
  <si>
    <t xml:space="preserve">  Lawrence</t>
  </si>
  <si>
    <t>White</t>
  </si>
  <si>
    <t>Cordaro</t>
  </si>
  <si>
    <t>Hamilton</t>
  </si>
  <si>
    <t xml:space="preserve">  Gavin M.</t>
  </si>
  <si>
    <t xml:space="preserve">  Rick E</t>
  </si>
  <si>
    <t>Duke</t>
  </si>
  <si>
    <t xml:space="preserve">  Andrea H.</t>
  </si>
  <si>
    <t>Malatesta</t>
  </si>
  <si>
    <t xml:space="preserve">  Anthony S</t>
  </si>
  <si>
    <t>Hinrichsen</t>
  </si>
  <si>
    <t xml:space="preserve">  Erik</t>
  </si>
  <si>
    <t>Lucan</t>
  </si>
  <si>
    <t xml:space="preserve">  Kiley D</t>
  </si>
  <si>
    <t>Koch</t>
  </si>
  <si>
    <t xml:space="preserve">  Chris</t>
  </si>
  <si>
    <t>O'Connor</t>
  </si>
  <si>
    <t xml:space="preserve">  Marian M.</t>
  </si>
  <si>
    <t>Kampwerth</t>
  </si>
  <si>
    <t xml:space="preserve">  Jeremy</t>
  </si>
  <si>
    <t>Federoff</t>
  </si>
  <si>
    <t xml:space="preserve">  Allison H</t>
  </si>
  <si>
    <t>Goya</t>
  </si>
  <si>
    <t xml:space="preserve">  Elizabeth</t>
  </si>
  <si>
    <t>Hodges</t>
  </si>
  <si>
    <t xml:space="preserve">  Andrew</t>
  </si>
  <si>
    <t>Erickson</t>
  </si>
  <si>
    <t xml:space="preserve">  Anders J</t>
  </si>
  <si>
    <t>Welleck</t>
  </si>
  <si>
    <t xml:space="preserve">  Sean</t>
  </si>
  <si>
    <t>Polen</t>
  </si>
  <si>
    <t xml:space="preserve">  Brian M.</t>
  </si>
  <si>
    <t>Hufstader</t>
  </si>
  <si>
    <t xml:space="preserve">  Susannah</t>
  </si>
  <si>
    <t>Doak</t>
  </si>
  <si>
    <t xml:space="preserve">  Randy</t>
  </si>
  <si>
    <t>Noya</t>
  </si>
  <si>
    <t xml:space="preserve">  Leslie</t>
  </si>
  <si>
    <t>Heninger</t>
  </si>
  <si>
    <t xml:space="preserve">  Brittany L.</t>
  </si>
  <si>
    <t>Richardson</t>
  </si>
  <si>
    <t xml:space="preserve">  Cassie J.</t>
  </si>
  <si>
    <t>Deucher</t>
  </si>
  <si>
    <t xml:space="preserve">  Peter W</t>
  </si>
  <si>
    <t>Wilson</t>
  </si>
  <si>
    <t xml:space="preserve">  Douglas</t>
  </si>
  <si>
    <t>Hall</t>
  </si>
  <si>
    <t xml:space="preserve">  Dan</t>
  </si>
  <si>
    <t>Reed</t>
  </si>
  <si>
    <t xml:space="preserve">  Dan M.</t>
  </si>
  <si>
    <t>Frome</t>
  </si>
  <si>
    <t xml:space="preserve">  Eric L.</t>
  </si>
  <si>
    <t>Creasy</t>
  </si>
  <si>
    <t xml:space="preserve">  Les J</t>
  </si>
  <si>
    <t>Latimer</t>
  </si>
  <si>
    <t xml:space="preserve">  Stephanie</t>
  </si>
  <si>
    <t>Wei</t>
  </si>
  <si>
    <t xml:space="preserve">  Melissa Y</t>
  </si>
  <si>
    <t>Hayes</t>
  </si>
  <si>
    <t xml:space="preserve">  Ashley</t>
  </si>
  <si>
    <t>Velardo</t>
  </si>
  <si>
    <t xml:space="preserve">  Stephanie M.</t>
  </si>
  <si>
    <t>Kastes</t>
  </si>
  <si>
    <t xml:space="preserve">  Kylie</t>
  </si>
  <si>
    <t>Escorcia</t>
  </si>
  <si>
    <t>Larscheid</t>
  </si>
  <si>
    <t xml:space="preserve">  Carrie</t>
  </si>
  <si>
    <t>O'Bannon</t>
  </si>
  <si>
    <t>Ridgway</t>
  </si>
  <si>
    <t xml:space="preserve">  Zach S</t>
  </si>
  <si>
    <t>Black</t>
  </si>
  <si>
    <t xml:space="preserve">  Alan</t>
  </si>
  <si>
    <t>Canton</t>
  </si>
  <si>
    <t xml:space="preserve">  Nate</t>
  </si>
  <si>
    <t>Fine</t>
  </si>
  <si>
    <t xml:space="preserve">  Jesse G.</t>
  </si>
  <si>
    <t>Bui</t>
  </si>
  <si>
    <t xml:space="preserve">  Jason</t>
  </si>
  <si>
    <t>Riepma</t>
  </si>
  <si>
    <t xml:space="preserve">  Megan A.</t>
  </si>
  <si>
    <t>Inman</t>
  </si>
  <si>
    <t xml:space="preserve">  Luke M</t>
  </si>
  <si>
    <t>Kruzel</t>
  </si>
  <si>
    <t xml:space="preserve">  Jacy D</t>
  </si>
  <si>
    <t>Lindsay</t>
  </si>
  <si>
    <t xml:space="preserve">  Simon G.</t>
  </si>
  <si>
    <t>Land</t>
  </si>
  <si>
    <t xml:space="preserve">  Ainsley E.</t>
  </si>
  <si>
    <t>Brecher</t>
  </si>
  <si>
    <t xml:space="preserve">  Erica A.</t>
  </si>
  <si>
    <t>Debolt</t>
  </si>
  <si>
    <t>Oswalt</t>
  </si>
  <si>
    <t xml:space="preserve">  Erin C.</t>
  </si>
  <si>
    <t xml:space="preserve">  Adrienne</t>
  </si>
  <si>
    <t>Bulewich</t>
  </si>
  <si>
    <t>Fukuda</t>
  </si>
  <si>
    <t xml:space="preserve">  Yutaka</t>
  </si>
  <si>
    <t>Phillips</t>
  </si>
  <si>
    <t xml:space="preserve">  Tyler M</t>
  </si>
  <si>
    <t>Maddison</t>
  </si>
  <si>
    <t>Lockwood</t>
  </si>
  <si>
    <t xml:space="preserve">  Andrew B.</t>
  </si>
  <si>
    <t>Defilippi</t>
  </si>
  <si>
    <t xml:space="preserve">  James</t>
  </si>
  <si>
    <t>Jackson</t>
  </si>
  <si>
    <t xml:space="preserve">  Shawn P.</t>
  </si>
  <si>
    <t>Ozahowski</t>
  </si>
  <si>
    <t>Guthals</t>
  </si>
  <si>
    <t xml:space="preserve">  Nathaniel</t>
  </si>
  <si>
    <t>Yates</t>
  </si>
  <si>
    <t xml:space="preserve">  Kevin D.</t>
  </si>
  <si>
    <t xml:space="preserve">  Joan</t>
  </si>
  <si>
    <t>Lemos</t>
  </si>
  <si>
    <t xml:space="preserve">  Christopher A</t>
  </si>
  <si>
    <t>Seynders</t>
  </si>
  <si>
    <t xml:space="preserve">  Kacy L.</t>
  </si>
  <si>
    <t xml:space="preserve">  Benjamin H.</t>
  </si>
  <si>
    <t>Walker</t>
  </si>
  <si>
    <t xml:space="preserve">  Xaviour J.</t>
  </si>
  <si>
    <t>Lam</t>
  </si>
  <si>
    <t xml:space="preserve">  Michael T.</t>
  </si>
  <si>
    <t>Sweigart</t>
  </si>
  <si>
    <t xml:space="preserve">  Bradley</t>
  </si>
  <si>
    <t>Sieczkowski</t>
  </si>
  <si>
    <t xml:space="preserve">  Andrea</t>
  </si>
  <si>
    <t>Jurgens</t>
  </si>
  <si>
    <t xml:space="preserve">  Nancy M</t>
  </si>
  <si>
    <t>Hackman</t>
  </si>
  <si>
    <t>Klarich</t>
  </si>
  <si>
    <t xml:space="preserve">  Lee</t>
  </si>
  <si>
    <t>Schulten</t>
  </si>
  <si>
    <t>Fagerstrom</t>
  </si>
  <si>
    <t xml:space="preserve">  Erik T.</t>
  </si>
  <si>
    <t>Bien</t>
  </si>
  <si>
    <t xml:space="preserve">  Rod W</t>
  </si>
  <si>
    <t>Hess</t>
  </si>
  <si>
    <t xml:space="preserve">  Joey</t>
  </si>
  <si>
    <t>Shaw</t>
  </si>
  <si>
    <t xml:space="preserve">  Hillary L.</t>
  </si>
  <si>
    <t>Williams</t>
  </si>
  <si>
    <t xml:space="preserve">  Eric J</t>
  </si>
  <si>
    <t>Menzies</t>
  </si>
  <si>
    <t xml:space="preserve">  Nicolas</t>
  </si>
  <si>
    <t>Buehler</t>
  </si>
  <si>
    <t xml:space="preserve">  Marcel</t>
  </si>
  <si>
    <t>Degen</t>
  </si>
  <si>
    <t xml:space="preserve">  Ashley N</t>
  </si>
  <si>
    <t>Arsenault</t>
  </si>
  <si>
    <t xml:space="preserve">  Evan D</t>
  </si>
  <si>
    <t>Hoff</t>
  </si>
  <si>
    <t xml:space="preserve">  Krisana</t>
  </si>
  <si>
    <t xml:space="preserve">  Kyle</t>
  </si>
  <si>
    <t>Ashley</t>
  </si>
  <si>
    <t>Rindahl</t>
  </si>
  <si>
    <t xml:space="preserve">  Martin A.</t>
  </si>
  <si>
    <t>Clark</t>
  </si>
  <si>
    <t xml:space="preserve">  Stacey</t>
  </si>
  <si>
    <t>Irish</t>
  </si>
  <si>
    <t xml:space="preserve">  Christine</t>
  </si>
  <si>
    <t xml:space="preserve">  Sarah C.</t>
  </si>
  <si>
    <t>Dewitt</t>
  </si>
  <si>
    <t>Hickman</t>
  </si>
  <si>
    <t xml:space="preserve">  Jason W</t>
  </si>
  <si>
    <t>Gonzalez</t>
  </si>
  <si>
    <t xml:space="preserve">  Michele</t>
  </si>
  <si>
    <t>Difani</t>
  </si>
  <si>
    <t xml:space="preserve">  Nikki</t>
  </si>
  <si>
    <t xml:space="preserve">  Philip J.</t>
  </si>
  <si>
    <t>Widmann</t>
  </si>
  <si>
    <t xml:space="preserve">  Bryan L</t>
  </si>
  <si>
    <t>Tunney</t>
  </si>
  <si>
    <t xml:space="preserve">  Timothy F</t>
  </si>
  <si>
    <t>San Juan</t>
  </si>
  <si>
    <t xml:space="preserve">  Angielyn M</t>
  </si>
  <si>
    <t>Croll</t>
  </si>
  <si>
    <t xml:space="preserve">  Jeanie M.</t>
  </si>
  <si>
    <t>Rolfes</t>
  </si>
  <si>
    <t>Hinkle</t>
  </si>
  <si>
    <t>Leuchanka</t>
  </si>
  <si>
    <t xml:space="preserve">  Aliaksandr</t>
  </si>
  <si>
    <t>Ayr</t>
  </si>
  <si>
    <t xml:space="preserve">  Jason M.</t>
  </si>
  <si>
    <t>Siegel</t>
  </si>
  <si>
    <t xml:space="preserve">  Sheera K</t>
  </si>
  <si>
    <t>Penrose</t>
  </si>
  <si>
    <t xml:space="preserve">  Janice</t>
  </si>
  <si>
    <t>Schuler</t>
  </si>
  <si>
    <t xml:space="preserve">  Timothy G.</t>
  </si>
  <si>
    <t xml:space="preserve">  Alan R</t>
  </si>
  <si>
    <t>Stange</t>
  </si>
  <si>
    <t>Roy</t>
  </si>
  <si>
    <t xml:space="preserve">  Marie-France</t>
  </si>
  <si>
    <t>Potere</t>
  </si>
  <si>
    <t xml:space="preserve">  Erik F.</t>
  </si>
  <si>
    <t>Podgurski</t>
  </si>
  <si>
    <t>Diamond</t>
  </si>
  <si>
    <t xml:space="preserve">  Anthony</t>
  </si>
  <si>
    <t>Sallade</t>
  </si>
  <si>
    <t>Zhang</t>
  </si>
  <si>
    <t xml:space="preserve">  Yu</t>
  </si>
  <si>
    <t>Chatfield</t>
  </si>
  <si>
    <t xml:space="preserve">  Caleb N</t>
  </si>
  <si>
    <t>Bruns</t>
  </si>
  <si>
    <t>Yochum</t>
  </si>
  <si>
    <t xml:space="preserve">  Angela R</t>
  </si>
  <si>
    <t>Freeburn</t>
  </si>
  <si>
    <t xml:space="preserve">  Keith J</t>
  </si>
  <si>
    <t>Spencer</t>
  </si>
  <si>
    <t xml:space="preserve">  Emma</t>
  </si>
  <si>
    <t>Jarosik</t>
  </si>
  <si>
    <t xml:space="preserve">  Nathan A</t>
  </si>
  <si>
    <t>Heinzen</t>
  </si>
  <si>
    <t xml:space="preserve">  Kathryn</t>
  </si>
  <si>
    <t>Kelley</t>
  </si>
  <si>
    <t xml:space="preserve">  Elizabeth H.</t>
  </si>
  <si>
    <t>Thacker</t>
  </si>
  <si>
    <t>Jeseritz</t>
  </si>
  <si>
    <t xml:space="preserve">  Cheryl A</t>
  </si>
  <si>
    <t>Hohman</t>
  </si>
  <si>
    <t xml:space="preserve">  Kimberly A</t>
  </si>
  <si>
    <t>Hill</t>
  </si>
  <si>
    <t xml:space="preserve">  Cynthia</t>
  </si>
  <si>
    <t>Kuepfer</t>
  </si>
  <si>
    <t>Kaczmarek</t>
  </si>
  <si>
    <t xml:space="preserve">  Bruce</t>
  </si>
  <si>
    <t>Pitt</t>
  </si>
  <si>
    <t xml:space="preserve">  Allison</t>
  </si>
  <si>
    <t>Lorton</t>
  </si>
  <si>
    <t>Castaneda</t>
  </si>
  <si>
    <t xml:space="preserve">  Gabriela</t>
  </si>
  <si>
    <t>Cherop</t>
  </si>
  <si>
    <t xml:space="preserve">  Sharon</t>
  </si>
  <si>
    <t>Howell</t>
  </si>
  <si>
    <t xml:space="preserve">  Jason A</t>
  </si>
  <si>
    <t>Palmer</t>
  </si>
  <si>
    <t xml:space="preserve">  Chelsey C.</t>
  </si>
  <si>
    <t>Olson</t>
  </si>
  <si>
    <t xml:space="preserve">  Devon A.</t>
  </si>
  <si>
    <t>Waldron</t>
  </si>
  <si>
    <t xml:space="preserve">  Joni L</t>
  </si>
  <si>
    <t xml:space="preserve">  Colin</t>
  </si>
  <si>
    <t>Stack</t>
  </si>
  <si>
    <t xml:space="preserve">  Rachael</t>
  </si>
  <si>
    <t>Sanchez Y Torres</t>
  </si>
  <si>
    <t xml:space="preserve">  Maricela</t>
  </si>
  <si>
    <t>Daniels</t>
  </si>
  <si>
    <t xml:space="preserve">  Marie</t>
  </si>
  <si>
    <t>Pepp</t>
  </si>
  <si>
    <t xml:space="preserve">  Frank</t>
  </si>
  <si>
    <t>Buechler</t>
  </si>
  <si>
    <t xml:space="preserve">  Jeffry</t>
  </si>
  <si>
    <t>Buenting</t>
  </si>
  <si>
    <t xml:space="preserve">  Mike</t>
  </si>
  <si>
    <t xml:space="preserve">  Rick</t>
  </si>
  <si>
    <t>Arcand</t>
  </si>
  <si>
    <t xml:space="preserve">  Pierre-Michel</t>
  </si>
  <si>
    <t>Kesack</t>
  </si>
  <si>
    <t>Post</t>
  </si>
  <si>
    <t xml:space="preserve">  Brian L.</t>
  </si>
  <si>
    <t>Dunne</t>
  </si>
  <si>
    <t xml:space="preserve">  Morgan M.</t>
  </si>
  <si>
    <t>Kilel</t>
  </si>
  <si>
    <t xml:space="preserve">  Caroline</t>
  </si>
  <si>
    <t>Nicholson</t>
  </si>
  <si>
    <t xml:space="preserve">  Drew T.</t>
  </si>
  <si>
    <t>Susmann</t>
  </si>
  <si>
    <t xml:space="preserve">  Austin W</t>
  </si>
  <si>
    <t>Harsh</t>
  </si>
  <si>
    <t xml:space="preserve">  Berenice</t>
  </si>
  <si>
    <t>Pocasangre</t>
  </si>
  <si>
    <t xml:space="preserve">  Kenneth A</t>
  </si>
  <si>
    <t>Martinez Lopez</t>
  </si>
  <si>
    <t xml:space="preserve">  Miguel</t>
  </si>
  <si>
    <t>Riegel</t>
  </si>
  <si>
    <t xml:space="preserve">  Hadley T.</t>
  </si>
  <si>
    <t>Monson</t>
  </si>
  <si>
    <t xml:space="preserve">  Taylor</t>
  </si>
  <si>
    <t>Klubben</t>
  </si>
  <si>
    <t xml:space="preserve">  Tenielle M</t>
  </si>
  <si>
    <t>Mascaro</t>
  </si>
  <si>
    <t>Norvell</t>
  </si>
  <si>
    <t xml:space="preserve">  Nora P</t>
  </si>
  <si>
    <t>Ornelas</t>
  </si>
  <si>
    <t xml:space="preserve">  Zachary</t>
  </si>
  <si>
    <t>Fitzpatrick</t>
  </si>
  <si>
    <t>Bloomquist</t>
  </si>
  <si>
    <t xml:space="preserve">  Alyssa K.</t>
  </si>
  <si>
    <t>Wick</t>
  </si>
  <si>
    <t>Zappala</t>
  </si>
  <si>
    <t xml:space="preserve">  Dante</t>
  </si>
  <si>
    <t>Earle</t>
  </si>
  <si>
    <t xml:space="preserve">  Sara E.</t>
  </si>
  <si>
    <t>Majewski</t>
  </si>
  <si>
    <t>Apfelbaum</t>
  </si>
  <si>
    <t>Graham</t>
  </si>
  <si>
    <t>Whitacre</t>
  </si>
  <si>
    <t xml:space="preserve">  Andrew D.</t>
  </si>
  <si>
    <t>Wegener</t>
  </si>
  <si>
    <t xml:space="preserve">  Joel D</t>
  </si>
  <si>
    <t>Collie</t>
  </si>
  <si>
    <t xml:space="preserve">  Michelle</t>
  </si>
  <si>
    <t>Murphy</t>
  </si>
  <si>
    <t xml:space="preserve">  Michael J.</t>
  </si>
  <si>
    <t>Butters</t>
  </si>
  <si>
    <t>Cook</t>
  </si>
  <si>
    <t xml:space="preserve">  Summer B.</t>
  </si>
  <si>
    <t>Breen</t>
  </si>
  <si>
    <t xml:space="preserve">  Edward</t>
  </si>
  <si>
    <t>Fitzsimons</t>
  </si>
  <si>
    <t>Houle</t>
  </si>
  <si>
    <t xml:space="preserve">  Kacee</t>
  </si>
  <si>
    <t xml:space="preserve">  Dave</t>
  </si>
  <si>
    <t>Ray</t>
  </si>
  <si>
    <t xml:space="preserve">  Maryanna</t>
  </si>
  <si>
    <t>Jennings</t>
  </si>
  <si>
    <t xml:space="preserve">  Jessica H.</t>
  </si>
  <si>
    <t>Fuller</t>
  </si>
  <si>
    <t xml:space="preserve">  Deanna</t>
  </si>
  <si>
    <t>Lovisek</t>
  </si>
  <si>
    <t xml:space="preserve">  Peter</t>
  </si>
  <si>
    <t>Painter</t>
  </si>
  <si>
    <t>Edwards</t>
  </si>
  <si>
    <t xml:space="preserve">  Elizabeth M.</t>
  </si>
  <si>
    <t>Liebl</t>
  </si>
  <si>
    <t xml:space="preserve">  Gregory</t>
  </si>
  <si>
    <t>Kasabian-Larson</t>
  </si>
  <si>
    <t xml:space="preserve">  Sarah E.</t>
  </si>
  <si>
    <t>Creamer</t>
  </si>
  <si>
    <t xml:space="preserve">  Anne Elise</t>
  </si>
  <si>
    <t>Kimbel</t>
  </si>
  <si>
    <t xml:space="preserve">  Christopher R</t>
  </si>
  <si>
    <t>Livensparger</t>
  </si>
  <si>
    <t xml:space="preserve">  Elliot</t>
  </si>
  <si>
    <t>Grange</t>
  </si>
  <si>
    <t xml:space="preserve">  Christopher D.</t>
  </si>
  <si>
    <t>Nunlist</t>
  </si>
  <si>
    <t xml:space="preserve">  Corey</t>
  </si>
  <si>
    <t>Cutter</t>
  </si>
  <si>
    <t xml:space="preserve">  Patrick D.</t>
  </si>
  <si>
    <t>Martin</t>
  </si>
  <si>
    <t xml:space="preserve">  Anthony D.</t>
  </si>
  <si>
    <t>Cooney</t>
  </si>
  <si>
    <t xml:space="preserve">  Melissa</t>
  </si>
  <si>
    <t>Bier</t>
  </si>
  <si>
    <t xml:space="preserve">  Raven</t>
  </si>
  <si>
    <t>Muskopf</t>
  </si>
  <si>
    <t xml:space="preserve">  Christopher</t>
  </si>
  <si>
    <t>Sirak</t>
  </si>
  <si>
    <t xml:space="preserve">  Kendra A</t>
  </si>
  <si>
    <t>Nelsen</t>
  </si>
  <si>
    <t xml:space="preserve">  Jordan</t>
  </si>
  <si>
    <t>Schallner</t>
  </si>
  <si>
    <t xml:space="preserve">  Nils</t>
  </si>
  <si>
    <t>Dunlap</t>
  </si>
  <si>
    <t>Messing</t>
  </si>
  <si>
    <t xml:space="preserve">  Angela</t>
  </si>
  <si>
    <t>Bondell</t>
  </si>
  <si>
    <t>Gaughan</t>
  </si>
  <si>
    <t xml:space="preserve">  Caitlin O.</t>
  </si>
  <si>
    <t>Gruman</t>
  </si>
  <si>
    <t xml:space="preserve">  Tracy M</t>
  </si>
  <si>
    <t>Whitlow</t>
  </si>
  <si>
    <t xml:space="preserve">  Dustin M.</t>
  </si>
  <si>
    <t xml:space="preserve">  Jenny</t>
  </si>
  <si>
    <t>Sabo</t>
  </si>
  <si>
    <t xml:space="preserve">  Emily</t>
  </si>
  <si>
    <t>Nazarian</t>
  </si>
  <si>
    <t xml:space="preserve">  Fabienne</t>
  </si>
  <si>
    <t>Lerma</t>
  </si>
  <si>
    <t>Dahl</t>
  </si>
  <si>
    <t>Surtees</t>
  </si>
  <si>
    <t xml:space="preserve">  Taryn L</t>
  </si>
  <si>
    <t>Spetner</t>
  </si>
  <si>
    <t xml:space="preserve">  Temima</t>
  </si>
  <si>
    <t>Brandon</t>
  </si>
  <si>
    <t>Eley</t>
  </si>
  <si>
    <t xml:space="preserve">  Serena M.</t>
  </si>
  <si>
    <t>Sedicum</t>
  </si>
  <si>
    <t xml:space="preserve">  Victoria M.</t>
  </si>
  <si>
    <t>Markle</t>
  </si>
  <si>
    <t xml:space="preserve">  Phoebe</t>
  </si>
  <si>
    <t>Kunz</t>
  </si>
  <si>
    <t>Wimert</t>
  </si>
  <si>
    <t>Peterson</t>
  </si>
  <si>
    <t xml:space="preserve">  Nicholas D</t>
  </si>
  <si>
    <t>Mercier</t>
  </si>
  <si>
    <t xml:space="preserve">  Christian</t>
  </si>
  <si>
    <t>Laurie</t>
  </si>
  <si>
    <t xml:space="preserve">  Jonathon S.</t>
  </si>
  <si>
    <t>Sekaquaptewa</t>
  </si>
  <si>
    <t>Frash</t>
  </si>
  <si>
    <t xml:space="preserve">  Joshua D.</t>
  </si>
  <si>
    <t>Bukowski</t>
  </si>
  <si>
    <t xml:space="preserve">  Nichole</t>
  </si>
  <si>
    <t>Sandahl</t>
  </si>
  <si>
    <t xml:space="preserve">  Denise M</t>
  </si>
  <si>
    <t>Speight</t>
  </si>
  <si>
    <t xml:space="preserve">  Peter R.</t>
  </si>
  <si>
    <t xml:space="preserve">  Johnson K</t>
  </si>
  <si>
    <t>Nielsen</t>
  </si>
  <si>
    <t xml:space="preserve">  Katherine</t>
  </si>
  <si>
    <t>Zirdok</t>
  </si>
  <si>
    <t xml:space="preserve">  Lynda</t>
  </si>
  <si>
    <t>Crudale</t>
  </si>
  <si>
    <t>Koopmans</t>
  </si>
  <si>
    <t xml:space="preserve">  Linnea C.</t>
  </si>
  <si>
    <t>Milani</t>
  </si>
  <si>
    <t xml:space="preserve">  Massimiliano A.</t>
  </si>
  <si>
    <t>Kelly</t>
  </si>
  <si>
    <t xml:space="preserve">  James M.</t>
  </si>
  <si>
    <t>Finelli</t>
  </si>
  <si>
    <t xml:space="preserve">  Lauren</t>
  </si>
  <si>
    <t xml:space="preserve">  Michele V.</t>
  </si>
  <si>
    <t xml:space="preserve">  Xiao</t>
  </si>
  <si>
    <t>Beasley</t>
  </si>
  <si>
    <t xml:space="preserve">  Harper L</t>
  </si>
  <si>
    <t>Bedbury</t>
  </si>
  <si>
    <t>Stemberger</t>
  </si>
  <si>
    <t>Chebet</t>
  </si>
  <si>
    <t xml:space="preserve">  Wilson</t>
  </si>
  <si>
    <t>Muir</t>
  </si>
  <si>
    <t>Yang</t>
  </si>
  <si>
    <t xml:space="preserve">  Shizhong</t>
  </si>
  <si>
    <t>Gravel</t>
  </si>
  <si>
    <t xml:space="preserve">  Marie-Claire</t>
  </si>
  <si>
    <t xml:space="preserve">  Todd J.</t>
  </si>
  <si>
    <t xml:space="preserve">  Carolyn</t>
  </si>
  <si>
    <t>Jamieson</t>
  </si>
  <si>
    <t xml:space="preserve">  Marissa D</t>
  </si>
  <si>
    <t>Dufeal</t>
  </si>
  <si>
    <t xml:space="preserve">  Jean Luc</t>
  </si>
  <si>
    <t>Sansonetti</t>
  </si>
  <si>
    <t>Koneazny</t>
  </si>
  <si>
    <t xml:space="preserve">  Jim</t>
  </si>
  <si>
    <t xml:space="preserve">  Matthew T</t>
  </si>
  <si>
    <t>Glasson</t>
  </si>
  <si>
    <t xml:space="preserve">  Rachel L.</t>
  </si>
  <si>
    <t>Canitz</t>
  </si>
  <si>
    <t xml:space="preserve">  Corina</t>
  </si>
  <si>
    <t>Li</t>
  </si>
  <si>
    <t xml:space="preserve">  Guannan</t>
  </si>
  <si>
    <t>Parsons</t>
  </si>
  <si>
    <t xml:space="preserve">  Don</t>
  </si>
  <si>
    <t>Raulli</t>
  </si>
  <si>
    <t xml:space="preserve">  Gavin V.</t>
  </si>
  <si>
    <t>Sevcik</t>
  </si>
  <si>
    <t>Narang</t>
  </si>
  <si>
    <t xml:space="preserve">  Jatin</t>
  </si>
  <si>
    <t>Royston</t>
  </si>
  <si>
    <t xml:space="preserve">  J P. II</t>
  </si>
  <si>
    <t>Tieri</t>
  </si>
  <si>
    <t xml:space="preserve">  Angela M.</t>
  </si>
  <si>
    <t>Whitney</t>
  </si>
  <si>
    <t xml:space="preserve">  Blake K.</t>
  </si>
  <si>
    <t>Wandzilak</t>
  </si>
  <si>
    <t xml:space="preserve">  Brian T.</t>
  </si>
  <si>
    <t>Valenzona</t>
  </si>
  <si>
    <t xml:space="preserve">  Damon</t>
  </si>
  <si>
    <t>Young</t>
  </si>
  <si>
    <t>Richards</t>
  </si>
  <si>
    <t xml:space="preserve">  Malcolm J.</t>
  </si>
  <si>
    <t>Alexson</t>
  </si>
  <si>
    <t xml:space="preserve">  Margaret B.</t>
  </si>
  <si>
    <t xml:space="preserve">  Helen</t>
  </si>
  <si>
    <t>McKenna</t>
  </si>
  <si>
    <t>Mrs</t>
  </si>
  <si>
    <t>Argall</t>
  </si>
  <si>
    <t xml:space="preserve">  Tara R</t>
  </si>
  <si>
    <t>Patchell</t>
  </si>
  <si>
    <t xml:space="preserve">  Kristin</t>
  </si>
  <si>
    <t>Catoggio</t>
  </si>
  <si>
    <t>Adams</t>
  </si>
  <si>
    <t>Windt</t>
  </si>
  <si>
    <t xml:space="preserve">  Carly E</t>
  </si>
  <si>
    <t>Ryan</t>
  </si>
  <si>
    <t xml:space="preserve">  Lisa</t>
  </si>
  <si>
    <t>Marion</t>
  </si>
  <si>
    <t>Raffetto</t>
  </si>
  <si>
    <t xml:space="preserve">  Louis</t>
  </si>
  <si>
    <t xml:space="preserve">  Brian R.</t>
  </si>
  <si>
    <t>Oehlke</t>
  </si>
  <si>
    <t>Sudol</t>
  </si>
  <si>
    <t xml:space="preserve">  Dawn M.</t>
  </si>
  <si>
    <t>Van Es</t>
  </si>
  <si>
    <t>Dolge</t>
  </si>
  <si>
    <t xml:space="preserve">  Karen</t>
  </si>
  <si>
    <t>Marlier</t>
  </si>
  <si>
    <t>Girard</t>
  </si>
  <si>
    <t xml:space="preserve">  Mathieu</t>
  </si>
  <si>
    <t xml:space="preserve">  Kam S.</t>
  </si>
  <si>
    <t>Hubbard</t>
  </si>
  <si>
    <t xml:space="preserve">  Valerie A</t>
  </si>
  <si>
    <t>Koester</t>
  </si>
  <si>
    <t xml:space="preserve">  Freya R</t>
  </si>
  <si>
    <t>Matthews</t>
  </si>
  <si>
    <t>Rubinich</t>
  </si>
  <si>
    <t xml:space="preserve">  Kara</t>
  </si>
  <si>
    <t>Alban</t>
  </si>
  <si>
    <t xml:space="preserve">  Bradley A.</t>
  </si>
  <si>
    <t>Corcoran</t>
  </si>
  <si>
    <t xml:space="preserve">  Brendan</t>
  </si>
  <si>
    <t>Sargent</t>
  </si>
  <si>
    <t xml:space="preserve">  Amber R</t>
  </si>
  <si>
    <t>Watson</t>
  </si>
  <si>
    <t xml:space="preserve">  Sean K</t>
  </si>
  <si>
    <t>Esponda</t>
  </si>
  <si>
    <t>Krall</t>
  </si>
  <si>
    <t>Poskin</t>
  </si>
  <si>
    <t xml:space="preserve">  Brady</t>
  </si>
  <si>
    <t>Halfmann</t>
  </si>
  <si>
    <t xml:space="preserve">  Kameko</t>
  </si>
  <si>
    <t>Klapper</t>
  </si>
  <si>
    <t xml:space="preserve">  Jeremy A</t>
  </si>
  <si>
    <t>George</t>
  </si>
  <si>
    <t>Hicks</t>
  </si>
  <si>
    <t>Lockyer</t>
  </si>
  <si>
    <t>Byrnes</t>
  </si>
  <si>
    <t>Norris</t>
  </si>
  <si>
    <t xml:space="preserve">  Sabine</t>
  </si>
  <si>
    <t>Darda</t>
  </si>
  <si>
    <t xml:space="preserve">  Joseph</t>
  </si>
  <si>
    <t>Otstot</t>
  </si>
  <si>
    <t>Bowley</t>
  </si>
  <si>
    <t xml:space="preserve">  Karolyn A</t>
  </si>
  <si>
    <t>Rogers</t>
  </si>
  <si>
    <t xml:space="preserve">  Anita L.</t>
  </si>
  <si>
    <t>Mclaughlin</t>
  </si>
  <si>
    <t xml:space="preserve">  Laura E.</t>
  </si>
  <si>
    <t>Ziegler</t>
  </si>
  <si>
    <t>Hughey</t>
  </si>
  <si>
    <t xml:space="preserve">  Ashley E</t>
  </si>
  <si>
    <t>Knast</t>
  </si>
  <si>
    <t>Stob</t>
  </si>
  <si>
    <t>Jensen</t>
  </si>
  <si>
    <t xml:space="preserve">  Dan R.</t>
  </si>
  <si>
    <t>Mutter</t>
  </si>
  <si>
    <t xml:space="preserve">  Katie</t>
  </si>
  <si>
    <t>Ahern</t>
  </si>
  <si>
    <t>Chviruk</t>
  </si>
  <si>
    <t xml:space="preserve">  Cathryn</t>
  </si>
  <si>
    <t>Meehan</t>
  </si>
  <si>
    <t>Gammon</t>
  </si>
  <si>
    <t xml:space="preserve">  Shauna</t>
  </si>
  <si>
    <t xml:space="preserve">  Terence</t>
  </si>
  <si>
    <t>Franco</t>
  </si>
  <si>
    <t xml:space="preserve">  Marisol</t>
  </si>
  <si>
    <t>Patterson</t>
  </si>
  <si>
    <t xml:space="preserve">  Lindsay</t>
  </si>
  <si>
    <t>Valdes</t>
  </si>
  <si>
    <t>Craig</t>
  </si>
  <si>
    <t>Whipple</t>
  </si>
  <si>
    <t xml:space="preserve">  Brett W</t>
  </si>
  <si>
    <t>Marton</t>
  </si>
  <si>
    <t xml:space="preserve">  Dylan J</t>
  </si>
  <si>
    <t>Hildebrandt</t>
  </si>
  <si>
    <t>Biggs</t>
  </si>
  <si>
    <t xml:space="preserve">  Brooke M.</t>
  </si>
  <si>
    <t>Shigezumi</t>
  </si>
  <si>
    <t xml:space="preserve">  Teiko</t>
  </si>
  <si>
    <t>Meineke</t>
  </si>
  <si>
    <t>Ludington</t>
  </si>
  <si>
    <t xml:space="preserve">  Johannah</t>
  </si>
  <si>
    <t>Perrich</t>
  </si>
  <si>
    <t xml:space="preserve">  Ryan A</t>
  </si>
  <si>
    <t>Cervantes</t>
  </si>
  <si>
    <t xml:space="preserve">  Andres Sr.</t>
  </si>
  <si>
    <t>Andrews</t>
  </si>
  <si>
    <t xml:space="preserve">  Bryan</t>
  </si>
  <si>
    <t>Ruvalcaba</t>
  </si>
  <si>
    <t xml:space="preserve">  Lizette</t>
  </si>
  <si>
    <t>Stone</t>
  </si>
  <si>
    <t xml:space="preserve">  Jeb</t>
  </si>
  <si>
    <t>Campbell</t>
  </si>
  <si>
    <t xml:space="preserve">  Amy R.</t>
  </si>
  <si>
    <t>Asher</t>
  </si>
  <si>
    <t>Mazzotta</t>
  </si>
  <si>
    <t xml:space="preserve">  Mike G</t>
  </si>
  <si>
    <t>Huttl</t>
  </si>
  <si>
    <t xml:space="preserve">  Simonezitrone Sr.</t>
  </si>
  <si>
    <t>Ferron</t>
  </si>
  <si>
    <t>Colarusso</t>
  </si>
  <si>
    <t xml:space="preserve">  Angela M</t>
  </si>
  <si>
    <t>Pearlman</t>
  </si>
  <si>
    <t xml:space="preserve">  Oz</t>
  </si>
  <si>
    <t>O'Mara</t>
  </si>
  <si>
    <t xml:space="preserve">  Erin M.</t>
  </si>
  <si>
    <t>Niska</t>
  </si>
  <si>
    <t xml:space="preserve">  Bobby E.</t>
  </si>
  <si>
    <t>Schlich</t>
  </si>
  <si>
    <t xml:space="preserve">  Daniel P.</t>
  </si>
  <si>
    <t>Zidek</t>
  </si>
  <si>
    <t xml:space="preserve">  Marie E.</t>
  </si>
  <si>
    <t>Ellgass</t>
  </si>
  <si>
    <t>Lowe</t>
  </si>
  <si>
    <t xml:space="preserve">  Eric D</t>
  </si>
  <si>
    <t>Malone</t>
  </si>
  <si>
    <t xml:space="preserve">  Tara</t>
  </si>
  <si>
    <t>Dumke</t>
  </si>
  <si>
    <t xml:space="preserve">  Haley L</t>
  </si>
  <si>
    <t>Strong</t>
  </si>
  <si>
    <t xml:space="preserve">  Kayla B.</t>
  </si>
  <si>
    <t>Ferguson</t>
  </si>
  <si>
    <t xml:space="preserve">  Mark D.</t>
  </si>
  <si>
    <t>Klein</t>
  </si>
  <si>
    <t xml:space="preserve">  Patrick J.</t>
  </si>
  <si>
    <t>Eusebio</t>
  </si>
  <si>
    <t>Szolosi</t>
  </si>
  <si>
    <t xml:space="preserve">  Beth A</t>
  </si>
  <si>
    <t>Butler</t>
  </si>
  <si>
    <t xml:space="preserve">  Jason R</t>
  </si>
  <si>
    <t>Fukuchi</t>
  </si>
  <si>
    <t xml:space="preserve">  Yoshinori</t>
  </si>
  <si>
    <t>Drucker</t>
  </si>
  <si>
    <t xml:space="preserve">  Adrienne G.</t>
  </si>
  <si>
    <t>Aziz</t>
  </si>
  <si>
    <t>Pak</t>
  </si>
  <si>
    <t xml:space="preserve">  Junyong</t>
  </si>
  <si>
    <t>Kieta</t>
  </si>
  <si>
    <t xml:space="preserve">  Kristen A.</t>
  </si>
  <si>
    <t>Velez</t>
  </si>
  <si>
    <t xml:space="preserve">  Maria I.</t>
  </si>
  <si>
    <t>Bussiere</t>
  </si>
  <si>
    <t xml:space="preserve">  Jonathan</t>
  </si>
  <si>
    <t>McCartney</t>
  </si>
  <si>
    <t>Bambauer</t>
  </si>
  <si>
    <t xml:space="preserve">  Benjamina C</t>
  </si>
  <si>
    <t>Mertz</t>
  </si>
  <si>
    <t>Mason</t>
  </si>
  <si>
    <t xml:space="preserve">  Alison B</t>
  </si>
  <si>
    <t>Rotich</t>
  </si>
  <si>
    <t>Fetzer</t>
  </si>
  <si>
    <t xml:space="preserve">  Alexis N</t>
  </si>
  <si>
    <t>Mattis</t>
  </si>
  <si>
    <t xml:space="preserve">  Shanda L</t>
  </si>
  <si>
    <t xml:space="preserve">  Lacey</t>
  </si>
  <si>
    <t>Balinsky</t>
  </si>
  <si>
    <t xml:space="preserve">  Laurette</t>
  </si>
  <si>
    <t>Reilly</t>
  </si>
  <si>
    <t xml:space="preserve">  Mary</t>
  </si>
  <si>
    <t>Petry</t>
  </si>
  <si>
    <t xml:space="preserve">  Kati A</t>
  </si>
  <si>
    <t>Laleman</t>
  </si>
  <si>
    <t xml:space="preserve">  Kelly J</t>
  </si>
  <si>
    <t>Colby</t>
  </si>
  <si>
    <t xml:space="preserve">  Greer D</t>
  </si>
  <si>
    <t>Wathke</t>
  </si>
  <si>
    <t xml:space="preserve">  Brent</t>
  </si>
  <si>
    <t>Daly</t>
  </si>
  <si>
    <t xml:space="preserve">  Eugene M</t>
  </si>
  <si>
    <t>Dillon</t>
  </si>
  <si>
    <t xml:space="preserve">  Erin D</t>
  </si>
  <si>
    <t>Pontes</t>
  </si>
  <si>
    <t xml:space="preserve">  Kamilla</t>
  </si>
  <si>
    <t>Spies</t>
  </si>
  <si>
    <t xml:space="preserve">  Wayne I.</t>
  </si>
  <si>
    <t>Greig</t>
  </si>
  <si>
    <t xml:space="preserve">  Tracy L</t>
  </si>
  <si>
    <t>Scott</t>
  </si>
  <si>
    <t>Erlandson</t>
  </si>
  <si>
    <t xml:space="preserve">  Megan C</t>
  </si>
  <si>
    <t>Autrey</t>
  </si>
  <si>
    <t xml:space="preserve">  Greg D.</t>
  </si>
  <si>
    <t>Michalski</t>
  </si>
  <si>
    <t xml:space="preserve">  Steven L.</t>
  </si>
  <si>
    <t>Grillo</t>
  </si>
  <si>
    <t xml:space="preserve">  Gianfilippo</t>
  </si>
  <si>
    <t>Coronado</t>
  </si>
  <si>
    <t xml:space="preserve">  Hector</t>
  </si>
  <si>
    <t>Dewine</t>
  </si>
  <si>
    <t xml:space="preserve">  Mark W.</t>
  </si>
  <si>
    <t>Carman</t>
  </si>
  <si>
    <t xml:space="preserve">  Aubri</t>
  </si>
  <si>
    <t>Neems</t>
  </si>
  <si>
    <t xml:space="preserve">  Justin</t>
  </si>
  <si>
    <t>Pesyna</t>
  </si>
  <si>
    <t>Meling</t>
  </si>
  <si>
    <t xml:space="preserve">  Erika M.</t>
  </si>
  <si>
    <t>Widlowski</t>
  </si>
  <si>
    <t xml:space="preserve">  Daniel G.</t>
  </si>
  <si>
    <t>Nadar</t>
  </si>
  <si>
    <t xml:space="preserve">  Devin C.</t>
  </si>
  <si>
    <t xml:space="preserve">  Louise A</t>
  </si>
  <si>
    <t>Leedham</t>
  </si>
  <si>
    <t>Haglund</t>
  </si>
  <si>
    <t>Mills</t>
  </si>
  <si>
    <t xml:space="preserve">  Jessica L</t>
  </si>
  <si>
    <t>Drnjevich</t>
  </si>
  <si>
    <t xml:space="preserve">  Kristina K</t>
  </si>
  <si>
    <t>Clay</t>
  </si>
  <si>
    <t xml:space="preserve">  Brad</t>
  </si>
  <si>
    <t>Marbury</t>
  </si>
  <si>
    <t xml:space="preserve">  Margaret O</t>
  </si>
  <si>
    <t>Coon</t>
  </si>
  <si>
    <t xml:space="preserve">  Craig R.</t>
  </si>
  <si>
    <t>Vanttinen</t>
  </si>
  <si>
    <t xml:space="preserve">  Simo</t>
  </si>
  <si>
    <t>Garges</t>
  </si>
  <si>
    <t xml:space="preserve">  Christopher J</t>
  </si>
  <si>
    <t>Rivel</t>
  </si>
  <si>
    <t xml:space="preserve">  Mario Sr.</t>
  </si>
  <si>
    <t>Lawson</t>
  </si>
  <si>
    <t xml:space="preserve">  Meghann R.</t>
  </si>
  <si>
    <t>Cale</t>
  </si>
  <si>
    <t xml:space="preserve">  Scott M</t>
  </si>
  <si>
    <t xml:space="preserve">  Caitlin E.</t>
  </si>
  <si>
    <t>Stewart</t>
  </si>
  <si>
    <t xml:space="preserve">  Samantha A.</t>
  </si>
  <si>
    <t>Drotz</t>
  </si>
  <si>
    <t>Mutai</t>
  </si>
  <si>
    <t>Lovlien</t>
  </si>
  <si>
    <t xml:space="preserve">  Maya</t>
  </si>
  <si>
    <t xml:space="preserve">  Zachary T</t>
  </si>
  <si>
    <t>Stoney</t>
  </si>
  <si>
    <t xml:space="preserve">  Hilda</t>
  </si>
  <si>
    <t>Markert</t>
  </si>
  <si>
    <t>McLucas</t>
  </si>
  <si>
    <t>Erwin</t>
  </si>
  <si>
    <t xml:space="preserve">  Bethany N.</t>
  </si>
  <si>
    <t xml:space="preserve">  Sandra H</t>
  </si>
  <si>
    <t>Otsuka</t>
  </si>
  <si>
    <t xml:space="preserve">  Takuo</t>
  </si>
  <si>
    <t xml:space="preserve">  Kelly A.</t>
  </si>
  <si>
    <t>Myers</t>
  </si>
  <si>
    <t>Cote</t>
  </si>
  <si>
    <t xml:space="preserve">  Benoit</t>
  </si>
  <si>
    <t>Ehrhardt</t>
  </si>
  <si>
    <t>Petersen</t>
  </si>
  <si>
    <t xml:space="preserve">  Jessica A.</t>
  </si>
  <si>
    <t>Ertel</t>
  </si>
  <si>
    <t xml:space="preserve">  Monica K</t>
  </si>
  <si>
    <t>Lanza</t>
  </si>
  <si>
    <t xml:space="preserve">  Kevin L</t>
  </si>
  <si>
    <t>Picklesimer</t>
  </si>
  <si>
    <t>Giles</t>
  </si>
  <si>
    <t xml:space="preserve">  Della</t>
  </si>
  <si>
    <t>Harmon</t>
  </si>
  <si>
    <t>Pennings</t>
  </si>
  <si>
    <t xml:space="preserve">  Victoria</t>
  </si>
  <si>
    <t>Tseronis</t>
  </si>
  <si>
    <t xml:space="preserve">  Tasos</t>
  </si>
  <si>
    <t>Aliff</t>
  </si>
  <si>
    <t>Willenberg</t>
  </si>
  <si>
    <t xml:space="preserve">  Lukasz</t>
  </si>
  <si>
    <t>Millett</t>
  </si>
  <si>
    <t xml:space="preserve">  Matthew A.</t>
  </si>
  <si>
    <t>Haley</t>
  </si>
  <si>
    <t xml:space="preserve">  Meta</t>
  </si>
  <si>
    <t>Ackerman</t>
  </si>
  <si>
    <t xml:space="preserve">  Rachel E</t>
  </si>
  <si>
    <t>Valdez</t>
  </si>
  <si>
    <t xml:space="preserve">  Angelica</t>
  </si>
  <si>
    <t>Michaud</t>
  </si>
  <si>
    <t xml:space="preserve">  Kathleen</t>
  </si>
  <si>
    <t>Gunnink</t>
  </si>
  <si>
    <t xml:space="preserve">  Gabriel D.</t>
  </si>
  <si>
    <t>Knight</t>
  </si>
  <si>
    <t xml:space="preserve">  Jeff T</t>
  </si>
  <si>
    <t>Grosscup</t>
  </si>
  <si>
    <t xml:space="preserve">  Neil D</t>
  </si>
  <si>
    <t>Koniuch</t>
  </si>
  <si>
    <t xml:space="preserve">  Katherine L.</t>
  </si>
  <si>
    <t>Heitzman</t>
  </si>
  <si>
    <t xml:space="preserve">  Ariel E</t>
  </si>
  <si>
    <t>Tatton</t>
  </si>
  <si>
    <t xml:space="preserve">  Christopher P</t>
  </si>
  <si>
    <t>Flanagan</t>
  </si>
  <si>
    <t>Funk</t>
  </si>
  <si>
    <t xml:space="preserve">  Molly K.</t>
  </si>
  <si>
    <t>Davenport</t>
  </si>
  <si>
    <t>Lindbloom</t>
  </si>
  <si>
    <t xml:space="preserve">  Daniel M</t>
  </si>
  <si>
    <t>Wijayaratne</t>
  </si>
  <si>
    <t xml:space="preserve">  Hiruni</t>
  </si>
  <si>
    <t>Ainsworth</t>
  </si>
  <si>
    <t xml:space="preserve">  Reina H.</t>
  </si>
  <si>
    <t>Gayagoy</t>
  </si>
  <si>
    <t xml:space="preserve">  Kristi</t>
  </si>
  <si>
    <t>Fitzmaurice</t>
  </si>
  <si>
    <t xml:space="preserve">  Meredith L.</t>
  </si>
  <si>
    <t>Rodriguez</t>
  </si>
  <si>
    <t xml:space="preserve">  Jocelyn</t>
  </si>
  <si>
    <t>Tsoucas</t>
  </si>
  <si>
    <t xml:space="preserve">  Daphne</t>
  </si>
  <si>
    <t>Muhly</t>
  </si>
  <si>
    <t xml:space="preserve">  Margaret E</t>
  </si>
  <si>
    <t>Lund</t>
  </si>
  <si>
    <t xml:space="preserve">  Mario J.</t>
  </si>
  <si>
    <t>Battaglino</t>
  </si>
  <si>
    <t>Pena</t>
  </si>
  <si>
    <t xml:space="preserve">  Carolina</t>
  </si>
  <si>
    <t>Thomason</t>
  </si>
  <si>
    <t xml:space="preserve">  Jenny K.</t>
  </si>
  <si>
    <t>Hancox</t>
  </si>
  <si>
    <t>Canarecci</t>
  </si>
  <si>
    <t xml:space="preserve">  Kimberly D</t>
  </si>
  <si>
    <t>Toupin</t>
  </si>
  <si>
    <t xml:space="preserve">  Marc-Olivier</t>
  </si>
  <si>
    <t>Mulley</t>
  </si>
  <si>
    <t xml:space="preserve">  Russell J</t>
  </si>
  <si>
    <t>Parry</t>
  </si>
  <si>
    <t xml:space="preserve">  Karine</t>
  </si>
  <si>
    <t>Mason Cox</t>
  </si>
  <si>
    <t xml:space="preserve">  Cheryl</t>
  </si>
  <si>
    <t>Thompson</t>
  </si>
  <si>
    <t xml:space="preserve">  Allison M.</t>
  </si>
  <si>
    <t>Nelson</t>
  </si>
  <si>
    <t xml:space="preserve">  Adriana</t>
  </si>
  <si>
    <t>Forte</t>
  </si>
  <si>
    <t xml:space="preserve">  Miranda J</t>
  </si>
  <si>
    <t>Corona Iturriaga</t>
  </si>
  <si>
    <t xml:space="preserve">  Roberto</t>
  </si>
  <si>
    <t>McCollum</t>
  </si>
  <si>
    <t xml:space="preserve">  Rebecca B.</t>
  </si>
  <si>
    <t>Hevner</t>
  </si>
  <si>
    <t xml:space="preserve">  Tiffany</t>
  </si>
  <si>
    <t>Looi</t>
  </si>
  <si>
    <t xml:space="preserve">  Alexander</t>
  </si>
  <si>
    <t>Power</t>
  </si>
  <si>
    <t xml:space="preserve">  Rich M</t>
  </si>
  <si>
    <t>Routon</t>
  </si>
  <si>
    <t xml:space="preserve">  Aaron C</t>
  </si>
  <si>
    <t>Dochelli</t>
  </si>
  <si>
    <t>Gillespie</t>
  </si>
  <si>
    <t xml:space="preserve">  Maria M</t>
  </si>
  <si>
    <t>Oskvig</t>
  </si>
  <si>
    <t xml:space="preserve">  Daven W</t>
  </si>
  <si>
    <t>Holland-Stergar</t>
  </si>
  <si>
    <t xml:space="preserve">  Brianne</t>
  </si>
  <si>
    <t>Arai</t>
  </si>
  <si>
    <t xml:space="preserve">  Hiroki</t>
  </si>
  <si>
    <t>Olausson</t>
  </si>
  <si>
    <t xml:space="preserve">  Anders</t>
  </si>
  <si>
    <t>Wagner</t>
  </si>
  <si>
    <t>Delong</t>
  </si>
  <si>
    <t xml:space="preserve">  Candace N</t>
  </si>
  <si>
    <t>Mehech</t>
  </si>
  <si>
    <t xml:space="preserve">  Bruno F.</t>
  </si>
  <si>
    <t>Machiela</t>
  </si>
  <si>
    <t>Dupere</t>
  </si>
  <si>
    <t xml:space="preserve">  Sally</t>
  </si>
  <si>
    <t>Iandolo</t>
  </si>
  <si>
    <t xml:space="preserve">  Meaghan J</t>
  </si>
  <si>
    <t>Ito</t>
  </si>
  <si>
    <t xml:space="preserve">  Rina</t>
  </si>
  <si>
    <t>Barry</t>
  </si>
  <si>
    <t xml:space="preserve">  Kristin P.</t>
  </si>
  <si>
    <t>Boyce</t>
  </si>
  <si>
    <t xml:space="preserve">  Albert</t>
  </si>
  <si>
    <t>Lin</t>
  </si>
  <si>
    <t xml:space="preserve">  Shannon L</t>
  </si>
  <si>
    <t>Nalven</t>
  </si>
  <si>
    <t xml:space="preserve">  Amy B</t>
  </si>
  <si>
    <t>Bourgeois</t>
  </si>
  <si>
    <t xml:space="preserve">  A Danielle</t>
  </si>
  <si>
    <t>Orloff</t>
  </si>
  <si>
    <t xml:space="preserve">  Conrad F</t>
  </si>
  <si>
    <t>Ramirez</t>
  </si>
  <si>
    <t xml:space="preserve">  Josh</t>
  </si>
  <si>
    <t>Fouquet</t>
  </si>
  <si>
    <t xml:space="preserve">  Maxime</t>
  </si>
  <si>
    <t>McPhillips</t>
  </si>
  <si>
    <t>Burgin</t>
  </si>
  <si>
    <t>Roberts</t>
  </si>
  <si>
    <t xml:space="preserve">  Laura P.</t>
  </si>
  <si>
    <t>Nemec</t>
  </si>
  <si>
    <t>Appman</t>
  </si>
  <si>
    <t xml:space="preserve">  William D. Jr.</t>
  </si>
  <si>
    <t>Glotzbach</t>
  </si>
  <si>
    <t>Tenforde</t>
  </si>
  <si>
    <t xml:space="preserve">  Adam S</t>
  </si>
  <si>
    <t xml:space="preserve">  Armando</t>
  </si>
  <si>
    <t>Stanley Torres</t>
  </si>
  <si>
    <t xml:space="preserve">  Dana</t>
  </si>
  <si>
    <t>Vandongen</t>
  </si>
  <si>
    <t>Liebald</t>
  </si>
  <si>
    <t xml:space="preserve">  Benjamin</t>
  </si>
  <si>
    <t>Holte</t>
  </si>
  <si>
    <t xml:space="preserve">  Tanya</t>
  </si>
  <si>
    <t xml:space="preserve">  Tracy</t>
  </si>
  <si>
    <t>Bartlett</t>
  </si>
  <si>
    <t xml:space="preserve">  Emily S</t>
  </si>
  <si>
    <t>Bergman</t>
  </si>
  <si>
    <t xml:space="preserve">  Kelly R</t>
  </si>
  <si>
    <t>Aitken</t>
  </si>
  <si>
    <t>Berger</t>
  </si>
  <si>
    <t xml:space="preserve">  Bruce A Jr.</t>
  </si>
  <si>
    <t>Richey</t>
  </si>
  <si>
    <t xml:space="preserve">  Cary J</t>
  </si>
  <si>
    <t>Trotter</t>
  </si>
  <si>
    <t xml:space="preserve">  Jill M</t>
  </si>
  <si>
    <t>Chavez</t>
  </si>
  <si>
    <t>Orifice</t>
  </si>
  <si>
    <t xml:space="preserve">  Michael E.</t>
  </si>
  <si>
    <t>Farkash</t>
  </si>
  <si>
    <t xml:space="preserve">  Kathryn E</t>
  </si>
  <si>
    <t>Crawford</t>
  </si>
  <si>
    <t xml:space="preserve">  Polly</t>
  </si>
  <si>
    <t>Sittlington</t>
  </si>
  <si>
    <t xml:space="preserve">  Mark H.</t>
  </si>
  <si>
    <t>Silbert</t>
  </si>
  <si>
    <t xml:space="preserve">  Jessie M.</t>
  </si>
  <si>
    <t>Carrique</t>
  </si>
  <si>
    <t>Kosla</t>
  </si>
  <si>
    <t>Parker</t>
  </si>
  <si>
    <t>Horton</t>
  </si>
  <si>
    <t>Boller</t>
  </si>
  <si>
    <t xml:space="preserve">  Caroline S.</t>
  </si>
  <si>
    <t>Olaru</t>
  </si>
  <si>
    <t xml:space="preserve">  Nuta</t>
  </si>
  <si>
    <t>Prescott</t>
  </si>
  <si>
    <t xml:space="preserve">  Margie</t>
  </si>
  <si>
    <t>Hines</t>
  </si>
  <si>
    <t xml:space="preserve">  Heidi</t>
  </si>
  <si>
    <t>Blanton</t>
  </si>
  <si>
    <t xml:space="preserve">  Diego J</t>
  </si>
  <si>
    <t>Bustamante</t>
  </si>
  <si>
    <t xml:space="preserve">  Enrique M Sr.</t>
  </si>
  <si>
    <t>McCann</t>
  </si>
  <si>
    <t>Schmole</t>
  </si>
  <si>
    <t xml:space="preserve">  Filip</t>
  </si>
  <si>
    <t>Barber</t>
  </si>
  <si>
    <t xml:space="preserve">  Rosemary E.</t>
  </si>
  <si>
    <t>Reichmann</t>
  </si>
  <si>
    <t>Cavatorta</t>
  </si>
  <si>
    <t>Yaeger</t>
  </si>
  <si>
    <t>Hughes</t>
  </si>
  <si>
    <t xml:space="preserve">  Jennifer R.</t>
  </si>
  <si>
    <t>Donahue</t>
  </si>
  <si>
    <t xml:space="preserve">  Lauren E</t>
  </si>
  <si>
    <t>Greenwell</t>
  </si>
  <si>
    <t xml:space="preserve">  Ashley M.</t>
  </si>
  <si>
    <t>Steele</t>
  </si>
  <si>
    <t xml:space="preserve">  Alison R.</t>
  </si>
  <si>
    <t>Gunter</t>
  </si>
  <si>
    <t xml:space="preserve">  Madeleine</t>
  </si>
  <si>
    <t>McDonough</t>
  </si>
  <si>
    <t>Sweetland</t>
  </si>
  <si>
    <t xml:space="preserve">  Kimberly</t>
  </si>
  <si>
    <t>Hammersmith</t>
  </si>
  <si>
    <t>French</t>
  </si>
  <si>
    <t>Garbe</t>
  </si>
  <si>
    <t>Duncan</t>
  </si>
  <si>
    <t>Wallace</t>
  </si>
  <si>
    <t xml:space="preserve">  Jeremy J</t>
  </si>
  <si>
    <t>Tillman</t>
  </si>
  <si>
    <t xml:space="preserve">  Amy L.</t>
  </si>
  <si>
    <t xml:space="preserve">  Karen L.</t>
  </si>
  <si>
    <t>Taylor</t>
  </si>
  <si>
    <t xml:space="preserve">  Tennille</t>
  </si>
  <si>
    <t>McSween</t>
  </si>
  <si>
    <t>Schubert</t>
  </si>
  <si>
    <t>Lalanne</t>
  </si>
  <si>
    <t xml:space="preserve">  Justin E</t>
  </si>
  <si>
    <t xml:space="preserve">  Shalane</t>
  </si>
  <si>
    <t>Arellano</t>
  </si>
  <si>
    <t xml:space="preserve">  Jessica N.</t>
  </si>
  <si>
    <t>Charette</t>
  </si>
  <si>
    <t xml:space="preserve">  Melanie</t>
  </si>
  <si>
    <t>Pena Reyes</t>
  </si>
  <si>
    <t xml:space="preserve">  Ruth Angelica</t>
  </si>
  <si>
    <t>Broderick</t>
  </si>
  <si>
    <t xml:space="preserve">  Una M</t>
  </si>
  <si>
    <t>Summers</t>
  </si>
  <si>
    <t xml:space="preserve">  Taralyn</t>
  </si>
  <si>
    <t xml:space="preserve">  James A</t>
  </si>
  <si>
    <t>Zhou</t>
  </si>
  <si>
    <t xml:space="preserve">  Ning</t>
  </si>
  <si>
    <t>Clarke-Ames</t>
  </si>
  <si>
    <t xml:space="preserve">  Joel</t>
  </si>
  <si>
    <t>Staton</t>
  </si>
  <si>
    <t>Forster</t>
  </si>
  <si>
    <t xml:space="preserve">  Brittney</t>
  </si>
  <si>
    <t>Monaghan</t>
  </si>
  <si>
    <t xml:space="preserve">  Sheila</t>
  </si>
  <si>
    <t>Kawamoto</t>
  </si>
  <si>
    <t xml:space="preserve">  Koji</t>
  </si>
  <si>
    <t>Dicharry</t>
  </si>
  <si>
    <t>Berry</t>
  </si>
  <si>
    <t xml:space="preserve">  Colleen M</t>
  </si>
  <si>
    <t>Porfirio</t>
  </si>
  <si>
    <t xml:space="preserve">  Deedra G.</t>
  </si>
  <si>
    <t>Thind</t>
  </si>
  <si>
    <t xml:space="preserve">  Kulwinder</t>
  </si>
  <si>
    <t xml:space="preserve">  Ann M.</t>
  </si>
  <si>
    <t>Horn</t>
  </si>
  <si>
    <t xml:space="preserve">  Sarah E</t>
  </si>
  <si>
    <t>Sabadosa</t>
  </si>
  <si>
    <t xml:space="preserve">  Apryl J.</t>
  </si>
  <si>
    <t>Casady</t>
  </si>
  <si>
    <t xml:space="preserve">  Ilana</t>
  </si>
  <si>
    <t>Ahokas</t>
  </si>
  <si>
    <t>Hebert</t>
  </si>
  <si>
    <t xml:space="preserve">  Karl</t>
  </si>
  <si>
    <t>Fair</t>
  </si>
  <si>
    <t>Swenson</t>
  </si>
  <si>
    <t xml:space="preserve">  Will</t>
  </si>
  <si>
    <t>Revenis</t>
  </si>
  <si>
    <t xml:space="preserve">  Bradley D</t>
  </si>
  <si>
    <t>Engnes</t>
  </si>
  <si>
    <t xml:space="preserve">  Amy M</t>
  </si>
  <si>
    <t>Wiltse</t>
  </si>
  <si>
    <t xml:space="preserve">  Matthew W.</t>
  </si>
  <si>
    <t>Fernandez</t>
  </si>
  <si>
    <t xml:space="preserve">  Tom</t>
  </si>
  <si>
    <t>Pinney</t>
  </si>
  <si>
    <t>Levy</t>
  </si>
  <si>
    <t xml:space="preserve">  Wayne A.</t>
  </si>
  <si>
    <t>Takeda</t>
  </si>
  <si>
    <t xml:space="preserve">  Nobuyori</t>
  </si>
  <si>
    <t>Burke</t>
  </si>
  <si>
    <t xml:space="preserve">  Rich</t>
  </si>
  <si>
    <t>Duarte</t>
  </si>
  <si>
    <t xml:space="preserve">  Marcos S</t>
  </si>
  <si>
    <t>Nice</t>
  </si>
  <si>
    <t xml:space="preserve">  Andy</t>
  </si>
  <si>
    <t>Windler</t>
  </si>
  <si>
    <t>Jones</t>
  </si>
  <si>
    <t xml:space="preserve">  Marcus B</t>
  </si>
  <si>
    <t>Stevenson</t>
  </si>
  <si>
    <t xml:space="preserve">  Thomas K.</t>
  </si>
  <si>
    <t>Humphrey</t>
  </si>
  <si>
    <t xml:space="preserve">  Geoff</t>
  </si>
  <si>
    <t>Payne</t>
  </si>
  <si>
    <t xml:space="preserve">  Chris J.</t>
  </si>
  <si>
    <t>Hails</t>
  </si>
  <si>
    <t xml:space="preserve">  Kate A.</t>
  </si>
  <si>
    <t>Proctor</t>
  </si>
  <si>
    <t xml:space="preserve">  Kelli</t>
  </si>
  <si>
    <t xml:space="preserve">  Maggie M</t>
  </si>
  <si>
    <t xml:space="preserve">  Michelle L.</t>
  </si>
  <si>
    <t>Gresh</t>
  </si>
  <si>
    <t xml:space="preserve">  Ashley K</t>
  </si>
  <si>
    <t>Anis</t>
  </si>
  <si>
    <t>Swartz</t>
  </si>
  <si>
    <t xml:space="preserve">  Ryan K.</t>
  </si>
  <si>
    <t>Schluneker</t>
  </si>
  <si>
    <t xml:space="preserve">  Matthew J</t>
  </si>
  <si>
    <t>Bellemare</t>
  </si>
  <si>
    <t>Vitalo</t>
  </si>
  <si>
    <t xml:space="preserve">  Antonia G</t>
  </si>
  <si>
    <t xml:space="preserve">  Casondra L</t>
  </si>
  <si>
    <t>Marshall</t>
  </si>
  <si>
    <t xml:space="preserve">  Wendy</t>
  </si>
  <si>
    <t>Pittaway</t>
  </si>
  <si>
    <t>Bill</t>
  </si>
  <si>
    <t xml:space="preserve">  Laura F</t>
  </si>
  <si>
    <t>Antrim</t>
  </si>
  <si>
    <t xml:space="preserve">  Amelia F.</t>
  </si>
  <si>
    <t>Doolittle-Crider</t>
  </si>
  <si>
    <t>Ruhlman</t>
  </si>
  <si>
    <t xml:space="preserve">  Katie J</t>
  </si>
  <si>
    <t>Uchiyama</t>
  </si>
  <si>
    <t xml:space="preserve">  Mayumi</t>
  </si>
  <si>
    <t>Desota</t>
  </si>
  <si>
    <t xml:space="preserve">  Vanessa</t>
  </si>
  <si>
    <t>Edmonds</t>
  </si>
  <si>
    <t xml:space="preserve">  Natali N</t>
  </si>
  <si>
    <t>Otto</t>
  </si>
  <si>
    <t xml:space="preserve">  Beth</t>
  </si>
  <si>
    <t>Kurt</t>
  </si>
  <si>
    <t>Duhaime</t>
  </si>
  <si>
    <t>Swann</t>
  </si>
  <si>
    <t xml:space="preserve">  Andee W.</t>
  </si>
  <si>
    <t>Burton</t>
  </si>
  <si>
    <t>Joslyn</t>
  </si>
  <si>
    <t xml:space="preserve">  C Fred</t>
  </si>
  <si>
    <t>Bennie</t>
  </si>
  <si>
    <t>Kanyane</t>
  </si>
  <si>
    <t xml:space="preserve">  Patrick Sr.</t>
  </si>
  <si>
    <t>McFadden</t>
  </si>
  <si>
    <t xml:space="preserve">  Kelly M.</t>
  </si>
  <si>
    <t>Connolly</t>
  </si>
  <si>
    <t>Merino</t>
  </si>
  <si>
    <t xml:space="preserve">  Keila L</t>
  </si>
  <si>
    <t>Baird</t>
  </si>
  <si>
    <t xml:space="preserve">  Zanae E</t>
  </si>
  <si>
    <t>Locatelli</t>
  </si>
  <si>
    <t>Brake</t>
  </si>
  <si>
    <t>Jacobs</t>
  </si>
  <si>
    <t xml:space="preserve">  Jason L.</t>
  </si>
  <si>
    <t>Vaught</t>
  </si>
  <si>
    <t xml:space="preserve">  Benjamin J.</t>
  </si>
  <si>
    <t>Monteleone</t>
  </si>
  <si>
    <t>Verdugo</t>
  </si>
  <si>
    <t xml:space="preserve">  Erika</t>
  </si>
  <si>
    <t>Sellers</t>
  </si>
  <si>
    <t xml:space="preserve">  Chad</t>
  </si>
  <si>
    <t>Bowman</t>
  </si>
  <si>
    <t>Marley</t>
  </si>
  <si>
    <t>Grey</t>
  </si>
  <si>
    <t xml:space="preserve">  Matthew R</t>
  </si>
  <si>
    <t>O'Rourke</t>
  </si>
  <si>
    <t xml:space="preserve">  Orla</t>
  </si>
  <si>
    <t>Fatehali</t>
  </si>
  <si>
    <t xml:space="preserve">  Shaista S</t>
  </si>
  <si>
    <t>Piza-Taylor</t>
  </si>
  <si>
    <t>Cavanaugh</t>
  </si>
  <si>
    <t xml:space="preserve">  Julie A.</t>
  </si>
  <si>
    <t>Amako</t>
  </si>
  <si>
    <t xml:space="preserve">  Megumi</t>
  </si>
  <si>
    <t>Musa</t>
  </si>
  <si>
    <t xml:space="preserve">  Skylar</t>
  </si>
  <si>
    <t>Phillippi</t>
  </si>
  <si>
    <t>Hoskins</t>
  </si>
  <si>
    <t xml:space="preserve">  Amanda L</t>
  </si>
  <si>
    <t>Imbalzano Zegar</t>
  </si>
  <si>
    <t xml:space="preserve">  Renee</t>
  </si>
  <si>
    <t>Triedman</t>
  </si>
  <si>
    <t xml:space="preserve">  Nellie A.</t>
  </si>
  <si>
    <t>Lovuolo</t>
  </si>
  <si>
    <t xml:space="preserve">  Tamara</t>
  </si>
  <si>
    <t>Chung</t>
  </si>
  <si>
    <t>Newsom</t>
  </si>
  <si>
    <t xml:space="preserve">  Aimee J.</t>
  </si>
  <si>
    <t>Harrington</t>
  </si>
  <si>
    <t xml:space="preserve">  Suzanne</t>
  </si>
  <si>
    <t>Hoffman</t>
  </si>
  <si>
    <t xml:space="preserve">  Kristin A.</t>
  </si>
  <si>
    <t>Van Vugt</t>
  </si>
  <si>
    <t xml:space="preserve">  Bronwyn</t>
  </si>
  <si>
    <t>Feehley</t>
  </si>
  <si>
    <t xml:space="preserve">  Taylor J</t>
  </si>
  <si>
    <t>Ashworth</t>
  </si>
  <si>
    <t xml:space="preserve">  Kimberly M.</t>
  </si>
  <si>
    <t>Hansen</t>
  </si>
  <si>
    <t xml:space="preserve">  Joshua E.</t>
  </si>
  <si>
    <t>Czyz</t>
  </si>
  <si>
    <t>Bauder</t>
  </si>
  <si>
    <t xml:space="preserve">  Andrew R</t>
  </si>
  <si>
    <t>Mendoza</t>
  </si>
  <si>
    <t xml:space="preserve">  Francisco J. Sr.</t>
  </si>
  <si>
    <t>Glass</t>
  </si>
  <si>
    <t xml:space="preserve">  Rhonda</t>
  </si>
  <si>
    <t>Butcher</t>
  </si>
  <si>
    <t>Traiser</t>
  </si>
  <si>
    <t xml:space="preserve">  Miles J.</t>
  </si>
  <si>
    <t>Mudy-Mader</t>
  </si>
  <si>
    <t xml:space="preserve">  Justyna I.</t>
  </si>
  <si>
    <t xml:space="preserve">  Lucille</t>
  </si>
  <si>
    <t>Woo</t>
  </si>
  <si>
    <t xml:space="preserve">  April</t>
  </si>
  <si>
    <t xml:space="preserve">  Alyssa</t>
  </si>
  <si>
    <t>Sheppard</t>
  </si>
  <si>
    <t xml:space="preserve">  Jessica E.</t>
  </si>
  <si>
    <t>Doran</t>
  </si>
  <si>
    <t>Labrosse</t>
  </si>
  <si>
    <t xml:space="preserve">  Emilie</t>
  </si>
  <si>
    <t>Thomas</t>
  </si>
  <si>
    <t xml:space="preserve">  Caitlin B.</t>
  </si>
  <si>
    <t>Lesniak</t>
  </si>
  <si>
    <t xml:space="preserve">  Joseph W</t>
  </si>
  <si>
    <t>Prowse</t>
  </si>
  <si>
    <t>Seigel</t>
  </si>
  <si>
    <t xml:space="preserve">  Leah L.</t>
  </si>
  <si>
    <t>Blas</t>
  </si>
  <si>
    <t xml:space="preserve">  Wayne L.</t>
  </si>
  <si>
    <t>Simpson</t>
  </si>
  <si>
    <t>Gierman</t>
  </si>
  <si>
    <t xml:space="preserve">  Floris</t>
  </si>
  <si>
    <t>Jeuland</t>
  </si>
  <si>
    <t xml:space="preserve">  Marc</t>
  </si>
  <si>
    <t>Chorney</t>
  </si>
  <si>
    <t>Rook</t>
  </si>
  <si>
    <t xml:space="preserve">  Aharon N</t>
  </si>
  <si>
    <t>Chin</t>
  </si>
  <si>
    <t xml:space="preserve">  Lawrence D.</t>
  </si>
  <si>
    <t xml:space="preserve">  Malcolm</t>
  </si>
  <si>
    <t>Savage</t>
  </si>
  <si>
    <t xml:space="preserve">  Anna E.</t>
  </si>
  <si>
    <t>Hitchings</t>
  </si>
  <si>
    <t>Truitt</t>
  </si>
  <si>
    <t>Chang</t>
  </si>
  <si>
    <t xml:space="preserve">  Chia J.</t>
  </si>
  <si>
    <t>Frey</t>
  </si>
  <si>
    <t xml:space="preserve">  Laura A</t>
  </si>
  <si>
    <t>Krishna</t>
  </si>
  <si>
    <t xml:space="preserve">  Aditi</t>
  </si>
  <si>
    <t>Maher</t>
  </si>
  <si>
    <t xml:space="preserve">  Leah A.</t>
  </si>
  <si>
    <t>Boivin</t>
  </si>
  <si>
    <t xml:space="preserve">  Marianne</t>
  </si>
  <si>
    <t>McAlister</t>
  </si>
  <si>
    <t xml:space="preserve">  Carla</t>
  </si>
  <si>
    <t>Akhmedova</t>
  </si>
  <si>
    <t xml:space="preserve">  Oksana</t>
  </si>
  <si>
    <t>Tucker</t>
  </si>
  <si>
    <t>Gramelspacher</t>
  </si>
  <si>
    <t xml:space="preserve">  Maria A.</t>
  </si>
  <si>
    <t>Goldsmith</t>
  </si>
  <si>
    <t xml:space="preserve">  Lisa M</t>
  </si>
  <si>
    <t>Tranter</t>
  </si>
  <si>
    <t xml:space="preserve">  Steve Jr.</t>
  </si>
  <si>
    <t>Tu</t>
  </si>
  <si>
    <t>Kaczka</t>
  </si>
  <si>
    <t>Hunter</t>
  </si>
  <si>
    <t xml:space="preserve">  Dale</t>
  </si>
  <si>
    <t xml:space="preserve">  Brittany A.</t>
  </si>
  <si>
    <t>Ashby</t>
  </si>
  <si>
    <t xml:space="preserve">  Robert S</t>
  </si>
  <si>
    <t>Ausen</t>
  </si>
  <si>
    <t xml:space="preserve">  Ulrike</t>
  </si>
  <si>
    <t>O'Leary</t>
  </si>
  <si>
    <t xml:space="preserve">  Katlyn A.</t>
  </si>
  <si>
    <t>Scoville</t>
  </si>
  <si>
    <t xml:space="preserve">  Morgan B.</t>
  </si>
  <si>
    <t>Kaus</t>
  </si>
  <si>
    <t>Rainey</t>
  </si>
  <si>
    <t xml:space="preserve">  Chandler</t>
  </si>
  <si>
    <t>Rasch</t>
  </si>
  <si>
    <t xml:space="preserve">  Silvana M.</t>
  </si>
  <si>
    <t>Plunkett</t>
  </si>
  <si>
    <t xml:space="preserve">  Natty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</si>
  <si>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</si>
  <si>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</si>
  <si>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</si>
  <si>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</si>
  <si>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</si>
  <si>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</si>
  <si>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</si>
  <si>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>Tripaldi</t>
  </si>
  <si>
    <t xml:space="preserve">  Cassandra</t>
  </si>
  <si>
    <t xml:space="preserve">  Rosemary C</t>
  </si>
  <si>
    <t>Endara</t>
  </si>
  <si>
    <t xml:space="preserve">  Carrie A.</t>
  </si>
  <si>
    <t>Valle</t>
  </si>
  <si>
    <t xml:space="preserve">  Gerardo Sr.</t>
  </si>
  <si>
    <t>Germain</t>
  </si>
  <si>
    <t xml:space="preserve">  Matthew R.</t>
  </si>
  <si>
    <t>Finecey</t>
  </si>
  <si>
    <t xml:space="preserve">  Meghan E</t>
  </si>
  <si>
    <t>Roe</t>
  </si>
  <si>
    <t xml:space="preserve">  Lisa B</t>
  </si>
  <si>
    <t>Webb</t>
  </si>
  <si>
    <t xml:space="preserve">  Jane R.</t>
  </si>
  <si>
    <t>Stocker</t>
  </si>
  <si>
    <t xml:space="preserve">  Allison M</t>
  </si>
  <si>
    <t>Jacobson</t>
  </si>
  <si>
    <t xml:space="preserve">  Philip J</t>
  </si>
  <si>
    <t>Goodwin</t>
  </si>
  <si>
    <t xml:space="preserve">  Jillian A.</t>
  </si>
  <si>
    <t>Brock</t>
  </si>
  <si>
    <t xml:space="preserve">  Laura D</t>
  </si>
  <si>
    <t>Papp</t>
  </si>
  <si>
    <t xml:space="preserve">  Megan E.</t>
  </si>
  <si>
    <t>Siragusa</t>
  </si>
  <si>
    <t xml:space="preserve">  Shannon J.</t>
  </si>
  <si>
    <t>Pizarro</t>
  </si>
  <si>
    <t xml:space="preserve">  Rachelle M</t>
  </si>
  <si>
    <t>Strange</t>
  </si>
  <si>
    <t>Eidinger</t>
  </si>
  <si>
    <t>Ginsburg</t>
  </si>
  <si>
    <t xml:space="preserve">  Brandon F</t>
  </si>
  <si>
    <t>Truex</t>
  </si>
  <si>
    <t>Higgins</t>
  </si>
  <si>
    <t xml:space="preserve">  Danielle N</t>
  </si>
  <si>
    <t>McCurdy</t>
  </si>
  <si>
    <t xml:space="preserve">  Bettina</t>
  </si>
  <si>
    <t>Varner</t>
  </si>
  <si>
    <t>Dahmen</t>
  </si>
  <si>
    <t xml:space="preserve">  Holli</t>
  </si>
  <si>
    <t xml:space="preserve">  Heather C</t>
  </si>
  <si>
    <t>Fraser</t>
  </si>
  <si>
    <t>Deeg</t>
  </si>
  <si>
    <t xml:space="preserve">  Thomas J</t>
  </si>
  <si>
    <t>Robertson</t>
  </si>
  <si>
    <t>Peck</t>
  </si>
  <si>
    <t xml:space="preserve">  Graham</t>
  </si>
  <si>
    <t>Burger</t>
  </si>
  <si>
    <t xml:space="preserve">  Garrett</t>
  </si>
  <si>
    <t>Blain</t>
  </si>
  <si>
    <t>Winters</t>
  </si>
  <si>
    <t xml:space="preserve">  Annabelle M</t>
  </si>
  <si>
    <t>McCue</t>
  </si>
  <si>
    <t xml:space="preserve">  Daniel T.</t>
  </si>
  <si>
    <t>Webster</t>
  </si>
  <si>
    <t xml:space="preserve">  Deanne</t>
  </si>
  <si>
    <t>Chiappone</t>
  </si>
  <si>
    <t>Opie</t>
  </si>
  <si>
    <t xml:space="preserve">  Jasmine P.</t>
  </si>
  <si>
    <t>Donnelly</t>
  </si>
  <si>
    <t>Rall</t>
  </si>
  <si>
    <t xml:space="preserve">  Tracie</t>
  </si>
  <si>
    <t xml:space="preserve">  Tristan D.</t>
  </si>
  <si>
    <t>Chen</t>
  </si>
  <si>
    <t xml:space="preserve">  Peiweng</t>
  </si>
  <si>
    <t>Tufaro</t>
  </si>
  <si>
    <t xml:space="preserve">  Theresa M.</t>
  </si>
  <si>
    <t xml:space="preserve">  Daniel J</t>
  </si>
  <si>
    <t>Susedik</t>
  </si>
  <si>
    <t xml:space="preserve">  Courtney M.</t>
  </si>
  <si>
    <t xml:space="preserve">  Jose A.</t>
  </si>
  <si>
    <t>Deady</t>
  </si>
  <si>
    <t xml:space="preserve">  Jonathon M.</t>
  </si>
  <si>
    <t>Schaefer</t>
  </si>
  <si>
    <t xml:space="preserve">  Stephanie A</t>
  </si>
  <si>
    <t>D'Alessandro</t>
  </si>
  <si>
    <t>Wyss</t>
  </si>
  <si>
    <t xml:space="preserve">  Krista</t>
  </si>
  <si>
    <t>Rose</t>
  </si>
  <si>
    <t xml:space="preserve">  Jenessa</t>
  </si>
  <si>
    <t>Hopper</t>
  </si>
  <si>
    <t xml:space="preserve">  Ryan M.</t>
  </si>
  <si>
    <t>Finneran</t>
  </si>
  <si>
    <t>Basham</t>
  </si>
  <si>
    <t xml:space="preserve">  Amanda N.</t>
  </si>
  <si>
    <t xml:space="preserve">  Teresa P.</t>
  </si>
  <si>
    <t>Oscal</t>
  </si>
  <si>
    <t xml:space="preserve">  Dorian</t>
  </si>
  <si>
    <t>Craft</t>
  </si>
  <si>
    <t>Kebede</t>
  </si>
  <si>
    <t xml:space="preserve">  Aberu</t>
  </si>
  <si>
    <t>Strobel</t>
  </si>
  <si>
    <t>Dalton</t>
  </si>
  <si>
    <t xml:space="preserve">  Anna E</t>
  </si>
  <si>
    <t>Morimoto</t>
  </si>
  <si>
    <t xml:space="preserve">  Tania K.</t>
  </si>
  <si>
    <t>Manlove</t>
  </si>
  <si>
    <t>Madzik</t>
  </si>
  <si>
    <t>Hobson</t>
  </si>
  <si>
    <t xml:space="preserve">  Valery L</t>
  </si>
  <si>
    <t>Reyes</t>
  </si>
  <si>
    <t xml:space="preserve">  Joanna G.</t>
  </si>
  <si>
    <t>Tierney</t>
  </si>
  <si>
    <t xml:space="preserve">  Stefanie F.</t>
  </si>
  <si>
    <t>Gabris</t>
  </si>
  <si>
    <t>Howard</t>
  </si>
  <si>
    <t xml:space="preserve">  Liza J.</t>
  </si>
  <si>
    <t>Kallay</t>
  </si>
  <si>
    <t xml:space="preserve">  Ian M.</t>
  </si>
  <si>
    <t>Leguizamo</t>
  </si>
  <si>
    <t xml:space="preserve">  Claudia L.</t>
  </si>
  <si>
    <t>Escartin</t>
  </si>
  <si>
    <t xml:space="preserve">  Jessica M</t>
  </si>
  <si>
    <t>Chorey</t>
  </si>
  <si>
    <t xml:space="preserve">  Billy Jr.</t>
  </si>
  <si>
    <t>McVay</t>
  </si>
  <si>
    <t>Vinson</t>
  </si>
  <si>
    <t xml:space="preserve">  Tim</t>
  </si>
  <si>
    <t>Astrike-Davis</t>
  </si>
  <si>
    <t xml:space="preserve">  Emma M</t>
  </si>
  <si>
    <t>Harder</t>
  </si>
  <si>
    <t>Bell</t>
  </si>
  <si>
    <t>Dawes</t>
  </si>
  <si>
    <t xml:space="preserve">  Bridget K.</t>
  </si>
  <si>
    <t>Larios</t>
  </si>
  <si>
    <t xml:space="preserve">  Gabriel</t>
  </si>
  <si>
    <t>Yaremczuk</t>
  </si>
  <si>
    <t xml:space="preserve">  Natasha</t>
  </si>
  <si>
    <t xml:space="preserve">  Abby A.</t>
  </si>
  <si>
    <t>Eversman</t>
  </si>
  <si>
    <t>Hickory</t>
  </si>
  <si>
    <t xml:space="preserve">  Mckendree</t>
  </si>
  <si>
    <t>Mooney</t>
  </si>
  <si>
    <t>Craighead</t>
  </si>
  <si>
    <t>Gardner</t>
  </si>
  <si>
    <t xml:space="preserve">  Joshua P</t>
  </si>
  <si>
    <t>Lohrenz</t>
  </si>
  <si>
    <t xml:space="preserve">  Erin C</t>
  </si>
  <si>
    <t>Demise</t>
  </si>
  <si>
    <t xml:space="preserve">  Shure</t>
  </si>
  <si>
    <t>Guitard</t>
  </si>
  <si>
    <t xml:space="preserve">  Brenda</t>
  </si>
  <si>
    <t>Navas</t>
  </si>
  <si>
    <t xml:space="preserve">  Joseph M</t>
  </si>
  <si>
    <t>Ptucha</t>
  </si>
  <si>
    <t xml:space="preserve">  Stephen J.</t>
  </si>
  <si>
    <t>Kirouac</t>
  </si>
  <si>
    <t xml:space="preserve">  Kathya</t>
  </si>
  <si>
    <t>Toews</t>
  </si>
  <si>
    <t xml:space="preserve">  Wesley</t>
  </si>
  <si>
    <t>Perry</t>
  </si>
  <si>
    <t>Kretz</t>
  </si>
  <si>
    <t xml:space="preserve">  Jamie L.</t>
  </si>
  <si>
    <t>Hempel</t>
  </si>
  <si>
    <t xml:space="preserve">  Alexandra</t>
  </si>
  <si>
    <t>McBroom</t>
  </si>
  <si>
    <t>Yoo</t>
  </si>
  <si>
    <t xml:space="preserve">  Rebecca J</t>
  </si>
  <si>
    <t>Rand</t>
  </si>
  <si>
    <t xml:space="preserve">  Austin T.</t>
  </si>
  <si>
    <t>Wolfe</t>
  </si>
  <si>
    <t xml:space="preserve">  Jamie T</t>
  </si>
  <si>
    <t>Vance</t>
  </si>
  <si>
    <t xml:space="preserve">  Matthew T.</t>
  </si>
  <si>
    <t>Burnett</t>
  </si>
  <si>
    <t>Clason</t>
  </si>
  <si>
    <t xml:space="preserve">  Gillian</t>
  </si>
  <si>
    <t xml:space="preserve">  Brenn E.</t>
  </si>
  <si>
    <t>Pietz</t>
  </si>
  <si>
    <t>Tegenkamp</t>
  </si>
  <si>
    <t>Dover</t>
  </si>
  <si>
    <t xml:space="preserve">  Thomas A.</t>
  </si>
  <si>
    <t>Dockemeyer</t>
  </si>
  <si>
    <t xml:space="preserve">  Kevin J</t>
  </si>
  <si>
    <t xml:space="preserve">  William H. III</t>
  </si>
  <si>
    <t>Harel</t>
  </si>
  <si>
    <t xml:space="preserve">  Gal</t>
  </si>
  <si>
    <t>Aguila</t>
  </si>
  <si>
    <t xml:space="preserve">  Anton</t>
  </si>
  <si>
    <t>Vallejo Sarmiento</t>
  </si>
  <si>
    <t xml:space="preserve">  Yazmin</t>
  </si>
  <si>
    <t>Beisheim</t>
  </si>
  <si>
    <t xml:space="preserve">  Florian</t>
  </si>
  <si>
    <t>Lenhoff</t>
  </si>
  <si>
    <t xml:space="preserve">  Karen L</t>
  </si>
  <si>
    <t>Wehrwein</t>
  </si>
  <si>
    <t xml:space="preserve">  Claire</t>
  </si>
  <si>
    <t>Markowitz</t>
  </si>
  <si>
    <t xml:space="preserve">  Lynn M.</t>
  </si>
  <si>
    <t>Vos</t>
  </si>
  <si>
    <t>McLeod</t>
  </si>
  <si>
    <t xml:space="preserve">  Candice</t>
  </si>
  <si>
    <t>Balcom</t>
  </si>
  <si>
    <t xml:space="preserve">  Jennifer D</t>
  </si>
  <si>
    <t>Dirth</t>
  </si>
  <si>
    <t>Inglish</t>
  </si>
  <si>
    <t xml:space="preserve">  Devon R.</t>
  </si>
  <si>
    <t>Massa-Musiak</t>
  </si>
  <si>
    <t xml:space="preserve">  Elena</t>
  </si>
  <si>
    <t>Bailey</t>
  </si>
  <si>
    <t>Jacoby</t>
  </si>
  <si>
    <t xml:space="preserve">  Bert</t>
  </si>
  <si>
    <t>Crimmings</t>
  </si>
  <si>
    <t xml:space="preserve">  John P.</t>
  </si>
  <si>
    <t>Crane</t>
  </si>
  <si>
    <t xml:space="preserve">  Daniel P</t>
  </si>
  <si>
    <t>Swartzfager</t>
  </si>
  <si>
    <t xml:space="preserve">  Lisa K.</t>
  </si>
  <si>
    <t>Clevenger</t>
  </si>
  <si>
    <t xml:space="preserve">  Kristine</t>
  </si>
  <si>
    <t>Reichardt</t>
  </si>
  <si>
    <t xml:space="preserve">  Paul A</t>
  </si>
  <si>
    <t>Morton</t>
  </si>
  <si>
    <t>Sunstrum</t>
  </si>
  <si>
    <t>Frownfelter</t>
  </si>
  <si>
    <t xml:space="preserve">  Milah B</t>
  </si>
  <si>
    <t>Richter</t>
  </si>
  <si>
    <t xml:space="preserve">  Annette M.</t>
  </si>
  <si>
    <t>England</t>
  </si>
  <si>
    <t xml:space="preserve">  Yoko</t>
  </si>
  <si>
    <t>McLean</t>
  </si>
  <si>
    <t xml:space="preserve">  Laura</t>
  </si>
  <si>
    <t xml:space="preserve">  Tess A.</t>
  </si>
  <si>
    <t>Lane</t>
  </si>
  <si>
    <t xml:space="preserve">  William G.</t>
  </si>
  <si>
    <t>Vonachen</t>
  </si>
  <si>
    <t xml:space="preserve">  Paige</t>
  </si>
  <si>
    <t>Kidwell</t>
  </si>
  <si>
    <t>Betancourth</t>
  </si>
  <si>
    <t xml:space="preserve">  Maria</t>
  </si>
  <si>
    <t>Henstrom</t>
  </si>
  <si>
    <t xml:space="preserve">  Stephanie D</t>
  </si>
  <si>
    <t>Pereira</t>
  </si>
  <si>
    <t xml:space="preserve">  Sara M.</t>
  </si>
  <si>
    <t>Brown</t>
  </si>
  <si>
    <t xml:space="preserve">  Scott A.</t>
  </si>
  <si>
    <t>Reasoner</t>
  </si>
  <si>
    <t>Carver</t>
  </si>
  <si>
    <t xml:space="preserve">  Brian A.</t>
  </si>
  <si>
    <t>Borror</t>
  </si>
  <si>
    <t xml:space="preserve">  Kaitlin R.</t>
  </si>
  <si>
    <t>Saad</t>
  </si>
  <si>
    <t xml:space="preserve">  Mohammad</t>
  </si>
  <si>
    <t>Paul</t>
  </si>
  <si>
    <t>Trail</t>
  </si>
  <si>
    <t>Benton</t>
  </si>
  <si>
    <t xml:space="preserve">  Kelli M</t>
  </si>
  <si>
    <t>Bauman</t>
  </si>
  <si>
    <t xml:space="preserve">  Sheridan H</t>
  </si>
  <si>
    <t>Bakula</t>
  </si>
  <si>
    <t xml:space="preserve">  Sarah M.</t>
  </si>
  <si>
    <t>Davis</t>
  </si>
  <si>
    <t xml:space="preserve">  Laura J</t>
  </si>
  <si>
    <t>Weiler</t>
  </si>
  <si>
    <t>Schaaf</t>
  </si>
  <si>
    <t xml:space="preserve">  Gisele</t>
  </si>
  <si>
    <t>Sack</t>
  </si>
  <si>
    <t xml:space="preserve">  Myra L</t>
  </si>
  <si>
    <t>Chenard</t>
  </si>
  <si>
    <t xml:space="preserve">  Melissa M.</t>
  </si>
  <si>
    <t>Williamson</t>
  </si>
  <si>
    <t xml:space="preserve">  Eleanor F.</t>
  </si>
  <si>
    <t>Dollas</t>
  </si>
  <si>
    <t>Sprague</t>
  </si>
  <si>
    <t xml:space="preserve">  Kenneth</t>
  </si>
  <si>
    <t>Michell</t>
  </si>
  <si>
    <t xml:space="preserve">  Robert G.</t>
  </si>
  <si>
    <t>Datwyler</t>
  </si>
  <si>
    <t xml:space="preserve">  Thomas C.</t>
  </si>
  <si>
    <t>Mead</t>
  </si>
  <si>
    <t xml:space="preserve">  Matthew J.</t>
  </si>
  <si>
    <t>Kennedy</t>
  </si>
  <si>
    <t xml:space="preserve">  Mallory D.</t>
  </si>
  <si>
    <t>Czech</t>
  </si>
  <si>
    <t>O'Brien</t>
  </si>
  <si>
    <t xml:space="preserve">  Jamie</t>
  </si>
  <si>
    <t>Bachman</t>
  </si>
  <si>
    <t xml:space="preserve">  Ariell</t>
  </si>
  <si>
    <t>Bednar</t>
  </si>
  <si>
    <t>Daye</t>
  </si>
  <si>
    <t>Clarke</t>
  </si>
  <si>
    <t xml:space="preserve">  Thomas B.</t>
  </si>
  <si>
    <t>Koren</t>
  </si>
  <si>
    <t>Kuramoto</t>
  </si>
  <si>
    <t xml:space="preserve">  Rachelle L</t>
  </si>
  <si>
    <t>Lynn</t>
  </si>
  <si>
    <t xml:space="preserve">  Colleen</t>
  </si>
  <si>
    <t>Dierksen</t>
  </si>
  <si>
    <t xml:space="preserve">  Gregory A</t>
  </si>
  <si>
    <t>Zoeller</t>
  </si>
  <si>
    <t>Flesch</t>
  </si>
  <si>
    <t>Maltby</t>
  </si>
  <si>
    <t xml:space="preserve">  Sara</t>
  </si>
  <si>
    <t>Custance</t>
  </si>
  <si>
    <t xml:space="preserve">  Lucie J.</t>
  </si>
  <si>
    <t>Choi</t>
  </si>
  <si>
    <t xml:space="preserve">  Elizabeth S.</t>
  </si>
  <si>
    <t>Barnett</t>
  </si>
  <si>
    <t xml:space="preserve">  Carma S</t>
  </si>
  <si>
    <t>Proulx</t>
  </si>
  <si>
    <t>Lundine</t>
  </si>
  <si>
    <t>Paullin</t>
  </si>
  <si>
    <t>Delucia</t>
  </si>
  <si>
    <t xml:space="preserve">  Francesca</t>
  </si>
  <si>
    <t>Valentine</t>
  </si>
  <si>
    <t>Mohara</t>
  </si>
  <si>
    <t xml:space="preserve">  Toshiyuki</t>
  </si>
  <si>
    <t>Fairbrother</t>
  </si>
  <si>
    <t xml:space="preserve">  Tom L.</t>
  </si>
  <si>
    <t>Fagan</t>
  </si>
  <si>
    <t>Toth</t>
  </si>
  <si>
    <t>Guinn</t>
  </si>
  <si>
    <t xml:space="preserve">  Julee</t>
  </si>
  <si>
    <t xml:space="preserve">  Christopher M.</t>
  </si>
  <si>
    <t>Diviney</t>
  </si>
  <si>
    <t xml:space="preserve">  Ciaran</t>
  </si>
  <si>
    <t>Marlatt</t>
  </si>
  <si>
    <t>Ohler</t>
  </si>
  <si>
    <t xml:space="preserve">  Makie</t>
  </si>
  <si>
    <t>Mossler</t>
  </si>
  <si>
    <t xml:space="preserve">  Emily E</t>
  </si>
  <si>
    <t>Segall</t>
  </si>
  <si>
    <t xml:space="preserve">  Cary</t>
  </si>
  <si>
    <t>Sprieser</t>
  </si>
  <si>
    <t xml:space="preserve">  Steven</t>
  </si>
  <si>
    <t>Blanco</t>
  </si>
  <si>
    <t xml:space="preserve">  Jose Antonio Sr.</t>
  </si>
  <si>
    <t>Sheptock</t>
  </si>
  <si>
    <t xml:space="preserve">  Tatiana</t>
  </si>
  <si>
    <t>Chruniak</t>
  </si>
  <si>
    <t xml:space="preserve">  Dan T.</t>
  </si>
  <si>
    <t>Miller</t>
  </si>
  <si>
    <t xml:space="preserve">  Liisa A.</t>
  </si>
  <si>
    <t>Theis</t>
  </si>
  <si>
    <t xml:space="preserve">  Kathryn E.</t>
  </si>
  <si>
    <t>Sadler</t>
  </si>
  <si>
    <t xml:space="preserve">  Maxwell</t>
  </si>
  <si>
    <t>Auger</t>
  </si>
  <si>
    <t xml:space="preserve">  Pascale</t>
  </si>
  <si>
    <t>Steadman</t>
  </si>
  <si>
    <t xml:space="preserve">  Becca</t>
  </si>
  <si>
    <t>McCarron</t>
  </si>
  <si>
    <t>Roecker</t>
  </si>
  <si>
    <t>Giumarra</t>
  </si>
  <si>
    <t xml:space="preserve">  Nicole R.</t>
  </si>
  <si>
    <t xml:space="preserve">  David W</t>
  </si>
  <si>
    <t>Bower</t>
  </si>
  <si>
    <t xml:space="preserve">  Grant</t>
  </si>
  <si>
    <t xml:space="preserve">  Sophia</t>
  </si>
  <si>
    <t>Capriccioso</t>
  </si>
  <si>
    <t xml:space="preserve">  Christina</t>
  </si>
  <si>
    <t>Starbuck</t>
  </si>
  <si>
    <t xml:space="preserve">  Sam L.</t>
  </si>
  <si>
    <t>McMahon</t>
  </si>
  <si>
    <t xml:space="preserve">  Haley R.</t>
  </si>
  <si>
    <t>Rissell</t>
  </si>
  <si>
    <t xml:space="preserve">  Ethan</t>
  </si>
  <si>
    <t>Kromroy</t>
  </si>
  <si>
    <t xml:space="preserve">  Andrew W</t>
  </si>
  <si>
    <t>Manfredi</t>
  </si>
  <si>
    <t xml:space="preserve">  Mark G</t>
  </si>
  <si>
    <t>Manwaring</t>
  </si>
  <si>
    <t xml:space="preserve">  Kasey E.</t>
  </si>
  <si>
    <t>Tomaszewski</t>
  </si>
  <si>
    <t>Gannon</t>
  </si>
  <si>
    <t>Frye</t>
  </si>
  <si>
    <t xml:space="preserve">  Kristin M</t>
  </si>
  <si>
    <t>Currier</t>
  </si>
  <si>
    <t xml:space="preserve">  Mary-Lynn B.</t>
  </si>
  <si>
    <t>Whittendale</t>
  </si>
  <si>
    <t xml:space="preserve">  Jamie A</t>
  </si>
  <si>
    <t>Rixe</t>
  </si>
  <si>
    <t xml:space="preserve">  Jeffrey A.</t>
  </si>
  <si>
    <t>Ballon-Landa</t>
  </si>
  <si>
    <t>Zaferos</t>
  </si>
  <si>
    <t xml:space="preserve">  Audrey</t>
  </si>
  <si>
    <t xml:space="preserve">  Jacob</t>
  </si>
  <si>
    <t>Evans Marke</t>
  </si>
  <si>
    <t xml:space="preserve">  Daniel S</t>
  </si>
  <si>
    <t>Samland</t>
  </si>
  <si>
    <t xml:space="preserve">  Marc C.</t>
  </si>
  <si>
    <t>Shapiro</t>
  </si>
  <si>
    <t xml:space="preserve">  Mark S</t>
  </si>
  <si>
    <t>Snitzer</t>
  </si>
  <si>
    <t>Herra Arroyo</t>
  </si>
  <si>
    <t>Watters</t>
  </si>
  <si>
    <t>Steele-Belkin</t>
  </si>
  <si>
    <t xml:space="preserve">  Dara</t>
  </si>
  <si>
    <t>Christensen</t>
  </si>
  <si>
    <t xml:space="preserve">  Rachelle R</t>
  </si>
  <si>
    <t>Hodge</t>
  </si>
  <si>
    <t xml:space="preserve">  Brenda J</t>
  </si>
  <si>
    <t>Rusterholz</t>
  </si>
  <si>
    <t>Lafrance</t>
  </si>
  <si>
    <t xml:space="preserve">  Sylvain</t>
  </si>
  <si>
    <t>Hallis</t>
  </si>
  <si>
    <t>Salowitz</t>
  </si>
  <si>
    <t xml:space="preserve">  Kaitlin M</t>
  </si>
  <si>
    <t>Blake</t>
  </si>
  <si>
    <t xml:space="preserve">  William R.</t>
  </si>
  <si>
    <t>Langerak</t>
  </si>
  <si>
    <t>Bonilla</t>
  </si>
  <si>
    <t xml:space="preserve">  Veronica</t>
  </si>
  <si>
    <t>Ciabattoni</t>
  </si>
  <si>
    <t xml:space="preserve">  Warren</t>
  </si>
  <si>
    <t>Escanero Palmer</t>
  </si>
  <si>
    <t xml:space="preserve">  Daniela</t>
  </si>
  <si>
    <t xml:space="preserve">  Deirdre A</t>
  </si>
  <si>
    <t>Osmark</t>
  </si>
  <si>
    <t xml:space="preserve">  Mathias</t>
  </si>
  <si>
    <t>Warwick</t>
  </si>
  <si>
    <t xml:space="preserve">  Kurt</t>
  </si>
  <si>
    <t>Magnuson</t>
  </si>
  <si>
    <t>Marsh</t>
  </si>
  <si>
    <t>Kari</t>
  </si>
  <si>
    <t>Standiford</t>
  </si>
  <si>
    <t xml:space="preserve">  Alex F</t>
  </si>
  <si>
    <t>Sherwin</t>
  </si>
  <si>
    <t xml:space="preserve">  Alice</t>
  </si>
  <si>
    <t>Blekeli</t>
  </si>
  <si>
    <t xml:space="preserve">  Johannes Fiskerstand</t>
  </si>
  <si>
    <t>Vangampleare</t>
  </si>
  <si>
    <t>Hiatt</t>
  </si>
  <si>
    <t xml:space="preserve">  Jon M</t>
  </si>
  <si>
    <t>Tadesse</t>
  </si>
  <si>
    <t xml:space="preserve">  Fasil</t>
  </si>
  <si>
    <t>Jaswell</t>
  </si>
  <si>
    <t xml:space="preserve">  Megan C.</t>
  </si>
  <si>
    <t>Phillips-Cook</t>
  </si>
  <si>
    <t xml:space="preserve">  Lisa J.</t>
  </si>
  <si>
    <t xml:space="preserve">  Doron P</t>
  </si>
  <si>
    <t xml:space="preserve">  Katharina</t>
  </si>
  <si>
    <t>Desruisseaux</t>
  </si>
  <si>
    <t xml:space="preserve">  Carl</t>
  </si>
  <si>
    <t>Ripp</t>
  </si>
  <si>
    <t xml:space="preserve">  Kelsey J.</t>
  </si>
  <si>
    <t>Harris</t>
  </si>
  <si>
    <t xml:space="preserve">  Stephen A.</t>
  </si>
  <si>
    <t>Shafer</t>
  </si>
  <si>
    <t>Hemesath</t>
  </si>
  <si>
    <t xml:space="preserve">  Katie C</t>
  </si>
  <si>
    <t>Vinci</t>
  </si>
  <si>
    <t xml:space="preserve">  Melissa K</t>
  </si>
  <si>
    <t>Diamond-Husmann</t>
  </si>
  <si>
    <t xml:space="preserve">  Kara H</t>
  </si>
  <si>
    <t>Soto</t>
  </si>
  <si>
    <t xml:space="preserve">  Juan Carlos</t>
  </si>
  <si>
    <t xml:space="preserve">  John III</t>
  </si>
  <si>
    <t>Patrick</t>
  </si>
  <si>
    <t xml:space="preserve">  Sarah M</t>
  </si>
  <si>
    <t>Dacko</t>
  </si>
  <si>
    <t xml:space="preserve">  Kristin C</t>
  </si>
  <si>
    <t>Glassey</t>
  </si>
  <si>
    <t xml:space="preserve">  Casey M.</t>
  </si>
  <si>
    <t>Frechette</t>
  </si>
  <si>
    <t>Benitez</t>
  </si>
  <si>
    <t xml:space="preserve">  Braulio</t>
  </si>
  <si>
    <t>Gauthier</t>
  </si>
  <si>
    <t xml:space="preserve">  Anne-Marie</t>
  </si>
  <si>
    <t>Fazioli</t>
  </si>
  <si>
    <t xml:space="preserve">  Samuel K.</t>
  </si>
  <si>
    <t xml:space="preserve">  Yuki</t>
  </si>
  <si>
    <t>Dannenhauer</t>
  </si>
  <si>
    <t xml:space="preserve">  Rafer</t>
  </si>
  <si>
    <t>McComb</t>
  </si>
  <si>
    <t xml:space="preserve">  Erynn J.</t>
  </si>
  <si>
    <t>Sambasivam</t>
  </si>
  <si>
    <t xml:space="preserve">  Mahesh</t>
  </si>
  <si>
    <t>Maina</t>
  </si>
  <si>
    <t xml:space="preserve">  Stanley</t>
  </si>
  <si>
    <t>Keshian</t>
  </si>
  <si>
    <t>Maas</t>
  </si>
  <si>
    <t>Sinasac</t>
  </si>
  <si>
    <t xml:space="preserve">  Rachel M</t>
  </si>
  <si>
    <t>Van De Kamp</t>
  </si>
  <si>
    <t xml:space="preserve">  Fritz</t>
  </si>
  <si>
    <t>Ruffo</t>
  </si>
  <si>
    <t>Long</t>
  </si>
  <si>
    <t xml:space="preserve">  Claire M</t>
  </si>
  <si>
    <t>Rohde</t>
  </si>
  <si>
    <t>Bonzi</t>
  </si>
  <si>
    <t xml:space="preserve">  Maria S.</t>
  </si>
  <si>
    <t>Moore</t>
  </si>
  <si>
    <t xml:space="preserve">  Katherine E</t>
  </si>
  <si>
    <t>McGrane</t>
  </si>
  <si>
    <t>Stepnowski</t>
  </si>
  <si>
    <t xml:space="preserve">  Roxanne</t>
  </si>
  <si>
    <t>Merkle</t>
  </si>
  <si>
    <t xml:space="preserve">  Israel</t>
  </si>
  <si>
    <t xml:space="preserve">  Samalya</t>
  </si>
  <si>
    <t>Vigneron</t>
  </si>
  <si>
    <t>Mucci</t>
  </si>
  <si>
    <t xml:space="preserve">  Alicia</t>
  </si>
  <si>
    <t>MacDonald</t>
  </si>
  <si>
    <t xml:space="preserve">  Sarah K.</t>
  </si>
  <si>
    <t>Deng</t>
  </si>
  <si>
    <t xml:space="preserve">  Guomin</t>
  </si>
  <si>
    <t>De Mata</t>
  </si>
  <si>
    <t xml:space="preserve">  Javier</t>
  </si>
  <si>
    <t>Strickland</t>
  </si>
  <si>
    <t>Cheney</t>
  </si>
  <si>
    <t xml:space="preserve">  Thomas S</t>
  </si>
  <si>
    <t>Godoy</t>
  </si>
  <si>
    <t xml:space="preserve">  Martha Patricia</t>
  </si>
  <si>
    <t>Rider</t>
  </si>
  <si>
    <t xml:space="preserve">  Jennifer V.</t>
  </si>
  <si>
    <t xml:space="preserve">  Michael W.</t>
  </si>
  <si>
    <t>Walters</t>
  </si>
  <si>
    <t xml:space="preserve">  Eddie C</t>
  </si>
  <si>
    <t>Leboeuf</t>
  </si>
  <si>
    <t xml:space="preserve">  Maxime M</t>
  </si>
  <si>
    <t>Scheibel</t>
  </si>
  <si>
    <t xml:space="preserve">  Mark D</t>
  </si>
  <si>
    <t>Ritter</t>
  </si>
  <si>
    <t xml:space="preserve">  Justin M</t>
  </si>
  <si>
    <t>Pretot</t>
  </si>
  <si>
    <t xml:space="preserve">  Svetlana V.</t>
  </si>
  <si>
    <t>Willsey</t>
  </si>
  <si>
    <t xml:space="preserve">  Jana L</t>
  </si>
  <si>
    <t>Roach</t>
  </si>
  <si>
    <t>Jacobsen</t>
  </si>
  <si>
    <t xml:space="preserve">  Torrey C III</t>
  </si>
  <si>
    <t>O'Hora</t>
  </si>
  <si>
    <t>Amato</t>
  </si>
  <si>
    <t xml:space="preserve">  Jennifer D.</t>
  </si>
  <si>
    <t>Wegner</t>
  </si>
  <si>
    <t xml:space="preserve">  Lana J</t>
  </si>
  <si>
    <t>Bokun</t>
  </si>
  <si>
    <t xml:space="preserve">  Rebecca E</t>
  </si>
  <si>
    <t>Ainsley</t>
  </si>
  <si>
    <t xml:space="preserve">  Katie M.</t>
  </si>
  <si>
    <t xml:space="preserve">  Elizabeth A.</t>
  </si>
  <si>
    <t>Overpeck</t>
  </si>
  <si>
    <t>Levine</t>
  </si>
  <si>
    <t xml:space="preserve">  Annie J.</t>
  </si>
  <si>
    <t>Jean</t>
  </si>
  <si>
    <t xml:space="preserve">  Annie</t>
  </si>
  <si>
    <t>Wild</t>
  </si>
  <si>
    <t>Tabor</t>
  </si>
  <si>
    <t>Steffen</t>
  </si>
  <si>
    <t xml:space="preserve">  Amy T</t>
  </si>
  <si>
    <t>Tadich</t>
  </si>
  <si>
    <t xml:space="preserve">  Katarina D</t>
  </si>
  <si>
    <t>Christenson</t>
  </si>
  <si>
    <t xml:space="preserve">  B.j.</t>
  </si>
  <si>
    <t>Shell</t>
  </si>
  <si>
    <t xml:space="preserve">  Alison</t>
  </si>
  <si>
    <t>Rao</t>
  </si>
  <si>
    <t xml:space="preserve">  Neil K.</t>
  </si>
  <si>
    <t xml:space="preserve">  Anne Hunter</t>
  </si>
  <si>
    <t xml:space="preserve">  Sandra</t>
  </si>
  <si>
    <t>Gomez</t>
  </si>
  <si>
    <t>Hemingway</t>
  </si>
  <si>
    <t xml:space="preserve">  Rodney</t>
  </si>
  <si>
    <t>Pett</t>
  </si>
  <si>
    <t xml:space="preserve">  Carl R</t>
  </si>
  <si>
    <t>Meingast</t>
  </si>
  <si>
    <t xml:space="preserve">  Maximilian</t>
  </si>
  <si>
    <t>McCarthy</t>
  </si>
  <si>
    <t>Boyle</t>
  </si>
  <si>
    <t>Gundersen</t>
  </si>
  <si>
    <t xml:space="preserve">  Eirik</t>
  </si>
  <si>
    <t>Wolswinkel</t>
  </si>
  <si>
    <t xml:space="preserve">  Rik</t>
  </si>
  <si>
    <t>Bomberger</t>
  </si>
  <si>
    <t xml:space="preserve">  Daniel G</t>
  </si>
  <si>
    <t>Lapierre</t>
  </si>
  <si>
    <t xml:space="preserve">  Yannick</t>
  </si>
  <si>
    <t>Beaty</t>
  </si>
  <si>
    <t xml:space="preserve">  Sean R</t>
  </si>
  <si>
    <t>Hammer</t>
  </si>
  <si>
    <t>Randolph</t>
  </si>
  <si>
    <t xml:space="preserve">  Sara A.</t>
  </si>
  <si>
    <t>Masterson</t>
  </si>
  <si>
    <t>Friess</t>
  </si>
  <si>
    <t xml:space="preserve">  Thibaud</t>
  </si>
  <si>
    <t>Mantoni</t>
  </si>
  <si>
    <t>Bodeen</t>
  </si>
  <si>
    <t xml:space="preserve">  Gretchen K.</t>
  </si>
  <si>
    <t>McPherson</t>
  </si>
  <si>
    <t xml:space="preserve">  Martina</t>
  </si>
  <si>
    <t>Palko</t>
  </si>
  <si>
    <t xml:space="preserve">  Dustin J</t>
  </si>
  <si>
    <t>Breathitt</t>
  </si>
  <si>
    <t>Evora</t>
  </si>
  <si>
    <t xml:space="preserve">  Daniel V.</t>
  </si>
  <si>
    <t>Fischer</t>
  </si>
  <si>
    <t xml:space="preserve">  Saeger</t>
  </si>
  <si>
    <t>Deba</t>
  </si>
  <si>
    <t xml:space="preserve">  Buzunesh</t>
  </si>
  <si>
    <t>Leloup</t>
  </si>
  <si>
    <t xml:space="preserve">  Mirte</t>
  </si>
  <si>
    <t>Labare</t>
  </si>
  <si>
    <t>Arouca</t>
  </si>
  <si>
    <t xml:space="preserve">  Kerry A.</t>
  </si>
  <si>
    <t>Reese</t>
  </si>
  <si>
    <t>McCloskey</t>
  </si>
  <si>
    <t xml:space="preserve">  Christopher R.</t>
  </si>
  <si>
    <t>Tedsen</t>
  </si>
  <si>
    <t xml:space="preserve">  Elizabeth A</t>
  </si>
  <si>
    <t>Koehlinger</t>
  </si>
  <si>
    <t>Pielechaty</t>
  </si>
  <si>
    <t>Korhonen</t>
  </si>
  <si>
    <t xml:space="preserve">  Jonathan P</t>
  </si>
  <si>
    <t>Kehr</t>
  </si>
  <si>
    <t xml:space="preserve">  Gina</t>
  </si>
  <si>
    <t>Montagna</t>
  </si>
  <si>
    <t xml:space="preserve">  Dino</t>
  </si>
  <si>
    <t>M√ºller</t>
  </si>
  <si>
    <t xml:space="preserve">  Jan</t>
  </si>
  <si>
    <t xml:space="preserve">  Jonathan E.</t>
  </si>
  <si>
    <t>Sidebottom</t>
  </si>
  <si>
    <t xml:space="preserve">  Mark A</t>
  </si>
  <si>
    <t>Morris</t>
  </si>
  <si>
    <t>Chaisson</t>
  </si>
  <si>
    <t xml:space="preserve">  Stan J</t>
  </si>
  <si>
    <t>Pigott</t>
  </si>
  <si>
    <t xml:space="preserve">  Jessica L.</t>
  </si>
  <si>
    <t>Cochrane</t>
  </si>
  <si>
    <t xml:space="preserve">  Krysta</t>
  </si>
  <si>
    <t>Armitage</t>
  </si>
  <si>
    <t xml:space="preserve">  Natascia</t>
  </si>
  <si>
    <t>Shen</t>
  </si>
  <si>
    <t>O'Kelly</t>
  </si>
  <si>
    <t>Huff</t>
  </si>
  <si>
    <t xml:space="preserve">  Monica</t>
  </si>
  <si>
    <t>Dye</t>
  </si>
  <si>
    <t>Willard</t>
  </si>
  <si>
    <t xml:space="preserve">  Kelly C</t>
  </si>
  <si>
    <t>D'Addario</t>
  </si>
  <si>
    <t>Buchanan</t>
  </si>
  <si>
    <t xml:space="preserve">  James V</t>
  </si>
  <si>
    <t xml:space="preserve">  Angie</t>
  </si>
  <si>
    <t>Waterson</t>
  </si>
  <si>
    <t>Piras</t>
  </si>
  <si>
    <t xml:space="preserve">  Sabina</t>
  </si>
  <si>
    <t xml:space="preserve">  Amy C</t>
  </si>
  <si>
    <t xml:space="preserve">  Victoria U</t>
  </si>
  <si>
    <t>Landberg</t>
  </si>
  <si>
    <t xml:space="preserve">  Amelia B</t>
  </si>
  <si>
    <t>Flynn</t>
  </si>
  <si>
    <t xml:space="preserve">  Jackie J</t>
  </si>
  <si>
    <t>Bishop</t>
  </si>
  <si>
    <t>Devitt</t>
  </si>
  <si>
    <t xml:space="preserve">  Kerry</t>
  </si>
  <si>
    <t xml:space="preserve">  Cindy G.</t>
  </si>
  <si>
    <t>Tramontano</t>
  </si>
  <si>
    <t xml:space="preserve">  Gennaro</t>
  </si>
  <si>
    <t>Davidson</t>
  </si>
  <si>
    <t xml:space="preserve">  Terry</t>
  </si>
  <si>
    <t xml:space="preserve">  Patrick J</t>
  </si>
  <si>
    <t>McGraw</t>
  </si>
  <si>
    <t xml:space="preserve">  Keara</t>
  </si>
  <si>
    <t>Fellure</t>
  </si>
  <si>
    <t>Sanford</t>
  </si>
  <si>
    <t xml:space="preserve">  Katena</t>
  </si>
  <si>
    <t>Wrenn</t>
  </si>
  <si>
    <t xml:space="preserve">  Bean K.</t>
  </si>
  <si>
    <t>Lindsey</t>
  </si>
  <si>
    <t>Krueger</t>
  </si>
  <si>
    <t xml:space="preserve">  Jan-Patrick</t>
  </si>
  <si>
    <t>Babler</t>
  </si>
  <si>
    <t xml:space="preserve">  Jesse J</t>
  </si>
  <si>
    <t>Brezenski</t>
  </si>
  <si>
    <t xml:space="preserve">  Lindsey M</t>
  </si>
  <si>
    <t>Marschner</t>
  </si>
  <si>
    <t xml:space="preserve">  Marguerite K.</t>
  </si>
  <si>
    <t xml:space="preserve">  Travis</t>
  </si>
  <si>
    <t>Montez</t>
  </si>
  <si>
    <t xml:space="preserve">  Ricky</t>
  </si>
  <si>
    <t xml:space="preserve">  Colleen L.</t>
  </si>
  <si>
    <t>Hurt</t>
  </si>
  <si>
    <t xml:space="preserve">  Charlie A</t>
  </si>
  <si>
    <t>Garey</t>
  </si>
  <si>
    <t>Reddy</t>
  </si>
  <si>
    <t xml:space="preserve">  Lauren C</t>
  </si>
  <si>
    <t>Mueller</t>
  </si>
  <si>
    <t>Julia</t>
  </si>
  <si>
    <t>Uribe</t>
  </si>
  <si>
    <t xml:space="preserve">  Erik R</t>
  </si>
  <si>
    <t>Hand</t>
  </si>
  <si>
    <t xml:space="preserve">  Thomas A</t>
  </si>
  <si>
    <t>Mac-Thiong</t>
  </si>
  <si>
    <t xml:space="preserve">  Jean-Marc</t>
  </si>
  <si>
    <t xml:space="preserve">  Kerry L</t>
  </si>
  <si>
    <t>Steidl</t>
  </si>
  <si>
    <t xml:space="preserve">  Ulrich</t>
  </si>
  <si>
    <t xml:space="preserve">  Justin P</t>
  </si>
  <si>
    <t>Alderfer</t>
  </si>
  <si>
    <t xml:space="preserve">  Hannah E.</t>
  </si>
  <si>
    <t>Ryland</t>
  </si>
  <si>
    <t>Bethea</t>
  </si>
  <si>
    <t xml:space="preserve">  Joseph P</t>
  </si>
  <si>
    <t>Blois</t>
  </si>
  <si>
    <t>Dayton</t>
  </si>
  <si>
    <t xml:space="preserve">  Gina M</t>
  </si>
  <si>
    <t>Cloud</t>
  </si>
  <si>
    <t xml:space="preserve">  Shantel C.</t>
  </si>
  <si>
    <t>Betournay</t>
  </si>
  <si>
    <t>Temple</t>
  </si>
  <si>
    <t>Rollie</t>
  </si>
  <si>
    <t xml:space="preserve">  Jessica R</t>
  </si>
  <si>
    <t>Roybal</t>
  </si>
  <si>
    <t xml:space="preserve">  Robyn</t>
  </si>
  <si>
    <t>Turgeon</t>
  </si>
  <si>
    <t>Deingenis</t>
  </si>
  <si>
    <t xml:space="preserve">  Jessica F.</t>
  </si>
  <si>
    <t>Gibbs</t>
  </si>
  <si>
    <t>Trom</t>
  </si>
  <si>
    <t xml:space="preserve">  Kelly A</t>
  </si>
  <si>
    <t>Sizer</t>
  </si>
  <si>
    <t xml:space="preserve">  Brooke E</t>
  </si>
  <si>
    <t>Ellison</t>
  </si>
  <si>
    <t xml:space="preserve">  Katelyn E.</t>
  </si>
  <si>
    <t>Sulkowski</t>
  </si>
  <si>
    <t>Maringo</t>
  </si>
  <si>
    <t>Lattin</t>
  </si>
  <si>
    <t>Deblander</t>
  </si>
  <si>
    <t>O'Neill</t>
  </si>
  <si>
    <t xml:space="preserve">  Eoghan</t>
  </si>
  <si>
    <t xml:space="preserve">  Pamela W</t>
  </si>
  <si>
    <t>Stanek</t>
  </si>
  <si>
    <t xml:space="preserve">  Lindsey M.</t>
  </si>
  <si>
    <t xml:space="preserve">  Kassie</t>
  </si>
  <si>
    <t>Manning</t>
  </si>
  <si>
    <t>Barrera Munoz</t>
  </si>
  <si>
    <t xml:space="preserve">  Ruben Dario</t>
  </si>
  <si>
    <t>Schauwaers</t>
  </si>
  <si>
    <t>Hartman</t>
  </si>
  <si>
    <t xml:space="preserve">  Lindsay M</t>
  </si>
  <si>
    <t>Fire</t>
  </si>
  <si>
    <t>Waliaula</t>
  </si>
  <si>
    <t>Blackshear</t>
  </si>
  <si>
    <t xml:space="preserve">  Samuel H.</t>
  </si>
  <si>
    <t>Nettik</t>
  </si>
  <si>
    <t xml:space="preserve">  Jenni</t>
  </si>
  <si>
    <t>Novales</t>
  </si>
  <si>
    <t xml:space="preserve">  Estuardo F</t>
  </si>
  <si>
    <t>Rosauer</t>
  </si>
  <si>
    <t xml:space="preserve">  Brett</t>
  </si>
  <si>
    <t>Ryder</t>
  </si>
  <si>
    <t xml:space="preserve">  Sharon E.</t>
  </si>
  <si>
    <t>Larsen</t>
  </si>
  <si>
    <t xml:space="preserve">  Jacob W√¶ver</t>
  </si>
  <si>
    <t>Keate</t>
  </si>
  <si>
    <t xml:space="preserve">  Brooke S.</t>
  </si>
  <si>
    <t>Starosciak</t>
  </si>
  <si>
    <t xml:space="preserve">  Kaye A.</t>
  </si>
  <si>
    <t>Henderson</t>
  </si>
  <si>
    <t xml:space="preserve">  Daniel C.</t>
  </si>
  <si>
    <t>Winkelman</t>
  </si>
  <si>
    <t xml:space="preserve">  Laurie A</t>
  </si>
  <si>
    <t>Monette</t>
  </si>
  <si>
    <t>Kramer</t>
  </si>
  <si>
    <t xml:space="preserve">  Shelby</t>
  </si>
  <si>
    <t>Goldstein</t>
  </si>
  <si>
    <t xml:space="preserve">  Leticia</t>
  </si>
  <si>
    <t>Barrett</t>
  </si>
  <si>
    <t xml:space="preserve">  John S.</t>
  </si>
  <si>
    <t>Irwin</t>
  </si>
  <si>
    <t>Glenn</t>
  </si>
  <si>
    <t xml:space="preserve">  Ashley N.</t>
  </si>
  <si>
    <t>O'Meara</t>
  </si>
  <si>
    <t>Budrow</t>
  </si>
  <si>
    <t xml:space="preserve">  Nelly S</t>
  </si>
  <si>
    <t xml:space="preserve">  Meredith S</t>
  </si>
  <si>
    <t>Douglas</t>
  </si>
  <si>
    <t>Tecklenburg</t>
  </si>
  <si>
    <t xml:space="preserve">  Katherine A</t>
  </si>
  <si>
    <t>Schenck</t>
  </si>
  <si>
    <t xml:space="preserve">  Steve</t>
  </si>
  <si>
    <t xml:space="preserve">  Kate L.</t>
  </si>
  <si>
    <t>Blendell</t>
  </si>
  <si>
    <t>Parodi</t>
  </si>
  <si>
    <t xml:space="preserve">  Katharine</t>
  </si>
  <si>
    <t>Morgan</t>
  </si>
  <si>
    <t xml:space="preserve">  Heather L</t>
  </si>
  <si>
    <t>Linden</t>
  </si>
  <si>
    <t xml:space="preserve">  Desiree</t>
  </si>
  <si>
    <t>Horning</t>
  </si>
  <si>
    <t xml:space="preserve">  Peter B.</t>
  </si>
  <si>
    <t>Goode</t>
  </si>
  <si>
    <t>Doden</t>
  </si>
  <si>
    <t>Groff</t>
  </si>
  <si>
    <t xml:space="preserve">  Adam C</t>
  </si>
  <si>
    <t>Kuehler</t>
  </si>
  <si>
    <t xml:space="preserve">  Jon</t>
  </si>
  <si>
    <t xml:space="preserve">  Steven J</t>
  </si>
  <si>
    <t>Gibby</t>
  </si>
  <si>
    <t xml:space="preserve">  Jessica P.</t>
  </si>
  <si>
    <t>Busa</t>
  </si>
  <si>
    <t>Moyo</t>
  </si>
  <si>
    <t xml:space="preserve">  Arturo H.</t>
  </si>
  <si>
    <t xml:space="preserve">  Ketil</t>
  </si>
  <si>
    <t xml:space="preserve">  Christi</t>
  </si>
  <si>
    <t>Ash</t>
  </si>
  <si>
    <t>Do Prado</t>
  </si>
  <si>
    <t xml:space="preserve">  Edivaldo B. Sr.</t>
  </si>
  <si>
    <t xml:space="preserve">  Eve</t>
  </si>
  <si>
    <t xml:space="preserve">  Devin</t>
  </si>
  <si>
    <t>Dever</t>
  </si>
  <si>
    <t xml:space="preserve">  Shaun R</t>
  </si>
  <si>
    <t>Horvath</t>
  </si>
  <si>
    <t xml:space="preserve">  Adrian</t>
  </si>
  <si>
    <t>Danner</t>
  </si>
  <si>
    <t>Weiss</t>
  </si>
  <si>
    <t xml:space="preserve">  Mallory</t>
  </si>
  <si>
    <t>D'Andrea</t>
  </si>
  <si>
    <t xml:space="preserve">  Shawn E</t>
  </si>
  <si>
    <t>Olesky</t>
  </si>
  <si>
    <t>Whitcraft</t>
  </si>
  <si>
    <t>Salazar</t>
  </si>
  <si>
    <t xml:space="preserve">  Johann A</t>
  </si>
  <si>
    <t>Todd</t>
  </si>
  <si>
    <t xml:space="preserve">  Robin M.</t>
  </si>
  <si>
    <t>Pond</t>
  </si>
  <si>
    <t xml:space="preserve">  Kyle K</t>
  </si>
  <si>
    <t>Egan</t>
  </si>
  <si>
    <t>Bersani</t>
  </si>
  <si>
    <t xml:space="preserve">  Michael A.</t>
  </si>
  <si>
    <t>Creech</t>
  </si>
  <si>
    <t xml:space="preserve">  Byron A</t>
  </si>
  <si>
    <t>Sudres</t>
  </si>
  <si>
    <t xml:space="preserve">  Carine A</t>
  </si>
  <si>
    <t>Couture</t>
  </si>
  <si>
    <t xml:space="preserve">  Lindsay A.</t>
  </si>
  <si>
    <t>Patronick</t>
  </si>
  <si>
    <t xml:space="preserve">  Justin R</t>
  </si>
  <si>
    <t>Depasquale</t>
  </si>
  <si>
    <t>Lavergne</t>
  </si>
  <si>
    <t>Kawakami</t>
  </si>
  <si>
    <t xml:space="preserve">  Ayako N.</t>
  </si>
  <si>
    <t>Gonsalves</t>
  </si>
  <si>
    <t xml:space="preserve">  Emilee</t>
  </si>
  <si>
    <t xml:space="preserve">  Stephen M</t>
  </si>
  <si>
    <t>Aure</t>
  </si>
  <si>
    <t xml:space="preserve">  Annemarie A</t>
  </si>
  <si>
    <t>Mattingly</t>
  </si>
  <si>
    <t xml:space="preserve">  Ashley R</t>
  </si>
  <si>
    <t>Stelpflug</t>
  </si>
  <si>
    <t xml:space="preserve">  Leslie A</t>
  </si>
  <si>
    <t>Sanchez Antognini</t>
  </si>
  <si>
    <t xml:space="preserve">  Mauricio J. Sr.</t>
  </si>
  <si>
    <t>Condon</t>
  </si>
  <si>
    <t xml:space="preserve">  Kieran</t>
  </si>
  <si>
    <t>Magato</t>
  </si>
  <si>
    <t>Dombrowski</t>
  </si>
  <si>
    <t xml:space="preserve">  Zeke M.</t>
  </si>
  <si>
    <t>Ohara</t>
  </si>
  <si>
    <t xml:space="preserve">  Chip</t>
  </si>
  <si>
    <t>Cifuentes Fetiva</t>
  </si>
  <si>
    <t xml:space="preserve">  Miguel Angel Sr.</t>
  </si>
  <si>
    <t>Keno</t>
  </si>
  <si>
    <t>Bruce</t>
  </si>
  <si>
    <t xml:space="preserve">  Meghan</t>
  </si>
  <si>
    <t>Lorch</t>
  </si>
  <si>
    <t>Sullivan</t>
  </si>
  <si>
    <t xml:space="preserve">  Millicent M</t>
  </si>
  <si>
    <t>Cave</t>
  </si>
  <si>
    <t>Gudenkauf</t>
  </si>
  <si>
    <t xml:space="preserve">  Kimberly K</t>
  </si>
  <si>
    <t xml:space="preserve">  Justin C</t>
  </si>
  <si>
    <t>Holley</t>
  </si>
  <si>
    <t xml:space="preserve">  Tristan P.</t>
  </si>
  <si>
    <t>Kemble</t>
  </si>
  <si>
    <t xml:space="preserve">  Traci A</t>
  </si>
  <si>
    <t>Bentley</t>
  </si>
  <si>
    <t xml:space="preserve">  Logan M</t>
  </si>
  <si>
    <t>Bellucci</t>
  </si>
  <si>
    <t xml:space="preserve">  Tiffany A</t>
  </si>
  <si>
    <t>Collins</t>
  </si>
  <si>
    <t>Gillman</t>
  </si>
  <si>
    <t xml:space="preserve">  Luke</t>
  </si>
  <si>
    <t>West</t>
  </si>
  <si>
    <t xml:space="preserve">  Leigh</t>
  </si>
  <si>
    <t>Chida</t>
  </si>
  <si>
    <t xml:space="preserve">  Yosuke</t>
  </si>
  <si>
    <t>Reisenauer</t>
  </si>
  <si>
    <t>Rosenberg-Wohl</t>
  </si>
  <si>
    <t>Theriault</t>
  </si>
  <si>
    <t xml:space="preserve">  Jodi</t>
  </si>
  <si>
    <t>Manuel</t>
  </si>
  <si>
    <t>Demko</t>
  </si>
  <si>
    <t xml:space="preserve">  Misti C</t>
  </si>
  <si>
    <t>Battaglia</t>
  </si>
  <si>
    <t xml:space="preserve">  Angela J</t>
  </si>
  <si>
    <t>Follo</t>
  </si>
  <si>
    <t xml:space="preserve">  Jonathan D.</t>
  </si>
  <si>
    <t>Barana</t>
  </si>
  <si>
    <t>Lysaght</t>
  </si>
  <si>
    <t xml:space="preserve">  Adrian R.</t>
  </si>
  <si>
    <t>Chalmers</t>
  </si>
  <si>
    <t xml:space="preserve">  Jason A.</t>
  </si>
  <si>
    <t>MacPherson</t>
  </si>
  <si>
    <t xml:space="preserve">  Rachel</t>
  </si>
  <si>
    <t>Delfidio</t>
  </si>
  <si>
    <t xml:space="preserve">  Susan</t>
  </si>
  <si>
    <t>Cummings</t>
  </si>
  <si>
    <t xml:space="preserve">  Cameron M.</t>
  </si>
  <si>
    <t>Schroegel</t>
  </si>
  <si>
    <t xml:space="preserve">  Claudia A.</t>
  </si>
  <si>
    <t>Casey</t>
  </si>
  <si>
    <t xml:space="preserve">  Nicole M.</t>
  </si>
  <si>
    <t>Randall</t>
  </si>
  <si>
    <t xml:space="preserve">  Jack</t>
  </si>
  <si>
    <t>Doyon</t>
  </si>
  <si>
    <t>Sankey</t>
  </si>
  <si>
    <t>Stilgenbauer</t>
  </si>
  <si>
    <t>Jaskiewicz</t>
  </si>
  <si>
    <t>Deppen</t>
  </si>
  <si>
    <t xml:space="preserve">  Jackie K.</t>
  </si>
  <si>
    <t>Hine</t>
  </si>
  <si>
    <t>Mathews</t>
  </si>
  <si>
    <t xml:space="preserve">  Tyler C</t>
  </si>
  <si>
    <t>Yabu</t>
  </si>
  <si>
    <t xml:space="preserve">  Yoshie</t>
  </si>
  <si>
    <t>Strang</t>
  </si>
  <si>
    <t xml:space="preserve">  Lauren A</t>
  </si>
  <si>
    <t>Frank</t>
  </si>
  <si>
    <t xml:space="preserve">  Mason D.</t>
  </si>
  <si>
    <t>Shanley</t>
  </si>
  <si>
    <t>Mancebo Garcia</t>
  </si>
  <si>
    <t xml:space="preserve">  Arturo</t>
  </si>
  <si>
    <t>Keehan</t>
  </si>
  <si>
    <t xml:space="preserve">  Jake</t>
  </si>
  <si>
    <t>Mahaney</t>
  </si>
  <si>
    <t>Nolan</t>
  </si>
  <si>
    <t xml:space="preserve">  Alison L.</t>
  </si>
  <si>
    <t>Sobrino</t>
  </si>
  <si>
    <t xml:space="preserve">  Karen A.</t>
  </si>
  <si>
    <t>Gennaro</t>
  </si>
  <si>
    <t xml:space="preserve">  Thomas R. Jr.</t>
  </si>
  <si>
    <t>Mayer</t>
  </si>
  <si>
    <t>Becker</t>
  </si>
  <si>
    <t xml:space="preserve">  Ezra</t>
  </si>
  <si>
    <t>Platt</t>
  </si>
  <si>
    <t xml:space="preserve">  Ari L.</t>
  </si>
  <si>
    <t>Brodeur</t>
  </si>
  <si>
    <t xml:space="preserve">  Fanny</t>
  </si>
  <si>
    <t>Knight Pech</t>
  </si>
  <si>
    <t xml:space="preserve">  Peter W. Sr.</t>
  </si>
  <si>
    <t>Jubinski</t>
  </si>
  <si>
    <t xml:space="preserve">  Catherine A</t>
  </si>
  <si>
    <t>Wall</t>
  </si>
  <si>
    <t>McKay</t>
  </si>
  <si>
    <t xml:space="preserve">  Janel N.</t>
  </si>
  <si>
    <t>Oh</t>
  </si>
  <si>
    <t xml:space="preserve">  Yann Kai</t>
  </si>
  <si>
    <t>Kessell</t>
  </si>
  <si>
    <t xml:space="preserve">  Zachary R.</t>
  </si>
  <si>
    <t>Hidalgo Zambrano</t>
  </si>
  <si>
    <t xml:space="preserve">  Alejandro Sr.</t>
  </si>
  <si>
    <t>Caprario</t>
  </si>
  <si>
    <t xml:space="preserve">  Nicholas R.</t>
  </si>
  <si>
    <t xml:space="preserve">  Michael D</t>
  </si>
  <si>
    <t>Wong</t>
  </si>
  <si>
    <t xml:space="preserve">  Marina</t>
  </si>
  <si>
    <t>Lea</t>
  </si>
  <si>
    <t xml:space="preserve">  Ross P</t>
  </si>
  <si>
    <t>Quigley</t>
  </si>
  <si>
    <t xml:space="preserve">  Aoife</t>
  </si>
  <si>
    <t>Korir</t>
  </si>
  <si>
    <t>Downs</t>
  </si>
  <si>
    <t xml:space="preserve">  Barry P.</t>
  </si>
  <si>
    <t>Zywek</t>
  </si>
  <si>
    <t xml:space="preserve">  Maciej</t>
  </si>
  <si>
    <t>Faulkner</t>
  </si>
  <si>
    <t xml:space="preserve">  Jerry D.</t>
  </si>
  <si>
    <t>Erspamer</t>
  </si>
  <si>
    <t xml:space="preserve">  Cathi</t>
  </si>
  <si>
    <t>Addison</t>
  </si>
  <si>
    <t xml:space="preserve">  Alex M</t>
  </si>
  <si>
    <t>Wu</t>
  </si>
  <si>
    <t xml:space="preserve">  Liang</t>
  </si>
  <si>
    <t xml:space="preserve">  Lexy</t>
  </si>
  <si>
    <t>Bosl</t>
  </si>
  <si>
    <t>Goldberg</t>
  </si>
  <si>
    <t xml:space="preserve">  Samuel L</t>
  </si>
  <si>
    <t xml:space="preserve">  Spencer A.</t>
  </si>
  <si>
    <t>Johnston</t>
  </si>
  <si>
    <t xml:space="preserve">  Rochelle</t>
  </si>
  <si>
    <t>Keating</t>
  </si>
  <si>
    <t xml:space="preserve">  Paula</t>
  </si>
  <si>
    <t>Duhon</t>
  </si>
  <si>
    <t xml:space="preserve">  Madeline E.</t>
  </si>
  <si>
    <t>Briseno</t>
  </si>
  <si>
    <t xml:space="preserve">  Maria Isabel</t>
  </si>
  <si>
    <t>Besse</t>
  </si>
  <si>
    <t xml:space="preserve">  Arthur M.</t>
  </si>
  <si>
    <t>Shillings</t>
  </si>
  <si>
    <t xml:space="preserve">  Joseph R.</t>
  </si>
  <si>
    <t>Tate</t>
  </si>
  <si>
    <t xml:space="preserve">  Sachiko</t>
  </si>
  <si>
    <t>Hengoed</t>
  </si>
  <si>
    <t>Aller</t>
  </si>
  <si>
    <t>Pisano</t>
  </si>
  <si>
    <t>Sanca</t>
  </si>
  <si>
    <t xml:space="preserve">  Ruben</t>
  </si>
  <si>
    <t>Bond</t>
  </si>
  <si>
    <t>Carron</t>
  </si>
  <si>
    <t xml:space="preserve">  Angela R.</t>
  </si>
  <si>
    <t>Ellwanger</t>
  </si>
  <si>
    <t xml:space="preserve">  Chatham</t>
  </si>
  <si>
    <t>Hanson</t>
  </si>
  <si>
    <t xml:space="preserve">  Derek</t>
  </si>
  <si>
    <t xml:space="preserve">  Kalvin J.</t>
  </si>
  <si>
    <t>Counts</t>
  </si>
  <si>
    <t>Carson</t>
  </si>
  <si>
    <t xml:space="preserve">  Barbara G.</t>
  </si>
  <si>
    <t>Haines</t>
  </si>
  <si>
    <t>Schnabel</t>
  </si>
  <si>
    <t xml:space="preserve">  Sunny S</t>
  </si>
  <si>
    <t>Simon</t>
  </si>
  <si>
    <t>Arciniaga</t>
  </si>
  <si>
    <t xml:space="preserve">  Scott M.</t>
  </si>
  <si>
    <t>Lizak</t>
  </si>
  <si>
    <t xml:space="preserve">  Marisa A</t>
  </si>
  <si>
    <t>Howery</t>
  </si>
  <si>
    <t>Crain</t>
  </si>
  <si>
    <t xml:space="preserve">  Amy L</t>
  </si>
  <si>
    <t>Hotze</t>
  </si>
  <si>
    <t xml:space="preserve">  Jenna M</t>
  </si>
  <si>
    <t>Chauhan</t>
  </si>
  <si>
    <t>Raab</t>
  </si>
  <si>
    <t xml:space="preserve">  Lyazid</t>
  </si>
  <si>
    <t>McKown</t>
  </si>
  <si>
    <t xml:space="preserve">  Lindsey A.</t>
  </si>
  <si>
    <t>Schiemann</t>
  </si>
  <si>
    <t>Cress</t>
  </si>
  <si>
    <t xml:space="preserve">  Jennifer A</t>
  </si>
  <si>
    <t>Mawson</t>
  </si>
  <si>
    <t xml:space="preserve">  Leif S.</t>
  </si>
  <si>
    <t>Wigginton</t>
  </si>
  <si>
    <t xml:space="preserve">  Bo</t>
  </si>
  <si>
    <t>Schroeder</t>
  </si>
  <si>
    <t xml:space="preserve">  Leah</t>
  </si>
  <si>
    <t>Leonard</t>
  </si>
  <si>
    <t xml:space="preserve">  Kara Lynne</t>
  </si>
  <si>
    <t>Tissue</t>
  </si>
  <si>
    <t>Wood</t>
  </si>
  <si>
    <t>Denny</t>
  </si>
  <si>
    <t>Testa</t>
  </si>
  <si>
    <t xml:space="preserve">  Allie</t>
  </si>
  <si>
    <t>Buchholtz</t>
  </si>
  <si>
    <t xml:space="preserve">  Trasi</t>
  </si>
  <si>
    <t>Hoyt</t>
  </si>
  <si>
    <t>Cabada</t>
  </si>
  <si>
    <t xml:space="preserve">  Fernando</t>
  </si>
  <si>
    <t>Lobaciute</t>
  </si>
  <si>
    <t xml:space="preserve">  Ieva</t>
  </si>
  <si>
    <t xml:space="preserve">  Drew L.</t>
  </si>
  <si>
    <t>Oberndorfer</t>
  </si>
  <si>
    <t>Hetherington</t>
  </si>
  <si>
    <t xml:space="preserve">  Alexander G</t>
  </si>
  <si>
    <t>Murray</t>
  </si>
  <si>
    <t xml:space="preserve">  Meaghan</t>
  </si>
  <si>
    <t>Higden</t>
  </si>
  <si>
    <t>Rediger</t>
  </si>
  <si>
    <t xml:space="preserve">  Andrea K.</t>
  </si>
  <si>
    <t xml:space="preserve">  Kris</t>
  </si>
  <si>
    <t xml:space="preserve">  Alden W</t>
  </si>
  <si>
    <t>Grise</t>
  </si>
  <si>
    <t xml:space="preserve">  Suzanne M</t>
  </si>
  <si>
    <t>Skildum</t>
  </si>
  <si>
    <t xml:space="preserve">  Heidi Z.</t>
  </si>
  <si>
    <t>Fischer-Daly</t>
  </si>
  <si>
    <t xml:space="preserve">  Fan</t>
  </si>
  <si>
    <t>Rudder</t>
  </si>
  <si>
    <t>Cartmell</t>
  </si>
  <si>
    <t>Troland</t>
  </si>
  <si>
    <t>Berg</t>
  </si>
  <si>
    <t>Engtrakul</t>
  </si>
  <si>
    <t xml:space="preserve">  Chaiwat</t>
  </si>
  <si>
    <t>Leonhardt</t>
  </si>
  <si>
    <t xml:space="preserve">  Kerri</t>
  </si>
  <si>
    <t>Goetz</t>
  </si>
  <si>
    <t>Cacharelis</t>
  </si>
  <si>
    <t xml:space="preserve">  Nicholas G</t>
  </si>
  <si>
    <t>Kariolis</t>
  </si>
  <si>
    <t xml:space="preserve">  Vasilis S</t>
  </si>
  <si>
    <t>Zelwin</t>
  </si>
  <si>
    <t xml:space="preserve">  Colleen C.</t>
  </si>
  <si>
    <t>Bannon</t>
  </si>
  <si>
    <t xml:space="preserve">  Annika</t>
  </si>
  <si>
    <t>Vetter</t>
  </si>
  <si>
    <t xml:space="preserve">  Nicholas C.</t>
  </si>
  <si>
    <t>Jablonski</t>
  </si>
  <si>
    <t xml:space="preserve">  Kelly K</t>
  </si>
  <si>
    <t>Jakubowitch</t>
  </si>
  <si>
    <t>Altshuler</t>
  </si>
  <si>
    <t xml:space="preserve">  Hannah</t>
  </si>
  <si>
    <t>Ugarte</t>
  </si>
  <si>
    <t xml:space="preserve">  Patricio Sr.</t>
  </si>
  <si>
    <t>Tusso</t>
  </si>
  <si>
    <t xml:space="preserve">  Robert B</t>
  </si>
  <si>
    <t xml:space="preserve">  Benjamin M</t>
  </si>
  <si>
    <t>Landry</t>
  </si>
  <si>
    <t>McDonald</t>
  </si>
  <si>
    <t xml:space="preserve">  Eric R.</t>
  </si>
  <si>
    <t>Larue</t>
  </si>
  <si>
    <t xml:space="preserve">  Bob R</t>
  </si>
  <si>
    <t xml:space="preserve">  Stephanie J.</t>
  </si>
  <si>
    <t>Marcus</t>
  </si>
  <si>
    <t>Daubert</t>
  </si>
  <si>
    <t>Close</t>
  </si>
  <si>
    <t>Roels</t>
  </si>
  <si>
    <t xml:space="preserve">  Guillaume</t>
  </si>
  <si>
    <t>Venosky</t>
  </si>
  <si>
    <t xml:space="preserve">  Kaylee</t>
  </si>
  <si>
    <t>Gosnell</t>
  </si>
  <si>
    <t xml:space="preserve">  Theresa</t>
  </si>
  <si>
    <t>Chewning-Kulick</t>
  </si>
  <si>
    <t xml:space="preserve">  Travis G.</t>
  </si>
  <si>
    <t xml:space="preserve">  Emma L.</t>
  </si>
  <si>
    <t>Manion</t>
  </si>
  <si>
    <t xml:space="preserve">  Linda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</si>
  <si>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</si>
  <si>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</si>
  <si>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</si>
  <si>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</si>
  <si>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</si>
  <si>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</si>
  <si>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>Mahoney</t>
  </si>
  <si>
    <t xml:space="preserve">  Annie E</t>
  </si>
  <si>
    <t>McCracken</t>
  </si>
  <si>
    <t xml:space="preserve">  Noel K.</t>
  </si>
  <si>
    <t>Spewak</t>
  </si>
  <si>
    <t>Cottini</t>
  </si>
  <si>
    <t xml:space="preserve">  Federica</t>
  </si>
  <si>
    <t>Findlay</t>
  </si>
  <si>
    <t xml:space="preserve">  Pamela L</t>
  </si>
  <si>
    <t>Strasburg</t>
  </si>
  <si>
    <t xml:space="preserve">  Andrew W.</t>
  </si>
  <si>
    <t xml:space="preserve">  Randall</t>
  </si>
  <si>
    <t>Deeter</t>
  </si>
  <si>
    <t>Arpin</t>
  </si>
  <si>
    <t xml:space="preserve">  Azelie</t>
  </si>
  <si>
    <t>Schoeneck</t>
  </si>
  <si>
    <t xml:space="preserve">  Monica M.</t>
  </si>
  <si>
    <t xml:space="preserve">  Katarina K.</t>
  </si>
  <si>
    <t>Willits</t>
  </si>
  <si>
    <t>Syring</t>
  </si>
  <si>
    <t>Strike</t>
  </si>
  <si>
    <t xml:space="preserve">  Stacey L.</t>
  </si>
  <si>
    <t>Hennigar</t>
  </si>
  <si>
    <t>May</t>
  </si>
  <si>
    <t>Metcalf</t>
  </si>
  <si>
    <t>Tiska</t>
  </si>
  <si>
    <t xml:space="preserve">  James C.</t>
  </si>
  <si>
    <t>Fairley</t>
  </si>
  <si>
    <t xml:space="preserve">  Kim</t>
  </si>
  <si>
    <t>Piasta</t>
  </si>
  <si>
    <t xml:space="preserve">  Dariusz</t>
  </si>
  <si>
    <t>Olsen</t>
  </si>
  <si>
    <t xml:space="preserve">  Kristen</t>
  </si>
  <si>
    <t>De Jesus</t>
  </si>
  <si>
    <t xml:space="preserve">  Jose Guadalupe P. Sr.</t>
  </si>
  <si>
    <t>Bartus</t>
  </si>
  <si>
    <t>Stevens</t>
  </si>
  <si>
    <t>Rich</t>
  </si>
  <si>
    <t xml:space="preserve">  Holly J</t>
  </si>
  <si>
    <t>Fayter</t>
  </si>
  <si>
    <t>Parise</t>
  </si>
  <si>
    <t>Andrew</t>
  </si>
  <si>
    <t xml:space="preserve">  Tricity M</t>
  </si>
  <si>
    <t>Gryniewicz</t>
  </si>
  <si>
    <t xml:space="preserve">  Sarah A</t>
  </si>
  <si>
    <t>Panora</t>
  </si>
  <si>
    <t xml:space="preserve">  Lisa M.</t>
  </si>
  <si>
    <t xml:space="preserve">  Tracy A.</t>
  </si>
  <si>
    <t>Lambe</t>
  </si>
  <si>
    <t>Casto</t>
  </si>
  <si>
    <t xml:space="preserve">  Trent</t>
  </si>
  <si>
    <t>Martelli</t>
  </si>
  <si>
    <t xml:space="preserve">  Julie</t>
  </si>
  <si>
    <t>Naskret</t>
  </si>
  <si>
    <t xml:space="preserve">  Sawomir</t>
  </si>
  <si>
    <t xml:space="preserve">  Micah</t>
  </si>
  <si>
    <t>Maloney</t>
  </si>
  <si>
    <t xml:space="preserve">  Kelly H.</t>
  </si>
  <si>
    <t>Amherst</t>
  </si>
  <si>
    <t xml:space="preserve">  Lindsay M.</t>
  </si>
  <si>
    <t xml:space="preserve">  Austen G</t>
  </si>
  <si>
    <t>Johansen</t>
  </si>
  <si>
    <t xml:space="preserve">  Tory J.</t>
  </si>
  <si>
    <t xml:space="preserve">  Robert J.</t>
  </si>
  <si>
    <t xml:space="preserve">  Steph</t>
  </si>
  <si>
    <t>Chandler</t>
  </si>
  <si>
    <t>Kaufmann</t>
  </si>
  <si>
    <t xml:space="preserve">  Kristina</t>
  </si>
  <si>
    <t>Barnes-Zurkinden</t>
  </si>
  <si>
    <t xml:space="preserve">  Flo</t>
  </si>
  <si>
    <t>Wolter</t>
  </si>
  <si>
    <t xml:space="preserve">  Sarah P.</t>
  </si>
  <si>
    <t>Pearson</t>
  </si>
  <si>
    <t xml:space="preserve">  Anabel</t>
  </si>
  <si>
    <t xml:space="preserve">  Ian</t>
  </si>
  <si>
    <t>Leon</t>
  </si>
  <si>
    <t>Marriott</t>
  </si>
  <si>
    <t xml:space="preserve">  Richard J</t>
  </si>
  <si>
    <t>Wilkins</t>
  </si>
  <si>
    <t xml:space="preserve">  Jacqueline N.</t>
  </si>
  <si>
    <t>Saiter</t>
  </si>
  <si>
    <t xml:space="preserve">  Cindy</t>
  </si>
  <si>
    <t>Winrow</t>
  </si>
  <si>
    <t xml:space="preserve">  Marcia</t>
  </si>
  <si>
    <t>Gries</t>
  </si>
  <si>
    <t xml:space="preserve">  Samantha R.</t>
  </si>
  <si>
    <t>Strohschein</t>
  </si>
  <si>
    <t xml:space="preserve">  John P</t>
  </si>
  <si>
    <t>Coogan</t>
  </si>
  <si>
    <t>Gagnon</t>
  </si>
  <si>
    <t xml:space="preserve">  Isabelle</t>
  </si>
  <si>
    <t xml:space="preserve">  Neil</t>
  </si>
  <si>
    <t>Brian</t>
  </si>
  <si>
    <t xml:space="preserve">  Nathan</t>
  </si>
  <si>
    <t>Fox</t>
  </si>
  <si>
    <t xml:space="preserve">  Kelli N</t>
  </si>
  <si>
    <t>Traver</t>
  </si>
  <si>
    <t>Quick</t>
  </si>
  <si>
    <t xml:space="preserve">  Grant A</t>
  </si>
  <si>
    <t xml:space="preserve">  Jonathan C</t>
  </si>
  <si>
    <t>Theriot</t>
  </si>
  <si>
    <t xml:space="preserve">  Rachael M.</t>
  </si>
  <si>
    <t>Michalis</t>
  </si>
  <si>
    <t xml:space="preserve">  Pilar</t>
  </si>
  <si>
    <t xml:space="preserve">  Kyle M</t>
  </si>
  <si>
    <t>Tjong Clemons</t>
  </si>
  <si>
    <t xml:space="preserve">  Christie</t>
  </si>
  <si>
    <t>Palma</t>
  </si>
  <si>
    <t xml:space="preserve">  David A.</t>
  </si>
  <si>
    <t>Takaoka</t>
  </si>
  <si>
    <t xml:space="preserve">  Masahiro</t>
  </si>
  <si>
    <t>Sherman</t>
  </si>
  <si>
    <t xml:space="preserve">  Logan B.</t>
  </si>
  <si>
    <t>Andre</t>
  </si>
  <si>
    <t xml:space="preserve">  Stephanie L.</t>
  </si>
  <si>
    <t>Switt</t>
  </si>
  <si>
    <t xml:space="preserve">  Angela H</t>
  </si>
  <si>
    <t xml:space="preserve">  Britt K</t>
  </si>
  <si>
    <t xml:space="preserve">  Joyce R.</t>
  </si>
  <si>
    <t>Whitbeck</t>
  </si>
  <si>
    <t>Auer</t>
  </si>
  <si>
    <t>Attar</t>
  </si>
  <si>
    <t>Misuraca</t>
  </si>
  <si>
    <t>Spannaus</t>
  </si>
  <si>
    <t xml:space="preserve">  Michaela L</t>
  </si>
  <si>
    <t>Tarbiat</t>
  </si>
  <si>
    <t xml:space="preserve">  Shalaleh</t>
  </si>
  <si>
    <t>Pulkkinen</t>
  </si>
  <si>
    <t>Trnovcova</t>
  </si>
  <si>
    <t xml:space="preserve">  Zuzana</t>
  </si>
  <si>
    <t>Anthony</t>
  </si>
  <si>
    <t xml:space="preserve">  Daniel J.</t>
  </si>
  <si>
    <t>Hetrick</t>
  </si>
  <si>
    <t>Stern</t>
  </si>
  <si>
    <t>Newman</t>
  </si>
  <si>
    <t xml:space="preserve">  Matthew M</t>
  </si>
  <si>
    <t xml:space="preserve">  Nadine A.</t>
  </si>
  <si>
    <t>Mone</t>
  </si>
  <si>
    <t xml:space="preserve">  Peter J. Jr.</t>
  </si>
  <si>
    <t>Powers</t>
  </si>
  <si>
    <t>Ulery</t>
  </si>
  <si>
    <t xml:space="preserve">  Douglas W</t>
  </si>
  <si>
    <t xml:space="preserve">  Catherine</t>
  </si>
  <si>
    <t>Cho</t>
  </si>
  <si>
    <t xml:space="preserve">  Youngseong</t>
  </si>
  <si>
    <t>Reumann</t>
  </si>
  <si>
    <t>Cooper</t>
  </si>
  <si>
    <t xml:space="preserve">  Brandon S.</t>
  </si>
  <si>
    <t xml:space="preserve">  Sean P</t>
  </si>
  <si>
    <t>Cichon</t>
  </si>
  <si>
    <t>Maroevic</t>
  </si>
  <si>
    <t xml:space="preserve">  Janez</t>
  </si>
  <si>
    <t xml:space="preserve">  John I. Jr.</t>
  </si>
  <si>
    <t>Schulz</t>
  </si>
  <si>
    <t>Capriolo</t>
  </si>
  <si>
    <t>Borleis</t>
  </si>
  <si>
    <t>Conrad</t>
  </si>
  <si>
    <t>Karakoyunlu</t>
  </si>
  <si>
    <t xml:space="preserve">  Deniz</t>
  </si>
  <si>
    <t>Desrosiers</t>
  </si>
  <si>
    <t xml:space="preserve">  Shannon L.</t>
  </si>
  <si>
    <t xml:space="preserve">  Kaitlin M.</t>
  </si>
  <si>
    <t>Shabot Marcos</t>
  </si>
  <si>
    <t xml:space="preserve">  Alfredo</t>
  </si>
  <si>
    <t>Comment</t>
  </si>
  <si>
    <t>Moss</t>
  </si>
  <si>
    <t xml:space="preserve">  Troy</t>
  </si>
  <si>
    <t>Clash</t>
  </si>
  <si>
    <t xml:space="preserve">  Daniel C</t>
  </si>
  <si>
    <t>Blankenship</t>
  </si>
  <si>
    <t>Lloyd</t>
  </si>
  <si>
    <t xml:space="preserve">  Jennefer</t>
  </si>
  <si>
    <t>Kong</t>
  </si>
  <si>
    <t xml:space="preserve">  Tracey L.</t>
  </si>
  <si>
    <t>Benson</t>
  </si>
  <si>
    <t>Huntington</t>
  </si>
  <si>
    <t>Kendall</t>
  </si>
  <si>
    <t xml:space="preserve">  Esther</t>
  </si>
  <si>
    <t>Gast</t>
  </si>
  <si>
    <t xml:space="preserve">  Jackie</t>
  </si>
  <si>
    <t>Scanlin</t>
  </si>
  <si>
    <t xml:space="preserve">  Timothy P.</t>
  </si>
  <si>
    <t>Philbrook</t>
  </si>
  <si>
    <t>Cowan</t>
  </si>
  <si>
    <t>Sousa</t>
  </si>
  <si>
    <t xml:space="preserve">  Hugo M</t>
  </si>
  <si>
    <t>Stanton</t>
  </si>
  <si>
    <t xml:space="preserve">  Daniel J. Jr.</t>
  </si>
  <si>
    <t>Mollak</t>
  </si>
  <si>
    <t>Weston</t>
  </si>
  <si>
    <t xml:space="preserve">  Rob</t>
  </si>
  <si>
    <t>Rabuzzi</t>
  </si>
  <si>
    <t>Hendrix</t>
  </si>
  <si>
    <t xml:space="preserve">  Austin D</t>
  </si>
  <si>
    <t>Van Nielen</t>
  </si>
  <si>
    <t xml:space="preserve">  Brittany</t>
  </si>
  <si>
    <t>Schout</t>
  </si>
  <si>
    <t xml:space="preserve">  Becky G.</t>
  </si>
  <si>
    <t>Schmaltz</t>
  </si>
  <si>
    <t xml:space="preserve">  Virginie</t>
  </si>
  <si>
    <t>Eagen</t>
  </si>
  <si>
    <t xml:space="preserve">  Allison A</t>
  </si>
  <si>
    <t>Rotramel</t>
  </si>
  <si>
    <t>Prevost</t>
  </si>
  <si>
    <t xml:space="preserve">  Caleb</t>
  </si>
  <si>
    <t>Nyambaso</t>
  </si>
  <si>
    <t xml:space="preserve">  Zachariah</t>
  </si>
  <si>
    <t>Shaffer</t>
  </si>
  <si>
    <t xml:space="preserve">  Patricia A</t>
  </si>
  <si>
    <t>Corkum</t>
  </si>
  <si>
    <t>Pedersen</t>
  </si>
  <si>
    <t>Melo</t>
  </si>
  <si>
    <t xml:space="preserve">  Breno</t>
  </si>
  <si>
    <t>Sakamoto</t>
  </si>
  <si>
    <t xml:space="preserve">  Takaya</t>
  </si>
  <si>
    <t xml:space="preserve">  Thomas IV</t>
  </si>
  <si>
    <t xml:space="preserve">  Bradley E</t>
  </si>
  <si>
    <t>Lombardo</t>
  </si>
  <si>
    <t>Bode</t>
  </si>
  <si>
    <t xml:space="preserve">  Ruby J</t>
  </si>
  <si>
    <t xml:space="preserve">  Bart</t>
  </si>
  <si>
    <t>Norcross</t>
  </si>
  <si>
    <t xml:space="preserve">  Robert A.</t>
  </si>
  <si>
    <t>Lazrus</t>
  </si>
  <si>
    <t>Tsegay</t>
  </si>
  <si>
    <t xml:space="preserve">  Yemane Adhane</t>
  </si>
  <si>
    <t>Schneider</t>
  </si>
  <si>
    <t xml:space="preserve">  Jesse A.</t>
  </si>
  <si>
    <t>Loreto</t>
  </si>
  <si>
    <t xml:space="preserve">  Bird</t>
  </si>
  <si>
    <t>Callahan</t>
  </si>
  <si>
    <t xml:space="preserve">  Patrick M.</t>
  </si>
  <si>
    <t>Timko</t>
  </si>
  <si>
    <t>Achatz</t>
  </si>
  <si>
    <t>Horwitz</t>
  </si>
  <si>
    <t xml:space="preserve">  Yuri</t>
  </si>
  <si>
    <t>Gordyan</t>
  </si>
  <si>
    <t xml:space="preserve">  Debbie</t>
  </si>
  <si>
    <t>Battoo</t>
  </si>
  <si>
    <t>Barker</t>
  </si>
  <si>
    <t xml:space="preserve">  Daniell L</t>
  </si>
  <si>
    <t>Saarnilehto</t>
  </si>
  <si>
    <t xml:space="preserve">  Janne</t>
  </si>
  <si>
    <t xml:space="preserve">  Elizabeth L</t>
  </si>
  <si>
    <t>Hillman</t>
  </si>
  <si>
    <t xml:space="preserve">  Stephanie C.</t>
  </si>
  <si>
    <t>Bartel</t>
  </si>
  <si>
    <t xml:space="preserve">  Callie</t>
  </si>
  <si>
    <t>Potekhina</t>
  </si>
  <si>
    <t xml:space="preserve">  Mary K.</t>
  </si>
  <si>
    <t>Lapp</t>
  </si>
  <si>
    <t xml:space="preserve">  Samuel M.</t>
  </si>
  <si>
    <t xml:space="preserve">  Tom J.</t>
  </si>
  <si>
    <t>McCormick</t>
  </si>
  <si>
    <t>Coffed</t>
  </si>
  <si>
    <t xml:space="preserve">  Dougie J</t>
  </si>
  <si>
    <t>Estes</t>
  </si>
  <si>
    <t xml:space="preserve">  Jeremiah H</t>
  </si>
  <si>
    <t>Miles</t>
  </si>
  <si>
    <t xml:space="preserve">  Ashley J.</t>
  </si>
  <si>
    <t>Zamore</t>
  </si>
  <si>
    <t xml:space="preserve">  Turner J.</t>
  </si>
  <si>
    <t>Donaghy</t>
  </si>
  <si>
    <t xml:space="preserve">  Roger</t>
  </si>
  <si>
    <t xml:space="preserve">  Pamela</t>
  </si>
  <si>
    <t>Fiorini</t>
  </si>
  <si>
    <t>Alexander</t>
  </si>
  <si>
    <t xml:space="preserve">  Katherine H.</t>
  </si>
  <si>
    <t>Watkins</t>
  </si>
  <si>
    <t xml:space="preserve">  Robin</t>
  </si>
  <si>
    <t>Cassel</t>
  </si>
  <si>
    <t xml:space="preserve">  Terri</t>
  </si>
  <si>
    <t xml:space="preserve">  Eddie</t>
  </si>
  <si>
    <t>O'Sullivan</t>
  </si>
  <si>
    <t>Chepkirui</t>
  </si>
  <si>
    <t xml:space="preserve">  Joyce</t>
  </si>
  <si>
    <t>Gurney</t>
  </si>
  <si>
    <t xml:space="preserve">  Alison W.</t>
  </si>
  <si>
    <t>Francis</t>
  </si>
  <si>
    <t xml:space="preserve">  Tammara C</t>
  </si>
  <si>
    <t>Gruca</t>
  </si>
  <si>
    <t xml:space="preserve">  Dorota</t>
  </si>
  <si>
    <t>Rojas Alvarez</t>
  </si>
  <si>
    <t xml:space="preserve">  Jose Norberto Sr.</t>
  </si>
  <si>
    <t>Denton</t>
  </si>
  <si>
    <t xml:space="preserve">  Bryant</t>
  </si>
  <si>
    <t>Trout</t>
  </si>
  <si>
    <t>Gilbert</t>
  </si>
  <si>
    <t>Chong</t>
  </si>
  <si>
    <t xml:space="preserve">  Eduardo</t>
  </si>
  <si>
    <t>Henry</t>
  </si>
  <si>
    <t xml:space="preserve">  Laura M.</t>
  </si>
  <si>
    <t>Brenneman</t>
  </si>
  <si>
    <t>Kemp</t>
  </si>
  <si>
    <t xml:space="preserve">  Melissa D.</t>
  </si>
  <si>
    <t xml:space="preserve">  Dan C. Jr.</t>
  </si>
  <si>
    <t>Hillyard</t>
  </si>
  <si>
    <t xml:space="preserve">  Wesley C.</t>
  </si>
  <si>
    <t>Gonzales</t>
  </si>
  <si>
    <t xml:space="preserve">  Christin</t>
  </si>
  <si>
    <t>Sayre</t>
  </si>
  <si>
    <t>Panke</t>
  </si>
  <si>
    <t>Brennan</t>
  </si>
  <si>
    <t xml:space="preserve">  Margaret P.</t>
  </si>
  <si>
    <t>Ngo</t>
  </si>
  <si>
    <t xml:space="preserve">  Tiffany K</t>
  </si>
  <si>
    <t>Guerdan</t>
  </si>
  <si>
    <t xml:space="preserve">  David M.</t>
  </si>
  <si>
    <t xml:space="preserve">  Christine E</t>
  </si>
  <si>
    <t>Mills-Honarvar</t>
  </si>
  <si>
    <t xml:space="preserve">  Donna</t>
  </si>
  <si>
    <t>Farvard</t>
  </si>
  <si>
    <t xml:space="preserve">  Rod</t>
  </si>
  <si>
    <t xml:space="preserve">  Joe</t>
  </si>
  <si>
    <t>Skinner</t>
  </si>
  <si>
    <t xml:space="preserve">  Kayleigh</t>
  </si>
  <si>
    <t xml:space="preserve">  Lorcan A.</t>
  </si>
  <si>
    <t>Shue</t>
  </si>
  <si>
    <t xml:space="preserve">  Billy</t>
  </si>
  <si>
    <t xml:space="preserve">  Paul M.</t>
  </si>
  <si>
    <t>Blinn</t>
  </si>
  <si>
    <t xml:space="preserve">  Brenda M.</t>
  </si>
  <si>
    <t>Duyn</t>
  </si>
  <si>
    <t xml:space="preserve">  Jeff H</t>
  </si>
  <si>
    <t>Wardian</t>
  </si>
  <si>
    <t>Heuninck</t>
  </si>
  <si>
    <t>Kipyego</t>
  </si>
  <si>
    <t xml:space="preserve">  Bernard</t>
  </si>
  <si>
    <t>Kuehl</t>
  </si>
  <si>
    <t>Burkholder</t>
  </si>
  <si>
    <t xml:space="preserve">  Bryn</t>
  </si>
  <si>
    <t>Stadolnik</t>
  </si>
  <si>
    <t>Shields</t>
  </si>
  <si>
    <t>Margolis</t>
  </si>
  <si>
    <t xml:space="preserve">  Jay</t>
  </si>
  <si>
    <t>Uffenbeck</t>
  </si>
  <si>
    <t xml:space="preserve">  Shelley</t>
  </si>
  <si>
    <t>Stepanova</t>
  </si>
  <si>
    <t xml:space="preserve">  Jekaterina</t>
  </si>
  <si>
    <t>Verdi</t>
  </si>
  <si>
    <t xml:space="preserve">  Pauline</t>
  </si>
  <si>
    <t>Mickelson</t>
  </si>
  <si>
    <t xml:space="preserve">  Aleah K</t>
  </si>
  <si>
    <t>Dibaba</t>
  </si>
  <si>
    <t xml:space="preserve">  Mare</t>
  </si>
  <si>
    <t>Shilling</t>
  </si>
  <si>
    <t>Bashaw</t>
  </si>
  <si>
    <t>Jacob</t>
  </si>
  <si>
    <t xml:space="preserve">  Amanda R</t>
  </si>
  <si>
    <t>McCutcheon</t>
  </si>
  <si>
    <t xml:space="preserve">  Murray W.</t>
  </si>
  <si>
    <t>Connor</t>
  </si>
  <si>
    <t xml:space="preserve">  Meghan P.</t>
  </si>
  <si>
    <t>Geoghegan</t>
  </si>
  <si>
    <t xml:space="preserve">  Seth</t>
  </si>
  <si>
    <t>McGinn</t>
  </si>
  <si>
    <t xml:space="preserve">  Michael P.</t>
  </si>
  <si>
    <t xml:space="preserve">  Russell M</t>
  </si>
  <si>
    <t>Quinteros</t>
  </si>
  <si>
    <t xml:space="preserve">  Martin</t>
  </si>
  <si>
    <t>Loenser</t>
  </si>
  <si>
    <t xml:space="preserve">  Miles</t>
  </si>
  <si>
    <t>Furrer</t>
  </si>
  <si>
    <t>Konigs</t>
  </si>
  <si>
    <t>Tesdahl</t>
  </si>
  <si>
    <t xml:space="preserve">  Brock J</t>
  </si>
  <si>
    <t>Engel</t>
  </si>
  <si>
    <t xml:space="preserve">  Stephen F.</t>
  </si>
  <si>
    <t>Kuck</t>
  </si>
  <si>
    <t xml:space="preserve">  Missy</t>
  </si>
  <si>
    <t>Neuschel</t>
  </si>
  <si>
    <t xml:space="preserve">  Lauren M</t>
  </si>
  <si>
    <t>Rosales Ramirez</t>
  </si>
  <si>
    <t xml:space="preserve">  Apolo U.</t>
  </si>
  <si>
    <t>Marquez</t>
  </si>
  <si>
    <t xml:space="preserve">  Alfons</t>
  </si>
  <si>
    <t>Green</t>
  </si>
  <si>
    <t xml:space="preserve">  Amber</t>
  </si>
  <si>
    <t>Schubel</t>
  </si>
  <si>
    <t xml:space="preserve">  Leah C.</t>
  </si>
  <si>
    <t>Jimenez</t>
  </si>
  <si>
    <t xml:space="preserve">  Lilia</t>
  </si>
  <si>
    <t>Zimny-Schmitt</t>
  </si>
  <si>
    <t xml:space="preserve">  Danny</t>
  </si>
  <si>
    <t>Brohart</t>
  </si>
  <si>
    <t>Oka</t>
  </si>
  <si>
    <t xml:space="preserve">  Satomi</t>
  </si>
  <si>
    <t>Metzger</t>
  </si>
  <si>
    <t xml:space="preserve">  Peter T II</t>
  </si>
  <si>
    <t xml:space="preserve">  Manuel</t>
  </si>
  <si>
    <t>Vaughn</t>
  </si>
  <si>
    <t xml:space="preserve">  Kindsey P.</t>
  </si>
  <si>
    <t xml:space="preserve">  Thomas G.</t>
  </si>
  <si>
    <t>Petty</t>
  </si>
  <si>
    <t xml:space="preserve">  Kyle S</t>
  </si>
  <si>
    <t xml:space="preserve">  Alexander J.</t>
  </si>
  <si>
    <t xml:space="preserve">  Dustin L</t>
  </si>
  <si>
    <t>Lasseron</t>
  </si>
  <si>
    <t xml:space="preserve">  Chloe</t>
  </si>
  <si>
    <t>Bushong</t>
  </si>
  <si>
    <t xml:space="preserve">  Cailtlin</t>
  </si>
  <si>
    <t>Dennison</t>
  </si>
  <si>
    <t>Lira</t>
  </si>
  <si>
    <t xml:space="preserve">  Chuy</t>
  </si>
  <si>
    <t>Nahigian</t>
  </si>
  <si>
    <t xml:space="preserve">  Laurie B</t>
  </si>
  <si>
    <t>Cackett</t>
  </si>
  <si>
    <t xml:space="preserve">  Rachel B.</t>
  </si>
  <si>
    <t>Hunter-Galvan</t>
  </si>
  <si>
    <t xml:space="preserve">  Liza</t>
  </si>
  <si>
    <t>Pierret</t>
  </si>
  <si>
    <t xml:space="preserve">  Lindsay E.</t>
  </si>
  <si>
    <t>O'Neil</t>
  </si>
  <si>
    <t xml:space="preserve">  Kathleen M.</t>
  </si>
  <si>
    <t>Leitz</t>
  </si>
  <si>
    <t xml:space="preserve">  Aya</t>
  </si>
  <si>
    <t>Durfee</t>
  </si>
  <si>
    <t xml:space="preserve">  Carolyn R</t>
  </si>
  <si>
    <t>Maylone</t>
  </si>
  <si>
    <t xml:space="preserve">  Bethany</t>
  </si>
  <si>
    <t>Reiland</t>
  </si>
  <si>
    <t xml:space="preserve">  Holly A</t>
  </si>
  <si>
    <t>Hu</t>
  </si>
  <si>
    <t xml:space="preserve">  Ping</t>
  </si>
  <si>
    <t>Lessek</t>
  </si>
  <si>
    <t>Colavincenzo</t>
  </si>
  <si>
    <t>Mendez-Karr</t>
  </si>
  <si>
    <t>Saulnier</t>
  </si>
  <si>
    <t xml:space="preserve">  Emmett</t>
  </si>
  <si>
    <t>Schoonover</t>
  </si>
  <si>
    <t>Hass</t>
  </si>
  <si>
    <t xml:space="preserve">  Christopher L.</t>
  </si>
  <si>
    <t>Cadotte</t>
  </si>
  <si>
    <t xml:space="preserve">  Christopher P.</t>
  </si>
  <si>
    <t>Cacciapaglia</t>
  </si>
  <si>
    <t xml:space="preserve">  Christopher W</t>
  </si>
  <si>
    <t>Mininger</t>
  </si>
  <si>
    <t xml:space="preserve">  Norman H.</t>
  </si>
  <si>
    <t>Mayo</t>
  </si>
  <si>
    <t>Zicko</t>
  </si>
  <si>
    <t xml:space="preserve">  Tatyana K</t>
  </si>
  <si>
    <t xml:space="preserve">  Chrissy</t>
  </si>
  <si>
    <t>Cupp</t>
  </si>
  <si>
    <t xml:space="preserve">  Halle</t>
  </si>
  <si>
    <t>Klassen</t>
  </si>
  <si>
    <t xml:space="preserve">  Tara D.</t>
  </si>
  <si>
    <t>Musal</t>
  </si>
  <si>
    <t xml:space="preserve">  Rasim M</t>
  </si>
  <si>
    <t>Kitayama</t>
  </si>
  <si>
    <t xml:space="preserve">  Dina</t>
  </si>
  <si>
    <t>Altman</t>
  </si>
  <si>
    <t>Demchko</t>
  </si>
  <si>
    <t xml:space="preserve">  Caitrin</t>
  </si>
  <si>
    <t xml:space="preserve">  Adriana S</t>
  </si>
  <si>
    <t>Betts</t>
  </si>
  <si>
    <t xml:space="preserve">  Kristen M</t>
  </si>
  <si>
    <t>Vandeventer</t>
  </si>
  <si>
    <t xml:space="preserve">  Alix</t>
  </si>
  <si>
    <t>Hirano</t>
  </si>
  <si>
    <t xml:space="preserve">  Kakushin</t>
  </si>
  <si>
    <t>Davi</t>
  </si>
  <si>
    <t xml:space="preserve">  Michael J</t>
  </si>
  <si>
    <t>Sloan</t>
  </si>
  <si>
    <t>Homich</t>
  </si>
  <si>
    <t xml:space="preserve">  Amanda C.</t>
  </si>
  <si>
    <t>Kristjansson</t>
  </si>
  <si>
    <t xml:space="preserve">  Valur</t>
  </si>
  <si>
    <t>Pitman</t>
  </si>
  <si>
    <t xml:space="preserve">  Erica J</t>
  </si>
  <si>
    <t>Curley</t>
  </si>
  <si>
    <t>Zimmer</t>
  </si>
  <si>
    <t xml:space="preserve">  Lissa</t>
  </si>
  <si>
    <t>Granski</t>
  </si>
  <si>
    <t xml:space="preserve">  Alyson</t>
  </si>
  <si>
    <t>Regina</t>
  </si>
  <si>
    <t xml:space="preserve">  Chance B</t>
  </si>
  <si>
    <t>Howe</t>
  </si>
  <si>
    <t xml:space="preserve">  Therese</t>
  </si>
  <si>
    <t>Atwater</t>
  </si>
  <si>
    <t xml:space="preserve">  Beau</t>
  </si>
  <si>
    <t>Gurganus</t>
  </si>
  <si>
    <t xml:space="preserve">  Kelsey M</t>
  </si>
  <si>
    <t>Holden</t>
  </si>
  <si>
    <t xml:space="preserve">  Gretchen</t>
  </si>
  <si>
    <t>Parton</t>
  </si>
  <si>
    <t xml:space="preserve">  Nicholas E.</t>
  </si>
  <si>
    <t xml:space="preserve">  Deborah</t>
  </si>
  <si>
    <t>Dent</t>
  </si>
  <si>
    <t xml:space="preserve">  Chuck W. Jr.</t>
  </si>
  <si>
    <t>Ranti</t>
  </si>
  <si>
    <t>Ishaq</t>
  </si>
  <si>
    <t xml:space="preserve">  Amany</t>
  </si>
  <si>
    <t>Wiles</t>
  </si>
  <si>
    <t xml:space="preserve">  Kipling</t>
  </si>
  <si>
    <t xml:space="preserve">  Duncan</t>
  </si>
  <si>
    <t>Serafini</t>
  </si>
  <si>
    <t xml:space="preserve">  Louis C.</t>
  </si>
  <si>
    <t>Button</t>
  </si>
  <si>
    <t>Gaal</t>
  </si>
  <si>
    <t xml:space="preserve">  Ildiko M.</t>
  </si>
  <si>
    <t>Liptak</t>
  </si>
  <si>
    <t xml:space="preserve">  Melinda E.</t>
  </si>
  <si>
    <t>Kellam</t>
  </si>
  <si>
    <t xml:space="preserve">  Ashley M</t>
  </si>
  <si>
    <t>Gordon</t>
  </si>
  <si>
    <t xml:space="preserve">  Sean P.</t>
  </si>
  <si>
    <t>Wagoner</t>
  </si>
  <si>
    <t xml:space="preserve">  Emily G</t>
  </si>
  <si>
    <t>Goffi</t>
  </si>
  <si>
    <t xml:space="preserve">  Danilo</t>
  </si>
  <si>
    <t>Salovaara</t>
  </si>
  <si>
    <t xml:space="preserve">  Mikko</t>
  </si>
  <si>
    <t>Reid</t>
  </si>
  <si>
    <t xml:space="preserve">  Paula C.</t>
  </si>
  <si>
    <t>Allan</t>
  </si>
  <si>
    <t xml:space="preserve">  Kirsten N.</t>
  </si>
  <si>
    <t>McLaughlin</t>
  </si>
  <si>
    <t xml:space="preserve">  Christy</t>
  </si>
  <si>
    <t>Tang</t>
  </si>
  <si>
    <t xml:space="preserve">  Jingjing</t>
  </si>
  <si>
    <t xml:space="preserve">  Morgan</t>
  </si>
  <si>
    <t>Chepkwony</t>
  </si>
  <si>
    <t xml:space="preserve">  Frankline</t>
  </si>
  <si>
    <t xml:space="preserve">  Laura T.</t>
  </si>
  <si>
    <t>Szynkarczuk</t>
  </si>
  <si>
    <t xml:space="preserve">  Natalia</t>
  </si>
  <si>
    <t>Brill</t>
  </si>
  <si>
    <t xml:space="preserve">  Jennifer L.</t>
  </si>
  <si>
    <t xml:space="preserve">  Brooke</t>
  </si>
  <si>
    <t>Nunn</t>
  </si>
  <si>
    <t xml:space="preserve">  Jeremy M</t>
  </si>
  <si>
    <t>Blair</t>
  </si>
  <si>
    <t xml:space="preserve">  Megan L.</t>
  </si>
  <si>
    <t>Sharkey</t>
  </si>
  <si>
    <t>Scalard</t>
  </si>
  <si>
    <t xml:space="preserve">  Marny</t>
  </si>
  <si>
    <t>Burget</t>
  </si>
  <si>
    <t>English</t>
  </si>
  <si>
    <t xml:space="preserve">  Benjamin L</t>
  </si>
  <si>
    <t>Hampton</t>
  </si>
  <si>
    <t xml:space="preserve">  Rob G</t>
  </si>
  <si>
    <t xml:space="preserve">  Stefanie A</t>
  </si>
  <si>
    <t>Lucas</t>
  </si>
  <si>
    <t xml:space="preserve">  Caroline F.</t>
  </si>
  <si>
    <t xml:space="preserve">  Julia J.</t>
  </si>
  <si>
    <t>Cherewatti</t>
  </si>
  <si>
    <t>Olle</t>
  </si>
  <si>
    <t xml:space="preserve">  Bernat</t>
  </si>
  <si>
    <t>Hamsi</t>
  </si>
  <si>
    <t xml:space="preserve">  Hicham</t>
  </si>
  <si>
    <t>Finnegan</t>
  </si>
  <si>
    <t>Villa</t>
  </si>
  <si>
    <t xml:space="preserve">  Elisabetta</t>
  </si>
  <si>
    <t>Cable</t>
  </si>
  <si>
    <t xml:space="preserve">  Trevor N.</t>
  </si>
  <si>
    <t>Eiring</t>
  </si>
  <si>
    <t xml:space="preserve">  Nancy</t>
  </si>
  <si>
    <t xml:space="preserve">  Allison R.</t>
  </si>
  <si>
    <t>Friedman</t>
  </si>
  <si>
    <t>Croker</t>
  </si>
  <si>
    <t>Beganics</t>
  </si>
  <si>
    <t>Huberty</t>
  </si>
  <si>
    <t xml:space="preserve">  Janae N.</t>
  </si>
  <si>
    <t>Hazlehurst</t>
  </si>
  <si>
    <t>Marin</t>
  </si>
  <si>
    <t>Dear</t>
  </si>
  <si>
    <t xml:space="preserve">  Nicole F</t>
  </si>
  <si>
    <t>Lederer</t>
  </si>
  <si>
    <t xml:space="preserve">  Krista L</t>
  </si>
  <si>
    <t>Robson</t>
  </si>
  <si>
    <t xml:space="preserve">  Denise</t>
  </si>
  <si>
    <t>Galvan</t>
  </si>
  <si>
    <t xml:space="preserve">  Ariel</t>
  </si>
  <si>
    <t>Teeuwen</t>
  </si>
  <si>
    <t xml:space="preserve">  Rosalie</t>
  </si>
  <si>
    <t>List</t>
  </si>
  <si>
    <t>Shafar</t>
  </si>
  <si>
    <t xml:space="preserve">  Vitaliy</t>
  </si>
  <si>
    <t>Copenhaver</t>
  </si>
  <si>
    <t xml:space="preserve">  Benjamin W.</t>
  </si>
  <si>
    <t>Stump</t>
  </si>
  <si>
    <t>Wehrman</t>
  </si>
  <si>
    <t>Sischo</t>
  </si>
  <si>
    <t>Fonti</t>
  </si>
  <si>
    <t xml:space="preserve">  Massimiliano</t>
  </si>
  <si>
    <t>Merlis</t>
  </si>
  <si>
    <t>Hasegawa</t>
  </si>
  <si>
    <t xml:space="preserve">  Kiyokatsu</t>
  </si>
  <si>
    <t>Haselden</t>
  </si>
  <si>
    <t>Simonson</t>
  </si>
  <si>
    <t>Montag</t>
  </si>
  <si>
    <t xml:space="preserve">  Julia M</t>
  </si>
  <si>
    <t>Deroian</t>
  </si>
  <si>
    <t xml:space="preserve">  Rhea</t>
  </si>
  <si>
    <t>Brady</t>
  </si>
  <si>
    <t xml:space="preserve">  Shamus M.</t>
  </si>
  <si>
    <t>Strickler</t>
  </si>
  <si>
    <t xml:space="preserve">  Mary Beth</t>
  </si>
  <si>
    <t>Simone</t>
  </si>
  <si>
    <t xml:space="preserve">  Erin</t>
  </si>
  <si>
    <t>Von Rock</t>
  </si>
  <si>
    <t xml:space="preserve">  Hallie</t>
  </si>
  <si>
    <t>Woodard</t>
  </si>
  <si>
    <t xml:space="preserve">  Paige P</t>
  </si>
  <si>
    <t xml:space="preserve">  Ji</t>
  </si>
  <si>
    <t>Sinda</t>
  </si>
  <si>
    <t xml:space="preserve">  Carissa A</t>
  </si>
  <si>
    <t>Rydland</t>
  </si>
  <si>
    <t xml:space="preserve">  Mona</t>
  </si>
  <si>
    <t>Vespa</t>
  </si>
  <si>
    <t xml:space="preserve">  Kristin R.</t>
  </si>
  <si>
    <t>Meadows</t>
  </si>
  <si>
    <t>Toppen</t>
  </si>
  <si>
    <t>Ermer</t>
  </si>
  <si>
    <t>Dionne</t>
  </si>
  <si>
    <t xml:space="preserve">  Hilary K.</t>
  </si>
  <si>
    <t>Stasulli</t>
  </si>
  <si>
    <t xml:space="preserve">  Dominique</t>
  </si>
  <si>
    <t>Duran</t>
  </si>
  <si>
    <t xml:space="preserve">  Carlos I</t>
  </si>
  <si>
    <t>Klundt</t>
  </si>
  <si>
    <t>Waters</t>
  </si>
  <si>
    <t>Rusk</t>
  </si>
  <si>
    <t xml:space="preserve">  Sarah S</t>
  </si>
  <si>
    <t>Gersbach</t>
  </si>
  <si>
    <t xml:space="preserve">  Shauna R.</t>
  </si>
  <si>
    <t>Taylor-Watson</t>
  </si>
  <si>
    <t xml:space="preserve">  Lindsay J.</t>
  </si>
  <si>
    <t xml:space="preserve">  Danya A.</t>
  </si>
  <si>
    <t>Levitsky</t>
  </si>
  <si>
    <t xml:space="preserve">  Lorraine</t>
  </si>
  <si>
    <t>Carroll</t>
  </si>
  <si>
    <t>Campos</t>
  </si>
  <si>
    <t xml:space="preserve">  Jesus Sr.</t>
  </si>
  <si>
    <t>Flajslik</t>
  </si>
  <si>
    <t>Chua</t>
  </si>
  <si>
    <t xml:space="preserve">  Catherine C.</t>
  </si>
  <si>
    <t xml:space="preserve">  Evan</t>
  </si>
  <si>
    <t>Wilzbacher</t>
  </si>
  <si>
    <t xml:space="preserve">  Nathan J</t>
  </si>
  <si>
    <t>Thayer</t>
  </si>
  <si>
    <t>Brosseau</t>
  </si>
  <si>
    <t>Phares</t>
  </si>
  <si>
    <t xml:space="preserve">  Marshall</t>
  </si>
  <si>
    <t xml:space="preserve">  Lavar</t>
  </si>
  <si>
    <t xml:space="preserve">  Charlie T.</t>
  </si>
  <si>
    <t>Padula</t>
  </si>
  <si>
    <t>Gamirov</t>
  </si>
  <si>
    <t xml:space="preserve">  Arthur</t>
  </si>
  <si>
    <t>Briot</t>
  </si>
  <si>
    <t>De Hueck</t>
  </si>
  <si>
    <t>Putt</t>
  </si>
  <si>
    <t xml:space="preserve">  Tammy</t>
  </si>
  <si>
    <t>Deiman</t>
  </si>
  <si>
    <t xml:space="preserve">  Lena</t>
  </si>
  <si>
    <t>Bonanni</t>
  </si>
  <si>
    <t xml:space="preserve">  Valentina</t>
  </si>
  <si>
    <t>Stein</t>
  </si>
  <si>
    <t xml:space="preserve">  Russell N.</t>
  </si>
  <si>
    <t>Laumann</t>
  </si>
  <si>
    <t xml:space="preserve">  Scott R.</t>
  </si>
  <si>
    <t>Galaviz</t>
  </si>
  <si>
    <t xml:space="preserve">  Jose Francisco Sr.</t>
  </si>
  <si>
    <t>Piper</t>
  </si>
  <si>
    <t xml:space="preserve">  Paul J</t>
  </si>
  <si>
    <t>Cantini</t>
  </si>
  <si>
    <t xml:space="preserve">  Edward J.</t>
  </si>
  <si>
    <t>Werhane</t>
  </si>
  <si>
    <t xml:space="preserve">  Patrick A.</t>
  </si>
  <si>
    <t>Davies</t>
  </si>
  <si>
    <t xml:space="preserve">  Geraint H</t>
  </si>
  <si>
    <t>Hummel</t>
  </si>
  <si>
    <t xml:space="preserve">  Dj</t>
  </si>
  <si>
    <t>Lutz</t>
  </si>
  <si>
    <t xml:space="preserve">  Zachary A</t>
  </si>
  <si>
    <t xml:space="preserve">  Brian W.</t>
  </si>
  <si>
    <t>Viglienzoni</t>
  </si>
  <si>
    <t>Rathbun</t>
  </si>
  <si>
    <t>crane</t>
  </si>
  <si>
    <t xml:space="preserve">  Ellen L.</t>
  </si>
  <si>
    <t>Conant</t>
  </si>
  <si>
    <t>Huyser-Wierenga</t>
  </si>
  <si>
    <t xml:space="preserve">  Abigail R.</t>
  </si>
  <si>
    <t>Natalini</t>
  </si>
  <si>
    <t>Robbins</t>
  </si>
  <si>
    <t>Stanislav</t>
  </si>
  <si>
    <t xml:space="preserve">  Grace H</t>
  </si>
  <si>
    <t xml:space="preserve">  Caitie J.</t>
  </si>
  <si>
    <t>Mears</t>
  </si>
  <si>
    <t>Neill</t>
  </si>
  <si>
    <t xml:space="preserve">  Ian T</t>
  </si>
  <si>
    <t>Tola</t>
  </si>
  <si>
    <t xml:space="preserve">  Tadese</t>
  </si>
  <si>
    <t>Briskman</t>
  </si>
  <si>
    <t>Ritzenhein</t>
  </si>
  <si>
    <t xml:space="preserve">  Dathan</t>
  </si>
  <si>
    <t>Malkowski</t>
  </si>
  <si>
    <t>Andreyko</t>
  </si>
  <si>
    <t>Lozier</t>
  </si>
  <si>
    <t xml:space="preserve">  Aaron R</t>
  </si>
  <si>
    <t xml:space="preserve">  Caitlin H.</t>
  </si>
  <si>
    <t>Rodas</t>
  </si>
  <si>
    <t xml:space="preserve">  Harald E.</t>
  </si>
  <si>
    <t xml:space="preserve">  Siobhan A.</t>
  </si>
  <si>
    <t xml:space="preserve">  Andrea J.</t>
  </si>
  <si>
    <t>Karmen</t>
  </si>
  <si>
    <t xml:space="preserve">  Rachel A.</t>
  </si>
  <si>
    <t>Lippmann</t>
  </si>
  <si>
    <t xml:space="preserve">  Kiersten</t>
  </si>
  <si>
    <t>Klehm</t>
  </si>
  <si>
    <t>Desisa</t>
  </si>
  <si>
    <t xml:space="preserve">  Lelisa</t>
  </si>
  <si>
    <t>Brooks</t>
  </si>
  <si>
    <t xml:space="preserve">  Chris C.</t>
  </si>
  <si>
    <t>Weispfennig</t>
  </si>
  <si>
    <t>Sorrell</t>
  </si>
  <si>
    <t xml:space="preserve">  Erik C.</t>
  </si>
  <si>
    <t>Marek</t>
  </si>
  <si>
    <t xml:space="preserve">  Shawn C</t>
  </si>
  <si>
    <t xml:space="preserve">  Vajin L.</t>
  </si>
  <si>
    <t>Werner</t>
  </si>
  <si>
    <t xml:space="preserve">  John K. Jr.</t>
  </si>
  <si>
    <t xml:space="preserve">  Kevin J.</t>
  </si>
  <si>
    <t xml:space="preserve">  Kirby W.</t>
  </si>
  <si>
    <t>Penny</t>
  </si>
  <si>
    <t xml:space="preserve">  J A</t>
  </si>
  <si>
    <t xml:space="preserve">  Dustin G.</t>
  </si>
  <si>
    <t>Masayesva</t>
  </si>
  <si>
    <t xml:space="preserve">  Anthony G</t>
  </si>
  <si>
    <t>Paavola</t>
  </si>
  <si>
    <t>Gehlsen</t>
  </si>
  <si>
    <t xml:space="preserve">  Eric N</t>
  </si>
  <si>
    <t>Roche</t>
  </si>
  <si>
    <t xml:space="preserve">  Connor</t>
  </si>
  <si>
    <t>Hearn</t>
  </si>
  <si>
    <t xml:space="preserve">  Patrick H.</t>
  </si>
  <si>
    <t>Dimson</t>
  </si>
  <si>
    <t>Slason</t>
  </si>
  <si>
    <t xml:space="preserve">  Deborah L.</t>
  </si>
  <si>
    <t>Gibson</t>
  </si>
  <si>
    <t xml:space="preserve">  Andrea K</t>
  </si>
  <si>
    <t>Erdos</t>
  </si>
  <si>
    <t xml:space="preserve">  Elleree</t>
  </si>
  <si>
    <t>Cushman</t>
  </si>
  <si>
    <t xml:space="preserve">  Brandon J</t>
  </si>
  <si>
    <t>Hammel</t>
  </si>
  <si>
    <t>Ytterstad</t>
  </si>
  <si>
    <t xml:space="preserve">  Nina Wavik Sr.</t>
  </si>
  <si>
    <t>Prince</t>
  </si>
  <si>
    <t xml:space="preserve">  Dani</t>
  </si>
  <si>
    <t>Freeman</t>
  </si>
  <si>
    <t>Petrulak</t>
  </si>
  <si>
    <t>Zablocki</t>
  </si>
  <si>
    <t>Van Meter</t>
  </si>
  <si>
    <t xml:space="preserve">  Kathryn M.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</si>
  <si>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</si>
  <si>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</si>
  <si>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</si>
  <si>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</si>
  <si>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</si>
  <si>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</si>
  <si>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 xml:space="preserve">  Tiffany A.</t>
  </si>
  <si>
    <t>Sanseverino</t>
  </si>
  <si>
    <t>Lawder</t>
  </si>
  <si>
    <t>Hoerner</t>
  </si>
  <si>
    <t xml:space="preserve">  Pat</t>
  </si>
  <si>
    <t>Beaulne</t>
  </si>
  <si>
    <t xml:space="preserve">  Rebecca M.</t>
  </si>
  <si>
    <t>Lunz</t>
  </si>
  <si>
    <t xml:space="preserve">  Ruth</t>
  </si>
  <si>
    <t>Kyle</t>
  </si>
  <si>
    <t xml:space="preserve">  Gregory S</t>
  </si>
  <si>
    <t>Brackenwagen</t>
  </si>
  <si>
    <t xml:space="preserve">  Alexandra S</t>
  </si>
  <si>
    <t>Schmitt</t>
  </si>
  <si>
    <t xml:space="preserve">  Hillary</t>
  </si>
  <si>
    <t>Borden</t>
  </si>
  <si>
    <t xml:space="preserve">  Amy K.</t>
  </si>
  <si>
    <t>Regan</t>
  </si>
  <si>
    <t>Koenis</t>
  </si>
  <si>
    <t xml:space="preserve">  Maaikel</t>
  </si>
  <si>
    <t>Kittaka</t>
  </si>
  <si>
    <t>Concannon</t>
  </si>
  <si>
    <t xml:space="preserve">  Christopher S.</t>
  </si>
  <si>
    <t xml:space="preserve">  William R</t>
  </si>
  <si>
    <t>Schultz</t>
  </si>
  <si>
    <t xml:space="preserve">  Lyndsy</t>
  </si>
  <si>
    <t>Brannigan</t>
  </si>
  <si>
    <t>Cavallo</t>
  </si>
  <si>
    <t xml:space="preserve">  Anna</t>
  </si>
  <si>
    <t>Axelrod</t>
  </si>
  <si>
    <t>Roberge</t>
  </si>
  <si>
    <t>Schmidt</t>
  </si>
  <si>
    <t>Kosters</t>
  </si>
  <si>
    <t xml:space="preserve">  Eric S</t>
  </si>
  <si>
    <t>Dykes</t>
  </si>
  <si>
    <t>Velan</t>
  </si>
  <si>
    <t>Goolik</t>
  </si>
  <si>
    <t>Bain</t>
  </si>
  <si>
    <t>Wieck</t>
  </si>
  <si>
    <t xml:space="preserve">  Sonja</t>
  </si>
  <si>
    <t>Friel</t>
  </si>
  <si>
    <t>Santandreu</t>
  </si>
  <si>
    <t xml:space="preserve">  Martha L.</t>
  </si>
  <si>
    <t xml:space="preserve">  Ryan C.</t>
  </si>
  <si>
    <t>Gerber</t>
  </si>
  <si>
    <t xml:space="preserve">  Cliff</t>
  </si>
  <si>
    <t>Benadum</t>
  </si>
  <si>
    <t xml:space="preserve">  Blue</t>
  </si>
  <si>
    <t>Ragazzini</t>
  </si>
  <si>
    <t xml:space="preserve">  Jeffrey M</t>
  </si>
  <si>
    <t>Kessinger</t>
  </si>
  <si>
    <t>Bezgin</t>
  </si>
  <si>
    <t>Woldesilassie</t>
  </si>
  <si>
    <t>Ruiz Herrero</t>
  </si>
  <si>
    <t>Bin Alias</t>
  </si>
  <si>
    <t xml:space="preserve">  Mohd Syahidan</t>
  </si>
  <si>
    <t>Pulliam</t>
  </si>
  <si>
    <t>Guisinger</t>
  </si>
  <si>
    <t>Arnerich</t>
  </si>
  <si>
    <t xml:space="preserve">  Christi A.</t>
  </si>
  <si>
    <t xml:space="preserve">  Sandra K.</t>
  </si>
  <si>
    <t>Nolette</t>
  </si>
  <si>
    <t xml:space="preserve">  Jerome</t>
  </si>
  <si>
    <t>Chabrier</t>
  </si>
  <si>
    <t xml:space="preserve">  Julia R</t>
  </si>
  <si>
    <t xml:space="preserve">  Sean Henry</t>
  </si>
  <si>
    <t>Knotts</t>
  </si>
  <si>
    <t>Pultorak</t>
  </si>
  <si>
    <t>Maxon</t>
  </si>
  <si>
    <t>Kraai</t>
  </si>
  <si>
    <t xml:space="preserve">  Abby L.</t>
  </si>
  <si>
    <t>Larosa</t>
  </si>
  <si>
    <t xml:space="preserve">  Ali</t>
  </si>
  <si>
    <t>Haney</t>
  </si>
  <si>
    <t>Boulay</t>
  </si>
  <si>
    <t xml:space="preserve">  Pierre</t>
  </si>
  <si>
    <t>Luy</t>
  </si>
  <si>
    <t>Fava</t>
  </si>
  <si>
    <t>Montoya</t>
  </si>
  <si>
    <t xml:space="preserve">  Alvaro Sr.</t>
  </si>
  <si>
    <t>Albertson</t>
  </si>
  <si>
    <t xml:space="preserve">  Mark P.</t>
  </si>
  <si>
    <t>Barger</t>
  </si>
  <si>
    <t>Fraioli</t>
  </si>
  <si>
    <t xml:space="preserve">  Mario Jr.</t>
  </si>
  <si>
    <t>April</t>
  </si>
  <si>
    <t xml:space="preserve">  Lusapho</t>
  </si>
  <si>
    <t>Talhelm</t>
  </si>
  <si>
    <t xml:space="preserve">  Alan F</t>
  </si>
  <si>
    <t>Treece</t>
  </si>
  <si>
    <t>Beisel</t>
  </si>
  <si>
    <t>Enke</t>
  </si>
  <si>
    <t xml:space="preserve">  Jacob J</t>
  </si>
  <si>
    <t>Ruiz-Tagle Barros</t>
  </si>
  <si>
    <t xml:space="preserve">  Jose Tomas</t>
  </si>
  <si>
    <t>Ferrell</t>
  </si>
  <si>
    <t xml:space="preserve">  Mary Evan</t>
  </si>
  <si>
    <t>Gates</t>
  </si>
  <si>
    <t xml:space="preserve">  Justin K.</t>
  </si>
  <si>
    <t>Jeffers</t>
  </si>
  <si>
    <t>Sulhanek</t>
  </si>
  <si>
    <t xml:space="preserve">  Roman</t>
  </si>
  <si>
    <t>Caron</t>
  </si>
  <si>
    <t xml:space="preserve">  Evelyn L</t>
  </si>
  <si>
    <t>Fullarton</t>
  </si>
  <si>
    <t>Lindgren</t>
  </si>
  <si>
    <t xml:space="preserve">  Matthew S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</si>
  <si>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</si>
  <si>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</si>
  <si>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</si>
  <si>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</si>
  <si>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</si>
  <si>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</si>
  <si>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</si>
  <si>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</si>
  <si>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</si>
  <si>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</si>
  <si>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</si>
  <si>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>Petermann</t>
  </si>
  <si>
    <t xml:space="preserve">  Theodore A.</t>
  </si>
  <si>
    <t>Graves - Rostro</t>
  </si>
  <si>
    <t xml:space="preserve">  Lindy</t>
  </si>
  <si>
    <t>Danielson</t>
  </si>
  <si>
    <t>Street</t>
  </si>
  <si>
    <t xml:space="preserve">  Holly</t>
  </si>
  <si>
    <t>Buss</t>
  </si>
  <si>
    <t>Duffy</t>
  </si>
  <si>
    <t xml:space="preserve">  Meghan K</t>
  </si>
  <si>
    <t xml:space="preserve">  Fred</t>
  </si>
  <si>
    <t>Castro</t>
  </si>
  <si>
    <t xml:space="preserve">  Sebastian</t>
  </si>
  <si>
    <t>Avery</t>
  </si>
  <si>
    <t>Bohinski</t>
  </si>
  <si>
    <t xml:space="preserve">  Susan E</t>
  </si>
  <si>
    <t>Kohls</t>
  </si>
  <si>
    <t xml:space="preserve">  Katy</t>
  </si>
  <si>
    <t>Brietzke</t>
  </si>
  <si>
    <t>Riveros Gonzalez</t>
  </si>
  <si>
    <t xml:space="preserve">  Juan D. Sr.</t>
  </si>
  <si>
    <t>Albano</t>
  </si>
  <si>
    <t>Rosendahl</t>
  </si>
  <si>
    <t xml:space="preserve">  Evan P</t>
  </si>
  <si>
    <t>German</t>
  </si>
  <si>
    <t xml:space="preserve">  Aaron K</t>
  </si>
  <si>
    <t>Weight Status</t>
  </si>
  <si>
    <t>Diabetes Status</t>
  </si>
  <si>
    <t>Obesity</t>
  </si>
  <si>
    <t>Diabetes</t>
  </si>
  <si>
    <t>Prediabetes</t>
  </si>
  <si>
    <t>Normal</t>
  </si>
  <si>
    <t>Overweight</t>
  </si>
  <si>
    <t>Normal Weight</t>
  </si>
  <si>
    <t>Underweight</t>
  </si>
  <si>
    <t>Date of Birth</t>
  </si>
  <si>
    <t>Age</t>
  </si>
  <si>
    <t>Row Number</t>
  </si>
  <si>
    <t>Number of Major Surgeries</t>
  </si>
  <si>
    <t>Smoker</t>
  </si>
  <si>
    <t>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</si>
</sst>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0" fillId="5" borderId="6" xfId="0" applyNumberFormat="1" applyFont="1" applyFill="1" applyBorder="1"/>
    <xf numFmtId="0" fontId="0" fillId="5" borderId="7" xfId="0" applyNumberFormat="1" applyFont="1" applyFill="1" applyBorder="1"/>
    <xf numFmtId="0" fontId="0" fillId="5" borderId="8" xfId="0" applyNumberFormat="1" applyFont="1" applyFill="1" applyBorder="1"/>
    <xf numFmtId="0" fontId="0" fillId="0" borderId="6" xfId="0" applyNumberFormat="1" applyFont="1" applyBorder="1"/>
    <xf numFmtId="0" fontId="0" fillId="0" borderId="7" xfId="0" applyNumberFormat="1" applyFont="1" applyBorder="1"/>
    <xf numFmtId="0" fontId="0" fillId="0" borderId="8" xfId="0" applyNumberFormat="1" applyFont="1" applyBorder="1"/>
    <xf numFmtId="0" fontId="0" fillId="5" borderId="3" xfId="0" applyNumberFormat="1" applyFont="1" applyFill="1" applyBorder="1"/>
    <xf numFmtId="0" fontId="0" fillId="5" borderId="4" xfId="0" applyNumberFormat="1" applyFont="1" applyFill="1" applyBorder="1"/>
    <xf numFmtId="0" fontId="0" fillId="5" borderId="5" xfId="0" applyNumberFormat="1" applyFont="1" applyFill="1" applyBorder="1"/>
  </cellXfs>
  <cellStyles count="2">
    <cellStyle name="Normal" xfId="0" builtinId="0"/>
    <cellStyle name="Normal 2" xfId="1" xr:uid="{00000000-0005-0000-0000-000001000000}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241300</xdr:colOff>
      <xdr:row>4</xdr:row>
      <xdr:rowOff>82550</xdr:rowOff>
    </xdr:from>
    <xdr:to>
      <xdr:col>13</xdr:col>
      <xdr:colOff>539750</xdr:colOff>
      <xdr:row>6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04D703-936A-D9B3-21E2-183DBEE0AAF9}"/>
            </a:ext>
          </a:extLst>
        </xdr:cNvPr>
        <xdr:cNvSpPr txBox="1"/>
      </xdr:nvSpPr>
      <xdr:spPr>
        <a:xfrm>
          <a:off x="7429500" y="876300"/>
          <a:ext cx="3346450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rgbClr val="FF0000"/>
              </a:solidFill>
            </a:rPr>
            <a:t>Only 2 missing values in</a:t>
          </a:r>
          <a:r>
            <a:rPr lang="en-IN" sz="1100" baseline="0">
              <a:solidFill>
                <a:srgbClr val="FF0000"/>
              </a:solidFill>
            </a:rPr>
            <a:t> the SMOKER column</a:t>
          </a:r>
          <a:endParaRPr lang="en-IN" sz="1100">
            <a:solidFill>
              <a:srgbClr val="FF0000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EA3B6E07-BD10-4F75-95DF-D5A98AC996E9}" autoFormatId="16" applyNumberFormats="0" applyBorderFormats="0" applyFontFormats="0" applyPatternFormats="0" applyAlignmentFormats="0" applyWidthHeightFormats="0">
  <queryTableRefresh nextId="12">
    <queryTableFields count="7">
      <queryTableField id="1" name="Customer ID" tableColumnId="1"/>
      <queryTableField id="10" name="Date of Birth" tableColumnId="10"/>
      <queryTableField id="5" name="children" tableColumnId="5"/>
      <queryTableField id="6" name="charges" tableColumnId="6"/>
      <queryTableField id="7" name="Hospital tier" tableColumnId="7"/>
      <queryTableField id="8" name="City tier" tableColumnId="8"/>
      <queryTableField id="9" name="State ID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43D9060-F811-4324-98D2-30337D3BEB8A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Title" tableColumnId="2"/>
      <queryTableField id="3" name="First Name" tableColumnId="3"/>
      <queryTableField id="4" name="Last Na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85A30B9-E5A5-4177-BA21-3EF4218AE96A}" autoFormatId="16" applyNumberFormats="0" applyBorderFormats="0" applyFontFormats="0" applyPatternFormats="0" applyAlignmentFormats="0" applyWidthHeightFormats="0">
  <queryTableRefresh nextId="11">
    <queryTableFields count="10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smoker" tableColumnId="8"/>
      <queryTableField id="9" name="Weight Status" tableColumnId="9"/>
      <queryTableField id="10" name="Diabetes Status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894E3A-9A67-43C4-9CD2-E28B2988260E}" name="Errors_in_Hospitalisation_Details" displayName="Errors_in_Hospitalisation_Details" ref="A1:I2" totalsRowShown="0">
  <autoFilter ref="A1:I2" xr:uid="{49894E3A-9A67-43C4-9CD2-E28B2988260E}"/>
  <tableColumns count="9">
    <tableColumn id="1" xr3:uid="{C64C53EE-163B-4AA4-9E15-CFF45970C1B4}" name="Row Number"/>
    <tableColumn id="2" xr3:uid="{0B188F77-096E-4E2F-8238-40D657FD385A}" name="Customer ID" dataDxfId="13"/>
    <tableColumn id="3" xr3:uid="{4CFB942D-753F-470B-9CD0-B83560189F41}" name="Date of Birth" dataDxfId="12"/>
    <tableColumn id="4" xr3:uid="{02096C58-FB2C-4101-BB82-FFCE283C4158}" name="children"/>
    <tableColumn id="5" xr3:uid="{A2F82FA7-8C0E-4A07-ADFB-B09CC5C130F2}" name="charges"/>
    <tableColumn id="6" xr3:uid="{E6DA069B-10E6-4576-94C6-42054BA56A58}" name="Hospital tier" dataDxfId="11"/>
    <tableColumn id="7" xr3:uid="{3BCB9ACA-4BA2-40B4-852E-2733E5EA8172}" name="City tier" dataDxfId="10"/>
    <tableColumn id="8" xr3:uid="{558E6069-413A-4AF3-8B38-3A9D93715B56}" name="State ID" dataDxfId="9"/>
    <tableColumn id="9" xr3:uid="{D9159A5A-4DA9-4FD9-AB7B-888F809120D8}" name="Ag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12EBFE-CB5C-49A5-B685-3B2095B25318}" name="Hospitalisation_Details__2" displayName="Hospitalisation_Details__2" ref="A1:G2336" tableType="queryTable" totalsRowShown="0">
  <autoFilter ref="A1:G2336" xr:uid="{7512EBFE-CB5C-49A5-B685-3B2095B25318}"/>
  <tableColumns count="7">
    <tableColumn id="1" xr3:uid="{F8203859-F9DB-488A-96A7-AAE9BA9ACE6A}" uniqueName="1" name="Customer ID" queryTableFieldId="1" dataDxfId="4"/>
    <tableColumn id="10" xr3:uid="{02DDBB76-7531-48B6-992F-68B774106D17}" uniqueName="10" name="Date of Birth" queryTableFieldId="10" dataDxfId="3"/>
    <tableColumn id="5" xr3:uid="{7E9F4D06-77E6-4671-A7CE-A67D5BF80155}" uniqueName="5" name="children" queryTableFieldId="5"/>
    <tableColumn id="6" xr3:uid="{7E9B99AA-9031-48E4-82B9-A255E8B806AF}" uniqueName="6" name="charges" queryTableFieldId="6"/>
    <tableColumn id="7" xr3:uid="{E99C0A33-30DC-41B2-B5D1-3033CD7BA3D7}" uniqueName="7" name="Hospital tier" queryTableFieldId="7" dataDxfId="2"/>
    <tableColumn id="8" xr3:uid="{2CAA4D0E-0350-472E-AB9F-83C559CCA022}" uniqueName="8" name="City tier" queryTableFieldId="8" dataDxfId="1"/>
    <tableColumn id="9" xr3:uid="{EE5AA87F-136C-4F41-BB20-65B16087351B}" uniqueName="9" name="State ID" queryTableFieldId="9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501994-790D-4B93-A993-410E45DA280E}" name="Customer_Names" displayName="Customer_Names" ref="A1:D2336" tableType="queryTable" totalsRowShown="0">
  <autoFilter ref="A1:D2336" xr:uid="{AF501994-790D-4B93-A993-410E45DA280E}"/>
  <tableColumns count="4">
    <tableColumn id="1" xr3:uid="{0D04374B-3A95-4B48-BD75-0CBB60E7A22C}" uniqueName="1" name="Customer ID" queryTableFieldId="1" dataDxfId="8"/>
    <tableColumn id="2" xr3:uid="{AC4B3C86-AEAA-44C6-AEEF-9E5A39B0980E}" uniqueName="2" name="Title" queryTableFieldId="2" dataDxfId="7"/>
    <tableColumn id="3" xr3:uid="{D4150A5B-4B9A-4BD0-A762-1D3A6638CBB3}" uniqueName="3" name="First Name" queryTableFieldId="3" dataDxfId="6"/>
    <tableColumn id="4" xr3:uid="{AA7209A6-A1C5-4407-AF10-3C90A63E7449}" uniqueName="4" name="Last Name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BB45AF-747A-4E02-BFB6-20E0C79E3437}" name="Medical_Examinations" displayName="Medical_Examinations" ref="A1:J2336" tableType="queryTable" totalsRowShown="0">
  <autoFilter ref="A1:J2336" xr:uid="{DFBB45AF-747A-4E02-BFB6-20E0C79E3437}"/>
  <tableColumns count="10">
    <tableColumn id="1" xr3:uid="{BBBEEF0B-BDF4-4580-84DD-CFE0E4C0AC42}" uniqueName="1" name="Customer ID" queryTableFieldId="1" dataDxfId="18"/>
    <tableColumn id="2" xr3:uid="{8B6C2835-1DD0-44A4-95B2-CCF8EA2F1AB0}" uniqueName="2" name="BMI" queryTableFieldId="2"/>
    <tableColumn id="3" xr3:uid="{1941E8BF-9240-43B4-B65A-627BED1C5ECF}" uniqueName="3" name="HBA1C" queryTableFieldId="3"/>
    <tableColumn id="4" xr3:uid="{99C96CB8-8108-4B99-8EC4-B1884DD508C6}" uniqueName="4" name="Heart Issues" queryTableFieldId="4" dataDxfId="17"/>
    <tableColumn id="5" xr3:uid="{DD1231BA-B7BD-4C5F-B269-853E125AD3AF}" uniqueName="5" name="Any Transplants" queryTableFieldId="5" dataDxfId="16"/>
    <tableColumn id="6" xr3:uid="{C66810D6-7F3B-4B7F-8D2E-48CDC2489A48}" uniqueName="6" name="Cancer history" queryTableFieldId="6" dataDxfId="15"/>
    <tableColumn id="7" xr3:uid="{7550E8EA-6679-4F2C-950C-8AF17A4E841C}" uniqueName="7" name="NumberOfMajorSurgeries" queryTableFieldId="7"/>
    <tableColumn id="8" xr3:uid="{99071767-DA14-4839-B19E-E2DAC0C54065}" uniqueName="8" name="smoker" queryTableFieldId="8" dataDxfId="14"/>
    <tableColumn id="9" xr3:uid="{8A1AAE20-AE23-43E4-9DDE-5BCF8328EBE1}" uniqueName="9" name="Weight Status" queryTableFieldId="9"/>
    <tableColumn id="10" xr3:uid="{44156375-9D20-47AF-9CE6-ADC5F3C7A5C6}" uniqueName="10" name="Diabetes Statu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workbookViewId="0">
      <selection sqref="A1:XFD1048576"/>
    </sheetView>
  </sheetViews>
  <sheetFormatPr defaultRowHeight="14.5" x14ac:dyDescent="0.35"/>
  <cols>
    <col min="1" max="1" width="15.54296875" customWidth="1"/>
    <col min="2" max="2" width="37.453125" bestFit="1" customWidth="1"/>
  </cols>
  <sheetData>
    <row r="1" spans="1:2" s="2" customFormat="1" ht="19" customHeight="1" x14ac:dyDescent="0.35">
      <c r="A1" s="4" t="s">
        <v>0</v>
      </c>
      <c r="B1" s="5" t="s">
        <v>2374</v>
      </c>
    </row>
    <row r="2" spans="1:2" ht="15.5" x14ac:dyDescent="0.35">
      <c r="A2" s="1" t="s">
        <v>2362</v>
      </c>
      <c r="B2" s="1" t="s">
        <v>2375</v>
      </c>
    </row>
    <row r="3" spans="1:2" ht="15.5" x14ac:dyDescent="0.35">
      <c r="A3" s="1" t="s">
        <v>2361</v>
      </c>
      <c r="B3" s="1" t="s">
        <v>2376</v>
      </c>
    </row>
    <row r="4" spans="1:2" ht="15.5" x14ac:dyDescent="0.35">
      <c r="A4" s="1" t="s">
        <v>2360</v>
      </c>
      <c r="B4" s="1" t="s">
        <v>2377</v>
      </c>
    </row>
    <row r="5" spans="1:2" ht="15.5" x14ac:dyDescent="0.35">
      <c r="A5" s="1" t="s">
        <v>2359</v>
      </c>
      <c r="B5" s="1" t="s">
        <v>2378</v>
      </c>
    </row>
    <row r="6" spans="1:2" ht="15.5" x14ac:dyDescent="0.35">
      <c r="A6" s="1" t="s">
        <v>2358</v>
      </c>
      <c r="B6" s="1" t="s">
        <v>2379</v>
      </c>
    </row>
    <row r="7" spans="1:2" ht="15.5" x14ac:dyDescent="0.35">
      <c r="A7" s="1" t="s">
        <v>2357</v>
      </c>
      <c r="B7" s="1" t="s">
        <v>2380</v>
      </c>
    </row>
    <row r="8" spans="1:2" ht="15.5" x14ac:dyDescent="0.35">
      <c r="A8" s="1" t="s">
        <v>2356</v>
      </c>
      <c r="B8" s="1" t="s">
        <v>2381</v>
      </c>
    </row>
    <row r="9" spans="1:2" ht="15.5" x14ac:dyDescent="0.35">
      <c r="A9" s="1" t="s">
        <v>2355</v>
      </c>
      <c r="B9" s="1" t="s">
        <v>2382</v>
      </c>
    </row>
    <row r="10" spans="1:2" ht="15.5" x14ac:dyDescent="0.35">
      <c r="A10" s="1" t="s">
        <v>2354</v>
      </c>
      <c r="B10" s="1" t="s">
        <v>2383</v>
      </c>
    </row>
    <row r="11" spans="1:2" ht="15.5" x14ac:dyDescent="0.35">
      <c r="A11" s="1" t="s">
        <v>2353</v>
      </c>
      <c r="B11" s="1" t="s">
        <v>2384</v>
      </c>
    </row>
    <row r="12" spans="1:2" ht="15.5" x14ac:dyDescent="0.35">
      <c r="A12" s="1" t="s">
        <v>2352</v>
      </c>
      <c r="B12" s="1" t="s">
        <v>2385</v>
      </c>
    </row>
    <row r="13" spans="1:2" ht="15.5" x14ac:dyDescent="0.35">
      <c r="A13" s="1" t="s">
        <v>2351</v>
      </c>
      <c r="B13" s="1" t="s">
        <v>2386</v>
      </c>
    </row>
    <row r="14" spans="1:2" ht="15.5" x14ac:dyDescent="0.35">
      <c r="A14" s="1" t="s">
        <v>2350</v>
      </c>
      <c r="B14" s="1" t="s">
        <v>2387</v>
      </c>
    </row>
    <row r="15" spans="1:2" ht="15.5" x14ac:dyDescent="0.35">
      <c r="A15" s="1" t="s">
        <v>2349</v>
      </c>
      <c r="B15" s="1" t="s">
        <v>2388</v>
      </c>
    </row>
    <row r="16" spans="1:2" ht="15.5" x14ac:dyDescent="0.35">
      <c r="A16" s="1" t="s">
        <v>2348</v>
      </c>
      <c r="B16" s="1" t="s">
        <v>2389</v>
      </c>
    </row>
    <row r="17" spans="1:2" ht="15.5" x14ac:dyDescent="0.35">
      <c r="A17" s="1" t="s">
        <v>2347</v>
      </c>
      <c r="B17" s="1" t="s">
        <v>2390</v>
      </c>
    </row>
    <row r="18" spans="1:2" ht="15.5" x14ac:dyDescent="0.35">
      <c r="A18" s="1" t="s">
        <v>2346</v>
      </c>
      <c r="B18" s="1" t="s">
        <v>2391</v>
      </c>
    </row>
    <row r="19" spans="1:2" ht="15.5" x14ac:dyDescent="0.35">
      <c r="A19" s="1" t="s">
        <v>2345</v>
      </c>
      <c r="B19" s="1" t="s">
        <v>2392</v>
      </c>
    </row>
    <row r="20" spans="1:2" ht="15.5" x14ac:dyDescent="0.35">
      <c r="A20" s="1" t="s">
        <v>2344</v>
      </c>
      <c r="B20" s="1" t="s">
        <v>2393</v>
      </c>
    </row>
    <row r="21" spans="1:2" ht="15.5" x14ac:dyDescent="0.35">
      <c r="A21" s="1" t="s">
        <v>2343</v>
      </c>
      <c r="B21" s="1" t="s">
        <v>2394</v>
      </c>
    </row>
    <row r="22" spans="1:2" ht="15.5" x14ac:dyDescent="0.35">
      <c r="A22" s="1" t="s">
        <v>2342</v>
      </c>
      <c r="B22" s="1" t="s">
        <v>2395</v>
      </c>
    </row>
    <row r="23" spans="1:2" ht="15.5" x14ac:dyDescent="0.35">
      <c r="A23" s="1" t="s">
        <v>2341</v>
      </c>
      <c r="B23" s="1" t="s">
        <v>2396</v>
      </c>
    </row>
    <row r="24" spans="1:2" ht="15.5" x14ac:dyDescent="0.35">
      <c r="A24" s="1" t="s">
        <v>2340</v>
      </c>
      <c r="B24" s="1" t="s">
        <v>2397</v>
      </c>
    </row>
    <row r="25" spans="1:2" ht="15.5" x14ac:dyDescent="0.35">
      <c r="A25" s="1" t="s">
        <v>2339</v>
      </c>
      <c r="B25" s="1" t="s">
        <v>2398</v>
      </c>
    </row>
    <row r="26" spans="1:2" ht="15.5" x14ac:dyDescent="0.35">
      <c r="A26" s="1" t="s">
        <v>2338</v>
      </c>
      <c r="B26" s="1" t="s">
        <v>2399</v>
      </c>
    </row>
    <row r="27" spans="1:2" ht="15.5" x14ac:dyDescent="0.35">
      <c r="A27" s="1" t="s">
        <v>2337</v>
      </c>
      <c r="B27" s="1" t="s">
        <v>2400</v>
      </c>
    </row>
    <row r="28" spans="1:2" ht="15.5" x14ac:dyDescent="0.35">
      <c r="A28" s="1" t="s">
        <v>2336</v>
      </c>
      <c r="B28" s="1" t="s">
        <v>2401</v>
      </c>
    </row>
    <row r="29" spans="1:2" ht="15.5" x14ac:dyDescent="0.35">
      <c r="A29" s="1" t="s">
        <v>2335</v>
      </c>
      <c r="B29" s="1" t="s">
        <v>2402</v>
      </c>
    </row>
    <row r="30" spans="1:2" ht="15.5" x14ac:dyDescent="0.35">
      <c r="A30" s="1" t="s">
        <v>2334</v>
      </c>
      <c r="B30" s="1" t="s">
        <v>2403</v>
      </c>
    </row>
    <row r="31" spans="1:2" ht="15.5" x14ac:dyDescent="0.35">
      <c r="A31" s="1" t="s">
        <v>2333</v>
      </c>
      <c r="B31" s="1" t="s">
        <v>2404</v>
      </c>
    </row>
    <row r="32" spans="1:2" ht="15.5" x14ac:dyDescent="0.35">
      <c r="A32" s="1" t="s">
        <v>2332</v>
      </c>
      <c r="B32" s="1" t="s">
        <v>2405</v>
      </c>
    </row>
    <row r="33" spans="1:2" ht="15.5" x14ac:dyDescent="0.35">
      <c r="A33" s="1" t="s">
        <v>2331</v>
      </c>
      <c r="B33" s="1" t="s">
        <v>2406</v>
      </c>
    </row>
    <row r="34" spans="1:2" ht="15.5" x14ac:dyDescent="0.35">
      <c r="A34" s="1" t="s">
        <v>2330</v>
      </c>
      <c r="B34" s="1" t="s">
        <v>2407</v>
      </c>
    </row>
    <row r="35" spans="1:2" ht="15.5" x14ac:dyDescent="0.35">
      <c r="A35" s="1" t="s">
        <v>2329</v>
      </c>
      <c r="B35" s="1" t="s">
        <v>2408</v>
      </c>
    </row>
    <row r="36" spans="1:2" ht="15.5" x14ac:dyDescent="0.35">
      <c r="A36" s="1" t="s">
        <v>2328</v>
      </c>
      <c r="B36" s="1" t="s">
        <v>2409</v>
      </c>
    </row>
    <row r="37" spans="1:2" ht="15.5" x14ac:dyDescent="0.35">
      <c r="A37" s="1" t="s">
        <v>2327</v>
      </c>
      <c r="B37" s="1" t="s">
        <v>2410</v>
      </c>
    </row>
    <row r="38" spans="1:2" ht="15.5" x14ac:dyDescent="0.35">
      <c r="A38" s="1" t="s">
        <v>2326</v>
      </c>
      <c r="B38" s="1" t="s">
        <v>2411</v>
      </c>
    </row>
    <row r="39" spans="1:2" ht="15.5" x14ac:dyDescent="0.35">
      <c r="A39" s="1" t="s">
        <v>2325</v>
      </c>
      <c r="B39" s="1" t="s">
        <v>2412</v>
      </c>
    </row>
    <row r="40" spans="1:2" ht="15.5" x14ac:dyDescent="0.35">
      <c r="A40" s="1" t="s">
        <v>2324</v>
      </c>
      <c r="B40" s="1" t="s">
        <v>2413</v>
      </c>
    </row>
    <row r="41" spans="1:2" ht="15.5" x14ac:dyDescent="0.35">
      <c r="A41" s="1" t="s">
        <v>2323</v>
      </c>
      <c r="B41" s="1" t="s">
        <v>2414</v>
      </c>
    </row>
    <row r="42" spans="1:2" ht="15.5" x14ac:dyDescent="0.35">
      <c r="A42" s="1" t="s">
        <v>2322</v>
      </c>
      <c r="B42" s="1" t="s">
        <v>2415</v>
      </c>
    </row>
    <row r="43" spans="1:2" ht="15.5" x14ac:dyDescent="0.35">
      <c r="A43" s="1" t="s">
        <v>2321</v>
      </c>
      <c r="B43" s="1" t="s">
        <v>2416</v>
      </c>
    </row>
    <row r="44" spans="1:2" ht="15.5" x14ac:dyDescent="0.35">
      <c r="A44" s="1" t="s">
        <v>2320</v>
      </c>
      <c r="B44" s="1" t="s">
        <v>2417</v>
      </c>
    </row>
    <row r="45" spans="1:2" ht="15.5" x14ac:dyDescent="0.35">
      <c r="A45" s="1" t="s">
        <v>2319</v>
      </c>
      <c r="B45" s="1" t="s">
        <v>2418</v>
      </c>
    </row>
    <row r="46" spans="1:2" ht="15.5" x14ac:dyDescent="0.35">
      <c r="A46" s="1" t="s">
        <v>2318</v>
      </c>
      <c r="B46" s="1" t="s">
        <v>2419</v>
      </c>
    </row>
    <row r="47" spans="1:2" ht="15.5" x14ac:dyDescent="0.35">
      <c r="A47" s="1" t="s">
        <v>2317</v>
      </c>
      <c r="B47" s="1" t="s">
        <v>2420</v>
      </c>
    </row>
    <row r="48" spans="1:2" ht="15.5" x14ac:dyDescent="0.35">
      <c r="A48" s="1" t="s">
        <v>2316</v>
      </c>
      <c r="B48" s="1" t="s">
        <v>2421</v>
      </c>
    </row>
    <row r="49" spans="1:2" ht="15.5" x14ac:dyDescent="0.35">
      <c r="A49" s="1" t="s">
        <v>2315</v>
      </c>
      <c r="B49" s="1" t="s">
        <v>2422</v>
      </c>
    </row>
    <row r="50" spans="1:2" ht="15.5" x14ac:dyDescent="0.35">
      <c r="A50" s="1" t="s">
        <v>2314</v>
      </c>
      <c r="B50" s="1" t="s">
        <v>2423</v>
      </c>
    </row>
    <row r="51" spans="1:2" ht="15.5" x14ac:dyDescent="0.35">
      <c r="A51" s="1" t="s">
        <v>2313</v>
      </c>
      <c r="B51" s="1" t="s">
        <v>2424</v>
      </c>
    </row>
    <row r="52" spans="1:2" ht="15.5" x14ac:dyDescent="0.35">
      <c r="A52" s="1" t="s">
        <v>2312</v>
      </c>
      <c r="B52" s="1" t="s">
        <v>2425</v>
      </c>
    </row>
    <row r="53" spans="1:2" ht="15.5" x14ac:dyDescent="0.35">
      <c r="A53" s="1" t="s">
        <v>2311</v>
      </c>
      <c r="B53" s="1" t="s">
        <v>2426</v>
      </c>
    </row>
    <row r="54" spans="1:2" ht="15.5" x14ac:dyDescent="0.35">
      <c r="A54" s="1" t="s">
        <v>2310</v>
      </c>
      <c r="B54" s="1" t="s">
        <v>2427</v>
      </c>
    </row>
    <row r="55" spans="1:2" ht="15.5" x14ac:dyDescent="0.35">
      <c r="A55" s="1" t="s">
        <v>2309</v>
      </c>
      <c r="B55" s="1" t="s">
        <v>2428</v>
      </c>
    </row>
    <row r="56" spans="1:2" ht="15.5" x14ac:dyDescent="0.35">
      <c r="A56" s="1" t="s">
        <v>2308</v>
      </c>
      <c r="B56" s="1" t="s">
        <v>2429</v>
      </c>
    </row>
    <row r="57" spans="1:2" ht="15.5" x14ac:dyDescent="0.35">
      <c r="A57" s="1" t="s">
        <v>2307</v>
      </c>
      <c r="B57" s="1" t="s">
        <v>2430</v>
      </c>
    </row>
    <row r="58" spans="1:2" ht="15.5" x14ac:dyDescent="0.35">
      <c r="A58" s="1" t="s">
        <v>2306</v>
      </c>
      <c r="B58" s="1" t="s">
        <v>2431</v>
      </c>
    </row>
    <row r="59" spans="1:2" ht="15.5" x14ac:dyDescent="0.35">
      <c r="A59" s="1" t="s">
        <v>2305</v>
      </c>
      <c r="B59" s="1" t="s">
        <v>2432</v>
      </c>
    </row>
    <row r="60" spans="1:2" ht="15.5" x14ac:dyDescent="0.35">
      <c r="A60" s="1" t="s">
        <v>2304</v>
      </c>
      <c r="B60" s="1" t="s">
        <v>2433</v>
      </c>
    </row>
    <row r="61" spans="1:2" ht="15.5" x14ac:dyDescent="0.35">
      <c r="A61" s="1" t="s">
        <v>2303</v>
      </c>
      <c r="B61" s="1" t="s">
        <v>2434</v>
      </c>
    </row>
    <row r="62" spans="1:2" ht="15.5" x14ac:dyDescent="0.35">
      <c r="A62" s="1" t="s">
        <v>2302</v>
      </c>
      <c r="B62" s="1" t="s">
        <v>2435</v>
      </c>
    </row>
    <row r="63" spans="1:2" ht="15.5" x14ac:dyDescent="0.35">
      <c r="A63" s="1" t="s">
        <v>2301</v>
      </c>
      <c r="B63" s="1" t="s">
        <v>2436</v>
      </c>
    </row>
    <row r="64" spans="1:2" ht="15.5" x14ac:dyDescent="0.35">
      <c r="A64" s="1" t="s">
        <v>2300</v>
      </c>
      <c r="B64" s="1" t="s">
        <v>2437</v>
      </c>
    </row>
    <row r="65" spans="1:2" ht="15.5" x14ac:dyDescent="0.35">
      <c r="A65" s="1" t="s">
        <v>2299</v>
      </c>
      <c r="B65" s="1" t="s">
        <v>2438</v>
      </c>
    </row>
    <row r="66" spans="1:2" ht="15.5" x14ac:dyDescent="0.35">
      <c r="A66" s="1" t="s">
        <v>2298</v>
      </c>
      <c r="B66" s="1" t="s">
        <v>2439</v>
      </c>
    </row>
    <row r="67" spans="1:2" ht="15.5" x14ac:dyDescent="0.35">
      <c r="A67" s="1" t="s">
        <v>2297</v>
      </c>
      <c r="B67" s="1" t="s">
        <v>2440</v>
      </c>
    </row>
    <row r="68" spans="1:2" ht="15.5" x14ac:dyDescent="0.35">
      <c r="A68" s="1" t="s">
        <v>2296</v>
      </c>
      <c r="B68" s="1" t="s">
        <v>2441</v>
      </c>
    </row>
    <row r="69" spans="1:2" ht="15.5" x14ac:dyDescent="0.35">
      <c r="A69" s="1" t="s">
        <v>2295</v>
      </c>
      <c r="B69" s="1" t="s">
        <v>2442</v>
      </c>
    </row>
    <row r="70" spans="1:2" ht="15.5" x14ac:dyDescent="0.35">
      <c r="A70" s="1" t="s">
        <v>2294</v>
      </c>
      <c r="B70" s="1" t="s">
        <v>2443</v>
      </c>
    </row>
    <row r="71" spans="1:2" ht="15.5" x14ac:dyDescent="0.35">
      <c r="A71" s="1" t="s">
        <v>2293</v>
      </c>
      <c r="B71" s="1" t="s">
        <v>2444</v>
      </c>
    </row>
    <row r="72" spans="1:2" ht="15.5" x14ac:dyDescent="0.35">
      <c r="A72" s="1" t="s">
        <v>2292</v>
      </c>
      <c r="B72" s="1" t="s">
        <v>2445</v>
      </c>
    </row>
    <row r="73" spans="1:2" ht="15.5" x14ac:dyDescent="0.35">
      <c r="A73" s="1" t="s">
        <v>2291</v>
      </c>
      <c r="B73" s="1" t="s">
        <v>2446</v>
      </c>
    </row>
    <row r="74" spans="1:2" ht="15.5" x14ac:dyDescent="0.35">
      <c r="A74" s="1" t="s">
        <v>2290</v>
      </c>
      <c r="B74" s="1" t="s">
        <v>2447</v>
      </c>
    </row>
    <row r="75" spans="1:2" ht="15.5" x14ac:dyDescent="0.35">
      <c r="A75" s="1" t="s">
        <v>2289</v>
      </c>
      <c r="B75" s="1" t="s">
        <v>2448</v>
      </c>
    </row>
    <row r="76" spans="1:2" ht="15.5" x14ac:dyDescent="0.35">
      <c r="A76" s="1" t="s">
        <v>2288</v>
      </c>
      <c r="B76" s="1" t="s">
        <v>2449</v>
      </c>
    </row>
    <row r="77" spans="1:2" ht="15.5" x14ac:dyDescent="0.35">
      <c r="A77" s="1" t="s">
        <v>2287</v>
      </c>
      <c r="B77" s="1" t="s">
        <v>2450</v>
      </c>
    </row>
    <row r="78" spans="1:2" ht="15.5" x14ac:dyDescent="0.35">
      <c r="A78" s="1" t="s">
        <v>2286</v>
      </c>
      <c r="B78" s="1" t="s">
        <v>2451</v>
      </c>
    </row>
    <row r="79" spans="1:2" ht="15.5" x14ac:dyDescent="0.35">
      <c r="A79" s="1" t="s">
        <v>2285</v>
      </c>
      <c r="B79" s="1" t="s">
        <v>2452</v>
      </c>
    </row>
    <row r="80" spans="1:2" ht="15.5" x14ac:dyDescent="0.35">
      <c r="A80" s="1" t="s">
        <v>2284</v>
      </c>
      <c r="B80" s="1" t="s">
        <v>2453</v>
      </c>
    </row>
    <row r="81" spans="1:2" ht="15.5" x14ac:dyDescent="0.35">
      <c r="A81" s="1" t="s">
        <v>2283</v>
      </c>
      <c r="B81" s="1" t="s">
        <v>2454</v>
      </c>
    </row>
    <row r="82" spans="1:2" ht="15.5" x14ac:dyDescent="0.35">
      <c r="A82" s="1" t="s">
        <v>2282</v>
      </c>
      <c r="B82" s="1" t="s">
        <v>2455</v>
      </c>
    </row>
    <row r="83" spans="1:2" ht="15.5" x14ac:dyDescent="0.35">
      <c r="A83" s="1" t="s">
        <v>2281</v>
      </c>
      <c r="B83" s="1" t="s">
        <v>2456</v>
      </c>
    </row>
    <row r="84" spans="1:2" ht="15.5" x14ac:dyDescent="0.35">
      <c r="A84" s="1" t="s">
        <v>2280</v>
      </c>
      <c r="B84" s="1" t="s">
        <v>2457</v>
      </c>
    </row>
    <row r="85" spans="1:2" ht="15.5" x14ac:dyDescent="0.35">
      <c r="A85" s="1" t="s">
        <v>2279</v>
      </c>
      <c r="B85" s="1" t="s">
        <v>2458</v>
      </c>
    </row>
    <row r="86" spans="1:2" ht="15.5" x14ac:dyDescent="0.35">
      <c r="A86" s="1" t="s">
        <v>2278</v>
      </c>
      <c r="B86" s="1" t="s">
        <v>2459</v>
      </c>
    </row>
    <row r="87" spans="1:2" ht="15.5" x14ac:dyDescent="0.35">
      <c r="A87" s="1" t="s">
        <v>2277</v>
      </c>
      <c r="B87" s="1" t="s">
        <v>2460</v>
      </c>
    </row>
    <row r="88" spans="1:2" ht="15.5" x14ac:dyDescent="0.35">
      <c r="A88" s="1" t="s">
        <v>2276</v>
      </c>
      <c r="B88" s="1" t="s">
        <v>2461</v>
      </c>
    </row>
    <row r="89" spans="1:2" ht="15.5" x14ac:dyDescent="0.35">
      <c r="A89" s="1" t="s">
        <v>2275</v>
      </c>
      <c r="B89" s="1" t="s">
        <v>2462</v>
      </c>
    </row>
    <row r="90" spans="1:2" ht="15.5" x14ac:dyDescent="0.35">
      <c r="A90" s="1" t="s">
        <v>2274</v>
      </c>
      <c r="B90" s="1" t="s">
        <v>2463</v>
      </c>
    </row>
    <row r="91" spans="1:2" ht="15.5" x14ac:dyDescent="0.35">
      <c r="A91" s="1" t="s">
        <v>2273</v>
      </c>
      <c r="B91" s="1" t="s">
        <v>2464</v>
      </c>
    </row>
    <row r="92" spans="1:2" ht="15.5" x14ac:dyDescent="0.35">
      <c r="A92" s="1" t="s">
        <v>2272</v>
      </c>
      <c r="B92" s="1" t="s">
        <v>2465</v>
      </c>
    </row>
    <row r="93" spans="1:2" ht="15.5" x14ac:dyDescent="0.35">
      <c r="A93" s="1" t="s">
        <v>2271</v>
      </c>
      <c r="B93" s="1" t="s">
        <v>2466</v>
      </c>
    </row>
    <row r="94" spans="1:2" ht="15.5" x14ac:dyDescent="0.35">
      <c r="A94" s="1" t="s">
        <v>2270</v>
      </c>
      <c r="B94" s="1" t="s">
        <v>2467</v>
      </c>
    </row>
    <row r="95" spans="1:2" ht="15.5" x14ac:dyDescent="0.35">
      <c r="A95" s="1" t="s">
        <v>2269</v>
      </c>
      <c r="B95" s="1" t="s">
        <v>2468</v>
      </c>
    </row>
    <row r="96" spans="1:2" ht="15.5" x14ac:dyDescent="0.35">
      <c r="A96" s="1" t="s">
        <v>2268</v>
      </c>
      <c r="B96" s="1" t="s">
        <v>2469</v>
      </c>
    </row>
    <row r="97" spans="1:2" ht="15.5" x14ac:dyDescent="0.35">
      <c r="A97" s="1" t="s">
        <v>2267</v>
      </c>
      <c r="B97" s="1" t="s">
        <v>2470</v>
      </c>
    </row>
    <row r="98" spans="1:2" ht="15.5" x14ac:dyDescent="0.35">
      <c r="A98" s="1" t="s">
        <v>2266</v>
      </c>
      <c r="B98" s="1" t="s">
        <v>2471</v>
      </c>
    </row>
    <row r="99" spans="1:2" ht="15.5" x14ac:dyDescent="0.35">
      <c r="A99" s="1" t="s">
        <v>2265</v>
      </c>
      <c r="B99" s="1" t="s">
        <v>2472</v>
      </c>
    </row>
    <row r="100" spans="1:2" ht="15.5" x14ac:dyDescent="0.35">
      <c r="A100" s="1" t="s">
        <v>2264</v>
      </c>
      <c r="B100" s="1" t="s">
        <v>2473</v>
      </c>
    </row>
    <row r="101" spans="1:2" ht="15.5" x14ac:dyDescent="0.35">
      <c r="A101" s="1" t="s">
        <v>2263</v>
      </c>
      <c r="B101" s="1" t="s">
        <v>2474</v>
      </c>
    </row>
    <row r="102" spans="1:2" ht="15.5" x14ac:dyDescent="0.35">
      <c r="A102" s="1" t="s">
        <v>2262</v>
      </c>
      <c r="B102" s="1" t="s">
        <v>2475</v>
      </c>
    </row>
    <row r="103" spans="1:2" ht="15.5" x14ac:dyDescent="0.35">
      <c r="A103" s="1" t="s">
        <v>2261</v>
      </c>
      <c r="B103" s="1" t="s">
        <v>2476</v>
      </c>
    </row>
    <row r="104" spans="1:2" ht="15.5" x14ac:dyDescent="0.35">
      <c r="A104" s="1" t="s">
        <v>2260</v>
      </c>
      <c r="B104" s="1" t="s">
        <v>2477</v>
      </c>
    </row>
    <row r="105" spans="1:2" ht="15.5" x14ac:dyDescent="0.35">
      <c r="A105" s="1" t="s">
        <v>2259</v>
      </c>
      <c r="B105" s="1" t="s">
        <v>2478</v>
      </c>
    </row>
    <row r="106" spans="1:2" ht="15.5" x14ac:dyDescent="0.35">
      <c r="A106" s="1" t="s">
        <v>2258</v>
      </c>
      <c r="B106" s="1" t="s">
        <v>2479</v>
      </c>
    </row>
    <row r="107" spans="1:2" ht="15.5" x14ac:dyDescent="0.35">
      <c r="A107" s="1" t="s">
        <v>2257</v>
      </c>
      <c r="B107" s="1" t="s">
        <v>2480</v>
      </c>
    </row>
    <row r="108" spans="1:2" ht="15.5" x14ac:dyDescent="0.35">
      <c r="A108" s="1" t="s">
        <v>2256</v>
      </c>
      <c r="B108" s="1" t="s">
        <v>2481</v>
      </c>
    </row>
    <row r="109" spans="1:2" ht="15.5" x14ac:dyDescent="0.35">
      <c r="A109" s="1" t="s">
        <v>2255</v>
      </c>
      <c r="B109" s="1" t="s">
        <v>2482</v>
      </c>
    </row>
    <row r="110" spans="1:2" ht="15.5" x14ac:dyDescent="0.35">
      <c r="A110" s="1" t="s">
        <v>2254</v>
      </c>
      <c r="B110" s="1" t="s">
        <v>2483</v>
      </c>
    </row>
    <row r="111" spans="1:2" ht="15.5" x14ac:dyDescent="0.35">
      <c r="A111" s="1" t="s">
        <v>2253</v>
      </c>
      <c r="B111" s="1" t="s">
        <v>2484</v>
      </c>
    </row>
    <row r="112" spans="1:2" ht="15.5" x14ac:dyDescent="0.35">
      <c r="A112" s="1" t="s">
        <v>2252</v>
      </c>
      <c r="B112" s="1" t="s">
        <v>2485</v>
      </c>
    </row>
    <row r="113" spans="1:2" ht="15.5" x14ac:dyDescent="0.35">
      <c r="A113" s="1" t="s">
        <v>2251</v>
      </c>
      <c r="B113" s="1" t="s">
        <v>2486</v>
      </c>
    </row>
    <row r="114" spans="1:2" ht="15.5" x14ac:dyDescent="0.35">
      <c r="A114" s="1" t="s">
        <v>2250</v>
      </c>
      <c r="B114" s="1" t="s">
        <v>2487</v>
      </c>
    </row>
    <row r="115" spans="1:2" ht="15.5" x14ac:dyDescent="0.35">
      <c r="A115" s="1" t="s">
        <v>2249</v>
      </c>
      <c r="B115" s="1" t="s">
        <v>2488</v>
      </c>
    </row>
    <row r="116" spans="1:2" ht="15.5" x14ac:dyDescent="0.35">
      <c r="A116" s="1" t="s">
        <v>2248</v>
      </c>
      <c r="B116" s="1" t="s">
        <v>2489</v>
      </c>
    </row>
    <row r="117" spans="1:2" ht="15.5" x14ac:dyDescent="0.35">
      <c r="A117" s="1" t="s">
        <v>2247</v>
      </c>
      <c r="B117" s="1" t="s">
        <v>2490</v>
      </c>
    </row>
    <row r="118" spans="1:2" ht="15.5" x14ac:dyDescent="0.35">
      <c r="A118" s="1" t="s">
        <v>2246</v>
      </c>
      <c r="B118" s="1" t="s">
        <v>2491</v>
      </c>
    </row>
    <row r="119" spans="1:2" ht="15.5" x14ac:dyDescent="0.35">
      <c r="A119" s="1" t="s">
        <v>2245</v>
      </c>
      <c r="B119" s="1" t="s">
        <v>2492</v>
      </c>
    </row>
    <row r="120" spans="1:2" ht="15.5" x14ac:dyDescent="0.35">
      <c r="A120" s="1" t="s">
        <v>2244</v>
      </c>
      <c r="B120" s="1" t="s">
        <v>2493</v>
      </c>
    </row>
    <row r="121" spans="1:2" ht="15.5" x14ac:dyDescent="0.35">
      <c r="A121" s="1" t="s">
        <v>2243</v>
      </c>
      <c r="B121" s="1" t="s">
        <v>2494</v>
      </c>
    </row>
    <row r="122" spans="1:2" ht="15.5" x14ac:dyDescent="0.35">
      <c r="A122" s="1" t="s">
        <v>2242</v>
      </c>
      <c r="B122" s="1" t="s">
        <v>2495</v>
      </c>
    </row>
    <row r="123" spans="1:2" ht="15.5" x14ac:dyDescent="0.35">
      <c r="A123" s="1" t="s">
        <v>2241</v>
      </c>
      <c r="B123" s="1" t="s">
        <v>2496</v>
      </c>
    </row>
    <row r="124" spans="1:2" ht="15.5" x14ac:dyDescent="0.35">
      <c r="A124" s="1" t="s">
        <v>2240</v>
      </c>
      <c r="B124" s="1" t="s">
        <v>2497</v>
      </c>
    </row>
    <row r="125" spans="1:2" ht="15.5" x14ac:dyDescent="0.35">
      <c r="A125" s="1" t="s">
        <v>2239</v>
      </c>
      <c r="B125" s="1" t="s">
        <v>2498</v>
      </c>
    </row>
    <row r="126" spans="1:2" ht="15.5" x14ac:dyDescent="0.35">
      <c r="A126" s="1" t="s">
        <v>2238</v>
      </c>
      <c r="B126" s="1" t="s">
        <v>2499</v>
      </c>
    </row>
    <row r="127" spans="1:2" ht="15.5" x14ac:dyDescent="0.35">
      <c r="A127" s="1" t="s">
        <v>2237</v>
      </c>
      <c r="B127" s="1" t="s">
        <v>2500</v>
      </c>
    </row>
    <row r="128" spans="1:2" ht="15.5" x14ac:dyDescent="0.35">
      <c r="A128" s="1" t="s">
        <v>2236</v>
      </c>
      <c r="B128" s="1" t="s">
        <v>2501</v>
      </c>
    </row>
    <row r="129" spans="1:2" ht="15.5" x14ac:dyDescent="0.35">
      <c r="A129" s="1" t="s">
        <v>2235</v>
      </c>
      <c r="B129" s="1" t="s">
        <v>2502</v>
      </c>
    </row>
    <row r="130" spans="1:2" ht="15.5" x14ac:dyDescent="0.35">
      <c r="A130" s="1" t="s">
        <v>2234</v>
      </c>
      <c r="B130" s="1" t="s">
        <v>2503</v>
      </c>
    </row>
    <row r="131" spans="1:2" ht="15.5" x14ac:dyDescent="0.35">
      <c r="A131" s="1" t="s">
        <v>2233</v>
      </c>
      <c r="B131" s="1" t="s">
        <v>2504</v>
      </c>
    </row>
    <row r="132" spans="1:2" ht="15.5" x14ac:dyDescent="0.35">
      <c r="A132" s="1" t="s">
        <v>2232</v>
      </c>
      <c r="B132" s="1" t="s">
        <v>2505</v>
      </c>
    </row>
    <row r="133" spans="1:2" ht="15.5" x14ac:dyDescent="0.35">
      <c r="A133" s="1" t="s">
        <v>2231</v>
      </c>
      <c r="B133" s="1" t="s">
        <v>2506</v>
      </c>
    </row>
    <row r="134" spans="1:2" ht="15.5" x14ac:dyDescent="0.35">
      <c r="A134" s="1" t="s">
        <v>2230</v>
      </c>
      <c r="B134" s="1" t="s">
        <v>2507</v>
      </c>
    </row>
    <row r="135" spans="1:2" ht="15.5" x14ac:dyDescent="0.35">
      <c r="A135" s="1" t="s">
        <v>2229</v>
      </c>
      <c r="B135" s="1" t="s">
        <v>2508</v>
      </c>
    </row>
    <row r="136" spans="1:2" ht="15.5" x14ac:dyDescent="0.35">
      <c r="A136" s="1" t="s">
        <v>2228</v>
      </c>
      <c r="B136" s="1" t="s">
        <v>2509</v>
      </c>
    </row>
    <row r="137" spans="1:2" ht="15.5" x14ac:dyDescent="0.35">
      <c r="A137" s="1" t="s">
        <v>2227</v>
      </c>
      <c r="B137" s="1" t="s">
        <v>2510</v>
      </c>
    </row>
    <row r="138" spans="1:2" ht="15.5" x14ac:dyDescent="0.35">
      <c r="A138" s="1" t="s">
        <v>2226</v>
      </c>
      <c r="B138" s="1" t="s">
        <v>2511</v>
      </c>
    </row>
    <row r="139" spans="1:2" ht="15.5" x14ac:dyDescent="0.35">
      <c r="A139" s="1" t="s">
        <v>2225</v>
      </c>
      <c r="B139" s="1" t="s">
        <v>2512</v>
      </c>
    </row>
    <row r="140" spans="1:2" ht="15.5" x14ac:dyDescent="0.35">
      <c r="A140" s="1" t="s">
        <v>2224</v>
      </c>
      <c r="B140" s="1" t="s">
        <v>2513</v>
      </c>
    </row>
    <row r="141" spans="1:2" ht="15.5" x14ac:dyDescent="0.35">
      <c r="A141" s="1" t="s">
        <v>2223</v>
      </c>
      <c r="B141" s="1" t="s">
        <v>2514</v>
      </c>
    </row>
    <row r="142" spans="1:2" ht="15.5" x14ac:dyDescent="0.35">
      <c r="A142" s="1" t="s">
        <v>2222</v>
      </c>
      <c r="B142" s="1" t="s">
        <v>2515</v>
      </c>
    </row>
    <row r="143" spans="1:2" ht="15.5" x14ac:dyDescent="0.35">
      <c r="A143" s="1" t="s">
        <v>2221</v>
      </c>
      <c r="B143" s="1" t="s">
        <v>2516</v>
      </c>
    </row>
    <row r="144" spans="1:2" ht="15.5" x14ac:dyDescent="0.35">
      <c r="A144" s="1" t="s">
        <v>2220</v>
      </c>
      <c r="B144" s="1" t="s">
        <v>2517</v>
      </c>
    </row>
    <row r="145" spans="1:2" ht="15.5" x14ac:dyDescent="0.35">
      <c r="A145" s="1" t="s">
        <v>2219</v>
      </c>
      <c r="B145" s="1" t="s">
        <v>2518</v>
      </c>
    </row>
    <row r="146" spans="1:2" ht="15.5" x14ac:dyDescent="0.35">
      <c r="A146" s="1" t="s">
        <v>2218</v>
      </c>
      <c r="B146" s="1" t="s">
        <v>2519</v>
      </c>
    </row>
    <row r="147" spans="1:2" ht="15.5" x14ac:dyDescent="0.35">
      <c r="A147" s="1" t="s">
        <v>2217</v>
      </c>
      <c r="B147" s="1" t="s">
        <v>2520</v>
      </c>
    </row>
    <row r="148" spans="1:2" ht="15.5" x14ac:dyDescent="0.35">
      <c r="A148" s="1" t="s">
        <v>2216</v>
      </c>
      <c r="B148" s="1" t="s">
        <v>2521</v>
      </c>
    </row>
    <row r="149" spans="1:2" ht="15.5" x14ac:dyDescent="0.35">
      <c r="A149" s="1" t="s">
        <v>2215</v>
      </c>
      <c r="B149" s="1" t="s">
        <v>2522</v>
      </c>
    </row>
    <row r="150" spans="1:2" ht="15.5" x14ac:dyDescent="0.35">
      <c r="A150" s="1" t="s">
        <v>2214</v>
      </c>
      <c r="B150" s="1" t="s">
        <v>2523</v>
      </c>
    </row>
    <row r="151" spans="1:2" ht="15.5" x14ac:dyDescent="0.35">
      <c r="A151" s="1" t="s">
        <v>2213</v>
      </c>
      <c r="B151" s="1" t="s">
        <v>2524</v>
      </c>
    </row>
    <row r="152" spans="1:2" ht="15.5" x14ac:dyDescent="0.35">
      <c r="A152" s="1" t="s">
        <v>2212</v>
      </c>
      <c r="B152" s="1" t="s">
        <v>2525</v>
      </c>
    </row>
    <row r="153" spans="1:2" ht="15.5" x14ac:dyDescent="0.35">
      <c r="A153" s="1" t="s">
        <v>2211</v>
      </c>
      <c r="B153" s="1" t="s">
        <v>2526</v>
      </c>
    </row>
    <row r="154" spans="1:2" ht="15.5" x14ac:dyDescent="0.35">
      <c r="A154" s="1" t="s">
        <v>2210</v>
      </c>
      <c r="B154" s="1" t="s">
        <v>2527</v>
      </c>
    </row>
    <row r="155" spans="1:2" ht="15.5" x14ac:dyDescent="0.35">
      <c r="A155" s="1" t="s">
        <v>2209</v>
      </c>
      <c r="B155" s="1" t="s">
        <v>2528</v>
      </c>
    </row>
    <row r="156" spans="1:2" ht="15.5" x14ac:dyDescent="0.35">
      <c r="A156" s="1" t="s">
        <v>2208</v>
      </c>
      <c r="B156" s="1" t="s">
        <v>2529</v>
      </c>
    </row>
    <row r="157" spans="1:2" ht="15.5" x14ac:dyDescent="0.35">
      <c r="A157" s="1" t="s">
        <v>2207</v>
      </c>
      <c r="B157" s="1" t="s">
        <v>2530</v>
      </c>
    </row>
    <row r="158" spans="1:2" ht="15.5" x14ac:dyDescent="0.35">
      <c r="A158" s="1" t="s">
        <v>2206</v>
      </c>
      <c r="B158" s="1" t="s">
        <v>2531</v>
      </c>
    </row>
    <row r="159" spans="1:2" ht="15.5" x14ac:dyDescent="0.35">
      <c r="A159" s="1" t="s">
        <v>2205</v>
      </c>
      <c r="B159" s="1" t="s">
        <v>2532</v>
      </c>
    </row>
    <row r="160" spans="1:2" ht="15.5" x14ac:dyDescent="0.35">
      <c r="A160" s="1" t="s">
        <v>2204</v>
      </c>
      <c r="B160" s="1" t="s">
        <v>2533</v>
      </c>
    </row>
    <row r="161" spans="1:2" ht="15.5" x14ac:dyDescent="0.35">
      <c r="A161" s="1" t="s">
        <v>2203</v>
      </c>
      <c r="B161" s="1" t="s">
        <v>2534</v>
      </c>
    </row>
    <row r="162" spans="1:2" ht="15.5" x14ac:dyDescent="0.35">
      <c r="A162" s="1" t="s">
        <v>2202</v>
      </c>
      <c r="B162" s="1" t="s">
        <v>2535</v>
      </c>
    </row>
    <row r="163" spans="1:2" ht="15.5" x14ac:dyDescent="0.35">
      <c r="A163" s="1" t="s">
        <v>2201</v>
      </c>
      <c r="B163" s="1" t="s">
        <v>2536</v>
      </c>
    </row>
    <row r="164" spans="1:2" ht="15.5" x14ac:dyDescent="0.35">
      <c r="A164" s="1" t="s">
        <v>2200</v>
      </c>
      <c r="B164" s="1" t="s">
        <v>2537</v>
      </c>
    </row>
    <row r="165" spans="1:2" ht="15.5" x14ac:dyDescent="0.35">
      <c r="A165" s="1" t="s">
        <v>2199</v>
      </c>
      <c r="B165" s="1" t="s">
        <v>2538</v>
      </c>
    </row>
    <row r="166" spans="1:2" ht="15.5" x14ac:dyDescent="0.35">
      <c r="A166" s="1" t="s">
        <v>2198</v>
      </c>
      <c r="B166" s="1" t="s">
        <v>2539</v>
      </c>
    </row>
    <row r="167" spans="1:2" ht="15.5" x14ac:dyDescent="0.35">
      <c r="A167" s="1" t="s">
        <v>2197</v>
      </c>
      <c r="B167" s="1" t="s">
        <v>2540</v>
      </c>
    </row>
    <row r="168" spans="1:2" ht="15.5" x14ac:dyDescent="0.35">
      <c r="A168" s="1" t="s">
        <v>2196</v>
      </c>
      <c r="B168" s="1" t="s">
        <v>2541</v>
      </c>
    </row>
    <row r="169" spans="1:2" ht="15.5" x14ac:dyDescent="0.35">
      <c r="A169" s="1" t="s">
        <v>2195</v>
      </c>
      <c r="B169" s="1" t="s">
        <v>2542</v>
      </c>
    </row>
    <row r="170" spans="1:2" ht="15.5" x14ac:dyDescent="0.35">
      <c r="A170" s="1" t="s">
        <v>2194</v>
      </c>
      <c r="B170" s="1" t="s">
        <v>2543</v>
      </c>
    </row>
    <row r="171" spans="1:2" ht="15.5" x14ac:dyDescent="0.35">
      <c r="A171" s="1" t="s">
        <v>2193</v>
      </c>
      <c r="B171" s="1" t="s">
        <v>2544</v>
      </c>
    </row>
    <row r="172" spans="1:2" ht="15.5" x14ac:dyDescent="0.35">
      <c r="A172" s="1" t="s">
        <v>2192</v>
      </c>
      <c r="B172" s="1" t="s">
        <v>2545</v>
      </c>
    </row>
    <row r="173" spans="1:2" ht="15.5" x14ac:dyDescent="0.35">
      <c r="A173" s="1" t="s">
        <v>2191</v>
      </c>
      <c r="B173" s="1" t="s">
        <v>2546</v>
      </c>
    </row>
    <row r="174" spans="1:2" ht="15.5" x14ac:dyDescent="0.35">
      <c r="A174" s="1" t="s">
        <v>2190</v>
      </c>
      <c r="B174" s="1" t="s">
        <v>2547</v>
      </c>
    </row>
    <row r="175" spans="1:2" ht="15.5" x14ac:dyDescent="0.35">
      <c r="A175" s="1" t="s">
        <v>2189</v>
      </c>
      <c r="B175" s="1" t="s">
        <v>2548</v>
      </c>
    </row>
    <row r="176" spans="1:2" ht="15.5" x14ac:dyDescent="0.35">
      <c r="A176" s="1" t="s">
        <v>2188</v>
      </c>
      <c r="B176" s="1" t="s">
        <v>2549</v>
      </c>
    </row>
    <row r="177" spans="1:2" ht="15.5" x14ac:dyDescent="0.35">
      <c r="A177" s="1" t="s">
        <v>2187</v>
      </c>
      <c r="B177" s="1" t="s">
        <v>2550</v>
      </c>
    </row>
    <row r="178" spans="1:2" ht="15.5" x14ac:dyDescent="0.35">
      <c r="A178" s="1" t="s">
        <v>2186</v>
      </c>
      <c r="B178" s="1" t="s">
        <v>2551</v>
      </c>
    </row>
    <row r="179" spans="1:2" ht="15.5" x14ac:dyDescent="0.35">
      <c r="A179" s="1" t="s">
        <v>2185</v>
      </c>
      <c r="B179" s="1" t="s">
        <v>2552</v>
      </c>
    </row>
    <row r="180" spans="1:2" ht="15.5" x14ac:dyDescent="0.35">
      <c r="A180" s="1" t="s">
        <v>2184</v>
      </c>
      <c r="B180" s="1" t="s">
        <v>2553</v>
      </c>
    </row>
    <row r="181" spans="1:2" ht="15.5" x14ac:dyDescent="0.35">
      <c r="A181" s="1" t="s">
        <v>2183</v>
      </c>
      <c r="B181" s="1" t="s">
        <v>2554</v>
      </c>
    </row>
    <row r="182" spans="1:2" ht="15.5" x14ac:dyDescent="0.35">
      <c r="A182" s="1" t="s">
        <v>2182</v>
      </c>
      <c r="B182" s="1" t="s">
        <v>2555</v>
      </c>
    </row>
    <row r="183" spans="1:2" ht="15.5" x14ac:dyDescent="0.35">
      <c r="A183" s="1" t="s">
        <v>2181</v>
      </c>
      <c r="B183" s="1" t="s">
        <v>2556</v>
      </c>
    </row>
    <row r="184" spans="1:2" ht="15.5" x14ac:dyDescent="0.35">
      <c r="A184" s="1" t="s">
        <v>2180</v>
      </c>
      <c r="B184" s="1" t="s">
        <v>2557</v>
      </c>
    </row>
    <row r="185" spans="1:2" ht="15.5" x14ac:dyDescent="0.35">
      <c r="A185" s="1" t="s">
        <v>2179</v>
      </c>
      <c r="B185" s="1" t="s">
        <v>2558</v>
      </c>
    </row>
    <row r="186" spans="1:2" ht="15.5" x14ac:dyDescent="0.35">
      <c r="A186" s="1" t="s">
        <v>2178</v>
      </c>
      <c r="B186" s="1" t="s">
        <v>2559</v>
      </c>
    </row>
    <row r="187" spans="1:2" ht="15.5" x14ac:dyDescent="0.35">
      <c r="A187" s="1" t="s">
        <v>2177</v>
      </c>
      <c r="B187" s="1" t="s">
        <v>2560</v>
      </c>
    </row>
    <row r="188" spans="1:2" ht="15.5" x14ac:dyDescent="0.35">
      <c r="A188" s="1" t="s">
        <v>2176</v>
      </c>
      <c r="B188" s="1" t="s">
        <v>2561</v>
      </c>
    </row>
    <row r="189" spans="1:2" ht="15.5" x14ac:dyDescent="0.35">
      <c r="A189" s="1" t="s">
        <v>2175</v>
      </c>
      <c r="B189" s="1" t="s">
        <v>2562</v>
      </c>
    </row>
    <row r="190" spans="1:2" ht="15.5" x14ac:dyDescent="0.35">
      <c r="A190" s="1" t="s">
        <v>2174</v>
      </c>
      <c r="B190" s="1" t="s">
        <v>2563</v>
      </c>
    </row>
    <row r="191" spans="1:2" ht="15.5" x14ac:dyDescent="0.35">
      <c r="A191" s="1" t="s">
        <v>2173</v>
      </c>
      <c r="B191" s="1" t="s">
        <v>2564</v>
      </c>
    </row>
    <row r="192" spans="1:2" ht="15.5" x14ac:dyDescent="0.35">
      <c r="A192" s="1" t="s">
        <v>2172</v>
      </c>
      <c r="B192" s="1" t="s">
        <v>2565</v>
      </c>
    </row>
    <row r="193" spans="1:2" ht="15.5" x14ac:dyDescent="0.35">
      <c r="A193" s="1" t="s">
        <v>2171</v>
      </c>
      <c r="B193" s="1" t="s">
        <v>2566</v>
      </c>
    </row>
    <row r="194" spans="1:2" ht="15.5" x14ac:dyDescent="0.35">
      <c r="A194" s="1" t="s">
        <v>2170</v>
      </c>
      <c r="B194" s="1" t="s">
        <v>2567</v>
      </c>
    </row>
    <row r="195" spans="1:2" ht="15.5" x14ac:dyDescent="0.35">
      <c r="A195" s="1" t="s">
        <v>2169</v>
      </c>
      <c r="B195" s="1" t="s">
        <v>2568</v>
      </c>
    </row>
    <row r="196" spans="1:2" ht="15.5" x14ac:dyDescent="0.35">
      <c r="A196" s="1" t="s">
        <v>2168</v>
      </c>
      <c r="B196" s="1" t="s">
        <v>2569</v>
      </c>
    </row>
    <row r="197" spans="1:2" ht="15.5" x14ac:dyDescent="0.35">
      <c r="A197" s="1" t="s">
        <v>2167</v>
      </c>
      <c r="B197" s="1" t="s">
        <v>2570</v>
      </c>
    </row>
    <row r="198" spans="1:2" ht="15.5" x14ac:dyDescent="0.35">
      <c r="A198" s="1" t="s">
        <v>2166</v>
      </c>
      <c r="B198" s="1" t="s">
        <v>2571</v>
      </c>
    </row>
    <row r="199" spans="1:2" ht="15.5" x14ac:dyDescent="0.35">
      <c r="A199" s="1" t="s">
        <v>2165</v>
      </c>
      <c r="B199" s="1" t="s">
        <v>2572</v>
      </c>
    </row>
    <row r="200" spans="1:2" ht="15.5" x14ac:dyDescent="0.35">
      <c r="A200" s="1" t="s">
        <v>2164</v>
      </c>
      <c r="B200" s="1" t="s">
        <v>2573</v>
      </c>
    </row>
    <row r="201" spans="1:2" ht="15.5" x14ac:dyDescent="0.35">
      <c r="A201" s="1" t="s">
        <v>2163</v>
      </c>
      <c r="B201" s="1" t="s">
        <v>2574</v>
      </c>
    </row>
    <row r="202" spans="1:2" ht="15.5" x14ac:dyDescent="0.35">
      <c r="A202" s="1" t="s">
        <v>2162</v>
      </c>
      <c r="B202" s="1" t="s">
        <v>2575</v>
      </c>
    </row>
    <row r="203" spans="1:2" ht="15.5" x14ac:dyDescent="0.35">
      <c r="A203" s="1" t="s">
        <v>2161</v>
      </c>
      <c r="B203" s="1" t="s">
        <v>2576</v>
      </c>
    </row>
    <row r="204" spans="1:2" ht="15.5" x14ac:dyDescent="0.35">
      <c r="A204" s="1" t="s">
        <v>2160</v>
      </c>
      <c r="B204" s="1" t="s">
        <v>2577</v>
      </c>
    </row>
    <row r="205" spans="1:2" ht="15.5" x14ac:dyDescent="0.35">
      <c r="A205" s="1" t="s">
        <v>2159</v>
      </c>
      <c r="B205" s="1" t="s">
        <v>2578</v>
      </c>
    </row>
    <row r="206" spans="1:2" ht="15.5" x14ac:dyDescent="0.35">
      <c r="A206" s="1" t="s">
        <v>2158</v>
      </c>
      <c r="B206" s="1" t="s">
        <v>2579</v>
      </c>
    </row>
    <row r="207" spans="1:2" ht="15.5" x14ac:dyDescent="0.35">
      <c r="A207" s="1" t="s">
        <v>2157</v>
      </c>
      <c r="B207" s="1" t="s">
        <v>2580</v>
      </c>
    </row>
    <row r="208" spans="1:2" ht="15.5" x14ac:dyDescent="0.35">
      <c r="A208" s="1" t="s">
        <v>2156</v>
      </c>
      <c r="B208" s="1" t="s">
        <v>2581</v>
      </c>
    </row>
    <row r="209" spans="1:2" ht="15.5" x14ac:dyDescent="0.35">
      <c r="A209" s="1" t="s">
        <v>2155</v>
      </c>
      <c r="B209" s="1" t="s">
        <v>2582</v>
      </c>
    </row>
    <row r="210" spans="1:2" ht="15.5" x14ac:dyDescent="0.35">
      <c r="A210" s="1" t="s">
        <v>2154</v>
      </c>
      <c r="B210" s="1" t="s">
        <v>2583</v>
      </c>
    </row>
    <row r="211" spans="1:2" ht="15.5" x14ac:dyDescent="0.35">
      <c r="A211" s="1" t="s">
        <v>2153</v>
      </c>
      <c r="B211" s="1" t="s">
        <v>2584</v>
      </c>
    </row>
    <row r="212" spans="1:2" ht="15.5" x14ac:dyDescent="0.35">
      <c r="A212" s="1" t="s">
        <v>2152</v>
      </c>
      <c r="B212" s="1" t="s">
        <v>2585</v>
      </c>
    </row>
    <row r="213" spans="1:2" ht="15.5" x14ac:dyDescent="0.35">
      <c r="A213" s="1" t="s">
        <v>2151</v>
      </c>
      <c r="B213" s="1" t="s">
        <v>2586</v>
      </c>
    </row>
    <row r="214" spans="1:2" ht="15.5" x14ac:dyDescent="0.35">
      <c r="A214" s="1" t="s">
        <v>2150</v>
      </c>
      <c r="B214" s="1" t="s">
        <v>2587</v>
      </c>
    </row>
    <row r="215" spans="1:2" ht="15.5" x14ac:dyDescent="0.35">
      <c r="A215" s="1" t="s">
        <v>2149</v>
      </c>
      <c r="B215" s="1" t="s">
        <v>2588</v>
      </c>
    </row>
    <row r="216" spans="1:2" ht="15.5" x14ac:dyDescent="0.35">
      <c r="A216" s="1" t="s">
        <v>2148</v>
      </c>
      <c r="B216" s="1" t="s">
        <v>2589</v>
      </c>
    </row>
    <row r="217" spans="1:2" ht="15.5" x14ac:dyDescent="0.35">
      <c r="A217" s="1" t="s">
        <v>2147</v>
      </c>
      <c r="B217" s="1" t="s">
        <v>2590</v>
      </c>
    </row>
    <row r="218" spans="1:2" ht="15.5" x14ac:dyDescent="0.35">
      <c r="A218" s="1" t="s">
        <v>2146</v>
      </c>
      <c r="B218" s="1" t="s">
        <v>2591</v>
      </c>
    </row>
    <row r="219" spans="1:2" ht="15.5" x14ac:dyDescent="0.35">
      <c r="A219" s="1" t="s">
        <v>2145</v>
      </c>
      <c r="B219" s="1" t="s">
        <v>2592</v>
      </c>
    </row>
    <row r="220" spans="1:2" ht="15.5" x14ac:dyDescent="0.35">
      <c r="A220" s="1" t="s">
        <v>2144</v>
      </c>
      <c r="B220" s="1" t="s">
        <v>2593</v>
      </c>
    </row>
    <row r="221" spans="1:2" ht="15.5" x14ac:dyDescent="0.35">
      <c r="A221" s="1" t="s">
        <v>2143</v>
      </c>
      <c r="B221" s="1" t="s">
        <v>2594</v>
      </c>
    </row>
    <row r="222" spans="1:2" ht="15.5" x14ac:dyDescent="0.35">
      <c r="A222" s="1" t="s">
        <v>2142</v>
      </c>
      <c r="B222" s="1" t="s">
        <v>2595</v>
      </c>
    </row>
    <row r="223" spans="1:2" ht="15.5" x14ac:dyDescent="0.35">
      <c r="A223" s="1" t="s">
        <v>2141</v>
      </c>
      <c r="B223" s="1" t="s">
        <v>2596</v>
      </c>
    </row>
    <row r="224" spans="1:2" ht="15.5" x14ac:dyDescent="0.35">
      <c r="A224" s="1" t="s">
        <v>2140</v>
      </c>
      <c r="B224" s="1" t="s">
        <v>2597</v>
      </c>
    </row>
    <row r="225" spans="1:2" ht="15.5" x14ac:dyDescent="0.35">
      <c r="A225" s="1" t="s">
        <v>2139</v>
      </c>
      <c r="B225" s="1" t="s">
        <v>2598</v>
      </c>
    </row>
    <row r="226" spans="1:2" ht="15.5" x14ac:dyDescent="0.35">
      <c r="A226" s="1" t="s">
        <v>2138</v>
      </c>
      <c r="B226" s="1" t="s">
        <v>2599</v>
      </c>
    </row>
    <row r="227" spans="1:2" ht="15.5" x14ac:dyDescent="0.35">
      <c r="A227" s="1" t="s">
        <v>2137</v>
      </c>
      <c r="B227" s="1" t="s">
        <v>2600</v>
      </c>
    </row>
    <row r="228" spans="1:2" ht="15.5" x14ac:dyDescent="0.35">
      <c r="A228" s="1" t="s">
        <v>2136</v>
      </c>
      <c r="B228" s="1" t="s">
        <v>2601</v>
      </c>
    </row>
    <row r="229" spans="1:2" ht="15.5" x14ac:dyDescent="0.35">
      <c r="A229" s="1" t="s">
        <v>2135</v>
      </c>
      <c r="B229" s="1" t="s">
        <v>2602</v>
      </c>
    </row>
    <row r="230" spans="1:2" ht="15.5" x14ac:dyDescent="0.35">
      <c r="A230" s="1" t="s">
        <v>2134</v>
      </c>
      <c r="B230" s="1" t="s">
        <v>2603</v>
      </c>
    </row>
    <row r="231" spans="1:2" ht="15.5" x14ac:dyDescent="0.35">
      <c r="A231" s="1" t="s">
        <v>2133</v>
      </c>
      <c r="B231" s="1" t="s">
        <v>2604</v>
      </c>
    </row>
    <row r="232" spans="1:2" ht="15.5" x14ac:dyDescent="0.35">
      <c r="A232" s="1" t="s">
        <v>2132</v>
      </c>
      <c r="B232" s="1" t="s">
        <v>2605</v>
      </c>
    </row>
    <row r="233" spans="1:2" ht="15.5" x14ac:dyDescent="0.35">
      <c r="A233" s="1" t="s">
        <v>2131</v>
      </c>
      <c r="B233" s="1" t="s">
        <v>2606</v>
      </c>
    </row>
    <row r="234" spans="1:2" ht="15.5" x14ac:dyDescent="0.35">
      <c r="A234" s="1" t="s">
        <v>2130</v>
      </c>
      <c r="B234" s="1" t="s">
        <v>2607</v>
      </c>
    </row>
    <row r="235" spans="1:2" ht="15.5" x14ac:dyDescent="0.35">
      <c r="A235" s="1" t="s">
        <v>2129</v>
      </c>
      <c r="B235" s="1" t="s">
        <v>2608</v>
      </c>
    </row>
    <row r="236" spans="1:2" ht="15.5" x14ac:dyDescent="0.35">
      <c r="A236" s="1" t="s">
        <v>2128</v>
      </c>
      <c r="B236" s="1" t="s">
        <v>2609</v>
      </c>
    </row>
    <row r="237" spans="1:2" ht="15.5" x14ac:dyDescent="0.35">
      <c r="A237" s="1" t="s">
        <v>2127</v>
      </c>
      <c r="B237" s="1" t="s">
        <v>2610</v>
      </c>
    </row>
    <row r="238" spans="1:2" ht="15.5" x14ac:dyDescent="0.35">
      <c r="A238" s="1" t="s">
        <v>2126</v>
      </c>
      <c r="B238" s="1" t="s">
        <v>2611</v>
      </c>
    </row>
    <row r="239" spans="1:2" ht="15.5" x14ac:dyDescent="0.35">
      <c r="A239" s="1" t="s">
        <v>2125</v>
      </c>
      <c r="B239" s="1" t="s">
        <v>2612</v>
      </c>
    </row>
    <row r="240" spans="1:2" ht="15.5" x14ac:dyDescent="0.35">
      <c r="A240" s="1" t="s">
        <v>2124</v>
      </c>
      <c r="B240" s="1" t="s">
        <v>2613</v>
      </c>
    </row>
    <row r="241" spans="1:2" ht="15.5" x14ac:dyDescent="0.35">
      <c r="A241" s="1" t="s">
        <v>2123</v>
      </c>
      <c r="B241" s="1" t="s">
        <v>2614</v>
      </c>
    </row>
    <row r="242" spans="1:2" ht="15.5" x14ac:dyDescent="0.35">
      <c r="A242" s="1" t="s">
        <v>2122</v>
      </c>
      <c r="B242" s="1" t="s">
        <v>2615</v>
      </c>
    </row>
    <row r="243" spans="1:2" ht="15.5" x14ac:dyDescent="0.35">
      <c r="A243" s="1" t="s">
        <v>2120</v>
      </c>
      <c r="B243" s="1" t="s">
        <v>2616</v>
      </c>
    </row>
    <row r="244" spans="1:2" ht="15.5" x14ac:dyDescent="0.35">
      <c r="A244" s="1" t="s">
        <v>2119</v>
      </c>
      <c r="B244" s="1" t="s">
        <v>2617</v>
      </c>
    </row>
    <row r="245" spans="1:2" ht="15.5" x14ac:dyDescent="0.35">
      <c r="A245" s="1" t="s">
        <v>2118</v>
      </c>
      <c r="B245" s="1" t="s">
        <v>2618</v>
      </c>
    </row>
    <row r="246" spans="1:2" ht="15.5" x14ac:dyDescent="0.35">
      <c r="A246" s="1" t="s">
        <v>2117</v>
      </c>
      <c r="B246" s="1" t="s">
        <v>2619</v>
      </c>
    </row>
    <row r="247" spans="1:2" ht="15.5" x14ac:dyDescent="0.35">
      <c r="A247" s="1" t="s">
        <v>2116</v>
      </c>
      <c r="B247" s="1" t="s">
        <v>2620</v>
      </c>
    </row>
    <row r="248" spans="1:2" ht="15.5" x14ac:dyDescent="0.35">
      <c r="A248" s="1" t="s">
        <v>2115</v>
      </c>
      <c r="B248" s="1" t="s">
        <v>2621</v>
      </c>
    </row>
    <row r="249" spans="1:2" ht="15.5" x14ac:dyDescent="0.35">
      <c r="A249" s="1" t="s">
        <v>2114</v>
      </c>
      <c r="B249" s="1" t="s">
        <v>2622</v>
      </c>
    </row>
    <row r="250" spans="1:2" ht="15.5" x14ac:dyDescent="0.35">
      <c r="A250" s="1" t="s">
        <v>2113</v>
      </c>
      <c r="B250" s="1" t="s">
        <v>2623</v>
      </c>
    </row>
    <row r="251" spans="1:2" ht="15.5" x14ac:dyDescent="0.35">
      <c r="A251" s="1" t="s">
        <v>2112</v>
      </c>
      <c r="B251" s="1" t="s">
        <v>2624</v>
      </c>
    </row>
    <row r="252" spans="1:2" ht="15.5" x14ac:dyDescent="0.35">
      <c r="A252" s="1" t="s">
        <v>2111</v>
      </c>
      <c r="B252" s="1" t="s">
        <v>2625</v>
      </c>
    </row>
    <row r="253" spans="1:2" ht="15.5" x14ac:dyDescent="0.35">
      <c r="A253" s="1" t="s">
        <v>2110</v>
      </c>
      <c r="B253" s="1" t="s">
        <v>2626</v>
      </c>
    </row>
    <row r="254" spans="1:2" ht="15.5" x14ac:dyDescent="0.35">
      <c r="A254" s="1" t="s">
        <v>2109</v>
      </c>
      <c r="B254" s="1" t="s">
        <v>2627</v>
      </c>
    </row>
    <row r="255" spans="1:2" ht="15.5" x14ac:dyDescent="0.35">
      <c r="A255" s="1" t="s">
        <v>2108</v>
      </c>
      <c r="B255" s="1" t="s">
        <v>2628</v>
      </c>
    </row>
    <row r="256" spans="1:2" ht="15.5" x14ac:dyDescent="0.35">
      <c r="A256" s="1" t="s">
        <v>2107</v>
      </c>
      <c r="B256" s="1" t="s">
        <v>2629</v>
      </c>
    </row>
    <row r="257" spans="1:2" ht="15.5" x14ac:dyDescent="0.35">
      <c r="A257" s="1" t="s">
        <v>2106</v>
      </c>
      <c r="B257" s="1" t="s">
        <v>2630</v>
      </c>
    </row>
    <row r="258" spans="1:2" ht="15.5" x14ac:dyDescent="0.35">
      <c r="A258" s="1" t="s">
        <v>2105</v>
      </c>
      <c r="B258" s="1" t="s">
        <v>2631</v>
      </c>
    </row>
    <row r="259" spans="1:2" ht="15.5" x14ac:dyDescent="0.35">
      <c r="A259" s="1" t="s">
        <v>2104</v>
      </c>
      <c r="B259" s="1" t="s">
        <v>2632</v>
      </c>
    </row>
    <row r="260" spans="1:2" ht="15.5" x14ac:dyDescent="0.35">
      <c r="A260" s="1" t="s">
        <v>2103</v>
      </c>
      <c r="B260" s="1" t="s">
        <v>2633</v>
      </c>
    </row>
    <row r="261" spans="1:2" ht="15.5" x14ac:dyDescent="0.35">
      <c r="A261" s="1" t="s">
        <v>2102</v>
      </c>
      <c r="B261" s="1" t="s">
        <v>2634</v>
      </c>
    </row>
    <row r="262" spans="1:2" ht="15.5" x14ac:dyDescent="0.35">
      <c r="A262" s="1" t="s">
        <v>2101</v>
      </c>
      <c r="B262" s="1" t="s">
        <v>2635</v>
      </c>
    </row>
    <row r="263" spans="1:2" ht="15.5" x14ac:dyDescent="0.35">
      <c r="A263" s="1" t="s">
        <v>2100</v>
      </c>
      <c r="B263" s="1" t="s">
        <v>2636</v>
      </c>
    </row>
    <row r="264" spans="1:2" ht="15.5" x14ac:dyDescent="0.35">
      <c r="A264" s="1" t="s">
        <v>2099</v>
      </c>
      <c r="B264" s="1" t="s">
        <v>2637</v>
      </c>
    </row>
    <row r="265" spans="1:2" ht="15.5" x14ac:dyDescent="0.35">
      <c r="A265" s="1" t="s">
        <v>2098</v>
      </c>
      <c r="B265" s="1" t="s">
        <v>2638</v>
      </c>
    </row>
    <row r="266" spans="1:2" ht="15.5" x14ac:dyDescent="0.35">
      <c r="A266" s="1" t="s">
        <v>2097</v>
      </c>
      <c r="B266" s="1" t="s">
        <v>2639</v>
      </c>
    </row>
    <row r="267" spans="1:2" ht="15.5" x14ac:dyDescent="0.35">
      <c r="A267" s="1" t="s">
        <v>2096</v>
      </c>
      <c r="B267" s="1" t="s">
        <v>2640</v>
      </c>
    </row>
    <row r="268" spans="1:2" ht="15.5" x14ac:dyDescent="0.35">
      <c r="A268" s="1" t="s">
        <v>2095</v>
      </c>
      <c r="B268" s="1" t="s">
        <v>2641</v>
      </c>
    </row>
    <row r="269" spans="1:2" ht="15.5" x14ac:dyDescent="0.35">
      <c r="A269" s="1" t="s">
        <v>2094</v>
      </c>
      <c r="B269" s="1" t="s">
        <v>2642</v>
      </c>
    </row>
    <row r="270" spans="1:2" ht="15.5" x14ac:dyDescent="0.35">
      <c r="A270" s="1" t="s">
        <v>2093</v>
      </c>
      <c r="B270" s="1" t="s">
        <v>2643</v>
      </c>
    </row>
    <row r="271" spans="1:2" ht="15.5" x14ac:dyDescent="0.35">
      <c r="A271" s="1" t="s">
        <v>2092</v>
      </c>
      <c r="B271" s="1" t="s">
        <v>2644</v>
      </c>
    </row>
    <row r="272" spans="1:2" ht="15.5" x14ac:dyDescent="0.35">
      <c r="A272" s="1" t="s">
        <v>2091</v>
      </c>
      <c r="B272" s="1" t="s">
        <v>2645</v>
      </c>
    </row>
    <row r="273" spans="1:2" ht="15.5" x14ac:dyDescent="0.35">
      <c r="A273" s="1" t="s">
        <v>2090</v>
      </c>
      <c r="B273" s="1" t="s">
        <v>2646</v>
      </c>
    </row>
    <row r="274" spans="1:2" ht="15.5" x14ac:dyDescent="0.35">
      <c r="A274" s="1" t="s">
        <v>2089</v>
      </c>
      <c r="B274" s="1" t="s">
        <v>2647</v>
      </c>
    </row>
    <row r="275" spans="1:2" ht="15.5" x14ac:dyDescent="0.35">
      <c r="A275" s="1" t="s">
        <v>2088</v>
      </c>
      <c r="B275" s="1" t="s">
        <v>2648</v>
      </c>
    </row>
    <row r="276" spans="1:2" ht="15.5" x14ac:dyDescent="0.35">
      <c r="A276" s="1" t="s">
        <v>2087</v>
      </c>
      <c r="B276" s="1" t="s">
        <v>2649</v>
      </c>
    </row>
    <row r="277" spans="1:2" ht="15.5" x14ac:dyDescent="0.35">
      <c r="A277" s="1" t="s">
        <v>2086</v>
      </c>
      <c r="B277" s="1" t="s">
        <v>2650</v>
      </c>
    </row>
    <row r="278" spans="1:2" ht="15.5" x14ac:dyDescent="0.35">
      <c r="A278" s="1" t="s">
        <v>2085</v>
      </c>
      <c r="B278" s="1" t="s">
        <v>2651</v>
      </c>
    </row>
    <row r="279" spans="1:2" ht="15.5" x14ac:dyDescent="0.35">
      <c r="A279" s="1" t="s">
        <v>2084</v>
      </c>
      <c r="B279" s="1" t="s">
        <v>2652</v>
      </c>
    </row>
    <row r="280" spans="1:2" ht="15.5" x14ac:dyDescent="0.35">
      <c r="A280" s="1" t="s">
        <v>2083</v>
      </c>
      <c r="B280" s="1" t="s">
        <v>2653</v>
      </c>
    </row>
    <row r="281" spans="1:2" ht="15.5" x14ac:dyDescent="0.35">
      <c r="A281" s="1" t="s">
        <v>2082</v>
      </c>
      <c r="B281" s="1" t="s">
        <v>2654</v>
      </c>
    </row>
    <row r="282" spans="1:2" ht="15.5" x14ac:dyDescent="0.35">
      <c r="A282" s="1" t="s">
        <v>2081</v>
      </c>
      <c r="B282" s="1" t="s">
        <v>2655</v>
      </c>
    </row>
    <row r="283" spans="1:2" ht="15.5" x14ac:dyDescent="0.35">
      <c r="A283" s="1" t="s">
        <v>2080</v>
      </c>
      <c r="B283" s="1" t="s">
        <v>2656</v>
      </c>
    </row>
    <row r="284" spans="1:2" ht="15.5" x14ac:dyDescent="0.35">
      <c r="A284" s="1" t="s">
        <v>2079</v>
      </c>
      <c r="B284" s="1" t="s">
        <v>2657</v>
      </c>
    </row>
    <row r="285" spans="1:2" ht="15.5" x14ac:dyDescent="0.35">
      <c r="A285" s="1" t="s">
        <v>2078</v>
      </c>
      <c r="B285" s="1" t="s">
        <v>2658</v>
      </c>
    </row>
    <row r="286" spans="1:2" ht="15.5" x14ac:dyDescent="0.35">
      <c r="A286" s="1" t="s">
        <v>2077</v>
      </c>
      <c r="B286" s="1" t="s">
        <v>2659</v>
      </c>
    </row>
    <row r="287" spans="1:2" ht="15.5" x14ac:dyDescent="0.35">
      <c r="A287" s="1" t="s">
        <v>2076</v>
      </c>
      <c r="B287" s="1" t="s">
        <v>2660</v>
      </c>
    </row>
    <row r="288" spans="1:2" ht="15.5" x14ac:dyDescent="0.35">
      <c r="A288" s="1" t="s">
        <v>2075</v>
      </c>
      <c r="B288" s="1" t="s">
        <v>2661</v>
      </c>
    </row>
    <row r="289" spans="1:2" ht="15.5" x14ac:dyDescent="0.35">
      <c r="A289" s="1" t="s">
        <v>2074</v>
      </c>
      <c r="B289" s="1" t="s">
        <v>2662</v>
      </c>
    </row>
    <row r="290" spans="1:2" ht="15.5" x14ac:dyDescent="0.35">
      <c r="A290" s="1" t="s">
        <v>2073</v>
      </c>
      <c r="B290" s="1" t="s">
        <v>2663</v>
      </c>
    </row>
    <row r="291" spans="1:2" ht="15.5" x14ac:dyDescent="0.35">
      <c r="A291" s="1" t="s">
        <v>2072</v>
      </c>
      <c r="B291" s="1" t="s">
        <v>2664</v>
      </c>
    </row>
    <row r="292" spans="1:2" ht="15.5" x14ac:dyDescent="0.35">
      <c r="A292" s="1" t="s">
        <v>2071</v>
      </c>
      <c r="B292" s="1" t="s">
        <v>2665</v>
      </c>
    </row>
    <row r="293" spans="1:2" ht="15.5" x14ac:dyDescent="0.35">
      <c r="A293" s="1" t="s">
        <v>2070</v>
      </c>
      <c r="B293" s="1" t="s">
        <v>2666</v>
      </c>
    </row>
    <row r="294" spans="1:2" ht="15.5" x14ac:dyDescent="0.35">
      <c r="A294" s="1" t="s">
        <v>2069</v>
      </c>
      <c r="B294" s="1" t="s">
        <v>2667</v>
      </c>
    </row>
    <row r="295" spans="1:2" ht="15.5" x14ac:dyDescent="0.35">
      <c r="A295" s="1" t="s">
        <v>2068</v>
      </c>
      <c r="B295" s="1" t="s">
        <v>2668</v>
      </c>
    </row>
    <row r="296" spans="1:2" ht="15.5" x14ac:dyDescent="0.35">
      <c r="A296" s="1" t="s">
        <v>2067</v>
      </c>
      <c r="B296" s="1" t="s">
        <v>2669</v>
      </c>
    </row>
    <row r="297" spans="1:2" ht="15.5" x14ac:dyDescent="0.35">
      <c r="A297" s="1" t="s">
        <v>2066</v>
      </c>
      <c r="B297" s="1" t="s">
        <v>2670</v>
      </c>
    </row>
    <row r="298" spans="1:2" ht="15.5" x14ac:dyDescent="0.35">
      <c r="A298" s="1" t="s">
        <v>2065</v>
      </c>
      <c r="B298" s="1" t="s">
        <v>2671</v>
      </c>
    </row>
    <row r="299" spans="1:2" ht="15.5" x14ac:dyDescent="0.35">
      <c r="A299" s="1" t="s">
        <v>2064</v>
      </c>
      <c r="B299" s="1" t="s">
        <v>2672</v>
      </c>
    </row>
    <row r="300" spans="1:2" ht="15.5" x14ac:dyDescent="0.35">
      <c r="A300" s="1" t="s">
        <v>2063</v>
      </c>
      <c r="B300" s="1" t="s">
        <v>2673</v>
      </c>
    </row>
    <row r="301" spans="1:2" ht="15.5" x14ac:dyDescent="0.35">
      <c r="A301" s="1" t="s">
        <v>2062</v>
      </c>
      <c r="B301" s="1" t="s">
        <v>2674</v>
      </c>
    </row>
    <row r="302" spans="1:2" ht="15.5" x14ac:dyDescent="0.35">
      <c r="A302" s="1" t="s">
        <v>2061</v>
      </c>
      <c r="B302" s="1" t="s">
        <v>2675</v>
      </c>
    </row>
    <row r="303" spans="1:2" ht="15.5" x14ac:dyDescent="0.35">
      <c r="A303" s="1" t="s">
        <v>2060</v>
      </c>
      <c r="B303" s="1" t="s">
        <v>2676</v>
      </c>
    </row>
    <row r="304" spans="1:2" ht="15.5" x14ac:dyDescent="0.35">
      <c r="A304" s="1" t="s">
        <v>2059</v>
      </c>
      <c r="B304" s="1" t="s">
        <v>2677</v>
      </c>
    </row>
    <row r="305" spans="1:2" ht="15.5" x14ac:dyDescent="0.35">
      <c r="A305" s="1" t="s">
        <v>2058</v>
      </c>
      <c r="B305" s="1" t="s">
        <v>2678</v>
      </c>
    </row>
    <row r="306" spans="1:2" ht="15.5" x14ac:dyDescent="0.35">
      <c r="A306" s="1" t="s">
        <v>2057</v>
      </c>
      <c r="B306" s="1" t="s">
        <v>2679</v>
      </c>
    </row>
    <row r="307" spans="1:2" ht="15.5" x14ac:dyDescent="0.35">
      <c r="A307" s="1" t="s">
        <v>2056</v>
      </c>
      <c r="B307" s="1" t="s">
        <v>2680</v>
      </c>
    </row>
    <row r="308" spans="1:2" ht="15.5" x14ac:dyDescent="0.35">
      <c r="A308" s="1" t="s">
        <v>2055</v>
      </c>
      <c r="B308" s="1" t="s">
        <v>2681</v>
      </c>
    </row>
    <row r="309" spans="1:2" ht="15.5" x14ac:dyDescent="0.35">
      <c r="A309" s="1" t="s">
        <v>2054</v>
      </c>
      <c r="B309" s="1" t="s">
        <v>2682</v>
      </c>
    </row>
    <row r="310" spans="1:2" ht="15.5" x14ac:dyDescent="0.35">
      <c r="A310" s="1" t="s">
        <v>2053</v>
      </c>
      <c r="B310" s="1" t="s">
        <v>2683</v>
      </c>
    </row>
    <row r="311" spans="1:2" ht="15.5" x14ac:dyDescent="0.35">
      <c r="A311" s="1" t="s">
        <v>2052</v>
      </c>
      <c r="B311" s="1" t="s">
        <v>2684</v>
      </c>
    </row>
    <row r="312" spans="1:2" ht="15.5" x14ac:dyDescent="0.35">
      <c r="A312" s="1" t="s">
        <v>2051</v>
      </c>
      <c r="B312" s="1" t="s">
        <v>2685</v>
      </c>
    </row>
    <row r="313" spans="1:2" ht="15.5" x14ac:dyDescent="0.35">
      <c r="A313" s="1" t="s">
        <v>2050</v>
      </c>
      <c r="B313" s="1" t="s">
        <v>2686</v>
      </c>
    </row>
    <row r="314" spans="1:2" ht="15.5" x14ac:dyDescent="0.35">
      <c r="A314" s="1" t="s">
        <v>2049</v>
      </c>
      <c r="B314" s="1" t="s">
        <v>2687</v>
      </c>
    </row>
    <row r="315" spans="1:2" ht="15.5" x14ac:dyDescent="0.35">
      <c r="A315" s="1" t="s">
        <v>2048</v>
      </c>
      <c r="B315" s="1" t="s">
        <v>2688</v>
      </c>
    </row>
    <row r="316" spans="1:2" ht="15.5" x14ac:dyDescent="0.35">
      <c r="A316" s="1" t="s">
        <v>2047</v>
      </c>
      <c r="B316" s="1" t="s">
        <v>2689</v>
      </c>
    </row>
    <row r="317" spans="1:2" ht="15.5" x14ac:dyDescent="0.35">
      <c r="A317" s="1" t="s">
        <v>2046</v>
      </c>
      <c r="B317" s="1" t="s">
        <v>2690</v>
      </c>
    </row>
    <row r="318" spans="1:2" ht="15.5" x14ac:dyDescent="0.35">
      <c r="A318" s="1" t="s">
        <v>2045</v>
      </c>
      <c r="B318" s="1" t="s">
        <v>2691</v>
      </c>
    </row>
    <row r="319" spans="1:2" ht="15.5" x14ac:dyDescent="0.35">
      <c r="A319" s="1" t="s">
        <v>2044</v>
      </c>
      <c r="B319" s="1" t="s">
        <v>2692</v>
      </c>
    </row>
    <row r="320" spans="1:2" ht="15.5" x14ac:dyDescent="0.35">
      <c r="A320" s="1" t="s">
        <v>2043</v>
      </c>
      <c r="B320" s="1" t="s">
        <v>2693</v>
      </c>
    </row>
    <row r="321" spans="1:2" ht="15.5" x14ac:dyDescent="0.35">
      <c r="A321" s="1" t="s">
        <v>2042</v>
      </c>
      <c r="B321" s="1" t="s">
        <v>2694</v>
      </c>
    </row>
    <row r="322" spans="1:2" ht="15.5" x14ac:dyDescent="0.35">
      <c r="A322" s="1" t="s">
        <v>2041</v>
      </c>
      <c r="B322" s="1" t="s">
        <v>2695</v>
      </c>
    </row>
    <row r="323" spans="1:2" ht="15.5" x14ac:dyDescent="0.35">
      <c r="A323" s="1" t="s">
        <v>2040</v>
      </c>
      <c r="B323" s="1" t="s">
        <v>2696</v>
      </c>
    </row>
    <row r="324" spans="1:2" ht="15.5" x14ac:dyDescent="0.35">
      <c r="A324" s="1" t="s">
        <v>2039</v>
      </c>
      <c r="B324" s="1" t="s">
        <v>2697</v>
      </c>
    </row>
    <row r="325" spans="1:2" ht="15.5" x14ac:dyDescent="0.35">
      <c r="A325" s="1" t="s">
        <v>2038</v>
      </c>
      <c r="B325" s="1" t="s">
        <v>2698</v>
      </c>
    </row>
    <row r="326" spans="1:2" ht="15.5" x14ac:dyDescent="0.35">
      <c r="A326" s="1" t="s">
        <v>2037</v>
      </c>
      <c r="B326" s="1" t="s">
        <v>2699</v>
      </c>
    </row>
    <row r="327" spans="1:2" ht="15.5" x14ac:dyDescent="0.35">
      <c r="A327" s="1" t="s">
        <v>2036</v>
      </c>
      <c r="B327" s="1" t="s">
        <v>2700</v>
      </c>
    </row>
    <row r="328" spans="1:2" ht="15.5" x14ac:dyDescent="0.35">
      <c r="A328" s="1" t="s">
        <v>2035</v>
      </c>
      <c r="B328" s="1" t="s">
        <v>2701</v>
      </c>
    </row>
    <row r="329" spans="1:2" ht="15.5" x14ac:dyDescent="0.35">
      <c r="A329" s="1" t="s">
        <v>2034</v>
      </c>
      <c r="B329" s="1" t="s">
        <v>2702</v>
      </c>
    </row>
    <row r="330" spans="1:2" ht="15.5" x14ac:dyDescent="0.35">
      <c r="A330" s="1" t="s">
        <v>2033</v>
      </c>
      <c r="B330" s="1" t="s">
        <v>2703</v>
      </c>
    </row>
    <row r="331" spans="1:2" ht="15.5" x14ac:dyDescent="0.35">
      <c r="A331" s="1" t="s">
        <v>2032</v>
      </c>
      <c r="B331" s="1" t="s">
        <v>2704</v>
      </c>
    </row>
    <row r="332" spans="1:2" ht="15.5" x14ac:dyDescent="0.35">
      <c r="A332" s="1" t="s">
        <v>2031</v>
      </c>
      <c r="B332" s="1" t="s">
        <v>2705</v>
      </c>
    </row>
    <row r="333" spans="1:2" ht="15.5" x14ac:dyDescent="0.35">
      <c r="A333" s="1" t="s">
        <v>2030</v>
      </c>
      <c r="B333" s="1" t="s">
        <v>2706</v>
      </c>
    </row>
    <row r="334" spans="1:2" ht="15.5" x14ac:dyDescent="0.35">
      <c r="A334" s="1" t="s">
        <v>2029</v>
      </c>
      <c r="B334" s="1" t="s">
        <v>2707</v>
      </c>
    </row>
    <row r="335" spans="1:2" ht="15.5" x14ac:dyDescent="0.35">
      <c r="A335" s="1" t="s">
        <v>2028</v>
      </c>
      <c r="B335" s="1" t="s">
        <v>2708</v>
      </c>
    </row>
    <row r="336" spans="1:2" ht="15.5" x14ac:dyDescent="0.35">
      <c r="A336" s="1" t="s">
        <v>2027</v>
      </c>
      <c r="B336" s="1" t="s">
        <v>2709</v>
      </c>
    </row>
    <row r="337" spans="1:2" ht="15.5" x14ac:dyDescent="0.35">
      <c r="A337" s="1" t="s">
        <v>2026</v>
      </c>
      <c r="B337" s="1" t="s">
        <v>2710</v>
      </c>
    </row>
    <row r="338" spans="1:2" ht="15.5" x14ac:dyDescent="0.35">
      <c r="A338" s="1" t="s">
        <v>2025</v>
      </c>
      <c r="B338" s="1" t="s">
        <v>2711</v>
      </c>
    </row>
    <row r="339" spans="1:2" ht="15.5" x14ac:dyDescent="0.35">
      <c r="A339" s="1" t="s">
        <v>2024</v>
      </c>
      <c r="B339" s="1" t="s">
        <v>2712</v>
      </c>
    </row>
    <row r="340" spans="1:2" ht="15.5" x14ac:dyDescent="0.35">
      <c r="A340" s="1" t="s">
        <v>2023</v>
      </c>
      <c r="B340" s="1" t="s">
        <v>2713</v>
      </c>
    </row>
    <row r="341" spans="1:2" ht="15.5" x14ac:dyDescent="0.35">
      <c r="A341" s="1" t="s">
        <v>2022</v>
      </c>
      <c r="B341" s="1" t="s">
        <v>2714</v>
      </c>
    </row>
    <row r="342" spans="1:2" ht="15.5" x14ac:dyDescent="0.35">
      <c r="A342" s="1" t="s">
        <v>2021</v>
      </c>
      <c r="B342" s="1" t="s">
        <v>2715</v>
      </c>
    </row>
    <row r="343" spans="1:2" ht="15.5" x14ac:dyDescent="0.35">
      <c r="A343" s="1" t="s">
        <v>2020</v>
      </c>
      <c r="B343" s="1" t="s">
        <v>2716</v>
      </c>
    </row>
    <row r="344" spans="1:2" ht="15.5" x14ac:dyDescent="0.35">
      <c r="A344" s="1" t="s">
        <v>2019</v>
      </c>
      <c r="B344" s="1" t="s">
        <v>2717</v>
      </c>
    </row>
    <row r="345" spans="1:2" ht="15.5" x14ac:dyDescent="0.35">
      <c r="A345" s="1" t="s">
        <v>2018</v>
      </c>
      <c r="B345" s="1" t="s">
        <v>2718</v>
      </c>
    </row>
    <row r="346" spans="1:2" ht="15.5" x14ac:dyDescent="0.35">
      <c r="A346" s="1" t="s">
        <v>2017</v>
      </c>
      <c r="B346" s="1" t="s">
        <v>2719</v>
      </c>
    </row>
    <row r="347" spans="1:2" ht="15.5" x14ac:dyDescent="0.35">
      <c r="A347" s="1" t="s">
        <v>2016</v>
      </c>
      <c r="B347" s="1" t="s">
        <v>2720</v>
      </c>
    </row>
    <row r="348" spans="1:2" ht="15.5" x14ac:dyDescent="0.35">
      <c r="A348" s="1" t="s">
        <v>2015</v>
      </c>
      <c r="B348" s="1" t="s">
        <v>2721</v>
      </c>
    </row>
    <row r="349" spans="1:2" ht="15.5" x14ac:dyDescent="0.35">
      <c r="A349" s="1" t="s">
        <v>2014</v>
      </c>
      <c r="B349" s="1" t="s">
        <v>2722</v>
      </c>
    </row>
    <row r="350" spans="1:2" ht="15.5" x14ac:dyDescent="0.35">
      <c r="A350" s="1" t="s">
        <v>2013</v>
      </c>
      <c r="B350" s="1" t="s">
        <v>2723</v>
      </c>
    </row>
    <row r="351" spans="1:2" ht="15.5" x14ac:dyDescent="0.35">
      <c r="A351" s="1" t="s">
        <v>2012</v>
      </c>
      <c r="B351" s="1" t="s">
        <v>2724</v>
      </c>
    </row>
    <row r="352" spans="1:2" ht="15.5" x14ac:dyDescent="0.35">
      <c r="A352" s="1" t="s">
        <v>2011</v>
      </c>
      <c r="B352" s="1" t="s">
        <v>2725</v>
      </c>
    </row>
    <row r="353" spans="1:2" ht="15.5" x14ac:dyDescent="0.35">
      <c r="A353" s="1" t="s">
        <v>2010</v>
      </c>
      <c r="B353" s="1" t="s">
        <v>2726</v>
      </c>
    </row>
    <row r="354" spans="1:2" ht="15.5" x14ac:dyDescent="0.35">
      <c r="A354" s="1" t="s">
        <v>2009</v>
      </c>
      <c r="B354" s="1" t="s">
        <v>2727</v>
      </c>
    </row>
    <row r="355" spans="1:2" ht="15.5" x14ac:dyDescent="0.35">
      <c r="A355" s="1" t="s">
        <v>2008</v>
      </c>
      <c r="B355" s="1" t="s">
        <v>2728</v>
      </c>
    </row>
    <row r="356" spans="1:2" ht="15.5" x14ac:dyDescent="0.35">
      <c r="A356" s="1" t="s">
        <v>2007</v>
      </c>
      <c r="B356" s="1" t="s">
        <v>2729</v>
      </c>
    </row>
    <row r="357" spans="1:2" ht="15.5" x14ac:dyDescent="0.35">
      <c r="A357" s="1" t="s">
        <v>2006</v>
      </c>
      <c r="B357" s="1" t="s">
        <v>2730</v>
      </c>
    </row>
    <row r="358" spans="1:2" ht="15.5" x14ac:dyDescent="0.35">
      <c r="A358" s="1" t="s">
        <v>2005</v>
      </c>
      <c r="B358" s="1" t="s">
        <v>2731</v>
      </c>
    </row>
    <row r="359" spans="1:2" ht="15.5" x14ac:dyDescent="0.35">
      <c r="A359" s="1" t="s">
        <v>2004</v>
      </c>
      <c r="B359" s="1" t="s">
        <v>2732</v>
      </c>
    </row>
    <row r="360" spans="1:2" ht="15.5" x14ac:dyDescent="0.35">
      <c r="A360" s="1" t="s">
        <v>2003</v>
      </c>
      <c r="B360" s="1" t="s">
        <v>2733</v>
      </c>
    </row>
    <row r="361" spans="1:2" ht="15.5" x14ac:dyDescent="0.35">
      <c r="A361" s="1" t="s">
        <v>2002</v>
      </c>
      <c r="B361" s="1" t="s">
        <v>2734</v>
      </c>
    </row>
    <row r="362" spans="1:2" ht="15.5" x14ac:dyDescent="0.35">
      <c r="A362" s="1" t="s">
        <v>2001</v>
      </c>
      <c r="B362" s="1" t="s">
        <v>2735</v>
      </c>
    </row>
    <row r="363" spans="1:2" ht="15.5" x14ac:dyDescent="0.35">
      <c r="A363" s="1" t="s">
        <v>2000</v>
      </c>
      <c r="B363" s="1" t="s">
        <v>2736</v>
      </c>
    </row>
    <row r="364" spans="1:2" ht="15.5" x14ac:dyDescent="0.35">
      <c r="A364" s="1" t="s">
        <v>1999</v>
      </c>
      <c r="B364" s="1" t="s">
        <v>2737</v>
      </c>
    </row>
    <row r="365" spans="1:2" ht="15.5" x14ac:dyDescent="0.35">
      <c r="A365" s="1" t="s">
        <v>1998</v>
      </c>
      <c r="B365" s="1" t="s">
        <v>2738</v>
      </c>
    </row>
    <row r="366" spans="1:2" ht="15.5" x14ac:dyDescent="0.35">
      <c r="A366" s="1" t="s">
        <v>1997</v>
      </c>
      <c r="B366" s="1" t="s">
        <v>2739</v>
      </c>
    </row>
    <row r="367" spans="1:2" ht="15.5" x14ac:dyDescent="0.35">
      <c r="A367" s="1" t="s">
        <v>1996</v>
      </c>
      <c r="B367" s="1" t="s">
        <v>2740</v>
      </c>
    </row>
    <row r="368" spans="1:2" ht="15.5" x14ac:dyDescent="0.35">
      <c r="A368" s="1" t="s">
        <v>1995</v>
      </c>
      <c r="B368" s="1" t="s">
        <v>2741</v>
      </c>
    </row>
    <row r="369" spans="1:2" ht="15.5" x14ac:dyDescent="0.35">
      <c r="A369" s="1" t="s">
        <v>1994</v>
      </c>
      <c r="B369" s="1" t="s">
        <v>2742</v>
      </c>
    </row>
    <row r="370" spans="1:2" ht="15.5" x14ac:dyDescent="0.35">
      <c r="A370" s="1" t="s">
        <v>1993</v>
      </c>
      <c r="B370" s="1" t="s">
        <v>2743</v>
      </c>
    </row>
    <row r="371" spans="1:2" ht="15.5" x14ac:dyDescent="0.35">
      <c r="A371" s="1" t="s">
        <v>1992</v>
      </c>
      <c r="B371" s="1" t="s">
        <v>2744</v>
      </c>
    </row>
    <row r="372" spans="1:2" ht="15.5" x14ac:dyDescent="0.35">
      <c r="A372" s="1" t="s">
        <v>1991</v>
      </c>
      <c r="B372" s="1" t="s">
        <v>2745</v>
      </c>
    </row>
    <row r="373" spans="1:2" ht="15.5" x14ac:dyDescent="0.35">
      <c r="A373" s="1" t="s">
        <v>1990</v>
      </c>
      <c r="B373" s="1" t="s">
        <v>2746</v>
      </c>
    </row>
    <row r="374" spans="1:2" ht="15.5" x14ac:dyDescent="0.35">
      <c r="A374" s="1" t="s">
        <v>1989</v>
      </c>
      <c r="B374" s="1" t="s">
        <v>2747</v>
      </c>
    </row>
    <row r="375" spans="1:2" ht="15.5" x14ac:dyDescent="0.35">
      <c r="A375" s="1" t="s">
        <v>1988</v>
      </c>
      <c r="B375" s="1" t="s">
        <v>2748</v>
      </c>
    </row>
    <row r="376" spans="1:2" ht="15.5" x14ac:dyDescent="0.35">
      <c r="A376" s="1" t="s">
        <v>1987</v>
      </c>
      <c r="B376" s="1" t="s">
        <v>2749</v>
      </c>
    </row>
    <row r="377" spans="1:2" ht="15.5" x14ac:dyDescent="0.35">
      <c r="A377" s="1" t="s">
        <v>1986</v>
      </c>
      <c r="B377" s="1" t="s">
        <v>2750</v>
      </c>
    </row>
    <row r="378" spans="1:2" ht="15.5" x14ac:dyDescent="0.35">
      <c r="A378" s="1" t="s">
        <v>1985</v>
      </c>
      <c r="B378" s="1" t="s">
        <v>2751</v>
      </c>
    </row>
    <row r="379" spans="1:2" ht="15.5" x14ac:dyDescent="0.35">
      <c r="A379" s="1" t="s">
        <v>1984</v>
      </c>
      <c r="B379" s="1" t="s">
        <v>2752</v>
      </c>
    </row>
    <row r="380" spans="1:2" ht="15.5" x14ac:dyDescent="0.35">
      <c r="A380" s="1" t="s">
        <v>1983</v>
      </c>
      <c r="B380" s="1" t="s">
        <v>2753</v>
      </c>
    </row>
    <row r="381" spans="1:2" ht="15.5" x14ac:dyDescent="0.35">
      <c r="A381" s="1" t="s">
        <v>1982</v>
      </c>
      <c r="B381" s="1" t="s">
        <v>2754</v>
      </c>
    </row>
    <row r="382" spans="1:2" ht="15.5" x14ac:dyDescent="0.35">
      <c r="A382" s="1" t="s">
        <v>1981</v>
      </c>
      <c r="B382" s="1" t="s">
        <v>2755</v>
      </c>
    </row>
    <row r="383" spans="1:2" ht="15.5" x14ac:dyDescent="0.35">
      <c r="A383" s="1" t="s">
        <v>1980</v>
      </c>
      <c r="B383" s="1" t="s">
        <v>2756</v>
      </c>
    </row>
    <row r="384" spans="1:2" ht="15.5" x14ac:dyDescent="0.35">
      <c r="A384" s="1" t="s">
        <v>1979</v>
      </c>
      <c r="B384" s="1" t="s">
        <v>2757</v>
      </c>
    </row>
    <row r="385" spans="1:2" ht="15.5" x14ac:dyDescent="0.35">
      <c r="A385" s="1" t="s">
        <v>1978</v>
      </c>
      <c r="B385" s="1" t="s">
        <v>2758</v>
      </c>
    </row>
    <row r="386" spans="1:2" ht="15.5" x14ac:dyDescent="0.35">
      <c r="A386" s="1" t="s">
        <v>1977</v>
      </c>
      <c r="B386" s="1" t="s">
        <v>2759</v>
      </c>
    </row>
    <row r="387" spans="1:2" ht="15.5" x14ac:dyDescent="0.35">
      <c r="A387" s="1" t="s">
        <v>1976</v>
      </c>
      <c r="B387" s="1" t="s">
        <v>2760</v>
      </c>
    </row>
    <row r="388" spans="1:2" ht="15.5" x14ac:dyDescent="0.35">
      <c r="A388" s="1" t="s">
        <v>1975</v>
      </c>
      <c r="B388" s="1" t="s">
        <v>2761</v>
      </c>
    </row>
    <row r="389" spans="1:2" ht="15.5" x14ac:dyDescent="0.35">
      <c r="A389" s="1" t="s">
        <v>1974</v>
      </c>
      <c r="B389" s="1" t="s">
        <v>2762</v>
      </c>
    </row>
    <row r="390" spans="1:2" ht="15.5" x14ac:dyDescent="0.35">
      <c r="A390" s="1" t="s">
        <v>1973</v>
      </c>
      <c r="B390" s="1" t="s">
        <v>2763</v>
      </c>
    </row>
    <row r="391" spans="1:2" ht="15.5" x14ac:dyDescent="0.35">
      <c r="A391" s="1" t="s">
        <v>1972</v>
      </c>
      <c r="B391" s="1" t="s">
        <v>2764</v>
      </c>
    </row>
    <row r="392" spans="1:2" ht="15.5" x14ac:dyDescent="0.35">
      <c r="A392" s="1" t="s">
        <v>1971</v>
      </c>
      <c r="B392" s="1" t="s">
        <v>2765</v>
      </c>
    </row>
    <row r="393" spans="1:2" ht="15.5" x14ac:dyDescent="0.35">
      <c r="A393" s="1" t="s">
        <v>1970</v>
      </c>
      <c r="B393" s="1" t="s">
        <v>2766</v>
      </c>
    </row>
    <row r="394" spans="1:2" ht="15.5" x14ac:dyDescent="0.35">
      <c r="A394" s="1" t="s">
        <v>1969</v>
      </c>
      <c r="B394" s="1" t="s">
        <v>2767</v>
      </c>
    </row>
    <row r="395" spans="1:2" ht="15.5" x14ac:dyDescent="0.35">
      <c r="A395" s="1" t="s">
        <v>1968</v>
      </c>
      <c r="B395" s="1" t="s">
        <v>2768</v>
      </c>
    </row>
    <row r="396" spans="1:2" ht="15.5" x14ac:dyDescent="0.35">
      <c r="A396" s="1" t="s">
        <v>1967</v>
      </c>
      <c r="B396" s="1" t="s">
        <v>2769</v>
      </c>
    </row>
    <row r="397" spans="1:2" ht="15.5" x14ac:dyDescent="0.35">
      <c r="A397" s="1" t="s">
        <v>1966</v>
      </c>
      <c r="B397" s="1" t="s">
        <v>2770</v>
      </c>
    </row>
    <row r="398" spans="1:2" ht="15.5" x14ac:dyDescent="0.35">
      <c r="A398" s="1" t="s">
        <v>1965</v>
      </c>
      <c r="B398" s="1" t="s">
        <v>2771</v>
      </c>
    </row>
    <row r="399" spans="1:2" ht="15.5" x14ac:dyDescent="0.35">
      <c r="A399" s="1" t="s">
        <v>1964</v>
      </c>
      <c r="B399" s="1" t="s">
        <v>2772</v>
      </c>
    </row>
    <row r="400" spans="1:2" ht="15.5" x14ac:dyDescent="0.35">
      <c r="A400" s="1" t="s">
        <v>1963</v>
      </c>
      <c r="B400" s="1" t="s">
        <v>2773</v>
      </c>
    </row>
    <row r="401" spans="1:2" ht="15.5" x14ac:dyDescent="0.35">
      <c r="A401" s="1" t="s">
        <v>1962</v>
      </c>
      <c r="B401" s="1" t="s">
        <v>2774</v>
      </c>
    </row>
    <row r="402" spans="1:2" ht="15.5" x14ac:dyDescent="0.35">
      <c r="A402" s="1" t="s">
        <v>1961</v>
      </c>
      <c r="B402" s="1" t="s">
        <v>2775</v>
      </c>
    </row>
    <row r="403" spans="1:2" ht="15.5" x14ac:dyDescent="0.35">
      <c r="A403" s="1" t="s">
        <v>1960</v>
      </c>
      <c r="B403" s="1" t="s">
        <v>2776</v>
      </c>
    </row>
    <row r="404" spans="1:2" ht="15.5" x14ac:dyDescent="0.35">
      <c r="A404" s="1" t="s">
        <v>1959</v>
      </c>
      <c r="B404" s="1" t="s">
        <v>2777</v>
      </c>
    </row>
    <row r="405" spans="1:2" ht="15.5" x14ac:dyDescent="0.35">
      <c r="A405" s="1" t="s">
        <v>1958</v>
      </c>
      <c r="B405" s="1" t="s">
        <v>2778</v>
      </c>
    </row>
    <row r="406" spans="1:2" ht="15.5" x14ac:dyDescent="0.35">
      <c r="A406" s="1" t="s">
        <v>1957</v>
      </c>
      <c r="B406" s="1" t="s">
        <v>2779</v>
      </c>
    </row>
    <row r="407" spans="1:2" ht="15.5" x14ac:dyDescent="0.35">
      <c r="A407" s="1" t="s">
        <v>1956</v>
      </c>
      <c r="B407" s="1" t="s">
        <v>2780</v>
      </c>
    </row>
    <row r="408" spans="1:2" ht="15.5" x14ac:dyDescent="0.35">
      <c r="A408" s="1" t="s">
        <v>1955</v>
      </c>
      <c r="B408" s="1" t="s">
        <v>2781</v>
      </c>
    </row>
    <row r="409" spans="1:2" ht="15.5" x14ac:dyDescent="0.35">
      <c r="A409" s="1" t="s">
        <v>1954</v>
      </c>
      <c r="B409" s="1" t="s">
        <v>2782</v>
      </c>
    </row>
    <row r="410" spans="1:2" ht="15.5" x14ac:dyDescent="0.35">
      <c r="A410" s="1" t="s">
        <v>1953</v>
      </c>
      <c r="B410" s="1" t="s">
        <v>2783</v>
      </c>
    </row>
    <row r="411" spans="1:2" ht="15.5" x14ac:dyDescent="0.35">
      <c r="A411" s="1" t="s">
        <v>1952</v>
      </c>
      <c r="B411" s="1" t="s">
        <v>2784</v>
      </c>
    </row>
    <row r="412" spans="1:2" ht="15.5" x14ac:dyDescent="0.35">
      <c r="A412" s="1" t="s">
        <v>1951</v>
      </c>
      <c r="B412" s="1" t="s">
        <v>2785</v>
      </c>
    </row>
    <row r="413" spans="1:2" ht="15.5" x14ac:dyDescent="0.35">
      <c r="A413" s="1" t="s">
        <v>1950</v>
      </c>
      <c r="B413" s="1" t="s">
        <v>2786</v>
      </c>
    </row>
    <row r="414" spans="1:2" ht="15.5" x14ac:dyDescent="0.35">
      <c r="A414" s="1" t="s">
        <v>1949</v>
      </c>
      <c r="B414" s="1" t="s">
        <v>2787</v>
      </c>
    </row>
    <row r="415" spans="1:2" ht="15.5" x14ac:dyDescent="0.35">
      <c r="A415" s="1" t="s">
        <v>1948</v>
      </c>
      <c r="B415" s="1" t="s">
        <v>2788</v>
      </c>
    </row>
    <row r="416" spans="1:2" ht="15.5" x14ac:dyDescent="0.35">
      <c r="A416" s="1" t="s">
        <v>1947</v>
      </c>
      <c r="B416" s="1" t="s">
        <v>2789</v>
      </c>
    </row>
    <row r="417" spans="1:2" ht="15.5" x14ac:dyDescent="0.35">
      <c r="A417" s="1" t="s">
        <v>1946</v>
      </c>
      <c r="B417" s="1" t="s">
        <v>2790</v>
      </c>
    </row>
    <row r="418" spans="1:2" ht="15.5" x14ac:dyDescent="0.35">
      <c r="A418" s="1" t="s">
        <v>1945</v>
      </c>
      <c r="B418" s="1" t="s">
        <v>2791</v>
      </c>
    </row>
    <row r="419" spans="1:2" ht="15.5" x14ac:dyDescent="0.35">
      <c r="A419" s="1" t="s">
        <v>1944</v>
      </c>
      <c r="B419" s="1" t="s">
        <v>2792</v>
      </c>
    </row>
    <row r="420" spans="1:2" ht="15.5" x14ac:dyDescent="0.35">
      <c r="A420" s="1" t="s">
        <v>1943</v>
      </c>
      <c r="B420" s="1" t="s">
        <v>2793</v>
      </c>
    </row>
    <row r="421" spans="1:2" ht="15.5" x14ac:dyDescent="0.35">
      <c r="A421" s="1" t="s">
        <v>1942</v>
      </c>
      <c r="B421" s="1" t="s">
        <v>2794</v>
      </c>
    </row>
    <row r="422" spans="1:2" ht="15.5" x14ac:dyDescent="0.35">
      <c r="A422" s="1" t="s">
        <v>1941</v>
      </c>
      <c r="B422" s="1" t="s">
        <v>2795</v>
      </c>
    </row>
    <row r="423" spans="1:2" ht="15.5" x14ac:dyDescent="0.35">
      <c r="A423" s="1" t="s">
        <v>1940</v>
      </c>
      <c r="B423" s="1" t="s">
        <v>2796</v>
      </c>
    </row>
    <row r="424" spans="1:2" ht="15.5" x14ac:dyDescent="0.35">
      <c r="A424" s="1" t="s">
        <v>1939</v>
      </c>
      <c r="B424" s="1" t="s">
        <v>2797</v>
      </c>
    </row>
    <row r="425" spans="1:2" ht="15.5" x14ac:dyDescent="0.35">
      <c r="A425" s="1" t="s">
        <v>1938</v>
      </c>
      <c r="B425" s="1" t="s">
        <v>2798</v>
      </c>
    </row>
    <row r="426" spans="1:2" ht="15.5" x14ac:dyDescent="0.35">
      <c r="A426" s="1" t="s">
        <v>1937</v>
      </c>
      <c r="B426" s="1" t="s">
        <v>2799</v>
      </c>
    </row>
    <row r="427" spans="1:2" ht="15.5" x14ac:dyDescent="0.35">
      <c r="A427" s="1" t="s">
        <v>1936</v>
      </c>
      <c r="B427" s="1" t="s">
        <v>2800</v>
      </c>
    </row>
    <row r="428" spans="1:2" ht="15.5" x14ac:dyDescent="0.35">
      <c r="A428" s="1" t="s">
        <v>1935</v>
      </c>
      <c r="B428" s="1" t="s">
        <v>2801</v>
      </c>
    </row>
    <row r="429" spans="1:2" ht="15.5" x14ac:dyDescent="0.35">
      <c r="A429" s="1" t="s">
        <v>1934</v>
      </c>
      <c r="B429" s="1" t="s">
        <v>2802</v>
      </c>
    </row>
    <row r="430" spans="1:2" ht="15.5" x14ac:dyDescent="0.35">
      <c r="A430" s="1" t="s">
        <v>1933</v>
      </c>
      <c r="B430" s="1" t="s">
        <v>2803</v>
      </c>
    </row>
    <row r="431" spans="1:2" ht="15.5" x14ac:dyDescent="0.35">
      <c r="A431" s="1" t="s">
        <v>1932</v>
      </c>
      <c r="B431" s="1" t="s">
        <v>2804</v>
      </c>
    </row>
    <row r="432" spans="1:2" ht="15.5" x14ac:dyDescent="0.35">
      <c r="A432" s="1" t="s">
        <v>1931</v>
      </c>
      <c r="B432" s="1" t="s">
        <v>2805</v>
      </c>
    </row>
    <row r="433" spans="1:2" ht="15.5" x14ac:dyDescent="0.35">
      <c r="A433" s="1" t="s">
        <v>1930</v>
      </c>
      <c r="B433" s="1" t="s">
        <v>2806</v>
      </c>
    </row>
    <row r="434" spans="1:2" ht="15.5" x14ac:dyDescent="0.35">
      <c r="A434" s="1" t="s">
        <v>1929</v>
      </c>
      <c r="B434" s="1" t="s">
        <v>2807</v>
      </c>
    </row>
    <row r="435" spans="1:2" ht="15.5" x14ac:dyDescent="0.35">
      <c r="A435" s="1" t="s">
        <v>1928</v>
      </c>
      <c r="B435" s="1" t="s">
        <v>2808</v>
      </c>
    </row>
    <row r="436" spans="1:2" ht="15.5" x14ac:dyDescent="0.35">
      <c r="A436" s="1" t="s">
        <v>1927</v>
      </c>
      <c r="B436" s="1" t="s">
        <v>2809</v>
      </c>
    </row>
    <row r="437" spans="1:2" ht="15.5" x14ac:dyDescent="0.35">
      <c r="A437" s="1" t="s">
        <v>1926</v>
      </c>
      <c r="B437" s="1" t="s">
        <v>2810</v>
      </c>
    </row>
    <row r="438" spans="1:2" ht="15.5" x14ac:dyDescent="0.35">
      <c r="A438" s="1" t="s">
        <v>1925</v>
      </c>
      <c r="B438" s="1" t="s">
        <v>2811</v>
      </c>
    </row>
    <row r="439" spans="1:2" ht="15.5" x14ac:dyDescent="0.35">
      <c r="A439" s="1" t="s">
        <v>1924</v>
      </c>
      <c r="B439" s="1" t="s">
        <v>2812</v>
      </c>
    </row>
    <row r="440" spans="1:2" ht="15.5" x14ac:dyDescent="0.35">
      <c r="A440" s="1" t="s">
        <v>1923</v>
      </c>
      <c r="B440" s="1" t="s">
        <v>2813</v>
      </c>
    </row>
    <row r="441" spans="1:2" ht="15.5" x14ac:dyDescent="0.35">
      <c r="A441" s="1" t="s">
        <v>1922</v>
      </c>
      <c r="B441" s="1" t="s">
        <v>2814</v>
      </c>
    </row>
    <row r="442" spans="1:2" ht="15.5" x14ac:dyDescent="0.35">
      <c r="A442" s="1" t="s">
        <v>1921</v>
      </c>
      <c r="B442" s="1" t="s">
        <v>2815</v>
      </c>
    </row>
    <row r="443" spans="1:2" ht="15.5" x14ac:dyDescent="0.35">
      <c r="A443" s="1" t="s">
        <v>1920</v>
      </c>
      <c r="B443" s="1" t="s">
        <v>2816</v>
      </c>
    </row>
    <row r="444" spans="1:2" ht="15.5" x14ac:dyDescent="0.35">
      <c r="A444" s="1" t="s">
        <v>1919</v>
      </c>
      <c r="B444" s="1" t="s">
        <v>2817</v>
      </c>
    </row>
    <row r="445" spans="1:2" ht="15.5" x14ac:dyDescent="0.35">
      <c r="A445" s="1" t="s">
        <v>1918</v>
      </c>
      <c r="B445" s="1" t="s">
        <v>2818</v>
      </c>
    </row>
    <row r="446" spans="1:2" ht="15.5" x14ac:dyDescent="0.35">
      <c r="A446" s="1" t="s">
        <v>1917</v>
      </c>
      <c r="B446" s="1" t="s">
        <v>2819</v>
      </c>
    </row>
    <row r="447" spans="1:2" ht="15.5" x14ac:dyDescent="0.35">
      <c r="A447" s="1" t="s">
        <v>1916</v>
      </c>
      <c r="B447" s="1" t="s">
        <v>2820</v>
      </c>
    </row>
    <row r="448" spans="1:2" ht="15.5" x14ac:dyDescent="0.35">
      <c r="A448" s="1" t="s">
        <v>1915</v>
      </c>
      <c r="B448" s="1" t="s">
        <v>2821</v>
      </c>
    </row>
    <row r="449" spans="1:2" ht="15.5" x14ac:dyDescent="0.35">
      <c r="A449" s="1" t="s">
        <v>1914</v>
      </c>
      <c r="B449" s="1" t="s">
        <v>2822</v>
      </c>
    </row>
    <row r="450" spans="1:2" ht="15.5" x14ac:dyDescent="0.35">
      <c r="A450" s="1" t="s">
        <v>1913</v>
      </c>
      <c r="B450" s="1" t="s">
        <v>2823</v>
      </c>
    </row>
    <row r="451" spans="1:2" ht="15.5" x14ac:dyDescent="0.35">
      <c r="A451" s="1" t="s">
        <v>1912</v>
      </c>
      <c r="B451" s="1" t="s">
        <v>2824</v>
      </c>
    </row>
    <row r="452" spans="1:2" ht="15.5" x14ac:dyDescent="0.35">
      <c r="A452" s="1" t="s">
        <v>1911</v>
      </c>
      <c r="B452" s="1" t="s">
        <v>2825</v>
      </c>
    </row>
    <row r="453" spans="1:2" ht="15.5" x14ac:dyDescent="0.35">
      <c r="A453" s="1" t="s">
        <v>1910</v>
      </c>
      <c r="B453" s="1" t="s">
        <v>2826</v>
      </c>
    </row>
    <row r="454" spans="1:2" ht="15.5" x14ac:dyDescent="0.35">
      <c r="A454" s="1" t="s">
        <v>1909</v>
      </c>
      <c r="B454" s="1" t="s">
        <v>2827</v>
      </c>
    </row>
    <row r="455" spans="1:2" ht="15.5" x14ac:dyDescent="0.35">
      <c r="A455" s="1" t="s">
        <v>1908</v>
      </c>
      <c r="B455" s="1" t="s">
        <v>2828</v>
      </c>
    </row>
    <row r="456" spans="1:2" ht="15.5" x14ac:dyDescent="0.35">
      <c r="A456" s="1" t="s">
        <v>1907</v>
      </c>
      <c r="B456" s="1" t="s">
        <v>2829</v>
      </c>
    </row>
    <row r="457" spans="1:2" ht="15.5" x14ac:dyDescent="0.35">
      <c r="A457" s="1" t="s">
        <v>1906</v>
      </c>
      <c r="B457" s="1" t="s">
        <v>2830</v>
      </c>
    </row>
    <row r="458" spans="1:2" ht="15.5" x14ac:dyDescent="0.35">
      <c r="A458" s="1" t="s">
        <v>1905</v>
      </c>
      <c r="B458" s="1" t="s">
        <v>2831</v>
      </c>
    </row>
    <row r="459" spans="1:2" ht="15.5" x14ac:dyDescent="0.35">
      <c r="A459" s="1" t="s">
        <v>1904</v>
      </c>
      <c r="B459" s="1" t="s">
        <v>2832</v>
      </c>
    </row>
    <row r="460" spans="1:2" ht="15.5" x14ac:dyDescent="0.35">
      <c r="A460" s="1" t="s">
        <v>1903</v>
      </c>
      <c r="B460" s="1" t="s">
        <v>2833</v>
      </c>
    </row>
    <row r="461" spans="1:2" ht="15.5" x14ac:dyDescent="0.35">
      <c r="A461" s="1" t="s">
        <v>1902</v>
      </c>
      <c r="B461" s="1" t="s">
        <v>2834</v>
      </c>
    </row>
    <row r="462" spans="1:2" ht="15.5" x14ac:dyDescent="0.35">
      <c r="A462" s="1" t="s">
        <v>1901</v>
      </c>
      <c r="B462" s="1" t="s">
        <v>2835</v>
      </c>
    </row>
    <row r="463" spans="1:2" ht="15.5" x14ac:dyDescent="0.35">
      <c r="A463" s="1" t="s">
        <v>1900</v>
      </c>
      <c r="B463" s="1" t="s">
        <v>2836</v>
      </c>
    </row>
    <row r="464" spans="1:2" ht="15.5" x14ac:dyDescent="0.35">
      <c r="A464" s="1" t="s">
        <v>1899</v>
      </c>
      <c r="B464" s="1" t="s">
        <v>2837</v>
      </c>
    </row>
    <row r="465" spans="1:2" ht="15.5" x14ac:dyDescent="0.35">
      <c r="A465" s="1" t="s">
        <v>1898</v>
      </c>
      <c r="B465" s="1" t="s">
        <v>2838</v>
      </c>
    </row>
    <row r="466" spans="1:2" ht="15.5" x14ac:dyDescent="0.35">
      <c r="A466" s="1" t="s">
        <v>1897</v>
      </c>
      <c r="B466" s="1" t="s">
        <v>2839</v>
      </c>
    </row>
    <row r="467" spans="1:2" ht="15.5" x14ac:dyDescent="0.35">
      <c r="A467" s="1" t="s">
        <v>1896</v>
      </c>
      <c r="B467" s="1" t="s">
        <v>2840</v>
      </c>
    </row>
    <row r="468" spans="1:2" ht="15.5" x14ac:dyDescent="0.35">
      <c r="A468" s="1" t="s">
        <v>1895</v>
      </c>
      <c r="B468" s="1" t="s">
        <v>2841</v>
      </c>
    </row>
    <row r="469" spans="1:2" ht="15.5" x14ac:dyDescent="0.35">
      <c r="A469" s="1" t="s">
        <v>1894</v>
      </c>
      <c r="B469" s="1" t="s">
        <v>2842</v>
      </c>
    </row>
    <row r="470" spans="1:2" ht="15.5" x14ac:dyDescent="0.35">
      <c r="A470" s="1" t="s">
        <v>1893</v>
      </c>
      <c r="B470" s="1" t="s">
        <v>2843</v>
      </c>
    </row>
    <row r="471" spans="1:2" ht="15.5" x14ac:dyDescent="0.35">
      <c r="A471" s="1" t="s">
        <v>1892</v>
      </c>
      <c r="B471" s="1" t="s">
        <v>2844</v>
      </c>
    </row>
    <row r="472" spans="1:2" ht="15.5" x14ac:dyDescent="0.35">
      <c r="A472" s="1" t="s">
        <v>1891</v>
      </c>
      <c r="B472" s="1" t="s">
        <v>2845</v>
      </c>
    </row>
    <row r="473" spans="1:2" ht="15.5" x14ac:dyDescent="0.35">
      <c r="A473" s="1" t="s">
        <v>1890</v>
      </c>
      <c r="B473" s="1" t="s">
        <v>2846</v>
      </c>
    </row>
    <row r="474" spans="1:2" ht="15.5" x14ac:dyDescent="0.35">
      <c r="A474" s="1" t="s">
        <v>1889</v>
      </c>
      <c r="B474" s="1" t="s">
        <v>2847</v>
      </c>
    </row>
    <row r="475" spans="1:2" ht="15.5" x14ac:dyDescent="0.35">
      <c r="A475" s="1" t="s">
        <v>1888</v>
      </c>
      <c r="B475" s="1" t="s">
        <v>2848</v>
      </c>
    </row>
    <row r="476" spans="1:2" ht="15.5" x14ac:dyDescent="0.35">
      <c r="A476" s="1" t="s">
        <v>1887</v>
      </c>
      <c r="B476" s="1" t="s">
        <v>2849</v>
      </c>
    </row>
    <row r="477" spans="1:2" ht="15.5" x14ac:dyDescent="0.35">
      <c r="A477" s="1" t="s">
        <v>1885</v>
      </c>
      <c r="B477" s="1" t="s">
        <v>2850</v>
      </c>
    </row>
    <row r="478" spans="1:2" ht="15.5" x14ac:dyDescent="0.35">
      <c r="A478" s="1" t="s">
        <v>1884</v>
      </c>
      <c r="B478" s="1" t="s">
        <v>2851</v>
      </c>
    </row>
    <row r="479" spans="1:2" ht="15.5" x14ac:dyDescent="0.35">
      <c r="A479" s="1" t="s">
        <v>1883</v>
      </c>
      <c r="B479" s="1" t="s">
        <v>2852</v>
      </c>
    </row>
    <row r="480" spans="1:2" ht="15.5" x14ac:dyDescent="0.35">
      <c r="A480" s="1" t="s">
        <v>1882</v>
      </c>
      <c r="B480" s="1" t="s">
        <v>2853</v>
      </c>
    </row>
    <row r="481" spans="1:2" ht="15.5" x14ac:dyDescent="0.35">
      <c r="A481" s="1" t="s">
        <v>1881</v>
      </c>
      <c r="B481" s="1" t="s">
        <v>2854</v>
      </c>
    </row>
    <row r="482" spans="1:2" ht="15.5" x14ac:dyDescent="0.35">
      <c r="A482" s="1" t="s">
        <v>1880</v>
      </c>
      <c r="B482" s="1" t="s">
        <v>2855</v>
      </c>
    </row>
    <row r="483" spans="1:2" ht="15.5" x14ac:dyDescent="0.35">
      <c r="A483" s="1" t="s">
        <v>1879</v>
      </c>
      <c r="B483" s="1" t="s">
        <v>2856</v>
      </c>
    </row>
    <row r="484" spans="1:2" ht="15.5" x14ac:dyDescent="0.35">
      <c r="A484" s="1" t="s">
        <v>1878</v>
      </c>
      <c r="B484" s="1" t="s">
        <v>2857</v>
      </c>
    </row>
    <row r="485" spans="1:2" ht="15.5" x14ac:dyDescent="0.35">
      <c r="A485" s="1" t="s">
        <v>1877</v>
      </c>
      <c r="B485" s="1" t="s">
        <v>2858</v>
      </c>
    </row>
    <row r="486" spans="1:2" ht="15.5" x14ac:dyDescent="0.35">
      <c r="A486" s="1" t="s">
        <v>1876</v>
      </c>
      <c r="B486" s="1" t="s">
        <v>2859</v>
      </c>
    </row>
    <row r="487" spans="1:2" ht="15.5" x14ac:dyDescent="0.35">
      <c r="A487" s="1" t="s">
        <v>1875</v>
      </c>
      <c r="B487" s="1" t="s">
        <v>2860</v>
      </c>
    </row>
    <row r="488" spans="1:2" ht="15.5" x14ac:dyDescent="0.35">
      <c r="A488" s="1" t="s">
        <v>1874</v>
      </c>
      <c r="B488" s="1" t="s">
        <v>2861</v>
      </c>
    </row>
    <row r="489" spans="1:2" ht="15.5" x14ac:dyDescent="0.35">
      <c r="A489" s="1" t="s">
        <v>1873</v>
      </c>
      <c r="B489" s="1" t="s">
        <v>2862</v>
      </c>
    </row>
    <row r="490" spans="1:2" ht="15.5" x14ac:dyDescent="0.35">
      <c r="A490" s="1" t="s">
        <v>1872</v>
      </c>
      <c r="B490" s="1" t="s">
        <v>2863</v>
      </c>
    </row>
    <row r="491" spans="1:2" ht="15.5" x14ac:dyDescent="0.35">
      <c r="A491" s="1" t="s">
        <v>1871</v>
      </c>
      <c r="B491" s="1" t="s">
        <v>2864</v>
      </c>
    </row>
    <row r="492" spans="1:2" ht="15.5" x14ac:dyDescent="0.35">
      <c r="A492" s="1" t="s">
        <v>1870</v>
      </c>
      <c r="B492" s="1" t="s">
        <v>2865</v>
      </c>
    </row>
    <row r="493" spans="1:2" ht="15.5" x14ac:dyDescent="0.35">
      <c r="A493" s="1" t="s">
        <v>1869</v>
      </c>
      <c r="B493" s="1" t="s">
        <v>2866</v>
      </c>
    </row>
    <row r="494" spans="1:2" ht="15.5" x14ac:dyDescent="0.35">
      <c r="A494" s="1" t="s">
        <v>1868</v>
      </c>
      <c r="B494" s="1" t="s">
        <v>2867</v>
      </c>
    </row>
    <row r="495" spans="1:2" ht="15.5" x14ac:dyDescent="0.35">
      <c r="A495" s="1" t="s">
        <v>1867</v>
      </c>
      <c r="B495" s="1" t="s">
        <v>2868</v>
      </c>
    </row>
    <row r="496" spans="1:2" ht="15.5" x14ac:dyDescent="0.35">
      <c r="A496" s="1" t="s">
        <v>1866</v>
      </c>
      <c r="B496" s="1" t="s">
        <v>2869</v>
      </c>
    </row>
    <row r="497" spans="1:2" ht="15.5" x14ac:dyDescent="0.35">
      <c r="A497" s="1" t="s">
        <v>1865</v>
      </c>
      <c r="B497" s="1" t="s">
        <v>2870</v>
      </c>
    </row>
    <row r="498" spans="1:2" ht="15.5" x14ac:dyDescent="0.35">
      <c r="A498" s="1" t="s">
        <v>1864</v>
      </c>
      <c r="B498" s="1" t="s">
        <v>2871</v>
      </c>
    </row>
    <row r="499" spans="1:2" ht="15.5" x14ac:dyDescent="0.35">
      <c r="A499" s="1" t="s">
        <v>1863</v>
      </c>
      <c r="B499" s="1" t="s">
        <v>2872</v>
      </c>
    </row>
    <row r="500" spans="1:2" ht="15.5" x14ac:dyDescent="0.35">
      <c r="A500" s="1" t="s">
        <v>1862</v>
      </c>
      <c r="B500" s="1" t="s">
        <v>2873</v>
      </c>
    </row>
    <row r="501" spans="1:2" ht="15.5" x14ac:dyDescent="0.35">
      <c r="A501" s="1" t="s">
        <v>1861</v>
      </c>
      <c r="B501" s="1" t="s">
        <v>2874</v>
      </c>
    </row>
    <row r="502" spans="1:2" ht="15.5" x14ac:dyDescent="0.35">
      <c r="A502" s="1" t="s">
        <v>1860</v>
      </c>
      <c r="B502" s="1" t="s">
        <v>2875</v>
      </c>
    </row>
    <row r="503" spans="1:2" ht="15.5" x14ac:dyDescent="0.35">
      <c r="A503" s="1" t="s">
        <v>1859</v>
      </c>
      <c r="B503" s="1" t="s">
        <v>2876</v>
      </c>
    </row>
    <row r="504" spans="1:2" ht="15.5" x14ac:dyDescent="0.35">
      <c r="A504" s="1" t="s">
        <v>1858</v>
      </c>
      <c r="B504" s="1" t="s">
        <v>2877</v>
      </c>
    </row>
    <row r="505" spans="1:2" ht="15.5" x14ac:dyDescent="0.35">
      <c r="A505" s="1" t="s">
        <v>1857</v>
      </c>
      <c r="B505" s="1" t="s">
        <v>2878</v>
      </c>
    </row>
    <row r="506" spans="1:2" ht="15.5" x14ac:dyDescent="0.35">
      <c r="A506" s="1" t="s">
        <v>1856</v>
      </c>
      <c r="B506" s="1" t="s">
        <v>2879</v>
      </c>
    </row>
    <row r="507" spans="1:2" ht="15.5" x14ac:dyDescent="0.35">
      <c r="A507" s="1" t="s">
        <v>1855</v>
      </c>
      <c r="B507" s="1" t="s">
        <v>2880</v>
      </c>
    </row>
    <row r="508" spans="1:2" ht="15.5" x14ac:dyDescent="0.35">
      <c r="A508" s="1" t="s">
        <v>1854</v>
      </c>
      <c r="B508" s="1" t="s">
        <v>2881</v>
      </c>
    </row>
    <row r="509" spans="1:2" ht="15.5" x14ac:dyDescent="0.35">
      <c r="A509" s="1" t="s">
        <v>1853</v>
      </c>
      <c r="B509" s="1" t="s">
        <v>2882</v>
      </c>
    </row>
    <row r="510" spans="1:2" ht="15.5" x14ac:dyDescent="0.35">
      <c r="A510" s="1" t="s">
        <v>1852</v>
      </c>
      <c r="B510" s="1" t="s">
        <v>2883</v>
      </c>
    </row>
    <row r="511" spans="1:2" ht="15.5" x14ac:dyDescent="0.35">
      <c r="A511" s="1" t="s">
        <v>1851</v>
      </c>
      <c r="B511" s="1" t="s">
        <v>2884</v>
      </c>
    </row>
    <row r="512" spans="1:2" ht="15.5" x14ac:dyDescent="0.35">
      <c r="A512" s="1" t="s">
        <v>1850</v>
      </c>
      <c r="B512" s="1" t="s">
        <v>2885</v>
      </c>
    </row>
    <row r="513" spans="1:2" ht="15.5" x14ac:dyDescent="0.35">
      <c r="A513" s="1" t="s">
        <v>1849</v>
      </c>
      <c r="B513" s="1" t="s">
        <v>2886</v>
      </c>
    </row>
    <row r="514" spans="1:2" ht="15.5" x14ac:dyDescent="0.35">
      <c r="A514" s="1" t="s">
        <v>1848</v>
      </c>
      <c r="B514" s="1" t="s">
        <v>2887</v>
      </c>
    </row>
    <row r="515" spans="1:2" ht="15.5" x14ac:dyDescent="0.35">
      <c r="A515" s="1" t="s">
        <v>1847</v>
      </c>
      <c r="B515" s="1" t="s">
        <v>2888</v>
      </c>
    </row>
    <row r="516" spans="1:2" ht="15.5" x14ac:dyDescent="0.35">
      <c r="A516" s="1" t="s">
        <v>1846</v>
      </c>
      <c r="B516" s="1" t="s">
        <v>2889</v>
      </c>
    </row>
    <row r="517" spans="1:2" ht="15.5" x14ac:dyDescent="0.35">
      <c r="A517" s="1" t="s">
        <v>1845</v>
      </c>
      <c r="B517" s="1" t="s">
        <v>2890</v>
      </c>
    </row>
    <row r="518" spans="1:2" ht="15.5" x14ac:dyDescent="0.35">
      <c r="A518" s="1" t="s">
        <v>1844</v>
      </c>
      <c r="B518" s="1" t="s">
        <v>2891</v>
      </c>
    </row>
    <row r="519" spans="1:2" ht="15.5" x14ac:dyDescent="0.35">
      <c r="A519" s="1" t="s">
        <v>1843</v>
      </c>
      <c r="B519" s="1" t="s">
        <v>2892</v>
      </c>
    </row>
    <row r="520" spans="1:2" ht="15.5" x14ac:dyDescent="0.35">
      <c r="A520" s="1" t="s">
        <v>1842</v>
      </c>
      <c r="B520" s="1" t="s">
        <v>2893</v>
      </c>
    </row>
    <row r="521" spans="1:2" ht="15.5" x14ac:dyDescent="0.35">
      <c r="A521" s="1" t="s">
        <v>1841</v>
      </c>
      <c r="B521" s="1" t="s">
        <v>2894</v>
      </c>
    </row>
    <row r="522" spans="1:2" ht="15.5" x14ac:dyDescent="0.35">
      <c r="A522" s="1" t="s">
        <v>1840</v>
      </c>
      <c r="B522" s="1" t="s">
        <v>2895</v>
      </c>
    </row>
    <row r="523" spans="1:2" ht="15.5" x14ac:dyDescent="0.35">
      <c r="A523" s="1" t="s">
        <v>1839</v>
      </c>
      <c r="B523" s="1" t="s">
        <v>2896</v>
      </c>
    </row>
    <row r="524" spans="1:2" ht="15.5" x14ac:dyDescent="0.35">
      <c r="A524" s="1" t="s">
        <v>1838</v>
      </c>
      <c r="B524" s="1" t="s">
        <v>2897</v>
      </c>
    </row>
    <row r="525" spans="1:2" ht="15.5" x14ac:dyDescent="0.35">
      <c r="A525" s="1" t="s">
        <v>1837</v>
      </c>
      <c r="B525" s="1" t="s">
        <v>2898</v>
      </c>
    </row>
    <row r="526" spans="1:2" ht="15.5" x14ac:dyDescent="0.35">
      <c r="A526" s="1" t="s">
        <v>1836</v>
      </c>
      <c r="B526" s="1" t="s">
        <v>2899</v>
      </c>
    </row>
    <row r="527" spans="1:2" ht="15.5" x14ac:dyDescent="0.35">
      <c r="A527" s="1" t="s">
        <v>1835</v>
      </c>
      <c r="B527" s="1" t="s">
        <v>2900</v>
      </c>
    </row>
    <row r="528" spans="1:2" ht="15.5" x14ac:dyDescent="0.35">
      <c r="A528" s="1" t="s">
        <v>1834</v>
      </c>
      <c r="B528" s="1" t="s">
        <v>2901</v>
      </c>
    </row>
    <row r="529" spans="1:2" ht="15.5" x14ac:dyDescent="0.35">
      <c r="A529" s="1" t="s">
        <v>1833</v>
      </c>
      <c r="B529" s="1" t="s">
        <v>2902</v>
      </c>
    </row>
    <row r="530" spans="1:2" ht="15.5" x14ac:dyDescent="0.35">
      <c r="A530" s="1" t="s">
        <v>1832</v>
      </c>
      <c r="B530" s="1" t="s">
        <v>2903</v>
      </c>
    </row>
    <row r="531" spans="1:2" ht="15.5" x14ac:dyDescent="0.35">
      <c r="A531" s="1" t="s">
        <v>1831</v>
      </c>
      <c r="B531" s="1" t="s">
        <v>2904</v>
      </c>
    </row>
    <row r="532" spans="1:2" ht="15.5" x14ac:dyDescent="0.35">
      <c r="A532" s="1" t="s">
        <v>1830</v>
      </c>
      <c r="B532" s="1" t="s">
        <v>2905</v>
      </c>
    </row>
    <row r="533" spans="1:2" ht="15.5" x14ac:dyDescent="0.35">
      <c r="A533" s="1" t="s">
        <v>1829</v>
      </c>
      <c r="B533" s="1" t="s">
        <v>2906</v>
      </c>
    </row>
    <row r="534" spans="1:2" ht="15.5" x14ac:dyDescent="0.35">
      <c r="A534" s="1" t="s">
        <v>1828</v>
      </c>
      <c r="B534" s="1" t="s">
        <v>2907</v>
      </c>
    </row>
    <row r="535" spans="1:2" ht="15.5" x14ac:dyDescent="0.35">
      <c r="A535" s="1" t="s">
        <v>1827</v>
      </c>
      <c r="B535" s="1" t="s">
        <v>2908</v>
      </c>
    </row>
    <row r="536" spans="1:2" ht="15.5" x14ac:dyDescent="0.35">
      <c r="A536" s="1" t="s">
        <v>1826</v>
      </c>
      <c r="B536" s="1" t="s">
        <v>2909</v>
      </c>
    </row>
    <row r="537" spans="1:2" ht="15.5" x14ac:dyDescent="0.35">
      <c r="A537" s="1" t="s">
        <v>1825</v>
      </c>
      <c r="B537" s="1" t="s">
        <v>2910</v>
      </c>
    </row>
    <row r="538" spans="1:2" ht="15.5" x14ac:dyDescent="0.35">
      <c r="A538" s="1" t="s">
        <v>1824</v>
      </c>
      <c r="B538" s="1" t="s">
        <v>2911</v>
      </c>
    </row>
    <row r="539" spans="1:2" ht="15.5" x14ac:dyDescent="0.35">
      <c r="A539" s="1" t="s">
        <v>1823</v>
      </c>
      <c r="B539" s="1" t="s">
        <v>2912</v>
      </c>
    </row>
    <row r="540" spans="1:2" ht="15.5" x14ac:dyDescent="0.35">
      <c r="A540" s="1" t="s">
        <v>1822</v>
      </c>
      <c r="B540" s="1" t="s">
        <v>2913</v>
      </c>
    </row>
    <row r="541" spans="1:2" ht="15.5" x14ac:dyDescent="0.35">
      <c r="A541" s="1" t="s">
        <v>1821</v>
      </c>
      <c r="B541" s="1" t="s">
        <v>2914</v>
      </c>
    </row>
    <row r="542" spans="1:2" ht="15.5" x14ac:dyDescent="0.35">
      <c r="A542" s="1" t="s">
        <v>1820</v>
      </c>
      <c r="B542" s="1" t="s">
        <v>2915</v>
      </c>
    </row>
    <row r="543" spans="1:2" ht="15.5" x14ac:dyDescent="0.35">
      <c r="A543" s="1" t="s">
        <v>1819</v>
      </c>
      <c r="B543" s="1" t="s">
        <v>2916</v>
      </c>
    </row>
    <row r="544" spans="1:2" ht="15.5" x14ac:dyDescent="0.35">
      <c r="A544" s="1" t="s">
        <v>1818</v>
      </c>
      <c r="B544" s="1" t="s">
        <v>2917</v>
      </c>
    </row>
    <row r="545" spans="1:2" ht="15.5" x14ac:dyDescent="0.35">
      <c r="A545" s="1" t="s">
        <v>1817</v>
      </c>
      <c r="B545" s="1" t="s">
        <v>2918</v>
      </c>
    </row>
    <row r="546" spans="1:2" ht="15.5" x14ac:dyDescent="0.35">
      <c r="A546" s="1" t="s">
        <v>1816</v>
      </c>
      <c r="B546" s="1" t="s">
        <v>2919</v>
      </c>
    </row>
    <row r="547" spans="1:2" ht="15.5" x14ac:dyDescent="0.35">
      <c r="A547" s="1" t="s">
        <v>1815</v>
      </c>
      <c r="B547" s="1" t="s">
        <v>2920</v>
      </c>
    </row>
    <row r="548" spans="1:2" ht="15.5" x14ac:dyDescent="0.35">
      <c r="A548" s="1" t="s">
        <v>1814</v>
      </c>
      <c r="B548" s="1" t="s">
        <v>2921</v>
      </c>
    </row>
    <row r="549" spans="1:2" ht="15.5" x14ac:dyDescent="0.35">
      <c r="A549" s="1" t="s">
        <v>1813</v>
      </c>
      <c r="B549" s="1" t="s">
        <v>2922</v>
      </c>
    </row>
    <row r="550" spans="1:2" ht="15.5" x14ac:dyDescent="0.35">
      <c r="A550" s="1" t="s">
        <v>1812</v>
      </c>
      <c r="B550" s="1" t="s">
        <v>2923</v>
      </c>
    </row>
    <row r="551" spans="1:2" ht="15.5" x14ac:dyDescent="0.35">
      <c r="A551" s="1" t="s">
        <v>1811</v>
      </c>
      <c r="B551" s="1" t="s">
        <v>2924</v>
      </c>
    </row>
    <row r="552" spans="1:2" ht="15.5" x14ac:dyDescent="0.35">
      <c r="A552" s="1" t="s">
        <v>1810</v>
      </c>
      <c r="B552" s="1" t="s">
        <v>2925</v>
      </c>
    </row>
    <row r="553" spans="1:2" ht="15.5" x14ac:dyDescent="0.35">
      <c r="A553" s="1" t="s">
        <v>1809</v>
      </c>
      <c r="B553" s="1" t="s">
        <v>2926</v>
      </c>
    </row>
    <row r="554" spans="1:2" ht="15.5" x14ac:dyDescent="0.35">
      <c r="A554" s="1" t="s">
        <v>1808</v>
      </c>
      <c r="B554" s="1" t="s">
        <v>2927</v>
      </c>
    </row>
    <row r="555" spans="1:2" ht="15.5" x14ac:dyDescent="0.35">
      <c r="A555" s="1" t="s">
        <v>1807</v>
      </c>
      <c r="B555" s="1" t="s">
        <v>2928</v>
      </c>
    </row>
    <row r="556" spans="1:2" ht="15.5" x14ac:dyDescent="0.35">
      <c r="A556" s="1" t="s">
        <v>1806</v>
      </c>
      <c r="B556" s="1" t="s">
        <v>2929</v>
      </c>
    </row>
    <row r="557" spans="1:2" ht="15.5" x14ac:dyDescent="0.35">
      <c r="A557" s="1" t="s">
        <v>1805</v>
      </c>
      <c r="B557" s="1" t="s">
        <v>2930</v>
      </c>
    </row>
    <row r="558" spans="1:2" ht="15.5" x14ac:dyDescent="0.35">
      <c r="A558" s="1" t="s">
        <v>1804</v>
      </c>
      <c r="B558" s="1" t="s">
        <v>2931</v>
      </c>
    </row>
    <row r="559" spans="1:2" ht="15.5" x14ac:dyDescent="0.35">
      <c r="A559" s="1" t="s">
        <v>1803</v>
      </c>
      <c r="B559" s="1" t="s">
        <v>2932</v>
      </c>
    </row>
    <row r="560" spans="1:2" ht="15.5" x14ac:dyDescent="0.35">
      <c r="A560" s="1" t="s">
        <v>1802</v>
      </c>
      <c r="B560" s="1" t="s">
        <v>2933</v>
      </c>
    </row>
    <row r="561" spans="1:2" ht="15.5" x14ac:dyDescent="0.35">
      <c r="A561" s="1" t="s">
        <v>1801</v>
      </c>
      <c r="B561" s="1" t="s">
        <v>2934</v>
      </c>
    </row>
    <row r="562" spans="1:2" ht="15.5" x14ac:dyDescent="0.35">
      <c r="A562" s="1" t="s">
        <v>1800</v>
      </c>
      <c r="B562" s="1" t="s">
        <v>2935</v>
      </c>
    </row>
    <row r="563" spans="1:2" ht="15.5" x14ac:dyDescent="0.35">
      <c r="A563" s="1" t="s">
        <v>1799</v>
      </c>
      <c r="B563" s="1" t="s">
        <v>2936</v>
      </c>
    </row>
    <row r="564" spans="1:2" ht="15.5" x14ac:dyDescent="0.35">
      <c r="A564" s="1" t="s">
        <v>1798</v>
      </c>
      <c r="B564" s="1" t="s">
        <v>2937</v>
      </c>
    </row>
    <row r="565" spans="1:2" ht="15.5" x14ac:dyDescent="0.35">
      <c r="A565" s="1" t="s">
        <v>1797</v>
      </c>
      <c r="B565" s="1" t="s">
        <v>2938</v>
      </c>
    </row>
    <row r="566" spans="1:2" ht="15.5" x14ac:dyDescent="0.35">
      <c r="A566" s="1" t="s">
        <v>1796</v>
      </c>
      <c r="B566" s="1" t="s">
        <v>2939</v>
      </c>
    </row>
    <row r="567" spans="1:2" ht="15.5" x14ac:dyDescent="0.35">
      <c r="A567" s="1" t="s">
        <v>1795</v>
      </c>
      <c r="B567" s="1" t="s">
        <v>2940</v>
      </c>
    </row>
    <row r="568" spans="1:2" ht="15.5" x14ac:dyDescent="0.35">
      <c r="A568" s="1" t="s">
        <v>1794</v>
      </c>
      <c r="B568" s="1" t="s">
        <v>2941</v>
      </c>
    </row>
    <row r="569" spans="1:2" ht="15.5" x14ac:dyDescent="0.35">
      <c r="A569" s="1" t="s">
        <v>1793</v>
      </c>
      <c r="B569" s="1" t="s">
        <v>2942</v>
      </c>
    </row>
    <row r="570" spans="1:2" ht="15.5" x14ac:dyDescent="0.35">
      <c r="A570" s="1" t="s">
        <v>1792</v>
      </c>
      <c r="B570" s="1" t="s">
        <v>2943</v>
      </c>
    </row>
    <row r="571" spans="1:2" ht="15.5" x14ac:dyDescent="0.35">
      <c r="A571" s="1" t="s">
        <v>1791</v>
      </c>
      <c r="B571" s="1" t="s">
        <v>2944</v>
      </c>
    </row>
    <row r="572" spans="1:2" ht="15.5" x14ac:dyDescent="0.35">
      <c r="A572" s="1" t="s">
        <v>1790</v>
      </c>
      <c r="B572" s="1" t="s">
        <v>2945</v>
      </c>
    </row>
    <row r="573" spans="1:2" ht="15.5" x14ac:dyDescent="0.35">
      <c r="A573" s="1" t="s">
        <v>1789</v>
      </c>
      <c r="B573" s="1" t="s">
        <v>2946</v>
      </c>
    </row>
    <row r="574" spans="1:2" ht="15.5" x14ac:dyDescent="0.35">
      <c r="A574" s="1" t="s">
        <v>1788</v>
      </c>
      <c r="B574" s="1" t="s">
        <v>2947</v>
      </c>
    </row>
    <row r="575" spans="1:2" ht="15.5" x14ac:dyDescent="0.35">
      <c r="A575" s="1" t="s">
        <v>1787</v>
      </c>
      <c r="B575" s="1" t="s">
        <v>2948</v>
      </c>
    </row>
    <row r="576" spans="1:2" ht="15.5" x14ac:dyDescent="0.35">
      <c r="A576" s="1" t="s">
        <v>1786</v>
      </c>
      <c r="B576" s="1" t="s">
        <v>2949</v>
      </c>
    </row>
    <row r="577" spans="1:2" ht="15.5" x14ac:dyDescent="0.35">
      <c r="A577" s="1" t="s">
        <v>1785</v>
      </c>
      <c r="B577" s="1" t="s">
        <v>2950</v>
      </c>
    </row>
    <row r="578" spans="1:2" ht="15.5" x14ac:dyDescent="0.35">
      <c r="A578" s="1" t="s">
        <v>1784</v>
      </c>
      <c r="B578" s="1" t="s">
        <v>2951</v>
      </c>
    </row>
    <row r="579" spans="1:2" ht="15.5" x14ac:dyDescent="0.35">
      <c r="A579" s="1" t="s">
        <v>1783</v>
      </c>
      <c r="B579" s="1" t="s">
        <v>2952</v>
      </c>
    </row>
    <row r="580" spans="1:2" ht="15.5" x14ac:dyDescent="0.35">
      <c r="A580" s="1" t="s">
        <v>1782</v>
      </c>
      <c r="B580" s="1" t="s">
        <v>2953</v>
      </c>
    </row>
    <row r="581" spans="1:2" ht="15.5" x14ac:dyDescent="0.35">
      <c r="A581" s="1" t="s">
        <v>1781</v>
      </c>
      <c r="B581" s="1" t="s">
        <v>2954</v>
      </c>
    </row>
    <row r="582" spans="1:2" ht="15.5" x14ac:dyDescent="0.35">
      <c r="A582" s="1" t="s">
        <v>1780</v>
      </c>
      <c r="B582" s="1" t="s">
        <v>2955</v>
      </c>
    </row>
    <row r="583" spans="1:2" ht="15.5" x14ac:dyDescent="0.35">
      <c r="A583" s="1" t="s">
        <v>1779</v>
      </c>
      <c r="B583" s="1" t="s">
        <v>2956</v>
      </c>
    </row>
    <row r="584" spans="1:2" ht="15.5" x14ac:dyDescent="0.35">
      <c r="A584" s="1" t="s">
        <v>1778</v>
      </c>
      <c r="B584" s="1" t="s">
        <v>2957</v>
      </c>
    </row>
    <row r="585" spans="1:2" ht="15.5" x14ac:dyDescent="0.35">
      <c r="A585" s="1" t="s">
        <v>1777</v>
      </c>
      <c r="B585" s="1" t="s">
        <v>2958</v>
      </c>
    </row>
    <row r="586" spans="1:2" ht="15.5" x14ac:dyDescent="0.35">
      <c r="A586" s="1" t="s">
        <v>1776</v>
      </c>
      <c r="B586" s="1" t="s">
        <v>2959</v>
      </c>
    </row>
    <row r="587" spans="1:2" ht="15.5" x14ac:dyDescent="0.35">
      <c r="A587" s="1" t="s">
        <v>1775</v>
      </c>
      <c r="B587" s="1" t="s">
        <v>2960</v>
      </c>
    </row>
    <row r="588" spans="1:2" ht="15.5" x14ac:dyDescent="0.35">
      <c r="A588" s="1" t="s">
        <v>1774</v>
      </c>
      <c r="B588" s="1" t="s">
        <v>2961</v>
      </c>
    </row>
    <row r="589" spans="1:2" ht="15.5" x14ac:dyDescent="0.35">
      <c r="A589" s="1" t="s">
        <v>1773</v>
      </c>
      <c r="B589" s="1" t="s">
        <v>2962</v>
      </c>
    </row>
    <row r="590" spans="1:2" ht="15.5" x14ac:dyDescent="0.35">
      <c r="A590" s="1" t="s">
        <v>1772</v>
      </c>
      <c r="B590" s="1" t="s">
        <v>2963</v>
      </c>
    </row>
    <row r="591" spans="1:2" ht="15.5" x14ac:dyDescent="0.35">
      <c r="A591" s="1" t="s">
        <v>1771</v>
      </c>
      <c r="B591" s="1" t="s">
        <v>2964</v>
      </c>
    </row>
    <row r="592" spans="1:2" ht="15.5" x14ac:dyDescent="0.35">
      <c r="A592" s="1" t="s">
        <v>1770</v>
      </c>
      <c r="B592" s="1" t="s">
        <v>2965</v>
      </c>
    </row>
    <row r="593" spans="1:2" ht="15.5" x14ac:dyDescent="0.35">
      <c r="A593" s="1" t="s">
        <v>1769</v>
      </c>
      <c r="B593" s="1" t="s">
        <v>2966</v>
      </c>
    </row>
    <row r="594" spans="1:2" ht="15.5" x14ac:dyDescent="0.35">
      <c r="A594" s="1" t="s">
        <v>1768</v>
      </c>
      <c r="B594" s="1" t="s">
        <v>2967</v>
      </c>
    </row>
    <row r="595" spans="1:2" ht="15.5" x14ac:dyDescent="0.35">
      <c r="A595" s="1" t="s">
        <v>1767</v>
      </c>
      <c r="B595" s="1" t="s">
        <v>2968</v>
      </c>
    </row>
    <row r="596" spans="1:2" ht="15.5" x14ac:dyDescent="0.35">
      <c r="A596" s="1" t="s">
        <v>1766</v>
      </c>
      <c r="B596" s="1" t="s">
        <v>2969</v>
      </c>
    </row>
    <row r="597" spans="1:2" ht="15.5" x14ac:dyDescent="0.35">
      <c r="A597" s="1" t="s">
        <v>1765</v>
      </c>
      <c r="B597" s="1" t="s">
        <v>2970</v>
      </c>
    </row>
    <row r="598" spans="1:2" ht="15.5" x14ac:dyDescent="0.35">
      <c r="A598" s="1" t="s">
        <v>1764</v>
      </c>
      <c r="B598" s="1" t="s">
        <v>2971</v>
      </c>
    </row>
    <row r="599" spans="1:2" ht="15.5" x14ac:dyDescent="0.35">
      <c r="A599" s="1" t="s">
        <v>1763</v>
      </c>
      <c r="B599" s="1" t="s">
        <v>2972</v>
      </c>
    </row>
    <row r="600" spans="1:2" ht="15.5" x14ac:dyDescent="0.35">
      <c r="A600" s="1" t="s">
        <v>1762</v>
      </c>
      <c r="B600" s="1" t="s">
        <v>2973</v>
      </c>
    </row>
    <row r="601" spans="1:2" ht="15.5" x14ac:dyDescent="0.35">
      <c r="A601" s="1" t="s">
        <v>1761</v>
      </c>
      <c r="B601" s="1" t="s">
        <v>2974</v>
      </c>
    </row>
    <row r="602" spans="1:2" ht="15.5" x14ac:dyDescent="0.35">
      <c r="A602" s="1" t="s">
        <v>1760</v>
      </c>
      <c r="B602" s="1" t="s">
        <v>2975</v>
      </c>
    </row>
    <row r="603" spans="1:2" ht="15.5" x14ac:dyDescent="0.35">
      <c r="A603" s="1" t="s">
        <v>1759</v>
      </c>
      <c r="B603" s="1" t="s">
        <v>2976</v>
      </c>
    </row>
    <row r="604" spans="1:2" ht="15.5" x14ac:dyDescent="0.35">
      <c r="A604" s="1" t="s">
        <v>1758</v>
      </c>
      <c r="B604" s="1" t="s">
        <v>2977</v>
      </c>
    </row>
    <row r="605" spans="1:2" ht="15.5" x14ac:dyDescent="0.35">
      <c r="A605" s="1" t="s">
        <v>1757</v>
      </c>
      <c r="B605" s="1" t="s">
        <v>2978</v>
      </c>
    </row>
    <row r="606" spans="1:2" ht="15.5" x14ac:dyDescent="0.35">
      <c r="A606" s="1" t="s">
        <v>1756</v>
      </c>
      <c r="B606" s="1" t="s">
        <v>2979</v>
      </c>
    </row>
    <row r="607" spans="1:2" ht="15.5" x14ac:dyDescent="0.35">
      <c r="A607" s="1" t="s">
        <v>1755</v>
      </c>
      <c r="B607" s="1" t="s">
        <v>2980</v>
      </c>
    </row>
    <row r="608" spans="1:2" ht="15.5" x14ac:dyDescent="0.35">
      <c r="A608" s="1" t="s">
        <v>1754</v>
      </c>
      <c r="B608" s="1" t="s">
        <v>2981</v>
      </c>
    </row>
    <row r="609" spans="1:2" ht="15.5" x14ac:dyDescent="0.35">
      <c r="A609" s="1" t="s">
        <v>1753</v>
      </c>
      <c r="B609" s="1" t="s">
        <v>2982</v>
      </c>
    </row>
    <row r="610" spans="1:2" ht="15.5" x14ac:dyDescent="0.35">
      <c r="A610" s="1" t="s">
        <v>1752</v>
      </c>
      <c r="B610" s="1" t="s">
        <v>2983</v>
      </c>
    </row>
    <row r="611" spans="1:2" ht="15.5" x14ac:dyDescent="0.35">
      <c r="A611" s="1" t="s">
        <v>1751</v>
      </c>
      <c r="B611" s="1" t="s">
        <v>2984</v>
      </c>
    </row>
    <row r="612" spans="1:2" ht="15.5" x14ac:dyDescent="0.35">
      <c r="A612" s="1" t="s">
        <v>1750</v>
      </c>
      <c r="B612" s="1" t="s">
        <v>2985</v>
      </c>
    </row>
    <row r="613" spans="1:2" ht="15.5" x14ac:dyDescent="0.35">
      <c r="A613" s="1" t="s">
        <v>1749</v>
      </c>
      <c r="B613" s="1" t="s">
        <v>2986</v>
      </c>
    </row>
    <row r="614" spans="1:2" ht="15.5" x14ac:dyDescent="0.35">
      <c r="A614" s="1" t="s">
        <v>1748</v>
      </c>
      <c r="B614" s="1" t="s">
        <v>2987</v>
      </c>
    </row>
    <row r="615" spans="1:2" ht="15.5" x14ac:dyDescent="0.35">
      <c r="A615" s="1" t="s">
        <v>1747</v>
      </c>
      <c r="B615" s="1" t="s">
        <v>2988</v>
      </c>
    </row>
    <row r="616" spans="1:2" ht="15.5" x14ac:dyDescent="0.35">
      <c r="A616" s="1" t="s">
        <v>1746</v>
      </c>
      <c r="B616" s="1" t="s">
        <v>2989</v>
      </c>
    </row>
    <row r="617" spans="1:2" ht="15.5" x14ac:dyDescent="0.35">
      <c r="A617" s="1" t="s">
        <v>1745</v>
      </c>
      <c r="B617" s="1" t="s">
        <v>2990</v>
      </c>
    </row>
    <row r="618" spans="1:2" ht="15.5" x14ac:dyDescent="0.35">
      <c r="A618" s="1" t="s">
        <v>1744</v>
      </c>
      <c r="B618" s="1" t="s">
        <v>2991</v>
      </c>
    </row>
    <row r="619" spans="1:2" ht="15.5" x14ac:dyDescent="0.35">
      <c r="A619" s="1" t="s">
        <v>1743</v>
      </c>
      <c r="B619" s="1" t="s">
        <v>2992</v>
      </c>
    </row>
    <row r="620" spans="1:2" ht="15.5" x14ac:dyDescent="0.35">
      <c r="A620" s="1" t="s">
        <v>1742</v>
      </c>
      <c r="B620" s="1" t="s">
        <v>2993</v>
      </c>
    </row>
    <row r="621" spans="1:2" ht="15.5" x14ac:dyDescent="0.35">
      <c r="A621" s="1" t="s">
        <v>1741</v>
      </c>
      <c r="B621" s="1" t="s">
        <v>2994</v>
      </c>
    </row>
    <row r="622" spans="1:2" ht="15.5" x14ac:dyDescent="0.35">
      <c r="A622" s="1" t="s">
        <v>1740</v>
      </c>
      <c r="B622" s="1" t="s">
        <v>2995</v>
      </c>
    </row>
    <row r="623" spans="1:2" ht="15.5" x14ac:dyDescent="0.35">
      <c r="A623" s="1" t="s">
        <v>1739</v>
      </c>
      <c r="B623" s="1" t="s">
        <v>2996</v>
      </c>
    </row>
    <row r="624" spans="1:2" ht="15.5" x14ac:dyDescent="0.35">
      <c r="A624" s="1" t="s">
        <v>1738</v>
      </c>
      <c r="B624" s="1" t="s">
        <v>2997</v>
      </c>
    </row>
    <row r="625" spans="1:2" ht="15.5" x14ac:dyDescent="0.35">
      <c r="A625" s="1" t="s">
        <v>1737</v>
      </c>
      <c r="B625" s="1" t="s">
        <v>2998</v>
      </c>
    </row>
    <row r="626" spans="1:2" ht="15.5" x14ac:dyDescent="0.35">
      <c r="A626" s="1" t="s">
        <v>1736</v>
      </c>
      <c r="B626" s="1" t="s">
        <v>2999</v>
      </c>
    </row>
    <row r="627" spans="1:2" ht="15.5" x14ac:dyDescent="0.35">
      <c r="A627" s="1" t="s">
        <v>1735</v>
      </c>
      <c r="B627" s="1" t="s">
        <v>3000</v>
      </c>
    </row>
    <row r="628" spans="1:2" ht="15.5" x14ac:dyDescent="0.35">
      <c r="A628" s="1" t="s">
        <v>1734</v>
      </c>
      <c r="B628" s="1" t="s">
        <v>3001</v>
      </c>
    </row>
    <row r="629" spans="1:2" ht="15.5" x14ac:dyDescent="0.35">
      <c r="A629" s="1" t="s">
        <v>1733</v>
      </c>
      <c r="B629" s="1" t="s">
        <v>3002</v>
      </c>
    </row>
    <row r="630" spans="1:2" ht="15.5" x14ac:dyDescent="0.35">
      <c r="A630" s="1" t="s">
        <v>1732</v>
      </c>
      <c r="B630" s="1" t="s">
        <v>3003</v>
      </c>
    </row>
    <row r="631" spans="1:2" ht="15.5" x14ac:dyDescent="0.35">
      <c r="A631" s="1" t="s">
        <v>1731</v>
      </c>
      <c r="B631" s="1" t="s">
        <v>3004</v>
      </c>
    </row>
    <row r="632" spans="1:2" ht="15.5" x14ac:dyDescent="0.35">
      <c r="A632" s="1" t="s">
        <v>1730</v>
      </c>
      <c r="B632" s="1" t="s">
        <v>3005</v>
      </c>
    </row>
    <row r="633" spans="1:2" ht="15.5" x14ac:dyDescent="0.35">
      <c r="A633" s="1" t="s">
        <v>1729</v>
      </c>
      <c r="B633" s="1" t="s">
        <v>3006</v>
      </c>
    </row>
    <row r="634" spans="1:2" ht="15.5" x14ac:dyDescent="0.35">
      <c r="A634" s="1" t="s">
        <v>1728</v>
      </c>
      <c r="B634" s="1" t="s">
        <v>3007</v>
      </c>
    </row>
    <row r="635" spans="1:2" ht="15.5" x14ac:dyDescent="0.35">
      <c r="A635" s="1" t="s">
        <v>1727</v>
      </c>
      <c r="B635" s="1" t="s">
        <v>3008</v>
      </c>
    </row>
    <row r="636" spans="1:2" ht="15.5" x14ac:dyDescent="0.35">
      <c r="A636" s="1" t="s">
        <v>1726</v>
      </c>
      <c r="B636" s="1" t="s">
        <v>3009</v>
      </c>
    </row>
    <row r="637" spans="1:2" ht="15.5" x14ac:dyDescent="0.35">
      <c r="A637" s="1" t="s">
        <v>1725</v>
      </c>
      <c r="B637" s="1" t="s">
        <v>3010</v>
      </c>
    </row>
    <row r="638" spans="1:2" ht="15.5" x14ac:dyDescent="0.35">
      <c r="A638" s="1" t="s">
        <v>1724</v>
      </c>
      <c r="B638" s="1" t="s">
        <v>3011</v>
      </c>
    </row>
    <row r="639" spans="1:2" ht="15.5" x14ac:dyDescent="0.35">
      <c r="A639" s="1" t="s">
        <v>1723</v>
      </c>
      <c r="B639" s="1" t="s">
        <v>3012</v>
      </c>
    </row>
    <row r="640" spans="1:2" ht="15.5" x14ac:dyDescent="0.35">
      <c r="A640" s="1" t="s">
        <v>1722</v>
      </c>
      <c r="B640" s="1" t="s">
        <v>3013</v>
      </c>
    </row>
    <row r="641" spans="1:2" ht="15.5" x14ac:dyDescent="0.35">
      <c r="A641" s="1" t="s">
        <v>1721</v>
      </c>
      <c r="B641" s="1" t="s">
        <v>3014</v>
      </c>
    </row>
    <row r="642" spans="1:2" ht="15.5" x14ac:dyDescent="0.35">
      <c r="A642" s="1" t="s">
        <v>1720</v>
      </c>
      <c r="B642" s="1" t="s">
        <v>3015</v>
      </c>
    </row>
    <row r="643" spans="1:2" ht="15.5" x14ac:dyDescent="0.35">
      <c r="A643" s="1" t="s">
        <v>1719</v>
      </c>
      <c r="B643" s="1" t="s">
        <v>3016</v>
      </c>
    </row>
    <row r="644" spans="1:2" ht="15.5" x14ac:dyDescent="0.35">
      <c r="A644" s="1" t="s">
        <v>1718</v>
      </c>
      <c r="B644" s="1" t="s">
        <v>3017</v>
      </c>
    </row>
    <row r="645" spans="1:2" ht="15.5" x14ac:dyDescent="0.35">
      <c r="A645" s="1" t="s">
        <v>1717</v>
      </c>
      <c r="B645" s="1" t="s">
        <v>3018</v>
      </c>
    </row>
    <row r="646" spans="1:2" ht="15.5" x14ac:dyDescent="0.35">
      <c r="A646" s="1" t="s">
        <v>1716</v>
      </c>
      <c r="B646" s="1" t="s">
        <v>3019</v>
      </c>
    </row>
    <row r="647" spans="1:2" ht="15.5" x14ac:dyDescent="0.35">
      <c r="A647" s="1" t="s">
        <v>1715</v>
      </c>
      <c r="B647" s="1" t="s">
        <v>3020</v>
      </c>
    </row>
    <row r="648" spans="1:2" ht="15.5" x14ac:dyDescent="0.35">
      <c r="A648" s="1" t="s">
        <v>1714</v>
      </c>
      <c r="B648" s="1" t="s">
        <v>3021</v>
      </c>
    </row>
    <row r="649" spans="1:2" ht="15.5" x14ac:dyDescent="0.35">
      <c r="A649" s="1" t="s">
        <v>1713</v>
      </c>
      <c r="B649" s="1" t="s">
        <v>3022</v>
      </c>
    </row>
    <row r="650" spans="1:2" ht="15.5" x14ac:dyDescent="0.35">
      <c r="A650" s="1" t="s">
        <v>1712</v>
      </c>
      <c r="B650" s="1" t="s">
        <v>3023</v>
      </c>
    </row>
    <row r="651" spans="1:2" ht="15.5" x14ac:dyDescent="0.35">
      <c r="A651" s="1" t="s">
        <v>1711</v>
      </c>
      <c r="B651" s="1" t="s">
        <v>3024</v>
      </c>
    </row>
    <row r="652" spans="1:2" ht="15.5" x14ac:dyDescent="0.35">
      <c r="A652" s="1" t="s">
        <v>1710</v>
      </c>
      <c r="B652" s="1" t="s">
        <v>3025</v>
      </c>
    </row>
    <row r="653" spans="1:2" ht="15.5" x14ac:dyDescent="0.35">
      <c r="A653" s="1" t="s">
        <v>1709</v>
      </c>
      <c r="B653" s="1" t="s">
        <v>3026</v>
      </c>
    </row>
    <row r="654" spans="1:2" ht="15.5" x14ac:dyDescent="0.35">
      <c r="A654" s="1" t="s">
        <v>1708</v>
      </c>
      <c r="B654" s="1" t="s">
        <v>3027</v>
      </c>
    </row>
    <row r="655" spans="1:2" ht="15.5" x14ac:dyDescent="0.35">
      <c r="A655" s="1" t="s">
        <v>1707</v>
      </c>
      <c r="B655" s="1" t="s">
        <v>3028</v>
      </c>
    </row>
    <row r="656" spans="1:2" ht="15.5" x14ac:dyDescent="0.35">
      <c r="A656" s="1" t="s">
        <v>1706</v>
      </c>
      <c r="B656" s="1" t="s">
        <v>3029</v>
      </c>
    </row>
    <row r="657" spans="1:2" ht="15.5" x14ac:dyDescent="0.35">
      <c r="A657" s="1" t="s">
        <v>1705</v>
      </c>
      <c r="B657" s="1" t="s">
        <v>3030</v>
      </c>
    </row>
    <row r="658" spans="1:2" ht="15.5" x14ac:dyDescent="0.35">
      <c r="A658" s="1" t="s">
        <v>1704</v>
      </c>
      <c r="B658" s="1" t="s">
        <v>3031</v>
      </c>
    </row>
    <row r="659" spans="1:2" ht="15.5" x14ac:dyDescent="0.35">
      <c r="A659" s="1" t="s">
        <v>1703</v>
      </c>
      <c r="B659" s="1" t="s">
        <v>3032</v>
      </c>
    </row>
    <row r="660" spans="1:2" ht="15.5" x14ac:dyDescent="0.35">
      <c r="A660" s="1" t="s">
        <v>1702</v>
      </c>
      <c r="B660" s="1" t="s">
        <v>3033</v>
      </c>
    </row>
    <row r="661" spans="1:2" ht="15.5" x14ac:dyDescent="0.35">
      <c r="A661" s="1" t="s">
        <v>1701</v>
      </c>
      <c r="B661" s="1" t="s">
        <v>3034</v>
      </c>
    </row>
    <row r="662" spans="1:2" ht="15.5" x14ac:dyDescent="0.35">
      <c r="A662" s="1" t="s">
        <v>1700</v>
      </c>
      <c r="B662" s="1" t="s">
        <v>3035</v>
      </c>
    </row>
    <row r="663" spans="1:2" ht="15.5" x14ac:dyDescent="0.35">
      <c r="A663" s="1" t="s">
        <v>1699</v>
      </c>
      <c r="B663" s="1" t="s">
        <v>3036</v>
      </c>
    </row>
    <row r="664" spans="1:2" ht="15.5" x14ac:dyDescent="0.35">
      <c r="A664" s="1" t="s">
        <v>1698</v>
      </c>
      <c r="B664" s="1" t="s">
        <v>3037</v>
      </c>
    </row>
    <row r="665" spans="1:2" ht="15.5" x14ac:dyDescent="0.35">
      <c r="A665" s="1" t="s">
        <v>1697</v>
      </c>
      <c r="B665" s="1" t="s">
        <v>3038</v>
      </c>
    </row>
    <row r="666" spans="1:2" ht="15.5" x14ac:dyDescent="0.35">
      <c r="A666" s="1" t="s">
        <v>1696</v>
      </c>
      <c r="B666" s="1" t="s">
        <v>3039</v>
      </c>
    </row>
    <row r="667" spans="1:2" ht="15.5" x14ac:dyDescent="0.35">
      <c r="A667" s="1" t="s">
        <v>1695</v>
      </c>
      <c r="B667" s="1" t="s">
        <v>3040</v>
      </c>
    </row>
    <row r="668" spans="1:2" ht="15.5" x14ac:dyDescent="0.35">
      <c r="A668" s="1" t="s">
        <v>1694</v>
      </c>
      <c r="B668" s="1" t="s">
        <v>3041</v>
      </c>
    </row>
    <row r="669" spans="1:2" ht="15.5" x14ac:dyDescent="0.35">
      <c r="A669" s="1" t="s">
        <v>1693</v>
      </c>
      <c r="B669" s="1" t="s">
        <v>3042</v>
      </c>
    </row>
    <row r="670" spans="1:2" ht="15.5" x14ac:dyDescent="0.35">
      <c r="A670" s="1" t="s">
        <v>1692</v>
      </c>
      <c r="B670" s="1" t="s">
        <v>3043</v>
      </c>
    </row>
    <row r="671" spans="1:2" ht="15.5" x14ac:dyDescent="0.35">
      <c r="A671" s="1" t="s">
        <v>1691</v>
      </c>
      <c r="B671" s="1" t="s">
        <v>3044</v>
      </c>
    </row>
    <row r="672" spans="1:2" ht="15.5" x14ac:dyDescent="0.35">
      <c r="A672" s="1" t="s">
        <v>1690</v>
      </c>
      <c r="B672" s="1" t="s">
        <v>3045</v>
      </c>
    </row>
    <row r="673" spans="1:2" ht="15.5" x14ac:dyDescent="0.35">
      <c r="A673" s="1" t="s">
        <v>1689</v>
      </c>
      <c r="B673" s="1" t="s">
        <v>3046</v>
      </c>
    </row>
    <row r="674" spans="1:2" ht="15.5" x14ac:dyDescent="0.35">
      <c r="A674" s="1" t="s">
        <v>1688</v>
      </c>
      <c r="B674" s="1" t="s">
        <v>3047</v>
      </c>
    </row>
    <row r="675" spans="1:2" ht="15.5" x14ac:dyDescent="0.35">
      <c r="A675" s="1" t="s">
        <v>1687</v>
      </c>
      <c r="B675" s="1" t="s">
        <v>3048</v>
      </c>
    </row>
    <row r="676" spans="1:2" ht="15.5" x14ac:dyDescent="0.35">
      <c r="A676" s="1" t="s">
        <v>1686</v>
      </c>
      <c r="B676" s="1" t="s">
        <v>3049</v>
      </c>
    </row>
    <row r="677" spans="1:2" ht="15.5" x14ac:dyDescent="0.35">
      <c r="A677" s="1" t="s">
        <v>1685</v>
      </c>
      <c r="B677" s="1" t="s">
        <v>3050</v>
      </c>
    </row>
    <row r="678" spans="1:2" ht="15.5" x14ac:dyDescent="0.35">
      <c r="A678" s="1" t="s">
        <v>1684</v>
      </c>
      <c r="B678" s="1" t="s">
        <v>3051</v>
      </c>
    </row>
    <row r="679" spans="1:2" ht="15.5" x14ac:dyDescent="0.35">
      <c r="A679" s="1" t="s">
        <v>1683</v>
      </c>
      <c r="B679" s="1" t="s">
        <v>3052</v>
      </c>
    </row>
    <row r="680" spans="1:2" ht="15.5" x14ac:dyDescent="0.35">
      <c r="A680" s="1" t="s">
        <v>1682</v>
      </c>
      <c r="B680" s="1" t="s">
        <v>3053</v>
      </c>
    </row>
    <row r="681" spans="1:2" ht="15.5" x14ac:dyDescent="0.35">
      <c r="A681" s="1" t="s">
        <v>1681</v>
      </c>
      <c r="B681" s="1" t="s">
        <v>3054</v>
      </c>
    </row>
    <row r="682" spans="1:2" ht="15.5" x14ac:dyDescent="0.35">
      <c r="A682" s="1" t="s">
        <v>1680</v>
      </c>
      <c r="B682" s="1" t="s">
        <v>3055</v>
      </c>
    </row>
    <row r="683" spans="1:2" ht="15.5" x14ac:dyDescent="0.35">
      <c r="A683" s="1" t="s">
        <v>1679</v>
      </c>
      <c r="B683" s="1" t="s">
        <v>3056</v>
      </c>
    </row>
    <row r="684" spans="1:2" ht="15.5" x14ac:dyDescent="0.35">
      <c r="A684" s="1" t="s">
        <v>1678</v>
      </c>
      <c r="B684" s="1" t="s">
        <v>3057</v>
      </c>
    </row>
    <row r="685" spans="1:2" ht="15.5" x14ac:dyDescent="0.35">
      <c r="A685" s="1" t="s">
        <v>1677</v>
      </c>
      <c r="B685" s="1" t="s">
        <v>3058</v>
      </c>
    </row>
    <row r="686" spans="1:2" ht="15.5" x14ac:dyDescent="0.35">
      <c r="A686" s="1" t="s">
        <v>1676</v>
      </c>
      <c r="B686" s="1" t="s">
        <v>3059</v>
      </c>
    </row>
    <row r="687" spans="1:2" ht="15.5" x14ac:dyDescent="0.35">
      <c r="A687" s="1" t="s">
        <v>1675</v>
      </c>
      <c r="B687" s="1" t="s">
        <v>3060</v>
      </c>
    </row>
    <row r="688" spans="1:2" ht="15.5" x14ac:dyDescent="0.35">
      <c r="A688" s="1" t="s">
        <v>1674</v>
      </c>
      <c r="B688" s="1" t="s">
        <v>3061</v>
      </c>
    </row>
    <row r="689" spans="1:2" ht="15.5" x14ac:dyDescent="0.35">
      <c r="A689" s="1" t="s">
        <v>1673</v>
      </c>
      <c r="B689" s="1" t="s">
        <v>3062</v>
      </c>
    </row>
    <row r="690" spans="1:2" ht="15.5" x14ac:dyDescent="0.35">
      <c r="A690" s="1" t="s">
        <v>1672</v>
      </c>
      <c r="B690" s="1" t="s">
        <v>3063</v>
      </c>
    </row>
    <row r="691" spans="1:2" ht="15.5" x14ac:dyDescent="0.35">
      <c r="A691" s="1" t="s">
        <v>1671</v>
      </c>
      <c r="B691" s="1" t="s">
        <v>3064</v>
      </c>
    </row>
    <row r="692" spans="1:2" ht="15.5" x14ac:dyDescent="0.35">
      <c r="A692" s="1" t="s">
        <v>1670</v>
      </c>
      <c r="B692" s="1" t="s">
        <v>3065</v>
      </c>
    </row>
    <row r="693" spans="1:2" ht="15.5" x14ac:dyDescent="0.35">
      <c r="A693" s="1" t="s">
        <v>1669</v>
      </c>
      <c r="B693" s="1" t="s">
        <v>3066</v>
      </c>
    </row>
    <row r="694" spans="1:2" ht="15.5" x14ac:dyDescent="0.35">
      <c r="A694" s="1" t="s">
        <v>1668</v>
      </c>
      <c r="B694" s="1" t="s">
        <v>3067</v>
      </c>
    </row>
    <row r="695" spans="1:2" ht="15.5" x14ac:dyDescent="0.35">
      <c r="A695" s="1" t="s">
        <v>1667</v>
      </c>
      <c r="B695" s="1" t="s">
        <v>3068</v>
      </c>
    </row>
    <row r="696" spans="1:2" ht="15.5" x14ac:dyDescent="0.35">
      <c r="A696" s="1" t="s">
        <v>1666</v>
      </c>
      <c r="B696" s="1" t="s">
        <v>3069</v>
      </c>
    </row>
    <row r="697" spans="1:2" ht="15.5" x14ac:dyDescent="0.35">
      <c r="A697" s="1" t="s">
        <v>1665</v>
      </c>
      <c r="B697" s="1" t="s">
        <v>3070</v>
      </c>
    </row>
    <row r="698" spans="1:2" ht="15.5" x14ac:dyDescent="0.35">
      <c r="A698" s="1" t="s">
        <v>1664</v>
      </c>
      <c r="B698" s="1" t="s">
        <v>3071</v>
      </c>
    </row>
    <row r="699" spans="1:2" ht="15.5" x14ac:dyDescent="0.35">
      <c r="A699" s="1" t="s">
        <v>1663</v>
      </c>
      <c r="B699" s="1" t="s">
        <v>3072</v>
      </c>
    </row>
    <row r="700" spans="1:2" ht="15.5" x14ac:dyDescent="0.35">
      <c r="A700" s="1" t="s">
        <v>1662</v>
      </c>
      <c r="B700" s="1" t="s">
        <v>3073</v>
      </c>
    </row>
    <row r="701" spans="1:2" ht="15.5" x14ac:dyDescent="0.35">
      <c r="A701" s="1" t="s">
        <v>1661</v>
      </c>
      <c r="B701" s="1" t="s">
        <v>3074</v>
      </c>
    </row>
    <row r="702" spans="1:2" ht="15.5" x14ac:dyDescent="0.35">
      <c r="A702" s="1" t="s">
        <v>1660</v>
      </c>
      <c r="B702" s="1" t="s">
        <v>3075</v>
      </c>
    </row>
    <row r="703" spans="1:2" ht="15.5" x14ac:dyDescent="0.35">
      <c r="A703" s="1" t="s">
        <v>1659</v>
      </c>
      <c r="B703" s="1" t="s">
        <v>3076</v>
      </c>
    </row>
    <row r="704" spans="1:2" ht="15.5" x14ac:dyDescent="0.35">
      <c r="A704" s="1" t="s">
        <v>1658</v>
      </c>
      <c r="B704" s="1" t="s">
        <v>3077</v>
      </c>
    </row>
    <row r="705" spans="1:2" ht="15.5" x14ac:dyDescent="0.35">
      <c r="A705" s="1" t="s">
        <v>1657</v>
      </c>
      <c r="B705" s="1" t="s">
        <v>3078</v>
      </c>
    </row>
    <row r="706" spans="1:2" ht="15.5" x14ac:dyDescent="0.35">
      <c r="A706" s="1" t="s">
        <v>1656</v>
      </c>
      <c r="B706" s="1" t="s">
        <v>3079</v>
      </c>
    </row>
    <row r="707" spans="1:2" ht="15.5" x14ac:dyDescent="0.35">
      <c r="A707" s="1" t="s">
        <v>1655</v>
      </c>
      <c r="B707" s="1" t="s">
        <v>3080</v>
      </c>
    </row>
    <row r="708" spans="1:2" ht="15.5" x14ac:dyDescent="0.35">
      <c r="A708" s="1" t="s">
        <v>1654</v>
      </c>
      <c r="B708" s="1" t="s">
        <v>3081</v>
      </c>
    </row>
    <row r="709" spans="1:2" ht="15.5" x14ac:dyDescent="0.35">
      <c r="A709" s="1" t="s">
        <v>1653</v>
      </c>
      <c r="B709" s="1" t="s">
        <v>3082</v>
      </c>
    </row>
    <row r="710" spans="1:2" ht="15.5" x14ac:dyDescent="0.35">
      <c r="A710" s="1" t="s">
        <v>1652</v>
      </c>
      <c r="B710" s="1" t="s">
        <v>3083</v>
      </c>
    </row>
    <row r="711" spans="1:2" ht="15.5" x14ac:dyDescent="0.35">
      <c r="A711" s="1" t="s">
        <v>1651</v>
      </c>
      <c r="B711" s="1" t="s">
        <v>3084</v>
      </c>
    </row>
    <row r="712" spans="1:2" ht="15.5" x14ac:dyDescent="0.35">
      <c r="A712" s="1" t="s">
        <v>1650</v>
      </c>
      <c r="B712" s="1" t="s">
        <v>3085</v>
      </c>
    </row>
    <row r="713" spans="1:2" ht="15.5" x14ac:dyDescent="0.35">
      <c r="A713" s="1" t="s">
        <v>1649</v>
      </c>
      <c r="B713" s="1" t="s">
        <v>3086</v>
      </c>
    </row>
    <row r="714" spans="1:2" ht="15.5" x14ac:dyDescent="0.35">
      <c r="A714" s="1" t="s">
        <v>1648</v>
      </c>
      <c r="B714" s="1" t="s">
        <v>3087</v>
      </c>
    </row>
    <row r="715" spans="1:2" ht="15.5" x14ac:dyDescent="0.35">
      <c r="A715" s="1" t="s">
        <v>1647</v>
      </c>
      <c r="B715" s="1" t="s">
        <v>3088</v>
      </c>
    </row>
    <row r="716" spans="1:2" ht="15.5" x14ac:dyDescent="0.35">
      <c r="A716" s="1" t="s">
        <v>1646</v>
      </c>
      <c r="B716" s="1" t="s">
        <v>3089</v>
      </c>
    </row>
    <row r="717" spans="1:2" ht="15.5" x14ac:dyDescent="0.35">
      <c r="A717" s="1" t="s">
        <v>1645</v>
      </c>
      <c r="B717" s="1" t="s">
        <v>3090</v>
      </c>
    </row>
    <row r="718" spans="1:2" ht="15.5" x14ac:dyDescent="0.35">
      <c r="A718" s="1" t="s">
        <v>1644</v>
      </c>
      <c r="B718" s="1" t="s">
        <v>3091</v>
      </c>
    </row>
    <row r="719" spans="1:2" ht="15.5" x14ac:dyDescent="0.35">
      <c r="A719" s="1" t="s">
        <v>1643</v>
      </c>
      <c r="B719" s="1" t="s">
        <v>3092</v>
      </c>
    </row>
    <row r="720" spans="1:2" ht="15.5" x14ac:dyDescent="0.35">
      <c r="A720" s="1" t="s">
        <v>1642</v>
      </c>
      <c r="B720" s="1" t="s">
        <v>3093</v>
      </c>
    </row>
    <row r="721" spans="1:2" ht="15.5" x14ac:dyDescent="0.35">
      <c r="A721" s="1" t="s">
        <v>1641</v>
      </c>
      <c r="B721" s="1" t="s">
        <v>3094</v>
      </c>
    </row>
    <row r="722" spans="1:2" ht="15.5" x14ac:dyDescent="0.35">
      <c r="A722" s="1" t="s">
        <v>1640</v>
      </c>
      <c r="B722" s="1" t="s">
        <v>3095</v>
      </c>
    </row>
    <row r="723" spans="1:2" ht="15.5" x14ac:dyDescent="0.35">
      <c r="A723" s="1" t="s">
        <v>1639</v>
      </c>
      <c r="B723" s="1" t="s">
        <v>3096</v>
      </c>
    </row>
    <row r="724" spans="1:2" ht="15.5" x14ac:dyDescent="0.35">
      <c r="A724" s="1" t="s">
        <v>1638</v>
      </c>
      <c r="B724" s="1" t="s">
        <v>3097</v>
      </c>
    </row>
    <row r="725" spans="1:2" ht="15.5" x14ac:dyDescent="0.35">
      <c r="A725" s="1" t="s">
        <v>1637</v>
      </c>
      <c r="B725" s="1" t="s">
        <v>3098</v>
      </c>
    </row>
    <row r="726" spans="1:2" ht="15.5" x14ac:dyDescent="0.35">
      <c r="A726" s="1" t="s">
        <v>1636</v>
      </c>
      <c r="B726" s="1" t="s">
        <v>3099</v>
      </c>
    </row>
    <row r="727" spans="1:2" ht="15.5" x14ac:dyDescent="0.35">
      <c r="A727" s="1" t="s">
        <v>1635</v>
      </c>
      <c r="B727" s="1" t="s">
        <v>3100</v>
      </c>
    </row>
    <row r="728" spans="1:2" ht="15.5" x14ac:dyDescent="0.35">
      <c r="A728" s="1" t="s">
        <v>1634</v>
      </c>
      <c r="B728" s="1" t="s">
        <v>3101</v>
      </c>
    </row>
    <row r="729" spans="1:2" ht="15.5" x14ac:dyDescent="0.35">
      <c r="A729" s="1" t="s">
        <v>1633</v>
      </c>
      <c r="B729" s="1" t="s">
        <v>3102</v>
      </c>
    </row>
    <row r="730" spans="1:2" ht="15.5" x14ac:dyDescent="0.35">
      <c r="A730" s="1" t="s">
        <v>1632</v>
      </c>
      <c r="B730" s="1" t="s">
        <v>3103</v>
      </c>
    </row>
    <row r="731" spans="1:2" ht="15.5" x14ac:dyDescent="0.35">
      <c r="A731" s="1" t="s">
        <v>1631</v>
      </c>
      <c r="B731" s="1" t="s">
        <v>3104</v>
      </c>
    </row>
    <row r="732" spans="1:2" ht="15.5" x14ac:dyDescent="0.35">
      <c r="A732" s="1" t="s">
        <v>1630</v>
      </c>
      <c r="B732" s="1" t="s">
        <v>3105</v>
      </c>
    </row>
    <row r="733" spans="1:2" ht="15.5" x14ac:dyDescent="0.35">
      <c r="A733" s="1" t="s">
        <v>1629</v>
      </c>
      <c r="B733" s="1" t="s">
        <v>3106</v>
      </c>
    </row>
    <row r="734" spans="1:2" ht="15.5" x14ac:dyDescent="0.35">
      <c r="A734" s="1" t="s">
        <v>1628</v>
      </c>
      <c r="B734" s="1" t="s">
        <v>3107</v>
      </c>
    </row>
    <row r="735" spans="1:2" ht="15.5" x14ac:dyDescent="0.35">
      <c r="A735" s="1" t="s">
        <v>1627</v>
      </c>
      <c r="B735" s="1" t="s">
        <v>3108</v>
      </c>
    </row>
    <row r="736" spans="1:2" ht="15.5" x14ac:dyDescent="0.35">
      <c r="A736" s="1" t="s">
        <v>1626</v>
      </c>
      <c r="B736" s="1" t="s">
        <v>3109</v>
      </c>
    </row>
    <row r="737" spans="1:2" ht="15.5" x14ac:dyDescent="0.35">
      <c r="A737" s="1" t="s">
        <v>1625</v>
      </c>
      <c r="B737" s="1" t="s">
        <v>3110</v>
      </c>
    </row>
    <row r="738" spans="1:2" ht="15.5" x14ac:dyDescent="0.35">
      <c r="A738" s="1" t="s">
        <v>1624</v>
      </c>
      <c r="B738" s="1" t="s">
        <v>3111</v>
      </c>
    </row>
    <row r="739" spans="1:2" ht="15.5" x14ac:dyDescent="0.35">
      <c r="A739" s="1" t="s">
        <v>1623</v>
      </c>
      <c r="B739" s="1" t="s">
        <v>3112</v>
      </c>
    </row>
    <row r="740" spans="1:2" ht="15.5" x14ac:dyDescent="0.35">
      <c r="A740" s="1" t="s">
        <v>1622</v>
      </c>
      <c r="B740" s="1" t="s">
        <v>3113</v>
      </c>
    </row>
    <row r="741" spans="1:2" ht="15.5" x14ac:dyDescent="0.35">
      <c r="A741" s="1" t="s">
        <v>1621</v>
      </c>
      <c r="B741" s="1" t="s">
        <v>3114</v>
      </c>
    </row>
    <row r="742" spans="1:2" ht="15.5" x14ac:dyDescent="0.35">
      <c r="A742" s="1" t="s">
        <v>1620</v>
      </c>
      <c r="B742" s="1" t="s">
        <v>3115</v>
      </c>
    </row>
    <row r="743" spans="1:2" ht="15.5" x14ac:dyDescent="0.35">
      <c r="A743" s="1" t="s">
        <v>1619</v>
      </c>
      <c r="B743" s="1" t="s">
        <v>3116</v>
      </c>
    </row>
    <row r="744" spans="1:2" ht="15.5" x14ac:dyDescent="0.35">
      <c r="A744" s="1" t="s">
        <v>1618</v>
      </c>
      <c r="B744" s="1" t="s">
        <v>3117</v>
      </c>
    </row>
    <row r="745" spans="1:2" ht="15.5" x14ac:dyDescent="0.35">
      <c r="A745" s="1" t="s">
        <v>1617</v>
      </c>
      <c r="B745" s="1" t="s">
        <v>3118</v>
      </c>
    </row>
    <row r="746" spans="1:2" ht="15.5" x14ac:dyDescent="0.35">
      <c r="A746" s="1" t="s">
        <v>1616</v>
      </c>
      <c r="B746" s="1" t="s">
        <v>3119</v>
      </c>
    </row>
    <row r="747" spans="1:2" ht="15.5" x14ac:dyDescent="0.35">
      <c r="A747" s="1" t="s">
        <v>1615</v>
      </c>
      <c r="B747" s="1" t="s">
        <v>3120</v>
      </c>
    </row>
    <row r="748" spans="1:2" ht="15.5" x14ac:dyDescent="0.35">
      <c r="A748" s="1" t="s">
        <v>1614</v>
      </c>
      <c r="B748" s="1" t="s">
        <v>3121</v>
      </c>
    </row>
    <row r="749" spans="1:2" ht="15.5" x14ac:dyDescent="0.35">
      <c r="A749" s="1" t="s">
        <v>1613</v>
      </c>
      <c r="B749" s="1" t="s">
        <v>3122</v>
      </c>
    </row>
    <row r="750" spans="1:2" ht="15.5" x14ac:dyDescent="0.35">
      <c r="A750" s="1" t="s">
        <v>1612</v>
      </c>
      <c r="B750" s="1" t="s">
        <v>3123</v>
      </c>
    </row>
    <row r="751" spans="1:2" ht="15.5" x14ac:dyDescent="0.35">
      <c r="A751" s="1" t="s">
        <v>1611</v>
      </c>
      <c r="B751" s="1" t="s">
        <v>3124</v>
      </c>
    </row>
    <row r="752" spans="1:2" ht="15.5" x14ac:dyDescent="0.35">
      <c r="A752" s="1" t="s">
        <v>1610</v>
      </c>
      <c r="B752" s="1" t="s">
        <v>3125</v>
      </c>
    </row>
    <row r="753" spans="1:2" ht="15.5" x14ac:dyDescent="0.35">
      <c r="A753" s="1" t="s">
        <v>1609</v>
      </c>
      <c r="B753" s="1" t="s">
        <v>3126</v>
      </c>
    </row>
    <row r="754" spans="1:2" ht="15.5" x14ac:dyDescent="0.35">
      <c r="A754" s="1" t="s">
        <v>1608</v>
      </c>
      <c r="B754" s="1" t="s">
        <v>3127</v>
      </c>
    </row>
    <row r="755" spans="1:2" ht="15.5" x14ac:dyDescent="0.35">
      <c r="A755" s="1" t="s">
        <v>1607</v>
      </c>
      <c r="B755" s="1" t="s">
        <v>3128</v>
      </c>
    </row>
    <row r="756" spans="1:2" ht="15.5" x14ac:dyDescent="0.35">
      <c r="A756" s="1" t="s">
        <v>1606</v>
      </c>
      <c r="B756" s="1" t="s">
        <v>3129</v>
      </c>
    </row>
    <row r="757" spans="1:2" ht="15.5" x14ac:dyDescent="0.35">
      <c r="A757" s="1" t="s">
        <v>1605</v>
      </c>
      <c r="B757" s="1" t="s">
        <v>3130</v>
      </c>
    </row>
    <row r="758" spans="1:2" ht="15.5" x14ac:dyDescent="0.35">
      <c r="A758" s="1" t="s">
        <v>1604</v>
      </c>
      <c r="B758" s="1" t="s">
        <v>3131</v>
      </c>
    </row>
    <row r="759" spans="1:2" ht="15.5" x14ac:dyDescent="0.35">
      <c r="A759" s="1" t="s">
        <v>1603</v>
      </c>
      <c r="B759" s="1" t="s">
        <v>3132</v>
      </c>
    </row>
    <row r="760" spans="1:2" ht="15.5" x14ac:dyDescent="0.35">
      <c r="A760" s="1" t="s">
        <v>1602</v>
      </c>
      <c r="B760" s="1" t="s">
        <v>3133</v>
      </c>
    </row>
    <row r="761" spans="1:2" ht="15.5" x14ac:dyDescent="0.35">
      <c r="A761" s="1" t="s">
        <v>1601</v>
      </c>
      <c r="B761" s="1" t="s">
        <v>3134</v>
      </c>
    </row>
    <row r="762" spans="1:2" ht="15.5" x14ac:dyDescent="0.35">
      <c r="A762" s="1" t="s">
        <v>1600</v>
      </c>
      <c r="B762" s="1" t="s">
        <v>3135</v>
      </c>
    </row>
    <row r="763" spans="1:2" ht="15.5" x14ac:dyDescent="0.35">
      <c r="A763" s="1" t="s">
        <v>1599</v>
      </c>
      <c r="B763" s="1" t="s">
        <v>3136</v>
      </c>
    </row>
    <row r="764" spans="1:2" ht="15.5" x14ac:dyDescent="0.35">
      <c r="A764" s="1" t="s">
        <v>1598</v>
      </c>
      <c r="B764" s="1" t="s">
        <v>3137</v>
      </c>
    </row>
    <row r="765" spans="1:2" ht="15.5" x14ac:dyDescent="0.35">
      <c r="A765" s="1" t="s">
        <v>1597</v>
      </c>
      <c r="B765" s="1" t="s">
        <v>3138</v>
      </c>
    </row>
    <row r="766" spans="1:2" ht="15.5" x14ac:dyDescent="0.35">
      <c r="A766" s="1" t="s">
        <v>1596</v>
      </c>
      <c r="B766" s="1" t="s">
        <v>3139</v>
      </c>
    </row>
    <row r="767" spans="1:2" ht="15.5" x14ac:dyDescent="0.35">
      <c r="A767" s="1" t="s">
        <v>1595</v>
      </c>
      <c r="B767" s="1" t="s">
        <v>3140</v>
      </c>
    </row>
    <row r="768" spans="1:2" ht="15.5" x14ac:dyDescent="0.35">
      <c r="A768" s="1" t="s">
        <v>1594</v>
      </c>
      <c r="B768" s="1" t="s">
        <v>3141</v>
      </c>
    </row>
    <row r="769" spans="1:2" ht="15.5" x14ac:dyDescent="0.35">
      <c r="A769" s="1" t="s">
        <v>1593</v>
      </c>
      <c r="B769" s="1" t="s">
        <v>3142</v>
      </c>
    </row>
    <row r="770" spans="1:2" ht="15.5" x14ac:dyDescent="0.35">
      <c r="A770" s="1" t="s">
        <v>1592</v>
      </c>
      <c r="B770" s="1" t="s">
        <v>3143</v>
      </c>
    </row>
    <row r="771" spans="1:2" ht="15.5" x14ac:dyDescent="0.35">
      <c r="A771" s="1" t="s">
        <v>1591</v>
      </c>
      <c r="B771" s="1" t="s">
        <v>3144</v>
      </c>
    </row>
    <row r="772" spans="1:2" ht="15.5" x14ac:dyDescent="0.35">
      <c r="A772" s="1" t="s">
        <v>1590</v>
      </c>
      <c r="B772" s="1" t="s">
        <v>3145</v>
      </c>
    </row>
    <row r="773" spans="1:2" ht="15.5" x14ac:dyDescent="0.35">
      <c r="A773" s="1" t="s">
        <v>1589</v>
      </c>
      <c r="B773" s="1" t="s">
        <v>3146</v>
      </c>
    </row>
    <row r="774" spans="1:2" ht="15.5" x14ac:dyDescent="0.35">
      <c r="A774" s="1" t="s">
        <v>1588</v>
      </c>
      <c r="B774" s="1" t="s">
        <v>3147</v>
      </c>
    </row>
    <row r="775" spans="1:2" ht="15.5" x14ac:dyDescent="0.35">
      <c r="A775" s="1" t="s">
        <v>1587</v>
      </c>
      <c r="B775" s="1" t="s">
        <v>3148</v>
      </c>
    </row>
    <row r="776" spans="1:2" ht="15.5" x14ac:dyDescent="0.35">
      <c r="A776" s="1" t="s">
        <v>1586</v>
      </c>
      <c r="B776" s="1" t="s">
        <v>3149</v>
      </c>
    </row>
    <row r="777" spans="1:2" ht="15.5" x14ac:dyDescent="0.35">
      <c r="A777" s="1" t="s">
        <v>1585</v>
      </c>
      <c r="B777" s="1" t="s">
        <v>3150</v>
      </c>
    </row>
    <row r="778" spans="1:2" ht="15.5" x14ac:dyDescent="0.35">
      <c r="A778" s="1" t="s">
        <v>1584</v>
      </c>
      <c r="B778" s="1" t="s">
        <v>3151</v>
      </c>
    </row>
    <row r="779" spans="1:2" ht="15.5" x14ac:dyDescent="0.35">
      <c r="A779" s="1" t="s">
        <v>1583</v>
      </c>
      <c r="B779" s="1" t="s">
        <v>3152</v>
      </c>
    </row>
    <row r="780" spans="1:2" ht="15.5" x14ac:dyDescent="0.35">
      <c r="A780" s="1" t="s">
        <v>1582</v>
      </c>
      <c r="B780" s="1" t="s">
        <v>3153</v>
      </c>
    </row>
    <row r="781" spans="1:2" ht="15.5" x14ac:dyDescent="0.35">
      <c r="A781" s="1" t="s">
        <v>1581</v>
      </c>
      <c r="B781" s="1" t="s">
        <v>3154</v>
      </c>
    </row>
    <row r="782" spans="1:2" ht="15.5" x14ac:dyDescent="0.35">
      <c r="A782" s="1" t="s">
        <v>1580</v>
      </c>
      <c r="B782" s="1" t="s">
        <v>3155</v>
      </c>
    </row>
    <row r="783" spans="1:2" ht="15.5" x14ac:dyDescent="0.35">
      <c r="A783" s="1" t="s">
        <v>1579</v>
      </c>
      <c r="B783" s="1" t="s">
        <v>3156</v>
      </c>
    </row>
    <row r="784" spans="1:2" ht="15.5" x14ac:dyDescent="0.35">
      <c r="A784" s="1" t="s">
        <v>1578</v>
      </c>
      <c r="B784" s="1" t="s">
        <v>3157</v>
      </c>
    </row>
    <row r="785" spans="1:2" ht="15.5" x14ac:dyDescent="0.35">
      <c r="A785" s="1" t="s">
        <v>1577</v>
      </c>
      <c r="B785" s="1" t="s">
        <v>3158</v>
      </c>
    </row>
    <row r="786" spans="1:2" ht="15.5" x14ac:dyDescent="0.35">
      <c r="A786" s="1" t="s">
        <v>1576</v>
      </c>
      <c r="B786" s="1" t="s">
        <v>3159</v>
      </c>
    </row>
    <row r="787" spans="1:2" ht="15.5" x14ac:dyDescent="0.35">
      <c r="A787" s="1" t="s">
        <v>1575</v>
      </c>
      <c r="B787" s="1" t="s">
        <v>3160</v>
      </c>
    </row>
    <row r="788" spans="1:2" ht="15.5" x14ac:dyDescent="0.35">
      <c r="A788" s="1" t="s">
        <v>1574</v>
      </c>
      <c r="B788" s="1" t="s">
        <v>3161</v>
      </c>
    </row>
    <row r="789" spans="1:2" ht="15.5" x14ac:dyDescent="0.35">
      <c r="A789" s="1" t="s">
        <v>1573</v>
      </c>
      <c r="B789" s="1" t="s">
        <v>3162</v>
      </c>
    </row>
    <row r="790" spans="1:2" ht="15.5" x14ac:dyDescent="0.35">
      <c r="A790" s="1" t="s">
        <v>1572</v>
      </c>
      <c r="B790" s="1" t="s">
        <v>3163</v>
      </c>
    </row>
    <row r="791" spans="1:2" ht="15.5" x14ac:dyDescent="0.35">
      <c r="A791" s="1" t="s">
        <v>1571</v>
      </c>
      <c r="B791" s="1" t="s">
        <v>3164</v>
      </c>
    </row>
    <row r="792" spans="1:2" ht="15.5" x14ac:dyDescent="0.35">
      <c r="A792" s="1" t="s">
        <v>1570</v>
      </c>
      <c r="B792" s="1" t="s">
        <v>3165</v>
      </c>
    </row>
    <row r="793" spans="1:2" ht="15.5" x14ac:dyDescent="0.35">
      <c r="A793" s="1" t="s">
        <v>1569</v>
      </c>
      <c r="B793" s="1" t="s">
        <v>3166</v>
      </c>
    </row>
    <row r="794" spans="1:2" ht="15.5" x14ac:dyDescent="0.35">
      <c r="A794" s="1" t="s">
        <v>1568</v>
      </c>
      <c r="B794" s="1" t="s">
        <v>3167</v>
      </c>
    </row>
    <row r="795" spans="1:2" ht="15.5" x14ac:dyDescent="0.35">
      <c r="A795" s="1" t="s">
        <v>1567</v>
      </c>
      <c r="B795" s="1" t="s">
        <v>3168</v>
      </c>
    </row>
    <row r="796" spans="1:2" ht="15.5" x14ac:dyDescent="0.35">
      <c r="A796" s="1" t="s">
        <v>1566</v>
      </c>
      <c r="B796" s="1" t="s">
        <v>3169</v>
      </c>
    </row>
    <row r="797" spans="1:2" ht="15.5" x14ac:dyDescent="0.35">
      <c r="A797" s="1" t="s">
        <v>1565</v>
      </c>
      <c r="B797" s="1" t="s">
        <v>3170</v>
      </c>
    </row>
    <row r="798" spans="1:2" ht="15.5" x14ac:dyDescent="0.35">
      <c r="A798" s="1" t="s">
        <v>1564</v>
      </c>
      <c r="B798" s="1" t="s">
        <v>3171</v>
      </c>
    </row>
    <row r="799" spans="1:2" ht="15.5" x14ac:dyDescent="0.35">
      <c r="A799" s="1" t="s">
        <v>1563</v>
      </c>
      <c r="B799" s="1" t="s">
        <v>3172</v>
      </c>
    </row>
    <row r="800" spans="1:2" ht="15.5" x14ac:dyDescent="0.35">
      <c r="A800" s="1" t="s">
        <v>1562</v>
      </c>
      <c r="B800" s="1" t="s">
        <v>3173</v>
      </c>
    </row>
    <row r="801" spans="1:2" ht="15.5" x14ac:dyDescent="0.35">
      <c r="A801" s="1" t="s">
        <v>1561</v>
      </c>
      <c r="B801" s="1" t="s">
        <v>3174</v>
      </c>
    </row>
    <row r="802" spans="1:2" ht="15.5" x14ac:dyDescent="0.35">
      <c r="A802" s="1" t="s">
        <v>1560</v>
      </c>
      <c r="B802" s="1" t="s">
        <v>3175</v>
      </c>
    </row>
    <row r="803" spans="1:2" ht="15.5" x14ac:dyDescent="0.35">
      <c r="A803" s="1" t="s">
        <v>1559</v>
      </c>
      <c r="B803" s="1" t="s">
        <v>3176</v>
      </c>
    </row>
    <row r="804" spans="1:2" ht="15.5" x14ac:dyDescent="0.35">
      <c r="A804" s="1" t="s">
        <v>1558</v>
      </c>
      <c r="B804" s="1" t="s">
        <v>3177</v>
      </c>
    </row>
    <row r="805" spans="1:2" ht="15.5" x14ac:dyDescent="0.35">
      <c r="A805" s="1" t="s">
        <v>1557</v>
      </c>
      <c r="B805" s="1" t="s">
        <v>3178</v>
      </c>
    </row>
    <row r="806" spans="1:2" ht="15.5" x14ac:dyDescent="0.35">
      <c r="A806" s="1" t="s">
        <v>1556</v>
      </c>
      <c r="B806" s="1" t="s">
        <v>3179</v>
      </c>
    </row>
    <row r="807" spans="1:2" ht="15.5" x14ac:dyDescent="0.35">
      <c r="A807" s="1" t="s">
        <v>1555</v>
      </c>
      <c r="B807" s="1" t="s">
        <v>3180</v>
      </c>
    </row>
    <row r="808" spans="1:2" ht="15.5" x14ac:dyDescent="0.35">
      <c r="A808" s="1" t="s">
        <v>1554</v>
      </c>
      <c r="B808" s="1" t="s">
        <v>3181</v>
      </c>
    </row>
    <row r="809" spans="1:2" ht="15.5" x14ac:dyDescent="0.35">
      <c r="A809" s="1" t="s">
        <v>1553</v>
      </c>
      <c r="B809" s="1" t="s">
        <v>3182</v>
      </c>
    </row>
    <row r="810" spans="1:2" ht="15.5" x14ac:dyDescent="0.35">
      <c r="A810" s="1" t="s">
        <v>1552</v>
      </c>
      <c r="B810" s="1" t="s">
        <v>3183</v>
      </c>
    </row>
    <row r="811" spans="1:2" ht="15.5" x14ac:dyDescent="0.35">
      <c r="A811" s="1" t="s">
        <v>1551</v>
      </c>
      <c r="B811" s="1" t="s">
        <v>3184</v>
      </c>
    </row>
    <row r="812" spans="1:2" ht="15.5" x14ac:dyDescent="0.35">
      <c r="A812" s="1" t="s">
        <v>1550</v>
      </c>
      <c r="B812" s="1" t="s">
        <v>3185</v>
      </c>
    </row>
    <row r="813" spans="1:2" ht="15.5" x14ac:dyDescent="0.35">
      <c r="A813" s="1" t="s">
        <v>1549</v>
      </c>
      <c r="B813" s="1" t="s">
        <v>3186</v>
      </c>
    </row>
    <row r="814" spans="1:2" ht="15.5" x14ac:dyDescent="0.35">
      <c r="A814" s="1" t="s">
        <v>1548</v>
      </c>
      <c r="B814" s="1" t="s">
        <v>3187</v>
      </c>
    </row>
    <row r="815" spans="1:2" ht="15.5" x14ac:dyDescent="0.35">
      <c r="A815" s="1" t="s">
        <v>1547</v>
      </c>
      <c r="B815" s="1" t="s">
        <v>3188</v>
      </c>
    </row>
    <row r="816" spans="1:2" ht="15.5" x14ac:dyDescent="0.35">
      <c r="A816" s="1" t="s">
        <v>1546</v>
      </c>
      <c r="B816" s="1" t="s">
        <v>3189</v>
      </c>
    </row>
    <row r="817" spans="1:2" ht="15.5" x14ac:dyDescent="0.35">
      <c r="A817" s="1" t="s">
        <v>1545</v>
      </c>
      <c r="B817" s="1" t="s">
        <v>3190</v>
      </c>
    </row>
    <row r="818" spans="1:2" ht="15.5" x14ac:dyDescent="0.35">
      <c r="A818" s="1" t="s">
        <v>1544</v>
      </c>
      <c r="B818" s="1" t="s">
        <v>3191</v>
      </c>
    </row>
    <row r="819" spans="1:2" ht="15.5" x14ac:dyDescent="0.35">
      <c r="A819" s="1" t="s">
        <v>1543</v>
      </c>
      <c r="B819" s="1" t="s">
        <v>3192</v>
      </c>
    </row>
    <row r="820" spans="1:2" ht="15.5" x14ac:dyDescent="0.35">
      <c r="A820" s="1" t="s">
        <v>1542</v>
      </c>
      <c r="B820" s="1" t="s">
        <v>3193</v>
      </c>
    </row>
    <row r="821" spans="1:2" ht="15.5" x14ac:dyDescent="0.35">
      <c r="A821" s="1" t="s">
        <v>1541</v>
      </c>
      <c r="B821" s="1" t="s">
        <v>3194</v>
      </c>
    </row>
    <row r="822" spans="1:2" ht="15.5" x14ac:dyDescent="0.35">
      <c r="A822" s="1" t="s">
        <v>1540</v>
      </c>
      <c r="B822" s="1" t="s">
        <v>3195</v>
      </c>
    </row>
    <row r="823" spans="1:2" ht="15.5" x14ac:dyDescent="0.35">
      <c r="A823" s="1" t="s">
        <v>1539</v>
      </c>
      <c r="B823" s="1" t="s">
        <v>3196</v>
      </c>
    </row>
    <row r="824" spans="1:2" ht="15.5" x14ac:dyDescent="0.35">
      <c r="A824" s="1" t="s">
        <v>1538</v>
      </c>
      <c r="B824" s="1" t="s">
        <v>3197</v>
      </c>
    </row>
    <row r="825" spans="1:2" ht="15.5" x14ac:dyDescent="0.35">
      <c r="A825" s="1" t="s">
        <v>1537</v>
      </c>
      <c r="B825" s="1" t="s">
        <v>3198</v>
      </c>
    </row>
    <row r="826" spans="1:2" ht="15.5" x14ac:dyDescent="0.35">
      <c r="A826" s="1" t="s">
        <v>1536</v>
      </c>
      <c r="B826" s="1" t="s">
        <v>3199</v>
      </c>
    </row>
    <row r="827" spans="1:2" ht="15.5" x14ac:dyDescent="0.35">
      <c r="A827" s="1" t="s">
        <v>1535</v>
      </c>
      <c r="B827" s="1" t="s">
        <v>3200</v>
      </c>
    </row>
    <row r="828" spans="1:2" ht="15.5" x14ac:dyDescent="0.35">
      <c r="A828" s="1" t="s">
        <v>1534</v>
      </c>
      <c r="B828" s="1" t="s">
        <v>3201</v>
      </c>
    </row>
    <row r="829" spans="1:2" ht="15.5" x14ac:dyDescent="0.35">
      <c r="A829" s="1" t="s">
        <v>1533</v>
      </c>
      <c r="B829" s="1" t="s">
        <v>3202</v>
      </c>
    </row>
    <row r="830" spans="1:2" ht="15.5" x14ac:dyDescent="0.35">
      <c r="A830" s="1" t="s">
        <v>1532</v>
      </c>
      <c r="B830" s="1" t="s">
        <v>3203</v>
      </c>
    </row>
    <row r="831" spans="1:2" ht="15.5" x14ac:dyDescent="0.35">
      <c r="A831" s="1" t="s">
        <v>1531</v>
      </c>
      <c r="B831" s="1" t="s">
        <v>3204</v>
      </c>
    </row>
    <row r="832" spans="1:2" ht="15.5" x14ac:dyDescent="0.35">
      <c r="A832" s="1" t="s">
        <v>1530</v>
      </c>
      <c r="B832" s="1" t="s">
        <v>3205</v>
      </c>
    </row>
    <row r="833" spans="1:2" ht="15.5" x14ac:dyDescent="0.35">
      <c r="A833" s="1" t="s">
        <v>1529</v>
      </c>
      <c r="B833" s="1" t="s">
        <v>3206</v>
      </c>
    </row>
    <row r="834" spans="1:2" ht="15.5" x14ac:dyDescent="0.35">
      <c r="A834" s="1" t="s">
        <v>1528</v>
      </c>
      <c r="B834" s="1" t="s">
        <v>3207</v>
      </c>
    </row>
    <row r="835" spans="1:2" ht="15.5" x14ac:dyDescent="0.35">
      <c r="A835" s="1" t="s">
        <v>1527</v>
      </c>
      <c r="B835" s="1" t="s">
        <v>3208</v>
      </c>
    </row>
    <row r="836" spans="1:2" ht="15.5" x14ac:dyDescent="0.35">
      <c r="A836" s="1" t="s">
        <v>1526</v>
      </c>
      <c r="B836" s="1" t="s">
        <v>3209</v>
      </c>
    </row>
    <row r="837" spans="1:2" ht="15.5" x14ac:dyDescent="0.35">
      <c r="A837" s="1" t="s">
        <v>1525</v>
      </c>
      <c r="B837" s="1" t="s">
        <v>3210</v>
      </c>
    </row>
    <row r="838" spans="1:2" ht="15.5" x14ac:dyDescent="0.35">
      <c r="A838" s="1" t="s">
        <v>1524</v>
      </c>
      <c r="B838" s="1" t="s">
        <v>3211</v>
      </c>
    </row>
    <row r="839" spans="1:2" ht="15.5" x14ac:dyDescent="0.35">
      <c r="A839" s="1" t="s">
        <v>1523</v>
      </c>
      <c r="B839" s="1" t="s">
        <v>3212</v>
      </c>
    </row>
    <row r="840" spans="1:2" ht="15.5" x14ac:dyDescent="0.35">
      <c r="A840" s="1" t="s">
        <v>1522</v>
      </c>
      <c r="B840" s="1" t="s">
        <v>3213</v>
      </c>
    </row>
    <row r="841" spans="1:2" ht="15.5" x14ac:dyDescent="0.35">
      <c r="A841" s="1" t="s">
        <v>1521</v>
      </c>
      <c r="B841" s="1" t="s">
        <v>3214</v>
      </c>
    </row>
    <row r="842" spans="1:2" ht="15.5" x14ac:dyDescent="0.35">
      <c r="A842" s="1" t="s">
        <v>1520</v>
      </c>
      <c r="B842" s="1" t="s">
        <v>3215</v>
      </c>
    </row>
    <row r="843" spans="1:2" ht="15.5" x14ac:dyDescent="0.35">
      <c r="A843" s="1" t="s">
        <v>1519</v>
      </c>
      <c r="B843" s="1" t="s">
        <v>3216</v>
      </c>
    </row>
    <row r="844" spans="1:2" ht="15.5" x14ac:dyDescent="0.35">
      <c r="A844" s="1" t="s">
        <v>1518</v>
      </c>
      <c r="B844" s="1" t="s">
        <v>3217</v>
      </c>
    </row>
    <row r="845" spans="1:2" ht="15.5" x14ac:dyDescent="0.35">
      <c r="A845" s="1" t="s">
        <v>1517</v>
      </c>
      <c r="B845" s="1" t="s">
        <v>3218</v>
      </c>
    </row>
    <row r="846" spans="1:2" ht="15.5" x14ac:dyDescent="0.35">
      <c r="A846" s="1" t="s">
        <v>1516</v>
      </c>
      <c r="B846" s="1" t="s">
        <v>3219</v>
      </c>
    </row>
    <row r="847" spans="1:2" ht="15.5" x14ac:dyDescent="0.35">
      <c r="A847" s="1" t="s">
        <v>1515</v>
      </c>
      <c r="B847" s="1" t="s">
        <v>3220</v>
      </c>
    </row>
    <row r="848" spans="1:2" ht="15.5" x14ac:dyDescent="0.35">
      <c r="A848" s="1" t="s">
        <v>1514</v>
      </c>
      <c r="B848" s="1" t="s">
        <v>3221</v>
      </c>
    </row>
    <row r="849" spans="1:2" ht="15.5" x14ac:dyDescent="0.35">
      <c r="A849" s="1" t="s">
        <v>1513</v>
      </c>
      <c r="B849" s="1" t="s">
        <v>3222</v>
      </c>
    </row>
    <row r="850" spans="1:2" ht="15.5" x14ac:dyDescent="0.35">
      <c r="A850" s="1" t="s">
        <v>1512</v>
      </c>
      <c r="B850" s="1" t="s">
        <v>3223</v>
      </c>
    </row>
    <row r="851" spans="1:2" ht="15.5" x14ac:dyDescent="0.35">
      <c r="A851" s="1" t="s">
        <v>1511</v>
      </c>
      <c r="B851" s="1" t="s">
        <v>3224</v>
      </c>
    </row>
    <row r="852" spans="1:2" ht="15.5" x14ac:dyDescent="0.35">
      <c r="A852" s="1" t="s">
        <v>1510</v>
      </c>
      <c r="B852" s="1" t="s">
        <v>3225</v>
      </c>
    </row>
    <row r="853" spans="1:2" ht="15.5" x14ac:dyDescent="0.35">
      <c r="A853" s="1" t="s">
        <v>1509</v>
      </c>
      <c r="B853" s="1" t="s">
        <v>3226</v>
      </c>
    </row>
    <row r="854" spans="1:2" ht="15.5" x14ac:dyDescent="0.35">
      <c r="A854" s="1" t="s">
        <v>1508</v>
      </c>
      <c r="B854" s="1" t="s">
        <v>3227</v>
      </c>
    </row>
    <row r="855" spans="1:2" ht="15.5" x14ac:dyDescent="0.35">
      <c r="A855" s="1" t="s">
        <v>1507</v>
      </c>
      <c r="B855" s="1" t="s">
        <v>3228</v>
      </c>
    </row>
    <row r="856" spans="1:2" ht="15.5" x14ac:dyDescent="0.35">
      <c r="A856" s="1" t="s">
        <v>1506</v>
      </c>
      <c r="B856" s="1" t="s">
        <v>3229</v>
      </c>
    </row>
    <row r="857" spans="1:2" ht="15.5" x14ac:dyDescent="0.35">
      <c r="A857" s="1" t="s">
        <v>1505</v>
      </c>
      <c r="B857" s="1" t="s">
        <v>3230</v>
      </c>
    </row>
    <row r="858" spans="1:2" ht="15.5" x14ac:dyDescent="0.35">
      <c r="A858" s="1" t="s">
        <v>1504</v>
      </c>
      <c r="B858" s="1" t="s">
        <v>3231</v>
      </c>
    </row>
    <row r="859" spans="1:2" ht="15.5" x14ac:dyDescent="0.35">
      <c r="A859" s="1" t="s">
        <v>1503</v>
      </c>
      <c r="B859" s="1" t="s">
        <v>3232</v>
      </c>
    </row>
    <row r="860" spans="1:2" ht="15.5" x14ac:dyDescent="0.35">
      <c r="A860" s="1" t="s">
        <v>1502</v>
      </c>
      <c r="B860" s="1" t="s">
        <v>3233</v>
      </c>
    </row>
    <row r="861" spans="1:2" ht="15.5" x14ac:dyDescent="0.35">
      <c r="A861" s="1" t="s">
        <v>1501</v>
      </c>
      <c r="B861" s="1" t="s">
        <v>3234</v>
      </c>
    </row>
    <row r="862" spans="1:2" ht="15.5" x14ac:dyDescent="0.35">
      <c r="A862" s="1" t="s">
        <v>1500</v>
      </c>
      <c r="B862" s="1" t="s">
        <v>3235</v>
      </c>
    </row>
    <row r="863" spans="1:2" ht="15.5" x14ac:dyDescent="0.35">
      <c r="A863" s="1" t="s">
        <v>1499</v>
      </c>
      <c r="B863" s="1" t="s">
        <v>3236</v>
      </c>
    </row>
    <row r="864" spans="1:2" ht="15.5" x14ac:dyDescent="0.35">
      <c r="A864" s="1" t="s">
        <v>1498</v>
      </c>
      <c r="B864" s="1" t="s">
        <v>3237</v>
      </c>
    </row>
    <row r="865" spans="1:2" ht="15.5" x14ac:dyDescent="0.35">
      <c r="A865" s="1" t="s">
        <v>1497</v>
      </c>
      <c r="B865" s="1" t="s">
        <v>3238</v>
      </c>
    </row>
    <row r="866" spans="1:2" ht="15.5" x14ac:dyDescent="0.35">
      <c r="A866" s="1" t="s">
        <v>1496</v>
      </c>
      <c r="B866" s="1" t="s">
        <v>3239</v>
      </c>
    </row>
    <row r="867" spans="1:2" ht="15.5" x14ac:dyDescent="0.35">
      <c r="A867" s="1" t="s">
        <v>1495</v>
      </c>
      <c r="B867" s="1" t="s">
        <v>3240</v>
      </c>
    </row>
    <row r="868" spans="1:2" ht="15.5" x14ac:dyDescent="0.35">
      <c r="A868" s="1" t="s">
        <v>1494</v>
      </c>
      <c r="B868" s="1" t="s">
        <v>3241</v>
      </c>
    </row>
    <row r="869" spans="1:2" ht="15.5" x14ac:dyDescent="0.35">
      <c r="A869" s="1" t="s">
        <v>1493</v>
      </c>
      <c r="B869" s="1" t="s">
        <v>3242</v>
      </c>
    </row>
    <row r="870" spans="1:2" ht="15.5" x14ac:dyDescent="0.35">
      <c r="A870" s="1" t="s">
        <v>1492</v>
      </c>
      <c r="B870" s="1" t="s">
        <v>3243</v>
      </c>
    </row>
    <row r="871" spans="1:2" ht="15.5" x14ac:dyDescent="0.35">
      <c r="A871" s="1" t="s">
        <v>1491</v>
      </c>
      <c r="B871" s="1" t="s">
        <v>3244</v>
      </c>
    </row>
    <row r="872" spans="1:2" ht="15.5" x14ac:dyDescent="0.35">
      <c r="A872" s="1" t="s">
        <v>1490</v>
      </c>
      <c r="B872" s="1" t="s">
        <v>3245</v>
      </c>
    </row>
    <row r="873" spans="1:2" ht="15.5" x14ac:dyDescent="0.35">
      <c r="A873" s="1" t="s">
        <v>1489</v>
      </c>
      <c r="B873" s="1" t="s">
        <v>3246</v>
      </c>
    </row>
    <row r="874" spans="1:2" ht="15.5" x14ac:dyDescent="0.35">
      <c r="A874" s="1" t="s">
        <v>1488</v>
      </c>
      <c r="B874" s="1" t="s">
        <v>3247</v>
      </c>
    </row>
    <row r="875" spans="1:2" ht="15.5" x14ac:dyDescent="0.35">
      <c r="A875" s="1" t="s">
        <v>1487</v>
      </c>
      <c r="B875" s="1" t="s">
        <v>3248</v>
      </c>
    </row>
    <row r="876" spans="1:2" ht="15.5" x14ac:dyDescent="0.35">
      <c r="A876" s="1" t="s">
        <v>1486</v>
      </c>
      <c r="B876" s="1" t="s">
        <v>3249</v>
      </c>
    </row>
    <row r="877" spans="1:2" ht="15.5" x14ac:dyDescent="0.35">
      <c r="A877" s="1" t="s">
        <v>1485</v>
      </c>
      <c r="B877" s="1" t="s">
        <v>3250</v>
      </c>
    </row>
    <row r="878" spans="1:2" ht="15.5" x14ac:dyDescent="0.35">
      <c r="A878" s="1" t="s">
        <v>1484</v>
      </c>
      <c r="B878" s="1" t="s">
        <v>3251</v>
      </c>
    </row>
    <row r="879" spans="1:2" ht="15.5" x14ac:dyDescent="0.35">
      <c r="A879" s="1" t="s">
        <v>1483</v>
      </c>
      <c r="B879" s="1" t="s">
        <v>3252</v>
      </c>
    </row>
    <row r="880" spans="1:2" ht="15.5" x14ac:dyDescent="0.35">
      <c r="A880" s="1" t="s">
        <v>1482</v>
      </c>
      <c r="B880" s="1" t="s">
        <v>3253</v>
      </c>
    </row>
    <row r="881" spans="1:2" ht="15.5" x14ac:dyDescent="0.35">
      <c r="A881" s="1" t="s">
        <v>1481</v>
      </c>
      <c r="B881" s="1" t="s">
        <v>3254</v>
      </c>
    </row>
    <row r="882" spans="1:2" ht="15.5" x14ac:dyDescent="0.35">
      <c r="A882" s="1" t="s">
        <v>1480</v>
      </c>
      <c r="B882" s="1" t="s">
        <v>3255</v>
      </c>
    </row>
    <row r="883" spans="1:2" ht="15.5" x14ac:dyDescent="0.35">
      <c r="A883" s="1" t="s">
        <v>1479</v>
      </c>
      <c r="B883" s="1" t="s">
        <v>3256</v>
      </c>
    </row>
    <row r="884" spans="1:2" ht="15.5" x14ac:dyDescent="0.35">
      <c r="A884" s="1" t="s">
        <v>1478</v>
      </c>
      <c r="B884" s="1" t="s">
        <v>3257</v>
      </c>
    </row>
    <row r="885" spans="1:2" ht="15.5" x14ac:dyDescent="0.35">
      <c r="A885" s="1" t="s">
        <v>1477</v>
      </c>
      <c r="B885" s="1" t="s">
        <v>3258</v>
      </c>
    </row>
    <row r="886" spans="1:2" ht="15.5" x14ac:dyDescent="0.35">
      <c r="A886" s="1" t="s">
        <v>1476</v>
      </c>
      <c r="B886" s="1" t="s">
        <v>3259</v>
      </c>
    </row>
    <row r="887" spans="1:2" ht="15.5" x14ac:dyDescent="0.35">
      <c r="A887" s="1" t="s">
        <v>1475</v>
      </c>
      <c r="B887" s="1" t="s">
        <v>3260</v>
      </c>
    </row>
    <row r="888" spans="1:2" ht="15.5" x14ac:dyDescent="0.35">
      <c r="A888" s="1" t="s">
        <v>1474</v>
      </c>
      <c r="B888" s="1" t="s">
        <v>3261</v>
      </c>
    </row>
    <row r="889" spans="1:2" ht="15.5" x14ac:dyDescent="0.35">
      <c r="A889" s="1" t="s">
        <v>1473</v>
      </c>
      <c r="B889" s="1" t="s">
        <v>3262</v>
      </c>
    </row>
    <row r="890" spans="1:2" ht="15.5" x14ac:dyDescent="0.35">
      <c r="A890" s="1" t="s">
        <v>1472</v>
      </c>
      <c r="B890" s="1" t="s">
        <v>3263</v>
      </c>
    </row>
    <row r="891" spans="1:2" ht="15.5" x14ac:dyDescent="0.35">
      <c r="A891" s="1" t="s">
        <v>1471</v>
      </c>
      <c r="B891" s="1" t="s">
        <v>3264</v>
      </c>
    </row>
    <row r="892" spans="1:2" ht="15.5" x14ac:dyDescent="0.35">
      <c r="A892" s="1" t="s">
        <v>1470</v>
      </c>
      <c r="B892" s="1" t="s">
        <v>3265</v>
      </c>
    </row>
    <row r="893" spans="1:2" ht="15.5" x14ac:dyDescent="0.35">
      <c r="A893" s="1" t="s">
        <v>1469</v>
      </c>
      <c r="B893" s="1" t="s">
        <v>3266</v>
      </c>
    </row>
    <row r="894" spans="1:2" ht="15.5" x14ac:dyDescent="0.35">
      <c r="A894" s="1" t="s">
        <v>1468</v>
      </c>
      <c r="B894" s="1" t="s">
        <v>3267</v>
      </c>
    </row>
    <row r="895" spans="1:2" ht="15.5" x14ac:dyDescent="0.35">
      <c r="A895" s="1" t="s">
        <v>1467</v>
      </c>
      <c r="B895" s="1" t="s">
        <v>3268</v>
      </c>
    </row>
    <row r="896" spans="1:2" ht="15.5" x14ac:dyDescent="0.35">
      <c r="A896" s="1" t="s">
        <v>1466</v>
      </c>
      <c r="B896" s="1" t="s">
        <v>3269</v>
      </c>
    </row>
    <row r="897" spans="1:2" ht="15.5" x14ac:dyDescent="0.35">
      <c r="A897" s="1" t="s">
        <v>1465</v>
      </c>
      <c r="B897" s="1" t="s">
        <v>3270</v>
      </c>
    </row>
    <row r="898" spans="1:2" ht="15.5" x14ac:dyDescent="0.35">
      <c r="A898" s="1" t="s">
        <v>1464</v>
      </c>
      <c r="B898" s="1" t="s">
        <v>3271</v>
      </c>
    </row>
    <row r="899" spans="1:2" ht="15.5" x14ac:dyDescent="0.35">
      <c r="A899" s="1" t="s">
        <v>1463</v>
      </c>
      <c r="B899" s="1" t="s">
        <v>3272</v>
      </c>
    </row>
    <row r="900" spans="1:2" ht="15.5" x14ac:dyDescent="0.35">
      <c r="A900" s="1" t="s">
        <v>1462</v>
      </c>
      <c r="B900" s="1" t="s">
        <v>3273</v>
      </c>
    </row>
    <row r="901" spans="1:2" ht="15.5" x14ac:dyDescent="0.35">
      <c r="A901" s="1" t="s">
        <v>1461</v>
      </c>
      <c r="B901" s="1" t="s">
        <v>3274</v>
      </c>
    </row>
    <row r="902" spans="1:2" ht="15.5" x14ac:dyDescent="0.35">
      <c r="A902" s="1" t="s">
        <v>1460</v>
      </c>
      <c r="B902" s="1" t="s">
        <v>3275</v>
      </c>
    </row>
    <row r="903" spans="1:2" ht="15.5" x14ac:dyDescent="0.35">
      <c r="A903" s="1" t="s">
        <v>1459</v>
      </c>
      <c r="B903" s="1" t="s">
        <v>3276</v>
      </c>
    </row>
    <row r="904" spans="1:2" ht="15.5" x14ac:dyDescent="0.35">
      <c r="A904" s="1" t="s">
        <v>1458</v>
      </c>
      <c r="B904" s="1" t="s">
        <v>3277</v>
      </c>
    </row>
    <row r="905" spans="1:2" ht="15.5" x14ac:dyDescent="0.35">
      <c r="A905" s="1" t="s">
        <v>1457</v>
      </c>
      <c r="B905" s="1" t="s">
        <v>3278</v>
      </c>
    </row>
    <row r="906" spans="1:2" ht="15.5" x14ac:dyDescent="0.35">
      <c r="A906" s="1" t="s">
        <v>1456</v>
      </c>
      <c r="B906" s="1" t="s">
        <v>3279</v>
      </c>
    </row>
    <row r="907" spans="1:2" ht="15.5" x14ac:dyDescent="0.35">
      <c r="A907" s="1" t="s">
        <v>1455</v>
      </c>
      <c r="B907" s="1" t="s">
        <v>3280</v>
      </c>
    </row>
    <row r="908" spans="1:2" ht="15.5" x14ac:dyDescent="0.35">
      <c r="A908" s="1" t="s">
        <v>1454</v>
      </c>
      <c r="B908" s="1" t="s">
        <v>3281</v>
      </c>
    </row>
    <row r="909" spans="1:2" ht="15.5" x14ac:dyDescent="0.35">
      <c r="A909" s="1" t="s">
        <v>1453</v>
      </c>
      <c r="B909" s="1" t="s">
        <v>3282</v>
      </c>
    </row>
    <row r="910" spans="1:2" ht="15.5" x14ac:dyDescent="0.35">
      <c r="A910" s="1" t="s">
        <v>1452</v>
      </c>
      <c r="B910" s="1" t="s">
        <v>3283</v>
      </c>
    </row>
    <row r="911" spans="1:2" ht="15.5" x14ac:dyDescent="0.35">
      <c r="A911" s="1" t="s">
        <v>1451</v>
      </c>
      <c r="B911" s="1" t="s">
        <v>3284</v>
      </c>
    </row>
    <row r="912" spans="1:2" ht="15.5" x14ac:dyDescent="0.35">
      <c r="A912" s="1" t="s">
        <v>1450</v>
      </c>
      <c r="B912" s="1" t="s">
        <v>3285</v>
      </c>
    </row>
    <row r="913" spans="1:2" ht="15.5" x14ac:dyDescent="0.35">
      <c r="A913" s="1" t="s">
        <v>1449</v>
      </c>
      <c r="B913" s="1" t="s">
        <v>3286</v>
      </c>
    </row>
    <row r="914" spans="1:2" ht="15.5" x14ac:dyDescent="0.35">
      <c r="A914" s="1" t="s">
        <v>1448</v>
      </c>
      <c r="B914" s="1" t="s">
        <v>3287</v>
      </c>
    </row>
    <row r="915" spans="1:2" ht="15.5" x14ac:dyDescent="0.35">
      <c r="A915" s="1" t="s">
        <v>1447</v>
      </c>
      <c r="B915" s="1" t="s">
        <v>3288</v>
      </c>
    </row>
    <row r="916" spans="1:2" ht="15.5" x14ac:dyDescent="0.35">
      <c r="A916" s="1" t="s">
        <v>1446</v>
      </c>
      <c r="B916" s="1" t="s">
        <v>3289</v>
      </c>
    </row>
    <row r="917" spans="1:2" ht="15.5" x14ac:dyDescent="0.35">
      <c r="A917" s="1" t="s">
        <v>1445</v>
      </c>
      <c r="B917" s="1" t="s">
        <v>3290</v>
      </c>
    </row>
    <row r="918" spans="1:2" ht="15.5" x14ac:dyDescent="0.35">
      <c r="A918" s="1" t="s">
        <v>1444</v>
      </c>
      <c r="B918" s="1" t="s">
        <v>3291</v>
      </c>
    </row>
    <row r="919" spans="1:2" ht="15.5" x14ac:dyDescent="0.35">
      <c r="A919" s="1" t="s">
        <v>1443</v>
      </c>
      <c r="B919" s="1" t="s">
        <v>3292</v>
      </c>
    </row>
    <row r="920" spans="1:2" ht="15.5" x14ac:dyDescent="0.35">
      <c r="A920" s="1" t="s">
        <v>1442</v>
      </c>
      <c r="B920" s="1" t="s">
        <v>3293</v>
      </c>
    </row>
    <row r="921" spans="1:2" ht="15.5" x14ac:dyDescent="0.35">
      <c r="A921" s="1" t="s">
        <v>1441</v>
      </c>
      <c r="B921" s="1" t="s">
        <v>3294</v>
      </c>
    </row>
    <row r="922" spans="1:2" ht="15.5" x14ac:dyDescent="0.35">
      <c r="A922" s="1" t="s">
        <v>1440</v>
      </c>
      <c r="B922" s="1" t="s">
        <v>3295</v>
      </c>
    </row>
    <row r="923" spans="1:2" ht="15.5" x14ac:dyDescent="0.35">
      <c r="A923" s="1" t="s">
        <v>1439</v>
      </c>
      <c r="B923" s="1" t="s">
        <v>3296</v>
      </c>
    </row>
    <row r="924" spans="1:2" ht="15.5" x14ac:dyDescent="0.35">
      <c r="A924" s="1" t="s">
        <v>1438</v>
      </c>
      <c r="B924" s="1" t="s">
        <v>3297</v>
      </c>
    </row>
    <row r="925" spans="1:2" ht="15.5" x14ac:dyDescent="0.35">
      <c r="A925" s="1" t="s">
        <v>1437</v>
      </c>
      <c r="B925" s="1" t="s">
        <v>3298</v>
      </c>
    </row>
    <row r="926" spans="1:2" ht="15.5" x14ac:dyDescent="0.35">
      <c r="A926" s="1" t="s">
        <v>1436</v>
      </c>
      <c r="B926" s="1" t="s">
        <v>3299</v>
      </c>
    </row>
    <row r="927" spans="1:2" ht="15.5" x14ac:dyDescent="0.35">
      <c r="A927" s="1" t="s">
        <v>1435</v>
      </c>
      <c r="B927" s="1" t="s">
        <v>3300</v>
      </c>
    </row>
    <row r="928" spans="1:2" ht="15.5" x14ac:dyDescent="0.35">
      <c r="A928" s="1" t="s">
        <v>1434</v>
      </c>
      <c r="B928" s="1" t="s">
        <v>3301</v>
      </c>
    </row>
    <row r="929" spans="1:2" ht="15.5" x14ac:dyDescent="0.35">
      <c r="A929" s="1" t="s">
        <v>1433</v>
      </c>
      <c r="B929" s="1" t="s">
        <v>3302</v>
      </c>
    </row>
    <row r="930" spans="1:2" ht="15.5" x14ac:dyDescent="0.35">
      <c r="A930" s="1" t="s">
        <v>1432</v>
      </c>
      <c r="B930" s="1" t="s">
        <v>3303</v>
      </c>
    </row>
    <row r="931" spans="1:2" ht="15.5" x14ac:dyDescent="0.35">
      <c r="A931" s="1" t="s">
        <v>1431</v>
      </c>
      <c r="B931" s="1" t="s">
        <v>3304</v>
      </c>
    </row>
    <row r="932" spans="1:2" ht="15.5" x14ac:dyDescent="0.35">
      <c r="A932" s="1" t="s">
        <v>1430</v>
      </c>
      <c r="B932" s="1" t="s">
        <v>3305</v>
      </c>
    </row>
    <row r="933" spans="1:2" ht="15.5" x14ac:dyDescent="0.35">
      <c r="A933" s="1" t="s">
        <v>1429</v>
      </c>
      <c r="B933" s="1" t="s">
        <v>3306</v>
      </c>
    </row>
    <row r="934" spans="1:2" ht="15.5" x14ac:dyDescent="0.35">
      <c r="A934" s="1" t="s">
        <v>1428</v>
      </c>
      <c r="B934" s="1" t="s">
        <v>3307</v>
      </c>
    </row>
    <row r="935" spans="1:2" ht="15.5" x14ac:dyDescent="0.35">
      <c r="A935" s="1" t="s">
        <v>1427</v>
      </c>
      <c r="B935" s="1" t="s">
        <v>3308</v>
      </c>
    </row>
    <row r="936" spans="1:2" ht="15.5" x14ac:dyDescent="0.35">
      <c r="A936" s="1" t="s">
        <v>1426</v>
      </c>
      <c r="B936" s="1" t="s">
        <v>3309</v>
      </c>
    </row>
    <row r="937" spans="1:2" ht="15.5" x14ac:dyDescent="0.35">
      <c r="A937" s="1" t="s">
        <v>1425</v>
      </c>
      <c r="B937" s="1" t="s">
        <v>3310</v>
      </c>
    </row>
    <row r="938" spans="1:2" ht="15.5" x14ac:dyDescent="0.35">
      <c r="A938" s="1" t="s">
        <v>1424</v>
      </c>
      <c r="B938" s="1" t="s">
        <v>3311</v>
      </c>
    </row>
    <row r="939" spans="1:2" ht="15.5" x14ac:dyDescent="0.35">
      <c r="A939" s="1" t="s">
        <v>1423</v>
      </c>
      <c r="B939" s="1" t="s">
        <v>3312</v>
      </c>
    </row>
    <row r="940" spans="1:2" ht="15.5" x14ac:dyDescent="0.35">
      <c r="A940" s="1" t="s">
        <v>1422</v>
      </c>
      <c r="B940" s="1" t="s">
        <v>3313</v>
      </c>
    </row>
    <row r="941" spans="1:2" ht="15.5" x14ac:dyDescent="0.35">
      <c r="A941" s="1" t="s">
        <v>1421</v>
      </c>
      <c r="B941" s="1" t="s">
        <v>3314</v>
      </c>
    </row>
    <row r="942" spans="1:2" ht="15.5" x14ac:dyDescent="0.35">
      <c r="A942" s="1" t="s">
        <v>1420</v>
      </c>
      <c r="B942" s="1" t="s">
        <v>3315</v>
      </c>
    </row>
    <row r="943" spans="1:2" ht="15.5" x14ac:dyDescent="0.35">
      <c r="A943" s="1" t="s">
        <v>1419</v>
      </c>
      <c r="B943" s="1" t="s">
        <v>3316</v>
      </c>
    </row>
    <row r="944" spans="1:2" ht="15.5" x14ac:dyDescent="0.35">
      <c r="A944" s="1" t="s">
        <v>1418</v>
      </c>
      <c r="B944" s="1" t="s">
        <v>3317</v>
      </c>
    </row>
    <row r="945" spans="1:2" ht="15.5" x14ac:dyDescent="0.35">
      <c r="A945" s="1" t="s">
        <v>1417</v>
      </c>
      <c r="B945" s="1" t="s">
        <v>3318</v>
      </c>
    </row>
    <row r="946" spans="1:2" ht="15.5" x14ac:dyDescent="0.35">
      <c r="A946" s="1" t="s">
        <v>1416</v>
      </c>
      <c r="B946" s="1" t="s">
        <v>3319</v>
      </c>
    </row>
    <row r="947" spans="1:2" ht="15.5" x14ac:dyDescent="0.35">
      <c r="A947" s="1" t="s">
        <v>1415</v>
      </c>
      <c r="B947" s="1" t="s">
        <v>3320</v>
      </c>
    </row>
    <row r="948" spans="1:2" ht="15.5" x14ac:dyDescent="0.35">
      <c r="A948" s="1" t="s">
        <v>1414</v>
      </c>
      <c r="B948" s="1" t="s">
        <v>3321</v>
      </c>
    </row>
    <row r="949" spans="1:2" ht="15.5" x14ac:dyDescent="0.35">
      <c r="A949" s="1" t="s">
        <v>1413</v>
      </c>
      <c r="B949" s="1" t="s">
        <v>3322</v>
      </c>
    </row>
    <row r="950" spans="1:2" ht="15.5" x14ac:dyDescent="0.35">
      <c r="A950" s="1" t="s">
        <v>1412</v>
      </c>
      <c r="B950" s="1" t="s">
        <v>3323</v>
      </c>
    </row>
    <row r="951" spans="1:2" ht="15.5" x14ac:dyDescent="0.35">
      <c r="A951" s="1" t="s">
        <v>1411</v>
      </c>
      <c r="B951" s="1" t="s">
        <v>3324</v>
      </c>
    </row>
    <row r="952" spans="1:2" ht="15.5" x14ac:dyDescent="0.35">
      <c r="A952" s="1" t="s">
        <v>1410</v>
      </c>
      <c r="B952" s="1" t="s">
        <v>3325</v>
      </c>
    </row>
    <row r="953" spans="1:2" ht="15.5" x14ac:dyDescent="0.35">
      <c r="A953" s="1" t="s">
        <v>1409</v>
      </c>
      <c r="B953" s="1" t="s">
        <v>3326</v>
      </c>
    </row>
    <row r="954" spans="1:2" ht="15.5" x14ac:dyDescent="0.35">
      <c r="A954" s="1" t="s">
        <v>1408</v>
      </c>
      <c r="B954" s="1" t="s">
        <v>3327</v>
      </c>
    </row>
    <row r="955" spans="1:2" ht="15.5" x14ac:dyDescent="0.35">
      <c r="A955" s="1" t="s">
        <v>1407</v>
      </c>
      <c r="B955" s="1" t="s">
        <v>3328</v>
      </c>
    </row>
    <row r="956" spans="1:2" ht="15.5" x14ac:dyDescent="0.35">
      <c r="A956" s="1" t="s">
        <v>1406</v>
      </c>
      <c r="B956" s="1" t="s">
        <v>3329</v>
      </c>
    </row>
    <row r="957" spans="1:2" ht="15.5" x14ac:dyDescent="0.35">
      <c r="A957" s="1" t="s">
        <v>1405</v>
      </c>
      <c r="B957" s="1" t="s">
        <v>3330</v>
      </c>
    </row>
    <row r="958" spans="1:2" ht="15.5" x14ac:dyDescent="0.35">
      <c r="A958" s="1" t="s">
        <v>1404</v>
      </c>
      <c r="B958" s="1" t="s">
        <v>3331</v>
      </c>
    </row>
    <row r="959" spans="1:2" ht="15.5" x14ac:dyDescent="0.35">
      <c r="A959" s="1" t="s">
        <v>1403</v>
      </c>
      <c r="B959" s="1" t="s">
        <v>3332</v>
      </c>
    </row>
    <row r="960" spans="1:2" ht="15.5" x14ac:dyDescent="0.35">
      <c r="A960" s="1" t="s">
        <v>1402</v>
      </c>
      <c r="B960" s="1" t="s">
        <v>3333</v>
      </c>
    </row>
    <row r="961" spans="1:2" ht="15.5" x14ac:dyDescent="0.35">
      <c r="A961" s="1" t="s">
        <v>1401</v>
      </c>
      <c r="B961" s="1" t="s">
        <v>3334</v>
      </c>
    </row>
    <row r="962" spans="1:2" ht="15.5" x14ac:dyDescent="0.35">
      <c r="A962" s="1" t="s">
        <v>1400</v>
      </c>
      <c r="B962" s="1" t="s">
        <v>3335</v>
      </c>
    </row>
    <row r="963" spans="1:2" ht="15.5" x14ac:dyDescent="0.35">
      <c r="A963" s="1" t="s">
        <v>1399</v>
      </c>
      <c r="B963" s="1" t="s">
        <v>3336</v>
      </c>
    </row>
    <row r="964" spans="1:2" ht="15.5" x14ac:dyDescent="0.35">
      <c r="A964" s="1" t="s">
        <v>1398</v>
      </c>
      <c r="B964" s="1" t="s">
        <v>3337</v>
      </c>
    </row>
    <row r="965" spans="1:2" ht="15.5" x14ac:dyDescent="0.35">
      <c r="A965" s="1" t="s">
        <v>1397</v>
      </c>
      <c r="B965" s="1" t="s">
        <v>3338</v>
      </c>
    </row>
    <row r="966" spans="1:2" ht="15.5" x14ac:dyDescent="0.35">
      <c r="A966" s="1" t="s">
        <v>1396</v>
      </c>
      <c r="B966" s="1" t="s">
        <v>3339</v>
      </c>
    </row>
    <row r="967" spans="1:2" ht="15.5" x14ac:dyDescent="0.35">
      <c r="A967" s="1" t="s">
        <v>1395</v>
      </c>
      <c r="B967" s="1" t="s">
        <v>3340</v>
      </c>
    </row>
    <row r="968" spans="1:2" ht="15.5" x14ac:dyDescent="0.35">
      <c r="A968" s="1" t="s">
        <v>1394</v>
      </c>
      <c r="B968" s="1" t="s">
        <v>3341</v>
      </c>
    </row>
    <row r="969" spans="1:2" ht="15.5" x14ac:dyDescent="0.35">
      <c r="A969" s="1" t="s">
        <v>1393</v>
      </c>
      <c r="B969" s="1" t="s">
        <v>3342</v>
      </c>
    </row>
    <row r="970" spans="1:2" ht="15.5" x14ac:dyDescent="0.35">
      <c r="A970" s="1" t="s">
        <v>1392</v>
      </c>
      <c r="B970" s="1" t="s">
        <v>3343</v>
      </c>
    </row>
    <row r="971" spans="1:2" ht="15.5" x14ac:dyDescent="0.35">
      <c r="A971" s="1" t="s">
        <v>1391</v>
      </c>
      <c r="B971" s="1" t="s">
        <v>3344</v>
      </c>
    </row>
    <row r="972" spans="1:2" ht="15.5" x14ac:dyDescent="0.35">
      <c r="A972" s="1" t="s">
        <v>1390</v>
      </c>
      <c r="B972" s="1" t="s">
        <v>3345</v>
      </c>
    </row>
    <row r="973" spans="1:2" ht="15.5" x14ac:dyDescent="0.35">
      <c r="A973" s="1" t="s">
        <v>1389</v>
      </c>
      <c r="B973" s="1" t="s">
        <v>3346</v>
      </c>
    </row>
    <row r="974" spans="1:2" ht="15.5" x14ac:dyDescent="0.35">
      <c r="A974" s="1" t="s">
        <v>1388</v>
      </c>
      <c r="B974" s="1" t="s">
        <v>3347</v>
      </c>
    </row>
    <row r="975" spans="1:2" ht="15.5" x14ac:dyDescent="0.35">
      <c r="A975" s="1" t="s">
        <v>1387</v>
      </c>
      <c r="B975" s="1" t="s">
        <v>3348</v>
      </c>
    </row>
    <row r="976" spans="1:2" ht="15.5" x14ac:dyDescent="0.35">
      <c r="A976" s="1" t="s">
        <v>1386</v>
      </c>
      <c r="B976" s="1" t="s">
        <v>3349</v>
      </c>
    </row>
    <row r="977" spans="1:2" ht="15.5" x14ac:dyDescent="0.35">
      <c r="A977" s="1" t="s">
        <v>1385</v>
      </c>
      <c r="B977" s="1" t="s">
        <v>3350</v>
      </c>
    </row>
    <row r="978" spans="1:2" ht="15.5" x14ac:dyDescent="0.35">
      <c r="A978" s="1" t="s">
        <v>1384</v>
      </c>
      <c r="B978" s="1" t="s">
        <v>3351</v>
      </c>
    </row>
    <row r="979" spans="1:2" ht="15.5" x14ac:dyDescent="0.35">
      <c r="A979" s="1" t="s">
        <v>1383</v>
      </c>
      <c r="B979" s="1" t="s">
        <v>3352</v>
      </c>
    </row>
    <row r="980" spans="1:2" ht="15.5" x14ac:dyDescent="0.35">
      <c r="A980" s="1" t="s">
        <v>1382</v>
      </c>
      <c r="B980" s="1" t="s">
        <v>3353</v>
      </c>
    </row>
    <row r="981" spans="1:2" ht="15.5" x14ac:dyDescent="0.35">
      <c r="A981" s="1" t="s">
        <v>1381</v>
      </c>
      <c r="B981" s="1" t="s">
        <v>3354</v>
      </c>
    </row>
    <row r="982" spans="1:2" ht="15.5" x14ac:dyDescent="0.35">
      <c r="A982" s="1" t="s">
        <v>1380</v>
      </c>
      <c r="B982" s="1" t="s">
        <v>3355</v>
      </c>
    </row>
    <row r="983" spans="1:2" ht="15.5" x14ac:dyDescent="0.35">
      <c r="A983" s="1" t="s">
        <v>1379</v>
      </c>
      <c r="B983" s="1" t="s">
        <v>3356</v>
      </c>
    </row>
    <row r="984" spans="1:2" ht="15.5" x14ac:dyDescent="0.35">
      <c r="A984" s="1" t="s">
        <v>1378</v>
      </c>
      <c r="B984" s="1" t="s">
        <v>3357</v>
      </c>
    </row>
    <row r="985" spans="1:2" ht="15.5" x14ac:dyDescent="0.35">
      <c r="A985" s="1" t="s">
        <v>1377</v>
      </c>
      <c r="B985" s="1" t="s">
        <v>3358</v>
      </c>
    </row>
    <row r="986" spans="1:2" ht="15.5" x14ac:dyDescent="0.35">
      <c r="A986" s="1" t="s">
        <v>1376</v>
      </c>
      <c r="B986" s="1" t="s">
        <v>3359</v>
      </c>
    </row>
    <row r="987" spans="1:2" ht="15.5" x14ac:dyDescent="0.35">
      <c r="A987" s="1" t="s">
        <v>1375</v>
      </c>
      <c r="B987" s="1" t="s">
        <v>3360</v>
      </c>
    </row>
    <row r="988" spans="1:2" ht="15.5" x14ac:dyDescent="0.35">
      <c r="A988" s="1" t="s">
        <v>1374</v>
      </c>
      <c r="B988" s="1" t="s">
        <v>3361</v>
      </c>
    </row>
    <row r="989" spans="1:2" ht="15.5" x14ac:dyDescent="0.35">
      <c r="A989" s="1" t="s">
        <v>1373</v>
      </c>
      <c r="B989" s="1" t="s">
        <v>3362</v>
      </c>
    </row>
    <row r="990" spans="1:2" ht="15.5" x14ac:dyDescent="0.35">
      <c r="A990" s="1" t="s">
        <v>1372</v>
      </c>
      <c r="B990" s="1" t="s">
        <v>3363</v>
      </c>
    </row>
    <row r="991" spans="1:2" ht="15.5" x14ac:dyDescent="0.35">
      <c r="A991" s="1" t="s">
        <v>1371</v>
      </c>
      <c r="B991" s="1" t="s">
        <v>3364</v>
      </c>
    </row>
    <row r="992" spans="1:2" ht="15.5" x14ac:dyDescent="0.35">
      <c r="A992" s="1" t="s">
        <v>1370</v>
      </c>
      <c r="B992" s="1" t="s">
        <v>3365</v>
      </c>
    </row>
    <row r="993" spans="1:2" ht="15.5" x14ac:dyDescent="0.35">
      <c r="A993" s="1" t="s">
        <v>1369</v>
      </c>
      <c r="B993" s="1" t="s">
        <v>3366</v>
      </c>
    </row>
    <row r="994" spans="1:2" ht="15.5" x14ac:dyDescent="0.35">
      <c r="A994" s="1" t="s">
        <v>1368</v>
      </c>
      <c r="B994" s="1" t="s">
        <v>3367</v>
      </c>
    </row>
    <row r="995" spans="1:2" ht="15.5" x14ac:dyDescent="0.35">
      <c r="A995" s="1" t="s">
        <v>1367</v>
      </c>
      <c r="B995" s="1" t="s">
        <v>3368</v>
      </c>
    </row>
    <row r="996" spans="1:2" ht="15.5" x14ac:dyDescent="0.35">
      <c r="A996" s="1" t="s">
        <v>1366</v>
      </c>
      <c r="B996" s="1" t="s">
        <v>3369</v>
      </c>
    </row>
    <row r="997" spans="1:2" ht="15.5" x14ac:dyDescent="0.35">
      <c r="A997" s="1" t="s">
        <v>1365</v>
      </c>
      <c r="B997" s="1" t="s">
        <v>3370</v>
      </c>
    </row>
    <row r="998" spans="1:2" ht="15.5" x14ac:dyDescent="0.35">
      <c r="A998" s="1" t="s">
        <v>1364</v>
      </c>
      <c r="B998" s="1" t="s">
        <v>3371</v>
      </c>
    </row>
    <row r="999" spans="1:2" ht="15.5" x14ac:dyDescent="0.35">
      <c r="A999" s="1" t="s">
        <v>1363</v>
      </c>
      <c r="B999" s="1" t="s">
        <v>3372</v>
      </c>
    </row>
    <row r="1000" spans="1:2" ht="15.5" x14ac:dyDescent="0.35">
      <c r="A1000" s="1" t="s">
        <v>1362</v>
      </c>
      <c r="B1000" s="1" t="s">
        <v>3373</v>
      </c>
    </row>
    <row r="1001" spans="1:2" ht="15.5" x14ac:dyDescent="0.35">
      <c r="A1001" s="1" t="s">
        <v>1361</v>
      </c>
      <c r="B1001" s="1" t="s">
        <v>3374</v>
      </c>
    </row>
    <row r="1002" spans="1:2" ht="15.5" x14ac:dyDescent="0.35">
      <c r="A1002" s="1" t="s">
        <v>1360</v>
      </c>
      <c r="B1002" s="1" t="s">
        <v>3375</v>
      </c>
    </row>
    <row r="1003" spans="1:2" ht="15.5" x14ac:dyDescent="0.35">
      <c r="A1003" s="1" t="s">
        <v>1359</v>
      </c>
      <c r="B1003" s="1" t="s">
        <v>3376</v>
      </c>
    </row>
    <row r="1004" spans="1:2" ht="15.5" x14ac:dyDescent="0.35">
      <c r="A1004" s="1" t="s">
        <v>1358</v>
      </c>
      <c r="B1004" s="1" t="s">
        <v>3377</v>
      </c>
    </row>
    <row r="1005" spans="1:2" ht="15.5" x14ac:dyDescent="0.35">
      <c r="A1005" s="1" t="s">
        <v>1357</v>
      </c>
      <c r="B1005" s="1" t="s">
        <v>3378</v>
      </c>
    </row>
    <row r="1006" spans="1:2" ht="15.5" x14ac:dyDescent="0.35">
      <c r="A1006" s="1" t="s">
        <v>1356</v>
      </c>
      <c r="B1006" s="1" t="s">
        <v>3379</v>
      </c>
    </row>
    <row r="1007" spans="1:2" ht="15.5" x14ac:dyDescent="0.35">
      <c r="A1007" s="1" t="s">
        <v>1355</v>
      </c>
      <c r="B1007" s="1" t="s">
        <v>3380</v>
      </c>
    </row>
    <row r="1008" spans="1:2" ht="15.5" x14ac:dyDescent="0.35">
      <c r="A1008" s="1" t="s">
        <v>1354</v>
      </c>
      <c r="B1008" s="1" t="s">
        <v>3381</v>
      </c>
    </row>
    <row r="1009" spans="1:2" ht="15.5" x14ac:dyDescent="0.35">
      <c r="A1009" s="1" t="s">
        <v>1353</v>
      </c>
      <c r="B1009" s="1" t="s">
        <v>3382</v>
      </c>
    </row>
    <row r="1010" spans="1:2" ht="15.5" x14ac:dyDescent="0.35">
      <c r="A1010" s="1" t="s">
        <v>1352</v>
      </c>
      <c r="B1010" s="1" t="s">
        <v>3383</v>
      </c>
    </row>
    <row r="1011" spans="1:2" ht="15.5" x14ac:dyDescent="0.35">
      <c r="A1011" s="1" t="s">
        <v>1351</v>
      </c>
      <c r="B1011" s="1" t="s">
        <v>3384</v>
      </c>
    </row>
    <row r="1012" spans="1:2" ht="15.5" x14ac:dyDescent="0.35">
      <c r="A1012" s="1" t="s">
        <v>1350</v>
      </c>
      <c r="B1012" s="1" t="s">
        <v>3385</v>
      </c>
    </row>
    <row r="1013" spans="1:2" ht="15.5" x14ac:dyDescent="0.35">
      <c r="A1013" s="1" t="s">
        <v>1349</v>
      </c>
      <c r="B1013" s="1" t="s">
        <v>3386</v>
      </c>
    </row>
    <row r="1014" spans="1:2" ht="15.5" x14ac:dyDescent="0.35">
      <c r="A1014" s="1" t="s">
        <v>1348</v>
      </c>
      <c r="B1014" s="1" t="s">
        <v>3387</v>
      </c>
    </row>
    <row r="1015" spans="1:2" ht="15.5" x14ac:dyDescent="0.35">
      <c r="A1015" s="1" t="s">
        <v>1347</v>
      </c>
      <c r="B1015" s="1" t="s">
        <v>3388</v>
      </c>
    </row>
    <row r="1016" spans="1:2" ht="15.5" x14ac:dyDescent="0.35">
      <c r="A1016" s="1" t="s">
        <v>1346</v>
      </c>
      <c r="B1016" s="1" t="s">
        <v>3389</v>
      </c>
    </row>
    <row r="1017" spans="1:2" ht="15.5" x14ac:dyDescent="0.35">
      <c r="A1017" s="1" t="s">
        <v>1345</v>
      </c>
      <c r="B1017" s="1" t="s">
        <v>3390</v>
      </c>
    </row>
    <row r="1018" spans="1:2" ht="15.5" x14ac:dyDescent="0.35">
      <c r="A1018" s="1" t="s">
        <v>1344</v>
      </c>
      <c r="B1018" s="1" t="s">
        <v>3391</v>
      </c>
    </row>
    <row r="1019" spans="1:2" ht="15.5" x14ac:dyDescent="0.35">
      <c r="A1019" s="1" t="s">
        <v>1343</v>
      </c>
      <c r="B1019" s="1" t="s">
        <v>3392</v>
      </c>
    </row>
    <row r="1020" spans="1:2" ht="15.5" x14ac:dyDescent="0.35">
      <c r="A1020" s="1" t="s">
        <v>1342</v>
      </c>
      <c r="B1020" s="1" t="s">
        <v>3393</v>
      </c>
    </row>
    <row r="1021" spans="1:2" ht="15.5" x14ac:dyDescent="0.35">
      <c r="A1021" s="1" t="s">
        <v>1341</v>
      </c>
      <c r="B1021" s="1" t="s">
        <v>3394</v>
      </c>
    </row>
    <row r="1022" spans="1:2" ht="15.5" x14ac:dyDescent="0.35">
      <c r="A1022" s="1" t="s">
        <v>1340</v>
      </c>
      <c r="B1022" s="1" t="s">
        <v>3395</v>
      </c>
    </row>
    <row r="1023" spans="1:2" ht="15.5" x14ac:dyDescent="0.35">
      <c r="A1023" s="1" t="s">
        <v>1339</v>
      </c>
      <c r="B1023" s="1" t="s">
        <v>3396</v>
      </c>
    </row>
    <row r="1024" spans="1:2" ht="15.5" x14ac:dyDescent="0.35">
      <c r="A1024" s="1" t="s">
        <v>1338</v>
      </c>
      <c r="B1024" s="1" t="s">
        <v>3397</v>
      </c>
    </row>
    <row r="1025" spans="1:2" ht="15.5" x14ac:dyDescent="0.35">
      <c r="A1025" s="1" t="s">
        <v>1337</v>
      </c>
      <c r="B1025" s="1" t="s">
        <v>3398</v>
      </c>
    </row>
    <row r="1026" spans="1:2" ht="15.5" x14ac:dyDescent="0.35">
      <c r="A1026" s="1" t="s">
        <v>1336</v>
      </c>
      <c r="B1026" s="1" t="s">
        <v>3399</v>
      </c>
    </row>
    <row r="1027" spans="1:2" ht="15.5" x14ac:dyDescent="0.35">
      <c r="A1027" s="1" t="s">
        <v>1335</v>
      </c>
      <c r="B1027" s="1" t="s">
        <v>3400</v>
      </c>
    </row>
    <row r="1028" spans="1:2" ht="15.5" x14ac:dyDescent="0.35">
      <c r="A1028" s="1" t="s">
        <v>1334</v>
      </c>
      <c r="B1028" s="1" t="s">
        <v>3401</v>
      </c>
    </row>
    <row r="1029" spans="1:2" ht="15.5" x14ac:dyDescent="0.35">
      <c r="A1029" s="1" t="s">
        <v>1333</v>
      </c>
      <c r="B1029" s="1" t="s">
        <v>3402</v>
      </c>
    </row>
    <row r="1030" spans="1:2" ht="15.5" x14ac:dyDescent="0.35">
      <c r="A1030" s="1" t="s">
        <v>1332</v>
      </c>
      <c r="B1030" s="1" t="s">
        <v>3403</v>
      </c>
    </row>
    <row r="1031" spans="1:2" ht="15.5" x14ac:dyDescent="0.35">
      <c r="A1031" s="1" t="s">
        <v>1331</v>
      </c>
      <c r="B1031" s="1" t="s">
        <v>3404</v>
      </c>
    </row>
    <row r="1032" spans="1:2" ht="15.5" x14ac:dyDescent="0.35">
      <c r="A1032" s="1" t="s">
        <v>1330</v>
      </c>
      <c r="B1032" s="1" t="s">
        <v>3405</v>
      </c>
    </row>
    <row r="1033" spans="1:2" ht="15.5" x14ac:dyDescent="0.35">
      <c r="A1033" s="1" t="s">
        <v>1329</v>
      </c>
      <c r="B1033" s="1" t="s">
        <v>3406</v>
      </c>
    </row>
    <row r="1034" spans="1:2" ht="15.5" x14ac:dyDescent="0.35">
      <c r="A1034" s="1" t="s">
        <v>1328</v>
      </c>
      <c r="B1034" s="1" t="s">
        <v>3407</v>
      </c>
    </row>
    <row r="1035" spans="1:2" ht="15.5" x14ac:dyDescent="0.35">
      <c r="A1035" s="1" t="s">
        <v>1327</v>
      </c>
      <c r="B1035" s="1" t="s">
        <v>3408</v>
      </c>
    </row>
    <row r="1036" spans="1:2" ht="15.5" x14ac:dyDescent="0.35">
      <c r="A1036" s="1" t="s">
        <v>1326</v>
      </c>
      <c r="B1036" s="1" t="s">
        <v>3409</v>
      </c>
    </row>
    <row r="1037" spans="1:2" ht="15.5" x14ac:dyDescent="0.35">
      <c r="A1037" s="1" t="s">
        <v>1325</v>
      </c>
      <c r="B1037" s="1" t="s">
        <v>3410</v>
      </c>
    </row>
    <row r="1038" spans="1:2" ht="15.5" x14ac:dyDescent="0.35">
      <c r="A1038" s="1" t="s">
        <v>1324</v>
      </c>
      <c r="B1038" s="1" t="s">
        <v>3411</v>
      </c>
    </row>
    <row r="1039" spans="1:2" ht="15.5" x14ac:dyDescent="0.35">
      <c r="A1039" s="1" t="s">
        <v>1323</v>
      </c>
      <c r="B1039" s="1" t="s">
        <v>3412</v>
      </c>
    </row>
    <row r="1040" spans="1:2" ht="15.5" x14ac:dyDescent="0.35">
      <c r="A1040" s="1" t="s">
        <v>1322</v>
      </c>
      <c r="B1040" s="1" t="s">
        <v>3413</v>
      </c>
    </row>
    <row r="1041" spans="1:2" ht="15.5" x14ac:dyDescent="0.35">
      <c r="A1041" s="1" t="s">
        <v>1321</v>
      </c>
      <c r="B1041" s="1" t="s">
        <v>3414</v>
      </c>
    </row>
    <row r="1042" spans="1:2" ht="15.5" x14ac:dyDescent="0.35">
      <c r="A1042" s="1" t="s">
        <v>1320</v>
      </c>
      <c r="B1042" s="1" t="s">
        <v>3415</v>
      </c>
    </row>
    <row r="1043" spans="1:2" ht="15.5" x14ac:dyDescent="0.35">
      <c r="A1043" s="1" t="s">
        <v>1319</v>
      </c>
      <c r="B1043" s="1" t="s">
        <v>3416</v>
      </c>
    </row>
    <row r="1044" spans="1:2" ht="15.5" x14ac:dyDescent="0.35">
      <c r="A1044" s="1" t="s">
        <v>1318</v>
      </c>
      <c r="B1044" s="1" t="s">
        <v>3417</v>
      </c>
    </row>
    <row r="1045" spans="1:2" ht="15.5" x14ac:dyDescent="0.35">
      <c r="A1045" s="1" t="s">
        <v>1317</v>
      </c>
      <c r="B1045" s="1" t="s">
        <v>3418</v>
      </c>
    </row>
    <row r="1046" spans="1:2" ht="15.5" x14ac:dyDescent="0.35">
      <c r="A1046" s="1" t="s">
        <v>1316</v>
      </c>
      <c r="B1046" s="1" t="s">
        <v>3419</v>
      </c>
    </row>
    <row r="1047" spans="1:2" ht="15.5" x14ac:dyDescent="0.35">
      <c r="A1047" s="1" t="s">
        <v>1315</v>
      </c>
      <c r="B1047" s="1" t="s">
        <v>3420</v>
      </c>
    </row>
    <row r="1048" spans="1:2" ht="15.5" x14ac:dyDescent="0.35">
      <c r="A1048" s="1" t="s">
        <v>1314</v>
      </c>
      <c r="B1048" s="1" t="s">
        <v>3421</v>
      </c>
    </row>
    <row r="1049" spans="1:2" ht="15.5" x14ac:dyDescent="0.35">
      <c r="A1049" s="1" t="s">
        <v>1313</v>
      </c>
      <c r="B1049" s="1" t="s">
        <v>3422</v>
      </c>
    </row>
    <row r="1050" spans="1:2" ht="15.5" x14ac:dyDescent="0.35">
      <c r="A1050" s="1" t="s">
        <v>1312</v>
      </c>
      <c r="B1050" s="1" t="s">
        <v>3423</v>
      </c>
    </row>
    <row r="1051" spans="1:2" ht="15.5" x14ac:dyDescent="0.35">
      <c r="A1051" s="1" t="s">
        <v>1311</v>
      </c>
      <c r="B1051" s="1" t="s">
        <v>3424</v>
      </c>
    </row>
    <row r="1052" spans="1:2" ht="15.5" x14ac:dyDescent="0.35">
      <c r="A1052" s="1" t="s">
        <v>1310</v>
      </c>
      <c r="B1052" s="1" t="s">
        <v>3425</v>
      </c>
    </row>
    <row r="1053" spans="1:2" ht="15.5" x14ac:dyDescent="0.35">
      <c r="A1053" s="1" t="s">
        <v>1309</v>
      </c>
      <c r="B1053" s="1" t="s">
        <v>3426</v>
      </c>
    </row>
    <row r="1054" spans="1:2" ht="15.5" x14ac:dyDescent="0.35">
      <c r="A1054" s="1" t="s">
        <v>1308</v>
      </c>
      <c r="B1054" s="1" t="s">
        <v>3427</v>
      </c>
    </row>
    <row r="1055" spans="1:2" ht="15.5" x14ac:dyDescent="0.35">
      <c r="A1055" s="1" t="s">
        <v>1307</v>
      </c>
      <c r="B1055" s="1" t="s">
        <v>3428</v>
      </c>
    </row>
    <row r="1056" spans="1:2" ht="15.5" x14ac:dyDescent="0.35">
      <c r="A1056" s="1" t="s">
        <v>1306</v>
      </c>
      <c r="B1056" s="1" t="s">
        <v>3429</v>
      </c>
    </row>
    <row r="1057" spans="1:2" ht="15.5" x14ac:dyDescent="0.35">
      <c r="A1057" s="1" t="s">
        <v>1305</v>
      </c>
      <c r="B1057" s="1" t="s">
        <v>3430</v>
      </c>
    </row>
    <row r="1058" spans="1:2" ht="15.5" x14ac:dyDescent="0.35">
      <c r="A1058" s="1" t="s">
        <v>1304</v>
      </c>
      <c r="B1058" s="1" t="s">
        <v>3431</v>
      </c>
    </row>
    <row r="1059" spans="1:2" ht="15.5" x14ac:dyDescent="0.35">
      <c r="A1059" s="1" t="s">
        <v>1303</v>
      </c>
      <c r="B1059" s="1" t="s">
        <v>3432</v>
      </c>
    </row>
    <row r="1060" spans="1:2" ht="15.5" x14ac:dyDescent="0.35">
      <c r="A1060" s="1" t="s">
        <v>1302</v>
      </c>
      <c r="B1060" s="1" t="s">
        <v>3433</v>
      </c>
    </row>
    <row r="1061" spans="1:2" ht="15.5" x14ac:dyDescent="0.35">
      <c r="A1061" s="1" t="s">
        <v>1301</v>
      </c>
      <c r="B1061" s="1" t="s">
        <v>3434</v>
      </c>
    </row>
    <row r="1062" spans="1:2" ht="15.5" x14ac:dyDescent="0.35">
      <c r="A1062" s="1" t="s">
        <v>1300</v>
      </c>
      <c r="B1062" s="1" t="s">
        <v>3435</v>
      </c>
    </row>
    <row r="1063" spans="1:2" ht="15.5" x14ac:dyDescent="0.35">
      <c r="A1063" s="1" t="s">
        <v>1299</v>
      </c>
      <c r="B1063" s="1" t="s">
        <v>3436</v>
      </c>
    </row>
    <row r="1064" spans="1:2" ht="15.5" x14ac:dyDescent="0.35">
      <c r="A1064" s="1" t="s">
        <v>1298</v>
      </c>
      <c r="B1064" s="1" t="s">
        <v>3437</v>
      </c>
    </row>
    <row r="1065" spans="1:2" ht="15.5" x14ac:dyDescent="0.35">
      <c r="A1065" s="1" t="s">
        <v>1297</v>
      </c>
      <c r="B1065" s="1" t="s">
        <v>3438</v>
      </c>
    </row>
    <row r="1066" spans="1:2" ht="15.5" x14ac:dyDescent="0.35">
      <c r="A1066" s="1" t="s">
        <v>1296</v>
      </c>
      <c r="B1066" s="1" t="s">
        <v>3439</v>
      </c>
    </row>
    <row r="1067" spans="1:2" ht="15.5" x14ac:dyDescent="0.35">
      <c r="A1067" s="1" t="s">
        <v>1295</v>
      </c>
      <c r="B1067" s="1" t="s">
        <v>3440</v>
      </c>
    </row>
    <row r="1068" spans="1:2" ht="15.5" x14ac:dyDescent="0.35">
      <c r="A1068" s="1" t="s">
        <v>1294</v>
      </c>
      <c r="B1068" s="1" t="s">
        <v>3441</v>
      </c>
    </row>
    <row r="1069" spans="1:2" ht="15.5" x14ac:dyDescent="0.35">
      <c r="A1069" s="1" t="s">
        <v>1293</v>
      </c>
      <c r="B1069" s="1" t="s">
        <v>3442</v>
      </c>
    </row>
    <row r="1070" spans="1:2" ht="15.5" x14ac:dyDescent="0.35">
      <c r="A1070" s="1" t="s">
        <v>1292</v>
      </c>
      <c r="B1070" s="1" t="s">
        <v>3443</v>
      </c>
    </row>
    <row r="1071" spans="1:2" ht="15.5" x14ac:dyDescent="0.35">
      <c r="A1071" s="1" t="s">
        <v>1291</v>
      </c>
      <c r="B1071" s="1" t="s">
        <v>3444</v>
      </c>
    </row>
    <row r="1072" spans="1:2" ht="15.5" x14ac:dyDescent="0.35">
      <c r="A1072" s="1" t="s">
        <v>1290</v>
      </c>
      <c r="B1072" s="1" t="s">
        <v>3445</v>
      </c>
    </row>
    <row r="1073" spans="1:2" ht="15.5" x14ac:dyDescent="0.35">
      <c r="A1073" s="1" t="s">
        <v>1289</v>
      </c>
      <c r="B1073" s="1" t="s">
        <v>3446</v>
      </c>
    </row>
    <row r="1074" spans="1:2" ht="15.5" x14ac:dyDescent="0.35">
      <c r="A1074" s="1" t="s">
        <v>1288</v>
      </c>
      <c r="B1074" s="1" t="s">
        <v>3447</v>
      </c>
    </row>
    <row r="1075" spans="1:2" ht="15.5" x14ac:dyDescent="0.35">
      <c r="A1075" s="1" t="s">
        <v>1287</v>
      </c>
      <c r="B1075" s="1" t="s">
        <v>3448</v>
      </c>
    </row>
    <row r="1076" spans="1:2" ht="15.5" x14ac:dyDescent="0.35">
      <c r="A1076" s="1" t="s">
        <v>1286</v>
      </c>
      <c r="B1076" s="1" t="s">
        <v>3449</v>
      </c>
    </row>
    <row r="1077" spans="1:2" ht="15.5" x14ac:dyDescent="0.35">
      <c r="A1077" s="1" t="s">
        <v>1285</v>
      </c>
      <c r="B1077" s="1" t="s">
        <v>3450</v>
      </c>
    </row>
    <row r="1078" spans="1:2" ht="15.5" x14ac:dyDescent="0.35">
      <c r="A1078" s="1" t="s">
        <v>1284</v>
      </c>
      <c r="B1078" s="1" t="s">
        <v>3451</v>
      </c>
    </row>
    <row r="1079" spans="1:2" ht="15.5" x14ac:dyDescent="0.35">
      <c r="A1079" s="1" t="s">
        <v>1283</v>
      </c>
      <c r="B1079" s="1" t="s">
        <v>3452</v>
      </c>
    </row>
    <row r="1080" spans="1:2" ht="15.5" x14ac:dyDescent="0.35">
      <c r="A1080" s="1" t="s">
        <v>1282</v>
      </c>
      <c r="B1080" s="1" t="s">
        <v>3453</v>
      </c>
    </row>
    <row r="1081" spans="1:2" ht="15.5" x14ac:dyDescent="0.35">
      <c r="A1081" s="1" t="s">
        <v>1281</v>
      </c>
      <c r="B1081" s="1" t="s">
        <v>3454</v>
      </c>
    </row>
    <row r="1082" spans="1:2" ht="15.5" x14ac:dyDescent="0.35">
      <c r="A1082" s="1" t="s">
        <v>1280</v>
      </c>
      <c r="B1082" s="1" t="s">
        <v>3455</v>
      </c>
    </row>
    <row r="1083" spans="1:2" ht="15.5" x14ac:dyDescent="0.35">
      <c r="A1083" s="1" t="s">
        <v>1279</v>
      </c>
      <c r="B1083" s="1" t="s">
        <v>3456</v>
      </c>
    </row>
    <row r="1084" spans="1:2" ht="15.5" x14ac:dyDescent="0.35">
      <c r="A1084" s="1" t="s">
        <v>1278</v>
      </c>
      <c r="B1084" s="1" t="s">
        <v>3457</v>
      </c>
    </row>
    <row r="1085" spans="1:2" ht="15.5" x14ac:dyDescent="0.35">
      <c r="A1085" s="1" t="s">
        <v>1277</v>
      </c>
      <c r="B1085" s="1" t="s">
        <v>3458</v>
      </c>
    </row>
    <row r="1086" spans="1:2" ht="15.5" x14ac:dyDescent="0.35">
      <c r="A1086" s="1" t="s">
        <v>1276</v>
      </c>
      <c r="B1086" s="1" t="s">
        <v>3459</v>
      </c>
    </row>
    <row r="1087" spans="1:2" ht="15.5" x14ac:dyDescent="0.35">
      <c r="A1087" s="1" t="s">
        <v>1275</v>
      </c>
      <c r="B1087" s="1" t="s">
        <v>3460</v>
      </c>
    </row>
    <row r="1088" spans="1:2" ht="15.5" x14ac:dyDescent="0.35">
      <c r="A1088" s="1" t="s">
        <v>1274</v>
      </c>
      <c r="B1088" s="1" t="s">
        <v>3461</v>
      </c>
    </row>
    <row r="1089" spans="1:2" ht="15.5" x14ac:dyDescent="0.35">
      <c r="A1089" s="1" t="s">
        <v>1273</v>
      </c>
      <c r="B1089" s="1" t="s">
        <v>3462</v>
      </c>
    </row>
    <row r="1090" spans="1:2" ht="15.5" x14ac:dyDescent="0.35">
      <c r="A1090" s="1" t="s">
        <v>1272</v>
      </c>
      <c r="B1090" s="1" t="s">
        <v>3463</v>
      </c>
    </row>
    <row r="1091" spans="1:2" ht="15.5" x14ac:dyDescent="0.35">
      <c r="A1091" s="1" t="s">
        <v>1271</v>
      </c>
      <c r="B1091" s="1" t="s">
        <v>3464</v>
      </c>
    </row>
    <row r="1092" spans="1:2" ht="15.5" x14ac:dyDescent="0.35">
      <c r="A1092" s="1" t="s">
        <v>1270</v>
      </c>
      <c r="B1092" s="1" t="s">
        <v>3465</v>
      </c>
    </row>
    <row r="1093" spans="1:2" ht="15.5" x14ac:dyDescent="0.35">
      <c r="A1093" s="1" t="s">
        <v>1269</v>
      </c>
      <c r="B1093" s="1" t="s">
        <v>3466</v>
      </c>
    </row>
    <row r="1094" spans="1:2" ht="15.5" x14ac:dyDescent="0.35">
      <c r="A1094" s="1" t="s">
        <v>1268</v>
      </c>
      <c r="B1094" s="1" t="s">
        <v>3467</v>
      </c>
    </row>
    <row r="1095" spans="1:2" ht="15.5" x14ac:dyDescent="0.35">
      <c r="A1095" s="1" t="s">
        <v>1267</v>
      </c>
      <c r="B1095" s="1" t="s">
        <v>3468</v>
      </c>
    </row>
    <row r="1096" spans="1:2" ht="15.5" x14ac:dyDescent="0.35">
      <c r="A1096" s="1" t="s">
        <v>1266</v>
      </c>
      <c r="B1096" s="1" t="s">
        <v>3469</v>
      </c>
    </row>
    <row r="1097" spans="1:2" ht="15.5" x14ac:dyDescent="0.35">
      <c r="A1097" s="1" t="s">
        <v>1265</v>
      </c>
      <c r="B1097" s="1" t="s">
        <v>3470</v>
      </c>
    </row>
    <row r="1098" spans="1:2" ht="15.5" x14ac:dyDescent="0.35">
      <c r="A1098" s="1" t="s">
        <v>1264</v>
      </c>
      <c r="B1098" s="1" t="s">
        <v>3471</v>
      </c>
    </row>
    <row r="1099" spans="1:2" ht="15.5" x14ac:dyDescent="0.35">
      <c r="A1099" s="1" t="s">
        <v>1263</v>
      </c>
      <c r="B1099" s="1" t="s">
        <v>3472</v>
      </c>
    </row>
    <row r="1100" spans="1:2" ht="15.5" x14ac:dyDescent="0.35">
      <c r="A1100" s="1" t="s">
        <v>1262</v>
      </c>
      <c r="B1100" s="1" t="s">
        <v>3473</v>
      </c>
    </row>
    <row r="1101" spans="1:2" ht="15.5" x14ac:dyDescent="0.35">
      <c r="A1101" s="1" t="s">
        <v>1261</v>
      </c>
      <c r="B1101" s="1" t="s">
        <v>3474</v>
      </c>
    </row>
    <row r="1102" spans="1:2" ht="15.5" x14ac:dyDescent="0.35">
      <c r="A1102" s="1" t="s">
        <v>1260</v>
      </c>
      <c r="B1102" s="1" t="s">
        <v>3475</v>
      </c>
    </row>
    <row r="1103" spans="1:2" ht="15.5" x14ac:dyDescent="0.35">
      <c r="A1103" s="1" t="s">
        <v>1259</v>
      </c>
      <c r="B1103" s="1" t="s">
        <v>3476</v>
      </c>
    </row>
    <row r="1104" spans="1:2" ht="15.5" x14ac:dyDescent="0.35">
      <c r="A1104" s="1" t="s">
        <v>1258</v>
      </c>
      <c r="B1104" s="1" t="s">
        <v>3477</v>
      </c>
    </row>
    <row r="1105" spans="1:2" ht="15.5" x14ac:dyDescent="0.35">
      <c r="A1105" s="1" t="s">
        <v>1257</v>
      </c>
      <c r="B1105" s="1" t="s">
        <v>3478</v>
      </c>
    </row>
    <row r="1106" spans="1:2" ht="15.5" x14ac:dyDescent="0.35">
      <c r="A1106" s="1" t="s">
        <v>1256</v>
      </c>
      <c r="B1106" s="1" t="s">
        <v>3479</v>
      </c>
    </row>
    <row r="1107" spans="1:2" ht="15.5" x14ac:dyDescent="0.35">
      <c r="A1107" s="1" t="s">
        <v>1255</v>
      </c>
      <c r="B1107" s="1" t="s">
        <v>3480</v>
      </c>
    </row>
    <row r="1108" spans="1:2" ht="15.5" x14ac:dyDescent="0.35">
      <c r="A1108" s="1" t="s">
        <v>1254</v>
      </c>
      <c r="B1108" s="1" t="s">
        <v>3481</v>
      </c>
    </row>
    <row r="1109" spans="1:2" ht="15.5" x14ac:dyDescent="0.35">
      <c r="A1109" s="1" t="s">
        <v>1253</v>
      </c>
      <c r="B1109" s="1" t="s">
        <v>3482</v>
      </c>
    </row>
    <row r="1110" spans="1:2" ht="15.5" x14ac:dyDescent="0.35">
      <c r="A1110" s="1" t="s">
        <v>1252</v>
      </c>
      <c r="B1110" s="1" t="s">
        <v>3483</v>
      </c>
    </row>
    <row r="1111" spans="1:2" ht="15.5" x14ac:dyDescent="0.35">
      <c r="A1111" s="1" t="s">
        <v>1251</v>
      </c>
      <c r="B1111" s="1" t="s">
        <v>3484</v>
      </c>
    </row>
    <row r="1112" spans="1:2" ht="15.5" x14ac:dyDescent="0.35">
      <c r="A1112" s="1" t="s">
        <v>1250</v>
      </c>
      <c r="B1112" s="1" t="s">
        <v>3485</v>
      </c>
    </row>
    <row r="1113" spans="1:2" ht="15.5" x14ac:dyDescent="0.35">
      <c r="A1113" s="1" t="s">
        <v>1249</v>
      </c>
      <c r="B1113" s="1" t="s">
        <v>3486</v>
      </c>
    </row>
    <row r="1114" spans="1:2" ht="15.5" x14ac:dyDescent="0.35">
      <c r="A1114" s="1" t="s">
        <v>1248</v>
      </c>
      <c r="B1114" s="1" t="s">
        <v>3487</v>
      </c>
    </row>
    <row r="1115" spans="1:2" ht="15.5" x14ac:dyDescent="0.35">
      <c r="A1115" s="1" t="s">
        <v>1247</v>
      </c>
      <c r="B1115" s="1" t="s">
        <v>3488</v>
      </c>
    </row>
    <row r="1116" spans="1:2" ht="15.5" x14ac:dyDescent="0.35">
      <c r="A1116" s="1" t="s">
        <v>1246</v>
      </c>
      <c r="B1116" s="1" t="s">
        <v>3489</v>
      </c>
    </row>
    <row r="1117" spans="1:2" ht="15.5" x14ac:dyDescent="0.35">
      <c r="A1117" s="1" t="s">
        <v>1245</v>
      </c>
      <c r="B1117" s="1" t="s">
        <v>3490</v>
      </c>
    </row>
    <row r="1118" spans="1:2" ht="15.5" x14ac:dyDescent="0.35">
      <c r="A1118" s="1" t="s">
        <v>1244</v>
      </c>
      <c r="B1118" s="1" t="s">
        <v>3491</v>
      </c>
    </row>
    <row r="1119" spans="1:2" ht="15.5" x14ac:dyDescent="0.35">
      <c r="A1119" s="1" t="s">
        <v>1243</v>
      </c>
      <c r="B1119" s="1" t="s">
        <v>3492</v>
      </c>
    </row>
    <row r="1120" spans="1:2" ht="15.5" x14ac:dyDescent="0.35">
      <c r="A1120" s="1" t="s">
        <v>1242</v>
      </c>
      <c r="B1120" s="1" t="s">
        <v>3493</v>
      </c>
    </row>
    <row r="1121" spans="1:2" ht="15.5" x14ac:dyDescent="0.35">
      <c r="A1121" s="1" t="s">
        <v>1241</v>
      </c>
      <c r="B1121" s="1" t="s">
        <v>3494</v>
      </c>
    </row>
    <row r="1122" spans="1:2" ht="15.5" x14ac:dyDescent="0.35">
      <c r="A1122" s="1" t="s">
        <v>1240</v>
      </c>
      <c r="B1122" s="1" t="s">
        <v>3495</v>
      </c>
    </row>
    <row r="1123" spans="1:2" ht="15.5" x14ac:dyDescent="0.35">
      <c r="A1123" s="1" t="s">
        <v>1239</v>
      </c>
      <c r="B1123" s="1" t="s">
        <v>3496</v>
      </c>
    </row>
    <row r="1124" spans="1:2" ht="15.5" x14ac:dyDescent="0.35">
      <c r="A1124" s="1" t="s">
        <v>1238</v>
      </c>
      <c r="B1124" s="1" t="s">
        <v>3497</v>
      </c>
    </row>
    <row r="1125" spans="1:2" ht="15.5" x14ac:dyDescent="0.35">
      <c r="A1125" s="1" t="s">
        <v>1237</v>
      </c>
      <c r="B1125" s="1" t="s">
        <v>3498</v>
      </c>
    </row>
    <row r="1126" spans="1:2" ht="15.5" x14ac:dyDescent="0.35">
      <c r="A1126" s="1" t="s">
        <v>1236</v>
      </c>
      <c r="B1126" s="1" t="s">
        <v>3499</v>
      </c>
    </row>
    <row r="1127" spans="1:2" ht="15.5" x14ac:dyDescent="0.35">
      <c r="A1127" s="1" t="s">
        <v>1235</v>
      </c>
      <c r="B1127" s="1" t="s">
        <v>3500</v>
      </c>
    </row>
    <row r="1128" spans="1:2" ht="15.5" x14ac:dyDescent="0.35">
      <c r="A1128" s="1" t="s">
        <v>1234</v>
      </c>
      <c r="B1128" s="1" t="s">
        <v>3501</v>
      </c>
    </row>
    <row r="1129" spans="1:2" ht="15.5" x14ac:dyDescent="0.35">
      <c r="A1129" s="1" t="s">
        <v>1233</v>
      </c>
      <c r="B1129" s="1" t="s">
        <v>3502</v>
      </c>
    </row>
    <row r="1130" spans="1:2" ht="15.5" x14ac:dyDescent="0.35">
      <c r="A1130" s="1" t="s">
        <v>1232</v>
      </c>
      <c r="B1130" s="1" t="s">
        <v>3503</v>
      </c>
    </row>
    <row r="1131" spans="1:2" ht="15.5" x14ac:dyDescent="0.35">
      <c r="A1131" s="1" t="s">
        <v>1231</v>
      </c>
      <c r="B1131" s="1" t="s">
        <v>3504</v>
      </c>
    </row>
    <row r="1132" spans="1:2" ht="15.5" x14ac:dyDescent="0.35">
      <c r="A1132" s="1" t="s">
        <v>1230</v>
      </c>
      <c r="B1132" s="1" t="s">
        <v>3505</v>
      </c>
    </row>
    <row r="1133" spans="1:2" ht="15.5" x14ac:dyDescent="0.35">
      <c r="A1133" s="1" t="s">
        <v>1229</v>
      </c>
      <c r="B1133" s="1" t="s">
        <v>3506</v>
      </c>
    </row>
    <row r="1134" spans="1:2" ht="15.5" x14ac:dyDescent="0.35">
      <c r="A1134" s="1" t="s">
        <v>1228</v>
      </c>
      <c r="B1134" s="1" t="s">
        <v>3507</v>
      </c>
    </row>
    <row r="1135" spans="1:2" ht="15.5" x14ac:dyDescent="0.35">
      <c r="A1135" s="1" t="s">
        <v>1227</v>
      </c>
      <c r="B1135" s="1" t="s">
        <v>3508</v>
      </c>
    </row>
    <row r="1136" spans="1:2" ht="15.5" x14ac:dyDescent="0.35">
      <c r="A1136" s="1" t="s">
        <v>1226</v>
      </c>
      <c r="B1136" s="1" t="s">
        <v>3509</v>
      </c>
    </row>
    <row r="1137" spans="1:2" ht="15.5" x14ac:dyDescent="0.35">
      <c r="A1137" s="1" t="s">
        <v>1225</v>
      </c>
      <c r="B1137" s="1" t="s">
        <v>3510</v>
      </c>
    </row>
    <row r="1138" spans="1:2" ht="15.5" x14ac:dyDescent="0.35">
      <c r="A1138" s="1" t="s">
        <v>1224</v>
      </c>
      <c r="B1138" s="1" t="s">
        <v>3511</v>
      </c>
    </row>
    <row r="1139" spans="1:2" ht="15.5" x14ac:dyDescent="0.35">
      <c r="A1139" s="1" t="s">
        <v>1223</v>
      </c>
      <c r="B1139" s="1" t="s">
        <v>3512</v>
      </c>
    </row>
    <row r="1140" spans="1:2" ht="15.5" x14ac:dyDescent="0.35">
      <c r="A1140" s="1" t="s">
        <v>1222</v>
      </c>
      <c r="B1140" s="1" t="s">
        <v>3513</v>
      </c>
    </row>
    <row r="1141" spans="1:2" ht="15.5" x14ac:dyDescent="0.35">
      <c r="A1141" s="1" t="s">
        <v>1221</v>
      </c>
      <c r="B1141" s="1" t="s">
        <v>3514</v>
      </c>
    </row>
    <row r="1142" spans="1:2" ht="15.5" x14ac:dyDescent="0.35">
      <c r="A1142" s="1" t="s">
        <v>1220</v>
      </c>
      <c r="B1142" s="1" t="s">
        <v>3515</v>
      </c>
    </row>
    <row r="1143" spans="1:2" ht="15.5" x14ac:dyDescent="0.35">
      <c r="A1143" s="1" t="s">
        <v>1219</v>
      </c>
      <c r="B1143" s="1" t="s">
        <v>3516</v>
      </c>
    </row>
    <row r="1144" spans="1:2" ht="15.5" x14ac:dyDescent="0.35">
      <c r="A1144" s="1" t="s">
        <v>1218</v>
      </c>
      <c r="B1144" s="1" t="s">
        <v>3517</v>
      </c>
    </row>
    <row r="1145" spans="1:2" ht="15.5" x14ac:dyDescent="0.35">
      <c r="A1145" s="1" t="s">
        <v>1217</v>
      </c>
      <c r="B1145" s="1" t="s">
        <v>3518</v>
      </c>
    </row>
    <row r="1146" spans="1:2" ht="15.5" x14ac:dyDescent="0.35">
      <c r="A1146" s="1" t="s">
        <v>1216</v>
      </c>
      <c r="B1146" s="1" t="s">
        <v>3519</v>
      </c>
    </row>
    <row r="1147" spans="1:2" ht="15.5" x14ac:dyDescent="0.35">
      <c r="A1147" s="1" t="s">
        <v>1215</v>
      </c>
      <c r="B1147" s="1" t="s">
        <v>3520</v>
      </c>
    </row>
    <row r="1148" spans="1:2" ht="15.5" x14ac:dyDescent="0.35">
      <c r="A1148" s="1" t="s">
        <v>1214</v>
      </c>
      <c r="B1148" s="1" t="s">
        <v>3521</v>
      </c>
    </row>
    <row r="1149" spans="1:2" ht="15.5" x14ac:dyDescent="0.35">
      <c r="A1149" s="1" t="s">
        <v>1213</v>
      </c>
      <c r="B1149" s="1" t="s">
        <v>3522</v>
      </c>
    </row>
    <row r="1150" spans="1:2" ht="15.5" x14ac:dyDescent="0.35">
      <c r="A1150" s="1" t="s">
        <v>1212</v>
      </c>
      <c r="B1150" s="1" t="s">
        <v>3523</v>
      </c>
    </row>
    <row r="1151" spans="1:2" ht="15.5" x14ac:dyDescent="0.35">
      <c r="A1151" s="1" t="s">
        <v>1211</v>
      </c>
      <c r="B1151" s="1" t="s">
        <v>3524</v>
      </c>
    </row>
    <row r="1152" spans="1:2" ht="15.5" x14ac:dyDescent="0.35">
      <c r="A1152" s="1" t="s">
        <v>1210</v>
      </c>
      <c r="B1152" s="1" t="s">
        <v>3525</v>
      </c>
    </row>
    <row r="1153" spans="1:2" ht="15.5" x14ac:dyDescent="0.35">
      <c r="A1153" s="1" t="s">
        <v>1209</v>
      </c>
      <c r="B1153" s="1" t="s">
        <v>3526</v>
      </c>
    </row>
    <row r="1154" spans="1:2" ht="15.5" x14ac:dyDescent="0.35">
      <c r="A1154" s="1" t="s">
        <v>1208</v>
      </c>
      <c r="B1154" s="1" t="s">
        <v>3527</v>
      </c>
    </row>
    <row r="1155" spans="1:2" ht="15.5" x14ac:dyDescent="0.35">
      <c r="A1155" s="1" t="s">
        <v>1207</v>
      </c>
      <c r="B1155" s="1" t="s">
        <v>3528</v>
      </c>
    </row>
    <row r="1156" spans="1:2" ht="15.5" x14ac:dyDescent="0.35">
      <c r="A1156" s="1" t="s">
        <v>1206</v>
      </c>
      <c r="B1156" s="1" t="s">
        <v>3529</v>
      </c>
    </row>
    <row r="1157" spans="1:2" ht="15.5" x14ac:dyDescent="0.35">
      <c r="A1157" s="1" t="s">
        <v>1205</v>
      </c>
      <c r="B1157" s="1" t="s">
        <v>3530</v>
      </c>
    </row>
    <row r="1158" spans="1:2" ht="15.5" x14ac:dyDescent="0.35">
      <c r="A1158" s="1" t="s">
        <v>1204</v>
      </c>
      <c r="B1158" s="1" t="s">
        <v>3531</v>
      </c>
    </row>
    <row r="1159" spans="1:2" ht="15.5" x14ac:dyDescent="0.35">
      <c r="A1159" s="1" t="s">
        <v>1203</v>
      </c>
      <c r="B1159" s="1" t="s">
        <v>3532</v>
      </c>
    </row>
    <row r="1160" spans="1:2" ht="15.5" x14ac:dyDescent="0.35">
      <c r="A1160" s="1" t="s">
        <v>1202</v>
      </c>
      <c r="B1160" s="1" t="s">
        <v>3533</v>
      </c>
    </row>
    <row r="1161" spans="1:2" ht="15.5" x14ac:dyDescent="0.35">
      <c r="A1161" s="1" t="s">
        <v>1201</v>
      </c>
      <c r="B1161" s="1" t="s">
        <v>3534</v>
      </c>
    </row>
    <row r="1162" spans="1:2" ht="15.5" x14ac:dyDescent="0.35">
      <c r="A1162" s="1" t="s">
        <v>1200</v>
      </c>
      <c r="B1162" s="1" t="s">
        <v>3535</v>
      </c>
    </row>
    <row r="1163" spans="1:2" ht="15.5" x14ac:dyDescent="0.35">
      <c r="A1163" s="1" t="s">
        <v>1199</v>
      </c>
      <c r="B1163" s="1" t="s">
        <v>3536</v>
      </c>
    </row>
    <row r="1164" spans="1:2" ht="15.5" x14ac:dyDescent="0.35">
      <c r="A1164" s="1" t="s">
        <v>1198</v>
      </c>
      <c r="B1164" s="1" t="s">
        <v>3537</v>
      </c>
    </row>
    <row r="1165" spans="1:2" ht="15.5" x14ac:dyDescent="0.35">
      <c r="A1165" s="1" t="s">
        <v>1197</v>
      </c>
      <c r="B1165" s="1" t="s">
        <v>3538</v>
      </c>
    </row>
    <row r="1166" spans="1:2" ht="15.5" x14ac:dyDescent="0.35">
      <c r="A1166" s="1" t="s">
        <v>1196</v>
      </c>
      <c r="B1166" s="1" t="s">
        <v>3539</v>
      </c>
    </row>
    <row r="1167" spans="1:2" ht="15.5" x14ac:dyDescent="0.35">
      <c r="A1167" s="1" t="s">
        <v>1195</v>
      </c>
      <c r="B1167" s="1" t="s">
        <v>3540</v>
      </c>
    </row>
    <row r="1168" spans="1:2" ht="15.5" x14ac:dyDescent="0.35">
      <c r="A1168" s="1" t="s">
        <v>1194</v>
      </c>
      <c r="B1168" s="1" t="s">
        <v>3541</v>
      </c>
    </row>
    <row r="1169" spans="1:2" ht="15.5" x14ac:dyDescent="0.35">
      <c r="A1169" s="1" t="s">
        <v>1193</v>
      </c>
      <c r="B1169" s="1" t="s">
        <v>3542</v>
      </c>
    </row>
    <row r="1170" spans="1:2" ht="15.5" x14ac:dyDescent="0.35">
      <c r="A1170" s="1" t="s">
        <v>1192</v>
      </c>
      <c r="B1170" s="1" t="s">
        <v>3543</v>
      </c>
    </row>
    <row r="1171" spans="1:2" ht="15.5" x14ac:dyDescent="0.35">
      <c r="A1171" s="1" t="s">
        <v>1191</v>
      </c>
      <c r="B1171" s="1" t="s">
        <v>3544</v>
      </c>
    </row>
    <row r="1172" spans="1:2" ht="15.5" x14ac:dyDescent="0.35">
      <c r="A1172" s="1" t="s">
        <v>1190</v>
      </c>
      <c r="B1172" s="1" t="s">
        <v>3545</v>
      </c>
    </row>
    <row r="1173" spans="1:2" ht="15.5" x14ac:dyDescent="0.35">
      <c r="A1173" s="1" t="s">
        <v>1189</v>
      </c>
      <c r="B1173" s="1" t="s">
        <v>3546</v>
      </c>
    </row>
    <row r="1174" spans="1:2" ht="15.5" x14ac:dyDescent="0.35">
      <c r="A1174" s="1" t="s">
        <v>1188</v>
      </c>
      <c r="B1174" s="1" t="s">
        <v>3547</v>
      </c>
    </row>
    <row r="1175" spans="1:2" ht="15.5" x14ac:dyDescent="0.35">
      <c r="A1175" s="1" t="s">
        <v>1187</v>
      </c>
      <c r="B1175" s="1" t="s">
        <v>3548</v>
      </c>
    </row>
    <row r="1176" spans="1:2" ht="15.5" x14ac:dyDescent="0.35">
      <c r="A1176" s="1" t="s">
        <v>1186</v>
      </c>
      <c r="B1176" s="1" t="s">
        <v>3549</v>
      </c>
    </row>
    <row r="1177" spans="1:2" ht="15.5" x14ac:dyDescent="0.35">
      <c r="A1177" s="1" t="s">
        <v>1185</v>
      </c>
      <c r="B1177" s="1" t="s">
        <v>3550</v>
      </c>
    </row>
    <row r="1178" spans="1:2" ht="15.5" x14ac:dyDescent="0.35">
      <c r="A1178" s="1" t="s">
        <v>1184</v>
      </c>
      <c r="B1178" s="1" t="s">
        <v>3551</v>
      </c>
    </row>
    <row r="1179" spans="1:2" ht="15.5" x14ac:dyDescent="0.35">
      <c r="A1179" s="1" t="s">
        <v>1183</v>
      </c>
      <c r="B1179" s="1" t="s">
        <v>3552</v>
      </c>
    </row>
    <row r="1180" spans="1:2" ht="15.5" x14ac:dyDescent="0.35">
      <c r="A1180" s="1" t="s">
        <v>1182</v>
      </c>
      <c r="B1180" s="1" t="s">
        <v>3553</v>
      </c>
    </row>
    <row r="1181" spans="1:2" ht="15.5" x14ac:dyDescent="0.35">
      <c r="A1181" s="1" t="s">
        <v>1181</v>
      </c>
      <c r="B1181" s="1" t="s">
        <v>3554</v>
      </c>
    </row>
    <row r="1182" spans="1:2" ht="15.5" x14ac:dyDescent="0.35">
      <c r="A1182" s="1" t="s">
        <v>1180</v>
      </c>
      <c r="B1182" s="1" t="s">
        <v>3555</v>
      </c>
    </row>
    <row r="1183" spans="1:2" ht="15.5" x14ac:dyDescent="0.35">
      <c r="A1183" s="1" t="s">
        <v>1179</v>
      </c>
      <c r="B1183" s="1" t="s">
        <v>3556</v>
      </c>
    </row>
    <row r="1184" spans="1:2" ht="15.5" x14ac:dyDescent="0.35">
      <c r="A1184" s="1" t="s">
        <v>1178</v>
      </c>
      <c r="B1184" s="1" t="s">
        <v>3557</v>
      </c>
    </row>
    <row r="1185" spans="1:2" ht="15.5" x14ac:dyDescent="0.35">
      <c r="A1185" s="1" t="s">
        <v>1177</v>
      </c>
      <c r="B1185" s="1" t="s">
        <v>3558</v>
      </c>
    </row>
    <row r="1186" spans="1:2" ht="15.5" x14ac:dyDescent="0.35">
      <c r="A1186" s="1" t="s">
        <v>1176</v>
      </c>
      <c r="B1186" s="1" t="s">
        <v>3559</v>
      </c>
    </row>
    <row r="1187" spans="1:2" ht="15.5" x14ac:dyDescent="0.35">
      <c r="A1187" s="1" t="s">
        <v>1175</v>
      </c>
      <c r="B1187" s="1" t="s">
        <v>3560</v>
      </c>
    </row>
    <row r="1188" spans="1:2" ht="15.5" x14ac:dyDescent="0.35">
      <c r="A1188" s="1" t="s">
        <v>1174</v>
      </c>
      <c r="B1188" s="1" t="s">
        <v>3561</v>
      </c>
    </row>
    <row r="1189" spans="1:2" ht="15.5" x14ac:dyDescent="0.35">
      <c r="A1189" s="1" t="s">
        <v>1173</v>
      </c>
      <c r="B1189" s="1" t="s">
        <v>3562</v>
      </c>
    </row>
    <row r="1190" spans="1:2" ht="15.5" x14ac:dyDescent="0.35">
      <c r="A1190" s="1" t="s">
        <v>1172</v>
      </c>
      <c r="B1190" s="1" t="s">
        <v>3563</v>
      </c>
    </row>
    <row r="1191" spans="1:2" ht="15.5" x14ac:dyDescent="0.35">
      <c r="A1191" s="1" t="s">
        <v>1171</v>
      </c>
      <c r="B1191" s="1" t="s">
        <v>3564</v>
      </c>
    </row>
    <row r="1192" spans="1:2" ht="15.5" x14ac:dyDescent="0.35">
      <c r="A1192" s="1" t="s">
        <v>1170</v>
      </c>
      <c r="B1192" s="1" t="s">
        <v>3565</v>
      </c>
    </row>
    <row r="1193" spans="1:2" ht="15.5" x14ac:dyDescent="0.35">
      <c r="A1193" s="1" t="s">
        <v>1169</v>
      </c>
      <c r="B1193" s="1" t="s">
        <v>3566</v>
      </c>
    </row>
    <row r="1194" spans="1:2" ht="15.5" x14ac:dyDescent="0.35">
      <c r="A1194" s="1" t="s">
        <v>1168</v>
      </c>
      <c r="B1194" s="1" t="s">
        <v>3567</v>
      </c>
    </row>
    <row r="1195" spans="1:2" ht="15.5" x14ac:dyDescent="0.35">
      <c r="A1195" s="1" t="s">
        <v>1167</v>
      </c>
      <c r="B1195" s="1" t="s">
        <v>3568</v>
      </c>
    </row>
    <row r="1196" spans="1:2" ht="15.5" x14ac:dyDescent="0.35">
      <c r="A1196" s="1" t="s">
        <v>1166</v>
      </c>
      <c r="B1196" s="1" t="s">
        <v>3569</v>
      </c>
    </row>
    <row r="1197" spans="1:2" ht="15.5" x14ac:dyDescent="0.35">
      <c r="A1197" s="1" t="s">
        <v>1165</v>
      </c>
      <c r="B1197" s="1" t="s">
        <v>3570</v>
      </c>
    </row>
    <row r="1198" spans="1:2" ht="15.5" x14ac:dyDescent="0.35">
      <c r="A1198" s="1" t="s">
        <v>1164</v>
      </c>
      <c r="B1198" s="1" t="s">
        <v>3571</v>
      </c>
    </row>
    <row r="1199" spans="1:2" ht="15.5" x14ac:dyDescent="0.35">
      <c r="A1199" s="1" t="s">
        <v>1163</v>
      </c>
      <c r="B1199" s="1" t="s">
        <v>3572</v>
      </c>
    </row>
    <row r="1200" spans="1:2" ht="15.5" x14ac:dyDescent="0.35">
      <c r="A1200" s="1" t="s">
        <v>1162</v>
      </c>
      <c r="B1200" s="1" t="s">
        <v>3573</v>
      </c>
    </row>
    <row r="1201" spans="1:2" ht="15.5" x14ac:dyDescent="0.35">
      <c r="A1201" s="1" t="s">
        <v>1161</v>
      </c>
      <c r="B1201" s="1" t="s">
        <v>3574</v>
      </c>
    </row>
    <row r="1202" spans="1:2" ht="15.5" x14ac:dyDescent="0.35">
      <c r="A1202" s="1" t="s">
        <v>1160</v>
      </c>
      <c r="B1202" s="1" t="s">
        <v>3575</v>
      </c>
    </row>
    <row r="1203" spans="1:2" ht="15.5" x14ac:dyDescent="0.35">
      <c r="A1203" s="1" t="s">
        <v>1159</v>
      </c>
      <c r="B1203" s="1" t="s">
        <v>3576</v>
      </c>
    </row>
    <row r="1204" spans="1:2" ht="15.5" x14ac:dyDescent="0.35">
      <c r="A1204" s="1" t="s">
        <v>1158</v>
      </c>
      <c r="B1204" s="1" t="s">
        <v>3577</v>
      </c>
    </row>
    <row r="1205" spans="1:2" ht="15.5" x14ac:dyDescent="0.35">
      <c r="A1205" s="1" t="s">
        <v>1157</v>
      </c>
      <c r="B1205" s="1" t="s">
        <v>3578</v>
      </c>
    </row>
    <row r="1206" spans="1:2" ht="15.5" x14ac:dyDescent="0.35">
      <c r="A1206" s="1" t="s">
        <v>1156</v>
      </c>
      <c r="B1206" s="1" t="s">
        <v>3579</v>
      </c>
    </row>
    <row r="1207" spans="1:2" ht="15.5" x14ac:dyDescent="0.35">
      <c r="A1207" s="1" t="s">
        <v>1155</v>
      </c>
      <c r="B1207" s="1" t="s">
        <v>3580</v>
      </c>
    </row>
    <row r="1208" spans="1:2" ht="15.5" x14ac:dyDescent="0.35">
      <c r="A1208" s="1" t="s">
        <v>1154</v>
      </c>
      <c r="B1208" s="1" t="s">
        <v>3581</v>
      </c>
    </row>
    <row r="1209" spans="1:2" ht="15.5" x14ac:dyDescent="0.35">
      <c r="A1209" s="1" t="s">
        <v>1153</v>
      </c>
      <c r="B1209" s="1" t="s">
        <v>3582</v>
      </c>
    </row>
    <row r="1210" spans="1:2" ht="15.5" x14ac:dyDescent="0.35">
      <c r="A1210" s="1" t="s">
        <v>1152</v>
      </c>
      <c r="B1210" s="1" t="s">
        <v>3583</v>
      </c>
    </row>
    <row r="1211" spans="1:2" ht="15.5" x14ac:dyDescent="0.35">
      <c r="A1211" s="1" t="s">
        <v>1151</v>
      </c>
      <c r="B1211" s="1" t="s">
        <v>3584</v>
      </c>
    </row>
    <row r="1212" spans="1:2" ht="15.5" x14ac:dyDescent="0.35">
      <c r="A1212" s="1" t="s">
        <v>1150</v>
      </c>
      <c r="B1212" s="1" t="s">
        <v>3585</v>
      </c>
    </row>
    <row r="1213" spans="1:2" ht="15.5" x14ac:dyDescent="0.35">
      <c r="A1213" s="1" t="s">
        <v>1149</v>
      </c>
      <c r="B1213" s="1" t="s">
        <v>3586</v>
      </c>
    </row>
    <row r="1214" spans="1:2" ht="15.5" x14ac:dyDescent="0.35">
      <c r="A1214" s="1" t="s">
        <v>1148</v>
      </c>
      <c r="B1214" s="1" t="s">
        <v>3587</v>
      </c>
    </row>
    <row r="1215" spans="1:2" ht="15.5" x14ac:dyDescent="0.35">
      <c r="A1215" s="1" t="s">
        <v>1147</v>
      </c>
      <c r="B1215" s="1" t="s">
        <v>3588</v>
      </c>
    </row>
    <row r="1216" spans="1:2" ht="15.5" x14ac:dyDescent="0.35">
      <c r="A1216" s="1" t="s">
        <v>1146</v>
      </c>
      <c r="B1216" s="1" t="s">
        <v>3589</v>
      </c>
    </row>
    <row r="1217" spans="1:2" ht="15.5" x14ac:dyDescent="0.35">
      <c r="A1217" s="1" t="s">
        <v>1145</v>
      </c>
      <c r="B1217" s="1" t="s">
        <v>3590</v>
      </c>
    </row>
    <row r="1218" spans="1:2" ht="15.5" x14ac:dyDescent="0.35">
      <c r="A1218" s="1" t="s">
        <v>1144</v>
      </c>
      <c r="B1218" s="1" t="s">
        <v>3591</v>
      </c>
    </row>
    <row r="1219" spans="1:2" ht="15.5" x14ac:dyDescent="0.35">
      <c r="A1219" s="1" t="s">
        <v>1143</v>
      </c>
      <c r="B1219" s="1" t="s">
        <v>3592</v>
      </c>
    </row>
    <row r="1220" spans="1:2" ht="15.5" x14ac:dyDescent="0.35">
      <c r="A1220" s="1" t="s">
        <v>1142</v>
      </c>
      <c r="B1220" s="1" t="s">
        <v>3593</v>
      </c>
    </row>
    <row r="1221" spans="1:2" ht="15.5" x14ac:dyDescent="0.35">
      <c r="A1221" s="1" t="s">
        <v>1141</v>
      </c>
      <c r="B1221" s="1" t="s">
        <v>3594</v>
      </c>
    </row>
    <row r="1222" spans="1:2" ht="15.5" x14ac:dyDescent="0.35">
      <c r="A1222" s="1" t="s">
        <v>1140</v>
      </c>
      <c r="B1222" s="1" t="s">
        <v>3595</v>
      </c>
    </row>
    <row r="1223" spans="1:2" ht="15.5" x14ac:dyDescent="0.35">
      <c r="A1223" s="1" t="s">
        <v>1139</v>
      </c>
      <c r="B1223" s="1" t="s">
        <v>3596</v>
      </c>
    </row>
    <row r="1224" spans="1:2" ht="15.5" x14ac:dyDescent="0.35">
      <c r="A1224" s="1" t="s">
        <v>1138</v>
      </c>
      <c r="B1224" s="1" t="s">
        <v>3597</v>
      </c>
    </row>
    <row r="1225" spans="1:2" ht="15.5" x14ac:dyDescent="0.35">
      <c r="A1225" s="1" t="s">
        <v>1137</v>
      </c>
      <c r="B1225" s="1" t="s">
        <v>3598</v>
      </c>
    </row>
    <row r="1226" spans="1:2" ht="15.5" x14ac:dyDescent="0.35">
      <c r="A1226" s="1" t="s">
        <v>1136</v>
      </c>
      <c r="B1226" s="1" t="s">
        <v>3599</v>
      </c>
    </row>
    <row r="1227" spans="1:2" ht="15.5" x14ac:dyDescent="0.35">
      <c r="A1227" s="1" t="s">
        <v>1135</v>
      </c>
      <c r="B1227" s="1" t="s">
        <v>3600</v>
      </c>
    </row>
    <row r="1228" spans="1:2" ht="15.5" x14ac:dyDescent="0.35">
      <c r="A1228" s="1" t="s">
        <v>1134</v>
      </c>
      <c r="B1228" s="1" t="s">
        <v>3601</v>
      </c>
    </row>
    <row r="1229" spans="1:2" ht="15.5" x14ac:dyDescent="0.35">
      <c r="A1229" s="1" t="s">
        <v>1133</v>
      </c>
      <c r="B1229" s="1" t="s">
        <v>3602</v>
      </c>
    </row>
    <row r="1230" spans="1:2" ht="15.5" x14ac:dyDescent="0.35">
      <c r="A1230" s="1" t="s">
        <v>1132</v>
      </c>
      <c r="B1230" s="1" t="s">
        <v>3603</v>
      </c>
    </row>
    <row r="1231" spans="1:2" ht="15.5" x14ac:dyDescent="0.35">
      <c r="A1231" s="1" t="s">
        <v>1131</v>
      </c>
      <c r="B1231" s="1" t="s">
        <v>3604</v>
      </c>
    </row>
    <row r="1232" spans="1:2" ht="15.5" x14ac:dyDescent="0.35">
      <c r="A1232" s="1" t="s">
        <v>1130</v>
      </c>
      <c r="B1232" s="1" t="s">
        <v>3605</v>
      </c>
    </row>
    <row r="1233" spans="1:2" ht="15.5" x14ac:dyDescent="0.35">
      <c r="A1233" s="1" t="s">
        <v>1129</v>
      </c>
      <c r="B1233" s="1" t="s">
        <v>3606</v>
      </c>
    </row>
    <row r="1234" spans="1:2" ht="15.5" x14ac:dyDescent="0.35">
      <c r="A1234" s="1" t="s">
        <v>1128</v>
      </c>
      <c r="B1234" s="1" t="s">
        <v>3607</v>
      </c>
    </row>
    <row r="1235" spans="1:2" ht="15.5" x14ac:dyDescent="0.35">
      <c r="A1235" s="1" t="s">
        <v>1127</v>
      </c>
      <c r="B1235" s="1" t="s">
        <v>3608</v>
      </c>
    </row>
    <row r="1236" spans="1:2" ht="15.5" x14ac:dyDescent="0.35">
      <c r="A1236" s="1" t="s">
        <v>1126</v>
      </c>
      <c r="B1236" s="1" t="s">
        <v>3609</v>
      </c>
    </row>
    <row r="1237" spans="1:2" ht="15.5" x14ac:dyDescent="0.35">
      <c r="A1237" s="1" t="s">
        <v>1125</v>
      </c>
      <c r="B1237" s="1" t="s">
        <v>3610</v>
      </c>
    </row>
    <row r="1238" spans="1:2" ht="15.5" x14ac:dyDescent="0.35">
      <c r="A1238" s="1" t="s">
        <v>1124</v>
      </c>
      <c r="B1238" s="1" t="s">
        <v>3611</v>
      </c>
    </row>
    <row r="1239" spans="1:2" ht="15.5" x14ac:dyDescent="0.35">
      <c r="A1239" s="1" t="s">
        <v>1123</v>
      </c>
      <c r="B1239" s="1" t="s">
        <v>3612</v>
      </c>
    </row>
    <row r="1240" spans="1:2" ht="15.5" x14ac:dyDescent="0.35">
      <c r="A1240" s="1" t="s">
        <v>1122</v>
      </c>
      <c r="B1240" s="1" t="s">
        <v>3613</v>
      </c>
    </row>
    <row r="1241" spans="1:2" ht="15.5" x14ac:dyDescent="0.35">
      <c r="A1241" s="1" t="s">
        <v>1121</v>
      </c>
      <c r="B1241" s="1" t="s">
        <v>3614</v>
      </c>
    </row>
    <row r="1242" spans="1:2" ht="15.5" x14ac:dyDescent="0.35">
      <c r="A1242" s="1" t="s">
        <v>1120</v>
      </c>
      <c r="B1242" s="1" t="s">
        <v>3615</v>
      </c>
    </row>
    <row r="1243" spans="1:2" ht="15.5" x14ac:dyDescent="0.35">
      <c r="A1243" s="1" t="s">
        <v>1119</v>
      </c>
      <c r="B1243" s="1" t="s">
        <v>3616</v>
      </c>
    </row>
    <row r="1244" spans="1:2" ht="15.5" x14ac:dyDescent="0.35">
      <c r="A1244" s="1" t="s">
        <v>1118</v>
      </c>
      <c r="B1244" s="1" t="s">
        <v>3617</v>
      </c>
    </row>
    <row r="1245" spans="1:2" ht="15.5" x14ac:dyDescent="0.35">
      <c r="A1245" s="1" t="s">
        <v>1117</v>
      </c>
      <c r="B1245" s="1" t="s">
        <v>3618</v>
      </c>
    </row>
    <row r="1246" spans="1:2" ht="15.5" x14ac:dyDescent="0.35">
      <c r="A1246" s="1" t="s">
        <v>1116</v>
      </c>
      <c r="B1246" s="1" t="s">
        <v>3619</v>
      </c>
    </row>
    <row r="1247" spans="1:2" ht="15.5" x14ac:dyDescent="0.35">
      <c r="A1247" s="1" t="s">
        <v>1115</v>
      </c>
      <c r="B1247" s="1" t="s">
        <v>3620</v>
      </c>
    </row>
    <row r="1248" spans="1:2" ht="15.5" x14ac:dyDescent="0.35">
      <c r="A1248" s="1" t="s">
        <v>1114</v>
      </c>
      <c r="B1248" s="1" t="s">
        <v>3621</v>
      </c>
    </row>
    <row r="1249" spans="1:2" ht="15.5" x14ac:dyDescent="0.35">
      <c r="A1249" s="1" t="s">
        <v>1113</v>
      </c>
      <c r="B1249" s="1" t="s">
        <v>3622</v>
      </c>
    </row>
    <row r="1250" spans="1:2" ht="15.5" x14ac:dyDescent="0.35">
      <c r="A1250" s="1" t="s">
        <v>1112</v>
      </c>
      <c r="B1250" s="1" t="s">
        <v>3623</v>
      </c>
    </row>
    <row r="1251" spans="1:2" ht="15.5" x14ac:dyDescent="0.35">
      <c r="A1251" s="1" t="s">
        <v>1111</v>
      </c>
      <c r="B1251" s="1" t="s">
        <v>3624</v>
      </c>
    </row>
    <row r="1252" spans="1:2" ht="15.5" x14ac:dyDescent="0.35">
      <c r="A1252" s="1" t="s">
        <v>1110</v>
      </c>
      <c r="B1252" s="1" t="s">
        <v>3625</v>
      </c>
    </row>
    <row r="1253" spans="1:2" ht="15.5" x14ac:dyDescent="0.35">
      <c r="A1253" s="1" t="s">
        <v>1109</v>
      </c>
      <c r="B1253" s="1" t="s">
        <v>3626</v>
      </c>
    </row>
    <row r="1254" spans="1:2" ht="15.5" x14ac:dyDescent="0.35">
      <c r="A1254" s="1" t="s">
        <v>1108</v>
      </c>
      <c r="B1254" s="1" t="s">
        <v>3627</v>
      </c>
    </row>
    <row r="1255" spans="1:2" ht="15.5" x14ac:dyDescent="0.35">
      <c r="A1255" s="1" t="s">
        <v>1107</v>
      </c>
      <c r="B1255" s="1" t="s">
        <v>3628</v>
      </c>
    </row>
    <row r="1256" spans="1:2" ht="15.5" x14ac:dyDescent="0.35">
      <c r="A1256" s="1" t="s">
        <v>1106</v>
      </c>
      <c r="B1256" s="1" t="s">
        <v>3629</v>
      </c>
    </row>
    <row r="1257" spans="1:2" ht="15.5" x14ac:dyDescent="0.35">
      <c r="A1257" s="1" t="s">
        <v>1105</v>
      </c>
      <c r="B1257" s="1" t="s">
        <v>3630</v>
      </c>
    </row>
    <row r="1258" spans="1:2" ht="15.5" x14ac:dyDescent="0.35">
      <c r="A1258" s="1" t="s">
        <v>1104</v>
      </c>
      <c r="B1258" s="1" t="s">
        <v>3631</v>
      </c>
    </row>
    <row r="1259" spans="1:2" ht="15.5" x14ac:dyDescent="0.35">
      <c r="A1259" s="1" t="s">
        <v>1103</v>
      </c>
      <c r="B1259" s="1" t="s">
        <v>3632</v>
      </c>
    </row>
    <row r="1260" spans="1:2" ht="15.5" x14ac:dyDescent="0.35">
      <c r="A1260" s="1" t="s">
        <v>1102</v>
      </c>
      <c r="B1260" s="1" t="s">
        <v>3633</v>
      </c>
    </row>
    <row r="1261" spans="1:2" ht="15.5" x14ac:dyDescent="0.35">
      <c r="A1261" s="1" t="s">
        <v>1101</v>
      </c>
      <c r="B1261" s="1" t="s">
        <v>3634</v>
      </c>
    </row>
    <row r="1262" spans="1:2" ht="15.5" x14ac:dyDescent="0.35">
      <c r="A1262" s="1" t="s">
        <v>1100</v>
      </c>
      <c r="B1262" s="1" t="s">
        <v>3635</v>
      </c>
    </row>
    <row r="1263" spans="1:2" ht="15.5" x14ac:dyDescent="0.35">
      <c r="A1263" s="1" t="s">
        <v>1099</v>
      </c>
      <c r="B1263" s="1" t="s">
        <v>3636</v>
      </c>
    </row>
    <row r="1264" spans="1:2" ht="15.5" x14ac:dyDescent="0.35">
      <c r="A1264" s="1" t="s">
        <v>1098</v>
      </c>
      <c r="B1264" s="1" t="s">
        <v>3637</v>
      </c>
    </row>
    <row r="1265" spans="1:2" ht="15.5" x14ac:dyDescent="0.35">
      <c r="A1265" s="1" t="s">
        <v>1097</v>
      </c>
      <c r="B1265" s="1" t="s">
        <v>3638</v>
      </c>
    </row>
    <row r="1266" spans="1:2" ht="15.5" x14ac:dyDescent="0.35">
      <c r="A1266" s="1" t="s">
        <v>1096</v>
      </c>
      <c r="B1266" s="1" t="s">
        <v>3639</v>
      </c>
    </row>
    <row r="1267" spans="1:2" ht="15.5" x14ac:dyDescent="0.35">
      <c r="A1267" s="1" t="s">
        <v>1095</v>
      </c>
      <c r="B1267" s="1" t="s">
        <v>3640</v>
      </c>
    </row>
    <row r="1268" spans="1:2" ht="15.5" x14ac:dyDescent="0.35">
      <c r="A1268" s="1" t="s">
        <v>1094</v>
      </c>
      <c r="B1268" s="1" t="s">
        <v>3641</v>
      </c>
    </row>
    <row r="1269" spans="1:2" ht="15.5" x14ac:dyDescent="0.35">
      <c r="A1269" s="1" t="s">
        <v>1093</v>
      </c>
      <c r="B1269" s="1" t="s">
        <v>3642</v>
      </c>
    </row>
    <row r="1270" spans="1:2" ht="15.5" x14ac:dyDescent="0.35">
      <c r="A1270" s="1" t="s">
        <v>1092</v>
      </c>
      <c r="B1270" s="1" t="s">
        <v>3643</v>
      </c>
    </row>
    <row r="1271" spans="1:2" ht="15.5" x14ac:dyDescent="0.35">
      <c r="A1271" s="1" t="s">
        <v>1091</v>
      </c>
      <c r="B1271" s="1" t="s">
        <v>3644</v>
      </c>
    </row>
    <row r="1272" spans="1:2" ht="15.5" x14ac:dyDescent="0.35">
      <c r="A1272" s="1" t="s">
        <v>1090</v>
      </c>
      <c r="B1272" s="1" t="s">
        <v>3645</v>
      </c>
    </row>
    <row r="1273" spans="1:2" ht="15.5" x14ac:dyDescent="0.35">
      <c r="A1273" s="1" t="s">
        <v>1089</v>
      </c>
      <c r="B1273" s="1" t="s">
        <v>3646</v>
      </c>
    </row>
    <row r="1274" spans="1:2" ht="15.5" x14ac:dyDescent="0.35">
      <c r="A1274" s="1" t="s">
        <v>1088</v>
      </c>
      <c r="B1274" s="1" t="s">
        <v>3647</v>
      </c>
    </row>
    <row r="1275" spans="1:2" ht="15.5" x14ac:dyDescent="0.35">
      <c r="A1275" s="1" t="s">
        <v>1087</v>
      </c>
      <c r="B1275" s="1" t="s">
        <v>3648</v>
      </c>
    </row>
    <row r="1276" spans="1:2" ht="15.5" x14ac:dyDescent="0.35">
      <c r="A1276" s="1" t="s">
        <v>1086</v>
      </c>
      <c r="B1276" s="1" t="s">
        <v>3649</v>
      </c>
    </row>
    <row r="1277" spans="1:2" ht="15.5" x14ac:dyDescent="0.35">
      <c r="A1277" s="1" t="s">
        <v>1085</v>
      </c>
      <c r="B1277" s="1" t="s">
        <v>3650</v>
      </c>
    </row>
    <row r="1278" spans="1:2" ht="15.5" x14ac:dyDescent="0.35">
      <c r="A1278" s="1" t="s">
        <v>1084</v>
      </c>
      <c r="B1278" s="1" t="s">
        <v>3651</v>
      </c>
    </row>
    <row r="1279" spans="1:2" ht="15.5" x14ac:dyDescent="0.35">
      <c r="A1279" s="1" t="s">
        <v>1083</v>
      </c>
      <c r="B1279" s="1" t="s">
        <v>3652</v>
      </c>
    </row>
    <row r="1280" spans="1:2" ht="15.5" x14ac:dyDescent="0.35">
      <c r="A1280" s="1" t="s">
        <v>1082</v>
      </c>
      <c r="B1280" s="1" t="s">
        <v>3653</v>
      </c>
    </row>
    <row r="1281" spans="1:2" ht="15.5" x14ac:dyDescent="0.35">
      <c r="A1281" s="1" t="s">
        <v>1081</v>
      </c>
      <c r="B1281" s="1" t="s">
        <v>3654</v>
      </c>
    </row>
    <row r="1282" spans="1:2" ht="15.5" x14ac:dyDescent="0.35">
      <c r="A1282" s="1" t="s">
        <v>1080</v>
      </c>
      <c r="B1282" s="1" t="s">
        <v>3655</v>
      </c>
    </row>
    <row r="1283" spans="1:2" ht="15.5" x14ac:dyDescent="0.35">
      <c r="A1283" s="1" t="s">
        <v>1079</v>
      </c>
      <c r="B1283" s="1" t="s">
        <v>3656</v>
      </c>
    </row>
    <row r="1284" spans="1:2" ht="15.5" x14ac:dyDescent="0.35">
      <c r="A1284" s="1" t="s">
        <v>1078</v>
      </c>
      <c r="B1284" s="1" t="s">
        <v>3657</v>
      </c>
    </row>
    <row r="1285" spans="1:2" ht="15.5" x14ac:dyDescent="0.35">
      <c r="A1285" s="1" t="s">
        <v>1077</v>
      </c>
      <c r="B1285" s="1" t="s">
        <v>3658</v>
      </c>
    </row>
    <row r="1286" spans="1:2" ht="15.5" x14ac:dyDescent="0.35">
      <c r="A1286" s="1" t="s">
        <v>1076</v>
      </c>
      <c r="B1286" s="1" t="s">
        <v>3659</v>
      </c>
    </row>
    <row r="1287" spans="1:2" ht="15.5" x14ac:dyDescent="0.35">
      <c r="A1287" s="1" t="s">
        <v>1075</v>
      </c>
      <c r="B1287" s="1" t="s">
        <v>3660</v>
      </c>
    </row>
    <row r="1288" spans="1:2" ht="15.5" x14ac:dyDescent="0.35">
      <c r="A1288" s="1" t="s">
        <v>1074</v>
      </c>
      <c r="B1288" s="1" t="s">
        <v>3661</v>
      </c>
    </row>
    <row r="1289" spans="1:2" ht="15.5" x14ac:dyDescent="0.35">
      <c r="A1289" s="1" t="s">
        <v>1073</v>
      </c>
      <c r="B1289" s="1" t="s">
        <v>3662</v>
      </c>
    </row>
    <row r="1290" spans="1:2" ht="15.5" x14ac:dyDescent="0.35">
      <c r="A1290" s="1" t="s">
        <v>1072</v>
      </c>
      <c r="B1290" s="1" t="s">
        <v>3663</v>
      </c>
    </row>
    <row r="1291" spans="1:2" ht="15.5" x14ac:dyDescent="0.35">
      <c r="A1291" s="1" t="s">
        <v>1071</v>
      </c>
      <c r="B1291" s="1" t="s">
        <v>3664</v>
      </c>
    </row>
    <row r="1292" spans="1:2" ht="15.5" x14ac:dyDescent="0.35">
      <c r="A1292" s="1" t="s">
        <v>1070</v>
      </c>
      <c r="B1292" s="1" t="s">
        <v>3665</v>
      </c>
    </row>
    <row r="1293" spans="1:2" ht="15.5" x14ac:dyDescent="0.35">
      <c r="A1293" s="1" t="s">
        <v>1069</v>
      </c>
      <c r="B1293" s="1" t="s">
        <v>3666</v>
      </c>
    </row>
    <row r="1294" spans="1:2" ht="15.5" x14ac:dyDescent="0.35">
      <c r="A1294" s="1" t="s">
        <v>1068</v>
      </c>
      <c r="B1294" s="1" t="s">
        <v>3667</v>
      </c>
    </row>
    <row r="1295" spans="1:2" ht="15.5" x14ac:dyDescent="0.35">
      <c r="A1295" s="1" t="s">
        <v>1067</v>
      </c>
      <c r="B1295" s="1" t="s">
        <v>3668</v>
      </c>
    </row>
    <row r="1296" spans="1:2" ht="15.5" x14ac:dyDescent="0.35">
      <c r="A1296" s="1" t="s">
        <v>1066</v>
      </c>
      <c r="B1296" s="1" t="s">
        <v>3669</v>
      </c>
    </row>
    <row r="1297" spans="1:2" ht="15.5" x14ac:dyDescent="0.35">
      <c r="A1297" s="1" t="s">
        <v>1065</v>
      </c>
      <c r="B1297" s="1" t="s">
        <v>3670</v>
      </c>
    </row>
    <row r="1298" spans="1:2" ht="15.5" x14ac:dyDescent="0.35">
      <c r="A1298" s="1" t="s">
        <v>1064</v>
      </c>
      <c r="B1298" s="1" t="s">
        <v>3671</v>
      </c>
    </row>
    <row r="1299" spans="1:2" ht="15.5" x14ac:dyDescent="0.35">
      <c r="A1299" s="1" t="s">
        <v>1063</v>
      </c>
      <c r="B1299" s="1" t="s">
        <v>3672</v>
      </c>
    </row>
    <row r="1300" spans="1:2" ht="15.5" x14ac:dyDescent="0.35">
      <c r="A1300" s="1" t="s">
        <v>1062</v>
      </c>
      <c r="B1300" s="1" t="s">
        <v>3673</v>
      </c>
    </row>
    <row r="1301" spans="1:2" ht="15.5" x14ac:dyDescent="0.35">
      <c r="A1301" s="1" t="s">
        <v>1061</v>
      </c>
      <c r="B1301" s="1" t="s">
        <v>3674</v>
      </c>
    </row>
    <row r="1302" spans="1:2" ht="15.5" x14ac:dyDescent="0.35">
      <c r="A1302" s="1" t="s">
        <v>1060</v>
      </c>
      <c r="B1302" s="1" t="s">
        <v>3675</v>
      </c>
    </row>
    <row r="1303" spans="1:2" ht="15.5" x14ac:dyDescent="0.35">
      <c r="A1303" s="1" t="s">
        <v>1059</v>
      </c>
      <c r="B1303" s="1" t="s">
        <v>3676</v>
      </c>
    </row>
    <row r="1304" spans="1:2" ht="15.5" x14ac:dyDescent="0.35">
      <c r="A1304" s="1" t="s">
        <v>1058</v>
      </c>
      <c r="B1304" s="1" t="s">
        <v>3677</v>
      </c>
    </row>
    <row r="1305" spans="1:2" ht="15.5" x14ac:dyDescent="0.35">
      <c r="A1305" s="1" t="s">
        <v>1057</v>
      </c>
      <c r="B1305" s="1" t="s">
        <v>3678</v>
      </c>
    </row>
    <row r="1306" spans="1:2" ht="15.5" x14ac:dyDescent="0.35">
      <c r="A1306" s="1" t="s">
        <v>1056</v>
      </c>
      <c r="B1306" s="1" t="s">
        <v>3679</v>
      </c>
    </row>
    <row r="1307" spans="1:2" ht="15.5" x14ac:dyDescent="0.35">
      <c r="A1307" s="1" t="s">
        <v>1055</v>
      </c>
      <c r="B1307" s="1" t="s">
        <v>3680</v>
      </c>
    </row>
    <row r="1308" spans="1:2" ht="15.5" x14ac:dyDescent="0.35">
      <c r="A1308" s="1" t="s">
        <v>1054</v>
      </c>
      <c r="B1308" s="1" t="s">
        <v>3681</v>
      </c>
    </row>
    <row r="1309" spans="1:2" ht="15.5" x14ac:dyDescent="0.35">
      <c r="A1309" s="1" t="s">
        <v>1053</v>
      </c>
      <c r="B1309" s="1" t="s">
        <v>3682</v>
      </c>
    </row>
    <row r="1310" spans="1:2" ht="15.5" x14ac:dyDescent="0.35">
      <c r="A1310" s="1" t="s">
        <v>1052</v>
      </c>
      <c r="B1310" s="1" t="s">
        <v>3683</v>
      </c>
    </row>
    <row r="1311" spans="1:2" ht="15.5" x14ac:dyDescent="0.35">
      <c r="A1311" s="1" t="s">
        <v>1051</v>
      </c>
      <c r="B1311" s="1" t="s">
        <v>3684</v>
      </c>
    </row>
    <row r="1312" spans="1:2" ht="15.5" x14ac:dyDescent="0.35">
      <c r="A1312" s="1" t="s">
        <v>1050</v>
      </c>
      <c r="B1312" s="1" t="s">
        <v>3685</v>
      </c>
    </row>
    <row r="1313" spans="1:2" ht="15.5" x14ac:dyDescent="0.35">
      <c r="A1313" s="1" t="s">
        <v>1049</v>
      </c>
      <c r="B1313" s="1" t="s">
        <v>3686</v>
      </c>
    </row>
    <row r="1314" spans="1:2" ht="15.5" x14ac:dyDescent="0.35">
      <c r="A1314" s="1" t="s">
        <v>1048</v>
      </c>
      <c r="B1314" s="1" t="s">
        <v>3687</v>
      </c>
    </row>
    <row r="1315" spans="1:2" ht="15.5" x14ac:dyDescent="0.35">
      <c r="A1315" s="1" t="s">
        <v>1047</v>
      </c>
      <c r="B1315" s="1" t="s">
        <v>3688</v>
      </c>
    </row>
    <row r="1316" spans="1:2" ht="15.5" x14ac:dyDescent="0.35">
      <c r="A1316" s="1" t="s">
        <v>1046</v>
      </c>
      <c r="B1316" s="1" t="s">
        <v>3689</v>
      </c>
    </row>
    <row r="1317" spans="1:2" ht="15.5" x14ac:dyDescent="0.35">
      <c r="A1317" s="1" t="s">
        <v>1045</v>
      </c>
      <c r="B1317" s="1" t="s">
        <v>3690</v>
      </c>
    </row>
    <row r="1318" spans="1:2" ht="15.5" x14ac:dyDescent="0.35">
      <c r="A1318" s="1" t="s">
        <v>1044</v>
      </c>
      <c r="B1318" s="1" t="s">
        <v>3691</v>
      </c>
    </row>
    <row r="1319" spans="1:2" ht="15.5" x14ac:dyDescent="0.35">
      <c r="A1319" s="1" t="s">
        <v>1043</v>
      </c>
      <c r="B1319" s="1" t="s">
        <v>3692</v>
      </c>
    </row>
    <row r="1320" spans="1:2" ht="15.5" x14ac:dyDescent="0.35">
      <c r="A1320" s="1" t="s">
        <v>1042</v>
      </c>
      <c r="B1320" s="1" t="s">
        <v>3693</v>
      </c>
    </row>
    <row r="1321" spans="1:2" ht="15.5" x14ac:dyDescent="0.35">
      <c r="A1321" s="1" t="s">
        <v>1041</v>
      </c>
      <c r="B1321" s="1" t="s">
        <v>3694</v>
      </c>
    </row>
    <row r="1322" spans="1:2" ht="15.5" x14ac:dyDescent="0.35">
      <c r="A1322" s="1" t="s">
        <v>1040</v>
      </c>
      <c r="B1322" s="1" t="s">
        <v>3695</v>
      </c>
    </row>
    <row r="1323" spans="1:2" ht="15.5" x14ac:dyDescent="0.35">
      <c r="A1323" s="1" t="s">
        <v>1039</v>
      </c>
      <c r="B1323" s="1" t="s">
        <v>3696</v>
      </c>
    </row>
    <row r="1324" spans="1:2" ht="15.5" x14ac:dyDescent="0.35">
      <c r="A1324" s="1" t="s">
        <v>1038</v>
      </c>
      <c r="B1324" s="1" t="s">
        <v>3697</v>
      </c>
    </row>
    <row r="1325" spans="1:2" ht="15.5" x14ac:dyDescent="0.35">
      <c r="A1325" s="1" t="s">
        <v>1037</v>
      </c>
      <c r="B1325" s="1" t="s">
        <v>3698</v>
      </c>
    </row>
    <row r="1326" spans="1:2" ht="15.5" x14ac:dyDescent="0.35">
      <c r="A1326" s="1" t="s">
        <v>1036</v>
      </c>
      <c r="B1326" s="1" t="s">
        <v>3699</v>
      </c>
    </row>
    <row r="1327" spans="1:2" ht="15.5" x14ac:dyDescent="0.35">
      <c r="A1327" s="1" t="s">
        <v>1035</v>
      </c>
      <c r="B1327" s="1" t="s">
        <v>3700</v>
      </c>
    </row>
    <row r="1328" spans="1:2" ht="15.5" x14ac:dyDescent="0.35">
      <c r="A1328" s="1" t="s">
        <v>1034</v>
      </c>
      <c r="B1328" s="1" t="s">
        <v>3701</v>
      </c>
    </row>
    <row r="1329" spans="1:2" ht="15.5" x14ac:dyDescent="0.35">
      <c r="A1329" s="1" t="s">
        <v>1033</v>
      </c>
      <c r="B1329" s="1" t="s">
        <v>3702</v>
      </c>
    </row>
    <row r="1330" spans="1:2" ht="15.5" x14ac:dyDescent="0.35">
      <c r="A1330" s="1" t="s">
        <v>1032</v>
      </c>
      <c r="B1330" s="1" t="s">
        <v>3703</v>
      </c>
    </row>
    <row r="1331" spans="1:2" ht="15.5" x14ac:dyDescent="0.35">
      <c r="A1331" s="1" t="s">
        <v>1031</v>
      </c>
      <c r="B1331" s="1" t="s">
        <v>3704</v>
      </c>
    </row>
    <row r="1332" spans="1:2" ht="15.5" x14ac:dyDescent="0.35">
      <c r="A1332" s="1" t="s">
        <v>1030</v>
      </c>
      <c r="B1332" s="1" t="s">
        <v>3705</v>
      </c>
    </row>
    <row r="1333" spans="1:2" ht="15.5" x14ac:dyDescent="0.35">
      <c r="A1333" s="1" t="s">
        <v>1029</v>
      </c>
      <c r="B1333" s="1" t="s">
        <v>3706</v>
      </c>
    </row>
    <row r="1334" spans="1:2" ht="15.5" x14ac:dyDescent="0.35">
      <c r="A1334" s="1" t="s">
        <v>1028</v>
      </c>
      <c r="B1334" s="1" t="s">
        <v>3707</v>
      </c>
    </row>
    <row r="1335" spans="1:2" ht="15.5" x14ac:dyDescent="0.35">
      <c r="A1335" s="1" t="s">
        <v>1027</v>
      </c>
      <c r="B1335" s="1" t="s">
        <v>3708</v>
      </c>
    </row>
    <row r="1336" spans="1:2" ht="15.5" x14ac:dyDescent="0.35">
      <c r="A1336" s="1" t="s">
        <v>1026</v>
      </c>
      <c r="B1336" s="1" t="s">
        <v>3709</v>
      </c>
    </row>
    <row r="1337" spans="1:2" ht="15.5" x14ac:dyDescent="0.35">
      <c r="A1337" s="1" t="s">
        <v>1025</v>
      </c>
      <c r="B1337" s="1" t="s">
        <v>3710</v>
      </c>
    </row>
    <row r="1338" spans="1:2" ht="15.5" x14ac:dyDescent="0.35">
      <c r="A1338" s="1" t="s">
        <v>1024</v>
      </c>
      <c r="B1338" s="1" t="s">
        <v>3711</v>
      </c>
    </row>
    <row r="1339" spans="1:2" ht="15.5" x14ac:dyDescent="0.35">
      <c r="A1339" s="1" t="s">
        <v>1023</v>
      </c>
      <c r="B1339" s="1" t="s">
        <v>3712</v>
      </c>
    </row>
    <row r="1340" spans="1:2" ht="15.5" x14ac:dyDescent="0.35">
      <c r="A1340" s="1" t="s">
        <v>1022</v>
      </c>
      <c r="B1340" s="1" t="s">
        <v>3713</v>
      </c>
    </row>
    <row r="1341" spans="1:2" ht="15.5" x14ac:dyDescent="0.35">
      <c r="A1341" s="1" t="s">
        <v>1021</v>
      </c>
      <c r="B1341" s="1" t="s">
        <v>3714</v>
      </c>
    </row>
    <row r="1342" spans="1:2" ht="15.5" x14ac:dyDescent="0.35">
      <c r="A1342" s="1" t="s">
        <v>1020</v>
      </c>
      <c r="B1342" s="1" t="s">
        <v>3715</v>
      </c>
    </row>
    <row r="1343" spans="1:2" ht="15.5" x14ac:dyDescent="0.35">
      <c r="A1343" s="1" t="s">
        <v>1019</v>
      </c>
      <c r="B1343" s="1" t="s">
        <v>3716</v>
      </c>
    </row>
    <row r="1344" spans="1:2" ht="15.5" x14ac:dyDescent="0.35">
      <c r="A1344" s="1" t="s">
        <v>1018</v>
      </c>
      <c r="B1344" s="1" t="s">
        <v>3717</v>
      </c>
    </row>
    <row r="1345" spans="1:2" ht="15.5" x14ac:dyDescent="0.35">
      <c r="A1345" s="1" t="s">
        <v>1017</v>
      </c>
      <c r="B1345" s="1" t="s">
        <v>3718</v>
      </c>
    </row>
    <row r="1346" spans="1:2" ht="15.5" x14ac:dyDescent="0.35">
      <c r="A1346" s="1" t="s">
        <v>1016</v>
      </c>
      <c r="B1346" s="1" t="s">
        <v>3719</v>
      </c>
    </row>
    <row r="1347" spans="1:2" ht="15.5" x14ac:dyDescent="0.35">
      <c r="A1347" s="1" t="s">
        <v>1015</v>
      </c>
      <c r="B1347" s="1" t="s">
        <v>3720</v>
      </c>
    </row>
    <row r="1348" spans="1:2" ht="15.5" x14ac:dyDescent="0.35">
      <c r="A1348" s="1" t="s">
        <v>1014</v>
      </c>
      <c r="B1348" s="1" t="s">
        <v>3721</v>
      </c>
    </row>
    <row r="1349" spans="1:2" ht="15.5" x14ac:dyDescent="0.35">
      <c r="A1349" s="1" t="s">
        <v>1013</v>
      </c>
      <c r="B1349" s="1" t="s">
        <v>3722</v>
      </c>
    </row>
    <row r="1350" spans="1:2" ht="15.5" x14ac:dyDescent="0.35">
      <c r="A1350" s="1" t="s">
        <v>1012</v>
      </c>
      <c r="B1350" s="1" t="s">
        <v>3723</v>
      </c>
    </row>
    <row r="1351" spans="1:2" ht="15.5" x14ac:dyDescent="0.35">
      <c r="A1351" s="1" t="s">
        <v>1011</v>
      </c>
      <c r="B1351" s="1" t="s">
        <v>3724</v>
      </c>
    </row>
    <row r="1352" spans="1:2" ht="15.5" x14ac:dyDescent="0.35">
      <c r="A1352" s="1" t="s">
        <v>1010</v>
      </c>
      <c r="B1352" s="1" t="s">
        <v>3725</v>
      </c>
    </row>
    <row r="1353" spans="1:2" ht="15.5" x14ac:dyDescent="0.35">
      <c r="A1353" s="1" t="s">
        <v>1009</v>
      </c>
      <c r="B1353" s="1" t="s">
        <v>3726</v>
      </c>
    </row>
    <row r="1354" spans="1:2" ht="15.5" x14ac:dyDescent="0.35">
      <c r="A1354" s="1" t="s">
        <v>1008</v>
      </c>
      <c r="B1354" s="1" t="s">
        <v>3727</v>
      </c>
    </row>
    <row r="1355" spans="1:2" ht="15.5" x14ac:dyDescent="0.35">
      <c r="A1355" s="1" t="s">
        <v>1007</v>
      </c>
      <c r="B1355" s="1" t="s">
        <v>3728</v>
      </c>
    </row>
    <row r="1356" spans="1:2" ht="15.5" x14ac:dyDescent="0.35">
      <c r="A1356" s="1" t="s">
        <v>1006</v>
      </c>
      <c r="B1356" s="1" t="s">
        <v>3729</v>
      </c>
    </row>
    <row r="1357" spans="1:2" ht="15.5" x14ac:dyDescent="0.35">
      <c r="A1357" s="1" t="s">
        <v>1005</v>
      </c>
      <c r="B1357" s="1" t="s">
        <v>3730</v>
      </c>
    </row>
    <row r="1358" spans="1:2" ht="15.5" x14ac:dyDescent="0.35">
      <c r="A1358" s="1" t="s">
        <v>1004</v>
      </c>
      <c r="B1358" s="1" t="s">
        <v>3731</v>
      </c>
    </row>
    <row r="1359" spans="1:2" ht="15.5" x14ac:dyDescent="0.35">
      <c r="A1359" s="1" t="s">
        <v>1003</v>
      </c>
      <c r="B1359" s="1" t="s">
        <v>3732</v>
      </c>
    </row>
    <row r="1360" spans="1:2" ht="15.5" x14ac:dyDescent="0.35">
      <c r="A1360" s="1" t="s">
        <v>1002</v>
      </c>
      <c r="B1360" s="1" t="s">
        <v>3733</v>
      </c>
    </row>
    <row r="1361" spans="1:2" ht="15.5" x14ac:dyDescent="0.35">
      <c r="A1361" s="1" t="s">
        <v>1001</v>
      </c>
      <c r="B1361" s="1" t="s">
        <v>3734</v>
      </c>
    </row>
    <row r="1362" spans="1:2" ht="15.5" x14ac:dyDescent="0.35">
      <c r="A1362" s="1" t="s">
        <v>1000</v>
      </c>
      <c r="B1362" s="1" t="s">
        <v>3735</v>
      </c>
    </row>
    <row r="1363" spans="1:2" ht="15.5" x14ac:dyDescent="0.35">
      <c r="A1363" s="1" t="s">
        <v>999</v>
      </c>
      <c r="B1363" s="1" t="s">
        <v>3736</v>
      </c>
    </row>
    <row r="1364" spans="1:2" ht="15.5" x14ac:dyDescent="0.35">
      <c r="A1364" s="1" t="s">
        <v>998</v>
      </c>
      <c r="B1364" s="1" t="s">
        <v>3737</v>
      </c>
    </row>
    <row r="1365" spans="1:2" ht="15.5" x14ac:dyDescent="0.35">
      <c r="A1365" s="1" t="s">
        <v>997</v>
      </c>
      <c r="B1365" s="1" t="s">
        <v>3738</v>
      </c>
    </row>
    <row r="1366" spans="1:2" ht="15.5" x14ac:dyDescent="0.35">
      <c r="A1366" s="1" t="s">
        <v>996</v>
      </c>
      <c r="B1366" s="1" t="s">
        <v>3739</v>
      </c>
    </row>
    <row r="1367" spans="1:2" ht="15.5" x14ac:dyDescent="0.35">
      <c r="A1367" s="1" t="s">
        <v>995</v>
      </c>
      <c r="B1367" s="1" t="s">
        <v>3740</v>
      </c>
    </row>
    <row r="1368" spans="1:2" ht="15.5" x14ac:dyDescent="0.35">
      <c r="A1368" s="1" t="s">
        <v>994</v>
      </c>
      <c r="B1368" s="1" t="s">
        <v>3741</v>
      </c>
    </row>
    <row r="1369" spans="1:2" ht="15.5" x14ac:dyDescent="0.35">
      <c r="A1369" s="1" t="s">
        <v>993</v>
      </c>
      <c r="B1369" s="1" t="s">
        <v>3742</v>
      </c>
    </row>
    <row r="1370" spans="1:2" ht="15.5" x14ac:dyDescent="0.35">
      <c r="A1370" s="1" t="s">
        <v>992</v>
      </c>
      <c r="B1370" s="1" t="s">
        <v>3743</v>
      </c>
    </row>
    <row r="1371" spans="1:2" ht="15.5" x14ac:dyDescent="0.35">
      <c r="A1371" s="1" t="s">
        <v>991</v>
      </c>
      <c r="B1371" s="1" t="s">
        <v>3744</v>
      </c>
    </row>
    <row r="1372" spans="1:2" ht="15.5" x14ac:dyDescent="0.35">
      <c r="A1372" s="1" t="s">
        <v>990</v>
      </c>
      <c r="B1372" s="1" t="s">
        <v>3745</v>
      </c>
    </row>
    <row r="1373" spans="1:2" ht="15.5" x14ac:dyDescent="0.35">
      <c r="A1373" s="1" t="s">
        <v>989</v>
      </c>
      <c r="B1373" s="1" t="s">
        <v>3746</v>
      </c>
    </row>
    <row r="1374" spans="1:2" ht="15.5" x14ac:dyDescent="0.35">
      <c r="A1374" s="1" t="s">
        <v>988</v>
      </c>
      <c r="B1374" s="1" t="s">
        <v>3747</v>
      </c>
    </row>
    <row r="1375" spans="1:2" ht="15.5" x14ac:dyDescent="0.35">
      <c r="A1375" s="1" t="s">
        <v>987</v>
      </c>
      <c r="B1375" s="1" t="s">
        <v>3748</v>
      </c>
    </row>
    <row r="1376" spans="1:2" ht="15.5" x14ac:dyDescent="0.35">
      <c r="A1376" s="1" t="s">
        <v>986</v>
      </c>
      <c r="B1376" s="1" t="s">
        <v>3749</v>
      </c>
    </row>
    <row r="1377" spans="1:2" ht="15.5" x14ac:dyDescent="0.35">
      <c r="A1377" s="1" t="s">
        <v>985</v>
      </c>
      <c r="B1377" s="1" t="s">
        <v>3750</v>
      </c>
    </row>
    <row r="1378" spans="1:2" ht="15.5" x14ac:dyDescent="0.35">
      <c r="A1378" s="1" t="s">
        <v>984</v>
      </c>
      <c r="B1378" s="1" t="s">
        <v>3751</v>
      </c>
    </row>
    <row r="1379" spans="1:2" ht="15.5" x14ac:dyDescent="0.35">
      <c r="A1379" s="1" t="s">
        <v>983</v>
      </c>
      <c r="B1379" s="1" t="s">
        <v>3752</v>
      </c>
    </row>
    <row r="1380" spans="1:2" ht="15.5" x14ac:dyDescent="0.35">
      <c r="A1380" s="1" t="s">
        <v>982</v>
      </c>
      <c r="B1380" s="1" t="s">
        <v>3753</v>
      </c>
    </row>
    <row r="1381" spans="1:2" ht="15.5" x14ac:dyDescent="0.35">
      <c r="A1381" s="1" t="s">
        <v>981</v>
      </c>
      <c r="B1381" s="1" t="s">
        <v>3754</v>
      </c>
    </row>
    <row r="1382" spans="1:2" ht="15.5" x14ac:dyDescent="0.35">
      <c r="A1382" s="1" t="s">
        <v>980</v>
      </c>
      <c r="B1382" s="1" t="s">
        <v>3755</v>
      </c>
    </row>
    <row r="1383" spans="1:2" ht="15.5" x14ac:dyDescent="0.35">
      <c r="A1383" s="1" t="s">
        <v>979</v>
      </c>
      <c r="B1383" s="1" t="s">
        <v>3756</v>
      </c>
    </row>
    <row r="1384" spans="1:2" ht="15.5" x14ac:dyDescent="0.35">
      <c r="A1384" s="1" t="s">
        <v>978</v>
      </c>
      <c r="B1384" s="1" t="s">
        <v>3757</v>
      </c>
    </row>
    <row r="1385" spans="1:2" ht="15.5" x14ac:dyDescent="0.35">
      <c r="A1385" s="1" t="s">
        <v>977</v>
      </c>
      <c r="B1385" s="1" t="s">
        <v>3758</v>
      </c>
    </row>
    <row r="1386" spans="1:2" ht="15.5" x14ac:dyDescent="0.35">
      <c r="A1386" s="1" t="s">
        <v>976</v>
      </c>
      <c r="B1386" s="1" t="s">
        <v>3759</v>
      </c>
    </row>
    <row r="1387" spans="1:2" ht="15.5" x14ac:dyDescent="0.35">
      <c r="A1387" s="1" t="s">
        <v>975</v>
      </c>
      <c r="B1387" s="1" t="s">
        <v>3760</v>
      </c>
    </row>
    <row r="1388" spans="1:2" ht="15.5" x14ac:dyDescent="0.35">
      <c r="A1388" s="1" t="s">
        <v>974</v>
      </c>
      <c r="B1388" s="1" t="s">
        <v>3761</v>
      </c>
    </row>
    <row r="1389" spans="1:2" ht="15.5" x14ac:dyDescent="0.35">
      <c r="A1389" s="1" t="s">
        <v>973</v>
      </c>
      <c r="B1389" s="1" t="s">
        <v>3762</v>
      </c>
    </row>
    <row r="1390" spans="1:2" ht="15.5" x14ac:dyDescent="0.35">
      <c r="A1390" s="1" t="s">
        <v>972</v>
      </c>
      <c r="B1390" s="1" t="s">
        <v>3763</v>
      </c>
    </row>
    <row r="1391" spans="1:2" ht="15.5" x14ac:dyDescent="0.35">
      <c r="A1391" s="1" t="s">
        <v>971</v>
      </c>
      <c r="B1391" s="1" t="s">
        <v>3764</v>
      </c>
    </row>
    <row r="1392" spans="1:2" ht="15.5" x14ac:dyDescent="0.35">
      <c r="A1392" s="1" t="s">
        <v>970</v>
      </c>
      <c r="B1392" s="1" t="s">
        <v>3765</v>
      </c>
    </row>
    <row r="1393" spans="1:2" ht="15.5" x14ac:dyDescent="0.35">
      <c r="A1393" s="1" t="s">
        <v>969</v>
      </c>
      <c r="B1393" s="1" t="s">
        <v>3766</v>
      </c>
    </row>
    <row r="1394" spans="1:2" ht="15.5" x14ac:dyDescent="0.35">
      <c r="A1394" s="1" t="s">
        <v>968</v>
      </c>
      <c r="B1394" s="1" t="s">
        <v>3767</v>
      </c>
    </row>
    <row r="1395" spans="1:2" ht="15.5" x14ac:dyDescent="0.35">
      <c r="A1395" s="1" t="s">
        <v>967</v>
      </c>
      <c r="B1395" s="1" t="s">
        <v>3768</v>
      </c>
    </row>
    <row r="1396" spans="1:2" ht="15.5" x14ac:dyDescent="0.35">
      <c r="A1396" s="1" t="s">
        <v>966</v>
      </c>
      <c r="B1396" s="1" t="s">
        <v>3769</v>
      </c>
    </row>
    <row r="1397" spans="1:2" ht="15.5" x14ac:dyDescent="0.35">
      <c r="A1397" s="1" t="s">
        <v>965</v>
      </c>
      <c r="B1397" s="1" t="s">
        <v>3770</v>
      </c>
    </row>
    <row r="1398" spans="1:2" ht="15.5" x14ac:dyDescent="0.35">
      <c r="A1398" s="1" t="s">
        <v>964</v>
      </c>
      <c r="B1398" s="1" t="s">
        <v>3771</v>
      </c>
    </row>
    <row r="1399" spans="1:2" ht="15.5" x14ac:dyDescent="0.35">
      <c r="A1399" s="1" t="s">
        <v>963</v>
      </c>
      <c r="B1399" s="1" t="s">
        <v>3772</v>
      </c>
    </row>
    <row r="1400" spans="1:2" ht="15.5" x14ac:dyDescent="0.35">
      <c r="A1400" s="1" t="s">
        <v>962</v>
      </c>
      <c r="B1400" s="1" t="s">
        <v>3773</v>
      </c>
    </row>
    <row r="1401" spans="1:2" ht="15.5" x14ac:dyDescent="0.35">
      <c r="A1401" s="1" t="s">
        <v>961</v>
      </c>
      <c r="B1401" s="1" t="s">
        <v>3774</v>
      </c>
    </row>
    <row r="1402" spans="1:2" ht="15.5" x14ac:dyDescent="0.35">
      <c r="A1402" s="1" t="s">
        <v>960</v>
      </c>
      <c r="B1402" s="1" t="s">
        <v>3775</v>
      </c>
    </row>
    <row r="1403" spans="1:2" ht="15.5" x14ac:dyDescent="0.35">
      <c r="A1403" s="1" t="s">
        <v>959</v>
      </c>
      <c r="B1403" s="1" t="s">
        <v>3776</v>
      </c>
    </row>
    <row r="1404" spans="1:2" ht="15.5" x14ac:dyDescent="0.35">
      <c r="A1404" s="1" t="s">
        <v>958</v>
      </c>
      <c r="B1404" s="1" t="s">
        <v>3777</v>
      </c>
    </row>
    <row r="1405" spans="1:2" ht="15.5" x14ac:dyDescent="0.35">
      <c r="A1405" s="1" t="s">
        <v>957</v>
      </c>
      <c r="B1405" s="1" t="s">
        <v>3778</v>
      </c>
    </row>
    <row r="1406" spans="1:2" ht="15.5" x14ac:dyDescent="0.35">
      <c r="A1406" s="1" t="s">
        <v>956</v>
      </c>
      <c r="B1406" s="1" t="s">
        <v>3779</v>
      </c>
    </row>
    <row r="1407" spans="1:2" ht="15.5" x14ac:dyDescent="0.35">
      <c r="A1407" s="1" t="s">
        <v>955</v>
      </c>
      <c r="B1407" s="1" t="s">
        <v>3780</v>
      </c>
    </row>
    <row r="1408" spans="1:2" ht="15.5" x14ac:dyDescent="0.35">
      <c r="A1408" s="1" t="s">
        <v>954</v>
      </c>
      <c r="B1408" s="1" t="s">
        <v>3781</v>
      </c>
    </row>
    <row r="1409" spans="1:2" ht="15.5" x14ac:dyDescent="0.35">
      <c r="A1409" s="1" t="s">
        <v>953</v>
      </c>
      <c r="B1409" s="1" t="s">
        <v>3782</v>
      </c>
    </row>
    <row r="1410" spans="1:2" ht="15.5" x14ac:dyDescent="0.35">
      <c r="A1410" s="1" t="s">
        <v>952</v>
      </c>
      <c r="B1410" s="1" t="s">
        <v>3783</v>
      </c>
    </row>
    <row r="1411" spans="1:2" ht="15.5" x14ac:dyDescent="0.35">
      <c r="A1411" s="1" t="s">
        <v>951</v>
      </c>
      <c r="B1411" s="1" t="s">
        <v>3784</v>
      </c>
    </row>
    <row r="1412" spans="1:2" ht="15.5" x14ac:dyDescent="0.35">
      <c r="A1412" s="1" t="s">
        <v>950</v>
      </c>
      <c r="B1412" s="1" t="s">
        <v>3785</v>
      </c>
    </row>
    <row r="1413" spans="1:2" ht="15.5" x14ac:dyDescent="0.35">
      <c r="A1413" s="1" t="s">
        <v>949</v>
      </c>
      <c r="B1413" s="1" t="s">
        <v>3786</v>
      </c>
    </row>
    <row r="1414" spans="1:2" ht="15.5" x14ac:dyDescent="0.35">
      <c r="A1414" s="1" t="s">
        <v>948</v>
      </c>
      <c r="B1414" s="1" t="s">
        <v>3787</v>
      </c>
    </row>
    <row r="1415" spans="1:2" ht="15.5" x14ac:dyDescent="0.35">
      <c r="A1415" s="1" t="s">
        <v>947</v>
      </c>
      <c r="B1415" s="1" t="s">
        <v>3788</v>
      </c>
    </row>
    <row r="1416" spans="1:2" ht="15.5" x14ac:dyDescent="0.35">
      <c r="A1416" s="1" t="s">
        <v>946</v>
      </c>
      <c r="B1416" s="1" t="s">
        <v>3789</v>
      </c>
    </row>
    <row r="1417" spans="1:2" ht="15.5" x14ac:dyDescent="0.35">
      <c r="A1417" s="1" t="s">
        <v>945</v>
      </c>
      <c r="B1417" s="1" t="s">
        <v>3790</v>
      </c>
    </row>
    <row r="1418" spans="1:2" ht="15.5" x14ac:dyDescent="0.35">
      <c r="A1418" s="1" t="s">
        <v>944</v>
      </c>
      <c r="B1418" s="1" t="s">
        <v>3791</v>
      </c>
    </row>
    <row r="1419" spans="1:2" ht="15.5" x14ac:dyDescent="0.35">
      <c r="A1419" s="1" t="s">
        <v>943</v>
      </c>
      <c r="B1419" s="1" t="s">
        <v>3792</v>
      </c>
    </row>
    <row r="1420" spans="1:2" ht="15.5" x14ac:dyDescent="0.35">
      <c r="A1420" s="1" t="s">
        <v>942</v>
      </c>
      <c r="B1420" s="1" t="s">
        <v>3793</v>
      </c>
    </row>
    <row r="1421" spans="1:2" ht="15.5" x14ac:dyDescent="0.35">
      <c r="A1421" s="1" t="s">
        <v>941</v>
      </c>
      <c r="B1421" s="1" t="s">
        <v>3794</v>
      </c>
    </row>
    <row r="1422" spans="1:2" ht="15.5" x14ac:dyDescent="0.35">
      <c r="A1422" s="1" t="s">
        <v>940</v>
      </c>
      <c r="B1422" s="1" t="s">
        <v>3795</v>
      </c>
    </row>
    <row r="1423" spans="1:2" ht="15.5" x14ac:dyDescent="0.35">
      <c r="A1423" s="1" t="s">
        <v>939</v>
      </c>
      <c r="B1423" s="1" t="s">
        <v>3796</v>
      </c>
    </row>
    <row r="1424" spans="1:2" ht="15.5" x14ac:dyDescent="0.35">
      <c r="A1424" s="1" t="s">
        <v>938</v>
      </c>
      <c r="B1424" s="1" t="s">
        <v>3797</v>
      </c>
    </row>
    <row r="1425" spans="1:2" ht="15.5" x14ac:dyDescent="0.35">
      <c r="A1425" s="1" t="s">
        <v>937</v>
      </c>
      <c r="B1425" s="1" t="s">
        <v>3798</v>
      </c>
    </row>
    <row r="1426" spans="1:2" ht="15.5" x14ac:dyDescent="0.35">
      <c r="A1426" s="1" t="s">
        <v>936</v>
      </c>
      <c r="B1426" s="1" t="s">
        <v>3799</v>
      </c>
    </row>
    <row r="1427" spans="1:2" ht="15.5" x14ac:dyDescent="0.35">
      <c r="A1427" s="1" t="s">
        <v>935</v>
      </c>
      <c r="B1427" s="1" t="s">
        <v>3800</v>
      </c>
    </row>
    <row r="1428" spans="1:2" ht="15.5" x14ac:dyDescent="0.35">
      <c r="A1428" s="1" t="s">
        <v>934</v>
      </c>
      <c r="B1428" s="1" t="s">
        <v>3801</v>
      </c>
    </row>
    <row r="1429" spans="1:2" ht="15.5" x14ac:dyDescent="0.35">
      <c r="A1429" s="1" t="s">
        <v>933</v>
      </c>
      <c r="B1429" s="1" t="s">
        <v>3802</v>
      </c>
    </row>
    <row r="1430" spans="1:2" ht="15.5" x14ac:dyDescent="0.35">
      <c r="A1430" s="1" t="s">
        <v>932</v>
      </c>
      <c r="B1430" s="1" t="s">
        <v>3803</v>
      </c>
    </row>
    <row r="1431" spans="1:2" ht="15.5" x14ac:dyDescent="0.35">
      <c r="A1431" s="1" t="s">
        <v>931</v>
      </c>
      <c r="B1431" s="1" t="s">
        <v>3804</v>
      </c>
    </row>
    <row r="1432" spans="1:2" ht="15.5" x14ac:dyDescent="0.35">
      <c r="A1432" s="1" t="s">
        <v>930</v>
      </c>
      <c r="B1432" s="1" t="s">
        <v>3805</v>
      </c>
    </row>
    <row r="1433" spans="1:2" ht="15.5" x14ac:dyDescent="0.35">
      <c r="A1433" s="1" t="s">
        <v>929</v>
      </c>
      <c r="B1433" s="1" t="s">
        <v>3806</v>
      </c>
    </row>
    <row r="1434" spans="1:2" ht="15.5" x14ac:dyDescent="0.35">
      <c r="A1434" s="1" t="s">
        <v>928</v>
      </c>
      <c r="B1434" s="1" t="s">
        <v>3807</v>
      </c>
    </row>
    <row r="1435" spans="1:2" ht="15.5" x14ac:dyDescent="0.35">
      <c r="A1435" s="1" t="s">
        <v>927</v>
      </c>
      <c r="B1435" s="1" t="s">
        <v>3808</v>
      </c>
    </row>
    <row r="1436" spans="1:2" ht="15.5" x14ac:dyDescent="0.35">
      <c r="A1436" s="1" t="s">
        <v>926</v>
      </c>
      <c r="B1436" s="1" t="s">
        <v>3809</v>
      </c>
    </row>
    <row r="1437" spans="1:2" ht="15.5" x14ac:dyDescent="0.35">
      <c r="A1437" s="1" t="s">
        <v>925</v>
      </c>
      <c r="B1437" s="1" t="s">
        <v>3810</v>
      </c>
    </row>
    <row r="1438" spans="1:2" ht="15.5" x14ac:dyDescent="0.35">
      <c r="A1438" s="1" t="s">
        <v>924</v>
      </c>
      <c r="B1438" s="1" t="s">
        <v>3811</v>
      </c>
    </row>
    <row r="1439" spans="1:2" ht="15.5" x14ac:dyDescent="0.35">
      <c r="A1439" s="1" t="s">
        <v>923</v>
      </c>
      <c r="B1439" s="1" t="s">
        <v>3812</v>
      </c>
    </row>
    <row r="1440" spans="1:2" ht="15.5" x14ac:dyDescent="0.35">
      <c r="A1440" s="1" t="s">
        <v>922</v>
      </c>
      <c r="B1440" s="1" t="s">
        <v>3813</v>
      </c>
    </row>
    <row r="1441" spans="1:2" ht="15.5" x14ac:dyDescent="0.35">
      <c r="A1441" s="1" t="s">
        <v>921</v>
      </c>
      <c r="B1441" s="1" t="s">
        <v>3814</v>
      </c>
    </row>
    <row r="1442" spans="1:2" ht="15.5" x14ac:dyDescent="0.35">
      <c r="A1442" s="1" t="s">
        <v>920</v>
      </c>
      <c r="B1442" s="1" t="s">
        <v>3815</v>
      </c>
    </row>
    <row r="1443" spans="1:2" ht="15.5" x14ac:dyDescent="0.35">
      <c r="A1443" s="1" t="s">
        <v>919</v>
      </c>
      <c r="B1443" s="1" t="s">
        <v>3816</v>
      </c>
    </row>
    <row r="1444" spans="1:2" ht="15.5" x14ac:dyDescent="0.35">
      <c r="A1444" s="1" t="s">
        <v>918</v>
      </c>
      <c r="B1444" s="1" t="s">
        <v>3817</v>
      </c>
    </row>
    <row r="1445" spans="1:2" ht="15.5" x14ac:dyDescent="0.35">
      <c r="A1445" s="1" t="s">
        <v>917</v>
      </c>
      <c r="B1445" s="1" t="s">
        <v>3818</v>
      </c>
    </row>
    <row r="1446" spans="1:2" ht="15.5" x14ac:dyDescent="0.35">
      <c r="A1446" s="1" t="s">
        <v>916</v>
      </c>
      <c r="B1446" s="1" t="s">
        <v>3819</v>
      </c>
    </row>
    <row r="1447" spans="1:2" ht="15.5" x14ac:dyDescent="0.35">
      <c r="A1447" s="1" t="s">
        <v>915</v>
      </c>
      <c r="B1447" s="1" t="s">
        <v>3820</v>
      </c>
    </row>
    <row r="1448" spans="1:2" ht="15.5" x14ac:dyDescent="0.35">
      <c r="A1448" s="1" t="s">
        <v>914</v>
      </c>
      <c r="B1448" s="1" t="s">
        <v>3821</v>
      </c>
    </row>
    <row r="1449" spans="1:2" ht="15.5" x14ac:dyDescent="0.35">
      <c r="A1449" s="1" t="s">
        <v>913</v>
      </c>
      <c r="B1449" s="1" t="s">
        <v>3822</v>
      </c>
    </row>
    <row r="1450" spans="1:2" ht="15.5" x14ac:dyDescent="0.35">
      <c r="A1450" s="1" t="s">
        <v>912</v>
      </c>
      <c r="B1450" s="1" t="s">
        <v>3823</v>
      </c>
    </row>
    <row r="1451" spans="1:2" ht="15.5" x14ac:dyDescent="0.35">
      <c r="A1451" s="1" t="s">
        <v>911</v>
      </c>
      <c r="B1451" s="1" t="s">
        <v>3824</v>
      </c>
    </row>
    <row r="1452" spans="1:2" ht="15.5" x14ac:dyDescent="0.35">
      <c r="A1452" s="1" t="s">
        <v>910</v>
      </c>
      <c r="B1452" s="1" t="s">
        <v>3825</v>
      </c>
    </row>
    <row r="1453" spans="1:2" ht="15.5" x14ac:dyDescent="0.35">
      <c r="A1453" s="1" t="s">
        <v>909</v>
      </c>
      <c r="B1453" s="1" t="s">
        <v>3826</v>
      </c>
    </row>
    <row r="1454" spans="1:2" ht="15.5" x14ac:dyDescent="0.35">
      <c r="A1454" s="1" t="s">
        <v>908</v>
      </c>
      <c r="B1454" s="1" t="s">
        <v>3827</v>
      </c>
    </row>
    <row r="1455" spans="1:2" ht="15.5" x14ac:dyDescent="0.35">
      <c r="A1455" s="1" t="s">
        <v>907</v>
      </c>
      <c r="B1455" s="1" t="s">
        <v>3828</v>
      </c>
    </row>
    <row r="1456" spans="1:2" ht="15.5" x14ac:dyDescent="0.35">
      <c r="A1456" s="1" t="s">
        <v>906</v>
      </c>
      <c r="B1456" s="1" t="s">
        <v>3829</v>
      </c>
    </row>
    <row r="1457" spans="1:2" ht="15.5" x14ac:dyDescent="0.35">
      <c r="A1457" s="1" t="s">
        <v>905</v>
      </c>
      <c r="B1457" s="1" t="s">
        <v>3830</v>
      </c>
    </row>
    <row r="1458" spans="1:2" ht="15.5" x14ac:dyDescent="0.35">
      <c r="A1458" s="1" t="s">
        <v>904</v>
      </c>
      <c r="B1458" s="1" t="s">
        <v>3831</v>
      </c>
    </row>
    <row r="1459" spans="1:2" ht="15.5" x14ac:dyDescent="0.35">
      <c r="A1459" s="1" t="s">
        <v>903</v>
      </c>
      <c r="B1459" s="1" t="s">
        <v>3832</v>
      </c>
    </row>
    <row r="1460" spans="1:2" ht="15.5" x14ac:dyDescent="0.35">
      <c r="A1460" s="1" t="s">
        <v>902</v>
      </c>
      <c r="B1460" s="1" t="s">
        <v>3833</v>
      </c>
    </row>
    <row r="1461" spans="1:2" ht="15.5" x14ac:dyDescent="0.35">
      <c r="A1461" s="1" t="s">
        <v>901</v>
      </c>
      <c r="B1461" s="1" t="s">
        <v>3834</v>
      </c>
    </row>
    <row r="1462" spans="1:2" ht="15.5" x14ac:dyDescent="0.35">
      <c r="A1462" s="1" t="s">
        <v>900</v>
      </c>
      <c r="B1462" s="1" t="s">
        <v>3835</v>
      </c>
    </row>
    <row r="1463" spans="1:2" ht="15.5" x14ac:dyDescent="0.35">
      <c r="A1463" s="1" t="s">
        <v>899</v>
      </c>
      <c r="B1463" s="1" t="s">
        <v>3836</v>
      </c>
    </row>
    <row r="1464" spans="1:2" ht="15.5" x14ac:dyDescent="0.35">
      <c r="A1464" s="1" t="s">
        <v>898</v>
      </c>
      <c r="B1464" s="1" t="s">
        <v>3837</v>
      </c>
    </row>
    <row r="1465" spans="1:2" ht="15.5" x14ac:dyDescent="0.35">
      <c r="A1465" s="1" t="s">
        <v>897</v>
      </c>
      <c r="B1465" s="1" t="s">
        <v>3838</v>
      </c>
    </row>
    <row r="1466" spans="1:2" ht="15.5" x14ac:dyDescent="0.35">
      <c r="A1466" s="1" t="s">
        <v>896</v>
      </c>
      <c r="B1466" s="1" t="s">
        <v>3839</v>
      </c>
    </row>
    <row r="1467" spans="1:2" ht="15.5" x14ac:dyDescent="0.35">
      <c r="A1467" s="1" t="s">
        <v>895</v>
      </c>
      <c r="B1467" s="1" t="s">
        <v>3840</v>
      </c>
    </row>
    <row r="1468" spans="1:2" ht="15.5" x14ac:dyDescent="0.35">
      <c r="A1468" s="1" t="s">
        <v>894</v>
      </c>
      <c r="B1468" s="1" t="s">
        <v>3841</v>
      </c>
    </row>
    <row r="1469" spans="1:2" ht="15.5" x14ac:dyDescent="0.35">
      <c r="A1469" s="1" t="s">
        <v>893</v>
      </c>
      <c r="B1469" s="1" t="s">
        <v>3842</v>
      </c>
    </row>
    <row r="1470" spans="1:2" ht="15.5" x14ac:dyDescent="0.35">
      <c r="A1470" s="1" t="s">
        <v>892</v>
      </c>
      <c r="B1470" s="1" t="s">
        <v>3843</v>
      </c>
    </row>
    <row r="1471" spans="1:2" ht="15.5" x14ac:dyDescent="0.35">
      <c r="A1471" s="1" t="s">
        <v>891</v>
      </c>
      <c r="B1471" s="1" t="s">
        <v>3844</v>
      </c>
    </row>
    <row r="1472" spans="1:2" ht="15.5" x14ac:dyDescent="0.35">
      <c r="A1472" s="1" t="s">
        <v>890</v>
      </c>
      <c r="B1472" s="1" t="s">
        <v>3845</v>
      </c>
    </row>
    <row r="1473" spans="1:2" ht="15.5" x14ac:dyDescent="0.35">
      <c r="A1473" s="1" t="s">
        <v>889</v>
      </c>
      <c r="B1473" s="1" t="s">
        <v>3846</v>
      </c>
    </row>
    <row r="1474" spans="1:2" ht="15.5" x14ac:dyDescent="0.35">
      <c r="A1474" s="1" t="s">
        <v>888</v>
      </c>
      <c r="B1474" s="1" t="s">
        <v>3847</v>
      </c>
    </row>
    <row r="1475" spans="1:2" ht="15.5" x14ac:dyDescent="0.35">
      <c r="A1475" s="1" t="s">
        <v>887</v>
      </c>
      <c r="B1475" s="1" t="s">
        <v>3848</v>
      </c>
    </row>
    <row r="1476" spans="1:2" ht="15.5" x14ac:dyDescent="0.35">
      <c r="A1476" s="1" t="s">
        <v>886</v>
      </c>
      <c r="B1476" s="1" t="s">
        <v>3849</v>
      </c>
    </row>
    <row r="1477" spans="1:2" ht="15.5" x14ac:dyDescent="0.35">
      <c r="A1477" s="1" t="s">
        <v>885</v>
      </c>
      <c r="B1477" s="1" t="s">
        <v>3850</v>
      </c>
    </row>
    <row r="1478" spans="1:2" ht="15.5" x14ac:dyDescent="0.35">
      <c r="A1478" s="1" t="s">
        <v>884</v>
      </c>
      <c r="B1478" s="1" t="s">
        <v>3851</v>
      </c>
    </row>
    <row r="1479" spans="1:2" ht="15.5" x14ac:dyDescent="0.35">
      <c r="A1479" s="1" t="s">
        <v>883</v>
      </c>
      <c r="B1479" s="1" t="s">
        <v>3852</v>
      </c>
    </row>
    <row r="1480" spans="1:2" ht="15.5" x14ac:dyDescent="0.35">
      <c r="A1480" s="1" t="s">
        <v>882</v>
      </c>
      <c r="B1480" s="1" t="s">
        <v>3853</v>
      </c>
    </row>
    <row r="1481" spans="1:2" ht="15.5" x14ac:dyDescent="0.35">
      <c r="A1481" s="1" t="s">
        <v>881</v>
      </c>
      <c r="B1481" s="1" t="s">
        <v>3854</v>
      </c>
    </row>
    <row r="1482" spans="1:2" ht="15.5" x14ac:dyDescent="0.35">
      <c r="A1482" s="1" t="s">
        <v>880</v>
      </c>
      <c r="B1482" s="1" t="s">
        <v>3855</v>
      </c>
    </row>
    <row r="1483" spans="1:2" ht="15.5" x14ac:dyDescent="0.35">
      <c r="A1483" s="1" t="s">
        <v>879</v>
      </c>
      <c r="B1483" s="1" t="s">
        <v>3856</v>
      </c>
    </row>
    <row r="1484" spans="1:2" ht="15.5" x14ac:dyDescent="0.35">
      <c r="A1484" s="1" t="s">
        <v>878</v>
      </c>
      <c r="B1484" s="1" t="s">
        <v>3857</v>
      </c>
    </row>
    <row r="1485" spans="1:2" ht="15.5" x14ac:dyDescent="0.35">
      <c r="A1485" s="1" t="s">
        <v>877</v>
      </c>
      <c r="B1485" s="1" t="s">
        <v>3858</v>
      </c>
    </row>
    <row r="1486" spans="1:2" ht="15.5" x14ac:dyDescent="0.35">
      <c r="A1486" s="1" t="s">
        <v>876</v>
      </c>
      <c r="B1486" s="1" t="s">
        <v>3859</v>
      </c>
    </row>
    <row r="1487" spans="1:2" ht="15.5" x14ac:dyDescent="0.35">
      <c r="A1487" s="1" t="s">
        <v>875</v>
      </c>
      <c r="B1487" s="1" t="s">
        <v>3860</v>
      </c>
    </row>
    <row r="1488" spans="1:2" ht="15.5" x14ac:dyDescent="0.35">
      <c r="A1488" s="1" t="s">
        <v>874</v>
      </c>
      <c r="B1488" s="1" t="s">
        <v>3861</v>
      </c>
    </row>
    <row r="1489" spans="1:2" ht="15.5" x14ac:dyDescent="0.35">
      <c r="A1489" s="1" t="s">
        <v>873</v>
      </c>
      <c r="B1489" s="1" t="s">
        <v>3862</v>
      </c>
    </row>
    <row r="1490" spans="1:2" ht="15.5" x14ac:dyDescent="0.35">
      <c r="A1490" s="1" t="s">
        <v>872</v>
      </c>
      <c r="B1490" s="1" t="s">
        <v>3863</v>
      </c>
    </row>
    <row r="1491" spans="1:2" ht="15.5" x14ac:dyDescent="0.35">
      <c r="A1491" s="1" t="s">
        <v>871</v>
      </c>
      <c r="B1491" s="1" t="s">
        <v>3864</v>
      </c>
    </row>
    <row r="1492" spans="1:2" ht="15.5" x14ac:dyDescent="0.35">
      <c r="A1492" s="1" t="s">
        <v>870</v>
      </c>
      <c r="B1492" s="1" t="s">
        <v>3865</v>
      </c>
    </row>
    <row r="1493" spans="1:2" ht="15.5" x14ac:dyDescent="0.35">
      <c r="A1493" s="1" t="s">
        <v>869</v>
      </c>
      <c r="B1493" s="1" t="s">
        <v>3866</v>
      </c>
    </row>
    <row r="1494" spans="1:2" ht="15.5" x14ac:dyDescent="0.35">
      <c r="A1494" s="1" t="s">
        <v>868</v>
      </c>
      <c r="B1494" s="1" t="s">
        <v>3867</v>
      </c>
    </row>
    <row r="1495" spans="1:2" ht="15.5" x14ac:dyDescent="0.35">
      <c r="A1495" s="1" t="s">
        <v>867</v>
      </c>
      <c r="B1495" s="1" t="s">
        <v>3868</v>
      </c>
    </row>
    <row r="1496" spans="1:2" ht="15.5" x14ac:dyDescent="0.35">
      <c r="A1496" s="1" t="s">
        <v>866</v>
      </c>
      <c r="B1496" s="1" t="s">
        <v>3869</v>
      </c>
    </row>
    <row r="1497" spans="1:2" ht="15.5" x14ac:dyDescent="0.35">
      <c r="A1497" s="1" t="s">
        <v>865</v>
      </c>
      <c r="B1497" s="1" t="s">
        <v>3870</v>
      </c>
    </row>
    <row r="1498" spans="1:2" ht="15.5" x14ac:dyDescent="0.35">
      <c r="A1498" s="1" t="s">
        <v>864</v>
      </c>
      <c r="B1498" s="1" t="s">
        <v>3871</v>
      </c>
    </row>
    <row r="1499" spans="1:2" ht="15.5" x14ac:dyDescent="0.35">
      <c r="A1499" s="1" t="s">
        <v>863</v>
      </c>
      <c r="B1499" s="1" t="s">
        <v>3872</v>
      </c>
    </row>
    <row r="1500" spans="1:2" ht="15.5" x14ac:dyDescent="0.35">
      <c r="A1500" s="1" t="s">
        <v>862</v>
      </c>
      <c r="B1500" s="1" t="s">
        <v>3873</v>
      </c>
    </row>
    <row r="1501" spans="1:2" ht="15.5" x14ac:dyDescent="0.35">
      <c r="A1501" s="1" t="s">
        <v>861</v>
      </c>
      <c r="B1501" s="1" t="s">
        <v>3874</v>
      </c>
    </row>
    <row r="1502" spans="1:2" ht="15.5" x14ac:dyDescent="0.35">
      <c r="A1502" s="1" t="s">
        <v>860</v>
      </c>
      <c r="B1502" s="1" t="s">
        <v>3875</v>
      </c>
    </row>
    <row r="1503" spans="1:2" ht="15.5" x14ac:dyDescent="0.35">
      <c r="A1503" s="1" t="s">
        <v>859</v>
      </c>
      <c r="B1503" s="1" t="s">
        <v>3876</v>
      </c>
    </row>
    <row r="1504" spans="1:2" ht="15.5" x14ac:dyDescent="0.35">
      <c r="A1504" s="1" t="s">
        <v>858</v>
      </c>
      <c r="B1504" s="1" t="s">
        <v>3877</v>
      </c>
    </row>
    <row r="1505" spans="1:2" ht="15.5" x14ac:dyDescent="0.35">
      <c r="A1505" s="1" t="s">
        <v>857</v>
      </c>
      <c r="B1505" s="1" t="s">
        <v>3878</v>
      </c>
    </row>
    <row r="1506" spans="1:2" ht="15.5" x14ac:dyDescent="0.35">
      <c r="A1506" s="1" t="s">
        <v>856</v>
      </c>
      <c r="B1506" s="1" t="s">
        <v>3879</v>
      </c>
    </row>
    <row r="1507" spans="1:2" ht="15.5" x14ac:dyDescent="0.35">
      <c r="A1507" s="1" t="s">
        <v>855</v>
      </c>
      <c r="B1507" s="1" t="s">
        <v>3880</v>
      </c>
    </row>
    <row r="1508" spans="1:2" ht="15.5" x14ac:dyDescent="0.35">
      <c r="A1508" s="1" t="s">
        <v>854</v>
      </c>
      <c r="B1508" s="1" t="s">
        <v>3881</v>
      </c>
    </row>
    <row r="1509" spans="1:2" ht="15.5" x14ac:dyDescent="0.35">
      <c r="A1509" s="1" t="s">
        <v>853</v>
      </c>
      <c r="B1509" s="1" t="s">
        <v>3882</v>
      </c>
    </row>
    <row r="1510" spans="1:2" ht="15.5" x14ac:dyDescent="0.35">
      <c r="A1510" s="1" t="s">
        <v>852</v>
      </c>
      <c r="B1510" s="1" t="s">
        <v>3883</v>
      </c>
    </row>
    <row r="1511" spans="1:2" ht="15.5" x14ac:dyDescent="0.35">
      <c r="A1511" s="1" t="s">
        <v>851</v>
      </c>
      <c r="B1511" s="1" t="s">
        <v>3884</v>
      </c>
    </row>
    <row r="1512" spans="1:2" ht="15.5" x14ac:dyDescent="0.35">
      <c r="A1512" s="1" t="s">
        <v>850</v>
      </c>
      <c r="B1512" s="1" t="s">
        <v>3885</v>
      </c>
    </row>
    <row r="1513" spans="1:2" ht="15.5" x14ac:dyDescent="0.35">
      <c r="A1513" s="1" t="s">
        <v>849</v>
      </c>
      <c r="B1513" s="1" t="s">
        <v>3886</v>
      </c>
    </row>
    <row r="1514" spans="1:2" ht="15.5" x14ac:dyDescent="0.35">
      <c r="A1514" s="1" t="s">
        <v>848</v>
      </c>
      <c r="B1514" s="1" t="s">
        <v>3887</v>
      </c>
    </row>
    <row r="1515" spans="1:2" ht="15.5" x14ac:dyDescent="0.35">
      <c r="A1515" s="1" t="s">
        <v>847</v>
      </c>
      <c r="B1515" s="1" t="s">
        <v>3888</v>
      </c>
    </row>
    <row r="1516" spans="1:2" ht="15.5" x14ac:dyDescent="0.35">
      <c r="A1516" s="1" t="s">
        <v>846</v>
      </c>
      <c r="B1516" s="1" t="s">
        <v>3889</v>
      </c>
    </row>
    <row r="1517" spans="1:2" ht="15.5" x14ac:dyDescent="0.35">
      <c r="A1517" s="1" t="s">
        <v>845</v>
      </c>
      <c r="B1517" s="1" t="s">
        <v>3890</v>
      </c>
    </row>
    <row r="1518" spans="1:2" ht="15.5" x14ac:dyDescent="0.35">
      <c r="A1518" s="1" t="s">
        <v>844</v>
      </c>
      <c r="B1518" s="1" t="s">
        <v>3891</v>
      </c>
    </row>
    <row r="1519" spans="1:2" ht="15.5" x14ac:dyDescent="0.35">
      <c r="A1519" s="1" t="s">
        <v>843</v>
      </c>
      <c r="B1519" s="1" t="s">
        <v>3892</v>
      </c>
    </row>
    <row r="1520" spans="1:2" ht="15.5" x14ac:dyDescent="0.35">
      <c r="A1520" s="1" t="s">
        <v>842</v>
      </c>
      <c r="B1520" s="1" t="s">
        <v>3893</v>
      </c>
    </row>
    <row r="1521" spans="1:2" ht="15.5" x14ac:dyDescent="0.35">
      <c r="A1521" s="1" t="s">
        <v>841</v>
      </c>
      <c r="B1521" s="1" t="s">
        <v>3894</v>
      </c>
    </row>
    <row r="1522" spans="1:2" ht="15.5" x14ac:dyDescent="0.35">
      <c r="A1522" s="1" t="s">
        <v>840</v>
      </c>
      <c r="B1522" s="1" t="s">
        <v>3895</v>
      </c>
    </row>
    <row r="1523" spans="1:2" ht="15.5" x14ac:dyDescent="0.35">
      <c r="A1523" s="1" t="s">
        <v>839</v>
      </c>
      <c r="B1523" s="1" t="s">
        <v>3896</v>
      </c>
    </row>
    <row r="1524" spans="1:2" ht="15.5" x14ac:dyDescent="0.35">
      <c r="A1524" s="1" t="s">
        <v>838</v>
      </c>
      <c r="B1524" s="1" t="s">
        <v>3897</v>
      </c>
    </row>
    <row r="1525" spans="1:2" ht="15.5" x14ac:dyDescent="0.35">
      <c r="A1525" s="1" t="s">
        <v>837</v>
      </c>
      <c r="B1525" s="1" t="s">
        <v>3898</v>
      </c>
    </row>
    <row r="1526" spans="1:2" ht="15.5" x14ac:dyDescent="0.35">
      <c r="A1526" s="1" t="s">
        <v>836</v>
      </c>
      <c r="B1526" s="1" t="s">
        <v>3899</v>
      </c>
    </row>
    <row r="1527" spans="1:2" ht="15.5" x14ac:dyDescent="0.35">
      <c r="A1527" s="1" t="s">
        <v>835</v>
      </c>
      <c r="B1527" s="1" t="s">
        <v>3900</v>
      </c>
    </row>
    <row r="1528" spans="1:2" ht="15.5" x14ac:dyDescent="0.35">
      <c r="A1528" s="1" t="s">
        <v>834</v>
      </c>
      <c r="B1528" s="1" t="s">
        <v>3901</v>
      </c>
    </row>
    <row r="1529" spans="1:2" ht="15.5" x14ac:dyDescent="0.35">
      <c r="A1529" s="1" t="s">
        <v>833</v>
      </c>
      <c r="B1529" s="1" t="s">
        <v>3902</v>
      </c>
    </row>
    <row r="1530" spans="1:2" ht="15.5" x14ac:dyDescent="0.35">
      <c r="A1530" s="1" t="s">
        <v>832</v>
      </c>
      <c r="B1530" s="1" t="s">
        <v>3903</v>
      </c>
    </row>
    <row r="1531" spans="1:2" ht="15.5" x14ac:dyDescent="0.35">
      <c r="A1531" s="1" t="s">
        <v>831</v>
      </c>
      <c r="B1531" s="1" t="s">
        <v>3904</v>
      </c>
    </row>
    <row r="1532" spans="1:2" ht="15.5" x14ac:dyDescent="0.35">
      <c r="A1532" s="1" t="s">
        <v>830</v>
      </c>
      <c r="B1532" s="1" t="s">
        <v>3905</v>
      </c>
    </row>
    <row r="1533" spans="1:2" ht="15.5" x14ac:dyDescent="0.35">
      <c r="A1533" s="1" t="s">
        <v>829</v>
      </c>
      <c r="B1533" s="1" t="s">
        <v>3906</v>
      </c>
    </row>
    <row r="1534" spans="1:2" ht="15.5" x14ac:dyDescent="0.35">
      <c r="A1534" s="1" t="s">
        <v>828</v>
      </c>
      <c r="B1534" s="1" t="s">
        <v>3907</v>
      </c>
    </row>
    <row r="1535" spans="1:2" ht="15.5" x14ac:dyDescent="0.35">
      <c r="A1535" s="1" t="s">
        <v>827</v>
      </c>
      <c r="B1535" s="1" t="s">
        <v>3908</v>
      </c>
    </row>
    <row r="1536" spans="1:2" ht="15.5" x14ac:dyDescent="0.35">
      <c r="A1536" s="1" t="s">
        <v>826</v>
      </c>
      <c r="B1536" s="1" t="s">
        <v>3909</v>
      </c>
    </row>
    <row r="1537" spans="1:2" ht="15.5" x14ac:dyDescent="0.35">
      <c r="A1537" s="1" t="s">
        <v>825</v>
      </c>
      <c r="B1537" s="1" t="s">
        <v>3910</v>
      </c>
    </row>
    <row r="1538" spans="1:2" ht="15.5" x14ac:dyDescent="0.35">
      <c r="A1538" s="1" t="s">
        <v>824</v>
      </c>
      <c r="B1538" s="1" t="s">
        <v>3911</v>
      </c>
    </row>
    <row r="1539" spans="1:2" ht="15.5" x14ac:dyDescent="0.35">
      <c r="A1539" s="1" t="s">
        <v>823</v>
      </c>
      <c r="B1539" s="1" t="s">
        <v>3912</v>
      </c>
    </row>
    <row r="1540" spans="1:2" ht="15.5" x14ac:dyDescent="0.35">
      <c r="A1540" s="1" t="s">
        <v>822</v>
      </c>
      <c r="B1540" s="1" t="s">
        <v>3913</v>
      </c>
    </row>
    <row r="1541" spans="1:2" ht="15.5" x14ac:dyDescent="0.35">
      <c r="A1541" s="1" t="s">
        <v>821</v>
      </c>
      <c r="B1541" s="1" t="s">
        <v>3914</v>
      </c>
    </row>
    <row r="1542" spans="1:2" ht="15.5" x14ac:dyDescent="0.35">
      <c r="A1542" s="1" t="s">
        <v>820</v>
      </c>
      <c r="B1542" s="1" t="s">
        <v>3915</v>
      </c>
    </row>
    <row r="1543" spans="1:2" ht="15.5" x14ac:dyDescent="0.35">
      <c r="A1543" s="1" t="s">
        <v>819</v>
      </c>
      <c r="B1543" s="1" t="s">
        <v>3916</v>
      </c>
    </row>
    <row r="1544" spans="1:2" ht="15.5" x14ac:dyDescent="0.35">
      <c r="A1544" s="1" t="s">
        <v>818</v>
      </c>
      <c r="B1544" s="1" t="s">
        <v>3917</v>
      </c>
    </row>
    <row r="1545" spans="1:2" ht="15.5" x14ac:dyDescent="0.35">
      <c r="A1545" s="1" t="s">
        <v>817</v>
      </c>
      <c r="B1545" s="1" t="s">
        <v>3918</v>
      </c>
    </row>
    <row r="1546" spans="1:2" ht="15.5" x14ac:dyDescent="0.35">
      <c r="A1546" s="1" t="s">
        <v>816</v>
      </c>
      <c r="B1546" s="1" t="s">
        <v>3919</v>
      </c>
    </row>
    <row r="1547" spans="1:2" ht="15.5" x14ac:dyDescent="0.35">
      <c r="A1547" s="1" t="s">
        <v>815</v>
      </c>
      <c r="B1547" s="1" t="s">
        <v>3920</v>
      </c>
    </row>
    <row r="1548" spans="1:2" ht="15.5" x14ac:dyDescent="0.35">
      <c r="A1548" s="1" t="s">
        <v>814</v>
      </c>
      <c r="B1548" s="1" t="s">
        <v>3921</v>
      </c>
    </row>
    <row r="1549" spans="1:2" ht="15.5" x14ac:dyDescent="0.35">
      <c r="A1549" s="1" t="s">
        <v>813</v>
      </c>
      <c r="B1549" s="1" t="s">
        <v>3922</v>
      </c>
    </row>
    <row r="1550" spans="1:2" ht="15.5" x14ac:dyDescent="0.35">
      <c r="A1550" s="1" t="s">
        <v>812</v>
      </c>
      <c r="B1550" s="1" t="s">
        <v>3923</v>
      </c>
    </row>
    <row r="1551" spans="1:2" ht="15.5" x14ac:dyDescent="0.35">
      <c r="A1551" s="1" t="s">
        <v>811</v>
      </c>
      <c r="B1551" s="1" t="s">
        <v>3924</v>
      </c>
    </row>
    <row r="1552" spans="1:2" ht="15.5" x14ac:dyDescent="0.35">
      <c r="A1552" s="1" t="s">
        <v>810</v>
      </c>
      <c r="B1552" s="1" t="s">
        <v>3925</v>
      </c>
    </row>
    <row r="1553" spans="1:2" ht="15.5" x14ac:dyDescent="0.35">
      <c r="A1553" s="1" t="s">
        <v>809</v>
      </c>
      <c r="B1553" s="1" t="s">
        <v>3926</v>
      </c>
    </row>
    <row r="1554" spans="1:2" ht="15.5" x14ac:dyDescent="0.35">
      <c r="A1554" s="1" t="s">
        <v>808</v>
      </c>
      <c r="B1554" s="1" t="s">
        <v>3927</v>
      </c>
    </row>
    <row r="1555" spans="1:2" ht="15.5" x14ac:dyDescent="0.35">
      <c r="A1555" s="1" t="s">
        <v>807</v>
      </c>
      <c r="B1555" s="1" t="s">
        <v>3928</v>
      </c>
    </row>
    <row r="1556" spans="1:2" ht="15.5" x14ac:dyDescent="0.35">
      <c r="A1556" s="1" t="s">
        <v>806</v>
      </c>
      <c r="B1556" s="1" t="s">
        <v>3929</v>
      </c>
    </row>
    <row r="1557" spans="1:2" ht="15.5" x14ac:dyDescent="0.35">
      <c r="A1557" s="1" t="s">
        <v>805</v>
      </c>
      <c r="B1557" s="1" t="s">
        <v>3930</v>
      </c>
    </row>
    <row r="1558" spans="1:2" ht="15.5" x14ac:dyDescent="0.35">
      <c r="A1558" s="1" t="s">
        <v>804</v>
      </c>
      <c r="B1558" s="1" t="s">
        <v>3931</v>
      </c>
    </row>
    <row r="1559" spans="1:2" ht="15.5" x14ac:dyDescent="0.35">
      <c r="A1559" s="1" t="s">
        <v>803</v>
      </c>
      <c r="B1559" s="1" t="s">
        <v>3932</v>
      </c>
    </row>
    <row r="1560" spans="1:2" ht="15.5" x14ac:dyDescent="0.35">
      <c r="A1560" s="1" t="s">
        <v>802</v>
      </c>
      <c r="B1560" s="1" t="s">
        <v>3933</v>
      </c>
    </row>
    <row r="1561" spans="1:2" ht="15.5" x14ac:dyDescent="0.35">
      <c r="A1561" s="1" t="s">
        <v>801</v>
      </c>
      <c r="B1561" s="1" t="s">
        <v>3934</v>
      </c>
    </row>
    <row r="1562" spans="1:2" ht="15.5" x14ac:dyDescent="0.35">
      <c r="A1562" s="1" t="s">
        <v>800</v>
      </c>
      <c r="B1562" s="1" t="s">
        <v>3935</v>
      </c>
    </row>
    <row r="1563" spans="1:2" ht="15.5" x14ac:dyDescent="0.35">
      <c r="A1563" s="1" t="s">
        <v>799</v>
      </c>
      <c r="B1563" s="1" t="s">
        <v>3936</v>
      </c>
    </row>
    <row r="1564" spans="1:2" ht="15.5" x14ac:dyDescent="0.35">
      <c r="A1564" s="1" t="s">
        <v>798</v>
      </c>
      <c r="B1564" s="1" t="s">
        <v>3937</v>
      </c>
    </row>
    <row r="1565" spans="1:2" ht="15.5" x14ac:dyDescent="0.35">
      <c r="A1565" s="1" t="s">
        <v>797</v>
      </c>
      <c r="B1565" s="1" t="s">
        <v>3938</v>
      </c>
    </row>
    <row r="1566" spans="1:2" ht="15.5" x14ac:dyDescent="0.35">
      <c r="A1566" s="1" t="s">
        <v>796</v>
      </c>
      <c r="B1566" s="1" t="s">
        <v>3939</v>
      </c>
    </row>
    <row r="1567" spans="1:2" ht="15.5" x14ac:dyDescent="0.35">
      <c r="A1567" s="1" t="s">
        <v>795</v>
      </c>
      <c r="B1567" s="1" t="s">
        <v>3940</v>
      </c>
    </row>
    <row r="1568" spans="1:2" ht="15.5" x14ac:dyDescent="0.35">
      <c r="A1568" s="1" t="s">
        <v>794</v>
      </c>
      <c r="B1568" s="1" t="s">
        <v>3941</v>
      </c>
    </row>
    <row r="1569" spans="1:2" ht="15.5" x14ac:dyDescent="0.35">
      <c r="A1569" s="1" t="s">
        <v>793</v>
      </c>
      <c r="B1569" s="1" t="s">
        <v>3942</v>
      </c>
    </row>
    <row r="1570" spans="1:2" ht="15.5" x14ac:dyDescent="0.35">
      <c r="A1570" s="1" t="s">
        <v>792</v>
      </c>
      <c r="B1570" s="1" t="s">
        <v>3943</v>
      </c>
    </row>
    <row r="1571" spans="1:2" ht="15.5" x14ac:dyDescent="0.35">
      <c r="A1571" s="1" t="s">
        <v>791</v>
      </c>
      <c r="B1571" s="1" t="s">
        <v>3944</v>
      </c>
    </row>
    <row r="1572" spans="1:2" ht="15.5" x14ac:dyDescent="0.35">
      <c r="A1572" s="1" t="s">
        <v>790</v>
      </c>
      <c r="B1572" s="1" t="s">
        <v>3945</v>
      </c>
    </row>
    <row r="1573" spans="1:2" ht="15.5" x14ac:dyDescent="0.35">
      <c r="A1573" s="1" t="s">
        <v>789</v>
      </c>
      <c r="B1573" s="1" t="s">
        <v>3946</v>
      </c>
    </row>
    <row r="1574" spans="1:2" ht="15.5" x14ac:dyDescent="0.35">
      <c r="A1574" s="1" t="s">
        <v>788</v>
      </c>
      <c r="B1574" s="1" t="s">
        <v>3947</v>
      </c>
    </row>
    <row r="1575" spans="1:2" ht="15.5" x14ac:dyDescent="0.35">
      <c r="A1575" s="1" t="s">
        <v>787</v>
      </c>
      <c r="B1575" s="1" t="s">
        <v>3948</v>
      </c>
    </row>
    <row r="1576" spans="1:2" ht="15.5" x14ac:dyDescent="0.35">
      <c r="A1576" s="1" t="s">
        <v>786</v>
      </c>
      <c r="B1576" s="1" t="s">
        <v>3949</v>
      </c>
    </row>
    <row r="1577" spans="1:2" ht="15.5" x14ac:dyDescent="0.35">
      <c r="A1577" s="1" t="s">
        <v>785</v>
      </c>
      <c r="B1577" s="1" t="s">
        <v>3950</v>
      </c>
    </row>
    <row r="1578" spans="1:2" ht="15.5" x14ac:dyDescent="0.35">
      <c r="A1578" s="1" t="s">
        <v>784</v>
      </c>
      <c r="B1578" s="1" t="s">
        <v>3951</v>
      </c>
    </row>
    <row r="1579" spans="1:2" ht="15.5" x14ac:dyDescent="0.35">
      <c r="A1579" s="1" t="s">
        <v>783</v>
      </c>
      <c r="B1579" s="1" t="s">
        <v>3952</v>
      </c>
    </row>
    <row r="1580" spans="1:2" ht="15.5" x14ac:dyDescent="0.35">
      <c r="A1580" s="1" t="s">
        <v>782</v>
      </c>
      <c r="B1580" s="1" t="s">
        <v>3953</v>
      </c>
    </row>
    <row r="1581" spans="1:2" ht="15.5" x14ac:dyDescent="0.35">
      <c r="A1581" s="1" t="s">
        <v>781</v>
      </c>
      <c r="B1581" s="1" t="s">
        <v>3954</v>
      </c>
    </row>
    <row r="1582" spans="1:2" ht="15.5" x14ac:dyDescent="0.35">
      <c r="A1582" s="1" t="s">
        <v>780</v>
      </c>
      <c r="B1582" s="1" t="s">
        <v>3955</v>
      </c>
    </row>
    <row r="1583" spans="1:2" ht="15.5" x14ac:dyDescent="0.35">
      <c r="A1583" s="1" t="s">
        <v>779</v>
      </c>
      <c r="B1583" s="1" t="s">
        <v>3956</v>
      </c>
    </row>
    <row r="1584" spans="1:2" ht="15.5" x14ac:dyDescent="0.35">
      <c r="A1584" s="1" t="s">
        <v>778</v>
      </c>
      <c r="B1584" s="1" t="s">
        <v>3957</v>
      </c>
    </row>
    <row r="1585" spans="1:2" ht="15.5" x14ac:dyDescent="0.35">
      <c r="A1585" s="1" t="s">
        <v>777</v>
      </c>
      <c r="B1585" s="1" t="s">
        <v>3958</v>
      </c>
    </row>
    <row r="1586" spans="1:2" ht="15.5" x14ac:dyDescent="0.35">
      <c r="A1586" s="1" t="s">
        <v>776</v>
      </c>
      <c r="B1586" s="1" t="s">
        <v>3959</v>
      </c>
    </row>
    <row r="1587" spans="1:2" ht="15.5" x14ac:dyDescent="0.35">
      <c r="A1587" s="1" t="s">
        <v>775</v>
      </c>
      <c r="B1587" s="1" t="s">
        <v>3960</v>
      </c>
    </row>
    <row r="1588" spans="1:2" ht="15.5" x14ac:dyDescent="0.35">
      <c r="A1588" s="1" t="s">
        <v>774</v>
      </c>
      <c r="B1588" s="1" t="s">
        <v>3961</v>
      </c>
    </row>
    <row r="1589" spans="1:2" ht="15.5" x14ac:dyDescent="0.35">
      <c r="A1589" s="1" t="s">
        <v>773</v>
      </c>
      <c r="B1589" s="1" t="s">
        <v>3962</v>
      </c>
    </row>
    <row r="1590" spans="1:2" ht="15.5" x14ac:dyDescent="0.35">
      <c r="A1590" s="1" t="s">
        <v>772</v>
      </c>
      <c r="B1590" s="1" t="s">
        <v>3963</v>
      </c>
    </row>
    <row r="1591" spans="1:2" ht="15.5" x14ac:dyDescent="0.35">
      <c r="A1591" s="1" t="s">
        <v>771</v>
      </c>
      <c r="B1591" s="1" t="s">
        <v>3964</v>
      </c>
    </row>
    <row r="1592" spans="1:2" ht="15.5" x14ac:dyDescent="0.35">
      <c r="A1592" s="1" t="s">
        <v>770</v>
      </c>
      <c r="B1592" s="1" t="s">
        <v>3965</v>
      </c>
    </row>
    <row r="1593" spans="1:2" ht="15.5" x14ac:dyDescent="0.35">
      <c r="A1593" s="1" t="s">
        <v>769</v>
      </c>
      <c r="B1593" s="1" t="s">
        <v>3966</v>
      </c>
    </row>
    <row r="1594" spans="1:2" ht="15.5" x14ac:dyDescent="0.35">
      <c r="A1594" s="1" t="s">
        <v>768</v>
      </c>
      <c r="B1594" s="1" t="s">
        <v>3967</v>
      </c>
    </row>
    <row r="1595" spans="1:2" ht="15.5" x14ac:dyDescent="0.35">
      <c r="A1595" s="1" t="s">
        <v>767</v>
      </c>
      <c r="B1595" s="1" t="s">
        <v>3968</v>
      </c>
    </row>
    <row r="1596" spans="1:2" ht="15.5" x14ac:dyDescent="0.35">
      <c r="A1596" s="1" t="s">
        <v>766</v>
      </c>
      <c r="B1596" s="1" t="s">
        <v>3969</v>
      </c>
    </row>
    <row r="1597" spans="1:2" ht="15.5" x14ac:dyDescent="0.35">
      <c r="A1597" s="1" t="s">
        <v>765</v>
      </c>
      <c r="B1597" s="1" t="s">
        <v>3970</v>
      </c>
    </row>
    <row r="1598" spans="1:2" ht="15.5" x14ac:dyDescent="0.35">
      <c r="A1598" s="1" t="s">
        <v>764</v>
      </c>
      <c r="B1598" s="1" t="s">
        <v>3971</v>
      </c>
    </row>
    <row r="1599" spans="1:2" ht="15.5" x14ac:dyDescent="0.35">
      <c r="A1599" s="1" t="s">
        <v>763</v>
      </c>
      <c r="B1599" s="1" t="s">
        <v>3972</v>
      </c>
    </row>
    <row r="1600" spans="1:2" ht="15.5" x14ac:dyDescent="0.35">
      <c r="A1600" s="1" t="s">
        <v>762</v>
      </c>
      <c r="B1600" s="1" t="s">
        <v>3973</v>
      </c>
    </row>
    <row r="1601" spans="1:2" ht="15.5" x14ac:dyDescent="0.35">
      <c r="A1601" s="1" t="s">
        <v>761</v>
      </c>
      <c r="B1601" s="1" t="s">
        <v>3974</v>
      </c>
    </row>
    <row r="1602" spans="1:2" ht="15.5" x14ac:dyDescent="0.35">
      <c r="A1602" s="1" t="s">
        <v>760</v>
      </c>
      <c r="B1602" s="1" t="s">
        <v>3975</v>
      </c>
    </row>
    <row r="1603" spans="1:2" ht="15.5" x14ac:dyDescent="0.35">
      <c r="A1603" s="1" t="s">
        <v>759</v>
      </c>
      <c r="B1603" s="1" t="s">
        <v>3976</v>
      </c>
    </row>
    <row r="1604" spans="1:2" ht="15.5" x14ac:dyDescent="0.35">
      <c r="A1604" s="1" t="s">
        <v>758</v>
      </c>
      <c r="B1604" s="1" t="s">
        <v>3977</v>
      </c>
    </row>
    <row r="1605" spans="1:2" ht="15.5" x14ac:dyDescent="0.35">
      <c r="A1605" s="1" t="s">
        <v>757</v>
      </c>
      <c r="B1605" s="1" t="s">
        <v>3978</v>
      </c>
    </row>
    <row r="1606" spans="1:2" ht="15.5" x14ac:dyDescent="0.35">
      <c r="A1606" s="1" t="s">
        <v>756</v>
      </c>
      <c r="B1606" s="1" t="s">
        <v>3979</v>
      </c>
    </row>
    <row r="1607" spans="1:2" ht="15.5" x14ac:dyDescent="0.35">
      <c r="A1607" s="1" t="s">
        <v>755</v>
      </c>
      <c r="B1607" s="1" t="s">
        <v>3980</v>
      </c>
    </row>
    <row r="1608" spans="1:2" ht="15.5" x14ac:dyDescent="0.35">
      <c r="A1608" s="1" t="s">
        <v>754</v>
      </c>
      <c r="B1608" s="1" t="s">
        <v>3981</v>
      </c>
    </row>
    <row r="1609" spans="1:2" ht="15.5" x14ac:dyDescent="0.35">
      <c r="A1609" s="1" t="s">
        <v>753</v>
      </c>
      <c r="B1609" s="1" t="s">
        <v>3982</v>
      </c>
    </row>
    <row r="1610" spans="1:2" ht="15.5" x14ac:dyDescent="0.35">
      <c r="A1610" s="1" t="s">
        <v>752</v>
      </c>
      <c r="B1610" s="1" t="s">
        <v>3983</v>
      </c>
    </row>
    <row r="1611" spans="1:2" ht="15.5" x14ac:dyDescent="0.35">
      <c r="A1611" s="1" t="s">
        <v>751</v>
      </c>
      <c r="B1611" s="1" t="s">
        <v>3984</v>
      </c>
    </row>
    <row r="1612" spans="1:2" ht="15.5" x14ac:dyDescent="0.35">
      <c r="A1612" s="1" t="s">
        <v>750</v>
      </c>
      <c r="B1612" s="1" t="s">
        <v>3985</v>
      </c>
    </row>
    <row r="1613" spans="1:2" ht="15.5" x14ac:dyDescent="0.35">
      <c r="A1613" s="1" t="s">
        <v>749</v>
      </c>
      <c r="B1613" s="1" t="s">
        <v>3986</v>
      </c>
    </row>
    <row r="1614" spans="1:2" ht="15.5" x14ac:dyDescent="0.35">
      <c r="A1614" s="1" t="s">
        <v>748</v>
      </c>
      <c r="B1614" s="1" t="s">
        <v>3987</v>
      </c>
    </row>
    <row r="1615" spans="1:2" ht="15.5" x14ac:dyDescent="0.35">
      <c r="A1615" s="1" t="s">
        <v>747</v>
      </c>
      <c r="B1615" s="1" t="s">
        <v>3988</v>
      </c>
    </row>
    <row r="1616" spans="1:2" ht="15.5" x14ac:dyDescent="0.35">
      <c r="A1616" s="1" t="s">
        <v>746</v>
      </c>
      <c r="B1616" s="1" t="s">
        <v>3989</v>
      </c>
    </row>
    <row r="1617" spans="1:2" ht="15.5" x14ac:dyDescent="0.35">
      <c r="A1617" s="1" t="s">
        <v>745</v>
      </c>
      <c r="B1617" s="1" t="s">
        <v>3990</v>
      </c>
    </row>
    <row r="1618" spans="1:2" ht="15.5" x14ac:dyDescent="0.35">
      <c r="A1618" s="1" t="s">
        <v>744</v>
      </c>
      <c r="B1618" s="1" t="s">
        <v>3991</v>
      </c>
    </row>
    <row r="1619" spans="1:2" ht="15.5" x14ac:dyDescent="0.35">
      <c r="A1619" s="1" t="s">
        <v>743</v>
      </c>
      <c r="B1619" s="1" t="s">
        <v>3992</v>
      </c>
    </row>
    <row r="1620" spans="1:2" ht="15.5" x14ac:dyDescent="0.35">
      <c r="A1620" s="1" t="s">
        <v>742</v>
      </c>
      <c r="B1620" s="1" t="s">
        <v>3993</v>
      </c>
    </row>
    <row r="1621" spans="1:2" ht="15.5" x14ac:dyDescent="0.35">
      <c r="A1621" s="1" t="s">
        <v>741</v>
      </c>
      <c r="B1621" s="1" t="s">
        <v>3994</v>
      </c>
    </row>
    <row r="1622" spans="1:2" ht="15.5" x14ac:dyDescent="0.35">
      <c r="A1622" s="1" t="s">
        <v>740</v>
      </c>
      <c r="B1622" s="1" t="s">
        <v>3995</v>
      </c>
    </row>
    <row r="1623" spans="1:2" ht="15.5" x14ac:dyDescent="0.35">
      <c r="A1623" s="1" t="s">
        <v>739</v>
      </c>
      <c r="B1623" s="1" t="s">
        <v>3996</v>
      </c>
    </row>
    <row r="1624" spans="1:2" ht="15.5" x14ac:dyDescent="0.35">
      <c r="A1624" s="1" t="s">
        <v>738</v>
      </c>
      <c r="B1624" s="1" t="s">
        <v>3997</v>
      </c>
    </row>
    <row r="1625" spans="1:2" ht="15.5" x14ac:dyDescent="0.35">
      <c r="A1625" s="1" t="s">
        <v>737</v>
      </c>
      <c r="B1625" s="1" t="s">
        <v>3998</v>
      </c>
    </row>
    <row r="1626" spans="1:2" ht="15.5" x14ac:dyDescent="0.35">
      <c r="A1626" s="1" t="s">
        <v>736</v>
      </c>
      <c r="B1626" s="1" t="s">
        <v>3999</v>
      </c>
    </row>
    <row r="1627" spans="1:2" ht="15.5" x14ac:dyDescent="0.35">
      <c r="A1627" s="1" t="s">
        <v>735</v>
      </c>
      <c r="B1627" s="1" t="s">
        <v>4000</v>
      </c>
    </row>
    <row r="1628" spans="1:2" ht="15.5" x14ac:dyDescent="0.35">
      <c r="A1628" s="1" t="s">
        <v>734</v>
      </c>
      <c r="B1628" s="1" t="s">
        <v>4001</v>
      </c>
    </row>
    <row r="1629" spans="1:2" ht="15.5" x14ac:dyDescent="0.35">
      <c r="A1629" s="1" t="s">
        <v>733</v>
      </c>
      <c r="B1629" s="1" t="s">
        <v>4002</v>
      </c>
    </row>
    <row r="1630" spans="1:2" ht="15.5" x14ac:dyDescent="0.35">
      <c r="A1630" s="1" t="s">
        <v>732</v>
      </c>
      <c r="B1630" s="1" t="s">
        <v>4003</v>
      </c>
    </row>
    <row r="1631" spans="1:2" ht="15.5" x14ac:dyDescent="0.35">
      <c r="A1631" s="1" t="s">
        <v>731</v>
      </c>
      <c r="B1631" s="1" t="s">
        <v>4004</v>
      </c>
    </row>
    <row r="1632" spans="1:2" ht="15.5" x14ac:dyDescent="0.35">
      <c r="A1632" s="1" t="s">
        <v>730</v>
      </c>
      <c r="B1632" s="1" t="s">
        <v>4005</v>
      </c>
    </row>
    <row r="1633" spans="1:2" ht="15.5" x14ac:dyDescent="0.35">
      <c r="A1633" s="1" t="s">
        <v>729</v>
      </c>
      <c r="B1633" s="1" t="s">
        <v>4006</v>
      </c>
    </row>
    <row r="1634" spans="1:2" ht="15.5" x14ac:dyDescent="0.35">
      <c r="A1634" s="1" t="s">
        <v>728</v>
      </c>
      <c r="B1634" s="1" t="s">
        <v>4007</v>
      </c>
    </row>
    <row r="1635" spans="1:2" ht="15.5" x14ac:dyDescent="0.35">
      <c r="A1635" s="1" t="s">
        <v>727</v>
      </c>
      <c r="B1635" s="1" t="s">
        <v>4008</v>
      </c>
    </row>
    <row r="1636" spans="1:2" ht="15.5" x14ac:dyDescent="0.35">
      <c r="A1636" s="1" t="s">
        <v>726</v>
      </c>
      <c r="B1636" s="1" t="s">
        <v>4009</v>
      </c>
    </row>
    <row r="1637" spans="1:2" ht="15.5" x14ac:dyDescent="0.35">
      <c r="A1637" s="1" t="s">
        <v>725</v>
      </c>
      <c r="B1637" s="1" t="s">
        <v>4010</v>
      </c>
    </row>
    <row r="1638" spans="1:2" ht="15.5" x14ac:dyDescent="0.35">
      <c r="A1638" s="1" t="s">
        <v>724</v>
      </c>
      <c r="B1638" s="1" t="s">
        <v>4011</v>
      </c>
    </row>
    <row r="1639" spans="1:2" ht="15.5" x14ac:dyDescent="0.35">
      <c r="A1639" s="1" t="s">
        <v>723</v>
      </c>
      <c r="B1639" s="1" t="s">
        <v>4012</v>
      </c>
    </row>
    <row r="1640" spans="1:2" ht="15.5" x14ac:dyDescent="0.35">
      <c r="A1640" s="1" t="s">
        <v>722</v>
      </c>
      <c r="B1640" s="1" t="s">
        <v>4013</v>
      </c>
    </row>
    <row r="1641" spans="1:2" ht="15.5" x14ac:dyDescent="0.35">
      <c r="A1641" s="1" t="s">
        <v>721</v>
      </c>
      <c r="B1641" s="1" t="s">
        <v>4014</v>
      </c>
    </row>
    <row r="1642" spans="1:2" ht="15.5" x14ac:dyDescent="0.35">
      <c r="A1642" s="1" t="s">
        <v>720</v>
      </c>
      <c r="B1642" s="1" t="s">
        <v>4015</v>
      </c>
    </row>
    <row r="1643" spans="1:2" ht="15.5" x14ac:dyDescent="0.35">
      <c r="A1643" s="1" t="s">
        <v>719</v>
      </c>
      <c r="B1643" s="1" t="s">
        <v>4016</v>
      </c>
    </row>
    <row r="1644" spans="1:2" ht="15.5" x14ac:dyDescent="0.35">
      <c r="A1644" s="1" t="s">
        <v>718</v>
      </c>
      <c r="B1644" s="1" t="s">
        <v>4017</v>
      </c>
    </row>
    <row r="1645" spans="1:2" ht="15.5" x14ac:dyDescent="0.35">
      <c r="A1645" s="1" t="s">
        <v>717</v>
      </c>
      <c r="B1645" s="1" t="s">
        <v>4018</v>
      </c>
    </row>
    <row r="1646" spans="1:2" ht="15.5" x14ac:dyDescent="0.35">
      <c r="A1646" s="1" t="s">
        <v>716</v>
      </c>
      <c r="B1646" s="1" t="s">
        <v>4019</v>
      </c>
    </row>
    <row r="1647" spans="1:2" ht="15.5" x14ac:dyDescent="0.35">
      <c r="A1647" s="1" t="s">
        <v>715</v>
      </c>
      <c r="B1647" s="1" t="s">
        <v>4020</v>
      </c>
    </row>
    <row r="1648" spans="1:2" ht="15.5" x14ac:dyDescent="0.35">
      <c r="A1648" s="1" t="s">
        <v>714</v>
      </c>
      <c r="B1648" s="1" t="s">
        <v>4021</v>
      </c>
    </row>
    <row r="1649" spans="1:2" ht="15.5" x14ac:dyDescent="0.35">
      <c r="A1649" s="1" t="s">
        <v>713</v>
      </c>
      <c r="B1649" s="1" t="s">
        <v>4022</v>
      </c>
    </row>
    <row r="1650" spans="1:2" ht="15.5" x14ac:dyDescent="0.35">
      <c r="A1650" s="1" t="s">
        <v>712</v>
      </c>
      <c r="B1650" s="1" t="s">
        <v>4023</v>
      </c>
    </row>
    <row r="1651" spans="1:2" ht="15.5" x14ac:dyDescent="0.35">
      <c r="A1651" s="1" t="s">
        <v>711</v>
      </c>
      <c r="B1651" s="1" t="s">
        <v>4024</v>
      </c>
    </row>
    <row r="1652" spans="1:2" ht="15.5" x14ac:dyDescent="0.35">
      <c r="A1652" s="1" t="s">
        <v>710</v>
      </c>
      <c r="B1652" s="1" t="s">
        <v>4025</v>
      </c>
    </row>
    <row r="1653" spans="1:2" ht="15.5" x14ac:dyDescent="0.35">
      <c r="A1653" s="1" t="s">
        <v>709</v>
      </c>
      <c r="B1653" s="1" t="s">
        <v>4026</v>
      </c>
    </row>
    <row r="1654" spans="1:2" ht="15.5" x14ac:dyDescent="0.35">
      <c r="A1654" s="1" t="s">
        <v>708</v>
      </c>
      <c r="B1654" s="1" t="s">
        <v>4027</v>
      </c>
    </row>
    <row r="1655" spans="1:2" ht="15.5" x14ac:dyDescent="0.35">
      <c r="A1655" s="1" t="s">
        <v>707</v>
      </c>
      <c r="B1655" s="1" t="s">
        <v>4028</v>
      </c>
    </row>
    <row r="1656" spans="1:2" ht="15.5" x14ac:dyDescent="0.35">
      <c r="A1656" s="1" t="s">
        <v>706</v>
      </c>
      <c r="B1656" s="1" t="s">
        <v>4029</v>
      </c>
    </row>
    <row r="1657" spans="1:2" ht="15.5" x14ac:dyDescent="0.35">
      <c r="A1657" s="1" t="s">
        <v>705</v>
      </c>
      <c r="B1657" s="1" t="s">
        <v>4030</v>
      </c>
    </row>
    <row r="1658" spans="1:2" ht="15.5" x14ac:dyDescent="0.35">
      <c r="A1658" s="1" t="s">
        <v>704</v>
      </c>
      <c r="B1658" s="1" t="s">
        <v>4031</v>
      </c>
    </row>
    <row r="1659" spans="1:2" ht="15.5" x14ac:dyDescent="0.35">
      <c r="A1659" s="1" t="s">
        <v>703</v>
      </c>
      <c r="B1659" s="1" t="s">
        <v>4032</v>
      </c>
    </row>
    <row r="1660" spans="1:2" ht="15.5" x14ac:dyDescent="0.35">
      <c r="A1660" s="1" t="s">
        <v>702</v>
      </c>
      <c r="B1660" s="1" t="s">
        <v>4033</v>
      </c>
    </row>
    <row r="1661" spans="1:2" ht="15.5" x14ac:dyDescent="0.35">
      <c r="A1661" s="1" t="s">
        <v>701</v>
      </c>
      <c r="B1661" s="1" t="s">
        <v>4034</v>
      </c>
    </row>
    <row r="1662" spans="1:2" ht="15.5" x14ac:dyDescent="0.35">
      <c r="A1662" s="1" t="s">
        <v>700</v>
      </c>
      <c r="B1662" s="1" t="s">
        <v>4035</v>
      </c>
    </row>
    <row r="1663" spans="1:2" ht="15.5" x14ac:dyDescent="0.35">
      <c r="A1663" s="1" t="s">
        <v>699</v>
      </c>
      <c r="B1663" s="1" t="s">
        <v>4036</v>
      </c>
    </row>
    <row r="1664" spans="1:2" ht="15.5" x14ac:dyDescent="0.35">
      <c r="A1664" s="1" t="s">
        <v>698</v>
      </c>
      <c r="B1664" s="1" t="s">
        <v>4037</v>
      </c>
    </row>
    <row r="1665" spans="1:2" ht="15.5" x14ac:dyDescent="0.35">
      <c r="A1665" s="1" t="s">
        <v>697</v>
      </c>
      <c r="B1665" s="1" t="s">
        <v>4038</v>
      </c>
    </row>
    <row r="1666" spans="1:2" ht="15.5" x14ac:dyDescent="0.35">
      <c r="A1666" s="1" t="s">
        <v>696</v>
      </c>
      <c r="B1666" s="1" t="s">
        <v>4039</v>
      </c>
    </row>
    <row r="1667" spans="1:2" ht="15.5" x14ac:dyDescent="0.35">
      <c r="A1667" s="1" t="s">
        <v>695</v>
      </c>
      <c r="B1667" s="1" t="s">
        <v>4040</v>
      </c>
    </row>
    <row r="1668" spans="1:2" ht="15.5" x14ac:dyDescent="0.35">
      <c r="A1668" s="1" t="s">
        <v>694</v>
      </c>
      <c r="B1668" s="1" t="s">
        <v>4041</v>
      </c>
    </row>
    <row r="1669" spans="1:2" ht="15.5" x14ac:dyDescent="0.35">
      <c r="A1669" s="1" t="s">
        <v>693</v>
      </c>
      <c r="B1669" s="1" t="s">
        <v>4042</v>
      </c>
    </row>
    <row r="1670" spans="1:2" ht="15.5" x14ac:dyDescent="0.35">
      <c r="A1670" s="1" t="s">
        <v>692</v>
      </c>
      <c r="B1670" s="1" t="s">
        <v>4043</v>
      </c>
    </row>
    <row r="1671" spans="1:2" ht="15.5" x14ac:dyDescent="0.35">
      <c r="A1671" s="1" t="s">
        <v>691</v>
      </c>
      <c r="B1671" s="1" t="s">
        <v>4044</v>
      </c>
    </row>
    <row r="1672" spans="1:2" ht="15.5" x14ac:dyDescent="0.35">
      <c r="A1672" s="1" t="s">
        <v>690</v>
      </c>
      <c r="B1672" s="1" t="s">
        <v>4045</v>
      </c>
    </row>
    <row r="1673" spans="1:2" ht="15.5" x14ac:dyDescent="0.35">
      <c r="A1673" s="1" t="s">
        <v>689</v>
      </c>
      <c r="B1673" s="1" t="s">
        <v>4046</v>
      </c>
    </row>
    <row r="1674" spans="1:2" ht="15.5" x14ac:dyDescent="0.35">
      <c r="A1674" s="1" t="s">
        <v>688</v>
      </c>
      <c r="B1674" s="1" t="s">
        <v>4047</v>
      </c>
    </row>
    <row r="1675" spans="1:2" ht="15.5" x14ac:dyDescent="0.35">
      <c r="A1675" s="1" t="s">
        <v>687</v>
      </c>
      <c r="B1675" s="1" t="s">
        <v>4048</v>
      </c>
    </row>
    <row r="1676" spans="1:2" ht="15.5" x14ac:dyDescent="0.35">
      <c r="A1676" s="1" t="s">
        <v>686</v>
      </c>
      <c r="B1676" s="1" t="s">
        <v>4049</v>
      </c>
    </row>
    <row r="1677" spans="1:2" ht="15.5" x14ac:dyDescent="0.35">
      <c r="A1677" s="1" t="s">
        <v>685</v>
      </c>
      <c r="B1677" s="1" t="s">
        <v>4050</v>
      </c>
    </row>
    <row r="1678" spans="1:2" ht="15.5" x14ac:dyDescent="0.35">
      <c r="A1678" s="1" t="s">
        <v>684</v>
      </c>
      <c r="B1678" s="1" t="s">
        <v>4051</v>
      </c>
    </row>
    <row r="1679" spans="1:2" ht="15.5" x14ac:dyDescent="0.35">
      <c r="A1679" s="1" t="s">
        <v>683</v>
      </c>
      <c r="B1679" s="1" t="s">
        <v>4052</v>
      </c>
    </row>
    <row r="1680" spans="1:2" ht="15.5" x14ac:dyDescent="0.35">
      <c r="A1680" s="1" t="s">
        <v>682</v>
      </c>
      <c r="B1680" s="1" t="s">
        <v>4053</v>
      </c>
    </row>
    <row r="1681" spans="1:2" ht="15.5" x14ac:dyDescent="0.35">
      <c r="A1681" s="1" t="s">
        <v>681</v>
      </c>
      <c r="B1681" s="1" t="s">
        <v>4054</v>
      </c>
    </row>
    <row r="1682" spans="1:2" ht="15.5" x14ac:dyDescent="0.35">
      <c r="A1682" s="1" t="s">
        <v>680</v>
      </c>
      <c r="B1682" s="1" t="s">
        <v>4055</v>
      </c>
    </row>
    <row r="1683" spans="1:2" ht="15.5" x14ac:dyDescent="0.35">
      <c r="A1683" s="1" t="s">
        <v>679</v>
      </c>
      <c r="B1683" s="1" t="s">
        <v>4056</v>
      </c>
    </row>
    <row r="1684" spans="1:2" ht="15.5" x14ac:dyDescent="0.35">
      <c r="A1684" s="1" t="s">
        <v>678</v>
      </c>
      <c r="B1684" s="1" t="s">
        <v>4057</v>
      </c>
    </row>
    <row r="1685" spans="1:2" ht="15.5" x14ac:dyDescent="0.35">
      <c r="A1685" s="1" t="s">
        <v>677</v>
      </c>
      <c r="B1685" s="1" t="s">
        <v>4058</v>
      </c>
    </row>
    <row r="1686" spans="1:2" ht="15.5" x14ac:dyDescent="0.35">
      <c r="A1686" s="1" t="s">
        <v>676</v>
      </c>
      <c r="B1686" s="1" t="s">
        <v>4059</v>
      </c>
    </row>
    <row r="1687" spans="1:2" ht="15.5" x14ac:dyDescent="0.35">
      <c r="A1687" s="1" t="s">
        <v>675</v>
      </c>
      <c r="B1687" s="1" t="s">
        <v>4060</v>
      </c>
    </row>
    <row r="1688" spans="1:2" ht="15.5" x14ac:dyDescent="0.35">
      <c r="A1688" s="1" t="s">
        <v>674</v>
      </c>
      <c r="B1688" s="1" t="s">
        <v>4061</v>
      </c>
    </row>
    <row r="1689" spans="1:2" ht="15.5" x14ac:dyDescent="0.35">
      <c r="A1689" s="1" t="s">
        <v>673</v>
      </c>
      <c r="B1689" s="1" t="s">
        <v>4062</v>
      </c>
    </row>
    <row r="1690" spans="1:2" ht="15.5" x14ac:dyDescent="0.35">
      <c r="A1690" s="1" t="s">
        <v>672</v>
      </c>
      <c r="B1690" s="1" t="s">
        <v>4063</v>
      </c>
    </row>
    <row r="1691" spans="1:2" ht="15.5" x14ac:dyDescent="0.35">
      <c r="A1691" s="1" t="s">
        <v>671</v>
      </c>
      <c r="B1691" s="1" t="s">
        <v>4064</v>
      </c>
    </row>
    <row r="1692" spans="1:2" ht="15.5" x14ac:dyDescent="0.35">
      <c r="A1692" s="1" t="s">
        <v>670</v>
      </c>
      <c r="B1692" s="1" t="s">
        <v>4065</v>
      </c>
    </row>
    <row r="1693" spans="1:2" ht="15.5" x14ac:dyDescent="0.35">
      <c r="A1693" s="1" t="s">
        <v>669</v>
      </c>
      <c r="B1693" s="1" t="s">
        <v>4066</v>
      </c>
    </row>
    <row r="1694" spans="1:2" ht="15.5" x14ac:dyDescent="0.35">
      <c r="A1694" s="1" t="s">
        <v>668</v>
      </c>
      <c r="B1694" s="1" t="s">
        <v>4067</v>
      </c>
    </row>
    <row r="1695" spans="1:2" ht="15.5" x14ac:dyDescent="0.35">
      <c r="A1695" s="1" t="s">
        <v>667</v>
      </c>
      <c r="B1695" s="1" t="s">
        <v>4068</v>
      </c>
    </row>
    <row r="1696" spans="1:2" ht="15.5" x14ac:dyDescent="0.35">
      <c r="A1696" s="1" t="s">
        <v>666</v>
      </c>
      <c r="B1696" s="1" t="s">
        <v>4069</v>
      </c>
    </row>
    <row r="1697" spans="1:2" ht="15.5" x14ac:dyDescent="0.35">
      <c r="A1697" s="1" t="s">
        <v>665</v>
      </c>
      <c r="B1697" s="1" t="s">
        <v>4070</v>
      </c>
    </row>
    <row r="1698" spans="1:2" ht="15.5" x14ac:dyDescent="0.35">
      <c r="A1698" s="1" t="s">
        <v>664</v>
      </c>
      <c r="B1698" s="1" t="s">
        <v>4071</v>
      </c>
    </row>
    <row r="1699" spans="1:2" ht="15.5" x14ac:dyDescent="0.35">
      <c r="A1699" s="1" t="s">
        <v>663</v>
      </c>
      <c r="B1699" s="1" t="s">
        <v>4072</v>
      </c>
    </row>
    <row r="1700" spans="1:2" ht="15.5" x14ac:dyDescent="0.35">
      <c r="A1700" s="1" t="s">
        <v>662</v>
      </c>
      <c r="B1700" s="1" t="s">
        <v>4073</v>
      </c>
    </row>
    <row r="1701" spans="1:2" ht="15.5" x14ac:dyDescent="0.35">
      <c r="A1701" s="1" t="s">
        <v>661</v>
      </c>
      <c r="B1701" s="1" t="s">
        <v>4074</v>
      </c>
    </row>
    <row r="1702" spans="1:2" ht="15.5" x14ac:dyDescent="0.35">
      <c r="A1702" s="1" t="s">
        <v>660</v>
      </c>
      <c r="B1702" s="1" t="s">
        <v>4075</v>
      </c>
    </row>
    <row r="1703" spans="1:2" ht="15.5" x14ac:dyDescent="0.35">
      <c r="A1703" s="1" t="s">
        <v>659</v>
      </c>
      <c r="B1703" s="1" t="s">
        <v>4076</v>
      </c>
    </row>
    <row r="1704" spans="1:2" ht="15.5" x14ac:dyDescent="0.35">
      <c r="A1704" s="1" t="s">
        <v>658</v>
      </c>
      <c r="B1704" s="1" t="s">
        <v>4077</v>
      </c>
    </row>
    <row r="1705" spans="1:2" ht="15.5" x14ac:dyDescent="0.35">
      <c r="A1705" s="1" t="s">
        <v>657</v>
      </c>
      <c r="B1705" s="1" t="s">
        <v>4078</v>
      </c>
    </row>
    <row r="1706" spans="1:2" ht="15.5" x14ac:dyDescent="0.35">
      <c r="A1706" s="1" t="s">
        <v>656</v>
      </c>
      <c r="B1706" s="1" t="s">
        <v>4079</v>
      </c>
    </row>
    <row r="1707" spans="1:2" ht="15.5" x14ac:dyDescent="0.35">
      <c r="A1707" s="1" t="s">
        <v>655</v>
      </c>
      <c r="B1707" s="1" t="s">
        <v>4080</v>
      </c>
    </row>
    <row r="1708" spans="1:2" ht="15.5" x14ac:dyDescent="0.35">
      <c r="A1708" s="1" t="s">
        <v>654</v>
      </c>
      <c r="B1708" s="1" t="s">
        <v>4081</v>
      </c>
    </row>
    <row r="1709" spans="1:2" ht="15.5" x14ac:dyDescent="0.35">
      <c r="A1709" s="1" t="s">
        <v>653</v>
      </c>
      <c r="B1709" s="1" t="s">
        <v>4082</v>
      </c>
    </row>
    <row r="1710" spans="1:2" ht="15.5" x14ac:dyDescent="0.35">
      <c r="A1710" s="1" t="s">
        <v>652</v>
      </c>
      <c r="B1710" s="1" t="s">
        <v>4083</v>
      </c>
    </row>
    <row r="1711" spans="1:2" ht="15.5" x14ac:dyDescent="0.35">
      <c r="A1711" s="1" t="s">
        <v>651</v>
      </c>
      <c r="B1711" s="1" t="s">
        <v>4084</v>
      </c>
    </row>
    <row r="1712" spans="1:2" ht="15.5" x14ac:dyDescent="0.35">
      <c r="A1712" s="1" t="s">
        <v>650</v>
      </c>
      <c r="B1712" s="1" t="s">
        <v>4085</v>
      </c>
    </row>
    <row r="1713" spans="1:2" ht="15.5" x14ac:dyDescent="0.35">
      <c r="A1713" s="1" t="s">
        <v>649</v>
      </c>
      <c r="B1713" s="1" t="s">
        <v>4086</v>
      </c>
    </row>
    <row r="1714" spans="1:2" ht="15.5" x14ac:dyDescent="0.35">
      <c r="A1714" s="1" t="s">
        <v>648</v>
      </c>
      <c r="B1714" s="1" t="s">
        <v>4087</v>
      </c>
    </row>
    <row r="1715" spans="1:2" ht="15.5" x14ac:dyDescent="0.35">
      <c r="A1715" s="1" t="s">
        <v>647</v>
      </c>
      <c r="B1715" s="1" t="s">
        <v>4088</v>
      </c>
    </row>
    <row r="1716" spans="1:2" ht="15.5" x14ac:dyDescent="0.35">
      <c r="A1716" s="1" t="s">
        <v>646</v>
      </c>
      <c r="B1716" s="1" t="s">
        <v>4089</v>
      </c>
    </row>
    <row r="1717" spans="1:2" ht="15.5" x14ac:dyDescent="0.35">
      <c r="A1717" s="1" t="s">
        <v>645</v>
      </c>
      <c r="B1717" s="1" t="s">
        <v>4090</v>
      </c>
    </row>
    <row r="1718" spans="1:2" ht="15.5" x14ac:dyDescent="0.35">
      <c r="A1718" s="1" t="s">
        <v>644</v>
      </c>
      <c r="B1718" s="1" t="s">
        <v>4091</v>
      </c>
    </row>
    <row r="1719" spans="1:2" ht="15.5" x14ac:dyDescent="0.35">
      <c r="A1719" s="1" t="s">
        <v>643</v>
      </c>
      <c r="B1719" s="1" t="s">
        <v>4092</v>
      </c>
    </row>
    <row r="1720" spans="1:2" ht="15.5" x14ac:dyDescent="0.35">
      <c r="A1720" s="1" t="s">
        <v>642</v>
      </c>
      <c r="B1720" s="1" t="s">
        <v>4093</v>
      </c>
    </row>
    <row r="1721" spans="1:2" ht="15.5" x14ac:dyDescent="0.35">
      <c r="A1721" s="1" t="s">
        <v>641</v>
      </c>
      <c r="B1721" s="1" t="s">
        <v>4094</v>
      </c>
    </row>
    <row r="1722" spans="1:2" ht="15.5" x14ac:dyDescent="0.35">
      <c r="A1722" s="1" t="s">
        <v>640</v>
      </c>
      <c r="B1722" s="1" t="s">
        <v>4095</v>
      </c>
    </row>
    <row r="1723" spans="1:2" ht="15.5" x14ac:dyDescent="0.35">
      <c r="A1723" s="1" t="s">
        <v>639</v>
      </c>
      <c r="B1723" s="1" t="s">
        <v>4096</v>
      </c>
    </row>
    <row r="1724" spans="1:2" ht="15.5" x14ac:dyDescent="0.35">
      <c r="A1724" s="1" t="s">
        <v>638</v>
      </c>
      <c r="B1724" s="1" t="s">
        <v>4097</v>
      </c>
    </row>
    <row r="1725" spans="1:2" ht="15.5" x14ac:dyDescent="0.35">
      <c r="A1725" s="1" t="s">
        <v>637</v>
      </c>
      <c r="B1725" s="1" t="s">
        <v>4098</v>
      </c>
    </row>
    <row r="1726" spans="1:2" ht="15.5" x14ac:dyDescent="0.35">
      <c r="A1726" s="1" t="s">
        <v>636</v>
      </c>
      <c r="B1726" s="1" t="s">
        <v>4099</v>
      </c>
    </row>
    <row r="1727" spans="1:2" ht="15.5" x14ac:dyDescent="0.35">
      <c r="A1727" s="1" t="s">
        <v>635</v>
      </c>
      <c r="B1727" s="1" t="s">
        <v>4100</v>
      </c>
    </row>
    <row r="1728" spans="1:2" ht="15.5" x14ac:dyDescent="0.35">
      <c r="A1728" s="1" t="s">
        <v>634</v>
      </c>
      <c r="B1728" s="1" t="s">
        <v>4101</v>
      </c>
    </row>
    <row r="1729" spans="1:2" ht="15.5" x14ac:dyDescent="0.35">
      <c r="A1729" s="1" t="s">
        <v>633</v>
      </c>
      <c r="B1729" s="1" t="s">
        <v>4102</v>
      </c>
    </row>
    <row r="1730" spans="1:2" ht="15.5" x14ac:dyDescent="0.35">
      <c r="A1730" s="1" t="s">
        <v>632</v>
      </c>
      <c r="B1730" s="1" t="s">
        <v>4103</v>
      </c>
    </row>
    <row r="1731" spans="1:2" ht="15.5" x14ac:dyDescent="0.35">
      <c r="A1731" s="1" t="s">
        <v>631</v>
      </c>
      <c r="B1731" s="1" t="s">
        <v>4104</v>
      </c>
    </row>
    <row r="1732" spans="1:2" ht="15.5" x14ac:dyDescent="0.35">
      <c r="A1732" s="1" t="s">
        <v>630</v>
      </c>
      <c r="B1732" s="1" t="s">
        <v>4105</v>
      </c>
    </row>
    <row r="1733" spans="1:2" ht="15.5" x14ac:dyDescent="0.35">
      <c r="A1733" s="1" t="s">
        <v>629</v>
      </c>
      <c r="B1733" s="1" t="s">
        <v>4106</v>
      </c>
    </row>
    <row r="1734" spans="1:2" ht="15.5" x14ac:dyDescent="0.35">
      <c r="A1734" s="1" t="s">
        <v>628</v>
      </c>
      <c r="B1734" s="1" t="s">
        <v>4107</v>
      </c>
    </row>
    <row r="1735" spans="1:2" ht="15.5" x14ac:dyDescent="0.35">
      <c r="A1735" s="1" t="s">
        <v>627</v>
      </c>
      <c r="B1735" s="1" t="s">
        <v>4108</v>
      </c>
    </row>
    <row r="1736" spans="1:2" ht="15.5" x14ac:dyDescent="0.35">
      <c r="A1736" s="1" t="s">
        <v>626</v>
      </c>
      <c r="B1736" s="1" t="s">
        <v>4109</v>
      </c>
    </row>
    <row r="1737" spans="1:2" ht="15.5" x14ac:dyDescent="0.35">
      <c r="A1737" s="1" t="s">
        <v>625</v>
      </c>
      <c r="B1737" s="1" t="s">
        <v>4110</v>
      </c>
    </row>
    <row r="1738" spans="1:2" ht="15.5" x14ac:dyDescent="0.35">
      <c r="A1738" s="1" t="s">
        <v>624</v>
      </c>
      <c r="B1738" s="1" t="s">
        <v>4111</v>
      </c>
    </row>
    <row r="1739" spans="1:2" ht="15.5" x14ac:dyDescent="0.35">
      <c r="A1739" s="1" t="s">
        <v>623</v>
      </c>
      <c r="B1739" s="1" t="s">
        <v>4112</v>
      </c>
    </row>
    <row r="1740" spans="1:2" ht="15.5" x14ac:dyDescent="0.35">
      <c r="A1740" s="1" t="s">
        <v>621</v>
      </c>
      <c r="B1740" s="1" t="s">
        <v>4113</v>
      </c>
    </row>
    <row r="1741" spans="1:2" ht="15.5" x14ac:dyDescent="0.35">
      <c r="A1741" s="1" t="s">
        <v>620</v>
      </c>
      <c r="B1741" s="1" t="s">
        <v>4114</v>
      </c>
    </row>
    <row r="1742" spans="1:2" ht="15.5" x14ac:dyDescent="0.35">
      <c r="A1742" s="1" t="s">
        <v>619</v>
      </c>
      <c r="B1742" s="1" t="s">
        <v>4115</v>
      </c>
    </row>
    <row r="1743" spans="1:2" ht="15.5" x14ac:dyDescent="0.35">
      <c r="A1743" s="1" t="s">
        <v>618</v>
      </c>
      <c r="B1743" s="1" t="s">
        <v>4116</v>
      </c>
    </row>
    <row r="1744" spans="1:2" ht="15.5" x14ac:dyDescent="0.35">
      <c r="A1744" s="1" t="s">
        <v>617</v>
      </c>
      <c r="B1744" s="1" t="s">
        <v>4117</v>
      </c>
    </row>
    <row r="1745" spans="1:2" ht="15.5" x14ac:dyDescent="0.35">
      <c r="A1745" s="1" t="s">
        <v>616</v>
      </c>
      <c r="B1745" s="1" t="s">
        <v>4118</v>
      </c>
    </row>
    <row r="1746" spans="1:2" ht="15.5" x14ac:dyDescent="0.35">
      <c r="A1746" s="1" t="s">
        <v>615</v>
      </c>
      <c r="B1746" s="1" t="s">
        <v>4119</v>
      </c>
    </row>
    <row r="1747" spans="1:2" ht="15.5" x14ac:dyDescent="0.35">
      <c r="A1747" s="1" t="s">
        <v>614</v>
      </c>
      <c r="B1747" s="1" t="s">
        <v>4120</v>
      </c>
    </row>
    <row r="1748" spans="1:2" ht="15.5" x14ac:dyDescent="0.35">
      <c r="A1748" s="1" t="s">
        <v>613</v>
      </c>
      <c r="B1748" s="1" t="s">
        <v>4121</v>
      </c>
    </row>
    <row r="1749" spans="1:2" ht="15.5" x14ac:dyDescent="0.35">
      <c r="A1749" s="1" t="s">
        <v>612</v>
      </c>
      <c r="B1749" s="1" t="s">
        <v>4122</v>
      </c>
    </row>
    <row r="1750" spans="1:2" ht="15.5" x14ac:dyDescent="0.35">
      <c r="A1750" s="1" t="s">
        <v>611</v>
      </c>
      <c r="B1750" s="1" t="s">
        <v>4123</v>
      </c>
    </row>
    <row r="1751" spans="1:2" ht="15.5" x14ac:dyDescent="0.35">
      <c r="A1751" s="1" t="s">
        <v>610</v>
      </c>
      <c r="B1751" s="1" t="s">
        <v>4124</v>
      </c>
    </row>
    <row r="1752" spans="1:2" ht="15.5" x14ac:dyDescent="0.35">
      <c r="A1752" s="1" t="s">
        <v>609</v>
      </c>
      <c r="B1752" s="1" t="s">
        <v>4125</v>
      </c>
    </row>
    <row r="1753" spans="1:2" ht="15.5" x14ac:dyDescent="0.35">
      <c r="A1753" s="1" t="s">
        <v>608</v>
      </c>
      <c r="B1753" s="1" t="s">
        <v>4126</v>
      </c>
    </row>
    <row r="1754" spans="1:2" ht="15.5" x14ac:dyDescent="0.35">
      <c r="A1754" s="1" t="s">
        <v>607</v>
      </c>
      <c r="B1754" s="1" t="s">
        <v>4127</v>
      </c>
    </row>
    <row r="1755" spans="1:2" ht="15.5" x14ac:dyDescent="0.35">
      <c r="A1755" s="1" t="s">
        <v>606</v>
      </c>
      <c r="B1755" s="1" t="s">
        <v>4128</v>
      </c>
    </row>
    <row r="1756" spans="1:2" ht="15.5" x14ac:dyDescent="0.35">
      <c r="A1756" s="1" t="s">
        <v>605</v>
      </c>
      <c r="B1756" s="1" t="s">
        <v>4129</v>
      </c>
    </row>
    <row r="1757" spans="1:2" ht="15.5" x14ac:dyDescent="0.35">
      <c r="A1757" s="1" t="s">
        <v>604</v>
      </c>
      <c r="B1757" s="1" t="s">
        <v>4130</v>
      </c>
    </row>
    <row r="1758" spans="1:2" ht="15.5" x14ac:dyDescent="0.35">
      <c r="A1758" s="1" t="s">
        <v>603</v>
      </c>
      <c r="B1758" s="1" t="s">
        <v>4131</v>
      </c>
    </row>
    <row r="1759" spans="1:2" ht="15.5" x14ac:dyDescent="0.35">
      <c r="A1759" s="1" t="s">
        <v>602</v>
      </c>
      <c r="B1759" s="1" t="s">
        <v>4132</v>
      </c>
    </row>
    <row r="1760" spans="1:2" ht="15.5" x14ac:dyDescent="0.35">
      <c r="A1760" s="1" t="s">
        <v>601</v>
      </c>
      <c r="B1760" s="1" t="s">
        <v>4133</v>
      </c>
    </row>
    <row r="1761" spans="1:2" ht="15.5" x14ac:dyDescent="0.35">
      <c r="A1761" s="1" t="s">
        <v>600</v>
      </c>
      <c r="B1761" s="1" t="s">
        <v>4134</v>
      </c>
    </row>
    <row r="1762" spans="1:2" ht="15.5" x14ac:dyDescent="0.35">
      <c r="A1762" s="1" t="s">
        <v>599</v>
      </c>
      <c r="B1762" s="1" t="s">
        <v>4135</v>
      </c>
    </row>
    <row r="1763" spans="1:2" ht="15.5" x14ac:dyDescent="0.35">
      <c r="A1763" s="1" t="s">
        <v>598</v>
      </c>
      <c r="B1763" s="1" t="s">
        <v>4136</v>
      </c>
    </row>
    <row r="1764" spans="1:2" ht="15.5" x14ac:dyDescent="0.35">
      <c r="A1764" s="1" t="s">
        <v>597</v>
      </c>
      <c r="B1764" s="1" t="s">
        <v>4137</v>
      </c>
    </row>
    <row r="1765" spans="1:2" ht="15.5" x14ac:dyDescent="0.35">
      <c r="A1765" s="1" t="s">
        <v>596</v>
      </c>
      <c r="B1765" s="1" t="s">
        <v>4138</v>
      </c>
    </row>
    <row r="1766" spans="1:2" ht="15.5" x14ac:dyDescent="0.35">
      <c r="A1766" s="1" t="s">
        <v>595</v>
      </c>
      <c r="B1766" s="1" t="s">
        <v>4139</v>
      </c>
    </row>
    <row r="1767" spans="1:2" ht="15.5" x14ac:dyDescent="0.35">
      <c r="A1767" s="1" t="s">
        <v>594</v>
      </c>
      <c r="B1767" s="1" t="s">
        <v>4140</v>
      </c>
    </row>
    <row r="1768" spans="1:2" ht="15.5" x14ac:dyDescent="0.35">
      <c r="A1768" s="1" t="s">
        <v>593</v>
      </c>
      <c r="B1768" s="1" t="s">
        <v>4141</v>
      </c>
    </row>
    <row r="1769" spans="1:2" ht="15.5" x14ac:dyDescent="0.35">
      <c r="A1769" s="1" t="s">
        <v>592</v>
      </c>
      <c r="B1769" s="1" t="s">
        <v>4142</v>
      </c>
    </row>
    <row r="1770" spans="1:2" ht="15.5" x14ac:dyDescent="0.35">
      <c r="A1770" s="1" t="s">
        <v>591</v>
      </c>
      <c r="B1770" s="1" t="s">
        <v>4143</v>
      </c>
    </row>
    <row r="1771" spans="1:2" ht="15.5" x14ac:dyDescent="0.35">
      <c r="A1771" s="1" t="s">
        <v>590</v>
      </c>
      <c r="B1771" s="1" t="s">
        <v>4144</v>
      </c>
    </row>
    <row r="1772" spans="1:2" ht="15.5" x14ac:dyDescent="0.35">
      <c r="A1772" s="1" t="s">
        <v>589</v>
      </c>
      <c r="B1772" s="1" t="s">
        <v>4145</v>
      </c>
    </row>
    <row r="1773" spans="1:2" ht="15.5" x14ac:dyDescent="0.35">
      <c r="A1773" s="1" t="s">
        <v>588</v>
      </c>
      <c r="B1773" s="1" t="s">
        <v>4146</v>
      </c>
    </row>
    <row r="1774" spans="1:2" ht="15.5" x14ac:dyDescent="0.35">
      <c r="A1774" s="1" t="s">
        <v>587</v>
      </c>
      <c r="B1774" s="1" t="s">
        <v>4147</v>
      </c>
    </row>
    <row r="1775" spans="1:2" ht="15.5" x14ac:dyDescent="0.35">
      <c r="A1775" s="1" t="s">
        <v>586</v>
      </c>
      <c r="B1775" s="1" t="s">
        <v>4148</v>
      </c>
    </row>
    <row r="1776" spans="1:2" ht="15.5" x14ac:dyDescent="0.35">
      <c r="A1776" s="1" t="s">
        <v>585</v>
      </c>
      <c r="B1776" s="1" t="s">
        <v>4149</v>
      </c>
    </row>
    <row r="1777" spans="1:2" ht="15.5" x14ac:dyDescent="0.35">
      <c r="A1777" s="1" t="s">
        <v>584</v>
      </c>
      <c r="B1777" s="1" t="s">
        <v>4150</v>
      </c>
    </row>
    <row r="1778" spans="1:2" ht="15.5" x14ac:dyDescent="0.35">
      <c r="A1778" s="1" t="s">
        <v>583</v>
      </c>
      <c r="B1778" s="1" t="s">
        <v>4151</v>
      </c>
    </row>
    <row r="1779" spans="1:2" ht="15.5" x14ac:dyDescent="0.35">
      <c r="A1779" s="1" t="s">
        <v>582</v>
      </c>
      <c r="B1779" s="1" t="s">
        <v>4152</v>
      </c>
    </row>
    <row r="1780" spans="1:2" ht="15.5" x14ac:dyDescent="0.35">
      <c r="A1780" s="1" t="s">
        <v>581</v>
      </c>
      <c r="B1780" s="1" t="s">
        <v>4153</v>
      </c>
    </row>
    <row r="1781" spans="1:2" ht="15.5" x14ac:dyDescent="0.35">
      <c r="A1781" s="1" t="s">
        <v>580</v>
      </c>
      <c r="B1781" s="1" t="s">
        <v>4154</v>
      </c>
    </row>
    <row r="1782" spans="1:2" ht="15.5" x14ac:dyDescent="0.35">
      <c r="A1782" s="1" t="s">
        <v>579</v>
      </c>
      <c r="B1782" s="1" t="s">
        <v>4155</v>
      </c>
    </row>
    <row r="1783" spans="1:2" ht="15.5" x14ac:dyDescent="0.35">
      <c r="A1783" s="1" t="s">
        <v>578</v>
      </c>
      <c r="B1783" s="1" t="s">
        <v>4156</v>
      </c>
    </row>
    <row r="1784" spans="1:2" ht="15.5" x14ac:dyDescent="0.35">
      <c r="A1784" s="1" t="s">
        <v>577</v>
      </c>
      <c r="B1784" s="1" t="s">
        <v>4157</v>
      </c>
    </row>
    <row r="1785" spans="1:2" ht="15.5" x14ac:dyDescent="0.35">
      <c r="A1785" s="1" t="s">
        <v>576</v>
      </c>
      <c r="B1785" s="1" t="s">
        <v>4158</v>
      </c>
    </row>
    <row r="1786" spans="1:2" ht="15.5" x14ac:dyDescent="0.35">
      <c r="A1786" s="1" t="s">
        <v>575</v>
      </c>
      <c r="B1786" s="1" t="s">
        <v>4159</v>
      </c>
    </row>
    <row r="1787" spans="1:2" ht="15.5" x14ac:dyDescent="0.35">
      <c r="A1787" s="1" t="s">
        <v>574</v>
      </c>
      <c r="B1787" s="1" t="s">
        <v>4160</v>
      </c>
    </row>
    <row r="1788" spans="1:2" ht="15.5" x14ac:dyDescent="0.35">
      <c r="A1788" s="1" t="s">
        <v>573</v>
      </c>
      <c r="B1788" s="1" t="s">
        <v>4161</v>
      </c>
    </row>
    <row r="1789" spans="1:2" ht="15.5" x14ac:dyDescent="0.35">
      <c r="A1789" s="1" t="s">
        <v>572</v>
      </c>
      <c r="B1789" s="1" t="s">
        <v>4162</v>
      </c>
    </row>
    <row r="1790" spans="1:2" ht="15.5" x14ac:dyDescent="0.35">
      <c r="A1790" s="1" t="s">
        <v>571</v>
      </c>
      <c r="B1790" s="1" t="s">
        <v>4163</v>
      </c>
    </row>
    <row r="1791" spans="1:2" ht="15.5" x14ac:dyDescent="0.35">
      <c r="A1791" s="1" t="s">
        <v>570</v>
      </c>
      <c r="B1791" s="1" t="s">
        <v>4164</v>
      </c>
    </row>
    <row r="1792" spans="1:2" ht="15.5" x14ac:dyDescent="0.35">
      <c r="A1792" s="1" t="s">
        <v>569</v>
      </c>
      <c r="B1792" s="1" t="s">
        <v>4165</v>
      </c>
    </row>
    <row r="1793" spans="1:2" ht="15.5" x14ac:dyDescent="0.35">
      <c r="A1793" s="1" t="s">
        <v>568</v>
      </c>
      <c r="B1793" s="1" t="s">
        <v>4166</v>
      </c>
    </row>
    <row r="1794" spans="1:2" ht="15.5" x14ac:dyDescent="0.35">
      <c r="A1794" s="1" t="s">
        <v>567</v>
      </c>
      <c r="B1794" s="1" t="s">
        <v>4167</v>
      </c>
    </row>
    <row r="1795" spans="1:2" ht="15.5" x14ac:dyDescent="0.35">
      <c r="A1795" s="1" t="s">
        <v>566</v>
      </c>
      <c r="B1795" s="1" t="s">
        <v>4168</v>
      </c>
    </row>
    <row r="1796" spans="1:2" ht="15.5" x14ac:dyDescent="0.35">
      <c r="A1796" s="1" t="s">
        <v>565</v>
      </c>
      <c r="B1796" s="1" t="s">
        <v>4169</v>
      </c>
    </row>
    <row r="1797" spans="1:2" ht="15.5" x14ac:dyDescent="0.35">
      <c r="A1797" s="1" t="s">
        <v>564</v>
      </c>
      <c r="B1797" s="1" t="s">
        <v>4170</v>
      </c>
    </row>
    <row r="1798" spans="1:2" ht="15.5" x14ac:dyDescent="0.35">
      <c r="A1798" s="1" t="s">
        <v>563</v>
      </c>
      <c r="B1798" s="1" t="s">
        <v>4171</v>
      </c>
    </row>
    <row r="1799" spans="1:2" ht="15.5" x14ac:dyDescent="0.35">
      <c r="A1799" s="1" t="s">
        <v>562</v>
      </c>
      <c r="B1799" s="1" t="s">
        <v>4172</v>
      </c>
    </row>
    <row r="1800" spans="1:2" ht="15.5" x14ac:dyDescent="0.35">
      <c r="A1800" s="1" t="s">
        <v>561</v>
      </c>
      <c r="B1800" s="1" t="s">
        <v>4173</v>
      </c>
    </row>
    <row r="1801" spans="1:2" ht="15.5" x14ac:dyDescent="0.35">
      <c r="A1801" s="1" t="s">
        <v>560</v>
      </c>
      <c r="B1801" s="1" t="s">
        <v>4174</v>
      </c>
    </row>
    <row r="1802" spans="1:2" ht="15.5" x14ac:dyDescent="0.35">
      <c r="A1802" s="1" t="s">
        <v>559</v>
      </c>
      <c r="B1802" s="1" t="s">
        <v>4175</v>
      </c>
    </row>
    <row r="1803" spans="1:2" ht="15.5" x14ac:dyDescent="0.35">
      <c r="A1803" s="1" t="s">
        <v>558</v>
      </c>
      <c r="B1803" s="1" t="s">
        <v>4176</v>
      </c>
    </row>
    <row r="1804" spans="1:2" ht="15.5" x14ac:dyDescent="0.35">
      <c r="A1804" s="1" t="s">
        <v>557</v>
      </c>
      <c r="B1804" s="1" t="s">
        <v>4177</v>
      </c>
    </row>
    <row r="1805" spans="1:2" ht="15.5" x14ac:dyDescent="0.35">
      <c r="A1805" s="1" t="s">
        <v>556</v>
      </c>
      <c r="B1805" s="1" t="s">
        <v>4178</v>
      </c>
    </row>
    <row r="1806" spans="1:2" ht="15.5" x14ac:dyDescent="0.35">
      <c r="A1806" s="1" t="s">
        <v>555</v>
      </c>
      <c r="B1806" s="1" t="s">
        <v>4179</v>
      </c>
    </row>
    <row r="1807" spans="1:2" ht="15.5" x14ac:dyDescent="0.35">
      <c r="A1807" s="1" t="s">
        <v>554</v>
      </c>
      <c r="B1807" s="1" t="s">
        <v>4180</v>
      </c>
    </row>
    <row r="1808" spans="1:2" ht="15.5" x14ac:dyDescent="0.35">
      <c r="A1808" s="1" t="s">
        <v>553</v>
      </c>
      <c r="B1808" s="1" t="s">
        <v>4181</v>
      </c>
    </row>
    <row r="1809" spans="1:2" ht="15.5" x14ac:dyDescent="0.35">
      <c r="A1809" s="1" t="s">
        <v>552</v>
      </c>
      <c r="B1809" s="1" t="s">
        <v>4182</v>
      </c>
    </row>
    <row r="1810" spans="1:2" ht="15.5" x14ac:dyDescent="0.35">
      <c r="A1810" s="1" t="s">
        <v>551</v>
      </c>
      <c r="B1810" s="1" t="s">
        <v>4183</v>
      </c>
    </row>
    <row r="1811" spans="1:2" ht="15.5" x14ac:dyDescent="0.35">
      <c r="A1811" s="1" t="s">
        <v>550</v>
      </c>
      <c r="B1811" s="1" t="s">
        <v>4184</v>
      </c>
    </row>
    <row r="1812" spans="1:2" ht="15.5" x14ac:dyDescent="0.35">
      <c r="A1812" s="1" t="s">
        <v>549</v>
      </c>
      <c r="B1812" s="1" t="s">
        <v>4185</v>
      </c>
    </row>
    <row r="1813" spans="1:2" ht="15.5" x14ac:dyDescent="0.35">
      <c r="A1813" s="1" t="s">
        <v>548</v>
      </c>
      <c r="B1813" s="1" t="s">
        <v>4186</v>
      </c>
    </row>
    <row r="1814" spans="1:2" ht="15.5" x14ac:dyDescent="0.35">
      <c r="A1814" s="1" t="s">
        <v>547</v>
      </c>
      <c r="B1814" s="1" t="s">
        <v>4187</v>
      </c>
    </row>
    <row r="1815" spans="1:2" ht="15.5" x14ac:dyDescent="0.35">
      <c r="A1815" s="1" t="s">
        <v>546</v>
      </c>
      <c r="B1815" s="1" t="s">
        <v>4188</v>
      </c>
    </row>
    <row r="1816" spans="1:2" ht="15.5" x14ac:dyDescent="0.35">
      <c r="A1816" s="1" t="s">
        <v>545</v>
      </c>
      <c r="B1816" s="1" t="s">
        <v>4189</v>
      </c>
    </row>
    <row r="1817" spans="1:2" ht="15.5" x14ac:dyDescent="0.35">
      <c r="A1817" s="1" t="s">
        <v>544</v>
      </c>
      <c r="B1817" s="1" t="s">
        <v>4190</v>
      </c>
    </row>
    <row r="1818" spans="1:2" ht="15.5" x14ac:dyDescent="0.35">
      <c r="A1818" s="1" t="s">
        <v>543</v>
      </c>
      <c r="B1818" s="1" t="s">
        <v>4191</v>
      </c>
    </row>
    <row r="1819" spans="1:2" ht="15.5" x14ac:dyDescent="0.35">
      <c r="A1819" s="1" t="s">
        <v>542</v>
      </c>
      <c r="B1819" s="1" t="s">
        <v>4192</v>
      </c>
    </row>
    <row r="1820" spans="1:2" ht="15.5" x14ac:dyDescent="0.35">
      <c r="A1820" s="1" t="s">
        <v>541</v>
      </c>
      <c r="B1820" s="1" t="s">
        <v>4193</v>
      </c>
    </row>
    <row r="1821" spans="1:2" ht="15.5" x14ac:dyDescent="0.35">
      <c r="A1821" s="1" t="s">
        <v>540</v>
      </c>
      <c r="B1821" s="1" t="s">
        <v>4194</v>
      </c>
    </row>
    <row r="1822" spans="1:2" ht="15.5" x14ac:dyDescent="0.35">
      <c r="A1822" s="1" t="s">
        <v>539</v>
      </c>
      <c r="B1822" s="1" t="s">
        <v>4195</v>
      </c>
    </row>
    <row r="1823" spans="1:2" ht="15.5" x14ac:dyDescent="0.35">
      <c r="A1823" s="1" t="s">
        <v>538</v>
      </c>
      <c r="B1823" s="1" t="s">
        <v>4196</v>
      </c>
    </row>
    <row r="1824" spans="1:2" ht="15.5" x14ac:dyDescent="0.35">
      <c r="A1824" s="1" t="s">
        <v>537</v>
      </c>
      <c r="B1824" s="1" t="s">
        <v>4197</v>
      </c>
    </row>
    <row r="1825" spans="1:2" ht="15.5" x14ac:dyDescent="0.35">
      <c r="A1825" s="1" t="s">
        <v>536</v>
      </c>
      <c r="B1825" s="1" t="s">
        <v>4198</v>
      </c>
    </row>
    <row r="1826" spans="1:2" ht="15.5" x14ac:dyDescent="0.35">
      <c r="A1826" s="1" t="s">
        <v>535</v>
      </c>
      <c r="B1826" s="1" t="s">
        <v>4199</v>
      </c>
    </row>
    <row r="1827" spans="1:2" ht="15.5" x14ac:dyDescent="0.35">
      <c r="A1827" s="1" t="s">
        <v>534</v>
      </c>
      <c r="B1827" s="1" t="s">
        <v>4200</v>
      </c>
    </row>
    <row r="1828" spans="1:2" ht="15.5" x14ac:dyDescent="0.35">
      <c r="A1828" s="1" t="s">
        <v>533</v>
      </c>
      <c r="B1828" s="1" t="s">
        <v>4201</v>
      </c>
    </row>
    <row r="1829" spans="1:2" ht="15.5" x14ac:dyDescent="0.35">
      <c r="A1829" s="1" t="s">
        <v>532</v>
      </c>
      <c r="B1829" s="1" t="s">
        <v>4202</v>
      </c>
    </row>
    <row r="1830" spans="1:2" ht="15.5" x14ac:dyDescent="0.35">
      <c r="A1830" s="1" t="s">
        <v>531</v>
      </c>
      <c r="B1830" s="1" t="s">
        <v>4203</v>
      </c>
    </row>
    <row r="1831" spans="1:2" ht="15.5" x14ac:dyDescent="0.35">
      <c r="A1831" s="1" t="s">
        <v>530</v>
      </c>
      <c r="B1831" s="1" t="s">
        <v>4204</v>
      </c>
    </row>
    <row r="1832" spans="1:2" ht="15.5" x14ac:dyDescent="0.35">
      <c r="A1832" s="1" t="s">
        <v>529</v>
      </c>
      <c r="B1832" s="1" t="s">
        <v>4205</v>
      </c>
    </row>
    <row r="1833" spans="1:2" ht="15.5" x14ac:dyDescent="0.35">
      <c r="A1833" s="1" t="s">
        <v>528</v>
      </c>
      <c r="B1833" s="1" t="s">
        <v>4206</v>
      </c>
    </row>
    <row r="1834" spans="1:2" ht="15.5" x14ac:dyDescent="0.35">
      <c r="A1834" s="1" t="s">
        <v>527</v>
      </c>
      <c r="B1834" s="1" t="s">
        <v>4207</v>
      </c>
    </row>
    <row r="1835" spans="1:2" ht="15.5" x14ac:dyDescent="0.35">
      <c r="A1835" s="1" t="s">
        <v>526</v>
      </c>
      <c r="B1835" s="1" t="s">
        <v>4208</v>
      </c>
    </row>
    <row r="1836" spans="1:2" ht="15.5" x14ac:dyDescent="0.35">
      <c r="A1836" s="1" t="s">
        <v>524</v>
      </c>
      <c r="B1836" s="1" t="s">
        <v>4209</v>
      </c>
    </row>
    <row r="1837" spans="1:2" ht="15.5" x14ac:dyDescent="0.35">
      <c r="A1837" s="1" t="s">
        <v>523</v>
      </c>
      <c r="B1837" s="1" t="s">
        <v>4210</v>
      </c>
    </row>
    <row r="1838" spans="1:2" ht="15.5" x14ac:dyDescent="0.35">
      <c r="A1838" s="1" t="s">
        <v>522</v>
      </c>
      <c r="B1838" s="1" t="s">
        <v>4211</v>
      </c>
    </row>
    <row r="1839" spans="1:2" ht="15.5" x14ac:dyDescent="0.35">
      <c r="A1839" s="1" t="s">
        <v>521</v>
      </c>
      <c r="B1839" s="1" t="s">
        <v>4212</v>
      </c>
    </row>
    <row r="1840" spans="1:2" ht="15.5" x14ac:dyDescent="0.35">
      <c r="A1840" s="1" t="s">
        <v>520</v>
      </c>
      <c r="B1840" s="1" t="s">
        <v>4213</v>
      </c>
    </row>
    <row r="1841" spans="1:2" ht="15.5" x14ac:dyDescent="0.35">
      <c r="A1841" s="1" t="s">
        <v>519</v>
      </c>
      <c r="B1841" s="1" t="s">
        <v>4214</v>
      </c>
    </row>
    <row r="1842" spans="1:2" ht="15.5" x14ac:dyDescent="0.35">
      <c r="A1842" s="1" t="s">
        <v>518</v>
      </c>
      <c r="B1842" s="1" t="s">
        <v>4215</v>
      </c>
    </row>
    <row r="1843" spans="1:2" ht="15.5" x14ac:dyDescent="0.35">
      <c r="A1843" s="1" t="s">
        <v>517</v>
      </c>
      <c r="B1843" s="1" t="s">
        <v>4216</v>
      </c>
    </row>
    <row r="1844" spans="1:2" ht="15.5" x14ac:dyDescent="0.35">
      <c r="A1844" s="1" t="s">
        <v>516</v>
      </c>
      <c r="B1844" s="1" t="s">
        <v>4217</v>
      </c>
    </row>
    <row r="1845" spans="1:2" ht="15.5" x14ac:dyDescent="0.35">
      <c r="A1845" s="1" t="s">
        <v>515</v>
      </c>
      <c r="B1845" s="1" t="s">
        <v>4218</v>
      </c>
    </row>
    <row r="1846" spans="1:2" ht="15.5" x14ac:dyDescent="0.35">
      <c r="A1846" s="1" t="s">
        <v>514</v>
      </c>
      <c r="B1846" s="1" t="s">
        <v>4219</v>
      </c>
    </row>
    <row r="1847" spans="1:2" ht="15.5" x14ac:dyDescent="0.35">
      <c r="A1847" s="1" t="s">
        <v>513</v>
      </c>
      <c r="B1847" s="1" t="s">
        <v>4220</v>
      </c>
    </row>
    <row r="1848" spans="1:2" ht="15.5" x14ac:dyDescent="0.35">
      <c r="A1848" s="1" t="s">
        <v>512</v>
      </c>
      <c r="B1848" s="1" t="s">
        <v>4221</v>
      </c>
    </row>
    <row r="1849" spans="1:2" ht="15.5" x14ac:dyDescent="0.35">
      <c r="A1849" s="1" t="s">
        <v>511</v>
      </c>
      <c r="B1849" s="1" t="s">
        <v>4222</v>
      </c>
    </row>
    <row r="1850" spans="1:2" ht="15.5" x14ac:dyDescent="0.35">
      <c r="A1850" s="1" t="s">
        <v>510</v>
      </c>
      <c r="B1850" s="1" t="s">
        <v>4223</v>
      </c>
    </row>
    <row r="1851" spans="1:2" ht="15.5" x14ac:dyDescent="0.35">
      <c r="A1851" s="1" t="s">
        <v>509</v>
      </c>
      <c r="B1851" s="1" t="s">
        <v>4224</v>
      </c>
    </row>
    <row r="1852" spans="1:2" ht="15.5" x14ac:dyDescent="0.35">
      <c r="A1852" s="1" t="s">
        <v>508</v>
      </c>
      <c r="B1852" s="1" t="s">
        <v>4225</v>
      </c>
    </row>
    <row r="1853" spans="1:2" ht="15.5" x14ac:dyDescent="0.35">
      <c r="A1853" s="1" t="s">
        <v>507</v>
      </c>
      <c r="B1853" s="1" t="s">
        <v>4226</v>
      </c>
    </row>
    <row r="1854" spans="1:2" ht="15.5" x14ac:dyDescent="0.35">
      <c r="A1854" s="1" t="s">
        <v>505</v>
      </c>
      <c r="B1854" s="1" t="s">
        <v>4227</v>
      </c>
    </row>
    <row r="1855" spans="1:2" ht="15.5" x14ac:dyDescent="0.35">
      <c r="A1855" s="1" t="s">
        <v>504</v>
      </c>
      <c r="B1855" s="1" t="s">
        <v>4228</v>
      </c>
    </row>
    <row r="1856" spans="1:2" ht="15.5" x14ac:dyDescent="0.35">
      <c r="A1856" s="1" t="s">
        <v>503</v>
      </c>
      <c r="B1856" s="1" t="s">
        <v>4229</v>
      </c>
    </row>
    <row r="1857" spans="1:2" ht="15.5" x14ac:dyDescent="0.35">
      <c r="A1857" s="1" t="s">
        <v>502</v>
      </c>
      <c r="B1857" s="1" t="s">
        <v>4230</v>
      </c>
    </row>
    <row r="1858" spans="1:2" ht="15.5" x14ac:dyDescent="0.35">
      <c r="A1858" s="1" t="s">
        <v>501</v>
      </c>
      <c r="B1858" s="1" t="s">
        <v>4231</v>
      </c>
    </row>
    <row r="1859" spans="1:2" ht="15.5" x14ac:dyDescent="0.35">
      <c r="A1859" s="1" t="s">
        <v>500</v>
      </c>
      <c r="B1859" s="1" t="s">
        <v>4232</v>
      </c>
    </row>
    <row r="1860" spans="1:2" ht="15.5" x14ac:dyDescent="0.35">
      <c r="A1860" s="1" t="s">
        <v>499</v>
      </c>
      <c r="B1860" s="1" t="s">
        <v>4233</v>
      </c>
    </row>
    <row r="1861" spans="1:2" ht="15.5" x14ac:dyDescent="0.35">
      <c r="A1861" s="1" t="s">
        <v>498</v>
      </c>
      <c r="B1861" s="1" t="s">
        <v>4234</v>
      </c>
    </row>
    <row r="1862" spans="1:2" ht="15.5" x14ac:dyDescent="0.35">
      <c r="A1862" s="1" t="s">
        <v>497</v>
      </c>
      <c r="B1862" s="1" t="s">
        <v>4235</v>
      </c>
    </row>
    <row r="1863" spans="1:2" ht="15.5" x14ac:dyDescent="0.35">
      <c r="A1863" s="1" t="s">
        <v>496</v>
      </c>
      <c r="B1863" s="1" t="s">
        <v>4236</v>
      </c>
    </row>
    <row r="1864" spans="1:2" ht="15.5" x14ac:dyDescent="0.35">
      <c r="A1864" s="1" t="s">
        <v>495</v>
      </c>
      <c r="B1864" s="1" t="s">
        <v>4237</v>
      </c>
    </row>
    <row r="1865" spans="1:2" ht="15.5" x14ac:dyDescent="0.35">
      <c r="A1865" s="1" t="s">
        <v>494</v>
      </c>
      <c r="B1865" s="1" t="s">
        <v>4238</v>
      </c>
    </row>
    <row r="1866" spans="1:2" ht="15.5" x14ac:dyDescent="0.35">
      <c r="A1866" s="1" t="s">
        <v>493</v>
      </c>
      <c r="B1866" s="1" t="s">
        <v>4239</v>
      </c>
    </row>
    <row r="1867" spans="1:2" ht="15.5" x14ac:dyDescent="0.35">
      <c r="A1867" s="1" t="s">
        <v>492</v>
      </c>
      <c r="B1867" s="1" t="s">
        <v>4240</v>
      </c>
    </row>
    <row r="1868" spans="1:2" ht="15.5" x14ac:dyDescent="0.35">
      <c r="A1868" s="1" t="s">
        <v>491</v>
      </c>
      <c r="B1868" s="1" t="s">
        <v>4241</v>
      </c>
    </row>
    <row r="1869" spans="1:2" ht="15.5" x14ac:dyDescent="0.35">
      <c r="A1869" s="1" t="s">
        <v>490</v>
      </c>
      <c r="B1869" s="1" t="s">
        <v>4242</v>
      </c>
    </row>
    <row r="1870" spans="1:2" ht="15.5" x14ac:dyDescent="0.35">
      <c r="A1870" s="1" t="s">
        <v>489</v>
      </c>
      <c r="B1870" s="1" t="s">
        <v>4243</v>
      </c>
    </row>
    <row r="1871" spans="1:2" ht="15.5" x14ac:dyDescent="0.35">
      <c r="A1871" s="1" t="s">
        <v>488</v>
      </c>
      <c r="B1871" s="1" t="s">
        <v>4244</v>
      </c>
    </row>
    <row r="1872" spans="1:2" ht="15.5" x14ac:dyDescent="0.35">
      <c r="A1872" s="1" t="s">
        <v>487</v>
      </c>
      <c r="B1872" s="1" t="s">
        <v>4245</v>
      </c>
    </row>
    <row r="1873" spans="1:2" ht="15.5" x14ac:dyDescent="0.35">
      <c r="A1873" s="1" t="s">
        <v>486</v>
      </c>
      <c r="B1873" s="1" t="s">
        <v>4246</v>
      </c>
    </row>
    <row r="1874" spans="1:2" ht="15.5" x14ac:dyDescent="0.35">
      <c r="A1874" s="1" t="s">
        <v>485</v>
      </c>
      <c r="B1874" s="1" t="s">
        <v>4247</v>
      </c>
    </row>
    <row r="1875" spans="1:2" ht="15.5" x14ac:dyDescent="0.35">
      <c r="A1875" s="1" t="s">
        <v>484</v>
      </c>
      <c r="B1875" s="1" t="s">
        <v>4248</v>
      </c>
    </row>
    <row r="1876" spans="1:2" ht="15.5" x14ac:dyDescent="0.35">
      <c r="A1876" s="1" t="s">
        <v>483</v>
      </c>
      <c r="B1876" s="1" t="s">
        <v>4249</v>
      </c>
    </row>
    <row r="1877" spans="1:2" ht="15.5" x14ac:dyDescent="0.35">
      <c r="A1877" s="1" t="s">
        <v>482</v>
      </c>
      <c r="B1877" s="1" t="s">
        <v>4250</v>
      </c>
    </row>
    <row r="1878" spans="1:2" ht="15.5" x14ac:dyDescent="0.35">
      <c r="A1878" s="1" t="s">
        <v>481</v>
      </c>
      <c r="B1878" s="1" t="s">
        <v>4251</v>
      </c>
    </row>
    <row r="1879" spans="1:2" ht="15.5" x14ac:dyDescent="0.35">
      <c r="A1879" s="1" t="s">
        <v>480</v>
      </c>
      <c r="B1879" s="1" t="s">
        <v>4252</v>
      </c>
    </row>
    <row r="1880" spans="1:2" ht="15.5" x14ac:dyDescent="0.35">
      <c r="A1880" s="1" t="s">
        <v>479</v>
      </c>
      <c r="B1880" s="1" t="s">
        <v>4253</v>
      </c>
    </row>
    <row r="1881" spans="1:2" ht="15.5" x14ac:dyDescent="0.35">
      <c r="A1881" s="1" t="s">
        <v>478</v>
      </c>
      <c r="B1881" s="1" t="s">
        <v>4254</v>
      </c>
    </row>
    <row r="1882" spans="1:2" ht="15.5" x14ac:dyDescent="0.35">
      <c r="A1882" s="1" t="s">
        <v>477</v>
      </c>
      <c r="B1882" s="1" t="s">
        <v>4255</v>
      </c>
    </row>
    <row r="1883" spans="1:2" ht="15.5" x14ac:dyDescent="0.35">
      <c r="A1883" s="1" t="s">
        <v>476</v>
      </c>
      <c r="B1883" s="1" t="s">
        <v>4256</v>
      </c>
    </row>
    <row r="1884" spans="1:2" ht="15.5" x14ac:dyDescent="0.35">
      <c r="A1884" s="1" t="s">
        <v>475</v>
      </c>
      <c r="B1884" s="1" t="s">
        <v>4257</v>
      </c>
    </row>
    <row r="1885" spans="1:2" ht="15.5" x14ac:dyDescent="0.35">
      <c r="A1885" s="1" t="s">
        <v>474</v>
      </c>
      <c r="B1885" s="1" t="s">
        <v>4258</v>
      </c>
    </row>
    <row r="1886" spans="1:2" ht="15.5" x14ac:dyDescent="0.35">
      <c r="A1886" s="1" t="s">
        <v>473</v>
      </c>
      <c r="B1886" s="1" t="s">
        <v>4259</v>
      </c>
    </row>
    <row r="1887" spans="1:2" ht="15.5" x14ac:dyDescent="0.35">
      <c r="A1887" s="1" t="s">
        <v>472</v>
      </c>
      <c r="B1887" s="1" t="s">
        <v>4260</v>
      </c>
    </row>
    <row r="1888" spans="1:2" ht="15.5" x14ac:dyDescent="0.35">
      <c r="A1888" s="1" t="s">
        <v>471</v>
      </c>
      <c r="B1888" s="1" t="s">
        <v>4261</v>
      </c>
    </row>
    <row r="1889" spans="1:2" ht="15.5" x14ac:dyDescent="0.35">
      <c r="A1889" s="1" t="s">
        <v>470</v>
      </c>
      <c r="B1889" s="1" t="s">
        <v>4262</v>
      </c>
    </row>
    <row r="1890" spans="1:2" ht="15.5" x14ac:dyDescent="0.35">
      <c r="A1890" s="1" t="s">
        <v>469</v>
      </c>
      <c r="B1890" s="1" t="s">
        <v>4263</v>
      </c>
    </row>
    <row r="1891" spans="1:2" ht="15.5" x14ac:dyDescent="0.35">
      <c r="A1891" s="1" t="s">
        <v>468</v>
      </c>
      <c r="B1891" s="1" t="s">
        <v>4264</v>
      </c>
    </row>
    <row r="1892" spans="1:2" ht="15.5" x14ac:dyDescent="0.35">
      <c r="A1892" s="1" t="s">
        <v>467</v>
      </c>
      <c r="B1892" s="1" t="s">
        <v>4265</v>
      </c>
    </row>
    <row r="1893" spans="1:2" ht="15.5" x14ac:dyDescent="0.35">
      <c r="A1893" s="1" t="s">
        <v>466</v>
      </c>
      <c r="B1893" s="1" t="s">
        <v>4266</v>
      </c>
    </row>
    <row r="1894" spans="1:2" ht="15.5" x14ac:dyDescent="0.35">
      <c r="A1894" s="1" t="s">
        <v>465</v>
      </c>
      <c r="B1894" s="1" t="s">
        <v>4267</v>
      </c>
    </row>
    <row r="1895" spans="1:2" ht="15.5" x14ac:dyDescent="0.35">
      <c r="A1895" s="1" t="s">
        <v>464</v>
      </c>
      <c r="B1895" s="1" t="s">
        <v>4268</v>
      </c>
    </row>
    <row r="1896" spans="1:2" ht="15.5" x14ac:dyDescent="0.35">
      <c r="A1896" s="1" t="s">
        <v>463</v>
      </c>
      <c r="B1896" s="1" t="s">
        <v>4269</v>
      </c>
    </row>
    <row r="1897" spans="1:2" ht="15.5" x14ac:dyDescent="0.35">
      <c r="A1897" s="1" t="s">
        <v>462</v>
      </c>
      <c r="B1897" s="1" t="s">
        <v>4270</v>
      </c>
    </row>
    <row r="1898" spans="1:2" ht="15.5" x14ac:dyDescent="0.35">
      <c r="A1898" s="1" t="s">
        <v>461</v>
      </c>
      <c r="B1898" s="1" t="s">
        <v>4271</v>
      </c>
    </row>
    <row r="1899" spans="1:2" ht="15.5" x14ac:dyDescent="0.35">
      <c r="A1899" s="1" t="s">
        <v>460</v>
      </c>
      <c r="B1899" s="1" t="s">
        <v>4272</v>
      </c>
    </row>
    <row r="1900" spans="1:2" ht="15.5" x14ac:dyDescent="0.35">
      <c r="A1900" s="1" t="s">
        <v>459</v>
      </c>
      <c r="B1900" s="1" t="s">
        <v>4273</v>
      </c>
    </row>
    <row r="1901" spans="1:2" ht="15.5" x14ac:dyDescent="0.35">
      <c r="A1901" s="1" t="s">
        <v>458</v>
      </c>
      <c r="B1901" s="1" t="s">
        <v>4274</v>
      </c>
    </row>
    <row r="1902" spans="1:2" ht="15.5" x14ac:dyDescent="0.35">
      <c r="A1902" s="1" t="s">
        <v>457</v>
      </c>
      <c r="B1902" s="1" t="s">
        <v>4275</v>
      </c>
    </row>
    <row r="1903" spans="1:2" ht="15.5" x14ac:dyDescent="0.35">
      <c r="A1903" s="1" t="s">
        <v>456</v>
      </c>
      <c r="B1903" s="1" t="s">
        <v>4276</v>
      </c>
    </row>
    <row r="1904" spans="1:2" ht="15.5" x14ac:dyDescent="0.35">
      <c r="A1904" s="1" t="s">
        <v>455</v>
      </c>
      <c r="B1904" s="1" t="s">
        <v>4277</v>
      </c>
    </row>
    <row r="1905" spans="1:2" ht="15.5" x14ac:dyDescent="0.35">
      <c r="A1905" s="1" t="s">
        <v>454</v>
      </c>
      <c r="B1905" s="1" t="s">
        <v>4278</v>
      </c>
    </row>
    <row r="1906" spans="1:2" ht="15.5" x14ac:dyDescent="0.35">
      <c r="A1906" s="1" t="s">
        <v>453</v>
      </c>
      <c r="B1906" s="1" t="s">
        <v>4279</v>
      </c>
    </row>
    <row r="1907" spans="1:2" ht="15.5" x14ac:dyDescent="0.35">
      <c r="A1907" s="1" t="s">
        <v>452</v>
      </c>
      <c r="B1907" s="1" t="s">
        <v>4280</v>
      </c>
    </row>
    <row r="1908" spans="1:2" ht="15.5" x14ac:dyDescent="0.35">
      <c r="A1908" s="1" t="s">
        <v>451</v>
      </c>
      <c r="B1908" s="1" t="s">
        <v>4281</v>
      </c>
    </row>
    <row r="1909" spans="1:2" ht="15.5" x14ac:dyDescent="0.35">
      <c r="A1909" s="1" t="s">
        <v>450</v>
      </c>
      <c r="B1909" s="1" t="s">
        <v>4282</v>
      </c>
    </row>
    <row r="1910" spans="1:2" ht="15.5" x14ac:dyDescent="0.35">
      <c r="A1910" s="1" t="s">
        <v>449</v>
      </c>
      <c r="B1910" s="1" t="s">
        <v>4283</v>
      </c>
    </row>
    <row r="1911" spans="1:2" ht="15.5" x14ac:dyDescent="0.35">
      <c r="A1911" s="1" t="s">
        <v>448</v>
      </c>
      <c r="B1911" s="1" t="s">
        <v>4284</v>
      </c>
    </row>
    <row r="1912" spans="1:2" ht="15.5" x14ac:dyDescent="0.35">
      <c r="A1912" s="1" t="s">
        <v>447</v>
      </c>
      <c r="B1912" s="1" t="s">
        <v>4285</v>
      </c>
    </row>
    <row r="1913" spans="1:2" ht="15.5" x14ac:dyDescent="0.35">
      <c r="A1913" s="1" t="s">
        <v>446</v>
      </c>
      <c r="B1913" s="1" t="s">
        <v>4286</v>
      </c>
    </row>
    <row r="1914" spans="1:2" ht="15.5" x14ac:dyDescent="0.35">
      <c r="A1914" s="1" t="s">
        <v>445</v>
      </c>
      <c r="B1914" s="1" t="s">
        <v>4287</v>
      </c>
    </row>
    <row r="1915" spans="1:2" ht="15.5" x14ac:dyDescent="0.35">
      <c r="A1915" s="1" t="s">
        <v>444</v>
      </c>
      <c r="B1915" s="1" t="s">
        <v>4288</v>
      </c>
    </row>
    <row r="1916" spans="1:2" ht="15.5" x14ac:dyDescent="0.35">
      <c r="A1916" s="1" t="s">
        <v>443</v>
      </c>
      <c r="B1916" s="1" t="s">
        <v>4289</v>
      </c>
    </row>
    <row r="1917" spans="1:2" ht="15.5" x14ac:dyDescent="0.35">
      <c r="A1917" s="1" t="s">
        <v>442</v>
      </c>
      <c r="B1917" s="1" t="s">
        <v>4290</v>
      </c>
    </row>
    <row r="1918" spans="1:2" ht="15.5" x14ac:dyDescent="0.35">
      <c r="A1918" s="1" t="s">
        <v>441</v>
      </c>
      <c r="B1918" s="1" t="s">
        <v>4291</v>
      </c>
    </row>
    <row r="1919" spans="1:2" ht="15.5" x14ac:dyDescent="0.35">
      <c r="A1919" s="1" t="s">
        <v>440</v>
      </c>
      <c r="B1919" s="1" t="s">
        <v>4292</v>
      </c>
    </row>
    <row r="1920" spans="1:2" ht="15.5" x14ac:dyDescent="0.35">
      <c r="A1920" s="1" t="s">
        <v>439</v>
      </c>
      <c r="B1920" s="1" t="s">
        <v>4293</v>
      </c>
    </row>
    <row r="1921" spans="1:2" ht="15.5" x14ac:dyDescent="0.35">
      <c r="A1921" s="1" t="s">
        <v>438</v>
      </c>
      <c r="B1921" s="1" t="s">
        <v>4294</v>
      </c>
    </row>
    <row r="1922" spans="1:2" ht="15.5" x14ac:dyDescent="0.35">
      <c r="A1922" s="1" t="s">
        <v>437</v>
      </c>
      <c r="B1922" s="1" t="s">
        <v>4295</v>
      </c>
    </row>
    <row r="1923" spans="1:2" ht="15.5" x14ac:dyDescent="0.35">
      <c r="A1923" s="1" t="s">
        <v>436</v>
      </c>
      <c r="B1923" s="1" t="s">
        <v>4296</v>
      </c>
    </row>
    <row r="1924" spans="1:2" ht="15.5" x14ac:dyDescent="0.35">
      <c r="A1924" s="1" t="s">
        <v>435</v>
      </c>
      <c r="B1924" s="1" t="s">
        <v>4297</v>
      </c>
    </row>
    <row r="1925" spans="1:2" ht="15.5" x14ac:dyDescent="0.35">
      <c r="A1925" s="1" t="s">
        <v>434</v>
      </c>
      <c r="B1925" s="1" t="s">
        <v>4298</v>
      </c>
    </row>
    <row r="1926" spans="1:2" ht="15.5" x14ac:dyDescent="0.35">
      <c r="A1926" s="1" t="s">
        <v>433</v>
      </c>
      <c r="B1926" s="1" t="s">
        <v>4299</v>
      </c>
    </row>
    <row r="1927" spans="1:2" ht="15.5" x14ac:dyDescent="0.35">
      <c r="A1927" s="1" t="s">
        <v>432</v>
      </c>
      <c r="B1927" s="1" t="s">
        <v>4300</v>
      </c>
    </row>
    <row r="1928" spans="1:2" ht="15.5" x14ac:dyDescent="0.35">
      <c r="A1928" s="1" t="s">
        <v>431</v>
      </c>
      <c r="B1928" s="1" t="s">
        <v>4301</v>
      </c>
    </row>
    <row r="1929" spans="1:2" ht="15.5" x14ac:dyDescent="0.35">
      <c r="A1929" s="1" t="s">
        <v>430</v>
      </c>
      <c r="B1929" s="1" t="s">
        <v>4302</v>
      </c>
    </row>
    <row r="1930" spans="1:2" ht="15.5" x14ac:dyDescent="0.35">
      <c r="A1930" s="1" t="s">
        <v>429</v>
      </c>
      <c r="B1930" s="1" t="s">
        <v>4303</v>
      </c>
    </row>
    <row r="1931" spans="1:2" ht="15.5" x14ac:dyDescent="0.35">
      <c r="A1931" s="1" t="s">
        <v>428</v>
      </c>
      <c r="B1931" s="1" t="s">
        <v>4304</v>
      </c>
    </row>
    <row r="1932" spans="1:2" ht="15.5" x14ac:dyDescent="0.35">
      <c r="A1932" s="1" t="s">
        <v>427</v>
      </c>
      <c r="B1932" s="1" t="s">
        <v>4305</v>
      </c>
    </row>
    <row r="1933" spans="1:2" ht="15.5" x14ac:dyDescent="0.35">
      <c r="A1933" s="1" t="s">
        <v>426</v>
      </c>
      <c r="B1933" s="1" t="s">
        <v>4306</v>
      </c>
    </row>
    <row r="1934" spans="1:2" ht="15.5" x14ac:dyDescent="0.35">
      <c r="A1934" s="1" t="s">
        <v>425</v>
      </c>
      <c r="B1934" s="1" t="s">
        <v>4307</v>
      </c>
    </row>
    <row r="1935" spans="1:2" ht="15.5" x14ac:dyDescent="0.35">
      <c r="A1935" s="1" t="s">
        <v>424</v>
      </c>
      <c r="B1935" s="1" t="s">
        <v>4308</v>
      </c>
    </row>
    <row r="1936" spans="1:2" ht="15.5" x14ac:dyDescent="0.35">
      <c r="A1936" s="1" t="s">
        <v>423</v>
      </c>
      <c r="B1936" s="1" t="s">
        <v>4309</v>
      </c>
    </row>
    <row r="1937" spans="1:2" ht="15.5" x14ac:dyDescent="0.35">
      <c r="A1937" s="1" t="s">
        <v>422</v>
      </c>
      <c r="B1937" s="1" t="s">
        <v>4310</v>
      </c>
    </row>
    <row r="1938" spans="1:2" ht="15.5" x14ac:dyDescent="0.35">
      <c r="A1938" s="1" t="s">
        <v>421</v>
      </c>
      <c r="B1938" s="1" t="s">
        <v>4311</v>
      </c>
    </row>
    <row r="1939" spans="1:2" ht="15.5" x14ac:dyDescent="0.35">
      <c r="A1939" s="1" t="s">
        <v>420</v>
      </c>
      <c r="B1939" s="1" t="s">
        <v>4312</v>
      </c>
    </row>
    <row r="1940" spans="1:2" ht="15.5" x14ac:dyDescent="0.35">
      <c r="A1940" s="1" t="s">
        <v>419</v>
      </c>
      <c r="B1940" s="1" t="s">
        <v>4313</v>
      </c>
    </row>
    <row r="1941" spans="1:2" ht="15.5" x14ac:dyDescent="0.35">
      <c r="A1941" s="1" t="s">
        <v>418</v>
      </c>
      <c r="B1941" s="1" t="s">
        <v>4314</v>
      </c>
    </row>
    <row r="1942" spans="1:2" ht="15.5" x14ac:dyDescent="0.35">
      <c r="A1942" s="1" t="s">
        <v>417</v>
      </c>
      <c r="B1942" s="1" t="s">
        <v>4315</v>
      </c>
    </row>
    <row r="1943" spans="1:2" ht="15.5" x14ac:dyDescent="0.35">
      <c r="A1943" s="1" t="s">
        <v>416</v>
      </c>
      <c r="B1943" s="1" t="s">
        <v>4316</v>
      </c>
    </row>
    <row r="1944" spans="1:2" ht="15.5" x14ac:dyDescent="0.35">
      <c r="A1944" s="1" t="s">
        <v>415</v>
      </c>
      <c r="B1944" s="1" t="s">
        <v>4317</v>
      </c>
    </row>
    <row r="1945" spans="1:2" ht="15.5" x14ac:dyDescent="0.35">
      <c r="A1945" s="1" t="s">
        <v>414</v>
      </c>
      <c r="B1945" s="1" t="s">
        <v>4318</v>
      </c>
    </row>
    <row r="1946" spans="1:2" ht="15.5" x14ac:dyDescent="0.35">
      <c r="A1946" s="1" t="s">
        <v>413</v>
      </c>
      <c r="B1946" s="1" t="s">
        <v>4319</v>
      </c>
    </row>
    <row r="1947" spans="1:2" ht="15.5" x14ac:dyDescent="0.35">
      <c r="A1947" s="1" t="s">
        <v>412</v>
      </c>
      <c r="B1947" s="1" t="s">
        <v>4320</v>
      </c>
    </row>
    <row r="1948" spans="1:2" ht="15.5" x14ac:dyDescent="0.35">
      <c r="A1948" s="1" t="s">
        <v>411</v>
      </c>
      <c r="B1948" s="1" t="s">
        <v>4321</v>
      </c>
    </row>
    <row r="1949" spans="1:2" ht="15.5" x14ac:dyDescent="0.35">
      <c r="A1949" s="1" t="s">
        <v>410</v>
      </c>
      <c r="B1949" s="1" t="s">
        <v>4322</v>
      </c>
    </row>
    <row r="1950" spans="1:2" ht="15.5" x14ac:dyDescent="0.35">
      <c r="A1950" s="1" t="s">
        <v>409</v>
      </c>
      <c r="B1950" s="1" t="s">
        <v>4323</v>
      </c>
    </row>
    <row r="1951" spans="1:2" ht="15.5" x14ac:dyDescent="0.35">
      <c r="A1951" s="1" t="s">
        <v>408</v>
      </c>
      <c r="B1951" s="1" t="s">
        <v>4324</v>
      </c>
    </row>
    <row r="1952" spans="1:2" ht="15.5" x14ac:dyDescent="0.35">
      <c r="A1952" s="1" t="s">
        <v>407</v>
      </c>
      <c r="B1952" s="1" t="s">
        <v>4325</v>
      </c>
    </row>
    <row r="1953" spans="1:2" ht="15.5" x14ac:dyDescent="0.35">
      <c r="A1953" s="1" t="s">
        <v>406</v>
      </c>
      <c r="B1953" s="1" t="s">
        <v>4326</v>
      </c>
    </row>
    <row r="1954" spans="1:2" ht="15.5" x14ac:dyDescent="0.35">
      <c r="A1954" s="1" t="s">
        <v>405</v>
      </c>
      <c r="B1954" s="1" t="s">
        <v>4327</v>
      </c>
    </row>
    <row r="1955" spans="1:2" ht="15.5" x14ac:dyDescent="0.35">
      <c r="A1955" s="1" t="s">
        <v>404</v>
      </c>
      <c r="B1955" s="1" t="s">
        <v>4328</v>
      </c>
    </row>
    <row r="1956" spans="1:2" ht="15.5" x14ac:dyDescent="0.35">
      <c r="A1956" s="1" t="s">
        <v>403</v>
      </c>
      <c r="B1956" s="1" t="s">
        <v>4329</v>
      </c>
    </row>
    <row r="1957" spans="1:2" ht="15.5" x14ac:dyDescent="0.35">
      <c r="A1957" s="1" t="s">
        <v>402</v>
      </c>
      <c r="B1957" s="1" t="s">
        <v>4330</v>
      </c>
    </row>
    <row r="1958" spans="1:2" ht="15.5" x14ac:dyDescent="0.35">
      <c r="A1958" s="1" t="s">
        <v>401</v>
      </c>
      <c r="B1958" s="1" t="s">
        <v>4331</v>
      </c>
    </row>
    <row r="1959" spans="1:2" ht="15.5" x14ac:dyDescent="0.35">
      <c r="A1959" s="1" t="s">
        <v>400</v>
      </c>
      <c r="B1959" s="1" t="s">
        <v>4332</v>
      </c>
    </row>
    <row r="1960" spans="1:2" ht="15.5" x14ac:dyDescent="0.35">
      <c r="A1960" s="1" t="s">
        <v>399</v>
      </c>
      <c r="B1960" s="1" t="s">
        <v>4333</v>
      </c>
    </row>
    <row r="1961" spans="1:2" ht="15.5" x14ac:dyDescent="0.35">
      <c r="A1961" s="1" t="s">
        <v>398</v>
      </c>
      <c r="B1961" s="1" t="s">
        <v>4334</v>
      </c>
    </row>
    <row r="1962" spans="1:2" ht="15.5" x14ac:dyDescent="0.35">
      <c r="A1962" s="1" t="s">
        <v>397</v>
      </c>
      <c r="B1962" s="1" t="s">
        <v>4335</v>
      </c>
    </row>
    <row r="1963" spans="1:2" ht="15.5" x14ac:dyDescent="0.35">
      <c r="A1963" s="1" t="s">
        <v>396</v>
      </c>
      <c r="B1963" s="1" t="s">
        <v>4336</v>
      </c>
    </row>
    <row r="1964" spans="1:2" ht="15.5" x14ac:dyDescent="0.35">
      <c r="A1964" s="1" t="s">
        <v>395</v>
      </c>
      <c r="B1964" s="1" t="s">
        <v>4337</v>
      </c>
    </row>
    <row r="1965" spans="1:2" ht="15.5" x14ac:dyDescent="0.35">
      <c r="A1965" s="1" t="s">
        <v>394</v>
      </c>
      <c r="B1965" s="1" t="s">
        <v>4338</v>
      </c>
    </row>
    <row r="1966" spans="1:2" ht="15.5" x14ac:dyDescent="0.35">
      <c r="A1966" s="1" t="s">
        <v>393</v>
      </c>
      <c r="B1966" s="1" t="s">
        <v>4339</v>
      </c>
    </row>
    <row r="1967" spans="1:2" ht="15.5" x14ac:dyDescent="0.35">
      <c r="A1967" s="1" t="s">
        <v>392</v>
      </c>
      <c r="B1967" s="1" t="s">
        <v>4340</v>
      </c>
    </row>
    <row r="1968" spans="1:2" ht="15.5" x14ac:dyDescent="0.35">
      <c r="A1968" s="1" t="s">
        <v>391</v>
      </c>
      <c r="B1968" s="1" t="s">
        <v>4341</v>
      </c>
    </row>
    <row r="1969" spans="1:2" ht="15.5" x14ac:dyDescent="0.35">
      <c r="A1969" s="1" t="s">
        <v>390</v>
      </c>
      <c r="B1969" s="1" t="s">
        <v>4342</v>
      </c>
    </row>
    <row r="1970" spans="1:2" ht="15.5" x14ac:dyDescent="0.35">
      <c r="A1970" s="1" t="s">
        <v>389</v>
      </c>
      <c r="B1970" s="1" t="s">
        <v>4343</v>
      </c>
    </row>
    <row r="1971" spans="1:2" ht="15.5" x14ac:dyDescent="0.35">
      <c r="A1971" s="1" t="s">
        <v>388</v>
      </c>
      <c r="B1971" s="1" t="s">
        <v>4344</v>
      </c>
    </row>
    <row r="1972" spans="1:2" ht="15.5" x14ac:dyDescent="0.35">
      <c r="A1972" s="1" t="s">
        <v>387</v>
      </c>
      <c r="B1972" s="1" t="s">
        <v>4345</v>
      </c>
    </row>
    <row r="1973" spans="1:2" ht="15.5" x14ac:dyDescent="0.35">
      <c r="A1973" s="1" t="s">
        <v>386</v>
      </c>
      <c r="B1973" s="1" t="s">
        <v>4346</v>
      </c>
    </row>
    <row r="1974" spans="1:2" ht="15.5" x14ac:dyDescent="0.35">
      <c r="A1974" s="1" t="s">
        <v>385</v>
      </c>
      <c r="B1974" s="1" t="s">
        <v>4347</v>
      </c>
    </row>
    <row r="1975" spans="1:2" ht="15.5" x14ac:dyDescent="0.35">
      <c r="A1975" s="1" t="s">
        <v>384</v>
      </c>
      <c r="B1975" s="1" t="s">
        <v>4348</v>
      </c>
    </row>
    <row r="1976" spans="1:2" ht="15.5" x14ac:dyDescent="0.35">
      <c r="A1976" s="1" t="s">
        <v>383</v>
      </c>
      <c r="B1976" s="1" t="s">
        <v>4349</v>
      </c>
    </row>
    <row r="1977" spans="1:2" ht="15.5" x14ac:dyDescent="0.35">
      <c r="A1977" s="1" t="s">
        <v>382</v>
      </c>
      <c r="B1977" s="1" t="s">
        <v>4350</v>
      </c>
    </row>
    <row r="1978" spans="1:2" ht="15.5" x14ac:dyDescent="0.35">
      <c r="A1978" s="1" t="s">
        <v>381</v>
      </c>
      <c r="B1978" s="1" t="s">
        <v>4351</v>
      </c>
    </row>
    <row r="1979" spans="1:2" ht="15.5" x14ac:dyDescent="0.35">
      <c r="A1979" s="1" t="s">
        <v>380</v>
      </c>
      <c r="B1979" s="1" t="s">
        <v>4352</v>
      </c>
    </row>
    <row r="1980" spans="1:2" ht="15.5" x14ac:dyDescent="0.35">
      <c r="A1980" s="1" t="s">
        <v>379</v>
      </c>
      <c r="B1980" s="1" t="s">
        <v>4353</v>
      </c>
    </row>
    <row r="1981" spans="1:2" ht="15.5" x14ac:dyDescent="0.35">
      <c r="A1981" s="1" t="s">
        <v>378</v>
      </c>
      <c r="B1981" s="1" t="s">
        <v>4354</v>
      </c>
    </row>
    <row r="1982" spans="1:2" ht="15.5" x14ac:dyDescent="0.35">
      <c r="A1982" s="1" t="s">
        <v>377</v>
      </c>
      <c r="B1982" s="1" t="s">
        <v>4355</v>
      </c>
    </row>
    <row r="1983" spans="1:2" ht="15.5" x14ac:dyDescent="0.35">
      <c r="A1983" s="1" t="s">
        <v>376</v>
      </c>
      <c r="B1983" s="1" t="s">
        <v>4356</v>
      </c>
    </row>
    <row r="1984" spans="1:2" ht="15.5" x14ac:dyDescent="0.35">
      <c r="A1984" s="1" t="s">
        <v>375</v>
      </c>
      <c r="B1984" s="1" t="s">
        <v>4357</v>
      </c>
    </row>
    <row r="1985" spans="1:2" ht="15.5" x14ac:dyDescent="0.35">
      <c r="A1985" s="1" t="s">
        <v>374</v>
      </c>
      <c r="B1985" s="1" t="s">
        <v>4358</v>
      </c>
    </row>
    <row r="1986" spans="1:2" ht="15.5" x14ac:dyDescent="0.35">
      <c r="A1986" s="1" t="s">
        <v>373</v>
      </c>
      <c r="B1986" s="1" t="s">
        <v>4359</v>
      </c>
    </row>
    <row r="1987" spans="1:2" ht="15.5" x14ac:dyDescent="0.35">
      <c r="A1987" s="1" t="s">
        <v>372</v>
      </c>
      <c r="B1987" s="1" t="s">
        <v>4360</v>
      </c>
    </row>
    <row r="1988" spans="1:2" ht="15.5" x14ac:dyDescent="0.35">
      <c r="A1988" s="1" t="s">
        <v>371</v>
      </c>
      <c r="B1988" s="1" t="s">
        <v>4361</v>
      </c>
    </row>
    <row r="1989" spans="1:2" ht="15.5" x14ac:dyDescent="0.35">
      <c r="A1989" s="1" t="s">
        <v>370</v>
      </c>
      <c r="B1989" s="1" t="s">
        <v>4362</v>
      </c>
    </row>
    <row r="1990" spans="1:2" ht="15.5" x14ac:dyDescent="0.35">
      <c r="A1990" s="1" t="s">
        <v>369</v>
      </c>
      <c r="B1990" s="1" t="s">
        <v>4363</v>
      </c>
    </row>
    <row r="1991" spans="1:2" ht="15.5" x14ac:dyDescent="0.35">
      <c r="A1991" s="1" t="s">
        <v>368</v>
      </c>
      <c r="B1991" s="1" t="s">
        <v>4364</v>
      </c>
    </row>
    <row r="1992" spans="1:2" ht="15.5" x14ac:dyDescent="0.35">
      <c r="A1992" s="1" t="s">
        <v>367</v>
      </c>
      <c r="B1992" s="1" t="s">
        <v>4365</v>
      </c>
    </row>
    <row r="1993" spans="1:2" ht="15.5" x14ac:dyDescent="0.35">
      <c r="A1993" s="1" t="s">
        <v>366</v>
      </c>
      <c r="B1993" s="1" t="s">
        <v>4366</v>
      </c>
    </row>
    <row r="1994" spans="1:2" ht="15.5" x14ac:dyDescent="0.35">
      <c r="A1994" s="1" t="s">
        <v>365</v>
      </c>
      <c r="B1994" s="1" t="s">
        <v>4367</v>
      </c>
    </row>
    <row r="1995" spans="1:2" ht="15.5" x14ac:dyDescent="0.35">
      <c r="A1995" s="1" t="s">
        <v>364</v>
      </c>
      <c r="B1995" s="1" t="s">
        <v>4368</v>
      </c>
    </row>
    <row r="1996" spans="1:2" ht="15.5" x14ac:dyDescent="0.35">
      <c r="A1996" s="1" t="s">
        <v>363</v>
      </c>
      <c r="B1996" s="1" t="s">
        <v>4369</v>
      </c>
    </row>
    <row r="1997" spans="1:2" ht="15.5" x14ac:dyDescent="0.35">
      <c r="A1997" s="1" t="s">
        <v>362</v>
      </c>
      <c r="B1997" s="1" t="s">
        <v>4370</v>
      </c>
    </row>
    <row r="1998" spans="1:2" ht="15.5" x14ac:dyDescent="0.35">
      <c r="A1998" s="1" t="s">
        <v>361</v>
      </c>
      <c r="B1998" s="1" t="s">
        <v>4371</v>
      </c>
    </row>
    <row r="1999" spans="1:2" ht="15.5" x14ac:dyDescent="0.35">
      <c r="A1999" s="1" t="s">
        <v>360</v>
      </c>
      <c r="B1999" s="1" t="s">
        <v>4372</v>
      </c>
    </row>
    <row r="2000" spans="1:2" ht="15.5" x14ac:dyDescent="0.35">
      <c r="A2000" s="1" t="s">
        <v>359</v>
      </c>
      <c r="B2000" s="1" t="s">
        <v>4373</v>
      </c>
    </row>
    <row r="2001" spans="1:2" ht="15.5" x14ac:dyDescent="0.35">
      <c r="A2001" s="1" t="s">
        <v>358</v>
      </c>
      <c r="B2001" s="1" t="s">
        <v>4374</v>
      </c>
    </row>
    <row r="2002" spans="1:2" ht="15.5" x14ac:dyDescent="0.35">
      <c r="A2002" s="1" t="s">
        <v>357</v>
      </c>
      <c r="B2002" s="1" t="s">
        <v>4375</v>
      </c>
    </row>
    <row r="2003" spans="1:2" ht="15.5" x14ac:dyDescent="0.35">
      <c r="A2003" s="1" t="s">
        <v>356</v>
      </c>
      <c r="B2003" s="1" t="s">
        <v>4376</v>
      </c>
    </row>
    <row r="2004" spans="1:2" ht="15.5" x14ac:dyDescent="0.35">
      <c r="A2004" s="1" t="s">
        <v>355</v>
      </c>
      <c r="B2004" s="1" t="s">
        <v>4377</v>
      </c>
    </row>
    <row r="2005" spans="1:2" ht="15.5" x14ac:dyDescent="0.35">
      <c r="A2005" s="1" t="s">
        <v>354</v>
      </c>
      <c r="B2005" s="1" t="s">
        <v>4378</v>
      </c>
    </row>
    <row r="2006" spans="1:2" ht="15.5" x14ac:dyDescent="0.35">
      <c r="A2006" s="1" t="s">
        <v>353</v>
      </c>
      <c r="B2006" s="1" t="s">
        <v>4379</v>
      </c>
    </row>
    <row r="2007" spans="1:2" ht="15.5" x14ac:dyDescent="0.35">
      <c r="A2007" s="1" t="s">
        <v>352</v>
      </c>
      <c r="B2007" s="1" t="s">
        <v>4380</v>
      </c>
    </row>
    <row r="2008" spans="1:2" ht="15.5" x14ac:dyDescent="0.35">
      <c r="A2008" s="1" t="s">
        <v>351</v>
      </c>
      <c r="B2008" s="1" t="s">
        <v>4381</v>
      </c>
    </row>
    <row r="2009" spans="1:2" ht="15.5" x14ac:dyDescent="0.35">
      <c r="A2009" s="1" t="s">
        <v>350</v>
      </c>
      <c r="B2009" s="1" t="s">
        <v>4382</v>
      </c>
    </row>
    <row r="2010" spans="1:2" ht="15.5" x14ac:dyDescent="0.35">
      <c r="A2010" s="1" t="s">
        <v>349</v>
      </c>
      <c r="B2010" s="1" t="s">
        <v>4383</v>
      </c>
    </row>
    <row r="2011" spans="1:2" ht="15.5" x14ac:dyDescent="0.35">
      <c r="A2011" s="1" t="s">
        <v>348</v>
      </c>
      <c r="B2011" s="1" t="s">
        <v>4384</v>
      </c>
    </row>
    <row r="2012" spans="1:2" ht="15.5" x14ac:dyDescent="0.35">
      <c r="A2012" s="1" t="s">
        <v>347</v>
      </c>
      <c r="B2012" s="1" t="s">
        <v>4385</v>
      </c>
    </row>
    <row r="2013" spans="1:2" ht="15.5" x14ac:dyDescent="0.35">
      <c r="A2013" s="1" t="s">
        <v>345</v>
      </c>
      <c r="B2013" s="1" t="s">
        <v>4386</v>
      </c>
    </row>
    <row r="2014" spans="1:2" ht="15.5" x14ac:dyDescent="0.35">
      <c r="A2014" s="1" t="s">
        <v>344</v>
      </c>
      <c r="B2014" s="1" t="s">
        <v>4387</v>
      </c>
    </row>
    <row r="2015" spans="1:2" ht="15.5" x14ac:dyDescent="0.35">
      <c r="A2015" s="1" t="s">
        <v>343</v>
      </c>
      <c r="B2015" s="1" t="s">
        <v>4388</v>
      </c>
    </row>
    <row r="2016" spans="1:2" ht="15.5" x14ac:dyDescent="0.35">
      <c r="A2016" s="1" t="s">
        <v>342</v>
      </c>
      <c r="B2016" s="1" t="s">
        <v>4389</v>
      </c>
    </row>
    <row r="2017" spans="1:2" ht="15.5" x14ac:dyDescent="0.35">
      <c r="A2017" s="1" t="s">
        <v>341</v>
      </c>
      <c r="B2017" s="1" t="s">
        <v>4390</v>
      </c>
    </row>
    <row r="2018" spans="1:2" ht="15.5" x14ac:dyDescent="0.35">
      <c r="A2018" s="1" t="s">
        <v>340</v>
      </c>
      <c r="B2018" s="1" t="s">
        <v>4391</v>
      </c>
    </row>
    <row r="2019" spans="1:2" ht="15.5" x14ac:dyDescent="0.35">
      <c r="A2019" s="1" t="s">
        <v>339</v>
      </c>
      <c r="B2019" s="1" t="s">
        <v>4392</v>
      </c>
    </row>
    <row r="2020" spans="1:2" ht="15.5" x14ac:dyDescent="0.35">
      <c r="A2020" s="1" t="s">
        <v>338</v>
      </c>
      <c r="B2020" s="1" t="s">
        <v>4393</v>
      </c>
    </row>
    <row r="2021" spans="1:2" ht="15.5" x14ac:dyDescent="0.35">
      <c r="A2021" s="1" t="s">
        <v>337</v>
      </c>
      <c r="B2021" s="1" t="s">
        <v>4394</v>
      </c>
    </row>
    <row r="2022" spans="1:2" ht="15.5" x14ac:dyDescent="0.35">
      <c r="A2022" s="1" t="s">
        <v>336</v>
      </c>
      <c r="B2022" s="1" t="s">
        <v>4395</v>
      </c>
    </row>
    <row r="2023" spans="1:2" ht="15.5" x14ac:dyDescent="0.35">
      <c r="A2023" s="1" t="s">
        <v>335</v>
      </c>
      <c r="B2023" s="1" t="s">
        <v>4396</v>
      </c>
    </row>
    <row r="2024" spans="1:2" ht="15.5" x14ac:dyDescent="0.35">
      <c r="A2024" s="1" t="s">
        <v>334</v>
      </c>
      <c r="B2024" s="1" t="s">
        <v>4397</v>
      </c>
    </row>
    <row r="2025" spans="1:2" ht="15.5" x14ac:dyDescent="0.35">
      <c r="A2025" s="1" t="s">
        <v>333</v>
      </c>
      <c r="B2025" s="1" t="s">
        <v>4398</v>
      </c>
    </row>
    <row r="2026" spans="1:2" ht="15.5" x14ac:dyDescent="0.35">
      <c r="A2026" s="1" t="s">
        <v>332</v>
      </c>
      <c r="B2026" s="1" t="s">
        <v>4399</v>
      </c>
    </row>
    <row r="2027" spans="1:2" ht="15.5" x14ac:dyDescent="0.35">
      <c r="A2027" s="1" t="s">
        <v>331</v>
      </c>
      <c r="B2027" s="1" t="s">
        <v>4400</v>
      </c>
    </row>
    <row r="2028" spans="1:2" ht="15.5" x14ac:dyDescent="0.35">
      <c r="A2028" s="1" t="s">
        <v>330</v>
      </c>
      <c r="B2028" s="1" t="s">
        <v>4401</v>
      </c>
    </row>
    <row r="2029" spans="1:2" ht="15.5" x14ac:dyDescent="0.35">
      <c r="A2029" s="1" t="s">
        <v>329</v>
      </c>
      <c r="B2029" s="1" t="s">
        <v>4402</v>
      </c>
    </row>
    <row r="2030" spans="1:2" ht="15.5" x14ac:dyDescent="0.35">
      <c r="A2030" s="1" t="s">
        <v>328</v>
      </c>
      <c r="B2030" s="1" t="s">
        <v>4403</v>
      </c>
    </row>
    <row r="2031" spans="1:2" ht="15.5" x14ac:dyDescent="0.35">
      <c r="A2031" s="1" t="s">
        <v>327</v>
      </c>
      <c r="B2031" s="1" t="s">
        <v>4404</v>
      </c>
    </row>
    <row r="2032" spans="1:2" ht="15.5" x14ac:dyDescent="0.35">
      <c r="A2032" s="1" t="s">
        <v>326</v>
      </c>
      <c r="B2032" s="1" t="s">
        <v>4405</v>
      </c>
    </row>
    <row r="2033" spans="1:2" ht="15.5" x14ac:dyDescent="0.35">
      <c r="A2033" s="1" t="s">
        <v>325</v>
      </c>
      <c r="B2033" s="1" t="s">
        <v>4406</v>
      </c>
    </row>
    <row r="2034" spans="1:2" ht="15.5" x14ac:dyDescent="0.35">
      <c r="A2034" s="1" t="s">
        <v>324</v>
      </c>
      <c r="B2034" s="1" t="s">
        <v>4407</v>
      </c>
    </row>
    <row r="2035" spans="1:2" ht="15.5" x14ac:dyDescent="0.35">
      <c r="A2035" s="1" t="s">
        <v>323</v>
      </c>
      <c r="B2035" s="1" t="s">
        <v>4408</v>
      </c>
    </row>
    <row r="2036" spans="1:2" ht="15.5" x14ac:dyDescent="0.35">
      <c r="A2036" s="1" t="s">
        <v>322</v>
      </c>
      <c r="B2036" s="1" t="s">
        <v>4409</v>
      </c>
    </row>
    <row r="2037" spans="1:2" ht="15.5" x14ac:dyDescent="0.35">
      <c r="A2037" s="1" t="s">
        <v>321</v>
      </c>
      <c r="B2037" s="1" t="s">
        <v>4410</v>
      </c>
    </row>
    <row r="2038" spans="1:2" ht="15.5" x14ac:dyDescent="0.35">
      <c r="A2038" s="1" t="s">
        <v>320</v>
      </c>
      <c r="B2038" s="1" t="s">
        <v>4411</v>
      </c>
    </row>
    <row r="2039" spans="1:2" ht="15.5" x14ac:dyDescent="0.35">
      <c r="A2039" s="1" t="s">
        <v>319</v>
      </c>
      <c r="B2039" s="1" t="s">
        <v>4412</v>
      </c>
    </row>
    <row r="2040" spans="1:2" ht="15.5" x14ac:dyDescent="0.35">
      <c r="A2040" s="1" t="s">
        <v>318</v>
      </c>
      <c r="B2040" s="1" t="s">
        <v>4413</v>
      </c>
    </row>
    <row r="2041" spans="1:2" ht="15.5" x14ac:dyDescent="0.35">
      <c r="A2041" s="1" t="s">
        <v>317</v>
      </c>
      <c r="B2041" s="1" t="s">
        <v>4414</v>
      </c>
    </row>
    <row r="2042" spans="1:2" ht="15.5" x14ac:dyDescent="0.35">
      <c r="A2042" s="1" t="s">
        <v>316</v>
      </c>
      <c r="B2042" s="1" t="s">
        <v>4415</v>
      </c>
    </row>
    <row r="2043" spans="1:2" ht="15.5" x14ac:dyDescent="0.35">
      <c r="A2043" s="1" t="s">
        <v>315</v>
      </c>
      <c r="B2043" s="1" t="s">
        <v>4416</v>
      </c>
    </row>
    <row r="2044" spans="1:2" ht="15.5" x14ac:dyDescent="0.35">
      <c r="A2044" s="1" t="s">
        <v>314</v>
      </c>
      <c r="B2044" s="1" t="s">
        <v>4417</v>
      </c>
    </row>
    <row r="2045" spans="1:2" ht="15.5" x14ac:dyDescent="0.35">
      <c r="A2045" s="1" t="s">
        <v>313</v>
      </c>
      <c r="B2045" s="1" t="s">
        <v>4418</v>
      </c>
    </row>
    <row r="2046" spans="1:2" ht="15.5" x14ac:dyDescent="0.35">
      <c r="A2046" s="1" t="s">
        <v>312</v>
      </c>
      <c r="B2046" s="1" t="s">
        <v>4419</v>
      </c>
    </row>
    <row r="2047" spans="1:2" ht="15.5" x14ac:dyDescent="0.35">
      <c r="A2047" s="1" t="s">
        <v>311</v>
      </c>
      <c r="B2047" s="1" t="s">
        <v>4420</v>
      </c>
    </row>
    <row r="2048" spans="1:2" ht="15.5" x14ac:dyDescent="0.35">
      <c r="A2048" s="1" t="s">
        <v>310</v>
      </c>
      <c r="B2048" s="1" t="s">
        <v>4421</v>
      </c>
    </row>
    <row r="2049" spans="1:2" ht="15.5" x14ac:dyDescent="0.35">
      <c r="A2049" s="1" t="s">
        <v>309</v>
      </c>
      <c r="B2049" s="1" t="s">
        <v>4422</v>
      </c>
    </row>
    <row r="2050" spans="1:2" ht="15.5" x14ac:dyDescent="0.35">
      <c r="A2050" s="1" t="s">
        <v>308</v>
      </c>
      <c r="B2050" s="1" t="s">
        <v>4423</v>
      </c>
    </row>
    <row r="2051" spans="1:2" ht="15.5" x14ac:dyDescent="0.35">
      <c r="A2051" s="1" t="s">
        <v>307</v>
      </c>
      <c r="B2051" s="1" t="s">
        <v>4424</v>
      </c>
    </row>
    <row r="2052" spans="1:2" ht="15.5" x14ac:dyDescent="0.35">
      <c r="A2052" s="1" t="s">
        <v>306</v>
      </c>
      <c r="B2052" s="1" t="s">
        <v>4425</v>
      </c>
    </row>
    <row r="2053" spans="1:2" ht="15.5" x14ac:dyDescent="0.35">
      <c r="A2053" s="1" t="s">
        <v>305</v>
      </c>
      <c r="B2053" s="1" t="s">
        <v>4426</v>
      </c>
    </row>
    <row r="2054" spans="1:2" ht="15.5" x14ac:dyDescent="0.35">
      <c r="A2054" s="1" t="s">
        <v>304</v>
      </c>
      <c r="B2054" s="1" t="s">
        <v>4427</v>
      </c>
    </row>
    <row r="2055" spans="1:2" ht="15.5" x14ac:dyDescent="0.35">
      <c r="A2055" s="1" t="s">
        <v>303</v>
      </c>
      <c r="B2055" s="1" t="s">
        <v>4428</v>
      </c>
    </row>
    <row r="2056" spans="1:2" ht="15.5" x14ac:dyDescent="0.35">
      <c r="A2056" s="1" t="s">
        <v>302</v>
      </c>
      <c r="B2056" s="1" t="s">
        <v>4429</v>
      </c>
    </row>
    <row r="2057" spans="1:2" ht="15.5" x14ac:dyDescent="0.35">
      <c r="A2057" s="1" t="s">
        <v>301</v>
      </c>
      <c r="B2057" s="1" t="s">
        <v>4430</v>
      </c>
    </row>
    <row r="2058" spans="1:2" ht="15.5" x14ac:dyDescent="0.35">
      <c r="A2058" s="1" t="s">
        <v>300</v>
      </c>
      <c r="B2058" s="1" t="s">
        <v>4431</v>
      </c>
    </row>
    <row r="2059" spans="1:2" ht="15.5" x14ac:dyDescent="0.35">
      <c r="A2059" s="1" t="s">
        <v>299</v>
      </c>
      <c r="B2059" s="1" t="s">
        <v>4432</v>
      </c>
    </row>
    <row r="2060" spans="1:2" ht="15.5" x14ac:dyDescent="0.35">
      <c r="A2060" s="1" t="s">
        <v>298</v>
      </c>
      <c r="B2060" s="1" t="s">
        <v>4433</v>
      </c>
    </row>
    <row r="2061" spans="1:2" ht="15.5" x14ac:dyDescent="0.35">
      <c r="A2061" s="1" t="s">
        <v>297</v>
      </c>
      <c r="B2061" s="1" t="s">
        <v>4434</v>
      </c>
    </row>
    <row r="2062" spans="1:2" ht="15.5" x14ac:dyDescent="0.35">
      <c r="A2062" s="1" t="s">
        <v>296</v>
      </c>
      <c r="B2062" s="1" t="s">
        <v>4435</v>
      </c>
    </row>
    <row r="2063" spans="1:2" ht="15.5" x14ac:dyDescent="0.35">
      <c r="A2063" s="1" t="s">
        <v>295</v>
      </c>
      <c r="B2063" s="1" t="s">
        <v>4436</v>
      </c>
    </row>
    <row r="2064" spans="1:2" ht="15.5" x14ac:dyDescent="0.35">
      <c r="A2064" s="1" t="s">
        <v>294</v>
      </c>
      <c r="B2064" s="1" t="s">
        <v>4437</v>
      </c>
    </row>
    <row r="2065" spans="1:2" ht="15.5" x14ac:dyDescent="0.35">
      <c r="A2065" s="1" t="s">
        <v>293</v>
      </c>
      <c r="B2065" s="1" t="s">
        <v>4438</v>
      </c>
    </row>
    <row r="2066" spans="1:2" ht="15.5" x14ac:dyDescent="0.35">
      <c r="A2066" s="1" t="s">
        <v>292</v>
      </c>
      <c r="B2066" s="1" t="s">
        <v>4439</v>
      </c>
    </row>
    <row r="2067" spans="1:2" ht="15.5" x14ac:dyDescent="0.35">
      <c r="A2067" s="1" t="s">
        <v>291</v>
      </c>
      <c r="B2067" s="1" t="s">
        <v>4440</v>
      </c>
    </row>
    <row r="2068" spans="1:2" ht="15.5" x14ac:dyDescent="0.35">
      <c r="A2068" s="1" t="s">
        <v>289</v>
      </c>
      <c r="B2068" s="1" t="s">
        <v>4441</v>
      </c>
    </row>
    <row r="2069" spans="1:2" ht="15.5" x14ac:dyDescent="0.35">
      <c r="A2069" s="1" t="s">
        <v>288</v>
      </c>
      <c r="B2069" s="1" t="s">
        <v>4442</v>
      </c>
    </row>
    <row r="2070" spans="1:2" ht="15.5" x14ac:dyDescent="0.35">
      <c r="A2070" s="1" t="s">
        <v>287</v>
      </c>
      <c r="B2070" s="1" t="s">
        <v>4443</v>
      </c>
    </row>
    <row r="2071" spans="1:2" ht="15.5" x14ac:dyDescent="0.35">
      <c r="A2071" s="1" t="s">
        <v>286</v>
      </c>
      <c r="B2071" s="1" t="s">
        <v>4444</v>
      </c>
    </row>
    <row r="2072" spans="1:2" ht="15.5" x14ac:dyDescent="0.35">
      <c r="A2072" s="1" t="s">
        <v>285</v>
      </c>
      <c r="B2072" s="1" t="s">
        <v>4445</v>
      </c>
    </row>
    <row r="2073" spans="1:2" ht="15.5" x14ac:dyDescent="0.35">
      <c r="A2073" s="1" t="s">
        <v>284</v>
      </c>
      <c r="B2073" s="1" t="s">
        <v>4446</v>
      </c>
    </row>
    <row r="2074" spans="1:2" ht="15.5" x14ac:dyDescent="0.35">
      <c r="A2074" s="1" t="s">
        <v>283</v>
      </c>
      <c r="B2074" s="1" t="s">
        <v>4447</v>
      </c>
    </row>
    <row r="2075" spans="1:2" ht="15.5" x14ac:dyDescent="0.35">
      <c r="A2075" s="1" t="s">
        <v>282</v>
      </c>
      <c r="B2075" s="1" t="s">
        <v>4448</v>
      </c>
    </row>
    <row r="2076" spans="1:2" ht="15.5" x14ac:dyDescent="0.35">
      <c r="A2076" s="1" t="s">
        <v>281</v>
      </c>
      <c r="B2076" s="1" t="s">
        <v>4449</v>
      </c>
    </row>
    <row r="2077" spans="1:2" ht="15.5" x14ac:dyDescent="0.35">
      <c r="A2077" s="1" t="s">
        <v>280</v>
      </c>
      <c r="B2077" s="1" t="s">
        <v>4450</v>
      </c>
    </row>
    <row r="2078" spans="1:2" ht="15.5" x14ac:dyDescent="0.35">
      <c r="A2078" s="1" t="s">
        <v>279</v>
      </c>
      <c r="B2078" s="1" t="s">
        <v>4451</v>
      </c>
    </row>
    <row r="2079" spans="1:2" ht="15.5" x14ac:dyDescent="0.35">
      <c r="A2079" s="1" t="s">
        <v>278</v>
      </c>
      <c r="B2079" s="1" t="s">
        <v>4452</v>
      </c>
    </row>
    <row r="2080" spans="1:2" ht="15.5" x14ac:dyDescent="0.35">
      <c r="A2080" s="1" t="s">
        <v>277</v>
      </c>
      <c r="B2080" s="1" t="s">
        <v>4453</v>
      </c>
    </row>
    <row r="2081" spans="1:2" ht="15.5" x14ac:dyDescent="0.35">
      <c r="A2081" s="1" t="s">
        <v>276</v>
      </c>
      <c r="B2081" s="1" t="s">
        <v>4454</v>
      </c>
    </row>
    <row r="2082" spans="1:2" ht="15.5" x14ac:dyDescent="0.35">
      <c r="A2082" s="1" t="s">
        <v>275</v>
      </c>
      <c r="B2082" s="1" t="s">
        <v>4455</v>
      </c>
    </row>
    <row r="2083" spans="1:2" ht="15.5" x14ac:dyDescent="0.35">
      <c r="A2083" s="1" t="s">
        <v>274</v>
      </c>
      <c r="B2083" s="1" t="s">
        <v>4456</v>
      </c>
    </row>
    <row r="2084" spans="1:2" ht="15.5" x14ac:dyDescent="0.35">
      <c r="A2084" s="1" t="s">
        <v>273</v>
      </c>
      <c r="B2084" s="1" t="s">
        <v>4457</v>
      </c>
    </row>
    <row r="2085" spans="1:2" ht="15.5" x14ac:dyDescent="0.35">
      <c r="A2085" s="1" t="s">
        <v>272</v>
      </c>
      <c r="B2085" s="1" t="s">
        <v>4458</v>
      </c>
    </row>
    <row r="2086" spans="1:2" ht="15.5" x14ac:dyDescent="0.35">
      <c r="A2086" s="1" t="s">
        <v>271</v>
      </c>
      <c r="B2086" s="1" t="s">
        <v>4459</v>
      </c>
    </row>
    <row r="2087" spans="1:2" ht="15.5" x14ac:dyDescent="0.35">
      <c r="A2087" s="1" t="s">
        <v>270</v>
      </c>
      <c r="B2087" s="1" t="s">
        <v>4460</v>
      </c>
    </row>
    <row r="2088" spans="1:2" ht="15.5" x14ac:dyDescent="0.35">
      <c r="A2088" s="1" t="s">
        <v>269</v>
      </c>
      <c r="B2088" s="1" t="s">
        <v>4461</v>
      </c>
    </row>
    <row r="2089" spans="1:2" ht="15.5" x14ac:dyDescent="0.35">
      <c r="A2089" s="1" t="s">
        <v>268</v>
      </c>
      <c r="B2089" s="1" t="s">
        <v>4462</v>
      </c>
    </row>
    <row r="2090" spans="1:2" ht="15.5" x14ac:dyDescent="0.35">
      <c r="A2090" s="1" t="s">
        <v>267</v>
      </c>
      <c r="B2090" s="1" t="s">
        <v>4463</v>
      </c>
    </row>
    <row r="2091" spans="1:2" ht="15.5" x14ac:dyDescent="0.35">
      <c r="A2091" s="1" t="s">
        <v>265</v>
      </c>
      <c r="B2091" s="1" t="s">
        <v>4464</v>
      </c>
    </row>
    <row r="2092" spans="1:2" ht="15.5" x14ac:dyDescent="0.35">
      <c r="A2092" s="1" t="s">
        <v>264</v>
      </c>
      <c r="B2092" s="1" t="s">
        <v>4465</v>
      </c>
    </row>
    <row r="2093" spans="1:2" ht="15.5" x14ac:dyDescent="0.35">
      <c r="A2093" s="1" t="s">
        <v>263</v>
      </c>
      <c r="B2093" s="1" t="s">
        <v>4466</v>
      </c>
    </row>
    <row r="2094" spans="1:2" ht="15.5" x14ac:dyDescent="0.35">
      <c r="A2094" s="1" t="s">
        <v>262</v>
      </c>
      <c r="B2094" s="1" t="s">
        <v>4467</v>
      </c>
    </row>
    <row r="2095" spans="1:2" ht="15.5" x14ac:dyDescent="0.35">
      <c r="A2095" s="1" t="s">
        <v>261</v>
      </c>
      <c r="B2095" s="1" t="s">
        <v>4468</v>
      </c>
    </row>
    <row r="2096" spans="1:2" ht="15.5" x14ac:dyDescent="0.35">
      <c r="A2096" s="1" t="s">
        <v>260</v>
      </c>
      <c r="B2096" s="1" t="s">
        <v>4469</v>
      </c>
    </row>
    <row r="2097" spans="1:2" ht="15.5" x14ac:dyDescent="0.35">
      <c r="A2097" s="1" t="s">
        <v>259</v>
      </c>
      <c r="B2097" s="1" t="s">
        <v>4470</v>
      </c>
    </row>
    <row r="2098" spans="1:2" ht="15.5" x14ac:dyDescent="0.35">
      <c r="A2098" s="1" t="s">
        <v>258</v>
      </c>
      <c r="B2098" s="1" t="s">
        <v>4471</v>
      </c>
    </row>
    <row r="2099" spans="1:2" ht="15.5" x14ac:dyDescent="0.35">
      <c r="A2099" s="1" t="s">
        <v>257</v>
      </c>
      <c r="B2099" s="1" t="s">
        <v>4472</v>
      </c>
    </row>
    <row r="2100" spans="1:2" ht="15.5" x14ac:dyDescent="0.35">
      <c r="A2100" s="1" t="s">
        <v>256</v>
      </c>
      <c r="B2100" s="1" t="s">
        <v>4473</v>
      </c>
    </row>
    <row r="2101" spans="1:2" ht="15.5" x14ac:dyDescent="0.35">
      <c r="A2101" s="1" t="s">
        <v>255</v>
      </c>
      <c r="B2101" s="1" t="s">
        <v>4474</v>
      </c>
    </row>
    <row r="2102" spans="1:2" ht="15.5" x14ac:dyDescent="0.35">
      <c r="A2102" s="1" t="s">
        <v>254</v>
      </c>
      <c r="B2102" s="1" t="s">
        <v>4475</v>
      </c>
    </row>
    <row r="2103" spans="1:2" ht="15.5" x14ac:dyDescent="0.35">
      <c r="A2103" s="1" t="s">
        <v>253</v>
      </c>
      <c r="B2103" s="1" t="s">
        <v>4476</v>
      </c>
    </row>
    <row r="2104" spans="1:2" ht="15.5" x14ac:dyDescent="0.35">
      <c r="A2104" s="1" t="s">
        <v>252</v>
      </c>
      <c r="B2104" s="1" t="s">
        <v>4477</v>
      </c>
    </row>
    <row r="2105" spans="1:2" ht="15.5" x14ac:dyDescent="0.35">
      <c r="A2105" s="1" t="s">
        <v>251</v>
      </c>
      <c r="B2105" s="1" t="s">
        <v>4478</v>
      </c>
    </row>
    <row r="2106" spans="1:2" ht="15.5" x14ac:dyDescent="0.35">
      <c r="A2106" s="1" t="s">
        <v>250</v>
      </c>
      <c r="B2106" s="1" t="s">
        <v>4479</v>
      </c>
    </row>
    <row r="2107" spans="1:2" ht="15.5" x14ac:dyDescent="0.35">
      <c r="A2107" s="1" t="s">
        <v>249</v>
      </c>
      <c r="B2107" s="1" t="s">
        <v>4480</v>
      </c>
    </row>
    <row r="2108" spans="1:2" ht="15.5" x14ac:dyDescent="0.35">
      <c r="A2108" s="1" t="s">
        <v>248</v>
      </c>
      <c r="B2108" s="1" t="s">
        <v>4481</v>
      </c>
    </row>
    <row r="2109" spans="1:2" ht="15.5" x14ac:dyDescent="0.35">
      <c r="A2109" s="1" t="s">
        <v>247</v>
      </c>
      <c r="B2109" s="1" t="s">
        <v>4482</v>
      </c>
    </row>
    <row r="2110" spans="1:2" ht="15.5" x14ac:dyDescent="0.35">
      <c r="A2110" s="1" t="s">
        <v>246</v>
      </c>
      <c r="B2110" s="1" t="s">
        <v>4483</v>
      </c>
    </row>
    <row r="2111" spans="1:2" ht="15.5" x14ac:dyDescent="0.35">
      <c r="A2111" s="1" t="s">
        <v>245</v>
      </c>
      <c r="B2111" s="1" t="s">
        <v>4484</v>
      </c>
    </row>
    <row r="2112" spans="1:2" ht="15.5" x14ac:dyDescent="0.35">
      <c r="A2112" s="1" t="s">
        <v>244</v>
      </c>
      <c r="B2112" s="1" t="s">
        <v>4485</v>
      </c>
    </row>
    <row r="2113" spans="1:2" ht="15.5" x14ac:dyDescent="0.35">
      <c r="A2113" s="1" t="s">
        <v>243</v>
      </c>
      <c r="B2113" s="1" t="s">
        <v>4486</v>
      </c>
    </row>
    <row r="2114" spans="1:2" ht="15.5" x14ac:dyDescent="0.35">
      <c r="A2114" s="1" t="s">
        <v>242</v>
      </c>
      <c r="B2114" s="1" t="s">
        <v>4487</v>
      </c>
    </row>
    <row r="2115" spans="1:2" ht="15.5" x14ac:dyDescent="0.35">
      <c r="A2115" s="1" t="s">
        <v>241</v>
      </c>
      <c r="B2115" s="1" t="s">
        <v>4488</v>
      </c>
    </row>
    <row r="2116" spans="1:2" ht="15.5" x14ac:dyDescent="0.35">
      <c r="A2116" s="1" t="s">
        <v>240</v>
      </c>
      <c r="B2116" s="1" t="s">
        <v>4489</v>
      </c>
    </row>
    <row r="2117" spans="1:2" ht="15.5" x14ac:dyDescent="0.35">
      <c r="A2117" s="1" t="s">
        <v>238</v>
      </c>
      <c r="B2117" s="1" t="s">
        <v>4490</v>
      </c>
    </row>
    <row r="2118" spans="1:2" ht="15.5" x14ac:dyDescent="0.35">
      <c r="A2118" s="1" t="s">
        <v>236</v>
      </c>
      <c r="B2118" s="1" t="s">
        <v>4491</v>
      </c>
    </row>
    <row r="2119" spans="1:2" ht="15.5" x14ac:dyDescent="0.35">
      <c r="A2119" s="1" t="s">
        <v>235</v>
      </c>
      <c r="B2119" s="1" t="s">
        <v>4492</v>
      </c>
    </row>
    <row r="2120" spans="1:2" ht="15.5" x14ac:dyDescent="0.35">
      <c r="A2120" s="1" t="s">
        <v>234</v>
      </c>
      <c r="B2120" s="1" t="s">
        <v>4493</v>
      </c>
    </row>
    <row r="2121" spans="1:2" ht="15.5" x14ac:dyDescent="0.35">
      <c r="A2121" s="1" t="s">
        <v>233</v>
      </c>
      <c r="B2121" s="1" t="s">
        <v>4494</v>
      </c>
    </row>
    <row r="2122" spans="1:2" ht="15.5" x14ac:dyDescent="0.35">
      <c r="A2122" s="1" t="s">
        <v>232</v>
      </c>
      <c r="B2122" s="1" t="s">
        <v>4495</v>
      </c>
    </row>
    <row r="2123" spans="1:2" ht="15.5" x14ac:dyDescent="0.35">
      <c r="A2123" s="1" t="s">
        <v>231</v>
      </c>
      <c r="B2123" s="1" t="s">
        <v>4496</v>
      </c>
    </row>
    <row r="2124" spans="1:2" ht="15.5" x14ac:dyDescent="0.35">
      <c r="A2124" s="1" t="s">
        <v>230</v>
      </c>
      <c r="B2124" s="1" t="s">
        <v>4497</v>
      </c>
    </row>
    <row r="2125" spans="1:2" ht="15.5" x14ac:dyDescent="0.35">
      <c r="A2125" s="1" t="s">
        <v>229</v>
      </c>
      <c r="B2125" s="1" t="s">
        <v>4498</v>
      </c>
    </row>
    <row r="2126" spans="1:2" ht="15.5" x14ac:dyDescent="0.35">
      <c r="A2126" s="1" t="s">
        <v>228</v>
      </c>
      <c r="B2126" s="1" t="s">
        <v>4499</v>
      </c>
    </row>
    <row r="2127" spans="1:2" ht="15.5" x14ac:dyDescent="0.35">
      <c r="A2127" s="1" t="s">
        <v>227</v>
      </c>
      <c r="B2127" s="1" t="s">
        <v>4500</v>
      </c>
    </row>
    <row r="2128" spans="1:2" ht="15.5" x14ac:dyDescent="0.35">
      <c r="A2128" s="1" t="s">
        <v>226</v>
      </c>
      <c r="B2128" s="1" t="s">
        <v>4501</v>
      </c>
    </row>
    <row r="2129" spans="1:2" ht="15.5" x14ac:dyDescent="0.35">
      <c r="A2129" s="1" t="s">
        <v>225</v>
      </c>
      <c r="B2129" s="1" t="s">
        <v>4502</v>
      </c>
    </row>
    <row r="2130" spans="1:2" ht="15.5" x14ac:dyDescent="0.35">
      <c r="A2130" s="1" t="s">
        <v>224</v>
      </c>
      <c r="B2130" s="1" t="s">
        <v>4503</v>
      </c>
    </row>
    <row r="2131" spans="1:2" ht="15.5" x14ac:dyDescent="0.35">
      <c r="A2131" s="1" t="s">
        <v>223</v>
      </c>
      <c r="B2131" s="1" t="s">
        <v>4504</v>
      </c>
    </row>
    <row r="2132" spans="1:2" ht="15.5" x14ac:dyDescent="0.35">
      <c r="A2132" s="1" t="s">
        <v>222</v>
      </c>
      <c r="B2132" s="1" t="s">
        <v>4505</v>
      </c>
    </row>
    <row r="2133" spans="1:2" ht="15.5" x14ac:dyDescent="0.35">
      <c r="A2133" s="1" t="s">
        <v>221</v>
      </c>
      <c r="B2133" s="1" t="s">
        <v>4506</v>
      </c>
    </row>
    <row r="2134" spans="1:2" ht="15.5" x14ac:dyDescent="0.35">
      <c r="A2134" s="1" t="s">
        <v>220</v>
      </c>
      <c r="B2134" s="1" t="s">
        <v>4507</v>
      </c>
    </row>
    <row r="2135" spans="1:2" ht="15.5" x14ac:dyDescent="0.35">
      <c r="A2135" s="1" t="s">
        <v>219</v>
      </c>
      <c r="B2135" s="1" t="s">
        <v>4508</v>
      </c>
    </row>
    <row r="2136" spans="1:2" ht="15.5" x14ac:dyDescent="0.35">
      <c r="A2136" s="1" t="s">
        <v>218</v>
      </c>
      <c r="B2136" s="1" t="s">
        <v>4509</v>
      </c>
    </row>
    <row r="2137" spans="1:2" ht="15.5" x14ac:dyDescent="0.35">
      <c r="A2137" s="1" t="s">
        <v>217</v>
      </c>
      <c r="B2137" s="1" t="s">
        <v>4510</v>
      </c>
    </row>
    <row r="2138" spans="1:2" ht="15.5" x14ac:dyDescent="0.35">
      <c r="A2138" s="1" t="s">
        <v>216</v>
      </c>
      <c r="B2138" s="1" t="s">
        <v>4511</v>
      </c>
    </row>
    <row r="2139" spans="1:2" ht="15.5" x14ac:dyDescent="0.35">
      <c r="A2139" s="1" t="s">
        <v>215</v>
      </c>
      <c r="B2139" s="1" t="s">
        <v>4512</v>
      </c>
    </row>
    <row r="2140" spans="1:2" ht="15.5" x14ac:dyDescent="0.35">
      <c r="A2140" s="1" t="s">
        <v>214</v>
      </c>
      <c r="B2140" s="1" t="s">
        <v>4513</v>
      </c>
    </row>
    <row r="2141" spans="1:2" ht="15.5" x14ac:dyDescent="0.35">
      <c r="A2141" s="1" t="s">
        <v>213</v>
      </c>
      <c r="B2141" s="1" t="s">
        <v>4514</v>
      </c>
    </row>
    <row r="2142" spans="1:2" ht="15.5" x14ac:dyDescent="0.35">
      <c r="A2142" s="1" t="s">
        <v>212</v>
      </c>
      <c r="B2142" s="1" t="s">
        <v>4515</v>
      </c>
    </row>
    <row r="2143" spans="1:2" ht="15.5" x14ac:dyDescent="0.35">
      <c r="A2143" s="1" t="s">
        <v>211</v>
      </c>
      <c r="B2143" s="1" t="s">
        <v>4516</v>
      </c>
    </row>
    <row r="2144" spans="1:2" ht="15.5" x14ac:dyDescent="0.35">
      <c r="A2144" s="1" t="s">
        <v>210</v>
      </c>
      <c r="B2144" s="1" t="s">
        <v>4517</v>
      </c>
    </row>
    <row r="2145" spans="1:2" ht="15.5" x14ac:dyDescent="0.35">
      <c r="A2145" s="1" t="s">
        <v>209</v>
      </c>
      <c r="B2145" s="1" t="s">
        <v>4518</v>
      </c>
    </row>
    <row r="2146" spans="1:2" ht="15.5" x14ac:dyDescent="0.35">
      <c r="A2146" s="1" t="s">
        <v>208</v>
      </c>
      <c r="B2146" s="1" t="s">
        <v>4519</v>
      </c>
    </row>
    <row r="2147" spans="1:2" ht="15.5" x14ac:dyDescent="0.35">
      <c r="A2147" s="1" t="s">
        <v>207</v>
      </c>
      <c r="B2147" s="1" t="s">
        <v>4520</v>
      </c>
    </row>
    <row r="2148" spans="1:2" ht="15.5" x14ac:dyDescent="0.35">
      <c r="A2148" s="1" t="s">
        <v>206</v>
      </c>
      <c r="B2148" s="1" t="s">
        <v>4521</v>
      </c>
    </row>
    <row r="2149" spans="1:2" ht="15.5" x14ac:dyDescent="0.35">
      <c r="A2149" s="1" t="s">
        <v>205</v>
      </c>
      <c r="B2149" s="1" t="s">
        <v>4522</v>
      </c>
    </row>
    <row r="2150" spans="1:2" ht="15.5" x14ac:dyDescent="0.35">
      <c r="A2150" s="1" t="s">
        <v>204</v>
      </c>
      <c r="B2150" s="1" t="s">
        <v>4523</v>
      </c>
    </row>
    <row r="2151" spans="1:2" ht="15.5" x14ac:dyDescent="0.35">
      <c r="A2151" s="1" t="s">
        <v>203</v>
      </c>
      <c r="B2151" s="1" t="s">
        <v>4524</v>
      </c>
    </row>
    <row r="2152" spans="1:2" ht="15.5" x14ac:dyDescent="0.35">
      <c r="A2152" s="1" t="s">
        <v>202</v>
      </c>
      <c r="B2152" s="1" t="s">
        <v>4525</v>
      </c>
    </row>
    <row r="2153" spans="1:2" ht="15.5" x14ac:dyDescent="0.35">
      <c r="A2153" s="1" t="s">
        <v>201</v>
      </c>
      <c r="B2153" s="1" t="s">
        <v>4526</v>
      </c>
    </row>
    <row r="2154" spans="1:2" ht="15.5" x14ac:dyDescent="0.35">
      <c r="A2154" s="1" t="s">
        <v>200</v>
      </c>
      <c r="B2154" s="1" t="s">
        <v>4527</v>
      </c>
    </row>
    <row r="2155" spans="1:2" ht="15.5" x14ac:dyDescent="0.35">
      <c r="A2155" s="1" t="s">
        <v>199</v>
      </c>
      <c r="B2155" s="1" t="s">
        <v>4528</v>
      </c>
    </row>
    <row r="2156" spans="1:2" ht="15.5" x14ac:dyDescent="0.35">
      <c r="A2156" s="1" t="s">
        <v>198</v>
      </c>
      <c r="B2156" s="1" t="s">
        <v>4529</v>
      </c>
    </row>
    <row r="2157" spans="1:2" ht="15.5" x14ac:dyDescent="0.35">
      <c r="A2157" s="1" t="s">
        <v>197</v>
      </c>
      <c r="B2157" s="1" t="s">
        <v>4530</v>
      </c>
    </row>
    <row r="2158" spans="1:2" ht="15.5" x14ac:dyDescent="0.35">
      <c r="A2158" s="1" t="s">
        <v>196</v>
      </c>
      <c r="B2158" s="1" t="s">
        <v>4531</v>
      </c>
    </row>
    <row r="2159" spans="1:2" ht="15.5" x14ac:dyDescent="0.35">
      <c r="A2159" s="1" t="s">
        <v>195</v>
      </c>
      <c r="B2159" s="1" t="s">
        <v>4532</v>
      </c>
    </row>
    <row r="2160" spans="1:2" ht="15.5" x14ac:dyDescent="0.35">
      <c r="A2160" s="1" t="s">
        <v>194</v>
      </c>
      <c r="B2160" s="1" t="s">
        <v>4533</v>
      </c>
    </row>
    <row r="2161" spans="1:2" ht="15.5" x14ac:dyDescent="0.35">
      <c r="A2161" s="1" t="s">
        <v>193</v>
      </c>
      <c r="B2161" s="1" t="s">
        <v>4534</v>
      </c>
    </row>
    <row r="2162" spans="1:2" ht="15.5" x14ac:dyDescent="0.35">
      <c r="A2162" s="1" t="s">
        <v>192</v>
      </c>
      <c r="B2162" s="1" t="s">
        <v>4535</v>
      </c>
    </row>
    <row r="2163" spans="1:2" ht="15.5" x14ac:dyDescent="0.35">
      <c r="A2163" s="1" t="s">
        <v>191</v>
      </c>
      <c r="B2163" s="1" t="s">
        <v>4536</v>
      </c>
    </row>
    <row r="2164" spans="1:2" ht="15.5" x14ac:dyDescent="0.35">
      <c r="A2164" s="1" t="s">
        <v>189</v>
      </c>
      <c r="B2164" s="1" t="s">
        <v>4537</v>
      </c>
    </row>
    <row r="2165" spans="1:2" ht="15.5" x14ac:dyDescent="0.35">
      <c r="A2165" s="1" t="s">
        <v>188</v>
      </c>
      <c r="B2165" s="1" t="s">
        <v>4538</v>
      </c>
    </row>
    <row r="2166" spans="1:2" ht="15.5" x14ac:dyDescent="0.35">
      <c r="A2166" s="1" t="s">
        <v>187</v>
      </c>
      <c r="B2166" s="1" t="s">
        <v>4539</v>
      </c>
    </row>
    <row r="2167" spans="1:2" ht="15.5" x14ac:dyDescent="0.35">
      <c r="A2167" s="1" t="s">
        <v>186</v>
      </c>
      <c r="B2167" s="1" t="s">
        <v>4540</v>
      </c>
    </row>
    <row r="2168" spans="1:2" ht="15.5" x14ac:dyDescent="0.35">
      <c r="A2168" s="1" t="s">
        <v>185</v>
      </c>
      <c r="B2168" s="1" t="s">
        <v>4541</v>
      </c>
    </row>
    <row r="2169" spans="1:2" ht="15.5" x14ac:dyDescent="0.35">
      <c r="A2169" s="1" t="s">
        <v>184</v>
      </c>
      <c r="B2169" s="1" t="s">
        <v>4542</v>
      </c>
    </row>
    <row r="2170" spans="1:2" ht="15.5" x14ac:dyDescent="0.35">
      <c r="A2170" s="1" t="s">
        <v>183</v>
      </c>
      <c r="B2170" s="1" t="s">
        <v>4543</v>
      </c>
    </row>
    <row r="2171" spans="1:2" ht="15.5" x14ac:dyDescent="0.35">
      <c r="A2171" s="1" t="s">
        <v>182</v>
      </c>
      <c r="B2171" s="1" t="s">
        <v>4544</v>
      </c>
    </row>
    <row r="2172" spans="1:2" ht="15.5" x14ac:dyDescent="0.35">
      <c r="A2172" s="1" t="s">
        <v>181</v>
      </c>
      <c r="B2172" s="1" t="s">
        <v>4545</v>
      </c>
    </row>
    <row r="2173" spans="1:2" ht="15.5" x14ac:dyDescent="0.35">
      <c r="A2173" s="1" t="s">
        <v>180</v>
      </c>
      <c r="B2173" s="1" t="s">
        <v>4546</v>
      </c>
    </row>
    <row r="2174" spans="1:2" ht="15.5" x14ac:dyDescent="0.35">
      <c r="A2174" s="1" t="s">
        <v>179</v>
      </c>
      <c r="B2174" s="1" t="s">
        <v>4547</v>
      </c>
    </row>
    <row r="2175" spans="1:2" ht="15.5" x14ac:dyDescent="0.35">
      <c r="A2175" s="1" t="s">
        <v>178</v>
      </c>
      <c r="B2175" s="1" t="s">
        <v>4548</v>
      </c>
    </row>
    <row r="2176" spans="1:2" ht="15.5" x14ac:dyDescent="0.35">
      <c r="A2176" s="1" t="s">
        <v>177</v>
      </c>
      <c r="B2176" s="1" t="s">
        <v>4549</v>
      </c>
    </row>
    <row r="2177" spans="1:2" ht="15.5" x14ac:dyDescent="0.35">
      <c r="A2177" s="1" t="s">
        <v>176</v>
      </c>
      <c r="B2177" s="1" t="s">
        <v>4550</v>
      </c>
    </row>
    <row r="2178" spans="1:2" ht="15.5" x14ac:dyDescent="0.35">
      <c r="A2178" s="1" t="s">
        <v>175</v>
      </c>
      <c r="B2178" s="1" t="s">
        <v>4551</v>
      </c>
    </row>
    <row r="2179" spans="1:2" ht="15.5" x14ac:dyDescent="0.35">
      <c r="A2179" s="1" t="s">
        <v>174</v>
      </c>
      <c r="B2179" s="1" t="s">
        <v>4552</v>
      </c>
    </row>
    <row r="2180" spans="1:2" ht="15.5" x14ac:dyDescent="0.35">
      <c r="A2180" s="1" t="s">
        <v>173</v>
      </c>
      <c r="B2180" s="1" t="s">
        <v>4553</v>
      </c>
    </row>
    <row r="2181" spans="1:2" ht="15.5" x14ac:dyDescent="0.35">
      <c r="A2181" s="1" t="s">
        <v>172</v>
      </c>
      <c r="B2181" s="1" t="s">
        <v>4554</v>
      </c>
    </row>
    <row r="2182" spans="1:2" ht="15.5" x14ac:dyDescent="0.35">
      <c r="A2182" s="1" t="s">
        <v>171</v>
      </c>
      <c r="B2182" s="1" t="s">
        <v>4555</v>
      </c>
    </row>
    <row r="2183" spans="1:2" ht="15.5" x14ac:dyDescent="0.35">
      <c r="A2183" s="1" t="s">
        <v>170</v>
      </c>
      <c r="B2183" s="1" t="s">
        <v>4556</v>
      </c>
    </row>
    <row r="2184" spans="1:2" ht="15.5" x14ac:dyDescent="0.35">
      <c r="A2184" s="1" t="s">
        <v>169</v>
      </c>
      <c r="B2184" s="1" t="s">
        <v>4557</v>
      </c>
    </row>
    <row r="2185" spans="1:2" ht="15.5" x14ac:dyDescent="0.35">
      <c r="A2185" s="1" t="s">
        <v>168</v>
      </c>
      <c r="B2185" s="1" t="s">
        <v>4558</v>
      </c>
    </row>
    <row r="2186" spans="1:2" ht="15.5" x14ac:dyDescent="0.35">
      <c r="A2186" s="1" t="s">
        <v>167</v>
      </c>
      <c r="B2186" s="1" t="s">
        <v>4559</v>
      </c>
    </row>
    <row r="2187" spans="1:2" ht="15.5" x14ac:dyDescent="0.35">
      <c r="A2187" s="1" t="s">
        <v>166</v>
      </c>
      <c r="B2187" s="1" t="s">
        <v>4560</v>
      </c>
    </row>
    <row r="2188" spans="1:2" ht="15.5" x14ac:dyDescent="0.35">
      <c r="A2188" s="1" t="s">
        <v>165</v>
      </c>
      <c r="B2188" s="1" t="s">
        <v>4561</v>
      </c>
    </row>
    <row r="2189" spans="1:2" ht="15.5" x14ac:dyDescent="0.35">
      <c r="A2189" s="1" t="s">
        <v>164</v>
      </c>
      <c r="B2189" s="1" t="s">
        <v>4562</v>
      </c>
    </row>
    <row r="2190" spans="1:2" ht="15.5" x14ac:dyDescent="0.35">
      <c r="A2190" s="1" t="s">
        <v>163</v>
      </c>
      <c r="B2190" s="1" t="s">
        <v>4563</v>
      </c>
    </row>
    <row r="2191" spans="1:2" ht="15.5" x14ac:dyDescent="0.35">
      <c r="A2191" s="1" t="s">
        <v>162</v>
      </c>
      <c r="B2191" s="1" t="s">
        <v>4564</v>
      </c>
    </row>
    <row r="2192" spans="1:2" ht="15.5" x14ac:dyDescent="0.35">
      <c r="A2192" s="1" t="s">
        <v>161</v>
      </c>
      <c r="B2192" s="1" t="s">
        <v>4565</v>
      </c>
    </row>
    <row r="2193" spans="1:2" ht="15.5" x14ac:dyDescent="0.35">
      <c r="A2193" s="1" t="s">
        <v>159</v>
      </c>
      <c r="B2193" s="1" t="s">
        <v>4566</v>
      </c>
    </row>
    <row r="2194" spans="1:2" ht="15.5" x14ac:dyDescent="0.35">
      <c r="A2194" s="1" t="s">
        <v>157</v>
      </c>
      <c r="B2194" s="1" t="s">
        <v>4567</v>
      </c>
    </row>
    <row r="2195" spans="1:2" ht="15.5" x14ac:dyDescent="0.35">
      <c r="A2195" s="1" t="s">
        <v>155</v>
      </c>
      <c r="B2195" s="1" t="s">
        <v>4568</v>
      </c>
    </row>
    <row r="2196" spans="1:2" ht="15.5" x14ac:dyDescent="0.35">
      <c r="A2196" s="1" t="s">
        <v>153</v>
      </c>
      <c r="B2196" s="1" t="s">
        <v>4569</v>
      </c>
    </row>
    <row r="2197" spans="1:2" ht="15.5" x14ac:dyDescent="0.35">
      <c r="A2197" s="1" t="s">
        <v>152</v>
      </c>
      <c r="B2197" s="1" t="s">
        <v>4570</v>
      </c>
    </row>
    <row r="2198" spans="1:2" ht="15.5" x14ac:dyDescent="0.35">
      <c r="A2198" s="1" t="s">
        <v>151</v>
      </c>
      <c r="B2198" s="1" t="s">
        <v>4571</v>
      </c>
    </row>
    <row r="2199" spans="1:2" ht="15.5" x14ac:dyDescent="0.35">
      <c r="A2199" s="1" t="s">
        <v>150</v>
      </c>
      <c r="B2199" s="1" t="s">
        <v>4572</v>
      </c>
    </row>
    <row r="2200" spans="1:2" ht="15.5" x14ac:dyDescent="0.35">
      <c r="A2200" s="1" t="s">
        <v>149</v>
      </c>
      <c r="B2200" s="1" t="s">
        <v>4573</v>
      </c>
    </row>
    <row r="2201" spans="1:2" ht="15.5" x14ac:dyDescent="0.35">
      <c r="A2201" s="1" t="s">
        <v>148</v>
      </c>
      <c r="B2201" s="1" t="s">
        <v>4574</v>
      </c>
    </row>
    <row r="2202" spans="1:2" ht="15.5" x14ac:dyDescent="0.35">
      <c r="A2202" s="1" t="s">
        <v>147</v>
      </c>
      <c r="B2202" s="1" t="s">
        <v>4575</v>
      </c>
    </row>
    <row r="2203" spans="1:2" ht="15.5" x14ac:dyDescent="0.35">
      <c r="A2203" s="1" t="s">
        <v>146</v>
      </c>
      <c r="B2203" s="1" t="s">
        <v>4576</v>
      </c>
    </row>
    <row r="2204" spans="1:2" ht="15.5" x14ac:dyDescent="0.35">
      <c r="A2204" s="1" t="s">
        <v>145</v>
      </c>
      <c r="B2204" s="1" t="s">
        <v>4577</v>
      </c>
    </row>
    <row r="2205" spans="1:2" ht="15.5" x14ac:dyDescent="0.35">
      <c r="A2205" s="1" t="s">
        <v>144</v>
      </c>
      <c r="B2205" s="1" t="s">
        <v>4578</v>
      </c>
    </row>
    <row r="2206" spans="1:2" ht="15.5" x14ac:dyDescent="0.35">
      <c r="A2206" s="1" t="s">
        <v>143</v>
      </c>
      <c r="B2206" s="1" t="s">
        <v>4579</v>
      </c>
    </row>
    <row r="2207" spans="1:2" ht="15.5" x14ac:dyDescent="0.35">
      <c r="A2207" s="1" t="s">
        <v>142</v>
      </c>
      <c r="B2207" s="1" t="s">
        <v>4580</v>
      </c>
    </row>
    <row r="2208" spans="1:2" ht="15.5" x14ac:dyDescent="0.35">
      <c r="A2208" s="1" t="s">
        <v>141</v>
      </c>
      <c r="B2208" s="1" t="s">
        <v>4581</v>
      </c>
    </row>
    <row r="2209" spans="1:2" ht="15.5" x14ac:dyDescent="0.35">
      <c r="A2209" s="1" t="s">
        <v>140</v>
      </c>
      <c r="B2209" s="1" t="s">
        <v>4582</v>
      </c>
    </row>
    <row r="2210" spans="1:2" ht="15.5" x14ac:dyDescent="0.35">
      <c r="A2210" s="1" t="s">
        <v>139</v>
      </c>
      <c r="B2210" s="1" t="s">
        <v>4583</v>
      </c>
    </row>
    <row r="2211" spans="1:2" ht="15.5" x14ac:dyDescent="0.35">
      <c r="A2211" s="1" t="s">
        <v>138</v>
      </c>
      <c r="B2211" s="1" t="s">
        <v>4584</v>
      </c>
    </row>
    <row r="2212" spans="1:2" ht="15.5" x14ac:dyDescent="0.35">
      <c r="A2212" s="1" t="s">
        <v>137</v>
      </c>
      <c r="B2212" s="1" t="s">
        <v>4585</v>
      </c>
    </row>
    <row r="2213" spans="1:2" ht="15.5" x14ac:dyDescent="0.35">
      <c r="A2213" s="1" t="s">
        <v>136</v>
      </c>
      <c r="B2213" s="1" t="s">
        <v>4586</v>
      </c>
    </row>
    <row r="2214" spans="1:2" ht="15.5" x14ac:dyDescent="0.35">
      <c r="A2214" s="1" t="s">
        <v>135</v>
      </c>
      <c r="B2214" s="1" t="s">
        <v>4587</v>
      </c>
    </row>
    <row r="2215" spans="1:2" ht="15.5" x14ac:dyDescent="0.35">
      <c r="A2215" s="1" t="s">
        <v>134</v>
      </c>
      <c r="B2215" s="1" t="s">
        <v>4588</v>
      </c>
    </row>
    <row r="2216" spans="1:2" ht="15.5" x14ac:dyDescent="0.35">
      <c r="A2216" s="1" t="s">
        <v>133</v>
      </c>
      <c r="B2216" s="1" t="s">
        <v>4589</v>
      </c>
    </row>
    <row r="2217" spans="1:2" ht="15.5" x14ac:dyDescent="0.35">
      <c r="A2217" s="1" t="s">
        <v>132</v>
      </c>
      <c r="B2217" s="1" t="s">
        <v>4590</v>
      </c>
    </row>
    <row r="2218" spans="1:2" ht="15.5" x14ac:dyDescent="0.35">
      <c r="A2218" s="1" t="s">
        <v>131</v>
      </c>
      <c r="B2218" s="1" t="s">
        <v>4591</v>
      </c>
    </row>
    <row r="2219" spans="1:2" ht="15.5" x14ac:dyDescent="0.35">
      <c r="A2219" s="1" t="s">
        <v>130</v>
      </c>
      <c r="B2219" s="1" t="s">
        <v>4592</v>
      </c>
    </row>
    <row r="2220" spans="1:2" ht="15.5" x14ac:dyDescent="0.35">
      <c r="A2220" s="1" t="s">
        <v>129</v>
      </c>
      <c r="B2220" s="1" t="s">
        <v>4593</v>
      </c>
    </row>
    <row r="2221" spans="1:2" ht="15.5" x14ac:dyDescent="0.35">
      <c r="A2221" s="1" t="s">
        <v>128</v>
      </c>
      <c r="B2221" s="1" t="s">
        <v>4594</v>
      </c>
    </row>
    <row r="2222" spans="1:2" ht="15.5" x14ac:dyDescent="0.35">
      <c r="A2222" s="1" t="s">
        <v>127</v>
      </c>
      <c r="B2222" s="1" t="s">
        <v>4595</v>
      </c>
    </row>
    <row r="2223" spans="1:2" ht="15.5" x14ac:dyDescent="0.35">
      <c r="A2223" s="1" t="s">
        <v>126</v>
      </c>
      <c r="B2223" s="1" t="s">
        <v>4596</v>
      </c>
    </row>
    <row r="2224" spans="1:2" ht="15.5" x14ac:dyDescent="0.35">
      <c r="A2224" s="1" t="s">
        <v>125</v>
      </c>
      <c r="B2224" s="1" t="s">
        <v>4597</v>
      </c>
    </row>
    <row r="2225" spans="1:2" ht="15.5" x14ac:dyDescent="0.35">
      <c r="A2225" s="1" t="s">
        <v>124</v>
      </c>
      <c r="B2225" s="1" t="s">
        <v>4598</v>
      </c>
    </row>
    <row r="2226" spans="1:2" ht="15.5" x14ac:dyDescent="0.35">
      <c r="A2226" s="1" t="s">
        <v>123</v>
      </c>
      <c r="B2226" s="1" t="s">
        <v>4599</v>
      </c>
    </row>
    <row r="2227" spans="1:2" ht="15.5" x14ac:dyDescent="0.35">
      <c r="A2227" s="1" t="s">
        <v>122</v>
      </c>
      <c r="B2227" s="1" t="s">
        <v>4600</v>
      </c>
    </row>
    <row r="2228" spans="1:2" ht="15.5" x14ac:dyDescent="0.35">
      <c r="A2228" s="1" t="s">
        <v>121</v>
      </c>
      <c r="B2228" s="1" t="s">
        <v>4601</v>
      </c>
    </row>
    <row r="2229" spans="1:2" ht="15.5" x14ac:dyDescent="0.35">
      <c r="A2229" s="1" t="s">
        <v>120</v>
      </c>
      <c r="B2229" s="1" t="s">
        <v>4602</v>
      </c>
    </row>
    <row r="2230" spans="1:2" ht="15.5" x14ac:dyDescent="0.35">
      <c r="A2230" s="1" t="s">
        <v>119</v>
      </c>
      <c r="B2230" s="1" t="s">
        <v>4603</v>
      </c>
    </row>
    <row r="2231" spans="1:2" ht="15.5" x14ac:dyDescent="0.35">
      <c r="A2231" s="1" t="s">
        <v>118</v>
      </c>
      <c r="B2231" s="1" t="s">
        <v>4604</v>
      </c>
    </row>
    <row r="2232" spans="1:2" ht="15.5" x14ac:dyDescent="0.35">
      <c r="A2232" s="1" t="s">
        <v>117</v>
      </c>
      <c r="B2232" s="1" t="s">
        <v>4605</v>
      </c>
    </row>
    <row r="2233" spans="1:2" ht="15.5" x14ac:dyDescent="0.35">
      <c r="A2233" s="1" t="s">
        <v>116</v>
      </c>
      <c r="B2233" s="1" t="s">
        <v>4606</v>
      </c>
    </row>
    <row r="2234" spans="1:2" ht="15.5" x14ac:dyDescent="0.35">
      <c r="A2234" s="1" t="s">
        <v>115</v>
      </c>
      <c r="B2234" s="1" t="s">
        <v>4607</v>
      </c>
    </row>
    <row r="2235" spans="1:2" ht="15.5" x14ac:dyDescent="0.35">
      <c r="A2235" s="1" t="s">
        <v>114</v>
      </c>
      <c r="B2235" s="1" t="s">
        <v>4608</v>
      </c>
    </row>
    <row r="2236" spans="1:2" ht="15.5" x14ac:dyDescent="0.35">
      <c r="A2236" s="1" t="s">
        <v>113</v>
      </c>
      <c r="B2236" s="1" t="s">
        <v>4609</v>
      </c>
    </row>
    <row r="2237" spans="1:2" ht="15.5" x14ac:dyDescent="0.35">
      <c r="A2237" s="1" t="s">
        <v>112</v>
      </c>
      <c r="B2237" s="1" t="s">
        <v>4610</v>
      </c>
    </row>
    <row r="2238" spans="1:2" ht="15.5" x14ac:dyDescent="0.35">
      <c r="A2238" s="1" t="s">
        <v>111</v>
      </c>
      <c r="B2238" s="1" t="s">
        <v>4611</v>
      </c>
    </row>
    <row r="2239" spans="1:2" ht="15.5" x14ac:dyDescent="0.35">
      <c r="A2239" s="1" t="s">
        <v>110</v>
      </c>
      <c r="B2239" s="1" t="s">
        <v>4612</v>
      </c>
    </row>
    <row r="2240" spans="1:2" ht="15.5" x14ac:dyDescent="0.35">
      <c r="A2240" s="1" t="s">
        <v>109</v>
      </c>
      <c r="B2240" s="1" t="s">
        <v>4613</v>
      </c>
    </row>
    <row r="2241" spans="1:2" ht="15.5" x14ac:dyDescent="0.35">
      <c r="A2241" s="1" t="s">
        <v>108</v>
      </c>
      <c r="B2241" s="1" t="s">
        <v>4614</v>
      </c>
    </row>
    <row r="2242" spans="1:2" ht="15.5" x14ac:dyDescent="0.35">
      <c r="A2242" s="1" t="s">
        <v>107</v>
      </c>
      <c r="B2242" s="1" t="s">
        <v>4615</v>
      </c>
    </row>
    <row r="2243" spans="1:2" ht="15.5" x14ac:dyDescent="0.35">
      <c r="A2243" s="1" t="s">
        <v>106</v>
      </c>
      <c r="B2243" s="1" t="s">
        <v>4616</v>
      </c>
    </row>
    <row r="2244" spans="1:2" ht="15.5" x14ac:dyDescent="0.35">
      <c r="A2244" s="1" t="s">
        <v>105</v>
      </c>
      <c r="B2244" s="1" t="s">
        <v>4617</v>
      </c>
    </row>
    <row r="2245" spans="1:2" ht="15.5" x14ac:dyDescent="0.35">
      <c r="A2245" s="1" t="s">
        <v>104</v>
      </c>
      <c r="B2245" s="1" t="s">
        <v>4618</v>
      </c>
    </row>
    <row r="2246" spans="1:2" ht="15.5" x14ac:dyDescent="0.35">
      <c r="A2246" s="1" t="s">
        <v>103</v>
      </c>
      <c r="B2246" s="1" t="s">
        <v>4619</v>
      </c>
    </row>
    <row r="2247" spans="1:2" ht="15.5" x14ac:dyDescent="0.35">
      <c r="A2247" s="1" t="s">
        <v>102</v>
      </c>
      <c r="B2247" s="1" t="s">
        <v>4620</v>
      </c>
    </row>
    <row r="2248" spans="1:2" ht="15.5" x14ac:dyDescent="0.35">
      <c r="A2248" s="1" t="s">
        <v>101</v>
      </c>
      <c r="B2248" s="1" t="s">
        <v>4621</v>
      </c>
    </row>
    <row r="2249" spans="1:2" ht="15.5" x14ac:dyDescent="0.35">
      <c r="A2249" s="1" t="s">
        <v>100</v>
      </c>
      <c r="B2249" s="1" t="s">
        <v>4622</v>
      </c>
    </row>
    <row r="2250" spans="1:2" ht="15.5" x14ac:dyDescent="0.35">
      <c r="A2250" s="1" t="s">
        <v>99</v>
      </c>
      <c r="B2250" s="1" t="s">
        <v>4623</v>
      </c>
    </row>
    <row r="2251" spans="1:2" ht="15.5" x14ac:dyDescent="0.35">
      <c r="A2251" s="1" t="s">
        <v>98</v>
      </c>
      <c r="B2251" s="1" t="s">
        <v>4624</v>
      </c>
    </row>
    <row r="2252" spans="1:2" ht="15.5" x14ac:dyDescent="0.35">
      <c r="A2252" s="1" t="s">
        <v>97</v>
      </c>
      <c r="B2252" s="1" t="s">
        <v>4625</v>
      </c>
    </row>
    <row r="2253" spans="1:2" ht="15.5" x14ac:dyDescent="0.35">
      <c r="A2253" s="1" t="s">
        <v>96</v>
      </c>
      <c r="B2253" s="1" t="s">
        <v>4626</v>
      </c>
    </row>
    <row r="2254" spans="1:2" ht="15.5" x14ac:dyDescent="0.35">
      <c r="A2254" s="1" t="s">
        <v>95</v>
      </c>
      <c r="B2254" s="1" t="s">
        <v>4627</v>
      </c>
    </row>
    <row r="2255" spans="1:2" ht="15.5" x14ac:dyDescent="0.35">
      <c r="A2255" s="1" t="s">
        <v>94</v>
      </c>
      <c r="B2255" s="1" t="s">
        <v>4628</v>
      </c>
    </row>
    <row r="2256" spans="1:2" ht="15.5" x14ac:dyDescent="0.35">
      <c r="A2256" s="1" t="s">
        <v>93</v>
      </c>
      <c r="B2256" s="1" t="s">
        <v>4629</v>
      </c>
    </row>
    <row r="2257" spans="1:2" ht="15.5" x14ac:dyDescent="0.35">
      <c r="A2257" s="1" t="s">
        <v>92</v>
      </c>
      <c r="B2257" s="1" t="s">
        <v>4630</v>
      </c>
    </row>
    <row r="2258" spans="1:2" ht="15.5" x14ac:dyDescent="0.35">
      <c r="A2258" s="1" t="s">
        <v>91</v>
      </c>
      <c r="B2258" s="1" t="s">
        <v>4631</v>
      </c>
    </row>
    <row r="2259" spans="1:2" ht="15.5" x14ac:dyDescent="0.35">
      <c r="A2259" s="1" t="s">
        <v>90</v>
      </c>
      <c r="B2259" s="1" t="s">
        <v>4632</v>
      </c>
    </row>
    <row r="2260" spans="1:2" ht="15.5" x14ac:dyDescent="0.35">
      <c r="A2260" s="1" t="s">
        <v>89</v>
      </c>
      <c r="B2260" s="1" t="s">
        <v>4633</v>
      </c>
    </row>
    <row r="2261" spans="1:2" ht="15.5" x14ac:dyDescent="0.35">
      <c r="A2261" s="1" t="s">
        <v>88</v>
      </c>
      <c r="B2261" s="1" t="s">
        <v>4634</v>
      </c>
    </row>
    <row r="2262" spans="1:2" ht="15.5" x14ac:dyDescent="0.35">
      <c r="A2262" s="1" t="s">
        <v>87</v>
      </c>
      <c r="B2262" s="1" t="s">
        <v>4635</v>
      </c>
    </row>
    <row r="2263" spans="1:2" ht="15.5" x14ac:dyDescent="0.35">
      <c r="A2263" s="1" t="s">
        <v>86</v>
      </c>
      <c r="B2263" s="1" t="s">
        <v>4636</v>
      </c>
    </row>
    <row r="2264" spans="1:2" ht="15.5" x14ac:dyDescent="0.35">
      <c r="A2264" s="1" t="s">
        <v>85</v>
      </c>
      <c r="B2264" s="1" t="s">
        <v>4637</v>
      </c>
    </row>
    <row r="2265" spans="1:2" ht="15.5" x14ac:dyDescent="0.35">
      <c r="A2265" s="1" t="s">
        <v>84</v>
      </c>
      <c r="B2265" s="1" t="s">
        <v>4638</v>
      </c>
    </row>
    <row r="2266" spans="1:2" ht="15.5" x14ac:dyDescent="0.35">
      <c r="A2266" s="1" t="s">
        <v>83</v>
      </c>
      <c r="B2266" s="1" t="s">
        <v>4639</v>
      </c>
    </row>
    <row r="2267" spans="1:2" ht="15.5" x14ac:dyDescent="0.35">
      <c r="A2267" s="1" t="s">
        <v>82</v>
      </c>
      <c r="B2267" s="1" t="s">
        <v>4640</v>
      </c>
    </row>
    <row r="2268" spans="1:2" ht="15.5" x14ac:dyDescent="0.35">
      <c r="A2268" s="1" t="s">
        <v>81</v>
      </c>
      <c r="B2268" s="1" t="s">
        <v>4641</v>
      </c>
    </row>
    <row r="2269" spans="1:2" ht="15.5" x14ac:dyDescent="0.35">
      <c r="A2269" s="1" t="s">
        <v>80</v>
      </c>
      <c r="B2269" s="1" t="s">
        <v>4642</v>
      </c>
    </row>
    <row r="2270" spans="1:2" ht="15.5" x14ac:dyDescent="0.35">
      <c r="A2270" s="1" t="s">
        <v>79</v>
      </c>
      <c r="B2270" s="1" t="s">
        <v>4643</v>
      </c>
    </row>
    <row r="2271" spans="1:2" ht="15.5" x14ac:dyDescent="0.35">
      <c r="A2271" s="1" t="s">
        <v>78</v>
      </c>
      <c r="B2271" s="1" t="s">
        <v>4644</v>
      </c>
    </row>
    <row r="2272" spans="1:2" ht="15.5" x14ac:dyDescent="0.35">
      <c r="A2272" s="1" t="s">
        <v>77</v>
      </c>
      <c r="B2272" s="1" t="s">
        <v>4645</v>
      </c>
    </row>
    <row r="2273" spans="1:2" ht="15.5" x14ac:dyDescent="0.35">
      <c r="A2273" s="1" t="s">
        <v>76</v>
      </c>
      <c r="B2273" s="1" t="s">
        <v>4646</v>
      </c>
    </row>
    <row r="2274" spans="1:2" ht="15.5" x14ac:dyDescent="0.35">
      <c r="A2274" s="1" t="s">
        <v>75</v>
      </c>
      <c r="B2274" s="1" t="s">
        <v>4647</v>
      </c>
    </row>
    <row r="2275" spans="1:2" ht="15.5" x14ac:dyDescent="0.35">
      <c r="A2275" s="1" t="s">
        <v>74</v>
      </c>
      <c r="B2275" s="1" t="s">
        <v>4648</v>
      </c>
    </row>
    <row r="2276" spans="1:2" ht="15.5" x14ac:dyDescent="0.35">
      <c r="A2276" s="1" t="s">
        <v>73</v>
      </c>
      <c r="B2276" s="1" t="s">
        <v>4649</v>
      </c>
    </row>
    <row r="2277" spans="1:2" ht="15.5" x14ac:dyDescent="0.35">
      <c r="A2277" s="1" t="s">
        <v>72</v>
      </c>
      <c r="B2277" s="1" t="s">
        <v>4650</v>
      </c>
    </row>
    <row r="2278" spans="1:2" ht="15.5" x14ac:dyDescent="0.35">
      <c r="A2278" s="1" t="s">
        <v>71</v>
      </c>
      <c r="B2278" s="1" t="s">
        <v>4651</v>
      </c>
    </row>
    <row r="2279" spans="1:2" ht="15.5" x14ac:dyDescent="0.35">
      <c r="A2279" s="1" t="s">
        <v>70</v>
      </c>
      <c r="B2279" s="1" t="s">
        <v>4652</v>
      </c>
    </row>
    <row r="2280" spans="1:2" ht="15.5" x14ac:dyDescent="0.35">
      <c r="A2280" s="1" t="s">
        <v>69</v>
      </c>
      <c r="B2280" s="1" t="s">
        <v>4653</v>
      </c>
    </row>
    <row r="2281" spans="1:2" ht="15.5" x14ac:dyDescent="0.35">
      <c r="A2281" s="1" t="s">
        <v>68</v>
      </c>
      <c r="B2281" s="1" t="s">
        <v>4654</v>
      </c>
    </row>
    <row r="2282" spans="1:2" ht="15.5" x14ac:dyDescent="0.35">
      <c r="A2282" s="1" t="s">
        <v>67</v>
      </c>
      <c r="B2282" s="1" t="s">
        <v>4655</v>
      </c>
    </row>
    <row r="2283" spans="1:2" ht="15.5" x14ac:dyDescent="0.35">
      <c r="A2283" s="1" t="s">
        <v>66</v>
      </c>
      <c r="B2283" s="1" t="s">
        <v>4656</v>
      </c>
    </row>
    <row r="2284" spans="1:2" ht="15.5" x14ac:dyDescent="0.35">
      <c r="A2284" s="1" t="s">
        <v>65</v>
      </c>
      <c r="B2284" s="1" t="s">
        <v>4657</v>
      </c>
    </row>
    <row r="2285" spans="1:2" ht="15.5" x14ac:dyDescent="0.35">
      <c r="A2285" s="1" t="s">
        <v>64</v>
      </c>
      <c r="B2285" s="1" t="s">
        <v>4658</v>
      </c>
    </row>
    <row r="2286" spans="1:2" ht="15.5" x14ac:dyDescent="0.35">
      <c r="A2286" s="1" t="s">
        <v>63</v>
      </c>
      <c r="B2286" s="1" t="s">
        <v>4659</v>
      </c>
    </row>
    <row r="2287" spans="1:2" ht="15.5" x14ac:dyDescent="0.35">
      <c r="A2287" s="1" t="s">
        <v>62</v>
      </c>
      <c r="B2287" s="1" t="s">
        <v>4660</v>
      </c>
    </row>
    <row r="2288" spans="1:2" ht="15.5" x14ac:dyDescent="0.35">
      <c r="A2288" s="1" t="s">
        <v>61</v>
      </c>
      <c r="B2288" s="1" t="s">
        <v>4661</v>
      </c>
    </row>
    <row r="2289" spans="1:2" ht="15.5" x14ac:dyDescent="0.35">
      <c r="A2289" s="1" t="s">
        <v>60</v>
      </c>
      <c r="B2289" s="1" t="s">
        <v>4662</v>
      </c>
    </row>
    <row r="2290" spans="1:2" ht="15.5" x14ac:dyDescent="0.35">
      <c r="A2290" s="1" t="s">
        <v>59</v>
      </c>
      <c r="B2290" s="1" t="s">
        <v>4663</v>
      </c>
    </row>
    <row r="2291" spans="1:2" ht="15.5" x14ac:dyDescent="0.35">
      <c r="A2291" s="1" t="s">
        <v>58</v>
      </c>
      <c r="B2291" s="1" t="s">
        <v>4664</v>
      </c>
    </row>
    <row r="2292" spans="1:2" ht="15.5" x14ac:dyDescent="0.35">
      <c r="A2292" s="1" t="s">
        <v>57</v>
      </c>
      <c r="B2292" s="1" t="s">
        <v>4665</v>
      </c>
    </row>
    <row r="2293" spans="1:2" ht="15.5" x14ac:dyDescent="0.35">
      <c r="A2293" s="1" t="s">
        <v>56</v>
      </c>
      <c r="B2293" s="1" t="s">
        <v>4666</v>
      </c>
    </row>
    <row r="2294" spans="1:2" ht="15.5" x14ac:dyDescent="0.35">
      <c r="A2294" s="1" t="s">
        <v>55</v>
      </c>
      <c r="B2294" s="1" t="s">
        <v>4667</v>
      </c>
    </row>
    <row r="2295" spans="1:2" ht="15.5" x14ac:dyDescent="0.35">
      <c r="A2295" s="1" t="s">
        <v>54</v>
      </c>
      <c r="B2295" s="1" t="s">
        <v>4668</v>
      </c>
    </row>
    <row r="2296" spans="1:2" ht="15.5" x14ac:dyDescent="0.35">
      <c r="A2296" s="1" t="s">
        <v>53</v>
      </c>
      <c r="B2296" s="1" t="s">
        <v>4669</v>
      </c>
    </row>
    <row r="2297" spans="1:2" ht="15.5" x14ac:dyDescent="0.35">
      <c r="A2297" s="1" t="s">
        <v>52</v>
      </c>
      <c r="B2297" s="1" t="s">
        <v>4670</v>
      </c>
    </row>
    <row r="2298" spans="1:2" ht="15.5" x14ac:dyDescent="0.35">
      <c r="A2298" s="1" t="s">
        <v>51</v>
      </c>
      <c r="B2298" s="1" t="s">
        <v>4671</v>
      </c>
    </row>
    <row r="2299" spans="1:2" ht="15.5" x14ac:dyDescent="0.35">
      <c r="A2299" s="1" t="s">
        <v>50</v>
      </c>
      <c r="B2299" s="1" t="s">
        <v>4672</v>
      </c>
    </row>
    <row r="2300" spans="1:2" ht="15.5" x14ac:dyDescent="0.35">
      <c r="A2300" s="1" t="s">
        <v>49</v>
      </c>
      <c r="B2300" s="1" t="s">
        <v>4673</v>
      </c>
    </row>
    <row r="2301" spans="1:2" ht="15.5" x14ac:dyDescent="0.35">
      <c r="A2301" s="1" t="s">
        <v>48</v>
      </c>
      <c r="B2301" s="1" t="s">
        <v>4674</v>
      </c>
    </row>
    <row r="2302" spans="1:2" ht="15.5" x14ac:dyDescent="0.35">
      <c r="A2302" s="1" t="s">
        <v>47</v>
      </c>
      <c r="B2302" s="1" t="s">
        <v>4675</v>
      </c>
    </row>
    <row r="2303" spans="1:2" ht="15.5" x14ac:dyDescent="0.35">
      <c r="A2303" s="1" t="s">
        <v>46</v>
      </c>
      <c r="B2303" s="1" t="s">
        <v>4676</v>
      </c>
    </row>
    <row r="2304" spans="1:2" ht="15.5" x14ac:dyDescent="0.35">
      <c r="A2304" s="1" t="s">
        <v>45</v>
      </c>
      <c r="B2304" s="1" t="s">
        <v>4677</v>
      </c>
    </row>
    <row r="2305" spans="1:2" ht="15.5" x14ac:dyDescent="0.35">
      <c r="A2305" s="1" t="s">
        <v>44</v>
      </c>
      <c r="B2305" s="1" t="s">
        <v>4678</v>
      </c>
    </row>
    <row r="2306" spans="1:2" ht="15.5" x14ac:dyDescent="0.35">
      <c r="A2306" s="1" t="s">
        <v>43</v>
      </c>
      <c r="B2306" s="1" t="s">
        <v>4679</v>
      </c>
    </row>
    <row r="2307" spans="1:2" ht="15.5" x14ac:dyDescent="0.35">
      <c r="A2307" s="1" t="s">
        <v>42</v>
      </c>
      <c r="B2307" s="1" t="s">
        <v>4680</v>
      </c>
    </row>
    <row r="2308" spans="1:2" ht="15.5" x14ac:dyDescent="0.35">
      <c r="A2308" s="1" t="s">
        <v>41</v>
      </c>
      <c r="B2308" s="1" t="s">
        <v>4681</v>
      </c>
    </row>
    <row r="2309" spans="1:2" ht="15.5" x14ac:dyDescent="0.35">
      <c r="A2309" s="1" t="s">
        <v>40</v>
      </c>
      <c r="B2309" s="1" t="s">
        <v>4682</v>
      </c>
    </row>
    <row r="2310" spans="1:2" ht="15.5" x14ac:dyDescent="0.35">
      <c r="A2310" s="1" t="s">
        <v>39</v>
      </c>
      <c r="B2310" s="1" t="s">
        <v>4683</v>
      </c>
    </row>
    <row r="2311" spans="1:2" ht="15.5" x14ac:dyDescent="0.35">
      <c r="A2311" s="1" t="s">
        <v>38</v>
      </c>
      <c r="B2311" s="1" t="s">
        <v>4684</v>
      </c>
    </row>
    <row r="2312" spans="1:2" ht="15.5" x14ac:dyDescent="0.35">
      <c r="A2312" s="1" t="s">
        <v>37</v>
      </c>
      <c r="B2312" s="1" t="s">
        <v>4685</v>
      </c>
    </row>
    <row r="2313" spans="1:2" ht="15.5" x14ac:dyDescent="0.35">
      <c r="A2313" s="1" t="s">
        <v>36</v>
      </c>
      <c r="B2313" s="1" t="s">
        <v>4686</v>
      </c>
    </row>
    <row r="2314" spans="1:2" ht="15.5" x14ac:dyDescent="0.35">
      <c r="A2314" s="1" t="s">
        <v>35</v>
      </c>
      <c r="B2314" s="1" t="s">
        <v>4687</v>
      </c>
    </row>
    <row r="2315" spans="1:2" ht="15.5" x14ac:dyDescent="0.35">
      <c r="A2315" s="1" t="s">
        <v>34</v>
      </c>
      <c r="B2315" s="1" t="s">
        <v>4688</v>
      </c>
    </row>
    <row r="2316" spans="1:2" ht="15.5" x14ac:dyDescent="0.35">
      <c r="A2316" s="1" t="s">
        <v>33</v>
      </c>
      <c r="B2316" s="1" t="s">
        <v>4689</v>
      </c>
    </row>
    <row r="2317" spans="1:2" ht="15.5" x14ac:dyDescent="0.35">
      <c r="A2317" s="1" t="s">
        <v>31</v>
      </c>
      <c r="B2317" s="1" t="s">
        <v>4690</v>
      </c>
    </row>
    <row r="2318" spans="1:2" ht="15.5" x14ac:dyDescent="0.35">
      <c r="A2318" s="1" t="s">
        <v>30</v>
      </c>
      <c r="B2318" s="1" t="s">
        <v>4691</v>
      </c>
    </row>
    <row r="2319" spans="1:2" ht="15.5" x14ac:dyDescent="0.35">
      <c r="A2319" s="1" t="s">
        <v>29</v>
      </c>
      <c r="B2319" s="1" t="s">
        <v>4692</v>
      </c>
    </row>
    <row r="2320" spans="1:2" ht="15.5" x14ac:dyDescent="0.35">
      <c r="A2320" s="1" t="s">
        <v>28</v>
      </c>
      <c r="B2320" s="1" t="s">
        <v>4693</v>
      </c>
    </row>
    <row r="2321" spans="1:2" ht="15.5" x14ac:dyDescent="0.35">
      <c r="A2321" s="1" t="s">
        <v>27</v>
      </c>
      <c r="B2321" s="1" t="s">
        <v>4694</v>
      </c>
    </row>
    <row r="2322" spans="1:2" ht="15.5" x14ac:dyDescent="0.35">
      <c r="A2322" s="1" t="s">
        <v>26</v>
      </c>
      <c r="B2322" s="1" t="s">
        <v>4695</v>
      </c>
    </row>
    <row r="2323" spans="1:2" ht="15.5" x14ac:dyDescent="0.35">
      <c r="A2323" s="1" t="s">
        <v>25</v>
      </c>
      <c r="B2323" s="1" t="s">
        <v>4696</v>
      </c>
    </row>
    <row r="2324" spans="1:2" ht="15.5" x14ac:dyDescent="0.35">
      <c r="A2324" s="1" t="s">
        <v>24</v>
      </c>
      <c r="B2324" s="1" t="s">
        <v>4697</v>
      </c>
    </row>
    <row r="2325" spans="1:2" ht="15.5" x14ac:dyDescent="0.35">
      <c r="A2325" s="1" t="s">
        <v>22</v>
      </c>
      <c r="B2325" s="1" t="s">
        <v>4698</v>
      </c>
    </row>
    <row r="2326" spans="1:2" ht="15.5" x14ac:dyDescent="0.35">
      <c r="A2326" s="1" t="s">
        <v>21</v>
      </c>
      <c r="B2326" s="1" t="s">
        <v>4699</v>
      </c>
    </row>
    <row r="2327" spans="1:2" ht="15.5" x14ac:dyDescent="0.35">
      <c r="A2327" s="1" t="s">
        <v>20</v>
      </c>
      <c r="B2327" s="1" t="s">
        <v>4700</v>
      </c>
    </row>
    <row r="2328" spans="1:2" ht="15.5" x14ac:dyDescent="0.35">
      <c r="A2328" s="1" t="s">
        <v>19</v>
      </c>
      <c r="B2328" s="1" t="s">
        <v>4701</v>
      </c>
    </row>
    <row r="2329" spans="1:2" ht="15.5" x14ac:dyDescent="0.35">
      <c r="A2329" s="1" t="s">
        <v>18</v>
      </c>
      <c r="B2329" s="1" t="s">
        <v>4702</v>
      </c>
    </row>
    <row r="2330" spans="1:2" ht="15.5" x14ac:dyDescent="0.35">
      <c r="A2330" s="1" t="s">
        <v>17</v>
      </c>
      <c r="B2330" s="1" t="s">
        <v>4703</v>
      </c>
    </row>
    <row r="2331" spans="1:2" ht="15.5" x14ac:dyDescent="0.35">
      <c r="A2331" s="1" t="s">
        <v>15</v>
      </c>
      <c r="B2331" s="1" t="s">
        <v>4704</v>
      </c>
    </row>
    <row r="2332" spans="1:2" ht="15.5" x14ac:dyDescent="0.35">
      <c r="A2332" s="1" t="s">
        <v>14</v>
      </c>
      <c r="B2332" s="1" t="s">
        <v>4705</v>
      </c>
    </row>
    <row r="2333" spans="1:2" ht="15.5" x14ac:dyDescent="0.35">
      <c r="A2333" s="1" t="s">
        <v>13</v>
      </c>
      <c r="B2333" s="1" t="s">
        <v>4706</v>
      </c>
    </row>
    <row r="2334" spans="1:2" ht="15.5" x14ac:dyDescent="0.35">
      <c r="A2334" s="1" t="s">
        <v>12</v>
      </c>
      <c r="B2334" s="1" t="s">
        <v>4707</v>
      </c>
    </row>
    <row r="2335" spans="1:2" ht="15.5" x14ac:dyDescent="0.35">
      <c r="A2335" s="1" t="s">
        <v>10</v>
      </c>
      <c r="B2335" s="1" t="s">
        <v>4708</v>
      </c>
    </row>
    <row r="2336" spans="1:2" ht="15.5" x14ac:dyDescent="0.35">
      <c r="A2336" s="1" t="s">
        <v>6</v>
      </c>
      <c r="B2336" s="1" t="s">
        <v>4709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workbookViewId="0">
      <selection sqref="A1:XFD1048576"/>
    </sheetView>
  </sheetViews>
  <sheetFormatPr defaultRowHeight="14.5" x14ac:dyDescent="0.35"/>
  <cols>
    <col min="1" max="1" width="11.81640625" bestFit="1" customWidth="1"/>
    <col min="4" max="4" width="11.7265625" bestFit="1" customWidth="1"/>
    <col min="5" max="5" width="15.1796875" bestFit="1" customWidth="1"/>
    <col min="6" max="6" width="13.7265625" bestFit="1" customWidth="1"/>
    <col min="7" max="7" width="24.26953125" bestFit="1" customWidth="1"/>
  </cols>
  <sheetData>
    <row r="1" spans="1:8" ht="19" customHeight="1" x14ac:dyDescent="0.35">
      <c r="A1" s="3" t="s">
        <v>0</v>
      </c>
      <c r="B1" s="3" t="s">
        <v>2363</v>
      </c>
      <c r="C1" s="3" t="s">
        <v>2364</v>
      </c>
      <c r="D1" s="3" t="s">
        <v>2365</v>
      </c>
      <c r="E1" s="3" t="s">
        <v>2366</v>
      </c>
      <c r="F1" s="3" t="s">
        <v>2367</v>
      </c>
      <c r="G1" s="3" t="s">
        <v>2368</v>
      </c>
      <c r="H1" s="3" t="s">
        <v>2369</v>
      </c>
    </row>
    <row r="2" spans="1:8" x14ac:dyDescent="0.35">
      <c r="A2" t="s">
        <v>2362</v>
      </c>
      <c r="B2">
        <v>47.41</v>
      </c>
      <c r="C2">
        <v>7.47</v>
      </c>
      <c r="D2" t="s">
        <v>2370</v>
      </c>
      <c r="E2" t="s">
        <v>2370</v>
      </c>
      <c r="F2" t="s">
        <v>2370</v>
      </c>
      <c r="G2" t="s">
        <v>2371</v>
      </c>
      <c r="H2" t="s">
        <v>2372</v>
      </c>
    </row>
    <row r="3" spans="1:8" x14ac:dyDescent="0.35">
      <c r="A3" t="s">
        <v>2361</v>
      </c>
      <c r="B3">
        <v>30.36</v>
      </c>
      <c r="C3">
        <v>5.77</v>
      </c>
      <c r="D3" t="s">
        <v>2370</v>
      </c>
      <c r="E3" t="s">
        <v>2370</v>
      </c>
      <c r="F3" t="s">
        <v>2370</v>
      </c>
      <c r="G3" t="s">
        <v>2371</v>
      </c>
      <c r="H3" t="s">
        <v>2372</v>
      </c>
    </row>
    <row r="4" spans="1:8" x14ac:dyDescent="0.35">
      <c r="A4" t="s">
        <v>2360</v>
      </c>
      <c r="B4">
        <v>34.484999999999999</v>
      </c>
      <c r="C4">
        <v>11.87</v>
      </c>
      <c r="D4" t="s">
        <v>2372</v>
      </c>
      <c r="E4" t="s">
        <v>2370</v>
      </c>
      <c r="F4" t="s">
        <v>2370</v>
      </c>
      <c r="G4">
        <v>2</v>
      </c>
      <c r="H4" t="s">
        <v>2372</v>
      </c>
    </row>
    <row r="5" spans="1:8" x14ac:dyDescent="0.35">
      <c r="A5" t="s">
        <v>2359</v>
      </c>
      <c r="B5">
        <v>38.094999999999999</v>
      </c>
      <c r="C5">
        <v>6.05</v>
      </c>
      <c r="D5" t="s">
        <v>2370</v>
      </c>
      <c r="E5" t="s">
        <v>2370</v>
      </c>
      <c r="F5" t="s">
        <v>2370</v>
      </c>
      <c r="G5" t="s">
        <v>2371</v>
      </c>
      <c r="H5" t="s">
        <v>2372</v>
      </c>
    </row>
    <row r="6" spans="1:8" x14ac:dyDescent="0.35">
      <c r="A6" t="s">
        <v>2358</v>
      </c>
      <c r="B6">
        <v>35.53</v>
      </c>
      <c r="C6">
        <v>5.45</v>
      </c>
      <c r="D6" t="s">
        <v>2370</v>
      </c>
      <c r="E6" t="s">
        <v>2370</v>
      </c>
      <c r="F6" t="s">
        <v>2370</v>
      </c>
      <c r="G6" t="s">
        <v>2371</v>
      </c>
      <c r="H6" t="s">
        <v>2372</v>
      </c>
    </row>
    <row r="7" spans="1:8" x14ac:dyDescent="0.35">
      <c r="A7" t="s">
        <v>2357</v>
      </c>
      <c r="B7">
        <v>32.799999999999997</v>
      </c>
      <c r="C7">
        <v>6.59</v>
      </c>
      <c r="D7" t="s">
        <v>2370</v>
      </c>
      <c r="E7" t="s">
        <v>2370</v>
      </c>
      <c r="F7" t="s">
        <v>2370</v>
      </c>
      <c r="G7" t="s">
        <v>2371</v>
      </c>
      <c r="H7" t="s">
        <v>2372</v>
      </c>
    </row>
    <row r="8" spans="1:8" x14ac:dyDescent="0.35">
      <c r="A8" t="s">
        <v>2356</v>
      </c>
      <c r="B8">
        <v>36.4</v>
      </c>
      <c r="C8">
        <v>6.07</v>
      </c>
      <c r="D8" t="s">
        <v>2370</v>
      </c>
      <c r="E8" t="s">
        <v>2370</v>
      </c>
      <c r="F8" t="s">
        <v>2370</v>
      </c>
      <c r="G8" t="s">
        <v>2371</v>
      </c>
      <c r="H8" t="s">
        <v>2372</v>
      </c>
    </row>
    <row r="9" spans="1:8" x14ac:dyDescent="0.35">
      <c r="A9" t="s">
        <v>2355</v>
      </c>
      <c r="B9">
        <v>36.96</v>
      </c>
      <c r="C9">
        <v>7.93</v>
      </c>
      <c r="D9" t="s">
        <v>2370</v>
      </c>
      <c r="E9" t="s">
        <v>2370</v>
      </c>
      <c r="F9" t="s">
        <v>2370</v>
      </c>
      <c r="G9">
        <v>3</v>
      </c>
      <c r="H9" t="s">
        <v>2372</v>
      </c>
    </row>
    <row r="10" spans="1:8" x14ac:dyDescent="0.35">
      <c r="A10" t="s">
        <v>2354</v>
      </c>
      <c r="B10">
        <v>41.14</v>
      </c>
      <c r="C10">
        <v>9.58</v>
      </c>
      <c r="D10" t="s">
        <v>2372</v>
      </c>
      <c r="E10" t="s">
        <v>2370</v>
      </c>
      <c r="F10" t="s">
        <v>2373</v>
      </c>
      <c r="G10">
        <v>1</v>
      </c>
      <c r="H10" t="s">
        <v>2372</v>
      </c>
    </row>
    <row r="11" spans="1:8" x14ac:dyDescent="0.35">
      <c r="A11" t="s">
        <v>2353</v>
      </c>
      <c r="B11">
        <v>38.06</v>
      </c>
      <c r="C11">
        <v>10.79</v>
      </c>
      <c r="D11" t="s">
        <v>2370</v>
      </c>
      <c r="E11" t="s">
        <v>2370</v>
      </c>
      <c r="F11" t="s">
        <v>2370</v>
      </c>
      <c r="G11" t="s">
        <v>2371</v>
      </c>
      <c r="H11" t="s">
        <v>2372</v>
      </c>
    </row>
    <row r="12" spans="1:8" x14ac:dyDescent="0.35">
      <c r="A12" t="s">
        <v>2352</v>
      </c>
      <c r="B12">
        <v>37.700000000000003</v>
      </c>
      <c r="C12">
        <v>5.96</v>
      </c>
      <c r="D12" t="s">
        <v>2372</v>
      </c>
      <c r="E12" t="s">
        <v>2370</v>
      </c>
      <c r="F12" t="s">
        <v>2370</v>
      </c>
      <c r="G12">
        <v>2</v>
      </c>
      <c r="H12" t="s">
        <v>2372</v>
      </c>
    </row>
    <row r="13" spans="1:8" x14ac:dyDescent="0.35">
      <c r="A13" t="s">
        <v>2351</v>
      </c>
      <c r="B13">
        <v>42.13</v>
      </c>
      <c r="C13">
        <v>11.9</v>
      </c>
      <c r="D13" t="s">
        <v>2370</v>
      </c>
      <c r="E13" t="s">
        <v>2370</v>
      </c>
      <c r="F13" t="s">
        <v>2370</v>
      </c>
      <c r="G13" t="s">
        <v>2371</v>
      </c>
      <c r="H13" t="s">
        <v>2372</v>
      </c>
    </row>
    <row r="14" spans="1:8" x14ac:dyDescent="0.35">
      <c r="A14" t="s">
        <v>2350</v>
      </c>
      <c r="B14">
        <v>40.92</v>
      </c>
      <c r="C14">
        <v>8.41</v>
      </c>
      <c r="D14" t="s">
        <v>2370</v>
      </c>
      <c r="E14" t="s">
        <v>2370</v>
      </c>
      <c r="F14" t="s">
        <v>2370</v>
      </c>
      <c r="G14" t="s">
        <v>2371</v>
      </c>
      <c r="H14" t="s">
        <v>2372</v>
      </c>
    </row>
    <row r="15" spans="1:8" x14ac:dyDescent="0.35">
      <c r="A15" t="s">
        <v>2349</v>
      </c>
      <c r="B15">
        <v>40.564999999999998</v>
      </c>
      <c r="C15">
        <v>7.02</v>
      </c>
      <c r="D15" t="s">
        <v>2370</v>
      </c>
      <c r="E15" t="s">
        <v>2370</v>
      </c>
      <c r="F15" t="s">
        <v>2370</v>
      </c>
      <c r="G15" t="s">
        <v>2371</v>
      </c>
      <c r="H15" t="s">
        <v>2372</v>
      </c>
    </row>
    <row r="16" spans="1:8" x14ac:dyDescent="0.35">
      <c r="A16" t="s">
        <v>2348</v>
      </c>
      <c r="B16">
        <v>36.384999999999998</v>
      </c>
      <c r="C16">
        <v>7.59</v>
      </c>
      <c r="D16" t="s">
        <v>2372</v>
      </c>
      <c r="E16" t="s">
        <v>2370</v>
      </c>
      <c r="F16" t="s">
        <v>2370</v>
      </c>
      <c r="G16">
        <v>2</v>
      </c>
      <c r="H16" t="s">
        <v>2372</v>
      </c>
    </row>
    <row r="17" spans="1:8" x14ac:dyDescent="0.35">
      <c r="A17" t="s">
        <v>2347</v>
      </c>
      <c r="B17">
        <v>39.9</v>
      </c>
      <c r="C17">
        <v>11.32</v>
      </c>
      <c r="D17" t="s">
        <v>2370</v>
      </c>
      <c r="E17" t="s">
        <v>2370</v>
      </c>
      <c r="F17" t="s">
        <v>2370</v>
      </c>
      <c r="G17" t="s">
        <v>2371</v>
      </c>
      <c r="H17" t="s">
        <v>2372</v>
      </c>
    </row>
    <row r="18" spans="1:8" x14ac:dyDescent="0.35">
      <c r="A18" t="s">
        <v>2346</v>
      </c>
      <c r="B18">
        <v>33.799999999999997</v>
      </c>
      <c r="C18">
        <v>7.67</v>
      </c>
      <c r="D18" t="s">
        <v>2370</v>
      </c>
      <c r="E18" t="s">
        <v>2370</v>
      </c>
      <c r="F18" t="s">
        <v>2370</v>
      </c>
      <c r="G18">
        <v>3</v>
      </c>
      <c r="H18" t="s">
        <v>2372</v>
      </c>
    </row>
    <row r="19" spans="1:8" x14ac:dyDescent="0.35">
      <c r="A19" t="s">
        <v>2345</v>
      </c>
      <c r="B19">
        <v>36.765000000000001</v>
      </c>
      <c r="C19">
        <v>7.29</v>
      </c>
      <c r="D19" t="s">
        <v>2372</v>
      </c>
      <c r="E19" t="s">
        <v>2370</v>
      </c>
      <c r="F19" t="s">
        <v>2373</v>
      </c>
      <c r="G19">
        <v>1</v>
      </c>
      <c r="H19" t="s">
        <v>2372</v>
      </c>
    </row>
    <row r="20" spans="1:8" x14ac:dyDescent="0.35">
      <c r="A20" t="s">
        <v>2344</v>
      </c>
      <c r="B20">
        <v>36.954999999999998</v>
      </c>
      <c r="C20">
        <v>4.72</v>
      </c>
      <c r="D20" t="s">
        <v>2372</v>
      </c>
      <c r="E20" t="s">
        <v>2370</v>
      </c>
      <c r="F20" t="s">
        <v>2370</v>
      </c>
      <c r="G20">
        <v>1</v>
      </c>
      <c r="H20" t="s">
        <v>2372</v>
      </c>
    </row>
    <row r="21" spans="1:8" x14ac:dyDescent="0.35">
      <c r="A21" t="s">
        <v>2343</v>
      </c>
      <c r="B21">
        <v>42.9</v>
      </c>
      <c r="C21">
        <v>11.41</v>
      </c>
      <c r="D21" t="s">
        <v>2370</v>
      </c>
      <c r="E21" t="s">
        <v>2370</v>
      </c>
      <c r="F21" t="s">
        <v>2370</v>
      </c>
      <c r="G21" t="s">
        <v>2371</v>
      </c>
      <c r="H21" t="s">
        <v>2372</v>
      </c>
    </row>
    <row r="22" spans="1:8" x14ac:dyDescent="0.35">
      <c r="A22" t="s">
        <v>2342</v>
      </c>
      <c r="B22">
        <v>36.299999999999997</v>
      </c>
      <c r="C22">
        <v>11.5</v>
      </c>
      <c r="D22" t="s">
        <v>2372</v>
      </c>
      <c r="E22" t="s">
        <v>2370</v>
      </c>
      <c r="F22" t="s">
        <v>2370</v>
      </c>
      <c r="G22">
        <v>2</v>
      </c>
      <c r="H22" t="s">
        <v>2372</v>
      </c>
    </row>
    <row r="23" spans="1:8" x14ac:dyDescent="0.35">
      <c r="A23" t="s">
        <v>2341</v>
      </c>
      <c r="B23">
        <v>32.200000000000003</v>
      </c>
      <c r="C23">
        <v>6.22</v>
      </c>
      <c r="D23" t="s">
        <v>2372</v>
      </c>
      <c r="E23" t="s">
        <v>2370</v>
      </c>
      <c r="F23" t="s">
        <v>2370</v>
      </c>
      <c r="G23">
        <v>2</v>
      </c>
      <c r="H23" t="s">
        <v>2372</v>
      </c>
    </row>
    <row r="24" spans="1:8" x14ac:dyDescent="0.35">
      <c r="A24" t="s">
        <v>2340</v>
      </c>
      <c r="B24">
        <v>31.3</v>
      </c>
      <c r="C24">
        <v>11.38</v>
      </c>
      <c r="D24" t="s">
        <v>2370</v>
      </c>
      <c r="E24" t="s">
        <v>2370</v>
      </c>
      <c r="F24" t="s">
        <v>2370</v>
      </c>
      <c r="G24">
        <v>3</v>
      </c>
      <c r="H24" t="s">
        <v>2372</v>
      </c>
    </row>
    <row r="25" spans="1:8" x14ac:dyDescent="0.35">
      <c r="A25" t="s">
        <v>2339</v>
      </c>
      <c r="B25">
        <v>41.8</v>
      </c>
      <c r="C25">
        <v>7.89</v>
      </c>
      <c r="D25" t="s">
        <v>2372</v>
      </c>
      <c r="E25" t="s">
        <v>2370</v>
      </c>
      <c r="F25" t="s">
        <v>2370</v>
      </c>
      <c r="G25">
        <v>2</v>
      </c>
      <c r="H25" t="s">
        <v>2372</v>
      </c>
    </row>
    <row r="26" spans="1:8" x14ac:dyDescent="0.35">
      <c r="A26" t="s">
        <v>2338</v>
      </c>
      <c r="B26">
        <v>35.090000000000003</v>
      </c>
      <c r="C26">
        <v>4.38</v>
      </c>
      <c r="D26" t="s">
        <v>2372</v>
      </c>
      <c r="E26" t="s">
        <v>2370</v>
      </c>
      <c r="F26" t="s">
        <v>2370</v>
      </c>
      <c r="G26">
        <v>2</v>
      </c>
      <c r="H26" t="s">
        <v>2372</v>
      </c>
    </row>
    <row r="27" spans="1:8" x14ac:dyDescent="0.35">
      <c r="A27" t="s">
        <v>2337</v>
      </c>
      <c r="B27">
        <v>33.880000000000003</v>
      </c>
      <c r="C27">
        <v>7.01</v>
      </c>
      <c r="D27" t="s">
        <v>2370</v>
      </c>
      <c r="E27" t="s">
        <v>2370</v>
      </c>
      <c r="F27" t="s">
        <v>2370</v>
      </c>
      <c r="G27">
        <v>3</v>
      </c>
      <c r="H27" t="s">
        <v>2372</v>
      </c>
    </row>
    <row r="28" spans="1:8" x14ac:dyDescent="0.35">
      <c r="A28" t="s">
        <v>2336</v>
      </c>
      <c r="B28">
        <v>30.875</v>
      </c>
      <c r="C28">
        <v>11.88</v>
      </c>
      <c r="D28" t="s">
        <v>2370</v>
      </c>
      <c r="E28" t="s">
        <v>2370</v>
      </c>
      <c r="F28" t="s">
        <v>2370</v>
      </c>
      <c r="G28" t="s">
        <v>2371</v>
      </c>
      <c r="H28" t="s">
        <v>2372</v>
      </c>
    </row>
    <row r="29" spans="1:8" x14ac:dyDescent="0.35">
      <c r="A29" t="s">
        <v>2335</v>
      </c>
      <c r="B29">
        <v>36.86</v>
      </c>
      <c r="C29">
        <v>5.19</v>
      </c>
      <c r="D29" t="s">
        <v>2372</v>
      </c>
      <c r="E29" t="s">
        <v>2370</v>
      </c>
      <c r="F29" t="s">
        <v>2373</v>
      </c>
      <c r="G29">
        <v>1</v>
      </c>
      <c r="H29" t="s">
        <v>2372</v>
      </c>
    </row>
    <row r="30" spans="1:8" x14ac:dyDescent="0.35">
      <c r="A30" t="s">
        <v>2334</v>
      </c>
      <c r="B30">
        <v>35.86</v>
      </c>
      <c r="C30">
        <v>6.74</v>
      </c>
      <c r="D30" t="s">
        <v>2372</v>
      </c>
      <c r="E30" t="s">
        <v>2370</v>
      </c>
      <c r="F30" t="s">
        <v>2370</v>
      </c>
      <c r="G30">
        <v>2</v>
      </c>
      <c r="H30" t="s">
        <v>2372</v>
      </c>
    </row>
    <row r="31" spans="1:8" x14ac:dyDescent="0.35">
      <c r="A31" t="s">
        <v>2333</v>
      </c>
      <c r="B31">
        <v>37.049999999999997</v>
      </c>
      <c r="C31">
        <v>8.44</v>
      </c>
      <c r="D31" t="s">
        <v>2370</v>
      </c>
      <c r="E31" t="s">
        <v>2370</v>
      </c>
      <c r="F31" t="s">
        <v>2370</v>
      </c>
      <c r="G31" t="s">
        <v>2371</v>
      </c>
      <c r="H31" t="s">
        <v>2372</v>
      </c>
    </row>
    <row r="32" spans="1:8" x14ac:dyDescent="0.35">
      <c r="A32" t="s">
        <v>2332</v>
      </c>
      <c r="B32">
        <v>43.89</v>
      </c>
      <c r="C32">
        <v>8.7100000000000009</v>
      </c>
      <c r="D32" t="s">
        <v>2370</v>
      </c>
      <c r="E32" t="s">
        <v>2370</v>
      </c>
      <c r="F32" t="s">
        <v>2370</v>
      </c>
      <c r="G32" t="s">
        <v>2371</v>
      </c>
      <c r="H32" t="s">
        <v>2372</v>
      </c>
    </row>
    <row r="33" spans="1:8" x14ac:dyDescent="0.35">
      <c r="A33" t="s">
        <v>2331</v>
      </c>
      <c r="B33">
        <v>42.35</v>
      </c>
      <c r="C33">
        <v>5.08</v>
      </c>
      <c r="D33" t="s">
        <v>2372</v>
      </c>
      <c r="E33" t="s">
        <v>2370</v>
      </c>
      <c r="F33" t="s">
        <v>2370</v>
      </c>
      <c r="G33" t="s">
        <v>2371</v>
      </c>
      <c r="H33" t="s">
        <v>2372</v>
      </c>
    </row>
    <row r="34" spans="1:8" x14ac:dyDescent="0.35">
      <c r="A34" t="s">
        <v>2330</v>
      </c>
      <c r="B34">
        <v>31.35</v>
      </c>
      <c r="C34">
        <v>6.86</v>
      </c>
      <c r="D34" t="s">
        <v>2370</v>
      </c>
      <c r="E34" t="s">
        <v>2370</v>
      </c>
      <c r="F34" t="s">
        <v>2370</v>
      </c>
      <c r="G34" t="s">
        <v>2371</v>
      </c>
      <c r="H34" t="s">
        <v>2372</v>
      </c>
    </row>
    <row r="35" spans="1:8" x14ac:dyDescent="0.35">
      <c r="A35" t="s">
        <v>2329</v>
      </c>
      <c r="B35">
        <v>47.6</v>
      </c>
      <c r="C35">
        <v>5.95</v>
      </c>
      <c r="D35" t="s">
        <v>2372</v>
      </c>
      <c r="E35" t="s">
        <v>2370</v>
      </c>
      <c r="F35" t="s">
        <v>2370</v>
      </c>
      <c r="G35" t="s">
        <v>2371</v>
      </c>
      <c r="H35" t="s">
        <v>2372</v>
      </c>
    </row>
    <row r="36" spans="1:8" x14ac:dyDescent="0.35">
      <c r="A36" t="s">
        <v>2328</v>
      </c>
      <c r="B36">
        <v>46.2</v>
      </c>
      <c r="C36">
        <v>6.09</v>
      </c>
      <c r="D36" t="s">
        <v>2370</v>
      </c>
      <c r="E36" t="s">
        <v>2370</v>
      </c>
      <c r="F36" t="s">
        <v>2373</v>
      </c>
      <c r="G36">
        <v>1</v>
      </c>
      <c r="H36" t="s">
        <v>2372</v>
      </c>
    </row>
    <row r="37" spans="1:8" x14ac:dyDescent="0.35">
      <c r="A37" t="s">
        <v>2327</v>
      </c>
      <c r="B37">
        <v>32.015000000000001</v>
      </c>
      <c r="C37">
        <v>11.75</v>
      </c>
      <c r="D37" t="s">
        <v>2370</v>
      </c>
      <c r="E37" t="s">
        <v>2370</v>
      </c>
      <c r="F37" t="s">
        <v>2370</v>
      </c>
      <c r="G37" t="s">
        <v>2371</v>
      </c>
      <c r="H37" t="s">
        <v>2372</v>
      </c>
    </row>
    <row r="38" spans="1:8" x14ac:dyDescent="0.35">
      <c r="A38" t="s">
        <v>2326</v>
      </c>
      <c r="B38">
        <v>40.564999999999998</v>
      </c>
      <c r="C38">
        <v>7.37</v>
      </c>
      <c r="D38" t="s">
        <v>2370</v>
      </c>
      <c r="E38" t="s">
        <v>2370</v>
      </c>
      <c r="F38" t="s">
        <v>2370</v>
      </c>
      <c r="G38" t="s">
        <v>2371</v>
      </c>
      <c r="H38" t="s">
        <v>2372</v>
      </c>
    </row>
    <row r="39" spans="1:8" x14ac:dyDescent="0.35">
      <c r="A39" t="s">
        <v>2325</v>
      </c>
      <c r="B39">
        <v>32.450000000000003</v>
      </c>
      <c r="C39">
        <v>11.91</v>
      </c>
      <c r="D39" t="s">
        <v>2370</v>
      </c>
      <c r="E39" t="s">
        <v>2370</v>
      </c>
      <c r="F39" t="s">
        <v>2370</v>
      </c>
      <c r="G39" t="s">
        <v>2371</v>
      </c>
      <c r="H39" t="s">
        <v>2372</v>
      </c>
    </row>
    <row r="40" spans="1:8" x14ac:dyDescent="0.35">
      <c r="A40" t="s">
        <v>2324</v>
      </c>
      <c r="B40">
        <v>34.96</v>
      </c>
      <c r="C40">
        <v>6.52</v>
      </c>
      <c r="D40" t="s">
        <v>2370</v>
      </c>
      <c r="E40" t="s">
        <v>2370</v>
      </c>
      <c r="F40" t="s">
        <v>2370</v>
      </c>
      <c r="G40" t="s">
        <v>2371</v>
      </c>
      <c r="H40" t="s">
        <v>2372</v>
      </c>
    </row>
    <row r="41" spans="1:8" x14ac:dyDescent="0.35">
      <c r="A41" t="s">
        <v>2323</v>
      </c>
      <c r="B41">
        <v>35.5</v>
      </c>
      <c r="C41">
        <v>5.14</v>
      </c>
      <c r="D41" t="s">
        <v>2370</v>
      </c>
      <c r="E41" t="s">
        <v>2370</v>
      </c>
      <c r="F41" t="s">
        <v>2373</v>
      </c>
      <c r="G41">
        <v>1</v>
      </c>
      <c r="H41" t="s">
        <v>2372</v>
      </c>
    </row>
    <row r="42" spans="1:8" x14ac:dyDescent="0.35">
      <c r="A42" t="s">
        <v>2322</v>
      </c>
      <c r="B42">
        <v>52.58</v>
      </c>
      <c r="C42">
        <v>4.1900000000000004</v>
      </c>
      <c r="D42" t="s">
        <v>2370</v>
      </c>
      <c r="E42" t="s">
        <v>2372</v>
      </c>
      <c r="F42" t="s">
        <v>2370</v>
      </c>
      <c r="G42">
        <v>1</v>
      </c>
      <c r="H42" t="s">
        <v>2372</v>
      </c>
    </row>
    <row r="43" spans="1:8" x14ac:dyDescent="0.35">
      <c r="A43" t="s">
        <v>2321</v>
      </c>
      <c r="B43">
        <v>35.200000000000003</v>
      </c>
      <c r="C43">
        <v>11.68</v>
      </c>
      <c r="D43" t="s">
        <v>2372</v>
      </c>
      <c r="E43" t="s">
        <v>2370</v>
      </c>
      <c r="F43" t="s">
        <v>2370</v>
      </c>
      <c r="G43" t="s">
        <v>2371</v>
      </c>
      <c r="H43" t="s">
        <v>2372</v>
      </c>
    </row>
    <row r="44" spans="1:8" x14ac:dyDescent="0.35">
      <c r="A44" t="s">
        <v>2320</v>
      </c>
      <c r="B44">
        <v>38.06</v>
      </c>
      <c r="C44">
        <v>6.98</v>
      </c>
      <c r="D44" t="s">
        <v>2370</v>
      </c>
      <c r="E44" t="s">
        <v>2370</v>
      </c>
      <c r="F44" t="s">
        <v>2370</v>
      </c>
      <c r="G44" t="s">
        <v>2371</v>
      </c>
      <c r="H44" t="s">
        <v>2372</v>
      </c>
    </row>
    <row r="45" spans="1:8" x14ac:dyDescent="0.35">
      <c r="A45" t="s">
        <v>2319</v>
      </c>
      <c r="B45">
        <v>34.21</v>
      </c>
      <c r="C45">
        <v>8.34</v>
      </c>
      <c r="D45" t="s">
        <v>2370</v>
      </c>
      <c r="E45" t="s">
        <v>2370</v>
      </c>
      <c r="F45" t="s">
        <v>2370</v>
      </c>
      <c r="G45" t="s">
        <v>2371</v>
      </c>
      <c r="H45" t="s">
        <v>2372</v>
      </c>
    </row>
    <row r="46" spans="1:8" x14ac:dyDescent="0.35">
      <c r="A46" t="s">
        <v>2318</v>
      </c>
      <c r="B46">
        <v>38.94</v>
      </c>
      <c r="C46">
        <v>8.49</v>
      </c>
      <c r="D46" t="s">
        <v>2372</v>
      </c>
      <c r="E46" t="s">
        <v>2370</v>
      </c>
      <c r="F46" t="s">
        <v>2370</v>
      </c>
      <c r="G46">
        <v>1</v>
      </c>
      <c r="H46" t="s">
        <v>2372</v>
      </c>
    </row>
    <row r="47" spans="1:8" x14ac:dyDescent="0.35">
      <c r="A47" t="s">
        <v>2317</v>
      </c>
      <c r="B47">
        <v>30.21</v>
      </c>
      <c r="C47">
        <v>5.34</v>
      </c>
      <c r="D47" t="s">
        <v>2372</v>
      </c>
      <c r="E47" t="s">
        <v>2370</v>
      </c>
      <c r="F47" t="s">
        <v>2370</v>
      </c>
      <c r="G47">
        <v>1</v>
      </c>
      <c r="H47" t="s">
        <v>2372</v>
      </c>
    </row>
    <row r="48" spans="1:8" x14ac:dyDescent="0.35">
      <c r="A48" t="s">
        <v>2316</v>
      </c>
      <c r="B48">
        <v>33.630000000000003</v>
      </c>
      <c r="C48">
        <v>4.43</v>
      </c>
      <c r="D48" t="s">
        <v>2372</v>
      </c>
      <c r="E48" t="s">
        <v>2370</v>
      </c>
      <c r="F48" t="s">
        <v>2370</v>
      </c>
      <c r="G48">
        <v>2</v>
      </c>
      <c r="H48" t="s">
        <v>2372</v>
      </c>
    </row>
    <row r="49" spans="1:8" x14ac:dyDescent="0.35">
      <c r="A49" t="s">
        <v>2315</v>
      </c>
      <c r="B49">
        <v>40.369999999999997</v>
      </c>
      <c r="C49">
        <v>4.47</v>
      </c>
      <c r="D49" t="s">
        <v>2370</v>
      </c>
      <c r="E49" t="s">
        <v>2370</v>
      </c>
      <c r="F49" t="s">
        <v>2370</v>
      </c>
      <c r="G49" t="s">
        <v>2371</v>
      </c>
      <c r="H49" t="s">
        <v>2372</v>
      </c>
    </row>
    <row r="50" spans="1:8" x14ac:dyDescent="0.35">
      <c r="A50" t="s">
        <v>2314</v>
      </c>
      <c r="B50">
        <v>53.09</v>
      </c>
      <c r="C50">
        <v>4.82</v>
      </c>
      <c r="D50" t="s">
        <v>2372</v>
      </c>
      <c r="E50" t="s">
        <v>2370</v>
      </c>
      <c r="F50" t="s">
        <v>2370</v>
      </c>
      <c r="G50">
        <v>2</v>
      </c>
      <c r="H50" t="s">
        <v>2372</v>
      </c>
    </row>
    <row r="51" spans="1:8" x14ac:dyDescent="0.35">
      <c r="A51" t="s">
        <v>2313</v>
      </c>
      <c r="B51">
        <v>31.79</v>
      </c>
      <c r="C51">
        <v>5.51</v>
      </c>
      <c r="D51" t="s">
        <v>2372</v>
      </c>
      <c r="E51" t="s">
        <v>2370</v>
      </c>
      <c r="F51" t="s">
        <v>2370</v>
      </c>
      <c r="G51">
        <v>2</v>
      </c>
      <c r="H51" t="s">
        <v>2372</v>
      </c>
    </row>
    <row r="52" spans="1:8" x14ac:dyDescent="0.35">
      <c r="A52" t="s">
        <v>2312</v>
      </c>
      <c r="B52">
        <v>41.895000000000003</v>
      </c>
      <c r="C52">
        <v>10.87</v>
      </c>
      <c r="D52" t="s">
        <v>2372</v>
      </c>
      <c r="E52" t="s">
        <v>2370</v>
      </c>
      <c r="F52" t="s">
        <v>2370</v>
      </c>
      <c r="G52">
        <v>1</v>
      </c>
      <c r="H52" t="s">
        <v>2372</v>
      </c>
    </row>
    <row r="53" spans="1:8" x14ac:dyDescent="0.35">
      <c r="A53" t="s">
        <v>2311</v>
      </c>
      <c r="B53">
        <v>31.16</v>
      </c>
      <c r="C53">
        <v>9.34</v>
      </c>
      <c r="D53" t="s">
        <v>2370</v>
      </c>
      <c r="E53" t="s">
        <v>2370</v>
      </c>
      <c r="F53" t="s">
        <v>2370</v>
      </c>
      <c r="G53" t="s">
        <v>2371</v>
      </c>
      <c r="H53" t="s">
        <v>2372</v>
      </c>
    </row>
    <row r="54" spans="1:8" x14ac:dyDescent="0.35">
      <c r="A54" t="s">
        <v>2310</v>
      </c>
      <c r="B54">
        <v>34.104999999999997</v>
      </c>
      <c r="C54">
        <v>5.03</v>
      </c>
      <c r="D54" t="s">
        <v>2372</v>
      </c>
      <c r="E54" t="s">
        <v>2370</v>
      </c>
      <c r="F54" t="s">
        <v>2373</v>
      </c>
      <c r="G54">
        <v>1</v>
      </c>
      <c r="H54" t="s">
        <v>2372</v>
      </c>
    </row>
    <row r="55" spans="1:8" x14ac:dyDescent="0.35">
      <c r="A55" t="s">
        <v>2309</v>
      </c>
      <c r="B55">
        <v>51.93</v>
      </c>
      <c r="C55">
        <v>11.05</v>
      </c>
      <c r="D55" t="s">
        <v>2370</v>
      </c>
      <c r="E55" t="s">
        <v>2370</v>
      </c>
      <c r="F55" t="s">
        <v>2370</v>
      </c>
      <c r="G55" t="s">
        <v>2371</v>
      </c>
      <c r="H55" t="s">
        <v>2372</v>
      </c>
    </row>
    <row r="56" spans="1:8" x14ac:dyDescent="0.35">
      <c r="A56" t="s">
        <v>2308</v>
      </c>
      <c r="B56">
        <v>38.950000000000003</v>
      </c>
      <c r="C56">
        <v>11.95</v>
      </c>
      <c r="D56" t="s">
        <v>2370</v>
      </c>
      <c r="E56" t="s">
        <v>2370</v>
      </c>
      <c r="F56" t="s">
        <v>2370</v>
      </c>
      <c r="G56" t="s">
        <v>2371</v>
      </c>
      <c r="H56" t="s">
        <v>2372</v>
      </c>
    </row>
    <row r="57" spans="1:8" x14ac:dyDescent="0.35">
      <c r="A57" t="s">
        <v>2307</v>
      </c>
      <c r="B57">
        <v>36.630000000000003</v>
      </c>
      <c r="C57">
        <v>7.72</v>
      </c>
      <c r="D57" t="s">
        <v>2372</v>
      </c>
      <c r="E57" t="s">
        <v>2370</v>
      </c>
      <c r="F57" t="s">
        <v>2370</v>
      </c>
      <c r="G57">
        <v>1</v>
      </c>
      <c r="H57" t="s">
        <v>2372</v>
      </c>
    </row>
    <row r="58" spans="1:8" x14ac:dyDescent="0.35">
      <c r="A58" t="s">
        <v>2306</v>
      </c>
      <c r="B58">
        <v>34.200000000000003</v>
      </c>
      <c r="C58">
        <v>5.75</v>
      </c>
      <c r="D58" t="s">
        <v>2370</v>
      </c>
      <c r="E58" t="s">
        <v>2370</v>
      </c>
      <c r="F58" t="s">
        <v>2370</v>
      </c>
      <c r="G58">
        <v>2</v>
      </c>
      <c r="H58" t="s">
        <v>2372</v>
      </c>
    </row>
    <row r="59" spans="1:8" x14ac:dyDescent="0.35">
      <c r="A59" t="s">
        <v>2305</v>
      </c>
      <c r="B59">
        <v>50.63</v>
      </c>
      <c r="C59">
        <v>11.89</v>
      </c>
      <c r="D59" t="s">
        <v>2370</v>
      </c>
      <c r="E59" t="s">
        <v>2370</v>
      </c>
      <c r="F59" t="s">
        <v>2370</v>
      </c>
      <c r="G59" t="s">
        <v>2371</v>
      </c>
      <c r="H59" t="s">
        <v>2372</v>
      </c>
    </row>
    <row r="60" spans="1:8" x14ac:dyDescent="0.35">
      <c r="A60" t="s">
        <v>2304</v>
      </c>
      <c r="B60">
        <v>36.479999999999997</v>
      </c>
      <c r="C60">
        <v>6.2</v>
      </c>
      <c r="D60" t="s">
        <v>2370</v>
      </c>
      <c r="E60" t="s">
        <v>2370</v>
      </c>
      <c r="F60" t="s">
        <v>2370</v>
      </c>
      <c r="G60" t="s">
        <v>2371</v>
      </c>
      <c r="H60" t="s">
        <v>2372</v>
      </c>
    </row>
    <row r="61" spans="1:8" x14ac:dyDescent="0.35">
      <c r="A61" t="s">
        <v>2303</v>
      </c>
      <c r="B61">
        <v>54.82</v>
      </c>
      <c r="C61">
        <v>10.61</v>
      </c>
      <c r="D61" t="s">
        <v>2370</v>
      </c>
      <c r="E61" t="s">
        <v>2370</v>
      </c>
      <c r="F61" t="s">
        <v>2370</v>
      </c>
      <c r="G61" t="s">
        <v>2371</v>
      </c>
      <c r="H61" t="s">
        <v>2372</v>
      </c>
    </row>
    <row r="62" spans="1:8" x14ac:dyDescent="0.35">
      <c r="A62" t="s">
        <v>2302</v>
      </c>
      <c r="B62">
        <v>38.06</v>
      </c>
      <c r="C62">
        <v>6.04</v>
      </c>
      <c r="D62" t="s">
        <v>2370</v>
      </c>
      <c r="E62" t="s">
        <v>2370</v>
      </c>
      <c r="F62" t="s">
        <v>2373</v>
      </c>
      <c r="G62">
        <v>1</v>
      </c>
      <c r="H62" t="s">
        <v>2372</v>
      </c>
    </row>
    <row r="63" spans="1:8" x14ac:dyDescent="0.35">
      <c r="A63" t="s">
        <v>2301</v>
      </c>
      <c r="B63">
        <v>51.48</v>
      </c>
      <c r="C63">
        <v>9.33</v>
      </c>
      <c r="D63" t="s">
        <v>2372</v>
      </c>
      <c r="E63" t="s">
        <v>2370</v>
      </c>
      <c r="F63" t="s">
        <v>2370</v>
      </c>
      <c r="G63" t="s">
        <v>2371</v>
      </c>
      <c r="H63" t="s">
        <v>2372</v>
      </c>
    </row>
    <row r="64" spans="1:8" x14ac:dyDescent="0.35">
      <c r="A64" t="s">
        <v>2300</v>
      </c>
      <c r="B64">
        <v>52.06</v>
      </c>
      <c r="C64">
        <v>11.47</v>
      </c>
      <c r="D64" t="s">
        <v>2370</v>
      </c>
      <c r="E64" t="s">
        <v>2370</v>
      </c>
      <c r="F64" t="s">
        <v>2370</v>
      </c>
      <c r="G64" t="s">
        <v>2371</v>
      </c>
      <c r="H64" t="s">
        <v>2372</v>
      </c>
    </row>
    <row r="65" spans="1:8" x14ac:dyDescent="0.35">
      <c r="A65" t="s">
        <v>2299</v>
      </c>
      <c r="B65">
        <v>30.684999999999999</v>
      </c>
      <c r="C65">
        <v>7.02</v>
      </c>
      <c r="D65" t="s">
        <v>2372</v>
      </c>
      <c r="E65" t="s">
        <v>2370</v>
      </c>
      <c r="F65" t="s">
        <v>2370</v>
      </c>
      <c r="G65" t="s">
        <v>2371</v>
      </c>
      <c r="H65" t="s">
        <v>2372</v>
      </c>
    </row>
    <row r="66" spans="1:8" x14ac:dyDescent="0.35">
      <c r="A66" t="s">
        <v>2298</v>
      </c>
      <c r="B66">
        <v>36.08</v>
      </c>
      <c r="C66">
        <v>8.8000000000000007</v>
      </c>
      <c r="D66" t="s">
        <v>2372</v>
      </c>
      <c r="E66" t="s">
        <v>2370</v>
      </c>
      <c r="F66" t="s">
        <v>2370</v>
      </c>
      <c r="G66">
        <v>1</v>
      </c>
      <c r="H66" t="s">
        <v>2372</v>
      </c>
    </row>
    <row r="67" spans="1:8" x14ac:dyDescent="0.35">
      <c r="A67" t="s">
        <v>2297</v>
      </c>
      <c r="B67">
        <v>54.99</v>
      </c>
      <c r="C67">
        <v>8.68</v>
      </c>
      <c r="D67" t="s">
        <v>2370</v>
      </c>
      <c r="E67" t="s">
        <v>2370</v>
      </c>
      <c r="F67" t="s">
        <v>2370</v>
      </c>
      <c r="G67">
        <v>2</v>
      </c>
      <c r="H67" t="s">
        <v>2372</v>
      </c>
    </row>
    <row r="68" spans="1:8" x14ac:dyDescent="0.35">
      <c r="A68" t="s">
        <v>2296</v>
      </c>
      <c r="B68">
        <v>35.97</v>
      </c>
      <c r="C68">
        <v>6.12</v>
      </c>
      <c r="D68" t="s">
        <v>2370</v>
      </c>
      <c r="E68" t="s">
        <v>2370</v>
      </c>
      <c r="F68" t="s">
        <v>2373</v>
      </c>
      <c r="G68">
        <v>1</v>
      </c>
      <c r="H68" t="s">
        <v>2372</v>
      </c>
    </row>
    <row r="69" spans="1:8" x14ac:dyDescent="0.35">
      <c r="A69" t="s">
        <v>2295</v>
      </c>
      <c r="B69">
        <v>45.54</v>
      </c>
      <c r="C69">
        <v>5.4</v>
      </c>
      <c r="D69" t="s">
        <v>2372</v>
      </c>
      <c r="E69" t="s">
        <v>2370</v>
      </c>
      <c r="F69" t="s">
        <v>2373</v>
      </c>
      <c r="G69">
        <v>1</v>
      </c>
      <c r="H69" t="s">
        <v>2372</v>
      </c>
    </row>
    <row r="70" spans="1:8" x14ac:dyDescent="0.35">
      <c r="A70" t="s">
        <v>2294</v>
      </c>
      <c r="B70">
        <v>35.53</v>
      </c>
      <c r="C70">
        <v>4.3600000000000003</v>
      </c>
      <c r="D70" t="s">
        <v>2372</v>
      </c>
      <c r="E70" t="s">
        <v>2370</v>
      </c>
      <c r="F70" t="s">
        <v>2370</v>
      </c>
      <c r="G70" t="s">
        <v>2371</v>
      </c>
      <c r="H70" t="s">
        <v>2372</v>
      </c>
    </row>
    <row r="71" spans="1:8" x14ac:dyDescent="0.35">
      <c r="A71" t="s">
        <v>2293</v>
      </c>
      <c r="B71">
        <v>30.8</v>
      </c>
      <c r="C71">
        <v>9.77</v>
      </c>
      <c r="D71" t="s">
        <v>2370</v>
      </c>
      <c r="E71" t="s">
        <v>2370</v>
      </c>
      <c r="F71" t="s">
        <v>2370</v>
      </c>
      <c r="G71" t="s">
        <v>2371</v>
      </c>
      <c r="H71" t="s">
        <v>2372</v>
      </c>
    </row>
    <row r="72" spans="1:8" x14ac:dyDescent="0.35">
      <c r="A72" t="s">
        <v>2292</v>
      </c>
      <c r="B72">
        <v>38.39</v>
      </c>
      <c r="C72">
        <v>4.25</v>
      </c>
      <c r="D72" t="s">
        <v>2370</v>
      </c>
      <c r="E72" t="s">
        <v>2370</v>
      </c>
      <c r="F72" t="s">
        <v>2370</v>
      </c>
      <c r="G72">
        <v>1</v>
      </c>
      <c r="H72" t="s">
        <v>2372</v>
      </c>
    </row>
    <row r="73" spans="1:8" x14ac:dyDescent="0.35">
      <c r="A73" t="s">
        <v>2291</v>
      </c>
      <c r="B73">
        <v>32.299999999999997</v>
      </c>
      <c r="C73">
        <v>4.76</v>
      </c>
      <c r="D73" t="s">
        <v>2370</v>
      </c>
      <c r="E73" t="s">
        <v>2370</v>
      </c>
      <c r="F73" t="s">
        <v>2370</v>
      </c>
      <c r="G73">
        <v>2</v>
      </c>
      <c r="H73" t="s">
        <v>2372</v>
      </c>
    </row>
    <row r="74" spans="1:8" x14ac:dyDescent="0.35">
      <c r="A74" t="s">
        <v>2290</v>
      </c>
      <c r="B74">
        <v>48.8</v>
      </c>
      <c r="C74">
        <v>6.22</v>
      </c>
      <c r="D74" t="s">
        <v>2372</v>
      </c>
      <c r="E74" t="s">
        <v>2370</v>
      </c>
      <c r="F74" t="s">
        <v>2370</v>
      </c>
      <c r="G74">
        <v>2</v>
      </c>
      <c r="H74" t="s">
        <v>2372</v>
      </c>
    </row>
    <row r="75" spans="1:8" x14ac:dyDescent="0.35">
      <c r="A75" t="s">
        <v>2289</v>
      </c>
      <c r="B75">
        <v>45.5</v>
      </c>
      <c r="C75">
        <v>7.96</v>
      </c>
      <c r="D75" t="s">
        <v>2370</v>
      </c>
      <c r="E75" t="s">
        <v>2370</v>
      </c>
      <c r="F75" t="s">
        <v>2370</v>
      </c>
      <c r="G75" t="s">
        <v>2371</v>
      </c>
      <c r="H75" t="s">
        <v>2372</v>
      </c>
    </row>
    <row r="76" spans="1:8" x14ac:dyDescent="0.35">
      <c r="A76" t="s">
        <v>2288</v>
      </c>
      <c r="B76">
        <v>53.61</v>
      </c>
      <c r="C76">
        <v>10.92</v>
      </c>
      <c r="D76" t="s">
        <v>2372</v>
      </c>
      <c r="E76" t="s">
        <v>2370</v>
      </c>
      <c r="F76" t="s">
        <v>2370</v>
      </c>
      <c r="G76">
        <v>1</v>
      </c>
      <c r="H76" t="s">
        <v>2372</v>
      </c>
    </row>
    <row r="77" spans="1:8" x14ac:dyDescent="0.35">
      <c r="A77" t="s">
        <v>2287</v>
      </c>
      <c r="B77">
        <v>36.19</v>
      </c>
      <c r="C77">
        <v>11.51</v>
      </c>
      <c r="D77" t="s">
        <v>2372</v>
      </c>
      <c r="E77" t="s">
        <v>2370</v>
      </c>
      <c r="F77" t="s">
        <v>2370</v>
      </c>
      <c r="G77">
        <v>1</v>
      </c>
      <c r="H77" t="s">
        <v>2372</v>
      </c>
    </row>
    <row r="78" spans="1:8" x14ac:dyDescent="0.35">
      <c r="A78" t="s">
        <v>2286</v>
      </c>
      <c r="B78">
        <v>34.6</v>
      </c>
      <c r="C78">
        <v>5.99</v>
      </c>
      <c r="D78" t="s">
        <v>2372</v>
      </c>
      <c r="E78" t="s">
        <v>2370</v>
      </c>
      <c r="F78" t="s">
        <v>2370</v>
      </c>
      <c r="G78" t="s">
        <v>2371</v>
      </c>
      <c r="H78" t="s">
        <v>2372</v>
      </c>
    </row>
    <row r="79" spans="1:8" x14ac:dyDescent="0.35">
      <c r="A79" t="s">
        <v>2285</v>
      </c>
      <c r="B79">
        <v>54.12</v>
      </c>
      <c r="C79">
        <v>11.57</v>
      </c>
      <c r="D79" t="s">
        <v>2370</v>
      </c>
      <c r="E79" t="s">
        <v>2370</v>
      </c>
      <c r="F79" t="s">
        <v>2370</v>
      </c>
      <c r="G79" t="s">
        <v>2371</v>
      </c>
      <c r="H79" t="s">
        <v>2372</v>
      </c>
    </row>
    <row r="80" spans="1:8" x14ac:dyDescent="0.35">
      <c r="A80" t="s">
        <v>2284</v>
      </c>
      <c r="B80">
        <v>48.82</v>
      </c>
      <c r="C80">
        <v>6.67</v>
      </c>
      <c r="D80" t="s">
        <v>2372</v>
      </c>
      <c r="E80" t="s">
        <v>2370</v>
      </c>
      <c r="F80" t="s">
        <v>2370</v>
      </c>
      <c r="G80" t="s">
        <v>2371</v>
      </c>
      <c r="H80" t="s">
        <v>2372</v>
      </c>
    </row>
    <row r="81" spans="1:8" x14ac:dyDescent="0.35">
      <c r="A81" t="s">
        <v>2283</v>
      </c>
      <c r="B81">
        <v>51.01</v>
      </c>
      <c r="C81">
        <v>9.1999999999999993</v>
      </c>
      <c r="D81" t="s">
        <v>2370</v>
      </c>
      <c r="E81" t="s">
        <v>2370</v>
      </c>
      <c r="F81" t="s">
        <v>2370</v>
      </c>
      <c r="G81" t="s">
        <v>2371</v>
      </c>
      <c r="H81" t="s">
        <v>2372</v>
      </c>
    </row>
    <row r="82" spans="1:8" x14ac:dyDescent="0.35">
      <c r="A82" t="s">
        <v>2282</v>
      </c>
      <c r="B82">
        <v>45.65</v>
      </c>
      <c r="C82">
        <v>5.1100000000000003</v>
      </c>
      <c r="D82" t="s">
        <v>2372</v>
      </c>
      <c r="E82" t="s">
        <v>2370</v>
      </c>
      <c r="F82" t="s">
        <v>2370</v>
      </c>
      <c r="G82">
        <v>1</v>
      </c>
      <c r="H82" t="s">
        <v>2372</v>
      </c>
    </row>
    <row r="83" spans="1:8" x14ac:dyDescent="0.35">
      <c r="A83" t="s">
        <v>2281</v>
      </c>
      <c r="B83">
        <v>52.9</v>
      </c>
      <c r="C83">
        <v>5.34</v>
      </c>
      <c r="D83" t="s">
        <v>2370</v>
      </c>
      <c r="E83" t="s">
        <v>2370</v>
      </c>
      <c r="F83" t="s">
        <v>2370</v>
      </c>
      <c r="G83" t="s">
        <v>2371</v>
      </c>
      <c r="H83" t="s">
        <v>2372</v>
      </c>
    </row>
    <row r="84" spans="1:8" x14ac:dyDescent="0.35">
      <c r="A84" t="s">
        <v>2280</v>
      </c>
      <c r="B84">
        <v>45.41</v>
      </c>
      <c r="C84">
        <v>4.03</v>
      </c>
      <c r="D84" t="s">
        <v>2372</v>
      </c>
      <c r="E84" t="s">
        <v>2370</v>
      </c>
      <c r="F84" t="s">
        <v>2370</v>
      </c>
      <c r="G84">
        <v>1</v>
      </c>
      <c r="H84" t="s">
        <v>2372</v>
      </c>
    </row>
    <row r="85" spans="1:8" x14ac:dyDescent="0.35">
      <c r="A85" t="s">
        <v>2279</v>
      </c>
      <c r="B85">
        <v>49.41</v>
      </c>
      <c r="C85">
        <v>4.2300000000000004</v>
      </c>
      <c r="D85" t="s">
        <v>2372</v>
      </c>
      <c r="E85" t="s">
        <v>2370</v>
      </c>
      <c r="F85" t="s">
        <v>2373</v>
      </c>
      <c r="G85">
        <v>1</v>
      </c>
      <c r="H85" t="s">
        <v>2372</v>
      </c>
    </row>
    <row r="86" spans="1:8" x14ac:dyDescent="0.35">
      <c r="A86" t="s">
        <v>2278</v>
      </c>
      <c r="B86">
        <v>31.824999999999999</v>
      </c>
      <c r="C86">
        <v>4.0599999999999996</v>
      </c>
      <c r="D86" t="s">
        <v>2370</v>
      </c>
      <c r="E86" t="s">
        <v>2370</v>
      </c>
      <c r="F86" t="s">
        <v>2370</v>
      </c>
      <c r="G86">
        <v>2</v>
      </c>
      <c r="H86" t="s">
        <v>2372</v>
      </c>
    </row>
    <row r="87" spans="1:8" x14ac:dyDescent="0.35">
      <c r="A87" t="s">
        <v>2277</v>
      </c>
      <c r="B87">
        <v>51.28</v>
      </c>
      <c r="C87">
        <v>4.68</v>
      </c>
      <c r="D87" t="s">
        <v>2370</v>
      </c>
      <c r="E87" t="s">
        <v>2370</v>
      </c>
      <c r="F87" t="s">
        <v>2370</v>
      </c>
      <c r="G87">
        <v>2</v>
      </c>
      <c r="H87" t="s">
        <v>2372</v>
      </c>
    </row>
    <row r="88" spans="1:8" x14ac:dyDescent="0.35">
      <c r="A88" t="s">
        <v>2276</v>
      </c>
      <c r="B88">
        <v>34.96</v>
      </c>
      <c r="C88">
        <v>4.34</v>
      </c>
      <c r="D88" t="s">
        <v>2370</v>
      </c>
      <c r="E88" t="s">
        <v>2370</v>
      </c>
      <c r="F88" t="s">
        <v>2373</v>
      </c>
      <c r="G88">
        <v>1</v>
      </c>
      <c r="H88" t="s">
        <v>2372</v>
      </c>
    </row>
    <row r="89" spans="1:8" x14ac:dyDescent="0.35">
      <c r="A89" t="s">
        <v>2275</v>
      </c>
      <c r="B89">
        <v>33.11</v>
      </c>
      <c r="C89">
        <v>10.51</v>
      </c>
      <c r="D89" t="s">
        <v>2370</v>
      </c>
      <c r="E89" t="s">
        <v>2370</v>
      </c>
      <c r="F89" t="s">
        <v>2370</v>
      </c>
      <c r="G89" t="s">
        <v>2371</v>
      </c>
      <c r="H89" t="s">
        <v>2372</v>
      </c>
    </row>
    <row r="90" spans="1:8" x14ac:dyDescent="0.35">
      <c r="A90" t="s">
        <v>2274</v>
      </c>
      <c r="B90">
        <v>54.74</v>
      </c>
      <c r="C90">
        <v>5.84</v>
      </c>
      <c r="D90" t="s">
        <v>2372</v>
      </c>
      <c r="E90" t="s">
        <v>2370</v>
      </c>
      <c r="F90" t="s">
        <v>2373</v>
      </c>
      <c r="G90">
        <v>1</v>
      </c>
      <c r="H90" t="s">
        <v>2372</v>
      </c>
    </row>
    <row r="91" spans="1:8" x14ac:dyDescent="0.35">
      <c r="A91" t="s">
        <v>2273</v>
      </c>
      <c r="B91">
        <v>32.56</v>
      </c>
      <c r="C91">
        <v>5.41</v>
      </c>
      <c r="D91" t="s">
        <v>2370</v>
      </c>
      <c r="E91" t="s">
        <v>2370</v>
      </c>
      <c r="F91" t="s">
        <v>2373</v>
      </c>
      <c r="G91">
        <v>1</v>
      </c>
      <c r="H91" t="s">
        <v>2372</v>
      </c>
    </row>
    <row r="92" spans="1:8" x14ac:dyDescent="0.35">
      <c r="A92" t="s">
        <v>2272</v>
      </c>
      <c r="B92">
        <v>39.049999999999997</v>
      </c>
      <c r="C92">
        <v>6.06</v>
      </c>
      <c r="D92" t="s">
        <v>2370</v>
      </c>
      <c r="E92" t="s">
        <v>2370</v>
      </c>
      <c r="F92" t="s">
        <v>2370</v>
      </c>
      <c r="G92">
        <v>1</v>
      </c>
      <c r="H92" t="s">
        <v>2372</v>
      </c>
    </row>
    <row r="93" spans="1:8" x14ac:dyDescent="0.35">
      <c r="A93" t="s">
        <v>2271</v>
      </c>
      <c r="B93">
        <v>42.75</v>
      </c>
      <c r="C93">
        <v>4.22</v>
      </c>
      <c r="D93" t="s">
        <v>2370</v>
      </c>
      <c r="E93" t="s">
        <v>2370</v>
      </c>
      <c r="F93" t="s">
        <v>2370</v>
      </c>
      <c r="G93" t="s">
        <v>2371</v>
      </c>
      <c r="H93" t="s">
        <v>2372</v>
      </c>
    </row>
    <row r="94" spans="1:8" x14ac:dyDescent="0.35">
      <c r="A94" t="s">
        <v>2270</v>
      </c>
      <c r="B94">
        <v>50.58</v>
      </c>
      <c r="C94">
        <v>5.12</v>
      </c>
      <c r="D94" t="s">
        <v>2370</v>
      </c>
      <c r="E94" t="s">
        <v>2370</v>
      </c>
      <c r="F94" t="s">
        <v>2370</v>
      </c>
      <c r="G94">
        <v>2</v>
      </c>
      <c r="H94" t="s">
        <v>2372</v>
      </c>
    </row>
    <row r="95" spans="1:8" x14ac:dyDescent="0.35">
      <c r="A95" t="s">
        <v>2269</v>
      </c>
      <c r="B95">
        <v>30.495000000000001</v>
      </c>
      <c r="C95">
        <v>4.57</v>
      </c>
      <c r="D95" t="s">
        <v>2372</v>
      </c>
      <c r="E95" t="s">
        <v>2370</v>
      </c>
      <c r="F95" t="s">
        <v>2370</v>
      </c>
      <c r="G95" t="s">
        <v>2371</v>
      </c>
      <c r="H95" t="s">
        <v>2372</v>
      </c>
    </row>
    <row r="96" spans="1:8" x14ac:dyDescent="0.35">
      <c r="A96" t="s">
        <v>2268</v>
      </c>
      <c r="B96">
        <v>48.31</v>
      </c>
      <c r="C96">
        <v>9.58</v>
      </c>
      <c r="D96" t="s">
        <v>2372</v>
      </c>
      <c r="E96" t="s">
        <v>2370</v>
      </c>
      <c r="F96" t="s">
        <v>2370</v>
      </c>
      <c r="G96">
        <v>2</v>
      </c>
      <c r="H96" t="s">
        <v>2372</v>
      </c>
    </row>
    <row r="97" spans="1:8" x14ac:dyDescent="0.35">
      <c r="A97" t="s">
        <v>2267</v>
      </c>
      <c r="B97">
        <v>48.99</v>
      </c>
      <c r="C97">
        <v>9.7799999999999994</v>
      </c>
      <c r="D97" t="s">
        <v>2372</v>
      </c>
      <c r="E97" t="s">
        <v>2370</v>
      </c>
      <c r="F97" t="s">
        <v>2370</v>
      </c>
      <c r="G97">
        <v>1</v>
      </c>
      <c r="H97" t="s">
        <v>2372</v>
      </c>
    </row>
    <row r="98" spans="1:8" x14ac:dyDescent="0.35">
      <c r="A98" t="s">
        <v>2266</v>
      </c>
      <c r="B98">
        <v>38.39</v>
      </c>
      <c r="C98">
        <v>4.1100000000000003</v>
      </c>
      <c r="D98" t="s">
        <v>2372</v>
      </c>
      <c r="E98" t="s">
        <v>2370</v>
      </c>
      <c r="F98" t="s">
        <v>2370</v>
      </c>
      <c r="G98" t="s">
        <v>2371</v>
      </c>
      <c r="H98" t="s">
        <v>2372</v>
      </c>
    </row>
    <row r="99" spans="1:8" x14ac:dyDescent="0.35">
      <c r="A99" t="s">
        <v>2265</v>
      </c>
      <c r="B99">
        <v>44.34</v>
      </c>
      <c r="C99">
        <v>4.0199999999999996</v>
      </c>
      <c r="D99" t="s">
        <v>2372</v>
      </c>
      <c r="E99" t="s">
        <v>2370</v>
      </c>
      <c r="F99" t="s">
        <v>2370</v>
      </c>
      <c r="G99">
        <v>2</v>
      </c>
      <c r="H99" t="s">
        <v>2372</v>
      </c>
    </row>
    <row r="100" spans="1:8" x14ac:dyDescent="0.35">
      <c r="A100" t="s">
        <v>2264</v>
      </c>
      <c r="B100">
        <v>41.51</v>
      </c>
      <c r="C100">
        <v>6.92</v>
      </c>
      <c r="D100" t="s">
        <v>2370</v>
      </c>
      <c r="E100" t="s">
        <v>2370</v>
      </c>
      <c r="F100" t="s">
        <v>2370</v>
      </c>
      <c r="G100" t="s">
        <v>2371</v>
      </c>
      <c r="H100" t="s">
        <v>2372</v>
      </c>
    </row>
    <row r="101" spans="1:8" x14ac:dyDescent="0.35">
      <c r="A101" t="s">
        <v>2263</v>
      </c>
      <c r="B101">
        <v>48.2</v>
      </c>
      <c r="C101">
        <v>4.84</v>
      </c>
      <c r="D101" t="s">
        <v>2370</v>
      </c>
      <c r="E101" t="s">
        <v>2370</v>
      </c>
      <c r="F101" t="s">
        <v>2370</v>
      </c>
      <c r="G101" t="s">
        <v>2371</v>
      </c>
      <c r="H101" t="s">
        <v>2372</v>
      </c>
    </row>
    <row r="102" spans="1:8" x14ac:dyDescent="0.35">
      <c r="A102" t="s">
        <v>2262</v>
      </c>
      <c r="B102">
        <v>35.75</v>
      </c>
      <c r="C102">
        <v>8</v>
      </c>
      <c r="D102" t="s">
        <v>2372</v>
      </c>
      <c r="E102" t="s">
        <v>2370</v>
      </c>
      <c r="F102" t="s">
        <v>2370</v>
      </c>
      <c r="G102" t="s">
        <v>2371</v>
      </c>
      <c r="H102" t="s">
        <v>2372</v>
      </c>
    </row>
    <row r="103" spans="1:8" x14ac:dyDescent="0.35">
      <c r="A103" t="s">
        <v>2261</v>
      </c>
      <c r="B103">
        <v>53.81</v>
      </c>
      <c r="C103">
        <v>8.77</v>
      </c>
      <c r="D103" t="s">
        <v>2372</v>
      </c>
      <c r="E103" t="s">
        <v>2370</v>
      </c>
      <c r="F103" t="s">
        <v>2370</v>
      </c>
      <c r="G103" t="s">
        <v>2371</v>
      </c>
      <c r="H103" t="s">
        <v>2372</v>
      </c>
    </row>
    <row r="104" spans="1:8" x14ac:dyDescent="0.35">
      <c r="A104" t="s">
        <v>2260</v>
      </c>
      <c r="B104">
        <v>49.48</v>
      </c>
      <c r="C104">
        <v>4.96</v>
      </c>
      <c r="D104" t="s">
        <v>2370</v>
      </c>
      <c r="E104" t="s">
        <v>2370</v>
      </c>
      <c r="F104" t="s">
        <v>2373</v>
      </c>
      <c r="G104">
        <v>1</v>
      </c>
      <c r="H104" t="s">
        <v>2372</v>
      </c>
    </row>
    <row r="105" spans="1:8" x14ac:dyDescent="0.35">
      <c r="A105" t="s">
        <v>2259</v>
      </c>
      <c r="B105">
        <v>34.1</v>
      </c>
      <c r="C105">
        <v>4.43</v>
      </c>
      <c r="D105" t="s">
        <v>2372</v>
      </c>
      <c r="E105" t="s">
        <v>2370</v>
      </c>
      <c r="F105" t="s">
        <v>2370</v>
      </c>
      <c r="G105" t="s">
        <v>2371</v>
      </c>
      <c r="H105" t="s">
        <v>2372</v>
      </c>
    </row>
    <row r="106" spans="1:8" x14ac:dyDescent="0.35">
      <c r="A106" t="s">
        <v>2258</v>
      </c>
      <c r="B106">
        <v>35.299999999999997</v>
      </c>
      <c r="C106">
        <v>5.82</v>
      </c>
      <c r="D106" t="s">
        <v>2372</v>
      </c>
      <c r="E106" t="s">
        <v>2370</v>
      </c>
      <c r="F106" t="s">
        <v>2373</v>
      </c>
      <c r="G106">
        <v>1</v>
      </c>
      <c r="H106" t="s">
        <v>2372</v>
      </c>
    </row>
    <row r="107" spans="1:8" x14ac:dyDescent="0.35">
      <c r="A107" t="s">
        <v>2257</v>
      </c>
      <c r="B107">
        <v>43.83</v>
      </c>
      <c r="C107">
        <v>6.03</v>
      </c>
      <c r="D107" t="s">
        <v>2372</v>
      </c>
      <c r="E107" t="s">
        <v>2370</v>
      </c>
      <c r="F107" t="s">
        <v>2370</v>
      </c>
      <c r="G107">
        <v>2</v>
      </c>
      <c r="H107" t="s">
        <v>2372</v>
      </c>
    </row>
    <row r="108" spans="1:8" x14ac:dyDescent="0.35">
      <c r="A108" t="s">
        <v>2256</v>
      </c>
      <c r="B108">
        <v>50.07</v>
      </c>
      <c r="C108">
        <v>9.27</v>
      </c>
      <c r="D108" t="s">
        <v>2370</v>
      </c>
      <c r="E108" t="s">
        <v>2370</v>
      </c>
      <c r="F108" t="s">
        <v>2370</v>
      </c>
      <c r="G108" t="s">
        <v>2371</v>
      </c>
      <c r="H108" t="s">
        <v>2372</v>
      </c>
    </row>
    <row r="109" spans="1:8" x14ac:dyDescent="0.35">
      <c r="A109" t="s">
        <v>2255</v>
      </c>
      <c r="B109">
        <v>32.774999999999999</v>
      </c>
      <c r="C109">
        <v>5.53</v>
      </c>
      <c r="D109" t="s">
        <v>2370</v>
      </c>
      <c r="E109" t="s">
        <v>2370</v>
      </c>
      <c r="F109" t="s">
        <v>2370</v>
      </c>
      <c r="G109" t="s">
        <v>2371</v>
      </c>
      <c r="H109" t="s">
        <v>2372</v>
      </c>
    </row>
    <row r="110" spans="1:8" x14ac:dyDescent="0.35">
      <c r="A110" t="s">
        <v>2254</v>
      </c>
      <c r="B110">
        <v>34.104999999999997</v>
      </c>
      <c r="C110">
        <v>5.07</v>
      </c>
      <c r="D110" t="s">
        <v>2370</v>
      </c>
      <c r="E110" t="s">
        <v>2370</v>
      </c>
      <c r="F110" t="s">
        <v>2370</v>
      </c>
      <c r="G110">
        <v>1</v>
      </c>
      <c r="H110" t="s">
        <v>2372</v>
      </c>
    </row>
    <row r="111" spans="1:8" x14ac:dyDescent="0.35">
      <c r="A111" t="s">
        <v>2253</v>
      </c>
      <c r="B111">
        <v>48.93</v>
      </c>
      <c r="C111">
        <v>11.17</v>
      </c>
      <c r="D111" t="s">
        <v>2372</v>
      </c>
      <c r="E111" t="s">
        <v>2370</v>
      </c>
      <c r="F111" t="s">
        <v>2370</v>
      </c>
      <c r="G111">
        <v>1</v>
      </c>
      <c r="H111" t="s">
        <v>2372</v>
      </c>
    </row>
    <row r="112" spans="1:8" x14ac:dyDescent="0.35">
      <c r="A112" t="s">
        <v>2252</v>
      </c>
      <c r="B112">
        <v>37.07</v>
      </c>
      <c r="C112">
        <v>6.14</v>
      </c>
      <c r="D112" t="s">
        <v>2372</v>
      </c>
      <c r="E112" t="s">
        <v>2370</v>
      </c>
      <c r="F112" t="s">
        <v>2370</v>
      </c>
      <c r="G112" t="s">
        <v>2371</v>
      </c>
      <c r="H112" t="s">
        <v>2372</v>
      </c>
    </row>
    <row r="113" spans="1:8" x14ac:dyDescent="0.35">
      <c r="A113" t="s">
        <v>2251</v>
      </c>
      <c r="B113">
        <v>51.51</v>
      </c>
      <c r="C113">
        <v>6.26</v>
      </c>
      <c r="D113" t="s">
        <v>2372</v>
      </c>
      <c r="E113" t="s">
        <v>2370</v>
      </c>
      <c r="F113" t="s">
        <v>2373</v>
      </c>
      <c r="G113">
        <v>1</v>
      </c>
      <c r="H113" t="s">
        <v>2372</v>
      </c>
    </row>
    <row r="114" spans="1:8" x14ac:dyDescent="0.35">
      <c r="A114" t="s">
        <v>2250</v>
      </c>
      <c r="B114">
        <v>34.799999999999997</v>
      </c>
      <c r="C114">
        <v>4.72</v>
      </c>
      <c r="D114" t="s">
        <v>2372</v>
      </c>
      <c r="E114" t="s">
        <v>2370</v>
      </c>
      <c r="F114" t="s">
        <v>2370</v>
      </c>
      <c r="G114" t="s">
        <v>2371</v>
      </c>
      <c r="H114" t="s">
        <v>2372</v>
      </c>
    </row>
    <row r="115" spans="1:8" x14ac:dyDescent="0.35">
      <c r="A115" t="s">
        <v>2249</v>
      </c>
      <c r="B115">
        <v>36.67</v>
      </c>
      <c r="C115">
        <v>5.18</v>
      </c>
      <c r="D115" t="s">
        <v>2370</v>
      </c>
      <c r="E115" t="s">
        <v>2370</v>
      </c>
      <c r="F115" t="s">
        <v>2370</v>
      </c>
      <c r="G115">
        <v>1</v>
      </c>
      <c r="H115" t="s">
        <v>2372</v>
      </c>
    </row>
    <row r="116" spans="1:8" x14ac:dyDescent="0.35">
      <c r="A116" t="s">
        <v>2248</v>
      </c>
      <c r="B116">
        <v>30.9</v>
      </c>
      <c r="C116">
        <v>9.4</v>
      </c>
      <c r="D116" t="s">
        <v>2370</v>
      </c>
      <c r="E116" t="s">
        <v>2370</v>
      </c>
      <c r="F116" t="s">
        <v>2370</v>
      </c>
      <c r="G116">
        <v>2</v>
      </c>
      <c r="H116" t="s">
        <v>2372</v>
      </c>
    </row>
    <row r="117" spans="1:8" x14ac:dyDescent="0.35">
      <c r="A117" t="s">
        <v>2247</v>
      </c>
      <c r="B117">
        <v>30.495000000000001</v>
      </c>
      <c r="C117">
        <v>6.29</v>
      </c>
      <c r="D117" t="s">
        <v>2370</v>
      </c>
      <c r="E117" t="s">
        <v>2370</v>
      </c>
      <c r="F117" t="s">
        <v>2370</v>
      </c>
      <c r="G117" t="s">
        <v>2371</v>
      </c>
      <c r="H117" t="s">
        <v>2372</v>
      </c>
    </row>
    <row r="118" spans="1:8" x14ac:dyDescent="0.35">
      <c r="A118" t="s">
        <v>2246</v>
      </c>
      <c r="B118">
        <v>44.88</v>
      </c>
      <c r="C118">
        <v>6.04</v>
      </c>
      <c r="D118" t="s">
        <v>2370</v>
      </c>
      <c r="E118" t="s">
        <v>2370</v>
      </c>
      <c r="F118" t="s">
        <v>2373</v>
      </c>
      <c r="G118">
        <v>1</v>
      </c>
      <c r="H118" t="s">
        <v>2372</v>
      </c>
    </row>
    <row r="119" spans="1:8" x14ac:dyDescent="0.35">
      <c r="A119" t="s">
        <v>2245</v>
      </c>
      <c r="B119">
        <v>44.32</v>
      </c>
      <c r="C119">
        <v>10.55</v>
      </c>
      <c r="D119" t="s">
        <v>2370</v>
      </c>
      <c r="E119" t="s">
        <v>2370</v>
      </c>
      <c r="F119" t="s">
        <v>2370</v>
      </c>
      <c r="G119" t="s">
        <v>2371</v>
      </c>
      <c r="H119" t="s">
        <v>2372</v>
      </c>
    </row>
    <row r="120" spans="1:8" x14ac:dyDescent="0.35">
      <c r="A120" t="s">
        <v>2244</v>
      </c>
      <c r="B120">
        <v>46.39</v>
      </c>
      <c r="C120">
        <v>5.09</v>
      </c>
      <c r="D120" t="s">
        <v>2370</v>
      </c>
      <c r="E120" t="s">
        <v>2370</v>
      </c>
      <c r="F120" t="s">
        <v>2370</v>
      </c>
      <c r="G120" t="s">
        <v>2371</v>
      </c>
      <c r="H120" t="s">
        <v>2372</v>
      </c>
    </row>
    <row r="121" spans="1:8" x14ac:dyDescent="0.35">
      <c r="A121" t="s">
        <v>2243</v>
      </c>
      <c r="B121">
        <v>42.13</v>
      </c>
      <c r="C121">
        <v>5.2</v>
      </c>
      <c r="D121" t="s">
        <v>2372</v>
      </c>
      <c r="E121" t="s">
        <v>2370</v>
      </c>
      <c r="F121" t="s">
        <v>2370</v>
      </c>
      <c r="G121">
        <v>1</v>
      </c>
      <c r="H121" t="s">
        <v>2372</v>
      </c>
    </row>
    <row r="122" spans="1:8" x14ac:dyDescent="0.35">
      <c r="A122" t="s">
        <v>2242</v>
      </c>
      <c r="B122">
        <v>30.78</v>
      </c>
      <c r="C122">
        <v>8.4499999999999993</v>
      </c>
      <c r="D122" t="s">
        <v>2372</v>
      </c>
      <c r="E122" t="s">
        <v>2370</v>
      </c>
      <c r="F122" t="s">
        <v>2370</v>
      </c>
      <c r="G122" t="s">
        <v>2371</v>
      </c>
      <c r="H122" t="s">
        <v>2372</v>
      </c>
    </row>
    <row r="123" spans="1:8" x14ac:dyDescent="0.35">
      <c r="A123" t="s">
        <v>2241</v>
      </c>
      <c r="B123">
        <v>31.35</v>
      </c>
      <c r="C123">
        <v>9.5399999999999991</v>
      </c>
      <c r="D123" t="s">
        <v>2370</v>
      </c>
      <c r="E123" t="s">
        <v>2370</v>
      </c>
      <c r="F123" t="s">
        <v>2370</v>
      </c>
      <c r="G123" t="s">
        <v>2371</v>
      </c>
      <c r="H123" t="s">
        <v>2372</v>
      </c>
    </row>
    <row r="124" spans="1:8" x14ac:dyDescent="0.35">
      <c r="A124" t="s">
        <v>2240</v>
      </c>
      <c r="B124">
        <v>41.46</v>
      </c>
      <c r="C124">
        <v>4.99</v>
      </c>
      <c r="D124" t="s">
        <v>2372</v>
      </c>
      <c r="E124" t="s">
        <v>2370</v>
      </c>
      <c r="F124" t="s">
        <v>2370</v>
      </c>
      <c r="G124">
        <v>2</v>
      </c>
      <c r="H124" t="s">
        <v>2372</v>
      </c>
    </row>
    <row r="125" spans="1:8" x14ac:dyDescent="0.35">
      <c r="A125" t="s">
        <v>2239</v>
      </c>
      <c r="B125">
        <v>48</v>
      </c>
      <c r="C125">
        <v>10.54</v>
      </c>
      <c r="D125" t="s">
        <v>2370</v>
      </c>
      <c r="E125" t="s">
        <v>2370</v>
      </c>
      <c r="F125" t="s">
        <v>2370</v>
      </c>
      <c r="G125" t="s">
        <v>2371</v>
      </c>
      <c r="H125" t="s">
        <v>2372</v>
      </c>
    </row>
    <row r="126" spans="1:8" x14ac:dyDescent="0.35">
      <c r="A126" t="s">
        <v>2238</v>
      </c>
      <c r="B126">
        <v>49.13</v>
      </c>
      <c r="C126">
        <v>4.54</v>
      </c>
      <c r="D126" t="s">
        <v>2370</v>
      </c>
      <c r="E126" t="s">
        <v>2370</v>
      </c>
      <c r="F126" t="s">
        <v>2370</v>
      </c>
      <c r="G126" t="s">
        <v>2371</v>
      </c>
      <c r="H126" t="s">
        <v>2372</v>
      </c>
    </row>
    <row r="127" spans="1:8" x14ac:dyDescent="0.35">
      <c r="A127" t="s">
        <v>2237</v>
      </c>
      <c r="B127">
        <v>37.799999999999997</v>
      </c>
      <c r="C127">
        <v>6.29</v>
      </c>
      <c r="D127" t="s">
        <v>2370</v>
      </c>
      <c r="E127" t="s">
        <v>2370</v>
      </c>
      <c r="F127" t="s">
        <v>2370</v>
      </c>
      <c r="G127">
        <v>1</v>
      </c>
      <c r="H127" t="s">
        <v>2372</v>
      </c>
    </row>
    <row r="128" spans="1:8" x14ac:dyDescent="0.35">
      <c r="A128" t="s">
        <v>2236</v>
      </c>
      <c r="B128">
        <v>38.299999999999997</v>
      </c>
      <c r="C128">
        <v>9.51</v>
      </c>
      <c r="D128" t="s">
        <v>2370</v>
      </c>
      <c r="E128" t="s">
        <v>2370</v>
      </c>
      <c r="F128" t="s">
        <v>2370</v>
      </c>
      <c r="G128" t="s">
        <v>2371</v>
      </c>
      <c r="H128" t="s">
        <v>2372</v>
      </c>
    </row>
    <row r="129" spans="1:8" x14ac:dyDescent="0.35">
      <c r="A129" t="s">
        <v>2235</v>
      </c>
      <c r="B129">
        <v>32.774999999999999</v>
      </c>
      <c r="C129">
        <v>4.72</v>
      </c>
      <c r="D129" t="s">
        <v>2370</v>
      </c>
      <c r="E129" t="s">
        <v>2370</v>
      </c>
      <c r="F129" t="s">
        <v>2370</v>
      </c>
      <c r="G129" t="s">
        <v>2371</v>
      </c>
      <c r="H129" t="s">
        <v>2372</v>
      </c>
    </row>
    <row r="130" spans="1:8" x14ac:dyDescent="0.35">
      <c r="A130" t="s">
        <v>2234</v>
      </c>
      <c r="B130">
        <v>34.200000000000003</v>
      </c>
      <c r="C130">
        <v>5.91</v>
      </c>
      <c r="D130" t="s">
        <v>2372</v>
      </c>
      <c r="E130" t="s">
        <v>2370</v>
      </c>
      <c r="F130" t="s">
        <v>2370</v>
      </c>
      <c r="G130" t="s">
        <v>2371</v>
      </c>
      <c r="H130" t="s">
        <v>2372</v>
      </c>
    </row>
    <row r="131" spans="1:8" x14ac:dyDescent="0.35">
      <c r="A131" t="s">
        <v>2233</v>
      </c>
      <c r="B131">
        <v>30.2</v>
      </c>
      <c r="C131">
        <v>9.58</v>
      </c>
      <c r="D131" t="s">
        <v>2370</v>
      </c>
      <c r="E131" t="s">
        <v>2370</v>
      </c>
      <c r="F131" t="s">
        <v>2370</v>
      </c>
      <c r="G131" t="s">
        <v>2371</v>
      </c>
      <c r="H131" t="s">
        <v>2372</v>
      </c>
    </row>
    <row r="132" spans="1:8" x14ac:dyDescent="0.35">
      <c r="A132" t="s">
        <v>2232</v>
      </c>
      <c r="B132">
        <v>48.32</v>
      </c>
      <c r="C132">
        <v>5.77</v>
      </c>
      <c r="D132" t="s">
        <v>2370</v>
      </c>
      <c r="E132" t="s">
        <v>2370</v>
      </c>
      <c r="F132" t="s">
        <v>2370</v>
      </c>
      <c r="G132" t="s">
        <v>2371</v>
      </c>
      <c r="H132" t="s">
        <v>2372</v>
      </c>
    </row>
    <row r="133" spans="1:8" x14ac:dyDescent="0.35">
      <c r="A133" t="s">
        <v>2231</v>
      </c>
      <c r="B133">
        <v>44.86</v>
      </c>
      <c r="C133">
        <v>4.38</v>
      </c>
      <c r="D133" t="s">
        <v>2372</v>
      </c>
      <c r="E133" t="s">
        <v>2370</v>
      </c>
      <c r="F133" t="s">
        <v>2370</v>
      </c>
      <c r="G133" t="s">
        <v>2371</v>
      </c>
      <c r="H133" t="s">
        <v>2372</v>
      </c>
    </row>
    <row r="134" spans="1:8" x14ac:dyDescent="0.35">
      <c r="A134" t="s">
        <v>2230</v>
      </c>
      <c r="B134">
        <v>52.15</v>
      </c>
      <c r="C134">
        <v>5.65</v>
      </c>
      <c r="D134" t="s">
        <v>2370</v>
      </c>
      <c r="E134" t="s">
        <v>2370</v>
      </c>
      <c r="F134" t="s">
        <v>2370</v>
      </c>
      <c r="G134">
        <v>1</v>
      </c>
      <c r="H134" t="s">
        <v>2372</v>
      </c>
    </row>
    <row r="135" spans="1:8" x14ac:dyDescent="0.35">
      <c r="A135" t="s">
        <v>2229</v>
      </c>
      <c r="B135">
        <v>41.12</v>
      </c>
      <c r="C135">
        <v>7.54</v>
      </c>
      <c r="D135" t="s">
        <v>2372</v>
      </c>
      <c r="E135" t="s">
        <v>2370</v>
      </c>
      <c r="F135" t="s">
        <v>2370</v>
      </c>
      <c r="G135" t="s">
        <v>2371</v>
      </c>
      <c r="H135" t="s">
        <v>2372</v>
      </c>
    </row>
    <row r="136" spans="1:8" x14ac:dyDescent="0.35">
      <c r="A136" t="s">
        <v>2228</v>
      </c>
      <c r="B136">
        <v>38.39</v>
      </c>
      <c r="C136">
        <v>5.1100000000000003</v>
      </c>
      <c r="D136" t="s">
        <v>2372</v>
      </c>
      <c r="E136" t="s">
        <v>2370</v>
      </c>
      <c r="F136" t="s">
        <v>2370</v>
      </c>
      <c r="G136">
        <v>1</v>
      </c>
      <c r="H136" t="s">
        <v>2372</v>
      </c>
    </row>
    <row r="137" spans="1:8" x14ac:dyDescent="0.35">
      <c r="A137" t="s">
        <v>2227</v>
      </c>
      <c r="B137">
        <v>46.85</v>
      </c>
      <c r="C137">
        <v>4.25</v>
      </c>
      <c r="D137" t="s">
        <v>2370</v>
      </c>
      <c r="E137" t="s">
        <v>2370</v>
      </c>
      <c r="F137" t="s">
        <v>2373</v>
      </c>
      <c r="G137">
        <v>1</v>
      </c>
      <c r="H137" t="s">
        <v>2372</v>
      </c>
    </row>
    <row r="138" spans="1:8" x14ac:dyDescent="0.35">
      <c r="A138" t="s">
        <v>2226</v>
      </c>
      <c r="B138">
        <v>42.24</v>
      </c>
      <c r="C138">
        <v>5.55</v>
      </c>
      <c r="D138" t="s">
        <v>2370</v>
      </c>
      <c r="E138" t="s">
        <v>2372</v>
      </c>
      <c r="F138" t="s">
        <v>2370</v>
      </c>
      <c r="G138">
        <v>1</v>
      </c>
      <c r="H138" t="s">
        <v>2372</v>
      </c>
    </row>
    <row r="139" spans="1:8" x14ac:dyDescent="0.35">
      <c r="A139" t="s">
        <v>2225</v>
      </c>
      <c r="B139">
        <v>34.39</v>
      </c>
      <c r="C139">
        <v>5.78</v>
      </c>
      <c r="D139" t="s">
        <v>2370</v>
      </c>
      <c r="E139" t="s">
        <v>2370</v>
      </c>
      <c r="F139" t="s">
        <v>2370</v>
      </c>
      <c r="G139" t="s">
        <v>2371</v>
      </c>
      <c r="H139" t="s">
        <v>2372</v>
      </c>
    </row>
    <row r="140" spans="1:8" x14ac:dyDescent="0.35">
      <c r="A140" t="s">
        <v>2224</v>
      </c>
      <c r="B140">
        <v>42.89</v>
      </c>
      <c r="C140">
        <v>5.28</v>
      </c>
      <c r="D140" t="s">
        <v>2372</v>
      </c>
      <c r="E140" t="s">
        <v>2370</v>
      </c>
      <c r="F140" t="s">
        <v>2370</v>
      </c>
      <c r="G140" t="s">
        <v>2371</v>
      </c>
      <c r="H140" t="s">
        <v>2372</v>
      </c>
    </row>
    <row r="141" spans="1:8" x14ac:dyDescent="0.35">
      <c r="A141" t="s">
        <v>2223</v>
      </c>
      <c r="B141">
        <v>36.299999999999997</v>
      </c>
      <c r="C141">
        <v>5.39</v>
      </c>
      <c r="D141" t="s">
        <v>2370</v>
      </c>
      <c r="E141" t="s">
        <v>2370</v>
      </c>
      <c r="F141" t="s">
        <v>2370</v>
      </c>
      <c r="G141" t="s">
        <v>2371</v>
      </c>
      <c r="H141" t="s">
        <v>2372</v>
      </c>
    </row>
    <row r="142" spans="1:8" x14ac:dyDescent="0.35">
      <c r="A142" t="s">
        <v>2222</v>
      </c>
      <c r="B142">
        <v>35.200000000000003</v>
      </c>
      <c r="C142">
        <v>8.01</v>
      </c>
      <c r="D142" t="s">
        <v>2372</v>
      </c>
      <c r="E142" t="s">
        <v>2370</v>
      </c>
      <c r="F142" t="s">
        <v>2370</v>
      </c>
      <c r="G142">
        <v>1</v>
      </c>
      <c r="H142" t="s">
        <v>2372</v>
      </c>
    </row>
    <row r="143" spans="1:8" x14ac:dyDescent="0.35">
      <c r="A143" t="s">
        <v>2221</v>
      </c>
      <c r="B143">
        <v>53.62</v>
      </c>
      <c r="C143">
        <v>5.21</v>
      </c>
      <c r="D143" t="s">
        <v>2370</v>
      </c>
      <c r="E143" t="s">
        <v>2370</v>
      </c>
      <c r="F143" t="s">
        <v>2370</v>
      </c>
      <c r="G143" t="s">
        <v>2371</v>
      </c>
      <c r="H143" t="s">
        <v>2372</v>
      </c>
    </row>
    <row r="144" spans="1:8" x14ac:dyDescent="0.35">
      <c r="A144" t="s">
        <v>2220</v>
      </c>
      <c r="B144">
        <v>36.67</v>
      </c>
      <c r="C144">
        <v>6.27</v>
      </c>
      <c r="D144" t="s">
        <v>2370</v>
      </c>
      <c r="E144" t="s">
        <v>2370</v>
      </c>
      <c r="F144" t="s">
        <v>2370</v>
      </c>
      <c r="G144" t="s">
        <v>2371</v>
      </c>
      <c r="H144" t="s">
        <v>2372</v>
      </c>
    </row>
    <row r="145" spans="1:8" x14ac:dyDescent="0.35">
      <c r="A145" t="s">
        <v>2219</v>
      </c>
      <c r="B145">
        <v>33.4</v>
      </c>
      <c r="C145">
        <v>10.73</v>
      </c>
      <c r="D145" t="s">
        <v>2372</v>
      </c>
      <c r="E145" t="s">
        <v>2370</v>
      </c>
      <c r="F145" t="s">
        <v>2370</v>
      </c>
      <c r="G145">
        <v>1</v>
      </c>
      <c r="H145" t="s">
        <v>2372</v>
      </c>
    </row>
    <row r="146" spans="1:8" x14ac:dyDescent="0.35">
      <c r="A146" t="s">
        <v>2218</v>
      </c>
      <c r="B146">
        <v>42.71</v>
      </c>
      <c r="C146">
        <v>10.52</v>
      </c>
      <c r="D146" t="s">
        <v>2370</v>
      </c>
      <c r="E146" t="s">
        <v>2370</v>
      </c>
      <c r="F146" t="s">
        <v>2370</v>
      </c>
      <c r="G146" t="s">
        <v>2371</v>
      </c>
      <c r="H146" t="s">
        <v>2372</v>
      </c>
    </row>
    <row r="147" spans="1:8" x14ac:dyDescent="0.35">
      <c r="A147" t="s">
        <v>2217</v>
      </c>
      <c r="B147">
        <v>41.52</v>
      </c>
      <c r="C147">
        <v>11.82</v>
      </c>
      <c r="D147" t="s">
        <v>2372</v>
      </c>
      <c r="E147" t="s">
        <v>2370</v>
      </c>
      <c r="F147" t="s">
        <v>2370</v>
      </c>
      <c r="G147">
        <v>2</v>
      </c>
      <c r="H147" t="s">
        <v>2372</v>
      </c>
    </row>
    <row r="148" spans="1:8" x14ac:dyDescent="0.35">
      <c r="A148" t="s">
        <v>2216</v>
      </c>
      <c r="B148">
        <v>39.4</v>
      </c>
      <c r="C148">
        <v>6.76</v>
      </c>
      <c r="D148" t="s">
        <v>2370</v>
      </c>
      <c r="E148" t="s">
        <v>2370</v>
      </c>
      <c r="F148" t="s">
        <v>2370</v>
      </c>
      <c r="G148" t="s">
        <v>2371</v>
      </c>
      <c r="H148" t="s">
        <v>2372</v>
      </c>
    </row>
    <row r="149" spans="1:8" x14ac:dyDescent="0.35">
      <c r="A149" t="s">
        <v>2215</v>
      </c>
      <c r="B149">
        <v>46.45</v>
      </c>
      <c r="C149">
        <v>5.62</v>
      </c>
      <c r="D149" t="s">
        <v>2370</v>
      </c>
      <c r="E149" t="s">
        <v>2370</v>
      </c>
      <c r="F149" t="s">
        <v>2370</v>
      </c>
      <c r="G149" t="s">
        <v>2371</v>
      </c>
      <c r="H149" t="s">
        <v>2372</v>
      </c>
    </row>
    <row r="150" spans="1:8" x14ac:dyDescent="0.35">
      <c r="A150" t="s">
        <v>2214</v>
      </c>
      <c r="B150">
        <v>35.75</v>
      </c>
      <c r="C150">
        <v>4.1900000000000004</v>
      </c>
      <c r="D150" t="s">
        <v>2370</v>
      </c>
      <c r="E150" t="s">
        <v>2370</v>
      </c>
      <c r="F150" t="s">
        <v>2370</v>
      </c>
      <c r="G150" t="s">
        <v>2371</v>
      </c>
      <c r="H150" t="s">
        <v>2372</v>
      </c>
    </row>
    <row r="151" spans="1:8" x14ac:dyDescent="0.35">
      <c r="A151" t="s">
        <v>2213</v>
      </c>
      <c r="B151">
        <v>26.07</v>
      </c>
      <c r="C151">
        <v>5.32</v>
      </c>
      <c r="D151" t="s">
        <v>2370</v>
      </c>
      <c r="E151" t="s">
        <v>2370</v>
      </c>
      <c r="F151" t="s">
        <v>2370</v>
      </c>
      <c r="G151" t="s">
        <v>2371</v>
      </c>
      <c r="H151" t="s">
        <v>2372</v>
      </c>
    </row>
    <row r="152" spans="1:8" x14ac:dyDescent="0.35">
      <c r="A152" t="s">
        <v>2212</v>
      </c>
      <c r="B152">
        <v>36.54</v>
      </c>
      <c r="C152">
        <v>4.46</v>
      </c>
      <c r="D152" t="s">
        <v>2372</v>
      </c>
      <c r="E152" t="s">
        <v>2370</v>
      </c>
      <c r="F152" t="s">
        <v>2370</v>
      </c>
      <c r="G152">
        <v>1</v>
      </c>
      <c r="H152" t="s">
        <v>2372</v>
      </c>
    </row>
    <row r="153" spans="1:8" x14ac:dyDescent="0.35">
      <c r="A153" t="s">
        <v>2211</v>
      </c>
      <c r="B153">
        <v>51.64</v>
      </c>
      <c r="C153">
        <v>5.65</v>
      </c>
      <c r="D153" t="s">
        <v>2370</v>
      </c>
      <c r="E153" t="s">
        <v>2370</v>
      </c>
      <c r="F153" t="s">
        <v>2370</v>
      </c>
      <c r="G153" t="s">
        <v>2371</v>
      </c>
      <c r="H153" t="s">
        <v>2372</v>
      </c>
    </row>
    <row r="154" spans="1:8" x14ac:dyDescent="0.35">
      <c r="A154" t="s">
        <v>2210</v>
      </c>
      <c r="B154">
        <v>42.83</v>
      </c>
      <c r="C154">
        <v>6.04</v>
      </c>
      <c r="D154" t="s">
        <v>2370</v>
      </c>
      <c r="E154" t="s">
        <v>2370</v>
      </c>
      <c r="F154" t="s">
        <v>2370</v>
      </c>
      <c r="G154">
        <v>2</v>
      </c>
      <c r="H154" t="s">
        <v>2372</v>
      </c>
    </row>
    <row r="155" spans="1:8" x14ac:dyDescent="0.35">
      <c r="A155" t="s">
        <v>2209</v>
      </c>
      <c r="B155">
        <v>40.15</v>
      </c>
      <c r="C155">
        <v>5.76</v>
      </c>
      <c r="D155" t="s">
        <v>2370</v>
      </c>
      <c r="E155" t="s">
        <v>2370</v>
      </c>
      <c r="F155" t="s">
        <v>2370</v>
      </c>
      <c r="G155">
        <v>1</v>
      </c>
      <c r="H155" t="s">
        <v>2372</v>
      </c>
    </row>
    <row r="156" spans="1:8" x14ac:dyDescent="0.35">
      <c r="A156" t="s">
        <v>2208</v>
      </c>
      <c r="B156">
        <v>27.8</v>
      </c>
      <c r="C156">
        <v>4.3600000000000003</v>
      </c>
      <c r="D156" t="s">
        <v>2370</v>
      </c>
      <c r="E156" t="s">
        <v>2370</v>
      </c>
      <c r="F156" t="s">
        <v>2373</v>
      </c>
      <c r="G156">
        <v>1</v>
      </c>
      <c r="H156" t="s">
        <v>2372</v>
      </c>
    </row>
    <row r="157" spans="1:8" x14ac:dyDescent="0.35">
      <c r="A157" t="s">
        <v>2207</v>
      </c>
      <c r="B157">
        <v>45.81</v>
      </c>
      <c r="C157">
        <v>4.76</v>
      </c>
      <c r="D157" t="s">
        <v>2372</v>
      </c>
      <c r="E157" t="s">
        <v>2370</v>
      </c>
      <c r="F157" t="s">
        <v>2373</v>
      </c>
      <c r="G157">
        <v>1</v>
      </c>
      <c r="H157" t="s">
        <v>2372</v>
      </c>
    </row>
    <row r="158" spans="1:8" x14ac:dyDescent="0.35">
      <c r="A158" t="s">
        <v>2206</v>
      </c>
      <c r="B158">
        <v>34.43</v>
      </c>
      <c r="C158">
        <v>10.82</v>
      </c>
      <c r="D158" t="s">
        <v>2372</v>
      </c>
      <c r="E158" t="s">
        <v>2370</v>
      </c>
      <c r="F158" t="s">
        <v>2370</v>
      </c>
      <c r="G158">
        <v>1</v>
      </c>
      <c r="H158" t="s">
        <v>2372</v>
      </c>
    </row>
    <row r="159" spans="1:8" x14ac:dyDescent="0.35">
      <c r="A159" t="s">
        <v>2205</v>
      </c>
      <c r="B159">
        <v>41.33</v>
      </c>
      <c r="C159">
        <v>4.01</v>
      </c>
      <c r="D159" t="s">
        <v>2372</v>
      </c>
      <c r="E159" t="s">
        <v>2370</v>
      </c>
      <c r="F159" t="s">
        <v>2370</v>
      </c>
      <c r="G159" t="s">
        <v>2371</v>
      </c>
      <c r="H159" t="s">
        <v>2372</v>
      </c>
    </row>
    <row r="160" spans="1:8" x14ac:dyDescent="0.35">
      <c r="A160" t="s">
        <v>2204</v>
      </c>
      <c r="B160">
        <v>31.92</v>
      </c>
      <c r="C160">
        <v>5.12</v>
      </c>
      <c r="D160" t="s">
        <v>2372</v>
      </c>
      <c r="E160" t="s">
        <v>2370</v>
      </c>
      <c r="F160" t="s">
        <v>2370</v>
      </c>
      <c r="G160">
        <v>1</v>
      </c>
      <c r="H160" t="s">
        <v>2372</v>
      </c>
    </row>
    <row r="161" spans="1:8" x14ac:dyDescent="0.35">
      <c r="A161" t="s">
        <v>2203</v>
      </c>
      <c r="B161">
        <v>39.799999999999997</v>
      </c>
      <c r="C161">
        <v>10.54</v>
      </c>
      <c r="D161" t="s">
        <v>2372</v>
      </c>
      <c r="E161" t="s">
        <v>2370</v>
      </c>
      <c r="F161" t="s">
        <v>2370</v>
      </c>
      <c r="G161">
        <v>2</v>
      </c>
      <c r="H161" t="s">
        <v>2372</v>
      </c>
    </row>
    <row r="162" spans="1:8" x14ac:dyDescent="0.35">
      <c r="A162" t="s">
        <v>2202</v>
      </c>
      <c r="B162">
        <v>42.82</v>
      </c>
      <c r="C162">
        <v>4.21</v>
      </c>
      <c r="D162" t="s">
        <v>2370</v>
      </c>
      <c r="E162" t="s">
        <v>2370</v>
      </c>
      <c r="F162" t="s">
        <v>2370</v>
      </c>
      <c r="G162" t="s">
        <v>2371</v>
      </c>
      <c r="H162" t="s">
        <v>2372</v>
      </c>
    </row>
    <row r="163" spans="1:8" x14ac:dyDescent="0.35">
      <c r="A163" t="s">
        <v>2201</v>
      </c>
      <c r="B163">
        <v>33.630000000000003</v>
      </c>
      <c r="C163">
        <v>5.42</v>
      </c>
      <c r="D163" t="s">
        <v>2370</v>
      </c>
      <c r="E163" t="s">
        <v>2370</v>
      </c>
      <c r="F163" t="s">
        <v>2370</v>
      </c>
      <c r="G163" t="s">
        <v>2371</v>
      </c>
      <c r="H163" t="s">
        <v>2372</v>
      </c>
    </row>
    <row r="164" spans="1:8" x14ac:dyDescent="0.35">
      <c r="A164" t="s">
        <v>2200</v>
      </c>
      <c r="B164">
        <v>37.07</v>
      </c>
      <c r="C164">
        <v>4.28</v>
      </c>
      <c r="D164" t="s">
        <v>2370</v>
      </c>
      <c r="E164" t="s">
        <v>2372</v>
      </c>
      <c r="F164" t="s">
        <v>2370</v>
      </c>
      <c r="G164">
        <v>1</v>
      </c>
      <c r="H164" t="s">
        <v>2372</v>
      </c>
    </row>
    <row r="165" spans="1:8" x14ac:dyDescent="0.35">
      <c r="A165" t="s">
        <v>2199</v>
      </c>
      <c r="B165">
        <v>35.625</v>
      </c>
      <c r="C165">
        <v>8.9</v>
      </c>
      <c r="D165" t="s">
        <v>2370</v>
      </c>
      <c r="E165" t="s">
        <v>2370</v>
      </c>
      <c r="F165" t="s">
        <v>2370</v>
      </c>
      <c r="G165" t="s">
        <v>2371</v>
      </c>
      <c r="H165" t="s">
        <v>2372</v>
      </c>
    </row>
    <row r="166" spans="1:8" x14ac:dyDescent="0.35">
      <c r="A166" t="s">
        <v>2198</v>
      </c>
      <c r="B166">
        <v>42.69</v>
      </c>
      <c r="C166">
        <v>4.8899999999999997</v>
      </c>
      <c r="D166" t="s">
        <v>2370</v>
      </c>
      <c r="E166" t="s">
        <v>2370</v>
      </c>
      <c r="F166" t="s">
        <v>2373</v>
      </c>
      <c r="G166">
        <v>1</v>
      </c>
      <c r="H166" t="s">
        <v>2372</v>
      </c>
    </row>
    <row r="167" spans="1:8" x14ac:dyDescent="0.35">
      <c r="A167" t="s">
        <v>2197</v>
      </c>
      <c r="B167">
        <v>37.869999999999997</v>
      </c>
      <c r="C167">
        <v>4.29</v>
      </c>
      <c r="D167" t="s">
        <v>2372</v>
      </c>
      <c r="E167" t="s">
        <v>2370</v>
      </c>
      <c r="F167" t="s">
        <v>2373</v>
      </c>
      <c r="G167">
        <v>1</v>
      </c>
      <c r="H167" t="s">
        <v>2372</v>
      </c>
    </row>
    <row r="168" spans="1:8" x14ac:dyDescent="0.35">
      <c r="A168" t="s">
        <v>2196</v>
      </c>
      <c r="B168">
        <v>40.61</v>
      </c>
      <c r="C168">
        <v>8</v>
      </c>
      <c r="D168" t="s">
        <v>2372</v>
      </c>
      <c r="E168" t="s">
        <v>2370</v>
      </c>
      <c r="F168" t="s">
        <v>2370</v>
      </c>
      <c r="G168">
        <v>1</v>
      </c>
      <c r="H168" t="s">
        <v>2372</v>
      </c>
    </row>
    <row r="169" spans="1:8" x14ac:dyDescent="0.35">
      <c r="A169" t="s">
        <v>2195</v>
      </c>
      <c r="B169">
        <v>30.78</v>
      </c>
      <c r="C169">
        <v>4.67</v>
      </c>
      <c r="D169" t="s">
        <v>2372</v>
      </c>
      <c r="E169" t="s">
        <v>2370</v>
      </c>
      <c r="F169" t="s">
        <v>2370</v>
      </c>
      <c r="G169" t="s">
        <v>2371</v>
      </c>
      <c r="H169" t="s">
        <v>2372</v>
      </c>
    </row>
    <row r="170" spans="1:8" x14ac:dyDescent="0.35">
      <c r="A170" t="s">
        <v>2194</v>
      </c>
      <c r="B170">
        <v>49.49</v>
      </c>
      <c r="C170">
        <v>4.5</v>
      </c>
      <c r="D170" t="s">
        <v>2370</v>
      </c>
      <c r="E170" t="s">
        <v>2370</v>
      </c>
      <c r="F170" t="s">
        <v>2370</v>
      </c>
      <c r="G170" t="s">
        <v>2371</v>
      </c>
      <c r="H170" t="s">
        <v>2372</v>
      </c>
    </row>
    <row r="171" spans="1:8" x14ac:dyDescent="0.35">
      <c r="A171" t="s">
        <v>2193</v>
      </c>
      <c r="B171">
        <v>37.619999999999997</v>
      </c>
      <c r="C171">
        <v>6.32</v>
      </c>
      <c r="D171" t="s">
        <v>2372</v>
      </c>
      <c r="E171" t="s">
        <v>2372</v>
      </c>
      <c r="F171" t="s">
        <v>2370</v>
      </c>
      <c r="G171">
        <v>2</v>
      </c>
      <c r="H171" t="s">
        <v>2372</v>
      </c>
    </row>
    <row r="172" spans="1:8" x14ac:dyDescent="0.35">
      <c r="A172" t="s">
        <v>2192</v>
      </c>
      <c r="B172">
        <v>36.08</v>
      </c>
      <c r="C172">
        <v>6.1</v>
      </c>
      <c r="D172" t="s">
        <v>2372</v>
      </c>
      <c r="E172" t="s">
        <v>2370</v>
      </c>
      <c r="F172" t="s">
        <v>2370</v>
      </c>
      <c r="G172">
        <v>1</v>
      </c>
      <c r="H172" t="s">
        <v>2372</v>
      </c>
    </row>
    <row r="173" spans="1:8" x14ac:dyDescent="0.35">
      <c r="A173" t="s">
        <v>2191</v>
      </c>
      <c r="B173">
        <v>33.5</v>
      </c>
      <c r="C173">
        <v>5.4</v>
      </c>
      <c r="D173" t="s">
        <v>2370</v>
      </c>
      <c r="E173" t="s">
        <v>2370</v>
      </c>
      <c r="F173" t="s">
        <v>2370</v>
      </c>
      <c r="G173" t="s">
        <v>2371</v>
      </c>
      <c r="H173" t="s">
        <v>2372</v>
      </c>
    </row>
    <row r="174" spans="1:8" x14ac:dyDescent="0.35">
      <c r="A174" t="s">
        <v>2190</v>
      </c>
      <c r="B174">
        <v>47.46</v>
      </c>
      <c r="C174">
        <v>6.24</v>
      </c>
      <c r="D174" t="s">
        <v>2372</v>
      </c>
      <c r="E174" t="s">
        <v>2370</v>
      </c>
      <c r="F174" t="s">
        <v>2370</v>
      </c>
      <c r="G174">
        <v>1</v>
      </c>
      <c r="H174" t="s">
        <v>2372</v>
      </c>
    </row>
    <row r="175" spans="1:8" x14ac:dyDescent="0.35">
      <c r="A175" t="s">
        <v>2189</v>
      </c>
      <c r="B175">
        <v>49.24</v>
      </c>
      <c r="C175">
        <v>4.45</v>
      </c>
      <c r="D175" t="s">
        <v>2370</v>
      </c>
      <c r="E175" t="s">
        <v>2370</v>
      </c>
      <c r="F175" t="s">
        <v>2370</v>
      </c>
      <c r="G175" t="s">
        <v>2371</v>
      </c>
      <c r="H175" t="s">
        <v>2372</v>
      </c>
    </row>
    <row r="176" spans="1:8" x14ac:dyDescent="0.35">
      <c r="A176" t="s">
        <v>2188</v>
      </c>
      <c r="B176">
        <v>54.4</v>
      </c>
      <c r="C176">
        <v>5.22</v>
      </c>
      <c r="D176" t="s">
        <v>2370</v>
      </c>
      <c r="E176" t="s">
        <v>2370</v>
      </c>
      <c r="F176" t="s">
        <v>2370</v>
      </c>
      <c r="G176">
        <v>1</v>
      </c>
      <c r="H176" t="s">
        <v>2372</v>
      </c>
    </row>
    <row r="177" spans="1:8" x14ac:dyDescent="0.35">
      <c r="A177" t="s">
        <v>2187</v>
      </c>
      <c r="B177">
        <v>35.53</v>
      </c>
      <c r="C177">
        <v>4.6100000000000003</v>
      </c>
      <c r="D177" t="s">
        <v>2370</v>
      </c>
      <c r="E177" t="s">
        <v>2370</v>
      </c>
      <c r="F177" t="s">
        <v>2370</v>
      </c>
      <c r="G177">
        <v>1</v>
      </c>
      <c r="H177" t="s">
        <v>2372</v>
      </c>
    </row>
    <row r="178" spans="1:8" x14ac:dyDescent="0.35">
      <c r="A178" t="s">
        <v>2186</v>
      </c>
      <c r="B178">
        <v>39.729999999999997</v>
      </c>
      <c r="C178">
        <v>6.24</v>
      </c>
      <c r="D178" t="s">
        <v>2370</v>
      </c>
      <c r="E178" t="s">
        <v>2370</v>
      </c>
      <c r="F178" t="s">
        <v>2370</v>
      </c>
      <c r="G178" t="s">
        <v>2371</v>
      </c>
      <c r="H178" t="s">
        <v>2372</v>
      </c>
    </row>
    <row r="179" spans="1:8" x14ac:dyDescent="0.35">
      <c r="A179" t="s">
        <v>2185</v>
      </c>
      <c r="B179">
        <v>35.68</v>
      </c>
      <c r="C179">
        <v>10.039999999999999</v>
      </c>
      <c r="D179" t="s">
        <v>2370</v>
      </c>
      <c r="E179" t="s">
        <v>2370</v>
      </c>
      <c r="F179" t="s">
        <v>2370</v>
      </c>
      <c r="G179" t="s">
        <v>2371</v>
      </c>
      <c r="H179" t="s">
        <v>2372</v>
      </c>
    </row>
    <row r="180" spans="1:8" x14ac:dyDescent="0.35">
      <c r="A180" t="s">
        <v>2184</v>
      </c>
      <c r="B180">
        <v>48.86</v>
      </c>
      <c r="C180">
        <v>6.09</v>
      </c>
      <c r="D180" t="s">
        <v>2370</v>
      </c>
      <c r="E180" t="s">
        <v>2370</v>
      </c>
      <c r="F180" t="s">
        <v>2370</v>
      </c>
      <c r="G180" t="s">
        <v>2371</v>
      </c>
      <c r="H180" t="s">
        <v>2372</v>
      </c>
    </row>
    <row r="181" spans="1:8" x14ac:dyDescent="0.35">
      <c r="A181" t="s">
        <v>2183</v>
      </c>
      <c r="B181">
        <v>34.799999999999997</v>
      </c>
      <c r="C181">
        <v>11.4</v>
      </c>
      <c r="D181" t="s">
        <v>2372</v>
      </c>
      <c r="E181" t="s">
        <v>2370</v>
      </c>
      <c r="F181" t="s">
        <v>2373</v>
      </c>
      <c r="G181">
        <v>1</v>
      </c>
      <c r="H181" t="s">
        <v>2370</v>
      </c>
    </row>
    <row r="182" spans="1:8" x14ac:dyDescent="0.35">
      <c r="A182" t="s">
        <v>2182</v>
      </c>
      <c r="B182">
        <v>32.49</v>
      </c>
      <c r="C182">
        <v>4.29</v>
      </c>
      <c r="D182" t="s">
        <v>2370</v>
      </c>
      <c r="E182" t="s">
        <v>2370</v>
      </c>
      <c r="F182" t="s">
        <v>2373</v>
      </c>
      <c r="G182">
        <v>1</v>
      </c>
      <c r="H182" t="s">
        <v>2372</v>
      </c>
    </row>
    <row r="183" spans="1:8" x14ac:dyDescent="0.35">
      <c r="A183" t="s">
        <v>2181</v>
      </c>
      <c r="B183">
        <v>39</v>
      </c>
      <c r="C183">
        <v>5.7</v>
      </c>
      <c r="D183" t="s">
        <v>2370</v>
      </c>
      <c r="E183" t="s">
        <v>2370</v>
      </c>
      <c r="F183" t="s">
        <v>2370</v>
      </c>
      <c r="G183">
        <v>2</v>
      </c>
      <c r="H183" t="s">
        <v>2372</v>
      </c>
    </row>
    <row r="184" spans="1:8" x14ac:dyDescent="0.35">
      <c r="A184" t="s">
        <v>2180</v>
      </c>
      <c r="B184">
        <v>35.299999999999997</v>
      </c>
      <c r="C184">
        <v>6.09</v>
      </c>
      <c r="D184" t="s">
        <v>2370</v>
      </c>
      <c r="E184" t="s">
        <v>2370</v>
      </c>
      <c r="F184" t="s">
        <v>2370</v>
      </c>
      <c r="G184">
        <v>1</v>
      </c>
      <c r="H184" t="s">
        <v>2372</v>
      </c>
    </row>
    <row r="185" spans="1:8" x14ac:dyDescent="0.35">
      <c r="A185" t="s">
        <v>2179</v>
      </c>
      <c r="B185">
        <v>33.42</v>
      </c>
      <c r="C185">
        <v>10.67</v>
      </c>
      <c r="D185" t="s">
        <v>2370</v>
      </c>
      <c r="E185" t="s">
        <v>2370</v>
      </c>
      <c r="F185" t="s">
        <v>2370</v>
      </c>
      <c r="G185" t="s">
        <v>2371</v>
      </c>
      <c r="H185" t="s">
        <v>2372</v>
      </c>
    </row>
    <row r="186" spans="1:8" x14ac:dyDescent="0.35">
      <c r="A186" t="s">
        <v>2178</v>
      </c>
      <c r="B186">
        <v>37.18</v>
      </c>
      <c r="C186">
        <v>6.75</v>
      </c>
      <c r="D186" t="s">
        <v>2372</v>
      </c>
      <c r="E186" t="s">
        <v>2370</v>
      </c>
      <c r="F186" t="s">
        <v>2370</v>
      </c>
      <c r="G186">
        <v>2</v>
      </c>
      <c r="H186" t="s">
        <v>2372</v>
      </c>
    </row>
    <row r="187" spans="1:8" x14ac:dyDescent="0.35">
      <c r="A187" t="s">
        <v>2177</v>
      </c>
      <c r="B187">
        <v>33.33</v>
      </c>
      <c r="C187">
        <v>9.26</v>
      </c>
      <c r="D187" t="s">
        <v>2372</v>
      </c>
      <c r="E187" t="s">
        <v>2370</v>
      </c>
      <c r="F187" t="s">
        <v>2370</v>
      </c>
      <c r="G187">
        <v>2</v>
      </c>
      <c r="H187" t="s">
        <v>2370</v>
      </c>
    </row>
    <row r="188" spans="1:8" x14ac:dyDescent="0.35">
      <c r="A188" t="s">
        <v>2176</v>
      </c>
      <c r="B188">
        <v>53.21</v>
      </c>
      <c r="C188">
        <v>4.2699999999999996</v>
      </c>
      <c r="D188" t="s">
        <v>2370</v>
      </c>
      <c r="E188" t="s">
        <v>2370</v>
      </c>
      <c r="F188" t="s">
        <v>2370</v>
      </c>
      <c r="G188">
        <v>1</v>
      </c>
      <c r="H188" t="s">
        <v>2372</v>
      </c>
    </row>
    <row r="189" spans="1:8" x14ac:dyDescent="0.35">
      <c r="A189" t="s">
        <v>2175</v>
      </c>
      <c r="B189">
        <v>38.729999999999997</v>
      </c>
      <c r="C189">
        <v>11.51</v>
      </c>
      <c r="D189" t="s">
        <v>2370</v>
      </c>
      <c r="E189" t="s">
        <v>2370</v>
      </c>
      <c r="F189" t="s">
        <v>2370</v>
      </c>
      <c r="G189">
        <v>2</v>
      </c>
      <c r="H189" t="s">
        <v>2372</v>
      </c>
    </row>
    <row r="190" spans="1:8" x14ac:dyDescent="0.35">
      <c r="A190" t="s">
        <v>2174</v>
      </c>
      <c r="B190">
        <v>29.73</v>
      </c>
      <c r="C190">
        <v>7.22</v>
      </c>
      <c r="D190" t="s">
        <v>2370</v>
      </c>
      <c r="E190" t="s">
        <v>2370</v>
      </c>
      <c r="F190" t="s">
        <v>2370</v>
      </c>
      <c r="G190" t="s">
        <v>2371</v>
      </c>
      <c r="H190" t="s">
        <v>2372</v>
      </c>
    </row>
    <row r="191" spans="1:8" x14ac:dyDescent="0.35">
      <c r="A191" t="s">
        <v>2173</v>
      </c>
      <c r="B191">
        <v>34.700000000000003</v>
      </c>
      <c r="C191">
        <v>4.37</v>
      </c>
      <c r="D191" t="s">
        <v>2370</v>
      </c>
      <c r="E191" t="s">
        <v>2370</v>
      </c>
      <c r="F191" t="s">
        <v>2373</v>
      </c>
      <c r="G191">
        <v>1</v>
      </c>
      <c r="H191" t="s">
        <v>2372</v>
      </c>
    </row>
    <row r="192" spans="1:8" x14ac:dyDescent="0.35">
      <c r="A192" t="s">
        <v>2172</v>
      </c>
      <c r="B192">
        <v>38.28</v>
      </c>
      <c r="C192">
        <v>11.56</v>
      </c>
      <c r="D192" t="s">
        <v>2372</v>
      </c>
      <c r="E192" t="s">
        <v>2370</v>
      </c>
      <c r="F192" t="s">
        <v>2370</v>
      </c>
      <c r="G192">
        <v>1</v>
      </c>
      <c r="H192" t="s">
        <v>2372</v>
      </c>
    </row>
    <row r="193" spans="1:8" x14ac:dyDescent="0.35">
      <c r="A193" t="s">
        <v>2171</v>
      </c>
      <c r="B193">
        <v>33.57</v>
      </c>
      <c r="C193">
        <v>8.82</v>
      </c>
      <c r="D193" t="s">
        <v>2372</v>
      </c>
      <c r="E193" t="s">
        <v>2370</v>
      </c>
      <c r="F193" t="s">
        <v>2370</v>
      </c>
      <c r="G193" t="s">
        <v>2371</v>
      </c>
      <c r="H193" t="s">
        <v>2372</v>
      </c>
    </row>
    <row r="194" spans="1:8" x14ac:dyDescent="0.35">
      <c r="A194" t="s">
        <v>2170</v>
      </c>
      <c r="B194">
        <v>52.06</v>
      </c>
      <c r="C194">
        <v>4.6900000000000004</v>
      </c>
      <c r="D194" t="s">
        <v>2370</v>
      </c>
      <c r="E194" t="s">
        <v>2370</v>
      </c>
      <c r="F194" t="s">
        <v>2370</v>
      </c>
      <c r="G194">
        <v>1</v>
      </c>
      <c r="H194" t="s">
        <v>2372</v>
      </c>
    </row>
    <row r="195" spans="1:8" x14ac:dyDescent="0.35">
      <c r="A195" t="s">
        <v>2169</v>
      </c>
      <c r="B195">
        <v>38.17</v>
      </c>
      <c r="C195">
        <v>4.53</v>
      </c>
      <c r="D195" t="s">
        <v>2370</v>
      </c>
      <c r="E195" t="s">
        <v>2372</v>
      </c>
      <c r="F195" t="s">
        <v>2370</v>
      </c>
      <c r="G195">
        <v>1</v>
      </c>
      <c r="H195" t="s">
        <v>2372</v>
      </c>
    </row>
    <row r="196" spans="1:8" x14ac:dyDescent="0.35">
      <c r="A196" t="s">
        <v>2168</v>
      </c>
      <c r="B196">
        <v>36.954999999999998</v>
      </c>
      <c r="C196">
        <v>5.84</v>
      </c>
      <c r="D196" t="s">
        <v>2370</v>
      </c>
      <c r="E196" t="s">
        <v>2370</v>
      </c>
      <c r="F196" t="s">
        <v>2373</v>
      </c>
      <c r="G196">
        <v>1</v>
      </c>
      <c r="H196" t="s">
        <v>2372</v>
      </c>
    </row>
    <row r="197" spans="1:8" x14ac:dyDescent="0.35">
      <c r="A197" t="s">
        <v>2167</v>
      </c>
      <c r="B197">
        <v>34.4</v>
      </c>
      <c r="C197">
        <v>4.9000000000000004</v>
      </c>
      <c r="D197" t="s">
        <v>2370</v>
      </c>
      <c r="E197" t="s">
        <v>2370</v>
      </c>
      <c r="F197" t="s">
        <v>2373</v>
      </c>
      <c r="G197">
        <v>1</v>
      </c>
      <c r="H197" t="s">
        <v>2372</v>
      </c>
    </row>
    <row r="198" spans="1:8" x14ac:dyDescent="0.35">
      <c r="A198" t="s">
        <v>2166</v>
      </c>
      <c r="B198">
        <v>31.73</v>
      </c>
      <c r="C198">
        <v>4.3</v>
      </c>
      <c r="D198" t="s">
        <v>2370</v>
      </c>
      <c r="E198" t="s">
        <v>2370</v>
      </c>
      <c r="F198" t="s">
        <v>2370</v>
      </c>
      <c r="G198" t="s">
        <v>2371</v>
      </c>
      <c r="H198" t="s">
        <v>2372</v>
      </c>
    </row>
    <row r="199" spans="1:8" x14ac:dyDescent="0.35">
      <c r="A199" t="s">
        <v>2165</v>
      </c>
      <c r="B199">
        <v>36.64</v>
      </c>
      <c r="C199">
        <v>11.34</v>
      </c>
      <c r="D199" t="s">
        <v>2370</v>
      </c>
      <c r="E199" t="s">
        <v>2370</v>
      </c>
      <c r="F199" t="s">
        <v>2370</v>
      </c>
      <c r="G199" t="s">
        <v>2371</v>
      </c>
      <c r="H199" t="s">
        <v>2372</v>
      </c>
    </row>
    <row r="200" spans="1:8" x14ac:dyDescent="0.35">
      <c r="A200" t="s">
        <v>2164</v>
      </c>
      <c r="B200">
        <v>36.85</v>
      </c>
      <c r="C200">
        <v>5.88</v>
      </c>
      <c r="D200" t="s">
        <v>2370</v>
      </c>
      <c r="E200" t="s">
        <v>2372</v>
      </c>
      <c r="F200" t="s">
        <v>2370</v>
      </c>
      <c r="G200">
        <v>1</v>
      </c>
      <c r="H200" t="s">
        <v>2372</v>
      </c>
    </row>
    <row r="201" spans="1:8" x14ac:dyDescent="0.35">
      <c r="A201" t="s">
        <v>2163</v>
      </c>
      <c r="B201">
        <v>33.33</v>
      </c>
      <c r="C201">
        <v>5.01</v>
      </c>
      <c r="D201" t="s">
        <v>2372</v>
      </c>
      <c r="E201" t="s">
        <v>2370</v>
      </c>
      <c r="F201" t="s">
        <v>2373</v>
      </c>
      <c r="G201">
        <v>1</v>
      </c>
      <c r="H201" t="s">
        <v>2372</v>
      </c>
    </row>
    <row r="202" spans="1:8" x14ac:dyDescent="0.35">
      <c r="A202" t="s">
        <v>2162</v>
      </c>
      <c r="B202">
        <v>39.14</v>
      </c>
      <c r="C202">
        <v>4.4000000000000004</v>
      </c>
      <c r="D202" t="s">
        <v>2370</v>
      </c>
      <c r="E202" t="s">
        <v>2370</v>
      </c>
      <c r="F202" t="s">
        <v>2373</v>
      </c>
      <c r="G202">
        <v>1</v>
      </c>
      <c r="H202" t="s">
        <v>2372</v>
      </c>
    </row>
    <row r="203" spans="1:8" x14ac:dyDescent="0.35">
      <c r="A203" t="s">
        <v>2161</v>
      </c>
      <c r="B203">
        <v>32.9</v>
      </c>
      <c r="C203">
        <v>6.26</v>
      </c>
      <c r="D203" t="s">
        <v>2372</v>
      </c>
      <c r="E203" t="s">
        <v>2370</v>
      </c>
      <c r="F203" t="s">
        <v>2370</v>
      </c>
      <c r="G203" t="s">
        <v>2371</v>
      </c>
      <c r="H203" t="s">
        <v>2372</v>
      </c>
    </row>
    <row r="204" spans="1:8" x14ac:dyDescent="0.35">
      <c r="A204" t="s">
        <v>2160</v>
      </c>
      <c r="B204">
        <v>29.78</v>
      </c>
      <c r="C204">
        <v>10.27</v>
      </c>
      <c r="D204" t="s">
        <v>2372</v>
      </c>
      <c r="E204" t="s">
        <v>2370</v>
      </c>
      <c r="F204" t="s">
        <v>2373</v>
      </c>
      <c r="G204">
        <v>1</v>
      </c>
      <c r="H204" t="s">
        <v>2372</v>
      </c>
    </row>
    <row r="205" spans="1:8" x14ac:dyDescent="0.35">
      <c r="A205" t="s">
        <v>2159</v>
      </c>
      <c r="B205">
        <v>32.78</v>
      </c>
      <c r="C205">
        <v>5.27</v>
      </c>
      <c r="D205" t="s">
        <v>2370</v>
      </c>
      <c r="E205" t="s">
        <v>2370</v>
      </c>
      <c r="F205" t="s">
        <v>2370</v>
      </c>
      <c r="G205" t="s">
        <v>2371</v>
      </c>
      <c r="H205" t="s">
        <v>2372</v>
      </c>
    </row>
    <row r="206" spans="1:8" x14ac:dyDescent="0.35">
      <c r="A206" t="s">
        <v>2158</v>
      </c>
      <c r="B206">
        <v>41.65</v>
      </c>
      <c r="C206">
        <v>10.73</v>
      </c>
      <c r="D206" t="s">
        <v>2372</v>
      </c>
      <c r="E206" t="s">
        <v>2370</v>
      </c>
      <c r="F206" t="s">
        <v>2370</v>
      </c>
      <c r="G206" t="s">
        <v>2371</v>
      </c>
      <c r="H206" t="s">
        <v>2372</v>
      </c>
    </row>
    <row r="207" spans="1:8" x14ac:dyDescent="0.35">
      <c r="A207" t="s">
        <v>2157</v>
      </c>
      <c r="B207">
        <v>50.79</v>
      </c>
      <c r="C207">
        <v>4.45</v>
      </c>
      <c r="D207" t="s">
        <v>2370</v>
      </c>
      <c r="E207" t="s">
        <v>2370</v>
      </c>
      <c r="F207" t="s">
        <v>2370</v>
      </c>
      <c r="G207">
        <v>1</v>
      </c>
      <c r="H207" t="s">
        <v>2372</v>
      </c>
    </row>
    <row r="208" spans="1:8" x14ac:dyDescent="0.35">
      <c r="A208" t="s">
        <v>2156</v>
      </c>
      <c r="B208">
        <v>35.43</v>
      </c>
      <c r="C208">
        <v>5.25</v>
      </c>
      <c r="D208" t="s">
        <v>2372</v>
      </c>
      <c r="E208" t="s">
        <v>2370</v>
      </c>
      <c r="F208" t="s">
        <v>2370</v>
      </c>
      <c r="G208" t="s">
        <v>2371</v>
      </c>
      <c r="H208" t="s">
        <v>2372</v>
      </c>
    </row>
    <row r="209" spans="1:8" x14ac:dyDescent="0.35">
      <c r="A209" t="s">
        <v>2155</v>
      </c>
      <c r="B209">
        <v>35.25</v>
      </c>
      <c r="C209">
        <v>9.51</v>
      </c>
      <c r="D209" t="s">
        <v>2370</v>
      </c>
      <c r="E209" t="s">
        <v>2370</v>
      </c>
      <c r="F209" t="s">
        <v>2370</v>
      </c>
      <c r="G209" t="s">
        <v>2371</v>
      </c>
      <c r="H209" t="s">
        <v>2372</v>
      </c>
    </row>
    <row r="210" spans="1:8" x14ac:dyDescent="0.35">
      <c r="A210" t="s">
        <v>2154</v>
      </c>
      <c r="B210">
        <v>36.85</v>
      </c>
      <c r="C210">
        <v>11.12</v>
      </c>
      <c r="D210" t="s">
        <v>2370</v>
      </c>
      <c r="E210" t="s">
        <v>2370</v>
      </c>
      <c r="F210" t="s">
        <v>2370</v>
      </c>
      <c r="G210" t="s">
        <v>2371</v>
      </c>
      <c r="H210" t="s">
        <v>2372</v>
      </c>
    </row>
    <row r="211" spans="1:8" x14ac:dyDescent="0.35">
      <c r="A211" t="s">
        <v>2153</v>
      </c>
      <c r="B211">
        <v>31.02</v>
      </c>
      <c r="C211">
        <v>4.5599999999999996</v>
      </c>
      <c r="D211" t="s">
        <v>2370</v>
      </c>
      <c r="E211" t="s">
        <v>2372</v>
      </c>
      <c r="F211" t="s">
        <v>2370</v>
      </c>
      <c r="G211">
        <v>1</v>
      </c>
      <c r="H211" t="s">
        <v>2372</v>
      </c>
    </row>
    <row r="212" spans="1:8" x14ac:dyDescent="0.35">
      <c r="A212" t="s">
        <v>2152</v>
      </c>
      <c r="B212">
        <v>35.6</v>
      </c>
      <c r="C212">
        <v>4.0199999999999996</v>
      </c>
      <c r="D212" t="s">
        <v>2372</v>
      </c>
      <c r="E212" t="s">
        <v>2372</v>
      </c>
      <c r="F212" t="s">
        <v>2370</v>
      </c>
      <c r="G212">
        <v>2</v>
      </c>
      <c r="H212" t="s">
        <v>2372</v>
      </c>
    </row>
    <row r="213" spans="1:8" x14ac:dyDescent="0.35">
      <c r="A213" t="s">
        <v>2151</v>
      </c>
      <c r="B213">
        <v>34.39</v>
      </c>
      <c r="C213">
        <v>8.7200000000000006</v>
      </c>
      <c r="D213" t="s">
        <v>2370</v>
      </c>
      <c r="E213" t="s">
        <v>2370</v>
      </c>
      <c r="F213" t="s">
        <v>2370</v>
      </c>
      <c r="G213" t="s">
        <v>2371</v>
      </c>
      <c r="H213" t="s">
        <v>2372</v>
      </c>
    </row>
    <row r="214" spans="1:8" x14ac:dyDescent="0.35">
      <c r="A214" t="s">
        <v>2150</v>
      </c>
      <c r="B214">
        <v>29.06</v>
      </c>
      <c r="C214">
        <v>6.25</v>
      </c>
      <c r="D214" t="s">
        <v>2372</v>
      </c>
      <c r="E214" t="s">
        <v>2370</v>
      </c>
      <c r="F214" t="s">
        <v>2370</v>
      </c>
      <c r="G214">
        <v>1</v>
      </c>
      <c r="H214" t="s">
        <v>2372</v>
      </c>
    </row>
    <row r="215" spans="1:8" x14ac:dyDescent="0.35">
      <c r="A215" t="s">
        <v>2149</v>
      </c>
      <c r="B215">
        <v>35.799999999999997</v>
      </c>
      <c r="C215">
        <v>7.32</v>
      </c>
      <c r="D215" t="s">
        <v>2370</v>
      </c>
      <c r="E215" t="s">
        <v>2370</v>
      </c>
      <c r="F215" t="s">
        <v>2370</v>
      </c>
      <c r="G215">
        <v>2</v>
      </c>
      <c r="H215" t="s">
        <v>2372</v>
      </c>
    </row>
    <row r="216" spans="1:8" x14ac:dyDescent="0.35">
      <c r="A216" t="s">
        <v>2148</v>
      </c>
      <c r="B216">
        <v>49.8</v>
      </c>
      <c r="C216">
        <v>4.24</v>
      </c>
      <c r="D216" t="s">
        <v>2370</v>
      </c>
      <c r="E216" t="s">
        <v>2370</v>
      </c>
      <c r="F216" t="s">
        <v>2370</v>
      </c>
      <c r="G216">
        <v>1</v>
      </c>
      <c r="H216" t="s">
        <v>2372</v>
      </c>
    </row>
    <row r="217" spans="1:8" x14ac:dyDescent="0.35">
      <c r="A217" t="s">
        <v>2147</v>
      </c>
      <c r="B217">
        <v>35.71</v>
      </c>
      <c r="C217">
        <v>6.84</v>
      </c>
      <c r="D217" t="s">
        <v>2370</v>
      </c>
      <c r="E217" t="s">
        <v>2370</v>
      </c>
      <c r="F217" t="s">
        <v>2370</v>
      </c>
      <c r="G217">
        <v>2</v>
      </c>
      <c r="H217" t="s">
        <v>2372</v>
      </c>
    </row>
    <row r="218" spans="1:8" x14ac:dyDescent="0.35">
      <c r="A218" t="s">
        <v>2146</v>
      </c>
      <c r="B218">
        <v>30.8</v>
      </c>
      <c r="C218">
        <v>5.23</v>
      </c>
      <c r="D218" t="s">
        <v>2372</v>
      </c>
      <c r="E218" t="s">
        <v>2370</v>
      </c>
      <c r="F218" t="s">
        <v>2370</v>
      </c>
      <c r="G218">
        <v>1</v>
      </c>
      <c r="H218" t="s">
        <v>2372</v>
      </c>
    </row>
    <row r="219" spans="1:8" x14ac:dyDescent="0.35">
      <c r="A219" t="s">
        <v>2145</v>
      </c>
      <c r="B219">
        <v>33.69</v>
      </c>
      <c r="C219">
        <v>9.68</v>
      </c>
      <c r="D219" t="s">
        <v>2370</v>
      </c>
      <c r="E219" t="s">
        <v>2370</v>
      </c>
      <c r="F219" t="s">
        <v>2370</v>
      </c>
      <c r="G219" t="s">
        <v>2371</v>
      </c>
      <c r="H219" t="s">
        <v>2372</v>
      </c>
    </row>
    <row r="220" spans="1:8" x14ac:dyDescent="0.35">
      <c r="A220" t="s">
        <v>2144</v>
      </c>
      <c r="B220">
        <v>42.27</v>
      </c>
      <c r="C220">
        <v>6.05</v>
      </c>
      <c r="D220" t="s">
        <v>2372</v>
      </c>
      <c r="E220" t="s">
        <v>2370</v>
      </c>
      <c r="F220" t="s">
        <v>2370</v>
      </c>
      <c r="G220">
        <v>1</v>
      </c>
      <c r="H220" t="s">
        <v>2372</v>
      </c>
    </row>
    <row r="221" spans="1:8" x14ac:dyDescent="0.35">
      <c r="A221" t="s">
        <v>2143</v>
      </c>
      <c r="B221">
        <v>53.25</v>
      </c>
      <c r="C221">
        <v>6.11</v>
      </c>
      <c r="D221" t="s">
        <v>2372</v>
      </c>
      <c r="E221" t="s">
        <v>2370</v>
      </c>
      <c r="F221" t="s">
        <v>2373</v>
      </c>
      <c r="G221">
        <v>1</v>
      </c>
      <c r="H221" t="s">
        <v>2372</v>
      </c>
    </row>
    <row r="222" spans="1:8" x14ac:dyDescent="0.35">
      <c r="A222" t="s">
        <v>2142</v>
      </c>
      <c r="B222">
        <v>26.8</v>
      </c>
      <c r="C222">
        <v>10.93</v>
      </c>
      <c r="D222" t="s">
        <v>2372</v>
      </c>
      <c r="E222" t="s">
        <v>2370</v>
      </c>
      <c r="F222" t="s">
        <v>2370</v>
      </c>
      <c r="G222" t="s">
        <v>2371</v>
      </c>
      <c r="H222" t="s">
        <v>2370</v>
      </c>
    </row>
    <row r="223" spans="1:8" x14ac:dyDescent="0.35">
      <c r="A223" t="s">
        <v>2141</v>
      </c>
      <c r="B223">
        <v>28.5</v>
      </c>
      <c r="C223">
        <v>5.12</v>
      </c>
      <c r="D223" t="s">
        <v>2370</v>
      </c>
      <c r="E223" t="s">
        <v>2370</v>
      </c>
      <c r="F223" t="s">
        <v>2370</v>
      </c>
      <c r="G223">
        <v>1</v>
      </c>
      <c r="H223" t="s">
        <v>2372</v>
      </c>
    </row>
    <row r="224" spans="1:8" x14ac:dyDescent="0.35">
      <c r="A224" t="s">
        <v>2140</v>
      </c>
      <c r="B224">
        <v>22.895</v>
      </c>
      <c r="C224">
        <v>5.72</v>
      </c>
      <c r="D224" t="s">
        <v>2370</v>
      </c>
      <c r="E224" t="s">
        <v>2370</v>
      </c>
      <c r="F224" t="s">
        <v>2370</v>
      </c>
      <c r="G224" t="s">
        <v>2371</v>
      </c>
      <c r="H224" t="s">
        <v>2372</v>
      </c>
    </row>
    <row r="225" spans="1:8" x14ac:dyDescent="0.35">
      <c r="A225" t="s">
        <v>2139</v>
      </c>
      <c r="B225">
        <v>34.06</v>
      </c>
      <c r="C225">
        <v>11.83</v>
      </c>
      <c r="D225" t="s">
        <v>2372</v>
      </c>
      <c r="E225" t="s">
        <v>2370</v>
      </c>
      <c r="F225" t="s">
        <v>2370</v>
      </c>
      <c r="G225">
        <v>1</v>
      </c>
      <c r="H225" t="s">
        <v>2372</v>
      </c>
    </row>
    <row r="226" spans="1:8" x14ac:dyDescent="0.35">
      <c r="A226" t="s">
        <v>2138</v>
      </c>
      <c r="B226">
        <v>36.409999999999997</v>
      </c>
      <c r="C226">
        <v>4.55</v>
      </c>
      <c r="D226" t="s">
        <v>2370</v>
      </c>
      <c r="E226" t="s">
        <v>2370</v>
      </c>
      <c r="F226" t="s">
        <v>2370</v>
      </c>
      <c r="G226" t="s">
        <v>2371</v>
      </c>
      <c r="H226" t="s">
        <v>2372</v>
      </c>
    </row>
    <row r="227" spans="1:8" x14ac:dyDescent="0.35">
      <c r="A227" t="s">
        <v>2137</v>
      </c>
      <c r="B227">
        <v>52.3</v>
      </c>
      <c r="C227">
        <v>4.87</v>
      </c>
      <c r="D227" t="s">
        <v>2372</v>
      </c>
      <c r="E227" t="s">
        <v>2370</v>
      </c>
      <c r="F227" t="s">
        <v>2373</v>
      </c>
      <c r="G227">
        <v>1</v>
      </c>
      <c r="H227" t="s">
        <v>2372</v>
      </c>
    </row>
    <row r="228" spans="1:8" x14ac:dyDescent="0.35">
      <c r="A228" t="s">
        <v>2136</v>
      </c>
      <c r="B228">
        <v>52.66</v>
      </c>
      <c r="C228">
        <v>4.45</v>
      </c>
      <c r="D228" t="s">
        <v>2370</v>
      </c>
      <c r="E228" t="s">
        <v>2370</v>
      </c>
      <c r="F228" t="s">
        <v>2370</v>
      </c>
      <c r="G228">
        <v>1</v>
      </c>
      <c r="H228" t="s">
        <v>2372</v>
      </c>
    </row>
    <row r="229" spans="1:8" x14ac:dyDescent="0.35">
      <c r="A229" t="s">
        <v>2135</v>
      </c>
      <c r="B229">
        <v>29.57</v>
      </c>
      <c r="C229">
        <v>9.42</v>
      </c>
      <c r="D229" t="s">
        <v>2372</v>
      </c>
      <c r="E229" t="s">
        <v>2370</v>
      </c>
      <c r="F229" t="s">
        <v>2370</v>
      </c>
      <c r="G229" t="s">
        <v>2371</v>
      </c>
      <c r="H229" t="s">
        <v>2372</v>
      </c>
    </row>
    <row r="230" spans="1:8" x14ac:dyDescent="0.35">
      <c r="A230" t="s">
        <v>2134</v>
      </c>
      <c r="B230">
        <v>36.99</v>
      </c>
      <c r="C230">
        <v>5.37</v>
      </c>
      <c r="D230" t="s">
        <v>2372</v>
      </c>
      <c r="E230" t="s">
        <v>2370</v>
      </c>
      <c r="F230" t="s">
        <v>2373</v>
      </c>
      <c r="G230">
        <v>1</v>
      </c>
      <c r="H230" t="s">
        <v>2372</v>
      </c>
    </row>
    <row r="231" spans="1:8" x14ac:dyDescent="0.35">
      <c r="A231" t="s">
        <v>2133</v>
      </c>
      <c r="B231">
        <v>31.4</v>
      </c>
      <c r="C231">
        <v>4.5999999999999996</v>
      </c>
      <c r="D231" t="s">
        <v>2372</v>
      </c>
      <c r="E231" t="s">
        <v>2370</v>
      </c>
      <c r="F231" t="s">
        <v>2370</v>
      </c>
      <c r="G231">
        <v>1</v>
      </c>
      <c r="H231" t="s">
        <v>2372</v>
      </c>
    </row>
    <row r="232" spans="1:8" x14ac:dyDescent="0.35">
      <c r="A232" t="s">
        <v>2132</v>
      </c>
      <c r="B232">
        <v>34.9</v>
      </c>
      <c r="C232">
        <v>6.22</v>
      </c>
      <c r="D232" t="s">
        <v>2370</v>
      </c>
      <c r="E232" t="s">
        <v>2370</v>
      </c>
      <c r="F232" t="s">
        <v>2373</v>
      </c>
      <c r="G232">
        <v>1</v>
      </c>
      <c r="H232" t="s">
        <v>2372</v>
      </c>
    </row>
    <row r="233" spans="1:8" x14ac:dyDescent="0.35">
      <c r="A233" t="s">
        <v>2131</v>
      </c>
      <c r="B233">
        <v>31.13</v>
      </c>
      <c r="C233">
        <v>4.5199999999999996</v>
      </c>
      <c r="D233" t="s">
        <v>2372</v>
      </c>
      <c r="E233" t="s">
        <v>2370</v>
      </c>
      <c r="F233" t="s">
        <v>2370</v>
      </c>
      <c r="G233">
        <v>1</v>
      </c>
      <c r="H233" t="s">
        <v>2372</v>
      </c>
    </row>
    <row r="234" spans="1:8" x14ac:dyDescent="0.35">
      <c r="A234" t="s">
        <v>2130</v>
      </c>
      <c r="B234">
        <v>34.799999999999997</v>
      </c>
      <c r="C234">
        <v>6.18</v>
      </c>
      <c r="D234" t="s">
        <v>2370</v>
      </c>
      <c r="E234" t="s">
        <v>2370</v>
      </c>
      <c r="F234" t="s">
        <v>2373</v>
      </c>
      <c r="G234">
        <v>1</v>
      </c>
      <c r="H234" t="s">
        <v>2372</v>
      </c>
    </row>
    <row r="235" spans="1:8" x14ac:dyDescent="0.35">
      <c r="A235" t="s">
        <v>2129</v>
      </c>
      <c r="B235">
        <v>31.68</v>
      </c>
      <c r="C235">
        <v>4.4000000000000004</v>
      </c>
      <c r="D235" t="s">
        <v>2370</v>
      </c>
      <c r="E235" t="s">
        <v>2370</v>
      </c>
      <c r="F235" t="s">
        <v>2370</v>
      </c>
      <c r="G235" t="s">
        <v>2371</v>
      </c>
      <c r="H235" t="s">
        <v>2372</v>
      </c>
    </row>
    <row r="236" spans="1:8" x14ac:dyDescent="0.35">
      <c r="A236" t="s">
        <v>2128</v>
      </c>
      <c r="B236">
        <v>33.534999999999997</v>
      </c>
      <c r="C236">
        <v>6.23</v>
      </c>
      <c r="D236" t="s">
        <v>2370</v>
      </c>
      <c r="E236" t="s">
        <v>2372</v>
      </c>
      <c r="F236" t="s">
        <v>2370</v>
      </c>
      <c r="G236">
        <v>1</v>
      </c>
      <c r="H236" t="s">
        <v>2372</v>
      </c>
    </row>
    <row r="237" spans="1:8" x14ac:dyDescent="0.35">
      <c r="A237" t="s">
        <v>2127</v>
      </c>
      <c r="B237">
        <v>31.92</v>
      </c>
      <c r="C237">
        <v>5.33</v>
      </c>
      <c r="D237" t="s">
        <v>2372</v>
      </c>
      <c r="E237" t="s">
        <v>2370</v>
      </c>
      <c r="F237" t="s">
        <v>2370</v>
      </c>
      <c r="G237" t="s">
        <v>2371</v>
      </c>
      <c r="H237" t="s">
        <v>2372</v>
      </c>
    </row>
    <row r="238" spans="1:8" x14ac:dyDescent="0.35">
      <c r="A238" t="s">
        <v>2126</v>
      </c>
      <c r="B238">
        <v>32.700000000000003</v>
      </c>
      <c r="C238">
        <v>4.09</v>
      </c>
      <c r="D238" t="s">
        <v>2370</v>
      </c>
      <c r="E238" t="s">
        <v>2370</v>
      </c>
      <c r="F238" t="s">
        <v>2370</v>
      </c>
      <c r="G238">
        <v>1</v>
      </c>
      <c r="H238" t="s">
        <v>2372</v>
      </c>
    </row>
    <row r="239" spans="1:8" x14ac:dyDescent="0.35">
      <c r="A239" t="s">
        <v>2125</v>
      </c>
      <c r="B239">
        <v>41.25</v>
      </c>
      <c r="C239">
        <v>5.19</v>
      </c>
      <c r="D239" t="s">
        <v>2370</v>
      </c>
      <c r="E239" t="s">
        <v>2370</v>
      </c>
      <c r="F239" t="s">
        <v>2370</v>
      </c>
      <c r="G239" t="s">
        <v>2371</v>
      </c>
      <c r="H239" t="s">
        <v>2372</v>
      </c>
    </row>
    <row r="240" spans="1:8" x14ac:dyDescent="0.35">
      <c r="A240" t="s">
        <v>2124</v>
      </c>
      <c r="B240">
        <v>33.11</v>
      </c>
      <c r="C240">
        <v>4.12</v>
      </c>
      <c r="D240" t="s">
        <v>2370</v>
      </c>
      <c r="E240" t="s">
        <v>2370</v>
      </c>
      <c r="F240" t="s">
        <v>2373</v>
      </c>
      <c r="G240">
        <v>1</v>
      </c>
      <c r="H240" t="s">
        <v>2372</v>
      </c>
    </row>
    <row r="241" spans="1:8" x14ac:dyDescent="0.35">
      <c r="A241" t="s">
        <v>2123</v>
      </c>
      <c r="B241">
        <v>36.159999999999997</v>
      </c>
      <c r="C241">
        <v>5.0999999999999996</v>
      </c>
      <c r="D241" t="s">
        <v>2370</v>
      </c>
      <c r="E241" t="s">
        <v>2370</v>
      </c>
      <c r="F241" t="s">
        <v>2370</v>
      </c>
      <c r="G241">
        <v>1</v>
      </c>
      <c r="H241" t="s">
        <v>2372</v>
      </c>
    </row>
    <row r="242" spans="1:8" x14ac:dyDescent="0.35">
      <c r="A242" t="s">
        <v>2122</v>
      </c>
      <c r="B242">
        <v>33.72</v>
      </c>
      <c r="C242">
        <v>6.21</v>
      </c>
      <c r="D242" t="s">
        <v>2372</v>
      </c>
      <c r="E242" t="s">
        <v>2370</v>
      </c>
      <c r="F242" t="s">
        <v>2373</v>
      </c>
      <c r="G242">
        <v>1</v>
      </c>
      <c r="H242" t="s">
        <v>2372</v>
      </c>
    </row>
    <row r="243" spans="1:8" x14ac:dyDescent="0.35">
      <c r="A243" t="s">
        <v>2120</v>
      </c>
      <c r="B243">
        <v>37.74</v>
      </c>
      <c r="C243">
        <v>9.5299999999999994</v>
      </c>
      <c r="D243" t="s">
        <v>2372</v>
      </c>
      <c r="E243" t="s">
        <v>2370</v>
      </c>
      <c r="F243" t="s">
        <v>2370</v>
      </c>
      <c r="G243">
        <v>1</v>
      </c>
      <c r="H243" t="s">
        <v>2372</v>
      </c>
    </row>
    <row r="244" spans="1:8" x14ac:dyDescent="0.35">
      <c r="A244" t="s">
        <v>2119</v>
      </c>
      <c r="B244">
        <v>48.75</v>
      </c>
      <c r="C244">
        <v>4.6399999999999997</v>
      </c>
      <c r="D244" t="s">
        <v>2372</v>
      </c>
      <c r="E244" t="s">
        <v>2370</v>
      </c>
      <c r="F244" t="s">
        <v>2370</v>
      </c>
      <c r="G244">
        <v>1</v>
      </c>
      <c r="H244" t="s">
        <v>2372</v>
      </c>
    </row>
    <row r="245" spans="1:8" x14ac:dyDescent="0.35">
      <c r="A245" t="s">
        <v>2118</v>
      </c>
      <c r="B245">
        <v>31.065000000000001</v>
      </c>
      <c r="C245">
        <v>5.05</v>
      </c>
      <c r="D245" t="s">
        <v>2370</v>
      </c>
      <c r="E245" t="s">
        <v>2370</v>
      </c>
      <c r="F245" t="s">
        <v>2370</v>
      </c>
      <c r="G245">
        <v>1</v>
      </c>
      <c r="H245" t="s">
        <v>2372</v>
      </c>
    </row>
    <row r="246" spans="1:8" x14ac:dyDescent="0.35">
      <c r="A246" t="s">
        <v>2117</v>
      </c>
      <c r="B246">
        <v>23.55</v>
      </c>
      <c r="C246">
        <v>10.38</v>
      </c>
      <c r="D246" t="s">
        <v>2370</v>
      </c>
      <c r="E246" t="s">
        <v>2370</v>
      </c>
      <c r="F246" t="s">
        <v>2370</v>
      </c>
      <c r="G246" t="s">
        <v>2371</v>
      </c>
      <c r="H246" t="s">
        <v>2372</v>
      </c>
    </row>
    <row r="247" spans="1:8" x14ac:dyDescent="0.35">
      <c r="A247" t="s">
        <v>2116</v>
      </c>
      <c r="B247">
        <v>30.18</v>
      </c>
      <c r="C247">
        <v>8.31</v>
      </c>
      <c r="D247" t="s">
        <v>2372</v>
      </c>
      <c r="E247" t="s">
        <v>2370</v>
      </c>
      <c r="F247" t="s">
        <v>2370</v>
      </c>
      <c r="G247">
        <v>1</v>
      </c>
      <c r="H247" t="s">
        <v>2372</v>
      </c>
    </row>
    <row r="248" spans="1:8" x14ac:dyDescent="0.35">
      <c r="A248" t="s">
        <v>2115</v>
      </c>
      <c r="B248">
        <v>29.94</v>
      </c>
      <c r="C248">
        <v>7.59</v>
      </c>
      <c r="D248" t="s">
        <v>2370</v>
      </c>
      <c r="E248" t="s">
        <v>2370</v>
      </c>
      <c r="F248" t="s">
        <v>2370</v>
      </c>
      <c r="G248" t="s">
        <v>2371</v>
      </c>
      <c r="H248" t="s">
        <v>2372</v>
      </c>
    </row>
    <row r="249" spans="1:8" x14ac:dyDescent="0.35">
      <c r="A249" t="s">
        <v>2114</v>
      </c>
      <c r="B249">
        <v>31.4</v>
      </c>
      <c r="C249">
        <v>5.49</v>
      </c>
      <c r="D249" t="s">
        <v>2370</v>
      </c>
      <c r="E249" t="s">
        <v>2370</v>
      </c>
      <c r="F249" t="s">
        <v>2370</v>
      </c>
      <c r="G249" t="s">
        <v>2371</v>
      </c>
      <c r="H249" t="s">
        <v>2372</v>
      </c>
    </row>
    <row r="250" spans="1:8" x14ac:dyDescent="0.35">
      <c r="A250" t="s">
        <v>2113</v>
      </c>
      <c r="B250">
        <v>53.06</v>
      </c>
      <c r="C250">
        <v>11.68</v>
      </c>
      <c r="D250" t="s">
        <v>2370</v>
      </c>
      <c r="E250" t="s">
        <v>2370</v>
      </c>
      <c r="F250" t="s">
        <v>2370</v>
      </c>
      <c r="G250" t="s">
        <v>2371</v>
      </c>
      <c r="H250" t="s">
        <v>2372</v>
      </c>
    </row>
    <row r="251" spans="1:8" x14ac:dyDescent="0.35">
      <c r="A251" t="s">
        <v>2112</v>
      </c>
      <c r="B251">
        <v>30.25</v>
      </c>
      <c r="C251">
        <v>4.1900000000000004</v>
      </c>
      <c r="D251" t="s">
        <v>2370</v>
      </c>
      <c r="E251" t="s">
        <v>2370</v>
      </c>
      <c r="F251" t="s">
        <v>2370</v>
      </c>
      <c r="G251">
        <v>2</v>
      </c>
      <c r="H251" t="s">
        <v>2372</v>
      </c>
    </row>
    <row r="252" spans="1:8" x14ac:dyDescent="0.35">
      <c r="A252" t="s">
        <v>2111</v>
      </c>
      <c r="B252">
        <v>46.68</v>
      </c>
      <c r="C252">
        <v>4.01</v>
      </c>
      <c r="D252" t="s">
        <v>2370</v>
      </c>
      <c r="E252" t="s">
        <v>2370</v>
      </c>
      <c r="F252" t="s">
        <v>2370</v>
      </c>
      <c r="G252" t="s">
        <v>2371</v>
      </c>
      <c r="H252" t="s">
        <v>2372</v>
      </c>
    </row>
    <row r="253" spans="1:8" x14ac:dyDescent="0.35">
      <c r="A253" t="s">
        <v>2110</v>
      </c>
      <c r="B253">
        <v>30.4</v>
      </c>
      <c r="C253">
        <v>5.91</v>
      </c>
      <c r="D253" t="s">
        <v>2370</v>
      </c>
      <c r="E253" t="s">
        <v>2372</v>
      </c>
      <c r="F253" t="s">
        <v>2370</v>
      </c>
      <c r="G253">
        <v>2</v>
      </c>
      <c r="H253" t="s">
        <v>2372</v>
      </c>
    </row>
    <row r="254" spans="1:8" x14ac:dyDescent="0.35">
      <c r="A254" t="s">
        <v>2109</v>
      </c>
      <c r="B254">
        <v>30.2</v>
      </c>
      <c r="C254">
        <v>4.47</v>
      </c>
      <c r="D254" t="s">
        <v>2372</v>
      </c>
      <c r="E254" t="s">
        <v>2370</v>
      </c>
      <c r="F254" t="s">
        <v>2373</v>
      </c>
      <c r="G254">
        <v>1</v>
      </c>
      <c r="H254" t="s">
        <v>2372</v>
      </c>
    </row>
    <row r="255" spans="1:8" x14ac:dyDescent="0.35">
      <c r="A255" t="s">
        <v>2108</v>
      </c>
      <c r="B255">
        <v>51.18</v>
      </c>
      <c r="C255">
        <v>4.5599999999999996</v>
      </c>
      <c r="D255" t="s">
        <v>2372</v>
      </c>
      <c r="E255" t="s">
        <v>2372</v>
      </c>
      <c r="F255" t="s">
        <v>2370</v>
      </c>
      <c r="G255">
        <v>2</v>
      </c>
      <c r="H255" t="s">
        <v>2372</v>
      </c>
    </row>
    <row r="256" spans="1:8" x14ac:dyDescent="0.35">
      <c r="A256" t="s">
        <v>2107</v>
      </c>
      <c r="B256">
        <v>22.18</v>
      </c>
      <c r="C256">
        <v>9.9</v>
      </c>
      <c r="D256" t="s">
        <v>2370</v>
      </c>
      <c r="E256" t="s">
        <v>2370</v>
      </c>
      <c r="F256" t="s">
        <v>2370</v>
      </c>
      <c r="G256" t="s">
        <v>2371</v>
      </c>
      <c r="H256" t="s">
        <v>2372</v>
      </c>
    </row>
    <row r="257" spans="1:8" x14ac:dyDescent="0.35">
      <c r="A257" t="s">
        <v>2106</v>
      </c>
      <c r="B257">
        <v>31.92</v>
      </c>
      <c r="C257">
        <v>5.1100000000000003</v>
      </c>
      <c r="D257" t="s">
        <v>2370</v>
      </c>
      <c r="E257" t="s">
        <v>2370</v>
      </c>
      <c r="F257" t="s">
        <v>2373</v>
      </c>
      <c r="G257">
        <v>1</v>
      </c>
      <c r="H257" t="s">
        <v>2372</v>
      </c>
    </row>
    <row r="258" spans="1:8" x14ac:dyDescent="0.35">
      <c r="A258" t="s">
        <v>2105</v>
      </c>
      <c r="B258">
        <v>31.73</v>
      </c>
      <c r="C258">
        <v>5.73</v>
      </c>
      <c r="D258" t="s">
        <v>2370</v>
      </c>
      <c r="E258" t="s">
        <v>2372</v>
      </c>
      <c r="F258" t="s">
        <v>2370</v>
      </c>
      <c r="G258">
        <v>1</v>
      </c>
      <c r="H258" t="s">
        <v>2372</v>
      </c>
    </row>
    <row r="259" spans="1:8" x14ac:dyDescent="0.35">
      <c r="A259" t="s">
        <v>2104</v>
      </c>
      <c r="B259">
        <v>45.52</v>
      </c>
      <c r="C259">
        <v>6.04</v>
      </c>
      <c r="D259" t="s">
        <v>2370</v>
      </c>
      <c r="E259" t="s">
        <v>2370</v>
      </c>
      <c r="F259" t="s">
        <v>2373</v>
      </c>
      <c r="G259">
        <v>1</v>
      </c>
      <c r="H259" t="s">
        <v>2372</v>
      </c>
    </row>
    <row r="260" spans="1:8" x14ac:dyDescent="0.35">
      <c r="A260" t="s">
        <v>2103</v>
      </c>
      <c r="B260">
        <v>52.81</v>
      </c>
      <c r="C260">
        <v>5.19</v>
      </c>
      <c r="D260" t="s">
        <v>2370</v>
      </c>
      <c r="E260" t="s">
        <v>2370</v>
      </c>
      <c r="F260" t="s">
        <v>2373</v>
      </c>
      <c r="G260">
        <v>1</v>
      </c>
      <c r="H260" t="s">
        <v>2372</v>
      </c>
    </row>
    <row r="261" spans="1:8" x14ac:dyDescent="0.35">
      <c r="A261" t="s">
        <v>2102</v>
      </c>
      <c r="B261">
        <v>33.58</v>
      </c>
      <c r="C261">
        <v>5.56</v>
      </c>
      <c r="D261" t="s">
        <v>2370</v>
      </c>
      <c r="E261" t="s">
        <v>2370</v>
      </c>
      <c r="F261" t="s">
        <v>2370</v>
      </c>
      <c r="G261">
        <v>1</v>
      </c>
      <c r="H261" t="s">
        <v>2372</v>
      </c>
    </row>
    <row r="262" spans="1:8" x14ac:dyDescent="0.35">
      <c r="A262" t="s">
        <v>2101</v>
      </c>
      <c r="B262">
        <v>30.684999999999999</v>
      </c>
      <c r="C262">
        <v>8.23</v>
      </c>
      <c r="D262" t="s">
        <v>2370</v>
      </c>
      <c r="E262" t="s">
        <v>2370</v>
      </c>
      <c r="F262" t="s">
        <v>2370</v>
      </c>
      <c r="G262" t="s">
        <v>2371</v>
      </c>
      <c r="H262" t="s">
        <v>2372</v>
      </c>
    </row>
    <row r="263" spans="1:8" x14ac:dyDescent="0.35">
      <c r="A263" t="s">
        <v>2100</v>
      </c>
      <c r="B263">
        <v>37.524999999999999</v>
      </c>
      <c r="C263">
        <v>9.0299999999999994</v>
      </c>
      <c r="D263" t="s">
        <v>2372</v>
      </c>
      <c r="E263" t="s">
        <v>2370</v>
      </c>
      <c r="F263" t="s">
        <v>2370</v>
      </c>
      <c r="G263">
        <v>2</v>
      </c>
      <c r="H263" t="s">
        <v>2370</v>
      </c>
    </row>
    <row r="264" spans="1:8" x14ac:dyDescent="0.35">
      <c r="A264" t="s">
        <v>2099</v>
      </c>
      <c r="B264">
        <v>34.5</v>
      </c>
      <c r="C264">
        <v>4.07</v>
      </c>
      <c r="D264" t="s">
        <v>2372</v>
      </c>
      <c r="E264" t="s">
        <v>2370</v>
      </c>
      <c r="F264" t="s">
        <v>2370</v>
      </c>
      <c r="G264" t="s">
        <v>2371</v>
      </c>
      <c r="H264" t="s">
        <v>2372</v>
      </c>
    </row>
    <row r="265" spans="1:8" x14ac:dyDescent="0.35">
      <c r="A265" t="s">
        <v>2098</v>
      </c>
      <c r="B265">
        <v>28.16</v>
      </c>
      <c r="C265">
        <v>5.77</v>
      </c>
      <c r="D265" t="s">
        <v>2370</v>
      </c>
      <c r="E265" t="s">
        <v>2370</v>
      </c>
      <c r="F265" t="s">
        <v>2370</v>
      </c>
      <c r="G265">
        <v>2</v>
      </c>
      <c r="H265" t="s">
        <v>2372</v>
      </c>
    </row>
    <row r="266" spans="1:8" x14ac:dyDescent="0.35">
      <c r="A266" t="s">
        <v>2097</v>
      </c>
      <c r="B266">
        <v>30.02</v>
      </c>
      <c r="C266">
        <v>5.98</v>
      </c>
      <c r="D266" t="s">
        <v>2370</v>
      </c>
      <c r="E266" t="s">
        <v>2370</v>
      </c>
      <c r="F266" t="s">
        <v>2373</v>
      </c>
      <c r="G266">
        <v>1</v>
      </c>
      <c r="H266" t="s">
        <v>2372</v>
      </c>
    </row>
    <row r="267" spans="1:8" x14ac:dyDescent="0.35">
      <c r="A267" t="s">
        <v>2096</v>
      </c>
      <c r="B267">
        <v>37.82</v>
      </c>
      <c r="C267">
        <v>6.01</v>
      </c>
      <c r="D267" t="s">
        <v>2370</v>
      </c>
      <c r="E267" t="s">
        <v>2370</v>
      </c>
      <c r="F267" t="s">
        <v>2370</v>
      </c>
      <c r="G267" t="s">
        <v>2371</v>
      </c>
      <c r="H267" t="s">
        <v>2372</v>
      </c>
    </row>
    <row r="268" spans="1:8" x14ac:dyDescent="0.35">
      <c r="A268" t="s">
        <v>2095</v>
      </c>
      <c r="B268">
        <v>33.14</v>
      </c>
      <c r="C268">
        <v>5.67</v>
      </c>
      <c r="D268" t="s">
        <v>2372</v>
      </c>
      <c r="E268" t="s">
        <v>2370</v>
      </c>
      <c r="F268" t="s">
        <v>2370</v>
      </c>
      <c r="G268" t="s">
        <v>2371</v>
      </c>
      <c r="H268" t="s">
        <v>2372</v>
      </c>
    </row>
    <row r="269" spans="1:8" x14ac:dyDescent="0.35">
      <c r="A269" t="s">
        <v>2094</v>
      </c>
      <c r="B269">
        <v>25.14</v>
      </c>
      <c r="C269">
        <v>6.02</v>
      </c>
      <c r="D269" t="s">
        <v>2372</v>
      </c>
      <c r="E269" t="s">
        <v>2370</v>
      </c>
      <c r="F269" t="s">
        <v>2373</v>
      </c>
      <c r="G269">
        <v>1</v>
      </c>
      <c r="H269" t="s">
        <v>2372</v>
      </c>
    </row>
    <row r="270" spans="1:8" x14ac:dyDescent="0.35">
      <c r="A270" t="s">
        <v>2093</v>
      </c>
      <c r="B270">
        <v>20.18</v>
      </c>
      <c r="C270">
        <v>11.19</v>
      </c>
      <c r="D270" t="s">
        <v>2370</v>
      </c>
      <c r="E270" t="s">
        <v>2370</v>
      </c>
      <c r="F270" t="s">
        <v>2370</v>
      </c>
      <c r="G270" t="s">
        <v>2371</v>
      </c>
      <c r="H270" t="s">
        <v>2372</v>
      </c>
    </row>
    <row r="271" spans="1:8" x14ac:dyDescent="0.35">
      <c r="A271" t="s">
        <v>2092</v>
      </c>
      <c r="B271">
        <v>44.36</v>
      </c>
      <c r="C271">
        <v>5.1100000000000003</v>
      </c>
      <c r="D271" t="s">
        <v>2370</v>
      </c>
      <c r="E271" t="s">
        <v>2370</v>
      </c>
      <c r="F271" t="s">
        <v>2370</v>
      </c>
      <c r="G271" t="s">
        <v>2371</v>
      </c>
      <c r="H271" t="s">
        <v>2372</v>
      </c>
    </row>
    <row r="272" spans="1:8" x14ac:dyDescent="0.35">
      <c r="A272" t="s">
        <v>2091</v>
      </c>
      <c r="B272">
        <v>23.82</v>
      </c>
      <c r="C272">
        <v>10.85</v>
      </c>
      <c r="D272" t="s">
        <v>2372</v>
      </c>
      <c r="E272" t="s">
        <v>2370</v>
      </c>
      <c r="F272" t="s">
        <v>2370</v>
      </c>
      <c r="G272" t="s">
        <v>2371</v>
      </c>
      <c r="H272" t="s">
        <v>2372</v>
      </c>
    </row>
    <row r="273" spans="1:8" x14ac:dyDescent="0.35">
      <c r="A273" t="s">
        <v>2090</v>
      </c>
      <c r="B273">
        <v>45</v>
      </c>
      <c r="C273">
        <v>5.24</v>
      </c>
      <c r="D273" t="s">
        <v>2372</v>
      </c>
      <c r="E273" t="s">
        <v>2370</v>
      </c>
      <c r="F273" t="s">
        <v>2370</v>
      </c>
      <c r="G273">
        <v>1</v>
      </c>
      <c r="H273" t="s">
        <v>2372</v>
      </c>
    </row>
    <row r="274" spans="1:8" x14ac:dyDescent="0.35">
      <c r="A274" t="s">
        <v>2089</v>
      </c>
      <c r="B274">
        <v>26.62</v>
      </c>
      <c r="C274">
        <v>10.08</v>
      </c>
      <c r="D274" t="s">
        <v>2370</v>
      </c>
      <c r="E274" t="s">
        <v>2370</v>
      </c>
      <c r="F274" t="s">
        <v>2370</v>
      </c>
      <c r="G274" t="s">
        <v>2371</v>
      </c>
      <c r="H274" t="s">
        <v>2372</v>
      </c>
    </row>
    <row r="275" spans="1:8" x14ac:dyDescent="0.35">
      <c r="A275" t="s">
        <v>2088</v>
      </c>
      <c r="B275">
        <v>32.67</v>
      </c>
      <c r="C275">
        <v>10.97</v>
      </c>
      <c r="D275" t="s">
        <v>2372</v>
      </c>
      <c r="E275" t="s">
        <v>2370</v>
      </c>
      <c r="F275" t="s">
        <v>2370</v>
      </c>
      <c r="G275" t="s">
        <v>2371</v>
      </c>
      <c r="H275" t="s">
        <v>2372</v>
      </c>
    </row>
    <row r="276" spans="1:8" x14ac:dyDescent="0.35">
      <c r="A276" t="s">
        <v>2087</v>
      </c>
      <c r="B276">
        <v>44.44</v>
      </c>
      <c r="C276">
        <v>4.9000000000000004</v>
      </c>
      <c r="D276" t="s">
        <v>2372</v>
      </c>
      <c r="E276" t="s">
        <v>2370</v>
      </c>
      <c r="F276" t="s">
        <v>2370</v>
      </c>
      <c r="G276">
        <v>1</v>
      </c>
      <c r="H276" t="s">
        <v>2372</v>
      </c>
    </row>
    <row r="277" spans="1:8" x14ac:dyDescent="0.35">
      <c r="A277" t="s">
        <v>2086</v>
      </c>
      <c r="B277">
        <v>28.31</v>
      </c>
      <c r="C277">
        <v>5.33</v>
      </c>
      <c r="D277" t="s">
        <v>2370</v>
      </c>
      <c r="E277" t="s">
        <v>2370</v>
      </c>
      <c r="F277" t="s">
        <v>2370</v>
      </c>
      <c r="G277" t="s">
        <v>2371</v>
      </c>
      <c r="H277" t="s">
        <v>2372</v>
      </c>
    </row>
    <row r="278" spans="1:8" x14ac:dyDescent="0.35">
      <c r="A278" t="s">
        <v>2085</v>
      </c>
      <c r="B278">
        <v>25.05</v>
      </c>
      <c r="C278">
        <v>4.6100000000000003</v>
      </c>
      <c r="D278" t="s">
        <v>2370</v>
      </c>
      <c r="E278" t="s">
        <v>2370</v>
      </c>
      <c r="F278" t="s">
        <v>2370</v>
      </c>
      <c r="G278">
        <v>2</v>
      </c>
      <c r="H278" t="s">
        <v>2372</v>
      </c>
    </row>
    <row r="279" spans="1:8" x14ac:dyDescent="0.35">
      <c r="A279" t="s">
        <v>2084</v>
      </c>
      <c r="B279">
        <v>28.34</v>
      </c>
      <c r="C279">
        <v>8.18</v>
      </c>
      <c r="D279" t="s">
        <v>2370</v>
      </c>
      <c r="E279" t="s">
        <v>2370</v>
      </c>
      <c r="F279" t="s">
        <v>2370</v>
      </c>
      <c r="G279" t="s">
        <v>2371</v>
      </c>
      <c r="H279" t="s">
        <v>2372</v>
      </c>
    </row>
    <row r="280" spans="1:8" x14ac:dyDescent="0.35">
      <c r="A280" t="s">
        <v>2083</v>
      </c>
      <c r="B280">
        <v>17.765000000000001</v>
      </c>
      <c r="C280">
        <v>5.62</v>
      </c>
      <c r="D280" t="s">
        <v>2370</v>
      </c>
      <c r="E280" t="s">
        <v>2370</v>
      </c>
      <c r="F280" t="s">
        <v>2370</v>
      </c>
      <c r="G280" t="s">
        <v>2371</v>
      </c>
      <c r="H280" t="s">
        <v>2372</v>
      </c>
    </row>
    <row r="281" spans="1:8" x14ac:dyDescent="0.35">
      <c r="A281" t="s">
        <v>2082</v>
      </c>
      <c r="B281">
        <v>36.119999999999997</v>
      </c>
      <c r="C281">
        <v>5.82</v>
      </c>
      <c r="D281" t="s">
        <v>2370</v>
      </c>
      <c r="E281" t="s">
        <v>2370</v>
      </c>
      <c r="F281" t="s">
        <v>2370</v>
      </c>
      <c r="G281" t="s">
        <v>2371</v>
      </c>
      <c r="H281" t="s">
        <v>2372</v>
      </c>
    </row>
    <row r="282" spans="1:8" x14ac:dyDescent="0.35">
      <c r="A282" t="s">
        <v>2081</v>
      </c>
      <c r="B282">
        <v>23.19</v>
      </c>
      <c r="C282">
        <v>7.66</v>
      </c>
      <c r="D282" t="s">
        <v>2370</v>
      </c>
      <c r="E282" t="s">
        <v>2370</v>
      </c>
      <c r="F282" t="s">
        <v>2370</v>
      </c>
      <c r="G282" t="s">
        <v>2371</v>
      </c>
      <c r="H282" t="s">
        <v>2372</v>
      </c>
    </row>
    <row r="283" spans="1:8" x14ac:dyDescent="0.35">
      <c r="A283" t="s">
        <v>2080</v>
      </c>
      <c r="B283">
        <v>35.99</v>
      </c>
      <c r="C283">
        <v>4.2300000000000004</v>
      </c>
      <c r="D283" t="s">
        <v>2370</v>
      </c>
      <c r="E283" t="s">
        <v>2370</v>
      </c>
      <c r="F283" t="s">
        <v>2370</v>
      </c>
      <c r="G283" t="s">
        <v>2371</v>
      </c>
      <c r="H283" t="s">
        <v>2372</v>
      </c>
    </row>
    <row r="284" spans="1:8" x14ac:dyDescent="0.35">
      <c r="A284" t="s">
        <v>2079</v>
      </c>
      <c r="B284">
        <v>30.25</v>
      </c>
      <c r="C284">
        <v>5.58</v>
      </c>
      <c r="D284" t="s">
        <v>2370</v>
      </c>
      <c r="E284" t="s">
        <v>2370</v>
      </c>
      <c r="F284" t="s">
        <v>2373</v>
      </c>
      <c r="G284">
        <v>1</v>
      </c>
      <c r="H284" t="s">
        <v>2372</v>
      </c>
    </row>
    <row r="285" spans="1:8" x14ac:dyDescent="0.35">
      <c r="A285" t="s">
        <v>2078</v>
      </c>
      <c r="B285">
        <v>26.24</v>
      </c>
      <c r="C285">
        <v>6.26</v>
      </c>
      <c r="D285" t="s">
        <v>2372</v>
      </c>
      <c r="E285" t="s">
        <v>2370</v>
      </c>
      <c r="F285" t="s">
        <v>2370</v>
      </c>
      <c r="G285" t="s">
        <v>2371</v>
      </c>
      <c r="H285" t="s">
        <v>2372</v>
      </c>
    </row>
    <row r="286" spans="1:8" x14ac:dyDescent="0.35">
      <c r="A286" t="s">
        <v>2077</v>
      </c>
      <c r="B286">
        <v>31.36</v>
      </c>
      <c r="C286">
        <v>10.6</v>
      </c>
      <c r="D286" t="s">
        <v>2372</v>
      </c>
      <c r="E286" t="s">
        <v>2370</v>
      </c>
      <c r="F286" t="s">
        <v>2370</v>
      </c>
      <c r="G286" t="s">
        <v>2371</v>
      </c>
      <c r="H286" t="s">
        <v>2372</v>
      </c>
    </row>
    <row r="287" spans="1:8" x14ac:dyDescent="0.35">
      <c r="A287" t="s">
        <v>2076</v>
      </c>
      <c r="B287">
        <v>25.69</v>
      </c>
      <c r="C287">
        <v>4.78</v>
      </c>
      <c r="D287" t="s">
        <v>2372</v>
      </c>
      <c r="E287" t="s">
        <v>2370</v>
      </c>
      <c r="F287" t="s">
        <v>2370</v>
      </c>
      <c r="G287" t="s">
        <v>2371</v>
      </c>
      <c r="H287" t="s">
        <v>2372</v>
      </c>
    </row>
    <row r="288" spans="1:8" x14ac:dyDescent="0.35">
      <c r="A288" t="s">
        <v>2075</v>
      </c>
      <c r="B288">
        <v>25.46</v>
      </c>
      <c r="C288">
        <v>6.03</v>
      </c>
      <c r="D288" t="s">
        <v>2370</v>
      </c>
      <c r="E288" t="s">
        <v>2370</v>
      </c>
      <c r="F288" t="s">
        <v>2370</v>
      </c>
      <c r="G288">
        <v>2</v>
      </c>
      <c r="H288" t="s">
        <v>2372</v>
      </c>
    </row>
    <row r="289" spans="1:8" x14ac:dyDescent="0.35">
      <c r="A289" t="s">
        <v>2074</v>
      </c>
      <c r="B289">
        <v>31.83</v>
      </c>
      <c r="C289">
        <v>11.55</v>
      </c>
      <c r="D289" t="s">
        <v>2372</v>
      </c>
      <c r="E289" t="s">
        <v>2370</v>
      </c>
      <c r="F289" t="s">
        <v>2370</v>
      </c>
      <c r="G289">
        <v>1</v>
      </c>
      <c r="H289" t="s">
        <v>2372</v>
      </c>
    </row>
    <row r="290" spans="1:8" x14ac:dyDescent="0.35">
      <c r="A290" t="s">
        <v>2073</v>
      </c>
      <c r="B290">
        <v>24.43</v>
      </c>
      <c r="C290">
        <v>7.59</v>
      </c>
      <c r="D290" t="s">
        <v>2372</v>
      </c>
      <c r="E290" t="s">
        <v>2370</v>
      </c>
      <c r="F290" t="s">
        <v>2370</v>
      </c>
      <c r="G290">
        <v>1</v>
      </c>
      <c r="H290" t="s">
        <v>2372</v>
      </c>
    </row>
    <row r="291" spans="1:8" x14ac:dyDescent="0.35">
      <c r="A291" t="s">
        <v>2072</v>
      </c>
      <c r="B291">
        <v>41.9</v>
      </c>
      <c r="C291">
        <v>4.26</v>
      </c>
      <c r="D291" t="s">
        <v>2370</v>
      </c>
      <c r="E291" t="s">
        <v>2370</v>
      </c>
      <c r="F291" t="s">
        <v>2370</v>
      </c>
      <c r="G291" t="s">
        <v>2371</v>
      </c>
      <c r="H291" t="s">
        <v>2372</v>
      </c>
    </row>
    <row r="292" spans="1:8" x14ac:dyDescent="0.35">
      <c r="A292" t="s">
        <v>2071</v>
      </c>
      <c r="B292">
        <v>22.88</v>
      </c>
      <c r="C292">
        <v>5.9</v>
      </c>
      <c r="D292" t="s">
        <v>2372</v>
      </c>
      <c r="E292" t="s">
        <v>2370</v>
      </c>
      <c r="F292" t="s">
        <v>2373</v>
      </c>
      <c r="G292">
        <v>1</v>
      </c>
      <c r="H292" t="s">
        <v>2372</v>
      </c>
    </row>
    <row r="293" spans="1:8" x14ac:dyDescent="0.35">
      <c r="A293" t="s">
        <v>2070</v>
      </c>
      <c r="B293">
        <v>29.734999999999999</v>
      </c>
      <c r="C293">
        <v>7.79</v>
      </c>
      <c r="D293" t="s">
        <v>2370</v>
      </c>
      <c r="E293" t="s">
        <v>2370</v>
      </c>
      <c r="F293" t="s">
        <v>2370</v>
      </c>
      <c r="G293" t="s">
        <v>2371</v>
      </c>
      <c r="H293" t="s">
        <v>2370</v>
      </c>
    </row>
    <row r="294" spans="1:8" x14ac:dyDescent="0.35">
      <c r="A294" t="s">
        <v>2069</v>
      </c>
      <c r="B294">
        <v>40.74</v>
      </c>
      <c r="C294">
        <v>5.28</v>
      </c>
      <c r="D294" t="s">
        <v>2370</v>
      </c>
      <c r="E294" t="s">
        <v>2370</v>
      </c>
      <c r="F294" t="s">
        <v>2373</v>
      </c>
      <c r="G294">
        <v>1</v>
      </c>
      <c r="H294" t="s">
        <v>2372</v>
      </c>
    </row>
    <row r="295" spans="1:8" x14ac:dyDescent="0.35">
      <c r="A295" t="s">
        <v>2068</v>
      </c>
      <c r="B295">
        <v>24.14</v>
      </c>
      <c r="C295">
        <v>5.87</v>
      </c>
      <c r="D295" t="s">
        <v>2370</v>
      </c>
      <c r="E295" t="s">
        <v>2370</v>
      </c>
      <c r="F295" t="s">
        <v>2370</v>
      </c>
      <c r="G295">
        <v>2</v>
      </c>
      <c r="H295" t="s">
        <v>2372</v>
      </c>
    </row>
    <row r="296" spans="1:8" x14ac:dyDescent="0.35">
      <c r="A296" t="s">
        <v>2067</v>
      </c>
      <c r="B296">
        <v>25.15</v>
      </c>
      <c r="C296">
        <v>9.08</v>
      </c>
      <c r="D296" t="s">
        <v>2372</v>
      </c>
      <c r="E296" t="s">
        <v>2370</v>
      </c>
      <c r="F296" t="s">
        <v>2370</v>
      </c>
      <c r="G296">
        <v>1</v>
      </c>
      <c r="H296" t="s">
        <v>2372</v>
      </c>
    </row>
    <row r="297" spans="1:8" x14ac:dyDescent="0.35">
      <c r="A297" t="s">
        <v>2066</v>
      </c>
      <c r="B297">
        <v>28.71</v>
      </c>
      <c r="C297">
        <v>5.2</v>
      </c>
      <c r="D297" t="s">
        <v>2370</v>
      </c>
      <c r="E297" t="s">
        <v>2370</v>
      </c>
      <c r="F297" t="s">
        <v>2370</v>
      </c>
      <c r="G297">
        <v>1</v>
      </c>
      <c r="H297" t="s">
        <v>2372</v>
      </c>
    </row>
    <row r="298" spans="1:8" x14ac:dyDescent="0.35">
      <c r="A298" t="s">
        <v>2065</v>
      </c>
      <c r="B298">
        <v>23</v>
      </c>
      <c r="C298">
        <v>5.48</v>
      </c>
      <c r="D298" t="s">
        <v>2370</v>
      </c>
      <c r="E298" t="s">
        <v>2370</v>
      </c>
      <c r="F298" t="s">
        <v>2370</v>
      </c>
      <c r="G298" t="s">
        <v>2371</v>
      </c>
      <c r="H298" t="s">
        <v>2372</v>
      </c>
    </row>
    <row r="299" spans="1:8" x14ac:dyDescent="0.35">
      <c r="A299" t="s">
        <v>2064</v>
      </c>
      <c r="B299">
        <v>36.86</v>
      </c>
      <c r="C299">
        <v>11.95</v>
      </c>
      <c r="D299" t="s">
        <v>2370</v>
      </c>
      <c r="E299" t="s">
        <v>2370</v>
      </c>
      <c r="F299" t="s">
        <v>2370</v>
      </c>
      <c r="G299" t="s">
        <v>2371</v>
      </c>
      <c r="H299" t="s">
        <v>2370</v>
      </c>
    </row>
    <row r="300" spans="1:8" x14ac:dyDescent="0.35">
      <c r="A300" t="s">
        <v>2063</v>
      </c>
      <c r="B300">
        <v>24.25</v>
      </c>
      <c r="C300">
        <v>8.6999999999999993</v>
      </c>
      <c r="D300" t="s">
        <v>2372</v>
      </c>
      <c r="E300" t="s">
        <v>2370</v>
      </c>
      <c r="F300" t="s">
        <v>2370</v>
      </c>
      <c r="G300">
        <v>1</v>
      </c>
      <c r="H300" t="s">
        <v>2372</v>
      </c>
    </row>
    <row r="301" spans="1:8" x14ac:dyDescent="0.35">
      <c r="A301" t="s">
        <v>2062</v>
      </c>
      <c r="B301">
        <v>23.85</v>
      </c>
      <c r="C301">
        <v>7.84</v>
      </c>
      <c r="D301" t="s">
        <v>2370</v>
      </c>
      <c r="E301" t="s">
        <v>2370</v>
      </c>
      <c r="F301" t="s">
        <v>2370</v>
      </c>
      <c r="G301" t="s">
        <v>2371</v>
      </c>
      <c r="H301" t="s">
        <v>2372</v>
      </c>
    </row>
    <row r="302" spans="1:8" x14ac:dyDescent="0.35">
      <c r="A302" t="s">
        <v>2061</v>
      </c>
      <c r="B302">
        <v>40.020000000000003</v>
      </c>
      <c r="C302">
        <v>5.19</v>
      </c>
      <c r="D302" t="s">
        <v>2372</v>
      </c>
      <c r="E302" t="s">
        <v>2370</v>
      </c>
      <c r="F302" t="s">
        <v>2370</v>
      </c>
      <c r="G302">
        <v>1</v>
      </c>
      <c r="H302" t="s">
        <v>2372</v>
      </c>
    </row>
    <row r="303" spans="1:8" x14ac:dyDescent="0.35">
      <c r="A303" t="s">
        <v>2060</v>
      </c>
      <c r="B303">
        <v>19.170000000000002</v>
      </c>
      <c r="C303">
        <v>8.41</v>
      </c>
      <c r="D303" t="s">
        <v>2370</v>
      </c>
      <c r="E303" t="s">
        <v>2370</v>
      </c>
      <c r="F303" t="s">
        <v>2370</v>
      </c>
      <c r="G303" t="s">
        <v>2371</v>
      </c>
      <c r="H303" t="s">
        <v>2372</v>
      </c>
    </row>
    <row r="304" spans="1:8" x14ac:dyDescent="0.35">
      <c r="A304" t="s">
        <v>2059</v>
      </c>
      <c r="B304">
        <v>43.53</v>
      </c>
      <c r="C304">
        <v>5.86</v>
      </c>
      <c r="D304" t="s">
        <v>2372</v>
      </c>
      <c r="E304" t="s">
        <v>2372</v>
      </c>
      <c r="F304" t="s">
        <v>2370</v>
      </c>
      <c r="G304">
        <v>2</v>
      </c>
      <c r="H304" t="s">
        <v>2372</v>
      </c>
    </row>
    <row r="305" spans="1:8" x14ac:dyDescent="0.35">
      <c r="A305" t="s">
        <v>2058</v>
      </c>
      <c r="B305">
        <v>46.06</v>
      </c>
      <c r="C305">
        <v>4.18</v>
      </c>
      <c r="D305" t="s">
        <v>2370</v>
      </c>
      <c r="E305" t="s">
        <v>2372</v>
      </c>
      <c r="F305" t="s">
        <v>2370</v>
      </c>
      <c r="G305">
        <v>1</v>
      </c>
      <c r="H305" t="s">
        <v>2372</v>
      </c>
    </row>
    <row r="306" spans="1:8" x14ac:dyDescent="0.35">
      <c r="A306" t="s">
        <v>2057</v>
      </c>
      <c r="B306">
        <v>29.92</v>
      </c>
      <c r="C306">
        <v>11.99</v>
      </c>
      <c r="D306" t="s">
        <v>2372</v>
      </c>
      <c r="E306" t="s">
        <v>2370</v>
      </c>
      <c r="F306" t="s">
        <v>2370</v>
      </c>
      <c r="G306">
        <v>2</v>
      </c>
      <c r="H306" t="s">
        <v>2372</v>
      </c>
    </row>
    <row r="307" spans="1:8" x14ac:dyDescent="0.35">
      <c r="A307" t="s">
        <v>2056</v>
      </c>
      <c r="B307">
        <v>28.46</v>
      </c>
      <c r="C307">
        <v>4.8499999999999996</v>
      </c>
      <c r="D307" t="s">
        <v>2372</v>
      </c>
      <c r="E307" t="s">
        <v>2370</v>
      </c>
      <c r="F307" t="s">
        <v>2370</v>
      </c>
      <c r="G307">
        <v>1</v>
      </c>
      <c r="H307" t="s">
        <v>2372</v>
      </c>
    </row>
    <row r="308" spans="1:8" x14ac:dyDescent="0.35">
      <c r="A308" t="s">
        <v>2055</v>
      </c>
      <c r="B308">
        <v>24.56</v>
      </c>
      <c r="C308">
        <v>6.18</v>
      </c>
      <c r="D308" t="s">
        <v>2372</v>
      </c>
      <c r="E308" t="s">
        <v>2370</v>
      </c>
      <c r="F308" t="s">
        <v>2373</v>
      </c>
      <c r="G308">
        <v>1</v>
      </c>
      <c r="H308" t="s">
        <v>2372</v>
      </c>
    </row>
    <row r="309" spans="1:8" x14ac:dyDescent="0.35">
      <c r="A309" t="s">
        <v>2054</v>
      </c>
      <c r="B309">
        <v>41.19</v>
      </c>
      <c r="C309">
        <v>6.37</v>
      </c>
      <c r="D309" t="s">
        <v>2370</v>
      </c>
      <c r="E309" t="s">
        <v>2370</v>
      </c>
      <c r="F309" t="s">
        <v>2370</v>
      </c>
      <c r="G309" t="s">
        <v>2371</v>
      </c>
      <c r="H309" t="s">
        <v>2372</v>
      </c>
    </row>
    <row r="310" spans="1:8" x14ac:dyDescent="0.35">
      <c r="A310" t="s">
        <v>2053</v>
      </c>
      <c r="B310">
        <v>18.63</v>
      </c>
      <c r="C310">
        <v>9.81</v>
      </c>
      <c r="D310" t="s">
        <v>2372</v>
      </c>
      <c r="E310" t="s">
        <v>2370</v>
      </c>
      <c r="F310" t="s">
        <v>2370</v>
      </c>
      <c r="G310">
        <v>2</v>
      </c>
      <c r="H310" t="s">
        <v>2372</v>
      </c>
    </row>
    <row r="311" spans="1:8" x14ac:dyDescent="0.35">
      <c r="A311" t="s">
        <v>2052</v>
      </c>
      <c r="B311">
        <v>26.26</v>
      </c>
      <c r="C311">
        <v>11.8</v>
      </c>
      <c r="D311" t="s">
        <v>2372</v>
      </c>
      <c r="E311" t="s">
        <v>2370</v>
      </c>
      <c r="F311" t="s">
        <v>2370</v>
      </c>
      <c r="G311">
        <v>1</v>
      </c>
      <c r="H311" t="s">
        <v>2372</v>
      </c>
    </row>
    <row r="312" spans="1:8" x14ac:dyDescent="0.35">
      <c r="A312" t="s">
        <v>2051</v>
      </c>
      <c r="B312">
        <v>22.37</v>
      </c>
      <c r="C312">
        <v>5.86</v>
      </c>
      <c r="D312" t="s">
        <v>2372</v>
      </c>
      <c r="E312" t="s">
        <v>2370</v>
      </c>
      <c r="F312" t="s">
        <v>2373</v>
      </c>
      <c r="G312">
        <v>1</v>
      </c>
      <c r="H312" t="s">
        <v>2372</v>
      </c>
    </row>
    <row r="313" spans="1:8" x14ac:dyDescent="0.35">
      <c r="A313" t="s">
        <v>2050</v>
      </c>
      <c r="B313">
        <v>39.619999999999997</v>
      </c>
      <c r="C313">
        <v>4.28</v>
      </c>
      <c r="D313" t="s">
        <v>2370</v>
      </c>
      <c r="E313" t="s">
        <v>2370</v>
      </c>
      <c r="F313" t="s">
        <v>2370</v>
      </c>
      <c r="G313">
        <v>1</v>
      </c>
      <c r="H313" t="s">
        <v>2372</v>
      </c>
    </row>
    <row r="314" spans="1:8" x14ac:dyDescent="0.35">
      <c r="A314" t="s">
        <v>2049</v>
      </c>
      <c r="B314">
        <v>18.329999999999998</v>
      </c>
      <c r="C314">
        <v>4.16</v>
      </c>
      <c r="D314" t="s">
        <v>2372</v>
      </c>
      <c r="E314" t="s">
        <v>2370</v>
      </c>
      <c r="F314" t="s">
        <v>2370</v>
      </c>
      <c r="G314" t="s">
        <v>2371</v>
      </c>
      <c r="H314" t="s">
        <v>2372</v>
      </c>
    </row>
    <row r="315" spans="1:8" x14ac:dyDescent="0.35">
      <c r="A315" t="s">
        <v>2048</v>
      </c>
      <c r="B315">
        <v>17.11</v>
      </c>
      <c r="C315">
        <v>4.9800000000000004</v>
      </c>
      <c r="D315" t="s">
        <v>2372</v>
      </c>
      <c r="E315" t="s">
        <v>2370</v>
      </c>
      <c r="F315" t="s">
        <v>2373</v>
      </c>
      <c r="G315">
        <v>1</v>
      </c>
      <c r="H315" t="s">
        <v>2372</v>
      </c>
    </row>
    <row r="316" spans="1:8" x14ac:dyDescent="0.35">
      <c r="A316" t="s">
        <v>2047</v>
      </c>
      <c r="B316">
        <v>43.5</v>
      </c>
      <c r="C316">
        <v>6.38</v>
      </c>
      <c r="D316" t="s">
        <v>2370</v>
      </c>
      <c r="E316" t="s">
        <v>2372</v>
      </c>
      <c r="F316" t="s">
        <v>2370</v>
      </c>
      <c r="G316">
        <v>1</v>
      </c>
      <c r="H316" t="s">
        <v>2372</v>
      </c>
    </row>
    <row r="317" spans="1:8" x14ac:dyDescent="0.35">
      <c r="A317" t="s">
        <v>2046</v>
      </c>
      <c r="B317">
        <v>25.364999999999998</v>
      </c>
      <c r="C317">
        <v>5.19</v>
      </c>
      <c r="D317" t="s">
        <v>2370</v>
      </c>
      <c r="E317" t="s">
        <v>2370</v>
      </c>
      <c r="F317" t="s">
        <v>2370</v>
      </c>
      <c r="G317">
        <v>2</v>
      </c>
      <c r="H317" t="s">
        <v>2370</v>
      </c>
    </row>
    <row r="318" spans="1:8" x14ac:dyDescent="0.35">
      <c r="A318" t="s">
        <v>2045</v>
      </c>
      <c r="B318">
        <v>28.594999999999999</v>
      </c>
      <c r="C318">
        <v>10.210000000000001</v>
      </c>
      <c r="D318" t="s">
        <v>2370</v>
      </c>
      <c r="E318" t="s">
        <v>2370</v>
      </c>
      <c r="F318" t="s">
        <v>2370</v>
      </c>
      <c r="G318" t="s">
        <v>2371</v>
      </c>
      <c r="H318" t="s">
        <v>2370</v>
      </c>
    </row>
    <row r="319" spans="1:8" x14ac:dyDescent="0.35">
      <c r="A319" t="s">
        <v>2044</v>
      </c>
      <c r="B319">
        <v>29.83</v>
      </c>
      <c r="C319">
        <v>9.6999999999999993</v>
      </c>
      <c r="D319" t="s">
        <v>2372</v>
      </c>
      <c r="E319" t="s">
        <v>2370</v>
      </c>
      <c r="F319" t="s">
        <v>2373</v>
      </c>
      <c r="G319">
        <v>1</v>
      </c>
      <c r="H319" t="s">
        <v>2372</v>
      </c>
    </row>
    <row r="320" spans="1:8" x14ac:dyDescent="0.35">
      <c r="A320" t="s">
        <v>2043</v>
      </c>
      <c r="B320">
        <v>24.7</v>
      </c>
      <c r="C320">
        <v>10.25</v>
      </c>
      <c r="D320" t="s">
        <v>2370</v>
      </c>
      <c r="E320" t="s">
        <v>2370</v>
      </c>
      <c r="F320" t="s">
        <v>2370</v>
      </c>
      <c r="G320">
        <v>3</v>
      </c>
      <c r="H320" t="s">
        <v>2370</v>
      </c>
    </row>
    <row r="321" spans="1:8" x14ac:dyDescent="0.35">
      <c r="A321" t="s">
        <v>2042</v>
      </c>
      <c r="B321">
        <v>17.940000000000001</v>
      </c>
      <c r="C321">
        <v>9.77</v>
      </c>
      <c r="D321" t="s">
        <v>2370</v>
      </c>
      <c r="E321" t="s">
        <v>2370</v>
      </c>
      <c r="F321" t="s">
        <v>2370</v>
      </c>
      <c r="G321" t="s">
        <v>2371</v>
      </c>
      <c r="H321" t="s">
        <v>2372</v>
      </c>
    </row>
    <row r="322" spans="1:8" x14ac:dyDescent="0.35">
      <c r="A322" t="s">
        <v>2041</v>
      </c>
      <c r="B322">
        <v>21.08</v>
      </c>
      <c r="C322">
        <v>4.83</v>
      </c>
      <c r="D322" t="s">
        <v>2370</v>
      </c>
      <c r="E322" t="s">
        <v>2370</v>
      </c>
      <c r="F322" t="s">
        <v>2373</v>
      </c>
      <c r="G322">
        <v>1</v>
      </c>
      <c r="H322" t="s">
        <v>2372</v>
      </c>
    </row>
    <row r="323" spans="1:8" x14ac:dyDescent="0.35">
      <c r="A323" t="s">
        <v>2040</v>
      </c>
      <c r="B323">
        <v>37.715000000000003</v>
      </c>
      <c r="C323">
        <v>10.86</v>
      </c>
      <c r="D323" t="s">
        <v>2372</v>
      </c>
      <c r="E323" t="s">
        <v>2370</v>
      </c>
      <c r="F323" t="s">
        <v>2370</v>
      </c>
      <c r="G323" t="s">
        <v>2371</v>
      </c>
      <c r="H323" t="s">
        <v>2370</v>
      </c>
    </row>
    <row r="324" spans="1:8" x14ac:dyDescent="0.35">
      <c r="A324" t="s">
        <v>2039</v>
      </c>
      <c r="B324">
        <v>22.39</v>
      </c>
      <c r="C324">
        <v>9.5299999999999994</v>
      </c>
      <c r="D324" t="s">
        <v>2372</v>
      </c>
      <c r="E324" t="s">
        <v>2370</v>
      </c>
      <c r="F324" t="s">
        <v>2370</v>
      </c>
      <c r="G324" t="s">
        <v>2371</v>
      </c>
      <c r="H324" t="s">
        <v>2372</v>
      </c>
    </row>
    <row r="325" spans="1:8" x14ac:dyDescent="0.35">
      <c r="A325" t="s">
        <v>2038</v>
      </c>
      <c r="B325">
        <v>28.78</v>
      </c>
      <c r="C325">
        <v>5.68</v>
      </c>
      <c r="D325" t="s">
        <v>2370</v>
      </c>
      <c r="E325" t="s">
        <v>2370</v>
      </c>
      <c r="F325" t="s">
        <v>2370</v>
      </c>
      <c r="G325" t="s">
        <v>2371</v>
      </c>
      <c r="H325" t="s">
        <v>2372</v>
      </c>
    </row>
    <row r="326" spans="1:8" x14ac:dyDescent="0.35">
      <c r="A326" t="s">
        <v>2037</v>
      </c>
      <c r="B326">
        <v>18.329999999999998</v>
      </c>
      <c r="C326">
        <v>5.57</v>
      </c>
      <c r="D326" t="s">
        <v>2372</v>
      </c>
      <c r="E326" t="s">
        <v>2370</v>
      </c>
      <c r="F326" t="s">
        <v>2370</v>
      </c>
      <c r="G326" t="s">
        <v>2371</v>
      </c>
      <c r="H326" t="s">
        <v>2372</v>
      </c>
    </row>
    <row r="327" spans="1:8" x14ac:dyDescent="0.35">
      <c r="A327" t="s">
        <v>2036</v>
      </c>
      <c r="B327">
        <v>26.39</v>
      </c>
      <c r="C327">
        <v>4.58</v>
      </c>
      <c r="D327" t="s">
        <v>2372</v>
      </c>
      <c r="E327" t="s">
        <v>2370</v>
      </c>
      <c r="F327" t="s">
        <v>2370</v>
      </c>
      <c r="G327">
        <v>1</v>
      </c>
      <c r="H327" t="s">
        <v>2372</v>
      </c>
    </row>
    <row r="328" spans="1:8" x14ac:dyDescent="0.35">
      <c r="A328" t="s">
        <v>2035</v>
      </c>
      <c r="B328">
        <v>19.260000000000002</v>
      </c>
      <c r="C328">
        <v>8.9600000000000009</v>
      </c>
      <c r="D328" t="s">
        <v>2372</v>
      </c>
      <c r="E328" t="s">
        <v>2370</v>
      </c>
      <c r="F328" t="s">
        <v>2370</v>
      </c>
      <c r="G328">
        <v>1</v>
      </c>
      <c r="H328" t="s">
        <v>2372</v>
      </c>
    </row>
    <row r="329" spans="1:8" x14ac:dyDescent="0.35">
      <c r="A329" t="s">
        <v>2034</v>
      </c>
      <c r="B329">
        <v>26.92</v>
      </c>
      <c r="C329">
        <v>6.09</v>
      </c>
      <c r="D329" t="s">
        <v>2370</v>
      </c>
      <c r="E329" t="s">
        <v>2370</v>
      </c>
      <c r="F329" t="s">
        <v>2370</v>
      </c>
      <c r="G329" t="s">
        <v>2371</v>
      </c>
      <c r="H329" t="s">
        <v>2372</v>
      </c>
    </row>
    <row r="330" spans="1:8" x14ac:dyDescent="0.35">
      <c r="A330" t="s">
        <v>2033</v>
      </c>
      <c r="B330">
        <v>19.73</v>
      </c>
      <c r="C330">
        <v>4.3600000000000003</v>
      </c>
      <c r="D330" t="s">
        <v>2370</v>
      </c>
      <c r="E330" t="s">
        <v>2370</v>
      </c>
      <c r="F330" t="s">
        <v>2370</v>
      </c>
      <c r="G330" t="s">
        <v>2371</v>
      </c>
      <c r="H330" t="s">
        <v>2372</v>
      </c>
    </row>
    <row r="331" spans="1:8" x14ac:dyDescent="0.35">
      <c r="A331" t="s">
        <v>2032</v>
      </c>
      <c r="B331">
        <v>23.56</v>
      </c>
      <c r="C331">
        <v>11.74</v>
      </c>
      <c r="D331" t="s">
        <v>2372</v>
      </c>
      <c r="E331" t="s">
        <v>2370</v>
      </c>
      <c r="F331" t="s">
        <v>2370</v>
      </c>
      <c r="G331" t="s">
        <v>2371</v>
      </c>
      <c r="H331" t="s">
        <v>2372</v>
      </c>
    </row>
    <row r="332" spans="1:8" x14ac:dyDescent="0.35">
      <c r="A332" t="s">
        <v>2031</v>
      </c>
      <c r="B332">
        <v>37.67</v>
      </c>
      <c r="C332">
        <v>5.89</v>
      </c>
      <c r="D332" t="s">
        <v>2370</v>
      </c>
      <c r="E332" t="s">
        <v>2370</v>
      </c>
      <c r="F332" t="s">
        <v>2370</v>
      </c>
      <c r="G332">
        <v>1</v>
      </c>
      <c r="H332" t="s">
        <v>2372</v>
      </c>
    </row>
    <row r="333" spans="1:8" x14ac:dyDescent="0.35">
      <c r="A333" t="s">
        <v>2030</v>
      </c>
      <c r="B333">
        <v>18.73</v>
      </c>
      <c r="C333">
        <v>10.64</v>
      </c>
      <c r="D333" t="s">
        <v>2370</v>
      </c>
      <c r="E333" t="s">
        <v>2370</v>
      </c>
      <c r="F333" t="s">
        <v>2370</v>
      </c>
      <c r="G333">
        <v>2</v>
      </c>
      <c r="H333" t="s">
        <v>2372</v>
      </c>
    </row>
    <row r="334" spans="1:8" x14ac:dyDescent="0.35">
      <c r="A334" t="s">
        <v>2029</v>
      </c>
      <c r="B334">
        <v>33.090000000000003</v>
      </c>
      <c r="C334">
        <v>6.06</v>
      </c>
      <c r="D334" t="s">
        <v>2370</v>
      </c>
      <c r="E334" t="s">
        <v>2370</v>
      </c>
      <c r="F334" t="s">
        <v>2373</v>
      </c>
      <c r="G334">
        <v>1</v>
      </c>
      <c r="H334" t="s">
        <v>2372</v>
      </c>
    </row>
    <row r="335" spans="1:8" x14ac:dyDescent="0.35">
      <c r="A335" t="s">
        <v>2028</v>
      </c>
      <c r="B335">
        <v>18.329999999999998</v>
      </c>
      <c r="C335">
        <v>7.46</v>
      </c>
      <c r="D335" t="s">
        <v>2372</v>
      </c>
      <c r="E335" t="s">
        <v>2370</v>
      </c>
      <c r="F335" t="s">
        <v>2370</v>
      </c>
      <c r="G335">
        <v>1</v>
      </c>
      <c r="H335" t="s">
        <v>2372</v>
      </c>
    </row>
    <row r="336" spans="1:8" x14ac:dyDescent="0.35">
      <c r="A336" t="s">
        <v>2027</v>
      </c>
      <c r="B336">
        <v>27.74</v>
      </c>
      <c r="C336">
        <v>4.68</v>
      </c>
      <c r="D336" t="s">
        <v>2372</v>
      </c>
      <c r="E336" t="s">
        <v>2370</v>
      </c>
      <c r="F336" t="s">
        <v>2370</v>
      </c>
      <c r="G336">
        <v>2</v>
      </c>
      <c r="H336" t="s">
        <v>2372</v>
      </c>
    </row>
    <row r="337" spans="1:8" x14ac:dyDescent="0.35">
      <c r="A337" t="s">
        <v>2026</v>
      </c>
      <c r="B337">
        <v>24.2</v>
      </c>
      <c r="C337">
        <v>6.15</v>
      </c>
      <c r="D337" t="s">
        <v>2370</v>
      </c>
      <c r="E337" t="s">
        <v>2370</v>
      </c>
      <c r="F337" t="s">
        <v>2370</v>
      </c>
      <c r="G337">
        <v>1</v>
      </c>
      <c r="H337" t="s">
        <v>2372</v>
      </c>
    </row>
    <row r="338" spans="1:8" x14ac:dyDescent="0.35">
      <c r="A338" t="s">
        <v>2025</v>
      </c>
      <c r="B338">
        <v>22.03</v>
      </c>
      <c r="C338">
        <v>4.28</v>
      </c>
      <c r="D338" t="s">
        <v>2372</v>
      </c>
      <c r="E338" t="s">
        <v>2370</v>
      </c>
      <c r="F338" t="s">
        <v>2370</v>
      </c>
      <c r="G338" t="s">
        <v>2371</v>
      </c>
      <c r="H338" t="s">
        <v>2372</v>
      </c>
    </row>
    <row r="339" spans="1:8" x14ac:dyDescent="0.35">
      <c r="A339" t="s">
        <v>2024</v>
      </c>
      <c r="B339">
        <v>26.885000000000002</v>
      </c>
      <c r="C339">
        <v>9.86</v>
      </c>
      <c r="D339" t="s">
        <v>2370</v>
      </c>
      <c r="E339" t="s">
        <v>2370</v>
      </c>
      <c r="F339" t="s">
        <v>2370</v>
      </c>
      <c r="G339">
        <v>3</v>
      </c>
      <c r="H339" t="s">
        <v>2372</v>
      </c>
    </row>
    <row r="340" spans="1:8" x14ac:dyDescent="0.35">
      <c r="A340" t="s">
        <v>2023</v>
      </c>
      <c r="B340">
        <v>16.36</v>
      </c>
      <c r="C340">
        <v>11.19</v>
      </c>
      <c r="D340" t="s">
        <v>2370</v>
      </c>
      <c r="E340" t="s">
        <v>2370</v>
      </c>
      <c r="F340" t="s">
        <v>2370</v>
      </c>
      <c r="G340" t="s">
        <v>2371</v>
      </c>
      <c r="H340" t="s">
        <v>2372</v>
      </c>
    </row>
    <row r="341" spans="1:8" x14ac:dyDescent="0.35">
      <c r="A341" t="s">
        <v>2022</v>
      </c>
      <c r="B341">
        <v>32.299999999999997</v>
      </c>
      <c r="C341">
        <v>4.8899999999999997</v>
      </c>
      <c r="D341" t="s">
        <v>2372</v>
      </c>
      <c r="E341" t="s">
        <v>2370</v>
      </c>
      <c r="F341" t="s">
        <v>2373</v>
      </c>
      <c r="G341">
        <v>1</v>
      </c>
      <c r="H341" t="s">
        <v>2370</v>
      </c>
    </row>
    <row r="342" spans="1:8" x14ac:dyDescent="0.35">
      <c r="A342" t="s">
        <v>2021</v>
      </c>
      <c r="B342">
        <v>16.05</v>
      </c>
      <c r="C342">
        <v>4.3499999999999996</v>
      </c>
      <c r="D342" t="s">
        <v>2372</v>
      </c>
      <c r="E342" t="s">
        <v>2370</v>
      </c>
      <c r="F342" t="s">
        <v>2370</v>
      </c>
      <c r="G342" t="s">
        <v>2371</v>
      </c>
      <c r="H342" t="s">
        <v>2372</v>
      </c>
    </row>
    <row r="343" spans="1:8" x14ac:dyDescent="0.35">
      <c r="A343" t="s">
        <v>2020</v>
      </c>
      <c r="B343">
        <v>29.07</v>
      </c>
      <c r="C343">
        <v>8.66</v>
      </c>
      <c r="D343" t="s">
        <v>2372</v>
      </c>
      <c r="E343" t="s">
        <v>2370</v>
      </c>
      <c r="F343" t="s">
        <v>2370</v>
      </c>
      <c r="G343">
        <v>2</v>
      </c>
      <c r="H343" t="s">
        <v>2372</v>
      </c>
    </row>
    <row r="344" spans="1:8" x14ac:dyDescent="0.35">
      <c r="A344" t="s">
        <v>2019</v>
      </c>
      <c r="B344">
        <v>17.43</v>
      </c>
      <c r="C344">
        <v>8.64</v>
      </c>
      <c r="D344" t="s">
        <v>2370</v>
      </c>
      <c r="E344" t="s">
        <v>2370</v>
      </c>
      <c r="F344" t="s">
        <v>2370</v>
      </c>
      <c r="G344" t="s">
        <v>2371</v>
      </c>
      <c r="H344" t="s">
        <v>2372</v>
      </c>
    </row>
    <row r="345" spans="1:8" x14ac:dyDescent="0.35">
      <c r="A345" t="s">
        <v>2018</v>
      </c>
      <c r="B345">
        <v>19.329999999999998</v>
      </c>
      <c r="C345">
        <v>4.2699999999999996</v>
      </c>
      <c r="D345" t="s">
        <v>2370</v>
      </c>
      <c r="E345" t="s">
        <v>2370</v>
      </c>
      <c r="F345" t="s">
        <v>2370</v>
      </c>
      <c r="G345" t="s">
        <v>2371</v>
      </c>
      <c r="H345" t="s">
        <v>2372</v>
      </c>
    </row>
    <row r="346" spans="1:8" x14ac:dyDescent="0.35">
      <c r="A346" t="s">
        <v>2017</v>
      </c>
      <c r="B346">
        <v>30.52</v>
      </c>
      <c r="C346">
        <v>4.21</v>
      </c>
      <c r="D346" t="s">
        <v>2370</v>
      </c>
      <c r="E346" t="s">
        <v>2370</v>
      </c>
      <c r="F346" t="s">
        <v>2370</v>
      </c>
      <c r="G346">
        <v>1</v>
      </c>
      <c r="H346" t="s">
        <v>2372</v>
      </c>
    </row>
    <row r="347" spans="1:8" x14ac:dyDescent="0.35">
      <c r="A347" t="s">
        <v>2016</v>
      </c>
      <c r="B347">
        <v>39.21</v>
      </c>
      <c r="C347">
        <v>5.04</v>
      </c>
      <c r="D347" t="s">
        <v>2370</v>
      </c>
      <c r="E347" t="s">
        <v>2370</v>
      </c>
      <c r="F347" t="s">
        <v>2373</v>
      </c>
      <c r="G347">
        <v>1</v>
      </c>
      <c r="H347" t="s">
        <v>2372</v>
      </c>
    </row>
    <row r="348" spans="1:8" x14ac:dyDescent="0.35">
      <c r="A348" t="s">
        <v>2015</v>
      </c>
      <c r="B348">
        <v>26.98</v>
      </c>
      <c r="C348">
        <v>5.21</v>
      </c>
      <c r="D348" t="s">
        <v>2372</v>
      </c>
      <c r="E348" t="s">
        <v>2370</v>
      </c>
      <c r="F348" t="s">
        <v>2370</v>
      </c>
      <c r="G348">
        <v>2</v>
      </c>
      <c r="H348" t="s">
        <v>2372</v>
      </c>
    </row>
    <row r="349" spans="1:8" x14ac:dyDescent="0.35">
      <c r="A349" t="s">
        <v>2014</v>
      </c>
      <c r="B349">
        <v>25.84</v>
      </c>
      <c r="C349">
        <v>8.83</v>
      </c>
      <c r="D349" t="s">
        <v>2370</v>
      </c>
      <c r="E349" t="s">
        <v>2370</v>
      </c>
      <c r="F349" t="s">
        <v>2370</v>
      </c>
      <c r="G349" t="s">
        <v>2371</v>
      </c>
      <c r="H349" t="s">
        <v>2370</v>
      </c>
    </row>
    <row r="350" spans="1:8" x14ac:dyDescent="0.35">
      <c r="A350" t="s">
        <v>2013</v>
      </c>
      <c r="B350">
        <v>28.31</v>
      </c>
      <c r="C350">
        <v>8.4700000000000006</v>
      </c>
      <c r="D350" t="s">
        <v>2372</v>
      </c>
      <c r="E350" t="s">
        <v>2370</v>
      </c>
      <c r="F350" t="s">
        <v>2370</v>
      </c>
      <c r="G350">
        <v>2</v>
      </c>
      <c r="H350" t="s">
        <v>2372</v>
      </c>
    </row>
    <row r="351" spans="1:8" x14ac:dyDescent="0.35">
      <c r="A351" t="s">
        <v>2012</v>
      </c>
      <c r="B351">
        <v>23.94</v>
      </c>
      <c r="C351">
        <v>4.2</v>
      </c>
      <c r="D351" t="s">
        <v>2370</v>
      </c>
      <c r="E351" t="s">
        <v>2370</v>
      </c>
      <c r="F351" t="s">
        <v>2370</v>
      </c>
      <c r="G351" t="s">
        <v>2371</v>
      </c>
      <c r="H351" t="s">
        <v>2372</v>
      </c>
    </row>
    <row r="352" spans="1:8" x14ac:dyDescent="0.35">
      <c r="A352" t="s">
        <v>2011</v>
      </c>
      <c r="B352">
        <v>20.03</v>
      </c>
      <c r="C352">
        <v>6.14</v>
      </c>
      <c r="D352" t="s">
        <v>2372</v>
      </c>
      <c r="E352" t="s">
        <v>2370</v>
      </c>
      <c r="F352" t="s">
        <v>2370</v>
      </c>
      <c r="G352" t="s">
        <v>2371</v>
      </c>
      <c r="H352" t="s">
        <v>2372</v>
      </c>
    </row>
    <row r="353" spans="1:8" x14ac:dyDescent="0.35">
      <c r="A353" t="s">
        <v>2010</v>
      </c>
      <c r="B353">
        <v>41.42</v>
      </c>
      <c r="C353">
        <v>6.07</v>
      </c>
      <c r="D353" t="s">
        <v>2370</v>
      </c>
      <c r="E353" t="s">
        <v>2370</v>
      </c>
      <c r="F353" t="s">
        <v>2370</v>
      </c>
      <c r="G353" t="s">
        <v>2371</v>
      </c>
      <c r="H353" t="s">
        <v>2370</v>
      </c>
    </row>
    <row r="354" spans="1:8" x14ac:dyDescent="0.35">
      <c r="A354" t="s">
        <v>2009</v>
      </c>
      <c r="B354">
        <v>36.67</v>
      </c>
      <c r="C354">
        <v>10.210000000000001</v>
      </c>
      <c r="D354" t="s">
        <v>2370</v>
      </c>
      <c r="E354" t="s">
        <v>2370</v>
      </c>
      <c r="F354" t="s">
        <v>2370</v>
      </c>
      <c r="G354" t="s">
        <v>2371</v>
      </c>
      <c r="H354" t="s">
        <v>2370</v>
      </c>
    </row>
    <row r="355" spans="1:8" x14ac:dyDescent="0.35">
      <c r="A355" t="s">
        <v>2008</v>
      </c>
      <c r="B355">
        <v>27.645</v>
      </c>
      <c r="C355">
        <v>4.6900000000000004</v>
      </c>
      <c r="D355" t="s">
        <v>2370</v>
      </c>
      <c r="E355" t="s">
        <v>2370</v>
      </c>
      <c r="F355" t="s">
        <v>2370</v>
      </c>
      <c r="G355" t="s">
        <v>2371</v>
      </c>
      <c r="H355" t="s">
        <v>2370</v>
      </c>
    </row>
    <row r="356" spans="1:8" x14ac:dyDescent="0.35">
      <c r="A356" t="s">
        <v>2007</v>
      </c>
      <c r="B356">
        <v>22.72</v>
      </c>
      <c r="C356">
        <v>5.71</v>
      </c>
      <c r="D356" t="s">
        <v>2370</v>
      </c>
      <c r="E356" t="s">
        <v>2370</v>
      </c>
      <c r="F356" t="s">
        <v>2370</v>
      </c>
      <c r="G356" t="s">
        <v>2371</v>
      </c>
      <c r="H356" t="s">
        <v>2372</v>
      </c>
    </row>
    <row r="357" spans="1:8" x14ac:dyDescent="0.35">
      <c r="A357" t="s">
        <v>2006</v>
      </c>
      <c r="B357">
        <v>36.520000000000003</v>
      </c>
      <c r="C357">
        <v>9.07</v>
      </c>
      <c r="D357" t="s">
        <v>2372</v>
      </c>
      <c r="E357" t="s">
        <v>2370</v>
      </c>
      <c r="F357" t="s">
        <v>2373</v>
      </c>
      <c r="G357">
        <v>1</v>
      </c>
      <c r="H357" t="s">
        <v>2370</v>
      </c>
    </row>
    <row r="358" spans="1:8" x14ac:dyDescent="0.35">
      <c r="A358" t="s">
        <v>2005</v>
      </c>
      <c r="B358">
        <v>33.96</v>
      </c>
      <c r="C358">
        <v>4.99</v>
      </c>
      <c r="D358" t="s">
        <v>2370</v>
      </c>
      <c r="E358" t="s">
        <v>2370</v>
      </c>
      <c r="F358" t="s">
        <v>2370</v>
      </c>
      <c r="G358" t="s">
        <v>2371</v>
      </c>
      <c r="H358" t="s">
        <v>2372</v>
      </c>
    </row>
    <row r="359" spans="1:8" x14ac:dyDescent="0.35">
      <c r="A359" t="s">
        <v>2004</v>
      </c>
      <c r="B359">
        <v>26.695</v>
      </c>
      <c r="C359">
        <v>8.31</v>
      </c>
      <c r="D359" t="s">
        <v>2370</v>
      </c>
      <c r="E359" t="s">
        <v>2370</v>
      </c>
      <c r="F359" t="s">
        <v>2370</v>
      </c>
      <c r="G359" t="s">
        <v>2371</v>
      </c>
      <c r="H359" t="s">
        <v>2372</v>
      </c>
    </row>
    <row r="360" spans="1:8" x14ac:dyDescent="0.35">
      <c r="A360" t="s">
        <v>2003</v>
      </c>
      <c r="B360">
        <v>18.45</v>
      </c>
      <c r="C360">
        <v>5.07</v>
      </c>
      <c r="D360" t="s">
        <v>2372</v>
      </c>
      <c r="E360" t="s">
        <v>2370</v>
      </c>
      <c r="F360" t="s">
        <v>2370</v>
      </c>
      <c r="G360" t="s">
        <v>2371</v>
      </c>
      <c r="H360" t="s">
        <v>2372</v>
      </c>
    </row>
    <row r="361" spans="1:8" x14ac:dyDescent="0.35">
      <c r="A361" t="s">
        <v>2002</v>
      </c>
      <c r="B361">
        <v>33.18</v>
      </c>
      <c r="C361">
        <v>4.79</v>
      </c>
      <c r="D361" t="s">
        <v>2370</v>
      </c>
      <c r="E361" t="s">
        <v>2370</v>
      </c>
      <c r="F361" t="s">
        <v>2370</v>
      </c>
      <c r="G361" t="s">
        <v>2371</v>
      </c>
      <c r="H361" t="s">
        <v>2372</v>
      </c>
    </row>
    <row r="362" spans="1:8" x14ac:dyDescent="0.35">
      <c r="A362" t="s">
        <v>2001</v>
      </c>
      <c r="B362">
        <v>36.1</v>
      </c>
      <c r="C362">
        <v>11.39</v>
      </c>
      <c r="D362" t="s">
        <v>2372</v>
      </c>
      <c r="E362" t="s">
        <v>2370</v>
      </c>
      <c r="F362" t="s">
        <v>2370</v>
      </c>
      <c r="G362">
        <v>2</v>
      </c>
      <c r="H362" t="s">
        <v>2370</v>
      </c>
    </row>
    <row r="363" spans="1:8" x14ac:dyDescent="0.35">
      <c r="A363" t="s">
        <v>2000</v>
      </c>
      <c r="B363">
        <v>22.77</v>
      </c>
      <c r="C363">
        <v>6</v>
      </c>
      <c r="D363" t="s">
        <v>2370</v>
      </c>
      <c r="E363" t="s">
        <v>2370</v>
      </c>
      <c r="F363" t="s">
        <v>2370</v>
      </c>
      <c r="G363" t="s">
        <v>2371</v>
      </c>
      <c r="H363" t="s">
        <v>2372</v>
      </c>
    </row>
    <row r="364" spans="1:8" x14ac:dyDescent="0.35">
      <c r="A364" t="s">
        <v>1999</v>
      </c>
      <c r="B364">
        <v>21.24</v>
      </c>
      <c r="C364">
        <v>5.13</v>
      </c>
      <c r="D364" t="s">
        <v>2370</v>
      </c>
      <c r="E364" t="s">
        <v>2370</v>
      </c>
      <c r="F364" t="s">
        <v>2370</v>
      </c>
      <c r="G364" t="s">
        <v>2371</v>
      </c>
      <c r="H364" t="s">
        <v>2372</v>
      </c>
    </row>
    <row r="365" spans="1:8" x14ac:dyDescent="0.35">
      <c r="A365" t="s">
        <v>1998</v>
      </c>
      <c r="B365">
        <v>17.600000000000001</v>
      </c>
      <c r="C365">
        <v>5.26</v>
      </c>
      <c r="D365" t="s">
        <v>2372</v>
      </c>
      <c r="E365" t="s">
        <v>2370</v>
      </c>
      <c r="F365" t="s">
        <v>2370</v>
      </c>
      <c r="G365" t="s">
        <v>2371</v>
      </c>
      <c r="H365" t="s">
        <v>2372</v>
      </c>
    </row>
    <row r="366" spans="1:8" x14ac:dyDescent="0.35">
      <c r="A366" t="s">
        <v>1997</v>
      </c>
      <c r="B366">
        <v>26.29</v>
      </c>
      <c r="C366">
        <v>6.84</v>
      </c>
      <c r="D366" t="s">
        <v>2370</v>
      </c>
      <c r="E366" t="s">
        <v>2370</v>
      </c>
      <c r="F366" t="s">
        <v>2370</v>
      </c>
      <c r="G366" t="s">
        <v>2371</v>
      </c>
      <c r="H366" t="s">
        <v>2372</v>
      </c>
    </row>
    <row r="367" spans="1:8" x14ac:dyDescent="0.35">
      <c r="A367" t="s">
        <v>1996</v>
      </c>
      <c r="B367">
        <v>35.31</v>
      </c>
      <c r="C367">
        <v>9.0399999999999991</v>
      </c>
      <c r="D367" t="s">
        <v>2370</v>
      </c>
      <c r="E367" t="s">
        <v>2370</v>
      </c>
      <c r="F367" t="s">
        <v>2370</v>
      </c>
      <c r="G367" t="s">
        <v>2371</v>
      </c>
      <c r="H367" t="s">
        <v>2370</v>
      </c>
    </row>
    <row r="368" spans="1:8" x14ac:dyDescent="0.35">
      <c r="A368" t="s">
        <v>1995</v>
      </c>
      <c r="B368">
        <v>27.04</v>
      </c>
      <c r="C368">
        <v>4.0999999999999996</v>
      </c>
      <c r="D368" t="s">
        <v>2370</v>
      </c>
      <c r="E368" t="s">
        <v>2370</v>
      </c>
      <c r="F368" t="s">
        <v>2370</v>
      </c>
      <c r="G368">
        <v>1</v>
      </c>
      <c r="H368" t="s">
        <v>2372</v>
      </c>
    </row>
    <row r="369" spans="1:8" x14ac:dyDescent="0.35">
      <c r="A369" t="s">
        <v>1994</v>
      </c>
      <c r="B369">
        <v>30.23</v>
      </c>
      <c r="C369">
        <v>4.2300000000000004</v>
      </c>
      <c r="D369" t="s">
        <v>2372</v>
      </c>
      <c r="E369" t="s">
        <v>2370</v>
      </c>
      <c r="F369" t="s">
        <v>2373</v>
      </c>
      <c r="G369">
        <v>1</v>
      </c>
      <c r="H369" t="s">
        <v>2372</v>
      </c>
    </row>
    <row r="370" spans="1:8" x14ac:dyDescent="0.35">
      <c r="A370" t="s">
        <v>1993</v>
      </c>
      <c r="B370">
        <v>30.6</v>
      </c>
      <c r="C370">
        <v>6.48</v>
      </c>
      <c r="D370" t="s">
        <v>2372</v>
      </c>
      <c r="E370" t="s">
        <v>2370</v>
      </c>
      <c r="F370" t="s">
        <v>2373</v>
      </c>
      <c r="G370">
        <v>1</v>
      </c>
      <c r="H370" t="s">
        <v>2372</v>
      </c>
    </row>
    <row r="371" spans="1:8" x14ac:dyDescent="0.35">
      <c r="A371" t="s">
        <v>1992</v>
      </c>
      <c r="B371">
        <v>26.8</v>
      </c>
      <c r="C371">
        <v>5.53</v>
      </c>
      <c r="D371" t="s">
        <v>2370</v>
      </c>
      <c r="E371" t="s">
        <v>2370</v>
      </c>
      <c r="F371" t="s">
        <v>2370</v>
      </c>
      <c r="G371">
        <v>1</v>
      </c>
      <c r="H371" t="s">
        <v>2372</v>
      </c>
    </row>
    <row r="372" spans="1:8" x14ac:dyDescent="0.35">
      <c r="A372" t="s">
        <v>1991</v>
      </c>
      <c r="B372">
        <v>16.86</v>
      </c>
      <c r="C372">
        <v>4.07</v>
      </c>
      <c r="D372" t="s">
        <v>2372</v>
      </c>
      <c r="E372" t="s">
        <v>2370</v>
      </c>
      <c r="F372" t="s">
        <v>2370</v>
      </c>
      <c r="G372" t="s">
        <v>2371</v>
      </c>
      <c r="H372" t="s">
        <v>2372</v>
      </c>
    </row>
    <row r="373" spans="1:8" x14ac:dyDescent="0.35">
      <c r="A373" t="s">
        <v>1990</v>
      </c>
      <c r="B373">
        <v>16.3</v>
      </c>
      <c r="C373">
        <v>5.51</v>
      </c>
      <c r="D373" t="s">
        <v>2370</v>
      </c>
      <c r="E373" t="s">
        <v>2370</v>
      </c>
      <c r="F373" t="s">
        <v>2370</v>
      </c>
      <c r="G373">
        <v>1</v>
      </c>
      <c r="H373" t="s">
        <v>2372</v>
      </c>
    </row>
    <row r="374" spans="1:8" x14ac:dyDescent="0.35">
      <c r="A374" t="s">
        <v>1989</v>
      </c>
      <c r="B374">
        <v>29.81</v>
      </c>
      <c r="C374">
        <v>11.66</v>
      </c>
      <c r="D374" t="s">
        <v>2370</v>
      </c>
      <c r="E374" t="s">
        <v>2370</v>
      </c>
      <c r="F374" t="s">
        <v>2370</v>
      </c>
      <c r="G374" t="s">
        <v>2371</v>
      </c>
      <c r="H374" t="s">
        <v>2372</v>
      </c>
    </row>
    <row r="375" spans="1:8" x14ac:dyDescent="0.35">
      <c r="A375" t="s">
        <v>1988</v>
      </c>
      <c r="B375">
        <v>16.329999999999998</v>
      </c>
      <c r="C375">
        <v>7.26</v>
      </c>
      <c r="D375" t="s">
        <v>2372</v>
      </c>
      <c r="E375" t="s">
        <v>2370</v>
      </c>
      <c r="F375" t="s">
        <v>2370</v>
      </c>
      <c r="G375" t="s">
        <v>2371</v>
      </c>
      <c r="H375" t="s">
        <v>2372</v>
      </c>
    </row>
    <row r="376" spans="1:8" x14ac:dyDescent="0.35">
      <c r="A376" t="s">
        <v>1987</v>
      </c>
      <c r="B376">
        <v>16.37</v>
      </c>
      <c r="C376">
        <v>4.79</v>
      </c>
      <c r="D376" t="s">
        <v>2372</v>
      </c>
      <c r="E376" t="s">
        <v>2370</v>
      </c>
      <c r="F376" t="s">
        <v>2370</v>
      </c>
      <c r="G376" t="s">
        <v>2371</v>
      </c>
      <c r="H376" t="s">
        <v>2372</v>
      </c>
    </row>
    <row r="377" spans="1:8" x14ac:dyDescent="0.35">
      <c r="A377" t="s">
        <v>1986</v>
      </c>
      <c r="B377">
        <v>22.42</v>
      </c>
      <c r="C377">
        <v>4.68</v>
      </c>
      <c r="D377" t="s">
        <v>2372</v>
      </c>
      <c r="E377" t="s">
        <v>2370</v>
      </c>
      <c r="F377" t="s">
        <v>2370</v>
      </c>
      <c r="G377">
        <v>1</v>
      </c>
      <c r="H377" t="s">
        <v>2370</v>
      </c>
    </row>
    <row r="378" spans="1:8" x14ac:dyDescent="0.35">
      <c r="A378" t="s">
        <v>1985</v>
      </c>
      <c r="B378">
        <v>31.35</v>
      </c>
      <c r="C378">
        <v>4.33</v>
      </c>
      <c r="D378" t="s">
        <v>2372</v>
      </c>
      <c r="E378" t="s">
        <v>2370</v>
      </c>
      <c r="F378" t="s">
        <v>2373</v>
      </c>
      <c r="G378">
        <v>1</v>
      </c>
      <c r="H378" t="s">
        <v>2370</v>
      </c>
    </row>
    <row r="379" spans="1:8" x14ac:dyDescent="0.35">
      <c r="A379" t="s">
        <v>1984</v>
      </c>
      <c r="B379">
        <v>31.9</v>
      </c>
      <c r="C379">
        <v>11.89</v>
      </c>
      <c r="D379" t="s">
        <v>2370</v>
      </c>
      <c r="E379" t="s">
        <v>2370</v>
      </c>
      <c r="F379" t="s">
        <v>2370</v>
      </c>
      <c r="G379" t="s">
        <v>2371</v>
      </c>
      <c r="H379" t="s">
        <v>2370</v>
      </c>
    </row>
    <row r="380" spans="1:8" x14ac:dyDescent="0.35">
      <c r="A380" t="s">
        <v>1983</v>
      </c>
      <c r="B380">
        <v>30.6</v>
      </c>
      <c r="C380">
        <v>5.24</v>
      </c>
      <c r="D380" t="s">
        <v>2370</v>
      </c>
      <c r="E380" t="s">
        <v>2370</v>
      </c>
      <c r="F380" t="s">
        <v>2370</v>
      </c>
      <c r="G380" t="s">
        <v>2371</v>
      </c>
      <c r="H380" t="s">
        <v>2372</v>
      </c>
    </row>
    <row r="381" spans="1:8" x14ac:dyDescent="0.35">
      <c r="A381" t="s">
        <v>1982</v>
      </c>
      <c r="B381">
        <v>28.975000000000001</v>
      </c>
      <c r="C381">
        <v>7.63</v>
      </c>
      <c r="D381" t="s">
        <v>2370</v>
      </c>
      <c r="E381" t="s">
        <v>2370</v>
      </c>
      <c r="F381" t="s">
        <v>2370</v>
      </c>
      <c r="G381" t="s">
        <v>2371</v>
      </c>
      <c r="H381" t="s">
        <v>2372</v>
      </c>
    </row>
    <row r="382" spans="1:8" x14ac:dyDescent="0.35">
      <c r="A382" t="s">
        <v>1981</v>
      </c>
      <c r="B382">
        <v>24.86</v>
      </c>
      <c r="C382">
        <v>8.92</v>
      </c>
      <c r="D382" t="s">
        <v>2372</v>
      </c>
      <c r="E382" t="s">
        <v>2370</v>
      </c>
      <c r="F382" t="s">
        <v>2370</v>
      </c>
      <c r="G382">
        <v>2</v>
      </c>
      <c r="H382" t="s">
        <v>2370</v>
      </c>
    </row>
    <row r="383" spans="1:8" x14ac:dyDescent="0.35">
      <c r="A383" t="s">
        <v>1980</v>
      </c>
      <c r="B383">
        <v>19.54</v>
      </c>
      <c r="C383">
        <v>5.37</v>
      </c>
      <c r="D383" t="s">
        <v>2370</v>
      </c>
      <c r="E383" t="s">
        <v>2370</v>
      </c>
      <c r="F383" t="s">
        <v>2370</v>
      </c>
      <c r="G383" t="s">
        <v>2371</v>
      </c>
      <c r="H383" t="s">
        <v>2372</v>
      </c>
    </row>
    <row r="384" spans="1:8" x14ac:dyDescent="0.35">
      <c r="A384" t="s">
        <v>1979</v>
      </c>
      <c r="B384">
        <v>26.74</v>
      </c>
      <c r="C384">
        <v>4.3099999999999996</v>
      </c>
      <c r="D384" t="s">
        <v>2370</v>
      </c>
      <c r="E384" t="s">
        <v>2370</v>
      </c>
      <c r="F384" t="s">
        <v>2370</v>
      </c>
      <c r="G384" t="s">
        <v>2371</v>
      </c>
      <c r="H384" t="s">
        <v>2372</v>
      </c>
    </row>
    <row r="385" spans="1:8" x14ac:dyDescent="0.35">
      <c r="A385" t="s">
        <v>1978</v>
      </c>
      <c r="B385">
        <v>22.99</v>
      </c>
      <c r="C385">
        <v>10.46</v>
      </c>
      <c r="D385" t="s">
        <v>2370</v>
      </c>
      <c r="E385" t="s">
        <v>2370</v>
      </c>
      <c r="F385" t="s">
        <v>2370</v>
      </c>
      <c r="G385">
        <v>3</v>
      </c>
      <c r="H385" t="s">
        <v>2372</v>
      </c>
    </row>
    <row r="386" spans="1:8" x14ac:dyDescent="0.35">
      <c r="A386" t="s">
        <v>1977</v>
      </c>
      <c r="B386">
        <v>31.46</v>
      </c>
      <c r="C386">
        <v>7.39</v>
      </c>
      <c r="D386" t="s">
        <v>2370</v>
      </c>
      <c r="E386" t="s">
        <v>2370</v>
      </c>
      <c r="F386" t="s">
        <v>2370</v>
      </c>
      <c r="G386" t="s">
        <v>2371</v>
      </c>
      <c r="H386" t="s">
        <v>2370</v>
      </c>
    </row>
    <row r="387" spans="1:8" x14ac:dyDescent="0.35">
      <c r="A387" t="s">
        <v>1976</v>
      </c>
      <c r="B387">
        <v>30.86</v>
      </c>
      <c r="C387">
        <v>6.18</v>
      </c>
      <c r="D387" t="s">
        <v>2370</v>
      </c>
      <c r="E387" t="s">
        <v>2372</v>
      </c>
      <c r="F387" t="s">
        <v>2370</v>
      </c>
      <c r="G387">
        <v>2</v>
      </c>
      <c r="H387" t="s">
        <v>2372</v>
      </c>
    </row>
    <row r="388" spans="1:8" x14ac:dyDescent="0.35">
      <c r="A388" t="s">
        <v>1975</v>
      </c>
      <c r="B388">
        <v>31.96</v>
      </c>
      <c r="C388">
        <v>8.86</v>
      </c>
      <c r="D388" t="s">
        <v>2370</v>
      </c>
      <c r="E388" t="s">
        <v>2370</v>
      </c>
      <c r="F388" t="s">
        <v>2370</v>
      </c>
      <c r="G388" t="s">
        <v>2371</v>
      </c>
      <c r="H388" t="s">
        <v>2372</v>
      </c>
    </row>
    <row r="389" spans="1:8" x14ac:dyDescent="0.35">
      <c r="A389" t="s">
        <v>1974</v>
      </c>
      <c r="B389">
        <v>23.76</v>
      </c>
      <c r="C389">
        <v>10.96</v>
      </c>
      <c r="D389" t="s">
        <v>2370</v>
      </c>
      <c r="E389" t="s">
        <v>2370</v>
      </c>
      <c r="F389" t="s">
        <v>2370</v>
      </c>
      <c r="G389">
        <v>3</v>
      </c>
      <c r="H389" t="s">
        <v>2372</v>
      </c>
    </row>
    <row r="390" spans="1:8" x14ac:dyDescent="0.35">
      <c r="A390" t="s">
        <v>1973</v>
      </c>
      <c r="B390">
        <v>19.38</v>
      </c>
      <c r="C390">
        <v>6.28</v>
      </c>
      <c r="D390" t="s">
        <v>2370</v>
      </c>
      <c r="E390" t="s">
        <v>2370</v>
      </c>
      <c r="F390" t="s">
        <v>2370</v>
      </c>
      <c r="G390" t="s">
        <v>2371</v>
      </c>
      <c r="H390" t="s">
        <v>2372</v>
      </c>
    </row>
    <row r="391" spans="1:8" x14ac:dyDescent="0.35">
      <c r="A391" t="s">
        <v>1972</v>
      </c>
      <c r="B391">
        <v>16.21</v>
      </c>
      <c r="C391">
        <v>6.29</v>
      </c>
      <c r="D391" t="s">
        <v>2372</v>
      </c>
      <c r="E391" t="s">
        <v>2370</v>
      </c>
      <c r="F391" t="s">
        <v>2370</v>
      </c>
      <c r="G391">
        <v>1</v>
      </c>
      <c r="H391" t="s">
        <v>2372</v>
      </c>
    </row>
    <row r="392" spans="1:8" x14ac:dyDescent="0.35">
      <c r="A392" t="s">
        <v>1971</v>
      </c>
      <c r="B392">
        <v>32.54</v>
      </c>
      <c r="C392">
        <v>4.0199999999999996</v>
      </c>
      <c r="D392" t="s">
        <v>2370</v>
      </c>
      <c r="E392" t="s">
        <v>2372</v>
      </c>
      <c r="F392" t="s">
        <v>2370</v>
      </c>
      <c r="G392">
        <v>1</v>
      </c>
      <c r="H392" t="s">
        <v>2372</v>
      </c>
    </row>
    <row r="393" spans="1:8" x14ac:dyDescent="0.35">
      <c r="A393" t="s">
        <v>1970</v>
      </c>
      <c r="B393">
        <v>36.765000000000001</v>
      </c>
      <c r="C393">
        <v>11.95</v>
      </c>
      <c r="D393" t="s">
        <v>2372</v>
      </c>
      <c r="E393" t="s">
        <v>2370</v>
      </c>
      <c r="F393" t="s">
        <v>2370</v>
      </c>
      <c r="G393">
        <v>2</v>
      </c>
      <c r="H393" t="s">
        <v>2370</v>
      </c>
    </row>
    <row r="394" spans="1:8" x14ac:dyDescent="0.35">
      <c r="A394" t="s">
        <v>1969</v>
      </c>
      <c r="B394">
        <v>35.909999999999997</v>
      </c>
      <c r="C394">
        <v>8.7100000000000009</v>
      </c>
      <c r="D394" t="s">
        <v>2370</v>
      </c>
      <c r="E394" t="s">
        <v>2370</v>
      </c>
      <c r="F394" t="s">
        <v>2370</v>
      </c>
      <c r="G394" t="s">
        <v>2371</v>
      </c>
      <c r="H394" t="s">
        <v>2370</v>
      </c>
    </row>
    <row r="395" spans="1:8" x14ac:dyDescent="0.35">
      <c r="A395" t="s">
        <v>1968</v>
      </c>
      <c r="B395">
        <v>32.06</v>
      </c>
      <c r="C395">
        <v>4.67</v>
      </c>
      <c r="D395" t="s">
        <v>2370</v>
      </c>
      <c r="E395" t="s">
        <v>2372</v>
      </c>
      <c r="F395" t="s">
        <v>2370</v>
      </c>
      <c r="G395">
        <v>1</v>
      </c>
      <c r="H395" t="s">
        <v>2372</v>
      </c>
    </row>
    <row r="396" spans="1:8" x14ac:dyDescent="0.35">
      <c r="A396" t="s">
        <v>1967</v>
      </c>
      <c r="B396">
        <v>24.1</v>
      </c>
      <c r="C396">
        <v>11.14</v>
      </c>
      <c r="D396" t="s">
        <v>2372</v>
      </c>
      <c r="E396" t="s">
        <v>2370</v>
      </c>
      <c r="F396" t="s">
        <v>2370</v>
      </c>
      <c r="G396">
        <v>1</v>
      </c>
      <c r="H396" t="s">
        <v>2370</v>
      </c>
    </row>
    <row r="397" spans="1:8" x14ac:dyDescent="0.35">
      <c r="A397" t="s">
        <v>1966</v>
      </c>
      <c r="B397">
        <v>27.1</v>
      </c>
      <c r="C397">
        <v>9.0500000000000007</v>
      </c>
      <c r="D397" t="s">
        <v>2370</v>
      </c>
      <c r="E397" t="s">
        <v>2370</v>
      </c>
      <c r="F397" t="s">
        <v>2370</v>
      </c>
      <c r="G397">
        <v>2</v>
      </c>
      <c r="H397" t="s">
        <v>2370</v>
      </c>
    </row>
    <row r="398" spans="1:8" x14ac:dyDescent="0.35">
      <c r="A398" t="s">
        <v>1965</v>
      </c>
      <c r="B398">
        <v>24.42</v>
      </c>
      <c r="C398">
        <v>11.31</v>
      </c>
      <c r="D398" t="s">
        <v>2370</v>
      </c>
      <c r="E398" t="s">
        <v>2370</v>
      </c>
      <c r="F398" t="s">
        <v>2370</v>
      </c>
      <c r="G398" t="s">
        <v>2371</v>
      </c>
      <c r="H398" t="s">
        <v>2372</v>
      </c>
    </row>
    <row r="399" spans="1:8" x14ac:dyDescent="0.35">
      <c r="A399" t="s">
        <v>1964</v>
      </c>
      <c r="B399">
        <v>26.695</v>
      </c>
      <c r="C399">
        <v>4.68</v>
      </c>
      <c r="D399" t="s">
        <v>2372</v>
      </c>
      <c r="E399" t="s">
        <v>2370</v>
      </c>
      <c r="F399" t="s">
        <v>2370</v>
      </c>
      <c r="G399">
        <v>2</v>
      </c>
      <c r="H399" t="s">
        <v>2372</v>
      </c>
    </row>
    <row r="400" spans="1:8" x14ac:dyDescent="0.35">
      <c r="A400" t="s">
        <v>1963</v>
      </c>
      <c r="B400">
        <v>27.79</v>
      </c>
      <c r="C400">
        <v>6.05</v>
      </c>
      <c r="D400" t="s">
        <v>2372</v>
      </c>
      <c r="E400" t="s">
        <v>2372</v>
      </c>
      <c r="F400" t="s">
        <v>2370</v>
      </c>
      <c r="G400">
        <v>1</v>
      </c>
      <c r="H400" t="s">
        <v>2372</v>
      </c>
    </row>
    <row r="401" spans="1:8" x14ac:dyDescent="0.35">
      <c r="A401" t="s">
        <v>1962</v>
      </c>
      <c r="B401">
        <v>32.68</v>
      </c>
      <c r="C401">
        <v>4.68</v>
      </c>
      <c r="D401" t="s">
        <v>2372</v>
      </c>
      <c r="E401" t="s">
        <v>2370</v>
      </c>
      <c r="F401" t="s">
        <v>2370</v>
      </c>
      <c r="G401" t="s">
        <v>2371</v>
      </c>
      <c r="H401" t="s">
        <v>2370</v>
      </c>
    </row>
    <row r="402" spans="1:8" x14ac:dyDescent="0.35">
      <c r="A402" t="s">
        <v>1961</v>
      </c>
      <c r="B402">
        <v>26.4</v>
      </c>
      <c r="C402">
        <v>9.5</v>
      </c>
      <c r="D402" t="s">
        <v>2372</v>
      </c>
      <c r="E402" t="s">
        <v>2370</v>
      </c>
      <c r="F402" t="s">
        <v>2370</v>
      </c>
      <c r="G402">
        <v>2</v>
      </c>
      <c r="H402" t="s">
        <v>2370</v>
      </c>
    </row>
    <row r="403" spans="1:8" x14ac:dyDescent="0.35">
      <c r="A403" t="s">
        <v>1960</v>
      </c>
      <c r="B403">
        <v>23.655000000000001</v>
      </c>
      <c r="C403">
        <v>10.84</v>
      </c>
      <c r="D403" t="s">
        <v>2372</v>
      </c>
      <c r="E403" t="s">
        <v>2370</v>
      </c>
      <c r="F403" t="s">
        <v>2373</v>
      </c>
      <c r="G403">
        <v>1</v>
      </c>
      <c r="H403" t="s">
        <v>2372</v>
      </c>
    </row>
    <row r="404" spans="1:8" x14ac:dyDescent="0.35">
      <c r="A404" t="s">
        <v>1959</v>
      </c>
      <c r="B404">
        <v>27.36</v>
      </c>
      <c r="C404">
        <v>5.88</v>
      </c>
      <c r="D404" t="s">
        <v>2370</v>
      </c>
      <c r="E404" t="s">
        <v>2370</v>
      </c>
      <c r="F404" t="s">
        <v>2370</v>
      </c>
      <c r="G404">
        <v>2</v>
      </c>
      <c r="H404" t="s">
        <v>2370</v>
      </c>
    </row>
    <row r="405" spans="1:8" x14ac:dyDescent="0.35">
      <c r="A405" t="s">
        <v>1958</v>
      </c>
      <c r="B405">
        <v>27.82</v>
      </c>
      <c r="C405">
        <v>5.24</v>
      </c>
      <c r="D405" t="s">
        <v>2372</v>
      </c>
      <c r="E405" t="s">
        <v>2370</v>
      </c>
      <c r="F405" t="s">
        <v>2370</v>
      </c>
      <c r="G405" t="s">
        <v>2371</v>
      </c>
      <c r="H405" t="s">
        <v>2372</v>
      </c>
    </row>
    <row r="406" spans="1:8" x14ac:dyDescent="0.35">
      <c r="A406" t="s">
        <v>1957</v>
      </c>
      <c r="B406">
        <v>25.46</v>
      </c>
      <c r="C406">
        <v>11.75</v>
      </c>
      <c r="D406" t="s">
        <v>2370</v>
      </c>
      <c r="E406" t="s">
        <v>2370</v>
      </c>
      <c r="F406" t="s">
        <v>2370</v>
      </c>
      <c r="G406" t="s">
        <v>2371</v>
      </c>
      <c r="H406" t="s">
        <v>2370</v>
      </c>
    </row>
    <row r="407" spans="1:8" x14ac:dyDescent="0.35">
      <c r="A407" t="s">
        <v>1956</v>
      </c>
      <c r="B407">
        <v>25.1</v>
      </c>
      <c r="C407">
        <v>6.97</v>
      </c>
      <c r="D407" t="s">
        <v>2370</v>
      </c>
      <c r="E407" t="s">
        <v>2370</v>
      </c>
      <c r="F407" t="s">
        <v>2370</v>
      </c>
      <c r="G407" t="s">
        <v>2371</v>
      </c>
      <c r="H407" t="s">
        <v>2372</v>
      </c>
    </row>
    <row r="408" spans="1:8" x14ac:dyDescent="0.35">
      <c r="A408" t="s">
        <v>1955</v>
      </c>
      <c r="B408">
        <v>32.11</v>
      </c>
      <c r="C408">
        <v>4.76</v>
      </c>
      <c r="D408" t="s">
        <v>2370</v>
      </c>
      <c r="E408" t="s">
        <v>2370</v>
      </c>
      <c r="F408" t="s">
        <v>2370</v>
      </c>
      <c r="G408">
        <v>2</v>
      </c>
      <c r="H408" t="s">
        <v>2370</v>
      </c>
    </row>
    <row r="409" spans="1:8" x14ac:dyDescent="0.35">
      <c r="A409" t="s">
        <v>1954</v>
      </c>
      <c r="B409">
        <v>29.8</v>
      </c>
      <c r="C409">
        <v>8.24</v>
      </c>
      <c r="D409" t="s">
        <v>2372</v>
      </c>
      <c r="E409" t="s">
        <v>2370</v>
      </c>
      <c r="F409" t="s">
        <v>2370</v>
      </c>
      <c r="G409">
        <v>1</v>
      </c>
      <c r="H409" t="s">
        <v>2372</v>
      </c>
    </row>
    <row r="410" spans="1:8" x14ac:dyDescent="0.35">
      <c r="A410" t="s">
        <v>1953</v>
      </c>
      <c r="B410">
        <v>24.01</v>
      </c>
      <c r="C410">
        <v>4.76</v>
      </c>
      <c r="D410" t="s">
        <v>2370</v>
      </c>
      <c r="E410" t="s">
        <v>2370</v>
      </c>
      <c r="F410" t="s">
        <v>2370</v>
      </c>
      <c r="G410">
        <v>1</v>
      </c>
      <c r="H410" t="s">
        <v>2372</v>
      </c>
    </row>
    <row r="411" spans="1:8" x14ac:dyDescent="0.35">
      <c r="A411" t="s">
        <v>1952</v>
      </c>
      <c r="B411">
        <v>23.21</v>
      </c>
      <c r="C411">
        <v>6.03</v>
      </c>
      <c r="D411" t="s">
        <v>2370</v>
      </c>
      <c r="E411" t="s">
        <v>2370</v>
      </c>
      <c r="F411" t="s">
        <v>2370</v>
      </c>
      <c r="G411">
        <v>1</v>
      </c>
      <c r="H411" t="s">
        <v>2370</v>
      </c>
    </row>
    <row r="412" spans="1:8" x14ac:dyDescent="0.35">
      <c r="A412" t="s">
        <v>1951</v>
      </c>
      <c r="B412">
        <v>21.2</v>
      </c>
      <c r="C412">
        <v>4.07</v>
      </c>
      <c r="D412" t="s">
        <v>2372</v>
      </c>
      <c r="E412" t="s">
        <v>2370</v>
      </c>
      <c r="F412" t="s">
        <v>2370</v>
      </c>
      <c r="G412">
        <v>1</v>
      </c>
      <c r="H412" t="s">
        <v>2372</v>
      </c>
    </row>
    <row r="413" spans="1:8" x14ac:dyDescent="0.35">
      <c r="A413" t="s">
        <v>1950</v>
      </c>
      <c r="B413">
        <v>28.215</v>
      </c>
      <c r="C413">
        <v>8.26</v>
      </c>
      <c r="D413" t="s">
        <v>2372</v>
      </c>
      <c r="E413" t="s">
        <v>2370</v>
      </c>
      <c r="F413" t="s">
        <v>2370</v>
      </c>
      <c r="G413">
        <v>1</v>
      </c>
      <c r="H413" t="s">
        <v>2372</v>
      </c>
    </row>
    <row r="414" spans="1:8" x14ac:dyDescent="0.35">
      <c r="A414" t="s">
        <v>1949</v>
      </c>
      <c r="B414">
        <v>38.094999999999999</v>
      </c>
      <c r="C414">
        <v>4.76</v>
      </c>
      <c r="D414" t="s">
        <v>2370</v>
      </c>
      <c r="E414" t="s">
        <v>2370</v>
      </c>
      <c r="F414" t="s">
        <v>2370</v>
      </c>
      <c r="G414">
        <v>1</v>
      </c>
      <c r="H414" t="s">
        <v>2370</v>
      </c>
    </row>
    <row r="415" spans="1:8" x14ac:dyDescent="0.35">
      <c r="A415" t="s">
        <v>1948</v>
      </c>
      <c r="B415">
        <v>22.61</v>
      </c>
      <c r="C415">
        <v>6.13</v>
      </c>
      <c r="D415" t="s">
        <v>2372</v>
      </c>
      <c r="E415" t="s">
        <v>2370</v>
      </c>
      <c r="F415" t="s">
        <v>2373</v>
      </c>
      <c r="G415">
        <v>1</v>
      </c>
      <c r="H415" t="s">
        <v>2372</v>
      </c>
    </row>
    <row r="416" spans="1:8" x14ac:dyDescent="0.35">
      <c r="A416" t="s">
        <v>1947</v>
      </c>
      <c r="B416">
        <v>24.32</v>
      </c>
      <c r="C416">
        <v>10.47</v>
      </c>
      <c r="D416" t="s">
        <v>2372</v>
      </c>
      <c r="E416" t="s">
        <v>2370</v>
      </c>
      <c r="F416" t="s">
        <v>2370</v>
      </c>
      <c r="G416">
        <v>2</v>
      </c>
      <c r="H416" t="s">
        <v>2372</v>
      </c>
    </row>
    <row r="417" spans="1:8" x14ac:dyDescent="0.35">
      <c r="A417" t="s">
        <v>1946</v>
      </c>
      <c r="B417">
        <v>20.96</v>
      </c>
      <c r="C417">
        <v>4.04</v>
      </c>
      <c r="D417" t="s">
        <v>2372</v>
      </c>
      <c r="E417" t="s">
        <v>2370</v>
      </c>
      <c r="F417" t="s">
        <v>2370</v>
      </c>
      <c r="G417">
        <v>1</v>
      </c>
      <c r="H417" t="s">
        <v>2372</v>
      </c>
    </row>
    <row r="418" spans="1:8" x14ac:dyDescent="0.35">
      <c r="A418" t="s">
        <v>1945</v>
      </c>
      <c r="B418">
        <v>19.68</v>
      </c>
      <c r="C418">
        <v>5.74</v>
      </c>
      <c r="D418" t="s">
        <v>2370</v>
      </c>
      <c r="E418" t="s">
        <v>2370</v>
      </c>
      <c r="F418" t="s">
        <v>2370</v>
      </c>
      <c r="G418" t="s">
        <v>2371</v>
      </c>
      <c r="H418" t="s">
        <v>2372</v>
      </c>
    </row>
    <row r="419" spans="1:8" x14ac:dyDescent="0.35">
      <c r="A419" t="s">
        <v>1944</v>
      </c>
      <c r="B419">
        <v>18.100000000000001</v>
      </c>
      <c r="C419">
        <v>6.33</v>
      </c>
      <c r="D419" t="s">
        <v>2370</v>
      </c>
      <c r="E419" t="s">
        <v>2370</v>
      </c>
      <c r="F419" t="s">
        <v>2370</v>
      </c>
      <c r="G419">
        <v>1</v>
      </c>
      <c r="H419" t="s">
        <v>2372</v>
      </c>
    </row>
    <row r="420" spans="1:8" x14ac:dyDescent="0.35">
      <c r="A420" t="s">
        <v>1943</v>
      </c>
      <c r="B420">
        <v>29.64</v>
      </c>
      <c r="C420">
        <v>4.28</v>
      </c>
      <c r="D420" t="s">
        <v>2372</v>
      </c>
      <c r="E420" t="s">
        <v>2370</v>
      </c>
      <c r="F420" t="s">
        <v>2370</v>
      </c>
      <c r="G420" t="s">
        <v>2371</v>
      </c>
      <c r="H420" t="s">
        <v>2370</v>
      </c>
    </row>
    <row r="421" spans="1:8" x14ac:dyDescent="0.35">
      <c r="A421" t="s">
        <v>1942</v>
      </c>
      <c r="B421">
        <v>25.3</v>
      </c>
      <c r="C421">
        <v>9.4700000000000006</v>
      </c>
      <c r="D421" t="s">
        <v>2372</v>
      </c>
      <c r="E421" t="s">
        <v>2370</v>
      </c>
      <c r="F421" t="s">
        <v>2370</v>
      </c>
      <c r="G421">
        <v>2</v>
      </c>
      <c r="H421" t="s">
        <v>2372</v>
      </c>
    </row>
    <row r="422" spans="1:8" x14ac:dyDescent="0.35">
      <c r="A422" t="s">
        <v>1941</v>
      </c>
      <c r="B422">
        <v>27.6</v>
      </c>
      <c r="C422">
        <v>4.8499999999999996</v>
      </c>
      <c r="D422" t="s">
        <v>2372</v>
      </c>
      <c r="E422" t="s">
        <v>2370</v>
      </c>
      <c r="F422" t="s">
        <v>2370</v>
      </c>
      <c r="G422" t="s">
        <v>2371</v>
      </c>
      <c r="H422" t="s">
        <v>2370</v>
      </c>
    </row>
    <row r="423" spans="1:8" x14ac:dyDescent="0.35">
      <c r="A423" t="s">
        <v>1940</v>
      </c>
      <c r="B423">
        <v>27.645</v>
      </c>
      <c r="C423">
        <v>11.03</v>
      </c>
      <c r="D423" t="s">
        <v>2372</v>
      </c>
      <c r="E423" t="s">
        <v>2370</v>
      </c>
      <c r="F423" t="s">
        <v>2370</v>
      </c>
      <c r="G423">
        <v>1</v>
      </c>
      <c r="H423" t="s">
        <v>2372</v>
      </c>
    </row>
    <row r="424" spans="1:8" x14ac:dyDescent="0.35">
      <c r="A424" t="s">
        <v>1939</v>
      </c>
      <c r="B424">
        <v>27.6</v>
      </c>
      <c r="C424">
        <v>5.22</v>
      </c>
      <c r="D424" t="s">
        <v>2370</v>
      </c>
      <c r="E424" t="s">
        <v>2370</v>
      </c>
      <c r="F424" t="s">
        <v>2370</v>
      </c>
      <c r="G424">
        <v>2</v>
      </c>
      <c r="H424" t="s">
        <v>2372</v>
      </c>
    </row>
    <row r="425" spans="1:8" x14ac:dyDescent="0.35">
      <c r="A425" t="s">
        <v>1938</v>
      </c>
      <c r="B425">
        <v>25.08</v>
      </c>
      <c r="C425">
        <v>9.52</v>
      </c>
      <c r="D425" t="s">
        <v>2372</v>
      </c>
      <c r="E425" t="s">
        <v>2370</v>
      </c>
      <c r="F425" t="s">
        <v>2370</v>
      </c>
      <c r="G425">
        <v>2</v>
      </c>
      <c r="H425" t="s">
        <v>2370</v>
      </c>
    </row>
    <row r="426" spans="1:8" x14ac:dyDescent="0.35">
      <c r="A426" t="s">
        <v>1937</v>
      </c>
      <c r="B426">
        <v>30.02</v>
      </c>
      <c r="C426">
        <v>11.09</v>
      </c>
      <c r="D426" t="s">
        <v>2370</v>
      </c>
      <c r="E426" t="s">
        <v>2370</v>
      </c>
      <c r="F426" t="s">
        <v>2370</v>
      </c>
      <c r="G426" t="s">
        <v>2371</v>
      </c>
      <c r="H426" t="s">
        <v>2370</v>
      </c>
    </row>
    <row r="427" spans="1:8" x14ac:dyDescent="0.35">
      <c r="A427" t="s">
        <v>1936</v>
      </c>
      <c r="B427">
        <v>27.36</v>
      </c>
      <c r="C427">
        <v>9.4499999999999993</v>
      </c>
      <c r="D427" t="s">
        <v>2372</v>
      </c>
      <c r="E427" t="s">
        <v>2370</v>
      </c>
      <c r="F427" t="s">
        <v>2370</v>
      </c>
      <c r="G427">
        <v>2</v>
      </c>
      <c r="H427" t="s">
        <v>2372</v>
      </c>
    </row>
    <row r="428" spans="1:8" x14ac:dyDescent="0.35">
      <c r="A428" t="s">
        <v>1935</v>
      </c>
      <c r="B428">
        <v>22.2</v>
      </c>
      <c r="C428">
        <v>5.51</v>
      </c>
      <c r="D428" t="s">
        <v>2370</v>
      </c>
      <c r="E428" t="s">
        <v>2370</v>
      </c>
      <c r="F428" t="s">
        <v>2370</v>
      </c>
      <c r="G428" t="s">
        <v>2371</v>
      </c>
      <c r="H428" t="s">
        <v>2372</v>
      </c>
    </row>
    <row r="429" spans="1:8" x14ac:dyDescent="0.35">
      <c r="A429" t="s">
        <v>1934</v>
      </c>
      <c r="B429">
        <v>25.71</v>
      </c>
      <c r="C429">
        <v>4.18</v>
      </c>
      <c r="D429" t="s">
        <v>2370</v>
      </c>
      <c r="E429" t="s">
        <v>2372</v>
      </c>
      <c r="F429" t="s">
        <v>2370</v>
      </c>
      <c r="G429">
        <v>1</v>
      </c>
      <c r="H429" t="s">
        <v>2372</v>
      </c>
    </row>
    <row r="430" spans="1:8" x14ac:dyDescent="0.35">
      <c r="A430" t="s">
        <v>1933</v>
      </c>
      <c r="B430">
        <v>41.91</v>
      </c>
      <c r="C430">
        <v>5.98</v>
      </c>
      <c r="D430" t="s">
        <v>2372</v>
      </c>
      <c r="E430" t="s">
        <v>2370</v>
      </c>
      <c r="F430" t="s">
        <v>2370</v>
      </c>
      <c r="G430">
        <v>1</v>
      </c>
      <c r="H430" t="s">
        <v>2370</v>
      </c>
    </row>
    <row r="431" spans="1:8" x14ac:dyDescent="0.35">
      <c r="A431" t="s">
        <v>1932</v>
      </c>
      <c r="B431">
        <v>25.85</v>
      </c>
      <c r="C431">
        <v>10.16</v>
      </c>
      <c r="D431" t="s">
        <v>2370</v>
      </c>
      <c r="E431" t="s">
        <v>2370</v>
      </c>
      <c r="F431" t="s">
        <v>2370</v>
      </c>
      <c r="G431" t="s">
        <v>2371</v>
      </c>
      <c r="H431" t="s">
        <v>2372</v>
      </c>
    </row>
    <row r="432" spans="1:8" x14ac:dyDescent="0.35">
      <c r="A432" t="s">
        <v>1931</v>
      </c>
      <c r="B432">
        <v>23.844999999999999</v>
      </c>
      <c r="C432">
        <v>11.71</v>
      </c>
      <c r="D432" t="s">
        <v>2370</v>
      </c>
      <c r="E432" t="s">
        <v>2370</v>
      </c>
      <c r="F432" t="s">
        <v>2370</v>
      </c>
      <c r="G432">
        <v>2</v>
      </c>
      <c r="H432" t="s">
        <v>2372</v>
      </c>
    </row>
    <row r="433" spans="1:8" x14ac:dyDescent="0.35">
      <c r="A433" t="s">
        <v>1930</v>
      </c>
      <c r="B433">
        <v>30.59</v>
      </c>
      <c r="C433">
        <v>5.23</v>
      </c>
      <c r="D433" t="s">
        <v>2370</v>
      </c>
      <c r="E433" t="s">
        <v>2370</v>
      </c>
      <c r="F433" t="s">
        <v>2373</v>
      </c>
      <c r="G433">
        <v>1</v>
      </c>
      <c r="H433" t="s">
        <v>2370</v>
      </c>
    </row>
    <row r="434" spans="1:8" x14ac:dyDescent="0.35">
      <c r="A434" t="s">
        <v>1929</v>
      </c>
      <c r="B434">
        <v>24.795000000000002</v>
      </c>
      <c r="C434">
        <v>6.85</v>
      </c>
      <c r="D434" t="s">
        <v>2370</v>
      </c>
      <c r="E434" t="s">
        <v>2370</v>
      </c>
      <c r="F434" t="s">
        <v>2370</v>
      </c>
      <c r="G434" t="s">
        <v>2371</v>
      </c>
      <c r="H434" t="s">
        <v>2372</v>
      </c>
    </row>
    <row r="435" spans="1:8" x14ac:dyDescent="0.35">
      <c r="A435" t="s">
        <v>1928</v>
      </c>
      <c r="B435">
        <v>24.13</v>
      </c>
      <c r="C435">
        <v>7.05</v>
      </c>
      <c r="D435" t="s">
        <v>2372</v>
      </c>
      <c r="E435" t="s">
        <v>2370</v>
      </c>
      <c r="F435" t="s">
        <v>2370</v>
      </c>
      <c r="G435">
        <v>2</v>
      </c>
      <c r="H435" t="s">
        <v>2372</v>
      </c>
    </row>
    <row r="436" spans="1:8" x14ac:dyDescent="0.35">
      <c r="A436" t="s">
        <v>1927</v>
      </c>
      <c r="B436">
        <v>25.84</v>
      </c>
      <c r="C436">
        <v>11.64</v>
      </c>
      <c r="D436" t="s">
        <v>2370</v>
      </c>
      <c r="E436" t="s">
        <v>2370</v>
      </c>
      <c r="F436" t="s">
        <v>2370</v>
      </c>
      <c r="G436">
        <v>2</v>
      </c>
      <c r="H436" t="s">
        <v>2372</v>
      </c>
    </row>
    <row r="437" spans="1:8" x14ac:dyDescent="0.35">
      <c r="A437" t="s">
        <v>1926</v>
      </c>
      <c r="B437">
        <v>28</v>
      </c>
      <c r="C437">
        <v>10.52</v>
      </c>
      <c r="D437" t="s">
        <v>2370</v>
      </c>
      <c r="E437" t="s">
        <v>2370</v>
      </c>
      <c r="F437" t="s">
        <v>2370</v>
      </c>
      <c r="G437" t="s">
        <v>2371</v>
      </c>
      <c r="H437" t="s">
        <v>2372</v>
      </c>
    </row>
    <row r="438" spans="1:8" x14ac:dyDescent="0.35">
      <c r="A438" t="s">
        <v>1925</v>
      </c>
      <c r="B438">
        <v>34.1</v>
      </c>
      <c r="C438">
        <v>4.01</v>
      </c>
      <c r="D438" t="s">
        <v>2372</v>
      </c>
      <c r="E438" t="s">
        <v>2370</v>
      </c>
      <c r="F438" t="s">
        <v>2373</v>
      </c>
      <c r="G438">
        <v>1</v>
      </c>
      <c r="H438" t="s">
        <v>2370</v>
      </c>
    </row>
    <row r="439" spans="1:8" x14ac:dyDescent="0.35">
      <c r="A439" t="s">
        <v>1924</v>
      </c>
      <c r="B439">
        <v>26.125</v>
      </c>
      <c r="C439">
        <v>8.56</v>
      </c>
      <c r="D439" t="s">
        <v>2372</v>
      </c>
      <c r="E439" t="s">
        <v>2370</v>
      </c>
      <c r="F439" t="s">
        <v>2370</v>
      </c>
      <c r="G439">
        <v>1</v>
      </c>
      <c r="H439" t="s">
        <v>2372</v>
      </c>
    </row>
    <row r="440" spans="1:8" x14ac:dyDescent="0.35">
      <c r="A440" t="s">
        <v>1923</v>
      </c>
      <c r="B440">
        <v>25.6</v>
      </c>
      <c r="C440">
        <v>10.5</v>
      </c>
      <c r="D440" t="s">
        <v>2370</v>
      </c>
      <c r="E440" t="s">
        <v>2370</v>
      </c>
      <c r="F440" t="s">
        <v>2370</v>
      </c>
      <c r="G440">
        <v>2</v>
      </c>
      <c r="H440" t="s">
        <v>2372</v>
      </c>
    </row>
    <row r="441" spans="1:8" x14ac:dyDescent="0.35">
      <c r="A441" t="s">
        <v>1922</v>
      </c>
      <c r="B441">
        <v>24.32</v>
      </c>
      <c r="C441">
        <v>6.39</v>
      </c>
      <c r="D441" t="s">
        <v>2370</v>
      </c>
      <c r="E441" t="s">
        <v>2370</v>
      </c>
      <c r="F441" t="s">
        <v>2370</v>
      </c>
      <c r="G441" t="s">
        <v>2371</v>
      </c>
      <c r="H441" t="s">
        <v>2370</v>
      </c>
    </row>
    <row r="442" spans="1:8" x14ac:dyDescent="0.35">
      <c r="A442" t="s">
        <v>1921</v>
      </c>
      <c r="B442">
        <v>22.88</v>
      </c>
      <c r="C442">
        <v>5.71</v>
      </c>
      <c r="D442" t="s">
        <v>2372</v>
      </c>
      <c r="E442" t="s">
        <v>2370</v>
      </c>
      <c r="F442" t="s">
        <v>2373</v>
      </c>
      <c r="G442">
        <v>1</v>
      </c>
      <c r="H442" t="s">
        <v>2372</v>
      </c>
    </row>
    <row r="443" spans="1:8" x14ac:dyDescent="0.35">
      <c r="A443" t="s">
        <v>1920</v>
      </c>
      <c r="B443">
        <v>24.984999999999999</v>
      </c>
      <c r="C443">
        <v>4.43</v>
      </c>
      <c r="D443" t="s">
        <v>2372</v>
      </c>
      <c r="E443" t="s">
        <v>2370</v>
      </c>
      <c r="F443" t="s">
        <v>2373</v>
      </c>
      <c r="G443">
        <v>1</v>
      </c>
      <c r="H443" t="s">
        <v>2370</v>
      </c>
    </row>
    <row r="444" spans="1:8" x14ac:dyDescent="0.35">
      <c r="A444" t="s">
        <v>1919</v>
      </c>
      <c r="B444">
        <v>33.1</v>
      </c>
      <c r="C444">
        <v>5.52</v>
      </c>
      <c r="D444" t="s">
        <v>2370</v>
      </c>
      <c r="E444" t="s">
        <v>2370</v>
      </c>
      <c r="F444" t="s">
        <v>2373</v>
      </c>
      <c r="G444">
        <v>1</v>
      </c>
      <c r="H444" t="s">
        <v>2370</v>
      </c>
    </row>
    <row r="445" spans="1:8" x14ac:dyDescent="0.35">
      <c r="A445" t="s">
        <v>1918</v>
      </c>
      <c r="B445">
        <v>27.83</v>
      </c>
      <c r="C445">
        <v>9.1999999999999993</v>
      </c>
      <c r="D445" t="s">
        <v>2372</v>
      </c>
      <c r="E445" t="s">
        <v>2370</v>
      </c>
      <c r="F445" t="s">
        <v>2370</v>
      </c>
      <c r="G445">
        <v>1</v>
      </c>
      <c r="H445" t="s">
        <v>2372</v>
      </c>
    </row>
    <row r="446" spans="1:8" x14ac:dyDescent="0.35">
      <c r="A446" t="s">
        <v>1917</v>
      </c>
      <c r="B446">
        <v>30.875</v>
      </c>
      <c r="C446">
        <v>10.97</v>
      </c>
      <c r="D446" t="s">
        <v>2372</v>
      </c>
      <c r="E446" t="s">
        <v>2370</v>
      </c>
      <c r="F446" t="s">
        <v>2370</v>
      </c>
      <c r="G446">
        <v>2</v>
      </c>
      <c r="H446" t="s">
        <v>2370</v>
      </c>
    </row>
    <row r="447" spans="1:8" x14ac:dyDescent="0.35">
      <c r="A447" t="s">
        <v>1916</v>
      </c>
      <c r="B447">
        <v>27.265000000000001</v>
      </c>
      <c r="C447">
        <v>4.25</v>
      </c>
      <c r="D447" t="s">
        <v>2370</v>
      </c>
      <c r="E447" t="s">
        <v>2370</v>
      </c>
      <c r="F447" t="s">
        <v>2373</v>
      </c>
      <c r="G447">
        <v>1</v>
      </c>
      <c r="H447" t="s">
        <v>2370</v>
      </c>
    </row>
    <row r="448" spans="1:8" x14ac:dyDescent="0.35">
      <c r="A448" t="s">
        <v>1915</v>
      </c>
      <c r="B448">
        <v>26.7</v>
      </c>
      <c r="C448">
        <v>5.23</v>
      </c>
      <c r="D448" t="s">
        <v>2370</v>
      </c>
      <c r="E448" t="s">
        <v>2370</v>
      </c>
      <c r="F448" t="s">
        <v>2373</v>
      </c>
      <c r="G448">
        <v>1</v>
      </c>
      <c r="H448" t="s">
        <v>2372</v>
      </c>
    </row>
    <row r="449" spans="1:8" x14ac:dyDescent="0.35">
      <c r="A449" t="s">
        <v>1914</v>
      </c>
      <c r="B449">
        <v>29.925000000000001</v>
      </c>
      <c r="C449">
        <v>5.96</v>
      </c>
      <c r="D449" t="s">
        <v>2372</v>
      </c>
      <c r="E449" t="s">
        <v>2370</v>
      </c>
      <c r="F449" t="s">
        <v>2373</v>
      </c>
      <c r="G449">
        <v>1</v>
      </c>
      <c r="H449" t="s">
        <v>2372</v>
      </c>
    </row>
    <row r="450" spans="1:8" x14ac:dyDescent="0.35">
      <c r="A450" t="s">
        <v>1913</v>
      </c>
      <c r="B450">
        <v>19.95</v>
      </c>
      <c r="C450">
        <v>4.29</v>
      </c>
      <c r="D450" t="s">
        <v>2372</v>
      </c>
      <c r="E450" t="s">
        <v>2370</v>
      </c>
      <c r="F450" t="s">
        <v>2370</v>
      </c>
      <c r="G450">
        <v>2</v>
      </c>
      <c r="H450" t="s">
        <v>2372</v>
      </c>
    </row>
    <row r="451" spans="1:8" x14ac:dyDescent="0.35">
      <c r="A451" t="s">
        <v>1912</v>
      </c>
      <c r="B451">
        <v>24.225000000000001</v>
      </c>
      <c r="C451">
        <v>4.09</v>
      </c>
      <c r="D451" t="s">
        <v>2370</v>
      </c>
      <c r="E451" t="s">
        <v>2370</v>
      </c>
      <c r="F451" t="s">
        <v>2370</v>
      </c>
      <c r="G451" t="s">
        <v>2371</v>
      </c>
      <c r="H451" t="s">
        <v>2370</v>
      </c>
    </row>
    <row r="452" spans="1:8" x14ac:dyDescent="0.35">
      <c r="A452" t="s">
        <v>1911</v>
      </c>
      <c r="B452">
        <v>28.12</v>
      </c>
      <c r="C452">
        <v>4.88</v>
      </c>
      <c r="D452" t="s">
        <v>2370</v>
      </c>
      <c r="E452" t="s">
        <v>2370</v>
      </c>
      <c r="F452" t="s">
        <v>2370</v>
      </c>
      <c r="G452" t="s">
        <v>2371</v>
      </c>
      <c r="H452" t="s">
        <v>2372</v>
      </c>
    </row>
    <row r="453" spans="1:8" x14ac:dyDescent="0.35">
      <c r="A453" t="s">
        <v>1910</v>
      </c>
      <c r="B453">
        <v>23.21</v>
      </c>
      <c r="C453">
        <v>6.76</v>
      </c>
      <c r="D453" t="s">
        <v>2370</v>
      </c>
      <c r="E453" t="s">
        <v>2370</v>
      </c>
      <c r="F453" t="s">
        <v>2370</v>
      </c>
      <c r="G453" t="s">
        <v>2371</v>
      </c>
      <c r="H453" t="s">
        <v>2372</v>
      </c>
    </row>
    <row r="454" spans="1:8" x14ac:dyDescent="0.35">
      <c r="A454" t="s">
        <v>1909</v>
      </c>
      <c r="B454">
        <v>23.98</v>
      </c>
      <c r="C454">
        <v>10.67</v>
      </c>
      <c r="D454" t="s">
        <v>2370</v>
      </c>
      <c r="E454" t="s">
        <v>2370</v>
      </c>
      <c r="F454" t="s">
        <v>2370</v>
      </c>
      <c r="G454" t="s">
        <v>2371</v>
      </c>
      <c r="H454" t="s">
        <v>2370</v>
      </c>
    </row>
    <row r="455" spans="1:8" x14ac:dyDescent="0.35">
      <c r="A455" t="s">
        <v>1908</v>
      </c>
      <c r="B455">
        <v>30</v>
      </c>
      <c r="C455">
        <v>6.21</v>
      </c>
      <c r="D455" t="s">
        <v>2370</v>
      </c>
      <c r="E455" t="s">
        <v>2370</v>
      </c>
      <c r="F455" t="s">
        <v>2370</v>
      </c>
      <c r="G455" t="s">
        <v>2371</v>
      </c>
      <c r="H455" t="s">
        <v>2372</v>
      </c>
    </row>
    <row r="456" spans="1:8" x14ac:dyDescent="0.35">
      <c r="A456" t="s">
        <v>1907</v>
      </c>
      <c r="B456">
        <v>17.350000000000001</v>
      </c>
      <c r="C456">
        <v>5.03</v>
      </c>
      <c r="D456" t="s">
        <v>2372</v>
      </c>
      <c r="E456" t="s">
        <v>2370</v>
      </c>
      <c r="F456" t="s">
        <v>2370</v>
      </c>
      <c r="G456" t="s">
        <v>2371</v>
      </c>
      <c r="H456" t="s">
        <v>2372</v>
      </c>
    </row>
    <row r="457" spans="1:8" x14ac:dyDescent="0.35">
      <c r="A457" t="s">
        <v>1906</v>
      </c>
      <c r="B457">
        <v>22.704999999999998</v>
      </c>
      <c r="C457">
        <v>5.27</v>
      </c>
      <c r="D457" t="s">
        <v>2370</v>
      </c>
      <c r="E457" t="s">
        <v>2370</v>
      </c>
      <c r="F457" t="s">
        <v>2370</v>
      </c>
      <c r="G457" t="s">
        <v>2371</v>
      </c>
      <c r="H457" t="s">
        <v>2370</v>
      </c>
    </row>
    <row r="458" spans="1:8" x14ac:dyDescent="0.35">
      <c r="A458" t="s">
        <v>1905</v>
      </c>
      <c r="B458">
        <v>25.41</v>
      </c>
      <c r="C458">
        <v>10.53</v>
      </c>
      <c r="D458" t="s">
        <v>2372</v>
      </c>
      <c r="E458" t="s">
        <v>2370</v>
      </c>
      <c r="F458" t="s">
        <v>2370</v>
      </c>
      <c r="G458">
        <v>1</v>
      </c>
      <c r="H458" t="s">
        <v>2372</v>
      </c>
    </row>
    <row r="459" spans="1:8" x14ac:dyDescent="0.35">
      <c r="A459" t="s">
        <v>1904</v>
      </c>
      <c r="B459">
        <v>18.23</v>
      </c>
      <c r="C459">
        <v>5.78</v>
      </c>
      <c r="D459" t="s">
        <v>2370</v>
      </c>
      <c r="E459" t="s">
        <v>2370</v>
      </c>
      <c r="F459" t="s">
        <v>2373</v>
      </c>
      <c r="G459">
        <v>1</v>
      </c>
      <c r="H459" t="s">
        <v>2372</v>
      </c>
    </row>
    <row r="460" spans="1:8" x14ac:dyDescent="0.35">
      <c r="A460" t="s">
        <v>1903</v>
      </c>
      <c r="B460">
        <v>24.7</v>
      </c>
      <c r="C460">
        <v>4.3600000000000003</v>
      </c>
      <c r="D460" t="s">
        <v>2370</v>
      </c>
      <c r="E460" t="s">
        <v>2370</v>
      </c>
      <c r="F460" t="s">
        <v>2373</v>
      </c>
      <c r="G460">
        <v>1</v>
      </c>
      <c r="H460" t="s">
        <v>2372</v>
      </c>
    </row>
    <row r="461" spans="1:8" x14ac:dyDescent="0.35">
      <c r="A461" t="s">
        <v>1902</v>
      </c>
      <c r="B461">
        <v>37.4</v>
      </c>
      <c r="C461">
        <v>9.7200000000000006</v>
      </c>
      <c r="D461" t="s">
        <v>2372</v>
      </c>
      <c r="E461" t="s">
        <v>2370</v>
      </c>
      <c r="F461" t="s">
        <v>2373</v>
      </c>
      <c r="G461">
        <v>1</v>
      </c>
      <c r="H461" t="s">
        <v>2370</v>
      </c>
    </row>
    <row r="462" spans="1:8" x14ac:dyDescent="0.35">
      <c r="A462" t="s">
        <v>1901</v>
      </c>
      <c r="B462">
        <v>26.885000000000002</v>
      </c>
      <c r="C462">
        <v>5.18</v>
      </c>
      <c r="D462" t="s">
        <v>2370</v>
      </c>
      <c r="E462" t="s">
        <v>2370</v>
      </c>
      <c r="F462" t="s">
        <v>2373</v>
      </c>
      <c r="G462">
        <v>1</v>
      </c>
      <c r="H462" t="s">
        <v>2372</v>
      </c>
    </row>
    <row r="463" spans="1:8" x14ac:dyDescent="0.35">
      <c r="A463" t="s">
        <v>1900</v>
      </c>
      <c r="B463">
        <v>25.27</v>
      </c>
      <c r="C463">
        <v>5.29</v>
      </c>
      <c r="D463" t="s">
        <v>2370</v>
      </c>
      <c r="E463" t="s">
        <v>2370</v>
      </c>
      <c r="F463" t="s">
        <v>2373</v>
      </c>
      <c r="G463">
        <v>1</v>
      </c>
      <c r="H463" t="s">
        <v>2372</v>
      </c>
    </row>
    <row r="464" spans="1:8" x14ac:dyDescent="0.35">
      <c r="A464" t="s">
        <v>1899</v>
      </c>
      <c r="B464">
        <v>23.655000000000001</v>
      </c>
      <c r="C464">
        <v>4.8600000000000003</v>
      </c>
      <c r="D464" t="s">
        <v>2372</v>
      </c>
      <c r="E464" t="s">
        <v>2370</v>
      </c>
      <c r="F464" t="s">
        <v>2370</v>
      </c>
      <c r="G464" t="s">
        <v>2371</v>
      </c>
      <c r="H464" t="s">
        <v>2372</v>
      </c>
    </row>
    <row r="465" spans="1:8" x14ac:dyDescent="0.35">
      <c r="A465" t="s">
        <v>1898</v>
      </c>
      <c r="B465">
        <v>55.05</v>
      </c>
      <c r="C465">
        <v>7.66</v>
      </c>
      <c r="D465" t="s">
        <v>2370</v>
      </c>
      <c r="E465" t="s">
        <v>2370</v>
      </c>
      <c r="F465" t="s">
        <v>2370</v>
      </c>
      <c r="G465" t="s">
        <v>2371</v>
      </c>
      <c r="H465" t="s">
        <v>2370</v>
      </c>
    </row>
    <row r="466" spans="1:8" x14ac:dyDescent="0.35">
      <c r="A466" t="s">
        <v>1897</v>
      </c>
      <c r="B466">
        <v>24.89</v>
      </c>
      <c r="C466">
        <v>6.1</v>
      </c>
      <c r="D466" t="s">
        <v>2372</v>
      </c>
      <c r="E466" t="s">
        <v>2370</v>
      </c>
      <c r="F466" t="s">
        <v>2373</v>
      </c>
      <c r="G466">
        <v>1</v>
      </c>
      <c r="H466" t="s">
        <v>2372</v>
      </c>
    </row>
    <row r="467" spans="1:8" x14ac:dyDescent="0.35">
      <c r="A467" t="s">
        <v>1896</v>
      </c>
      <c r="B467">
        <v>18.715</v>
      </c>
      <c r="C467">
        <v>4.4400000000000004</v>
      </c>
      <c r="D467" t="s">
        <v>2370</v>
      </c>
      <c r="E467" t="s">
        <v>2370</v>
      </c>
      <c r="F467" t="s">
        <v>2370</v>
      </c>
      <c r="G467" t="s">
        <v>2371</v>
      </c>
      <c r="H467" t="s">
        <v>2370</v>
      </c>
    </row>
    <row r="468" spans="1:8" x14ac:dyDescent="0.35">
      <c r="A468" t="s">
        <v>1895</v>
      </c>
      <c r="B468">
        <v>28.12</v>
      </c>
      <c r="C468">
        <v>6.15</v>
      </c>
      <c r="D468" t="s">
        <v>2370</v>
      </c>
      <c r="E468" t="s">
        <v>2370</v>
      </c>
      <c r="F468" t="s">
        <v>2370</v>
      </c>
      <c r="G468" t="s">
        <v>2371</v>
      </c>
      <c r="H468" t="s">
        <v>2372</v>
      </c>
    </row>
    <row r="469" spans="1:8" x14ac:dyDescent="0.35">
      <c r="A469" t="s">
        <v>1894</v>
      </c>
      <c r="B469">
        <v>26.6</v>
      </c>
      <c r="C469">
        <v>4.53</v>
      </c>
      <c r="D469" t="s">
        <v>2370</v>
      </c>
      <c r="E469" t="s">
        <v>2370</v>
      </c>
      <c r="F469" t="s">
        <v>2370</v>
      </c>
      <c r="G469" t="s">
        <v>2371</v>
      </c>
      <c r="H469" t="s">
        <v>2372</v>
      </c>
    </row>
    <row r="470" spans="1:8" x14ac:dyDescent="0.35">
      <c r="A470" t="s">
        <v>1893</v>
      </c>
      <c r="B470">
        <v>30.114999999999998</v>
      </c>
      <c r="C470">
        <v>5.48</v>
      </c>
      <c r="D470" t="s">
        <v>2370</v>
      </c>
      <c r="E470" t="s">
        <v>2372</v>
      </c>
      <c r="F470" t="s">
        <v>2370</v>
      </c>
      <c r="G470">
        <v>1</v>
      </c>
      <c r="H470" t="s">
        <v>2370</v>
      </c>
    </row>
    <row r="471" spans="1:8" x14ac:dyDescent="0.35">
      <c r="A471" t="s">
        <v>1892</v>
      </c>
      <c r="B471">
        <v>24.605</v>
      </c>
      <c r="C471">
        <v>5.48</v>
      </c>
      <c r="D471" t="s">
        <v>2370</v>
      </c>
      <c r="E471" t="s">
        <v>2370</v>
      </c>
      <c r="F471" t="s">
        <v>2370</v>
      </c>
      <c r="G471" t="s">
        <v>2371</v>
      </c>
      <c r="H471" t="s">
        <v>2372</v>
      </c>
    </row>
    <row r="472" spans="1:8" x14ac:dyDescent="0.35">
      <c r="A472" t="s">
        <v>1891</v>
      </c>
      <c r="B472">
        <v>29.6</v>
      </c>
      <c r="C472">
        <v>8.1</v>
      </c>
      <c r="D472" t="s">
        <v>2370</v>
      </c>
      <c r="E472" t="s">
        <v>2370</v>
      </c>
      <c r="F472" t="s">
        <v>2370</v>
      </c>
      <c r="G472" t="s">
        <v>2371</v>
      </c>
      <c r="H472" t="s">
        <v>2370</v>
      </c>
    </row>
    <row r="473" spans="1:8" x14ac:dyDescent="0.35">
      <c r="A473" t="s">
        <v>1890</v>
      </c>
      <c r="B473">
        <v>24.42</v>
      </c>
      <c r="C473">
        <v>7.16</v>
      </c>
      <c r="D473" t="s">
        <v>2370</v>
      </c>
      <c r="E473" t="s">
        <v>2370</v>
      </c>
      <c r="F473" t="s">
        <v>2370</v>
      </c>
      <c r="G473" t="s">
        <v>2371</v>
      </c>
      <c r="H473" t="s">
        <v>2372</v>
      </c>
    </row>
    <row r="474" spans="1:8" x14ac:dyDescent="0.35">
      <c r="A474" t="s">
        <v>1889</v>
      </c>
      <c r="B474">
        <v>20.9</v>
      </c>
      <c r="C474">
        <v>4.55</v>
      </c>
      <c r="D474" t="s">
        <v>2372</v>
      </c>
      <c r="E474" t="s">
        <v>2370</v>
      </c>
      <c r="F474" t="s">
        <v>2373</v>
      </c>
      <c r="G474">
        <v>1</v>
      </c>
      <c r="H474" t="s">
        <v>2372</v>
      </c>
    </row>
    <row r="475" spans="1:8" x14ac:dyDescent="0.35">
      <c r="A475" t="s">
        <v>1888</v>
      </c>
      <c r="B475">
        <v>22.895</v>
      </c>
      <c r="C475">
        <v>6.03</v>
      </c>
      <c r="D475" t="s">
        <v>2370</v>
      </c>
      <c r="E475" t="s">
        <v>2370</v>
      </c>
      <c r="F475" t="s">
        <v>2370</v>
      </c>
      <c r="G475" t="s">
        <v>2371</v>
      </c>
      <c r="H475" t="s">
        <v>2372</v>
      </c>
    </row>
    <row r="476" spans="1:8" x14ac:dyDescent="0.35">
      <c r="A476" t="s">
        <v>1887</v>
      </c>
      <c r="B476">
        <v>28.3</v>
      </c>
      <c r="C476">
        <v>5.47</v>
      </c>
      <c r="D476" t="s">
        <v>2372</v>
      </c>
      <c r="E476" t="s">
        <v>2370</v>
      </c>
      <c r="F476" t="s">
        <v>2373</v>
      </c>
      <c r="G476">
        <v>1</v>
      </c>
      <c r="H476" t="s">
        <v>2372</v>
      </c>
    </row>
    <row r="477" spans="1:8" x14ac:dyDescent="0.35">
      <c r="A477" t="s">
        <v>1885</v>
      </c>
      <c r="B477">
        <v>54.3</v>
      </c>
      <c r="C477">
        <v>4.1500000000000004</v>
      </c>
      <c r="D477" t="s">
        <v>2372</v>
      </c>
      <c r="E477" t="s">
        <v>2370</v>
      </c>
      <c r="F477" t="s">
        <v>2370</v>
      </c>
      <c r="G477">
        <v>1</v>
      </c>
      <c r="H477" t="s">
        <v>2370</v>
      </c>
    </row>
    <row r="478" spans="1:8" x14ac:dyDescent="0.35">
      <c r="A478" t="s">
        <v>1884</v>
      </c>
      <c r="B478">
        <v>33.344999999999999</v>
      </c>
      <c r="C478">
        <v>11.32</v>
      </c>
      <c r="D478" t="s">
        <v>2372</v>
      </c>
      <c r="E478" t="s">
        <v>2370</v>
      </c>
      <c r="F478" t="s">
        <v>2370</v>
      </c>
      <c r="G478">
        <v>1</v>
      </c>
      <c r="H478" t="s">
        <v>2370</v>
      </c>
    </row>
    <row r="479" spans="1:8" x14ac:dyDescent="0.35">
      <c r="A479" t="s">
        <v>1883</v>
      </c>
      <c r="B479">
        <v>33</v>
      </c>
      <c r="C479">
        <v>9.51</v>
      </c>
      <c r="D479" t="s">
        <v>2372</v>
      </c>
      <c r="E479" t="s">
        <v>2370</v>
      </c>
      <c r="F479" t="s">
        <v>2370</v>
      </c>
      <c r="G479" t="s">
        <v>2371</v>
      </c>
      <c r="H479" t="s">
        <v>2370</v>
      </c>
    </row>
    <row r="480" spans="1:8" x14ac:dyDescent="0.35">
      <c r="A480" t="s">
        <v>1882</v>
      </c>
      <c r="B480">
        <v>28.024999999999999</v>
      </c>
      <c r="C480">
        <v>7.67</v>
      </c>
      <c r="D480" t="s">
        <v>2372</v>
      </c>
      <c r="E480" t="s">
        <v>2370</v>
      </c>
      <c r="F480" t="s">
        <v>2370</v>
      </c>
      <c r="G480">
        <v>1</v>
      </c>
      <c r="H480" t="s">
        <v>2372</v>
      </c>
    </row>
    <row r="481" spans="1:8" x14ac:dyDescent="0.35">
      <c r="A481" t="s">
        <v>1881</v>
      </c>
      <c r="B481">
        <v>28.69</v>
      </c>
      <c r="C481">
        <v>6.23</v>
      </c>
      <c r="D481" t="s">
        <v>2370</v>
      </c>
      <c r="E481" t="s">
        <v>2370</v>
      </c>
      <c r="F481" t="s">
        <v>2370</v>
      </c>
      <c r="G481">
        <v>1</v>
      </c>
      <c r="H481" t="s">
        <v>2372</v>
      </c>
    </row>
    <row r="482" spans="1:8" x14ac:dyDescent="0.35">
      <c r="A482" t="s">
        <v>1880</v>
      </c>
      <c r="B482">
        <v>40.28</v>
      </c>
      <c r="C482">
        <v>8.9</v>
      </c>
      <c r="D482" t="s">
        <v>2370</v>
      </c>
      <c r="E482" t="s">
        <v>2370</v>
      </c>
      <c r="F482" t="s">
        <v>2370</v>
      </c>
      <c r="G482" t="s">
        <v>2371</v>
      </c>
      <c r="H482" t="s">
        <v>2370</v>
      </c>
    </row>
    <row r="483" spans="1:8" x14ac:dyDescent="0.35">
      <c r="A483" t="s">
        <v>1879</v>
      </c>
      <c r="B483">
        <v>37.299999999999997</v>
      </c>
      <c r="C483">
        <v>7.79</v>
      </c>
      <c r="D483" t="s">
        <v>2372</v>
      </c>
      <c r="E483" t="s">
        <v>2370</v>
      </c>
      <c r="F483" t="s">
        <v>2370</v>
      </c>
      <c r="G483" t="s">
        <v>2371</v>
      </c>
      <c r="H483" t="s">
        <v>2370</v>
      </c>
    </row>
    <row r="484" spans="1:8" x14ac:dyDescent="0.35">
      <c r="A484" t="s">
        <v>1878</v>
      </c>
      <c r="B484">
        <v>54.47</v>
      </c>
      <c r="C484">
        <v>4.49</v>
      </c>
      <c r="D484" t="s">
        <v>2372</v>
      </c>
      <c r="E484" t="s">
        <v>2370</v>
      </c>
      <c r="F484" t="s">
        <v>2370</v>
      </c>
      <c r="G484">
        <v>2</v>
      </c>
      <c r="H484" t="s">
        <v>2370</v>
      </c>
    </row>
    <row r="485" spans="1:8" x14ac:dyDescent="0.35">
      <c r="A485" t="s">
        <v>1877</v>
      </c>
      <c r="B485">
        <v>38.06</v>
      </c>
      <c r="C485">
        <v>5.24</v>
      </c>
      <c r="D485" t="s">
        <v>2372</v>
      </c>
      <c r="E485" t="s">
        <v>2370</v>
      </c>
      <c r="F485" t="s">
        <v>2373</v>
      </c>
      <c r="G485">
        <v>1</v>
      </c>
      <c r="H485" t="s">
        <v>2370</v>
      </c>
    </row>
    <row r="486" spans="1:8" x14ac:dyDescent="0.35">
      <c r="A486" t="s">
        <v>1876</v>
      </c>
      <c r="B486">
        <v>51.47</v>
      </c>
      <c r="C486">
        <v>9.6</v>
      </c>
      <c r="D486" t="s">
        <v>2370</v>
      </c>
      <c r="E486" t="s">
        <v>2370</v>
      </c>
      <c r="F486" t="s">
        <v>2370</v>
      </c>
      <c r="G486" t="s">
        <v>2371</v>
      </c>
      <c r="H486" t="s">
        <v>2370</v>
      </c>
    </row>
    <row r="487" spans="1:8" x14ac:dyDescent="0.35">
      <c r="A487" t="s">
        <v>1875</v>
      </c>
      <c r="B487">
        <v>29.8</v>
      </c>
      <c r="C487">
        <v>5.78</v>
      </c>
      <c r="D487" t="s">
        <v>2372</v>
      </c>
      <c r="E487" t="s">
        <v>2370</v>
      </c>
      <c r="F487" t="s">
        <v>2370</v>
      </c>
      <c r="G487" t="s">
        <v>2371</v>
      </c>
      <c r="H487" t="s">
        <v>2370</v>
      </c>
    </row>
    <row r="488" spans="1:8" x14ac:dyDescent="0.35">
      <c r="A488" t="s">
        <v>1874</v>
      </c>
      <c r="B488">
        <v>49.77</v>
      </c>
      <c r="C488">
        <v>7.02</v>
      </c>
      <c r="D488" t="s">
        <v>2370</v>
      </c>
      <c r="E488" t="s">
        <v>2370</v>
      </c>
      <c r="F488" t="s">
        <v>2370</v>
      </c>
      <c r="G488" t="s">
        <v>2371</v>
      </c>
      <c r="H488" t="s">
        <v>2370</v>
      </c>
    </row>
    <row r="489" spans="1:8" x14ac:dyDescent="0.35">
      <c r="A489" t="s">
        <v>1873</v>
      </c>
      <c r="B489">
        <v>25.555</v>
      </c>
      <c r="C489">
        <v>4.09</v>
      </c>
      <c r="D489" t="s">
        <v>2372</v>
      </c>
      <c r="E489" t="s">
        <v>2370</v>
      </c>
      <c r="F489" t="s">
        <v>2370</v>
      </c>
      <c r="G489" t="s">
        <v>2371</v>
      </c>
      <c r="H489" t="s">
        <v>2372</v>
      </c>
    </row>
    <row r="490" spans="1:8" x14ac:dyDescent="0.35">
      <c r="A490" t="s">
        <v>1872</v>
      </c>
      <c r="B490">
        <v>29.64</v>
      </c>
      <c r="C490">
        <v>4.93</v>
      </c>
      <c r="D490" t="s">
        <v>2370</v>
      </c>
      <c r="E490" t="s">
        <v>2370</v>
      </c>
      <c r="F490" t="s">
        <v>2373</v>
      </c>
      <c r="G490">
        <v>1</v>
      </c>
      <c r="H490" t="s">
        <v>2370</v>
      </c>
    </row>
    <row r="491" spans="1:8" x14ac:dyDescent="0.35">
      <c r="A491" t="s">
        <v>1871</v>
      </c>
      <c r="B491">
        <v>53.93</v>
      </c>
      <c r="C491">
        <v>5.34</v>
      </c>
      <c r="D491" t="s">
        <v>2372</v>
      </c>
      <c r="E491" t="s">
        <v>2370</v>
      </c>
      <c r="F491" t="s">
        <v>2370</v>
      </c>
      <c r="G491">
        <v>2</v>
      </c>
      <c r="H491" t="s">
        <v>2370</v>
      </c>
    </row>
    <row r="492" spans="1:8" x14ac:dyDescent="0.35">
      <c r="A492" t="s">
        <v>1870</v>
      </c>
      <c r="B492">
        <v>28.024999999999999</v>
      </c>
      <c r="C492">
        <v>5.65</v>
      </c>
      <c r="D492" t="s">
        <v>2370</v>
      </c>
      <c r="E492" t="s">
        <v>2370</v>
      </c>
      <c r="F492" t="s">
        <v>2370</v>
      </c>
      <c r="G492">
        <v>1</v>
      </c>
      <c r="H492" t="s">
        <v>2372</v>
      </c>
    </row>
    <row r="493" spans="1:8" x14ac:dyDescent="0.35">
      <c r="A493" t="s">
        <v>1869</v>
      </c>
      <c r="B493">
        <v>27.5</v>
      </c>
      <c r="C493">
        <v>4.49</v>
      </c>
      <c r="D493" t="s">
        <v>2370</v>
      </c>
      <c r="E493" t="s">
        <v>2370</v>
      </c>
      <c r="F493" t="s">
        <v>2370</v>
      </c>
      <c r="G493" t="s">
        <v>2371</v>
      </c>
      <c r="H493" t="s">
        <v>2370</v>
      </c>
    </row>
    <row r="494" spans="1:8" x14ac:dyDescent="0.35">
      <c r="A494" t="s">
        <v>1868</v>
      </c>
      <c r="B494">
        <v>21.8</v>
      </c>
      <c r="C494">
        <v>10.55</v>
      </c>
      <c r="D494" t="s">
        <v>2370</v>
      </c>
      <c r="E494" t="s">
        <v>2370</v>
      </c>
      <c r="F494" t="s">
        <v>2370</v>
      </c>
      <c r="G494" t="s">
        <v>2371</v>
      </c>
      <c r="H494" t="s">
        <v>2372</v>
      </c>
    </row>
    <row r="495" spans="1:8" x14ac:dyDescent="0.35">
      <c r="A495" t="s">
        <v>1867</v>
      </c>
      <c r="B495">
        <v>26.41</v>
      </c>
      <c r="C495">
        <v>4.92</v>
      </c>
      <c r="D495" t="s">
        <v>2372</v>
      </c>
      <c r="E495" t="s">
        <v>2370</v>
      </c>
      <c r="F495" t="s">
        <v>2373</v>
      </c>
      <c r="G495">
        <v>1</v>
      </c>
      <c r="H495" t="s">
        <v>2372</v>
      </c>
    </row>
    <row r="496" spans="1:8" x14ac:dyDescent="0.35">
      <c r="A496" t="s">
        <v>1866</v>
      </c>
      <c r="B496">
        <v>27.835000000000001</v>
      </c>
      <c r="C496">
        <v>5.9</v>
      </c>
      <c r="D496" t="s">
        <v>2372</v>
      </c>
      <c r="E496" t="s">
        <v>2370</v>
      </c>
      <c r="F496" t="s">
        <v>2370</v>
      </c>
      <c r="G496">
        <v>1</v>
      </c>
      <c r="H496" t="s">
        <v>2372</v>
      </c>
    </row>
    <row r="497" spans="1:8" x14ac:dyDescent="0.35">
      <c r="A497" t="s">
        <v>1865</v>
      </c>
      <c r="B497">
        <v>51.74</v>
      </c>
      <c r="C497">
        <v>4.9800000000000004</v>
      </c>
      <c r="D497" t="s">
        <v>2372</v>
      </c>
      <c r="E497" t="s">
        <v>2370</v>
      </c>
      <c r="F497" t="s">
        <v>2370</v>
      </c>
      <c r="G497">
        <v>2</v>
      </c>
      <c r="H497" t="s">
        <v>2370</v>
      </c>
    </row>
    <row r="498" spans="1:8" x14ac:dyDescent="0.35">
      <c r="A498" t="s">
        <v>1864</v>
      </c>
      <c r="B498">
        <v>23.37</v>
      </c>
      <c r="C498">
        <v>5.8</v>
      </c>
      <c r="D498" t="s">
        <v>2370</v>
      </c>
      <c r="E498" t="s">
        <v>2370</v>
      </c>
      <c r="F498" t="s">
        <v>2370</v>
      </c>
      <c r="G498" t="s">
        <v>2371</v>
      </c>
      <c r="H498" t="s">
        <v>2372</v>
      </c>
    </row>
    <row r="499" spans="1:8" x14ac:dyDescent="0.35">
      <c r="A499" t="s">
        <v>1863</v>
      </c>
      <c r="B499">
        <v>29.7</v>
      </c>
      <c r="C499">
        <v>6.21</v>
      </c>
      <c r="D499" t="s">
        <v>2372</v>
      </c>
      <c r="E499" t="s">
        <v>2370</v>
      </c>
      <c r="F499" t="s">
        <v>2373</v>
      </c>
      <c r="G499">
        <v>1</v>
      </c>
      <c r="H499" t="s">
        <v>2372</v>
      </c>
    </row>
    <row r="500" spans="1:8" x14ac:dyDescent="0.35">
      <c r="A500" t="s">
        <v>1862</v>
      </c>
      <c r="B500">
        <v>20.045000000000002</v>
      </c>
      <c r="C500">
        <v>6.17</v>
      </c>
      <c r="D500" t="s">
        <v>2370</v>
      </c>
      <c r="E500" t="s">
        <v>2370</v>
      </c>
      <c r="F500" t="s">
        <v>2373</v>
      </c>
      <c r="G500">
        <v>1</v>
      </c>
      <c r="H500" t="s">
        <v>2372</v>
      </c>
    </row>
    <row r="501" spans="1:8" x14ac:dyDescent="0.35">
      <c r="A501" t="s">
        <v>1861</v>
      </c>
      <c r="B501">
        <v>27.83</v>
      </c>
      <c r="C501">
        <v>5.36</v>
      </c>
      <c r="D501" t="s">
        <v>2370</v>
      </c>
      <c r="E501" t="s">
        <v>2370</v>
      </c>
      <c r="F501" t="s">
        <v>2370</v>
      </c>
      <c r="G501">
        <v>2</v>
      </c>
      <c r="H501" t="s">
        <v>2370</v>
      </c>
    </row>
    <row r="502" spans="1:8" x14ac:dyDescent="0.35">
      <c r="A502" t="s">
        <v>1860</v>
      </c>
      <c r="B502">
        <v>28.93</v>
      </c>
      <c r="C502">
        <v>5.2</v>
      </c>
      <c r="D502" t="s">
        <v>2370</v>
      </c>
      <c r="E502" t="s">
        <v>2370</v>
      </c>
      <c r="F502" t="s">
        <v>2370</v>
      </c>
      <c r="G502" t="s">
        <v>2371</v>
      </c>
      <c r="H502" t="s">
        <v>2372</v>
      </c>
    </row>
    <row r="503" spans="1:8" x14ac:dyDescent="0.35">
      <c r="A503" t="s">
        <v>1859</v>
      </c>
      <c r="B503">
        <v>33.82</v>
      </c>
      <c r="C503">
        <v>5.42</v>
      </c>
      <c r="D503" t="s">
        <v>2370</v>
      </c>
      <c r="E503" t="s">
        <v>2370</v>
      </c>
      <c r="F503" t="s">
        <v>2370</v>
      </c>
      <c r="G503" t="s">
        <v>2371</v>
      </c>
      <c r="H503" t="s">
        <v>2370</v>
      </c>
    </row>
    <row r="504" spans="1:8" x14ac:dyDescent="0.35">
      <c r="A504" t="s">
        <v>1858</v>
      </c>
      <c r="B504">
        <v>20.234999999999999</v>
      </c>
      <c r="C504">
        <v>6.84</v>
      </c>
      <c r="D504" t="s">
        <v>2370</v>
      </c>
      <c r="E504" t="s">
        <v>2370</v>
      </c>
      <c r="F504" t="s">
        <v>2370</v>
      </c>
      <c r="G504" t="s">
        <v>2371</v>
      </c>
      <c r="H504" t="s">
        <v>2372</v>
      </c>
    </row>
    <row r="505" spans="1:8" x14ac:dyDescent="0.35">
      <c r="A505" t="s">
        <v>1857</v>
      </c>
      <c r="B505">
        <v>49.2</v>
      </c>
      <c r="C505">
        <v>10.9</v>
      </c>
      <c r="D505" t="s">
        <v>2372</v>
      </c>
      <c r="E505" t="s">
        <v>2370</v>
      </c>
      <c r="F505" t="s">
        <v>2373</v>
      </c>
      <c r="G505">
        <v>1</v>
      </c>
      <c r="H505" t="s">
        <v>2370</v>
      </c>
    </row>
    <row r="506" spans="1:8" x14ac:dyDescent="0.35">
      <c r="A506" t="s">
        <v>1856</v>
      </c>
      <c r="B506">
        <v>26.4</v>
      </c>
      <c r="C506">
        <v>4.87</v>
      </c>
      <c r="D506" t="s">
        <v>2372</v>
      </c>
      <c r="E506" t="s">
        <v>2370</v>
      </c>
      <c r="F506" t="s">
        <v>2370</v>
      </c>
      <c r="G506" t="s">
        <v>2371</v>
      </c>
      <c r="H506" t="s">
        <v>2372</v>
      </c>
    </row>
    <row r="507" spans="1:8" x14ac:dyDescent="0.35">
      <c r="A507" t="s">
        <v>1855</v>
      </c>
      <c r="B507">
        <v>28.38</v>
      </c>
      <c r="C507">
        <v>6.07</v>
      </c>
      <c r="D507" t="s">
        <v>2370</v>
      </c>
      <c r="E507" t="s">
        <v>2370</v>
      </c>
      <c r="F507" t="s">
        <v>2370</v>
      </c>
      <c r="G507">
        <v>1</v>
      </c>
      <c r="H507" t="s">
        <v>2372</v>
      </c>
    </row>
    <row r="508" spans="1:8" x14ac:dyDescent="0.35">
      <c r="A508" t="s">
        <v>1854</v>
      </c>
      <c r="B508">
        <v>24.64</v>
      </c>
      <c r="C508">
        <v>4.33</v>
      </c>
      <c r="D508" t="s">
        <v>2370</v>
      </c>
      <c r="E508" t="s">
        <v>2370</v>
      </c>
      <c r="F508" t="s">
        <v>2370</v>
      </c>
      <c r="G508" t="s">
        <v>2371</v>
      </c>
      <c r="H508" t="s">
        <v>2372</v>
      </c>
    </row>
    <row r="509" spans="1:8" x14ac:dyDescent="0.35">
      <c r="A509" t="s">
        <v>1853</v>
      </c>
      <c r="B509">
        <v>39.71</v>
      </c>
      <c r="C509">
        <v>5.83</v>
      </c>
      <c r="D509" t="s">
        <v>2370</v>
      </c>
      <c r="E509" t="s">
        <v>2370</v>
      </c>
      <c r="F509" t="s">
        <v>2370</v>
      </c>
      <c r="G509">
        <v>1</v>
      </c>
      <c r="H509" t="s">
        <v>2370</v>
      </c>
    </row>
    <row r="510" spans="1:8" x14ac:dyDescent="0.35">
      <c r="A510" t="s">
        <v>1852</v>
      </c>
      <c r="B510">
        <v>22.22</v>
      </c>
      <c r="C510">
        <v>5.5</v>
      </c>
      <c r="D510" t="s">
        <v>2370</v>
      </c>
      <c r="E510" t="s">
        <v>2370</v>
      </c>
      <c r="F510" t="s">
        <v>2370</v>
      </c>
      <c r="G510" t="s">
        <v>2371</v>
      </c>
      <c r="H510" t="s">
        <v>2372</v>
      </c>
    </row>
    <row r="511" spans="1:8" x14ac:dyDescent="0.35">
      <c r="A511" t="s">
        <v>1851</v>
      </c>
      <c r="B511">
        <v>33.344999999999999</v>
      </c>
      <c r="C511">
        <v>4.79</v>
      </c>
      <c r="D511" t="s">
        <v>2370</v>
      </c>
      <c r="E511" t="s">
        <v>2370</v>
      </c>
      <c r="F511" t="s">
        <v>2373</v>
      </c>
      <c r="G511">
        <v>1</v>
      </c>
      <c r="H511" t="s">
        <v>2370</v>
      </c>
    </row>
    <row r="512" spans="1:8" x14ac:dyDescent="0.35">
      <c r="A512" t="s">
        <v>1850</v>
      </c>
      <c r="B512">
        <v>24.42</v>
      </c>
      <c r="C512">
        <v>5.81</v>
      </c>
      <c r="D512" t="s">
        <v>2370</v>
      </c>
      <c r="E512" t="s">
        <v>2370</v>
      </c>
      <c r="F512" t="s">
        <v>2370</v>
      </c>
      <c r="G512">
        <v>1</v>
      </c>
      <c r="H512" t="s">
        <v>2372</v>
      </c>
    </row>
    <row r="513" spans="1:8" x14ac:dyDescent="0.35">
      <c r="A513" t="s">
        <v>1849</v>
      </c>
      <c r="B513">
        <v>29.81</v>
      </c>
      <c r="C513">
        <v>5.58</v>
      </c>
      <c r="D513" t="s">
        <v>2370</v>
      </c>
      <c r="E513" t="s">
        <v>2370</v>
      </c>
      <c r="F513" t="s">
        <v>2370</v>
      </c>
      <c r="G513" t="s">
        <v>2371</v>
      </c>
      <c r="H513" t="s">
        <v>2372</v>
      </c>
    </row>
    <row r="514" spans="1:8" x14ac:dyDescent="0.35">
      <c r="A514" t="s">
        <v>1848</v>
      </c>
      <c r="B514">
        <v>51.18</v>
      </c>
      <c r="C514">
        <v>4.4000000000000004</v>
      </c>
      <c r="D514" t="s">
        <v>2372</v>
      </c>
      <c r="E514" t="s">
        <v>2370</v>
      </c>
      <c r="F514" t="s">
        <v>2370</v>
      </c>
      <c r="G514">
        <v>2</v>
      </c>
      <c r="H514" t="s">
        <v>2370</v>
      </c>
    </row>
    <row r="515" spans="1:8" x14ac:dyDescent="0.35">
      <c r="A515" t="s">
        <v>1847</v>
      </c>
      <c r="B515">
        <v>51.37</v>
      </c>
      <c r="C515">
        <v>8.18</v>
      </c>
      <c r="D515" t="s">
        <v>2372</v>
      </c>
      <c r="E515" t="s">
        <v>2370</v>
      </c>
      <c r="F515" t="s">
        <v>2370</v>
      </c>
      <c r="G515" t="s">
        <v>2371</v>
      </c>
      <c r="H515" t="s">
        <v>2370</v>
      </c>
    </row>
    <row r="516" spans="1:8" x14ac:dyDescent="0.35">
      <c r="A516" t="s">
        <v>1846</v>
      </c>
      <c r="B516">
        <v>36.19</v>
      </c>
      <c r="C516">
        <v>5.52</v>
      </c>
      <c r="D516" t="s">
        <v>2372</v>
      </c>
      <c r="E516" t="s">
        <v>2370</v>
      </c>
      <c r="F516" t="s">
        <v>2370</v>
      </c>
      <c r="G516" t="s">
        <v>2371</v>
      </c>
      <c r="H516" t="s">
        <v>2370</v>
      </c>
    </row>
    <row r="517" spans="1:8" x14ac:dyDescent="0.35">
      <c r="A517" t="s">
        <v>1845</v>
      </c>
      <c r="B517">
        <v>25.9</v>
      </c>
      <c r="C517">
        <v>4.84</v>
      </c>
      <c r="D517" t="s">
        <v>2370</v>
      </c>
      <c r="E517" t="s">
        <v>2370</v>
      </c>
      <c r="F517" t="s">
        <v>2370</v>
      </c>
      <c r="G517" t="s">
        <v>2371</v>
      </c>
      <c r="H517" t="s">
        <v>2372</v>
      </c>
    </row>
    <row r="518" spans="1:8" x14ac:dyDescent="0.35">
      <c r="A518" t="s">
        <v>1844</v>
      </c>
      <c r="B518">
        <v>35.72</v>
      </c>
      <c r="C518">
        <v>4.08</v>
      </c>
      <c r="D518" t="s">
        <v>2370</v>
      </c>
      <c r="E518" t="s">
        <v>2370</v>
      </c>
      <c r="F518" t="s">
        <v>2373</v>
      </c>
      <c r="G518">
        <v>1</v>
      </c>
      <c r="H518" t="s">
        <v>2370</v>
      </c>
    </row>
    <row r="519" spans="1:8" x14ac:dyDescent="0.35">
      <c r="A519" t="s">
        <v>1843</v>
      </c>
      <c r="B519">
        <v>27.94</v>
      </c>
      <c r="C519">
        <v>4.4800000000000004</v>
      </c>
      <c r="D519" t="s">
        <v>2370</v>
      </c>
      <c r="E519" t="s">
        <v>2370</v>
      </c>
      <c r="F519" t="s">
        <v>2373</v>
      </c>
      <c r="G519">
        <v>1</v>
      </c>
      <c r="H519" t="s">
        <v>2372</v>
      </c>
    </row>
    <row r="520" spans="1:8" x14ac:dyDescent="0.35">
      <c r="A520" t="s">
        <v>1842</v>
      </c>
      <c r="B520">
        <v>27.1</v>
      </c>
      <c r="C520">
        <v>5.73</v>
      </c>
      <c r="D520" t="s">
        <v>2370</v>
      </c>
      <c r="E520" t="s">
        <v>2370</v>
      </c>
      <c r="F520" t="s">
        <v>2370</v>
      </c>
      <c r="G520" t="s">
        <v>2371</v>
      </c>
      <c r="H520" t="s">
        <v>2372</v>
      </c>
    </row>
    <row r="521" spans="1:8" x14ac:dyDescent="0.35">
      <c r="A521" t="s">
        <v>1841</v>
      </c>
      <c r="B521">
        <v>18.3</v>
      </c>
      <c r="C521">
        <v>5.46</v>
      </c>
      <c r="D521" t="s">
        <v>2372</v>
      </c>
      <c r="E521" t="s">
        <v>2370</v>
      </c>
      <c r="F521" t="s">
        <v>2373</v>
      </c>
      <c r="G521">
        <v>1</v>
      </c>
      <c r="H521" t="s">
        <v>2372</v>
      </c>
    </row>
    <row r="522" spans="1:8" x14ac:dyDescent="0.35">
      <c r="A522" t="s">
        <v>1840</v>
      </c>
      <c r="B522">
        <v>25.3</v>
      </c>
      <c r="C522">
        <v>5.0199999999999996</v>
      </c>
      <c r="D522" t="s">
        <v>2372</v>
      </c>
      <c r="E522" t="s">
        <v>2370</v>
      </c>
      <c r="F522" t="s">
        <v>2370</v>
      </c>
      <c r="G522">
        <v>1</v>
      </c>
      <c r="H522" t="s">
        <v>2372</v>
      </c>
    </row>
    <row r="523" spans="1:8" x14ac:dyDescent="0.35">
      <c r="A523" t="s">
        <v>1839</v>
      </c>
      <c r="B523">
        <v>38.83</v>
      </c>
      <c r="C523">
        <v>6.36</v>
      </c>
      <c r="D523" t="s">
        <v>2370</v>
      </c>
      <c r="E523" t="s">
        <v>2370</v>
      </c>
      <c r="F523" t="s">
        <v>2370</v>
      </c>
      <c r="G523">
        <v>1</v>
      </c>
      <c r="H523" t="s">
        <v>2370</v>
      </c>
    </row>
    <row r="524" spans="1:8" x14ac:dyDescent="0.35">
      <c r="A524" t="s">
        <v>1838</v>
      </c>
      <c r="B524">
        <v>27.6</v>
      </c>
      <c r="C524">
        <v>5.36</v>
      </c>
      <c r="D524" t="s">
        <v>2370</v>
      </c>
      <c r="E524" t="s">
        <v>2370</v>
      </c>
      <c r="F524" t="s">
        <v>2370</v>
      </c>
      <c r="G524">
        <v>1</v>
      </c>
      <c r="H524" t="s">
        <v>2370</v>
      </c>
    </row>
    <row r="525" spans="1:8" x14ac:dyDescent="0.35">
      <c r="A525" t="s">
        <v>1837</v>
      </c>
      <c r="B525">
        <v>46.4</v>
      </c>
      <c r="C525">
        <v>8.3699999999999992</v>
      </c>
      <c r="D525" t="s">
        <v>2372</v>
      </c>
      <c r="E525" t="s">
        <v>2370</v>
      </c>
      <c r="F525" t="s">
        <v>2373</v>
      </c>
      <c r="G525">
        <v>1</v>
      </c>
      <c r="H525" t="s">
        <v>2370</v>
      </c>
    </row>
    <row r="526" spans="1:8" x14ac:dyDescent="0.35">
      <c r="A526" t="s">
        <v>1836</v>
      </c>
      <c r="B526">
        <v>51.92</v>
      </c>
      <c r="C526">
        <v>5.18</v>
      </c>
      <c r="D526" t="s">
        <v>2372</v>
      </c>
      <c r="E526" t="s">
        <v>2370</v>
      </c>
      <c r="F526" t="s">
        <v>2373</v>
      </c>
      <c r="G526">
        <v>1</v>
      </c>
      <c r="H526" t="s">
        <v>2370</v>
      </c>
    </row>
    <row r="527" spans="1:8" x14ac:dyDescent="0.35">
      <c r="A527" t="s">
        <v>1835</v>
      </c>
      <c r="B527">
        <v>32.395000000000003</v>
      </c>
      <c r="C527">
        <v>5.68</v>
      </c>
      <c r="D527" t="s">
        <v>2372</v>
      </c>
      <c r="E527" t="s">
        <v>2370</v>
      </c>
      <c r="F527" t="s">
        <v>2370</v>
      </c>
      <c r="G527">
        <v>1</v>
      </c>
      <c r="H527" t="s">
        <v>2370</v>
      </c>
    </row>
    <row r="528" spans="1:8" x14ac:dyDescent="0.35">
      <c r="A528" t="s">
        <v>1834</v>
      </c>
      <c r="B528">
        <v>46.19</v>
      </c>
      <c r="C528">
        <v>7.31</v>
      </c>
      <c r="D528" t="s">
        <v>2372</v>
      </c>
      <c r="E528" t="s">
        <v>2370</v>
      </c>
      <c r="F528" t="s">
        <v>2373</v>
      </c>
      <c r="G528">
        <v>1</v>
      </c>
      <c r="H528" t="s">
        <v>2370</v>
      </c>
    </row>
    <row r="529" spans="1:8" x14ac:dyDescent="0.35">
      <c r="A529" t="s">
        <v>1833</v>
      </c>
      <c r="B529">
        <v>27.93</v>
      </c>
      <c r="C529">
        <v>4.67</v>
      </c>
      <c r="D529" t="s">
        <v>2370</v>
      </c>
      <c r="E529" t="s">
        <v>2370</v>
      </c>
      <c r="F529" t="s">
        <v>2373</v>
      </c>
      <c r="G529">
        <v>1</v>
      </c>
      <c r="H529" t="s">
        <v>2370</v>
      </c>
    </row>
    <row r="530" spans="1:8" x14ac:dyDescent="0.35">
      <c r="A530" t="s">
        <v>1832</v>
      </c>
      <c r="B530">
        <v>45.62</v>
      </c>
      <c r="C530">
        <v>6.87</v>
      </c>
      <c r="D530" t="s">
        <v>2370</v>
      </c>
      <c r="E530" t="s">
        <v>2370</v>
      </c>
      <c r="F530" t="s">
        <v>2370</v>
      </c>
      <c r="G530" t="s">
        <v>2371</v>
      </c>
      <c r="H530" t="s">
        <v>2370</v>
      </c>
    </row>
    <row r="531" spans="1:8" x14ac:dyDescent="0.35">
      <c r="A531" t="s">
        <v>1831</v>
      </c>
      <c r="B531">
        <v>35.31</v>
      </c>
      <c r="C531">
        <v>5.87</v>
      </c>
      <c r="D531" t="s">
        <v>2370</v>
      </c>
      <c r="E531" t="s">
        <v>2370</v>
      </c>
      <c r="F531" t="s">
        <v>2373</v>
      </c>
      <c r="G531">
        <v>1</v>
      </c>
      <c r="H531" t="s">
        <v>2370</v>
      </c>
    </row>
    <row r="532" spans="1:8" x14ac:dyDescent="0.35">
      <c r="A532" t="s">
        <v>1830</v>
      </c>
      <c r="B532">
        <v>30.4</v>
      </c>
      <c r="C532">
        <v>4.07</v>
      </c>
      <c r="D532" t="s">
        <v>2372</v>
      </c>
      <c r="E532" t="s">
        <v>2370</v>
      </c>
      <c r="F532" t="s">
        <v>2370</v>
      </c>
      <c r="G532">
        <v>1</v>
      </c>
      <c r="H532" t="s">
        <v>2370</v>
      </c>
    </row>
    <row r="533" spans="1:8" x14ac:dyDescent="0.35">
      <c r="A533" t="s">
        <v>1829</v>
      </c>
      <c r="B533">
        <v>20.13</v>
      </c>
      <c r="C533">
        <v>6.47</v>
      </c>
      <c r="D533" t="s">
        <v>2370</v>
      </c>
      <c r="E533" t="s">
        <v>2370</v>
      </c>
      <c r="F533" t="s">
        <v>2373</v>
      </c>
      <c r="G533">
        <v>1</v>
      </c>
      <c r="H533" t="s">
        <v>2372</v>
      </c>
    </row>
    <row r="534" spans="1:8" x14ac:dyDescent="0.35">
      <c r="A534" t="s">
        <v>1828</v>
      </c>
      <c r="B534">
        <v>23.655000000000001</v>
      </c>
      <c r="C534">
        <v>5.14</v>
      </c>
      <c r="D534" t="s">
        <v>2370</v>
      </c>
      <c r="E534" t="s">
        <v>2370</v>
      </c>
      <c r="F534" t="s">
        <v>2370</v>
      </c>
      <c r="G534">
        <v>1</v>
      </c>
      <c r="H534" t="s">
        <v>2372</v>
      </c>
    </row>
    <row r="535" spans="1:8" x14ac:dyDescent="0.35">
      <c r="A535" t="s">
        <v>1827</v>
      </c>
      <c r="B535">
        <v>49.05</v>
      </c>
      <c r="C535">
        <v>9.77</v>
      </c>
      <c r="D535" t="s">
        <v>2372</v>
      </c>
      <c r="E535" t="s">
        <v>2370</v>
      </c>
      <c r="F535" t="s">
        <v>2370</v>
      </c>
      <c r="G535" t="s">
        <v>2371</v>
      </c>
      <c r="H535" t="s">
        <v>2370</v>
      </c>
    </row>
    <row r="536" spans="1:8" x14ac:dyDescent="0.35">
      <c r="A536" t="s">
        <v>1826</v>
      </c>
      <c r="B536">
        <v>51.94</v>
      </c>
      <c r="C536">
        <v>8.8000000000000007</v>
      </c>
      <c r="D536" t="s">
        <v>2372</v>
      </c>
      <c r="E536" t="s">
        <v>2370</v>
      </c>
      <c r="F536" t="s">
        <v>2370</v>
      </c>
      <c r="G536">
        <v>2</v>
      </c>
      <c r="H536" t="s">
        <v>2370</v>
      </c>
    </row>
    <row r="537" spans="1:8" x14ac:dyDescent="0.35">
      <c r="A537" t="s">
        <v>1825</v>
      </c>
      <c r="B537">
        <v>29.83</v>
      </c>
      <c r="C537">
        <v>5.84</v>
      </c>
      <c r="D537" t="s">
        <v>2370</v>
      </c>
      <c r="E537" t="s">
        <v>2370</v>
      </c>
      <c r="F537" t="s">
        <v>2370</v>
      </c>
      <c r="G537">
        <v>1</v>
      </c>
      <c r="H537" t="s">
        <v>2372</v>
      </c>
    </row>
    <row r="538" spans="1:8" x14ac:dyDescent="0.35">
      <c r="A538" t="s">
        <v>1824</v>
      </c>
      <c r="B538">
        <v>22.6</v>
      </c>
      <c r="C538">
        <v>10.43</v>
      </c>
      <c r="D538" t="s">
        <v>2372</v>
      </c>
      <c r="E538" t="s">
        <v>2370</v>
      </c>
      <c r="F538" t="s">
        <v>2370</v>
      </c>
      <c r="G538">
        <v>1</v>
      </c>
      <c r="H538" t="s">
        <v>2372</v>
      </c>
    </row>
    <row r="539" spans="1:8" x14ac:dyDescent="0.35">
      <c r="A539" t="s">
        <v>1823</v>
      </c>
      <c r="B539">
        <v>46.69</v>
      </c>
      <c r="C539">
        <v>4.25</v>
      </c>
      <c r="D539" t="s">
        <v>2372</v>
      </c>
      <c r="E539" t="s">
        <v>2370</v>
      </c>
      <c r="F539" t="s">
        <v>2370</v>
      </c>
      <c r="G539">
        <v>1</v>
      </c>
      <c r="H539" t="s">
        <v>2370</v>
      </c>
    </row>
    <row r="540" spans="1:8" x14ac:dyDescent="0.35">
      <c r="A540" t="s">
        <v>1822</v>
      </c>
      <c r="B540">
        <v>28.49</v>
      </c>
      <c r="C540">
        <v>4.8899999999999997</v>
      </c>
      <c r="D540" t="s">
        <v>2370</v>
      </c>
      <c r="E540" t="s">
        <v>2370</v>
      </c>
      <c r="F540" t="s">
        <v>2370</v>
      </c>
      <c r="G540" t="s">
        <v>2371</v>
      </c>
      <c r="H540" t="s">
        <v>2372</v>
      </c>
    </row>
    <row r="541" spans="1:8" x14ac:dyDescent="0.35">
      <c r="A541" t="s">
        <v>1821</v>
      </c>
      <c r="B541">
        <v>28.5</v>
      </c>
      <c r="C541">
        <v>5.55</v>
      </c>
      <c r="D541" t="s">
        <v>2372</v>
      </c>
      <c r="E541" t="s">
        <v>2370</v>
      </c>
      <c r="F541" t="s">
        <v>2370</v>
      </c>
      <c r="G541">
        <v>1</v>
      </c>
      <c r="H541" t="s">
        <v>2372</v>
      </c>
    </row>
    <row r="542" spans="1:8" x14ac:dyDescent="0.35">
      <c r="A542" t="s">
        <v>1820</v>
      </c>
      <c r="B542">
        <v>24.4</v>
      </c>
      <c r="C542">
        <v>4.5199999999999996</v>
      </c>
      <c r="D542" t="s">
        <v>2370</v>
      </c>
      <c r="E542" t="s">
        <v>2370</v>
      </c>
      <c r="F542" t="s">
        <v>2370</v>
      </c>
      <c r="G542">
        <v>1</v>
      </c>
      <c r="H542" t="s">
        <v>2372</v>
      </c>
    </row>
    <row r="543" spans="1:8" x14ac:dyDescent="0.35">
      <c r="A543" t="s">
        <v>1819</v>
      </c>
      <c r="B543">
        <v>29.15</v>
      </c>
      <c r="C543">
        <v>4.45</v>
      </c>
      <c r="D543" t="s">
        <v>2372</v>
      </c>
      <c r="E543" t="s">
        <v>2370</v>
      </c>
      <c r="F543" t="s">
        <v>2370</v>
      </c>
      <c r="G543">
        <v>1</v>
      </c>
      <c r="H543" t="s">
        <v>2372</v>
      </c>
    </row>
    <row r="544" spans="1:8" x14ac:dyDescent="0.35">
      <c r="A544" t="s">
        <v>1818</v>
      </c>
      <c r="B544">
        <v>27.28</v>
      </c>
      <c r="C544">
        <v>4.72</v>
      </c>
      <c r="D544" t="s">
        <v>2370</v>
      </c>
      <c r="E544" t="s">
        <v>2372</v>
      </c>
      <c r="F544" t="s">
        <v>2370</v>
      </c>
      <c r="G544">
        <v>1</v>
      </c>
      <c r="H544" t="s">
        <v>2372</v>
      </c>
    </row>
    <row r="545" spans="1:8" x14ac:dyDescent="0.35">
      <c r="A545" t="s">
        <v>1817</v>
      </c>
      <c r="B545">
        <v>32.229999999999997</v>
      </c>
      <c r="C545">
        <v>4.6500000000000004</v>
      </c>
      <c r="D545" t="s">
        <v>2372</v>
      </c>
      <c r="E545" t="s">
        <v>2370</v>
      </c>
      <c r="F545" t="s">
        <v>2373</v>
      </c>
      <c r="G545">
        <v>1</v>
      </c>
      <c r="H545" t="s">
        <v>2370</v>
      </c>
    </row>
    <row r="546" spans="1:8" x14ac:dyDescent="0.35">
      <c r="A546" t="s">
        <v>1816</v>
      </c>
      <c r="B546">
        <v>44.2</v>
      </c>
      <c r="C546">
        <v>11.34</v>
      </c>
      <c r="D546" t="s">
        <v>2372</v>
      </c>
      <c r="E546" t="s">
        <v>2370</v>
      </c>
      <c r="F546" t="s">
        <v>2373</v>
      </c>
      <c r="G546">
        <v>1</v>
      </c>
      <c r="H546" t="s">
        <v>2370</v>
      </c>
    </row>
    <row r="547" spans="1:8" x14ac:dyDescent="0.35">
      <c r="A547" t="s">
        <v>1815</v>
      </c>
      <c r="B547">
        <v>29.734999999999999</v>
      </c>
      <c r="C547">
        <v>4.53</v>
      </c>
      <c r="D547" t="s">
        <v>2370</v>
      </c>
      <c r="E547" t="s">
        <v>2370</v>
      </c>
      <c r="F547" t="s">
        <v>2373</v>
      </c>
      <c r="G547">
        <v>1</v>
      </c>
      <c r="H547" t="s">
        <v>2370</v>
      </c>
    </row>
    <row r="548" spans="1:8" x14ac:dyDescent="0.35">
      <c r="A548" t="s">
        <v>1814</v>
      </c>
      <c r="B548">
        <v>28.31</v>
      </c>
      <c r="C548">
        <v>6.35</v>
      </c>
      <c r="D548" t="s">
        <v>2370</v>
      </c>
      <c r="E548" t="s">
        <v>2370</v>
      </c>
      <c r="F548" t="s">
        <v>2370</v>
      </c>
      <c r="G548" t="s">
        <v>2371</v>
      </c>
      <c r="H548" t="s">
        <v>2372</v>
      </c>
    </row>
    <row r="549" spans="1:8" x14ac:dyDescent="0.35">
      <c r="A549" t="s">
        <v>1813</v>
      </c>
      <c r="B549">
        <v>46.62</v>
      </c>
      <c r="C549">
        <v>8.51</v>
      </c>
      <c r="D549" t="s">
        <v>2370</v>
      </c>
      <c r="E549" t="s">
        <v>2370</v>
      </c>
      <c r="F549" t="s">
        <v>2370</v>
      </c>
      <c r="G549" t="s">
        <v>2371</v>
      </c>
      <c r="H549" t="s">
        <v>2370</v>
      </c>
    </row>
    <row r="550" spans="1:8" x14ac:dyDescent="0.35">
      <c r="A550" t="s">
        <v>1812</v>
      </c>
      <c r="B550">
        <v>51.75</v>
      </c>
      <c r="C550">
        <v>8.59</v>
      </c>
      <c r="D550" t="s">
        <v>2372</v>
      </c>
      <c r="E550" t="s">
        <v>2370</v>
      </c>
      <c r="F550" t="s">
        <v>2370</v>
      </c>
      <c r="G550">
        <v>1</v>
      </c>
      <c r="H550" t="s">
        <v>2370</v>
      </c>
    </row>
    <row r="551" spans="1:8" x14ac:dyDescent="0.35">
      <c r="A551" t="s">
        <v>1811</v>
      </c>
      <c r="B551">
        <v>25.7</v>
      </c>
      <c r="C551">
        <v>4.13</v>
      </c>
      <c r="D551" t="s">
        <v>2372</v>
      </c>
      <c r="E551" t="s">
        <v>2370</v>
      </c>
      <c r="F551" t="s">
        <v>2370</v>
      </c>
      <c r="G551" t="s">
        <v>2371</v>
      </c>
      <c r="H551" t="s">
        <v>2372</v>
      </c>
    </row>
    <row r="552" spans="1:8" x14ac:dyDescent="0.35">
      <c r="A552" t="s">
        <v>1810</v>
      </c>
      <c r="B552">
        <v>31.79</v>
      </c>
      <c r="C552">
        <v>4.55</v>
      </c>
      <c r="D552" t="s">
        <v>2370</v>
      </c>
      <c r="E552" t="s">
        <v>2370</v>
      </c>
      <c r="F552" t="s">
        <v>2370</v>
      </c>
      <c r="G552" t="s">
        <v>2371</v>
      </c>
      <c r="H552" t="s">
        <v>2370</v>
      </c>
    </row>
    <row r="553" spans="1:8" x14ac:dyDescent="0.35">
      <c r="A553" t="s">
        <v>1809</v>
      </c>
      <c r="B553">
        <v>24.795000000000002</v>
      </c>
      <c r="C553">
        <v>4.5199999999999996</v>
      </c>
      <c r="D553" t="s">
        <v>2370</v>
      </c>
      <c r="E553" t="s">
        <v>2370</v>
      </c>
      <c r="F553" t="s">
        <v>2370</v>
      </c>
      <c r="G553" t="s">
        <v>2371</v>
      </c>
      <c r="H553" t="s">
        <v>2372</v>
      </c>
    </row>
    <row r="554" spans="1:8" x14ac:dyDescent="0.35">
      <c r="A554" t="s">
        <v>1808</v>
      </c>
      <c r="B554">
        <v>53.98</v>
      </c>
      <c r="C554">
        <v>5.07</v>
      </c>
      <c r="D554" t="s">
        <v>2370</v>
      </c>
      <c r="E554" t="s">
        <v>2370</v>
      </c>
      <c r="F554" t="s">
        <v>2373</v>
      </c>
      <c r="G554">
        <v>1</v>
      </c>
      <c r="H554" t="s">
        <v>2370</v>
      </c>
    </row>
    <row r="555" spans="1:8" x14ac:dyDescent="0.35">
      <c r="A555" t="s">
        <v>1807</v>
      </c>
      <c r="B555">
        <v>41.325000000000003</v>
      </c>
      <c r="C555">
        <v>4.04</v>
      </c>
      <c r="D555" t="s">
        <v>2372</v>
      </c>
      <c r="E555" t="s">
        <v>2370</v>
      </c>
      <c r="F555" t="s">
        <v>2373</v>
      </c>
      <c r="G555">
        <v>1</v>
      </c>
      <c r="H555" t="s">
        <v>2370</v>
      </c>
    </row>
    <row r="556" spans="1:8" x14ac:dyDescent="0.35">
      <c r="A556" t="s">
        <v>1806</v>
      </c>
      <c r="B556">
        <v>51.65</v>
      </c>
      <c r="C556">
        <v>5.3</v>
      </c>
      <c r="D556" t="s">
        <v>2372</v>
      </c>
      <c r="E556" t="s">
        <v>2370</v>
      </c>
      <c r="F556" t="s">
        <v>2370</v>
      </c>
      <c r="G556" t="s">
        <v>2371</v>
      </c>
      <c r="H556" t="s">
        <v>2370</v>
      </c>
    </row>
    <row r="557" spans="1:8" x14ac:dyDescent="0.35">
      <c r="A557" t="s">
        <v>1805</v>
      </c>
      <c r="B557">
        <v>44.52</v>
      </c>
      <c r="C557">
        <v>8.64</v>
      </c>
      <c r="D557" t="s">
        <v>2372</v>
      </c>
      <c r="E557" t="s">
        <v>2370</v>
      </c>
      <c r="F557" t="s">
        <v>2373</v>
      </c>
      <c r="G557">
        <v>1</v>
      </c>
      <c r="H557" t="s">
        <v>2370</v>
      </c>
    </row>
    <row r="558" spans="1:8" x14ac:dyDescent="0.35">
      <c r="A558" t="s">
        <v>1804</v>
      </c>
      <c r="B558">
        <v>53.29</v>
      </c>
      <c r="C558">
        <v>4.03</v>
      </c>
      <c r="D558" t="s">
        <v>2370</v>
      </c>
      <c r="E558" t="s">
        <v>2370</v>
      </c>
      <c r="F558" t="s">
        <v>2373</v>
      </c>
      <c r="G558">
        <v>1</v>
      </c>
      <c r="H558" t="s">
        <v>2370</v>
      </c>
    </row>
    <row r="559" spans="1:8" x14ac:dyDescent="0.35">
      <c r="A559" t="s">
        <v>1803</v>
      </c>
      <c r="B559">
        <v>46.63</v>
      </c>
      <c r="C559">
        <v>4.26</v>
      </c>
      <c r="D559" t="s">
        <v>2372</v>
      </c>
      <c r="E559" t="s">
        <v>2370</v>
      </c>
      <c r="F559" t="s">
        <v>2370</v>
      </c>
      <c r="G559">
        <v>2</v>
      </c>
      <c r="H559" t="s">
        <v>2370</v>
      </c>
    </row>
    <row r="560" spans="1:8" x14ac:dyDescent="0.35">
      <c r="A560" t="s">
        <v>1802</v>
      </c>
      <c r="B560">
        <v>28.88</v>
      </c>
      <c r="C560">
        <v>5.35</v>
      </c>
      <c r="D560" t="s">
        <v>2370</v>
      </c>
      <c r="E560" t="s">
        <v>2370</v>
      </c>
      <c r="F560" t="s">
        <v>2373</v>
      </c>
      <c r="G560">
        <v>1</v>
      </c>
      <c r="H560" t="s">
        <v>2372</v>
      </c>
    </row>
    <row r="561" spans="1:8" x14ac:dyDescent="0.35">
      <c r="A561" t="s">
        <v>1801</v>
      </c>
      <c r="B561">
        <v>23.98</v>
      </c>
      <c r="C561">
        <v>4.9000000000000004</v>
      </c>
      <c r="D561" t="s">
        <v>2370</v>
      </c>
      <c r="E561" t="s">
        <v>2370</v>
      </c>
      <c r="F561" t="s">
        <v>2370</v>
      </c>
      <c r="G561" t="s">
        <v>2371</v>
      </c>
      <c r="H561" t="s">
        <v>23</v>
      </c>
    </row>
    <row r="562" spans="1:8" x14ac:dyDescent="0.35">
      <c r="A562" t="s">
        <v>1800</v>
      </c>
      <c r="B562">
        <v>23.65</v>
      </c>
      <c r="C562">
        <v>4.5</v>
      </c>
      <c r="D562" t="s">
        <v>2370</v>
      </c>
      <c r="E562" t="s">
        <v>2370</v>
      </c>
      <c r="F562" t="s">
        <v>2370</v>
      </c>
      <c r="G562" t="s">
        <v>2371</v>
      </c>
      <c r="H562" t="s">
        <v>2370</v>
      </c>
    </row>
    <row r="563" spans="1:8" x14ac:dyDescent="0.35">
      <c r="A563" t="s">
        <v>1799</v>
      </c>
      <c r="B563">
        <v>49.09</v>
      </c>
      <c r="C563">
        <v>8.3800000000000008</v>
      </c>
      <c r="D563" t="s">
        <v>2372</v>
      </c>
      <c r="E563" t="s">
        <v>2370</v>
      </c>
      <c r="F563" t="s">
        <v>2370</v>
      </c>
      <c r="G563">
        <v>2</v>
      </c>
      <c r="H563" t="s">
        <v>2370</v>
      </c>
    </row>
    <row r="564" spans="1:8" x14ac:dyDescent="0.35">
      <c r="A564" t="s">
        <v>1798</v>
      </c>
      <c r="B564">
        <v>28.024999999999999</v>
      </c>
      <c r="C564">
        <v>7.03</v>
      </c>
      <c r="D564" t="s">
        <v>2370</v>
      </c>
      <c r="E564" t="s">
        <v>2370</v>
      </c>
      <c r="F564" t="s">
        <v>2370</v>
      </c>
      <c r="G564" t="s">
        <v>2371</v>
      </c>
      <c r="H564" t="s">
        <v>2372</v>
      </c>
    </row>
    <row r="565" spans="1:8" x14ac:dyDescent="0.35">
      <c r="A565" t="s">
        <v>1797</v>
      </c>
      <c r="B565">
        <v>43.32</v>
      </c>
      <c r="C565">
        <v>8.75</v>
      </c>
      <c r="D565" t="s">
        <v>2372</v>
      </c>
      <c r="E565" t="s">
        <v>2370</v>
      </c>
      <c r="F565" t="s">
        <v>2373</v>
      </c>
      <c r="G565">
        <v>1</v>
      </c>
      <c r="H565" t="s">
        <v>2370</v>
      </c>
    </row>
    <row r="566" spans="1:8" x14ac:dyDescent="0.35">
      <c r="A566" t="s">
        <v>1796</v>
      </c>
      <c r="B566">
        <v>45.92</v>
      </c>
      <c r="C566">
        <v>9.51</v>
      </c>
      <c r="D566" t="s">
        <v>2370</v>
      </c>
      <c r="E566" t="s">
        <v>2370</v>
      </c>
      <c r="F566" t="s">
        <v>2370</v>
      </c>
      <c r="G566" t="s">
        <v>2371</v>
      </c>
      <c r="H566" t="s">
        <v>2370</v>
      </c>
    </row>
    <row r="567" spans="1:8" x14ac:dyDescent="0.35">
      <c r="A567" t="s">
        <v>1795</v>
      </c>
      <c r="B567">
        <v>44.03</v>
      </c>
      <c r="C567">
        <v>9.36</v>
      </c>
      <c r="D567" t="s">
        <v>2370</v>
      </c>
      <c r="E567" t="s">
        <v>2370</v>
      </c>
      <c r="F567" t="s">
        <v>2370</v>
      </c>
      <c r="G567" t="s">
        <v>2371</v>
      </c>
      <c r="H567" t="s">
        <v>2370</v>
      </c>
    </row>
    <row r="568" spans="1:8" x14ac:dyDescent="0.35">
      <c r="A568" t="s">
        <v>1794</v>
      </c>
      <c r="B568">
        <v>24.6</v>
      </c>
      <c r="C568">
        <v>4.8099999999999996</v>
      </c>
      <c r="D568" t="s">
        <v>2370</v>
      </c>
      <c r="E568" t="s">
        <v>2370</v>
      </c>
      <c r="F568" t="s">
        <v>2370</v>
      </c>
      <c r="G568" t="s">
        <v>2371</v>
      </c>
      <c r="H568" t="s">
        <v>2372</v>
      </c>
    </row>
    <row r="569" spans="1:8" x14ac:dyDescent="0.35">
      <c r="A569" t="s">
        <v>1793</v>
      </c>
      <c r="B569">
        <v>49.15</v>
      </c>
      <c r="C569">
        <v>8.08</v>
      </c>
      <c r="D569" t="s">
        <v>2370</v>
      </c>
      <c r="E569" t="s">
        <v>2370</v>
      </c>
      <c r="F569" t="s">
        <v>2370</v>
      </c>
      <c r="G569" t="s">
        <v>2371</v>
      </c>
      <c r="H569" t="s">
        <v>2370</v>
      </c>
    </row>
    <row r="570" spans="1:8" x14ac:dyDescent="0.35">
      <c r="A570" t="s">
        <v>1792</v>
      </c>
      <c r="B570">
        <v>28.31</v>
      </c>
      <c r="C570">
        <v>6.29</v>
      </c>
      <c r="D570" t="s">
        <v>2370</v>
      </c>
      <c r="E570" t="s">
        <v>2370</v>
      </c>
      <c r="F570" t="s">
        <v>2373</v>
      </c>
      <c r="G570">
        <v>1</v>
      </c>
      <c r="H570" t="s">
        <v>2372</v>
      </c>
    </row>
    <row r="571" spans="1:8" x14ac:dyDescent="0.35">
      <c r="A571" t="s">
        <v>1791</v>
      </c>
      <c r="B571">
        <v>22.99</v>
      </c>
      <c r="C571">
        <v>6.29</v>
      </c>
      <c r="D571" t="s">
        <v>2370</v>
      </c>
      <c r="E571" t="s">
        <v>2370</v>
      </c>
      <c r="F571" t="s">
        <v>2370</v>
      </c>
      <c r="G571">
        <v>1</v>
      </c>
      <c r="H571" t="s">
        <v>2372</v>
      </c>
    </row>
    <row r="572" spans="1:8" x14ac:dyDescent="0.35">
      <c r="A572" t="s">
        <v>1790</v>
      </c>
      <c r="B572">
        <v>29.07</v>
      </c>
      <c r="C572">
        <v>5.12</v>
      </c>
      <c r="D572" t="s">
        <v>2370</v>
      </c>
      <c r="E572" t="s">
        <v>2370</v>
      </c>
      <c r="F572" t="s">
        <v>2373</v>
      </c>
      <c r="G572">
        <v>1</v>
      </c>
      <c r="H572" t="s">
        <v>2372</v>
      </c>
    </row>
    <row r="573" spans="1:8" x14ac:dyDescent="0.35">
      <c r="A573" t="s">
        <v>1789</v>
      </c>
      <c r="B573">
        <v>42.02</v>
      </c>
      <c r="C573">
        <v>9.9499999999999993</v>
      </c>
      <c r="D573" t="s">
        <v>2372</v>
      </c>
      <c r="E573" t="s">
        <v>2370</v>
      </c>
      <c r="F573" t="s">
        <v>2373</v>
      </c>
      <c r="G573">
        <v>1</v>
      </c>
      <c r="H573" t="s">
        <v>2370</v>
      </c>
    </row>
    <row r="574" spans="1:8" x14ac:dyDescent="0.35">
      <c r="A574" t="s">
        <v>1788</v>
      </c>
      <c r="B574">
        <v>49.07</v>
      </c>
      <c r="C574">
        <v>9.08</v>
      </c>
      <c r="D574" t="s">
        <v>2372</v>
      </c>
      <c r="E574" t="s">
        <v>2370</v>
      </c>
      <c r="F574" t="s">
        <v>2370</v>
      </c>
      <c r="G574">
        <v>1</v>
      </c>
      <c r="H574" t="s">
        <v>2370</v>
      </c>
    </row>
    <row r="575" spans="1:8" x14ac:dyDescent="0.35">
      <c r="A575" t="s">
        <v>1787</v>
      </c>
      <c r="B575">
        <v>19.8</v>
      </c>
      <c r="C575">
        <v>4.82</v>
      </c>
      <c r="D575" t="s">
        <v>2370</v>
      </c>
      <c r="E575" t="s">
        <v>2370</v>
      </c>
      <c r="F575" t="s">
        <v>2370</v>
      </c>
      <c r="G575" t="s">
        <v>2371</v>
      </c>
      <c r="H575" t="s">
        <v>2372</v>
      </c>
    </row>
    <row r="576" spans="1:8" x14ac:dyDescent="0.35">
      <c r="A576" t="s">
        <v>1786</v>
      </c>
      <c r="B576">
        <v>27.36</v>
      </c>
      <c r="C576">
        <v>4.6500000000000004</v>
      </c>
      <c r="D576" t="s">
        <v>2370</v>
      </c>
      <c r="E576" t="s">
        <v>2372</v>
      </c>
      <c r="F576" t="s">
        <v>2370</v>
      </c>
      <c r="G576">
        <v>1</v>
      </c>
      <c r="H576" t="s">
        <v>2372</v>
      </c>
    </row>
    <row r="577" spans="1:8" x14ac:dyDescent="0.35">
      <c r="A577" t="s">
        <v>1785</v>
      </c>
      <c r="B577">
        <v>42.95</v>
      </c>
      <c r="C577">
        <v>5.16</v>
      </c>
      <c r="D577" t="s">
        <v>2372</v>
      </c>
      <c r="E577" t="s">
        <v>2370</v>
      </c>
      <c r="F577" t="s">
        <v>2370</v>
      </c>
      <c r="G577">
        <v>1</v>
      </c>
      <c r="H577" t="s">
        <v>2370</v>
      </c>
    </row>
    <row r="578" spans="1:8" x14ac:dyDescent="0.35">
      <c r="A578" t="s">
        <v>1784</v>
      </c>
      <c r="B578">
        <v>42.66</v>
      </c>
      <c r="C578">
        <v>10.44</v>
      </c>
      <c r="D578" t="s">
        <v>2370</v>
      </c>
      <c r="E578" t="s">
        <v>2370</v>
      </c>
      <c r="F578" t="s">
        <v>2370</v>
      </c>
      <c r="G578" t="s">
        <v>2371</v>
      </c>
      <c r="H578" t="s">
        <v>2370</v>
      </c>
    </row>
    <row r="579" spans="1:8" x14ac:dyDescent="0.35">
      <c r="A579" t="s">
        <v>1783</v>
      </c>
      <c r="B579">
        <v>33.630000000000003</v>
      </c>
      <c r="C579">
        <v>5.69</v>
      </c>
      <c r="D579" t="s">
        <v>2370</v>
      </c>
      <c r="E579" t="s">
        <v>2370</v>
      </c>
      <c r="F579" t="s">
        <v>2370</v>
      </c>
      <c r="G579">
        <v>1</v>
      </c>
      <c r="H579" t="s">
        <v>2370</v>
      </c>
    </row>
    <row r="580" spans="1:8" x14ac:dyDescent="0.35">
      <c r="A580" t="s">
        <v>1782</v>
      </c>
      <c r="B580">
        <v>26.84</v>
      </c>
      <c r="C580">
        <v>6.5</v>
      </c>
      <c r="D580" t="s">
        <v>2370</v>
      </c>
      <c r="E580" t="s">
        <v>2370</v>
      </c>
      <c r="F580" t="s">
        <v>2370</v>
      </c>
      <c r="G580" t="s">
        <v>2371</v>
      </c>
      <c r="H580" t="s">
        <v>2372</v>
      </c>
    </row>
    <row r="581" spans="1:8" x14ac:dyDescent="0.35">
      <c r="A581" t="s">
        <v>1781</v>
      </c>
      <c r="B581">
        <v>28.3</v>
      </c>
      <c r="C581">
        <v>5.73</v>
      </c>
      <c r="D581" t="s">
        <v>2370</v>
      </c>
      <c r="E581" t="s">
        <v>2370</v>
      </c>
      <c r="F581" t="s">
        <v>2373</v>
      </c>
      <c r="G581">
        <v>1</v>
      </c>
      <c r="H581" t="s">
        <v>2372</v>
      </c>
    </row>
    <row r="582" spans="1:8" x14ac:dyDescent="0.35">
      <c r="A582" t="s">
        <v>1780</v>
      </c>
      <c r="B582">
        <v>27.06</v>
      </c>
      <c r="C582">
        <v>5.74</v>
      </c>
      <c r="D582" t="s">
        <v>2372</v>
      </c>
      <c r="E582" t="s">
        <v>2370</v>
      </c>
      <c r="F582" t="s">
        <v>2370</v>
      </c>
      <c r="G582" t="s">
        <v>2371</v>
      </c>
      <c r="H582" t="s">
        <v>2372</v>
      </c>
    </row>
    <row r="583" spans="1:8" x14ac:dyDescent="0.35">
      <c r="A583" t="s">
        <v>1779</v>
      </c>
      <c r="B583">
        <v>47.13</v>
      </c>
      <c r="C583">
        <v>8.6999999999999993</v>
      </c>
      <c r="D583" t="s">
        <v>2370</v>
      </c>
      <c r="E583" t="s">
        <v>2370</v>
      </c>
      <c r="F583" t="s">
        <v>2370</v>
      </c>
      <c r="G583" t="s">
        <v>2371</v>
      </c>
      <c r="H583" t="s">
        <v>2370</v>
      </c>
    </row>
    <row r="584" spans="1:8" x14ac:dyDescent="0.35">
      <c r="A584" t="s">
        <v>1778</v>
      </c>
      <c r="B584">
        <v>51.72</v>
      </c>
      <c r="C584">
        <v>5.09</v>
      </c>
      <c r="D584" t="s">
        <v>2370</v>
      </c>
      <c r="E584" t="s">
        <v>2370</v>
      </c>
      <c r="F584" t="s">
        <v>2370</v>
      </c>
      <c r="G584" t="s">
        <v>2371</v>
      </c>
      <c r="H584" t="s">
        <v>2370</v>
      </c>
    </row>
    <row r="585" spans="1:8" x14ac:dyDescent="0.35">
      <c r="A585" t="s">
        <v>1777</v>
      </c>
      <c r="B585">
        <v>48.59</v>
      </c>
      <c r="C585">
        <v>5.57</v>
      </c>
      <c r="D585" t="s">
        <v>2370</v>
      </c>
      <c r="E585" t="s">
        <v>2370</v>
      </c>
      <c r="F585" t="s">
        <v>2370</v>
      </c>
      <c r="G585" t="s">
        <v>2371</v>
      </c>
      <c r="H585" t="s">
        <v>2370</v>
      </c>
    </row>
    <row r="586" spans="1:8" x14ac:dyDescent="0.35">
      <c r="A586" t="s">
        <v>1776</v>
      </c>
      <c r="B586">
        <v>45.18</v>
      </c>
      <c r="C586">
        <v>10.87</v>
      </c>
      <c r="D586" t="s">
        <v>2370</v>
      </c>
      <c r="E586" t="s">
        <v>2370</v>
      </c>
      <c r="F586" t="s">
        <v>2370</v>
      </c>
      <c r="G586" t="s">
        <v>2371</v>
      </c>
      <c r="H586" t="s">
        <v>2370</v>
      </c>
    </row>
    <row r="587" spans="1:8" x14ac:dyDescent="0.35">
      <c r="A587" t="s">
        <v>1775</v>
      </c>
      <c r="B587">
        <v>27.9</v>
      </c>
      <c r="C587">
        <v>6.02</v>
      </c>
      <c r="D587" t="s">
        <v>2370</v>
      </c>
      <c r="E587" t="s">
        <v>2370</v>
      </c>
      <c r="F587" t="s">
        <v>2373</v>
      </c>
      <c r="G587">
        <v>1</v>
      </c>
      <c r="H587" t="s">
        <v>2372</v>
      </c>
    </row>
    <row r="588" spans="1:8" x14ac:dyDescent="0.35">
      <c r="A588" t="s">
        <v>1774</v>
      </c>
      <c r="B588">
        <v>51.33</v>
      </c>
      <c r="C588">
        <v>7</v>
      </c>
      <c r="D588" t="s">
        <v>2370</v>
      </c>
      <c r="E588" t="s">
        <v>2370</v>
      </c>
      <c r="F588" t="s">
        <v>2370</v>
      </c>
      <c r="G588" t="s">
        <v>2371</v>
      </c>
      <c r="H588" t="s">
        <v>2370</v>
      </c>
    </row>
    <row r="589" spans="1:8" x14ac:dyDescent="0.35">
      <c r="A589" t="s">
        <v>1773</v>
      </c>
      <c r="B589">
        <v>30.59</v>
      </c>
      <c r="C589">
        <v>5.56</v>
      </c>
      <c r="D589" t="s">
        <v>2372</v>
      </c>
      <c r="E589" t="s">
        <v>2370</v>
      </c>
      <c r="F589" t="s">
        <v>2370</v>
      </c>
      <c r="G589">
        <v>1</v>
      </c>
      <c r="H589" t="s">
        <v>2370</v>
      </c>
    </row>
    <row r="590" spans="1:8" x14ac:dyDescent="0.35">
      <c r="A590" t="s">
        <v>1772</v>
      </c>
      <c r="B590">
        <v>39.229999999999997</v>
      </c>
      <c r="C590">
        <v>8.4499999999999993</v>
      </c>
      <c r="D590" t="s">
        <v>2370</v>
      </c>
      <c r="E590" t="s">
        <v>2370</v>
      </c>
      <c r="F590" t="s">
        <v>2370</v>
      </c>
      <c r="G590" t="s">
        <v>2371</v>
      </c>
      <c r="H590" t="s">
        <v>2370</v>
      </c>
    </row>
    <row r="591" spans="1:8" x14ac:dyDescent="0.35">
      <c r="A591" t="s">
        <v>1771</v>
      </c>
      <c r="B591">
        <v>19.094999999999999</v>
      </c>
      <c r="C591">
        <v>6.19</v>
      </c>
      <c r="D591" t="s">
        <v>2370</v>
      </c>
      <c r="E591" t="s">
        <v>2370</v>
      </c>
      <c r="F591" t="s">
        <v>2370</v>
      </c>
      <c r="G591" t="s">
        <v>2371</v>
      </c>
      <c r="H591" t="s">
        <v>2372</v>
      </c>
    </row>
    <row r="592" spans="1:8" x14ac:dyDescent="0.35">
      <c r="A592" t="s">
        <v>1770</v>
      </c>
      <c r="B592">
        <v>49.72</v>
      </c>
      <c r="C592">
        <v>7.71</v>
      </c>
      <c r="D592" t="s">
        <v>2370</v>
      </c>
      <c r="E592" t="s">
        <v>2370</v>
      </c>
      <c r="F592" t="s">
        <v>2370</v>
      </c>
      <c r="G592" t="s">
        <v>2371</v>
      </c>
      <c r="H592" t="s">
        <v>2370</v>
      </c>
    </row>
    <row r="593" spans="1:8" x14ac:dyDescent="0.35">
      <c r="A593" t="s">
        <v>1769</v>
      </c>
      <c r="B593">
        <v>21.754999999999999</v>
      </c>
      <c r="C593">
        <v>4.63</v>
      </c>
      <c r="D593" t="s">
        <v>2370</v>
      </c>
      <c r="E593" t="s">
        <v>2370</v>
      </c>
      <c r="F593" t="s">
        <v>2373</v>
      </c>
      <c r="G593">
        <v>1</v>
      </c>
      <c r="H593" t="s">
        <v>2372</v>
      </c>
    </row>
    <row r="594" spans="1:8" x14ac:dyDescent="0.35">
      <c r="A594" t="s">
        <v>1768</v>
      </c>
      <c r="B594">
        <v>48.39</v>
      </c>
      <c r="C594">
        <v>4.6100000000000003</v>
      </c>
      <c r="D594" t="s">
        <v>2370</v>
      </c>
      <c r="E594" t="s">
        <v>2370</v>
      </c>
      <c r="F594" t="s">
        <v>2370</v>
      </c>
      <c r="G594" t="s">
        <v>2371</v>
      </c>
      <c r="H594" t="s">
        <v>2370</v>
      </c>
    </row>
    <row r="595" spans="1:8" x14ac:dyDescent="0.35">
      <c r="A595" t="s">
        <v>1767</v>
      </c>
      <c r="B595">
        <v>47.15</v>
      </c>
      <c r="C595">
        <v>9.5299999999999994</v>
      </c>
      <c r="D595" t="s">
        <v>2372</v>
      </c>
      <c r="E595" t="s">
        <v>2370</v>
      </c>
      <c r="F595" t="s">
        <v>2370</v>
      </c>
      <c r="G595">
        <v>1</v>
      </c>
      <c r="H595" t="s">
        <v>2370</v>
      </c>
    </row>
    <row r="596" spans="1:8" x14ac:dyDescent="0.35">
      <c r="A596" t="s">
        <v>1766</v>
      </c>
      <c r="B596">
        <v>47.59</v>
      </c>
      <c r="C596">
        <v>11.43</v>
      </c>
      <c r="D596" t="s">
        <v>2372</v>
      </c>
      <c r="E596" t="s">
        <v>2370</v>
      </c>
      <c r="F596" t="s">
        <v>2370</v>
      </c>
      <c r="G596">
        <v>2</v>
      </c>
      <c r="H596" t="s">
        <v>2370</v>
      </c>
    </row>
    <row r="597" spans="1:8" x14ac:dyDescent="0.35">
      <c r="A597" t="s">
        <v>1765</v>
      </c>
      <c r="B597">
        <v>39.81</v>
      </c>
      <c r="C597">
        <v>7.65</v>
      </c>
      <c r="D597" t="s">
        <v>2372</v>
      </c>
      <c r="E597" t="s">
        <v>2370</v>
      </c>
      <c r="F597" t="s">
        <v>2373</v>
      </c>
      <c r="G597">
        <v>1</v>
      </c>
      <c r="H597" t="s">
        <v>2370</v>
      </c>
    </row>
    <row r="598" spans="1:8" x14ac:dyDescent="0.35">
      <c r="A598" t="s">
        <v>1764</v>
      </c>
      <c r="B598">
        <v>31.02</v>
      </c>
      <c r="C598">
        <v>5.87</v>
      </c>
      <c r="D598" t="s">
        <v>2372</v>
      </c>
      <c r="E598" t="s">
        <v>2370</v>
      </c>
      <c r="F598" t="s">
        <v>2370</v>
      </c>
      <c r="G598" t="s">
        <v>2371</v>
      </c>
      <c r="H598" t="s">
        <v>2370</v>
      </c>
    </row>
    <row r="599" spans="1:8" x14ac:dyDescent="0.35">
      <c r="A599" t="s">
        <v>1763</v>
      </c>
      <c r="B599">
        <v>24.75</v>
      </c>
      <c r="C599">
        <v>4.3600000000000003</v>
      </c>
      <c r="D599" t="s">
        <v>2372</v>
      </c>
      <c r="E599" t="s">
        <v>2370</v>
      </c>
      <c r="F599" t="s">
        <v>2370</v>
      </c>
      <c r="G599">
        <v>1</v>
      </c>
      <c r="H599" t="s">
        <v>2372</v>
      </c>
    </row>
    <row r="600" spans="1:8" x14ac:dyDescent="0.35">
      <c r="A600" t="s">
        <v>1762</v>
      </c>
      <c r="B600">
        <v>30.114999999999998</v>
      </c>
      <c r="C600">
        <v>10.119999999999999</v>
      </c>
      <c r="D600" t="s">
        <v>2370</v>
      </c>
      <c r="E600" t="s">
        <v>2370</v>
      </c>
      <c r="F600" t="s">
        <v>2370</v>
      </c>
      <c r="G600">
        <v>3</v>
      </c>
      <c r="H600" t="s">
        <v>2370</v>
      </c>
    </row>
    <row r="601" spans="1:8" x14ac:dyDescent="0.35">
      <c r="A601" t="s">
        <v>1761</v>
      </c>
      <c r="B601">
        <v>26.03</v>
      </c>
      <c r="C601">
        <v>4.01</v>
      </c>
      <c r="D601" t="s">
        <v>2370</v>
      </c>
      <c r="E601" t="s">
        <v>2370</v>
      </c>
      <c r="F601" t="s">
        <v>2373</v>
      </c>
      <c r="G601">
        <v>1</v>
      </c>
      <c r="H601" t="s">
        <v>2372</v>
      </c>
    </row>
    <row r="602" spans="1:8" x14ac:dyDescent="0.35">
      <c r="A602" t="s">
        <v>1760</v>
      </c>
      <c r="B602">
        <v>20.045000000000002</v>
      </c>
      <c r="C602">
        <v>4.7699999999999996</v>
      </c>
      <c r="D602" t="s">
        <v>2372</v>
      </c>
      <c r="E602" t="s">
        <v>2370</v>
      </c>
      <c r="F602" t="s">
        <v>2370</v>
      </c>
      <c r="G602">
        <v>1</v>
      </c>
      <c r="H602" t="s">
        <v>2372</v>
      </c>
    </row>
    <row r="603" spans="1:8" x14ac:dyDescent="0.35">
      <c r="A603" t="s">
        <v>1759</v>
      </c>
      <c r="B603">
        <v>40.24</v>
      </c>
      <c r="C603">
        <v>6.83</v>
      </c>
      <c r="D603" t="s">
        <v>2370</v>
      </c>
      <c r="E603" t="s">
        <v>2370</v>
      </c>
      <c r="F603" t="s">
        <v>2370</v>
      </c>
      <c r="G603" t="s">
        <v>2371</v>
      </c>
      <c r="H603" t="s">
        <v>2370</v>
      </c>
    </row>
    <row r="604" spans="1:8" x14ac:dyDescent="0.35">
      <c r="A604" t="s">
        <v>1758</v>
      </c>
      <c r="B604">
        <v>43.15</v>
      </c>
      <c r="C604">
        <v>6.14</v>
      </c>
      <c r="D604" t="s">
        <v>2372</v>
      </c>
      <c r="E604" t="s">
        <v>2370</v>
      </c>
      <c r="F604" t="s">
        <v>2373</v>
      </c>
      <c r="G604">
        <v>1</v>
      </c>
      <c r="H604" t="s">
        <v>2370</v>
      </c>
    </row>
    <row r="605" spans="1:8" x14ac:dyDescent="0.35">
      <c r="A605" t="s">
        <v>1757</v>
      </c>
      <c r="B605">
        <v>27.7</v>
      </c>
      <c r="C605">
        <v>5.6</v>
      </c>
      <c r="D605" t="s">
        <v>2370</v>
      </c>
      <c r="E605" t="s">
        <v>2370</v>
      </c>
      <c r="F605" t="s">
        <v>2373</v>
      </c>
      <c r="G605">
        <v>1</v>
      </c>
      <c r="H605" t="s">
        <v>2372</v>
      </c>
    </row>
    <row r="606" spans="1:8" x14ac:dyDescent="0.35">
      <c r="A606" t="s">
        <v>1756</v>
      </c>
      <c r="B606">
        <v>45.68</v>
      </c>
      <c r="C606">
        <v>4.8</v>
      </c>
      <c r="D606" t="s">
        <v>2370</v>
      </c>
      <c r="E606" t="s">
        <v>2370</v>
      </c>
      <c r="F606" t="s">
        <v>2370</v>
      </c>
      <c r="G606">
        <v>2</v>
      </c>
      <c r="H606" t="s">
        <v>2370</v>
      </c>
    </row>
    <row r="607" spans="1:8" x14ac:dyDescent="0.35">
      <c r="A607" t="s">
        <v>1755</v>
      </c>
      <c r="B607">
        <v>27.3</v>
      </c>
      <c r="C607">
        <v>11.89</v>
      </c>
      <c r="D607" t="s">
        <v>2370</v>
      </c>
      <c r="E607" t="s">
        <v>2370</v>
      </c>
      <c r="F607" t="s">
        <v>2370</v>
      </c>
      <c r="G607" t="s">
        <v>2371</v>
      </c>
      <c r="H607" t="s">
        <v>2372</v>
      </c>
    </row>
    <row r="608" spans="1:8" x14ac:dyDescent="0.35">
      <c r="A608" t="s">
        <v>1754</v>
      </c>
      <c r="B608">
        <v>54.45</v>
      </c>
      <c r="C608">
        <v>4.7300000000000004</v>
      </c>
      <c r="D608" t="s">
        <v>2372</v>
      </c>
      <c r="E608" t="s">
        <v>2370</v>
      </c>
      <c r="F608" t="s">
        <v>2370</v>
      </c>
      <c r="G608">
        <v>1</v>
      </c>
      <c r="H608" t="s">
        <v>2370</v>
      </c>
    </row>
    <row r="609" spans="1:8" x14ac:dyDescent="0.35">
      <c r="A609" t="s">
        <v>1753</v>
      </c>
      <c r="B609">
        <v>54.43</v>
      </c>
      <c r="C609">
        <v>4.6100000000000003</v>
      </c>
      <c r="D609" t="s">
        <v>2372</v>
      </c>
      <c r="E609" t="s">
        <v>2370</v>
      </c>
      <c r="F609" t="s">
        <v>2370</v>
      </c>
      <c r="G609">
        <v>1</v>
      </c>
      <c r="H609" t="s">
        <v>2370</v>
      </c>
    </row>
    <row r="610" spans="1:8" x14ac:dyDescent="0.35">
      <c r="A610" t="s">
        <v>1752</v>
      </c>
      <c r="B610">
        <v>48.01</v>
      </c>
      <c r="C610">
        <v>7.3</v>
      </c>
      <c r="D610" t="s">
        <v>2370</v>
      </c>
      <c r="E610" t="s">
        <v>2370</v>
      </c>
      <c r="F610" t="s">
        <v>2370</v>
      </c>
      <c r="G610" t="s">
        <v>2371</v>
      </c>
      <c r="H610" t="s">
        <v>2370</v>
      </c>
    </row>
    <row r="611" spans="1:8" x14ac:dyDescent="0.35">
      <c r="A611" t="s">
        <v>1751</v>
      </c>
      <c r="B611">
        <v>48.32</v>
      </c>
      <c r="C611">
        <v>5.88</v>
      </c>
      <c r="D611" t="s">
        <v>2370</v>
      </c>
      <c r="E611" t="s">
        <v>2370</v>
      </c>
      <c r="F611" t="s">
        <v>2370</v>
      </c>
      <c r="G611" t="s">
        <v>2371</v>
      </c>
      <c r="H611" t="s">
        <v>2370</v>
      </c>
    </row>
    <row r="612" spans="1:8" x14ac:dyDescent="0.35">
      <c r="A612" t="s">
        <v>1750</v>
      </c>
      <c r="B612">
        <v>22.895</v>
      </c>
      <c r="C612">
        <v>4.0599999999999996</v>
      </c>
      <c r="D612" t="s">
        <v>2370</v>
      </c>
      <c r="E612" t="s">
        <v>2370</v>
      </c>
      <c r="F612" t="s">
        <v>2373</v>
      </c>
      <c r="G612">
        <v>1</v>
      </c>
      <c r="H612" t="s">
        <v>2372</v>
      </c>
    </row>
    <row r="613" spans="1:8" x14ac:dyDescent="0.35">
      <c r="A613" t="s">
        <v>1749</v>
      </c>
      <c r="B613">
        <v>54.85</v>
      </c>
      <c r="C613">
        <v>4.9000000000000004</v>
      </c>
      <c r="D613" t="s">
        <v>2370</v>
      </c>
      <c r="E613" t="s">
        <v>2370</v>
      </c>
      <c r="F613" t="s">
        <v>2370</v>
      </c>
      <c r="G613">
        <v>1</v>
      </c>
      <c r="H613" t="s">
        <v>2370</v>
      </c>
    </row>
    <row r="614" spans="1:8" x14ac:dyDescent="0.35">
      <c r="A614" t="s">
        <v>1748</v>
      </c>
      <c r="B614">
        <v>21.85</v>
      </c>
      <c r="C614">
        <v>5.52</v>
      </c>
      <c r="D614" t="s">
        <v>2370</v>
      </c>
      <c r="E614" t="s">
        <v>2370</v>
      </c>
      <c r="F614" t="s">
        <v>2373</v>
      </c>
      <c r="G614">
        <v>1</v>
      </c>
      <c r="H614" t="s">
        <v>2372</v>
      </c>
    </row>
    <row r="615" spans="1:8" x14ac:dyDescent="0.35">
      <c r="A615" t="s">
        <v>1747</v>
      </c>
      <c r="B615">
        <v>51.86</v>
      </c>
      <c r="C615">
        <v>5.2</v>
      </c>
      <c r="D615" t="s">
        <v>2372</v>
      </c>
      <c r="E615" t="s">
        <v>2370</v>
      </c>
      <c r="F615" t="s">
        <v>2370</v>
      </c>
      <c r="G615" t="s">
        <v>2371</v>
      </c>
      <c r="H615" t="s">
        <v>2370</v>
      </c>
    </row>
    <row r="616" spans="1:8" x14ac:dyDescent="0.35">
      <c r="A616" t="s">
        <v>1746</v>
      </c>
      <c r="B616">
        <v>39.049999999999997</v>
      </c>
      <c r="C616">
        <v>7.59</v>
      </c>
      <c r="D616" t="s">
        <v>2370</v>
      </c>
      <c r="E616" t="s">
        <v>2370</v>
      </c>
      <c r="F616" t="s">
        <v>2370</v>
      </c>
      <c r="G616">
        <v>3</v>
      </c>
      <c r="H616" t="s">
        <v>2370</v>
      </c>
    </row>
    <row r="617" spans="1:8" x14ac:dyDescent="0.35">
      <c r="A617" t="s">
        <v>1745</v>
      </c>
      <c r="B617">
        <v>31.824999999999999</v>
      </c>
      <c r="C617">
        <v>8.2799999999999994</v>
      </c>
      <c r="D617" t="s">
        <v>2370</v>
      </c>
      <c r="E617" t="s">
        <v>2370</v>
      </c>
      <c r="F617" t="s">
        <v>2370</v>
      </c>
      <c r="G617">
        <v>3</v>
      </c>
      <c r="H617" t="s">
        <v>2370</v>
      </c>
    </row>
    <row r="618" spans="1:8" x14ac:dyDescent="0.35">
      <c r="A618" t="s">
        <v>1744</v>
      </c>
      <c r="B618">
        <v>46.43</v>
      </c>
      <c r="C618">
        <v>6.72</v>
      </c>
      <c r="D618" t="s">
        <v>2370</v>
      </c>
      <c r="E618" t="s">
        <v>2370</v>
      </c>
      <c r="F618" t="s">
        <v>2370</v>
      </c>
      <c r="G618" t="s">
        <v>2371</v>
      </c>
      <c r="H618" t="s">
        <v>2370</v>
      </c>
    </row>
    <row r="619" spans="1:8" x14ac:dyDescent="0.35">
      <c r="A619" t="s">
        <v>1743</v>
      </c>
      <c r="B619">
        <v>53.63</v>
      </c>
      <c r="C619">
        <v>5.47</v>
      </c>
      <c r="D619" t="s">
        <v>2372</v>
      </c>
      <c r="E619" t="s">
        <v>2370</v>
      </c>
      <c r="F619" t="s">
        <v>2370</v>
      </c>
      <c r="G619">
        <v>1</v>
      </c>
      <c r="H619" t="s">
        <v>2370</v>
      </c>
    </row>
    <row r="620" spans="1:8" x14ac:dyDescent="0.35">
      <c r="A620" t="s">
        <v>1742</v>
      </c>
      <c r="B620">
        <v>48.7</v>
      </c>
      <c r="C620">
        <v>4.71</v>
      </c>
      <c r="D620" t="s">
        <v>2370</v>
      </c>
      <c r="E620" t="s">
        <v>2370</v>
      </c>
      <c r="F620" t="s">
        <v>2370</v>
      </c>
      <c r="G620" t="s">
        <v>2371</v>
      </c>
      <c r="H620" t="s">
        <v>2370</v>
      </c>
    </row>
    <row r="621" spans="1:8" x14ac:dyDescent="0.35">
      <c r="A621" t="s">
        <v>1741</v>
      </c>
      <c r="B621">
        <v>48.81</v>
      </c>
      <c r="C621">
        <v>5.49</v>
      </c>
      <c r="D621" t="s">
        <v>2370</v>
      </c>
      <c r="E621" t="s">
        <v>2370</v>
      </c>
      <c r="F621" t="s">
        <v>2370</v>
      </c>
      <c r="G621" t="s">
        <v>2371</v>
      </c>
      <c r="H621" t="s">
        <v>2370</v>
      </c>
    </row>
    <row r="622" spans="1:8" x14ac:dyDescent="0.35">
      <c r="A622" t="s">
        <v>1740</v>
      </c>
      <c r="B622">
        <v>47.53</v>
      </c>
      <c r="C622">
        <v>4.72</v>
      </c>
      <c r="D622" t="s">
        <v>2370</v>
      </c>
      <c r="E622" t="s">
        <v>2370</v>
      </c>
      <c r="F622" t="s">
        <v>2370</v>
      </c>
      <c r="G622" t="s">
        <v>2371</v>
      </c>
      <c r="H622" t="s">
        <v>2370</v>
      </c>
    </row>
    <row r="623" spans="1:8" x14ac:dyDescent="0.35">
      <c r="A623" t="s">
        <v>1739</v>
      </c>
      <c r="B623">
        <v>36.85</v>
      </c>
      <c r="C623">
        <v>6.7</v>
      </c>
      <c r="D623" t="s">
        <v>2370</v>
      </c>
      <c r="E623" t="s">
        <v>2370</v>
      </c>
      <c r="F623" t="s">
        <v>2370</v>
      </c>
      <c r="G623" t="s">
        <v>2371</v>
      </c>
      <c r="H623" t="s">
        <v>2370</v>
      </c>
    </row>
    <row r="624" spans="1:8" x14ac:dyDescent="0.35">
      <c r="A624" t="s">
        <v>1738</v>
      </c>
      <c r="B624">
        <v>29.3</v>
      </c>
      <c r="C624">
        <v>5.5</v>
      </c>
      <c r="D624" t="s">
        <v>2370</v>
      </c>
      <c r="E624" t="s">
        <v>2370</v>
      </c>
      <c r="F624" t="s">
        <v>2370</v>
      </c>
      <c r="G624" t="s">
        <v>2371</v>
      </c>
      <c r="H624" t="s">
        <v>2370</v>
      </c>
    </row>
    <row r="625" spans="1:8" x14ac:dyDescent="0.35">
      <c r="A625" t="s">
        <v>1737</v>
      </c>
      <c r="B625">
        <v>19.3</v>
      </c>
      <c r="C625">
        <v>4.46</v>
      </c>
      <c r="D625" t="s">
        <v>2370</v>
      </c>
      <c r="E625" t="s">
        <v>2370</v>
      </c>
      <c r="F625" t="s">
        <v>2370</v>
      </c>
      <c r="G625">
        <v>1</v>
      </c>
      <c r="H625" t="s">
        <v>2372</v>
      </c>
    </row>
    <row r="626" spans="1:8" x14ac:dyDescent="0.35">
      <c r="A626" t="s">
        <v>1736</v>
      </c>
      <c r="B626">
        <v>24.13</v>
      </c>
      <c r="C626">
        <v>5.29</v>
      </c>
      <c r="D626" t="s">
        <v>2372</v>
      </c>
      <c r="E626" t="s">
        <v>2370</v>
      </c>
      <c r="F626" t="s">
        <v>2373</v>
      </c>
      <c r="G626">
        <v>1</v>
      </c>
      <c r="H626" t="s">
        <v>2372</v>
      </c>
    </row>
    <row r="627" spans="1:8" x14ac:dyDescent="0.35">
      <c r="A627" t="s">
        <v>1735</v>
      </c>
      <c r="B627">
        <v>46.7</v>
      </c>
      <c r="C627">
        <v>10.99</v>
      </c>
      <c r="D627" t="s">
        <v>2370</v>
      </c>
      <c r="E627" t="s">
        <v>2370</v>
      </c>
      <c r="F627" t="s">
        <v>2370</v>
      </c>
      <c r="G627" t="s">
        <v>2371</v>
      </c>
      <c r="H627" t="s">
        <v>2370</v>
      </c>
    </row>
    <row r="628" spans="1:8" x14ac:dyDescent="0.35">
      <c r="A628" t="s">
        <v>1734</v>
      </c>
      <c r="B628">
        <v>45.27</v>
      </c>
      <c r="C628">
        <v>5.2</v>
      </c>
      <c r="D628" t="s">
        <v>2372</v>
      </c>
      <c r="E628" t="s">
        <v>2370</v>
      </c>
      <c r="F628" t="s">
        <v>2370</v>
      </c>
      <c r="G628" t="s">
        <v>2371</v>
      </c>
      <c r="H628" t="s">
        <v>2370</v>
      </c>
    </row>
    <row r="629" spans="1:8" x14ac:dyDescent="0.35">
      <c r="A629" t="s">
        <v>1733</v>
      </c>
      <c r="B629">
        <v>44.29</v>
      </c>
      <c r="C629">
        <v>9.66</v>
      </c>
      <c r="D629" t="s">
        <v>2370</v>
      </c>
      <c r="E629" t="s">
        <v>2370</v>
      </c>
      <c r="F629" t="s">
        <v>2370</v>
      </c>
      <c r="G629">
        <v>2</v>
      </c>
      <c r="H629" t="s">
        <v>2370</v>
      </c>
    </row>
    <row r="630" spans="1:8" x14ac:dyDescent="0.35">
      <c r="A630" t="s">
        <v>1732</v>
      </c>
      <c r="B630">
        <v>54.59</v>
      </c>
      <c r="C630">
        <v>4.22</v>
      </c>
      <c r="D630" t="s">
        <v>2372</v>
      </c>
      <c r="E630" t="s">
        <v>2370</v>
      </c>
      <c r="F630" t="s">
        <v>2370</v>
      </c>
      <c r="G630">
        <v>1</v>
      </c>
      <c r="H630" t="s">
        <v>2370</v>
      </c>
    </row>
    <row r="631" spans="1:8" x14ac:dyDescent="0.35">
      <c r="A631" t="s">
        <v>1731</v>
      </c>
      <c r="B631">
        <v>32.965000000000003</v>
      </c>
      <c r="C631">
        <v>11.78</v>
      </c>
      <c r="D631" t="s">
        <v>2370</v>
      </c>
      <c r="E631" t="s">
        <v>2370</v>
      </c>
      <c r="F631" t="s">
        <v>2370</v>
      </c>
      <c r="G631" t="s">
        <v>2371</v>
      </c>
      <c r="H631" t="s">
        <v>2370</v>
      </c>
    </row>
    <row r="632" spans="1:8" x14ac:dyDescent="0.35">
      <c r="A632" t="s">
        <v>1730</v>
      </c>
      <c r="B632">
        <v>38.049999999999997</v>
      </c>
      <c r="C632">
        <v>9.6199999999999992</v>
      </c>
      <c r="D632" t="s">
        <v>2370</v>
      </c>
      <c r="E632" t="s">
        <v>2370</v>
      </c>
      <c r="F632" t="s">
        <v>2370</v>
      </c>
      <c r="G632" t="s">
        <v>2371</v>
      </c>
      <c r="H632" t="s">
        <v>2370</v>
      </c>
    </row>
    <row r="633" spans="1:8" x14ac:dyDescent="0.35">
      <c r="A633" t="s">
        <v>1729</v>
      </c>
      <c r="B633">
        <v>46.14</v>
      </c>
      <c r="C633">
        <v>10.78</v>
      </c>
      <c r="D633" t="s">
        <v>2370</v>
      </c>
      <c r="E633" t="s">
        <v>2370</v>
      </c>
      <c r="F633" t="s">
        <v>2370</v>
      </c>
      <c r="G633" t="s">
        <v>2371</v>
      </c>
      <c r="H633" t="s">
        <v>2370</v>
      </c>
    </row>
    <row r="634" spans="1:8" x14ac:dyDescent="0.35">
      <c r="A634" t="s">
        <v>1728</v>
      </c>
      <c r="B634">
        <v>41.325000000000003</v>
      </c>
      <c r="C634">
        <v>5.1100000000000003</v>
      </c>
      <c r="D634" t="s">
        <v>2372</v>
      </c>
      <c r="E634" t="s">
        <v>2370</v>
      </c>
      <c r="F634" t="s">
        <v>2370</v>
      </c>
      <c r="G634">
        <v>2</v>
      </c>
      <c r="H634" t="s">
        <v>2370</v>
      </c>
    </row>
    <row r="635" spans="1:8" x14ac:dyDescent="0.35">
      <c r="A635" t="s">
        <v>1727</v>
      </c>
      <c r="B635">
        <v>44.64</v>
      </c>
      <c r="C635">
        <v>7.18</v>
      </c>
      <c r="D635" t="s">
        <v>2370</v>
      </c>
      <c r="E635" t="s">
        <v>2370</v>
      </c>
      <c r="F635" t="s">
        <v>2370</v>
      </c>
      <c r="G635" t="s">
        <v>2371</v>
      </c>
      <c r="H635" t="s">
        <v>2370</v>
      </c>
    </row>
    <row r="636" spans="1:8" x14ac:dyDescent="0.35">
      <c r="A636" t="s">
        <v>1726</v>
      </c>
      <c r="B636">
        <v>25.175000000000001</v>
      </c>
      <c r="C636">
        <v>4.96</v>
      </c>
      <c r="D636" t="s">
        <v>2370</v>
      </c>
      <c r="E636" t="s">
        <v>2372</v>
      </c>
      <c r="F636" t="s">
        <v>2370</v>
      </c>
      <c r="G636">
        <v>1</v>
      </c>
      <c r="H636" t="s">
        <v>23</v>
      </c>
    </row>
    <row r="637" spans="1:8" x14ac:dyDescent="0.35">
      <c r="A637" t="s">
        <v>1725</v>
      </c>
      <c r="B637">
        <v>43.11</v>
      </c>
      <c r="C637">
        <v>4.67</v>
      </c>
      <c r="D637" t="s">
        <v>2372</v>
      </c>
      <c r="E637" t="s">
        <v>2370</v>
      </c>
      <c r="F637" t="s">
        <v>2370</v>
      </c>
      <c r="G637" t="s">
        <v>2371</v>
      </c>
      <c r="H637" t="s">
        <v>2370</v>
      </c>
    </row>
    <row r="638" spans="1:8" x14ac:dyDescent="0.35">
      <c r="A638" t="s">
        <v>1724</v>
      </c>
      <c r="B638">
        <v>53.32</v>
      </c>
      <c r="C638">
        <v>5.0599999999999996</v>
      </c>
      <c r="D638" t="s">
        <v>2370</v>
      </c>
      <c r="E638" t="s">
        <v>2370</v>
      </c>
      <c r="F638" t="s">
        <v>2370</v>
      </c>
      <c r="G638" t="s">
        <v>2371</v>
      </c>
      <c r="H638" t="s">
        <v>2370</v>
      </c>
    </row>
    <row r="639" spans="1:8" x14ac:dyDescent="0.35">
      <c r="A639" t="s">
        <v>1723</v>
      </c>
      <c r="B639">
        <v>38.04</v>
      </c>
      <c r="C639">
        <v>5.0199999999999996</v>
      </c>
      <c r="D639" t="s">
        <v>2372</v>
      </c>
      <c r="E639" t="s">
        <v>2370</v>
      </c>
      <c r="F639" t="s">
        <v>2370</v>
      </c>
      <c r="G639">
        <v>1</v>
      </c>
      <c r="H639" t="s">
        <v>2370</v>
      </c>
    </row>
    <row r="640" spans="1:8" x14ac:dyDescent="0.35">
      <c r="A640" t="s">
        <v>1722</v>
      </c>
      <c r="B640">
        <v>37.9</v>
      </c>
      <c r="C640">
        <v>7.76</v>
      </c>
      <c r="D640" t="s">
        <v>2370</v>
      </c>
      <c r="E640" t="s">
        <v>2370</v>
      </c>
      <c r="F640" t="s">
        <v>2370</v>
      </c>
      <c r="G640" t="s">
        <v>2371</v>
      </c>
      <c r="H640" t="s">
        <v>2370</v>
      </c>
    </row>
    <row r="641" spans="1:8" x14ac:dyDescent="0.35">
      <c r="A641" t="s">
        <v>1721</v>
      </c>
      <c r="B641">
        <v>39.6</v>
      </c>
      <c r="C641">
        <v>9.32</v>
      </c>
      <c r="D641" t="s">
        <v>2370</v>
      </c>
      <c r="E641" t="s">
        <v>2370</v>
      </c>
      <c r="F641" t="s">
        <v>2370</v>
      </c>
      <c r="G641" t="s">
        <v>2371</v>
      </c>
      <c r="H641" t="s">
        <v>2370</v>
      </c>
    </row>
    <row r="642" spans="1:8" x14ac:dyDescent="0.35">
      <c r="A642" t="s">
        <v>1720</v>
      </c>
      <c r="B642">
        <v>50.92</v>
      </c>
      <c r="C642">
        <v>5.31</v>
      </c>
      <c r="D642" t="s">
        <v>2372</v>
      </c>
      <c r="E642" t="s">
        <v>2370</v>
      </c>
      <c r="F642" t="s">
        <v>2370</v>
      </c>
      <c r="G642">
        <v>1</v>
      </c>
      <c r="H642" t="s">
        <v>2370</v>
      </c>
    </row>
    <row r="643" spans="1:8" x14ac:dyDescent="0.35">
      <c r="A643" t="s">
        <v>1719</v>
      </c>
      <c r="B643">
        <v>21.85</v>
      </c>
      <c r="C643">
        <v>5.56</v>
      </c>
      <c r="D643" t="s">
        <v>2372</v>
      </c>
      <c r="E643" t="s">
        <v>2370</v>
      </c>
      <c r="F643" t="s">
        <v>2370</v>
      </c>
      <c r="G643" t="s">
        <v>2371</v>
      </c>
      <c r="H643" t="s">
        <v>2372</v>
      </c>
    </row>
    <row r="644" spans="1:8" x14ac:dyDescent="0.35">
      <c r="A644" t="s">
        <v>1718</v>
      </c>
      <c r="B644">
        <v>36.08</v>
      </c>
      <c r="C644">
        <v>7.11</v>
      </c>
      <c r="D644" t="s">
        <v>2372</v>
      </c>
      <c r="E644" t="s">
        <v>2370</v>
      </c>
      <c r="F644" t="s">
        <v>2373</v>
      </c>
      <c r="G644">
        <v>1</v>
      </c>
      <c r="H644" t="s">
        <v>2370</v>
      </c>
    </row>
    <row r="645" spans="1:8" x14ac:dyDescent="0.35">
      <c r="A645" t="s">
        <v>1717</v>
      </c>
      <c r="B645">
        <v>40.44</v>
      </c>
      <c r="C645">
        <v>5.13</v>
      </c>
      <c r="D645" t="s">
        <v>2372</v>
      </c>
      <c r="E645" t="s">
        <v>2370</v>
      </c>
      <c r="F645" t="s">
        <v>2373</v>
      </c>
      <c r="G645">
        <v>1</v>
      </c>
      <c r="H645" t="s">
        <v>2370</v>
      </c>
    </row>
    <row r="646" spans="1:8" x14ac:dyDescent="0.35">
      <c r="A646" t="s">
        <v>1716</v>
      </c>
      <c r="B646">
        <v>38.094999999999999</v>
      </c>
      <c r="C646">
        <v>10.199999999999999</v>
      </c>
      <c r="D646" t="s">
        <v>2370</v>
      </c>
      <c r="E646" t="s">
        <v>2370</v>
      </c>
      <c r="F646" t="s">
        <v>2370</v>
      </c>
      <c r="G646" t="s">
        <v>2371</v>
      </c>
      <c r="H646" t="s">
        <v>2370</v>
      </c>
    </row>
    <row r="647" spans="1:8" x14ac:dyDescent="0.35">
      <c r="A647" t="s">
        <v>1715</v>
      </c>
      <c r="B647">
        <v>44.95</v>
      </c>
      <c r="C647">
        <v>10.4</v>
      </c>
      <c r="D647" t="s">
        <v>2370</v>
      </c>
      <c r="E647" t="s">
        <v>2370</v>
      </c>
      <c r="F647" t="s">
        <v>2370</v>
      </c>
      <c r="G647" t="s">
        <v>2371</v>
      </c>
      <c r="H647" t="s">
        <v>2370</v>
      </c>
    </row>
    <row r="648" spans="1:8" x14ac:dyDescent="0.35">
      <c r="A648" t="s">
        <v>1714</v>
      </c>
      <c r="B648">
        <v>35.54</v>
      </c>
      <c r="C648">
        <v>10.67</v>
      </c>
      <c r="D648" t="s">
        <v>2370</v>
      </c>
      <c r="E648" t="s">
        <v>2370</v>
      </c>
      <c r="F648" t="s">
        <v>2370</v>
      </c>
      <c r="G648" t="s">
        <v>2371</v>
      </c>
      <c r="H648" t="s">
        <v>2370</v>
      </c>
    </row>
    <row r="649" spans="1:8" x14ac:dyDescent="0.35">
      <c r="A649" t="s">
        <v>1713</v>
      </c>
      <c r="B649">
        <v>39.799999999999997</v>
      </c>
      <c r="C649">
        <v>4.6500000000000004</v>
      </c>
      <c r="D649" t="s">
        <v>2372</v>
      </c>
      <c r="E649" t="s">
        <v>2370</v>
      </c>
      <c r="F649" t="s">
        <v>2370</v>
      </c>
      <c r="G649">
        <v>2</v>
      </c>
      <c r="H649" t="s">
        <v>2370</v>
      </c>
    </row>
    <row r="650" spans="1:8" x14ac:dyDescent="0.35">
      <c r="A650" t="s">
        <v>1712</v>
      </c>
      <c r="B650">
        <v>33.659999999999997</v>
      </c>
      <c r="C650">
        <v>5.65</v>
      </c>
      <c r="D650" t="s">
        <v>2372</v>
      </c>
      <c r="E650" t="s">
        <v>2370</v>
      </c>
      <c r="F650" t="s">
        <v>2370</v>
      </c>
      <c r="G650">
        <v>2</v>
      </c>
      <c r="H650" t="s">
        <v>2370</v>
      </c>
    </row>
    <row r="651" spans="1:8" x14ac:dyDescent="0.35">
      <c r="A651" t="s">
        <v>1711</v>
      </c>
      <c r="B651">
        <v>35.5</v>
      </c>
      <c r="C651">
        <v>11.97</v>
      </c>
      <c r="D651" t="s">
        <v>2370</v>
      </c>
      <c r="E651" t="s">
        <v>2370</v>
      </c>
      <c r="F651" t="s">
        <v>2370</v>
      </c>
      <c r="G651" t="s">
        <v>2371</v>
      </c>
      <c r="H651" t="s">
        <v>2370</v>
      </c>
    </row>
    <row r="652" spans="1:8" x14ac:dyDescent="0.35">
      <c r="A652" t="s">
        <v>1710</v>
      </c>
      <c r="B652">
        <v>41.63</v>
      </c>
      <c r="C652">
        <v>6.71</v>
      </c>
      <c r="D652" t="s">
        <v>2370</v>
      </c>
      <c r="E652" t="s">
        <v>2370</v>
      </c>
      <c r="F652" t="s">
        <v>2370</v>
      </c>
      <c r="G652" t="s">
        <v>2371</v>
      </c>
      <c r="H652" t="s">
        <v>2370</v>
      </c>
    </row>
    <row r="653" spans="1:8" x14ac:dyDescent="0.35">
      <c r="A653" t="s">
        <v>1709</v>
      </c>
      <c r="B653">
        <v>46.49</v>
      </c>
      <c r="C653">
        <v>11.92</v>
      </c>
      <c r="D653" t="s">
        <v>2370</v>
      </c>
      <c r="E653" t="s">
        <v>2370</v>
      </c>
      <c r="F653" t="s">
        <v>2370</v>
      </c>
      <c r="G653" t="s">
        <v>2371</v>
      </c>
      <c r="H653" t="s">
        <v>2370</v>
      </c>
    </row>
    <row r="654" spans="1:8" x14ac:dyDescent="0.35">
      <c r="A654" t="s">
        <v>1708</v>
      </c>
      <c r="B654">
        <v>43.29</v>
      </c>
      <c r="C654">
        <v>5.35</v>
      </c>
      <c r="D654" t="s">
        <v>2370</v>
      </c>
      <c r="E654" t="s">
        <v>2370</v>
      </c>
      <c r="F654" t="s">
        <v>2370</v>
      </c>
      <c r="G654">
        <v>2</v>
      </c>
      <c r="H654" t="s">
        <v>2370</v>
      </c>
    </row>
    <row r="655" spans="1:8" x14ac:dyDescent="0.35">
      <c r="A655" t="s">
        <v>1707</v>
      </c>
      <c r="B655">
        <v>43.08</v>
      </c>
      <c r="C655">
        <v>8.9600000000000009</v>
      </c>
      <c r="D655" t="s">
        <v>2372</v>
      </c>
      <c r="E655" t="s">
        <v>2370</v>
      </c>
      <c r="F655" t="s">
        <v>2370</v>
      </c>
      <c r="G655">
        <v>1</v>
      </c>
      <c r="H655" t="s">
        <v>2370</v>
      </c>
    </row>
    <row r="656" spans="1:8" x14ac:dyDescent="0.35">
      <c r="A656" t="s">
        <v>1706</v>
      </c>
      <c r="B656">
        <v>39.07</v>
      </c>
      <c r="C656">
        <v>11.93</v>
      </c>
      <c r="D656" t="s">
        <v>2370</v>
      </c>
      <c r="E656" t="s">
        <v>2370</v>
      </c>
      <c r="F656" t="s">
        <v>2370</v>
      </c>
      <c r="G656" t="s">
        <v>2371</v>
      </c>
      <c r="H656" t="s">
        <v>2370</v>
      </c>
    </row>
    <row r="657" spans="1:8" x14ac:dyDescent="0.35">
      <c r="A657" t="s">
        <v>1705</v>
      </c>
      <c r="B657">
        <v>41.3</v>
      </c>
      <c r="C657">
        <v>9.59</v>
      </c>
      <c r="D657" t="s">
        <v>2370</v>
      </c>
      <c r="E657" t="s">
        <v>2370</v>
      </c>
      <c r="F657" t="s">
        <v>2370</v>
      </c>
      <c r="G657" t="s">
        <v>2371</v>
      </c>
      <c r="H657" t="s">
        <v>2370</v>
      </c>
    </row>
    <row r="658" spans="1:8" x14ac:dyDescent="0.35">
      <c r="A658" t="s">
        <v>1704</v>
      </c>
      <c r="B658">
        <v>42.95</v>
      </c>
      <c r="C658">
        <v>11.88</v>
      </c>
      <c r="D658" t="s">
        <v>2372</v>
      </c>
      <c r="E658" t="s">
        <v>2370</v>
      </c>
      <c r="F658" t="s">
        <v>2370</v>
      </c>
      <c r="G658">
        <v>2</v>
      </c>
      <c r="H658" t="s">
        <v>2370</v>
      </c>
    </row>
    <row r="659" spans="1:8" x14ac:dyDescent="0.35">
      <c r="A659" t="s">
        <v>1703</v>
      </c>
      <c r="B659">
        <v>46.96</v>
      </c>
      <c r="C659">
        <v>4.6399999999999997</v>
      </c>
      <c r="D659" t="s">
        <v>2370</v>
      </c>
      <c r="E659" t="s">
        <v>2370</v>
      </c>
      <c r="F659" t="s">
        <v>2373</v>
      </c>
      <c r="G659">
        <v>1</v>
      </c>
      <c r="H659" t="s">
        <v>2370</v>
      </c>
    </row>
    <row r="660" spans="1:8" x14ac:dyDescent="0.35">
      <c r="A660" t="s">
        <v>1702</v>
      </c>
      <c r="B660">
        <v>30.495000000000001</v>
      </c>
      <c r="C660">
        <v>9.5299999999999994</v>
      </c>
      <c r="D660" t="s">
        <v>2370</v>
      </c>
      <c r="E660" t="s">
        <v>2370</v>
      </c>
      <c r="F660" t="s">
        <v>2370</v>
      </c>
      <c r="G660" t="s">
        <v>2371</v>
      </c>
      <c r="H660" t="s">
        <v>2370</v>
      </c>
    </row>
    <row r="661" spans="1:8" x14ac:dyDescent="0.35">
      <c r="A661" t="s">
        <v>1701</v>
      </c>
      <c r="B661">
        <v>17.954999999999998</v>
      </c>
      <c r="C661">
        <v>5.29</v>
      </c>
      <c r="D661" t="s">
        <v>2372</v>
      </c>
      <c r="E661" t="s">
        <v>2370</v>
      </c>
      <c r="F661" t="s">
        <v>2370</v>
      </c>
      <c r="G661">
        <v>1</v>
      </c>
      <c r="H661" t="s">
        <v>2372</v>
      </c>
    </row>
    <row r="662" spans="1:8" x14ac:dyDescent="0.35">
      <c r="A662" t="s">
        <v>1700</v>
      </c>
      <c r="B662">
        <v>25.6</v>
      </c>
      <c r="C662">
        <v>10.95</v>
      </c>
      <c r="D662" t="s">
        <v>2370</v>
      </c>
      <c r="E662" t="s">
        <v>2370</v>
      </c>
      <c r="F662" t="s">
        <v>2370</v>
      </c>
      <c r="G662">
        <v>3</v>
      </c>
      <c r="H662" t="s">
        <v>2370</v>
      </c>
    </row>
    <row r="663" spans="1:8" x14ac:dyDescent="0.35">
      <c r="A663" t="s">
        <v>1699</v>
      </c>
      <c r="B663">
        <v>34.21</v>
      </c>
      <c r="C663">
        <v>9.17</v>
      </c>
      <c r="D663" t="s">
        <v>2370</v>
      </c>
      <c r="E663" t="s">
        <v>2370</v>
      </c>
      <c r="F663" t="s">
        <v>2370</v>
      </c>
      <c r="G663" t="s">
        <v>2371</v>
      </c>
      <c r="H663" t="s">
        <v>2370</v>
      </c>
    </row>
    <row r="664" spans="1:8" x14ac:dyDescent="0.35">
      <c r="A664" t="s">
        <v>1698</v>
      </c>
      <c r="B664">
        <v>39.74</v>
      </c>
      <c r="C664">
        <v>7.39</v>
      </c>
      <c r="D664" t="s">
        <v>2370</v>
      </c>
      <c r="E664" t="s">
        <v>2370</v>
      </c>
      <c r="F664" t="s">
        <v>2370</v>
      </c>
      <c r="G664" t="s">
        <v>2371</v>
      </c>
      <c r="H664" t="s">
        <v>2370</v>
      </c>
    </row>
    <row r="665" spans="1:8" x14ac:dyDescent="0.35">
      <c r="A665" t="s">
        <v>1697</v>
      </c>
      <c r="B665">
        <v>49.53</v>
      </c>
      <c r="C665">
        <v>9.1300000000000008</v>
      </c>
      <c r="D665" t="s">
        <v>2372</v>
      </c>
      <c r="E665" t="s">
        <v>2370</v>
      </c>
      <c r="F665" t="s">
        <v>2370</v>
      </c>
      <c r="G665" t="s">
        <v>2371</v>
      </c>
      <c r="H665" t="s">
        <v>2370</v>
      </c>
    </row>
    <row r="666" spans="1:8" x14ac:dyDescent="0.35">
      <c r="A666" t="s">
        <v>1696</v>
      </c>
      <c r="B666">
        <v>39.33</v>
      </c>
      <c r="C666">
        <v>10.4</v>
      </c>
      <c r="D666" t="s">
        <v>2370</v>
      </c>
      <c r="E666" t="s">
        <v>2370</v>
      </c>
      <c r="F666" t="s">
        <v>2370</v>
      </c>
      <c r="G666">
        <v>3</v>
      </c>
      <c r="H666" t="s">
        <v>2370</v>
      </c>
    </row>
    <row r="667" spans="1:8" x14ac:dyDescent="0.35">
      <c r="A667" t="s">
        <v>1695</v>
      </c>
      <c r="B667">
        <v>39.979999999999997</v>
      </c>
      <c r="C667">
        <v>9.4600000000000009</v>
      </c>
      <c r="D667" t="s">
        <v>2372</v>
      </c>
      <c r="E667" t="s">
        <v>2370</v>
      </c>
      <c r="F667" t="s">
        <v>2370</v>
      </c>
      <c r="G667">
        <v>2</v>
      </c>
      <c r="H667" t="s">
        <v>2370</v>
      </c>
    </row>
    <row r="668" spans="1:8" x14ac:dyDescent="0.35">
      <c r="A668" t="s">
        <v>1694</v>
      </c>
      <c r="B668">
        <v>46.51</v>
      </c>
      <c r="C668">
        <v>8.69</v>
      </c>
      <c r="D668" t="s">
        <v>2372</v>
      </c>
      <c r="E668" t="s">
        <v>2370</v>
      </c>
      <c r="F668" t="s">
        <v>2370</v>
      </c>
      <c r="G668" t="s">
        <v>2371</v>
      </c>
      <c r="H668" t="s">
        <v>2370</v>
      </c>
    </row>
    <row r="669" spans="1:8" x14ac:dyDescent="0.35">
      <c r="A669" t="s">
        <v>1693</v>
      </c>
      <c r="B669">
        <v>43.58</v>
      </c>
      <c r="C669">
        <v>4.2300000000000004</v>
      </c>
      <c r="D669" t="s">
        <v>2370</v>
      </c>
      <c r="E669" t="s">
        <v>2370</v>
      </c>
      <c r="F669" t="s">
        <v>2373</v>
      </c>
      <c r="G669">
        <v>1</v>
      </c>
      <c r="H669" t="s">
        <v>2370</v>
      </c>
    </row>
    <row r="670" spans="1:8" x14ac:dyDescent="0.35">
      <c r="A670" t="s">
        <v>1692</v>
      </c>
      <c r="B670">
        <v>42.28</v>
      </c>
      <c r="C670">
        <v>9.16</v>
      </c>
      <c r="D670" t="s">
        <v>2372</v>
      </c>
      <c r="E670" t="s">
        <v>2370</v>
      </c>
      <c r="F670" t="s">
        <v>2370</v>
      </c>
      <c r="G670">
        <v>1</v>
      </c>
      <c r="H670" t="s">
        <v>2370</v>
      </c>
    </row>
    <row r="671" spans="1:8" x14ac:dyDescent="0.35">
      <c r="A671" t="s">
        <v>1691</v>
      </c>
      <c r="B671">
        <v>35.520000000000003</v>
      </c>
      <c r="C671">
        <v>8.26</v>
      </c>
      <c r="D671" t="s">
        <v>2370</v>
      </c>
      <c r="E671" t="s">
        <v>2370</v>
      </c>
      <c r="F671" t="s">
        <v>2370</v>
      </c>
      <c r="G671" t="s">
        <v>2371</v>
      </c>
      <c r="H671" t="s">
        <v>2370</v>
      </c>
    </row>
    <row r="672" spans="1:8" x14ac:dyDescent="0.35">
      <c r="A672" t="s">
        <v>1690</v>
      </c>
      <c r="B672">
        <v>33.6</v>
      </c>
      <c r="C672">
        <v>11.25</v>
      </c>
      <c r="D672" t="s">
        <v>2370</v>
      </c>
      <c r="E672" t="s">
        <v>2370</v>
      </c>
      <c r="F672" t="s">
        <v>2370</v>
      </c>
      <c r="G672" t="s">
        <v>2371</v>
      </c>
      <c r="H672" t="s">
        <v>2370</v>
      </c>
    </row>
    <row r="673" spans="1:8" x14ac:dyDescent="0.35">
      <c r="A673" t="s">
        <v>1689</v>
      </c>
      <c r="B673">
        <v>22.42</v>
      </c>
      <c r="C673">
        <v>6.74</v>
      </c>
      <c r="D673" t="s">
        <v>2370</v>
      </c>
      <c r="E673" t="s">
        <v>2370</v>
      </c>
      <c r="F673" t="s">
        <v>2370</v>
      </c>
      <c r="G673" t="s">
        <v>2371</v>
      </c>
      <c r="H673" t="s">
        <v>2372</v>
      </c>
    </row>
    <row r="674" spans="1:8" x14ac:dyDescent="0.35">
      <c r="A674" t="s">
        <v>1688</v>
      </c>
      <c r="B674">
        <v>46.86</v>
      </c>
      <c r="C674">
        <v>4.87</v>
      </c>
      <c r="D674" t="s">
        <v>2370</v>
      </c>
      <c r="E674" t="s">
        <v>2370</v>
      </c>
      <c r="F674" t="s">
        <v>2370</v>
      </c>
      <c r="G674" t="s">
        <v>2371</v>
      </c>
      <c r="H674" t="s">
        <v>2370</v>
      </c>
    </row>
    <row r="675" spans="1:8" x14ac:dyDescent="0.35">
      <c r="A675" t="s">
        <v>1687</v>
      </c>
      <c r="B675">
        <v>32.965000000000003</v>
      </c>
      <c r="C675">
        <v>6.68</v>
      </c>
      <c r="D675" t="s">
        <v>2370</v>
      </c>
      <c r="E675" t="s">
        <v>2370</v>
      </c>
      <c r="F675" t="s">
        <v>2370</v>
      </c>
      <c r="G675">
        <v>3</v>
      </c>
      <c r="H675" t="s">
        <v>2370</v>
      </c>
    </row>
    <row r="676" spans="1:8" x14ac:dyDescent="0.35">
      <c r="A676" t="s">
        <v>1686</v>
      </c>
      <c r="B676">
        <v>39.340000000000003</v>
      </c>
      <c r="C676">
        <v>5.0199999999999996</v>
      </c>
      <c r="D676" t="s">
        <v>2372</v>
      </c>
      <c r="E676" t="s">
        <v>2370</v>
      </c>
      <c r="F676" t="s">
        <v>2373</v>
      </c>
      <c r="G676">
        <v>1</v>
      </c>
      <c r="H676" t="s">
        <v>2370</v>
      </c>
    </row>
    <row r="677" spans="1:8" x14ac:dyDescent="0.35">
      <c r="A677" t="s">
        <v>1685</v>
      </c>
      <c r="B677">
        <v>47</v>
      </c>
      <c r="C677">
        <v>10.64</v>
      </c>
      <c r="D677" t="s">
        <v>2372</v>
      </c>
      <c r="E677" t="s">
        <v>2370</v>
      </c>
      <c r="F677" t="s">
        <v>2370</v>
      </c>
      <c r="G677" t="s">
        <v>2371</v>
      </c>
      <c r="H677" t="s">
        <v>2370</v>
      </c>
    </row>
    <row r="678" spans="1:8" x14ac:dyDescent="0.35">
      <c r="A678" t="s">
        <v>1684</v>
      </c>
      <c r="B678">
        <v>36.71</v>
      </c>
      <c r="C678">
        <v>8.74</v>
      </c>
      <c r="D678" t="s">
        <v>2372</v>
      </c>
      <c r="E678" t="s">
        <v>2370</v>
      </c>
      <c r="F678" t="s">
        <v>2370</v>
      </c>
      <c r="G678" t="s">
        <v>2371</v>
      </c>
      <c r="H678" t="s">
        <v>2370</v>
      </c>
    </row>
    <row r="679" spans="1:8" x14ac:dyDescent="0.35">
      <c r="A679" t="s">
        <v>1683</v>
      </c>
      <c r="B679">
        <v>53.48</v>
      </c>
      <c r="C679">
        <v>5.64</v>
      </c>
      <c r="D679" t="s">
        <v>2370</v>
      </c>
      <c r="E679" t="s">
        <v>2370</v>
      </c>
      <c r="F679" t="s">
        <v>2370</v>
      </c>
      <c r="G679" t="s">
        <v>2371</v>
      </c>
      <c r="H679" t="s">
        <v>2370</v>
      </c>
    </row>
    <row r="680" spans="1:8" x14ac:dyDescent="0.35">
      <c r="A680" t="s">
        <v>1682</v>
      </c>
      <c r="B680">
        <v>35.5</v>
      </c>
      <c r="C680">
        <v>10.37</v>
      </c>
      <c r="D680" t="s">
        <v>2370</v>
      </c>
      <c r="E680" t="s">
        <v>2370</v>
      </c>
      <c r="F680" t="s">
        <v>2370</v>
      </c>
      <c r="G680" t="s">
        <v>2371</v>
      </c>
      <c r="H680" t="s">
        <v>2370</v>
      </c>
    </row>
    <row r="681" spans="1:8" x14ac:dyDescent="0.35">
      <c r="A681" t="s">
        <v>1681</v>
      </c>
      <c r="B681">
        <v>36.979999999999997</v>
      </c>
      <c r="C681">
        <v>9.56</v>
      </c>
      <c r="D681" t="s">
        <v>2372</v>
      </c>
      <c r="E681" t="s">
        <v>2370</v>
      </c>
      <c r="F681" t="s">
        <v>2370</v>
      </c>
      <c r="G681" t="s">
        <v>2371</v>
      </c>
      <c r="H681" t="s">
        <v>2370</v>
      </c>
    </row>
    <row r="682" spans="1:8" x14ac:dyDescent="0.35">
      <c r="A682" t="s">
        <v>1680</v>
      </c>
      <c r="B682">
        <v>32.395000000000003</v>
      </c>
      <c r="C682">
        <v>8.23</v>
      </c>
      <c r="D682" t="s">
        <v>2372</v>
      </c>
      <c r="E682" t="s">
        <v>2370</v>
      </c>
      <c r="F682" t="s">
        <v>2373</v>
      </c>
      <c r="G682">
        <v>1</v>
      </c>
      <c r="H682" t="s">
        <v>2370</v>
      </c>
    </row>
    <row r="683" spans="1:8" x14ac:dyDescent="0.35">
      <c r="A683" t="s">
        <v>1679</v>
      </c>
      <c r="B683">
        <v>32.729999999999997</v>
      </c>
      <c r="C683">
        <v>7.03</v>
      </c>
      <c r="D683" t="s">
        <v>2370</v>
      </c>
      <c r="E683" t="s">
        <v>2370</v>
      </c>
      <c r="F683" t="s">
        <v>2370</v>
      </c>
      <c r="G683" t="s">
        <v>2371</v>
      </c>
      <c r="H683" t="s">
        <v>2370</v>
      </c>
    </row>
    <row r="684" spans="1:8" x14ac:dyDescent="0.35">
      <c r="A684" t="s">
        <v>1678</v>
      </c>
      <c r="B684">
        <v>20.52</v>
      </c>
      <c r="C684">
        <v>5.45</v>
      </c>
      <c r="D684" t="s">
        <v>2370</v>
      </c>
      <c r="E684" t="s">
        <v>2370</v>
      </c>
      <c r="F684" t="s">
        <v>2370</v>
      </c>
      <c r="G684">
        <v>1</v>
      </c>
      <c r="H684" t="s">
        <v>2372</v>
      </c>
    </row>
    <row r="685" spans="1:8" x14ac:dyDescent="0.35">
      <c r="A685" t="s">
        <v>1677</v>
      </c>
      <c r="B685">
        <v>51.72</v>
      </c>
      <c r="C685">
        <v>5.76</v>
      </c>
      <c r="D685" t="s">
        <v>2370</v>
      </c>
      <c r="E685" t="s">
        <v>2370</v>
      </c>
      <c r="F685" t="s">
        <v>2370</v>
      </c>
      <c r="G685" t="s">
        <v>2371</v>
      </c>
      <c r="H685" t="s">
        <v>2370</v>
      </c>
    </row>
    <row r="686" spans="1:8" x14ac:dyDescent="0.35">
      <c r="A686" t="s">
        <v>1676</v>
      </c>
      <c r="B686">
        <v>50.2</v>
      </c>
      <c r="C686">
        <v>5.4</v>
      </c>
      <c r="D686" t="s">
        <v>2370</v>
      </c>
      <c r="E686" t="s">
        <v>2370</v>
      </c>
      <c r="F686" t="s">
        <v>2370</v>
      </c>
      <c r="G686" t="s">
        <v>2371</v>
      </c>
      <c r="H686" t="s">
        <v>2370</v>
      </c>
    </row>
    <row r="687" spans="1:8" x14ac:dyDescent="0.35">
      <c r="A687" t="s">
        <v>1675</v>
      </c>
      <c r="B687">
        <v>25.52</v>
      </c>
      <c r="C687">
        <v>6.35</v>
      </c>
      <c r="D687" t="s">
        <v>2370</v>
      </c>
      <c r="E687" t="s">
        <v>2370</v>
      </c>
      <c r="F687" t="s">
        <v>2373</v>
      </c>
      <c r="G687">
        <v>1</v>
      </c>
      <c r="H687" t="s">
        <v>2370</v>
      </c>
    </row>
    <row r="688" spans="1:8" x14ac:dyDescent="0.35">
      <c r="A688" t="s">
        <v>1674</v>
      </c>
      <c r="B688">
        <v>35.200000000000003</v>
      </c>
      <c r="C688">
        <v>6.26</v>
      </c>
      <c r="D688" t="s">
        <v>2372</v>
      </c>
      <c r="E688" t="s">
        <v>2370</v>
      </c>
      <c r="F688" t="s">
        <v>2370</v>
      </c>
      <c r="G688">
        <v>2</v>
      </c>
      <c r="H688" t="s">
        <v>2370</v>
      </c>
    </row>
    <row r="689" spans="1:8" x14ac:dyDescent="0.35">
      <c r="A689" t="s">
        <v>1673</v>
      </c>
      <c r="B689">
        <v>41.26</v>
      </c>
      <c r="C689">
        <v>5.97</v>
      </c>
      <c r="D689" t="s">
        <v>2372</v>
      </c>
      <c r="E689" t="s">
        <v>2370</v>
      </c>
      <c r="F689" t="s">
        <v>2370</v>
      </c>
      <c r="G689" t="s">
        <v>2371</v>
      </c>
      <c r="H689" t="s">
        <v>2370</v>
      </c>
    </row>
    <row r="690" spans="1:8" x14ac:dyDescent="0.35">
      <c r="A690" t="s">
        <v>1672</v>
      </c>
      <c r="B690">
        <v>17.195</v>
      </c>
      <c r="C690">
        <v>5.29</v>
      </c>
      <c r="D690" t="s">
        <v>2372</v>
      </c>
      <c r="E690" t="s">
        <v>2370</v>
      </c>
      <c r="F690" t="s">
        <v>2370</v>
      </c>
      <c r="G690" t="s">
        <v>2371</v>
      </c>
      <c r="H690" t="s">
        <v>2372</v>
      </c>
    </row>
    <row r="691" spans="1:8" x14ac:dyDescent="0.35">
      <c r="A691" t="s">
        <v>1671</v>
      </c>
      <c r="B691">
        <v>23.085000000000001</v>
      </c>
      <c r="C691">
        <v>4.2699999999999996</v>
      </c>
      <c r="D691" t="s">
        <v>2372</v>
      </c>
      <c r="E691" t="s">
        <v>2370</v>
      </c>
      <c r="F691" t="s">
        <v>2370</v>
      </c>
      <c r="G691">
        <v>2</v>
      </c>
      <c r="H691" t="s">
        <v>2370</v>
      </c>
    </row>
    <row r="692" spans="1:8" x14ac:dyDescent="0.35">
      <c r="A692" t="s">
        <v>1670</v>
      </c>
      <c r="B692">
        <v>21.66</v>
      </c>
      <c r="C692">
        <v>5.2</v>
      </c>
      <c r="D692" t="s">
        <v>2372</v>
      </c>
      <c r="E692" t="s">
        <v>2370</v>
      </c>
      <c r="F692" t="s">
        <v>2370</v>
      </c>
      <c r="G692">
        <v>2</v>
      </c>
      <c r="H692" t="s">
        <v>2370</v>
      </c>
    </row>
    <row r="693" spans="1:8" x14ac:dyDescent="0.35">
      <c r="A693" t="s">
        <v>1669</v>
      </c>
      <c r="B693">
        <v>36.47</v>
      </c>
      <c r="C693">
        <v>8.23</v>
      </c>
      <c r="D693" t="s">
        <v>2372</v>
      </c>
      <c r="E693" t="s">
        <v>2370</v>
      </c>
      <c r="F693" t="s">
        <v>2370</v>
      </c>
      <c r="G693" t="s">
        <v>2371</v>
      </c>
      <c r="H693" t="s">
        <v>2370</v>
      </c>
    </row>
    <row r="694" spans="1:8" x14ac:dyDescent="0.35">
      <c r="A694" t="s">
        <v>1668</v>
      </c>
      <c r="B694">
        <v>36.08</v>
      </c>
      <c r="C694">
        <v>10.33</v>
      </c>
      <c r="D694" t="s">
        <v>2372</v>
      </c>
      <c r="E694" t="s">
        <v>2370</v>
      </c>
      <c r="F694" t="s">
        <v>2370</v>
      </c>
      <c r="G694" t="s">
        <v>2371</v>
      </c>
      <c r="H694" t="s">
        <v>2370</v>
      </c>
    </row>
    <row r="695" spans="1:8" x14ac:dyDescent="0.35">
      <c r="A695" t="s">
        <v>1667</v>
      </c>
      <c r="B695">
        <v>23.18</v>
      </c>
      <c r="C695">
        <v>6.13</v>
      </c>
      <c r="D695" t="s">
        <v>2370</v>
      </c>
      <c r="E695" t="s">
        <v>2370</v>
      </c>
      <c r="F695" t="s">
        <v>2370</v>
      </c>
      <c r="G695" t="s">
        <v>2371</v>
      </c>
      <c r="H695" t="s">
        <v>2370</v>
      </c>
    </row>
    <row r="696" spans="1:8" x14ac:dyDescent="0.35">
      <c r="A696" t="s">
        <v>1666</v>
      </c>
      <c r="B696">
        <v>39.159999999999997</v>
      </c>
      <c r="C696">
        <v>8.08</v>
      </c>
      <c r="D696" t="s">
        <v>2370</v>
      </c>
      <c r="E696" t="s">
        <v>2370</v>
      </c>
      <c r="F696" t="s">
        <v>2370</v>
      </c>
      <c r="G696">
        <v>3</v>
      </c>
      <c r="H696" t="s">
        <v>2370</v>
      </c>
    </row>
    <row r="697" spans="1:8" x14ac:dyDescent="0.35">
      <c r="A697" t="s">
        <v>1665</v>
      </c>
      <c r="B697">
        <v>38.19</v>
      </c>
      <c r="C697">
        <v>10.49</v>
      </c>
      <c r="D697" t="s">
        <v>2370</v>
      </c>
      <c r="E697" t="s">
        <v>2370</v>
      </c>
      <c r="F697" t="s">
        <v>2370</v>
      </c>
      <c r="G697">
        <v>3</v>
      </c>
      <c r="H697" t="s">
        <v>2370</v>
      </c>
    </row>
    <row r="698" spans="1:8" x14ac:dyDescent="0.35">
      <c r="A698" t="s">
        <v>1664</v>
      </c>
      <c r="B698">
        <v>26.41</v>
      </c>
      <c r="C698">
        <v>8.11</v>
      </c>
      <c r="D698" t="s">
        <v>2370</v>
      </c>
      <c r="E698" t="s">
        <v>2370</v>
      </c>
      <c r="F698" t="s">
        <v>2370</v>
      </c>
      <c r="G698">
        <v>3</v>
      </c>
      <c r="H698" t="s">
        <v>2370</v>
      </c>
    </row>
    <row r="699" spans="1:8" x14ac:dyDescent="0.35">
      <c r="A699" t="s">
        <v>1663</v>
      </c>
      <c r="B699">
        <v>28.785</v>
      </c>
      <c r="C699">
        <v>6.6</v>
      </c>
      <c r="D699" t="s">
        <v>2370</v>
      </c>
      <c r="E699" t="s">
        <v>2370</v>
      </c>
      <c r="F699" t="s">
        <v>2370</v>
      </c>
      <c r="G699" t="s">
        <v>2371</v>
      </c>
      <c r="H699" t="s">
        <v>2370</v>
      </c>
    </row>
    <row r="700" spans="1:8" x14ac:dyDescent="0.35">
      <c r="A700" t="s">
        <v>1662</v>
      </c>
      <c r="B700">
        <v>26.695</v>
      </c>
      <c r="C700">
        <v>10.14</v>
      </c>
      <c r="D700" t="s">
        <v>2372</v>
      </c>
      <c r="E700" t="s">
        <v>2370</v>
      </c>
      <c r="F700" t="s">
        <v>2373</v>
      </c>
      <c r="G700">
        <v>1</v>
      </c>
      <c r="H700" t="s">
        <v>2370</v>
      </c>
    </row>
    <row r="701" spans="1:8" x14ac:dyDescent="0.35">
      <c r="A701" t="s">
        <v>1661</v>
      </c>
      <c r="B701">
        <v>32.799999999999997</v>
      </c>
      <c r="C701">
        <v>6.06</v>
      </c>
      <c r="D701" t="s">
        <v>2372</v>
      </c>
      <c r="E701" t="s">
        <v>2370</v>
      </c>
      <c r="F701" t="s">
        <v>2370</v>
      </c>
      <c r="G701">
        <v>1</v>
      </c>
      <c r="H701" t="s">
        <v>2370</v>
      </c>
    </row>
    <row r="702" spans="1:8" x14ac:dyDescent="0.35">
      <c r="A702" t="s">
        <v>1660</v>
      </c>
      <c r="B702">
        <v>35.869999999999997</v>
      </c>
      <c r="C702">
        <v>9.91</v>
      </c>
      <c r="D702" t="s">
        <v>2372</v>
      </c>
      <c r="E702" t="s">
        <v>2370</v>
      </c>
      <c r="F702" t="s">
        <v>2370</v>
      </c>
      <c r="G702" t="s">
        <v>2371</v>
      </c>
      <c r="H702" t="s">
        <v>2370</v>
      </c>
    </row>
    <row r="703" spans="1:8" x14ac:dyDescent="0.35">
      <c r="A703" t="s">
        <v>1659</v>
      </c>
      <c r="B703">
        <v>21.66</v>
      </c>
      <c r="C703">
        <v>4.1399999999999997</v>
      </c>
      <c r="D703" t="s">
        <v>2372</v>
      </c>
      <c r="E703" t="s">
        <v>2370</v>
      </c>
      <c r="F703" t="s">
        <v>2370</v>
      </c>
      <c r="G703">
        <v>2</v>
      </c>
      <c r="H703" t="s">
        <v>2370</v>
      </c>
    </row>
    <row r="704" spans="1:8" x14ac:dyDescent="0.35">
      <c r="A704" t="s">
        <v>1658</v>
      </c>
      <c r="B704">
        <v>37.72</v>
      </c>
      <c r="C704">
        <v>4.38</v>
      </c>
      <c r="D704" t="s">
        <v>2372</v>
      </c>
      <c r="E704" t="s">
        <v>2370</v>
      </c>
      <c r="F704" t="s">
        <v>2373</v>
      </c>
      <c r="G704">
        <v>1</v>
      </c>
      <c r="H704" t="s">
        <v>2370</v>
      </c>
    </row>
    <row r="705" spans="1:8" x14ac:dyDescent="0.35">
      <c r="A705" t="s">
        <v>1657</v>
      </c>
      <c r="B705">
        <v>39.700000000000003</v>
      </c>
      <c r="C705">
        <v>9.83</v>
      </c>
      <c r="D705" t="s">
        <v>2370</v>
      </c>
      <c r="E705" t="s">
        <v>2370</v>
      </c>
      <c r="F705" t="s">
        <v>2370</v>
      </c>
      <c r="G705">
        <v>3</v>
      </c>
      <c r="H705" t="s">
        <v>2370</v>
      </c>
    </row>
    <row r="706" spans="1:8" x14ac:dyDescent="0.35">
      <c r="A706" t="s">
        <v>1656</v>
      </c>
      <c r="B706">
        <v>35.97</v>
      </c>
      <c r="C706">
        <v>11.08</v>
      </c>
      <c r="D706" t="s">
        <v>2370</v>
      </c>
      <c r="E706" t="s">
        <v>2370</v>
      </c>
      <c r="F706" t="s">
        <v>2370</v>
      </c>
      <c r="G706">
        <v>3</v>
      </c>
      <c r="H706" t="s">
        <v>2370</v>
      </c>
    </row>
    <row r="707" spans="1:8" x14ac:dyDescent="0.35">
      <c r="A707" t="s">
        <v>1655</v>
      </c>
      <c r="B707">
        <v>37.85</v>
      </c>
      <c r="C707">
        <v>11.01</v>
      </c>
      <c r="D707" t="s">
        <v>2370</v>
      </c>
      <c r="E707" t="s">
        <v>2370</v>
      </c>
      <c r="F707" t="s">
        <v>2370</v>
      </c>
      <c r="G707" t="s">
        <v>2371</v>
      </c>
      <c r="H707" t="s">
        <v>2370</v>
      </c>
    </row>
    <row r="708" spans="1:8" x14ac:dyDescent="0.35">
      <c r="A708" t="s">
        <v>1654</v>
      </c>
      <c r="B708">
        <v>21.66</v>
      </c>
      <c r="C708">
        <v>4.37</v>
      </c>
      <c r="D708" t="s">
        <v>2370</v>
      </c>
      <c r="E708" t="s">
        <v>2372</v>
      </c>
      <c r="F708" t="s">
        <v>2370</v>
      </c>
      <c r="G708">
        <v>1</v>
      </c>
      <c r="H708" t="s">
        <v>2372</v>
      </c>
    </row>
    <row r="709" spans="1:8" x14ac:dyDescent="0.35">
      <c r="A709" t="s">
        <v>1653</v>
      </c>
      <c r="B709">
        <v>39.369999999999997</v>
      </c>
      <c r="C709">
        <v>5.91</v>
      </c>
      <c r="D709" t="s">
        <v>2370</v>
      </c>
      <c r="E709" t="s">
        <v>2370</v>
      </c>
      <c r="F709" t="s">
        <v>2370</v>
      </c>
      <c r="G709">
        <v>2</v>
      </c>
      <c r="H709" t="s">
        <v>2370</v>
      </c>
    </row>
    <row r="710" spans="1:8" x14ac:dyDescent="0.35">
      <c r="A710" t="s">
        <v>1652</v>
      </c>
      <c r="B710">
        <v>40.880000000000003</v>
      </c>
      <c r="C710">
        <v>7.65</v>
      </c>
      <c r="D710" t="s">
        <v>2370</v>
      </c>
      <c r="E710" t="s">
        <v>2370</v>
      </c>
      <c r="F710" t="s">
        <v>2370</v>
      </c>
      <c r="G710" t="s">
        <v>2371</v>
      </c>
      <c r="H710" t="s">
        <v>2370</v>
      </c>
    </row>
    <row r="711" spans="1:8" x14ac:dyDescent="0.35">
      <c r="A711" t="s">
        <v>1651</v>
      </c>
      <c r="B711">
        <v>26.22</v>
      </c>
      <c r="C711">
        <v>5.37</v>
      </c>
      <c r="D711" t="s">
        <v>2372</v>
      </c>
      <c r="E711" t="s">
        <v>2370</v>
      </c>
      <c r="F711" t="s">
        <v>2370</v>
      </c>
      <c r="G711">
        <v>2</v>
      </c>
      <c r="H711" t="s">
        <v>2370</v>
      </c>
    </row>
    <row r="712" spans="1:8" x14ac:dyDescent="0.35">
      <c r="A712" t="s">
        <v>1650</v>
      </c>
      <c r="B712">
        <v>25.08</v>
      </c>
      <c r="C712">
        <v>5.75</v>
      </c>
      <c r="D712" t="s">
        <v>2372</v>
      </c>
      <c r="E712" t="s">
        <v>2370</v>
      </c>
      <c r="F712" t="s">
        <v>2370</v>
      </c>
      <c r="G712">
        <v>2</v>
      </c>
      <c r="H712" t="s">
        <v>2370</v>
      </c>
    </row>
    <row r="713" spans="1:8" x14ac:dyDescent="0.35">
      <c r="A713" t="s">
        <v>1649</v>
      </c>
      <c r="B713">
        <v>39.1</v>
      </c>
      <c r="C713">
        <v>6.79</v>
      </c>
      <c r="D713" t="s">
        <v>2372</v>
      </c>
      <c r="E713" t="s">
        <v>2370</v>
      </c>
      <c r="F713" t="s">
        <v>2370</v>
      </c>
      <c r="G713">
        <v>2</v>
      </c>
      <c r="H713" t="s">
        <v>2370</v>
      </c>
    </row>
    <row r="714" spans="1:8" x14ac:dyDescent="0.35">
      <c r="A714" t="s">
        <v>1648</v>
      </c>
      <c r="B714">
        <v>37.905000000000001</v>
      </c>
      <c r="C714">
        <v>7.03</v>
      </c>
      <c r="D714" t="s">
        <v>2370</v>
      </c>
      <c r="E714" t="s">
        <v>2370</v>
      </c>
      <c r="F714" t="s">
        <v>2370</v>
      </c>
      <c r="G714">
        <v>3</v>
      </c>
      <c r="H714" t="s">
        <v>2370</v>
      </c>
    </row>
    <row r="715" spans="1:8" x14ac:dyDescent="0.35">
      <c r="A715" t="s">
        <v>1647</v>
      </c>
      <c r="B715">
        <v>43.35</v>
      </c>
      <c r="C715">
        <v>5.41</v>
      </c>
      <c r="D715" t="s">
        <v>2372</v>
      </c>
      <c r="E715" t="s">
        <v>2370</v>
      </c>
      <c r="F715" t="s">
        <v>2373</v>
      </c>
      <c r="G715">
        <v>1</v>
      </c>
      <c r="H715" t="s">
        <v>2370</v>
      </c>
    </row>
    <row r="716" spans="1:8" x14ac:dyDescent="0.35">
      <c r="A716" t="s">
        <v>1646</v>
      </c>
      <c r="B716">
        <v>36.15</v>
      </c>
      <c r="C716">
        <v>8.0500000000000007</v>
      </c>
      <c r="D716" t="s">
        <v>2370</v>
      </c>
      <c r="E716" t="s">
        <v>2370</v>
      </c>
      <c r="F716" t="s">
        <v>2370</v>
      </c>
      <c r="G716" t="s">
        <v>2371</v>
      </c>
      <c r="H716" t="s">
        <v>2370</v>
      </c>
    </row>
    <row r="717" spans="1:8" x14ac:dyDescent="0.35">
      <c r="A717" t="s">
        <v>1645</v>
      </c>
      <c r="B717">
        <v>44.98</v>
      </c>
      <c r="C717">
        <v>5.94</v>
      </c>
      <c r="D717" t="s">
        <v>2370</v>
      </c>
      <c r="E717" t="s">
        <v>2370</v>
      </c>
      <c r="F717" t="s">
        <v>2370</v>
      </c>
      <c r="G717">
        <v>1</v>
      </c>
      <c r="H717" t="s">
        <v>2370</v>
      </c>
    </row>
    <row r="718" spans="1:8" x14ac:dyDescent="0.35">
      <c r="A718" t="s">
        <v>1644</v>
      </c>
      <c r="B718">
        <v>38.28</v>
      </c>
      <c r="C718">
        <v>5.51</v>
      </c>
      <c r="D718" t="s">
        <v>2370</v>
      </c>
      <c r="E718" t="s">
        <v>2372</v>
      </c>
      <c r="F718" t="s">
        <v>2370</v>
      </c>
      <c r="G718">
        <v>1</v>
      </c>
      <c r="H718" t="s">
        <v>2370</v>
      </c>
    </row>
    <row r="719" spans="1:8" x14ac:dyDescent="0.35">
      <c r="A719" t="s">
        <v>1643</v>
      </c>
      <c r="B719">
        <v>32.299999999999997</v>
      </c>
      <c r="C719">
        <v>6.55</v>
      </c>
      <c r="D719" t="s">
        <v>2372</v>
      </c>
      <c r="E719" t="s">
        <v>2370</v>
      </c>
      <c r="F719" t="s">
        <v>2370</v>
      </c>
      <c r="G719">
        <v>2</v>
      </c>
      <c r="H719" t="s">
        <v>2370</v>
      </c>
    </row>
    <row r="720" spans="1:8" x14ac:dyDescent="0.35">
      <c r="A720" t="s">
        <v>1642</v>
      </c>
      <c r="B720">
        <v>39.51</v>
      </c>
      <c r="C720">
        <v>5.79</v>
      </c>
      <c r="D720" t="s">
        <v>2372</v>
      </c>
      <c r="E720" t="s">
        <v>2370</v>
      </c>
      <c r="F720" t="s">
        <v>2370</v>
      </c>
      <c r="G720" t="s">
        <v>2371</v>
      </c>
      <c r="H720" t="s">
        <v>2370</v>
      </c>
    </row>
    <row r="721" spans="1:8" x14ac:dyDescent="0.35">
      <c r="A721" t="s">
        <v>1641</v>
      </c>
      <c r="B721">
        <v>50.46</v>
      </c>
      <c r="C721">
        <v>4.5599999999999996</v>
      </c>
      <c r="D721" t="s">
        <v>2370</v>
      </c>
      <c r="E721" t="s">
        <v>2370</v>
      </c>
      <c r="F721" t="s">
        <v>2370</v>
      </c>
      <c r="G721" t="s">
        <v>2371</v>
      </c>
      <c r="H721" t="s">
        <v>2370</v>
      </c>
    </row>
    <row r="722" spans="1:8" x14ac:dyDescent="0.35">
      <c r="A722" t="s">
        <v>1640</v>
      </c>
      <c r="B722">
        <v>31.73</v>
      </c>
      <c r="C722">
        <v>7</v>
      </c>
      <c r="D722" t="s">
        <v>2370</v>
      </c>
      <c r="E722" t="s">
        <v>2370</v>
      </c>
      <c r="F722" t="s">
        <v>2370</v>
      </c>
      <c r="G722" t="s">
        <v>2371</v>
      </c>
      <c r="H722" t="s">
        <v>2370</v>
      </c>
    </row>
    <row r="723" spans="1:8" x14ac:dyDescent="0.35">
      <c r="A723" t="s">
        <v>1639</v>
      </c>
      <c r="B723">
        <v>32.1</v>
      </c>
      <c r="C723">
        <v>6.57</v>
      </c>
      <c r="D723" t="s">
        <v>2372</v>
      </c>
      <c r="E723" t="s">
        <v>2370</v>
      </c>
      <c r="F723" t="s">
        <v>2373</v>
      </c>
      <c r="G723">
        <v>1</v>
      </c>
      <c r="H723" t="s">
        <v>2370</v>
      </c>
    </row>
    <row r="724" spans="1:8" x14ac:dyDescent="0.35">
      <c r="A724" t="s">
        <v>1638</v>
      </c>
      <c r="B724">
        <v>27.83</v>
      </c>
      <c r="C724">
        <v>11.61</v>
      </c>
      <c r="D724" t="s">
        <v>2372</v>
      </c>
      <c r="E724" t="s">
        <v>2370</v>
      </c>
      <c r="F724" t="s">
        <v>2373</v>
      </c>
      <c r="G724">
        <v>1</v>
      </c>
      <c r="H724" t="s">
        <v>2370</v>
      </c>
    </row>
    <row r="725" spans="1:8" x14ac:dyDescent="0.35">
      <c r="A725" t="s">
        <v>1637</v>
      </c>
      <c r="B725">
        <v>27.72</v>
      </c>
      <c r="C725">
        <v>8.16</v>
      </c>
      <c r="D725" t="s">
        <v>2372</v>
      </c>
      <c r="E725" t="s">
        <v>2370</v>
      </c>
      <c r="F725" t="s">
        <v>2373</v>
      </c>
      <c r="G725">
        <v>1</v>
      </c>
      <c r="H725" t="s">
        <v>2370</v>
      </c>
    </row>
    <row r="726" spans="1:8" x14ac:dyDescent="0.35">
      <c r="A726" t="s">
        <v>1636</v>
      </c>
      <c r="B726">
        <v>36.765000000000001</v>
      </c>
      <c r="C726">
        <v>4.4800000000000004</v>
      </c>
      <c r="D726" t="s">
        <v>2372</v>
      </c>
      <c r="E726" t="s">
        <v>2370</v>
      </c>
      <c r="F726" t="s">
        <v>2370</v>
      </c>
      <c r="G726">
        <v>2</v>
      </c>
      <c r="H726" t="s">
        <v>2370</v>
      </c>
    </row>
    <row r="727" spans="1:8" x14ac:dyDescent="0.35">
      <c r="A727" t="s">
        <v>1635</v>
      </c>
      <c r="B727">
        <v>48.36</v>
      </c>
      <c r="C727">
        <v>4.08</v>
      </c>
      <c r="D727" t="s">
        <v>2370</v>
      </c>
      <c r="E727" t="s">
        <v>2370</v>
      </c>
      <c r="F727" t="s">
        <v>2370</v>
      </c>
      <c r="G727" t="s">
        <v>2371</v>
      </c>
      <c r="H727" t="s">
        <v>2370</v>
      </c>
    </row>
    <row r="728" spans="1:8" x14ac:dyDescent="0.35">
      <c r="A728" t="s">
        <v>1634</v>
      </c>
      <c r="B728">
        <v>31.445</v>
      </c>
      <c r="C728">
        <v>4.4000000000000004</v>
      </c>
      <c r="D728" t="s">
        <v>2372</v>
      </c>
      <c r="E728" t="s">
        <v>2370</v>
      </c>
      <c r="F728" t="s">
        <v>2370</v>
      </c>
      <c r="G728">
        <v>2</v>
      </c>
      <c r="H728" t="s">
        <v>2370</v>
      </c>
    </row>
    <row r="729" spans="1:8" x14ac:dyDescent="0.35">
      <c r="A729" t="s">
        <v>1633</v>
      </c>
      <c r="B729">
        <v>27.55</v>
      </c>
      <c r="C729">
        <v>9.02</v>
      </c>
      <c r="D729" t="s">
        <v>2370</v>
      </c>
      <c r="E729" t="s">
        <v>2370</v>
      </c>
      <c r="F729" t="s">
        <v>2370</v>
      </c>
      <c r="G729" t="s">
        <v>2371</v>
      </c>
      <c r="H729" t="s">
        <v>2370</v>
      </c>
    </row>
    <row r="730" spans="1:8" x14ac:dyDescent="0.35">
      <c r="A730" t="s">
        <v>1632</v>
      </c>
      <c r="B730">
        <v>33.11</v>
      </c>
      <c r="C730">
        <v>8.06</v>
      </c>
      <c r="D730" t="s">
        <v>2370</v>
      </c>
      <c r="E730" t="s">
        <v>2370</v>
      </c>
      <c r="F730" t="s">
        <v>2370</v>
      </c>
      <c r="G730" t="s">
        <v>2371</v>
      </c>
      <c r="H730" t="s">
        <v>2370</v>
      </c>
    </row>
    <row r="731" spans="1:8" x14ac:dyDescent="0.35">
      <c r="A731" t="s">
        <v>1631</v>
      </c>
      <c r="B731">
        <v>36.85</v>
      </c>
      <c r="C731">
        <v>6.21</v>
      </c>
      <c r="D731" t="s">
        <v>2372</v>
      </c>
      <c r="E731" t="s">
        <v>2370</v>
      </c>
      <c r="F731" t="s">
        <v>2370</v>
      </c>
      <c r="G731">
        <v>2</v>
      </c>
      <c r="H731" t="s">
        <v>2370</v>
      </c>
    </row>
    <row r="732" spans="1:8" x14ac:dyDescent="0.35">
      <c r="A732" t="s">
        <v>1630</v>
      </c>
      <c r="B732">
        <v>36.299999999999997</v>
      </c>
      <c r="C732">
        <v>5.79</v>
      </c>
      <c r="D732" t="s">
        <v>2372</v>
      </c>
      <c r="E732" t="s">
        <v>2370</v>
      </c>
      <c r="F732" t="s">
        <v>2370</v>
      </c>
      <c r="G732">
        <v>2</v>
      </c>
      <c r="H732" t="s">
        <v>2370</v>
      </c>
    </row>
    <row r="733" spans="1:8" x14ac:dyDescent="0.35">
      <c r="A733" t="s">
        <v>1629</v>
      </c>
      <c r="B733">
        <v>45.34</v>
      </c>
      <c r="C733">
        <v>5.69</v>
      </c>
      <c r="D733" t="s">
        <v>2372</v>
      </c>
      <c r="E733" t="s">
        <v>2370</v>
      </c>
      <c r="F733" t="s">
        <v>2370</v>
      </c>
      <c r="G733" t="s">
        <v>2371</v>
      </c>
      <c r="H733" t="s">
        <v>2370</v>
      </c>
    </row>
    <row r="734" spans="1:8" x14ac:dyDescent="0.35">
      <c r="A734" t="s">
        <v>1628</v>
      </c>
      <c r="B734">
        <v>31.8</v>
      </c>
      <c r="C734">
        <v>5.36</v>
      </c>
      <c r="D734" t="s">
        <v>2372</v>
      </c>
      <c r="E734" t="s">
        <v>2370</v>
      </c>
      <c r="F734" t="s">
        <v>2370</v>
      </c>
      <c r="G734">
        <v>2</v>
      </c>
      <c r="H734" t="s">
        <v>2370</v>
      </c>
    </row>
    <row r="735" spans="1:8" x14ac:dyDescent="0.35">
      <c r="A735" t="s">
        <v>1627</v>
      </c>
      <c r="B735">
        <v>41.02</v>
      </c>
      <c r="C735">
        <v>11.37</v>
      </c>
      <c r="D735" t="s">
        <v>2370</v>
      </c>
      <c r="E735" t="s">
        <v>2370</v>
      </c>
      <c r="F735" t="s">
        <v>2370</v>
      </c>
      <c r="G735" t="s">
        <v>2371</v>
      </c>
      <c r="H735" t="s">
        <v>2370</v>
      </c>
    </row>
    <row r="736" spans="1:8" x14ac:dyDescent="0.35">
      <c r="A736" t="s">
        <v>1626</v>
      </c>
      <c r="B736">
        <v>32.68</v>
      </c>
      <c r="C736">
        <v>11.87</v>
      </c>
      <c r="D736" t="s">
        <v>2370</v>
      </c>
      <c r="E736" t="s">
        <v>2370</v>
      </c>
      <c r="F736" t="s">
        <v>2370</v>
      </c>
      <c r="G736" t="s">
        <v>2371</v>
      </c>
      <c r="H736" t="s">
        <v>2370</v>
      </c>
    </row>
    <row r="737" spans="1:8" x14ac:dyDescent="0.35">
      <c r="A737" t="s">
        <v>1625</v>
      </c>
      <c r="B737">
        <v>21.7</v>
      </c>
      <c r="C737">
        <v>4.9000000000000004</v>
      </c>
      <c r="D737" t="s">
        <v>2370</v>
      </c>
      <c r="E737" t="s">
        <v>2370</v>
      </c>
      <c r="F737" t="s">
        <v>2373</v>
      </c>
      <c r="G737">
        <v>1</v>
      </c>
      <c r="H737" t="s">
        <v>2372</v>
      </c>
    </row>
    <row r="738" spans="1:8" x14ac:dyDescent="0.35">
      <c r="A738" t="s">
        <v>1624</v>
      </c>
      <c r="B738">
        <v>40.479999999999997</v>
      </c>
      <c r="C738">
        <v>6.7</v>
      </c>
      <c r="D738" t="s">
        <v>2370</v>
      </c>
      <c r="E738" t="s">
        <v>2370</v>
      </c>
      <c r="F738" t="s">
        <v>2370</v>
      </c>
      <c r="G738">
        <v>3</v>
      </c>
      <c r="H738" t="s">
        <v>2370</v>
      </c>
    </row>
    <row r="739" spans="1:8" x14ac:dyDescent="0.35">
      <c r="A739" t="s">
        <v>1623</v>
      </c>
      <c r="B739">
        <v>34.5</v>
      </c>
      <c r="C739">
        <v>10.3</v>
      </c>
      <c r="D739" t="s">
        <v>2370</v>
      </c>
      <c r="E739" t="s">
        <v>2370</v>
      </c>
      <c r="F739" t="s">
        <v>2370</v>
      </c>
      <c r="G739">
        <v>3</v>
      </c>
      <c r="H739" t="s">
        <v>2370</v>
      </c>
    </row>
    <row r="740" spans="1:8" x14ac:dyDescent="0.35">
      <c r="A740" t="s">
        <v>1622</v>
      </c>
      <c r="B740">
        <v>45.9</v>
      </c>
      <c r="C740">
        <v>11.14</v>
      </c>
      <c r="D740" t="s">
        <v>2372</v>
      </c>
      <c r="E740" t="s">
        <v>2370</v>
      </c>
      <c r="F740" t="s">
        <v>2370</v>
      </c>
      <c r="G740">
        <v>1</v>
      </c>
      <c r="H740" t="s">
        <v>2370</v>
      </c>
    </row>
    <row r="741" spans="1:8" x14ac:dyDescent="0.35">
      <c r="A741" t="s">
        <v>1621</v>
      </c>
      <c r="B741">
        <v>33.479999999999997</v>
      </c>
      <c r="C741">
        <v>4.74</v>
      </c>
      <c r="D741" t="s">
        <v>2372</v>
      </c>
      <c r="E741" t="s">
        <v>2370</v>
      </c>
      <c r="F741" t="s">
        <v>2370</v>
      </c>
      <c r="G741">
        <v>2</v>
      </c>
      <c r="H741" t="s">
        <v>2370</v>
      </c>
    </row>
    <row r="742" spans="1:8" x14ac:dyDescent="0.35">
      <c r="A742" t="s">
        <v>1620</v>
      </c>
      <c r="B742">
        <v>28.31</v>
      </c>
      <c r="C742">
        <v>5.96</v>
      </c>
      <c r="D742" t="s">
        <v>2372</v>
      </c>
      <c r="E742" t="s">
        <v>2370</v>
      </c>
      <c r="F742" t="s">
        <v>2370</v>
      </c>
      <c r="G742">
        <v>2</v>
      </c>
      <c r="H742" t="s">
        <v>2370</v>
      </c>
    </row>
    <row r="743" spans="1:8" x14ac:dyDescent="0.35">
      <c r="A743" t="s">
        <v>1619</v>
      </c>
      <c r="B743">
        <v>21.565000000000001</v>
      </c>
      <c r="C743">
        <v>4.95</v>
      </c>
      <c r="D743" t="s">
        <v>2370</v>
      </c>
      <c r="E743" t="s">
        <v>2372</v>
      </c>
      <c r="F743" t="s">
        <v>2370</v>
      </c>
      <c r="G743">
        <v>1</v>
      </c>
      <c r="H743" t="s">
        <v>2372</v>
      </c>
    </row>
    <row r="744" spans="1:8" x14ac:dyDescent="0.35">
      <c r="A744" t="s">
        <v>1618</v>
      </c>
      <c r="B744">
        <v>35.590000000000003</v>
      </c>
      <c r="C744">
        <v>5.21</v>
      </c>
      <c r="D744" t="s">
        <v>2372</v>
      </c>
      <c r="E744" t="s">
        <v>2370</v>
      </c>
      <c r="F744" t="s">
        <v>2373</v>
      </c>
      <c r="G744">
        <v>1</v>
      </c>
      <c r="H744" t="s">
        <v>2370</v>
      </c>
    </row>
    <row r="745" spans="1:8" x14ac:dyDescent="0.35">
      <c r="A745" t="s">
        <v>1617</v>
      </c>
      <c r="B745">
        <v>43.44</v>
      </c>
      <c r="C745">
        <v>4.8600000000000003</v>
      </c>
      <c r="D745" t="s">
        <v>2372</v>
      </c>
      <c r="E745" t="s">
        <v>2370</v>
      </c>
      <c r="F745" t="s">
        <v>2370</v>
      </c>
      <c r="G745" t="s">
        <v>2371</v>
      </c>
      <c r="H745" t="s">
        <v>2370</v>
      </c>
    </row>
    <row r="746" spans="1:8" x14ac:dyDescent="0.35">
      <c r="A746" t="s">
        <v>1616</v>
      </c>
      <c r="B746">
        <v>21.754999999999999</v>
      </c>
      <c r="C746">
        <v>7.79</v>
      </c>
      <c r="D746" t="s">
        <v>2372</v>
      </c>
      <c r="E746" t="s">
        <v>2370</v>
      </c>
      <c r="F746" t="s">
        <v>2370</v>
      </c>
      <c r="G746" t="s">
        <v>2371</v>
      </c>
      <c r="H746" t="s">
        <v>2370</v>
      </c>
    </row>
    <row r="747" spans="1:8" x14ac:dyDescent="0.35">
      <c r="A747" t="s">
        <v>1615</v>
      </c>
      <c r="B747">
        <v>44.55</v>
      </c>
      <c r="C747">
        <v>7.12</v>
      </c>
      <c r="D747" t="s">
        <v>2372</v>
      </c>
      <c r="E747" t="s">
        <v>2370</v>
      </c>
      <c r="F747" t="s">
        <v>2370</v>
      </c>
      <c r="G747">
        <v>1</v>
      </c>
      <c r="H747" t="s">
        <v>2370</v>
      </c>
    </row>
    <row r="748" spans="1:8" x14ac:dyDescent="0.35">
      <c r="A748" t="s">
        <v>1614</v>
      </c>
      <c r="B748">
        <v>43.32</v>
      </c>
      <c r="C748">
        <v>4.67</v>
      </c>
      <c r="D748" t="s">
        <v>2372</v>
      </c>
      <c r="E748" t="s">
        <v>2370</v>
      </c>
      <c r="F748" t="s">
        <v>2370</v>
      </c>
      <c r="G748" t="s">
        <v>2371</v>
      </c>
      <c r="H748" t="s">
        <v>2370</v>
      </c>
    </row>
    <row r="749" spans="1:8" x14ac:dyDescent="0.35">
      <c r="A749" t="s">
        <v>1613</v>
      </c>
      <c r="B749">
        <v>31.23</v>
      </c>
      <c r="C749">
        <v>9.1199999999999992</v>
      </c>
      <c r="D749" t="s">
        <v>2372</v>
      </c>
      <c r="E749" t="s">
        <v>2370</v>
      </c>
      <c r="F749" t="s">
        <v>2373</v>
      </c>
      <c r="G749">
        <v>1</v>
      </c>
      <c r="H749" t="s">
        <v>2370</v>
      </c>
    </row>
    <row r="750" spans="1:8" x14ac:dyDescent="0.35">
      <c r="A750" t="s">
        <v>1612</v>
      </c>
      <c r="B750">
        <v>42.81</v>
      </c>
      <c r="C750">
        <v>4.1500000000000004</v>
      </c>
      <c r="D750" t="s">
        <v>2370</v>
      </c>
      <c r="E750" t="s">
        <v>2370</v>
      </c>
      <c r="F750" t="s">
        <v>2370</v>
      </c>
      <c r="G750">
        <v>1</v>
      </c>
      <c r="H750" t="s">
        <v>2370</v>
      </c>
    </row>
    <row r="751" spans="1:8" x14ac:dyDescent="0.35">
      <c r="A751" t="s">
        <v>1611</v>
      </c>
      <c r="B751">
        <v>35.909999999999997</v>
      </c>
      <c r="C751">
        <v>6.72</v>
      </c>
      <c r="D751" t="s">
        <v>2372</v>
      </c>
      <c r="E751" t="s">
        <v>2370</v>
      </c>
      <c r="F751" t="s">
        <v>2370</v>
      </c>
      <c r="G751">
        <v>2</v>
      </c>
      <c r="H751" t="s">
        <v>2370</v>
      </c>
    </row>
    <row r="752" spans="1:8" x14ac:dyDescent="0.35">
      <c r="A752" t="s">
        <v>1610</v>
      </c>
      <c r="B752">
        <v>36.65</v>
      </c>
      <c r="C752">
        <v>5.01</v>
      </c>
      <c r="D752" t="s">
        <v>2372</v>
      </c>
      <c r="E752" t="s">
        <v>2370</v>
      </c>
      <c r="F752" t="s">
        <v>2373</v>
      </c>
      <c r="G752">
        <v>1</v>
      </c>
      <c r="H752" t="s">
        <v>2370</v>
      </c>
    </row>
    <row r="753" spans="1:8" x14ac:dyDescent="0.35">
      <c r="A753" t="s">
        <v>1609</v>
      </c>
      <c r="B753">
        <v>22.04</v>
      </c>
      <c r="C753">
        <v>10.9</v>
      </c>
      <c r="D753" t="s">
        <v>2372</v>
      </c>
      <c r="E753" t="s">
        <v>2370</v>
      </c>
      <c r="F753" t="s">
        <v>2370</v>
      </c>
      <c r="G753">
        <v>2</v>
      </c>
      <c r="H753" t="s">
        <v>2370</v>
      </c>
    </row>
    <row r="754" spans="1:8" x14ac:dyDescent="0.35">
      <c r="A754" t="s">
        <v>1608</v>
      </c>
      <c r="B754">
        <v>31.824999999999999</v>
      </c>
      <c r="C754">
        <v>5.52</v>
      </c>
      <c r="D754" t="s">
        <v>2372</v>
      </c>
      <c r="E754" t="s">
        <v>2370</v>
      </c>
      <c r="F754" t="s">
        <v>2370</v>
      </c>
      <c r="G754">
        <v>1</v>
      </c>
      <c r="H754" t="s">
        <v>2370</v>
      </c>
    </row>
    <row r="755" spans="1:8" x14ac:dyDescent="0.35">
      <c r="A755" t="s">
        <v>1607</v>
      </c>
      <c r="B755">
        <v>53.58</v>
      </c>
      <c r="C755">
        <v>4.55</v>
      </c>
      <c r="D755" t="s">
        <v>2370</v>
      </c>
      <c r="E755" t="s">
        <v>2370</v>
      </c>
      <c r="F755" t="s">
        <v>2370</v>
      </c>
      <c r="G755">
        <v>1</v>
      </c>
      <c r="H755" t="s">
        <v>2370</v>
      </c>
    </row>
    <row r="756" spans="1:8" x14ac:dyDescent="0.35">
      <c r="A756" t="s">
        <v>1606</v>
      </c>
      <c r="B756">
        <v>34.299999999999997</v>
      </c>
      <c r="C756">
        <v>11.76</v>
      </c>
      <c r="D756" t="s">
        <v>2370</v>
      </c>
      <c r="E756" t="s">
        <v>2370</v>
      </c>
      <c r="F756" t="s">
        <v>2370</v>
      </c>
      <c r="G756" t="s">
        <v>2371</v>
      </c>
      <c r="H756" t="s">
        <v>2370</v>
      </c>
    </row>
    <row r="757" spans="1:8" x14ac:dyDescent="0.35">
      <c r="A757" t="s">
        <v>1605</v>
      </c>
      <c r="B757">
        <v>32.11</v>
      </c>
      <c r="C757">
        <v>7.06</v>
      </c>
      <c r="D757" t="s">
        <v>2370</v>
      </c>
      <c r="E757" t="s">
        <v>2370</v>
      </c>
      <c r="F757" t="s">
        <v>2370</v>
      </c>
      <c r="G757" t="s">
        <v>2371</v>
      </c>
      <c r="H757" t="s">
        <v>2370</v>
      </c>
    </row>
    <row r="758" spans="1:8" x14ac:dyDescent="0.35">
      <c r="A758" t="s">
        <v>1604</v>
      </c>
      <c r="B758">
        <v>31.78</v>
      </c>
      <c r="C758">
        <v>11.35</v>
      </c>
      <c r="D758" t="s">
        <v>2372</v>
      </c>
      <c r="E758" t="s">
        <v>2370</v>
      </c>
      <c r="F758" t="s">
        <v>2373</v>
      </c>
      <c r="G758">
        <v>1</v>
      </c>
      <c r="H758" t="s">
        <v>2370</v>
      </c>
    </row>
    <row r="759" spans="1:8" x14ac:dyDescent="0.35">
      <c r="A759" t="s">
        <v>1603</v>
      </c>
      <c r="B759">
        <v>46.89</v>
      </c>
      <c r="C759">
        <v>5.52</v>
      </c>
      <c r="D759" t="s">
        <v>2370</v>
      </c>
      <c r="E759" t="s">
        <v>2370</v>
      </c>
      <c r="F759" t="s">
        <v>2370</v>
      </c>
      <c r="G759" t="s">
        <v>2371</v>
      </c>
      <c r="H759" t="s">
        <v>2370</v>
      </c>
    </row>
    <row r="760" spans="1:8" x14ac:dyDescent="0.35">
      <c r="A760" t="s">
        <v>1602</v>
      </c>
      <c r="B760">
        <v>39.35</v>
      </c>
      <c r="C760">
        <v>7.86</v>
      </c>
      <c r="D760" t="s">
        <v>2372</v>
      </c>
      <c r="E760" t="s">
        <v>2370</v>
      </c>
      <c r="F760" t="s">
        <v>2370</v>
      </c>
      <c r="G760">
        <v>1</v>
      </c>
      <c r="H760" t="s">
        <v>2370</v>
      </c>
    </row>
    <row r="761" spans="1:8" x14ac:dyDescent="0.35">
      <c r="A761" t="s">
        <v>1601</v>
      </c>
      <c r="B761">
        <v>39.200000000000003</v>
      </c>
      <c r="C761">
        <v>11.38</v>
      </c>
      <c r="D761" t="s">
        <v>2370</v>
      </c>
      <c r="E761" t="s">
        <v>2370</v>
      </c>
      <c r="F761" t="s">
        <v>2370</v>
      </c>
      <c r="G761" t="s">
        <v>2371</v>
      </c>
      <c r="H761" t="s">
        <v>2370</v>
      </c>
    </row>
    <row r="762" spans="1:8" x14ac:dyDescent="0.35">
      <c r="A762" t="s">
        <v>1600</v>
      </c>
      <c r="B762">
        <v>39.159999999999997</v>
      </c>
      <c r="C762">
        <v>10.48</v>
      </c>
      <c r="D762" t="s">
        <v>2370</v>
      </c>
      <c r="E762" t="s">
        <v>2370</v>
      </c>
      <c r="F762" t="s">
        <v>2370</v>
      </c>
      <c r="G762" t="s">
        <v>2371</v>
      </c>
      <c r="H762" t="s">
        <v>2370</v>
      </c>
    </row>
    <row r="763" spans="1:8" x14ac:dyDescent="0.35">
      <c r="A763" t="s">
        <v>1599</v>
      </c>
      <c r="B763">
        <v>44.1</v>
      </c>
      <c r="C763">
        <v>5.04</v>
      </c>
      <c r="D763" t="s">
        <v>2372</v>
      </c>
      <c r="E763" t="s">
        <v>2370</v>
      </c>
      <c r="F763" t="s">
        <v>2370</v>
      </c>
      <c r="G763" t="s">
        <v>2371</v>
      </c>
      <c r="H763" t="s">
        <v>2370</v>
      </c>
    </row>
    <row r="764" spans="1:8" x14ac:dyDescent="0.35">
      <c r="A764" t="s">
        <v>1598</v>
      </c>
      <c r="B764">
        <v>33.200000000000003</v>
      </c>
      <c r="C764">
        <v>9.06</v>
      </c>
      <c r="D764" t="s">
        <v>2370</v>
      </c>
      <c r="E764" t="s">
        <v>2370</v>
      </c>
      <c r="F764" t="s">
        <v>2370</v>
      </c>
      <c r="G764" t="s">
        <v>2371</v>
      </c>
      <c r="H764" t="s">
        <v>2370</v>
      </c>
    </row>
    <row r="765" spans="1:8" x14ac:dyDescent="0.35">
      <c r="A765" t="s">
        <v>1597</v>
      </c>
      <c r="B765">
        <v>29.92</v>
      </c>
      <c r="C765">
        <v>11.07</v>
      </c>
      <c r="D765" t="s">
        <v>2370</v>
      </c>
      <c r="E765" t="s">
        <v>2370</v>
      </c>
      <c r="F765" t="s">
        <v>2370</v>
      </c>
      <c r="G765" t="s">
        <v>2371</v>
      </c>
      <c r="H765" t="s">
        <v>2370</v>
      </c>
    </row>
    <row r="766" spans="1:8" x14ac:dyDescent="0.35">
      <c r="A766" t="s">
        <v>1596</v>
      </c>
      <c r="B766">
        <v>25</v>
      </c>
      <c r="C766">
        <v>10.45</v>
      </c>
      <c r="D766" t="s">
        <v>2370</v>
      </c>
      <c r="E766" t="s">
        <v>2370</v>
      </c>
      <c r="F766" t="s">
        <v>2370</v>
      </c>
      <c r="G766" t="s">
        <v>2371</v>
      </c>
      <c r="H766" t="s">
        <v>2370</v>
      </c>
    </row>
    <row r="767" spans="1:8" x14ac:dyDescent="0.35">
      <c r="A767" t="s">
        <v>1595</v>
      </c>
      <c r="B767">
        <v>38.869999999999997</v>
      </c>
      <c r="C767">
        <v>8.6300000000000008</v>
      </c>
      <c r="D767" t="s">
        <v>2372</v>
      </c>
      <c r="E767" t="s">
        <v>2370</v>
      </c>
      <c r="F767" t="s">
        <v>2370</v>
      </c>
      <c r="G767">
        <v>1</v>
      </c>
      <c r="H767" t="s">
        <v>2370</v>
      </c>
    </row>
    <row r="768" spans="1:8" x14ac:dyDescent="0.35">
      <c r="A768" t="s">
        <v>1594</v>
      </c>
      <c r="B768">
        <v>32.299999999999997</v>
      </c>
      <c r="C768">
        <v>5.28</v>
      </c>
      <c r="D768" t="s">
        <v>2372</v>
      </c>
      <c r="E768" t="s">
        <v>2370</v>
      </c>
      <c r="F768" t="s">
        <v>2370</v>
      </c>
      <c r="G768">
        <v>2</v>
      </c>
      <c r="H768" t="s">
        <v>2370</v>
      </c>
    </row>
    <row r="769" spans="1:8" x14ac:dyDescent="0.35">
      <c r="A769" t="s">
        <v>1593</v>
      </c>
      <c r="B769">
        <v>31.16</v>
      </c>
      <c r="C769">
        <v>7.49</v>
      </c>
      <c r="D769" t="s">
        <v>2372</v>
      </c>
      <c r="E769" t="s">
        <v>2370</v>
      </c>
      <c r="F769" t="s">
        <v>2370</v>
      </c>
      <c r="G769">
        <v>2</v>
      </c>
      <c r="H769" t="s">
        <v>2370</v>
      </c>
    </row>
    <row r="770" spans="1:8" x14ac:dyDescent="0.35">
      <c r="A770" t="s">
        <v>1592</v>
      </c>
      <c r="B770">
        <v>54.59</v>
      </c>
      <c r="C770">
        <v>4.2699999999999996</v>
      </c>
      <c r="D770" t="s">
        <v>2370</v>
      </c>
      <c r="E770" t="s">
        <v>2370</v>
      </c>
      <c r="F770" t="s">
        <v>2370</v>
      </c>
      <c r="G770" t="s">
        <v>2371</v>
      </c>
      <c r="H770" t="s">
        <v>2370</v>
      </c>
    </row>
    <row r="771" spans="1:8" x14ac:dyDescent="0.35">
      <c r="A771" t="s">
        <v>1591</v>
      </c>
      <c r="B771">
        <v>21.09</v>
      </c>
      <c r="C771">
        <v>9.2200000000000006</v>
      </c>
      <c r="D771" t="s">
        <v>2372</v>
      </c>
      <c r="E771" t="s">
        <v>2370</v>
      </c>
      <c r="F771" t="s">
        <v>2370</v>
      </c>
      <c r="G771">
        <v>2</v>
      </c>
      <c r="H771" t="s">
        <v>2370</v>
      </c>
    </row>
    <row r="772" spans="1:8" x14ac:dyDescent="0.35">
      <c r="A772" t="s">
        <v>1590</v>
      </c>
      <c r="B772">
        <v>52.41</v>
      </c>
      <c r="C772">
        <v>5.99</v>
      </c>
      <c r="D772" t="s">
        <v>2370</v>
      </c>
      <c r="E772" t="s">
        <v>2370</v>
      </c>
      <c r="F772" t="s">
        <v>2370</v>
      </c>
      <c r="G772">
        <v>1</v>
      </c>
      <c r="H772" t="s">
        <v>2370</v>
      </c>
    </row>
    <row r="773" spans="1:8" x14ac:dyDescent="0.35">
      <c r="A773" t="s">
        <v>1589</v>
      </c>
      <c r="B773">
        <v>41.47</v>
      </c>
      <c r="C773">
        <v>5.86</v>
      </c>
      <c r="D773" t="s">
        <v>2372</v>
      </c>
      <c r="E773" t="s">
        <v>2370</v>
      </c>
      <c r="F773" t="s">
        <v>2370</v>
      </c>
      <c r="G773">
        <v>2</v>
      </c>
      <c r="H773" t="s">
        <v>2370</v>
      </c>
    </row>
    <row r="774" spans="1:8" x14ac:dyDescent="0.35">
      <c r="A774" t="s">
        <v>1588</v>
      </c>
      <c r="B774">
        <v>33.1</v>
      </c>
      <c r="C774">
        <v>5.19</v>
      </c>
      <c r="D774" t="s">
        <v>2372</v>
      </c>
      <c r="E774" t="s">
        <v>2370</v>
      </c>
      <c r="F774" t="s">
        <v>2370</v>
      </c>
      <c r="G774">
        <v>2</v>
      </c>
      <c r="H774" t="s">
        <v>2370</v>
      </c>
    </row>
    <row r="775" spans="1:8" x14ac:dyDescent="0.35">
      <c r="A775" t="s">
        <v>1587</v>
      </c>
      <c r="B775">
        <v>30.8</v>
      </c>
      <c r="C775">
        <v>4.37</v>
      </c>
      <c r="D775" t="s">
        <v>2372</v>
      </c>
      <c r="E775" t="s">
        <v>2370</v>
      </c>
      <c r="F775" t="s">
        <v>2370</v>
      </c>
      <c r="G775">
        <v>2</v>
      </c>
      <c r="H775" t="s">
        <v>2370</v>
      </c>
    </row>
    <row r="776" spans="1:8" x14ac:dyDescent="0.35">
      <c r="A776" t="s">
        <v>1586</v>
      </c>
      <c r="B776">
        <v>42.06</v>
      </c>
      <c r="C776">
        <v>5.32</v>
      </c>
      <c r="D776" t="s">
        <v>2370</v>
      </c>
      <c r="E776" t="s">
        <v>2370</v>
      </c>
      <c r="F776" t="s">
        <v>2370</v>
      </c>
      <c r="G776">
        <v>1</v>
      </c>
      <c r="H776" t="s">
        <v>2370</v>
      </c>
    </row>
    <row r="777" spans="1:8" x14ac:dyDescent="0.35">
      <c r="A777" t="s">
        <v>1585</v>
      </c>
      <c r="B777">
        <v>39.270000000000003</v>
      </c>
      <c r="C777">
        <v>5.64</v>
      </c>
      <c r="D777" t="s">
        <v>2370</v>
      </c>
      <c r="E777" t="s">
        <v>2370</v>
      </c>
      <c r="F777" t="s">
        <v>2373</v>
      </c>
      <c r="G777">
        <v>1</v>
      </c>
      <c r="H777" t="s">
        <v>2370</v>
      </c>
    </row>
    <row r="778" spans="1:8" x14ac:dyDescent="0.35">
      <c r="A778" t="s">
        <v>1584</v>
      </c>
      <c r="B778">
        <v>30.71</v>
      </c>
      <c r="C778">
        <v>5.59</v>
      </c>
      <c r="D778" t="s">
        <v>2372</v>
      </c>
      <c r="E778" t="s">
        <v>2370</v>
      </c>
      <c r="F778" t="s">
        <v>2370</v>
      </c>
      <c r="G778">
        <v>1</v>
      </c>
      <c r="H778" t="s">
        <v>2370</v>
      </c>
    </row>
    <row r="779" spans="1:8" x14ac:dyDescent="0.35">
      <c r="A779" t="s">
        <v>1583</v>
      </c>
      <c r="B779">
        <v>47.19</v>
      </c>
      <c r="C779">
        <v>5.29</v>
      </c>
      <c r="D779" t="s">
        <v>2370</v>
      </c>
      <c r="E779" t="s">
        <v>2370</v>
      </c>
      <c r="F779" t="s">
        <v>2370</v>
      </c>
      <c r="G779" t="s">
        <v>2371</v>
      </c>
      <c r="H779" t="s">
        <v>2370</v>
      </c>
    </row>
    <row r="780" spans="1:8" x14ac:dyDescent="0.35">
      <c r="A780" t="s">
        <v>1582</v>
      </c>
      <c r="B780">
        <v>30.02</v>
      </c>
      <c r="C780">
        <v>6.65</v>
      </c>
      <c r="D780" t="s">
        <v>2370</v>
      </c>
      <c r="E780" t="s">
        <v>2370</v>
      </c>
      <c r="F780" t="s">
        <v>2370</v>
      </c>
      <c r="G780" t="s">
        <v>2371</v>
      </c>
      <c r="H780" t="s">
        <v>2370</v>
      </c>
    </row>
    <row r="781" spans="1:8" x14ac:dyDescent="0.35">
      <c r="A781" t="s">
        <v>1581</v>
      </c>
      <c r="B781">
        <v>37.909999999999997</v>
      </c>
      <c r="C781">
        <v>5.68</v>
      </c>
      <c r="D781" t="s">
        <v>2372</v>
      </c>
      <c r="E781" t="s">
        <v>2370</v>
      </c>
      <c r="F781" t="s">
        <v>2370</v>
      </c>
      <c r="G781" t="s">
        <v>2371</v>
      </c>
      <c r="H781" t="s">
        <v>2370</v>
      </c>
    </row>
    <row r="782" spans="1:8" x14ac:dyDescent="0.35">
      <c r="A782" t="s">
        <v>1580</v>
      </c>
      <c r="B782">
        <v>54.61</v>
      </c>
      <c r="C782">
        <v>4.49</v>
      </c>
      <c r="D782" t="s">
        <v>2370</v>
      </c>
      <c r="E782" t="s">
        <v>2370</v>
      </c>
      <c r="F782" t="s">
        <v>2370</v>
      </c>
      <c r="G782" t="s">
        <v>2371</v>
      </c>
      <c r="H782" t="s">
        <v>2370</v>
      </c>
    </row>
    <row r="783" spans="1:8" x14ac:dyDescent="0.35">
      <c r="A783" t="s">
        <v>1579</v>
      </c>
      <c r="B783">
        <v>36.005000000000003</v>
      </c>
      <c r="C783">
        <v>6.9</v>
      </c>
      <c r="D783" t="s">
        <v>2370</v>
      </c>
      <c r="E783" t="s">
        <v>2370</v>
      </c>
      <c r="F783" t="s">
        <v>2370</v>
      </c>
      <c r="G783" t="s">
        <v>2371</v>
      </c>
      <c r="H783" t="s">
        <v>2370</v>
      </c>
    </row>
    <row r="784" spans="1:8" x14ac:dyDescent="0.35">
      <c r="A784" t="s">
        <v>1578</v>
      </c>
      <c r="B784">
        <v>28.7</v>
      </c>
      <c r="C784">
        <v>11.52</v>
      </c>
      <c r="D784" t="s">
        <v>2370</v>
      </c>
      <c r="E784" t="s">
        <v>2370</v>
      </c>
      <c r="F784" t="s">
        <v>2370</v>
      </c>
      <c r="G784" t="s">
        <v>2371</v>
      </c>
      <c r="H784" t="s">
        <v>2370</v>
      </c>
    </row>
    <row r="785" spans="1:8" x14ac:dyDescent="0.35">
      <c r="A785" t="s">
        <v>1577</v>
      </c>
      <c r="B785">
        <v>34.295000000000002</v>
      </c>
      <c r="C785">
        <v>11.24</v>
      </c>
      <c r="D785" t="s">
        <v>2370</v>
      </c>
      <c r="E785" t="s">
        <v>2370</v>
      </c>
      <c r="F785" t="s">
        <v>2370</v>
      </c>
      <c r="G785" t="s">
        <v>2371</v>
      </c>
      <c r="H785" t="s">
        <v>2370</v>
      </c>
    </row>
    <row r="786" spans="1:8" x14ac:dyDescent="0.35">
      <c r="A786" t="s">
        <v>1576</v>
      </c>
      <c r="B786">
        <v>27.55</v>
      </c>
      <c r="C786">
        <v>10.98</v>
      </c>
      <c r="D786" t="s">
        <v>2370</v>
      </c>
      <c r="E786" t="s">
        <v>2370</v>
      </c>
      <c r="F786" t="s">
        <v>2370</v>
      </c>
      <c r="G786" t="s">
        <v>2371</v>
      </c>
      <c r="H786" t="s">
        <v>2370</v>
      </c>
    </row>
    <row r="787" spans="1:8" x14ac:dyDescent="0.35">
      <c r="A787" t="s">
        <v>1575</v>
      </c>
      <c r="B787">
        <v>40.700000000000003</v>
      </c>
      <c r="C787">
        <v>5.42</v>
      </c>
      <c r="D787" t="s">
        <v>2370</v>
      </c>
      <c r="E787" t="s">
        <v>2370</v>
      </c>
      <c r="F787" t="s">
        <v>2370</v>
      </c>
      <c r="G787" t="s">
        <v>2371</v>
      </c>
      <c r="H787" t="s">
        <v>2370</v>
      </c>
    </row>
    <row r="788" spans="1:8" x14ac:dyDescent="0.35">
      <c r="A788" t="s">
        <v>1574</v>
      </c>
      <c r="B788">
        <v>18.335000000000001</v>
      </c>
      <c r="C788">
        <v>10.97</v>
      </c>
      <c r="D788" t="s">
        <v>2370</v>
      </c>
      <c r="E788" t="s">
        <v>2370</v>
      </c>
      <c r="F788" t="s">
        <v>2370</v>
      </c>
      <c r="G788" t="s">
        <v>2371</v>
      </c>
      <c r="H788" t="s">
        <v>2370</v>
      </c>
    </row>
    <row r="789" spans="1:8" x14ac:dyDescent="0.35">
      <c r="A789" t="s">
        <v>1573</v>
      </c>
      <c r="B789">
        <v>33.914999999999999</v>
      </c>
      <c r="C789">
        <v>9.56</v>
      </c>
      <c r="D789" t="s">
        <v>2372</v>
      </c>
      <c r="E789" t="s">
        <v>2370</v>
      </c>
      <c r="F789" t="s">
        <v>2370</v>
      </c>
      <c r="G789">
        <v>2</v>
      </c>
      <c r="H789" t="s">
        <v>2370</v>
      </c>
    </row>
    <row r="790" spans="1:8" x14ac:dyDescent="0.35">
      <c r="A790" t="s">
        <v>1572</v>
      </c>
      <c r="B790">
        <v>33.534999999999997</v>
      </c>
      <c r="C790">
        <v>9.4</v>
      </c>
      <c r="D790" t="s">
        <v>2372</v>
      </c>
      <c r="E790" t="s">
        <v>2370</v>
      </c>
      <c r="F790" t="s">
        <v>2370</v>
      </c>
      <c r="G790">
        <v>2</v>
      </c>
      <c r="H790" t="s">
        <v>2370</v>
      </c>
    </row>
    <row r="791" spans="1:8" x14ac:dyDescent="0.35">
      <c r="A791" t="s">
        <v>1571</v>
      </c>
      <c r="B791">
        <v>23.655000000000001</v>
      </c>
      <c r="C791">
        <v>8.48</v>
      </c>
      <c r="D791" t="s">
        <v>2372</v>
      </c>
      <c r="E791" t="s">
        <v>2370</v>
      </c>
      <c r="F791" t="s">
        <v>2370</v>
      </c>
      <c r="G791">
        <v>2</v>
      </c>
      <c r="H791" t="s">
        <v>2370</v>
      </c>
    </row>
    <row r="792" spans="1:8" x14ac:dyDescent="0.35">
      <c r="A792" t="s">
        <v>1570</v>
      </c>
      <c r="B792">
        <v>28</v>
      </c>
      <c r="C792">
        <v>5.57</v>
      </c>
      <c r="D792" t="s">
        <v>2370</v>
      </c>
      <c r="E792" t="s">
        <v>2370</v>
      </c>
      <c r="F792" t="s">
        <v>2370</v>
      </c>
      <c r="G792" t="s">
        <v>2371</v>
      </c>
      <c r="H792" t="s">
        <v>2370</v>
      </c>
    </row>
    <row r="793" spans="1:8" x14ac:dyDescent="0.35">
      <c r="A793" t="s">
        <v>1569</v>
      </c>
      <c r="B793">
        <v>30.23</v>
      </c>
      <c r="C793">
        <v>6.94</v>
      </c>
      <c r="D793" t="s">
        <v>2372</v>
      </c>
      <c r="E793" t="s">
        <v>2370</v>
      </c>
      <c r="F793" t="s">
        <v>2373</v>
      </c>
      <c r="G793">
        <v>1</v>
      </c>
      <c r="H793" t="s">
        <v>2370</v>
      </c>
    </row>
    <row r="794" spans="1:8" x14ac:dyDescent="0.35">
      <c r="A794" t="s">
        <v>1568</v>
      </c>
      <c r="B794">
        <v>51.14</v>
      </c>
      <c r="C794">
        <v>4.05</v>
      </c>
      <c r="D794" t="s">
        <v>2370</v>
      </c>
      <c r="E794" t="s">
        <v>2370</v>
      </c>
      <c r="F794" t="s">
        <v>2370</v>
      </c>
      <c r="G794">
        <v>1</v>
      </c>
      <c r="H794" t="s">
        <v>2370</v>
      </c>
    </row>
    <row r="795" spans="1:8" x14ac:dyDescent="0.35">
      <c r="A795" t="s">
        <v>1567</v>
      </c>
      <c r="B795">
        <v>24.32</v>
      </c>
      <c r="C795">
        <v>10.220000000000001</v>
      </c>
      <c r="D795" t="s">
        <v>2370</v>
      </c>
      <c r="E795" t="s">
        <v>2370</v>
      </c>
      <c r="F795" t="s">
        <v>2370</v>
      </c>
      <c r="G795" t="s">
        <v>2371</v>
      </c>
      <c r="H795" t="s">
        <v>2370</v>
      </c>
    </row>
    <row r="796" spans="1:8" x14ac:dyDescent="0.35">
      <c r="A796" t="s">
        <v>1566</v>
      </c>
      <c r="B796">
        <v>38.06</v>
      </c>
      <c r="C796">
        <v>9.24</v>
      </c>
      <c r="D796" t="s">
        <v>2370</v>
      </c>
      <c r="E796" t="s">
        <v>2370</v>
      </c>
      <c r="F796" t="s">
        <v>2370</v>
      </c>
      <c r="G796" t="s">
        <v>2371</v>
      </c>
      <c r="H796" t="s">
        <v>2370</v>
      </c>
    </row>
    <row r="797" spans="1:8" x14ac:dyDescent="0.35">
      <c r="A797" t="s">
        <v>1565</v>
      </c>
      <c r="B797">
        <v>37.700000000000003</v>
      </c>
      <c r="C797">
        <v>8.6</v>
      </c>
      <c r="D797" t="s">
        <v>2370</v>
      </c>
      <c r="E797" t="s">
        <v>2370</v>
      </c>
      <c r="F797" t="s">
        <v>2370</v>
      </c>
      <c r="G797" t="s">
        <v>2371</v>
      </c>
      <c r="H797" t="s">
        <v>2370</v>
      </c>
    </row>
    <row r="798" spans="1:8" x14ac:dyDescent="0.35">
      <c r="A798" t="s">
        <v>1564</v>
      </c>
      <c r="B798">
        <v>44</v>
      </c>
      <c r="C798">
        <v>9.32</v>
      </c>
      <c r="D798" t="s">
        <v>2372</v>
      </c>
      <c r="E798" t="s">
        <v>2370</v>
      </c>
      <c r="F798" t="s">
        <v>2370</v>
      </c>
      <c r="G798">
        <v>2</v>
      </c>
      <c r="H798" t="s">
        <v>2370</v>
      </c>
    </row>
    <row r="799" spans="1:8" x14ac:dyDescent="0.35">
      <c r="A799" t="s">
        <v>1563</v>
      </c>
      <c r="B799">
        <v>41.45</v>
      </c>
      <c r="C799">
        <v>6.12</v>
      </c>
      <c r="D799" t="s">
        <v>2372</v>
      </c>
      <c r="E799" t="s">
        <v>2370</v>
      </c>
      <c r="F799" t="s">
        <v>2370</v>
      </c>
      <c r="G799" t="s">
        <v>2371</v>
      </c>
      <c r="H799" t="s">
        <v>2370</v>
      </c>
    </row>
    <row r="800" spans="1:8" x14ac:dyDescent="0.35">
      <c r="A800" t="s">
        <v>1562</v>
      </c>
      <c r="B800">
        <v>25.364999999999998</v>
      </c>
      <c r="C800">
        <v>9.19</v>
      </c>
      <c r="D800" t="s">
        <v>2372</v>
      </c>
      <c r="E800" t="s">
        <v>2370</v>
      </c>
      <c r="F800" t="s">
        <v>2370</v>
      </c>
      <c r="G800" t="s">
        <v>2371</v>
      </c>
      <c r="H800" t="s">
        <v>2370</v>
      </c>
    </row>
    <row r="801" spans="1:8" x14ac:dyDescent="0.35">
      <c r="A801" t="s">
        <v>1561</v>
      </c>
      <c r="B801">
        <v>34.56</v>
      </c>
      <c r="C801">
        <v>5.84</v>
      </c>
      <c r="D801" t="s">
        <v>2372</v>
      </c>
      <c r="E801" t="s">
        <v>2370</v>
      </c>
      <c r="F801" t="s">
        <v>2373</v>
      </c>
      <c r="G801">
        <v>1</v>
      </c>
      <c r="H801" t="s">
        <v>2370</v>
      </c>
    </row>
    <row r="802" spans="1:8" x14ac:dyDescent="0.35">
      <c r="A802" t="s">
        <v>1560</v>
      </c>
      <c r="B802">
        <v>28.2</v>
      </c>
      <c r="C802">
        <v>7.19</v>
      </c>
      <c r="D802" t="s">
        <v>2372</v>
      </c>
      <c r="E802" t="s">
        <v>2370</v>
      </c>
      <c r="F802" t="s">
        <v>2370</v>
      </c>
      <c r="G802">
        <v>2</v>
      </c>
      <c r="H802" t="s">
        <v>2370</v>
      </c>
    </row>
    <row r="803" spans="1:8" x14ac:dyDescent="0.35">
      <c r="A803" t="s">
        <v>1559</v>
      </c>
      <c r="B803">
        <v>30.43</v>
      </c>
      <c r="C803">
        <v>9.39</v>
      </c>
      <c r="D803" t="s">
        <v>2370</v>
      </c>
      <c r="E803" t="s">
        <v>2370</v>
      </c>
      <c r="F803" t="s">
        <v>2370</v>
      </c>
      <c r="G803" t="s">
        <v>2371</v>
      </c>
      <c r="H803" t="s">
        <v>2370</v>
      </c>
    </row>
    <row r="804" spans="1:8" x14ac:dyDescent="0.35">
      <c r="A804" t="s">
        <v>1558</v>
      </c>
      <c r="B804">
        <v>32.395000000000003</v>
      </c>
      <c r="C804">
        <v>4.2699999999999996</v>
      </c>
      <c r="D804" t="s">
        <v>2372</v>
      </c>
      <c r="E804" t="s">
        <v>2370</v>
      </c>
      <c r="F804" t="s">
        <v>2370</v>
      </c>
      <c r="G804">
        <v>1</v>
      </c>
      <c r="H804" t="s">
        <v>2370</v>
      </c>
    </row>
    <row r="805" spans="1:8" x14ac:dyDescent="0.35">
      <c r="A805" t="s">
        <v>1557</v>
      </c>
      <c r="B805">
        <v>24.035</v>
      </c>
      <c r="C805">
        <v>11.71</v>
      </c>
      <c r="D805" t="s">
        <v>2370</v>
      </c>
      <c r="E805" t="s">
        <v>2370</v>
      </c>
      <c r="F805" t="s">
        <v>2370</v>
      </c>
      <c r="G805" t="s">
        <v>2371</v>
      </c>
      <c r="H805" t="s">
        <v>2370</v>
      </c>
    </row>
    <row r="806" spans="1:8" x14ac:dyDescent="0.35">
      <c r="A806" t="s">
        <v>1556</v>
      </c>
      <c r="B806">
        <v>37.119999999999997</v>
      </c>
      <c r="C806">
        <v>5.29</v>
      </c>
      <c r="D806" t="s">
        <v>2370</v>
      </c>
      <c r="E806" t="s">
        <v>2370</v>
      </c>
      <c r="F806" t="s">
        <v>2370</v>
      </c>
      <c r="G806">
        <v>2</v>
      </c>
      <c r="H806" t="s">
        <v>2370</v>
      </c>
    </row>
    <row r="807" spans="1:8" x14ac:dyDescent="0.35">
      <c r="A807" t="s">
        <v>1555</v>
      </c>
      <c r="B807">
        <v>34.840000000000003</v>
      </c>
      <c r="C807">
        <v>6</v>
      </c>
      <c r="D807" t="s">
        <v>2372</v>
      </c>
      <c r="E807" t="s">
        <v>2370</v>
      </c>
      <c r="F807" t="s">
        <v>2373</v>
      </c>
      <c r="G807">
        <v>1</v>
      </c>
      <c r="H807" t="s">
        <v>2370</v>
      </c>
    </row>
    <row r="808" spans="1:8" x14ac:dyDescent="0.35">
      <c r="A808" t="s">
        <v>1554</v>
      </c>
      <c r="B808">
        <v>29.53</v>
      </c>
      <c r="C808">
        <v>10.64</v>
      </c>
      <c r="D808" t="s">
        <v>2370</v>
      </c>
      <c r="E808" t="s">
        <v>2370</v>
      </c>
      <c r="F808" t="s">
        <v>2370</v>
      </c>
      <c r="G808" t="s">
        <v>2371</v>
      </c>
      <c r="H808" t="s">
        <v>2370</v>
      </c>
    </row>
    <row r="809" spans="1:8" x14ac:dyDescent="0.35">
      <c r="A809" t="s">
        <v>1553</v>
      </c>
      <c r="B809">
        <v>42.51</v>
      </c>
      <c r="C809">
        <v>8.2100000000000009</v>
      </c>
      <c r="D809" t="s">
        <v>2372</v>
      </c>
      <c r="E809" t="s">
        <v>2370</v>
      </c>
      <c r="F809" t="s">
        <v>2370</v>
      </c>
      <c r="G809" t="s">
        <v>2371</v>
      </c>
      <c r="H809" t="s">
        <v>2370</v>
      </c>
    </row>
    <row r="810" spans="1:8" x14ac:dyDescent="0.35">
      <c r="A810" t="s">
        <v>1552</v>
      </c>
      <c r="B810">
        <v>38.14</v>
      </c>
      <c r="C810">
        <v>5.58</v>
      </c>
      <c r="D810" t="s">
        <v>2370</v>
      </c>
      <c r="E810" t="s">
        <v>2370</v>
      </c>
      <c r="F810" t="s">
        <v>2373</v>
      </c>
      <c r="G810">
        <v>1</v>
      </c>
      <c r="H810" t="s">
        <v>2370</v>
      </c>
    </row>
    <row r="811" spans="1:8" x14ac:dyDescent="0.35">
      <c r="A811" t="s">
        <v>1551</v>
      </c>
      <c r="B811">
        <v>39.93</v>
      </c>
      <c r="C811">
        <v>8.75</v>
      </c>
      <c r="D811" t="s">
        <v>2370</v>
      </c>
      <c r="E811" t="s">
        <v>2370</v>
      </c>
      <c r="F811" t="s">
        <v>2370</v>
      </c>
      <c r="G811" t="s">
        <v>2371</v>
      </c>
      <c r="H811" t="s">
        <v>2370</v>
      </c>
    </row>
    <row r="812" spans="1:8" x14ac:dyDescent="0.35">
      <c r="A812" t="s">
        <v>1550</v>
      </c>
      <c r="B812">
        <v>38.83</v>
      </c>
      <c r="C812">
        <v>11.86</v>
      </c>
      <c r="D812" t="s">
        <v>2370</v>
      </c>
      <c r="E812" t="s">
        <v>2370</v>
      </c>
      <c r="F812" t="s">
        <v>2370</v>
      </c>
      <c r="G812" t="s">
        <v>2371</v>
      </c>
      <c r="H812" t="s">
        <v>2370</v>
      </c>
    </row>
    <row r="813" spans="1:8" x14ac:dyDescent="0.35">
      <c r="A813" t="s">
        <v>1549</v>
      </c>
      <c r="B813">
        <v>37.4</v>
      </c>
      <c r="C813">
        <v>11.46</v>
      </c>
      <c r="D813" t="s">
        <v>2370</v>
      </c>
      <c r="E813" t="s">
        <v>2370</v>
      </c>
      <c r="F813" t="s">
        <v>2370</v>
      </c>
      <c r="G813" t="s">
        <v>2371</v>
      </c>
      <c r="H813" t="s">
        <v>2370</v>
      </c>
    </row>
    <row r="814" spans="1:8" x14ac:dyDescent="0.35">
      <c r="A814" t="s">
        <v>1548</v>
      </c>
      <c r="B814">
        <v>21.4</v>
      </c>
      <c r="C814">
        <v>9.0299999999999994</v>
      </c>
      <c r="D814" t="s">
        <v>2370</v>
      </c>
      <c r="E814" t="s">
        <v>2370</v>
      </c>
      <c r="F814" t="s">
        <v>2370</v>
      </c>
      <c r="G814" t="s">
        <v>2371</v>
      </c>
      <c r="H814" t="s">
        <v>2370</v>
      </c>
    </row>
    <row r="815" spans="1:8" x14ac:dyDescent="0.35">
      <c r="A815" t="s">
        <v>1547</v>
      </c>
      <c r="B815">
        <v>38.380000000000003</v>
      </c>
      <c r="C815">
        <v>8.26</v>
      </c>
      <c r="D815" t="s">
        <v>2372</v>
      </c>
      <c r="E815" t="s">
        <v>2370</v>
      </c>
      <c r="F815" t="s">
        <v>2370</v>
      </c>
      <c r="G815">
        <v>2</v>
      </c>
      <c r="H815" t="s">
        <v>2370</v>
      </c>
    </row>
    <row r="816" spans="1:8" x14ac:dyDescent="0.35">
      <c r="A816" t="s">
        <v>1546</v>
      </c>
      <c r="B816">
        <v>33.659999999999997</v>
      </c>
      <c r="C816">
        <v>5.42</v>
      </c>
      <c r="D816" t="s">
        <v>2372</v>
      </c>
      <c r="E816" t="s">
        <v>2370</v>
      </c>
      <c r="F816" t="s">
        <v>2370</v>
      </c>
      <c r="G816">
        <v>2</v>
      </c>
      <c r="H816" t="s">
        <v>2370</v>
      </c>
    </row>
    <row r="817" spans="1:8" x14ac:dyDescent="0.35">
      <c r="A817" t="s">
        <v>1545</v>
      </c>
      <c r="B817">
        <v>31.79</v>
      </c>
      <c r="C817">
        <v>11.33</v>
      </c>
      <c r="D817" t="s">
        <v>2372</v>
      </c>
      <c r="E817" t="s">
        <v>2370</v>
      </c>
      <c r="F817" t="s">
        <v>2373</v>
      </c>
      <c r="G817">
        <v>1</v>
      </c>
      <c r="H817" t="s">
        <v>2370</v>
      </c>
    </row>
    <row r="818" spans="1:8" x14ac:dyDescent="0.35">
      <c r="A818" t="s">
        <v>1544</v>
      </c>
      <c r="B818">
        <v>29.7</v>
      </c>
      <c r="C818">
        <v>7.69</v>
      </c>
      <c r="D818" t="s">
        <v>2372</v>
      </c>
      <c r="E818" t="s">
        <v>2370</v>
      </c>
      <c r="F818" t="s">
        <v>2373</v>
      </c>
      <c r="G818">
        <v>1</v>
      </c>
      <c r="H818" t="s">
        <v>2370</v>
      </c>
    </row>
    <row r="819" spans="1:8" x14ac:dyDescent="0.35">
      <c r="A819" t="s">
        <v>1543</v>
      </c>
      <c r="B819">
        <v>25.46</v>
      </c>
      <c r="C819">
        <v>8.77</v>
      </c>
      <c r="D819" t="s">
        <v>2372</v>
      </c>
      <c r="E819" t="s">
        <v>2370</v>
      </c>
      <c r="F819" t="s">
        <v>2373</v>
      </c>
      <c r="G819">
        <v>1</v>
      </c>
      <c r="H819" t="s">
        <v>2370</v>
      </c>
    </row>
    <row r="820" spans="1:8" x14ac:dyDescent="0.35">
      <c r="A820" t="s">
        <v>1542</v>
      </c>
      <c r="B820">
        <v>39.14</v>
      </c>
      <c r="C820">
        <v>4.91</v>
      </c>
      <c r="D820" t="s">
        <v>2370</v>
      </c>
      <c r="E820" t="s">
        <v>2372</v>
      </c>
      <c r="F820" t="s">
        <v>2370</v>
      </c>
      <c r="G820">
        <v>1</v>
      </c>
      <c r="H820" t="s">
        <v>2370</v>
      </c>
    </row>
    <row r="821" spans="1:8" x14ac:dyDescent="0.35">
      <c r="A821" t="s">
        <v>1541</v>
      </c>
      <c r="B821">
        <v>41.2</v>
      </c>
      <c r="C821">
        <v>4.95</v>
      </c>
      <c r="D821" t="s">
        <v>2370</v>
      </c>
      <c r="E821" t="s">
        <v>2370</v>
      </c>
      <c r="F821" t="s">
        <v>2370</v>
      </c>
      <c r="G821">
        <v>1</v>
      </c>
      <c r="H821" t="s">
        <v>2370</v>
      </c>
    </row>
    <row r="822" spans="1:8" x14ac:dyDescent="0.35">
      <c r="A822" t="s">
        <v>1540</v>
      </c>
      <c r="B822">
        <v>28.81</v>
      </c>
      <c r="C822">
        <v>10.8</v>
      </c>
      <c r="D822" t="s">
        <v>2372</v>
      </c>
      <c r="E822" t="s">
        <v>2370</v>
      </c>
      <c r="F822" t="s">
        <v>2373</v>
      </c>
      <c r="G822">
        <v>1</v>
      </c>
      <c r="H822" t="s">
        <v>2370</v>
      </c>
    </row>
    <row r="823" spans="1:8" x14ac:dyDescent="0.35">
      <c r="A823" t="s">
        <v>1539</v>
      </c>
      <c r="B823">
        <v>37.409999999999997</v>
      </c>
      <c r="C823">
        <v>7.21</v>
      </c>
      <c r="D823" t="s">
        <v>2370</v>
      </c>
      <c r="E823" t="s">
        <v>2370</v>
      </c>
      <c r="F823" t="s">
        <v>2370</v>
      </c>
      <c r="G823">
        <v>2</v>
      </c>
      <c r="H823" t="s">
        <v>2370</v>
      </c>
    </row>
    <row r="824" spans="1:8" x14ac:dyDescent="0.35">
      <c r="A824" t="s">
        <v>1538</v>
      </c>
      <c r="B824">
        <v>52.54</v>
      </c>
      <c r="C824">
        <v>5.12</v>
      </c>
      <c r="D824" t="s">
        <v>2370</v>
      </c>
      <c r="E824" t="s">
        <v>2370</v>
      </c>
      <c r="F824" t="s">
        <v>2373</v>
      </c>
      <c r="G824">
        <v>1</v>
      </c>
      <c r="H824" t="s">
        <v>2370</v>
      </c>
    </row>
    <row r="825" spans="1:8" x14ac:dyDescent="0.35">
      <c r="A825" t="s">
        <v>1537</v>
      </c>
      <c r="B825">
        <v>17.29</v>
      </c>
      <c r="C825">
        <v>4.62</v>
      </c>
      <c r="D825" t="s">
        <v>2370</v>
      </c>
      <c r="E825" t="s">
        <v>2372</v>
      </c>
      <c r="F825" t="s">
        <v>2370</v>
      </c>
      <c r="G825">
        <v>1</v>
      </c>
      <c r="H825" t="s">
        <v>2372</v>
      </c>
    </row>
    <row r="826" spans="1:8" x14ac:dyDescent="0.35">
      <c r="A826" t="s">
        <v>1536</v>
      </c>
      <c r="B826">
        <v>31.74</v>
      </c>
      <c r="C826">
        <v>7.68</v>
      </c>
      <c r="D826" t="s">
        <v>2372</v>
      </c>
      <c r="E826" t="s">
        <v>2370</v>
      </c>
      <c r="F826" t="s">
        <v>2370</v>
      </c>
      <c r="G826" t="s">
        <v>2371</v>
      </c>
      <c r="H826" t="s">
        <v>2370</v>
      </c>
    </row>
    <row r="827" spans="1:8" x14ac:dyDescent="0.35">
      <c r="A827" t="s">
        <v>1535</v>
      </c>
      <c r="B827">
        <v>26.504999999999999</v>
      </c>
      <c r="C827">
        <v>6.79</v>
      </c>
      <c r="D827" t="s">
        <v>2372</v>
      </c>
      <c r="E827" t="s">
        <v>2370</v>
      </c>
      <c r="F827" t="s">
        <v>2373</v>
      </c>
      <c r="G827">
        <v>1</v>
      </c>
      <c r="H827" t="s">
        <v>2370</v>
      </c>
    </row>
    <row r="828" spans="1:8" x14ac:dyDescent="0.35">
      <c r="A828" t="s">
        <v>1534</v>
      </c>
      <c r="B828">
        <v>36.479999999999997</v>
      </c>
      <c r="C828">
        <v>11.09</v>
      </c>
      <c r="D828" t="s">
        <v>2370</v>
      </c>
      <c r="E828" t="s">
        <v>2370</v>
      </c>
      <c r="F828" t="s">
        <v>2370</v>
      </c>
      <c r="G828" t="s">
        <v>2371</v>
      </c>
      <c r="H828" t="s">
        <v>2370</v>
      </c>
    </row>
    <row r="829" spans="1:8" x14ac:dyDescent="0.35">
      <c r="A829" t="s">
        <v>1533</v>
      </c>
      <c r="B829">
        <v>39.159999999999997</v>
      </c>
      <c r="C829">
        <v>5.24</v>
      </c>
      <c r="D829" t="s">
        <v>2372</v>
      </c>
      <c r="E829" t="s">
        <v>2370</v>
      </c>
      <c r="F829" t="s">
        <v>2373</v>
      </c>
      <c r="G829">
        <v>1</v>
      </c>
      <c r="H829" t="s">
        <v>2370</v>
      </c>
    </row>
    <row r="830" spans="1:8" x14ac:dyDescent="0.35">
      <c r="A830" t="s">
        <v>1532</v>
      </c>
      <c r="B830">
        <v>28.22</v>
      </c>
      <c r="C830">
        <v>7.51</v>
      </c>
      <c r="D830" t="s">
        <v>2372</v>
      </c>
      <c r="E830" t="s">
        <v>2370</v>
      </c>
      <c r="F830" t="s">
        <v>2373</v>
      </c>
      <c r="G830">
        <v>1</v>
      </c>
      <c r="H830" t="s">
        <v>2370</v>
      </c>
    </row>
    <row r="831" spans="1:8" x14ac:dyDescent="0.35">
      <c r="A831" t="s">
        <v>1531</v>
      </c>
      <c r="B831">
        <v>35</v>
      </c>
      <c r="C831">
        <v>4.13</v>
      </c>
      <c r="D831" t="s">
        <v>2370</v>
      </c>
      <c r="E831" t="s">
        <v>2370</v>
      </c>
      <c r="F831" t="s">
        <v>2370</v>
      </c>
      <c r="G831">
        <v>2</v>
      </c>
      <c r="H831" t="s">
        <v>2370</v>
      </c>
    </row>
    <row r="832" spans="1:8" x14ac:dyDescent="0.35">
      <c r="A832" t="s">
        <v>1530</v>
      </c>
      <c r="B832">
        <v>36.24</v>
      </c>
      <c r="C832">
        <v>8.3800000000000008</v>
      </c>
      <c r="D832" t="s">
        <v>2372</v>
      </c>
      <c r="E832" t="s">
        <v>2370</v>
      </c>
      <c r="F832" t="s">
        <v>2370</v>
      </c>
      <c r="G832">
        <v>1</v>
      </c>
      <c r="H832" t="s">
        <v>2370</v>
      </c>
    </row>
    <row r="833" spans="1:8" x14ac:dyDescent="0.35">
      <c r="A833" t="s">
        <v>1529</v>
      </c>
      <c r="B833">
        <v>36.954999999999998</v>
      </c>
      <c r="C833">
        <v>8.07</v>
      </c>
      <c r="D833" t="s">
        <v>2370</v>
      </c>
      <c r="E833" t="s">
        <v>2370</v>
      </c>
      <c r="F833" t="s">
        <v>2370</v>
      </c>
      <c r="G833" t="s">
        <v>2371</v>
      </c>
      <c r="H833" t="s">
        <v>2370</v>
      </c>
    </row>
    <row r="834" spans="1:8" x14ac:dyDescent="0.35">
      <c r="A834" t="s">
        <v>1528</v>
      </c>
      <c r="B834">
        <v>29.64</v>
      </c>
      <c r="C834">
        <v>8.9499999999999993</v>
      </c>
      <c r="D834" t="s">
        <v>2370</v>
      </c>
      <c r="E834" t="s">
        <v>2370</v>
      </c>
      <c r="F834" t="s">
        <v>2370</v>
      </c>
      <c r="G834" t="s">
        <v>2371</v>
      </c>
      <c r="H834" t="s">
        <v>2370</v>
      </c>
    </row>
    <row r="835" spans="1:8" x14ac:dyDescent="0.35">
      <c r="A835" t="s">
        <v>1527</v>
      </c>
      <c r="B835">
        <v>42.74</v>
      </c>
      <c r="C835">
        <v>6.31</v>
      </c>
      <c r="D835" t="s">
        <v>2372</v>
      </c>
      <c r="E835" t="s">
        <v>2370</v>
      </c>
      <c r="F835" t="s">
        <v>2370</v>
      </c>
      <c r="G835">
        <v>1</v>
      </c>
      <c r="H835" t="s">
        <v>2370</v>
      </c>
    </row>
    <row r="836" spans="1:8" x14ac:dyDescent="0.35">
      <c r="A836" t="s">
        <v>1526</v>
      </c>
      <c r="B836">
        <v>36.130000000000003</v>
      </c>
      <c r="C836">
        <v>7.19</v>
      </c>
      <c r="D836" t="s">
        <v>2372</v>
      </c>
      <c r="E836" t="s">
        <v>2370</v>
      </c>
      <c r="F836" t="s">
        <v>2370</v>
      </c>
      <c r="G836">
        <v>2</v>
      </c>
      <c r="H836" t="s">
        <v>2370</v>
      </c>
    </row>
    <row r="837" spans="1:8" x14ac:dyDescent="0.35">
      <c r="A837" t="s">
        <v>1525</v>
      </c>
      <c r="B837">
        <v>31.55</v>
      </c>
      <c r="C837">
        <v>6.11</v>
      </c>
      <c r="D837" t="s">
        <v>2372</v>
      </c>
      <c r="E837" t="s">
        <v>2370</v>
      </c>
      <c r="F837" t="s">
        <v>2370</v>
      </c>
      <c r="G837">
        <v>1</v>
      </c>
      <c r="H837" t="s">
        <v>2370</v>
      </c>
    </row>
    <row r="838" spans="1:8" x14ac:dyDescent="0.35">
      <c r="A838" t="s">
        <v>1524</v>
      </c>
      <c r="B838">
        <v>52.75</v>
      </c>
      <c r="C838">
        <v>6.02</v>
      </c>
      <c r="D838" t="s">
        <v>2370</v>
      </c>
      <c r="E838" t="s">
        <v>2370</v>
      </c>
      <c r="F838" t="s">
        <v>2370</v>
      </c>
      <c r="G838">
        <v>1</v>
      </c>
      <c r="H838" t="s">
        <v>2370</v>
      </c>
    </row>
    <row r="839" spans="1:8" x14ac:dyDescent="0.35">
      <c r="A839" t="s">
        <v>1523</v>
      </c>
      <c r="B839">
        <v>36.67</v>
      </c>
      <c r="C839">
        <v>11.86</v>
      </c>
      <c r="D839" t="s">
        <v>2370</v>
      </c>
      <c r="E839" t="s">
        <v>2370</v>
      </c>
      <c r="F839" t="s">
        <v>2370</v>
      </c>
      <c r="G839" t="s">
        <v>2371</v>
      </c>
      <c r="H839" t="s">
        <v>2370</v>
      </c>
    </row>
    <row r="840" spans="1:8" x14ac:dyDescent="0.35">
      <c r="A840" t="s">
        <v>1522</v>
      </c>
      <c r="B840">
        <v>38.06</v>
      </c>
      <c r="C840">
        <v>8.25</v>
      </c>
      <c r="D840" t="s">
        <v>2370</v>
      </c>
      <c r="E840" t="s">
        <v>2370</v>
      </c>
      <c r="F840" t="s">
        <v>2370</v>
      </c>
      <c r="G840" t="s">
        <v>2371</v>
      </c>
      <c r="H840" t="s">
        <v>2370</v>
      </c>
    </row>
    <row r="841" spans="1:8" x14ac:dyDescent="0.35">
      <c r="A841" t="s">
        <v>1521</v>
      </c>
      <c r="B841">
        <v>38</v>
      </c>
      <c r="C841">
        <v>8.1300000000000008</v>
      </c>
      <c r="D841" t="s">
        <v>2370</v>
      </c>
      <c r="E841" t="s">
        <v>2370</v>
      </c>
      <c r="F841" t="s">
        <v>2370</v>
      </c>
      <c r="G841" t="s">
        <v>2371</v>
      </c>
      <c r="H841" t="s">
        <v>2370</v>
      </c>
    </row>
    <row r="842" spans="1:8" x14ac:dyDescent="0.35">
      <c r="A842" t="s">
        <v>1520</v>
      </c>
      <c r="B842">
        <v>35.1</v>
      </c>
      <c r="C842">
        <v>10.1</v>
      </c>
      <c r="D842" t="s">
        <v>2370</v>
      </c>
      <c r="E842" t="s">
        <v>2370</v>
      </c>
      <c r="F842" t="s">
        <v>2370</v>
      </c>
      <c r="G842" t="s">
        <v>2371</v>
      </c>
      <c r="H842" t="s">
        <v>2370</v>
      </c>
    </row>
    <row r="843" spans="1:8" x14ac:dyDescent="0.35">
      <c r="A843" t="s">
        <v>1519</v>
      </c>
      <c r="B843">
        <v>33.82</v>
      </c>
      <c r="C843">
        <v>5.89</v>
      </c>
      <c r="D843" t="s">
        <v>2372</v>
      </c>
      <c r="E843" t="s">
        <v>2370</v>
      </c>
      <c r="F843" t="s">
        <v>2370</v>
      </c>
      <c r="G843">
        <v>2</v>
      </c>
      <c r="H843" t="s">
        <v>2370</v>
      </c>
    </row>
    <row r="844" spans="1:8" x14ac:dyDescent="0.35">
      <c r="A844" t="s">
        <v>1518</v>
      </c>
      <c r="B844">
        <v>37.43</v>
      </c>
      <c r="C844">
        <v>4.97</v>
      </c>
      <c r="D844" t="s">
        <v>2370</v>
      </c>
      <c r="E844" t="s">
        <v>2370</v>
      </c>
      <c r="F844" t="s">
        <v>2370</v>
      </c>
      <c r="G844">
        <v>2</v>
      </c>
      <c r="H844" t="s">
        <v>2370</v>
      </c>
    </row>
    <row r="845" spans="1:8" x14ac:dyDescent="0.35">
      <c r="A845" t="s">
        <v>1517</v>
      </c>
      <c r="B845">
        <v>30.5</v>
      </c>
      <c r="C845">
        <v>9.9</v>
      </c>
      <c r="D845" t="s">
        <v>2370</v>
      </c>
      <c r="E845" t="s">
        <v>2370</v>
      </c>
      <c r="F845" t="s">
        <v>2370</v>
      </c>
      <c r="G845" t="s">
        <v>2371</v>
      </c>
      <c r="H845" t="s">
        <v>2370</v>
      </c>
    </row>
    <row r="846" spans="1:8" x14ac:dyDescent="0.35">
      <c r="A846" t="s">
        <v>1516</v>
      </c>
      <c r="B846">
        <v>24.53</v>
      </c>
      <c r="C846">
        <v>9.0500000000000007</v>
      </c>
      <c r="D846" t="s">
        <v>2370</v>
      </c>
      <c r="E846" t="s">
        <v>2370</v>
      </c>
      <c r="F846" t="s">
        <v>2370</v>
      </c>
      <c r="G846" t="s">
        <v>2371</v>
      </c>
      <c r="H846" t="s">
        <v>2370</v>
      </c>
    </row>
    <row r="847" spans="1:8" x14ac:dyDescent="0.35">
      <c r="A847" t="s">
        <v>1515</v>
      </c>
      <c r="B847">
        <v>25.74</v>
      </c>
      <c r="C847">
        <v>10.93</v>
      </c>
      <c r="D847" t="s">
        <v>2370</v>
      </c>
      <c r="E847" t="s">
        <v>2370</v>
      </c>
      <c r="F847" t="s">
        <v>2370</v>
      </c>
      <c r="G847" t="s">
        <v>2371</v>
      </c>
      <c r="H847" t="s">
        <v>2370</v>
      </c>
    </row>
    <row r="848" spans="1:8" x14ac:dyDescent="0.35">
      <c r="A848" t="s">
        <v>1514</v>
      </c>
      <c r="B848">
        <v>34.08</v>
      </c>
      <c r="C848">
        <v>7.58</v>
      </c>
      <c r="D848" t="s">
        <v>2372</v>
      </c>
      <c r="E848" t="s">
        <v>2370</v>
      </c>
      <c r="F848" t="s">
        <v>2370</v>
      </c>
      <c r="G848">
        <v>2</v>
      </c>
      <c r="H848" t="s">
        <v>2370</v>
      </c>
    </row>
    <row r="849" spans="1:8" x14ac:dyDescent="0.35">
      <c r="A849" t="s">
        <v>1513</v>
      </c>
      <c r="B849">
        <v>31.35</v>
      </c>
      <c r="C849">
        <v>11</v>
      </c>
      <c r="D849" t="s">
        <v>2372</v>
      </c>
      <c r="E849" t="s">
        <v>2370</v>
      </c>
      <c r="F849" t="s">
        <v>2373</v>
      </c>
      <c r="G849">
        <v>1</v>
      </c>
      <c r="H849" t="s">
        <v>2370</v>
      </c>
    </row>
    <row r="850" spans="1:8" x14ac:dyDescent="0.35">
      <c r="A850" t="s">
        <v>1512</v>
      </c>
      <c r="B850">
        <v>26.79</v>
      </c>
      <c r="C850">
        <v>5.0599999999999996</v>
      </c>
      <c r="D850" t="s">
        <v>2370</v>
      </c>
      <c r="E850" t="s">
        <v>2370</v>
      </c>
      <c r="F850" t="s">
        <v>2370</v>
      </c>
      <c r="G850">
        <v>1</v>
      </c>
      <c r="H850" t="s">
        <v>2370</v>
      </c>
    </row>
    <row r="851" spans="1:8" x14ac:dyDescent="0.35">
      <c r="A851" t="s">
        <v>1511</v>
      </c>
      <c r="B851">
        <v>42.78</v>
      </c>
      <c r="C851">
        <v>6.11</v>
      </c>
      <c r="D851" t="s">
        <v>2372</v>
      </c>
      <c r="E851" t="s">
        <v>2370</v>
      </c>
      <c r="F851" t="s">
        <v>2370</v>
      </c>
      <c r="G851">
        <v>1</v>
      </c>
      <c r="H851" t="s">
        <v>2370</v>
      </c>
    </row>
    <row r="852" spans="1:8" x14ac:dyDescent="0.35">
      <c r="A852" t="s">
        <v>1510</v>
      </c>
      <c r="B852">
        <v>46.75</v>
      </c>
      <c r="C852">
        <v>6.66</v>
      </c>
      <c r="D852" t="s">
        <v>2372</v>
      </c>
      <c r="E852" t="s">
        <v>2370</v>
      </c>
      <c r="F852" t="s">
        <v>2370</v>
      </c>
      <c r="G852">
        <v>2</v>
      </c>
      <c r="H852" t="s">
        <v>2370</v>
      </c>
    </row>
    <row r="853" spans="1:8" x14ac:dyDescent="0.35">
      <c r="A853" t="s">
        <v>1509</v>
      </c>
      <c r="B853">
        <v>32.15</v>
      </c>
      <c r="C853">
        <v>4.0199999999999996</v>
      </c>
      <c r="D853" t="s">
        <v>2372</v>
      </c>
      <c r="E853" t="s">
        <v>2370</v>
      </c>
      <c r="F853" t="s">
        <v>2373</v>
      </c>
      <c r="G853">
        <v>1</v>
      </c>
      <c r="H853" t="s">
        <v>2370</v>
      </c>
    </row>
    <row r="854" spans="1:8" x14ac:dyDescent="0.35">
      <c r="A854" t="s">
        <v>1508</v>
      </c>
      <c r="B854">
        <v>43.4</v>
      </c>
      <c r="C854">
        <v>8.81</v>
      </c>
      <c r="D854" t="s">
        <v>2372</v>
      </c>
      <c r="E854" t="s">
        <v>2370</v>
      </c>
      <c r="F854" t="s">
        <v>2370</v>
      </c>
      <c r="G854">
        <v>2</v>
      </c>
      <c r="H854" t="s">
        <v>2370</v>
      </c>
    </row>
    <row r="855" spans="1:8" x14ac:dyDescent="0.35">
      <c r="A855" t="s">
        <v>1507</v>
      </c>
      <c r="B855">
        <v>31.57</v>
      </c>
      <c r="C855">
        <v>7.92</v>
      </c>
      <c r="D855" t="s">
        <v>2372</v>
      </c>
      <c r="E855" t="s">
        <v>2370</v>
      </c>
      <c r="F855" t="s">
        <v>2370</v>
      </c>
      <c r="G855">
        <v>2</v>
      </c>
      <c r="H855" t="s">
        <v>2370</v>
      </c>
    </row>
    <row r="856" spans="1:8" x14ac:dyDescent="0.35">
      <c r="A856" t="s">
        <v>1506</v>
      </c>
      <c r="B856">
        <v>24.32</v>
      </c>
      <c r="C856">
        <v>7.48</v>
      </c>
      <c r="D856" t="s">
        <v>2370</v>
      </c>
      <c r="E856" t="s">
        <v>2370</v>
      </c>
      <c r="F856" t="s">
        <v>2370</v>
      </c>
      <c r="G856" t="s">
        <v>2371</v>
      </c>
      <c r="H856" t="s">
        <v>2370</v>
      </c>
    </row>
    <row r="857" spans="1:8" x14ac:dyDescent="0.35">
      <c r="A857" t="s">
        <v>1505</v>
      </c>
      <c r="B857">
        <v>31.07</v>
      </c>
      <c r="C857">
        <v>4.62</v>
      </c>
      <c r="D857" t="s">
        <v>2372</v>
      </c>
      <c r="E857" t="s">
        <v>2370</v>
      </c>
      <c r="F857" t="s">
        <v>2370</v>
      </c>
      <c r="G857">
        <v>2</v>
      </c>
      <c r="H857" t="s">
        <v>2370</v>
      </c>
    </row>
    <row r="858" spans="1:8" x14ac:dyDescent="0.35">
      <c r="A858" t="s">
        <v>1504</v>
      </c>
      <c r="B858">
        <v>35.814999999999998</v>
      </c>
      <c r="C858">
        <v>8.4700000000000006</v>
      </c>
      <c r="D858" t="s">
        <v>2370</v>
      </c>
      <c r="E858" t="s">
        <v>2370</v>
      </c>
      <c r="F858" t="s">
        <v>2370</v>
      </c>
      <c r="G858" t="s">
        <v>2371</v>
      </c>
      <c r="H858" t="s">
        <v>2370</v>
      </c>
    </row>
    <row r="859" spans="1:8" x14ac:dyDescent="0.35">
      <c r="A859" t="s">
        <v>1503</v>
      </c>
      <c r="B859">
        <v>40.81</v>
      </c>
      <c r="C859">
        <v>10.58</v>
      </c>
      <c r="D859" t="s">
        <v>2372</v>
      </c>
      <c r="E859" t="s">
        <v>2370</v>
      </c>
      <c r="F859" t="s">
        <v>2370</v>
      </c>
      <c r="G859" t="s">
        <v>2371</v>
      </c>
      <c r="H859" t="s">
        <v>2370</v>
      </c>
    </row>
    <row r="860" spans="1:8" x14ac:dyDescent="0.35">
      <c r="A860" t="s">
        <v>1502</v>
      </c>
      <c r="B860">
        <v>24.605</v>
      </c>
      <c r="C860">
        <v>7.48</v>
      </c>
      <c r="D860" t="s">
        <v>2370</v>
      </c>
      <c r="E860" t="s">
        <v>2370</v>
      </c>
      <c r="F860" t="s">
        <v>2370</v>
      </c>
      <c r="G860" t="s">
        <v>2371</v>
      </c>
      <c r="H860" t="s">
        <v>2370</v>
      </c>
    </row>
    <row r="861" spans="1:8" x14ac:dyDescent="0.35">
      <c r="A861" t="s">
        <v>1501</v>
      </c>
      <c r="B861">
        <v>21.47</v>
      </c>
      <c r="C861">
        <v>7.82</v>
      </c>
      <c r="D861" t="s">
        <v>2370</v>
      </c>
      <c r="E861" t="s">
        <v>2370</v>
      </c>
      <c r="F861" t="s">
        <v>2370</v>
      </c>
      <c r="G861" t="s">
        <v>2371</v>
      </c>
      <c r="H861" t="s">
        <v>2370</v>
      </c>
    </row>
    <row r="862" spans="1:8" x14ac:dyDescent="0.35">
      <c r="A862" t="s">
        <v>1500</v>
      </c>
      <c r="B862">
        <v>52.89</v>
      </c>
      <c r="C862">
        <v>4.96</v>
      </c>
      <c r="D862" t="s">
        <v>2372</v>
      </c>
      <c r="E862" t="s">
        <v>2370</v>
      </c>
      <c r="F862" t="s">
        <v>2370</v>
      </c>
      <c r="G862">
        <v>1</v>
      </c>
      <c r="H862" t="s">
        <v>2370</v>
      </c>
    </row>
    <row r="863" spans="1:8" x14ac:dyDescent="0.35">
      <c r="A863" t="s">
        <v>1499</v>
      </c>
      <c r="B863">
        <v>32.965000000000003</v>
      </c>
      <c r="C863">
        <v>6.15</v>
      </c>
      <c r="D863" t="s">
        <v>2372</v>
      </c>
      <c r="E863" t="s">
        <v>2370</v>
      </c>
      <c r="F863" t="s">
        <v>2370</v>
      </c>
      <c r="G863">
        <v>1</v>
      </c>
      <c r="H863" t="s">
        <v>2370</v>
      </c>
    </row>
    <row r="864" spans="1:8" x14ac:dyDescent="0.35">
      <c r="A864" t="s">
        <v>1498</v>
      </c>
      <c r="B864">
        <v>36.799999999999997</v>
      </c>
      <c r="C864">
        <v>4.62</v>
      </c>
      <c r="D864" t="s">
        <v>2370</v>
      </c>
      <c r="E864" t="s">
        <v>2370</v>
      </c>
      <c r="F864" t="s">
        <v>2373</v>
      </c>
      <c r="G864">
        <v>1</v>
      </c>
      <c r="H864" t="s">
        <v>2370</v>
      </c>
    </row>
    <row r="865" spans="1:8" x14ac:dyDescent="0.35">
      <c r="A865" t="s">
        <v>1497</v>
      </c>
      <c r="B865">
        <v>34.299999999999997</v>
      </c>
      <c r="C865">
        <v>4.87</v>
      </c>
      <c r="D865" t="s">
        <v>2370</v>
      </c>
      <c r="E865" t="s">
        <v>2370</v>
      </c>
      <c r="F865" t="s">
        <v>2370</v>
      </c>
      <c r="G865">
        <v>2</v>
      </c>
      <c r="H865" t="s">
        <v>2370</v>
      </c>
    </row>
    <row r="866" spans="1:8" x14ac:dyDescent="0.35">
      <c r="A866" t="s">
        <v>1496</v>
      </c>
      <c r="B866">
        <v>35.244999999999997</v>
      </c>
      <c r="C866">
        <v>4.63</v>
      </c>
      <c r="D866" t="s">
        <v>2370</v>
      </c>
      <c r="E866" t="s">
        <v>2370</v>
      </c>
      <c r="F866" t="s">
        <v>2370</v>
      </c>
      <c r="G866" t="s">
        <v>2371</v>
      </c>
      <c r="H866" t="s">
        <v>2370</v>
      </c>
    </row>
    <row r="867" spans="1:8" x14ac:dyDescent="0.35">
      <c r="A867" t="s">
        <v>1495</v>
      </c>
      <c r="B867">
        <v>26.23</v>
      </c>
      <c r="C867">
        <v>11.93</v>
      </c>
      <c r="D867" t="s">
        <v>2370</v>
      </c>
      <c r="E867" t="s">
        <v>2370</v>
      </c>
      <c r="F867" t="s">
        <v>2370</v>
      </c>
      <c r="G867" t="s">
        <v>2371</v>
      </c>
      <c r="H867" t="s">
        <v>2370</v>
      </c>
    </row>
    <row r="868" spans="1:8" x14ac:dyDescent="0.35">
      <c r="A868" t="s">
        <v>1494</v>
      </c>
      <c r="B868">
        <v>36.1</v>
      </c>
      <c r="C868">
        <v>5.65</v>
      </c>
      <c r="D868" t="s">
        <v>2372</v>
      </c>
      <c r="E868" t="s">
        <v>2370</v>
      </c>
      <c r="F868" t="s">
        <v>2370</v>
      </c>
      <c r="G868">
        <v>2</v>
      </c>
      <c r="H868" t="s">
        <v>2370</v>
      </c>
    </row>
    <row r="869" spans="1:8" x14ac:dyDescent="0.35">
      <c r="A869" t="s">
        <v>1493</v>
      </c>
      <c r="B869">
        <v>37.1</v>
      </c>
      <c r="C869">
        <v>11.21</v>
      </c>
      <c r="D869" t="s">
        <v>2372</v>
      </c>
      <c r="E869" t="s">
        <v>2370</v>
      </c>
      <c r="F869" t="s">
        <v>2373</v>
      </c>
      <c r="G869">
        <v>1</v>
      </c>
      <c r="H869" t="s">
        <v>2370</v>
      </c>
    </row>
    <row r="870" spans="1:8" x14ac:dyDescent="0.35">
      <c r="A870" t="s">
        <v>1492</v>
      </c>
      <c r="B870">
        <v>27.5</v>
      </c>
      <c r="C870">
        <v>10.62</v>
      </c>
      <c r="D870" t="s">
        <v>2372</v>
      </c>
      <c r="E870" t="s">
        <v>2370</v>
      </c>
      <c r="F870" t="s">
        <v>2373</v>
      </c>
      <c r="G870">
        <v>1</v>
      </c>
      <c r="H870" t="s">
        <v>2370</v>
      </c>
    </row>
    <row r="871" spans="1:8" x14ac:dyDescent="0.35">
      <c r="A871" t="s">
        <v>1491</v>
      </c>
      <c r="B871">
        <v>24.7</v>
      </c>
      <c r="C871">
        <v>10.7</v>
      </c>
      <c r="D871" t="s">
        <v>2372</v>
      </c>
      <c r="E871" t="s">
        <v>2370</v>
      </c>
      <c r="F871" t="s">
        <v>2373</v>
      </c>
      <c r="G871">
        <v>1</v>
      </c>
      <c r="H871" t="s">
        <v>2370</v>
      </c>
    </row>
    <row r="872" spans="1:8" x14ac:dyDescent="0.35">
      <c r="A872" t="s">
        <v>1490</v>
      </c>
      <c r="B872">
        <v>26.78</v>
      </c>
      <c r="C872">
        <v>10.02</v>
      </c>
      <c r="D872" t="s">
        <v>2372</v>
      </c>
      <c r="E872" t="s">
        <v>2370</v>
      </c>
      <c r="F872" t="s">
        <v>2373</v>
      </c>
      <c r="G872">
        <v>1</v>
      </c>
      <c r="H872" t="s">
        <v>2370</v>
      </c>
    </row>
    <row r="873" spans="1:8" x14ac:dyDescent="0.35">
      <c r="A873" t="s">
        <v>1489</v>
      </c>
      <c r="B873">
        <v>45.8</v>
      </c>
      <c r="C873">
        <v>4.8499999999999996</v>
      </c>
      <c r="D873" t="s">
        <v>2370</v>
      </c>
      <c r="E873" t="s">
        <v>2370</v>
      </c>
      <c r="F873" t="s">
        <v>2370</v>
      </c>
      <c r="G873" t="s">
        <v>2371</v>
      </c>
      <c r="H873" t="s">
        <v>2370</v>
      </c>
    </row>
    <row r="874" spans="1:8" x14ac:dyDescent="0.35">
      <c r="A874" t="s">
        <v>1488</v>
      </c>
      <c r="B874">
        <v>29</v>
      </c>
      <c r="C874">
        <v>4.3899999999999997</v>
      </c>
      <c r="D874" t="s">
        <v>2372</v>
      </c>
      <c r="E874" t="s">
        <v>2370</v>
      </c>
      <c r="F874" t="s">
        <v>2370</v>
      </c>
      <c r="G874">
        <v>2</v>
      </c>
      <c r="H874" t="s">
        <v>2370</v>
      </c>
    </row>
    <row r="875" spans="1:8" x14ac:dyDescent="0.35">
      <c r="A875" t="s">
        <v>1487</v>
      </c>
      <c r="B875">
        <v>33.534999999999997</v>
      </c>
      <c r="C875">
        <v>8.24</v>
      </c>
      <c r="D875" t="s">
        <v>2372</v>
      </c>
      <c r="E875" t="s">
        <v>2370</v>
      </c>
      <c r="F875" t="s">
        <v>2370</v>
      </c>
      <c r="G875" t="s">
        <v>2371</v>
      </c>
      <c r="H875" t="s">
        <v>2370</v>
      </c>
    </row>
    <row r="876" spans="1:8" x14ac:dyDescent="0.35">
      <c r="A876" t="s">
        <v>1486</v>
      </c>
      <c r="B876">
        <v>32.774999999999999</v>
      </c>
      <c r="C876">
        <v>9.77</v>
      </c>
      <c r="D876" t="s">
        <v>2372</v>
      </c>
      <c r="E876" t="s">
        <v>2370</v>
      </c>
      <c r="F876" t="s">
        <v>2370</v>
      </c>
      <c r="G876" t="s">
        <v>2371</v>
      </c>
      <c r="H876" t="s">
        <v>2370</v>
      </c>
    </row>
    <row r="877" spans="1:8" x14ac:dyDescent="0.35">
      <c r="A877" t="s">
        <v>1485</v>
      </c>
      <c r="B877">
        <v>37.51</v>
      </c>
      <c r="C877">
        <v>5.5</v>
      </c>
      <c r="D877" t="s">
        <v>2372</v>
      </c>
      <c r="E877" t="s">
        <v>2370</v>
      </c>
      <c r="F877" t="s">
        <v>2370</v>
      </c>
      <c r="G877">
        <v>2</v>
      </c>
      <c r="H877" t="s">
        <v>2370</v>
      </c>
    </row>
    <row r="878" spans="1:8" x14ac:dyDescent="0.35">
      <c r="A878" t="s">
        <v>1484</v>
      </c>
      <c r="B878">
        <v>39.86</v>
      </c>
      <c r="C878">
        <v>11.84</v>
      </c>
      <c r="D878" t="s">
        <v>2372</v>
      </c>
      <c r="E878" t="s">
        <v>2370</v>
      </c>
      <c r="F878" t="s">
        <v>2370</v>
      </c>
      <c r="G878">
        <v>1</v>
      </c>
      <c r="H878" t="s">
        <v>2370</v>
      </c>
    </row>
    <row r="879" spans="1:8" x14ac:dyDescent="0.35">
      <c r="A879" t="s">
        <v>1483</v>
      </c>
      <c r="B879">
        <v>42.13</v>
      </c>
      <c r="C879">
        <v>4.66</v>
      </c>
      <c r="D879" t="s">
        <v>2370</v>
      </c>
      <c r="E879" t="s">
        <v>2370</v>
      </c>
      <c r="F879" t="s">
        <v>2370</v>
      </c>
      <c r="G879" t="s">
        <v>2371</v>
      </c>
      <c r="H879" t="s">
        <v>2370</v>
      </c>
    </row>
    <row r="880" spans="1:8" x14ac:dyDescent="0.35">
      <c r="A880" t="s">
        <v>1482</v>
      </c>
      <c r="B880">
        <v>35.99</v>
      </c>
      <c r="C880">
        <v>11.11</v>
      </c>
      <c r="D880" t="s">
        <v>2370</v>
      </c>
      <c r="E880" t="s">
        <v>2370</v>
      </c>
      <c r="F880" t="s">
        <v>2370</v>
      </c>
      <c r="G880" t="s">
        <v>2371</v>
      </c>
      <c r="H880" t="s">
        <v>2370</v>
      </c>
    </row>
    <row r="881" spans="1:8" x14ac:dyDescent="0.35">
      <c r="A881" t="s">
        <v>1481</v>
      </c>
      <c r="B881">
        <v>35.200000000000003</v>
      </c>
      <c r="C881">
        <v>7.72</v>
      </c>
      <c r="D881" t="s">
        <v>2372</v>
      </c>
      <c r="E881" t="s">
        <v>2370</v>
      </c>
      <c r="F881" t="s">
        <v>2373</v>
      </c>
      <c r="G881">
        <v>1</v>
      </c>
      <c r="H881" t="s">
        <v>2370</v>
      </c>
    </row>
    <row r="882" spans="1:8" x14ac:dyDescent="0.35">
      <c r="A882" t="s">
        <v>1480</v>
      </c>
      <c r="B882">
        <v>29.91</v>
      </c>
      <c r="C882">
        <v>5.55</v>
      </c>
      <c r="D882" t="s">
        <v>2372</v>
      </c>
      <c r="E882" t="s">
        <v>2370</v>
      </c>
      <c r="F882" t="s">
        <v>2370</v>
      </c>
      <c r="G882">
        <v>2</v>
      </c>
      <c r="H882" t="s">
        <v>2370</v>
      </c>
    </row>
    <row r="883" spans="1:8" x14ac:dyDescent="0.35">
      <c r="A883" t="s">
        <v>1479</v>
      </c>
      <c r="B883">
        <v>36.479999999999997</v>
      </c>
      <c r="C883">
        <v>5.05</v>
      </c>
      <c r="D883" t="s">
        <v>2372</v>
      </c>
      <c r="E883" t="s">
        <v>2370</v>
      </c>
      <c r="F883" t="s">
        <v>2370</v>
      </c>
      <c r="G883">
        <v>1</v>
      </c>
      <c r="H883" t="s">
        <v>2370</v>
      </c>
    </row>
    <row r="884" spans="1:8" x14ac:dyDescent="0.35">
      <c r="A884" t="s">
        <v>1478</v>
      </c>
      <c r="B884">
        <v>27.5</v>
      </c>
      <c r="C884">
        <v>8.69</v>
      </c>
      <c r="D884" t="s">
        <v>2372</v>
      </c>
      <c r="E884" t="s">
        <v>2370</v>
      </c>
      <c r="F884" t="s">
        <v>2373</v>
      </c>
      <c r="G884">
        <v>1</v>
      </c>
      <c r="H884" t="s">
        <v>2370</v>
      </c>
    </row>
    <row r="885" spans="1:8" x14ac:dyDescent="0.35">
      <c r="A885" t="s">
        <v>1477</v>
      </c>
      <c r="B885">
        <v>33.44</v>
      </c>
      <c r="C885">
        <v>5.9</v>
      </c>
      <c r="D885" t="s">
        <v>2372</v>
      </c>
      <c r="E885" t="s">
        <v>2370</v>
      </c>
      <c r="F885" t="s">
        <v>2370</v>
      </c>
      <c r="G885">
        <v>1</v>
      </c>
      <c r="H885" t="s">
        <v>2370</v>
      </c>
    </row>
    <row r="886" spans="1:8" x14ac:dyDescent="0.35">
      <c r="A886" t="s">
        <v>1476</v>
      </c>
      <c r="B886">
        <v>28.215</v>
      </c>
      <c r="C886">
        <v>6.29</v>
      </c>
      <c r="D886" t="s">
        <v>2372</v>
      </c>
      <c r="E886" t="s">
        <v>2370</v>
      </c>
      <c r="F886" t="s">
        <v>2370</v>
      </c>
      <c r="G886">
        <v>1</v>
      </c>
      <c r="H886" t="s">
        <v>2370</v>
      </c>
    </row>
    <row r="887" spans="1:8" x14ac:dyDescent="0.35">
      <c r="A887" t="s">
        <v>1475</v>
      </c>
      <c r="B887">
        <v>27.17</v>
      </c>
      <c r="C887">
        <v>5.84</v>
      </c>
      <c r="D887" t="s">
        <v>2372</v>
      </c>
      <c r="E887" t="s">
        <v>2370</v>
      </c>
      <c r="F887" t="s">
        <v>2370</v>
      </c>
      <c r="G887">
        <v>1</v>
      </c>
      <c r="H887" t="s">
        <v>2370</v>
      </c>
    </row>
    <row r="888" spans="1:8" x14ac:dyDescent="0.35">
      <c r="A888" t="s">
        <v>1474</v>
      </c>
      <c r="B888">
        <v>35.380000000000003</v>
      </c>
      <c r="C888">
        <v>6.12</v>
      </c>
      <c r="D888" t="s">
        <v>2370</v>
      </c>
      <c r="E888" t="s">
        <v>2370</v>
      </c>
      <c r="F888" t="s">
        <v>2370</v>
      </c>
      <c r="G888" t="s">
        <v>2371</v>
      </c>
      <c r="H888" t="s">
        <v>2370</v>
      </c>
    </row>
    <row r="889" spans="1:8" x14ac:dyDescent="0.35">
      <c r="A889" t="s">
        <v>1473</v>
      </c>
      <c r="B889">
        <v>43.48</v>
      </c>
      <c r="C889">
        <v>6.24</v>
      </c>
      <c r="D889" t="s">
        <v>2370</v>
      </c>
      <c r="E889" t="s">
        <v>2370</v>
      </c>
      <c r="F889" t="s">
        <v>2370</v>
      </c>
      <c r="G889" t="s">
        <v>2371</v>
      </c>
      <c r="H889" t="s">
        <v>2370</v>
      </c>
    </row>
    <row r="890" spans="1:8" x14ac:dyDescent="0.35">
      <c r="A890" t="s">
        <v>1472</v>
      </c>
      <c r="B890">
        <v>41.73</v>
      </c>
      <c r="C890">
        <v>6.25</v>
      </c>
      <c r="D890" t="s">
        <v>2370</v>
      </c>
      <c r="E890" t="s">
        <v>2370</v>
      </c>
      <c r="F890" t="s">
        <v>2370</v>
      </c>
      <c r="G890">
        <v>1</v>
      </c>
      <c r="H890" t="s">
        <v>2370</v>
      </c>
    </row>
    <row r="891" spans="1:8" x14ac:dyDescent="0.35">
      <c r="A891" t="s">
        <v>1471</v>
      </c>
      <c r="B891">
        <v>28.9</v>
      </c>
      <c r="C891">
        <v>11.96</v>
      </c>
      <c r="D891" t="s">
        <v>2370</v>
      </c>
      <c r="E891" t="s">
        <v>2370</v>
      </c>
      <c r="F891" t="s">
        <v>2370</v>
      </c>
      <c r="G891" t="s">
        <v>2371</v>
      </c>
      <c r="H891" t="s">
        <v>2370</v>
      </c>
    </row>
    <row r="892" spans="1:8" x14ac:dyDescent="0.35">
      <c r="A892" t="s">
        <v>1470</v>
      </c>
      <c r="B892">
        <v>25.74</v>
      </c>
      <c r="C892">
        <v>7.69</v>
      </c>
      <c r="D892" t="s">
        <v>2370</v>
      </c>
      <c r="E892" t="s">
        <v>2370</v>
      </c>
      <c r="F892" t="s">
        <v>2370</v>
      </c>
      <c r="G892" t="s">
        <v>2371</v>
      </c>
      <c r="H892" t="s">
        <v>2370</v>
      </c>
    </row>
    <row r="893" spans="1:8" x14ac:dyDescent="0.35">
      <c r="A893" t="s">
        <v>1469</v>
      </c>
      <c r="B893">
        <v>36.06</v>
      </c>
      <c r="C893">
        <v>8.83</v>
      </c>
      <c r="D893" t="s">
        <v>2370</v>
      </c>
      <c r="E893" t="s">
        <v>2370</v>
      </c>
      <c r="F893" t="s">
        <v>2370</v>
      </c>
      <c r="G893" t="s">
        <v>2371</v>
      </c>
      <c r="H893" t="s">
        <v>2370</v>
      </c>
    </row>
    <row r="894" spans="1:8" x14ac:dyDescent="0.35">
      <c r="A894" t="s">
        <v>1468</v>
      </c>
      <c r="B894">
        <v>43.28</v>
      </c>
      <c r="C894">
        <v>4.41</v>
      </c>
      <c r="D894" t="s">
        <v>2370</v>
      </c>
      <c r="E894" t="s">
        <v>2370</v>
      </c>
      <c r="F894" t="s">
        <v>2370</v>
      </c>
      <c r="G894" t="s">
        <v>2371</v>
      </c>
      <c r="H894" t="s">
        <v>2370</v>
      </c>
    </row>
    <row r="895" spans="1:8" x14ac:dyDescent="0.35">
      <c r="A895" t="s">
        <v>1467</v>
      </c>
      <c r="B895">
        <v>28.785</v>
      </c>
      <c r="C895">
        <v>9.1</v>
      </c>
      <c r="D895" t="s">
        <v>2372</v>
      </c>
      <c r="E895" t="s">
        <v>2370</v>
      </c>
      <c r="F895" t="s">
        <v>2373</v>
      </c>
      <c r="G895">
        <v>1</v>
      </c>
      <c r="H895" t="s">
        <v>2370</v>
      </c>
    </row>
    <row r="896" spans="1:8" x14ac:dyDescent="0.35">
      <c r="A896" t="s">
        <v>1466</v>
      </c>
      <c r="B896">
        <v>25.46</v>
      </c>
      <c r="C896">
        <v>11.52</v>
      </c>
      <c r="D896" t="s">
        <v>2372</v>
      </c>
      <c r="E896" t="s">
        <v>2370</v>
      </c>
      <c r="F896" t="s">
        <v>2373</v>
      </c>
      <c r="G896">
        <v>1</v>
      </c>
      <c r="H896" t="s">
        <v>2370</v>
      </c>
    </row>
    <row r="897" spans="1:8" x14ac:dyDescent="0.35">
      <c r="A897" t="s">
        <v>1465</v>
      </c>
      <c r="B897">
        <v>30.8</v>
      </c>
      <c r="C897">
        <v>10.95</v>
      </c>
      <c r="D897" t="s">
        <v>2370</v>
      </c>
      <c r="E897" t="s">
        <v>2370</v>
      </c>
      <c r="F897" t="s">
        <v>2370</v>
      </c>
      <c r="G897" t="s">
        <v>2371</v>
      </c>
      <c r="H897" t="s">
        <v>2370</v>
      </c>
    </row>
    <row r="898" spans="1:8" x14ac:dyDescent="0.35">
      <c r="A898" t="s">
        <v>1464</v>
      </c>
      <c r="B898">
        <v>28.88</v>
      </c>
      <c r="C898">
        <v>11.5</v>
      </c>
      <c r="D898" t="s">
        <v>2370</v>
      </c>
      <c r="E898" t="s">
        <v>2370</v>
      </c>
      <c r="F898" t="s">
        <v>2370</v>
      </c>
      <c r="G898" t="s">
        <v>2371</v>
      </c>
      <c r="H898" t="s">
        <v>2370</v>
      </c>
    </row>
    <row r="899" spans="1:8" x14ac:dyDescent="0.35">
      <c r="A899" t="s">
        <v>1463</v>
      </c>
      <c r="B899">
        <v>23</v>
      </c>
      <c r="C899">
        <v>9.8800000000000008</v>
      </c>
      <c r="D899" t="s">
        <v>2370</v>
      </c>
      <c r="E899" t="s">
        <v>2370</v>
      </c>
      <c r="F899" t="s">
        <v>2370</v>
      </c>
      <c r="G899" t="s">
        <v>2371</v>
      </c>
      <c r="H899" t="s">
        <v>2370</v>
      </c>
    </row>
    <row r="900" spans="1:8" x14ac:dyDescent="0.35">
      <c r="A900" t="s">
        <v>1462</v>
      </c>
      <c r="B900">
        <v>38.25</v>
      </c>
      <c r="C900">
        <v>6.2</v>
      </c>
      <c r="D900" t="s">
        <v>2370</v>
      </c>
      <c r="E900" t="s">
        <v>2370</v>
      </c>
      <c r="F900" t="s">
        <v>2370</v>
      </c>
      <c r="G900">
        <v>1</v>
      </c>
      <c r="H900" t="s">
        <v>2370</v>
      </c>
    </row>
    <row r="901" spans="1:8" x14ac:dyDescent="0.35">
      <c r="A901" t="s">
        <v>1461</v>
      </c>
      <c r="B901">
        <v>39.25</v>
      </c>
      <c r="C901">
        <v>8.41</v>
      </c>
      <c r="D901" t="s">
        <v>2372</v>
      </c>
      <c r="E901" t="s">
        <v>2370</v>
      </c>
      <c r="F901" t="s">
        <v>2370</v>
      </c>
      <c r="G901">
        <v>1</v>
      </c>
      <c r="H901" t="s">
        <v>2370</v>
      </c>
    </row>
    <row r="902" spans="1:8" x14ac:dyDescent="0.35">
      <c r="A902" t="s">
        <v>1460</v>
      </c>
      <c r="B902">
        <v>26.6</v>
      </c>
      <c r="C902">
        <v>5.07</v>
      </c>
      <c r="D902" t="s">
        <v>2372</v>
      </c>
      <c r="E902" t="s">
        <v>2370</v>
      </c>
      <c r="F902" t="s">
        <v>2370</v>
      </c>
      <c r="G902">
        <v>2</v>
      </c>
      <c r="H902" t="s">
        <v>2370</v>
      </c>
    </row>
    <row r="903" spans="1:8" x14ac:dyDescent="0.35">
      <c r="A903" t="s">
        <v>1459</v>
      </c>
      <c r="B903">
        <v>35.700000000000003</v>
      </c>
      <c r="C903">
        <v>4.0599999999999996</v>
      </c>
      <c r="D903" t="s">
        <v>2370</v>
      </c>
      <c r="E903" t="s">
        <v>2370</v>
      </c>
      <c r="F903" t="s">
        <v>2373</v>
      </c>
      <c r="G903">
        <v>1</v>
      </c>
      <c r="H903" t="s">
        <v>2370</v>
      </c>
    </row>
    <row r="904" spans="1:8" x14ac:dyDescent="0.35">
      <c r="A904" t="s">
        <v>1458</v>
      </c>
      <c r="B904">
        <v>20.100000000000001</v>
      </c>
      <c r="C904">
        <v>10.52</v>
      </c>
      <c r="D904" t="s">
        <v>2370</v>
      </c>
      <c r="E904" t="s">
        <v>2370</v>
      </c>
      <c r="F904" t="s">
        <v>2370</v>
      </c>
      <c r="G904" t="s">
        <v>2371</v>
      </c>
      <c r="H904" t="s">
        <v>2370</v>
      </c>
    </row>
    <row r="905" spans="1:8" x14ac:dyDescent="0.35">
      <c r="A905" t="s">
        <v>1457</v>
      </c>
      <c r="B905">
        <v>22.23</v>
      </c>
      <c r="C905">
        <v>9.65</v>
      </c>
      <c r="D905" t="s">
        <v>2370</v>
      </c>
      <c r="E905" t="s">
        <v>2370</v>
      </c>
      <c r="F905" t="s">
        <v>2370</v>
      </c>
      <c r="G905" t="s">
        <v>2371</v>
      </c>
      <c r="H905" t="s">
        <v>2370</v>
      </c>
    </row>
    <row r="906" spans="1:8" x14ac:dyDescent="0.35">
      <c r="A906" t="s">
        <v>1456</v>
      </c>
      <c r="B906">
        <v>36.47</v>
      </c>
      <c r="C906">
        <v>6.21</v>
      </c>
      <c r="D906" t="s">
        <v>2370</v>
      </c>
      <c r="E906" t="s">
        <v>2370</v>
      </c>
      <c r="F906" t="s">
        <v>2370</v>
      </c>
      <c r="G906" t="s">
        <v>2371</v>
      </c>
      <c r="H906" t="s">
        <v>2370</v>
      </c>
    </row>
    <row r="907" spans="1:8" x14ac:dyDescent="0.35">
      <c r="A907" t="s">
        <v>1455</v>
      </c>
      <c r="B907">
        <v>49.64</v>
      </c>
      <c r="C907">
        <v>4.76</v>
      </c>
      <c r="D907" t="s">
        <v>2370</v>
      </c>
      <c r="E907" t="s">
        <v>2370</v>
      </c>
      <c r="F907" t="s">
        <v>2373</v>
      </c>
      <c r="G907">
        <v>1</v>
      </c>
      <c r="H907" t="s">
        <v>2370</v>
      </c>
    </row>
    <row r="908" spans="1:8" x14ac:dyDescent="0.35">
      <c r="A908" t="s">
        <v>1454</v>
      </c>
      <c r="B908">
        <v>36.799999999999997</v>
      </c>
      <c r="C908">
        <v>5.73</v>
      </c>
      <c r="D908" t="s">
        <v>2372</v>
      </c>
      <c r="E908" t="s">
        <v>2370</v>
      </c>
      <c r="F908" t="s">
        <v>2373</v>
      </c>
      <c r="G908">
        <v>1</v>
      </c>
      <c r="H908" t="s">
        <v>2370</v>
      </c>
    </row>
    <row r="909" spans="1:8" x14ac:dyDescent="0.35">
      <c r="A909" t="s">
        <v>1453</v>
      </c>
      <c r="B909">
        <v>33.880000000000003</v>
      </c>
      <c r="C909">
        <v>10.78</v>
      </c>
      <c r="D909" t="s">
        <v>2372</v>
      </c>
      <c r="E909" t="s">
        <v>2370</v>
      </c>
      <c r="F909" t="s">
        <v>2370</v>
      </c>
      <c r="G909" t="s">
        <v>2371</v>
      </c>
      <c r="H909" t="s">
        <v>2370</v>
      </c>
    </row>
    <row r="910" spans="1:8" x14ac:dyDescent="0.35">
      <c r="A910" t="s">
        <v>1452</v>
      </c>
      <c r="B910">
        <v>32.01</v>
      </c>
      <c r="C910">
        <v>5.08</v>
      </c>
      <c r="D910" t="s">
        <v>2372</v>
      </c>
      <c r="E910" t="s">
        <v>2370</v>
      </c>
      <c r="F910" t="s">
        <v>2370</v>
      </c>
      <c r="G910">
        <v>1</v>
      </c>
      <c r="H910" t="s">
        <v>2370</v>
      </c>
    </row>
    <row r="911" spans="1:8" x14ac:dyDescent="0.35">
      <c r="A911" t="s">
        <v>1451</v>
      </c>
      <c r="B911">
        <v>33.630000000000003</v>
      </c>
      <c r="C911">
        <v>11.39</v>
      </c>
      <c r="D911" t="s">
        <v>2370</v>
      </c>
      <c r="E911" t="s">
        <v>2370</v>
      </c>
      <c r="F911" t="s">
        <v>2370</v>
      </c>
      <c r="G911" t="s">
        <v>2371</v>
      </c>
      <c r="H911" t="s">
        <v>2370</v>
      </c>
    </row>
    <row r="912" spans="1:8" x14ac:dyDescent="0.35">
      <c r="A912" t="s">
        <v>1450</v>
      </c>
      <c r="B912">
        <v>34.865000000000002</v>
      </c>
      <c r="C912">
        <v>5.35</v>
      </c>
      <c r="D912" t="s">
        <v>2372</v>
      </c>
      <c r="E912" t="s">
        <v>2370</v>
      </c>
      <c r="F912" t="s">
        <v>2370</v>
      </c>
      <c r="G912">
        <v>1</v>
      </c>
      <c r="H912" t="s">
        <v>2370</v>
      </c>
    </row>
    <row r="913" spans="1:8" x14ac:dyDescent="0.35">
      <c r="A913" t="s">
        <v>1449</v>
      </c>
      <c r="B913">
        <v>43.11</v>
      </c>
      <c r="C913">
        <v>5.6</v>
      </c>
      <c r="D913" t="s">
        <v>2370</v>
      </c>
      <c r="E913" t="s">
        <v>2370</v>
      </c>
      <c r="F913" t="s">
        <v>2370</v>
      </c>
      <c r="G913" t="s">
        <v>2371</v>
      </c>
      <c r="H913" t="s">
        <v>2370</v>
      </c>
    </row>
    <row r="914" spans="1:8" x14ac:dyDescent="0.35">
      <c r="A914" t="s">
        <v>1448</v>
      </c>
      <c r="B914">
        <v>30.305</v>
      </c>
      <c r="C914">
        <v>4.2699999999999996</v>
      </c>
      <c r="D914" t="s">
        <v>2372</v>
      </c>
      <c r="E914" t="s">
        <v>2370</v>
      </c>
      <c r="F914" t="s">
        <v>2370</v>
      </c>
      <c r="G914">
        <v>1</v>
      </c>
      <c r="H914" t="s">
        <v>2370</v>
      </c>
    </row>
    <row r="915" spans="1:8" x14ac:dyDescent="0.35">
      <c r="A915" t="s">
        <v>1447</v>
      </c>
      <c r="B915">
        <v>25.175000000000001</v>
      </c>
      <c r="C915">
        <v>5.57</v>
      </c>
      <c r="D915" t="s">
        <v>2372</v>
      </c>
      <c r="E915" t="s">
        <v>2370</v>
      </c>
      <c r="F915" t="s">
        <v>2370</v>
      </c>
      <c r="G915">
        <v>1</v>
      </c>
      <c r="H915" t="s">
        <v>2370</v>
      </c>
    </row>
    <row r="916" spans="1:8" x14ac:dyDescent="0.35">
      <c r="A916" t="s">
        <v>1446</v>
      </c>
      <c r="B916">
        <v>26.8</v>
      </c>
      <c r="C916">
        <v>5.68</v>
      </c>
      <c r="D916" t="s">
        <v>2372</v>
      </c>
      <c r="E916" t="s">
        <v>2370</v>
      </c>
      <c r="F916" t="s">
        <v>2370</v>
      </c>
      <c r="G916">
        <v>1</v>
      </c>
      <c r="H916" t="s">
        <v>2370</v>
      </c>
    </row>
    <row r="917" spans="1:8" x14ac:dyDescent="0.35">
      <c r="A917" t="s">
        <v>1445</v>
      </c>
      <c r="B917">
        <v>21.78</v>
      </c>
      <c r="C917">
        <v>5.3</v>
      </c>
      <c r="D917" t="s">
        <v>2370</v>
      </c>
      <c r="E917" t="s">
        <v>2372</v>
      </c>
      <c r="F917" t="s">
        <v>2370</v>
      </c>
      <c r="G917">
        <v>1</v>
      </c>
      <c r="H917" t="s">
        <v>2370</v>
      </c>
    </row>
    <row r="918" spans="1:8" x14ac:dyDescent="0.35">
      <c r="A918" t="s">
        <v>1444</v>
      </c>
      <c r="B918">
        <v>30.14</v>
      </c>
      <c r="C918">
        <v>9.4499999999999993</v>
      </c>
      <c r="D918" t="s">
        <v>2372</v>
      </c>
      <c r="E918" t="s">
        <v>2370</v>
      </c>
      <c r="F918" t="s">
        <v>2370</v>
      </c>
      <c r="G918" t="s">
        <v>2371</v>
      </c>
      <c r="H918" t="s">
        <v>2370</v>
      </c>
    </row>
    <row r="919" spans="1:8" x14ac:dyDescent="0.35">
      <c r="A919" t="s">
        <v>1443</v>
      </c>
      <c r="B919">
        <v>29.7</v>
      </c>
      <c r="C919">
        <v>6.79</v>
      </c>
      <c r="D919" t="s">
        <v>2372</v>
      </c>
      <c r="E919" t="s">
        <v>2370</v>
      </c>
      <c r="F919" t="s">
        <v>2370</v>
      </c>
      <c r="G919" t="s">
        <v>2371</v>
      </c>
      <c r="H919" t="s">
        <v>2370</v>
      </c>
    </row>
    <row r="920" spans="1:8" x14ac:dyDescent="0.35">
      <c r="A920" t="s">
        <v>1442</v>
      </c>
      <c r="B920">
        <v>32.395000000000003</v>
      </c>
      <c r="C920">
        <v>11.1</v>
      </c>
      <c r="D920" t="s">
        <v>2372</v>
      </c>
      <c r="E920" t="s">
        <v>2370</v>
      </c>
      <c r="F920" t="s">
        <v>2370</v>
      </c>
      <c r="G920" t="s">
        <v>2371</v>
      </c>
      <c r="H920" t="s">
        <v>2370</v>
      </c>
    </row>
    <row r="921" spans="1:8" x14ac:dyDescent="0.35">
      <c r="A921" t="s">
        <v>1441</v>
      </c>
      <c r="B921">
        <v>36.64</v>
      </c>
      <c r="C921">
        <v>7.26</v>
      </c>
      <c r="D921" t="s">
        <v>2370</v>
      </c>
      <c r="E921" t="s">
        <v>2370</v>
      </c>
      <c r="F921" t="s">
        <v>2370</v>
      </c>
      <c r="G921" t="s">
        <v>2371</v>
      </c>
      <c r="H921" t="s">
        <v>2370</v>
      </c>
    </row>
    <row r="922" spans="1:8" x14ac:dyDescent="0.35">
      <c r="A922" t="s">
        <v>1440</v>
      </c>
      <c r="B922">
        <v>39.049999999999997</v>
      </c>
      <c r="C922">
        <v>5.27</v>
      </c>
      <c r="D922" t="s">
        <v>2372</v>
      </c>
      <c r="E922" t="s">
        <v>2370</v>
      </c>
      <c r="F922" t="s">
        <v>2370</v>
      </c>
      <c r="G922">
        <v>1</v>
      </c>
      <c r="H922" t="s">
        <v>2370</v>
      </c>
    </row>
    <row r="923" spans="1:8" x14ac:dyDescent="0.35">
      <c r="A923" t="s">
        <v>1439</v>
      </c>
      <c r="B923">
        <v>33.1</v>
      </c>
      <c r="C923">
        <v>5.46</v>
      </c>
      <c r="D923" t="s">
        <v>2372</v>
      </c>
      <c r="E923" t="s">
        <v>2370</v>
      </c>
      <c r="F923" t="s">
        <v>2370</v>
      </c>
      <c r="G923">
        <v>1</v>
      </c>
      <c r="H923" t="s">
        <v>2370</v>
      </c>
    </row>
    <row r="924" spans="1:8" x14ac:dyDescent="0.35">
      <c r="A924" t="s">
        <v>1438</v>
      </c>
      <c r="B924">
        <v>31.824999999999999</v>
      </c>
      <c r="C924">
        <v>8.1300000000000008</v>
      </c>
      <c r="D924" t="s">
        <v>2370</v>
      </c>
      <c r="E924" t="s">
        <v>2370</v>
      </c>
      <c r="F924" t="s">
        <v>2370</v>
      </c>
      <c r="G924" t="s">
        <v>2371</v>
      </c>
      <c r="H924" t="s">
        <v>2370</v>
      </c>
    </row>
    <row r="925" spans="1:8" x14ac:dyDescent="0.35">
      <c r="A925" t="s">
        <v>1437</v>
      </c>
      <c r="B925">
        <v>29</v>
      </c>
      <c r="C925">
        <v>4.25</v>
      </c>
      <c r="D925" t="s">
        <v>2372</v>
      </c>
      <c r="E925" t="s">
        <v>2370</v>
      </c>
      <c r="F925" t="s">
        <v>2370</v>
      </c>
      <c r="G925">
        <v>1</v>
      </c>
      <c r="H925" t="s">
        <v>2370</v>
      </c>
    </row>
    <row r="926" spans="1:8" x14ac:dyDescent="0.35">
      <c r="A926" t="s">
        <v>1436</v>
      </c>
      <c r="B926">
        <v>30.495000000000001</v>
      </c>
      <c r="C926">
        <v>8.68</v>
      </c>
      <c r="D926" t="s">
        <v>2370</v>
      </c>
      <c r="E926" t="s">
        <v>2370</v>
      </c>
      <c r="F926" t="s">
        <v>2370</v>
      </c>
      <c r="G926" t="s">
        <v>2371</v>
      </c>
      <c r="H926" t="s">
        <v>2370</v>
      </c>
    </row>
    <row r="927" spans="1:8" x14ac:dyDescent="0.35">
      <c r="A927" t="s">
        <v>1435</v>
      </c>
      <c r="B927">
        <v>25.2</v>
      </c>
      <c r="C927">
        <v>6.25</v>
      </c>
      <c r="D927" t="s">
        <v>2372</v>
      </c>
      <c r="E927" t="s">
        <v>2370</v>
      </c>
      <c r="F927" t="s">
        <v>2370</v>
      </c>
      <c r="G927">
        <v>1</v>
      </c>
      <c r="H927" t="s">
        <v>2370</v>
      </c>
    </row>
    <row r="928" spans="1:8" x14ac:dyDescent="0.35">
      <c r="A928" t="s">
        <v>1434</v>
      </c>
      <c r="B928">
        <v>22.77</v>
      </c>
      <c r="C928">
        <v>4.47</v>
      </c>
      <c r="D928" t="s">
        <v>2372</v>
      </c>
      <c r="E928" t="s">
        <v>2370</v>
      </c>
      <c r="F928" t="s">
        <v>2370</v>
      </c>
      <c r="G928">
        <v>1</v>
      </c>
      <c r="H928" t="s">
        <v>2370</v>
      </c>
    </row>
    <row r="929" spans="1:8" x14ac:dyDescent="0.35">
      <c r="A929" t="s">
        <v>1433</v>
      </c>
      <c r="B929">
        <v>23.18</v>
      </c>
      <c r="C929">
        <v>8.31</v>
      </c>
      <c r="D929" t="s">
        <v>2370</v>
      </c>
      <c r="E929" t="s">
        <v>2370</v>
      </c>
      <c r="F929" t="s">
        <v>2370</v>
      </c>
      <c r="G929" t="s">
        <v>2371</v>
      </c>
      <c r="H929" t="s">
        <v>2370</v>
      </c>
    </row>
    <row r="930" spans="1:8" x14ac:dyDescent="0.35">
      <c r="A930" t="s">
        <v>1432</v>
      </c>
      <c r="B930">
        <v>35.409999999999997</v>
      </c>
      <c r="C930">
        <v>5.68</v>
      </c>
      <c r="D930" t="s">
        <v>2370</v>
      </c>
      <c r="E930" t="s">
        <v>2370</v>
      </c>
      <c r="F930" t="s">
        <v>2370</v>
      </c>
      <c r="G930" t="s">
        <v>2371</v>
      </c>
      <c r="H930" t="s">
        <v>2370</v>
      </c>
    </row>
    <row r="931" spans="1:8" x14ac:dyDescent="0.35">
      <c r="A931" t="s">
        <v>1431</v>
      </c>
      <c r="B931">
        <v>32.11</v>
      </c>
      <c r="C931">
        <v>4.75</v>
      </c>
      <c r="D931" t="s">
        <v>2372</v>
      </c>
      <c r="E931" t="s">
        <v>2370</v>
      </c>
      <c r="F931" t="s">
        <v>2370</v>
      </c>
      <c r="G931">
        <v>2</v>
      </c>
      <c r="H931" t="s">
        <v>2370</v>
      </c>
    </row>
    <row r="932" spans="1:8" x14ac:dyDescent="0.35">
      <c r="A932" t="s">
        <v>1430</v>
      </c>
      <c r="B932">
        <v>34.479999999999997</v>
      </c>
      <c r="C932">
        <v>6.31</v>
      </c>
      <c r="D932" t="s">
        <v>2370</v>
      </c>
      <c r="E932" t="s">
        <v>2370</v>
      </c>
      <c r="F932" t="s">
        <v>2373</v>
      </c>
      <c r="G932">
        <v>1</v>
      </c>
      <c r="H932" t="s">
        <v>2370</v>
      </c>
    </row>
    <row r="933" spans="1:8" x14ac:dyDescent="0.35">
      <c r="A933" t="s">
        <v>1429</v>
      </c>
      <c r="B933">
        <v>34.39</v>
      </c>
      <c r="C933">
        <v>6.28</v>
      </c>
      <c r="D933" t="s">
        <v>2372</v>
      </c>
      <c r="E933" t="s">
        <v>2370</v>
      </c>
      <c r="F933" t="s">
        <v>2370</v>
      </c>
      <c r="G933">
        <v>1</v>
      </c>
      <c r="H933" t="s">
        <v>2370</v>
      </c>
    </row>
    <row r="934" spans="1:8" x14ac:dyDescent="0.35">
      <c r="A934" t="s">
        <v>1428</v>
      </c>
      <c r="B934">
        <v>26.4</v>
      </c>
      <c r="C934">
        <v>9.2899999999999991</v>
      </c>
      <c r="D934" t="s">
        <v>2372</v>
      </c>
      <c r="E934" t="s">
        <v>2370</v>
      </c>
      <c r="F934" t="s">
        <v>2373</v>
      </c>
      <c r="G934">
        <v>1</v>
      </c>
      <c r="H934" t="s">
        <v>2370</v>
      </c>
    </row>
    <row r="935" spans="1:8" x14ac:dyDescent="0.35">
      <c r="A935" t="s">
        <v>1427</v>
      </c>
      <c r="B935">
        <v>28.1</v>
      </c>
      <c r="C935">
        <v>5.79</v>
      </c>
      <c r="D935" t="s">
        <v>2372</v>
      </c>
      <c r="E935" t="s">
        <v>2370</v>
      </c>
      <c r="F935" t="s">
        <v>2373</v>
      </c>
      <c r="G935">
        <v>1</v>
      </c>
      <c r="H935" t="s">
        <v>2370</v>
      </c>
    </row>
    <row r="936" spans="1:8" x14ac:dyDescent="0.35">
      <c r="A936" t="s">
        <v>1426</v>
      </c>
      <c r="B936">
        <v>27</v>
      </c>
      <c r="C936">
        <v>4.54</v>
      </c>
      <c r="D936" t="s">
        <v>2372</v>
      </c>
      <c r="E936" t="s">
        <v>2370</v>
      </c>
      <c r="F936" t="s">
        <v>2370</v>
      </c>
      <c r="G936">
        <v>1</v>
      </c>
      <c r="H936" t="s">
        <v>2370</v>
      </c>
    </row>
    <row r="937" spans="1:8" x14ac:dyDescent="0.35">
      <c r="A937" t="s">
        <v>1425</v>
      </c>
      <c r="B937">
        <v>28.594999999999999</v>
      </c>
      <c r="C937">
        <v>4.68</v>
      </c>
      <c r="D937" t="s">
        <v>2372</v>
      </c>
      <c r="E937" t="s">
        <v>2370</v>
      </c>
      <c r="F937" t="s">
        <v>2370</v>
      </c>
      <c r="G937">
        <v>1</v>
      </c>
      <c r="H937" t="s">
        <v>2370</v>
      </c>
    </row>
    <row r="938" spans="1:8" x14ac:dyDescent="0.35">
      <c r="A938" t="s">
        <v>1424</v>
      </c>
      <c r="B938">
        <v>36.799999999999997</v>
      </c>
      <c r="C938">
        <v>5.88</v>
      </c>
      <c r="D938" t="s">
        <v>2370</v>
      </c>
      <c r="E938" t="s">
        <v>2370</v>
      </c>
      <c r="F938" t="s">
        <v>2370</v>
      </c>
      <c r="G938">
        <v>1</v>
      </c>
      <c r="H938" t="s">
        <v>2370</v>
      </c>
    </row>
    <row r="939" spans="1:8" x14ac:dyDescent="0.35">
      <c r="A939" t="s">
        <v>1423</v>
      </c>
      <c r="B939">
        <v>23.75</v>
      </c>
      <c r="C939">
        <v>5.42</v>
      </c>
      <c r="D939" t="s">
        <v>2372</v>
      </c>
      <c r="E939" t="s">
        <v>2370</v>
      </c>
      <c r="F939" t="s">
        <v>2373</v>
      </c>
      <c r="G939">
        <v>1</v>
      </c>
      <c r="H939" t="s">
        <v>2370</v>
      </c>
    </row>
    <row r="940" spans="1:8" x14ac:dyDescent="0.35">
      <c r="A940" t="s">
        <v>1422</v>
      </c>
      <c r="B940">
        <v>35.619999999999997</v>
      </c>
      <c r="C940">
        <v>4.16</v>
      </c>
      <c r="D940" t="s">
        <v>2370</v>
      </c>
      <c r="E940" t="s">
        <v>2370</v>
      </c>
      <c r="F940" t="s">
        <v>2370</v>
      </c>
      <c r="G940" t="s">
        <v>2371</v>
      </c>
      <c r="H940" t="s">
        <v>2370</v>
      </c>
    </row>
    <row r="941" spans="1:8" x14ac:dyDescent="0.35">
      <c r="A941" t="s">
        <v>1421</v>
      </c>
      <c r="B941">
        <v>30.69</v>
      </c>
      <c r="C941">
        <v>7.05</v>
      </c>
      <c r="D941" t="s">
        <v>2372</v>
      </c>
      <c r="E941" t="s">
        <v>2370</v>
      </c>
      <c r="F941" t="s">
        <v>2370</v>
      </c>
      <c r="G941">
        <v>2</v>
      </c>
      <c r="H941" t="s">
        <v>2370</v>
      </c>
    </row>
    <row r="942" spans="1:8" x14ac:dyDescent="0.35">
      <c r="A942" t="s">
        <v>1420</v>
      </c>
      <c r="B942">
        <v>35.799999999999997</v>
      </c>
      <c r="C942">
        <v>5.63</v>
      </c>
      <c r="D942" t="s">
        <v>2372</v>
      </c>
      <c r="E942" t="s">
        <v>2370</v>
      </c>
      <c r="F942" t="s">
        <v>2370</v>
      </c>
      <c r="G942">
        <v>2</v>
      </c>
      <c r="H942" t="s">
        <v>2370</v>
      </c>
    </row>
    <row r="943" spans="1:8" x14ac:dyDescent="0.35">
      <c r="A943" t="s">
        <v>1419</v>
      </c>
      <c r="B943">
        <v>28.785</v>
      </c>
      <c r="C943">
        <v>4.24</v>
      </c>
      <c r="D943" t="s">
        <v>2372</v>
      </c>
      <c r="E943" t="s">
        <v>2370</v>
      </c>
      <c r="F943" t="s">
        <v>2370</v>
      </c>
      <c r="G943">
        <v>2</v>
      </c>
      <c r="H943" t="s">
        <v>2370</v>
      </c>
    </row>
    <row r="944" spans="1:8" x14ac:dyDescent="0.35">
      <c r="A944" t="s">
        <v>1418</v>
      </c>
      <c r="B944">
        <v>28.594999999999999</v>
      </c>
      <c r="C944">
        <v>4.96</v>
      </c>
      <c r="D944" t="s">
        <v>2372</v>
      </c>
      <c r="E944" t="s">
        <v>2370</v>
      </c>
      <c r="F944" t="s">
        <v>2370</v>
      </c>
      <c r="G944">
        <v>2</v>
      </c>
      <c r="H944" t="s">
        <v>2370</v>
      </c>
    </row>
    <row r="945" spans="1:8" x14ac:dyDescent="0.35">
      <c r="A945" t="s">
        <v>1417</v>
      </c>
      <c r="B945">
        <v>48.75</v>
      </c>
      <c r="C945">
        <v>4.34</v>
      </c>
      <c r="D945" t="s">
        <v>2370</v>
      </c>
      <c r="E945" t="s">
        <v>2370</v>
      </c>
      <c r="F945" t="s">
        <v>2370</v>
      </c>
      <c r="G945" t="s">
        <v>2371</v>
      </c>
      <c r="H945" t="s">
        <v>2370</v>
      </c>
    </row>
    <row r="946" spans="1:8" x14ac:dyDescent="0.35">
      <c r="A946" t="s">
        <v>1416</v>
      </c>
      <c r="B946">
        <v>28.31</v>
      </c>
      <c r="C946">
        <v>5.43</v>
      </c>
      <c r="D946" t="s">
        <v>2372</v>
      </c>
      <c r="E946" t="s">
        <v>2370</v>
      </c>
      <c r="F946" t="s">
        <v>2370</v>
      </c>
      <c r="G946">
        <v>2</v>
      </c>
      <c r="H946" t="s">
        <v>2370</v>
      </c>
    </row>
    <row r="947" spans="1:8" x14ac:dyDescent="0.35">
      <c r="A947" t="s">
        <v>1415</v>
      </c>
      <c r="B947">
        <v>38.39</v>
      </c>
      <c r="C947">
        <v>8.33</v>
      </c>
      <c r="D947" t="s">
        <v>2372</v>
      </c>
      <c r="E947" t="s">
        <v>2370</v>
      </c>
      <c r="F947" t="s">
        <v>2370</v>
      </c>
      <c r="G947">
        <v>1</v>
      </c>
      <c r="H947" t="s">
        <v>2370</v>
      </c>
    </row>
    <row r="948" spans="1:8" x14ac:dyDescent="0.35">
      <c r="A948" t="s">
        <v>1414</v>
      </c>
      <c r="B948">
        <v>25.87</v>
      </c>
      <c r="C948">
        <v>5.63</v>
      </c>
      <c r="D948" t="s">
        <v>2372</v>
      </c>
      <c r="E948" t="s">
        <v>2370</v>
      </c>
      <c r="F948" t="s">
        <v>2370</v>
      </c>
      <c r="G948">
        <v>1</v>
      </c>
      <c r="H948" t="s">
        <v>2370</v>
      </c>
    </row>
    <row r="949" spans="1:8" x14ac:dyDescent="0.35">
      <c r="A949" t="s">
        <v>1413</v>
      </c>
      <c r="B949">
        <v>43.7</v>
      </c>
      <c r="C949">
        <v>7.23</v>
      </c>
      <c r="D949" t="s">
        <v>2370</v>
      </c>
      <c r="E949" t="s">
        <v>2370</v>
      </c>
      <c r="F949" t="s">
        <v>2370</v>
      </c>
      <c r="G949" t="s">
        <v>2371</v>
      </c>
      <c r="H949" t="s">
        <v>2370</v>
      </c>
    </row>
    <row r="950" spans="1:8" x14ac:dyDescent="0.35">
      <c r="A950" t="s">
        <v>1412</v>
      </c>
      <c r="B950">
        <v>40.945</v>
      </c>
      <c r="C950">
        <v>10.57</v>
      </c>
      <c r="D950" t="s">
        <v>2370</v>
      </c>
      <c r="E950" t="s">
        <v>2370</v>
      </c>
      <c r="F950" t="s">
        <v>2370</v>
      </c>
      <c r="G950" t="s">
        <v>2371</v>
      </c>
      <c r="H950" t="s">
        <v>2370</v>
      </c>
    </row>
    <row r="951" spans="1:8" x14ac:dyDescent="0.35">
      <c r="A951" t="s">
        <v>1411</v>
      </c>
      <c r="B951">
        <v>27.94</v>
      </c>
      <c r="C951">
        <v>7.92</v>
      </c>
      <c r="D951" t="s">
        <v>2370</v>
      </c>
      <c r="E951" t="s">
        <v>2370</v>
      </c>
      <c r="F951" t="s">
        <v>2370</v>
      </c>
      <c r="G951" t="s">
        <v>2371</v>
      </c>
      <c r="H951" t="s">
        <v>2370</v>
      </c>
    </row>
    <row r="952" spans="1:8" x14ac:dyDescent="0.35">
      <c r="A952" t="s">
        <v>1410</v>
      </c>
      <c r="B952">
        <v>31.9</v>
      </c>
      <c r="C952">
        <v>10.119999999999999</v>
      </c>
      <c r="D952" t="s">
        <v>2370</v>
      </c>
      <c r="E952" t="s">
        <v>2370</v>
      </c>
      <c r="F952" t="s">
        <v>2370</v>
      </c>
      <c r="G952">
        <v>2</v>
      </c>
      <c r="H952" t="s">
        <v>2370</v>
      </c>
    </row>
    <row r="953" spans="1:8" x14ac:dyDescent="0.35">
      <c r="A953" t="s">
        <v>1409</v>
      </c>
      <c r="B953">
        <v>31.64</v>
      </c>
      <c r="C953">
        <v>7.91</v>
      </c>
      <c r="D953" t="s">
        <v>2370</v>
      </c>
      <c r="E953" t="s">
        <v>2370</v>
      </c>
      <c r="F953" t="s">
        <v>2370</v>
      </c>
      <c r="G953" t="s">
        <v>2371</v>
      </c>
      <c r="H953" t="s">
        <v>2370</v>
      </c>
    </row>
    <row r="954" spans="1:8" x14ac:dyDescent="0.35">
      <c r="A954" t="s">
        <v>1408</v>
      </c>
      <c r="B954">
        <v>46.7</v>
      </c>
      <c r="C954">
        <v>10.9</v>
      </c>
      <c r="D954" t="s">
        <v>2370</v>
      </c>
      <c r="E954" t="s">
        <v>2370</v>
      </c>
      <c r="F954" t="s">
        <v>2370</v>
      </c>
      <c r="G954" t="s">
        <v>2371</v>
      </c>
      <c r="H954" t="s">
        <v>2370</v>
      </c>
    </row>
    <row r="955" spans="1:8" x14ac:dyDescent="0.35">
      <c r="A955" t="s">
        <v>1407</v>
      </c>
      <c r="B955">
        <v>18.335000000000001</v>
      </c>
      <c r="C955">
        <v>11.83</v>
      </c>
      <c r="D955" t="s">
        <v>2370</v>
      </c>
      <c r="E955" t="s">
        <v>2370</v>
      </c>
      <c r="F955" t="s">
        <v>2370</v>
      </c>
      <c r="G955" t="s">
        <v>2371</v>
      </c>
      <c r="H955" t="s">
        <v>2370</v>
      </c>
    </row>
    <row r="956" spans="1:8" x14ac:dyDescent="0.35">
      <c r="A956" t="s">
        <v>1406</v>
      </c>
      <c r="B956">
        <v>31.24</v>
      </c>
      <c r="C956">
        <v>7.42</v>
      </c>
      <c r="D956" t="s">
        <v>2372</v>
      </c>
      <c r="E956" t="s">
        <v>2370</v>
      </c>
      <c r="F956" t="s">
        <v>2370</v>
      </c>
      <c r="G956">
        <v>2</v>
      </c>
      <c r="H956" t="s">
        <v>2370</v>
      </c>
    </row>
    <row r="957" spans="1:8" x14ac:dyDescent="0.35">
      <c r="A957" t="s">
        <v>1405</v>
      </c>
      <c r="B957">
        <v>39.22</v>
      </c>
      <c r="C957">
        <v>5.62</v>
      </c>
      <c r="D957" t="s">
        <v>2372</v>
      </c>
      <c r="E957" t="s">
        <v>2370</v>
      </c>
      <c r="F957" t="s">
        <v>2370</v>
      </c>
      <c r="G957">
        <v>1</v>
      </c>
      <c r="H957" t="s">
        <v>2370</v>
      </c>
    </row>
    <row r="958" spans="1:8" x14ac:dyDescent="0.35">
      <c r="A958" t="s">
        <v>1404</v>
      </c>
      <c r="B958">
        <v>24.414999999999999</v>
      </c>
      <c r="C958">
        <v>7.16</v>
      </c>
      <c r="D958" t="s">
        <v>2370</v>
      </c>
      <c r="E958" t="s">
        <v>2370</v>
      </c>
      <c r="F958" t="s">
        <v>2370</v>
      </c>
      <c r="G958" t="s">
        <v>2371</v>
      </c>
      <c r="H958" t="s">
        <v>2370</v>
      </c>
    </row>
    <row r="959" spans="1:8" x14ac:dyDescent="0.35">
      <c r="A959" t="s">
        <v>1403</v>
      </c>
      <c r="B959">
        <v>32.299999999999997</v>
      </c>
      <c r="C959">
        <v>9.89</v>
      </c>
      <c r="D959" t="s">
        <v>2370</v>
      </c>
      <c r="E959" t="s">
        <v>2370</v>
      </c>
      <c r="F959" t="s">
        <v>2370</v>
      </c>
      <c r="G959" t="s">
        <v>2371</v>
      </c>
      <c r="H959" t="s">
        <v>2370</v>
      </c>
    </row>
    <row r="960" spans="1:8" x14ac:dyDescent="0.35">
      <c r="A960" t="s">
        <v>1402</v>
      </c>
      <c r="B960">
        <v>39.94</v>
      </c>
      <c r="C960">
        <v>5.14</v>
      </c>
      <c r="D960" t="s">
        <v>2370</v>
      </c>
      <c r="E960" t="s">
        <v>2370</v>
      </c>
      <c r="F960" t="s">
        <v>2370</v>
      </c>
      <c r="G960" t="s">
        <v>2371</v>
      </c>
      <c r="H960" t="s">
        <v>2370</v>
      </c>
    </row>
    <row r="961" spans="1:8" x14ac:dyDescent="0.35">
      <c r="A961" t="s">
        <v>1401</v>
      </c>
      <c r="B961">
        <v>30</v>
      </c>
      <c r="C961">
        <v>5.61</v>
      </c>
      <c r="D961" t="s">
        <v>2372</v>
      </c>
      <c r="E961" t="s">
        <v>2370</v>
      </c>
      <c r="F961" t="s">
        <v>2373</v>
      </c>
      <c r="G961">
        <v>1</v>
      </c>
      <c r="H961" t="s">
        <v>2370</v>
      </c>
    </row>
    <row r="962" spans="1:8" x14ac:dyDescent="0.35">
      <c r="A962" t="s">
        <v>1400</v>
      </c>
      <c r="B962">
        <v>35.340000000000003</v>
      </c>
      <c r="C962">
        <v>5.51</v>
      </c>
      <c r="D962" t="s">
        <v>2372</v>
      </c>
      <c r="E962" t="s">
        <v>2370</v>
      </c>
      <c r="F962" t="s">
        <v>2373</v>
      </c>
      <c r="G962">
        <v>1</v>
      </c>
      <c r="H962" t="s">
        <v>2370</v>
      </c>
    </row>
    <row r="963" spans="1:8" x14ac:dyDescent="0.35">
      <c r="A963" t="s">
        <v>1399</v>
      </c>
      <c r="B963">
        <v>32.204999999999998</v>
      </c>
      <c r="C963">
        <v>8.3800000000000008</v>
      </c>
      <c r="D963" t="s">
        <v>2372</v>
      </c>
      <c r="E963" t="s">
        <v>2370</v>
      </c>
      <c r="F963" t="s">
        <v>2370</v>
      </c>
      <c r="G963">
        <v>2</v>
      </c>
      <c r="H963" t="s">
        <v>2370</v>
      </c>
    </row>
    <row r="964" spans="1:8" x14ac:dyDescent="0.35">
      <c r="A964" t="s">
        <v>1398</v>
      </c>
      <c r="B964">
        <v>33.880000000000003</v>
      </c>
      <c r="C964">
        <v>4.68</v>
      </c>
      <c r="D964" t="s">
        <v>2370</v>
      </c>
      <c r="E964" t="s">
        <v>2372</v>
      </c>
      <c r="F964" t="s">
        <v>2370</v>
      </c>
      <c r="G964">
        <v>1</v>
      </c>
      <c r="H964" t="s">
        <v>2370</v>
      </c>
    </row>
    <row r="965" spans="1:8" x14ac:dyDescent="0.35">
      <c r="A965" t="s">
        <v>1397</v>
      </c>
      <c r="B965">
        <v>26.63</v>
      </c>
      <c r="C965">
        <v>4.3600000000000003</v>
      </c>
      <c r="D965" t="s">
        <v>2372</v>
      </c>
      <c r="E965" t="s">
        <v>2370</v>
      </c>
      <c r="F965" t="s">
        <v>2370</v>
      </c>
      <c r="G965">
        <v>2</v>
      </c>
      <c r="H965" t="s">
        <v>2370</v>
      </c>
    </row>
    <row r="966" spans="1:8" x14ac:dyDescent="0.35">
      <c r="A966" t="s">
        <v>1396</v>
      </c>
      <c r="B966">
        <v>28.7</v>
      </c>
      <c r="C966">
        <v>7.74</v>
      </c>
      <c r="D966" t="s">
        <v>2370</v>
      </c>
      <c r="E966" t="s">
        <v>2370</v>
      </c>
      <c r="F966" t="s">
        <v>2370</v>
      </c>
      <c r="G966" t="s">
        <v>2371</v>
      </c>
      <c r="H966" t="s">
        <v>2370</v>
      </c>
    </row>
    <row r="967" spans="1:8" x14ac:dyDescent="0.35">
      <c r="A967" t="s">
        <v>1395</v>
      </c>
      <c r="B967">
        <v>25.65</v>
      </c>
      <c r="C967">
        <v>4.05</v>
      </c>
      <c r="D967" t="s">
        <v>2372</v>
      </c>
      <c r="E967" t="s">
        <v>2370</v>
      </c>
      <c r="F967" t="s">
        <v>2370</v>
      </c>
      <c r="G967">
        <v>2</v>
      </c>
      <c r="H967" t="s">
        <v>2370</v>
      </c>
    </row>
    <row r="968" spans="1:8" x14ac:dyDescent="0.35">
      <c r="A968" t="s">
        <v>1394</v>
      </c>
      <c r="B968">
        <v>36.384999999999998</v>
      </c>
      <c r="C968">
        <v>11.49</v>
      </c>
      <c r="D968" t="s">
        <v>2370</v>
      </c>
      <c r="E968" t="s">
        <v>2370</v>
      </c>
      <c r="F968" t="s">
        <v>2370</v>
      </c>
      <c r="G968" t="s">
        <v>2371</v>
      </c>
      <c r="H968" t="s">
        <v>2370</v>
      </c>
    </row>
    <row r="969" spans="1:8" x14ac:dyDescent="0.35">
      <c r="A969" t="s">
        <v>1393</v>
      </c>
      <c r="B969">
        <v>34.69</v>
      </c>
      <c r="C969">
        <v>5.65</v>
      </c>
      <c r="D969" t="s">
        <v>2370</v>
      </c>
      <c r="E969" t="s">
        <v>2370</v>
      </c>
      <c r="F969" t="s">
        <v>2370</v>
      </c>
      <c r="G969" t="s">
        <v>2371</v>
      </c>
      <c r="H969" t="s">
        <v>2370</v>
      </c>
    </row>
    <row r="970" spans="1:8" x14ac:dyDescent="0.35">
      <c r="A970" t="s">
        <v>1392</v>
      </c>
      <c r="B970">
        <v>37.68</v>
      </c>
      <c r="C970">
        <v>4.29</v>
      </c>
      <c r="D970" t="s">
        <v>2372</v>
      </c>
      <c r="E970" t="s">
        <v>2370</v>
      </c>
      <c r="F970" t="s">
        <v>2370</v>
      </c>
      <c r="G970" t="s">
        <v>2371</v>
      </c>
      <c r="H970" t="s">
        <v>2370</v>
      </c>
    </row>
    <row r="971" spans="1:8" x14ac:dyDescent="0.35">
      <c r="A971" t="s">
        <v>1391</v>
      </c>
      <c r="B971">
        <v>35.49</v>
      </c>
      <c r="C971">
        <v>4.74</v>
      </c>
      <c r="D971" t="s">
        <v>2372</v>
      </c>
      <c r="E971" t="s">
        <v>2370</v>
      </c>
      <c r="F971" t="s">
        <v>2373</v>
      </c>
      <c r="G971">
        <v>1</v>
      </c>
      <c r="H971" t="s">
        <v>2370</v>
      </c>
    </row>
    <row r="972" spans="1:8" x14ac:dyDescent="0.35">
      <c r="A972" t="s">
        <v>1390</v>
      </c>
      <c r="B972">
        <v>44.7</v>
      </c>
      <c r="C972">
        <v>7.6</v>
      </c>
      <c r="D972" t="s">
        <v>2372</v>
      </c>
      <c r="E972" t="s">
        <v>2370</v>
      </c>
      <c r="F972" t="s">
        <v>2370</v>
      </c>
      <c r="G972">
        <v>2</v>
      </c>
      <c r="H972" t="s">
        <v>2370</v>
      </c>
    </row>
    <row r="973" spans="1:8" x14ac:dyDescent="0.35">
      <c r="A973" t="s">
        <v>1389</v>
      </c>
      <c r="B973">
        <v>38.380000000000003</v>
      </c>
      <c r="C973">
        <v>8.5</v>
      </c>
      <c r="D973" t="s">
        <v>2372</v>
      </c>
      <c r="E973" t="s">
        <v>2370</v>
      </c>
      <c r="F973" t="s">
        <v>2370</v>
      </c>
      <c r="G973">
        <v>2</v>
      </c>
      <c r="H973" t="s">
        <v>2370</v>
      </c>
    </row>
    <row r="974" spans="1:8" x14ac:dyDescent="0.35">
      <c r="A974" t="s">
        <v>1388</v>
      </c>
      <c r="B974">
        <v>35.244999999999997</v>
      </c>
      <c r="C974">
        <v>11.22</v>
      </c>
      <c r="D974" t="s">
        <v>2372</v>
      </c>
      <c r="E974" t="s">
        <v>2370</v>
      </c>
      <c r="F974" t="s">
        <v>2370</v>
      </c>
      <c r="G974" t="s">
        <v>2371</v>
      </c>
      <c r="H974" t="s">
        <v>2370</v>
      </c>
    </row>
    <row r="975" spans="1:8" x14ac:dyDescent="0.35">
      <c r="A975" t="s">
        <v>1387</v>
      </c>
      <c r="B975">
        <v>49.84</v>
      </c>
      <c r="C975">
        <v>5.0999999999999996</v>
      </c>
      <c r="D975" t="s">
        <v>2372</v>
      </c>
      <c r="E975" t="s">
        <v>2370</v>
      </c>
      <c r="F975" t="s">
        <v>2373</v>
      </c>
      <c r="G975">
        <v>1</v>
      </c>
      <c r="H975" t="s">
        <v>2370</v>
      </c>
    </row>
    <row r="976" spans="1:8" x14ac:dyDescent="0.35">
      <c r="A976" t="s">
        <v>1386</v>
      </c>
      <c r="B976">
        <v>49.06</v>
      </c>
      <c r="C976">
        <v>5.43</v>
      </c>
      <c r="D976" t="s">
        <v>2372</v>
      </c>
      <c r="E976" t="s">
        <v>2370</v>
      </c>
      <c r="F976" t="s">
        <v>2370</v>
      </c>
      <c r="G976">
        <v>1</v>
      </c>
      <c r="H976" t="s">
        <v>2370</v>
      </c>
    </row>
    <row r="977" spans="1:8" x14ac:dyDescent="0.35">
      <c r="A977" t="s">
        <v>1385</v>
      </c>
      <c r="B977">
        <v>30.88</v>
      </c>
      <c r="C977">
        <v>5.82</v>
      </c>
      <c r="D977" t="s">
        <v>2370</v>
      </c>
      <c r="E977" t="s">
        <v>2370</v>
      </c>
      <c r="F977" t="s">
        <v>2370</v>
      </c>
      <c r="G977">
        <v>2</v>
      </c>
      <c r="H977" t="s">
        <v>2370</v>
      </c>
    </row>
    <row r="978" spans="1:8" x14ac:dyDescent="0.35">
      <c r="A978" t="s">
        <v>1384</v>
      </c>
      <c r="B978">
        <v>33.35</v>
      </c>
      <c r="C978">
        <v>6.05</v>
      </c>
      <c r="D978" t="s">
        <v>2370</v>
      </c>
      <c r="E978" t="s">
        <v>2370</v>
      </c>
      <c r="F978" t="s">
        <v>2373</v>
      </c>
      <c r="G978">
        <v>1</v>
      </c>
      <c r="H978" t="s">
        <v>2370</v>
      </c>
    </row>
    <row r="979" spans="1:8" x14ac:dyDescent="0.35">
      <c r="A979" t="s">
        <v>1383</v>
      </c>
      <c r="B979">
        <v>38</v>
      </c>
      <c r="C979">
        <v>6.38</v>
      </c>
      <c r="D979" t="s">
        <v>2372</v>
      </c>
      <c r="E979" t="s">
        <v>2370</v>
      </c>
      <c r="F979" t="s">
        <v>2370</v>
      </c>
      <c r="G979">
        <v>1</v>
      </c>
      <c r="H979" t="s">
        <v>2370</v>
      </c>
    </row>
    <row r="980" spans="1:8" x14ac:dyDescent="0.35">
      <c r="A980" t="s">
        <v>1382</v>
      </c>
      <c r="B980">
        <v>36.08</v>
      </c>
      <c r="C980">
        <v>5.73</v>
      </c>
      <c r="D980" t="s">
        <v>2372</v>
      </c>
      <c r="E980" t="s">
        <v>2370</v>
      </c>
      <c r="F980" t="s">
        <v>2370</v>
      </c>
      <c r="G980">
        <v>1</v>
      </c>
      <c r="H980" t="s">
        <v>2370</v>
      </c>
    </row>
    <row r="981" spans="1:8" x14ac:dyDescent="0.35">
      <c r="A981" t="s">
        <v>1381</v>
      </c>
      <c r="B981">
        <v>35.700000000000003</v>
      </c>
      <c r="C981">
        <v>5.47</v>
      </c>
      <c r="D981" t="s">
        <v>2372</v>
      </c>
      <c r="E981" t="s">
        <v>2370</v>
      </c>
      <c r="F981" t="s">
        <v>2370</v>
      </c>
      <c r="G981">
        <v>1</v>
      </c>
      <c r="H981" t="s">
        <v>2370</v>
      </c>
    </row>
    <row r="982" spans="1:8" x14ac:dyDescent="0.35">
      <c r="A982" t="s">
        <v>1380</v>
      </c>
      <c r="B982">
        <v>34.01</v>
      </c>
      <c r="C982">
        <v>11.3</v>
      </c>
      <c r="D982" t="s">
        <v>2370</v>
      </c>
      <c r="E982" t="s">
        <v>2370</v>
      </c>
      <c r="F982" t="s">
        <v>2370</v>
      </c>
      <c r="G982" t="s">
        <v>2371</v>
      </c>
      <c r="H982" t="s">
        <v>2370</v>
      </c>
    </row>
    <row r="983" spans="1:8" x14ac:dyDescent="0.35">
      <c r="A983" t="s">
        <v>1379</v>
      </c>
      <c r="B983">
        <v>31.54</v>
      </c>
      <c r="C983">
        <v>6.72</v>
      </c>
      <c r="D983" t="s">
        <v>2370</v>
      </c>
      <c r="E983" t="s">
        <v>2370</v>
      </c>
      <c r="F983" t="s">
        <v>2370</v>
      </c>
      <c r="G983" t="s">
        <v>2371</v>
      </c>
      <c r="H983" t="s">
        <v>2370</v>
      </c>
    </row>
    <row r="984" spans="1:8" x14ac:dyDescent="0.35">
      <c r="A984" t="s">
        <v>1378</v>
      </c>
      <c r="B984">
        <v>23.3</v>
      </c>
      <c r="C984">
        <v>5.36</v>
      </c>
      <c r="D984" t="s">
        <v>2372</v>
      </c>
      <c r="E984" t="s">
        <v>2370</v>
      </c>
      <c r="F984" t="s">
        <v>2370</v>
      </c>
      <c r="G984">
        <v>1</v>
      </c>
      <c r="H984" t="s">
        <v>2370</v>
      </c>
    </row>
    <row r="985" spans="1:8" x14ac:dyDescent="0.35">
      <c r="A985" t="s">
        <v>1377</v>
      </c>
      <c r="B985">
        <v>27.75</v>
      </c>
      <c r="C985">
        <v>9.8800000000000008</v>
      </c>
      <c r="D985" t="s">
        <v>2370</v>
      </c>
      <c r="E985" t="s">
        <v>2370</v>
      </c>
      <c r="F985" t="s">
        <v>2370</v>
      </c>
      <c r="G985" t="s">
        <v>2371</v>
      </c>
      <c r="H985" t="s">
        <v>2370</v>
      </c>
    </row>
    <row r="986" spans="1:8" x14ac:dyDescent="0.35">
      <c r="A986" t="s">
        <v>1376</v>
      </c>
      <c r="B986">
        <v>42.46</v>
      </c>
      <c r="C986">
        <v>4.1100000000000003</v>
      </c>
      <c r="D986" t="s">
        <v>2370</v>
      </c>
      <c r="E986" t="s">
        <v>2370</v>
      </c>
      <c r="F986" t="s">
        <v>2370</v>
      </c>
      <c r="G986" t="s">
        <v>2371</v>
      </c>
      <c r="H986" t="s">
        <v>2370</v>
      </c>
    </row>
    <row r="987" spans="1:8" x14ac:dyDescent="0.35">
      <c r="A987" t="s">
        <v>1375</v>
      </c>
      <c r="B987">
        <v>54.47</v>
      </c>
      <c r="C987">
        <v>7.48</v>
      </c>
      <c r="D987" t="s">
        <v>2370</v>
      </c>
      <c r="E987" t="s">
        <v>2370</v>
      </c>
      <c r="F987" t="s">
        <v>2370</v>
      </c>
      <c r="G987" t="s">
        <v>2371</v>
      </c>
      <c r="H987" t="s">
        <v>2370</v>
      </c>
    </row>
    <row r="988" spans="1:8" x14ac:dyDescent="0.35">
      <c r="A988" t="s">
        <v>1374</v>
      </c>
      <c r="B988">
        <v>24.93</v>
      </c>
      <c r="C988">
        <v>9.18</v>
      </c>
      <c r="D988" t="s">
        <v>2372</v>
      </c>
      <c r="E988" t="s">
        <v>2370</v>
      </c>
      <c r="F988" t="s">
        <v>2373</v>
      </c>
      <c r="G988">
        <v>1</v>
      </c>
      <c r="H988" t="s">
        <v>2370</v>
      </c>
    </row>
    <row r="989" spans="1:8" x14ac:dyDescent="0.35">
      <c r="A989" t="s">
        <v>1373</v>
      </c>
      <c r="B989">
        <v>48.12</v>
      </c>
      <c r="C989">
        <v>4.51</v>
      </c>
      <c r="D989" t="s">
        <v>2372</v>
      </c>
      <c r="E989" t="s">
        <v>2370</v>
      </c>
      <c r="F989" t="s">
        <v>2370</v>
      </c>
      <c r="G989">
        <v>1</v>
      </c>
      <c r="H989" t="s">
        <v>2370</v>
      </c>
    </row>
    <row r="990" spans="1:8" x14ac:dyDescent="0.35">
      <c r="A990" t="s">
        <v>1372</v>
      </c>
      <c r="B990">
        <v>24.91</v>
      </c>
      <c r="C990">
        <v>7.33</v>
      </c>
      <c r="D990" t="s">
        <v>2372</v>
      </c>
      <c r="E990" t="s">
        <v>2370</v>
      </c>
      <c r="F990" t="s">
        <v>2373</v>
      </c>
      <c r="G990">
        <v>1</v>
      </c>
      <c r="H990" t="s">
        <v>2370</v>
      </c>
    </row>
    <row r="991" spans="1:8" x14ac:dyDescent="0.35">
      <c r="A991" t="s">
        <v>1371</v>
      </c>
      <c r="B991">
        <v>27.645</v>
      </c>
      <c r="C991">
        <v>10.56</v>
      </c>
      <c r="D991" t="s">
        <v>2370</v>
      </c>
      <c r="E991" t="s">
        <v>2370</v>
      </c>
      <c r="F991" t="s">
        <v>2370</v>
      </c>
      <c r="G991" t="s">
        <v>2371</v>
      </c>
      <c r="H991" t="s">
        <v>2370</v>
      </c>
    </row>
    <row r="992" spans="1:8" x14ac:dyDescent="0.35">
      <c r="A992" t="s">
        <v>1370</v>
      </c>
      <c r="B992">
        <v>33.700000000000003</v>
      </c>
      <c r="C992">
        <v>4.01</v>
      </c>
      <c r="D992" t="s">
        <v>2370</v>
      </c>
      <c r="E992" t="s">
        <v>2370</v>
      </c>
      <c r="F992" t="s">
        <v>2370</v>
      </c>
      <c r="G992">
        <v>2</v>
      </c>
      <c r="H992" t="s">
        <v>2370</v>
      </c>
    </row>
    <row r="993" spans="1:8" x14ac:dyDescent="0.35">
      <c r="A993" t="s">
        <v>1369</v>
      </c>
      <c r="B993">
        <v>38.93</v>
      </c>
      <c r="C993">
        <v>5.64</v>
      </c>
      <c r="D993" t="s">
        <v>2372</v>
      </c>
      <c r="E993" t="s">
        <v>2370</v>
      </c>
      <c r="F993" t="s">
        <v>2370</v>
      </c>
      <c r="G993">
        <v>1</v>
      </c>
      <c r="H993" t="s">
        <v>2370</v>
      </c>
    </row>
    <row r="994" spans="1:8" x14ac:dyDescent="0.35">
      <c r="A994" t="s">
        <v>1368</v>
      </c>
      <c r="B994">
        <v>32.774999999999999</v>
      </c>
      <c r="C994">
        <v>8.02</v>
      </c>
      <c r="D994" t="s">
        <v>2372</v>
      </c>
      <c r="E994" t="s">
        <v>2370</v>
      </c>
      <c r="F994" t="s">
        <v>2370</v>
      </c>
      <c r="G994">
        <v>2</v>
      </c>
      <c r="H994" t="s">
        <v>2370</v>
      </c>
    </row>
    <row r="995" spans="1:8" x14ac:dyDescent="0.35">
      <c r="A995" t="s">
        <v>1367</v>
      </c>
      <c r="B995">
        <v>29.83</v>
      </c>
      <c r="C995">
        <v>7.2</v>
      </c>
      <c r="D995" t="s">
        <v>2372</v>
      </c>
      <c r="E995" t="s">
        <v>2370</v>
      </c>
      <c r="F995" t="s">
        <v>2370</v>
      </c>
      <c r="G995" t="s">
        <v>2371</v>
      </c>
      <c r="H995" t="s">
        <v>2370</v>
      </c>
    </row>
    <row r="996" spans="1:8" x14ac:dyDescent="0.35">
      <c r="A996" t="s">
        <v>1366</v>
      </c>
      <c r="B996">
        <v>28.31</v>
      </c>
      <c r="C996">
        <v>4.55</v>
      </c>
      <c r="D996" t="s">
        <v>2370</v>
      </c>
      <c r="E996" t="s">
        <v>2372</v>
      </c>
      <c r="F996" t="s">
        <v>2370</v>
      </c>
      <c r="G996">
        <v>1</v>
      </c>
      <c r="H996" t="s">
        <v>2370</v>
      </c>
    </row>
    <row r="997" spans="1:8" x14ac:dyDescent="0.35">
      <c r="A997" t="s">
        <v>1365</v>
      </c>
      <c r="B997">
        <v>29.79</v>
      </c>
      <c r="C997">
        <v>9.0299999999999994</v>
      </c>
      <c r="D997" t="s">
        <v>2370</v>
      </c>
      <c r="E997" t="s">
        <v>2370</v>
      </c>
      <c r="F997" t="s">
        <v>2370</v>
      </c>
      <c r="G997" t="s">
        <v>2371</v>
      </c>
      <c r="H997" t="s">
        <v>2370</v>
      </c>
    </row>
    <row r="998" spans="1:8" x14ac:dyDescent="0.35">
      <c r="A998" t="s">
        <v>1364</v>
      </c>
      <c r="B998">
        <v>36.6</v>
      </c>
      <c r="C998">
        <v>5.2</v>
      </c>
      <c r="D998" t="s">
        <v>2372</v>
      </c>
      <c r="E998" t="s">
        <v>2370</v>
      </c>
      <c r="F998" t="s">
        <v>2373</v>
      </c>
      <c r="G998">
        <v>1</v>
      </c>
      <c r="H998" t="s">
        <v>2370</v>
      </c>
    </row>
    <row r="999" spans="1:8" x14ac:dyDescent="0.35">
      <c r="A999" t="s">
        <v>1363</v>
      </c>
      <c r="B999">
        <v>35.93</v>
      </c>
      <c r="C999">
        <v>8.3000000000000007</v>
      </c>
      <c r="D999" t="s">
        <v>2372</v>
      </c>
      <c r="E999" t="s">
        <v>2370</v>
      </c>
      <c r="F999" t="s">
        <v>2370</v>
      </c>
      <c r="G999" t="s">
        <v>2371</v>
      </c>
      <c r="H999" t="s">
        <v>2370</v>
      </c>
    </row>
    <row r="1000" spans="1:8" x14ac:dyDescent="0.35">
      <c r="A1000" t="s">
        <v>1362</v>
      </c>
      <c r="B1000">
        <v>28.6</v>
      </c>
      <c r="C1000">
        <v>5.56</v>
      </c>
      <c r="D1000" t="s">
        <v>2372</v>
      </c>
      <c r="E1000" t="s">
        <v>2370</v>
      </c>
      <c r="F1000" t="s">
        <v>2373</v>
      </c>
      <c r="G1000">
        <v>1</v>
      </c>
      <c r="H1000" t="s">
        <v>2370</v>
      </c>
    </row>
    <row r="1001" spans="1:8" x14ac:dyDescent="0.35">
      <c r="A1001" t="s">
        <v>1361</v>
      </c>
      <c r="B1001">
        <v>39.17</v>
      </c>
      <c r="C1001">
        <v>4.1500000000000004</v>
      </c>
      <c r="D1001" t="s">
        <v>2370</v>
      </c>
      <c r="E1001" t="s">
        <v>2370</v>
      </c>
      <c r="F1001" t="s">
        <v>2370</v>
      </c>
      <c r="G1001" t="s">
        <v>2371</v>
      </c>
      <c r="H1001" t="s">
        <v>2370</v>
      </c>
    </row>
    <row r="1002" spans="1:8" x14ac:dyDescent="0.35">
      <c r="A1002" t="s">
        <v>1360</v>
      </c>
      <c r="B1002">
        <v>26.41</v>
      </c>
      <c r="C1002">
        <v>5.99</v>
      </c>
      <c r="D1002" t="s">
        <v>2372</v>
      </c>
      <c r="E1002" t="s">
        <v>2370</v>
      </c>
      <c r="F1002" t="s">
        <v>2373</v>
      </c>
      <c r="G1002">
        <v>1</v>
      </c>
      <c r="H1002" t="s">
        <v>2370</v>
      </c>
    </row>
    <row r="1003" spans="1:8" x14ac:dyDescent="0.35">
      <c r="A1003" t="s">
        <v>1359</v>
      </c>
      <c r="B1003">
        <v>30.63</v>
      </c>
      <c r="C1003">
        <v>5.8</v>
      </c>
      <c r="D1003" t="s">
        <v>2372</v>
      </c>
      <c r="E1003" t="s">
        <v>2370</v>
      </c>
      <c r="F1003" t="s">
        <v>2370</v>
      </c>
      <c r="G1003" t="s">
        <v>2371</v>
      </c>
      <c r="H1003" t="s">
        <v>2370</v>
      </c>
    </row>
    <row r="1004" spans="1:8" x14ac:dyDescent="0.35">
      <c r="A1004" t="s">
        <v>1358</v>
      </c>
      <c r="B1004">
        <v>31.73</v>
      </c>
      <c r="C1004">
        <v>7.32</v>
      </c>
      <c r="D1004" t="s">
        <v>2372</v>
      </c>
      <c r="E1004" t="s">
        <v>2370</v>
      </c>
      <c r="F1004" t="s">
        <v>2370</v>
      </c>
      <c r="G1004">
        <v>2</v>
      </c>
      <c r="H1004" t="s">
        <v>2370</v>
      </c>
    </row>
    <row r="1005" spans="1:8" x14ac:dyDescent="0.35">
      <c r="A1005" t="s">
        <v>1357</v>
      </c>
      <c r="B1005">
        <v>30.7</v>
      </c>
      <c r="C1005">
        <v>5.16</v>
      </c>
      <c r="D1005" t="s">
        <v>2370</v>
      </c>
      <c r="E1005" t="s">
        <v>2370</v>
      </c>
      <c r="F1005" t="s">
        <v>2370</v>
      </c>
      <c r="G1005">
        <v>2</v>
      </c>
      <c r="H1005" t="s">
        <v>2370</v>
      </c>
    </row>
    <row r="1006" spans="1:8" x14ac:dyDescent="0.35">
      <c r="A1006" t="s">
        <v>1356</v>
      </c>
      <c r="B1006">
        <v>25.934999999999999</v>
      </c>
      <c r="C1006">
        <v>5.96</v>
      </c>
      <c r="D1006" t="s">
        <v>2372</v>
      </c>
      <c r="E1006" t="s">
        <v>2370</v>
      </c>
      <c r="F1006" t="s">
        <v>2370</v>
      </c>
      <c r="G1006">
        <v>2</v>
      </c>
      <c r="H1006" t="s">
        <v>2370</v>
      </c>
    </row>
    <row r="1007" spans="1:8" x14ac:dyDescent="0.35">
      <c r="A1007" t="s">
        <v>1355</v>
      </c>
      <c r="B1007">
        <v>35.9</v>
      </c>
      <c r="C1007">
        <v>4.8499999999999996</v>
      </c>
      <c r="D1007" t="s">
        <v>2372</v>
      </c>
      <c r="E1007" t="s">
        <v>2370</v>
      </c>
      <c r="F1007" t="s">
        <v>2373</v>
      </c>
      <c r="G1007">
        <v>1</v>
      </c>
      <c r="H1007" t="s">
        <v>2370</v>
      </c>
    </row>
    <row r="1008" spans="1:8" x14ac:dyDescent="0.35">
      <c r="A1008" t="s">
        <v>1354</v>
      </c>
      <c r="B1008">
        <v>26.7</v>
      </c>
      <c r="C1008">
        <v>5.09</v>
      </c>
      <c r="D1008" t="s">
        <v>2372</v>
      </c>
      <c r="E1008" t="s">
        <v>2370</v>
      </c>
      <c r="F1008" t="s">
        <v>2373</v>
      </c>
      <c r="G1008">
        <v>1</v>
      </c>
      <c r="H1008" t="s">
        <v>2370</v>
      </c>
    </row>
    <row r="1009" spans="1:8" x14ac:dyDescent="0.35">
      <c r="A1009" t="s">
        <v>1353</v>
      </c>
      <c r="B1009">
        <v>33.71</v>
      </c>
      <c r="C1009">
        <v>4.9400000000000004</v>
      </c>
      <c r="D1009" t="s">
        <v>2370</v>
      </c>
      <c r="E1009" t="s">
        <v>2370</v>
      </c>
      <c r="F1009" t="s">
        <v>2370</v>
      </c>
      <c r="G1009" t="s">
        <v>2371</v>
      </c>
      <c r="H1009" t="s">
        <v>2370</v>
      </c>
    </row>
    <row r="1010" spans="1:8" x14ac:dyDescent="0.35">
      <c r="A1010" t="s">
        <v>1352</v>
      </c>
      <c r="B1010">
        <v>41.91</v>
      </c>
      <c r="C1010">
        <v>4.92</v>
      </c>
      <c r="D1010" t="s">
        <v>2372</v>
      </c>
      <c r="E1010" t="s">
        <v>2370</v>
      </c>
      <c r="F1010" t="s">
        <v>2370</v>
      </c>
      <c r="G1010">
        <v>2</v>
      </c>
      <c r="H1010" t="s">
        <v>2370</v>
      </c>
    </row>
    <row r="1011" spans="1:8" x14ac:dyDescent="0.35">
      <c r="A1011" t="s">
        <v>1351</v>
      </c>
      <c r="B1011">
        <v>39.82</v>
      </c>
      <c r="C1011">
        <v>6.05</v>
      </c>
      <c r="D1011" t="s">
        <v>2372</v>
      </c>
      <c r="E1011" t="s">
        <v>2370</v>
      </c>
      <c r="F1011" t="s">
        <v>2370</v>
      </c>
      <c r="G1011">
        <v>2</v>
      </c>
      <c r="H1011" t="s">
        <v>2370</v>
      </c>
    </row>
    <row r="1012" spans="1:8" x14ac:dyDescent="0.35">
      <c r="A1012" t="s">
        <v>1350</v>
      </c>
      <c r="B1012">
        <v>28.12</v>
      </c>
      <c r="C1012">
        <v>4.67</v>
      </c>
      <c r="D1012" t="s">
        <v>2370</v>
      </c>
      <c r="E1012" t="s">
        <v>2370</v>
      </c>
      <c r="F1012" t="s">
        <v>2370</v>
      </c>
      <c r="G1012">
        <v>2</v>
      </c>
      <c r="H1012" t="s">
        <v>2370</v>
      </c>
    </row>
    <row r="1013" spans="1:8" x14ac:dyDescent="0.35">
      <c r="A1013" t="s">
        <v>1349</v>
      </c>
      <c r="B1013">
        <v>26.98</v>
      </c>
      <c r="C1013">
        <v>9.81</v>
      </c>
      <c r="D1013" t="s">
        <v>2372</v>
      </c>
      <c r="E1013" t="s">
        <v>2370</v>
      </c>
      <c r="F1013" t="s">
        <v>2370</v>
      </c>
      <c r="G1013" t="s">
        <v>2371</v>
      </c>
      <c r="H1013" t="s">
        <v>2370</v>
      </c>
    </row>
    <row r="1014" spans="1:8" x14ac:dyDescent="0.35">
      <c r="A1014" t="s">
        <v>1348</v>
      </c>
      <c r="B1014">
        <v>27.2</v>
      </c>
      <c r="C1014">
        <v>6.06</v>
      </c>
      <c r="D1014" t="s">
        <v>2372</v>
      </c>
      <c r="E1014" t="s">
        <v>2370</v>
      </c>
      <c r="F1014" t="s">
        <v>2370</v>
      </c>
      <c r="G1014">
        <v>2</v>
      </c>
      <c r="H1014" t="s">
        <v>2370</v>
      </c>
    </row>
    <row r="1015" spans="1:8" x14ac:dyDescent="0.35">
      <c r="A1015" t="s">
        <v>1347</v>
      </c>
      <c r="B1015">
        <v>25.3</v>
      </c>
      <c r="C1015">
        <v>5.19</v>
      </c>
      <c r="D1015" t="s">
        <v>2372</v>
      </c>
      <c r="E1015" t="s">
        <v>2370</v>
      </c>
      <c r="F1015" t="s">
        <v>2370</v>
      </c>
      <c r="G1015">
        <v>2</v>
      </c>
      <c r="H1015" t="s">
        <v>2370</v>
      </c>
    </row>
    <row r="1016" spans="1:8" x14ac:dyDescent="0.35">
      <c r="A1016" t="s">
        <v>1346</v>
      </c>
      <c r="B1016">
        <v>30.25</v>
      </c>
      <c r="C1016">
        <v>10.16</v>
      </c>
      <c r="D1016" t="s">
        <v>2370</v>
      </c>
      <c r="E1016" t="s">
        <v>2370</v>
      </c>
      <c r="F1016" t="s">
        <v>2370</v>
      </c>
      <c r="G1016" t="s">
        <v>2371</v>
      </c>
      <c r="H1016" t="s">
        <v>2370</v>
      </c>
    </row>
    <row r="1017" spans="1:8" x14ac:dyDescent="0.35">
      <c r="A1017" t="s">
        <v>1345</v>
      </c>
      <c r="B1017">
        <v>54</v>
      </c>
      <c r="C1017">
        <v>4.68</v>
      </c>
      <c r="D1017" t="s">
        <v>2372</v>
      </c>
      <c r="E1017" t="s">
        <v>2372</v>
      </c>
      <c r="F1017" t="s">
        <v>2370</v>
      </c>
      <c r="G1017">
        <v>2</v>
      </c>
      <c r="H1017" t="s">
        <v>2370</v>
      </c>
    </row>
    <row r="1018" spans="1:8" x14ac:dyDescent="0.35">
      <c r="A1018" t="s">
        <v>1344</v>
      </c>
      <c r="B1018">
        <v>51.86</v>
      </c>
      <c r="C1018">
        <v>5.32</v>
      </c>
      <c r="D1018" t="s">
        <v>2372</v>
      </c>
      <c r="E1018" t="s">
        <v>2370</v>
      </c>
      <c r="F1018" t="s">
        <v>2370</v>
      </c>
      <c r="G1018" t="s">
        <v>2371</v>
      </c>
      <c r="H1018" t="s">
        <v>2370</v>
      </c>
    </row>
    <row r="1019" spans="1:8" x14ac:dyDescent="0.35">
      <c r="A1019" t="s">
        <v>1343</v>
      </c>
      <c r="B1019">
        <v>31.39</v>
      </c>
      <c r="C1019">
        <v>6.99</v>
      </c>
      <c r="D1019" t="s">
        <v>2370</v>
      </c>
      <c r="E1019" t="s">
        <v>2370</v>
      </c>
      <c r="F1019" t="s">
        <v>2370</v>
      </c>
      <c r="G1019" t="s">
        <v>2371</v>
      </c>
      <c r="H1019" t="s">
        <v>2370</v>
      </c>
    </row>
    <row r="1020" spans="1:8" x14ac:dyDescent="0.35">
      <c r="A1020" t="s">
        <v>1342</v>
      </c>
      <c r="B1020">
        <v>39.97</v>
      </c>
      <c r="C1020">
        <v>5.55</v>
      </c>
      <c r="D1020" t="s">
        <v>2370</v>
      </c>
      <c r="E1020" t="s">
        <v>2370</v>
      </c>
      <c r="F1020" t="s">
        <v>2370</v>
      </c>
      <c r="G1020" t="s">
        <v>2371</v>
      </c>
      <c r="H1020" t="s">
        <v>2370</v>
      </c>
    </row>
    <row r="1021" spans="1:8" x14ac:dyDescent="0.35">
      <c r="A1021" t="s">
        <v>1341</v>
      </c>
      <c r="B1021">
        <v>41.23</v>
      </c>
      <c r="C1021">
        <v>6.94</v>
      </c>
      <c r="D1021" t="s">
        <v>2370</v>
      </c>
      <c r="E1021" t="s">
        <v>2370</v>
      </c>
      <c r="F1021" t="s">
        <v>2370</v>
      </c>
      <c r="G1021" t="s">
        <v>2371</v>
      </c>
      <c r="H1021" t="s">
        <v>2370</v>
      </c>
    </row>
    <row r="1022" spans="1:8" x14ac:dyDescent="0.35">
      <c r="A1022" t="s">
        <v>1340</v>
      </c>
      <c r="B1022">
        <v>49.45</v>
      </c>
      <c r="C1022">
        <v>4.2</v>
      </c>
      <c r="D1022" t="s">
        <v>2372</v>
      </c>
      <c r="E1022" t="s">
        <v>2370</v>
      </c>
      <c r="F1022" t="s">
        <v>2370</v>
      </c>
      <c r="G1022" t="s">
        <v>2371</v>
      </c>
      <c r="H1022" t="s">
        <v>2370</v>
      </c>
    </row>
    <row r="1023" spans="1:8" x14ac:dyDescent="0.35">
      <c r="A1023" t="s">
        <v>1339</v>
      </c>
      <c r="B1023">
        <v>41.04</v>
      </c>
      <c r="C1023">
        <v>5.59</v>
      </c>
      <c r="D1023" t="s">
        <v>2370</v>
      </c>
      <c r="E1023" t="s">
        <v>2370</v>
      </c>
      <c r="F1023" t="s">
        <v>2370</v>
      </c>
      <c r="G1023" t="s">
        <v>2371</v>
      </c>
      <c r="H1023" t="s">
        <v>2370</v>
      </c>
    </row>
    <row r="1024" spans="1:8" x14ac:dyDescent="0.35">
      <c r="A1024" t="s">
        <v>1338</v>
      </c>
      <c r="B1024">
        <v>27.93</v>
      </c>
      <c r="C1024">
        <v>9.9600000000000009</v>
      </c>
      <c r="D1024" t="s">
        <v>2370</v>
      </c>
      <c r="E1024" t="s">
        <v>2370</v>
      </c>
      <c r="F1024" t="s">
        <v>2370</v>
      </c>
      <c r="G1024" t="s">
        <v>2371</v>
      </c>
      <c r="H1024" t="s">
        <v>2370</v>
      </c>
    </row>
    <row r="1025" spans="1:8" x14ac:dyDescent="0.35">
      <c r="A1025" t="s">
        <v>1337</v>
      </c>
      <c r="B1025">
        <v>21.01</v>
      </c>
      <c r="C1025">
        <v>7.37</v>
      </c>
      <c r="D1025" t="s">
        <v>2370</v>
      </c>
      <c r="E1025" t="s">
        <v>2370</v>
      </c>
      <c r="F1025" t="s">
        <v>2370</v>
      </c>
      <c r="G1025" t="s">
        <v>2371</v>
      </c>
      <c r="H1025" t="s">
        <v>2370</v>
      </c>
    </row>
    <row r="1026" spans="1:8" x14ac:dyDescent="0.35">
      <c r="A1026" t="s">
        <v>1336</v>
      </c>
      <c r="B1026">
        <v>52.37</v>
      </c>
      <c r="C1026">
        <v>5.0599999999999996</v>
      </c>
      <c r="D1026" t="s">
        <v>2372</v>
      </c>
      <c r="E1026" t="s">
        <v>2372</v>
      </c>
      <c r="F1026" t="s">
        <v>2370</v>
      </c>
      <c r="G1026">
        <v>2</v>
      </c>
      <c r="H1026" t="s">
        <v>2370</v>
      </c>
    </row>
    <row r="1027" spans="1:8" x14ac:dyDescent="0.35">
      <c r="A1027" t="s">
        <v>1335</v>
      </c>
      <c r="B1027">
        <v>40.369999999999997</v>
      </c>
      <c r="C1027">
        <v>8.2100000000000009</v>
      </c>
      <c r="D1027" t="s">
        <v>2370</v>
      </c>
      <c r="E1027" t="s">
        <v>2370</v>
      </c>
      <c r="F1027" t="s">
        <v>2370</v>
      </c>
      <c r="G1027" t="s">
        <v>2371</v>
      </c>
      <c r="H1027" t="s">
        <v>2370</v>
      </c>
    </row>
    <row r="1028" spans="1:8" x14ac:dyDescent="0.35">
      <c r="A1028" t="s">
        <v>1334</v>
      </c>
      <c r="B1028">
        <v>41.47</v>
      </c>
      <c r="C1028">
        <v>10.34</v>
      </c>
      <c r="D1028" t="s">
        <v>2370</v>
      </c>
      <c r="E1028" t="s">
        <v>2370</v>
      </c>
      <c r="F1028" t="s">
        <v>2370</v>
      </c>
      <c r="G1028">
        <v>2</v>
      </c>
      <c r="H1028" t="s">
        <v>2370</v>
      </c>
    </row>
    <row r="1029" spans="1:8" x14ac:dyDescent="0.35">
      <c r="A1029" t="s">
        <v>1333</v>
      </c>
      <c r="B1029">
        <v>33.725000000000001</v>
      </c>
      <c r="C1029">
        <v>5.51</v>
      </c>
      <c r="D1029" t="s">
        <v>2372</v>
      </c>
      <c r="E1029" t="s">
        <v>2370</v>
      </c>
      <c r="F1029" t="s">
        <v>2370</v>
      </c>
      <c r="G1029">
        <v>2</v>
      </c>
      <c r="H1029" t="s">
        <v>2370</v>
      </c>
    </row>
    <row r="1030" spans="1:8" x14ac:dyDescent="0.35">
      <c r="A1030" t="s">
        <v>1332</v>
      </c>
      <c r="B1030">
        <v>28.1</v>
      </c>
      <c r="C1030">
        <v>11.2</v>
      </c>
      <c r="D1030" t="s">
        <v>2370</v>
      </c>
      <c r="E1030" t="s">
        <v>2370</v>
      </c>
      <c r="F1030" t="s">
        <v>2370</v>
      </c>
      <c r="G1030" t="s">
        <v>2371</v>
      </c>
      <c r="H1030" t="s">
        <v>2370</v>
      </c>
    </row>
    <row r="1031" spans="1:8" x14ac:dyDescent="0.35">
      <c r="A1031" t="s">
        <v>1331</v>
      </c>
      <c r="B1031">
        <v>37.43</v>
      </c>
      <c r="C1031">
        <v>4.3499999999999996</v>
      </c>
      <c r="D1031" t="s">
        <v>2372</v>
      </c>
      <c r="E1031" t="s">
        <v>2370</v>
      </c>
      <c r="F1031" t="s">
        <v>2373</v>
      </c>
      <c r="G1031">
        <v>1</v>
      </c>
      <c r="H1031" t="s">
        <v>2370</v>
      </c>
    </row>
    <row r="1032" spans="1:8" x14ac:dyDescent="0.35">
      <c r="A1032" t="s">
        <v>1330</v>
      </c>
      <c r="B1032">
        <v>23.7</v>
      </c>
      <c r="C1032">
        <v>10.45</v>
      </c>
      <c r="D1032" t="s">
        <v>2370</v>
      </c>
      <c r="E1032" t="s">
        <v>2370</v>
      </c>
      <c r="F1032" t="s">
        <v>2370</v>
      </c>
      <c r="G1032" t="s">
        <v>2371</v>
      </c>
      <c r="H1032" t="s">
        <v>2370</v>
      </c>
    </row>
    <row r="1033" spans="1:8" x14ac:dyDescent="0.35">
      <c r="A1033" t="s">
        <v>1329</v>
      </c>
      <c r="B1033">
        <v>24.795000000000002</v>
      </c>
      <c r="C1033">
        <v>4.07</v>
      </c>
      <c r="D1033" t="s">
        <v>2372</v>
      </c>
      <c r="E1033" t="s">
        <v>2370</v>
      </c>
      <c r="F1033" t="s">
        <v>2373</v>
      </c>
      <c r="G1033">
        <v>1</v>
      </c>
      <c r="H1033" t="s">
        <v>2370</v>
      </c>
    </row>
    <row r="1034" spans="1:8" x14ac:dyDescent="0.35">
      <c r="A1034" t="s">
        <v>1328</v>
      </c>
      <c r="B1034">
        <v>31.9</v>
      </c>
      <c r="C1034">
        <v>8.34</v>
      </c>
      <c r="D1034" t="s">
        <v>2370</v>
      </c>
      <c r="E1034" t="s">
        <v>2370</v>
      </c>
      <c r="F1034" t="s">
        <v>2370</v>
      </c>
      <c r="G1034" t="s">
        <v>2371</v>
      </c>
      <c r="H1034" t="s">
        <v>2370</v>
      </c>
    </row>
    <row r="1035" spans="1:8" x14ac:dyDescent="0.35">
      <c r="A1035" t="s">
        <v>1327</v>
      </c>
      <c r="B1035">
        <v>32.68</v>
      </c>
      <c r="C1035">
        <v>7.41</v>
      </c>
      <c r="D1035" t="s">
        <v>2370</v>
      </c>
      <c r="E1035" t="s">
        <v>2370</v>
      </c>
      <c r="F1035" t="s">
        <v>2370</v>
      </c>
      <c r="G1035" t="s">
        <v>2371</v>
      </c>
      <c r="H1035" t="s">
        <v>2370</v>
      </c>
    </row>
    <row r="1036" spans="1:8" x14ac:dyDescent="0.35">
      <c r="A1036" t="s">
        <v>1326</v>
      </c>
      <c r="B1036">
        <v>47.13</v>
      </c>
      <c r="C1036">
        <v>4.3099999999999996</v>
      </c>
      <c r="D1036" t="s">
        <v>2370</v>
      </c>
      <c r="E1036" t="s">
        <v>2370</v>
      </c>
      <c r="F1036" t="s">
        <v>2370</v>
      </c>
      <c r="G1036" t="s">
        <v>2371</v>
      </c>
      <c r="H1036" t="s">
        <v>2370</v>
      </c>
    </row>
    <row r="1037" spans="1:8" x14ac:dyDescent="0.35">
      <c r="A1037" t="s">
        <v>1325</v>
      </c>
      <c r="B1037">
        <v>36.67</v>
      </c>
      <c r="C1037">
        <v>10.83</v>
      </c>
      <c r="D1037" t="s">
        <v>2370</v>
      </c>
      <c r="E1037" t="s">
        <v>2370</v>
      </c>
      <c r="F1037" t="s">
        <v>2370</v>
      </c>
      <c r="G1037" t="s">
        <v>2371</v>
      </c>
      <c r="H1037" t="s">
        <v>2370</v>
      </c>
    </row>
    <row r="1038" spans="1:8" x14ac:dyDescent="0.35">
      <c r="A1038" t="s">
        <v>1324</v>
      </c>
      <c r="B1038">
        <v>33.630000000000003</v>
      </c>
      <c r="C1038">
        <v>11.31</v>
      </c>
      <c r="D1038" t="s">
        <v>2370</v>
      </c>
      <c r="E1038" t="s">
        <v>2370</v>
      </c>
      <c r="F1038" t="s">
        <v>2370</v>
      </c>
      <c r="G1038" t="s">
        <v>2371</v>
      </c>
      <c r="H1038" t="s">
        <v>2370</v>
      </c>
    </row>
    <row r="1039" spans="1:8" x14ac:dyDescent="0.35">
      <c r="A1039" t="s">
        <v>1323</v>
      </c>
      <c r="B1039">
        <v>32.67</v>
      </c>
      <c r="C1039">
        <v>11.81</v>
      </c>
      <c r="D1039" t="s">
        <v>2372</v>
      </c>
      <c r="E1039" t="s">
        <v>2370</v>
      </c>
      <c r="F1039" t="s">
        <v>2370</v>
      </c>
      <c r="G1039" t="s">
        <v>2371</v>
      </c>
      <c r="H1039" t="s">
        <v>2370</v>
      </c>
    </row>
    <row r="1040" spans="1:8" x14ac:dyDescent="0.35">
      <c r="A1040" t="s">
        <v>1322</v>
      </c>
      <c r="B1040">
        <v>33.299999999999997</v>
      </c>
      <c r="C1040">
        <v>8.26</v>
      </c>
      <c r="D1040" t="s">
        <v>2372</v>
      </c>
      <c r="E1040" t="s">
        <v>2370</v>
      </c>
      <c r="F1040" t="s">
        <v>2370</v>
      </c>
      <c r="G1040">
        <v>2</v>
      </c>
      <c r="H1040" t="s">
        <v>2370</v>
      </c>
    </row>
    <row r="1041" spans="1:8" x14ac:dyDescent="0.35">
      <c r="A1041" t="s">
        <v>1321</v>
      </c>
      <c r="B1041">
        <v>30.78</v>
      </c>
      <c r="C1041">
        <v>10.74</v>
      </c>
      <c r="D1041" t="s">
        <v>2372</v>
      </c>
      <c r="E1041" t="s">
        <v>2370</v>
      </c>
      <c r="F1041" t="s">
        <v>2370</v>
      </c>
      <c r="G1041">
        <v>2</v>
      </c>
      <c r="H1041" t="s">
        <v>2370</v>
      </c>
    </row>
    <row r="1042" spans="1:8" x14ac:dyDescent="0.35">
      <c r="A1042" t="s">
        <v>1320</v>
      </c>
      <c r="B1042">
        <v>28.975000000000001</v>
      </c>
      <c r="C1042">
        <v>7.69</v>
      </c>
      <c r="D1042" t="s">
        <v>2372</v>
      </c>
      <c r="E1042" t="s">
        <v>2370</v>
      </c>
      <c r="F1042" t="s">
        <v>2370</v>
      </c>
      <c r="G1042" t="s">
        <v>2371</v>
      </c>
      <c r="H1042" t="s">
        <v>2370</v>
      </c>
    </row>
    <row r="1043" spans="1:8" x14ac:dyDescent="0.35">
      <c r="A1043" t="s">
        <v>1319</v>
      </c>
      <c r="B1043">
        <v>33.4</v>
      </c>
      <c r="C1043">
        <v>4.84</v>
      </c>
      <c r="D1043" t="s">
        <v>2370</v>
      </c>
      <c r="E1043" t="s">
        <v>2370</v>
      </c>
      <c r="F1043" t="s">
        <v>2370</v>
      </c>
      <c r="G1043" t="s">
        <v>2371</v>
      </c>
      <c r="H1043" t="s">
        <v>2370</v>
      </c>
    </row>
    <row r="1044" spans="1:8" x14ac:dyDescent="0.35">
      <c r="A1044" t="s">
        <v>1318</v>
      </c>
      <c r="B1044">
        <v>21.5</v>
      </c>
      <c r="C1044">
        <v>9.77</v>
      </c>
      <c r="D1044" t="s">
        <v>2372</v>
      </c>
      <c r="E1044" t="s">
        <v>2370</v>
      </c>
      <c r="F1044" t="s">
        <v>2370</v>
      </c>
      <c r="G1044" t="s">
        <v>2371</v>
      </c>
      <c r="H1044" t="s">
        <v>2370</v>
      </c>
    </row>
    <row r="1045" spans="1:8" x14ac:dyDescent="0.35">
      <c r="A1045" t="s">
        <v>1317</v>
      </c>
      <c r="B1045">
        <v>38.14</v>
      </c>
      <c r="C1045">
        <v>5.84</v>
      </c>
      <c r="D1045" t="s">
        <v>2370</v>
      </c>
      <c r="E1045" t="s">
        <v>2370</v>
      </c>
      <c r="F1045" t="s">
        <v>2370</v>
      </c>
      <c r="G1045" t="s">
        <v>2371</v>
      </c>
      <c r="H1045" t="s">
        <v>2370</v>
      </c>
    </row>
    <row r="1046" spans="1:8" x14ac:dyDescent="0.35">
      <c r="A1046" t="s">
        <v>1316</v>
      </c>
      <c r="B1046">
        <v>35.42</v>
      </c>
      <c r="C1046">
        <v>8.6999999999999993</v>
      </c>
      <c r="D1046" t="s">
        <v>2372</v>
      </c>
      <c r="E1046" t="s">
        <v>2370</v>
      </c>
      <c r="F1046" t="s">
        <v>2370</v>
      </c>
      <c r="G1046">
        <v>1</v>
      </c>
      <c r="H1046" t="s">
        <v>2370</v>
      </c>
    </row>
    <row r="1047" spans="1:8" x14ac:dyDescent="0.35">
      <c r="A1047" t="s">
        <v>1315</v>
      </c>
      <c r="B1047">
        <v>35.625</v>
      </c>
      <c r="C1047">
        <v>10.79</v>
      </c>
      <c r="D1047" t="s">
        <v>2370</v>
      </c>
      <c r="E1047" t="s">
        <v>2370</v>
      </c>
      <c r="F1047" t="s">
        <v>2370</v>
      </c>
      <c r="G1047" t="s">
        <v>2371</v>
      </c>
      <c r="H1047" t="s">
        <v>2370</v>
      </c>
    </row>
    <row r="1048" spans="1:8" x14ac:dyDescent="0.35">
      <c r="A1048" t="s">
        <v>1314</v>
      </c>
      <c r="B1048">
        <v>45.51</v>
      </c>
      <c r="C1048">
        <v>4.32</v>
      </c>
      <c r="D1048" t="s">
        <v>2370</v>
      </c>
      <c r="E1048" t="s">
        <v>2370</v>
      </c>
      <c r="F1048" t="s">
        <v>2370</v>
      </c>
      <c r="G1048">
        <v>1</v>
      </c>
      <c r="H1048" t="s">
        <v>2370</v>
      </c>
    </row>
    <row r="1049" spans="1:8" x14ac:dyDescent="0.35">
      <c r="A1049" t="s">
        <v>1313</v>
      </c>
      <c r="B1049">
        <v>37.1</v>
      </c>
      <c r="C1049">
        <v>7.19</v>
      </c>
      <c r="D1049" t="s">
        <v>2372</v>
      </c>
      <c r="E1049" t="s">
        <v>2370</v>
      </c>
      <c r="F1049" t="s">
        <v>2370</v>
      </c>
      <c r="G1049" t="s">
        <v>2371</v>
      </c>
      <c r="H1049" t="s">
        <v>2370</v>
      </c>
    </row>
    <row r="1050" spans="1:8" x14ac:dyDescent="0.35">
      <c r="A1050" t="s">
        <v>1312</v>
      </c>
      <c r="B1050">
        <v>30.5</v>
      </c>
      <c r="C1050">
        <v>11.94</v>
      </c>
      <c r="D1050" t="s">
        <v>2372</v>
      </c>
      <c r="E1050" t="s">
        <v>2370</v>
      </c>
      <c r="F1050" t="s">
        <v>2370</v>
      </c>
      <c r="G1050" t="s">
        <v>2371</v>
      </c>
      <c r="H1050" t="s">
        <v>2370</v>
      </c>
    </row>
    <row r="1051" spans="1:8" x14ac:dyDescent="0.35">
      <c r="A1051" t="s">
        <v>1311</v>
      </c>
      <c r="B1051">
        <v>28.16</v>
      </c>
      <c r="C1051">
        <v>5.56</v>
      </c>
      <c r="D1051" t="s">
        <v>2370</v>
      </c>
      <c r="E1051" t="s">
        <v>2370</v>
      </c>
      <c r="F1051" t="s">
        <v>2370</v>
      </c>
      <c r="G1051">
        <v>2</v>
      </c>
      <c r="H1051" t="s">
        <v>2370</v>
      </c>
    </row>
    <row r="1052" spans="1:8" x14ac:dyDescent="0.35">
      <c r="A1052" t="s">
        <v>1310</v>
      </c>
      <c r="B1052">
        <v>29.1</v>
      </c>
      <c r="C1052">
        <v>5.64</v>
      </c>
      <c r="D1052" t="s">
        <v>2372</v>
      </c>
      <c r="E1052" t="s">
        <v>2370</v>
      </c>
      <c r="F1052" t="s">
        <v>2370</v>
      </c>
      <c r="G1052" t="s">
        <v>2371</v>
      </c>
      <c r="H1052" t="s">
        <v>2370</v>
      </c>
    </row>
    <row r="1053" spans="1:8" x14ac:dyDescent="0.35">
      <c r="A1053" t="s">
        <v>1309</v>
      </c>
      <c r="B1053">
        <v>30.22</v>
      </c>
      <c r="C1053">
        <v>4.6500000000000004</v>
      </c>
      <c r="D1053" t="s">
        <v>2370</v>
      </c>
      <c r="E1053" t="s">
        <v>2370</v>
      </c>
      <c r="F1053" t="s">
        <v>2370</v>
      </c>
      <c r="G1053" t="s">
        <v>2371</v>
      </c>
      <c r="H1053" t="s">
        <v>2370</v>
      </c>
    </row>
    <row r="1054" spans="1:8" x14ac:dyDescent="0.35">
      <c r="A1054" t="s">
        <v>1308</v>
      </c>
      <c r="B1054">
        <v>24.29</v>
      </c>
      <c r="C1054">
        <v>9.0500000000000007</v>
      </c>
      <c r="D1054" t="s">
        <v>2370</v>
      </c>
      <c r="E1054" t="s">
        <v>2370</v>
      </c>
      <c r="F1054" t="s">
        <v>2370</v>
      </c>
      <c r="G1054" t="s">
        <v>2371</v>
      </c>
      <c r="H1054" t="s">
        <v>2370</v>
      </c>
    </row>
    <row r="1055" spans="1:8" x14ac:dyDescent="0.35">
      <c r="A1055" t="s">
        <v>1307</v>
      </c>
      <c r="B1055">
        <v>29.39</v>
      </c>
      <c r="C1055">
        <v>4.5199999999999996</v>
      </c>
      <c r="D1055" t="s">
        <v>2372</v>
      </c>
      <c r="E1055" t="s">
        <v>2370</v>
      </c>
      <c r="F1055" t="s">
        <v>2370</v>
      </c>
      <c r="G1055" t="s">
        <v>2371</v>
      </c>
      <c r="H1055" t="s">
        <v>2370</v>
      </c>
    </row>
    <row r="1056" spans="1:8" x14ac:dyDescent="0.35">
      <c r="A1056" t="s">
        <v>1306</v>
      </c>
      <c r="B1056">
        <v>25.66</v>
      </c>
      <c r="C1056">
        <v>4.62</v>
      </c>
      <c r="D1056" t="s">
        <v>2372</v>
      </c>
      <c r="E1056" t="s">
        <v>2370</v>
      </c>
      <c r="F1056" t="s">
        <v>2370</v>
      </c>
      <c r="G1056">
        <v>1</v>
      </c>
      <c r="H1056" t="s">
        <v>2370</v>
      </c>
    </row>
    <row r="1057" spans="1:8" x14ac:dyDescent="0.35">
      <c r="A1057" t="s">
        <v>1305</v>
      </c>
      <c r="B1057">
        <v>39.11</v>
      </c>
      <c r="C1057">
        <v>5.87</v>
      </c>
      <c r="D1057" t="s">
        <v>2370</v>
      </c>
      <c r="E1057" t="s">
        <v>2370</v>
      </c>
      <c r="F1057" t="s">
        <v>2370</v>
      </c>
      <c r="G1057" t="s">
        <v>2371</v>
      </c>
      <c r="H1057" t="s">
        <v>2370</v>
      </c>
    </row>
    <row r="1058" spans="1:8" x14ac:dyDescent="0.35">
      <c r="A1058" t="s">
        <v>1304</v>
      </c>
      <c r="B1058">
        <v>43.78</v>
      </c>
      <c r="C1058">
        <v>5.71</v>
      </c>
      <c r="D1058" t="s">
        <v>2370</v>
      </c>
      <c r="E1058" t="s">
        <v>2370</v>
      </c>
      <c r="F1058" t="s">
        <v>2370</v>
      </c>
      <c r="G1058">
        <v>1</v>
      </c>
      <c r="H1058" t="s">
        <v>2370</v>
      </c>
    </row>
    <row r="1059" spans="1:8" x14ac:dyDescent="0.35">
      <c r="A1059" t="s">
        <v>1303</v>
      </c>
      <c r="B1059">
        <v>24.35</v>
      </c>
      <c r="C1059">
        <v>9.08</v>
      </c>
      <c r="D1059" t="s">
        <v>2370</v>
      </c>
      <c r="E1059" t="s">
        <v>2370</v>
      </c>
      <c r="F1059" t="s">
        <v>2370</v>
      </c>
      <c r="G1059" t="s">
        <v>2371</v>
      </c>
      <c r="H1059" t="s">
        <v>2370</v>
      </c>
    </row>
    <row r="1060" spans="1:8" x14ac:dyDescent="0.35">
      <c r="A1060" t="s">
        <v>1302</v>
      </c>
      <c r="B1060">
        <v>40.299999999999997</v>
      </c>
      <c r="C1060">
        <v>5.3</v>
      </c>
      <c r="D1060" t="s">
        <v>2372</v>
      </c>
      <c r="E1060" t="s">
        <v>2370</v>
      </c>
      <c r="F1060" t="s">
        <v>2370</v>
      </c>
      <c r="G1060">
        <v>2</v>
      </c>
      <c r="H1060" t="s">
        <v>2370</v>
      </c>
    </row>
    <row r="1061" spans="1:8" x14ac:dyDescent="0.35">
      <c r="A1061" t="s">
        <v>1301</v>
      </c>
      <c r="B1061">
        <v>32.774999999999999</v>
      </c>
      <c r="C1061">
        <v>11.76</v>
      </c>
      <c r="D1061" t="s">
        <v>2372</v>
      </c>
      <c r="E1061" t="s">
        <v>2370</v>
      </c>
      <c r="F1061" t="s">
        <v>2370</v>
      </c>
      <c r="G1061" t="s">
        <v>2371</v>
      </c>
      <c r="H1061" t="s">
        <v>2370</v>
      </c>
    </row>
    <row r="1062" spans="1:8" x14ac:dyDescent="0.35">
      <c r="A1062" t="s">
        <v>1300</v>
      </c>
      <c r="B1062">
        <v>39.6</v>
      </c>
      <c r="C1062">
        <v>5.1100000000000003</v>
      </c>
      <c r="D1062" t="s">
        <v>2372</v>
      </c>
      <c r="E1062" t="s">
        <v>2370</v>
      </c>
      <c r="F1062" t="s">
        <v>2370</v>
      </c>
      <c r="G1062">
        <v>2</v>
      </c>
      <c r="H1062" t="s">
        <v>2370</v>
      </c>
    </row>
    <row r="1063" spans="1:8" x14ac:dyDescent="0.35">
      <c r="A1063" t="s">
        <v>1299</v>
      </c>
      <c r="B1063">
        <v>30.97</v>
      </c>
      <c r="C1063">
        <v>5.54</v>
      </c>
      <c r="D1063" t="s">
        <v>2370</v>
      </c>
      <c r="E1063" t="s">
        <v>2370</v>
      </c>
      <c r="F1063" t="s">
        <v>2370</v>
      </c>
      <c r="G1063">
        <v>2</v>
      </c>
      <c r="H1063" t="s">
        <v>2370</v>
      </c>
    </row>
    <row r="1064" spans="1:8" x14ac:dyDescent="0.35">
      <c r="A1064" t="s">
        <v>1298</v>
      </c>
      <c r="B1064">
        <v>27.645</v>
      </c>
      <c r="C1064">
        <v>8.8699999999999992</v>
      </c>
      <c r="D1064" t="s">
        <v>2372</v>
      </c>
      <c r="E1064" t="s">
        <v>2370</v>
      </c>
      <c r="F1064" t="s">
        <v>2370</v>
      </c>
      <c r="G1064" t="s">
        <v>2371</v>
      </c>
      <c r="H1064" t="s">
        <v>2370</v>
      </c>
    </row>
    <row r="1065" spans="1:8" x14ac:dyDescent="0.35">
      <c r="A1065" t="s">
        <v>1297</v>
      </c>
      <c r="B1065">
        <v>34.43</v>
      </c>
      <c r="C1065">
        <v>5.96</v>
      </c>
      <c r="D1065" t="s">
        <v>2372</v>
      </c>
      <c r="E1065" t="s">
        <v>2370</v>
      </c>
      <c r="F1065" t="s">
        <v>2370</v>
      </c>
      <c r="G1065">
        <v>2</v>
      </c>
      <c r="H1065" t="s">
        <v>2370</v>
      </c>
    </row>
    <row r="1066" spans="1:8" x14ac:dyDescent="0.35">
      <c r="A1066" t="s">
        <v>1296</v>
      </c>
      <c r="B1066">
        <v>39.6</v>
      </c>
      <c r="C1066">
        <v>4.4400000000000004</v>
      </c>
      <c r="D1066" t="s">
        <v>2372</v>
      </c>
      <c r="E1066" t="s">
        <v>2370</v>
      </c>
      <c r="F1066" t="s">
        <v>2373</v>
      </c>
      <c r="G1066">
        <v>1</v>
      </c>
      <c r="H1066" t="s">
        <v>2370</v>
      </c>
    </row>
    <row r="1067" spans="1:8" x14ac:dyDescent="0.35">
      <c r="A1067" t="s">
        <v>1295</v>
      </c>
      <c r="B1067">
        <v>22.1</v>
      </c>
      <c r="C1067">
        <v>4.6500000000000004</v>
      </c>
      <c r="D1067" t="s">
        <v>2372</v>
      </c>
      <c r="E1067" t="s">
        <v>2370</v>
      </c>
      <c r="F1067" t="s">
        <v>2370</v>
      </c>
      <c r="G1067">
        <v>2</v>
      </c>
      <c r="H1067" t="s">
        <v>2370</v>
      </c>
    </row>
    <row r="1068" spans="1:8" x14ac:dyDescent="0.35">
      <c r="A1068" t="s">
        <v>1294</v>
      </c>
      <c r="B1068">
        <v>33.25</v>
      </c>
      <c r="C1068">
        <v>5.64</v>
      </c>
      <c r="D1068" t="s">
        <v>2372</v>
      </c>
      <c r="E1068" t="s">
        <v>2370</v>
      </c>
      <c r="F1068" t="s">
        <v>2373</v>
      </c>
      <c r="G1068">
        <v>1</v>
      </c>
      <c r="H1068" t="s">
        <v>2370</v>
      </c>
    </row>
    <row r="1069" spans="1:8" x14ac:dyDescent="0.35">
      <c r="A1069" t="s">
        <v>1293</v>
      </c>
      <c r="B1069">
        <v>33.33</v>
      </c>
      <c r="C1069">
        <v>10.19</v>
      </c>
      <c r="D1069" t="s">
        <v>2370</v>
      </c>
      <c r="E1069" t="s">
        <v>2370</v>
      </c>
      <c r="F1069" t="s">
        <v>2370</v>
      </c>
      <c r="G1069" t="s">
        <v>2371</v>
      </c>
      <c r="H1069" t="s">
        <v>2370</v>
      </c>
    </row>
    <row r="1070" spans="1:8" x14ac:dyDescent="0.35">
      <c r="A1070" t="s">
        <v>1292</v>
      </c>
      <c r="B1070">
        <v>30.5</v>
      </c>
      <c r="C1070">
        <v>10.79</v>
      </c>
      <c r="D1070" t="s">
        <v>2370</v>
      </c>
      <c r="E1070" t="s">
        <v>2370</v>
      </c>
      <c r="F1070" t="s">
        <v>2370</v>
      </c>
      <c r="G1070" t="s">
        <v>2371</v>
      </c>
      <c r="H1070" t="s">
        <v>2370</v>
      </c>
    </row>
    <row r="1071" spans="1:8" x14ac:dyDescent="0.35">
      <c r="A1071" t="s">
        <v>1291</v>
      </c>
      <c r="B1071">
        <v>30.3</v>
      </c>
      <c r="C1071">
        <v>4.24</v>
      </c>
      <c r="D1071" t="s">
        <v>2370</v>
      </c>
      <c r="E1071" t="s">
        <v>2370</v>
      </c>
      <c r="F1071" t="s">
        <v>2370</v>
      </c>
      <c r="G1071" t="s">
        <v>2371</v>
      </c>
      <c r="H1071" t="s">
        <v>2370</v>
      </c>
    </row>
    <row r="1072" spans="1:8" x14ac:dyDescent="0.35">
      <c r="A1072" t="s">
        <v>1290</v>
      </c>
      <c r="B1072">
        <v>26.22</v>
      </c>
      <c r="C1072">
        <v>5.83</v>
      </c>
      <c r="D1072" t="s">
        <v>2370</v>
      </c>
      <c r="E1072" t="s">
        <v>2370</v>
      </c>
      <c r="F1072" t="s">
        <v>2370</v>
      </c>
      <c r="G1072">
        <v>2</v>
      </c>
      <c r="H1072" t="s">
        <v>2370</v>
      </c>
    </row>
    <row r="1073" spans="1:8" x14ac:dyDescent="0.35">
      <c r="A1073" t="s">
        <v>1289</v>
      </c>
      <c r="B1073">
        <v>29.99</v>
      </c>
      <c r="C1073">
        <v>11.85</v>
      </c>
      <c r="D1073" t="s">
        <v>2370</v>
      </c>
      <c r="E1073" t="s">
        <v>2370</v>
      </c>
      <c r="F1073" t="s">
        <v>2370</v>
      </c>
      <c r="G1073" t="s">
        <v>2371</v>
      </c>
      <c r="H1073" t="s">
        <v>2370</v>
      </c>
    </row>
    <row r="1074" spans="1:8" x14ac:dyDescent="0.35">
      <c r="A1074" t="s">
        <v>1288</v>
      </c>
      <c r="B1074">
        <v>36.380000000000003</v>
      </c>
      <c r="C1074">
        <v>5.98</v>
      </c>
      <c r="D1074" t="s">
        <v>2370</v>
      </c>
      <c r="E1074" t="s">
        <v>2370</v>
      </c>
      <c r="F1074" t="s">
        <v>2370</v>
      </c>
      <c r="G1074">
        <v>1</v>
      </c>
      <c r="H1074" t="s">
        <v>2370</v>
      </c>
    </row>
    <row r="1075" spans="1:8" x14ac:dyDescent="0.35">
      <c r="A1075" t="s">
        <v>1287</v>
      </c>
      <c r="B1075">
        <v>31.16</v>
      </c>
      <c r="C1075">
        <v>4.26</v>
      </c>
      <c r="D1075" t="s">
        <v>2372</v>
      </c>
      <c r="E1075" t="s">
        <v>2370</v>
      </c>
      <c r="F1075" t="s">
        <v>2373</v>
      </c>
      <c r="G1075">
        <v>1</v>
      </c>
      <c r="H1075" t="s">
        <v>2370</v>
      </c>
    </row>
    <row r="1076" spans="1:8" x14ac:dyDescent="0.35">
      <c r="A1076" t="s">
        <v>1286</v>
      </c>
      <c r="B1076">
        <v>25.55</v>
      </c>
      <c r="C1076">
        <v>4.96</v>
      </c>
      <c r="D1076" t="s">
        <v>2372</v>
      </c>
      <c r="E1076" t="s">
        <v>2370</v>
      </c>
      <c r="F1076" t="s">
        <v>2370</v>
      </c>
      <c r="G1076">
        <v>1</v>
      </c>
      <c r="H1076" t="s">
        <v>2370</v>
      </c>
    </row>
    <row r="1077" spans="1:8" x14ac:dyDescent="0.35">
      <c r="A1077" t="s">
        <v>1285</v>
      </c>
      <c r="B1077">
        <v>28.77</v>
      </c>
      <c r="C1077">
        <v>4</v>
      </c>
      <c r="D1077" t="s">
        <v>2372</v>
      </c>
      <c r="E1077" t="s">
        <v>2370</v>
      </c>
      <c r="F1077" t="s">
        <v>2370</v>
      </c>
      <c r="G1077" t="s">
        <v>2371</v>
      </c>
      <c r="H1077" t="s">
        <v>2370</v>
      </c>
    </row>
    <row r="1078" spans="1:8" x14ac:dyDescent="0.35">
      <c r="A1078" t="s">
        <v>1284</v>
      </c>
      <c r="B1078">
        <v>23.14</v>
      </c>
      <c r="C1078">
        <v>4.1500000000000004</v>
      </c>
      <c r="D1078" t="s">
        <v>2372</v>
      </c>
      <c r="E1078" t="s">
        <v>2370</v>
      </c>
      <c r="F1078" t="s">
        <v>2370</v>
      </c>
      <c r="G1078">
        <v>1</v>
      </c>
      <c r="H1078" t="s">
        <v>2370</v>
      </c>
    </row>
    <row r="1079" spans="1:8" x14ac:dyDescent="0.35">
      <c r="A1079" t="s">
        <v>1283</v>
      </c>
      <c r="B1079">
        <v>39.6</v>
      </c>
      <c r="C1079">
        <v>11.36</v>
      </c>
      <c r="D1079" t="s">
        <v>2370</v>
      </c>
      <c r="E1079" t="s">
        <v>2370</v>
      </c>
      <c r="F1079" t="s">
        <v>2370</v>
      </c>
      <c r="G1079" t="s">
        <v>2371</v>
      </c>
      <c r="H1079" t="s">
        <v>2370</v>
      </c>
    </row>
    <row r="1080" spans="1:8" x14ac:dyDescent="0.35">
      <c r="A1080" t="s">
        <v>1282</v>
      </c>
      <c r="B1080">
        <v>29.2</v>
      </c>
      <c r="C1080">
        <v>7.53</v>
      </c>
      <c r="D1080" t="s">
        <v>2370</v>
      </c>
      <c r="E1080" t="s">
        <v>2370</v>
      </c>
      <c r="F1080" t="s">
        <v>2370</v>
      </c>
      <c r="G1080" t="s">
        <v>2371</v>
      </c>
      <c r="H1080" t="s">
        <v>2370</v>
      </c>
    </row>
    <row r="1081" spans="1:8" x14ac:dyDescent="0.35">
      <c r="A1081" t="s">
        <v>1281</v>
      </c>
      <c r="B1081">
        <v>32.774999999999999</v>
      </c>
      <c r="C1081">
        <v>7.95</v>
      </c>
      <c r="D1081" t="s">
        <v>2370</v>
      </c>
      <c r="E1081" t="s">
        <v>2370</v>
      </c>
      <c r="F1081" t="s">
        <v>2370</v>
      </c>
      <c r="G1081" t="s">
        <v>2371</v>
      </c>
      <c r="H1081" t="s">
        <v>2370</v>
      </c>
    </row>
    <row r="1082" spans="1:8" x14ac:dyDescent="0.35">
      <c r="A1082" t="s">
        <v>1280</v>
      </c>
      <c r="B1082">
        <v>24.035</v>
      </c>
      <c r="C1082">
        <v>8.5</v>
      </c>
      <c r="D1082" t="s">
        <v>2370</v>
      </c>
      <c r="E1082" t="s">
        <v>2370</v>
      </c>
      <c r="F1082" t="s">
        <v>2370</v>
      </c>
      <c r="G1082" t="s">
        <v>2371</v>
      </c>
      <c r="H1082" t="s">
        <v>2370</v>
      </c>
    </row>
    <row r="1083" spans="1:8" x14ac:dyDescent="0.35">
      <c r="A1083" t="s">
        <v>1279</v>
      </c>
      <c r="B1083">
        <v>30.55</v>
      </c>
      <c r="C1083">
        <v>5.89</v>
      </c>
      <c r="D1083" t="s">
        <v>2370</v>
      </c>
      <c r="E1083" t="s">
        <v>2370</v>
      </c>
      <c r="F1083" t="s">
        <v>2373</v>
      </c>
      <c r="G1083">
        <v>1</v>
      </c>
      <c r="H1083" t="s">
        <v>2370</v>
      </c>
    </row>
    <row r="1084" spans="1:8" x14ac:dyDescent="0.35">
      <c r="A1084" t="s">
        <v>1278</v>
      </c>
      <c r="B1084">
        <v>28.81</v>
      </c>
      <c r="C1084">
        <v>8.76</v>
      </c>
      <c r="D1084" t="s">
        <v>2370</v>
      </c>
      <c r="E1084" t="s">
        <v>2370</v>
      </c>
      <c r="F1084" t="s">
        <v>2370</v>
      </c>
      <c r="G1084">
        <v>2</v>
      </c>
      <c r="H1084" t="s">
        <v>2370</v>
      </c>
    </row>
    <row r="1085" spans="1:8" x14ac:dyDescent="0.35">
      <c r="A1085" t="s">
        <v>1277</v>
      </c>
      <c r="B1085">
        <v>31.66</v>
      </c>
      <c r="C1085">
        <v>4.1100000000000003</v>
      </c>
      <c r="D1085" t="s">
        <v>2370</v>
      </c>
      <c r="E1085" t="s">
        <v>2370</v>
      </c>
      <c r="F1085" t="s">
        <v>2370</v>
      </c>
      <c r="G1085" t="s">
        <v>2371</v>
      </c>
      <c r="H1085" t="s">
        <v>2370</v>
      </c>
    </row>
    <row r="1086" spans="1:8" x14ac:dyDescent="0.35">
      <c r="A1086" t="s">
        <v>1276</v>
      </c>
      <c r="B1086">
        <v>28.215</v>
      </c>
      <c r="C1086">
        <v>7.56</v>
      </c>
      <c r="D1086" t="s">
        <v>2372</v>
      </c>
      <c r="E1086" t="s">
        <v>2370</v>
      </c>
      <c r="F1086" t="s">
        <v>2370</v>
      </c>
      <c r="G1086">
        <v>1</v>
      </c>
      <c r="H1086" t="s">
        <v>2370</v>
      </c>
    </row>
    <row r="1087" spans="1:8" x14ac:dyDescent="0.35">
      <c r="A1087" t="s">
        <v>1275</v>
      </c>
      <c r="B1087">
        <v>26.12</v>
      </c>
      <c r="C1087">
        <v>4.17</v>
      </c>
      <c r="D1087" t="s">
        <v>2372</v>
      </c>
      <c r="E1087" t="s">
        <v>2370</v>
      </c>
      <c r="F1087" t="s">
        <v>2373</v>
      </c>
      <c r="G1087">
        <v>1</v>
      </c>
      <c r="H1087" t="s">
        <v>2370</v>
      </c>
    </row>
    <row r="1088" spans="1:8" x14ac:dyDescent="0.35">
      <c r="A1088" t="s">
        <v>1274</v>
      </c>
      <c r="B1088">
        <v>36.630000000000003</v>
      </c>
      <c r="C1088">
        <v>11.42</v>
      </c>
      <c r="D1088" t="s">
        <v>2370</v>
      </c>
      <c r="E1088" t="s">
        <v>2370</v>
      </c>
      <c r="F1088" t="s">
        <v>2370</v>
      </c>
      <c r="G1088">
        <v>2</v>
      </c>
      <c r="H1088" t="s">
        <v>2370</v>
      </c>
    </row>
    <row r="1089" spans="1:8" x14ac:dyDescent="0.35">
      <c r="A1089" t="s">
        <v>1273</v>
      </c>
      <c r="B1089">
        <v>33.344999999999999</v>
      </c>
      <c r="C1089">
        <v>7.33</v>
      </c>
      <c r="D1089" t="s">
        <v>2370</v>
      </c>
      <c r="E1089" t="s">
        <v>2370</v>
      </c>
      <c r="F1089" t="s">
        <v>2370</v>
      </c>
      <c r="G1089">
        <v>2</v>
      </c>
      <c r="H1089" t="s">
        <v>2370</v>
      </c>
    </row>
    <row r="1090" spans="1:8" x14ac:dyDescent="0.35">
      <c r="A1090" t="s">
        <v>1272</v>
      </c>
      <c r="B1090">
        <v>27.11</v>
      </c>
      <c r="C1090">
        <v>6.7</v>
      </c>
      <c r="D1090" t="s">
        <v>2370</v>
      </c>
      <c r="E1090" t="s">
        <v>2370</v>
      </c>
      <c r="F1090" t="s">
        <v>2370</v>
      </c>
      <c r="G1090" t="s">
        <v>2371</v>
      </c>
      <c r="H1090" t="s">
        <v>2370</v>
      </c>
    </row>
    <row r="1091" spans="1:8" x14ac:dyDescent="0.35">
      <c r="A1091" t="s">
        <v>1271</v>
      </c>
      <c r="B1091">
        <v>26.6</v>
      </c>
      <c r="C1091">
        <v>5.27</v>
      </c>
      <c r="D1091" t="s">
        <v>2372</v>
      </c>
      <c r="E1091" t="s">
        <v>2370</v>
      </c>
      <c r="F1091" t="s">
        <v>2373</v>
      </c>
      <c r="G1091">
        <v>1</v>
      </c>
      <c r="H1091" t="s">
        <v>2370</v>
      </c>
    </row>
    <row r="1092" spans="1:8" x14ac:dyDescent="0.35">
      <c r="A1092" t="s">
        <v>1270</v>
      </c>
      <c r="B1092">
        <v>30.41</v>
      </c>
      <c r="C1092">
        <v>7.72</v>
      </c>
      <c r="D1092" t="s">
        <v>2370</v>
      </c>
      <c r="E1092" t="s">
        <v>2370</v>
      </c>
      <c r="F1092" t="s">
        <v>2370</v>
      </c>
      <c r="G1092" t="s">
        <v>2371</v>
      </c>
      <c r="H1092" t="s">
        <v>2370</v>
      </c>
    </row>
    <row r="1093" spans="1:8" x14ac:dyDescent="0.35">
      <c r="A1093" t="s">
        <v>1269</v>
      </c>
      <c r="B1093">
        <v>28.98</v>
      </c>
      <c r="C1093">
        <v>8.68</v>
      </c>
      <c r="D1093" t="s">
        <v>2370</v>
      </c>
      <c r="E1093" t="s">
        <v>2370</v>
      </c>
      <c r="F1093" t="s">
        <v>2370</v>
      </c>
      <c r="G1093">
        <v>2</v>
      </c>
      <c r="H1093" t="s">
        <v>2370</v>
      </c>
    </row>
    <row r="1094" spans="1:8" x14ac:dyDescent="0.35">
      <c r="A1094" t="s">
        <v>1268</v>
      </c>
      <c r="B1094">
        <v>31.24</v>
      </c>
      <c r="C1094">
        <v>9.8000000000000007</v>
      </c>
      <c r="D1094" t="s">
        <v>2370</v>
      </c>
      <c r="E1094" t="s">
        <v>2370</v>
      </c>
      <c r="F1094" t="s">
        <v>2370</v>
      </c>
      <c r="G1094" t="s">
        <v>2371</v>
      </c>
      <c r="H1094" t="s">
        <v>2370</v>
      </c>
    </row>
    <row r="1095" spans="1:8" x14ac:dyDescent="0.35">
      <c r="A1095" t="s">
        <v>1267</v>
      </c>
      <c r="B1095">
        <v>31.54</v>
      </c>
      <c r="C1095">
        <v>4.4400000000000004</v>
      </c>
      <c r="D1095" t="s">
        <v>2370</v>
      </c>
      <c r="E1095" t="s">
        <v>2370</v>
      </c>
      <c r="F1095" t="s">
        <v>2370</v>
      </c>
      <c r="G1095" t="s">
        <v>2371</v>
      </c>
      <c r="H1095" t="s">
        <v>2370</v>
      </c>
    </row>
    <row r="1096" spans="1:8" x14ac:dyDescent="0.35">
      <c r="A1096" t="s">
        <v>1266</v>
      </c>
      <c r="B1096">
        <v>38.6</v>
      </c>
      <c r="C1096">
        <v>7.19</v>
      </c>
      <c r="D1096" t="s">
        <v>2372</v>
      </c>
      <c r="E1096" t="s">
        <v>2370</v>
      </c>
      <c r="F1096" t="s">
        <v>2370</v>
      </c>
      <c r="G1096">
        <v>2</v>
      </c>
      <c r="H1096" t="s">
        <v>2370</v>
      </c>
    </row>
    <row r="1097" spans="1:8" x14ac:dyDescent="0.35">
      <c r="A1097" t="s">
        <v>1265</v>
      </c>
      <c r="B1097">
        <v>37.950000000000003</v>
      </c>
      <c r="C1097">
        <v>6.06</v>
      </c>
      <c r="D1097" t="s">
        <v>2370</v>
      </c>
      <c r="E1097" t="s">
        <v>2370</v>
      </c>
      <c r="F1097" t="s">
        <v>2370</v>
      </c>
      <c r="G1097" t="s">
        <v>2371</v>
      </c>
      <c r="H1097" t="s">
        <v>2370</v>
      </c>
    </row>
    <row r="1098" spans="1:8" x14ac:dyDescent="0.35">
      <c r="A1098" t="s">
        <v>1264</v>
      </c>
      <c r="B1098">
        <v>38.97</v>
      </c>
      <c r="C1098">
        <v>5.12</v>
      </c>
      <c r="D1098" t="s">
        <v>2370</v>
      </c>
      <c r="E1098" t="s">
        <v>2370</v>
      </c>
      <c r="F1098" t="s">
        <v>2370</v>
      </c>
      <c r="G1098" t="s">
        <v>2371</v>
      </c>
      <c r="H1098" t="s">
        <v>2370</v>
      </c>
    </row>
    <row r="1099" spans="1:8" x14ac:dyDescent="0.35">
      <c r="A1099" t="s">
        <v>1263</v>
      </c>
      <c r="B1099">
        <v>21.2</v>
      </c>
      <c r="C1099">
        <v>10.72</v>
      </c>
      <c r="D1099" t="s">
        <v>2370</v>
      </c>
      <c r="E1099" t="s">
        <v>2370</v>
      </c>
      <c r="F1099" t="s">
        <v>2370</v>
      </c>
      <c r="G1099" t="s">
        <v>2371</v>
      </c>
      <c r="H1099" t="s">
        <v>2370</v>
      </c>
    </row>
    <row r="1100" spans="1:8" x14ac:dyDescent="0.35">
      <c r="A1100" t="s">
        <v>1262</v>
      </c>
      <c r="B1100">
        <v>23.96</v>
      </c>
      <c r="C1100">
        <v>9.58</v>
      </c>
      <c r="D1100" t="s">
        <v>2372</v>
      </c>
      <c r="E1100" t="s">
        <v>2370</v>
      </c>
      <c r="F1100" t="s">
        <v>2373</v>
      </c>
      <c r="G1100">
        <v>1</v>
      </c>
      <c r="H1100" t="s">
        <v>2370</v>
      </c>
    </row>
    <row r="1101" spans="1:8" x14ac:dyDescent="0.35">
      <c r="A1101" t="s">
        <v>1261</v>
      </c>
      <c r="B1101">
        <v>35.93</v>
      </c>
      <c r="C1101">
        <v>6.4</v>
      </c>
      <c r="D1101" t="s">
        <v>2372</v>
      </c>
      <c r="E1101" t="s">
        <v>2370</v>
      </c>
      <c r="F1101" t="s">
        <v>2370</v>
      </c>
      <c r="G1101">
        <v>1</v>
      </c>
      <c r="H1101" t="s">
        <v>2370</v>
      </c>
    </row>
    <row r="1102" spans="1:8" x14ac:dyDescent="0.35">
      <c r="A1102" t="s">
        <v>1260</v>
      </c>
      <c r="B1102">
        <v>26.11</v>
      </c>
      <c r="C1102">
        <v>6.8</v>
      </c>
      <c r="D1102" t="s">
        <v>2372</v>
      </c>
      <c r="E1102" t="s">
        <v>2370</v>
      </c>
      <c r="F1102" t="s">
        <v>2370</v>
      </c>
      <c r="G1102">
        <v>2</v>
      </c>
      <c r="H1102" t="s">
        <v>2370</v>
      </c>
    </row>
    <row r="1103" spans="1:8" x14ac:dyDescent="0.35">
      <c r="A1103" t="s">
        <v>1259</v>
      </c>
      <c r="B1103">
        <v>32.299999999999997</v>
      </c>
      <c r="C1103">
        <v>9.48</v>
      </c>
      <c r="D1103" t="s">
        <v>2370</v>
      </c>
      <c r="E1103" t="s">
        <v>2370</v>
      </c>
      <c r="F1103" t="s">
        <v>2370</v>
      </c>
      <c r="G1103">
        <v>2</v>
      </c>
      <c r="H1103" t="s">
        <v>2370</v>
      </c>
    </row>
    <row r="1104" spans="1:8" x14ac:dyDescent="0.35">
      <c r="A1104" t="s">
        <v>1258</v>
      </c>
      <c r="B1104">
        <v>28.69</v>
      </c>
      <c r="C1104">
        <v>7.45</v>
      </c>
      <c r="D1104" t="s">
        <v>2370</v>
      </c>
      <c r="E1104" t="s">
        <v>2370</v>
      </c>
      <c r="F1104" t="s">
        <v>2370</v>
      </c>
      <c r="G1104">
        <v>2</v>
      </c>
      <c r="H1104" t="s">
        <v>2370</v>
      </c>
    </row>
    <row r="1105" spans="1:8" x14ac:dyDescent="0.35">
      <c r="A1105" t="s">
        <v>1257</v>
      </c>
      <c r="B1105">
        <v>31.28</v>
      </c>
      <c r="C1105">
        <v>6.94</v>
      </c>
      <c r="D1105" t="s">
        <v>2372</v>
      </c>
      <c r="E1105" t="s">
        <v>2370</v>
      </c>
      <c r="F1105" t="s">
        <v>2370</v>
      </c>
      <c r="G1105">
        <v>1</v>
      </c>
      <c r="H1105" t="s">
        <v>2370</v>
      </c>
    </row>
    <row r="1106" spans="1:8" x14ac:dyDescent="0.35">
      <c r="A1106" t="s">
        <v>1256</v>
      </c>
      <c r="B1106">
        <v>30.21</v>
      </c>
      <c r="C1106">
        <v>7.83</v>
      </c>
      <c r="D1106" t="s">
        <v>2370</v>
      </c>
      <c r="E1106" t="s">
        <v>2370</v>
      </c>
      <c r="F1106" t="s">
        <v>2370</v>
      </c>
      <c r="G1106" t="s">
        <v>2371</v>
      </c>
      <c r="H1106" t="s">
        <v>2370</v>
      </c>
    </row>
    <row r="1107" spans="1:8" x14ac:dyDescent="0.35">
      <c r="A1107" t="s">
        <v>1255</v>
      </c>
      <c r="B1107">
        <v>38.28</v>
      </c>
      <c r="C1107">
        <v>10.17</v>
      </c>
      <c r="D1107" t="s">
        <v>2372</v>
      </c>
      <c r="E1107" t="s">
        <v>2370</v>
      </c>
      <c r="F1107" t="s">
        <v>2370</v>
      </c>
      <c r="G1107" t="s">
        <v>2371</v>
      </c>
      <c r="H1107" t="s">
        <v>2370</v>
      </c>
    </row>
    <row r="1108" spans="1:8" x14ac:dyDescent="0.35">
      <c r="A1108" t="s">
        <v>1254</v>
      </c>
      <c r="B1108">
        <v>29.9</v>
      </c>
      <c r="C1108">
        <v>8.9600000000000009</v>
      </c>
      <c r="D1108" t="s">
        <v>2372</v>
      </c>
      <c r="E1108" t="s">
        <v>2370</v>
      </c>
      <c r="F1108" t="s">
        <v>2370</v>
      </c>
      <c r="G1108" t="s">
        <v>2371</v>
      </c>
      <c r="H1108" t="s">
        <v>2370</v>
      </c>
    </row>
    <row r="1109" spans="1:8" x14ac:dyDescent="0.35">
      <c r="A1109" t="s">
        <v>1253</v>
      </c>
      <c r="B1109">
        <v>23.18</v>
      </c>
      <c r="C1109">
        <v>6.96</v>
      </c>
      <c r="D1109" t="s">
        <v>2372</v>
      </c>
      <c r="E1109" t="s">
        <v>2370</v>
      </c>
      <c r="F1109" t="s">
        <v>2370</v>
      </c>
      <c r="G1109">
        <v>2</v>
      </c>
      <c r="H1109" t="s">
        <v>2370</v>
      </c>
    </row>
    <row r="1110" spans="1:8" x14ac:dyDescent="0.35">
      <c r="A1110" t="s">
        <v>1252</v>
      </c>
      <c r="B1110">
        <v>33.020000000000003</v>
      </c>
      <c r="C1110">
        <v>5.07</v>
      </c>
      <c r="D1110" t="s">
        <v>2372</v>
      </c>
      <c r="E1110" t="s">
        <v>2370</v>
      </c>
      <c r="F1110" t="s">
        <v>2370</v>
      </c>
      <c r="G1110" t="s">
        <v>2371</v>
      </c>
      <c r="H1110" t="s">
        <v>2370</v>
      </c>
    </row>
    <row r="1111" spans="1:8" x14ac:dyDescent="0.35">
      <c r="A1111" t="s">
        <v>1251</v>
      </c>
      <c r="B1111">
        <v>27.29</v>
      </c>
      <c r="C1111">
        <v>5.85</v>
      </c>
      <c r="D1111" t="s">
        <v>2370</v>
      </c>
      <c r="E1111" t="s">
        <v>2370</v>
      </c>
      <c r="F1111" t="s">
        <v>2370</v>
      </c>
      <c r="G1111">
        <v>2</v>
      </c>
      <c r="H1111" t="s">
        <v>2370</v>
      </c>
    </row>
    <row r="1112" spans="1:8" x14ac:dyDescent="0.35">
      <c r="A1112" t="s">
        <v>1250</v>
      </c>
      <c r="B1112">
        <v>23.18</v>
      </c>
      <c r="C1112">
        <v>10.56</v>
      </c>
      <c r="D1112" t="s">
        <v>2370</v>
      </c>
      <c r="E1112" t="s">
        <v>2370</v>
      </c>
      <c r="F1112" t="s">
        <v>2370</v>
      </c>
      <c r="G1112">
        <v>2</v>
      </c>
      <c r="H1112" t="s">
        <v>2370</v>
      </c>
    </row>
    <row r="1113" spans="1:8" x14ac:dyDescent="0.35">
      <c r="A1113" t="s">
        <v>1249</v>
      </c>
      <c r="B1113">
        <v>32.659999999999997</v>
      </c>
      <c r="C1113">
        <v>8.92</v>
      </c>
      <c r="D1113" t="s">
        <v>2372</v>
      </c>
      <c r="E1113" t="s">
        <v>2370</v>
      </c>
      <c r="F1113" t="s">
        <v>2370</v>
      </c>
      <c r="G1113" t="s">
        <v>2371</v>
      </c>
      <c r="H1113" t="s">
        <v>2370</v>
      </c>
    </row>
    <row r="1114" spans="1:8" x14ac:dyDescent="0.35">
      <c r="A1114" t="s">
        <v>1248</v>
      </c>
      <c r="B1114">
        <v>30.78</v>
      </c>
      <c r="C1114">
        <v>8.6300000000000008</v>
      </c>
      <c r="D1114" t="s">
        <v>2370</v>
      </c>
      <c r="E1114" t="s">
        <v>2370</v>
      </c>
      <c r="F1114" t="s">
        <v>2370</v>
      </c>
      <c r="G1114" t="s">
        <v>2371</v>
      </c>
      <c r="H1114" t="s">
        <v>2370</v>
      </c>
    </row>
    <row r="1115" spans="1:8" x14ac:dyDescent="0.35">
      <c r="A1115" t="s">
        <v>1247</v>
      </c>
      <c r="B1115">
        <v>47.2</v>
      </c>
      <c r="C1115">
        <v>6.29</v>
      </c>
      <c r="D1115" t="s">
        <v>2372</v>
      </c>
      <c r="E1115" t="s">
        <v>2370</v>
      </c>
      <c r="F1115" t="s">
        <v>2373</v>
      </c>
      <c r="G1115">
        <v>1</v>
      </c>
      <c r="H1115" t="s">
        <v>2370</v>
      </c>
    </row>
    <row r="1116" spans="1:8" x14ac:dyDescent="0.35">
      <c r="A1116" t="s">
        <v>1246</v>
      </c>
      <c r="B1116">
        <v>31.6</v>
      </c>
      <c r="C1116">
        <v>5.75</v>
      </c>
      <c r="D1116" t="s">
        <v>2370</v>
      </c>
      <c r="E1116" t="s">
        <v>2370</v>
      </c>
      <c r="F1116" t="s">
        <v>2370</v>
      </c>
      <c r="G1116">
        <v>2</v>
      </c>
      <c r="H1116" t="s">
        <v>2370</v>
      </c>
    </row>
    <row r="1117" spans="1:8" x14ac:dyDescent="0.35">
      <c r="A1117" t="s">
        <v>1245</v>
      </c>
      <c r="B1117">
        <v>33.914999999999999</v>
      </c>
      <c r="C1117">
        <v>6.66</v>
      </c>
      <c r="D1117" t="s">
        <v>2372</v>
      </c>
      <c r="E1117" t="s">
        <v>2370</v>
      </c>
      <c r="F1117" t="s">
        <v>2370</v>
      </c>
      <c r="G1117">
        <v>1</v>
      </c>
      <c r="H1117" t="s">
        <v>2370</v>
      </c>
    </row>
    <row r="1118" spans="1:8" x14ac:dyDescent="0.35">
      <c r="A1118" t="s">
        <v>1244</v>
      </c>
      <c r="B1118">
        <v>23.54</v>
      </c>
      <c r="C1118">
        <v>5.0999999999999996</v>
      </c>
      <c r="D1118" t="s">
        <v>2370</v>
      </c>
      <c r="E1118" t="s">
        <v>2370</v>
      </c>
      <c r="F1118" t="s">
        <v>2370</v>
      </c>
      <c r="G1118">
        <v>2</v>
      </c>
      <c r="H1118" t="s">
        <v>2370</v>
      </c>
    </row>
    <row r="1119" spans="1:8" x14ac:dyDescent="0.35">
      <c r="A1119" t="s">
        <v>1243</v>
      </c>
      <c r="B1119">
        <v>27.074999999999999</v>
      </c>
      <c r="C1119">
        <v>4.41</v>
      </c>
      <c r="D1119" t="s">
        <v>2370</v>
      </c>
      <c r="E1119" t="s">
        <v>2370</v>
      </c>
      <c r="F1119" t="s">
        <v>2370</v>
      </c>
      <c r="G1119">
        <v>2</v>
      </c>
      <c r="H1119" t="s">
        <v>2370</v>
      </c>
    </row>
    <row r="1120" spans="1:8" x14ac:dyDescent="0.35">
      <c r="A1120" t="s">
        <v>1242</v>
      </c>
      <c r="B1120">
        <v>25.8</v>
      </c>
      <c r="C1120">
        <v>5.52</v>
      </c>
      <c r="D1120" t="s">
        <v>2372</v>
      </c>
      <c r="E1120" t="s">
        <v>2370</v>
      </c>
      <c r="F1120" t="s">
        <v>2370</v>
      </c>
      <c r="G1120" t="s">
        <v>2371</v>
      </c>
      <c r="H1120" t="s">
        <v>2370</v>
      </c>
    </row>
    <row r="1121" spans="1:8" x14ac:dyDescent="0.35">
      <c r="A1121" t="s">
        <v>1241</v>
      </c>
      <c r="B1121">
        <v>36.1</v>
      </c>
      <c r="C1121">
        <v>4.62</v>
      </c>
      <c r="D1121" t="s">
        <v>2372</v>
      </c>
      <c r="E1121" t="s">
        <v>2370</v>
      </c>
      <c r="F1121" t="s">
        <v>2373</v>
      </c>
      <c r="G1121">
        <v>1</v>
      </c>
      <c r="H1121" t="s">
        <v>2370</v>
      </c>
    </row>
    <row r="1122" spans="1:8" x14ac:dyDescent="0.35">
      <c r="A1122" t="s">
        <v>1240</v>
      </c>
      <c r="B1122">
        <v>30.495000000000001</v>
      </c>
      <c r="C1122">
        <v>5.74</v>
      </c>
      <c r="D1122" t="s">
        <v>2372</v>
      </c>
      <c r="E1122" t="s">
        <v>2370</v>
      </c>
      <c r="F1122" t="s">
        <v>2373</v>
      </c>
      <c r="G1122">
        <v>1</v>
      </c>
      <c r="H1122" t="s">
        <v>2370</v>
      </c>
    </row>
    <row r="1123" spans="1:8" x14ac:dyDescent="0.35">
      <c r="A1123" t="s">
        <v>1239</v>
      </c>
      <c r="B1123">
        <v>21.4</v>
      </c>
      <c r="C1123">
        <v>6.3</v>
      </c>
      <c r="D1123" t="s">
        <v>2372</v>
      </c>
      <c r="E1123" t="s">
        <v>2370</v>
      </c>
      <c r="F1123" t="s">
        <v>2373</v>
      </c>
      <c r="G1123">
        <v>1</v>
      </c>
      <c r="H1123" t="s">
        <v>2370</v>
      </c>
    </row>
    <row r="1124" spans="1:8" x14ac:dyDescent="0.35">
      <c r="A1124" t="s">
        <v>1238</v>
      </c>
      <c r="B1124">
        <v>32.299999999999997</v>
      </c>
      <c r="C1124">
        <v>10.27</v>
      </c>
      <c r="D1124" t="s">
        <v>2370</v>
      </c>
      <c r="E1124" t="s">
        <v>2370</v>
      </c>
      <c r="F1124" t="s">
        <v>2370</v>
      </c>
      <c r="G1124" t="s">
        <v>2371</v>
      </c>
      <c r="H1124" t="s">
        <v>2370</v>
      </c>
    </row>
    <row r="1125" spans="1:8" x14ac:dyDescent="0.35">
      <c r="A1125" t="s">
        <v>1237</v>
      </c>
      <c r="B1125">
        <v>29.78</v>
      </c>
      <c r="C1125">
        <v>5.85</v>
      </c>
      <c r="D1125" t="s">
        <v>2370</v>
      </c>
      <c r="E1125" t="s">
        <v>2370</v>
      </c>
      <c r="F1125" t="s">
        <v>2373</v>
      </c>
      <c r="G1125">
        <v>1</v>
      </c>
      <c r="H1125" t="s">
        <v>2370</v>
      </c>
    </row>
    <row r="1126" spans="1:8" x14ac:dyDescent="0.35">
      <c r="A1126" t="s">
        <v>1236</v>
      </c>
      <c r="B1126">
        <v>34.76</v>
      </c>
      <c r="C1126">
        <v>5.92</v>
      </c>
      <c r="D1126" t="s">
        <v>2372</v>
      </c>
      <c r="E1126" t="s">
        <v>2370</v>
      </c>
      <c r="F1126" t="s">
        <v>2370</v>
      </c>
      <c r="G1126">
        <v>1</v>
      </c>
      <c r="H1126" t="s">
        <v>2370</v>
      </c>
    </row>
    <row r="1127" spans="1:8" x14ac:dyDescent="0.35">
      <c r="A1127" t="s">
        <v>1235</v>
      </c>
      <c r="B1127">
        <v>18.335000000000001</v>
      </c>
      <c r="C1127">
        <v>10.01</v>
      </c>
      <c r="D1127" t="s">
        <v>2372</v>
      </c>
      <c r="E1127" t="s">
        <v>2370</v>
      </c>
      <c r="F1127" t="s">
        <v>2370</v>
      </c>
      <c r="G1127">
        <v>2</v>
      </c>
      <c r="H1127" t="s">
        <v>2370</v>
      </c>
    </row>
    <row r="1128" spans="1:8" x14ac:dyDescent="0.35">
      <c r="A1128" t="s">
        <v>1234</v>
      </c>
      <c r="B1128">
        <v>32.299999999999997</v>
      </c>
      <c r="C1128">
        <v>9.59</v>
      </c>
      <c r="D1128" t="s">
        <v>2370</v>
      </c>
      <c r="E1128" t="s">
        <v>2370</v>
      </c>
      <c r="F1128" t="s">
        <v>2370</v>
      </c>
      <c r="G1128" t="s">
        <v>2371</v>
      </c>
      <c r="H1128" t="s">
        <v>2370</v>
      </c>
    </row>
    <row r="1129" spans="1:8" x14ac:dyDescent="0.35">
      <c r="A1129" t="s">
        <v>1233</v>
      </c>
      <c r="B1129">
        <v>27.74</v>
      </c>
      <c r="C1129">
        <v>10.37</v>
      </c>
      <c r="D1129" t="s">
        <v>2370</v>
      </c>
      <c r="E1129" t="s">
        <v>2370</v>
      </c>
      <c r="F1129" t="s">
        <v>2370</v>
      </c>
      <c r="G1129" t="s">
        <v>2371</v>
      </c>
      <c r="H1129" t="s">
        <v>2370</v>
      </c>
    </row>
    <row r="1130" spans="1:8" x14ac:dyDescent="0.35">
      <c r="A1130" t="s">
        <v>1232</v>
      </c>
      <c r="B1130">
        <v>24</v>
      </c>
      <c r="C1130">
        <v>4.01</v>
      </c>
      <c r="D1130" t="s">
        <v>2372</v>
      </c>
      <c r="E1130" t="s">
        <v>2370</v>
      </c>
      <c r="F1130" t="s">
        <v>2370</v>
      </c>
      <c r="G1130">
        <v>1</v>
      </c>
      <c r="H1130" t="s">
        <v>2370</v>
      </c>
    </row>
    <row r="1131" spans="1:8" x14ac:dyDescent="0.35">
      <c r="A1131" t="s">
        <v>1231</v>
      </c>
      <c r="B1131">
        <v>31.78</v>
      </c>
      <c r="C1131">
        <v>4.24</v>
      </c>
      <c r="D1131" t="s">
        <v>2372</v>
      </c>
      <c r="E1131" t="s">
        <v>2370</v>
      </c>
      <c r="F1131" t="s">
        <v>2373</v>
      </c>
      <c r="G1131">
        <v>1</v>
      </c>
      <c r="H1131" t="s">
        <v>2370</v>
      </c>
    </row>
    <row r="1132" spans="1:8" x14ac:dyDescent="0.35">
      <c r="A1132" t="s">
        <v>1230</v>
      </c>
      <c r="B1132">
        <v>32.25</v>
      </c>
      <c r="C1132">
        <v>5.36</v>
      </c>
      <c r="D1132" t="s">
        <v>2372</v>
      </c>
      <c r="E1132" t="s">
        <v>2370</v>
      </c>
      <c r="F1132" t="s">
        <v>2370</v>
      </c>
      <c r="G1132" t="s">
        <v>2371</v>
      </c>
      <c r="H1132" t="s">
        <v>2370</v>
      </c>
    </row>
    <row r="1133" spans="1:8" x14ac:dyDescent="0.35">
      <c r="A1133" t="s">
        <v>1229</v>
      </c>
      <c r="B1133">
        <v>30.114999999999998</v>
      </c>
      <c r="C1133">
        <v>4.99</v>
      </c>
      <c r="D1133" t="s">
        <v>2370</v>
      </c>
      <c r="E1133" t="s">
        <v>2370</v>
      </c>
      <c r="F1133" t="s">
        <v>2370</v>
      </c>
      <c r="G1133">
        <v>2</v>
      </c>
      <c r="H1133" t="s">
        <v>2370</v>
      </c>
    </row>
    <row r="1134" spans="1:8" x14ac:dyDescent="0.35">
      <c r="A1134" t="s">
        <v>1228</v>
      </c>
      <c r="B1134">
        <v>22.41</v>
      </c>
      <c r="C1134">
        <v>8.68</v>
      </c>
      <c r="D1134" t="s">
        <v>2370</v>
      </c>
      <c r="E1134" t="s">
        <v>2370</v>
      </c>
      <c r="F1134" t="s">
        <v>2370</v>
      </c>
      <c r="G1134" t="s">
        <v>2371</v>
      </c>
      <c r="H1134" t="s">
        <v>2370</v>
      </c>
    </row>
    <row r="1135" spans="1:8" x14ac:dyDescent="0.35">
      <c r="A1135" t="s">
        <v>1227</v>
      </c>
      <c r="B1135">
        <v>45.72</v>
      </c>
      <c r="C1135">
        <v>4.2300000000000004</v>
      </c>
      <c r="D1135" t="s">
        <v>2372</v>
      </c>
      <c r="E1135" t="s">
        <v>2370</v>
      </c>
      <c r="F1135" t="s">
        <v>2370</v>
      </c>
      <c r="G1135" t="s">
        <v>2371</v>
      </c>
      <c r="H1135" t="s">
        <v>2370</v>
      </c>
    </row>
    <row r="1136" spans="1:8" x14ac:dyDescent="0.35">
      <c r="A1136" t="s">
        <v>1226</v>
      </c>
      <c r="B1136">
        <v>25</v>
      </c>
      <c r="C1136">
        <v>5.32</v>
      </c>
      <c r="D1136" t="s">
        <v>2372</v>
      </c>
      <c r="E1136" t="s">
        <v>2370</v>
      </c>
      <c r="F1136" t="s">
        <v>2370</v>
      </c>
      <c r="G1136">
        <v>2</v>
      </c>
      <c r="H1136" t="s">
        <v>2370</v>
      </c>
    </row>
    <row r="1137" spans="1:8" x14ac:dyDescent="0.35">
      <c r="A1137" t="s">
        <v>1225</v>
      </c>
      <c r="B1137">
        <v>39.5</v>
      </c>
      <c r="C1137">
        <v>6.66</v>
      </c>
      <c r="D1137" t="s">
        <v>2370</v>
      </c>
      <c r="E1137" t="s">
        <v>2370</v>
      </c>
      <c r="F1137" t="s">
        <v>2370</v>
      </c>
      <c r="G1137" t="s">
        <v>2371</v>
      </c>
      <c r="H1137" t="s">
        <v>2370</v>
      </c>
    </row>
    <row r="1138" spans="1:8" x14ac:dyDescent="0.35">
      <c r="A1138" t="s">
        <v>1224</v>
      </c>
      <c r="B1138">
        <v>37.729999999999997</v>
      </c>
      <c r="C1138">
        <v>7.4</v>
      </c>
      <c r="D1138" t="s">
        <v>2370</v>
      </c>
      <c r="E1138" t="s">
        <v>2370</v>
      </c>
      <c r="F1138" t="s">
        <v>2370</v>
      </c>
      <c r="G1138" t="s">
        <v>2371</v>
      </c>
      <c r="H1138" t="s">
        <v>2370</v>
      </c>
    </row>
    <row r="1139" spans="1:8" x14ac:dyDescent="0.35">
      <c r="A1139" t="s">
        <v>1223</v>
      </c>
      <c r="B1139">
        <v>40.659999999999997</v>
      </c>
      <c r="C1139">
        <v>10.08</v>
      </c>
      <c r="D1139" t="s">
        <v>2370</v>
      </c>
      <c r="E1139" t="s">
        <v>2370</v>
      </c>
      <c r="F1139" t="s">
        <v>2370</v>
      </c>
      <c r="G1139" t="s">
        <v>2371</v>
      </c>
      <c r="H1139" t="s">
        <v>2370</v>
      </c>
    </row>
    <row r="1140" spans="1:8" x14ac:dyDescent="0.35">
      <c r="A1140" t="s">
        <v>1222</v>
      </c>
      <c r="B1140">
        <v>34.200000000000003</v>
      </c>
      <c r="C1140">
        <v>8.58</v>
      </c>
      <c r="D1140" t="s">
        <v>2370</v>
      </c>
      <c r="E1140" t="s">
        <v>2370</v>
      </c>
      <c r="F1140" t="s">
        <v>2370</v>
      </c>
      <c r="G1140" t="s">
        <v>2371</v>
      </c>
      <c r="H1140" t="s">
        <v>2370</v>
      </c>
    </row>
    <row r="1141" spans="1:8" x14ac:dyDescent="0.35">
      <c r="A1141" t="s">
        <v>1221</v>
      </c>
      <c r="B1141">
        <v>46.51</v>
      </c>
      <c r="C1141">
        <v>5.84</v>
      </c>
      <c r="D1141" t="s">
        <v>2370</v>
      </c>
      <c r="E1141" t="s">
        <v>2370</v>
      </c>
      <c r="F1141" t="s">
        <v>2370</v>
      </c>
      <c r="G1141">
        <v>1</v>
      </c>
      <c r="H1141" t="s">
        <v>2370</v>
      </c>
    </row>
    <row r="1142" spans="1:8" x14ac:dyDescent="0.35">
      <c r="A1142" t="s">
        <v>1220</v>
      </c>
      <c r="B1142">
        <v>28.88</v>
      </c>
      <c r="C1142">
        <v>4.8600000000000003</v>
      </c>
      <c r="D1142" t="s">
        <v>2372</v>
      </c>
      <c r="E1142" t="s">
        <v>2370</v>
      </c>
      <c r="F1142" t="s">
        <v>2373</v>
      </c>
      <c r="G1142">
        <v>1</v>
      </c>
      <c r="H1142" t="s">
        <v>2370</v>
      </c>
    </row>
    <row r="1143" spans="1:8" x14ac:dyDescent="0.35">
      <c r="A1143" t="s">
        <v>1219</v>
      </c>
      <c r="B1143">
        <v>33.914999999999999</v>
      </c>
      <c r="C1143">
        <v>11.52</v>
      </c>
      <c r="D1143" t="s">
        <v>2370</v>
      </c>
      <c r="E1143" t="s">
        <v>2370</v>
      </c>
      <c r="F1143" t="s">
        <v>2370</v>
      </c>
      <c r="G1143" t="s">
        <v>2371</v>
      </c>
      <c r="H1143" t="s">
        <v>2370</v>
      </c>
    </row>
    <row r="1144" spans="1:8" x14ac:dyDescent="0.35">
      <c r="A1144" t="s">
        <v>1218</v>
      </c>
      <c r="B1144">
        <v>24.32</v>
      </c>
      <c r="C1144">
        <v>6.15</v>
      </c>
      <c r="D1144" t="s">
        <v>2372</v>
      </c>
      <c r="E1144" t="s">
        <v>2370</v>
      </c>
      <c r="F1144" t="s">
        <v>2373</v>
      </c>
      <c r="G1144">
        <v>1</v>
      </c>
      <c r="H1144" t="s">
        <v>2370</v>
      </c>
    </row>
    <row r="1145" spans="1:8" x14ac:dyDescent="0.35">
      <c r="A1145" t="s">
        <v>1217</v>
      </c>
      <c r="B1145">
        <v>25.8</v>
      </c>
      <c r="C1145">
        <v>9.94</v>
      </c>
      <c r="D1145" t="s">
        <v>2370</v>
      </c>
      <c r="E1145" t="s">
        <v>2370</v>
      </c>
      <c r="F1145" t="s">
        <v>2370</v>
      </c>
      <c r="G1145" t="s">
        <v>2371</v>
      </c>
      <c r="H1145" t="s">
        <v>2370</v>
      </c>
    </row>
    <row r="1146" spans="1:8" x14ac:dyDescent="0.35">
      <c r="A1146" t="s">
        <v>1216</v>
      </c>
      <c r="B1146">
        <v>21.56</v>
      </c>
      <c r="C1146">
        <v>10.56</v>
      </c>
      <c r="D1146" t="s">
        <v>2370</v>
      </c>
      <c r="E1146" t="s">
        <v>2370</v>
      </c>
      <c r="F1146" t="s">
        <v>2370</v>
      </c>
      <c r="G1146" t="s">
        <v>2371</v>
      </c>
      <c r="H1146" t="s">
        <v>2370</v>
      </c>
    </row>
    <row r="1147" spans="1:8" x14ac:dyDescent="0.35">
      <c r="A1147" t="s">
        <v>1215</v>
      </c>
      <c r="B1147">
        <v>31.6</v>
      </c>
      <c r="C1147">
        <v>6.79</v>
      </c>
      <c r="D1147" t="s">
        <v>2370</v>
      </c>
      <c r="E1147" t="s">
        <v>2370</v>
      </c>
      <c r="F1147" t="s">
        <v>2370</v>
      </c>
      <c r="G1147" t="s">
        <v>2371</v>
      </c>
      <c r="H1147" t="s">
        <v>2370</v>
      </c>
    </row>
    <row r="1148" spans="1:8" x14ac:dyDescent="0.35">
      <c r="A1148" t="s">
        <v>1214</v>
      </c>
      <c r="B1148">
        <v>42.93</v>
      </c>
      <c r="C1148">
        <v>4.8</v>
      </c>
      <c r="D1148" t="s">
        <v>2370</v>
      </c>
      <c r="E1148" t="s">
        <v>2370</v>
      </c>
      <c r="F1148" t="s">
        <v>2370</v>
      </c>
      <c r="G1148">
        <v>1</v>
      </c>
      <c r="H1148" t="s">
        <v>2370</v>
      </c>
    </row>
    <row r="1149" spans="1:8" x14ac:dyDescent="0.35">
      <c r="A1149" t="s">
        <v>1213</v>
      </c>
      <c r="B1149">
        <v>26.72</v>
      </c>
      <c r="C1149">
        <v>5.75</v>
      </c>
      <c r="D1149" t="s">
        <v>2370</v>
      </c>
      <c r="E1149" t="s">
        <v>2370</v>
      </c>
      <c r="F1149" t="s">
        <v>2370</v>
      </c>
      <c r="G1149">
        <v>2</v>
      </c>
      <c r="H1149" t="s">
        <v>2370</v>
      </c>
    </row>
    <row r="1150" spans="1:8" x14ac:dyDescent="0.35">
      <c r="A1150" t="s">
        <v>1212</v>
      </c>
      <c r="B1150">
        <v>26.67</v>
      </c>
      <c r="C1150">
        <v>5.81</v>
      </c>
      <c r="D1150" t="s">
        <v>2370</v>
      </c>
      <c r="E1150" t="s">
        <v>2370</v>
      </c>
      <c r="F1150" t="s">
        <v>2370</v>
      </c>
      <c r="G1150">
        <v>2</v>
      </c>
      <c r="H1150" t="s">
        <v>2370</v>
      </c>
    </row>
    <row r="1151" spans="1:8" x14ac:dyDescent="0.35">
      <c r="A1151" t="s">
        <v>1211</v>
      </c>
      <c r="B1151">
        <v>42.68</v>
      </c>
      <c r="C1151">
        <v>9.2799999999999994</v>
      </c>
      <c r="D1151" t="s">
        <v>2370</v>
      </c>
      <c r="E1151" t="s">
        <v>2370</v>
      </c>
      <c r="F1151" t="s">
        <v>2370</v>
      </c>
      <c r="G1151">
        <v>2</v>
      </c>
      <c r="H1151" t="s">
        <v>2370</v>
      </c>
    </row>
    <row r="1152" spans="1:8" x14ac:dyDescent="0.35">
      <c r="A1152" t="s">
        <v>1210</v>
      </c>
      <c r="B1152">
        <v>24.31</v>
      </c>
      <c r="C1152">
        <v>6.37</v>
      </c>
      <c r="D1152" t="s">
        <v>2370</v>
      </c>
      <c r="E1152" t="s">
        <v>2370</v>
      </c>
      <c r="F1152" t="s">
        <v>2370</v>
      </c>
      <c r="G1152" t="s">
        <v>2371</v>
      </c>
      <c r="H1152" t="s">
        <v>2370</v>
      </c>
    </row>
    <row r="1153" spans="1:8" x14ac:dyDescent="0.35">
      <c r="A1153" t="s">
        <v>1209</v>
      </c>
      <c r="B1153">
        <v>44.75</v>
      </c>
      <c r="C1153">
        <v>5.09</v>
      </c>
      <c r="D1153" t="s">
        <v>2372</v>
      </c>
      <c r="E1153" t="s">
        <v>2370</v>
      </c>
      <c r="F1153" t="s">
        <v>2370</v>
      </c>
      <c r="G1153" t="s">
        <v>2371</v>
      </c>
      <c r="H1153" t="s">
        <v>2370</v>
      </c>
    </row>
    <row r="1154" spans="1:8" x14ac:dyDescent="0.35">
      <c r="A1154" t="s">
        <v>1208</v>
      </c>
      <c r="B1154">
        <v>30.78</v>
      </c>
      <c r="C1154">
        <v>7.94</v>
      </c>
      <c r="D1154" t="s">
        <v>2370</v>
      </c>
      <c r="E1154" t="s">
        <v>2370</v>
      </c>
      <c r="F1154" t="s">
        <v>2370</v>
      </c>
      <c r="G1154">
        <v>2</v>
      </c>
      <c r="H1154" t="s">
        <v>2370</v>
      </c>
    </row>
    <row r="1155" spans="1:8" x14ac:dyDescent="0.35">
      <c r="A1155" t="s">
        <v>1207</v>
      </c>
      <c r="B1155">
        <v>21.86</v>
      </c>
      <c r="C1155">
        <v>10.95</v>
      </c>
      <c r="D1155" t="s">
        <v>2370</v>
      </c>
      <c r="E1155" t="s">
        <v>2370</v>
      </c>
      <c r="F1155" t="s">
        <v>2370</v>
      </c>
      <c r="G1155" t="s">
        <v>2371</v>
      </c>
      <c r="H1155" t="s">
        <v>2370</v>
      </c>
    </row>
    <row r="1156" spans="1:8" x14ac:dyDescent="0.35">
      <c r="A1156" t="s">
        <v>1206</v>
      </c>
      <c r="B1156">
        <v>49.09</v>
      </c>
      <c r="C1156">
        <v>6.3</v>
      </c>
      <c r="D1156" t="s">
        <v>2372</v>
      </c>
      <c r="E1156" t="s">
        <v>2370</v>
      </c>
      <c r="F1156" t="s">
        <v>2370</v>
      </c>
      <c r="G1156" t="s">
        <v>2371</v>
      </c>
      <c r="H1156" t="s">
        <v>2370</v>
      </c>
    </row>
    <row r="1157" spans="1:8" x14ac:dyDescent="0.35">
      <c r="A1157" t="s">
        <v>1205</v>
      </c>
      <c r="B1157">
        <v>47.74</v>
      </c>
      <c r="C1157">
        <v>8.0500000000000007</v>
      </c>
      <c r="D1157" t="s">
        <v>2372</v>
      </c>
      <c r="E1157" t="s">
        <v>2370</v>
      </c>
      <c r="F1157" t="s">
        <v>2370</v>
      </c>
      <c r="G1157">
        <v>2</v>
      </c>
      <c r="H1157" t="s">
        <v>2370</v>
      </c>
    </row>
    <row r="1158" spans="1:8" x14ac:dyDescent="0.35">
      <c r="A1158" t="s">
        <v>1204</v>
      </c>
      <c r="B1158">
        <v>30.2</v>
      </c>
      <c r="C1158">
        <v>9.8800000000000008</v>
      </c>
      <c r="D1158" t="s">
        <v>2372</v>
      </c>
      <c r="E1158" t="s">
        <v>2370</v>
      </c>
      <c r="F1158" t="s">
        <v>2370</v>
      </c>
      <c r="G1158">
        <v>2</v>
      </c>
      <c r="H1158" t="s">
        <v>2370</v>
      </c>
    </row>
    <row r="1159" spans="1:8" x14ac:dyDescent="0.35">
      <c r="A1159" t="s">
        <v>1203</v>
      </c>
      <c r="B1159">
        <v>33.25</v>
      </c>
      <c r="C1159">
        <v>7.42</v>
      </c>
      <c r="D1159" t="s">
        <v>2372</v>
      </c>
      <c r="E1159" t="s">
        <v>2370</v>
      </c>
      <c r="F1159" t="s">
        <v>2370</v>
      </c>
      <c r="G1159">
        <v>2</v>
      </c>
      <c r="H1159" t="s">
        <v>2370</v>
      </c>
    </row>
    <row r="1160" spans="1:8" x14ac:dyDescent="0.35">
      <c r="A1160" t="s">
        <v>1202</v>
      </c>
      <c r="B1160">
        <v>26.6</v>
      </c>
      <c r="C1160">
        <v>8.4499999999999993</v>
      </c>
      <c r="D1160" t="s">
        <v>2372</v>
      </c>
      <c r="E1160" t="s">
        <v>2370</v>
      </c>
      <c r="F1160" t="s">
        <v>2370</v>
      </c>
      <c r="G1160">
        <v>1</v>
      </c>
      <c r="H1160" t="s">
        <v>2370</v>
      </c>
    </row>
    <row r="1161" spans="1:8" x14ac:dyDescent="0.35">
      <c r="A1161" t="s">
        <v>1201</v>
      </c>
      <c r="B1161">
        <v>26.35</v>
      </c>
      <c r="C1161">
        <v>6.21</v>
      </c>
      <c r="D1161" t="s">
        <v>2370</v>
      </c>
      <c r="E1161" t="s">
        <v>2370</v>
      </c>
      <c r="F1161" t="s">
        <v>2370</v>
      </c>
      <c r="G1161">
        <v>2</v>
      </c>
      <c r="H1161" t="s">
        <v>2370</v>
      </c>
    </row>
    <row r="1162" spans="1:8" x14ac:dyDescent="0.35">
      <c r="A1162" t="s">
        <v>1200</v>
      </c>
      <c r="B1162">
        <v>39.994999999999997</v>
      </c>
      <c r="C1162">
        <v>4.6500000000000004</v>
      </c>
      <c r="D1162" t="s">
        <v>2370</v>
      </c>
      <c r="E1162" t="s">
        <v>2370</v>
      </c>
      <c r="F1162" t="s">
        <v>2370</v>
      </c>
      <c r="G1162" t="s">
        <v>2371</v>
      </c>
      <c r="H1162" t="s">
        <v>2370</v>
      </c>
    </row>
    <row r="1163" spans="1:8" x14ac:dyDescent="0.35">
      <c r="A1163" t="s">
        <v>1199</v>
      </c>
      <c r="B1163">
        <v>22.92</v>
      </c>
      <c r="C1163">
        <v>5.87</v>
      </c>
      <c r="D1163" t="s">
        <v>2372</v>
      </c>
      <c r="E1163" t="s">
        <v>2370</v>
      </c>
      <c r="F1163" t="s">
        <v>2370</v>
      </c>
      <c r="G1163">
        <v>1</v>
      </c>
      <c r="H1163" t="s">
        <v>2370</v>
      </c>
    </row>
    <row r="1164" spans="1:8" x14ac:dyDescent="0.35">
      <c r="A1164" t="s">
        <v>1198</v>
      </c>
      <c r="B1164">
        <v>24.78</v>
      </c>
      <c r="C1164">
        <v>4.24</v>
      </c>
      <c r="D1164" t="s">
        <v>2372</v>
      </c>
      <c r="E1164" t="s">
        <v>2370</v>
      </c>
      <c r="F1164" t="s">
        <v>2370</v>
      </c>
      <c r="G1164">
        <v>2</v>
      </c>
      <c r="H1164" t="s">
        <v>2370</v>
      </c>
    </row>
    <row r="1165" spans="1:8" x14ac:dyDescent="0.35">
      <c r="A1165" t="s">
        <v>1197</v>
      </c>
      <c r="B1165">
        <v>34.07</v>
      </c>
      <c r="C1165">
        <v>7.81</v>
      </c>
      <c r="D1165" t="s">
        <v>2372</v>
      </c>
      <c r="E1165" t="s">
        <v>2370</v>
      </c>
      <c r="F1165" t="s">
        <v>2370</v>
      </c>
      <c r="G1165" t="s">
        <v>2371</v>
      </c>
      <c r="H1165" t="s">
        <v>2370</v>
      </c>
    </row>
    <row r="1166" spans="1:8" x14ac:dyDescent="0.35">
      <c r="A1166" t="s">
        <v>1196</v>
      </c>
      <c r="B1166">
        <v>30.14</v>
      </c>
      <c r="C1166">
        <v>9.85</v>
      </c>
      <c r="D1166" t="s">
        <v>2370</v>
      </c>
      <c r="E1166" t="s">
        <v>2370</v>
      </c>
      <c r="F1166" t="s">
        <v>2370</v>
      </c>
      <c r="G1166" t="s">
        <v>2371</v>
      </c>
      <c r="H1166" t="s">
        <v>2370</v>
      </c>
    </row>
    <row r="1167" spans="1:8" x14ac:dyDescent="0.35">
      <c r="A1167" t="s">
        <v>1195</v>
      </c>
      <c r="B1167">
        <v>18.05</v>
      </c>
      <c r="C1167">
        <v>6.94</v>
      </c>
      <c r="D1167" t="s">
        <v>2370</v>
      </c>
      <c r="E1167" t="s">
        <v>2370</v>
      </c>
      <c r="F1167" t="s">
        <v>2370</v>
      </c>
      <c r="G1167" t="s">
        <v>2371</v>
      </c>
      <c r="H1167" t="s">
        <v>2370</v>
      </c>
    </row>
    <row r="1168" spans="1:8" x14ac:dyDescent="0.35">
      <c r="A1168" t="s">
        <v>1194</v>
      </c>
      <c r="B1168">
        <v>37.4</v>
      </c>
      <c r="C1168">
        <v>11.3</v>
      </c>
      <c r="D1168" t="s">
        <v>2372</v>
      </c>
      <c r="E1168" t="s">
        <v>2370</v>
      </c>
      <c r="F1168" t="s">
        <v>2370</v>
      </c>
      <c r="G1168">
        <v>2</v>
      </c>
      <c r="H1168" t="s">
        <v>2370</v>
      </c>
    </row>
    <row r="1169" spans="1:8" x14ac:dyDescent="0.35">
      <c r="A1169" t="s">
        <v>1193</v>
      </c>
      <c r="B1169">
        <v>25.75</v>
      </c>
      <c r="C1169">
        <v>9.23</v>
      </c>
      <c r="D1169" t="s">
        <v>2370</v>
      </c>
      <c r="E1169" t="s">
        <v>2370</v>
      </c>
      <c r="F1169" t="s">
        <v>2370</v>
      </c>
      <c r="G1169" t="s">
        <v>2371</v>
      </c>
      <c r="H1169" t="s">
        <v>2370</v>
      </c>
    </row>
    <row r="1170" spans="1:8" x14ac:dyDescent="0.35">
      <c r="A1170" t="s">
        <v>1192</v>
      </c>
      <c r="B1170">
        <v>32.299999999999997</v>
      </c>
      <c r="C1170">
        <v>4.37</v>
      </c>
      <c r="D1170" t="s">
        <v>2370</v>
      </c>
      <c r="E1170" t="s">
        <v>2370</v>
      </c>
      <c r="F1170" t="s">
        <v>2370</v>
      </c>
      <c r="G1170">
        <v>2</v>
      </c>
      <c r="H1170" t="s">
        <v>2370</v>
      </c>
    </row>
    <row r="1171" spans="1:8" x14ac:dyDescent="0.35">
      <c r="A1171" t="s">
        <v>1191</v>
      </c>
      <c r="B1171">
        <v>28.61</v>
      </c>
      <c r="C1171">
        <v>5.76</v>
      </c>
      <c r="D1171" t="s">
        <v>2370</v>
      </c>
      <c r="E1171" t="s">
        <v>2370</v>
      </c>
      <c r="F1171" t="s">
        <v>2373</v>
      </c>
      <c r="G1171">
        <v>1</v>
      </c>
      <c r="H1171" t="s">
        <v>2370</v>
      </c>
    </row>
    <row r="1172" spans="1:8" x14ac:dyDescent="0.35">
      <c r="A1172" t="s">
        <v>1190</v>
      </c>
      <c r="B1172">
        <v>45.41</v>
      </c>
      <c r="C1172">
        <v>4.96</v>
      </c>
      <c r="D1172" t="s">
        <v>2370</v>
      </c>
      <c r="E1172" t="s">
        <v>2370</v>
      </c>
      <c r="F1172" t="s">
        <v>2370</v>
      </c>
      <c r="G1172">
        <v>1</v>
      </c>
      <c r="H1172" t="s">
        <v>2370</v>
      </c>
    </row>
    <row r="1173" spans="1:8" x14ac:dyDescent="0.35">
      <c r="A1173" t="s">
        <v>1189</v>
      </c>
      <c r="B1173">
        <v>31.2</v>
      </c>
      <c r="C1173">
        <v>11.04</v>
      </c>
      <c r="D1173" t="s">
        <v>2372</v>
      </c>
      <c r="E1173" t="s">
        <v>2370</v>
      </c>
      <c r="F1173" t="s">
        <v>2370</v>
      </c>
      <c r="G1173">
        <v>2</v>
      </c>
      <c r="H1173" t="s">
        <v>2370</v>
      </c>
    </row>
    <row r="1174" spans="1:8" x14ac:dyDescent="0.35">
      <c r="A1174" t="s">
        <v>1188</v>
      </c>
      <c r="B1174">
        <v>29.83</v>
      </c>
      <c r="C1174">
        <v>7.81</v>
      </c>
      <c r="D1174" t="s">
        <v>2372</v>
      </c>
      <c r="E1174" t="s">
        <v>2370</v>
      </c>
      <c r="F1174" t="s">
        <v>2370</v>
      </c>
      <c r="G1174">
        <v>1</v>
      </c>
      <c r="H1174" t="s">
        <v>2370</v>
      </c>
    </row>
    <row r="1175" spans="1:8" x14ac:dyDescent="0.35">
      <c r="A1175" t="s">
        <v>1187</v>
      </c>
      <c r="B1175">
        <v>29.06</v>
      </c>
      <c r="C1175">
        <v>4.55</v>
      </c>
      <c r="D1175" t="s">
        <v>2370</v>
      </c>
      <c r="E1175" t="s">
        <v>2370</v>
      </c>
      <c r="F1175" t="s">
        <v>2370</v>
      </c>
      <c r="G1175" t="s">
        <v>2371</v>
      </c>
      <c r="H1175" t="s">
        <v>2370</v>
      </c>
    </row>
    <row r="1176" spans="1:8" x14ac:dyDescent="0.35">
      <c r="A1176" t="s">
        <v>1186</v>
      </c>
      <c r="B1176">
        <v>27.454999999999998</v>
      </c>
      <c r="C1176">
        <v>6.13</v>
      </c>
      <c r="D1176" t="s">
        <v>2370</v>
      </c>
      <c r="E1176" t="s">
        <v>2370</v>
      </c>
      <c r="F1176" t="s">
        <v>2370</v>
      </c>
      <c r="G1176">
        <v>2</v>
      </c>
      <c r="H1176" t="s">
        <v>2370</v>
      </c>
    </row>
    <row r="1177" spans="1:8" x14ac:dyDescent="0.35">
      <c r="A1177" t="s">
        <v>1185</v>
      </c>
      <c r="B1177">
        <v>23.01</v>
      </c>
      <c r="C1177">
        <v>6.04</v>
      </c>
      <c r="D1177" t="s">
        <v>2372</v>
      </c>
      <c r="E1177" t="s">
        <v>2370</v>
      </c>
      <c r="F1177" t="s">
        <v>2370</v>
      </c>
      <c r="G1177">
        <v>1</v>
      </c>
      <c r="H1177" t="s">
        <v>2370</v>
      </c>
    </row>
    <row r="1178" spans="1:8" x14ac:dyDescent="0.35">
      <c r="A1178" t="s">
        <v>1184</v>
      </c>
      <c r="B1178">
        <v>31.39</v>
      </c>
      <c r="C1178">
        <v>8.85</v>
      </c>
      <c r="D1178" t="s">
        <v>2372</v>
      </c>
      <c r="E1178" t="s">
        <v>2370</v>
      </c>
      <c r="F1178" t="s">
        <v>2370</v>
      </c>
      <c r="G1178" t="s">
        <v>2371</v>
      </c>
      <c r="H1178" t="s">
        <v>2370</v>
      </c>
    </row>
    <row r="1179" spans="1:8" x14ac:dyDescent="0.35">
      <c r="A1179" t="s">
        <v>1183</v>
      </c>
      <c r="B1179">
        <v>34.770000000000003</v>
      </c>
      <c r="C1179">
        <v>10.54</v>
      </c>
      <c r="D1179" t="s">
        <v>2370</v>
      </c>
      <c r="E1179" t="s">
        <v>2370</v>
      </c>
      <c r="F1179" t="s">
        <v>2370</v>
      </c>
      <c r="G1179">
        <v>2</v>
      </c>
      <c r="H1179" t="s">
        <v>2370</v>
      </c>
    </row>
    <row r="1180" spans="1:8" x14ac:dyDescent="0.35">
      <c r="A1180" t="s">
        <v>1182</v>
      </c>
      <c r="B1180">
        <v>24.48</v>
      </c>
      <c r="C1180">
        <v>4.37</v>
      </c>
      <c r="D1180" t="s">
        <v>2372</v>
      </c>
      <c r="E1180" t="s">
        <v>2370</v>
      </c>
      <c r="F1180" t="s">
        <v>2370</v>
      </c>
      <c r="G1180">
        <v>2</v>
      </c>
      <c r="H1180" t="s">
        <v>2370</v>
      </c>
    </row>
    <row r="1181" spans="1:8" x14ac:dyDescent="0.35">
      <c r="A1181" t="s">
        <v>1181</v>
      </c>
      <c r="B1181">
        <v>22.61</v>
      </c>
      <c r="C1181">
        <v>9.6300000000000008</v>
      </c>
      <c r="D1181" t="s">
        <v>2370</v>
      </c>
      <c r="E1181" t="s">
        <v>2370</v>
      </c>
      <c r="F1181" t="s">
        <v>2370</v>
      </c>
      <c r="G1181">
        <v>2</v>
      </c>
      <c r="H1181" t="s">
        <v>2370</v>
      </c>
    </row>
    <row r="1182" spans="1:8" x14ac:dyDescent="0.35">
      <c r="A1182" t="s">
        <v>1180</v>
      </c>
      <c r="B1182">
        <v>34.299999999999997</v>
      </c>
      <c r="C1182">
        <v>10.37</v>
      </c>
      <c r="D1182" t="s">
        <v>2370</v>
      </c>
      <c r="E1182" t="s">
        <v>2370</v>
      </c>
      <c r="F1182" t="s">
        <v>2370</v>
      </c>
      <c r="G1182" t="s">
        <v>2371</v>
      </c>
      <c r="H1182" t="s">
        <v>2370</v>
      </c>
    </row>
    <row r="1183" spans="1:8" x14ac:dyDescent="0.35">
      <c r="A1183" t="s">
        <v>1179</v>
      </c>
      <c r="B1183">
        <v>46.09</v>
      </c>
      <c r="C1183">
        <v>5.44</v>
      </c>
      <c r="D1183" t="s">
        <v>2370</v>
      </c>
      <c r="E1183" t="s">
        <v>2370</v>
      </c>
      <c r="F1183" t="s">
        <v>2370</v>
      </c>
      <c r="G1183">
        <v>2</v>
      </c>
      <c r="H1183" t="s">
        <v>2370</v>
      </c>
    </row>
    <row r="1184" spans="1:8" x14ac:dyDescent="0.35">
      <c r="A1184" t="s">
        <v>1178</v>
      </c>
      <c r="B1184">
        <v>44.744999999999997</v>
      </c>
      <c r="C1184">
        <v>5.19</v>
      </c>
      <c r="D1184" t="s">
        <v>2370</v>
      </c>
      <c r="E1184" t="s">
        <v>2370</v>
      </c>
      <c r="F1184" t="s">
        <v>2370</v>
      </c>
      <c r="G1184">
        <v>2</v>
      </c>
      <c r="H1184" t="s">
        <v>2370</v>
      </c>
    </row>
    <row r="1185" spans="1:8" x14ac:dyDescent="0.35">
      <c r="A1185" t="s">
        <v>1177</v>
      </c>
      <c r="B1185">
        <v>26.33</v>
      </c>
      <c r="C1185">
        <v>11.8</v>
      </c>
      <c r="D1185" t="s">
        <v>2372</v>
      </c>
      <c r="E1185" t="s">
        <v>2370</v>
      </c>
      <c r="F1185" t="s">
        <v>2370</v>
      </c>
      <c r="G1185">
        <v>1</v>
      </c>
      <c r="H1185" t="s">
        <v>2370</v>
      </c>
    </row>
    <row r="1186" spans="1:8" x14ac:dyDescent="0.35">
      <c r="A1186" t="s">
        <v>1176</v>
      </c>
      <c r="B1186">
        <v>26.6</v>
      </c>
      <c r="C1186">
        <v>8.3800000000000008</v>
      </c>
      <c r="D1186" t="s">
        <v>2370</v>
      </c>
      <c r="E1186" t="s">
        <v>2370</v>
      </c>
      <c r="F1186" t="s">
        <v>2370</v>
      </c>
      <c r="G1186">
        <v>2</v>
      </c>
      <c r="H1186" t="s">
        <v>2370</v>
      </c>
    </row>
    <row r="1187" spans="1:8" x14ac:dyDescent="0.35">
      <c r="A1187" t="s">
        <v>1175</v>
      </c>
      <c r="B1187">
        <v>27.5</v>
      </c>
      <c r="C1187">
        <v>7.58</v>
      </c>
      <c r="D1187" t="s">
        <v>2370</v>
      </c>
      <c r="E1187" t="s">
        <v>2370</v>
      </c>
      <c r="F1187" t="s">
        <v>2370</v>
      </c>
      <c r="G1187" t="s">
        <v>2371</v>
      </c>
      <c r="H1187" t="s">
        <v>2370</v>
      </c>
    </row>
    <row r="1188" spans="1:8" x14ac:dyDescent="0.35">
      <c r="A1188" t="s">
        <v>1174</v>
      </c>
      <c r="B1188">
        <v>41.55</v>
      </c>
      <c r="C1188">
        <v>4.6100000000000003</v>
      </c>
      <c r="D1188" t="s">
        <v>2370</v>
      </c>
      <c r="E1188" t="s">
        <v>2370</v>
      </c>
      <c r="F1188" t="s">
        <v>2370</v>
      </c>
      <c r="G1188">
        <v>1</v>
      </c>
      <c r="H1188" t="s">
        <v>2370</v>
      </c>
    </row>
    <row r="1189" spans="1:8" x14ac:dyDescent="0.35">
      <c r="A1189" t="s">
        <v>1173</v>
      </c>
      <c r="B1189">
        <v>41.47</v>
      </c>
      <c r="C1189">
        <v>4.7</v>
      </c>
      <c r="D1189" t="s">
        <v>2372</v>
      </c>
      <c r="E1189" t="s">
        <v>2370</v>
      </c>
      <c r="F1189" t="s">
        <v>2373</v>
      </c>
      <c r="G1189">
        <v>1</v>
      </c>
      <c r="H1189" t="s">
        <v>2370</v>
      </c>
    </row>
    <row r="1190" spans="1:8" x14ac:dyDescent="0.35">
      <c r="A1190" t="s">
        <v>1172</v>
      </c>
      <c r="B1190">
        <v>24.795000000000002</v>
      </c>
      <c r="C1190">
        <v>6.05</v>
      </c>
      <c r="D1190" t="s">
        <v>2372</v>
      </c>
      <c r="E1190" t="s">
        <v>2370</v>
      </c>
      <c r="F1190" t="s">
        <v>2370</v>
      </c>
      <c r="G1190" t="s">
        <v>2371</v>
      </c>
      <c r="H1190" t="s">
        <v>2370</v>
      </c>
    </row>
    <row r="1191" spans="1:8" x14ac:dyDescent="0.35">
      <c r="A1191" t="s">
        <v>1171</v>
      </c>
      <c r="B1191">
        <v>29.48</v>
      </c>
      <c r="C1191">
        <v>5.63</v>
      </c>
      <c r="D1191" t="s">
        <v>2372</v>
      </c>
      <c r="E1191" t="s">
        <v>2370</v>
      </c>
      <c r="F1191" t="s">
        <v>2373</v>
      </c>
      <c r="G1191">
        <v>1</v>
      </c>
      <c r="H1191" t="s">
        <v>2370</v>
      </c>
    </row>
    <row r="1192" spans="1:8" x14ac:dyDescent="0.35">
      <c r="A1192" t="s">
        <v>1170</v>
      </c>
      <c r="B1192">
        <v>28.09</v>
      </c>
      <c r="C1192">
        <v>6.06</v>
      </c>
      <c r="D1192" t="s">
        <v>2370</v>
      </c>
      <c r="E1192" t="s">
        <v>2370</v>
      </c>
      <c r="F1192" t="s">
        <v>2373</v>
      </c>
      <c r="G1192">
        <v>1</v>
      </c>
      <c r="H1192" t="s">
        <v>2370</v>
      </c>
    </row>
    <row r="1193" spans="1:8" x14ac:dyDescent="0.35">
      <c r="A1193" t="s">
        <v>1169</v>
      </c>
      <c r="B1193">
        <v>32.729999999999997</v>
      </c>
      <c r="C1193">
        <v>5.19</v>
      </c>
      <c r="D1193" t="s">
        <v>2370</v>
      </c>
      <c r="E1193" t="s">
        <v>2370</v>
      </c>
      <c r="F1193" t="s">
        <v>2370</v>
      </c>
      <c r="G1193">
        <v>1</v>
      </c>
      <c r="H1193" t="s">
        <v>2370</v>
      </c>
    </row>
    <row r="1194" spans="1:8" x14ac:dyDescent="0.35">
      <c r="A1194" t="s">
        <v>1168</v>
      </c>
      <c r="B1194">
        <v>27.36</v>
      </c>
      <c r="C1194">
        <v>8.9600000000000009</v>
      </c>
      <c r="D1194" t="s">
        <v>2370</v>
      </c>
      <c r="E1194" t="s">
        <v>2370</v>
      </c>
      <c r="F1194" t="s">
        <v>2370</v>
      </c>
      <c r="G1194" t="s">
        <v>2371</v>
      </c>
      <c r="H1194" t="s">
        <v>2370</v>
      </c>
    </row>
    <row r="1195" spans="1:8" x14ac:dyDescent="0.35">
      <c r="A1195" t="s">
        <v>1167</v>
      </c>
      <c r="B1195">
        <v>27.265000000000001</v>
      </c>
      <c r="C1195">
        <v>11.39</v>
      </c>
      <c r="D1195" t="s">
        <v>2370</v>
      </c>
      <c r="E1195" t="s">
        <v>2370</v>
      </c>
      <c r="F1195" t="s">
        <v>2370</v>
      </c>
      <c r="G1195" t="s">
        <v>2371</v>
      </c>
      <c r="H1195" t="s">
        <v>2370</v>
      </c>
    </row>
    <row r="1196" spans="1:8" x14ac:dyDescent="0.35">
      <c r="A1196" t="s">
        <v>1166</v>
      </c>
      <c r="B1196">
        <v>48.07</v>
      </c>
      <c r="C1196">
        <v>4.0599999999999996</v>
      </c>
      <c r="D1196" t="s">
        <v>2372</v>
      </c>
      <c r="E1196" t="s">
        <v>2370</v>
      </c>
      <c r="F1196" t="s">
        <v>2370</v>
      </c>
      <c r="G1196" t="s">
        <v>2371</v>
      </c>
      <c r="H1196" t="s">
        <v>2370</v>
      </c>
    </row>
    <row r="1197" spans="1:8" x14ac:dyDescent="0.35">
      <c r="A1197" t="s">
        <v>1165</v>
      </c>
      <c r="B1197">
        <v>30.8</v>
      </c>
      <c r="C1197">
        <v>5.23</v>
      </c>
      <c r="D1197" t="s">
        <v>2372</v>
      </c>
      <c r="E1197" t="s">
        <v>2370</v>
      </c>
      <c r="F1197" t="s">
        <v>2370</v>
      </c>
      <c r="G1197" t="s">
        <v>2371</v>
      </c>
      <c r="H1197" t="s">
        <v>2370</v>
      </c>
    </row>
    <row r="1198" spans="1:8" x14ac:dyDescent="0.35">
      <c r="A1198" t="s">
        <v>1164</v>
      </c>
      <c r="B1198">
        <v>32.299999999999997</v>
      </c>
      <c r="C1198">
        <v>5.05</v>
      </c>
      <c r="D1198" t="s">
        <v>2372</v>
      </c>
      <c r="E1198" t="s">
        <v>2370</v>
      </c>
      <c r="F1198" t="s">
        <v>2370</v>
      </c>
      <c r="G1198" t="s">
        <v>2371</v>
      </c>
      <c r="H1198" t="s">
        <v>2370</v>
      </c>
    </row>
    <row r="1199" spans="1:8" x14ac:dyDescent="0.35">
      <c r="A1199" t="s">
        <v>1163</v>
      </c>
      <c r="B1199">
        <v>39.700000000000003</v>
      </c>
      <c r="C1199">
        <v>7.34</v>
      </c>
      <c r="D1199" t="s">
        <v>2370</v>
      </c>
      <c r="E1199" t="s">
        <v>2370</v>
      </c>
      <c r="F1199" t="s">
        <v>2370</v>
      </c>
      <c r="G1199" t="s">
        <v>2371</v>
      </c>
      <c r="H1199" t="s">
        <v>2370</v>
      </c>
    </row>
    <row r="1200" spans="1:8" x14ac:dyDescent="0.35">
      <c r="A1200" t="s">
        <v>1162</v>
      </c>
      <c r="B1200">
        <v>35.97</v>
      </c>
      <c r="C1200">
        <v>8.1300000000000008</v>
      </c>
      <c r="D1200" t="s">
        <v>2370</v>
      </c>
      <c r="E1200" t="s">
        <v>2370</v>
      </c>
      <c r="F1200" t="s">
        <v>2370</v>
      </c>
      <c r="G1200" t="s">
        <v>2371</v>
      </c>
      <c r="H1200" t="s">
        <v>2370</v>
      </c>
    </row>
    <row r="1201" spans="1:8" x14ac:dyDescent="0.35">
      <c r="A1201" t="s">
        <v>1161</v>
      </c>
      <c r="B1201">
        <v>25.86</v>
      </c>
      <c r="C1201">
        <v>6.68</v>
      </c>
      <c r="D1201" t="s">
        <v>2372</v>
      </c>
      <c r="E1201" t="s">
        <v>2370</v>
      </c>
      <c r="F1201" t="s">
        <v>2370</v>
      </c>
      <c r="G1201">
        <v>1</v>
      </c>
      <c r="H1201" t="s">
        <v>2370</v>
      </c>
    </row>
    <row r="1202" spans="1:8" x14ac:dyDescent="0.35">
      <c r="A1202" t="s">
        <v>1160</v>
      </c>
      <c r="B1202">
        <v>30.03</v>
      </c>
      <c r="C1202">
        <v>11.51</v>
      </c>
      <c r="D1202" t="s">
        <v>2370</v>
      </c>
      <c r="E1202" t="s">
        <v>2370</v>
      </c>
      <c r="F1202" t="s">
        <v>2370</v>
      </c>
      <c r="G1202" t="s">
        <v>2371</v>
      </c>
      <c r="H1202" t="s">
        <v>2370</v>
      </c>
    </row>
    <row r="1203" spans="1:8" x14ac:dyDescent="0.35">
      <c r="A1203" t="s">
        <v>1159</v>
      </c>
      <c r="B1203">
        <v>25.76</v>
      </c>
      <c r="C1203">
        <v>6.02</v>
      </c>
      <c r="D1203" t="s">
        <v>2372</v>
      </c>
      <c r="E1203" t="s">
        <v>2370</v>
      </c>
      <c r="F1203" t="s">
        <v>2373</v>
      </c>
      <c r="G1203">
        <v>1</v>
      </c>
      <c r="H1203" t="s">
        <v>2370</v>
      </c>
    </row>
    <row r="1204" spans="1:8" x14ac:dyDescent="0.35">
      <c r="A1204" t="s">
        <v>1158</v>
      </c>
      <c r="B1204">
        <v>22.42</v>
      </c>
      <c r="C1204">
        <v>7.96</v>
      </c>
      <c r="D1204" t="s">
        <v>2370</v>
      </c>
      <c r="E1204" t="s">
        <v>2370</v>
      </c>
      <c r="F1204" t="s">
        <v>2370</v>
      </c>
      <c r="G1204" t="s">
        <v>2371</v>
      </c>
      <c r="H1204" t="s">
        <v>2370</v>
      </c>
    </row>
    <row r="1205" spans="1:8" x14ac:dyDescent="0.35">
      <c r="A1205" t="s">
        <v>1157</v>
      </c>
      <c r="B1205">
        <v>33.18</v>
      </c>
      <c r="C1205">
        <v>6.01</v>
      </c>
      <c r="D1205" t="s">
        <v>2372</v>
      </c>
      <c r="E1205" t="s">
        <v>2370</v>
      </c>
      <c r="F1205" t="s">
        <v>2370</v>
      </c>
      <c r="G1205">
        <v>1</v>
      </c>
      <c r="H1205" t="s">
        <v>2370</v>
      </c>
    </row>
    <row r="1206" spans="1:8" x14ac:dyDescent="0.35">
      <c r="A1206" t="s">
        <v>1156</v>
      </c>
      <c r="B1206">
        <v>43.04</v>
      </c>
      <c r="C1206">
        <v>5.9</v>
      </c>
      <c r="D1206" t="s">
        <v>2372</v>
      </c>
      <c r="E1206" t="s">
        <v>2370</v>
      </c>
      <c r="F1206" t="s">
        <v>2370</v>
      </c>
      <c r="G1206" t="s">
        <v>2371</v>
      </c>
      <c r="H1206" t="s">
        <v>2370</v>
      </c>
    </row>
    <row r="1207" spans="1:8" x14ac:dyDescent="0.35">
      <c r="A1207" t="s">
        <v>1155</v>
      </c>
      <c r="B1207">
        <v>34.15</v>
      </c>
      <c r="C1207">
        <v>4.49</v>
      </c>
      <c r="D1207" t="s">
        <v>2372</v>
      </c>
      <c r="E1207" t="s">
        <v>2370</v>
      </c>
      <c r="F1207" t="s">
        <v>2370</v>
      </c>
      <c r="G1207">
        <v>1</v>
      </c>
      <c r="H1207" t="s">
        <v>2370</v>
      </c>
    </row>
    <row r="1208" spans="1:8" x14ac:dyDescent="0.35">
      <c r="A1208" t="s">
        <v>1154</v>
      </c>
      <c r="B1208">
        <v>25.78</v>
      </c>
      <c r="C1208">
        <v>6.25</v>
      </c>
      <c r="D1208" t="s">
        <v>2370</v>
      </c>
      <c r="E1208" t="s">
        <v>2370</v>
      </c>
      <c r="F1208" t="s">
        <v>2370</v>
      </c>
      <c r="G1208" t="s">
        <v>2371</v>
      </c>
      <c r="H1208" t="s">
        <v>2370</v>
      </c>
    </row>
    <row r="1209" spans="1:8" x14ac:dyDescent="0.35">
      <c r="A1209" t="s">
        <v>1153</v>
      </c>
      <c r="B1209">
        <v>21.02</v>
      </c>
      <c r="C1209">
        <v>9.6199999999999992</v>
      </c>
      <c r="D1209" t="s">
        <v>2372</v>
      </c>
      <c r="E1209" t="s">
        <v>2370</v>
      </c>
      <c r="F1209" t="s">
        <v>2373</v>
      </c>
      <c r="G1209">
        <v>1</v>
      </c>
      <c r="H1209" t="s">
        <v>2370</v>
      </c>
    </row>
    <row r="1210" spans="1:8" x14ac:dyDescent="0.35">
      <c r="A1210" t="s">
        <v>1152</v>
      </c>
      <c r="B1210">
        <v>37.51</v>
      </c>
      <c r="C1210">
        <v>11.06</v>
      </c>
      <c r="D1210" t="s">
        <v>2370</v>
      </c>
      <c r="E1210" t="s">
        <v>2370</v>
      </c>
      <c r="F1210" t="s">
        <v>2370</v>
      </c>
      <c r="G1210">
        <v>2</v>
      </c>
      <c r="H1210" t="s">
        <v>2370</v>
      </c>
    </row>
    <row r="1211" spans="1:8" x14ac:dyDescent="0.35">
      <c r="A1211" t="s">
        <v>1151</v>
      </c>
      <c r="B1211">
        <v>25.745000000000001</v>
      </c>
      <c r="C1211">
        <v>6.11</v>
      </c>
      <c r="D1211" t="s">
        <v>2372</v>
      </c>
      <c r="E1211" t="s">
        <v>2370</v>
      </c>
      <c r="F1211" t="s">
        <v>2370</v>
      </c>
      <c r="G1211" t="s">
        <v>2371</v>
      </c>
      <c r="H1211" t="s">
        <v>2370</v>
      </c>
    </row>
    <row r="1212" spans="1:8" x14ac:dyDescent="0.35">
      <c r="A1212" t="s">
        <v>1150</v>
      </c>
      <c r="B1212">
        <v>31.35</v>
      </c>
      <c r="C1212">
        <v>11.49</v>
      </c>
      <c r="D1212" t="s">
        <v>2370</v>
      </c>
      <c r="E1212" t="s">
        <v>2370</v>
      </c>
      <c r="F1212" t="s">
        <v>2370</v>
      </c>
      <c r="G1212">
        <v>2</v>
      </c>
      <c r="H1212" t="s">
        <v>2370</v>
      </c>
    </row>
    <row r="1213" spans="1:8" x14ac:dyDescent="0.35">
      <c r="A1213" t="s">
        <v>1149</v>
      </c>
      <c r="B1213">
        <v>29.83</v>
      </c>
      <c r="C1213">
        <v>8.68</v>
      </c>
      <c r="D1213" t="s">
        <v>2370</v>
      </c>
      <c r="E1213" t="s">
        <v>2370</v>
      </c>
      <c r="F1213" t="s">
        <v>2370</v>
      </c>
      <c r="G1213">
        <v>2</v>
      </c>
      <c r="H1213" t="s">
        <v>2370</v>
      </c>
    </row>
    <row r="1214" spans="1:8" x14ac:dyDescent="0.35">
      <c r="A1214" t="s">
        <v>1148</v>
      </c>
      <c r="B1214">
        <v>25.49</v>
      </c>
      <c r="C1214">
        <v>5.68</v>
      </c>
      <c r="D1214" t="s">
        <v>2372</v>
      </c>
      <c r="E1214" t="s">
        <v>2370</v>
      </c>
      <c r="F1214" t="s">
        <v>2373</v>
      </c>
      <c r="G1214">
        <v>1</v>
      </c>
      <c r="H1214" t="s">
        <v>2370</v>
      </c>
    </row>
    <row r="1215" spans="1:8" x14ac:dyDescent="0.35">
      <c r="A1215" t="s">
        <v>1147</v>
      </c>
      <c r="B1215">
        <v>34.1</v>
      </c>
      <c r="C1215">
        <v>8.4499999999999993</v>
      </c>
      <c r="D1215" t="s">
        <v>2370</v>
      </c>
      <c r="E1215" t="s">
        <v>2370</v>
      </c>
      <c r="F1215" t="s">
        <v>2370</v>
      </c>
      <c r="G1215" t="s">
        <v>2371</v>
      </c>
      <c r="H1215" t="s">
        <v>2370</v>
      </c>
    </row>
    <row r="1216" spans="1:8" x14ac:dyDescent="0.35">
      <c r="A1216" t="s">
        <v>1146</v>
      </c>
      <c r="B1216">
        <v>25.84</v>
      </c>
      <c r="C1216">
        <v>8.51</v>
      </c>
      <c r="D1216" t="s">
        <v>2370</v>
      </c>
      <c r="E1216" t="s">
        <v>2370</v>
      </c>
      <c r="F1216" t="s">
        <v>2370</v>
      </c>
      <c r="G1216">
        <v>2</v>
      </c>
      <c r="H1216" t="s">
        <v>2370</v>
      </c>
    </row>
    <row r="1217" spans="1:8" x14ac:dyDescent="0.35">
      <c r="A1217" t="s">
        <v>1145</v>
      </c>
      <c r="B1217">
        <v>20.6</v>
      </c>
      <c r="C1217">
        <v>7.62</v>
      </c>
      <c r="D1217" t="s">
        <v>2370</v>
      </c>
      <c r="E1217" t="s">
        <v>2370</v>
      </c>
      <c r="F1217" t="s">
        <v>2370</v>
      </c>
      <c r="G1217" t="s">
        <v>2371</v>
      </c>
      <c r="H1217" t="s">
        <v>2370</v>
      </c>
    </row>
    <row r="1218" spans="1:8" x14ac:dyDescent="0.35">
      <c r="A1218" t="s">
        <v>1144</v>
      </c>
      <c r="B1218">
        <v>28.88</v>
      </c>
      <c r="C1218">
        <v>10.18</v>
      </c>
      <c r="D1218" t="s">
        <v>2370</v>
      </c>
      <c r="E1218" t="s">
        <v>2370</v>
      </c>
      <c r="F1218" t="s">
        <v>2370</v>
      </c>
      <c r="G1218" t="s">
        <v>2371</v>
      </c>
      <c r="H1218" t="s">
        <v>2370</v>
      </c>
    </row>
    <row r="1219" spans="1:8" x14ac:dyDescent="0.35">
      <c r="A1219" t="s">
        <v>1143</v>
      </c>
      <c r="B1219">
        <v>28.24</v>
      </c>
      <c r="C1219">
        <v>5.36</v>
      </c>
      <c r="D1219" t="s">
        <v>2370</v>
      </c>
      <c r="E1219" t="s">
        <v>2370</v>
      </c>
      <c r="F1219" t="s">
        <v>2370</v>
      </c>
      <c r="G1219" t="s">
        <v>2371</v>
      </c>
      <c r="H1219" t="s">
        <v>2370</v>
      </c>
    </row>
    <row r="1220" spans="1:8" x14ac:dyDescent="0.35">
      <c r="A1220" t="s">
        <v>1142</v>
      </c>
      <c r="B1220">
        <v>25.46</v>
      </c>
      <c r="C1220">
        <v>11.78</v>
      </c>
      <c r="D1220" t="s">
        <v>2372</v>
      </c>
      <c r="E1220" t="s">
        <v>2370</v>
      </c>
      <c r="F1220" t="s">
        <v>2370</v>
      </c>
      <c r="G1220">
        <v>1</v>
      </c>
      <c r="H1220" t="s">
        <v>2370</v>
      </c>
    </row>
    <row r="1221" spans="1:8" x14ac:dyDescent="0.35">
      <c r="A1221" t="s">
        <v>1141</v>
      </c>
      <c r="B1221">
        <v>29.64</v>
      </c>
      <c r="C1221">
        <v>10.82</v>
      </c>
      <c r="D1221" t="s">
        <v>2372</v>
      </c>
      <c r="E1221" t="s">
        <v>2370</v>
      </c>
      <c r="F1221" t="s">
        <v>2370</v>
      </c>
      <c r="G1221" t="s">
        <v>2371</v>
      </c>
      <c r="H1221" t="s">
        <v>2370</v>
      </c>
    </row>
    <row r="1222" spans="1:8" x14ac:dyDescent="0.35">
      <c r="A1222" t="s">
        <v>1140</v>
      </c>
      <c r="B1222">
        <v>31.27</v>
      </c>
      <c r="C1222">
        <v>7.73</v>
      </c>
      <c r="D1222" t="s">
        <v>2372</v>
      </c>
      <c r="E1222" t="s">
        <v>2370</v>
      </c>
      <c r="F1222" t="s">
        <v>2370</v>
      </c>
      <c r="G1222">
        <v>1</v>
      </c>
      <c r="H1222" t="s">
        <v>2370</v>
      </c>
    </row>
    <row r="1223" spans="1:8" x14ac:dyDescent="0.35">
      <c r="A1223" t="s">
        <v>1139</v>
      </c>
      <c r="B1223">
        <v>19.95</v>
      </c>
      <c r="C1223">
        <v>6.24</v>
      </c>
      <c r="D1223" t="s">
        <v>2372</v>
      </c>
      <c r="E1223" t="s">
        <v>2370</v>
      </c>
      <c r="F1223" t="s">
        <v>2370</v>
      </c>
      <c r="G1223" t="s">
        <v>2371</v>
      </c>
      <c r="H1223" t="s">
        <v>2370</v>
      </c>
    </row>
    <row r="1224" spans="1:8" x14ac:dyDescent="0.35">
      <c r="A1224" t="s">
        <v>1138</v>
      </c>
      <c r="B1224">
        <v>21.3</v>
      </c>
      <c r="C1224">
        <v>10.42</v>
      </c>
      <c r="D1224" t="s">
        <v>2370</v>
      </c>
      <c r="E1224" t="s">
        <v>2370</v>
      </c>
      <c r="F1224" t="s">
        <v>2370</v>
      </c>
      <c r="G1224">
        <v>2</v>
      </c>
      <c r="H1224" t="s">
        <v>2370</v>
      </c>
    </row>
    <row r="1225" spans="1:8" x14ac:dyDescent="0.35">
      <c r="A1225" t="s">
        <v>1137</v>
      </c>
      <c r="B1225">
        <v>31.635000000000002</v>
      </c>
      <c r="C1225">
        <v>11.11</v>
      </c>
      <c r="D1225" t="s">
        <v>2370</v>
      </c>
      <c r="E1225" t="s">
        <v>2370</v>
      </c>
      <c r="F1225" t="s">
        <v>2370</v>
      </c>
      <c r="G1225" t="s">
        <v>2371</v>
      </c>
      <c r="H1225" t="s">
        <v>2370</v>
      </c>
    </row>
    <row r="1226" spans="1:8" x14ac:dyDescent="0.35">
      <c r="A1226" t="s">
        <v>1136</v>
      </c>
      <c r="B1226">
        <v>23.9</v>
      </c>
      <c r="C1226">
        <v>7.67</v>
      </c>
      <c r="D1226" t="s">
        <v>2372</v>
      </c>
      <c r="E1226" t="s">
        <v>2370</v>
      </c>
      <c r="F1226" t="s">
        <v>2370</v>
      </c>
      <c r="G1226">
        <v>2</v>
      </c>
      <c r="H1226" t="s">
        <v>2370</v>
      </c>
    </row>
    <row r="1227" spans="1:8" x14ac:dyDescent="0.35">
      <c r="A1227" t="s">
        <v>1135</v>
      </c>
      <c r="B1227">
        <v>34.15</v>
      </c>
      <c r="C1227">
        <v>6.15</v>
      </c>
      <c r="D1227" t="s">
        <v>2370</v>
      </c>
      <c r="E1227" t="s">
        <v>2370</v>
      </c>
      <c r="F1227" t="s">
        <v>2370</v>
      </c>
      <c r="G1227" t="s">
        <v>2371</v>
      </c>
      <c r="H1227" t="s">
        <v>2370</v>
      </c>
    </row>
    <row r="1228" spans="1:8" x14ac:dyDescent="0.35">
      <c r="A1228" t="s">
        <v>1134</v>
      </c>
      <c r="B1228">
        <v>28.71</v>
      </c>
      <c r="C1228">
        <v>5.71</v>
      </c>
      <c r="D1228" t="s">
        <v>2370</v>
      </c>
      <c r="E1228" t="s">
        <v>2370</v>
      </c>
      <c r="F1228" t="s">
        <v>2370</v>
      </c>
      <c r="G1228" t="s">
        <v>2371</v>
      </c>
      <c r="H1228" t="s">
        <v>2370</v>
      </c>
    </row>
    <row r="1229" spans="1:8" x14ac:dyDescent="0.35">
      <c r="A1229" t="s">
        <v>1133</v>
      </c>
      <c r="B1229">
        <v>36.700000000000003</v>
      </c>
      <c r="C1229">
        <v>8.6999999999999993</v>
      </c>
      <c r="D1229" t="s">
        <v>2372</v>
      </c>
      <c r="E1229" t="s">
        <v>2370</v>
      </c>
      <c r="F1229" t="s">
        <v>2370</v>
      </c>
      <c r="G1229">
        <v>2</v>
      </c>
      <c r="H1229" t="s">
        <v>2370</v>
      </c>
    </row>
    <row r="1230" spans="1:8" x14ac:dyDescent="0.35">
      <c r="A1230" t="s">
        <v>1132</v>
      </c>
      <c r="B1230">
        <v>34.1</v>
      </c>
      <c r="C1230">
        <v>9.0399999999999991</v>
      </c>
      <c r="D1230" t="s">
        <v>2372</v>
      </c>
      <c r="E1230" t="s">
        <v>2370</v>
      </c>
      <c r="F1230" t="s">
        <v>2370</v>
      </c>
      <c r="G1230">
        <v>2</v>
      </c>
      <c r="H1230" t="s">
        <v>2370</v>
      </c>
    </row>
    <row r="1231" spans="1:8" x14ac:dyDescent="0.35">
      <c r="A1231" t="s">
        <v>1131</v>
      </c>
      <c r="B1231">
        <v>25.7</v>
      </c>
      <c r="C1231">
        <v>5.61</v>
      </c>
      <c r="D1231" t="s">
        <v>2370</v>
      </c>
      <c r="E1231" t="s">
        <v>2370</v>
      </c>
      <c r="F1231" t="s">
        <v>2370</v>
      </c>
      <c r="G1231" t="s">
        <v>2371</v>
      </c>
      <c r="H1231" t="s">
        <v>2370</v>
      </c>
    </row>
    <row r="1232" spans="1:8" x14ac:dyDescent="0.35">
      <c r="A1232" t="s">
        <v>1130</v>
      </c>
      <c r="B1232">
        <v>21.68</v>
      </c>
      <c r="C1232">
        <v>8.1199999999999992</v>
      </c>
      <c r="D1232" t="s">
        <v>2370</v>
      </c>
      <c r="E1232" t="s">
        <v>2370</v>
      </c>
      <c r="F1232" t="s">
        <v>2370</v>
      </c>
      <c r="G1232" t="s">
        <v>2371</v>
      </c>
      <c r="H1232" t="s">
        <v>2370</v>
      </c>
    </row>
    <row r="1233" spans="1:8" x14ac:dyDescent="0.35">
      <c r="A1233" t="s">
        <v>1129</v>
      </c>
      <c r="B1233">
        <v>25.175000000000001</v>
      </c>
      <c r="C1233">
        <v>4.74</v>
      </c>
      <c r="D1233" t="s">
        <v>2370</v>
      </c>
      <c r="E1233" t="s">
        <v>2370</v>
      </c>
      <c r="F1233" t="s">
        <v>2370</v>
      </c>
      <c r="G1233" t="s">
        <v>2371</v>
      </c>
      <c r="H1233" t="s">
        <v>2370</v>
      </c>
    </row>
    <row r="1234" spans="1:8" x14ac:dyDescent="0.35">
      <c r="A1234" t="s">
        <v>1128</v>
      </c>
      <c r="B1234">
        <v>44.77</v>
      </c>
      <c r="C1234">
        <v>4.0599999999999996</v>
      </c>
      <c r="D1234" t="s">
        <v>2370</v>
      </c>
      <c r="E1234" t="s">
        <v>2370</v>
      </c>
      <c r="F1234" t="s">
        <v>2370</v>
      </c>
      <c r="G1234">
        <v>2</v>
      </c>
      <c r="H1234" t="s">
        <v>2370</v>
      </c>
    </row>
    <row r="1235" spans="1:8" x14ac:dyDescent="0.35">
      <c r="A1235" t="s">
        <v>1127</v>
      </c>
      <c r="B1235">
        <v>37.07</v>
      </c>
      <c r="C1235">
        <v>5.69</v>
      </c>
      <c r="D1235" t="s">
        <v>2370</v>
      </c>
      <c r="E1235" t="s">
        <v>2370</v>
      </c>
      <c r="F1235" t="s">
        <v>2370</v>
      </c>
      <c r="G1235">
        <v>2</v>
      </c>
      <c r="H1235" t="s">
        <v>2370</v>
      </c>
    </row>
    <row r="1236" spans="1:8" x14ac:dyDescent="0.35">
      <c r="A1236" t="s">
        <v>1126</v>
      </c>
      <c r="B1236">
        <v>39.799999999999997</v>
      </c>
      <c r="C1236">
        <v>5.66</v>
      </c>
      <c r="D1236" t="s">
        <v>2370</v>
      </c>
      <c r="E1236" t="s">
        <v>2370</v>
      </c>
      <c r="F1236" t="s">
        <v>2373</v>
      </c>
      <c r="G1236">
        <v>1</v>
      </c>
      <c r="H1236" t="s">
        <v>2370</v>
      </c>
    </row>
    <row r="1237" spans="1:8" x14ac:dyDescent="0.35">
      <c r="A1237" t="s">
        <v>1125</v>
      </c>
      <c r="B1237">
        <v>26.36</v>
      </c>
      <c r="C1237">
        <v>4.32</v>
      </c>
      <c r="D1237" t="s">
        <v>2370</v>
      </c>
      <c r="E1237" t="s">
        <v>2370</v>
      </c>
      <c r="F1237" t="s">
        <v>2373</v>
      </c>
      <c r="G1237">
        <v>1</v>
      </c>
      <c r="H1237" t="s">
        <v>2370</v>
      </c>
    </row>
    <row r="1238" spans="1:8" x14ac:dyDescent="0.35">
      <c r="A1238" t="s">
        <v>1124</v>
      </c>
      <c r="B1238">
        <v>29.925000000000001</v>
      </c>
      <c r="C1238">
        <v>8.2899999999999991</v>
      </c>
      <c r="D1238" t="s">
        <v>2370</v>
      </c>
      <c r="E1238" t="s">
        <v>2370</v>
      </c>
      <c r="F1238" t="s">
        <v>2370</v>
      </c>
      <c r="G1238">
        <v>2</v>
      </c>
      <c r="H1238" t="s">
        <v>2370</v>
      </c>
    </row>
    <row r="1239" spans="1:8" x14ac:dyDescent="0.35">
      <c r="A1239" t="s">
        <v>1123</v>
      </c>
      <c r="B1239">
        <v>37.29</v>
      </c>
      <c r="C1239">
        <v>10.46</v>
      </c>
      <c r="D1239" t="s">
        <v>2370</v>
      </c>
      <c r="E1239" t="s">
        <v>2370</v>
      </c>
      <c r="F1239" t="s">
        <v>2370</v>
      </c>
      <c r="G1239" t="s">
        <v>2371</v>
      </c>
      <c r="H1239" t="s">
        <v>2370</v>
      </c>
    </row>
    <row r="1240" spans="1:8" x14ac:dyDescent="0.35">
      <c r="A1240" t="s">
        <v>1122</v>
      </c>
      <c r="B1240">
        <v>30.2</v>
      </c>
      <c r="C1240">
        <v>11.96</v>
      </c>
      <c r="D1240" t="s">
        <v>2370</v>
      </c>
      <c r="E1240" t="s">
        <v>2370</v>
      </c>
      <c r="F1240" t="s">
        <v>2370</v>
      </c>
      <c r="G1240" t="s">
        <v>2371</v>
      </c>
      <c r="H1240" t="s">
        <v>2370</v>
      </c>
    </row>
    <row r="1241" spans="1:8" x14ac:dyDescent="0.35">
      <c r="A1241" t="s">
        <v>1121</v>
      </c>
      <c r="B1241">
        <v>24.225000000000001</v>
      </c>
      <c r="C1241">
        <v>4.25</v>
      </c>
      <c r="D1241" t="s">
        <v>2372</v>
      </c>
      <c r="E1241" t="s">
        <v>2370</v>
      </c>
      <c r="F1241" t="s">
        <v>2373</v>
      </c>
      <c r="G1241">
        <v>1</v>
      </c>
      <c r="H1241" t="s">
        <v>2370</v>
      </c>
    </row>
    <row r="1242" spans="1:8" x14ac:dyDescent="0.35">
      <c r="A1242" t="s">
        <v>1120</v>
      </c>
      <c r="B1242">
        <v>31.445</v>
      </c>
      <c r="C1242">
        <v>8.33</v>
      </c>
      <c r="D1242" t="s">
        <v>2370</v>
      </c>
      <c r="E1242" t="s">
        <v>2370</v>
      </c>
      <c r="F1242" t="s">
        <v>2370</v>
      </c>
      <c r="G1242" t="s">
        <v>2371</v>
      </c>
      <c r="H1242" t="s">
        <v>2370</v>
      </c>
    </row>
    <row r="1243" spans="1:8" x14ac:dyDescent="0.35">
      <c r="A1243" t="s">
        <v>1119</v>
      </c>
      <c r="B1243">
        <v>38.880000000000003</v>
      </c>
      <c r="C1243">
        <v>4.29</v>
      </c>
      <c r="D1243" t="s">
        <v>2370</v>
      </c>
      <c r="E1243" t="s">
        <v>2370</v>
      </c>
      <c r="F1243" t="s">
        <v>2370</v>
      </c>
      <c r="G1243">
        <v>1</v>
      </c>
      <c r="H1243" t="s">
        <v>2370</v>
      </c>
    </row>
    <row r="1244" spans="1:8" x14ac:dyDescent="0.35">
      <c r="A1244" t="s">
        <v>1118</v>
      </c>
      <c r="B1244">
        <v>43.89</v>
      </c>
      <c r="C1244">
        <v>6.32</v>
      </c>
      <c r="D1244" t="s">
        <v>2372</v>
      </c>
      <c r="E1244" t="s">
        <v>2370</v>
      </c>
      <c r="F1244" t="s">
        <v>2370</v>
      </c>
      <c r="G1244" t="s">
        <v>2371</v>
      </c>
      <c r="H1244" t="s">
        <v>2370</v>
      </c>
    </row>
    <row r="1245" spans="1:8" x14ac:dyDescent="0.35">
      <c r="A1245" t="s">
        <v>1117</v>
      </c>
      <c r="B1245">
        <v>25.6</v>
      </c>
      <c r="C1245">
        <v>5.65</v>
      </c>
      <c r="D1245" t="s">
        <v>2370</v>
      </c>
      <c r="E1245" t="s">
        <v>2370</v>
      </c>
      <c r="F1245" t="s">
        <v>2370</v>
      </c>
      <c r="G1245">
        <v>2</v>
      </c>
      <c r="H1245" t="s">
        <v>2370</v>
      </c>
    </row>
    <row r="1246" spans="1:8" x14ac:dyDescent="0.35">
      <c r="A1246" t="s">
        <v>1116</v>
      </c>
      <c r="B1246">
        <v>29.545000000000002</v>
      </c>
      <c r="C1246">
        <v>8.41</v>
      </c>
      <c r="D1246" t="s">
        <v>2372</v>
      </c>
      <c r="E1246" t="s">
        <v>2370</v>
      </c>
      <c r="F1246" t="s">
        <v>2370</v>
      </c>
      <c r="G1246">
        <v>1</v>
      </c>
      <c r="H1246" t="s">
        <v>2370</v>
      </c>
    </row>
    <row r="1247" spans="1:8" x14ac:dyDescent="0.35">
      <c r="A1247" t="s">
        <v>1115</v>
      </c>
      <c r="B1247">
        <v>23.25</v>
      </c>
      <c r="C1247">
        <v>11.96</v>
      </c>
      <c r="D1247" t="s">
        <v>2372</v>
      </c>
      <c r="E1247" t="s">
        <v>2370</v>
      </c>
      <c r="F1247" t="s">
        <v>2370</v>
      </c>
      <c r="G1247" t="s">
        <v>2371</v>
      </c>
      <c r="H1247" t="s">
        <v>2370</v>
      </c>
    </row>
    <row r="1248" spans="1:8" x14ac:dyDescent="0.35">
      <c r="A1248" t="s">
        <v>1114</v>
      </c>
      <c r="B1248">
        <v>43.95</v>
      </c>
      <c r="C1248">
        <v>5.17</v>
      </c>
      <c r="D1248" t="s">
        <v>2372</v>
      </c>
      <c r="E1248" t="s">
        <v>2370</v>
      </c>
      <c r="F1248" t="s">
        <v>2373</v>
      </c>
      <c r="G1248">
        <v>1</v>
      </c>
      <c r="H1248" t="s">
        <v>2370</v>
      </c>
    </row>
    <row r="1249" spans="1:8" x14ac:dyDescent="0.35">
      <c r="A1249" t="s">
        <v>1113</v>
      </c>
      <c r="B1249">
        <v>21.85</v>
      </c>
      <c r="C1249">
        <v>8.76</v>
      </c>
      <c r="D1249" t="s">
        <v>2370</v>
      </c>
      <c r="E1249" t="s">
        <v>2370</v>
      </c>
      <c r="F1249" t="s">
        <v>2370</v>
      </c>
      <c r="G1249" t="s">
        <v>2371</v>
      </c>
      <c r="H1249" t="s">
        <v>2370</v>
      </c>
    </row>
    <row r="1250" spans="1:8" x14ac:dyDescent="0.35">
      <c r="A1250" t="s">
        <v>1112</v>
      </c>
      <c r="B1250">
        <v>25.73</v>
      </c>
      <c r="C1250">
        <v>7.99</v>
      </c>
      <c r="D1250" t="s">
        <v>2370</v>
      </c>
      <c r="E1250" t="s">
        <v>2370</v>
      </c>
      <c r="F1250" t="s">
        <v>2370</v>
      </c>
      <c r="G1250">
        <v>2</v>
      </c>
      <c r="H1250" t="s">
        <v>2370</v>
      </c>
    </row>
    <row r="1251" spans="1:8" x14ac:dyDescent="0.35">
      <c r="A1251" t="s">
        <v>1111</v>
      </c>
      <c r="B1251">
        <v>32.229999999999997</v>
      </c>
      <c r="C1251">
        <v>8.59</v>
      </c>
      <c r="D1251" t="s">
        <v>2370</v>
      </c>
      <c r="E1251" t="s">
        <v>2370</v>
      </c>
      <c r="F1251" t="s">
        <v>2370</v>
      </c>
      <c r="G1251" t="s">
        <v>2371</v>
      </c>
      <c r="H1251" t="s">
        <v>2370</v>
      </c>
    </row>
    <row r="1252" spans="1:8" x14ac:dyDescent="0.35">
      <c r="A1252" t="s">
        <v>1110</v>
      </c>
      <c r="B1252">
        <v>32.204999999999998</v>
      </c>
      <c r="C1252">
        <v>6.14</v>
      </c>
      <c r="D1252" t="s">
        <v>2370</v>
      </c>
      <c r="E1252" t="s">
        <v>2370</v>
      </c>
      <c r="F1252" t="s">
        <v>2370</v>
      </c>
      <c r="G1252">
        <v>2</v>
      </c>
      <c r="H1252" t="s">
        <v>2370</v>
      </c>
    </row>
    <row r="1253" spans="1:8" x14ac:dyDescent="0.35">
      <c r="A1253" t="s">
        <v>1109</v>
      </c>
      <c r="B1253">
        <v>26.41</v>
      </c>
      <c r="C1253">
        <v>4.08</v>
      </c>
      <c r="D1253" t="s">
        <v>2370</v>
      </c>
      <c r="E1253" t="s">
        <v>2370</v>
      </c>
      <c r="F1253" t="s">
        <v>2370</v>
      </c>
      <c r="G1253">
        <v>2</v>
      </c>
      <c r="H1253" t="s">
        <v>2370</v>
      </c>
    </row>
    <row r="1254" spans="1:8" x14ac:dyDescent="0.35">
      <c r="A1254" t="s">
        <v>1108</v>
      </c>
      <c r="B1254">
        <v>30.2</v>
      </c>
      <c r="C1254">
        <v>6.25</v>
      </c>
      <c r="D1254" t="s">
        <v>2372</v>
      </c>
      <c r="E1254" t="s">
        <v>2370</v>
      </c>
      <c r="F1254" t="s">
        <v>2370</v>
      </c>
      <c r="G1254" t="s">
        <v>2371</v>
      </c>
      <c r="H1254" t="s">
        <v>2370</v>
      </c>
    </row>
    <row r="1255" spans="1:8" x14ac:dyDescent="0.35">
      <c r="A1255" t="s">
        <v>1107</v>
      </c>
      <c r="B1255">
        <v>31.26</v>
      </c>
      <c r="C1255">
        <v>5.94</v>
      </c>
      <c r="D1255" t="s">
        <v>2372</v>
      </c>
      <c r="E1255" t="s">
        <v>2370</v>
      </c>
      <c r="F1255" t="s">
        <v>2370</v>
      </c>
      <c r="G1255">
        <v>1</v>
      </c>
      <c r="H1255" t="s">
        <v>2370</v>
      </c>
    </row>
    <row r="1256" spans="1:8" x14ac:dyDescent="0.35">
      <c r="A1256" t="s">
        <v>1106</v>
      </c>
      <c r="B1256">
        <v>33.725000000000001</v>
      </c>
      <c r="C1256">
        <v>6.45</v>
      </c>
      <c r="D1256" t="s">
        <v>2372</v>
      </c>
      <c r="E1256" t="s">
        <v>2370</v>
      </c>
      <c r="F1256" t="s">
        <v>2370</v>
      </c>
      <c r="G1256" t="s">
        <v>2371</v>
      </c>
      <c r="H1256" t="s">
        <v>2370</v>
      </c>
    </row>
    <row r="1257" spans="1:8" x14ac:dyDescent="0.35">
      <c r="A1257" t="s">
        <v>1105</v>
      </c>
      <c r="B1257">
        <v>28.9</v>
      </c>
      <c r="C1257">
        <v>5.74</v>
      </c>
      <c r="D1257" t="s">
        <v>2372</v>
      </c>
      <c r="E1257" t="s">
        <v>2370</v>
      </c>
      <c r="F1257" t="s">
        <v>2370</v>
      </c>
      <c r="G1257" t="s">
        <v>2371</v>
      </c>
      <c r="H1257" t="s">
        <v>2370</v>
      </c>
    </row>
    <row r="1258" spans="1:8" x14ac:dyDescent="0.35">
      <c r="A1258" t="s">
        <v>1104</v>
      </c>
      <c r="B1258">
        <v>45.69</v>
      </c>
      <c r="C1258">
        <v>4.43</v>
      </c>
      <c r="D1258" t="s">
        <v>2372</v>
      </c>
      <c r="E1258" t="s">
        <v>2370</v>
      </c>
      <c r="F1258" t="s">
        <v>2370</v>
      </c>
      <c r="G1258" t="s">
        <v>2371</v>
      </c>
      <c r="H1258" t="s">
        <v>2370</v>
      </c>
    </row>
    <row r="1259" spans="1:8" x14ac:dyDescent="0.35">
      <c r="A1259" t="s">
        <v>1103</v>
      </c>
      <c r="B1259">
        <v>21.03</v>
      </c>
      <c r="C1259">
        <v>6.5</v>
      </c>
      <c r="D1259" t="s">
        <v>2370</v>
      </c>
      <c r="E1259" t="s">
        <v>2370</v>
      </c>
      <c r="F1259" t="s">
        <v>2370</v>
      </c>
      <c r="G1259" t="s">
        <v>2371</v>
      </c>
      <c r="H1259" t="s">
        <v>2370</v>
      </c>
    </row>
    <row r="1260" spans="1:8" x14ac:dyDescent="0.35">
      <c r="A1260" t="s">
        <v>1102</v>
      </c>
      <c r="B1260">
        <v>37</v>
      </c>
      <c r="C1260">
        <v>8.75</v>
      </c>
      <c r="D1260" t="s">
        <v>2370</v>
      </c>
      <c r="E1260" t="s">
        <v>2370</v>
      </c>
      <c r="F1260" t="s">
        <v>2370</v>
      </c>
      <c r="G1260" t="s">
        <v>2371</v>
      </c>
      <c r="H1260" t="s">
        <v>2370</v>
      </c>
    </row>
    <row r="1261" spans="1:8" x14ac:dyDescent="0.35">
      <c r="A1261" t="s">
        <v>1101</v>
      </c>
      <c r="B1261">
        <v>25.4</v>
      </c>
      <c r="C1261">
        <v>11.96</v>
      </c>
      <c r="D1261" t="s">
        <v>2370</v>
      </c>
      <c r="E1261" t="s">
        <v>2370</v>
      </c>
      <c r="F1261" t="s">
        <v>2370</v>
      </c>
      <c r="G1261" t="s">
        <v>2371</v>
      </c>
      <c r="H1261" t="s">
        <v>2370</v>
      </c>
    </row>
    <row r="1262" spans="1:8" x14ac:dyDescent="0.35">
      <c r="A1262" t="s">
        <v>1100</v>
      </c>
      <c r="B1262">
        <v>32.299999999999997</v>
      </c>
      <c r="C1262">
        <v>10.54</v>
      </c>
      <c r="D1262" t="s">
        <v>2370</v>
      </c>
      <c r="E1262" t="s">
        <v>2370</v>
      </c>
      <c r="F1262" t="s">
        <v>2370</v>
      </c>
      <c r="G1262" t="s">
        <v>2371</v>
      </c>
      <c r="H1262" t="s">
        <v>2370</v>
      </c>
    </row>
    <row r="1263" spans="1:8" x14ac:dyDescent="0.35">
      <c r="A1263" t="s">
        <v>1099</v>
      </c>
      <c r="B1263">
        <v>23.94</v>
      </c>
      <c r="C1263">
        <v>4.54</v>
      </c>
      <c r="D1263" t="s">
        <v>2372</v>
      </c>
      <c r="E1263" t="s">
        <v>2370</v>
      </c>
      <c r="F1263" t="s">
        <v>2373</v>
      </c>
      <c r="G1263">
        <v>1</v>
      </c>
      <c r="H1263" t="s">
        <v>2370</v>
      </c>
    </row>
    <row r="1264" spans="1:8" x14ac:dyDescent="0.35">
      <c r="A1264" t="s">
        <v>1098</v>
      </c>
      <c r="B1264">
        <v>46.4</v>
      </c>
      <c r="C1264">
        <v>5.71</v>
      </c>
      <c r="D1264" t="s">
        <v>2370</v>
      </c>
      <c r="E1264" t="s">
        <v>2370</v>
      </c>
      <c r="F1264" t="s">
        <v>2370</v>
      </c>
      <c r="G1264" t="s">
        <v>2371</v>
      </c>
      <c r="H1264" t="s">
        <v>2370</v>
      </c>
    </row>
    <row r="1265" spans="1:8" x14ac:dyDescent="0.35">
      <c r="A1265" t="s">
        <v>1097</v>
      </c>
      <c r="B1265">
        <v>40.375</v>
      </c>
      <c r="C1265">
        <v>6.25</v>
      </c>
      <c r="D1265" t="s">
        <v>2372</v>
      </c>
      <c r="E1265" t="s">
        <v>2370</v>
      </c>
      <c r="F1265" t="s">
        <v>2370</v>
      </c>
      <c r="G1265" t="s">
        <v>2371</v>
      </c>
      <c r="H1265" t="s">
        <v>2370</v>
      </c>
    </row>
    <row r="1266" spans="1:8" x14ac:dyDescent="0.35">
      <c r="A1266" t="s">
        <v>1096</v>
      </c>
      <c r="B1266">
        <v>28.7</v>
      </c>
      <c r="C1266">
        <v>9.4700000000000006</v>
      </c>
      <c r="D1266" t="s">
        <v>2370</v>
      </c>
      <c r="E1266" t="s">
        <v>2370</v>
      </c>
      <c r="F1266" t="s">
        <v>2370</v>
      </c>
      <c r="G1266">
        <v>2</v>
      </c>
      <c r="H1266" t="s">
        <v>2370</v>
      </c>
    </row>
    <row r="1267" spans="1:8" x14ac:dyDescent="0.35">
      <c r="A1267" t="s">
        <v>1095</v>
      </c>
      <c r="B1267">
        <v>26.63</v>
      </c>
      <c r="C1267">
        <v>5.7</v>
      </c>
      <c r="D1267" t="s">
        <v>2370</v>
      </c>
      <c r="E1267" t="s">
        <v>2370</v>
      </c>
      <c r="F1267" t="s">
        <v>2370</v>
      </c>
      <c r="G1267" t="s">
        <v>2371</v>
      </c>
      <c r="H1267" t="s">
        <v>2370</v>
      </c>
    </row>
    <row r="1268" spans="1:8" x14ac:dyDescent="0.35">
      <c r="A1268" t="s">
        <v>1094</v>
      </c>
      <c r="B1268">
        <v>22.515000000000001</v>
      </c>
      <c r="C1268">
        <v>11.18</v>
      </c>
      <c r="D1268" t="s">
        <v>2370</v>
      </c>
      <c r="E1268" t="s">
        <v>2370</v>
      </c>
      <c r="F1268" t="s">
        <v>2370</v>
      </c>
      <c r="G1268">
        <v>2</v>
      </c>
      <c r="H1268" t="s">
        <v>2370</v>
      </c>
    </row>
    <row r="1269" spans="1:8" x14ac:dyDescent="0.35">
      <c r="A1269" t="s">
        <v>1093</v>
      </c>
      <c r="B1269">
        <v>36.575000000000003</v>
      </c>
      <c r="C1269">
        <v>10.98</v>
      </c>
      <c r="D1269" t="s">
        <v>2370</v>
      </c>
      <c r="E1269" t="s">
        <v>2370</v>
      </c>
      <c r="F1269" t="s">
        <v>2370</v>
      </c>
      <c r="G1269" t="s">
        <v>2371</v>
      </c>
      <c r="H1269" t="s">
        <v>2370</v>
      </c>
    </row>
    <row r="1270" spans="1:8" x14ac:dyDescent="0.35">
      <c r="A1270" t="s">
        <v>1092</v>
      </c>
      <c r="B1270">
        <v>23.66</v>
      </c>
      <c r="C1270">
        <v>5.1100000000000003</v>
      </c>
      <c r="D1270" t="s">
        <v>2372</v>
      </c>
      <c r="E1270" t="s">
        <v>2370</v>
      </c>
      <c r="F1270" t="s">
        <v>2373</v>
      </c>
      <c r="G1270">
        <v>1</v>
      </c>
      <c r="H1270" t="s">
        <v>2370</v>
      </c>
    </row>
    <row r="1271" spans="1:8" x14ac:dyDescent="0.35">
      <c r="A1271" t="s">
        <v>1091</v>
      </c>
      <c r="B1271">
        <v>18.62</v>
      </c>
      <c r="C1271">
        <v>10.24</v>
      </c>
      <c r="D1271" t="s">
        <v>2370</v>
      </c>
      <c r="E1271" t="s">
        <v>2370</v>
      </c>
      <c r="F1271" t="s">
        <v>2370</v>
      </c>
      <c r="G1271" t="s">
        <v>2371</v>
      </c>
      <c r="H1271" t="s">
        <v>2370</v>
      </c>
    </row>
    <row r="1272" spans="1:8" x14ac:dyDescent="0.35">
      <c r="A1272" t="s">
        <v>1090</v>
      </c>
      <c r="B1272">
        <v>19.190000000000001</v>
      </c>
      <c r="C1272">
        <v>7.71</v>
      </c>
      <c r="D1272" t="s">
        <v>2372</v>
      </c>
      <c r="E1272" t="s">
        <v>2370</v>
      </c>
      <c r="F1272" t="s">
        <v>2370</v>
      </c>
      <c r="G1272">
        <v>1</v>
      </c>
      <c r="H1272" t="s">
        <v>2370</v>
      </c>
    </row>
    <row r="1273" spans="1:8" x14ac:dyDescent="0.35">
      <c r="A1273" t="s">
        <v>1089</v>
      </c>
      <c r="B1273">
        <v>27.5</v>
      </c>
      <c r="C1273">
        <v>6.03</v>
      </c>
      <c r="D1273" t="s">
        <v>2370</v>
      </c>
      <c r="E1273" t="s">
        <v>2370</v>
      </c>
      <c r="F1273" t="s">
        <v>2370</v>
      </c>
      <c r="G1273" t="s">
        <v>2371</v>
      </c>
      <c r="H1273" t="s">
        <v>2370</v>
      </c>
    </row>
    <row r="1274" spans="1:8" x14ac:dyDescent="0.35">
      <c r="A1274" t="s">
        <v>1088</v>
      </c>
      <c r="B1274">
        <v>27.36</v>
      </c>
      <c r="C1274">
        <v>5.96</v>
      </c>
      <c r="D1274" t="s">
        <v>2370</v>
      </c>
      <c r="E1274" t="s">
        <v>2370</v>
      </c>
      <c r="F1274" t="s">
        <v>2373</v>
      </c>
      <c r="G1274">
        <v>1</v>
      </c>
      <c r="H1274" t="s">
        <v>2370</v>
      </c>
    </row>
    <row r="1275" spans="1:8" x14ac:dyDescent="0.35">
      <c r="A1275" t="s">
        <v>1087</v>
      </c>
      <c r="B1275">
        <v>20.350000000000001</v>
      </c>
      <c r="C1275">
        <v>4.16</v>
      </c>
      <c r="D1275" t="s">
        <v>2370</v>
      </c>
      <c r="E1275" t="s">
        <v>2370</v>
      </c>
      <c r="F1275" t="s">
        <v>2370</v>
      </c>
      <c r="G1275" t="s">
        <v>2371</v>
      </c>
      <c r="H1275" t="s">
        <v>2370</v>
      </c>
    </row>
    <row r="1276" spans="1:8" x14ac:dyDescent="0.35">
      <c r="A1276" t="s">
        <v>1086</v>
      </c>
      <c r="B1276">
        <v>24.035</v>
      </c>
      <c r="C1276">
        <v>6.11</v>
      </c>
      <c r="D1276" t="s">
        <v>2370</v>
      </c>
      <c r="E1276" t="s">
        <v>2370</v>
      </c>
      <c r="F1276" t="s">
        <v>2370</v>
      </c>
      <c r="G1276" t="s">
        <v>2371</v>
      </c>
      <c r="H1276" t="s">
        <v>2370</v>
      </c>
    </row>
    <row r="1277" spans="1:8" x14ac:dyDescent="0.35">
      <c r="A1277" t="s">
        <v>1085</v>
      </c>
      <c r="B1277">
        <v>23.56</v>
      </c>
      <c r="C1277">
        <v>5.97</v>
      </c>
      <c r="D1277" t="s">
        <v>2370</v>
      </c>
      <c r="E1277" t="s">
        <v>2370</v>
      </c>
      <c r="F1277" t="s">
        <v>2370</v>
      </c>
      <c r="G1277" t="s">
        <v>2371</v>
      </c>
      <c r="H1277" t="s">
        <v>2370</v>
      </c>
    </row>
    <row r="1278" spans="1:8" x14ac:dyDescent="0.35">
      <c r="A1278" t="s">
        <v>1084</v>
      </c>
      <c r="B1278">
        <v>27.17</v>
      </c>
      <c r="C1278">
        <v>10.81</v>
      </c>
      <c r="D1278" t="s">
        <v>2370</v>
      </c>
      <c r="E1278" t="s">
        <v>2370</v>
      </c>
      <c r="F1278" t="s">
        <v>2370</v>
      </c>
      <c r="G1278">
        <v>2</v>
      </c>
      <c r="H1278" t="s">
        <v>2370</v>
      </c>
    </row>
    <row r="1279" spans="1:8" x14ac:dyDescent="0.35">
      <c r="A1279" t="s">
        <v>1083</v>
      </c>
      <c r="B1279">
        <v>34.32</v>
      </c>
      <c r="C1279">
        <v>5.7</v>
      </c>
      <c r="D1279" t="s">
        <v>2372</v>
      </c>
      <c r="E1279" t="s">
        <v>2370</v>
      </c>
      <c r="F1279" t="s">
        <v>2373</v>
      </c>
      <c r="G1279">
        <v>1</v>
      </c>
      <c r="H1279" t="s">
        <v>2370</v>
      </c>
    </row>
    <row r="1280" spans="1:8" x14ac:dyDescent="0.35">
      <c r="A1280" t="s">
        <v>1082</v>
      </c>
      <c r="B1280">
        <v>23.87</v>
      </c>
      <c r="C1280">
        <v>4.7699999999999996</v>
      </c>
      <c r="D1280" t="s">
        <v>2372</v>
      </c>
      <c r="E1280" t="s">
        <v>2370</v>
      </c>
      <c r="F1280" t="s">
        <v>2373</v>
      </c>
      <c r="G1280">
        <v>1</v>
      </c>
      <c r="H1280" t="s">
        <v>2370</v>
      </c>
    </row>
    <row r="1281" spans="1:8" x14ac:dyDescent="0.35">
      <c r="A1281" t="s">
        <v>1081</v>
      </c>
      <c r="B1281">
        <v>30.15</v>
      </c>
      <c r="C1281">
        <v>4.25</v>
      </c>
      <c r="D1281" t="s">
        <v>2370</v>
      </c>
      <c r="E1281" t="s">
        <v>2370</v>
      </c>
      <c r="F1281" t="s">
        <v>2370</v>
      </c>
      <c r="G1281">
        <v>1</v>
      </c>
      <c r="H1281" t="s">
        <v>2370</v>
      </c>
    </row>
    <row r="1282" spans="1:8" x14ac:dyDescent="0.35">
      <c r="A1282" t="s">
        <v>1080</v>
      </c>
      <c r="B1282">
        <v>26.36</v>
      </c>
      <c r="C1282">
        <v>5.52</v>
      </c>
      <c r="D1282" t="s">
        <v>2370</v>
      </c>
      <c r="E1282" t="s">
        <v>2370</v>
      </c>
      <c r="F1282" t="s">
        <v>2370</v>
      </c>
      <c r="G1282" t="s">
        <v>2371</v>
      </c>
      <c r="H1282" t="s">
        <v>2370</v>
      </c>
    </row>
    <row r="1283" spans="1:8" x14ac:dyDescent="0.35">
      <c r="A1283" t="s">
        <v>1079</v>
      </c>
      <c r="B1283">
        <v>45.32</v>
      </c>
      <c r="C1283">
        <v>6.53</v>
      </c>
      <c r="D1283" t="s">
        <v>2372</v>
      </c>
      <c r="E1283" t="s">
        <v>2370</v>
      </c>
      <c r="F1283" t="s">
        <v>2370</v>
      </c>
      <c r="G1283">
        <v>1</v>
      </c>
      <c r="H1283" t="s">
        <v>2370</v>
      </c>
    </row>
    <row r="1284" spans="1:8" x14ac:dyDescent="0.35">
      <c r="A1284" t="s">
        <v>1078</v>
      </c>
      <c r="B1284">
        <v>31.93</v>
      </c>
      <c r="C1284">
        <v>4.82</v>
      </c>
      <c r="D1284" t="s">
        <v>2372</v>
      </c>
      <c r="E1284" t="s">
        <v>2370</v>
      </c>
      <c r="F1284" t="s">
        <v>2370</v>
      </c>
      <c r="G1284">
        <v>1</v>
      </c>
      <c r="H1284" t="s">
        <v>2370</v>
      </c>
    </row>
    <row r="1285" spans="1:8" x14ac:dyDescent="0.35">
      <c r="A1285" t="s">
        <v>1077</v>
      </c>
      <c r="B1285">
        <v>36</v>
      </c>
      <c r="C1285">
        <v>11.94</v>
      </c>
      <c r="D1285" t="s">
        <v>2372</v>
      </c>
      <c r="E1285" t="s">
        <v>2370</v>
      </c>
      <c r="F1285" t="s">
        <v>2370</v>
      </c>
      <c r="G1285">
        <v>1</v>
      </c>
      <c r="H1285" t="s">
        <v>2370</v>
      </c>
    </row>
    <row r="1286" spans="1:8" x14ac:dyDescent="0.35">
      <c r="A1286" t="s">
        <v>1076</v>
      </c>
      <c r="B1286">
        <v>32</v>
      </c>
      <c r="C1286">
        <v>7.85</v>
      </c>
      <c r="D1286" t="s">
        <v>2372</v>
      </c>
      <c r="E1286" t="s">
        <v>2370</v>
      </c>
      <c r="F1286" t="s">
        <v>2370</v>
      </c>
      <c r="G1286">
        <v>1</v>
      </c>
      <c r="H1286" t="s">
        <v>2370</v>
      </c>
    </row>
    <row r="1287" spans="1:8" x14ac:dyDescent="0.35">
      <c r="A1287" t="s">
        <v>1075</v>
      </c>
      <c r="B1287">
        <v>29.37</v>
      </c>
      <c r="C1287">
        <v>8.01</v>
      </c>
      <c r="D1287" t="s">
        <v>2372</v>
      </c>
      <c r="E1287" t="s">
        <v>2370</v>
      </c>
      <c r="F1287" t="s">
        <v>2370</v>
      </c>
      <c r="G1287">
        <v>1</v>
      </c>
      <c r="H1287" t="s">
        <v>2370</v>
      </c>
    </row>
    <row r="1288" spans="1:8" x14ac:dyDescent="0.35">
      <c r="A1288" t="s">
        <v>1074</v>
      </c>
      <c r="B1288">
        <v>23.6</v>
      </c>
      <c r="C1288">
        <v>7.4</v>
      </c>
      <c r="D1288" t="s">
        <v>2372</v>
      </c>
      <c r="E1288" t="s">
        <v>2370</v>
      </c>
      <c r="F1288" t="s">
        <v>2370</v>
      </c>
      <c r="G1288">
        <v>1</v>
      </c>
      <c r="H1288" t="s">
        <v>2370</v>
      </c>
    </row>
    <row r="1289" spans="1:8" x14ac:dyDescent="0.35">
      <c r="A1289" t="s">
        <v>1073</v>
      </c>
      <c r="B1289">
        <v>33.155000000000001</v>
      </c>
      <c r="C1289">
        <v>8.3800000000000008</v>
      </c>
      <c r="D1289" t="s">
        <v>2372</v>
      </c>
      <c r="E1289" t="s">
        <v>2370</v>
      </c>
      <c r="F1289" t="s">
        <v>2370</v>
      </c>
      <c r="G1289" t="s">
        <v>2371</v>
      </c>
      <c r="H1289" t="s">
        <v>2370</v>
      </c>
    </row>
    <row r="1290" spans="1:8" x14ac:dyDescent="0.35">
      <c r="A1290" t="s">
        <v>1072</v>
      </c>
      <c r="B1290">
        <v>24.32</v>
      </c>
      <c r="C1290">
        <v>11.56</v>
      </c>
      <c r="D1290" t="s">
        <v>2372</v>
      </c>
      <c r="E1290" t="s">
        <v>2370</v>
      </c>
      <c r="F1290" t="s">
        <v>2370</v>
      </c>
      <c r="G1290">
        <v>1</v>
      </c>
      <c r="H1290" t="s">
        <v>2370</v>
      </c>
    </row>
    <row r="1291" spans="1:8" x14ac:dyDescent="0.35">
      <c r="A1291" t="s">
        <v>1071</v>
      </c>
      <c r="B1291">
        <v>36.299999999999997</v>
      </c>
      <c r="C1291">
        <v>4.6100000000000003</v>
      </c>
      <c r="D1291" t="s">
        <v>2370</v>
      </c>
      <c r="E1291" t="s">
        <v>2370</v>
      </c>
      <c r="F1291" t="s">
        <v>2370</v>
      </c>
      <c r="G1291" t="s">
        <v>2371</v>
      </c>
      <c r="H1291" t="s">
        <v>2370</v>
      </c>
    </row>
    <row r="1292" spans="1:8" x14ac:dyDescent="0.35">
      <c r="A1292" t="s">
        <v>1070</v>
      </c>
      <c r="B1292">
        <v>34.4</v>
      </c>
      <c r="C1292">
        <v>4.95</v>
      </c>
      <c r="D1292" t="s">
        <v>2370</v>
      </c>
      <c r="E1292" t="s">
        <v>2370</v>
      </c>
      <c r="F1292" t="s">
        <v>2373</v>
      </c>
      <c r="G1292">
        <v>1</v>
      </c>
      <c r="H1292" t="s">
        <v>2370</v>
      </c>
    </row>
    <row r="1293" spans="1:8" x14ac:dyDescent="0.35">
      <c r="A1293" t="s">
        <v>1069</v>
      </c>
      <c r="B1293">
        <v>30.9</v>
      </c>
      <c r="C1293">
        <v>5.04</v>
      </c>
      <c r="D1293" t="s">
        <v>2370</v>
      </c>
      <c r="E1293" t="s">
        <v>2370</v>
      </c>
      <c r="F1293" t="s">
        <v>2370</v>
      </c>
      <c r="G1293" t="s">
        <v>2371</v>
      </c>
      <c r="H1293" t="s">
        <v>2370</v>
      </c>
    </row>
    <row r="1294" spans="1:8" x14ac:dyDescent="0.35">
      <c r="A1294" t="s">
        <v>1068</v>
      </c>
      <c r="B1294">
        <v>28.6</v>
      </c>
      <c r="C1294">
        <v>5.42</v>
      </c>
      <c r="D1294" t="s">
        <v>2370</v>
      </c>
      <c r="E1294" t="s">
        <v>2370</v>
      </c>
      <c r="F1294" t="s">
        <v>2370</v>
      </c>
      <c r="G1294" t="s">
        <v>2371</v>
      </c>
      <c r="H1294" t="s">
        <v>2370</v>
      </c>
    </row>
    <row r="1295" spans="1:8" x14ac:dyDescent="0.35">
      <c r="A1295" t="s">
        <v>1067</v>
      </c>
      <c r="B1295">
        <v>27.83</v>
      </c>
      <c r="C1295">
        <v>5.39</v>
      </c>
      <c r="D1295" t="s">
        <v>2370</v>
      </c>
      <c r="E1295" t="s">
        <v>2370</v>
      </c>
      <c r="F1295" t="s">
        <v>2370</v>
      </c>
      <c r="G1295" t="s">
        <v>2371</v>
      </c>
      <c r="H1295" t="s">
        <v>2370</v>
      </c>
    </row>
    <row r="1296" spans="1:8" x14ac:dyDescent="0.35">
      <c r="A1296" t="s">
        <v>1066</v>
      </c>
      <c r="B1296">
        <v>39.64</v>
      </c>
      <c r="C1296">
        <v>6</v>
      </c>
      <c r="D1296" t="s">
        <v>2370</v>
      </c>
      <c r="E1296" t="s">
        <v>2370</v>
      </c>
      <c r="F1296" t="s">
        <v>2373</v>
      </c>
      <c r="G1296">
        <v>1</v>
      </c>
      <c r="H1296" t="s">
        <v>2370</v>
      </c>
    </row>
    <row r="1297" spans="1:8" x14ac:dyDescent="0.35">
      <c r="A1297" t="s">
        <v>1065</v>
      </c>
      <c r="B1297">
        <v>38.479999999999997</v>
      </c>
      <c r="C1297">
        <v>6.02</v>
      </c>
      <c r="D1297" t="s">
        <v>2370</v>
      </c>
      <c r="E1297" t="s">
        <v>2370</v>
      </c>
      <c r="F1297" t="s">
        <v>2370</v>
      </c>
      <c r="G1297">
        <v>1</v>
      </c>
      <c r="H1297" t="s">
        <v>2370</v>
      </c>
    </row>
    <row r="1298" spans="1:8" x14ac:dyDescent="0.35">
      <c r="A1298" t="s">
        <v>1064</v>
      </c>
      <c r="B1298">
        <v>36.200000000000003</v>
      </c>
      <c r="C1298">
        <v>4.62</v>
      </c>
      <c r="D1298" t="s">
        <v>2370</v>
      </c>
      <c r="E1298" t="s">
        <v>2370</v>
      </c>
      <c r="F1298" t="s">
        <v>2370</v>
      </c>
      <c r="G1298">
        <v>2</v>
      </c>
      <c r="H1298" t="s">
        <v>2370</v>
      </c>
    </row>
    <row r="1299" spans="1:8" x14ac:dyDescent="0.35">
      <c r="A1299" t="s">
        <v>1063</v>
      </c>
      <c r="B1299">
        <v>27.13</v>
      </c>
      <c r="C1299">
        <v>5.59</v>
      </c>
      <c r="D1299" t="s">
        <v>2370</v>
      </c>
      <c r="E1299" t="s">
        <v>2370</v>
      </c>
      <c r="F1299" t="s">
        <v>2370</v>
      </c>
      <c r="G1299">
        <v>1</v>
      </c>
      <c r="H1299" t="s">
        <v>2370</v>
      </c>
    </row>
    <row r="1300" spans="1:8" x14ac:dyDescent="0.35">
      <c r="A1300" t="s">
        <v>1062</v>
      </c>
      <c r="B1300">
        <v>20.75</v>
      </c>
      <c r="C1300">
        <v>5.18</v>
      </c>
      <c r="D1300" t="s">
        <v>2372</v>
      </c>
      <c r="E1300" t="s">
        <v>2370</v>
      </c>
      <c r="F1300" t="s">
        <v>2370</v>
      </c>
      <c r="G1300">
        <v>2</v>
      </c>
      <c r="H1300" t="s">
        <v>2370</v>
      </c>
    </row>
    <row r="1301" spans="1:8" x14ac:dyDescent="0.35">
      <c r="A1301" t="s">
        <v>1061</v>
      </c>
      <c r="B1301">
        <v>26.6</v>
      </c>
      <c r="C1301">
        <v>6.29</v>
      </c>
      <c r="D1301" t="s">
        <v>2370</v>
      </c>
      <c r="E1301" t="s">
        <v>2370</v>
      </c>
      <c r="F1301" t="s">
        <v>2370</v>
      </c>
      <c r="G1301">
        <v>2</v>
      </c>
      <c r="H1301" t="s">
        <v>2370</v>
      </c>
    </row>
    <row r="1302" spans="1:8" x14ac:dyDescent="0.35">
      <c r="A1302" t="s">
        <v>1060</v>
      </c>
      <c r="B1302">
        <v>25.3</v>
      </c>
      <c r="C1302">
        <v>4.49</v>
      </c>
      <c r="D1302" t="s">
        <v>2370</v>
      </c>
      <c r="E1302" t="s">
        <v>2370</v>
      </c>
      <c r="F1302" t="s">
        <v>2370</v>
      </c>
      <c r="G1302">
        <v>2</v>
      </c>
      <c r="H1302" t="s">
        <v>2370</v>
      </c>
    </row>
    <row r="1303" spans="1:8" x14ac:dyDescent="0.35">
      <c r="A1303" t="s">
        <v>1059</v>
      </c>
      <c r="B1303">
        <v>18.84</v>
      </c>
      <c r="C1303">
        <v>11.82</v>
      </c>
      <c r="D1303" t="s">
        <v>2372</v>
      </c>
      <c r="E1303" t="s">
        <v>2370</v>
      </c>
      <c r="F1303" t="s">
        <v>2373</v>
      </c>
      <c r="G1303">
        <v>1</v>
      </c>
      <c r="H1303" t="s">
        <v>2370</v>
      </c>
    </row>
    <row r="1304" spans="1:8" x14ac:dyDescent="0.35">
      <c r="A1304" t="s">
        <v>1058</v>
      </c>
      <c r="B1304">
        <v>19.57</v>
      </c>
      <c r="C1304">
        <v>7.41</v>
      </c>
      <c r="D1304" t="s">
        <v>2372</v>
      </c>
      <c r="E1304" t="s">
        <v>2370</v>
      </c>
      <c r="F1304" t="s">
        <v>2370</v>
      </c>
      <c r="G1304">
        <v>1</v>
      </c>
      <c r="H1304" t="s">
        <v>2370</v>
      </c>
    </row>
    <row r="1305" spans="1:8" x14ac:dyDescent="0.35">
      <c r="A1305" t="s">
        <v>1057</v>
      </c>
      <c r="B1305">
        <v>30.495000000000001</v>
      </c>
      <c r="C1305">
        <v>5.97</v>
      </c>
      <c r="D1305" t="s">
        <v>2370</v>
      </c>
      <c r="E1305" t="s">
        <v>2370</v>
      </c>
      <c r="F1305" t="s">
        <v>2370</v>
      </c>
      <c r="G1305" t="s">
        <v>2371</v>
      </c>
      <c r="H1305" t="s">
        <v>2370</v>
      </c>
    </row>
    <row r="1306" spans="1:8" x14ac:dyDescent="0.35">
      <c r="A1306" t="s">
        <v>1056</v>
      </c>
      <c r="B1306">
        <v>30.114999999999998</v>
      </c>
      <c r="C1306">
        <v>5.74</v>
      </c>
      <c r="D1306" t="s">
        <v>2370</v>
      </c>
      <c r="E1306" t="s">
        <v>2370</v>
      </c>
      <c r="F1306" t="s">
        <v>2373</v>
      </c>
      <c r="G1306">
        <v>1</v>
      </c>
      <c r="H1306" t="s">
        <v>2370</v>
      </c>
    </row>
    <row r="1307" spans="1:8" x14ac:dyDescent="0.35">
      <c r="A1307" t="s">
        <v>1055</v>
      </c>
      <c r="B1307">
        <v>24.78</v>
      </c>
      <c r="C1307">
        <v>9.85</v>
      </c>
      <c r="D1307" t="s">
        <v>2370</v>
      </c>
      <c r="E1307" t="s">
        <v>2370</v>
      </c>
      <c r="F1307" t="s">
        <v>2370</v>
      </c>
      <c r="G1307" t="s">
        <v>2371</v>
      </c>
      <c r="H1307" t="s">
        <v>2370</v>
      </c>
    </row>
    <row r="1308" spans="1:8" x14ac:dyDescent="0.35">
      <c r="A1308" t="s">
        <v>1054</v>
      </c>
      <c r="B1308">
        <v>24.77</v>
      </c>
      <c r="C1308">
        <v>7.59</v>
      </c>
      <c r="D1308" t="s">
        <v>2370</v>
      </c>
      <c r="E1308" t="s">
        <v>2370</v>
      </c>
      <c r="F1308" t="s">
        <v>2370</v>
      </c>
      <c r="G1308" t="s">
        <v>2371</v>
      </c>
      <c r="H1308" t="s">
        <v>2370</v>
      </c>
    </row>
    <row r="1309" spans="1:8" x14ac:dyDescent="0.35">
      <c r="A1309" t="s">
        <v>1053</v>
      </c>
      <c r="B1309">
        <v>16.579999999999998</v>
      </c>
      <c r="C1309">
        <v>6.98</v>
      </c>
      <c r="D1309" t="s">
        <v>2372</v>
      </c>
      <c r="E1309" t="s">
        <v>2370</v>
      </c>
      <c r="F1309" t="s">
        <v>2373</v>
      </c>
      <c r="G1309">
        <v>1</v>
      </c>
      <c r="H1309" t="s">
        <v>2370</v>
      </c>
    </row>
    <row r="1310" spans="1:8" x14ac:dyDescent="0.35">
      <c r="A1310" t="s">
        <v>1052</v>
      </c>
      <c r="B1310">
        <v>38.17</v>
      </c>
      <c r="C1310">
        <v>4.7300000000000004</v>
      </c>
      <c r="D1310" t="s">
        <v>2372</v>
      </c>
      <c r="E1310" t="s">
        <v>2370</v>
      </c>
      <c r="F1310" t="s">
        <v>2370</v>
      </c>
      <c r="G1310" t="s">
        <v>2371</v>
      </c>
      <c r="H1310" t="s">
        <v>2370</v>
      </c>
    </row>
    <row r="1311" spans="1:8" x14ac:dyDescent="0.35">
      <c r="A1311" t="s">
        <v>1051</v>
      </c>
      <c r="B1311">
        <v>39.424999999999997</v>
      </c>
      <c r="C1311">
        <v>4.76</v>
      </c>
      <c r="D1311" t="s">
        <v>2372</v>
      </c>
      <c r="E1311" t="s">
        <v>2370</v>
      </c>
      <c r="F1311" t="s">
        <v>2370</v>
      </c>
      <c r="G1311" t="s">
        <v>2371</v>
      </c>
      <c r="H1311" t="s">
        <v>2370</v>
      </c>
    </row>
    <row r="1312" spans="1:8" x14ac:dyDescent="0.35">
      <c r="A1312" t="s">
        <v>1050</v>
      </c>
      <c r="B1312">
        <v>33.44</v>
      </c>
      <c r="C1312">
        <v>6.24</v>
      </c>
      <c r="D1312" t="s">
        <v>2372</v>
      </c>
      <c r="E1312" t="s">
        <v>2370</v>
      </c>
      <c r="F1312" t="s">
        <v>2370</v>
      </c>
      <c r="G1312" t="s">
        <v>2371</v>
      </c>
      <c r="H1312" t="s">
        <v>2370</v>
      </c>
    </row>
    <row r="1313" spans="1:8" x14ac:dyDescent="0.35">
      <c r="A1313" t="s">
        <v>1049</v>
      </c>
      <c r="B1313">
        <v>33.344999999999999</v>
      </c>
      <c r="C1313">
        <v>5.44</v>
      </c>
      <c r="D1313" t="s">
        <v>2372</v>
      </c>
      <c r="E1313" t="s">
        <v>2370</v>
      </c>
      <c r="F1313" t="s">
        <v>2370</v>
      </c>
      <c r="G1313" t="s">
        <v>2371</v>
      </c>
      <c r="H1313" t="s">
        <v>2370</v>
      </c>
    </row>
    <row r="1314" spans="1:8" x14ac:dyDescent="0.35">
      <c r="A1314" t="s">
        <v>1048</v>
      </c>
      <c r="B1314">
        <v>38.79</v>
      </c>
      <c r="C1314">
        <v>5.08</v>
      </c>
      <c r="D1314" t="s">
        <v>2370</v>
      </c>
      <c r="E1314" t="s">
        <v>2370</v>
      </c>
      <c r="F1314" t="s">
        <v>2373</v>
      </c>
      <c r="G1314">
        <v>1</v>
      </c>
      <c r="H1314" t="s">
        <v>2370</v>
      </c>
    </row>
    <row r="1315" spans="1:8" x14ac:dyDescent="0.35">
      <c r="A1315" t="s">
        <v>1047</v>
      </c>
      <c r="B1315">
        <v>30.684999999999999</v>
      </c>
      <c r="C1315">
        <v>4.87</v>
      </c>
      <c r="D1315" t="s">
        <v>2370</v>
      </c>
      <c r="E1315" t="s">
        <v>2370</v>
      </c>
      <c r="F1315" t="s">
        <v>2373</v>
      </c>
      <c r="G1315">
        <v>1</v>
      </c>
      <c r="H1315" t="s">
        <v>2370</v>
      </c>
    </row>
    <row r="1316" spans="1:8" x14ac:dyDescent="0.35">
      <c r="A1316" t="s">
        <v>1046</v>
      </c>
      <c r="B1316">
        <v>22.135000000000002</v>
      </c>
      <c r="C1316">
        <v>8.17</v>
      </c>
      <c r="D1316" t="s">
        <v>2370</v>
      </c>
      <c r="E1316" t="s">
        <v>2370</v>
      </c>
      <c r="F1316" t="s">
        <v>2370</v>
      </c>
      <c r="G1316" t="s">
        <v>2371</v>
      </c>
      <c r="H1316" t="s">
        <v>2370</v>
      </c>
    </row>
    <row r="1317" spans="1:8" x14ac:dyDescent="0.35">
      <c r="A1317" t="s">
        <v>1045</v>
      </c>
      <c r="B1317">
        <v>33.33</v>
      </c>
      <c r="C1317">
        <v>7.61</v>
      </c>
      <c r="D1317" t="s">
        <v>2370</v>
      </c>
      <c r="E1317" t="s">
        <v>2370</v>
      </c>
      <c r="F1317" t="s">
        <v>2370</v>
      </c>
      <c r="G1317" t="s">
        <v>2371</v>
      </c>
      <c r="H1317" t="s">
        <v>2370</v>
      </c>
    </row>
    <row r="1318" spans="1:8" x14ac:dyDescent="0.35">
      <c r="A1318" t="s">
        <v>1044</v>
      </c>
      <c r="B1318">
        <v>31.13</v>
      </c>
      <c r="C1318">
        <v>10.1</v>
      </c>
      <c r="D1318" t="s">
        <v>2370</v>
      </c>
      <c r="E1318" t="s">
        <v>2370</v>
      </c>
      <c r="F1318" t="s">
        <v>2370</v>
      </c>
      <c r="G1318" t="s">
        <v>2371</v>
      </c>
      <c r="H1318" t="s">
        <v>2370</v>
      </c>
    </row>
    <row r="1319" spans="1:8" x14ac:dyDescent="0.35">
      <c r="A1319" t="s">
        <v>1043</v>
      </c>
      <c r="B1319">
        <v>28.9</v>
      </c>
      <c r="C1319">
        <v>11.24</v>
      </c>
      <c r="D1319" t="s">
        <v>2370</v>
      </c>
      <c r="E1319" t="s">
        <v>2370</v>
      </c>
      <c r="F1319" t="s">
        <v>2370</v>
      </c>
      <c r="G1319" t="s">
        <v>2371</v>
      </c>
      <c r="H1319" t="s">
        <v>2370</v>
      </c>
    </row>
    <row r="1320" spans="1:8" x14ac:dyDescent="0.35">
      <c r="A1320" t="s">
        <v>1042</v>
      </c>
      <c r="B1320">
        <v>43.31</v>
      </c>
      <c r="C1320">
        <v>6.1</v>
      </c>
      <c r="D1320" t="s">
        <v>2372</v>
      </c>
      <c r="E1320" t="s">
        <v>2372</v>
      </c>
      <c r="F1320" t="s">
        <v>2370</v>
      </c>
      <c r="G1320">
        <v>1</v>
      </c>
      <c r="H1320" t="s">
        <v>2370</v>
      </c>
    </row>
    <row r="1321" spans="1:8" x14ac:dyDescent="0.35">
      <c r="A1321" t="s">
        <v>1041</v>
      </c>
      <c r="B1321">
        <v>22.8</v>
      </c>
      <c r="C1321">
        <v>6.98</v>
      </c>
      <c r="D1321" t="s">
        <v>2370</v>
      </c>
      <c r="E1321" t="s">
        <v>2370</v>
      </c>
      <c r="F1321" t="s">
        <v>2370</v>
      </c>
      <c r="G1321" t="s">
        <v>2371</v>
      </c>
      <c r="H1321" t="s">
        <v>2370</v>
      </c>
    </row>
    <row r="1322" spans="1:8" x14ac:dyDescent="0.35">
      <c r="A1322" t="s">
        <v>1040</v>
      </c>
      <c r="B1322">
        <v>19.09</v>
      </c>
      <c r="C1322">
        <v>4</v>
      </c>
      <c r="D1322" t="s">
        <v>2372</v>
      </c>
      <c r="E1322" t="s">
        <v>2370</v>
      </c>
      <c r="F1322" t="s">
        <v>2370</v>
      </c>
      <c r="G1322">
        <v>1</v>
      </c>
      <c r="H1322" t="s">
        <v>2370</v>
      </c>
    </row>
    <row r="1323" spans="1:8" x14ac:dyDescent="0.35">
      <c r="A1323" t="s">
        <v>1039</v>
      </c>
      <c r="B1323">
        <v>23.37</v>
      </c>
      <c r="C1323">
        <v>4.2300000000000004</v>
      </c>
      <c r="D1323" t="s">
        <v>2370</v>
      </c>
      <c r="E1323" t="s">
        <v>2370</v>
      </c>
      <c r="F1323" t="s">
        <v>2370</v>
      </c>
      <c r="G1323" t="s">
        <v>2371</v>
      </c>
      <c r="H1323" t="s">
        <v>2370</v>
      </c>
    </row>
    <row r="1324" spans="1:8" x14ac:dyDescent="0.35">
      <c r="A1324" t="s">
        <v>1038</v>
      </c>
      <c r="B1324">
        <v>33.44</v>
      </c>
      <c r="C1324">
        <v>4.72</v>
      </c>
      <c r="D1324" t="s">
        <v>2372</v>
      </c>
      <c r="E1324" t="s">
        <v>2370</v>
      </c>
      <c r="F1324" t="s">
        <v>2370</v>
      </c>
      <c r="G1324" t="s">
        <v>2371</v>
      </c>
      <c r="H1324" t="s">
        <v>2370</v>
      </c>
    </row>
    <row r="1325" spans="1:8" x14ac:dyDescent="0.35">
      <c r="A1325" t="s">
        <v>1037</v>
      </c>
      <c r="B1325">
        <v>28.05</v>
      </c>
      <c r="C1325">
        <v>5.63</v>
      </c>
      <c r="D1325" t="s">
        <v>2372</v>
      </c>
      <c r="E1325" t="s">
        <v>2370</v>
      </c>
      <c r="F1325" t="s">
        <v>2370</v>
      </c>
      <c r="G1325" t="s">
        <v>2371</v>
      </c>
      <c r="H1325" t="s">
        <v>2370</v>
      </c>
    </row>
    <row r="1326" spans="1:8" x14ac:dyDescent="0.35">
      <c r="A1326" t="s">
        <v>1036</v>
      </c>
      <c r="B1326">
        <v>27.72</v>
      </c>
      <c r="C1326">
        <v>5.83</v>
      </c>
      <c r="D1326" t="s">
        <v>2372</v>
      </c>
      <c r="E1326" t="s">
        <v>2370</v>
      </c>
      <c r="F1326" t="s">
        <v>2370</v>
      </c>
      <c r="G1326" t="s">
        <v>2371</v>
      </c>
      <c r="H1326" t="s">
        <v>2370</v>
      </c>
    </row>
    <row r="1327" spans="1:8" x14ac:dyDescent="0.35">
      <c r="A1327" t="s">
        <v>1035</v>
      </c>
      <c r="B1327">
        <v>29.81</v>
      </c>
      <c r="C1327">
        <v>9.23</v>
      </c>
      <c r="D1327" t="s">
        <v>2370</v>
      </c>
      <c r="E1327" t="s">
        <v>2370</v>
      </c>
      <c r="F1327" t="s">
        <v>2370</v>
      </c>
      <c r="G1327" t="s">
        <v>2371</v>
      </c>
      <c r="H1327" t="s">
        <v>2370</v>
      </c>
    </row>
    <row r="1328" spans="1:8" x14ac:dyDescent="0.35">
      <c r="A1328" t="s">
        <v>1034</v>
      </c>
      <c r="B1328">
        <v>23.98</v>
      </c>
      <c r="C1328">
        <v>9.89</v>
      </c>
      <c r="D1328" t="s">
        <v>2370</v>
      </c>
      <c r="E1328" t="s">
        <v>2370</v>
      </c>
      <c r="F1328" t="s">
        <v>2370</v>
      </c>
      <c r="G1328" t="s">
        <v>2371</v>
      </c>
      <c r="H1328" t="s">
        <v>2370</v>
      </c>
    </row>
    <row r="1329" spans="1:8" x14ac:dyDescent="0.35">
      <c r="A1329" t="s">
        <v>1033</v>
      </c>
      <c r="B1329">
        <v>17.34</v>
      </c>
      <c r="C1329">
        <v>12</v>
      </c>
      <c r="D1329" t="s">
        <v>2370</v>
      </c>
      <c r="E1329" t="s">
        <v>2370</v>
      </c>
      <c r="F1329" t="s">
        <v>2370</v>
      </c>
      <c r="G1329" t="s">
        <v>2371</v>
      </c>
      <c r="H1329" t="s">
        <v>2370</v>
      </c>
    </row>
    <row r="1330" spans="1:8" x14ac:dyDescent="0.35">
      <c r="A1330" t="s">
        <v>1032</v>
      </c>
      <c r="B1330">
        <v>40.39</v>
      </c>
      <c r="C1330">
        <v>4.24</v>
      </c>
      <c r="D1330" t="s">
        <v>2372</v>
      </c>
      <c r="E1330" t="s">
        <v>2370</v>
      </c>
      <c r="F1330" t="s">
        <v>2373</v>
      </c>
      <c r="G1330">
        <v>1</v>
      </c>
      <c r="H1330" t="s">
        <v>2370</v>
      </c>
    </row>
    <row r="1331" spans="1:8" x14ac:dyDescent="0.35">
      <c r="A1331" t="s">
        <v>1031</v>
      </c>
      <c r="B1331">
        <v>25.96</v>
      </c>
      <c r="C1331">
        <v>4.68</v>
      </c>
      <c r="D1331" t="s">
        <v>2372</v>
      </c>
      <c r="E1331" t="s">
        <v>2370</v>
      </c>
      <c r="F1331" t="s">
        <v>2373</v>
      </c>
      <c r="G1331">
        <v>1</v>
      </c>
      <c r="H1331" t="s">
        <v>2370</v>
      </c>
    </row>
    <row r="1332" spans="1:8" x14ac:dyDescent="0.35">
      <c r="A1332" t="s">
        <v>1030</v>
      </c>
      <c r="B1332">
        <v>17.68</v>
      </c>
      <c r="C1332">
        <v>8.57</v>
      </c>
      <c r="D1332" t="s">
        <v>2372</v>
      </c>
      <c r="E1332" t="s">
        <v>2370</v>
      </c>
      <c r="F1332" t="s">
        <v>2373</v>
      </c>
      <c r="G1332">
        <v>1</v>
      </c>
      <c r="H1332" t="s">
        <v>2370</v>
      </c>
    </row>
    <row r="1333" spans="1:8" x14ac:dyDescent="0.35">
      <c r="A1333" t="s">
        <v>1029</v>
      </c>
      <c r="B1333">
        <v>30.875</v>
      </c>
      <c r="C1333">
        <v>4.0999999999999996</v>
      </c>
      <c r="D1333" t="s">
        <v>2370</v>
      </c>
      <c r="E1333" t="s">
        <v>2370</v>
      </c>
      <c r="F1333" t="s">
        <v>2370</v>
      </c>
      <c r="G1333" t="s">
        <v>2371</v>
      </c>
      <c r="H1333" t="s">
        <v>2370</v>
      </c>
    </row>
    <row r="1334" spans="1:8" x14ac:dyDescent="0.35">
      <c r="A1334" t="s">
        <v>1028</v>
      </c>
      <c r="B1334">
        <v>30.81</v>
      </c>
      <c r="C1334">
        <v>4.49</v>
      </c>
      <c r="D1334" t="s">
        <v>2370</v>
      </c>
      <c r="E1334" t="s">
        <v>2370</v>
      </c>
      <c r="F1334" t="s">
        <v>2370</v>
      </c>
      <c r="G1334" t="s">
        <v>2371</v>
      </c>
      <c r="H1334" t="s">
        <v>2370</v>
      </c>
    </row>
    <row r="1335" spans="1:8" x14ac:dyDescent="0.35">
      <c r="A1335" t="s">
        <v>1027</v>
      </c>
      <c r="B1335">
        <v>36.85</v>
      </c>
      <c r="C1335">
        <v>8.8000000000000007</v>
      </c>
      <c r="D1335" t="s">
        <v>2370</v>
      </c>
      <c r="E1335" t="s">
        <v>2370</v>
      </c>
      <c r="F1335" t="s">
        <v>2370</v>
      </c>
      <c r="G1335">
        <v>2</v>
      </c>
      <c r="H1335" t="s">
        <v>2370</v>
      </c>
    </row>
    <row r="1336" spans="1:8" x14ac:dyDescent="0.35">
      <c r="A1336" t="s">
        <v>1026</v>
      </c>
      <c r="B1336">
        <v>35.86</v>
      </c>
      <c r="C1336">
        <v>7.93</v>
      </c>
      <c r="D1336" t="s">
        <v>2370</v>
      </c>
      <c r="E1336" t="s">
        <v>2370</v>
      </c>
      <c r="F1336" t="s">
        <v>2370</v>
      </c>
      <c r="G1336">
        <v>2</v>
      </c>
      <c r="H1336" t="s">
        <v>2370</v>
      </c>
    </row>
    <row r="1337" spans="1:8" x14ac:dyDescent="0.35">
      <c r="A1337" t="s">
        <v>1025</v>
      </c>
      <c r="B1337">
        <v>30.3</v>
      </c>
      <c r="C1337">
        <v>9.4499999999999993</v>
      </c>
      <c r="D1337" t="s">
        <v>2370</v>
      </c>
      <c r="E1337" t="s">
        <v>2370</v>
      </c>
      <c r="F1337" t="s">
        <v>2370</v>
      </c>
      <c r="G1337">
        <v>2</v>
      </c>
      <c r="H1337" t="s">
        <v>2370</v>
      </c>
    </row>
    <row r="1338" spans="1:8" x14ac:dyDescent="0.35">
      <c r="A1338" t="s">
        <v>1024</v>
      </c>
      <c r="B1338">
        <v>32.015000000000001</v>
      </c>
      <c r="C1338">
        <v>7.67</v>
      </c>
      <c r="D1338" t="s">
        <v>2370</v>
      </c>
      <c r="E1338" t="s">
        <v>2370</v>
      </c>
      <c r="F1338" t="s">
        <v>2370</v>
      </c>
      <c r="G1338" t="s">
        <v>2371</v>
      </c>
      <c r="H1338" t="s">
        <v>2370</v>
      </c>
    </row>
    <row r="1339" spans="1:8" x14ac:dyDescent="0.35">
      <c r="A1339" t="s">
        <v>1023</v>
      </c>
      <c r="B1339">
        <v>25.06</v>
      </c>
      <c r="C1339">
        <v>10.53</v>
      </c>
      <c r="D1339" t="s">
        <v>2370</v>
      </c>
      <c r="E1339" t="s">
        <v>2370</v>
      </c>
      <c r="F1339" t="s">
        <v>2370</v>
      </c>
      <c r="G1339">
        <v>2</v>
      </c>
      <c r="H1339" t="s">
        <v>2370</v>
      </c>
    </row>
    <row r="1340" spans="1:8" x14ac:dyDescent="0.35">
      <c r="A1340" t="s">
        <v>1022</v>
      </c>
      <c r="B1340">
        <v>18.829999999999998</v>
      </c>
      <c r="C1340">
        <v>10.08</v>
      </c>
      <c r="D1340" t="s">
        <v>2372</v>
      </c>
      <c r="E1340" t="s">
        <v>2370</v>
      </c>
      <c r="F1340" t="s">
        <v>2370</v>
      </c>
      <c r="G1340" t="s">
        <v>2371</v>
      </c>
      <c r="H1340" t="s">
        <v>2370</v>
      </c>
    </row>
    <row r="1341" spans="1:8" x14ac:dyDescent="0.35">
      <c r="A1341" t="s">
        <v>1021</v>
      </c>
      <c r="B1341">
        <v>47.52</v>
      </c>
      <c r="C1341">
        <v>11.39</v>
      </c>
      <c r="D1341" t="s">
        <v>2372</v>
      </c>
      <c r="E1341" t="s">
        <v>2370</v>
      </c>
      <c r="F1341" t="s">
        <v>2370</v>
      </c>
      <c r="G1341">
        <v>1</v>
      </c>
      <c r="H1341" t="s">
        <v>2370</v>
      </c>
    </row>
    <row r="1342" spans="1:8" x14ac:dyDescent="0.35">
      <c r="A1342" t="s">
        <v>1020</v>
      </c>
      <c r="B1342">
        <v>37.82</v>
      </c>
      <c r="C1342">
        <v>6.36</v>
      </c>
      <c r="D1342" t="s">
        <v>2370</v>
      </c>
      <c r="E1342" t="s">
        <v>2370</v>
      </c>
      <c r="F1342" t="s">
        <v>2370</v>
      </c>
      <c r="G1342" t="s">
        <v>2371</v>
      </c>
      <c r="H1342" t="s">
        <v>2370</v>
      </c>
    </row>
    <row r="1343" spans="1:8" x14ac:dyDescent="0.35">
      <c r="A1343" t="s">
        <v>1019</v>
      </c>
      <c r="B1343">
        <v>44.16</v>
      </c>
      <c r="C1343">
        <v>5.31</v>
      </c>
      <c r="D1343" t="s">
        <v>2372</v>
      </c>
      <c r="E1343" t="s">
        <v>2370</v>
      </c>
      <c r="F1343" t="s">
        <v>2370</v>
      </c>
      <c r="G1343" t="s">
        <v>2371</v>
      </c>
      <c r="H1343" t="s">
        <v>2370</v>
      </c>
    </row>
    <row r="1344" spans="1:8" x14ac:dyDescent="0.35">
      <c r="A1344" t="s">
        <v>1018</v>
      </c>
      <c r="B1344">
        <v>37.049999999999997</v>
      </c>
      <c r="C1344">
        <v>4.74</v>
      </c>
      <c r="D1344" t="s">
        <v>2370</v>
      </c>
      <c r="E1344" t="s">
        <v>2370</v>
      </c>
      <c r="F1344" t="s">
        <v>2373</v>
      </c>
      <c r="G1344">
        <v>1</v>
      </c>
      <c r="H1344" t="s">
        <v>2370</v>
      </c>
    </row>
    <row r="1345" spans="1:8" x14ac:dyDescent="0.35">
      <c r="A1345" t="s">
        <v>1017</v>
      </c>
      <c r="B1345">
        <v>18.66</v>
      </c>
      <c r="C1345">
        <v>11.35</v>
      </c>
      <c r="D1345" t="s">
        <v>2370</v>
      </c>
      <c r="E1345" t="s">
        <v>2370</v>
      </c>
      <c r="F1345" t="s">
        <v>2370</v>
      </c>
      <c r="G1345" t="s">
        <v>2371</v>
      </c>
      <c r="H1345" t="s">
        <v>2370</v>
      </c>
    </row>
    <row r="1346" spans="1:8" x14ac:dyDescent="0.35">
      <c r="A1346" t="s">
        <v>1016</v>
      </c>
      <c r="B1346">
        <v>36.200000000000003</v>
      </c>
      <c r="C1346">
        <v>6.81</v>
      </c>
      <c r="D1346" t="s">
        <v>2372</v>
      </c>
      <c r="E1346" t="s">
        <v>2370</v>
      </c>
      <c r="F1346" t="s">
        <v>2370</v>
      </c>
      <c r="G1346">
        <v>1</v>
      </c>
      <c r="H1346" t="s">
        <v>2370</v>
      </c>
    </row>
    <row r="1347" spans="1:8" x14ac:dyDescent="0.35">
      <c r="A1347" t="s">
        <v>1015</v>
      </c>
      <c r="B1347">
        <v>18.87</v>
      </c>
      <c r="C1347">
        <v>8.06</v>
      </c>
      <c r="D1347" t="s">
        <v>2370</v>
      </c>
      <c r="E1347" t="s">
        <v>2370</v>
      </c>
      <c r="F1347" t="s">
        <v>2370</v>
      </c>
      <c r="G1347" t="s">
        <v>2371</v>
      </c>
      <c r="H1347" t="s">
        <v>2370</v>
      </c>
    </row>
    <row r="1348" spans="1:8" x14ac:dyDescent="0.35">
      <c r="A1348" t="s">
        <v>1014</v>
      </c>
      <c r="B1348">
        <v>32.299999999999997</v>
      </c>
      <c r="C1348">
        <v>6.74</v>
      </c>
      <c r="D1348" t="s">
        <v>2372</v>
      </c>
      <c r="E1348" t="s">
        <v>2370</v>
      </c>
      <c r="F1348" t="s">
        <v>2370</v>
      </c>
      <c r="G1348">
        <v>1</v>
      </c>
      <c r="H1348" t="s">
        <v>2370</v>
      </c>
    </row>
    <row r="1349" spans="1:8" x14ac:dyDescent="0.35">
      <c r="A1349" t="s">
        <v>1013</v>
      </c>
      <c r="B1349">
        <v>22.64</v>
      </c>
      <c r="C1349">
        <v>6.54</v>
      </c>
      <c r="D1349" t="s">
        <v>2372</v>
      </c>
      <c r="E1349" t="s">
        <v>2370</v>
      </c>
      <c r="F1349" t="s">
        <v>2370</v>
      </c>
      <c r="G1349">
        <v>2</v>
      </c>
      <c r="H1349" t="s">
        <v>2370</v>
      </c>
    </row>
    <row r="1350" spans="1:8" x14ac:dyDescent="0.35">
      <c r="A1350" t="s">
        <v>1012</v>
      </c>
      <c r="B1350">
        <v>28.69</v>
      </c>
      <c r="C1350">
        <v>5.4</v>
      </c>
      <c r="D1350" t="s">
        <v>2370</v>
      </c>
      <c r="E1350" t="s">
        <v>2370</v>
      </c>
      <c r="F1350" t="s">
        <v>2370</v>
      </c>
      <c r="G1350" t="s">
        <v>2371</v>
      </c>
      <c r="H1350" t="s">
        <v>2370</v>
      </c>
    </row>
    <row r="1351" spans="1:8" x14ac:dyDescent="0.35">
      <c r="A1351" t="s">
        <v>1011</v>
      </c>
      <c r="B1351">
        <v>28.16</v>
      </c>
      <c r="C1351">
        <v>5.58</v>
      </c>
      <c r="D1351" t="s">
        <v>2372</v>
      </c>
      <c r="E1351" t="s">
        <v>2370</v>
      </c>
      <c r="F1351" t="s">
        <v>2370</v>
      </c>
      <c r="G1351" t="s">
        <v>2371</v>
      </c>
      <c r="H1351" t="s">
        <v>2370</v>
      </c>
    </row>
    <row r="1352" spans="1:8" x14ac:dyDescent="0.35">
      <c r="A1352" t="s">
        <v>1010</v>
      </c>
      <c r="B1352">
        <v>45.54</v>
      </c>
      <c r="C1352">
        <v>5.84</v>
      </c>
      <c r="D1352" t="s">
        <v>2370</v>
      </c>
      <c r="E1352" t="s">
        <v>2370</v>
      </c>
      <c r="F1352" t="s">
        <v>2373</v>
      </c>
      <c r="G1352">
        <v>1</v>
      </c>
      <c r="H1352" t="s">
        <v>2370</v>
      </c>
    </row>
    <row r="1353" spans="1:8" x14ac:dyDescent="0.35">
      <c r="A1353" t="s">
        <v>1009</v>
      </c>
      <c r="B1353">
        <v>28.7</v>
      </c>
      <c r="C1353">
        <v>4.2</v>
      </c>
      <c r="D1353" t="s">
        <v>2370</v>
      </c>
      <c r="E1353" t="s">
        <v>2370</v>
      </c>
      <c r="F1353" t="s">
        <v>2370</v>
      </c>
      <c r="G1353" t="s">
        <v>2371</v>
      </c>
      <c r="H1353" t="s">
        <v>2370</v>
      </c>
    </row>
    <row r="1354" spans="1:8" x14ac:dyDescent="0.35">
      <c r="A1354" t="s">
        <v>1008</v>
      </c>
      <c r="B1354">
        <v>27.74</v>
      </c>
      <c r="C1354">
        <v>6.06</v>
      </c>
      <c r="D1354" t="s">
        <v>2372</v>
      </c>
      <c r="E1354" t="s">
        <v>2370</v>
      </c>
      <c r="F1354" t="s">
        <v>2370</v>
      </c>
      <c r="G1354" t="s">
        <v>2371</v>
      </c>
      <c r="H1354" t="s">
        <v>2370</v>
      </c>
    </row>
    <row r="1355" spans="1:8" x14ac:dyDescent="0.35">
      <c r="A1355" t="s">
        <v>1007</v>
      </c>
      <c r="B1355">
        <v>36.954999999999998</v>
      </c>
      <c r="C1355">
        <v>7.57</v>
      </c>
      <c r="D1355" t="s">
        <v>2370</v>
      </c>
      <c r="E1355" t="s">
        <v>2370</v>
      </c>
      <c r="F1355" t="s">
        <v>2370</v>
      </c>
      <c r="G1355" t="s">
        <v>2371</v>
      </c>
      <c r="H1355" t="s">
        <v>2370</v>
      </c>
    </row>
    <row r="1356" spans="1:8" x14ac:dyDescent="0.35">
      <c r="A1356" t="s">
        <v>1006</v>
      </c>
      <c r="B1356">
        <v>30.69</v>
      </c>
      <c r="C1356">
        <v>6.15</v>
      </c>
      <c r="D1356" t="s">
        <v>2370</v>
      </c>
      <c r="E1356" t="s">
        <v>2370</v>
      </c>
      <c r="F1356" t="s">
        <v>2370</v>
      </c>
      <c r="G1356" t="s">
        <v>2371</v>
      </c>
      <c r="H1356" t="s">
        <v>2370</v>
      </c>
    </row>
    <row r="1357" spans="1:8" x14ac:dyDescent="0.35">
      <c r="A1357" t="s">
        <v>1005</v>
      </c>
      <c r="B1357">
        <v>24.984999999999999</v>
      </c>
      <c r="C1357">
        <v>4.5599999999999996</v>
      </c>
      <c r="D1357" t="s">
        <v>2370</v>
      </c>
      <c r="E1357" t="s">
        <v>2370</v>
      </c>
      <c r="F1357" t="s">
        <v>2370</v>
      </c>
      <c r="G1357" t="s">
        <v>2371</v>
      </c>
      <c r="H1357" t="s">
        <v>2370</v>
      </c>
    </row>
    <row r="1358" spans="1:8" x14ac:dyDescent="0.35">
      <c r="A1358" t="s">
        <v>1004</v>
      </c>
      <c r="B1358">
        <v>39.42</v>
      </c>
      <c r="C1358">
        <v>4.72</v>
      </c>
      <c r="D1358" t="s">
        <v>2372</v>
      </c>
      <c r="E1358" t="s">
        <v>2370</v>
      </c>
      <c r="F1358" t="s">
        <v>2370</v>
      </c>
      <c r="G1358">
        <v>1</v>
      </c>
      <c r="H1358" t="s">
        <v>2370</v>
      </c>
    </row>
    <row r="1359" spans="1:8" x14ac:dyDescent="0.35">
      <c r="A1359" t="s">
        <v>1003</v>
      </c>
      <c r="B1359">
        <v>16.8</v>
      </c>
      <c r="C1359">
        <v>7.98</v>
      </c>
      <c r="D1359" t="s">
        <v>2370</v>
      </c>
      <c r="E1359" t="s">
        <v>2370</v>
      </c>
      <c r="F1359" t="s">
        <v>2370</v>
      </c>
      <c r="G1359" t="s">
        <v>2371</v>
      </c>
      <c r="H1359" t="s">
        <v>2370</v>
      </c>
    </row>
    <row r="1360" spans="1:8" x14ac:dyDescent="0.35">
      <c r="A1360" t="s">
        <v>1002</v>
      </c>
      <c r="B1360">
        <v>23.274999999999999</v>
      </c>
      <c r="C1360">
        <v>6.26</v>
      </c>
      <c r="D1360" t="s">
        <v>2372</v>
      </c>
      <c r="E1360" t="s">
        <v>2370</v>
      </c>
      <c r="F1360" t="s">
        <v>2373</v>
      </c>
      <c r="G1360">
        <v>1</v>
      </c>
      <c r="H1360" t="s">
        <v>2370</v>
      </c>
    </row>
    <row r="1361" spans="1:8" x14ac:dyDescent="0.35">
      <c r="A1361" t="s">
        <v>1001</v>
      </c>
      <c r="B1361">
        <v>22.8</v>
      </c>
      <c r="C1361">
        <v>4.29</v>
      </c>
      <c r="D1361" t="s">
        <v>2372</v>
      </c>
      <c r="E1361" t="s">
        <v>2370</v>
      </c>
      <c r="F1361" t="s">
        <v>2373</v>
      </c>
      <c r="G1361">
        <v>1</v>
      </c>
      <c r="H1361" t="s">
        <v>2370</v>
      </c>
    </row>
    <row r="1362" spans="1:8" x14ac:dyDescent="0.35">
      <c r="A1362" t="s">
        <v>1000</v>
      </c>
      <c r="B1362">
        <v>24.3</v>
      </c>
      <c r="C1362">
        <v>5.43</v>
      </c>
      <c r="D1362" t="s">
        <v>2370</v>
      </c>
      <c r="E1362" t="s">
        <v>2370</v>
      </c>
      <c r="F1362" t="s">
        <v>2370</v>
      </c>
      <c r="G1362">
        <v>2</v>
      </c>
      <c r="H1362" t="s">
        <v>2370</v>
      </c>
    </row>
    <row r="1363" spans="1:8" x14ac:dyDescent="0.35">
      <c r="A1363" t="s">
        <v>999</v>
      </c>
      <c r="B1363">
        <v>25.13</v>
      </c>
      <c r="C1363">
        <v>8</v>
      </c>
      <c r="D1363" t="s">
        <v>2372</v>
      </c>
      <c r="E1363" t="s">
        <v>2370</v>
      </c>
      <c r="F1363" t="s">
        <v>2370</v>
      </c>
      <c r="G1363">
        <v>1</v>
      </c>
      <c r="H1363" t="s">
        <v>2370</v>
      </c>
    </row>
    <row r="1364" spans="1:8" x14ac:dyDescent="0.35">
      <c r="A1364" t="s">
        <v>998</v>
      </c>
      <c r="B1364">
        <v>22.72</v>
      </c>
      <c r="C1364">
        <v>9.9600000000000009</v>
      </c>
      <c r="D1364" t="s">
        <v>2372</v>
      </c>
      <c r="E1364" t="s">
        <v>2370</v>
      </c>
      <c r="F1364" t="s">
        <v>2370</v>
      </c>
      <c r="G1364">
        <v>2</v>
      </c>
      <c r="H1364" t="s">
        <v>2370</v>
      </c>
    </row>
    <row r="1365" spans="1:8" x14ac:dyDescent="0.35">
      <c r="A1365" t="s">
        <v>997</v>
      </c>
      <c r="B1365">
        <v>32.6</v>
      </c>
      <c r="C1365">
        <v>6.8</v>
      </c>
      <c r="D1365" t="s">
        <v>2372</v>
      </c>
      <c r="E1365" t="s">
        <v>2370</v>
      </c>
      <c r="F1365" t="s">
        <v>2370</v>
      </c>
      <c r="G1365" t="s">
        <v>2371</v>
      </c>
      <c r="H1365" t="s">
        <v>2370</v>
      </c>
    </row>
    <row r="1366" spans="1:8" x14ac:dyDescent="0.35">
      <c r="A1366" t="s">
        <v>996</v>
      </c>
      <c r="B1366">
        <v>17.28</v>
      </c>
      <c r="C1366">
        <v>6.22</v>
      </c>
      <c r="D1366" t="s">
        <v>2372</v>
      </c>
      <c r="E1366" t="s">
        <v>2370</v>
      </c>
      <c r="F1366" t="s">
        <v>2370</v>
      </c>
      <c r="G1366">
        <v>2</v>
      </c>
      <c r="H1366" t="s">
        <v>2370</v>
      </c>
    </row>
    <row r="1367" spans="1:8" x14ac:dyDescent="0.35">
      <c r="A1367" t="s">
        <v>995</v>
      </c>
      <c r="B1367">
        <v>27.92</v>
      </c>
      <c r="C1367">
        <v>5.79</v>
      </c>
      <c r="D1367" t="s">
        <v>2370</v>
      </c>
      <c r="E1367" t="s">
        <v>2370</v>
      </c>
      <c r="F1367" t="s">
        <v>2370</v>
      </c>
      <c r="G1367">
        <v>1</v>
      </c>
      <c r="H1367" t="s">
        <v>2370</v>
      </c>
    </row>
    <row r="1368" spans="1:8" x14ac:dyDescent="0.35">
      <c r="A1368" t="s">
        <v>994</v>
      </c>
      <c r="B1368">
        <v>38.284999999999997</v>
      </c>
      <c r="C1368">
        <v>5.41</v>
      </c>
      <c r="D1368" t="s">
        <v>2370</v>
      </c>
      <c r="E1368" t="s">
        <v>2370</v>
      </c>
      <c r="F1368" t="s">
        <v>2370</v>
      </c>
      <c r="G1368" t="s">
        <v>2371</v>
      </c>
      <c r="H1368" t="s">
        <v>2370</v>
      </c>
    </row>
    <row r="1369" spans="1:8" x14ac:dyDescent="0.35">
      <c r="A1369" t="s">
        <v>993</v>
      </c>
      <c r="B1369">
        <v>16.48</v>
      </c>
      <c r="C1369">
        <v>11.05</v>
      </c>
      <c r="D1369" t="s">
        <v>2370</v>
      </c>
      <c r="E1369" t="s">
        <v>2370</v>
      </c>
      <c r="F1369" t="s">
        <v>2370</v>
      </c>
      <c r="G1369" t="s">
        <v>2371</v>
      </c>
      <c r="H1369" t="s">
        <v>2370</v>
      </c>
    </row>
    <row r="1370" spans="1:8" x14ac:dyDescent="0.35">
      <c r="A1370" t="s">
        <v>992</v>
      </c>
      <c r="B1370">
        <v>38.57</v>
      </c>
      <c r="C1370">
        <v>6.27</v>
      </c>
      <c r="D1370" t="s">
        <v>2370</v>
      </c>
      <c r="E1370" t="s">
        <v>2370</v>
      </c>
      <c r="F1370" t="s">
        <v>2370</v>
      </c>
      <c r="G1370" t="s">
        <v>2371</v>
      </c>
      <c r="H1370" t="s">
        <v>2370</v>
      </c>
    </row>
    <row r="1371" spans="1:8" x14ac:dyDescent="0.35">
      <c r="A1371" t="s">
        <v>991</v>
      </c>
      <c r="B1371">
        <v>43.85</v>
      </c>
      <c r="C1371">
        <v>4.7699999999999996</v>
      </c>
      <c r="D1371" t="s">
        <v>2372</v>
      </c>
      <c r="E1371" t="s">
        <v>2370</v>
      </c>
      <c r="F1371" t="s">
        <v>2370</v>
      </c>
      <c r="G1371" t="s">
        <v>2371</v>
      </c>
      <c r="H1371" t="s">
        <v>2370</v>
      </c>
    </row>
    <row r="1372" spans="1:8" x14ac:dyDescent="0.35">
      <c r="A1372" t="s">
        <v>990</v>
      </c>
      <c r="B1372">
        <v>30.11</v>
      </c>
      <c r="C1372">
        <v>4.08</v>
      </c>
      <c r="D1372" t="s">
        <v>2370</v>
      </c>
      <c r="E1372" t="s">
        <v>2370</v>
      </c>
      <c r="F1372" t="s">
        <v>2370</v>
      </c>
      <c r="G1372" t="s">
        <v>2371</v>
      </c>
      <c r="H1372" t="s">
        <v>2370</v>
      </c>
    </row>
    <row r="1373" spans="1:8" x14ac:dyDescent="0.35">
      <c r="A1373" t="s">
        <v>989</v>
      </c>
      <c r="B1373">
        <v>31.59</v>
      </c>
      <c r="C1373">
        <v>6.01</v>
      </c>
      <c r="D1373" t="s">
        <v>2370</v>
      </c>
      <c r="E1373" t="s">
        <v>2370</v>
      </c>
      <c r="F1373" t="s">
        <v>2370</v>
      </c>
      <c r="G1373" t="s">
        <v>2371</v>
      </c>
      <c r="H1373" t="s">
        <v>2370</v>
      </c>
    </row>
    <row r="1374" spans="1:8" x14ac:dyDescent="0.35">
      <c r="A1374" t="s">
        <v>988</v>
      </c>
      <c r="B1374">
        <v>40.15</v>
      </c>
      <c r="C1374">
        <v>11.84</v>
      </c>
      <c r="D1374" t="s">
        <v>2370</v>
      </c>
      <c r="E1374" t="s">
        <v>2370</v>
      </c>
      <c r="F1374" t="s">
        <v>2370</v>
      </c>
      <c r="G1374" t="s">
        <v>2371</v>
      </c>
      <c r="H1374" t="s">
        <v>2370</v>
      </c>
    </row>
    <row r="1375" spans="1:8" x14ac:dyDescent="0.35">
      <c r="A1375" t="s">
        <v>987</v>
      </c>
      <c r="B1375">
        <v>40.700000000000003</v>
      </c>
      <c r="C1375">
        <v>6.27</v>
      </c>
      <c r="D1375" t="s">
        <v>2372</v>
      </c>
      <c r="E1375" t="s">
        <v>2370</v>
      </c>
      <c r="F1375" t="s">
        <v>2373</v>
      </c>
      <c r="G1375">
        <v>1</v>
      </c>
      <c r="H1375" t="s">
        <v>2370</v>
      </c>
    </row>
    <row r="1376" spans="1:8" x14ac:dyDescent="0.35">
      <c r="A1376" t="s">
        <v>986</v>
      </c>
      <c r="B1376">
        <v>40.76</v>
      </c>
      <c r="C1376">
        <v>5.28</v>
      </c>
      <c r="D1376" t="s">
        <v>2370</v>
      </c>
      <c r="E1376" t="s">
        <v>2370</v>
      </c>
      <c r="F1376" t="s">
        <v>2370</v>
      </c>
      <c r="G1376" t="s">
        <v>2371</v>
      </c>
      <c r="H1376" t="s">
        <v>2370</v>
      </c>
    </row>
    <row r="1377" spans="1:8" x14ac:dyDescent="0.35">
      <c r="A1377" t="s">
        <v>985</v>
      </c>
      <c r="B1377">
        <v>29.7</v>
      </c>
      <c r="C1377">
        <v>7.03</v>
      </c>
      <c r="D1377" t="s">
        <v>2370</v>
      </c>
      <c r="E1377" t="s">
        <v>2370</v>
      </c>
      <c r="F1377" t="s">
        <v>2370</v>
      </c>
      <c r="G1377" t="s">
        <v>2371</v>
      </c>
      <c r="H1377" t="s">
        <v>2370</v>
      </c>
    </row>
    <row r="1378" spans="1:8" x14ac:dyDescent="0.35">
      <c r="A1378" t="s">
        <v>984</v>
      </c>
      <c r="B1378">
        <v>40.58</v>
      </c>
      <c r="C1378">
        <v>5.32</v>
      </c>
      <c r="D1378" t="s">
        <v>2372</v>
      </c>
      <c r="E1378" t="s">
        <v>2370</v>
      </c>
      <c r="F1378" t="s">
        <v>2373</v>
      </c>
      <c r="G1378">
        <v>1</v>
      </c>
      <c r="H1378" t="s">
        <v>2370</v>
      </c>
    </row>
    <row r="1379" spans="1:8" x14ac:dyDescent="0.35">
      <c r="A1379" t="s">
        <v>983</v>
      </c>
      <c r="B1379">
        <v>33.06</v>
      </c>
      <c r="C1379">
        <v>9.59</v>
      </c>
      <c r="D1379" t="s">
        <v>2372</v>
      </c>
      <c r="E1379" t="s">
        <v>2370</v>
      </c>
      <c r="F1379" t="s">
        <v>2370</v>
      </c>
      <c r="G1379" t="s">
        <v>2371</v>
      </c>
      <c r="H1379" t="s">
        <v>2370</v>
      </c>
    </row>
    <row r="1380" spans="1:8" x14ac:dyDescent="0.35">
      <c r="A1380" t="s">
        <v>982</v>
      </c>
      <c r="B1380">
        <v>26.62</v>
      </c>
      <c r="C1380">
        <v>6.15</v>
      </c>
      <c r="D1380" t="s">
        <v>2372</v>
      </c>
      <c r="E1380" t="s">
        <v>2370</v>
      </c>
      <c r="F1380" t="s">
        <v>2370</v>
      </c>
      <c r="G1380" t="s">
        <v>2371</v>
      </c>
      <c r="H1380" t="s">
        <v>2370</v>
      </c>
    </row>
    <row r="1381" spans="1:8" x14ac:dyDescent="0.35">
      <c r="A1381" t="s">
        <v>981</v>
      </c>
      <c r="B1381">
        <v>37.1</v>
      </c>
      <c r="C1381">
        <v>11.08</v>
      </c>
      <c r="D1381" t="s">
        <v>2370</v>
      </c>
      <c r="E1381" t="s">
        <v>2370</v>
      </c>
      <c r="F1381" t="s">
        <v>2370</v>
      </c>
      <c r="G1381" t="s">
        <v>2371</v>
      </c>
      <c r="H1381" t="s">
        <v>2370</v>
      </c>
    </row>
    <row r="1382" spans="1:8" x14ac:dyDescent="0.35">
      <c r="A1382" t="s">
        <v>980</v>
      </c>
      <c r="B1382">
        <v>18.28</v>
      </c>
      <c r="C1382">
        <v>7.95</v>
      </c>
      <c r="D1382" t="s">
        <v>2370</v>
      </c>
      <c r="E1382" t="s">
        <v>2370</v>
      </c>
      <c r="F1382" t="s">
        <v>2370</v>
      </c>
      <c r="G1382" t="s">
        <v>2371</v>
      </c>
      <c r="H1382" t="s">
        <v>2370</v>
      </c>
    </row>
    <row r="1383" spans="1:8" x14ac:dyDescent="0.35">
      <c r="A1383" t="s">
        <v>979</v>
      </c>
      <c r="B1383">
        <v>35.814999999999998</v>
      </c>
      <c r="C1383">
        <v>6.23</v>
      </c>
      <c r="D1383" t="s">
        <v>2370</v>
      </c>
      <c r="E1383" t="s">
        <v>2370</v>
      </c>
      <c r="F1383" t="s">
        <v>2370</v>
      </c>
      <c r="G1383" t="s">
        <v>2371</v>
      </c>
      <c r="H1383" t="s">
        <v>2370</v>
      </c>
    </row>
    <row r="1384" spans="1:8" x14ac:dyDescent="0.35">
      <c r="A1384" t="s">
        <v>978</v>
      </c>
      <c r="B1384">
        <v>30.69</v>
      </c>
      <c r="C1384">
        <v>6.5</v>
      </c>
      <c r="D1384" t="s">
        <v>2370</v>
      </c>
      <c r="E1384" t="s">
        <v>2370</v>
      </c>
      <c r="F1384" t="s">
        <v>2370</v>
      </c>
      <c r="G1384" t="s">
        <v>2371</v>
      </c>
      <c r="H1384" t="s">
        <v>2370</v>
      </c>
    </row>
    <row r="1385" spans="1:8" x14ac:dyDescent="0.35">
      <c r="A1385" t="s">
        <v>977</v>
      </c>
      <c r="B1385">
        <v>26.125</v>
      </c>
      <c r="C1385">
        <v>5.22</v>
      </c>
      <c r="D1385" t="s">
        <v>2370</v>
      </c>
      <c r="E1385" t="s">
        <v>2370</v>
      </c>
      <c r="F1385" t="s">
        <v>2370</v>
      </c>
      <c r="G1385" t="s">
        <v>2371</v>
      </c>
      <c r="H1385" t="s">
        <v>2370</v>
      </c>
    </row>
    <row r="1386" spans="1:8" x14ac:dyDescent="0.35">
      <c r="A1386" t="s">
        <v>976</v>
      </c>
      <c r="B1386">
        <v>34.58</v>
      </c>
      <c r="C1386">
        <v>6.3</v>
      </c>
      <c r="D1386" t="s">
        <v>2370</v>
      </c>
      <c r="E1386" t="s">
        <v>2370</v>
      </c>
      <c r="F1386" t="s">
        <v>2373</v>
      </c>
      <c r="G1386">
        <v>1</v>
      </c>
      <c r="H1386" t="s">
        <v>2370</v>
      </c>
    </row>
    <row r="1387" spans="1:8" x14ac:dyDescent="0.35">
      <c r="A1387" t="s">
        <v>975</v>
      </c>
      <c r="B1387">
        <v>27.4</v>
      </c>
      <c r="C1387">
        <v>8.84</v>
      </c>
      <c r="D1387" t="s">
        <v>2370</v>
      </c>
      <c r="E1387" t="s">
        <v>2370</v>
      </c>
      <c r="F1387" t="s">
        <v>2370</v>
      </c>
      <c r="G1387" t="s">
        <v>2371</v>
      </c>
      <c r="H1387" t="s">
        <v>2370</v>
      </c>
    </row>
    <row r="1388" spans="1:8" x14ac:dyDescent="0.35">
      <c r="A1388" t="s">
        <v>974</v>
      </c>
      <c r="B1388">
        <v>27.53</v>
      </c>
      <c r="C1388">
        <v>4.1100000000000003</v>
      </c>
      <c r="D1388" t="s">
        <v>2370</v>
      </c>
      <c r="E1388" t="s">
        <v>2370</v>
      </c>
      <c r="F1388" t="s">
        <v>2370</v>
      </c>
      <c r="G1388">
        <v>1</v>
      </c>
      <c r="H1388" t="s">
        <v>2370</v>
      </c>
    </row>
    <row r="1389" spans="1:8" x14ac:dyDescent="0.35">
      <c r="A1389" t="s">
        <v>973</v>
      </c>
      <c r="B1389">
        <v>33</v>
      </c>
      <c r="C1389">
        <v>4.57</v>
      </c>
      <c r="D1389" t="s">
        <v>2370</v>
      </c>
      <c r="E1389" t="s">
        <v>2370</v>
      </c>
      <c r="F1389" t="s">
        <v>2370</v>
      </c>
      <c r="G1389" t="s">
        <v>2371</v>
      </c>
      <c r="H1389" t="s">
        <v>2370</v>
      </c>
    </row>
    <row r="1390" spans="1:8" x14ac:dyDescent="0.35">
      <c r="A1390" t="s">
        <v>972</v>
      </c>
      <c r="B1390">
        <v>25.78</v>
      </c>
      <c r="C1390">
        <v>11.06</v>
      </c>
      <c r="D1390" t="s">
        <v>2372</v>
      </c>
      <c r="E1390" t="s">
        <v>2370</v>
      </c>
      <c r="F1390" t="s">
        <v>2370</v>
      </c>
      <c r="G1390" t="s">
        <v>2371</v>
      </c>
      <c r="H1390" t="s">
        <v>2370</v>
      </c>
    </row>
    <row r="1391" spans="1:8" x14ac:dyDescent="0.35">
      <c r="A1391" t="s">
        <v>971</v>
      </c>
      <c r="B1391">
        <v>22.66</v>
      </c>
      <c r="C1391">
        <v>10.68</v>
      </c>
      <c r="D1391" t="s">
        <v>2370</v>
      </c>
      <c r="E1391" t="s">
        <v>2370</v>
      </c>
      <c r="F1391" t="s">
        <v>2370</v>
      </c>
      <c r="G1391" t="s">
        <v>2371</v>
      </c>
      <c r="H1391" t="s">
        <v>2370</v>
      </c>
    </row>
    <row r="1392" spans="1:8" x14ac:dyDescent="0.35">
      <c r="A1392" t="s">
        <v>970</v>
      </c>
      <c r="B1392">
        <v>38.81</v>
      </c>
      <c r="C1392">
        <v>6.14</v>
      </c>
      <c r="D1392" t="s">
        <v>2372</v>
      </c>
      <c r="E1392" t="s">
        <v>2370</v>
      </c>
      <c r="F1392" t="s">
        <v>2370</v>
      </c>
      <c r="G1392">
        <v>1</v>
      </c>
      <c r="H1392" t="s">
        <v>2370</v>
      </c>
    </row>
    <row r="1393" spans="1:8" x14ac:dyDescent="0.35">
      <c r="A1393" t="s">
        <v>969</v>
      </c>
      <c r="B1393">
        <v>38.51</v>
      </c>
      <c r="C1393">
        <v>5.45</v>
      </c>
      <c r="D1393" t="s">
        <v>2372</v>
      </c>
      <c r="E1393" t="s">
        <v>2370</v>
      </c>
      <c r="F1393" t="s">
        <v>2370</v>
      </c>
      <c r="G1393" t="s">
        <v>2371</v>
      </c>
      <c r="H1393" t="s">
        <v>2370</v>
      </c>
    </row>
    <row r="1394" spans="1:8" x14ac:dyDescent="0.35">
      <c r="A1394" t="s">
        <v>968</v>
      </c>
      <c r="B1394">
        <v>22.98</v>
      </c>
      <c r="C1394">
        <v>6.14</v>
      </c>
      <c r="D1394" t="s">
        <v>2372</v>
      </c>
      <c r="E1394" t="s">
        <v>2370</v>
      </c>
      <c r="F1394" t="s">
        <v>2370</v>
      </c>
      <c r="G1394" t="s">
        <v>2371</v>
      </c>
      <c r="H1394" t="s">
        <v>2370</v>
      </c>
    </row>
    <row r="1395" spans="1:8" x14ac:dyDescent="0.35">
      <c r="A1395" t="s">
        <v>967</v>
      </c>
      <c r="B1395">
        <v>15.65</v>
      </c>
      <c r="C1395">
        <v>7.85</v>
      </c>
      <c r="D1395" t="s">
        <v>2370</v>
      </c>
      <c r="E1395" t="s">
        <v>2370</v>
      </c>
      <c r="F1395" t="s">
        <v>2370</v>
      </c>
      <c r="G1395" t="s">
        <v>2371</v>
      </c>
      <c r="H1395" t="s">
        <v>2370</v>
      </c>
    </row>
    <row r="1396" spans="1:8" x14ac:dyDescent="0.35">
      <c r="A1396" t="s">
        <v>966</v>
      </c>
      <c r="B1396">
        <v>39.97</v>
      </c>
      <c r="C1396">
        <v>4.09</v>
      </c>
      <c r="D1396" t="s">
        <v>2370</v>
      </c>
      <c r="E1396" t="s">
        <v>2370</v>
      </c>
      <c r="F1396" t="s">
        <v>2370</v>
      </c>
      <c r="G1396">
        <v>1</v>
      </c>
      <c r="H1396" t="s">
        <v>2370</v>
      </c>
    </row>
    <row r="1397" spans="1:8" x14ac:dyDescent="0.35">
      <c r="A1397" t="s">
        <v>965</v>
      </c>
      <c r="B1397">
        <v>37.22</v>
      </c>
      <c r="C1397">
        <v>4.62</v>
      </c>
      <c r="D1397" t="s">
        <v>2370</v>
      </c>
      <c r="E1397" t="s">
        <v>2370</v>
      </c>
      <c r="F1397" t="s">
        <v>2373</v>
      </c>
      <c r="G1397">
        <v>1</v>
      </c>
      <c r="H1397" t="s">
        <v>2370</v>
      </c>
    </row>
    <row r="1398" spans="1:8" x14ac:dyDescent="0.35">
      <c r="A1398" t="s">
        <v>964</v>
      </c>
      <c r="B1398">
        <v>41.325000000000003</v>
      </c>
      <c r="C1398">
        <v>5.77</v>
      </c>
      <c r="D1398" t="s">
        <v>2370</v>
      </c>
      <c r="E1398" t="s">
        <v>2370</v>
      </c>
      <c r="F1398" t="s">
        <v>2370</v>
      </c>
      <c r="G1398" t="s">
        <v>2371</v>
      </c>
      <c r="H1398" t="s">
        <v>2370</v>
      </c>
    </row>
    <row r="1399" spans="1:8" x14ac:dyDescent="0.35">
      <c r="A1399" t="s">
        <v>963</v>
      </c>
      <c r="B1399">
        <v>40.31</v>
      </c>
      <c r="C1399">
        <v>5.84</v>
      </c>
      <c r="D1399" t="s">
        <v>2370</v>
      </c>
      <c r="E1399" t="s">
        <v>2370</v>
      </c>
      <c r="F1399" t="s">
        <v>2370</v>
      </c>
      <c r="G1399" t="s">
        <v>2371</v>
      </c>
      <c r="H1399" t="s">
        <v>2370</v>
      </c>
    </row>
    <row r="1400" spans="1:8" x14ac:dyDescent="0.35">
      <c r="A1400" t="s">
        <v>962</v>
      </c>
      <c r="B1400">
        <v>29.48</v>
      </c>
      <c r="C1400">
        <v>4.91</v>
      </c>
      <c r="D1400" t="s">
        <v>2370</v>
      </c>
      <c r="E1400" t="s">
        <v>2370</v>
      </c>
      <c r="F1400" t="s">
        <v>2370</v>
      </c>
      <c r="G1400" t="s">
        <v>2371</v>
      </c>
      <c r="H1400" t="s">
        <v>2370</v>
      </c>
    </row>
    <row r="1401" spans="1:8" x14ac:dyDescent="0.35">
      <c r="A1401" t="s">
        <v>961</v>
      </c>
      <c r="B1401">
        <v>33.155000000000001</v>
      </c>
      <c r="C1401">
        <v>5.07</v>
      </c>
      <c r="D1401" t="s">
        <v>2370</v>
      </c>
      <c r="E1401" t="s">
        <v>2370</v>
      </c>
      <c r="F1401" t="s">
        <v>2370</v>
      </c>
      <c r="G1401" t="s">
        <v>2371</v>
      </c>
      <c r="H1401" t="s">
        <v>2370</v>
      </c>
    </row>
    <row r="1402" spans="1:8" x14ac:dyDescent="0.35">
      <c r="A1402" t="s">
        <v>960</v>
      </c>
      <c r="B1402">
        <v>42.85</v>
      </c>
      <c r="C1402">
        <v>5.81</v>
      </c>
      <c r="D1402" t="s">
        <v>2372</v>
      </c>
      <c r="E1402" t="s">
        <v>2370</v>
      </c>
      <c r="F1402" t="s">
        <v>2370</v>
      </c>
      <c r="G1402" t="s">
        <v>2371</v>
      </c>
      <c r="H1402" t="s">
        <v>2370</v>
      </c>
    </row>
    <row r="1403" spans="1:8" x14ac:dyDescent="0.35">
      <c r="A1403" t="s">
        <v>959</v>
      </c>
      <c r="B1403">
        <v>32.340000000000003</v>
      </c>
      <c r="C1403">
        <v>11.2</v>
      </c>
      <c r="D1403" t="s">
        <v>2370</v>
      </c>
      <c r="E1403" t="s">
        <v>2370</v>
      </c>
      <c r="F1403" t="s">
        <v>2370</v>
      </c>
      <c r="G1403" t="s">
        <v>2371</v>
      </c>
      <c r="H1403" t="s">
        <v>2370</v>
      </c>
    </row>
    <row r="1404" spans="1:8" x14ac:dyDescent="0.35">
      <c r="A1404" t="s">
        <v>958</v>
      </c>
      <c r="B1404">
        <v>27.5</v>
      </c>
      <c r="C1404">
        <v>10.75</v>
      </c>
      <c r="D1404" t="s">
        <v>2370</v>
      </c>
      <c r="E1404" t="s">
        <v>2370</v>
      </c>
      <c r="F1404" t="s">
        <v>2370</v>
      </c>
      <c r="G1404" t="s">
        <v>2371</v>
      </c>
      <c r="H1404" t="s">
        <v>2370</v>
      </c>
    </row>
    <row r="1405" spans="1:8" x14ac:dyDescent="0.35">
      <c r="A1405" t="s">
        <v>957</v>
      </c>
      <c r="B1405">
        <v>25.8</v>
      </c>
      <c r="C1405">
        <v>7.8</v>
      </c>
      <c r="D1405" t="s">
        <v>2370</v>
      </c>
      <c r="E1405" t="s">
        <v>2370</v>
      </c>
      <c r="F1405" t="s">
        <v>2370</v>
      </c>
      <c r="G1405" t="s">
        <v>2371</v>
      </c>
      <c r="H1405" t="s">
        <v>2370</v>
      </c>
    </row>
    <row r="1406" spans="1:8" x14ac:dyDescent="0.35">
      <c r="A1406" t="s">
        <v>956</v>
      </c>
      <c r="B1406">
        <v>25</v>
      </c>
      <c r="C1406">
        <v>7.04</v>
      </c>
      <c r="D1406" t="s">
        <v>2370</v>
      </c>
      <c r="E1406" t="s">
        <v>2370</v>
      </c>
      <c r="F1406" t="s">
        <v>2370</v>
      </c>
      <c r="G1406" t="s">
        <v>2371</v>
      </c>
      <c r="H1406" t="s">
        <v>2370</v>
      </c>
    </row>
    <row r="1407" spans="1:8" x14ac:dyDescent="0.35">
      <c r="A1407" t="s">
        <v>955</v>
      </c>
      <c r="B1407">
        <v>41.2</v>
      </c>
      <c r="C1407">
        <v>4.18</v>
      </c>
      <c r="D1407" t="s">
        <v>2372</v>
      </c>
      <c r="E1407" t="s">
        <v>2370</v>
      </c>
      <c r="F1407" t="s">
        <v>2370</v>
      </c>
      <c r="G1407" t="s">
        <v>2371</v>
      </c>
      <c r="H1407" t="s">
        <v>2370</v>
      </c>
    </row>
    <row r="1408" spans="1:8" x14ac:dyDescent="0.35">
      <c r="A1408" t="s">
        <v>954</v>
      </c>
      <c r="B1408">
        <v>17.78</v>
      </c>
      <c r="C1408">
        <v>8.19</v>
      </c>
      <c r="D1408" t="s">
        <v>2370</v>
      </c>
      <c r="E1408" t="s">
        <v>2370</v>
      </c>
      <c r="F1408" t="s">
        <v>2370</v>
      </c>
      <c r="G1408" t="s">
        <v>2371</v>
      </c>
      <c r="H1408" t="s">
        <v>2370</v>
      </c>
    </row>
    <row r="1409" spans="1:8" x14ac:dyDescent="0.35">
      <c r="A1409" t="s">
        <v>953</v>
      </c>
      <c r="B1409">
        <v>40.119999999999997</v>
      </c>
      <c r="C1409">
        <v>6.22</v>
      </c>
      <c r="D1409" t="s">
        <v>2372</v>
      </c>
      <c r="E1409" t="s">
        <v>2370</v>
      </c>
      <c r="F1409" t="s">
        <v>2373</v>
      </c>
      <c r="G1409">
        <v>1</v>
      </c>
      <c r="H1409" t="s">
        <v>2370</v>
      </c>
    </row>
    <row r="1410" spans="1:8" x14ac:dyDescent="0.35">
      <c r="A1410" t="s">
        <v>952</v>
      </c>
      <c r="B1410">
        <v>19.350000000000001</v>
      </c>
      <c r="C1410">
        <v>8.2200000000000006</v>
      </c>
      <c r="D1410" t="s">
        <v>2372</v>
      </c>
      <c r="E1410" t="s">
        <v>2370</v>
      </c>
      <c r="F1410" t="s">
        <v>2370</v>
      </c>
      <c r="G1410" t="s">
        <v>2371</v>
      </c>
      <c r="H1410" t="s">
        <v>2370</v>
      </c>
    </row>
    <row r="1411" spans="1:8" x14ac:dyDescent="0.35">
      <c r="A1411" t="s">
        <v>951</v>
      </c>
      <c r="B1411">
        <v>36.69</v>
      </c>
      <c r="C1411">
        <v>6.15</v>
      </c>
      <c r="D1411" t="s">
        <v>2370</v>
      </c>
      <c r="E1411" t="s">
        <v>2370</v>
      </c>
      <c r="F1411" t="s">
        <v>2370</v>
      </c>
      <c r="G1411" t="s">
        <v>2371</v>
      </c>
      <c r="H1411" t="s">
        <v>2370</v>
      </c>
    </row>
    <row r="1412" spans="1:8" x14ac:dyDescent="0.35">
      <c r="A1412" t="s">
        <v>950</v>
      </c>
      <c r="B1412">
        <v>28.51</v>
      </c>
      <c r="C1412">
        <v>5.65</v>
      </c>
      <c r="D1412" t="s">
        <v>2372</v>
      </c>
      <c r="E1412" t="s">
        <v>2370</v>
      </c>
      <c r="F1412" t="s">
        <v>2370</v>
      </c>
      <c r="G1412">
        <v>1</v>
      </c>
      <c r="H1412" t="s">
        <v>2370</v>
      </c>
    </row>
    <row r="1413" spans="1:8" x14ac:dyDescent="0.35">
      <c r="A1413" t="s">
        <v>949</v>
      </c>
      <c r="B1413">
        <v>30.21</v>
      </c>
      <c r="C1413">
        <v>5.5</v>
      </c>
      <c r="D1413" t="s">
        <v>2370</v>
      </c>
      <c r="E1413" t="s">
        <v>2370</v>
      </c>
      <c r="F1413" t="s">
        <v>2370</v>
      </c>
      <c r="G1413">
        <v>1</v>
      </c>
      <c r="H1413" t="s">
        <v>2370</v>
      </c>
    </row>
    <row r="1414" spans="1:8" x14ac:dyDescent="0.35">
      <c r="A1414" t="s">
        <v>948</v>
      </c>
      <c r="B1414">
        <v>24.33</v>
      </c>
      <c r="C1414">
        <v>8</v>
      </c>
      <c r="D1414" t="s">
        <v>2370</v>
      </c>
      <c r="E1414" t="s">
        <v>2370</v>
      </c>
      <c r="F1414" t="s">
        <v>2370</v>
      </c>
      <c r="G1414" t="s">
        <v>2371</v>
      </c>
      <c r="H1414" t="s">
        <v>2370</v>
      </c>
    </row>
    <row r="1415" spans="1:8" x14ac:dyDescent="0.35">
      <c r="A1415" t="s">
        <v>947</v>
      </c>
      <c r="B1415">
        <v>19.855</v>
      </c>
      <c r="C1415">
        <v>5.71</v>
      </c>
      <c r="D1415" t="s">
        <v>2372</v>
      </c>
      <c r="E1415" t="s">
        <v>2370</v>
      </c>
      <c r="F1415" t="s">
        <v>2370</v>
      </c>
      <c r="G1415" t="s">
        <v>2371</v>
      </c>
      <c r="H1415" t="s">
        <v>2370</v>
      </c>
    </row>
    <row r="1416" spans="1:8" x14ac:dyDescent="0.35">
      <c r="A1416" t="s">
        <v>946</v>
      </c>
      <c r="B1416">
        <v>25.364999999999998</v>
      </c>
      <c r="C1416">
        <v>11.71</v>
      </c>
      <c r="D1416" t="s">
        <v>2370</v>
      </c>
      <c r="E1416" t="s">
        <v>2370</v>
      </c>
      <c r="F1416" t="s">
        <v>2370</v>
      </c>
      <c r="G1416" t="s">
        <v>2371</v>
      </c>
      <c r="H1416" t="s">
        <v>2370</v>
      </c>
    </row>
    <row r="1417" spans="1:8" x14ac:dyDescent="0.35">
      <c r="A1417" t="s">
        <v>945</v>
      </c>
      <c r="B1417">
        <v>29.6</v>
      </c>
      <c r="C1417">
        <v>6.17</v>
      </c>
      <c r="D1417" t="s">
        <v>2372</v>
      </c>
      <c r="E1417" t="s">
        <v>2370</v>
      </c>
      <c r="F1417" t="s">
        <v>2373</v>
      </c>
      <c r="G1417">
        <v>1</v>
      </c>
      <c r="H1417" t="s">
        <v>2370</v>
      </c>
    </row>
    <row r="1418" spans="1:8" x14ac:dyDescent="0.35">
      <c r="A1418" t="s">
        <v>944</v>
      </c>
      <c r="B1418">
        <v>39.43</v>
      </c>
      <c r="C1418">
        <v>6.1</v>
      </c>
      <c r="D1418" t="s">
        <v>2372</v>
      </c>
      <c r="E1418" t="s">
        <v>2370</v>
      </c>
      <c r="F1418" t="s">
        <v>2373</v>
      </c>
      <c r="G1418">
        <v>1</v>
      </c>
      <c r="H1418" t="s">
        <v>2370</v>
      </c>
    </row>
    <row r="1419" spans="1:8" x14ac:dyDescent="0.35">
      <c r="A1419" t="s">
        <v>943</v>
      </c>
      <c r="B1419">
        <v>27.34</v>
      </c>
      <c r="C1419">
        <v>5.19</v>
      </c>
      <c r="D1419" t="s">
        <v>2372</v>
      </c>
      <c r="E1419" t="s">
        <v>2370</v>
      </c>
      <c r="F1419" t="s">
        <v>2370</v>
      </c>
      <c r="G1419">
        <v>1</v>
      </c>
      <c r="H1419" t="s">
        <v>2370</v>
      </c>
    </row>
    <row r="1420" spans="1:8" x14ac:dyDescent="0.35">
      <c r="A1420" t="s">
        <v>942</v>
      </c>
      <c r="B1420">
        <v>39.01</v>
      </c>
      <c r="C1420">
        <v>5.37</v>
      </c>
      <c r="D1420" t="s">
        <v>2372</v>
      </c>
      <c r="E1420" t="s">
        <v>2370</v>
      </c>
      <c r="F1420" t="s">
        <v>2370</v>
      </c>
      <c r="G1420" t="s">
        <v>2371</v>
      </c>
      <c r="H1420" t="s">
        <v>2370</v>
      </c>
    </row>
    <row r="1421" spans="1:8" x14ac:dyDescent="0.35">
      <c r="A1421" t="s">
        <v>941</v>
      </c>
      <c r="B1421">
        <v>18.989999999999998</v>
      </c>
      <c r="C1421">
        <v>10.82</v>
      </c>
      <c r="D1421" t="s">
        <v>2372</v>
      </c>
      <c r="E1421" t="s">
        <v>2370</v>
      </c>
      <c r="F1421" t="s">
        <v>2370</v>
      </c>
      <c r="G1421" t="s">
        <v>2371</v>
      </c>
      <c r="H1421" t="s">
        <v>2370</v>
      </c>
    </row>
    <row r="1422" spans="1:8" x14ac:dyDescent="0.35">
      <c r="A1422" t="s">
        <v>940</v>
      </c>
      <c r="B1422">
        <v>42.3</v>
      </c>
      <c r="C1422">
        <v>6.06</v>
      </c>
      <c r="D1422" t="s">
        <v>2372</v>
      </c>
      <c r="E1422" t="s">
        <v>2370</v>
      </c>
      <c r="F1422" t="s">
        <v>2370</v>
      </c>
      <c r="G1422" t="s">
        <v>2371</v>
      </c>
      <c r="H1422" t="s">
        <v>2370</v>
      </c>
    </row>
    <row r="1423" spans="1:8" x14ac:dyDescent="0.35">
      <c r="A1423" t="s">
        <v>939</v>
      </c>
      <c r="B1423">
        <v>39.805</v>
      </c>
      <c r="C1423">
        <v>5.91</v>
      </c>
      <c r="D1423" t="s">
        <v>2370</v>
      </c>
      <c r="E1423" t="s">
        <v>2370</v>
      </c>
      <c r="F1423" t="s">
        <v>2370</v>
      </c>
      <c r="G1423" t="s">
        <v>2371</v>
      </c>
      <c r="H1423" t="s">
        <v>2370</v>
      </c>
    </row>
    <row r="1424" spans="1:8" x14ac:dyDescent="0.35">
      <c r="A1424" t="s">
        <v>938</v>
      </c>
      <c r="B1424">
        <v>33.700000000000003</v>
      </c>
      <c r="C1424">
        <v>5.87</v>
      </c>
      <c r="D1424" t="s">
        <v>2370</v>
      </c>
      <c r="E1424" t="s">
        <v>2370</v>
      </c>
      <c r="F1424" t="s">
        <v>2370</v>
      </c>
      <c r="G1424" t="s">
        <v>2371</v>
      </c>
      <c r="H1424" t="s">
        <v>2370</v>
      </c>
    </row>
    <row r="1425" spans="1:8" x14ac:dyDescent="0.35">
      <c r="A1425" t="s">
        <v>937</v>
      </c>
      <c r="B1425">
        <v>36.195</v>
      </c>
      <c r="C1425">
        <v>6.22</v>
      </c>
      <c r="D1425" t="s">
        <v>2370</v>
      </c>
      <c r="E1425" t="s">
        <v>2370</v>
      </c>
      <c r="F1425" t="s">
        <v>2370</v>
      </c>
      <c r="G1425" t="s">
        <v>2371</v>
      </c>
      <c r="H1425" t="s">
        <v>2370</v>
      </c>
    </row>
    <row r="1426" spans="1:8" x14ac:dyDescent="0.35">
      <c r="A1426" t="s">
        <v>936</v>
      </c>
      <c r="B1426">
        <v>32.6</v>
      </c>
      <c r="C1426">
        <v>5.73</v>
      </c>
      <c r="D1426" t="s">
        <v>2370</v>
      </c>
      <c r="E1426" t="s">
        <v>2370</v>
      </c>
      <c r="F1426" t="s">
        <v>2373</v>
      </c>
      <c r="G1426">
        <v>1</v>
      </c>
      <c r="H1426" t="s">
        <v>2370</v>
      </c>
    </row>
    <row r="1427" spans="1:8" x14ac:dyDescent="0.35">
      <c r="A1427" t="s">
        <v>935</v>
      </c>
      <c r="B1427">
        <v>30.2</v>
      </c>
      <c r="C1427">
        <v>5.7</v>
      </c>
      <c r="D1427" t="s">
        <v>2370</v>
      </c>
      <c r="E1427" t="s">
        <v>2370</v>
      </c>
      <c r="F1427" t="s">
        <v>2370</v>
      </c>
      <c r="G1427" t="s">
        <v>2371</v>
      </c>
      <c r="H1427" t="s">
        <v>2370</v>
      </c>
    </row>
    <row r="1428" spans="1:8" x14ac:dyDescent="0.35">
      <c r="A1428" t="s">
        <v>934</v>
      </c>
      <c r="B1428">
        <v>27.645</v>
      </c>
      <c r="C1428">
        <v>9.91</v>
      </c>
      <c r="D1428" t="s">
        <v>2370</v>
      </c>
      <c r="E1428" t="s">
        <v>2370</v>
      </c>
      <c r="F1428" t="s">
        <v>2370</v>
      </c>
      <c r="G1428" t="s">
        <v>2371</v>
      </c>
      <c r="H1428" t="s">
        <v>2370</v>
      </c>
    </row>
    <row r="1429" spans="1:8" x14ac:dyDescent="0.35">
      <c r="A1429" t="s">
        <v>933</v>
      </c>
      <c r="B1429">
        <v>26.41</v>
      </c>
      <c r="C1429">
        <v>11.4</v>
      </c>
      <c r="D1429" t="s">
        <v>2370</v>
      </c>
      <c r="E1429" t="s">
        <v>2370</v>
      </c>
      <c r="F1429" t="s">
        <v>2370</v>
      </c>
      <c r="G1429" t="s">
        <v>2371</v>
      </c>
      <c r="H1429" t="s">
        <v>2370</v>
      </c>
    </row>
    <row r="1430" spans="1:8" x14ac:dyDescent="0.35">
      <c r="A1430" t="s">
        <v>932</v>
      </c>
      <c r="B1430">
        <v>34.1</v>
      </c>
      <c r="C1430">
        <v>6.29</v>
      </c>
      <c r="D1430" t="s">
        <v>2372</v>
      </c>
      <c r="E1430" t="s">
        <v>2370</v>
      </c>
      <c r="F1430" t="s">
        <v>2373</v>
      </c>
      <c r="G1430">
        <v>1</v>
      </c>
      <c r="H1430" t="s">
        <v>2370</v>
      </c>
    </row>
    <row r="1431" spans="1:8" x14ac:dyDescent="0.35">
      <c r="A1431" t="s">
        <v>931</v>
      </c>
      <c r="B1431">
        <v>17.3</v>
      </c>
      <c r="C1431">
        <v>9.2799999999999994</v>
      </c>
      <c r="D1431" t="s">
        <v>2370</v>
      </c>
      <c r="E1431" t="s">
        <v>2370</v>
      </c>
      <c r="F1431" t="s">
        <v>2370</v>
      </c>
      <c r="G1431" t="s">
        <v>2371</v>
      </c>
      <c r="H1431" t="s">
        <v>2370</v>
      </c>
    </row>
    <row r="1432" spans="1:8" x14ac:dyDescent="0.35">
      <c r="A1432" t="s">
        <v>930</v>
      </c>
      <c r="B1432">
        <v>35.020000000000003</v>
      </c>
      <c r="C1432">
        <v>4.78</v>
      </c>
      <c r="D1432" t="s">
        <v>2370</v>
      </c>
      <c r="E1432" t="s">
        <v>2370</v>
      </c>
      <c r="F1432" t="s">
        <v>2373</v>
      </c>
      <c r="G1432">
        <v>1</v>
      </c>
      <c r="H1432" t="s">
        <v>2370</v>
      </c>
    </row>
    <row r="1433" spans="1:8" x14ac:dyDescent="0.35">
      <c r="A1433" t="s">
        <v>929</v>
      </c>
      <c r="B1433">
        <v>37.1</v>
      </c>
      <c r="C1433">
        <v>8.8699999999999992</v>
      </c>
      <c r="D1433" t="s">
        <v>2372</v>
      </c>
      <c r="E1433" t="s">
        <v>2370</v>
      </c>
      <c r="F1433" t="s">
        <v>2370</v>
      </c>
      <c r="G1433" t="s">
        <v>2371</v>
      </c>
      <c r="H1433" t="s">
        <v>2370</v>
      </c>
    </row>
    <row r="1434" spans="1:8" x14ac:dyDescent="0.35">
      <c r="A1434" t="s">
        <v>928</v>
      </c>
      <c r="B1434">
        <v>16.79</v>
      </c>
      <c r="C1434">
        <v>11.4</v>
      </c>
      <c r="D1434" t="s">
        <v>2370</v>
      </c>
      <c r="E1434" t="s">
        <v>2370</v>
      </c>
      <c r="F1434" t="s">
        <v>2370</v>
      </c>
      <c r="G1434" t="s">
        <v>2371</v>
      </c>
      <c r="H1434" t="s">
        <v>2370</v>
      </c>
    </row>
    <row r="1435" spans="1:8" x14ac:dyDescent="0.35">
      <c r="A1435" t="s">
        <v>927</v>
      </c>
      <c r="B1435">
        <v>31.635000000000002</v>
      </c>
      <c r="C1435">
        <v>9.1300000000000008</v>
      </c>
      <c r="D1435" t="s">
        <v>2372</v>
      </c>
      <c r="E1435" t="s">
        <v>2370</v>
      </c>
      <c r="F1435" t="s">
        <v>2370</v>
      </c>
      <c r="G1435" t="s">
        <v>2371</v>
      </c>
      <c r="H1435" t="s">
        <v>2370</v>
      </c>
    </row>
    <row r="1436" spans="1:8" x14ac:dyDescent="0.35">
      <c r="A1436" t="s">
        <v>926</v>
      </c>
      <c r="B1436">
        <v>24.19</v>
      </c>
      <c r="C1436">
        <v>6.22</v>
      </c>
      <c r="D1436" t="s">
        <v>2372</v>
      </c>
      <c r="E1436" t="s">
        <v>2370</v>
      </c>
      <c r="F1436" t="s">
        <v>2373</v>
      </c>
      <c r="G1436">
        <v>1</v>
      </c>
      <c r="H1436" t="s">
        <v>2370</v>
      </c>
    </row>
    <row r="1437" spans="1:8" x14ac:dyDescent="0.35">
      <c r="A1437" t="s">
        <v>925</v>
      </c>
      <c r="B1437">
        <v>35.29</v>
      </c>
      <c r="C1437">
        <v>5.9</v>
      </c>
      <c r="D1437" t="s">
        <v>2370</v>
      </c>
      <c r="E1437" t="s">
        <v>2370</v>
      </c>
      <c r="F1437" t="s">
        <v>2373</v>
      </c>
      <c r="G1437">
        <v>1</v>
      </c>
      <c r="H1437" t="s">
        <v>2370</v>
      </c>
    </row>
    <row r="1438" spans="1:8" x14ac:dyDescent="0.35">
      <c r="A1438" t="s">
        <v>924</v>
      </c>
      <c r="B1438">
        <v>35.299999999999997</v>
      </c>
      <c r="C1438">
        <v>4.45</v>
      </c>
      <c r="D1438" t="s">
        <v>2370</v>
      </c>
      <c r="E1438" t="s">
        <v>2370</v>
      </c>
      <c r="F1438" t="s">
        <v>2370</v>
      </c>
      <c r="G1438" t="s">
        <v>2371</v>
      </c>
      <c r="H1438" t="s">
        <v>2370</v>
      </c>
    </row>
    <row r="1439" spans="1:8" x14ac:dyDescent="0.35">
      <c r="A1439" t="s">
        <v>923</v>
      </c>
      <c r="B1439">
        <v>35.64</v>
      </c>
      <c r="C1439">
        <v>6.17</v>
      </c>
      <c r="D1439" t="s">
        <v>2370</v>
      </c>
      <c r="E1439" t="s">
        <v>2370</v>
      </c>
      <c r="F1439" t="s">
        <v>2373</v>
      </c>
      <c r="G1439">
        <v>1</v>
      </c>
      <c r="H1439" t="s">
        <v>2370</v>
      </c>
    </row>
    <row r="1440" spans="1:8" x14ac:dyDescent="0.35">
      <c r="A1440" t="s">
        <v>922</v>
      </c>
      <c r="B1440">
        <v>33.1</v>
      </c>
      <c r="C1440">
        <v>4.93</v>
      </c>
      <c r="D1440" t="s">
        <v>2370</v>
      </c>
      <c r="E1440" t="s">
        <v>2370</v>
      </c>
      <c r="F1440" t="s">
        <v>2370</v>
      </c>
      <c r="G1440" t="s">
        <v>2371</v>
      </c>
      <c r="H1440" t="s">
        <v>2370</v>
      </c>
    </row>
    <row r="1441" spans="1:8" x14ac:dyDescent="0.35">
      <c r="A1441" t="s">
        <v>921</v>
      </c>
      <c r="B1441">
        <v>26.41</v>
      </c>
      <c r="C1441">
        <v>7.32</v>
      </c>
      <c r="D1441" t="s">
        <v>2372</v>
      </c>
      <c r="E1441" t="s">
        <v>2370</v>
      </c>
      <c r="F1441" t="s">
        <v>2370</v>
      </c>
      <c r="G1441">
        <v>1</v>
      </c>
      <c r="H1441" t="s">
        <v>2370</v>
      </c>
    </row>
    <row r="1442" spans="1:8" x14ac:dyDescent="0.35">
      <c r="A1442" t="s">
        <v>920</v>
      </c>
      <c r="B1442">
        <v>29.9</v>
      </c>
      <c r="C1442">
        <v>5.27</v>
      </c>
      <c r="D1442" t="s">
        <v>2370</v>
      </c>
      <c r="E1442" t="s">
        <v>2370</v>
      </c>
      <c r="F1442" t="s">
        <v>2373</v>
      </c>
      <c r="G1442">
        <v>1</v>
      </c>
      <c r="H1442" t="s">
        <v>2370</v>
      </c>
    </row>
    <row r="1443" spans="1:8" x14ac:dyDescent="0.35">
      <c r="A1443" t="s">
        <v>919</v>
      </c>
      <c r="B1443">
        <v>25.24</v>
      </c>
      <c r="C1443">
        <v>5.82</v>
      </c>
      <c r="D1443" t="s">
        <v>2370</v>
      </c>
      <c r="E1443" t="s">
        <v>2370</v>
      </c>
      <c r="F1443" t="s">
        <v>2370</v>
      </c>
      <c r="G1443">
        <v>1</v>
      </c>
      <c r="H1443" t="s">
        <v>2370</v>
      </c>
    </row>
    <row r="1444" spans="1:8" x14ac:dyDescent="0.35">
      <c r="A1444" t="s">
        <v>918</v>
      </c>
      <c r="B1444">
        <v>25.08</v>
      </c>
      <c r="C1444">
        <v>5.8</v>
      </c>
      <c r="D1444" t="s">
        <v>2370</v>
      </c>
      <c r="E1444" t="s">
        <v>2370</v>
      </c>
      <c r="F1444" t="s">
        <v>2373</v>
      </c>
      <c r="G1444">
        <v>1</v>
      </c>
      <c r="H1444" t="s">
        <v>2370</v>
      </c>
    </row>
    <row r="1445" spans="1:8" x14ac:dyDescent="0.35">
      <c r="A1445" t="s">
        <v>917</v>
      </c>
      <c r="B1445">
        <v>29.164999999999999</v>
      </c>
      <c r="C1445">
        <v>4.87</v>
      </c>
      <c r="D1445" t="s">
        <v>2370</v>
      </c>
      <c r="E1445" t="s">
        <v>2372</v>
      </c>
      <c r="F1445" t="s">
        <v>2370</v>
      </c>
      <c r="G1445">
        <v>1</v>
      </c>
      <c r="H1445" t="s">
        <v>2370</v>
      </c>
    </row>
    <row r="1446" spans="1:8" x14ac:dyDescent="0.35">
      <c r="A1446" t="s">
        <v>916</v>
      </c>
      <c r="B1446">
        <v>15.05</v>
      </c>
      <c r="C1446">
        <v>8.1199999999999992</v>
      </c>
      <c r="D1446" t="s">
        <v>2370</v>
      </c>
      <c r="E1446" t="s">
        <v>2370</v>
      </c>
      <c r="F1446" t="s">
        <v>2370</v>
      </c>
      <c r="G1446" t="s">
        <v>2371</v>
      </c>
      <c r="H1446" t="s">
        <v>2370</v>
      </c>
    </row>
    <row r="1447" spans="1:8" x14ac:dyDescent="0.35">
      <c r="A1447" t="s">
        <v>915</v>
      </c>
      <c r="B1447">
        <v>19.95</v>
      </c>
      <c r="C1447">
        <v>4.3600000000000003</v>
      </c>
      <c r="D1447" t="s">
        <v>2370</v>
      </c>
      <c r="E1447" t="s">
        <v>2370</v>
      </c>
      <c r="F1447" t="s">
        <v>2370</v>
      </c>
      <c r="G1447">
        <v>2</v>
      </c>
      <c r="H1447" t="s">
        <v>2370</v>
      </c>
    </row>
    <row r="1448" spans="1:8" x14ac:dyDescent="0.35">
      <c r="A1448" t="s">
        <v>914</v>
      </c>
      <c r="B1448">
        <v>16.66</v>
      </c>
      <c r="C1448">
        <v>9.16</v>
      </c>
      <c r="D1448" t="s">
        <v>2370</v>
      </c>
      <c r="E1448" t="s">
        <v>2370</v>
      </c>
      <c r="F1448" t="s">
        <v>2370</v>
      </c>
      <c r="G1448" t="s">
        <v>2371</v>
      </c>
      <c r="H1448" t="s">
        <v>2370</v>
      </c>
    </row>
    <row r="1449" spans="1:8" x14ac:dyDescent="0.35">
      <c r="A1449" t="s">
        <v>913</v>
      </c>
      <c r="B1449">
        <v>16.62</v>
      </c>
      <c r="C1449">
        <v>9.14</v>
      </c>
      <c r="D1449" t="s">
        <v>2370</v>
      </c>
      <c r="E1449" t="s">
        <v>2370</v>
      </c>
      <c r="F1449" t="s">
        <v>2370</v>
      </c>
      <c r="G1449" t="s">
        <v>2371</v>
      </c>
      <c r="H1449" t="s">
        <v>2370</v>
      </c>
    </row>
    <row r="1450" spans="1:8" x14ac:dyDescent="0.35">
      <c r="A1450" t="s">
        <v>912</v>
      </c>
      <c r="B1450">
        <v>15.36</v>
      </c>
      <c r="C1450">
        <v>5.49</v>
      </c>
      <c r="D1450" t="s">
        <v>2372</v>
      </c>
      <c r="E1450" t="s">
        <v>2370</v>
      </c>
      <c r="F1450" t="s">
        <v>2370</v>
      </c>
      <c r="G1450">
        <v>2</v>
      </c>
      <c r="H1450" t="s">
        <v>2370</v>
      </c>
    </row>
    <row r="1451" spans="1:8" x14ac:dyDescent="0.35">
      <c r="A1451" t="s">
        <v>911</v>
      </c>
      <c r="B1451">
        <v>27.74</v>
      </c>
      <c r="C1451">
        <v>5.96</v>
      </c>
      <c r="D1451" t="s">
        <v>2372</v>
      </c>
      <c r="E1451" t="s">
        <v>2370</v>
      </c>
      <c r="F1451" t="s">
        <v>2370</v>
      </c>
      <c r="G1451" t="s">
        <v>2371</v>
      </c>
      <c r="H1451" t="s">
        <v>2370</v>
      </c>
    </row>
    <row r="1452" spans="1:8" x14ac:dyDescent="0.35">
      <c r="A1452" t="s">
        <v>910</v>
      </c>
      <c r="B1452">
        <v>22.44</v>
      </c>
      <c r="C1452">
        <v>4.62</v>
      </c>
      <c r="D1452" t="s">
        <v>2372</v>
      </c>
      <c r="E1452" t="s">
        <v>2370</v>
      </c>
      <c r="F1452" t="s">
        <v>2370</v>
      </c>
      <c r="G1452" t="s">
        <v>2371</v>
      </c>
      <c r="H1452" t="s">
        <v>2370</v>
      </c>
    </row>
    <row r="1453" spans="1:8" x14ac:dyDescent="0.35">
      <c r="A1453" t="s">
        <v>909</v>
      </c>
      <c r="B1453">
        <v>37.049999999999997</v>
      </c>
      <c r="C1453">
        <v>9.9600000000000009</v>
      </c>
      <c r="D1453" t="s">
        <v>2372</v>
      </c>
      <c r="E1453" t="s">
        <v>2370</v>
      </c>
      <c r="F1453" t="s">
        <v>2370</v>
      </c>
      <c r="G1453" t="s">
        <v>2371</v>
      </c>
      <c r="H1453" t="s">
        <v>2370</v>
      </c>
    </row>
    <row r="1454" spans="1:8" x14ac:dyDescent="0.35">
      <c r="A1454" t="s">
        <v>908</v>
      </c>
      <c r="B1454">
        <v>22.95</v>
      </c>
      <c r="C1454">
        <v>10.53</v>
      </c>
      <c r="D1454" t="s">
        <v>2370</v>
      </c>
      <c r="E1454" t="s">
        <v>2370</v>
      </c>
      <c r="F1454" t="s">
        <v>2370</v>
      </c>
      <c r="G1454">
        <v>2</v>
      </c>
      <c r="H1454" t="s">
        <v>2370</v>
      </c>
    </row>
    <row r="1455" spans="1:8" x14ac:dyDescent="0.35">
      <c r="A1455" t="s">
        <v>907</v>
      </c>
      <c r="B1455">
        <v>34.200000000000003</v>
      </c>
      <c r="C1455">
        <v>6.69</v>
      </c>
      <c r="D1455" t="s">
        <v>2372</v>
      </c>
      <c r="E1455" t="s">
        <v>2370</v>
      </c>
      <c r="F1455" t="s">
        <v>2370</v>
      </c>
      <c r="G1455" t="s">
        <v>2371</v>
      </c>
      <c r="H1455" t="s">
        <v>2370</v>
      </c>
    </row>
    <row r="1456" spans="1:8" x14ac:dyDescent="0.35">
      <c r="A1456" t="s">
        <v>906</v>
      </c>
      <c r="B1456">
        <v>30.59</v>
      </c>
      <c r="C1456">
        <v>9.5500000000000007</v>
      </c>
      <c r="D1456" t="s">
        <v>2372</v>
      </c>
      <c r="E1456" t="s">
        <v>2370</v>
      </c>
      <c r="F1456" t="s">
        <v>2370</v>
      </c>
      <c r="G1456" t="s">
        <v>2371</v>
      </c>
      <c r="H1456" t="s">
        <v>2370</v>
      </c>
    </row>
    <row r="1457" spans="1:8" x14ac:dyDescent="0.35">
      <c r="A1457" t="s">
        <v>905</v>
      </c>
      <c r="B1457">
        <v>25.51</v>
      </c>
      <c r="C1457">
        <v>6.05</v>
      </c>
      <c r="D1457" t="s">
        <v>2370</v>
      </c>
      <c r="E1457" t="s">
        <v>2370</v>
      </c>
      <c r="F1457" t="s">
        <v>2370</v>
      </c>
      <c r="G1457" t="s">
        <v>2371</v>
      </c>
      <c r="H1457" t="s">
        <v>2370</v>
      </c>
    </row>
    <row r="1458" spans="1:8" x14ac:dyDescent="0.35">
      <c r="A1458" t="s">
        <v>904</v>
      </c>
      <c r="B1458">
        <v>29.04</v>
      </c>
      <c r="C1458">
        <v>10.56</v>
      </c>
      <c r="D1458" t="s">
        <v>2372</v>
      </c>
      <c r="E1458" t="s">
        <v>2370</v>
      </c>
      <c r="F1458" t="s">
        <v>2370</v>
      </c>
      <c r="G1458">
        <v>1</v>
      </c>
      <c r="H1458" t="s">
        <v>2370</v>
      </c>
    </row>
    <row r="1459" spans="1:8" x14ac:dyDescent="0.35">
      <c r="A1459" t="s">
        <v>903</v>
      </c>
      <c r="B1459">
        <v>22.135000000000002</v>
      </c>
      <c r="C1459">
        <v>10.81</v>
      </c>
      <c r="D1459" t="s">
        <v>2372</v>
      </c>
      <c r="E1459" t="s">
        <v>2370</v>
      </c>
      <c r="F1459" t="s">
        <v>2370</v>
      </c>
      <c r="G1459">
        <v>1</v>
      </c>
      <c r="H1459" t="s">
        <v>2370</v>
      </c>
    </row>
    <row r="1460" spans="1:8" x14ac:dyDescent="0.35">
      <c r="A1460" t="s">
        <v>902</v>
      </c>
      <c r="B1460">
        <v>21.375</v>
      </c>
      <c r="C1460">
        <v>4.32</v>
      </c>
      <c r="D1460" t="s">
        <v>2370</v>
      </c>
      <c r="E1460" t="s">
        <v>2370</v>
      </c>
      <c r="F1460" t="s">
        <v>2370</v>
      </c>
      <c r="G1460" t="s">
        <v>2371</v>
      </c>
      <c r="H1460" t="s">
        <v>2370</v>
      </c>
    </row>
    <row r="1461" spans="1:8" x14ac:dyDescent="0.35">
      <c r="A1461" t="s">
        <v>901</v>
      </c>
      <c r="B1461">
        <v>29.19</v>
      </c>
      <c r="C1461">
        <v>4.37</v>
      </c>
      <c r="D1461" t="s">
        <v>2370</v>
      </c>
      <c r="E1461" t="s">
        <v>2370</v>
      </c>
      <c r="F1461" t="s">
        <v>2370</v>
      </c>
      <c r="G1461" t="s">
        <v>2371</v>
      </c>
      <c r="H1461" t="s">
        <v>2370</v>
      </c>
    </row>
    <row r="1462" spans="1:8" x14ac:dyDescent="0.35">
      <c r="A1462" t="s">
        <v>900</v>
      </c>
      <c r="B1462">
        <v>31.92</v>
      </c>
      <c r="C1462">
        <v>4.8099999999999996</v>
      </c>
      <c r="D1462" t="s">
        <v>2372</v>
      </c>
      <c r="E1462" t="s">
        <v>2370</v>
      </c>
      <c r="F1462" t="s">
        <v>2373</v>
      </c>
      <c r="G1462">
        <v>1</v>
      </c>
      <c r="H1462" t="s">
        <v>2370</v>
      </c>
    </row>
    <row r="1463" spans="1:8" x14ac:dyDescent="0.35">
      <c r="A1463" t="s">
        <v>899</v>
      </c>
      <c r="B1463">
        <v>26.315000000000001</v>
      </c>
      <c r="C1463">
        <v>4.5599999999999996</v>
      </c>
      <c r="D1463" t="s">
        <v>2372</v>
      </c>
      <c r="E1463" t="s">
        <v>2370</v>
      </c>
      <c r="F1463" t="s">
        <v>2373</v>
      </c>
      <c r="G1463">
        <v>1</v>
      </c>
      <c r="H1463" t="s">
        <v>2370</v>
      </c>
    </row>
    <row r="1464" spans="1:8" x14ac:dyDescent="0.35">
      <c r="A1464" t="s">
        <v>898</v>
      </c>
      <c r="B1464">
        <v>35.299999999999997</v>
      </c>
      <c r="C1464">
        <v>4.3899999999999997</v>
      </c>
      <c r="D1464" t="s">
        <v>2370</v>
      </c>
      <c r="E1464" t="s">
        <v>2370</v>
      </c>
      <c r="F1464" t="s">
        <v>2370</v>
      </c>
      <c r="G1464" t="s">
        <v>2371</v>
      </c>
      <c r="H1464" t="s">
        <v>2370</v>
      </c>
    </row>
    <row r="1465" spans="1:8" x14ac:dyDescent="0.35">
      <c r="A1465" t="s">
        <v>897</v>
      </c>
      <c r="B1465">
        <v>18.91</v>
      </c>
      <c r="C1465">
        <v>11.44</v>
      </c>
      <c r="D1465" t="s">
        <v>2370</v>
      </c>
      <c r="E1465" t="s">
        <v>2370</v>
      </c>
      <c r="F1465" t="s">
        <v>2370</v>
      </c>
      <c r="G1465" t="s">
        <v>2371</v>
      </c>
      <c r="H1465" t="s">
        <v>2370</v>
      </c>
    </row>
    <row r="1466" spans="1:8" x14ac:dyDescent="0.35">
      <c r="A1466" t="s">
        <v>896</v>
      </c>
      <c r="B1466">
        <v>22.41</v>
      </c>
      <c r="C1466">
        <v>11.37</v>
      </c>
      <c r="D1466" t="s">
        <v>2372</v>
      </c>
      <c r="E1466" t="s">
        <v>2370</v>
      </c>
      <c r="F1466" t="s">
        <v>2370</v>
      </c>
      <c r="G1466">
        <v>1</v>
      </c>
      <c r="H1466" t="s">
        <v>2370</v>
      </c>
    </row>
    <row r="1467" spans="1:8" x14ac:dyDescent="0.35">
      <c r="A1467" t="s">
        <v>895</v>
      </c>
      <c r="B1467">
        <v>22.704999999999998</v>
      </c>
      <c r="C1467">
        <v>6.14</v>
      </c>
      <c r="D1467" t="s">
        <v>2370</v>
      </c>
      <c r="E1467" t="s">
        <v>2370</v>
      </c>
      <c r="F1467" t="s">
        <v>2370</v>
      </c>
      <c r="G1467" t="s">
        <v>2371</v>
      </c>
      <c r="H1467" t="s">
        <v>2370</v>
      </c>
    </row>
    <row r="1468" spans="1:8" x14ac:dyDescent="0.35">
      <c r="A1468" t="s">
        <v>894</v>
      </c>
      <c r="B1468">
        <v>37.18</v>
      </c>
      <c r="C1468">
        <v>4.8899999999999997</v>
      </c>
      <c r="D1468" t="s">
        <v>2370</v>
      </c>
      <c r="E1468" t="s">
        <v>2370</v>
      </c>
      <c r="F1468" t="s">
        <v>2370</v>
      </c>
      <c r="G1468" t="s">
        <v>2371</v>
      </c>
      <c r="H1468" t="s">
        <v>2370</v>
      </c>
    </row>
    <row r="1469" spans="1:8" x14ac:dyDescent="0.35">
      <c r="A1469" t="s">
        <v>893</v>
      </c>
      <c r="B1469">
        <v>35.97</v>
      </c>
      <c r="C1469">
        <v>4.5999999999999996</v>
      </c>
      <c r="D1469" t="s">
        <v>2370</v>
      </c>
      <c r="E1469" t="s">
        <v>2370</v>
      </c>
      <c r="F1469" t="s">
        <v>2370</v>
      </c>
      <c r="G1469" t="s">
        <v>2371</v>
      </c>
      <c r="H1469" t="s">
        <v>2370</v>
      </c>
    </row>
    <row r="1470" spans="1:8" x14ac:dyDescent="0.35">
      <c r="A1470" t="s">
        <v>892</v>
      </c>
      <c r="B1470">
        <v>35.799999999999997</v>
      </c>
      <c r="C1470">
        <v>4.42</v>
      </c>
      <c r="D1470" t="s">
        <v>2370</v>
      </c>
      <c r="E1470" t="s">
        <v>2370</v>
      </c>
      <c r="F1470" t="s">
        <v>2370</v>
      </c>
      <c r="G1470" t="s">
        <v>2371</v>
      </c>
      <c r="H1470" t="s">
        <v>2370</v>
      </c>
    </row>
    <row r="1471" spans="1:8" x14ac:dyDescent="0.35">
      <c r="A1471" t="s">
        <v>891</v>
      </c>
      <c r="B1471">
        <v>28.31</v>
      </c>
      <c r="C1471">
        <v>7.48</v>
      </c>
      <c r="D1471" t="s">
        <v>2372</v>
      </c>
      <c r="E1471" t="s">
        <v>2370</v>
      </c>
      <c r="F1471" t="s">
        <v>2370</v>
      </c>
      <c r="G1471" t="s">
        <v>2371</v>
      </c>
      <c r="H1471" t="s">
        <v>2370</v>
      </c>
    </row>
    <row r="1472" spans="1:8" x14ac:dyDescent="0.35">
      <c r="A1472" t="s">
        <v>890</v>
      </c>
      <c r="B1472">
        <v>38.06</v>
      </c>
      <c r="C1472">
        <v>10.74</v>
      </c>
      <c r="D1472" t="s">
        <v>2370</v>
      </c>
      <c r="E1472" t="s">
        <v>2370</v>
      </c>
      <c r="F1472" t="s">
        <v>2370</v>
      </c>
      <c r="G1472" t="s">
        <v>2371</v>
      </c>
      <c r="H1472" t="s">
        <v>2370</v>
      </c>
    </row>
    <row r="1473" spans="1:8" x14ac:dyDescent="0.35">
      <c r="A1473" t="s">
        <v>889</v>
      </c>
      <c r="B1473">
        <v>28</v>
      </c>
      <c r="C1473">
        <v>5.19</v>
      </c>
      <c r="D1473" t="s">
        <v>2370</v>
      </c>
      <c r="E1473" t="s">
        <v>2370</v>
      </c>
      <c r="F1473" t="s">
        <v>2370</v>
      </c>
      <c r="G1473">
        <v>1</v>
      </c>
      <c r="H1473" t="s">
        <v>2370</v>
      </c>
    </row>
    <row r="1474" spans="1:8" x14ac:dyDescent="0.35">
      <c r="A1474" t="s">
        <v>888</v>
      </c>
      <c r="B1474">
        <v>34.32</v>
      </c>
      <c r="C1474">
        <v>9.17</v>
      </c>
      <c r="D1474" t="s">
        <v>2370</v>
      </c>
      <c r="E1474" t="s">
        <v>2370</v>
      </c>
      <c r="F1474" t="s">
        <v>2370</v>
      </c>
      <c r="G1474" t="s">
        <v>2371</v>
      </c>
      <c r="H1474" t="s">
        <v>2370</v>
      </c>
    </row>
    <row r="1475" spans="1:8" x14ac:dyDescent="0.35">
      <c r="A1475" t="s">
        <v>887</v>
      </c>
      <c r="B1475">
        <v>22.3</v>
      </c>
      <c r="C1475">
        <v>4.95</v>
      </c>
      <c r="D1475" t="s">
        <v>2372</v>
      </c>
      <c r="E1475" t="s">
        <v>2370</v>
      </c>
      <c r="F1475" t="s">
        <v>2370</v>
      </c>
      <c r="G1475" t="s">
        <v>2371</v>
      </c>
      <c r="H1475" t="s">
        <v>2370</v>
      </c>
    </row>
    <row r="1476" spans="1:8" x14ac:dyDescent="0.35">
      <c r="A1476" t="s">
        <v>886</v>
      </c>
      <c r="B1476">
        <v>27.835000000000001</v>
      </c>
      <c r="C1476">
        <v>6.03</v>
      </c>
      <c r="D1476" t="s">
        <v>2370</v>
      </c>
      <c r="E1476" t="s">
        <v>2370</v>
      </c>
      <c r="F1476" t="s">
        <v>2370</v>
      </c>
      <c r="G1476">
        <v>1</v>
      </c>
      <c r="H1476" t="s">
        <v>2370</v>
      </c>
    </row>
    <row r="1477" spans="1:8" x14ac:dyDescent="0.35">
      <c r="A1477" t="s">
        <v>885</v>
      </c>
      <c r="B1477">
        <v>39.229999999999997</v>
      </c>
      <c r="C1477">
        <v>5.36</v>
      </c>
      <c r="D1477" t="s">
        <v>2370</v>
      </c>
      <c r="E1477" t="s">
        <v>2370</v>
      </c>
      <c r="F1477" t="s">
        <v>2370</v>
      </c>
      <c r="G1477" t="s">
        <v>2371</v>
      </c>
      <c r="H1477" t="s">
        <v>2370</v>
      </c>
    </row>
    <row r="1478" spans="1:8" x14ac:dyDescent="0.35">
      <c r="A1478" t="s">
        <v>884</v>
      </c>
      <c r="B1478">
        <v>19.95</v>
      </c>
      <c r="C1478">
        <v>6.11</v>
      </c>
      <c r="D1478" t="s">
        <v>2370</v>
      </c>
      <c r="E1478" t="s">
        <v>2370</v>
      </c>
      <c r="F1478" t="s">
        <v>2370</v>
      </c>
      <c r="G1478">
        <v>1</v>
      </c>
      <c r="H1478" t="s">
        <v>2370</v>
      </c>
    </row>
    <row r="1479" spans="1:8" x14ac:dyDescent="0.35">
      <c r="A1479" t="s">
        <v>883</v>
      </c>
      <c r="B1479">
        <v>34.64</v>
      </c>
      <c r="C1479">
        <v>4.88</v>
      </c>
      <c r="D1479" t="s">
        <v>2370</v>
      </c>
      <c r="E1479" t="s">
        <v>2370</v>
      </c>
      <c r="F1479" t="s">
        <v>2373</v>
      </c>
      <c r="G1479">
        <v>1</v>
      </c>
      <c r="H1479" t="s">
        <v>2370</v>
      </c>
    </row>
    <row r="1480" spans="1:8" x14ac:dyDescent="0.35">
      <c r="A1480" t="s">
        <v>882</v>
      </c>
      <c r="B1480">
        <v>18.75</v>
      </c>
      <c r="C1480">
        <v>6.72</v>
      </c>
      <c r="D1480" t="s">
        <v>2370</v>
      </c>
      <c r="E1480" t="s">
        <v>2370</v>
      </c>
      <c r="F1480" t="s">
        <v>2370</v>
      </c>
      <c r="G1480" t="s">
        <v>2371</v>
      </c>
      <c r="H1480" t="s">
        <v>2370</v>
      </c>
    </row>
    <row r="1481" spans="1:8" x14ac:dyDescent="0.35">
      <c r="A1481" t="s">
        <v>881</v>
      </c>
      <c r="B1481">
        <v>26.48</v>
      </c>
      <c r="C1481">
        <v>4.2</v>
      </c>
      <c r="D1481" t="s">
        <v>2370</v>
      </c>
      <c r="E1481" t="s">
        <v>2370</v>
      </c>
      <c r="F1481" t="s">
        <v>2370</v>
      </c>
      <c r="G1481">
        <v>1</v>
      </c>
      <c r="H1481" t="s">
        <v>2370</v>
      </c>
    </row>
    <row r="1482" spans="1:8" x14ac:dyDescent="0.35">
      <c r="A1482" t="s">
        <v>880</v>
      </c>
      <c r="B1482">
        <v>34.83</v>
      </c>
      <c r="C1482">
        <v>5.79</v>
      </c>
      <c r="D1482" t="s">
        <v>2370</v>
      </c>
      <c r="E1482" t="s">
        <v>2370</v>
      </c>
      <c r="F1482" t="s">
        <v>2370</v>
      </c>
      <c r="G1482">
        <v>1</v>
      </c>
      <c r="H1482" t="s">
        <v>2370</v>
      </c>
    </row>
    <row r="1483" spans="1:8" x14ac:dyDescent="0.35">
      <c r="A1483" t="s">
        <v>879</v>
      </c>
      <c r="B1483">
        <v>25.46</v>
      </c>
      <c r="C1483">
        <v>4.29</v>
      </c>
      <c r="D1483" t="s">
        <v>2370</v>
      </c>
      <c r="E1483" t="s">
        <v>2370</v>
      </c>
      <c r="F1483" t="s">
        <v>2370</v>
      </c>
      <c r="G1483" t="s">
        <v>2371</v>
      </c>
      <c r="H1483" t="s">
        <v>2370</v>
      </c>
    </row>
    <row r="1484" spans="1:8" x14ac:dyDescent="0.35">
      <c r="A1484" t="s">
        <v>878</v>
      </c>
      <c r="B1484">
        <v>23.31</v>
      </c>
      <c r="C1484">
        <v>8.27</v>
      </c>
      <c r="D1484" t="s">
        <v>2370</v>
      </c>
      <c r="E1484" t="s">
        <v>2370</v>
      </c>
      <c r="F1484" t="s">
        <v>2370</v>
      </c>
      <c r="G1484" t="s">
        <v>2371</v>
      </c>
      <c r="H1484" t="s">
        <v>2370</v>
      </c>
    </row>
    <row r="1485" spans="1:8" x14ac:dyDescent="0.35">
      <c r="A1485" t="s">
        <v>877</v>
      </c>
      <c r="B1485">
        <v>29</v>
      </c>
      <c r="C1485">
        <v>4.5599999999999996</v>
      </c>
      <c r="D1485" t="s">
        <v>2370</v>
      </c>
      <c r="E1485" t="s">
        <v>2370</v>
      </c>
      <c r="F1485" t="s">
        <v>2370</v>
      </c>
      <c r="G1485" t="s">
        <v>2371</v>
      </c>
      <c r="H1485" t="s">
        <v>2370</v>
      </c>
    </row>
    <row r="1486" spans="1:8" x14ac:dyDescent="0.35">
      <c r="A1486" t="s">
        <v>876</v>
      </c>
      <c r="B1486">
        <v>32.869999999999997</v>
      </c>
      <c r="C1486">
        <v>5.33</v>
      </c>
      <c r="D1486" t="s">
        <v>2370</v>
      </c>
      <c r="E1486" t="s">
        <v>2370</v>
      </c>
      <c r="F1486" t="s">
        <v>2370</v>
      </c>
      <c r="G1486" t="s">
        <v>2371</v>
      </c>
      <c r="H1486" t="s">
        <v>2370</v>
      </c>
    </row>
    <row r="1487" spans="1:8" x14ac:dyDescent="0.35">
      <c r="A1487" t="s">
        <v>875</v>
      </c>
      <c r="B1487">
        <v>26.18</v>
      </c>
      <c r="C1487">
        <v>5.63</v>
      </c>
      <c r="D1487" t="s">
        <v>2370</v>
      </c>
      <c r="E1487" t="s">
        <v>2370</v>
      </c>
      <c r="F1487" t="s">
        <v>2370</v>
      </c>
      <c r="G1487" t="s">
        <v>2371</v>
      </c>
      <c r="H1487" t="s">
        <v>2370</v>
      </c>
    </row>
    <row r="1488" spans="1:8" x14ac:dyDescent="0.35">
      <c r="A1488" t="s">
        <v>874</v>
      </c>
      <c r="B1488">
        <v>25.3</v>
      </c>
      <c r="C1488">
        <v>5.12</v>
      </c>
      <c r="D1488" t="s">
        <v>2370</v>
      </c>
      <c r="E1488" t="s">
        <v>2370</v>
      </c>
      <c r="F1488" t="s">
        <v>2370</v>
      </c>
      <c r="G1488" t="s">
        <v>2371</v>
      </c>
      <c r="H1488" t="s">
        <v>2370</v>
      </c>
    </row>
    <row r="1489" spans="1:8" x14ac:dyDescent="0.35">
      <c r="A1489" t="s">
        <v>873</v>
      </c>
      <c r="B1489">
        <v>36.94</v>
      </c>
      <c r="C1489">
        <v>5.15</v>
      </c>
      <c r="D1489" t="s">
        <v>2372</v>
      </c>
      <c r="E1489" t="s">
        <v>2370</v>
      </c>
      <c r="F1489" t="s">
        <v>2370</v>
      </c>
      <c r="G1489">
        <v>1</v>
      </c>
      <c r="H1489" t="s">
        <v>2370</v>
      </c>
    </row>
    <row r="1490" spans="1:8" x14ac:dyDescent="0.35">
      <c r="A1490" t="s">
        <v>872</v>
      </c>
      <c r="B1490">
        <v>22.86</v>
      </c>
      <c r="C1490">
        <v>7.5</v>
      </c>
      <c r="D1490" t="s">
        <v>2370</v>
      </c>
      <c r="E1490" t="s">
        <v>2370</v>
      </c>
      <c r="F1490" t="s">
        <v>2370</v>
      </c>
      <c r="G1490" t="s">
        <v>2371</v>
      </c>
      <c r="H1490" t="s">
        <v>2370</v>
      </c>
    </row>
    <row r="1491" spans="1:8" x14ac:dyDescent="0.35">
      <c r="A1491" t="s">
        <v>871</v>
      </c>
      <c r="B1491">
        <v>18.760000000000002</v>
      </c>
      <c r="C1491">
        <v>4.88</v>
      </c>
      <c r="D1491" t="s">
        <v>2372</v>
      </c>
      <c r="E1491" t="s">
        <v>2370</v>
      </c>
      <c r="F1491" t="s">
        <v>2373</v>
      </c>
      <c r="G1491">
        <v>1</v>
      </c>
      <c r="H1491" t="s">
        <v>2370</v>
      </c>
    </row>
    <row r="1492" spans="1:8" x14ac:dyDescent="0.35">
      <c r="A1492" t="s">
        <v>870</v>
      </c>
      <c r="B1492">
        <v>24.36</v>
      </c>
      <c r="C1492">
        <v>5.57</v>
      </c>
      <c r="D1492" t="s">
        <v>2370</v>
      </c>
      <c r="E1492" t="s">
        <v>2370</v>
      </c>
      <c r="F1492" t="s">
        <v>2370</v>
      </c>
      <c r="G1492" t="s">
        <v>2371</v>
      </c>
      <c r="H1492" t="s">
        <v>2370</v>
      </c>
    </row>
    <row r="1493" spans="1:8" x14ac:dyDescent="0.35">
      <c r="A1493" t="s">
        <v>869</v>
      </c>
      <c r="B1493">
        <v>32.299999999999997</v>
      </c>
      <c r="C1493">
        <v>5.31</v>
      </c>
      <c r="D1493" t="s">
        <v>2370</v>
      </c>
      <c r="E1493" t="s">
        <v>2370</v>
      </c>
      <c r="F1493" t="s">
        <v>2370</v>
      </c>
      <c r="G1493" t="s">
        <v>2371</v>
      </c>
      <c r="H1493" t="s">
        <v>2370</v>
      </c>
    </row>
    <row r="1494" spans="1:8" x14ac:dyDescent="0.35">
      <c r="A1494" t="s">
        <v>868</v>
      </c>
      <c r="B1494">
        <v>22.704999999999998</v>
      </c>
      <c r="C1494">
        <v>4.57</v>
      </c>
      <c r="D1494" t="s">
        <v>2372</v>
      </c>
      <c r="E1494" t="s">
        <v>2370</v>
      </c>
      <c r="F1494" t="s">
        <v>2370</v>
      </c>
      <c r="G1494" t="s">
        <v>2371</v>
      </c>
      <c r="H1494" t="s">
        <v>2370</v>
      </c>
    </row>
    <row r="1495" spans="1:8" x14ac:dyDescent="0.35">
      <c r="A1495" t="s">
        <v>867</v>
      </c>
      <c r="B1495">
        <v>21.79</v>
      </c>
      <c r="C1495">
        <v>8.6999999999999993</v>
      </c>
      <c r="D1495" t="s">
        <v>2372</v>
      </c>
      <c r="E1495" t="s">
        <v>2370</v>
      </c>
      <c r="F1495" t="s">
        <v>2370</v>
      </c>
      <c r="G1495">
        <v>1</v>
      </c>
      <c r="H1495" t="s">
        <v>2370</v>
      </c>
    </row>
    <row r="1496" spans="1:8" x14ac:dyDescent="0.35">
      <c r="A1496" t="s">
        <v>866</v>
      </c>
      <c r="B1496">
        <v>24.52</v>
      </c>
      <c r="C1496">
        <v>4.76</v>
      </c>
      <c r="D1496" t="s">
        <v>2370</v>
      </c>
      <c r="E1496" t="s">
        <v>2370</v>
      </c>
      <c r="F1496" t="s">
        <v>2370</v>
      </c>
      <c r="G1496" t="s">
        <v>2371</v>
      </c>
      <c r="H1496" t="s">
        <v>2370</v>
      </c>
    </row>
    <row r="1497" spans="1:8" x14ac:dyDescent="0.35">
      <c r="A1497" t="s">
        <v>865</v>
      </c>
      <c r="B1497">
        <v>39.520000000000003</v>
      </c>
      <c r="C1497">
        <v>11.81</v>
      </c>
      <c r="D1497" t="s">
        <v>2370</v>
      </c>
      <c r="E1497" t="s">
        <v>2370</v>
      </c>
      <c r="F1497" t="s">
        <v>2370</v>
      </c>
      <c r="G1497" t="s">
        <v>2371</v>
      </c>
      <c r="H1497" t="s">
        <v>2370</v>
      </c>
    </row>
    <row r="1498" spans="1:8" x14ac:dyDescent="0.35">
      <c r="A1498" t="s">
        <v>864</v>
      </c>
      <c r="B1498">
        <v>24.49</v>
      </c>
      <c r="C1498">
        <v>4.67</v>
      </c>
      <c r="D1498" t="s">
        <v>2370</v>
      </c>
      <c r="E1498" t="s">
        <v>2370</v>
      </c>
      <c r="F1498" t="s">
        <v>2370</v>
      </c>
      <c r="G1498" t="s">
        <v>2371</v>
      </c>
      <c r="H1498" t="s">
        <v>2370</v>
      </c>
    </row>
    <row r="1499" spans="1:8" x14ac:dyDescent="0.35">
      <c r="A1499" t="s">
        <v>863</v>
      </c>
      <c r="B1499">
        <v>26.315000000000001</v>
      </c>
      <c r="C1499">
        <v>6.02</v>
      </c>
      <c r="D1499" t="s">
        <v>2370</v>
      </c>
      <c r="E1499" t="s">
        <v>2370</v>
      </c>
      <c r="F1499" t="s">
        <v>2370</v>
      </c>
      <c r="G1499" t="s">
        <v>2371</v>
      </c>
      <c r="H1499" t="s">
        <v>2370</v>
      </c>
    </row>
    <row r="1500" spans="1:8" x14ac:dyDescent="0.35">
      <c r="A1500" t="s">
        <v>862</v>
      </c>
      <c r="B1500">
        <v>22.58</v>
      </c>
      <c r="C1500">
        <v>7.46</v>
      </c>
      <c r="D1500" t="s">
        <v>2370</v>
      </c>
      <c r="E1500" t="s">
        <v>2370</v>
      </c>
      <c r="F1500" t="s">
        <v>2370</v>
      </c>
      <c r="G1500" t="s">
        <v>2371</v>
      </c>
      <c r="H1500" t="s">
        <v>2370</v>
      </c>
    </row>
    <row r="1501" spans="1:8" x14ac:dyDescent="0.35">
      <c r="A1501" t="s">
        <v>861</v>
      </c>
      <c r="B1501">
        <v>19.475000000000001</v>
      </c>
      <c r="C1501">
        <v>4.74</v>
      </c>
      <c r="D1501" t="s">
        <v>2370</v>
      </c>
      <c r="E1501" t="s">
        <v>2370</v>
      </c>
      <c r="F1501" t="s">
        <v>2370</v>
      </c>
      <c r="G1501">
        <v>1</v>
      </c>
      <c r="H1501" t="s">
        <v>2370</v>
      </c>
    </row>
    <row r="1502" spans="1:8" x14ac:dyDescent="0.35">
      <c r="A1502" t="s">
        <v>860</v>
      </c>
      <c r="B1502">
        <v>26.33</v>
      </c>
      <c r="C1502">
        <v>4.79</v>
      </c>
      <c r="D1502" t="s">
        <v>2370</v>
      </c>
      <c r="E1502" t="s">
        <v>2370</v>
      </c>
      <c r="F1502" t="s">
        <v>2370</v>
      </c>
      <c r="G1502" t="s">
        <v>2371</v>
      </c>
      <c r="H1502" t="s">
        <v>2370</v>
      </c>
    </row>
    <row r="1503" spans="1:8" x14ac:dyDescent="0.35">
      <c r="A1503" t="s">
        <v>859</v>
      </c>
      <c r="B1503">
        <v>17.29</v>
      </c>
      <c r="C1503">
        <v>5.35</v>
      </c>
      <c r="D1503" t="s">
        <v>2372</v>
      </c>
      <c r="E1503" t="s">
        <v>2370</v>
      </c>
      <c r="F1503" t="s">
        <v>2370</v>
      </c>
      <c r="G1503" t="s">
        <v>2371</v>
      </c>
      <c r="H1503" t="s">
        <v>2370</v>
      </c>
    </row>
    <row r="1504" spans="1:8" x14ac:dyDescent="0.35">
      <c r="A1504" t="s">
        <v>858</v>
      </c>
      <c r="B1504">
        <v>42.88</v>
      </c>
      <c r="C1504">
        <v>4.87</v>
      </c>
      <c r="D1504" t="s">
        <v>2370</v>
      </c>
      <c r="E1504" t="s">
        <v>2372</v>
      </c>
      <c r="F1504" t="s">
        <v>2370</v>
      </c>
      <c r="G1504">
        <v>1</v>
      </c>
      <c r="H1504" t="s">
        <v>2370</v>
      </c>
    </row>
    <row r="1505" spans="1:8" x14ac:dyDescent="0.35">
      <c r="A1505" t="s">
        <v>857</v>
      </c>
      <c r="B1505">
        <v>32.200000000000003</v>
      </c>
      <c r="C1505">
        <v>10.09</v>
      </c>
      <c r="D1505" t="s">
        <v>2372</v>
      </c>
      <c r="E1505" t="s">
        <v>2370</v>
      </c>
      <c r="F1505" t="s">
        <v>2370</v>
      </c>
      <c r="G1505" t="s">
        <v>2371</v>
      </c>
      <c r="H1505" t="s">
        <v>2370</v>
      </c>
    </row>
    <row r="1506" spans="1:8" x14ac:dyDescent="0.35">
      <c r="A1506" t="s">
        <v>856</v>
      </c>
      <c r="B1506">
        <v>18.75</v>
      </c>
      <c r="C1506">
        <v>5.47</v>
      </c>
      <c r="D1506" t="s">
        <v>2372</v>
      </c>
      <c r="E1506" t="s">
        <v>2370</v>
      </c>
      <c r="F1506" t="s">
        <v>2373</v>
      </c>
      <c r="G1506">
        <v>1</v>
      </c>
      <c r="H1506" t="s">
        <v>2370</v>
      </c>
    </row>
    <row r="1507" spans="1:8" x14ac:dyDescent="0.35">
      <c r="A1507" t="s">
        <v>855</v>
      </c>
      <c r="B1507">
        <v>22.36</v>
      </c>
      <c r="C1507">
        <v>8.6</v>
      </c>
      <c r="D1507" t="s">
        <v>2370</v>
      </c>
      <c r="E1507" t="s">
        <v>2370</v>
      </c>
      <c r="F1507" t="s">
        <v>2370</v>
      </c>
      <c r="G1507" t="s">
        <v>2371</v>
      </c>
      <c r="H1507" t="s">
        <v>2370</v>
      </c>
    </row>
    <row r="1508" spans="1:8" x14ac:dyDescent="0.35">
      <c r="A1508" t="s">
        <v>854</v>
      </c>
      <c r="B1508">
        <v>23.94</v>
      </c>
      <c r="C1508">
        <v>10.74</v>
      </c>
      <c r="D1508" t="s">
        <v>2372</v>
      </c>
      <c r="E1508" t="s">
        <v>2370</v>
      </c>
      <c r="F1508" t="s">
        <v>2370</v>
      </c>
      <c r="G1508" t="s">
        <v>2371</v>
      </c>
      <c r="H1508" t="s">
        <v>2370</v>
      </c>
    </row>
    <row r="1509" spans="1:8" x14ac:dyDescent="0.35">
      <c r="A1509" t="s">
        <v>853</v>
      </c>
      <c r="B1509">
        <v>30.1</v>
      </c>
      <c r="C1509">
        <v>4.3899999999999997</v>
      </c>
      <c r="D1509" t="s">
        <v>2370</v>
      </c>
      <c r="E1509" t="s">
        <v>2370</v>
      </c>
      <c r="F1509" t="s">
        <v>2373</v>
      </c>
      <c r="G1509">
        <v>1</v>
      </c>
      <c r="H1509" t="s">
        <v>2370</v>
      </c>
    </row>
    <row r="1510" spans="1:8" x14ac:dyDescent="0.35">
      <c r="A1510" t="s">
        <v>852</v>
      </c>
      <c r="B1510">
        <v>21.93</v>
      </c>
      <c r="C1510">
        <v>6.3</v>
      </c>
      <c r="D1510" t="s">
        <v>2370</v>
      </c>
      <c r="E1510" t="s">
        <v>2370</v>
      </c>
      <c r="F1510" t="s">
        <v>2370</v>
      </c>
      <c r="G1510" t="s">
        <v>2371</v>
      </c>
      <c r="H1510" t="s">
        <v>2370</v>
      </c>
    </row>
    <row r="1511" spans="1:8" x14ac:dyDescent="0.35">
      <c r="A1511" t="s">
        <v>851</v>
      </c>
      <c r="B1511">
        <v>39.75</v>
      </c>
      <c r="C1511">
        <v>5.41</v>
      </c>
      <c r="D1511" t="s">
        <v>2370</v>
      </c>
      <c r="E1511" t="s">
        <v>2372</v>
      </c>
      <c r="F1511" t="s">
        <v>2370</v>
      </c>
      <c r="G1511">
        <v>1</v>
      </c>
      <c r="H1511" t="s">
        <v>2370</v>
      </c>
    </row>
    <row r="1512" spans="1:8" x14ac:dyDescent="0.35">
      <c r="A1512" t="s">
        <v>850</v>
      </c>
      <c r="B1512">
        <v>26.03</v>
      </c>
      <c r="C1512">
        <v>4.47</v>
      </c>
      <c r="D1512" t="s">
        <v>2370</v>
      </c>
      <c r="E1512" t="s">
        <v>2370</v>
      </c>
      <c r="F1512" t="s">
        <v>2373</v>
      </c>
      <c r="G1512">
        <v>1</v>
      </c>
      <c r="H1512" t="s">
        <v>2370</v>
      </c>
    </row>
    <row r="1513" spans="1:8" x14ac:dyDescent="0.35">
      <c r="A1513" t="s">
        <v>849</v>
      </c>
      <c r="B1513">
        <v>34.51</v>
      </c>
      <c r="C1513">
        <v>6.26</v>
      </c>
      <c r="D1513" t="s">
        <v>2370</v>
      </c>
      <c r="E1513" t="s">
        <v>2370</v>
      </c>
      <c r="F1513" t="s">
        <v>2370</v>
      </c>
      <c r="G1513" t="s">
        <v>2371</v>
      </c>
      <c r="H1513" t="s">
        <v>2370</v>
      </c>
    </row>
    <row r="1514" spans="1:8" x14ac:dyDescent="0.35">
      <c r="A1514" t="s">
        <v>848</v>
      </c>
      <c r="B1514">
        <v>19.32</v>
      </c>
      <c r="C1514">
        <v>11.58</v>
      </c>
      <c r="D1514" t="s">
        <v>2372</v>
      </c>
      <c r="E1514" t="s">
        <v>2370</v>
      </c>
      <c r="F1514" t="s">
        <v>2370</v>
      </c>
      <c r="G1514">
        <v>1</v>
      </c>
      <c r="H1514" t="s">
        <v>2370</v>
      </c>
    </row>
    <row r="1515" spans="1:8" x14ac:dyDescent="0.35">
      <c r="A1515" t="s">
        <v>847</v>
      </c>
      <c r="B1515">
        <v>28.5</v>
      </c>
      <c r="C1515">
        <v>4.3600000000000003</v>
      </c>
      <c r="D1515" t="s">
        <v>2370</v>
      </c>
      <c r="E1515" t="s">
        <v>2370</v>
      </c>
      <c r="F1515" t="s">
        <v>2370</v>
      </c>
      <c r="G1515" t="s">
        <v>2371</v>
      </c>
      <c r="H1515" t="s">
        <v>2370</v>
      </c>
    </row>
    <row r="1516" spans="1:8" x14ac:dyDescent="0.35">
      <c r="A1516" t="s">
        <v>846</v>
      </c>
      <c r="B1516">
        <v>30.875</v>
      </c>
      <c r="C1516">
        <v>4.1399999999999997</v>
      </c>
      <c r="D1516" t="s">
        <v>2372</v>
      </c>
      <c r="E1516" t="s">
        <v>2370</v>
      </c>
      <c r="F1516" t="s">
        <v>2370</v>
      </c>
      <c r="G1516" t="s">
        <v>2371</v>
      </c>
      <c r="H1516" t="s">
        <v>2370</v>
      </c>
    </row>
    <row r="1517" spans="1:8" x14ac:dyDescent="0.35">
      <c r="A1517" t="s">
        <v>845</v>
      </c>
      <c r="B1517">
        <v>24.02</v>
      </c>
      <c r="C1517">
        <v>4.38</v>
      </c>
      <c r="D1517" t="s">
        <v>2370</v>
      </c>
      <c r="E1517" t="s">
        <v>2370</v>
      </c>
      <c r="F1517" t="s">
        <v>2370</v>
      </c>
      <c r="G1517" t="s">
        <v>2371</v>
      </c>
      <c r="H1517" t="s">
        <v>2370</v>
      </c>
    </row>
    <row r="1518" spans="1:8" x14ac:dyDescent="0.35">
      <c r="A1518" t="s">
        <v>844</v>
      </c>
      <c r="B1518">
        <v>36.08</v>
      </c>
      <c r="C1518">
        <v>11.61</v>
      </c>
      <c r="D1518" t="s">
        <v>2372</v>
      </c>
      <c r="E1518" t="s">
        <v>2370</v>
      </c>
      <c r="F1518" t="s">
        <v>2370</v>
      </c>
      <c r="G1518" t="s">
        <v>2371</v>
      </c>
      <c r="H1518" t="s">
        <v>2370</v>
      </c>
    </row>
    <row r="1519" spans="1:8" x14ac:dyDescent="0.35">
      <c r="A1519" t="s">
        <v>843</v>
      </c>
      <c r="B1519">
        <v>32.200000000000003</v>
      </c>
      <c r="C1519">
        <v>10.59</v>
      </c>
      <c r="D1519" t="s">
        <v>2372</v>
      </c>
      <c r="E1519" t="s">
        <v>2370</v>
      </c>
      <c r="F1519" t="s">
        <v>2370</v>
      </c>
      <c r="G1519" t="s">
        <v>2371</v>
      </c>
      <c r="H1519" t="s">
        <v>2370</v>
      </c>
    </row>
    <row r="1520" spans="1:8" x14ac:dyDescent="0.35">
      <c r="A1520" t="s">
        <v>842</v>
      </c>
      <c r="B1520">
        <v>28.05</v>
      </c>
      <c r="C1520">
        <v>11.85</v>
      </c>
      <c r="D1520" t="s">
        <v>2372</v>
      </c>
      <c r="E1520" t="s">
        <v>2370</v>
      </c>
      <c r="F1520" t="s">
        <v>2370</v>
      </c>
      <c r="G1520" t="s">
        <v>2371</v>
      </c>
      <c r="H1520" t="s">
        <v>2370</v>
      </c>
    </row>
    <row r="1521" spans="1:8" x14ac:dyDescent="0.35">
      <c r="A1521" t="s">
        <v>841</v>
      </c>
      <c r="B1521">
        <v>19</v>
      </c>
      <c r="C1521">
        <v>5.46</v>
      </c>
      <c r="D1521" t="s">
        <v>2372</v>
      </c>
      <c r="E1521" t="s">
        <v>2370</v>
      </c>
      <c r="F1521" t="s">
        <v>2370</v>
      </c>
      <c r="G1521">
        <v>1</v>
      </c>
      <c r="H1521" t="s">
        <v>2370</v>
      </c>
    </row>
    <row r="1522" spans="1:8" x14ac:dyDescent="0.35">
      <c r="A1522" t="s">
        <v>840</v>
      </c>
      <c r="B1522">
        <v>16.13</v>
      </c>
      <c r="C1522">
        <v>4.54</v>
      </c>
      <c r="D1522" t="s">
        <v>2372</v>
      </c>
      <c r="E1522" t="s">
        <v>2370</v>
      </c>
      <c r="F1522" t="s">
        <v>2370</v>
      </c>
      <c r="G1522">
        <v>2</v>
      </c>
      <c r="H1522" t="s">
        <v>2370</v>
      </c>
    </row>
    <row r="1523" spans="1:8" x14ac:dyDescent="0.35">
      <c r="A1523" t="s">
        <v>839</v>
      </c>
      <c r="B1523">
        <v>18.77</v>
      </c>
      <c r="C1523">
        <v>11.98</v>
      </c>
      <c r="D1523" t="s">
        <v>2372</v>
      </c>
      <c r="E1523" t="s">
        <v>2370</v>
      </c>
      <c r="F1523" t="s">
        <v>2370</v>
      </c>
      <c r="G1523">
        <v>2</v>
      </c>
      <c r="H1523" t="s">
        <v>2370</v>
      </c>
    </row>
    <row r="1524" spans="1:8" x14ac:dyDescent="0.35">
      <c r="A1524" t="s">
        <v>838</v>
      </c>
      <c r="B1524">
        <v>28.88</v>
      </c>
      <c r="C1524">
        <v>6.59</v>
      </c>
      <c r="D1524" t="s">
        <v>2372</v>
      </c>
      <c r="E1524" t="s">
        <v>2370</v>
      </c>
      <c r="F1524" t="s">
        <v>2370</v>
      </c>
      <c r="G1524">
        <v>1</v>
      </c>
      <c r="H1524" t="s">
        <v>2370</v>
      </c>
    </row>
    <row r="1525" spans="1:8" x14ac:dyDescent="0.35">
      <c r="A1525" t="s">
        <v>837</v>
      </c>
      <c r="B1525">
        <v>27.55</v>
      </c>
      <c r="C1525">
        <v>10.83</v>
      </c>
      <c r="D1525" t="s">
        <v>2372</v>
      </c>
      <c r="E1525" t="s">
        <v>2370</v>
      </c>
      <c r="F1525" t="s">
        <v>2370</v>
      </c>
      <c r="G1525">
        <v>1</v>
      </c>
      <c r="H1525" t="s">
        <v>2370</v>
      </c>
    </row>
    <row r="1526" spans="1:8" x14ac:dyDescent="0.35">
      <c r="A1526" t="s">
        <v>836</v>
      </c>
      <c r="B1526">
        <v>15.6</v>
      </c>
      <c r="C1526">
        <v>8.6</v>
      </c>
      <c r="D1526" t="s">
        <v>2370</v>
      </c>
      <c r="E1526" t="s">
        <v>2370</v>
      </c>
      <c r="F1526" t="s">
        <v>2370</v>
      </c>
      <c r="G1526" t="s">
        <v>2371</v>
      </c>
      <c r="H1526" t="s">
        <v>2370</v>
      </c>
    </row>
    <row r="1527" spans="1:8" x14ac:dyDescent="0.35">
      <c r="A1527" t="s">
        <v>835</v>
      </c>
      <c r="B1527">
        <v>21.99</v>
      </c>
      <c r="C1527">
        <v>11.17</v>
      </c>
      <c r="D1527" t="s">
        <v>2370</v>
      </c>
      <c r="E1527" t="s">
        <v>2370</v>
      </c>
      <c r="F1527" t="s">
        <v>2370</v>
      </c>
      <c r="G1527" t="s">
        <v>2371</v>
      </c>
      <c r="H1527" t="s">
        <v>2370</v>
      </c>
    </row>
    <row r="1528" spans="1:8" x14ac:dyDescent="0.35">
      <c r="A1528" t="s">
        <v>834</v>
      </c>
      <c r="B1528">
        <v>34.85</v>
      </c>
      <c r="C1528">
        <v>5.75</v>
      </c>
      <c r="D1528" t="s">
        <v>2370</v>
      </c>
      <c r="E1528" t="s">
        <v>2370</v>
      </c>
      <c r="F1528" t="s">
        <v>2370</v>
      </c>
      <c r="G1528" t="s">
        <v>2371</v>
      </c>
      <c r="H1528" t="s">
        <v>2370</v>
      </c>
    </row>
    <row r="1529" spans="1:8" x14ac:dyDescent="0.35">
      <c r="A1529" t="s">
        <v>833</v>
      </c>
      <c r="B1529">
        <v>24.51</v>
      </c>
      <c r="C1529">
        <v>4.83</v>
      </c>
      <c r="D1529" t="s">
        <v>2372</v>
      </c>
      <c r="E1529" t="s">
        <v>2370</v>
      </c>
      <c r="F1529" t="s">
        <v>2373</v>
      </c>
      <c r="G1529">
        <v>1</v>
      </c>
      <c r="H1529" t="s">
        <v>2370</v>
      </c>
    </row>
    <row r="1530" spans="1:8" x14ac:dyDescent="0.35">
      <c r="A1530" t="s">
        <v>832</v>
      </c>
      <c r="B1530">
        <v>19.399999999999999</v>
      </c>
      <c r="C1530">
        <v>11.93</v>
      </c>
      <c r="D1530" t="s">
        <v>2370</v>
      </c>
      <c r="E1530" t="s">
        <v>2370</v>
      </c>
      <c r="F1530" t="s">
        <v>2370</v>
      </c>
      <c r="G1530" t="s">
        <v>2371</v>
      </c>
      <c r="H1530" t="s">
        <v>2370</v>
      </c>
    </row>
    <row r="1531" spans="1:8" x14ac:dyDescent="0.35">
      <c r="A1531" t="s">
        <v>831</v>
      </c>
      <c r="B1531">
        <v>15.1</v>
      </c>
      <c r="C1531">
        <v>8.41</v>
      </c>
      <c r="D1531" t="s">
        <v>2370</v>
      </c>
      <c r="E1531" t="s">
        <v>2370</v>
      </c>
      <c r="F1531" t="s">
        <v>2370</v>
      </c>
      <c r="G1531" t="s">
        <v>2371</v>
      </c>
      <c r="H1531" t="s">
        <v>2370</v>
      </c>
    </row>
    <row r="1532" spans="1:8" x14ac:dyDescent="0.35">
      <c r="A1532" t="s">
        <v>830</v>
      </c>
      <c r="B1532">
        <v>23.37</v>
      </c>
      <c r="C1532">
        <v>5.59</v>
      </c>
      <c r="D1532" t="s">
        <v>2372</v>
      </c>
      <c r="E1532" t="s">
        <v>2370</v>
      </c>
      <c r="F1532" t="s">
        <v>2370</v>
      </c>
      <c r="G1532" t="s">
        <v>2371</v>
      </c>
      <c r="H1532" t="s">
        <v>2370</v>
      </c>
    </row>
    <row r="1533" spans="1:8" x14ac:dyDescent="0.35">
      <c r="A1533" t="s">
        <v>829</v>
      </c>
      <c r="B1533">
        <v>42.4</v>
      </c>
      <c r="C1533">
        <v>4.0599999999999996</v>
      </c>
      <c r="D1533" t="s">
        <v>2370</v>
      </c>
      <c r="E1533" t="s">
        <v>2370</v>
      </c>
      <c r="F1533" t="s">
        <v>2370</v>
      </c>
      <c r="G1533" t="s">
        <v>2371</v>
      </c>
      <c r="H1533" t="s">
        <v>2370</v>
      </c>
    </row>
    <row r="1534" spans="1:8" x14ac:dyDescent="0.35">
      <c r="A1534" t="s">
        <v>828</v>
      </c>
      <c r="B1534">
        <v>28.405000000000001</v>
      </c>
      <c r="C1534">
        <v>7.02</v>
      </c>
      <c r="D1534" t="s">
        <v>2372</v>
      </c>
      <c r="E1534" t="s">
        <v>2370</v>
      </c>
      <c r="F1534" t="s">
        <v>2370</v>
      </c>
      <c r="G1534" t="s">
        <v>2371</v>
      </c>
      <c r="H1534" t="s">
        <v>2370</v>
      </c>
    </row>
    <row r="1535" spans="1:8" x14ac:dyDescent="0.35">
      <c r="A1535" t="s">
        <v>827</v>
      </c>
      <c r="B1535">
        <v>23.4</v>
      </c>
      <c r="C1535">
        <v>4.47</v>
      </c>
      <c r="D1535" t="s">
        <v>2370</v>
      </c>
      <c r="E1535" t="s">
        <v>2370</v>
      </c>
      <c r="F1535" t="s">
        <v>2370</v>
      </c>
      <c r="G1535" t="s">
        <v>2371</v>
      </c>
      <c r="H1535" t="s">
        <v>2370</v>
      </c>
    </row>
    <row r="1536" spans="1:8" x14ac:dyDescent="0.35">
      <c r="A1536" t="s">
        <v>826</v>
      </c>
      <c r="B1536">
        <v>33.44</v>
      </c>
      <c r="C1536">
        <v>4.54</v>
      </c>
      <c r="D1536" t="s">
        <v>2370</v>
      </c>
      <c r="E1536" t="s">
        <v>2370</v>
      </c>
      <c r="F1536" t="s">
        <v>2370</v>
      </c>
      <c r="G1536" t="s">
        <v>2371</v>
      </c>
      <c r="H1536" t="s">
        <v>2370</v>
      </c>
    </row>
    <row r="1537" spans="1:8" x14ac:dyDescent="0.35">
      <c r="A1537" t="s">
        <v>825</v>
      </c>
      <c r="B1537">
        <v>21.12</v>
      </c>
      <c r="C1537">
        <v>4.99</v>
      </c>
      <c r="D1537" t="s">
        <v>2370</v>
      </c>
      <c r="E1537" t="s">
        <v>2370</v>
      </c>
      <c r="F1537" t="s">
        <v>2370</v>
      </c>
      <c r="G1537">
        <v>1</v>
      </c>
      <c r="H1537" t="s">
        <v>2370</v>
      </c>
    </row>
    <row r="1538" spans="1:8" x14ac:dyDescent="0.35">
      <c r="A1538" t="s">
        <v>824</v>
      </c>
      <c r="B1538">
        <v>18.48</v>
      </c>
      <c r="C1538">
        <v>10.84</v>
      </c>
      <c r="D1538" t="s">
        <v>2372</v>
      </c>
      <c r="E1538" t="s">
        <v>2370</v>
      </c>
      <c r="F1538" t="s">
        <v>2370</v>
      </c>
      <c r="G1538">
        <v>2</v>
      </c>
      <c r="H1538" t="s">
        <v>2370</v>
      </c>
    </row>
    <row r="1539" spans="1:8" x14ac:dyDescent="0.35">
      <c r="A1539" t="s">
        <v>823</v>
      </c>
      <c r="B1539">
        <v>16.815000000000001</v>
      </c>
      <c r="C1539">
        <v>5.63</v>
      </c>
      <c r="D1539" t="s">
        <v>2370</v>
      </c>
      <c r="E1539" t="s">
        <v>2370</v>
      </c>
      <c r="F1539" t="s">
        <v>2370</v>
      </c>
      <c r="G1539">
        <v>1</v>
      </c>
      <c r="H1539" t="s">
        <v>2370</v>
      </c>
    </row>
    <row r="1540" spans="1:8" x14ac:dyDescent="0.35">
      <c r="A1540" t="s">
        <v>822</v>
      </c>
      <c r="B1540">
        <v>26.72</v>
      </c>
      <c r="C1540">
        <v>4.1399999999999997</v>
      </c>
      <c r="D1540" t="s">
        <v>2370</v>
      </c>
      <c r="E1540" t="s">
        <v>2370</v>
      </c>
      <c r="F1540" t="s">
        <v>2370</v>
      </c>
      <c r="G1540" t="s">
        <v>2371</v>
      </c>
      <c r="H1540" t="s">
        <v>2370</v>
      </c>
    </row>
    <row r="1541" spans="1:8" x14ac:dyDescent="0.35">
      <c r="A1541" t="s">
        <v>821</v>
      </c>
      <c r="B1541">
        <v>41.42</v>
      </c>
      <c r="C1541">
        <v>5.17</v>
      </c>
      <c r="D1541" t="s">
        <v>2370</v>
      </c>
      <c r="E1541" t="s">
        <v>2370</v>
      </c>
      <c r="F1541" t="s">
        <v>2373</v>
      </c>
      <c r="G1541">
        <v>1</v>
      </c>
      <c r="H1541" t="s">
        <v>2370</v>
      </c>
    </row>
    <row r="1542" spans="1:8" x14ac:dyDescent="0.35">
      <c r="A1542" t="s">
        <v>820</v>
      </c>
      <c r="B1542">
        <v>20.69</v>
      </c>
      <c r="C1542">
        <v>6.93</v>
      </c>
      <c r="D1542" t="s">
        <v>2370</v>
      </c>
      <c r="E1542" t="s">
        <v>2370</v>
      </c>
      <c r="F1542" t="s">
        <v>2370</v>
      </c>
      <c r="G1542">
        <v>2</v>
      </c>
      <c r="H1542" t="s">
        <v>2370</v>
      </c>
    </row>
    <row r="1543" spans="1:8" x14ac:dyDescent="0.35">
      <c r="A1543" t="s">
        <v>819</v>
      </c>
      <c r="B1543">
        <v>41.23</v>
      </c>
      <c r="C1543">
        <v>4.24</v>
      </c>
      <c r="D1543" t="s">
        <v>2370</v>
      </c>
      <c r="E1543" t="s">
        <v>2370</v>
      </c>
      <c r="F1543" t="s">
        <v>2370</v>
      </c>
      <c r="G1543" t="s">
        <v>2371</v>
      </c>
      <c r="H1543" t="s">
        <v>2370</v>
      </c>
    </row>
    <row r="1544" spans="1:8" x14ac:dyDescent="0.35">
      <c r="A1544" t="s">
        <v>818</v>
      </c>
      <c r="B1544">
        <v>29.9</v>
      </c>
      <c r="C1544">
        <v>5.91</v>
      </c>
      <c r="D1544" t="s">
        <v>2370</v>
      </c>
      <c r="E1544" t="s">
        <v>2370</v>
      </c>
      <c r="F1544" t="s">
        <v>2370</v>
      </c>
      <c r="G1544" t="s">
        <v>2371</v>
      </c>
      <c r="H1544" t="s">
        <v>2370</v>
      </c>
    </row>
    <row r="1545" spans="1:8" x14ac:dyDescent="0.35">
      <c r="A1545" t="s">
        <v>817</v>
      </c>
      <c r="B1545">
        <v>34.104999999999997</v>
      </c>
      <c r="C1545">
        <v>5.93</v>
      </c>
      <c r="D1545" t="s">
        <v>2370</v>
      </c>
      <c r="E1545" t="s">
        <v>2370</v>
      </c>
      <c r="F1545" t="s">
        <v>2370</v>
      </c>
      <c r="G1545" t="s">
        <v>2371</v>
      </c>
      <c r="H1545" t="s">
        <v>2370</v>
      </c>
    </row>
    <row r="1546" spans="1:8" x14ac:dyDescent="0.35">
      <c r="A1546" t="s">
        <v>816</v>
      </c>
      <c r="B1546">
        <v>24.97</v>
      </c>
      <c r="C1546">
        <v>5.66</v>
      </c>
      <c r="D1546" t="s">
        <v>2370</v>
      </c>
      <c r="E1546" t="s">
        <v>2370</v>
      </c>
      <c r="F1546" t="s">
        <v>2370</v>
      </c>
      <c r="G1546" t="s">
        <v>2371</v>
      </c>
      <c r="H1546" t="s">
        <v>2370</v>
      </c>
    </row>
    <row r="1547" spans="1:8" x14ac:dyDescent="0.35">
      <c r="A1547" t="s">
        <v>815</v>
      </c>
      <c r="B1547">
        <v>34.799999999999997</v>
      </c>
      <c r="C1547">
        <v>4.1900000000000004</v>
      </c>
      <c r="D1547" t="s">
        <v>2370</v>
      </c>
      <c r="E1547" t="s">
        <v>2370</v>
      </c>
      <c r="F1547" t="s">
        <v>2370</v>
      </c>
      <c r="G1547">
        <v>1</v>
      </c>
      <c r="H1547" t="s">
        <v>2370</v>
      </c>
    </row>
    <row r="1548" spans="1:8" x14ac:dyDescent="0.35">
      <c r="A1548" t="s">
        <v>814</v>
      </c>
      <c r="B1548">
        <v>32.965000000000003</v>
      </c>
      <c r="C1548">
        <v>9.2100000000000009</v>
      </c>
      <c r="D1548" t="s">
        <v>2372</v>
      </c>
      <c r="E1548" t="s">
        <v>2370</v>
      </c>
      <c r="F1548" t="s">
        <v>2370</v>
      </c>
      <c r="G1548" t="s">
        <v>2371</v>
      </c>
      <c r="H1548" t="s">
        <v>2370</v>
      </c>
    </row>
    <row r="1549" spans="1:8" x14ac:dyDescent="0.35">
      <c r="A1549" t="s">
        <v>813</v>
      </c>
      <c r="B1549">
        <v>27.265000000000001</v>
      </c>
      <c r="C1549">
        <v>5.51</v>
      </c>
      <c r="D1549" t="s">
        <v>2370</v>
      </c>
      <c r="E1549" t="s">
        <v>2370</v>
      </c>
      <c r="F1549" t="s">
        <v>2370</v>
      </c>
      <c r="G1549">
        <v>1</v>
      </c>
      <c r="H1549" t="s">
        <v>2370</v>
      </c>
    </row>
    <row r="1550" spans="1:8" x14ac:dyDescent="0.35">
      <c r="A1550" t="s">
        <v>812</v>
      </c>
      <c r="B1550">
        <v>17.059999999999999</v>
      </c>
      <c r="C1550">
        <v>8.5</v>
      </c>
      <c r="D1550" t="s">
        <v>2370</v>
      </c>
      <c r="E1550" t="s">
        <v>2370</v>
      </c>
      <c r="F1550" t="s">
        <v>2370</v>
      </c>
      <c r="G1550" t="s">
        <v>2371</v>
      </c>
      <c r="H1550" t="s">
        <v>2370</v>
      </c>
    </row>
    <row r="1551" spans="1:8" x14ac:dyDescent="0.35">
      <c r="A1551" t="s">
        <v>811</v>
      </c>
      <c r="B1551">
        <v>36.29</v>
      </c>
      <c r="C1551">
        <v>6.23</v>
      </c>
      <c r="D1551" t="s">
        <v>2370</v>
      </c>
      <c r="E1551" t="s">
        <v>2370</v>
      </c>
      <c r="F1551" t="s">
        <v>2370</v>
      </c>
      <c r="G1551" t="s">
        <v>2371</v>
      </c>
      <c r="H1551" t="s">
        <v>2370</v>
      </c>
    </row>
    <row r="1552" spans="1:8" x14ac:dyDescent="0.35">
      <c r="A1552" t="s">
        <v>810</v>
      </c>
      <c r="B1552">
        <v>28.594999999999999</v>
      </c>
      <c r="C1552">
        <v>8.5299999999999994</v>
      </c>
      <c r="D1552" t="s">
        <v>2372</v>
      </c>
      <c r="E1552" t="s">
        <v>2370</v>
      </c>
      <c r="F1552" t="s">
        <v>2370</v>
      </c>
      <c r="G1552">
        <v>1</v>
      </c>
      <c r="H1552" t="s">
        <v>2370</v>
      </c>
    </row>
    <row r="1553" spans="1:8" x14ac:dyDescent="0.35">
      <c r="A1553" t="s">
        <v>809</v>
      </c>
      <c r="B1553">
        <v>17.8</v>
      </c>
      <c r="C1553">
        <v>5.75</v>
      </c>
      <c r="D1553" t="s">
        <v>2372</v>
      </c>
      <c r="E1553" t="s">
        <v>2370</v>
      </c>
      <c r="F1553" t="s">
        <v>2373</v>
      </c>
      <c r="G1553">
        <v>1</v>
      </c>
      <c r="H1553" t="s">
        <v>2370</v>
      </c>
    </row>
    <row r="1554" spans="1:8" x14ac:dyDescent="0.35">
      <c r="A1554" t="s">
        <v>808</v>
      </c>
      <c r="B1554">
        <v>21.4</v>
      </c>
      <c r="C1554">
        <v>5.6</v>
      </c>
      <c r="D1554" t="s">
        <v>2370</v>
      </c>
      <c r="E1554" t="s">
        <v>2370</v>
      </c>
      <c r="F1554" t="s">
        <v>2370</v>
      </c>
      <c r="G1554" t="s">
        <v>2371</v>
      </c>
      <c r="H1554" t="s">
        <v>2370</v>
      </c>
    </row>
    <row r="1555" spans="1:8" x14ac:dyDescent="0.35">
      <c r="A1555" t="s">
        <v>807</v>
      </c>
      <c r="B1555">
        <v>23.01</v>
      </c>
      <c r="C1555">
        <v>4.68</v>
      </c>
      <c r="D1555" t="s">
        <v>2370</v>
      </c>
      <c r="E1555" t="s">
        <v>2370</v>
      </c>
      <c r="F1555" t="s">
        <v>2370</v>
      </c>
      <c r="G1555" t="s">
        <v>2371</v>
      </c>
      <c r="H1555" t="s">
        <v>2370</v>
      </c>
    </row>
    <row r="1556" spans="1:8" x14ac:dyDescent="0.35">
      <c r="A1556" t="s">
        <v>806</v>
      </c>
      <c r="B1556">
        <v>19.86</v>
      </c>
      <c r="C1556">
        <v>5.62</v>
      </c>
      <c r="D1556" t="s">
        <v>2372</v>
      </c>
      <c r="E1556" t="s">
        <v>2370</v>
      </c>
      <c r="F1556" t="s">
        <v>2370</v>
      </c>
      <c r="G1556" t="s">
        <v>2371</v>
      </c>
      <c r="H1556" t="s">
        <v>2370</v>
      </c>
    </row>
    <row r="1557" spans="1:8" x14ac:dyDescent="0.35">
      <c r="A1557" t="s">
        <v>805</v>
      </c>
      <c r="B1557">
        <v>33.58</v>
      </c>
      <c r="C1557">
        <v>5.08</v>
      </c>
      <c r="D1557" t="s">
        <v>2370</v>
      </c>
      <c r="E1557" t="s">
        <v>2370</v>
      </c>
      <c r="F1557" t="s">
        <v>2370</v>
      </c>
      <c r="G1557" t="s">
        <v>2371</v>
      </c>
      <c r="H1557" t="s">
        <v>2370</v>
      </c>
    </row>
    <row r="1558" spans="1:8" x14ac:dyDescent="0.35">
      <c r="A1558" t="s">
        <v>804</v>
      </c>
      <c r="B1558">
        <v>29.81</v>
      </c>
      <c r="C1558">
        <v>5.28</v>
      </c>
      <c r="D1558" t="s">
        <v>2370</v>
      </c>
      <c r="E1558" t="s">
        <v>2370</v>
      </c>
      <c r="F1558" t="s">
        <v>2370</v>
      </c>
      <c r="G1558" t="s">
        <v>2371</v>
      </c>
      <c r="H1558" t="s">
        <v>2370</v>
      </c>
    </row>
    <row r="1559" spans="1:8" x14ac:dyDescent="0.35">
      <c r="A1559" t="s">
        <v>803</v>
      </c>
      <c r="B1559">
        <v>27.4</v>
      </c>
      <c r="C1559">
        <v>4.6100000000000003</v>
      </c>
      <c r="D1559" t="s">
        <v>2370</v>
      </c>
      <c r="E1559" t="s">
        <v>2370</v>
      </c>
      <c r="F1559" t="s">
        <v>2370</v>
      </c>
      <c r="G1559" t="s">
        <v>2371</v>
      </c>
      <c r="H1559" t="s">
        <v>2370</v>
      </c>
    </row>
    <row r="1560" spans="1:8" x14ac:dyDescent="0.35">
      <c r="A1560" t="s">
        <v>802</v>
      </c>
      <c r="B1560">
        <v>17.98</v>
      </c>
      <c r="C1560">
        <v>6.57</v>
      </c>
      <c r="D1560" t="s">
        <v>2372</v>
      </c>
      <c r="E1560" t="s">
        <v>2370</v>
      </c>
      <c r="F1560" t="s">
        <v>2370</v>
      </c>
      <c r="G1560">
        <v>2</v>
      </c>
      <c r="H1560" t="s">
        <v>2370</v>
      </c>
    </row>
    <row r="1561" spans="1:8" x14ac:dyDescent="0.35">
      <c r="A1561" t="s">
        <v>801</v>
      </c>
      <c r="B1561">
        <v>37.9</v>
      </c>
      <c r="C1561">
        <v>5.83</v>
      </c>
      <c r="D1561" t="s">
        <v>2370</v>
      </c>
      <c r="E1561" t="s">
        <v>2370</v>
      </c>
      <c r="F1561" t="s">
        <v>2370</v>
      </c>
      <c r="G1561" t="s">
        <v>2371</v>
      </c>
      <c r="H1561" t="s">
        <v>2370</v>
      </c>
    </row>
    <row r="1562" spans="1:8" x14ac:dyDescent="0.35">
      <c r="A1562" t="s">
        <v>800</v>
      </c>
      <c r="B1562">
        <v>25.27</v>
      </c>
      <c r="C1562">
        <v>6.98</v>
      </c>
      <c r="D1562" t="s">
        <v>2372</v>
      </c>
      <c r="E1562" t="s">
        <v>2370</v>
      </c>
      <c r="F1562" t="s">
        <v>2370</v>
      </c>
      <c r="G1562" t="s">
        <v>2371</v>
      </c>
      <c r="H1562" t="s">
        <v>2370</v>
      </c>
    </row>
    <row r="1563" spans="1:8" x14ac:dyDescent="0.35">
      <c r="A1563" t="s">
        <v>799</v>
      </c>
      <c r="B1563">
        <v>29.26</v>
      </c>
      <c r="C1563">
        <v>4.03</v>
      </c>
      <c r="D1563" t="s">
        <v>2370</v>
      </c>
      <c r="E1563" t="s">
        <v>2370</v>
      </c>
      <c r="F1563" t="s">
        <v>2370</v>
      </c>
      <c r="G1563">
        <v>1</v>
      </c>
      <c r="H1563" t="s">
        <v>2370</v>
      </c>
    </row>
    <row r="1564" spans="1:8" x14ac:dyDescent="0.35">
      <c r="A1564" t="s">
        <v>798</v>
      </c>
      <c r="B1564">
        <v>27.835000000000001</v>
      </c>
      <c r="C1564">
        <v>4.5599999999999996</v>
      </c>
      <c r="D1564" t="s">
        <v>2370</v>
      </c>
      <c r="E1564" t="s">
        <v>2370</v>
      </c>
      <c r="F1564" t="s">
        <v>2370</v>
      </c>
      <c r="G1564">
        <v>1</v>
      </c>
      <c r="H1564" t="s">
        <v>2370</v>
      </c>
    </row>
    <row r="1565" spans="1:8" x14ac:dyDescent="0.35">
      <c r="A1565" t="s">
        <v>797</v>
      </c>
      <c r="B1565">
        <v>46.53</v>
      </c>
      <c r="C1565">
        <v>5.38</v>
      </c>
      <c r="D1565" t="s">
        <v>2372</v>
      </c>
      <c r="E1565" t="s">
        <v>2370</v>
      </c>
      <c r="F1565" t="s">
        <v>2370</v>
      </c>
      <c r="G1565" t="s">
        <v>2371</v>
      </c>
      <c r="H1565" t="s">
        <v>2370</v>
      </c>
    </row>
    <row r="1566" spans="1:8" x14ac:dyDescent="0.35">
      <c r="A1566" t="s">
        <v>796</v>
      </c>
      <c r="B1566">
        <v>20.58</v>
      </c>
      <c r="C1566">
        <v>11.04</v>
      </c>
      <c r="D1566" t="s">
        <v>2372</v>
      </c>
      <c r="E1566" t="s">
        <v>2370</v>
      </c>
      <c r="F1566" t="s">
        <v>2370</v>
      </c>
      <c r="G1566">
        <v>1</v>
      </c>
      <c r="H1566" t="s">
        <v>2370</v>
      </c>
    </row>
    <row r="1567" spans="1:8" x14ac:dyDescent="0.35">
      <c r="A1567" t="s">
        <v>795</v>
      </c>
      <c r="B1567">
        <v>19.53</v>
      </c>
      <c r="C1567">
        <v>6.09</v>
      </c>
      <c r="D1567" t="s">
        <v>2372</v>
      </c>
      <c r="E1567" t="s">
        <v>2370</v>
      </c>
      <c r="F1567" t="s">
        <v>2370</v>
      </c>
      <c r="G1567" t="s">
        <v>2371</v>
      </c>
      <c r="H1567" t="s">
        <v>2370</v>
      </c>
    </row>
    <row r="1568" spans="1:8" x14ac:dyDescent="0.35">
      <c r="A1568" t="s">
        <v>794</v>
      </c>
      <c r="B1568">
        <v>27.7</v>
      </c>
      <c r="C1568">
        <v>4.71</v>
      </c>
      <c r="D1568" t="s">
        <v>2370</v>
      </c>
      <c r="E1568" t="s">
        <v>2370</v>
      </c>
      <c r="F1568" t="s">
        <v>2370</v>
      </c>
      <c r="G1568">
        <v>1</v>
      </c>
      <c r="H1568" t="s">
        <v>2370</v>
      </c>
    </row>
    <row r="1569" spans="1:8" x14ac:dyDescent="0.35">
      <c r="A1569" t="s">
        <v>793</v>
      </c>
      <c r="B1569">
        <v>18.920000000000002</v>
      </c>
      <c r="C1569">
        <v>8.18</v>
      </c>
      <c r="D1569" t="s">
        <v>2370</v>
      </c>
      <c r="E1569" t="s">
        <v>2370</v>
      </c>
      <c r="F1569" t="s">
        <v>2370</v>
      </c>
      <c r="G1569" t="s">
        <v>2371</v>
      </c>
      <c r="H1569" t="s">
        <v>2370</v>
      </c>
    </row>
    <row r="1570" spans="1:8" x14ac:dyDescent="0.35">
      <c r="A1570" t="s">
        <v>792</v>
      </c>
      <c r="B1570">
        <v>17.760000000000002</v>
      </c>
      <c r="C1570">
        <v>11.18</v>
      </c>
      <c r="D1570" t="s">
        <v>2372</v>
      </c>
      <c r="E1570" t="s">
        <v>2370</v>
      </c>
      <c r="F1570" t="s">
        <v>2370</v>
      </c>
      <c r="G1570">
        <v>2</v>
      </c>
      <c r="H1570" t="s">
        <v>2370</v>
      </c>
    </row>
    <row r="1571" spans="1:8" x14ac:dyDescent="0.35">
      <c r="A1571" t="s">
        <v>791</v>
      </c>
      <c r="B1571">
        <v>29.83</v>
      </c>
      <c r="C1571">
        <v>5.03</v>
      </c>
      <c r="D1571" t="s">
        <v>2372</v>
      </c>
      <c r="E1571" t="s">
        <v>2370</v>
      </c>
      <c r="F1571" t="s">
        <v>2370</v>
      </c>
      <c r="G1571" t="s">
        <v>2371</v>
      </c>
      <c r="H1571" t="s">
        <v>2370</v>
      </c>
    </row>
    <row r="1572" spans="1:8" x14ac:dyDescent="0.35">
      <c r="A1572" t="s">
        <v>790</v>
      </c>
      <c r="B1572">
        <v>23.465</v>
      </c>
      <c r="C1572">
        <v>5.56</v>
      </c>
      <c r="D1572" t="s">
        <v>2370</v>
      </c>
      <c r="E1572" t="s">
        <v>2370</v>
      </c>
      <c r="F1572" t="s">
        <v>2370</v>
      </c>
      <c r="G1572">
        <v>1</v>
      </c>
      <c r="H1572" t="s">
        <v>2370</v>
      </c>
    </row>
    <row r="1573" spans="1:8" x14ac:dyDescent="0.35">
      <c r="A1573" t="s">
        <v>789</v>
      </c>
      <c r="B1573">
        <v>29.355</v>
      </c>
      <c r="C1573">
        <v>4.33</v>
      </c>
      <c r="D1573" t="s">
        <v>2370</v>
      </c>
      <c r="E1573" t="s">
        <v>2370</v>
      </c>
      <c r="F1573" t="s">
        <v>2370</v>
      </c>
      <c r="G1573" t="s">
        <v>2371</v>
      </c>
      <c r="H1573" t="s">
        <v>2370</v>
      </c>
    </row>
    <row r="1574" spans="1:8" x14ac:dyDescent="0.35">
      <c r="A1574" t="s">
        <v>788</v>
      </c>
      <c r="B1574">
        <v>35.49</v>
      </c>
      <c r="C1574">
        <v>5.21</v>
      </c>
      <c r="D1574" t="s">
        <v>2372</v>
      </c>
      <c r="E1574" t="s">
        <v>2370</v>
      </c>
      <c r="F1574" t="s">
        <v>2373</v>
      </c>
      <c r="G1574">
        <v>1</v>
      </c>
      <c r="H1574" t="s">
        <v>2370</v>
      </c>
    </row>
    <row r="1575" spans="1:8" x14ac:dyDescent="0.35">
      <c r="A1575" t="s">
        <v>787</v>
      </c>
      <c r="B1575">
        <v>26.315000000000001</v>
      </c>
      <c r="C1575">
        <v>5.89</v>
      </c>
      <c r="D1575" t="s">
        <v>2370</v>
      </c>
      <c r="E1575" t="s">
        <v>2370</v>
      </c>
      <c r="F1575" t="s">
        <v>2370</v>
      </c>
      <c r="G1575" t="s">
        <v>2371</v>
      </c>
      <c r="H1575" t="s">
        <v>2370</v>
      </c>
    </row>
    <row r="1576" spans="1:8" x14ac:dyDescent="0.35">
      <c r="A1576" t="s">
        <v>786</v>
      </c>
      <c r="B1576">
        <v>19.79</v>
      </c>
      <c r="C1576">
        <v>4.8099999999999996</v>
      </c>
      <c r="D1576" t="s">
        <v>2372</v>
      </c>
      <c r="E1576" t="s">
        <v>2370</v>
      </c>
      <c r="F1576" t="s">
        <v>2370</v>
      </c>
      <c r="G1576" t="s">
        <v>2371</v>
      </c>
      <c r="H1576" t="s">
        <v>2370</v>
      </c>
    </row>
    <row r="1577" spans="1:8" x14ac:dyDescent="0.35">
      <c r="A1577" t="s">
        <v>785</v>
      </c>
      <c r="B1577">
        <v>40.564999999999998</v>
      </c>
      <c r="C1577">
        <v>5.66</v>
      </c>
      <c r="D1577" t="s">
        <v>2370</v>
      </c>
      <c r="E1577" t="s">
        <v>2370</v>
      </c>
      <c r="F1577" t="s">
        <v>2370</v>
      </c>
      <c r="G1577">
        <v>1</v>
      </c>
      <c r="H1577" t="s">
        <v>2370</v>
      </c>
    </row>
    <row r="1578" spans="1:8" x14ac:dyDescent="0.35">
      <c r="A1578" t="s">
        <v>784</v>
      </c>
      <c r="B1578">
        <v>18.03</v>
      </c>
      <c r="C1578">
        <v>10.66</v>
      </c>
      <c r="D1578" t="s">
        <v>2372</v>
      </c>
      <c r="E1578" t="s">
        <v>2370</v>
      </c>
      <c r="F1578" t="s">
        <v>2370</v>
      </c>
      <c r="G1578">
        <v>2</v>
      </c>
      <c r="H1578" t="s">
        <v>2370</v>
      </c>
    </row>
    <row r="1579" spans="1:8" x14ac:dyDescent="0.35">
      <c r="A1579" t="s">
        <v>783</v>
      </c>
      <c r="B1579">
        <v>34.65</v>
      </c>
      <c r="C1579">
        <v>5.98</v>
      </c>
      <c r="D1579" t="s">
        <v>2372</v>
      </c>
      <c r="E1579" t="s">
        <v>2370</v>
      </c>
      <c r="F1579" t="s">
        <v>2370</v>
      </c>
      <c r="G1579" t="s">
        <v>2371</v>
      </c>
      <c r="H1579" t="s">
        <v>2370</v>
      </c>
    </row>
    <row r="1580" spans="1:8" x14ac:dyDescent="0.35">
      <c r="A1580" t="s">
        <v>782</v>
      </c>
      <c r="B1580">
        <v>42.94</v>
      </c>
      <c r="C1580">
        <v>4.34</v>
      </c>
      <c r="D1580" t="s">
        <v>2370</v>
      </c>
      <c r="E1580" t="s">
        <v>2370</v>
      </c>
      <c r="F1580" t="s">
        <v>2370</v>
      </c>
      <c r="G1580" t="s">
        <v>2371</v>
      </c>
      <c r="H1580" t="s">
        <v>2370</v>
      </c>
    </row>
    <row r="1581" spans="1:8" x14ac:dyDescent="0.35">
      <c r="A1581" t="s">
        <v>781</v>
      </c>
      <c r="B1581">
        <v>31.254999999999999</v>
      </c>
      <c r="C1581">
        <v>5.17</v>
      </c>
      <c r="D1581" t="s">
        <v>2370</v>
      </c>
      <c r="E1581" t="s">
        <v>2370</v>
      </c>
      <c r="F1581" t="s">
        <v>2370</v>
      </c>
      <c r="G1581" t="s">
        <v>2371</v>
      </c>
      <c r="H1581" t="s">
        <v>2370</v>
      </c>
    </row>
    <row r="1582" spans="1:8" x14ac:dyDescent="0.35">
      <c r="A1582" t="s">
        <v>780</v>
      </c>
      <c r="B1582">
        <v>45.43</v>
      </c>
      <c r="C1582">
        <v>4.2300000000000004</v>
      </c>
      <c r="D1582" t="s">
        <v>2372</v>
      </c>
      <c r="E1582" t="s">
        <v>2370</v>
      </c>
      <c r="F1582" t="s">
        <v>2373</v>
      </c>
      <c r="G1582">
        <v>1</v>
      </c>
      <c r="H1582" t="s">
        <v>2370</v>
      </c>
    </row>
    <row r="1583" spans="1:8" x14ac:dyDescent="0.35">
      <c r="A1583" t="s">
        <v>779</v>
      </c>
      <c r="B1583">
        <v>32.340000000000003</v>
      </c>
      <c r="C1583">
        <v>4.88</v>
      </c>
      <c r="D1583" t="s">
        <v>2372</v>
      </c>
      <c r="E1583" t="s">
        <v>2370</v>
      </c>
      <c r="F1583" t="s">
        <v>2373</v>
      </c>
      <c r="G1583">
        <v>1</v>
      </c>
      <c r="H1583" t="s">
        <v>2370</v>
      </c>
    </row>
    <row r="1584" spans="1:8" x14ac:dyDescent="0.35">
      <c r="A1584" t="s">
        <v>778</v>
      </c>
      <c r="B1584">
        <v>25.46</v>
      </c>
      <c r="C1584">
        <v>9.7100000000000009</v>
      </c>
      <c r="D1584" t="s">
        <v>2372</v>
      </c>
      <c r="E1584" t="s">
        <v>2370</v>
      </c>
      <c r="F1584" t="s">
        <v>2370</v>
      </c>
      <c r="G1584">
        <v>1</v>
      </c>
      <c r="H1584" t="s">
        <v>2370</v>
      </c>
    </row>
    <row r="1585" spans="1:8" x14ac:dyDescent="0.35">
      <c r="A1585" t="s">
        <v>777</v>
      </c>
      <c r="B1585">
        <v>37.145000000000003</v>
      </c>
      <c r="C1585">
        <v>5.32</v>
      </c>
      <c r="D1585" t="s">
        <v>2370</v>
      </c>
      <c r="E1585" t="s">
        <v>2370</v>
      </c>
      <c r="F1585" t="s">
        <v>2370</v>
      </c>
      <c r="G1585" t="s">
        <v>2371</v>
      </c>
      <c r="H1585" t="s">
        <v>2370</v>
      </c>
    </row>
    <row r="1586" spans="1:8" x14ac:dyDescent="0.35">
      <c r="A1586" t="s">
        <v>776</v>
      </c>
      <c r="B1586">
        <v>30.8</v>
      </c>
      <c r="C1586">
        <v>5.83</v>
      </c>
      <c r="D1586" t="s">
        <v>2372</v>
      </c>
      <c r="E1586" t="s">
        <v>2370</v>
      </c>
      <c r="F1586" t="s">
        <v>2370</v>
      </c>
      <c r="G1586" t="s">
        <v>2371</v>
      </c>
      <c r="H1586" t="s">
        <v>2370</v>
      </c>
    </row>
    <row r="1587" spans="1:8" x14ac:dyDescent="0.35">
      <c r="A1587" t="s">
        <v>775</v>
      </c>
      <c r="B1587">
        <v>29.5</v>
      </c>
      <c r="C1587">
        <v>5.54</v>
      </c>
      <c r="D1587" t="s">
        <v>2372</v>
      </c>
      <c r="E1587" t="s">
        <v>2370</v>
      </c>
      <c r="F1587" t="s">
        <v>2370</v>
      </c>
      <c r="G1587" t="s">
        <v>2371</v>
      </c>
      <c r="H1587" t="s">
        <v>2370</v>
      </c>
    </row>
    <row r="1588" spans="1:8" x14ac:dyDescent="0.35">
      <c r="A1588" t="s">
        <v>774</v>
      </c>
      <c r="B1588">
        <v>43.39</v>
      </c>
      <c r="C1588">
        <v>5.85</v>
      </c>
      <c r="D1588" t="s">
        <v>2370</v>
      </c>
      <c r="E1588" t="s">
        <v>2372</v>
      </c>
      <c r="F1588" t="s">
        <v>2370</v>
      </c>
      <c r="G1588">
        <v>1</v>
      </c>
      <c r="H1588" t="s">
        <v>2370</v>
      </c>
    </row>
    <row r="1589" spans="1:8" x14ac:dyDescent="0.35">
      <c r="A1589" t="s">
        <v>773</v>
      </c>
      <c r="B1589">
        <v>15.08</v>
      </c>
      <c r="C1589">
        <v>4.8499999999999996</v>
      </c>
      <c r="D1589" t="s">
        <v>2372</v>
      </c>
      <c r="E1589" t="s">
        <v>2370</v>
      </c>
      <c r="F1589" t="s">
        <v>2373</v>
      </c>
      <c r="G1589">
        <v>1</v>
      </c>
      <c r="H1589" t="s">
        <v>2370</v>
      </c>
    </row>
    <row r="1590" spans="1:8" x14ac:dyDescent="0.35">
      <c r="A1590" t="s">
        <v>772</v>
      </c>
      <c r="B1590">
        <v>20.48</v>
      </c>
      <c r="C1590">
        <v>11.09</v>
      </c>
      <c r="D1590" t="s">
        <v>2370</v>
      </c>
      <c r="E1590" t="s">
        <v>2370</v>
      </c>
      <c r="F1590" t="s">
        <v>2370</v>
      </c>
      <c r="G1590" t="s">
        <v>2371</v>
      </c>
      <c r="H1590" t="s">
        <v>2370</v>
      </c>
    </row>
    <row r="1591" spans="1:8" x14ac:dyDescent="0.35">
      <c r="A1591" t="s">
        <v>771</v>
      </c>
      <c r="B1591">
        <v>34.450000000000003</v>
      </c>
      <c r="C1591">
        <v>5.58</v>
      </c>
      <c r="D1591" t="s">
        <v>2372</v>
      </c>
      <c r="E1591" t="s">
        <v>2370</v>
      </c>
      <c r="F1591" t="s">
        <v>2370</v>
      </c>
      <c r="G1591" t="s">
        <v>2371</v>
      </c>
      <c r="H1591" t="s">
        <v>2370</v>
      </c>
    </row>
    <row r="1592" spans="1:8" x14ac:dyDescent="0.35">
      <c r="A1592" t="s">
        <v>770</v>
      </c>
      <c r="B1592">
        <v>34.21</v>
      </c>
      <c r="C1592">
        <v>9.7200000000000006</v>
      </c>
      <c r="D1592" t="s">
        <v>2372</v>
      </c>
      <c r="E1592" t="s">
        <v>2370</v>
      </c>
      <c r="F1592" t="s">
        <v>2370</v>
      </c>
      <c r="G1592" t="s">
        <v>2371</v>
      </c>
      <c r="H1592" t="s">
        <v>2370</v>
      </c>
    </row>
    <row r="1593" spans="1:8" x14ac:dyDescent="0.35">
      <c r="A1593" t="s">
        <v>769</v>
      </c>
      <c r="B1593">
        <v>28.8</v>
      </c>
      <c r="C1593">
        <v>11.41</v>
      </c>
      <c r="D1593" t="s">
        <v>2372</v>
      </c>
      <c r="E1593" t="s">
        <v>2370</v>
      </c>
      <c r="F1593" t="s">
        <v>2370</v>
      </c>
      <c r="G1593" t="s">
        <v>2371</v>
      </c>
      <c r="H1593" t="s">
        <v>2370</v>
      </c>
    </row>
    <row r="1594" spans="1:8" x14ac:dyDescent="0.35">
      <c r="A1594" t="s">
        <v>768</v>
      </c>
      <c r="B1594">
        <v>31.74</v>
      </c>
      <c r="C1594">
        <v>4.46</v>
      </c>
      <c r="D1594" t="s">
        <v>2370</v>
      </c>
      <c r="E1594" t="s">
        <v>2370</v>
      </c>
      <c r="F1594" t="s">
        <v>2373</v>
      </c>
      <c r="G1594">
        <v>1</v>
      </c>
      <c r="H1594" t="s">
        <v>2370</v>
      </c>
    </row>
    <row r="1595" spans="1:8" x14ac:dyDescent="0.35">
      <c r="A1595" t="s">
        <v>767</v>
      </c>
      <c r="B1595">
        <v>21.78</v>
      </c>
      <c r="C1595">
        <v>9.31</v>
      </c>
      <c r="D1595" t="s">
        <v>2372</v>
      </c>
      <c r="E1595" t="s">
        <v>2370</v>
      </c>
      <c r="F1595" t="s">
        <v>2370</v>
      </c>
      <c r="G1595" t="s">
        <v>2371</v>
      </c>
      <c r="H1595" t="s">
        <v>2370</v>
      </c>
    </row>
    <row r="1596" spans="1:8" x14ac:dyDescent="0.35">
      <c r="A1596" t="s">
        <v>766</v>
      </c>
      <c r="B1596">
        <v>23.75</v>
      </c>
      <c r="C1596">
        <v>5.03</v>
      </c>
      <c r="D1596" t="s">
        <v>2370</v>
      </c>
      <c r="E1596" t="s">
        <v>2370</v>
      </c>
      <c r="F1596" t="s">
        <v>2370</v>
      </c>
      <c r="G1596">
        <v>1</v>
      </c>
      <c r="H1596" t="s">
        <v>2370</v>
      </c>
    </row>
    <row r="1597" spans="1:8" x14ac:dyDescent="0.35">
      <c r="A1597" t="s">
        <v>765</v>
      </c>
      <c r="B1597">
        <v>33.21</v>
      </c>
      <c r="C1597">
        <v>5.07</v>
      </c>
      <c r="D1597" t="s">
        <v>2372</v>
      </c>
      <c r="E1597" t="s">
        <v>2370</v>
      </c>
      <c r="F1597" t="s">
        <v>2370</v>
      </c>
      <c r="G1597">
        <v>1</v>
      </c>
      <c r="H1597" t="s">
        <v>2370</v>
      </c>
    </row>
    <row r="1598" spans="1:8" x14ac:dyDescent="0.35">
      <c r="A1598" t="s">
        <v>764</v>
      </c>
      <c r="B1598">
        <v>17.7</v>
      </c>
      <c r="C1598">
        <v>10.42</v>
      </c>
      <c r="D1598" t="s">
        <v>2372</v>
      </c>
      <c r="E1598" t="s">
        <v>2370</v>
      </c>
      <c r="F1598" t="s">
        <v>2370</v>
      </c>
      <c r="G1598">
        <v>2</v>
      </c>
      <c r="H1598" t="s">
        <v>2370</v>
      </c>
    </row>
    <row r="1599" spans="1:8" x14ac:dyDescent="0.35">
      <c r="A1599" t="s">
        <v>763</v>
      </c>
      <c r="B1599">
        <v>17.2</v>
      </c>
      <c r="C1599">
        <v>6.45</v>
      </c>
      <c r="D1599" t="s">
        <v>2370</v>
      </c>
      <c r="E1599" t="s">
        <v>2370</v>
      </c>
      <c r="F1599" t="s">
        <v>2370</v>
      </c>
      <c r="G1599">
        <v>2</v>
      </c>
      <c r="H1599" t="s">
        <v>2370</v>
      </c>
    </row>
    <row r="1600" spans="1:8" x14ac:dyDescent="0.35">
      <c r="A1600" t="s">
        <v>762</v>
      </c>
      <c r="B1600">
        <v>19.21</v>
      </c>
      <c r="C1600">
        <v>5.52</v>
      </c>
      <c r="D1600" t="s">
        <v>2370</v>
      </c>
      <c r="E1600" t="s">
        <v>2370</v>
      </c>
      <c r="F1600" t="s">
        <v>2370</v>
      </c>
      <c r="G1600">
        <v>2</v>
      </c>
      <c r="H1600" t="s">
        <v>2370</v>
      </c>
    </row>
    <row r="1601" spans="1:8" x14ac:dyDescent="0.35">
      <c r="A1601" t="s">
        <v>761</v>
      </c>
      <c r="B1601">
        <v>23.2</v>
      </c>
      <c r="C1601">
        <v>4.41</v>
      </c>
      <c r="D1601" t="s">
        <v>2370</v>
      </c>
      <c r="E1601" t="s">
        <v>2370</v>
      </c>
      <c r="F1601" t="s">
        <v>2373</v>
      </c>
      <c r="G1601">
        <v>1</v>
      </c>
      <c r="H1601" t="s">
        <v>2370</v>
      </c>
    </row>
    <row r="1602" spans="1:8" x14ac:dyDescent="0.35">
      <c r="A1602" t="s">
        <v>760</v>
      </c>
      <c r="B1602">
        <v>32.5</v>
      </c>
      <c r="C1602">
        <v>4.6900000000000004</v>
      </c>
      <c r="D1602" t="s">
        <v>2372</v>
      </c>
      <c r="E1602" t="s">
        <v>2370</v>
      </c>
      <c r="F1602" t="s">
        <v>2373</v>
      </c>
      <c r="G1602">
        <v>1</v>
      </c>
      <c r="H1602" t="s">
        <v>2370</v>
      </c>
    </row>
    <row r="1603" spans="1:8" x14ac:dyDescent="0.35">
      <c r="A1603" t="s">
        <v>759</v>
      </c>
      <c r="B1603">
        <v>20.9</v>
      </c>
      <c r="C1603">
        <v>6.94</v>
      </c>
      <c r="D1603" t="s">
        <v>2370</v>
      </c>
      <c r="E1603" t="s">
        <v>2370</v>
      </c>
      <c r="F1603" t="s">
        <v>2370</v>
      </c>
      <c r="G1603" t="s">
        <v>2371</v>
      </c>
      <c r="H1603" t="s">
        <v>2370</v>
      </c>
    </row>
    <row r="1604" spans="1:8" x14ac:dyDescent="0.35">
      <c r="A1604" t="s">
        <v>758</v>
      </c>
      <c r="B1604">
        <v>19.11</v>
      </c>
      <c r="C1604">
        <v>4.3499999999999996</v>
      </c>
      <c r="D1604" t="s">
        <v>2370</v>
      </c>
      <c r="E1604" t="s">
        <v>2370</v>
      </c>
      <c r="F1604" t="s">
        <v>2370</v>
      </c>
      <c r="G1604">
        <v>2</v>
      </c>
      <c r="H1604" t="s">
        <v>2370</v>
      </c>
    </row>
    <row r="1605" spans="1:8" x14ac:dyDescent="0.35">
      <c r="A1605" t="s">
        <v>757</v>
      </c>
      <c r="B1605">
        <v>31.17</v>
      </c>
      <c r="C1605">
        <v>5.28</v>
      </c>
      <c r="D1605" t="s">
        <v>2370</v>
      </c>
      <c r="E1605" t="s">
        <v>2370</v>
      </c>
      <c r="F1605" t="s">
        <v>2370</v>
      </c>
      <c r="G1605">
        <v>1</v>
      </c>
      <c r="H1605" t="s">
        <v>2370</v>
      </c>
    </row>
    <row r="1606" spans="1:8" x14ac:dyDescent="0.35">
      <c r="A1606" t="s">
        <v>756</v>
      </c>
      <c r="B1606">
        <v>36.08</v>
      </c>
      <c r="C1606">
        <v>4.29</v>
      </c>
      <c r="D1606" t="s">
        <v>2370</v>
      </c>
      <c r="E1606" t="s">
        <v>2370</v>
      </c>
      <c r="F1606" t="s">
        <v>2370</v>
      </c>
      <c r="G1606" t="s">
        <v>2371</v>
      </c>
      <c r="H1606" t="s">
        <v>2370</v>
      </c>
    </row>
    <row r="1607" spans="1:8" x14ac:dyDescent="0.35">
      <c r="A1607" t="s">
        <v>755</v>
      </c>
      <c r="B1607">
        <v>28.024999999999999</v>
      </c>
      <c r="C1607">
        <v>5.69</v>
      </c>
      <c r="D1607" t="s">
        <v>2372</v>
      </c>
      <c r="E1607" t="s">
        <v>2370</v>
      </c>
      <c r="F1607" t="s">
        <v>2370</v>
      </c>
      <c r="G1607" t="s">
        <v>2371</v>
      </c>
      <c r="H1607" t="s">
        <v>2370</v>
      </c>
    </row>
    <row r="1608" spans="1:8" x14ac:dyDescent="0.35">
      <c r="A1608" t="s">
        <v>754</v>
      </c>
      <c r="B1608">
        <v>24.32</v>
      </c>
      <c r="C1608">
        <v>5.56</v>
      </c>
      <c r="D1608" t="s">
        <v>2372</v>
      </c>
      <c r="E1608" t="s">
        <v>2370</v>
      </c>
      <c r="F1608" t="s">
        <v>2370</v>
      </c>
      <c r="G1608" t="s">
        <v>2371</v>
      </c>
      <c r="H1608" t="s">
        <v>2370</v>
      </c>
    </row>
    <row r="1609" spans="1:8" x14ac:dyDescent="0.35">
      <c r="A1609" t="s">
        <v>753</v>
      </c>
      <c r="B1609">
        <v>38</v>
      </c>
      <c r="C1609">
        <v>5.41</v>
      </c>
      <c r="D1609" t="s">
        <v>2372</v>
      </c>
      <c r="E1609" t="s">
        <v>2370</v>
      </c>
      <c r="F1609" t="s">
        <v>2370</v>
      </c>
      <c r="G1609">
        <v>1</v>
      </c>
      <c r="H1609" t="s">
        <v>2370</v>
      </c>
    </row>
    <row r="1610" spans="1:8" x14ac:dyDescent="0.35">
      <c r="A1610" t="s">
        <v>752</v>
      </c>
      <c r="B1610">
        <v>31.6</v>
      </c>
      <c r="C1610">
        <v>10.85</v>
      </c>
      <c r="D1610" t="s">
        <v>2372</v>
      </c>
      <c r="E1610" t="s">
        <v>2370</v>
      </c>
      <c r="F1610" t="s">
        <v>2370</v>
      </c>
      <c r="G1610" t="s">
        <v>2371</v>
      </c>
      <c r="H1610" t="s">
        <v>2370</v>
      </c>
    </row>
    <row r="1611" spans="1:8" x14ac:dyDescent="0.35">
      <c r="A1611" t="s">
        <v>751</v>
      </c>
      <c r="B1611">
        <v>31.02</v>
      </c>
      <c r="C1611">
        <v>11.63</v>
      </c>
      <c r="D1611" t="s">
        <v>2372</v>
      </c>
      <c r="E1611" t="s">
        <v>2370</v>
      </c>
      <c r="F1611" t="s">
        <v>2370</v>
      </c>
      <c r="G1611" t="s">
        <v>2371</v>
      </c>
      <c r="H1611" t="s">
        <v>2370</v>
      </c>
    </row>
    <row r="1612" spans="1:8" x14ac:dyDescent="0.35">
      <c r="A1612" t="s">
        <v>750</v>
      </c>
      <c r="B1612">
        <v>29.26</v>
      </c>
      <c r="C1612">
        <v>5.68</v>
      </c>
      <c r="D1612" t="s">
        <v>2372</v>
      </c>
      <c r="E1612" t="s">
        <v>2370</v>
      </c>
      <c r="F1612" t="s">
        <v>2370</v>
      </c>
      <c r="G1612">
        <v>1</v>
      </c>
      <c r="H1612" t="s">
        <v>2370</v>
      </c>
    </row>
    <row r="1613" spans="1:8" x14ac:dyDescent="0.35">
      <c r="A1613" t="s">
        <v>749</v>
      </c>
      <c r="B1613">
        <v>15.09</v>
      </c>
      <c r="C1613">
        <v>7.59</v>
      </c>
      <c r="D1613" t="s">
        <v>2372</v>
      </c>
      <c r="E1613" t="s">
        <v>2370</v>
      </c>
      <c r="F1613" t="s">
        <v>2370</v>
      </c>
      <c r="G1613">
        <v>2</v>
      </c>
      <c r="H1613" t="s">
        <v>2370</v>
      </c>
    </row>
    <row r="1614" spans="1:8" x14ac:dyDescent="0.35">
      <c r="A1614" t="s">
        <v>748</v>
      </c>
      <c r="B1614">
        <v>22.63</v>
      </c>
      <c r="C1614">
        <v>5.09</v>
      </c>
      <c r="D1614" t="s">
        <v>2372</v>
      </c>
      <c r="E1614" t="s">
        <v>2370</v>
      </c>
      <c r="F1614" t="s">
        <v>2370</v>
      </c>
      <c r="G1614" t="s">
        <v>2371</v>
      </c>
      <c r="H1614" t="s">
        <v>2370</v>
      </c>
    </row>
    <row r="1615" spans="1:8" x14ac:dyDescent="0.35">
      <c r="A1615" t="s">
        <v>747</v>
      </c>
      <c r="B1615">
        <v>23.46</v>
      </c>
      <c r="C1615">
        <v>4.21</v>
      </c>
      <c r="D1615" t="s">
        <v>2370</v>
      </c>
      <c r="E1615" t="s">
        <v>2370</v>
      </c>
      <c r="F1615" t="s">
        <v>2370</v>
      </c>
      <c r="G1615">
        <v>1</v>
      </c>
      <c r="H1615" t="s">
        <v>2370</v>
      </c>
    </row>
    <row r="1616" spans="1:8" x14ac:dyDescent="0.35">
      <c r="A1616" t="s">
        <v>746</v>
      </c>
      <c r="B1616">
        <v>22.56</v>
      </c>
      <c r="C1616">
        <v>4.34</v>
      </c>
      <c r="D1616" t="s">
        <v>2372</v>
      </c>
      <c r="E1616" t="s">
        <v>2370</v>
      </c>
      <c r="F1616" t="s">
        <v>2370</v>
      </c>
      <c r="G1616" t="s">
        <v>2371</v>
      </c>
      <c r="H1616" t="s">
        <v>2370</v>
      </c>
    </row>
    <row r="1617" spans="1:8" x14ac:dyDescent="0.35">
      <c r="A1617" t="s">
        <v>745</v>
      </c>
      <c r="B1617">
        <v>19.28</v>
      </c>
      <c r="C1617">
        <v>11.85</v>
      </c>
      <c r="D1617" t="s">
        <v>2370</v>
      </c>
      <c r="E1617" t="s">
        <v>2370</v>
      </c>
      <c r="F1617" t="s">
        <v>2370</v>
      </c>
      <c r="G1617">
        <v>2</v>
      </c>
      <c r="H1617" t="s">
        <v>2370</v>
      </c>
    </row>
    <row r="1618" spans="1:8" x14ac:dyDescent="0.35">
      <c r="A1618" t="s">
        <v>744</v>
      </c>
      <c r="B1618">
        <v>15.37</v>
      </c>
      <c r="C1618">
        <v>9.61</v>
      </c>
      <c r="D1618" t="s">
        <v>2372</v>
      </c>
      <c r="E1618" t="s">
        <v>2370</v>
      </c>
      <c r="F1618" t="s">
        <v>2370</v>
      </c>
      <c r="G1618">
        <v>2</v>
      </c>
      <c r="H1618" t="s">
        <v>2370</v>
      </c>
    </row>
    <row r="1619" spans="1:8" x14ac:dyDescent="0.35">
      <c r="A1619" t="s">
        <v>743</v>
      </c>
      <c r="B1619">
        <v>18.71</v>
      </c>
      <c r="C1619">
        <v>5.29</v>
      </c>
      <c r="D1619" t="s">
        <v>2372</v>
      </c>
      <c r="E1619" t="s">
        <v>2370</v>
      </c>
      <c r="F1619" t="s">
        <v>2370</v>
      </c>
      <c r="G1619" t="s">
        <v>2371</v>
      </c>
      <c r="H1619" t="s">
        <v>2370</v>
      </c>
    </row>
    <row r="1620" spans="1:8" x14ac:dyDescent="0.35">
      <c r="A1620" t="s">
        <v>742</v>
      </c>
      <c r="B1620">
        <v>20.61</v>
      </c>
      <c r="C1620">
        <v>6.89</v>
      </c>
      <c r="D1620" t="s">
        <v>2370</v>
      </c>
      <c r="E1620" t="s">
        <v>2370</v>
      </c>
      <c r="F1620" t="s">
        <v>2370</v>
      </c>
      <c r="G1620" t="s">
        <v>2371</v>
      </c>
      <c r="H1620" t="s">
        <v>2370</v>
      </c>
    </row>
    <row r="1621" spans="1:8" x14ac:dyDescent="0.35">
      <c r="A1621" t="s">
        <v>741</v>
      </c>
      <c r="B1621">
        <v>15.99</v>
      </c>
      <c r="C1621">
        <v>4.57</v>
      </c>
      <c r="D1621" t="s">
        <v>2372</v>
      </c>
      <c r="E1621" t="s">
        <v>2370</v>
      </c>
      <c r="F1621" t="s">
        <v>2373</v>
      </c>
      <c r="G1621">
        <v>1</v>
      </c>
      <c r="H1621" t="s">
        <v>2370</v>
      </c>
    </row>
    <row r="1622" spans="1:8" x14ac:dyDescent="0.35">
      <c r="A1622" t="s">
        <v>740</v>
      </c>
      <c r="B1622">
        <v>33.155000000000001</v>
      </c>
      <c r="C1622">
        <v>4.32</v>
      </c>
      <c r="D1622" t="s">
        <v>2370</v>
      </c>
      <c r="E1622" t="s">
        <v>2370</v>
      </c>
      <c r="F1622" t="s">
        <v>2370</v>
      </c>
      <c r="G1622" t="s">
        <v>2371</v>
      </c>
      <c r="H1622" t="s">
        <v>2370</v>
      </c>
    </row>
    <row r="1623" spans="1:8" x14ac:dyDescent="0.35">
      <c r="A1623" t="s">
        <v>739</v>
      </c>
      <c r="B1623">
        <v>26.22</v>
      </c>
      <c r="C1623">
        <v>5.57</v>
      </c>
      <c r="D1623" t="s">
        <v>2372</v>
      </c>
      <c r="E1623" t="s">
        <v>2370</v>
      </c>
      <c r="F1623" t="s">
        <v>2373</v>
      </c>
      <c r="G1623">
        <v>1</v>
      </c>
      <c r="H1623" t="s">
        <v>2370</v>
      </c>
    </row>
    <row r="1624" spans="1:8" x14ac:dyDescent="0.35">
      <c r="A1624" t="s">
        <v>738</v>
      </c>
      <c r="B1624">
        <v>21.85</v>
      </c>
      <c r="C1624">
        <v>5.26</v>
      </c>
      <c r="D1624" t="s">
        <v>2372</v>
      </c>
      <c r="E1624" t="s">
        <v>2370</v>
      </c>
      <c r="F1624" t="s">
        <v>2373</v>
      </c>
      <c r="G1624">
        <v>1</v>
      </c>
      <c r="H1624" t="s">
        <v>2370</v>
      </c>
    </row>
    <row r="1625" spans="1:8" x14ac:dyDescent="0.35">
      <c r="A1625" t="s">
        <v>737</v>
      </c>
      <c r="B1625">
        <v>30.495000000000001</v>
      </c>
      <c r="C1625">
        <v>6.25</v>
      </c>
      <c r="D1625" t="s">
        <v>2370</v>
      </c>
      <c r="E1625" t="s">
        <v>2370</v>
      </c>
      <c r="F1625" t="s">
        <v>2370</v>
      </c>
      <c r="G1625" t="s">
        <v>2371</v>
      </c>
      <c r="H1625" t="s">
        <v>2370</v>
      </c>
    </row>
    <row r="1626" spans="1:8" x14ac:dyDescent="0.35">
      <c r="A1626" t="s">
        <v>736</v>
      </c>
      <c r="B1626">
        <v>34.104999999999997</v>
      </c>
      <c r="C1626">
        <v>5.67</v>
      </c>
      <c r="D1626" t="s">
        <v>2372</v>
      </c>
      <c r="E1626" t="s">
        <v>2370</v>
      </c>
      <c r="F1626" t="s">
        <v>2370</v>
      </c>
      <c r="G1626" t="s">
        <v>2371</v>
      </c>
      <c r="H1626" t="s">
        <v>2370</v>
      </c>
    </row>
    <row r="1627" spans="1:8" x14ac:dyDescent="0.35">
      <c r="A1627" t="s">
        <v>735</v>
      </c>
      <c r="B1627">
        <v>32.770000000000003</v>
      </c>
      <c r="C1627">
        <v>4.42</v>
      </c>
      <c r="D1627" t="s">
        <v>2372</v>
      </c>
      <c r="E1627" t="s">
        <v>2370</v>
      </c>
      <c r="F1627" t="s">
        <v>2370</v>
      </c>
      <c r="G1627">
        <v>1</v>
      </c>
      <c r="H1627" t="s">
        <v>2370</v>
      </c>
    </row>
    <row r="1628" spans="1:8" x14ac:dyDescent="0.35">
      <c r="A1628" t="s">
        <v>734</v>
      </c>
      <c r="B1628">
        <v>16.850000000000001</v>
      </c>
      <c r="C1628">
        <v>11.75</v>
      </c>
      <c r="D1628" t="s">
        <v>2372</v>
      </c>
      <c r="E1628" t="s">
        <v>2370</v>
      </c>
      <c r="F1628" t="s">
        <v>2370</v>
      </c>
      <c r="G1628">
        <v>2</v>
      </c>
      <c r="H1628" t="s">
        <v>2370</v>
      </c>
    </row>
    <row r="1629" spans="1:8" x14ac:dyDescent="0.35">
      <c r="A1629" t="s">
        <v>733</v>
      </c>
      <c r="B1629">
        <v>34.700000000000003</v>
      </c>
      <c r="C1629">
        <v>6.06</v>
      </c>
      <c r="D1629" t="s">
        <v>2370</v>
      </c>
      <c r="E1629" t="s">
        <v>2370</v>
      </c>
      <c r="F1629" t="s">
        <v>2370</v>
      </c>
      <c r="G1629">
        <v>1</v>
      </c>
      <c r="H1629" t="s">
        <v>2370</v>
      </c>
    </row>
    <row r="1630" spans="1:8" x14ac:dyDescent="0.35">
      <c r="A1630" t="s">
        <v>732</v>
      </c>
      <c r="B1630">
        <v>37.049999999999997</v>
      </c>
      <c r="C1630">
        <v>5.48</v>
      </c>
      <c r="D1630" t="s">
        <v>2370</v>
      </c>
      <c r="E1630" t="s">
        <v>2370</v>
      </c>
      <c r="F1630" t="s">
        <v>2370</v>
      </c>
      <c r="G1630">
        <v>1</v>
      </c>
      <c r="H1630" t="s">
        <v>2370</v>
      </c>
    </row>
    <row r="1631" spans="1:8" x14ac:dyDescent="0.35">
      <c r="A1631" t="s">
        <v>731</v>
      </c>
      <c r="B1631">
        <v>18.78</v>
      </c>
      <c r="C1631">
        <v>4.45</v>
      </c>
      <c r="D1631" t="s">
        <v>2370</v>
      </c>
      <c r="E1631" t="s">
        <v>2370</v>
      </c>
      <c r="F1631" t="s">
        <v>2373</v>
      </c>
      <c r="G1631">
        <v>1</v>
      </c>
      <c r="H1631" t="s">
        <v>2370</v>
      </c>
    </row>
    <row r="1632" spans="1:8" x14ac:dyDescent="0.35">
      <c r="A1632" t="s">
        <v>730</v>
      </c>
      <c r="B1632">
        <v>28.024999999999999</v>
      </c>
      <c r="C1632">
        <v>5</v>
      </c>
      <c r="D1632" t="s">
        <v>2370</v>
      </c>
      <c r="E1632" t="s">
        <v>2370</v>
      </c>
      <c r="F1632" t="s">
        <v>2370</v>
      </c>
      <c r="G1632">
        <v>1</v>
      </c>
      <c r="H1632" t="s">
        <v>2370</v>
      </c>
    </row>
    <row r="1633" spans="1:8" x14ac:dyDescent="0.35">
      <c r="A1633" t="s">
        <v>729</v>
      </c>
      <c r="B1633">
        <v>35.090000000000003</v>
      </c>
      <c r="C1633">
        <v>5.84</v>
      </c>
      <c r="D1633" t="s">
        <v>2370</v>
      </c>
      <c r="E1633" t="s">
        <v>2370</v>
      </c>
      <c r="F1633" t="s">
        <v>2370</v>
      </c>
      <c r="G1633" t="s">
        <v>2371</v>
      </c>
      <c r="H1633" t="s">
        <v>2370</v>
      </c>
    </row>
    <row r="1634" spans="1:8" x14ac:dyDescent="0.35">
      <c r="A1634" t="s">
        <v>728</v>
      </c>
      <c r="B1634">
        <v>34.42</v>
      </c>
      <c r="C1634">
        <v>5.21</v>
      </c>
      <c r="D1634" t="s">
        <v>2372</v>
      </c>
      <c r="E1634" t="s">
        <v>2370</v>
      </c>
      <c r="F1634" t="s">
        <v>2370</v>
      </c>
      <c r="G1634" t="s">
        <v>2371</v>
      </c>
      <c r="H1634" t="s">
        <v>2370</v>
      </c>
    </row>
    <row r="1635" spans="1:8" x14ac:dyDescent="0.35">
      <c r="A1635" t="s">
        <v>727</v>
      </c>
      <c r="B1635">
        <v>29.4</v>
      </c>
      <c r="C1635">
        <v>4.26</v>
      </c>
      <c r="D1635" t="s">
        <v>2370</v>
      </c>
      <c r="E1635" t="s">
        <v>2370</v>
      </c>
      <c r="F1635" t="s">
        <v>2370</v>
      </c>
      <c r="G1635" t="s">
        <v>2371</v>
      </c>
      <c r="H1635" t="s">
        <v>2370</v>
      </c>
    </row>
    <row r="1636" spans="1:8" x14ac:dyDescent="0.35">
      <c r="A1636" t="s">
        <v>726</v>
      </c>
      <c r="B1636">
        <v>21.31</v>
      </c>
      <c r="C1636">
        <v>4.17</v>
      </c>
      <c r="D1636" t="s">
        <v>2370</v>
      </c>
      <c r="E1636" t="s">
        <v>2370</v>
      </c>
      <c r="F1636" t="s">
        <v>2370</v>
      </c>
      <c r="G1636" t="s">
        <v>2371</v>
      </c>
      <c r="H1636" t="s">
        <v>2370</v>
      </c>
    </row>
    <row r="1637" spans="1:8" x14ac:dyDescent="0.35">
      <c r="A1637" t="s">
        <v>725</v>
      </c>
      <c r="B1637">
        <v>19.559999999999999</v>
      </c>
      <c r="C1637">
        <v>11.96</v>
      </c>
      <c r="D1637" t="s">
        <v>2370</v>
      </c>
      <c r="E1637" t="s">
        <v>2370</v>
      </c>
      <c r="F1637" t="s">
        <v>2370</v>
      </c>
      <c r="G1637" t="s">
        <v>2371</v>
      </c>
      <c r="H1637" t="s">
        <v>2370</v>
      </c>
    </row>
    <row r="1638" spans="1:8" x14ac:dyDescent="0.35">
      <c r="A1638" t="s">
        <v>724</v>
      </c>
      <c r="B1638">
        <v>37.335000000000001</v>
      </c>
      <c r="C1638">
        <v>6.26</v>
      </c>
      <c r="D1638" t="s">
        <v>2372</v>
      </c>
      <c r="E1638" t="s">
        <v>2370</v>
      </c>
      <c r="F1638" t="s">
        <v>2370</v>
      </c>
      <c r="G1638">
        <v>1</v>
      </c>
      <c r="H1638" t="s">
        <v>2370</v>
      </c>
    </row>
    <row r="1639" spans="1:8" x14ac:dyDescent="0.35">
      <c r="A1639" t="s">
        <v>723</v>
      </c>
      <c r="B1639">
        <v>19.53</v>
      </c>
      <c r="C1639">
        <v>11.68</v>
      </c>
      <c r="D1639" t="s">
        <v>2370</v>
      </c>
      <c r="E1639" t="s">
        <v>2370</v>
      </c>
      <c r="F1639" t="s">
        <v>2370</v>
      </c>
      <c r="G1639" t="s">
        <v>2371</v>
      </c>
      <c r="H1639" t="s">
        <v>2370</v>
      </c>
    </row>
    <row r="1640" spans="1:8" x14ac:dyDescent="0.35">
      <c r="A1640" t="s">
        <v>722</v>
      </c>
      <c r="B1640">
        <v>34.1</v>
      </c>
      <c r="C1640">
        <v>5.16</v>
      </c>
      <c r="D1640" t="s">
        <v>2370</v>
      </c>
      <c r="E1640" t="s">
        <v>2370</v>
      </c>
      <c r="F1640" t="s">
        <v>2370</v>
      </c>
      <c r="G1640" t="s">
        <v>2371</v>
      </c>
      <c r="H1640" t="s">
        <v>2370</v>
      </c>
    </row>
    <row r="1641" spans="1:8" x14ac:dyDescent="0.35">
      <c r="A1641" t="s">
        <v>721</v>
      </c>
      <c r="B1641">
        <v>16.5</v>
      </c>
      <c r="C1641">
        <v>6.9</v>
      </c>
      <c r="D1641" t="s">
        <v>2372</v>
      </c>
      <c r="E1641" t="s">
        <v>2370</v>
      </c>
      <c r="F1641" t="s">
        <v>2370</v>
      </c>
      <c r="G1641">
        <v>2</v>
      </c>
      <c r="H1641" t="s">
        <v>2370</v>
      </c>
    </row>
    <row r="1642" spans="1:8" x14ac:dyDescent="0.35">
      <c r="A1642" t="s">
        <v>720</v>
      </c>
      <c r="B1642">
        <v>30.69</v>
      </c>
      <c r="C1642">
        <v>4.83</v>
      </c>
      <c r="D1642" t="s">
        <v>2370</v>
      </c>
      <c r="E1642" t="s">
        <v>2370</v>
      </c>
      <c r="F1642" t="s">
        <v>2370</v>
      </c>
      <c r="G1642">
        <v>1</v>
      </c>
      <c r="H1642" t="s">
        <v>2370</v>
      </c>
    </row>
    <row r="1643" spans="1:8" x14ac:dyDescent="0.35">
      <c r="A1643" t="s">
        <v>719</v>
      </c>
      <c r="B1643">
        <v>28.93</v>
      </c>
      <c r="C1643">
        <v>4.87</v>
      </c>
      <c r="D1643" t="s">
        <v>2370</v>
      </c>
      <c r="E1643" t="s">
        <v>2370</v>
      </c>
      <c r="F1643" t="s">
        <v>2370</v>
      </c>
      <c r="G1643">
        <v>1</v>
      </c>
      <c r="H1643" t="s">
        <v>2370</v>
      </c>
    </row>
    <row r="1644" spans="1:8" x14ac:dyDescent="0.35">
      <c r="A1644" t="s">
        <v>718</v>
      </c>
      <c r="B1644">
        <v>38.9</v>
      </c>
      <c r="C1644">
        <v>4.28</v>
      </c>
      <c r="D1644" t="s">
        <v>2370</v>
      </c>
      <c r="E1644" t="s">
        <v>2370</v>
      </c>
      <c r="F1644" t="s">
        <v>2370</v>
      </c>
      <c r="G1644" t="s">
        <v>2371</v>
      </c>
      <c r="H1644" t="s">
        <v>2370</v>
      </c>
    </row>
    <row r="1645" spans="1:8" x14ac:dyDescent="0.35">
      <c r="A1645" t="s">
        <v>717</v>
      </c>
      <c r="B1645">
        <v>26.9</v>
      </c>
      <c r="C1645">
        <v>4.07</v>
      </c>
      <c r="D1645" t="s">
        <v>2370</v>
      </c>
      <c r="E1645" t="s">
        <v>2370</v>
      </c>
      <c r="F1645" t="s">
        <v>2370</v>
      </c>
      <c r="G1645" t="s">
        <v>2371</v>
      </c>
      <c r="H1645" t="s">
        <v>2370</v>
      </c>
    </row>
    <row r="1646" spans="1:8" x14ac:dyDescent="0.35">
      <c r="A1646" t="s">
        <v>716</v>
      </c>
      <c r="B1646">
        <v>24.86</v>
      </c>
      <c r="C1646">
        <v>6.23</v>
      </c>
      <c r="D1646" t="s">
        <v>2370</v>
      </c>
      <c r="E1646" t="s">
        <v>2370</v>
      </c>
      <c r="F1646" t="s">
        <v>2370</v>
      </c>
      <c r="G1646" t="s">
        <v>2371</v>
      </c>
      <c r="H1646" t="s">
        <v>2370</v>
      </c>
    </row>
    <row r="1647" spans="1:8" x14ac:dyDescent="0.35">
      <c r="A1647" t="s">
        <v>715</v>
      </c>
      <c r="B1647">
        <v>39.14</v>
      </c>
      <c r="C1647">
        <v>6.24</v>
      </c>
      <c r="D1647" t="s">
        <v>2370</v>
      </c>
      <c r="E1647" t="s">
        <v>2372</v>
      </c>
      <c r="F1647" t="s">
        <v>2370</v>
      </c>
      <c r="G1647">
        <v>1</v>
      </c>
      <c r="H1647" t="s">
        <v>2370</v>
      </c>
    </row>
    <row r="1648" spans="1:8" x14ac:dyDescent="0.35">
      <c r="A1648" t="s">
        <v>714</v>
      </c>
      <c r="B1648">
        <v>39.799999999999997</v>
      </c>
      <c r="C1648">
        <v>6.17</v>
      </c>
      <c r="D1648" t="s">
        <v>2370</v>
      </c>
      <c r="E1648" t="s">
        <v>2370</v>
      </c>
      <c r="F1648" t="s">
        <v>2373</v>
      </c>
      <c r="G1648">
        <v>1</v>
      </c>
      <c r="H1648" t="s">
        <v>2370</v>
      </c>
    </row>
    <row r="1649" spans="1:8" x14ac:dyDescent="0.35">
      <c r="A1649" t="s">
        <v>713</v>
      </c>
      <c r="B1649">
        <v>34.32</v>
      </c>
      <c r="C1649">
        <v>5.16</v>
      </c>
      <c r="D1649" t="s">
        <v>2370</v>
      </c>
      <c r="E1649" t="s">
        <v>2370</v>
      </c>
      <c r="F1649" t="s">
        <v>2370</v>
      </c>
      <c r="G1649">
        <v>1</v>
      </c>
      <c r="H1649" t="s">
        <v>2370</v>
      </c>
    </row>
    <row r="1650" spans="1:8" x14ac:dyDescent="0.35">
      <c r="A1650" t="s">
        <v>712</v>
      </c>
      <c r="B1650">
        <v>32.51</v>
      </c>
      <c r="C1650">
        <v>4.3</v>
      </c>
      <c r="D1650" t="s">
        <v>2370</v>
      </c>
      <c r="E1650" t="s">
        <v>2370</v>
      </c>
      <c r="F1650" t="s">
        <v>2370</v>
      </c>
      <c r="G1650" t="s">
        <v>2371</v>
      </c>
      <c r="H1650" t="s">
        <v>2370</v>
      </c>
    </row>
    <row r="1651" spans="1:8" x14ac:dyDescent="0.35">
      <c r="A1651" t="s">
        <v>711</v>
      </c>
      <c r="B1651">
        <v>30.71</v>
      </c>
      <c r="C1651">
        <v>6.14</v>
      </c>
      <c r="D1651" t="s">
        <v>2370</v>
      </c>
      <c r="E1651" t="s">
        <v>2370</v>
      </c>
      <c r="F1651" t="s">
        <v>2373</v>
      </c>
      <c r="G1651">
        <v>1</v>
      </c>
      <c r="H1651" t="s">
        <v>2370</v>
      </c>
    </row>
    <row r="1652" spans="1:8" x14ac:dyDescent="0.35">
      <c r="A1652" t="s">
        <v>710</v>
      </c>
      <c r="B1652">
        <v>28.9</v>
      </c>
      <c r="C1652">
        <v>5.36</v>
      </c>
      <c r="D1652" t="s">
        <v>2370</v>
      </c>
      <c r="E1652" t="s">
        <v>2370</v>
      </c>
      <c r="F1652" t="s">
        <v>2370</v>
      </c>
      <c r="G1652">
        <v>1</v>
      </c>
      <c r="H1652" t="s">
        <v>2370</v>
      </c>
    </row>
    <row r="1653" spans="1:8" x14ac:dyDescent="0.35">
      <c r="A1653" t="s">
        <v>709</v>
      </c>
      <c r="B1653">
        <v>36.19</v>
      </c>
      <c r="C1653">
        <v>4.3</v>
      </c>
      <c r="D1653" t="s">
        <v>2370</v>
      </c>
      <c r="E1653" t="s">
        <v>2370</v>
      </c>
      <c r="F1653" t="s">
        <v>2370</v>
      </c>
      <c r="G1653" t="s">
        <v>2371</v>
      </c>
      <c r="H1653" t="s">
        <v>2370</v>
      </c>
    </row>
    <row r="1654" spans="1:8" x14ac:dyDescent="0.35">
      <c r="A1654" t="s">
        <v>708</v>
      </c>
      <c r="B1654">
        <v>29.6</v>
      </c>
      <c r="C1654">
        <v>4.09</v>
      </c>
      <c r="D1654" t="s">
        <v>2370</v>
      </c>
      <c r="E1654" t="s">
        <v>2370</v>
      </c>
      <c r="F1654" t="s">
        <v>2370</v>
      </c>
      <c r="G1654" t="s">
        <v>2371</v>
      </c>
      <c r="H1654" t="s">
        <v>2370</v>
      </c>
    </row>
    <row r="1655" spans="1:8" x14ac:dyDescent="0.35">
      <c r="A1655" t="s">
        <v>707</v>
      </c>
      <c r="B1655">
        <v>30.95</v>
      </c>
      <c r="C1655">
        <v>6.27</v>
      </c>
      <c r="D1655" t="s">
        <v>2370</v>
      </c>
      <c r="E1655" t="s">
        <v>2370</v>
      </c>
      <c r="F1655" t="s">
        <v>2373</v>
      </c>
      <c r="G1655">
        <v>1</v>
      </c>
      <c r="H1655" t="s">
        <v>2370</v>
      </c>
    </row>
    <row r="1656" spans="1:8" x14ac:dyDescent="0.35">
      <c r="A1656" t="s">
        <v>706</v>
      </c>
      <c r="B1656">
        <v>19.95</v>
      </c>
      <c r="C1656">
        <v>5.39</v>
      </c>
      <c r="D1656" t="s">
        <v>2370</v>
      </c>
      <c r="E1656" t="s">
        <v>2370</v>
      </c>
      <c r="F1656" t="s">
        <v>2370</v>
      </c>
      <c r="G1656">
        <v>1</v>
      </c>
      <c r="H1656" t="s">
        <v>2370</v>
      </c>
    </row>
    <row r="1657" spans="1:8" x14ac:dyDescent="0.35">
      <c r="A1657" t="s">
        <v>705</v>
      </c>
      <c r="B1657">
        <v>23.65</v>
      </c>
      <c r="C1657">
        <v>5.75</v>
      </c>
      <c r="D1657" t="s">
        <v>2372</v>
      </c>
      <c r="E1657" t="s">
        <v>2370</v>
      </c>
      <c r="F1657" t="s">
        <v>2370</v>
      </c>
      <c r="G1657" t="s">
        <v>2371</v>
      </c>
      <c r="H1657" t="s">
        <v>2370</v>
      </c>
    </row>
    <row r="1658" spans="1:8" x14ac:dyDescent="0.35">
      <c r="A1658" t="s">
        <v>704</v>
      </c>
      <c r="B1658">
        <v>43.34</v>
      </c>
      <c r="C1658">
        <v>4.91</v>
      </c>
      <c r="D1658" t="s">
        <v>2370</v>
      </c>
      <c r="E1658" t="s">
        <v>2370</v>
      </c>
      <c r="F1658" t="s">
        <v>2370</v>
      </c>
      <c r="G1658">
        <v>1</v>
      </c>
      <c r="H1658" t="s">
        <v>2370</v>
      </c>
    </row>
    <row r="1659" spans="1:8" x14ac:dyDescent="0.35">
      <c r="A1659" t="s">
        <v>703</v>
      </c>
      <c r="B1659">
        <v>31.98</v>
      </c>
      <c r="C1659">
        <v>4.46</v>
      </c>
      <c r="D1659" t="s">
        <v>2372</v>
      </c>
      <c r="E1659" t="s">
        <v>2370</v>
      </c>
      <c r="F1659" t="s">
        <v>2370</v>
      </c>
      <c r="G1659">
        <v>1</v>
      </c>
      <c r="H1659" t="s">
        <v>2370</v>
      </c>
    </row>
    <row r="1660" spans="1:8" x14ac:dyDescent="0.35">
      <c r="A1660" t="s">
        <v>702</v>
      </c>
      <c r="B1660">
        <v>35.86</v>
      </c>
      <c r="C1660">
        <v>6.22</v>
      </c>
      <c r="D1660" t="s">
        <v>2370</v>
      </c>
      <c r="E1660" t="s">
        <v>2370</v>
      </c>
      <c r="F1660" t="s">
        <v>2370</v>
      </c>
      <c r="G1660">
        <v>1</v>
      </c>
      <c r="H1660" t="s">
        <v>2370</v>
      </c>
    </row>
    <row r="1661" spans="1:8" x14ac:dyDescent="0.35">
      <c r="A1661" t="s">
        <v>701</v>
      </c>
      <c r="B1661">
        <v>15.2</v>
      </c>
      <c r="C1661">
        <v>8.82</v>
      </c>
      <c r="D1661" t="s">
        <v>2370</v>
      </c>
      <c r="E1661" t="s">
        <v>2370</v>
      </c>
      <c r="F1661" t="s">
        <v>2370</v>
      </c>
      <c r="G1661" t="s">
        <v>2371</v>
      </c>
      <c r="H1661" t="s">
        <v>2370</v>
      </c>
    </row>
    <row r="1662" spans="1:8" x14ac:dyDescent="0.35">
      <c r="A1662" t="s">
        <v>700</v>
      </c>
      <c r="B1662">
        <v>37.200000000000003</v>
      </c>
      <c r="C1662">
        <v>10.14</v>
      </c>
      <c r="D1662" t="s">
        <v>2370</v>
      </c>
      <c r="E1662" t="s">
        <v>2370</v>
      </c>
      <c r="F1662" t="s">
        <v>2370</v>
      </c>
      <c r="G1662" t="s">
        <v>2371</v>
      </c>
      <c r="H1662" t="s">
        <v>2370</v>
      </c>
    </row>
    <row r="1663" spans="1:8" x14ac:dyDescent="0.35">
      <c r="A1663" t="s">
        <v>699</v>
      </c>
      <c r="B1663">
        <v>17.91</v>
      </c>
      <c r="C1663">
        <v>4.66</v>
      </c>
      <c r="D1663" t="s">
        <v>2370</v>
      </c>
      <c r="E1663" t="s">
        <v>2370</v>
      </c>
      <c r="F1663" t="s">
        <v>2370</v>
      </c>
      <c r="G1663">
        <v>2</v>
      </c>
      <c r="H1663" t="s">
        <v>2370</v>
      </c>
    </row>
    <row r="1664" spans="1:8" x14ac:dyDescent="0.35">
      <c r="A1664" t="s">
        <v>698</v>
      </c>
      <c r="B1664">
        <v>20.76</v>
      </c>
      <c r="C1664">
        <v>6.26</v>
      </c>
      <c r="D1664" t="s">
        <v>2370</v>
      </c>
      <c r="E1664" t="s">
        <v>2370</v>
      </c>
      <c r="F1664" t="s">
        <v>2370</v>
      </c>
      <c r="G1664" t="s">
        <v>2371</v>
      </c>
      <c r="H1664" t="s">
        <v>2370</v>
      </c>
    </row>
    <row r="1665" spans="1:8" x14ac:dyDescent="0.35">
      <c r="A1665" t="s">
        <v>697</v>
      </c>
      <c r="B1665">
        <v>38.99</v>
      </c>
      <c r="C1665">
        <v>5.21</v>
      </c>
      <c r="D1665" t="s">
        <v>2370</v>
      </c>
      <c r="E1665" t="s">
        <v>2372</v>
      </c>
      <c r="F1665" t="s">
        <v>2370</v>
      </c>
      <c r="G1665">
        <v>1</v>
      </c>
      <c r="H1665" t="s">
        <v>2370</v>
      </c>
    </row>
    <row r="1666" spans="1:8" x14ac:dyDescent="0.35">
      <c r="A1666" t="s">
        <v>696</v>
      </c>
      <c r="B1666">
        <v>42.655000000000001</v>
      </c>
      <c r="C1666">
        <v>5.94</v>
      </c>
      <c r="D1666" t="s">
        <v>2372</v>
      </c>
      <c r="E1666" t="s">
        <v>2370</v>
      </c>
      <c r="F1666" t="s">
        <v>2373</v>
      </c>
      <c r="G1666">
        <v>1</v>
      </c>
      <c r="H1666" t="s">
        <v>2370</v>
      </c>
    </row>
    <row r="1667" spans="1:8" x14ac:dyDescent="0.35">
      <c r="A1667" t="s">
        <v>695</v>
      </c>
      <c r="B1667">
        <v>30.57</v>
      </c>
      <c r="C1667">
        <v>5.34</v>
      </c>
      <c r="D1667" t="s">
        <v>2370</v>
      </c>
      <c r="E1667" t="s">
        <v>2370</v>
      </c>
      <c r="F1667" t="s">
        <v>2373</v>
      </c>
      <c r="G1667">
        <v>1</v>
      </c>
      <c r="H1667" t="s">
        <v>2370</v>
      </c>
    </row>
    <row r="1668" spans="1:8" x14ac:dyDescent="0.35">
      <c r="A1668" t="s">
        <v>694</v>
      </c>
      <c r="B1668">
        <v>17.7</v>
      </c>
      <c r="C1668">
        <v>6.38</v>
      </c>
      <c r="D1668" t="s">
        <v>2370</v>
      </c>
      <c r="E1668" t="s">
        <v>2370</v>
      </c>
      <c r="F1668" t="s">
        <v>2370</v>
      </c>
      <c r="G1668">
        <v>2</v>
      </c>
      <c r="H1668" t="s">
        <v>2370</v>
      </c>
    </row>
    <row r="1669" spans="1:8" x14ac:dyDescent="0.35">
      <c r="A1669" t="s">
        <v>693</v>
      </c>
      <c r="B1669">
        <v>34.770000000000003</v>
      </c>
      <c r="C1669">
        <v>4.47</v>
      </c>
      <c r="D1669" t="s">
        <v>2370</v>
      </c>
      <c r="E1669" t="s">
        <v>2370</v>
      </c>
      <c r="F1669" t="s">
        <v>2370</v>
      </c>
      <c r="G1669">
        <v>1</v>
      </c>
      <c r="H1669" t="s">
        <v>2370</v>
      </c>
    </row>
    <row r="1670" spans="1:8" x14ac:dyDescent="0.35">
      <c r="A1670" t="s">
        <v>692</v>
      </c>
      <c r="B1670">
        <v>16.88</v>
      </c>
      <c r="C1670">
        <v>9.9600000000000009</v>
      </c>
      <c r="D1670" t="s">
        <v>2370</v>
      </c>
      <c r="E1670" t="s">
        <v>2370</v>
      </c>
      <c r="F1670" t="s">
        <v>2370</v>
      </c>
      <c r="G1670" t="s">
        <v>2371</v>
      </c>
      <c r="H1670" t="s">
        <v>2370</v>
      </c>
    </row>
    <row r="1671" spans="1:8" x14ac:dyDescent="0.35">
      <c r="A1671" t="s">
        <v>691</v>
      </c>
      <c r="B1671">
        <v>40.26</v>
      </c>
      <c r="C1671">
        <v>9.92</v>
      </c>
      <c r="D1671" t="s">
        <v>2372</v>
      </c>
      <c r="E1671" t="s">
        <v>2370</v>
      </c>
      <c r="F1671" t="s">
        <v>2370</v>
      </c>
      <c r="G1671" t="s">
        <v>2371</v>
      </c>
      <c r="H1671" t="s">
        <v>2370</v>
      </c>
    </row>
    <row r="1672" spans="1:8" x14ac:dyDescent="0.35">
      <c r="A1672" t="s">
        <v>690</v>
      </c>
      <c r="B1672">
        <v>25.6</v>
      </c>
      <c r="C1672">
        <v>6.03</v>
      </c>
      <c r="D1672" t="s">
        <v>2370</v>
      </c>
      <c r="E1672" t="s">
        <v>2370</v>
      </c>
      <c r="F1672" t="s">
        <v>2373</v>
      </c>
      <c r="G1672">
        <v>1</v>
      </c>
      <c r="H1672" t="s">
        <v>2370</v>
      </c>
    </row>
    <row r="1673" spans="1:8" x14ac:dyDescent="0.35">
      <c r="A1673" t="s">
        <v>689</v>
      </c>
      <c r="B1673">
        <v>33.549999999999997</v>
      </c>
      <c r="C1673">
        <v>10.9</v>
      </c>
      <c r="D1673" t="s">
        <v>2372</v>
      </c>
      <c r="E1673" t="s">
        <v>2370</v>
      </c>
      <c r="F1673" t="s">
        <v>2370</v>
      </c>
      <c r="G1673" t="s">
        <v>2371</v>
      </c>
      <c r="H1673" t="s">
        <v>2370</v>
      </c>
    </row>
    <row r="1674" spans="1:8" x14ac:dyDescent="0.35">
      <c r="A1674" t="s">
        <v>688</v>
      </c>
      <c r="B1674">
        <v>16.690000000000001</v>
      </c>
      <c r="C1674">
        <v>10.66</v>
      </c>
      <c r="D1674" t="s">
        <v>2370</v>
      </c>
      <c r="E1674" t="s">
        <v>2370</v>
      </c>
      <c r="F1674" t="s">
        <v>2370</v>
      </c>
      <c r="G1674" t="s">
        <v>2371</v>
      </c>
      <c r="H1674" t="s">
        <v>2370</v>
      </c>
    </row>
    <row r="1675" spans="1:8" x14ac:dyDescent="0.35">
      <c r="A1675" t="s">
        <v>687</v>
      </c>
      <c r="B1675">
        <v>19.95</v>
      </c>
      <c r="C1675">
        <v>4.05</v>
      </c>
      <c r="D1675" t="s">
        <v>2370</v>
      </c>
      <c r="E1675" t="s">
        <v>2370</v>
      </c>
      <c r="F1675" t="s">
        <v>2370</v>
      </c>
      <c r="G1675">
        <v>1</v>
      </c>
      <c r="H1675" t="s">
        <v>2370</v>
      </c>
    </row>
    <row r="1676" spans="1:8" x14ac:dyDescent="0.35">
      <c r="A1676" t="s">
        <v>686</v>
      </c>
      <c r="B1676">
        <v>17.55</v>
      </c>
      <c r="C1676">
        <v>4.2300000000000004</v>
      </c>
      <c r="D1676" t="s">
        <v>2370</v>
      </c>
      <c r="E1676" t="s">
        <v>2370</v>
      </c>
      <c r="F1676" t="s">
        <v>2370</v>
      </c>
      <c r="G1676">
        <v>2</v>
      </c>
      <c r="H1676" t="s">
        <v>2370</v>
      </c>
    </row>
    <row r="1677" spans="1:8" x14ac:dyDescent="0.35">
      <c r="A1677" t="s">
        <v>685</v>
      </c>
      <c r="B1677">
        <v>22.01</v>
      </c>
      <c r="C1677">
        <v>5.01</v>
      </c>
      <c r="D1677" t="s">
        <v>2370</v>
      </c>
      <c r="E1677" t="s">
        <v>2370</v>
      </c>
      <c r="F1677" t="s">
        <v>2370</v>
      </c>
      <c r="G1677">
        <v>1</v>
      </c>
      <c r="H1677" t="s">
        <v>2370</v>
      </c>
    </row>
    <row r="1678" spans="1:8" x14ac:dyDescent="0.35">
      <c r="A1678" t="s">
        <v>684</v>
      </c>
      <c r="B1678">
        <v>41.8</v>
      </c>
      <c r="C1678">
        <v>5.82</v>
      </c>
      <c r="D1678" t="s">
        <v>2372</v>
      </c>
      <c r="E1678" t="s">
        <v>2370</v>
      </c>
      <c r="F1678" t="s">
        <v>2373</v>
      </c>
      <c r="G1678">
        <v>1</v>
      </c>
      <c r="H1678" t="s">
        <v>2370</v>
      </c>
    </row>
    <row r="1679" spans="1:8" x14ac:dyDescent="0.35">
      <c r="A1679" t="s">
        <v>683</v>
      </c>
      <c r="B1679">
        <v>19.170000000000002</v>
      </c>
      <c r="C1679">
        <v>7.94</v>
      </c>
      <c r="D1679" t="s">
        <v>2370</v>
      </c>
      <c r="E1679" t="s">
        <v>2370</v>
      </c>
      <c r="F1679" t="s">
        <v>2370</v>
      </c>
      <c r="G1679" t="s">
        <v>2371</v>
      </c>
      <c r="H1679" t="s">
        <v>2370</v>
      </c>
    </row>
    <row r="1680" spans="1:8" x14ac:dyDescent="0.35">
      <c r="A1680" t="s">
        <v>682</v>
      </c>
      <c r="B1680">
        <v>32.799999999999997</v>
      </c>
      <c r="C1680">
        <v>6.16</v>
      </c>
      <c r="D1680" t="s">
        <v>2372</v>
      </c>
      <c r="E1680" t="s">
        <v>2370</v>
      </c>
      <c r="F1680" t="s">
        <v>2373</v>
      </c>
      <c r="G1680">
        <v>1</v>
      </c>
      <c r="H1680" t="s">
        <v>2370</v>
      </c>
    </row>
    <row r="1681" spans="1:8" x14ac:dyDescent="0.35">
      <c r="A1681" t="s">
        <v>681</v>
      </c>
      <c r="B1681">
        <v>35.814999999999998</v>
      </c>
      <c r="C1681">
        <v>4.1500000000000004</v>
      </c>
      <c r="D1681" t="s">
        <v>2370</v>
      </c>
      <c r="E1681" t="s">
        <v>2370</v>
      </c>
      <c r="F1681" t="s">
        <v>2370</v>
      </c>
      <c r="G1681">
        <v>1</v>
      </c>
      <c r="H1681" t="s">
        <v>2370</v>
      </c>
    </row>
    <row r="1682" spans="1:8" x14ac:dyDescent="0.35">
      <c r="A1682" t="s">
        <v>680</v>
      </c>
      <c r="B1682">
        <v>24.3</v>
      </c>
      <c r="C1682">
        <v>6.23</v>
      </c>
      <c r="D1682" t="s">
        <v>2370</v>
      </c>
      <c r="E1682" t="s">
        <v>2370</v>
      </c>
      <c r="F1682" t="s">
        <v>2370</v>
      </c>
      <c r="G1682" t="s">
        <v>2371</v>
      </c>
      <c r="H1682" t="s">
        <v>2370</v>
      </c>
    </row>
    <row r="1683" spans="1:8" x14ac:dyDescent="0.35">
      <c r="A1683" t="s">
        <v>679</v>
      </c>
      <c r="B1683">
        <v>19.059999999999999</v>
      </c>
      <c r="C1683">
        <v>7.41</v>
      </c>
      <c r="D1683" t="s">
        <v>2370</v>
      </c>
      <c r="E1683" t="s">
        <v>2370</v>
      </c>
      <c r="F1683" t="s">
        <v>2370</v>
      </c>
      <c r="G1683" t="s">
        <v>2371</v>
      </c>
      <c r="H1683" t="s">
        <v>2370</v>
      </c>
    </row>
    <row r="1684" spans="1:8" x14ac:dyDescent="0.35">
      <c r="A1684" t="s">
        <v>678</v>
      </c>
      <c r="B1684">
        <v>33.25</v>
      </c>
      <c r="C1684">
        <v>5.62</v>
      </c>
      <c r="D1684" t="s">
        <v>2372</v>
      </c>
      <c r="E1684" t="s">
        <v>2370</v>
      </c>
      <c r="F1684" t="s">
        <v>2370</v>
      </c>
      <c r="G1684">
        <v>1</v>
      </c>
      <c r="H1684" t="s">
        <v>2370</v>
      </c>
    </row>
    <row r="1685" spans="1:8" x14ac:dyDescent="0.35">
      <c r="A1685" t="s">
        <v>677</v>
      </c>
      <c r="B1685">
        <v>21.37</v>
      </c>
      <c r="C1685">
        <v>4.54</v>
      </c>
      <c r="D1685" t="s">
        <v>2372</v>
      </c>
      <c r="E1685" t="s">
        <v>2370</v>
      </c>
      <c r="F1685" t="s">
        <v>2373</v>
      </c>
      <c r="G1685">
        <v>1</v>
      </c>
      <c r="H1685" t="s">
        <v>2370</v>
      </c>
    </row>
    <row r="1686" spans="1:8" x14ac:dyDescent="0.35">
      <c r="A1686" t="s">
        <v>676</v>
      </c>
      <c r="B1686">
        <v>34.43</v>
      </c>
      <c r="C1686">
        <v>8.6199999999999992</v>
      </c>
      <c r="D1686" t="s">
        <v>2372</v>
      </c>
      <c r="E1686" t="s">
        <v>2370</v>
      </c>
      <c r="F1686" t="s">
        <v>2370</v>
      </c>
      <c r="G1686">
        <v>1</v>
      </c>
      <c r="H1686" t="s">
        <v>2370</v>
      </c>
    </row>
    <row r="1687" spans="1:8" x14ac:dyDescent="0.35">
      <c r="A1687" t="s">
        <v>675</v>
      </c>
      <c r="B1687">
        <v>20.86</v>
      </c>
      <c r="C1687">
        <v>4.3600000000000003</v>
      </c>
      <c r="D1687" t="s">
        <v>2372</v>
      </c>
      <c r="E1687" t="s">
        <v>2370</v>
      </c>
      <c r="F1687" t="s">
        <v>2370</v>
      </c>
      <c r="G1687" t="s">
        <v>2371</v>
      </c>
      <c r="H1687" t="s">
        <v>2370</v>
      </c>
    </row>
    <row r="1688" spans="1:8" x14ac:dyDescent="0.35">
      <c r="A1688" t="s">
        <v>674</v>
      </c>
      <c r="B1688">
        <v>18.34</v>
      </c>
      <c r="C1688">
        <v>10.01</v>
      </c>
      <c r="D1688" t="s">
        <v>2370</v>
      </c>
      <c r="E1688" t="s">
        <v>2370</v>
      </c>
      <c r="F1688" t="s">
        <v>2370</v>
      </c>
      <c r="G1688" t="s">
        <v>2371</v>
      </c>
      <c r="H1688" t="s">
        <v>2370</v>
      </c>
    </row>
    <row r="1689" spans="1:8" x14ac:dyDescent="0.35">
      <c r="A1689" t="s">
        <v>673</v>
      </c>
      <c r="B1689">
        <v>34.15</v>
      </c>
      <c r="C1689">
        <v>5.42</v>
      </c>
      <c r="D1689" t="s">
        <v>2370</v>
      </c>
      <c r="E1689" t="s">
        <v>2370</v>
      </c>
      <c r="F1689" t="s">
        <v>2370</v>
      </c>
      <c r="G1689" t="s">
        <v>2371</v>
      </c>
      <c r="H1689" t="s">
        <v>2370</v>
      </c>
    </row>
    <row r="1690" spans="1:8" x14ac:dyDescent="0.35">
      <c r="A1690" t="s">
        <v>672</v>
      </c>
      <c r="B1690">
        <v>18.350000000000001</v>
      </c>
      <c r="C1690">
        <v>5.12</v>
      </c>
      <c r="D1690" t="s">
        <v>2370</v>
      </c>
      <c r="E1690" t="s">
        <v>2370</v>
      </c>
      <c r="F1690" t="s">
        <v>2370</v>
      </c>
      <c r="G1690" t="s">
        <v>2371</v>
      </c>
      <c r="H1690" t="s">
        <v>2370</v>
      </c>
    </row>
    <row r="1691" spans="1:8" x14ac:dyDescent="0.35">
      <c r="A1691" t="s">
        <v>671</v>
      </c>
      <c r="B1691">
        <v>22.13</v>
      </c>
      <c r="C1691">
        <v>9.1999999999999993</v>
      </c>
      <c r="D1691" t="s">
        <v>2372</v>
      </c>
      <c r="E1691" t="s">
        <v>2370</v>
      </c>
      <c r="F1691" t="s">
        <v>2370</v>
      </c>
      <c r="G1691" t="s">
        <v>2371</v>
      </c>
      <c r="H1691" t="s">
        <v>2370</v>
      </c>
    </row>
    <row r="1692" spans="1:8" x14ac:dyDescent="0.35">
      <c r="A1692" t="s">
        <v>670</v>
      </c>
      <c r="B1692">
        <v>22.51</v>
      </c>
      <c r="C1692">
        <v>6.08</v>
      </c>
      <c r="D1692" t="s">
        <v>2372</v>
      </c>
      <c r="E1692" t="s">
        <v>2370</v>
      </c>
      <c r="F1692" t="s">
        <v>2370</v>
      </c>
      <c r="G1692">
        <v>1</v>
      </c>
      <c r="H1692" t="s">
        <v>2370</v>
      </c>
    </row>
    <row r="1693" spans="1:8" x14ac:dyDescent="0.35">
      <c r="A1693" t="s">
        <v>669</v>
      </c>
      <c r="B1693">
        <v>31</v>
      </c>
      <c r="C1693">
        <v>4.7699999999999996</v>
      </c>
      <c r="D1693" t="s">
        <v>2370</v>
      </c>
      <c r="E1693" t="s">
        <v>2370</v>
      </c>
      <c r="F1693" t="s">
        <v>2370</v>
      </c>
      <c r="G1693">
        <v>1</v>
      </c>
      <c r="H1693" t="s">
        <v>2370</v>
      </c>
    </row>
    <row r="1694" spans="1:8" x14ac:dyDescent="0.35">
      <c r="A1694" t="s">
        <v>668</v>
      </c>
      <c r="B1694">
        <v>28.27</v>
      </c>
      <c r="C1694">
        <v>4.62</v>
      </c>
      <c r="D1694" t="s">
        <v>2370</v>
      </c>
      <c r="E1694" t="s">
        <v>2370</v>
      </c>
      <c r="F1694" t="s">
        <v>2370</v>
      </c>
      <c r="G1694">
        <v>1</v>
      </c>
      <c r="H1694" t="s">
        <v>2370</v>
      </c>
    </row>
    <row r="1695" spans="1:8" x14ac:dyDescent="0.35">
      <c r="A1695" t="s">
        <v>667</v>
      </c>
      <c r="B1695">
        <v>29.92</v>
      </c>
      <c r="C1695">
        <v>9.07</v>
      </c>
      <c r="D1695" t="s">
        <v>2372</v>
      </c>
      <c r="E1695" t="s">
        <v>2370</v>
      </c>
      <c r="F1695" t="s">
        <v>2370</v>
      </c>
      <c r="G1695">
        <v>1</v>
      </c>
      <c r="H1695" t="s">
        <v>2370</v>
      </c>
    </row>
    <row r="1696" spans="1:8" x14ac:dyDescent="0.35">
      <c r="A1696" t="s">
        <v>666</v>
      </c>
      <c r="B1696">
        <v>25.9</v>
      </c>
      <c r="C1696">
        <v>9.1199999999999992</v>
      </c>
      <c r="D1696" t="s">
        <v>2372</v>
      </c>
      <c r="E1696" t="s">
        <v>2370</v>
      </c>
      <c r="F1696" t="s">
        <v>2370</v>
      </c>
      <c r="G1696">
        <v>1</v>
      </c>
      <c r="H1696" t="s">
        <v>2370</v>
      </c>
    </row>
    <row r="1697" spans="1:8" x14ac:dyDescent="0.35">
      <c r="A1697" t="s">
        <v>665</v>
      </c>
      <c r="B1697">
        <v>27.74</v>
      </c>
      <c r="C1697">
        <v>7.32</v>
      </c>
      <c r="D1697" t="s">
        <v>2372</v>
      </c>
      <c r="E1697" t="s">
        <v>2370</v>
      </c>
      <c r="F1697" t="s">
        <v>2370</v>
      </c>
      <c r="G1697">
        <v>1</v>
      </c>
      <c r="H1697" t="s">
        <v>2370</v>
      </c>
    </row>
    <row r="1698" spans="1:8" x14ac:dyDescent="0.35">
      <c r="A1698" t="s">
        <v>664</v>
      </c>
      <c r="B1698">
        <v>17.260000000000002</v>
      </c>
      <c r="C1698">
        <v>11.73</v>
      </c>
      <c r="D1698" t="s">
        <v>2370</v>
      </c>
      <c r="E1698" t="s">
        <v>2370</v>
      </c>
      <c r="F1698" t="s">
        <v>2370</v>
      </c>
      <c r="G1698">
        <v>2</v>
      </c>
      <c r="H1698" t="s">
        <v>2370</v>
      </c>
    </row>
    <row r="1699" spans="1:8" x14ac:dyDescent="0.35">
      <c r="A1699" t="s">
        <v>663</v>
      </c>
      <c r="B1699">
        <v>19.855</v>
      </c>
      <c r="C1699">
        <v>6.64</v>
      </c>
      <c r="D1699" t="s">
        <v>2372</v>
      </c>
      <c r="E1699" t="s">
        <v>2370</v>
      </c>
      <c r="F1699" t="s">
        <v>2370</v>
      </c>
      <c r="G1699">
        <v>1</v>
      </c>
      <c r="H1699" t="s">
        <v>2370</v>
      </c>
    </row>
    <row r="1700" spans="1:8" x14ac:dyDescent="0.35">
      <c r="A1700" t="s">
        <v>662</v>
      </c>
      <c r="B1700">
        <v>41.69</v>
      </c>
      <c r="C1700">
        <v>5.78</v>
      </c>
      <c r="D1700" t="s">
        <v>2370</v>
      </c>
      <c r="E1700" t="s">
        <v>2370</v>
      </c>
      <c r="F1700" t="s">
        <v>2370</v>
      </c>
      <c r="G1700" t="s">
        <v>2371</v>
      </c>
      <c r="H1700" t="s">
        <v>2370</v>
      </c>
    </row>
    <row r="1701" spans="1:8" x14ac:dyDescent="0.35">
      <c r="A1701" t="s">
        <v>661</v>
      </c>
      <c r="B1701">
        <v>16.12</v>
      </c>
      <c r="C1701">
        <v>10.45</v>
      </c>
      <c r="D1701" t="s">
        <v>2370</v>
      </c>
      <c r="E1701" t="s">
        <v>2370</v>
      </c>
      <c r="F1701" t="s">
        <v>2370</v>
      </c>
      <c r="G1701" t="s">
        <v>2371</v>
      </c>
      <c r="H1701" t="s">
        <v>2370</v>
      </c>
    </row>
    <row r="1702" spans="1:8" x14ac:dyDescent="0.35">
      <c r="A1702" t="s">
        <v>660</v>
      </c>
      <c r="B1702">
        <v>37.43</v>
      </c>
      <c r="C1702">
        <v>4.5199999999999996</v>
      </c>
      <c r="D1702" t="s">
        <v>2370</v>
      </c>
      <c r="E1702" t="s">
        <v>2370</v>
      </c>
      <c r="F1702" t="s">
        <v>2370</v>
      </c>
      <c r="G1702">
        <v>1</v>
      </c>
      <c r="H1702" t="s">
        <v>2370</v>
      </c>
    </row>
    <row r="1703" spans="1:8" x14ac:dyDescent="0.35">
      <c r="A1703" t="s">
        <v>659</v>
      </c>
      <c r="B1703">
        <v>31.065000000000001</v>
      </c>
      <c r="C1703">
        <v>5.71</v>
      </c>
      <c r="D1703" t="s">
        <v>2370</v>
      </c>
      <c r="E1703" t="s">
        <v>2370</v>
      </c>
      <c r="F1703" t="s">
        <v>2370</v>
      </c>
      <c r="G1703" t="s">
        <v>2371</v>
      </c>
      <c r="H1703" t="s">
        <v>2370</v>
      </c>
    </row>
    <row r="1704" spans="1:8" x14ac:dyDescent="0.35">
      <c r="A1704" t="s">
        <v>658</v>
      </c>
      <c r="B1704">
        <v>25.08</v>
      </c>
      <c r="C1704">
        <v>4.7699999999999996</v>
      </c>
      <c r="D1704" t="s">
        <v>2370</v>
      </c>
      <c r="E1704" t="s">
        <v>2370</v>
      </c>
      <c r="F1704" t="s">
        <v>2370</v>
      </c>
      <c r="G1704" t="s">
        <v>2371</v>
      </c>
      <c r="H1704" t="s">
        <v>2370</v>
      </c>
    </row>
    <row r="1705" spans="1:8" x14ac:dyDescent="0.35">
      <c r="A1705" t="s">
        <v>657</v>
      </c>
      <c r="B1705">
        <v>15.2</v>
      </c>
      <c r="C1705">
        <v>7.81</v>
      </c>
      <c r="D1705" t="s">
        <v>2372</v>
      </c>
      <c r="E1705" t="s">
        <v>2370</v>
      </c>
      <c r="F1705" t="s">
        <v>2370</v>
      </c>
      <c r="G1705">
        <v>1</v>
      </c>
      <c r="H1705" t="s">
        <v>2370</v>
      </c>
    </row>
    <row r="1706" spans="1:8" x14ac:dyDescent="0.35">
      <c r="A1706" t="s">
        <v>656</v>
      </c>
      <c r="B1706">
        <v>22.34</v>
      </c>
      <c r="C1706">
        <v>5.19</v>
      </c>
      <c r="D1706" t="s">
        <v>2372</v>
      </c>
      <c r="E1706" t="s">
        <v>2370</v>
      </c>
      <c r="F1706" t="s">
        <v>2370</v>
      </c>
      <c r="G1706" t="s">
        <v>2371</v>
      </c>
      <c r="H1706" t="s">
        <v>2370</v>
      </c>
    </row>
    <row r="1707" spans="1:8" x14ac:dyDescent="0.35">
      <c r="A1707" t="s">
        <v>655</v>
      </c>
      <c r="B1707">
        <v>40.15</v>
      </c>
      <c r="C1707">
        <v>5.93</v>
      </c>
      <c r="D1707" t="s">
        <v>2370</v>
      </c>
      <c r="E1707" t="s">
        <v>2370</v>
      </c>
      <c r="F1707" t="s">
        <v>2370</v>
      </c>
      <c r="G1707">
        <v>1</v>
      </c>
      <c r="H1707" t="s">
        <v>2370</v>
      </c>
    </row>
    <row r="1708" spans="1:8" x14ac:dyDescent="0.35">
      <c r="A1708" t="s">
        <v>654</v>
      </c>
      <c r="B1708">
        <v>37.729999999999997</v>
      </c>
      <c r="C1708">
        <v>6.29</v>
      </c>
      <c r="D1708" t="s">
        <v>2370</v>
      </c>
      <c r="E1708" t="s">
        <v>2370</v>
      </c>
      <c r="F1708" t="s">
        <v>2370</v>
      </c>
      <c r="G1708">
        <v>1</v>
      </c>
      <c r="H1708" t="s">
        <v>2370</v>
      </c>
    </row>
    <row r="1709" spans="1:8" x14ac:dyDescent="0.35">
      <c r="A1709" t="s">
        <v>653</v>
      </c>
      <c r="B1709">
        <v>25.35</v>
      </c>
      <c r="C1709">
        <v>4.9000000000000004</v>
      </c>
      <c r="D1709" t="s">
        <v>2370</v>
      </c>
      <c r="E1709" t="s">
        <v>2370</v>
      </c>
      <c r="F1709" t="s">
        <v>2370</v>
      </c>
      <c r="G1709" t="s">
        <v>2371</v>
      </c>
      <c r="H1709" t="s">
        <v>2370</v>
      </c>
    </row>
    <row r="1710" spans="1:8" x14ac:dyDescent="0.35">
      <c r="A1710" t="s">
        <v>652</v>
      </c>
      <c r="B1710">
        <v>26.41</v>
      </c>
      <c r="C1710">
        <v>5.07</v>
      </c>
      <c r="D1710" t="s">
        <v>2372</v>
      </c>
      <c r="E1710" t="s">
        <v>2370</v>
      </c>
      <c r="F1710" t="s">
        <v>2370</v>
      </c>
      <c r="G1710">
        <v>1</v>
      </c>
      <c r="H1710" t="s">
        <v>2370</v>
      </c>
    </row>
    <row r="1711" spans="1:8" x14ac:dyDescent="0.35">
      <c r="A1711" t="s">
        <v>651</v>
      </c>
      <c r="B1711">
        <v>27.6</v>
      </c>
      <c r="C1711">
        <v>5.33</v>
      </c>
      <c r="D1711" t="s">
        <v>2370</v>
      </c>
      <c r="E1711" t="s">
        <v>2370</v>
      </c>
      <c r="F1711" t="s">
        <v>2370</v>
      </c>
      <c r="G1711">
        <v>1</v>
      </c>
      <c r="H1711" t="s">
        <v>2370</v>
      </c>
    </row>
    <row r="1712" spans="1:8" x14ac:dyDescent="0.35">
      <c r="A1712" t="s">
        <v>650</v>
      </c>
      <c r="B1712">
        <v>33.82</v>
      </c>
      <c r="C1712">
        <v>8.93</v>
      </c>
      <c r="D1712" t="s">
        <v>2372</v>
      </c>
      <c r="E1712" t="s">
        <v>2370</v>
      </c>
      <c r="F1712" t="s">
        <v>2370</v>
      </c>
      <c r="G1712">
        <v>1</v>
      </c>
      <c r="H1712" t="s">
        <v>2370</v>
      </c>
    </row>
    <row r="1713" spans="1:8" x14ac:dyDescent="0.35">
      <c r="A1713" t="s">
        <v>649</v>
      </c>
      <c r="B1713">
        <v>32.9</v>
      </c>
      <c r="C1713">
        <v>4.3499999999999996</v>
      </c>
      <c r="D1713" t="s">
        <v>2370</v>
      </c>
      <c r="E1713" t="s">
        <v>2370</v>
      </c>
      <c r="F1713" t="s">
        <v>2370</v>
      </c>
      <c r="G1713" t="s">
        <v>2371</v>
      </c>
      <c r="H1713" t="s">
        <v>2370</v>
      </c>
    </row>
    <row r="1714" spans="1:8" x14ac:dyDescent="0.35">
      <c r="A1714" t="s">
        <v>648</v>
      </c>
      <c r="B1714">
        <v>30.875</v>
      </c>
      <c r="C1714">
        <v>9.5399999999999991</v>
      </c>
      <c r="D1714" t="s">
        <v>2372</v>
      </c>
      <c r="E1714" t="s">
        <v>2370</v>
      </c>
      <c r="F1714" t="s">
        <v>2370</v>
      </c>
      <c r="G1714">
        <v>1</v>
      </c>
      <c r="H1714" t="s">
        <v>2370</v>
      </c>
    </row>
    <row r="1715" spans="1:8" x14ac:dyDescent="0.35">
      <c r="A1715" t="s">
        <v>647</v>
      </c>
      <c r="B1715">
        <v>32.64</v>
      </c>
      <c r="C1715">
        <v>5.91</v>
      </c>
      <c r="D1715" t="s">
        <v>2370</v>
      </c>
      <c r="E1715" t="s">
        <v>2370</v>
      </c>
      <c r="F1715" t="s">
        <v>2370</v>
      </c>
      <c r="G1715" t="s">
        <v>2371</v>
      </c>
      <c r="H1715" t="s">
        <v>2370</v>
      </c>
    </row>
    <row r="1716" spans="1:8" x14ac:dyDescent="0.35">
      <c r="A1716" t="s">
        <v>646</v>
      </c>
      <c r="B1716">
        <v>22.135000000000002</v>
      </c>
      <c r="C1716">
        <v>5.0999999999999996</v>
      </c>
      <c r="D1716" t="s">
        <v>2370</v>
      </c>
      <c r="E1716" t="s">
        <v>2370</v>
      </c>
      <c r="F1716" t="s">
        <v>2370</v>
      </c>
      <c r="G1716" t="s">
        <v>2371</v>
      </c>
      <c r="H1716" t="s">
        <v>2370</v>
      </c>
    </row>
    <row r="1717" spans="1:8" x14ac:dyDescent="0.35">
      <c r="A1717" t="s">
        <v>645</v>
      </c>
      <c r="B1717">
        <v>16.53</v>
      </c>
      <c r="C1717">
        <v>5.08</v>
      </c>
      <c r="D1717" t="s">
        <v>2370</v>
      </c>
      <c r="E1717" t="s">
        <v>2370</v>
      </c>
      <c r="F1717" t="s">
        <v>2370</v>
      </c>
      <c r="G1717">
        <v>2</v>
      </c>
      <c r="H1717" t="s">
        <v>2370</v>
      </c>
    </row>
    <row r="1718" spans="1:8" x14ac:dyDescent="0.35">
      <c r="A1718" t="s">
        <v>644</v>
      </c>
      <c r="B1718">
        <v>32.774999999999999</v>
      </c>
      <c r="C1718">
        <v>4.75</v>
      </c>
      <c r="D1718" t="s">
        <v>2370</v>
      </c>
      <c r="E1718" t="s">
        <v>2370</v>
      </c>
      <c r="F1718" t="s">
        <v>2370</v>
      </c>
      <c r="G1718" t="s">
        <v>2371</v>
      </c>
      <c r="H1718" t="s">
        <v>2370</v>
      </c>
    </row>
    <row r="1719" spans="1:8" x14ac:dyDescent="0.35">
      <c r="A1719" t="s">
        <v>643</v>
      </c>
      <c r="B1719">
        <v>30.9</v>
      </c>
      <c r="C1719">
        <v>6.05</v>
      </c>
      <c r="D1719" t="s">
        <v>2370</v>
      </c>
      <c r="E1719" t="s">
        <v>2370</v>
      </c>
      <c r="F1719" t="s">
        <v>2370</v>
      </c>
      <c r="G1719">
        <v>1</v>
      </c>
      <c r="H1719" t="s">
        <v>2370</v>
      </c>
    </row>
    <row r="1720" spans="1:8" x14ac:dyDescent="0.35">
      <c r="A1720" t="s">
        <v>642</v>
      </c>
      <c r="B1720">
        <v>15.58</v>
      </c>
      <c r="C1720">
        <v>11.56</v>
      </c>
      <c r="D1720" t="s">
        <v>2370</v>
      </c>
      <c r="E1720" t="s">
        <v>2370</v>
      </c>
      <c r="F1720" t="s">
        <v>2370</v>
      </c>
      <c r="G1720" t="s">
        <v>2371</v>
      </c>
      <c r="H1720" t="s">
        <v>2370</v>
      </c>
    </row>
    <row r="1721" spans="1:8" x14ac:dyDescent="0.35">
      <c r="A1721" t="s">
        <v>641</v>
      </c>
      <c r="B1721">
        <v>26.315000000000001</v>
      </c>
      <c r="C1721">
        <v>5.76</v>
      </c>
      <c r="D1721" t="s">
        <v>2370</v>
      </c>
      <c r="E1721" t="s">
        <v>2370</v>
      </c>
      <c r="F1721" t="s">
        <v>2370</v>
      </c>
      <c r="G1721" t="s">
        <v>2371</v>
      </c>
      <c r="H1721" t="s">
        <v>2370</v>
      </c>
    </row>
    <row r="1722" spans="1:8" x14ac:dyDescent="0.35">
      <c r="A1722" t="s">
        <v>640</v>
      </c>
      <c r="B1722">
        <v>35.61</v>
      </c>
      <c r="C1722">
        <v>5.65</v>
      </c>
      <c r="D1722" t="s">
        <v>2370</v>
      </c>
      <c r="E1722" t="s">
        <v>2372</v>
      </c>
      <c r="F1722" t="s">
        <v>2370</v>
      </c>
      <c r="G1722">
        <v>1</v>
      </c>
      <c r="H1722" t="s">
        <v>2370</v>
      </c>
    </row>
    <row r="1723" spans="1:8" x14ac:dyDescent="0.35">
      <c r="A1723" t="s">
        <v>639</v>
      </c>
      <c r="B1723">
        <v>37.56</v>
      </c>
      <c r="C1723">
        <v>5.88</v>
      </c>
      <c r="D1723" t="s">
        <v>2370</v>
      </c>
      <c r="E1723" t="s">
        <v>2372</v>
      </c>
      <c r="F1723" t="s">
        <v>2370</v>
      </c>
      <c r="G1723">
        <v>1</v>
      </c>
      <c r="H1723" t="s">
        <v>2370</v>
      </c>
    </row>
    <row r="1724" spans="1:8" x14ac:dyDescent="0.35">
      <c r="A1724" t="s">
        <v>638</v>
      </c>
      <c r="B1724">
        <v>15.49</v>
      </c>
      <c r="C1724">
        <v>9.6</v>
      </c>
      <c r="D1724" t="s">
        <v>2370</v>
      </c>
      <c r="E1724" t="s">
        <v>2370</v>
      </c>
      <c r="F1724" t="s">
        <v>2370</v>
      </c>
      <c r="G1724" t="s">
        <v>2371</v>
      </c>
      <c r="H1724" t="s">
        <v>2370</v>
      </c>
    </row>
    <row r="1725" spans="1:8" x14ac:dyDescent="0.35">
      <c r="A1725" t="s">
        <v>637</v>
      </c>
      <c r="B1725">
        <v>23.48</v>
      </c>
      <c r="C1725">
        <v>6.24</v>
      </c>
      <c r="D1725" t="s">
        <v>2370</v>
      </c>
      <c r="E1725" t="s">
        <v>2370</v>
      </c>
      <c r="F1725" t="s">
        <v>2370</v>
      </c>
      <c r="G1725">
        <v>1</v>
      </c>
      <c r="H1725" t="s">
        <v>2370</v>
      </c>
    </row>
    <row r="1726" spans="1:8" x14ac:dyDescent="0.35">
      <c r="A1726" t="s">
        <v>636</v>
      </c>
      <c r="B1726">
        <v>30.02</v>
      </c>
      <c r="C1726">
        <v>7.63</v>
      </c>
      <c r="D1726" t="s">
        <v>2372</v>
      </c>
      <c r="E1726" t="s">
        <v>2370</v>
      </c>
      <c r="F1726" t="s">
        <v>2370</v>
      </c>
      <c r="G1726">
        <v>1</v>
      </c>
      <c r="H1726" t="s">
        <v>2370</v>
      </c>
    </row>
    <row r="1727" spans="1:8" x14ac:dyDescent="0.35">
      <c r="A1727" t="s">
        <v>635</v>
      </c>
      <c r="B1727">
        <v>26.885000000000002</v>
      </c>
      <c r="C1727">
        <v>8.66</v>
      </c>
      <c r="D1727" t="s">
        <v>2372</v>
      </c>
      <c r="E1727" t="s">
        <v>2370</v>
      </c>
      <c r="F1727" t="s">
        <v>2370</v>
      </c>
      <c r="G1727">
        <v>1</v>
      </c>
      <c r="H1727" t="s">
        <v>2370</v>
      </c>
    </row>
    <row r="1728" spans="1:8" x14ac:dyDescent="0.35">
      <c r="A1728" t="s">
        <v>634</v>
      </c>
      <c r="B1728">
        <v>25.84</v>
      </c>
      <c r="C1728">
        <v>8.5500000000000007</v>
      </c>
      <c r="D1728" t="s">
        <v>2372</v>
      </c>
      <c r="E1728" t="s">
        <v>2370</v>
      </c>
      <c r="F1728" t="s">
        <v>2370</v>
      </c>
      <c r="G1728">
        <v>1</v>
      </c>
      <c r="H1728" t="s">
        <v>2370</v>
      </c>
    </row>
    <row r="1729" spans="1:8" x14ac:dyDescent="0.35">
      <c r="A1729" t="s">
        <v>633</v>
      </c>
      <c r="B1729">
        <v>27.454999999999998</v>
      </c>
      <c r="C1729">
        <v>4.54</v>
      </c>
      <c r="D1729" t="s">
        <v>2370</v>
      </c>
      <c r="E1729" t="s">
        <v>2370</v>
      </c>
      <c r="F1729" t="s">
        <v>2370</v>
      </c>
      <c r="G1729" t="s">
        <v>2371</v>
      </c>
      <c r="H1729" t="s">
        <v>2370</v>
      </c>
    </row>
    <row r="1730" spans="1:8" x14ac:dyDescent="0.35">
      <c r="A1730" t="s">
        <v>632</v>
      </c>
      <c r="B1730">
        <v>24.605</v>
      </c>
      <c r="C1730">
        <v>5.7</v>
      </c>
      <c r="D1730" t="s">
        <v>2370</v>
      </c>
      <c r="E1730" t="s">
        <v>2370</v>
      </c>
      <c r="F1730" t="s">
        <v>2370</v>
      </c>
      <c r="G1730" t="s">
        <v>2371</v>
      </c>
      <c r="H1730" t="s">
        <v>2370</v>
      </c>
    </row>
    <row r="1731" spans="1:8" x14ac:dyDescent="0.35">
      <c r="A1731" t="s">
        <v>631</v>
      </c>
      <c r="B1731">
        <v>30.8</v>
      </c>
      <c r="C1731">
        <v>5.07</v>
      </c>
      <c r="D1731" t="s">
        <v>2370</v>
      </c>
      <c r="E1731" t="s">
        <v>2370</v>
      </c>
      <c r="F1731" t="s">
        <v>2370</v>
      </c>
      <c r="G1731" t="s">
        <v>2371</v>
      </c>
      <c r="H1731" t="s">
        <v>2370</v>
      </c>
    </row>
    <row r="1732" spans="1:8" x14ac:dyDescent="0.35">
      <c r="A1732" t="s">
        <v>630</v>
      </c>
      <c r="B1732">
        <v>34.799999999999997</v>
      </c>
      <c r="C1732">
        <v>4.38</v>
      </c>
      <c r="D1732" t="s">
        <v>2370</v>
      </c>
      <c r="E1732" t="s">
        <v>2370</v>
      </c>
      <c r="F1732" t="s">
        <v>2370</v>
      </c>
      <c r="G1732">
        <v>1</v>
      </c>
      <c r="H1732" t="s">
        <v>2370</v>
      </c>
    </row>
    <row r="1733" spans="1:8" x14ac:dyDescent="0.35">
      <c r="A1733" t="s">
        <v>629</v>
      </c>
      <c r="B1733">
        <v>34.21</v>
      </c>
      <c r="C1733">
        <v>4.54</v>
      </c>
      <c r="D1733" t="s">
        <v>2370</v>
      </c>
      <c r="E1733" t="s">
        <v>2370</v>
      </c>
      <c r="F1733" t="s">
        <v>2370</v>
      </c>
      <c r="G1733">
        <v>1</v>
      </c>
      <c r="H1733" t="s">
        <v>2370</v>
      </c>
    </row>
    <row r="1734" spans="1:8" x14ac:dyDescent="0.35">
      <c r="A1734" t="s">
        <v>628</v>
      </c>
      <c r="B1734">
        <v>31</v>
      </c>
      <c r="C1734">
        <v>5.38</v>
      </c>
      <c r="D1734" t="s">
        <v>2370</v>
      </c>
      <c r="E1734" t="s">
        <v>2370</v>
      </c>
      <c r="F1734" t="s">
        <v>2370</v>
      </c>
      <c r="G1734">
        <v>1</v>
      </c>
      <c r="H1734" t="s">
        <v>2370</v>
      </c>
    </row>
    <row r="1735" spans="1:8" x14ac:dyDescent="0.35">
      <c r="A1735" t="s">
        <v>627</v>
      </c>
      <c r="B1735">
        <v>26.125</v>
      </c>
      <c r="C1735">
        <v>5.55</v>
      </c>
      <c r="D1735" t="s">
        <v>2370</v>
      </c>
      <c r="E1735" t="s">
        <v>2370</v>
      </c>
      <c r="F1735" t="s">
        <v>2370</v>
      </c>
      <c r="G1735">
        <v>1</v>
      </c>
      <c r="H1735" t="s">
        <v>2370</v>
      </c>
    </row>
    <row r="1736" spans="1:8" x14ac:dyDescent="0.35">
      <c r="A1736" t="s">
        <v>626</v>
      </c>
      <c r="B1736">
        <v>30.13</v>
      </c>
      <c r="C1736">
        <v>4.03</v>
      </c>
      <c r="D1736" t="s">
        <v>2372</v>
      </c>
      <c r="E1736" t="s">
        <v>2370</v>
      </c>
      <c r="F1736" t="s">
        <v>2370</v>
      </c>
      <c r="G1736">
        <v>1</v>
      </c>
      <c r="H1736" t="s">
        <v>2370</v>
      </c>
    </row>
    <row r="1737" spans="1:8" x14ac:dyDescent="0.35">
      <c r="A1737" t="s">
        <v>625</v>
      </c>
      <c r="B1737">
        <v>34.19</v>
      </c>
      <c r="C1737">
        <v>4.1900000000000004</v>
      </c>
      <c r="D1737" t="s">
        <v>2370</v>
      </c>
      <c r="E1737" t="s">
        <v>2370</v>
      </c>
      <c r="F1737" t="s">
        <v>2370</v>
      </c>
      <c r="G1737" t="s">
        <v>2371</v>
      </c>
      <c r="H1737" t="s">
        <v>2370</v>
      </c>
    </row>
    <row r="1738" spans="1:8" x14ac:dyDescent="0.35">
      <c r="A1738" t="s">
        <v>624</v>
      </c>
      <c r="B1738">
        <v>22.515000000000001</v>
      </c>
      <c r="C1738">
        <v>4.37</v>
      </c>
      <c r="D1738" t="s">
        <v>2370</v>
      </c>
      <c r="E1738" t="s">
        <v>2370</v>
      </c>
      <c r="F1738" t="s">
        <v>2373</v>
      </c>
      <c r="G1738">
        <v>1</v>
      </c>
      <c r="H1738" t="s">
        <v>2370</v>
      </c>
    </row>
    <row r="1739" spans="1:8" x14ac:dyDescent="0.35">
      <c r="A1739" t="s">
        <v>623</v>
      </c>
      <c r="B1739">
        <v>18.239999999999998</v>
      </c>
      <c r="C1739">
        <v>5.31</v>
      </c>
      <c r="D1739" t="s">
        <v>2372</v>
      </c>
      <c r="E1739" t="s">
        <v>2370</v>
      </c>
      <c r="F1739" t="s">
        <v>2373</v>
      </c>
      <c r="G1739">
        <v>1</v>
      </c>
      <c r="H1739" t="s">
        <v>2370</v>
      </c>
    </row>
    <row r="1740" spans="1:8" x14ac:dyDescent="0.35">
      <c r="A1740" t="s">
        <v>621</v>
      </c>
      <c r="B1740">
        <v>37.28</v>
      </c>
      <c r="C1740">
        <v>4.66</v>
      </c>
      <c r="D1740" t="s">
        <v>2370</v>
      </c>
      <c r="E1740" t="s">
        <v>2372</v>
      </c>
      <c r="F1740" t="s">
        <v>2370</v>
      </c>
      <c r="G1740">
        <v>1</v>
      </c>
      <c r="H1740" t="s">
        <v>2370</v>
      </c>
    </row>
    <row r="1741" spans="1:8" x14ac:dyDescent="0.35">
      <c r="A1741" t="s">
        <v>620</v>
      </c>
      <c r="B1741">
        <v>18.2</v>
      </c>
      <c r="C1741">
        <v>6.19</v>
      </c>
      <c r="D1741" t="s">
        <v>2370</v>
      </c>
      <c r="E1741" t="s">
        <v>2370</v>
      </c>
      <c r="F1741" t="s">
        <v>2373</v>
      </c>
      <c r="G1741">
        <v>1</v>
      </c>
      <c r="H1741" t="s">
        <v>2370</v>
      </c>
    </row>
    <row r="1742" spans="1:8" x14ac:dyDescent="0.35">
      <c r="A1742" t="s">
        <v>619</v>
      </c>
      <c r="B1742">
        <v>20.53</v>
      </c>
      <c r="C1742">
        <v>4.8600000000000003</v>
      </c>
      <c r="D1742" t="s">
        <v>2370</v>
      </c>
      <c r="E1742" t="s">
        <v>2370</v>
      </c>
      <c r="F1742" t="s">
        <v>2370</v>
      </c>
      <c r="G1742">
        <v>1</v>
      </c>
      <c r="H1742" t="s">
        <v>2370</v>
      </c>
    </row>
    <row r="1743" spans="1:8" x14ac:dyDescent="0.35">
      <c r="A1743" t="s">
        <v>618</v>
      </c>
      <c r="B1743">
        <v>23.79</v>
      </c>
      <c r="C1743">
        <v>4.74</v>
      </c>
      <c r="D1743" t="s">
        <v>2370</v>
      </c>
      <c r="E1743" t="s">
        <v>2370</v>
      </c>
      <c r="F1743" t="s">
        <v>2370</v>
      </c>
      <c r="G1743" t="s">
        <v>2371</v>
      </c>
      <c r="H1743" t="s">
        <v>2370</v>
      </c>
    </row>
    <row r="1744" spans="1:8" x14ac:dyDescent="0.35">
      <c r="A1744" t="s">
        <v>617</v>
      </c>
      <c r="B1744">
        <v>29.8</v>
      </c>
      <c r="C1744">
        <v>6.03</v>
      </c>
      <c r="D1744" t="s">
        <v>2370</v>
      </c>
      <c r="E1744" t="s">
        <v>2370</v>
      </c>
      <c r="F1744" t="s">
        <v>2370</v>
      </c>
      <c r="G1744" t="s">
        <v>2371</v>
      </c>
      <c r="H1744" t="s">
        <v>2370</v>
      </c>
    </row>
    <row r="1745" spans="1:8" x14ac:dyDescent="0.35">
      <c r="A1745" t="s">
        <v>616</v>
      </c>
      <c r="B1745">
        <v>31.54</v>
      </c>
      <c r="C1745">
        <v>4.71</v>
      </c>
      <c r="D1745" t="s">
        <v>2370</v>
      </c>
      <c r="E1745" t="s">
        <v>2370</v>
      </c>
      <c r="F1745" t="s">
        <v>2370</v>
      </c>
      <c r="G1745" t="s">
        <v>2371</v>
      </c>
      <c r="H1745" t="s">
        <v>2370</v>
      </c>
    </row>
    <row r="1746" spans="1:8" x14ac:dyDescent="0.35">
      <c r="A1746" t="s">
        <v>615</v>
      </c>
      <c r="B1746">
        <v>20.82</v>
      </c>
      <c r="C1746">
        <v>5.55</v>
      </c>
      <c r="D1746" t="s">
        <v>2370</v>
      </c>
      <c r="E1746" t="s">
        <v>2370</v>
      </c>
      <c r="F1746" t="s">
        <v>2370</v>
      </c>
      <c r="G1746">
        <v>1</v>
      </c>
      <c r="H1746" t="s">
        <v>2370</v>
      </c>
    </row>
    <row r="1747" spans="1:8" x14ac:dyDescent="0.35">
      <c r="A1747" t="s">
        <v>614</v>
      </c>
      <c r="B1747">
        <v>38.83</v>
      </c>
      <c r="C1747">
        <v>4.78</v>
      </c>
      <c r="D1747" t="s">
        <v>2370</v>
      </c>
      <c r="E1747" t="s">
        <v>2370</v>
      </c>
      <c r="F1747" t="s">
        <v>2373</v>
      </c>
      <c r="G1747">
        <v>1</v>
      </c>
      <c r="H1747" t="s">
        <v>2370</v>
      </c>
    </row>
    <row r="1748" spans="1:8" x14ac:dyDescent="0.35">
      <c r="A1748" t="s">
        <v>613</v>
      </c>
      <c r="B1748">
        <v>23.44</v>
      </c>
      <c r="C1748">
        <v>4.6500000000000004</v>
      </c>
      <c r="D1748" t="s">
        <v>2372</v>
      </c>
      <c r="E1748" t="s">
        <v>2370</v>
      </c>
      <c r="F1748" t="s">
        <v>2370</v>
      </c>
      <c r="G1748">
        <v>1</v>
      </c>
      <c r="H1748" t="s">
        <v>2370</v>
      </c>
    </row>
    <row r="1749" spans="1:8" x14ac:dyDescent="0.35">
      <c r="A1749" t="s">
        <v>612</v>
      </c>
      <c r="B1749">
        <v>24.13</v>
      </c>
      <c r="C1749">
        <v>5.2</v>
      </c>
      <c r="D1749" t="s">
        <v>2370</v>
      </c>
      <c r="E1749" t="s">
        <v>2370</v>
      </c>
      <c r="F1749" t="s">
        <v>2370</v>
      </c>
      <c r="G1749">
        <v>1</v>
      </c>
      <c r="H1749" t="s">
        <v>2370</v>
      </c>
    </row>
    <row r="1750" spans="1:8" x14ac:dyDescent="0.35">
      <c r="A1750" t="s">
        <v>611</v>
      </c>
      <c r="B1750">
        <v>42.13</v>
      </c>
      <c r="C1750">
        <v>4.54</v>
      </c>
      <c r="D1750" t="s">
        <v>2372</v>
      </c>
      <c r="E1750" t="s">
        <v>2370</v>
      </c>
      <c r="F1750" t="s">
        <v>2370</v>
      </c>
      <c r="G1750">
        <v>1</v>
      </c>
      <c r="H1750" t="s">
        <v>2370</v>
      </c>
    </row>
    <row r="1751" spans="1:8" x14ac:dyDescent="0.35">
      <c r="A1751" t="s">
        <v>610</v>
      </c>
      <c r="B1751">
        <v>17.86</v>
      </c>
      <c r="C1751">
        <v>4.1100000000000003</v>
      </c>
      <c r="D1751" t="s">
        <v>2370</v>
      </c>
      <c r="E1751" t="s">
        <v>2370</v>
      </c>
      <c r="F1751" t="s">
        <v>2370</v>
      </c>
      <c r="G1751">
        <v>1</v>
      </c>
      <c r="H1751" t="s">
        <v>2370</v>
      </c>
    </row>
    <row r="1752" spans="1:8" x14ac:dyDescent="0.35">
      <c r="A1752" t="s">
        <v>609</v>
      </c>
      <c r="B1752">
        <v>32.78</v>
      </c>
      <c r="C1752">
        <v>4.63</v>
      </c>
      <c r="D1752" t="s">
        <v>2370</v>
      </c>
      <c r="E1752" t="s">
        <v>2370</v>
      </c>
      <c r="F1752" t="s">
        <v>2370</v>
      </c>
      <c r="G1752" t="s">
        <v>2371</v>
      </c>
      <c r="H1752" t="s">
        <v>2370</v>
      </c>
    </row>
    <row r="1753" spans="1:8" x14ac:dyDescent="0.35">
      <c r="A1753" t="s">
        <v>608</v>
      </c>
      <c r="B1753">
        <v>23.9</v>
      </c>
      <c r="C1753">
        <v>6.06</v>
      </c>
      <c r="D1753" t="s">
        <v>2372</v>
      </c>
      <c r="E1753" t="s">
        <v>2370</v>
      </c>
      <c r="F1753" t="s">
        <v>2373</v>
      </c>
      <c r="G1753">
        <v>1</v>
      </c>
      <c r="H1753" t="s">
        <v>2370</v>
      </c>
    </row>
    <row r="1754" spans="1:8" x14ac:dyDescent="0.35">
      <c r="A1754" t="s">
        <v>607</v>
      </c>
      <c r="B1754">
        <v>15.47</v>
      </c>
      <c r="C1754">
        <v>8.43</v>
      </c>
      <c r="D1754" t="s">
        <v>2370</v>
      </c>
      <c r="E1754" t="s">
        <v>2370</v>
      </c>
      <c r="F1754" t="s">
        <v>2370</v>
      </c>
      <c r="G1754" t="s">
        <v>2371</v>
      </c>
      <c r="H1754" t="s">
        <v>2370</v>
      </c>
    </row>
    <row r="1755" spans="1:8" x14ac:dyDescent="0.35">
      <c r="A1755" t="s">
        <v>606</v>
      </c>
      <c r="B1755">
        <v>28.54</v>
      </c>
      <c r="C1755">
        <v>5.51</v>
      </c>
      <c r="D1755" t="s">
        <v>2370</v>
      </c>
      <c r="E1755" t="s">
        <v>2370</v>
      </c>
      <c r="F1755" t="s">
        <v>2373</v>
      </c>
      <c r="G1755">
        <v>1</v>
      </c>
      <c r="H1755" t="s">
        <v>2370</v>
      </c>
    </row>
    <row r="1756" spans="1:8" x14ac:dyDescent="0.35">
      <c r="A1756" t="s">
        <v>605</v>
      </c>
      <c r="B1756">
        <v>18.54</v>
      </c>
      <c r="C1756">
        <v>4.95</v>
      </c>
      <c r="D1756" t="s">
        <v>2370</v>
      </c>
      <c r="E1756" t="s">
        <v>2370</v>
      </c>
      <c r="F1756" t="s">
        <v>2370</v>
      </c>
      <c r="G1756" t="s">
        <v>2371</v>
      </c>
      <c r="H1756" t="s">
        <v>2370</v>
      </c>
    </row>
    <row r="1757" spans="1:8" x14ac:dyDescent="0.35">
      <c r="A1757" t="s">
        <v>604</v>
      </c>
      <c r="B1757">
        <v>32.18</v>
      </c>
      <c r="C1757">
        <v>6.44</v>
      </c>
      <c r="D1757" t="s">
        <v>2372</v>
      </c>
      <c r="E1757" t="s">
        <v>2370</v>
      </c>
      <c r="F1757" t="s">
        <v>2373</v>
      </c>
      <c r="G1757">
        <v>1</v>
      </c>
      <c r="H1757" t="s">
        <v>2370</v>
      </c>
    </row>
    <row r="1758" spans="1:8" x14ac:dyDescent="0.35">
      <c r="A1758" t="s">
        <v>603</v>
      </c>
      <c r="B1758">
        <v>37.380000000000003</v>
      </c>
      <c r="C1758">
        <v>6.05</v>
      </c>
      <c r="D1758" t="s">
        <v>2372</v>
      </c>
      <c r="E1758" t="s">
        <v>2370</v>
      </c>
      <c r="F1758" t="s">
        <v>2370</v>
      </c>
      <c r="G1758" t="s">
        <v>2371</v>
      </c>
      <c r="H1758" t="s">
        <v>2370</v>
      </c>
    </row>
    <row r="1759" spans="1:8" x14ac:dyDescent="0.35">
      <c r="A1759" t="s">
        <v>602</v>
      </c>
      <c r="B1759">
        <v>31.12</v>
      </c>
      <c r="C1759">
        <v>4.76</v>
      </c>
      <c r="D1759" t="s">
        <v>2372</v>
      </c>
      <c r="E1759" t="s">
        <v>2370</v>
      </c>
      <c r="F1759" t="s">
        <v>2373</v>
      </c>
      <c r="G1759">
        <v>1</v>
      </c>
      <c r="H1759" t="s">
        <v>2370</v>
      </c>
    </row>
    <row r="1760" spans="1:8" x14ac:dyDescent="0.35">
      <c r="A1760" t="s">
        <v>601</v>
      </c>
      <c r="B1760">
        <v>22.01</v>
      </c>
      <c r="C1760">
        <v>6.72</v>
      </c>
      <c r="D1760" t="s">
        <v>2372</v>
      </c>
      <c r="E1760" t="s">
        <v>2370</v>
      </c>
      <c r="F1760" t="s">
        <v>2370</v>
      </c>
      <c r="G1760">
        <v>1</v>
      </c>
      <c r="H1760" t="s">
        <v>2370</v>
      </c>
    </row>
    <row r="1761" spans="1:8" x14ac:dyDescent="0.35">
      <c r="A1761" t="s">
        <v>600</v>
      </c>
      <c r="B1761">
        <v>27.645</v>
      </c>
      <c r="C1761">
        <v>5.7</v>
      </c>
      <c r="D1761" t="s">
        <v>2370</v>
      </c>
      <c r="E1761" t="s">
        <v>2370</v>
      </c>
      <c r="F1761" t="s">
        <v>2370</v>
      </c>
      <c r="G1761" t="s">
        <v>2371</v>
      </c>
      <c r="H1761" t="s">
        <v>2370</v>
      </c>
    </row>
    <row r="1762" spans="1:8" x14ac:dyDescent="0.35">
      <c r="A1762" t="s">
        <v>599</v>
      </c>
      <c r="B1762">
        <v>29.64</v>
      </c>
      <c r="C1762">
        <v>5.31</v>
      </c>
      <c r="D1762" t="s">
        <v>2372</v>
      </c>
      <c r="E1762" t="s">
        <v>2370</v>
      </c>
      <c r="F1762" t="s">
        <v>2370</v>
      </c>
      <c r="G1762" t="s">
        <v>2371</v>
      </c>
      <c r="H1762" t="s">
        <v>2370</v>
      </c>
    </row>
    <row r="1763" spans="1:8" x14ac:dyDescent="0.35">
      <c r="A1763" t="s">
        <v>598</v>
      </c>
      <c r="B1763">
        <v>33.700000000000003</v>
      </c>
      <c r="C1763">
        <v>4.32</v>
      </c>
      <c r="D1763" t="s">
        <v>2372</v>
      </c>
      <c r="E1763" t="s">
        <v>2370</v>
      </c>
      <c r="F1763" t="s">
        <v>2370</v>
      </c>
      <c r="G1763">
        <v>1</v>
      </c>
      <c r="H1763" t="s">
        <v>2370</v>
      </c>
    </row>
    <row r="1764" spans="1:8" x14ac:dyDescent="0.35">
      <c r="A1764" t="s">
        <v>597</v>
      </c>
      <c r="B1764">
        <v>27.5</v>
      </c>
      <c r="C1764">
        <v>4.2300000000000004</v>
      </c>
      <c r="D1764" t="s">
        <v>2372</v>
      </c>
      <c r="E1764" t="s">
        <v>2370</v>
      </c>
      <c r="F1764" t="s">
        <v>2370</v>
      </c>
      <c r="G1764">
        <v>1</v>
      </c>
      <c r="H1764" t="s">
        <v>2370</v>
      </c>
    </row>
    <row r="1765" spans="1:8" x14ac:dyDescent="0.35">
      <c r="A1765" t="s">
        <v>596</v>
      </c>
      <c r="B1765">
        <v>16.12</v>
      </c>
      <c r="C1765">
        <v>6.09</v>
      </c>
      <c r="D1765" t="s">
        <v>2370</v>
      </c>
      <c r="E1765" t="s">
        <v>2370</v>
      </c>
      <c r="F1765" t="s">
        <v>2370</v>
      </c>
      <c r="G1765" t="s">
        <v>2371</v>
      </c>
      <c r="H1765" t="s">
        <v>2370</v>
      </c>
    </row>
    <row r="1766" spans="1:8" x14ac:dyDescent="0.35">
      <c r="A1766" t="s">
        <v>595</v>
      </c>
      <c r="B1766">
        <v>26.73</v>
      </c>
      <c r="C1766">
        <v>4.74</v>
      </c>
      <c r="D1766" t="s">
        <v>2372</v>
      </c>
      <c r="E1766" t="s">
        <v>2370</v>
      </c>
      <c r="F1766" t="s">
        <v>2370</v>
      </c>
      <c r="G1766">
        <v>1</v>
      </c>
      <c r="H1766" t="s">
        <v>2370</v>
      </c>
    </row>
    <row r="1767" spans="1:8" x14ac:dyDescent="0.35">
      <c r="A1767" t="s">
        <v>594</v>
      </c>
      <c r="B1767">
        <v>37.25</v>
      </c>
      <c r="C1767">
        <v>6.23</v>
      </c>
      <c r="D1767" t="s">
        <v>2372</v>
      </c>
      <c r="E1767" t="s">
        <v>2370</v>
      </c>
      <c r="F1767" t="s">
        <v>2370</v>
      </c>
      <c r="G1767" t="s">
        <v>2371</v>
      </c>
      <c r="H1767" t="s">
        <v>2370</v>
      </c>
    </row>
    <row r="1768" spans="1:8" x14ac:dyDescent="0.35">
      <c r="A1768" t="s">
        <v>593</v>
      </c>
      <c r="B1768">
        <v>23.56</v>
      </c>
      <c r="C1768">
        <v>5.45</v>
      </c>
      <c r="D1768" t="s">
        <v>2372</v>
      </c>
      <c r="E1768" t="s">
        <v>2370</v>
      </c>
      <c r="F1768" t="s">
        <v>2370</v>
      </c>
      <c r="G1768">
        <v>1</v>
      </c>
      <c r="H1768" t="s">
        <v>2370</v>
      </c>
    </row>
    <row r="1769" spans="1:8" x14ac:dyDescent="0.35">
      <c r="A1769" t="s">
        <v>592</v>
      </c>
      <c r="B1769">
        <v>15.84</v>
      </c>
      <c r="C1769">
        <v>10.34</v>
      </c>
      <c r="D1769" t="s">
        <v>2370</v>
      </c>
      <c r="E1769" t="s">
        <v>2370</v>
      </c>
      <c r="F1769" t="s">
        <v>2370</v>
      </c>
      <c r="G1769">
        <v>2</v>
      </c>
      <c r="H1769" t="s">
        <v>2370</v>
      </c>
    </row>
    <row r="1770" spans="1:8" x14ac:dyDescent="0.35">
      <c r="A1770" t="s">
        <v>591</v>
      </c>
      <c r="B1770">
        <v>36.630000000000003</v>
      </c>
      <c r="C1770">
        <v>5.15</v>
      </c>
      <c r="D1770" t="s">
        <v>2370</v>
      </c>
      <c r="E1770" t="s">
        <v>2370</v>
      </c>
      <c r="F1770" t="s">
        <v>2370</v>
      </c>
      <c r="G1770" t="s">
        <v>2371</v>
      </c>
      <c r="H1770" t="s">
        <v>2370</v>
      </c>
    </row>
    <row r="1771" spans="1:8" x14ac:dyDescent="0.35">
      <c r="A1771" t="s">
        <v>590</v>
      </c>
      <c r="B1771">
        <v>16.47</v>
      </c>
      <c r="C1771">
        <v>11.72</v>
      </c>
      <c r="D1771" t="s">
        <v>2370</v>
      </c>
      <c r="E1771" t="s">
        <v>2370</v>
      </c>
      <c r="F1771" t="s">
        <v>2370</v>
      </c>
      <c r="G1771" t="s">
        <v>2371</v>
      </c>
      <c r="H1771" t="s">
        <v>2370</v>
      </c>
    </row>
    <row r="1772" spans="1:8" x14ac:dyDescent="0.35">
      <c r="A1772" t="s">
        <v>589</v>
      </c>
      <c r="B1772">
        <v>25.8</v>
      </c>
      <c r="C1772">
        <v>5.29</v>
      </c>
      <c r="D1772" t="s">
        <v>2370</v>
      </c>
      <c r="E1772" t="s">
        <v>2370</v>
      </c>
      <c r="F1772" t="s">
        <v>2370</v>
      </c>
      <c r="G1772" t="s">
        <v>2371</v>
      </c>
      <c r="H1772" t="s">
        <v>2370</v>
      </c>
    </row>
    <row r="1773" spans="1:8" x14ac:dyDescent="0.35">
      <c r="A1773" t="s">
        <v>588</v>
      </c>
      <c r="B1773">
        <v>23.6</v>
      </c>
      <c r="C1773">
        <v>4.33</v>
      </c>
      <c r="D1773" t="s">
        <v>2370</v>
      </c>
      <c r="E1773" t="s">
        <v>2370</v>
      </c>
      <c r="F1773" t="s">
        <v>2370</v>
      </c>
      <c r="G1773" t="s">
        <v>2371</v>
      </c>
      <c r="H1773" t="s">
        <v>2370</v>
      </c>
    </row>
    <row r="1774" spans="1:8" x14ac:dyDescent="0.35">
      <c r="A1774" t="s">
        <v>587</v>
      </c>
      <c r="B1774">
        <v>32.11</v>
      </c>
      <c r="C1774">
        <v>6.24</v>
      </c>
      <c r="D1774" t="s">
        <v>2370</v>
      </c>
      <c r="E1774" t="s">
        <v>2370</v>
      </c>
      <c r="F1774" t="s">
        <v>2373</v>
      </c>
      <c r="G1774">
        <v>1</v>
      </c>
      <c r="H1774" t="s">
        <v>2370</v>
      </c>
    </row>
    <row r="1775" spans="1:8" x14ac:dyDescent="0.35">
      <c r="A1775" t="s">
        <v>586</v>
      </c>
      <c r="B1775">
        <v>30.114999999999998</v>
      </c>
      <c r="C1775">
        <v>11.61</v>
      </c>
      <c r="D1775" t="s">
        <v>2370</v>
      </c>
      <c r="E1775" t="s">
        <v>2370</v>
      </c>
      <c r="F1775" t="s">
        <v>2370</v>
      </c>
      <c r="G1775" t="s">
        <v>2371</v>
      </c>
      <c r="H1775" t="s">
        <v>2370</v>
      </c>
    </row>
    <row r="1776" spans="1:8" x14ac:dyDescent="0.35">
      <c r="A1776" t="s">
        <v>585</v>
      </c>
      <c r="B1776">
        <v>20.28</v>
      </c>
      <c r="C1776">
        <v>11.07</v>
      </c>
      <c r="D1776" t="s">
        <v>2372</v>
      </c>
      <c r="E1776" t="s">
        <v>2370</v>
      </c>
      <c r="F1776" t="s">
        <v>2370</v>
      </c>
      <c r="G1776" t="s">
        <v>2371</v>
      </c>
      <c r="H1776" t="s">
        <v>2370</v>
      </c>
    </row>
    <row r="1777" spans="1:8" x14ac:dyDescent="0.35">
      <c r="A1777" t="s">
        <v>584</v>
      </c>
      <c r="B1777">
        <v>20.234999999999999</v>
      </c>
      <c r="C1777">
        <v>5.19</v>
      </c>
      <c r="D1777" t="s">
        <v>2370</v>
      </c>
      <c r="E1777" t="s">
        <v>2370</v>
      </c>
      <c r="F1777" t="s">
        <v>2373</v>
      </c>
      <c r="G1777">
        <v>1</v>
      </c>
      <c r="H1777" t="s">
        <v>2370</v>
      </c>
    </row>
    <row r="1778" spans="1:8" x14ac:dyDescent="0.35">
      <c r="A1778" t="s">
        <v>583</v>
      </c>
      <c r="B1778">
        <v>25.27</v>
      </c>
      <c r="C1778">
        <v>5.7</v>
      </c>
      <c r="D1778" t="s">
        <v>2372</v>
      </c>
      <c r="E1778" t="s">
        <v>2370</v>
      </c>
      <c r="F1778" t="s">
        <v>2370</v>
      </c>
      <c r="G1778">
        <v>1</v>
      </c>
      <c r="H1778" t="s">
        <v>2370</v>
      </c>
    </row>
    <row r="1779" spans="1:8" x14ac:dyDescent="0.35">
      <c r="A1779" t="s">
        <v>582</v>
      </c>
      <c r="B1779">
        <v>24.24</v>
      </c>
      <c r="C1779">
        <v>6.15</v>
      </c>
      <c r="D1779" t="s">
        <v>2370</v>
      </c>
      <c r="E1779" t="s">
        <v>2370</v>
      </c>
      <c r="F1779" t="s">
        <v>2370</v>
      </c>
      <c r="G1779" t="s">
        <v>2371</v>
      </c>
      <c r="H1779" t="s">
        <v>2370</v>
      </c>
    </row>
    <row r="1780" spans="1:8" x14ac:dyDescent="0.35">
      <c r="A1780" t="s">
        <v>581</v>
      </c>
      <c r="B1780">
        <v>35.75</v>
      </c>
      <c r="C1780">
        <v>5.07</v>
      </c>
      <c r="D1780" t="s">
        <v>2370</v>
      </c>
      <c r="E1780" t="s">
        <v>2370</v>
      </c>
      <c r="F1780" t="s">
        <v>2370</v>
      </c>
      <c r="G1780" t="s">
        <v>2371</v>
      </c>
      <c r="H1780" t="s">
        <v>2370</v>
      </c>
    </row>
    <row r="1781" spans="1:8" x14ac:dyDescent="0.35">
      <c r="A1781" t="s">
        <v>580</v>
      </c>
      <c r="B1781">
        <v>29.92</v>
      </c>
      <c r="C1781">
        <v>10.97</v>
      </c>
      <c r="D1781" t="s">
        <v>2372</v>
      </c>
      <c r="E1781" t="s">
        <v>2370</v>
      </c>
      <c r="F1781" t="s">
        <v>2370</v>
      </c>
      <c r="G1781">
        <v>1</v>
      </c>
      <c r="H1781" t="s">
        <v>2370</v>
      </c>
    </row>
    <row r="1782" spans="1:8" x14ac:dyDescent="0.35">
      <c r="A1782" t="s">
        <v>579</v>
      </c>
      <c r="B1782">
        <v>26.2</v>
      </c>
      <c r="C1782">
        <v>10.93</v>
      </c>
      <c r="D1782" t="s">
        <v>2372</v>
      </c>
      <c r="E1782" t="s">
        <v>2370</v>
      </c>
      <c r="F1782" t="s">
        <v>2370</v>
      </c>
      <c r="G1782">
        <v>1</v>
      </c>
      <c r="H1782" t="s">
        <v>2370</v>
      </c>
    </row>
    <row r="1783" spans="1:8" x14ac:dyDescent="0.35">
      <c r="A1783" t="s">
        <v>578</v>
      </c>
      <c r="B1783">
        <v>26.695</v>
      </c>
      <c r="C1783">
        <v>4.21</v>
      </c>
      <c r="D1783" t="s">
        <v>2372</v>
      </c>
      <c r="E1783" t="s">
        <v>2370</v>
      </c>
      <c r="F1783" t="s">
        <v>2373</v>
      </c>
      <c r="G1783">
        <v>1</v>
      </c>
      <c r="H1783" t="s">
        <v>2370</v>
      </c>
    </row>
    <row r="1784" spans="1:8" x14ac:dyDescent="0.35">
      <c r="A1784" t="s">
        <v>577</v>
      </c>
      <c r="B1784">
        <v>23.16</v>
      </c>
      <c r="C1784">
        <v>5.5</v>
      </c>
      <c r="D1784" t="s">
        <v>2370</v>
      </c>
      <c r="E1784" t="s">
        <v>2370</v>
      </c>
      <c r="F1784" t="s">
        <v>2370</v>
      </c>
      <c r="G1784" t="s">
        <v>2371</v>
      </c>
      <c r="H1784" t="s">
        <v>2370</v>
      </c>
    </row>
    <row r="1785" spans="1:8" x14ac:dyDescent="0.35">
      <c r="A1785" t="s">
        <v>576</v>
      </c>
      <c r="B1785">
        <v>32.585000000000001</v>
      </c>
      <c r="C1785">
        <v>4.93</v>
      </c>
      <c r="D1785" t="s">
        <v>2372</v>
      </c>
      <c r="E1785" t="s">
        <v>2370</v>
      </c>
      <c r="F1785" t="s">
        <v>2370</v>
      </c>
      <c r="G1785">
        <v>1</v>
      </c>
      <c r="H1785" t="s">
        <v>2370</v>
      </c>
    </row>
    <row r="1786" spans="1:8" x14ac:dyDescent="0.35">
      <c r="A1786" t="s">
        <v>575</v>
      </c>
      <c r="B1786">
        <v>33.97</v>
      </c>
      <c r="C1786">
        <v>5.6</v>
      </c>
      <c r="D1786" t="s">
        <v>2372</v>
      </c>
      <c r="E1786" t="s">
        <v>2370</v>
      </c>
      <c r="F1786" t="s">
        <v>2370</v>
      </c>
      <c r="G1786" t="s">
        <v>2371</v>
      </c>
      <c r="H1786" t="s">
        <v>2370</v>
      </c>
    </row>
    <row r="1787" spans="1:8" x14ac:dyDescent="0.35">
      <c r="A1787" t="s">
        <v>574</v>
      </c>
      <c r="B1787">
        <v>16.57</v>
      </c>
      <c r="C1787">
        <v>9.99</v>
      </c>
      <c r="D1787" t="s">
        <v>2370</v>
      </c>
      <c r="E1787" t="s">
        <v>2370</v>
      </c>
      <c r="F1787" t="s">
        <v>2370</v>
      </c>
      <c r="G1787" t="s">
        <v>2371</v>
      </c>
      <c r="H1787" t="s">
        <v>2370</v>
      </c>
    </row>
    <row r="1788" spans="1:8" x14ac:dyDescent="0.35">
      <c r="A1788" t="s">
        <v>573</v>
      </c>
      <c r="B1788">
        <v>17.55</v>
      </c>
      <c r="C1788">
        <v>5.93</v>
      </c>
      <c r="D1788" t="s">
        <v>2370</v>
      </c>
      <c r="E1788" t="s">
        <v>2370</v>
      </c>
      <c r="F1788" t="s">
        <v>2373</v>
      </c>
      <c r="G1788">
        <v>1</v>
      </c>
      <c r="H1788" t="s">
        <v>2370</v>
      </c>
    </row>
    <row r="1789" spans="1:8" x14ac:dyDescent="0.35">
      <c r="A1789" t="s">
        <v>572</v>
      </c>
      <c r="B1789">
        <v>29.41</v>
      </c>
      <c r="C1789">
        <v>6.29</v>
      </c>
      <c r="D1789" t="s">
        <v>2372</v>
      </c>
      <c r="E1789" t="s">
        <v>2370</v>
      </c>
      <c r="F1789" t="s">
        <v>2370</v>
      </c>
      <c r="G1789">
        <v>1</v>
      </c>
      <c r="H1789" t="s">
        <v>2370</v>
      </c>
    </row>
    <row r="1790" spans="1:8" x14ac:dyDescent="0.35">
      <c r="A1790" t="s">
        <v>571</v>
      </c>
      <c r="B1790">
        <v>17.91</v>
      </c>
      <c r="C1790">
        <v>5.65</v>
      </c>
      <c r="D1790" t="s">
        <v>2370</v>
      </c>
      <c r="E1790" t="s">
        <v>2370</v>
      </c>
      <c r="F1790" t="s">
        <v>2370</v>
      </c>
      <c r="G1790">
        <v>1</v>
      </c>
      <c r="H1790" t="s">
        <v>2370</v>
      </c>
    </row>
    <row r="1791" spans="1:8" x14ac:dyDescent="0.35">
      <c r="A1791" t="s">
        <v>570</v>
      </c>
      <c r="B1791">
        <v>31.57</v>
      </c>
      <c r="C1791">
        <v>6.15</v>
      </c>
      <c r="D1791" t="s">
        <v>2370</v>
      </c>
      <c r="E1791" t="s">
        <v>2370</v>
      </c>
      <c r="F1791" t="s">
        <v>2370</v>
      </c>
      <c r="G1791">
        <v>1</v>
      </c>
      <c r="H1791" t="s">
        <v>2370</v>
      </c>
    </row>
    <row r="1792" spans="1:8" x14ac:dyDescent="0.35">
      <c r="A1792" t="s">
        <v>569</v>
      </c>
      <c r="B1792">
        <v>33.18</v>
      </c>
      <c r="C1792">
        <v>5.22</v>
      </c>
      <c r="D1792" t="s">
        <v>2370</v>
      </c>
      <c r="E1792" t="s">
        <v>2372</v>
      </c>
      <c r="F1792" t="s">
        <v>2370</v>
      </c>
      <c r="G1792">
        <v>1</v>
      </c>
      <c r="H1792" t="s">
        <v>2370</v>
      </c>
    </row>
    <row r="1793" spans="1:8" x14ac:dyDescent="0.35">
      <c r="A1793" t="s">
        <v>568</v>
      </c>
      <c r="B1793">
        <v>37</v>
      </c>
      <c r="C1793">
        <v>11.66</v>
      </c>
      <c r="D1793" t="s">
        <v>2370</v>
      </c>
      <c r="E1793" t="s">
        <v>2370</v>
      </c>
      <c r="F1793" t="s">
        <v>2370</v>
      </c>
      <c r="G1793" t="s">
        <v>2371</v>
      </c>
      <c r="H1793" t="s">
        <v>2370</v>
      </c>
    </row>
    <row r="1794" spans="1:8" x14ac:dyDescent="0.35">
      <c r="A1794" t="s">
        <v>567</v>
      </c>
      <c r="B1794">
        <v>18.905000000000001</v>
      </c>
      <c r="C1794">
        <v>4.91</v>
      </c>
      <c r="D1794" t="s">
        <v>2372</v>
      </c>
      <c r="E1794" t="s">
        <v>2370</v>
      </c>
      <c r="F1794" t="s">
        <v>2370</v>
      </c>
      <c r="G1794">
        <v>1</v>
      </c>
      <c r="H1794" t="s">
        <v>2370</v>
      </c>
    </row>
    <row r="1795" spans="1:8" x14ac:dyDescent="0.35">
      <c r="A1795" t="s">
        <v>566</v>
      </c>
      <c r="B1795">
        <v>20.03</v>
      </c>
      <c r="C1795">
        <v>9.25</v>
      </c>
      <c r="D1795" t="s">
        <v>2372</v>
      </c>
      <c r="E1795" t="s">
        <v>2370</v>
      </c>
      <c r="F1795" t="s">
        <v>2370</v>
      </c>
      <c r="G1795" t="s">
        <v>2371</v>
      </c>
      <c r="H1795" t="s">
        <v>2370</v>
      </c>
    </row>
    <row r="1796" spans="1:8" x14ac:dyDescent="0.35">
      <c r="A1796" t="s">
        <v>565</v>
      </c>
      <c r="B1796">
        <v>16.7</v>
      </c>
      <c r="C1796">
        <v>11.48</v>
      </c>
      <c r="D1796" t="s">
        <v>2370</v>
      </c>
      <c r="E1796" t="s">
        <v>2370</v>
      </c>
      <c r="F1796" t="s">
        <v>2370</v>
      </c>
      <c r="G1796" t="s">
        <v>2371</v>
      </c>
      <c r="H1796" t="s">
        <v>2370</v>
      </c>
    </row>
    <row r="1797" spans="1:8" x14ac:dyDescent="0.35">
      <c r="A1797" t="s">
        <v>564</v>
      </c>
      <c r="B1797">
        <v>39.82</v>
      </c>
      <c r="C1797">
        <v>6.06</v>
      </c>
      <c r="D1797" t="s">
        <v>2370</v>
      </c>
      <c r="E1797" t="s">
        <v>2370</v>
      </c>
      <c r="F1797" t="s">
        <v>2370</v>
      </c>
      <c r="G1797" t="s">
        <v>2371</v>
      </c>
      <c r="H1797" t="s">
        <v>2370</v>
      </c>
    </row>
    <row r="1798" spans="1:8" x14ac:dyDescent="0.35">
      <c r="A1798" t="s">
        <v>563</v>
      </c>
      <c r="B1798">
        <v>22.04</v>
      </c>
      <c r="C1798">
        <v>5.86</v>
      </c>
      <c r="D1798" t="s">
        <v>2370</v>
      </c>
      <c r="E1798" t="s">
        <v>2370</v>
      </c>
      <c r="F1798" t="s">
        <v>2370</v>
      </c>
      <c r="G1798">
        <v>1</v>
      </c>
      <c r="H1798" t="s">
        <v>2370</v>
      </c>
    </row>
    <row r="1799" spans="1:8" x14ac:dyDescent="0.35">
      <c r="A1799" t="s">
        <v>562</v>
      </c>
      <c r="B1799">
        <v>28.27</v>
      </c>
      <c r="C1799">
        <v>5.33</v>
      </c>
      <c r="D1799" t="s">
        <v>2370</v>
      </c>
      <c r="E1799" t="s">
        <v>2370</v>
      </c>
      <c r="F1799" t="s">
        <v>2370</v>
      </c>
      <c r="G1799" t="s">
        <v>2371</v>
      </c>
      <c r="H1799" t="s">
        <v>2370</v>
      </c>
    </row>
    <row r="1800" spans="1:8" x14ac:dyDescent="0.35">
      <c r="A1800" t="s">
        <v>561</v>
      </c>
      <c r="B1800">
        <v>18.5</v>
      </c>
      <c r="C1800">
        <v>5.33</v>
      </c>
      <c r="D1800" t="s">
        <v>2370</v>
      </c>
      <c r="E1800" t="s">
        <v>2370</v>
      </c>
      <c r="F1800" t="s">
        <v>2370</v>
      </c>
      <c r="G1800" t="s">
        <v>2371</v>
      </c>
      <c r="H1800" t="s">
        <v>2370</v>
      </c>
    </row>
    <row r="1801" spans="1:8" x14ac:dyDescent="0.35">
      <c r="A1801" t="s">
        <v>560</v>
      </c>
      <c r="B1801">
        <v>38.6</v>
      </c>
      <c r="C1801">
        <v>6.02</v>
      </c>
      <c r="D1801" t="s">
        <v>2370</v>
      </c>
      <c r="E1801" t="s">
        <v>2370</v>
      </c>
      <c r="F1801" t="s">
        <v>2370</v>
      </c>
      <c r="G1801">
        <v>1</v>
      </c>
      <c r="H1801" t="s">
        <v>2370</v>
      </c>
    </row>
    <row r="1802" spans="1:8" x14ac:dyDescent="0.35">
      <c r="A1802" t="s">
        <v>559</v>
      </c>
      <c r="B1802">
        <v>43.12</v>
      </c>
      <c r="C1802">
        <v>6.25</v>
      </c>
      <c r="D1802" t="s">
        <v>2370</v>
      </c>
      <c r="E1802" t="s">
        <v>2370</v>
      </c>
      <c r="F1802" t="s">
        <v>2370</v>
      </c>
      <c r="G1802">
        <v>1</v>
      </c>
      <c r="H1802" t="s">
        <v>2370</v>
      </c>
    </row>
    <row r="1803" spans="1:8" x14ac:dyDescent="0.35">
      <c r="A1803" t="s">
        <v>558</v>
      </c>
      <c r="B1803">
        <v>30.5</v>
      </c>
      <c r="C1803">
        <v>4.8099999999999996</v>
      </c>
      <c r="D1803" t="s">
        <v>2370</v>
      </c>
      <c r="E1803" t="s">
        <v>2370</v>
      </c>
      <c r="F1803" t="s">
        <v>2370</v>
      </c>
      <c r="G1803">
        <v>1</v>
      </c>
      <c r="H1803" t="s">
        <v>2370</v>
      </c>
    </row>
    <row r="1804" spans="1:8" x14ac:dyDescent="0.35">
      <c r="A1804" t="s">
        <v>557</v>
      </c>
      <c r="B1804">
        <v>27.61</v>
      </c>
      <c r="C1804">
        <v>4.5999999999999996</v>
      </c>
      <c r="D1804" t="s">
        <v>2370</v>
      </c>
      <c r="E1804" t="s">
        <v>2370</v>
      </c>
      <c r="F1804" t="s">
        <v>2370</v>
      </c>
      <c r="G1804">
        <v>1</v>
      </c>
      <c r="H1804" t="s">
        <v>2370</v>
      </c>
    </row>
    <row r="1805" spans="1:8" x14ac:dyDescent="0.35">
      <c r="A1805" t="s">
        <v>556</v>
      </c>
      <c r="B1805">
        <v>27.1</v>
      </c>
      <c r="C1805">
        <v>5.08</v>
      </c>
      <c r="D1805" t="s">
        <v>2370</v>
      </c>
      <c r="E1805" t="s">
        <v>2370</v>
      </c>
      <c r="F1805" t="s">
        <v>2370</v>
      </c>
      <c r="G1805">
        <v>1</v>
      </c>
      <c r="H1805" t="s">
        <v>2370</v>
      </c>
    </row>
    <row r="1806" spans="1:8" x14ac:dyDescent="0.35">
      <c r="A1806" t="s">
        <v>555</v>
      </c>
      <c r="B1806">
        <v>35.93</v>
      </c>
      <c r="C1806">
        <v>5.43</v>
      </c>
      <c r="D1806" t="s">
        <v>2370</v>
      </c>
      <c r="E1806" t="s">
        <v>2372</v>
      </c>
      <c r="F1806" t="s">
        <v>2370</v>
      </c>
      <c r="G1806">
        <v>1</v>
      </c>
      <c r="H1806" t="s">
        <v>2370</v>
      </c>
    </row>
    <row r="1807" spans="1:8" x14ac:dyDescent="0.35">
      <c r="A1807" t="s">
        <v>554</v>
      </c>
      <c r="B1807">
        <v>32.68</v>
      </c>
      <c r="C1807">
        <v>5.44</v>
      </c>
      <c r="D1807" t="s">
        <v>2370</v>
      </c>
      <c r="E1807" t="s">
        <v>2370</v>
      </c>
      <c r="F1807" t="s">
        <v>2370</v>
      </c>
      <c r="G1807" t="s">
        <v>2371</v>
      </c>
      <c r="H1807" t="s">
        <v>2370</v>
      </c>
    </row>
    <row r="1808" spans="1:8" x14ac:dyDescent="0.35">
      <c r="A1808" t="s">
        <v>553</v>
      </c>
      <c r="B1808">
        <v>20.74</v>
      </c>
      <c r="C1808">
        <v>11.69</v>
      </c>
      <c r="D1808" t="s">
        <v>2372</v>
      </c>
      <c r="E1808" t="s">
        <v>2370</v>
      </c>
      <c r="F1808" t="s">
        <v>2370</v>
      </c>
      <c r="G1808">
        <v>1</v>
      </c>
      <c r="H1808" t="s">
        <v>2370</v>
      </c>
    </row>
    <row r="1809" spans="1:8" x14ac:dyDescent="0.35">
      <c r="A1809" t="s">
        <v>552</v>
      </c>
      <c r="B1809">
        <v>15.57</v>
      </c>
      <c r="C1809">
        <v>6.07</v>
      </c>
      <c r="D1809" t="s">
        <v>2370</v>
      </c>
      <c r="E1809" t="s">
        <v>2370</v>
      </c>
      <c r="F1809" t="s">
        <v>2370</v>
      </c>
      <c r="G1809" t="s">
        <v>2371</v>
      </c>
      <c r="H1809" t="s">
        <v>2370</v>
      </c>
    </row>
    <row r="1810" spans="1:8" x14ac:dyDescent="0.35">
      <c r="A1810" t="s">
        <v>551</v>
      </c>
      <c r="B1810">
        <v>23.844999999999999</v>
      </c>
      <c r="C1810">
        <v>4.3600000000000003</v>
      </c>
      <c r="D1810" t="s">
        <v>2370</v>
      </c>
      <c r="E1810" t="s">
        <v>2370</v>
      </c>
      <c r="F1810" t="s">
        <v>2370</v>
      </c>
      <c r="G1810" t="s">
        <v>2371</v>
      </c>
      <c r="H1810" t="s">
        <v>2370</v>
      </c>
    </row>
    <row r="1811" spans="1:8" x14ac:dyDescent="0.35">
      <c r="A1811" t="s">
        <v>550</v>
      </c>
      <c r="B1811">
        <v>22.895</v>
      </c>
      <c r="C1811">
        <v>5.24</v>
      </c>
      <c r="D1811" t="s">
        <v>2370</v>
      </c>
      <c r="E1811" t="s">
        <v>2370</v>
      </c>
      <c r="F1811" t="s">
        <v>2370</v>
      </c>
      <c r="G1811">
        <v>1</v>
      </c>
      <c r="H1811" t="s">
        <v>2370</v>
      </c>
    </row>
    <row r="1812" spans="1:8" x14ac:dyDescent="0.35">
      <c r="A1812" t="s">
        <v>549</v>
      </c>
      <c r="B1812">
        <v>21.945</v>
      </c>
      <c r="C1812">
        <v>5.37</v>
      </c>
      <c r="D1812" t="s">
        <v>2370</v>
      </c>
      <c r="E1812" t="s">
        <v>2370</v>
      </c>
      <c r="F1812" t="s">
        <v>2370</v>
      </c>
      <c r="G1812">
        <v>1</v>
      </c>
      <c r="H1812" t="s">
        <v>2370</v>
      </c>
    </row>
    <row r="1813" spans="1:8" x14ac:dyDescent="0.35">
      <c r="A1813" t="s">
        <v>548</v>
      </c>
      <c r="B1813">
        <v>19.47</v>
      </c>
      <c r="C1813">
        <v>6.6</v>
      </c>
      <c r="D1813" t="s">
        <v>2372</v>
      </c>
      <c r="E1813" t="s">
        <v>2370</v>
      </c>
      <c r="F1813" t="s">
        <v>2370</v>
      </c>
      <c r="G1813" t="s">
        <v>2371</v>
      </c>
      <c r="H1813" t="s">
        <v>2370</v>
      </c>
    </row>
    <row r="1814" spans="1:8" x14ac:dyDescent="0.35">
      <c r="A1814" t="s">
        <v>547</v>
      </c>
      <c r="B1814">
        <v>15.61</v>
      </c>
      <c r="C1814">
        <v>5.77</v>
      </c>
      <c r="D1814" t="s">
        <v>2370</v>
      </c>
      <c r="E1814" t="s">
        <v>2370</v>
      </c>
      <c r="F1814" t="s">
        <v>2370</v>
      </c>
      <c r="G1814" t="s">
        <v>2371</v>
      </c>
      <c r="H1814" t="s">
        <v>2370</v>
      </c>
    </row>
    <row r="1815" spans="1:8" x14ac:dyDescent="0.35">
      <c r="A1815" t="s">
        <v>546</v>
      </c>
      <c r="B1815">
        <v>28.6</v>
      </c>
      <c r="C1815">
        <v>6.08</v>
      </c>
      <c r="D1815" t="s">
        <v>2370</v>
      </c>
      <c r="E1815" t="s">
        <v>2370</v>
      </c>
      <c r="F1815" t="s">
        <v>2373</v>
      </c>
      <c r="G1815">
        <v>1</v>
      </c>
      <c r="H1815" t="s">
        <v>2370</v>
      </c>
    </row>
    <row r="1816" spans="1:8" x14ac:dyDescent="0.35">
      <c r="A1816" t="s">
        <v>545</v>
      </c>
      <c r="B1816">
        <v>46.53</v>
      </c>
      <c r="C1816">
        <v>4.16</v>
      </c>
      <c r="D1816" t="s">
        <v>2370</v>
      </c>
      <c r="E1816" t="s">
        <v>2370</v>
      </c>
      <c r="F1816" t="s">
        <v>2370</v>
      </c>
      <c r="G1816" t="s">
        <v>2371</v>
      </c>
      <c r="H1816" t="s">
        <v>2370</v>
      </c>
    </row>
    <row r="1817" spans="1:8" x14ac:dyDescent="0.35">
      <c r="A1817" t="s">
        <v>544</v>
      </c>
      <c r="B1817">
        <v>34.99</v>
      </c>
      <c r="C1817">
        <v>5.0999999999999996</v>
      </c>
      <c r="D1817" t="s">
        <v>2370</v>
      </c>
      <c r="E1817" t="s">
        <v>2370</v>
      </c>
      <c r="F1817" t="s">
        <v>2373</v>
      </c>
      <c r="G1817">
        <v>1</v>
      </c>
      <c r="H1817" t="s">
        <v>2370</v>
      </c>
    </row>
    <row r="1818" spans="1:8" x14ac:dyDescent="0.35">
      <c r="A1818" t="s">
        <v>543</v>
      </c>
      <c r="B1818">
        <v>17.05</v>
      </c>
      <c r="C1818">
        <v>5.3</v>
      </c>
      <c r="D1818" t="s">
        <v>2370</v>
      </c>
      <c r="E1818" t="s">
        <v>2370</v>
      </c>
      <c r="F1818" t="s">
        <v>2373</v>
      </c>
      <c r="G1818">
        <v>1</v>
      </c>
      <c r="H1818" t="s">
        <v>2370</v>
      </c>
    </row>
    <row r="1819" spans="1:8" x14ac:dyDescent="0.35">
      <c r="A1819" t="s">
        <v>542</v>
      </c>
      <c r="B1819">
        <v>37.18</v>
      </c>
      <c r="C1819">
        <v>4.9000000000000004</v>
      </c>
      <c r="D1819" t="s">
        <v>2370</v>
      </c>
      <c r="E1819" t="s">
        <v>2370</v>
      </c>
      <c r="F1819" t="s">
        <v>2370</v>
      </c>
      <c r="G1819" t="s">
        <v>2371</v>
      </c>
      <c r="H1819" t="s">
        <v>2370</v>
      </c>
    </row>
    <row r="1820" spans="1:8" x14ac:dyDescent="0.35">
      <c r="A1820" t="s">
        <v>541</v>
      </c>
      <c r="B1820">
        <v>35.200000000000003</v>
      </c>
      <c r="C1820">
        <v>5.55</v>
      </c>
      <c r="D1820" t="s">
        <v>2370</v>
      </c>
      <c r="E1820" t="s">
        <v>2370</v>
      </c>
      <c r="F1820" t="s">
        <v>2370</v>
      </c>
      <c r="G1820" t="s">
        <v>2371</v>
      </c>
      <c r="H1820" t="s">
        <v>2370</v>
      </c>
    </row>
    <row r="1821" spans="1:8" x14ac:dyDescent="0.35">
      <c r="A1821" t="s">
        <v>540</v>
      </c>
      <c r="B1821">
        <v>37.335000000000001</v>
      </c>
      <c r="C1821">
        <v>4.95</v>
      </c>
      <c r="D1821" t="s">
        <v>2370</v>
      </c>
      <c r="E1821" t="s">
        <v>2370</v>
      </c>
      <c r="F1821" t="s">
        <v>2370</v>
      </c>
      <c r="G1821" t="s">
        <v>2371</v>
      </c>
      <c r="H1821" t="s">
        <v>2370</v>
      </c>
    </row>
    <row r="1822" spans="1:8" x14ac:dyDescent="0.35">
      <c r="A1822" t="s">
        <v>539</v>
      </c>
      <c r="B1822">
        <v>27.265000000000001</v>
      </c>
      <c r="C1822">
        <v>6.46</v>
      </c>
      <c r="D1822" t="s">
        <v>2372</v>
      </c>
      <c r="E1822" t="s">
        <v>2370</v>
      </c>
      <c r="F1822" t="s">
        <v>2370</v>
      </c>
      <c r="G1822" t="s">
        <v>2371</v>
      </c>
      <c r="H1822" t="s">
        <v>2370</v>
      </c>
    </row>
    <row r="1823" spans="1:8" x14ac:dyDescent="0.35">
      <c r="A1823" t="s">
        <v>538</v>
      </c>
      <c r="B1823">
        <v>30.8</v>
      </c>
      <c r="C1823">
        <v>4.9000000000000004</v>
      </c>
      <c r="D1823" t="s">
        <v>2372</v>
      </c>
      <c r="E1823" t="s">
        <v>2370</v>
      </c>
      <c r="F1823" t="s">
        <v>2370</v>
      </c>
      <c r="G1823" t="s">
        <v>2371</v>
      </c>
      <c r="H1823" t="s">
        <v>2370</v>
      </c>
    </row>
    <row r="1824" spans="1:8" x14ac:dyDescent="0.35">
      <c r="A1824" t="s">
        <v>537</v>
      </c>
      <c r="B1824">
        <v>30.21</v>
      </c>
      <c r="C1824">
        <v>5.21</v>
      </c>
      <c r="D1824" t="s">
        <v>2370</v>
      </c>
      <c r="E1824" t="s">
        <v>2370</v>
      </c>
      <c r="F1824" t="s">
        <v>2370</v>
      </c>
      <c r="G1824">
        <v>1</v>
      </c>
      <c r="H1824" t="s">
        <v>2370</v>
      </c>
    </row>
    <row r="1825" spans="1:8" x14ac:dyDescent="0.35">
      <c r="A1825" t="s">
        <v>536</v>
      </c>
      <c r="B1825">
        <v>35.340000000000003</v>
      </c>
      <c r="C1825">
        <v>4.13</v>
      </c>
      <c r="D1825" t="s">
        <v>2370</v>
      </c>
      <c r="E1825" t="s">
        <v>2372</v>
      </c>
      <c r="F1825" t="s">
        <v>2370</v>
      </c>
      <c r="G1825">
        <v>1</v>
      </c>
      <c r="H1825" t="s">
        <v>2370</v>
      </c>
    </row>
    <row r="1826" spans="1:8" x14ac:dyDescent="0.35">
      <c r="A1826" t="s">
        <v>535</v>
      </c>
      <c r="B1826">
        <v>26.695</v>
      </c>
      <c r="C1826">
        <v>5.28</v>
      </c>
      <c r="D1826" t="s">
        <v>2370</v>
      </c>
      <c r="E1826" t="s">
        <v>2370</v>
      </c>
      <c r="F1826" t="s">
        <v>2370</v>
      </c>
      <c r="G1826" t="s">
        <v>2371</v>
      </c>
      <c r="H1826" t="s">
        <v>2370</v>
      </c>
    </row>
    <row r="1827" spans="1:8" x14ac:dyDescent="0.35">
      <c r="A1827" t="s">
        <v>534</v>
      </c>
      <c r="B1827">
        <v>29.355</v>
      </c>
      <c r="C1827">
        <v>4.68</v>
      </c>
      <c r="D1827" t="s">
        <v>2372</v>
      </c>
      <c r="E1827" t="s">
        <v>2370</v>
      </c>
      <c r="F1827" t="s">
        <v>2370</v>
      </c>
      <c r="G1827" t="s">
        <v>2371</v>
      </c>
      <c r="H1827" t="s">
        <v>2370</v>
      </c>
    </row>
    <row r="1828" spans="1:8" x14ac:dyDescent="0.35">
      <c r="A1828" t="s">
        <v>533</v>
      </c>
      <c r="B1828">
        <v>29.59</v>
      </c>
      <c r="C1828">
        <v>4.0599999999999996</v>
      </c>
      <c r="D1828" t="s">
        <v>2370</v>
      </c>
      <c r="E1828" t="s">
        <v>2370</v>
      </c>
      <c r="F1828" t="s">
        <v>2370</v>
      </c>
      <c r="G1828" t="s">
        <v>2371</v>
      </c>
      <c r="H1828" t="s">
        <v>2370</v>
      </c>
    </row>
    <row r="1829" spans="1:8" x14ac:dyDescent="0.35">
      <c r="A1829" t="s">
        <v>532</v>
      </c>
      <c r="B1829">
        <v>31.35</v>
      </c>
      <c r="C1829">
        <v>4.2</v>
      </c>
      <c r="D1829" t="s">
        <v>2370</v>
      </c>
      <c r="E1829" t="s">
        <v>2372</v>
      </c>
      <c r="F1829" t="s">
        <v>2370</v>
      </c>
      <c r="G1829">
        <v>1</v>
      </c>
      <c r="H1829" t="s">
        <v>2370</v>
      </c>
    </row>
    <row r="1830" spans="1:8" x14ac:dyDescent="0.35">
      <c r="A1830" t="s">
        <v>531</v>
      </c>
      <c r="B1830">
        <v>20.52</v>
      </c>
      <c r="C1830">
        <v>4.83</v>
      </c>
      <c r="D1830" t="s">
        <v>2370</v>
      </c>
      <c r="E1830" t="s">
        <v>2370</v>
      </c>
      <c r="F1830" t="s">
        <v>2370</v>
      </c>
      <c r="G1830" t="s">
        <v>2371</v>
      </c>
      <c r="H1830" t="s">
        <v>2370</v>
      </c>
    </row>
    <row r="1831" spans="1:8" x14ac:dyDescent="0.35">
      <c r="A1831" t="s">
        <v>530</v>
      </c>
      <c r="B1831">
        <v>42.9</v>
      </c>
      <c r="C1831">
        <v>4.87</v>
      </c>
      <c r="D1831" t="s">
        <v>2372</v>
      </c>
      <c r="E1831" t="s">
        <v>2370</v>
      </c>
      <c r="F1831" t="s">
        <v>2370</v>
      </c>
      <c r="G1831">
        <v>1</v>
      </c>
      <c r="H1831" t="s">
        <v>2370</v>
      </c>
    </row>
    <row r="1832" spans="1:8" x14ac:dyDescent="0.35">
      <c r="A1832" t="s">
        <v>529</v>
      </c>
      <c r="B1832">
        <v>24.6</v>
      </c>
      <c r="C1832">
        <v>5.86</v>
      </c>
      <c r="D1832" t="s">
        <v>2370</v>
      </c>
      <c r="E1832" t="s">
        <v>2370</v>
      </c>
      <c r="F1832" t="s">
        <v>2373</v>
      </c>
      <c r="G1832">
        <v>1</v>
      </c>
      <c r="H1832" t="s">
        <v>2370</v>
      </c>
    </row>
    <row r="1833" spans="1:8" x14ac:dyDescent="0.35">
      <c r="A1833" t="s">
        <v>528</v>
      </c>
      <c r="B1833">
        <v>28.405000000000001</v>
      </c>
      <c r="C1833">
        <v>4.12</v>
      </c>
      <c r="D1833" t="s">
        <v>2370</v>
      </c>
      <c r="E1833" t="s">
        <v>2370</v>
      </c>
      <c r="F1833" t="s">
        <v>2370</v>
      </c>
      <c r="G1833">
        <v>1</v>
      </c>
      <c r="H1833" t="s">
        <v>2370</v>
      </c>
    </row>
    <row r="1834" spans="1:8" x14ac:dyDescent="0.35">
      <c r="A1834" t="s">
        <v>527</v>
      </c>
      <c r="B1834">
        <v>34.674999999999997</v>
      </c>
      <c r="C1834">
        <v>5.71</v>
      </c>
      <c r="D1834" t="s">
        <v>2372</v>
      </c>
      <c r="E1834" t="s">
        <v>2370</v>
      </c>
      <c r="F1834" t="s">
        <v>2370</v>
      </c>
      <c r="G1834">
        <v>1</v>
      </c>
      <c r="H1834" t="s">
        <v>2370</v>
      </c>
    </row>
    <row r="1835" spans="1:8" x14ac:dyDescent="0.35">
      <c r="A1835" t="s">
        <v>526</v>
      </c>
      <c r="B1835">
        <v>18.850000000000001</v>
      </c>
      <c r="C1835">
        <v>6.03</v>
      </c>
      <c r="D1835" t="s">
        <v>2370</v>
      </c>
      <c r="E1835" t="s">
        <v>2370</v>
      </c>
      <c r="F1835" t="s">
        <v>2370</v>
      </c>
      <c r="G1835">
        <v>1</v>
      </c>
      <c r="H1835" t="s">
        <v>2370</v>
      </c>
    </row>
    <row r="1836" spans="1:8" x14ac:dyDescent="0.35">
      <c r="A1836" t="s">
        <v>524</v>
      </c>
      <c r="B1836">
        <v>34.130000000000003</v>
      </c>
      <c r="C1836">
        <v>5.65</v>
      </c>
      <c r="D1836" t="s">
        <v>2370</v>
      </c>
      <c r="E1836" t="s">
        <v>2370</v>
      </c>
      <c r="F1836" t="s">
        <v>2373</v>
      </c>
      <c r="G1836">
        <v>1</v>
      </c>
      <c r="H1836" t="s">
        <v>2370</v>
      </c>
    </row>
    <row r="1837" spans="1:8" x14ac:dyDescent="0.35">
      <c r="A1837" t="s">
        <v>523</v>
      </c>
      <c r="B1837">
        <v>17.34</v>
      </c>
      <c r="C1837">
        <v>5.05</v>
      </c>
      <c r="D1837" t="s">
        <v>2370</v>
      </c>
      <c r="E1837" t="s">
        <v>2370</v>
      </c>
      <c r="F1837" t="s">
        <v>2370</v>
      </c>
      <c r="G1837" t="s">
        <v>2371</v>
      </c>
      <c r="H1837" t="s">
        <v>2370</v>
      </c>
    </row>
    <row r="1838" spans="1:8" x14ac:dyDescent="0.35">
      <c r="A1838" t="s">
        <v>522</v>
      </c>
      <c r="B1838">
        <v>17.440000000000001</v>
      </c>
      <c r="C1838">
        <v>6.26</v>
      </c>
      <c r="D1838" t="s">
        <v>2370</v>
      </c>
      <c r="E1838" t="s">
        <v>2370</v>
      </c>
      <c r="F1838" t="s">
        <v>2370</v>
      </c>
      <c r="G1838" t="s">
        <v>2371</v>
      </c>
      <c r="H1838" t="s">
        <v>2370</v>
      </c>
    </row>
    <row r="1839" spans="1:8" x14ac:dyDescent="0.35">
      <c r="A1839" t="s">
        <v>521</v>
      </c>
      <c r="B1839">
        <v>33.659999999999997</v>
      </c>
      <c r="C1839">
        <v>4.08</v>
      </c>
      <c r="D1839" t="s">
        <v>2372</v>
      </c>
      <c r="E1839" t="s">
        <v>2370</v>
      </c>
      <c r="F1839" t="s">
        <v>2373</v>
      </c>
      <c r="G1839">
        <v>1</v>
      </c>
      <c r="H1839" t="s">
        <v>2370</v>
      </c>
    </row>
    <row r="1840" spans="1:8" x14ac:dyDescent="0.35">
      <c r="A1840" t="s">
        <v>520</v>
      </c>
      <c r="B1840">
        <v>21.375</v>
      </c>
      <c r="C1840">
        <v>6.19</v>
      </c>
      <c r="D1840" t="s">
        <v>2372</v>
      </c>
      <c r="E1840" t="s">
        <v>2370</v>
      </c>
      <c r="F1840" t="s">
        <v>2370</v>
      </c>
      <c r="G1840">
        <v>1</v>
      </c>
      <c r="H1840" t="s">
        <v>2370</v>
      </c>
    </row>
    <row r="1841" spans="1:8" x14ac:dyDescent="0.35">
      <c r="A1841" t="s">
        <v>519</v>
      </c>
      <c r="B1841">
        <v>27.14</v>
      </c>
      <c r="C1841">
        <v>6.01</v>
      </c>
      <c r="D1841" t="s">
        <v>2370</v>
      </c>
      <c r="E1841" t="s">
        <v>2370</v>
      </c>
      <c r="F1841" t="s">
        <v>2370</v>
      </c>
      <c r="G1841">
        <v>1</v>
      </c>
      <c r="H1841" t="s">
        <v>2370</v>
      </c>
    </row>
    <row r="1842" spans="1:8" x14ac:dyDescent="0.35">
      <c r="A1842" t="s">
        <v>518</v>
      </c>
      <c r="B1842">
        <v>35.78</v>
      </c>
      <c r="C1842">
        <v>6.07</v>
      </c>
      <c r="D1842" t="s">
        <v>2370</v>
      </c>
      <c r="E1842" t="s">
        <v>2372</v>
      </c>
      <c r="F1842" t="s">
        <v>2370</v>
      </c>
      <c r="G1842">
        <v>1</v>
      </c>
      <c r="H1842" t="s">
        <v>2370</v>
      </c>
    </row>
    <row r="1843" spans="1:8" x14ac:dyDescent="0.35">
      <c r="A1843" t="s">
        <v>517</v>
      </c>
      <c r="B1843">
        <v>34.96</v>
      </c>
      <c r="C1843">
        <v>5.63</v>
      </c>
      <c r="D1843" t="s">
        <v>2370</v>
      </c>
      <c r="E1843" t="s">
        <v>2370</v>
      </c>
      <c r="F1843" t="s">
        <v>2370</v>
      </c>
      <c r="G1843" t="s">
        <v>2371</v>
      </c>
      <c r="H1843" t="s">
        <v>2370</v>
      </c>
    </row>
    <row r="1844" spans="1:8" x14ac:dyDescent="0.35">
      <c r="A1844" t="s">
        <v>516</v>
      </c>
      <c r="B1844">
        <v>38.39</v>
      </c>
      <c r="C1844">
        <v>6.05</v>
      </c>
      <c r="D1844" t="s">
        <v>2370</v>
      </c>
      <c r="E1844" t="s">
        <v>2370</v>
      </c>
      <c r="F1844" t="s">
        <v>2370</v>
      </c>
      <c r="G1844" t="s">
        <v>2371</v>
      </c>
      <c r="H1844" t="s">
        <v>2370</v>
      </c>
    </row>
    <row r="1845" spans="1:8" x14ac:dyDescent="0.35">
      <c r="A1845" t="s">
        <v>515</v>
      </c>
      <c r="B1845">
        <v>33.82</v>
      </c>
      <c r="C1845">
        <v>4.6500000000000004</v>
      </c>
      <c r="D1845" t="s">
        <v>2370</v>
      </c>
      <c r="E1845" t="s">
        <v>2370</v>
      </c>
      <c r="F1845" t="s">
        <v>2370</v>
      </c>
      <c r="G1845" t="s">
        <v>2371</v>
      </c>
      <c r="H1845" t="s">
        <v>2370</v>
      </c>
    </row>
    <row r="1846" spans="1:8" x14ac:dyDescent="0.35">
      <c r="A1846" t="s">
        <v>514</v>
      </c>
      <c r="B1846">
        <v>27.835000000000001</v>
      </c>
      <c r="C1846">
        <v>5.37</v>
      </c>
      <c r="D1846" t="s">
        <v>2370</v>
      </c>
      <c r="E1846" t="s">
        <v>2370</v>
      </c>
      <c r="F1846" t="s">
        <v>2370</v>
      </c>
      <c r="G1846" t="s">
        <v>2371</v>
      </c>
      <c r="H1846" t="s">
        <v>2370</v>
      </c>
    </row>
    <row r="1847" spans="1:8" x14ac:dyDescent="0.35">
      <c r="A1847" t="s">
        <v>513</v>
      </c>
      <c r="B1847">
        <v>33</v>
      </c>
      <c r="C1847">
        <v>5.39</v>
      </c>
      <c r="D1847" t="s">
        <v>2370</v>
      </c>
      <c r="E1847" t="s">
        <v>2370</v>
      </c>
      <c r="F1847" t="s">
        <v>2370</v>
      </c>
      <c r="G1847" t="s">
        <v>2371</v>
      </c>
      <c r="H1847" t="s">
        <v>2370</v>
      </c>
    </row>
    <row r="1848" spans="1:8" x14ac:dyDescent="0.35">
      <c r="A1848" t="s">
        <v>512</v>
      </c>
      <c r="B1848">
        <v>26.885000000000002</v>
      </c>
      <c r="C1848">
        <v>5.86</v>
      </c>
      <c r="D1848" t="s">
        <v>2370</v>
      </c>
      <c r="E1848" t="s">
        <v>2370</v>
      </c>
      <c r="F1848" t="s">
        <v>2370</v>
      </c>
      <c r="G1848" t="s">
        <v>2371</v>
      </c>
      <c r="H1848" t="s">
        <v>2370</v>
      </c>
    </row>
    <row r="1849" spans="1:8" x14ac:dyDescent="0.35">
      <c r="A1849" t="s">
        <v>511</v>
      </c>
      <c r="B1849">
        <v>29.26</v>
      </c>
      <c r="C1849">
        <v>4.4400000000000004</v>
      </c>
      <c r="D1849" t="s">
        <v>2370</v>
      </c>
      <c r="E1849" t="s">
        <v>2370</v>
      </c>
      <c r="F1849" t="s">
        <v>2370</v>
      </c>
      <c r="G1849" t="s">
        <v>2371</v>
      </c>
      <c r="H1849" t="s">
        <v>2370</v>
      </c>
    </row>
    <row r="1850" spans="1:8" x14ac:dyDescent="0.35">
      <c r="A1850" t="s">
        <v>510</v>
      </c>
      <c r="B1850">
        <v>26.98</v>
      </c>
      <c r="C1850">
        <v>4.41</v>
      </c>
      <c r="D1850" t="s">
        <v>2370</v>
      </c>
      <c r="E1850" t="s">
        <v>2370</v>
      </c>
      <c r="F1850" t="s">
        <v>2370</v>
      </c>
      <c r="G1850" t="s">
        <v>2371</v>
      </c>
      <c r="H1850" t="s">
        <v>2370</v>
      </c>
    </row>
    <row r="1851" spans="1:8" x14ac:dyDescent="0.35">
      <c r="A1851" t="s">
        <v>509</v>
      </c>
      <c r="B1851">
        <v>32.11</v>
      </c>
      <c r="C1851">
        <v>5.19</v>
      </c>
      <c r="D1851" t="s">
        <v>2370</v>
      </c>
      <c r="E1851" t="s">
        <v>2370</v>
      </c>
      <c r="F1851" t="s">
        <v>2373</v>
      </c>
      <c r="G1851">
        <v>1</v>
      </c>
      <c r="H1851" t="s">
        <v>2370</v>
      </c>
    </row>
    <row r="1852" spans="1:8" x14ac:dyDescent="0.35">
      <c r="A1852" t="s">
        <v>508</v>
      </c>
      <c r="B1852">
        <v>31.73</v>
      </c>
      <c r="C1852">
        <v>5.16</v>
      </c>
      <c r="D1852" t="s">
        <v>2370</v>
      </c>
      <c r="E1852" t="s">
        <v>2370</v>
      </c>
      <c r="F1852" t="s">
        <v>2373</v>
      </c>
      <c r="G1852">
        <v>1</v>
      </c>
      <c r="H1852" t="s">
        <v>2370</v>
      </c>
    </row>
    <row r="1853" spans="1:8" x14ac:dyDescent="0.35">
      <c r="A1853" t="s">
        <v>507</v>
      </c>
      <c r="B1853">
        <v>22.515000000000001</v>
      </c>
      <c r="C1853">
        <v>4.24</v>
      </c>
      <c r="D1853" t="s">
        <v>2370</v>
      </c>
      <c r="E1853" t="s">
        <v>2370</v>
      </c>
      <c r="F1853" t="s">
        <v>2370</v>
      </c>
      <c r="G1853" t="s">
        <v>2371</v>
      </c>
      <c r="H1853" t="s">
        <v>2370</v>
      </c>
    </row>
    <row r="1854" spans="1:8" x14ac:dyDescent="0.35">
      <c r="A1854" t="s">
        <v>505</v>
      </c>
      <c r="B1854">
        <v>25.9</v>
      </c>
      <c r="C1854">
        <v>5.45</v>
      </c>
      <c r="D1854" t="s">
        <v>2370</v>
      </c>
      <c r="E1854" t="s">
        <v>2370</v>
      </c>
      <c r="F1854" t="s">
        <v>2370</v>
      </c>
      <c r="G1854">
        <v>1</v>
      </c>
      <c r="H1854" t="s">
        <v>2370</v>
      </c>
    </row>
    <row r="1855" spans="1:8" x14ac:dyDescent="0.35">
      <c r="A1855" t="s">
        <v>504</v>
      </c>
      <c r="B1855">
        <v>27.72</v>
      </c>
      <c r="C1855">
        <v>5.03</v>
      </c>
      <c r="D1855" t="s">
        <v>2372</v>
      </c>
      <c r="E1855" t="s">
        <v>2370</v>
      </c>
      <c r="F1855" t="s">
        <v>2370</v>
      </c>
      <c r="G1855">
        <v>1</v>
      </c>
      <c r="H1855" t="s">
        <v>2370</v>
      </c>
    </row>
    <row r="1856" spans="1:8" x14ac:dyDescent="0.35">
      <c r="A1856" t="s">
        <v>503</v>
      </c>
      <c r="B1856">
        <v>31.5</v>
      </c>
      <c r="C1856">
        <v>9.6199999999999992</v>
      </c>
      <c r="D1856" t="s">
        <v>2372</v>
      </c>
      <c r="E1856" t="s">
        <v>2370</v>
      </c>
      <c r="F1856" t="s">
        <v>2370</v>
      </c>
      <c r="G1856">
        <v>1</v>
      </c>
      <c r="H1856" t="s">
        <v>2370</v>
      </c>
    </row>
    <row r="1857" spans="1:8" x14ac:dyDescent="0.35">
      <c r="A1857" t="s">
        <v>502</v>
      </c>
      <c r="B1857">
        <v>29.7</v>
      </c>
      <c r="C1857">
        <v>6.77</v>
      </c>
      <c r="D1857" t="s">
        <v>2372</v>
      </c>
      <c r="E1857" t="s">
        <v>2370</v>
      </c>
      <c r="F1857" t="s">
        <v>2370</v>
      </c>
      <c r="G1857">
        <v>1</v>
      </c>
      <c r="H1857" t="s">
        <v>2370</v>
      </c>
    </row>
    <row r="1858" spans="1:8" x14ac:dyDescent="0.35">
      <c r="A1858" t="s">
        <v>501</v>
      </c>
      <c r="B1858">
        <v>21.26</v>
      </c>
      <c r="C1858">
        <v>5.36</v>
      </c>
      <c r="D1858" t="s">
        <v>2372</v>
      </c>
      <c r="E1858" t="s">
        <v>2370</v>
      </c>
      <c r="F1858" t="s">
        <v>2370</v>
      </c>
      <c r="G1858">
        <v>1</v>
      </c>
      <c r="H1858" t="s">
        <v>2370</v>
      </c>
    </row>
    <row r="1859" spans="1:8" x14ac:dyDescent="0.35">
      <c r="A1859" t="s">
        <v>500</v>
      </c>
      <c r="B1859">
        <v>17.09</v>
      </c>
      <c r="C1859">
        <v>5.69</v>
      </c>
      <c r="D1859" t="s">
        <v>2370</v>
      </c>
      <c r="E1859" t="s">
        <v>2370</v>
      </c>
      <c r="F1859" t="s">
        <v>2370</v>
      </c>
      <c r="G1859" t="s">
        <v>2371</v>
      </c>
      <c r="H1859" t="s">
        <v>2370</v>
      </c>
    </row>
    <row r="1860" spans="1:8" x14ac:dyDescent="0.35">
      <c r="A1860" t="s">
        <v>499</v>
      </c>
      <c r="B1860">
        <v>24.3</v>
      </c>
      <c r="C1860">
        <v>4.9000000000000004</v>
      </c>
      <c r="D1860" t="s">
        <v>2372</v>
      </c>
      <c r="E1860" t="s">
        <v>2370</v>
      </c>
      <c r="F1860" t="s">
        <v>2373</v>
      </c>
      <c r="G1860">
        <v>1</v>
      </c>
      <c r="H1860" t="s">
        <v>2370</v>
      </c>
    </row>
    <row r="1861" spans="1:8" x14ac:dyDescent="0.35">
      <c r="A1861" t="s">
        <v>498</v>
      </c>
      <c r="B1861">
        <v>29.734999999999999</v>
      </c>
      <c r="C1861">
        <v>5.78</v>
      </c>
      <c r="D1861" t="s">
        <v>2370</v>
      </c>
      <c r="E1861" t="s">
        <v>2370</v>
      </c>
      <c r="F1861" t="s">
        <v>2370</v>
      </c>
      <c r="G1861" t="s">
        <v>2371</v>
      </c>
      <c r="H1861" t="s">
        <v>2370</v>
      </c>
    </row>
    <row r="1862" spans="1:8" x14ac:dyDescent="0.35">
      <c r="A1862" t="s">
        <v>497</v>
      </c>
      <c r="B1862">
        <v>29.26</v>
      </c>
      <c r="C1862">
        <v>4.7</v>
      </c>
      <c r="D1862" t="s">
        <v>2370</v>
      </c>
      <c r="E1862" t="s">
        <v>2370</v>
      </c>
      <c r="F1862" t="s">
        <v>2370</v>
      </c>
      <c r="G1862" t="s">
        <v>2371</v>
      </c>
      <c r="H1862" t="s">
        <v>2370</v>
      </c>
    </row>
    <row r="1863" spans="1:8" x14ac:dyDescent="0.35">
      <c r="A1863" t="s">
        <v>496</v>
      </c>
      <c r="B1863">
        <v>33</v>
      </c>
      <c r="C1863">
        <v>6.28</v>
      </c>
      <c r="D1863" t="s">
        <v>2370</v>
      </c>
      <c r="E1863" t="s">
        <v>2370</v>
      </c>
      <c r="F1863" t="s">
        <v>2370</v>
      </c>
      <c r="G1863" t="s">
        <v>2371</v>
      </c>
      <c r="H1863" t="s">
        <v>2370</v>
      </c>
    </row>
    <row r="1864" spans="1:8" x14ac:dyDescent="0.35">
      <c r="A1864" t="s">
        <v>495</v>
      </c>
      <c r="B1864">
        <v>31.065000000000001</v>
      </c>
      <c r="C1864">
        <v>4.2300000000000004</v>
      </c>
      <c r="D1864" t="s">
        <v>2370</v>
      </c>
      <c r="E1864" t="s">
        <v>2370</v>
      </c>
      <c r="F1864" t="s">
        <v>2370</v>
      </c>
      <c r="G1864" t="s">
        <v>2371</v>
      </c>
      <c r="H1864" t="s">
        <v>2370</v>
      </c>
    </row>
    <row r="1865" spans="1:8" x14ac:dyDescent="0.35">
      <c r="A1865" t="s">
        <v>494</v>
      </c>
      <c r="B1865">
        <v>26.51</v>
      </c>
      <c r="C1865">
        <v>6.17</v>
      </c>
      <c r="D1865" t="s">
        <v>2370</v>
      </c>
      <c r="E1865" t="s">
        <v>2370</v>
      </c>
      <c r="F1865" t="s">
        <v>2370</v>
      </c>
      <c r="G1865" t="s">
        <v>2371</v>
      </c>
      <c r="H1865" t="s">
        <v>2370</v>
      </c>
    </row>
    <row r="1866" spans="1:8" x14ac:dyDescent="0.35">
      <c r="A1866" t="s">
        <v>493</v>
      </c>
      <c r="B1866">
        <v>28.88</v>
      </c>
      <c r="C1866">
        <v>4.96</v>
      </c>
      <c r="D1866" t="s">
        <v>2370</v>
      </c>
      <c r="E1866" t="s">
        <v>2370</v>
      </c>
      <c r="F1866" t="s">
        <v>2370</v>
      </c>
      <c r="G1866" t="s">
        <v>2371</v>
      </c>
      <c r="H1866" t="s">
        <v>2370</v>
      </c>
    </row>
    <row r="1867" spans="1:8" x14ac:dyDescent="0.35">
      <c r="A1867" t="s">
        <v>492</v>
      </c>
      <c r="B1867">
        <v>35.814999999999998</v>
      </c>
      <c r="C1867">
        <v>5.1100000000000003</v>
      </c>
      <c r="D1867" t="s">
        <v>2372</v>
      </c>
      <c r="E1867" t="s">
        <v>2370</v>
      </c>
      <c r="F1867" t="s">
        <v>2370</v>
      </c>
      <c r="G1867">
        <v>1</v>
      </c>
      <c r="H1867" t="s">
        <v>2370</v>
      </c>
    </row>
    <row r="1868" spans="1:8" x14ac:dyDescent="0.35">
      <c r="A1868" t="s">
        <v>491</v>
      </c>
      <c r="B1868">
        <v>21.28</v>
      </c>
      <c r="C1868">
        <v>4.05</v>
      </c>
      <c r="D1868" t="s">
        <v>2370</v>
      </c>
      <c r="E1868" t="s">
        <v>2372</v>
      </c>
      <c r="F1868" t="s">
        <v>2370</v>
      </c>
      <c r="G1868">
        <v>1</v>
      </c>
      <c r="H1868" t="s">
        <v>2370</v>
      </c>
    </row>
    <row r="1869" spans="1:8" x14ac:dyDescent="0.35">
      <c r="A1869" t="s">
        <v>490</v>
      </c>
      <c r="B1869">
        <v>33.81</v>
      </c>
      <c r="C1869">
        <v>6.49</v>
      </c>
      <c r="D1869" t="s">
        <v>2370</v>
      </c>
      <c r="E1869" t="s">
        <v>2370</v>
      </c>
      <c r="F1869" t="s">
        <v>2373</v>
      </c>
      <c r="G1869">
        <v>1</v>
      </c>
      <c r="H1869" t="s">
        <v>2370</v>
      </c>
    </row>
    <row r="1870" spans="1:8" x14ac:dyDescent="0.35">
      <c r="A1870" t="s">
        <v>489</v>
      </c>
      <c r="B1870">
        <v>44.22</v>
      </c>
      <c r="C1870">
        <v>4.1900000000000004</v>
      </c>
      <c r="D1870" t="s">
        <v>2370</v>
      </c>
      <c r="E1870" t="s">
        <v>2370</v>
      </c>
      <c r="F1870" t="s">
        <v>2370</v>
      </c>
      <c r="G1870">
        <v>1</v>
      </c>
      <c r="H1870" t="s">
        <v>2370</v>
      </c>
    </row>
    <row r="1871" spans="1:8" x14ac:dyDescent="0.35">
      <c r="A1871" t="s">
        <v>488</v>
      </c>
      <c r="B1871">
        <v>15.46</v>
      </c>
      <c r="C1871">
        <v>4.99</v>
      </c>
      <c r="D1871" t="s">
        <v>2372</v>
      </c>
      <c r="E1871" t="s">
        <v>2370</v>
      </c>
      <c r="F1871" t="s">
        <v>2373</v>
      </c>
      <c r="G1871">
        <v>1</v>
      </c>
      <c r="H1871" t="s">
        <v>2370</v>
      </c>
    </row>
    <row r="1872" spans="1:8" x14ac:dyDescent="0.35">
      <c r="A1872" t="s">
        <v>487</v>
      </c>
      <c r="B1872">
        <v>30.3</v>
      </c>
      <c r="C1872">
        <v>4.7699999999999996</v>
      </c>
      <c r="D1872" t="s">
        <v>2372</v>
      </c>
      <c r="E1872" t="s">
        <v>2370</v>
      </c>
      <c r="F1872" t="s">
        <v>2370</v>
      </c>
      <c r="G1872">
        <v>1</v>
      </c>
      <c r="H1872" t="s">
        <v>2370</v>
      </c>
    </row>
    <row r="1873" spans="1:8" x14ac:dyDescent="0.35">
      <c r="A1873" t="s">
        <v>486</v>
      </c>
      <c r="B1873">
        <v>16.670000000000002</v>
      </c>
      <c r="C1873">
        <v>5.46</v>
      </c>
      <c r="D1873" t="s">
        <v>2370</v>
      </c>
      <c r="E1873" t="s">
        <v>2370</v>
      </c>
      <c r="F1873" t="s">
        <v>2370</v>
      </c>
      <c r="G1873" t="s">
        <v>2371</v>
      </c>
      <c r="H1873" t="s">
        <v>2370</v>
      </c>
    </row>
    <row r="1874" spans="1:8" x14ac:dyDescent="0.35">
      <c r="A1874" t="s">
        <v>485</v>
      </c>
      <c r="B1874">
        <v>28.594999999999999</v>
      </c>
      <c r="C1874">
        <v>5.43</v>
      </c>
      <c r="D1874" t="s">
        <v>2370</v>
      </c>
      <c r="E1874" t="s">
        <v>2370</v>
      </c>
      <c r="F1874" t="s">
        <v>2370</v>
      </c>
      <c r="G1874" t="s">
        <v>2371</v>
      </c>
      <c r="H1874" t="s">
        <v>2370</v>
      </c>
    </row>
    <row r="1875" spans="1:8" x14ac:dyDescent="0.35">
      <c r="A1875" t="s">
        <v>484</v>
      </c>
      <c r="B1875">
        <v>25.934999999999999</v>
      </c>
      <c r="C1875">
        <v>4.29</v>
      </c>
      <c r="D1875" t="s">
        <v>2370</v>
      </c>
      <c r="E1875" t="s">
        <v>2370</v>
      </c>
      <c r="F1875" t="s">
        <v>2370</v>
      </c>
      <c r="G1875" t="s">
        <v>2371</v>
      </c>
      <c r="H1875" t="s">
        <v>2370</v>
      </c>
    </row>
    <row r="1876" spans="1:8" x14ac:dyDescent="0.35">
      <c r="A1876" t="s">
        <v>483</v>
      </c>
      <c r="B1876">
        <v>27.645</v>
      </c>
      <c r="C1876">
        <v>5.25</v>
      </c>
      <c r="D1876" t="s">
        <v>2370</v>
      </c>
      <c r="E1876" t="s">
        <v>2370</v>
      </c>
      <c r="F1876" t="s">
        <v>2370</v>
      </c>
      <c r="G1876">
        <v>1</v>
      </c>
      <c r="H1876" t="s">
        <v>2370</v>
      </c>
    </row>
    <row r="1877" spans="1:8" x14ac:dyDescent="0.35">
      <c r="A1877" t="s">
        <v>482</v>
      </c>
      <c r="B1877">
        <v>30.1</v>
      </c>
      <c r="C1877">
        <v>4.04</v>
      </c>
      <c r="D1877" t="s">
        <v>2370</v>
      </c>
      <c r="E1877" t="s">
        <v>2370</v>
      </c>
      <c r="F1877" t="s">
        <v>2370</v>
      </c>
      <c r="G1877">
        <v>1</v>
      </c>
      <c r="H1877" t="s">
        <v>2370</v>
      </c>
    </row>
    <row r="1878" spans="1:8" x14ac:dyDescent="0.35">
      <c r="A1878" t="s">
        <v>481</v>
      </c>
      <c r="B1878">
        <v>26.79</v>
      </c>
      <c r="C1878">
        <v>5</v>
      </c>
      <c r="D1878" t="s">
        <v>2372</v>
      </c>
      <c r="E1878" t="s">
        <v>2370</v>
      </c>
      <c r="F1878" t="s">
        <v>2373</v>
      </c>
      <c r="G1878">
        <v>1</v>
      </c>
      <c r="H1878" t="s">
        <v>2370</v>
      </c>
    </row>
    <row r="1879" spans="1:8" x14ac:dyDescent="0.35">
      <c r="A1879" t="s">
        <v>480</v>
      </c>
      <c r="B1879">
        <v>27.1</v>
      </c>
      <c r="C1879">
        <v>4.01</v>
      </c>
      <c r="D1879" t="s">
        <v>2372</v>
      </c>
      <c r="E1879" t="s">
        <v>2370</v>
      </c>
      <c r="F1879" t="s">
        <v>2370</v>
      </c>
      <c r="G1879">
        <v>1</v>
      </c>
      <c r="H1879" t="s">
        <v>2370</v>
      </c>
    </row>
    <row r="1880" spans="1:8" x14ac:dyDescent="0.35">
      <c r="A1880" t="s">
        <v>479</v>
      </c>
      <c r="B1880">
        <v>24.31</v>
      </c>
      <c r="C1880">
        <v>5.4</v>
      </c>
      <c r="D1880" t="s">
        <v>2370</v>
      </c>
      <c r="E1880" t="s">
        <v>2370</v>
      </c>
      <c r="F1880" t="s">
        <v>2370</v>
      </c>
      <c r="G1880" t="s">
        <v>2371</v>
      </c>
      <c r="H1880" t="s">
        <v>2370</v>
      </c>
    </row>
    <row r="1881" spans="1:8" x14ac:dyDescent="0.35">
      <c r="A1881" t="s">
        <v>478</v>
      </c>
      <c r="B1881">
        <v>15.53</v>
      </c>
      <c r="C1881">
        <v>5.81</v>
      </c>
      <c r="D1881" t="s">
        <v>2370</v>
      </c>
      <c r="E1881" t="s">
        <v>2370</v>
      </c>
      <c r="F1881" t="s">
        <v>2370</v>
      </c>
      <c r="G1881">
        <v>1</v>
      </c>
      <c r="H1881" t="s">
        <v>2370</v>
      </c>
    </row>
    <row r="1882" spans="1:8" x14ac:dyDescent="0.35">
      <c r="A1882" t="s">
        <v>477</v>
      </c>
      <c r="B1882">
        <v>30.7</v>
      </c>
      <c r="C1882">
        <v>5.82</v>
      </c>
      <c r="D1882" t="s">
        <v>2370</v>
      </c>
      <c r="E1882" t="s">
        <v>2370</v>
      </c>
      <c r="F1882" t="s">
        <v>2370</v>
      </c>
      <c r="G1882">
        <v>1</v>
      </c>
      <c r="H1882" t="s">
        <v>2370</v>
      </c>
    </row>
    <row r="1883" spans="1:8" x14ac:dyDescent="0.35">
      <c r="A1883" t="s">
        <v>476</v>
      </c>
      <c r="B1883">
        <v>33.33</v>
      </c>
      <c r="C1883">
        <v>4.82</v>
      </c>
      <c r="D1883" t="s">
        <v>2370</v>
      </c>
      <c r="E1883" t="s">
        <v>2370</v>
      </c>
      <c r="F1883" t="s">
        <v>2370</v>
      </c>
      <c r="G1883">
        <v>1</v>
      </c>
      <c r="H1883" t="s">
        <v>2370</v>
      </c>
    </row>
    <row r="1884" spans="1:8" x14ac:dyDescent="0.35">
      <c r="A1884" t="s">
        <v>475</v>
      </c>
      <c r="B1884">
        <v>32.4</v>
      </c>
      <c r="C1884">
        <v>5.08</v>
      </c>
      <c r="D1884" t="s">
        <v>2370</v>
      </c>
      <c r="E1884" t="s">
        <v>2370</v>
      </c>
      <c r="F1884" t="s">
        <v>2370</v>
      </c>
      <c r="G1884">
        <v>1</v>
      </c>
      <c r="H1884" t="s">
        <v>2370</v>
      </c>
    </row>
    <row r="1885" spans="1:8" x14ac:dyDescent="0.35">
      <c r="A1885" t="s">
        <v>474</v>
      </c>
      <c r="B1885">
        <v>27.93</v>
      </c>
      <c r="C1885">
        <v>5.59</v>
      </c>
      <c r="D1885" t="s">
        <v>2370</v>
      </c>
      <c r="E1885" t="s">
        <v>2370</v>
      </c>
      <c r="F1885" t="s">
        <v>2370</v>
      </c>
      <c r="G1885">
        <v>1</v>
      </c>
      <c r="H1885" t="s">
        <v>2370</v>
      </c>
    </row>
    <row r="1886" spans="1:8" x14ac:dyDescent="0.35">
      <c r="A1886" t="s">
        <v>473</v>
      </c>
      <c r="B1886">
        <v>21.754999999999999</v>
      </c>
      <c r="C1886">
        <v>5.12</v>
      </c>
      <c r="D1886" t="s">
        <v>2370</v>
      </c>
      <c r="E1886" t="s">
        <v>2370</v>
      </c>
      <c r="F1886" t="s">
        <v>2370</v>
      </c>
      <c r="G1886" t="s">
        <v>2371</v>
      </c>
      <c r="H1886" t="s">
        <v>2370</v>
      </c>
    </row>
    <row r="1887" spans="1:8" x14ac:dyDescent="0.35">
      <c r="A1887" t="s">
        <v>472</v>
      </c>
      <c r="B1887">
        <v>25.934999999999999</v>
      </c>
      <c r="C1887">
        <v>4.95</v>
      </c>
      <c r="D1887" t="s">
        <v>2370</v>
      </c>
      <c r="E1887" t="s">
        <v>2370</v>
      </c>
      <c r="F1887" t="s">
        <v>2370</v>
      </c>
      <c r="G1887" t="s">
        <v>2371</v>
      </c>
      <c r="H1887" t="s">
        <v>2370</v>
      </c>
    </row>
    <row r="1888" spans="1:8" x14ac:dyDescent="0.35">
      <c r="A1888" t="s">
        <v>471</v>
      </c>
      <c r="B1888">
        <v>31.5</v>
      </c>
      <c r="C1888">
        <v>6.16</v>
      </c>
      <c r="D1888" t="s">
        <v>2370</v>
      </c>
      <c r="E1888" t="s">
        <v>2370</v>
      </c>
      <c r="F1888" t="s">
        <v>2370</v>
      </c>
      <c r="G1888" t="s">
        <v>2371</v>
      </c>
      <c r="H1888" t="s">
        <v>2370</v>
      </c>
    </row>
    <row r="1889" spans="1:8" x14ac:dyDescent="0.35">
      <c r="A1889" t="s">
        <v>470</v>
      </c>
      <c r="B1889">
        <v>30.03</v>
      </c>
      <c r="C1889">
        <v>6.41</v>
      </c>
      <c r="D1889" t="s">
        <v>2370</v>
      </c>
      <c r="E1889" t="s">
        <v>2370</v>
      </c>
      <c r="F1889" t="s">
        <v>2370</v>
      </c>
      <c r="G1889" t="s">
        <v>2371</v>
      </c>
      <c r="H1889" t="s">
        <v>2370</v>
      </c>
    </row>
    <row r="1890" spans="1:8" x14ac:dyDescent="0.35">
      <c r="A1890" t="s">
        <v>469</v>
      </c>
      <c r="B1890">
        <v>33.479999999999997</v>
      </c>
      <c r="C1890">
        <v>8.94</v>
      </c>
      <c r="D1890" t="s">
        <v>2370</v>
      </c>
      <c r="E1890" t="s">
        <v>2370</v>
      </c>
      <c r="F1890" t="s">
        <v>2370</v>
      </c>
      <c r="G1890" t="s">
        <v>2371</v>
      </c>
      <c r="H1890" t="s">
        <v>2370</v>
      </c>
    </row>
    <row r="1891" spans="1:8" x14ac:dyDescent="0.35">
      <c r="A1891" t="s">
        <v>468</v>
      </c>
      <c r="B1891">
        <v>16.510000000000002</v>
      </c>
      <c r="C1891">
        <v>4.42</v>
      </c>
      <c r="D1891" t="s">
        <v>2372</v>
      </c>
      <c r="E1891" t="s">
        <v>2370</v>
      </c>
      <c r="F1891" t="s">
        <v>2373</v>
      </c>
      <c r="G1891">
        <v>1</v>
      </c>
      <c r="H1891" t="s">
        <v>2370</v>
      </c>
    </row>
    <row r="1892" spans="1:8" x14ac:dyDescent="0.35">
      <c r="A1892" t="s">
        <v>467</v>
      </c>
      <c r="B1892">
        <v>33.155000000000001</v>
      </c>
      <c r="C1892">
        <v>5.3</v>
      </c>
      <c r="D1892" t="s">
        <v>2372</v>
      </c>
      <c r="E1892" t="s">
        <v>2370</v>
      </c>
      <c r="F1892" t="s">
        <v>2370</v>
      </c>
      <c r="G1892">
        <v>1</v>
      </c>
      <c r="H1892" t="s">
        <v>2370</v>
      </c>
    </row>
    <row r="1893" spans="1:8" x14ac:dyDescent="0.35">
      <c r="A1893" t="s">
        <v>466</v>
      </c>
      <c r="B1893">
        <v>37.29</v>
      </c>
      <c r="C1893">
        <v>4.6399999999999997</v>
      </c>
      <c r="D1893" t="s">
        <v>2370</v>
      </c>
      <c r="E1893" t="s">
        <v>2370</v>
      </c>
      <c r="F1893" t="s">
        <v>2373</v>
      </c>
      <c r="G1893">
        <v>1</v>
      </c>
      <c r="H1893" t="s">
        <v>2370</v>
      </c>
    </row>
    <row r="1894" spans="1:8" x14ac:dyDescent="0.35">
      <c r="A1894" t="s">
        <v>465</v>
      </c>
      <c r="B1894">
        <v>20.23</v>
      </c>
      <c r="C1894">
        <v>6.16</v>
      </c>
      <c r="D1894" t="s">
        <v>2372</v>
      </c>
      <c r="E1894" t="s">
        <v>2370</v>
      </c>
      <c r="F1894" t="s">
        <v>2370</v>
      </c>
      <c r="G1894">
        <v>1</v>
      </c>
      <c r="H1894" t="s">
        <v>2370</v>
      </c>
    </row>
    <row r="1895" spans="1:8" x14ac:dyDescent="0.35">
      <c r="A1895" t="s">
        <v>464</v>
      </c>
      <c r="B1895">
        <v>28.975000000000001</v>
      </c>
      <c r="C1895">
        <v>4.12</v>
      </c>
      <c r="D1895" t="s">
        <v>2370</v>
      </c>
      <c r="E1895" t="s">
        <v>2370</v>
      </c>
      <c r="F1895" t="s">
        <v>2373</v>
      </c>
      <c r="G1895">
        <v>1</v>
      </c>
      <c r="H1895" t="s">
        <v>2370</v>
      </c>
    </row>
    <row r="1896" spans="1:8" x14ac:dyDescent="0.35">
      <c r="A1896" t="s">
        <v>463</v>
      </c>
      <c r="B1896">
        <v>16.420000000000002</v>
      </c>
      <c r="C1896">
        <v>5.77</v>
      </c>
      <c r="D1896" t="s">
        <v>2372</v>
      </c>
      <c r="E1896" t="s">
        <v>2370</v>
      </c>
      <c r="F1896" t="s">
        <v>2373</v>
      </c>
      <c r="G1896">
        <v>1</v>
      </c>
      <c r="H1896" t="s">
        <v>2370</v>
      </c>
    </row>
    <row r="1897" spans="1:8" x14ac:dyDescent="0.35">
      <c r="A1897" t="s">
        <v>462</v>
      </c>
      <c r="B1897">
        <v>17.559999999999999</v>
      </c>
      <c r="C1897">
        <v>6.2</v>
      </c>
      <c r="D1897" t="s">
        <v>2370</v>
      </c>
      <c r="E1897" t="s">
        <v>2370</v>
      </c>
      <c r="F1897" t="s">
        <v>2370</v>
      </c>
      <c r="G1897">
        <v>1</v>
      </c>
      <c r="H1897" t="s">
        <v>2370</v>
      </c>
    </row>
    <row r="1898" spans="1:8" x14ac:dyDescent="0.35">
      <c r="A1898" t="s">
        <v>461</v>
      </c>
      <c r="B1898">
        <v>24.13</v>
      </c>
      <c r="C1898">
        <v>4.3899999999999997</v>
      </c>
      <c r="D1898" t="s">
        <v>2370</v>
      </c>
      <c r="E1898" t="s">
        <v>2370</v>
      </c>
      <c r="F1898" t="s">
        <v>2370</v>
      </c>
      <c r="G1898">
        <v>1</v>
      </c>
      <c r="H1898" t="s">
        <v>2370</v>
      </c>
    </row>
    <row r="1899" spans="1:8" x14ac:dyDescent="0.35">
      <c r="A1899" t="s">
        <v>460</v>
      </c>
      <c r="B1899">
        <v>19.95</v>
      </c>
      <c r="C1899">
        <v>5.13</v>
      </c>
      <c r="D1899" t="s">
        <v>2370</v>
      </c>
      <c r="E1899" t="s">
        <v>2372</v>
      </c>
      <c r="F1899" t="s">
        <v>2370</v>
      </c>
      <c r="G1899">
        <v>2</v>
      </c>
      <c r="H1899" t="s">
        <v>2370</v>
      </c>
    </row>
    <row r="1900" spans="1:8" x14ac:dyDescent="0.35">
      <c r="A1900" t="s">
        <v>459</v>
      </c>
      <c r="B1900">
        <v>21.24</v>
      </c>
      <c r="C1900">
        <v>4.49</v>
      </c>
      <c r="D1900" t="s">
        <v>2370</v>
      </c>
      <c r="E1900" t="s">
        <v>2370</v>
      </c>
      <c r="F1900" t="s">
        <v>2370</v>
      </c>
      <c r="G1900" t="s">
        <v>2371</v>
      </c>
      <c r="H1900" t="s">
        <v>2370</v>
      </c>
    </row>
    <row r="1901" spans="1:8" x14ac:dyDescent="0.35">
      <c r="A1901" t="s">
        <v>458</v>
      </c>
      <c r="B1901">
        <v>44.22</v>
      </c>
      <c r="C1901">
        <v>6.35</v>
      </c>
      <c r="D1901" t="s">
        <v>2370</v>
      </c>
      <c r="E1901" t="s">
        <v>2370</v>
      </c>
      <c r="F1901" t="s">
        <v>2370</v>
      </c>
      <c r="G1901" t="s">
        <v>2371</v>
      </c>
      <c r="H1901" t="s">
        <v>2370</v>
      </c>
    </row>
    <row r="1902" spans="1:8" x14ac:dyDescent="0.35">
      <c r="A1902" t="s">
        <v>457</v>
      </c>
      <c r="B1902">
        <v>41.1</v>
      </c>
      <c r="C1902">
        <v>5.79</v>
      </c>
      <c r="D1902" t="s">
        <v>2370</v>
      </c>
      <c r="E1902" t="s">
        <v>2370</v>
      </c>
      <c r="F1902" t="s">
        <v>2370</v>
      </c>
      <c r="G1902" t="s">
        <v>2371</v>
      </c>
      <c r="H1902" t="s">
        <v>2370</v>
      </c>
    </row>
    <row r="1903" spans="1:8" x14ac:dyDescent="0.35">
      <c r="A1903" t="s">
        <v>456</v>
      </c>
      <c r="B1903">
        <v>34.200000000000003</v>
      </c>
      <c r="C1903">
        <v>4.78</v>
      </c>
      <c r="D1903" t="s">
        <v>2372</v>
      </c>
      <c r="E1903" t="s">
        <v>2370</v>
      </c>
      <c r="F1903" t="s">
        <v>2370</v>
      </c>
      <c r="G1903" t="s">
        <v>2371</v>
      </c>
      <c r="H1903" t="s">
        <v>2370</v>
      </c>
    </row>
    <row r="1904" spans="1:8" x14ac:dyDescent="0.35">
      <c r="A1904" t="s">
        <v>455</v>
      </c>
      <c r="B1904">
        <v>29.92</v>
      </c>
      <c r="C1904">
        <v>6.02</v>
      </c>
      <c r="D1904" t="s">
        <v>2372</v>
      </c>
      <c r="E1904" t="s">
        <v>2370</v>
      </c>
      <c r="F1904" t="s">
        <v>2370</v>
      </c>
      <c r="G1904" t="s">
        <v>2371</v>
      </c>
      <c r="H1904" t="s">
        <v>2370</v>
      </c>
    </row>
    <row r="1905" spans="1:8" x14ac:dyDescent="0.35">
      <c r="A1905" t="s">
        <v>454</v>
      </c>
      <c r="B1905">
        <v>28.93</v>
      </c>
      <c r="C1905">
        <v>4.4400000000000004</v>
      </c>
      <c r="D1905" t="s">
        <v>2370</v>
      </c>
      <c r="E1905" t="s">
        <v>2370</v>
      </c>
      <c r="F1905" t="s">
        <v>2370</v>
      </c>
      <c r="G1905" t="s">
        <v>2371</v>
      </c>
      <c r="H1905" t="s">
        <v>2370</v>
      </c>
    </row>
    <row r="1906" spans="1:8" x14ac:dyDescent="0.35">
      <c r="A1906" t="s">
        <v>453</v>
      </c>
      <c r="B1906">
        <v>31.254999999999999</v>
      </c>
      <c r="C1906">
        <v>5.84</v>
      </c>
      <c r="D1906" t="s">
        <v>2372</v>
      </c>
      <c r="E1906" t="s">
        <v>2370</v>
      </c>
      <c r="F1906" t="s">
        <v>2370</v>
      </c>
      <c r="G1906">
        <v>1</v>
      </c>
      <c r="H1906" t="s">
        <v>2370</v>
      </c>
    </row>
    <row r="1907" spans="1:8" x14ac:dyDescent="0.35">
      <c r="A1907" t="s">
        <v>452</v>
      </c>
      <c r="B1907">
        <v>29.83</v>
      </c>
      <c r="C1907">
        <v>5.39</v>
      </c>
      <c r="D1907" t="s">
        <v>2370</v>
      </c>
      <c r="E1907" t="s">
        <v>2370</v>
      </c>
      <c r="F1907" t="s">
        <v>2370</v>
      </c>
      <c r="G1907" t="s">
        <v>2371</v>
      </c>
      <c r="H1907" t="s">
        <v>2370</v>
      </c>
    </row>
    <row r="1908" spans="1:8" x14ac:dyDescent="0.35">
      <c r="A1908" t="s">
        <v>451</v>
      </c>
      <c r="B1908">
        <v>29.59</v>
      </c>
      <c r="C1908">
        <v>6.16</v>
      </c>
      <c r="D1908" t="s">
        <v>2370</v>
      </c>
      <c r="E1908" t="s">
        <v>2370</v>
      </c>
      <c r="F1908" t="s">
        <v>2373</v>
      </c>
      <c r="G1908">
        <v>1</v>
      </c>
      <c r="H1908" t="s">
        <v>2370</v>
      </c>
    </row>
    <row r="1909" spans="1:8" x14ac:dyDescent="0.35">
      <c r="A1909" t="s">
        <v>450</v>
      </c>
      <c r="B1909">
        <v>31.16</v>
      </c>
      <c r="C1909">
        <v>4.49</v>
      </c>
      <c r="D1909" t="s">
        <v>2370</v>
      </c>
      <c r="E1909" t="s">
        <v>2370</v>
      </c>
      <c r="F1909" t="s">
        <v>2373</v>
      </c>
      <c r="G1909">
        <v>1</v>
      </c>
      <c r="H1909" t="s">
        <v>2370</v>
      </c>
    </row>
    <row r="1910" spans="1:8" x14ac:dyDescent="0.35">
      <c r="A1910" t="s">
        <v>449</v>
      </c>
      <c r="B1910">
        <v>34.21</v>
      </c>
      <c r="C1910">
        <v>4.4800000000000004</v>
      </c>
      <c r="D1910" t="s">
        <v>2372</v>
      </c>
      <c r="E1910" t="s">
        <v>2370</v>
      </c>
      <c r="F1910" t="s">
        <v>2370</v>
      </c>
      <c r="G1910">
        <v>1</v>
      </c>
      <c r="H1910" t="s">
        <v>2370</v>
      </c>
    </row>
    <row r="1911" spans="1:8" x14ac:dyDescent="0.35">
      <c r="A1911" t="s">
        <v>448</v>
      </c>
      <c r="B1911">
        <v>34.86</v>
      </c>
      <c r="C1911">
        <v>10.97</v>
      </c>
      <c r="D1911" t="s">
        <v>2370</v>
      </c>
      <c r="E1911" t="s">
        <v>2370</v>
      </c>
      <c r="F1911" t="s">
        <v>2370</v>
      </c>
      <c r="G1911" t="s">
        <v>2371</v>
      </c>
      <c r="H1911" t="s">
        <v>2370</v>
      </c>
    </row>
    <row r="1912" spans="1:8" x14ac:dyDescent="0.35">
      <c r="A1912" t="s">
        <v>447</v>
      </c>
      <c r="B1912">
        <v>34.58</v>
      </c>
      <c r="C1912">
        <v>5.14</v>
      </c>
      <c r="D1912" t="s">
        <v>2370</v>
      </c>
      <c r="E1912" t="s">
        <v>2372</v>
      </c>
      <c r="F1912" t="s">
        <v>2370</v>
      </c>
      <c r="G1912">
        <v>2</v>
      </c>
      <c r="H1912" t="s">
        <v>2370</v>
      </c>
    </row>
    <row r="1913" spans="1:8" x14ac:dyDescent="0.35">
      <c r="A1913" t="s">
        <v>446</v>
      </c>
      <c r="B1913">
        <v>17.940000000000001</v>
      </c>
      <c r="C1913">
        <v>5.17</v>
      </c>
      <c r="D1913" t="s">
        <v>2372</v>
      </c>
      <c r="E1913" t="s">
        <v>2370</v>
      </c>
      <c r="F1913" t="s">
        <v>2370</v>
      </c>
      <c r="G1913" t="s">
        <v>2371</v>
      </c>
      <c r="H1913" t="s">
        <v>2370</v>
      </c>
    </row>
    <row r="1914" spans="1:8" x14ac:dyDescent="0.35">
      <c r="A1914" t="s">
        <v>445</v>
      </c>
      <c r="B1914">
        <v>26.8</v>
      </c>
      <c r="C1914">
        <v>6.18</v>
      </c>
      <c r="D1914" t="s">
        <v>2372</v>
      </c>
      <c r="E1914" t="s">
        <v>2370</v>
      </c>
      <c r="F1914" t="s">
        <v>2373</v>
      </c>
      <c r="G1914">
        <v>1</v>
      </c>
      <c r="H1914" t="s">
        <v>2370</v>
      </c>
    </row>
    <row r="1915" spans="1:8" x14ac:dyDescent="0.35">
      <c r="A1915" t="s">
        <v>444</v>
      </c>
      <c r="B1915">
        <v>17.690000000000001</v>
      </c>
      <c r="C1915">
        <v>9.07</v>
      </c>
      <c r="D1915" t="s">
        <v>2372</v>
      </c>
      <c r="E1915" t="s">
        <v>2370</v>
      </c>
      <c r="F1915" t="s">
        <v>2370</v>
      </c>
      <c r="G1915" t="s">
        <v>2371</v>
      </c>
      <c r="H1915" t="s">
        <v>2370</v>
      </c>
    </row>
    <row r="1916" spans="1:8" x14ac:dyDescent="0.35">
      <c r="A1916" t="s">
        <v>443</v>
      </c>
      <c r="B1916">
        <v>25.77</v>
      </c>
      <c r="C1916">
        <v>4.43</v>
      </c>
      <c r="D1916" t="s">
        <v>2370</v>
      </c>
      <c r="E1916" t="s">
        <v>2370</v>
      </c>
      <c r="F1916" t="s">
        <v>2373</v>
      </c>
      <c r="G1916">
        <v>1</v>
      </c>
      <c r="H1916" t="s">
        <v>2370</v>
      </c>
    </row>
    <row r="1917" spans="1:8" x14ac:dyDescent="0.35">
      <c r="A1917" t="s">
        <v>442</v>
      </c>
      <c r="B1917">
        <v>34.46</v>
      </c>
      <c r="C1917">
        <v>4.17</v>
      </c>
      <c r="D1917" t="s">
        <v>2370</v>
      </c>
      <c r="E1917" t="s">
        <v>2372</v>
      </c>
      <c r="F1917" t="s">
        <v>2370</v>
      </c>
      <c r="G1917">
        <v>1</v>
      </c>
      <c r="H1917" t="s">
        <v>2370</v>
      </c>
    </row>
    <row r="1918" spans="1:8" x14ac:dyDescent="0.35">
      <c r="A1918" t="s">
        <v>441</v>
      </c>
      <c r="B1918">
        <v>30.875</v>
      </c>
      <c r="C1918">
        <v>4.95</v>
      </c>
      <c r="D1918" t="s">
        <v>2372</v>
      </c>
      <c r="E1918" t="s">
        <v>2370</v>
      </c>
      <c r="F1918" t="s">
        <v>2370</v>
      </c>
      <c r="G1918" t="s">
        <v>2371</v>
      </c>
      <c r="H1918" t="s">
        <v>2370</v>
      </c>
    </row>
    <row r="1919" spans="1:8" x14ac:dyDescent="0.35">
      <c r="A1919" t="s">
        <v>440</v>
      </c>
      <c r="B1919">
        <v>39.49</v>
      </c>
      <c r="C1919">
        <v>5.13</v>
      </c>
      <c r="D1919" t="s">
        <v>2370</v>
      </c>
      <c r="E1919" t="s">
        <v>2370</v>
      </c>
      <c r="F1919" t="s">
        <v>2370</v>
      </c>
      <c r="G1919" t="s">
        <v>2371</v>
      </c>
      <c r="H1919" t="s">
        <v>2370</v>
      </c>
    </row>
    <row r="1920" spans="1:8" x14ac:dyDescent="0.35">
      <c r="A1920" t="s">
        <v>439</v>
      </c>
      <c r="B1920">
        <v>28.88</v>
      </c>
      <c r="C1920">
        <v>4.0999999999999996</v>
      </c>
      <c r="D1920" t="s">
        <v>2370</v>
      </c>
      <c r="E1920" t="s">
        <v>2370</v>
      </c>
      <c r="F1920" t="s">
        <v>2370</v>
      </c>
      <c r="G1920" t="s">
        <v>2371</v>
      </c>
      <c r="H1920" t="s">
        <v>2370</v>
      </c>
    </row>
    <row r="1921" spans="1:8" x14ac:dyDescent="0.35">
      <c r="A1921" t="s">
        <v>438</v>
      </c>
      <c r="B1921">
        <v>20.234999999999999</v>
      </c>
      <c r="C1921">
        <v>5.01</v>
      </c>
      <c r="D1921" t="s">
        <v>2372</v>
      </c>
      <c r="E1921" t="s">
        <v>2370</v>
      </c>
      <c r="F1921" t="s">
        <v>2370</v>
      </c>
      <c r="G1921" t="s">
        <v>2371</v>
      </c>
      <c r="H1921" t="s">
        <v>2370</v>
      </c>
    </row>
    <row r="1922" spans="1:8" x14ac:dyDescent="0.35">
      <c r="A1922" t="s">
        <v>437</v>
      </c>
      <c r="B1922">
        <v>30.67</v>
      </c>
      <c r="C1922">
        <v>5.09</v>
      </c>
      <c r="D1922" t="s">
        <v>2372</v>
      </c>
      <c r="E1922" t="s">
        <v>2370</v>
      </c>
      <c r="F1922" t="s">
        <v>2370</v>
      </c>
      <c r="G1922" t="s">
        <v>2371</v>
      </c>
      <c r="H1922" t="s">
        <v>2370</v>
      </c>
    </row>
    <row r="1923" spans="1:8" x14ac:dyDescent="0.35">
      <c r="A1923" t="s">
        <v>436</v>
      </c>
      <c r="B1923">
        <v>30.875</v>
      </c>
      <c r="C1923">
        <v>6.49</v>
      </c>
      <c r="D1923" t="s">
        <v>2370</v>
      </c>
      <c r="E1923" t="s">
        <v>2370</v>
      </c>
      <c r="F1923" t="s">
        <v>2370</v>
      </c>
      <c r="G1923" t="s">
        <v>2371</v>
      </c>
      <c r="H1923" t="s">
        <v>2370</v>
      </c>
    </row>
    <row r="1924" spans="1:8" x14ac:dyDescent="0.35">
      <c r="A1924" t="s">
        <v>435</v>
      </c>
      <c r="B1924">
        <v>23.8</v>
      </c>
      <c r="C1924">
        <v>4.08</v>
      </c>
      <c r="D1924" t="s">
        <v>2370</v>
      </c>
      <c r="E1924" t="s">
        <v>2370</v>
      </c>
      <c r="F1924" t="s">
        <v>2370</v>
      </c>
      <c r="G1924" t="s">
        <v>2371</v>
      </c>
      <c r="H1924" t="s">
        <v>2370</v>
      </c>
    </row>
    <row r="1925" spans="1:8" x14ac:dyDescent="0.35">
      <c r="A1925" t="s">
        <v>434</v>
      </c>
      <c r="B1925">
        <v>15.37</v>
      </c>
      <c r="C1925">
        <v>8.6300000000000008</v>
      </c>
      <c r="D1925" t="s">
        <v>2372</v>
      </c>
      <c r="E1925" t="s">
        <v>2370</v>
      </c>
      <c r="F1925" t="s">
        <v>2370</v>
      </c>
      <c r="G1925" t="s">
        <v>2371</v>
      </c>
      <c r="H1925" t="s">
        <v>2370</v>
      </c>
    </row>
    <row r="1926" spans="1:8" x14ac:dyDescent="0.35">
      <c r="A1926" t="s">
        <v>433</v>
      </c>
      <c r="B1926">
        <v>30.4</v>
      </c>
      <c r="C1926">
        <v>5.28</v>
      </c>
      <c r="D1926" t="s">
        <v>2370</v>
      </c>
      <c r="E1926" t="s">
        <v>2370</v>
      </c>
      <c r="F1926" t="s">
        <v>2370</v>
      </c>
      <c r="G1926" t="s">
        <v>2371</v>
      </c>
      <c r="H1926" t="s">
        <v>2370</v>
      </c>
    </row>
    <row r="1927" spans="1:8" x14ac:dyDescent="0.35">
      <c r="A1927" t="s">
        <v>432</v>
      </c>
      <c r="B1927">
        <v>19.48</v>
      </c>
      <c r="C1927">
        <v>5.63</v>
      </c>
      <c r="D1927" t="s">
        <v>2372</v>
      </c>
      <c r="E1927" t="s">
        <v>2370</v>
      </c>
      <c r="F1927" t="s">
        <v>2370</v>
      </c>
      <c r="G1927">
        <v>1</v>
      </c>
      <c r="H1927" t="s">
        <v>2370</v>
      </c>
    </row>
    <row r="1928" spans="1:8" x14ac:dyDescent="0.35">
      <c r="A1928" t="s">
        <v>431</v>
      </c>
      <c r="B1928">
        <v>16.96</v>
      </c>
      <c r="C1928">
        <v>11.47</v>
      </c>
      <c r="D1928" t="s">
        <v>2372</v>
      </c>
      <c r="E1928" t="s">
        <v>2370</v>
      </c>
      <c r="F1928" t="s">
        <v>2370</v>
      </c>
      <c r="G1928" t="s">
        <v>2371</v>
      </c>
      <c r="H1928" t="s">
        <v>2370</v>
      </c>
    </row>
    <row r="1929" spans="1:8" x14ac:dyDescent="0.35">
      <c r="A1929" t="s">
        <v>430</v>
      </c>
      <c r="B1929">
        <v>19.05</v>
      </c>
      <c r="C1929">
        <v>4.92</v>
      </c>
      <c r="D1929" t="s">
        <v>2370</v>
      </c>
      <c r="E1929" t="s">
        <v>2370</v>
      </c>
      <c r="F1929" t="s">
        <v>2370</v>
      </c>
      <c r="G1929">
        <v>1</v>
      </c>
      <c r="H1929" t="s">
        <v>2370</v>
      </c>
    </row>
    <row r="1930" spans="1:8" x14ac:dyDescent="0.35">
      <c r="A1930" t="s">
        <v>429</v>
      </c>
      <c r="B1930">
        <v>37.619999999999997</v>
      </c>
      <c r="C1930">
        <v>4.18</v>
      </c>
      <c r="D1930" t="s">
        <v>2370</v>
      </c>
      <c r="E1930" t="s">
        <v>2370</v>
      </c>
      <c r="F1930" t="s">
        <v>2370</v>
      </c>
      <c r="G1930" t="s">
        <v>2371</v>
      </c>
      <c r="H1930" t="s">
        <v>2370</v>
      </c>
    </row>
    <row r="1931" spans="1:8" x14ac:dyDescent="0.35">
      <c r="A1931" t="s">
        <v>428</v>
      </c>
      <c r="B1931">
        <v>29.1</v>
      </c>
      <c r="C1931">
        <v>4.67</v>
      </c>
      <c r="D1931" t="s">
        <v>2370</v>
      </c>
      <c r="E1931" t="s">
        <v>2370</v>
      </c>
      <c r="F1931" t="s">
        <v>2370</v>
      </c>
      <c r="G1931" t="s">
        <v>2371</v>
      </c>
      <c r="H1931" t="s">
        <v>2370</v>
      </c>
    </row>
    <row r="1932" spans="1:8" x14ac:dyDescent="0.35">
      <c r="A1932" t="s">
        <v>427</v>
      </c>
      <c r="B1932">
        <v>26.62</v>
      </c>
      <c r="C1932">
        <v>6.24</v>
      </c>
      <c r="D1932" t="s">
        <v>2370</v>
      </c>
      <c r="E1932" t="s">
        <v>2370</v>
      </c>
      <c r="F1932" t="s">
        <v>2370</v>
      </c>
      <c r="G1932" t="s">
        <v>2371</v>
      </c>
      <c r="H1932" t="s">
        <v>2370</v>
      </c>
    </row>
    <row r="1933" spans="1:8" x14ac:dyDescent="0.35">
      <c r="A1933" t="s">
        <v>426</v>
      </c>
      <c r="B1933">
        <v>25.74</v>
      </c>
      <c r="C1933">
        <v>5.99</v>
      </c>
      <c r="D1933" t="s">
        <v>2370</v>
      </c>
      <c r="E1933" t="s">
        <v>2370</v>
      </c>
      <c r="F1933" t="s">
        <v>2370</v>
      </c>
      <c r="G1933" t="s">
        <v>2371</v>
      </c>
      <c r="H1933" t="s">
        <v>2370</v>
      </c>
    </row>
    <row r="1934" spans="1:8" x14ac:dyDescent="0.35">
      <c r="A1934" t="s">
        <v>425</v>
      </c>
      <c r="B1934">
        <v>18.22</v>
      </c>
      <c r="C1934">
        <v>10.27</v>
      </c>
      <c r="D1934" t="s">
        <v>2372</v>
      </c>
      <c r="E1934" t="s">
        <v>2370</v>
      </c>
      <c r="F1934" t="s">
        <v>2370</v>
      </c>
      <c r="G1934">
        <v>1</v>
      </c>
      <c r="H1934" t="s">
        <v>2370</v>
      </c>
    </row>
    <row r="1935" spans="1:8" x14ac:dyDescent="0.35">
      <c r="A1935" t="s">
        <v>424</v>
      </c>
      <c r="B1935">
        <v>26.03</v>
      </c>
      <c r="C1935">
        <v>5.97</v>
      </c>
      <c r="D1935" t="s">
        <v>2370</v>
      </c>
      <c r="E1935" t="s">
        <v>2370</v>
      </c>
      <c r="F1935" t="s">
        <v>2373</v>
      </c>
      <c r="G1935">
        <v>1</v>
      </c>
      <c r="H1935" t="s">
        <v>2370</v>
      </c>
    </row>
    <row r="1936" spans="1:8" x14ac:dyDescent="0.35">
      <c r="A1936" t="s">
        <v>423</v>
      </c>
      <c r="B1936">
        <v>17.29</v>
      </c>
      <c r="C1936">
        <v>4.9800000000000004</v>
      </c>
      <c r="D1936" t="s">
        <v>2370</v>
      </c>
      <c r="E1936" t="s">
        <v>2370</v>
      </c>
      <c r="F1936" t="s">
        <v>2370</v>
      </c>
      <c r="G1936" t="s">
        <v>2371</v>
      </c>
      <c r="H1936" t="s">
        <v>2370</v>
      </c>
    </row>
    <row r="1937" spans="1:8" x14ac:dyDescent="0.35">
      <c r="A1937" t="s">
        <v>422</v>
      </c>
      <c r="B1937">
        <v>18.170000000000002</v>
      </c>
      <c r="C1937">
        <v>6.91</v>
      </c>
      <c r="D1937" t="s">
        <v>2372</v>
      </c>
      <c r="E1937" t="s">
        <v>2370</v>
      </c>
      <c r="F1937" t="s">
        <v>2370</v>
      </c>
      <c r="G1937">
        <v>1</v>
      </c>
      <c r="H1937" t="s">
        <v>2370</v>
      </c>
    </row>
    <row r="1938" spans="1:8" x14ac:dyDescent="0.35">
      <c r="A1938" t="s">
        <v>421</v>
      </c>
      <c r="B1938">
        <v>32.54</v>
      </c>
      <c r="C1938">
        <v>6.38</v>
      </c>
      <c r="D1938" t="s">
        <v>2370</v>
      </c>
      <c r="E1938" t="s">
        <v>2372</v>
      </c>
      <c r="F1938" t="s">
        <v>2370</v>
      </c>
      <c r="G1938">
        <v>1</v>
      </c>
      <c r="H1938" t="s">
        <v>2370</v>
      </c>
    </row>
    <row r="1939" spans="1:8" x14ac:dyDescent="0.35">
      <c r="A1939" t="s">
        <v>420</v>
      </c>
      <c r="B1939">
        <v>30.25</v>
      </c>
      <c r="C1939">
        <v>4.7699999999999996</v>
      </c>
      <c r="D1939" t="s">
        <v>2370</v>
      </c>
      <c r="E1939" t="s">
        <v>2370</v>
      </c>
      <c r="F1939" t="s">
        <v>2370</v>
      </c>
      <c r="G1939" t="s">
        <v>2371</v>
      </c>
      <c r="H1939" t="s">
        <v>2370</v>
      </c>
    </row>
    <row r="1940" spans="1:8" x14ac:dyDescent="0.35">
      <c r="A1940" t="s">
        <v>419</v>
      </c>
      <c r="B1940">
        <v>19.59</v>
      </c>
      <c r="C1940">
        <v>6.04</v>
      </c>
      <c r="D1940" t="s">
        <v>2372</v>
      </c>
      <c r="E1940" t="s">
        <v>2370</v>
      </c>
      <c r="F1940" t="s">
        <v>2370</v>
      </c>
      <c r="G1940">
        <v>1</v>
      </c>
      <c r="H1940" t="s">
        <v>2370</v>
      </c>
    </row>
    <row r="1941" spans="1:8" x14ac:dyDescent="0.35">
      <c r="A1941" t="s">
        <v>418</v>
      </c>
      <c r="B1941">
        <v>45.9</v>
      </c>
      <c r="C1941">
        <v>4.3</v>
      </c>
      <c r="D1941" t="s">
        <v>2372</v>
      </c>
      <c r="E1941" t="s">
        <v>2370</v>
      </c>
      <c r="F1941" t="s">
        <v>2370</v>
      </c>
      <c r="G1941">
        <v>1</v>
      </c>
      <c r="H1941" t="s">
        <v>2370</v>
      </c>
    </row>
    <row r="1942" spans="1:8" x14ac:dyDescent="0.35">
      <c r="A1942" t="s">
        <v>417</v>
      </c>
      <c r="B1942">
        <v>17.059999999999999</v>
      </c>
      <c r="C1942">
        <v>8.75</v>
      </c>
      <c r="D1942" t="s">
        <v>2372</v>
      </c>
      <c r="E1942" t="s">
        <v>2370</v>
      </c>
      <c r="F1942" t="s">
        <v>2370</v>
      </c>
      <c r="G1942" t="s">
        <v>2371</v>
      </c>
      <c r="H1942" t="s">
        <v>2370</v>
      </c>
    </row>
    <row r="1943" spans="1:8" x14ac:dyDescent="0.35">
      <c r="A1943" t="s">
        <v>416</v>
      </c>
      <c r="B1943">
        <v>32.07</v>
      </c>
      <c r="C1943">
        <v>5.25</v>
      </c>
      <c r="D1943" t="s">
        <v>2370</v>
      </c>
      <c r="E1943" t="s">
        <v>2370</v>
      </c>
      <c r="F1943" t="s">
        <v>2373</v>
      </c>
      <c r="G1943">
        <v>1</v>
      </c>
      <c r="H1943" t="s">
        <v>2370</v>
      </c>
    </row>
    <row r="1944" spans="1:8" x14ac:dyDescent="0.35">
      <c r="A1944" t="s">
        <v>415</v>
      </c>
      <c r="B1944">
        <v>16.5</v>
      </c>
      <c r="C1944">
        <v>5.03</v>
      </c>
      <c r="D1944" t="s">
        <v>2370</v>
      </c>
      <c r="E1944" t="s">
        <v>2370</v>
      </c>
      <c r="F1944" t="s">
        <v>2370</v>
      </c>
      <c r="G1944">
        <v>1</v>
      </c>
      <c r="H1944" t="s">
        <v>2370</v>
      </c>
    </row>
    <row r="1945" spans="1:8" x14ac:dyDescent="0.35">
      <c r="A1945" t="s">
        <v>414</v>
      </c>
      <c r="B1945">
        <v>31.4</v>
      </c>
      <c r="C1945">
        <v>5.88</v>
      </c>
      <c r="D1945" t="s">
        <v>2370</v>
      </c>
      <c r="E1945" t="s">
        <v>2370</v>
      </c>
      <c r="F1945" t="s">
        <v>2370</v>
      </c>
      <c r="G1945">
        <v>1</v>
      </c>
      <c r="H1945" t="s">
        <v>2370</v>
      </c>
    </row>
    <row r="1946" spans="1:8" x14ac:dyDescent="0.35">
      <c r="A1946" t="s">
        <v>413</v>
      </c>
      <c r="B1946">
        <v>20.36</v>
      </c>
      <c r="C1946">
        <v>4.49</v>
      </c>
      <c r="D1946" t="s">
        <v>2370</v>
      </c>
      <c r="E1946" t="s">
        <v>2370</v>
      </c>
      <c r="F1946" t="s">
        <v>2370</v>
      </c>
      <c r="G1946" t="s">
        <v>2371</v>
      </c>
      <c r="H1946" t="s">
        <v>2370</v>
      </c>
    </row>
    <row r="1947" spans="1:8" x14ac:dyDescent="0.35">
      <c r="A1947" t="s">
        <v>412</v>
      </c>
      <c r="B1947">
        <v>25.46</v>
      </c>
      <c r="C1947">
        <v>4.1399999999999997</v>
      </c>
      <c r="D1947" t="s">
        <v>2370</v>
      </c>
      <c r="E1947" t="s">
        <v>2370</v>
      </c>
      <c r="F1947" t="s">
        <v>2370</v>
      </c>
      <c r="G1947">
        <v>1</v>
      </c>
      <c r="H1947" t="s">
        <v>2370</v>
      </c>
    </row>
    <row r="1948" spans="1:8" x14ac:dyDescent="0.35">
      <c r="A1948" t="s">
        <v>411</v>
      </c>
      <c r="B1948">
        <v>17.09</v>
      </c>
      <c r="C1948">
        <v>5.8</v>
      </c>
      <c r="D1948" t="s">
        <v>2372</v>
      </c>
      <c r="E1948" t="s">
        <v>2370</v>
      </c>
      <c r="F1948" t="s">
        <v>2370</v>
      </c>
      <c r="G1948" t="s">
        <v>2371</v>
      </c>
      <c r="H1948" t="s">
        <v>2370</v>
      </c>
    </row>
    <row r="1949" spans="1:8" x14ac:dyDescent="0.35">
      <c r="A1949" t="s">
        <v>410</v>
      </c>
      <c r="B1949">
        <v>20.83</v>
      </c>
      <c r="C1949">
        <v>5.12</v>
      </c>
      <c r="D1949" t="s">
        <v>2370</v>
      </c>
      <c r="E1949" t="s">
        <v>2370</v>
      </c>
      <c r="F1949" t="s">
        <v>2370</v>
      </c>
      <c r="G1949" t="s">
        <v>2371</v>
      </c>
      <c r="H1949" t="s">
        <v>2370</v>
      </c>
    </row>
    <row r="1950" spans="1:8" x14ac:dyDescent="0.35">
      <c r="A1950" t="s">
        <v>409</v>
      </c>
      <c r="B1950">
        <v>18.920000000000002</v>
      </c>
      <c r="C1950">
        <v>5.98</v>
      </c>
      <c r="D1950" t="s">
        <v>2372</v>
      </c>
      <c r="E1950" t="s">
        <v>2370</v>
      </c>
      <c r="F1950" t="s">
        <v>2370</v>
      </c>
      <c r="G1950">
        <v>1</v>
      </c>
      <c r="H1950" t="s">
        <v>2370</v>
      </c>
    </row>
    <row r="1951" spans="1:8" x14ac:dyDescent="0.35">
      <c r="A1951" t="s">
        <v>408</v>
      </c>
      <c r="B1951">
        <v>37.1</v>
      </c>
      <c r="C1951">
        <v>5.46</v>
      </c>
      <c r="D1951" t="s">
        <v>2370</v>
      </c>
      <c r="E1951" t="s">
        <v>2370</v>
      </c>
      <c r="F1951" t="s">
        <v>2370</v>
      </c>
      <c r="G1951" t="s">
        <v>2371</v>
      </c>
      <c r="H1951" t="s">
        <v>2370</v>
      </c>
    </row>
    <row r="1952" spans="1:8" x14ac:dyDescent="0.35">
      <c r="A1952" t="s">
        <v>407</v>
      </c>
      <c r="B1952">
        <v>22.515000000000001</v>
      </c>
      <c r="C1952">
        <v>4.91</v>
      </c>
      <c r="D1952" t="s">
        <v>2372</v>
      </c>
      <c r="E1952" t="s">
        <v>2370</v>
      </c>
      <c r="F1952" t="s">
        <v>2373</v>
      </c>
      <c r="G1952">
        <v>1</v>
      </c>
      <c r="H1952" t="s">
        <v>2370</v>
      </c>
    </row>
    <row r="1953" spans="1:8" x14ac:dyDescent="0.35">
      <c r="A1953" t="s">
        <v>406</v>
      </c>
      <c r="B1953">
        <v>32.700000000000003</v>
      </c>
      <c r="C1953">
        <v>4.66</v>
      </c>
      <c r="D1953" t="s">
        <v>2370</v>
      </c>
      <c r="E1953" t="s">
        <v>2370</v>
      </c>
      <c r="F1953" t="s">
        <v>2370</v>
      </c>
      <c r="G1953" t="s">
        <v>2371</v>
      </c>
      <c r="H1953" t="s">
        <v>2370</v>
      </c>
    </row>
    <row r="1954" spans="1:8" x14ac:dyDescent="0.35">
      <c r="A1954" t="s">
        <v>405</v>
      </c>
      <c r="B1954">
        <v>17.75</v>
      </c>
      <c r="C1954">
        <v>6.8</v>
      </c>
      <c r="D1954" t="s">
        <v>2372</v>
      </c>
      <c r="E1954" t="s">
        <v>2370</v>
      </c>
      <c r="F1954" t="s">
        <v>2370</v>
      </c>
      <c r="G1954">
        <v>1</v>
      </c>
      <c r="H1954" t="s">
        <v>2370</v>
      </c>
    </row>
    <row r="1955" spans="1:8" x14ac:dyDescent="0.35">
      <c r="A1955" t="s">
        <v>404</v>
      </c>
      <c r="B1955">
        <v>33.630000000000003</v>
      </c>
      <c r="C1955">
        <v>4.47</v>
      </c>
      <c r="D1955" t="s">
        <v>2372</v>
      </c>
      <c r="E1955" t="s">
        <v>2370</v>
      </c>
      <c r="F1955" t="s">
        <v>2370</v>
      </c>
      <c r="G1955" t="s">
        <v>2371</v>
      </c>
      <c r="H1955" t="s">
        <v>2370</v>
      </c>
    </row>
    <row r="1956" spans="1:8" x14ac:dyDescent="0.35">
      <c r="A1956" t="s">
        <v>403</v>
      </c>
      <c r="B1956">
        <v>34.799999999999997</v>
      </c>
      <c r="C1956">
        <v>4.08</v>
      </c>
      <c r="D1956" t="s">
        <v>2372</v>
      </c>
      <c r="E1956" t="s">
        <v>2370</v>
      </c>
      <c r="F1956" t="s">
        <v>2370</v>
      </c>
      <c r="G1956">
        <v>1</v>
      </c>
      <c r="H1956" t="s">
        <v>2370</v>
      </c>
    </row>
    <row r="1957" spans="1:8" x14ac:dyDescent="0.35">
      <c r="A1957" t="s">
        <v>402</v>
      </c>
      <c r="B1957">
        <v>16.809999999999999</v>
      </c>
      <c r="C1957">
        <v>5.51</v>
      </c>
      <c r="D1957" t="s">
        <v>2372</v>
      </c>
      <c r="E1957" t="s">
        <v>2370</v>
      </c>
      <c r="F1957" t="s">
        <v>2370</v>
      </c>
      <c r="G1957">
        <v>1</v>
      </c>
      <c r="H1957" t="s">
        <v>2370</v>
      </c>
    </row>
    <row r="1958" spans="1:8" x14ac:dyDescent="0.35">
      <c r="A1958" t="s">
        <v>401</v>
      </c>
      <c r="B1958">
        <v>16.690000000000001</v>
      </c>
      <c r="C1958">
        <v>8.4</v>
      </c>
      <c r="D1958" t="s">
        <v>2372</v>
      </c>
      <c r="E1958" t="s">
        <v>2370</v>
      </c>
      <c r="F1958" t="s">
        <v>2370</v>
      </c>
      <c r="G1958" t="s">
        <v>2371</v>
      </c>
      <c r="H1958" t="s">
        <v>2370</v>
      </c>
    </row>
    <row r="1959" spans="1:8" x14ac:dyDescent="0.35">
      <c r="A1959" t="s">
        <v>400</v>
      </c>
      <c r="B1959">
        <v>23.21</v>
      </c>
      <c r="C1959">
        <v>5.14</v>
      </c>
      <c r="D1959" t="s">
        <v>2372</v>
      </c>
      <c r="E1959" t="s">
        <v>2370</v>
      </c>
      <c r="F1959" t="s">
        <v>2370</v>
      </c>
      <c r="G1959">
        <v>1</v>
      </c>
      <c r="H1959" t="s">
        <v>2370</v>
      </c>
    </row>
    <row r="1960" spans="1:8" x14ac:dyDescent="0.35">
      <c r="A1960" t="s">
        <v>399</v>
      </c>
      <c r="B1960">
        <v>25.175000000000001</v>
      </c>
      <c r="C1960">
        <v>5.21</v>
      </c>
      <c r="D1960" t="s">
        <v>2372</v>
      </c>
      <c r="E1960" t="s">
        <v>2370</v>
      </c>
      <c r="F1960" t="s">
        <v>2370</v>
      </c>
      <c r="G1960">
        <v>1</v>
      </c>
      <c r="H1960" t="s">
        <v>2370</v>
      </c>
    </row>
    <row r="1961" spans="1:8" x14ac:dyDescent="0.35">
      <c r="A1961" t="s">
        <v>398</v>
      </c>
      <c r="B1961">
        <v>34.770000000000003</v>
      </c>
      <c r="C1961">
        <v>6.23</v>
      </c>
      <c r="D1961" t="s">
        <v>2370</v>
      </c>
      <c r="E1961" t="s">
        <v>2370</v>
      </c>
      <c r="F1961" t="s">
        <v>2370</v>
      </c>
      <c r="G1961" t="s">
        <v>2371</v>
      </c>
      <c r="H1961" t="s">
        <v>2370</v>
      </c>
    </row>
    <row r="1962" spans="1:8" x14ac:dyDescent="0.35">
      <c r="A1962" t="s">
        <v>397</v>
      </c>
      <c r="B1962">
        <v>27.7</v>
      </c>
      <c r="C1962">
        <v>5.6</v>
      </c>
      <c r="D1962" t="s">
        <v>2370</v>
      </c>
      <c r="E1962" t="s">
        <v>2370</v>
      </c>
      <c r="F1962" t="s">
        <v>2370</v>
      </c>
      <c r="G1962">
        <v>1</v>
      </c>
      <c r="H1962" t="s">
        <v>2370</v>
      </c>
    </row>
    <row r="1963" spans="1:8" x14ac:dyDescent="0.35">
      <c r="A1963" t="s">
        <v>396</v>
      </c>
      <c r="B1963">
        <v>19.12</v>
      </c>
      <c r="C1963">
        <v>4.72</v>
      </c>
      <c r="D1963" t="s">
        <v>2372</v>
      </c>
      <c r="E1963" t="s">
        <v>2370</v>
      </c>
      <c r="F1963" t="s">
        <v>2370</v>
      </c>
      <c r="G1963">
        <v>1</v>
      </c>
      <c r="H1963" t="s">
        <v>2370</v>
      </c>
    </row>
    <row r="1964" spans="1:8" x14ac:dyDescent="0.35">
      <c r="A1964" t="s">
        <v>395</v>
      </c>
      <c r="B1964">
        <v>32.67</v>
      </c>
      <c r="C1964">
        <v>4.67</v>
      </c>
      <c r="D1964" t="s">
        <v>2370</v>
      </c>
      <c r="E1964" t="s">
        <v>2370</v>
      </c>
      <c r="F1964" t="s">
        <v>2373</v>
      </c>
      <c r="G1964">
        <v>1</v>
      </c>
      <c r="H1964" t="s">
        <v>2370</v>
      </c>
    </row>
    <row r="1965" spans="1:8" x14ac:dyDescent="0.35">
      <c r="A1965" t="s">
        <v>394</v>
      </c>
      <c r="B1965">
        <v>28.5</v>
      </c>
      <c r="C1965">
        <v>6.11</v>
      </c>
      <c r="D1965" t="s">
        <v>2370</v>
      </c>
      <c r="E1965" t="s">
        <v>2370</v>
      </c>
      <c r="F1965" t="s">
        <v>2370</v>
      </c>
      <c r="G1965">
        <v>1</v>
      </c>
      <c r="H1965" t="s">
        <v>2370</v>
      </c>
    </row>
    <row r="1966" spans="1:8" x14ac:dyDescent="0.35">
      <c r="A1966" t="s">
        <v>393</v>
      </c>
      <c r="B1966">
        <v>39.270000000000003</v>
      </c>
      <c r="C1966">
        <v>6.25</v>
      </c>
      <c r="D1966" t="s">
        <v>2370</v>
      </c>
      <c r="E1966" t="s">
        <v>2370</v>
      </c>
      <c r="F1966" t="s">
        <v>2370</v>
      </c>
      <c r="G1966" t="s">
        <v>2371</v>
      </c>
      <c r="H1966" t="s">
        <v>2370</v>
      </c>
    </row>
    <row r="1967" spans="1:8" x14ac:dyDescent="0.35">
      <c r="A1967" t="s">
        <v>392</v>
      </c>
      <c r="B1967">
        <v>32.49</v>
      </c>
      <c r="C1967">
        <v>4</v>
      </c>
      <c r="D1967" t="s">
        <v>2372</v>
      </c>
      <c r="E1967" t="s">
        <v>2370</v>
      </c>
      <c r="F1967" t="s">
        <v>2370</v>
      </c>
      <c r="G1967" t="s">
        <v>2371</v>
      </c>
      <c r="H1967" t="s">
        <v>2370</v>
      </c>
    </row>
    <row r="1968" spans="1:8" x14ac:dyDescent="0.35">
      <c r="A1968" t="s">
        <v>391</v>
      </c>
      <c r="B1968">
        <v>23.7</v>
      </c>
      <c r="C1968">
        <v>5.55</v>
      </c>
      <c r="D1968" t="s">
        <v>2372</v>
      </c>
      <c r="E1968" t="s">
        <v>2370</v>
      </c>
      <c r="F1968" t="s">
        <v>2370</v>
      </c>
      <c r="G1968" t="s">
        <v>2371</v>
      </c>
      <c r="H1968" t="s">
        <v>2370</v>
      </c>
    </row>
    <row r="1969" spans="1:8" x14ac:dyDescent="0.35">
      <c r="A1969" t="s">
        <v>390</v>
      </c>
      <c r="B1969">
        <v>30.4</v>
      </c>
      <c r="C1969">
        <v>5.95</v>
      </c>
      <c r="D1969" t="s">
        <v>2370</v>
      </c>
      <c r="E1969" t="s">
        <v>2372</v>
      </c>
      <c r="F1969" t="s">
        <v>2370</v>
      </c>
      <c r="G1969">
        <v>1</v>
      </c>
      <c r="H1969" t="s">
        <v>2370</v>
      </c>
    </row>
    <row r="1970" spans="1:8" x14ac:dyDescent="0.35">
      <c r="A1970" t="s">
        <v>389</v>
      </c>
      <c r="B1970">
        <v>38.94</v>
      </c>
      <c r="C1970">
        <v>4.3600000000000003</v>
      </c>
      <c r="D1970" t="s">
        <v>2370</v>
      </c>
      <c r="E1970" t="s">
        <v>2370</v>
      </c>
      <c r="F1970" t="s">
        <v>2373</v>
      </c>
      <c r="G1970">
        <v>1</v>
      </c>
      <c r="H1970" t="s">
        <v>2370</v>
      </c>
    </row>
    <row r="1971" spans="1:8" x14ac:dyDescent="0.35">
      <c r="A1971" t="s">
        <v>388</v>
      </c>
      <c r="B1971">
        <v>31.02</v>
      </c>
      <c r="C1971">
        <v>4.84</v>
      </c>
      <c r="D1971" t="s">
        <v>2370</v>
      </c>
      <c r="E1971" t="s">
        <v>2370</v>
      </c>
      <c r="F1971" t="s">
        <v>2373</v>
      </c>
      <c r="G1971">
        <v>1</v>
      </c>
      <c r="H1971" t="s">
        <v>2370</v>
      </c>
    </row>
    <row r="1972" spans="1:8" x14ac:dyDescent="0.35">
      <c r="A1972" t="s">
        <v>387</v>
      </c>
      <c r="B1972">
        <v>17.5</v>
      </c>
      <c r="C1972">
        <v>4.5599999999999996</v>
      </c>
      <c r="D1972" t="s">
        <v>2370</v>
      </c>
      <c r="E1972" t="s">
        <v>2370</v>
      </c>
      <c r="F1972" t="s">
        <v>2370</v>
      </c>
      <c r="G1972">
        <v>1</v>
      </c>
      <c r="H1972" t="s">
        <v>2370</v>
      </c>
    </row>
    <row r="1973" spans="1:8" x14ac:dyDescent="0.35">
      <c r="A1973" t="s">
        <v>386</v>
      </c>
      <c r="B1973">
        <v>34.799999999999997</v>
      </c>
      <c r="C1973">
        <v>4.42</v>
      </c>
      <c r="D1973" t="s">
        <v>2372</v>
      </c>
      <c r="E1973" t="s">
        <v>2372</v>
      </c>
      <c r="F1973" t="s">
        <v>2370</v>
      </c>
      <c r="G1973">
        <v>2</v>
      </c>
      <c r="H1973" t="s">
        <v>2370</v>
      </c>
    </row>
    <row r="1974" spans="1:8" x14ac:dyDescent="0.35">
      <c r="A1974" t="s">
        <v>385</v>
      </c>
      <c r="B1974">
        <v>17.3</v>
      </c>
      <c r="C1974">
        <v>7.66</v>
      </c>
      <c r="D1974" t="s">
        <v>2372</v>
      </c>
      <c r="E1974" t="s">
        <v>2370</v>
      </c>
      <c r="F1974" t="s">
        <v>2370</v>
      </c>
      <c r="G1974">
        <v>1</v>
      </c>
      <c r="H1974" t="s">
        <v>2370</v>
      </c>
    </row>
    <row r="1975" spans="1:8" x14ac:dyDescent="0.35">
      <c r="A1975" t="s">
        <v>384</v>
      </c>
      <c r="B1975">
        <v>32.25</v>
      </c>
      <c r="C1975">
        <v>5.2</v>
      </c>
      <c r="D1975" t="s">
        <v>2372</v>
      </c>
      <c r="E1975" t="s">
        <v>2370</v>
      </c>
      <c r="F1975" t="s">
        <v>2370</v>
      </c>
      <c r="G1975" t="s">
        <v>2371</v>
      </c>
      <c r="H1975" t="s">
        <v>2370</v>
      </c>
    </row>
    <row r="1976" spans="1:8" x14ac:dyDescent="0.35">
      <c r="A1976" t="s">
        <v>383</v>
      </c>
      <c r="B1976">
        <v>42.4</v>
      </c>
      <c r="C1976">
        <v>5.53</v>
      </c>
      <c r="D1976" t="s">
        <v>2372</v>
      </c>
      <c r="E1976" t="s">
        <v>2370</v>
      </c>
      <c r="F1976" t="s">
        <v>2370</v>
      </c>
      <c r="G1976" t="s">
        <v>2371</v>
      </c>
      <c r="H1976" t="s">
        <v>2370</v>
      </c>
    </row>
    <row r="1977" spans="1:8" x14ac:dyDescent="0.35">
      <c r="A1977" t="s">
        <v>382</v>
      </c>
      <c r="B1977">
        <v>38.664999999999999</v>
      </c>
      <c r="C1977">
        <v>4.8600000000000003</v>
      </c>
      <c r="D1977" t="s">
        <v>2370</v>
      </c>
      <c r="E1977" t="s">
        <v>2372</v>
      </c>
      <c r="F1977" t="s">
        <v>2370</v>
      </c>
      <c r="G1977">
        <v>1</v>
      </c>
      <c r="H1977" t="s">
        <v>2370</v>
      </c>
    </row>
    <row r="1978" spans="1:8" x14ac:dyDescent="0.35">
      <c r="A1978" t="s">
        <v>381</v>
      </c>
      <c r="B1978">
        <v>29.92</v>
      </c>
      <c r="C1978">
        <v>5.49</v>
      </c>
      <c r="D1978" t="s">
        <v>2372</v>
      </c>
      <c r="E1978" t="s">
        <v>2370</v>
      </c>
      <c r="F1978" t="s">
        <v>2370</v>
      </c>
      <c r="G1978" t="s">
        <v>2371</v>
      </c>
      <c r="H1978" t="s">
        <v>2370</v>
      </c>
    </row>
    <row r="1979" spans="1:8" x14ac:dyDescent="0.35">
      <c r="A1979" t="s">
        <v>380</v>
      </c>
      <c r="B1979">
        <v>29.48</v>
      </c>
      <c r="C1979">
        <v>4.09</v>
      </c>
      <c r="D1979" t="s">
        <v>2372</v>
      </c>
      <c r="E1979" t="s">
        <v>2370</v>
      </c>
      <c r="F1979" t="s">
        <v>2370</v>
      </c>
      <c r="G1979" t="s">
        <v>2371</v>
      </c>
      <c r="H1979" t="s">
        <v>2370</v>
      </c>
    </row>
    <row r="1980" spans="1:8" x14ac:dyDescent="0.35">
      <c r="A1980" t="s">
        <v>379</v>
      </c>
      <c r="B1980">
        <v>28.785</v>
      </c>
      <c r="C1980">
        <v>4.3099999999999996</v>
      </c>
      <c r="D1980" t="s">
        <v>2372</v>
      </c>
      <c r="E1980" t="s">
        <v>2370</v>
      </c>
      <c r="F1980" t="s">
        <v>2370</v>
      </c>
      <c r="G1980" t="s">
        <v>2371</v>
      </c>
      <c r="H1980" t="s">
        <v>2370</v>
      </c>
    </row>
    <row r="1981" spans="1:8" x14ac:dyDescent="0.35">
      <c r="A1981" t="s">
        <v>378</v>
      </c>
      <c r="B1981">
        <v>19.8</v>
      </c>
      <c r="C1981">
        <v>4</v>
      </c>
      <c r="D1981" t="s">
        <v>2372</v>
      </c>
      <c r="E1981" t="s">
        <v>2370</v>
      </c>
      <c r="F1981" t="s">
        <v>2370</v>
      </c>
      <c r="G1981" t="s">
        <v>2371</v>
      </c>
      <c r="H1981" t="s">
        <v>2370</v>
      </c>
    </row>
    <row r="1982" spans="1:8" x14ac:dyDescent="0.35">
      <c r="A1982" t="s">
        <v>377</v>
      </c>
      <c r="B1982">
        <v>35.53</v>
      </c>
      <c r="C1982">
        <v>4.68</v>
      </c>
      <c r="D1982" t="s">
        <v>2370</v>
      </c>
      <c r="E1982" t="s">
        <v>2370</v>
      </c>
      <c r="F1982" t="s">
        <v>2373</v>
      </c>
      <c r="G1982">
        <v>1</v>
      </c>
      <c r="H1982" t="s">
        <v>2370</v>
      </c>
    </row>
    <row r="1983" spans="1:8" x14ac:dyDescent="0.35">
      <c r="A1983" t="s">
        <v>376</v>
      </c>
      <c r="B1983">
        <v>21.47</v>
      </c>
      <c r="C1983">
        <v>4.0199999999999996</v>
      </c>
      <c r="D1983" t="s">
        <v>2372</v>
      </c>
      <c r="E1983" t="s">
        <v>2370</v>
      </c>
      <c r="F1983" t="s">
        <v>2370</v>
      </c>
      <c r="G1983">
        <v>1</v>
      </c>
      <c r="H1983" t="s">
        <v>2370</v>
      </c>
    </row>
    <row r="1984" spans="1:8" x14ac:dyDescent="0.35">
      <c r="A1984" t="s">
        <v>375</v>
      </c>
      <c r="B1984">
        <v>25.9</v>
      </c>
      <c r="C1984">
        <v>5.12</v>
      </c>
      <c r="D1984" t="s">
        <v>2370</v>
      </c>
      <c r="E1984" t="s">
        <v>2370</v>
      </c>
      <c r="F1984" t="s">
        <v>2373</v>
      </c>
      <c r="G1984">
        <v>1</v>
      </c>
      <c r="H1984" t="s">
        <v>2370</v>
      </c>
    </row>
    <row r="1985" spans="1:8" x14ac:dyDescent="0.35">
      <c r="A1985" t="s">
        <v>374</v>
      </c>
      <c r="B1985">
        <v>20.81</v>
      </c>
      <c r="C1985">
        <v>5.52</v>
      </c>
      <c r="D1985" t="s">
        <v>2370</v>
      </c>
      <c r="E1985" t="s">
        <v>2370</v>
      </c>
      <c r="F1985" t="s">
        <v>2370</v>
      </c>
      <c r="G1985" t="s">
        <v>2371</v>
      </c>
      <c r="H1985" t="s">
        <v>2370</v>
      </c>
    </row>
    <row r="1986" spans="1:8" x14ac:dyDescent="0.35">
      <c r="A1986" t="s">
        <v>373</v>
      </c>
      <c r="B1986">
        <v>25.84</v>
      </c>
      <c r="C1986">
        <v>5.81</v>
      </c>
      <c r="D1986" t="s">
        <v>2372</v>
      </c>
      <c r="E1986" t="s">
        <v>2370</v>
      </c>
      <c r="F1986" t="s">
        <v>2373</v>
      </c>
      <c r="G1986">
        <v>1</v>
      </c>
      <c r="H1986" t="s">
        <v>2370</v>
      </c>
    </row>
    <row r="1987" spans="1:8" x14ac:dyDescent="0.35">
      <c r="A1987" t="s">
        <v>372</v>
      </c>
      <c r="B1987">
        <v>30.95</v>
      </c>
      <c r="C1987">
        <v>5.16</v>
      </c>
      <c r="D1987" t="s">
        <v>2370</v>
      </c>
      <c r="E1987" t="s">
        <v>2370</v>
      </c>
      <c r="F1987" t="s">
        <v>2373</v>
      </c>
      <c r="G1987">
        <v>1</v>
      </c>
      <c r="H1987" t="s">
        <v>2370</v>
      </c>
    </row>
    <row r="1988" spans="1:8" x14ac:dyDescent="0.35">
      <c r="A1988" t="s">
        <v>371</v>
      </c>
      <c r="B1988">
        <v>30.54</v>
      </c>
      <c r="C1988">
        <v>5</v>
      </c>
      <c r="D1988" t="s">
        <v>2370</v>
      </c>
      <c r="E1988" t="s">
        <v>2370</v>
      </c>
      <c r="F1988" t="s">
        <v>2373</v>
      </c>
      <c r="G1988">
        <v>1</v>
      </c>
      <c r="H1988" t="s">
        <v>2370</v>
      </c>
    </row>
    <row r="1989" spans="1:8" x14ac:dyDescent="0.35">
      <c r="A1989" t="s">
        <v>370</v>
      </c>
      <c r="B1989">
        <v>33.914999999999999</v>
      </c>
      <c r="C1989">
        <v>5.84</v>
      </c>
      <c r="D1989" t="s">
        <v>2372</v>
      </c>
      <c r="E1989" t="s">
        <v>2370</v>
      </c>
      <c r="F1989" t="s">
        <v>2370</v>
      </c>
      <c r="G1989" t="s">
        <v>2371</v>
      </c>
      <c r="H1989" t="s">
        <v>2370</v>
      </c>
    </row>
    <row r="1990" spans="1:8" x14ac:dyDescent="0.35">
      <c r="A1990" t="s">
        <v>369</v>
      </c>
      <c r="B1990">
        <v>33.31</v>
      </c>
      <c r="C1990">
        <v>4.1900000000000004</v>
      </c>
      <c r="D1990" t="s">
        <v>2370</v>
      </c>
      <c r="E1990" t="s">
        <v>2370</v>
      </c>
      <c r="F1990" t="s">
        <v>2373</v>
      </c>
      <c r="G1990">
        <v>1</v>
      </c>
      <c r="H1990" t="s">
        <v>2370</v>
      </c>
    </row>
    <row r="1991" spans="1:8" x14ac:dyDescent="0.35">
      <c r="A1991" t="s">
        <v>368</v>
      </c>
      <c r="B1991">
        <v>25.745000000000001</v>
      </c>
      <c r="C1991">
        <v>4.62</v>
      </c>
      <c r="D1991" t="s">
        <v>2372</v>
      </c>
      <c r="E1991" t="s">
        <v>2370</v>
      </c>
      <c r="F1991" t="s">
        <v>2370</v>
      </c>
      <c r="G1991" t="s">
        <v>2371</v>
      </c>
      <c r="H1991" t="s">
        <v>2370</v>
      </c>
    </row>
    <row r="1992" spans="1:8" x14ac:dyDescent="0.35">
      <c r="A1992" t="s">
        <v>367</v>
      </c>
      <c r="B1992">
        <v>37.1</v>
      </c>
      <c r="C1992">
        <v>6.24</v>
      </c>
      <c r="D1992" t="s">
        <v>2370</v>
      </c>
      <c r="E1992" t="s">
        <v>2370</v>
      </c>
      <c r="F1992" t="s">
        <v>2370</v>
      </c>
      <c r="G1992" t="s">
        <v>2371</v>
      </c>
      <c r="H1992" t="s">
        <v>2370</v>
      </c>
    </row>
    <row r="1993" spans="1:8" x14ac:dyDescent="0.35">
      <c r="A1993" t="s">
        <v>366</v>
      </c>
      <c r="B1993">
        <v>35.435000000000002</v>
      </c>
      <c r="C1993">
        <v>5.81</v>
      </c>
      <c r="D1993" t="s">
        <v>2370</v>
      </c>
      <c r="E1993" t="s">
        <v>2370</v>
      </c>
      <c r="F1993" t="s">
        <v>2370</v>
      </c>
      <c r="G1993" t="s">
        <v>2371</v>
      </c>
      <c r="H1993" t="s">
        <v>2370</v>
      </c>
    </row>
    <row r="1994" spans="1:8" x14ac:dyDescent="0.35">
      <c r="A1994" t="s">
        <v>365</v>
      </c>
      <c r="B1994">
        <v>20.399999999999999</v>
      </c>
      <c r="C1994">
        <v>4.83</v>
      </c>
      <c r="D1994" t="s">
        <v>2370</v>
      </c>
      <c r="E1994" t="s">
        <v>2370</v>
      </c>
      <c r="F1994" t="s">
        <v>2370</v>
      </c>
      <c r="G1994" t="s">
        <v>2371</v>
      </c>
      <c r="H1994" t="s">
        <v>2370</v>
      </c>
    </row>
    <row r="1995" spans="1:8" x14ac:dyDescent="0.35">
      <c r="A1995" t="s">
        <v>364</v>
      </c>
      <c r="B1995">
        <v>42.13</v>
      </c>
      <c r="C1995">
        <v>5.72</v>
      </c>
      <c r="D1995" t="s">
        <v>2372</v>
      </c>
      <c r="E1995" t="s">
        <v>2370</v>
      </c>
      <c r="F1995" t="s">
        <v>2373</v>
      </c>
      <c r="G1995">
        <v>1</v>
      </c>
      <c r="H1995" t="s">
        <v>2370</v>
      </c>
    </row>
    <row r="1996" spans="1:8" x14ac:dyDescent="0.35">
      <c r="A1996" t="s">
        <v>363</v>
      </c>
      <c r="B1996">
        <v>33.99</v>
      </c>
      <c r="C1996">
        <v>4.83</v>
      </c>
      <c r="D1996" t="s">
        <v>2372</v>
      </c>
      <c r="E1996" t="s">
        <v>2370</v>
      </c>
      <c r="F1996" t="s">
        <v>2373</v>
      </c>
      <c r="G1996">
        <v>1</v>
      </c>
      <c r="H1996" t="s">
        <v>2370</v>
      </c>
    </row>
    <row r="1997" spans="1:8" x14ac:dyDescent="0.35">
      <c r="A1997" t="s">
        <v>362</v>
      </c>
      <c r="B1997">
        <v>28.594999999999999</v>
      </c>
      <c r="C1997">
        <v>4.1399999999999997</v>
      </c>
      <c r="D1997" t="s">
        <v>2372</v>
      </c>
      <c r="E1997" t="s">
        <v>2370</v>
      </c>
      <c r="F1997" t="s">
        <v>2373</v>
      </c>
      <c r="G1997">
        <v>1</v>
      </c>
      <c r="H1997" t="s">
        <v>2370</v>
      </c>
    </row>
    <row r="1998" spans="1:8" x14ac:dyDescent="0.35">
      <c r="A1998" t="s">
        <v>361</v>
      </c>
      <c r="B1998">
        <v>20.8</v>
      </c>
      <c r="C1998">
        <v>4.07</v>
      </c>
      <c r="D1998" t="s">
        <v>2372</v>
      </c>
      <c r="E1998" t="s">
        <v>2370</v>
      </c>
      <c r="F1998" t="s">
        <v>2373</v>
      </c>
      <c r="G1998">
        <v>1</v>
      </c>
      <c r="H1998" t="s">
        <v>2370</v>
      </c>
    </row>
    <row r="1999" spans="1:8" x14ac:dyDescent="0.35">
      <c r="A1999" t="s">
        <v>360</v>
      </c>
      <c r="B1999">
        <v>23.465</v>
      </c>
      <c r="C1999">
        <v>6.26</v>
      </c>
      <c r="D1999" t="s">
        <v>2372</v>
      </c>
      <c r="E1999" t="s">
        <v>2370</v>
      </c>
      <c r="F1999" t="s">
        <v>2373</v>
      </c>
      <c r="G1999">
        <v>1</v>
      </c>
      <c r="H1999" t="s">
        <v>2370</v>
      </c>
    </row>
    <row r="2000" spans="1:8" x14ac:dyDescent="0.35">
      <c r="A2000" t="s">
        <v>359</v>
      </c>
      <c r="B2000">
        <v>40.185000000000002</v>
      </c>
      <c r="C2000">
        <v>5.88</v>
      </c>
      <c r="D2000" t="s">
        <v>2372</v>
      </c>
      <c r="E2000" t="s">
        <v>2370</v>
      </c>
      <c r="F2000" t="s">
        <v>2370</v>
      </c>
      <c r="G2000" t="s">
        <v>2371</v>
      </c>
      <c r="H2000" t="s">
        <v>2370</v>
      </c>
    </row>
    <row r="2001" spans="1:8" x14ac:dyDescent="0.35">
      <c r="A2001" t="s">
        <v>358</v>
      </c>
      <c r="B2001">
        <v>21.89</v>
      </c>
      <c r="C2001">
        <v>5.72</v>
      </c>
      <c r="D2001" t="s">
        <v>2372</v>
      </c>
      <c r="E2001" t="s">
        <v>2370</v>
      </c>
      <c r="F2001" t="s">
        <v>2370</v>
      </c>
      <c r="G2001" t="s">
        <v>2371</v>
      </c>
      <c r="H2001" t="s">
        <v>2370</v>
      </c>
    </row>
    <row r="2002" spans="1:8" x14ac:dyDescent="0.35">
      <c r="A2002" t="s">
        <v>357</v>
      </c>
      <c r="B2002">
        <v>29.34</v>
      </c>
      <c r="C2002">
        <v>6.09</v>
      </c>
      <c r="D2002" t="s">
        <v>2372</v>
      </c>
      <c r="E2002" t="s">
        <v>2372</v>
      </c>
      <c r="F2002" t="s">
        <v>2370</v>
      </c>
      <c r="G2002">
        <v>2</v>
      </c>
      <c r="H2002" t="s">
        <v>2370</v>
      </c>
    </row>
    <row r="2003" spans="1:8" x14ac:dyDescent="0.35">
      <c r="A2003" t="s">
        <v>356</v>
      </c>
      <c r="B2003">
        <v>22.61</v>
      </c>
      <c r="C2003">
        <v>4.25</v>
      </c>
      <c r="D2003" t="s">
        <v>2372</v>
      </c>
      <c r="E2003" t="s">
        <v>2370</v>
      </c>
      <c r="F2003" t="s">
        <v>2370</v>
      </c>
      <c r="G2003" t="s">
        <v>2371</v>
      </c>
      <c r="H2003" t="s">
        <v>2370</v>
      </c>
    </row>
    <row r="2004" spans="1:8" x14ac:dyDescent="0.35">
      <c r="A2004" t="s">
        <v>355</v>
      </c>
      <c r="B2004">
        <v>22.23</v>
      </c>
      <c r="C2004">
        <v>6.09</v>
      </c>
      <c r="D2004" t="s">
        <v>2372</v>
      </c>
      <c r="E2004" t="s">
        <v>2370</v>
      </c>
      <c r="F2004" t="s">
        <v>2370</v>
      </c>
      <c r="G2004" t="s">
        <v>2371</v>
      </c>
      <c r="H2004" t="s">
        <v>2370</v>
      </c>
    </row>
    <row r="2005" spans="1:8" x14ac:dyDescent="0.35">
      <c r="A2005" t="s">
        <v>354</v>
      </c>
      <c r="B2005">
        <v>33.4</v>
      </c>
      <c r="C2005">
        <v>5.51</v>
      </c>
      <c r="D2005" t="s">
        <v>2370</v>
      </c>
      <c r="E2005" t="s">
        <v>2370</v>
      </c>
      <c r="F2005" t="s">
        <v>2370</v>
      </c>
      <c r="G2005" t="s">
        <v>2371</v>
      </c>
      <c r="H2005" t="s">
        <v>2370</v>
      </c>
    </row>
    <row r="2006" spans="1:8" x14ac:dyDescent="0.35">
      <c r="A2006" t="s">
        <v>353</v>
      </c>
      <c r="B2006">
        <v>33.11</v>
      </c>
      <c r="C2006">
        <v>5.63</v>
      </c>
      <c r="D2006" t="s">
        <v>2370</v>
      </c>
      <c r="E2006" t="s">
        <v>2370</v>
      </c>
      <c r="F2006" t="s">
        <v>2370</v>
      </c>
      <c r="G2006" t="s">
        <v>2371</v>
      </c>
      <c r="H2006" t="s">
        <v>2370</v>
      </c>
    </row>
    <row r="2007" spans="1:8" x14ac:dyDescent="0.35">
      <c r="A2007" t="s">
        <v>352</v>
      </c>
      <c r="B2007">
        <v>16.815000000000001</v>
      </c>
      <c r="C2007">
        <v>5.29</v>
      </c>
      <c r="D2007" t="s">
        <v>2372</v>
      </c>
      <c r="E2007" t="s">
        <v>2370</v>
      </c>
      <c r="F2007" t="s">
        <v>2370</v>
      </c>
      <c r="G2007" t="s">
        <v>2371</v>
      </c>
      <c r="H2007" t="s">
        <v>2370</v>
      </c>
    </row>
    <row r="2008" spans="1:8" x14ac:dyDescent="0.35">
      <c r="A2008" t="s">
        <v>351</v>
      </c>
      <c r="B2008">
        <v>25.61</v>
      </c>
      <c r="C2008">
        <v>4</v>
      </c>
      <c r="D2008" t="s">
        <v>2370</v>
      </c>
      <c r="E2008" t="s">
        <v>2370</v>
      </c>
      <c r="F2008" t="s">
        <v>2373</v>
      </c>
      <c r="G2008">
        <v>1</v>
      </c>
      <c r="H2008" t="s">
        <v>2370</v>
      </c>
    </row>
    <row r="2009" spans="1:8" x14ac:dyDescent="0.35">
      <c r="A2009" t="s">
        <v>350</v>
      </c>
      <c r="B2009">
        <v>25.8</v>
      </c>
      <c r="C2009">
        <v>5.49</v>
      </c>
      <c r="D2009" t="s">
        <v>2370</v>
      </c>
      <c r="E2009" t="s">
        <v>2370</v>
      </c>
      <c r="F2009" t="s">
        <v>2370</v>
      </c>
      <c r="G2009" t="s">
        <v>2371</v>
      </c>
      <c r="H2009" t="s">
        <v>2370</v>
      </c>
    </row>
    <row r="2010" spans="1:8" x14ac:dyDescent="0.35">
      <c r="A2010" t="s">
        <v>349</v>
      </c>
      <c r="B2010">
        <v>27.39</v>
      </c>
      <c r="C2010">
        <v>5.34</v>
      </c>
      <c r="D2010" t="s">
        <v>2370</v>
      </c>
      <c r="E2010" t="s">
        <v>2370</v>
      </c>
      <c r="F2010" t="s">
        <v>2370</v>
      </c>
      <c r="G2010" t="s">
        <v>2371</v>
      </c>
      <c r="H2010" t="s">
        <v>2370</v>
      </c>
    </row>
    <row r="2011" spans="1:8" x14ac:dyDescent="0.35">
      <c r="A2011" t="s">
        <v>348</v>
      </c>
      <c r="B2011">
        <v>17.03</v>
      </c>
      <c r="C2011">
        <v>4.12</v>
      </c>
      <c r="D2011" t="s">
        <v>2370</v>
      </c>
      <c r="E2011" t="s">
        <v>2370</v>
      </c>
      <c r="F2011" t="s">
        <v>2370</v>
      </c>
      <c r="G2011">
        <v>1</v>
      </c>
      <c r="H2011" t="s">
        <v>2370</v>
      </c>
    </row>
    <row r="2012" spans="1:8" x14ac:dyDescent="0.35">
      <c r="A2012" t="s">
        <v>347</v>
      </c>
      <c r="B2012">
        <v>23.75</v>
      </c>
      <c r="C2012">
        <v>5.49</v>
      </c>
      <c r="D2012" t="s">
        <v>2372</v>
      </c>
      <c r="E2012" t="s">
        <v>2370</v>
      </c>
      <c r="F2012" t="s">
        <v>2370</v>
      </c>
      <c r="G2012" t="s">
        <v>2371</v>
      </c>
      <c r="H2012" t="s">
        <v>2370</v>
      </c>
    </row>
    <row r="2013" spans="1:8" x14ac:dyDescent="0.35">
      <c r="A2013" t="s">
        <v>345</v>
      </c>
      <c r="B2013">
        <v>26.03</v>
      </c>
      <c r="C2013">
        <v>5.1100000000000003</v>
      </c>
      <c r="D2013" t="s">
        <v>2372</v>
      </c>
      <c r="E2013" t="s">
        <v>2370</v>
      </c>
      <c r="F2013" t="s">
        <v>2370</v>
      </c>
      <c r="G2013">
        <v>1</v>
      </c>
      <c r="H2013" t="s">
        <v>2370</v>
      </c>
    </row>
    <row r="2014" spans="1:8" x14ac:dyDescent="0.35">
      <c r="A2014" t="s">
        <v>344</v>
      </c>
      <c r="B2014">
        <v>16.079999999999998</v>
      </c>
      <c r="C2014">
        <v>5.94</v>
      </c>
      <c r="D2014" t="s">
        <v>2370</v>
      </c>
      <c r="E2014" t="s">
        <v>2370</v>
      </c>
      <c r="F2014" t="s">
        <v>2370</v>
      </c>
      <c r="G2014" t="s">
        <v>2371</v>
      </c>
      <c r="H2014" t="s">
        <v>2370</v>
      </c>
    </row>
    <row r="2015" spans="1:8" x14ac:dyDescent="0.35">
      <c r="A2015" t="s">
        <v>343</v>
      </c>
      <c r="B2015">
        <v>30.875</v>
      </c>
      <c r="C2015">
        <v>5.54</v>
      </c>
      <c r="D2015" t="s">
        <v>2370</v>
      </c>
      <c r="E2015" t="s">
        <v>2370</v>
      </c>
      <c r="F2015" t="s">
        <v>2370</v>
      </c>
      <c r="G2015" t="s">
        <v>2371</v>
      </c>
      <c r="H2015" t="s">
        <v>2370</v>
      </c>
    </row>
    <row r="2016" spans="1:8" x14ac:dyDescent="0.35">
      <c r="A2016" t="s">
        <v>342</v>
      </c>
      <c r="B2016">
        <v>31.79</v>
      </c>
      <c r="C2016">
        <v>7.09</v>
      </c>
      <c r="D2016" t="s">
        <v>2370</v>
      </c>
      <c r="E2016" t="s">
        <v>2370</v>
      </c>
      <c r="F2016" t="s">
        <v>2370</v>
      </c>
      <c r="G2016" t="s">
        <v>2371</v>
      </c>
      <c r="H2016" t="s">
        <v>2370</v>
      </c>
    </row>
    <row r="2017" spans="1:8" x14ac:dyDescent="0.35">
      <c r="A2017" t="s">
        <v>341</v>
      </c>
      <c r="B2017">
        <v>28.48</v>
      </c>
      <c r="C2017">
        <v>6.22</v>
      </c>
      <c r="D2017" t="s">
        <v>2372</v>
      </c>
      <c r="E2017" t="s">
        <v>2370</v>
      </c>
      <c r="F2017" t="s">
        <v>2373</v>
      </c>
      <c r="G2017">
        <v>1</v>
      </c>
      <c r="H2017" t="s">
        <v>2370</v>
      </c>
    </row>
    <row r="2018" spans="1:8" x14ac:dyDescent="0.35">
      <c r="A2018" t="s">
        <v>340</v>
      </c>
      <c r="B2018">
        <v>26.6</v>
      </c>
      <c r="C2018">
        <v>4.33</v>
      </c>
      <c r="D2018" t="s">
        <v>2370</v>
      </c>
      <c r="E2018" t="s">
        <v>2370</v>
      </c>
      <c r="F2018" t="s">
        <v>2370</v>
      </c>
      <c r="G2018">
        <v>1</v>
      </c>
      <c r="H2018" t="s">
        <v>2370</v>
      </c>
    </row>
    <row r="2019" spans="1:8" x14ac:dyDescent="0.35">
      <c r="A2019" t="s">
        <v>339</v>
      </c>
      <c r="B2019">
        <v>25.27</v>
      </c>
      <c r="C2019">
        <v>5.83</v>
      </c>
      <c r="D2019" t="s">
        <v>2370</v>
      </c>
      <c r="E2019" t="s">
        <v>2370</v>
      </c>
      <c r="F2019" t="s">
        <v>2370</v>
      </c>
      <c r="G2019">
        <v>1</v>
      </c>
      <c r="H2019" t="s">
        <v>2370</v>
      </c>
    </row>
    <row r="2020" spans="1:8" x14ac:dyDescent="0.35">
      <c r="A2020" t="s">
        <v>338</v>
      </c>
      <c r="B2020">
        <v>34.484999999999999</v>
      </c>
      <c r="C2020">
        <v>4.7</v>
      </c>
      <c r="D2020" t="s">
        <v>2372</v>
      </c>
      <c r="E2020" t="s">
        <v>2370</v>
      </c>
      <c r="F2020" t="s">
        <v>2373</v>
      </c>
      <c r="G2020">
        <v>1</v>
      </c>
      <c r="H2020" t="s">
        <v>2370</v>
      </c>
    </row>
    <row r="2021" spans="1:8" x14ac:dyDescent="0.35">
      <c r="A2021" t="s">
        <v>337</v>
      </c>
      <c r="B2021">
        <v>15.57</v>
      </c>
      <c r="C2021">
        <v>4.07</v>
      </c>
      <c r="D2021" t="s">
        <v>2372</v>
      </c>
      <c r="E2021" t="s">
        <v>2370</v>
      </c>
      <c r="F2021" t="s">
        <v>2370</v>
      </c>
      <c r="G2021">
        <v>1</v>
      </c>
      <c r="H2021" t="s">
        <v>2370</v>
      </c>
    </row>
    <row r="2022" spans="1:8" x14ac:dyDescent="0.35">
      <c r="A2022" t="s">
        <v>336</v>
      </c>
      <c r="B2022">
        <v>30.36</v>
      </c>
      <c r="C2022">
        <v>9.39</v>
      </c>
      <c r="D2022" t="s">
        <v>2370</v>
      </c>
      <c r="E2022" t="s">
        <v>2370</v>
      </c>
      <c r="F2022" t="s">
        <v>2370</v>
      </c>
      <c r="G2022" t="s">
        <v>2371</v>
      </c>
      <c r="H2022" t="s">
        <v>2370</v>
      </c>
    </row>
    <row r="2023" spans="1:8" x14ac:dyDescent="0.35">
      <c r="A2023" t="s">
        <v>335</v>
      </c>
      <c r="B2023">
        <v>19.37</v>
      </c>
      <c r="C2023">
        <v>4.18</v>
      </c>
      <c r="D2023" t="s">
        <v>2370</v>
      </c>
      <c r="E2023" t="s">
        <v>2370</v>
      </c>
      <c r="F2023" t="s">
        <v>2370</v>
      </c>
      <c r="G2023" t="s">
        <v>2371</v>
      </c>
      <c r="H2023" t="s">
        <v>2370</v>
      </c>
    </row>
    <row r="2024" spans="1:8" x14ac:dyDescent="0.35">
      <c r="A2024" t="s">
        <v>334</v>
      </c>
      <c r="B2024">
        <v>16.71</v>
      </c>
      <c r="C2024">
        <v>4.18</v>
      </c>
      <c r="D2024" t="s">
        <v>2370</v>
      </c>
      <c r="E2024" t="s">
        <v>2370</v>
      </c>
      <c r="F2024" t="s">
        <v>2370</v>
      </c>
      <c r="G2024">
        <v>1</v>
      </c>
      <c r="H2024" t="s">
        <v>2370</v>
      </c>
    </row>
    <row r="2025" spans="1:8" x14ac:dyDescent="0.35">
      <c r="A2025" t="s">
        <v>333</v>
      </c>
      <c r="B2025">
        <v>24.1</v>
      </c>
      <c r="C2025">
        <v>4.4000000000000004</v>
      </c>
      <c r="D2025" t="s">
        <v>2372</v>
      </c>
      <c r="E2025" t="s">
        <v>2370</v>
      </c>
      <c r="F2025" t="s">
        <v>2370</v>
      </c>
      <c r="G2025">
        <v>1</v>
      </c>
      <c r="H2025" t="s">
        <v>2370</v>
      </c>
    </row>
    <row r="2026" spans="1:8" x14ac:dyDescent="0.35">
      <c r="A2026" t="s">
        <v>332</v>
      </c>
      <c r="B2026">
        <v>29.77</v>
      </c>
      <c r="C2026">
        <v>9.9</v>
      </c>
      <c r="D2026" t="s">
        <v>2370</v>
      </c>
      <c r="E2026" t="s">
        <v>2370</v>
      </c>
      <c r="F2026" t="s">
        <v>2370</v>
      </c>
      <c r="G2026" t="s">
        <v>2371</v>
      </c>
      <c r="H2026" t="s">
        <v>2370</v>
      </c>
    </row>
    <row r="2027" spans="1:8" x14ac:dyDescent="0.35">
      <c r="A2027" t="s">
        <v>331</v>
      </c>
      <c r="B2027">
        <v>46.53</v>
      </c>
      <c r="C2027">
        <v>4.84</v>
      </c>
      <c r="D2027" t="s">
        <v>2372</v>
      </c>
      <c r="E2027" t="s">
        <v>2370</v>
      </c>
      <c r="F2027" t="s">
        <v>2370</v>
      </c>
      <c r="G2027" t="s">
        <v>2371</v>
      </c>
      <c r="H2027" t="s">
        <v>2370</v>
      </c>
    </row>
    <row r="2028" spans="1:8" x14ac:dyDescent="0.35">
      <c r="A2028" t="s">
        <v>330</v>
      </c>
      <c r="B2028">
        <v>23.4</v>
      </c>
      <c r="C2028">
        <v>5.53</v>
      </c>
      <c r="D2028" t="s">
        <v>2370</v>
      </c>
      <c r="E2028" t="s">
        <v>2370</v>
      </c>
      <c r="F2028" t="s">
        <v>2373</v>
      </c>
      <c r="G2028">
        <v>1</v>
      </c>
      <c r="H2028" t="s">
        <v>2370</v>
      </c>
    </row>
    <row r="2029" spans="1:8" x14ac:dyDescent="0.35">
      <c r="A2029" t="s">
        <v>329</v>
      </c>
      <c r="B2029">
        <v>30</v>
      </c>
      <c r="C2029">
        <v>4.33</v>
      </c>
      <c r="D2029" t="s">
        <v>2372</v>
      </c>
      <c r="E2029" t="s">
        <v>2370</v>
      </c>
      <c r="F2029" t="s">
        <v>2370</v>
      </c>
      <c r="G2029" t="s">
        <v>2371</v>
      </c>
      <c r="H2029" t="s">
        <v>2370</v>
      </c>
    </row>
    <row r="2030" spans="1:8" x14ac:dyDescent="0.35">
      <c r="A2030" t="s">
        <v>328</v>
      </c>
      <c r="B2030">
        <v>29.15</v>
      </c>
      <c r="C2030">
        <v>4.91</v>
      </c>
      <c r="D2030" t="s">
        <v>2372</v>
      </c>
      <c r="E2030" t="s">
        <v>2370</v>
      </c>
      <c r="F2030" t="s">
        <v>2370</v>
      </c>
      <c r="G2030" t="s">
        <v>2371</v>
      </c>
      <c r="H2030" t="s">
        <v>2370</v>
      </c>
    </row>
    <row r="2031" spans="1:8" x14ac:dyDescent="0.35">
      <c r="A2031" t="s">
        <v>327</v>
      </c>
      <c r="B2031">
        <v>34.865000000000002</v>
      </c>
      <c r="C2031">
        <v>4.8</v>
      </c>
      <c r="D2031" t="s">
        <v>2370</v>
      </c>
      <c r="E2031" t="s">
        <v>2370</v>
      </c>
      <c r="F2031" t="s">
        <v>2370</v>
      </c>
      <c r="G2031" t="s">
        <v>2371</v>
      </c>
      <c r="H2031" t="s">
        <v>2370</v>
      </c>
    </row>
    <row r="2032" spans="1:8" x14ac:dyDescent="0.35">
      <c r="A2032" t="s">
        <v>326</v>
      </c>
      <c r="B2032">
        <v>28.12</v>
      </c>
      <c r="C2032">
        <v>5.55</v>
      </c>
      <c r="D2032" t="s">
        <v>2372</v>
      </c>
      <c r="E2032" t="s">
        <v>2372</v>
      </c>
      <c r="F2032" t="s">
        <v>2370</v>
      </c>
      <c r="G2032">
        <v>2</v>
      </c>
      <c r="H2032" t="s">
        <v>2370</v>
      </c>
    </row>
    <row r="2033" spans="1:8" x14ac:dyDescent="0.35">
      <c r="A2033" t="s">
        <v>325</v>
      </c>
      <c r="B2033">
        <v>29.45</v>
      </c>
      <c r="C2033">
        <v>5.24</v>
      </c>
      <c r="D2033" t="s">
        <v>2372</v>
      </c>
      <c r="E2033" t="s">
        <v>2370</v>
      </c>
      <c r="F2033" t="s">
        <v>2370</v>
      </c>
      <c r="G2033" t="s">
        <v>2371</v>
      </c>
      <c r="H2033" t="s">
        <v>2370</v>
      </c>
    </row>
    <row r="2034" spans="1:8" x14ac:dyDescent="0.35">
      <c r="A2034" t="s">
        <v>324</v>
      </c>
      <c r="B2034">
        <v>27.94</v>
      </c>
      <c r="C2034">
        <v>6.08</v>
      </c>
      <c r="D2034" t="s">
        <v>2370</v>
      </c>
      <c r="E2034" t="s">
        <v>2370</v>
      </c>
      <c r="F2034" t="s">
        <v>2373</v>
      </c>
      <c r="G2034">
        <v>1</v>
      </c>
      <c r="H2034" t="s">
        <v>2370</v>
      </c>
    </row>
    <row r="2035" spans="1:8" x14ac:dyDescent="0.35">
      <c r="A2035" t="s">
        <v>323</v>
      </c>
      <c r="B2035">
        <v>27.2</v>
      </c>
      <c r="C2035">
        <v>5.83</v>
      </c>
      <c r="D2035" t="s">
        <v>2370</v>
      </c>
      <c r="E2035" t="s">
        <v>2370</v>
      </c>
      <c r="F2035" t="s">
        <v>2373</v>
      </c>
      <c r="G2035">
        <v>1</v>
      </c>
      <c r="H2035" t="s">
        <v>2370</v>
      </c>
    </row>
    <row r="2036" spans="1:8" x14ac:dyDescent="0.35">
      <c r="A2036" t="s">
        <v>322</v>
      </c>
      <c r="B2036">
        <v>33.344999999999999</v>
      </c>
      <c r="C2036">
        <v>4.29</v>
      </c>
      <c r="D2036" t="s">
        <v>2370</v>
      </c>
      <c r="E2036" t="s">
        <v>2370</v>
      </c>
      <c r="F2036" t="s">
        <v>2370</v>
      </c>
      <c r="G2036">
        <v>1</v>
      </c>
      <c r="H2036" t="s">
        <v>2370</v>
      </c>
    </row>
    <row r="2037" spans="1:8" x14ac:dyDescent="0.35">
      <c r="A2037" t="s">
        <v>321</v>
      </c>
      <c r="B2037">
        <v>29.925000000000001</v>
      </c>
      <c r="C2037">
        <v>5.3</v>
      </c>
      <c r="D2037" t="s">
        <v>2370</v>
      </c>
      <c r="E2037" t="s">
        <v>2370</v>
      </c>
      <c r="F2037" t="s">
        <v>2370</v>
      </c>
      <c r="G2037">
        <v>1</v>
      </c>
      <c r="H2037" t="s">
        <v>2370</v>
      </c>
    </row>
    <row r="2038" spans="1:8" x14ac:dyDescent="0.35">
      <c r="A2038" t="s">
        <v>320</v>
      </c>
      <c r="B2038">
        <v>24.225000000000001</v>
      </c>
      <c r="C2038">
        <v>4.42</v>
      </c>
      <c r="D2038" t="s">
        <v>2370</v>
      </c>
      <c r="E2038" t="s">
        <v>2370</v>
      </c>
      <c r="F2038" t="s">
        <v>2370</v>
      </c>
      <c r="G2038">
        <v>1</v>
      </c>
      <c r="H2038" t="s">
        <v>2370</v>
      </c>
    </row>
    <row r="2039" spans="1:8" x14ac:dyDescent="0.35">
      <c r="A2039" t="s">
        <v>319</v>
      </c>
      <c r="B2039">
        <v>29.68</v>
      </c>
      <c r="C2039">
        <v>5.68</v>
      </c>
      <c r="D2039" t="s">
        <v>2370</v>
      </c>
      <c r="E2039" t="s">
        <v>2372</v>
      </c>
      <c r="F2039" t="s">
        <v>2370</v>
      </c>
      <c r="G2039">
        <v>1</v>
      </c>
      <c r="H2039" t="s">
        <v>2370</v>
      </c>
    </row>
    <row r="2040" spans="1:8" x14ac:dyDescent="0.35">
      <c r="A2040" t="s">
        <v>318</v>
      </c>
      <c r="B2040">
        <v>20.614999999999998</v>
      </c>
      <c r="C2040">
        <v>6.05</v>
      </c>
      <c r="D2040" t="s">
        <v>2370</v>
      </c>
      <c r="E2040" t="s">
        <v>2370</v>
      </c>
      <c r="F2040" t="s">
        <v>2373</v>
      </c>
      <c r="G2040">
        <v>1</v>
      </c>
      <c r="H2040" t="s">
        <v>2370</v>
      </c>
    </row>
    <row r="2041" spans="1:8" x14ac:dyDescent="0.35">
      <c r="A2041" t="s">
        <v>317</v>
      </c>
      <c r="B2041">
        <v>32.119999999999997</v>
      </c>
      <c r="C2041">
        <v>5.33</v>
      </c>
      <c r="D2041" t="s">
        <v>2370</v>
      </c>
      <c r="E2041" t="s">
        <v>2372</v>
      </c>
      <c r="F2041" t="s">
        <v>2370</v>
      </c>
      <c r="G2041">
        <v>1</v>
      </c>
      <c r="H2041" t="s">
        <v>2370</v>
      </c>
    </row>
    <row r="2042" spans="1:8" x14ac:dyDescent="0.35">
      <c r="A2042" t="s">
        <v>316</v>
      </c>
      <c r="B2042">
        <v>27.36</v>
      </c>
      <c r="C2042">
        <v>6.22</v>
      </c>
      <c r="D2042" t="s">
        <v>2370</v>
      </c>
      <c r="E2042" t="s">
        <v>2370</v>
      </c>
      <c r="F2042" t="s">
        <v>2370</v>
      </c>
      <c r="G2042" t="s">
        <v>2371</v>
      </c>
      <c r="H2042" t="s">
        <v>2370</v>
      </c>
    </row>
    <row r="2043" spans="1:8" x14ac:dyDescent="0.35">
      <c r="A2043" t="s">
        <v>315</v>
      </c>
      <c r="B2043">
        <v>17.385000000000002</v>
      </c>
      <c r="C2043">
        <v>5.84</v>
      </c>
      <c r="D2043" t="s">
        <v>2370</v>
      </c>
      <c r="E2043" t="s">
        <v>2370</v>
      </c>
      <c r="F2043" t="s">
        <v>2370</v>
      </c>
      <c r="G2043" t="s">
        <v>2371</v>
      </c>
      <c r="H2043" t="s">
        <v>2370</v>
      </c>
    </row>
    <row r="2044" spans="1:8" x14ac:dyDescent="0.35">
      <c r="A2044" t="s">
        <v>314</v>
      </c>
      <c r="B2044">
        <v>30.13</v>
      </c>
      <c r="C2044">
        <v>5.71</v>
      </c>
      <c r="D2044" t="s">
        <v>2370</v>
      </c>
      <c r="E2044" t="s">
        <v>2372</v>
      </c>
      <c r="F2044" t="s">
        <v>2370</v>
      </c>
      <c r="G2044">
        <v>1</v>
      </c>
      <c r="H2044" t="s">
        <v>2370</v>
      </c>
    </row>
    <row r="2045" spans="1:8" x14ac:dyDescent="0.35">
      <c r="A2045" t="s">
        <v>313</v>
      </c>
      <c r="B2045">
        <v>25.44</v>
      </c>
      <c r="C2045">
        <v>6.04</v>
      </c>
      <c r="D2045" t="s">
        <v>2372</v>
      </c>
      <c r="E2045" t="s">
        <v>2370</v>
      </c>
      <c r="F2045" t="s">
        <v>2373</v>
      </c>
      <c r="G2045">
        <v>1</v>
      </c>
      <c r="H2045" t="s">
        <v>2370</v>
      </c>
    </row>
    <row r="2046" spans="1:8" x14ac:dyDescent="0.35">
      <c r="A2046" t="s">
        <v>312</v>
      </c>
      <c r="B2046">
        <v>39.805</v>
      </c>
      <c r="C2046">
        <v>4.38</v>
      </c>
      <c r="D2046" t="s">
        <v>2370</v>
      </c>
      <c r="E2046" t="s">
        <v>2372</v>
      </c>
      <c r="F2046" t="s">
        <v>2370</v>
      </c>
      <c r="G2046">
        <v>1</v>
      </c>
      <c r="H2046" t="s">
        <v>2370</v>
      </c>
    </row>
    <row r="2047" spans="1:8" x14ac:dyDescent="0.35">
      <c r="A2047" t="s">
        <v>311</v>
      </c>
      <c r="B2047">
        <v>30.4</v>
      </c>
      <c r="C2047">
        <v>5.56</v>
      </c>
      <c r="D2047" t="s">
        <v>2372</v>
      </c>
      <c r="E2047" t="s">
        <v>2372</v>
      </c>
      <c r="F2047" t="s">
        <v>2370</v>
      </c>
      <c r="G2047">
        <v>1</v>
      </c>
      <c r="H2047" t="s">
        <v>2370</v>
      </c>
    </row>
    <row r="2048" spans="1:8" x14ac:dyDescent="0.35">
      <c r="A2048" t="s">
        <v>310</v>
      </c>
      <c r="B2048">
        <v>23.18</v>
      </c>
      <c r="C2048">
        <v>4.24</v>
      </c>
      <c r="D2048" t="s">
        <v>2370</v>
      </c>
      <c r="E2048" t="s">
        <v>2372</v>
      </c>
      <c r="F2048" t="s">
        <v>2370</v>
      </c>
      <c r="G2048">
        <v>1</v>
      </c>
      <c r="H2048" t="s">
        <v>2370</v>
      </c>
    </row>
    <row r="2049" spans="1:8" x14ac:dyDescent="0.35">
      <c r="A2049" t="s">
        <v>309</v>
      </c>
      <c r="B2049">
        <v>39.615000000000002</v>
      </c>
      <c r="C2049">
        <v>6.32</v>
      </c>
      <c r="D2049" t="s">
        <v>2370</v>
      </c>
      <c r="E2049" t="s">
        <v>2370</v>
      </c>
      <c r="F2049" t="s">
        <v>2373</v>
      </c>
      <c r="G2049">
        <v>1</v>
      </c>
      <c r="H2049" t="s">
        <v>2370</v>
      </c>
    </row>
    <row r="2050" spans="1:8" x14ac:dyDescent="0.35">
      <c r="A2050" t="s">
        <v>308</v>
      </c>
      <c r="B2050">
        <v>30.59</v>
      </c>
      <c r="C2050">
        <v>6.3</v>
      </c>
      <c r="D2050" t="s">
        <v>2372</v>
      </c>
      <c r="E2050" t="s">
        <v>2370</v>
      </c>
      <c r="F2050" t="s">
        <v>2373</v>
      </c>
      <c r="G2050">
        <v>1</v>
      </c>
      <c r="H2050" t="s">
        <v>2370</v>
      </c>
    </row>
    <row r="2051" spans="1:8" x14ac:dyDescent="0.35">
      <c r="A2051" t="s">
        <v>307</v>
      </c>
      <c r="B2051">
        <v>16.72</v>
      </c>
      <c r="C2051">
        <v>4.38</v>
      </c>
      <c r="D2051" t="s">
        <v>2372</v>
      </c>
      <c r="E2051" t="s">
        <v>2370</v>
      </c>
      <c r="F2051" t="s">
        <v>2370</v>
      </c>
      <c r="G2051">
        <v>1</v>
      </c>
      <c r="H2051" t="s">
        <v>2370</v>
      </c>
    </row>
    <row r="2052" spans="1:8" x14ac:dyDescent="0.35">
      <c r="A2052" t="s">
        <v>306</v>
      </c>
      <c r="B2052">
        <v>26.22</v>
      </c>
      <c r="C2052">
        <v>4.6500000000000004</v>
      </c>
      <c r="D2052" t="s">
        <v>2372</v>
      </c>
      <c r="E2052" t="s">
        <v>2370</v>
      </c>
      <c r="F2052" t="s">
        <v>2373</v>
      </c>
      <c r="G2052">
        <v>1</v>
      </c>
      <c r="H2052" t="s">
        <v>2370</v>
      </c>
    </row>
    <row r="2053" spans="1:8" x14ac:dyDescent="0.35">
      <c r="A2053" t="s">
        <v>305</v>
      </c>
      <c r="B2053">
        <v>31.824999999999999</v>
      </c>
      <c r="C2053">
        <v>4.7</v>
      </c>
      <c r="D2053" t="s">
        <v>2370</v>
      </c>
      <c r="E2053" t="s">
        <v>2370</v>
      </c>
      <c r="F2053" t="s">
        <v>2373</v>
      </c>
      <c r="G2053">
        <v>1</v>
      </c>
      <c r="H2053" t="s">
        <v>2370</v>
      </c>
    </row>
    <row r="2054" spans="1:8" x14ac:dyDescent="0.35">
      <c r="A2054" t="s">
        <v>304</v>
      </c>
      <c r="B2054">
        <v>25.745000000000001</v>
      </c>
      <c r="C2054">
        <v>4.34</v>
      </c>
      <c r="D2054" t="s">
        <v>2370</v>
      </c>
      <c r="E2054" t="s">
        <v>2370</v>
      </c>
      <c r="F2054" t="s">
        <v>2373</v>
      </c>
      <c r="G2054">
        <v>1</v>
      </c>
      <c r="H2054" t="s">
        <v>2370</v>
      </c>
    </row>
    <row r="2055" spans="1:8" x14ac:dyDescent="0.35">
      <c r="A2055" t="s">
        <v>303</v>
      </c>
      <c r="B2055">
        <v>24.605</v>
      </c>
      <c r="C2055">
        <v>5.62</v>
      </c>
      <c r="D2055" t="s">
        <v>2370</v>
      </c>
      <c r="E2055" t="s">
        <v>2370</v>
      </c>
      <c r="F2055" t="s">
        <v>2373</v>
      </c>
      <c r="G2055">
        <v>1</v>
      </c>
      <c r="H2055" t="s">
        <v>2370</v>
      </c>
    </row>
    <row r="2056" spans="1:8" x14ac:dyDescent="0.35">
      <c r="A2056" t="s">
        <v>302</v>
      </c>
      <c r="B2056">
        <v>24.51</v>
      </c>
      <c r="C2056">
        <v>4.24</v>
      </c>
      <c r="D2056" t="s">
        <v>2370</v>
      </c>
      <c r="E2056" t="s">
        <v>2370</v>
      </c>
      <c r="F2056" t="s">
        <v>2373</v>
      </c>
      <c r="G2056">
        <v>1</v>
      </c>
      <c r="H2056" t="s">
        <v>2370</v>
      </c>
    </row>
    <row r="2057" spans="1:8" x14ac:dyDescent="0.35">
      <c r="A2057" t="s">
        <v>301</v>
      </c>
      <c r="B2057">
        <v>31.065000000000001</v>
      </c>
      <c r="C2057">
        <v>4.57</v>
      </c>
      <c r="D2057" t="s">
        <v>2372</v>
      </c>
      <c r="E2057" t="s">
        <v>2370</v>
      </c>
      <c r="F2057" t="s">
        <v>2370</v>
      </c>
      <c r="G2057" t="s">
        <v>2371</v>
      </c>
      <c r="H2057" t="s">
        <v>2370</v>
      </c>
    </row>
    <row r="2058" spans="1:8" x14ac:dyDescent="0.35">
      <c r="A2058" t="s">
        <v>300</v>
      </c>
      <c r="B2058">
        <v>28.12</v>
      </c>
      <c r="C2058">
        <v>5.05</v>
      </c>
      <c r="D2058" t="s">
        <v>2370</v>
      </c>
      <c r="E2058" t="s">
        <v>2370</v>
      </c>
      <c r="F2058" t="s">
        <v>2370</v>
      </c>
      <c r="G2058" t="s">
        <v>2371</v>
      </c>
      <c r="H2058" t="s">
        <v>2370</v>
      </c>
    </row>
    <row r="2059" spans="1:8" x14ac:dyDescent="0.35">
      <c r="A2059" t="s">
        <v>299</v>
      </c>
      <c r="B2059">
        <v>38.06</v>
      </c>
      <c r="C2059">
        <v>6.16</v>
      </c>
      <c r="D2059" t="s">
        <v>2370</v>
      </c>
      <c r="E2059" t="s">
        <v>2370</v>
      </c>
      <c r="F2059" t="s">
        <v>2370</v>
      </c>
      <c r="G2059" t="s">
        <v>2371</v>
      </c>
      <c r="H2059" t="s">
        <v>2370</v>
      </c>
    </row>
    <row r="2060" spans="1:8" x14ac:dyDescent="0.35">
      <c r="A2060" t="s">
        <v>298</v>
      </c>
      <c r="B2060">
        <v>24.96</v>
      </c>
      <c r="C2060">
        <v>4.57</v>
      </c>
      <c r="D2060" t="s">
        <v>2370</v>
      </c>
      <c r="E2060" t="s">
        <v>2370</v>
      </c>
      <c r="F2060" t="s">
        <v>2370</v>
      </c>
      <c r="G2060" t="s">
        <v>2371</v>
      </c>
      <c r="H2060" t="s">
        <v>2370</v>
      </c>
    </row>
    <row r="2061" spans="1:8" x14ac:dyDescent="0.35">
      <c r="A2061" t="s">
        <v>297</v>
      </c>
      <c r="B2061">
        <v>17.670000000000002</v>
      </c>
      <c r="C2061">
        <v>5.53</v>
      </c>
      <c r="D2061" t="s">
        <v>2372</v>
      </c>
      <c r="E2061" t="s">
        <v>2370</v>
      </c>
      <c r="F2061" t="s">
        <v>2370</v>
      </c>
      <c r="G2061" t="s">
        <v>2371</v>
      </c>
      <c r="H2061" t="s">
        <v>2370</v>
      </c>
    </row>
    <row r="2062" spans="1:8" x14ac:dyDescent="0.35">
      <c r="A2062" t="s">
        <v>296</v>
      </c>
      <c r="B2062">
        <v>31.35</v>
      </c>
      <c r="C2062">
        <v>5.84</v>
      </c>
      <c r="D2062" t="s">
        <v>2370</v>
      </c>
      <c r="E2062" t="s">
        <v>2372</v>
      </c>
      <c r="F2062" t="s">
        <v>2370</v>
      </c>
      <c r="G2062">
        <v>1</v>
      </c>
      <c r="H2062" t="s">
        <v>2370</v>
      </c>
    </row>
    <row r="2063" spans="1:8" x14ac:dyDescent="0.35">
      <c r="A2063" t="s">
        <v>295</v>
      </c>
      <c r="B2063">
        <v>28.31</v>
      </c>
      <c r="C2063">
        <v>6.41</v>
      </c>
      <c r="D2063" t="s">
        <v>2370</v>
      </c>
      <c r="E2063" t="s">
        <v>2372</v>
      </c>
      <c r="F2063" t="s">
        <v>2370</v>
      </c>
      <c r="G2063">
        <v>1</v>
      </c>
      <c r="H2063" t="s">
        <v>2370</v>
      </c>
    </row>
    <row r="2064" spans="1:8" x14ac:dyDescent="0.35">
      <c r="A2064" t="s">
        <v>294</v>
      </c>
      <c r="B2064">
        <v>30.3</v>
      </c>
      <c r="C2064">
        <v>4.7300000000000004</v>
      </c>
      <c r="D2064" t="s">
        <v>2372</v>
      </c>
      <c r="E2064" t="s">
        <v>2370</v>
      </c>
      <c r="F2064" t="s">
        <v>2373</v>
      </c>
      <c r="G2064">
        <v>1</v>
      </c>
      <c r="H2064" t="s">
        <v>2370</v>
      </c>
    </row>
    <row r="2065" spans="1:8" x14ac:dyDescent="0.35">
      <c r="A2065" t="s">
        <v>293</v>
      </c>
      <c r="B2065">
        <v>26.4</v>
      </c>
      <c r="C2065">
        <v>6.22</v>
      </c>
      <c r="D2065" t="s">
        <v>2372</v>
      </c>
      <c r="E2065" t="s">
        <v>2370</v>
      </c>
      <c r="F2065" t="s">
        <v>2370</v>
      </c>
      <c r="G2065" t="s">
        <v>2371</v>
      </c>
      <c r="H2065" t="s">
        <v>2370</v>
      </c>
    </row>
    <row r="2066" spans="1:8" x14ac:dyDescent="0.35">
      <c r="A2066" t="s">
        <v>292</v>
      </c>
      <c r="B2066">
        <v>22.135000000000002</v>
      </c>
      <c r="C2066">
        <v>4.46</v>
      </c>
      <c r="D2066" t="s">
        <v>2372</v>
      </c>
      <c r="E2066" t="s">
        <v>2370</v>
      </c>
      <c r="F2066" t="s">
        <v>2370</v>
      </c>
      <c r="G2066" t="s">
        <v>2371</v>
      </c>
      <c r="H2066" t="s">
        <v>2370</v>
      </c>
    </row>
    <row r="2067" spans="1:8" x14ac:dyDescent="0.35">
      <c r="A2067" t="s">
        <v>291</v>
      </c>
      <c r="B2067">
        <v>17.399999999999999</v>
      </c>
      <c r="C2067">
        <v>4.5</v>
      </c>
      <c r="D2067" t="s">
        <v>2372</v>
      </c>
      <c r="E2067" t="s">
        <v>2370</v>
      </c>
      <c r="F2067" t="s">
        <v>2370</v>
      </c>
      <c r="G2067" t="s">
        <v>2371</v>
      </c>
      <c r="H2067" t="s">
        <v>2370</v>
      </c>
    </row>
    <row r="2068" spans="1:8" x14ac:dyDescent="0.35">
      <c r="A2068" t="s">
        <v>289</v>
      </c>
      <c r="B2068">
        <v>28.06</v>
      </c>
      <c r="C2068">
        <v>8.93</v>
      </c>
      <c r="D2068" t="s">
        <v>2370</v>
      </c>
      <c r="E2068" t="s">
        <v>2370</v>
      </c>
      <c r="F2068" t="s">
        <v>2370</v>
      </c>
      <c r="G2068" t="s">
        <v>2371</v>
      </c>
      <c r="H2068" t="s">
        <v>2370</v>
      </c>
    </row>
    <row r="2069" spans="1:8" x14ac:dyDescent="0.35">
      <c r="A2069" t="s">
        <v>288</v>
      </c>
      <c r="B2069">
        <v>31.13</v>
      </c>
      <c r="C2069">
        <v>11.02</v>
      </c>
      <c r="D2069" t="s">
        <v>2370</v>
      </c>
      <c r="E2069" t="s">
        <v>2370</v>
      </c>
      <c r="F2069" t="s">
        <v>2370</v>
      </c>
      <c r="G2069" t="s">
        <v>2371</v>
      </c>
      <c r="H2069" t="s">
        <v>2370</v>
      </c>
    </row>
    <row r="2070" spans="1:8" x14ac:dyDescent="0.35">
      <c r="A2070" t="s">
        <v>287</v>
      </c>
      <c r="B2070">
        <v>18.46</v>
      </c>
      <c r="C2070">
        <v>5.25</v>
      </c>
      <c r="D2070" t="s">
        <v>2370</v>
      </c>
      <c r="E2070" t="s">
        <v>2370</v>
      </c>
      <c r="F2070" t="s">
        <v>2370</v>
      </c>
      <c r="G2070" t="s">
        <v>2371</v>
      </c>
      <c r="H2070" t="s">
        <v>2370</v>
      </c>
    </row>
    <row r="2071" spans="1:8" x14ac:dyDescent="0.35">
      <c r="A2071" t="s">
        <v>286</v>
      </c>
      <c r="B2071">
        <v>17.3</v>
      </c>
      <c r="C2071">
        <v>4.75</v>
      </c>
      <c r="D2071" t="s">
        <v>2370</v>
      </c>
      <c r="E2071" t="s">
        <v>2370</v>
      </c>
      <c r="F2071" t="s">
        <v>2370</v>
      </c>
      <c r="G2071" t="s">
        <v>2371</v>
      </c>
      <c r="H2071" t="s">
        <v>2370</v>
      </c>
    </row>
    <row r="2072" spans="1:8" x14ac:dyDescent="0.35">
      <c r="A2072" t="s">
        <v>285</v>
      </c>
      <c r="B2072">
        <v>35.625</v>
      </c>
      <c r="C2072">
        <v>4.68</v>
      </c>
      <c r="D2072" t="s">
        <v>2372</v>
      </c>
      <c r="E2072" t="s">
        <v>2370</v>
      </c>
      <c r="F2072" t="s">
        <v>2373</v>
      </c>
      <c r="G2072">
        <v>1</v>
      </c>
      <c r="H2072" t="s">
        <v>2370</v>
      </c>
    </row>
    <row r="2073" spans="1:8" x14ac:dyDescent="0.35">
      <c r="A2073" t="s">
        <v>284</v>
      </c>
      <c r="B2073">
        <v>20.234999999999999</v>
      </c>
      <c r="C2073">
        <v>6.17</v>
      </c>
      <c r="D2073" t="s">
        <v>2372</v>
      </c>
      <c r="E2073" t="s">
        <v>2372</v>
      </c>
      <c r="F2073" t="s">
        <v>2370</v>
      </c>
      <c r="G2073">
        <v>2</v>
      </c>
      <c r="H2073" t="s">
        <v>2370</v>
      </c>
    </row>
    <row r="2074" spans="1:8" x14ac:dyDescent="0.35">
      <c r="A2074" t="s">
        <v>283</v>
      </c>
      <c r="B2074">
        <v>27.55</v>
      </c>
      <c r="C2074">
        <v>4.5599999999999996</v>
      </c>
      <c r="D2074" t="s">
        <v>2372</v>
      </c>
      <c r="E2074" t="s">
        <v>2370</v>
      </c>
      <c r="F2074" t="s">
        <v>2373</v>
      </c>
      <c r="G2074">
        <v>1</v>
      </c>
      <c r="H2074" t="s">
        <v>2370</v>
      </c>
    </row>
    <row r="2075" spans="1:8" x14ac:dyDescent="0.35">
      <c r="A2075" t="s">
        <v>282</v>
      </c>
      <c r="B2075">
        <v>17.97</v>
      </c>
      <c r="C2075">
        <v>6.3</v>
      </c>
      <c r="D2075" t="s">
        <v>2370</v>
      </c>
      <c r="E2075" t="s">
        <v>2370</v>
      </c>
      <c r="F2075" t="s">
        <v>2370</v>
      </c>
      <c r="G2075" t="s">
        <v>2371</v>
      </c>
      <c r="H2075" t="s">
        <v>2370</v>
      </c>
    </row>
    <row r="2076" spans="1:8" x14ac:dyDescent="0.35">
      <c r="A2076" t="s">
        <v>281</v>
      </c>
      <c r="B2076">
        <v>29.98</v>
      </c>
      <c r="C2076">
        <v>6.03</v>
      </c>
      <c r="D2076" t="s">
        <v>2370</v>
      </c>
      <c r="E2076" t="s">
        <v>2372</v>
      </c>
      <c r="F2076" t="s">
        <v>2370</v>
      </c>
      <c r="G2076">
        <v>1</v>
      </c>
      <c r="H2076" t="s">
        <v>2370</v>
      </c>
    </row>
    <row r="2077" spans="1:8" x14ac:dyDescent="0.35">
      <c r="A2077" t="s">
        <v>280</v>
      </c>
      <c r="B2077">
        <v>33.659999999999997</v>
      </c>
      <c r="C2077">
        <v>4.2</v>
      </c>
      <c r="D2077" t="s">
        <v>2372</v>
      </c>
      <c r="E2077" t="s">
        <v>2370</v>
      </c>
      <c r="F2077" t="s">
        <v>2370</v>
      </c>
      <c r="G2077">
        <v>1</v>
      </c>
      <c r="H2077" t="s">
        <v>2370</v>
      </c>
    </row>
    <row r="2078" spans="1:8" x14ac:dyDescent="0.35">
      <c r="A2078" t="s">
        <v>279</v>
      </c>
      <c r="B2078">
        <v>32.67</v>
      </c>
      <c r="C2078">
        <v>5.61</v>
      </c>
      <c r="D2078" t="s">
        <v>2372</v>
      </c>
      <c r="E2078" t="s">
        <v>2370</v>
      </c>
      <c r="F2078" t="s">
        <v>2370</v>
      </c>
      <c r="G2078">
        <v>1</v>
      </c>
      <c r="H2078" t="s">
        <v>2370</v>
      </c>
    </row>
    <row r="2079" spans="1:8" x14ac:dyDescent="0.35">
      <c r="A2079" t="s">
        <v>278</v>
      </c>
      <c r="B2079">
        <v>30.5</v>
      </c>
      <c r="C2079">
        <v>5.88</v>
      </c>
      <c r="D2079" t="s">
        <v>2372</v>
      </c>
      <c r="E2079" t="s">
        <v>2370</v>
      </c>
      <c r="F2079" t="s">
        <v>2370</v>
      </c>
      <c r="G2079">
        <v>1</v>
      </c>
      <c r="H2079" t="s">
        <v>2370</v>
      </c>
    </row>
    <row r="2080" spans="1:8" x14ac:dyDescent="0.35">
      <c r="A2080" t="s">
        <v>277</v>
      </c>
      <c r="B2080">
        <v>23.1</v>
      </c>
      <c r="C2080">
        <v>5.92</v>
      </c>
      <c r="D2080" t="s">
        <v>2372</v>
      </c>
      <c r="E2080" t="s">
        <v>2370</v>
      </c>
      <c r="F2080" t="s">
        <v>2370</v>
      </c>
      <c r="G2080">
        <v>1</v>
      </c>
      <c r="H2080" t="s">
        <v>2370</v>
      </c>
    </row>
    <row r="2081" spans="1:8" x14ac:dyDescent="0.35">
      <c r="A2081" t="s">
        <v>276</v>
      </c>
      <c r="B2081">
        <v>39.49</v>
      </c>
      <c r="C2081">
        <v>4.8099999999999996</v>
      </c>
      <c r="D2081" t="s">
        <v>2370</v>
      </c>
      <c r="E2081" t="s">
        <v>2370</v>
      </c>
      <c r="F2081" t="s">
        <v>2370</v>
      </c>
      <c r="G2081">
        <v>1</v>
      </c>
      <c r="H2081" t="s">
        <v>2370</v>
      </c>
    </row>
    <row r="2082" spans="1:8" x14ac:dyDescent="0.35">
      <c r="A2082" t="s">
        <v>275</v>
      </c>
      <c r="B2082">
        <v>33.99</v>
      </c>
      <c r="C2082">
        <v>4.55</v>
      </c>
      <c r="D2082" t="s">
        <v>2370</v>
      </c>
      <c r="E2082" t="s">
        <v>2370</v>
      </c>
      <c r="F2082" t="s">
        <v>2370</v>
      </c>
      <c r="G2082">
        <v>1</v>
      </c>
      <c r="H2082" t="s">
        <v>2370</v>
      </c>
    </row>
    <row r="2083" spans="1:8" x14ac:dyDescent="0.35">
      <c r="A2083" t="s">
        <v>274</v>
      </c>
      <c r="B2083">
        <v>27.72</v>
      </c>
      <c r="C2083">
        <v>6.43</v>
      </c>
      <c r="D2083" t="s">
        <v>2370</v>
      </c>
      <c r="E2083" t="s">
        <v>2370</v>
      </c>
      <c r="F2083" t="s">
        <v>2370</v>
      </c>
      <c r="G2083">
        <v>1</v>
      </c>
      <c r="H2083" t="s">
        <v>2370</v>
      </c>
    </row>
    <row r="2084" spans="1:8" x14ac:dyDescent="0.35">
      <c r="A2084" t="s">
        <v>273</v>
      </c>
      <c r="B2084">
        <v>30.59</v>
      </c>
      <c r="C2084">
        <v>11.62</v>
      </c>
      <c r="D2084" t="s">
        <v>2370</v>
      </c>
      <c r="E2084" t="s">
        <v>2370</v>
      </c>
      <c r="F2084" t="s">
        <v>2370</v>
      </c>
      <c r="G2084" t="s">
        <v>2371</v>
      </c>
      <c r="H2084" t="s">
        <v>2370</v>
      </c>
    </row>
    <row r="2085" spans="1:8" x14ac:dyDescent="0.35">
      <c r="A2085" t="s">
        <v>272</v>
      </c>
      <c r="B2085">
        <v>22.6</v>
      </c>
      <c r="C2085">
        <v>6.04</v>
      </c>
      <c r="D2085" t="s">
        <v>2370</v>
      </c>
      <c r="E2085" t="s">
        <v>2370</v>
      </c>
      <c r="F2085" t="s">
        <v>2370</v>
      </c>
      <c r="G2085">
        <v>1</v>
      </c>
      <c r="H2085" t="s">
        <v>2370</v>
      </c>
    </row>
    <row r="2086" spans="1:8" x14ac:dyDescent="0.35">
      <c r="A2086" t="s">
        <v>271</v>
      </c>
      <c r="B2086">
        <v>28.785</v>
      </c>
      <c r="C2086">
        <v>8.82</v>
      </c>
      <c r="D2086" t="s">
        <v>2370</v>
      </c>
      <c r="E2086" t="s">
        <v>2370</v>
      </c>
      <c r="F2086" t="s">
        <v>2370</v>
      </c>
      <c r="G2086" t="s">
        <v>2371</v>
      </c>
      <c r="H2086" t="s">
        <v>2370</v>
      </c>
    </row>
    <row r="2087" spans="1:8" x14ac:dyDescent="0.35">
      <c r="A2087" t="s">
        <v>270</v>
      </c>
      <c r="B2087">
        <v>50.38</v>
      </c>
      <c r="C2087">
        <v>5.8</v>
      </c>
      <c r="D2087" t="s">
        <v>2370</v>
      </c>
      <c r="E2087" t="s">
        <v>2370</v>
      </c>
      <c r="F2087" t="s">
        <v>2370</v>
      </c>
      <c r="G2087" t="s">
        <v>2371</v>
      </c>
      <c r="H2087" t="s">
        <v>2370</v>
      </c>
    </row>
    <row r="2088" spans="1:8" x14ac:dyDescent="0.35">
      <c r="A2088" t="s">
        <v>269</v>
      </c>
      <c r="B2088">
        <v>35.200000000000003</v>
      </c>
      <c r="C2088">
        <v>4.28</v>
      </c>
      <c r="D2088" t="s">
        <v>2370</v>
      </c>
      <c r="E2088" t="s">
        <v>2370</v>
      </c>
      <c r="F2088" t="s">
        <v>2370</v>
      </c>
      <c r="G2088" t="s">
        <v>2371</v>
      </c>
      <c r="H2088" t="s">
        <v>2370</v>
      </c>
    </row>
    <row r="2089" spans="1:8" x14ac:dyDescent="0.35">
      <c r="A2089" t="s">
        <v>268</v>
      </c>
      <c r="B2089">
        <v>35.72</v>
      </c>
      <c r="C2089">
        <v>5.5</v>
      </c>
      <c r="D2089" t="s">
        <v>2372</v>
      </c>
      <c r="E2089" t="s">
        <v>2370</v>
      </c>
      <c r="F2089" t="s">
        <v>2370</v>
      </c>
      <c r="G2089" t="s">
        <v>2371</v>
      </c>
      <c r="H2089" t="s">
        <v>2370</v>
      </c>
    </row>
    <row r="2090" spans="1:8" x14ac:dyDescent="0.35">
      <c r="A2090" t="s">
        <v>267</v>
      </c>
      <c r="B2090">
        <v>24.51</v>
      </c>
      <c r="C2090">
        <v>4.6900000000000004</v>
      </c>
      <c r="D2090" t="s">
        <v>2370</v>
      </c>
      <c r="E2090" t="s">
        <v>2370</v>
      </c>
      <c r="F2090" t="s">
        <v>2370</v>
      </c>
      <c r="G2090" t="s">
        <v>2371</v>
      </c>
      <c r="H2090" t="s">
        <v>2370</v>
      </c>
    </row>
    <row r="2091" spans="1:8" x14ac:dyDescent="0.35">
      <c r="A2091" t="s">
        <v>265</v>
      </c>
      <c r="B2091">
        <v>23.844999999999999</v>
      </c>
      <c r="C2091">
        <v>4.43</v>
      </c>
      <c r="D2091" t="s">
        <v>2370</v>
      </c>
      <c r="E2091" t="s">
        <v>2370</v>
      </c>
      <c r="F2091" t="s">
        <v>2370</v>
      </c>
      <c r="G2091" t="s">
        <v>2371</v>
      </c>
      <c r="H2091" t="s">
        <v>2370</v>
      </c>
    </row>
    <row r="2092" spans="1:8" x14ac:dyDescent="0.35">
      <c r="A2092" t="s">
        <v>264</v>
      </c>
      <c r="B2092">
        <v>15.68</v>
      </c>
      <c r="C2092">
        <v>6.16</v>
      </c>
      <c r="D2092" t="s">
        <v>2372</v>
      </c>
      <c r="E2092" t="s">
        <v>2370</v>
      </c>
      <c r="F2092" t="s">
        <v>2370</v>
      </c>
      <c r="G2092">
        <v>1</v>
      </c>
      <c r="H2092" t="s">
        <v>2370</v>
      </c>
    </row>
    <row r="2093" spans="1:8" x14ac:dyDescent="0.35">
      <c r="A2093" t="s">
        <v>263</v>
      </c>
      <c r="B2093">
        <v>32.395000000000003</v>
      </c>
      <c r="C2093">
        <v>6.66</v>
      </c>
      <c r="D2093" t="s">
        <v>2370</v>
      </c>
      <c r="E2093" t="s">
        <v>2370</v>
      </c>
      <c r="F2093" t="s">
        <v>2370</v>
      </c>
      <c r="G2093" t="s">
        <v>2371</v>
      </c>
      <c r="H2093" t="s">
        <v>2370</v>
      </c>
    </row>
    <row r="2094" spans="1:8" x14ac:dyDescent="0.35">
      <c r="A2094" t="s">
        <v>262</v>
      </c>
      <c r="B2094">
        <v>23.655000000000001</v>
      </c>
      <c r="C2094">
        <v>5.92</v>
      </c>
      <c r="D2094" t="s">
        <v>2370</v>
      </c>
      <c r="E2094" t="s">
        <v>2370</v>
      </c>
      <c r="F2094" t="s">
        <v>2370</v>
      </c>
      <c r="G2094">
        <v>1</v>
      </c>
      <c r="H2094" t="s">
        <v>2370</v>
      </c>
    </row>
    <row r="2095" spans="1:8" x14ac:dyDescent="0.35">
      <c r="A2095" t="s">
        <v>261</v>
      </c>
      <c r="B2095">
        <v>28.4</v>
      </c>
      <c r="C2095">
        <v>5.97</v>
      </c>
      <c r="D2095" t="s">
        <v>2370</v>
      </c>
      <c r="E2095" t="s">
        <v>2370</v>
      </c>
      <c r="F2095" t="s">
        <v>2373</v>
      </c>
      <c r="G2095">
        <v>1</v>
      </c>
      <c r="H2095" t="s">
        <v>2370</v>
      </c>
    </row>
    <row r="2096" spans="1:8" x14ac:dyDescent="0.35">
      <c r="A2096" t="s">
        <v>260</v>
      </c>
      <c r="B2096">
        <v>35.42</v>
      </c>
      <c r="C2096">
        <v>4.6399999999999997</v>
      </c>
      <c r="D2096" t="s">
        <v>2372</v>
      </c>
      <c r="E2096" t="s">
        <v>2370</v>
      </c>
      <c r="F2096" t="s">
        <v>2370</v>
      </c>
      <c r="G2096" t="s">
        <v>2371</v>
      </c>
      <c r="H2096" t="s">
        <v>2370</v>
      </c>
    </row>
    <row r="2097" spans="1:8" x14ac:dyDescent="0.35">
      <c r="A2097" t="s">
        <v>259</v>
      </c>
      <c r="B2097">
        <v>26.18</v>
      </c>
      <c r="C2097">
        <v>6.12</v>
      </c>
      <c r="D2097" t="s">
        <v>2370</v>
      </c>
      <c r="E2097" t="s">
        <v>2372</v>
      </c>
      <c r="F2097" t="s">
        <v>2370</v>
      </c>
      <c r="G2097">
        <v>1</v>
      </c>
      <c r="H2097" t="s">
        <v>2370</v>
      </c>
    </row>
    <row r="2098" spans="1:8" x14ac:dyDescent="0.35">
      <c r="A2098" t="s">
        <v>258</v>
      </c>
      <c r="B2098">
        <v>20.8</v>
      </c>
      <c r="C2098">
        <v>4.87</v>
      </c>
      <c r="D2098" t="s">
        <v>2372</v>
      </c>
      <c r="E2098" t="s">
        <v>2370</v>
      </c>
      <c r="F2098" t="s">
        <v>2370</v>
      </c>
      <c r="G2098" t="s">
        <v>2371</v>
      </c>
      <c r="H2098" t="s">
        <v>2370</v>
      </c>
    </row>
    <row r="2099" spans="1:8" x14ac:dyDescent="0.35">
      <c r="A2099" t="s">
        <v>257</v>
      </c>
      <c r="B2099">
        <v>15.82</v>
      </c>
      <c r="C2099">
        <v>4.5999999999999996</v>
      </c>
      <c r="D2099" t="s">
        <v>2370</v>
      </c>
      <c r="E2099" t="s">
        <v>2370</v>
      </c>
      <c r="F2099" t="s">
        <v>2370</v>
      </c>
      <c r="G2099" t="s">
        <v>2371</v>
      </c>
      <c r="H2099" t="s">
        <v>2370</v>
      </c>
    </row>
    <row r="2100" spans="1:8" x14ac:dyDescent="0.35">
      <c r="A2100" t="s">
        <v>256</v>
      </c>
      <c r="B2100">
        <v>17.670000000000002</v>
      </c>
      <c r="C2100">
        <v>4.78</v>
      </c>
      <c r="D2100" t="s">
        <v>2370</v>
      </c>
      <c r="E2100" t="s">
        <v>2370</v>
      </c>
      <c r="F2100" t="s">
        <v>2370</v>
      </c>
      <c r="G2100" t="s">
        <v>2371</v>
      </c>
      <c r="H2100" t="s">
        <v>2370</v>
      </c>
    </row>
    <row r="2101" spans="1:8" x14ac:dyDescent="0.35">
      <c r="A2101" t="s">
        <v>255</v>
      </c>
      <c r="B2101">
        <v>31.92</v>
      </c>
      <c r="C2101">
        <v>11.05</v>
      </c>
      <c r="D2101" t="s">
        <v>2370</v>
      </c>
      <c r="E2101" t="s">
        <v>2370</v>
      </c>
      <c r="F2101" t="s">
        <v>2370</v>
      </c>
      <c r="G2101" t="s">
        <v>2371</v>
      </c>
      <c r="H2101" t="s">
        <v>2370</v>
      </c>
    </row>
    <row r="2102" spans="1:8" x14ac:dyDescent="0.35">
      <c r="A2102" t="s">
        <v>254</v>
      </c>
      <c r="B2102">
        <v>28.975000000000001</v>
      </c>
      <c r="C2102">
        <v>7.62</v>
      </c>
      <c r="D2102" t="s">
        <v>2370</v>
      </c>
      <c r="E2102" t="s">
        <v>2370</v>
      </c>
      <c r="F2102" t="s">
        <v>2370</v>
      </c>
      <c r="G2102" t="s">
        <v>2371</v>
      </c>
      <c r="H2102" t="s">
        <v>2370</v>
      </c>
    </row>
    <row r="2103" spans="1:8" x14ac:dyDescent="0.35">
      <c r="A2103" t="s">
        <v>253</v>
      </c>
      <c r="B2103">
        <v>31.73</v>
      </c>
      <c r="C2103">
        <v>4.78</v>
      </c>
      <c r="D2103" t="s">
        <v>2372</v>
      </c>
      <c r="E2103" t="s">
        <v>2372</v>
      </c>
      <c r="F2103" t="s">
        <v>2370</v>
      </c>
      <c r="G2103">
        <v>2</v>
      </c>
      <c r="H2103" t="s">
        <v>2370</v>
      </c>
    </row>
    <row r="2104" spans="1:8" x14ac:dyDescent="0.35">
      <c r="A2104" t="s">
        <v>252</v>
      </c>
      <c r="B2104">
        <v>28.88</v>
      </c>
      <c r="C2104">
        <v>6.09</v>
      </c>
      <c r="D2104" t="s">
        <v>2372</v>
      </c>
      <c r="E2104" t="s">
        <v>2372</v>
      </c>
      <c r="F2104" t="s">
        <v>2370</v>
      </c>
      <c r="G2104">
        <v>2</v>
      </c>
      <c r="H2104" t="s">
        <v>2370</v>
      </c>
    </row>
    <row r="2105" spans="1:8" x14ac:dyDescent="0.35">
      <c r="A2105" t="s">
        <v>251</v>
      </c>
      <c r="B2105">
        <v>25.555</v>
      </c>
      <c r="C2105">
        <v>5.1100000000000003</v>
      </c>
      <c r="D2105" t="s">
        <v>2370</v>
      </c>
      <c r="E2105" t="s">
        <v>2370</v>
      </c>
      <c r="F2105" t="s">
        <v>2373</v>
      </c>
      <c r="G2105">
        <v>1</v>
      </c>
      <c r="H2105" t="s">
        <v>2370</v>
      </c>
    </row>
    <row r="2106" spans="1:8" x14ac:dyDescent="0.35">
      <c r="A2106" t="s">
        <v>250</v>
      </c>
      <c r="B2106">
        <v>37.29</v>
      </c>
      <c r="C2106">
        <v>4.46</v>
      </c>
      <c r="D2106" t="s">
        <v>2370</v>
      </c>
      <c r="E2106" t="s">
        <v>2372</v>
      </c>
      <c r="F2106" t="s">
        <v>2370</v>
      </c>
      <c r="G2106">
        <v>1</v>
      </c>
      <c r="H2106" t="s">
        <v>2370</v>
      </c>
    </row>
    <row r="2107" spans="1:8" x14ac:dyDescent="0.35">
      <c r="A2107" t="s">
        <v>249</v>
      </c>
      <c r="B2107">
        <v>40.28</v>
      </c>
      <c r="C2107">
        <v>6.11</v>
      </c>
      <c r="D2107" t="s">
        <v>2370</v>
      </c>
      <c r="E2107" t="s">
        <v>2372</v>
      </c>
      <c r="F2107" t="s">
        <v>2370</v>
      </c>
      <c r="G2107">
        <v>1</v>
      </c>
      <c r="H2107" t="s">
        <v>2370</v>
      </c>
    </row>
    <row r="2108" spans="1:8" x14ac:dyDescent="0.35">
      <c r="A2108" t="s">
        <v>248</v>
      </c>
      <c r="B2108">
        <v>40.185000000000002</v>
      </c>
      <c r="C2108">
        <v>4.66</v>
      </c>
      <c r="D2108" t="s">
        <v>2370</v>
      </c>
      <c r="E2108" t="s">
        <v>2372</v>
      </c>
      <c r="F2108" t="s">
        <v>2370</v>
      </c>
      <c r="G2108">
        <v>1</v>
      </c>
      <c r="H2108" t="s">
        <v>2370</v>
      </c>
    </row>
    <row r="2109" spans="1:8" x14ac:dyDescent="0.35">
      <c r="A2109" t="s">
        <v>247</v>
      </c>
      <c r="B2109">
        <v>23.57</v>
      </c>
      <c r="C2109">
        <v>6.14</v>
      </c>
      <c r="D2109" t="s">
        <v>2370</v>
      </c>
      <c r="E2109" t="s">
        <v>2370</v>
      </c>
      <c r="F2109" t="s">
        <v>2370</v>
      </c>
      <c r="G2109" t="s">
        <v>2371</v>
      </c>
      <c r="H2109" t="s">
        <v>2370</v>
      </c>
    </row>
    <row r="2110" spans="1:8" x14ac:dyDescent="0.35">
      <c r="A2110" t="s">
        <v>246</v>
      </c>
      <c r="B2110">
        <v>35.625</v>
      </c>
      <c r="C2110">
        <v>6.21</v>
      </c>
      <c r="D2110" t="s">
        <v>2370</v>
      </c>
      <c r="E2110" t="s">
        <v>2372</v>
      </c>
      <c r="F2110" t="s">
        <v>2370</v>
      </c>
      <c r="G2110">
        <v>1</v>
      </c>
      <c r="H2110" t="s">
        <v>2370</v>
      </c>
    </row>
    <row r="2111" spans="1:8" x14ac:dyDescent="0.35">
      <c r="A2111" t="s">
        <v>245</v>
      </c>
      <c r="B2111">
        <v>33.155000000000001</v>
      </c>
      <c r="C2111">
        <v>4.5999999999999996</v>
      </c>
      <c r="D2111" t="s">
        <v>2370</v>
      </c>
      <c r="E2111" t="s">
        <v>2372</v>
      </c>
      <c r="F2111" t="s">
        <v>2370</v>
      </c>
      <c r="G2111">
        <v>1</v>
      </c>
      <c r="H2111" t="s">
        <v>2370</v>
      </c>
    </row>
    <row r="2112" spans="1:8" x14ac:dyDescent="0.35">
      <c r="A2112" t="s">
        <v>244</v>
      </c>
      <c r="B2112">
        <v>31.92</v>
      </c>
      <c r="C2112">
        <v>5.04</v>
      </c>
      <c r="D2112" t="s">
        <v>2370</v>
      </c>
      <c r="E2112" t="s">
        <v>2372</v>
      </c>
      <c r="F2112" t="s">
        <v>2370</v>
      </c>
      <c r="G2112">
        <v>1</v>
      </c>
      <c r="H2112" t="s">
        <v>2370</v>
      </c>
    </row>
    <row r="2113" spans="1:8" x14ac:dyDescent="0.35">
      <c r="A2113" t="s">
        <v>243</v>
      </c>
      <c r="B2113">
        <v>30.305</v>
      </c>
      <c r="C2113">
        <v>5.08</v>
      </c>
      <c r="D2113" t="s">
        <v>2370</v>
      </c>
      <c r="E2113" t="s">
        <v>2372</v>
      </c>
      <c r="F2113" t="s">
        <v>2370</v>
      </c>
      <c r="G2113">
        <v>1</v>
      </c>
      <c r="H2113" t="s">
        <v>2370</v>
      </c>
    </row>
    <row r="2114" spans="1:8" x14ac:dyDescent="0.35">
      <c r="A2114" t="s">
        <v>242</v>
      </c>
      <c r="B2114">
        <v>30.114999999999998</v>
      </c>
      <c r="C2114">
        <v>4.38</v>
      </c>
      <c r="D2114" t="s">
        <v>2370</v>
      </c>
      <c r="E2114" t="s">
        <v>2372</v>
      </c>
      <c r="F2114" t="s">
        <v>2370</v>
      </c>
      <c r="G2114">
        <v>1</v>
      </c>
      <c r="H2114" t="s">
        <v>2370</v>
      </c>
    </row>
    <row r="2115" spans="1:8" x14ac:dyDescent="0.35">
      <c r="A2115" t="s">
        <v>241</v>
      </c>
      <c r="B2115">
        <v>24.09</v>
      </c>
      <c r="C2115">
        <v>4.79</v>
      </c>
      <c r="D2115" t="s">
        <v>2370</v>
      </c>
      <c r="E2115" t="s">
        <v>2372</v>
      </c>
      <c r="F2115" t="s">
        <v>2370</v>
      </c>
      <c r="G2115">
        <v>1</v>
      </c>
      <c r="H2115" t="s">
        <v>2370</v>
      </c>
    </row>
    <row r="2116" spans="1:8" x14ac:dyDescent="0.35">
      <c r="A2116" t="s">
        <v>240</v>
      </c>
      <c r="B2116">
        <v>28.215</v>
      </c>
      <c r="C2116">
        <v>4.21</v>
      </c>
      <c r="D2116" t="s">
        <v>2370</v>
      </c>
      <c r="E2116" t="s">
        <v>2372</v>
      </c>
      <c r="F2116" t="s">
        <v>2370</v>
      </c>
      <c r="G2116">
        <v>1</v>
      </c>
      <c r="H2116" t="s">
        <v>2370</v>
      </c>
    </row>
    <row r="2117" spans="1:8" x14ac:dyDescent="0.35">
      <c r="A2117" t="s">
        <v>238</v>
      </c>
      <c r="B2117">
        <v>26.315000000000001</v>
      </c>
      <c r="C2117">
        <v>5.47</v>
      </c>
      <c r="D2117" t="s">
        <v>2370</v>
      </c>
      <c r="E2117" t="s">
        <v>2372</v>
      </c>
      <c r="F2117" t="s">
        <v>2370</v>
      </c>
      <c r="G2117">
        <v>1</v>
      </c>
      <c r="H2117" t="s">
        <v>2370</v>
      </c>
    </row>
    <row r="2118" spans="1:8" x14ac:dyDescent="0.35">
      <c r="A2118" t="s">
        <v>236</v>
      </c>
      <c r="B2118">
        <v>25.08</v>
      </c>
      <c r="C2118">
        <v>5.09</v>
      </c>
      <c r="D2118" t="s">
        <v>2370</v>
      </c>
      <c r="E2118" t="s">
        <v>2372</v>
      </c>
      <c r="F2118" t="s">
        <v>2370</v>
      </c>
      <c r="G2118">
        <v>1</v>
      </c>
      <c r="H2118" t="s">
        <v>2370</v>
      </c>
    </row>
    <row r="2119" spans="1:8" x14ac:dyDescent="0.35">
      <c r="A2119" t="s">
        <v>235</v>
      </c>
      <c r="B2119">
        <v>15.41</v>
      </c>
      <c r="C2119">
        <v>5.08</v>
      </c>
      <c r="D2119" t="s">
        <v>2370</v>
      </c>
      <c r="E2119" t="s">
        <v>2370</v>
      </c>
      <c r="F2119" t="s">
        <v>2370</v>
      </c>
      <c r="G2119" t="s">
        <v>2371</v>
      </c>
      <c r="H2119" t="s">
        <v>2370</v>
      </c>
    </row>
    <row r="2120" spans="1:8" x14ac:dyDescent="0.35">
      <c r="A2120" t="s">
        <v>234</v>
      </c>
      <c r="B2120">
        <v>23.83</v>
      </c>
      <c r="C2120">
        <v>5.68</v>
      </c>
      <c r="D2120" t="s">
        <v>2370</v>
      </c>
      <c r="E2120" t="s">
        <v>2370</v>
      </c>
      <c r="F2120" t="s">
        <v>2370</v>
      </c>
      <c r="G2120" t="s">
        <v>2371</v>
      </c>
      <c r="H2120" t="s">
        <v>2370</v>
      </c>
    </row>
    <row r="2121" spans="1:8" x14ac:dyDescent="0.35">
      <c r="A2121" t="s">
        <v>233</v>
      </c>
      <c r="B2121">
        <v>36</v>
      </c>
      <c r="C2121">
        <v>4.66</v>
      </c>
      <c r="D2121" t="s">
        <v>2370</v>
      </c>
      <c r="E2121" t="s">
        <v>2372</v>
      </c>
      <c r="F2121" t="s">
        <v>2370</v>
      </c>
      <c r="G2121">
        <v>1</v>
      </c>
      <c r="H2121" t="s">
        <v>2370</v>
      </c>
    </row>
    <row r="2122" spans="1:8" x14ac:dyDescent="0.35">
      <c r="A2122" t="s">
        <v>232</v>
      </c>
      <c r="B2122">
        <v>28.82</v>
      </c>
      <c r="C2122">
        <v>5.59</v>
      </c>
      <c r="D2122" t="s">
        <v>2370</v>
      </c>
      <c r="E2122" t="s">
        <v>2372</v>
      </c>
      <c r="F2122" t="s">
        <v>2370</v>
      </c>
      <c r="G2122">
        <v>1</v>
      </c>
      <c r="H2122" t="s">
        <v>2370</v>
      </c>
    </row>
    <row r="2123" spans="1:8" x14ac:dyDescent="0.35">
      <c r="A2123" t="s">
        <v>231</v>
      </c>
      <c r="B2123">
        <v>28.05</v>
      </c>
      <c r="C2123">
        <v>6.2</v>
      </c>
      <c r="D2123" t="s">
        <v>2370</v>
      </c>
      <c r="E2123" t="s">
        <v>2372</v>
      </c>
      <c r="F2123" t="s">
        <v>2370</v>
      </c>
      <c r="G2123">
        <v>1</v>
      </c>
      <c r="H2123" t="s">
        <v>2370</v>
      </c>
    </row>
    <row r="2124" spans="1:8" x14ac:dyDescent="0.35">
      <c r="A2124" t="s">
        <v>230</v>
      </c>
      <c r="B2124">
        <v>27.1</v>
      </c>
      <c r="C2124">
        <v>4.45</v>
      </c>
      <c r="D2124" t="s">
        <v>2370</v>
      </c>
      <c r="E2124" t="s">
        <v>2372</v>
      </c>
      <c r="F2124" t="s">
        <v>2370</v>
      </c>
      <c r="G2124">
        <v>1</v>
      </c>
      <c r="H2124" t="s">
        <v>2370</v>
      </c>
    </row>
    <row r="2125" spans="1:8" x14ac:dyDescent="0.35">
      <c r="A2125" t="s">
        <v>229</v>
      </c>
      <c r="B2125">
        <v>24.3</v>
      </c>
      <c r="C2125">
        <v>6.1</v>
      </c>
      <c r="D2125" t="s">
        <v>2372</v>
      </c>
      <c r="E2125" t="s">
        <v>2372</v>
      </c>
      <c r="F2125" t="s">
        <v>2370</v>
      </c>
      <c r="G2125">
        <v>1</v>
      </c>
      <c r="H2125" t="s">
        <v>2370</v>
      </c>
    </row>
    <row r="2126" spans="1:8" x14ac:dyDescent="0.35">
      <c r="A2126" t="s">
        <v>228</v>
      </c>
      <c r="B2126">
        <v>30.72</v>
      </c>
      <c r="C2126">
        <v>6.06</v>
      </c>
      <c r="D2126" t="s">
        <v>2370</v>
      </c>
      <c r="E2126" t="s">
        <v>2372</v>
      </c>
      <c r="F2126" t="s">
        <v>2370</v>
      </c>
      <c r="G2126">
        <v>1</v>
      </c>
      <c r="H2126" t="s">
        <v>2370</v>
      </c>
    </row>
    <row r="2127" spans="1:8" x14ac:dyDescent="0.35">
      <c r="A2127" t="s">
        <v>227</v>
      </c>
      <c r="B2127">
        <v>37.43</v>
      </c>
      <c r="C2127">
        <v>4.5599999999999996</v>
      </c>
      <c r="D2127" t="s">
        <v>2370</v>
      </c>
      <c r="E2127" t="s">
        <v>2370</v>
      </c>
      <c r="F2127" t="s">
        <v>2373</v>
      </c>
      <c r="G2127">
        <v>1</v>
      </c>
      <c r="H2127" t="s">
        <v>2370</v>
      </c>
    </row>
    <row r="2128" spans="1:8" x14ac:dyDescent="0.35">
      <c r="A2128" t="s">
        <v>226</v>
      </c>
      <c r="B2128">
        <v>25.74</v>
      </c>
      <c r="C2128">
        <v>6.41</v>
      </c>
      <c r="D2128" t="s">
        <v>2372</v>
      </c>
      <c r="E2128" t="s">
        <v>2370</v>
      </c>
      <c r="F2128" t="s">
        <v>2373</v>
      </c>
      <c r="G2128">
        <v>1</v>
      </c>
      <c r="H2128" t="s">
        <v>2370</v>
      </c>
    </row>
    <row r="2129" spans="1:8" x14ac:dyDescent="0.35">
      <c r="A2129" t="s">
        <v>225</v>
      </c>
      <c r="B2129">
        <v>36.575000000000003</v>
      </c>
      <c r="C2129">
        <v>5.57</v>
      </c>
      <c r="D2129" t="s">
        <v>2370</v>
      </c>
      <c r="E2129" t="s">
        <v>2370</v>
      </c>
      <c r="F2129" t="s">
        <v>2373</v>
      </c>
      <c r="G2129">
        <v>1</v>
      </c>
      <c r="H2129" t="s">
        <v>2370</v>
      </c>
    </row>
    <row r="2130" spans="1:8" x14ac:dyDescent="0.35">
      <c r="A2130" t="s">
        <v>224</v>
      </c>
      <c r="B2130">
        <v>35.15</v>
      </c>
      <c r="C2130">
        <v>5.47</v>
      </c>
      <c r="D2130" t="s">
        <v>2370</v>
      </c>
      <c r="E2130" t="s">
        <v>2370</v>
      </c>
      <c r="F2130" t="s">
        <v>2373</v>
      </c>
      <c r="G2130">
        <v>1</v>
      </c>
      <c r="H2130" t="s">
        <v>2370</v>
      </c>
    </row>
    <row r="2131" spans="1:8" x14ac:dyDescent="0.35">
      <c r="A2131" t="s">
        <v>223</v>
      </c>
      <c r="B2131">
        <v>32.11</v>
      </c>
      <c r="C2131">
        <v>4.43</v>
      </c>
      <c r="D2131" t="s">
        <v>2370</v>
      </c>
      <c r="E2131" t="s">
        <v>2370</v>
      </c>
      <c r="F2131" t="s">
        <v>2373</v>
      </c>
      <c r="G2131">
        <v>1</v>
      </c>
      <c r="H2131" t="s">
        <v>2370</v>
      </c>
    </row>
    <row r="2132" spans="1:8" x14ac:dyDescent="0.35">
      <c r="A2132" t="s">
        <v>222</v>
      </c>
      <c r="B2132">
        <v>30.495000000000001</v>
      </c>
      <c r="C2132">
        <v>4.95</v>
      </c>
      <c r="D2132" t="s">
        <v>2370</v>
      </c>
      <c r="E2132" t="s">
        <v>2370</v>
      </c>
      <c r="F2132" t="s">
        <v>2373</v>
      </c>
      <c r="G2132">
        <v>1</v>
      </c>
      <c r="H2132" t="s">
        <v>2370</v>
      </c>
    </row>
    <row r="2133" spans="1:8" x14ac:dyDescent="0.35">
      <c r="A2133" t="s">
        <v>221</v>
      </c>
      <c r="B2133">
        <v>29.24</v>
      </c>
      <c r="C2133">
        <v>4.04</v>
      </c>
      <c r="D2133" t="s">
        <v>2370</v>
      </c>
      <c r="E2133" t="s">
        <v>2372</v>
      </c>
      <c r="F2133" t="s">
        <v>2370</v>
      </c>
      <c r="G2133">
        <v>1</v>
      </c>
      <c r="H2133" t="s">
        <v>2370</v>
      </c>
    </row>
    <row r="2134" spans="1:8" x14ac:dyDescent="0.35">
      <c r="A2134" t="s">
        <v>220</v>
      </c>
      <c r="B2134">
        <v>22.515000000000001</v>
      </c>
      <c r="C2134">
        <v>5.93</v>
      </c>
      <c r="D2134" t="s">
        <v>2370</v>
      </c>
      <c r="E2134" t="s">
        <v>2370</v>
      </c>
      <c r="F2134" t="s">
        <v>2373</v>
      </c>
      <c r="G2134">
        <v>1</v>
      </c>
      <c r="H2134" t="s">
        <v>2370</v>
      </c>
    </row>
    <row r="2135" spans="1:8" x14ac:dyDescent="0.35">
      <c r="A2135" t="s">
        <v>219</v>
      </c>
      <c r="B2135">
        <v>15.65</v>
      </c>
      <c r="C2135">
        <v>4.2300000000000004</v>
      </c>
      <c r="D2135" t="s">
        <v>2370</v>
      </c>
      <c r="E2135" t="s">
        <v>2370</v>
      </c>
      <c r="F2135" t="s">
        <v>2370</v>
      </c>
      <c r="G2135" t="s">
        <v>2371</v>
      </c>
      <c r="H2135" t="s">
        <v>2370</v>
      </c>
    </row>
    <row r="2136" spans="1:8" x14ac:dyDescent="0.35">
      <c r="A2136" t="s">
        <v>218</v>
      </c>
      <c r="B2136">
        <v>27.36</v>
      </c>
      <c r="C2136">
        <v>5.59</v>
      </c>
      <c r="D2136" t="s">
        <v>2372</v>
      </c>
      <c r="E2136" t="s">
        <v>2370</v>
      </c>
      <c r="F2136" t="s">
        <v>2370</v>
      </c>
      <c r="G2136" t="s">
        <v>2371</v>
      </c>
      <c r="H2136" t="s">
        <v>2370</v>
      </c>
    </row>
    <row r="2137" spans="1:8" x14ac:dyDescent="0.35">
      <c r="A2137" t="s">
        <v>217</v>
      </c>
      <c r="B2137">
        <v>22.3</v>
      </c>
      <c r="C2137">
        <v>4.8899999999999997</v>
      </c>
      <c r="D2137" t="s">
        <v>2372</v>
      </c>
      <c r="E2137" t="s">
        <v>2370</v>
      </c>
      <c r="F2137" t="s">
        <v>2370</v>
      </c>
      <c r="G2137" t="s">
        <v>2371</v>
      </c>
      <c r="H2137" t="s">
        <v>2370</v>
      </c>
    </row>
    <row r="2138" spans="1:8" x14ac:dyDescent="0.35">
      <c r="A2138" t="s">
        <v>216</v>
      </c>
      <c r="B2138">
        <v>26.03</v>
      </c>
      <c r="C2138">
        <v>5.81</v>
      </c>
      <c r="D2138" t="s">
        <v>2372</v>
      </c>
      <c r="E2138" t="s">
        <v>2370</v>
      </c>
      <c r="F2138" t="s">
        <v>2370</v>
      </c>
      <c r="G2138" t="s">
        <v>2371</v>
      </c>
      <c r="H2138" t="s">
        <v>2370</v>
      </c>
    </row>
    <row r="2139" spans="1:8" x14ac:dyDescent="0.35">
      <c r="A2139" t="s">
        <v>215</v>
      </c>
      <c r="B2139">
        <v>27.74</v>
      </c>
      <c r="C2139">
        <v>4.29</v>
      </c>
      <c r="D2139" t="s">
        <v>2370</v>
      </c>
      <c r="E2139" t="s">
        <v>2372</v>
      </c>
      <c r="F2139" t="s">
        <v>2370</v>
      </c>
      <c r="G2139">
        <v>1</v>
      </c>
      <c r="H2139" t="s">
        <v>2370</v>
      </c>
    </row>
    <row r="2140" spans="1:8" x14ac:dyDescent="0.35">
      <c r="A2140" t="s">
        <v>214</v>
      </c>
      <c r="B2140">
        <v>32.11</v>
      </c>
      <c r="C2140">
        <v>4.03</v>
      </c>
      <c r="D2140" t="s">
        <v>2372</v>
      </c>
      <c r="E2140" t="s">
        <v>2372</v>
      </c>
      <c r="F2140" t="s">
        <v>2370</v>
      </c>
      <c r="G2140">
        <v>2</v>
      </c>
      <c r="H2140" t="s">
        <v>2370</v>
      </c>
    </row>
    <row r="2141" spans="1:8" x14ac:dyDescent="0.35">
      <c r="A2141" t="s">
        <v>213</v>
      </c>
      <c r="B2141">
        <v>25.175000000000001</v>
      </c>
      <c r="C2141">
        <v>6.29</v>
      </c>
      <c r="D2141" t="s">
        <v>2372</v>
      </c>
      <c r="E2141" t="s">
        <v>2372</v>
      </c>
      <c r="F2141" t="s">
        <v>2370</v>
      </c>
      <c r="G2141">
        <v>2</v>
      </c>
      <c r="H2141" t="s">
        <v>2370</v>
      </c>
    </row>
    <row r="2142" spans="1:8" x14ac:dyDescent="0.35">
      <c r="A2142" t="s">
        <v>212</v>
      </c>
      <c r="B2142">
        <v>39.49</v>
      </c>
      <c r="C2142">
        <v>4.4800000000000004</v>
      </c>
      <c r="D2142" t="s">
        <v>2372</v>
      </c>
      <c r="E2142" t="s">
        <v>2370</v>
      </c>
      <c r="F2142" t="s">
        <v>2370</v>
      </c>
      <c r="G2142" t="s">
        <v>2371</v>
      </c>
      <c r="H2142" t="s">
        <v>2370</v>
      </c>
    </row>
    <row r="2143" spans="1:8" x14ac:dyDescent="0.35">
      <c r="A2143" t="s">
        <v>211</v>
      </c>
      <c r="B2143">
        <v>34.869999999999997</v>
      </c>
      <c r="C2143">
        <v>5.51</v>
      </c>
      <c r="D2143" t="s">
        <v>2372</v>
      </c>
      <c r="E2143" t="s">
        <v>2370</v>
      </c>
      <c r="F2143" t="s">
        <v>2370</v>
      </c>
      <c r="G2143" t="s">
        <v>2371</v>
      </c>
      <c r="H2143" t="s">
        <v>2370</v>
      </c>
    </row>
    <row r="2144" spans="1:8" x14ac:dyDescent="0.35">
      <c r="A2144" t="s">
        <v>210</v>
      </c>
      <c r="B2144">
        <v>34.6</v>
      </c>
      <c r="C2144">
        <v>4.5</v>
      </c>
      <c r="D2144" t="s">
        <v>2372</v>
      </c>
      <c r="E2144" t="s">
        <v>2370</v>
      </c>
      <c r="F2144" t="s">
        <v>2370</v>
      </c>
      <c r="G2144" t="s">
        <v>2371</v>
      </c>
      <c r="H2144" t="s">
        <v>2370</v>
      </c>
    </row>
    <row r="2145" spans="1:8" x14ac:dyDescent="0.35">
      <c r="A2145" t="s">
        <v>209</v>
      </c>
      <c r="B2145">
        <v>25.8</v>
      </c>
      <c r="C2145">
        <v>6.29</v>
      </c>
      <c r="D2145" t="s">
        <v>2372</v>
      </c>
      <c r="E2145" t="s">
        <v>2370</v>
      </c>
      <c r="F2145" t="s">
        <v>2370</v>
      </c>
      <c r="G2145" t="s">
        <v>2371</v>
      </c>
      <c r="H2145" t="s">
        <v>2370</v>
      </c>
    </row>
    <row r="2146" spans="1:8" x14ac:dyDescent="0.35">
      <c r="A2146" t="s">
        <v>208</v>
      </c>
      <c r="B2146">
        <v>35.86</v>
      </c>
      <c r="C2146">
        <v>4.33</v>
      </c>
      <c r="D2146" t="s">
        <v>2370</v>
      </c>
      <c r="E2146" t="s">
        <v>2370</v>
      </c>
      <c r="F2146" t="s">
        <v>2370</v>
      </c>
      <c r="G2146">
        <v>1</v>
      </c>
      <c r="H2146" t="s">
        <v>2370</v>
      </c>
    </row>
    <row r="2147" spans="1:8" x14ac:dyDescent="0.35">
      <c r="A2147" t="s">
        <v>207</v>
      </c>
      <c r="B2147">
        <v>40.47</v>
      </c>
      <c r="C2147">
        <v>11.15</v>
      </c>
      <c r="D2147" t="s">
        <v>2370</v>
      </c>
      <c r="E2147" t="s">
        <v>2370</v>
      </c>
      <c r="F2147" t="s">
        <v>2370</v>
      </c>
      <c r="G2147" t="s">
        <v>2371</v>
      </c>
      <c r="H2147" t="s">
        <v>2370</v>
      </c>
    </row>
    <row r="2148" spans="1:8" x14ac:dyDescent="0.35">
      <c r="A2148" t="s">
        <v>206</v>
      </c>
      <c r="B2148">
        <v>32.01</v>
      </c>
      <c r="C2148">
        <v>6.45</v>
      </c>
      <c r="D2148" t="s">
        <v>2370</v>
      </c>
      <c r="E2148" t="s">
        <v>2370</v>
      </c>
      <c r="F2148" t="s">
        <v>2370</v>
      </c>
      <c r="G2148">
        <v>1</v>
      </c>
      <c r="H2148" t="s">
        <v>2370</v>
      </c>
    </row>
    <row r="2149" spans="1:8" x14ac:dyDescent="0.35">
      <c r="A2149" t="s">
        <v>205</v>
      </c>
      <c r="B2149">
        <v>33</v>
      </c>
      <c r="C2149">
        <v>9.27</v>
      </c>
      <c r="D2149" t="s">
        <v>2370</v>
      </c>
      <c r="E2149" t="s">
        <v>2370</v>
      </c>
      <c r="F2149" t="s">
        <v>2370</v>
      </c>
      <c r="G2149" t="s">
        <v>2371</v>
      </c>
      <c r="H2149" t="s">
        <v>2370</v>
      </c>
    </row>
    <row r="2150" spans="1:8" x14ac:dyDescent="0.35">
      <c r="A2150" t="s">
        <v>204</v>
      </c>
      <c r="B2150">
        <v>29.3</v>
      </c>
      <c r="C2150">
        <v>6.15</v>
      </c>
      <c r="D2150" t="s">
        <v>2370</v>
      </c>
      <c r="E2150" t="s">
        <v>2370</v>
      </c>
      <c r="F2150" t="s">
        <v>2370</v>
      </c>
      <c r="G2150">
        <v>1</v>
      </c>
      <c r="H2150" t="s">
        <v>2370</v>
      </c>
    </row>
    <row r="2151" spans="1:8" x14ac:dyDescent="0.35">
      <c r="A2151" t="s">
        <v>203</v>
      </c>
      <c r="B2151">
        <v>25.8</v>
      </c>
      <c r="C2151">
        <v>4.13</v>
      </c>
      <c r="D2151" t="s">
        <v>2370</v>
      </c>
      <c r="E2151" t="s">
        <v>2370</v>
      </c>
      <c r="F2151" t="s">
        <v>2370</v>
      </c>
      <c r="G2151">
        <v>1</v>
      </c>
      <c r="H2151" t="s">
        <v>2370</v>
      </c>
    </row>
    <row r="2152" spans="1:8" x14ac:dyDescent="0.35">
      <c r="A2152" t="s">
        <v>202</v>
      </c>
      <c r="B2152">
        <v>23.4</v>
      </c>
      <c r="C2152">
        <v>4.24</v>
      </c>
      <c r="D2152" t="s">
        <v>2370</v>
      </c>
      <c r="E2152" t="s">
        <v>2370</v>
      </c>
      <c r="F2152" t="s">
        <v>2370</v>
      </c>
      <c r="G2152">
        <v>1</v>
      </c>
      <c r="H2152" t="s">
        <v>2370</v>
      </c>
    </row>
    <row r="2153" spans="1:8" x14ac:dyDescent="0.35">
      <c r="A2153" t="s">
        <v>201</v>
      </c>
      <c r="B2153">
        <v>27.93</v>
      </c>
      <c r="C2153">
        <v>9.8800000000000008</v>
      </c>
      <c r="D2153" t="s">
        <v>2370</v>
      </c>
      <c r="E2153" t="s">
        <v>2370</v>
      </c>
      <c r="F2153" t="s">
        <v>2370</v>
      </c>
      <c r="G2153" t="s">
        <v>2371</v>
      </c>
      <c r="H2153" t="s">
        <v>2370</v>
      </c>
    </row>
    <row r="2154" spans="1:8" x14ac:dyDescent="0.35">
      <c r="A2154" t="s">
        <v>200</v>
      </c>
      <c r="B2154">
        <v>22</v>
      </c>
      <c r="C2154">
        <v>9.5</v>
      </c>
      <c r="D2154" t="s">
        <v>2370</v>
      </c>
      <c r="E2154" t="s">
        <v>2370</v>
      </c>
      <c r="F2154" t="s">
        <v>2370</v>
      </c>
      <c r="G2154" t="s">
        <v>2371</v>
      </c>
      <c r="H2154" t="s">
        <v>2370</v>
      </c>
    </row>
    <row r="2155" spans="1:8" x14ac:dyDescent="0.35">
      <c r="A2155" t="s">
        <v>199</v>
      </c>
      <c r="B2155">
        <v>36.86</v>
      </c>
      <c r="C2155">
        <v>4.97</v>
      </c>
      <c r="D2155" t="s">
        <v>2372</v>
      </c>
      <c r="E2155" t="s">
        <v>2370</v>
      </c>
      <c r="F2155" t="s">
        <v>2370</v>
      </c>
      <c r="G2155" t="s">
        <v>2371</v>
      </c>
      <c r="H2155" t="s">
        <v>2370</v>
      </c>
    </row>
    <row r="2156" spans="1:8" x14ac:dyDescent="0.35">
      <c r="A2156" t="s">
        <v>198</v>
      </c>
      <c r="B2156">
        <v>31.254999999999999</v>
      </c>
      <c r="C2156">
        <v>5.49</v>
      </c>
      <c r="D2156" t="s">
        <v>2372</v>
      </c>
      <c r="E2156" t="s">
        <v>2370</v>
      </c>
      <c r="F2156" t="s">
        <v>2370</v>
      </c>
      <c r="G2156" t="s">
        <v>2371</v>
      </c>
      <c r="H2156" t="s">
        <v>2370</v>
      </c>
    </row>
    <row r="2157" spans="1:8" x14ac:dyDescent="0.35">
      <c r="A2157" t="s">
        <v>197</v>
      </c>
      <c r="B2157">
        <v>23.06</v>
      </c>
      <c r="C2157">
        <v>4.47</v>
      </c>
      <c r="D2157" t="s">
        <v>2370</v>
      </c>
      <c r="E2157" t="s">
        <v>2370</v>
      </c>
      <c r="F2157" t="s">
        <v>2370</v>
      </c>
      <c r="G2157" t="s">
        <v>2371</v>
      </c>
      <c r="H2157" t="s">
        <v>2370</v>
      </c>
    </row>
    <row r="2158" spans="1:8" x14ac:dyDescent="0.35">
      <c r="A2158" t="s">
        <v>196</v>
      </c>
      <c r="B2158">
        <v>28.975000000000001</v>
      </c>
      <c r="C2158">
        <v>4.34</v>
      </c>
      <c r="D2158" t="s">
        <v>2372</v>
      </c>
      <c r="E2158" t="s">
        <v>2370</v>
      </c>
      <c r="F2158" t="s">
        <v>2370</v>
      </c>
      <c r="G2158" t="s">
        <v>2371</v>
      </c>
      <c r="H2158" t="s">
        <v>2370</v>
      </c>
    </row>
    <row r="2159" spans="1:8" x14ac:dyDescent="0.35">
      <c r="A2159" t="s">
        <v>195</v>
      </c>
      <c r="B2159">
        <v>33.299999999999997</v>
      </c>
      <c r="C2159">
        <v>9.49</v>
      </c>
      <c r="D2159" t="s">
        <v>2370</v>
      </c>
      <c r="E2159" t="s">
        <v>2370</v>
      </c>
      <c r="F2159" t="s">
        <v>2370</v>
      </c>
      <c r="G2159" t="s">
        <v>2371</v>
      </c>
      <c r="H2159" t="s">
        <v>2370</v>
      </c>
    </row>
    <row r="2160" spans="1:8" x14ac:dyDescent="0.35">
      <c r="A2160" t="s">
        <v>194</v>
      </c>
      <c r="B2160">
        <v>33</v>
      </c>
      <c r="C2160">
        <v>10.16</v>
      </c>
      <c r="D2160" t="s">
        <v>2370</v>
      </c>
      <c r="E2160" t="s">
        <v>2370</v>
      </c>
      <c r="F2160" t="s">
        <v>2370</v>
      </c>
      <c r="G2160" t="s">
        <v>2371</v>
      </c>
      <c r="H2160" t="s">
        <v>2370</v>
      </c>
    </row>
    <row r="2161" spans="1:8" x14ac:dyDescent="0.35">
      <c r="A2161" t="s">
        <v>193</v>
      </c>
      <c r="B2161">
        <v>31.46</v>
      </c>
      <c r="C2161">
        <v>11.19</v>
      </c>
      <c r="D2161" t="s">
        <v>2370</v>
      </c>
      <c r="E2161" t="s">
        <v>2370</v>
      </c>
      <c r="F2161" t="s">
        <v>2370</v>
      </c>
      <c r="G2161" t="s">
        <v>2371</v>
      </c>
      <c r="H2161" t="s">
        <v>2370</v>
      </c>
    </row>
    <row r="2162" spans="1:8" x14ac:dyDescent="0.35">
      <c r="A2162" t="s">
        <v>192</v>
      </c>
      <c r="B2162">
        <v>29.6</v>
      </c>
      <c r="C2162">
        <v>11.03</v>
      </c>
      <c r="D2162" t="s">
        <v>2370</v>
      </c>
      <c r="E2162" t="s">
        <v>2370</v>
      </c>
      <c r="F2162" t="s">
        <v>2370</v>
      </c>
      <c r="G2162" t="s">
        <v>2371</v>
      </c>
      <c r="H2162" t="s">
        <v>2370</v>
      </c>
    </row>
    <row r="2163" spans="1:8" x14ac:dyDescent="0.35">
      <c r="A2163" t="s">
        <v>191</v>
      </c>
      <c r="B2163">
        <v>22.05</v>
      </c>
      <c r="C2163">
        <v>4.43</v>
      </c>
      <c r="D2163" t="s">
        <v>2372</v>
      </c>
      <c r="E2163" t="s">
        <v>2370</v>
      </c>
      <c r="F2163" t="s">
        <v>2370</v>
      </c>
      <c r="G2163" t="s">
        <v>2371</v>
      </c>
      <c r="H2163" t="s">
        <v>2370</v>
      </c>
    </row>
    <row r="2164" spans="1:8" x14ac:dyDescent="0.35">
      <c r="A2164" t="s">
        <v>189</v>
      </c>
      <c r="B2164">
        <v>27.06</v>
      </c>
      <c r="C2164">
        <v>6.14</v>
      </c>
      <c r="D2164" t="s">
        <v>2370</v>
      </c>
      <c r="E2164" t="s">
        <v>2372</v>
      </c>
      <c r="F2164" t="s">
        <v>2370</v>
      </c>
      <c r="G2164">
        <v>1</v>
      </c>
      <c r="H2164" t="s">
        <v>2370</v>
      </c>
    </row>
    <row r="2165" spans="1:8" x14ac:dyDescent="0.35">
      <c r="A2165" t="s">
        <v>188</v>
      </c>
      <c r="B2165">
        <v>20.49</v>
      </c>
      <c r="C2165">
        <v>4.87</v>
      </c>
      <c r="D2165" t="s">
        <v>2370</v>
      </c>
      <c r="E2165" t="s">
        <v>2370</v>
      </c>
      <c r="F2165" t="s">
        <v>2370</v>
      </c>
      <c r="G2165" t="s">
        <v>2371</v>
      </c>
      <c r="H2165" t="s">
        <v>2370</v>
      </c>
    </row>
    <row r="2166" spans="1:8" x14ac:dyDescent="0.35">
      <c r="A2166" t="s">
        <v>187</v>
      </c>
      <c r="B2166">
        <v>28.4</v>
      </c>
      <c r="C2166">
        <v>4.3</v>
      </c>
      <c r="D2166" t="s">
        <v>2370</v>
      </c>
      <c r="E2166" t="s">
        <v>2370</v>
      </c>
      <c r="F2166" t="s">
        <v>2373</v>
      </c>
      <c r="G2166">
        <v>1</v>
      </c>
      <c r="H2166" t="s">
        <v>2370</v>
      </c>
    </row>
    <row r="2167" spans="1:8" x14ac:dyDescent="0.35">
      <c r="A2167" t="s">
        <v>186</v>
      </c>
      <c r="B2167">
        <v>41.91</v>
      </c>
      <c r="C2167">
        <v>6.19</v>
      </c>
      <c r="D2167" t="s">
        <v>2370</v>
      </c>
      <c r="E2167" t="s">
        <v>2370</v>
      </c>
      <c r="F2167" t="s">
        <v>2370</v>
      </c>
      <c r="G2167" t="s">
        <v>2371</v>
      </c>
      <c r="H2167" t="s">
        <v>2370</v>
      </c>
    </row>
    <row r="2168" spans="1:8" x14ac:dyDescent="0.35">
      <c r="A2168" t="s">
        <v>185</v>
      </c>
      <c r="B2168">
        <v>24.6</v>
      </c>
      <c r="C2168">
        <v>6.19</v>
      </c>
      <c r="D2168" t="s">
        <v>2370</v>
      </c>
      <c r="E2168" t="s">
        <v>2370</v>
      </c>
      <c r="F2168" t="s">
        <v>2373</v>
      </c>
      <c r="G2168">
        <v>1</v>
      </c>
      <c r="H2168" t="s">
        <v>2370</v>
      </c>
    </row>
    <row r="2169" spans="1:8" x14ac:dyDescent="0.35">
      <c r="A2169" t="s">
        <v>184</v>
      </c>
      <c r="B2169">
        <v>20.9</v>
      </c>
      <c r="C2169">
        <v>5.12</v>
      </c>
      <c r="D2169" t="s">
        <v>2370</v>
      </c>
      <c r="E2169" t="s">
        <v>2370</v>
      </c>
      <c r="F2169" t="s">
        <v>2373</v>
      </c>
      <c r="G2169">
        <v>1</v>
      </c>
      <c r="H2169" t="s">
        <v>2370</v>
      </c>
    </row>
    <row r="2170" spans="1:8" x14ac:dyDescent="0.35">
      <c r="A2170" t="s">
        <v>183</v>
      </c>
      <c r="B2170">
        <v>34.4</v>
      </c>
      <c r="C2170">
        <v>4.04</v>
      </c>
      <c r="D2170" t="s">
        <v>2370</v>
      </c>
      <c r="E2170" t="s">
        <v>2370</v>
      </c>
      <c r="F2170" t="s">
        <v>2370</v>
      </c>
      <c r="G2170" t="s">
        <v>2371</v>
      </c>
      <c r="H2170" t="s">
        <v>2370</v>
      </c>
    </row>
    <row r="2171" spans="1:8" x14ac:dyDescent="0.35">
      <c r="A2171" t="s">
        <v>182</v>
      </c>
      <c r="B2171">
        <v>32.56</v>
      </c>
      <c r="C2171">
        <v>5.36</v>
      </c>
      <c r="D2171" t="s">
        <v>2370</v>
      </c>
      <c r="E2171" t="s">
        <v>2370</v>
      </c>
      <c r="F2171" t="s">
        <v>2370</v>
      </c>
      <c r="G2171" t="s">
        <v>2371</v>
      </c>
      <c r="H2171" t="s">
        <v>2370</v>
      </c>
    </row>
    <row r="2172" spans="1:8" x14ac:dyDescent="0.35">
      <c r="A2172" t="s">
        <v>181</v>
      </c>
      <c r="B2172">
        <v>27.98</v>
      </c>
      <c r="C2172">
        <v>4.38</v>
      </c>
      <c r="D2172" t="s">
        <v>2370</v>
      </c>
      <c r="E2172" t="s">
        <v>2372</v>
      </c>
      <c r="F2172" t="s">
        <v>2370</v>
      </c>
      <c r="G2172">
        <v>1</v>
      </c>
      <c r="H2172" t="s">
        <v>2370</v>
      </c>
    </row>
    <row r="2173" spans="1:8" x14ac:dyDescent="0.35">
      <c r="A2173" t="s">
        <v>180</v>
      </c>
      <c r="B2173">
        <v>26.51</v>
      </c>
      <c r="C2173">
        <v>4.58</v>
      </c>
      <c r="D2173" t="s">
        <v>2370</v>
      </c>
      <c r="E2173" t="s">
        <v>2370</v>
      </c>
      <c r="F2173" t="s">
        <v>2370</v>
      </c>
      <c r="G2173" t="s">
        <v>2371</v>
      </c>
      <c r="H2173" t="s">
        <v>2370</v>
      </c>
    </row>
    <row r="2174" spans="1:8" x14ac:dyDescent="0.35">
      <c r="A2174" t="s">
        <v>179</v>
      </c>
      <c r="B2174">
        <v>29.734999999999999</v>
      </c>
      <c r="C2174">
        <v>11.92</v>
      </c>
      <c r="D2174" t="s">
        <v>2370</v>
      </c>
      <c r="E2174" t="s">
        <v>2370</v>
      </c>
      <c r="F2174" t="s">
        <v>2370</v>
      </c>
      <c r="G2174" t="s">
        <v>2371</v>
      </c>
      <c r="H2174" t="s">
        <v>2370</v>
      </c>
    </row>
    <row r="2175" spans="1:8" x14ac:dyDescent="0.35">
      <c r="A2175" t="s">
        <v>178</v>
      </c>
      <c r="B2175">
        <v>40.5</v>
      </c>
      <c r="C2175">
        <v>5.4</v>
      </c>
      <c r="D2175" t="s">
        <v>2370</v>
      </c>
      <c r="E2175" t="s">
        <v>2370</v>
      </c>
      <c r="F2175" t="s">
        <v>2373</v>
      </c>
      <c r="G2175">
        <v>1</v>
      </c>
      <c r="H2175" t="s">
        <v>2370</v>
      </c>
    </row>
    <row r="2176" spans="1:8" x14ac:dyDescent="0.35">
      <c r="A2176" t="s">
        <v>177</v>
      </c>
      <c r="B2176">
        <v>25.64</v>
      </c>
      <c r="C2176">
        <v>4.76</v>
      </c>
      <c r="D2176" t="s">
        <v>2370</v>
      </c>
      <c r="E2176" t="s">
        <v>2370</v>
      </c>
      <c r="F2176" t="s">
        <v>2370</v>
      </c>
      <c r="G2176">
        <v>1</v>
      </c>
      <c r="H2176" t="s">
        <v>2370</v>
      </c>
    </row>
    <row r="2177" spans="1:8" x14ac:dyDescent="0.35">
      <c r="A2177" t="s">
        <v>176</v>
      </c>
      <c r="B2177">
        <v>32.9</v>
      </c>
      <c r="C2177">
        <v>4.78</v>
      </c>
      <c r="D2177" t="s">
        <v>2370</v>
      </c>
      <c r="E2177" t="s">
        <v>2370</v>
      </c>
      <c r="F2177" t="s">
        <v>2373</v>
      </c>
      <c r="G2177">
        <v>1</v>
      </c>
      <c r="H2177" t="s">
        <v>2370</v>
      </c>
    </row>
    <row r="2178" spans="1:8" x14ac:dyDescent="0.35">
      <c r="A2178" t="s">
        <v>175</v>
      </c>
      <c r="B2178">
        <v>29.8</v>
      </c>
      <c r="C2178">
        <v>4.26</v>
      </c>
      <c r="D2178" t="s">
        <v>2370</v>
      </c>
      <c r="E2178" t="s">
        <v>2370</v>
      </c>
      <c r="F2178" t="s">
        <v>2373</v>
      </c>
      <c r="G2178">
        <v>1</v>
      </c>
      <c r="H2178" t="s">
        <v>2370</v>
      </c>
    </row>
    <row r="2179" spans="1:8" x14ac:dyDescent="0.35">
      <c r="A2179" t="s">
        <v>174</v>
      </c>
      <c r="B2179">
        <v>28.9</v>
      </c>
      <c r="C2179">
        <v>5.85</v>
      </c>
      <c r="D2179" t="s">
        <v>2370</v>
      </c>
      <c r="E2179" t="s">
        <v>2370</v>
      </c>
      <c r="F2179" t="s">
        <v>2373</v>
      </c>
      <c r="G2179">
        <v>1</v>
      </c>
      <c r="H2179" t="s">
        <v>2370</v>
      </c>
    </row>
    <row r="2180" spans="1:8" x14ac:dyDescent="0.35">
      <c r="A2180" t="s">
        <v>173</v>
      </c>
      <c r="B2180">
        <v>24.7</v>
      </c>
      <c r="C2180">
        <v>5.32</v>
      </c>
      <c r="D2180" t="s">
        <v>2370</v>
      </c>
      <c r="E2180" t="s">
        <v>2370</v>
      </c>
      <c r="F2180" t="s">
        <v>2373</v>
      </c>
      <c r="G2180">
        <v>1</v>
      </c>
      <c r="H2180" t="s">
        <v>2370</v>
      </c>
    </row>
    <row r="2181" spans="1:8" x14ac:dyDescent="0.35">
      <c r="A2181" t="s">
        <v>172</v>
      </c>
      <c r="B2181">
        <v>20.6</v>
      </c>
      <c r="C2181">
        <v>5.14</v>
      </c>
      <c r="D2181" t="s">
        <v>2370</v>
      </c>
      <c r="E2181" t="s">
        <v>2370</v>
      </c>
      <c r="F2181" t="s">
        <v>2373</v>
      </c>
      <c r="G2181">
        <v>1</v>
      </c>
      <c r="H2181" t="s">
        <v>2370</v>
      </c>
    </row>
    <row r="2182" spans="1:8" x14ac:dyDescent="0.35">
      <c r="A2182" t="s">
        <v>171</v>
      </c>
      <c r="B2182">
        <v>18.600000000000001</v>
      </c>
      <c r="C2182">
        <v>5</v>
      </c>
      <c r="D2182" t="s">
        <v>2370</v>
      </c>
      <c r="E2182" t="s">
        <v>2370</v>
      </c>
      <c r="F2182" t="s">
        <v>2373</v>
      </c>
      <c r="G2182">
        <v>1</v>
      </c>
      <c r="H2182" t="s">
        <v>2370</v>
      </c>
    </row>
    <row r="2183" spans="1:8" x14ac:dyDescent="0.35">
      <c r="A2183" t="s">
        <v>170</v>
      </c>
      <c r="B2183">
        <v>17.8</v>
      </c>
      <c r="C2183">
        <v>4.55</v>
      </c>
      <c r="D2183" t="s">
        <v>2370</v>
      </c>
      <c r="E2183" t="s">
        <v>2370</v>
      </c>
      <c r="F2183" t="s">
        <v>2373</v>
      </c>
      <c r="G2183">
        <v>1</v>
      </c>
      <c r="H2183" t="s">
        <v>2370</v>
      </c>
    </row>
    <row r="2184" spans="1:8" x14ac:dyDescent="0.35">
      <c r="A2184" t="s">
        <v>169</v>
      </c>
      <c r="B2184">
        <v>35.200000000000003</v>
      </c>
      <c r="C2184">
        <v>5.97</v>
      </c>
      <c r="D2184" t="s">
        <v>2370</v>
      </c>
      <c r="E2184" t="s">
        <v>2372</v>
      </c>
      <c r="F2184" t="s">
        <v>2370</v>
      </c>
      <c r="G2184">
        <v>1</v>
      </c>
      <c r="H2184" t="s">
        <v>2370</v>
      </c>
    </row>
    <row r="2185" spans="1:8" x14ac:dyDescent="0.35">
      <c r="A2185" t="s">
        <v>168</v>
      </c>
      <c r="B2185">
        <v>33.770000000000003</v>
      </c>
      <c r="C2185">
        <v>4.0199999999999996</v>
      </c>
      <c r="D2185" t="s">
        <v>2370</v>
      </c>
      <c r="E2185" t="s">
        <v>2372</v>
      </c>
      <c r="F2185" t="s">
        <v>2370</v>
      </c>
      <c r="G2185">
        <v>1</v>
      </c>
      <c r="H2185" t="s">
        <v>2370</v>
      </c>
    </row>
    <row r="2186" spans="1:8" x14ac:dyDescent="0.35">
      <c r="A2186" t="s">
        <v>167</v>
      </c>
      <c r="B2186">
        <v>30.03</v>
      </c>
      <c r="C2186">
        <v>4.04</v>
      </c>
      <c r="D2186" t="s">
        <v>2370</v>
      </c>
      <c r="E2186" t="s">
        <v>2372</v>
      </c>
      <c r="F2186" t="s">
        <v>2370</v>
      </c>
      <c r="G2186">
        <v>1</v>
      </c>
      <c r="H2186" t="s">
        <v>2370</v>
      </c>
    </row>
    <row r="2187" spans="1:8" x14ac:dyDescent="0.35">
      <c r="A2187" t="s">
        <v>166</v>
      </c>
      <c r="B2187">
        <v>29.37</v>
      </c>
      <c r="C2187">
        <v>5.54</v>
      </c>
      <c r="D2187" t="s">
        <v>2370</v>
      </c>
      <c r="E2187" t="s">
        <v>2372</v>
      </c>
      <c r="F2187" t="s">
        <v>2370</v>
      </c>
      <c r="G2187">
        <v>1</v>
      </c>
      <c r="H2187" t="s">
        <v>2370</v>
      </c>
    </row>
    <row r="2188" spans="1:8" x14ac:dyDescent="0.35">
      <c r="A2188" t="s">
        <v>165</v>
      </c>
      <c r="B2188">
        <v>28.5</v>
      </c>
      <c r="C2188">
        <v>4.03</v>
      </c>
      <c r="D2188" t="s">
        <v>2370</v>
      </c>
      <c r="E2188" t="s">
        <v>2372</v>
      </c>
      <c r="F2188" t="s">
        <v>2370</v>
      </c>
      <c r="G2188">
        <v>1</v>
      </c>
      <c r="H2188" t="s">
        <v>2370</v>
      </c>
    </row>
    <row r="2189" spans="1:8" x14ac:dyDescent="0.35">
      <c r="A2189" t="s">
        <v>164</v>
      </c>
      <c r="B2189">
        <v>23.32</v>
      </c>
      <c r="C2189">
        <v>5.62</v>
      </c>
      <c r="D2189" t="s">
        <v>2370</v>
      </c>
      <c r="E2189" t="s">
        <v>2372</v>
      </c>
      <c r="F2189" t="s">
        <v>2370</v>
      </c>
      <c r="G2189">
        <v>1</v>
      </c>
      <c r="H2189" t="s">
        <v>2370</v>
      </c>
    </row>
    <row r="2190" spans="1:8" x14ac:dyDescent="0.35">
      <c r="A2190" t="s">
        <v>163</v>
      </c>
      <c r="B2190">
        <v>26.125</v>
      </c>
      <c r="C2190">
        <v>5.27</v>
      </c>
      <c r="D2190" t="s">
        <v>2370</v>
      </c>
      <c r="E2190" t="s">
        <v>2372</v>
      </c>
      <c r="F2190" t="s">
        <v>2370</v>
      </c>
      <c r="G2190">
        <v>1</v>
      </c>
      <c r="H2190" t="s">
        <v>2370</v>
      </c>
    </row>
    <row r="2191" spans="1:8" x14ac:dyDescent="0.35">
      <c r="A2191" t="s">
        <v>162</v>
      </c>
      <c r="B2191">
        <v>25.46</v>
      </c>
      <c r="C2191">
        <v>5.18</v>
      </c>
      <c r="D2191" t="s">
        <v>2370</v>
      </c>
      <c r="E2191" t="s">
        <v>2372</v>
      </c>
      <c r="F2191" t="s">
        <v>2370</v>
      </c>
      <c r="G2191">
        <v>1</v>
      </c>
      <c r="H2191" t="s">
        <v>2370</v>
      </c>
    </row>
    <row r="2192" spans="1:8" x14ac:dyDescent="0.35">
      <c r="A2192" t="s">
        <v>161</v>
      </c>
      <c r="B2192">
        <v>23.75</v>
      </c>
      <c r="C2192">
        <v>5.27</v>
      </c>
      <c r="D2192" t="s">
        <v>2370</v>
      </c>
      <c r="E2192" t="s">
        <v>2372</v>
      </c>
      <c r="F2192" t="s">
        <v>2370</v>
      </c>
      <c r="G2192">
        <v>1</v>
      </c>
      <c r="H2192" t="s">
        <v>2370</v>
      </c>
    </row>
    <row r="2193" spans="1:8" x14ac:dyDescent="0.35">
      <c r="A2193" t="s">
        <v>159</v>
      </c>
      <c r="B2193">
        <v>23.085000000000001</v>
      </c>
      <c r="C2193">
        <v>5.62</v>
      </c>
      <c r="D2193" t="s">
        <v>2370</v>
      </c>
      <c r="E2193" t="s">
        <v>2372</v>
      </c>
      <c r="F2193" t="s">
        <v>2370</v>
      </c>
      <c r="G2193">
        <v>1</v>
      </c>
      <c r="H2193" t="s">
        <v>2370</v>
      </c>
    </row>
    <row r="2194" spans="1:8" x14ac:dyDescent="0.35">
      <c r="A2194" t="s">
        <v>157</v>
      </c>
      <c r="B2194">
        <v>22.99</v>
      </c>
      <c r="C2194">
        <v>5.0599999999999996</v>
      </c>
      <c r="D2194" t="s">
        <v>2370</v>
      </c>
      <c r="E2194" t="s">
        <v>2372</v>
      </c>
      <c r="F2194" t="s">
        <v>2370</v>
      </c>
      <c r="G2194">
        <v>1</v>
      </c>
      <c r="H2194" t="s">
        <v>2370</v>
      </c>
    </row>
    <row r="2195" spans="1:8" x14ac:dyDescent="0.35">
      <c r="A2195" t="s">
        <v>155</v>
      </c>
      <c r="B2195">
        <v>21.47</v>
      </c>
      <c r="C2195">
        <v>4.6900000000000004</v>
      </c>
      <c r="D2195" t="s">
        <v>2370</v>
      </c>
      <c r="E2195" t="s">
        <v>2372</v>
      </c>
      <c r="F2195" t="s">
        <v>2370</v>
      </c>
      <c r="G2195">
        <v>1</v>
      </c>
      <c r="H2195" t="s">
        <v>2370</v>
      </c>
    </row>
    <row r="2196" spans="1:8" x14ac:dyDescent="0.35">
      <c r="A2196" t="s">
        <v>153</v>
      </c>
      <c r="B2196">
        <v>15.96</v>
      </c>
      <c r="C2196">
        <v>5.44</v>
      </c>
      <c r="D2196" t="s">
        <v>2370</v>
      </c>
      <c r="E2196" t="s">
        <v>2372</v>
      </c>
      <c r="F2196" t="s">
        <v>2370</v>
      </c>
      <c r="G2196">
        <v>1</v>
      </c>
      <c r="H2196" t="s">
        <v>2370</v>
      </c>
    </row>
    <row r="2197" spans="1:8" x14ac:dyDescent="0.35">
      <c r="A2197" t="s">
        <v>152</v>
      </c>
      <c r="B2197">
        <v>39.5</v>
      </c>
      <c r="C2197">
        <v>5.05</v>
      </c>
      <c r="D2197" t="s">
        <v>2370</v>
      </c>
      <c r="E2197" t="s">
        <v>2372</v>
      </c>
      <c r="F2197" t="s">
        <v>2370</v>
      </c>
      <c r="G2197">
        <v>1</v>
      </c>
      <c r="H2197" t="s">
        <v>2370</v>
      </c>
    </row>
    <row r="2198" spans="1:8" x14ac:dyDescent="0.35">
      <c r="A2198" t="s">
        <v>151</v>
      </c>
      <c r="B2198">
        <v>33.770000000000003</v>
      </c>
      <c r="C2198">
        <v>6</v>
      </c>
      <c r="D2198" t="s">
        <v>2370</v>
      </c>
      <c r="E2198" t="s">
        <v>2372</v>
      </c>
      <c r="F2198" t="s">
        <v>2370</v>
      </c>
      <c r="G2198">
        <v>1</v>
      </c>
      <c r="H2198" t="s">
        <v>2370</v>
      </c>
    </row>
    <row r="2199" spans="1:8" x14ac:dyDescent="0.35">
      <c r="A2199" t="s">
        <v>150</v>
      </c>
      <c r="B2199">
        <v>26.84</v>
      </c>
      <c r="C2199">
        <v>5.99</v>
      </c>
      <c r="D2199" t="s">
        <v>2372</v>
      </c>
      <c r="E2199" t="s">
        <v>2372</v>
      </c>
      <c r="F2199" t="s">
        <v>2370</v>
      </c>
      <c r="G2199">
        <v>1</v>
      </c>
      <c r="H2199" t="s">
        <v>2370</v>
      </c>
    </row>
    <row r="2200" spans="1:8" x14ac:dyDescent="0.35">
      <c r="A2200" t="s">
        <v>149</v>
      </c>
      <c r="B2200">
        <v>35.53</v>
      </c>
      <c r="C2200">
        <v>4.3600000000000003</v>
      </c>
      <c r="D2200" t="s">
        <v>2370</v>
      </c>
      <c r="E2200" t="s">
        <v>2370</v>
      </c>
      <c r="F2200" t="s">
        <v>2373</v>
      </c>
      <c r="G2200">
        <v>1</v>
      </c>
      <c r="H2200" t="s">
        <v>2370</v>
      </c>
    </row>
    <row r="2201" spans="1:8" x14ac:dyDescent="0.35">
      <c r="A2201" t="s">
        <v>148</v>
      </c>
      <c r="B2201">
        <v>30.59</v>
      </c>
      <c r="C2201">
        <v>4.41</v>
      </c>
      <c r="D2201" t="s">
        <v>2370</v>
      </c>
      <c r="E2201" t="s">
        <v>2370</v>
      </c>
      <c r="F2201" t="s">
        <v>2373</v>
      </c>
      <c r="G2201">
        <v>1</v>
      </c>
      <c r="H2201" t="s">
        <v>2370</v>
      </c>
    </row>
    <row r="2202" spans="1:8" x14ac:dyDescent="0.35">
      <c r="A2202" t="s">
        <v>147</v>
      </c>
      <c r="B2202">
        <v>30.59</v>
      </c>
      <c r="C2202">
        <v>4.17</v>
      </c>
      <c r="D2202" t="s">
        <v>2370</v>
      </c>
      <c r="E2202" t="s">
        <v>2370</v>
      </c>
      <c r="F2202" t="s">
        <v>2373</v>
      </c>
      <c r="G2202">
        <v>1</v>
      </c>
      <c r="H2202" t="s">
        <v>2370</v>
      </c>
    </row>
    <row r="2203" spans="1:8" x14ac:dyDescent="0.35">
      <c r="A2203" t="s">
        <v>146</v>
      </c>
      <c r="B2203">
        <v>27.835000000000001</v>
      </c>
      <c r="C2203">
        <v>4.4400000000000004</v>
      </c>
      <c r="D2203" t="s">
        <v>2370</v>
      </c>
      <c r="E2203" t="s">
        <v>2370</v>
      </c>
      <c r="F2203" t="s">
        <v>2373</v>
      </c>
      <c r="G2203">
        <v>1</v>
      </c>
      <c r="H2203" t="s">
        <v>2370</v>
      </c>
    </row>
    <row r="2204" spans="1:8" x14ac:dyDescent="0.35">
      <c r="A2204" t="s">
        <v>145</v>
      </c>
      <c r="B2204">
        <v>40.26</v>
      </c>
      <c r="C2204">
        <v>5.52</v>
      </c>
      <c r="D2204" t="s">
        <v>2370</v>
      </c>
      <c r="E2204" t="s">
        <v>2372</v>
      </c>
      <c r="F2204" t="s">
        <v>2370</v>
      </c>
      <c r="G2204">
        <v>1</v>
      </c>
      <c r="H2204" t="s">
        <v>2370</v>
      </c>
    </row>
    <row r="2205" spans="1:8" x14ac:dyDescent="0.35">
      <c r="A2205" t="s">
        <v>144</v>
      </c>
      <c r="B2205">
        <v>39.82</v>
      </c>
      <c r="C2205">
        <v>6.01</v>
      </c>
      <c r="D2205" t="s">
        <v>2370</v>
      </c>
      <c r="E2205" t="s">
        <v>2372</v>
      </c>
      <c r="F2205" t="s">
        <v>2370</v>
      </c>
      <c r="G2205">
        <v>1</v>
      </c>
      <c r="H2205" t="s">
        <v>2370</v>
      </c>
    </row>
    <row r="2206" spans="1:8" x14ac:dyDescent="0.35">
      <c r="A2206" t="s">
        <v>143</v>
      </c>
      <c r="B2206">
        <v>39.159999999999997</v>
      </c>
      <c r="C2206">
        <v>5.81</v>
      </c>
      <c r="D2206" t="s">
        <v>2370</v>
      </c>
      <c r="E2206" t="s">
        <v>2372</v>
      </c>
      <c r="F2206" t="s">
        <v>2370</v>
      </c>
      <c r="G2206">
        <v>1</v>
      </c>
      <c r="H2206" t="s">
        <v>2370</v>
      </c>
    </row>
    <row r="2207" spans="1:8" x14ac:dyDescent="0.35">
      <c r="A2207" t="s">
        <v>142</v>
      </c>
      <c r="B2207">
        <v>25.555</v>
      </c>
      <c r="C2207">
        <v>4.37</v>
      </c>
      <c r="D2207" t="s">
        <v>2370</v>
      </c>
      <c r="E2207" t="s">
        <v>2370</v>
      </c>
      <c r="F2207" t="s">
        <v>2373</v>
      </c>
      <c r="G2207">
        <v>1</v>
      </c>
      <c r="H2207" t="s">
        <v>2370</v>
      </c>
    </row>
    <row r="2208" spans="1:8" x14ac:dyDescent="0.35">
      <c r="A2208" t="s">
        <v>141</v>
      </c>
      <c r="B2208">
        <v>25.175000000000001</v>
      </c>
      <c r="C2208">
        <v>5.74</v>
      </c>
      <c r="D2208" t="s">
        <v>2370</v>
      </c>
      <c r="E2208" t="s">
        <v>2370</v>
      </c>
      <c r="F2208" t="s">
        <v>2373</v>
      </c>
      <c r="G2208">
        <v>1</v>
      </c>
      <c r="H2208" t="s">
        <v>2370</v>
      </c>
    </row>
    <row r="2209" spans="1:8" x14ac:dyDescent="0.35">
      <c r="A2209" t="s">
        <v>140</v>
      </c>
      <c r="B2209">
        <v>38.28</v>
      </c>
      <c r="C2209">
        <v>5.39</v>
      </c>
      <c r="D2209" t="s">
        <v>2370</v>
      </c>
      <c r="E2209" t="s">
        <v>2372</v>
      </c>
      <c r="F2209" t="s">
        <v>2370</v>
      </c>
      <c r="G2209">
        <v>1</v>
      </c>
      <c r="H2209" t="s">
        <v>2370</v>
      </c>
    </row>
    <row r="2210" spans="1:8" x14ac:dyDescent="0.35">
      <c r="A2210" t="s">
        <v>139</v>
      </c>
      <c r="B2210">
        <v>38.17</v>
      </c>
      <c r="C2210">
        <v>4.07</v>
      </c>
      <c r="D2210" t="s">
        <v>2370</v>
      </c>
      <c r="E2210" t="s">
        <v>2372</v>
      </c>
      <c r="F2210" t="s">
        <v>2370</v>
      </c>
      <c r="G2210">
        <v>1</v>
      </c>
      <c r="H2210" t="s">
        <v>2370</v>
      </c>
    </row>
    <row r="2211" spans="1:8" x14ac:dyDescent="0.35">
      <c r="A2211" t="s">
        <v>138</v>
      </c>
      <c r="B2211">
        <v>36.85</v>
      </c>
      <c r="C2211">
        <v>5.49</v>
      </c>
      <c r="D2211" t="s">
        <v>2370</v>
      </c>
      <c r="E2211" t="s">
        <v>2372</v>
      </c>
      <c r="F2211" t="s">
        <v>2370</v>
      </c>
      <c r="G2211">
        <v>1</v>
      </c>
      <c r="H2211" t="s">
        <v>2370</v>
      </c>
    </row>
    <row r="2212" spans="1:8" x14ac:dyDescent="0.35">
      <c r="A2212" t="s">
        <v>137</v>
      </c>
      <c r="B2212">
        <v>22.61</v>
      </c>
      <c r="C2212">
        <v>5.68</v>
      </c>
      <c r="D2212" t="s">
        <v>2370</v>
      </c>
      <c r="E2212" t="s">
        <v>2370</v>
      </c>
      <c r="F2212" t="s">
        <v>2373</v>
      </c>
      <c r="G2212">
        <v>1</v>
      </c>
      <c r="H2212" t="s">
        <v>2370</v>
      </c>
    </row>
    <row r="2213" spans="1:8" x14ac:dyDescent="0.35">
      <c r="A2213" t="s">
        <v>136</v>
      </c>
      <c r="B2213">
        <v>21.754999999999999</v>
      </c>
      <c r="C2213">
        <v>6.09</v>
      </c>
      <c r="D2213" t="s">
        <v>2370</v>
      </c>
      <c r="E2213" t="s">
        <v>2370</v>
      </c>
      <c r="F2213" t="s">
        <v>2373</v>
      </c>
      <c r="G2213">
        <v>1</v>
      </c>
      <c r="H2213" t="s">
        <v>2370</v>
      </c>
    </row>
    <row r="2214" spans="1:8" x14ac:dyDescent="0.35">
      <c r="A2214" t="s">
        <v>135</v>
      </c>
      <c r="B2214">
        <v>20.425000000000001</v>
      </c>
      <c r="C2214">
        <v>5.53</v>
      </c>
      <c r="D2214" t="s">
        <v>2370</v>
      </c>
      <c r="E2214" t="s">
        <v>2370</v>
      </c>
      <c r="F2214" t="s">
        <v>2373</v>
      </c>
      <c r="G2214">
        <v>1</v>
      </c>
      <c r="H2214" t="s">
        <v>2370</v>
      </c>
    </row>
    <row r="2215" spans="1:8" x14ac:dyDescent="0.35">
      <c r="A2215" t="s">
        <v>134</v>
      </c>
      <c r="B2215">
        <v>31.35</v>
      </c>
      <c r="C2215">
        <v>4.28</v>
      </c>
      <c r="D2215" t="s">
        <v>2370</v>
      </c>
      <c r="E2215" t="s">
        <v>2372</v>
      </c>
      <c r="F2215" t="s">
        <v>2370</v>
      </c>
      <c r="G2215">
        <v>1</v>
      </c>
      <c r="H2215" t="s">
        <v>2370</v>
      </c>
    </row>
    <row r="2216" spans="1:8" x14ac:dyDescent="0.35">
      <c r="A2216" t="s">
        <v>133</v>
      </c>
      <c r="B2216">
        <v>31.13</v>
      </c>
      <c r="C2216">
        <v>6.01</v>
      </c>
      <c r="D2216" t="s">
        <v>2370</v>
      </c>
      <c r="E2216" t="s">
        <v>2372</v>
      </c>
      <c r="F2216" t="s">
        <v>2370</v>
      </c>
      <c r="G2216">
        <v>1</v>
      </c>
      <c r="H2216" t="s">
        <v>2370</v>
      </c>
    </row>
    <row r="2217" spans="1:8" x14ac:dyDescent="0.35">
      <c r="A2217" t="s">
        <v>132</v>
      </c>
      <c r="B2217">
        <v>17.48</v>
      </c>
      <c r="C2217">
        <v>4.59</v>
      </c>
      <c r="D2217" t="s">
        <v>2370</v>
      </c>
      <c r="E2217" t="s">
        <v>2370</v>
      </c>
      <c r="F2217" t="s">
        <v>2373</v>
      </c>
      <c r="G2217">
        <v>1</v>
      </c>
      <c r="H2217" t="s">
        <v>2370</v>
      </c>
    </row>
    <row r="2218" spans="1:8" x14ac:dyDescent="0.35">
      <c r="A2218" t="s">
        <v>131</v>
      </c>
      <c r="B2218">
        <v>22.57</v>
      </c>
      <c r="C2218">
        <v>5.8</v>
      </c>
      <c r="D2218" t="s">
        <v>2372</v>
      </c>
      <c r="E2218" t="s">
        <v>2370</v>
      </c>
      <c r="F2218" t="s">
        <v>2370</v>
      </c>
      <c r="G2218">
        <v>1</v>
      </c>
      <c r="H2218" t="s">
        <v>2370</v>
      </c>
    </row>
    <row r="2219" spans="1:8" x14ac:dyDescent="0.35">
      <c r="A2219" t="s">
        <v>130</v>
      </c>
      <c r="B2219">
        <v>26.73</v>
      </c>
      <c r="C2219">
        <v>5.08</v>
      </c>
      <c r="D2219" t="s">
        <v>2370</v>
      </c>
      <c r="E2219" t="s">
        <v>2372</v>
      </c>
      <c r="F2219" t="s">
        <v>2370</v>
      </c>
      <c r="G2219">
        <v>1</v>
      </c>
      <c r="H2219" t="s">
        <v>2370</v>
      </c>
    </row>
    <row r="2220" spans="1:8" x14ac:dyDescent="0.35">
      <c r="A2220" t="s">
        <v>129</v>
      </c>
      <c r="B2220">
        <v>20.79</v>
      </c>
      <c r="C2220">
        <v>5.84</v>
      </c>
      <c r="D2220" t="s">
        <v>2370</v>
      </c>
      <c r="E2220" t="s">
        <v>2372</v>
      </c>
      <c r="F2220" t="s">
        <v>2370</v>
      </c>
      <c r="G2220">
        <v>1</v>
      </c>
      <c r="H2220" t="s">
        <v>2370</v>
      </c>
    </row>
    <row r="2221" spans="1:8" x14ac:dyDescent="0.35">
      <c r="A2221" t="s">
        <v>128</v>
      </c>
      <c r="B2221">
        <v>20.149999999999999</v>
      </c>
      <c r="C2221">
        <v>4.1500000000000004</v>
      </c>
      <c r="D2221" t="s">
        <v>2370</v>
      </c>
      <c r="E2221" t="s">
        <v>2370</v>
      </c>
      <c r="F2221" t="s">
        <v>2370</v>
      </c>
      <c r="G2221">
        <v>1</v>
      </c>
      <c r="H2221" t="s">
        <v>2370</v>
      </c>
    </row>
    <row r="2222" spans="1:8" x14ac:dyDescent="0.35">
      <c r="A2222" t="s">
        <v>127</v>
      </c>
      <c r="B2222">
        <v>36.85</v>
      </c>
      <c r="C2222">
        <v>4.3600000000000003</v>
      </c>
      <c r="D2222" t="s">
        <v>2372</v>
      </c>
      <c r="E2222" t="s">
        <v>2370</v>
      </c>
      <c r="F2222" t="s">
        <v>2370</v>
      </c>
      <c r="G2222" t="s">
        <v>2371</v>
      </c>
      <c r="H2222" t="s">
        <v>2370</v>
      </c>
    </row>
    <row r="2223" spans="1:8" x14ac:dyDescent="0.35">
      <c r="A2223" t="s">
        <v>126</v>
      </c>
      <c r="B2223">
        <v>35.53</v>
      </c>
      <c r="C2223">
        <v>4.55</v>
      </c>
      <c r="D2223" t="s">
        <v>2372</v>
      </c>
      <c r="E2223" t="s">
        <v>2370</v>
      </c>
      <c r="F2223" t="s">
        <v>2370</v>
      </c>
      <c r="G2223" t="s">
        <v>2371</v>
      </c>
      <c r="H2223" t="s">
        <v>2370</v>
      </c>
    </row>
    <row r="2224" spans="1:8" x14ac:dyDescent="0.35">
      <c r="A2224" t="s">
        <v>125</v>
      </c>
      <c r="B2224">
        <v>31.1</v>
      </c>
      <c r="C2224">
        <v>4.37</v>
      </c>
      <c r="D2224" t="s">
        <v>2372</v>
      </c>
      <c r="E2224" t="s">
        <v>2370</v>
      </c>
      <c r="F2224" t="s">
        <v>2370</v>
      </c>
      <c r="G2224" t="s">
        <v>2371</v>
      </c>
      <c r="H2224" t="s">
        <v>2370</v>
      </c>
    </row>
    <row r="2225" spans="1:8" x14ac:dyDescent="0.35">
      <c r="A2225" t="s">
        <v>124</v>
      </c>
      <c r="B2225">
        <v>23.21</v>
      </c>
      <c r="C2225">
        <v>5.24</v>
      </c>
      <c r="D2225" t="s">
        <v>2372</v>
      </c>
      <c r="E2225" t="s">
        <v>2370</v>
      </c>
      <c r="F2225" t="s">
        <v>2370</v>
      </c>
      <c r="G2225" t="s">
        <v>2371</v>
      </c>
      <c r="H2225" t="s">
        <v>2370</v>
      </c>
    </row>
    <row r="2226" spans="1:8" x14ac:dyDescent="0.35">
      <c r="A2226" t="s">
        <v>123</v>
      </c>
      <c r="B2226">
        <v>18.36</v>
      </c>
      <c r="C2226">
        <v>5.96</v>
      </c>
      <c r="D2226" t="s">
        <v>2370</v>
      </c>
      <c r="E2226" t="s">
        <v>2370</v>
      </c>
      <c r="F2226" t="s">
        <v>2370</v>
      </c>
      <c r="G2226">
        <v>1</v>
      </c>
      <c r="H2226" t="s">
        <v>2370</v>
      </c>
    </row>
    <row r="2227" spans="1:8" x14ac:dyDescent="0.35">
      <c r="A2227" t="s">
        <v>122</v>
      </c>
      <c r="B2227">
        <v>15.92</v>
      </c>
      <c r="C2227">
        <v>4.76</v>
      </c>
      <c r="D2227" t="s">
        <v>2372</v>
      </c>
      <c r="E2227" t="s">
        <v>2370</v>
      </c>
      <c r="F2227" t="s">
        <v>2370</v>
      </c>
      <c r="G2227">
        <v>1</v>
      </c>
      <c r="H2227" t="s">
        <v>2370</v>
      </c>
    </row>
    <row r="2228" spans="1:8" x14ac:dyDescent="0.35">
      <c r="A2228" t="s">
        <v>121</v>
      </c>
      <c r="B2228">
        <v>15.17</v>
      </c>
      <c r="C2228">
        <v>4.3</v>
      </c>
      <c r="D2228" t="s">
        <v>2372</v>
      </c>
      <c r="E2228" t="s">
        <v>2370</v>
      </c>
      <c r="F2228" t="s">
        <v>2373</v>
      </c>
      <c r="G2228">
        <v>1</v>
      </c>
      <c r="H2228" t="s">
        <v>2370</v>
      </c>
    </row>
    <row r="2229" spans="1:8" x14ac:dyDescent="0.35">
      <c r="A2229" t="s">
        <v>120</v>
      </c>
      <c r="B2229">
        <v>16.63</v>
      </c>
      <c r="C2229">
        <v>4.5</v>
      </c>
      <c r="D2229" t="s">
        <v>2370</v>
      </c>
      <c r="E2229" t="s">
        <v>2370</v>
      </c>
      <c r="F2229" t="s">
        <v>2370</v>
      </c>
      <c r="G2229">
        <v>1</v>
      </c>
      <c r="H2229" t="s">
        <v>2370</v>
      </c>
    </row>
    <row r="2230" spans="1:8" x14ac:dyDescent="0.35">
      <c r="A2230" t="s">
        <v>119</v>
      </c>
      <c r="B2230">
        <v>19.39</v>
      </c>
      <c r="C2230">
        <v>5.59</v>
      </c>
      <c r="D2230" t="s">
        <v>2370</v>
      </c>
      <c r="E2230" t="s">
        <v>2370</v>
      </c>
      <c r="F2230" t="s">
        <v>2373</v>
      </c>
      <c r="G2230">
        <v>1</v>
      </c>
      <c r="H2230" t="s">
        <v>2370</v>
      </c>
    </row>
    <row r="2231" spans="1:8" x14ac:dyDescent="0.35">
      <c r="A2231" t="s">
        <v>118</v>
      </c>
      <c r="B2231">
        <v>17.34</v>
      </c>
      <c r="C2231">
        <v>6.29</v>
      </c>
      <c r="D2231" t="s">
        <v>2372</v>
      </c>
      <c r="E2231" t="s">
        <v>2370</v>
      </c>
      <c r="F2231" t="s">
        <v>2373</v>
      </c>
      <c r="G2231">
        <v>1</v>
      </c>
      <c r="H2231" t="s">
        <v>2370</v>
      </c>
    </row>
    <row r="2232" spans="1:8" x14ac:dyDescent="0.35">
      <c r="A2232" t="s">
        <v>117</v>
      </c>
      <c r="B2232">
        <v>17.940000000000001</v>
      </c>
      <c r="C2232">
        <v>4.1900000000000004</v>
      </c>
      <c r="D2232" t="s">
        <v>2370</v>
      </c>
      <c r="E2232" t="s">
        <v>2372</v>
      </c>
      <c r="F2232" t="s">
        <v>2370</v>
      </c>
      <c r="G2232">
        <v>1</v>
      </c>
      <c r="H2232" t="s">
        <v>2370</v>
      </c>
    </row>
    <row r="2233" spans="1:8" x14ac:dyDescent="0.35">
      <c r="A2233" t="s">
        <v>116</v>
      </c>
      <c r="B2233">
        <v>16.670000000000002</v>
      </c>
      <c r="C2233">
        <v>4.7</v>
      </c>
      <c r="D2233" t="s">
        <v>2372</v>
      </c>
      <c r="E2233" t="s">
        <v>2370</v>
      </c>
      <c r="F2233" t="s">
        <v>2373</v>
      </c>
      <c r="G2233">
        <v>1</v>
      </c>
      <c r="H2233" t="s">
        <v>2370</v>
      </c>
    </row>
    <row r="2234" spans="1:8" x14ac:dyDescent="0.35">
      <c r="A2234" t="s">
        <v>115</v>
      </c>
      <c r="B2234">
        <v>20.58</v>
      </c>
      <c r="C2234">
        <v>5.64</v>
      </c>
      <c r="D2234" t="s">
        <v>2372</v>
      </c>
      <c r="E2234" t="s">
        <v>2370</v>
      </c>
      <c r="F2234" t="s">
        <v>2370</v>
      </c>
      <c r="G2234" t="s">
        <v>2371</v>
      </c>
      <c r="H2234" t="s">
        <v>2370</v>
      </c>
    </row>
    <row r="2235" spans="1:8" x14ac:dyDescent="0.35">
      <c r="A2235" t="s">
        <v>114</v>
      </c>
      <c r="B2235">
        <v>16.5</v>
      </c>
      <c r="C2235">
        <v>4.1100000000000003</v>
      </c>
      <c r="D2235" t="s">
        <v>2372</v>
      </c>
      <c r="E2235" t="s">
        <v>2370</v>
      </c>
      <c r="F2235" t="s">
        <v>2370</v>
      </c>
      <c r="G2235" t="s">
        <v>2371</v>
      </c>
      <c r="H2235" t="s">
        <v>2370</v>
      </c>
    </row>
    <row r="2236" spans="1:8" x14ac:dyDescent="0.35">
      <c r="A2236" t="s">
        <v>113</v>
      </c>
      <c r="B2236">
        <v>15.41</v>
      </c>
      <c r="C2236">
        <v>5.43</v>
      </c>
      <c r="D2236" t="s">
        <v>2372</v>
      </c>
      <c r="E2236" t="s">
        <v>2370</v>
      </c>
      <c r="F2236" t="s">
        <v>2373</v>
      </c>
      <c r="G2236">
        <v>1</v>
      </c>
      <c r="H2236" t="s">
        <v>2370</v>
      </c>
    </row>
    <row r="2237" spans="1:8" x14ac:dyDescent="0.35">
      <c r="A2237" t="s">
        <v>112</v>
      </c>
      <c r="B2237">
        <v>24.59</v>
      </c>
      <c r="C2237">
        <v>4.38</v>
      </c>
      <c r="D2237" t="s">
        <v>2370</v>
      </c>
      <c r="E2237" t="s">
        <v>2370</v>
      </c>
      <c r="F2237" t="s">
        <v>2370</v>
      </c>
      <c r="G2237">
        <v>1</v>
      </c>
      <c r="H2237" t="s">
        <v>2370</v>
      </c>
    </row>
    <row r="2238" spans="1:8" x14ac:dyDescent="0.35">
      <c r="A2238" t="s">
        <v>111</v>
      </c>
      <c r="B2238">
        <v>33.33</v>
      </c>
      <c r="C2238">
        <v>9.7899999999999991</v>
      </c>
      <c r="D2238" t="s">
        <v>2370</v>
      </c>
      <c r="E2238" t="s">
        <v>2370</v>
      </c>
      <c r="F2238" t="s">
        <v>2370</v>
      </c>
      <c r="G2238" t="s">
        <v>2371</v>
      </c>
      <c r="H2238" t="s">
        <v>2370</v>
      </c>
    </row>
    <row r="2239" spans="1:8" x14ac:dyDescent="0.35">
      <c r="A2239" t="s">
        <v>110</v>
      </c>
      <c r="B2239">
        <v>18.5</v>
      </c>
      <c r="C2239">
        <v>11.84</v>
      </c>
      <c r="D2239" t="s">
        <v>2370</v>
      </c>
      <c r="E2239" t="s">
        <v>2370</v>
      </c>
      <c r="F2239" t="s">
        <v>2370</v>
      </c>
      <c r="G2239" t="s">
        <v>2371</v>
      </c>
      <c r="H2239" t="s">
        <v>2370</v>
      </c>
    </row>
    <row r="2240" spans="1:8" x14ac:dyDescent="0.35">
      <c r="A2240" t="s">
        <v>109</v>
      </c>
      <c r="B2240">
        <v>18.579999999999998</v>
      </c>
      <c r="C2240">
        <v>6.22</v>
      </c>
      <c r="D2240" t="s">
        <v>2370</v>
      </c>
      <c r="E2240" t="s">
        <v>2370</v>
      </c>
      <c r="F2240" t="s">
        <v>2370</v>
      </c>
      <c r="G2240" t="s">
        <v>2371</v>
      </c>
      <c r="H2240" t="s">
        <v>2370</v>
      </c>
    </row>
    <row r="2241" spans="1:8" x14ac:dyDescent="0.35">
      <c r="A2241" t="s">
        <v>108</v>
      </c>
      <c r="B2241">
        <v>16.64</v>
      </c>
      <c r="C2241">
        <v>10.01</v>
      </c>
      <c r="D2241" t="s">
        <v>2370</v>
      </c>
      <c r="E2241" t="s">
        <v>2370</v>
      </c>
      <c r="F2241" t="s">
        <v>2370</v>
      </c>
      <c r="G2241" t="s">
        <v>2371</v>
      </c>
      <c r="H2241" t="s">
        <v>2370</v>
      </c>
    </row>
    <row r="2242" spans="1:8" x14ac:dyDescent="0.35">
      <c r="A2242" t="s">
        <v>107</v>
      </c>
      <c r="B2242">
        <v>19.329999999999998</v>
      </c>
      <c r="C2242">
        <v>4.32</v>
      </c>
      <c r="D2242" t="s">
        <v>2370</v>
      </c>
      <c r="E2242" t="s">
        <v>2370</v>
      </c>
      <c r="F2242" t="s">
        <v>2370</v>
      </c>
      <c r="G2242">
        <v>1</v>
      </c>
      <c r="H2242" t="s">
        <v>2370</v>
      </c>
    </row>
    <row r="2243" spans="1:8" x14ac:dyDescent="0.35">
      <c r="A2243" t="s">
        <v>106</v>
      </c>
      <c r="B2243">
        <v>21.26</v>
      </c>
      <c r="C2243">
        <v>5.65</v>
      </c>
      <c r="D2243" t="s">
        <v>2372</v>
      </c>
      <c r="E2243" t="s">
        <v>2370</v>
      </c>
      <c r="F2243" t="s">
        <v>2373</v>
      </c>
      <c r="G2243">
        <v>1</v>
      </c>
      <c r="H2243" t="s">
        <v>2370</v>
      </c>
    </row>
    <row r="2244" spans="1:8" x14ac:dyDescent="0.35">
      <c r="A2244" t="s">
        <v>105</v>
      </c>
      <c r="B2244">
        <v>15.6</v>
      </c>
      <c r="C2244">
        <v>4.12</v>
      </c>
      <c r="D2244" t="s">
        <v>2372</v>
      </c>
      <c r="E2244" t="s">
        <v>2370</v>
      </c>
      <c r="F2244" t="s">
        <v>2370</v>
      </c>
      <c r="G2244">
        <v>1</v>
      </c>
      <c r="H2244" t="s">
        <v>2370</v>
      </c>
    </row>
    <row r="2245" spans="1:8" x14ac:dyDescent="0.35">
      <c r="A2245" t="s">
        <v>104</v>
      </c>
      <c r="B2245">
        <v>24.39</v>
      </c>
      <c r="C2245">
        <v>6.24</v>
      </c>
      <c r="D2245" t="s">
        <v>2370</v>
      </c>
      <c r="E2245" t="s">
        <v>2370</v>
      </c>
      <c r="F2245" t="s">
        <v>2370</v>
      </c>
      <c r="G2245">
        <v>1</v>
      </c>
      <c r="H2245" t="s">
        <v>2370</v>
      </c>
    </row>
    <row r="2246" spans="1:8" x14ac:dyDescent="0.35">
      <c r="A2246" t="s">
        <v>103</v>
      </c>
      <c r="B2246">
        <v>24.75</v>
      </c>
      <c r="C2246">
        <v>4.83</v>
      </c>
      <c r="D2246" t="s">
        <v>2370</v>
      </c>
      <c r="E2246" t="s">
        <v>2370</v>
      </c>
      <c r="F2246" t="s">
        <v>2370</v>
      </c>
      <c r="G2246" t="s">
        <v>2371</v>
      </c>
      <c r="H2246" t="s">
        <v>2370</v>
      </c>
    </row>
    <row r="2247" spans="1:8" x14ac:dyDescent="0.35">
      <c r="A2247" t="s">
        <v>102</v>
      </c>
      <c r="B2247">
        <v>20.88</v>
      </c>
      <c r="C2247">
        <v>7.4</v>
      </c>
      <c r="D2247" t="s">
        <v>2370</v>
      </c>
      <c r="E2247" t="s">
        <v>2370</v>
      </c>
      <c r="F2247" t="s">
        <v>2370</v>
      </c>
      <c r="G2247" t="s">
        <v>2371</v>
      </c>
      <c r="H2247" t="s">
        <v>2370</v>
      </c>
    </row>
    <row r="2248" spans="1:8" x14ac:dyDescent="0.35">
      <c r="A2248" t="s">
        <v>101</v>
      </c>
      <c r="B2248">
        <v>20.43</v>
      </c>
      <c r="C2248">
        <v>4.54</v>
      </c>
      <c r="D2248" t="s">
        <v>2370</v>
      </c>
      <c r="E2248" t="s">
        <v>2370</v>
      </c>
      <c r="F2248" t="s">
        <v>2370</v>
      </c>
      <c r="G2248" t="s">
        <v>2371</v>
      </c>
      <c r="H2248" t="s">
        <v>2370</v>
      </c>
    </row>
    <row r="2249" spans="1:8" x14ac:dyDescent="0.35">
      <c r="A2249" t="s">
        <v>100</v>
      </c>
      <c r="B2249">
        <v>15.18</v>
      </c>
      <c r="C2249">
        <v>11.11</v>
      </c>
      <c r="D2249" t="s">
        <v>2370</v>
      </c>
      <c r="E2249" t="s">
        <v>2370</v>
      </c>
      <c r="F2249" t="s">
        <v>2370</v>
      </c>
      <c r="G2249" t="s">
        <v>2371</v>
      </c>
      <c r="H2249" t="s">
        <v>2370</v>
      </c>
    </row>
    <row r="2250" spans="1:8" x14ac:dyDescent="0.35">
      <c r="A2250" t="s">
        <v>99</v>
      </c>
      <c r="B2250">
        <v>15.12</v>
      </c>
      <c r="C2250">
        <v>4.03</v>
      </c>
      <c r="D2250" t="s">
        <v>2372</v>
      </c>
      <c r="E2250" t="s">
        <v>2370</v>
      </c>
      <c r="F2250" t="s">
        <v>2370</v>
      </c>
      <c r="G2250" t="s">
        <v>2371</v>
      </c>
      <c r="H2250" t="s">
        <v>2370</v>
      </c>
    </row>
    <row r="2251" spans="1:8" x14ac:dyDescent="0.35">
      <c r="A2251" t="s">
        <v>98</v>
      </c>
      <c r="B2251">
        <v>23.88</v>
      </c>
      <c r="C2251">
        <v>4.51</v>
      </c>
      <c r="D2251" t="s">
        <v>2370</v>
      </c>
      <c r="E2251" t="s">
        <v>2370</v>
      </c>
      <c r="F2251" t="s">
        <v>2370</v>
      </c>
      <c r="G2251">
        <v>1</v>
      </c>
      <c r="H2251" t="s">
        <v>2370</v>
      </c>
    </row>
    <row r="2252" spans="1:8" x14ac:dyDescent="0.35">
      <c r="A2252" t="s">
        <v>97</v>
      </c>
      <c r="B2252">
        <v>16.13</v>
      </c>
      <c r="C2252">
        <v>5.56</v>
      </c>
      <c r="D2252" t="s">
        <v>2370</v>
      </c>
      <c r="E2252" t="s">
        <v>2372</v>
      </c>
      <c r="F2252" t="s">
        <v>2370</v>
      </c>
      <c r="G2252">
        <v>1</v>
      </c>
      <c r="H2252" t="s">
        <v>2370</v>
      </c>
    </row>
    <row r="2253" spans="1:8" x14ac:dyDescent="0.35">
      <c r="A2253" t="s">
        <v>96</v>
      </c>
      <c r="B2253">
        <v>24.09</v>
      </c>
      <c r="C2253">
        <v>4.0999999999999996</v>
      </c>
      <c r="D2253" t="s">
        <v>2370</v>
      </c>
      <c r="E2253" t="s">
        <v>2372</v>
      </c>
      <c r="F2253" t="s">
        <v>2370</v>
      </c>
      <c r="G2253">
        <v>1</v>
      </c>
      <c r="H2253" t="s">
        <v>2370</v>
      </c>
    </row>
    <row r="2254" spans="1:8" x14ac:dyDescent="0.35">
      <c r="A2254" t="s">
        <v>95</v>
      </c>
      <c r="B2254">
        <v>19.43</v>
      </c>
      <c r="C2254">
        <v>5.85</v>
      </c>
      <c r="D2254" t="s">
        <v>2370</v>
      </c>
      <c r="E2254" t="s">
        <v>2372</v>
      </c>
      <c r="F2254" t="s">
        <v>2370</v>
      </c>
      <c r="G2254">
        <v>1</v>
      </c>
      <c r="H2254" t="s">
        <v>2370</v>
      </c>
    </row>
    <row r="2255" spans="1:8" x14ac:dyDescent="0.35">
      <c r="A2255" t="s">
        <v>94</v>
      </c>
      <c r="B2255">
        <v>15.22</v>
      </c>
      <c r="C2255">
        <v>4.92</v>
      </c>
      <c r="D2255" t="s">
        <v>2372</v>
      </c>
      <c r="E2255" t="s">
        <v>2370</v>
      </c>
      <c r="F2255" t="s">
        <v>2373</v>
      </c>
      <c r="G2255">
        <v>1</v>
      </c>
      <c r="H2255" t="s">
        <v>2370</v>
      </c>
    </row>
    <row r="2256" spans="1:8" x14ac:dyDescent="0.35">
      <c r="A2256" t="s">
        <v>93</v>
      </c>
      <c r="B2256">
        <v>20.72</v>
      </c>
      <c r="C2256">
        <v>9.4600000000000009</v>
      </c>
      <c r="D2256" t="s">
        <v>2370</v>
      </c>
      <c r="E2256" t="s">
        <v>2370</v>
      </c>
      <c r="F2256" t="s">
        <v>2370</v>
      </c>
      <c r="G2256" t="s">
        <v>2371</v>
      </c>
      <c r="H2256" t="s">
        <v>2370</v>
      </c>
    </row>
    <row r="2257" spans="1:8" x14ac:dyDescent="0.35">
      <c r="A2257" t="s">
        <v>92</v>
      </c>
      <c r="B2257">
        <v>35.4</v>
      </c>
      <c r="C2257">
        <v>5.94</v>
      </c>
      <c r="D2257" t="s">
        <v>2370</v>
      </c>
      <c r="E2257" t="s">
        <v>2370</v>
      </c>
      <c r="F2257" t="s">
        <v>2373</v>
      </c>
      <c r="G2257">
        <v>1</v>
      </c>
      <c r="H2257" t="s">
        <v>2370</v>
      </c>
    </row>
    <row r="2258" spans="1:8" x14ac:dyDescent="0.35">
      <c r="A2258" t="s">
        <v>91</v>
      </c>
      <c r="B2258">
        <v>34.4</v>
      </c>
      <c r="C2258">
        <v>5.7</v>
      </c>
      <c r="D2258" t="s">
        <v>2370</v>
      </c>
      <c r="E2258" t="s">
        <v>2370</v>
      </c>
      <c r="F2258" t="s">
        <v>2373</v>
      </c>
      <c r="G2258">
        <v>1</v>
      </c>
      <c r="H2258" t="s">
        <v>2370</v>
      </c>
    </row>
    <row r="2259" spans="1:8" x14ac:dyDescent="0.35">
      <c r="A2259" t="s">
        <v>90</v>
      </c>
      <c r="B2259">
        <v>34.1</v>
      </c>
      <c r="C2259">
        <v>4.13</v>
      </c>
      <c r="D2259" t="s">
        <v>2370</v>
      </c>
      <c r="E2259" t="s">
        <v>2370</v>
      </c>
      <c r="F2259" t="s">
        <v>2373</v>
      </c>
      <c r="G2259">
        <v>1</v>
      </c>
      <c r="H2259" t="s">
        <v>2370</v>
      </c>
    </row>
    <row r="2260" spans="1:8" x14ac:dyDescent="0.35">
      <c r="A2260" t="s">
        <v>89</v>
      </c>
      <c r="B2260">
        <v>30.4</v>
      </c>
      <c r="C2260">
        <v>4.7699999999999996</v>
      </c>
      <c r="D2260" t="s">
        <v>2370</v>
      </c>
      <c r="E2260" t="s">
        <v>2370</v>
      </c>
      <c r="F2260" t="s">
        <v>2373</v>
      </c>
      <c r="G2260">
        <v>1</v>
      </c>
      <c r="H2260" t="s">
        <v>2370</v>
      </c>
    </row>
    <row r="2261" spans="1:8" x14ac:dyDescent="0.35">
      <c r="A2261" t="s">
        <v>88</v>
      </c>
      <c r="B2261">
        <v>28.7</v>
      </c>
      <c r="C2261">
        <v>4.99</v>
      </c>
      <c r="D2261" t="s">
        <v>2370</v>
      </c>
      <c r="E2261" t="s">
        <v>2370</v>
      </c>
      <c r="F2261" t="s">
        <v>2373</v>
      </c>
      <c r="G2261">
        <v>1</v>
      </c>
      <c r="H2261" t="s">
        <v>2370</v>
      </c>
    </row>
    <row r="2262" spans="1:8" x14ac:dyDescent="0.35">
      <c r="A2262" t="s">
        <v>87</v>
      </c>
      <c r="B2262">
        <v>17.440000000000001</v>
      </c>
      <c r="C2262">
        <v>4.42</v>
      </c>
      <c r="D2262" t="s">
        <v>2372</v>
      </c>
      <c r="E2262" t="s">
        <v>2370</v>
      </c>
      <c r="F2262" t="s">
        <v>2373</v>
      </c>
      <c r="G2262">
        <v>1</v>
      </c>
      <c r="H2262" t="s">
        <v>2370</v>
      </c>
    </row>
    <row r="2263" spans="1:8" x14ac:dyDescent="0.35">
      <c r="A2263" t="s">
        <v>86</v>
      </c>
      <c r="B2263">
        <v>27.6</v>
      </c>
      <c r="C2263">
        <v>4.01</v>
      </c>
      <c r="D2263" t="s">
        <v>2370</v>
      </c>
      <c r="E2263" t="s">
        <v>2370</v>
      </c>
      <c r="F2263" t="s">
        <v>2373</v>
      </c>
      <c r="G2263">
        <v>1</v>
      </c>
      <c r="H2263" t="s">
        <v>2370</v>
      </c>
    </row>
    <row r="2264" spans="1:8" x14ac:dyDescent="0.35">
      <c r="A2264" t="s">
        <v>85</v>
      </c>
      <c r="B2264">
        <v>20.7</v>
      </c>
      <c r="C2264">
        <v>4.49</v>
      </c>
      <c r="D2264" t="s">
        <v>2370</v>
      </c>
      <c r="E2264" t="s">
        <v>2370</v>
      </c>
      <c r="F2264" t="s">
        <v>2373</v>
      </c>
      <c r="G2264">
        <v>1</v>
      </c>
      <c r="H2264" t="s">
        <v>2370</v>
      </c>
    </row>
    <row r="2265" spans="1:8" x14ac:dyDescent="0.35">
      <c r="A2265" t="s">
        <v>84</v>
      </c>
      <c r="B2265">
        <v>20.3</v>
      </c>
      <c r="C2265">
        <v>6.37</v>
      </c>
      <c r="D2265" t="s">
        <v>2370</v>
      </c>
      <c r="E2265" t="s">
        <v>2370</v>
      </c>
      <c r="F2265" t="s">
        <v>2373</v>
      </c>
      <c r="G2265">
        <v>1</v>
      </c>
      <c r="H2265" t="s">
        <v>2370</v>
      </c>
    </row>
    <row r="2266" spans="1:8" x14ac:dyDescent="0.35">
      <c r="A2266" t="s">
        <v>83</v>
      </c>
      <c r="B2266">
        <v>19.8</v>
      </c>
      <c r="C2266">
        <v>5.12</v>
      </c>
      <c r="D2266" t="s">
        <v>2370</v>
      </c>
      <c r="E2266" t="s">
        <v>2370</v>
      </c>
      <c r="F2266" t="s">
        <v>2373</v>
      </c>
      <c r="G2266">
        <v>1</v>
      </c>
      <c r="H2266" t="s">
        <v>2370</v>
      </c>
    </row>
    <row r="2267" spans="1:8" x14ac:dyDescent="0.35">
      <c r="A2267" t="s">
        <v>82</v>
      </c>
      <c r="B2267">
        <v>21.87</v>
      </c>
      <c r="C2267">
        <v>8.59</v>
      </c>
      <c r="D2267" t="s">
        <v>2370</v>
      </c>
      <c r="E2267" t="s">
        <v>2370</v>
      </c>
      <c r="F2267" t="s">
        <v>2370</v>
      </c>
      <c r="G2267" t="s">
        <v>2371</v>
      </c>
      <c r="H2267" t="s">
        <v>2370</v>
      </c>
    </row>
    <row r="2268" spans="1:8" x14ac:dyDescent="0.35">
      <c r="A2268" t="s">
        <v>81</v>
      </c>
      <c r="B2268">
        <v>16.600000000000001</v>
      </c>
      <c r="C2268">
        <v>5.87</v>
      </c>
      <c r="D2268" t="s">
        <v>2370</v>
      </c>
      <c r="E2268" t="s">
        <v>2370</v>
      </c>
      <c r="F2268" t="s">
        <v>2370</v>
      </c>
      <c r="G2268">
        <v>1</v>
      </c>
      <c r="H2268" t="s">
        <v>2370</v>
      </c>
    </row>
    <row r="2269" spans="1:8" x14ac:dyDescent="0.35">
      <c r="A2269" t="s">
        <v>80</v>
      </c>
      <c r="B2269">
        <v>21.98</v>
      </c>
      <c r="C2269">
        <v>7.03</v>
      </c>
      <c r="D2269" t="s">
        <v>2370</v>
      </c>
      <c r="E2269" t="s">
        <v>2370</v>
      </c>
      <c r="F2269" t="s">
        <v>2370</v>
      </c>
      <c r="G2269" t="s">
        <v>2371</v>
      </c>
      <c r="H2269" t="s">
        <v>2370</v>
      </c>
    </row>
    <row r="2270" spans="1:8" x14ac:dyDescent="0.35">
      <c r="A2270" t="s">
        <v>79</v>
      </c>
      <c r="B2270">
        <v>19.7</v>
      </c>
      <c r="C2270">
        <v>5.51</v>
      </c>
      <c r="D2270" t="s">
        <v>2370</v>
      </c>
      <c r="E2270" t="s">
        <v>2370</v>
      </c>
      <c r="F2270" t="s">
        <v>2370</v>
      </c>
      <c r="G2270">
        <v>1</v>
      </c>
      <c r="H2270" t="s">
        <v>2370</v>
      </c>
    </row>
    <row r="2271" spans="1:8" x14ac:dyDescent="0.35">
      <c r="A2271" t="s">
        <v>78</v>
      </c>
      <c r="B2271">
        <v>19.21</v>
      </c>
      <c r="C2271">
        <v>4.76</v>
      </c>
      <c r="D2271" t="s">
        <v>2370</v>
      </c>
      <c r="E2271" t="s">
        <v>2372</v>
      </c>
      <c r="F2271" t="s">
        <v>2370</v>
      </c>
      <c r="G2271">
        <v>1</v>
      </c>
      <c r="H2271" t="s">
        <v>2370</v>
      </c>
    </row>
    <row r="2272" spans="1:8" x14ac:dyDescent="0.35">
      <c r="A2272" t="s">
        <v>77</v>
      </c>
      <c r="B2272">
        <v>19.3</v>
      </c>
      <c r="C2272">
        <v>4.7</v>
      </c>
      <c r="D2272" t="s">
        <v>2370</v>
      </c>
      <c r="E2272" t="s">
        <v>2372</v>
      </c>
      <c r="F2272" t="s">
        <v>2370</v>
      </c>
      <c r="G2272">
        <v>1</v>
      </c>
      <c r="H2272" t="s">
        <v>2370</v>
      </c>
    </row>
    <row r="2273" spans="1:8" x14ac:dyDescent="0.35">
      <c r="A2273" t="s">
        <v>76</v>
      </c>
      <c r="B2273">
        <v>16.22</v>
      </c>
      <c r="C2273">
        <v>6.21</v>
      </c>
      <c r="D2273" t="s">
        <v>2372</v>
      </c>
      <c r="E2273" t="s">
        <v>2370</v>
      </c>
      <c r="F2273" t="s">
        <v>2370</v>
      </c>
      <c r="G2273" t="s">
        <v>2371</v>
      </c>
      <c r="H2273" t="s">
        <v>2370</v>
      </c>
    </row>
    <row r="2274" spans="1:8" x14ac:dyDescent="0.35">
      <c r="A2274" t="s">
        <v>75</v>
      </c>
      <c r="B2274">
        <v>17.12</v>
      </c>
      <c r="C2274">
        <v>4.5199999999999996</v>
      </c>
      <c r="D2274" t="s">
        <v>2370</v>
      </c>
      <c r="E2274" t="s">
        <v>2372</v>
      </c>
      <c r="F2274" t="s">
        <v>2370</v>
      </c>
      <c r="G2274">
        <v>1</v>
      </c>
      <c r="H2274" t="s">
        <v>2370</v>
      </c>
    </row>
    <row r="2275" spans="1:8" x14ac:dyDescent="0.35">
      <c r="A2275" t="s">
        <v>74</v>
      </c>
      <c r="B2275">
        <v>19.07</v>
      </c>
      <c r="C2275">
        <v>5.45</v>
      </c>
      <c r="D2275" t="s">
        <v>2370</v>
      </c>
      <c r="E2275" t="s">
        <v>2370</v>
      </c>
      <c r="F2275" t="s">
        <v>2370</v>
      </c>
      <c r="G2275">
        <v>1</v>
      </c>
      <c r="H2275" t="s">
        <v>2370</v>
      </c>
    </row>
    <row r="2276" spans="1:8" x14ac:dyDescent="0.35">
      <c r="A2276" t="s">
        <v>73</v>
      </c>
      <c r="B2276">
        <v>15.56</v>
      </c>
      <c r="C2276">
        <v>4.42</v>
      </c>
      <c r="D2276" t="s">
        <v>2370</v>
      </c>
      <c r="E2276" t="s">
        <v>2370</v>
      </c>
      <c r="F2276" t="s">
        <v>2370</v>
      </c>
      <c r="G2276" t="s">
        <v>2371</v>
      </c>
      <c r="H2276" t="s">
        <v>2370</v>
      </c>
    </row>
    <row r="2277" spans="1:8" x14ac:dyDescent="0.35">
      <c r="A2277" t="s">
        <v>72</v>
      </c>
      <c r="B2277">
        <v>22.76</v>
      </c>
      <c r="C2277">
        <v>9.44</v>
      </c>
      <c r="D2277" t="s">
        <v>2370</v>
      </c>
      <c r="E2277" t="s">
        <v>2370</v>
      </c>
      <c r="F2277" t="s">
        <v>2370</v>
      </c>
      <c r="G2277" t="s">
        <v>2371</v>
      </c>
      <c r="H2277" t="s">
        <v>2370</v>
      </c>
    </row>
    <row r="2278" spans="1:8" x14ac:dyDescent="0.35">
      <c r="A2278" t="s">
        <v>71</v>
      </c>
      <c r="B2278">
        <v>22.79</v>
      </c>
      <c r="C2278">
        <v>6.15</v>
      </c>
      <c r="D2278" t="s">
        <v>2372</v>
      </c>
      <c r="E2278" t="s">
        <v>2370</v>
      </c>
      <c r="F2278" t="s">
        <v>2373</v>
      </c>
      <c r="G2278">
        <v>1</v>
      </c>
      <c r="H2278" t="s">
        <v>2370</v>
      </c>
    </row>
    <row r="2279" spans="1:8" x14ac:dyDescent="0.35">
      <c r="A2279" t="s">
        <v>70</v>
      </c>
      <c r="B2279">
        <v>17.41</v>
      </c>
      <c r="C2279">
        <v>5.13</v>
      </c>
      <c r="D2279" t="s">
        <v>2372</v>
      </c>
      <c r="E2279" t="s">
        <v>2370</v>
      </c>
      <c r="F2279" t="s">
        <v>2370</v>
      </c>
      <c r="G2279" t="s">
        <v>2371</v>
      </c>
      <c r="H2279" t="s">
        <v>2370</v>
      </c>
    </row>
    <row r="2280" spans="1:8" x14ac:dyDescent="0.35">
      <c r="A2280" t="s">
        <v>69</v>
      </c>
      <c r="B2280">
        <v>19.32</v>
      </c>
      <c r="C2280">
        <v>4.96</v>
      </c>
      <c r="D2280" t="s">
        <v>2372</v>
      </c>
      <c r="E2280" t="s">
        <v>2370</v>
      </c>
      <c r="F2280" t="s">
        <v>2370</v>
      </c>
      <c r="G2280" t="s">
        <v>2371</v>
      </c>
      <c r="H2280" t="s">
        <v>2370</v>
      </c>
    </row>
    <row r="2281" spans="1:8" x14ac:dyDescent="0.35">
      <c r="A2281" t="s">
        <v>68</v>
      </c>
      <c r="B2281">
        <v>18.25</v>
      </c>
      <c r="C2281">
        <v>10.95</v>
      </c>
      <c r="D2281" t="s">
        <v>2370</v>
      </c>
      <c r="E2281" t="s">
        <v>2370</v>
      </c>
      <c r="F2281" t="s">
        <v>2370</v>
      </c>
      <c r="G2281" t="s">
        <v>2371</v>
      </c>
      <c r="H2281" t="s">
        <v>2370</v>
      </c>
    </row>
    <row r="2282" spans="1:8" x14ac:dyDescent="0.35">
      <c r="A2282" t="s">
        <v>67</v>
      </c>
      <c r="B2282">
        <v>53.13</v>
      </c>
      <c r="C2282">
        <v>4.4400000000000004</v>
      </c>
      <c r="D2282" t="s">
        <v>2370</v>
      </c>
      <c r="E2282" t="s">
        <v>2372</v>
      </c>
      <c r="F2282" t="s">
        <v>2370</v>
      </c>
      <c r="G2282">
        <v>1</v>
      </c>
      <c r="H2282" t="s">
        <v>2370</v>
      </c>
    </row>
    <row r="2283" spans="1:8" x14ac:dyDescent="0.35">
      <c r="A2283" t="s">
        <v>66</v>
      </c>
      <c r="B2283">
        <v>20.46</v>
      </c>
      <c r="C2283">
        <v>4.0199999999999996</v>
      </c>
      <c r="D2283" t="s">
        <v>2370</v>
      </c>
      <c r="E2283" t="s">
        <v>2370</v>
      </c>
      <c r="F2283" t="s">
        <v>2370</v>
      </c>
      <c r="G2283" t="s">
        <v>2371</v>
      </c>
      <c r="H2283" t="s">
        <v>2370</v>
      </c>
    </row>
    <row r="2284" spans="1:8" x14ac:dyDescent="0.35">
      <c r="A2284" t="s">
        <v>65</v>
      </c>
      <c r="B2284">
        <v>43.01</v>
      </c>
      <c r="C2284">
        <v>5.44</v>
      </c>
      <c r="D2284" t="s">
        <v>2370</v>
      </c>
      <c r="E2284" t="s">
        <v>2372</v>
      </c>
      <c r="F2284" t="s">
        <v>2370</v>
      </c>
      <c r="G2284">
        <v>1</v>
      </c>
      <c r="H2284" t="s">
        <v>2370</v>
      </c>
    </row>
    <row r="2285" spans="1:8" x14ac:dyDescent="0.35">
      <c r="A2285" t="s">
        <v>64</v>
      </c>
      <c r="B2285">
        <v>15.01</v>
      </c>
      <c r="C2285">
        <v>4.1500000000000004</v>
      </c>
      <c r="D2285" t="s">
        <v>2370</v>
      </c>
      <c r="E2285" t="s">
        <v>2370</v>
      </c>
      <c r="F2285" t="s">
        <v>2373</v>
      </c>
      <c r="G2285">
        <v>1</v>
      </c>
      <c r="H2285" t="s">
        <v>2370</v>
      </c>
    </row>
    <row r="2286" spans="1:8" x14ac:dyDescent="0.35">
      <c r="A2286" t="s">
        <v>63</v>
      </c>
      <c r="B2286">
        <v>41.14</v>
      </c>
      <c r="C2286">
        <v>6.02</v>
      </c>
      <c r="D2286" t="s">
        <v>2370</v>
      </c>
      <c r="E2286" t="s">
        <v>2372</v>
      </c>
      <c r="F2286" t="s">
        <v>2370</v>
      </c>
      <c r="G2286">
        <v>1</v>
      </c>
      <c r="H2286" t="s">
        <v>2370</v>
      </c>
    </row>
    <row r="2287" spans="1:8" x14ac:dyDescent="0.35">
      <c r="A2287" t="s">
        <v>62</v>
      </c>
      <c r="B2287">
        <v>16.55</v>
      </c>
      <c r="C2287">
        <v>7.73</v>
      </c>
      <c r="D2287" t="s">
        <v>2370</v>
      </c>
      <c r="E2287" t="s">
        <v>2370</v>
      </c>
      <c r="F2287" t="s">
        <v>2370</v>
      </c>
      <c r="G2287" t="s">
        <v>2371</v>
      </c>
      <c r="H2287" t="s">
        <v>2370</v>
      </c>
    </row>
    <row r="2288" spans="1:8" x14ac:dyDescent="0.35">
      <c r="A2288" t="s">
        <v>61</v>
      </c>
      <c r="B2288">
        <v>37.29</v>
      </c>
      <c r="C2288">
        <v>5.03</v>
      </c>
      <c r="D2288" t="s">
        <v>2370</v>
      </c>
      <c r="E2288" t="s">
        <v>2372</v>
      </c>
      <c r="F2288" t="s">
        <v>2370</v>
      </c>
      <c r="G2288">
        <v>1</v>
      </c>
      <c r="H2288" t="s">
        <v>2370</v>
      </c>
    </row>
    <row r="2289" spans="1:8" x14ac:dyDescent="0.35">
      <c r="A2289" t="s">
        <v>60</v>
      </c>
      <c r="B2289">
        <v>16.739999999999998</v>
      </c>
      <c r="C2289">
        <v>4.08</v>
      </c>
      <c r="D2289" t="s">
        <v>2372</v>
      </c>
      <c r="E2289" t="s">
        <v>2370</v>
      </c>
      <c r="F2289" t="s">
        <v>2370</v>
      </c>
      <c r="G2289" t="s">
        <v>2371</v>
      </c>
      <c r="H2289" t="s">
        <v>2370</v>
      </c>
    </row>
    <row r="2290" spans="1:8" x14ac:dyDescent="0.35">
      <c r="A2290" t="s">
        <v>59</v>
      </c>
      <c r="B2290">
        <v>34.43</v>
      </c>
      <c r="C2290">
        <v>4.2699999999999996</v>
      </c>
      <c r="D2290" t="s">
        <v>2370</v>
      </c>
      <c r="E2290" t="s">
        <v>2372</v>
      </c>
      <c r="F2290" t="s">
        <v>2370</v>
      </c>
      <c r="G2290">
        <v>1</v>
      </c>
      <c r="H2290" t="s">
        <v>2370</v>
      </c>
    </row>
    <row r="2291" spans="1:8" x14ac:dyDescent="0.35">
      <c r="A2291" t="s">
        <v>58</v>
      </c>
      <c r="B2291">
        <v>34.1</v>
      </c>
      <c r="C2291">
        <v>4.07</v>
      </c>
      <c r="D2291" t="s">
        <v>2370</v>
      </c>
      <c r="E2291" t="s">
        <v>2372</v>
      </c>
      <c r="F2291" t="s">
        <v>2370</v>
      </c>
      <c r="G2291">
        <v>1</v>
      </c>
      <c r="H2291" t="s">
        <v>2370</v>
      </c>
    </row>
    <row r="2292" spans="1:8" x14ac:dyDescent="0.35">
      <c r="A2292" t="s">
        <v>57</v>
      </c>
      <c r="B2292">
        <v>19.3</v>
      </c>
      <c r="C2292">
        <v>10.36</v>
      </c>
      <c r="D2292" t="s">
        <v>2370</v>
      </c>
      <c r="E2292" t="s">
        <v>2370</v>
      </c>
      <c r="F2292" t="s">
        <v>2370</v>
      </c>
      <c r="G2292" t="s">
        <v>2371</v>
      </c>
      <c r="H2292" t="s">
        <v>2370</v>
      </c>
    </row>
    <row r="2293" spans="1:8" x14ac:dyDescent="0.35">
      <c r="A2293" t="s">
        <v>56</v>
      </c>
      <c r="B2293">
        <v>33.659999999999997</v>
      </c>
      <c r="C2293">
        <v>5.71</v>
      </c>
      <c r="D2293" t="s">
        <v>2370</v>
      </c>
      <c r="E2293" t="s">
        <v>2372</v>
      </c>
      <c r="F2293" t="s">
        <v>2370</v>
      </c>
      <c r="G2293">
        <v>1</v>
      </c>
      <c r="H2293" t="s">
        <v>2370</v>
      </c>
    </row>
    <row r="2294" spans="1:8" x14ac:dyDescent="0.35">
      <c r="A2294" t="s">
        <v>55</v>
      </c>
      <c r="B2294">
        <v>33.33</v>
      </c>
      <c r="C2294">
        <v>6.08</v>
      </c>
      <c r="D2294" t="s">
        <v>2370</v>
      </c>
      <c r="E2294" t="s">
        <v>2372</v>
      </c>
      <c r="F2294" t="s">
        <v>2370</v>
      </c>
      <c r="G2294">
        <v>1</v>
      </c>
      <c r="H2294" t="s">
        <v>2370</v>
      </c>
    </row>
    <row r="2295" spans="1:8" x14ac:dyDescent="0.35">
      <c r="A2295" t="s">
        <v>54</v>
      </c>
      <c r="B2295">
        <v>21.84</v>
      </c>
      <c r="C2295">
        <v>5.71</v>
      </c>
      <c r="D2295" t="s">
        <v>2370</v>
      </c>
      <c r="E2295" t="s">
        <v>2372</v>
      </c>
      <c r="F2295" t="s">
        <v>2370</v>
      </c>
      <c r="G2295">
        <v>1</v>
      </c>
      <c r="H2295" t="s">
        <v>2370</v>
      </c>
    </row>
    <row r="2296" spans="1:8" x14ac:dyDescent="0.35">
      <c r="A2296" t="s">
        <v>53</v>
      </c>
      <c r="B2296">
        <v>16.87</v>
      </c>
      <c r="C2296">
        <v>9.1300000000000008</v>
      </c>
      <c r="D2296" t="s">
        <v>2370</v>
      </c>
      <c r="E2296" t="s">
        <v>2370</v>
      </c>
      <c r="F2296" t="s">
        <v>2370</v>
      </c>
      <c r="G2296" t="s">
        <v>2371</v>
      </c>
      <c r="H2296" t="s">
        <v>2370</v>
      </c>
    </row>
    <row r="2297" spans="1:8" x14ac:dyDescent="0.35">
      <c r="A2297" t="s">
        <v>52</v>
      </c>
      <c r="B2297">
        <v>30.14</v>
      </c>
      <c r="C2297">
        <v>5.49</v>
      </c>
      <c r="D2297" t="s">
        <v>2370</v>
      </c>
      <c r="E2297" t="s">
        <v>2372</v>
      </c>
      <c r="F2297" t="s">
        <v>2370</v>
      </c>
      <c r="G2297">
        <v>1</v>
      </c>
      <c r="H2297" t="s">
        <v>2370</v>
      </c>
    </row>
    <row r="2298" spans="1:8" x14ac:dyDescent="0.35">
      <c r="A2298" t="s">
        <v>51</v>
      </c>
      <c r="B2298">
        <v>23.21</v>
      </c>
      <c r="C2298">
        <v>4.37</v>
      </c>
      <c r="D2298" t="s">
        <v>2370</v>
      </c>
      <c r="E2298" t="s">
        <v>2372</v>
      </c>
      <c r="F2298" t="s">
        <v>2370</v>
      </c>
      <c r="G2298">
        <v>1</v>
      </c>
      <c r="H2298" t="s">
        <v>2370</v>
      </c>
    </row>
    <row r="2299" spans="1:8" x14ac:dyDescent="0.35">
      <c r="A2299" t="s">
        <v>50</v>
      </c>
      <c r="B2299">
        <v>17.170000000000002</v>
      </c>
      <c r="C2299">
        <v>8.4600000000000009</v>
      </c>
      <c r="D2299" t="s">
        <v>2370</v>
      </c>
      <c r="E2299" t="s">
        <v>2370</v>
      </c>
      <c r="F2299" t="s">
        <v>2370</v>
      </c>
      <c r="G2299" t="s">
        <v>2371</v>
      </c>
      <c r="H2299" t="s">
        <v>2370</v>
      </c>
    </row>
    <row r="2300" spans="1:8" x14ac:dyDescent="0.35">
      <c r="A2300" t="s">
        <v>49</v>
      </c>
      <c r="B2300">
        <v>15.61</v>
      </c>
      <c r="C2300">
        <v>5.28</v>
      </c>
      <c r="D2300" t="s">
        <v>2370</v>
      </c>
      <c r="E2300" t="s">
        <v>2370</v>
      </c>
      <c r="F2300" t="s">
        <v>2370</v>
      </c>
      <c r="G2300">
        <v>1</v>
      </c>
      <c r="H2300" t="s">
        <v>2370</v>
      </c>
    </row>
    <row r="2301" spans="1:8" x14ac:dyDescent="0.35">
      <c r="A2301" t="s">
        <v>48</v>
      </c>
      <c r="B2301">
        <v>17.98</v>
      </c>
      <c r="C2301">
        <v>5.33</v>
      </c>
      <c r="D2301" t="s">
        <v>2372</v>
      </c>
      <c r="E2301" t="s">
        <v>2370</v>
      </c>
      <c r="F2301" t="s">
        <v>2373</v>
      </c>
      <c r="G2301">
        <v>1</v>
      </c>
      <c r="H2301" t="s">
        <v>2370</v>
      </c>
    </row>
    <row r="2302" spans="1:8" x14ac:dyDescent="0.35">
      <c r="A2302" t="s">
        <v>47</v>
      </c>
      <c r="B2302">
        <v>21.64</v>
      </c>
      <c r="C2302">
        <v>5.5</v>
      </c>
      <c r="D2302" t="s">
        <v>2370</v>
      </c>
      <c r="E2302" t="s">
        <v>2372</v>
      </c>
      <c r="F2302" t="s">
        <v>2370</v>
      </c>
      <c r="G2302">
        <v>1</v>
      </c>
      <c r="H2302" t="s">
        <v>2370</v>
      </c>
    </row>
    <row r="2303" spans="1:8" x14ac:dyDescent="0.35">
      <c r="A2303" t="s">
        <v>46</v>
      </c>
      <c r="B2303">
        <v>16.399999999999999</v>
      </c>
      <c r="C2303">
        <v>5.4</v>
      </c>
      <c r="D2303" t="s">
        <v>2370</v>
      </c>
      <c r="E2303" t="s">
        <v>2370</v>
      </c>
      <c r="F2303" t="s">
        <v>2373</v>
      </c>
      <c r="G2303">
        <v>1</v>
      </c>
      <c r="H2303" t="s">
        <v>2370</v>
      </c>
    </row>
    <row r="2304" spans="1:8" x14ac:dyDescent="0.35">
      <c r="A2304" t="s">
        <v>45</v>
      </c>
      <c r="B2304">
        <v>15.77</v>
      </c>
      <c r="C2304">
        <v>6.05</v>
      </c>
      <c r="D2304" t="s">
        <v>2372</v>
      </c>
      <c r="E2304" t="s">
        <v>2370</v>
      </c>
      <c r="F2304" t="s">
        <v>2370</v>
      </c>
      <c r="G2304">
        <v>1</v>
      </c>
      <c r="H2304" t="s">
        <v>2370</v>
      </c>
    </row>
    <row r="2305" spans="1:8" x14ac:dyDescent="0.35">
      <c r="A2305" t="s">
        <v>44</v>
      </c>
      <c r="B2305">
        <v>18.27</v>
      </c>
      <c r="C2305">
        <v>11.46</v>
      </c>
      <c r="D2305" t="s">
        <v>2370</v>
      </c>
      <c r="E2305" t="s">
        <v>2370</v>
      </c>
      <c r="F2305" t="s">
        <v>2370</v>
      </c>
      <c r="G2305" t="s">
        <v>2371</v>
      </c>
      <c r="H2305" t="s">
        <v>2370</v>
      </c>
    </row>
    <row r="2306" spans="1:8" x14ac:dyDescent="0.35">
      <c r="A2306" t="s">
        <v>43</v>
      </c>
      <c r="B2306">
        <v>16.489999999999998</v>
      </c>
      <c r="C2306">
        <v>8.48</v>
      </c>
      <c r="D2306" t="s">
        <v>2370</v>
      </c>
      <c r="E2306" t="s">
        <v>2370</v>
      </c>
      <c r="F2306" t="s">
        <v>2370</v>
      </c>
      <c r="G2306" t="s">
        <v>2371</v>
      </c>
      <c r="H2306" t="s">
        <v>2370</v>
      </c>
    </row>
    <row r="2307" spans="1:8" x14ac:dyDescent="0.35">
      <c r="A2307" t="s">
        <v>42</v>
      </c>
      <c r="B2307">
        <v>16.14</v>
      </c>
      <c r="C2307">
        <v>4.8600000000000003</v>
      </c>
      <c r="D2307" t="s">
        <v>2370</v>
      </c>
      <c r="E2307" t="s">
        <v>2370</v>
      </c>
      <c r="F2307" t="s">
        <v>2370</v>
      </c>
      <c r="G2307" t="s">
        <v>2371</v>
      </c>
      <c r="H2307" t="s">
        <v>2370</v>
      </c>
    </row>
    <row r="2308" spans="1:8" x14ac:dyDescent="0.35">
      <c r="A2308" t="s">
        <v>41</v>
      </c>
      <c r="B2308">
        <v>20.85</v>
      </c>
      <c r="C2308">
        <v>4.45</v>
      </c>
      <c r="D2308" t="s">
        <v>2372</v>
      </c>
      <c r="E2308" t="s">
        <v>2370</v>
      </c>
      <c r="F2308" t="s">
        <v>2370</v>
      </c>
      <c r="G2308">
        <v>1</v>
      </c>
      <c r="H2308" t="s">
        <v>2370</v>
      </c>
    </row>
    <row r="2309" spans="1:8" x14ac:dyDescent="0.35">
      <c r="A2309" t="s">
        <v>40</v>
      </c>
      <c r="B2309">
        <v>15.88</v>
      </c>
      <c r="C2309">
        <v>4.3600000000000003</v>
      </c>
      <c r="D2309" t="s">
        <v>2370</v>
      </c>
      <c r="E2309" t="s">
        <v>2370</v>
      </c>
      <c r="F2309" t="s">
        <v>2370</v>
      </c>
      <c r="G2309" t="s">
        <v>2371</v>
      </c>
      <c r="H2309" t="s">
        <v>2370</v>
      </c>
    </row>
    <row r="2310" spans="1:8" x14ac:dyDescent="0.35">
      <c r="A2310" t="s">
        <v>39</v>
      </c>
      <c r="B2310">
        <v>20.66</v>
      </c>
      <c r="C2310">
        <v>5.8</v>
      </c>
      <c r="D2310" t="s">
        <v>2370</v>
      </c>
      <c r="E2310" t="s">
        <v>2372</v>
      </c>
      <c r="F2310" t="s">
        <v>2370</v>
      </c>
      <c r="G2310">
        <v>1</v>
      </c>
      <c r="H2310" t="s">
        <v>2370</v>
      </c>
    </row>
    <row r="2311" spans="1:8" x14ac:dyDescent="0.35">
      <c r="A2311" t="s">
        <v>38</v>
      </c>
      <c r="B2311">
        <v>20.399999999999999</v>
      </c>
      <c r="C2311">
        <v>5.27</v>
      </c>
      <c r="D2311" t="s">
        <v>2370</v>
      </c>
      <c r="E2311" t="s">
        <v>2370</v>
      </c>
      <c r="F2311" t="s">
        <v>2370</v>
      </c>
      <c r="G2311" t="s">
        <v>2371</v>
      </c>
      <c r="H2311" t="s">
        <v>2370</v>
      </c>
    </row>
    <row r="2312" spans="1:8" x14ac:dyDescent="0.35">
      <c r="A2312" t="s">
        <v>37</v>
      </c>
      <c r="B2312">
        <v>25.19</v>
      </c>
      <c r="C2312">
        <v>5.64</v>
      </c>
      <c r="D2312" t="s">
        <v>2372</v>
      </c>
      <c r="E2312" t="s">
        <v>2370</v>
      </c>
      <c r="F2312" t="s">
        <v>2370</v>
      </c>
      <c r="G2312" t="s">
        <v>2371</v>
      </c>
      <c r="H2312" t="s">
        <v>2370</v>
      </c>
    </row>
    <row r="2313" spans="1:8" x14ac:dyDescent="0.35">
      <c r="A2313" t="s">
        <v>36</v>
      </c>
      <c r="B2313">
        <v>20.54</v>
      </c>
      <c r="C2313">
        <v>4.2</v>
      </c>
      <c r="D2313" t="s">
        <v>2372</v>
      </c>
      <c r="E2313" t="s">
        <v>2370</v>
      </c>
      <c r="F2313" t="s">
        <v>2370</v>
      </c>
      <c r="G2313">
        <v>1</v>
      </c>
      <c r="H2313" t="s">
        <v>2370</v>
      </c>
    </row>
    <row r="2314" spans="1:8" x14ac:dyDescent="0.35">
      <c r="A2314" t="s">
        <v>35</v>
      </c>
      <c r="B2314">
        <v>20.13</v>
      </c>
      <c r="C2314">
        <v>5.42</v>
      </c>
      <c r="D2314" t="s">
        <v>2370</v>
      </c>
      <c r="E2314" t="s">
        <v>2370</v>
      </c>
      <c r="F2314" t="s">
        <v>2370</v>
      </c>
      <c r="G2314" t="s">
        <v>2371</v>
      </c>
      <c r="H2314" t="s">
        <v>2370</v>
      </c>
    </row>
    <row r="2315" spans="1:8" x14ac:dyDescent="0.35">
      <c r="A2315" t="s">
        <v>34</v>
      </c>
      <c r="B2315">
        <v>18.93</v>
      </c>
      <c r="C2315">
        <v>6.11</v>
      </c>
      <c r="D2315" t="s">
        <v>2370</v>
      </c>
      <c r="E2315" t="s">
        <v>2370</v>
      </c>
      <c r="F2315" t="s">
        <v>2373</v>
      </c>
      <c r="G2315">
        <v>1</v>
      </c>
      <c r="H2315" t="s">
        <v>2370</v>
      </c>
    </row>
    <row r="2316" spans="1:8" x14ac:dyDescent="0.35">
      <c r="A2316" t="s">
        <v>33</v>
      </c>
      <c r="B2316">
        <v>24.14</v>
      </c>
      <c r="C2316">
        <v>5.29</v>
      </c>
      <c r="D2316" t="s">
        <v>2370</v>
      </c>
      <c r="E2316" t="s">
        <v>2372</v>
      </c>
      <c r="F2316" t="s">
        <v>2370</v>
      </c>
      <c r="G2316">
        <v>1</v>
      </c>
      <c r="H2316" t="s">
        <v>2370</v>
      </c>
    </row>
    <row r="2317" spans="1:8" x14ac:dyDescent="0.35">
      <c r="A2317" t="s">
        <v>31</v>
      </c>
      <c r="B2317">
        <v>25.03</v>
      </c>
      <c r="C2317">
        <v>5.91</v>
      </c>
      <c r="D2317" t="s">
        <v>2370</v>
      </c>
      <c r="E2317" t="s">
        <v>2372</v>
      </c>
      <c r="F2317" t="s">
        <v>2370</v>
      </c>
      <c r="G2317">
        <v>1</v>
      </c>
      <c r="H2317" t="s">
        <v>2370</v>
      </c>
    </row>
    <row r="2318" spans="1:8" x14ac:dyDescent="0.35">
      <c r="A2318" t="s">
        <v>30</v>
      </c>
      <c r="B2318">
        <v>20.47</v>
      </c>
      <c r="C2318">
        <v>5.81</v>
      </c>
      <c r="D2318" t="s">
        <v>2372</v>
      </c>
      <c r="E2318" t="s">
        <v>2370</v>
      </c>
      <c r="F2318" t="s">
        <v>2370</v>
      </c>
      <c r="G2318">
        <v>1</v>
      </c>
      <c r="H2318" t="s">
        <v>2370</v>
      </c>
    </row>
    <row r="2319" spans="1:8" x14ac:dyDescent="0.35">
      <c r="A2319" t="s">
        <v>29</v>
      </c>
      <c r="B2319">
        <v>18.82</v>
      </c>
      <c r="C2319">
        <v>5.51</v>
      </c>
      <c r="D2319" t="s">
        <v>2372</v>
      </c>
      <c r="E2319" t="s">
        <v>2370</v>
      </c>
      <c r="F2319" t="s">
        <v>2370</v>
      </c>
      <c r="G2319" t="s">
        <v>2371</v>
      </c>
      <c r="H2319" t="s">
        <v>2370</v>
      </c>
    </row>
    <row r="2320" spans="1:8" x14ac:dyDescent="0.35">
      <c r="A2320" t="s">
        <v>28</v>
      </c>
      <c r="B2320">
        <v>17.079999999999998</v>
      </c>
      <c r="C2320">
        <v>5.73</v>
      </c>
      <c r="D2320" t="s">
        <v>2370</v>
      </c>
      <c r="E2320" t="s">
        <v>2370</v>
      </c>
      <c r="F2320" t="s">
        <v>2373</v>
      </c>
      <c r="G2320">
        <v>1</v>
      </c>
      <c r="H2320" t="s">
        <v>2370</v>
      </c>
    </row>
    <row r="2321" spans="1:8" x14ac:dyDescent="0.35">
      <c r="A2321" t="s">
        <v>27</v>
      </c>
      <c r="B2321">
        <v>19.21</v>
      </c>
      <c r="C2321">
        <v>5.53</v>
      </c>
      <c r="D2321" t="s">
        <v>2372</v>
      </c>
      <c r="E2321" t="s">
        <v>2370</v>
      </c>
      <c r="F2321" t="s">
        <v>2370</v>
      </c>
      <c r="G2321" t="s">
        <v>2371</v>
      </c>
      <c r="H2321" t="s">
        <v>2370</v>
      </c>
    </row>
    <row r="2322" spans="1:8" x14ac:dyDescent="0.35">
      <c r="A2322" t="s">
        <v>26</v>
      </c>
      <c r="B2322">
        <v>17.86</v>
      </c>
      <c r="C2322">
        <v>5.43</v>
      </c>
      <c r="D2322" t="s">
        <v>2370</v>
      </c>
      <c r="E2322" t="s">
        <v>2370</v>
      </c>
      <c r="F2322" t="s">
        <v>2373</v>
      </c>
      <c r="G2322">
        <v>1</v>
      </c>
      <c r="H2322" t="s">
        <v>2370</v>
      </c>
    </row>
    <row r="2323" spans="1:8" x14ac:dyDescent="0.35">
      <c r="A2323" t="s">
        <v>25</v>
      </c>
      <c r="B2323">
        <v>21.38</v>
      </c>
      <c r="C2323">
        <v>8.01</v>
      </c>
      <c r="D2323" t="s">
        <v>2370</v>
      </c>
      <c r="E2323" t="s">
        <v>2370</v>
      </c>
      <c r="F2323" t="s">
        <v>2370</v>
      </c>
      <c r="G2323" t="s">
        <v>2371</v>
      </c>
      <c r="H2323" t="s">
        <v>2370</v>
      </c>
    </row>
    <row r="2324" spans="1:8" x14ac:dyDescent="0.35">
      <c r="A2324" t="s">
        <v>24</v>
      </c>
      <c r="B2324">
        <v>23.35</v>
      </c>
      <c r="C2324">
        <v>5.94</v>
      </c>
      <c r="D2324" t="s">
        <v>2370</v>
      </c>
      <c r="E2324" t="s">
        <v>2370</v>
      </c>
      <c r="F2324" t="s">
        <v>2370</v>
      </c>
      <c r="G2324" t="s">
        <v>2371</v>
      </c>
      <c r="H2324" t="s">
        <v>2370</v>
      </c>
    </row>
    <row r="2325" spans="1:8" x14ac:dyDescent="0.35">
      <c r="A2325" t="s">
        <v>22</v>
      </c>
      <c r="B2325">
        <v>22.24</v>
      </c>
      <c r="C2325">
        <v>5.04</v>
      </c>
      <c r="D2325" t="s">
        <v>2370</v>
      </c>
      <c r="E2325" t="s">
        <v>2370</v>
      </c>
      <c r="F2325" t="s">
        <v>2370</v>
      </c>
      <c r="G2325" t="s">
        <v>2371</v>
      </c>
      <c r="H2325" t="s">
        <v>2370</v>
      </c>
    </row>
    <row r="2326" spans="1:8" x14ac:dyDescent="0.35">
      <c r="A2326" t="s">
        <v>21</v>
      </c>
      <c r="B2326">
        <v>24.76</v>
      </c>
      <c r="C2326">
        <v>4.54</v>
      </c>
      <c r="D2326" t="s">
        <v>2372</v>
      </c>
      <c r="E2326" t="s">
        <v>2370</v>
      </c>
      <c r="F2326" t="s">
        <v>2370</v>
      </c>
      <c r="G2326" t="s">
        <v>2371</v>
      </c>
      <c r="H2326" t="s">
        <v>2370</v>
      </c>
    </row>
    <row r="2327" spans="1:8" x14ac:dyDescent="0.35">
      <c r="A2327" t="s">
        <v>20</v>
      </c>
      <c r="B2327">
        <v>20.100000000000001</v>
      </c>
      <c r="C2327">
        <v>5.6</v>
      </c>
      <c r="D2327" t="s">
        <v>2372</v>
      </c>
      <c r="E2327" t="s">
        <v>2370</v>
      </c>
      <c r="F2327" t="s">
        <v>2373</v>
      </c>
      <c r="G2327">
        <v>1</v>
      </c>
      <c r="H2327" t="s">
        <v>2370</v>
      </c>
    </row>
    <row r="2328" spans="1:8" x14ac:dyDescent="0.35">
      <c r="A2328" t="s">
        <v>19</v>
      </c>
      <c r="B2328">
        <v>21.77</v>
      </c>
      <c r="C2328">
        <v>10.67</v>
      </c>
      <c r="D2328" t="s">
        <v>2370</v>
      </c>
      <c r="E2328" t="s">
        <v>2370</v>
      </c>
      <c r="F2328" t="s">
        <v>2370</v>
      </c>
      <c r="G2328" t="s">
        <v>2371</v>
      </c>
      <c r="H2328" t="s">
        <v>2370</v>
      </c>
    </row>
    <row r="2329" spans="1:8" x14ac:dyDescent="0.35">
      <c r="A2329" t="s">
        <v>18</v>
      </c>
      <c r="B2329">
        <v>17.82</v>
      </c>
      <c r="C2329">
        <v>5.26</v>
      </c>
      <c r="D2329" t="s">
        <v>2372</v>
      </c>
      <c r="E2329" t="s">
        <v>2370</v>
      </c>
      <c r="F2329" t="s">
        <v>2370</v>
      </c>
      <c r="G2329">
        <v>1</v>
      </c>
      <c r="H2329" t="s">
        <v>2370</v>
      </c>
    </row>
    <row r="2330" spans="1:8" x14ac:dyDescent="0.35">
      <c r="A2330" t="s">
        <v>17</v>
      </c>
      <c r="B2330">
        <v>17.07</v>
      </c>
      <c r="C2330">
        <v>5.22</v>
      </c>
      <c r="D2330" t="s">
        <v>2370</v>
      </c>
      <c r="E2330" t="s">
        <v>2370</v>
      </c>
      <c r="F2330" t="s">
        <v>2373</v>
      </c>
      <c r="G2330">
        <v>1</v>
      </c>
      <c r="H2330" t="s">
        <v>2370</v>
      </c>
    </row>
    <row r="2331" spans="1:8" x14ac:dyDescent="0.35">
      <c r="A2331" t="s">
        <v>15</v>
      </c>
      <c r="B2331">
        <v>22.24</v>
      </c>
      <c r="C2331">
        <v>4.29</v>
      </c>
      <c r="D2331" t="s">
        <v>2372</v>
      </c>
      <c r="E2331" t="s">
        <v>2370</v>
      </c>
      <c r="F2331" t="s">
        <v>2370</v>
      </c>
      <c r="G2331" t="s">
        <v>2371</v>
      </c>
      <c r="H2331" t="s">
        <v>2370</v>
      </c>
    </row>
    <row r="2332" spans="1:8" x14ac:dyDescent="0.35">
      <c r="A2332" t="s">
        <v>14</v>
      </c>
      <c r="B2332">
        <v>22.34</v>
      </c>
      <c r="C2332">
        <v>5.57</v>
      </c>
      <c r="D2332" t="s">
        <v>2370</v>
      </c>
      <c r="E2332" t="s">
        <v>2370</v>
      </c>
      <c r="F2332" t="s">
        <v>2370</v>
      </c>
      <c r="G2332">
        <v>1</v>
      </c>
      <c r="H2332" t="s">
        <v>2370</v>
      </c>
    </row>
    <row r="2333" spans="1:8" x14ac:dyDescent="0.35">
      <c r="A2333" t="s">
        <v>13</v>
      </c>
      <c r="B2333">
        <v>17.7</v>
      </c>
      <c r="C2333">
        <v>6.28</v>
      </c>
      <c r="D2333" t="s">
        <v>2370</v>
      </c>
      <c r="E2333" t="s">
        <v>2370</v>
      </c>
      <c r="F2333" t="s">
        <v>2370</v>
      </c>
      <c r="G2333">
        <v>1</v>
      </c>
      <c r="H2333" t="s">
        <v>2370</v>
      </c>
    </row>
    <row r="2334" spans="1:8" x14ac:dyDescent="0.35">
      <c r="A2334" t="s">
        <v>12</v>
      </c>
      <c r="B2334">
        <v>16.47</v>
      </c>
      <c r="C2334">
        <v>6.35</v>
      </c>
      <c r="D2334" t="s">
        <v>2370</v>
      </c>
      <c r="E2334" t="s">
        <v>2370</v>
      </c>
      <c r="F2334" t="s">
        <v>2373</v>
      </c>
      <c r="G2334">
        <v>1</v>
      </c>
      <c r="H2334" t="s">
        <v>2370</v>
      </c>
    </row>
    <row r="2335" spans="1:8" x14ac:dyDescent="0.35">
      <c r="A2335" t="s">
        <v>10</v>
      </c>
      <c r="B2335">
        <v>17.600000000000001</v>
      </c>
      <c r="C2335">
        <v>4.3899999999999997</v>
      </c>
      <c r="D2335" t="s">
        <v>2370</v>
      </c>
      <c r="E2335" t="s">
        <v>2370</v>
      </c>
      <c r="F2335" t="s">
        <v>2370</v>
      </c>
      <c r="G2335">
        <v>1</v>
      </c>
      <c r="H2335" t="s">
        <v>2370</v>
      </c>
    </row>
    <row r="2336" spans="1:8" x14ac:dyDescent="0.35">
      <c r="A2336" t="s">
        <v>6</v>
      </c>
      <c r="B2336">
        <v>17.579999999999998</v>
      </c>
      <c r="C2336">
        <v>4.51</v>
      </c>
      <c r="D2336" t="s">
        <v>2370</v>
      </c>
      <c r="E2336" t="s">
        <v>2370</v>
      </c>
      <c r="F2336" t="s">
        <v>2370</v>
      </c>
      <c r="G2336">
        <v>1</v>
      </c>
      <c r="H2336" t="s">
        <v>2370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FF96-B55E-4394-823F-1DD79B9B3BB4}">
  <dimension ref="A1:I2"/>
  <sheetViews>
    <sheetView workbookViewId="0"/>
  </sheetViews>
  <sheetFormatPr defaultRowHeight="14.5" x14ac:dyDescent="0.35"/>
  <cols>
    <col min="1" max="1" width="14" bestFit="1" customWidth="1"/>
    <col min="2" max="2" width="13.54296875" bestFit="1" customWidth="1"/>
    <col min="3" max="3" width="13.81640625" bestFit="1" customWidth="1"/>
    <col min="4" max="4" width="9.81640625" bestFit="1" customWidth="1"/>
    <col min="5" max="5" width="9.453125" bestFit="1" customWidth="1"/>
    <col min="6" max="6" width="13.36328125" bestFit="1" customWidth="1"/>
    <col min="7" max="7" width="9.6328125" bestFit="1" customWidth="1"/>
    <col min="8" max="8" width="9.7265625" bestFit="1" customWidth="1"/>
    <col min="9" max="9" width="6.1796875" bestFit="1" customWidth="1"/>
  </cols>
  <sheetData>
    <row r="1" spans="1:9" x14ac:dyDescent="0.35">
      <c r="A1" t="s">
        <v>8383</v>
      </c>
      <c r="B1" t="s">
        <v>0</v>
      </c>
      <c r="C1" t="s">
        <v>8381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8382</v>
      </c>
    </row>
    <row r="2" spans="1:9" x14ac:dyDescent="0.35">
      <c r="B2" s="6"/>
      <c r="C2" s="7"/>
      <c r="F2" s="6"/>
      <c r="G2" s="6"/>
      <c r="H2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E07A-0B99-4AF1-B300-F84A10BE0E94}">
  <dimension ref="A1:G2336"/>
  <sheetViews>
    <sheetView workbookViewId="0">
      <selection sqref="A1:I2338"/>
    </sheetView>
  </sheetViews>
  <sheetFormatPr defaultRowHeight="14.5" x14ac:dyDescent="0.35"/>
  <cols>
    <col min="1" max="1" width="13.54296875" bestFit="1" customWidth="1"/>
    <col min="2" max="2" width="13.81640625" bestFit="1" customWidth="1"/>
    <col min="3" max="3" width="9.81640625" bestFit="1" customWidth="1"/>
    <col min="4" max="4" width="9.453125" bestFit="1" customWidth="1"/>
    <col min="5" max="5" width="13.36328125" bestFit="1" customWidth="1"/>
    <col min="6" max="6" width="9.6328125" bestFit="1" customWidth="1"/>
    <col min="7" max="7" width="9.7265625" bestFit="1" customWidth="1"/>
    <col min="8" max="8" width="13.36328125" bestFit="1" customWidth="1"/>
    <col min="9" max="9" width="9.6328125" bestFit="1" customWidth="1"/>
    <col min="10" max="10" width="9.7265625" bestFit="1" customWidth="1"/>
  </cols>
  <sheetData>
    <row r="1" spans="1:7" x14ac:dyDescent="0.35">
      <c r="A1" t="s">
        <v>0</v>
      </c>
      <c r="B1" t="s">
        <v>8381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6" t="s">
        <v>2362</v>
      </c>
      <c r="B2" s="7">
        <v>25123</v>
      </c>
      <c r="C2">
        <v>0</v>
      </c>
      <c r="D2">
        <v>63770.43</v>
      </c>
      <c r="E2" s="6" t="s">
        <v>11</v>
      </c>
      <c r="F2" s="6" t="s">
        <v>8</v>
      </c>
      <c r="G2" s="6" t="s">
        <v>9</v>
      </c>
    </row>
    <row r="3" spans="1:7" x14ac:dyDescent="0.35">
      <c r="A3" s="6" t="s">
        <v>2353</v>
      </c>
      <c r="B3" s="7">
        <v>28853</v>
      </c>
      <c r="C3">
        <v>0</v>
      </c>
      <c r="D3">
        <v>48885.14</v>
      </c>
      <c r="E3" s="6" t="s">
        <v>11</v>
      </c>
      <c r="F3" s="6" t="s">
        <v>7</v>
      </c>
      <c r="G3" s="6" t="s">
        <v>9</v>
      </c>
    </row>
    <row r="4" spans="1:7" x14ac:dyDescent="0.35">
      <c r="A4" s="6" t="s">
        <v>2263</v>
      </c>
      <c r="B4" s="7">
        <v>28303</v>
      </c>
      <c r="C4">
        <v>2</v>
      </c>
      <c r="D4">
        <v>40284.379999999997</v>
      </c>
      <c r="E4" s="6" t="s">
        <v>11</v>
      </c>
      <c r="F4" s="6" t="s">
        <v>8</v>
      </c>
      <c r="G4" s="6" t="s">
        <v>16</v>
      </c>
    </row>
    <row r="5" spans="1:7" x14ac:dyDescent="0.35">
      <c r="A5" s="6" t="s">
        <v>1361</v>
      </c>
      <c r="B5" s="7">
        <v>32859</v>
      </c>
      <c r="C5">
        <v>3</v>
      </c>
      <c r="D5">
        <v>11250.43</v>
      </c>
      <c r="E5" s="6" t="s">
        <v>8</v>
      </c>
      <c r="F5" s="6" t="s">
        <v>7</v>
      </c>
      <c r="G5" s="6" t="s">
        <v>525</v>
      </c>
    </row>
    <row r="6" spans="1:7" x14ac:dyDescent="0.35">
      <c r="A6" s="6" t="s">
        <v>1360</v>
      </c>
      <c r="B6" s="7">
        <v>25567</v>
      </c>
      <c r="C6">
        <v>2</v>
      </c>
      <c r="D6">
        <v>11244.38</v>
      </c>
      <c r="E6" s="6" t="s">
        <v>8</v>
      </c>
      <c r="F6" s="6" t="s">
        <v>11</v>
      </c>
      <c r="G6" s="6" t="s">
        <v>158</v>
      </c>
    </row>
    <row r="7" spans="1:7" x14ac:dyDescent="0.35">
      <c r="A7" s="6" t="s">
        <v>1359</v>
      </c>
      <c r="B7" s="7">
        <v>27939</v>
      </c>
      <c r="C7">
        <v>2</v>
      </c>
      <c r="D7">
        <v>11217.35</v>
      </c>
      <c r="E7" s="6" t="s">
        <v>8</v>
      </c>
      <c r="F7" s="6" t="s">
        <v>7</v>
      </c>
      <c r="G7" s="6" t="s">
        <v>190</v>
      </c>
    </row>
    <row r="8" spans="1:7" x14ac:dyDescent="0.35">
      <c r="A8" s="6" t="s">
        <v>1358</v>
      </c>
      <c r="B8" s="7">
        <v>25733</v>
      </c>
      <c r="C8">
        <v>2</v>
      </c>
      <c r="D8">
        <v>11187.66</v>
      </c>
      <c r="E8" s="6" t="s">
        <v>8</v>
      </c>
      <c r="F8" s="6" t="s">
        <v>7</v>
      </c>
      <c r="G8" s="6" t="s">
        <v>16</v>
      </c>
    </row>
    <row r="9" spans="1:7" x14ac:dyDescent="0.35">
      <c r="A9" s="6" t="s">
        <v>1357</v>
      </c>
      <c r="B9" s="7">
        <v>26545</v>
      </c>
      <c r="C9">
        <v>0</v>
      </c>
      <c r="D9">
        <v>11186.2</v>
      </c>
      <c r="E9" s="6" t="s">
        <v>8</v>
      </c>
      <c r="F9" s="6" t="s">
        <v>7</v>
      </c>
      <c r="G9" s="6" t="s">
        <v>290</v>
      </c>
    </row>
    <row r="10" spans="1:7" x14ac:dyDescent="0.35">
      <c r="A10" s="6" t="s">
        <v>1356</v>
      </c>
      <c r="B10" s="7">
        <v>24325</v>
      </c>
      <c r="C10">
        <v>0</v>
      </c>
      <c r="D10">
        <v>11165.42</v>
      </c>
      <c r="E10" s="6" t="s">
        <v>8</v>
      </c>
      <c r="F10" s="6" t="s">
        <v>11</v>
      </c>
      <c r="G10" s="6" t="s">
        <v>158</v>
      </c>
    </row>
    <row r="11" spans="1:7" x14ac:dyDescent="0.35">
      <c r="A11" s="6" t="s">
        <v>1355</v>
      </c>
      <c r="B11" s="7">
        <v>25379</v>
      </c>
      <c r="C11">
        <v>2</v>
      </c>
      <c r="D11">
        <v>11163.57</v>
      </c>
      <c r="E11" s="6" t="s">
        <v>8</v>
      </c>
      <c r="F11" s="6" t="s">
        <v>7</v>
      </c>
      <c r="G11" s="6" t="s">
        <v>32</v>
      </c>
    </row>
    <row r="12" spans="1:7" x14ac:dyDescent="0.35">
      <c r="A12" s="6" t="s">
        <v>1354</v>
      </c>
      <c r="B12" s="7">
        <v>25537</v>
      </c>
      <c r="C12">
        <v>2</v>
      </c>
      <c r="D12">
        <v>11150.78</v>
      </c>
      <c r="E12" s="6" t="s">
        <v>8</v>
      </c>
      <c r="F12" s="6" t="s">
        <v>7</v>
      </c>
      <c r="G12" s="6" t="s">
        <v>32</v>
      </c>
    </row>
    <row r="13" spans="1:7" x14ac:dyDescent="0.35">
      <c r="A13" s="6" t="s">
        <v>1353</v>
      </c>
      <c r="B13" s="7">
        <v>29453</v>
      </c>
      <c r="C13">
        <v>2</v>
      </c>
      <c r="D13">
        <v>11103.33</v>
      </c>
      <c r="E13" s="6" t="s">
        <v>8</v>
      </c>
      <c r="F13" s="6" t="s">
        <v>11</v>
      </c>
      <c r="G13" s="6" t="s">
        <v>290</v>
      </c>
    </row>
    <row r="14" spans="1:7" x14ac:dyDescent="0.35">
      <c r="A14" s="6" t="s">
        <v>1352</v>
      </c>
      <c r="B14" s="7">
        <v>24293</v>
      </c>
      <c r="C14">
        <v>0</v>
      </c>
      <c r="D14">
        <v>11093.62</v>
      </c>
      <c r="E14" s="6" t="s">
        <v>8</v>
      </c>
      <c r="F14" s="6" t="s">
        <v>11</v>
      </c>
      <c r="G14" s="6" t="s">
        <v>9</v>
      </c>
    </row>
    <row r="15" spans="1:7" x14ac:dyDescent="0.35">
      <c r="A15" s="6" t="s">
        <v>2262</v>
      </c>
      <c r="B15" s="7">
        <v>29863</v>
      </c>
      <c r="C15">
        <v>1</v>
      </c>
      <c r="D15">
        <v>40273.65</v>
      </c>
      <c r="E15" s="6" t="s">
        <v>11</v>
      </c>
      <c r="F15" s="6" t="s">
        <v>8</v>
      </c>
      <c r="G15" s="6" t="s">
        <v>9</v>
      </c>
    </row>
    <row r="16" spans="1:7" x14ac:dyDescent="0.35">
      <c r="A16" s="6" t="s">
        <v>1351</v>
      </c>
      <c r="B16" s="7">
        <v>24359</v>
      </c>
      <c r="C16">
        <v>0</v>
      </c>
      <c r="D16">
        <v>11090.72</v>
      </c>
      <c r="E16" s="6" t="s">
        <v>8</v>
      </c>
      <c r="F16" s="6" t="s">
        <v>11</v>
      </c>
      <c r="G16" s="6" t="s">
        <v>9</v>
      </c>
    </row>
    <row r="17" spans="1:7" x14ac:dyDescent="0.35">
      <c r="A17" s="6" t="s">
        <v>1350</v>
      </c>
      <c r="B17" s="7">
        <v>26579</v>
      </c>
      <c r="C17">
        <v>3</v>
      </c>
      <c r="D17">
        <v>11085.59</v>
      </c>
      <c r="E17" s="6" t="s">
        <v>8</v>
      </c>
      <c r="F17" s="6" t="s">
        <v>7</v>
      </c>
      <c r="G17" s="6" t="s">
        <v>16</v>
      </c>
    </row>
    <row r="18" spans="1:7" x14ac:dyDescent="0.35">
      <c r="A18" s="6" t="s">
        <v>1349</v>
      </c>
      <c r="B18" s="7">
        <v>24719</v>
      </c>
      <c r="C18">
        <v>0</v>
      </c>
      <c r="D18">
        <v>11082.58</v>
      </c>
      <c r="E18" s="6" t="s">
        <v>8</v>
      </c>
      <c r="F18" s="6" t="s">
        <v>7</v>
      </c>
      <c r="G18" s="6" t="s">
        <v>16</v>
      </c>
    </row>
    <row r="19" spans="1:7" x14ac:dyDescent="0.35">
      <c r="A19" s="6" t="s">
        <v>1348</v>
      </c>
      <c r="B19" s="7">
        <v>24431</v>
      </c>
      <c r="C19">
        <v>0</v>
      </c>
      <c r="D19">
        <v>11073.18</v>
      </c>
      <c r="E19" s="6" t="s">
        <v>8</v>
      </c>
      <c r="F19" s="6" t="s">
        <v>8</v>
      </c>
      <c r="G19" s="6" t="s">
        <v>32</v>
      </c>
    </row>
    <row r="20" spans="1:7" x14ac:dyDescent="0.35">
      <c r="A20" s="6" t="s">
        <v>1347</v>
      </c>
      <c r="B20" s="7">
        <v>24418</v>
      </c>
      <c r="C20">
        <v>0</v>
      </c>
      <c r="D20">
        <v>11070.54</v>
      </c>
      <c r="E20" s="6" t="s">
        <v>8</v>
      </c>
      <c r="F20" s="6" t="s">
        <v>8</v>
      </c>
      <c r="G20" s="6" t="s">
        <v>32</v>
      </c>
    </row>
    <row r="21" spans="1:7" x14ac:dyDescent="0.35">
      <c r="A21" s="6" t="s">
        <v>1346</v>
      </c>
      <c r="B21" s="7">
        <v>26246</v>
      </c>
      <c r="C21">
        <v>0</v>
      </c>
      <c r="D21">
        <v>11068.77</v>
      </c>
      <c r="E21" s="6" t="s">
        <v>8</v>
      </c>
      <c r="F21" s="6" t="s">
        <v>7</v>
      </c>
      <c r="G21" s="6" t="s">
        <v>16</v>
      </c>
    </row>
    <row r="22" spans="1:7" x14ac:dyDescent="0.35">
      <c r="A22" s="6" t="s">
        <v>1345</v>
      </c>
      <c r="B22" s="7">
        <v>36787</v>
      </c>
      <c r="C22">
        <v>0</v>
      </c>
      <c r="D22">
        <v>11068.7</v>
      </c>
      <c r="E22" s="6" t="s">
        <v>8</v>
      </c>
      <c r="F22" s="6" t="s">
        <v>11</v>
      </c>
      <c r="G22" s="6" t="s">
        <v>32</v>
      </c>
    </row>
    <row r="23" spans="1:7" x14ac:dyDescent="0.35">
      <c r="A23" s="6" t="s">
        <v>1344</v>
      </c>
      <c r="B23" s="7">
        <v>37242</v>
      </c>
      <c r="C23">
        <v>0</v>
      </c>
      <c r="D23">
        <v>11046.02</v>
      </c>
      <c r="E23" s="6" t="s">
        <v>8</v>
      </c>
      <c r="F23" s="6" t="s">
        <v>11</v>
      </c>
      <c r="G23" s="6" t="s">
        <v>525</v>
      </c>
    </row>
    <row r="24" spans="1:7" x14ac:dyDescent="0.35">
      <c r="A24" s="6" t="s">
        <v>1343</v>
      </c>
      <c r="B24" s="7">
        <v>27271</v>
      </c>
      <c r="C24">
        <v>0</v>
      </c>
      <c r="D24">
        <v>11037.85</v>
      </c>
      <c r="E24" s="6" t="s">
        <v>8</v>
      </c>
      <c r="F24" s="6" t="s">
        <v>7</v>
      </c>
      <c r="G24" s="6" t="s">
        <v>190</v>
      </c>
    </row>
    <row r="25" spans="1:7" x14ac:dyDescent="0.35">
      <c r="A25" s="6" t="s">
        <v>1342</v>
      </c>
      <c r="B25" s="7">
        <v>32806</v>
      </c>
      <c r="C25">
        <v>3</v>
      </c>
      <c r="D25">
        <v>11037.51</v>
      </c>
      <c r="E25" s="6" t="s">
        <v>8</v>
      </c>
      <c r="F25" s="6" t="s">
        <v>11</v>
      </c>
      <c r="G25" s="6" t="s">
        <v>16</v>
      </c>
    </row>
    <row r="26" spans="1:7" x14ac:dyDescent="0.35">
      <c r="A26" s="6" t="s">
        <v>2261</v>
      </c>
      <c r="B26" s="7">
        <v>29795</v>
      </c>
      <c r="C26">
        <v>1</v>
      </c>
      <c r="D26">
        <v>40208.559999999998</v>
      </c>
      <c r="E26" s="6" t="s">
        <v>11</v>
      </c>
      <c r="F26" s="6" t="s">
        <v>7</v>
      </c>
      <c r="G26" s="6" t="s">
        <v>32</v>
      </c>
    </row>
    <row r="27" spans="1:7" x14ac:dyDescent="0.35">
      <c r="A27" s="6" t="s">
        <v>1341</v>
      </c>
      <c r="B27" s="7">
        <v>27373</v>
      </c>
      <c r="C27">
        <v>4</v>
      </c>
      <c r="D27">
        <v>11033.66</v>
      </c>
      <c r="E27" s="6" t="s">
        <v>8</v>
      </c>
      <c r="F27" s="6" t="s">
        <v>8</v>
      </c>
      <c r="G27" s="6" t="s">
        <v>16</v>
      </c>
    </row>
    <row r="28" spans="1:7" x14ac:dyDescent="0.35">
      <c r="A28" s="6" t="s">
        <v>1340</v>
      </c>
      <c r="B28" s="7">
        <v>35267</v>
      </c>
      <c r="C28">
        <v>0</v>
      </c>
      <c r="D28">
        <v>11028.56</v>
      </c>
      <c r="E28" s="6" t="s">
        <v>8</v>
      </c>
      <c r="F28" s="6" t="s">
        <v>8</v>
      </c>
      <c r="G28" s="6" t="s">
        <v>16</v>
      </c>
    </row>
    <row r="29" spans="1:7" x14ac:dyDescent="0.35">
      <c r="A29" s="6" t="s">
        <v>1339</v>
      </c>
      <c r="B29" s="7">
        <v>33415</v>
      </c>
      <c r="C29">
        <v>3</v>
      </c>
      <c r="D29">
        <v>11018.05</v>
      </c>
      <c r="E29" s="6" t="s">
        <v>8</v>
      </c>
      <c r="F29" s="6" t="s">
        <v>7</v>
      </c>
      <c r="G29" s="6" t="s">
        <v>16</v>
      </c>
    </row>
    <row r="30" spans="1:7" x14ac:dyDescent="0.35">
      <c r="A30" s="6" t="s">
        <v>1338</v>
      </c>
      <c r="B30" s="7">
        <v>27378</v>
      </c>
      <c r="C30">
        <v>4</v>
      </c>
      <c r="D30">
        <v>11015.17</v>
      </c>
      <c r="E30" s="6" t="s">
        <v>8</v>
      </c>
      <c r="F30" s="6" t="s">
        <v>11</v>
      </c>
      <c r="G30" s="6" t="s">
        <v>16</v>
      </c>
    </row>
    <row r="31" spans="1:7" x14ac:dyDescent="0.35">
      <c r="A31" s="6" t="s">
        <v>1337</v>
      </c>
      <c r="B31" s="7">
        <v>25135</v>
      </c>
      <c r="C31">
        <v>2</v>
      </c>
      <c r="D31">
        <v>11013.71</v>
      </c>
      <c r="E31" s="6" t="s">
        <v>8</v>
      </c>
      <c r="F31" s="6" t="s">
        <v>11</v>
      </c>
      <c r="G31" s="6" t="s">
        <v>9</v>
      </c>
    </row>
    <row r="32" spans="1:7" x14ac:dyDescent="0.35">
      <c r="A32" s="6" t="s">
        <v>1336</v>
      </c>
      <c r="B32" s="7">
        <v>36786</v>
      </c>
      <c r="C32">
        <v>0</v>
      </c>
      <c r="D32">
        <v>10991.58</v>
      </c>
      <c r="E32" s="6" t="s">
        <v>8</v>
      </c>
      <c r="F32" s="6" t="s">
        <v>8</v>
      </c>
      <c r="G32" s="6" t="s">
        <v>16</v>
      </c>
    </row>
    <row r="33" spans="1:7" x14ac:dyDescent="0.35">
      <c r="A33" s="6" t="s">
        <v>1335</v>
      </c>
      <c r="B33" s="7">
        <v>24094</v>
      </c>
      <c r="C33">
        <v>0</v>
      </c>
      <c r="D33">
        <v>10982.5</v>
      </c>
      <c r="E33" s="6" t="s">
        <v>8</v>
      </c>
      <c r="F33" s="6" t="s">
        <v>8</v>
      </c>
      <c r="G33" s="6" t="s">
        <v>9</v>
      </c>
    </row>
    <row r="34" spans="1:7" x14ac:dyDescent="0.35">
      <c r="A34" s="6" t="s">
        <v>1334</v>
      </c>
      <c r="B34" s="7">
        <v>26958</v>
      </c>
      <c r="C34">
        <v>4</v>
      </c>
      <c r="D34">
        <v>10977.21</v>
      </c>
      <c r="E34" s="6" t="s">
        <v>8</v>
      </c>
      <c r="F34" s="6" t="s">
        <v>11</v>
      </c>
      <c r="G34" s="6" t="s">
        <v>9</v>
      </c>
    </row>
    <row r="35" spans="1:7" x14ac:dyDescent="0.35">
      <c r="A35" s="6" t="s">
        <v>1333</v>
      </c>
      <c r="B35" s="7">
        <v>24297</v>
      </c>
      <c r="C35">
        <v>0</v>
      </c>
      <c r="D35">
        <v>10976.25</v>
      </c>
      <c r="E35" s="6" t="s">
        <v>8</v>
      </c>
      <c r="F35" s="6" t="s">
        <v>7</v>
      </c>
      <c r="G35" s="6" t="s">
        <v>16</v>
      </c>
    </row>
    <row r="36" spans="1:7" x14ac:dyDescent="0.35">
      <c r="A36" s="6" t="s">
        <v>1332</v>
      </c>
      <c r="B36" s="7">
        <v>23912</v>
      </c>
      <c r="C36">
        <v>0</v>
      </c>
      <c r="D36">
        <v>10965.45</v>
      </c>
      <c r="E36" s="6" t="s">
        <v>8</v>
      </c>
      <c r="F36" s="6" t="s">
        <v>7</v>
      </c>
      <c r="G36" s="6" t="s">
        <v>32</v>
      </c>
    </row>
    <row r="37" spans="1:7" x14ac:dyDescent="0.35">
      <c r="A37" s="6" t="s">
        <v>2260</v>
      </c>
      <c r="B37" s="7">
        <v>29085</v>
      </c>
      <c r="C37">
        <v>2</v>
      </c>
      <c r="D37">
        <v>40204.83</v>
      </c>
      <c r="E37" s="6" t="s">
        <v>11</v>
      </c>
      <c r="F37" s="6" t="s">
        <v>8</v>
      </c>
      <c r="G37" s="6" t="s">
        <v>16</v>
      </c>
    </row>
    <row r="38" spans="1:7" x14ac:dyDescent="0.35">
      <c r="A38" s="6" t="s">
        <v>1331</v>
      </c>
      <c r="B38" s="7">
        <v>25429</v>
      </c>
      <c r="C38">
        <v>1</v>
      </c>
      <c r="D38">
        <v>10959.69</v>
      </c>
      <c r="E38" s="6" t="s">
        <v>8</v>
      </c>
      <c r="F38" s="6" t="s">
        <v>8</v>
      </c>
      <c r="G38" s="6" t="s">
        <v>16</v>
      </c>
    </row>
    <row r="39" spans="1:7" x14ac:dyDescent="0.35">
      <c r="A39" s="6" t="s">
        <v>1330</v>
      </c>
      <c r="B39" s="7">
        <v>24080</v>
      </c>
      <c r="C39">
        <v>0</v>
      </c>
      <c r="D39">
        <v>10959.33</v>
      </c>
      <c r="E39" s="6" t="s">
        <v>8</v>
      </c>
      <c r="F39" s="6" t="s">
        <v>8</v>
      </c>
      <c r="G39" s="6" t="s">
        <v>32</v>
      </c>
    </row>
    <row r="40" spans="1:7" x14ac:dyDescent="0.35">
      <c r="A40" s="6" t="s">
        <v>1329</v>
      </c>
      <c r="B40" s="7">
        <v>25517</v>
      </c>
      <c r="C40">
        <v>1</v>
      </c>
      <c r="D40">
        <v>10942.13</v>
      </c>
      <c r="E40" s="6" t="s">
        <v>8</v>
      </c>
      <c r="F40" s="6" t="s">
        <v>8</v>
      </c>
      <c r="G40" s="6" t="s">
        <v>16</v>
      </c>
    </row>
    <row r="41" spans="1:7" x14ac:dyDescent="0.35">
      <c r="A41" s="6" t="s">
        <v>1328</v>
      </c>
      <c r="B41" s="7">
        <v>25154</v>
      </c>
      <c r="C41">
        <v>1</v>
      </c>
      <c r="D41">
        <v>10928.85</v>
      </c>
      <c r="E41" s="6" t="s">
        <v>8</v>
      </c>
      <c r="F41" s="6" t="s">
        <v>8</v>
      </c>
      <c r="G41" s="6" t="s">
        <v>9</v>
      </c>
    </row>
    <row r="42" spans="1:7" x14ac:dyDescent="0.35">
      <c r="A42" s="6" t="s">
        <v>1327</v>
      </c>
      <c r="B42" s="7">
        <v>25155</v>
      </c>
      <c r="C42">
        <v>0</v>
      </c>
      <c r="D42">
        <v>10923.93</v>
      </c>
      <c r="E42" s="6" t="s">
        <v>8</v>
      </c>
      <c r="F42" s="6" t="s">
        <v>11</v>
      </c>
      <c r="G42" s="6" t="s">
        <v>237</v>
      </c>
    </row>
    <row r="43" spans="1:7" x14ac:dyDescent="0.35">
      <c r="A43" s="6" t="s">
        <v>1326</v>
      </c>
      <c r="B43" s="7">
        <v>34583</v>
      </c>
      <c r="C43">
        <v>0</v>
      </c>
      <c r="D43">
        <v>10886.66</v>
      </c>
      <c r="E43" s="6" t="s">
        <v>8</v>
      </c>
      <c r="F43" s="6" t="s">
        <v>8</v>
      </c>
      <c r="G43" s="6" t="s">
        <v>16</v>
      </c>
    </row>
    <row r="44" spans="1:7" x14ac:dyDescent="0.35">
      <c r="A44" s="6" t="s">
        <v>1325</v>
      </c>
      <c r="B44" s="7">
        <v>26287</v>
      </c>
      <c r="C44">
        <v>2</v>
      </c>
      <c r="D44">
        <v>10848.13</v>
      </c>
      <c r="E44" s="6" t="s">
        <v>8</v>
      </c>
      <c r="F44" s="6" t="s">
        <v>8</v>
      </c>
      <c r="G44" s="6" t="s">
        <v>16</v>
      </c>
    </row>
    <row r="45" spans="1:7" x14ac:dyDescent="0.35">
      <c r="A45" s="6" t="s">
        <v>1324</v>
      </c>
      <c r="B45" s="7">
        <v>25047</v>
      </c>
      <c r="C45">
        <v>1</v>
      </c>
      <c r="D45">
        <v>10825.25</v>
      </c>
      <c r="E45" s="6" t="s">
        <v>8</v>
      </c>
      <c r="F45" s="6" t="s">
        <v>8</v>
      </c>
      <c r="G45" s="6" t="s">
        <v>16</v>
      </c>
    </row>
    <row r="46" spans="1:7" x14ac:dyDescent="0.35">
      <c r="A46" s="6" t="s">
        <v>1323</v>
      </c>
      <c r="B46" s="7">
        <v>24747</v>
      </c>
      <c r="C46">
        <v>1</v>
      </c>
      <c r="D46">
        <v>10807.49</v>
      </c>
      <c r="E46" s="6" t="s">
        <v>8</v>
      </c>
      <c r="F46" s="6" t="s">
        <v>7</v>
      </c>
      <c r="G46" s="6" t="s">
        <v>9</v>
      </c>
    </row>
    <row r="47" spans="1:7" x14ac:dyDescent="0.35">
      <c r="A47" s="6" t="s">
        <v>1322</v>
      </c>
      <c r="B47" s="7">
        <v>25920</v>
      </c>
      <c r="C47">
        <v>2</v>
      </c>
      <c r="D47">
        <v>10806.84</v>
      </c>
      <c r="E47" s="6" t="s">
        <v>8</v>
      </c>
      <c r="F47" s="6" t="s">
        <v>7</v>
      </c>
      <c r="G47" s="6" t="s">
        <v>32</v>
      </c>
    </row>
    <row r="48" spans="1:7" x14ac:dyDescent="0.35">
      <c r="A48" s="6" t="s">
        <v>2259</v>
      </c>
      <c r="B48" s="7">
        <v>31341</v>
      </c>
      <c r="C48">
        <v>4</v>
      </c>
      <c r="D48">
        <v>40182.25</v>
      </c>
      <c r="E48" s="6" t="s">
        <v>11</v>
      </c>
      <c r="F48" s="6" t="s">
        <v>7</v>
      </c>
      <c r="G48" s="6" t="s">
        <v>32</v>
      </c>
    </row>
    <row r="49" spans="1:7" x14ac:dyDescent="0.35">
      <c r="A49" s="6" t="s">
        <v>1321</v>
      </c>
      <c r="B49" s="7">
        <v>25869</v>
      </c>
      <c r="C49">
        <v>1</v>
      </c>
      <c r="D49">
        <v>10797.34</v>
      </c>
      <c r="E49" s="6" t="s">
        <v>8</v>
      </c>
      <c r="F49" s="6" t="s">
        <v>7</v>
      </c>
      <c r="G49" s="6" t="s">
        <v>239</v>
      </c>
    </row>
    <row r="50" spans="1:7" x14ac:dyDescent="0.35">
      <c r="A50" s="6" t="s">
        <v>1320</v>
      </c>
      <c r="B50" s="7">
        <v>24768</v>
      </c>
      <c r="C50">
        <v>0</v>
      </c>
      <c r="D50">
        <v>10796.35</v>
      </c>
      <c r="E50" s="6" t="s">
        <v>8</v>
      </c>
      <c r="F50" s="6" t="s">
        <v>11</v>
      </c>
      <c r="G50" s="6" t="s">
        <v>156</v>
      </c>
    </row>
    <row r="51" spans="1:7" x14ac:dyDescent="0.35">
      <c r="A51" s="6" t="s">
        <v>1319</v>
      </c>
      <c r="B51" s="7">
        <v>36518</v>
      </c>
      <c r="C51">
        <v>0</v>
      </c>
      <c r="D51">
        <v>10795.94</v>
      </c>
      <c r="E51" s="6" t="s">
        <v>8</v>
      </c>
      <c r="F51" s="6" t="s">
        <v>11</v>
      </c>
      <c r="G51" s="6" t="s">
        <v>32</v>
      </c>
    </row>
    <row r="52" spans="1:7" x14ac:dyDescent="0.35">
      <c r="A52" s="6" t="s">
        <v>1318</v>
      </c>
      <c r="B52" s="7">
        <v>24787</v>
      </c>
      <c r="C52">
        <v>1</v>
      </c>
      <c r="D52">
        <v>10791.96</v>
      </c>
      <c r="E52" s="6" t="s">
        <v>8</v>
      </c>
      <c r="F52" s="6" t="s">
        <v>7</v>
      </c>
      <c r="G52" s="6" t="s">
        <v>32</v>
      </c>
    </row>
    <row r="53" spans="1:7" x14ac:dyDescent="0.35">
      <c r="A53" s="6" t="s">
        <v>1317</v>
      </c>
      <c r="B53" s="7">
        <v>32837</v>
      </c>
      <c r="C53">
        <v>3</v>
      </c>
      <c r="D53">
        <v>10769.75</v>
      </c>
      <c r="E53" s="6" t="s">
        <v>8</v>
      </c>
      <c r="F53" s="6" t="s">
        <v>7</v>
      </c>
      <c r="G53" s="6" t="s">
        <v>622</v>
      </c>
    </row>
    <row r="54" spans="1:7" x14ac:dyDescent="0.35">
      <c r="A54" s="6" t="s">
        <v>1316</v>
      </c>
      <c r="B54" s="7">
        <v>31653</v>
      </c>
      <c r="C54">
        <v>3</v>
      </c>
      <c r="D54">
        <v>10749.02</v>
      </c>
      <c r="E54" s="6" t="s">
        <v>8</v>
      </c>
      <c r="F54" s="6" t="s">
        <v>11</v>
      </c>
      <c r="G54" s="6" t="s">
        <v>525</v>
      </c>
    </row>
    <row r="55" spans="1:7" x14ac:dyDescent="0.35">
      <c r="A55" s="6" t="s">
        <v>1315</v>
      </c>
      <c r="B55" s="7">
        <v>27372</v>
      </c>
      <c r="C55">
        <v>4</v>
      </c>
      <c r="D55">
        <v>10736.87</v>
      </c>
      <c r="E55" s="6" t="s">
        <v>8</v>
      </c>
      <c r="F55" s="6" t="s">
        <v>11</v>
      </c>
      <c r="G55" s="6" t="s">
        <v>158</v>
      </c>
    </row>
    <row r="56" spans="1:7" x14ac:dyDescent="0.35">
      <c r="A56" s="6" t="s">
        <v>1314</v>
      </c>
      <c r="B56" s="7">
        <v>33780</v>
      </c>
      <c r="C56">
        <v>0</v>
      </c>
      <c r="D56">
        <v>10719.57</v>
      </c>
      <c r="E56" s="6" t="s">
        <v>8</v>
      </c>
      <c r="F56" s="6" t="s">
        <v>11</v>
      </c>
      <c r="G56" s="6" t="s">
        <v>16</v>
      </c>
    </row>
    <row r="57" spans="1:7" x14ac:dyDescent="0.35">
      <c r="A57" s="6" t="s">
        <v>1313</v>
      </c>
      <c r="B57" s="7">
        <v>24750</v>
      </c>
      <c r="C57">
        <v>0</v>
      </c>
      <c r="D57">
        <v>10713.64</v>
      </c>
      <c r="E57" s="6" t="s">
        <v>8</v>
      </c>
      <c r="F57" s="6" t="s">
        <v>8</v>
      </c>
      <c r="G57" s="6" t="s">
        <v>32</v>
      </c>
    </row>
    <row r="58" spans="1:7" x14ac:dyDescent="0.35">
      <c r="A58" s="6" t="s">
        <v>1312</v>
      </c>
      <c r="B58" s="7">
        <v>24683</v>
      </c>
      <c r="C58">
        <v>0</v>
      </c>
      <c r="D58">
        <v>10704.47</v>
      </c>
      <c r="E58" s="6" t="s">
        <v>8</v>
      </c>
      <c r="F58" s="6" t="s">
        <v>7</v>
      </c>
      <c r="G58" s="6" t="s">
        <v>32</v>
      </c>
    </row>
    <row r="59" spans="1:7" x14ac:dyDescent="0.35">
      <c r="A59" s="6" t="s">
        <v>2258</v>
      </c>
      <c r="B59" s="7">
        <v>30603</v>
      </c>
      <c r="C59">
        <v>2</v>
      </c>
      <c r="D59">
        <v>40103.89</v>
      </c>
      <c r="E59" s="6" t="s">
        <v>11</v>
      </c>
      <c r="F59" s="6" t="s">
        <v>7</v>
      </c>
      <c r="G59" s="6" t="s">
        <v>32</v>
      </c>
    </row>
    <row r="60" spans="1:7" x14ac:dyDescent="0.35">
      <c r="A60" s="6" t="s">
        <v>1311</v>
      </c>
      <c r="B60" s="7">
        <v>26596</v>
      </c>
      <c r="C60">
        <v>3</v>
      </c>
      <c r="D60">
        <v>10702.64</v>
      </c>
      <c r="E60" s="6" t="s">
        <v>8</v>
      </c>
      <c r="F60" s="6" t="s">
        <v>8</v>
      </c>
      <c r="G60" s="6" t="s">
        <v>9</v>
      </c>
    </row>
    <row r="61" spans="1:7" x14ac:dyDescent="0.35">
      <c r="A61" s="6" t="s">
        <v>1310</v>
      </c>
      <c r="B61" s="7">
        <v>28033</v>
      </c>
      <c r="C61">
        <v>2</v>
      </c>
      <c r="D61">
        <v>10698.38</v>
      </c>
      <c r="E61" s="6" t="s">
        <v>8</v>
      </c>
      <c r="F61" s="6" t="s">
        <v>11</v>
      </c>
      <c r="G61" s="6" t="s">
        <v>190</v>
      </c>
    </row>
    <row r="62" spans="1:7" x14ac:dyDescent="0.35">
      <c r="A62" s="6" t="s">
        <v>1309</v>
      </c>
      <c r="B62" s="7">
        <v>28339</v>
      </c>
      <c r="C62">
        <v>2</v>
      </c>
      <c r="D62">
        <v>10690.11</v>
      </c>
      <c r="E62" s="6" t="s">
        <v>8</v>
      </c>
      <c r="F62" s="6" t="s">
        <v>7</v>
      </c>
      <c r="G62" s="6" t="s">
        <v>290</v>
      </c>
    </row>
    <row r="63" spans="1:7" x14ac:dyDescent="0.35">
      <c r="A63" s="6" t="s">
        <v>1308</v>
      </c>
      <c r="B63" s="7">
        <v>22896</v>
      </c>
      <c r="C63">
        <v>0</v>
      </c>
      <c r="D63">
        <v>10676.83</v>
      </c>
      <c r="E63" s="6" t="s">
        <v>8</v>
      </c>
      <c r="F63" s="6" t="s">
        <v>8</v>
      </c>
      <c r="G63" s="6" t="s">
        <v>9</v>
      </c>
    </row>
    <row r="64" spans="1:7" x14ac:dyDescent="0.35">
      <c r="A64" s="6" t="s">
        <v>1307</v>
      </c>
      <c r="B64" s="7">
        <v>28086</v>
      </c>
      <c r="C64">
        <v>2</v>
      </c>
      <c r="D64">
        <v>10665.44</v>
      </c>
      <c r="E64" s="6" t="s">
        <v>8</v>
      </c>
      <c r="F64" s="6" t="s">
        <v>7</v>
      </c>
      <c r="G64" s="6" t="s">
        <v>290</v>
      </c>
    </row>
    <row r="65" spans="1:7" x14ac:dyDescent="0.35">
      <c r="A65" s="6" t="s">
        <v>1306</v>
      </c>
      <c r="B65" s="7">
        <v>23597</v>
      </c>
      <c r="C65">
        <v>0</v>
      </c>
      <c r="D65">
        <v>10627.81</v>
      </c>
      <c r="E65" s="6" t="s">
        <v>8</v>
      </c>
      <c r="F65" s="6" t="s">
        <v>8</v>
      </c>
      <c r="G65" s="6" t="s">
        <v>9</v>
      </c>
    </row>
    <row r="66" spans="1:7" x14ac:dyDescent="0.35">
      <c r="A66" s="6" t="s">
        <v>1305</v>
      </c>
      <c r="B66" s="7">
        <v>33060</v>
      </c>
      <c r="C66">
        <v>3</v>
      </c>
      <c r="D66">
        <v>10620.26</v>
      </c>
      <c r="E66" s="6" t="s">
        <v>8</v>
      </c>
      <c r="F66" s="6" t="s">
        <v>8</v>
      </c>
      <c r="G66" s="6" t="s">
        <v>16</v>
      </c>
    </row>
    <row r="67" spans="1:7" x14ac:dyDescent="0.35">
      <c r="A67" s="6" t="s">
        <v>1304</v>
      </c>
      <c r="B67" s="7">
        <v>33808</v>
      </c>
      <c r="C67">
        <v>0</v>
      </c>
      <c r="D67">
        <v>10617.04</v>
      </c>
      <c r="E67" s="6" t="s">
        <v>8</v>
      </c>
      <c r="F67" s="6" t="s">
        <v>8</v>
      </c>
      <c r="G67" s="6" t="s">
        <v>525</v>
      </c>
    </row>
    <row r="68" spans="1:7" x14ac:dyDescent="0.35">
      <c r="A68" s="6" t="s">
        <v>1303</v>
      </c>
      <c r="B68" s="7">
        <v>23920</v>
      </c>
      <c r="C68">
        <v>0</v>
      </c>
      <c r="D68">
        <v>10608.67</v>
      </c>
      <c r="E68" s="6" t="s">
        <v>8</v>
      </c>
      <c r="F68" s="6" t="s">
        <v>8</v>
      </c>
      <c r="G68" s="6" t="s">
        <v>16</v>
      </c>
    </row>
    <row r="69" spans="1:7" x14ac:dyDescent="0.35">
      <c r="A69" s="6" t="s">
        <v>1302</v>
      </c>
      <c r="B69" s="7">
        <v>24290</v>
      </c>
      <c r="C69">
        <v>0</v>
      </c>
      <c r="D69">
        <v>10602.39</v>
      </c>
      <c r="E69" s="6" t="s">
        <v>8</v>
      </c>
      <c r="F69" s="6" t="s">
        <v>8</v>
      </c>
      <c r="G69" s="6" t="s">
        <v>32</v>
      </c>
    </row>
    <row r="70" spans="1:7" x14ac:dyDescent="0.35">
      <c r="A70" s="6" t="s">
        <v>2257</v>
      </c>
      <c r="B70" s="7">
        <v>24331</v>
      </c>
      <c r="C70">
        <v>0</v>
      </c>
      <c r="D70">
        <v>40069.440000000002</v>
      </c>
      <c r="E70" s="6" t="s">
        <v>11</v>
      </c>
      <c r="F70" s="6" t="s">
        <v>8</v>
      </c>
      <c r="G70" s="6" t="s">
        <v>32</v>
      </c>
    </row>
    <row r="71" spans="1:7" x14ac:dyDescent="0.35">
      <c r="A71" s="6" t="s">
        <v>1301</v>
      </c>
      <c r="B71" s="7">
        <v>24646</v>
      </c>
      <c r="C71">
        <v>0</v>
      </c>
      <c r="D71">
        <v>10601.63</v>
      </c>
      <c r="E71" s="6" t="s">
        <v>8</v>
      </c>
      <c r="F71" s="6" t="s">
        <v>7</v>
      </c>
      <c r="G71" s="6" t="s">
        <v>16</v>
      </c>
    </row>
    <row r="72" spans="1:7" x14ac:dyDescent="0.35">
      <c r="A72" s="6" t="s">
        <v>1300</v>
      </c>
      <c r="B72" s="7">
        <v>24308</v>
      </c>
      <c r="C72">
        <v>0</v>
      </c>
      <c r="D72">
        <v>10601.41</v>
      </c>
      <c r="E72" s="6" t="s">
        <v>8</v>
      </c>
      <c r="F72" s="6" t="s">
        <v>7</v>
      </c>
      <c r="G72" s="6" t="s">
        <v>32</v>
      </c>
    </row>
    <row r="73" spans="1:7" x14ac:dyDescent="0.35">
      <c r="A73" s="6" t="s">
        <v>1299</v>
      </c>
      <c r="B73" s="7">
        <v>26647</v>
      </c>
      <c r="C73">
        <v>3</v>
      </c>
      <c r="D73">
        <v>10600.55</v>
      </c>
      <c r="E73" s="6" t="s">
        <v>8</v>
      </c>
      <c r="F73" s="6" t="s">
        <v>11</v>
      </c>
      <c r="G73" s="6" t="s">
        <v>16</v>
      </c>
    </row>
    <row r="74" spans="1:7" x14ac:dyDescent="0.35">
      <c r="A74" s="6" t="s">
        <v>1298</v>
      </c>
      <c r="B74" s="7">
        <v>24805</v>
      </c>
      <c r="C74">
        <v>0</v>
      </c>
      <c r="D74">
        <v>10594.5</v>
      </c>
      <c r="E74" s="6" t="s">
        <v>8</v>
      </c>
      <c r="F74" s="6" t="s">
        <v>11</v>
      </c>
      <c r="G74" s="6" t="s">
        <v>16</v>
      </c>
    </row>
    <row r="75" spans="1:7" x14ac:dyDescent="0.35">
      <c r="A75" s="6" t="s">
        <v>1297</v>
      </c>
      <c r="B75" s="7">
        <v>24414</v>
      </c>
      <c r="C75">
        <v>0</v>
      </c>
      <c r="D75">
        <v>10594.23</v>
      </c>
      <c r="E75" s="6" t="s">
        <v>8</v>
      </c>
      <c r="F75" s="6" t="s">
        <v>8</v>
      </c>
      <c r="G75" s="6" t="s">
        <v>9</v>
      </c>
    </row>
    <row r="76" spans="1:7" x14ac:dyDescent="0.35">
      <c r="A76" s="6" t="s">
        <v>1296</v>
      </c>
      <c r="B76" s="7">
        <v>25562</v>
      </c>
      <c r="C76">
        <v>1</v>
      </c>
      <c r="D76">
        <v>10579.71</v>
      </c>
      <c r="E76" s="6" t="s">
        <v>8</v>
      </c>
      <c r="F76" s="6" t="s">
        <v>8</v>
      </c>
      <c r="G76" s="6" t="s">
        <v>9</v>
      </c>
    </row>
    <row r="77" spans="1:7" x14ac:dyDescent="0.35">
      <c r="A77" s="6" t="s">
        <v>1295</v>
      </c>
      <c r="B77" s="7">
        <v>24452</v>
      </c>
      <c r="C77">
        <v>0</v>
      </c>
      <c r="D77">
        <v>10577.09</v>
      </c>
      <c r="E77" s="6" t="s">
        <v>8</v>
      </c>
      <c r="F77" s="6" t="s">
        <v>8</v>
      </c>
      <c r="G77" s="6" t="s">
        <v>32</v>
      </c>
    </row>
    <row r="78" spans="1:7" x14ac:dyDescent="0.35">
      <c r="A78" s="6" t="s">
        <v>1294</v>
      </c>
      <c r="B78" s="7">
        <v>25401</v>
      </c>
      <c r="C78">
        <v>0</v>
      </c>
      <c r="D78">
        <v>10564.88</v>
      </c>
      <c r="E78" s="6" t="s">
        <v>8</v>
      </c>
      <c r="F78" s="6" t="s">
        <v>11</v>
      </c>
      <c r="G78" s="6" t="s">
        <v>237</v>
      </c>
    </row>
    <row r="79" spans="1:7" x14ac:dyDescent="0.35">
      <c r="A79" s="6" t="s">
        <v>1293</v>
      </c>
      <c r="B79" s="7">
        <v>26113</v>
      </c>
      <c r="C79">
        <v>3</v>
      </c>
      <c r="D79">
        <v>10560.49</v>
      </c>
      <c r="E79" s="6" t="s">
        <v>8</v>
      </c>
      <c r="F79" s="6" t="s">
        <v>7</v>
      </c>
      <c r="G79" s="6" t="s">
        <v>9</v>
      </c>
    </row>
    <row r="80" spans="1:7" x14ac:dyDescent="0.35">
      <c r="A80" s="6" t="s">
        <v>1292</v>
      </c>
      <c r="B80" s="7">
        <v>26202</v>
      </c>
      <c r="C80">
        <v>0</v>
      </c>
      <c r="D80">
        <v>10546.48</v>
      </c>
      <c r="E80" s="6" t="s">
        <v>8</v>
      </c>
      <c r="F80" s="6" t="s">
        <v>8</v>
      </c>
      <c r="G80" s="6" t="s">
        <v>32</v>
      </c>
    </row>
    <row r="81" spans="1:7" x14ac:dyDescent="0.35">
      <c r="A81" s="6" t="s">
        <v>2256</v>
      </c>
      <c r="B81" s="7">
        <v>28844</v>
      </c>
      <c r="C81">
        <v>2</v>
      </c>
      <c r="D81">
        <v>40054.730000000003</v>
      </c>
      <c r="E81" s="6" t="s">
        <v>11</v>
      </c>
      <c r="F81" s="6" t="s">
        <v>8</v>
      </c>
      <c r="G81" s="6" t="s">
        <v>32</v>
      </c>
    </row>
    <row r="82" spans="1:7" x14ac:dyDescent="0.35">
      <c r="A82" s="6" t="s">
        <v>1291</v>
      </c>
      <c r="B82" s="7">
        <v>28423</v>
      </c>
      <c r="C82">
        <v>2</v>
      </c>
      <c r="D82">
        <v>10495.6</v>
      </c>
      <c r="E82" s="6" t="s">
        <v>8</v>
      </c>
      <c r="F82" s="6" t="s">
        <v>11</v>
      </c>
      <c r="G82" s="6" t="s">
        <v>16</v>
      </c>
    </row>
    <row r="83" spans="1:7" x14ac:dyDescent="0.35">
      <c r="A83" s="6" t="s">
        <v>1290</v>
      </c>
      <c r="B83" s="7">
        <v>26591</v>
      </c>
      <c r="C83">
        <v>2</v>
      </c>
      <c r="D83">
        <v>10493.95</v>
      </c>
      <c r="E83" s="6" t="s">
        <v>8</v>
      </c>
      <c r="F83" s="6" t="s">
        <v>11</v>
      </c>
      <c r="G83" s="6" t="s">
        <v>16</v>
      </c>
    </row>
    <row r="84" spans="1:7" x14ac:dyDescent="0.35">
      <c r="A84" s="6" t="s">
        <v>1289</v>
      </c>
      <c r="B84" s="7">
        <v>28723</v>
      </c>
      <c r="C84">
        <v>2</v>
      </c>
      <c r="D84">
        <v>10486.55</v>
      </c>
      <c r="E84" s="6" t="s">
        <v>8</v>
      </c>
      <c r="F84" s="6" t="s">
        <v>8</v>
      </c>
      <c r="G84" s="6" t="s">
        <v>190</v>
      </c>
    </row>
    <row r="85" spans="1:7" x14ac:dyDescent="0.35">
      <c r="A85" s="6" t="s">
        <v>1288</v>
      </c>
      <c r="B85" s="7">
        <v>31956</v>
      </c>
      <c r="C85">
        <v>3</v>
      </c>
      <c r="D85">
        <v>10464.83</v>
      </c>
      <c r="E85" s="6" t="s">
        <v>8</v>
      </c>
      <c r="F85" s="6" t="s">
        <v>11</v>
      </c>
      <c r="G85" s="6" t="s">
        <v>16</v>
      </c>
    </row>
    <row r="86" spans="1:7" x14ac:dyDescent="0.35">
      <c r="A86" s="6" t="s">
        <v>1287</v>
      </c>
      <c r="B86" s="7">
        <v>25468</v>
      </c>
      <c r="C86">
        <v>1</v>
      </c>
      <c r="D86">
        <v>10461.98</v>
      </c>
      <c r="E86" s="6" t="s">
        <v>8</v>
      </c>
      <c r="F86" s="6" t="s">
        <v>11</v>
      </c>
      <c r="G86" s="6" t="s">
        <v>16</v>
      </c>
    </row>
    <row r="87" spans="1:7" x14ac:dyDescent="0.35">
      <c r="A87" s="6" t="s">
        <v>1286</v>
      </c>
      <c r="B87" s="7">
        <v>23585</v>
      </c>
      <c r="C87">
        <v>0</v>
      </c>
      <c r="D87">
        <v>10459.19</v>
      </c>
      <c r="E87" s="6" t="s">
        <v>8</v>
      </c>
      <c r="F87" s="6" t="s">
        <v>11</v>
      </c>
      <c r="G87" s="6" t="s">
        <v>9</v>
      </c>
    </row>
    <row r="88" spans="1:7" x14ac:dyDescent="0.35">
      <c r="A88" s="6" t="s">
        <v>1285</v>
      </c>
      <c r="B88" s="7">
        <v>27975</v>
      </c>
      <c r="C88">
        <v>2</v>
      </c>
      <c r="D88">
        <v>10455.14</v>
      </c>
      <c r="E88" s="6" t="s">
        <v>8</v>
      </c>
      <c r="F88" s="6" t="s">
        <v>7</v>
      </c>
      <c r="G88" s="6" t="s">
        <v>290</v>
      </c>
    </row>
    <row r="89" spans="1:7" x14ac:dyDescent="0.35">
      <c r="A89" s="6" t="s">
        <v>1284</v>
      </c>
      <c r="B89" s="7">
        <v>23664</v>
      </c>
      <c r="C89">
        <v>0</v>
      </c>
      <c r="D89">
        <v>10455.1</v>
      </c>
      <c r="E89" s="6" t="s">
        <v>8</v>
      </c>
      <c r="F89" s="6" t="s">
        <v>11</v>
      </c>
      <c r="G89" s="6" t="s">
        <v>16</v>
      </c>
    </row>
    <row r="90" spans="1:7" x14ac:dyDescent="0.35">
      <c r="A90" s="6" t="s">
        <v>1283</v>
      </c>
      <c r="B90" s="7">
        <v>25150</v>
      </c>
      <c r="C90">
        <v>1</v>
      </c>
      <c r="D90">
        <v>10450.549999999999</v>
      </c>
      <c r="E90" s="6" t="s">
        <v>8</v>
      </c>
      <c r="F90" s="6" t="s">
        <v>11</v>
      </c>
      <c r="G90" s="6" t="s">
        <v>32</v>
      </c>
    </row>
    <row r="91" spans="1:7" x14ac:dyDescent="0.35">
      <c r="A91" s="6" t="s">
        <v>1282</v>
      </c>
      <c r="B91" s="7">
        <v>25079</v>
      </c>
      <c r="C91">
        <v>1</v>
      </c>
      <c r="D91">
        <v>10436.1</v>
      </c>
      <c r="E91" s="6" t="s">
        <v>8</v>
      </c>
      <c r="F91" s="6" t="s">
        <v>8</v>
      </c>
      <c r="G91" s="6" t="s">
        <v>32</v>
      </c>
    </row>
    <row r="92" spans="1:7" x14ac:dyDescent="0.35">
      <c r="A92" s="6" t="s">
        <v>2255</v>
      </c>
      <c r="B92" s="7">
        <v>30310</v>
      </c>
      <c r="C92">
        <v>2</v>
      </c>
      <c r="D92">
        <v>40003.33</v>
      </c>
      <c r="E92" s="6" t="s">
        <v>11</v>
      </c>
      <c r="F92" s="6" t="s">
        <v>11</v>
      </c>
      <c r="G92" s="6" t="s">
        <v>16</v>
      </c>
    </row>
    <row r="93" spans="1:7" x14ac:dyDescent="0.35">
      <c r="A93" s="6" t="s">
        <v>1281</v>
      </c>
      <c r="B93" s="7">
        <v>25073</v>
      </c>
      <c r="C93">
        <v>0</v>
      </c>
      <c r="D93">
        <v>10435.07</v>
      </c>
      <c r="E93" s="6" t="s">
        <v>8</v>
      </c>
      <c r="F93" s="6" t="s">
        <v>11</v>
      </c>
      <c r="G93" s="6" t="s">
        <v>158</v>
      </c>
    </row>
    <row r="94" spans="1:7" x14ac:dyDescent="0.35">
      <c r="A94" s="6" t="s">
        <v>1280</v>
      </c>
      <c r="B94" s="7">
        <v>25199</v>
      </c>
      <c r="C94">
        <v>0</v>
      </c>
      <c r="D94">
        <v>10422.92</v>
      </c>
      <c r="E94" s="6" t="s">
        <v>8</v>
      </c>
      <c r="F94" s="6" t="s">
        <v>11</v>
      </c>
      <c r="G94" s="6" t="s">
        <v>346</v>
      </c>
    </row>
    <row r="95" spans="1:7" x14ac:dyDescent="0.35">
      <c r="A95" s="6" t="s">
        <v>1279</v>
      </c>
      <c r="B95" s="7">
        <v>29184</v>
      </c>
      <c r="C95">
        <v>2</v>
      </c>
      <c r="D95">
        <v>10419.65</v>
      </c>
      <c r="E95" s="6" t="s">
        <v>8</v>
      </c>
      <c r="F95" s="6" t="s">
        <v>7</v>
      </c>
      <c r="G95" s="6" t="s">
        <v>190</v>
      </c>
    </row>
    <row r="96" spans="1:7" x14ac:dyDescent="0.35">
      <c r="A96" s="6" t="s">
        <v>1278</v>
      </c>
      <c r="B96" s="7">
        <v>26948</v>
      </c>
      <c r="C96">
        <v>0</v>
      </c>
      <c r="D96">
        <v>10419.59</v>
      </c>
      <c r="E96" s="6" t="s">
        <v>8</v>
      </c>
      <c r="F96" s="6" t="s">
        <v>7</v>
      </c>
      <c r="G96" s="6" t="s">
        <v>190</v>
      </c>
    </row>
    <row r="97" spans="1:7" x14ac:dyDescent="0.35">
      <c r="A97" s="6" t="s">
        <v>1277</v>
      </c>
      <c r="B97" s="7">
        <v>29518</v>
      </c>
      <c r="C97">
        <v>2</v>
      </c>
      <c r="D97">
        <v>10407.98</v>
      </c>
      <c r="E97" s="6" t="s">
        <v>8</v>
      </c>
      <c r="F97" s="6" t="s">
        <v>11</v>
      </c>
      <c r="G97" s="6" t="s">
        <v>290</v>
      </c>
    </row>
    <row r="98" spans="1:7" x14ac:dyDescent="0.35">
      <c r="A98" s="6" t="s">
        <v>1276</v>
      </c>
      <c r="B98" s="7">
        <v>27550</v>
      </c>
      <c r="C98">
        <v>4</v>
      </c>
      <c r="D98">
        <v>10407.09</v>
      </c>
      <c r="E98" s="6" t="s">
        <v>8</v>
      </c>
      <c r="F98" s="6" t="s">
        <v>11</v>
      </c>
      <c r="G98" s="6" t="s">
        <v>154</v>
      </c>
    </row>
    <row r="99" spans="1:7" x14ac:dyDescent="0.35">
      <c r="A99" s="6" t="s">
        <v>1275</v>
      </c>
      <c r="B99" s="7">
        <v>25391</v>
      </c>
      <c r="C99">
        <v>0</v>
      </c>
      <c r="D99">
        <v>10403.27</v>
      </c>
      <c r="E99" s="6" t="s">
        <v>8</v>
      </c>
      <c r="F99" s="6" t="s">
        <v>7</v>
      </c>
      <c r="G99" s="6" t="s">
        <v>506</v>
      </c>
    </row>
    <row r="100" spans="1:7" x14ac:dyDescent="0.35">
      <c r="A100" s="6" t="s">
        <v>1274</v>
      </c>
      <c r="B100" s="7">
        <v>26926</v>
      </c>
      <c r="C100">
        <v>3</v>
      </c>
      <c r="D100">
        <v>10381.48</v>
      </c>
      <c r="E100" s="6" t="s">
        <v>8</v>
      </c>
      <c r="F100" s="6" t="s">
        <v>8</v>
      </c>
      <c r="G100" s="6" t="s">
        <v>9</v>
      </c>
    </row>
    <row r="101" spans="1:7" x14ac:dyDescent="0.35">
      <c r="A101" s="6" t="s">
        <v>1273</v>
      </c>
      <c r="B101" s="7">
        <v>26936</v>
      </c>
      <c r="C101">
        <v>2</v>
      </c>
      <c r="D101">
        <v>10370.91</v>
      </c>
      <c r="E101" s="6" t="s">
        <v>8</v>
      </c>
      <c r="F101" s="6" t="s">
        <v>8</v>
      </c>
      <c r="G101" s="6" t="s">
        <v>237</v>
      </c>
    </row>
    <row r="102" spans="1:7" x14ac:dyDescent="0.35">
      <c r="A102" s="6" t="s">
        <v>1272</v>
      </c>
      <c r="B102" s="7">
        <v>26182</v>
      </c>
      <c r="C102">
        <v>0</v>
      </c>
      <c r="D102">
        <v>10356.67</v>
      </c>
      <c r="E102" s="6" t="s">
        <v>8</v>
      </c>
      <c r="F102" s="6" t="s">
        <v>11</v>
      </c>
      <c r="G102" s="6" t="s">
        <v>190</v>
      </c>
    </row>
    <row r="103" spans="1:7" x14ac:dyDescent="0.35">
      <c r="A103" s="6" t="s">
        <v>2254</v>
      </c>
      <c r="B103" s="7">
        <v>31997</v>
      </c>
      <c r="C103">
        <v>3</v>
      </c>
      <c r="D103">
        <v>39983.43</v>
      </c>
      <c r="E103" s="6" t="s">
        <v>7</v>
      </c>
      <c r="F103" s="6" t="s">
        <v>8</v>
      </c>
      <c r="G103" s="6" t="s">
        <v>16</v>
      </c>
    </row>
    <row r="104" spans="1:7" x14ac:dyDescent="0.35">
      <c r="A104" s="6" t="s">
        <v>1271</v>
      </c>
      <c r="B104" s="7">
        <v>25371</v>
      </c>
      <c r="C104">
        <v>0</v>
      </c>
      <c r="D104">
        <v>10355.64</v>
      </c>
      <c r="E104" s="6" t="s">
        <v>8</v>
      </c>
      <c r="F104" s="6" t="s">
        <v>11</v>
      </c>
      <c r="G104" s="6" t="s">
        <v>16</v>
      </c>
    </row>
    <row r="105" spans="1:7" x14ac:dyDescent="0.35">
      <c r="A105" s="6" t="s">
        <v>1270</v>
      </c>
      <c r="B105" s="7">
        <v>27301</v>
      </c>
      <c r="C105">
        <v>0</v>
      </c>
      <c r="D105">
        <v>10352.48</v>
      </c>
      <c r="E105" s="6" t="s">
        <v>8</v>
      </c>
      <c r="F105" s="6" t="s">
        <v>11</v>
      </c>
      <c r="G105" s="6" t="s">
        <v>16</v>
      </c>
    </row>
    <row r="106" spans="1:7" x14ac:dyDescent="0.35">
      <c r="A106" s="6" t="s">
        <v>1269</v>
      </c>
      <c r="B106" s="7">
        <v>26884</v>
      </c>
      <c r="C106">
        <v>0</v>
      </c>
      <c r="D106">
        <v>10345.93</v>
      </c>
      <c r="E106" s="6" t="s">
        <v>8</v>
      </c>
      <c r="F106" s="6" t="s">
        <v>7</v>
      </c>
      <c r="G106" s="6" t="s">
        <v>290</v>
      </c>
    </row>
    <row r="107" spans="1:7" x14ac:dyDescent="0.35">
      <c r="A107" s="6" t="s">
        <v>1268</v>
      </c>
      <c r="B107" s="7">
        <v>25038</v>
      </c>
      <c r="C107">
        <v>0</v>
      </c>
      <c r="D107">
        <v>10338.93</v>
      </c>
      <c r="E107" s="6" t="s">
        <v>8</v>
      </c>
      <c r="F107" s="6" t="s">
        <v>11</v>
      </c>
      <c r="G107" s="6" t="s">
        <v>9</v>
      </c>
    </row>
    <row r="108" spans="1:7" x14ac:dyDescent="0.35">
      <c r="A108" s="6" t="s">
        <v>1267</v>
      </c>
      <c r="B108" s="7">
        <v>30153</v>
      </c>
      <c r="C108">
        <v>3</v>
      </c>
      <c r="D108">
        <v>10329.06</v>
      </c>
      <c r="E108" s="6" t="s">
        <v>8</v>
      </c>
      <c r="F108" s="6" t="s">
        <v>11</v>
      </c>
      <c r="G108" s="6" t="s">
        <v>290</v>
      </c>
    </row>
    <row r="109" spans="1:7" x14ac:dyDescent="0.35">
      <c r="A109" s="6" t="s">
        <v>1266</v>
      </c>
      <c r="B109" s="7">
        <v>25903</v>
      </c>
      <c r="C109">
        <v>2</v>
      </c>
      <c r="D109">
        <v>10325.209999999999</v>
      </c>
      <c r="E109" s="6" t="s">
        <v>8</v>
      </c>
      <c r="F109" s="6" t="s">
        <v>8</v>
      </c>
      <c r="G109" s="6" t="s">
        <v>32</v>
      </c>
    </row>
    <row r="110" spans="1:7" x14ac:dyDescent="0.35">
      <c r="A110" s="6" t="s">
        <v>1265</v>
      </c>
      <c r="B110" s="7">
        <v>33471</v>
      </c>
      <c r="C110">
        <v>3</v>
      </c>
      <c r="D110">
        <v>10322.9</v>
      </c>
      <c r="E110" s="6" t="s">
        <v>8</v>
      </c>
      <c r="F110" s="6" t="s">
        <v>11</v>
      </c>
      <c r="G110" s="6" t="s">
        <v>525</v>
      </c>
    </row>
    <row r="111" spans="1:7" x14ac:dyDescent="0.35">
      <c r="A111" s="6" t="s">
        <v>1264</v>
      </c>
      <c r="B111" s="7">
        <v>33559</v>
      </c>
      <c r="C111">
        <v>3</v>
      </c>
      <c r="D111">
        <v>10315.91</v>
      </c>
      <c r="E111" s="6" t="s">
        <v>8</v>
      </c>
      <c r="F111" s="6" t="s">
        <v>7</v>
      </c>
      <c r="G111" s="6" t="s">
        <v>16</v>
      </c>
    </row>
    <row r="112" spans="1:7" x14ac:dyDescent="0.35">
      <c r="A112" s="6" t="s">
        <v>1263</v>
      </c>
      <c r="B112" s="7">
        <v>22839</v>
      </c>
      <c r="C112">
        <v>0</v>
      </c>
      <c r="D112">
        <v>10310.780000000001</v>
      </c>
      <c r="E112" s="6" t="s">
        <v>8</v>
      </c>
      <c r="F112" s="6" t="s">
        <v>8</v>
      </c>
      <c r="G112" s="6" t="s">
        <v>16</v>
      </c>
    </row>
    <row r="113" spans="1:7" x14ac:dyDescent="0.35">
      <c r="A113" s="6" t="s">
        <v>1262</v>
      </c>
      <c r="B113" s="7">
        <v>23278</v>
      </c>
      <c r="C113">
        <v>0</v>
      </c>
      <c r="D113">
        <v>10308.040000000001</v>
      </c>
      <c r="E113" s="6" t="s">
        <v>8</v>
      </c>
      <c r="F113" s="6" t="s">
        <v>11</v>
      </c>
      <c r="G113" s="6" t="s">
        <v>9</v>
      </c>
    </row>
    <row r="114" spans="1:7" x14ac:dyDescent="0.35">
      <c r="A114" s="6" t="s">
        <v>2352</v>
      </c>
      <c r="B114" s="7">
        <v>21753</v>
      </c>
      <c r="C114">
        <v>0</v>
      </c>
      <c r="D114">
        <v>48824.45</v>
      </c>
      <c r="E114" s="6" t="s">
        <v>7</v>
      </c>
      <c r="F114" s="6" t="s">
        <v>11</v>
      </c>
      <c r="G114" s="6" t="s">
        <v>32</v>
      </c>
    </row>
    <row r="115" spans="1:7" x14ac:dyDescent="0.35">
      <c r="A115" s="6" t="s">
        <v>2253</v>
      </c>
      <c r="B115" s="7">
        <v>27730</v>
      </c>
      <c r="C115">
        <v>1</v>
      </c>
      <c r="D115">
        <v>39963.120000000003</v>
      </c>
      <c r="E115" s="6" t="s">
        <v>7</v>
      </c>
      <c r="F115" s="6" t="s">
        <v>7</v>
      </c>
      <c r="G115" s="6" t="s">
        <v>32</v>
      </c>
    </row>
    <row r="116" spans="1:7" x14ac:dyDescent="0.35">
      <c r="A116" s="6" t="s">
        <v>1261</v>
      </c>
      <c r="B116" s="7">
        <v>32400</v>
      </c>
      <c r="C116">
        <v>3</v>
      </c>
      <c r="D116">
        <v>10276.99</v>
      </c>
      <c r="E116" s="6" t="s">
        <v>8</v>
      </c>
      <c r="F116" s="6" t="s">
        <v>11</v>
      </c>
      <c r="G116" s="6" t="s">
        <v>290</v>
      </c>
    </row>
    <row r="117" spans="1:7" x14ac:dyDescent="0.35">
      <c r="A117" s="6" t="s">
        <v>1260</v>
      </c>
      <c r="B117" s="7">
        <v>25740</v>
      </c>
      <c r="C117">
        <v>0</v>
      </c>
      <c r="D117">
        <v>10274.33</v>
      </c>
      <c r="E117" s="6" t="s">
        <v>8</v>
      </c>
      <c r="F117" s="6" t="s">
        <v>11</v>
      </c>
      <c r="G117" s="6" t="s">
        <v>237</v>
      </c>
    </row>
    <row r="118" spans="1:7" x14ac:dyDescent="0.35">
      <c r="A118" s="6" t="s">
        <v>1259</v>
      </c>
      <c r="B118" s="7">
        <v>26995</v>
      </c>
      <c r="C118">
        <v>3</v>
      </c>
      <c r="D118">
        <v>10269.459999999999</v>
      </c>
      <c r="E118" s="6" t="s">
        <v>8</v>
      </c>
      <c r="F118" s="6" t="s">
        <v>8</v>
      </c>
      <c r="G118" s="6" t="s">
        <v>16</v>
      </c>
    </row>
    <row r="119" spans="1:7" x14ac:dyDescent="0.35">
      <c r="A119" s="6" t="s">
        <v>1258</v>
      </c>
      <c r="B119" s="7">
        <v>26912</v>
      </c>
      <c r="C119">
        <v>3</v>
      </c>
      <c r="D119">
        <v>10264.44</v>
      </c>
      <c r="E119" s="6" t="s">
        <v>8</v>
      </c>
      <c r="F119" s="6" t="s">
        <v>7</v>
      </c>
      <c r="G119" s="6" t="s">
        <v>16</v>
      </c>
    </row>
    <row r="120" spans="1:7" x14ac:dyDescent="0.35">
      <c r="A120" s="6" t="s">
        <v>1257</v>
      </c>
      <c r="B120" s="7">
        <v>27621</v>
      </c>
      <c r="C120">
        <v>1</v>
      </c>
      <c r="D120">
        <v>10259.129999999999</v>
      </c>
      <c r="E120" s="6" t="s">
        <v>8</v>
      </c>
      <c r="F120" s="6" t="s">
        <v>7</v>
      </c>
      <c r="G120" s="6" t="s">
        <v>32</v>
      </c>
    </row>
    <row r="121" spans="1:7" x14ac:dyDescent="0.35">
      <c r="A121" s="6" t="s">
        <v>1256</v>
      </c>
      <c r="B121" s="7">
        <v>25104</v>
      </c>
      <c r="C121">
        <v>0</v>
      </c>
      <c r="D121">
        <v>10231.5</v>
      </c>
      <c r="E121" s="6" t="s">
        <v>8</v>
      </c>
      <c r="F121" s="6" t="s">
        <v>11</v>
      </c>
      <c r="G121" s="6" t="s">
        <v>16</v>
      </c>
    </row>
    <row r="122" spans="1:7" x14ac:dyDescent="0.35">
      <c r="A122" s="6" t="s">
        <v>1255</v>
      </c>
      <c r="B122" s="7">
        <v>24651</v>
      </c>
      <c r="C122">
        <v>0</v>
      </c>
      <c r="D122">
        <v>10226.280000000001</v>
      </c>
      <c r="E122" s="6" t="s">
        <v>8</v>
      </c>
      <c r="F122" s="6" t="s">
        <v>8</v>
      </c>
      <c r="G122" s="6" t="s">
        <v>9</v>
      </c>
    </row>
    <row r="123" spans="1:7" x14ac:dyDescent="0.35">
      <c r="A123" s="6" t="s">
        <v>1254</v>
      </c>
      <c r="B123" s="7">
        <v>24741</v>
      </c>
      <c r="C123">
        <v>0</v>
      </c>
      <c r="D123">
        <v>10214.64</v>
      </c>
      <c r="E123" s="6" t="s">
        <v>8</v>
      </c>
      <c r="F123" s="6" t="s">
        <v>7</v>
      </c>
      <c r="G123" s="6" t="s">
        <v>32</v>
      </c>
    </row>
    <row r="124" spans="1:7" x14ac:dyDescent="0.35">
      <c r="A124" s="6" t="s">
        <v>1253</v>
      </c>
      <c r="B124" s="7">
        <v>25926</v>
      </c>
      <c r="C124">
        <v>0</v>
      </c>
      <c r="D124">
        <v>10197.77</v>
      </c>
      <c r="E124" s="6" t="s">
        <v>8</v>
      </c>
      <c r="F124" s="6" t="s">
        <v>11</v>
      </c>
      <c r="G124" s="6" t="s">
        <v>237</v>
      </c>
    </row>
    <row r="125" spans="1:7" x14ac:dyDescent="0.35">
      <c r="A125" s="6" t="s">
        <v>1252</v>
      </c>
      <c r="B125" s="7">
        <v>31336</v>
      </c>
      <c r="C125">
        <v>3</v>
      </c>
      <c r="D125">
        <v>10191.82</v>
      </c>
      <c r="E125" s="6" t="s">
        <v>8</v>
      </c>
      <c r="F125" s="6" t="s">
        <v>7</v>
      </c>
      <c r="G125" s="6" t="s">
        <v>525</v>
      </c>
    </row>
    <row r="126" spans="1:7" x14ac:dyDescent="0.35">
      <c r="A126" s="6" t="s">
        <v>2252</v>
      </c>
      <c r="B126" s="7">
        <v>31281</v>
      </c>
      <c r="C126">
        <v>1</v>
      </c>
      <c r="D126">
        <v>39871.699999999997</v>
      </c>
      <c r="E126" s="6" t="s">
        <v>11</v>
      </c>
      <c r="F126" s="6" t="s">
        <v>7</v>
      </c>
      <c r="G126" s="6" t="s">
        <v>9</v>
      </c>
    </row>
    <row r="127" spans="1:7" x14ac:dyDescent="0.35">
      <c r="A127" s="6" t="s">
        <v>1251</v>
      </c>
      <c r="B127" s="7">
        <v>26490</v>
      </c>
      <c r="C127">
        <v>0</v>
      </c>
      <c r="D127">
        <v>10160.870000000001</v>
      </c>
      <c r="E127" s="6" t="s">
        <v>8</v>
      </c>
      <c r="F127" s="6" t="s">
        <v>8</v>
      </c>
      <c r="G127" s="6" t="s">
        <v>190</v>
      </c>
    </row>
    <row r="128" spans="1:7" x14ac:dyDescent="0.35">
      <c r="A128" s="6" t="s">
        <v>1250</v>
      </c>
      <c r="B128" s="7">
        <v>26950</v>
      </c>
      <c r="C128">
        <v>2</v>
      </c>
      <c r="D128">
        <v>10156.780000000001</v>
      </c>
      <c r="E128" s="6" t="s">
        <v>8</v>
      </c>
      <c r="F128" s="6" t="s">
        <v>7</v>
      </c>
      <c r="G128" s="6" t="s">
        <v>16</v>
      </c>
    </row>
    <row r="129" spans="1:7" x14ac:dyDescent="0.35">
      <c r="A129" s="6" t="s">
        <v>1249</v>
      </c>
      <c r="B129" s="7">
        <v>29749</v>
      </c>
      <c r="C129">
        <v>1</v>
      </c>
      <c r="D129">
        <v>10146.129999999999</v>
      </c>
      <c r="E129" s="6" t="s">
        <v>8</v>
      </c>
      <c r="F129" s="6" t="s">
        <v>11</v>
      </c>
      <c r="G129" s="6" t="s">
        <v>190</v>
      </c>
    </row>
    <row r="130" spans="1:7" x14ac:dyDescent="0.35">
      <c r="A130" s="6" t="s">
        <v>1248</v>
      </c>
      <c r="B130" s="7">
        <v>27393</v>
      </c>
      <c r="C130">
        <v>3</v>
      </c>
      <c r="D130">
        <v>10141.14</v>
      </c>
      <c r="E130" s="6" t="s">
        <v>8</v>
      </c>
      <c r="F130" s="6" t="s">
        <v>11</v>
      </c>
      <c r="G130" s="6" t="s">
        <v>158</v>
      </c>
    </row>
    <row r="131" spans="1:7" x14ac:dyDescent="0.35">
      <c r="A131" s="6" t="s">
        <v>1247</v>
      </c>
      <c r="B131" s="7">
        <v>35678</v>
      </c>
      <c r="C131">
        <v>0</v>
      </c>
      <c r="D131">
        <v>10139.84</v>
      </c>
      <c r="E131" s="6" t="s">
        <v>8</v>
      </c>
      <c r="F131" s="6" t="s">
        <v>7</v>
      </c>
      <c r="G131" s="6" t="s">
        <v>16</v>
      </c>
    </row>
    <row r="132" spans="1:7" x14ac:dyDescent="0.35">
      <c r="A132" s="6" t="s">
        <v>1246</v>
      </c>
      <c r="B132" s="7">
        <v>26619</v>
      </c>
      <c r="C132">
        <v>2</v>
      </c>
      <c r="D132">
        <v>10118.42</v>
      </c>
      <c r="E132" s="6" t="s">
        <v>8</v>
      </c>
      <c r="F132" s="6" t="s">
        <v>8</v>
      </c>
      <c r="G132" s="6" t="s">
        <v>32</v>
      </c>
    </row>
    <row r="133" spans="1:7" x14ac:dyDescent="0.35">
      <c r="A133" s="6" t="s">
        <v>1245</v>
      </c>
      <c r="B133" s="7">
        <v>27577</v>
      </c>
      <c r="C133">
        <v>3</v>
      </c>
      <c r="D133">
        <v>10115.01</v>
      </c>
      <c r="E133" s="6" t="s">
        <v>8</v>
      </c>
      <c r="F133" s="6" t="s">
        <v>8</v>
      </c>
      <c r="G133" s="6" t="s">
        <v>16</v>
      </c>
    </row>
    <row r="134" spans="1:7" x14ac:dyDescent="0.35">
      <c r="A134" s="6" t="s">
        <v>1244</v>
      </c>
      <c r="B134" s="7">
        <v>26519</v>
      </c>
      <c r="C134">
        <v>2</v>
      </c>
      <c r="D134">
        <v>10107.219999999999</v>
      </c>
      <c r="E134" s="6" t="s">
        <v>8</v>
      </c>
      <c r="F134" s="6" t="s">
        <v>11</v>
      </c>
      <c r="G134" s="6" t="s">
        <v>9</v>
      </c>
    </row>
    <row r="135" spans="1:7" x14ac:dyDescent="0.35">
      <c r="A135" s="6" t="s">
        <v>1243</v>
      </c>
      <c r="B135" s="7">
        <v>26591</v>
      </c>
      <c r="C135">
        <v>1</v>
      </c>
      <c r="D135">
        <v>10106.129999999999</v>
      </c>
      <c r="E135" s="6" t="s">
        <v>8</v>
      </c>
      <c r="F135" s="6" t="s">
        <v>11</v>
      </c>
      <c r="G135" s="6" t="s">
        <v>237</v>
      </c>
    </row>
    <row r="136" spans="1:7" x14ac:dyDescent="0.35">
      <c r="A136" s="6" t="s">
        <v>1242</v>
      </c>
      <c r="B136" s="7">
        <v>28113</v>
      </c>
      <c r="C136">
        <v>5</v>
      </c>
      <c r="D136">
        <v>10096.969999999999</v>
      </c>
      <c r="E136" s="6" t="s">
        <v>8</v>
      </c>
      <c r="F136" s="6" t="s">
        <v>7</v>
      </c>
      <c r="G136" s="6" t="s">
        <v>32</v>
      </c>
    </row>
    <row r="137" spans="1:7" x14ac:dyDescent="0.35">
      <c r="A137" s="6" t="s">
        <v>2251</v>
      </c>
      <c r="B137" s="7">
        <v>30468</v>
      </c>
      <c r="C137">
        <v>3</v>
      </c>
      <c r="D137">
        <v>39865.699999999997</v>
      </c>
      <c r="E137" s="6" t="s">
        <v>7</v>
      </c>
      <c r="F137" s="6" t="s">
        <v>7</v>
      </c>
      <c r="G137" s="6" t="s">
        <v>32</v>
      </c>
    </row>
    <row r="138" spans="1:7" x14ac:dyDescent="0.35">
      <c r="A138" s="6" t="s">
        <v>1241</v>
      </c>
      <c r="B138" s="7">
        <v>25387</v>
      </c>
      <c r="C138">
        <v>1</v>
      </c>
      <c r="D138">
        <v>10085.85</v>
      </c>
      <c r="E138" s="6" t="s">
        <v>8</v>
      </c>
      <c r="F138" s="6" t="s">
        <v>8</v>
      </c>
      <c r="G138" s="6" t="s">
        <v>32</v>
      </c>
    </row>
    <row r="139" spans="1:7" x14ac:dyDescent="0.35">
      <c r="A139" s="6" t="s">
        <v>1240</v>
      </c>
      <c r="B139" s="7">
        <v>25503</v>
      </c>
      <c r="C139">
        <v>0</v>
      </c>
      <c r="D139">
        <v>10072.06</v>
      </c>
      <c r="E139" s="6" t="s">
        <v>8</v>
      </c>
      <c r="F139" s="6" t="s">
        <v>11</v>
      </c>
      <c r="G139" s="6" t="s">
        <v>346</v>
      </c>
    </row>
    <row r="140" spans="1:7" x14ac:dyDescent="0.35">
      <c r="A140" s="6" t="s">
        <v>1239</v>
      </c>
      <c r="B140" s="7">
        <v>25437</v>
      </c>
      <c r="C140">
        <v>1</v>
      </c>
      <c r="D140">
        <v>10065.41</v>
      </c>
      <c r="E140" s="6" t="s">
        <v>8</v>
      </c>
      <c r="F140" s="6" t="s">
        <v>7</v>
      </c>
      <c r="G140" s="6" t="s">
        <v>32</v>
      </c>
    </row>
    <row r="141" spans="1:7" x14ac:dyDescent="0.35">
      <c r="A141" s="6" t="s">
        <v>1238</v>
      </c>
      <c r="B141" s="7">
        <v>27271</v>
      </c>
      <c r="C141">
        <v>2</v>
      </c>
      <c r="D141">
        <v>10043.25</v>
      </c>
      <c r="E141" s="6" t="s">
        <v>8</v>
      </c>
      <c r="F141" s="6" t="s">
        <v>7</v>
      </c>
      <c r="G141" s="6" t="s">
        <v>237</v>
      </c>
    </row>
    <row r="142" spans="1:7" x14ac:dyDescent="0.35">
      <c r="A142" s="6" t="s">
        <v>1237</v>
      </c>
      <c r="B142" s="7">
        <v>29217</v>
      </c>
      <c r="C142">
        <v>2</v>
      </c>
      <c r="D142">
        <v>10027.15</v>
      </c>
      <c r="E142" s="6" t="s">
        <v>8</v>
      </c>
      <c r="F142" s="6" t="s">
        <v>11</v>
      </c>
      <c r="G142" s="6" t="s">
        <v>290</v>
      </c>
    </row>
    <row r="143" spans="1:7" x14ac:dyDescent="0.35">
      <c r="A143" s="6" t="s">
        <v>1236</v>
      </c>
      <c r="B143" s="7">
        <v>32327</v>
      </c>
      <c r="C143">
        <v>3</v>
      </c>
      <c r="D143">
        <v>10011.44</v>
      </c>
      <c r="E143" s="6" t="s">
        <v>8</v>
      </c>
      <c r="F143" s="6" t="s">
        <v>8</v>
      </c>
      <c r="G143" s="6" t="s">
        <v>525</v>
      </c>
    </row>
    <row r="144" spans="1:7" x14ac:dyDescent="0.35">
      <c r="A144" s="6" t="s">
        <v>1235</v>
      </c>
      <c r="B144" s="7">
        <v>25791</v>
      </c>
      <c r="C144">
        <v>0</v>
      </c>
      <c r="D144">
        <v>9991.0400000000009</v>
      </c>
      <c r="E144" s="6" t="s">
        <v>7</v>
      </c>
      <c r="F144" s="6" t="s">
        <v>8</v>
      </c>
      <c r="G144" s="6" t="s">
        <v>16</v>
      </c>
    </row>
    <row r="145" spans="1:7" x14ac:dyDescent="0.35">
      <c r="A145" s="6" t="s">
        <v>1234</v>
      </c>
      <c r="B145" s="7">
        <v>26212</v>
      </c>
      <c r="C145">
        <v>1</v>
      </c>
      <c r="D145">
        <v>9964.06</v>
      </c>
      <c r="E145" s="6" t="s">
        <v>7</v>
      </c>
      <c r="F145" s="6" t="s">
        <v>7</v>
      </c>
      <c r="G145" s="6" t="s">
        <v>156</v>
      </c>
    </row>
    <row r="146" spans="1:7" x14ac:dyDescent="0.35">
      <c r="A146" s="6" t="s">
        <v>1233</v>
      </c>
      <c r="B146" s="7">
        <v>26293</v>
      </c>
      <c r="C146">
        <v>1</v>
      </c>
      <c r="D146">
        <v>9957.7199999999993</v>
      </c>
      <c r="E146" s="6" t="s">
        <v>7</v>
      </c>
      <c r="F146" s="6" t="s">
        <v>8</v>
      </c>
      <c r="G146" s="6" t="s">
        <v>160</v>
      </c>
    </row>
    <row r="147" spans="1:7" x14ac:dyDescent="0.35">
      <c r="A147" s="6" t="s">
        <v>1232</v>
      </c>
      <c r="B147" s="7">
        <v>23631</v>
      </c>
      <c r="C147">
        <v>0</v>
      </c>
      <c r="D147">
        <v>9933.44</v>
      </c>
      <c r="E147" s="6" t="s">
        <v>8</v>
      </c>
      <c r="F147" s="6" t="s">
        <v>8</v>
      </c>
      <c r="G147" s="6" t="s">
        <v>9</v>
      </c>
    </row>
    <row r="148" spans="1:7" x14ac:dyDescent="0.35">
      <c r="A148" s="6" t="s">
        <v>2250</v>
      </c>
      <c r="B148" s="7">
        <v>31245</v>
      </c>
      <c r="C148">
        <v>2</v>
      </c>
      <c r="D148">
        <v>39836.519999999997</v>
      </c>
      <c r="E148" s="6" t="s">
        <v>7</v>
      </c>
      <c r="F148" s="6" t="s">
        <v>11</v>
      </c>
      <c r="G148" s="6" t="s">
        <v>32</v>
      </c>
    </row>
    <row r="149" spans="1:7" x14ac:dyDescent="0.35">
      <c r="A149" s="6" t="s">
        <v>1231</v>
      </c>
      <c r="B149" s="7">
        <v>30653</v>
      </c>
      <c r="C149">
        <v>3</v>
      </c>
      <c r="D149">
        <v>9931.9599999999991</v>
      </c>
      <c r="E149" s="6" t="s">
        <v>7</v>
      </c>
      <c r="F149" s="6" t="s">
        <v>7</v>
      </c>
      <c r="G149" s="6" t="s">
        <v>16</v>
      </c>
    </row>
    <row r="150" spans="1:7" x14ac:dyDescent="0.35">
      <c r="A150" s="6" t="s">
        <v>1230</v>
      </c>
      <c r="B150" s="7">
        <v>31278</v>
      </c>
      <c r="C150">
        <v>3</v>
      </c>
      <c r="D150">
        <v>9930.64</v>
      </c>
      <c r="E150" s="6" t="s">
        <v>7</v>
      </c>
      <c r="F150" s="6" t="s">
        <v>8</v>
      </c>
      <c r="G150" s="6" t="s">
        <v>190</v>
      </c>
    </row>
    <row r="151" spans="1:7" x14ac:dyDescent="0.35">
      <c r="A151" s="6" t="s">
        <v>1229</v>
      </c>
      <c r="B151" s="7">
        <v>26556</v>
      </c>
      <c r="C151">
        <v>1</v>
      </c>
      <c r="D151">
        <v>9910.36</v>
      </c>
      <c r="E151" s="6" t="s">
        <v>7</v>
      </c>
      <c r="F151" s="6" t="s">
        <v>8</v>
      </c>
      <c r="G151" s="6" t="s">
        <v>16</v>
      </c>
    </row>
    <row r="152" spans="1:7" x14ac:dyDescent="0.35">
      <c r="A152" s="6" t="s">
        <v>1228</v>
      </c>
      <c r="B152" s="7">
        <v>22875</v>
      </c>
      <c r="C152">
        <v>0</v>
      </c>
      <c r="D152">
        <v>9907.83</v>
      </c>
      <c r="E152" s="6" t="s">
        <v>8</v>
      </c>
      <c r="F152" s="6" t="s">
        <v>7</v>
      </c>
      <c r="G152" s="6" t="s">
        <v>9</v>
      </c>
    </row>
    <row r="153" spans="1:7" x14ac:dyDescent="0.35">
      <c r="A153" s="6" t="s">
        <v>1227</v>
      </c>
      <c r="B153" s="7">
        <v>35254</v>
      </c>
      <c r="C153">
        <v>0</v>
      </c>
      <c r="D153">
        <v>9894.69</v>
      </c>
      <c r="E153" s="6" t="s">
        <v>7</v>
      </c>
      <c r="F153" s="6" t="s">
        <v>8</v>
      </c>
      <c r="G153" s="6" t="s">
        <v>16</v>
      </c>
    </row>
    <row r="154" spans="1:7" x14ac:dyDescent="0.35">
      <c r="A154" s="6" t="s">
        <v>1226</v>
      </c>
      <c r="B154" s="7">
        <v>24416</v>
      </c>
      <c r="C154">
        <v>0</v>
      </c>
      <c r="D154">
        <v>9890.23</v>
      </c>
      <c r="E154" s="6" t="s">
        <v>8</v>
      </c>
      <c r="F154" s="6" t="s">
        <v>8</v>
      </c>
      <c r="G154" s="6" t="s">
        <v>9</v>
      </c>
    </row>
    <row r="155" spans="1:7" x14ac:dyDescent="0.35">
      <c r="A155" s="6" t="s">
        <v>1225</v>
      </c>
      <c r="B155" s="7">
        <v>26245</v>
      </c>
      <c r="C155">
        <v>1</v>
      </c>
      <c r="D155">
        <v>9880.07</v>
      </c>
      <c r="E155" s="6" t="s">
        <v>7</v>
      </c>
      <c r="F155" s="6" t="s">
        <v>8</v>
      </c>
      <c r="G155" s="6" t="s">
        <v>32</v>
      </c>
    </row>
    <row r="156" spans="1:7" x14ac:dyDescent="0.35">
      <c r="A156" s="6" t="s">
        <v>1224</v>
      </c>
      <c r="B156" s="7">
        <v>26209</v>
      </c>
      <c r="C156">
        <v>1</v>
      </c>
      <c r="D156">
        <v>9877.61</v>
      </c>
      <c r="E156" s="6" t="s">
        <v>7</v>
      </c>
      <c r="F156" s="6" t="s">
        <v>11</v>
      </c>
      <c r="G156" s="6" t="s">
        <v>9</v>
      </c>
    </row>
    <row r="157" spans="1:7" x14ac:dyDescent="0.35">
      <c r="A157" s="6" t="s">
        <v>1223</v>
      </c>
      <c r="B157" s="7">
        <v>26117</v>
      </c>
      <c r="C157">
        <v>0</v>
      </c>
      <c r="D157">
        <v>9875.68</v>
      </c>
      <c r="E157" s="6" t="s">
        <v>7</v>
      </c>
      <c r="F157" s="6" t="s">
        <v>8</v>
      </c>
      <c r="G157" s="6" t="s">
        <v>237</v>
      </c>
    </row>
    <row r="158" spans="1:7" x14ac:dyDescent="0.35">
      <c r="A158" s="6" t="s">
        <v>1222</v>
      </c>
      <c r="B158" s="7">
        <v>26289</v>
      </c>
      <c r="C158">
        <v>1</v>
      </c>
      <c r="D158">
        <v>9872.7000000000007</v>
      </c>
      <c r="E158" s="6" t="s">
        <v>7</v>
      </c>
      <c r="F158" s="6" t="s">
        <v>7</v>
      </c>
      <c r="G158" s="6" t="s">
        <v>32</v>
      </c>
    </row>
    <row r="159" spans="1:7" x14ac:dyDescent="0.35">
      <c r="A159" s="6" t="s">
        <v>2249</v>
      </c>
      <c r="B159" s="7">
        <v>31982</v>
      </c>
      <c r="C159">
        <v>1</v>
      </c>
      <c r="D159">
        <v>39774.28</v>
      </c>
      <c r="E159" s="6" t="s">
        <v>11</v>
      </c>
      <c r="F159" s="6" t="s">
        <v>11</v>
      </c>
      <c r="G159" s="6" t="s">
        <v>266</v>
      </c>
    </row>
    <row r="160" spans="1:7" x14ac:dyDescent="0.35">
      <c r="A160" s="6" t="s">
        <v>1221</v>
      </c>
      <c r="B160" s="7">
        <v>35982</v>
      </c>
      <c r="C160">
        <v>0</v>
      </c>
      <c r="D160">
        <v>9870.59</v>
      </c>
      <c r="E160" s="6" t="s">
        <v>7</v>
      </c>
      <c r="F160" s="6" t="s">
        <v>7</v>
      </c>
      <c r="G160" s="6" t="s">
        <v>239</v>
      </c>
    </row>
    <row r="161" spans="1:7" x14ac:dyDescent="0.35">
      <c r="A161" s="6" t="s">
        <v>1220</v>
      </c>
      <c r="B161" s="7">
        <v>25428</v>
      </c>
      <c r="C161">
        <v>0</v>
      </c>
      <c r="D161">
        <v>9869.81</v>
      </c>
      <c r="E161" s="6" t="s">
        <v>8</v>
      </c>
      <c r="F161" s="6" t="s">
        <v>8</v>
      </c>
      <c r="G161" s="6" t="s">
        <v>16</v>
      </c>
    </row>
    <row r="162" spans="1:7" x14ac:dyDescent="0.35">
      <c r="A162" s="6" t="s">
        <v>1219</v>
      </c>
      <c r="B162" s="7">
        <v>26246</v>
      </c>
      <c r="C162">
        <v>0</v>
      </c>
      <c r="D162">
        <v>9866.2999999999993</v>
      </c>
      <c r="E162" s="6" t="s">
        <v>7</v>
      </c>
      <c r="F162" s="6" t="s">
        <v>8</v>
      </c>
      <c r="G162" s="6" t="s">
        <v>237</v>
      </c>
    </row>
    <row r="163" spans="1:7" x14ac:dyDescent="0.35">
      <c r="A163" s="6" t="s">
        <v>1218</v>
      </c>
      <c r="B163" s="7">
        <v>25496</v>
      </c>
      <c r="C163">
        <v>0</v>
      </c>
      <c r="D163">
        <v>9863.4699999999993</v>
      </c>
      <c r="E163" s="6" t="s">
        <v>8</v>
      </c>
      <c r="F163" s="6" t="s">
        <v>8</v>
      </c>
      <c r="G163" s="6" t="s">
        <v>16</v>
      </c>
    </row>
    <row r="164" spans="1:7" x14ac:dyDescent="0.35">
      <c r="A164" s="6" t="s">
        <v>1217</v>
      </c>
      <c r="B164" s="7">
        <v>26131</v>
      </c>
      <c r="C164">
        <v>1</v>
      </c>
      <c r="D164">
        <v>9861.0300000000007</v>
      </c>
      <c r="E164" s="6" t="s">
        <v>7</v>
      </c>
      <c r="F164" s="6" t="s">
        <v>7</v>
      </c>
      <c r="G164" s="6" t="s">
        <v>32</v>
      </c>
    </row>
    <row r="165" spans="1:7" x14ac:dyDescent="0.35">
      <c r="A165" s="6" t="s">
        <v>1216</v>
      </c>
      <c r="B165" s="7">
        <v>26229</v>
      </c>
      <c r="C165">
        <v>1</v>
      </c>
      <c r="D165">
        <v>9855.1299999999992</v>
      </c>
      <c r="E165" s="6" t="s">
        <v>7</v>
      </c>
      <c r="F165" s="6" t="s">
        <v>8</v>
      </c>
      <c r="G165" s="6" t="s">
        <v>9</v>
      </c>
    </row>
    <row r="166" spans="1:7" x14ac:dyDescent="0.35">
      <c r="A166" s="6" t="s">
        <v>1215</v>
      </c>
      <c r="B166" s="7">
        <v>25146</v>
      </c>
      <c r="C166">
        <v>0</v>
      </c>
      <c r="D166">
        <v>9850.43</v>
      </c>
      <c r="E166" s="6" t="s">
        <v>8</v>
      </c>
      <c r="F166" s="6" t="s">
        <v>8</v>
      </c>
      <c r="G166" s="6" t="s">
        <v>32</v>
      </c>
    </row>
    <row r="167" spans="1:7" x14ac:dyDescent="0.35">
      <c r="A167" s="6" t="s">
        <v>1214</v>
      </c>
      <c r="B167" s="7">
        <v>33829</v>
      </c>
      <c r="C167">
        <v>0</v>
      </c>
      <c r="D167">
        <v>9844.4500000000007</v>
      </c>
      <c r="E167" s="6" t="s">
        <v>7</v>
      </c>
      <c r="F167" s="6" t="s">
        <v>11</v>
      </c>
      <c r="G167" s="6" t="s">
        <v>16</v>
      </c>
    </row>
    <row r="168" spans="1:7" x14ac:dyDescent="0.35">
      <c r="A168" s="6" t="s">
        <v>1213</v>
      </c>
      <c r="B168" s="7">
        <v>26568</v>
      </c>
      <c r="C168">
        <v>0</v>
      </c>
      <c r="D168">
        <v>9836.2099999999991</v>
      </c>
      <c r="E168" s="6" t="s">
        <v>7</v>
      </c>
      <c r="F168" s="6" t="s">
        <v>8</v>
      </c>
      <c r="G168" s="6" t="s">
        <v>290</v>
      </c>
    </row>
    <row r="169" spans="1:7" x14ac:dyDescent="0.35">
      <c r="A169" s="6" t="s">
        <v>1212</v>
      </c>
      <c r="B169" s="7">
        <v>26478</v>
      </c>
      <c r="C169">
        <v>0</v>
      </c>
      <c r="D169">
        <v>9819.25</v>
      </c>
      <c r="E169" s="6" t="s">
        <v>7</v>
      </c>
      <c r="F169" s="6" t="s">
        <v>7</v>
      </c>
      <c r="G169" s="6" t="s">
        <v>290</v>
      </c>
    </row>
    <row r="170" spans="1:7" x14ac:dyDescent="0.35">
      <c r="A170" s="6" t="s">
        <v>2248</v>
      </c>
      <c r="B170" s="7">
        <v>27015</v>
      </c>
      <c r="C170">
        <v>0</v>
      </c>
      <c r="D170">
        <v>39727.61</v>
      </c>
      <c r="E170" s="6" t="s">
        <v>11</v>
      </c>
      <c r="F170" s="6" t="s">
        <v>7</v>
      </c>
      <c r="G170" s="6" t="s">
        <v>32</v>
      </c>
    </row>
    <row r="171" spans="1:7" x14ac:dyDescent="0.35">
      <c r="A171" s="6" t="s">
        <v>1211</v>
      </c>
      <c r="B171" s="7">
        <v>26924</v>
      </c>
      <c r="C171">
        <v>2</v>
      </c>
      <c r="D171">
        <v>9800.89</v>
      </c>
      <c r="E171" s="6" t="s">
        <v>7</v>
      </c>
      <c r="F171" s="6" t="s">
        <v>11</v>
      </c>
      <c r="G171" s="6" t="s">
        <v>9</v>
      </c>
    </row>
    <row r="172" spans="1:7" x14ac:dyDescent="0.35">
      <c r="A172" s="6" t="s">
        <v>1210</v>
      </c>
      <c r="B172" s="7">
        <v>28283</v>
      </c>
      <c r="C172">
        <v>5</v>
      </c>
      <c r="D172">
        <v>9788.8700000000008</v>
      </c>
      <c r="E172" s="6" t="s">
        <v>8</v>
      </c>
      <c r="F172" s="6" t="s">
        <v>7</v>
      </c>
      <c r="G172" s="6" t="s">
        <v>9</v>
      </c>
    </row>
    <row r="173" spans="1:7" x14ac:dyDescent="0.35">
      <c r="A173" s="6" t="s">
        <v>1209</v>
      </c>
      <c r="B173" s="7">
        <v>35285</v>
      </c>
      <c r="C173">
        <v>0</v>
      </c>
      <c r="D173">
        <v>9787.32</v>
      </c>
      <c r="E173" s="6" t="s">
        <v>7</v>
      </c>
      <c r="F173" s="6" t="s">
        <v>8</v>
      </c>
      <c r="G173" s="6" t="s">
        <v>239</v>
      </c>
    </row>
    <row r="174" spans="1:7" x14ac:dyDescent="0.35">
      <c r="A174" s="6" t="s">
        <v>1208</v>
      </c>
      <c r="B174" s="7">
        <v>26852</v>
      </c>
      <c r="C174">
        <v>1</v>
      </c>
      <c r="D174">
        <v>9778.35</v>
      </c>
      <c r="E174" s="6" t="s">
        <v>7</v>
      </c>
      <c r="F174" s="6" t="s">
        <v>7</v>
      </c>
      <c r="G174" s="6" t="s">
        <v>237</v>
      </c>
    </row>
    <row r="175" spans="1:7" x14ac:dyDescent="0.35">
      <c r="A175" s="6" t="s">
        <v>1207</v>
      </c>
      <c r="B175" s="7">
        <v>23990</v>
      </c>
      <c r="C175">
        <v>0</v>
      </c>
      <c r="D175">
        <v>9764.08</v>
      </c>
      <c r="E175" s="6" t="s">
        <v>8</v>
      </c>
      <c r="F175" s="6" t="s">
        <v>11</v>
      </c>
      <c r="G175" s="6" t="s">
        <v>16</v>
      </c>
    </row>
    <row r="176" spans="1:7" x14ac:dyDescent="0.35">
      <c r="A176" s="6" t="s">
        <v>1206</v>
      </c>
      <c r="B176" s="7">
        <v>37086</v>
      </c>
      <c r="C176">
        <v>0</v>
      </c>
      <c r="D176">
        <v>9753.49</v>
      </c>
      <c r="E176" s="6" t="s">
        <v>7</v>
      </c>
      <c r="F176" s="6" t="s">
        <v>7</v>
      </c>
      <c r="G176" s="6" t="s">
        <v>16</v>
      </c>
    </row>
    <row r="177" spans="1:7" x14ac:dyDescent="0.35">
      <c r="A177" s="6" t="s">
        <v>1205</v>
      </c>
      <c r="B177" s="7">
        <v>25753</v>
      </c>
      <c r="C177">
        <v>1</v>
      </c>
      <c r="D177">
        <v>9748.91</v>
      </c>
      <c r="E177" s="6" t="s">
        <v>7</v>
      </c>
      <c r="F177" s="6" t="s">
        <v>11</v>
      </c>
      <c r="G177" s="6" t="s">
        <v>9</v>
      </c>
    </row>
    <row r="178" spans="1:7" x14ac:dyDescent="0.35">
      <c r="A178" s="6" t="s">
        <v>1204</v>
      </c>
      <c r="B178" s="7">
        <v>25798</v>
      </c>
      <c r="C178">
        <v>1</v>
      </c>
      <c r="D178">
        <v>9724.5300000000007</v>
      </c>
      <c r="E178" s="6" t="s">
        <v>8</v>
      </c>
      <c r="F178" s="6" t="s">
        <v>11</v>
      </c>
      <c r="G178" s="6" t="s">
        <v>32</v>
      </c>
    </row>
    <row r="179" spans="1:7" x14ac:dyDescent="0.35">
      <c r="A179" s="6" t="s">
        <v>1203</v>
      </c>
      <c r="B179" s="7">
        <v>25823</v>
      </c>
      <c r="C179">
        <v>0</v>
      </c>
      <c r="D179">
        <v>9722.77</v>
      </c>
      <c r="E179" s="6" t="s">
        <v>8</v>
      </c>
      <c r="F179" s="6" t="s">
        <v>11</v>
      </c>
      <c r="G179" s="6" t="s">
        <v>158</v>
      </c>
    </row>
    <row r="180" spans="1:7" x14ac:dyDescent="0.35">
      <c r="A180" s="6" t="s">
        <v>1202</v>
      </c>
      <c r="B180" s="7">
        <v>27572</v>
      </c>
      <c r="C180">
        <v>2</v>
      </c>
      <c r="D180">
        <v>9715.84</v>
      </c>
      <c r="E180" s="6" t="s">
        <v>7</v>
      </c>
      <c r="F180" s="6" t="s">
        <v>11</v>
      </c>
      <c r="G180" s="6" t="s">
        <v>237</v>
      </c>
    </row>
    <row r="181" spans="1:7" x14ac:dyDescent="0.35">
      <c r="A181" s="6" t="s">
        <v>2247</v>
      </c>
      <c r="B181" s="7">
        <v>28349</v>
      </c>
      <c r="C181">
        <v>1</v>
      </c>
      <c r="D181">
        <v>39725.519999999997</v>
      </c>
      <c r="E181" s="6" t="s">
        <v>7</v>
      </c>
      <c r="F181" s="6" t="s">
        <v>11</v>
      </c>
      <c r="G181" s="6" t="s">
        <v>16</v>
      </c>
    </row>
    <row r="182" spans="1:7" x14ac:dyDescent="0.35">
      <c r="A182" s="6" t="s">
        <v>1201</v>
      </c>
      <c r="B182" s="7">
        <v>26490</v>
      </c>
      <c r="C182">
        <v>0</v>
      </c>
      <c r="D182">
        <v>9710.7099999999991</v>
      </c>
      <c r="E182" s="6" t="s">
        <v>7</v>
      </c>
      <c r="F182" s="6" t="s">
        <v>11</v>
      </c>
      <c r="G182" s="6" t="s">
        <v>290</v>
      </c>
    </row>
    <row r="183" spans="1:7" x14ac:dyDescent="0.35">
      <c r="A183" s="6" t="s">
        <v>1200</v>
      </c>
      <c r="B183" s="7">
        <v>28387</v>
      </c>
      <c r="C183">
        <v>3</v>
      </c>
      <c r="D183">
        <v>9704.67</v>
      </c>
      <c r="E183" s="6" t="s">
        <v>7</v>
      </c>
      <c r="F183" s="6" t="s">
        <v>8</v>
      </c>
      <c r="G183" s="6" t="s">
        <v>237</v>
      </c>
    </row>
    <row r="184" spans="1:7" x14ac:dyDescent="0.35">
      <c r="A184" s="6" t="s">
        <v>1199</v>
      </c>
      <c r="B184" s="7">
        <v>23688</v>
      </c>
      <c r="C184">
        <v>0</v>
      </c>
      <c r="D184">
        <v>9698.42</v>
      </c>
      <c r="E184" s="6" t="s">
        <v>8</v>
      </c>
      <c r="F184" s="6" t="s">
        <v>8</v>
      </c>
      <c r="G184" s="6" t="s">
        <v>9</v>
      </c>
    </row>
    <row r="185" spans="1:7" x14ac:dyDescent="0.35">
      <c r="A185" s="6" t="s">
        <v>1198</v>
      </c>
      <c r="B185" s="7">
        <v>24366</v>
      </c>
      <c r="C185">
        <v>0</v>
      </c>
      <c r="D185">
        <v>9684.2900000000009</v>
      </c>
      <c r="E185" s="6" t="s">
        <v>8</v>
      </c>
      <c r="F185" s="6" t="s">
        <v>7</v>
      </c>
      <c r="G185" s="6" t="s">
        <v>9</v>
      </c>
    </row>
    <row r="186" spans="1:7" x14ac:dyDescent="0.35">
      <c r="A186" s="6" t="s">
        <v>1197</v>
      </c>
      <c r="B186" s="7">
        <v>29806</v>
      </c>
      <c r="C186">
        <v>1</v>
      </c>
      <c r="D186">
        <v>9664.34</v>
      </c>
      <c r="E186" s="6" t="s">
        <v>7</v>
      </c>
      <c r="F186" s="6" t="s">
        <v>8</v>
      </c>
      <c r="G186" s="6" t="s">
        <v>32</v>
      </c>
    </row>
    <row r="187" spans="1:7" x14ac:dyDescent="0.35">
      <c r="A187" s="6" t="s">
        <v>1196</v>
      </c>
      <c r="B187" s="7">
        <v>27218</v>
      </c>
      <c r="C187">
        <v>0</v>
      </c>
      <c r="D187">
        <v>9653.81</v>
      </c>
      <c r="E187" s="6" t="s">
        <v>7</v>
      </c>
      <c r="F187" s="6" t="s">
        <v>7</v>
      </c>
      <c r="G187" s="6" t="s">
        <v>32</v>
      </c>
    </row>
    <row r="188" spans="1:7" x14ac:dyDescent="0.35">
      <c r="A188" s="6" t="s">
        <v>1195</v>
      </c>
      <c r="B188" s="7">
        <v>26133</v>
      </c>
      <c r="C188">
        <v>0</v>
      </c>
      <c r="D188">
        <v>9644.25</v>
      </c>
      <c r="E188" s="6" t="s">
        <v>7</v>
      </c>
      <c r="F188" s="6" t="s">
        <v>11</v>
      </c>
      <c r="G188" s="6" t="s">
        <v>16</v>
      </c>
    </row>
    <row r="189" spans="1:7" x14ac:dyDescent="0.35">
      <c r="A189" s="6" t="s">
        <v>1194</v>
      </c>
      <c r="B189" s="7">
        <v>25841</v>
      </c>
      <c r="C189">
        <v>0</v>
      </c>
      <c r="D189">
        <v>9634.5400000000009</v>
      </c>
      <c r="E189" s="6" t="s">
        <v>7</v>
      </c>
      <c r="F189" s="6" t="s">
        <v>7</v>
      </c>
      <c r="G189" s="6" t="s">
        <v>32</v>
      </c>
    </row>
    <row r="190" spans="1:7" x14ac:dyDescent="0.35">
      <c r="A190" s="6" t="s">
        <v>1193</v>
      </c>
      <c r="B190" s="7">
        <v>25011</v>
      </c>
      <c r="C190">
        <v>0</v>
      </c>
      <c r="D190">
        <v>9630.91</v>
      </c>
      <c r="E190" s="6" t="s">
        <v>8</v>
      </c>
      <c r="F190" s="6" t="s">
        <v>7</v>
      </c>
      <c r="G190" s="6" t="s">
        <v>9</v>
      </c>
    </row>
    <row r="191" spans="1:7" x14ac:dyDescent="0.35">
      <c r="A191" s="6" t="s">
        <v>1192</v>
      </c>
      <c r="B191" s="7">
        <v>26595</v>
      </c>
      <c r="C191">
        <v>2</v>
      </c>
      <c r="D191">
        <v>9630.4</v>
      </c>
      <c r="E191" s="6" t="s">
        <v>7</v>
      </c>
      <c r="F191" s="6" t="s">
        <v>7</v>
      </c>
      <c r="G191" s="6" t="s">
        <v>32</v>
      </c>
    </row>
    <row r="192" spans="1:7" x14ac:dyDescent="0.35">
      <c r="A192" s="6" t="s">
        <v>2246</v>
      </c>
      <c r="B192" s="7">
        <v>37818</v>
      </c>
      <c r="C192">
        <v>0</v>
      </c>
      <c r="D192">
        <v>39722.75</v>
      </c>
      <c r="E192" s="6" t="s">
        <v>11</v>
      </c>
      <c r="F192" s="6" t="s">
        <v>11</v>
      </c>
      <c r="G192" s="6" t="s">
        <v>9</v>
      </c>
    </row>
    <row r="193" spans="1:7" x14ac:dyDescent="0.35">
      <c r="A193" s="6" t="s">
        <v>1191</v>
      </c>
      <c r="B193" s="7">
        <v>29208</v>
      </c>
      <c r="C193">
        <v>2</v>
      </c>
      <c r="D193">
        <v>9630.2999999999993</v>
      </c>
      <c r="E193" s="6" t="s">
        <v>7</v>
      </c>
      <c r="F193" s="6" t="s">
        <v>7</v>
      </c>
      <c r="G193" s="6" t="s">
        <v>290</v>
      </c>
    </row>
    <row r="194" spans="1:7" x14ac:dyDescent="0.35">
      <c r="A194" s="6" t="s">
        <v>1190</v>
      </c>
      <c r="B194" s="7">
        <v>35969</v>
      </c>
      <c r="C194">
        <v>0</v>
      </c>
      <c r="D194">
        <v>9628.7900000000009</v>
      </c>
      <c r="E194" s="6" t="s">
        <v>7</v>
      </c>
      <c r="F194" s="6" t="s">
        <v>7</v>
      </c>
      <c r="G194" s="6" t="s">
        <v>525</v>
      </c>
    </row>
    <row r="195" spans="1:7" x14ac:dyDescent="0.35">
      <c r="A195" s="6" t="s">
        <v>1189</v>
      </c>
      <c r="B195" s="7">
        <v>25918</v>
      </c>
      <c r="C195">
        <v>0</v>
      </c>
      <c r="D195">
        <v>9625.92</v>
      </c>
      <c r="E195" s="6" t="s">
        <v>7</v>
      </c>
      <c r="F195" s="6" t="s">
        <v>8</v>
      </c>
      <c r="G195" s="6" t="s">
        <v>32</v>
      </c>
    </row>
    <row r="196" spans="1:7" x14ac:dyDescent="0.35">
      <c r="A196" s="6" t="s">
        <v>1188</v>
      </c>
      <c r="B196" s="7">
        <v>27696</v>
      </c>
      <c r="C196">
        <v>3</v>
      </c>
      <c r="D196">
        <v>9620.33</v>
      </c>
      <c r="E196" s="6" t="s">
        <v>8</v>
      </c>
      <c r="F196" s="6" t="s">
        <v>8</v>
      </c>
      <c r="G196" s="6" t="s">
        <v>16</v>
      </c>
    </row>
    <row r="197" spans="1:7" x14ac:dyDescent="0.35">
      <c r="A197" s="6" t="s">
        <v>1187</v>
      </c>
      <c r="B197" s="7">
        <v>30192</v>
      </c>
      <c r="C197">
        <v>3</v>
      </c>
      <c r="D197">
        <v>9619.18</v>
      </c>
      <c r="E197" s="6" t="s">
        <v>7</v>
      </c>
      <c r="F197" s="6" t="s">
        <v>11</v>
      </c>
      <c r="G197" s="6" t="s">
        <v>190</v>
      </c>
    </row>
    <row r="198" spans="1:7" x14ac:dyDescent="0.35">
      <c r="A198" s="6" t="s">
        <v>1186</v>
      </c>
      <c r="B198" s="7">
        <v>26660</v>
      </c>
      <c r="C198">
        <v>1</v>
      </c>
      <c r="D198">
        <v>9617.66</v>
      </c>
      <c r="E198" s="6" t="s">
        <v>8</v>
      </c>
      <c r="F198" s="6" t="s">
        <v>8</v>
      </c>
      <c r="G198" s="6" t="s">
        <v>158</v>
      </c>
    </row>
    <row r="199" spans="1:7" x14ac:dyDescent="0.35">
      <c r="A199" s="6" t="s">
        <v>1185</v>
      </c>
      <c r="B199" s="7">
        <v>23726</v>
      </c>
      <c r="C199">
        <v>0</v>
      </c>
      <c r="D199">
        <v>9597.6299999999992</v>
      </c>
      <c r="E199" s="6" t="s">
        <v>8</v>
      </c>
      <c r="F199" s="6" t="s">
        <v>8</v>
      </c>
      <c r="G199" s="6" t="s">
        <v>9</v>
      </c>
    </row>
    <row r="200" spans="1:7" x14ac:dyDescent="0.35">
      <c r="A200" s="6" t="s">
        <v>1184</v>
      </c>
      <c r="B200" s="7">
        <v>29877</v>
      </c>
      <c r="C200">
        <v>1</v>
      </c>
      <c r="D200">
        <v>9584.0400000000009</v>
      </c>
      <c r="E200" s="6" t="s">
        <v>7</v>
      </c>
      <c r="F200" s="6" t="s">
        <v>11</v>
      </c>
      <c r="G200" s="6" t="s">
        <v>290</v>
      </c>
    </row>
    <row r="201" spans="1:7" x14ac:dyDescent="0.35">
      <c r="A201" s="6" t="s">
        <v>1183</v>
      </c>
      <c r="B201" s="7">
        <v>26996</v>
      </c>
      <c r="C201">
        <v>1</v>
      </c>
      <c r="D201">
        <v>9583.89</v>
      </c>
      <c r="E201" s="6" t="s">
        <v>7</v>
      </c>
      <c r="F201" s="6" t="s">
        <v>8</v>
      </c>
      <c r="G201" s="6" t="s">
        <v>16</v>
      </c>
    </row>
    <row r="202" spans="1:7" x14ac:dyDescent="0.35">
      <c r="A202" s="6" t="s">
        <v>1182</v>
      </c>
      <c r="B202" s="7">
        <v>24445</v>
      </c>
      <c r="C202">
        <v>0</v>
      </c>
      <c r="D202">
        <v>9582.5400000000009</v>
      </c>
      <c r="E202" s="6" t="s">
        <v>8</v>
      </c>
      <c r="F202" s="6" t="s">
        <v>7</v>
      </c>
      <c r="G202" s="6" t="s">
        <v>9</v>
      </c>
    </row>
    <row r="203" spans="1:7" x14ac:dyDescent="0.35">
      <c r="A203" s="6" t="s">
        <v>2245</v>
      </c>
      <c r="B203" s="7">
        <v>25110</v>
      </c>
      <c r="C203">
        <v>0</v>
      </c>
      <c r="D203">
        <v>39721.93</v>
      </c>
      <c r="E203" s="6" t="s">
        <v>7</v>
      </c>
      <c r="F203" s="6" t="s">
        <v>7</v>
      </c>
      <c r="G203" s="6" t="s">
        <v>32</v>
      </c>
    </row>
    <row r="204" spans="1:7" x14ac:dyDescent="0.35">
      <c r="A204" s="6" t="s">
        <v>1181</v>
      </c>
      <c r="B204" s="7">
        <v>26999</v>
      </c>
      <c r="C204">
        <v>1</v>
      </c>
      <c r="D204">
        <v>9566.99</v>
      </c>
      <c r="E204" s="6" t="s">
        <v>7</v>
      </c>
      <c r="F204" s="6" t="s">
        <v>11</v>
      </c>
      <c r="G204" s="6" t="s">
        <v>16</v>
      </c>
    </row>
    <row r="205" spans="1:7" x14ac:dyDescent="0.35">
      <c r="A205" s="6" t="s">
        <v>1180</v>
      </c>
      <c r="B205" s="7">
        <v>27255</v>
      </c>
      <c r="C205">
        <v>3</v>
      </c>
      <c r="D205">
        <v>9563.0300000000007</v>
      </c>
      <c r="E205" s="6" t="s">
        <v>8</v>
      </c>
      <c r="F205" s="6" t="s">
        <v>11</v>
      </c>
      <c r="G205" s="6" t="s">
        <v>32</v>
      </c>
    </row>
    <row r="206" spans="1:7" x14ac:dyDescent="0.35">
      <c r="A206" s="6" t="s">
        <v>1179</v>
      </c>
      <c r="B206" s="7">
        <v>26564</v>
      </c>
      <c r="C206">
        <v>1</v>
      </c>
      <c r="D206">
        <v>9549.57</v>
      </c>
      <c r="E206" s="6" t="s">
        <v>7</v>
      </c>
      <c r="F206" s="6" t="s">
        <v>11</v>
      </c>
      <c r="G206" s="6" t="s">
        <v>9</v>
      </c>
    </row>
    <row r="207" spans="1:7" x14ac:dyDescent="0.35">
      <c r="A207" s="6" t="s">
        <v>1178</v>
      </c>
      <c r="B207" s="7">
        <v>26564</v>
      </c>
      <c r="C207">
        <v>0</v>
      </c>
      <c r="D207">
        <v>9541.7000000000007</v>
      </c>
      <c r="E207" s="6" t="s">
        <v>7</v>
      </c>
      <c r="F207" s="6" t="s">
        <v>11</v>
      </c>
      <c r="G207" s="6" t="s">
        <v>237</v>
      </c>
    </row>
    <row r="208" spans="1:7" x14ac:dyDescent="0.35">
      <c r="A208" s="6" t="s">
        <v>1177</v>
      </c>
      <c r="B208" s="7">
        <v>27603</v>
      </c>
      <c r="C208">
        <v>1</v>
      </c>
      <c r="D208">
        <v>9540.17</v>
      </c>
      <c r="E208" s="6" t="s">
        <v>7</v>
      </c>
      <c r="F208" s="6" t="s">
        <v>7</v>
      </c>
      <c r="G208" s="6" t="s">
        <v>237</v>
      </c>
    </row>
    <row r="209" spans="1:7" x14ac:dyDescent="0.35">
      <c r="A209" s="6" t="s">
        <v>1176</v>
      </c>
      <c r="B209" s="7">
        <v>27019</v>
      </c>
      <c r="C209">
        <v>0</v>
      </c>
      <c r="D209">
        <v>9538.65</v>
      </c>
      <c r="E209" s="6" t="s">
        <v>7</v>
      </c>
      <c r="F209" s="6" t="s">
        <v>8</v>
      </c>
      <c r="G209" s="6" t="s">
        <v>290</v>
      </c>
    </row>
    <row r="210" spans="1:7" x14ac:dyDescent="0.35">
      <c r="A210" s="6" t="s">
        <v>1175</v>
      </c>
      <c r="B210" s="7">
        <v>26266</v>
      </c>
      <c r="C210">
        <v>0</v>
      </c>
      <c r="D210">
        <v>9528.9</v>
      </c>
      <c r="E210" s="6" t="s">
        <v>7</v>
      </c>
      <c r="F210" s="6" t="s">
        <v>7</v>
      </c>
      <c r="G210" s="6" t="s">
        <v>32</v>
      </c>
    </row>
    <row r="211" spans="1:7" x14ac:dyDescent="0.35">
      <c r="A211" s="6" t="s">
        <v>1174</v>
      </c>
      <c r="B211" s="7">
        <v>33838</v>
      </c>
      <c r="C211">
        <v>0</v>
      </c>
      <c r="D211">
        <v>9507.68</v>
      </c>
      <c r="E211" s="6" t="s">
        <v>7</v>
      </c>
      <c r="F211" s="6" t="s">
        <v>11</v>
      </c>
      <c r="G211" s="6" t="s">
        <v>16</v>
      </c>
    </row>
    <row r="212" spans="1:7" x14ac:dyDescent="0.35">
      <c r="A212" s="6" t="s">
        <v>1173</v>
      </c>
      <c r="B212" s="7">
        <v>25439</v>
      </c>
      <c r="C212">
        <v>0</v>
      </c>
      <c r="D212">
        <v>9504.31</v>
      </c>
      <c r="E212" s="6" t="s">
        <v>8</v>
      </c>
      <c r="F212" s="6" t="s">
        <v>7</v>
      </c>
      <c r="G212" s="6" t="s">
        <v>9</v>
      </c>
    </row>
    <row r="213" spans="1:7" x14ac:dyDescent="0.35">
      <c r="A213" s="6" t="s">
        <v>1172</v>
      </c>
      <c r="B213" s="7">
        <v>28092</v>
      </c>
      <c r="C213">
        <v>3</v>
      </c>
      <c r="D213">
        <v>9500.57</v>
      </c>
      <c r="E213" s="6" t="s">
        <v>7</v>
      </c>
      <c r="F213" s="6" t="s">
        <v>8</v>
      </c>
      <c r="G213" s="6" t="s">
        <v>346</v>
      </c>
    </row>
    <row r="214" spans="1:7" x14ac:dyDescent="0.35">
      <c r="A214" s="6" t="s">
        <v>2244</v>
      </c>
      <c r="B214" s="7">
        <v>28476</v>
      </c>
      <c r="C214">
        <v>2</v>
      </c>
      <c r="D214">
        <v>39670.44</v>
      </c>
      <c r="E214" s="6" t="s">
        <v>7</v>
      </c>
      <c r="F214" s="6" t="s">
        <v>11</v>
      </c>
      <c r="G214" s="6" t="s">
        <v>16</v>
      </c>
    </row>
    <row r="215" spans="1:7" x14ac:dyDescent="0.35">
      <c r="A215" s="6" t="s">
        <v>1171</v>
      </c>
      <c r="B215" s="7">
        <v>25358</v>
      </c>
      <c r="C215">
        <v>0</v>
      </c>
      <c r="D215">
        <v>9487.64</v>
      </c>
      <c r="E215" s="6" t="s">
        <v>7</v>
      </c>
      <c r="F215" s="6" t="s">
        <v>7</v>
      </c>
      <c r="G215" s="6" t="s">
        <v>9</v>
      </c>
    </row>
    <row r="216" spans="1:7" x14ac:dyDescent="0.35">
      <c r="A216" s="6" t="s">
        <v>1170</v>
      </c>
      <c r="B216" s="7">
        <v>29053</v>
      </c>
      <c r="C216">
        <v>2</v>
      </c>
      <c r="D216">
        <v>9453.92</v>
      </c>
      <c r="E216" s="6" t="s">
        <v>7</v>
      </c>
      <c r="F216" s="6" t="s">
        <v>7</v>
      </c>
      <c r="G216" s="6" t="s">
        <v>290</v>
      </c>
    </row>
    <row r="217" spans="1:7" x14ac:dyDescent="0.35">
      <c r="A217" s="6" t="s">
        <v>1169</v>
      </c>
      <c r="B217" s="7">
        <v>32095</v>
      </c>
      <c r="C217">
        <v>3</v>
      </c>
      <c r="D217">
        <v>9448.42</v>
      </c>
      <c r="E217" s="6" t="s">
        <v>7</v>
      </c>
      <c r="F217" s="6" t="s">
        <v>8</v>
      </c>
      <c r="G217" s="6" t="s">
        <v>290</v>
      </c>
    </row>
    <row r="218" spans="1:7" x14ac:dyDescent="0.35">
      <c r="A218" s="6" t="s">
        <v>1168</v>
      </c>
      <c r="B218" s="7">
        <v>27188</v>
      </c>
      <c r="C218">
        <v>1</v>
      </c>
      <c r="D218">
        <v>9447.3799999999992</v>
      </c>
      <c r="E218" s="6" t="s">
        <v>7</v>
      </c>
      <c r="F218" s="6" t="s">
        <v>8</v>
      </c>
      <c r="G218" s="6" t="s">
        <v>237</v>
      </c>
    </row>
    <row r="219" spans="1:7" x14ac:dyDescent="0.35">
      <c r="A219" s="6" t="s">
        <v>1167</v>
      </c>
      <c r="B219" s="7">
        <v>27360</v>
      </c>
      <c r="C219">
        <v>1</v>
      </c>
      <c r="D219">
        <v>9447.25</v>
      </c>
      <c r="E219" s="6" t="s">
        <v>7</v>
      </c>
      <c r="F219" s="6" t="s">
        <v>11</v>
      </c>
      <c r="G219" s="6" t="s">
        <v>237</v>
      </c>
    </row>
    <row r="220" spans="1:7" x14ac:dyDescent="0.35">
      <c r="A220" s="6" t="s">
        <v>1166</v>
      </c>
      <c r="B220" s="7">
        <v>28067</v>
      </c>
      <c r="C220">
        <v>2</v>
      </c>
      <c r="D220">
        <v>9432.93</v>
      </c>
      <c r="E220" s="6" t="s">
        <v>7</v>
      </c>
      <c r="F220" s="6" t="s">
        <v>11</v>
      </c>
      <c r="G220" s="6" t="s">
        <v>237</v>
      </c>
    </row>
    <row r="221" spans="1:7" x14ac:dyDescent="0.35">
      <c r="A221" s="6" t="s">
        <v>1165</v>
      </c>
      <c r="B221" s="7">
        <v>28063</v>
      </c>
      <c r="C221">
        <v>3</v>
      </c>
      <c r="D221">
        <v>9414.92</v>
      </c>
      <c r="E221" s="6" t="s">
        <v>7</v>
      </c>
      <c r="F221" s="6" t="s">
        <v>7</v>
      </c>
      <c r="G221" s="6" t="s">
        <v>32</v>
      </c>
    </row>
    <row r="222" spans="1:7" x14ac:dyDescent="0.35">
      <c r="A222" s="6" t="s">
        <v>1164</v>
      </c>
      <c r="B222" s="7">
        <v>28050</v>
      </c>
      <c r="C222">
        <v>2</v>
      </c>
      <c r="D222">
        <v>9411.01</v>
      </c>
      <c r="E222" s="6" t="s">
        <v>7</v>
      </c>
      <c r="F222" s="6" t="s">
        <v>8</v>
      </c>
      <c r="G222" s="6" t="s">
        <v>237</v>
      </c>
    </row>
    <row r="223" spans="1:7" x14ac:dyDescent="0.35">
      <c r="A223" s="6" t="s">
        <v>1163</v>
      </c>
      <c r="B223" s="7">
        <v>26226</v>
      </c>
      <c r="C223">
        <v>1</v>
      </c>
      <c r="D223">
        <v>9391.35</v>
      </c>
      <c r="E223" s="6" t="s">
        <v>8</v>
      </c>
      <c r="F223" s="6" t="s">
        <v>8</v>
      </c>
      <c r="G223" s="6" t="s">
        <v>32</v>
      </c>
    </row>
    <row r="224" spans="1:7" x14ac:dyDescent="0.35">
      <c r="A224" s="6" t="s">
        <v>1162</v>
      </c>
      <c r="B224" s="7">
        <v>26296</v>
      </c>
      <c r="C224">
        <v>1</v>
      </c>
      <c r="D224">
        <v>9386.16</v>
      </c>
      <c r="E224" s="6" t="s">
        <v>8</v>
      </c>
      <c r="F224" s="6" t="s">
        <v>7</v>
      </c>
      <c r="G224" s="6" t="s">
        <v>9</v>
      </c>
    </row>
    <row r="225" spans="1:7" x14ac:dyDescent="0.35">
      <c r="A225" s="6" t="s">
        <v>2351</v>
      </c>
      <c r="B225" s="7">
        <v>24042</v>
      </c>
      <c r="C225">
        <v>1</v>
      </c>
      <c r="D225">
        <v>48675.519999999997</v>
      </c>
      <c r="E225" s="6" t="s">
        <v>11</v>
      </c>
      <c r="F225" s="6" t="s">
        <v>7</v>
      </c>
      <c r="G225" s="6" t="s">
        <v>9</v>
      </c>
    </row>
    <row r="226" spans="1:7" x14ac:dyDescent="0.35">
      <c r="A226" s="6" t="s">
        <v>2243</v>
      </c>
      <c r="B226" s="7">
        <v>34918</v>
      </c>
      <c r="C226">
        <v>0</v>
      </c>
      <c r="D226">
        <v>39611.760000000002</v>
      </c>
      <c r="E226" s="6" t="s">
        <v>11</v>
      </c>
      <c r="F226" s="6" t="s">
        <v>8</v>
      </c>
      <c r="G226" s="6" t="s">
        <v>9</v>
      </c>
    </row>
    <row r="227" spans="1:7" x14ac:dyDescent="0.35">
      <c r="A227" s="6" t="s">
        <v>1161</v>
      </c>
      <c r="B227" s="7">
        <v>27730</v>
      </c>
      <c r="C227">
        <v>1</v>
      </c>
      <c r="D227">
        <v>9380.75</v>
      </c>
      <c r="E227" s="6" t="s">
        <v>7</v>
      </c>
      <c r="F227" s="6" t="s">
        <v>7</v>
      </c>
      <c r="G227" s="6" t="s">
        <v>237</v>
      </c>
    </row>
    <row r="228" spans="1:7" x14ac:dyDescent="0.35">
      <c r="A228" s="6" t="s">
        <v>1160</v>
      </c>
      <c r="B228" s="7">
        <v>26263</v>
      </c>
      <c r="C228">
        <v>1</v>
      </c>
      <c r="D228">
        <v>9377.9</v>
      </c>
      <c r="E228" s="6" t="s">
        <v>7</v>
      </c>
      <c r="F228" s="6" t="s">
        <v>11</v>
      </c>
      <c r="G228" s="6" t="s">
        <v>9</v>
      </c>
    </row>
    <row r="229" spans="1:7" x14ac:dyDescent="0.35">
      <c r="A229" s="6" t="s">
        <v>1159</v>
      </c>
      <c r="B229" s="7">
        <v>25531</v>
      </c>
      <c r="C229">
        <v>0</v>
      </c>
      <c r="D229">
        <v>9377.4500000000007</v>
      </c>
      <c r="E229" s="6" t="s">
        <v>7</v>
      </c>
      <c r="F229" s="6" t="s">
        <v>8</v>
      </c>
      <c r="G229" s="6" t="s">
        <v>9</v>
      </c>
    </row>
    <row r="230" spans="1:7" x14ac:dyDescent="0.35">
      <c r="A230" s="6" t="s">
        <v>1158</v>
      </c>
      <c r="B230" s="7">
        <v>26214</v>
      </c>
      <c r="C230">
        <v>0</v>
      </c>
      <c r="D230">
        <v>9361.33</v>
      </c>
      <c r="E230" s="6" t="s">
        <v>8</v>
      </c>
      <c r="F230" s="6" t="s">
        <v>11</v>
      </c>
      <c r="G230" s="6" t="s">
        <v>158</v>
      </c>
    </row>
    <row r="231" spans="1:7" x14ac:dyDescent="0.35">
      <c r="A231" s="6" t="s">
        <v>1157</v>
      </c>
      <c r="B231" s="7">
        <v>32325</v>
      </c>
      <c r="C231">
        <v>3</v>
      </c>
      <c r="D231">
        <v>9344.2000000000007</v>
      </c>
      <c r="E231" s="6" t="s">
        <v>7</v>
      </c>
      <c r="F231" s="6" t="s">
        <v>11</v>
      </c>
      <c r="G231" s="6" t="s">
        <v>290</v>
      </c>
    </row>
    <row r="232" spans="1:7" x14ac:dyDescent="0.35">
      <c r="A232" s="6" t="s">
        <v>1156</v>
      </c>
      <c r="B232" s="7">
        <v>35350</v>
      </c>
      <c r="C232">
        <v>0</v>
      </c>
      <c r="D232">
        <v>9338.61</v>
      </c>
      <c r="E232" s="6" t="s">
        <v>7</v>
      </c>
      <c r="F232" s="6" t="s">
        <v>11</v>
      </c>
      <c r="G232" s="6" t="s">
        <v>525</v>
      </c>
    </row>
    <row r="233" spans="1:7" x14ac:dyDescent="0.35">
      <c r="A233" s="6" t="s">
        <v>1155</v>
      </c>
      <c r="B233" s="7">
        <v>32333</v>
      </c>
      <c r="C233">
        <v>3</v>
      </c>
      <c r="D233">
        <v>9320.26</v>
      </c>
      <c r="E233" s="6" t="s">
        <v>7</v>
      </c>
      <c r="F233" s="6" t="s">
        <v>11</v>
      </c>
      <c r="G233" s="6" t="s">
        <v>16</v>
      </c>
    </row>
    <row r="234" spans="1:7" x14ac:dyDescent="0.35">
      <c r="A234" s="6" t="s">
        <v>1154</v>
      </c>
      <c r="B234" s="7">
        <v>28410</v>
      </c>
      <c r="C234">
        <v>2</v>
      </c>
      <c r="D234">
        <v>9315.41</v>
      </c>
      <c r="E234" s="6" t="s">
        <v>7</v>
      </c>
      <c r="F234" s="6" t="s">
        <v>11</v>
      </c>
      <c r="G234" s="6" t="s">
        <v>237</v>
      </c>
    </row>
    <row r="235" spans="1:7" x14ac:dyDescent="0.35">
      <c r="A235" s="6" t="s">
        <v>1153</v>
      </c>
      <c r="B235" s="7">
        <v>23170</v>
      </c>
      <c r="C235">
        <v>0</v>
      </c>
      <c r="D235">
        <v>9310.81</v>
      </c>
      <c r="E235" s="6" t="s">
        <v>8</v>
      </c>
      <c r="F235" s="6" t="s">
        <v>11</v>
      </c>
      <c r="G235" s="6" t="s">
        <v>9</v>
      </c>
    </row>
    <row r="236" spans="1:7" x14ac:dyDescent="0.35">
      <c r="A236" s="6" t="s">
        <v>1152</v>
      </c>
      <c r="B236" s="7">
        <v>26953</v>
      </c>
      <c r="C236">
        <v>2</v>
      </c>
      <c r="D236">
        <v>9304.7000000000007</v>
      </c>
      <c r="E236" s="6" t="s">
        <v>8</v>
      </c>
      <c r="F236" s="6" t="s">
        <v>8</v>
      </c>
      <c r="G236" s="6" t="s">
        <v>9</v>
      </c>
    </row>
    <row r="237" spans="1:7" x14ac:dyDescent="0.35">
      <c r="A237" s="6" t="s">
        <v>2242</v>
      </c>
      <c r="B237" s="7">
        <v>29772</v>
      </c>
      <c r="C237">
        <v>3</v>
      </c>
      <c r="D237">
        <v>39597.410000000003</v>
      </c>
      <c r="E237" s="6" t="s">
        <v>11</v>
      </c>
      <c r="F237" s="6" t="s">
        <v>7</v>
      </c>
      <c r="G237" s="6" t="s">
        <v>346</v>
      </c>
    </row>
    <row r="238" spans="1:7" x14ac:dyDescent="0.35">
      <c r="A238" s="6" t="s">
        <v>1151</v>
      </c>
      <c r="B238" s="7">
        <v>28067</v>
      </c>
      <c r="C238">
        <v>3</v>
      </c>
      <c r="D238">
        <v>9301.89</v>
      </c>
      <c r="E238" s="6" t="s">
        <v>7</v>
      </c>
      <c r="F238" s="6" t="s">
        <v>11</v>
      </c>
      <c r="G238" s="6" t="s">
        <v>16</v>
      </c>
    </row>
    <row r="239" spans="1:7" x14ac:dyDescent="0.35">
      <c r="A239" s="6" t="s">
        <v>1150</v>
      </c>
      <c r="B239" s="7">
        <v>26925</v>
      </c>
      <c r="C239">
        <v>1</v>
      </c>
      <c r="D239">
        <v>9290.14</v>
      </c>
      <c r="E239" s="6" t="s">
        <v>8</v>
      </c>
      <c r="F239" s="6" t="s">
        <v>8</v>
      </c>
      <c r="G239" s="6" t="s">
        <v>158</v>
      </c>
    </row>
    <row r="240" spans="1:7" x14ac:dyDescent="0.35">
      <c r="A240" s="6" t="s">
        <v>1149</v>
      </c>
      <c r="B240" s="7">
        <v>26953</v>
      </c>
      <c r="C240">
        <v>1</v>
      </c>
      <c r="D240">
        <v>9288.0300000000007</v>
      </c>
      <c r="E240" s="6" t="s">
        <v>7</v>
      </c>
      <c r="F240" s="6" t="s">
        <v>8</v>
      </c>
      <c r="G240" s="6" t="s">
        <v>160</v>
      </c>
    </row>
    <row r="241" spans="1:7" x14ac:dyDescent="0.35">
      <c r="A241" s="6" t="s">
        <v>1148</v>
      </c>
      <c r="B241" s="7">
        <v>25533</v>
      </c>
      <c r="C241">
        <v>0</v>
      </c>
      <c r="D241">
        <v>9285.8700000000008</v>
      </c>
      <c r="E241" s="6" t="s">
        <v>7</v>
      </c>
      <c r="F241" s="6" t="s">
        <v>8</v>
      </c>
      <c r="G241" s="6" t="s">
        <v>9</v>
      </c>
    </row>
    <row r="242" spans="1:7" x14ac:dyDescent="0.35">
      <c r="A242" s="6" t="s">
        <v>1147</v>
      </c>
      <c r="B242" s="7">
        <v>26116</v>
      </c>
      <c r="C242">
        <v>0</v>
      </c>
      <c r="D242">
        <v>9283.56</v>
      </c>
      <c r="E242" s="6" t="s">
        <v>7</v>
      </c>
      <c r="F242" s="6" t="s">
        <v>8</v>
      </c>
      <c r="G242" s="6" t="s">
        <v>9</v>
      </c>
    </row>
    <row r="243" spans="1:7" x14ac:dyDescent="0.35">
      <c r="A243" s="6" t="s">
        <v>1146</v>
      </c>
      <c r="B243" s="7">
        <v>26964</v>
      </c>
      <c r="C243">
        <v>1</v>
      </c>
      <c r="D243">
        <v>9282.48</v>
      </c>
      <c r="E243" s="6" t="s">
        <v>8</v>
      </c>
      <c r="F243" s="6" t="s">
        <v>7</v>
      </c>
      <c r="G243" s="6" t="s">
        <v>158</v>
      </c>
    </row>
    <row r="244" spans="1:7" x14ac:dyDescent="0.35">
      <c r="A244" s="6" t="s">
        <v>1145</v>
      </c>
      <c r="B244" s="7">
        <v>26151</v>
      </c>
      <c r="C244">
        <v>0</v>
      </c>
      <c r="D244">
        <v>9264.7999999999993</v>
      </c>
      <c r="E244" s="6" t="s">
        <v>7</v>
      </c>
      <c r="F244" s="6" t="s">
        <v>11</v>
      </c>
      <c r="G244" s="6" t="s">
        <v>32</v>
      </c>
    </row>
    <row r="245" spans="1:7" x14ac:dyDescent="0.35">
      <c r="A245" s="6" t="s">
        <v>1144</v>
      </c>
      <c r="B245" s="7">
        <v>27262</v>
      </c>
      <c r="C245">
        <v>1</v>
      </c>
      <c r="D245">
        <v>9249.5</v>
      </c>
      <c r="E245" s="6" t="s">
        <v>7</v>
      </c>
      <c r="F245" s="6" t="s">
        <v>11</v>
      </c>
      <c r="G245" s="6" t="s">
        <v>16</v>
      </c>
    </row>
    <row r="246" spans="1:7" x14ac:dyDescent="0.35">
      <c r="A246" s="6" t="s">
        <v>1143</v>
      </c>
      <c r="B246" s="7">
        <v>29499</v>
      </c>
      <c r="C246">
        <v>2</v>
      </c>
      <c r="D246">
        <v>9247.94</v>
      </c>
      <c r="E246" s="6" t="s">
        <v>7</v>
      </c>
      <c r="F246" s="6" t="s">
        <v>11</v>
      </c>
      <c r="G246" s="6" t="s">
        <v>290</v>
      </c>
    </row>
    <row r="247" spans="1:7" x14ac:dyDescent="0.35">
      <c r="A247" s="6" t="s">
        <v>1142</v>
      </c>
      <c r="B247" s="7">
        <v>27734</v>
      </c>
      <c r="C247">
        <v>2</v>
      </c>
      <c r="D247">
        <v>9225.26</v>
      </c>
      <c r="E247" s="6" t="s">
        <v>8</v>
      </c>
      <c r="F247" s="6" t="s">
        <v>8</v>
      </c>
      <c r="G247" s="6" t="s">
        <v>154</v>
      </c>
    </row>
    <row r="248" spans="1:7" x14ac:dyDescent="0.35">
      <c r="A248" s="6" t="s">
        <v>2241</v>
      </c>
      <c r="B248" s="7">
        <v>28683</v>
      </c>
      <c r="C248">
        <v>1</v>
      </c>
      <c r="D248">
        <v>39556.49</v>
      </c>
      <c r="E248" s="6" t="s">
        <v>11</v>
      </c>
      <c r="F248" s="6" t="s">
        <v>7</v>
      </c>
      <c r="G248" s="6" t="s">
        <v>154</v>
      </c>
    </row>
    <row r="249" spans="1:7" x14ac:dyDescent="0.35">
      <c r="A249" s="6" t="s">
        <v>1141</v>
      </c>
      <c r="B249" s="7">
        <v>29925</v>
      </c>
      <c r="C249">
        <v>5</v>
      </c>
      <c r="D249">
        <v>9222.4</v>
      </c>
      <c r="E249" s="6" t="s">
        <v>7</v>
      </c>
      <c r="F249" s="6" t="s">
        <v>8</v>
      </c>
      <c r="G249" s="6" t="s">
        <v>156</v>
      </c>
    </row>
    <row r="250" spans="1:7" x14ac:dyDescent="0.35">
      <c r="A250" s="6" t="s">
        <v>1140</v>
      </c>
      <c r="B250" s="7">
        <v>31771</v>
      </c>
      <c r="C250">
        <v>3</v>
      </c>
      <c r="D250">
        <v>9210.06</v>
      </c>
      <c r="E250" s="6" t="s">
        <v>7</v>
      </c>
      <c r="F250" s="6" t="s">
        <v>8</v>
      </c>
      <c r="G250" s="6" t="s">
        <v>290</v>
      </c>
    </row>
    <row r="251" spans="1:7" x14ac:dyDescent="0.35">
      <c r="A251" s="6" t="s">
        <v>1139</v>
      </c>
      <c r="B251" s="7">
        <v>28013</v>
      </c>
      <c r="C251">
        <v>2</v>
      </c>
      <c r="D251">
        <v>9193.84</v>
      </c>
      <c r="E251" s="6" t="s">
        <v>7</v>
      </c>
      <c r="F251" s="6" t="s">
        <v>11</v>
      </c>
      <c r="G251" s="6" t="s">
        <v>16</v>
      </c>
    </row>
    <row r="252" spans="1:7" x14ac:dyDescent="0.35">
      <c r="A252" s="6" t="s">
        <v>1138</v>
      </c>
      <c r="B252" s="7">
        <v>27023</v>
      </c>
      <c r="C252">
        <v>1</v>
      </c>
      <c r="D252">
        <v>9182.17</v>
      </c>
      <c r="E252" s="6" t="s">
        <v>7</v>
      </c>
      <c r="F252" s="6" t="s">
        <v>8</v>
      </c>
      <c r="G252" s="6" t="s">
        <v>32</v>
      </c>
    </row>
    <row r="253" spans="1:7" x14ac:dyDescent="0.35">
      <c r="A253" s="6" t="s">
        <v>1137</v>
      </c>
      <c r="B253" s="7">
        <v>26296</v>
      </c>
      <c r="C253">
        <v>0</v>
      </c>
      <c r="D253">
        <v>9174.14</v>
      </c>
      <c r="E253" s="6" t="s">
        <v>8</v>
      </c>
      <c r="F253" s="6" t="s">
        <v>11</v>
      </c>
      <c r="G253" s="6" t="s">
        <v>16</v>
      </c>
    </row>
    <row r="254" spans="1:7" x14ac:dyDescent="0.35">
      <c r="A254" s="6" t="s">
        <v>1136</v>
      </c>
      <c r="B254" s="7">
        <v>25865</v>
      </c>
      <c r="C254">
        <v>0</v>
      </c>
      <c r="D254">
        <v>9171.75</v>
      </c>
      <c r="E254" s="6" t="s">
        <v>7</v>
      </c>
      <c r="F254" s="6" t="s">
        <v>7</v>
      </c>
      <c r="G254" s="6" t="s">
        <v>16</v>
      </c>
    </row>
    <row r="255" spans="1:7" x14ac:dyDescent="0.35">
      <c r="A255" s="6" t="s">
        <v>1135</v>
      </c>
      <c r="B255" s="7">
        <v>33108</v>
      </c>
      <c r="C255">
        <v>3</v>
      </c>
      <c r="D255">
        <v>9159.51</v>
      </c>
      <c r="E255" s="6" t="s">
        <v>7</v>
      </c>
      <c r="F255" s="6" t="s">
        <v>7</v>
      </c>
      <c r="G255" s="6" t="s">
        <v>290</v>
      </c>
    </row>
    <row r="256" spans="1:7" x14ac:dyDescent="0.35">
      <c r="A256" s="6" t="s">
        <v>1134</v>
      </c>
      <c r="B256" s="7">
        <v>30293</v>
      </c>
      <c r="C256">
        <v>3</v>
      </c>
      <c r="D256">
        <v>9147.5</v>
      </c>
      <c r="E256" s="6" t="s">
        <v>7</v>
      </c>
      <c r="F256" s="6" t="s">
        <v>11</v>
      </c>
      <c r="G256" s="6" t="s">
        <v>16</v>
      </c>
    </row>
    <row r="257" spans="1:7" x14ac:dyDescent="0.35">
      <c r="A257" s="6" t="s">
        <v>1133</v>
      </c>
      <c r="B257" s="7">
        <v>25859</v>
      </c>
      <c r="C257">
        <v>0</v>
      </c>
      <c r="D257">
        <v>9144.57</v>
      </c>
      <c r="E257" s="6" t="s">
        <v>8</v>
      </c>
      <c r="F257" s="6" t="s">
        <v>7</v>
      </c>
      <c r="G257" s="6" t="s">
        <v>32</v>
      </c>
    </row>
    <row r="258" spans="1:7" x14ac:dyDescent="0.35">
      <c r="A258" s="6" t="s">
        <v>1132</v>
      </c>
      <c r="B258" s="7">
        <v>25792</v>
      </c>
      <c r="C258">
        <v>0</v>
      </c>
      <c r="D258">
        <v>9140.9500000000007</v>
      </c>
      <c r="E258" s="6" t="s">
        <v>8</v>
      </c>
      <c r="F258" s="6" t="s">
        <v>8</v>
      </c>
      <c r="G258" s="6" t="s">
        <v>9</v>
      </c>
    </row>
    <row r="259" spans="1:7" x14ac:dyDescent="0.35">
      <c r="A259" s="6" t="s">
        <v>2240</v>
      </c>
      <c r="B259" s="7">
        <v>24282</v>
      </c>
      <c r="C259">
        <v>0</v>
      </c>
      <c r="D259">
        <v>39396.86</v>
      </c>
      <c r="E259" s="6" t="s">
        <v>7</v>
      </c>
      <c r="F259" s="6" t="s">
        <v>7</v>
      </c>
      <c r="G259" s="6" t="s">
        <v>32</v>
      </c>
    </row>
    <row r="260" spans="1:7" x14ac:dyDescent="0.35">
      <c r="A260" s="6" t="s">
        <v>1131</v>
      </c>
      <c r="B260" s="7">
        <v>28461</v>
      </c>
      <c r="C260">
        <v>3</v>
      </c>
      <c r="D260">
        <v>9101.7999999999993</v>
      </c>
      <c r="E260" s="6" t="s">
        <v>7</v>
      </c>
      <c r="F260" s="6" t="s">
        <v>11</v>
      </c>
      <c r="G260" s="6" t="s">
        <v>32</v>
      </c>
    </row>
    <row r="261" spans="1:7" x14ac:dyDescent="0.35">
      <c r="A261" s="6" t="s">
        <v>1130</v>
      </c>
      <c r="B261" s="7">
        <v>24055</v>
      </c>
      <c r="C261">
        <v>0</v>
      </c>
      <c r="D261">
        <v>9095.94</v>
      </c>
      <c r="E261" s="6" t="s">
        <v>8</v>
      </c>
      <c r="F261" s="6" t="s">
        <v>11</v>
      </c>
      <c r="G261" s="6" t="s">
        <v>32</v>
      </c>
    </row>
    <row r="262" spans="1:7" x14ac:dyDescent="0.35">
      <c r="A262" s="6" t="s">
        <v>1129</v>
      </c>
      <c r="B262" s="7">
        <v>28433</v>
      </c>
      <c r="C262">
        <v>2</v>
      </c>
      <c r="D262">
        <v>9095.07</v>
      </c>
      <c r="E262" s="6" t="s">
        <v>7</v>
      </c>
      <c r="F262" s="6" t="s">
        <v>7</v>
      </c>
      <c r="G262" s="6" t="s">
        <v>237</v>
      </c>
    </row>
    <row r="263" spans="1:7" x14ac:dyDescent="0.35">
      <c r="A263" s="6" t="s">
        <v>1128</v>
      </c>
      <c r="B263" s="7">
        <v>26635</v>
      </c>
      <c r="C263">
        <v>1</v>
      </c>
      <c r="D263">
        <v>9058.73</v>
      </c>
      <c r="E263" s="6" t="s">
        <v>8</v>
      </c>
      <c r="F263" s="6" t="s">
        <v>7</v>
      </c>
      <c r="G263" s="6" t="s">
        <v>9</v>
      </c>
    </row>
    <row r="264" spans="1:7" x14ac:dyDescent="0.35">
      <c r="A264" s="6" t="s">
        <v>1127</v>
      </c>
      <c r="B264" s="7">
        <v>26640</v>
      </c>
      <c r="C264">
        <v>1</v>
      </c>
      <c r="D264">
        <v>9048.0300000000007</v>
      </c>
      <c r="E264" s="6" t="s">
        <v>7</v>
      </c>
      <c r="F264" s="6" t="s">
        <v>7</v>
      </c>
      <c r="G264" s="6" t="s">
        <v>9</v>
      </c>
    </row>
    <row r="265" spans="1:7" x14ac:dyDescent="0.35">
      <c r="A265" s="6" t="s">
        <v>1126</v>
      </c>
      <c r="B265" s="7">
        <v>34304</v>
      </c>
      <c r="C265">
        <v>0</v>
      </c>
      <c r="D265">
        <v>9010.2000000000007</v>
      </c>
      <c r="E265" s="6" t="s">
        <v>7</v>
      </c>
      <c r="F265" s="6" t="s">
        <v>8</v>
      </c>
      <c r="G265" s="6" t="s">
        <v>525</v>
      </c>
    </row>
    <row r="266" spans="1:7" x14ac:dyDescent="0.35">
      <c r="A266" s="6" t="s">
        <v>1125</v>
      </c>
      <c r="B266" s="7">
        <v>29205</v>
      </c>
      <c r="C266">
        <v>2</v>
      </c>
      <c r="D266">
        <v>8998.43</v>
      </c>
      <c r="E266" s="6" t="s">
        <v>7</v>
      </c>
      <c r="F266" s="6" t="s">
        <v>11</v>
      </c>
      <c r="G266" s="6" t="s">
        <v>190</v>
      </c>
    </row>
    <row r="267" spans="1:7" x14ac:dyDescent="0.35">
      <c r="A267" s="6" t="s">
        <v>1124</v>
      </c>
      <c r="B267" s="7">
        <v>26948</v>
      </c>
      <c r="C267">
        <v>0</v>
      </c>
      <c r="D267">
        <v>8988.16</v>
      </c>
      <c r="E267" s="6" t="s">
        <v>7</v>
      </c>
      <c r="F267" s="6" t="s">
        <v>11</v>
      </c>
      <c r="G267" s="6" t="s">
        <v>16</v>
      </c>
    </row>
    <row r="268" spans="1:7" x14ac:dyDescent="0.35">
      <c r="A268" s="6" t="s">
        <v>1123</v>
      </c>
      <c r="B268" s="7">
        <v>27231</v>
      </c>
      <c r="C268">
        <v>2</v>
      </c>
      <c r="D268">
        <v>8978.19</v>
      </c>
      <c r="E268" s="6" t="s">
        <v>7</v>
      </c>
      <c r="F268" s="6" t="s">
        <v>7</v>
      </c>
      <c r="G268" s="6" t="s">
        <v>9</v>
      </c>
    </row>
    <row r="269" spans="1:7" x14ac:dyDescent="0.35">
      <c r="A269" s="6" t="s">
        <v>1122</v>
      </c>
      <c r="B269" s="7">
        <v>27280</v>
      </c>
      <c r="C269">
        <v>2</v>
      </c>
      <c r="D269">
        <v>8968.33</v>
      </c>
      <c r="E269" s="6" t="s">
        <v>8</v>
      </c>
      <c r="F269" s="6" t="s">
        <v>7</v>
      </c>
      <c r="G269" s="6" t="s">
        <v>32</v>
      </c>
    </row>
    <row r="270" spans="1:7" x14ac:dyDescent="0.35">
      <c r="A270" s="6" t="s">
        <v>2239</v>
      </c>
      <c r="B270" s="7">
        <v>28707</v>
      </c>
      <c r="C270">
        <v>2</v>
      </c>
      <c r="D270">
        <v>39352.6</v>
      </c>
      <c r="E270" s="6" t="s">
        <v>7</v>
      </c>
      <c r="F270" s="6" t="s">
        <v>8</v>
      </c>
      <c r="G270" s="6" t="s">
        <v>32</v>
      </c>
    </row>
    <row r="271" spans="1:7" x14ac:dyDescent="0.35">
      <c r="A271" s="6" t="s">
        <v>1121</v>
      </c>
      <c r="B271" s="7">
        <v>30512</v>
      </c>
      <c r="C271">
        <v>5</v>
      </c>
      <c r="D271">
        <v>8965.7999999999993</v>
      </c>
      <c r="E271" s="6" t="s">
        <v>7</v>
      </c>
      <c r="F271" s="6" t="s">
        <v>8</v>
      </c>
      <c r="G271" s="6" t="s">
        <v>16</v>
      </c>
    </row>
    <row r="272" spans="1:7" x14ac:dyDescent="0.35">
      <c r="A272" s="6" t="s">
        <v>1120</v>
      </c>
      <c r="B272" s="7">
        <v>27258</v>
      </c>
      <c r="C272">
        <v>1</v>
      </c>
      <c r="D272">
        <v>8964.06</v>
      </c>
      <c r="E272" s="6" t="s">
        <v>8</v>
      </c>
      <c r="F272" s="6" t="s">
        <v>7</v>
      </c>
      <c r="G272" s="6" t="s">
        <v>158</v>
      </c>
    </row>
    <row r="273" spans="1:7" x14ac:dyDescent="0.35">
      <c r="A273" s="6" t="s">
        <v>1119</v>
      </c>
      <c r="B273" s="7">
        <v>33874</v>
      </c>
      <c r="C273">
        <v>0</v>
      </c>
      <c r="D273">
        <v>8954.99</v>
      </c>
      <c r="E273" s="6" t="s">
        <v>7</v>
      </c>
      <c r="F273" s="6" t="s">
        <v>8</v>
      </c>
      <c r="G273" s="6" t="s">
        <v>525</v>
      </c>
    </row>
    <row r="274" spans="1:7" x14ac:dyDescent="0.35">
      <c r="A274" s="6" t="s">
        <v>1118</v>
      </c>
      <c r="B274" s="7">
        <v>28119</v>
      </c>
      <c r="C274">
        <v>3</v>
      </c>
      <c r="D274">
        <v>8944.1200000000008</v>
      </c>
      <c r="E274" s="6" t="s">
        <v>8</v>
      </c>
      <c r="F274" s="6" t="s">
        <v>7</v>
      </c>
      <c r="G274" s="6" t="s">
        <v>9</v>
      </c>
    </row>
    <row r="275" spans="1:7" x14ac:dyDescent="0.35">
      <c r="A275" s="6" t="s">
        <v>1117</v>
      </c>
      <c r="B275" s="7">
        <v>26456</v>
      </c>
      <c r="C275">
        <v>0</v>
      </c>
      <c r="D275">
        <v>8932.08</v>
      </c>
      <c r="E275" s="6" t="s">
        <v>7</v>
      </c>
      <c r="F275" s="6" t="s">
        <v>11</v>
      </c>
      <c r="G275" s="6" t="s">
        <v>32</v>
      </c>
    </row>
    <row r="276" spans="1:7" x14ac:dyDescent="0.35">
      <c r="A276" s="6" t="s">
        <v>1116</v>
      </c>
      <c r="B276" s="7">
        <v>27582</v>
      </c>
      <c r="C276">
        <v>1</v>
      </c>
      <c r="D276">
        <v>8930.93</v>
      </c>
      <c r="E276" s="6" t="s">
        <v>7</v>
      </c>
      <c r="F276" s="6" t="s">
        <v>7</v>
      </c>
      <c r="G276" s="6" t="s">
        <v>16</v>
      </c>
    </row>
    <row r="277" spans="1:7" x14ac:dyDescent="0.35">
      <c r="A277" s="6" t="s">
        <v>1115</v>
      </c>
      <c r="B277" s="7">
        <v>24721</v>
      </c>
      <c r="C277">
        <v>0</v>
      </c>
      <c r="D277">
        <v>8908.4699999999993</v>
      </c>
      <c r="E277" s="6" t="s">
        <v>8</v>
      </c>
      <c r="F277" s="6" t="s">
        <v>7</v>
      </c>
      <c r="G277" s="6" t="s">
        <v>9</v>
      </c>
    </row>
    <row r="278" spans="1:7" x14ac:dyDescent="0.35">
      <c r="A278" s="6" t="s">
        <v>1114</v>
      </c>
      <c r="B278" s="7">
        <v>35762</v>
      </c>
      <c r="C278">
        <v>0</v>
      </c>
      <c r="D278">
        <v>8906.14</v>
      </c>
      <c r="E278" s="6" t="s">
        <v>7</v>
      </c>
      <c r="F278" s="6" t="s">
        <v>7</v>
      </c>
      <c r="G278" s="6" t="s">
        <v>16</v>
      </c>
    </row>
    <row r="279" spans="1:7" x14ac:dyDescent="0.35">
      <c r="A279" s="6" t="s">
        <v>1113</v>
      </c>
      <c r="B279" s="7">
        <v>28840</v>
      </c>
      <c r="C279">
        <v>3</v>
      </c>
      <c r="D279">
        <v>8891.14</v>
      </c>
      <c r="E279" s="6" t="s">
        <v>7</v>
      </c>
      <c r="F279" s="6" t="s">
        <v>8</v>
      </c>
      <c r="G279" s="6" t="s">
        <v>346</v>
      </c>
    </row>
    <row r="280" spans="1:7" x14ac:dyDescent="0.35">
      <c r="A280" s="6" t="s">
        <v>1112</v>
      </c>
      <c r="B280" s="7">
        <v>26916</v>
      </c>
      <c r="C280">
        <v>0</v>
      </c>
      <c r="D280">
        <v>8890.59</v>
      </c>
      <c r="E280" s="6" t="s">
        <v>7</v>
      </c>
      <c r="F280" s="6" t="s">
        <v>8</v>
      </c>
      <c r="G280" s="6" t="s">
        <v>16</v>
      </c>
    </row>
    <row r="281" spans="1:7" x14ac:dyDescent="0.35">
      <c r="A281" s="6" t="s">
        <v>2238</v>
      </c>
      <c r="B281" s="7">
        <v>30179</v>
      </c>
      <c r="C281">
        <v>3</v>
      </c>
      <c r="D281">
        <v>39315.279999999999</v>
      </c>
      <c r="E281" s="6" t="s">
        <v>7</v>
      </c>
      <c r="F281" s="6" t="s">
        <v>8</v>
      </c>
      <c r="G281" s="6" t="s">
        <v>32</v>
      </c>
    </row>
    <row r="282" spans="1:7" x14ac:dyDescent="0.35">
      <c r="A282" s="6" t="s">
        <v>1111</v>
      </c>
      <c r="B282" s="7">
        <v>27198</v>
      </c>
      <c r="C282">
        <v>1</v>
      </c>
      <c r="D282">
        <v>8871.15</v>
      </c>
      <c r="E282" s="6" t="s">
        <v>7</v>
      </c>
      <c r="F282" s="6" t="s">
        <v>8</v>
      </c>
      <c r="G282" s="6" t="s">
        <v>9</v>
      </c>
    </row>
    <row r="283" spans="1:7" x14ac:dyDescent="0.35">
      <c r="A283" s="6" t="s">
        <v>1110</v>
      </c>
      <c r="B283" s="7">
        <v>26625</v>
      </c>
      <c r="C283">
        <v>0</v>
      </c>
      <c r="D283">
        <v>8835.26</v>
      </c>
      <c r="E283" s="6" t="s">
        <v>8</v>
      </c>
      <c r="F283" s="6" t="s">
        <v>7</v>
      </c>
      <c r="G283" s="6" t="s">
        <v>16</v>
      </c>
    </row>
    <row r="284" spans="1:7" x14ac:dyDescent="0.35">
      <c r="A284" s="6" t="s">
        <v>1109</v>
      </c>
      <c r="B284" s="7">
        <v>26617</v>
      </c>
      <c r="C284">
        <v>0</v>
      </c>
      <c r="D284">
        <v>8827.2099999999991</v>
      </c>
      <c r="E284" s="6" t="s">
        <v>8</v>
      </c>
      <c r="F284" s="6" t="s">
        <v>11</v>
      </c>
      <c r="G284" s="6" t="s">
        <v>16</v>
      </c>
    </row>
    <row r="285" spans="1:7" x14ac:dyDescent="0.35">
      <c r="A285" s="6" t="s">
        <v>1108</v>
      </c>
      <c r="B285" s="7">
        <v>27955</v>
      </c>
      <c r="C285">
        <v>2</v>
      </c>
      <c r="D285">
        <v>8825.09</v>
      </c>
      <c r="E285" s="6" t="s">
        <v>7</v>
      </c>
      <c r="F285" s="6" t="s">
        <v>8</v>
      </c>
      <c r="G285" s="6" t="s">
        <v>32</v>
      </c>
    </row>
    <row r="286" spans="1:7" x14ac:dyDescent="0.35">
      <c r="A286" s="6" t="s">
        <v>1107</v>
      </c>
      <c r="B286" s="7">
        <v>32377</v>
      </c>
      <c r="C286">
        <v>3</v>
      </c>
      <c r="D286">
        <v>8824.27</v>
      </c>
      <c r="E286" s="6" t="s">
        <v>7</v>
      </c>
      <c r="F286" s="6" t="s">
        <v>11</v>
      </c>
      <c r="G286" s="6" t="s">
        <v>190</v>
      </c>
    </row>
    <row r="287" spans="1:7" x14ac:dyDescent="0.35">
      <c r="A287" s="6" t="s">
        <v>1106</v>
      </c>
      <c r="B287" s="7">
        <v>28052</v>
      </c>
      <c r="C287">
        <v>1</v>
      </c>
      <c r="D287">
        <v>8823.99</v>
      </c>
      <c r="E287" s="6" t="s">
        <v>7</v>
      </c>
      <c r="F287" s="6" t="s">
        <v>8</v>
      </c>
      <c r="G287" s="6" t="s">
        <v>237</v>
      </c>
    </row>
    <row r="288" spans="1:7" x14ac:dyDescent="0.35">
      <c r="A288" s="6" t="s">
        <v>1105</v>
      </c>
      <c r="B288" s="7">
        <v>27925</v>
      </c>
      <c r="C288">
        <v>2</v>
      </c>
      <c r="D288">
        <v>8823.2800000000007</v>
      </c>
      <c r="E288" s="6" t="s">
        <v>7</v>
      </c>
      <c r="F288" s="6" t="s">
        <v>11</v>
      </c>
      <c r="G288" s="6" t="s">
        <v>32</v>
      </c>
    </row>
    <row r="289" spans="1:7" x14ac:dyDescent="0.35">
      <c r="A289" s="6" t="s">
        <v>1104</v>
      </c>
      <c r="B289" s="7">
        <v>37202</v>
      </c>
      <c r="C289">
        <v>0</v>
      </c>
      <c r="D289">
        <v>8821.8799999999992</v>
      </c>
      <c r="E289" s="6" t="s">
        <v>7</v>
      </c>
      <c r="F289" s="6" t="s">
        <v>8</v>
      </c>
      <c r="G289" s="6" t="s">
        <v>239</v>
      </c>
    </row>
    <row r="290" spans="1:7" x14ac:dyDescent="0.35">
      <c r="A290" s="6" t="s">
        <v>1103</v>
      </c>
      <c r="B290" s="7">
        <v>23983</v>
      </c>
      <c r="C290">
        <v>0</v>
      </c>
      <c r="D290">
        <v>8800.49</v>
      </c>
      <c r="E290" s="6" t="s">
        <v>8</v>
      </c>
      <c r="F290" s="6" t="s">
        <v>7</v>
      </c>
      <c r="G290" s="6" t="s">
        <v>9</v>
      </c>
    </row>
    <row r="291" spans="1:7" x14ac:dyDescent="0.35">
      <c r="A291" s="6" t="s">
        <v>1102</v>
      </c>
      <c r="B291" s="7">
        <v>26102</v>
      </c>
      <c r="C291">
        <v>0</v>
      </c>
      <c r="D291">
        <v>8798.59</v>
      </c>
      <c r="E291" s="6" t="s">
        <v>7</v>
      </c>
      <c r="F291" s="6" t="s">
        <v>11</v>
      </c>
      <c r="G291" s="6" t="s">
        <v>32</v>
      </c>
    </row>
    <row r="292" spans="1:7" x14ac:dyDescent="0.35">
      <c r="A292" s="6" t="s">
        <v>2237</v>
      </c>
      <c r="B292" s="7">
        <v>33938</v>
      </c>
      <c r="C292">
        <v>2</v>
      </c>
      <c r="D292">
        <v>39241.440000000002</v>
      </c>
      <c r="E292" s="6" t="s">
        <v>11</v>
      </c>
      <c r="F292" s="6" t="s">
        <v>8</v>
      </c>
      <c r="G292" s="6" t="s">
        <v>32</v>
      </c>
    </row>
    <row r="293" spans="1:7" x14ac:dyDescent="0.35">
      <c r="A293" s="6" t="s">
        <v>1101</v>
      </c>
      <c r="B293" s="7">
        <v>26168</v>
      </c>
      <c r="C293">
        <v>0</v>
      </c>
      <c r="D293">
        <v>8782.4699999999993</v>
      </c>
      <c r="E293" s="6" t="s">
        <v>7</v>
      </c>
      <c r="F293" s="6" t="s">
        <v>8</v>
      </c>
      <c r="G293" s="6" t="s">
        <v>32</v>
      </c>
    </row>
    <row r="294" spans="1:7" x14ac:dyDescent="0.35">
      <c r="A294" s="6" t="s">
        <v>1100</v>
      </c>
      <c r="B294" s="7">
        <v>27278</v>
      </c>
      <c r="C294">
        <v>1</v>
      </c>
      <c r="D294">
        <v>8765.25</v>
      </c>
      <c r="E294" s="6" t="s">
        <v>7</v>
      </c>
      <c r="F294" s="6" t="s">
        <v>8</v>
      </c>
      <c r="G294" s="6" t="s">
        <v>16</v>
      </c>
    </row>
    <row r="295" spans="1:7" x14ac:dyDescent="0.35">
      <c r="A295" s="6" t="s">
        <v>1099</v>
      </c>
      <c r="B295" s="7">
        <v>25455</v>
      </c>
      <c r="C295">
        <v>0</v>
      </c>
      <c r="D295">
        <v>8760.1200000000008</v>
      </c>
      <c r="E295" s="6" t="s">
        <v>7</v>
      </c>
      <c r="F295" s="6" t="s">
        <v>11</v>
      </c>
      <c r="G295" s="6" t="s">
        <v>9</v>
      </c>
    </row>
    <row r="296" spans="1:7" x14ac:dyDescent="0.35">
      <c r="A296" s="6" t="s">
        <v>1098</v>
      </c>
      <c r="B296" s="7">
        <v>36395</v>
      </c>
      <c r="C296">
        <v>0</v>
      </c>
      <c r="D296">
        <v>8747.68</v>
      </c>
      <c r="E296" s="6" t="s">
        <v>7</v>
      </c>
      <c r="F296" s="6" t="s">
        <v>8</v>
      </c>
      <c r="G296" s="6" t="s">
        <v>32</v>
      </c>
    </row>
    <row r="297" spans="1:7" x14ac:dyDescent="0.35">
      <c r="A297" s="6" t="s">
        <v>1097</v>
      </c>
      <c r="B297" s="7">
        <v>27928</v>
      </c>
      <c r="C297">
        <v>2</v>
      </c>
      <c r="D297">
        <v>8733.23</v>
      </c>
      <c r="E297" s="6" t="s">
        <v>7</v>
      </c>
      <c r="F297" s="6" t="s">
        <v>8</v>
      </c>
      <c r="G297" s="6" t="s">
        <v>16</v>
      </c>
    </row>
    <row r="298" spans="1:7" x14ac:dyDescent="0.35">
      <c r="A298" s="6" t="s">
        <v>1096</v>
      </c>
      <c r="B298" s="7">
        <v>26840</v>
      </c>
      <c r="C298">
        <v>1</v>
      </c>
      <c r="D298">
        <v>8703.4599999999991</v>
      </c>
      <c r="E298" s="6" t="s">
        <v>8</v>
      </c>
      <c r="F298" s="6" t="s">
        <v>8</v>
      </c>
      <c r="G298" s="6" t="s">
        <v>32</v>
      </c>
    </row>
    <row r="299" spans="1:7" x14ac:dyDescent="0.35">
      <c r="A299" s="6" t="s">
        <v>1095</v>
      </c>
      <c r="B299" s="7">
        <v>29522</v>
      </c>
      <c r="C299">
        <v>2</v>
      </c>
      <c r="D299">
        <v>8701.84</v>
      </c>
      <c r="E299" s="6" t="s">
        <v>7</v>
      </c>
      <c r="F299" s="6" t="s">
        <v>8</v>
      </c>
      <c r="G299" s="6" t="s">
        <v>290</v>
      </c>
    </row>
    <row r="300" spans="1:7" x14ac:dyDescent="0.35">
      <c r="A300" s="6" t="s">
        <v>1094</v>
      </c>
      <c r="B300" s="7">
        <v>26948</v>
      </c>
      <c r="C300">
        <v>0</v>
      </c>
      <c r="D300">
        <v>8688.86</v>
      </c>
      <c r="E300" s="6" t="s">
        <v>7</v>
      </c>
      <c r="F300" s="6" t="s">
        <v>11</v>
      </c>
      <c r="G300" s="6" t="s">
        <v>346</v>
      </c>
    </row>
    <row r="301" spans="1:7" x14ac:dyDescent="0.35">
      <c r="A301" s="6" t="s">
        <v>1093</v>
      </c>
      <c r="B301" s="7">
        <v>27257</v>
      </c>
      <c r="C301">
        <v>0</v>
      </c>
      <c r="D301">
        <v>8671.19</v>
      </c>
      <c r="E301" s="6" t="s">
        <v>7</v>
      </c>
      <c r="F301" s="6" t="s">
        <v>11</v>
      </c>
      <c r="G301" s="6" t="s">
        <v>16</v>
      </c>
    </row>
    <row r="302" spans="1:7" x14ac:dyDescent="0.35">
      <c r="A302" s="6" t="s">
        <v>1092</v>
      </c>
      <c r="B302" s="7">
        <v>25425</v>
      </c>
      <c r="C302">
        <v>0</v>
      </c>
      <c r="D302">
        <v>8665.14</v>
      </c>
      <c r="E302" s="6" t="s">
        <v>7</v>
      </c>
      <c r="F302" s="6" t="s">
        <v>8</v>
      </c>
      <c r="G302" s="6" t="s">
        <v>9</v>
      </c>
    </row>
    <row r="303" spans="1:7" x14ac:dyDescent="0.35">
      <c r="A303" s="6" t="s">
        <v>2236</v>
      </c>
      <c r="B303" s="7">
        <v>22834</v>
      </c>
      <c r="C303">
        <v>0</v>
      </c>
      <c r="D303">
        <v>39221.120000000003</v>
      </c>
      <c r="E303" s="6" t="s">
        <v>7</v>
      </c>
      <c r="F303" s="6" t="s">
        <v>11</v>
      </c>
      <c r="G303" s="6" t="s">
        <v>32</v>
      </c>
    </row>
    <row r="304" spans="1:7" x14ac:dyDescent="0.35">
      <c r="A304" s="6" t="s">
        <v>1091</v>
      </c>
      <c r="B304" s="7">
        <v>24036</v>
      </c>
      <c r="C304">
        <v>0</v>
      </c>
      <c r="D304">
        <v>8665.09</v>
      </c>
      <c r="E304" s="6" t="s">
        <v>8</v>
      </c>
      <c r="F304" s="6" t="s">
        <v>7</v>
      </c>
      <c r="G304" s="6" t="s">
        <v>16</v>
      </c>
    </row>
    <row r="305" spans="1:7" x14ac:dyDescent="0.35">
      <c r="A305" s="6" t="s">
        <v>1090</v>
      </c>
      <c r="B305" s="7">
        <v>27609</v>
      </c>
      <c r="C305">
        <v>1</v>
      </c>
      <c r="D305">
        <v>8627.5400000000009</v>
      </c>
      <c r="E305" s="6" t="s">
        <v>7</v>
      </c>
      <c r="F305" s="6" t="s">
        <v>7</v>
      </c>
      <c r="G305" s="6" t="s">
        <v>346</v>
      </c>
    </row>
    <row r="306" spans="1:7" x14ac:dyDescent="0.35">
      <c r="A306" s="6" t="s">
        <v>1089</v>
      </c>
      <c r="B306" s="7">
        <v>28370</v>
      </c>
      <c r="C306">
        <v>3</v>
      </c>
      <c r="D306">
        <v>8615.2999999999993</v>
      </c>
      <c r="E306" s="6" t="s">
        <v>7</v>
      </c>
      <c r="F306" s="6" t="s">
        <v>8</v>
      </c>
      <c r="G306" s="6" t="s">
        <v>32</v>
      </c>
    </row>
    <row r="307" spans="1:7" x14ac:dyDescent="0.35">
      <c r="A307" s="6" t="s">
        <v>1088</v>
      </c>
      <c r="B307" s="7">
        <v>29053</v>
      </c>
      <c r="C307">
        <v>3</v>
      </c>
      <c r="D307">
        <v>8606.2199999999993</v>
      </c>
      <c r="E307" s="6" t="s">
        <v>11</v>
      </c>
      <c r="F307" s="6" t="s">
        <v>7</v>
      </c>
      <c r="G307" s="6" t="s">
        <v>266</v>
      </c>
    </row>
    <row r="308" spans="1:7" x14ac:dyDescent="0.35">
      <c r="A308" s="6" t="s">
        <v>1087</v>
      </c>
      <c r="B308" s="7">
        <v>28413</v>
      </c>
      <c r="C308">
        <v>3</v>
      </c>
      <c r="D308">
        <v>8605.36</v>
      </c>
      <c r="E308" s="6" t="s">
        <v>7</v>
      </c>
      <c r="F308" s="6" t="s">
        <v>7</v>
      </c>
      <c r="G308" s="6" t="s">
        <v>9</v>
      </c>
    </row>
    <row r="309" spans="1:7" x14ac:dyDescent="0.35">
      <c r="A309" s="6" t="s">
        <v>1086</v>
      </c>
      <c r="B309" s="7">
        <v>28441</v>
      </c>
      <c r="C309">
        <v>2</v>
      </c>
      <c r="D309">
        <v>8604.48</v>
      </c>
      <c r="E309" s="6" t="s">
        <v>8</v>
      </c>
      <c r="F309" s="6" t="s">
        <v>7</v>
      </c>
      <c r="G309" s="6" t="s">
        <v>158</v>
      </c>
    </row>
    <row r="310" spans="1:7" x14ac:dyDescent="0.35">
      <c r="A310" s="6" t="s">
        <v>1085</v>
      </c>
      <c r="B310" s="7">
        <v>28392</v>
      </c>
      <c r="C310">
        <v>2</v>
      </c>
      <c r="D310">
        <v>8603.82</v>
      </c>
      <c r="E310" s="6" t="s">
        <v>7</v>
      </c>
      <c r="F310" s="6" t="s">
        <v>11</v>
      </c>
      <c r="G310" s="6" t="s">
        <v>156</v>
      </c>
    </row>
    <row r="311" spans="1:7" x14ac:dyDescent="0.35">
      <c r="A311" s="6" t="s">
        <v>1084</v>
      </c>
      <c r="B311" s="7">
        <v>26856</v>
      </c>
      <c r="C311">
        <v>0</v>
      </c>
      <c r="D311">
        <v>8601.33</v>
      </c>
      <c r="E311" s="6" t="s">
        <v>7</v>
      </c>
      <c r="F311" s="6" t="s">
        <v>11</v>
      </c>
      <c r="G311" s="6" t="s">
        <v>9</v>
      </c>
    </row>
    <row r="312" spans="1:7" x14ac:dyDescent="0.35">
      <c r="A312" s="6" t="s">
        <v>1083</v>
      </c>
      <c r="B312" s="7">
        <v>30522</v>
      </c>
      <c r="C312">
        <v>5</v>
      </c>
      <c r="D312">
        <v>8596.83</v>
      </c>
      <c r="E312" s="6" t="s">
        <v>7</v>
      </c>
      <c r="F312" s="6" t="s">
        <v>8</v>
      </c>
      <c r="G312" s="6" t="s">
        <v>9</v>
      </c>
    </row>
    <row r="313" spans="1:7" x14ac:dyDescent="0.35">
      <c r="A313" s="6" t="s">
        <v>1082</v>
      </c>
      <c r="B313" s="7">
        <v>30680</v>
      </c>
      <c r="C313">
        <v>5</v>
      </c>
      <c r="D313">
        <v>8582.2999999999993</v>
      </c>
      <c r="E313" s="6" t="s">
        <v>7</v>
      </c>
      <c r="F313" s="6" t="s">
        <v>11</v>
      </c>
      <c r="G313" s="6" t="s">
        <v>9</v>
      </c>
    </row>
    <row r="314" spans="1:7" x14ac:dyDescent="0.35">
      <c r="A314" s="6" t="s">
        <v>2235</v>
      </c>
      <c r="B314" s="7">
        <v>30167</v>
      </c>
      <c r="C314">
        <v>1</v>
      </c>
      <c r="D314">
        <v>39125.33</v>
      </c>
      <c r="E314" s="6" t="s">
        <v>11</v>
      </c>
      <c r="F314" s="6" t="s">
        <v>11</v>
      </c>
      <c r="G314" s="6" t="s">
        <v>158</v>
      </c>
    </row>
    <row r="315" spans="1:7" x14ac:dyDescent="0.35">
      <c r="A315" s="6" t="s">
        <v>1081</v>
      </c>
      <c r="B315" s="7">
        <v>32092</v>
      </c>
      <c r="C315">
        <v>3</v>
      </c>
      <c r="D315">
        <v>8573.2999999999993</v>
      </c>
      <c r="E315" s="6" t="s">
        <v>7</v>
      </c>
      <c r="F315" s="6" t="s">
        <v>7</v>
      </c>
      <c r="G315" s="6" t="s">
        <v>290</v>
      </c>
    </row>
    <row r="316" spans="1:7" x14ac:dyDescent="0.35">
      <c r="A316" s="6" t="s">
        <v>1080</v>
      </c>
      <c r="B316" s="7">
        <v>30291</v>
      </c>
      <c r="C316">
        <v>3</v>
      </c>
      <c r="D316">
        <v>8572.0400000000009</v>
      </c>
      <c r="E316" s="6" t="s">
        <v>7</v>
      </c>
      <c r="F316" s="6" t="s">
        <v>7</v>
      </c>
      <c r="G316" s="6" t="s">
        <v>290</v>
      </c>
    </row>
    <row r="317" spans="1:7" x14ac:dyDescent="0.35">
      <c r="A317" s="6" t="s">
        <v>1079</v>
      </c>
      <c r="B317" s="7">
        <v>27663</v>
      </c>
      <c r="C317">
        <v>1</v>
      </c>
      <c r="D317">
        <v>8569.86</v>
      </c>
      <c r="E317" s="6" t="s">
        <v>7</v>
      </c>
      <c r="F317" s="6" t="s">
        <v>8</v>
      </c>
      <c r="G317" s="6" t="s">
        <v>9</v>
      </c>
    </row>
    <row r="318" spans="1:7" x14ac:dyDescent="0.35">
      <c r="A318" s="6" t="s">
        <v>1078</v>
      </c>
      <c r="B318" s="7">
        <v>32407</v>
      </c>
      <c r="C318">
        <v>3</v>
      </c>
      <c r="D318">
        <v>8567.25</v>
      </c>
      <c r="E318" s="6" t="s">
        <v>7</v>
      </c>
      <c r="F318" s="6" t="s">
        <v>11</v>
      </c>
      <c r="G318" s="6" t="s">
        <v>16</v>
      </c>
    </row>
    <row r="319" spans="1:7" x14ac:dyDescent="0.35">
      <c r="A319" s="6" t="s">
        <v>1077</v>
      </c>
      <c r="B319" s="7">
        <v>27627</v>
      </c>
      <c r="C319">
        <v>1</v>
      </c>
      <c r="D319">
        <v>8556.91</v>
      </c>
      <c r="E319" s="6" t="s">
        <v>7</v>
      </c>
      <c r="F319" s="6" t="s">
        <v>11</v>
      </c>
      <c r="G319" s="6" t="s">
        <v>32</v>
      </c>
    </row>
    <row r="320" spans="1:7" x14ac:dyDescent="0.35">
      <c r="A320" s="6" t="s">
        <v>1076</v>
      </c>
      <c r="B320" s="7">
        <v>27612</v>
      </c>
      <c r="C320">
        <v>1</v>
      </c>
      <c r="D320">
        <v>8551.35</v>
      </c>
      <c r="E320" s="6" t="s">
        <v>7</v>
      </c>
      <c r="F320" s="6" t="s">
        <v>7</v>
      </c>
      <c r="G320" s="6" t="s">
        <v>32</v>
      </c>
    </row>
    <row r="321" spans="1:7" x14ac:dyDescent="0.35">
      <c r="A321" s="6" t="s">
        <v>1074</v>
      </c>
      <c r="B321" s="7">
        <v>27704</v>
      </c>
      <c r="C321">
        <v>1</v>
      </c>
      <c r="D321">
        <v>8539.67</v>
      </c>
      <c r="E321" s="6" t="s">
        <v>7</v>
      </c>
      <c r="F321" s="6" t="s">
        <v>8</v>
      </c>
      <c r="G321" s="6" t="s">
        <v>32</v>
      </c>
    </row>
    <row r="322" spans="1:7" x14ac:dyDescent="0.35">
      <c r="A322" s="6" t="s">
        <v>1073</v>
      </c>
      <c r="B322" s="7">
        <v>29947</v>
      </c>
      <c r="C322">
        <v>3</v>
      </c>
      <c r="D322">
        <v>8538.2900000000009</v>
      </c>
      <c r="E322" s="6" t="s">
        <v>7</v>
      </c>
      <c r="F322" s="6" t="s">
        <v>8</v>
      </c>
      <c r="G322" s="6" t="s">
        <v>237</v>
      </c>
    </row>
    <row r="323" spans="1:7" x14ac:dyDescent="0.35">
      <c r="A323" s="6" t="s">
        <v>2234</v>
      </c>
      <c r="B323" s="7">
        <v>31310</v>
      </c>
      <c r="C323">
        <v>1</v>
      </c>
      <c r="D323">
        <v>39047.29</v>
      </c>
      <c r="E323" s="6" t="s">
        <v>11</v>
      </c>
      <c r="F323" s="6" t="s">
        <v>8</v>
      </c>
      <c r="G323" s="6" t="s">
        <v>346</v>
      </c>
    </row>
    <row r="324" spans="1:7" x14ac:dyDescent="0.35">
      <c r="A324" s="6" t="s">
        <v>1071</v>
      </c>
      <c r="B324" s="7">
        <v>28332</v>
      </c>
      <c r="C324">
        <v>2</v>
      </c>
      <c r="D324">
        <v>8527.5300000000007</v>
      </c>
      <c r="E324" s="6" t="s">
        <v>7</v>
      </c>
      <c r="F324" s="6" t="s">
        <v>7</v>
      </c>
      <c r="G324" s="6" t="s">
        <v>9</v>
      </c>
    </row>
    <row r="325" spans="1:7" x14ac:dyDescent="0.35">
      <c r="A325" s="6" t="s">
        <v>1070</v>
      </c>
      <c r="B325" s="7">
        <v>29080</v>
      </c>
      <c r="C325">
        <v>3</v>
      </c>
      <c r="D325">
        <v>8522</v>
      </c>
      <c r="E325" s="6" t="s">
        <v>7</v>
      </c>
      <c r="F325" s="6" t="s">
        <v>7</v>
      </c>
      <c r="G325" s="6" t="s">
        <v>32</v>
      </c>
    </row>
    <row r="326" spans="1:7" x14ac:dyDescent="0.35">
      <c r="A326" s="6" t="s">
        <v>1069</v>
      </c>
      <c r="B326" s="7">
        <v>28488</v>
      </c>
      <c r="C326">
        <v>2</v>
      </c>
      <c r="D326">
        <v>8520.0300000000007</v>
      </c>
      <c r="E326" s="6" t="s">
        <v>7</v>
      </c>
      <c r="F326" s="6" t="s">
        <v>8</v>
      </c>
      <c r="G326" s="6" t="s">
        <v>32</v>
      </c>
    </row>
    <row r="327" spans="1:7" x14ac:dyDescent="0.35">
      <c r="A327" s="6" t="s">
        <v>1068</v>
      </c>
      <c r="B327" s="7">
        <v>28297</v>
      </c>
      <c r="C327">
        <v>2</v>
      </c>
      <c r="D327">
        <v>8516.83</v>
      </c>
      <c r="E327" s="6" t="s">
        <v>7</v>
      </c>
      <c r="F327" s="6" t="s">
        <v>11</v>
      </c>
      <c r="G327" s="6" t="s">
        <v>9</v>
      </c>
    </row>
    <row r="328" spans="1:7" x14ac:dyDescent="0.35">
      <c r="A328" s="6" t="s">
        <v>1067</v>
      </c>
      <c r="B328" s="7">
        <v>28485</v>
      </c>
      <c r="C328">
        <v>2</v>
      </c>
      <c r="D328">
        <v>8515.76</v>
      </c>
      <c r="E328" s="6" t="s">
        <v>7</v>
      </c>
      <c r="F328" s="6" t="s">
        <v>7</v>
      </c>
      <c r="G328" s="6" t="s">
        <v>9</v>
      </c>
    </row>
    <row r="329" spans="1:7" x14ac:dyDescent="0.35">
      <c r="A329" s="6" t="s">
        <v>1066</v>
      </c>
      <c r="B329" s="7">
        <v>34283</v>
      </c>
      <c r="C329">
        <v>0</v>
      </c>
      <c r="D329">
        <v>8471.65</v>
      </c>
      <c r="E329" s="6" t="s">
        <v>7</v>
      </c>
      <c r="F329" s="6" t="s">
        <v>11</v>
      </c>
      <c r="G329" s="6" t="s">
        <v>16</v>
      </c>
    </row>
    <row r="330" spans="1:7" x14ac:dyDescent="0.35">
      <c r="A330" s="6" t="s">
        <v>1065</v>
      </c>
      <c r="B330" s="7">
        <v>33856</v>
      </c>
      <c r="C330">
        <v>0</v>
      </c>
      <c r="D330">
        <v>8466.35</v>
      </c>
      <c r="E330" s="6" t="s">
        <v>7</v>
      </c>
      <c r="F330" s="6" t="s">
        <v>7</v>
      </c>
      <c r="G330" s="6" t="s">
        <v>16</v>
      </c>
    </row>
    <row r="331" spans="1:7" x14ac:dyDescent="0.35">
      <c r="A331" s="6" t="s">
        <v>1064</v>
      </c>
      <c r="B331" s="7">
        <v>26659</v>
      </c>
      <c r="C331">
        <v>0</v>
      </c>
      <c r="D331">
        <v>8457.82</v>
      </c>
      <c r="E331" s="6" t="s">
        <v>7</v>
      </c>
      <c r="F331" s="6" t="s">
        <v>8</v>
      </c>
      <c r="G331" s="6" t="s">
        <v>32</v>
      </c>
    </row>
    <row r="332" spans="1:7" x14ac:dyDescent="0.35">
      <c r="A332" s="6" t="s">
        <v>1063</v>
      </c>
      <c r="B332" s="7">
        <v>30852</v>
      </c>
      <c r="C332">
        <v>3</v>
      </c>
      <c r="D332">
        <v>8450.82</v>
      </c>
      <c r="E332" s="6" t="s">
        <v>7</v>
      </c>
      <c r="F332" s="6" t="s">
        <v>7</v>
      </c>
      <c r="G332" s="6" t="s">
        <v>190</v>
      </c>
    </row>
    <row r="333" spans="1:7" x14ac:dyDescent="0.35">
      <c r="A333" s="6" t="s">
        <v>1062</v>
      </c>
      <c r="B333" s="7">
        <v>24270</v>
      </c>
      <c r="C333">
        <v>0</v>
      </c>
      <c r="D333">
        <v>8448.66</v>
      </c>
      <c r="E333" s="6" t="s">
        <v>8</v>
      </c>
      <c r="F333" s="6" t="s">
        <v>11</v>
      </c>
      <c r="G333" s="6" t="s">
        <v>9</v>
      </c>
    </row>
    <row r="334" spans="1:7" x14ac:dyDescent="0.35">
      <c r="A334" s="6" t="s">
        <v>2350</v>
      </c>
      <c r="B334" s="7">
        <v>22930</v>
      </c>
      <c r="C334">
        <v>0</v>
      </c>
      <c r="D334">
        <v>48673.56</v>
      </c>
      <c r="E334" s="6" t="s">
        <v>11</v>
      </c>
      <c r="F334" s="6" t="s">
        <v>7</v>
      </c>
      <c r="G334" s="6" t="s">
        <v>9</v>
      </c>
    </row>
    <row r="335" spans="1:7" x14ac:dyDescent="0.35">
      <c r="A335" s="6" t="s">
        <v>2233</v>
      </c>
      <c r="B335" s="7">
        <v>28775</v>
      </c>
      <c r="C335">
        <v>2</v>
      </c>
      <c r="D335">
        <v>38998.550000000003</v>
      </c>
      <c r="E335" s="6" t="s">
        <v>11</v>
      </c>
      <c r="F335" s="6" t="s">
        <v>11</v>
      </c>
      <c r="G335" s="6" t="s">
        <v>32</v>
      </c>
    </row>
    <row r="336" spans="1:7" x14ac:dyDescent="0.35">
      <c r="A336" s="6" t="s">
        <v>1061</v>
      </c>
      <c r="B336" s="7">
        <v>26546</v>
      </c>
      <c r="C336">
        <v>0</v>
      </c>
      <c r="D336">
        <v>8444.4699999999993</v>
      </c>
      <c r="E336" s="6" t="s">
        <v>8</v>
      </c>
      <c r="F336" s="6" t="s">
        <v>11</v>
      </c>
      <c r="G336" s="6" t="s">
        <v>32</v>
      </c>
    </row>
    <row r="337" spans="1:7" x14ac:dyDescent="0.35">
      <c r="A337" s="6" t="s">
        <v>1060</v>
      </c>
      <c r="B337" s="7">
        <v>26551</v>
      </c>
      <c r="C337">
        <v>0</v>
      </c>
      <c r="D337">
        <v>8442.67</v>
      </c>
      <c r="E337" s="6" t="s">
        <v>7</v>
      </c>
      <c r="F337" s="6" t="s">
        <v>8</v>
      </c>
      <c r="G337" s="6" t="s">
        <v>9</v>
      </c>
    </row>
    <row r="338" spans="1:7" x14ac:dyDescent="0.35">
      <c r="A338" s="6" t="s">
        <v>1059</v>
      </c>
      <c r="B338" s="7">
        <v>23278</v>
      </c>
      <c r="C338">
        <v>0</v>
      </c>
      <c r="D338">
        <v>8440.0499999999993</v>
      </c>
      <c r="E338" s="6" t="s">
        <v>8</v>
      </c>
      <c r="F338" s="6" t="s">
        <v>7</v>
      </c>
      <c r="G338" s="6" t="s">
        <v>9</v>
      </c>
    </row>
    <row r="339" spans="1:7" x14ac:dyDescent="0.35">
      <c r="A339" s="6" t="s">
        <v>1058</v>
      </c>
      <c r="B339" s="7">
        <v>27665</v>
      </c>
      <c r="C339">
        <v>1</v>
      </c>
      <c r="D339">
        <v>8428.07</v>
      </c>
      <c r="E339" s="6" t="s">
        <v>8</v>
      </c>
      <c r="F339" s="6" t="s">
        <v>7</v>
      </c>
      <c r="G339" s="6" t="s">
        <v>16</v>
      </c>
    </row>
    <row r="340" spans="1:7" x14ac:dyDescent="0.35">
      <c r="A340" s="6" t="s">
        <v>1057</v>
      </c>
      <c r="B340" s="7">
        <v>28372</v>
      </c>
      <c r="C340">
        <v>2</v>
      </c>
      <c r="D340">
        <v>8413.4599999999991</v>
      </c>
      <c r="E340" s="6" t="s">
        <v>8</v>
      </c>
      <c r="F340" s="6" t="s">
        <v>11</v>
      </c>
      <c r="G340" s="6" t="s">
        <v>16</v>
      </c>
    </row>
    <row r="341" spans="1:7" x14ac:dyDescent="0.35">
      <c r="A341" s="6" t="s">
        <v>1056</v>
      </c>
      <c r="B341" s="7">
        <v>29017</v>
      </c>
      <c r="C341">
        <v>3</v>
      </c>
      <c r="D341">
        <v>8410.0499999999993</v>
      </c>
      <c r="E341" s="6" t="s">
        <v>7</v>
      </c>
      <c r="F341" s="6" t="s">
        <v>7</v>
      </c>
      <c r="G341" s="6" t="s">
        <v>16</v>
      </c>
    </row>
    <row r="342" spans="1:7" x14ac:dyDescent="0.35">
      <c r="A342" s="6" t="s">
        <v>1055</v>
      </c>
      <c r="B342" s="7">
        <v>26194</v>
      </c>
      <c r="C342">
        <v>0</v>
      </c>
      <c r="D342">
        <v>8400.01</v>
      </c>
      <c r="E342" s="6" t="s">
        <v>7</v>
      </c>
      <c r="F342" s="6" t="s">
        <v>8</v>
      </c>
      <c r="G342" s="6" t="s">
        <v>9</v>
      </c>
    </row>
    <row r="343" spans="1:7" x14ac:dyDescent="0.35">
      <c r="A343" s="6" t="s">
        <v>1054</v>
      </c>
      <c r="B343" s="7">
        <v>26180</v>
      </c>
      <c r="C343">
        <v>0</v>
      </c>
      <c r="D343">
        <v>8396.6200000000008</v>
      </c>
      <c r="E343" s="6" t="s">
        <v>7</v>
      </c>
      <c r="F343" s="6" t="s">
        <v>8</v>
      </c>
      <c r="G343" s="6" t="s">
        <v>9</v>
      </c>
    </row>
    <row r="344" spans="1:7" x14ac:dyDescent="0.35">
      <c r="A344" s="6" t="s">
        <v>1053</v>
      </c>
      <c r="B344" s="7">
        <v>23275</v>
      </c>
      <c r="C344">
        <v>0</v>
      </c>
      <c r="D344">
        <v>8355.5400000000009</v>
      </c>
      <c r="E344" s="6" t="s">
        <v>8</v>
      </c>
      <c r="F344" s="6" t="s">
        <v>8</v>
      </c>
      <c r="G344" s="6" t="s">
        <v>16</v>
      </c>
    </row>
    <row r="345" spans="1:7" x14ac:dyDescent="0.35">
      <c r="A345" s="6" t="s">
        <v>1052</v>
      </c>
      <c r="B345" s="7">
        <v>27923</v>
      </c>
      <c r="C345">
        <v>2</v>
      </c>
      <c r="D345">
        <v>8347.16</v>
      </c>
      <c r="E345" s="6" t="s">
        <v>7</v>
      </c>
      <c r="F345" s="6" t="s">
        <v>11</v>
      </c>
      <c r="G345" s="6" t="s">
        <v>9</v>
      </c>
    </row>
    <row r="346" spans="1:7" x14ac:dyDescent="0.35">
      <c r="A346" s="6" t="s">
        <v>2232</v>
      </c>
      <c r="B346" s="7">
        <v>29488</v>
      </c>
      <c r="C346">
        <v>2</v>
      </c>
      <c r="D346">
        <v>38947.43</v>
      </c>
      <c r="E346" s="6" t="s">
        <v>7</v>
      </c>
      <c r="F346" s="6" t="s">
        <v>8</v>
      </c>
      <c r="G346" s="6" t="s">
        <v>32</v>
      </c>
    </row>
    <row r="347" spans="1:7" x14ac:dyDescent="0.35">
      <c r="A347" s="6" t="s">
        <v>1051</v>
      </c>
      <c r="B347" s="7">
        <v>27948</v>
      </c>
      <c r="C347">
        <v>1</v>
      </c>
      <c r="D347">
        <v>8342.91</v>
      </c>
      <c r="E347" s="6" t="s">
        <v>8</v>
      </c>
      <c r="F347" s="6" t="s">
        <v>11</v>
      </c>
      <c r="G347" s="6" t="s">
        <v>158</v>
      </c>
    </row>
    <row r="348" spans="1:7" x14ac:dyDescent="0.35">
      <c r="A348" s="6" t="s">
        <v>1050</v>
      </c>
      <c r="B348" s="7">
        <v>27961</v>
      </c>
      <c r="C348">
        <v>1</v>
      </c>
      <c r="D348">
        <v>8334.59</v>
      </c>
      <c r="E348" s="6" t="s">
        <v>8</v>
      </c>
      <c r="F348" s="6" t="s">
        <v>7</v>
      </c>
      <c r="G348" s="6" t="s">
        <v>158</v>
      </c>
    </row>
    <row r="349" spans="1:7" x14ac:dyDescent="0.35">
      <c r="A349" s="6" t="s">
        <v>1049</v>
      </c>
      <c r="B349" s="7">
        <v>27953</v>
      </c>
      <c r="C349">
        <v>1</v>
      </c>
      <c r="D349">
        <v>8334.4599999999991</v>
      </c>
      <c r="E349" s="6" t="s">
        <v>8</v>
      </c>
      <c r="F349" s="6" t="s">
        <v>7</v>
      </c>
      <c r="G349" s="6" t="s">
        <v>158</v>
      </c>
    </row>
    <row r="350" spans="1:7" x14ac:dyDescent="0.35">
      <c r="A350" s="6" t="s">
        <v>1048</v>
      </c>
      <c r="B350" s="7">
        <v>34142</v>
      </c>
      <c r="C350">
        <v>0</v>
      </c>
      <c r="D350">
        <v>8314.65</v>
      </c>
      <c r="E350" s="6" t="s">
        <v>7</v>
      </c>
      <c r="F350" s="6" t="s">
        <v>11</v>
      </c>
      <c r="G350" s="6" t="s">
        <v>16</v>
      </c>
    </row>
    <row r="351" spans="1:7" x14ac:dyDescent="0.35">
      <c r="A351" s="6" t="s">
        <v>1047</v>
      </c>
      <c r="B351" s="7">
        <v>29074</v>
      </c>
      <c r="C351">
        <v>2</v>
      </c>
      <c r="D351">
        <v>8310.84</v>
      </c>
      <c r="E351" s="6" t="s">
        <v>7</v>
      </c>
      <c r="F351" s="6" t="s">
        <v>7</v>
      </c>
      <c r="G351" s="6" t="s">
        <v>16</v>
      </c>
    </row>
    <row r="352" spans="1:7" x14ac:dyDescent="0.35">
      <c r="A352" s="6" t="s">
        <v>1046</v>
      </c>
      <c r="B352" s="7">
        <v>28667</v>
      </c>
      <c r="C352">
        <v>2</v>
      </c>
      <c r="D352">
        <v>8302.5400000000009</v>
      </c>
      <c r="E352" s="6" t="s">
        <v>8</v>
      </c>
      <c r="F352" s="6" t="s">
        <v>8</v>
      </c>
      <c r="G352" s="6" t="s">
        <v>158</v>
      </c>
    </row>
    <row r="353" spans="1:7" x14ac:dyDescent="0.35">
      <c r="A353" s="6" t="s">
        <v>1045</v>
      </c>
      <c r="B353" s="7">
        <v>27186</v>
      </c>
      <c r="C353">
        <v>0</v>
      </c>
      <c r="D353">
        <v>8283.68</v>
      </c>
      <c r="E353" s="6" t="s">
        <v>7</v>
      </c>
      <c r="F353" s="6" t="s">
        <v>8</v>
      </c>
      <c r="G353" s="6" t="s">
        <v>9</v>
      </c>
    </row>
    <row r="354" spans="1:7" x14ac:dyDescent="0.35">
      <c r="A354" s="6" t="s">
        <v>1044</v>
      </c>
      <c r="B354" s="7">
        <v>27385</v>
      </c>
      <c r="C354">
        <v>0</v>
      </c>
      <c r="D354">
        <v>8280.6200000000008</v>
      </c>
      <c r="E354" s="6" t="s">
        <v>7</v>
      </c>
      <c r="F354" s="6" t="s">
        <v>7</v>
      </c>
      <c r="G354" s="6" t="s">
        <v>9</v>
      </c>
    </row>
    <row r="355" spans="1:7" x14ac:dyDescent="0.35">
      <c r="A355" s="6" t="s">
        <v>1043</v>
      </c>
      <c r="B355" s="7">
        <v>27298</v>
      </c>
      <c r="C355">
        <v>0</v>
      </c>
      <c r="D355">
        <v>8277.52</v>
      </c>
      <c r="E355" s="6" t="s">
        <v>7</v>
      </c>
      <c r="F355" s="6" t="s">
        <v>7</v>
      </c>
      <c r="G355" s="6" t="s">
        <v>32</v>
      </c>
    </row>
    <row r="356" spans="1:7" x14ac:dyDescent="0.35">
      <c r="A356" s="6" t="s">
        <v>1042</v>
      </c>
      <c r="B356" s="7">
        <v>36858</v>
      </c>
      <c r="C356">
        <v>0</v>
      </c>
      <c r="D356">
        <v>8271.4599999999991</v>
      </c>
      <c r="E356" s="6" t="s">
        <v>7</v>
      </c>
      <c r="F356" s="6" t="s">
        <v>11</v>
      </c>
      <c r="G356" s="6" t="s">
        <v>239</v>
      </c>
    </row>
    <row r="357" spans="1:7" x14ac:dyDescent="0.35">
      <c r="A357" s="6" t="s">
        <v>2231</v>
      </c>
      <c r="B357" s="7">
        <v>28109</v>
      </c>
      <c r="C357">
        <v>2</v>
      </c>
      <c r="D357">
        <v>38932.559999999998</v>
      </c>
      <c r="E357" s="6" t="s">
        <v>7</v>
      </c>
      <c r="F357" s="6" t="s">
        <v>8</v>
      </c>
      <c r="G357" s="6" t="s">
        <v>32</v>
      </c>
    </row>
    <row r="358" spans="1:7" x14ac:dyDescent="0.35">
      <c r="A358" s="6" t="s">
        <v>1041</v>
      </c>
      <c r="B358" s="7">
        <v>27246</v>
      </c>
      <c r="C358">
        <v>0</v>
      </c>
      <c r="D358">
        <v>8269.0400000000009</v>
      </c>
      <c r="E358" s="6" t="s">
        <v>7</v>
      </c>
      <c r="F358" s="6" t="s">
        <v>11</v>
      </c>
      <c r="G358" s="6" t="s">
        <v>32</v>
      </c>
    </row>
    <row r="359" spans="1:7" x14ac:dyDescent="0.35">
      <c r="A359" s="6" t="s">
        <v>1040</v>
      </c>
      <c r="B359" s="7">
        <v>23625</v>
      </c>
      <c r="C359">
        <v>0</v>
      </c>
      <c r="D359">
        <v>8268</v>
      </c>
      <c r="E359" s="6" t="s">
        <v>8</v>
      </c>
      <c r="F359" s="6" t="s">
        <v>8</v>
      </c>
      <c r="G359" s="6" t="s">
        <v>9</v>
      </c>
    </row>
    <row r="360" spans="1:7" x14ac:dyDescent="0.35">
      <c r="A360" s="6" t="s">
        <v>1039</v>
      </c>
      <c r="B360" s="7">
        <v>30221</v>
      </c>
      <c r="C360">
        <v>3</v>
      </c>
      <c r="D360">
        <v>8252.2800000000007</v>
      </c>
      <c r="E360" s="6" t="s">
        <v>7</v>
      </c>
      <c r="F360" s="6" t="s">
        <v>7</v>
      </c>
      <c r="G360" s="6" t="s">
        <v>237</v>
      </c>
    </row>
    <row r="361" spans="1:7" x14ac:dyDescent="0.35">
      <c r="A361" s="6" t="s">
        <v>1038</v>
      </c>
      <c r="B361" s="7">
        <v>28005</v>
      </c>
      <c r="C361">
        <v>1</v>
      </c>
      <c r="D361">
        <v>8240.59</v>
      </c>
      <c r="E361" s="6" t="s">
        <v>7</v>
      </c>
      <c r="F361" s="6" t="s">
        <v>7</v>
      </c>
      <c r="G361" s="6" t="s">
        <v>9</v>
      </c>
    </row>
    <row r="362" spans="1:7" x14ac:dyDescent="0.35">
      <c r="A362" s="6" t="s">
        <v>1037</v>
      </c>
      <c r="B362" s="7">
        <v>27941</v>
      </c>
      <c r="C362">
        <v>1</v>
      </c>
      <c r="D362">
        <v>8233.1</v>
      </c>
      <c r="E362" s="6" t="s">
        <v>7</v>
      </c>
      <c r="F362" s="6" t="s">
        <v>7</v>
      </c>
      <c r="G362" s="6" t="s">
        <v>9</v>
      </c>
    </row>
    <row r="363" spans="1:7" x14ac:dyDescent="0.35">
      <c r="A363" s="6" t="s">
        <v>1036</v>
      </c>
      <c r="B363" s="7">
        <v>28006</v>
      </c>
      <c r="C363">
        <v>1</v>
      </c>
      <c r="D363">
        <v>8232.64</v>
      </c>
      <c r="E363" s="6" t="s">
        <v>7</v>
      </c>
      <c r="F363" s="6" t="s">
        <v>8</v>
      </c>
      <c r="G363" s="6" t="s">
        <v>9</v>
      </c>
    </row>
    <row r="364" spans="1:7" x14ac:dyDescent="0.35">
      <c r="A364" s="6" t="s">
        <v>1035</v>
      </c>
      <c r="B364" s="7">
        <v>28671</v>
      </c>
      <c r="C364">
        <v>2</v>
      </c>
      <c r="D364">
        <v>8219.2000000000007</v>
      </c>
      <c r="E364" s="6" t="s">
        <v>7</v>
      </c>
      <c r="F364" s="6" t="s">
        <v>7</v>
      </c>
      <c r="G364" s="6" t="s">
        <v>9</v>
      </c>
    </row>
    <row r="365" spans="1:7" x14ac:dyDescent="0.35">
      <c r="A365" s="6" t="s">
        <v>1034</v>
      </c>
      <c r="B365" s="7">
        <v>28787</v>
      </c>
      <c r="C365">
        <v>2</v>
      </c>
      <c r="D365">
        <v>8211.1</v>
      </c>
      <c r="E365" s="6" t="s">
        <v>7</v>
      </c>
      <c r="F365" s="6" t="s">
        <v>8</v>
      </c>
      <c r="G365" s="6" t="s">
        <v>9</v>
      </c>
    </row>
    <row r="366" spans="1:7" x14ac:dyDescent="0.35">
      <c r="A366" s="6" t="s">
        <v>1033</v>
      </c>
      <c r="B366" s="7">
        <v>22973</v>
      </c>
      <c r="C366">
        <v>0</v>
      </c>
      <c r="D366">
        <v>8188.12</v>
      </c>
      <c r="E366" s="6" t="s">
        <v>8</v>
      </c>
      <c r="F366" s="6" t="s">
        <v>8</v>
      </c>
      <c r="G366" s="6" t="s">
        <v>9</v>
      </c>
    </row>
    <row r="367" spans="1:7" x14ac:dyDescent="0.35">
      <c r="A367" s="6" t="s">
        <v>1032</v>
      </c>
      <c r="B367" s="7">
        <v>35724</v>
      </c>
      <c r="C367">
        <v>0</v>
      </c>
      <c r="D367">
        <v>8182.89</v>
      </c>
      <c r="E367" s="6" t="s">
        <v>7</v>
      </c>
      <c r="F367" s="6" t="s">
        <v>11</v>
      </c>
      <c r="G367" s="6" t="s">
        <v>525</v>
      </c>
    </row>
    <row r="368" spans="1:7" x14ac:dyDescent="0.35">
      <c r="A368" s="6" t="s">
        <v>2230</v>
      </c>
      <c r="B368" s="7">
        <v>31944</v>
      </c>
      <c r="C368">
        <v>3</v>
      </c>
      <c r="D368">
        <v>38924.04</v>
      </c>
      <c r="E368" s="6" t="s">
        <v>7</v>
      </c>
      <c r="F368" s="6" t="s">
        <v>7</v>
      </c>
      <c r="G368" s="6" t="s">
        <v>32</v>
      </c>
    </row>
    <row r="369" spans="1:7" x14ac:dyDescent="0.35">
      <c r="A369" s="6" t="s">
        <v>1031</v>
      </c>
      <c r="B369" s="7">
        <v>30475</v>
      </c>
      <c r="C369">
        <v>3</v>
      </c>
      <c r="D369">
        <v>8179.51</v>
      </c>
      <c r="E369" s="6" t="s">
        <v>7</v>
      </c>
      <c r="F369" s="6" t="s">
        <v>7</v>
      </c>
      <c r="G369" s="6" t="s">
        <v>506</v>
      </c>
    </row>
    <row r="370" spans="1:7" x14ac:dyDescent="0.35">
      <c r="A370" s="6" t="s">
        <v>1030</v>
      </c>
      <c r="B370" s="7">
        <v>23320</v>
      </c>
      <c r="C370">
        <v>0</v>
      </c>
      <c r="D370">
        <v>8177.9</v>
      </c>
      <c r="E370" s="6" t="s">
        <v>8</v>
      </c>
      <c r="F370" s="6" t="s">
        <v>11</v>
      </c>
      <c r="G370" s="6" t="s">
        <v>9</v>
      </c>
    </row>
    <row r="371" spans="1:7" x14ac:dyDescent="0.35">
      <c r="A371" s="6" t="s">
        <v>1029</v>
      </c>
      <c r="B371" s="7">
        <v>30130</v>
      </c>
      <c r="C371">
        <v>4</v>
      </c>
      <c r="D371">
        <v>8162.72</v>
      </c>
      <c r="E371" s="6" t="s">
        <v>8</v>
      </c>
      <c r="F371" s="6" t="s">
        <v>8</v>
      </c>
      <c r="G371" s="6" t="s">
        <v>16</v>
      </c>
    </row>
    <row r="372" spans="1:7" x14ac:dyDescent="0.35">
      <c r="A372" s="6" t="s">
        <v>1028</v>
      </c>
      <c r="B372" s="7">
        <v>33045</v>
      </c>
      <c r="C372">
        <v>3</v>
      </c>
      <c r="D372">
        <v>8157.92</v>
      </c>
      <c r="E372" s="6" t="s">
        <v>7</v>
      </c>
      <c r="F372" s="6" t="s">
        <v>8</v>
      </c>
      <c r="G372" s="6" t="s">
        <v>190</v>
      </c>
    </row>
    <row r="373" spans="1:7" x14ac:dyDescent="0.35">
      <c r="A373" s="6" t="s">
        <v>1027</v>
      </c>
      <c r="B373" s="7">
        <v>26910</v>
      </c>
      <c r="C373">
        <v>0</v>
      </c>
      <c r="D373">
        <v>8125.78</v>
      </c>
      <c r="E373" s="6" t="s">
        <v>7</v>
      </c>
      <c r="F373" s="6" t="s">
        <v>7</v>
      </c>
      <c r="G373" s="6" t="s">
        <v>9</v>
      </c>
    </row>
    <row r="374" spans="1:7" x14ac:dyDescent="0.35">
      <c r="A374" s="6" t="s">
        <v>1026</v>
      </c>
      <c r="B374" s="7">
        <v>26906</v>
      </c>
      <c r="C374">
        <v>0</v>
      </c>
      <c r="D374">
        <v>8124.41</v>
      </c>
      <c r="E374" s="6" t="s">
        <v>8</v>
      </c>
      <c r="F374" s="6" t="s">
        <v>11</v>
      </c>
      <c r="G374" s="6" t="s">
        <v>9</v>
      </c>
    </row>
    <row r="375" spans="1:7" x14ac:dyDescent="0.35">
      <c r="A375" s="6" t="s">
        <v>1025</v>
      </c>
      <c r="B375" s="7">
        <v>27014</v>
      </c>
      <c r="C375">
        <v>0</v>
      </c>
      <c r="D375">
        <v>8116.68</v>
      </c>
      <c r="E375" s="6" t="s">
        <v>8</v>
      </c>
      <c r="F375" s="6" t="s">
        <v>11</v>
      </c>
      <c r="G375" s="6" t="s">
        <v>32</v>
      </c>
    </row>
    <row r="376" spans="1:7" x14ac:dyDescent="0.35">
      <c r="A376" s="6" t="s">
        <v>1024</v>
      </c>
      <c r="B376" s="7">
        <v>28734</v>
      </c>
      <c r="C376">
        <v>2</v>
      </c>
      <c r="D376">
        <v>8116.27</v>
      </c>
      <c r="E376" s="6" t="s">
        <v>8</v>
      </c>
      <c r="F376" s="6" t="s">
        <v>11</v>
      </c>
      <c r="G376" s="6" t="s">
        <v>16</v>
      </c>
    </row>
    <row r="377" spans="1:7" x14ac:dyDescent="0.35">
      <c r="A377" s="6" t="s">
        <v>1023</v>
      </c>
      <c r="B377" s="7">
        <v>26948</v>
      </c>
      <c r="C377">
        <v>0</v>
      </c>
      <c r="D377">
        <v>8112.59</v>
      </c>
      <c r="E377" s="6" t="s">
        <v>7</v>
      </c>
      <c r="F377" s="6" t="s">
        <v>7</v>
      </c>
      <c r="G377" s="6" t="s">
        <v>9</v>
      </c>
    </row>
    <row r="378" spans="1:7" x14ac:dyDescent="0.35">
      <c r="A378" s="6" t="s">
        <v>1022</v>
      </c>
      <c r="B378" s="7">
        <v>24633</v>
      </c>
      <c r="C378">
        <v>0</v>
      </c>
      <c r="D378">
        <v>8091.3</v>
      </c>
      <c r="E378" s="6" t="s">
        <v>8</v>
      </c>
      <c r="F378" s="6" t="s">
        <v>11</v>
      </c>
      <c r="G378" s="6" t="s">
        <v>16</v>
      </c>
    </row>
    <row r="379" spans="1:7" x14ac:dyDescent="0.35">
      <c r="A379" s="6" t="s">
        <v>2229</v>
      </c>
      <c r="B379" s="7">
        <v>24683</v>
      </c>
      <c r="C379">
        <v>0</v>
      </c>
      <c r="D379">
        <v>38893.360000000001</v>
      </c>
      <c r="E379" s="6" t="s">
        <v>11</v>
      </c>
      <c r="F379" s="6" t="s">
        <v>7</v>
      </c>
      <c r="G379" s="6" t="s">
        <v>32</v>
      </c>
    </row>
    <row r="380" spans="1:7" x14ac:dyDescent="0.35">
      <c r="A380" s="6" t="s">
        <v>1021</v>
      </c>
      <c r="B380" s="7">
        <v>27749</v>
      </c>
      <c r="C380">
        <v>1</v>
      </c>
      <c r="D380">
        <v>8083.92</v>
      </c>
      <c r="E380" s="6" t="s">
        <v>8</v>
      </c>
      <c r="F380" s="6" t="s">
        <v>8</v>
      </c>
      <c r="G380" s="6" t="s">
        <v>9</v>
      </c>
    </row>
    <row r="381" spans="1:7" x14ac:dyDescent="0.35">
      <c r="A381" s="6" t="s">
        <v>1020</v>
      </c>
      <c r="B381" s="7">
        <v>34619</v>
      </c>
      <c r="C381">
        <v>0</v>
      </c>
      <c r="D381">
        <v>8081.74</v>
      </c>
      <c r="E381" s="6" t="s">
        <v>7</v>
      </c>
      <c r="F381" s="6" t="s">
        <v>7</v>
      </c>
      <c r="G381" s="6" t="s">
        <v>525</v>
      </c>
    </row>
    <row r="382" spans="1:7" x14ac:dyDescent="0.35">
      <c r="A382" s="6" t="s">
        <v>1019</v>
      </c>
      <c r="B382" s="7">
        <v>37131</v>
      </c>
      <c r="C382">
        <v>0</v>
      </c>
      <c r="D382">
        <v>8081.26</v>
      </c>
      <c r="E382" s="6" t="s">
        <v>7</v>
      </c>
      <c r="F382" s="6" t="s">
        <v>7</v>
      </c>
      <c r="G382" s="6" t="s">
        <v>16</v>
      </c>
    </row>
    <row r="383" spans="1:7" x14ac:dyDescent="0.35">
      <c r="A383" s="6" t="s">
        <v>1018</v>
      </c>
      <c r="B383" s="7">
        <v>34280</v>
      </c>
      <c r="C383">
        <v>0</v>
      </c>
      <c r="D383">
        <v>8077.41</v>
      </c>
      <c r="E383" s="6" t="s">
        <v>7</v>
      </c>
      <c r="F383" s="6" t="s">
        <v>11</v>
      </c>
      <c r="G383" s="6" t="s">
        <v>525</v>
      </c>
    </row>
    <row r="384" spans="1:7" x14ac:dyDescent="0.35">
      <c r="A384" s="6" t="s">
        <v>1017</v>
      </c>
      <c r="B384" s="7">
        <v>24036</v>
      </c>
      <c r="C384">
        <v>0</v>
      </c>
      <c r="D384">
        <v>8071.57</v>
      </c>
      <c r="E384" s="6" t="s">
        <v>8</v>
      </c>
      <c r="F384" s="6" t="s">
        <v>11</v>
      </c>
      <c r="G384" s="6" t="s">
        <v>32</v>
      </c>
    </row>
    <row r="385" spans="1:7" x14ac:dyDescent="0.35">
      <c r="A385" s="6" t="s">
        <v>1016</v>
      </c>
      <c r="B385" s="7">
        <v>27743</v>
      </c>
      <c r="C385">
        <v>1</v>
      </c>
      <c r="D385">
        <v>8068.19</v>
      </c>
      <c r="E385" s="6" t="s">
        <v>8</v>
      </c>
      <c r="F385" s="6" t="s">
        <v>7</v>
      </c>
      <c r="G385" s="6" t="s">
        <v>32</v>
      </c>
    </row>
    <row r="386" spans="1:7" x14ac:dyDescent="0.35">
      <c r="A386" s="6" t="s">
        <v>1015</v>
      </c>
      <c r="B386" s="7">
        <v>23965</v>
      </c>
      <c r="C386">
        <v>0</v>
      </c>
      <c r="D386">
        <v>8067.83</v>
      </c>
      <c r="E386" s="6" t="s">
        <v>8</v>
      </c>
      <c r="F386" s="6" t="s">
        <v>11</v>
      </c>
      <c r="G386" s="6" t="s">
        <v>9</v>
      </c>
    </row>
    <row r="387" spans="1:7" x14ac:dyDescent="0.35">
      <c r="A387" s="6" t="s">
        <v>1014</v>
      </c>
      <c r="B387" s="7">
        <v>27573</v>
      </c>
      <c r="C387">
        <v>1</v>
      </c>
      <c r="D387">
        <v>8062.76</v>
      </c>
      <c r="E387" s="6" t="s">
        <v>8</v>
      </c>
      <c r="F387" s="6" t="s">
        <v>8</v>
      </c>
      <c r="G387" s="6" t="s">
        <v>32</v>
      </c>
    </row>
    <row r="388" spans="1:7" x14ac:dyDescent="0.35">
      <c r="A388" s="6" t="s">
        <v>1013</v>
      </c>
      <c r="B388" s="7">
        <v>25914</v>
      </c>
      <c r="C388">
        <v>0</v>
      </c>
      <c r="D388">
        <v>8062.31</v>
      </c>
      <c r="E388" s="6" t="s">
        <v>7</v>
      </c>
      <c r="F388" s="6" t="s">
        <v>11</v>
      </c>
      <c r="G388" s="6" t="s">
        <v>9</v>
      </c>
    </row>
    <row r="389" spans="1:7" x14ac:dyDescent="0.35">
      <c r="A389" s="6" t="s">
        <v>1012</v>
      </c>
      <c r="B389" s="7">
        <v>30312</v>
      </c>
      <c r="C389">
        <v>3</v>
      </c>
      <c r="D389">
        <v>8059.68</v>
      </c>
      <c r="E389" s="6" t="s">
        <v>7</v>
      </c>
      <c r="F389" s="6" t="s">
        <v>8</v>
      </c>
      <c r="G389" s="6" t="s">
        <v>16</v>
      </c>
    </row>
    <row r="390" spans="1:7" x14ac:dyDescent="0.35">
      <c r="A390" s="6" t="s">
        <v>2228</v>
      </c>
      <c r="B390" s="7">
        <v>23534</v>
      </c>
      <c r="C390">
        <v>0</v>
      </c>
      <c r="D390">
        <v>38869.25</v>
      </c>
      <c r="E390" s="6" t="s">
        <v>7</v>
      </c>
      <c r="F390" s="6" t="s">
        <v>7</v>
      </c>
      <c r="G390" s="6" t="s">
        <v>32</v>
      </c>
    </row>
    <row r="391" spans="1:7" x14ac:dyDescent="0.35">
      <c r="A391" s="6" t="s">
        <v>1011</v>
      </c>
      <c r="B391" s="7">
        <v>31379</v>
      </c>
      <c r="C391">
        <v>3</v>
      </c>
      <c r="D391">
        <v>8059.06</v>
      </c>
      <c r="E391" s="6" t="s">
        <v>7</v>
      </c>
      <c r="F391" s="6" t="s">
        <v>8</v>
      </c>
      <c r="G391" s="6" t="s">
        <v>16</v>
      </c>
    </row>
    <row r="392" spans="1:7" x14ac:dyDescent="0.35">
      <c r="A392" s="6" t="s">
        <v>1010</v>
      </c>
      <c r="B392" s="7">
        <v>37967</v>
      </c>
      <c r="C392">
        <v>0</v>
      </c>
      <c r="D392">
        <v>8035.64</v>
      </c>
      <c r="E392" s="6" t="s">
        <v>7</v>
      </c>
      <c r="F392" s="6" t="s">
        <v>7</v>
      </c>
      <c r="G392" s="6" t="s">
        <v>16</v>
      </c>
    </row>
    <row r="393" spans="1:7" x14ac:dyDescent="0.35">
      <c r="A393" s="6" t="s">
        <v>1009</v>
      </c>
      <c r="B393" s="7">
        <v>28435</v>
      </c>
      <c r="C393">
        <v>2</v>
      </c>
      <c r="D393">
        <v>8027.97</v>
      </c>
      <c r="E393" s="6" t="s">
        <v>8</v>
      </c>
      <c r="F393" s="6" t="s">
        <v>7</v>
      </c>
      <c r="G393" s="6" t="s">
        <v>32</v>
      </c>
    </row>
    <row r="394" spans="1:7" x14ac:dyDescent="0.35">
      <c r="A394" s="6" t="s">
        <v>1008</v>
      </c>
      <c r="B394" s="7">
        <v>28114</v>
      </c>
      <c r="C394">
        <v>0</v>
      </c>
      <c r="D394">
        <v>8026.67</v>
      </c>
      <c r="E394" s="6" t="s">
        <v>7</v>
      </c>
      <c r="F394" s="6" t="s">
        <v>7</v>
      </c>
      <c r="G394" s="6" t="s">
        <v>16</v>
      </c>
    </row>
    <row r="395" spans="1:7" x14ac:dyDescent="0.35">
      <c r="A395" s="6" t="s">
        <v>1007</v>
      </c>
      <c r="B395" s="7">
        <v>28688</v>
      </c>
      <c r="C395">
        <v>1</v>
      </c>
      <c r="D395">
        <v>8023.14</v>
      </c>
      <c r="E395" s="6" t="s">
        <v>7</v>
      </c>
      <c r="F395" s="6" t="s">
        <v>8</v>
      </c>
      <c r="G395" s="6" t="s">
        <v>16</v>
      </c>
    </row>
    <row r="396" spans="1:7" x14ac:dyDescent="0.35">
      <c r="A396" s="6" t="s">
        <v>1006</v>
      </c>
      <c r="B396" s="7">
        <v>32815</v>
      </c>
      <c r="C396">
        <v>3</v>
      </c>
      <c r="D396">
        <v>8021.11</v>
      </c>
      <c r="E396" s="6" t="s">
        <v>7</v>
      </c>
      <c r="F396" s="6" t="s">
        <v>11</v>
      </c>
      <c r="G396" s="6" t="s">
        <v>16</v>
      </c>
    </row>
    <row r="397" spans="1:7" x14ac:dyDescent="0.35">
      <c r="A397" s="6" t="s">
        <v>1005</v>
      </c>
      <c r="B397" s="7">
        <v>29533</v>
      </c>
      <c r="C397">
        <v>2</v>
      </c>
      <c r="D397">
        <v>8017.06</v>
      </c>
      <c r="E397" s="6" t="s">
        <v>7</v>
      </c>
      <c r="F397" s="6" t="s">
        <v>7</v>
      </c>
      <c r="G397" s="6" t="s">
        <v>16</v>
      </c>
    </row>
    <row r="398" spans="1:7" x14ac:dyDescent="0.35">
      <c r="A398" s="6" t="s">
        <v>1004</v>
      </c>
      <c r="B398" s="7">
        <v>34960</v>
      </c>
      <c r="C398">
        <v>0</v>
      </c>
      <c r="D398">
        <v>8014.62</v>
      </c>
      <c r="E398" s="6" t="s">
        <v>7</v>
      </c>
      <c r="F398" s="6" t="s">
        <v>8</v>
      </c>
      <c r="G398" s="6" t="s">
        <v>16</v>
      </c>
    </row>
    <row r="399" spans="1:7" x14ac:dyDescent="0.35">
      <c r="A399" s="6" t="s">
        <v>1003</v>
      </c>
      <c r="B399" s="7">
        <v>22880</v>
      </c>
      <c r="C399">
        <v>0</v>
      </c>
      <c r="D399">
        <v>8004.96</v>
      </c>
      <c r="E399" s="6" t="s">
        <v>8</v>
      </c>
      <c r="F399" s="6" t="s">
        <v>11</v>
      </c>
      <c r="G399" s="6" t="s">
        <v>9</v>
      </c>
    </row>
    <row r="400" spans="1:7" x14ac:dyDescent="0.35">
      <c r="A400" s="6" t="s">
        <v>1002</v>
      </c>
      <c r="B400" s="7">
        <v>30548</v>
      </c>
      <c r="C400">
        <v>3</v>
      </c>
      <c r="D400">
        <v>7986.48</v>
      </c>
      <c r="E400" s="6" t="s">
        <v>7</v>
      </c>
      <c r="F400" s="6" t="s">
        <v>8</v>
      </c>
      <c r="G400" s="6" t="s">
        <v>237</v>
      </c>
    </row>
    <row r="401" spans="1:7" x14ac:dyDescent="0.35">
      <c r="A401" s="6" t="s">
        <v>2227</v>
      </c>
      <c r="B401" s="7">
        <v>29192</v>
      </c>
      <c r="C401">
        <v>2</v>
      </c>
      <c r="D401">
        <v>38836.980000000003</v>
      </c>
      <c r="E401" s="6" t="s">
        <v>7</v>
      </c>
      <c r="F401" s="6" t="s">
        <v>11</v>
      </c>
      <c r="G401" s="6" t="s">
        <v>32</v>
      </c>
    </row>
    <row r="402" spans="1:7" x14ac:dyDescent="0.35">
      <c r="A402" s="6" t="s">
        <v>1001</v>
      </c>
      <c r="B402" s="7">
        <v>30556</v>
      </c>
      <c r="C402">
        <v>3</v>
      </c>
      <c r="D402">
        <v>7985.82</v>
      </c>
      <c r="E402" s="6" t="s">
        <v>7</v>
      </c>
      <c r="F402" s="6" t="s">
        <v>11</v>
      </c>
      <c r="G402" s="6" t="s">
        <v>237</v>
      </c>
    </row>
    <row r="403" spans="1:7" x14ac:dyDescent="0.35">
      <c r="A403" s="6" t="s">
        <v>1000</v>
      </c>
      <c r="B403" s="7">
        <v>26626</v>
      </c>
      <c r="C403">
        <v>0</v>
      </c>
      <c r="D403">
        <v>7980.34</v>
      </c>
      <c r="E403" s="6" t="s">
        <v>7</v>
      </c>
      <c r="F403" s="6" t="s">
        <v>7</v>
      </c>
      <c r="G403" s="6" t="s">
        <v>9</v>
      </c>
    </row>
    <row r="404" spans="1:7" x14ac:dyDescent="0.35">
      <c r="A404" s="6" t="s">
        <v>999</v>
      </c>
      <c r="B404" s="7">
        <v>27616</v>
      </c>
      <c r="C404">
        <v>1</v>
      </c>
      <c r="D404">
        <v>7966.81</v>
      </c>
      <c r="E404" s="6" t="s">
        <v>7</v>
      </c>
      <c r="F404" s="6" t="s">
        <v>7</v>
      </c>
      <c r="G404" s="6" t="s">
        <v>9</v>
      </c>
    </row>
    <row r="405" spans="1:7" x14ac:dyDescent="0.35">
      <c r="A405" s="6" t="s">
        <v>998</v>
      </c>
      <c r="B405" s="7">
        <v>25738</v>
      </c>
      <c r="C405">
        <v>0</v>
      </c>
      <c r="D405">
        <v>7958.13</v>
      </c>
      <c r="E405" s="6" t="s">
        <v>7</v>
      </c>
      <c r="F405" s="6" t="s">
        <v>7</v>
      </c>
      <c r="G405" s="6" t="s">
        <v>9</v>
      </c>
    </row>
    <row r="406" spans="1:7" x14ac:dyDescent="0.35">
      <c r="A406" s="6" t="s">
        <v>997</v>
      </c>
      <c r="B406" s="7">
        <v>29948</v>
      </c>
      <c r="C406">
        <v>3</v>
      </c>
      <c r="D406">
        <v>7954.52</v>
      </c>
      <c r="E406" s="6" t="s">
        <v>7</v>
      </c>
      <c r="F406" s="6" t="s">
        <v>7</v>
      </c>
      <c r="G406" s="6" t="s">
        <v>32</v>
      </c>
    </row>
    <row r="407" spans="1:7" x14ac:dyDescent="0.35">
      <c r="A407" s="6" t="s">
        <v>996</v>
      </c>
      <c r="B407" s="7">
        <v>24297</v>
      </c>
      <c r="C407">
        <v>0</v>
      </c>
      <c r="D407">
        <v>7953.72</v>
      </c>
      <c r="E407" s="6" t="s">
        <v>8</v>
      </c>
      <c r="F407" s="6" t="s">
        <v>8</v>
      </c>
      <c r="G407" s="6" t="s">
        <v>16</v>
      </c>
    </row>
    <row r="408" spans="1:7" x14ac:dyDescent="0.35">
      <c r="A408" s="6" t="s">
        <v>995</v>
      </c>
      <c r="B408" s="7">
        <v>32079</v>
      </c>
      <c r="C408">
        <v>3</v>
      </c>
      <c r="D408">
        <v>7948.22</v>
      </c>
      <c r="E408" s="6" t="s">
        <v>7</v>
      </c>
      <c r="F408" s="6" t="s">
        <v>8</v>
      </c>
      <c r="G408" s="6" t="s">
        <v>190</v>
      </c>
    </row>
    <row r="409" spans="1:7" x14ac:dyDescent="0.35">
      <c r="A409" s="6" t="s">
        <v>994</v>
      </c>
      <c r="B409" s="7">
        <v>28326</v>
      </c>
      <c r="C409">
        <v>0</v>
      </c>
      <c r="D409">
        <v>7935.29</v>
      </c>
      <c r="E409" s="6" t="s">
        <v>7</v>
      </c>
      <c r="F409" s="6" t="s">
        <v>11</v>
      </c>
      <c r="G409" s="6" t="s">
        <v>237</v>
      </c>
    </row>
    <row r="410" spans="1:7" x14ac:dyDescent="0.35">
      <c r="A410" s="6" t="s">
        <v>993</v>
      </c>
      <c r="B410" s="7">
        <v>22929</v>
      </c>
      <c r="C410">
        <v>0</v>
      </c>
      <c r="D410">
        <v>7896.41</v>
      </c>
      <c r="E410" s="6" t="s">
        <v>8</v>
      </c>
      <c r="F410" s="6" t="s">
        <v>7</v>
      </c>
      <c r="G410" s="6" t="s">
        <v>9</v>
      </c>
    </row>
    <row r="411" spans="1:7" x14ac:dyDescent="0.35">
      <c r="A411" s="6" t="s">
        <v>992</v>
      </c>
      <c r="B411" s="7">
        <v>34655</v>
      </c>
      <c r="C411">
        <v>0</v>
      </c>
      <c r="D411">
        <v>7851.85</v>
      </c>
      <c r="E411" s="6" t="s">
        <v>7</v>
      </c>
      <c r="F411" s="6" t="s">
        <v>8</v>
      </c>
      <c r="G411" s="6" t="s">
        <v>16</v>
      </c>
    </row>
    <row r="412" spans="1:7" x14ac:dyDescent="0.35">
      <c r="A412" s="6" t="s">
        <v>2226</v>
      </c>
      <c r="B412" s="7">
        <v>38326</v>
      </c>
      <c r="C412">
        <v>0</v>
      </c>
      <c r="D412">
        <v>38792.69</v>
      </c>
      <c r="E412" s="6" t="s">
        <v>7</v>
      </c>
      <c r="F412" s="6" t="s">
        <v>7</v>
      </c>
      <c r="G412" s="6" t="s">
        <v>9</v>
      </c>
    </row>
    <row r="413" spans="1:7" x14ac:dyDescent="0.35">
      <c r="A413" s="6" t="s">
        <v>991</v>
      </c>
      <c r="B413" s="7">
        <v>37169</v>
      </c>
      <c r="C413">
        <v>0</v>
      </c>
      <c r="D413">
        <v>7844.8</v>
      </c>
      <c r="E413" s="6" t="s">
        <v>7</v>
      </c>
      <c r="F413" s="6" t="s">
        <v>7</v>
      </c>
      <c r="G413" s="6" t="s">
        <v>16</v>
      </c>
    </row>
    <row r="414" spans="1:7" x14ac:dyDescent="0.35">
      <c r="A414" s="6" t="s">
        <v>990</v>
      </c>
      <c r="B414" s="7">
        <v>32793</v>
      </c>
      <c r="C414">
        <v>3</v>
      </c>
      <c r="D414">
        <v>7824.37</v>
      </c>
      <c r="E414" s="6" t="s">
        <v>7</v>
      </c>
      <c r="F414" s="6" t="s">
        <v>7</v>
      </c>
      <c r="G414" s="6" t="s">
        <v>16</v>
      </c>
    </row>
    <row r="415" spans="1:7" x14ac:dyDescent="0.35">
      <c r="A415" s="6" t="s">
        <v>989</v>
      </c>
      <c r="B415" s="7">
        <v>33593</v>
      </c>
      <c r="C415">
        <v>3</v>
      </c>
      <c r="D415">
        <v>7812.67</v>
      </c>
      <c r="E415" s="6" t="s">
        <v>7</v>
      </c>
      <c r="F415" s="6" t="s">
        <v>11</v>
      </c>
      <c r="G415" s="6" t="s">
        <v>16</v>
      </c>
    </row>
    <row r="416" spans="1:7" x14ac:dyDescent="0.35">
      <c r="A416" s="6" t="s">
        <v>988</v>
      </c>
      <c r="B416" s="7">
        <v>27342</v>
      </c>
      <c r="C416">
        <v>0</v>
      </c>
      <c r="D416">
        <v>7804.16</v>
      </c>
      <c r="E416" s="6" t="s">
        <v>7</v>
      </c>
      <c r="F416" s="6" t="s">
        <v>8</v>
      </c>
      <c r="G416" s="6" t="s">
        <v>9</v>
      </c>
    </row>
    <row r="417" spans="1:7" x14ac:dyDescent="0.35">
      <c r="A417" s="6" t="s">
        <v>987</v>
      </c>
      <c r="B417" s="7">
        <v>35766</v>
      </c>
      <c r="C417">
        <v>0</v>
      </c>
      <c r="D417">
        <v>7803.77</v>
      </c>
      <c r="E417" s="6" t="s">
        <v>7</v>
      </c>
      <c r="F417" s="6" t="s">
        <v>8</v>
      </c>
      <c r="G417" s="6" t="s">
        <v>16</v>
      </c>
    </row>
    <row r="418" spans="1:7" x14ac:dyDescent="0.35">
      <c r="A418" s="6" t="s">
        <v>986</v>
      </c>
      <c r="B418" s="7">
        <v>36519</v>
      </c>
      <c r="C418">
        <v>0</v>
      </c>
      <c r="D418">
        <v>7794.68</v>
      </c>
      <c r="E418" s="6" t="s">
        <v>7</v>
      </c>
      <c r="F418" s="6" t="s">
        <v>7</v>
      </c>
      <c r="G418" s="6" t="s">
        <v>525</v>
      </c>
    </row>
    <row r="419" spans="1:7" x14ac:dyDescent="0.35">
      <c r="A419" s="6" t="s">
        <v>985</v>
      </c>
      <c r="B419" s="7">
        <v>27369</v>
      </c>
      <c r="C419">
        <v>0</v>
      </c>
      <c r="D419">
        <v>7789.64</v>
      </c>
      <c r="E419" s="6" t="s">
        <v>11</v>
      </c>
      <c r="F419" s="6" t="s">
        <v>8</v>
      </c>
      <c r="G419" s="6" t="s">
        <v>9</v>
      </c>
    </row>
    <row r="420" spans="1:7" x14ac:dyDescent="0.35">
      <c r="A420" s="6" t="s">
        <v>984</v>
      </c>
      <c r="B420" s="7">
        <v>35785</v>
      </c>
      <c r="C420">
        <v>0</v>
      </c>
      <c r="D420">
        <v>7763.06</v>
      </c>
      <c r="E420" s="6" t="s">
        <v>7</v>
      </c>
      <c r="F420" s="6" t="s">
        <v>11</v>
      </c>
      <c r="G420" s="6" t="s">
        <v>16</v>
      </c>
    </row>
    <row r="421" spans="1:7" x14ac:dyDescent="0.35">
      <c r="A421" s="6" t="s">
        <v>983</v>
      </c>
      <c r="B421" s="7">
        <v>29767</v>
      </c>
      <c r="C421">
        <v>2</v>
      </c>
      <c r="D421">
        <v>7749.16</v>
      </c>
      <c r="E421" s="6" t="s">
        <v>7</v>
      </c>
      <c r="F421" s="6" t="s">
        <v>11</v>
      </c>
      <c r="G421" s="6" t="s">
        <v>16</v>
      </c>
    </row>
    <row r="422" spans="1:7" x14ac:dyDescent="0.35">
      <c r="A422" s="6" t="s">
        <v>982</v>
      </c>
      <c r="B422" s="7">
        <v>28106</v>
      </c>
      <c r="C422">
        <v>1</v>
      </c>
      <c r="D422">
        <v>7742.11</v>
      </c>
      <c r="E422" s="6" t="s">
        <v>8</v>
      </c>
      <c r="F422" s="6" t="s">
        <v>7</v>
      </c>
      <c r="G422" s="6" t="s">
        <v>9</v>
      </c>
    </row>
    <row r="423" spans="1:7" x14ac:dyDescent="0.35">
      <c r="A423" s="6" t="s">
        <v>2225</v>
      </c>
      <c r="B423" s="7">
        <v>33550</v>
      </c>
      <c r="C423">
        <v>3</v>
      </c>
      <c r="D423">
        <v>38746.36</v>
      </c>
      <c r="E423" s="6" t="s">
        <v>11</v>
      </c>
      <c r="F423" s="6" t="s">
        <v>7</v>
      </c>
      <c r="G423" s="6" t="s">
        <v>16</v>
      </c>
    </row>
    <row r="424" spans="1:7" x14ac:dyDescent="0.35">
      <c r="A424" s="6" t="s">
        <v>981</v>
      </c>
      <c r="B424" s="7">
        <v>28737</v>
      </c>
      <c r="C424">
        <v>2</v>
      </c>
      <c r="D424">
        <v>7740.34</v>
      </c>
      <c r="E424" s="6" t="s">
        <v>11</v>
      </c>
      <c r="F424" s="6" t="s">
        <v>11</v>
      </c>
      <c r="G424" s="6" t="s">
        <v>32</v>
      </c>
    </row>
    <row r="425" spans="1:7" x14ac:dyDescent="0.35">
      <c r="A425" s="6" t="s">
        <v>980</v>
      </c>
      <c r="B425" s="7">
        <v>23941</v>
      </c>
      <c r="C425">
        <v>0</v>
      </c>
      <c r="D425">
        <v>7736.39</v>
      </c>
      <c r="E425" s="6" t="s">
        <v>8</v>
      </c>
      <c r="F425" s="6" t="s">
        <v>7</v>
      </c>
      <c r="G425" s="6" t="s">
        <v>9</v>
      </c>
    </row>
    <row r="426" spans="1:7" x14ac:dyDescent="0.35">
      <c r="A426" s="6" t="s">
        <v>979</v>
      </c>
      <c r="B426" s="7">
        <v>28366</v>
      </c>
      <c r="C426">
        <v>0</v>
      </c>
      <c r="D426">
        <v>7731.86</v>
      </c>
      <c r="E426" s="6" t="s">
        <v>7</v>
      </c>
      <c r="F426" s="6" t="s">
        <v>8</v>
      </c>
      <c r="G426" s="6" t="s">
        <v>16</v>
      </c>
    </row>
    <row r="427" spans="1:7" x14ac:dyDescent="0.35">
      <c r="A427" s="6" t="s">
        <v>978</v>
      </c>
      <c r="B427" s="7">
        <v>28828</v>
      </c>
      <c r="C427">
        <v>2</v>
      </c>
      <c r="D427">
        <v>7731.43</v>
      </c>
      <c r="E427" s="6" t="s">
        <v>8</v>
      </c>
      <c r="F427" s="6" t="s">
        <v>7</v>
      </c>
      <c r="G427" s="6" t="s">
        <v>9</v>
      </c>
    </row>
    <row r="428" spans="1:7" x14ac:dyDescent="0.35">
      <c r="A428" s="6" t="s">
        <v>977</v>
      </c>
      <c r="B428" s="7">
        <v>29474</v>
      </c>
      <c r="C428">
        <v>2</v>
      </c>
      <c r="D428">
        <v>7729.65</v>
      </c>
      <c r="E428" s="6" t="s">
        <v>8</v>
      </c>
      <c r="F428" s="6" t="s">
        <v>11</v>
      </c>
      <c r="G428" s="6" t="s">
        <v>158</v>
      </c>
    </row>
    <row r="429" spans="1:7" x14ac:dyDescent="0.35">
      <c r="A429" s="6" t="s">
        <v>976</v>
      </c>
      <c r="B429" s="7">
        <v>29008</v>
      </c>
      <c r="C429">
        <v>1</v>
      </c>
      <c r="D429">
        <v>7727.25</v>
      </c>
      <c r="E429" s="6" t="s">
        <v>7</v>
      </c>
      <c r="F429" s="6" t="s">
        <v>8</v>
      </c>
      <c r="G429" s="6" t="s">
        <v>16</v>
      </c>
    </row>
    <row r="430" spans="1:7" x14ac:dyDescent="0.35">
      <c r="A430" s="6" t="s">
        <v>975</v>
      </c>
      <c r="B430" s="7">
        <v>28853</v>
      </c>
      <c r="C430">
        <v>2</v>
      </c>
      <c r="D430">
        <v>7726.85</v>
      </c>
      <c r="E430" s="6" t="s">
        <v>11</v>
      </c>
      <c r="F430" s="6" t="s">
        <v>7</v>
      </c>
      <c r="G430" s="6" t="s">
        <v>32</v>
      </c>
    </row>
    <row r="431" spans="1:7" x14ac:dyDescent="0.35">
      <c r="A431" s="6" t="s">
        <v>974</v>
      </c>
      <c r="B431" s="7">
        <v>31970</v>
      </c>
      <c r="C431">
        <v>3</v>
      </c>
      <c r="D431">
        <v>7684.62</v>
      </c>
      <c r="E431" s="6" t="s">
        <v>7</v>
      </c>
      <c r="F431" s="6" t="s">
        <v>8</v>
      </c>
      <c r="G431" s="6" t="s">
        <v>290</v>
      </c>
    </row>
    <row r="432" spans="1:7" x14ac:dyDescent="0.35">
      <c r="A432" s="6" t="s">
        <v>973</v>
      </c>
      <c r="B432" s="7">
        <v>30303</v>
      </c>
      <c r="C432">
        <v>3</v>
      </c>
      <c r="D432">
        <v>7682.67</v>
      </c>
      <c r="E432" s="6" t="s">
        <v>7</v>
      </c>
      <c r="F432" s="6" t="s">
        <v>11</v>
      </c>
      <c r="G432" s="6" t="s">
        <v>9</v>
      </c>
    </row>
    <row r="433" spans="1:7" x14ac:dyDescent="0.35">
      <c r="A433" s="6" t="s">
        <v>972</v>
      </c>
      <c r="B433" s="7">
        <v>29939</v>
      </c>
      <c r="C433">
        <v>1</v>
      </c>
      <c r="D433">
        <v>7681.17</v>
      </c>
      <c r="E433" s="6" t="s">
        <v>7</v>
      </c>
      <c r="F433" s="6" t="s">
        <v>7</v>
      </c>
      <c r="G433" s="6" t="s">
        <v>506</v>
      </c>
    </row>
    <row r="434" spans="1:7" x14ac:dyDescent="0.35">
      <c r="A434" s="6" t="s">
        <v>2224</v>
      </c>
      <c r="B434" s="7">
        <v>27926</v>
      </c>
      <c r="C434">
        <v>2</v>
      </c>
      <c r="D434">
        <v>38740.120000000003</v>
      </c>
      <c r="E434" s="6" t="s">
        <v>7</v>
      </c>
      <c r="F434" s="6" t="s">
        <v>7</v>
      </c>
      <c r="G434" s="6" t="s">
        <v>16</v>
      </c>
    </row>
    <row r="435" spans="1:7" x14ac:dyDescent="0.35">
      <c r="A435" s="6" t="s">
        <v>971</v>
      </c>
      <c r="B435" s="7">
        <v>26217</v>
      </c>
      <c r="C435">
        <v>0</v>
      </c>
      <c r="D435">
        <v>7680.92</v>
      </c>
      <c r="E435" s="6" t="s">
        <v>7</v>
      </c>
      <c r="F435" s="6" t="s">
        <v>11</v>
      </c>
      <c r="G435" s="6" t="s">
        <v>9</v>
      </c>
    </row>
    <row r="436" spans="1:7" x14ac:dyDescent="0.35">
      <c r="A436" s="6" t="s">
        <v>970</v>
      </c>
      <c r="B436" s="7">
        <v>34955</v>
      </c>
      <c r="C436">
        <v>0</v>
      </c>
      <c r="D436">
        <v>7676.4</v>
      </c>
      <c r="E436" s="6" t="s">
        <v>7</v>
      </c>
      <c r="F436" s="6" t="s">
        <v>11</v>
      </c>
      <c r="G436" s="6" t="s">
        <v>16</v>
      </c>
    </row>
    <row r="437" spans="1:7" x14ac:dyDescent="0.35">
      <c r="A437" s="6" t="s">
        <v>969</v>
      </c>
      <c r="B437" s="7">
        <v>35393</v>
      </c>
      <c r="C437">
        <v>0</v>
      </c>
      <c r="D437">
        <v>7670.75</v>
      </c>
      <c r="E437" s="6" t="s">
        <v>7</v>
      </c>
      <c r="F437" s="6" t="s">
        <v>7</v>
      </c>
      <c r="G437" s="6" t="s">
        <v>622</v>
      </c>
    </row>
    <row r="438" spans="1:7" x14ac:dyDescent="0.35">
      <c r="A438" s="6" t="s">
        <v>968</v>
      </c>
      <c r="B438" s="7">
        <v>28042</v>
      </c>
      <c r="C438">
        <v>2</v>
      </c>
      <c r="D438">
        <v>7662.47</v>
      </c>
      <c r="E438" s="6" t="s">
        <v>7</v>
      </c>
      <c r="F438" s="6" t="s">
        <v>11</v>
      </c>
      <c r="G438" s="6" t="s">
        <v>32</v>
      </c>
    </row>
    <row r="439" spans="1:7" x14ac:dyDescent="0.35">
      <c r="A439" s="6" t="s">
        <v>967</v>
      </c>
      <c r="B439" s="7">
        <v>24103</v>
      </c>
      <c r="C439">
        <v>0</v>
      </c>
      <c r="D439">
        <v>7657.69</v>
      </c>
      <c r="E439" s="6" t="s">
        <v>8</v>
      </c>
      <c r="F439" s="6" t="s">
        <v>8</v>
      </c>
      <c r="G439" s="6" t="s">
        <v>16</v>
      </c>
    </row>
    <row r="440" spans="1:7" x14ac:dyDescent="0.35">
      <c r="A440" s="6" t="s">
        <v>966</v>
      </c>
      <c r="B440" s="7">
        <v>36068</v>
      </c>
      <c r="C440">
        <v>0</v>
      </c>
      <c r="D440">
        <v>7652.26</v>
      </c>
      <c r="E440" s="6" t="s">
        <v>7</v>
      </c>
      <c r="F440" s="6" t="s">
        <v>8</v>
      </c>
      <c r="G440" s="6" t="s">
        <v>239</v>
      </c>
    </row>
    <row r="441" spans="1:7" x14ac:dyDescent="0.35">
      <c r="A441" s="6" t="s">
        <v>965</v>
      </c>
      <c r="B441" s="7">
        <v>34191</v>
      </c>
      <c r="C441">
        <v>0</v>
      </c>
      <c r="D441">
        <v>7650.8</v>
      </c>
      <c r="E441" s="6" t="s">
        <v>7</v>
      </c>
      <c r="F441" s="6" t="s">
        <v>7</v>
      </c>
      <c r="G441" s="6" t="s">
        <v>16</v>
      </c>
    </row>
    <row r="442" spans="1:7" x14ac:dyDescent="0.35">
      <c r="A442" s="6" t="s">
        <v>964</v>
      </c>
      <c r="B442" s="7">
        <v>29510</v>
      </c>
      <c r="C442">
        <v>1</v>
      </c>
      <c r="D442">
        <v>7650.77</v>
      </c>
      <c r="E442" s="6" t="s">
        <v>7</v>
      </c>
      <c r="F442" s="6" t="s">
        <v>7</v>
      </c>
      <c r="G442" s="6" t="s">
        <v>237</v>
      </c>
    </row>
    <row r="443" spans="1:7" x14ac:dyDescent="0.35">
      <c r="A443" s="6" t="s">
        <v>963</v>
      </c>
      <c r="B443" s="7">
        <v>36326</v>
      </c>
      <c r="C443">
        <v>0</v>
      </c>
      <c r="D443">
        <v>7642.05</v>
      </c>
      <c r="E443" s="6" t="s">
        <v>7</v>
      </c>
      <c r="F443" s="6" t="s">
        <v>7</v>
      </c>
      <c r="G443" s="6" t="s">
        <v>525</v>
      </c>
    </row>
    <row r="444" spans="1:7" x14ac:dyDescent="0.35">
      <c r="A444" s="6" t="s">
        <v>962</v>
      </c>
      <c r="B444" s="7">
        <v>29426</v>
      </c>
      <c r="C444">
        <v>2</v>
      </c>
      <c r="D444">
        <v>7640.31</v>
      </c>
      <c r="E444" s="6" t="s">
        <v>7</v>
      </c>
      <c r="F444" s="6" t="s">
        <v>11</v>
      </c>
      <c r="G444" s="6" t="s">
        <v>9</v>
      </c>
    </row>
    <row r="445" spans="1:7" x14ac:dyDescent="0.35">
      <c r="A445" s="6" t="s">
        <v>2349</v>
      </c>
      <c r="B445" s="7">
        <v>25173</v>
      </c>
      <c r="C445">
        <v>3</v>
      </c>
      <c r="D445">
        <v>48549.18</v>
      </c>
      <c r="E445" s="6" t="s">
        <v>11</v>
      </c>
      <c r="F445" s="6" t="s">
        <v>8</v>
      </c>
      <c r="G445" s="6" t="s">
        <v>158</v>
      </c>
    </row>
    <row r="446" spans="1:7" x14ac:dyDescent="0.35">
      <c r="A446" s="6" t="s">
        <v>2223</v>
      </c>
      <c r="B446" s="7">
        <v>33544</v>
      </c>
      <c r="C446">
        <v>2</v>
      </c>
      <c r="D446">
        <v>38711</v>
      </c>
      <c r="E446" s="6" t="s">
        <v>7</v>
      </c>
      <c r="F446" s="6" t="s">
        <v>7</v>
      </c>
      <c r="G446" s="6" t="s">
        <v>32</v>
      </c>
    </row>
    <row r="447" spans="1:7" x14ac:dyDescent="0.35">
      <c r="A447" s="6" t="s">
        <v>961</v>
      </c>
      <c r="B447" s="7">
        <v>29392</v>
      </c>
      <c r="C447">
        <v>1</v>
      </c>
      <c r="D447">
        <v>7639.42</v>
      </c>
      <c r="E447" s="6" t="s">
        <v>7</v>
      </c>
      <c r="F447" s="6" t="s">
        <v>7</v>
      </c>
      <c r="G447" s="6" t="s">
        <v>237</v>
      </c>
    </row>
    <row r="448" spans="1:7" x14ac:dyDescent="0.35">
      <c r="A448" s="6" t="s">
        <v>960</v>
      </c>
      <c r="B448" s="7">
        <v>37238</v>
      </c>
      <c r="C448">
        <v>0</v>
      </c>
      <c r="D448">
        <v>7636.92</v>
      </c>
      <c r="E448" s="6" t="s">
        <v>7</v>
      </c>
      <c r="F448" s="6" t="s">
        <v>8</v>
      </c>
      <c r="G448" s="6" t="s">
        <v>16</v>
      </c>
    </row>
    <row r="449" spans="1:7" x14ac:dyDescent="0.35">
      <c r="A449" s="6" t="s">
        <v>959</v>
      </c>
      <c r="B449" s="7">
        <v>28726</v>
      </c>
      <c r="C449">
        <v>1</v>
      </c>
      <c r="D449">
        <v>7633.72</v>
      </c>
      <c r="E449" s="6" t="s">
        <v>7</v>
      </c>
      <c r="F449" s="6" t="s">
        <v>11</v>
      </c>
      <c r="G449" s="6" t="s">
        <v>9</v>
      </c>
    </row>
    <row r="450" spans="1:7" x14ac:dyDescent="0.35">
      <c r="A450" s="6" t="s">
        <v>958</v>
      </c>
      <c r="B450" s="7">
        <v>28823</v>
      </c>
      <c r="C450">
        <v>1</v>
      </c>
      <c r="D450">
        <v>7626.99</v>
      </c>
      <c r="E450" s="6" t="s">
        <v>7</v>
      </c>
      <c r="F450" s="6" t="s">
        <v>7</v>
      </c>
      <c r="G450" s="6" t="s">
        <v>32</v>
      </c>
    </row>
    <row r="451" spans="1:7" x14ac:dyDescent="0.35">
      <c r="A451" s="6" t="s">
        <v>957</v>
      </c>
      <c r="B451" s="7">
        <v>28800</v>
      </c>
      <c r="C451">
        <v>1</v>
      </c>
      <c r="D451">
        <v>7624.63</v>
      </c>
      <c r="E451" s="6" t="s">
        <v>7</v>
      </c>
      <c r="F451" s="6" t="s">
        <v>11</v>
      </c>
      <c r="G451" s="6" t="s">
        <v>32</v>
      </c>
    </row>
    <row r="452" spans="1:7" x14ac:dyDescent="0.35">
      <c r="A452" s="6" t="s">
        <v>956</v>
      </c>
      <c r="B452" s="7">
        <v>28822</v>
      </c>
      <c r="C452">
        <v>1</v>
      </c>
      <c r="D452">
        <v>7623.52</v>
      </c>
      <c r="E452" s="6" t="s">
        <v>7</v>
      </c>
      <c r="F452" s="6" t="s">
        <v>11</v>
      </c>
      <c r="G452" s="6" t="s">
        <v>32</v>
      </c>
    </row>
    <row r="453" spans="1:7" x14ac:dyDescent="0.35">
      <c r="A453" s="6" t="s">
        <v>955</v>
      </c>
      <c r="B453" s="7">
        <v>35325</v>
      </c>
      <c r="C453">
        <v>0</v>
      </c>
      <c r="D453">
        <v>7623.13</v>
      </c>
      <c r="E453" s="6" t="s">
        <v>7</v>
      </c>
      <c r="F453" s="6" t="s">
        <v>8</v>
      </c>
      <c r="G453" s="6" t="s">
        <v>32</v>
      </c>
    </row>
    <row r="454" spans="1:7" x14ac:dyDescent="0.35">
      <c r="A454" s="6" t="s">
        <v>954</v>
      </c>
      <c r="B454" s="7">
        <v>25022</v>
      </c>
      <c r="C454">
        <v>0</v>
      </c>
      <c r="D454">
        <v>7609.6</v>
      </c>
      <c r="E454" s="6" t="s">
        <v>8</v>
      </c>
      <c r="F454" s="6" t="s">
        <v>7</v>
      </c>
      <c r="G454" s="6" t="s">
        <v>16</v>
      </c>
    </row>
    <row r="455" spans="1:7" x14ac:dyDescent="0.35">
      <c r="A455" s="6" t="s">
        <v>953</v>
      </c>
      <c r="B455" s="7">
        <v>35703</v>
      </c>
      <c r="C455">
        <v>0</v>
      </c>
      <c r="D455">
        <v>7607.03</v>
      </c>
      <c r="E455" s="6" t="s">
        <v>7</v>
      </c>
      <c r="F455" s="6" t="s">
        <v>7</v>
      </c>
      <c r="G455" s="6" t="s">
        <v>16</v>
      </c>
    </row>
    <row r="456" spans="1:7" x14ac:dyDescent="0.35">
      <c r="A456" s="6" t="s">
        <v>952</v>
      </c>
      <c r="B456" s="7">
        <v>24670</v>
      </c>
      <c r="C456">
        <v>0</v>
      </c>
      <c r="D456">
        <v>7585.62</v>
      </c>
      <c r="E456" s="6" t="s">
        <v>8</v>
      </c>
      <c r="F456" s="6" t="s">
        <v>7</v>
      </c>
      <c r="G456" s="6" t="s">
        <v>9</v>
      </c>
    </row>
    <row r="457" spans="1:7" x14ac:dyDescent="0.35">
      <c r="A457" s="6" t="s">
        <v>2222</v>
      </c>
      <c r="B457" s="7">
        <v>31613</v>
      </c>
      <c r="C457">
        <v>1</v>
      </c>
      <c r="D457">
        <v>38709.18</v>
      </c>
      <c r="E457" s="6" t="s">
        <v>11</v>
      </c>
      <c r="F457" s="6" t="s">
        <v>8</v>
      </c>
      <c r="G457" s="6" t="s">
        <v>9</v>
      </c>
    </row>
    <row r="458" spans="1:7" x14ac:dyDescent="0.35">
      <c r="A458" s="6" t="s">
        <v>951</v>
      </c>
      <c r="B458" s="7">
        <v>34560</v>
      </c>
      <c r="C458">
        <v>0</v>
      </c>
      <c r="D458">
        <v>7567.13</v>
      </c>
      <c r="E458" s="6" t="s">
        <v>7</v>
      </c>
      <c r="F458" s="6" t="s">
        <v>7</v>
      </c>
      <c r="G458" s="6" t="s">
        <v>290</v>
      </c>
    </row>
    <row r="459" spans="1:7" x14ac:dyDescent="0.35">
      <c r="A459" s="6" t="s">
        <v>950</v>
      </c>
      <c r="B459" s="7">
        <v>32492</v>
      </c>
      <c r="C459">
        <v>3</v>
      </c>
      <c r="D459">
        <v>7538.52</v>
      </c>
      <c r="E459" s="6" t="s">
        <v>7</v>
      </c>
      <c r="F459" s="6" t="s">
        <v>7</v>
      </c>
      <c r="G459" s="6" t="s">
        <v>16</v>
      </c>
    </row>
    <row r="460" spans="1:7" x14ac:dyDescent="0.35">
      <c r="A460" s="6" t="s">
        <v>949</v>
      </c>
      <c r="B460" s="7">
        <v>30916</v>
      </c>
      <c r="C460">
        <v>3</v>
      </c>
      <c r="D460">
        <v>7537.16</v>
      </c>
      <c r="E460" s="6" t="s">
        <v>7</v>
      </c>
      <c r="F460" s="6" t="s">
        <v>7</v>
      </c>
      <c r="G460" s="6" t="s">
        <v>16</v>
      </c>
    </row>
    <row r="461" spans="1:7" x14ac:dyDescent="0.35">
      <c r="A461" s="6" t="s">
        <v>948</v>
      </c>
      <c r="B461" s="7">
        <v>28838</v>
      </c>
      <c r="C461">
        <v>2</v>
      </c>
      <c r="D461">
        <v>7531.7</v>
      </c>
      <c r="E461" s="6" t="s">
        <v>7</v>
      </c>
      <c r="F461" s="6" t="s">
        <v>11</v>
      </c>
      <c r="G461" s="6" t="s">
        <v>9</v>
      </c>
    </row>
    <row r="462" spans="1:7" x14ac:dyDescent="0.35">
      <c r="A462" s="6" t="s">
        <v>947</v>
      </c>
      <c r="B462" s="7">
        <v>28043</v>
      </c>
      <c r="C462">
        <v>0</v>
      </c>
      <c r="D462">
        <v>7526.71</v>
      </c>
      <c r="E462" s="6" t="s">
        <v>8</v>
      </c>
      <c r="F462" s="6" t="s">
        <v>11</v>
      </c>
      <c r="G462" s="6" t="s">
        <v>16</v>
      </c>
    </row>
    <row r="463" spans="1:7" x14ac:dyDescent="0.35">
      <c r="A463" s="6" t="s">
        <v>946</v>
      </c>
      <c r="B463" s="7">
        <v>28781</v>
      </c>
      <c r="C463">
        <v>1</v>
      </c>
      <c r="D463">
        <v>7518.03</v>
      </c>
      <c r="E463" s="6" t="s">
        <v>7</v>
      </c>
      <c r="F463" s="6" t="s">
        <v>8</v>
      </c>
      <c r="G463" s="6" t="s">
        <v>16</v>
      </c>
    </row>
    <row r="464" spans="1:7" x14ac:dyDescent="0.35">
      <c r="A464" s="6" t="s">
        <v>945</v>
      </c>
      <c r="B464" s="7">
        <v>30507</v>
      </c>
      <c r="C464">
        <v>4</v>
      </c>
      <c r="D464">
        <v>7512.27</v>
      </c>
      <c r="E464" s="6" t="s">
        <v>8</v>
      </c>
      <c r="F464" s="6" t="s">
        <v>7</v>
      </c>
      <c r="G464" s="6" t="s">
        <v>32</v>
      </c>
    </row>
    <row r="465" spans="1:7" x14ac:dyDescent="0.35">
      <c r="A465" s="6" t="s">
        <v>944</v>
      </c>
      <c r="B465" s="7">
        <v>35731</v>
      </c>
      <c r="C465">
        <v>0</v>
      </c>
      <c r="D465">
        <v>7504.3</v>
      </c>
      <c r="E465" s="6" t="s">
        <v>7</v>
      </c>
      <c r="F465" s="6" t="s">
        <v>11</v>
      </c>
      <c r="G465" s="6" t="s">
        <v>16</v>
      </c>
    </row>
    <row r="466" spans="1:7" x14ac:dyDescent="0.35">
      <c r="A466" s="6" t="s">
        <v>943</v>
      </c>
      <c r="B466" s="7">
        <v>32492</v>
      </c>
      <c r="C466">
        <v>3</v>
      </c>
      <c r="D466">
        <v>7494.63</v>
      </c>
      <c r="E466" s="6" t="s">
        <v>7</v>
      </c>
      <c r="F466" s="6" t="s">
        <v>8</v>
      </c>
      <c r="G466" s="6" t="s">
        <v>190</v>
      </c>
    </row>
    <row r="467" spans="1:7" x14ac:dyDescent="0.35">
      <c r="A467" s="6" t="s">
        <v>942</v>
      </c>
      <c r="B467" s="7">
        <v>35230</v>
      </c>
      <c r="C467">
        <v>0</v>
      </c>
      <c r="D467">
        <v>7487.38</v>
      </c>
      <c r="E467" s="6" t="s">
        <v>7</v>
      </c>
      <c r="F467" s="6" t="s">
        <v>8</v>
      </c>
      <c r="G467" s="6" t="s">
        <v>16</v>
      </c>
    </row>
    <row r="468" spans="1:7" x14ac:dyDescent="0.35">
      <c r="A468" s="6" t="s">
        <v>2221</v>
      </c>
      <c r="B468" s="7">
        <v>33067</v>
      </c>
      <c r="C468">
        <v>3</v>
      </c>
      <c r="D468">
        <v>38652.089999999997</v>
      </c>
      <c r="E468" s="6" t="s">
        <v>7</v>
      </c>
      <c r="F468" s="6" t="s">
        <v>7</v>
      </c>
      <c r="G468" s="6" t="s">
        <v>32</v>
      </c>
    </row>
    <row r="469" spans="1:7" x14ac:dyDescent="0.35">
      <c r="A469" s="6" t="s">
        <v>941</v>
      </c>
      <c r="B469" s="7">
        <v>24688</v>
      </c>
      <c r="C469">
        <v>0</v>
      </c>
      <c r="D469">
        <v>7463.51</v>
      </c>
      <c r="E469" s="6" t="s">
        <v>8</v>
      </c>
      <c r="F469" s="6" t="s">
        <v>8</v>
      </c>
      <c r="G469" s="6" t="s">
        <v>9</v>
      </c>
    </row>
    <row r="470" spans="1:7" x14ac:dyDescent="0.35">
      <c r="A470" s="6" t="s">
        <v>940</v>
      </c>
      <c r="B470" s="7">
        <v>37043</v>
      </c>
      <c r="C470">
        <v>0</v>
      </c>
      <c r="D470">
        <v>7450.36</v>
      </c>
      <c r="E470" s="6" t="s">
        <v>7</v>
      </c>
      <c r="F470" s="6" t="s">
        <v>7</v>
      </c>
      <c r="G470" s="6" t="s">
        <v>16</v>
      </c>
    </row>
    <row r="471" spans="1:7" x14ac:dyDescent="0.35">
      <c r="A471" s="6" t="s">
        <v>939</v>
      </c>
      <c r="B471" s="7">
        <v>28398</v>
      </c>
      <c r="C471">
        <v>0</v>
      </c>
      <c r="D471">
        <v>7448.4</v>
      </c>
      <c r="E471" s="6" t="s">
        <v>8</v>
      </c>
      <c r="F471" s="6" t="s">
        <v>8</v>
      </c>
      <c r="G471" s="6" t="s">
        <v>346</v>
      </c>
    </row>
    <row r="472" spans="1:7" x14ac:dyDescent="0.35">
      <c r="A472" s="6" t="s">
        <v>938</v>
      </c>
      <c r="B472" s="7">
        <v>28393</v>
      </c>
      <c r="C472">
        <v>1</v>
      </c>
      <c r="D472">
        <v>7445.92</v>
      </c>
      <c r="E472" s="6" t="s">
        <v>8</v>
      </c>
      <c r="F472" s="6" t="s">
        <v>11</v>
      </c>
      <c r="G472" s="6" t="s">
        <v>32</v>
      </c>
    </row>
    <row r="473" spans="1:7" x14ac:dyDescent="0.35">
      <c r="A473" s="6" t="s">
        <v>937</v>
      </c>
      <c r="B473" s="7">
        <v>29409</v>
      </c>
      <c r="C473">
        <v>1</v>
      </c>
      <c r="D473">
        <v>7443.64</v>
      </c>
      <c r="E473" s="6" t="s">
        <v>7</v>
      </c>
      <c r="F473" s="6" t="s">
        <v>8</v>
      </c>
      <c r="G473" s="6" t="s">
        <v>16</v>
      </c>
    </row>
    <row r="474" spans="1:7" x14ac:dyDescent="0.35">
      <c r="A474" s="6" t="s">
        <v>936</v>
      </c>
      <c r="B474" s="7">
        <v>29099</v>
      </c>
      <c r="C474">
        <v>2</v>
      </c>
      <c r="D474">
        <v>7441.5</v>
      </c>
      <c r="E474" s="6" t="s">
        <v>8</v>
      </c>
      <c r="F474" s="6" t="s">
        <v>7</v>
      </c>
      <c r="G474" s="6" t="s">
        <v>32</v>
      </c>
    </row>
    <row r="475" spans="1:7" x14ac:dyDescent="0.35">
      <c r="A475" s="6" t="s">
        <v>935</v>
      </c>
      <c r="B475" s="7">
        <v>28362</v>
      </c>
      <c r="C475">
        <v>1</v>
      </c>
      <c r="D475">
        <v>7441.05</v>
      </c>
      <c r="E475" s="6" t="s">
        <v>8</v>
      </c>
      <c r="F475" s="6" t="s">
        <v>7</v>
      </c>
      <c r="G475" s="6" t="s">
        <v>32</v>
      </c>
    </row>
    <row r="476" spans="1:7" x14ac:dyDescent="0.35">
      <c r="A476" s="6" t="s">
        <v>934</v>
      </c>
      <c r="B476" s="7">
        <v>28826</v>
      </c>
      <c r="C476">
        <v>0</v>
      </c>
      <c r="D476">
        <v>7421.19</v>
      </c>
      <c r="E476" s="6" t="s">
        <v>7</v>
      </c>
      <c r="F476" s="6" t="s">
        <v>8</v>
      </c>
      <c r="G476" s="6" t="s">
        <v>16</v>
      </c>
    </row>
    <row r="477" spans="1:7" x14ac:dyDescent="0.35">
      <c r="A477" s="6" t="s">
        <v>933</v>
      </c>
      <c r="B477" s="7">
        <v>28806</v>
      </c>
      <c r="C477">
        <v>0</v>
      </c>
      <c r="D477">
        <v>7419.48</v>
      </c>
      <c r="E477" s="6" t="s">
        <v>7</v>
      </c>
      <c r="F477" s="6" t="s">
        <v>7</v>
      </c>
      <c r="G477" s="6" t="s">
        <v>16</v>
      </c>
    </row>
    <row r="478" spans="1:7" x14ac:dyDescent="0.35">
      <c r="A478" s="6" t="s">
        <v>932</v>
      </c>
      <c r="B478" s="7">
        <v>30578</v>
      </c>
      <c r="C478">
        <v>3</v>
      </c>
      <c r="D478">
        <v>7418.52</v>
      </c>
      <c r="E478" s="6" t="s">
        <v>7</v>
      </c>
      <c r="F478" s="6" t="s">
        <v>7</v>
      </c>
      <c r="G478" s="6" t="s">
        <v>32</v>
      </c>
    </row>
    <row r="479" spans="1:7" x14ac:dyDescent="0.35">
      <c r="A479" s="6" t="s">
        <v>2220</v>
      </c>
      <c r="B479" s="7">
        <v>36476</v>
      </c>
      <c r="C479">
        <v>2</v>
      </c>
      <c r="D479">
        <v>38511.629999999997</v>
      </c>
      <c r="E479" s="6" t="s">
        <v>7</v>
      </c>
      <c r="F479" s="6" t="s">
        <v>7</v>
      </c>
      <c r="G479" s="6" t="s">
        <v>237</v>
      </c>
    </row>
    <row r="480" spans="1:7" x14ac:dyDescent="0.35">
      <c r="A480" s="6" t="s">
        <v>931</v>
      </c>
      <c r="B480" s="7">
        <v>24081</v>
      </c>
      <c r="C480">
        <v>0</v>
      </c>
      <c r="D480">
        <v>7403.98</v>
      </c>
      <c r="E480" s="6" t="s">
        <v>8</v>
      </c>
      <c r="F480" s="6" t="s">
        <v>7</v>
      </c>
      <c r="G480" s="6" t="s">
        <v>9</v>
      </c>
    </row>
    <row r="481" spans="1:7" x14ac:dyDescent="0.35">
      <c r="A481" s="6" t="s">
        <v>930</v>
      </c>
      <c r="B481" s="7">
        <v>34172</v>
      </c>
      <c r="C481">
        <v>0</v>
      </c>
      <c r="D481">
        <v>7388.85</v>
      </c>
      <c r="E481" s="6" t="s">
        <v>7</v>
      </c>
      <c r="F481" s="6" t="s">
        <v>7</v>
      </c>
      <c r="G481" s="6" t="s">
        <v>525</v>
      </c>
    </row>
    <row r="482" spans="1:7" x14ac:dyDescent="0.35">
      <c r="A482" s="6" t="s">
        <v>929</v>
      </c>
      <c r="B482" s="7">
        <v>29914</v>
      </c>
      <c r="C482">
        <v>2</v>
      </c>
      <c r="D482">
        <v>7371.77</v>
      </c>
      <c r="E482" s="6" t="s">
        <v>7</v>
      </c>
      <c r="F482" s="6" t="s">
        <v>11</v>
      </c>
      <c r="G482" s="6" t="s">
        <v>32</v>
      </c>
    </row>
    <row r="483" spans="1:7" x14ac:dyDescent="0.35">
      <c r="A483" s="6" t="s">
        <v>928</v>
      </c>
      <c r="B483" s="7">
        <v>24085</v>
      </c>
      <c r="C483">
        <v>0</v>
      </c>
      <c r="D483">
        <v>7362.31</v>
      </c>
      <c r="E483" s="6" t="s">
        <v>8</v>
      </c>
      <c r="F483" s="6" t="s">
        <v>8</v>
      </c>
      <c r="G483" s="6" t="s">
        <v>9</v>
      </c>
    </row>
    <row r="484" spans="1:7" x14ac:dyDescent="0.35">
      <c r="A484" s="6" t="s">
        <v>927</v>
      </c>
      <c r="B484" s="7">
        <v>29783</v>
      </c>
      <c r="C484">
        <v>1</v>
      </c>
      <c r="D484">
        <v>7358.18</v>
      </c>
      <c r="E484" s="6" t="s">
        <v>7</v>
      </c>
      <c r="F484" s="6" t="s">
        <v>8</v>
      </c>
      <c r="G484" s="6" t="s">
        <v>237</v>
      </c>
    </row>
    <row r="485" spans="1:7" x14ac:dyDescent="0.35">
      <c r="A485" s="6" t="s">
        <v>926</v>
      </c>
      <c r="B485" s="7">
        <v>30488</v>
      </c>
      <c r="C485">
        <v>3</v>
      </c>
      <c r="D485">
        <v>7357.49</v>
      </c>
      <c r="E485" s="6" t="s">
        <v>7</v>
      </c>
      <c r="F485" s="6" t="s">
        <v>7</v>
      </c>
      <c r="G485" s="6" t="s">
        <v>16</v>
      </c>
    </row>
    <row r="486" spans="1:7" x14ac:dyDescent="0.35">
      <c r="A486" s="6" t="s">
        <v>925</v>
      </c>
      <c r="B486" s="7">
        <v>34247</v>
      </c>
      <c r="C486">
        <v>0</v>
      </c>
      <c r="D486">
        <v>7349.12</v>
      </c>
      <c r="E486" s="6" t="s">
        <v>7</v>
      </c>
      <c r="F486" s="6" t="s">
        <v>7</v>
      </c>
      <c r="G486" s="6" t="s">
        <v>290</v>
      </c>
    </row>
    <row r="487" spans="1:7" x14ac:dyDescent="0.35">
      <c r="A487" s="6" t="s">
        <v>924</v>
      </c>
      <c r="B487" s="7">
        <v>28460</v>
      </c>
      <c r="C487">
        <v>0</v>
      </c>
      <c r="D487">
        <v>7348.14</v>
      </c>
      <c r="E487" s="6" t="s">
        <v>7</v>
      </c>
      <c r="F487" s="6" t="s">
        <v>11</v>
      </c>
      <c r="G487" s="6" t="s">
        <v>32</v>
      </c>
    </row>
    <row r="488" spans="1:7" x14ac:dyDescent="0.35">
      <c r="A488" s="6" t="s">
        <v>923</v>
      </c>
      <c r="B488" s="7">
        <v>29032</v>
      </c>
      <c r="C488">
        <v>1</v>
      </c>
      <c r="D488">
        <v>7345.73</v>
      </c>
      <c r="E488" s="6" t="s">
        <v>7</v>
      </c>
      <c r="F488" s="6" t="s">
        <v>11</v>
      </c>
      <c r="G488" s="6" t="s">
        <v>9</v>
      </c>
    </row>
    <row r="489" spans="1:7" x14ac:dyDescent="0.35">
      <c r="A489" s="6" t="s">
        <v>922</v>
      </c>
      <c r="B489" s="7">
        <v>28477</v>
      </c>
      <c r="C489">
        <v>0</v>
      </c>
      <c r="D489">
        <v>7345.08</v>
      </c>
      <c r="E489" s="6" t="s">
        <v>7</v>
      </c>
      <c r="F489" s="6" t="s">
        <v>11</v>
      </c>
      <c r="G489" s="6" t="s">
        <v>32</v>
      </c>
    </row>
    <row r="490" spans="1:7" x14ac:dyDescent="0.35">
      <c r="A490" s="6" t="s">
        <v>2219</v>
      </c>
      <c r="B490" s="7">
        <v>31584</v>
      </c>
      <c r="C490">
        <v>2</v>
      </c>
      <c r="D490">
        <v>38415.47</v>
      </c>
      <c r="E490" s="6" t="s">
        <v>11</v>
      </c>
      <c r="F490" s="6" t="s">
        <v>7</v>
      </c>
      <c r="G490" s="6" t="s">
        <v>32</v>
      </c>
    </row>
    <row r="491" spans="1:7" x14ac:dyDescent="0.35">
      <c r="A491" s="6" t="s">
        <v>921</v>
      </c>
      <c r="B491" s="7">
        <v>31578</v>
      </c>
      <c r="C491">
        <v>3</v>
      </c>
      <c r="D491">
        <v>7339.93</v>
      </c>
      <c r="E491" s="6" t="s">
        <v>7</v>
      </c>
      <c r="F491" s="6" t="s">
        <v>7</v>
      </c>
      <c r="G491" s="6" t="s">
        <v>16</v>
      </c>
    </row>
    <row r="492" spans="1:7" x14ac:dyDescent="0.35">
      <c r="A492" s="6" t="s">
        <v>920</v>
      </c>
      <c r="B492" s="7">
        <v>29117</v>
      </c>
      <c r="C492">
        <v>1</v>
      </c>
      <c r="D492">
        <v>7337.75</v>
      </c>
      <c r="E492" s="6" t="s">
        <v>7</v>
      </c>
      <c r="F492" s="6" t="s">
        <v>8</v>
      </c>
      <c r="G492" s="6" t="s">
        <v>32</v>
      </c>
    </row>
    <row r="493" spans="1:7" x14ac:dyDescent="0.35">
      <c r="A493" s="6" t="s">
        <v>919</v>
      </c>
      <c r="B493" s="7">
        <v>30888</v>
      </c>
      <c r="C493">
        <v>3</v>
      </c>
      <c r="D493">
        <v>7325.47</v>
      </c>
      <c r="E493" s="6" t="s">
        <v>7</v>
      </c>
      <c r="F493" s="6" t="s">
        <v>11</v>
      </c>
      <c r="G493" s="6" t="s">
        <v>16</v>
      </c>
    </row>
    <row r="494" spans="1:7" x14ac:dyDescent="0.35">
      <c r="A494" s="6" t="s">
        <v>918</v>
      </c>
      <c r="B494" s="7">
        <v>29025</v>
      </c>
      <c r="C494">
        <v>0</v>
      </c>
      <c r="D494">
        <v>7325.05</v>
      </c>
      <c r="E494" s="6" t="s">
        <v>7</v>
      </c>
      <c r="F494" s="6" t="s">
        <v>8</v>
      </c>
      <c r="G494" s="6" t="s">
        <v>237</v>
      </c>
    </row>
    <row r="495" spans="1:7" x14ac:dyDescent="0.35">
      <c r="A495" s="6" t="s">
        <v>917</v>
      </c>
      <c r="B495" s="7">
        <v>38306</v>
      </c>
      <c r="C495">
        <v>0</v>
      </c>
      <c r="D495">
        <v>7323.73</v>
      </c>
      <c r="E495" s="6" t="s">
        <v>7</v>
      </c>
      <c r="F495" s="6" t="s">
        <v>7</v>
      </c>
      <c r="G495" s="6" t="s">
        <v>237</v>
      </c>
    </row>
    <row r="496" spans="1:7" x14ac:dyDescent="0.35">
      <c r="A496" s="6" t="s">
        <v>916</v>
      </c>
      <c r="B496" s="7">
        <v>23934</v>
      </c>
      <c r="C496">
        <v>0</v>
      </c>
      <c r="D496">
        <v>7322.86</v>
      </c>
      <c r="E496" s="6" t="s">
        <v>8</v>
      </c>
      <c r="F496" s="6" t="s">
        <v>8</v>
      </c>
      <c r="G496" s="6" t="s">
        <v>16</v>
      </c>
    </row>
    <row r="497" spans="1:7" x14ac:dyDescent="0.35">
      <c r="A497" s="6" t="s">
        <v>915</v>
      </c>
      <c r="B497" s="7">
        <v>26522</v>
      </c>
      <c r="C497">
        <v>0</v>
      </c>
      <c r="D497">
        <v>7318.22</v>
      </c>
      <c r="E497" s="6" t="s">
        <v>7</v>
      </c>
      <c r="F497" s="6" t="s">
        <v>8</v>
      </c>
      <c r="G497" s="6" t="s">
        <v>16</v>
      </c>
    </row>
    <row r="498" spans="1:7" x14ac:dyDescent="0.35">
      <c r="A498" s="6" t="s">
        <v>914</v>
      </c>
      <c r="B498" s="7">
        <v>23918</v>
      </c>
      <c r="C498">
        <v>0</v>
      </c>
      <c r="D498">
        <v>7318.21</v>
      </c>
      <c r="E498" s="6" t="s">
        <v>8</v>
      </c>
      <c r="F498" s="6" t="s">
        <v>11</v>
      </c>
      <c r="G498" s="6" t="s">
        <v>9</v>
      </c>
    </row>
    <row r="499" spans="1:7" x14ac:dyDescent="0.35">
      <c r="A499" s="6" t="s">
        <v>913</v>
      </c>
      <c r="B499" s="7">
        <v>23899</v>
      </c>
      <c r="C499">
        <v>0</v>
      </c>
      <c r="D499">
        <v>7304.65</v>
      </c>
      <c r="E499" s="6" t="s">
        <v>8</v>
      </c>
      <c r="F499" s="6" t="s">
        <v>8</v>
      </c>
      <c r="G499" s="6" t="s">
        <v>9</v>
      </c>
    </row>
    <row r="500" spans="1:7" x14ac:dyDescent="0.35">
      <c r="A500" s="6" t="s">
        <v>912</v>
      </c>
      <c r="B500" s="7">
        <v>24467</v>
      </c>
      <c r="C500">
        <v>0</v>
      </c>
      <c r="D500">
        <v>7302.46</v>
      </c>
      <c r="E500" s="6" t="s">
        <v>8</v>
      </c>
      <c r="F500" s="6" t="s">
        <v>11</v>
      </c>
      <c r="G500" s="6" t="s">
        <v>16</v>
      </c>
    </row>
    <row r="501" spans="1:7" x14ac:dyDescent="0.35">
      <c r="A501" s="6" t="s">
        <v>2218</v>
      </c>
      <c r="B501" s="7">
        <v>26290</v>
      </c>
      <c r="C501">
        <v>0</v>
      </c>
      <c r="D501">
        <v>38405.26</v>
      </c>
      <c r="E501" s="6" t="s">
        <v>7</v>
      </c>
      <c r="F501" s="6" t="s">
        <v>11</v>
      </c>
      <c r="G501" s="6" t="s">
        <v>32</v>
      </c>
    </row>
    <row r="502" spans="1:7" x14ac:dyDescent="0.35">
      <c r="A502" s="6" t="s">
        <v>911</v>
      </c>
      <c r="B502" s="7">
        <v>31353</v>
      </c>
      <c r="C502">
        <v>3</v>
      </c>
      <c r="D502">
        <v>7281.51</v>
      </c>
      <c r="E502" s="6" t="s">
        <v>7</v>
      </c>
      <c r="F502" s="6" t="s">
        <v>11</v>
      </c>
      <c r="G502" s="6" t="s">
        <v>16</v>
      </c>
    </row>
    <row r="503" spans="1:7" x14ac:dyDescent="0.35">
      <c r="A503" s="6" t="s">
        <v>910</v>
      </c>
      <c r="B503" s="7">
        <v>28112</v>
      </c>
      <c r="C503">
        <v>2</v>
      </c>
      <c r="D503">
        <v>7273.02</v>
      </c>
      <c r="E503" s="6" t="s">
        <v>7</v>
      </c>
      <c r="F503" s="6" t="s">
        <v>11</v>
      </c>
      <c r="G503" s="6" t="s">
        <v>9</v>
      </c>
    </row>
    <row r="504" spans="1:7" x14ac:dyDescent="0.35">
      <c r="A504" s="6" t="s">
        <v>909</v>
      </c>
      <c r="B504" s="7">
        <v>29802</v>
      </c>
      <c r="C504">
        <v>2</v>
      </c>
      <c r="D504">
        <v>7265.7</v>
      </c>
      <c r="E504" s="6" t="s">
        <v>8</v>
      </c>
      <c r="F504" s="6" t="s">
        <v>8</v>
      </c>
      <c r="G504" s="6" t="s">
        <v>16</v>
      </c>
    </row>
    <row r="505" spans="1:7" x14ac:dyDescent="0.35">
      <c r="A505" s="6" t="s">
        <v>908</v>
      </c>
      <c r="B505" s="7">
        <v>26962</v>
      </c>
      <c r="C505">
        <v>0</v>
      </c>
      <c r="D505">
        <v>7265.58</v>
      </c>
      <c r="E505" s="6" t="s">
        <v>7</v>
      </c>
      <c r="F505" s="6" t="s">
        <v>7</v>
      </c>
      <c r="G505" s="6" t="s">
        <v>9</v>
      </c>
    </row>
    <row r="506" spans="1:7" x14ac:dyDescent="0.35">
      <c r="A506" s="6" t="s">
        <v>907</v>
      </c>
      <c r="B506" s="7">
        <v>29750</v>
      </c>
      <c r="C506">
        <v>2</v>
      </c>
      <c r="D506">
        <v>7261.74</v>
      </c>
      <c r="E506" s="6" t="s">
        <v>8</v>
      </c>
      <c r="F506" s="6" t="s">
        <v>8</v>
      </c>
      <c r="G506" s="6" t="s">
        <v>16</v>
      </c>
    </row>
    <row r="507" spans="1:7" x14ac:dyDescent="0.35">
      <c r="A507" s="6" t="s">
        <v>906</v>
      </c>
      <c r="B507" s="7">
        <v>29812</v>
      </c>
      <c r="C507">
        <v>2</v>
      </c>
      <c r="D507">
        <v>7256.72</v>
      </c>
      <c r="E507" s="6" t="s">
        <v>8</v>
      </c>
      <c r="F507" s="6" t="s">
        <v>7</v>
      </c>
      <c r="G507" s="6" t="s">
        <v>16</v>
      </c>
    </row>
    <row r="508" spans="1:7" x14ac:dyDescent="0.35">
      <c r="A508" s="6" t="s">
        <v>905</v>
      </c>
      <c r="B508" s="7">
        <v>30156</v>
      </c>
      <c r="C508">
        <v>3</v>
      </c>
      <c r="D508">
        <v>7248.71</v>
      </c>
      <c r="E508" s="6" t="s">
        <v>7</v>
      </c>
      <c r="F508" s="6" t="s">
        <v>11</v>
      </c>
      <c r="G508" s="6" t="s">
        <v>9</v>
      </c>
    </row>
    <row r="509" spans="1:7" x14ac:dyDescent="0.35">
      <c r="A509" s="6" t="s">
        <v>904</v>
      </c>
      <c r="B509" s="7">
        <v>31657</v>
      </c>
      <c r="C509">
        <v>4</v>
      </c>
      <c r="D509">
        <v>7243.81</v>
      </c>
      <c r="E509" s="6" t="s">
        <v>7</v>
      </c>
      <c r="F509" s="6" t="s">
        <v>8</v>
      </c>
      <c r="G509" s="6" t="s">
        <v>9</v>
      </c>
    </row>
    <row r="510" spans="1:7" x14ac:dyDescent="0.35">
      <c r="A510" s="6" t="s">
        <v>903</v>
      </c>
      <c r="B510" s="7">
        <v>31606</v>
      </c>
      <c r="C510">
        <v>3</v>
      </c>
      <c r="D510">
        <v>7228.22</v>
      </c>
      <c r="E510" s="6" t="s">
        <v>7</v>
      </c>
      <c r="F510" s="6" t="s">
        <v>11</v>
      </c>
      <c r="G510" s="6" t="s">
        <v>237</v>
      </c>
    </row>
    <row r="511" spans="1:7" x14ac:dyDescent="0.35">
      <c r="A511" s="6" t="s">
        <v>902</v>
      </c>
      <c r="B511" s="7">
        <v>28383</v>
      </c>
      <c r="C511">
        <v>0</v>
      </c>
      <c r="D511">
        <v>7222.79</v>
      </c>
      <c r="E511" s="6" t="s">
        <v>8</v>
      </c>
      <c r="F511" s="6" t="s">
        <v>8</v>
      </c>
      <c r="G511" s="6" t="s">
        <v>16</v>
      </c>
    </row>
    <row r="512" spans="1:7" x14ac:dyDescent="0.35">
      <c r="A512" s="6" t="s">
        <v>2217</v>
      </c>
      <c r="B512" s="7">
        <v>25802</v>
      </c>
      <c r="C512">
        <v>0</v>
      </c>
      <c r="D512">
        <v>38389.79</v>
      </c>
      <c r="E512" s="6" t="s">
        <v>7</v>
      </c>
      <c r="F512" s="6" t="s">
        <v>8</v>
      </c>
      <c r="G512" s="6" t="s">
        <v>32</v>
      </c>
    </row>
    <row r="513" spans="1:7" x14ac:dyDescent="0.35">
      <c r="A513" s="6" t="s">
        <v>901</v>
      </c>
      <c r="B513" s="7">
        <v>33417</v>
      </c>
      <c r="C513">
        <v>3</v>
      </c>
      <c r="D513">
        <v>7220.25</v>
      </c>
      <c r="E513" s="6" t="s">
        <v>7</v>
      </c>
      <c r="F513" s="6" t="s">
        <v>7</v>
      </c>
      <c r="G513" s="6" t="s">
        <v>290</v>
      </c>
    </row>
    <row r="514" spans="1:7" x14ac:dyDescent="0.35">
      <c r="A514" s="6" t="s">
        <v>900</v>
      </c>
      <c r="B514" s="7">
        <v>30641</v>
      </c>
      <c r="C514">
        <v>2</v>
      </c>
      <c r="D514">
        <v>7209.49</v>
      </c>
      <c r="E514" s="6" t="s">
        <v>7</v>
      </c>
      <c r="F514" s="6" t="s">
        <v>8</v>
      </c>
      <c r="G514" s="6" t="s">
        <v>16</v>
      </c>
    </row>
    <row r="515" spans="1:7" x14ac:dyDescent="0.35">
      <c r="A515" s="6" t="s">
        <v>899</v>
      </c>
      <c r="B515" s="7">
        <v>30539</v>
      </c>
      <c r="C515">
        <v>2</v>
      </c>
      <c r="D515">
        <v>7201.7</v>
      </c>
      <c r="E515" s="6" t="s">
        <v>7</v>
      </c>
      <c r="F515" s="6" t="s">
        <v>8</v>
      </c>
      <c r="G515" s="6" t="s">
        <v>16</v>
      </c>
    </row>
    <row r="516" spans="1:7" x14ac:dyDescent="0.35">
      <c r="A516" s="6" t="s">
        <v>898</v>
      </c>
      <c r="B516" s="7">
        <v>30208</v>
      </c>
      <c r="C516">
        <v>3</v>
      </c>
      <c r="D516">
        <v>7196.87</v>
      </c>
      <c r="E516" s="6" t="s">
        <v>8</v>
      </c>
      <c r="F516" s="6" t="s">
        <v>7</v>
      </c>
      <c r="G516" s="6" t="s">
        <v>32</v>
      </c>
    </row>
    <row r="517" spans="1:7" x14ac:dyDescent="0.35">
      <c r="A517" s="6" t="s">
        <v>897</v>
      </c>
      <c r="B517" s="7">
        <v>25076</v>
      </c>
      <c r="C517">
        <v>0</v>
      </c>
      <c r="D517">
        <v>7179.52</v>
      </c>
      <c r="E517" s="6" t="s">
        <v>8</v>
      </c>
      <c r="F517" s="6" t="s">
        <v>8</v>
      </c>
      <c r="G517" s="6" t="s">
        <v>9</v>
      </c>
    </row>
    <row r="518" spans="1:7" x14ac:dyDescent="0.35">
      <c r="A518" s="6" t="s">
        <v>896</v>
      </c>
      <c r="B518" s="7">
        <v>27594</v>
      </c>
      <c r="C518">
        <v>1</v>
      </c>
      <c r="D518">
        <v>7175.51</v>
      </c>
      <c r="E518" s="6" t="s">
        <v>7</v>
      </c>
      <c r="F518" s="6" t="s">
        <v>8</v>
      </c>
      <c r="G518" s="6" t="s">
        <v>9</v>
      </c>
    </row>
    <row r="519" spans="1:7" x14ac:dyDescent="0.35">
      <c r="A519" s="6" t="s">
        <v>895</v>
      </c>
      <c r="B519" s="7">
        <v>30179</v>
      </c>
      <c r="C519">
        <v>2</v>
      </c>
      <c r="D519">
        <v>7173.36</v>
      </c>
      <c r="E519" s="6" t="s">
        <v>8</v>
      </c>
      <c r="F519" s="6" t="s">
        <v>7</v>
      </c>
      <c r="G519" s="6" t="s">
        <v>158</v>
      </c>
    </row>
    <row r="520" spans="1:7" x14ac:dyDescent="0.35">
      <c r="A520" s="6" t="s">
        <v>894</v>
      </c>
      <c r="B520" s="7">
        <v>29494</v>
      </c>
      <c r="C520">
        <v>2</v>
      </c>
      <c r="D520">
        <v>7162.01</v>
      </c>
      <c r="E520" s="6" t="s">
        <v>7</v>
      </c>
      <c r="F520" s="6" t="s">
        <v>8</v>
      </c>
      <c r="G520" s="6" t="s">
        <v>9</v>
      </c>
    </row>
    <row r="521" spans="1:7" x14ac:dyDescent="0.35">
      <c r="A521" s="6" t="s">
        <v>893</v>
      </c>
      <c r="B521" s="7">
        <v>29501</v>
      </c>
      <c r="C521">
        <v>2</v>
      </c>
      <c r="D521">
        <v>7160.33</v>
      </c>
      <c r="E521" s="6" t="s">
        <v>7</v>
      </c>
      <c r="F521" s="6" t="s">
        <v>11</v>
      </c>
      <c r="G521" s="6" t="s">
        <v>9</v>
      </c>
    </row>
    <row r="522" spans="1:7" x14ac:dyDescent="0.35">
      <c r="A522" s="6" t="s">
        <v>892</v>
      </c>
      <c r="B522" s="7">
        <v>29394</v>
      </c>
      <c r="C522">
        <v>2</v>
      </c>
      <c r="D522">
        <v>7160.09</v>
      </c>
      <c r="E522" s="6" t="s">
        <v>7</v>
      </c>
      <c r="F522" s="6" t="s">
        <v>7</v>
      </c>
      <c r="G522" s="6" t="s">
        <v>32</v>
      </c>
    </row>
    <row r="523" spans="1:7" x14ac:dyDescent="0.35">
      <c r="A523" s="6" t="s">
        <v>2216</v>
      </c>
      <c r="B523" s="7">
        <v>37516</v>
      </c>
      <c r="C523">
        <v>2</v>
      </c>
      <c r="D523">
        <v>38344.57</v>
      </c>
      <c r="E523" s="6" t="s">
        <v>11</v>
      </c>
      <c r="F523" s="6" t="s">
        <v>8</v>
      </c>
      <c r="G523" s="6" t="s">
        <v>32</v>
      </c>
    </row>
    <row r="524" spans="1:7" x14ac:dyDescent="0.35">
      <c r="A524" s="6" t="s">
        <v>891</v>
      </c>
      <c r="B524" s="7">
        <v>29784</v>
      </c>
      <c r="C524">
        <v>1</v>
      </c>
      <c r="D524">
        <v>7153.55</v>
      </c>
      <c r="E524" s="6" t="s">
        <v>7</v>
      </c>
      <c r="F524" s="6" t="s">
        <v>11</v>
      </c>
      <c r="G524" s="6" t="s">
        <v>16</v>
      </c>
    </row>
    <row r="525" spans="1:7" x14ac:dyDescent="0.35">
      <c r="A525" s="6" t="s">
        <v>890</v>
      </c>
      <c r="B525" s="7">
        <v>28739</v>
      </c>
      <c r="C525">
        <v>1</v>
      </c>
      <c r="D525">
        <v>7152.67</v>
      </c>
      <c r="E525" s="6" t="s">
        <v>8</v>
      </c>
      <c r="F525" s="6" t="s">
        <v>7</v>
      </c>
      <c r="G525" s="6" t="s">
        <v>9</v>
      </c>
    </row>
    <row r="526" spans="1:7" x14ac:dyDescent="0.35">
      <c r="A526" s="6" t="s">
        <v>889</v>
      </c>
      <c r="B526" s="7">
        <v>30862</v>
      </c>
      <c r="C526">
        <v>3</v>
      </c>
      <c r="D526">
        <v>7151.09</v>
      </c>
      <c r="E526" s="6" t="s">
        <v>7</v>
      </c>
      <c r="F526" s="6" t="s">
        <v>7</v>
      </c>
      <c r="G526" s="6" t="s">
        <v>32</v>
      </c>
    </row>
    <row r="527" spans="1:7" x14ac:dyDescent="0.35">
      <c r="A527" s="6" t="s">
        <v>888</v>
      </c>
      <c r="B527" s="7">
        <v>28701</v>
      </c>
      <c r="C527">
        <v>1</v>
      </c>
      <c r="D527">
        <v>7147.47</v>
      </c>
      <c r="E527" s="6" t="s">
        <v>7</v>
      </c>
      <c r="F527" s="6" t="s">
        <v>8</v>
      </c>
      <c r="G527" s="6" t="s">
        <v>9</v>
      </c>
    </row>
    <row r="528" spans="1:7" x14ac:dyDescent="0.35">
      <c r="A528" s="6" t="s">
        <v>887</v>
      </c>
      <c r="B528" s="7">
        <v>27935</v>
      </c>
      <c r="C528">
        <v>0</v>
      </c>
      <c r="D528">
        <v>7147.11</v>
      </c>
      <c r="E528" s="6" t="s">
        <v>8</v>
      </c>
      <c r="F528" s="6" t="s">
        <v>7</v>
      </c>
      <c r="G528" s="6" t="s">
        <v>32</v>
      </c>
    </row>
    <row r="529" spans="1:7" x14ac:dyDescent="0.35">
      <c r="A529" s="6" t="s">
        <v>886</v>
      </c>
      <c r="B529" s="7">
        <v>31007</v>
      </c>
      <c r="C529">
        <v>2</v>
      </c>
      <c r="D529">
        <v>7144.86</v>
      </c>
      <c r="E529" s="6" t="s">
        <v>7</v>
      </c>
      <c r="F529" s="6" t="s">
        <v>7</v>
      </c>
      <c r="G529" s="6" t="s">
        <v>237</v>
      </c>
    </row>
    <row r="530" spans="1:7" x14ac:dyDescent="0.35">
      <c r="A530" s="6" t="s">
        <v>885</v>
      </c>
      <c r="B530" s="7">
        <v>36380</v>
      </c>
      <c r="C530">
        <v>0</v>
      </c>
      <c r="D530">
        <v>7144.4</v>
      </c>
      <c r="E530" s="6" t="s">
        <v>7</v>
      </c>
      <c r="F530" s="6" t="s">
        <v>11</v>
      </c>
      <c r="G530" s="6" t="s">
        <v>622</v>
      </c>
    </row>
    <row r="531" spans="1:7" x14ac:dyDescent="0.35">
      <c r="A531" s="6" t="s">
        <v>884</v>
      </c>
      <c r="B531" s="7">
        <v>30870</v>
      </c>
      <c r="C531">
        <v>2</v>
      </c>
      <c r="D531">
        <v>7133.9</v>
      </c>
      <c r="E531" s="6" t="s">
        <v>7</v>
      </c>
      <c r="F531" s="6" t="s">
        <v>11</v>
      </c>
      <c r="G531" s="6" t="s">
        <v>237</v>
      </c>
    </row>
    <row r="532" spans="1:7" x14ac:dyDescent="0.35">
      <c r="A532" s="6" t="s">
        <v>883</v>
      </c>
      <c r="B532" s="7">
        <v>34182</v>
      </c>
      <c r="C532">
        <v>0</v>
      </c>
      <c r="D532">
        <v>7128.64</v>
      </c>
      <c r="E532" s="6" t="s">
        <v>7</v>
      </c>
      <c r="F532" s="6" t="s">
        <v>7</v>
      </c>
      <c r="G532" s="6" t="s">
        <v>290</v>
      </c>
    </row>
    <row r="533" spans="1:7" x14ac:dyDescent="0.35">
      <c r="A533" s="6" t="s">
        <v>882</v>
      </c>
      <c r="B533" s="7">
        <v>25018</v>
      </c>
      <c r="C533">
        <v>0</v>
      </c>
      <c r="D533">
        <v>7125.25</v>
      </c>
      <c r="E533" s="6" t="s">
        <v>8</v>
      </c>
      <c r="F533" s="6" t="s">
        <v>7</v>
      </c>
      <c r="G533" s="6" t="s">
        <v>9</v>
      </c>
    </row>
    <row r="534" spans="1:7" x14ac:dyDescent="0.35">
      <c r="A534" s="6" t="s">
        <v>2215</v>
      </c>
      <c r="B534" s="7">
        <v>29384</v>
      </c>
      <c r="C534">
        <v>2</v>
      </c>
      <c r="D534">
        <v>38313.129999999997</v>
      </c>
      <c r="E534" s="6" t="s">
        <v>11</v>
      </c>
      <c r="F534" s="6" t="s">
        <v>8</v>
      </c>
      <c r="G534" s="6" t="s">
        <v>32</v>
      </c>
    </row>
    <row r="535" spans="1:7" x14ac:dyDescent="0.35">
      <c r="A535" s="6" t="s">
        <v>881</v>
      </c>
      <c r="B535" s="7">
        <v>32000</v>
      </c>
      <c r="C535">
        <v>3</v>
      </c>
      <c r="D535">
        <v>7106.81</v>
      </c>
      <c r="E535" s="6" t="s">
        <v>7</v>
      </c>
      <c r="F535" s="6" t="s">
        <v>11</v>
      </c>
      <c r="G535" s="6" t="s">
        <v>16</v>
      </c>
    </row>
    <row r="536" spans="1:7" x14ac:dyDescent="0.35">
      <c r="A536" s="6" t="s">
        <v>880</v>
      </c>
      <c r="B536" s="7">
        <v>33773</v>
      </c>
      <c r="C536">
        <v>0</v>
      </c>
      <c r="D536">
        <v>7096.98</v>
      </c>
      <c r="E536" s="6" t="s">
        <v>7</v>
      </c>
      <c r="F536" s="6" t="s">
        <v>7</v>
      </c>
      <c r="G536" s="6" t="s">
        <v>16</v>
      </c>
    </row>
    <row r="537" spans="1:7" x14ac:dyDescent="0.35">
      <c r="A537" s="6" t="s">
        <v>879</v>
      </c>
      <c r="B537" s="7">
        <v>30230</v>
      </c>
      <c r="C537">
        <v>1</v>
      </c>
      <c r="D537">
        <v>7077.19</v>
      </c>
      <c r="E537" s="6" t="s">
        <v>7</v>
      </c>
      <c r="F537" s="6" t="s">
        <v>8</v>
      </c>
      <c r="G537" s="6" t="s">
        <v>237</v>
      </c>
    </row>
    <row r="538" spans="1:7" x14ac:dyDescent="0.35">
      <c r="A538" s="6" t="s">
        <v>878</v>
      </c>
      <c r="B538" s="7">
        <v>28665</v>
      </c>
      <c r="C538">
        <v>2</v>
      </c>
      <c r="D538">
        <v>7054.41</v>
      </c>
      <c r="E538" s="6" t="s">
        <v>7</v>
      </c>
      <c r="F538" s="6" t="s">
        <v>7</v>
      </c>
      <c r="G538" s="6" t="s">
        <v>9</v>
      </c>
    </row>
    <row r="539" spans="1:7" x14ac:dyDescent="0.35">
      <c r="A539" s="6" t="s">
        <v>877</v>
      </c>
      <c r="B539" s="7">
        <v>29400</v>
      </c>
      <c r="C539">
        <v>1</v>
      </c>
      <c r="D539">
        <v>7050.64</v>
      </c>
      <c r="E539" s="6" t="s">
        <v>7</v>
      </c>
      <c r="F539" s="6" t="s">
        <v>8</v>
      </c>
      <c r="G539" s="6" t="s">
        <v>32</v>
      </c>
    </row>
    <row r="540" spans="1:7" x14ac:dyDescent="0.35">
      <c r="A540" s="6" t="s">
        <v>876</v>
      </c>
      <c r="B540" s="7">
        <v>29423</v>
      </c>
      <c r="C540">
        <v>0</v>
      </c>
      <c r="D540">
        <v>7050.02</v>
      </c>
      <c r="E540" s="6" t="s">
        <v>7</v>
      </c>
      <c r="F540" s="6" t="s">
        <v>11</v>
      </c>
      <c r="G540" s="6" t="s">
        <v>237</v>
      </c>
    </row>
    <row r="541" spans="1:7" x14ac:dyDescent="0.35">
      <c r="A541" s="6" t="s">
        <v>875</v>
      </c>
      <c r="B541" s="7">
        <v>29516</v>
      </c>
      <c r="C541">
        <v>1</v>
      </c>
      <c r="D541">
        <v>7046.72</v>
      </c>
      <c r="E541" s="6" t="s">
        <v>7</v>
      </c>
      <c r="F541" s="6" t="s">
        <v>8</v>
      </c>
      <c r="G541" s="6" t="s">
        <v>9</v>
      </c>
    </row>
    <row r="542" spans="1:7" x14ac:dyDescent="0.35">
      <c r="A542" s="6" t="s">
        <v>874</v>
      </c>
      <c r="B542" s="7">
        <v>29428</v>
      </c>
      <c r="C542">
        <v>1</v>
      </c>
      <c r="D542">
        <v>7045.5</v>
      </c>
      <c r="E542" s="6" t="s">
        <v>7</v>
      </c>
      <c r="F542" s="6" t="s">
        <v>11</v>
      </c>
      <c r="G542" s="6" t="s">
        <v>32</v>
      </c>
    </row>
    <row r="543" spans="1:7" x14ac:dyDescent="0.35">
      <c r="A543" s="6" t="s">
        <v>873</v>
      </c>
      <c r="B543" s="7">
        <v>35001</v>
      </c>
      <c r="C543">
        <v>0</v>
      </c>
      <c r="D543">
        <v>7042.11</v>
      </c>
      <c r="E543" s="6" t="s">
        <v>7</v>
      </c>
      <c r="F543" s="6" t="s">
        <v>8</v>
      </c>
      <c r="G543" s="6" t="s">
        <v>16</v>
      </c>
    </row>
    <row r="544" spans="1:7" x14ac:dyDescent="0.35">
      <c r="A544" s="6" t="s">
        <v>872</v>
      </c>
      <c r="B544" s="7">
        <v>28643</v>
      </c>
      <c r="C544">
        <v>2</v>
      </c>
      <c r="D544">
        <v>7033.08</v>
      </c>
      <c r="E544" s="6" t="s">
        <v>7</v>
      </c>
      <c r="F544" s="6" t="s">
        <v>7</v>
      </c>
      <c r="G544" s="6" t="s">
        <v>9</v>
      </c>
    </row>
    <row r="545" spans="1:7" x14ac:dyDescent="0.35">
      <c r="A545" s="6" t="s">
        <v>2214</v>
      </c>
      <c r="B545" s="7">
        <v>32811</v>
      </c>
      <c r="C545">
        <v>1</v>
      </c>
      <c r="D545">
        <v>38282.75</v>
      </c>
      <c r="E545" s="6" t="s">
        <v>11</v>
      </c>
      <c r="F545" s="6" t="s">
        <v>7</v>
      </c>
      <c r="G545" s="6" t="s">
        <v>9</v>
      </c>
    </row>
    <row r="546" spans="1:7" x14ac:dyDescent="0.35">
      <c r="A546" s="6" t="s">
        <v>871</v>
      </c>
      <c r="B546" s="7">
        <v>25390</v>
      </c>
      <c r="C546">
        <v>0</v>
      </c>
      <c r="D546">
        <v>7003.1</v>
      </c>
      <c r="E546" s="6" t="s">
        <v>7</v>
      </c>
      <c r="F546" s="6" t="s">
        <v>8</v>
      </c>
      <c r="G546" s="6" t="s">
        <v>9</v>
      </c>
    </row>
    <row r="547" spans="1:7" x14ac:dyDescent="0.35">
      <c r="A547" s="6" t="s">
        <v>870</v>
      </c>
      <c r="B547" s="7">
        <v>30195</v>
      </c>
      <c r="C547">
        <v>3</v>
      </c>
      <c r="D547">
        <v>6989.95</v>
      </c>
      <c r="E547" s="6" t="s">
        <v>7</v>
      </c>
      <c r="F547" s="6" t="s">
        <v>11</v>
      </c>
      <c r="G547" s="6" t="s">
        <v>9</v>
      </c>
    </row>
    <row r="548" spans="1:7" x14ac:dyDescent="0.35">
      <c r="A548" s="6" t="s">
        <v>869</v>
      </c>
      <c r="B548" s="7">
        <v>30242</v>
      </c>
      <c r="C548">
        <v>2</v>
      </c>
      <c r="D548">
        <v>6986.7</v>
      </c>
      <c r="E548" s="6" t="s">
        <v>8</v>
      </c>
      <c r="F548" s="6" t="s">
        <v>11</v>
      </c>
      <c r="G548" s="6" t="s">
        <v>16</v>
      </c>
    </row>
    <row r="549" spans="1:7" x14ac:dyDescent="0.35">
      <c r="A549" s="6" t="s">
        <v>868</v>
      </c>
      <c r="B549" s="7">
        <v>31391</v>
      </c>
      <c r="C549">
        <v>3</v>
      </c>
      <c r="D549">
        <v>6985.51</v>
      </c>
      <c r="E549" s="6" t="s">
        <v>7</v>
      </c>
      <c r="F549" s="6" t="s">
        <v>7</v>
      </c>
      <c r="G549" s="6" t="s">
        <v>156</v>
      </c>
    </row>
    <row r="550" spans="1:7" x14ac:dyDescent="0.35">
      <c r="A550" s="6" t="s">
        <v>867</v>
      </c>
      <c r="B550" s="7">
        <v>27548</v>
      </c>
      <c r="C550">
        <v>1</v>
      </c>
      <c r="D550">
        <v>6965.21</v>
      </c>
      <c r="E550" s="6" t="s">
        <v>7</v>
      </c>
      <c r="F550" s="6" t="s">
        <v>8</v>
      </c>
      <c r="G550" s="6" t="s">
        <v>9</v>
      </c>
    </row>
    <row r="551" spans="1:7" x14ac:dyDescent="0.35">
      <c r="A551" s="6" t="s">
        <v>866</v>
      </c>
      <c r="B551" s="7">
        <v>29451</v>
      </c>
      <c r="C551">
        <v>2</v>
      </c>
      <c r="D551">
        <v>6951.12</v>
      </c>
      <c r="E551" s="6" t="s">
        <v>7</v>
      </c>
      <c r="F551" s="6" t="s">
        <v>7</v>
      </c>
      <c r="G551" s="6" t="s">
        <v>9</v>
      </c>
    </row>
    <row r="552" spans="1:7" x14ac:dyDescent="0.35">
      <c r="A552" s="6" t="s">
        <v>865</v>
      </c>
      <c r="B552" s="7">
        <v>28839</v>
      </c>
      <c r="C552">
        <v>0</v>
      </c>
      <c r="D552">
        <v>6948.7</v>
      </c>
      <c r="E552" s="6" t="s">
        <v>11</v>
      </c>
      <c r="F552" s="6" t="s">
        <v>7</v>
      </c>
      <c r="G552" s="6" t="s">
        <v>16</v>
      </c>
    </row>
    <row r="553" spans="1:7" x14ac:dyDescent="0.35">
      <c r="A553" s="6" t="s">
        <v>864</v>
      </c>
      <c r="B553" s="7">
        <v>29499</v>
      </c>
      <c r="C553">
        <v>2</v>
      </c>
      <c r="D553">
        <v>6940.94</v>
      </c>
      <c r="E553" s="6" t="s">
        <v>7</v>
      </c>
      <c r="F553" s="6" t="s">
        <v>8</v>
      </c>
      <c r="G553" s="6" t="s">
        <v>9</v>
      </c>
    </row>
    <row r="554" spans="1:7" x14ac:dyDescent="0.35">
      <c r="A554" s="6" t="s">
        <v>863</v>
      </c>
      <c r="B554" s="7">
        <v>29463</v>
      </c>
      <c r="C554">
        <v>1</v>
      </c>
      <c r="D554">
        <v>6940.91</v>
      </c>
      <c r="E554" s="6" t="s">
        <v>7</v>
      </c>
      <c r="F554" s="6" t="s">
        <v>7</v>
      </c>
      <c r="G554" s="6" t="s">
        <v>16</v>
      </c>
    </row>
    <row r="555" spans="1:7" x14ac:dyDescent="0.35">
      <c r="A555" s="6" t="s">
        <v>862</v>
      </c>
      <c r="B555" s="7">
        <v>28823</v>
      </c>
      <c r="C555">
        <v>2</v>
      </c>
      <c r="D555">
        <v>6938.11</v>
      </c>
      <c r="E555" s="6" t="s">
        <v>7</v>
      </c>
      <c r="F555" s="6" t="s">
        <v>7</v>
      </c>
      <c r="G555" s="6" t="s">
        <v>9</v>
      </c>
    </row>
    <row r="556" spans="1:7" x14ac:dyDescent="0.35">
      <c r="A556" s="6" t="s">
        <v>2348</v>
      </c>
      <c r="B556" s="7">
        <v>22636</v>
      </c>
      <c r="C556">
        <v>1</v>
      </c>
      <c r="D556">
        <v>48517.56</v>
      </c>
      <c r="E556" s="6" t="s">
        <v>11</v>
      </c>
      <c r="F556" s="6" t="s">
        <v>8</v>
      </c>
      <c r="G556" s="6" t="s">
        <v>237</v>
      </c>
    </row>
    <row r="557" spans="1:7" x14ac:dyDescent="0.35">
      <c r="A557" s="6" t="s">
        <v>2213</v>
      </c>
      <c r="B557" s="7">
        <v>29449</v>
      </c>
      <c r="C557">
        <v>1</v>
      </c>
      <c r="D557">
        <v>38245.589999999997</v>
      </c>
      <c r="E557" s="6" t="s">
        <v>11</v>
      </c>
      <c r="F557" s="6" t="s">
        <v>7</v>
      </c>
      <c r="G557" s="6" t="s">
        <v>9</v>
      </c>
    </row>
    <row r="558" spans="1:7" x14ac:dyDescent="0.35">
      <c r="A558" s="6" t="s">
        <v>861</v>
      </c>
      <c r="B558" s="7">
        <v>30930</v>
      </c>
      <c r="C558">
        <v>2</v>
      </c>
      <c r="D558">
        <v>6933.24</v>
      </c>
      <c r="E558" s="6" t="s">
        <v>7</v>
      </c>
      <c r="F558" s="6" t="s">
        <v>8</v>
      </c>
      <c r="G558" s="6" t="s">
        <v>16</v>
      </c>
    </row>
    <row r="559" spans="1:7" x14ac:dyDescent="0.35">
      <c r="A559" s="6" t="s">
        <v>860</v>
      </c>
      <c r="B559" s="7">
        <v>32863</v>
      </c>
      <c r="C559">
        <v>3</v>
      </c>
      <c r="D559">
        <v>6895.19</v>
      </c>
      <c r="E559" s="6" t="s">
        <v>7</v>
      </c>
      <c r="F559" s="6" t="s">
        <v>8</v>
      </c>
      <c r="G559" s="6" t="s">
        <v>237</v>
      </c>
    </row>
    <row r="560" spans="1:7" x14ac:dyDescent="0.35">
      <c r="A560" s="6" t="s">
        <v>859</v>
      </c>
      <c r="B560" s="7">
        <v>31300</v>
      </c>
      <c r="C560">
        <v>2</v>
      </c>
      <c r="D560">
        <v>6877.98</v>
      </c>
      <c r="E560" s="6" t="s">
        <v>7</v>
      </c>
      <c r="F560" s="6" t="s">
        <v>11</v>
      </c>
      <c r="G560" s="6" t="s">
        <v>237</v>
      </c>
    </row>
    <row r="561" spans="1:7" x14ac:dyDescent="0.35">
      <c r="A561" s="6" t="s">
        <v>858</v>
      </c>
      <c r="B561" s="7">
        <v>38345</v>
      </c>
      <c r="C561">
        <v>0</v>
      </c>
      <c r="D561">
        <v>6876.53</v>
      </c>
      <c r="E561" s="6" t="s">
        <v>7</v>
      </c>
      <c r="F561" s="6" t="s">
        <v>11</v>
      </c>
      <c r="G561" s="6" t="s">
        <v>16</v>
      </c>
    </row>
    <row r="562" spans="1:7" x14ac:dyDescent="0.35">
      <c r="A562" s="6" t="s">
        <v>857</v>
      </c>
      <c r="B562" s="7">
        <v>29760</v>
      </c>
      <c r="C562">
        <v>2</v>
      </c>
      <c r="D562">
        <v>6875.96</v>
      </c>
      <c r="E562" s="6" t="s">
        <v>7</v>
      </c>
      <c r="F562" s="6" t="s">
        <v>7</v>
      </c>
      <c r="G562" s="6" t="s">
        <v>32</v>
      </c>
    </row>
    <row r="563" spans="1:7" x14ac:dyDescent="0.35">
      <c r="A563" s="6" t="s">
        <v>856</v>
      </c>
      <c r="B563" s="7">
        <v>25499</v>
      </c>
      <c r="C563">
        <v>0</v>
      </c>
      <c r="D563">
        <v>6868.39</v>
      </c>
      <c r="E563" s="6" t="s">
        <v>7</v>
      </c>
      <c r="F563" s="6" t="s">
        <v>7</v>
      </c>
      <c r="G563" s="6" t="s">
        <v>9</v>
      </c>
    </row>
    <row r="564" spans="1:7" x14ac:dyDescent="0.35">
      <c r="A564" s="6" t="s">
        <v>855</v>
      </c>
      <c r="B564" s="7">
        <v>28707</v>
      </c>
      <c r="C564">
        <v>2</v>
      </c>
      <c r="D564">
        <v>6863.49</v>
      </c>
      <c r="E564" s="6" t="s">
        <v>7</v>
      </c>
      <c r="F564" s="6" t="s">
        <v>11</v>
      </c>
      <c r="G564" s="6" t="s">
        <v>9</v>
      </c>
    </row>
    <row r="565" spans="1:7" x14ac:dyDescent="0.35">
      <c r="A565" s="6" t="s">
        <v>854</v>
      </c>
      <c r="B565" s="7">
        <v>29756</v>
      </c>
      <c r="C565">
        <v>1</v>
      </c>
      <c r="D565">
        <v>6858.48</v>
      </c>
      <c r="E565" s="6" t="s">
        <v>7</v>
      </c>
      <c r="F565" s="6" t="s">
        <v>7</v>
      </c>
      <c r="G565" s="6" t="s">
        <v>156</v>
      </c>
    </row>
    <row r="566" spans="1:7" x14ac:dyDescent="0.35">
      <c r="A566" s="6" t="s">
        <v>853</v>
      </c>
      <c r="B566" s="7">
        <v>29163</v>
      </c>
      <c r="C566">
        <v>1</v>
      </c>
      <c r="D566">
        <v>6849.03</v>
      </c>
      <c r="E566" s="6" t="s">
        <v>7</v>
      </c>
      <c r="F566" s="6" t="s">
        <v>7</v>
      </c>
      <c r="G566" s="6" t="s">
        <v>32</v>
      </c>
    </row>
    <row r="567" spans="1:7" x14ac:dyDescent="0.35">
      <c r="A567" s="6" t="s">
        <v>852</v>
      </c>
      <c r="B567" s="7">
        <v>28291</v>
      </c>
      <c r="C567">
        <v>2</v>
      </c>
      <c r="D567">
        <v>6843.17</v>
      </c>
      <c r="E567" s="6" t="s">
        <v>7</v>
      </c>
      <c r="F567" s="6" t="s">
        <v>11</v>
      </c>
      <c r="G567" s="6" t="s">
        <v>9</v>
      </c>
    </row>
    <row r="568" spans="1:7" x14ac:dyDescent="0.35">
      <c r="A568" s="6" t="s">
        <v>2212</v>
      </c>
      <c r="B568" s="7">
        <v>23544</v>
      </c>
      <c r="C568">
        <v>0</v>
      </c>
      <c r="D568">
        <v>38241.74</v>
      </c>
      <c r="E568" s="6" t="s">
        <v>7</v>
      </c>
      <c r="F568" s="6" t="s">
        <v>8</v>
      </c>
      <c r="G568" s="6" t="s">
        <v>32</v>
      </c>
    </row>
    <row r="569" spans="1:7" x14ac:dyDescent="0.35">
      <c r="A569" s="6" t="s">
        <v>851</v>
      </c>
      <c r="B569" s="7">
        <v>36860</v>
      </c>
      <c r="C569">
        <v>0</v>
      </c>
      <c r="D569">
        <v>6842.28</v>
      </c>
      <c r="E569" s="6" t="s">
        <v>7</v>
      </c>
      <c r="F569" s="6" t="s">
        <v>11</v>
      </c>
      <c r="G569" s="6" t="s">
        <v>16</v>
      </c>
    </row>
    <row r="570" spans="1:7" x14ac:dyDescent="0.35">
      <c r="A570" s="6" t="s">
        <v>850</v>
      </c>
      <c r="B570" s="7">
        <v>29051</v>
      </c>
      <c r="C570">
        <v>0</v>
      </c>
      <c r="D570">
        <v>6837.37</v>
      </c>
      <c r="E570" s="6" t="s">
        <v>8</v>
      </c>
      <c r="F570" s="6" t="s">
        <v>11</v>
      </c>
      <c r="G570" s="6" t="s">
        <v>158</v>
      </c>
    </row>
    <row r="571" spans="1:7" x14ac:dyDescent="0.35">
      <c r="A571" s="6" t="s">
        <v>849</v>
      </c>
      <c r="B571" s="7">
        <v>34523</v>
      </c>
      <c r="C571">
        <v>0</v>
      </c>
      <c r="D571">
        <v>6827.69</v>
      </c>
      <c r="E571" s="6" t="s">
        <v>7</v>
      </c>
      <c r="F571" s="6" t="s">
        <v>7</v>
      </c>
      <c r="G571" s="6" t="s">
        <v>290</v>
      </c>
    </row>
    <row r="572" spans="1:7" x14ac:dyDescent="0.35">
      <c r="A572" s="6" t="s">
        <v>848</v>
      </c>
      <c r="B572" s="7">
        <v>27623</v>
      </c>
      <c r="C572">
        <v>1</v>
      </c>
      <c r="D572">
        <v>6809.46</v>
      </c>
      <c r="E572" s="6" t="s">
        <v>7</v>
      </c>
      <c r="F572" s="6" t="s">
        <v>11</v>
      </c>
      <c r="G572" s="6" t="s">
        <v>16</v>
      </c>
    </row>
    <row r="573" spans="1:7" x14ac:dyDescent="0.35">
      <c r="A573" s="6" t="s">
        <v>847</v>
      </c>
      <c r="B573" s="7">
        <v>33418</v>
      </c>
      <c r="C573">
        <v>5</v>
      </c>
      <c r="D573">
        <v>6799.46</v>
      </c>
      <c r="E573" s="6" t="s">
        <v>11</v>
      </c>
      <c r="F573" s="6" t="s">
        <v>7</v>
      </c>
      <c r="G573" s="6" t="s">
        <v>266</v>
      </c>
    </row>
    <row r="574" spans="1:7" x14ac:dyDescent="0.35">
      <c r="A574" s="6" t="s">
        <v>846</v>
      </c>
      <c r="B574" s="7">
        <v>31405</v>
      </c>
      <c r="C574">
        <v>3</v>
      </c>
      <c r="D574">
        <v>6796.86</v>
      </c>
      <c r="E574" s="6" t="s">
        <v>8</v>
      </c>
      <c r="F574" s="6" t="s">
        <v>8</v>
      </c>
      <c r="G574" s="6" t="s">
        <v>16</v>
      </c>
    </row>
    <row r="575" spans="1:7" x14ac:dyDescent="0.35">
      <c r="A575" s="6" t="s">
        <v>845</v>
      </c>
      <c r="B575" s="7">
        <v>29548</v>
      </c>
      <c r="C575">
        <v>2</v>
      </c>
      <c r="D575">
        <v>6781.52</v>
      </c>
      <c r="E575" s="6" t="s">
        <v>7</v>
      </c>
      <c r="F575" s="6" t="s">
        <v>7</v>
      </c>
      <c r="G575" s="6" t="s">
        <v>9</v>
      </c>
    </row>
    <row r="576" spans="1:7" x14ac:dyDescent="0.35">
      <c r="A576" s="6" t="s">
        <v>844</v>
      </c>
      <c r="B576" s="7">
        <v>29867</v>
      </c>
      <c r="C576">
        <v>1</v>
      </c>
      <c r="D576">
        <v>6781.35</v>
      </c>
      <c r="E576" s="6" t="s">
        <v>7</v>
      </c>
      <c r="F576" s="6" t="s">
        <v>11</v>
      </c>
      <c r="G576" s="6" t="s">
        <v>9</v>
      </c>
    </row>
    <row r="577" spans="1:7" x14ac:dyDescent="0.35">
      <c r="A577" s="6" t="s">
        <v>843</v>
      </c>
      <c r="B577" s="7">
        <v>29832</v>
      </c>
      <c r="C577">
        <v>1</v>
      </c>
      <c r="D577">
        <v>6775.96</v>
      </c>
      <c r="E577" s="6" t="s">
        <v>7</v>
      </c>
      <c r="F577" s="6" t="s">
        <v>8</v>
      </c>
      <c r="G577" s="6" t="s">
        <v>32</v>
      </c>
    </row>
    <row r="578" spans="1:7" x14ac:dyDescent="0.35">
      <c r="A578" s="6" t="s">
        <v>842</v>
      </c>
      <c r="B578" s="7">
        <v>29850</v>
      </c>
      <c r="C578">
        <v>1</v>
      </c>
      <c r="D578">
        <v>6770.19</v>
      </c>
      <c r="E578" s="6" t="s">
        <v>7</v>
      </c>
      <c r="F578" s="6" t="s">
        <v>8</v>
      </c>
      <c r="G578" s="6" t="s">
        <v>9</v>
      </c>
    </row>
    <row r="579" spans="1:7" x14ac:dyDescent="0.35">
      <c r="A579" s="6" t="s">
        <v>2211</v>
      </c>
      <c r="B579" s="7">
        <v>32759</v>
      </c>
      <c r="C579">
        <v>3</v>
      </c>
      <c r="D579">
        <v>38237.339999999997</v>
      </c>
      <c r="E579" s="6" t="s">
        <v>7</v>
      </c>
      <c r="F579" s="6" t="s">
        <v>8</v>
      </c>
      <c r="G579" s="6" t="s">
        <v>32</v>
      </c>
    </row>
    <row r="580" spans="1:7" x14ac:dyDescent="0.35">
      <c r="A580" s="6" t="s">
        <v>841</v>
      </c>
      <c r="B580" s="7">
        <v>32426</v>
      </c>
      <c r="C580">
        <v>3</v>
      </c>
      <c r="D580">
        <v>6753.04</v>
      </c>
      <c r="E580" s="6" t="s">
        <v>7</v>
      </c>
      <c r="F580" s="6" t="s">
        <v>7</v>
      </c>
      <c r="G580" s="6" t="s">
        <v>237</v>
      </c>
    </row>
    <row r="581" spans="1:7" x14ac:dyDescent="0.35">
      <c r="A581" s="6" t="s">
        <v>840</v>
      </c>
      <c r="B581" s="7">
        <v>24450</v>
      </c>
      <c r="C581">
        <v>0</v>
      </c>
      <c r="D581">
        <v>6750.27</v>
      </c>
      <c r="E581" s="6" t="s">
        <v>8</v>
      </c>
      <c r="F581" s="6" t="s">
        <v>7</v>
      </c>
      <c r="G581" s="6" t="s">
        <v>9</v>
      </c>
    </row>
    <row r="582" spans="1:7" x14ac:dyDescent="0.35">
      <c r="A582" s="6" t="s">
        <v>839</v>
      </c>
      <c r="B582" s="7">
        <v>25736</v>
      </c>
      <c r="C582">
        <v>0</v>
      </c>
      <c r="D582">
        <v>6749.63</v>
      </c>
      <c r="E582" s="6" t="s">
        <v>7</v>
      </c>
      <c r="F582" s="6" t="s">
        <v>11</v>
      </c>
      <c r="G582" s="6" t="s">
        <v>9</v>
      </c>
    </row>
    <row r="583" spans="1:7" x14ac:dyDescent="0.35">
      <c r="A583" s="6" t="s">
        <v>838</v>
      </c>
      <c r="B583" s="7">
        <v>31568</v>
      </c>
      <c r="C583">
        <v>3</v>
      </c>
      <c r="D583">
        <v>6748.59</v>
      </c>
      <c r="E583" s="6" t="s">
        <v>8</v>
      </c>
      <c r="F583" s="6" t="s">
        <v>11</v>
      </c>
      <c r="G583" s="6" t="s">
        <v>158</v>
      </c>
    </row>
    <row r="584" spans="1:7" x14ac:dyDescent="0.35">
      <c r="A584" s="6" t="s">
        <v>837</v>
      </c>
      <c r="B584" s="7">
        <v>31631</v>
      </c>
      <c r="C584">
        <v>3</v>
      </c>
      <c r="D584">
        <v>6746.74</v>
      </c>
      <c r="E584" s="6" t="s">
        <v>8</v>
      </c>
      <c r="F584" s="6" t="s">
        <v>7</v>
      </c>
      <c r="G584" s="6" t="s">
        <v>158</v>
      </c>
    </row>
    <row r="585" spans="1:7" x14ac:dyDescent="0.35">
      <c r="A585" s="6" t="s">
        <v>836</v>
      </c>
      <c r="B585" s="7">
        <v>25037</v>
      </c>
      <c r="C585">
        <v>0</v>
      </c>
      <c r="D585">
        <v>6738.84</v>
      </c>
      <c r="E585" s="6" t="s">
        <v>8</v>
      </c>
      <c r="F585" s="6" t="s">
        <v>11</v>
      </c>
      <c r="G585" s="6" t="s">
        <v>16</v>
      </c>
    </row>
    <row r="586" spans="1:7" x14ac:dyDescent="0.35">
      <c r="A586" s="6" t="s">
        <v>835</v>
      </c>
      <c r="B586" s="7">
        <v>28784</v>
      </c>
      <c r="C586">
        <v>2</v>
      </c>
      <c r="D586">
        <v>6737.98</v>
      </c>
      <c r="E586" s="6" t="s">
        <v>7</v>
      </c>
      <c r="F586" s="6" t="s">
        <v>8</v>
      </c>
      <c r="G586" s="6" t="s">
        <v>9</v>
      </c>
    </row>
    <row r="587" spans="1:7" x14ac:dyDescent="0.35">
      <c r="A587" s="6" t="s">
        <v>834</v>
      </c>
      <c r="B587" s="7">
        <v>34498</v>
      </c>
      <c r="C587">
        <v>0</v>
      </c>
      <c r="D587">
        <v>6721.37</v>
      </c>
      <c r="E587" s="6" t="s">
        <v>7</v>
      </c>
      <c r="F587" s="6" t="s">
        <v>11</v>
      </c>
      <c r="G587" s="6" t="s">
        <v>16</v>
      </c>
    </row>
    <row r="588" spans="1:7" x14ac:dyDescent="0.35">
      <c r="A588" s="6" t="s">
        <v>833</v>
      </c>
      <c r="B588" s="7">
        <v>30479</v>
      </c>
      <c r="C588">
        <v>2</v>
      </c>
      <c r="D588">
        <v>6710.19</v>
      </c>
      <c r="E588" s="6" t="s">
        <v>8</v>
      </c>
      <c r="F588" s="6" t="s">
        <v>8</v>
      </c>
      <c r="G588" s="6" t="s">
        <v>16</v>
      </c>
    </row>
    <row r="589" spans="1:7" x14ac:dyDescent="0.35">
      <c r="A589" s="6" t="s">
        <v>832</v>
      </c>
      <c r="B589" s="7">
        <v>26279</v>
      </c>
      <c r="C589">
        <v>0</v>
      </c>
      <c r="D589">
        <v>6706.47</v>
      </c>
      <c r="E589" s="6" t="s">
        <v>7</v>
      </c>
      <c r="F589" s="6" t="s">
        <v>11</v>
      </c>
      <c r="G589" s="6" t="s">
        <v>9</v>
      </c>
    </row>
    <row r="590" spans="1:7" x14ac:dyDescent="0.35">
      <c r="A590" s="6" t="s">
        <v>2210</v>
      </c>
      <c r="B590" s="7">
        <v>26622</v>
      </c>
      <c r="C590">
        <v>0</v>
      </c>
      <c r="D590">
        <v>38189.1</v>
      </c>
      <c r="E590" s="6" t="s">
        <v>7</v>
      </c>
      <c r="F590" s="6" t="s">
        <v>7</v>
      </c>
      <c r="G590" s="6" t="s">
        <v>32</v>
      </c>
    </row>
    <row r="591" spans="1:7" x14ac:dyDescent="0.35">
      <c r="A591" s="6" t="s">
        <v>831</v>
      </c>
      <c r="B591" s="7">
        <v>25032</v>
      </c>
      <c r="C591">
        <v>0</v>
      </c>
      <c r="D591">
        <v>6700.56</v>
      </c>
      <c r="E591" s="6" t="s">
        <v>8</v>
      </c>
      <c r="F591" s="6" t="s">
        <v>11</v>
      </c>
      <c r="G591" s="6" t="s">
        <v>16</v>
      </c>
    </row>
    <row r="592" spans="1:7" x14ac:dyDescent="0.35">
      <c r="A592" s="6" t="s">
        <v>830</v>
      </c>
      <c r="B592" s="7">
        <v>31237</v>
      </c>
      <c r="C592">
        <v>2</v>
      </c>
      <c r="D592">
        <v>6686.43</v>
      </c>
      <c r="E592" s="6" t="s">
        <v>7</v>
      </c>
      <c r="F592" s="6" t="s">
        <v>8</v>
      </c>
      <c r="G592" s="6" t="s">
        <v>16</v>
      </c>
    </row>
    <row r="593" spans="1:7" x14ac:dyDescent="0.35">
      <c r="A593" s="6" t="s">
        <v>829</v>
      </c>
      <c r="B593" s="7">
        <v>32801</v>
      </c>
      <c r="C593">
        <v>5</v>
      </c>
      <c r="D593">
        <v>6666.24</v>
      </c>
      <c r="E593" s="6" t="s">
        <v>8</v>
      </c>
      <c r="F593" s="6" t="s">
        <v>11</v>
      </c>
      <c r="G593" s="6" t="s">
        <v>32</v>
      </c>
    </row>
    <row r="594" spans="1:7" x14ac:dyDescent="0.35">
      <c r="A594" s="6" t="s">
        <v>828</v>
      </c>
      <c r="B594" s="7">
        <v>29846</v>
      </c>
      <c r="C594">
        <v>1</v>
      </c>
      <c r="D594">
        <v>6664.69</v>
      </c>
      <c r="E594" s="6" t="s">
        <v>8</v>
      </c>
      <c r="F594" s="6" t="s">
        <v>11</v>
      </c>
      <c r="G594" s="6" t="s">
        <v>16</v>
      </c>
    </row>
    <row r="595" spans="1:7" x14ac:dyDescent="0.35">
      <c r="A595" s="6" t="s">
        <v>827</v>
      </c>
      <c r="B595" s="7">
        <v>30221</v>
      </c>
      <c r="C595">
        <v>3</v>
      </c>
      <c r="D595">
        <v>6664.32</v>
      </c>
      <c r="E595" s="6" t="s">
        <v>7</v>
      </c>
      <c r="F595" s="6" t="s">
        <v>7</v>
      </c>
      <c r="G595" s="6" t="s">
        <v>9</v>
      </c>
    </row>
    <row r="596" spans="1:7" x14ac:dyDescent="0.35">
      <c r="A596" s="6" t="s">
        <v>826</v>
      </c>
      <c r="B596" s="7">
        <v>32831</v>
      </c>
      <c r="C596">
        <v>5</v>
      </c>
      <c r="D596">
        <v>6653.79</v>
      </c>
      <c r="E596" s="6" t="s">
        <v>7</v>
      </c>
      <c r="F596" s="6" t="s">
        <v>11</v>
      </c>
      <c r="G596" s="6" t="s">
        <v>9</v>
      </c>
    </row>
    <row r="597" spans="1:7" x14ac:dyDescent="0.35">
      <c r="A597" s="6" t="s">
        <v>825</v>
      </c>
      <c r="B597" s="7">
        <v>30864</v>
      </c>
      <c r="C597">
        <v>3</v>
      </c>
      <c r="D597">
        <v>6652.53</v>
      </c>
      <c r="E597" s="6" t="s">
        <v>8</v>
      </c>
      <c r="F597" s="6" t="s">
        <v>7</v>
      </c>
      <c r="G597" s="6" t="s">
        <v>9</v>
      </c>
    </row>
    <row r="598" spans="1:7" x14ac:dyDescent="0.35">
      <c r="A598" s="6" t="s">
        <v>824</v>
      </c>
      <c r="B598" s="7">
        <v>25880</v>
      </c>
      <c r="C598">
        <v>0</v>
      </c>
      <c r="D598">
        <v>6651.26</v>
      </c>
      <c r="E598" s="6" t="s">
        <v>7</v>
      </c>
      <c r="F598" s="6" t="s">
        <v>8</v>
      </c>
      <c r="G598" s="6" t="s">
        <v>9</v>
      </c>
    </row>
    <row r="599" spans="1:7" x14ac:dyDescent="0.35">
      <c r="A599" s="6" t="s">
        <v>823</v>
      </c>
      <c r="B599" s="7">
        <v>31024</v>
      </c>
      <c r="C599">
        <v>2</v>
      </c>
      <c r="D599">
        <v>6640.54</v>
      </c>
      <c r="E599" s="6" t="s">
        <v>7</v>
      </c>
      <c r="F599" s="6" t="s">
        <v>8</v>
      </c>
      <c r="G599" s="6" t="s">
        <v>156</v>
      </c>
    </row>
    <row r="600" spans="1:7" x14ac:dyDescent="0.35">
      <c r="A600" s="6" t="s">
        <v>822</v>
      </c>
      <c r="B600" s="7">
        <v>33030</v>
      </c>
      <c r="C600">
        <v>3</v>
      </c>
      <c r="D600">
        <v>6639.3</v>
      </c>
      <c r="E600" s="6" t="s">
        <v>7</v>
      </c>
      <c r="F600" s="6" t="s">
        <v>7</v>
      </c>
      <c r="G600" s="6" t="s">
        <v>290</v>
      </c>
    </row>
    <row r="601" spans="1:7" x14ac:dyDescent="0.35">
      <c r="A601" s="6" t="s">
        <v>2209</v>
      </c>
      <c r="B601" s="7">
        <v>36005</v>
      </c>
      <c r="C601">
        <v>0</v>
      </c>
      <c r="D601">
        <v>38126.25</v>
      </c>
      <c r="E601" s="6" t="s">
        <v>11</v>
      </c>
      <c r="F601" s="6" t="s">
        <v>8</v>
      </c>
      <c r="G601" s="6" t="s">
        <v>9</v>
      </c>
    </row>
    <row r="602" spans="1:7" x14ac:dyDescent="0.35">
      <c r="A602" s="6" t="s">
        <v>821</v>
      </c>
      <c r="B602" s="7">
        <v>37868</v>
      </c>
      <c r="C602">
        <v>0</v>
      </c>
      <c r="D602">
        <v>6638.16</v>
      </c>
      <c r="E602" s="6" t="s">
        <v>7</v>
      </c>
      <c r="F602" s="6" t="s">
        <v>11</v>
      </c>
      <c r="G602" s="6" t="s">
        <v>16</v>
      </c>
    </row>
    <row r="603" spans="1:7" x14ac:dyDescent="0.35">
      <c r="A603" s="6" t="s">
        <v>820</v>
      </c>
      <c r="B603" s="7">
        <v>26905</v>
      </c>
      <c r="C603">
        <v>0</v>
      </c>
      <c r="D603">
        <v>6630.31</v>
      </c>
      <c r="E603" s="6" t="s">
        <v>7</v>
      </c>
      <c r="F603" s="6" t="s">
        <v>11</v>
      </c>
      <c r="G603" s="6" t="s">
        <v>9</v>
      </c>
    </row>
    <row r="604" spans="1:7" x14ac:dyDescent="0.35">
      <c r="A604" s="6" t="s">
        <v>819</v>
      </c>
      <c r="B604" s="7">
        <v>30191</v>
      </c>
      <c r="C604">
        <v>1</v>
      </c>
      <c r="D604">
        <v>6610.11</v>
      </c>
      <c r="E604" s="6" t="s">
        <v>8</v>
      </c>
      <c r="F604" s="6" t="s">
        <v>7</v>
      </c>
      <c r="G604" s="6" t="s">
        <v>154</v>
      </c>
    </row>
    <row r="605" spans="1:7" x14ac:dyDescent="0.35">
      <c r="A605" s="6" t="s">
        <v>818</v>
      </c>
      <c r="B605" s="7">
        <v>30262</v>
      </c>
      <c r="C605">
        <v>2</v>
      </c>
      <c r="D605">
        <v>6600.36</v>
      </c>
      <c r="E605" s="6" t="s">
        <v>7</v>
      </c>
      <c r="F605" s="6" t="s">
        <v>8</v>
      </c>
      <c r="G605" s="6" t="s">
        <v>32</v>
      </c>
    </row>
    <row r="606" spans="1:7" x14ac:dyDescent="0.35">
      <c r="A606" s="6" t="s">
        <v>817</v>
      </c>
      <c r="B606" s="7">
        <v>30314</v>
      </c>
      <c r="C606">
        <v>1</v>
      </c>
      <c r="D606">
        <v>6600.21</v>
      </c>
      <c r="E606" s="6" t="s">
        <v>8</v>
      </c>
      <c r="F606" s="6" t="s">
        <v>7</v>
      </c>
      <c r="G606" s="6" t="s">
        <v>158</v>
      </c>
    </row>
    <row r="607" spans="1:7" x14ac:dyDescent="0.35">
      <c r="A607" s="6" t="s">
        <v>816</v>
      </c>
      <c r="B607" s="7">
        <v>30277</v>
      </c>
      <c r="C607">
        <v>2</v>
      </c>
      <c r="D607">
        <v>6593.51</v>
      </c>
      <c r="E607" s="6" t="s">
        <v>7</v>
      </c>
      <c r="F607" s="6" t="s">
        <v>11</v>
      </c>
      <c r="G607" s="6" t="s">
        <v>9</v>
      </c>
    </row>
    <row r="608" spans="1:7" x14ac:dyDescent="0.35">
      <c r="A608" s="6" t="s">
        <v>815</v>
      </c>
      <c r="B608" s="7">
        <v>30960</v>
      </c>
      <c r="C608">
        <v>2</v>
      </c>
      <c r="D608">
        <v>6571.54</v>
      </c>
      <c r="E608" s="6" t="s">
        <v>7</v>
      </c>
      <c r="F608" s="6" t="s">
        <v>8</v>
      </c>
      <c r="G608" s="6" t="s">
        <v>32</v>
      </c>
    </row>
    <row r="609" spans="1:7" x14ac:dyDescent="0.35">
      <c r="A609" s="6" t="s">
        <v>814</v>
      </c>
      <c r="B609" s="7">
        <v>29787</v>
      </c>
      <c r="C609">
        <v>0</v>
      </c>
      <c r="D609">
        <v>6571.02</v>
      </c>
      <c r="E609" s="6" t="s">
        <v>7</v>
      </c>
      <c r="F609" s="6" t="s">
        <v>11</v>
      </c>
      <c r="G609" s="6" t="s">
        <v>16</v>
      </c>
    </row>
    <row r="610" spans="1:7" x14ac:dyDescent="0.35">
      <c r="A610" s="6" t="s">
        <v>813</v>
      </c>
      <c r="B610" s="7">
        <v>30945</v>
      </c>
      <c r="C610">
        <v>1</v>
      </c>
      <c r="D610">
        <v>6555.07</v>
      </c>
      <c r="E610" s="6" t="s">
        <v>7</v>
      </c>
      <c r="F610" s="6" t="s">
        <v>7</v>
      </c>
      <c r="G610" s="6" t="s">
        <v>237</v>
      </c>
    </row>
    <row r="611" spans="1:7" x14ac:dyDescent="0.35">
      <c r="A611" s="6" t="s">
        <v>812</v>
      </c>
      <c r="B611" s="7">
        <v>25183</v>
      </c>
      <c r="C611">
        <v>0</v>
      </c>
      <c r="D611">
        <v>6552.01</v>
      </c>
      <c r="E611" s="6" t="s">
        <v>8</v>
      </c>
      <c r="F611" s="6" t="s">
        <v>7</v>
      </c>
      <c r="G611" s="6" t="s">
        <v>9</v>
      </c>
    </row>
    <row r="612" spans="1:7" x14ac:dyDescent="0.35">
      <c r="A612" s="6" t="s">
        <v>2208</v>
      </c>
      <c r="B612" s="7">
        <v>29107</v>
      </c>
      <c r="C612">
        <v>0</v>
      </c>
      <c r="D612">
        <v>37829.72</v>
      </c>
      <c r="E612" s="6" t="s">
        <v>11</v>
      </c>
      <c r="F612" s="6" t="s">
        <v>7</v>
      </c>
      <c r="G612" s="6" t="s">
        <v>32</v>
      </c>
    </row>
    <row r="613" spans="1:7" x14ac:dyDescent="0.35">
      <c r="A613" s="6" t="s">
        <v>811</v>
      </c>
      <c r="B613" s="7">
        <v>32726</v>
      </c>
      <c r="C613">
        <v>3</v>
      </c>
      <c r="D613">
        <v>6551.75</v>
      </c>
      <c r="E613" s="6" t="s">
        <v>7</v>
      </c>
      <c r="F613" s="6" t="s">
        <v>7</v>
      </c>
      <c r="G613" s="6" t="s">
        <v>237</v>
      </c>
    </row>
    <row r="614" spans="1:7" x14ac:dyDescent="0.35">
      <c r="A614" s="6" t="s">
        <v>810</v>
      </c>
      <c r="B614" s="7">
        <v>31764</v>
      </c>
      <c r="C614">
        <v>3</v>
      </c>
      <c r="D614">
        <v>6548.2</v>
      </c>
      <c r="E614" s="6" t="s">
        <v>7</v>
      </c>
      <c r="F614" s="6" t="s">
        <v>8</v>
      </c>
      <c r="G614" s="6" t="s">
        <v>16</v>
      </c>
    </row>
    <row r="615" spans="1:7" x14ac:dyDescent="0.35">
      <c r="A615" s="6" t="s">
        <v>809</v>
      </c>
      <c r="B615" s="7">
        <v>25540</v>
      </c>
      <c r="C615">
        <v>0</v>
      </c>
      <c r="D615">
        <v>6546.16</v>
      </c>
      <c r="E615" s="6" t="s">
        <v>7</v>
      </c>
      <c r="F615" s="6" t="s">
        <v>8</v>
      </c>
      <c r="G615" s="6" t="s">
        <v>9</v>
      </c>
    </row>
    <row r="616" spans="1:7" x14ac:dyDescent="0.35">
      <c r="A616" s="6" t="s">
        <v>808</v>
      </c>
      <c r="B616" s="7">
        <v>30226</v>
      </c>
      <c r="C616">
        <v>3</v>
      </c>
      <c r="D616">
        <v>6536.68</v>
      </c>
      <c r="E616" s="6" t="s">
        <v>7</v>
      </c>
      <c r="F616" s="6" t="s">
        <v>7</v>
      </c>
      <c r="G616" s="6" t="s">
        <v>16</v>
      </c>
    </row>
    <row r="617" spans="1:7" x14ac:dyDescent="0.35">
      <c r="A617" s="6" t="s">
        <v>807</v>
      </c>
      <c r="B617" s="7">
        <v>30175</v>
      </c>
      <c r="C617">
        <v>3</v>
      </c>
      <c r="D617">
        <v>6532.04</v>
      </c>
      <c r="E617" s="6" t="s">
        <v>7</v>
      </c>
      <c r="F617" s="6" t="s">
        <v>11</v>
      </c>
      <c r="G617" s="6" t="s">
        <v>9</v>
      </c>
    </row>
    <row r="618" spans="1:7" x14ac:dyDescent="0.35">
      <c r="A618" s="6" t="s">
        <v>806</v>
      </c>
      <c r="B618" s="7">
        <v>28056</v>
      </c>
      <c r="C618">
        <v>2</v>
      </c>
      <c r="D618">
        <v>6529.21</v>
      </c>
      <c r="E618" s="6" t="s">
        <v>7</v>
      </c>
      <c r="F618" s="6" t="s">
        <v>11</v>
      </c>
      <c r="G618" s="6" t="s">
        <v>9</v>
      </c>
    </row>
    <row r="619" spans="1:7" x14ac:dyDescent="0.35">
      <c r="A619" s="6" t="s">
        <v>805</v>
      </c>
      <c r="B619" s="7">
        <v>34522</v>
      </c>
      <c r="C619">
        <v>0</v>
      </c>
      <c r="D619">
        <v>6512.24</v>
      </c>
      <c r="E619" s="6" t="s">
        <v>7</v>
      </c>
      <c r="F619" s="6" t="s">
        <v>11</v>
      </c>
      <c r="G619" s="6" t="s">
        <v>290</v>
      </c>
    </row>
    <row r="620" spans="1:7" x14ac:dyDescent="0.35">
      <c r="A620" s="6" t="s">
        <v>804</v>
      </c>
      <c r="B620" s="7">
        <v>30191</v>
      </c>
      <c r="C620">
        <v>1</v>
      </c>
      <c r="D620">
        <v>6500.24</v>
      </c>
      <c r="E620" s="6" t="s">
        <v>7</v>
      </c>
      <c r="F620" s="6" t="s">
        <v>7</v>
      </c>
      <c r="G620" s="6" t="s">
        <v>9</v>
      </c>
    </row>
    <row r="621" spans="1:7" x14ac:dyDescent="0.35">
      <c r="A621" s="6" t="s">
        <v>803</v>
      </c>
      <c r="B621" s="7">
        <v>30233</v>
      </c>
      <c r="C621">
        <v>1</v>
      </c>
      <c r="D621">
        <v>6496.89</v>
      </c>
      <c r="E621" s="6" t="s">
        <v>7</v>
      </c>
      <c r="F621" s="6" t="s">
        <v>8</v>
      </c>
      <c r="G621" s="6" t="s">
        <v>32</v>
      </c>
    </row>
    <row r="622" spans="1:7" x14ac:dyDescent="0.35">
      <c r="A622" s="6" t="s">
        <v>802</v>
      </c>
      <c r="B622" s="7">
        <v>25903</v>
      </c>
      <c r="C622">
        <v>0</v>
      </c>
      <c r="D622">
        <v>6481.67</v>
      </c>
      <c r="E622" s="6" t="s">
        <v>7</v>
      </c>
      <c r="F622" s="6" t="s">
        <v>7</v>
      </c>
      <c r="G622" s="6" t="s">
        <v>9</v>
      </c>
    </row>
    <row r="623" spans="1:7" x14ac:dyDescent="0.35">
      <c r="A623" s="6" t="s">
        <v>2207</v>
      </c>
      <c r="B623" s="7">
        <v>30523</v>
      </c>
      <c r="C623">
        <v>3</v>
      </c>
      <c r="D623">
        <v>37800.980000000003</v>
      </c>
      <c r="E623" s="6" t="s">
        <v>7</v>
      </c>
      <c r="F623" s="6" t="s">
        <v>7</v>
      </c>
      <c r="G623" s="6" t="s">
        <v>32</v>
      </c>
    </row>
    <row r="624" spans="1:7" x14ac:dyDescent="0.35">
      <c r="A624" s="6" t="s">
        <v>801</v>
      </c>
      <c r="B624" s="7">
        <v>29380</v>
      </c>
      <c r="C624">
        <v>0</v>
      </c>
      <c r="D624">
        <v>6474.01</v>
      </c>
      <c r="E624" s="6" t="s">
        <v>7</v>
      </c>
      <c r="F624" s="6" t="s">
        <v>8</v>
      </c>
      <c r="G624" s="6" t="s">
        <v>32</v>
      </c>
    </row>
    <row r="625" spans="1:7" x14ac:dyDescent="0.35">
      <c r="A625" s="6" t="s">
        <v>800</v>
      </c>
      <c r="B625" s="7">
        <v>29794</v>
      </c>
      <c r="C625">
        <v>1</v>
      </c>
      <c r="D625">
        <v>6473.15</v>
      </c>
      <c r="E625" s="6" t="s">
        <v>7</v>
      </c>
      <c r="F625" s="6" t="s">
        <v>7</v>
      </c>
      <c r="G625" s="6" t="s">
        <v>9</v>
      </c>
    </row>
    <row r="626" spans="1:7" x14ac:dyDescent="0.35">
      <c r="A626" s="6" t="s">
        <v>799</v>
      </c>
      <c r="B626" s="7">
        <v>30987</v>
      </c>
      <c r="C626">
        <v>2</v>
      </c>
      <c r="D626">
        <v>6457.84</v>
      </c>
      <c r="E626" s="6" t="s">
        <v>7</v>
      </c>
      <c r="F626" s="6" t="s">
        <v>8</v>
      </c>
      <c r="G626" s="6" t="s">
        <v>16</v>
      </c>
    </row>
    <row r="627" spans="1:7" x14ac:dyDescent="0.35">
      <c r="A627" s="6" t="s">
        <v>798</v>
      </c>
      <c r="B627" s="7">
        <v>30920</v>
      </c>
      <c r="C627">
        <v>2</v>
      </c>
      <c r="D627">
        <v>6455.86</v>
      </c>
      <c r="E627" s="6" t="s">
        <v>8</v>
      </c>
      <c r="F627" s="6" t="s">
        <v>8</v>
      </c>
      <c r="G627" s="6" t="s">
        <v>16</v>
      </c>
    </row>
    <row r="628" spans="1:7" x14ac:dyDescent="0.35">
      <c r="A628" s="6" t="s">
        <v>797</v>
      </c>
      <c r="B628" s="7">
        <v>31250</v>
      </c>
      <c r="C628">
        <v>3</v>
      </c>
      <c r="D628">
        <v>6435.62</v>
      </c>
      <c r="E628" s="6" t="s">
        <v>8</v>
      </c>
      <c r="F628" s="6" t="s">
        <v>7</v>
      </c>
      <c r="G628" s="6" t="s">
        <v>9</v>
      </c>
    </row>
    <row r="629" spans="1:7" x14ac:dyDescent="0.35">
      <c r="A629" s="6" t="s">
        <v>796</v>
      </c>
      <c r="B629" s="7">
        <v>27611</v>
      </c>
      <c r="C629">
        <v>1</v>
      </c>
      <c r="D629">
        <v>6423.48</v>
      </c>
      <c r="E629" s="6" t="s">
        <v>7</v>
      </c>
      <c r="F629" s="6" t="s">
        <v>8</v>
      </c>
      <c r="G629" s="6" t="s">
        <v>9</v>
      </c>
    </row>
    <row r="630" spans="1:7" x14ac:dyDescent="0.35">
      <c r="A630" s="6" t="s">
        <v>795</v>
      </c>
      <c r="B630" s="7">
        <v>28124</v>
      </c>
      <c r="C630">
        <v>2</v>
      </c>
      <c r="D630">
        <v>6417.28</v>
      </c>
      <c r="E630" s="6" t="s">
        <v>7</v>
      </c>
      <c r="F630" s="6" t="s">
        <v>8</v>
      </c>
      <c r="G630" s="6" t="s">
        <v>9</v>
      </c>
    </row>
    <row r="631" spans="1:7" x14ac:dyDescent="0.35">
      <c r="A631" s="6" t="s">
        <v>794</v>
      </c>
      <c r="B631" s="7">
        <v>32024</v>
      </c>
      <c r="C631">
        <v>3</v>
      </c>
      <c r="D631">
        <v>6414.18</v>
      </c>
      <c r="E631" s="6" t="s">
        <v>7</v>
      </c>
      <c r="F631" s="6" t="s">
        <v>7</v>
      </c>
      <c r="G631" s="6" t="s">
        <v>32</v>
      </c>
    </row>
    <row r="632" spans="1:7" x14ac:dyDescent="0.35">
      <c r="A632" s="6" t="s">
        <v>793</v>
      </c>
      <c r="B632" s="7">
        <v>26167</v>
      </c>
      <c r="C632">
        <v>0</v>
      </c>
      <c r="D632">
        <v>6412.34</v>
      </c>
      <c r="E632" s="6" t="s">
        <v>7</v>
      </c>
      <c r="F632" s="6" t="s">
        <v>8</v>
      </c>
      <c r="G632" s="6" t="s">
        <v>9</v>
      </c>
    </row>
    <row r="633" spans="1:7" x14ac:dyDescent="0.35">
      <c r="A633" s="6" t="s">
        <v>792</v>
      </c>
      <c r="B633" s="7">
        <v>25800</v>
      </c>
      <c r="C633">
        <v>0</v>
      </c>
      <c r="D633">
        <v>6407.05</v>
      </c>
      <c r="E633" s="6" t="s">
        <v>7</v>
      </c>
      <c r="F633" s="6" t="s">
        <v>11</v>
      </c>
      <c r="G633" s="6" t="s">
        <v>9</v>
      </c>
    </row>
    <row r="634" spans="1:7" x14ac:dyDescent="0.35">
      <c r="A634" s="6" t="s">
        <v>2206</v>
      </c>
      <c r="B634" s="7">
        <v>31639</v>
      </c>
      <c r="C634">
        <v>0</v>
      </c>
      <c r="D634">
        <v>37742.58</v>
      </c>
      <c r="E634" s="6" t="s">
        <v>11</v>
      </c>
      <c r="F634" s="6" t="s">
        <v>11</v>
      </c>
      <c r="G634" s="6" t="s">
        <v>9</v>
      </c>
    </row>
    <row r="635" spans="1:7" x14ac:dyDescent="0.35">
      <c r="A635" s="6" t="s">
        <v>791</v>
      </c>
      <c r="B635" s="7">
        <v>31391</v>
      </c>
      <c r="C635">
        <v>2</v>
      </c>
      <c r="D635">
        <v>6406.41</v>
      </c>
      <c r="E635" s="6" t="s">
        <v>11</v>
      </c>
      <c r="F635" s="6" t="s">
        <v>8</v>
      </c>
      <c r="G635" s="6" t="s">
        <v>266</v>
      </c>
    </row>
    <row r="636" spans="1:7" x14ac:dyDescent="0.35">
      <c r="A636" s="6" t="s">
        <v>790</v>
      </c>
      <c r="B636" s="7">
        <v>32029</v>
      </c>
      <c r="C636">
        <v>2</v>
      </c>
      <c r="D636">
        <v>6402.29</v>
      </c>
      <c r="E636" s="6" t="s">
        <v>7</v>
      </c>
      <c r="F636" s="6" t="s">
        <v>8</v>
      </c>
      <c r="G636" s="6" t="s">
        <v>237</v>
      </c>
    </row>
    <row r="637" spans="1:7" x14ac:dyDescent="0.35">
      <c r="A637" s="6" t="s">
        <v>789</v>
      </c>
      <c r="B637" s="7">
        <v>30252</v>
      </c>
      <c r="C637">
        <v>1</v>
      </c>
      <c r="D637">
        <v>6393.6</v>
      </c>
      <c r="E637" s="6" t="s">
        <v>7</v>
      </c>
      <c r="F637" s="6" t="s">
        <v>11</v>
      </c>
      <c r="G637" s="6" t="s">
        <v>16</v>
      </c>
    </row>
    <row r="638" spans="1:7" x14ac:dyDescent="0.35">
      <c r="A638" s="6" t="s">
        <v>788</v>
      </c>
      <c r="B638" s="7">
        <v>35658</v>
      </c>
      <c r="C638">
        <v>0</v>
      </c>
      <c r="D638">
        <v>6389.53</v>
      </c>
      <c r="E638" s="6" t="s">
        <v>7</v>
      </c>
      <c r="F638" s="6" t="s">
        <v>7</v>
      </c>
      <c r="G638" s="6" t="s">
        <v>290</v>
      </c>
    </row>
    <row r="639" spans="1:7" x14ac:dyDescent="0.35">
      <c r="A639" s="6" t="s">
        <v>787</v>
      </c>
      <c r="B639" s="7">
        <v>30169</v>
      </c>
      <c r="C639">
        <v>1</v>
      </c>
      <c r="D639">
        <v>6389.38</v>
      </c>
      <c r="E639" s="6" t="s">
        <v>11</v>
      </c>
      <c r="F639" s="6" t="s">
        <v>7</v>
      </c>
      <c r="G639" s="6" t="s">
        <v>16</v>
      </c>
    </row>
    <row r="640" spans="1:7" x14ac:dyDescent="0.35">
      <c r="A640" s="6" t="s">
        <v>786</v>
      </c>
      <c r="B640" s="7">
        <v>28082</v>
      </c>
      <c r="C640">
        <v>2</v>
      </c>
      <c r="D640">
        <v>6374.16</v>
      </c>
      <c r="E640" s="6" t="s">
        <v>7</v>
      </c>
      <c r="F640" s="6" t="s">
        <v>7</v>
      </c>
      <c r="G640" s="6" t="s">
        <v>9</v>
      </c>
    </row>
    <row r="641" spans="1:7" x14ac:dyDescent="0.35">
      <c r="A641" s="6" t="s">
        <v>785</v>
      </c>
      <c r="B641" s="7">
        <v>30907</v>
      </c>
      <c r="C641">
        <v>1</v>
      </c>
      <c r="D641">
        <v>6373.56</v>
      </c>
      <c r="E641" s="6" t="s">
        <v>7</v>
      </c>
      <c r="F641" s="6" t="s">
        <v>11</v>
      </c>
      <c r="G641" s="6" t="s">
        <v>16</v>
      </c>
    </row>
    <row r="642" spans="1:7" x14ac:dyDescent="0.35">
      <c r="A642" s="6" t="s">
        <v>784</v>
      </c>
      <c r="B642" s="7">
        <v>25881</v>
      </c>
      <c r="C642">
        <v>0</v>
      </c>
      <c r="D642">
        <v>6367.31</v>
      </c>
      <c r="E642" s="6" t="s">
        <v>7</v>
      </c>
      <c r="F642" s="6" t="s">
        <v>11</v>
      </c>
      <c r="G642" s="6" t="s">
        <v>9</v>
      </c>
    </row>
    <row r="643" spans="1:7" x14ac:dyDescent="0.35">
      <c r="A643" s="6" t="s">
        <v>783</v>
      </c>
      <c r="B643" s="7">
        <v>35253</v>
      </c>
      <c r="C643">
        <v>0</v>
      </c>
      <c r="D643">
        <v>6361.47</v>
      </c>
      <c r="E643" s="6" t="s">
        <v>7</v>
      </c>
      <c r="F643" s="6" t="s">
        <v>8</v>
      </c>
      <c r="G643" s="6" t="s">
        <v>290</v>
      </c>
    </row>
    <row r="644" spans="1:7" x14ac:dyDescent="0.35">
      <c r="A644" s="6" t="s">
        <v>782</v>
      </c>
      <c r="B644" s="7">
        <v>32683</v>
      </c>
      <c r="C644">
        <v>3</v>
      </c>
      <c r="D644">
        <v>6360.99</v>
      </c>
      <c r="E644" s="6" t="s">
        <v>7</v>
      </c>
      <c r="F644" s="6" t="s">
        <v>7</v>
      </c>
      <c r="G644" s="6" t="s">
        <v>16</v>
      </c>
    </row>
    <row r="645" spans="1:7" x14ac:dyDescent="0.35">
      <c r="A645" s="6" t="s">
        <v>2205</v>
      </c>
      <c r="B645" s="7">
        <v>28021</v>
      </c>
      <c r="C645">
        <v>2</v>
      </c>
      <c r="D645">
        <v>37735.199999999997</v>
      </c>
      <c r="E645" s="6" t="s">
        <v>7</v>
      </c>
      <c r="F645" s="6" t="s">
        <v>7</v>
      </c>
      <c r="G645" s="6" t="s">
        <v>32</v>
      </c>
    </row>
    <row r="646" spans="1:7" x14ac:dyDescent="0.35">
      <c r="A646" s="6" t="s">
        <v>781</v>
      </c>
      <c r="B646" s="7">
        <v>29524</v>
      </c>
      <c r="C646">
        <v>0</v>
      </c>
      <c r="D646">
        <v>6358.78</v>
      </c>
      <c r="E646" s="6" t="s">
        <v>7</v>
      </c>
      <c r="F646" s="6" t="s">
        <v>11</v>
      </c>
      <c r="G646" s="6" t="s">
        <v>16</v>
      </c>
    </row>
    <row r="647" spans="1:7" x14ac:dyDescent="0.35">
      <c r="A647" s="6" t="s">
        <v>780</v>
      </c>
      <c r="B647" s="7">
        <v>30547</v>
      </c>
      <c r="C647">
        <v>2</v>
      </c>
      <c r="D647">
        <v>6356.27</v>
      </c>
      <c r="E647" s="6" t="s">
        <v>8</v>
      </c>
      <c r="F647" s="6" t="s">
        <v>7</v>
      </c>
      <c r="G647" s="6" t="s">
        <v>9</v>
      </c>
    </row>
    <row r="648" spans="1:7" x14ac:dyDescent="0.35">
      <c r="A648" s="6" t="s">
        <v>779</v>
      </c>
      <c r="B648" s="7">
        <v>30610</v>
      </c>
      <c r="C648">
        <v>2</v>
      </c>
      <c r="D648">
        <v>6338.08</v>
      </c>
      <c r="E648" s="6" t="s">
        <v>7</v>
      </c>
      <c r="F648" s="6" t="s">
        <v>11</v>
      </c>
      <c r="G648" s="6" t="s">
        <v>9</v>
      </c>
    </row>
    <row r="649" spans="1:7" x14ac:dyDescent="0.35">
      <c r="A649" s="6" t="s">
        <v>778</v>
      </c>
      <c r="B649" s="7">
        <v>31680</v>
      </c>
      <c r="C649">
        <v>3</v>
      </c>
      <c r="D649">
        <v>6335.64</v>
      </c>
      <c r="E649" s="6" t="s">
        <v>7</v>
      </c>
      <c r="F649" s="6" t="s">
        <v>7</v>
      </c>
      <c r="G649" s="6" t="s">
        <v>9</v>
      </c>
    </row>
    <row r="650" spans="1:7" x14ac:dyDescent="0.35">
      <c r="A650" s="6" t="s">
        <v>777</v>
      </c>
      <c r="B650" s="7">
        <v>33098</v>
      </c>
      <c r="C650">
        <v>3</v>
      </c>
      <c r="D650">
        <v>6334.34</v>
      </c>
      <c r="E650" s="6" t="s">
        <v>7</v>
      </c>
      <c r="F650" s="6" t="s">
        <v>7</v>
      </c>
      <c r="G650" s="6" t="s">
        <v>237</v>
      </c>
    </row>
    <row r="651" spans="1:7" x14ac:dyDescent="0.35">
      <c r="A651" s="6" t="s">
        <v>776</v>
      </c>
      <c r="B651" s="7">
        <v>31396</v>
      </c>
      <c r="C651">
        <v>2</v>
      </c>
      <c r="D651">
        <v>6313.76</v>
      </c>
      <c r="E651" s="6" t="s">
        <v>7</v>
      </c>
      <c r="F651" s="6" t="s">
        <v>11</v>
      </c>
      <c r="G651" s="6" t="s">
        <v>9</v>
      </c>
    </row>
    <row r="652" spans="1:7" x14ac:dyDescent="0.35">
      <c r="A652" s="6" t="s">
        <v>775</v>
      </c>
      <c r="B652" s="7">
        <v>31370</v>
      </c>
      <c r="C652">
        <v>2</v>
      </c>
      <c r="D652">
        <v>6311.95</v>
      </c>
      <c r="E652" s="6" t="s">
        <v>7</v>
      </c>
      <c r="F652" s="6" t="s">
        <v>11</v>
      </c>
      <c r="G652" s="6" t="s">
        <v>32</v>
      </c>
    </row>
    <row r="653" spans="1:7" x14ac:dyDescent="0.35">
      <c r="A653" s="6" t="s">
        <v>774</v>
      </c>
      <c r="B653" s="7">
        <v>38195</v>
      </c>
      <c r="C653">
        <v>0</v>
      </c>
      <c r="D653">
        <v>6311.11</v>
      </c>
      <c r="E653" s="6" t="s">
        <v>7</v>
      </c>
      <c r="F653" s="6" t="s">
        <v>7</v>
      </c>
      <c r="G653" s="6" t="s">
        <v>32</v>
      </c>
    </row>
    <row r="654" spans="1:7" x14ac:dyDescent="0.35">
      <c r="A654" s="6" t="s">
        <v>773</v>
      </c>
      <c r="B654" s="7">
        <v>25450</v>
      </c>
      <c r="C654">
        <v>0</v>
      </c>
      <c r="D654">
        <v>6305.61</v>
      </c>
      <c r="E654" s="6" t="s">
        <v>7</v>
      </c>
      <c r="F654" s="6" t="s">
        <v>7</v>
      </c>
      <c r="G654" s="6" t="s">
        <v>16</v>
      </c>
    </row>
    <row r="655" spans="1:7" x14ac:dyDescent="0.35">
      <c r="A655" s="6" t="s">
        <v>772</v>
      </c>
      <c r="B655" s="7">
        <v>27289</v>
      </c>
      <c r="C655">
        <v>0</v>
      </c>
      <c r="D655">
        <v>6302.23</v>
      </c>
      <c r="E655" s="6" t="s">
        <v>7</v>
      </c>
      <c r="F655" s="6" t="s">
        <v>11</v>
      </c>
      <c r="G655" s="6" t="s">
        <v>9</v>
      </c>
    </row>
    <row r="656" spans="1:7" x14ac:dyDescent="0.35">
      <c r="A656" s="6" t="s">
        <v>2204</v>
      </c>
      <c r="B656" s="7">
        <v>32426</v>
      </c>
      <c r="C656">
        <v>1</v>
      </c>
      <c r="D656">
        <v>37701.879999999997</v>
      </c>
      <c r="E656" s="6" t="s">
        <v>7</v>
      </c>
      <c r="F656" s="6" t="s">
        <v>8</v>
      </c>
      <c r="G656" s="6" t="s">
        <v>239</v>
      </c>
    </row>
    <row r="657" spans="1:7" x14ac:dyDescent="0.35">
      <c r="A657" s="6" t="s">
        <v>771</v>
      </c>
      <c r="B657" s="7">
        <v>35250</v>
      </c>
      <c r="C657">
        <v>0</v>
      </c>
      <c r="D657">
        <v>6293.63</v>
      </c>
      <c r="E657" s="6" t="s">
        <v>7</v>
      </c>
      <c r="F657" s="6" t="s">
        <v>8</v>
      </c>
      <c r="G657" s="6" t="s">
        <v>290</v>
      </c>
    </row>
    <row r="658" spans="1:7" x14ac:dyDescent="0.35">
      <c r="A658" s="6" t="s">
        <v>770</v>
      </c>
      <c r="B658" s="7">
        <v>29824</v>
      </c>
      <c r="C658">
        <v>1</v>
      </c>
      <c r="D658">
        <v>6289.75</v>
      </c>
      <c r="E658" s="6" t="s">
        <v>7</v>
      </c>
      <c r="F658" s="6" t="s">
        <v>8</v>
      </c>
      <c r="G658" s="6" t="s">
        <v>9</v>
      </c>
    </row>
    <row r="659" spans="1:7" x14ac:dyDescent="0.35">
      <c r="A659" s="6" t="s">
        <v>769</v>
      </c>
      <c r="B659" s="7">
        <v>29914</v>
      </c>
      <c r="C659">
        <v>1</v>
      </c>
      <c r="D659">
        <v>6282.24</v>
      </c>
      <c r="E659" s="6" t="s">
        <v>7</v>
      </c>
      <c r="F659" s="6" t="s">
        <v>11</v>
      </c>
      <c r="G659" s="6" t="s">
        <v>32</v>
      </c>
    </row>
    <row r="660" spans="1:7" x14ac:dyDescent="0.35">
      <c r="A660" s="6" t="s">
        <v>768</v>
      </c>
      <c r="B660" s="7">
        <v>34258</v>
      </c>
      <c r="C660">
        <v>0</v>
      </c>
      <c r="D660">
        <v>6276.3</v>
      </c>
      <c r="E660" s="6" t="s">
        <v>7</v>
      </c>
      <c r="F660" s="6" t="s">
        <v>11</v>
      </c>
      <c r="G660" s="6" t="s">
        <v>190</v>
      </c>
    </row>
    <row r="661" spans="1:7" x14ac:dyDescent="0.35">
      <c r="A661" s="6" t="s">
        <v>767</v>
      </c>
      <c r="B661" s="7">
        <v>29767</v>
      </c>
      <c r="C661">
        <v>1</v>
      </c>
      <c r="D661">
        <v>6272.48</v>
      </c>
      <c r="E661" s="6" t="s">
        <v>11</v>
      </c>
      <c r="F661" s="6" t="s">
        <v>8</v>
      </c>
      <c r="G661" s="6" t="s">
        <v>9</v>
      </c>
    </row>
    <row r="662" spans="1:7" x14ac:dyDescent="0.35">
      <c r="A662" s="6" t="s">
        <v>766</v>
      </c>
      <c r="B662" s="7">
        <v>30950</v>
      </c>
      <c r="C662">
        <v>3</v>
      </c>
      <c r="D662">
        <v>6269.33</v>
      </c>
      <c r="E662" s="6" t="s">
        <v>7</v>
      </c>
      <c r="F662" s="6" t="s">
        <v>11</v>
      </c>
      <c r="G662" s="6" t="s">
        <v>9</v>
      </c>
    </row>
    <row r="663" spans="1:7" x14ac:dyDescent="0.35">
      <c r="A663" s="6" t="s">
        <v>765</v>
      </c>
      <c r="B663" s="7">
        <v>34989</v>
      </c>
      <c r="C663">
        <v>0</v>
      </c>
      <c r="D663">
        <v>6261.2</v>
      </c>
      <c r="E663" s="6" t="s">
        <v>7</v>
      </c>
      <c r="F663" s="6" t="s">
        <v>11</v>
      </c>
      <c r="G663" s="6" t="s">
        <v>525</v>
      </c>
    </row>
    <row r="664" spans="1:7" x14ac:dyDescent="0.35">
      <c r="A664" s="6" t="s">
        <v>764</v>
      </c>
      <c r="B664" s="7">
        <v>25852</v>
      </c>
      <c r="C664">
        <v>0</v>
      </c>
      <c r="D664">
        <v>6255.38</v>
      </c>
      <c r="E664" s="6" t="s">
        <v>7</v>
      </c>
      <c r="F664" s="6" t="s">
        <v>7</v>
      </c>
      <c r="G664" s="6" t="s">
        <v>9</v>
      </c>
    </row>
    <row r="665" spans="1:7" x14ac:dyDescent="0.35">
      <c r="A665" s="6" t="s">
        <v>763</v>
      </c>
      <c r="B665" s="7">
        <v>26550</v>
      </c>
      <c r="C665">
        <v>0</v>
      </c>
      <c r="D665">
        <v>6254.13</v>
      </c>
      <c r="E665" s="6" t="s">
        <v>7</v>
      </c>
      <c r="F665" s="6" t="s">
        <v>7</v>
      </c>
      <c r="G665" s="6" t="s">
        <v>16</v>
      </c>
    </row>
    <row r="666" spans="1:7" x14ac:dyDescent="0.35">
      <c r="A666" s="6" t="s">
        <v>762</v>
      </c>
      <c r="B666" s="7">
        <v>26614</v>
      </c>
      <c r="C666">
        <v>0</v>
      </c>
      <c r="D666">
        <v>6253.85</v>
      </c>
      <c r="E666" s="6" t="s">
        <v>7</v>
      </c>
      <c r="F666" s="6" t="s">
        <v>7</v>
      </c>
      <c r="G666" s="6" t="s">
        <v>9</v>
      </c>
    </row>
    <row r="667" spans="1:7" x14ac:dyDescent="0.35">
      <c r="A667" s="6" t="s">
        <v>2347</v>
      </c>
      <c r="B667" s="7">
        <v>22885</v>
      </c>
      <c r="C667">
        <v>0</v>
      </c>
      <c r="D667">
        <v>48173.36</v>
      </c>
      <c r="E667" s="6" t="s">
        <v>11</v>
      </c>
      <c r="F667" s="6" t="s">
        <v>8</v>
      </c>
      <c r="G667" s="6" t="s">
        <v>32</v>
      </c>
    </row>
    <row r="668" spans="1:7" x14ac:dyDescent="0.35">
      <c r="A668" s="6" t="s">
        <v>2203</v>
      </c>
      <c r="B668" s="7">
        <v>25869</v>
      </c>
      <c r="C668">
        <v>0</v>
      </c>
      <c r="D668">
        <v>37675.06</v>
      </c>
      <c r="E668" s="6" t="s">
        <v>7</v>
      </c>
      <c r="F668" s="6" t="s">
        <v>8</v>
      </c>
      <c r="G668" s="6" t="s">
        <v>32</v>
      </c>
    </row>
    <row r="669" spans="1:7" x14ac:dyDescent="0.35">
      <c r="A669" s="6" t="s">
        <v>761</v>
      </c>
      <c r="B669" s="7">
        <v>29138</v>
      </c>
      <c r="C669">
        <v>0</v>
      </c>
      <c r="D669">
        <v>6250.44</v>
      </c>
      <c r="E669" s="6" t="s">
        <v>7</v>
      </c>
      <c r="F669" s="6" t="s">
        <v>11</v>
      </c>
      <c r="G669" s="6" t="s">
        <v>32</v>
      </c>
    </row>
    <row r="670" spans="1:7" x14ac:dyDescent="0.35">
      <c r="A670" s="6" t="s">
        <v>760</v>
      </c>
      <c r="B670" s="7">
        <v>30539</v>
      </c>
      <c r="C670">
        <v>1</v>
      </c>
      <c r="D670">
        <v>6238.3</v>
      </c>
      <c r="E670" s="6" t="s">
        <v>7</v>
      </c>
      <c r="F670" s="6" t="s">
        <v>11</v>
      </c>
      <c r="G670" s="6" t="s">
        <v>32</v>
      </c>
    </row>
    <row r="671" spans="1:7" x14ac:dyDescent="0.35">
      <c r="A671" s="6" t="s">
        <v>759</v>
      </c>
      <c r="B671" s="7">
        <v>28752</v>
      </c>
      <c r="C671">
        <v>2</v>
      </c>
      <c r="D671">
        <v>6236.95</v>
      </c>
      <c r="E671" s="6" t="s">
        <v>7</v>
      </c>
      <c r="F671" s="6" t="s">
        <v>7</v>
      </c>
      <c r="G671" s="6" t="s">
        <v>9</v>
      </c>
    </row>
    <row r="672" spans="1:7" x14ac:dyDescent="0.35">
      <c r="A672" s="6" t="s">
        <v>758</v>
      </c>
      <c r="B672" s="7">
        <v>26479</v>
      </c>
      <c r="C672">
        <v>0</v>
      </c>
      <c r="D672">
        <v>6219.93</v>
      </c>
      <c r="E672" s="6" t="s">
        <v>7</v>
      </c>
      <c r="F672" s="6" t="s">
        <v>7</v>
      </c>
      <c r="G672" s="6" t="s">
        <v>9</v>
      </c>
    </row>
    <row r="673" spans="1:7" x14ac:dyDescent="0.35">
      <c r="A673" s="6" t="s">
        <v>757</v>
      </c>
      <c r="B673" s="7">
        <v>33828</v>
      </c>
      <c r="C673">
        <v>0</v>
      </c>
      <c r="D673">
        <v>6208.5</v>
      </c>
      <c r="E673" s="6" t="s">
        <v>7</v>
      </c>
      <c r="F673" s="6" t="s">
        <v>11</v>
      </c>
      <c r="G673" s="6" t="s">
        <v>290</v>
      </c>
    </row>
    <row r="674" spans="1:7" x14ac:dyDescent="0.35">
      <c r="A674" s="6" t="s">
        <v>756</v>
      </c>
      <c r="B674" s="7">
        <v>36413</v>
      </c>
      <c r="C674">
        <v>0</v>
      </c>
      <c r="D674">
        <v>6207.26</v>
      </c>
      <c r="E674" s="6" t="s">
        <v>7</v>
      </c>
      <c r="F674" s="6" t="s">
        <v>7</v>
      </c>
      <c r="G674" s="6" t="s">
        <v>525</v>
      </c>
    </row>
    <row r="675" spans="1:7" x14ac:dyDescent="0.35">
      <c r="A675" s="6" t="s">
        <v>755</v>
      </c>
      <c r="B675" s="7">
        <v>31312</v>
      </c>
      <c r="C675">
        <v>2</v>
      </c>
      <c r="D675">
        <v>6203.9</v>
      </c>
      <c r="E675" s="6" t="s">
        <v>7</v>
      </c>
      <c r="F675" s="6" t="s">
        <v>7</v>
      </c>
      <c r="G675" s="6" t="s">
        <v>16</v>
      </c>
    </row>
    <row r="676" spans="1:7" x14ac:dyDescent="0.35">
      <c r="A676" s="6" t="s">
        <v>754</v>
      </c>
      <c r="B676" s="7">
        <v>31250</v>
      </c>
      <c r="C676">
        <v>2</v>
      </c>
      <c r="D676">
        <v>6198.75</v>
      </c>
      <c r="E676" s="6" t="s">
        <v>7</v>
      </c>
      <c r="F676" s="6" t="s">
        <v>11</v>
      </c>
      <c r="G676" s="6" t="s">
        <v>16</v>
      </c>
    </row>
    <row r="677" spans="1:7" x14ac:dyDescent="0.35">
      <c r="A677" s="6" t="s">
        <v>753</v>
      </c>
      <c r="B677" s="7">
        <v>32439</v>
      </c>
      <c r="C677">
        <v>3</v>
      </c>
      <c r="D677">
        <v>6196.45</v>
      </c>
      <c r="E677" s="6" t="s">
        <v>7</v>
      </c>
      <c r="F677" s="6" t="s">
        <v>11</v>
      </c>
      <c r="G677" s="6" t="s">
        <v>32</v>
      </c>
    </row>
    <row r="678" spans="1:7" x14ac:dyDescent="0.35">
      <c r="A678" s="6" t="s">
        <v>752</v>
      </c>
      <c r="B678" s="7">
        <v>29860</v>
      </c>
      <c r="C678">
        <v>0</v>
      </c>
      <c r="D678">
        <v>6186.13</v>
      </c>
      <c r="E678" s="6" t="s">
        <v>7</v>
      </c>
      <c r="F678" s="6" t="s">
        <v>8</v>
      </c>
      <c r="G678" s="6" t="s">
        <v>32</v>
      </c>
    </row>
    <row r="679" spans="1:7" x14ac:dyDescent="0.35">
      <c r="A679" s="6" t="s">
        <v>2202</v>
      </c>
      <c r="B679" s="7">
        <v>30122</v>
      </c>
      <c r="C679">
        <v>3</v>
      </c>
      <c r="D679">
        <v>37650.74</v>
      </c>
      <c r="E679" s="6" t="s">
        <v>7</v>
      </c>
      <c r="F679" s="6" t="s">
        <v>7</v>
      </c>
      <c r="G679" s="6" t="s">
        <v>16</v>
      </c>
    </row>
    <row r="680" spans="1:7" x14ac:dyDescent="0.35">
      <c r="A680" s="6" t="s">
        <v>751</v>
      </c>
      <c r="B680" s="7">
        <v>29912</v>
      </c>
      <c r="C680">
        <v>0</v>
      </c>
      <c r="D680">
        <v>6185.32</v>
      </c>
      <c r="E680" s="6" t="s">
        <v>7</v>
      </c>
      <c r="F680" s="6" t="s">
        <v>11</v>
      </c>
      <c r="G680" s="6" t="s">
        <v>9</v>
      </c>
    </row>
    <row r="681" spans="1:7" x14ac:dyDescent="0.35">
      <c r="A681" s="6" t="s">
        <v>750</v>
      </c>
      <c r="B681" s="7">
        <v>32448</v>
      </c>
      <c r="C681">
        <v>3</v>
      </c>
      <c r="D681">
        <v>6184.3</v>
      </c>
      <c r="E681" s="6" t="s">
        <v>7</v>
      </c>
      <c r="F681" s="6" t="s">
        <v>8</v>
      </c>
      <c r="G681" s="6" t="s">
        <v>9</v>
      </c>
    </row>
    <row r="682" spans="1:7" x14ac:dyDescent="0.35">
      <c r="A682" s="6" t="s">
        <v>749</v>
      </c>
      <c r="B682" s="7">
        <v>25846</v>
      </c>
      <c r="C682">
        <v>0</v>
      </c>
      <c r="D682">
        <v>6183.46</v>
      </c>
      <c r="E682" s="6" t="s">
        <v>7</v>
      </c>
      <c r="F682" s="6" t="s">
        <v>7</v>
      </c>
      <c r="G682" s="6" t="s">
        <v>16</v>
      </c>
    </row>
    <row r="683" spans="1:7" x14ac:dyDescent="0.35">
      <c r="A683" s="6" t="s">
        <v>748</v>
      </c>
      <c r="B683" s="7">
        <v>31268</v>
      </c>
      <c r="C683">
        <v>3</v>
      </c>
      <c r="D683">
        <v>6183.32</v>
      </c>
      <c r="E683" s="6" t="s">
        <v>7</v>
      </c>
      <c r="F683" s="6" t="s">
        <v>7</v>
      </c>
      <c r="G683" s="6" t="s">
        <v>16</v>
      </c>
    </row>
    <row r="684" spans="1:7" x14ac:dyDescent="0.35">
      <c r="A684" s="6" t="s">
        <v>747</v>
      </c>
      <c r="B684" s="7">
        <v>30961</v>
      </c>
      <c r="C684">
        <v>3</v>
      </c>
      <c r="D684">
        <v>6170.96</v>
      </c>
      <c r="E684" s="6" t="s">
        <v>7</v>
      </c>
      <c r="F684" s="6" t="s">
        <v>11</v>
      </c>
      <c r="G684" s="6" t="s">
        <v>9</v>
      </c>
    </row>
    <row r="685" spans="1:7" x14ac:dyDescent="0.35">
      <c r="A685" s="6" t="s">
        <v>746</v>
      </c>
      <c r="B685" s="7">
        <v>31335</v>
      </c>
      <c r="C685">
        <v>3</v>
      </c>
      <c r="D685">
        <v>6159.57</v>
      </c>
      <c r="E685" s="6" t="s">
        <v>7</v>
      </c>
      <c r="F685" s="6" t="s">
        <v>11</v>
      </c>
      <c r="G685" s="6" t="s">
        <v>16</v>
      </c>
    </row>
    <row r="686" spans="1:7" x14ac:dyDescent="0.35">
      <c r="A686" s="6" t="s">
        <v>745</v>
      </c>
      <c r="B686" s="7">
        <v>26974</v>
      </c>
      <c r="C686">
        <v>0</v>
      </c>
      <c r="D686">
        <v>6152.05</v>
      </c>
      <c r="E686" s="6" t="s">
        <v>7</v>
      </c>
      <c r="F686" s="6" t="s">
        <v>8</v>
      </c>
      <c r="G686" s="6" t="s">
        <v>9</v>
      </c>
    </row>
    <row r="687" spans="1:7" x14ac:dyDescent="0.35">
      <c r="A687" s="6" t="s">
        <v>744</v>
      </c>
      <c r="B687" s="7">
        <v>25855</v>
      </c>
      <c r="C687">
        <v>0</v>
      </c>
      <c r="D687">
        <v>6147.12</v>
      </c>
      <c r="E687" s="6" t="s">
        <v>7</v>
      </c>
      <c r="F687" s="6" t="s">
        <v>8</v>
      </c>
      <c r="G687" s="6" t="s">
        <v>16</v>
      </c>
    </row>
    <row r="688" spans="1:7" x14ac:dyDescent="0.35">
      <c r="A688" s="6" t="s">
        <v>743</v>
      </c>
      <c r="B688" s="7">
        <v>28106</v>
      </c>
      <c r="C688">
        <v>2</v>
      </c>
      <c r="D688">
        <v>6139.14</v>
      </c>
      <c r="E688" s="6" t="s">
        <v>7</v>
      </c>
      <c r="F688" s="6" t="s">
        <v>8</v>
      </c>
      <c r="G688" s="6" t="s">
        <v>9</v>
      </c>
    </row>
    <row r="689" spans="1:7" x14ac:dyDescent="0.35">
      <c r="A689" s="6" t="s">
        <v>742</v>
      </c>
      <c r="B689" s="7">
        <v>28738</v>
      </c>
      <c r="C689">
        <v>2</v>
      </c>
      <c r="D689">
        <v>6138.58</v>
      </c>
      <c r="E689" s="6" t="s">
        <v>7</v>
      </c>
      <c r="F689" s="6" t="s">
        <v>11</v>
      </c>
      <c r="G689" s="6" t="s">
        <v>9</v>
      </c>
    </row>
    <row r="690" spans="1:7" x14ac:dyDescent="0.35">
      <c r="A690" s="6" t="s">
        <v>2201</v>
      </c>
      <c r="B690" s="7">
        <v>33193</v>
      </c>
      <c r="C690">
        <v>1</v>
      </c>
      <c r="D690">
        <v>37607.53</v>
      </c>
      <c r="E690" s="6" t="s">
        <v>11</v>
      </c>
      <c r="F690" s="6" t="s">
        <v>7</v>
      </c>
      <c r="G690" s="6" t="s">
        <v>156</v>
      </c>
    </row>
    <row r="691" spans="1:7" x14ac:dyDescent="0.35">
      <c r="A691" s="6" t="s">
        <v>741</v>
      </c>
      <c r="B691" s="7">
        <v>25516</v>
      </c>
      <c r="C691">
        <v>0</v>
      </c>
      <c r="D691">
        <v>6138.5</v>
      </c>
      <c r="E691" s="6" t="s">
        <v>7</v>
      </c>
      <c r="F691" s="6" t="s">
        <v>7</v>
      </c>
      <c r="G691" s="6" t="s">
        <v>32</v>
      </c>
    </row>
    <row r="692" spans="1:7" x14ac:dyDescent="0.35">
      <c r="A692" s="6" t="s">
        <v>740</v>
      </c>
      <c r="B692" s="7">
        <v>33103</v>
      </c>
      <c r="C692">
        <v>3</v>
      </c>
      <c r="D692">
        <v>6128.8</v>
      </c>
      <c r="E692" s="6" t="s">
        <v>7</v>
      </c>
      <c r="F692" s="6" t="s">
        <v>8</v>
      </c>
      <c r="G692" s="6" t="s">
        <v>16</v>
      </c>
    </row>
    <row r="693" spans="1:7" x14ac:dyDescent="0.35">
      <c r="A693" s="6" t="s">
        <v>739</v>
      </c>
      <c r="B693" s="7">
        <v>30636</v>
      </c>
      <c r="C693">
        <v>1</v>
      </c>
      <c r="D693">
        <v>6123.57</v>
      </c>
      <c r="E693" s="6" t="s">
        <v>8</v>
      </c>
      <c r="F693" s="6" t="s">
        <v>7</v>
      </c>
      <c r="G693" s="6" t="s">
        <v>16</v>
      </c>
    </row>
    <row r="694" spans="1:7" x14ac:dyDescent="0.35">
      <c r="A694" s="6" t="s">
        <v>738</v>
      </c>
      <c r="B694" s="7">
        <v>30539</v>
      </c>
      <c r="C694">
        <v>1</v>
      </c>
      <c r="D694">
        <v>6117.49</v>
      </c>
      <c r="E694" s="6" t="s">
        <v>7</v>
      </c>
      <c r="F694" s="6" t="s">
        <v>8</v>
      </c>
      <c r="G694" s="6" t="s">
        <v>16</v>
      </c>
    </row>
    <row r="695" spans="1:7" x14ac:dyDescent="0.35">
      <c r="A695" s="6" t="s">
        <v>737</v>
      </c>
      <c r="B695" s="7">
        <v>33444</v>
      </c>
      <c r="C695">
        <v>3</v>
      </c>
      <c r="D695">
        <v>6113.23</v>
      </c>
      <c r="E695" s="6" t="s">
        <v>7</v>
      </c>
      <c r="F695" s="6" t="s">
        <v>7</v>
      </c>
      <c r="G695" s="6" t="s">
        <v>237</v>
      </c>
    </row>
    <row r="696" spans="1:7" x14ac:dyDescent="0.35">
      <c r="A696" s="6" t="s">
        <v>736</v>
      </c>
      <c r="B696" s="7">
        <v>31249</v>
      </c>
      <c r="C696">
        <v>1</v>
      </c>
      <c r="D696">
        <v>6112.35</v>
      </c>
      <c r="E696" s="6" t="s">
        <v>7</v>
      </c>
      <c r="F696" s="6" t="s">
        <v>11</v>
      </c>
      <c r="G696" s="6" t="s">
        <v>16</v>
      </c>
    </row>
    <row r="697" spans="1:7" x14ac:dyDescent="0.35">
      <c r="A697" s="6" t="s">
        <v>735</v>
      </c>
      <c r="B697" s="7">
        <v>34951</v>
      </c>
      <c r="C697">
        <v>0</v>
      </c>
      <c r="D697">
        <v>6111.95</v>
      </c>
      <c r="E697" s="6" t="s">
        <v>7</v>
      </c>
      <c r="F697" s="6" t="s">
        <v>8</v>
      </c>
      <c r="G697" s="6" t="s">
        <v>525</v>
      </c>
    </row>
    <row r="698" spans="1:7" x14ac:dyDescent="0.35">
      <c r="A698" s="6" t="s">
        <v>734</v>
      </c>
      <c r="B698" s="7">
        <v>25728</v>
      </c>
      <c r="C698">
        <v>0</v>
      </c>
      <c r="D698">
        <v>6098.38</v>
      </c>
      <c r="E698" s="6" t="s">
        <v>7</v>
      </c>
      <c r="F698" s="6" t="s">
        <v>7</v>
      </c>
      <c r="G698" s="6" t="s">
        <v>9</v>
      </c>
    </row>
    <row r="699" spans="1:7" x14ac:dyDescent="0.35">
      <c r="A699" s="6" t="s">
        <v>733</v>
      </c>
      <c r="B699" s="7">
        <v>30888</v>
      </c>
      <c r="C699">
        <v>2</v>
      </c>
      <c r="D699">
        <v>6082.41</v>
      </c>
      <c r="E699" s="6" t="s">
        <v>11</v>
      </c>
      <c r="F699" s="6" t="s">
        <v>7</v>
      </c>
      <c r="G699" s="6" t="s">
        <v>32</v>
      </c>
    </row>
    <row r="700" spans="1:7" x14ac:dyDescent="0.35">
      <c r="A700" s="6" t="s">
        <v>732</v>
      </c>
      <c r="B700" s="7">
        <v>30969</v>
      </c>
      <c r="C700">
        <v>1</v>
      </c>
      <c r="D700">
        <v>6079.67</v>
      </c>
      <c r="E700" s="6" t="s">
        <v>11</v>
      </c>
      <c r="F700" s="6" t="s">
        <v>11</v>
      </c>
      <c r="G700" s="6" t="s">
        <v>266</v>
      </c>
    </row>
    <row r="701" spans="1:7" x14ac:dyDescent="0.35">
      <c r="A701" s="6" t="s">
        <v>2200</v>
      </c>
      <c r="B701" s="7">
        <v>36811</v>
      </c>
      <c r="C701">
        <v>2</v>
      </c>
      <c r="D701">
        <v>37484.449999999997</v>
      </c>
      <c r="E701" s="6" t="s">
        <v>11</v>
      </c>
      <c r="F701" s="6" t="s">
        <v>11</v>
      </c>
      <c r="G701" s="6" t="s">
        <v>9</v>
      </c>
    </row>
    <row r="702" spans="1:7" x14ac:dyDescent="0.35">
      <c r="A702" s="6" t="s">
        <v>731</v>
      </c>
      <c r="B702" s="7">
        <v>29075</v>
      </c>
      <c r="C702">
        <v>2</v>
      </c>
      <c r="D702">
        <v>6074.37</v>
      </c>
      <c r="E702" s="6" t="s">
        <v>7</v>
      </c>
      <c r="F702" s="6" t="s">
        <v>7</v>
      </c>
      <c r="G702" s="6" t="s">
        <v>16</v>
      </c>
    </row>
    <row r="703" spans="1:7" x14ac:dyDescent="0.35">
      <c r="A703" s="6" t="s">
        <v>730</v>
      </c>
      <c r="B703" s="7">
        <v>30946</v>
      </c>
      <c r="C703">
        <v>1</v>
      </c>
      <c r="D703">
        <v>6067.13</v>
      </c>
      <c r="E703" s="6" t="s">
        <v>8</v>
      </c>
      <c r="F703" s="6" t="s">
        <v>11</v>
      </c>
      <c r="G703" s="6" t="s">
        <v>158</v>
      </c>
    </row>
    <row r="704" spans="1:7" x14ac:dyDescent="0.35">
      <c r="A704" s="6" t="s">
        <v>729</v>
      </c>
      <c r="B704" s="7">
        <v>34646</v>
      </c>
      <c r="C704">
        <v>0</v>
      </c>
      <c r="D704">
        <v>6064.37</v>
      </c>
      <c r="E704" s="6" t="s">
        <v>7</v>
      </c>
      <c r="F704" s="6" t="s">
        <v>7</v>
      </c>
      <c r="G704" s="6" t="s">
        <v>32</v>
      </c>
    </row>
    <row r="705" spans="1:7" x14ac:dyDescent="0.35">
      <c r="A705" s="6" t="s">
        <v>728</v>
      </c>
      <c r="B705" s="7">
        <v>35274</v>
      </c>
      <c r="C705">
        <v>0</v>
      </c>
      <c r="D705">
        <v>6061.8</v>
      </c>
      <c r="E705" s="6" t="s">
        <v>7</v>
      </c>
      <c r="F705" s="6" t="s">
        <v>8</v>
      </c>
      <c r="G705" s="6" t="s">
        <v>16</v>
      </c>
    </row>
    <row r="706" spans="1:7" x14ac:dyDescent="0.35">
      <c r="A706" s="6" t="s">
        <v>727</v>
      </c>
      <c r="B706" s="7">
        <v>32736</v>
      </c>
      <c r="C706">
        <v>4</v>
      </c>
      <c r="D706">
        <v>6059.17</v>
      </c>
      <c r="E706" s="6" t="s">
        <v>7</v>
      </c>
      <c r="F706" s="6" t="s">
        <v>11</v>
      </c>
      <c r="G706" s="6" t="s">
        <v>32</v>
      </c>
    </row>
    <row r="707" spans="1:7" x14ac:dyDescent="0.35">
      <c r="A707" s="6" t="s">
        <v>726</v>
      </c>
      <c r="B707" s="7">
        <v>29441</v>
      </c>
      <c r="C707">
        <v>2</v>
      </c>
      <c r="D707">
        <v>5993.62</v>
      </c>
      <c r="E707" s="6" t="s">
        <v>7</v>
      </c>
      <c r="F707" s="6" t="s">
        <v>8</v>
      </c>
      <c r="G707" s="6" t="s">
        <v>9</v>
      </c>
    </row>
    <row r="708" spans="1:7" x14ac:dyDescent="0.35">
      <c r="A708" s="6" t="s">
        <v>725</v>
      </c>
      <c r="B708" s="7">
        <v>27258</v>
      </c>
      <c r="C708">
        <v>0</v>
      </c>
      <c r="D708">
        <v>5990.17</v>
      </c>
      <c r="E708" s="6" t="s">
        <v>7</v>
      </c>
      <c r="F708" s="6" t="s">
        <v>7</v>
      </c>
      <c r="G708" s="6" t="s">
        <v>9</v>
      </c>
    </row>
    <row r="709" spans="1:7" x14ac:dyDescent="0.35">
      <c r="A709" s="6" t="s">
        <v>724</v>
      </c>
      <c r="B709" s="7">
        <v>32304</v>
      </c>
      <c r="C709">
        <v>2</v>
      </c>
      <c r="D709">
        <v>5989.52</v>
      </c>
      <c r="E709" s="6" t="s">
        <v>7</v>
      </c>
      <c r="F709" s="6" t="s">
        <v>11</v>
      </c>
      <c r="G709" s="6" t="s">
        <v>16</v>
      </c>
    </row>
    <row r="710" spans="1:7" x14ac:dyDescent="0.35">
      <c r="A710" s="6" t="s">
        <v>723</v>
      </c>
      <c r="B710" s="7">
        <v>27313</v>
      </c>
      <c r="C710">
        <v>0</v>
      </c>
      <c r="D710">
        <v>5979.99</v>
      </c>
      <c r="E710" s="6" t="s">
        <v>7</v>
      </c>
      <c r="F710" s="6" t="s">
        <v>8</v>
      </c>
      <c r="G710" s="6" t="s">
        <v>9</v>
      </c>
    </row>
    <row r="711" spans="1:7" x14ac:dyDescent="0.35">
      <c r="A711" s="6" t="s">
        <v>722</v>
      </c>
      <c r="B711" s="7">
        <v>29504</v>
      </c>
      <c r="C711">
        <v>0</v>
      </c>
      <c r="D711">
        <v>5979.73</v>
      </c>
      <c r="E711" s="6" t="s">
        <v>7</v>
      </c>
      <c r="F711" s="6" t="s">
        <v>7</v>
      </c>
      <c r="G711" s="6" t="s">
        <v>32</v>
      </c>
    </row>
    <row r="712" spans="1:7" x14ac:dyDescent="0.35">
      <c r="A712" s="6" t="s">
        <v>2199</v>
      </c>
      <c r="B712" s="7">
        <v>37526</v>
      </c>
      <c r="C712">
        <v>3</v>
      </c>
      <c r="D712">
        <v>37465.339999999997</v>
      </c>
      <c r="E712" s="6" t="s">
        <v>11</v>
      </c>
      <c r="F712" s="6" t="s">
        <v>7</v>
      </c>
      <c r="G712" s="6" t="s">
        <v>16</v>
      </c>
    </row>
    <row r="713" spans="1:7" x14ac:dyDescent="0.35">
      <c r="A713" s="6" t="s">
        <v>721</v>
      </c>
      <c r="B713" s="7">
        <v>25744</v>
      </c>
      <c r="C713">
        <v>0</v>
      </c>
      <c r="D713">
        <v>5979.66</v>
      </c>
      <c r="E713" s="6" t="s">
        <v>7</v>
      </c>
      <c r="F713" s="6" t="s">
        <v>8</v>
      </c>
      <c r="G713" s="6" t="s">
        <v>9</v>
      </c>
    </row>
    <row r="714" spans="1:7" x14ac:dyDescent="0.35">
      <c r="A714" s="6" t="s">
        <v>720</v>
      </c>
      <c r="B714" s="7">
        <v>30997</v>
      </c>
      <c r="C714">
        <v>1</v>
      </c>
      <c r="D714">
        <v>5976.83</v>
      </c>
      <c r="E714" s="6" t="s">
        <v>7</v>
      </c>
      <c r="F714" s="6" t="s">
        <v>7</v>
      </c>
      <c r="G714" s="6" t="s">
        <v>9</v>
      </c>
    </row>
    <row r="715" spans="1:7" x14ac:dyDescent="0.35">
      <c r="A715" s="6" t="s">
        <v>719</v>
      </c>
      <c r="B715" s="7">
        <v>30944</v>
      </c>
      <c r="C715">
        <v>1</v>
      </c>
      <c r="D715">
        <v>5974.38</v>
      </c>
      <c r="E715" s="6" t="s">
        <v>7</v>
      </c>
      <c r="F715" s="6" t="s">
        <v>8</v>
      </c>
      <c r="G715" s="6" t="s">
        <v>9</v>
      </c>
    </row>
    <row r="716" spans="1:7" x14ac:dyDescent="0.35">
      <c r="A716" s="6" t="s">
        <v>718</v>
      </c>
      <c r="B716" s="7">
        <v>32711</v>
      </c>
      <c r="C716">
        <v>3</v>
      </c>
      <c r="D716">
        <v>5972.38</v>
      </c>
      <c r="E716" s="6" t="s">
        <v>7</v>
      </c>
      <c r="F716" s="6" t="s">
        <v>7</v>
      </c>
      <c r="G716" s="6" t="s">
        <v>32</v>
      </c>
    </row>
    <row r="717" spans="1:7" x14ac:dyDescent="0.35">
      <c r="A717" s="6" t="s">
        <v>717</v>
      </c>
      <c r="B717" s="7">
        <v>29423</v>
      </c>
      <c r="C717">
        <v>0</v>
      </c>
      <c r="D717">
        <v>5969.72</v>
      </c>
      <c r="E717" s="6" t="s">
        <v>8</v>
      </c>
      <c r="F717" s="6" t="s">
        <v>8</v>
      </c>
      <c r="G717" s="6" t="s">
        <v>32</v>
      </c>
    </row>
    <row r="718" spans="1:7" x14ac:dyDescent="0.35">
      <c r="A718" s="6" t="s">
        <v>716</v>
      </c>
      <c r="B718" s="7">
        <v>29438</v>
      </c>
      <c r="C718">
        <v>0</v>
      </c>
      <c r="D718">
        <v>5966.89</v>
      </c>
      <c r="E718" s="6" t="s">
        <v>7</v>
      </c>
      <c r="F718" s="6" t="s">
        <v>8</v>
      </c>
      <c r="G718" s="6" t="s">
        <v>9</v>
      </c>
    </row>
    <row r="719" spans="1:7" x14ac:dyDescent="0.35">
      <c r="A719" s="6" t="s">
        <v>715</v>
      </c>
      <c r="B719" s="7">
        <v>38183</v>
      </c>
      <c r="C719">
        <v>0</v>
      </c>
      <c r="D719">
        <v>5960.91</v>
      </c>
      <c r="E719" s="6" t="s">
        <v>7</v>
      </c>
      <c r="F719" s="6" t="s">
        <v>11</v>
      </c>
      <c r="G719" s="6" t="s">
        <v>525</v>
      </c>
    </row>
    <row r="720" spans="1:7" x14ac:dyDescent="0.35">
      <c r="A720" s="6" t="s">
        <v>714</v>
      </c>
      <c r="B720" s="7">
        <v>37846</v>
      </c>
      <c r="C720">
        <v>0</v>
      </c>
      <c r="D720">
        <v>5957.35</v>
      </c>
      <c r="E720" s="6" t="s">
        <v>7</v>
      </c>
      <c r="F720" s="6" t="s">
        <v>7</v>
      </c>
      <c r="G720" s="6" t="s">
        <v>16</v>
      </c>
    </row>
    <row r="721" spans="1:7" x14ac:dyDescent="0.35">
      <c r="A721" s="6" t="s">
        <v>713</v>
      </c>
      <c r="B721" s="7">
        <v>31972</v>
      </c>
      <c r="C721">
        <v>3</v>
      </c>
      <c r="D721">
        <v>5934.38</v>
      </c>
      <c r="E721" s="6" t="s">
        <v>8</v>
      </c>
      <c r="F721" s="6" t="s">
        <v>7</v>
      </c>
      <c r="G721" s="6" t="s">
        <v>9</v>
      </c>
    </row>
    <row r="722" spans="1:7" x14ac:dyDescent="0.35">
      <c r="A722" s="6" t="s">
        <v>712</v>
      </c>
      <c r="B722" s="7">
        <v>34545</v>
      </c>
      <c r="C722">
        <v>0</v>
      </c>
      <c r="D722">
        <v>5927.65</v>
      </c>
      <c r="E722" s="6" t="s">
        <v>7</v>
      </c>
      <c r="F722" s="6" t="s">
        <v>11</v>
      </c>
      <c r="G722" s="6" t="s">
        <v>16</v>
      </c>
    </row>
    <row r="723" spans="1:7" x14ac:dyDescent="0.35">
      <c r="A723" s="6" t="s">
        <v>2198</v>
      </c>
      <c r="B723" s="7">
        <v>29070</v>
      </c>
      <c r="C723">
        <v>2</v>
      </c>
      <c r="D723">
        <v>37425.94</v>
      </c>
      <c r="E723" s="6" t="s">
        <v>7</v>
      </c>
      <c r="F723" s="6" t="s">
        <v>11</v>
      </c>
      <c r="G723" s="6" t="s">
        <v>32</v>
      </c>
    </row>
    <row r="724" spans="1:7" x14ac:dyDescent="0.35">
      <c r="A724" s="6" t="s">
        <v>711</v>
      </c>
      <c r="B724" s="7">
        <v>34194</v>
      </c>
      <c r="C724">
        <v>0</v>
      </c>
      <c r="D724">
        <v>5926.93</v>
      </c>
      <c r="E724" s="6" t="s">
        <v>7</v>
      </c>
      <c r="F724" s="6" t="s">
        <v>7</v>
      </c>
      <c r="G724" s="6" t="s">
        <v>190</v>
      </c>
    </row>
    <row r="725" spans="1:7" x14ac:dyDescent="0.35">
      <c r="A725" s="6" t="s">
        <v>710</v>
      </c>
      <c r="B725" s="7">
        <v>31987</v>
      </c>
      <c r="C725">
        <v>3</v>
      </c>
      <c r="D725">
        <v>5926.85</v>
      </c>
      <c r="E725" s="6" t="s">
        <v>8</v>
      </c>
      <c r="F725" s="6" t="s">
        <v>8</v>
      </c>
      <c r="G725" s="6" t="s">
        <v>32</v>
      </c>
    </row>
    <row r="726" spans="1:7" x14ac:dyDescent="0.35">
      <c r="A726" s="6" t="s">
        <v>709</v>
      </c>
      <c r="B726" s="7">
        <v>30306</v>
      </c>
      <c r="C726">
        <v>0</v>
      </c>
      <c r="D726">
        <v>5920.1</v>
      </c>
      <c r="E726" s="6" t="s">
        <v>7</v>
      </c>
      <c r="F726" s="6" t="s">
        <v>11</v>
      </c>
      <c r="G726" s="6" t="s">
        <v>9</v>
      </c>
    </row>
    <row r="727" spans="1:7" x14ac:dyDescent="0.35">
      <c r="A727" s="6" t="s">
        <v>708</v>
      </c>
      <c r="B727" s="7">
        <v>30140</v>
      </c>
      <c r="C727">
        <v>0</v>
      </c>
      <c r="D727">
        <v>5910.94</v>
      </c>
      <c r="E727" s="6" t="s">
        <v>7</v>
      </c>
      <c r="F727" s="6" t="s">
        <v>11</v>
      </c>
      <c r="G727" s="6" t="s">
        <v>32</v>
      </c>
    </row>
    <row r="728" spans="1:7" x14ac:dyDescent="0.35">
      <c r="A728" s="6" t="s">
        <v>707</v>
      </c>
      <c r="B728" s="7">
        <v>34261</v>
      </c>
      <c r="C728">
        <v>0</v>
      </c>
      <c r="D728">
        <v>5877.02</v>
      </c>
      <c r="E728" s="6" t="s">
        <v>7</v>
      </c>
      <c r="F728" s="6" t="s">
        <v>7</v>
      </c>
      <c r="G728" s="6" t="s">
        <v>290</v>
      </c>
    </row>
    <row r="729" spans="1:7" x14ac:dyDescent="0.35">
      <c r="A729" s="6" t="s">
        <v>706</v>
      </c>
      <c r="B729" s="7">
        <v>31008</v>
      </c>
      <c r="C729">
        <v>1</v>
      </c>
      <c r="D729">
        <v>5855.9</v>
      </c>
      <c r="E729" s="6" t="s">
        <v>7</v>
      </c>
      <c r="F729" s="6" t="s">
        <v>8</v>
      </c>
      <c r="G729" s="6" t="s">
        <v>16</v>
      </c>
    </row>
    <row r="730" spans="1:7" x14ac:dyDescent="0.35">
      <c r="A730" s="6" t="s">
        <v>705</v>
      </c>
      <c r="B730" s="7">
        <v>31216</v>
      </c>
      <c r="C730">
        <v>3</v>
      </c>
      <c r="D730">
        <v>5847.24</v>
      </c>
      <c r="E730" s="6" t="s">
        <v>7</v>
      </c>
      <c r="F730" s="6" t="s">
        <v>11</v>
      </c>
      <c r="G730" s="6" t="s">
        <v>9</v>
      </c>
    </row>
    <row r="731" spans="1:7" x14ac:dyDescent="0.35">
      <c r="A731" s="6" t="s">
        <v>704</v>
      </c>
      <c r="B731" s="7">
        <v>32050</v>
      </c>
      <c r="C731">
        <v>2</v>
      </c>
      <c r="D731">
        <v>5846.92</v>
      </c>
      <c r="E731" s="6" t="s">
        <v>7</v>
      </c>
      <c r="F731" s="6" t="s">
        <v>7</v>
      </c>
      <c r="G731" s="6" t="s">
        <v>9</v>
      </c>
    </row>
    <row r="732" spans="1:7" x14ac:dyDescent="0.35">
      <c r="A732" s="6" t="s">
        <v>703</v>
      </c>
      <c r="B732" s="7">
        <v>34931</v>
      </c>
      <c r="C732">
        <v>0</v>
      </c>
      <c r="D732">
        <v>5843.99</v>
      </c>
      <c r="E732" s="6" t="s">
        <v>7</v>
      </c>
      <c r="F732" s="6" t="s">
        <v>7</v>
      </c>
      <c r="G732" s="6" t="s">
        <v>190</v>
      </c>
    </row>
    <row r="733" spans="1:7" x14ac:dyDescent="0.35">
      <c r="A733" s="6" t="s">
        <v>702</v>
      </c>
      <c r="B733" s="7">
        <v>31985</v>
      </c>
      <c r="C733">
        <v>2</v>
      </c>
      <c r="D733">
        <v>5836.52</v>
      </c>
      <c r="E733" s="6" t="s">
        <v>7</v>
      </c>
      <c r="F733" s="6" t="s">
        <v>8</v>
      </c>
      <c r="G733" s="6" t="s">
        <v>9</v>
      </c>
    </row>
    <row r="734" spans="1:7" x14ac:dyDescent="0.35">
      <c r="A734" s="6" t="s">
        <v>2197</v>
      </c>
      <c r="B734" s="7">
        <v>25506</v>
      </c>
      <c r="C734">
        <v>0</v>
      </c>
      <c r="D734">
        <v>37277.269999999997</v>
      </c>
      <c r="E734" s="6" t="s">
        <v>11</v>
      </c>
      <c r="F734" s="6" t="s">
        <v>8</v>
      </c>
      <c r="G734" s="6" t="s">
        <v>32</v>
      </c>
    </row>
    <row r="735" spans="1:7" x14ac:dyDescent="0.35">
      <c r="A735" s="6" t="s">
        <v>701</v>
      </c>
      <c r="B735" s="7">
        <v>26203</v>
      </c>
      <c r="C735">
        <v>0</v>
      </c>
      <c r="D735">
        <v>5832.6</v>
      </c>
      <c r="E735" s="6" t="s">
        <v>7</v>
      </c>
      <c r="F735" s="6" t="s">
        <v>8</v>
      </c>
      <c r="G735" s="6" t="s">
        <v>16</v>
      </c>
    </row>
    <row r="736" spans="1:7" x14ac:dyDescent="0.35">
      <c r="A736" s="6" t="s">
        <v>700</v>
      </c>
      <c r="B736" s="7">
        <v>37459</v>
      </c>
      <c r="C736">
        <v>0</v>
      </c>
      <c r="D736">
        <v>5816.58</v>
      </c>
      <c r="E736" s="6" t="s">
        <v>7</v>
      </c>
      <c r="F736" s="6" t="s">
        <v>7</v>
      </c>
      <c r="G736" s="6" t="s">
        <v>525</v>
      </c>
    </row>
    <row r="737" spans="1:7" x14ac:dyDescent="0.35">
      <c r="A737" s="6" t="s">
        <v>699</v>
      </c>
      <c r="B737" s="7">
        <v>26605</v>
      </c>
      <c r="C737">
        <v>0</v>
      </c>
      <c r="D737">
        <v>5812.9</v>
      </c>
      <c r="E737" s="6" t="s">
        <v>7</v>
      </c>
      <c r="F737" s="6" t="s">
        <v>7</v>
      </c>
      <c r="G737" s="6" t="s">
        <v>9</v>
      </c>
    </row>
    <row r="738" spans="1:7" x14ac:dyDescent="0.35">
      <c r="A738" s="6" t="s">
        <v>698</v>
      </c>
      <c r="B738" s="7">
        <v>29482</v>
      </c>
      <c r="C738">
        <v>2</v>
      </c>
      <c r="D738">
        <v>5807.06</v>
      </c>
      <c r="E738" s="6" t="s">
        <v>7</v>
      </c>
      <c r="F738" s="6" t="s">
        <v>8</v>
      </c>
      <c r="G738" s="6" t="s">
        <v>9</v>
      </c>
    </row>
    <row r="739" spans="1:7" x14ac:dyDescent="0.35">
      <c r="A739" s="6" t="s">
        <v>697</v>
      </c>
      <c r="B739" s="7">
        <v>38292</v>
      </c>
      <c r="C739">
        <v>0</v>
      </c>
      <c r="D739">
        <v>5778.71</v>
      </c>
      <c r="E739" s="6" t="s">
        <v>7</v>
      </c>
      <c r="F739" s="6" t="s">
        <v>8</v>
      </c>
      <c r="G739" s="6" t="s">
        <v>622</v>
      </c>
    </row>
    <row r="740" spans="1:7" x14ac:dyDescent="0.35">
      <c r="A740" s="6" t="s">
        <v>696</v>
      </c>
      <c r="B740" s="7">
        <v>30558</v>
      </c>
      <c r="C740">
        <v>0</v>
      </c>
      <c r="D740">
        <v>5757.41</v>
      </c>
      <c r="E740" s="6" t="s">
        <v>7</v>
      </c>
      <c r="F740" s="6" t="s">
        <v>8</v>
      </c>
      <c r="G740" s="6" t="s">
        <v>156</v>
      </c>
    </row>
    <row r="741" spans="1:7" x14ac:dyDescent="0.35">
      <c r="A741" s="6" t="s">
        <v>695</v>
      </c>
      <c r="B741" s="7">
        <v>34130</v>
      </c>
      <c r="C741">
        <v>0</v>
      </c>
      <c r="D741">
        <v>5748.13</v>
      </c>
      <c r="E741" s="6" t="s">
        <v>7</v>
      </c>
      <c r="F741" s="6" t="s">
        <v>11</v>
      </c>
      <c r="G741" s="6" t="s">
        <v>290</v>
      </c>
    </row>
    <row r="742" spans="1:7" x14ac:dyDescent="0.35">
      <c r="A742" s="6" t="s">
        <v>694</v>
      </c>
      <c r="B742" s="7">
        <v>26532</v>
      </c>
      <c r="C742">
        <v>0</v>
      </c>
      <c r="D742">
        <v>5741.67</v>
      </c>
      <c r="E742" s="6" t="s">
        <v>7</v>
      </c>
      <c r="F742" s="6" t="s">
        <v>8</v>
      </c>
      <c r="G742" s="6" t="s">
        <v>9</v>
      </c>
    </row>
    <row r="743" spans="1:7" x14ac:dyDescent="0.35">
      <c r="A743" s="6" t="s">
        <v>693</v>
      </c>
      <c r="B743" s="7">
        <v>32069</v>
      </c>
      <c r="C743">
        <v>2</v>
      </c>
      <c r="D743">
        <v>5729.01</v>
      </c>
      <c r="E743" s="6" t="s">
        <v>11</v>
      </c>
      <c r="F743" s="6" t="s">
        <v>7</v>
      </c>
      <c r="G743" s="6" t="s">
        <v>16</v>
      </c>
    </row>
    <row r="744" spans="1:7" x14ac:dyDescent="0.35">
      <c r="A744" s="6" t="s">
        <v>692</v>
      </c>
      <c r="B744" s="7">
        <v>26285</v>
      </c>
      <c r="C744">
        <v>0</v>
      </c>
      <c r="D744">
        <v>5720.38</v>
      </c>
      <c r="E744" s="6" t="s">
        <v>7</v>
      </c>
      <c r="F744" s="6" t="s">
        <v>11</v>
      </c>
      <c r="G744" s="6" t="s">
        <v>9</v>
      </c>
    </row>
    <row r="745" spans="1:7" x14ac:dyDescent="0.35">
      <c r="A745" s="6" t="s">
        <v>2196</v>
      </c>
      <c r="B745" s="7">
        <v>27707</v>
      </c>
      <c r="C745">
        <v>1</v>
      </c>
      <c r="D745">
        <v>37272.339999999997</v>
      </c>
      <c r="E745" s="6" t="s">
        <v>7</v>
      </c>
      <c r="F745" s="6" t="s">
        <v>8</v>
      </c>
      <c r="G745" s="6" t="s">
        <v>32</v>
      </c>
    </row>
    <row r="746" spans="1:7" x14ac:dyDescent="0.35">
      <c r="A746" s="6" t="s">
        <v>691</v>
      </c>
      <c r="B746" s="7">
        <v>29828</v>
      </c>
      <c r="C746">
        <v>0</v>
      </c>
      <c r="D746">
        <v>5709.16</v>
      </c>
      <c r="E746" s="6" t="s">
        <v>8</v>
      </c>
      <c r="F746" s="6" t="s">
        <v>8</v>
      </c>
      <c r="G746" s="6" t="s">
        <v>9</v>
      </c>
    </row>
    <row r="747" spans="1:7" x14ac:dyDescent="0.35">
      <c r="A747" s="6" t="s">
        <v>690</v>
      </c>
      <c r="B747" s="7">
        <v>34276</v>
      </c>
      <c r="C747">
        <v>4</v>
      </c>
      <c r="D747">
        <v>5708.87</v>
      </c>
      <c r="E747" s="6" t="s">
        <v>7</v>
      </c>
      <c r="F747" s="6" t="s">
        <v>11</v>
      </c>
      <c r="G747" s="6" t="s">
        <v>32</v>
      </c>
    </row>
    <row r="748" spans="1:7" x14ac:dyDescent="0.35">
      <c r="A748" s="6" t="s">
        <v>689</v>
      </c>
      <c r="B748" s="7">
        <v>29752</v>
      </c>
      <c r="C748">
        <v>0</v>
      </c>
      <c r="D748">
        <v>5699.84</v>
      </c>
      <c r="E748" s="6" t="s">
        <v>7</v>
      </c>
      <c r="F748" s="6" t="s">
        <v>8</v>
      </c>
      <c r="G748" s="6" t="s">
        <v>9</v>
      </c>
    </row>
    <row r="749" spans="1:7" x14ac:dyDescent="0.35">
      <c r="A749" s="6" t="s">
        <v>688</v>
      </c>
      <c r="B749" s="7">
        <v>27216</v>
      </c>
      <c r="C749">
        <v>0</v>
      </c>
      <c r="D749">
        <v>5698.74</v>
      </c>
      <c r="E749" s="6" t="s">
        <v>7</v>
      </c>
      <c r="F749" s="6" t="s">
        <v>7</v>
      </c>
      <c r="G749" s="6" t="s">
        <v>16</v>
      </c>
    </row>
    <row r="750" spans="1:7" x14ac:dyDescent="0.35">
      <c r="A750" s="6" t="s">
        <v>687</v>
      </c>
      <c r="B750" s="7">
        <v>33911</v>
      </c>
      <c r="C750">
        <v>3</v>
      </c>
      <c r="D750">
        <v>5693.43</v>
      </c>
      <c r="E750" s="6" t="s">
        <v>7</v>
      </c>
      <c r="F750" s="6" t="s">
        <v>8</v>
      </c>
      <c r="G750" s="6" t="s">
        <v>16</v>
      </c>
    </row>
    <row r="751" spans="1:7" x14ac:dyDescent="0.35">
      <c r="A751" s="6" t="s">
        <v>686</v>
      </c>
      <c r="B751" s="7">
        <v>26600</v>
      </c>
      <c r="C751">
        <v>0</v>
      </c>
      <c r="D751">
        <v>5690.79</v>
      </c>
      <c r="E751" s="6" t="s">
        <v>7</v>
      </c>
      <c r="F751" s="6" t="s">
        <v>11</v>
      </c>
      <c r="G751" s="6" t="s">
        <v>9</v>
      </c>
    </row>
    <row r="752" spans="1:7" x14ac:dyDescent="0.35">
      <c r="A752" s="6" t="s">
        <v>685</v>
      </c>
      <c r="B752" s="7">
        <v>30906</v>
      </c>
      <c r="C752">
        <v>3</v>
      </c>
      <c r="D752">
        <v>5679.13</v>
      </c>
      <c r="E752" s="6" t="s">
        <v>7</v>
      </c>
      <c r="F752" s="6" t="s">
        <v>7</v>
      </c>
      <c r="G752" s="6" t="s">
        <v>9</v>
      </c>
    </row>
    <row r="753" spans="1:7" x14ac:dyDescent="0.35">
      <c r="A753" s="6" t="s">
        <v>684</v>
      </c>
      <c r="B753" s="7">
        <v>30562</v>
      </c>
      <c r="C753">
        <v>0</v>
      </c>
      <c r="D753">
        <v>5662.23</v>
      </c>
      <c r="E753" s="6" t="s">
        <v>7</v>
      </c>
      <c r="F753" s="6" t="s">
        <v>11</v>
      </c>
      <c r="G753" s="6" t="s">
        <v>9</v>
      </c>
    </row>
    <row r="754" spans="1:7" x14ac:dyDescent="0.35">
      <c r="A754" s="6" t="s">
        <v>683</v>
      </c>
      <c r="B754" s="7">
        <v>28760</v>
      </c>
      <c r="C754">
        <v>2</v>
      </c>
      <c r="D754">
        <v>5650.14</v>
      </c>
      <c r="E754" s="6" t="s">
        <v>7</v>
      </c>
      <c r="F754" s="6" t="s">
        <v>11</v>
      </c>
      <c r="G754" s="6" t="s">
        <v>9</v>
      </c>
    </row>
    <row r="755" spans="1:7" x14ac:dyDescent="0.35">
      <c r="A755" s="6" t="s">
        <v>682</v>
      </c>
      <c r="B755" s="7">
        <v>30475</v>
      </c>
      <c r="C755">
        <v>0</v>
      </c>
      <c r="D755">
        <v>5649.72</v>
      </c>
      <c r="E755" s="6" t="s">
        <v>7</v>
      </c>
      <c r="F755" s="6" t="s">
        <v>8</v>
      </c>
      <c r="G755" s="6" t="s">
        <v>32</v>
      </c>
    </row>
    <row r="756" spans="1:7" x14ac:dyDescent="0.35">
      <c r="A756" s="6" t="s">
        <v>2195</v>
      </c>
      <c r="B756" s="7">
        <v>31368</v>
      </c>
      <c r="C756">
        <v>0</v>
      </c>
      <c r="D756">
        <v>37270.15</v>
      </c>
      <c r="E756" s="6" t="s">
        <v>7</v>
      </c>
      <c r="F756" s="6" t="s">
        <v>11</v>
      </c>
      <c r="G756" s="6" t="s">
        <v>237</v>
      </c>
    </row>
    <row r="757" spans="1:7" x14ac:dyDescent="0.35">
      <c r="A757" s="6" t="s">
        <v>681</v>
      </c>
      <c r="B757" s="7">
        <v>32120</v>
      </c>
      <c r="C757">
        <v>1</v>
      </c>
      <c r="D757">
        <v>5630.46</v>
      </c>
      <c r="E757" s="6" t="s">
        <v>7</v>
      </c>
      <c r="F757" s="6" t="s">
        <v>8</v>
      </c>
      <c r="G757" s="6" t="s">
        <v>16</v>
      </c>
    </row>
    <row r="758" spans="1:7" x14ac:dyDescent="0.35">
      <c r="A758" s="6" t="s">
        <v>680</v>
      </c>
      <c r="B758" s="7">
        <v>34653</v>
      </c>
      <c r="C758">
        <v>5</v>
      </c>
      <c r="D758">
        <v>5615.37</v>
      </c>
      <c r="E758" s="6" t="s">
        <v>7</v>
      </c>
      <c r="F758" s="6" t="s">
        <v>8</v>
      </c>
      <c r="G758" s="6" t="s">
        <v>32</v>
      </c>
    </row>
    <row r="759" spans="1:7" x14ac:dyDescent="0.35">
      <c r="A759" s="6" t="s">
        <v>679</v>
      </c>
      <c r="B759" s="7">
        <v>28744</v>
      </c>
      <c r="C759">
        <v>2</v>
      </c>
      <c r="D759">
        <v>5612.83</v>
      </c>
      <c r="E759" s="6" t="s">
        <v>7</v>
      </c>
      <c r="F759" s="6" t="s">
        <v>8</v>
      </c>
      <c r="G759" s="6" t="s">
        <v>9</v>
      </c>
    </row>
    <row r="760" spans="1:7" x14ac:dyDescent="0.35">
      <c r="A760" s="6" t="s">
        <v>678</v>
      </c>
      <c r="B760" s="7">
        <v>32465</v>
      </c>
      <c r="C760">
        <v>1</v>
      </c>
      <c r="D760">
        <v>5594.85</v>
      </c>
      <c r="E760" s="6" t="s">
        <v>7</v>
      </c>
      <c r="F760" s="6" t="s">
        <v>8</v>
      </c>
      <c r="G760" s="6" t="s">
        <v>237</v>
      </c>
    </row>
    <row r="761" spans="1:7" x14ac:dyDescent="0.35">
      <c r="A761" s="6" t="s">
        <v>677</v>
      </c>
      <c r="B761" s="7">
        <v>30592</v>
      </c>
      <c r="C761">
        <v>3</v>
      </c>
      <c r="D761">
        <v>5587.59</v>
      </c>
      <c r="E761" s="6" t="s">
        <v>7</v>
      </c>
      <c r="F761" s="6" t="s">
        <v>11</v>
      </c>
      <c r="G761" s="6" t="s">
        <v>9</v>
      </c>
    </row>
    <row r="762" spans="1:7" x14ac:dyDescent="0.35">
      <c r="A762" s="6" t="s">
        <v>676</v>
      </c>
      <c r="B762" s="7">
        <v>31737</v>
      </c>
      <c r="C762">
        <v>2</v>
      </c>
      <c r="D762">
        <v>5584.31</v>
      </c>
      <c r="E762" s="6" t="s">
        <v>8</v>
      </c>
      <c r="F762" s="6" t="s">
        <v>11</v>
      </c>
      <c r="G762" s="6" t="s">
        <v>9</v>
      </c>
    </row>
    <row r="763" spans="1:7" x14ac:dyDescent="0.35">
      <c r="A763" s="6" t="s">
        <v>675</v>
      </c>
      <c r="B763" s="7">
        <v>31295</v>
      </c>
      <c r="C763">
        <v>3</v>
      </c>
      <c r="D763">
        <v>5582.95</v>
      </c>
      <c r="E763" s="6" t="s">
        <v>7</v>
      </c>
      <c r="F763" s="6" t="s">
        <v>11</v>
      </c>
      <c r="G763" s="6" t="s">
        <v>16</v>
      </c>
    </row>
    <row r="764" spans="1:7" x14ac:dyDescent="0.35">
      <c r="A764" s="6" t="s">
        <v>674</v>
      </c>
      <c r="B764" s="7">
        <v>27290</v>
      </c>
      <c r="C764">
        <v>0</v>
      </c>
      <c r="D764">
        <v>5576.35</v>
      </c>
      <c r="E764" s="6" t="s">
        <v>7</v>
      </c>
      <c r="F764" s="6" t="s">
        <v>8</v>
      </c>
      <c r="G764" s="6" t="s">
        <v>9</v>
      </c>
    </row>
    <row r="765" spans="1:7" x14ac:dyDescent="0.35">
      <c r="A765" s="6" t="s">
        <v>673</v>
      </c>
      <c r="B765" s="7">
        <v>36425</v>
      </c>
      <c r="C765">
        <v>0</v>
      </c>
      <c r="D765">
        <v>5552.61</v>
      </c>
      <c r="E765" s="6" t="s">
        <v>7</v>
      </c>
      <c r="F765" s="6" t="s">
        <v>8</v>
      </c>
      <c r="G765" s="6" t="s">
        <v>525</v>
      </c>
    </row>
    <row r="766" spans="1:7" x14ac:dyDescent="0.35">
      <c r="A766" s="6" t="s">
        <v>672</v>
      </c>
      <c r="B766" s="7">
        <v>29562</v>
      </c>
      <c r="C766">
        <v>2</v>
      </c>
      <c r="D766">
        <v>5540.35</v>
      </c>
      <c r="E766" s="6" t="s">
        <v>7</v>
      </c>
      <c r="F766" s="6" t="s">
        <v>7</v>
      </c>
      <c r="G766" s="6" t="s">
        <v>16</v>
      </c>
    </row>
    <row r="767" spans="1:7" x14ac:dyDescent="0.35">
      <c r="A767" s="6" t="s">
        <v>2194</v>
      </c>
      <c r="B767" s="7">
        <v>33163</v>
      </c>
      <c r="C767">
        <v>3</v>
      </c>
      <c r="D767">
        <v>37251.22</v>
      </c>
      <c r="E767" s="6" t="s">
        <v>7</v>
      </c>
      <c r="F767" s="6" t="s">
        <v>7</v>
      </c>
      <c r="G767" s="6" t="s">
        <v>32</v>
      </c>
    </row>
    <row r="768" spans="1:7" x14ac:dyDescent="0.35">
      <c r="A768" s="6" t="s">
        <v>671</v>
      </c>
      <c r="B768" s="7">
        <v>29897</v>
      </c>
      <c r="C768">
        <v>1</v>
      </c>
      <c r="D768">
        <v>5539.4</v>
      </c>
      <c r="E768" s="6" t="s">
        <v>7</v>
      </c>
      <c r="F768" s="6" t="s">
        <v>7</v>
      </c>
      <c r="G768" s="6" t="s">
        <v>9</v>
      </c>
    </row>
    <row r="769" spans="1:7" x14ac:dyDescent="0.35">
      <c r="A769" s="6" t="s">
        <v>670</v>
      </c>
      <c r="B769" s="7">
        <v>32353</v>
      </c>
      <c r="C769">
        <v>3</v>
      </c>
      <c r="D769">
        <v>5503.36</v>
      </c>
      <c r="E769" s="6" t="s">
        <v>7</v>
      </c>
      <c r="F769" s="6" t="s">
        <v>7</v>
      </c>
      <c r="G769" s="6" t="s">
        <v>16</v>
      </c>
    </row>
    <row r="770" spans="1:7" x14ac:dyDescent="0.35">
      <c r="A770" s="6" t="s">
        <v>669</v>
      </c>
      <c r="B770" s="7">
        <v>30911</v>
      </c>
      <c r="C770">
        <v>1</v>
      </c>
      <c r="D770">
        <v>5488.26</v>
      </c>
      <c r="E770" s="6" t="s">
        <v>7</v>
      </c>
      <c r="F770" s="6" t="s">
        <v>8</v>
      </c>
      <c r="G770" s="6" t="s">
        <v>32</v>
      </c>
    </row>
    <row r="771" spans="1:7" x14ac:dyDescent="0.35">
      <c r="A771" s="6" t="s">
        <v>668</v>
      </c>
      <c r="B771" s="7">
        <v>30920</v>
      </c>
      <c r="C771">
        <v>1</v>
      </c>
      <c r="D771">
        <v>5484.47</v>
      </c>
      <c r="E771" s="6" t="s">
        <v>7</v>
      </c>
      <c r="F771" s="6" t="s">
        <v>7</v>
      </c>
      <c r="G771" s="6" t="s">
        <v>9</v>
      </c>
    </row>
    <row r="772" spans="1:7" x14ac:dyDescent="0.35">
      <c r="A772" s="6" t="s">
        <v>667</v>
      </c>
      <c r="B772" s="7">
        <v>31685</v>
      </c>
      <c r="C772">
        <v>1</v>
      </c>
      <c r="D772">
        <v>5478.04</v>
      </c>
      <c r="E772" s="6" t="s">
        <v>7</v>
      </c>
      <c r="F772" s="6" t="s">
        <v>8</v>
      </c>
      <c r="G772" s="6" t="s">
        <v>9</v>
      </c>
    </row>
    <row r="773" spans="1:7" x14ac:dyDescent="0.35">
      <c r="A773" s="6" t="s">
        <v>666</v>
      </c>
      <c r="B773" s="7">
        <v>31605</v>
      </c>
      <c r="C773">
        <v>1</v>
      </c>
      <c r="D773">
        <v>5472.45</v>
      </c>
      <c r="E773" s="6" t="s">
        <v>7</v>
      </c>
      <c r="F773" s="6" t="s">
        <v>8</v>
      </c>
      <c r="G773" s="6" t="s">
        <v>32</v>
      </c>
    </row>
    <row r="774" spans="1:7" x14ac:dyDescent="0.35">
      <c r="A774" s="6" t="s">
        <v>665</v>
      </c>
      <c r="B774" s="7">
        <v>31748</v>
      </c>
      <c r="C774">
        <v>0</v>
      </c>
      <c r="D774">
        <v>5469.01</v>
      </c>
      <c r="E774" s="6" t="s">
        <v>7</v>
      </c>
      <c r="F774" s="6" t="s">
        <v>7</v>
      </c>
      <c r="G774" s="6" t="s">
        <v>237</v>
      </c>
    </row>
    <row r="775" spans="1:7" x14ac:dyDescent="0.35">
      <c r="A775" s="6" t="s">
        <v>664</v>
      </c>
      <c r="B775" s="7">
        <v>26961</v>
      </c>
      <c r="C775">
        <v>0</v>
      </c>
      <c r="D775">
        <v>5466.88</v>
      </c>
      <c r="E775" s="6" t="s">
        <v>7</v>
      </c>
      <c r="F775" s="6" t="s">
        <v>7</v>
      </c>
      <c r="G775" s="6" t="s">
        <v>9</v>
      </c>
    </row>
    <row r="776" spans="1:7" x14ac:dyDescent="0.35">
      <c r="A776" s="6" t="s">
        <v>663</v>
      </c>
      <c r="B776" s="7">
        <v>31771</v>
      </c>
      <c r="C776">
        <v>0</v>
      </c>
      <c r="D776">
        <v>5458.05</v>
      </c>
      <c r="E776" s="6" t="s">
        <v>7</v>
      </c>
      <c r="F776" s="6" t="s">
        <v>7</v>
      </c>
      <c r="G776" s="6" t="s">
        <v>237</v>
      </c>
    </row>
    <row r="777" spans="1:7" x14ac:dyDescent="0.35">
      <c r="A777" s="6" t="s">
        <v>662</v>
      </c>
      <c r="B777" s="7">
        <v>30188</v>
      </c>
      <c r="C777">
        <v>0</v>
      </c>
      <c r="D777">
        <v>5438.75</v>
      </c>
      <c r="E777" s="6" t="s">
        <v>8</v>
      </c>
      <c r="F777" s="6" t="s">
        <v>7</v>
      </c>
      <c r="G777" s="6" t="s">
        <v>9</v>
      </c>
    </row>
    <row r="778" spans="1:7" x14ac:dyDescent="0.35">
      <c r="A778" s="6" t="s">
        <v>2346</v>
      </c>
      <c r="B778" s="7">
        <v>21505</v>
      </c>
      <c r="C778">
        <v>1</v>
      </c>
      <c r="D778">
        <v>47928.03</v>
      </c>
      <c r="E778" s="6" t="s">
        <v>7</v>
      </c>
      <c r="F778" s="6" t="s">
        <v>8</v>
      </c>
      <c r="G778" s="6" t="s">
        <v>32</v>
      </c>
    </row>
    <row r="779" spans="1:7" x14ac:dyDescent="0.35">
      <c r="A779" s="6" t="s">
        <v>2193</v>
      </c>
      <c r="B779" s="7">
        <v>36774</v>
      </c>
      <c r="C779">
        <v>1</v>
      </c>
      <c r="D779">
        <v>37165.160000000003</v>
      </c>
      <c r="E779" s="6" t="s">
        <v>11</v>
      </c>
      <c r="F779" s="6" t="s">
        <v>8</v>
      </c>
      <c r="G779" s="6" t="s">
        <v>23</v>
      </c>
    </row>
    <row r="780" spans="1:7" x14ac:dyDescent="0.35">
      <c r="A780" s="6" t="s">
        <v>661</v>
      </c>
      <c r="B780" s="7">
        <v>28649</v>
      </c>
      <c r="C780">
        <v>2</v>
      </c>
      <c r="D780">
        <v>5428.98</v>
      </c>
      <c r="E780" s="6" t="s">
        <v>7</v>
      </c>
      <c r="F780" s="6" t="s">
        <v>7</v>
      </c>
      <c r="G780" s="6" t="s">
        <v>16</v>
      </c>
    </row>
    <row r="781" spans="1:7" x14ac:dyDescent="0.35">
      <c r="A781" s="6" t="s">
        <v>660</v>
      </c>
      <c r="B781" s="7">
        <v>33864</v>
      </c>
      <c r="C781">
        <v>3</v>
      </c>
      <c r="D781">
        <v>5428.73</v>
      </c>
      <c r="E781" s="6" t="s">
        <v>8</v>
      </c>
      <c r="F781" s="6" t="s">
        <v>11</v>
      </c>
      <c r="G781" s="6" t="s">
        <v>346</v>
      </c>
    </row>
    <row r="782" spans="1:7" x14ac:dyDescent="0.35">
      <c r="A782" s="6" t="s">
        <v>659</v>
      </c>
      <c r="B782" s="7">
        <v>33425</v>
      </c>
      <c r="C782">
        <v>3</v>
      </c>
      <c r="D782">
        <v>5425.02</v>
      </c>
      <c r="E782" s="6" t="s">
        <v>7</v>
      </c>
      <c r="F782" s="6" t="s">
        <v>11</v>
      </c>
      <c r="G782" s="6" t="s">
        <v>16</v>
      </c>
    </row>
    <row r="783" spans="1:7" x14ac:dyDescent="0.35">
      <c r="A783" s="6" t="s">
        <v>658</v>
      </c>
      <c r="B783" s="7">
        <v>30221</v>
      </c>
      <c r="C783">
        <v>0</v>
      </c>
      <c r="D783">
        <v>5415.66</v>
      </c>
      <c r="E783" s="6" t="s">
        <v>7</v>
      </c>
      <c r="F783" s="6" t="s">
        <v>8</v>
      </c>
      <c r="G783" s="6" t="s">
        <v>9</v>
      </c>
    </row>
    <row r="784" spans="1:7" x14ac:dyDescent="0.35">
      <c r="A784" s="6" t="s">
        <v>657</v>
      </c>
      <c r="B784" s="7">
        <v>27664</v>
      </c>
      <c r="C784">
        <v>1</v>
      </c>
      <c r="D784">
        <v>5411.99</v>
      </c>
      <c r="E784" s="6" t="s">
        <v>7</v>
      </c>
      <c r="F784" s="6" t="s">
        <v>8</v>
      </c>
      <c r="G784" s="6" t="s">
        <v>16</v>
      </c>
    </row>
    <row r="785" spans="1:7" x14ac:dyDescent="0.35">
      <c r="A785" s="6" t="s">
        <v>656</v>
      </c>
      <c r="B785" s="7">
        <v>31404</v>
      </c>
      <c r="C785">
        <v>3</v>
      </c>
      <c r="D785">
        <v>5402.89</v>
      </c>
      <c r="E785" s="6" t="s">
        <v>7</v>
      </c>
      <c r="F785" s="6" t="s">
        <v>11</v>
      </c>
      <c r="G785" s="6" t="s">
        <v>9</v>
      </c>
    </row>
    <row r="786" spans="1:7" x14ac:dyDescent="0.35">
      <c r="A786" s="6" t="s">
        <v>655</v>
      </c>
      <c r="B786" s="7">
        <v>30895</v>
      </c>
      <c r="C786">
        <v>0</v>
      </c>
      <c r="D786">
        <v>5400.98</v>
      </c>
      <c r="E786" s="6" t="s">
        <v>7</v>
      </c>
      <c r="F786" s="6" t="s">
        <v>7</v>
      </c>
      <c r="G786" s="6" t="s">
        <v>9</v>
      </c>
    </row>
    <row r="787" spans="1:7" x14ac:dyDescent="0.35">
      <c r="A787" s="6" t="s">
        <v>654</v>
      </c>
      <c r="B787" s="7">
        <v>30928</v>
      </c>
      <c r="C787">
        <v>0</v>
      </c>
      <c r="D787">
        <v>5397.62</v>
      </c>
      <c r="E787" s="6" t="s">
        <v>7</v>
      </c>
      <c r="F787" s="6" t="s">
        <v>7</v>
      </c>
      <c r="G787" s="6" t="s">
        <v>9</v>
      </c>
    </row>
    <row r="788" spans="1:7" x14ac:dyDescent="0.35">
      <c r="A788" s="6" t="s">
        <v>653</v>
      </c>
      <c r="B788" s="7">
        <v>32818</v>
      </c>
      <c r="C788">
        <v>3</v>
      </c>
      <c r="D788">
        <v>5396.44</v>
      </c>
      <c r="E788" s="6" t="s">
        <v>7</v>
      </c>
      <c r="F788" s="6" t="s">
        <v>8</v>
      </c>
      <c r="G788" s="6" t="s">
        <v>9</v>
      </c>
    </row>
    <row r="789" spans="1:7" x14ac:dyDescent="0.35">
      <c r="A789" s="6" t="s">
        <v>652</v>
      </c>
      <c r="B789" s="7">
        <v>32363</v>
      </c>
      <c r="C789">
        <v>1</v>
      </c>
      <c r="D789">
        <v>5385.34</v>
      </c>
      <c r="E789" s="6" t="s">
        <v>7</v>
      </c>
      <c r="F789" s="6" t="s">
        <v>8</v>
      </c>
      <c r="G789" s="6" t="s">
        <v>16</v>
      </c>
    </row>
    <row r="790" spans="1:7" x14ac:dyDescent="0.35">
      <c r="A790" s="6" t="s">
        <v>2192</v>
      </c>
      <c r="B790" s="7">
        <v>35002</v>
      </c>
      <c r="C790">
        <v>0</v>
      </c>
      <c r="D790">
        <v>37133.9</v>
      </c>
      <c r="E790" s="6" t="s">
        <v>7</v>
      </c>
      <c r="F790" s="6" t="s">
        <v>7</v>
      </c>
      <c r="G790" s="6" t="s">
        <v>9</v>
      </c>
    </row>
    <row r="791" spans="1:7" x14ac:dyDescent="0.35">
      <c r="A791" s="6" t="s">
        <v>651</v>
      </c>
      <c r="B791" s="7">
        <v>30834</v>
      </c>
      <c r="C791">
        <v>0</v>
      </c>
      <c r="D791">
        <v>5383.54</v>
      </c>
      <c r="E791" s="6" t="s">
        <v>7</v>
      </c>
      <c r="F791" s="6" t="s">
        <v>8</v>
      </c>
      <c r="G791" s="6" t="s">
        <v>32</v>
      </c>
    </row>
    <row r="792" spans="1:7" x14ac:dyDescent="0.35">
      <c r="A792" s="6" t="s">
        <v>650</v>
      </c>
      <c r="B792" s="7">
        <v>31615</v>
      </c>
      <c r="C792">
        <v>1</v>
      </c>
      <c r="D792">
        <v>5377.46</v>
      </c>
      <c r="E792" s="6" t="s">
        <v>7</v>
      </c>
      <c r="F792" s="6" t="s">
        <v>8</v>
      </c>
      <c r="G792" s="6" t="s">
        <v>16</v>
      </c>
    </row>
    <row r="793" spans="1:7" x14ac:dyDescent="0.35">
      <c r="A793" s="6" t="s">
        <v>649</v>
      </c>
      <c r="B793" s="7">
        <v>32830</v>
      </c>
      <c r="C793">
        <v>2</v>
      </c>
      <c r="D793">
        <v>5375.04</v>
      </c>
      <c r="E793" s="6" t="s">
        <v>7</v>
      </c>
      <c r="F793" s="6" t="s">
        <v>11</v>
      </c>
      <c r="G793" s="6" t="s">
        <v>32</v>
      </c>
    </row>
    <row r="794" spans="1:7" x14ac:dyDescent="0.35">
      <c r="A794" s="6" t="s">
        <v>648</v>
      </c>
      <c r="B794" s="7">
        <v>31564</v>
      </c>
      <c r="C794">
        <v>1</v>
      </c>
      <c r="D794">
        <v>5373.36</v>
      </c>
      <c r="E794" s="6" t="s">
        <v>7</v>
      </c>
      <c r="F794" s="6" t="s">
        <v>7</v>
      </c>
      <c r="G794" s="6" t="s">
        <v>16</v>
      </c>
    </row>
    <row r="795" spans="1:7" x14ac:dyDescent="0.35">
      <c r="A795" s="6" t="s">
        <v>647</v>
      </c>
      <c r="B795" s="7">
        <v>34675</v>
      </c>
      <c r="C795">
        <v>0</v>
      </c>
      <c r="D795">
        <v>5364.66</v>
      </c>
      <c r="E795" s="6" t="s">
        <v>7</v>
      </c>
      <c r="F795" s="6" t="s">
        <v>11</v>
      </c>
      <c r="G795" s="6" t="s">
        <v>32</v>
      </c>
    </row>
    <row r="796" spans="1:7" x14ac:dyDescent="0.35">
      <c r="A796" s="6" t="s">
        <v>646</v>
      </c>
      <c r="B796" s="7">
        <v>32819</v>
      </c>
      <c r="C796">
        <v>1</v>
      </c>
      <c r="D796">
        <v>5354.07</v>
      </c>
      <c r="E796" s="6" t="s">
        <v>7</v>
      </c>
      <c r="F796" s="6" t="s">
        <v>8</v>
      </c>
      <c r="G796" s="6" t="s">
        <v>237</v>
      </c>
    </row>
    <row r="797" spans="1:7" x14ac:dyDescent="0.35">
      <c r="A797" s="6" t="s">
        <v>645</v>
      </c>
      <c r="B797" s="7">
        <v>26648</v>
      </c>
      <c r="C797">
        <v>0</v>
      </c>
      <c r="D797">
        <v>5344.81</v>
      </c>
      <c r="E797" s="6" t="s">
        <v>7</v>
      </c>
      <c r="F797" s="6" t="s">
        <v>8</v>
      </c>
      <c r="G797" s="6" t="s">
        <v>9</v>
      </c>
    </row>
    <row r="798" spans="1:7" x14ac:dyDescent="0.35">
      <c r="A798" s="6" t="s">
        <v>644</v>
      </c>
      <c r="B798" s="7">
        <v>33478</v>
      </c>
      <c r="C798">
        <v>2</v>
      </c>
      <c r="D798">
        <v>5327.4</v>
      </c>
      <c r="E798" s="6" t="s">
        <v>7</v>
      </c>
      <c r="F798" s="6" t="s">
        <v>11</v>
      </c>
      <c r="G798" s="6" t="s">
        <v>16</v>
      </c>
    </row>
    <row r="799" spans="1:7" x14ac:dyDescent="0.35">
      <c r="A799" s="6" t="s">
        <v>643</v>
      </c>
      <c r="B799" s="7">
        <v>33773</v>
      </c>
      <c r="C799">
        <v>3</v>
      </c>
      <c r="D799">
        <v>5325.65</v>
      </c>
      <c r="E799" s="6" t="s">
        <v>7</v>
      </c>
      <c r="F799" s="6" t="s">
        <v>11</v>
      </c>
      <c r="G799" s="6" t="s">
        <v>32</v>
      </c>
    </row>
    <row r="800" spans="1:7" x14ac:dyDescent="0.35">
      <c r="A800" s="6" t="s">
        <v>642</v>
      </c>
      <c r="B800" s="7">
        <v>27274</v>
      </c>
      <c r="C800">
        <v>0</v>
      </c>
      <c r="D800">
        <v>5322.24</v>
      </c>
      <c r="E800" s="6" t="s">
        <v>7</v>
      </c>
      <c r="F800" s="6" t="s">
        <v>11</v>
      </c>
      <c r="G800" s="6" t="s">
        <v>16</v>
      </c>
    </row>
    <row r="801" spans="1:7" x14ac:dyDescent="0.35">
      <c r="A801" s="6" t="s">
        <v>2191</v>
      </c>
      <c r="B801" s="7">
        <v>32669</v>
      </c>
      <c r="C801">
        <v>0</v>
      </c>
      <c r="D801">
        <v>37079.370000000003</v>
      </c>
      <c r="E801" s="6" t="s">
        <v>7</v>
      </c>
      <c r="F801" s="6" t="s">
        <v>8</v>
      </c>
      <c r="G801" s="6" t="s">
        <v>32</v>
      </c>
    </row>
    <row r="802" spans="1:7" x14ac:dyDescent="0.35">
      <c r="A802" s="6" t="s">
        <v>641</v>
      </c>
      <c r="B802" s="7">
        <v>34651</v>
      </c>
      <c r="C802">
        <v>3</v>
      </c>
      <c r="D802">
        <v>5312.17</v>
      </c>
      <c r="E802" s="6" t="s">
        <v>7</v>
      </c>
      <c r="F802" s="6" t="s">
        <v>7</v>
      </c>
      <c r="G802" s="6" t="s">
        <v>16</v>
      </c>
    </row>
    <row r="803" spans="1:7" x14ac:dyDescent="0.35">
      <c r="A803" s="6" t="s">
        <v>640</v>
      </c>
      <c r="B803" s="7">
        <v>36778</v>
      </c>
      <c r="C803">
        <v>0</v>
      </c>
      <c r="D803">
        <v>5306.7</v>
      </c>
      <c r="E803" s="6" t="s">
        <v>7</v>
      </c>
      <c r="F803" s="6" t="s">
        <v>8</v>
      </c>
      <c r="G803" s="6" t="s">
        <v>16</v>
      </c>
    </row>
    <row r="804" spans="1:7" x14ac:dyDescent="0.35">
      <c r="A804" s="6" t="s">
        <v>639</v>
      </c>
      <c r="B804" s="7">
        <v>38221</v>
      </c>
      <c r="C804">
        <v>0</v>
      </c>
      <c r="D804">
        <v>5293.67</v>
      </c>
      <c r="E804" s="6" t="s">
        <v>7</v>
      </c>
      <c r="F804" s="6" t="s">
        <v>7</v>
      </c>
      <c r="G804" s="6" t="s">
        <v>622</v>
      </c>
    </row>
    <row r="805" spans="1:7" x14ac:dyDescent="0.35">
      <c r="A805" s="6" t="s">
        <v>638</v>
      </c>
      <c r="B805" s="7">
        <v>27345</v>
      </c>
      <c r="C805">
        <v>0</v>
      </c>
      <c r="D805">
        <v>5291.71</v>
      </c>
      <c r="E805" s="6" t="s">
        <v>7</v>
      </c>
      <c r="F805" s="6" t="s">
        <v>7</v>
      </c>
      <c r="G805" s="6" t="s">
        <v>16</v>
      </c>
    </row>
    <row r="806" spans="1:7" x14ac:dyDescent="0.35">
      <c r="A806" s="6" t="s">
        <v>637</v>
      </c>
      <c r="B806" s="7">
        <v>32021</v>
      </c>
      <c r="C806">
        <v>3</v>
      </c>
      <c r="D806">
        <v>5275.86</v>
      </c>
      <c r="E806" s="6" t="s">
        <v>7</v>
      </c>
      <c r="F806" s="6" t="s">
        <v>7</v>
      </c>
      <c r="G806" s="6" t="s">
        <v>9</v>
      </c>
    </row>
    <row r="807" spans="1:7" x14ac:dyDescent="0.35">
      <c r="A807" s="6" t="s">
        <v>636</v>
      </c>
      <c r="B807" s="7">
        <v>31705</v>
      </c>
      <c r="C807">
        <v>0</v>
      </c>
      <c r="D807">
        <v>5272.18</v>
      </c>
      <c r="E807" s="6" t="s">
        <v>7</v>
      </c>
      <c r="F807" s="6" t="s">
        <v>8</v>
      </c>
      <c r="G807" s="6" t="s">
        <v>16</v>
      </c>
    </row>
    <row r="808" spans="1:7" x14ac:dyDescent="0.35">
      <c r="A808" s="6" t="s">
        <v>635</v>
      </c>
      <c r="B808" s="7">
        <v>31675</v>
      </c>
      <c r="C808">
        <v>0</v>
      </c>
      <c r="D808">
        <v>5267.82</v>
      </c>
      <c r="E808" s="6" t="s">
        <v>7</v>
      </c>
      <c r="F808" s="6" t="s">
        <v>7</v>
      </c>
      <c r="G808" s="6" t="s">
        <v>16</v>
      </c>
    </row>
    <row r="809" spans="1:7" x14ac:dyDescent="0.35">
      <c r="A809" s="6" t="s">
        <v>634</v>
      </c>
      <c r="B809" s="7">
        <v>31710</v>
      </c>
      <c r="C809">
        <v>0</v>
      </c>
      <c r="D809">
        <v>5266.37</v>
      </c>
      <c r="E809" s="6" t="s">
        <v>7</v>
      </c>
      <c r="F809" s="6" t="s">
        <v>7</v>
      </c>
      <c r="G809" s="6" t="s">
        <v>16</v>
      </c>
    </row>
    <row r="810" spans="1:7" x14ac:dyDescent="0.35">
      <c r="A810" s="6" t="s">
        <v>633</v>
      </c>
      <c r="B810" s="7">
        <v>32708</v>
      </c>
      <c r="C810">
        <v>2</v>
      </c>
      <c r="D810">
        <v>5261.47</v>
      </c>
      <c r="E810" s="6" t="s">
        <v>7</v>
      </c>
      <c r="F810" s="6" t="s">
        <v>7</v>
      </c>
      <c r="G810" s="6" t="s">
        <v>16</v>
      </c>
    </row>
    <row r="811" spans="1:7" x14ac:dyDescent="0.35">
      <c r="A811" s="6" t="s">
        <v>632</v>
      </c>
      <c r="B811" s="7">
        <v>32837</v>
      </c>
      <c r="C811">
        <v>2</v>
      </c>
      <c r="D811">
        <v>5257.51</v>
      </c>
      <c r="E811" s="6" t="s">
        <v>7</v>
      </c>
      <c r="F811" s="6" t="s">
        <v>7</v>
      </c>
      <c r="G811" s="6" t="s">
        <v>16</v>
      </c>
    </row>
    <row r="812" spans="1:7" x14ac:dyDescent="0.35">
      <c r="A812" s="6" t="s">
        <v>2190</v>
      </c>
      <c r="B812" s="7">
        <v>32494</v>
      </c>
      <c r="C812">
        <v>3</v>
      </c>
      <c r="D812">
        <v>37076.370000000003</v>
      </c>
      <c r="E812" s="6" t="s">
        <v>7</v>
      </c>
      <c r="F812" s="6" t="s">
        <v>11</v>
      </c>
      <c r="G812" s="6" t="s">
        <v>32</v>
      </c>
    </row>
    <row r="813" spans="1:7" x14ac:dyDescent="0.35">
      <c r="A813" s="6" t="s">
        <v>631</v>
      </c>
      <c r="B813" s="7">
        <v>33060</v>
      </c>
      <c r="C813">
        <v>3</v>
      </c>
      <c r="D813">
        <v>5253.52</v>
      </c>
      <c r="E813" s="6" t="s">
        <v>8</v>
      </c>
      <c r="F813" s="6" t="s">
        <v>8</v>
      </c>
      <c r="G813" s="6" t="s">
        <v>32</v>
      </c>
    </row>
    <row r="814" spans="1:7" x14ac:dyDescent="0.35">
      <c r="A814" s="6" t="s">
        <v>630</v>
      </c>
      <c r="B814" s="7">
        <v>32029</v>
      </c>
      <c r="C814">
        <v>1</v>
      </c>
      <c r="D814">
        <v>5246.05</v>
      </c>
      <c r="E814" s="6" t="s">
        <v>7</v>
      </c>
      <c r="F814" s="6" t="s">
        <v>8</v>
      </c>
      <c r="G814" s="6" t="s">
        <v>32</v>
      </c>
    </row>
    <row r="815" spans="1:7" x14ac:dyDescent="0.35">
      <c r="A815" s="6" t="s">
        <v>629</v>
      </c>
      <c r="B815" s="7">
        <v>31963</v>
      </c>
      <c r="C815">
        <v>1</v>
      </c>
      <c r="D815">
        <v>5245.23</v>
      </c>
      <c r="E815" s="6" t="s">
        <v>7</v>
      </c>
      <c r="F815" s="6" t="s">
        <v>7</v>
      </c>
      <c r="G815" s="6" t="s">
        <v>9</v>
      </c>
    </row>
    <row r="816" spans="1:7" x14ac:dyDescent="0.35">
      <c r="A816" s="6" t="s">
        <v>628</v>
      </c>
      <c r="B816" s="7">
        <v>32137</v>
      </c>
      <c r="C816">
        <v>1</v>
      </c>
      <c r="D816">
        <v>5240.7700000000004</v>
      </c>
      <c r="E816" s="6" t="s">
        <v>7</v>
      </c>
      <c r="F816" s="6" t="s">
        <v>7</v>
      </c>
      <c r="G816" s="6" t="s">
        <v>32</v>
      </c>
    </row>
    <row r="817" spans="1:7" x14ac:dyDescent="0.35">
      <c r="A817" s="6" t="s">
        <v>627</v>
      </c>
      <c r="B817" s="7">
        <v>31957</v>
      </c>
      <c r="C817">
        <v>0</v>
      </c>
      <c r="D817">
        <v>5227.99</v>
      </c>
      <c r="E817" s="6" t="s">
        <v>7</v>
      </c>
      <c r="F817" s="6" t="s">
        <v>11</v>
      </c>
      <c r="G817" s="6" t="s">
        <v>237</v>
      </c>
    </row>
    <row r="818" spans="1:7" x14ac:dyDescent="0.35">
      <c r="A818" s="6" t="s">
        <v>626</v>
      </c>
      <c r="B818" s="7">
        <v>34856</v>
      </c>
      <c r="C818">
        <v>0</v>
      </c>
      <c r="D818">
        <v>5216.4799999999996</v>
      </c>
      <c r="E818" s="6" t="s">
        <v>7</v>
      </c>
      <c r="F818" s="6" t="s">
        <v>7</v>
      </c>
      <c r="G818" s="6" t="s">
        <v>190</v>
      </c>
    </row>
    <row r="819" spans="1:7" x14ac:dyDescent="0.35">
      <c r="A819" s="6" t="s">
        <v>625</v>
      </c>
      <c r="B819" s="7">
        <v>36495</v>
      </c>
      <c r="C819">
        <v>0</v>
      </c>
      <c r="D819">
        <v>5213.22</v>
      </c>
      <c r="E819" s="6" t="s">
        <v>7</v>
      </c>
      <c r="F819" s="6" t="s">
        <v>11</v>
      </c>
      <c r="G819" s="6" t="s">
        <v>16</v>
      </c>
    </row>
    <row r="820" spans="1:7" x14ac:dyDescent="0.35">
      <c r="A820" s="6" t="s">
        <v>624</v>
      </c>
      <c r="B820" s="7">
        <v>34137</v>
      </c>
      <c r="C820">
        <v>3</v>
      </c>
      <c r="D820">
        <v>5209.58</v>
      </c>
      <c r="E820" s="6" t="s">
        <v>8</v>
      </c>
      <c r="F820" s="6" t="s">
        <v>8</v>
      </c>
      <c r="G820" s="6" t="s">
        <v>346</v>
      </c>
    </row>
    <row r="821" spans="1:7" x14ac:dyDescent="0.35">
      <c r="A821" s="6" t="s">
        <v>623</v>
      </c>
      <c r="B821" s="7">
        <v>30613</v>
      </c>
      <c r="C821">
        <v>3</v>
      </c>
      <c r="D821">
        <v>5207.97</v>
      </c>
      <c r="E821" s="6" t="s">
        <v>7</v>
      </c>
      <c r="F821" s="6" t="s">
        <v>7</v>
      </c>
      <c r="G821" s="6" t="s">
        <v>16</v>
      </c>
    </row>
    <row r="822" spans="1:7" x14ac:dyDescent="0.35">
      <c r="A822" s="6" t="s">
        <v>621</v>
      </c>
      <c r="B822" s="7">
        <v>38144</v>
      </c>
      <c r="C822">
        <v>0</v>
      </c>
      <c r="D822">
        <v>5198.6899999999996</v>
      </c>
      <c r="E822" s="6" t="s">
        <v>7</v>
      </c>
      <c r="F822" s="6" t="s">
        <v>7</v>
      </c>
      <c r="G822" s="6" t="s">
        <v>622</v>
      </c>
    </row>
    <row r="823" spans="1:7" x14ac:dyDescent="0.35">
      <c r="A823" s="6" t="s">
        <v>2189</v>
      </c>
      <c r="B823" s="7">
        <v>33543</v>
      </c>
      <c r="C823">
        <v>3</v>
      </c>
      <c r="D823">
        <v>37040.879999999997</v>
      </c>
      <c r="E823" s="6" t="s">
        <v>7</v>
      </c>
      <c r="F823" s="6" t="s">
        <v>7</v>
      </c>
      <c r="G823" s="6" t="s">
        <v>32</v>
      </c>
    </row>
    <row r="824" spans="1:7" x14ac:dyDescent="0.35">
      <c r="A824" s="6" t="s">
        <v>620</v>
      </c>
      <c r="B824" s="7">
        <v>29110</v>
      </c>
      <c r="C824">
        <v>2</v>
      </c>
      <c r="D824">
        <v>5195.58</v>
      </c>
      <c r="E824" s="6" t="s">
        <v>7</v>
      </c>
      <c r="F824" s="6" t="s">
        <v>7</v>
      </c>
      <c r="G824" s="6" t="s">
        <v>9</v>
      </c>
    </row>
    <row r="825" spans="1:7" x14ac:dyDescent="0.35">
      <c r="A825" s="6" t="s">
        <v>619</v>
      </c>
      <c r="B825" s="7">
        <v>30971</v>
      </c>
      <c r="C825">
        <v>3</v>
      </c>
      <c r="D825">
        <v>5177.12</v>
      </c>
      <c r="E825" s="6" t="s">
        <v>7</v>
      </c>
      <c r="F825" s="6" t="s">
        <v>11</v>
      </c>
      <c r="G825" s="6" t="s">
        <v>9</v>
      </c>
    </row>
    <row r="826" spans="1:7" x14ac:dyDescent="0.35">
      <c r="A826" s="6" t="s">
        <v>618</v>
      </c>
      <c r="B826" s="7">
        <v>33479</v>
      </c>
      <c r="C826">
        <v>3</v>
      </c>
      <c r="D826">
        <v>5166.96</v>
      </c>
      <c r="E826" s="6" t="s">
        <v>7</v>
      </c>
      <c r="F826" s="6" t="s">
        <v>7</v>
      </c>
      <c r="G826" s="6" t="s">
        <v>16</v>
      </c>
    </row>
    <row r="827" spans="1:7" x14ac:dyDescent="0.35">
      <c r="A827" s="6" t="s">
        <v>617</v>
      </c>
      <c r="B827" s="7">
        <v>33155</v>
      </c>
      <c r="C827">
        <v>2</v>
      </c>
      <c r="D827">
        <v>5152.13</v>
      </c>
      <c r="E827" s="6" t="s">
        <v>7</v>
      </c>
      <c r="F827" s="6" t="s">
        <v>7</v>
      </c>
      <c r="G827" s="6" t="s">
        <v>32</v>
      </c>
    </row>
    <row r="828" spans="1:7" x14ac:dyDescent="0.35">
      <c r="A828" s="6" t="s">
        <v>616</v>
      </c>
      <c r="B828" s="7">
        <v>33107</v>
      </c>
      <c r="C828">
        <v>1</v>
      </c>
      <c r="D828">
        <v>5148.55</v>
      </c>
      <c r="E828" s="6" t="s">
        <v>7</v>
      </c>
      <c r="F828" s="6" t="s">
        <v>7</v>
      </c>
      <c r="G828" s="6" t="s">
        <v>237</v>
      </c>
    </row>
    <row r="829" spans="1:7" x14ac:dyDescent="0.35">
      <c r="A829" s="6" t="s">
        <v>615</v>
      </c>
      <c r="B829" s="7">
        <v>30916</v>
      </c>
      <c r="C829">
        <v>3</v>
      </c>
      <c r="D829">
        <v>5144.18</v>
      </c>
      <c r="E829" s="6" t="s">
        <v>7</v>
      </c>
      <c r="F829" s="6" t="s">
        <v>11</v>
      </c>
      <c r="G829" s="6" t="s">
        <v>9</v>
      </c>
    </row>
    <row r="830" spans="1:7" x14ac:dyDescent="0.35">
      <c r="A830" s="6" t="s">
        <v>614</v>
      </c>
      <c r="B830" s="7">
        <v>34313</v>
      </c>
      <c r="C830">
        <v>3</v>
      </c>
      <c r="D830">
        <v>5138.26</v>
      </c>
      <c r="E830" s="6" t="s">
        <v>7</v>
      </c>
      <c r="F830" s="6" t="s">
        <v>7</v>
      </c>
      <c r="G830" s="6" t="s">
        <v>9</v>
      </c>
    </row>
    <row r="831" spans="1:7" x14ac:dyDescent="0.35">
      <c r="A831" s="6" t="s">
        <v>613</v>
      </c>
      <c r="B831" s="7">
        <v>32401</v>
      </c>
      <c r="C831">
        <v>3</v>
      </c>
      <c r="D831">
        <v>5136.75</v>
      </c>
      <c r="E831" s="6" t="s">
        <v>7</v>
      </c>
      <c r="F831" s="6" t="s">
        <v>11</v>
      </c>
      <c r="G831" s="6" t="s">
        <v>9</v>
      </c>
    </row>
    <row r="832" spans="1:7" x14ac:dyDescent="0.35">
      <c r="A832" s="6" t="s">
        <v>612</v>
      </c>
      <c r="B832" s="7">
        <v>32033</v>
      </c>
      <c r="C832">
        <v>1</v>
      </c>
      <c r="D832">
        <v>5125.22</v>
      </c>
      <c r="E832" s="6" t="s">
        <v>11</v>
      </c>
      <c r="F832" s="6" t="s">
        <v>7</v>
      </c>
      <c r="G832" s="6" t="s">
        <v>16</v>
      </c>
    </row>
    <row r="833" spans="1:7" x14ac:dyDescent="0.35">
      <c r="A833" s="6" t="s">
        <v>611</v>
      </c>
      <c r="B833" s="7">
        <v>32448</v>
      </c>
      <c r="C833">
        <v>2</v>
      </c>
      <c r="D833">
        <v>5124.1899999999996</v>
      </c>
      <c r="E833" s="6" t="s">
        <v>7</v>
      </c>
      <c r="F833" s="6" t="s">
        <v>8</v>
      </c>
      <c r="G833" s="6" t="s">
        <v>9</v>
      </c>
    </row>
    <row r="834" spans="1:7" x14ac:dyDescent="0.35">
      <c r="A834" s="6" t="s">
        <v>2188</v>
      </c>
      <c r="B834" s="7">
        <v>33860</v>
      </c>
      <c r="C834">
        <v>0</v>
      </c>
      <c r="D834">
        <v>36976.449999999997</v>
      </c>
      <c r="E834" s="6" t="s">
        <v>7</v>
      </c>
      <c r="F834" s="6" t="s">
        <v>8</v>
      </c>
      <c r="G834" s="6" t="s">
        <v>32</v>
      </c>
    </row>
    <row r="835" spans="1:7" x14ac:dyDescent="0.35">
      <c r="A835" s="6" t="s">
        <v>610</v>
      </c>
      <c r="B835" s="7">
        <v>32099</v>
      </c>
      <c r="C835">
        <v>1</v>
      </c>
      <c r="D835">
        <v>5116.5</v>
      </c>
      <c r="E835" s="6" t="s">
        <v>7</v>
      </c>
      <c r="F835" s="6" t="s">
        <v>7</v>
      </c>
      <c r="G835" s="6" t="s">
        <v>16</v>
      </c>
    </row>
    <row r="836" spans="1:7" x14ac:dyDescent="0.35">
      <c r="A836" s="6" t="s">
        <v>609</v>
      </c>
      <c r="B836" s="7">
        <v>36330</v>
      </c>
      <c r="C836">
        <v>0</v>
      </c>
      <c r="D836">
        <v>5087.92</v>
      </c>
      <c r="E836" s="6" t="s">
        <v>7</v>
      </c>
      <c r="F836" s="6" t="s">
        <v>7</v>
      </c>
      <c r="G836" s="6" t="s">
        <v>525</v>
      </c>
    </row>
    <row r="837" spans="1:7" x14ac:dyDescent="0.35">
      <c r="A837" s="6" t="s">
        <v>608</v>
      </c>
      <c r="B837" s="7">
        <v>35625</v>
      </c>
      <c r="C837">
        <v>5</v>
      </c>
      <c r="D837">
        <v>5080.1000000000004</v>
      </c>
      <c r="E837" s="6" t="s">
        <v>8</v>
      </c>
      <c r="F837" s="6" t="s">
        <v>7</v>
      </c>
      <c r="G837" s="6" t="s">
        <v>32</v>
      </c>
    </row>
    <row r="838" spans="1:7" x14ac:dyDescent="0.35">
      <c r="A838" s="6" t="s">
        <v>607</v>
      </c>
      <c r="B838" s="7">
        <v>28816</v>
      </c>
      <c r="C838">
        <v>2</v>
      </c>
      <c r="D838">
        <v>5077.1899999999996</v>
      </c>
      <c r="E838" s="6" t="s">
        <v>7</v>
      </c>
      <c r="F838" s="6" t="s">
        <v>8</v>
      </c>
      <c r="G838" s="6" t="s">
        <v>16</v>
      </c>
    </row>
    <row r="839" spans="1:7" x14ac:dyDescent="0.35">
      <c r="A839" s="6" t="s">
        <v>606</v>
      </c>
      <c r="B839" s="7">
        <v>34131</v>
      </c>
      <c r="C839">
        <v>0</v>
      </c>
      <c r="D839">
        <v>5059.5600000000004</v>
      </c>
      <c r="E839" s="6" t="s">
        <v>7</v>
      </c>
      <c r="F839" s="6" t="s">
        <v>11</v>
      </c>
      <c r="G839" s="6" t="s">
        <v>290</v>
      </c>
    </row>
    <row r="840" spans="1:7" x14ac:dyDescent="0.35">
      <c r="A840" s="6" t="s">
        <v>605</v>
      </c>
      <c r="B840" s="7">
        <v>29471</v>
      </c>
      <c r="C840">
        <v>2</v>
      </c>
      <c r="D840">
        <v>5054.05</v>
      </c>
      <c r="E840" s="6" t="s">
        <v>7</v>
      </c>
      <c r="F840" s="6" t="s">
        <v>7</v>
      </c>
      <c r="G840" s="6" t="s">
        <v>9</v>
      </c>
    </row>
    <row r="841" spans="1:7" x14ac:dyDescent="0.35">
      <c r="A841" s="6" t="s">
        <v>604</v>
      </c>
      <c r="B841" s="7">
        <v>35640</v>
      </c>
      <c r="C841">
        <v>0</v>
      </c>
      <c r="D841">
        <v>5045.1499999999996</v>
      </c>
      <c r="E841" s="6" t="s">
        <v>7</v>
      </c>
      <c r="F841" s="6" t="s">
        <v>7</v>
      </c>
      <c r="G841" s="6" t="s">
        <v>16</v>
      </c>
    </row>
    <row r="842" spans="1:7" x14ac:dyDescent="0.35">
      <c r="A842" s="6" t="s">
        <v>603</v>
      </c>
      <c r="B842" s="7">
        <v>37180</v>
      </c>
      <c r="C842">
        <v>0</v>
      </c>
      <c r="D842">
        <v>5043.13</v>
      </c>
      <c r="E842" s="6" t="s">
        <v>7</v>
      </c>
      <c r="F842" s="6" t="s">
        <v>8</v>
      </c>
      <c r="G842" s="6" t="s">
        <v>32</v>
      </c>
    </row>
    <row r="843" spans="1:7" x14ac:dyDescent="0.35">
      <c r="A843" s="6" t="s">
        <v>602</v>
      </c>
      <c r="B843" s="7">
        <v>35768</v>
      </c>
      <c r="C843">
        <v>0</v>
      </c>
      <c r="D843">
        <v>5038.57</v>
      </c>
      <c r="E843" s="6" t="s">
        <v>7</v>
      </c>
      <c r="F843" s="6" t="s">
        <v>7</v>
      </c>
      <c r="G843" s="6" t="s">
        <v>190</v>
      </c>
    </row>
    <row r="844" spans="1:7" x14ac:dyDescent="0.35">
      <c r="A844" s="6" t="s">
        <v>601</v>
      </c>
      <c r="B844" s="7">
        <v>31592</v>
      </c>
      <c r="C844">
        <v>3</v>
      </c>
      <c r="D844">
        <v>5034.1000000000004</v>
      </c>
      <c r="E844" s="6" t="s">
        <v>7</v>
      </c>
      <c r="F844" s="6" t="s">
        <v>7</v>
      </c>
      <c r="G844" s="6" t="s">
        <v>9</v>
      </c>
    </row>
    <row r="845" spans="1:7" x14ac:dyDescent="0.35">
      <c r="A845" s="6" t="s">
        <v>2187</v>
      </c>
      <c r="B845" s="7">
        <v>33841</v>
      </c>
      <c r="C845">
        <v>0</v>
      </c>
      <c r="D845">
        <v>36950.26</v>
      </c>
      <c r="E845" s="6" t="s">
        <v>11</v>
      </c>
      <c r="F845" s="6" t="s">
        <v>11</v>
      </c>
      <c r="G845" s="6" t="s">
        <v>9</v>
      </c>
    </row>
    <row r="846" spans="1:7" x14ac:dyDescent="0.35">
      <c r="A846" s="6" t="s">
        <v>600</v>
      </c>
      <c r="B846" s="7">
        <v>33491</v>
      </c>
      <c r="C846">
        <v>2</v>
      </c>
      <c r="D846">
        <v>5031.2700000000004</v>
      </c>
      <c r="E846" s="6" t="s">
        <v>8</v>
      </c>
      <c r="F846" s="6" t="s">
        <v>11</v>
      </c>
      <c r="G846" s="6" t="s">
        <v>158</v>
      </c>
    </row>
    <row r="847" spans="1:7" x14ac:dyDescent="0.35">
      <c r="A847" s="6" t="s">
        <v>599</v>
      </c>
      <c r="B847" s="7">
        <v>31409</v>
      </c>
      <c r="C847">
        <v>0</v>
      </c>
      <c r="D847">
        <v>5028.1499999999996</v>
      </c>
      <c r="E847" s="6" t="s">
        <v>11</v>
      </c>
      <c r="F847" s="6" t="s">
        <v>7</v>
      </c>
      <c r="G847" s="6" t="s">
        <v>16</v>
      </c>
    </row>
    <row r="848" spans="1:7" x14ac:dyDescent="0.35">
      <c r="A848" s="6" t="s">
        <v>598</v>
      </c>
      <c r="B848" s="7">
        <v>32456</v>
      </c>
      <c r="C848">
        <v>1</v>
      </c>
      <c r="D848">
        <v>5012.47</v>
      </c>
      <c r="E848" s="6" t="s">
        <v>7</v>
      </c>
      <c r="F848" s="6" t="s">
        <v>8</v>
      </c>
      <c r="G848" s="6" t="s">
        <v>32</v>
      </c>
    </row>
    <row r="849" spans="1:7" x14ac:dyDescent="0.35">
      <c r="A849" s="6" t="s">
        <v>597</v>
      </c>
      <c r="B849" s="7">
        <v>32332</v>
      </c>
      <c r="C849">
        <v>1</v>
      </c>
      <c r="D849">
        <v>5003.8500000000004</v>
      </c>
      <c r="E849" s="6" t="s">
        <v>7</v>
      </c>
      <c r="F849" s="6" t="s">
        <v>8</v>
      </c>
      <c r="G849" s="6" t="s">
        <v>32</v>
      </c>
    </row>
    <row r="850" spans="1:7" x14ac:dyDescent="0.35">
      <c r="A850" s="6" t="s">
        <v>596</v>
      </c>
      <c r="B850" s="7">
        <v>28285</v>
      </c>
      <c r="C850">
        <v>2</v>
      </c>
      <c r="D850">
        <v>5003.7700000000004</v>
      </c>
      <c r="E850" s="6" t="s">
        <v>7</v>
      </c>
      <c r="F850" s="6" t="s">
        <v>8</v>
      </c>
      <c r="G850" s="6" t="s">
        <v>9</v>
      </c>
    </row>
    <row r="851" spans="1:7" x14ac:dyDescent="0.35">
      <c r="A851" s="6" t="s">
        <v>595</v>
      </c>
      <c r="B851" s="7">
        <v>32390</v>
      </c>
      <c r="C851">
        <v>1</v>
      </c>
      <c r="D851">
        <v>5002.78</v>
      </c>
      <c r="E851" s="6" t="s">
        <v>7</v>
      </c>
      <c r="F851" s="6" t="s">
        <v>7</v>
      </c>
      <c r="G851" s="6" t="s">
        <v>9</v>
      </c>
    </row>
    <row r="852" spans="1:7" x14ac:dyDescent="0.35">
      <c r="A852" s="6" t="s">
        <v>594</v>
      </c>
      <c r="B852" s="7">
        <v>37169</v>
      </c>
      <c r="C852">
        <v>0</v>
      </c>
      <c r="D852">
        <v>4999.04</v>
      </c>
      <c r="E852" s="6" t="s">
        <v>7</v>
      </c>
      <c r="F852" s="6" t="s">
        <v>7</v>
      </c>
      <c r="G852" s="6" t="s">
        <v>32</v>
      </c>
    </row>
    <row r="853" spans="1:7" x14ac:dyDescent="0.35">
      <c r="A853" s="6" t="s">
        <v>593</v>
      </c>
      <c r="B853" s="7">
        <v>32318</v>
      </c>
      <c r="C853">
        <v>0</v>
      </c>
      <c r="D853">
        <v>4992.38</v>
      </c>
      <c r="E853" s="6" t="s">
        <v>7</v>
      </c>
      <c r="F853" s="6" t="s">
        <v>8</v>
      </c>
      <c r="G853" s="6" t="s">
        <v>237</v>
      </c>
    </row>
    <row r="854" spans="1:7" x14ac:dyDescent="0.35">
      <c r="A854" s="6" t="s">
        <v>592</v>
      </c>
      <c r="B854" s="7">
        <v>26975</v>
      </c>
      <c r="C854">
        <v>0</v>
      </c>
      <c r="D854">
        <v>4985.22</v>
      </c>
      <c r="E854" s="6" t="s">
        <v>7</v>
      </c>
      <c r="F854" s="6" t="s">
        <v>8</v>
      </c>
      <c r="G854" s="6" t="s">
        <v>9</v>
      </c>
    </row>
    <row r="855" spans="1:7" x14ac:dyDescent="0.35">
      <c r="A855" s="6" t="s">
        <v>591</v>
      </c>
      <c r="B855" s="7">
        <v>33480</v>
      </c>
      <c r="C855">
        <v>2</v>
      </c>
      <c r="D855">
        <v>4949.76</v>
      </c>
      <c r="E855" s="6" t="s">
        <v>7</v>
      </c>
      <c r="F855" s="6" t="s">
        <v>11</v>
      </c>
      <c r="G855" s="6" t="s">
        <v>9</v>
      </c>
    </row>
    <row r="856" spans="1:7" x14ac:dyDescent="0.35">
      <c r="A856" s="6" t="s">
        <v>2186</v>
      </c>
      <c r="B856" s="7">
        <v>28350</v>
      </c>
      <c r="C856">
        <v>2</v>
      </c>
      <c r="D856">
        <v>36935.64</v>
      </c>
      <c r="E856" s="6" t="s">
        <v>7</v>
      </c>
      <c r="F856" s="6" t="s">
        <v>11</v>
      </c>
      <c r="G856" s="6" t="s">
        <v>32</v>
      </c>
    </row>
    <row r="857" spans="1:7" x14ac:dyDescent="0.35">
      <c r="A857" s="6" t="s">
        <v>590</v>
      </c>
      <c r="B857" s="7">
        <v>27206</v>
      </c>
      <c r="C857">
        <v>0</v>
      </c>
      <c r="D857">
        <v>4942.0600000000004</v>
      </c>
      <c r="E857" s="6" t="s">
        <v>7</v>
      </c>
      <c r="F857" s="6" t="s">
        <v>7</v>
      </c>
      <c r="G857" s="6" t="s">
        <v>9</v>
      </c>
    </row>
    <row r="858" spans="1:7" x14ac:dyDescent="0.35">
      <c r="A858" s="6" t="s">
        <v>589</v>
      </c>
      <c r="B858" s="7">
        <v>33569</v>
      </c>
      <c r="C858">
        <v>2</v>
      </c>
      <c r="D858">
        <v>4934.71</v>
      </c>
      <c r="E858" s="6" t="s">
        <v>7</v>
      </c>
      <c r="F858" s="6" t="s">
        <v>8</v>
      </c>
      <c r="G858" s="6" t="s">
        <v>32</v>
      </c>
    </row>
    <row r="859" spans="1:7" x14ac:dyDescent="0.35">
      <c r="A859" s="6" t="s">
        <v>588</v>
      </c>
      <c r="B859" s="7">
        <v>33473</v>
      </c>
      <c r="C859">
        <v>2</v>
      </c>
      <c r="D859">
        <v>4931.6499999999996</v>
      </c>
      <c r="E859" s="6" t="s">
        <v>7</v>
      </c>
      <c r="F859" s="6" t="s">
        <v>8</v>
      </c>
      <c r="G859" s="6" t="s">
        <v>32</v>
      </c>
    </row>
    <row r="860" spans="1:7" x14ac:dyDescent="0.35">
      <c r="A860" s="6" t="s">
        <v>587</v>
      </c>
      <c r="B860" s="7">
        <v>34191</v>
      </c>
      <c r="C860">
        <v>2</v>
      </c>
      <c r="D860">
        <v>4922.92</v>
      </c>
      <c r="E860" s="6" t="s">
        <v>7</v>
      </c>
      <c r="F860" s="6" t="s">
        <v>7</v>
      </c>
      <c r="G860" s="6" t="s">
        <v>16</v>
      </c>
    </row>
    <row r="861" spans="1:7" x14ac:dyDescent="0.35">
      <c r="A861" s="6" t="s">
        <v>586</v>
      </c>
      <c r="B861" s="7">
        <v>37489</v>
      </c>
      <c r="C861">
        <v>5</v>
      </c>
      <c r="D861">
        <v>4915.0600000000004</v>
      </c>
      <c r="E861" s="6" t="s">
        <v>7</v>
      </c>
      <c r="F861" s="6" t="s">
        <v>11</v>
      </c>
      <c r="G861" s="6" t="s">
        <v>346</v>
      </c>
    </row>
    <row r="862" spans="1:7" x14ac:dyDescent="0.35">
      <c r="A862" s="6" t="s">
        <v>585</v>
      </c>
      <c r="B862" s="7">
        <v>29877</v>
      </c>
      <c r="C862">
        <v>1</v>
      </c>
      <c r="D862">
        <v>4911.8900000000003</v>
      </c>
      <c r="E862" s="6" t="s">
        <v>7</v>
      </c>
      <c r="F862" s="6" t="s">
        <v>8</v>
      </c>
      <c r="G862" s="6" t="s">
        <v>9</v>
      </c>
    </row>
    <row r="863" spans="1:7" x14ac:dyDescent="0.35">
      <c r="A863" s="6" t="s">
        <v>584</v>
      </c>
      <c r="B863" s="7">
        <v>34160</v>
      </c>
      <c r="C863">
        <v>2</v>
      </c>
      <c r="D863">
        <v>4906.41</v>
      </c>
      <c r="E863" s="6" t="s">
        <v>7</v>
      </c>
      <c r="F863" s="6" t="s">
        <v>11</v>
      </c>
      <c r="G863" s="6" t="s">
        <v>16</v>
      </c>
    </row>
    <row r="864" spans="1:7" x14ac:dyDescent="0.35">
      <c r="A864" s="6" t="s">
        <v>583</v>
      </c>
      <c r="B864" s="7">
        <v>32409</v>
      </c>
      <c r="C864">
        <v>1</v>
      </c>
      <c r="D864">
        <v>4894.75</v>
      </c>
      <c r="E864" s="6" t="s">
        <v>8</v>
      </c>
      <c r="F864" s="6" t="s">
        <v>8</v>
      </c>
      <c r="G864" s="6" t="s">
        <v>16</v>
      </c>
    </row>
    <row r="865" spans="1:7" x14ac:dyDescent="0.35">
      <c r="A865" s="6" t="s">
        <v>582</v>
      </c>
      <c r="B865" s="7">
        <v>33205</v>
      </c>
      <c r="C865">
        <v>3</v>
      </c>
      <c r="D865">
        <v>4894.3900000000003</v>
      </c>
      <c r="E865" s="6" t="s">
        <v>7</v>
      </c>
      <c r="F865" s="6" t="s">
        <v>8</v>
      </c>
      <c r="G865" s="6" t="s">
        <v>9</v>
      </c>
    </row>
    <row r="866" spans="1:7" x14ac:dyDescent="0.35">
      <c r="A866" s="6" t="s">
        <v>581</v>
      </c>
      <c r="B866" s="7">
        <v>32699</v>
      </c>
      <c r="C866">
        <v>2</v>
      </c>
      <c r="D866">
        <v>4890</v>
      </c>
      <c r="E866" s="6" t="s">
        <v>8</v>
      </c>
      <c r="F866" s="6" t="s">
        <v>7</v>
      </c>
      <c r="G866" s="6" t="s">
        <v>9</v>
      </c>
    </row>
    <row r="867" spans="1:7" x14ac:dyDescent="0.35">
      <c r="A867" s="6" t="s">
        <v>2185</v>
      </c>
      <c r="B867" s="7">
        <v>25133</v>
      </c>
      <c r="C867">
        <v>0</v>
      </c>
      <c r="D867">
        <v>36922.61</v>
      </c>
      <c r="E867" s="6" t="s">
        <v>7</v>
      </c>
      <c r="F867" s="6" t="s">
        <v>11</v>
      </c>
      <c r="G867" s="6" t="s">
        <v>32</v>
      </c>
    </row>
    <row r="868" spans="1:7" x14ac:dyDescent="0.35">
      <c r="A868" s="6" t="s">
        <v>580</v>
      </c>
      <c r="B868" s="7">
        <v>31712</v>
      </c>
      <c r="C868">
        <v>0</v>
      </c>
      <c r="D868">
        <v>4889.04</v>
      </c>
      <c r="E868" s="6" t="s">
        <v>7</v>
      </c>
      <c r="F868" s="6" t="s">
        <v>11</v>
      </c>
      <c r="G868" s="6" t="s">
        <v>9</v>
      </c>
    </row>
    <row r="869" spans="1:7" x14ac:dyDescent="0.35">
      <c r="A869" s="6" t="s">
        <v>579</v>
      </c>
      <c r="B869" s="7">
        <v>31769</v>
      </c>
      <c r="C869">
        <v>0</v>
      </c>
      <c r="D869">
        <v>4883.87</v>
      </c>
      <c r="E869" s="6" t="s">
        <v>7</v>
      </c>
      <c r="F869" s="6" t="s">
        <v>11</v>
      </c>
      <c r="G869" s="6" t="s">
        <v>32</v>
      </c>
    </row>
    <row r="870" spans="1:7" x14ac:dyDescent="0.35">
      <c r="A870" s="6" t="s">
        <v>578</v>
      </c>
      <c r="B870" s="7">
        <v>35702</v>
      </c>
      <c r="C870">
        <v>4</v>
      </c>
      <c r="D870">
        <v>4877.9799999999996</v>
      </c>
      <c r="E870" s="6" t="s">
        <v>7</v>
      </c>
      <c r="F870" s="6" t="s">
        <v>8</v>
      </c>
      <c r="G870" s="6" t="s">
        <v>16</v>
      </c>
    </row>
    <row r="871" spans="1:7" x14ac:dyDescent="0.35">
      <c r="A871" s="6" t="s">
        <v>577</v>
      </c>
      <c r="B871" s="7">
        <v>32752</v>
      </c>
      <c r="C871">
        <v>3</v>
      </c>
      <c r="D871">
        <v>4859.8900000000003</v>
      </c>
      <c r="E871" s="6" t="s">
        <v>7</v>
      </c>
      <c r="F871" s="6" t="s">
        <v>8</v>
      </c>
      <c r="G871" s="6" t="s">
        <v>32</v>
      </c>
    </row>
    <row r="872" spans="1:7" x14ac:dyDescent="0.35">
      <c r="A872" s="6" t="s">
        <v>576</v>
      </c>
      <c r="B872" s="7">
        <v>35060</v>
      </c>
      <c r="C872">
        <v>3</v>
      </c>
      <c r="D872">
        <v>4846.92</v>
      </c>
      <c r="E872" s="6" t="s">
        <v>7</v>
      </c>
      <c r="F872" s="6" t="s">
        <v>8</v>
      </c>
      <c r="G872" s="6" t="s">
        <v>346</v>
      </c>
    </row>
    <row r="873" spans="1:7" x14ac:dyDescent="0.35">
      <c r="A873" s="6" t="s">
        <v>575</v>
      </c>
      <c r="B873" s="7">
        <v>37049</v>
      </c>
      <c r="C873">
        <v>0</v>
      </c>
      <c r="D873">
        <v>4846.53</v>
      </c>
      <c r="E873" s="6" t="s">
        <v>7</v>
      </c>
      <c r="F873" s="6" t="s">
        <v>8</v>
      </c>
      <c r="G873" s="6" t="s">
        <v>290</v>
      </c>
    </row>
    <row r="874" spans="1:7" x14ac:dyDescent="0.35">
      <c r="A874" s="6" t="s">
        <v>574</v>
      </c>
      <c r="B874" s="7">
        <v>27283</v>
      </c>
      <c r="C874">
        <v>0</v>
      </c>
      <c r="D874">
        <v>4844.67</v>
      </c>
      <c r="E874" s="6" t="s">
        <v>7</v>
      </c>
      <c r="F874" s="6" t="s">
        <v>7</v>
      </c>
      <c r="G874" s="6" t="s">
        <v>9</v>
      </c>
    </row>
    <row r="875" spans="1:7" x14ac:dyDescent="0.35">
      <c r="A875" s="6" t="s">
        <v>573</v>
      </c>
      <c r="B875" s="7">
        <v>29202</v>
      </c>
      <c r="C875">
        <v>2</v>
      </c>
      <c r="D875">
        <v>4843.79</v>
      </c>
      <c r="E875" s="6" t="s">
        <v>7</v>
      </c>
      <c r="F875" s="6" t="s">
        <v>8</v>
      </c>
      <c r="G875" s="6" t="s">
        <v>9</v>
      </c>
    </row>
    <row r="876" spans="1:7" x14ac:dyDescent="0.35">
      <c r="A876" s="6" t="s">
        <v>572</v>
      </c>
      <c r="B876" s="7">
        <v>34971</v>
      </c>
      <c r="C876">
        <v>0</v>
      </c>
      <c r="D876">
        <v>4840.95</v>
      </c>
      <c r="E876" s="6" t="s">
        <v>7</v>
      </c>
      <c r="F876" s="6" t="s">
        <v>11</v>
      </c>
      <c r="G876" s="6" t="s">
        <v>290</v>
      </c>
    </row>
    <row r="877" spans="1:7" x14ac:dyDescent="0.35">
      <c r="A877" s="6" t="s">
        <v>571</v>
      </c>
      <c r="B877" s="7">
        <v>30970</v>
      </c>
      <c r="C877">
        <v>3</v>
      </c>
      <c r="D877">
        <v>4839.18</v>
      </c>
      <c r="E877" s="6" t="s">
        <v>7</v>
      </c>
      <c r="F877" s="6" t="s">
        <v>11</v>
      </c>
      <c r="G877" s="6" t="s">
        <v>16</v>
      </c>
    </row>
    <row r="878" spans="1:7" x14ac:dyDescent="0.35">
      <c r="A878" s="6" t="s">
        <v>2184</v>
      </c>
      <c r="B878" s="7">
        <v>33399</v>
      </c>
      <c r="C878">
        <v>3</v>
      </c>
      <c r="D878">
        <v>36911.99</v>
      </c>
      <c r="E878" s="6" t="s">
        <v>7</v>
      </c>
      <c r="F878" s="6" t="s">
        <v>7</v>
      </c>
      <c r="G878" s="6" t="s">
        <v>32</v>
      </c>
    </row>
    <row r="879" spans="1:7" x14ac:dyDescent="0.35">
      <c r="A879" s="6" t="s">
        <v>570</v>
      </c>
      <c r="B879" s="7">
        <v>33857</v>
      </c>
      <c r="C879">
        <v>3</v>
      </c>
      <c r="D879">
        <v>4837.58</v>
      </c>
      <c r="E879" s="6" t="s">
        <v>8</v>
      </c>
      <c r="F879" s="6" t="s">
        <v>7</v>
      </c>
      <c r="G879" s="6" t="s">
        <v>9</v>
      </c>
    </row>
    <row r="880" spans="1:7" x14ac:dyDescent="0.35">
      <c r="A880" s="6" t="s">
        <v>569</v>
      </c>
      <c r="B880" s="7">
        <v>36871</v>
      </c>
      <c r="C880">
        <v>0</v>
      </c>
      <c r="D880">
        <v>4835.43</v>
      </c>
      <c r="E880" s="6" t="s">
        <v>7</v>
      </c>
      <c r="F880" s="6" t="s">
        <v>7</v>
      </c>
      <c r="G880" s="6" t="s">
        <v>290</v>
      </c>
    </row>
    <row r="881" spans="1:7" x14ac:dyDescent="0.35">
      <c r="A881" s="6" t="s">
        <v>568</v>
      </c>
      <c r="B881" s="7">
        <v>37434</v>
      </c>
      <c r="C881">
        <v>5</v>
      </c>
      <c r="D881">
        <v>4830.63</v>
      </c>
      <c r="E881" s="6" t="s">
        <v>7</v>
      </c>
      <c r="F881" s="6" t="s">
        <v>11</v>
      </c>
      <c r="G881" s="6" t="s">
        <v>32</v>
      </c>
    </row>
    <row r="882" spans="1:7" x14ac:dyDescent="0.35">
      <c r="A882" s="6" t="s">
        <v>567</v>
      </c>
      <c r="B882" s="7">
        <v>35034</v>
      </c>
      <c r="C882">
        <v>3</v>
      </c>
      <c r="D882">
        <v>4827.8999999999996</v>
      </c>
      <c r="E882" s="6" t="s">
        <v>11</v>
      </c>
      <c r="F882" s="6" t="s">
        <v>7</v>
      </c>
      <c r="G882" s="6" t="s">
        <v>23</v>
      </c>
    </row>
    <row r="883" spans="1:7" x14ac:dyDescent="0.35">
      <c r="A883" s="6" t="s">
        <v>566</v>
      </c>
      <c r="B883" s="7">
        <v>29770</v>
      </c>
      <c r="C883">
        <v>1</v>
      </c>
      <c r="D883">
        <v>4827.1000000000004</v>
      </c>
      <c r="E883" s="6" t="s">
        <v>7</v>
      </c>
      <c r="F883" s="6" t="s">
        <v>11</v>
      </c>
      <c r="G883" s="6" t="s">
        <v>9</v>
      </c>
    </row>
    <row r="884" spans="1:7" x14ac:dyDescent="0.35">
      <c r="A884" s="6" t="s">
        <v>565</v>
      </c>
      <c r="B884" s="7">
        <v>28766</v>
      </c>
      <c r="C884">
        <v>2</v>
      </c>
      <c r="D884">
        <v>4812.34</v>
      </c>
      <c r="E884" s="6" t="s">
        <v>7</v>
      </c>
      <c r="F884" s="6" t="s">
        <v>8</v>
      </c>
      <c r="G884" s="6" t="s">
        <v>9</v>
      </c>
    </row>
    <row r="885" spans="1:7" x14ac:dyDescent="0.35">
      <c r="A885" s="6" t="s">
        <v>564</v>
      </c>
      <c r="B885" s="7">
        <v>32858</v>
      </c>
      <c r="C885">
        <v>1</v>
      </c>
      <c r="D885">
        <v>4795.66</v>
      </c>
      <c r="E885" s="6" t="s">
        <v>7</v>
      </c>
      <c r="F885" s="6" t="s">
        <v>11</v>
      </c>
      <c r="G885" s="6" t="s">
        <v>9</v>
      </c>
    </row>
    <row r="886" spans="1:7" x14ac:dyDescent="0.35">
      <c r="A886" s="6" t="s">
        <v>563</v>
      </c>
      <c r="B886" s="7">
        <v>31950</v>
      </c>
      <c r="C886">
        <v>3</v>
      </c>
      <c r="D886">
        <v>4787.42</v>
      </c>
      <c r="E886" s="6" t="s">
        <v>7</v>
      </c>
      <c r="F886" s="6" t="s">
        <v>8</v>
      </c>
      <c r="G886" s="6" t="s">
        <v>9</v>
      </c>
    </row>
    <row r="887" spans="1:7" x14ac:dyDescent="0.35">
      <c r="A887" s="6" t="s">
        <v>562</v>
      </c>
      <c r="B887" s="7">
        <v>32851</v>
      </c>
      <c r="C887">
        <v>1</v>
      </c>
      <c r="D887">
        <v>4779.6000000000004</v>
      </c>
      <c r="E887" s="6" t="s">
        <v>7</v>
      </c>
      <c r="F887" s="6" t="s">
        <v>8</v>
      </c>
      <c r="G887" s="6" t="s">
        <v>9</v>
      </c>
    </row>
    <row r="888" spans="1:7" x14ac:dyDescent="0.35">
      <c r="A888" s="6" t="s">
        <v>561</v>
      </c>
      <c r="B888" s="7">
        <v>32721</v>
      </c>
      <c r="C888">
        <v>1</v>
      </c>
      <c r="D888">
        <v>4766.0200000000004</v>
      </c>
      <c r="E888" s="6" t="s">
        <v>7</v>
      </c>
      <c r="F888" s="6" t="s">
        <v>8</v>
      </c>
      <c r="G888" s="6" t="s">
        <v>32</v>
      </c>
    </row>
    <row r="889" spans="1:7" x14ac:dyDescent="0.35">
      <c r="A889" s="6" t="s">
        <v>2345</v>
      </c>
      <c r="B889" s="7">
        <v>23228</v>
      </c>
      <c r="C889">
        <v>1</v>
      </c>
      <c r="D889">
        <v>47896.79</v>
      </c>
      <c r="E889" s="6" t="s">
        <v>11</v>
      </c>
      <c r="F889" s="6" t="s">
        <v>8</v>
      </c>
      <c r="G889" s="6" t="s">
        <v>237</v>
      </c>
    </row>
    <row r="890" spans="1:7" x14ac:dyDescent="0.35">
      <c r="A890" s="6" t="s">
        <v>2183</v>
      </c>
      <c r="B890" s="7">
        <v>23216</v>
      </c>
      <c r="C890">
        <v>2</v>
      </c>
      <c r="D890">
        <v>36910.61</v>
      </c>
      <c r="E890" s="6" t="s">
        <v>7</v>
      </c>
      <c r="F890" s="6" t="s">
        <v>7</v>
      </c>
      <c r="G890" s="6" t="s">
        <v>32</v>
      </c>
    </row>
    <row r="891" spans="1:7" x14ac:dyDescent="0.35">
      <c r="A891" s="6" t="s">
        <v>560</v>
      </c>
      <c r="B891" s="7">
        <v>32047</v>
      </c>
      <c r="C891">
        <v>1</v>
      </c>
      <c r="D891">
        <v>4762.33</v>
      </c>
      <c r="E891" s="6" t="s">
        <v>8</v>
      </c>
      <c r="F891" s="6" t="s">
        <v>8</v>
      </c>
      <c r="G891" s="6" t="s">
        <v>32</v>
      </c>
    </row>
    <row r="892" spans="1:7" x14ac:dyDescent="0.35">
      <c r="A892" s="6" t="s">
        <v>559</v>
      </c>
      <c r="B892" s="7">
        <v>33832</v>
      </c>
      <c r="C892">
        <v>2</v>
      </c>
      <c r="D892">
        <v>4753.6400000000003</v>
      </c>
      <c r="E892" s="6" t="s">
        <v>7</v>
      </c>
      <c r="F892" s="6" t="s">
        <v>8</v>
      </c>
      <c r="G892" s="6" t="s">
        <v>9</v>
      </c>
    </row>
    <row r="893" spans="1:7" x14ac:dyDescent="0.35">
      <c r="A893" s="6" t="s">
        <v>558</v>
      </c>
      <c r="B893" s="7">
        <v>32103</v>
      </c>
      <c r="C893">
        <v>1</v>
      </c>
      <c r="D893">
        <v>4751.07</v>
      </c>
      <c r="E893" s="6" t="s">
        <v>8</v>
      </c>
      <c r="F893" s="6" t="s">
        <v>11</v>
      </c>
      <c r="G893" s="6" t="s">
        <v>32</v>
      </c>
    </row>
    <row r="894" spans="1:7" x14ac:dyDescent="0.35">
      <c r="A894" s="6" t="s">
        <v>557</v>
      </c>
      <c r="B894" s="7">
        <v>32022</v>
      </c>
      <c r="C894">
        <v>1</v>
      </c>
      <c r="D894">
        <v>4747.05</v>
      </c>
      <c r="E894" s="6" t="s">
        <v>7</v>
      </c>
      <c r="F894" s="6" t="s">
        <v>7</v>
      </c>
      <c r="G894" s="6" t="s">
        <v>9</v>
      </c>
    </row>
    <row r="895" spans="1:7" x14ac:dyDescent="0.35">
      <c r="A895" s="6" t="s">
        <v>556</v>
      </c>
      <c r="B895" s="7">
        <v>31933</v>
      </c>
      <c r="C895">
        <v>1</v>
      </c>
      <c r="D895">
        <v>4746.34</v>
      </c>
      <c r="E895" s="6" t="s">
        <v>7</v>
      </c>
      <c r="F895" s="6" t="s">
        <v>7</v>
      </c>
      <c r="G895" s="6" t="s">
        <v>32</v>
      </c>
    </row>
    <row r="896" spans="1:7" x14ac:dyDescent="0.35">
      <c r="A896" s="6" t="s">
        <v>555</v>
      </c>
      <c r="B896" s="7">
        <v>38315</v>
      </c>
      <c r="C896">
        <v>0</v>
      </c>
      <c r="D896">
        <v>4740.78</v>
      </c>
      <c r="E896" s="6" t="s">
        <v>7</v>
      </c>
      <c r="F896" s="6" t="s">
        <v>8</v>
      </c>
      <c r="G896" s="6" t="s">
        <v>290</v>
      </c>
    </row>
    <row r="897" spans="1:7" x14ac:dyDescent="0.35">
      <c r="A897" s="6" t="s">
        <v>554</v>
      </c>
      <c r="B897" s="7">
        <v>33523</v>
      </c>
      <c r="C897">
        <v>1</v>
      </c>
      <c r="D897">
        <v>4738.2700000000004</v>
      </c>
      <c r="E897" s="6" t="s">
        <v>7</v>
      </c>
      <c r="F897" s="6" t="s">
        <v>8</v>
      </c>
      <c r="G897" s="6" t="s">
        <v>16</v>
      </c>
    </row>
    <row r="898" spans="1:7" x14ac:dyDescent="0.35">
      <c r="A898" s="6" t="s">
        <v>553</v>
      </c>
      <c r="B898" s="7">
        <v>31660</v>
      </c>
      <c r="C898">
        <v>3</v>
      </c>
      <c r="D898">
        <v>4734.6400000000003</v>
      </c>
      <c r="E898" s="6" t="s">
        <v>7</v>
      </c>
      <c r="F898" s="6" t="s">
        <v>11</v>
      </c>
      <c r="G898" s="6" t="s">
        <v>9</v>
      </c>
    </row>
    <row r="899" spans="1:7" x14ac:dyDescent="0.35">
      <c r="A899" s="6" t="s">
        <v>552</v>
      </c>
      <c r="B899" s="7">
        <v>29404</v>
      </c>
      <c r="C899">
        <v>2</v>
      </c>
      <c r="D899">
        <v>4728.71</v>
      </c>
      <c r="E899" s="6" t="s">
        <v>7</v>
      </c>
      <c r="F899" s="6" t="s">
        <v>8</v>
      </c>
      <c r="G899" s="6" t="s">
        <v>16</v>
      </c>
    </row>
    <row r="900" spans="1:7" x14ac:dyDescent="0.35">
      <c r="A900" s="6" t="s">
        <v>551</v>
      </c>
      <c r="B900" s="7">
        <v>34558</v>
      </c>
      <c r="C900">
        <v>2</v>
      </c>
      <c r="D900">
        <v>4719.74</v>
      </c>
      <c r="E900" s="6" t="s">
        <v>7</v>
      </c>
      <c r="F900" s="6" t="s">
        <v>11</v>
      </c>
      <c r="G900" s="6" t="s">
        <v>16</v>
      </c>
    </row>
    <row r="901" spans="1:7" x14ac:dyDescent="0.35">
      <c r="A901" s="6" t="s">
        <v>2182</v>
      </c>
      <c r="B901" s="7">
        <v>37793</v>
      </c>
      <c r="C901">
        <v>0</v>
      </c>
      <c r="D901">
        <v>36898.730000000003</v>
      </c>
      <c r="E901" s="6" t="s">
        <v>7</v>
      </c>
      <c r="F901" s="6" t="s">
        <v>11</v>
      </c>
      <c r="G901" s="6" t="s">
        <v>16</v>
      </c>
    </row>
    <row r="902" spans="1:7" x14ac:dyDescent="0.35">
      <c r="A902" s="6" t="s">
        <v>550</v>
      </c>
      <c r="B902" s="7">
        <v>33875</v>
      </c>
      <c r="C902">
        <v>1</v>
      </c>
      <c r="D902">
        <v>4719.5200000000004</v>
      </c>
      <c r="E902" s="6" t="s">
        <v>7</v>
      </c>
      <c r="F902" s="6" t="s">
        <v>7</v>
      </c>
      <c r="G902" s="6" t="s">
        <v>237</v>
      </c>
    </row>
    <row r="903" spans="1:7" x14ac:dyDescent="0.35">
      <c r="A903" s="6" t="s">
        <v>549</v>
      </c>
      <c r="B903" s="7">
        <v>33886</v>
      </c>
      <c r="C903">
        <v>1</v>
      </c>
      <c r="D903">
        <v>4718.2</v>
      </c>
      <c r="E903" s="6" t="s">
        <v>7</v>
      </c>
      <c r="F903" s="6" t="s">
        <v>8</v>
      </c>
      <c r="G903" s="6" t="s">
        <v>237</v>
      </c>
    </row>
    <row r="904" spans="1:7" x14ac:dyDescent="0.35">
      <c r="A904" s="6" t="s">
        <v>548</v>
      </c>
      <c r="B904" s="7">
        <v>29810</v>
      </c>
      <c r="C904">
        <v>1</v>
      </c>
      <c r="D904">
        <v>4712.12</v>
      </c>
      <c r="E904" s="6" t="s">
        <v>7</v>
      </c>
      <c r="F904" s="6" t="s">
        <v>8</v>
      </c>
      <c r="G904" s="6" t="s">
        <v>32</v>
      </c>
    </row>
    <row r="905" spans="1:7" x14ac:dyDescent="0.35">
      <c r="A905" s="6" t="s">
        <v>547</v>
      </c>
      <c r="B905" s="7">
        <v>28463</v>
      </c>
      <c r="C905">
        <v>2</v>
      </c>
      <c r="D905">
        <v>4699.47</v>
      </c>
      <c r="E905" s="6" t="s">
        <v>7</v>
      </c>
      <c r="F905" s="6" t="s">
        <v>8</v>
      </c>
      <c r="G905" s="6" t="s">
        <v>9</v>
      </c>
    </row>
    <row r="906" spans="1:7" x14ac:dyDescent="0.35">
      <c r="A906" s="6" t="s">
        <v>546</v>
      </c>
      <c r="B906" s="7">
        <v>37794</v>
      </c>
      <c r="C906">
        <v>5</v>
      </c>
      <c r="D906">
        <v>4687.8</v>
      </c>
      <c r="E906" s="6" t="s">
        <v>7</v>
      </c>
      <c r="F906" s="6" t="s">
        <v>8</v>
      </c>
      <c r="G906" s="6" t="s">
        <v>32</v>
      </c>
    </row>
    <row r="907" spans="1:7" x14ac:dyDescent="0.35">
      <c r="A907" s="6" t="s">
        <v>545</v>
      </c>
      <c r="B907" s="7">
        <v>33120</v>
      </c>
      <c r="C907">
        <v>2</v>
      </c>
      <c r="D907">
        <v>4686.3900000000003</v>
      </c>
      <c r="E907" s="6" t="s">
        <v>8</v>
      </c>
      <c r="F907" s="6" t="s">
        <v>8</v>
      </c>
      <c r="G907" s="6" t="s">
        <v>9</v>
      </c>
    </row>
    <row r="908" spans="1:7" x14ac:dyDescent="0.35">
      <c r="A908" s="6" t="s">
        <v>544</v>
      </c>
      <c r="B908" s="7">
        <v>37898</v>
      </c>
      <c r="C908">
        <v>0</v>
      </c>
      <c r="D908">
        <v>4678.8</v>
      </c>
      <c r="E908" s="6" t="s">
        <v>7</v>
      </c>
      <c r="F908" s="6" t="s">
        <v>11</v>
      </c>
      <c r="G908" s="6" t="s">
        <v>290</v>
      </c>
    </row>
    <row r="909" spans="1:7" x14ac:dyDescent="0.35">
      <c r="A909" s="6" t="s">
        <v>543</v>
      </c>
      <c r="B909" s="7">
        <v>29146</v>
      </c>
      <c r="C909">
        <v>2</v>
      </c>
      <c r="D909">
        <v>4674.2</v>
      </c>
      <c r="E909" s="6" t="s">
        <v>7</v>
      </c>
      <c r="F909" s="6" t="s">
        <v>11</v>
      </c>
      <c r="G909" s="6" t="s">
        <v>9</v>
      </c>
    </row>
    <row r="910" spans="1:7" x14ac:dyDescent="0.35">
      <c r="A910" s="6" t="s">
        <v>542</v>
      </c>
      <c r="B910" s="7">
        <v>33067</v>
      </c>
      <c r="C910">
        <v>2</v>
      </c>
      <c r="D910">
        <v>4673.3900000000003</v>
      </c>
      <c r="E910" s="6" t="s">
        <v>7</v>
      </c>
      <c r="F910" s="6" t="s">
        <v>11</v>
      </c>
      <c r="G910" s="6" t="s">
        <v>9</v>
      </c>
    </row>
    <row r="911" spans="1:7" x14ac:dyDescent="0.35">
      <c r="A911" s="6" t="s">
        <v>541</v>
      </c>
      <c r="B911" s="7">
        <v>33142</v>
      </c>
      <c r="C911">
        <v>2</v>
      </c>
      <c r="D911">
        <v>4670.6400000000003</v>
      </c>
      <c r="E911" s="6" t="s">
        <v>7</v>
      </c>
      <c r="F911" s="6" t="s">
        <v>7</v>
      </c>
      <c r="G911" s="6" t="s">
        <v>32</v>
      </c>
    </row>
    <row r="912" spans="1:7" x14ac:dyDescent="0.35">
      <c r="A912" s="6" t="s">
        <v>2181</v>
      </c>
      <c r="B912" s="7">
        <v>26638</v>
      </c>
      <c r="C912">
        <v>0</v>
      </c>
      <c r="D912">
        <v>36889.99</v>
      </c>
      <c r="E912" s="6" t="s">
        <v>11</v>
      </c>
      <c r="F912" s="6" t="s">
        <v>8</v>
      </c>
      <c r="G912" s="6" t="s">
        <v>32</v>
      </c>
    </row>
    <row r="913" spans="1:7" x14ac:dyDescent="0.35">
      <c r="A913" s="6" t="s">
        <v>540</v>
      </c>
      <c r="B913" s="7">
        <v>33090</v>
      </c>
      <c r="C913">
        <v>1</v>
      </c>
      <c r="D913">
        <v>4667.6099999999997</v>
      </c>
      <c r="E913" s="6" t="s">
        <v>8</v>
      </c>
      <c r="F913" s="6" t="s">
        <v>8</v>
      </c>
      <c r="G913" s="6" t="s">
        <v>158</v>
      </c>
    </row>
    <row r="914" spans="1:7" x14ac:dyDescent="0.35">
      <c r="A914" s="6" t="s">
        <v>539</v>
      </c>
      <c r="B914" s="7">
        <v>35363</v>
      </c>
      <c r="C914">
        <v>3</v>
      </c>
      <c r="D914">
        <v>4661.29</v>
      </c>
      <c r="E914" s="6" t="s">
        <v>7</v>
      </c>
      <c r="F914" s="6" t="s">
        <v>11</v>
      </c>
      <c r="G914" s="6" t="s">
        <v>346</v>
      </c>
    </row>
    <row r="915" spans="1:7" x14ac:dyDescent="0.35">
      <c r="A915" s="6" t="s">
        <v>538</v>
      </c>
      <c r="B915" s="7">
        <v>31220</v>
      </c>
      <c r="C915">
        <v>0</v>
      </c>
      <c r="D915">
        <v>4646.76</v>
      </c>
      <c r="E915" s="6" t="s">
        <v>11</v>
      </c>
      <c r="F915" s="6" t="s">
        <v>11</v>
      </c>
      <c r="G915" s="6" t="s">
        <v>32</v>
      </c>
    </row>
    <row r="916" spans="1:7" x14ac:dyDescent="0.35">
      <c r="A916" s="6" t="s">
        <v>537</v>
      </c>
      <c r="B916" s="7">
        <v>35975</v>
      </c>
      <c r="C916">
        <v>3</v>
      </c>
      <c r="D916">
        <v>4618.08</v>
      </c>
      <c r="E916" s="6" t="s">
        <v>7</v>
      </c>
      <c r="F916" s="6" t="s">
        <v>11</v>
      </c>
      <c r="G916" s="6" t="s">
        <v>16</v>
      </c>
    </row>
    <row r="917" spans="1:7" x14ac:dyDescent="0.35">
      <c r="A917" s="6" t="s">
        <v>536</v>
      </c>
      <c r="B917" s="7">
        <v>36709</v>
      </c>
      <c r="C917">
        <v>0</v>
      </c>
      <c r="D917">
        <v>4608.03</v>
      </c>
      <c r="E917" s="6" t="s">
        <v>7</v>
      </c>
      <c r="F917" s="6" t="s">
        <v>8</v>
      </c>
      <c r="G917" s="6" t="s">
        <v>32</v>
      </c>
    </row>
    <row r="918" spans="1:7" x14ac:dyDescent="0.35">
      <c r="A918" s="6" t="s">
        <v>535</v>
      </c>
      <c r="B918" s="7">
        <v>32769</v>
      </c>
      <c r="C918">
        <v>0</v>
      </c>
      <c r="D918">
        <v>4571.41</v>
      </c>
      <c r="E918" s="6" t="s">
        <v>7</v>
      </c>
      <c r="F918" s="6" t="s">
        <v>7</v>
      </c>
      <c r="G918" s="6" t="s">
        <v>16</v>
      </c>
    </row>
    <row r="919" spans="1:7" x14ac:dyDescent="0.35">
      <c r="A919" s="6" t="s">
        <v>534</v>
      </c>
      <c r="B919" s="7">
        <v>35424</v>
      </c>
      <c r="C919">
        <v>2</v>
      </c>
      <c r="D919">
        <v>4564.1899999999996</v>
      </c>
      <c r="E919" s="6" t="s">
        <v>7</v>
      </c>
      <c r="F919" s="6" t="s">
        <v>7</v>
      </c>
      <c r="G919" s="6" t="s">
        <v>237</v>
      </c>
    </row>
    <row r="920" spans="1:7" x14ac:dyDescent="0.35">
      <c r="A920" s="6" t="s">
        <v>533</v>
      </c>
      <c r="B920" s="7">
        <v>33136</v>
      </c>
      <c r="C920">
        <v>1</v>
      </c>
      <c r="D920">
        <v>4562.84</v>
      </c>
      <c r="E920" s="6" t="s">
        <v>7</v>
      </c>
      <c r="F920" s="6" t="s">
        <v>7</v>
      </c>
      <c r="G920" s="6" t="s">
        <v>9</v>
      </c>
    </row>
    <row r="921" spans="1:7" x14ac:dyDescent="0.35">
      <c r="A921" s="6" t="s">
        <v>532</v>
      </c>
      <c r="B921" s="7">
        <v>38343</v>
      </c>
      <c r="C921">
        <v>4</v>
      </c>
      <c r="D921">
        <v>4561.1899999999996</v>
      </c>
      <c r="E921" s="6" t="s">
        <v>7</v>
      </c>
      <c r="F921" s="6" t="s">
        <v>7</v>
      </c>
      <c r="G921" s="6" t="s">
        <v>237</v>
      </c>
    </row>
    <row r="922" spans="1:7" x14ac:dyDescent="0.35">
      <c r="A922" s="6" t="s">
        <v>531</v>
      </c>
      <c r="B922" s="7">
        <v>33194</v>
      </c>
      <c r="C922">
        <v>0</v>
      </c>
      <c r="D922">
        <v>4544.2299999999996</v>
      </c>
      <c r="E922" s="6" t="s">
        <v>7</v>
      </c>
      <c r="F922" s="6" t="s">
        <v>11</v>
      </c>
      <c r="G922" s="6" t="s">
        <v>237</v>
      </c>
    </row>
    <row r="923" spans="1:7" x14ac:dyDescent="0.35">
      <c r="A923" s="6" t="s">
        <v>2180</v>
      </c>
      <c r="B923" s="7">
        <v>33789</v>
      </c>
      <c r="C923">
        <v>0</v>
      </c>
      <c r="D923">
        <v>36837.47</v>
      </c>
      <c r="E923" s="6" t="s">
        <v>7</v>
      </c>
      <c r="F923" s="6" t="s">
        <v>8</v>
      </c>
      <c r="G923" s="6" t="s">
        <v>32</v>
      </c>
    </row>
    <row r="924" spans="1:7" x14ac:dyDescent="0.35">
      <c r="A924" s="6" t="s">
        <v>530</v>
      </c>
      <c r="B924" s="7">
        <v>32307</v>
      </c>
      <c r="C924">
        <v>1</v>
      </c>
      <c r="D924">
        <v>4536.26</v>
      </c>
      <c r="E924" s="6" t="s">
        <v>7</v>
      </c>
      <c r="F924" s="6" t="s">
        <v>7</v>
      </c>
      <c r="G924" s="6" t="s">
        <v>32</v>
      </c>
    </row>
    <row r="925" spans="1:7" x14ac:dyDescent="0.35">
      <c r="A925" s="6" t="s">
        <v>529</v>
      </c>
      <c r="B925" s="7">
        <v>34149</v>
      </c>
      <c r="C925">
        <v>2</v>
      </c>
      <c r="D925">
        <v>4529.4799999999996</v>
      </c>
      <c r="E925" s="6" t="s">
        <v>7</v>
      </c>
      <c r="F925" s="6" t="s">
        <v>11</v>
      </c>
      <c r="G925" s="6" t="s">
        <v>32</v>
      </c>
    </row>
    <row r="926" spans="1:7" x14ac:dyDescent="0.35">
      <c r="A926" s="6" t="s">
        <v>528</v>
      </c>
      <c r="B926" s="7">
        <v>33829</v>
      </c>
      <c r="C926">
        <v>1</v>
      </c>
      <c r="D926">
        <v>4527.18</v>
      </c>
      <c r="E926" s="6" t="s">
        <v>7</v>
      </c>
      <c r="F926" s="6" t="s">
        <v>7</v>
      </c>
      <c r="G926" s="6" t="s">
        <v>16</v>
      </c>
    </row>
    <row r="927" spans="1:7" x14ac:dyDescent="0.35">
      <c r="A927" s="6" t="s">
        <v>527</v>
      </c>
      <c r="B927" s="7">
        <v>32498</v>
      </c>
      <c r="C927">
        <v>0</v>
      </c>
      <c r="D927">
        <v>4518.83</v>
      </c>
      <c r="E927" s="6" t="s">
        <v>7</v>
      </c>
      <c r="F927" s="6" t="s">
        <v>7</v>
      </c>
      <c r="G927" s="6" t="s">
        <v>346</v>
      </c>
    </row>
    <row r="928" spans="1:7" x14ac:dyDescent="0.35">
      <c r="A928" s="6" t="s">
        <v>526</v>
      </c>
      <c r="B928" s="7">
        <v>32116</v>
      </c>
      <c r="C928">
        <v>3</v>
      </c>
      <c r="D928">
        <v>4518.7700000000004</v>
      </c>
      <c r="E928" s="6" t="s">
        <v>7</v>
      </c>
      <c r="F928" s="6" t="s">
        <v>8</v>
      </c>
      <c r="G928" s="6" t="s">
        <v>16</v>
      </c>
    </row>
    <row r="929" spans="1:7" x14ac:dyDescent="0.35">
      <c r="A929" s="6" t="s">
        <v>524</v>
      </c>
      <c r="B929" s="7">
        <v>37896</v>
      </c>
      <c r="C929">
        <v>0</v>
      </c>
      <c r="D929">
        <v>4518.3999999999996</v>
      </c>
      <c r="E929" s="6" t="s">
        <v>7</v>
      </c>
      <c r="F929" s="6" t="s">
        <v>8</v>
      </c>
      <c r="G929" s="6" t="s">
        <v>525</v>
      </c>
    </row>
    <row r="930" spans="1:7" x14ac:dyDescent="0.35">
      <c r="A930" s="6" t="s">
        <v>523</v>
      </c>
      <c r="B930" s="7">
        <v>29388</v>
      </c>
      <c r="C930">
        <v>2</v>
      </c>
      <c r="D930">
        <v>4515.71</v>
      </c>
      <c r="E930" s="6" t="s">
        <v>7</v>
      </c>
      <c r="F930" s="6" t="s">
        <v>8</v>
      </c>
      <c r="G930" s="6" t="s">
        <v>9</v>
      </c>
    </row>
    <row r="931" spans="1:7" x14ac:dyDescent="0.35">
      <c r="A931" s="6" t="s">
        <v>522</v>
      </c>
      <c r="B931" s="7">
        <v>30221</v>
      </c>
      <c r="C931">
        <v>3</v>
      </c>
      <c r="D931">
        <v>4511.41</v>
      </c>
      <c r="E931" s="6" t="s">
        <v>7</v>
      </c>
      <c r="F931" s="6" t="s">
        <v>8</v>
      </c>
      <c r="G931" s="6" t="s">
        <v>9</v>
      </c>
    </row>
    <row r="932" spans="1:7" x14ac:dyDescent="0.35">
      <c r="A932" s="6" t="s">
        <v>521</v>
      </c>
      <c r="B932" s="7">
        <v>35716</v>
      </c>
      <c r="C932">
        <v>4</v>
      </c>
      <c r="D932">
        <v>4504.66</v>
      </c>
      <c r="E932" s="6" t="s">
        <v>11</v>
      </c>
      <c r="F932" s="6" t="s">
        <v>7</v>
      </c>
      <c r="G932" s="6" t="s">
        <v>9</v>
      </c>
    </row>
    <row r="933" spans="1:7" x14ac:dyDescent="0.35">
      <c r="A933" s="6" t="s">
        <v>520</v>
      </c>
      <c r="B933" s="7">
        <v>32320</v>
      </c>
      <c r="C933">
        <v>0</v>
      </c>
      <c r="D933">
        <v>4500.34</v>
      </c>
      <c r="E933" s="6" t="s">
        <v>7</v>
      </c>
      <c r="F933" s="6" t="s">
        <v>11</v>
      </c>
      <c r="G933" s="6" t="s">
        <v>346</v>
      </c>
    </row>
    <row r="934" spans="1:7" x14ac:dyDescent="0.35">
      <c r="A934" s="6" t="s">
        <v>2179</v>
      </c>
      <c r="B934" s="7">
        <v>24104</v>
      </c>
      <c r="C934">
        <v>0</v>
      </c>
      <c r="D934">
        <v>36795.29</v>
      </c>
      <c r="E934" s="6" t="s">
        <v>7</v>
      </c>
      <c r="F934" s="6" t="s">
        <v>11</v>
      </c>
      <c r="G934" s="6" t="s">
        <v>32</v>
      </c>
    </row>
    <row r="935" spans="1:7" x14ac:dyDescent="0.35">
      <c r="A935" s="6" t="s">
        <v>519</v>
      </c>
      <c r="B935" s="7">
        <v>33797</v>
      </c>
      <c r="C935">
        <v>0</v>
      </c>
      <c r="D935">
        <v>4488.58</v>
      </c>
      <c r="E935" s="6" t="s">
        <v>7</v>
      </c>
      <c r="F935" s="6" t="s">
        <v>8</v>
      </c>
      <c r="G935" s="6" t="s">
        <v>16</v>
      </c>
    </row>
    <row r="936" spans="1:7" x14ac:dyDescent="0.35">
      <c r="A936" s="6" t="s">
        <v>518</v>
      </c>
      <c r="B936" s="7">
        <v>38186</v>
      </c>
      <c r="C936">
        <v>0</v>
      </c>
      <c r="D936">
        <v>4468.25</v>
      </c>
      <c r="E936" s="6" t="s">
        <v>7</v>
      </c>
      <c r="F936" s="6" t="s">
        <v>7</v>
      </c>
      <c r="G936" s="6" t="s">
        <v>16</v>
      </c>
    </row>
    <row r="937" spans="1:7" x14ac:dyDescent="0.35">
      <c r="A937" s="6" t="s">
        <v>517</v>
      </c>
      <c r="B937" s="7">
        <v>36484</v>
      </c>
      <c r="C937">
        <v>3</v>
      </c>
      <c r="D937">
        <v>4466.62</v>
      </c>
      <c r="E937" s="6" t="s">
        <v>7</v>
      </c>
      <c r="F937" s="6" t="s">
        <v>7</v>
      </c>
      <c r="G937" s="6" t="s">
        <v>16</v>
      </c>
    </row>
    <row r="938" spans="1:7" x14ac:dyDescent="0.35">
      <c r="A938" s="6" t="s">
        <v>516</v>
      </c>
      <c r="B938" s="7">
        <v>33423</v>
      </c>
      <c r="C938">
        <v>2</v>
      </c>
      <c r="D938">
        <v>4463.21</v>
      </c>
      <c r="E938" s="6" t="s">
        <v>8</v>
      </c>
      <c r="F938" s="6" t="s">
        <v>8</v>
      </c>
      <c r="G938" s="6" t="s">
        <v>9</v>
      </c>
    </row>
    <row r="939" spans="1:7" x14ac:dyDescent="0.35">
      <c r="A939" s="6" t="s">
        <v>515</v>
      </c>
      <c r="B939" s="7">
        <v>33069</v>
      </c>
      <c r="C939">
        <v>1</v>
      </c>
      <c r="D939">
        <v>4462.72</v>
      </c>
      <c r="E939" s="6" t="s">
        <v>7</v>
      </c>
      <c r="F939" s="6" t="s">
        <v>8</v>
      </c>
      <c r="G939" s="6" t="s">
        <v>16</v>
      </c>
    </row>
    <row r="940" spans="1:7" x14ac:dyDescent="0.35">
      <c r="A940" s="6" t="s">
        <v>514</v>
      </c>
      <c r="B940" s="7">
        <v>33093</v>
      </c>
      <c r="C940">
        <v>1</v>
      </c>
      <c r="D940">
        <v>4454.3999999999996</v>
      </c>
      <c r="E940" s="6" t="s">
        <v>7</v>
      </c>
      <c r="F940" s="6" t="s">
        <v>8</v>
      </c>
      <c r="G940" s="6" t="s">
        <v>16</v>
      </c>
    </row>
    <row r="941" spans="1:7" x14ac:dyDescent="0.35">
      <c r="A941" s="6" t="s">
        <v>513</v>
      </c>
      <c r="B941" s="7">
        <v>34513</v>
      </c>
      <c r="C941">
        <v>3</v>
      </c>
      <c r="D941">
        <v>4449.46</v>
      </c>
      <c r="E941" s="6" t="s">
        <v>11</v>
      </c>
      <c r="F941" s="6" t="s">
        <v>7</v>
      </c>
      <c r="G941" s="6" t="s">
        <v>9</v>
      </c>
    </row>
    <row r="942" spans="1:7" x14ac:dyDescent="0.35">
      <c r="A942" s="6" t="s">
        <v>512</v>
      </c>
      <c r="B942" s="7">
        <v>33484</v>
      </c>
      <c r="C942">
        <v>1</v>
      </c>
      <c r="D942">
        <v>4441.21</v>
      </c>
      <c r="E942" s="6" t="s">
        <v>11</v>
      </c>
      <c r="F942" s="6" t="s">
        <v>7</v>
      </c>
      <c r="G942" s="6" t="s">
        <v>266</v>
      </c>
    </row>
    <row r="943" spans="1:7" x14ac:dyDescent="0.35">
      <c r="A943" s="6" t="s">
        <v>511</v>
      </c>
      <c r="B943" s="7">
        <v>34631</v>
      </c>
      <c r="C943">
        <v>2</v>
      </c>
      <c r="D943">
        <v>4438.26</v>
      </c>
      <c r="E943" s="6" t="s">
        <v>7</v>
      </c>
      <c r="F943" s="6" t="s">
        <v>8</v>
      </c>
      <c r="G943" s="6" t="s">
        <v>346</v>
      </c>
    </row>
    <row r="944" spans="1:7" x14ac:dyDescent="0.35">
      <c r="A944" s="6" t="s">
        <v>510</v>
      </c>
      <c r="B944" s="7">
        <v>34615</v>
      </c>
      <c r="C944">
        <v>2</v>
      </c>
      <c r="D944">
        <v>4435.09</v>
      </c>
      <c r="E944" s="6" t="s">
        <v>8</v>
      </c>
      <c r="F944" s="6" t="s">
        <v>7</v>
      </c>
      <c r="G944" s="6" t="s">
        <v>158</v>
      </c>
    </row>
    <row r="945" spans="1:7" x14ac:dyDescent="0.35">
      <c r="A945" s="6" t="s">
        <v>2178</v>
      </c>
      <c r="B945" s="7">
        <v>25763</v>
      </c>
      <c r="C945">
        <v>0</v>
      </c>
      <c r="D945">
        <v>36786.370000000003</v>
      </c>
      <c r="E945" s="6" t="s">
        <v>11</v>
      </c>
      <c r="F945" s="6" t="s">
        <v>11</v>
      </c>
      <c r="G945" s="6" t="s">
        <v>32</v>
      </c>
    </row>
    <row r="946" spans="1:7" x14ac:dyDescent="0.35">
      <c r="A946" s="6" t="s">
        <v>509</v>
      </c>
      <c r="B946" s="7">
        <v>34326</v>
      </c>
      <c r="C946">
        <v>2</v>
      </c>
      <c r="D946">
        <v>4433.92</v>
      </c>
      <c r="E946" s="6" t="s">
        <v>7</v>
      </c>
      <c r="F946" s="6" t="s">
        <v>7</v>
      </c>
      <c r="G946" s="6" t="s">
        <v>16</v>
      </c>
    </row>
    <row r="947" spans="1:7" x14ac:dyDescent="0.35">
      <c r="A947" s="6" t="s">
        <v>508</v>
      </c>
      <c r="B947" s="7">
        <v>34216</v>
      </c>
      <c r="C947">
        <v>2</v>
      </c>
      <c r="D947">
        <v>4433.3900000000003</v>
      </c>
      <c r="E947" s="6" t="s">
        <v>7</v>
      </c>
      <c r="F947" s="6" t="s">
        <v>8</v>
      </c>
      <c r="G947" s="6" t="s">
        <v>16</v>
      </c>
    </row>
    <row r="948" spans="1:7" x14ac:dyDescent="0.35">
      <c r="A948" s="6" t="s">
        <v>507</v>
      </c>
      <c r="B948" s="7">
        <v>34697</v>
      </c>
      <c r="C948">
        <v>2</v>
      </c>
      <c r="D948">
        <v>4428.8900000000003</v>
      </c>
      <c r="E948" s="6" t="s">
        <v>8</v>
      </c>
      <c r="F948" s="6" t="s">
        <v>11</v>
      </c>
      <c r="G948" s="6" t="s">
        <v>346</v>
      </c>
    </row>
    <row r="949" spans="1:7" x14ac:dyDescent="0.35">
      <c r="A949" s="6" t="s">
        <v>505</v>
      </c>
      <c r="B949" s="7">
        <v>33831</v>
      </c>
      <c r="C949">
        <v>0</v>
      </c>
      <c r="D949">
        <v>4420.95</v>
      </c>
      <c r="E949" s="6" t="s">
        <v>7</v>
      </c>
      <c r="F949" s="6" t="s">
        <v>8</v>
      </c>
      <c r="G949" s="6" t="s">
        <v>506</v>
      </c>
    </row>
    <row r="950" spans="1:7" x14ac:dyDescent="0.35">
      <c r="A950" s="6" t="s">
        <v>504</v>
      </c>
      <c r="B950" s="7">
        <v>32402</v>
      </c>
      <c r="C950">
        <v>0</v>
      </c>
      <c r="D950">
        <v>4415.16</v>
      </c>
      <c r="E950" s="6" t="s">
        <v>7</v>
      </c>
      <c r="F950" s="6" t="s">
        <v>11</v>
      </c>
      <c r="G950" s="6" t="s">
        <v>9</v>
      </c>
    </row>
    <row r="951" spans="1:7" x14ac:dyDescent="0.35">
      <c r="A951" s="6" t="s">
        <v>503</v>
      </c>
      <c r="B951" s="7">
        <v>31606</v>
      </c>
      <c r="C951">
        <v>0</v>
      </c>
      <c r="D951">
        <v>4402.2299999999996</v>
      </c>
      <c r="E951" s="6" t="s">
        <v>7</v>
      </c>
      <c r="F951" s="6" t="s">
        <v>7</v>
      </c>
      <c r="G951" s="6" t="s">
        <v>32</v>
      </c>
    </row>
    <row r="952" spans="1:7" x14ac:dyDescent="0.35">
      <c r="A952" s="6" t="s">
        <v>502</v>
      </c>
      <c r="B952" s="7">
        <v>31635</v>
      </c>
      <c r="C952">
        <v>0</v>
      </c>
      <c r="D952">
        <v>4399.7299999999996</v>
      </c>
      <c r="E952" s="6" t="s">
        <v>8</v>
      </c>
      <c r="F952" s="6" t="s">
        <v>7</v>
      </c>
      <c r="G952" s="6" t="s">
        <v>9</v>
      </c>
    </row>
    <row r="953" spans="1:7" x14ac:dyDescent="0.35">
      <c r="A953" s="6" t="s">
        <v>501</v>
      </c>
      <c r="B953" s="7">
        <v>32342</v>
      </c>
      <c r="C953">
        <v>3</v>
      </c>
      <c r="D953">
        <v>4397.3100000000004</v>
      </c>
      <c r="E953" s="6" t="s">
        <v>7</v>
      </c>
      <c r="F953" s="6" t="s">
        <v>7</v>
      </c>
      <c r="G953" s="6" t="s">
        <v>9</v>
      </c>
    </row>
    <row r="954" spans="1:7" x14ac:dyDescent="0.35">
      <c r="A954" s="6" t="s">
        <v>500</v>
      </c>
      <c r="B954" s="7">
        <v>30131</v>
      </c>
      <c r="C954">
        <v>3</v>
      </c>
      <c r="D954">
        <v>4392.7</v>
      </c>
      <c r="E954" s="6" t="s">
        <v>7</v>
      </c>
      <c r="F954" s="6" t="s">
        <v>7</v>
      </c>
      <c r="G954" s="6" t="s">
        <v>9</v>
      </c>
    </row>
    <row r="955" spans="1:7" x14ac:dyDescent="0.35">
      <c r="A955" s="6" t="s">
        <v>499</v>
      </c>
      <c r="B955" s="7">
        <v>35763</v>
      </c>
      <c r="C955">
        <v>3</v>
      </c>
      <c r="D955">
        <v>4391.6499999999996</v>
      </c>
      <c r="E955" s="6" t="s">
        <v>7</v>
      </c>
      <c r="F955" s="6" t="s">
        <v>7</v>
      </c>
      <c r="G955" s="6" t="s">
        <v>32</v>
      </c>
    </row>
    <row r="956" spans="1:7" x14ac:dyDescent="0.35">
      <c r="A956" s="6" t="s">
        <v>2177</v>
      </c>
      <c r="B956" s="7">
        <v>22491</v>
      </c>
      <c r="C956">
        <v>4</v>
      </c>
      <c r="D956">
        <v>36580.28</v>
      </c>
      <c r="E956" s="6" t="s">
        <v>7</v>
      </c>
      <c r="F956" s="6" t="s">
        <v>7</v>
      </c>
      <c r="G956" s="6" t="s">
        <v>9</v>
      </c>
    </row>
    <row r="957" spans="1:7" x14ac:dyDescent="0.35">
      <c r="A957" s="6" t="s">
        <v>498</v>
      </c>
      <c r="B957" s="7">
        <v>33113</v>
      </c>
      <c r="C957">
        <v>0</v>
      </c>
      <c r="D957">
        <v>4357.04</v>
      </c>
      <c r="E957" s="6" t="s">
        <v>7</v>
      </c>
      <c r="F957" s="6" t="s">
        <v>8</v>
      </c>
      <c r="G957" s="6" t="s">
        <v>16</v>
      </c>
    </row>
    <row r="958" spans="1:7" x14ac:dyDescent="0.35">
      <c r="A958" s="6" t="s">
        <v>497</v>
      </c>
      <c r="B958" s="7">
        <v>33494</v>
      </c>
      <c r="C958">
        <v>1</v>
      </c>
      <c r="D958">
        <v>4350.51</v>
      </c>
      <c r="E958" s="6" t="s">
        <v>7</v>
      </c>
      <c r="F958" s="6" t="s">
        <v>7</v>
      </c>
      <c r="G958" s="6" t="s">
        <v>9</v>
      </c>
    </row>
    <row r="959" spans="1:7" x14ac:dyDescent="0.35">
      <c r="A959" s="6" t="s">
        <v>496</v>
      </c>
      <c r="B959" s="7">
        <v>34639</v>
      </c>
      <c r="C959">
        <v>2</v>
      </c>
      <c r="D959">
        <v>4349.46</v>
      </c>
      <c r="E959" s="6" t="s">
        <v>7</v>
      </c>
      <c r="F959" s="6" t="s">
        <v>7</v>
      </c>
      <c r="G959" s="6" t="s">
        <v>9</v>
      </c>
    </row>
    <row r="960" spans="1:7" x14ac:dyDescent="0.35">
      <c r="A960" s="6" t="s">
        <v>495</v>
      </c>
      <c r="B960" s="7">
        <v>33390</v>
      </c>
      <c r="C960">
        <v>0</v>
      </c>
      <c r="D960">
        <v>4347.0200000000004</v>
      </c>
      <c r="E960" s="6" t="s">
        <v>7</v>
      </c>
      <c r="F960" s="6" t="s">
        <v>11</v>
      </c>
      <c r="G960" s="6" t="s">
        <v>237</v>
      </c>
    </row>
    <row r="961" spans="1:7" x14ac:dyDescent="0.35">
      <c r="A961" s="6" t="s">
        <v>494</v>
      </c>
      <c r="B961" s="7">
        <v>34633</v>
      </c>
      <c r="C961">
        <v>2</v>
      </c>
      <c r="D961">
        <v>4340.4399999999996</v>
      </c>
      <c r="E961" s="6" t="s">
        <v>7</v>
      </c>
      <c r="F961" s="6" t="s">
        <v>11</v>
      </c>
      <c r="G961" s="6" t="s">
        <v>9</v>
      </c>
    </row>
    <row r="962" spans="1:7" x14ac:dyDescent="0.35">
      <c r="A962" s="6" t="s">
        <v>493</v>
      </c>
      <c r="B962" s="7">
        <v>34640</v>
      </c>
      <c r="C962">
        <v>1</v>
      </c>
      <c r="D962">
        <v>4337.74</v>
      </c>
      <c r="E962" s="6" t="s">
        <v>7</v>
      </c>
      <c r="F962" s="6" t="s">
        <v>11</v>
      </c>
      <c r="G962" s="6" t="s">
        <v>237</v>
      </c>
    </row>
    <row r="963" spans="1:7" x14ac:dyDescent="0.35">
      <c r="A963" s="6" t="s">
        <v>492</v>
      </c>
      <c r="B963" s="7">
        <v>32496</v>
      </c>
      <c r="C963">
        <v>0</v>
      </c>
      <c r="D963">
        <v>4320.41</v>
      </c>
      <c r="E963" s="6" t="s">
        <v>7</v>
      </c>
      <c r="F963" s="6" t="s">
        <v>11</v>
      </c>
      <c r="G963" s="6" t="s">
        <v>16</v>
      </c>
    </row>
    <row r="964" spans="1:7" x14ac:dyDescent="0.35">
      <c r="A964" s="6" t="s">
        <v>491</v>
      </c>
      <c r="B964" s="7">
        <v>36855</v>
      </c>
      <c r="C964">
        <v>3</v>
      </c>
      <c r="D964">
        <v>4296.2700000000004</v>
      </c>
      <c r="E964" s="6" t="s">
        <v>7</v>
      </c>
      <c r="F964" s="6" t="s">
        <v>8</v>
      </c>
      <c r="G964" s="6" t="s">
        <v>16</v>
      </c>
    </row>
    <row r="965" spans="1:7" x14ac:dyDescent="0.35">
      <c r="A965" s="6" t="s">
        <v>490</v>
      </c>
      <c r="B965" s="7">
        <v>37780</v>
      </c>
      <c r="C965">
        <v>0</v>
      </c>
      <c r="D965">
        <v>4278.55</v>
      </c>
      <c r="E965" s="6" t="s">
        <v>7</v>
      </c>
      <c r="F965" s="6" t="s">
        <v>11</v>
      </c>
      <c r="G965" s="6" t="s">
        <v>290</v>
      </c>
    </row>
    <row r="966" spans="1:7" x14ac:dyDescent="0.35">
      <c r="A966" s="6" t="s">
        <v>489</v>
      </c>
      <c r="B966" s="7">
        <v>33773</v>
      </c>
      <c r="C966">
        <v>2</v>
      </c>
      <c r="D966">
        <v>4266.17</v>
      </c>
      <c r="E966" s="6" t="s">
        <v>8</v>
      </c>
      <c r="F966" s="6" t="s">
        <v>7</v>
      </c>
      <c r="G966" s="6" t="s">
        <v>9</v>
      </c>
    </row>
    <row r="967" spans="1:7" x14ac:dyDescent="0.35">
      <c r="A967" s="6" t="s">
        <v>2176</v>
      </c>
      <c r="B967" s="7">
        <v>33886</v>
      </c>
      <c r="C967">
        <v>0</v>
      </c>
      <c r="D967">
        <v>36572.800000000003</v>
      </c>
      <c r="E967" s="6" t="s">
        <v>11</v>
      </c>
      <c r="F967" s="6" t="s">
        <v>7</v>
      </c>
      <c r="G967" s="6" t="s">
        <v>32</v>
      </c>
    </row>
    <row r="968" spans="1:7" x14ac:dyDescent="0.35">
      <c r="A968" s="6" t="s">
        <v>488</v>
      </c>
      <c r="B968" s="7">
        <v>30640</v>
      </c>
      <c r="C968">
        <v>3</v>
      </c>
      <c r="D968">
        <v>4265.01</v>
      </c>
      <c r="E968" s="6" t="s">
        <v>7</v>
      </c>
      <c r="F968" s="6" t="s">
        <v>11</v>
      </c>
      <c r="G968" s="6" t="s">
        <v>16</v>
      </c>
    </row>
    <row r="969" spans="1:7" x14ac:dyDescent="0.35">
      <c r="A969" s="6" t="s">
        <v>487</v>
      </c>
      <c r="B969" s="7">
        <v>34986</v>
      </c>
      <c r="C969">
        <v>3</v>
      </c>
      <c r="D969">
        <v>4260.74</v>
      </c>
      <c r="E969" s="6" t="s">
        <v>8</v>
      </c>
      <c r="F969" s="6" t="s">
        <v>7</v>
      </c>
      <c r="G969" s="6" t="s">
        <v>32</v>
      </c>
    </row>
    <row r="970" spans="1:7" x14ac:dyDescent="0.35">
      <c r="A970" s="6" t="s">
        <v>486</v>
      </c>
      <c r="B970" s="7">
        <v>30118</v>
      </c>
      <c r="C970">
        <v>3</v>
      </c>
      <c r="D970">
        <v>4250.24</v>
      </c>
      <c r="E970" s="6" t="s">
        <v>7</v>
      </c>
      <c r="F970" s="6" t="s">
        <v>8</v>
      </c>
      <c r="G970" s="6" t="s">
        <v>9</v>
      </c>
    </row>
    <row r="971" spans="1:7" x14ac:dyDescent="0.35">
      <c r="A971" s="6" t="s">
        <v>485</v>
      </c>
      <c r="B971" s="7">
        <v>33573</v>
      </c>
      <c r="C971">
        <v>1</v>
      </c>
      <c r="D971">
        <v>4243.59</v>
      </c>
      <c r="E971" s="6" t="s">
        <v>8</v>
      </c>
      <c r="F971" s="6" t="s">
        <v>11</v>
      </c>
      <c r="G971" s="6" t="s">
        <v>16</v>
      </c>
    </row>
    <row r="972" spans="1:7" x14ac:dyDescent="0.35">
      <c r="A972" s="6" t="s">
        <v>484</v>
      </c>
      <c r="B972" s="7">
        <v>33545</v>
      </c>
      <c r="C972">
        <v>1</v>
      </c>
      <c r="D972">
        <v>4239.8900000000003</v>
      </c>
      <c r="E972" s="6" t="s">
        <v>7</v>
      </c>
      <c r="F972" s="6" t="s">
        <v>7</v>
      </c>
      <c r="G972" s="6" t="s">
        <v>16</v>
      </c>
    </row>
    <row r="973" spans="1:7" x14ac:dyDescent="0.35">
      <c r="A973" s="6" t="s">
        <v>483</v>
      </c>
      <c r="B973" s="7">
        <v>33782</v>
      </c>
      <c r="C973">
        <v>1</v>
      </c>
      <c r="D973">
        <v>4237.13</v>
      </c>
      <c r="E973" s="6" t="s">
        <v>8</v>
      </c>
      <c r="F973" s="6" t="s">
        <v>11</v>
      </c>
      <c r="G973" s="6" t="s">
        <v>158</v>
      </c>
    </row>
    <row r="974" spans="1:7" x14ac:dyDescent="0.35">
      <c r="A974" s="6" t="s">
        <v>482</v>
      </c>
      <c r="B974" s="7">
        <v>36143</v>
      </c>
      <c r="C974">
        <v>3</v>
      </c>
      <c r="D974">
        <v>4234.93</v>
      </c>
      <c r="E974" s="6" t="s">
        <v>7</v>
      </c>
      <c r="F974" s="6" t="s">
        <v>11</v>
      </c>
      <c r="G974" s="6" t="s">
        <v>32</v>
      </c>
    </row>
    <row r="975" spans="1:7" x14ac:dyDescent="0.35">
      <c r="A975" s="6" t="s">
        <v>481</v>
      </c>
      <c r="B975" s="7">
        <v>35679</v>
      </c>
      <c r="C975">
        <v>2</v>
      </c>
      <c r="D975">
        <v>4189.1099999999997</v>
      </c>
      <c r="E975" s="6" t="s">
        <v>7</v>
      </c>
      <c r="F975" s="6" t="s">
        <v>7</v>
      </c>
      <c r="G975" s="6" t="s">
        <v>16</v>
      </c>
    </row>
    <row r="976" spans="1:7" x14ac:dyDescent="0.35">
      <c r="A976" s="6" t="s">
        <v>480</v>
      </c>
      <c r="B976" s="7">
        <v>34975</v>
      </c>
      <c r="C976">
        <v>0</v>
      </c>
      <c r="D976">
        <v>4188.7299999999996</v>
      </c>
      <c r="E976" s="6" t="s">
        <v>7</v>
      </c>
      <c r="F976" s="6" t="s">
        <v>7</v>
      </c>
      <c r="G976" s="6" t="s">
        <v>190</v>
      </c>
    </row>
    <row r="977" spans="1:7" x14ac:dyDescent="0.35">
      <c r="A977" s="6" t="s">
        <v>479</v>
      </c>
      <c r="B977" s="7">
        <v>32684</v>
      </c>
      <c r="C977">
        <v>0</v>
      </c>
      <c r="D977">
        <v>4185.1000000000004</v>
      </c>
      <c r="E977" s="6" t="s">
        <v>7</v>
      </c>
      <c r="F977" s="6" t="s">
        <v>8</v>
      </c>
      <c r="G977" s="6" t="s">
        <v>9</v>
      </c>
    </row>
    <row r="978" spans="1:7" x14ac:dyDescent="0.35">
      <c r="A978" s="6" t="s">
        <v>2175</v>
      </c>
      <c r="B978" s="7">
        <v>26885</v>
      </c>
      <c r="C978">
        <v>0</v>
      </c>
      <c r="D978">
        <v>36541.550000000003</v>
      </c>
      <c r="E978" s="6" t="s">
        <v>7</v>
      </c>
      <c r="F978" s="6" t="s">
        <v>8</v>
      </c>
      <c r="G978" s="6" t="s">
        <v>32</v>
      </c>
    </row>
    <row r="979" spans="1:7" x14ac:dyDescent="0.35">
      <c r="A979" s="6" t="s">
        <v>478</v>
      </c>
      <c r="B979" s="7">
        <v>30941</v>
      </c>
      <c r="C979">
        <v>3</v>
      </c>
      <c r="D979">
        <v>4163.21</v>
      </c>
      <c r="E979" s="6" t="s">
        <v>7</v>
      </c>
      <c r="F979" s="6" t="s">
        <v>7</v>
      </c>
      <c r="G979" s="6" t="s">
        <v>16</v>
      </c>
    </row>
    <row r="980" spans="1:7" x14ac:dyDescent="0.35">
      <c r="A980" s="6" t="s">
        <v>477</v>
      </c>
      <c r="B980" s="7">
        <v>36125</v>
      </c>
      <c r="C980">
        <v>0</v>
      </c>
      <c r="D980">
        <v>4154.97</v>
      </c>
      <c r="E980" s="6" t="s">
        <v>7</v>
      </c>
      <c r="F980" s="6" t="s">
        <v>11</v>
      </c>
      <c r="G980" s="6" t="s">
        <v>16</v>
      </c>
    </row>
    <row r="981" spans="1:7" x14ac:dyDescent="0.35">
      <c r="A981" s="6" t="s">
        <v>476</v>
      </c>
      <c r="B981" s="7">
        <v>33820</v>
      </c>
      <c r="C981">
        <v>1</v>
      </c>
      <c r="D981">
        <v>4151.03</v>
      </c>
      <c r="E981" s="6" t="s">
        <v>7</v>
      </c>
      <c r="F981" s="6" t="s">
        <v>7</v>
      </c>
      <c r="G981" s="6" t="s">
        <v>9</v>
      </c>
    </row>
    <row r="982" spans="1:7" x14ac:dyDescent="0.35">
      <c r="A982" s="6" t="s">
        <v>475</v>
      </c>
      <c r="B982" s="7">
        <v>33783</v>
      </c>
      <c r="C982">
        <v>1</v>
      </c>
      <c r="D982">
        <v>4149.74</v>
      </c>
      <c r="E982" s="6" t="s">
        <v>7</v>
      </c>
      <c r="F982" s="6" t="s">
        <v>11</v>
      </c>
      <c r="G982" s="6" t="s">
        <v>32</v>
      </c>
    </row>
    <row r="983" spans="1:7" x14ac:dyDescent="0.35">
      <c r="A983" s="6" t="s">
        <v>474</v>
      </c>
      <c r="B983" s="7">
        <v>33773</v>
      </c>
      <c r="C983">
        <v>0</v>
      </c>
      <c r="D983">
        <v>4137.5200000000004</v>
      </c>
      <c r="E983" s="6" t="s">
        <v>7</v>
      </c>
      <c r="F983" s="6" t="s">
        <v>8</v>
      </c>
      <c r="G983" s="6" t="s">
        <v>237</v>
      </c>
    </row>
    <row r="984" spans="1:7" x14ac:dyDescent="0.35">
      <c r="A984" s="6" t="s">
        <v>473</v>
      </c>
      <c r="B984" s="7">
        <v>33456</v>
      </c>
      <c r="C984">
        <v>0</v>
      </c>
      <c r="D984">
        <v>4134.08</v>
      </c>
      <c r="E984" s="6" t="s">
        <v>7</v>
      </c>
      <c r="F984" s="6" t="s">
        <v>11</v>
      </c>
      <c r="G984" s="6" t="s">
        <v>16</v>
      </c>
    </row>
    <row r="985" spans="1:7" x14ac:dyDescent="0.35">
      <c r="A985" s="6" t="s">
        <v>472</v>
      </c>
      <c r="B985" s="7">
        <v>34567</v>
      </c>
      <c r="C985">
        <v>1</v>
      </c>
      <c r="D985">
        <v>4133.6400000000003</v>
      </c>
      <c r="E985" s="6" t="s">
        <v>7</v>
      </c>
      <c r="F985" s="6" t="s">
        <v>8</v>
      </c>
      <c r="G985" s="6" t="s">
        <v>16</v>
      </c>
    </row>
    <row r="986" spans="1:7" x14ac:dyDescent="0.35">
      <c r="A986" s="6" t="s">
        <v>471</v>
      </c>
      <c r="B986" s="7">
        <v>33221</v>
      </c>
      <c r="C986">
        <v>1</v>
      </c>
      <c r="D986">
        <v>4076.5</v>
      </c>
      <c r="E986" s="6" t="s">
        <v>7</v>
      </c>
      <c r="F986" s="6" t="s">
        <v>8</v>
      </c>
      <c r="G986" s="6" t="s">
        <v>32</v>
      </c>
    </row>
    <row r="987" spans="1:7" x14ac:dyDescent="0.35">
      <c r="A987" s="6" t="s">
        <v>470</v>
      </c>
      <c r="B987" s="7">
        <v>33208</v>
      </c>
      <c r="C987">
        <v>1</v>
      </c>
      <c r="D987">
        <v>4074.45</v>
      </c>
      <c r="E987" s="6" t="s">
        <v>8</v>
      </c>
      <c r="F987" s="6" t="s">
        <v>7</v>
      </c>
      <c r="G987" s="6" t="s">
        <v>9</v>
      </c>
    </row>
    <row r="988" spans="1:7" x14ac:dyDescent="0.35">
      <c r="A988" s="6" t="s">
        <v>469</v>
      </c>
      <c r="B988" s="7">
        <v>37547</v>
      </c>
      <c r="C988">
        <v>0</v>
      </c>
      <c r="D988">
        <v>4070.51</v>
      </c>
      <c r="E988" s="6" t="s">
        <v>7</v>
      </c>
      <c r="F988" s="6" t="s">
        <v>11</v>
      </c>
      <c r="G988" s="6" t="s">
        <v>16</v>
      </c>
    </row>
    <row r="989" spans="1:7" x14ac:dyDescent="0.35">
      <c r="A989" s="6" t="s">
        <v>2174</v>
      </c>
      <c r="B989" s="7">
        <v>22969</v>
      </c>
      <c r="C989">
        <v>0</v>
      </c>
      <c r="D989">
        <v>36445.550000000003</v>
      </c>
      <c r="E989" s="6" t="s">
        <v>7</v>
      </c>
      <c r="F989" s="6" t="s">
        <v>7</v>
      </c>
      <c r="G989" s="6" t="s">
        <v>32</v>
      </c>
    </row>
    <row r="990" spans="1:7" x14ac:dyDescent="0.35">
      <c r="A990" s="6" t="s">
        <v>468</v>
      </c>
      <c r="B990" s="7">
        <v>30575</v>
      </c>
      <c r="C990">
        <v>3</v>
      </c>
      <c r="D990">
        <v>4070.42</v>
      </c>
      <c r="E990" s="6" t="s">
        <v>7</v>
      </c>
      <c r="F990" s="6" t="s">
        <v>11</v>
      </c>
      <c r="G990" s="6" t="s">
        <v>9</v>
      </c>
    </row>
    <row r="991" spans="1:7" x14ac:dyDescent="0.35">
      <c r="A991" s="6" t="s">
        <v>467</v>
      </c>
      <c r="B991" s="7">
        <v>34956</v>
      </c>
      <c r="C991">
        <v>2</v>
      </c>
      <c r="D991">
        <v>4058.71</v>
      </c>
      <c r="E991" s="6" t="s">
        <v>8</v>
      </c>
      <c r="F991" s="6" t="s">
        <v>8</v>
      </c>
      <c r="G991" s="6" t="s">
        <v>16</v>
      </c>
    </row>
    <row r="992" spans="1:7" x14ac:dyDescent="0.35">
      <c r="A992" s="6" t="s">
        <v>466</v>
      </c>
      <c r="B992" s="7">
        <v>34194</v>
      </c>
      <c r="C992">
        <v>2</v>
      </c>
      <c r="D992">
        <v>4058.12</v>
      </c>
      <c r="E992" s="6" t="s">
        <v>7</v>
      </c>
      <c r="F992" s="6" t="s">
        <v>11</v>
      </c>
      <c r="G992" s="6" t="s">
        <v>9</v>
      </c>
    </row>
    <row r="993" spans="1:7" x14ac:dyDescent="0.35">
      <c r="A993" s="6" t="s">
        <v>465</v>
      </c>
      <c r="B993" s="7">
        <v>32477</v>
      </c>
      <c r="C993">
        <v>3</v>
      </c>
      <c r="D993">
        <v>4047.94</v>
      </c>
      <c r="E993" s="6" t="s">
        <v>7</v>
      </c>
      <c r="F993" s="6" t="s">
        <v>11</v>
      </c>
      <c r="G993" s="6" t="s">
        <v>9</v>
      </c>
    </row>
    <row r="994" spans="1:7" x14ac:dyDescent="0.35">
      <c r="A994" s="6" t="s">
        <v>464</v>
      </c>
      <c r="B994" s="7">
        <v>34329</v>
      </c>
      <c r="C994">
        <v>1</v>
      </c>
      <c r="D994">
        <v>4040.56</v>
      </c>
      <c r="E994" s="6" t="s">
        <v>8</v>
      </c>
      <c r="F994" s="6" t="s">
        <v>8</v>
      </c>
      <c r="G994" s="6" t="s">
        <v>154</v>
      </c>
    </row>
    <row r="995" spans="1:7" x14ac:dyDescent="0.35">
      <c r="A995" s="6" t="s">
        <v>463</v>
      </c>
      <c r="B995" s="7">
        <v>30630</v>
      </c>
      <c r="C995">
        <v>3</v>
      </c>
      <c r="D995">
        <v>4039.9</v>
      </c>
      <c r="E995" s="6" t="s">
        <v>7</v>
      </c>
      <c r="F995" s="6" t="s">
        <v>11</v>
      </c>
      <c r="G995" s="6" t="s">
        <v>9</v>
      </c>
    </row>
    <row r="996" spans="1:7" x14ac:dyDescent="0.35">
      <c r="A996" s="6" t="s">
        <v>462</v>
      </c>
      <c r="B996" s="7">
        <v>30870</v>
      </c>
      <c r="C996">
        <v>3</v>
      </c>
      <c r="D996">
        <v>4038.41</v>
      </c>
      <c r="E996" s="6" t="s">
        <v>7</v>
      </c>
      <c r="F996" s="6" t="s">
        <v>11</v>
      </c>
      <c r="G996" s="6" t="s">
        <v>9</v>
      </c>
    </row>
    <row r="997" spans="1:7" x14ac:dyDescent="0.35">
      <c r="A997" s="6" t="s">
        <v>461</v>
      </c>
      <c r="B997" s="7">
        <v>33888</v>
      </c>
      <c r="C997">
        <v>1</v>
      </c>
      <c r="D997">
        <v>4032.24</v>
      </c>
      <c r="E997" s="6" t="s">
        <v>8</v>
      </c>
      <c r="F997" s="6" t="s">
        <v>8</v>
      </c>
      <c r="G997" s="6" t="s">
        <v>16</v>
      </c>
    </row>
    <row r="998" spans="1:7" x14ac:dyDescent="0.35">
      <c r="A998" s="6" t="s">
        <v>460</v>
      </c>
      <c r="B998" s="7">
        <v>36782</v>
      </c>
      <c r="C998">
        <v>3</v>
      </c>
      <c r="D998">
        <v>4005.42</v>
      </c>
      <c r="E998" s="6" t="s">
        <v>7</v>
      </c>
      <c r="F998" s="6" t="s">
        <v>11</v>
      </c>
      <c r="G998" s="6" t="s">
        <v>154</v>
      </c>
    </row>
    <row r="999" spans="1:7" x14ac:dyDescent="0.35">
      <c r="A999" s="6" t="s">
        <v>459</v>
      </c>
      <c r="B999" s="7">
        <v>32699</v>
      </c>
      <c r="C999">
        <v>3</v>
      </c>
      <c r="D999">
        <v>4002.36</v>
      </c>
      <c r="E999" s="6" t="s">
        <v>7</v>
      </c>
      <c r="F999" s="6" t="s">
        <v>11</v>
      </c>
      <c r="G999" s="6" t="s">
        <v>9</v>
      </c>
    </row>
    <row r="1000" spans="1:7" x14ac:dyDescent="0.35">
      <c r="A1000" s="6" t="s">
        <v>2344</v>
      </c>
      <c r="B1000" s="7">
        <v>23688</v>
      </c>
      <c r="C1000">
        <v>2</v>
      </c>
      <c r="D1000">
        <v>47496.49</v>
      </c>
      <c r="E1000" s="6" t="s">
        <v>11</v>
      </c>
      <c r="F1000" s="6" t="s">
        <v>8</v>
      </c>
      <c r="G1000" s="6" t="s">
        <v>16</v>
      </c>
    </row>
    <row r="1001" spans="1:7" x14ac:dyDescent="0.35">
      <c r="A1001" s="6" t="s">
        <v>2173</v>
      </c>
      <c r="B1001" s="7">
        <v>37964</v>
      </c>
      <c r="C1001">
        <v>2</v>
      </c>
      <c r="D1001">
        <v>36397.58</v>
      </c>
      <c r="E1001" s="6" t="s">
        <v>7</v>
      </c>
      <c r="F1001" s="6" t="s">
        <v>8</v>
      </c>
      <c r="G1001" s="6" t="s">
        <v>32</v>
      </c>
    </row>
    <row r="1002" spans="1:7" x14ac:dyDescent="0.35">
      <c r="A1002" s="6" t="s">
        <v>458</v>
      </c>
      <c r="B1002" s="7">
        <v>33178</v>
      </c>
      <c r="C1002">
        <v>0</v>
      </c>
      <c r="D1002">
        <v>3994.18</v>
      </c>
      <c r="E1002" s="6" t="s">
        <v>7</v>
      </c>
      <c r="F1002" s="6" t="s">
        <v>7</v>
      </c>
      <c r="G1002" s="6" t="s">
        <v>9</v>
      </c>
    </row>
    <row r="1003" spans="1:7" x14ac:dyDescent="0.35">
      <c r="A1003" s="6" t="s">
        <v>457</v>
      </c>
      <c r="B1003" s="7">
        <v>33199</v>
      </c>
      <c r="C1003">
        <v>0</v>
      </c>
      <c r="D1003">
        <v>3989.84</v>
      </c>
      <c r="E1003" s="6" t="s">
        <v>7</v>
      </c>
      <c r="F1003" s="6" t="s">
        <v>7</v>
      </c>
      <c r="G1003" s="6" t="s">
        <v>32</v>
      </c>
    </row>
    <row r="1004" spans="1:7" x14ac:dyDescent="0.35">
      <c r="A1004" s="6" t="s">
        <v>456</v>
      </c>
      <c r="B1004" s="7">
        <v>35316</v>
      </c>
      <c r="C1004">
        <v>2</v>
      </c>
      <c r="D1004">
        <v>3987.93</v>
      </c>
      <c r="E1004" s="6" t="s">
        <v>7</v>
      </c>
      <c r="F1004" s="6" t="s">
        <v>7</v>
      </c>
      <c r="G1004" s="6" t="s">
        <v>32</v>
      </c>
    </row>
    <row r="1005" spans="1:7" x14ac:dyDescent="0.35">
      <c r="A1005" s="6" t="s">
        <v>455</v>
      </c>
      <c r="B1005" s="7">
        <v>35294</v>
      </c>
      <c r="C1005">
        <v>2</v>
      </c>
      <c r="D1005">
        <v>3981.98</v>
      </c>
      <c r="E1005" s="6" t="s">
        <v>7</v>
      </c>
      <c r="F1005" s="6" t="s">
        <v>7</v>
      </c>
      <c r="G1005" s="6" t="s">
        <v>9</v>
      </c>
    </row>
    <row r="1006" spans="1:7" x14ac:dyDescent="0.35">
      <c r="A1006" s="6" t="s">
        <v>454</v>
      </c>
      <c r="B1006" s="7">
        <v>33083</v>
      </c>
      <c r="C1006">
        <v>0</v>
      </c>
      <c r="D1006">
        <v>3972.92</v>
      </c>
      <c r="E1006" s="6" t="s">
        <v>7</v>
      </c>
      <c r="F1006" s="6" t="s">
        <v>8</v>
      </c>
      <c r="G1006" s="6" t="s">
        <v>9</v>
      </c>
    </row>
    <row r="1007" spans="1:7" x14ac:dyDescent="0.35">
      <c r="A1007" s="6" t="s">
        <v>453</v>
      </c>
      <c r="B1007" s="7">
        <v>34891</v>
      </c>
      <c r="C1007">
        <v>1</v>
      </c>
      <c r="D1007">
        <v>3956.07</v>
      </c>
      <c r="E1007" s="6" t="s">
        <v>7</v>
      </c>
      <c r="F1007" s="6" t="s">
        <v>7</v>
      </c>
      <c r="G1007" s="6" t="s">
        <v>16</v>
      </c>
    </row>
    <row r="1008" spans="1:7" x14ac:dyDescent="0.35">
      <c r="A1008" s="6" t="s">
        <v>452</v>
      </c>
      <c r="B1008" s="7">
        <v>36351</v>
      </c>
      <c r="C1008">
        <v>0</v>
      </c>
      <c r="D1008">
        <v>3955.98</v>
      </c>
      <c r="E1008" s="6" t="s">
        <v>7</v>
      </c>
      <c r="F1008" s="6" t="s">
        <v>8</v>
      </c>
      <c r="G1008" s="6" t="s">
        <v>290</v>
      </c>
    </row>
    <row r="1009" spans="1:7" x14ac:dyDescent="0.35">
      <c r="A1009" s="6" t="s">
        <v>451</v>
      </c>
      <c r="B1009" s="7">
        <v>34284</v>
      </c>
      <c r="C1009">
        <v>1</v>
      </c>
      <c r="D1009">
        <v>3947.41</v>
      </c>
      <c r="E1009" s="6" t="s">
        <v>7</v>
      </c>
      <c r="F1009" s="6" t="s">
        <v>7</v>
      </c>
      <c r="G1009" s="6" t="s">
        <v>9</v>
      </c>
    </row>
    <row r="1010" spans="1:7" x14ac:dyDescent="0.35">
      <c r="A1010" s="6" t="s">
        <v>450</v>
      </c>
      <c r="B1010" s="7">
        <v>34241</v>
      </c>
      <c r="C1010">
        <v>0</v>
      </c>
      <c r="D1010">
        <v>3943.6</v>
      </c>
      <c r="E1010" s="6" t="s">
        <v>7</v>
      </c>
      <c r="F1010" s="6" t="s">
        <v>8</v>
      </c>
      <c r="G1010" s="6" t="s">
        <v>237</v>
      </c>
    </row>
    <row r="1011" spans="1:7" x14ac:dyDescent="0.35">
      <c r="A1011" s="6" t="s">
        <v>449</v>
      </c>
      <c r="B1011" s="7">
        <v>32440</v>
      </c>
      <c r="C1011">
        <v>0</v>
      </c>
      <c r="D1011">
        <v>3935.18</v>
      </c>
      <c r="E1011" s="6" t="s">
        <v>8</v>
      </c>
      <c r="F1011" s="6" t="s">
        <v>11</v>
      </c>
      <c r="G1011" s="6" t="s">
        <v>9</v>
      </c>
    </row>
    <row r="1012" spans="1:7" x14ac:dyDescent="0.35">
      <c r="A1012" s="6" t="s">
        <v>2172</v>
      </c>
      <c r="B1012" s="7">
        <v>27550</v>
      </c>
      <c r="C1012">
        <v>1</v>
      </c>
      <c r="D1012">
        <v>36350.71</v>
      </c>
      <c r="E1012" s="6" t="s">
        <v>11</v>
      </c>
      <c r="F1012" s="6" t="s">
        <v>7</v>
      </c>
      <c r="G1012" s="6" t="s">
        <v>32</v>
      </c>
    </row>
    <row r="1013" spans="1:7" x14ac:dyDescent="0.35">
      <c r="A1013" s="6" t="s">
        <v>448</v>
      </c>
      <c r="B1013" s="7">
        <v>37422</v>
      </c>
      <c r="C1013">
        <v>0</v>
      </c>
      <c r="D1013">
        <v>3931.51</v>
      </c>
      <c r="E1013" s="6" t="s">
        <v>7</v>
      </c>
      <c r="F1013" s="6" t="s">
        <v>8</v>
      </c>
      <c r="G1013" s="6" t="s">
        <v>32</v>
      </c>
    </row>
    <row r="1014" spans="1:7" x14ac:dyDescent="0.35">
      <c r="A1014" s="6" t="s">
        <v>447</v>
      </c>
      <c r="B1014" s="7">
        <v>36717</v>
      </c>
      <c r="C1014">
        <v>2</v>
      </c>
      <c r="D1014">
        <v>3925.76</v>
      </c>
      <c r="E1014" s="6" t="s">
        <v>7</v>
      </c>
      <c r="F1014" s="6" t="s">
        <v>7</v>
      </c>
      <c r="G1014" s="6" t="s">
        <v>237</v>
      </c>
    </row>
    <row r="1015" spans="1:7" x14ac:dyDescent="0.35">
      <c r="A1015" s="6" t="s">
        <v>446</v>
      </c>
      <c r="B1015" s="7">
        <v>31233</v>
      </c>
      <c r="C1015">
        <v>3</v>
      </c>
      <c r="D1015">
        <v>3910.44</v>
      </c>
      <c r="E1015" s="6" t="s">
        <v>7</v>
      </c>
      <c r="F1015" s="6" t="s">
        <v>7</v>
      </c>
      <c r="G1015" s="6" t="s">
        <v>9</v>
      </c>
    </row>
    <row r="1016" spans="1:7" x14ac:dyDescent="0.35">
      <c r="A1016" s="6" t="s">
        <v>445</v>
      </c>
      <c r="B1016" s="7">
        <v>35758</v>
      </c>
      <c r="C1016">
        <v>3</v>
      </c>
      <c r="D1016">
        <v>3906.13</v>
      </c>
      <c r="E1016" s="6" t="s">
        <v>8</v>
      </c>
      <c r="F1016" s="6" t="s">
        <v>8</v>
      </c>
      <c r="G1016" s="6" t="s">
        <v>32</v>
      </c>
    </row>
    <row r="1017" spans="1:7" x14ac:dyDescent="0.35">
      <c r="A1017" s="6" t="s">
        <v>444</v>
      </c>
      <c r="B1017" s="7">
        <v>29825</v>
      </c>
      <c r="C1017">
        <v>1</v>
      </c>
      <c r="D1017">
        <v>3902.07</v>
      </c>
      <c r="E1017" s="6" t="s">
        <v>7</v>
      </c>
      <c r="F1017" s="6" t="s">
        <v>7</v>
      </c>
      <c r="G1017" s="6" t="s">
        <v>9</v>
      </c>
    </row>
    <row r="1018" spans="1:7" x14ac:dyDescent="0.35">
      <c r="A1018" s="6" t="s">
        <v>443</v>
      </c>
      <c r="B1018" s="7">
        <v>34226</v>
      </c>
      <c r="C1018">
        <v>0</v>
      </c>
      <c r="D1018">
        <v>3898.35</v>
      </c>
      <c r="E1018" s="6" t="s">
        <v>7</v>
      </c>
      <c r="F1018" s="6" t="s">
        <v>7</v>
      </c>
      <c r="G1018" s="6" t="s">
        <v>16</v>
      </c>
    </row>
    <row r="1019" spans="1:7" x14ac:dyDescent="0.35">
      <c r="A1019" s="6" t="s">
        <v>442</v>
      </c>
      <c r="B1019" s="7">
        <v>38181</v>
      </c>
      <c r="C1019">
        <v>0</v>
      </c>
      <c r="D1019">
        <v>3889.2</v>
      </c>
      <c r="E1019" s="6" t="s">
        <v>7</v>
      </c>
      <c r="F1019" s="6" t="s">
        <v>7</v>
      </c>
      <c r="G1019" s="6" t="s">
        <v>16</v>
      </c>
    </row>
    <row r="1020" spans="1:7" x14ac:dyDescent="0.35">
      <c r="A1020" s="6" t="s">
        <v>441</v>
      </c>
      <c r="B1020" s="7">
        <v>35361</v>
      </c>
      <c r="C1020">
        <v>2</v>
      </c>
      <c r="D1020">
        <v>3877.3</v>
      </c>
      <c r="E1020" s="6" t="s">
        <v>11</v>
      </c>
      <c r="F1020" s="6" t="s">
        <v>8</v>
      </c>
      <c r="G1020" s="6" t="s">
        <v>16</v>
      </c>
    </row>
    <row r="1021" spans="1:7" x14ac:dyDescent="0.35">
      <c r="A1021" s="6" t="s">
        <v>440</v>
      </c>
      <c r="B1021" s="7">
        <v>33444</v>
      </c>
      <c r="C1021">
        <v>1</v>
      </c>
      <c r="D1021">
        <v>3875.73</v>
      </c>
      <c r="E1021" s="6" t="s">
        <v>7</v>
      </c>
      <c r="F1021" s="6" t="s">
        <v>8</v>
      </c>
      <c r="G1021" s="6" t="s">
        <v>9</v>
      </c>
    </row>
    <row r="1022" spans="1:7" x14ac:dyDescent="0.35">
      <c r="A1022" s="6" t="s">
        <v>439</v>
      </c>
      <c r="B1022" s="7">
        <v>33048</v>
      </c>
      <c r="C1022">
        <v>0</v>
      </c>
      <c r="D1022">
        <v>3866.86</v>
      </c>
      <c r="E1022" s="6" t="s">
        <v>11</v>
      </c>
      <c r="F1022" s="6" t="s">
        <v>11</v>
      </c>
      <c r="G1022" s="6" t="s">
        <v>16</v>
      </c>
    </row>
    <row r="1023" spans="1:7" x14ac:dyDescent="0.35">
      <c r="A1023" s="6" t="s">
        <v>2171</v>
      </c>
      <c r="B1023" s="7">
        <v>24763</v>
      </c>
      <c r="C1023">
        <v>0</v>
      </c>
      <c r="D1023">
        <v>36332.449999999997</v>
      </c>
      <c r="E1023" s="6" t="s">
        <v>11</v>
      </c>
      <c r="F1023" s="6" t="s">
        <v>8</v>
      </c>
      <c r="G1023" s="6" t="s">
        <v>32</v>
      </c>
    </row>
    <row r="1024" spans="1:7" x14ac:dyDescent="0.35">
      <c r="A1024" s="6" t="s">
        <v>438</v>
      </c>
      <c r="B1024" s="7">
        <v>37182</v>
      </c>
      <c r="C1024">
        <v>3</v>
      </c>
      <c r="D1024">
        <v>3861.21</v>
      </c>
      <c r="E1024" s="6" t="s">
        <v>7</v>
      </c>
      <c r="F1024" s="6" t="s">
        <v>7</v>
      </c>
      <c r="G1024" s="6" t="s">
        <v>158</v>
      </c>
    </row>
    <row r="1025" spans="1:7" x14ac:dyDescent="0.35">
      <c r="A1025" s="6" t="s">
        <v>437</v>
      </c>
      <c r="B1025" s="7">
        <v>37048</v>
      </c>
      <c r="C1025">
        <v>0</v>
      </c>
      <c r="D1025">
        <v>3858.51</v>
      </c>
      <c r="E1025" s="6" t="s">
        <v>7</v>
      </c>
      <c r="F1025" s="6" t="s">
        <v>8</v>
      </c>
      <c r="G1025" s="6" t="s">
        <v>190</v>
      </c>
    </row>
    <row r="1026" spans="1:7" x14ac:dyDescent="0.35">
      <c r="A1026" s="6" t="s">
        <v>436</v>
      </c>
      <c r="B1026" s="7">
        <v>33469</v>
      </c>
      <c r="C1026">
        <v>0</v>
      </c>
      <c r="D1026">
        <v>3857.76</v>
      </c>
      <c r="E1026" s="6" t="s">
        <v>8</v>
      </c>
      <c r="F1026" s="6" t="s">
        <v>11</v>
      </c>
      <c r="G1026" s="6" t="s">
        <v>158</v>
      </c>
    </row>
    <row r="1027" spans="1:7" x14ac:dyDescent="0.35">
      <c r="A1027" s="6" t="s">
        <v>435</v>
      </c>
      <c r="B1027" s="7">
        <v>34558</v>
      </c>
      <c r="C1027">
        <v>2</v>
      </c>
      <c r="D1027">
        <v>3847.67</v>
      </c>
      <c r="E1027" s="6" t="s">
        <v>8</v>
      </c>
      <c r="F1027" s="6" t="s">
        <v>7</v>
      </c>
      <c r="G1027" s="6" t="s">
        <v>32</v>
      </c>
    </row>
    <row r="1028" spans="1:7" x14ac:dyDescent="0.35">
      <c r="A1028" s="6" t="s">
        <v>434</v>
      </c>
      <c r="B1028" s="7">
        <v>29858</v>
      </c>
      <c r="C1028">
        <v>1</v>
      </c>
      <c r="D1028">
        <v>3797.2</v>
      </c>
      <c r="E1028" s="6" t="s">
        <v>7</v>
      </c>
      <c r="F1028" s="6" t="s">
        <v>8</v>
      </c>
      <c r="G1028" s="6" t="s">
        <v>16</v>
      </c>
    </row>
    <row r="1029" spans="1:7" x14ac:dyDescent="0.35">
      <c r="A1029" s="6" t="s">
        <v>433</v>
      </c>
      <c r="B1029" s="7">
        <v>36335</v>
      </c>
      <c r="C1029">
        <v>0</v>
      </c>
      <c r="D1029">
        <v>3796.36</v>
      </c>
      <c r="E1029" s="6" t="s">
        <v>7</v>
      </c>
      <c r="F1029" s="6" t="s">
        <v>8</v>
      </c>
      <c r="G1029" s="6" t="s">
        <v>16</v>
      </c>
    </row>
    <row r="1030" spans="1:7" x14ac:dyDescent="0.35">
      <c r="A1030" s="6" t="s">
        <v>432</v>
      </c>
      <c r="B1030" s="7">
        <v>32383</v>
      </c>
      <c r="C1030">
        <v>3</v>
      </c>
      <c r="D1030">
        <v>3793.55</v>
      </c>
      <c r="E1030" s="6" t="s">
        <v>7</v>
      </c>
      <c r="F1030" s="6" t="s">
        <v>8</v>
      </c>
      <c r="G1030" s="6" t="s">
        <v>9</v>
      </c>
    </row>
    <row r="1031" spans="1:7" x14ac:dyDescent="0.35">
      <c r="A1031" s="6" t="s">
        <v>431</v>
      </c>
      <c r="B1031" s="7">
        <v>29933</v>
      </c>
      <c r="C1031">
        <v>1</v>
      </c>
      <c r="D1031">
        <v>3785.77</v>
      </c>
      <c r="E1031" s="6" t="s">
        <v>7</v>
      </c>
      <c r="F1031" s="6" t="s">
        <v>11</v>
      </c>
      <c r="G1031" s="6" t="s">
        <v>9</v>
      </c>
    </row>
    <row r="1032" spans="1:7" x14ac:dyDescent="0.35">
      <c r="A1032" s="6" t="s">
        <v>430</v>
      </c>
      <c r="B1032" s="7">
        <v>32074</v>
      </c>
      <c r="C1032">
        <v>3</v>
      </c>
      <c r="D1032">
        <v>3773.23</v>
      </c>
      <c r="E1032" s="6" t="s">
        <v>7</v>
      </c>
      <c r="F1032" s="6" t="s">
        <v>8</v>
      </c>
      <c r="G1032" s="6" t="s">
        <v>9</v>
      </c>
    </row>
    <row r="1033" spans="1:7" x14ac:dyDescent="0.35">
      <c r="A1033" s="6" t="s">
        <v>429</v>
      </c>
      <c r="B1033" s="7">
        <v>34659</v>
      </c>
      <c r="C1033">
        <v>1</v>
      </c>
      <c r="D1033">
        <v>3766.88</v>
      </c>
      <c r="E1033" s="6" t="s">
        <v>7</v>
      </c>
      <c r="F1033" s="6" t="s">
        <v>11</v>
      </c>
      <c r="G1033" s="6" t="s">
        <v>9</v>
      </c>
    </row>
    <row r="1034" spans="1:7" x14ac:dyDescent="0.35">
      <c r="A1034" s="6" t="s">
        <v>2170</v>
      </c>
      <c r="B1034" s="7">
        <v>33771</v>
      </c>
      <c r="C1034">
        <v>0</v>
      </c>
      <c r="D1034">
        <v>36314.050000000003</v>
      </c>
      <c r="E1034" s="6" t="s">
        <v>7</v>
      </c>
      <c r="F1034" s="6" t="s">
        <v>7</v>
      </c>
      <c r="G1034" s="6" t="s">
        <v>32</v>
      </c>
    </row>
    <row r="1035" spans="1:7" x14ac:dyDescent="0.35">
      <c r="A1035" s="6" t="s">
        <v>428</v>
      </c>
      <c r="B1035" s="7">
        <v>33535</v>
      </c>
      <c r="C1035">
        <v>0</v>
      </c>
      <c r="D1035">
        <v>3761.29</v>
      </c>
      <c r="E1035" s="6" t="s">
        <v>7</v>
      </c>
      <c r="F1035" s="6" t="s">
        <v>8</v>
      </c>
      <c r="G1035" s="6" t="s">
        <v>32</v>
      </c>
    </row>
    <row r="1036" spans="1:7" x14ac:dyDescent="0.35">
      <c r="A1036" s="6" t="s">
        <v>427</v>
      </c>
      <c r="B1036" s="7">
        <v>33475</v>
      </c>
      <c r="C1036">
        <v>0</v>
      </c>
      <c r="D1036">
        <v>3757.84</v>
      </c>
      <c r="E1036" s="6" t="s">
        <v>7</v>
      </c>
      <c r="F1036" s="6" t="s">
        <v>11</v>
      </c>
      <c r="G1036" s="6" t="s">
        <v>9</v>
      </c>
    </row>
    <row r="1037" spans="1:7" x14ac:dyDescent="0.35">
      <c r="A1037" s="6" t="s">
        <v>426</v>
      </c>
      <c r="B1037" s="7">
        <v>33539</v>
      </c>
      <c r="C1037">
        <v>0</v>
      </c>
      <c r="D1037">
        <v>3756.62</v>
      </c>
      <c r="E1037" s="6" t="s">
        <v>7</v>
      </c>
      <c r="F1037" s="6" t="s">
        <v>7</v>
      </c>
      <c r="G1037" s="6" t="s">
        <v>9</v>
      </c>
    </row>
    <row r="1038" spans="1:7" x14ac:dyDescent="0.35">
      <c r="A1038" s="6" t="s">
        <v>425</v>
      </c>
      <c r="B1038" s="7">
        <v>31664</v>
      </c>
      <c r="C1038">
        <v>3</v>
      </c>
      <c r="D1038">
        <v>3748.56</v>
      </c>
      <c r="E1038" s="6" t="s">
        <v>7</v>
      </c>
      <c r="F1038" s="6" t="s">
        <v>7</v>
      </c>
      <c r="G1038" s="6" t="s">
        <v>9</v>
      </c>
    </row>
    <row r="1039" spans="1:7" x14ac:dyDescent="0.35">
      <c r="A1039" s="6" t="s">
        <v>424</v>
      </c>
      <c r="B1039" s="7">
        <v>34142</v>
      </c>
      <c r="C1039">
        <v>0</v>
      </c>
      <c r="D1039">
        <v>3736.46</v>
      </c>
      <c r="E1039" s="6" t="s">
        <v>7</v>
      </c>
      <c r="F1039" s="6" t="s">
        <v>7</v>
      </c>
      <c r="G1039" s="6" t="s">
        <v>16</v>
      </c>
    </row>
    <row r="1040" spans="1:7" x14ac:dyDescent="0.35">
      <c r="A1040" s="6" t="s">
        <v>423</v>
      </c>
      <c r="B1040" s="7">
        <v>34568</v>
      </c>
      <c r="C1040">
        <v>0</v>
      </c>
      <c r="D1040">
        <v>3732.63</v>
      </c>
      <c r="E1040" s="6" t="s">
        <v>7</v>
      </c>
      <c r="F1040" s="6" t="s">
        <v>8</v>
      </c>
      <c r="G1040" s="6" t="s">
        <v>237</v>
      </c>
    </row>
    <row r="1041" spans="1:7" x14ac:dyDescent="0.35">
      <c r="A1041" s="6" t="s">
        <v>422</v>
      </c>
      <c r="B1041" s="7">
        <v>31747</v>
      </c>
      <c r="C1041">
        <v>3</v>
      </c>
      <c r="D1041">
        <v>3731.6</v>
      </c>
      <c r="E1041" s="6" t="s">
        <v>7</v>
      </c>
      <c r="F1041" s="6" t="s">
        <v>7</v>
      </c>
      <c r="G1041" s="6" t="s">
        <v>9</v>
      </c>
    </row>
    <row r="1042" spans="1:7" x14ac:dyDescent="0.35">
      <c r="A1042" s="6" t="s">
        <v>421</v>
      </c>
      <c r="B1042" s="7">
        <v>38296</v>
      </c>
      <c r="C1042">
        <v>0</v>
      </c>
      <c r="D1042">
        <v>3722.23</v>
      </c>
      <c r="E1042" s="6" t="s">
        <v>7</v>
      </c>
      <c r="F1042" s="6" t="s">
        <v>7</v>
      </c>
      <c r="G1042" s="6" t="s">
        <v>190</v>
      </c>
    </row>
    <row r="1043" spans="1:7" x14ac:dyDescent="0.35">
      <c r="A1043" s="6" t="s">
        <v>420</v>
      </c>
      <c r="B1043" s="7">
        <v>32844</v>
      </c>
      <c r="C1043">
        <v>0</v>
      </c>
      <c r="D1043">
        <v>3704.35</v>
      </c>
      <c r="E1043" s="6" t="s">
        <v>7</v>
      </c>
      <c r="F1043" s="6" t="s">
        <v>7</v>
      </c>
      <c r="G1043" s="6" t="s">
        <v>9</v>
      </c>
    </row>
    <row r="1044" spans="1:7" x14ac:dyDescent="0.35">
      <c r="A1044" s="6" t="s">
        <v>419</v>
      </c>
      <c r="B1044" s="7">
        <v>32373</v>
      </c>
      <c r="C1044">
        <v>3</v>
      </c>
      <c r="D1044">
        <v>3699.54</v>
      </c>
      <c r="E1044" s="6" t="s">
        <v>7</v>
      </c>
      <c r="F1044" s="6" t="s">
        <v>8</v>
      </c>
      <c r="G1044" s="6" t="s">
        <v>9</v>
      </c>
    </row>
    <row r="1045" spans="1:7" x14ac:dyDescent="0.35">
      <c r="A1045" s="6" t="s">
        <v>2169</v>
      </c>
      <c r="B1045" s="7">
        <v>38346</v>
      </c>
      <c r="C1045">
        <v>0</v>
      </c>
      <c r="D1045">
        <v>36307.800000000003</v>
      </c>
      <c r="E1045" s="6" t="s">
        <v>11</v>
      </c>
      <c r="F1045" s="6" t="s">
        <v>7</v>
      </c>
      <c r="G1045" s="6" t="s">
        <v>9</v>
      </c>
    </row>
    <row r="1046" spans="1:7" x14ac:dyDescent="0.35">
      <c r="A1046" s="6" t="s">
        <v>418</v>
      </c>
      <c r="B1046" s="7">
        <v>34993</v>
      </c>
      <c r="C1046">
        <v>2</v>
      </c>
      <c r="D1046">
        <v>3693.43</v>
      </c>
      <c r="E1046" s="6" t="s">
        <v>7</v>
      </c>
      <c r="F1046" s="6" t="s">
        <v>8</v>
      </c>
      <c r="G1046" s="6" t="s">
        <v>32</v>
      </c>
    </row>
    <row r="1047" spans="1:7" x14ac:dyDescent="0.35">
      <c r="A1047" s="6" t="s">
        <v>417</v>
      </c>
      <c r="B1047" s="7">
        <v>29934</v>
      </c>
      <c r="C1047">
        <v>1</v>
      </c>
      <c r="D1047">
        <v>3688.38</v>
      </c>
      <c r="E1047" s="6" t="s">
        <v>7</v>
      </c>
      <c r="F1047" s="6" t="s">
        <v>7</v>
      </c>
      <c r="G1047" s="6" t="s">
        <v>9</v>
      </c>
    </row>
    <row r="1048" spans="1:7" x14ac:dyDescent="0.35">
      <c r="A1048" s="6" t="s">
        <v>416</v>
      </c>
      <c r="B1048" s="7">
        <v>37812</v>
      </c>
      <c r="C1048">
        <v>0</v>
      </c>
      <c r="D1048">
        <v>3688.35</v>
      </c>
      <c r="E1048" s="6" t="s">
        <v>7</v>
      </c>
      <c r="F1048" s="6" t="s">
        <v>7</v>
      </c>
      <c r="G1048" s="6" t="s">
        <v>290</v>
      </c>
    </row>
    <row r="1049" spans="1:7" x14ac:dyDescent="0.35">
      <c r="A1049" s="6" t="s">
        <v>415</v>
      </c>
      <c r="B1049" s="7">
        <v>30869</v>
      </c>
      <c r="C1049">
        <v>3</v>
      </c>
      <c r="D1049">
        <v>3678.86</v>
      </c>
      <c r="E1049" s="6" t="s">
        <v>7</v>
      </c>
      <c r="F1049" s="6" t="s">
        <v>8</v>
      </c>
      <c r="G1049" s="6" t="s">
        <v>9</v>
      </c>
    </row>
    <row r="1050" spans="1:7" x14ac:dyDescent="0.35">
      <c r="A1050" s="6" t="s">
        <v>414</v>
      </c>
      <c r="B1050" s="7">
        <v>33861</v>
      </c>
      <c r="C1050">
        <v>1</v>
      </c>
      <c r="D1050">
        <v>3659.35</v>
      </c>
      <c r="E1050" s="6" t="s">
        <v>8</v>
      </c>
      <c r="F1050" s="6" t="s">
        <v>11</v>
      </c>
      <c r="G1050" s="6" t="s">
        <v>32</v>
      </c>
    </row>
    <row r="1051" spans="1:7" x14ac:dyDescent="0.35">
      <c r="A1051" s="6" t="s">
        <v>413</v>
      </c>
      <c r="B1051" s="7">
        <v>33185</v>
      </c>
      <c r="C1051">
        <v>3</v>
      </c>
      <c r="D1051">
        <v>3653.29</v>
      </c>
      <c r="E1051" s="6" t="s">
        <v>7</v>
      </c>
      <c r="F1051" s="6" t="s">
        <v>8</v>
      </c>
      <c r="G1051" s="6" t="s">
        <v>32</v>
      </c>
    </row>
    <row r="1052" spans="1:7" x14ac:dyDescent="0.35">
      <c r="A1052" s="6" t="s">
        <v>412</v>
      </c>
      <c r="B1052" s="7">
        <v>33925</v>
      </c>
      <c r="C1052">
        <v>0</v>
      </c>
      <c r="D1052">
        <v>3645.09</v>
      </c>
      <c r="E1052" s="6" t="s">
        <v>11</v>
      </c>
      <c r="F1052" s="6" t="s">
        <v>7</v>
      </c>
      <c r="G1052" s="6" t="s">
        <v>266</v>
      </c>
    </row>
    <row r="1053" spans="1:7" x14ac:dyDescent="0.35">
      <c r="A1053" s="6" t="s">
        <v>411</v>
      </c>
      <c r="B1053" s="7">
        <v>31212</v>
      </c>
      <c r="C1053">
        <v>3</v>
      </c>
      <c r="D1053">
        <v>3622.13</v>
      </c>
      <c r="E1053" s="6" t="s">
        <v>7</v>
      </c>
      <c r="F1053" s="6" t="s">
        <v>11</v>
      </c>
      <c r="G1053" s="6" t="s">
        <v>9</v>
      </c>
    </row>
    <row r="1054" spans="1:7" x14ac:dyDescent="0.35">
      <c r="A1054" s="6" t="s">
        <v>410</v>
      </c>
      <c r="B1054" s="7">
        <v>33157</v>
      </c>
      <c r="C1054">
        <v>3</v>
      </c>
      <c r="D1054">
        <v>3606.43</v>
      </c>
      <c r="E1054" s="6" t="s">
        <v>7</v>
      </c>
      <c r="F1054" s="6" t="s">
        <v>11</v>
      </c>
      <c r="G1054" s="6" t="s">
        <v>9</v>
      </c>
    </row>
    <row r="1055" spans="1:7" x14ac:dyDescent="0.35">
      <c r="A1055" s="6" t="s">
        <v>409</v>
      </c>
      <c r="B1055" s="7">
        <v>32451</v>
      </c>
      <c r="C1055">
        <v>3</v>
      </c>
      <c r="D1055">
        <v>3603.6</v>
      </c>
      <c r="E1055" s="6" t="s">
        <v>7</v>
      </c>
      <c r="F1055" s="6" t="s">
        <v>11</v>
      </c>
      <c r="G1055" s="6" t="s">
        <v>9</v>
      </c>
    </row>
    <row r="1056" spans="1:7" x14ac:dyDescent="0.35">
      <c r="A1056" s="6" t="s">
        <v>2168</v>
      </c>
      <c r="B1056" s="7">
        <v>37869</v>
      </c>
      <c r="C1056">
        <v>0</v>
      </c>
      <c r="D1056">
        <v>36219.410000000003</v>
      </c>
      <c r="E1056" s="6" t="s">
        <v>11</v>
      </c>
      <c r="F1056" s="6" t="s">
        <v>11</v>
      </c>
      <c r="G1056" s="6" t="s">
        <v>16</v>
      </c>
    </row>
    <row r="1057" spans="1:7" x14ac:dyDescent="0.35">
      <c r="A1057" s="6" t="s">
        <v>408</v>
      </c>
      <c r="B1057" s="7">
        <v>36384</v>
      </c>
      <c r="C1057">
        <v>3</v>
      </c>
      <c r="D1057">
        <v>3597.6</v>
      </c>
      <c r="E1057" s="6" t="s">
        <v>7</v>
      </c>
      <c r="F1057" s="6" t="s">
        <v>7</v>
      </c>
      <c r="G1057" s="6" t="s">
        <v>32</v>
      </c>
    </row>
    <row r="1058" spans="1:7" x14ac:dyDescent="0.35">
      <c r="A1058" s="6" t="s">
        <v>407</v>
      </c>
      <c r="B1058" s="7">
        <v>35738</v>
      </c>
      <c r="C1058">
        <v>1</v>
      </c>
      <c r="D1058">
        <v>3594.17</v>
      </c>
      <c r="E1058" s="6" t="s">
        <v>7</v>
      </c>
      <c r="F1058" s="6" t="s">
        <v>7</v>
      </c>
      <c r="G1058" s="6" t="s">
        <v>16</v>
      </c>
    </row>
    <row r="1059" spans="1:7" x14ac:dyDescent="0.35">
      <c r="A1059" s="6" t="s">
        <v>406</v>
      </c>
      <c r="B1059" s="7">
        <v>36317</v>
      </c>
      <c r="C1059">
        <v>3</v>
      </c>
      <c r="D1059">
        <v>3591.48</v>
      </c>
      <c r="E1059" s="6" t="s">
        <v>7</v>
      </c>
      <c r="F1059" s="6" t="s">
        <v>8</v>
      </c>
      <c r="G1059" s="6" t="s">
        <v>32</v>
      </c>
    </row>
    <row r="1060" spans="1:7" x14ac:dyDescent="0.35">
      <c r="A1060" s="6" t="s">
        <v>405</v>
      </c>
      <c r="B1060" s="7">
        <v>31773</v>
      </c>
      <c r="C1060">
        <v>3</v>
      </c>
      <c r="D1060">
        <v>3589.14</v>
      </c>
      <c r="E1060" s="6" t="s">
        <v>7</v>
      </c>
      <c r="F1060" s="6" t="s">
        <v>7</v>
      </c>
      <c r="G1060" s="6" t="s">
        <v>9</v>
      </c>
    </row>
    <row r="1061" spans="1:7" x14ac:dyDescent="0.35">
      <c r="A1061" s="6" t="s">
        <v>404</v>
      </c>
      <c r="B1061" s="7">
        <v>37206</v>
      </c>
      <c r="C1061">
        <v>2</v>
      </c>
      <c r="D1061">
        <v>3579.83</v>
      </c>
      <c r="E1061" s="6" t="s">
        <v>7</v>
      </c>
      <c r="F1061" s="6" t="s">
        <v>7</v>
      </c>
      <c r="G1061" s="6" t="s">
        <v>16</v>
      </c>
    </row>
    <row r="1062" spans="1:7" x14ac:dyDescent="0.35">
      <c r="A1062" s="6" t="s">
        <v>403</v>
      </c>
      <c r="B1062" s="7">
        <v>34934</v>
      </c>
      <c r="C1062">
        <v>1</v>
      </c>
      <c r="D1062">
        <v>3578</v>
      </c>
      <c r="E1062" s="6" t="s">
        <v>7</v>
      </c>
      <c r="F1062" s="6" t="s">
        <v>8</v>
      </c>
      <c r="G1062" s="6" t="s">
        <v>32</v>
      </c>
    </row>
    <row r="1063" spans="1:7" x14ac:dyDescent="0.35">
      <c r="A1063" s="6" t="s">
        <v>402</v>
      </c>
      <c r="B1063" s="7">
        <v>32373</v>
      </c>
      <c r="C1063">
        <v>3</v>
      </c>
      <c r="D1063">
        <v>3569.96</v>
      </c>
      <c r="E1063" s="6" t="s">
        <v>7</v>
      </c>
      <c r="F1063" s="6" t="s">
        <v>11</v>
      </c>
      <c r="G1063" s="6" t="s">
        <v>16</v>
      </c>
    </row>
    <row r="1064" spans="1:7" x14ac:dyDescent="0.35">
      <c r="A1064" s="6" t="s">
        <v>401</v>
      </c>
      <c r="B1064" s="7">
        <v>29869</v>
      </c>
      <c r="C1064">
        <v>1</v>
      </c>
      <c r="D1064">
        <v>3562.87</v>
      </c>
      <c r="E1064" s="6" t="s">
        <v>7</v>
      </c>
      <c r="F1064" s="6" t="s">
        <v>11</v>
      </c>
      <c r="G1064" s="6" t="s">
        <v>9</v>
      </c>
    </row>
    <row r="1065" spans="1:7" x14ac:dyDescent="0.35">
      <c r="A1065" s="6" t="s">
        <v>400</v>
      </c>
      <c r="B1065" s="7">
        <v>34866</v>
      </c>
      <c r="C1065">
        <v>1</v>
      </c>
      <c r="D1065">
        <v>3561.89</v>
      </c>
      <c r="E1065" s="6" t="s">
        <v>7</v>
      </c>
      <c r="F1065" s="6" t="s">
        <v>11</v>
      </c>
      <c r="G1065" s="6" t="s">
        <v>9</v>
      </c>
    </row>
    <row r="1066" spans="1:7" x14ac:dyDescent="0.35">
      <c r="A1066" s="6" t="s">
        <v>399</v>
      </c>
      <c r="B1066" s="7">
        <v>34981</v>
      </c>
      <c r="C1066">
        <v>0</v>
      </c>
      <c r="D1066">
        <v>3558.62</v>
      </c>
      <c r="E1066" s="6" t="s">
        <v>7</v>
      </c>
      <c r="F1066" s="6" t="s">
        <v>8</v>
      </c>
      <c r="G1066" s="6" t="s">
        <v>237</v>
      </c>
    </row>
    <row r="1067" spans="1:7" x14ac:dyDescent="0.35">
      <c r="A1067" s="6" t="s">
        <v>2167</v>
      </c>
      <c r="B1067" s="7">
        <v>34331</v>
      </c>
      <c r="C1067">
        <v>0</v>
      </c>
      <c r="D1067">
        <v>36197.699999999997</v>
      </c>
      <c r="E1067" s="6" t="s">
        <v>11</v>
      </c>
      <c r="F1067" s="6" t="s">
        <v>8</v>
      </c>
      <c r="G1067" s="6" t="s">
        <v>32</v>
      </c>
    </row>
    <row r="1068" spans="1:7" x14ac:dyDescent="0.35">
      <c r="A1068" s="6" t="s">
        <v>398</v>
      </c>
      <c r="B1068" s="7">
        <v>34601</v>
      </c>
      <c r="C1068">
        <v>0</v>
      </c>
      <c r="D1068">
        <v>3556.92</v>
      </c>
      <c r="E1068" s="6" t="s">
        <v>7</v>
      </c>
      <c r="F1068" s="6" t="s">
        <v>8</v>
      </c>
      <c r="G1068" s="6" t="s">
        <v>16</v>
      </c>
    </row>
    <row r="1069" spans="1:7" x14ac:dyDescent="0.35">
      <c r="A1069" s="6" t="s">
        <v>397</v>
      </c>
      <c r="B1069" s="7">
        <v>33960</v>
      </c>
      <c r="C1069">
        <v>0</v>
      </c>
      <c r="D1069">
        <v>3554.2</v>
      </c>
      <c r="E1069" s="6" t="s">
        <v>7</v>
      </c>
      <c r="F1069" s="6" t="s">
        <v>8</v>
      </c>
      <c r="G1069" s="6" t="s">
        <v>32</v>
      </c>
    </row>
    <row r="1070" spans="1:7" x14ac:dyDescent="0.35">
      <c r="A1070" s="6" t="s">
        <v>396</v>
      </c>
      <c r="B1070" s="7">
        <v>32431</v>
      </c>
      <c r="C1070">
        <v>3</v>
      </c>
      <c r="D1070">
        <v>3540.12</v>
      </c>
      <c r="E1070" s="6" t="s">
        <v>7</v>
      </c>
      <c r="F1070" s="6" t="s">
        <v>11</v>
      </c>
      <c r="G1070" s="6" t="s">
        <v>9</v>
      </c>
    </row>
    <row r="1071" spans="1:7" x14ac:dyDescent="0.35">
      <c r="A1071" s="6" t="s">
        <v>395</v>
      </c>
      <c r="B1071" s="7">
        <v>37857</v>
      </c>
      <c r="C1071">
        <v>0</v>
      </c>
      <c r="D1071">
        <v>3538.9</v>
      </c>
      <c r="E1071" s="6" t="s">
        <v>7</v>
      </c>
      <c r="F1071" s="6" t="s">
        <v>7</v>
      </c>
      <c r="G1071" s="6" t="s">
        <v>16</v>
      </c>
    </row>
    <row r="1072" spans="1:7" x14ac:dyDescent="0.35">
      <c r="A1072" s="6" t="s">
        <v>394</v>
      </c>
      <c r="B1072" s="7">
        <v>36054</v>
      </c>
      <c r="C1072">
        <v>2</v>
      </c>
      <c r="D1072">
        <v>3537.7</v>
      </c>
      <c r="E1072" s="6" t="s">
        <v>8</v>
      </c>
      <c r="F1072" s="6" t="s">
        <v>8</v>
      </c>
      <c r="G1072" s="6" t="s">
        <v>16</v>
      </c>
    </row>
    <row r="1073" spans="1:7" x14ac:dyDescent="0.35">
      <c r="A1073" s="6" t="s">
        <v>393</v>
      </c>
      <c r="B1073" s="7">
        <v>36425</v>
      </c>
      <c r="C1073">
        <v>2</v>
      </c>
      <c r="D1073">
        <v>3500.61</v>
      </c>
      <c r="E1073" s="6" t="s">
        <v>7</v>
      </c>
      <c r="F1073" s="6" t="s">
        <v>7</v>
      </c>
      <c r="G1073" s="6" t="s">
        <v>9</v>
      </c>
    </row>
    <row r="1074" spans="1:7" x14ac:dyDescent="0.35">
      <c r="A1074" s="6" t="s">
        <v>392</v>
      </c>
      <c r="B1074" s="7">
        <v>35326</v>
      </c>
      <c r="C1074">
        <v>1</v>
      </c>
      <c r="D1074">
        <v>3490.55</v>
      </c>
      <c r="E1074" s="6" t="s">
        <v>11</v>
      </c>
      <c r="F1074" s="6" t="s">
        <v>7</v>
      </c>
      <c r="G1074" s="6" t="s">
        <v>154</v>
      </c>
    </row>
    <row r="1075" spans="1:7" x14ac:dyDescent="0.35">
      <c r="A1075" s="6" t="s">
        <v>391</v>
      </c>
      <c r="B1075" s="7">
        <v>35327</v>
      </c>
      <c r="C1075">
        <v>2</v>
      </c>
      <c r="D1075">
        <v>3484.33</v>
      </c>
      <c r="E1075" s="6" t="s">
        <v>8</v>
      </c>
      <c r="F1075" s="6" t="s">
        <v>8</v>
      </c>
      <c r="G1075" s="6" t="s">
        <v>32</v>
      </c>
    </row>
    <row r="1076" spans="1:7" x14ac:dyDescent="0.35">
      <c r="A1076" s="6" t="s">
        <v>390</v>
      </c>
      <c r="B1076" s="7">
        <v>38164</v>
      </c>
      <c r="C1076">
        <v>3</v>
      </c>
      <c r="D1076">
        <v>3481.87</v>
      </c>
      <c r="E1076" s="6" t="s">
        <v>7</v>
      </c>
      <c r="F1076" s="6" t="s">
        <v>8</v>
      </c>
      <c r="G1076" s="6" t="s">
        <v>158</v>
      </c>
    </row>
    <row r="1077" spans="1:7" x14ac:dyDescent="0.35">
      <c r="A1077" s="6" t="s">
        <v>389</v>
      </c>
      <c r="B1077" s="7">
        <v>34254</v>
      </c>
      <c r="C1077">
        <v>1</v>
      </c>
      <c r="D1077">
        <v>3471.41</v>
      </c>
      <c r="E1077" s="6" t="s">
        <v>7</v>
      </c>
      <c r="F1077" s="6" t="s">
        <v>7</v>
      </c>
      <c r="G1077" s="6" t="s">
        <v>9</v>
      </c>
    </row>
    <row r="1078" spans="1:7" x14ac:dyDescent="0.35">
      <c r="A1078" s="6" t="s">
        <v>2166</v>
      </c>
      <c r="B1078" s="7">
        <v>36434</v>
      </c>
      <c r="C1078">
        <v>3</v>
      </c>
      <c r="D1078">
        <v>36189.1</v>
      </c>
      <c r="E1078" s="6" t="s">
        <v>11</v>
      </c>
      <c r="F1078" s="6" t="s">
        <v>8</v>
      </c>
      <c r="G1078" s="6" t="s">
        <v>158</v>
      </c>
    </row>
    <row r="1079" spans="1:7" x14ac:dyDescent="0.35">
      <c r="A1079" s="6" t="s">
        <v>388</v>
      </c>
      <c r="B1079" s="7">
        <v>37831</v>
      </c>
      <c r="C1079">
        <v>0</v>
      </c>
      <c r="D1079">
        <v>3463.51</v>
      </c>
      <c r="E1079" s="6" t="s">
        <v>7</v>
      </c>
      <c r="F1079" s="6" t="s">
        <v>11</v>
      </c>
      <c r="G1079" s="6" t="s">
        <v>190</v>
      </c>
    </row>
    <row r="1080" spans="1:7" x14ac:dyDescent="0.35">
      <c r="A1080" s="6" t="s">
        <v>387</v>
      </c>
      <c r="B1080" s="7">
        <v>32034</v>
      </c>
      <c r="C1080">
        <v>3</v>
      </c>
      <c r="D1080">
        <v>3453.77</v>
      </c>
      <c r="E1080" s="6" t="s">
        <v>7</v>
      </c>
      <c r="F1080" s="6" t="s">
        <v>11</v>
      </c>
      <c r="G1080" s="6" t="s">
        <v>32</v>
      </c>
    </row>
    <row r="1081" spans="1:7" x14ac:dyDescent="0.35">
      <c r="A1081" s="6" t="s">
        <v>386</v>
      </c>
      <c r="B1081" s="7">
        <v>36697</v>
      </c>
      <c r="C1081">
        <v>3</v>
      </c>
      <c r="D1081">
        <v>3443.06</v>
      </c>
      <c r="E1081" s="6" t="s">
        <v>7</v>
      </c>
      <c r="F1081" s="6" t="s">
        <v>11</v>
      </c>
      <c r="G1081" s="6" t="s">
        <v>32</v>
      </c>
    </row>
    <row r="1082" spans="1:7" x14ac:dyDescent="0.35">
      <c r="A1082" s="6" t="s">
        <v>385</v>
      </c>
      <c r="B1082" s="7">
        <v>31651</v>
      </c>
      <c r="C1082">
        <v>3</v>
      </c>
      <c r="D1082">
        <v>3436.5</v>
      </c>
      <c r="E1082" s="6" t="s">
        <v>7</v>
      </c>
      <c r="F1082" s="6" t="s">
        <v>11</v>
      </c>
      <c r="G1082" s="6" t="s">
        <v>9</v>
      </c>
    </row>
    <row r="1083" spans="1:7" x14ac:dyDescent="0.35">
      <c r="A1083" s="6" t="s">
        <v>384</v>
      </c>
      <c r="B1083" s="7">
        <v>37251</v>
      </c>
      <c r="C1083">
        <v>0</v>
      </c>
      <c r="D1083">
        <v>3434.38</v>
      </c>
      <c r="E1083" s="6" t="s">
        <v>7</v>
      </c>
      <c r="F1083" s="6" t="s">
        <v>7</v>
      </c>
      <c r="G1083" s="6" t="s">
        <v>32</v>
      </c>
    </row>
    <row r="1084" spans="1:7" x14ac:dyDescent="0.35">
      <c r="A1084" s="6" t="s">
        <v>383</v>
      </c>
      <c r="B1084" s="7">
        <v>35418</v>
      </c>
      <c r="C1084">
        <v>1</v>
      </c>
      <c r="D1084">
        <v>3410.32</v>
      </c>
      <c r="E1084" s="6" t="s">
        <v>7</v>
      </c>
      <c r="F1084" s="6" t="s">
        <v>7</v>
      </c>
      <c r="G1084" s="6" t="s">
        <v>32</v>
      </c>
    </row>
    <row r="1085" spans="1:7" x14ac:dyDescent="0.35">
      <c r="A1085" s="6" t="s">
        <v>382</v>
      </c>
      <c r="B1085" s="7">
        <v>38184</v>
      </c>
      <c r="C1085">
        <v>2</v>
      </c>
      <c r="D1085">
        <v>3393.36</v>
      </c>
      <c r="E1085" s="6" t="s">
        <v>7</v>
      </c>
      <c r="F1085" s="6" t="s">
        <v>7</v>
      </c>
      <c r="G1085" s="6" t="s">
        <v>239</v>
      </c>
    </row>
    <row r="1086" spans="1:7" x14ac:dyDescent="0.35">
      <c r="A1086" s="6" t="s">
        <v>381</v>
      </c>
      <c r="B1086" s="7">
        <v>35365</v>
      </c>
      <c r="C1086">
        <v>1</v>
      </c>
      <c r="D1086">
        <v>3392.98</v>
      </c>
      <c r="E1086" s="6" t="s">
        <v>7</v>
      </c>
      <c r="F1086" s="6" t="s">
        <v>8</v>
      </c>
      <c r="G1086" s="6" t="s">
        <v>9</v>
      </c>
    </row>
    <row r="1087" spans="1:7" x14ac:dyDescent="0.35">
      <c r="A1087" s="6" t="s">
        <v>380</v>
      </c>
      <c r="B1087" s="7">
        <v>35287</v>
      </c>
      <c r="C1087">
        <v>1</v>
      </c>
      <c r="D1087">
        <v>3392.37</v>
      </c>
      <c r="E1087" s="6" t="s">
        <v>7</v>
      </c>
      <c r="F1087" s="6" t="s">
        <v>8</v>
      </c>
      <c r="G1087" s="6" t="s">
        <v>9</v>
      </c>
    </row>
    <row r="1088" spans="1:7" x14ac:dyDescent="0.35">
      <c r="A1088" s="6" t="s">
        <v>379</v>
      </c>
      <c r="B1088" s="7">
        <v>35382</v>
      </c>
      <c r="C1088">
        <v>0</v>
      </c>
      <c r="D1088">
        <v>3385.4</v>
      </c>
      <c r="E1088" s="6" t="s">
        <v>7</v>
      </c>
      <c r="F1088" s="6" t="s">
        <v>7</v>
      </c>
      <c r="G1088" s="6" t="s">
        <v>237</v>
      </c>
    </row>
    <row r="1089" spans="1:7" x14ac:dyDescent="0.35">
      <c r="A1089" s="6" t="s">
        <v>2165</v>
      </c>
      <c r="B1089" s="7">
        <v>27369</v>
      </c>
      <c r="C1089">
        <v>0</v>
      </c>
      <c r="D1089">
        <v>36182.870000000003</v>
      </c>
      <c r="E1089" s="6" t="s">
        <v>7</v>
      </c>
      <c r="F1089" s="6" t="s">
        <v>8</v>
      </c>
      <c r="G1089" s="6" t="s">
        <v>16</v>
      </c>
    </row>
    <row r="1090" spans="1:7" x14ac:dyDescent="0.35">
      <c r="A1090" s="6" t="s">
        <v>378</v>
      </c>
      <c r="B1090" s="7">
        <v>35413</v>
      </c>
      <c r="C1090">
        <v>1</v>
      </c>
      <c r="D1090">
        <v>3378.91</v>
      </c>
      <c r="E1090" s="6" t="s">
        <v>7</v>
      </c>
      <c r="F1090" s="6" t="s">
        <v>11</v>
      </c>
      <c r="G1090" s="6" t="s">
        <v>32</v>
      </c>
    </row>
    <row r="1091" spans="1:7" x14ac:dyDescent="0.35">
      <c r="A1091" s="6" t="s">
        <v>377</v>
      </c>
      <c r="B1091" s="7">
        <v>34249</v>
      </c>
      <c r="C1091">
        <v>0</v>
      </c>
      <c r="D1091">
        <v>3366.67</v>
      </c>
      <c r="E1091" s="6" t="s">
        <v>7</v>
      </c>
      <c r="F1091" s="6" t="s">
        <v>7</v>
      </c>
      <c r="G1091" s="6" t="s">
        <v>9</v>
      </c>
    </row>
    <row r="1092" spans="1:7" x14ac:dyDescent="0.35">
      <c r="A1092" s="6" t="s">
        <v>376</v>
      </c>
      <c r="B1092" s="7">
        <v>34873</v>
      </c>
      <c r="C1092">
        <v>0</v>
      </c>
      <c r="D1092">
        <v>3353.47</v>
      </c>
      <c r="E1092" s="6" t="s">
        <v>7</v>
      </c>
      <c r="F1092" s="6" t="s">
        <v>8</v>
      </c>
      <c r="G1092" s="6" t="s">
        <v>16</v>
      </c>
    </row>
    <row r="1093" spans="1:7" x14ac:dyDescent="0.35">
      <c r="A1093" s="6" t="s">
        <v>375</v>
      </c>
      <c r="B1093" s="7">
        <v>34270</v>
      </c>
      <c r="C1093">
        <v>0</v>
      </c>
      <c r="D1093">
        <v>3353.28</v>
      </c>
      <c r="E1093" s="6" t="s">
        <v>7</v>
      </c>
      <c r="F1093" s="6" t="s">
        <v>11</v>
      </c>
      <c r="G1093" s="6" t="s">
        <v>32</v>
      </c>
    </row>
    <row r="1094" spans="1:7" x14ac:dyDescent="0.35">
      <c r="A1094" s="6" t="s">
        <v>374</v>
      </c>
      <c r="B1094" s="7">
        <v>33482</v>
      </c>
      <c r="C1094">
        <v>3</v>
      </c>
      <c r="D1094">
        <v>3342.79</v>
      </c>
      <c r="E1094" s="6" t="s">
        <v>7</v>
      </c>
      <c r="F1094" s="6" t="s">
        <v>11</v>
      </c>
      <c r="G1094" s="6" t="s">
        <v>9</v>
      </c>
    </row>
    <row r="1095" spans="1:7" x14ac:dyDescent="0.35">
      <c r="A1095" s="6" t="s">
        <v>373</v>
      </c>
      <c r="B1095" s="7">
        <v>35601</v>
      </c>
      <c r="C1095">
        <v>1</v>
      </c>
      <c r="D1095">
        <v>3309.79</v>
      </c>
      <c r="E1095" s="6" t="s">
        <v>8</v>
      </c>
      <c r="F1095" s="6" t="s">
        <v>8</v>
      </c>
      <c r="G1095" s="6" t="s">
        <v>346</v>
      </c>
    </row>
    <row r="1096" spans="1:7" x14ac:dyDescent="0.35">
      <c r="A1096" s="6" t="s">
        <v>372</v>
      </c>
      <c r="B1096" s="7">
        <v>37943</v>
      </c>
      <c r="C1096">
        <v>0</v>
      </c>
      <c r="D1096">
        <v>3308.46</v>
      </c>
      <c r="E1096" s="6" t="s">
        <v>7</v>
      </c>
      <c r="F1096" s="6" t="s">
        <v>11</v>
      </c>
      <c r="G1096" s="6" t="s">
        <v>290</v>
      </c>
    </row>
    <row r="1097" spans="1:7" x14ac:dyDescent="0.35">
      <c r="A1097" s="6" t="s">
        <v>371</v>
      </c>
      <c r="B1097" s="7">
        <v>37960</v>
      </c>
      <c r="C1097">
        <v>0</v>
      </c>
      <c r="D1097">
        <v>3300.7</v>
      </c>
      <c r="E1097" s="6" t="s">
        <v>7</v>
      </c>
      <c r="F1097" s="6" t="s">
        <v>7</v>
      </c>
      <c r="G1097" s="6" t="s">
        <v>190</v>
      </c>
    </row>
    <row r="1098" spans="1:7" x14ac:dyDescent="0.35">
      <c r="A1098" s="6" t="s">
        <v>370</v>
      </c>
      <c r="B1098" s="7">
        <v>35386</v>
      </c>
      <c r="C1098">
        <v>1</v>
      </c>
      <c r="D1098">
        <v>3292.53</v>
      </c>
      <c r="E1098" s="6" t="s">
        <v>7</v>
      </c>
      <c r="F1098" s="6" t="s">
        <v>7</v>
      </c>
      <c r="G1098" s="6" t="s">
        <v>16</v>
      </c>
    </row>
    <row r="1099" spans="1:7" x14ac:dyDescent="0.35">
      <c r="A1099" s="6" t="s">
        <v>369</v>
      </c>
      <c r="B1099" s="7">
        <v>37805</v>
      </c>
      <c r="C1099">
        <v>0</v>
      </c>
      <c r="D1099">
        <v>3280.22</v>
      </c>
      <c r="E1099" s="6" t="s">
        <v>7</v>
      </c>
      <c r="F1099" s="6" t="s">
        <v>8</v>
      </c>
      <c r="G1099" s="6" t="s">
        <v>32</v>
      </c>
    </row>
    <row r="1100" spans="1:7" x14ac:dyDescent="0.35">
      <c r="A1100" s="6" t="s">
        <v>2164</v>
      </c>
      <c r="B1100" s="7">
        <v>38229</v>
      </c>
      <c r="C1100">
        <v>0</v>
      </c>
      <c r="D1100">
        <v>36149.480000000003</v>
      </c>
      <c r="E1100" s="6" t="s">
        <v>7</v>
      </c>
      <c r="F1100" s="6" t="s">
        <v>7</v>
      </c>
      <c r="G1100" s="6" t="s">
        <v>9</v>
      </c>
    </row>
    <row r="1101" spans="1:7" x14ac:dyDescent="0.35">
      <c r="A1101" s="6" t="s">
        <v>368</v>
      </c>
      <c r="B1101" s="7">
        <v>37170</v>
      </c>
      <c r="C1101">
        <v>2</v>
      </c>
      <c r="D1101">
        <v>3279.87</v>
      </c>
      <c r="E1101" s="6" t="s">
        <v>7</v>
      </c>
      <c r="F1101" s="6" t="s">
        <v>11</v>
      </c>
      <c r="G1101" s="6" t="s">
        <v>346</v>
      </c>
    </row>
    <row r="1102" spans="1:7" x14ac:dyDescent="0.35">
      <c r="A1102" s="6" t="s">
        <v>367</v>
      </c>
      <c r="B1102" s="7">
        <v>34516</v>
      </c>
      <c r="C1102">
        <v>1</v>
      </c>
      <c r="D1102">
        <v>3277.16</v>
      </c>
      <c r="E1102" s="6" t="s">
        <v>7</v>
      </c>
      <c r="F1102" s="6" t="s">
        <v>8</v>
      </c>
      <c r="G1102" s="6" t="s">
        <v>32</v>
      </c>
    </row>
    <row r="1103" spans="1:7" x14ac:dyDescent="0.35">
      <c r="A1103" s="6" t="s">
        <v>366</v>
      </c>
      <c r="B1103" s="7">
        <v>34670</v>
      </c>
      <c r="C1103">
        <v>0</v>
      </c>
      <c r="D1103">
        <v>3268.85</v>
      </c>
      <c r="E1103" s="6" t="s">
        <v>8</v>
      </c>
      <c r="F1103" s="6" t="s">
        <v>11</v>
      </c>
      <c r="G1103" s="6" t="s">
        <v>158</v>
      </c>
    </row>
    <row r="1104" spans="1:7" x14ac:dyDescent="0.35">
      <c r="A1104" s="6" t="s">
        <v>365</v>
      </c>
      <c r="B1104" s="7">
        <v>33555</v>
      </c>
      <c r="C1104">
        <v>0</v>
      </c>
      <c r="D1104">
        <v>3260.2</v>
      </c>
      <c r="E1104" s="6" t="s">
        <v>8</v>
      </c>
      <c r="F1104" s="6" t="s">
        <v>7</v>
      </c>
      <c r="G1104" s="6" t="s">
        <v>32</v>
      </c>
    </row>
    <row r="1105" spans="1:7" x14ac:dyDescent="0.35">
      <c r="A1105" s="6" t="s">
        <v>364</v>
      </c>
      <c r="B1105" s="7">
        <v>35675</v>
      </c>
      <c r="C1105">
        <v>1</v>
      </c>
      <c r="D1105">
        <v>3238.44</v>
      </c>
      <c r="E1105" s="6" t="s">
        <v>7</v>
      </c>
      <c r="F1105" s="6" t="s">
        <v>8</v>
      </c>
      <c r="G1105" s="6" t="s">
        <v>9</v>
      </c>
    </row>
    <row r="1106" spans="1:7" x14ac:dyDescent="0.35">
      <c r="A1106" s="6" t="s">
        <v>363</v>
      </c>
      <c r="B1106" s="7">
        <v>35644</v>
      </c>
      <c r="C1106">
        <v>1</v>
      </c>
      <c r="D1106">
        <v>3227.12</v>
      </c>
      <c r="E1106" s="6" t="s">
        <v>7</v>
      </c>
      <c r="F1106" s="6" t="s">
        <v>8</v>
      </c>
      <c r="G1106" s="6" t="s">
        <v>9</v>
      </c>
    </row>
    <row r="1107" spans="1:7" x14ac:dyDescent="0.35">
      <c r="A1107" s="6" t="s">
        <v>362</v>
      </c>
      <c r="B1107" s="7">
        <v>35617</v>
      </c>
      <c r="C1107">
        <v>0</v>
      </c>
      <c r="D1107">
        <v>3213.62</v>
      </c>
      <c r="E1107" s="6" t="s">
        <v>7</v>
      </c>
      <c r="F1107" s="6" t="s">
        <v>7</v>
      </c>
      <c r="G1107" s="6" t="s">
        <v>237</v>
      </c>
    </row>
    <row r="1108" spans="1:7" x14ac:dyDescent="0.35">
      <c r="A1108" s="6" t="s">
        <v>361</v>
      </c>
      <c r="B1108" s="7">
        <v>35786</v>
      </c>
      <c r="C1108">
        <v>1</v>
      </c>
      <c r="D1108">
        <v>3208.79</v>
      </c>
      <c r="E1108" s="6" t="s">
        <v>7</v>
      </c>
      <c r="F1108" s="6" t="s">
        <v>8</v>
      </c>
      <c r="G1108" s="6" t="s">
        <v>32</v>
      </c>
    </row>
    <row r="1109" spans="1:7" x14ac:dyDescent="0.35">
      <c r="A1109" s="6" t="s">
        <v>360</v>
      </c>
      <c r="B1109" s="7">
        <v>35616</v>
      </c>
      <c r="C1109">
        <v>0</v>
      </c>
      <c r="D1109">
        <v>3206.49</v>
      </c>
      <c r="E1109" s="6" t="s">
        <v>7</v>
      </c>
      <c r="F1109" s="6" t="s">
        <v>8</v>
      </c>
      <c r="G1109" s="6" t="s">
        <v>237</v>
      </c>
    </row>
    <row r="1110" spans="1:7" x14ac:dyDescent="0.35">
      <c r="A1110" s="6" t="s">
        <v>359</v>
      </c>
      <c r="B1110" s="7">
        <v>35349</v>
      </c>
      <c r="C1110">
        <v>0</v>
      </c>
      <c r="D1110">
        <v>3201.25</v>
      </c>
      <c r="E1110" s="6" t="s">
        <v>7</v>
      </c>
      <c r="F1110" s="6" t="s">
        <v>8</v>
      </c>
      <c r="G1110" s="6" t="s">
        <v>16</v>
      </c>
    </row>
    <row r="1111" spans="1:7" x14ac:dyDescent="0.35">
      <c r="A1111" s="6" t="s">
        <v>2361</v>
      </c>
      <c r="B1111" s="7">
        <v>28284</v>
      </c>
      <c r="C1111">
        <v>0</v>
      </c>
      <c r="D1111">
        <v>62592.87</v>
      </c>
      <c r="E1111" s="6" t="s">
        <v>7</v>
      </c>
      <c r="F1111" s="6" t="s">
        <v>8</v>
      </c>
      <c r="G1111" s="6" t="s">
        <v>9</v>
      </c>
    </row>
    <row r="1112" spans="1:7" x14ac:dyDescent="0.35">
      <c r="A1112" s="6" t="s">
        <v>2343</v>
      </c>
      <c r="B1112" s="7">
        <v>26203</v>
      </c>
      <c r="C1112">
        <v>2</v>
      </c>
      <c r="D1112">
        <v>47462.89</v>
      </c>
      <c r="E1112" s="6" t="s">
        <v>11</v>
      </c>
      <c r="F1112" s="6" t="s">
        <v>7</v>
      </c>
      <c r="G1112" s="6" t="s">
        <v>9</v>
      </c>
    </row>
    <row r="1113" spans="1:7" x14ac:dyDescent="0.35">
      <c r="A1113" s="6" t="s">
        <v>2163</v>
      </c>
      <c r="B1113" s="7">
        <v>35593</v>
      </c>
      <c r="C1113">
        <v>2</v>
      </c>
      <c r="D1113">
        <v>36124.57</v>
      </c>
      <c r="E1113" s="6" t="s">
        <v>11</v>
      </c>
      <c r="F1113" s="6" t="s">
        <v>8</v>
      </c>
      <c r="G1113" s="6" t="s">
        <v>9</v>
      </c>
    </row>
    <row r="1114" spans="1:7" x14ac:dyDescent="0.35">
      <c r="A1114" s="6" t="s">
        <v>358</v>
      </c>
      <c r="B1114" s="7">
        <v>37136</v>
      </c>
      <c r="C1114">
        <v>2</v>
      </c>
      <c r="D1114">
        <v>3180.51</v>
      </c>
      <c r="E1114" s="6" t="s">
        <v>7</v>
      </c>
      <c r="F1114" s="6" t="s">
        <v>7</v>
      </c>
      <c r="G1114" s="6" t="s">
        <v>9</v>
      </c>
    </row>
    <row r="1115" spans="1:7" x14ac:dyDescent="0.35">
      <c r="A1115" s="6" t="s">
        <v>357</v>
      </c>
      <c r="B1115" s="7">
        <v>36792</v>
      </c>
      <c r="C1115">
        <v>0</v>
      </c>
      <c r="D1115">
        <v>3179.96</v>
      </c>
      <c r="E1115" s="6" t="s">
        <v>7</v>
      </c>
      <c r="F1115" s="6" t="s">
        <v>7</v>
      </c>
      <c r="G1115" s="6" t="s">
        <v>16</v>
      </c>
    </row>
    <row r="1116" spans="1:7" x14ac:dyDescent="0.35">
      <c r="A1116" s="6" t="s">
        <v>356</v>
      </c>
      <c r="B1116" s="7">
        <v>35249</v>
      </c>
      <c r="C1116">
        <v>0</v>
      </c>
      <c r="D1116">
        <v>3176.82</v>
      </c>
      <c r="E1116" s="6" t="s">
        <v>7</v>
      </c>
      <c r="F1116" s="6" t="s">
        <v>11</v>
      </c>
      <c r="G1116" s="6" t="s">
        <v>16</v>
      </c>
    </row>
    <row r="1117" spans="1:7" x14ac:dyDescent="0.35">
      <c r="A1117" s="6" t="s">
        <v>355</v>
      </c>
      <c r="B1117" s="7">
        <v>35291</v>
      </c>
      <c r="C1117">
        <v>0</v>
      </c>
      <c r="D1117">
        <v>3176.29</v>
      </c>
      <c r="E1117" s="6" t="s">
        <v>7</v>
      </c>
      <c r="F1117" s="6" t="s">
        <v>7</v>
      </c>
      <c r="G1117" s="6" t="s">
        <v>16</v>
      </c>
    </row>
    <row r="1118" spans="1:7" x14ac:dyDescent="0.35">
      <c r="A1118" s="6" t="s">
        <v>354</v>
      </c>
      <c r="B1118" s="7">
        <v>34521</v>
      </c>
      <c r="C1118">
        <v>0</v>
      </c>
      <c r="D1118">
        <v>3172.02</v>
      </c>
      <c r="E1118" s="6" t="s">
        <v>7</v>
      </c>
      <c r="F1118" s="6" t="s">
        <v>11</v>
      </c>
      <c r="G1118" s="6" t="s">
        <v>32</v>
      </c>
    </row>
    <row r="1119" spans="1:7" x14ac:dyDescent="0.35">
      <c r="A1119" s="6" t="s">
        <v>353</v>
      </c>
      <c r="B1119" s="7">
        <v>34632</v>
      </c>
      <c r="C1119">
        <v>0</v>
      </c>
      <c r="D1119">
        <v>3171.61</v>
      </c>
      <c r="E1119" s="6" t="s">
        <v>7</v>
      </c>
      <c r="F1119" s="6" t="s">
        <v>8</v>
      </c>
      <c r="G1119" s="6" t="s">
        <v>9</v>
      </c>
    </row>
    <row r="1120" spans="1:7" x14ac:dyDescent="0.35">
      <c r="A1120" s="6" t="s">
        <v>352</v>
      </c>
      <c r="B1120" s="7">
        <v>37132</v>
      </c>
      <c r="C1120">
        <v>1</v>
      </c>
      <c r="D1120">
        <v>3167.46</v>
      </c>
      <c r="E1120" s="6" t="s">
        <v>7</v>
      </c>
      <c r="F1120" s="6" t="s">
        <v>8</v>
      </c>
      <c r="G1120" s="6" t="s">
        <v>237</v>
      </c>
    </row>
    <row r="1121" spans="1:7" x14ac:dyDescent="0.35">
      <c r="A1121" s="6" t="s">
        <v>351</v>
      </c>
      <c r="B1121" s="7">
        <v>34237</v>
      </c>
      <c r="C1121">
        <v>0</v>
      </c>
      <c r="D1121">
        <v>3162.02</v>
      </c>
      <c r="E1121" s="6" t="s">
        <v>7</v>
      </c>
      <c r="F1121" s="6" t="s">
        <v>8</v>
      </c>
      <c r="G1121" s="6" t="s">
        <v>9</v>
      </c>
    </row>
    <row r="1122" spans="1:7" x14ac:dyDescent="0.35">
      <c r="A1122" s="6" t="s">
        <v>350</v>
      </c>
      <c r="B1122" s="7">
        <v>34525</v>
      </c>
      <c r="C1122">
        <v>0</v>
      </c>
      <c r="D1122">
        <v>3161.45</v>
      </c>
      <c r="E1122" s="6" t="s">
        <v>7</v>
      </c>
      <c r="F1122" s="6" t="s">
        <v>11</v>
      </c>
      <c r="G1122" s="6" t="s">
        <v>32</v>
      </c>
    </row>
    <row r="1123" spans="1:7" x14ac:dyDescent="0.35">
      <c r="A1123" s="6" t="s">
        <v>349</v>
      </c>
      <c r="B1123" s="7">
        <v>36336</v>
      </c>
      <c r="C1123">
        <v>0</v>
      </c>
      <c r="D1123">
        <v>3128.35</v>
      </c>
      <c r="E1123" s="6" t="s">
        <v>7</v>
      </c>
      <c r="F1123" s="6" t="s">
        <v>8</v>
      </c>
      <c r="G1123" s="6" t="s">
        <v>290</v>
      </c>
    </row>
    <row r="1124" spans="1:7" x14ac:dyDescent="0.35">
      <c r="A1124" s="6" t="s">
        <v>2162</v>
      </c>
      <c r="B1124" s="7">
        <v>29163</v>
      </c>
      <c r="C1124">
        <v>2</v>
      </c>
      <c r="D1124">
        <v>36090.49</v>
      </c>
      <c r="E1124" s="6" t="s">
        <v>7</v>
      </c>
      <c r="F1124" s="6" t="s">
        <v>7</v>
      </c>
      <c r="G1124" s="6" t="s">
        <v>32</v>
      </c>
    </row>
    <row r="1125" spans="1:7" x14ac:dyDescent="0.35">
      <c r="A1125" s="6" t="s">
        <v>348</v>
      </c>
      <c r="B1125" s="7">
        <v>31990</v>
      </c>
      <c r="C1125">
        <v>3</v>
      </c>
      <c r="D1125">
        <v>3088.06</v>
      </c>
      <c r="E1125" s="6" t="s">
        <v>7</v>
      </c>
      <c r="F1125" s="6" t="s">
        <v>7</v>
      </c>
      <c r="G1125" s="6" t="s">
        <v>9</v>
      </c>
    </row>
    <row r="1126" spans="1:7" x14ac:dyDescent="0.35">
      <c r="A1126" s="6" t="s">
        <v>347</v>
      </c>
      <c r="B1126" s="7">
        <v>37177</v>
      </c>
      <c r="C1126">
        <v>2</v>
      </c>
      <c r="D1126">
        <v>3077.1</v>
      </c>
      <c r="E1126" s="6" t="s">
        <v>7</v>
      </c>
      <c r="F1126" s="6" t="s">
        <v>11</v>
      </c>
      <c r="G1126" s="6" t="s">
        <v>16</v>
      </c>
    </row>
    <row r="1127" spans="1:7" x14ac:dyDescent="0.35">
      <c r="A1127" s="6" t="s">
        <v>345</v>
      </c>
      <c r="B1127" s="7">
        <v>34952</v>
      </c>
      <c r="C1127">
        <v>0</v>
      </c>
      <c r="D1127">
        <v>3070.81</v>
      </c>
      <c r="E1127" s="6" t="s">
        <v>8</v>
      </c>
      <c r="F1127" s="6" t="s">
        <v>11</v>
      </c>
      <c r="G1127" s="6" t="s">
        <v>346</v>
      </c>
    </row>
    <row r="1128" spans="1:7" x14ac:dyDescent="0.35">
      <c r="A1128" s="6" t="s">
        <v>344</v>
      </c>
      <c r="B1128" s="7">
        <v>32782</v>
      </c>
      <c r="C1128">
        <v>3</v>
      </c>
      <c r="D1128">
        <v>3065.49</v>
      </c>
      <c r="E1128" s="6" t="s">
        <v>7</v>
      </c>
      <c r="F1128" s="6" t="s">
        <v>11</v>
      </c>
      <c r="G1128" s="6" t="s">
        <v>16</v>
      </c>
    </row>
    <row r="1129" spans="1:7" x14ac:dyDescent="0.35">
      <c r="A1129" s="6" t="s">
        <v>343</v>
      </c>
      <c r="B1129" s="7">
        <v>34603</v>
      </c>
      <c r="C1129">
        <v>0</v>
      </c>
      <c r="D1129">
        <v>3062.51</v>
      </c>
      <c r="E1129" s="6" t="s">
        <v>8</v>
      </c>
      <c r="F1129" s="6" t="s">
        <v>11</v>
      </c>
      <c r="G1129" s="6" t="s">
        <v>16</v>
      </c>
    </row>
    <row r="1130" spans="1:7" x14ac:dyDescent="0.35">
      <c r="A1130" s="6" t="s">
        <v>342</v>
      </c>
      <c r="B1130" s="7">
        <v>37428</v>
      </c>
      <c r="C1130">
        <v>2</v>
      </c>
      <c r="D1130">
        <v>3056.39</v>
      </c>
      <c r="E1130" s="6" t="s">
        <v>7</v>
      </c>
      <c r="F1130" s="6" t="s">
        <v>8</v>
      </c>
      <c r="G1130" s="6" t="s">
        <v>9</v>
      </c>
    </row>
    <row r="1131" spans="1:7" x14ac:dyDescent="0.35">
      <c r="A1131" s="6" t="s">
        <v>341</v>
      </c>
      <c r="B1131" s="7">
        <v>35786</v>
      </c>
      <c r="C1131">
        <v>0</v>
      </c>
      <c r="D1131">
        <v>3051.73</v>
      </c>
      <c r="E1131" s="6" t="s">
        <v>7</v>
      </c>
      <c r="F1131" s="6" t="s">
        <v>7</v>
      </c>
      <c r="G1131" s="6" t="s">
        <v>32</v>
      </c>
    </row>
    <row r="1132" spans="1:7" x14ac:dyDescent="0.35">
      <c r="A1132" s="6" t="s">
        <v>340</v>
      </c>
      <c r="B1132" s="7">
        <v>36016</v>
      </c>
      <c r="C1132">
        <v>0</v>
      </c>
      <c r="D1132">
        <v>3046.06</v>
      </c>
      <c r="E1132" s="6" t="s">
        <v>7</v>
      </c>
      <c r="F1132" s="6" t="s">
        <v>11</v>
      </c>
      <c r="G1132" s="6" t="s">
        <v>239</v>
      </c>
    </row>
    <row r="1133" spans="1:7" x14ac:dyDescent="0.35">
      <c r="A1133" s="6" t="s">
        <v>339</v>
      </c>
      <c r="B1133" s="7">
        <v>36053</v>
      </c>
      <c r="C1133">
        <v>0</v>
      </c>
      <c r="D1133">
        <v>3044.21</v>
      </c>
      <c r="E1133" s="6" t="s">
        <v>7</v>
      </c>
      <c r="F1133" s="6" t="s">
        <v>8</v>
      </c>
      <c r="G1133" s="6" t="s">
        <v>237</v>
      </c>
    </row>
    <row r="1134" spans="1:7" x14ac:dyDescent="0.35">
      <c r="A1134" s="6" t="s">
        <v>338</v>
      </c>
      <c r="B1134" s="7">
        <v>35783</v>
      </c>
      <c r="C1134">
        <v>0</v>
      </c>
      <c r="D1134">
        <v>3021.81</v>
      </c>
      <c r="E1134" s="6" t="s">
        <v>7</v>
      </c>
      <c r="F1134" s="6" t="s">
        <v>8</v>
      </c>
      <c r="G1134" s="6" t="s">
        <v>16</v>
      </c>
    </row>
    <row r="1135" spans="1:7" x14ac:dyDescent="0.35">
      <c r="A1135" s="6" t="s">
        <v>2161</v>
      </c>
      <c r="B1135" s="7">
        <v>35297</v>
      </c>
      <c r="C1135">
        <v>2</v>
      </c>
      <c r="D1135">
        <v>36085.22</v>
      </c>
      <c r="E1135" s="6" t="s">
        <v>11</v>
      </c>
      <c r="F1135" s="6" t="s">
        <v>11</v>
      </c>
      <c r="G1135" s="6" t="s">
        <v>32</v>
      </c>
    </row>
    <row r="1136" spans="1:7" x14ac:dyDescent="0.35">
      <c r="A1136" s="6" t="s">
        <v>337</v>
      </c>
      <c r="B1136" s="7">
        <v>32414</v>
      </c>
      <c r="C1136">
        <v>3</v>
      </c>
      <c r="D1136">
        <v>3018.04</v>
      </c>
      <c r="E1136" s="6" t="s">
        <v>7</v>
      </c>
      <c r="F1136" s="6" t="s">
        <v>7</v>
      </c>
      <c r="G1136" s="6" t="s">
        <v>16</v>
      </c>
    </row>
    <row r="1137" spans="1:7" x14ac:dyDescent="0.35">
      <c r="A1137" s="6" t="s">
        <v>336</v>
      </c>
      <c r="B1137" s="7">
        <v>37605</v>
      </c>
      <c r="C1137">
        <v>0</v>
      </c>
      <c r="D1137">
        <v>3012.22</v>
      </c>
      <c r="E1137" s="6" t="s">
        <v>7</v>
      </c>
      <c r="F1137" s="6" t="s">
        <v>8</v>
      </c>
      <c r="G1137" s="6" t="s">
        <v>16</v>
      </c>
    </row>
    <row r="1138" spans="1:7" x14ac:dyDescent="0.35">
      <c r="A1138" s="6" t="s">
        <v>335</v>
      </c>
      <c r="B1138" s="7">
        <v>33562</v>
      </c>
      <c r="C1138">
        <v>3</v>
      </c>
      <c r="D1138">
        <v>2985.67</v>
      </c>
      <c r="E1138" s="6" t="s">
        <v>7</v>
      </c>
      <c r="F1138" s="6" t="s">
        <v>7</v>
      </c>
      <c r="G1138" s="6" t="s">
        <v>9</v>
      </c>
    </row>
    <row r="1139" spans="1:7" x14ac:dyDescent="0.35">
      <c r="A1139" s="6" t="s">
        <v>334</v>
      </c>
      <c r="B1139" s="7">
        <v>31946</v>
      </c>
      <c r="C1139">
        <v>3</v>
      </c>
      <c r="D1139">
        <v>2979.52</v>
      </c>
      <c r="E1139" s="6" t="s">
        <v>7</v>
      </c>
      <c r="F1139" s="6" t="s">
        <v>8</v>
      </c>
      <c r="G1139" s="6" t="s">
        <v>9</v>
      </c>
    </row>
    <row r="1140" spans="1:7" x14ac:dyDescent="0.35">
      <c r="A1140" s="6" t="s">
        <v>333</v>
      </c>
      <c r="B1140" s="7">
        <v>34966</v>
      </c>
      <c r="C1140">
        <v>0</v>
      </c>
      <c r="D1140">
        <v>2974.13</v>
      </c>
      <c r="E1140" s="6" t="s">
        <v>7</v>
      </c>
      <c r="F1140" s="6" t="s">
        <v>11</v>
      </c>
      <c r="G1140" s="6" t="s">
        <v>32</v>
      </c>
    </row>
    <row r="1141" spans="1:7" x14ac:dyDescent="0.35">
      <c r="A1141" s="6" t="s">
        <v>332</v>
      </c>
      <c r="B1141" s="7">
        <v>37529</v>
      </c>
      <c r="C1141">
        <v>0</v>
      </c>
      <c r="D1141">
        <v>2943.41</v>
      </c>
      <c r="E1141" s="6" t="s">
        <v>7</v>
      </c>
      <c r="F1141" s="6" t="s">
        <v>8</v>
      </c>
      <c r="G1141" s="6" t="s">
        <v>16</v>
      </c>
    </row>
    <row r="1142" spans="1:7" x14ac:dyDescent="0.35">
      <c r="A1142" s="6" t="s">
        <v>331</v>
      </c>
      <c r="B1142" s="7">
        <v>35246</v>
      </c>
      <c r="C1142">
        <v>1</v>
      </c>
      <c r="D1142">
        <v>2927.06</v>
      </c>
      <c r="E1142" s="6" t="s">
        <v>7</v>
      </c>
      <c r="F1142" s="6" t="s">
        <v>7</v>
      </c>
      <c r="G1142" s="6" t="s">
        <v>9</v>
      </c>
    </row>
    <row r="1143" spans="1:7" x14ac:dyDescent="0.35">
      <c r="A1143" s="6" t="s">
        <v>330</v>
      </c>
      <c r="B1143" s="7">
        <v>37777</v>
      </c>
      <c r="C1143">
        <v>2</v>
      </c>
      <c r="D1143">
        <v>2913.57</v>
      </c>
      <c r="E1143" s="6" t="s">
        <v>7</v>
      </c>
      <c r="F1143" s="6" t="s">
        <v>7</v>
      </c>
      <c r="G1143" s="6" t="s">
        <v>32</v>
      </c>
    </row>
    <row r="1144" spans="1:7" x14ac:dyDescent="0.35">
      <c r="A1144" s="6" t="s">
        <v>329</v>
      </c>
      <c r="B1144" s="7">
        <v>35229</v>
      </c>
      <c r="C1144">
        <v>1</v>
      </c>
      <c r="D1144">
        <v>2904.09</v>
      </c>
      <c r="E1144" s="6" t="s">
        <v>7</v>
      </c>
      <c r="F1144" s="6" t="s">
        <v>7</v>
      </c>
      <c r="G1144" s="6" t="s">
        <v>32</v>
      </c>
    </row>
    <row r="1145" spans="1:7" x14ac:dyDescent="0.35">
      <c r="A1145" s="6" t="s">
        <v>328</v>
      </c>
      <c r="B1145" s="7">
        <v>35362</v>
      </c>
      <c r="C1145">
        <v>1</v>
      </c>
      <c r="D1145">
        <v>2902.91</v>
      </c>
      <c r="E1145" s="6" t="s">
        <v>7</v>
      </c>
      <c r="F1145" s="6" t="s">
        <v>7</v>
      </c>
      <c r="G1145" s="6" t="s">
        <v>9</v>
      </c>
    </row>
    <row r="1146" spans="1:7" x14ac:dyDescent="0.35">
      <c r="A1146" s="6" t="s">
        <v>2160</v>
      </c>
      <c r="B1146" s="7">
        <v>23214</v>
      </c>
      <c r="C1146">
        <v>0</v>
      </c>
      <c r="D1146">
        <v>36074.339999999997</v>
      </c>
      <c r="E1146" s="6" t="s">
        <v>7</v>
      </c>
      <c r="F1146" s="6" t="s">
        <v>11</v>
      </c>
      <c r="G1146" s="6" t="s">
        <v>32</v>
      </c>
    </row>
    <row r="1147" spans="1:7" x14ac:dyDescent="0.35">
      <c r="A1147" s="6" t="s">
        <v>327</v>
      </c>
      <c r="B1147" s="7">
        <v>36465</v>
      </c>
      <c r="C1147">
        <v>0</v>
      </c>
      <c r="D1147">
        <v>2899.49</v>
      </c>
      <c r="E1147" s="6" t="s">
        <v>7</v>
      </c>
      <c r="F1147" s="6" t="s">
        <v>7</v>
      </c>
      <c r="G1147" s="6" t="s">
        <v>237</v>
      </c>
    </row>
    <row r="1148" spans="1:7" x14ac:dyDescent="0.35">
      <c r="A1148" s="6" t="s">
        <v>326</v>
      </c>
      <c r="B1148" s="7">
        <v>36721</v>
      </c>
      <c r="C1148">
        <v>0</v>
      </c>
      <c r="D1148">
        <v>2897.46</v>
      </c>
      <c r="E1148" s="6" t="s">
        <v>7</v>
      </c>
      <c r="F1148" s="6" t="s">
        <v>11</v>
      </c>
      <c r="G1148" s="6" t="s">
        <v>16</v>
      </c>
    </row>
    <row r="1149" spans="1:7" x14ac:dyDescent="0.35">
      <c r="A1149" s="6" t="s">
        <v>325</v>
      </c>
      <c r="B1149" s="7">
        <v>35237</v>
      </c>
      <c r="C1149">
        <v>0</v>
      </c>
      <c r="D1149">
        <v>2897.32</v>
      </c>
      <c r="E1149" s="6" t="s">
        <v>8</v>
      </c>
      <c r="F1149" s="6" t="s">
        <v>8</v>
      </c>
      <c r="G1149" s="6" t="s">
        <v>158</v>
      </c>
    </row>
    <row r="1150" spans="1:7" x14ac:dyDescent="0.35">
      <c r="A1150" s="6" t="s">
        <v>324</v>
      </c>
      <c r="B1150" s="7">
        <v>34193</v>
      </c>
      <c r="C1150">
        <v>0</v>
      </c>
      <c r="D1150">
        <v>2867.12</v>
      </c>
      <c r="E1150" s="6" t="s">
        <v>11</v>
      </c>
      <c r="F1150" s="6" t="s">
        <v>8</v>
      </c>
      <c r="G1150" s="6" t="s">
        <v>9</v>
      </c>
    </row>
    <row r="1151" spans="1:7" x14ac:dyDescent="0.35">
      <c r="A1151" s="6" t="s">
        <v>323</v>
      </c>
      <c r="B1151" s="7">
        <v>34274</v>
      </c>
      <c r="C1151">
        <v>0</v>
      </c>
      <c r="D1151">
        <v>2866.09</v>
      </c>
      <c r="E1151" s="6" t="s">
        <v>8</v>
      </c>
      <c r="F1151" s="6" t="s">
        <v>8</v>
      </c>
      <c r="G1151" s="6" t="s">
        <v>32</v>
      </c>
    </row>
    <row r="1152" spans="1:7" x14ac:dyDescent="0.35">
      <c r="A1152" s="6" t="s">
        <v>322</v>
      </c>
      <c r="B1152" s="7">
        <v>36042</v>
      </c>
      <c r="C1152">
        <v>0</v>
      </c>
      <c r="D1152">
        <v>2855.44</v>
      </c>
      <c r="E1152" s="6" t="s">
        <v>7</v>
      </c>
      <c r="F1152" s="6" t="s">
        <v>8</v>
      </c>
      <c r="G1152" s="6" t="s">
        <v>16</v>
      </c>
    </row>
    <row r="1153" spans="1:7" x14ac:dyDescent="0.35">
      <c r="A1153" s="6" t="s">
        <v>321</v>
      </c>
      <c r="B1153" s="7">
        <v>35963</v>
      </c>
      <c r="C1153">
        <v>0</v>
      </c>
      <c r="D1153">
        <v>2850.68</v>
      </c>
      <c r="E1153" s="6" t="s">
        <v>7</v>
      </c>
      <c r="F1153" s="6" t="s">
        <v>8</v>
      </c>
      <c r="G1153" s="6" t="s">
        <v>16</v>
      </c>
    </row>
    <row r="1154" spans="1:7" x14ac:dyDescent="0.35">
      <c r="A1154" s="6" t="s">
        <v>320</v>
      </c>
      <c r="B1154" s="7">
        <v>36114</v>
      </c>
      <c r="C1154">
        <v>0</v>
      </c>
      <c r="D1154">
        <v>2842.76</v>
      </c>
      <c r="E1154" s="6" t="s">
        <v>7</v>
      </c>
      <c r="F1154" s="6" t="s">
        <v>8</v>
      </c>
      <c r="G1154" s="6" t="s">
        <v>16</v>
      </c>
    </row>
    <row r="1155" spans="1:7" x14ac:dyDescent="0.35">
      <c r="A1155" s="6" t="s">
        <v>319</v>
      </c>
      <c r="B1155" s="7">
        <v>36800</v>
      </c>
      <c r="C1155">
        <v>0</v>
      </c>
      <c r="D1155">
        <v>2819.51</v>
      </c>
      <c r="E1155" s="6" t="s">
        <v>7</v>
      </c>
      <c r="F1155" s="6" t="s">
        <v>8</v>
      </c>
      <c r="G1155" s="6" t="s">
        <v>32</v>
      </c>
    </row>
    <row r="1156" spans="1:7" x14ac:dyDescent="0.35">
      <c r="A1156" s="6" t="s">
        <v>318</v>
      </c>
      <c r="B1156" s="7">
        <v>37887</v>
      </c>
      <c r="C1156">
        <v>2</v>
      </c>
      <c r="D1156">
        <v>2803.7</v>
      </c>
      <c r="E1156" s="6" t="s">
        <v>7</v>
      </c>
      <c r="F1156" s="6" t="s">
        <v>11</v>
      </c>
      <c r="G1156" s="6" t="s">
        <v>16</v>
      </c>
    </row>
    <row r="1157" spans="1:7" x14ac:dyDescent="0.35">
      <c r="A1157" s="6" t="s">
        <v>2159</v>
      </c>
      <c r="B1157" s="7">
        <v>36407</v>
      </c>
      <c r="C1157">
        <v>2</v>
      </c>
      <c r="D1157">
        <v>36021.01</v>
      </c>
      <c r="E1157" s="6" t="s">
        <v>7</v>
      </c>
      <c r="F1157" s="6" t="s">
        <v>8</v>
      </c>
      <c r="G1157" s="6" t="s">
        <v>9</v>
      </c>
    </row>
    <row r="1158" spans="1:7" x14ac:dyDescent="0.35">
      <c r="A1158" s="6" t="s">
        <v>317</v>
      </c>
      <c r="B1158" s="7">
        <v>38203</v>
      </c>
      <c r="C1158">
        <v>2</v>
      </c>
      <c r="D1158">
        <v>2801.26</v>
      </c>
      <c r="E1158" s="6" t="s">
        <v>7</v>
      </c>
      <c r="F1158" s="6" t="s">
        <v>8</v>
      </c>
      <c r="G1158" s="6" t="s">
        <v>9</v>
      </c>
    </row>
    <row r="1159" spans="1:7" x14ac:dyDescent="0.35">
      <c r="A1159" s="6" t="s">
        <v>316</v>
      </c>
      <c r="B1159" s="7">
        <v>36518</v>
      </c>
      <c r="C1159">
        <v>1</v>
      </c>
      <c r="D1159">
        <v>2789.06</v>
      </c>
      <c r="E1159" s="6" t="s">
        <v>7</v>
      </c>
      <c r="F1159" s="6" t="s">
        <v>8</v>
      </c>
      <c r="G1159" s="6" t="s">
        <v>16</v>
      </c>
    </row>
    <row r="1160" spans="1:7" x14ac:dyDescent="0.35">
      <c r="A1160" s="6" t="s">
        <v>315</v>
      </c>
      <c r="B1160" s="7">
        <v>36401</v>
      </c>
      <c r="C1160">
        <v>1</v>
      </c>
      <c r="D1160">
        <v>2775.19</v>
      </c>
      <c r="E1160" s="6" t="s">
        <v>7</v>
      </c>
      <c r="F1160" s="6" t="s">
        <v>11</v>
      </c>
      <c r="G1160" s="6" t="s">
        <v>16</v>
      </c>
    </row>
    <row r="1161" spans="1:7" x14ac:dyDescent="0.35">
      <c r="A1161" s="6" t="s">
        <v>314</v>
      </c>
      <c r="B1161" s="7">
        <v>38305</v>
      </c>
      <c r="C1161">
        <v>0</v>
      </c>
      <c r="D1161">
        <v>2773.46</v>
      </c>
      <c r="E1161" s="6" t="s">
        <v>7</v>
      </c>
      <c r="F1161" s="6" t="s">
        <v>11</v>
      </c>
      <c r="G1161" s="6" t="s">
        <v>290</v>
      </c>
    </row>
    <row r="1162" spans="1:7" x14ac:dyDescent="0.35">
      <c r="A1162" s="6" t="s">
        <v>313</v>
      </c>
      <c r="B1162" s="7">
        <v>35652</v>
      </c>
      <c r="C1162">
        <v>0</v>
      </c>
      <c r="D1162">
        <v>2758.99</v>
      </c>
      <c r="E1162" s="6" t="s">
        <v>7</v>
      </c>
      <c r="F1162" s="6" t="s">
        <v>11</v>
      </c>
      <c r="G1162" s="6" t="s">
        <v>16</v>
      </c>
    </row>
    <row r="1163" spans="1:7" x14ac:dyDescent="0.35">
      <c r="A1163" s="6" t="s">
        <v>312</v>
      </c>
      <c r="B1163" s="7">
        <v>36810</v>
      </c>
      <c r="C1163">
        <v>0</v>
      </c>
      <c r="D1163">
        <v>2755.02</v>
      </c>
      <c r="E1163" s="6" t="s">
        <v>7</v>
      </c>
      <c r="F1163" s="6" t="s">
        <v>11</v>
      </c>
      <c r="G1163" s="6" t="s">
        <v>237</v>
      </c>
    </row>
    <row r="1164" spans="1:7" x14ac:dyDescent="0.35">
      <c r="A1164" s="6" t="s">
        <v>311</v>
      </c>
      <c r="B1164" s="7">
        <v>36802</v>
      </c>
      <c r="C1164">
        <v>0</v>
      </c>
      <c r="D1164">
        <v>2741.95</v>
      </c>
      <c r="E1164" s="6" t="s">
        <v>7</v>
      </c>
      <c r="F1164" s="6" t="s">
        <v>8</v>
      </c>
      <c r="G1164" s="6" t="s">
        <v>237</v>
      </c>
    </row>
    <row r="1165" spans="1:7" x14ac:dyDescent="0.35">
      <c r="A1165" s="6" t="s">
        <v>310</v>
      </c>
      <c r="B1165" s="7">
        <v>36877</v>
      </c>
      <c r="C1165">
        <v>0</v>
      </c>
      <c r="D1165">
        <v>2731.91</v>
      </c>
      <c r="E1165" s="6" t="s">
        <v>7</v>
      </c>
      <c r="F1165" s="6" t="s">
        <v>8</v>
      </c>
      <c r="G1165" s="6" t="s">
        <v>237</v>
      </c>
    </row>
    <row r="1166" spans="1:7" x14ac:dyDescent="0.35">
      <c r="A1166" s="6" t="s">
        <v>309</v>
      </c>
      <c r="B1166" s="7">
        <v>37958</v>
      </c>
      <c r="C1166">
        <v>1</v>
      </c>
      <c r="D1166">
        <v>2730.11</v>
      </c>
      <c r="E1166" s="6" t="s">
        <v>7</v>
      </c>
      <c r="F1166" s="6" t="s">
        <v>8</v>
      </c>
      <c r="G1166" s="6" t="s">
        <v>16</v>
      </c>
    </row>
    <row r="1167" spans="1:7" x14ac:dyDescent="0.35">
      <c r="A1167" s="6" t="s">
        <v>308</v>
      </c>
      <c r="B1167" s="7">
        <v>35709</v>
      </c>
      <c r="C1167">
        <v>0</v>
      </c>
      <c r="D1167">
        <v>2727.4</v>
      </c>
      <c r="E1167" s="6" t="s">
        <v>8</v>
      </c>
      <c r="F1167" s="6" t="s">
        <v>8</v>
      </c>
      <c r="G1167" s="6" t="s">
        <v>158</v>
      </c>
    </row>
    <row r="1168" spans="1:7" x14ac:dyDescent="0.35">
      <c r="A1168" s="6" t="s">
        <v>2158</v>
      </c>
      <c r="B1168" s="7">
        <v>29912</v>
      </c>
      <c r="C1168">
        <v>1</v>
      </c>
      <c r="D1168">
        <v>35952.65</v>
      </c>
      <c r="E1168" s="6" t="s">
        <v>11</v>
      </c>
      <c r="F1168" s="6" t="s">
        <v>8</v>
      </c>
      <c r="G1168" s="6" t="s">
        <v>32</v>
      </c>
    </row>
    <row r="1169" spans="1:7" x14ac:dyDescent="0.35">
      <c r="A1169" s="6" t="s">
        <v>307</v>
      </c>
      <c r="B1169" s="7">
        <v>32375</v>
      </c>
      <c r="C1169">
        <v>3</v>
      </c>
      <c r="D1169">
        <v>2726.06</v>
      </c>
      <c r="E1169" s="6" t="s">
        <v>7</v>
      </c>
      <c r="F1169" s="6" t="s">
        <v>7</v>
      </c>
      <c r="G1169" s="6" t="s">
        <v>9</v>
      </c>
    </row>
    <row r="1170" spans="1:7" x14ac:dyDescent="0.35">
      <c r="A1170" s="6" t="s">
        <v>306</v>
      </c>
      <c r="B1170" s="7">
        <v>35733</v>
      </c>
      <c r="C1170">
        <v>0</v>
      </c>
      <c r="D1170">
        <v>2721.32</v>
      </c>
      <c r="E1170" s="6" t="s">
        <v>11</v>
      </c>
      <c r="F1170" s="6" t="s">
        <v>8</v>
      </c>
      <c r="G1170" s="6" t="s">
        <v>266</v>
      </c>
    </row>
    <row r="1171" spans="1:7" x14ac:dyDescent="0.35">
      <c r="A1171" s="6" t="s">
        <v>305</v>
      </c>
      <c r="B1171" s="7">
        <v>37839</v>
      </c>
      <c r="C1171">
        <v>1</v>
      </c>
      <c r="D1171">
        <v>2719.28</v>
      </c>
      <c r="E1171" s="6" t="s">
        <v>7</v>
      </c>
      <c r="F1171" s="6" t="s">
        <v>7</v>
      </c>
      <c r="G1171" s="6" t="s">
        <v>16</v>
      </c>
    </row>
    <row r="1172" spans="1:7" x14ac:dyDescent="0.35">
      <c r="A1172" s="6" t="s">
        <v>304</v>
      </c>
      <c r="B1172" s="7">
        <v>37956</v>
      </c>
      <c r="C1172">
        <v>1</v>
      </c>
      <c r="D1172">
        <v>2710.83</v>
      </c>
      <c r="E1172" s="6" t="s">
        <v>7</v>
      </c>
      <c r="F1172" s="6" t="s">
        <v>8</v>
      </c>
      <c r="G1172" s="6" t="s">
        <v>16</v>
      </c>
    </row>
    <row r="1173" spans="1:7" x14ac:dyDescent="0.35">
      <c r="A1173" s="6" t="s">
        <v>303</v>
      </c>
      <c r="B1173" s="7">
        <v>37946</v>
      </c>
      <c r="C1173">
        <v>1</v>
      </c>
      <c r="D1173">
        <v>2709.24</v>
      </c>
      <c r="E1173" s="6" t="s">
        <v>7</v>
      </c>
      <c r="F1173" s="6" t="s">
        <v>7</v>
      </c>
      <c r="G1173" s="6" t="s">
        <v>16</v>
      </c>
    </row>
    <row r="1174" spans="1:7" x14ac:dyDescent="0.35">
      <c r="A1174" s="6" t="s">
        <v>302</v>
      </c>
      <c r="B1174" s="7">
        <v>37819</v>
      </c>
      <c r="C1174">
        <v>1</v>
      </c>
      <c r="D1174">
        <v>2709.11</v>
      </c>
      <c r="E1174" s="6" t="s">
        <v>7</v>
      </c>
      <c r="F1174" s="6" t="s">
        <v>7</v>
      </c>
      <c r="G1174" s="6" t="s">
        <v>16</v>
      </c>
    </row>
    <row r="1175" spans="1:7" x14ac:dyDescent="0.35">
      <c r="A1175" s="6" t="s">
        <v>301</v>
      </c>
      <c r="B1175" s="7">
        <v>35229</v>
      </c>
      <c r="C1175">
        <v>0</v>
      </c>
      <c r="D1175">
        <v>2699.57</v>
      </c>
      <c r="E1175" s="6" t="s">
        <v>7</v>
      </c>
      <c r="F1175" s="6" t="s">
        <v>11</v>
      </c>
      <c r="G1175" s="6" t="s">
        <v>16</v>
      </c>
    </row>
    <row r="1176" spans="1:7" x14ac:dyDescent="0.35">
      <c r="A1176" s="6" t="s">
        <v>300</v>
      </c>
      <c r="B1176" s="7">
        <v>36322</v>
      </c>
      <c r="C1176">
        <v>0</v>
      </c>
      <c r="D1176">
        <v>2690.11</v>
      </c>
      <c r="E1176" s="6" t="s">
        <v>7</v>
      </c>
      <c r="F1176" s="6" t="s">
        <v>7</v>
      </c>
      <c r="G1176" s="6" t="s">
        <v>16</v>
      </c>
    </row>
    <row r="1177" spans="1:7" x14ac:dyDescent="0.35">
      <c r="A1177" s="6" t="s">
        <v>299</v>
      </c>
      <c r="B1177" s="7">
        <v>34609</v>
      </c>
      <c r="C1177">
        <v>0</v>
      </c>
      <c r="D1177">
        <v>2689.5</v>
      </c>
      <c r="E1177" s="6" t="s">
        <v>8</v>
      </c>
      <c r="F1177" s="6" t="s">
        <v>7</v>
      </c>
      <c r="G1177" s="6" t="s">
        <v>9</v>
      </c>
    </row>
    <row r="1178" spans="1:7" x14ac:dyDescent="0.35">
      <c r="A1178" s="6" t="s">
        <v>298</v>
      </c>
      <c r="B1178" s="7">
        <v>34594</v>
      </c>
      <c r="C1178">
        <v>0</v>
      </c>
      <c r="D1178">
        <v>2684.69</v>
      </c>
      <c r="E1178" s="6" t="s">
        <v>7</v>
      </c>
      <c r="F1178" s="6" t="s">
        <v>7</v>
      </c>
      <c r="G1178" s="6" t="s">
        <v>9</v>
      </c>
    </row>
    <row r="1179" spans="1:7" x14ac:dyDescent="0.35">
      <c r="A1179" s="6" t="s">
        <v>2157</v>
      </c>
      <c r="B1179" s="7">
        <v>33773</v>
      </c>
      <c r="C1179">
        <v>0</v>
      </c>
      <c r="D1179">
        <v>35883.269999999997</v>
      </c>
      <c r="E1179" s="6" t="s">
        <v>7</v>
      </c>
      <c r="F1179" s="6" t="s">
        <v>11</v>
      </c>
      <c r="G1179" s="6" t="s">
        <v>32</v>
      </c>
    </row>
    <row r="1180" spans="1:7" x14ac:dyDescent="0.35">
      <c r="A1180" s="6" t="s">
        <v>297</v>
      </c>
      <c r="B1180" s="7">
        <v>35282</v>
      </c>
      <c r="C1180">
        <v>0</v>
      </c>
      <c r="D1180">
        <v>2680.95</v>
      </c>
      <c r="E1180" s="6" t="s">
        <v>8</v>
      </c>
      <c r="F1180" s="6" t="s">
        <v>7</v>
      </c>
      <c r="G1180" s="6" t="s">
        <v>16</v>
      </c>
    </row>
    <row r="1181" spans="1:7" x14ac:dyDescent="0.35">
      <c r="A1181" s="6" t="s">
        <v>296</v>
      </c>
      <c r="B1181" s="7">
        <v>36869</v>
      </c>
      <c r="C1181">
        <v>1</v>
      </c>
      <c r="D1181">
        <v>2643.27</v>
      </c>
      <c r="E1181" s="6" t="s">
        <v>7</v>
      </c>
      <c r="F1181" s="6" t="s">
        <v>11</v>
      </c>
      <c r="G1181" s="6" t="s">
        <v>16</v>
      </c>
    </row>
    <row r="1182" spans="1:7" x14ac:dyDescent="0.35">
      <c r="A1182" s="6" t="s">
        <v>295</v>
      </c>
      <c r="B1182" s="7">
        <v>36701</v>
      </c>
      <c r="C1182">
        <v>1</v>
      </c>
      <c r="D1182">
        <v>2639.04</v>
      </c>
      <c r="E1182" s="6" t="s">
        <v>7</v>
      </c>
      <c r="F1182" s="6" t="s">
        <v>7</v>
      </c>
      <c r="G1182" s="6" t="s">
        <v>16</v>
      </c>
    </row>
    <row r="1183" spans="1:7" x14ac:dyDescent="0.35">
      <c r="A1183" s="6" t="s">
        <v>294</v>
      </c>
      <c r="B1183" s="7">
        <v>35668</v>
      </c>
      <c r="C1183">
        <v>0</v>
      </c>
      <c r="D1183">
        <v>2632.99</v>
      </c>
      <c r="E1183" s="6" t="s">
        <v>7</v>
      </c>
      <c r="F1183" s="6" t="s">
        <v>11</v>
      </c>
      <c r="G1183" s="6" t="s">
        <v>32</v>
      </c>
    </row>
    <row r="1184" spans="1:7" x14ac:dyDescent="0.35">
      <c r="A1184" s="6" t="s">
        <v>293</v>
      </c>
      <c r="B1184" s="7">
        <v>37129</v>
      </c>
      <c r="C1184">
        <v>1</v>
      </c>
      <c r="D1184">
        <v>2597.7800000000002</v>
      </c>
      <c r="E1184" s="6" t="s">
        <v>7</v>
      </c>
      <c r="F1184" s="6" t="s">
        <v>11</v>
      </c>
      <c r="G1184" s="6" t="s">
        <v>32</v>
      </c>
    </row>
    <row r="1185" spans="1:7" x14ac:dyDescent="0.35">
      <c r="A1185" s="6" t="s">
        <v>292</v>
      </c>
      <c r="B1185" s="7">
        <v>37100</v>
      </c>
      <c r="C1185">
        <v>0</v>
      </c>
      <c r="D1185">
        <v>2585.85</v>
      </c>
      <c r="E1185" s="6" t="s">
        <v>7</v>
      </c>
      <c r="F1185" s="6" t="s">
        <v>7</v>
      </c>
      <c r="G1185" s="6" t="s">
        <v>237</v>
      </c>
    </row>
    <row r="1186" spans="1:7" x14ac:dyDescent="0.35">
      <c r="A1186" s="6" t="s">
        <v>291</v>
      </c>
      <c r="B1186" s="7">
        <v>37179</v>
      </c>
      <c r="C1186">
        <v>1</v>
      </c>
      <c r="D1186">
        <v>2585.27</v>
      </c>
      <c r="E1186" s="6" t="s">
        <v>7</v>
      </c>
      <c r="F1186" s="6" t="s">
        <v>8</v>
      </c>
      <c r="G1186" s="6" t="s">
        <v>32</v>
      </c>
    </row>
    <row r="1187" spans="1:7" x14ac:dyDescent="0.35">
      <c r="A1187" s="6" t="s">
        <v>289</v>
      </c>
      <c r="B1187" s="7">
        <v>37457</v>
      </c>
      <c r="C1187">
        <v>0</v>
      </c>
      <c r="D1187">
        <v>2585.04</v>
      </c>
      <c r="E1187" s="6" t="s">
        <v>7</v>
      </c>
      <c r="F1187" s="6" t="s">
        <v>7</v>
      </c>
      <c r="G1187" s="6" t="s">
        <v>290</v>
      </c>
    </row>
    <row r="1188" spans="1:7" x14ac:dyDescent="0.35">
      <c r="A1188" s="6" t="s">
        <v>288</v>
      </c>
      <c r="B1188" s="7">
        <v>37540</v>
      </c>
      <c r="C1188">
        <v>2</v>
      </c>
      <c r="D1188">
        <v>2566.4699999999998</v>
      </c>
      <c r="E1188" s="6" t="s">
        <v>7</v>
      </c>
      <c r="F1188" s="6" t="s">
        <v>8</v>
      </c>
      <c r="G1188" s="6" t="s">
        <v>9</v>
      </c>
    </row>
    <row r="1189" spans="1:7" x14ac:dyDescent="0.35">
      <c r="A1189" s="6" t="s">
        <v>287</v>
      </c>
      <c r="B1189" s="7">
        <v>33559</v>
      </c>
      <c r="C1189">
        <v>3</v>
      </c>
      <c r="D1189">
        <v>2545.6799999999998</v>
      </c>
      <c r="E1189" s="6" t="s">
        <v>7</v>
      </c>
      <c r="F1189" s="6" t="s">
        <v>11</v>
      </c>
      <c r="G1189" s="6" t="s">
        <v>9</v>
      </c>
    </row>
    <row r="1190" spans="1:7" x14ac:dyDescent="0.35">
      <c r="A1190" s="6" t="s">
        <v>2156</v>
      </c>
      <c r="B1190" s="7">
        <v>28037</v>
      </c>
      <c r="C1190">
        <v>2</v>
      </c>
      <c r="D1190">
        <v>35733.96</v>
      </c>
      <c r="E1190" s="6" t="s">
        <v>7</v>
      </c>
      <c r="F1190" s="6" t="s">
        <v>7</v>
      </c>
      <c r="G1190" s="6" t="s">
        <v>32</v>
      </c>
    </row>
    <row r="1191" spans="1:7" x14ac:dyDescent="0.35">
      <c r="A1191" s="6" t="s">
        <v>286</v>
      </c>
      <c r="B1191" s="7">
        <v>33147</v>
      </c>
      <c r="C1191">
        <v>3</v>
      </c>
      <c r="D1191">
        <v>2540.39</v>
      </c>
      <c r="E1191" s="6" t="s">
        <v>7</v>
      </c>
      <c r="F1191" s="6" t="s">
        <v>7</v>
      </c>
      <c r="G1191" s="6" t="s">
        <v>9</v>
      </c>
    </row>
    <row r="1192" spans="1:7" x14ac:dyDescent="0.35">
      <c r="A1192" s="6" t="s">
        <v>285</v>
      </c>
      <c r="B1192" s="7">
        <v>35639</v>
      </c>
      <c r="C1192">
        <v>0</v>
      </c>
      <c r="D1192">
        <v>2534.39</v>
      </c>
      <c r="E1192" s="6" t="s">
        <v>8</v>
      </c>
      <c r="F1192" s="6" t="s">
        <v>8</v>
      </c>
      <c r="G1192" s="6" t="s">
        <v>16</v>
      </c>
    </row>
    <row r="1193" spans="1:7" x14ac:dyDescent="0.35">
      <c r="A1193" s="6" t="s">
        <v>284</v>
      </c>
      <c r="B1193" s="7">
        <v>36763</v>
      </c>
      <c r="C1193">
        <v>0</v>
      </c>
      <c r="D1193">
        <v>2527.8200000000002</v>
      </c>
      <c r="E1193" s="6" t="s">
        <v>7</v>
      </c>
      <c r="F1193" s="6" t="s">
        <v>8</v>
      </c>
      <c r="G1193" s="6" t="s">
        <v>16</v>
      </c>
    </row>
    <row r="1194" spans="1:7" x14ac:dyDescent="0.35">
      <c r="A1194" s="6" t="s">
        <v>283</v>
      </c>
      <c r="B1194" s="7">
        <v>35736</v>
      </c>
      <c r="C1194">
        <v>0</v>
      </c>
      <c r="D1194">
        <v>2523.17</v>
      </c>
      <c r="E1194" s="6" t="s">
        <v>8</v>
      </c>
      <c r="F1194" s="6" t="s">
        <v>11</v>
      </c>
      <c r="G1194" s="6" t="s">
        <v>16</v>
      </c>
    </row>
    <row r="1195" spans="1:7" x14ac:dyDescent="0.35">
      <c r="A1195" s="6" t="s">
        <v>282</v>
      </c>
      <c r="B1195" s="7">
        <v>33455</v>
      </c>
      <c r="C1195">
        <v>3</v>
      </c>
      <c r="D1195">
        <v>2510.79</v>
      </c>
      <c r="E1195" s="6" t="s">
        <v>7</v>
      </c>
      <c r="F1195" s="6" t="s">
        <v>11</v>
      </c>
      <c r="G1195" s="6" t="s">
        <v>9</v>
      </c>
    </row>
    <row r="1196" spans="1:7" x14ac:dyDescent="0.35">
      <c r="A1196" s="6" t="s">
        <v>281</v>
      </c>
      <c r="B1196" s="7">
        <v>38236</v>
      </c>
      <c r="C1196">
        <v>0</v>
      </c>
      <c r="D1196">
        <v>2500.9299999999998</v>
      </c>
      <c r="E1196" s="6" t="s">
        <v>7</v>
      </c>
      <c r="F1196" s="6" t="s">
        <v>7</v>
      </c>
      <c r="G1196" s="6" t="s">
        <v>16</v>
      </c>
    </row>
    <row r="1197" spans="1:7" x14ac:dyDescent="0.35">
      <c r="A1197" s="6" t="s">
        <v>280</v>
      </c>
      <c r="B1197" s="7">
        <v>34987</v>
      </c>
      <c r="C1197">
        <v>0</v>
      </c>
      <c r="D1197">
        <v>2498.41</v>
      </c>
      <c r="E1197" s="6" t="s">
        <v>8</v>
      </c>
      <c r="F1197" s="6" t="s">
        <v>8</v>
      </c>
      <c r="G1197" s="6" t="s">
        <v>9</v>
      </c>
    </row>
    <row r="1198" spans="1:7" x14ac:dyDescent="0.35">
      <c r="A1198" s="6" t="s">
        <v>279</v>
      </c>
      <c r="B1198" s="7">
        <v>34889</v>
      </c>
      <c r="C1198">
        <v>0</v>
      </c>
      <c r="D1198">
        <v>2497.04</v>
      </c>
      <c r="E1198" s="6" t="s">
        <v>8</v>
      </c>
      <c r="F1198" s="6" t="s">
        <v>8</v>
      </c>
      <c r="G1198" s="6" t="s">
        <v>9</v>
      </c>
    </row>
    <row r="1199" spans="1:7" x14ac:dyDescent="0.35">
      <c r="A1199" s="6" t="s">
        <v>278</v>
      </c>
      <c r="B1199" s="7">
        <v>34986</v>
      </c>
      <c r="C1199">
        <v>0</v>
      </c>
      <c r="D1199">
        <v>2494.02</v>
      </c>
      <c r="E1199" s="6" t="s">
        <v>8</v>
      </c>
      <c r="F1199" s="6" t="s">
        <v>11</v>
      </c>
      <c r="G1199" s="6" t="s">
        <v>32</v>
      </c>
    </row>
    <row r="1200" spans="1:7" x14ac:dyDescent="0.35">
      <c r="A1200" s="6" t="s">
        <v>277</v>
      </c>
      <c r="B1200" s="7">
        <v>35009</v>
      </c>
      <c r="C1200">
        <v>0</v>
      </c>
      <c r="D1200">
        <v>2483.7399999999998</v>
      </c>
      <c r="E1200" s="6" t="s">
        <v>8</v>
      </c>
      <c r="F1200" s="6" t="s">
        <v>7</v>
      </c>
      <c r="G1200" s="6" t="s">
        <v>9</v>
      </c>
    </row>
    <row r="1201" spans="1:7" x14ac:dyDescent="0.35">
      <c r="A1201" s="6" t="s">
        <v>2155</v>
      </c>
      <c r="B1201" s="7">
        <v>27225</v>
      </c>
      <c r="C1201">
        <v>0</v>
      </c>
      <c r="D1201">
        <v>35711.39</v>
      </c>
      <c r="E1201" s="6" t="s">
        <v>7</v>
      </c>
      <c r="F1201" s="6" t="s">
        <v>8</v>
      </c>
      <c r="G1201" s="6" t="s">
        <v>16</v>
      </c>
    </row>
    <row r="1202" spans="1:7" x14ac:dyDescent="0.35">
      <c r="A1202" s="6" t="s">
        <v>276</v>
      </c>
      <c r="B1202" s="7">
        <v>35966</v>
      </c>
      <c r="C1202">
        <v>0</v>
      </c>
      <c r="D1202">
        <v>2480.98</v>
      </c>
      <c r="E1202" s="6" t="s">
        <v>7</v>
      </c>
      <c r="F1202" s="6" t="s">
        <v>7</v>
      </c>
      <c r="G1202" s="6" t="s">
        <v>9</v>
      </c>
    </row>
    <row r="1203" spans="1:7" x14ac:dyDescent="0.35">
      <c r="A1203" s="6" t="s">
        <v>275</v>
      </c>
      <c r="B1203" s="7">
        <v>35978</v>
      </c>
      <c r="C1203">
        <v>0</v>
      </c>
      <c r="D1203">
        <v>2473.33</v>
      </c>
      <c r="E1203" s="6" t="s">
        <v>7</v>
      </c>
      <c r="F1203" s="6" t="s">
        <v>8</v>
      </c>
      <c r="G1203" s="6" t="s">
        <v>9</v>
      </c>
    </row>
    <row r="1204" spans="1:7" x14ac:dyDescent="0.35">
      <c r="A1204" s="6" t="s">
        <v>274</v>
      </c>
      <c r="B1204" s="7">
        <v>36024</v>
      </c>
      <c r="C1204">
        <v>0</v>
      </c>
      <c r="D1204">
        <v>2464.62</v>
      </c>
      <c r="E1204" s="6" t="s">
        <v>7</v>
      </c>
      <c r="F1204" s="6" t="s">
        <v>8</v>
      </c>
      <c r="G1204" s="6" t="s">
        <v>9</v>
      </c>
    </row>
    <row r="1205" spans="1:7" x14ac:dyDescent="0.35">
      <c r="A1205" s="6" t="s">
        <v>273</v>
      </c>
      <c r="B1205" s="7">
        <v>37448</v>
      </c>
      <c r="C1205">
        <v>0</v>
      </c>
      <c r="D1205">
        <v>2459.7199999999998</v>
      </c>
      <c r="E1205" s="6" t="s">
        <v>7</v>
      </c>
      <c r="F1205" s="6" t="s">
        <v>7</v>
      </c>
      <c r="G1205" s="6" t="s">
        <v>237</v>
      </c>
    </row>
    <row r="1206" spans="1:7" x14ac:dyDescent="0.35">
      <c r="A1206" s="6" t="s">
        <v>272</v>
      </c>
      <c r="B1206" s="7">
        <v>36118</v>
      </c>
      <c r="C1206">
        <v>0</v>
      </c>
      <c r="D1206">
        <v>2457.5</v>
      </c>
      <c r="E1206" s="6" t="s">
        <v>7</v>
      </c>
      <c r="F1206" s="6" t="s">
        <v>11</v>
      </c>
      <c r="G1206" s="6" t="s">
        <v>32</v>
      </c>
    </row>
    <row r="1207" spans="1:7" x14ac:dyDescent="0.35">
      <c r="A1207" s="6" t="s">
        <v>271</v>
      </c>
      <c r="B1207" s="7">
        <v>37466</v>
      </c>
      <c r="C1207">
        <v>0</v>
      </c>
      <c r="D1207">
        <v>2457.21</v>
      </c>
      <c r="E1207" s="6" t="s">
        <v>7</v>
      </c>
      <c r="F1207" s="6" t="s">
        <v>11</v>
      </c>
      <c r="G1207" s="6" t="s">
        <v>237</v>
      </c>
    </row>
    <row r="1208" spans="1:7" x14ac:dyDescent="0.35">
      <c r="A1208" s="6" t="s">
        <v>270</v>
      </c>
      <c r="B1208" s="7">
        <v>36485</v>
      </c>
      <c r="C1208">
        <v>1</v>
      </c>
      <c r="D1208">
        <v>2438.06</v>
      </c>
      <c r="E1208" s="6" t="s">
        <v>7</v>
      </c>
      <c r="F1208" s="6" t="s">
        <v>7</v>
      </c>
      <c r="G1208" s="6" t="s">
        <v>9</v>
      </c>
    </row>
    <row r="1209" spans="1:7" x14ac:dyDescent="0.35">
      <c r="A1209" s="6" t="s">
        <v>269</v>
      </c>
      <c r="B1209" s="7">
        <v>36476</v>
      </c>
      <c r="C1209">
        <v>1</v>
      </c>
      <c r="D1209">
        <v>2416.96</v>
      </c>
      <c r="E1209" s="6" t="s">
        <v>7</v>
      </c>
      <c r="F1209" s="6" t="s">
        <v>7</v>
      </c>
      <c r="G1209" s="6" t="s">
        <v>32</v>
      </c>
    </row>
    <row r="1210" spans="1:7" x14ac:dyDescent="0.35">
      <c r="A1210" s="6" t="s">
        <v>268</v>
      </c>
      <c r="B1210" s="7">
        <v>37045</v>
      </c>
      <c r="C1210">
        <v>0</v>
      </c>
      <c r="D1210">
        <v>2404.73</v>
      </c>
      <c r="E1210" s="6" t="s">
        <v>7</v>
      </c>
      <c r="F1210" s="6" t="s">
        <v>8</v>
      </c>
      <c r="G1210" s="6" t="s">
        <v>16</v>
      </c>
    </row>
    <row r="1211" spans="1:7" x14ac:dyDescent="0.35">
      <c r="A1211" s="6" t="s">
        <v>267</v>
      </c>
      <c r="B1211" s="7">
        <v>36382</v>
      </c>
      <c r="C1211">
        <v>0</v>
      </c>
      <c r="D1211">
        <v>2396.1</v>
      </c>
      <c r="E1211" s="6" t="s">
        <v>7</v>
      </c>
      <c r="F1211" s="6" t="s">
        <v>11</v>
      </c>
      <c r="G1211" s="6" t="s">
        <v>156</v>
      </c>
    </row>
    <row r="1212" spans="1:7" x14ac:dyDescent="0.35">
      <c r="A1212" s="6" t="s">
        <v>2154</v>
      </c>
      <c r="B1212" s="7">
        <v>28843</v>
      </c>
      <c r="C1212">
        <v>2</v>
      </c>
      <c r="D1212">
        <v>35701.9</v>
      </c>
      <c r="E1212" s="6" t="s">
        <v>7</v>
      </c>
      <c r="F1212" s="6" t="s">
        <v>11</v>
      </c>
      <c r="G1212" s="6" t="s">
        <v>32</v>
      </c>
    </row>
    <row r="1213" spans="1:7" x14ac:dyDescent="0.35">
      <c r="A1213" s="6" t="s">
        <v>265</v>
      </c>
      <c r="B1213" s="7">
        <v>36511</v>
      </c>
      <c r="C1213">
        <v>0</v>
      </c>
      <c r="D1213">
        <v>2395.17</v>
      </c>
      <c r="E1213" s="6" t="s">
        <v>7</v>
      </c>
      <c r="F1213" s="6" t="s">
        <v>11</v>
      </c>
      <c r="G1213" s="6" t="s">
        <v>266</v>
      </c>
    </row>
    <row r="1214" spans="1:7" x14ac:dyDescent="0.35">
      <c r="A1214" s="6" t="s">
        <v>264</v>
      </c>
      <c r="B1214" s="7">
        <v>32489</v>
      </c>
      <c r="C1214">
        <v>3</v>
      </c>
      <c r="D1214">
        <v>2373.3000000000002</v>
      </c>
      <c r="E1214" s="6" t="s">
        <v>7</v>
      </c>
      <c r="F1214" s="6" t="s">
        <v>7</v>
      </c>
      <c r="G1214" s="6" t="s">
        <v>9</v>
      </c>
    </row>
    <row r="1215" spans="1:7" x14ac:dyDescent="0.35">
      <c r="A1215" s="6" t="s">
        <v>263</v>
      </c>
      <c r="B1215" s="7">
        <v>37565</v>
      </c>
      <c r="C1215">
        <v>1</v>
      </c>
      <c r="D1215">
        <v>2362.23</v>
      </c>
      <c r="E1215" s="6" t="s">
        <v>7</v>
      </c>
      <c r="F1215" s="6" t="s">
        <v>11</v>
      </c>
      <c r="G1215" s="6" t="s">
        <v>16</v>
      </c>
    </row>
    <row r="1216" spans="1:7" x14ac:dyDescent="0.35">
      <c r="A1216" s="6" t="s">
        <v>262</v>
      </c>
      <c r="B1216" s="7">
        <v>36089</v>
      </c>
      <c r="C1216">
        <v>0</v>
      </c>
      <c r="D1216">
        <v>2352.9699999999998</v>
      </c>
      <c r="E1216" s="6" t="s">
        <v>8</v>
      </c>
      <c r="F1216" s="6" t="s">
        <v>8</v>
      </c>
      <c r="G1216" s="6" t="s">
        <v>16</v>
      </c>
    </row>
    <row r="1217" spans="1:7" x14ac:dyDescent="0.35">
      <c r="A1217" s="6" t="s">
        <v>261</v>
      </c>
      <c r="B1217" s="7">
        <v>37943</v>
      </c>
      <c r="C1217">
        <v>1</v>
      </c>
      <c r="D1217">
        <v>2331.52</v>
      </c>
      <c r="E1217" s="6" t="s">
        <v>7</v>
      </c>
      <c r="F1217" s="6" t="s">
        <v>8</v>
      </c>
      <c r="G1217" s="6" t="s">
        <v>32</v>
      </c>
    </row>
    <row r="1218" spans="1:7" x14ac:dyDescent="0.35">
      <c r="A1218" s="6" t="s">
        <v>260</v>
      </c>
      <c r="B1218" s="7">
        <v>35416</v>
      </c>
      <c r="C1218">
        <v>0</v>
      </c>
      <c r="D1218">
        <v>2322.62</v>
      </c>
      <c r="E1218" s="6" t="s">
        <v>7</v>
      </c>
      <c r="F1218" s="6" t="s">
        <v>11</v>
      </c>
      <c r="G1218" s="6" t="s">
        <v>9</v>
      </c>
    </row>
    <row r="1219" spans="1:7" x14ac:dyDescent="0.35">
      <c r="A1219" s="6" t="s">
        <v>259</v>
      </c>
      <c r="B1219" s="7">
        <v>38236</v>
      </c>
      <c r="C1219">
        <v>2</v>
      </c>
      <c r="D1219">
        <v>2304</v>
      </c>
      <c r="E1219" s="6" t="s">
        <v>7</v>
      </c>
      <c r="F1219" s="6" t="s">
        <v>8</v>
      </c>
      <c r="G1219" s="6" t="s">
        <v>9</v>
      </c>
    </row>
    <row r="1220" spans="1:7" x14ac:dyDescent="0.35">
      <c r="A1220" s="6" t="s">
        <v>258</v>
      </c>
      <c r="B1220" s="7">
        <v>35397</v>
      </c>
      <c r="C1220">
        <v>0</v>
      </c>
      <c r="D1220">
        <v>2302.3000000000002</v>
      </c>
      <c r="E1220" s="6" t="s">
        <v>11</v>
      </c>
      <c r="F1220" s="6" t="s">
        <v>7</v>
      </c>
      <c r="G1220" s="6" t="s">
        <v>32</v>
      </c>
    </row>
    <row r="1221" spans="1:7" x14ac:dyDescent="0.35">
      <c r="A1221" s="6" t="s">
        <v>257</v>
      </c>
      <c r="B1221" s="7">
        <v>32786</v>
      </c>
      <c r="C1221">
        <v>3</v>
      </c>
      <c r="D1221">
        <v>2295.2399999999998</v>
      </c>
      <c r="E1221" s="6" t="s">
        <v>7</v>
      </c>
      <c r="F1221" s="6" t="s">
        <v>11</v>
      </c>
      <c r="G1221" s="6" t="s">
        <v>9</v>
      </c>
    </row>
    <row r="1222" spans="1:7" x14ac:dyDescent="0.35">
      <c r="A1222" s="6" t="s">
        <v>256</v>
      </c>
      <c r="B1222" s="7">
        <v>33405</v>
      </c>
      <c r="C1222">
        <v>3</v>
      </c>
      <c r="D1222">
        <v>2277.7199999999998</v>
      </c>
      <c r="E1222" s="6" t="s">
        <v>7</v>
      </c>
      <c r="F1222" s="6" t="s">
        <v>11</v>
      </c>
      <c r="G1222" s="6" t="s">
        <v>9</v>
      </c>
    </row>
    <row r="1223" spans="1:7" x14ac:dyDescent="0.35">
      <c r="A1223" s="6" t="s">
        <v>2342</v>
      </c>
      <c r="B1223" s="7">
        <v>22445</v>
      </c>
      <c r="C1223">
        <v>1</v>
      </c>
      <c r="D1223">
        <v>47403.88</v>
      </c>
      <c r="E1223" s="6" t="s">
        <v>11</v>
      </c>
      <c r="F1223" s="6" t="s">
        <v>8</v>
      </c>
      <c r="G1223" s="6" t="s">
        <v>32</v>
      </c>
    </row>
    <row r="1224" spans="1:7" x14ac:dyDescent="0.35">
      <c r="A1224" s="6" t="s">
        <v>2153</v>
      </c>
      <c r="B1224" s="7">
        <v>36877</v>
      </c>
      <c r="C1224">
        <v>3</v>
      </c>
      <c r="D1224">
        <v>35595.589999999997</v>
      </c>
      <c r="E1224" s="6" t="s">
        <v>7</v>
      </c>
      <c r="F1224" s="6" t="s">
        <v>8</v>
      </c>
      <c r="G1224" s="6" t="s">
        <v>9</v>
      </c>
    </row>
    <row r="1225" spans="1:7" x14ac:dyDescent="0.35">
      <c r="A1225" s="6" t="s">
        <v>255</v>
      </c>
      <c r="B1225" s="7">
        <v>37572</v>
      </c>
      <c r="C1225">
        <v>0</v>
      </c>
      <c r="D1225">
        <v>2261.5700000000002</v>
      </c>
      <c r="E1225" s="6" t="s">
        <v>7</v>
      </c>
      <c r="F1225" s="6" t="s">
        <v>11</v>
      </c>
      <c r="G1225" s="6" t="s">
        <v>16</v>
      </c>
    </row>
    <row r="1226" spans="1:7" x14ac:dyDescent="0.35">
      <c r="A1226" s="6" t="s">
        <v>254</v>
      </c>
      <c r="B1226" s="7">
        <v>37452</v>
      </c>
      <c r="C1226">
        <v>0</v>
      </c>
      <c r="D1226">
        <v>2257.48</v>
      </c>
      <c r="E1226" s="6" t="s">
        <v>7</v>
      </c>
      <c r="F1226" s="6" t="s">
        <v>11</v>
      </c>
      <c r="G1226" s="6" t="s">
        <v>16</v>
      </c>
    </row>
    <row r="1227" spans="1:7" x14ac:dyDescent="0.35">
      <c r="A1227" s="6" t="s">
        <v>253</v>
      </c>
      <c r="B1227" s="7">
        <v>36871</v>
      </c>
      <c r="C1227">
        <v>0</v>
      </c>
      <c r="D1227">
        <v>2254.8000000000002</v>
      </c>
      <c r="E1227" s="6" t="s">
        <v>7</v>
      </c>
      <c r="F1227" s="6" t="s">
        <v>8</v>
      </c>
      <c r="G1227" s="6" t="s">
        <v>158</v>
      </c>
    </row>
    <row r="1228" spans="1:7" x14ac:dyDescent="0.35">
      <c r="A1228" s="6" t="s">
        <v>252</v>
      </c>
      <c r="B1228" s="7">
        <v>36707</v>
      </c>
      <c r="C1228">
        <v>0</v>
      </c>
      <c r="D1228">
        <v>2250.84</v>
      </c>
      <c r="E1228" s="6" t="s">
        <v>7</v>
      </c>
      <c r="F1228" s="6" t="s">
        <v>7</v>
      </c>
      <c r="G1228" s="6" t="s">
        <v>160</v>
      </c>
    </row>
    <row r="1229" spans="1:7" x14ac:dyDescent="0.35">
      <c r="A1229" s="6" t="s">
        <v>251</v>
      </c>
      <c r="B1229" s="7">
        <v>37965</v>
      </c>
      <c r="C1229">
        <v>1</v>
      </c>
      <c r="D1229">
        <v>2221.56</v>
      </c>
      <c r="E1229" s="6" t="s">
        <v>7</v>
      </c>
      <c r="F1229" s="6" t="s">
        <v>8</v>
      </c>
      <c r="G1229" s="6" t="s">
        <v>16</v>
      </c>
    </row>
    <row r="1230" spans="1:7" x14ac:dyDescent="0.35">
      <c r="A1230" s="6" t="s">
        <v>250</v>
      </c>
      <c r="B1230" s="7">
        <v>38333</v>
      </c>
      <c r="C1230">
        <v>1</v>
      </c>
      <c r="D1230">
        <v>2219.4499999999998</v>
      </c>
      <c r="E1230" s="6" t="s">
        <v>7</v>
      </c>
      <c r="F1230" s="6" t="s">
        <v>11</v>
      </c>
      <c r="G1230" s="6" t="s">
        <v>9</v>
      </c>
    </row>
    <row r="1231" spans="1:7" x14ac:dyDescent="0.35">
      <c r="A1231" s="6" t="s">
        <v>249</v>
      </c>
      <c r="B1231" s="7">
        <v>38255</v>
      </c>
      <c r="C1231">
        <v>0</v>
      </c>
      <c r="D1231">
        <v>2217.6</v>
      </c>
      <c r="E1231" s="6" t="s">
        <v>7</v>
      </c>
      <c r="F1231" s="6" t="s">
        <v>11</v>
      </c>
      <c r="G1231" s="6" t="s">
        <v>237</v>
      </c>
    </row>
    <row r="1232" spans="1:7" x14ac:dyDescent="0.35">
      <c r="A1232" s="6" t="s">
        <v>248</v>
      </c>
      <c r="B1232" s="7">
        <v>38151</v>
      </c>
      <c r="C1232">
        <v>0</v>
      </c>
      <c r="D1232">
        <v>2217.4699999999998</v>
      </c>
      <c r="E1232" s="6" t="s">
        <v>7</v>
      </c>
      <c r="F1232" s="6" t="s">
        <v>11</v>
      </c>
      <c r="G1232" s="6" t="s">
        <v>237</v>
      </c>
    </row>
    <row r="1233" spans="1:7" x14ac:dyDescent="0.35">
      <c r="A1233" s="6" t="s">
        <v>247</v>
      </c>
      <c r="B1233" s="7">
        <v>34655</v>
      </c>
      <c r="C1233">
        <v>0</v>
      </c>
      <c r="D1233">
        <v>2213.21</v>
      </c>
      <c r="E1233" s="6" t="s">
        <v>7</v>
      </c>
      <c r="F1233" s="6" t="s">
        <v>7</v>
      </c>
      <c r="G1233" s="6" t="s">
        <v>9</v>
      </c>
    </row>
    <row r="1234" spans="1:7" x14ac:dyDescent="0.35">
      <c r="A1234" s="6" t="s">
        <v>246</v>
      </c>
      <c r="B1234" s="7">
        <v>38195</v>
      </c>
      <c r="C1234">
        <v>0</v>
      </c>
      <c r="D1234">
        <v>2211.13</v>
      </c>
      <c r="E1234" s="6" t="s">
        <v>7</v>
      </c>
      <c r="F1234" s="6" t="s">
        <v>7</v>
      </c>
      <c r="G1234" s="6" t="s">
        <v>237</v>
      </c>
    </row>
    <row r="1235" spans="1:7" x14ac:dyDescent="0.35">
      <c r="A1235" s="6" t="s">
        <v>2152</v>
      </c>
      <c r="B1235" s="7">
        <v>36849</v>
      </c>
      <c r="C1235">
        <v>0</v>
      </c>
      <c r="D1235">
        <v>35585.58</v>
      </c>
      <c r="E1235" s="6" t="s">
        <v>7</v>
      </c>
      <c r="F1235" s="6" t="s">
        <v>8</v>
      </c>
      <c r="G1235" s="6" t="s">
        <v>32</v>
      </c>
    </row>
    <row r="1236" spans="1:7" x14ac:dyDescent="0.35">
      <c r="A1236" s="6" t="s">
        <v>245</v>
      </c>
      <c r="B1236" s="7">
        <v>38205</v>
      </c>
      <c r="C1236">
        <v>0</v>
      </c>
      <c r="D1236">
        <v>2207.6999999999998</v>
      </c>
      <c r="E1236" s="6" t="s">
        <v>7</v>
      </c>
      <c r="F1236" s="6" t="s">
        <v>7</v>
      </c>
      <c r="G1236" s="6" t="s">
        <v>237</v>
      </c>
    </row>
    <row r="1237" spans="1:7" x14ac:dyDescent="0.35">
      <c r="A1237" s="6" t="s">
        <v>244</v>
      </c>
      <c r="B1237" s="7">
        <v>38304</v>
      </c>
      <c r="C1237">
        <v>0</v>
      </c>
      <c r="D1237">
        <v>2205.98</v>
      </c>
      <c r="E1237" s="6" t="s">
        <v>7</v>
      </c>
      <c r="F1237" s="6" t="s">
        <v>8</v>
      </c>
      <c r="G1237" s="6" t="s">
        <v>237</v>
      </c>
    </row>
    <row r="1238" spans="1:7" x14ac:dyDescent="0.35">
      <c r="A1238" s="6" t="s">
        <v>243</v>
      </c>
      <c r="B1238" s="7">
        <v>38288</v>
      </c>
      <c r="C1238">
        <v>0</v>
      </c>
      <c r="D1238">
        <v>2203.7399999999998</v>
      </c>
      <c r="E1238" s="6" t="s">
        <v>7</v>
      </c>
      <c r="F1238" s="6" t="s">
        <v>7</v>
      </c>
      <c r="G1238" s="6" t="s">
        <v>237</v>
      </c>
    </row>
    <row r="1239" spans="1:7" x14ac:dyDescent="0.35">
      <c r="A1239" s="6" t="s">
        <v>242</v>
      </c>
      <c r="B1239" s="7">
        <v>38205</v>
      </c>
      <c r="C1239">
        <v>0</v>
      </c>
      <c r="D1239">
        <v>2203.4699999999998</v>
      </c>
      <c r="E1239" s="6" t="s">
        <v>7</v>
      </c>
      <c r="F1239" s="6" t="s">
        <v>7</v>
      </c>
      <c r="G1239" s="6" t="s">
        <v>237</v>
      </c>
    </row>
    <row r="1240" spans="1:7" x14ac:dyDescent="0.35">
      <c r="A1240" s="6" t="s">
        <v>241</v>
      </c>
      <c r="B1240" s="7">
        <v>38195</v>
      </c>
      <c r="C1240">
        <v>1</v>
      </c>
      <c r="D1240">
        <v>2201.1</v>
      </c>
      <c r="E1240" s="6" t="s">
        <v>7</v>
      </c>
      <c r="F1240" s="6" t="s">
        <v>8</v>
      </c>
      <c r="G1240" s="6" t="s">
        <v>9</v>
      </c>
    </row>
    <row r="1241" spans="1:7" x14ac:dyDescent="0.35">
      <c r="A1241" s="6" t="s">
        <v>240</v>
      </c>
      <c r="B1241" s="7">
        <v>38242</v>
      </c>
      <c r="C1241">
        <v>0</v>
      </c>
      <c r="D1241">
        <v>2200.83</v>
      </c>
      <c r="E1241" s="6" t="s">
        <v>7</v>
      </c>
      <c r="F1241" s="6" t="s">
        <v>7</v>
      </c>
      <c r="G1241" s="6" t="s">
        <v>237</v>
      </c>
    </row>
    <row r="1242" spans="1:7" x14ac:dyDescent="0.35">
      <c r="A1242" s="6" t="s">
        <v>238</v>
      </c>
      <c r="B1242" s="7">
        <v>38233</v>
      </c>
      <c r="C1242">
        <v>0</v>
      </c>
      <c r="D1242">
        <v>2198.19</v>
      </c>
      <c r="E1242" s="6" t="s">
        <v>7</v>
      </c>
      <c r="F1242" s="6" t="s">
        <v>11</v>
      </c>
      <c r="G1242" s="6" t="s">
        <v>239</v>
      </c>
    </row>
    <row r="1243" spans="1:7" x14ac:dyDescent="0.35">
      <c r="A1243" s="6" t="s">
        <v>236</v>
      </c>
      <c r="B1243" s="7">
        <v>38328</v>
      </c>
      <c r="C1243">
        <v>0</v>
      </c>
      <c r="D1243">
        <v>2196.4699999999998</v>
      </c>
      <c r="E1243" s="6" t="s">
        <v>7</v>
      </c>
      <c r="F1243" s="6" t="s">
        <v>8</v>
      </c>
      <c r="G1243" s="6" t="s">
        <v>237</v>
      </c>
    </row>
    <row r="1244" spans="1:7" x14ac:dyDescent="0.35">
      <c r="A1244" s="6" t="s">
        <v>235</v>
      </c>
      <c r="B1244" s="7">
        <v>33588</v>
      </c>
      <c r="C1244">
        <v>3</v>
      </c>
      <c r="D1244">
        <v>2193.1999999999998</v>
      </c>
      <c r="E1244" s="6" t="s">
        <v>7</v>
      </c>
      <c r="F1244" s="6" t="s">
        <v>7</v>
      </c>
      <c r="G1244" s="6" t="s">
        <v>16</v>
      </c>
    </row>
    <row r="1245" spans="1:7" x14ac:dyDescent="0.35">
      <c r="A1245" s="6" t="s">
        <v>234</v>
      </c>
      <c r="B1245" s="7">
        <v>34604</v>
      </c>
      <c r="C1245">
        <v>0</v>
      </c>
      <c r="D1245">
        <v>2170.08</v>
      </c>
      <c r="E1245" s="6" t="s">
        <v>7</v>
      </c>
      <c r="F1245" s="6" t="s">
        <v>7</v>
      </c>
      <c r="G1245" s="6" t="s">
        <v>9</v>
      </c>
    </row>
    <row r="1246" spans="1:7" x14ac:dyDescent="0.35">
      <c r="A1246" s="6" t="s">
        <v>2151</v>
      </c>
      <c r="B1246" s="7">
        <v>26155</v>
      </c>
      <c r="C1246">
        <v>0</v>
      </c>
      <c r="D1246">
        <v>35583.17</v>
      </c>
      <c r="E1246" s="6" t="s">
        <v>11</v>
      </c>
      <c r="F1246" s="6" t="s">
        <v>8</v>
      </c>
      <c r="G1246" s="6" t="s">
        <v>32</v>
      </c>
    </row>
    <row r="1247" spans="1:7" x14ac:dyDescent="0.35">
      <c r="A1247" s="6" t="s">
        <v>233</v>
      </c>
      <c r="B1247" s="7">
        <v>36761</v>
      </c>
      <c r="C1247">
        <v>0</v>
      </c>
      <c r="D1247">
        <v>2166.73</v>
      </c>
      <c r="E1247" s="6" t="s">
        <v>7</v>
      </c>
      <c r="F1247" s="6" t="s">
        <v>7</v>
      </c>
      <c r="G1247" s="6" t="s">
        <v>32</v>
      </c>
    </row>
    <row r="1248" spans="1:7" x14ac:dyDescent="0.35">
      <c r="A1248" s="6" t="s">
        <v>232</v>
      </c>
      <c r="B1248" s="7">
        <v>36870</v>
      </c>
      <c r="C1248">
        <v>0</v>
      </c>
      <c r="D1248">
        <v>2156.75</v>
      </c>
      <c r="E1248" s="6" t="s">
        <v>7</v>
      </c>
      <c r="F1248" s="6" t="s">
        <v>7</v>
      </c>
      <c r="G1248" s="6" t="s">
        <v>9</v>
      </c>
    </row>
    <row r="1249" spans="1:7" x14ac:dyDescent="0.35">
      <c r="A1249" s="6" t="s">
        <v>231</v>
      </c>
      <c r="B1249" s="7">
        <v>36859</v>
      </c>
      <c r="C1249">
        <v>0</v>
      </c>
      <c r="D1249">
        <v>2155.6799999999998</v>
      </c>
      <c r="E1249" s="6" t="s">
        <v>7</v>
      </c>
      <c r="F1249" s="6" t="s">
        <v>8</v>
      </c>
      <c r="G1249" s="6" t="s">
        <v>9</v>
      </c>
    </row>
    <row r="1250" spans="1:7" x14ac:dyDescent="0.35">
      <c r="A1250" s="6" t="s">
        <v>230</v>
      </c>
      <c r="B1250" s="7">
        <v>36821</v>
      </c>
      <c r="C1250">
        <v>0</v>
      </c>
      <c r="D1250">
        <v>2154.36</v>
      </c>
      <c r="E1250" s="6" t="s">
        <v>7</v>
      </c>
      <c r="F1250" s="6" t="s">
        <v>7</v>
      </c>
      <c r="G1250" s="6" t="s">
        <v>32</v>
      </c>
    </row>
    <row r="1251" spans="1:7" x14ac:dyDescent="0.35">
      <c r="A1251" s="6" t="s">
        <v>229</v>
      </c>
      <c r="B1251" s="7">
        <v>36887</v>
      </c>
      <c r="C1251">
        <v>0</v>
      </c>
      <c r="D1251">
        <v>2150.4699999999998</v>
      </c>
      <c r="E1251" s="6" t="s">
        <v>7</v>
      </c>
      <c r="F1251" s="6" t="s">
        <v>8</v>
      </c>
      <c r="G1251" s="6" t="s">
        <v>32</v>
      </c>
    </row>
    <row r="1252" spans="1:7" x14ac:dyDescent="0.35">
      <c r="A1252" s="6" t="s">
        <v>228</v>
      </c>
      <c r="B1252" s="7">
        <v>38264</v>
      </c>
      <c r="C1252">
        <v>0</v>
      </c>
      <c r="D1252">
        <v>2144.85</v>
      </c>
      <c r="E1252" s="6" t="s">
        <v>7</v>
      </c>
      <c r="F1252" s="6" t="s">
        <v>11</v>
      </c>
      <c r="G1252" s="6" t="s">
        <v>32</v>
      </c>
    </row>
    <row r="1253" spans="1:7" x14ac:dyDescent="0.35">
      <c r="A1253" s="6" t="s">
        <v>227</v>
      </c>
      <c r="B1253" s="7">
        <v>37852</v>
      </c>
      <c r="C1253">
        <v>0</v>
      </c>
      <c r="D1253">
        <v>2138.0700000000002</v>
      </c>
      <c r="E1253" s="6" t="s">
        <v>7</v>
      </c>
      <c r="F1253" s="6" t="s">
        <v>11</v>
      </c>
      <c r="G1253" s="6" t="s">
        <v>16</v>
      </c>
    </row>
    <row r="1254" spans="1:7" x14ac:dyDescent="0.35">
      <c r="A1254" s="6" t="s">
        <v>226</v>
      </c>
      <c r="B1254" s="7">
        <v>35676</v>
      </c>
      <c r="C1254">
        <v>0</v>
      </c>
      <c r="D1254">
        <v>2137.65</v>
      </c>
      <c r="E1254" s="6" t="s">
        <v>8</v>
      </c>
      <c r="F1254" s="6" t="s">
        <v>11</v>
      </c>
      <c r="G1254" s="6" t="s">
        <v>9</v>
      </c>
    </row>
    <row r="1255" spans="1:7" x14ac:dyDescent="0.35">
      <c r="A1255" s="6" t="s">
        <v>225</v>
      </c>
      <c r="B1255" s="7">
        <v>37890</v>
      </c>
      <c r="C1255">
        <v>0</v>
      </c>
      <c r="D1255">
        <v>2136.88</v>
      </c>
      <c r="E1255" s="6" t="s">
        <v>7</v>
      </c>
      <c r="F1255" s="6" t="s">
        <v>7</v>
      </c>
      <c r="G1255" s="6" t="s">
        <v>16</v>
      </c>
    </row>
    <row r="1256" spans="1:7" x14ac:dyDescent="0.35">
      <c r="A1256" s="6" t="s">
        <v>224</v>
      </c>
      <c r="B1256" s="7">
        <v>37865</v>
      </c>
      <c r="C1256">
        <v>0</v>
      </c>
      <c r="D1256">
        <v>2134.9</v>
      </c>
      <c r="E1256" s="6" t="s">
        <v>7</v>
      </c>
      <c r="F1256" s="6" t="s">
        <v>8</v>
      </c>
      <c r="G1256" s="6" t="s">
        <v>16</v>
      </c>
    </row>
    <row r="1257" spans="1:7" x14ac:dyDescent="0.35">
      <c r="A1257" s="6" t="s">
        <v>2150</v>
      </c>
      <c r="B1257" s="7">
        <v>23618</v>
      </c>
      <c r="C1257">
        <v>0</v>
      </c>
      <c r="D1257">
        <v>35573.26</v>
      </c>
      <c r="E1257" s="6" t="s">
        <v>7</v>
      </c>
      <c r="F1257" s="6" t="s">
        <v>11</v>
      </c>
      <c r="G1257" s="6" t="s">
        <v>32</v>
      </c>
    </row>
    <row r="1258" spans="1:7" x14ac:dyDescent="0.35">
      <c r="A1258" s="6" t="s">
        <v>223</v>
      </c>
      <c r="B1258" s="7">
        <v>37977</v>
      </c>
      <c r="C1258">
        <v>0</v>
      </c>
      <c r="D1258">
        <v>2130.6799999999998</v>
      </c>
      <c r="E1258" s="6" t="s">
        <v>7</v>
      </c>
      <c r="F1258" s="6" t="s">
        <v>8</v>
      </c>
      <c r="G1258" s="6" t="s">
        <v>16</v>
      </c>
    </row>
    <row r="1259" spans="1:7" x14ac:dyDescent="0.35">
      <c r="A1259" s="6" t="s">
        <v>222</v>
      </c>
      <c r="B1259" s="7">
        <v>37863</v>
      </c>
      <c r="C1259">
        <v>0</v>
      </c>
      <c r="D1259">
        <v>2128.4299999999998</v>
      </c>
      <c r="E1259" s="6" t="s">
        <v>7</v>
      </c>
      <c r="F1259" s="6" t="s">
        <v>11</v>
      </c>
      <c r="G1259" s="6" t="s">
        <v>16</v>
      </c>
    </row>
    <row r="1260" spans="1:7" x14ac:dyDescent="0.35">
      <c r="A1260" s="6" t="s">
        <v>221</v>
      </c>
      <c r="B1260" s="7">
        <v>38295</v>
      </c>
      <c r="C1260">
        <v>0</v>
      </c>
      <c r="D1260">
        <v>2118.61</v>
      </c>
      <c r="E1260" s="6" t="s">
        <v>7</v>
      </c>
      <c r="F1260" s="6" t="s">
        <v>11</v>
      </c>
      <c r="G1260" s="6" t="s">
        <v>16</v>
      </c>
    </row>
    <row r="1261" spans="1:7" x14ac:dyDescent="0.35">
      <c r="A1261" s="6" t="s">
        <v>220</v>
      </c>
      <c r="B1261" s="7">
        <v>37894</v>
      </c>
      <c r="C1261">
        <v>0</v>
      </c>
      <c r="D1261">
        <v>2117.34</v>
      </c>
      <c r="E1261" s="6" t="s">
        <v>7</v>
      </c>
      <c r="F1261" s="6" t="s">
        <v>8</v>
      </c>
      <c r="G1261" s="6" t="s">
        <v>16</v>
      </c>
    </row>
    <row r="1262" spans="1:7" x14ac:dyDescent="0.35">
      <c r="A1262" s="6" t="s">
        <v>219</v>
      </c>
      <c r="B1262" s="7">
        <v>32710</v>
      </c>
      <c r="C1262">
        <v>3</v>
      </c>
      <c r="D1262">
        <v>2106.2600000000002</v>
      </c>
      <c r="E1262" s="6" t="s">
        <v>7</v>
      </c>
      <c r="F1262" s="6" t="s">
        <v>7</v>
      </c>
      <c r="G1262" s="6" t="s">
        <v>9</v>
      </c>
    </row>
    <row r="1263" spans="1:7" x14ac:dyDescent="0.35">
      <c r="A1263" s="6" t="s">
        <v>218</v>
      </c>
      <c r="B1263" s="7">
        <v>37223</v>
      </c>
      <c r="C1263">
        <v>0</v>
      </c>
      <c r="D1263">
        <v>2104.11</v>
      </c>
      <c r="E1263" s="6" t="s">
        <v>7</v>
      </c>
      <c r="F1263" s="6" t="s">
        <v>11</v>
      </c>
      <c r="G1263" s="6" t="s">
        <v>158</v>
      </c>
    </row>
    <row r="1264" spans="1:7" x14ac:dyDescent="0.35">
      <c r="A1264" s="6" t="s">
        <v>217</v>
      </c>
      <c r="B1264" s="7">
        <v>37064</v>
      </c>
      <c r="C1264">
        <v>1</v>
      </c>
      <c r="D1264">
        <v>2103.08</v>
      </c>
      <c r="E1264" s="6" t="s">
        <v>8</v>
      </c>
      <c r="F1264" s="6" t="s">
        <v>7</v>
      </c>
      <c r="G1264" s="6" t="s">
        <v>32</v>
      </c>
    </row>
    <row r="1265" spans="1:7" x14ac:dyDescent="0.35">
      <c r="A1265" s="6" t="s">
        <v>216</v>
      </c>
      <c r="B1265" s="7">
        <v>37117</v>
      </c>
      <c r="C1265">
        <v>0</v>
      </c>
      <c r="D1265">
        <v>2102.2600000000002</v>
      </c>
      <c r="E1265" s="6" t="s">
        <v>8</v>
      </c>
      <c r="F1265" s="6" t="s">
        <v>7</v>
      </c>
      <c r="G1265" s="6" t="s">
        <v>156</v>
      </c>
    </row>
    <row r="1266" spans="1:7" x14ac:dyDescent="0.35">
      <c r="A1266" s="6" t="s">
        <v>215</v>
      </c>
      <c r="B1266" s="7">
        <v>38150</v>
      </c>
      <c r="C1266">
        <v>0</v>
      </c>
      <c r="D1266">
        <v>2094.1</v>
      </c>
      <c r="E1266" s="6" t="s">
        <v>8</v>
      </c>
      <c r="F1266" s="6" t="s">
        <v>7</v>
      </c>
      <c r="G1266" s="6" t="s">
        <v>190</v>
      </c>
    </row>
    <row r="1267" spans="1:7" x14ac:dyDescent="0.35">
      <c r="A1267" s="6" t="s">
        <v>214</v>
      </c>
      <c r="B1267" s="7">
        <v>36733</v>
      </c>
      <c r="C1267">
        <v>0</v>
      </c>
      <c r="D1267">
        <v>2055.3200000000002</v>
      </c>
      <c r="E1267" s="6" t="s">
        <v>8</v>
      </c>
      <c r="F1267" s="6" t="s">
        <v>8</v>
      </c>
      <c r="G1267" s="6" t="s">
        <v>16</v>
      </c>
    </row>
    <row r="1268" spans="1:7" x14ac:dyDescent="0.35">
      <c r="A1268" s="6" t="s">
        <v>2149</v>
      </c>
      <c r="B1268" s="7">
        <v>26964</v>
      </c>
      <c r="C1268">
        <v>0</v>
      </c>
      <c r="D1268">
        <v>35547.72</v>
      </c>
      <c r="E1268" s="6" t="s">
        <v>11</v>
      </c>
      <c r="F1268" s="6" t="s">
        <v>11</v>
      </c>
      <c r="G1268" s="6" t="s">
        <v>32</v>
      </c>
    </row>
    <row r="1269" spans="1:7" x14ac:dyDescent="0.35">
      <c r="A1269" s="6" t="s">
        <v>213</v>
      </c>
      <c r="B1269" s="7">
        <v>36771</v>
      </c>
      <c r="C1269">
        <v>0</v>
      </c>
      <c r="D1269">
        <v>2045.69</v>
      </c>
      <c r="E1269" s="6" t="s">
        <v>8</v>
      </c>
      <c r="F1269" s="6" t="s">
        <v>8</v>
      </c>
      <c r="G1269" s="6" t="s">
        <v>16</v>
      </c>
    </row>
    <row r="1270" spans="1:7" x14ac:dyDescent="0.35">
      <c r="A1270" s="6" t="s">
        <v>212</v>
      </c>
      <c r="B1270" s="7">
        <v>37107</v>
      </c>
      <c r="C1270">
        <v>0</v>
      </c>
      <c r="D1270">
        <v>2026.97</v>
      </c>
      <c r="E1270" s="6" t="s">
        <v>8</v>
      </c>
      <c r="F1270" s="6" t="s">
        <v>7</v>
      </c>
      <c r="G1270" s="6" t="s">
        <v>9</v>
      </c>
    </row>
    <row r="1271" spans="1:7" x14ac:dyDescent="0.35">
      <c r="A1271" s="6" t="s">
        <v>211</v>
      </c>
      <c r="B1271" s="7">
        <v>37140</v>
      </c>
      <c r="C1271">
        <v>0</v>
      </c>
      <c r="D1271">
        <v>2020.55</v>
      </c>
      <c r="E1271" s="6" t="s">
        <v>8</v>
      </c>
      <c r="F1271" s="6" t="s">
        <v>7</v>
      </c>
      <c r="G1271" s="6" t="s">
        <v>9</v>
      </c>
    </row>
    <row r="1272" spans="1:7" x14ac:dyDescent="0.35">
      <c r="A1272" s="6" t="s">
        <v>210</v>
      </c>
      <c r="B1272" s="7">
        <v>37073</v>
      </c>
      <c r="C1272">
        <v>0</v>
      </c>
      <c r="D1272">
        <v>2020.18</v>
      </c>
      <c r="E1272" s="6" t="s">
        <v>8</v>
      </c>
      <c r="F1272" s="6" t="s">
        <v>11</v>
      </c>
      <c r="G1272" s="6" t="s">
        <v>32</v>
      </c>
    </row>
    <row r="1273" spans="1:7" x14ac:dyDescent="0.35">
      <c r="A1273" s="6" t="s">
        <v>209</v>
      </c>
      <c r="B1273" s="7">
        <v>37117</v>
      </c>
      <c r="C1273">
        <v>0</v>
      </c>
      <c r="D1273">
        <v>2007.95</v>
      </c>
      <c r="E1273" s="6" t="s">
        <v>8</v>
      </c>
      <c r="F1273" s="6" t="s">
        <v>7</v>
      </c>
      <c r="G1273" s="6" t="s">
        <v>32</v>
      </c>
    </row>
    <row r="1274" spans="1:7" x14ac:dyDescent="0.35">
      <c r="A1274" s="6" t="s">
        <v>208</v>
      </c>
      <c r="B1274" s="7">
        <v>36052</v>
      </c>
      <c r="C1274">
        <v>0</v>
      </c>
      <c r="D1274">
        <v>1986.93</v>
      </c>
      <c r="E1274" s="6" t="s">
        <v>8</v>
      </c>
      <c r="F1274" s="6" t="s">
        <v>7</v>
      </c>
      <c r="G1274" s="6" t="s">
        <v>9</v>
      </c>
    </row>
    <row r="1275" spans="1:7" x14ac:dyDescent="0.35">
      <c r="A1275" s="6" t="s">
        <v>207</v>
      </c>
      <c r="B1275" s="7">
        <v>37528</v>
      </c>
      <c r="C1275">
        <v>0</v>
      </c>
      <c r="D1275">
        <v>1984.45</v>
      </c>
      <c r="E1275" s="6" t="s">
        <v>8</v>
      </c>
      <c r="F1275" s="6" t="s">
        <v>8</v>
      </c>
      <c r="G1275" s="6" t="s">
        <v>158</v>
      </c>
    </row>
    <row r="1276" spans="1:7" x14ac:dyDescent="0.35">
      <c r="A1276" s="6" t="s">
        <v>206</v>
      </c>
      <c r="B1276" s="7">
        <v>36158</v>
      </c>
      <c r="C1276">
        <v>0</v>
      </c>
      <c r="D1276">
        <v>1981.58</v>
      </c>
      <c r="E1276" s="6" t="s">
        <v>8</v>
      </c>
      <c r="F1276" s="6" t="s">
        <v>11</v>
      </c>
      <c r="G1276" s="6" t="s">
        <v>9</v>
      </c>
    </row>
    <row r="1277" spans="1:7" x14ac:dyDescent="0.35">
      <c r="A1277" s="6" t="s">
        <v>205</v>
      </c>
      <c r="B1277" s="7">
        <v>37453</v>
      </c>
      <c r="C1277">
        <v>1</v>
      </c>
      <c r="D1277">
        <v>1980.07</v>
      </c>
      <c r="E1277" s="6" t="s">
        <v>8</v>
      </c>
      <c r="F1277" s="6" t="s">
        <v>8</v>
      </c>
      <c r="G1277" s="6" t="s">
        <v>32</v>
      </c>
    </row>
    <row r="1278" spans="1:7" x14ac:dyDescent="0.35">
      <c r="A1278" s="6" t="s">
        <v>204</v>
      </c>
      <c r="B1278" s="7">
        <v>36067</v>
      </c>
      <c r="C1278">
        <v>0</v>
      </c>
      <c r="D1278">
        <v>1977.82</v>
      </c>
      <c r="E1278" s="6" t="s">
        <v>8</v>
      </c>
      <c r="F1278" s="6" t="s">
        <v>11</v>
      </c>
      <c r="G1278" s="6" t="s">
        <v>32</v>
      </c>
    </row>
    <row r="1279" spans="1:7" x14ac:dyDescent="0.35">
      <c r="A1279" s="6" t="s">
        <v>2148</v>
      </c>
      <c r="B1279" s="7">
        <v>33860</v>
      </c>
      <c r="C1279">
        <v>0</v>
      </c>
      <c r="D1279">
        <v>35547.47</v>
      </c>
      <c r="E1279" s="6" t="s">
        <v>7</v>
      </c>
      <c r="F1279" s="6" t="s">
        <v>8</v>
      </c>
      <c r="G1279" s="6" t="s">
        <v>32</v>
      </c>
    </row>
    <row r="1280" spans="1:7" x14ac:dyDescent="0.35">
      <c r="A1280" s="6" t="s">
        <v>203</v>
      </c>
      <c r="B1280" s="7">
        <v>36073</v>
      </c>
      <c r="C1280">
        <v>0</v>
      </c>
      <c r="D1280">
        <v>1972.95</v>
      </c>
      <c r="E1280" s="6" t="s">
        <v>8</v>
      </c>
      <c r="F1280" s="6" t="s">
        <v>11</v>
      </c>
      <c r="G1280" s="6" t="s">
        <v>32</v>
      </c>
    </row>
    <row r="1281" spans="1:7" x14ac:dyDescent="0.35">
      <c r="A1281" s="6" t="s">
        <v>202</v>
      </c>
      <c r="B1281" s="7">
        <v>36066</v>
      </c>
      <c r="C1281">
        <v>0</v>
      </c>
      <c r="D1281">
        <v>1969.61</v>
      </c>
      <c r="E1281" s="6" t="s">
        <v>8</v>
      </c>
      <c r="F1281" s="6" t="s">
        <v>8</v>
      </c>
      <c r="G1281" s="6" t="s">
        <v>32</v>
      </c>
    </row>
    <row r="1282" spans="1:7" x14ac:dyDescent="0.35">
      <c r="A1282" s="6" t="s">
        <v>201</v>
      </c>
      <c r="B1282" s="7">
        <v>37466</v>
      </c>
      <c r="C1282">
        <v>0</v>
      </c>
      <c r="D1282">
        <v>1967.02</v>
      </c>
      <c r="E1282" s="6" t="s">
        <v>8</v>
      </c>
      <c r="F1282" s="6" t="s">
        <v>7</v>
      </c>
      <c r="G1282" s="6" t="s">
        <v>158</v>
      </c>
    </row>
    <row r="1283" spans="1:7" x14ac:dyDescent="0.35">
      <c r="A1283" s="6" t="s">
        <v>200</v>
      </c>
      <c r="B1283" s="7">
        <v>37506</v>
      </c>
      <c r="C1283">
        <v>1</v>
      </c>
      <c r="D1283">
        <v>1964.78</v>
      </c>
      <c r="E1283" s="6" t="s">
        <v>8</v>
      </c>
      <c r="F1283" s="6" t="s">
        <v>11</v>
      </c>
      <c r="G1283" s="6" t="s">
        <v>32</v>
      </c>
    </row>
    <row r="1284" spans="1:7" x14ac:dyDescent="0.35">
      <c r="A1284" s="6" t="s">
        <v>199</v>
      </c>
      <c r="B1284" s="7">
        <v>37234</v>
      </c>
      <c r="C1284">
        <v>0</v>
      </c>
      <c r="D1284">
        <v>1917.32</v>
      </c>
      <c r="E1284" s="6" t="s">
        <v>8</v>
      </c>
      <c r="F1284" s="6" t="s">
        <v>7</v>
      </c>
      <c r="G1284" s="6" t="s">
        <v>16</v>
      </c>
    </row>
    <row r="1285" spans="1:7" x14ac:dyDescent="0.35">
      <c r="A1285" s="6" t="s">
        <v>198</v>
      </c>
      <c r="B1285" s="7">
        <v>37106</v>
      </c>
      <c r="C1285">
        <v>0</v>
      </c>
      <c r="D1285">
        <v>1909.53</v>
      </c>
      <c r="E1285" s="6" t="s">
        <v>8</v>
      </c>
      <c r="F1285" s="6" t="s">
        <v>8</v>
      </c>
      <c r="G1285" s="6" t="s">
        <v>16</v>
      </c>
    </row>
    <row r="1286" spans="1:7" x14ac:dyDescent="0.35">
      <c r="A1286" s="6" t="s">
        <v>197</v>
      </c>
      <c r="B1286" s="7">
        <v>34613</v>
      </c>
      <c r="C1286">
        <v>0</v>
      </c>
      <c r="D1286">
        <v>1908.9</v>
      </c>
      <c r="E1286" s="6" t="s">
        <v>8</v>
      </c>
      <c r="F1286" s="6" t="s">
        <v>8</v>
      </c>
      <c r="G1286" s="6" t="s">
        <v>9</v>
      </c>
    </row>
    <row r="1287" spans="1:7" x14ac:dyDescent="0.35">
      <c r="A1287" s="6" t="s">
        <v>196</v>
      </c>
      <c r="B1287" s="7">
        <v>37113</v>
      </c>
      <c r="C1287">
        <v>0</v>
      </c>
      <c r="D1287">
        <v>1906.36</v>
      </c>
      <c r="E1287" s="6" t="s">
        <v>8</v>
      </c>
      <c r="F1287" s="6" t="s">
        <v>11</v>
      </c>
      <c r="G1287" s="6" t="s">
        <v>16</v>
      </c>
    </row>
    <row r="1288" spans="1:7" x14ac:dyDescent="0.35">
      <c r="A1288" s="6" t="s">
        <v>195</v>
      </c>
      <c r="B1288" s="7">
        <v>37489</v>
      </c>
      <c r="C1288">
        <v>0</v>
      </c>
      <c r="D1288">
        <v>1880.49</v>
      </c>
      <c r="E1288" s="6" t="s">
        <v>8</v>
      </c>
      <c r="F1288" s="6" t="s">
        <v>11</v>
      </c>
      <c r="G1288" s="6" t="s">
        <v>32</v>
      </c>
    </row>
    <row r="1289" spans="1:7" x14ac:dyDescent="0.35">
      <c r="A1289" s="6" t="s">
        <v>194</v>
      </c>
      <c r="B1289" s="7">
        <v>37497</v>
      </c>
      <c r="C1289">
        <v>0</v>
      </c>
      <c r="D1289">
        <v>1880.07</v>
      </c>
      <c r="E1289" s="6" t="s">
        <v>8</v>
      </c>
      <c r="F1289" s="6" t="s">
        <v>7</v>
      </c>
      <c r="G1289" s="6" t="s">
        <v>9</v>
      </c>
    </row>
    <row r="1290" spans="1:7" x14ac:dyDescent="0.35">
      <c r="A1290" s="6" t="s">
        <v>2147</v>
      </c>
      <c r="B1290" s="7">
        <v>27014</v>
      </c>
      <c r="C1290">
        <v>0</v>
      </c>
      <c r="D1290">
        <v>35517.19</v>
      </c>
      <c r="E1290" s="6" t="s">
        <v>7</v>
      </c>
      <c r="F1290" s="6" t="s">
        <v>7</v>
      </c>
      <c r="G1290" s="6" t="s">
        <v>32</v>
      </c>
    </row>
    <row r="1291" spans="1:7" x14ac:dyDescent="0.35">
      <c r="A1291" s="6" t="s">
        <v>193</v>
      </c>
      <c r="B1291" s="7">
        <v>37558</v>
      </c>
      <c r="C1291">
        <v>0</v>
      </c>
      <c r="D1291">
        <v>1877.93</v>
      </c>
      <c r="E1291" s="6" t="s">
        <v>8</v>
      </c>
      <c r="F1291" s="6" t="s">
        <v>11</v>
      </c>
      <c r="G1291" s="6" t="s">
        <v>9</v>
      </c>
    </row>
    <row r="1292" spans="1:7" x14ac:dyDescent="0.35">
      <c r="A1292" s="6" t="s">
        <v>192</v>
      </c>
      <c r="B1292" s="7">
        <v>37521</v>
      </c>
      <c r="C1292">
        <v>0</v>
      </c>
      <c r="D1292">
        <v>1875.34</v>
      </c>
      <c r="E1292" s="6" t="s">
        <v>8</v>
      </c>
      <c r="F1292" s="6" t="s">
        <v>7</v>
      </c>
      <c r="G1292" s="6" t="s">
        <v>32</v>
      </c>
    </row>
    <row r="1293" spans="1:7" x14ac:dyDescent="0.35">
      <c r="A1293" s="6" t="s">
        <v>191</v>
      </c>
      <c r="B1293" s="7">
        <v>35248</v>
      </c>
      <c r="C1293">
        <v>0</v>
      </c>
      <c r="D1293">
        <v>1865.98</v>
      </c>
      <c r="E1293" s="6" t="s">
        <v>8</v>
      </c>
      <c r="F1293" s="6" t="s">
        <v>8</v>
      </c>
      <c r="G1293" s="6" t="s">
        <v>16</v>
      </c>
    </row>
    <row r="1294" spans="1:7" x14ac:dyDescent="0.35">
      <c r="A1294" s="6" t="s">
        <v>189</v>
      </c>
      <c r="B1294" s="7">
        <v>38348</v>
      </c>
      <c r="C1294">
        <v>0</v>
      </c>
      <c r="D1294">
        <v>1863.45</v>
      </c>
      <c r="E1294" s="6" t="s">
        <v>8</v>
      </c>
      <c r="F1294" s="6" t="s">
        <v>11</v>
      </c>
      <c r="G1294" s="6" t="s">
        <v>190</v>
      </c>
    </row>
    <row r="1295" spans="1:7" x14ac:dyDescent="0.35">
      <c r="A1295" s="6" t="s">
        <v>188</v>
      </c>
      <c r="B1295" s="7">
        <v>34674</v>
      </c>
      <c r="C1295">
        <v>0</v>
      </c>
      <c r="D1295">
        <v>1850.55</v>
      </c>
      <c r="E1295" s="6" t="s">
        <v>8</v>
      </c>
      <c r="F1295" s="6" t="s">
        <v>7</v>
      </c>
      <c r="G1295" s="6" t="s">
        <v>16</v>
      </c>
    </row>
    <row r="1296" spans="1:7" x14ac:dyDescent="0.35">
      <c r="A1296" s="6" t="s">
        <v>187</v>
      </c>
      <c r="B1296" s="7">
        <v>37822</v>
      </c>
      <c r="C1296">
        <v>1</v>
      </c>
      <c r="D1296">
        <v>1842.52</v>
      </c>
      <c r="E1296" s="6" t="s">
        <v>8</v>
      </c>
      <c r="F1296" s="6" t="s">
        <v>7</v>
      </c>
      <c r="G1296" s="6" t="s">
        <v>32</v>
      </c>
    </row>
    <row r="1297" spans="1:7" x14ac:dyDescent="0.35">
      <c r="A1297" s="6" t="s">
        <v>186</v>
      </c>
      <c r="B1297" s="7">
        <v>36506</v>
      </c>
      <c r="C1297">
        <v>0</v>
      </c>
      <c r="D1297">
        <v>1837.28</v>
      </c>
      <c r="E1297" s="6" t="s">
        <v>8</v>
      </c>
      <c r="F1297" s="6" t="s">
        <v>7</v>
      </c>
      <c r="G1297" s="6" t="s">
        <v>9</v>
      </c>
    </row>
    <row r="1298" spans="1:7" x14ac:dyDescent="0.35">
      <c r="A1298" s="6" t="s">
        <v>185</v>
      </c>
      <c r="B1298" s="7">
        <v>37837</v>
      </c>
      <c r="C1298">
        <v>1</v>
      </c>
      <c r="D1298">
        <v>1837.24</v>
      </c>
      <c r="E1298" s="6" t="s">
        <v>8</v>
      </c>
      <c r="F1298" s="6" t="s">
        <v>7</v>
      </c>
      <c r="G1298" s="6" t="s">
        <v>32</v>
      </c>
    </row>
    <row r="1299" spans="1:7" x14ac:dyDescent="0.35">
      <c r="A1299" s="6" t="s">
        <v>184</v>
      </c>
      <c r="B1299" s="7">
        <v>37844</v>
      </c>
      <c r="C1299">
        <v>1</v>
      </c>
      <c r="D1299">
        <v>1832.09</v>
      </c>
      <c r="E1299" s="6" t="s">
        <v>8</v>
      </c>
      <c r="F1299" s="6" t="s">
        <v>8</v>
      </c>
      <c r="G1299" s="6" t="s">
        <v>32</v>
      </c>
    </row>
    <row r="1300" spans="1:7" x14ac:dyDescent="0.35">
      <c r="A1300" s="6" t="s">
        <v>183</v>
      </c>
      <c r="B1300" s="7">
        <v>36434</v>
      </c>
      <c r="C1300">
        <v>0</v>
      </c>
      <c r="D1300">
        <v>1826.84</v>
      </c>
      <c r="E1300" s="6" t="s">
        <v>8</v>
      </c>
      <c r="F1300" s="6" t="s">
        <v>7</v>
      </c>
      <c r="G1300" s="6" t="s">
        <v>32</v>
      </c>
    </row>
    <row r="1301" spans="1:7" x14ac:dyDescent="0.35">
      <c r="A1301" s="6" t="s">
        <v>2146</v>
      </c>
      <c r="B1301" s="7">
        <v>32467</v>
      </c>
      <c r="C1301">
        <v>0</v>
      </c>
      <c r="D1301">
        <v>35491.64</v>
      </c>
      <c r="E1301" s="6" t="s">
        <v>11</v>
      </c>
      <c r="F1301" s="6" t="s">
        <v>7</v>
      </c>
      <c r="G1301" s="6" t="s">
        <v>32</v>
      </c>
    </row>
    <row r="1302" spans="1:7" x14ac:dyDescent="0.35">
      <c r="A1302" s="6" t="s">
        <v>182</v>
      </c>
      <c r="B1302" s="7">
        <v>36481</v>
      </c>
      <c r="C1302">
        <v>0</v>
      </c>
      <c r="D1302">
        <v>1824.29</v>
      </c>
      <c r="E1302" s="6" t="s">
        <v>8</v>
      </c>
      <c r="F1302" s="6" t="s">
        <v>8</v>
      </c>
      <c r="G1302" s="6" t="s">
        <v>9</v>
      </c>
    </row>
    <row r="1303" spans="1:7" x14ac:dyDescent="0.35">
      <c r="A1303" s="6" t="s">
        <v>181</v>
      </c>
      <c r="B1303" s="7">
        <v>38218</v>
      </c>
      <c r="C1303">
        <v>0</v>
      </c>
      <c r="D1303">
        <v>1822.54</v>
      </c>
      <c r="E1303" s="6" t="s">
        <v>8</v>
      </c>
      <c r="F1303" s="6" t="s">
        <v>11</v>
      </c>
      <c r="G1303" s="6" t="s">
        <v>16</v>
      </c>
    </row>
    <row r="1304" spans="1:7" x14ac:dyDescent="0.35">
      <c r="A1304" s="6" t="s">
        <v>180</v>
      </c>
      <c r="B1304" s="7">
        <v>36428</v>
      </c>
      <c r="C1304">
        <v>0</v>
      </c>
      <c r="D1304">
        <v>1815.88</v>
      </c>
      <c r="E1304" s="6" t="s">
        <v>8</v>
      </c>
      <c r="F1304" s="6" t="s">
        <v>8</v>
      </c>
      <c r="G1304" s="6" t="s">
        <v>9</v>
      </c>
    </row>
    <row r="1305" spans="1:7" x14ac:dyDescent="0.35">
      <c r="A1305" s="6" t="s">
        <v>179</v>
      </c>
      <c r="B1305" s="7">
        <v>37603</v>
      </c>
      <c r="C1305">
        <v>0</v>
      </c>
      <c r="D1305">
        <v>1769.53</v>
      </c>
      <c r="E1305" s="6" t="s">
        <v>8</v>
      </c>
      <c r="F1305" s="6" t="s">
        <v>8</v>
      </c>
      <c r="G1305" s="6" t="s">
        <v>16</v>
      </c>
    </row>
    <row r="1306" spans="1:7" x14ac:dyDescent="0.35">
      <c r="A1306" s="6" t="s">
        <v>178</v>
      </c>
      <c r="B1306" s="7">
        <v>37944</v>
      </c>
      <c r="C1306">
        <v>0</v>
      </c>
      <c r="D1306">
        <v>1759.34</v>
      </c>
      <c r="E1306" s="6" t="s">
        <v>8</v>
      </c>
      <c r="F1306" s="6" t="s">
        <v>11</v>
      </c>
      <c r="G1306" s="6" t="s">
        <v>32</v>
      </c>
    </row>
    <row r="1307" spans="1:7" x14ac:dyDescent="0.35">
      <c r="A1307" s="6" t="s">
        <v>177</v>
      </c>
      <c r="B1307" s="7">
        <v>36075</v>
      </c>
      <c r="C1307">
        <v>0</v>
      </c>
      <c r="D1307">
        <v>1756.6</v>
      </c>
      <c r="E1307" s="6" t="s">
        <v>8</v>
      </c>
      <c r="F1307" s="6" t="s">
        <v>8</v>
      </c>
      <c r="G1307" s="6" t="s">
        <v>9</v>
      </c>
    </row>
    <row r="1308" spans="1:7" x14ac:dyDescent="0.35">
      <c r="A1308" s="6" t="s">
        <v>176</v>
      </c>
      <c r="B1308" s="7">
        <v>37890</v>
      </c>
      <c r="C1308">
        <v>0</v>
      </c>
      <c r="D1308">
        <v>1748.77</v>
      </c>
      <c r="E1308" s="6" t="s">
        <v>8</v>
      </c>
      <c r="F1308" s="6" t="s">
        <v>11</v>
      </c>
      <c r="G1308" s="6" t="s">
        <v>32</v>
      </c>
    </row>
    <row r="1309" spans="1:7" x14ac:dyDescent="0.35">
      <c r="A1309" s="6" t="s">
        <v>175</v>
      </c>
      <c r="B1309" s="7">
        <v>37830</v>
      </c>
      <c r="C1309">
        <v>0</v>
      </c>
      <c r="D1309">
        <v>1744.47</v>
      </c>
      <c r="E1309" s="6" t="s">
        <v>8</v>
      </c>
      <c r="F1309" s="6" t="s">
        <v>11</v>
      </c>
      <c r="G1309" s="6" t="s">
        <v>32</v>
      </c>
    </row>
    <row r="1310" spans="1:7" x14ac:dyDescent="0.35">
      <c r="A1310" s="6" t="s">
        <v>174</v>
      </c>
      <c r="B1310" s="7">
        <v>37827</v>
      </c>
      <c r="C1310">
        <v>0</v>
      </c>
      <c r="D1310">
        <v>1743.21</v>
      </c>
      <c r="E1310" s="6" t="s">
        <v>8</v>
      </c>
      <c r="F1310" s="6" t="s">
        <v>11</v>
      </c>
      <c r="G1310" s="6" t="s">
        <v>32</v>
      </c>
    </row>
    <row r="1311" spans="1:7" x14ac:dyDescent="0.35">
      <c r="A1311" s="6" t="s">
        <v>173</v>
      </c>
      <c r="B1311" s="7">
        <v>37939</v>
      </c>
      <c r="C1311">
        <v>0</v>
      </c>
      <c r="D1311">
        <v>1737.38</v>
      </c>
      <c r="E1311" s="6" t="s">
        <v>8</v>
      </c>
      <c r="F1311" s="6" t="s">
        <v>7</v>
      </c>
      <c r="G1311" s="6" t="s">
        <v>32</v>
      </c>
    </row>
    <row r="1312" spans="1:7" x14ac:dyDescent="0.35">
      <c r="A1312" s="6" t="s">
        <v>2145</v>
      </c>
      <c r="B1312" s="7">
        <v>26198</v>
      </c>
      <c r="C1312">
        <v>0</v>
      </c>
      <c r="D1312">
        <v>35345.730000000003</v>
      </c>
      <c r="E1312" s="6" t="s">
        <v>7</v>
      </c>
      <c r="F1312" s="6" t="s">
        <v>8</v>
      </c>
      <c r="G1312" s="6" t="s">
        <v>32</v>
      </c>
    </row>
    <row r="1313" spans="1:7" x14ac:dyDescent="0.35">
      <c r="A1313" s="6" t="s">
        <v>172</v>
      </c>
      <c r="B1313" s="7">
        <v>37934</v>
      </c>
      <c r="C1313">
        <v>0</v>
      </c>
      <c r="D1313">
        <v>1731.68</v>
      </c>
      <c r="E1313" s="6" t="s">
        <v>8</v>
      </c>
      <c r="F1313" s="6" t="s">
        <v>7</v>
      </c>
      <c r="G1313" s="6" t="s">
        <v>32</v>
      </c>
    </row>
    <row r="1314" spans="1:7" x14ac:dyDescent="0.35">
      <c r="A1314" s="6" t="s">
        <v>171</v>
      </c>
      <c r="B1314" s="7">
        <v>37865</v>
      </c>
      <c r="C1314">
        <v>0</v>
      </c>
      <c r="D1314">
        <v>1728.9</v>
      </c>
      <c r="E1314" s="6" t="s">
        <v>8</v>
      </c>
      <c r="F1314" s="6" t="s">
        <v>7</v>
      </c>
      <c r="G1314" s="6" t="s">
        <v>32</v>
      </c>
    </row>
    <row r="1315" spans="1:7" x14ac:dyDescent="0.35">
      <c r="A1315" s="6" t="s">
        <v>170</v>
      </c>
      <c r="B1315" s="7">
        <v>37946</v>
      </c>
      <c r="C1315">
        <v>0</v>
      </c>
      <c r="D1315">
        <v>1727.79</v>
      </c>
      <c r="E1315" s="6" t="s">
        <v>8</v>
      </c>
      <c r="F1315" s="6" t="s">
        <v>8</v>
      </c>
      <c r="G1315" s="6" t="s">
        <v>32</v>
      </c>
    </row>
    <row r="1316" spans="1:7" x14ac:dyDescent="0.35">
      <c r="A1316" s="6" t="s">
        <v>169</v>
      </c>
      <c r="B1316" s="7">
        <v>38239</v>
      </c>
      <c r="C1316">
        <v>1</v>
      </c>
      <c r="D1316">
        <v>1727.54</v>
      </c>
      <c r="E1316" s="6" t="s">
        <v>8</v>
      </c>
      <c r="F1316" s="6" t="s">
        <v>11</v>
      </c>
      <c r="G1316" s="6" t="s">
        <v>9</v>
      </c>
    </row>
    <row r="1317" spans="1:7" x14ac:dyDescent="0.35">
      <c r="A1317" s="6" t="s">
        <v>168</v>
      </c>
      <c r="B1317" s="7">
        <v>38281</v>
      </c>
      <c r="C1317">
        <v>1</v>
      </c>
      <c r="D1317">
        <v>1725.55</v>
      </c>
      <c r="E1317" s="6" t="s">
        <v>8</v>
      </c>
      <c r="F1317" s="6" t="s">
        <v>7</v>
      </c>
      <c r="G1317" s="6" t="s">
        <v>9</v>
      </c>
    </row>
    <row r="1318" spans="1:7" x14ac:dyDescent="0.35">
      <c r="A1318" s="6" t="s">
        <v>167</v>
      </c>
      <c r="B1318" s="7">
        <v>38241</v>
      </c>
      <c r="C1318">
        <v>1</v>
      </c>
      <c r="D1318">
        <v>1720.35</v>
      </c>
      <c r="E1318" s="6" t="s">
        <v>8</v>
      </c>
      <c r="F1318" s="6" t="s">
        <v>8</v>
      </c>
      <c r="G1318" s="6" t="s">
        <v>9</v>
      </c>
    </row>
    <row r="1319" spans="1:7" x14ac:dyDescent="0.35">
      <c r="A1319" s="6" t="s">
        <v>166</v>
      </c>
      <c r="B1319" s="7">
        <v>38148</v>
      </c>
      <c r="C1319">
        <v>1</v>
      </c>
      <c r="D1319">
        <v>1719.44</v>
      </c>
      <c r="E1319" s="6" t="s">
        <v>8</v>
      </c>
      <c r="F1319" s="6" t="s">
        <v>8</v>
      </c>
      <c r="G1319" s="6" t="s">
        <v>9</v>
      </c>
    </row>
    <row r="1320" spans="1:7" x14ac:dyDescent="0.35">
      <c r="A1320" s="6" t="s">
        <v>165</v>
      </c>
      <c r="B1320" s="7">
        <v>38251</v>
      </c>
      <c r="C1320">
        <v>0</v>
      </c>
      <c r="D1320">
        <v>1712.23</v>
      </c>
      <c r="E1320" s="6" t="s">
        <v>8</v>
      </c>
      <c r="F1320" s="6" t="s">
        <v>11</v>
      </c>
      <c r="G1320" s="6" t="s">
        <v>158</v>
      </c>
    </row>
    <row r="1321" spans="1:7" x14ac:dyDescent="0.35">
      <c r="A1321" s="6" t="s">
        <v>164</v>
      </c>
      <c r="B1321" s="7">
        <v>38249</v>
      </c>
      <c r="C1321">
        <v>1</v>
      </c>
      <c r="D1321">
        <v>1711.03</v>
      </c>
      <c r="E1321" s="6" t="s">
        <v>8</v>
      </c>
      <c r="F1321" s="6" t="s">
        <v>8</v>
      </c>
      <c r="G1321" s="6" t="s">
        <v>9</v>
      </c>
    </row>
    <row r="1322" spans="1:7" x14ac:dyDescent="0.35">
      <c r="A1322" s="6" t="s">
        <v>163</v>
      </c>
      <c r="B1322" s="7">
        <v>38333</v>
      </c>
      <c r="C1322">
        <v>0</v>
      </c>
      <c r="D1322">
        <v>1708.93</v>
      </c>
      <c r="E1322" s="6" t="s">
        <v>8</v>
      </c>
      <c r="F1322" s="6" t="s">
        <v>11</v>
      </c>
      <c r="G1322" s="6" t="s">
        <v>156</v>
      </c>
    </row>
    <row r="1323" spans="1:7" x14ac:dyDescent="0.35">
      <c r="A1323" s="6" t="s">
        <v>2144</v>
      </c>
      <c r="B1323" s="7">
        <v>32405</v>
      </c>
      <c r="C1323">
        <v>3</v>
      </c>
      <c r="D1323">
        <v>35315.96</v>
      </c>
      <c r="E1323" s="6" t="s">
        <v>7</v>
      </c>
      <c r="F1323" s="6" t="s">
        <v>11</v>
      </c>
      <c r="G1323" s="6" t="s">
        <v>32</v>
      </c>
    </row>
    <row r="1324" spans="1:7" x14ac:dyDescent="0.35">
      <c r="A1324" s="6" t="s">
        <v>162</v>
      </c>
      <c r="B1324" s="7">
        <v>38277</v>
      </c>
      <c r="C1324">
        <v>0</v>
      </c>
      <c r="D1324">
        <v>1708</v>
      </c>
      <c r="E1324" s="6" t="s">
        <v>8</v>
      </c>
      <c r="F1324" s="6" t="s">
        <v>7</v>
      </c>
      <c r="G1324" s="6" t="s">
        <v>158</v>
      </c>
    </row>
    <row r="1325" spans="1:7" x14ac:dyDescent="0.35">
      <c r="A1325" s="6" t="s">
        <v>161</v>
      </c>
      <c r="B1325" s="7">
        <v>38327</v>
      </c>
      <c r="C1325">
        <v>0</v>
      </c>
      <c r="D1325">
        <v>1705.62</v>
      </c>
      <c r="E1325" s="6" t="s">
        <v>7</v>
      </c>
      <c r="F1325" s="6" t="s">
        <v>7</v>
      </c>
      <c r="G1325" s="6" t="s">
        <v>154</v>
      </c>
    </row>
    <row r="1326" spans="1:7" x14ac:dyDescent="0.35">
      <c r="A1326" s="6" t="s">
        <v>159</v>
      </c>
      <c r="B1326" s="7">
        <v>38335</v>
      </c>
      <c r="C1326">
        <v>0</v>
      </c>
      <c r="D1326">
        <v>1704.7</v>
      </c>
      <c r="E1326" s="6" t="s">
        <v>7</v>
      </c>
      <c r="F1326" s="6" t="s">
        <v>8</v>
      </c>
      <c r="G1326" s="6" t="s">
        <v>160</v>
      </c>
    </row>
    <row r="1327" spans="1:7" x14ac:dyDescent="0.35">
      <c r="A1327" s="6" t="s">
        <v>157</v>
      </c>
      <c r="B1327" s="7">
        <v>38298</v>
      </c>
      <c r="C1327">
        <v>0</v>
      </c>
      <c r="D1327">
        <v>1704.57</v>
      </c>
      <c r="E1327" s="6" t="s">
        <v>7</v>
      </c>
      <c r="F1327" s="6" t="s">
        <v>11</v>
      </c>
      <c r="G1327" s="6" t="s">
        <v>158</v>
      </c>
    </row>
    <row r="1328" spans="1:7" x14ac:dyDescent="0.35">
      <c r="A1328" s="6" t="s">
        <v>155</v>
      </c>
      <c r="B1328" s="7">
        <v>38331</v>
      </c>
      <c r="C1328">
        <v>0</v>
      </c>
      <c r="D1328">
        <v>1702.46</v>
      </c>
      <c r="E1328" s="6" t="s">
        <v>7</v>
      </c>
      <c r="F1328" s="6" t="s">
        <v>8</v>
      </c>
      <c r="G1328" s="6" t="s">
        <v>156</v>
      </c>
    </row>
    <row r="1329" spans="1:7" x14ac:dyDescent="0.35">
      <c r="A1329" s="6" t="s">
        <v>153</v>
      </c>
      <c r="B1329" s="7">
        <v>38308</v>
      </c>
      <c r="C1329">
        <v>0</v>
      </c>
      <c r="D1329">
        <v>1694.8</v>
      </c>
      <c r="E1329" s="6" t="s">
        <v>7</v>
      </c>
      <c r="F1329" s="6" t="s">
        <v>7</v>
      </c>
      <c r="G1329" s="6" t="s">
        <v>154</v>
      </c>
    </row>
    <row r="1330" spans="1:7" x14ac:dyDescent="0.35">
      <c r="A1330" s="6" t="s">
        <v>152</v>
      </c>
      <c r="B1330" s="7">
        <v>36820</v>
      </c>
      <c r="C1330">
        <v>0</v>
      </c>
      <c r="D1330">
        <v>1682.6</v>
      </c>
      <c r="E1330" s="6" t="s">
        <v>7</v>
      </c>
      <c r="F1330" s="6" t="s">
        <v>7</v>
      </c>
      <c r="G1330" s="6" t="s">
        <v>32</v>
      </c>
    </row>
    <row r="1331" spans="1:7" x14ac:dyDescent="0.35">
      <c r="A1331" s="6" t="s">
        <v>151</v>
      </c>
      <c r="B1331" s="7">
        <v>36687</v>
      </c>
      <c r="C1331">
        <v>0</v>
      </c>
      <c r="D1331">
        <v>1674.63</v>
      </c>
      <c r="E1331" s="6" t="s">
        <v>7</v>
      </c>
      <c r="F1331" s="6" t="s">
        <v>7</v>
      </c>
      <c r="G1331" s="6" t="s">
        <v>9</v>
      </c>
    </row>
    <row r="1332" spans="1:7" x14ac:dyDescent="0.35">
      <c r="A1332" s="6" t="s">
        <v>150</v>
      </c>
      <c r="B1332" s="7">
        <v>36822</v>
      </c>
      <c r="C1332">
        <v>0</v>
      </c>
      <c r="D1332">
        <v>1665</v>
      </c>
      <c r="E1332" s="6" t="s">
        <v>7</v>
      </c>
      <c r="F1332" s="6" t="s">
        <v>7</v>
      </c>
      <c r="G1332" s="6" t="s">
        <v>9</v>
      </c>
    </row>
    <row r="1333" spans="1:7" x14ac:dyDescent="0.35">
      <c r="A1333" s="6" t="s">
        <v>149</v>
      </c>
      <c r="B1333" s="7">
        <v>37985</v>
      </c>
      <c r="C1333">
        <v>0</v>
      </c>
      <c r="D1333">
        <v>1646.43</v>
      </c>
      <c r="E1333" s="6" t="s">
        <v>7</v>
      </c>
      <c r="F1333" s="6" t="s">
        <v>11</v>
      </c>
      <c r="G1333" s="6" t="s">
        <v>16</v>
      </c>
    </row>
    <row r="1334" spans="1:7" x14ac:dyDescent="0.35">
      <c r="A1334" s="6" t="s">
        <v>2341</v>
      </c>
      <c r="B1334" s="7">
        <v>21827</v>
      </c>
      <c r="C1334">
        <v>2</v>
      </c>
      <c r="D1334">
        <v>47305.31</v>
      </c>
      <c r="E1334" s="6" t="s">
        <v>7</v>
      </c>
      <c r="F1334" s="6" t="s">
        <v>11</v>
      </c>
      <c r="G1334" s="6" t="s">
        <v>32</v>
      </c>
    </row>
    <row r="1335" spans="1:7" x14ac:dyDescent="0.35">
      <c r="A1335" s="6" t="s">
        <v>2143</v>
      </c>
      <c r="B1335" s="7">
        <v>35620</v>
      </c>
      <c r="C1335">
        <v>0</v>
      </c>
      <c r="D1335">
        <v>35302.089999999997</v>
      </c>
      <c r="E1335" s="6" t="s">
        <v>11</v>
      </c>
      <c r="F1335" s="6" t="s">
        <v>7</v>
      </c>
      <c r="G1335" s="6" t="s">
        <v>32</v>
      </c>
    </row>
    <row r="1336" spans="1:7" x14ac:dyDescent="0.35">
      <c r="A1336" s="6" t="s">
        <v>148</v>
      </c>
      <c r="B1336" s="7">
        <v>37854</v>
      </c>
      <c r="C1336">
        <v>0</v>
      </c>
      <c r="D1336">
        <v>1639.56</v>
      </c>
      <c r="E1336" s="6" t="s">
        <v>7</v>
      </c>
      <c r="F1336" s="6" t="s">
        <v>7</v>
      </c>
      <c r="G1336" s="6" t="s">
        <v>16</v>
      </c>
    </row>
    <row r="1337" spans="1:7" x14ac:dyDescent="0.35">
      <c r="A1337" s="6" t="s">
        <v>147</v>
      </c>
      <c r="B1337" s="7">
        <v>37880</v>
      </c>
      <c r="C1337">
        <v>0</v>
      </c>
      <c r="D1337">
        <v>1639.56</v>
      </c>
      <c r="E1337" s="6" t="s">
        <v>7</v>
      </c>
      <c r="F1337" s="6" t="s">
        <v>7</v>
      </c>
      <c r="G1337" s="6" t="s">
        <v>16</v>
      </c>
    </row>
    <row r="1338" spans="1:7" x14ac:dyDescent="0.35">
      <c r="A1338" s="6" t="s">
        <v>146</v>
      </c>
      <c r="B1338" s="7">
        <v>37985</v>
      </c>
      <c r="C1338">
        <v>0</v>
      </c>
      <c r="D1338">
        <v>1635.73</v>
      </c>
      <c r="E1338" s="6" t="s">
        <v>7</v>
      </c>
      <c r="F1338" s="6" t="s">
        <v>8</v>
      </c>
      <c r="G1338" s="6" t="s">
        <v>16</v>
      </c>
    </row>
    <row r="1339" spans="1:7" x14ac:dyDescent="0.35">
      <c r="A1339" s="6" t="s">
        <v>145</v>
      </c>
      <c r="B1339" s="7">
        <v>38151</v>
      </c>
      <c r="C1339">
        <v>0</v>
      </c>
      <c r="D1339">
        <v>1634.57</v>
      </c>
      <c r="E1339" s="6" t="s">
        <v>7</v>
      </c>
      <c r="F1339" s="6" t="s">
        <v>7</v>
      </c>
      <c r="G1339" s="6" t="s">
        <v>9</v>
      </c>
    </row>
    <row r="1340" spans="1:7" x14ac:dyDescent="0.35">
      <c r="A1340" s="6" t="s">
        <v>144</v>
      </c>
      <c r="B1340" s="7">
        <v>38207</v>
      </c>
      <c r="C1340">
        <v>0</v>
      </c>
      <c r="D1340">
        <v>1633.96</v>
      </c>
      <c r="E1340" s="6" t="s">
        <v>7</v>
      </c>
      <c r="F1340" s="6" t="s">
        <v>11</v>
      </c>
      <c r="G1340" s="6" t="s">
        <v>9</v>
      </c>
    </row>
    <row r="1341" spans="1:7" x14ac:dyDescent="0.35">
      <c r="A1341" s="6" t="s">
        <v>143</v>
      </c>
      <c r="B1341" s="7">
        <v>38334</v>
      </c>
      <c r="C1341">
        <v>0</v>
      </c>
      <c r="D1341">
        <v>1633.04</v>
      </c>
      <c r="E1341" s="6" t="s">
        <v>7</v>
      </c>
      <c r="F1341" s="6" t="s">
        <v>7</v>
      </c>
      <c r="G1341" s="6" t="s">
        <v>9</v>
      </c>
    </row>
    <row r="1342" spans="1:7" x14ac:dyDescent="0.35">
      <c r="A1342" s="6" t="s">
        <v>142</v>
      </c>
      <c r="B1342" s="7">
        <v>37880</v>
      </c>
      <c r="C1342">
        <v>0</v>
      </c>
      <c r="D1342">
        <v>1632.56</v>
      </c>
      <c r="E1342" s="6" t="s">
        <v>7</v>
      </c>
      <c r="F1342" s="6" t="s">
        <v>7</v>
      </c>
      <c r="G1342" s="6" t="s">
        <v>16</v>
      </c>
    </row>
    <row r="1343" spans="1:7" x14ac:dyDescent="0.35">
      <c r="A1343" s="6" t="s">
        <v>141</v>
      </c>
      <c r="B1343" s="7">
        <v>37897</v>
      </c>
      <c r="C1343">
        <v>0</v>
      </c>
      <c r="D1343">
        <v>1632.04</v>
      </c>
      <c r="E1343" s="6" t="s">
        <v>7</v>
      </c>
      <c r="F1343" s="6" t="s">
        <v>7</v>
      </c>
      <c r="G1343" s="6" t="s">
        <v>16</v>
      </c>
    </row>
    <row r="1344" spans="1:7" x14ac:dyDescent="0.35">
      <c r="A1344" s="6" t="s">
        <v>140</v>
      </c>
      <c r="B1344" s="7">
        <v>38177</v>
      </c>
      <c r="C1344">
        <v>0</v>
      </c>
      <c r="D1344">
        <v>1631.82</v>
      </c>
      <c r="E1344" s="6" t="s">
        <v>7</v>
      </c>
      <c r="F1344" s="6" t="s">
        <v>11</v>
      </c>
      <c r="G1344" s="6" t="s">
        <v>9</v>
      </c>
    </row>
    <row r="1345" spans="1:7" x14ac:dyDescent="0.35">
      <c r="A1345" s="6" t="s">
        <v>139</v>
      </c>
      <c r="B1345" s="7">
        <v>38326</v>
      </c>
      <c r="C1345">
        <v>0</v>
      </c>
      <c r="D1345">
        <v>1631.67</v>
      </c>
      <c r="E1345" s="6" t="s">
        <v>7</v>
      </c>
      <c r="F1345" s="6" t="s">
        <v>8</v>
      </c>
      <c r="G1345" s="6" t="s">
        <v>9</v>
      </c>
    </row>
    <row r="1346" spans="1:7" x14ac:dyDescent="0.35">
      <c r="A1346" s="6" t="s">
        <v>2142</v>
      </c>
      <c r="B1346" s="7">
        <v>24836</v>
      </c>
      <c r="C1346">
        <v>1</v>
      </c>
      <c r="D1346">
        <v>35160.129999999997</v>
      </c>
      <c r="E1346" s="6" t="s">
        <v>7</v>
      </c>
      <c r="F1346" s="6" t="s">
        <v>7</v>
      </c>
      <c r="G1346" s="6" t="s">
        <v>32</v>
      </c>
    </row>
    <row r="1347" spans="1:7" x14ac:dyDescent="0.35">
      <c r="A1347" s="6" t="s">
        <v>138</v>
      </c>
      <c r="B1347" s="7">
        <v>38264</v>
      </c>
      <c r="C1347">
        <v>0</v>
      </c>
      <c r="D1347">
        <v>1629.83</v>
      </c>
      <c r="E1347" s="6" t="s">
        <v>7</v>
      </c>
      <c r="F1347" s="6" t="s">
        <v>7</v>
      </c>
      <c r="G1347" s="6" t="s">
        <v>9</v>
      </c>
    </row>
    <row r="1348" spans="1:7" x14ac:dyDescent="0.35">
      <c r="A1348" s="6" t="s">
        <v>137</v>
      </c>
      <c r="B1348" s="7">
        <v>37819</v>
      </c>
      <c r="C1348">
        <v>0</v>
      </c>
      <c r="D1348">
        <v>1628.47</v>
      </c>
      <c r="E1348" s="6" t="s">
        <v>7</v>
      </c>
      <c r="F1348" s="6" t="s">
        <v>11</v>
      </c>
      <c r="G1348" s="6" t="s">
        <v>16</v>
      </c>
    </row>
    <row r="1349" spans="1:7" x14ac:dyDescent="0.35">
      <c r="A1349" s="6" t="s">
        <v>136</v>
      </c>
      <c r="B1349" s="7">
        <v>37959</v>
      </c>
      <c r="C1349">
        <v>0</v>
      </c>
      <c r="D1349">
        <v>1627.28</v>
      </c>
      <c r="E1349" s="6" t="s">
        <v>7</v>
      </c>
      <c r="F1349" s="6" t="s">
        <v>7</v>
      </c>
      <c r="G1349" s="6" t="s">
        <v>16</v>
      </c>
    </row>
    <row r="1350" spans="1:7" x14ac:dyDescent="0.35">
      <c r="A1350" s="6" t="s">
        <v>135</v>
      </c>
      <c r="B1350" s="7">
        <v>37873</v>
      </c>
      <c r="C1350">
        <v>0</v>
      </c>
      <c r="D1350">
        <v>1625.43</v>
      </c>
      <c r="E1350" s="6" t="s">
        <v>7</v>
      </c>
      <c r="F1350" s="6" t="s">
        <v>8</v>
      </c>
      <c r="G1350" s="6" t="s">
        <v>16</v>
      </c>
    </row>
    <row r="1351" spans="1:7" x14ac:dyDescent="0.35">
      <c r="A1351" s="6" t="s">
        <v>134</v>
      </c>
      <c r="B1351" s="7">
        <v>38193</v>
      </c>
      <c r="C1351">
        <v>0</v>
      </c>
      <c r="D1351">
        <v>1622.19</v>
      </c>
      <c r="E1351" s="6" t="s">
        <v>7</v>
      </c>
      <c r="F1351" s="6" t="s">
        <v>11</v>
      </c>
      <c r="G1351" s="6" t="s">
        <v>9</v>
      </c>
    </row>
    <row r="1352" spans="1:7" x14ac:dyDescent="0.35">
      <c r="A1352" s="6" t="s">
        <v>133</v>
      </c>
      <c r="B1352" s="7">
        <v>38220</v>
      </c>
      <c r="C1352">
        <v>0</v>
      </c>
      <c r="D1352">
        <v>1621.88</v>
      </c>
      <c r="E1352" s="6" t="s">
        <v>7</v>
      </c>
      <c r="F1352" s="6" t="s">
        <v>7</v>
      </c>
      <c r="G1352" s="6" t="s">
        <v>9</v>
      </c>
    </row>
    <row r="1353" spans="1:7" x14ac:dyDescent="0.35">
      <c r="A1353" s="6" t="s">
        <v>132</v>
      </c>
      <c r="B1353" s="7">
        <v>37878</v>
      </c>
      <c r="C1353">
        <v>0</v>
      </c>
      <c r="D1353">
        <v>1621.34</v>
      </c>
      <c r="E1353" s="6" t="s">
        <v>7</v>
      </c>
      <c r="F1353" s="6" t="s">
        <v>7</v>
      </c>
      <c r="G1353" s="6" t="s">
        <v>16</v>
      </c>
    </row>
    <row r="1354" spans="1:7" x14ac:dyDescent="0.35">
      <c r="A1354" s="6" t="s">
        <v>131</v>
      </c>
      <c r="B1354" s="7">
        <v>34916</v>
      </c>
      <c r="C1354">
        <v>0</v>
      </c>
      <c r="D1354">
        <v>1617.16</v>
      </c>
      <c r="E1354" s="6" t="s">
        <v>7</v>
      </c>
      <c r="F1354" s="6" t="s">
        <v>11</v>
      </c>
      <c r="G1354" s="6" t="s">
        <v>9</v>
      </c>
    </row>
    <row r="1355" spans="1:7" x14ac:dyDescent="0.35">
      <c r="A1355" s="6" t="s">
        <v>130</v>
      </c>
      <c r="B1355" s="7">
        <v>38190</v>
      </c>
      <c r="C1355">
        <v>0</v>
      </c>
      <c r="D1355">
        <v>1615.77</v>
      </c>
      <c r="E1355" s="6" t="s">
        <v>7</v>
      </c>
      <c r="F1355" s="6" t="s">
        <v>11</v>
      </c>
      <c r="G1355" s="6" t="s">
        <v>9</v>
      </c>
    </row>
    <row r="1356" spans="1:7" x14ac:dyDescent="0.35">
      <c r="A1356" s="6" t="s">
        <v>129</v>
      </c>
      <c r="B1356" s="7">
        <v>38310</v>
      </c>
      <c r="C1356">
        <v>0</v>
      </c>
      <c r="D1356">
        <v>1607.51</v>
      </c>
      <c r="E1356" s="6" t="s">
        <v>7</v>
      </c>
      <c r="F1356" s="6" t="s">
        <v>8</v>
      </c>
      <c r="G1356" s="6" t="s">
        <v>9</v>
      </c>
    </row>
    <row r="1357" spans="1:7" x14ac:dyDescent="0.35">
      <c r="A1357" s="6" t="s">
        <v>2141</v>
      </c>
      <c r="B1357" s="7">
        <v>36151</v>
      </c>
      <c r="C1357">
        <v>0</v>
      </c>
      <c r="D1357">
        <v>35147.53</v>
      </c>
      <c r="E1357" s="6" t="s">
        <v>11</v>
      </c>
      <c r="F1357" s="6" t="s">
        <v>11</v>
      </c>
      <c r="G1357" s="6" t="s">
        <v>158</v>
      </c>
    </row>
    <row r="1358" spans="1:7" x14ac:dyDescent="0.35">
      <c r="A1358" s="6" t="s">
        <v>128</v>
      </c>
      <c r="B1358" s="7">
        <v>33869</v>
      </c>
      <c r="C1358">
        <v>0</v>
      </c>
      <c r="D1358">
        <v>1566.88</v>
      </c>
      <c r="E1358" s="6" t="s">
        <v>7</v>
      </c>
      <c r="F1358" s="6" t="s">
        <v>11</v>
      </c>
      <c r="G1358" s="6" t="s">
        <v>9</v>
      </c>
    </row>
    <row r="1359" spans="1:7" x14ac:dyDescent="0.35">
      <c r="A1359" s="6" t="s">
        <v>127</v>
      </c>
      <c r="B1359" s="7">
        <v>37230</v>
      </c>
      <c r="C1359">
        <v>0</v>
      </c>
      <c r="D1359">
        <v>1534.3</v>
      </c>
      <c r="E1359" s="6" t="s">
        <v>7</v>
      </c>
      <c r="F1359" s="6" t="s">
        <v>7</v>
      </c>
      <c r="G1359" s="6" t="s">
        <v>9</v>
      </c>
    </row>
    <row r="1360" spans="1:7" x14ac:dyDescent="0.35">
      <c r="A1360" s="6" t="s">
        <v>126</v>
      </c>
      <c r="B1360" s="7">
        <v>37044</v>
      </c>
      <c r="C1360">
        <v>0</v>
      </c>
      <c r="D1360">
        <v>1532.47</v>
      </c>
      <c r="E1360" s="6" t="s">
        <v>7</v>
      </c>
      <c r="F1360" s="6" t="s">
        <v>7</v>
      </c>
      <c r="G1360" s="6" t="s">
        <v>9</v>
      </c>
    </row>
    <row r="1361" spans="1:7" x14ac:dyDescent="0.35">
      <c r="A1361" s="6" t="s">
        <v>125</v>
      </c>
      <c r="B1361" s="7">
        <v>37079</v>
      </c>
      <c r="C1361">
        <v>0</v>
      </c>
      <c r="D1361">
        <v>1526.31</v>
      </c>
      <c r="E1361" s="6" t="s">
        <v>7</v>
      </c>
      <c r="F1361" s="6" t="s">
        <v>8</v>
      </c>
      <c r="G1361" s="6" t="s">
        <v>32</v>
      </c>
    </row>
    <row r="1362" spans="1:7" x14ac:dyDescent="0.35">
      <c r="A1362" s="6" t="s">
        <v>124</v>
      </c>
      <c r="B1362" s="7">
        <v>37128</v>
      </c>
      <c r="C1362">
        <v>0</v>
      </c>
      <c r="D1362">
        <v>1515.34</v>
      </c>
      <c r="E1362" s="6" t="s">
        <v>7</v>
      </c>
      <c r="F1362" s="6" t="s">
        <v>8</v>
      </c>
      <c r="G1362" s="6" t="s">
        <v>9</v>
      </c>
    </row>
    <row r="1363" spans="1:7" x14ac:dyDescent="0.35">
      <c r="A1363" s="6" t="s">
        <v>123</v>
      </c>
      <c r="B1363" s="7">
        <v>35965</v>
      </c>
      <c r="C1363">
        <v>0</v>
      </c>
      <c r="D1363">
        <v>1497</v>
      </c>
      <c r="E1363" s="6" t="s">
        <v>7</v>
      </c>
      <c r="F1363" s="6" t="s">
        <v>7</v>
      </c>
      <c r="G1363" s="6" t="s">
        <v>9</v>
      </c>
    </row>
    <row r="1364" spans="1:7" x14ac:dyDescent="0.35">
      <c r="A1364" s="6" t="s">
        <v>122</v>
      </c>
      <c r="B1364" s="7">
        <v>34979</v>
      </c>
      <c r="C1364">
        <v>0</v>
      </c>
      <c r="D1364">
        <v>1493</v>
      </c>
      <c r="E1364" s="6" t="s">
        <v>7</v>
      </c>
      <c r="F1364" s="6" t="s">
        <v>8</v>
      </c>
      <c r="G1364" s="6" t="s">
        <v>9</v>
      </c>
    </row>
    <row r="1365" spans="1:7" x14ac:dyDescent="0.35">
      <c r="A1365" s="6" t="s">
        <v>121</v>
      </c>
      <c r="B1365" s="7">
        <v>35590</v>
      </c>
      <c r="C1365">
        <v>0</v>
      </c>
      <c r="D1365">
        <v>1481</v>
      </c>
      <c r="E1365" s="6" t="s">
        <v>7</v>
      </c>
      <c r="F1365" s="6" t="s">
        <v>11</v>
      </c>
      <c r="G1365" s="6" t="s">
        <v>16</v>
      </c>
    </row>
    <row r="1366" spans="1:7" x14ac:dyDescent="0.35">
      <c r="A1366" s="6" t="s">
        <v>120</v>
      </c>
      <c r="B1366" s="7">
        <v>36136</v>
      </c>
      <c r="C1366">
        <v>0</v>
      </c>
      <c r="D1366">
        <v>1477</v>
      </c>
      <c r="E1366" s="6" t="s">
        <v>7</v>
      </c>
      <c r="F1366" s="6" t="s">
        <v>11</v>
      </c>
      <c r="G1366" s="6" t="s">
        <v>9</v>
      </c>
    </row>
    <row r="1367" spans="1:7" x14ac:dyDescent="0.35">
      <c r="A1367" s="6" t="s">
        <v>119</v>
      </c>
      <c r="B1367" s="7">
        <v>37792</v>
      </c>
      <c r="C1367">
        <v>0</v>
      </c>
      <c r="D1367">
        <v>1467</v>
      </c>
      <c r="E1367" s="6" t="s">
        <v>7</v>
      </c>
      <c r="F1367" s="6" t="s">
        <v>7</v>
      </c>
      <c r="G1367" s="6" t="s">
        <v>9</v>
      </c>
    </row>
    <row r="1368" spans="1:7" x14ac:dyDescent="0.35">
      <c r="A1368" s="6" t="s">
        <v>2140</v>
      </c>
      <c r="B1368" s="7">
        <v>28305</v>
      </c>
      <c r="C1368">
        <v>0</v>
      </c>
      <c r="D1368">
        <v>35069.370000000003</v>
      </c>
      <c r="E1368" s="6" t="s">
        <v>11</v>
      </c>
      <c r="F1368" s="6" t="s">
        <v>11</v>
      </c>
      <c r="G1368" s="6" t="s">
        <v>346</v>
      </c>
    </row>
    <row r="1369" spans="1:7" x14ac:dyDescent="0.35">
      <c r="A1369" s="6" t="s">
        <v>118</v>
      </c>
      <c r="B1369" s="7">
        <v>35600</v>
      </c>
      <c r="C1369">
        <v>0</v>
      </c>
      <c r="D1369">
        <v>1445</v>
      </c>
      <c r="E1369" s="6" t="s">
        <v>7</v>
      </c>
      <c r="F1369" s="6" t="s">
        <v>11</v>
      </c>
      <c r="G1369" s="6" t="s">
        <v>9</v>
      </c>
    </row>
    <row r="1370" spans="1:7" x14ac:dyDescent="0.35">
      <c r="A1370" s="6" t="s">
        <v>117</v>
      </c>
      <c r="B1370" s="7">
        <v>36770</v>
      </c>
      <c r="C1370">
        <v>0</v>
      </c>
      <c r="D1370">
        <v>1438</v>
      </c>
      <c r="E1370" s="6" t="s">
        <v>7</v>
      </c>
      <c r="F1370" s="6" t="s">
        <v>7</v>
      </c>
      <c r="G1370" s="6" t="s">
        <v>9</v>
      </c>
    </row>
    <row r="1371" spans="1:7" x14ac:dyDescent="0.35">
      <c r="A1371" s="6" t="s">
        <v>116</v>
      </c>
      <c r="B1371" s="7">
        <v>35769</v>
      </c>
      <c r="C1371">
        <v>0</v>
      </c>
      <c r="D1371">
        <v>1422</v>
      </c>
      <c r="E1371" s="6" t="s">
        <v>7</v>
      </c>
      <c r="F1371" s="6" t="s">
        <v>7</v>
      </c>
      <c r="G1371" s="6" t="s">
        <v>9</v>
      </c>
    </row>
    <row r="1372" spans="1:7" x14ac:dyDescent="0.35">
      <c r="A1372" s="6" t="s">
        <v>115</v>
      </c>
      <c r="B1372" s="7">
        <v>37126</v>
      </c>
      <c r="C1372">
        <v>0</v>
      </c>
      <c r="D1372">
        <v>1421</v>
      </c>
      <c r="E1372" s="6" t="s">
        <v>7</v>
      </c>
      <c r="F1372" s="6" t="s">
        <v>7</v>
      </c>
      <c r="G1372" s="6" t="s">
        <v>9</v>
      </c>
    </row>
    <row r="1373" spans="1:7" x14ac:dyDescent="0.35">
      <c r="A1373" s="6" t="s">
        <v>114</v>
      </c>
      <c r="B1373" s="7">
        <v>35239</v>
      </c>
      <c r="C1373">
        <v>0</v>
      </c>
      <c r="D1373">
        <v>1417</v>
      </c>
      <c r="E1373" s="6" t="s">
        <v>7</v>
      </c>
      <c r="F1373" s="6" t="s">
        <v>8</v>
      </c>
      <c r="G1373" s="6" t="s">
        <v>9</v>
      </c>
    </row>
    <row r="1374" spans="1:7" x14ac:dyDescent="0.35">
      <c r="A1374" s="6" t="s">
        <v>113</v>
      </c>
      <c r="B1374" s="7">
        <v>35730</v>
      </c>
      <c r="C1374">
        <v>0</v>
      </c>
      <c r="D1374">
        <v>1402</v>
      </c>
      <c r="E1374" s="6" t="s">
        <v>7</v>
      </c>
      <c r="F1374" s="6" t="s">
        <v>8</v>
      </c>
      <c r="G1374" s="6" t="s">
        <v>32</v>
      </c>
    </row>
    <row r="1375" spans="1:7" x14ac:dyDescent="0.35">
      <c r="A1375" s="6" t="s">
        <v>112</v>
      </c>
      <c r="B1375" s="7">
        <v>36043</v>
      </c>
      <c r="C1375">
        <v>0</v>
      </c>
      <c r="D1375">
        <v>1400.44</v>
      </c>
      <c r="E1375" s="6" t="s">
        <v>7</v>
      </c>
      <c r="F1375" s="6" t="s">
        <v>7</v>
      </c>
      <c r="G1375" s="6" t="s">
        <v>9</v>
      </c>
    </row>
    <row r="1376" spans="1:7" x14ac:dyDescent="0.35">
      <c r="A1376" s="6" t="s">
        <v>111</v>
      </c>
      <c r="B1376" s="7">
        <v>37612</v>
      </c>
      <c r="C1376">
        <v>0</v>
      </c>
      <c r="D1376">
        <v>1391.53</v>
      </c>
      <c r="E1376" s="6" t="s">
        <v>7</v>
      </c>
      <c r="F1376" s="6" t="s">
        <v>11</v>
      </c>
      <c r="G1376" s="6" t="s">
        <v>9</v>
      </c>
    </row>
    <row r="1377" spans="1:7" x14ac:dyDescent="0.35">
      <c r="A1377" s="6" t="s">
        <v>110</v>
      </c>
      <c r="B1377" s="7">
        <v>37574</v>
      </c>
      <c r="C1377">
        <v>0</v>
      </c>
      <c r="D1377">
        <v>1390</v>
      </c>
      <c r="E1377" s="6" t="s">
        <v>7</v>
      </c>
      <c r="F1377" s="6" t="s">
        <v>7</v>
      </c>
      <c r="G1377" s="6" t="s">
        <v>9</v>
      </c>
    </row>
    <row r="1378" spans="1:7" x14ac:dyDescent="0.35">
      <c r="A1378" s="6" t="s">
        <v>109</v>
      </c>
      <c r="B1378" s="7">
        <v>36347</v>
      </c>
      <c r="C1378">
        <v>0</v>
      </c>
      <c r="D1378">
        <v>1389</v>
      </c>
      <c r="E1378" s="6" t="s">
        <v>7</v>
      </c>
      <c r="F1378" s="6" t="s">
        <v>7</v>
      </c>
      <c r="G1378" s="6" t="s">
        <v>9</v>
      </c>
    </row>
    <row r="1379" spans="1:7" x14ac:dyDescent="0.35">
      <c r="A1379" s="6" t="s">
        <v>2139</v>
      </c>
      <c r="B1379" s="7">
        <v>27635</v>
      </c>
      <c r="C1379">
        <v>1</v>
      </c>
      <c r="D1379">
        <v>35050.620000000003</v>
      </c>
      <c r="E1379" s="6" t="s">
        <v>7</v>
      </c>
      <c r="F1379" s="6" t="s">
        <v>11</v>
      </c>
      <c r="G1379" s="6" t="s">
        <v>32</v>
      </c>
    </row>
    <row r="1380" spans="1:7" x14ac:dyDescent="0.35">
      <c r="A1380" s="6" t="s">
        <v>108</v>
      </c>
      <c r="B1380" s="7">
        <v>37483</v>
      </c>
      <c r="C1380">
        <v>0</v>
      </c>
      <c r="D1380">
        <v>1382</v>
      </c>
      <c r="E1380" s="6" t="s">
        <v>7</v>
      </c>
      <c r="F1380" s="6" t="s">
        <v>11</v>
      </c>
      <c r="G1380" s="6" t="s">
        <v>9</v>
      </c>
    </row>
    <row r="1381" spans="1:7" x14ac:dyDescent="0.35">
      <c r="A1381" s="6" t="s">
        <v>107</v>
      </c>
      <c r="B1381" s="7">
        <v>36132</v>
      </c>
      <c r="C1381">
        <v>0</v>
      </c>
      <c r="D1381">
        <v>1359</v>
      </c>
      <c r="E1381" s="6" t="s">
        <v>7</v>
      </c>
      <c r="F1381" s="6" t="s">
        <v>11</v>
      </c>
      <c r="G1381" s="6" t="s">
        <v>9</v>
      </c>
    </row>
    <row r="1382" spans="1:7" x14ac:dyDescent="0.35">
      <c r="A1382" s="6" t="s">
        <v>106</v>
      </c>
      <c r="B1382" s="7">
        <v>35741</v>
      </c>
      <c r="C1382">
        <v>0</v>
      </c>
      <c r="D1382">
        <v>1341.16</v>
      </c>
      <c r="E1382" s="6" t="s">
        <v>7</v>
      </c>
      <c r="F1382" s="6" t="s">
        <v>7</v>
      </c>
      <c r="G1382" s="6" t="s">
        <v>16</v>
      </c>
    </row>
    <row r="1383" spans="1:7" x14ac:dyDescent="0.35">
      <c r="A1383" s="6" t="s">
        <v>105</v>
      </c>
      <c r="B1383" s="7">
        <v>34910</v>
      </c>
      <c r="C1383">
        <v>0</v>
      </c>
      <c r="D1383">
        <v>1338</v>
      </c>
      <c r="E1383" s="6" t="s">
        <v>7</v>
      </c>
      <c r="F1383" s="6" t="s">
        <v>8</v>
      </c>
      <c r="G1383" s="6" t="s">
        <v>16</v>
      </c>
    </row>
    <row r="1384" spans="1:7" x14ac:dyDescent="0.35">
      <c r="A1384" s="6" t="s">
        <v>104</v>
      </c>
      <c r="B1384" s="7">
        <v>35988</v>
      </c>
      <c r="C1384">
        <v>0</v>
      </c>
      <c r="D1384">
        <v>1332.61</v>
      </c>
      <c r="E1384" s="6" t="s">
        <v>7</v>
      </c>
      <c r="F1384" s="6" t="s">
        <v>8</v>
      </c>
      <c r="G1384" s="6" t="s">
        <v>9</v>
      </c>
    </row>
    <row r="1385" spans="1:7" x14ac:dyDescent="0.35">
      <c r="A1385" s="6" t="s">
        <v>103</v>
      </c>
      <c r="B1385" s="7">
        <v>36447</v>
      </c>
      <c r="C1385">
        <v>0</v>
      </c>
      <c r="D1385">
        <v>1329.17</v>
      </c>
      <c r="E1385" s="6" t="s">
        <v>7</v>
      </c>
      <c r="F1385" s="6" t="s">
        <v>8</v>
      </c>
      <c r="G1385" s="6" t="s">
        <v>9</v>
      </c>
    </row>
    <row r="1386" spans="1:7" x14ac:dyDescent="0.35">
      <c r="A1386" s="6" t="s">
        <v>102</v>
      </c>
      <c r="B1386" s="7">
        <v>37542</v>
      </c>
      <c r="C1386">
        <v>0</v>
      </c>
      <c r="D1386">
        <v>1315</v>
      </c>
      <c r="E1386" s="6" t="s">
        <v>7</v>
      </c>
      <c r="F1386" s="6" t="s">
        <v>7</v>
      </c>
      <c r="G1386" s="6" t="s">
        <v>9</v>
      </c>
    </row>
    <row r="1387" spans="1:7" x14ac:dyDescent="0.35">
      <c r="A1387" s="6" t="s">
        <v>101</v>
      </c>
      <c r="B1387" s="7">
        <v>36496</v>
      </c>
      <c r="C1387">
        <v>0</v>
      </c>
      <c r="D1387">
        <v>1304</v>
      </c>
      <c r="E1387" s="6" t="s">
        <v>7</v>
      </c>
      <c r="F1387" s="6" t="s">
        <v>7</v>
      </c>
      <c r="G1387" s="6" t="s">
        <v>9</v>
      </c>
    </row>
    <row r="1388" spans="1:7" x14ac:dyDescent="0.35">
      <c r="A1388" s="6" t="s">
        <v>100</v>
      </c>
      <c r="B1388" s="7">
        <v>37600</v>
      </c>
      <c r="C1388">
        <v>0</v>
      </c>
      <c r="D1388">
        <v>1304</v>
      </c>
      <c r="E1388" s="6" t="s">
        <v>7</v>
      </c>
      <c r="F1388" s="6" t="s">
        <v>7</v>
      </c>
      <c r="G1388" s="6" t="s">
        <v>16</v>
      </c>
    </row>
    <row r="1389" spans="1:7" x14ac:dyDescent="0.35">
      <c r="A1389" s="6" t="s">
        <v>99</v>
      </c>
      <c r="B1389" s="7">
        <v>37224</v>
      </c>
      <c r="C1389">
        <v>0</v>
      </c>
      <c r="D1389">
        <v>1293</v>
      </c>
      <c r="E1389" s="6" t="s">
        <v>7</v>
      </c>
      <c r="F1389" s="6" t="s">
        <v>8</v>
      </c>
      <c r="G1389" s="6" t="s">
        <v>16</v>
      </c>
    </row>
    <row r="1390" spans="1:7" x14ac:dyDescent="0.35">
      <c r="A1390" s="6" t="s">
        <v>2138</v>
      </c>
      <c r="B1390" s="7">
        <v>30137</v>
      </c>
      <c r="C1390">
        <v>3</v>
      </c>
      <c r="D1390">
        <v>35000.730000000003</v>
      </c>
      <c r="E1390" s="6" t="s">
        <v>7</v>
      </c>
      <c r="F1390" s="6" t="s">
        <v>8</v>
      </c>
      <c r="G1390" s="6" t="s">
        <v>32</v>
      </c>
    </row>
    <row r="1391" spans="1:7" x14ac:dyDescent="0.35">
      <c r="A1391" s="6" t="s">
        <v>98</v>
      </c>
      <c r="B1391" s="7">
        <v>35950</v>
      </c>
      <c r="C1391">
        <v>0</v>
      </c>
      <c r="D1391">
        <v>1290.93</v>
      </c>
      <c r="E1391" s="6" t="s">
        <v>7</v>
      </c>
      <c r="F1391" s="6" t="s">
        <v>7</v>
      </c>
      <c r="G1391" s="6" t="s">
        <v>9</v>
      </c>
    </row>
    <row r="1392" spans="1:7" x14ac:dyDescent="0.35">
      <c r="A1392" s="6" t="s">
        <v>97</v>
      </c>
      <c r="B1392" s="7">
        <v>36703</v>
      </c>
      <c r="C1392">
        <v>0</v>
      </c>
      <c r="D1392">
        <v>1286</v>
      </c>
      <c r="E1392" s="6" t="s">
        <v>7</v>
      </c>
      <c r="F1392" s="6" t="s">
        <v>7</v>
      </c>
      <c r="G1392" s="6" t="s">
        <v>9</v>
      </c>
    </row>
    <row r="1393" spans="1:7" x14ac:dyDescent="0.35">
      <c r="A1393" s="6" t="s">
        <v>96</v>
      </c>
      <c r="B1393" s="7">
        <v>38196</v>
      </c>
      <c r="C1393">
        <v>0</v>
      </c>
      <c r="D1393">
        <v>1285</v>
      </c>
      <c r="E1393" s="6" t="s">
        <v>7</v>
      </c>
      <c r="F1393" s="6" t="s">
        <v>8</v>
      </c>
      <c r="G1393" s="6" t="s">
        <v>9</v>
      </c>
    </row>
    <row r="1394" spans="1:7" x14ac:dyDescent="0.35">
      <c r="A1394" s="6" t="s">
        <v>95</v>
      </c>
      <c r="B1394" s="7">
        <v>38260</v>
      </c>
      <c r="C1394">
        <v>0</v>
      </c>
      <c r="D1394">
        <v>1283</v>
      </c>
      <c r="E1394" s="6" t="s">
        <v>7</v>
      </c>
      <c r="F1394" s="6" t="s">
        <v>11</v>
      </c>
      <c r="G1394" s="6" t="s">
        <v>9</v>
      </c>
    </row>
    <row r="1395" spans="1:7" x14ac:dyDescent="0.35">
      <c r="A1395" s="6" t="s">
        <v>94</v>
      </c>
      <c r="B1395" s="7">
        <v>35729</v>
      </c>
      <c r="C1395">
        <v>0</v>
      </c>
      <c r="D1395">
        <v>1276</v>
      </c>
      <c r="E1395" s="6" t="s">
        <v>7</v>
      </c>
      <c r="F1395" s="6" t="s">
        <v>7</v>
      </c>
      <c r="G1395" s="6" t="s">
        <v>16</v>
      </c>
    </row>
    <row r="1396" spans="1:7" x14ac:dyDescent="0.35">
      <c r="A1396" s="6" t="s">
        <v>93</v>
      </c>
      <c r="B1396" s="7">
        <v>37594</v>
      </c>
      <c r="C1396">
        <v>0</v>
      </c>
      <c r="D1396">
        <v>1267</v>
      </c>
      <c r="E1396" s="6" t="s">
        <v>7</v>
      </c>
      <c r="F1396" s="6" t="s">
        <v>11</v>
      </c>
      <c r="G1396" s="6" t="s">
        <v>9</v>
      </c>
    </row>
    <row r="1397" spans="1:7" x14ac:dyDescent="0.35">
      <c r="A1397" s="6" t="s">
        <v>92</v>
      </c>
      <c r="B1397" s="7">
        <v>37946</v>
      </c>
      <c r="C1397">
        <v>0</v>
      </c>
      <c r="D1397">
        <v>1263.25</v>
      </c>
      <c r="E1397" s="6" t="s">
        <v>7</v>
      </c>
      <c r="F1397" s="6" t="s">
        <v>8</v>
      </c>
      <c r="G1397" s="6" t="s">
        <v>32</v>
      </c>
    </row>
    <row r="1398" spans="1:7" x14ac:dyDescent="0.35">
      <c r="A1398" s="6" t="s">
        <v>91</v>
      </c>
      <c r="B1398" s="7">
        <v>37848</v>
      </c>
      <c r="C1398">
        <v>0</v>
      </c>
      <c r="D1398">
        <v>1261.8599999999999</v>
      </c>
      <c r="E1398" s="6" t="s">
        <v>7</v>
      </c>
      <c r="F1398" s="6" t="s">
        <v>8</v>
      </c>
      <c r="G1398" s="6" t="s">
        <v>32</v>
      </c>
    </row>
    <row r="1399" spans="1:7" x14ac:dyDescent="0.35">
      <c r="A1399" s="6" t="s">
        <v>90</v>
      </c>
      <c r="B1399" s="7">
        <v>37924</v>
      </c>
      <c r="C1399">
        <v>0</v>
      </c>
      <c r="D1399">
        <v>1261.44</v>
      </c>
      <c r="E1399" s="6" t="s">
        <v>7</v>
      </c>
      <c r="F1399" s="6" t="s">
        <v>8</v>
      </c>
      <c r="G1399" s="6" t="s">
        <v>32</v>
      </c>
    </row>
    <row r="1400" spans="1:7" x14ac:dyDescent="0.35">
      <c r="A1400" s="6" t="s">
        <v>89</v>
      </c>
      <c r="B1400" s="7">
        <v>37907</v>
      </c>
      <c r="C1400">
        <v>0</v>
      </c>
      <c r="D1400">
        <v>1256.3</v>
      </c>
      <c r="E1400" s="6" t="s">
        <v>7</v>
      </c>
      <c r="F1400" s="6" t="s">
        <v>8</v>
      </c>
      <c r="G1400" s="6" t="s">
        <v>32</v>
      </c>
    </row>
    <row r="1401" spans="1:7" x14ac:dyDescent="0.35">
      <c r="A1401" s="6" t="s">
        <v>2137</v>
      </c>
      <c r="B1401" s="7">
        <v>35664</v>
      </c>
      <c r="C1401">
        <v>0</v>
      </c>
      <c r="D1401">
        <v>34979.86</v>
      </c>
      <c r="E1401" s="6" t="s">
        <v>7</v>
      </c>
      <c r="F1401" s="6" t="s">
        <v>7</v>
      </c>
      <c r="G1401" s="6" t="s">
        <v>32</v>
      </c>
    </row>
    <row r="1402" spans="1:7" x14ac:dyDescent="0.35">
      <c r="A1402" s="6" t="s">
        <v>88</v>
      </c>
      <c r="B1402" s="7">
        <v>37965</v>
      </c>
      <c r="C1402">
        <v>0</v>
      </c>
      <c r="D1402">
        <v>1253.94</v>
      </c>
      <c r="E1402" s="6" t="s">
        <v>7</v>
      </c>
      <c r="F1402" s="6" t="s">
        <v>7</v>
      </c>
      <c r="G1402" s="6" t="s">
        <v>32</v>
      </c>
    </row>
    <row r="1403" spans="1:7" x14ac:dyDescent="0.35">
      <c r="A1403" s="6" t="s">
        <v>87</v>
      </c>
      <c r="B1403" s="7">
        <v>35738</v>
      </c>
      <c r="C1403">
        <v>0</v>
      </c>
      <c r="D1403">
        <v>1253</v>
      </c>
      <c r="E1403" s="6" t="s">
        <v>7</v>
      </c>
      <c r="F1403" s="6" t="s">
        <v>7</v>
      </c>
      <c r="G1403" s="6" t="s">
        <v>9</v>
      </c>
    </row>
    <row r="1404" spans="1:7" x14ac:dyDescent="0.35">
      <c r="A1404" s="6" t="s">
        <v>86</v>
      </c>
      <c r="B1404" s="7">
        <v>37879</v>
      </c>
      <c r="C1404">
        <v>0</v>
      </c>
      <c r="D1404">
        <v>1252.4100000000001</v>
      </c>
      <c r="E1404" s="6" t="s">
        <v>7</v>
      </c>
      <c r="F1404" s="6" t="s">
        <v>8</v>
      </c>
      <c r="G1404" s="6" t="s">
        <v>32</v>
      </c>
    </row>
    <row r="1405" spans="1:7" x14ac:dyDescent="0.35">
      <c r="A1405" s="6" t="s">
        <v>85</v>
      </c>
      <c r="B1405" s="7">
        <v>37872</v>
      </c>
      <c r="C1405">
        <v>0</v>
      </c>
      <c r="D1405">
        <v>1242.82</v>
      </c>
      <c r="E1405" s="6" t="s">
        <v>7</v>
      </c>
      <c r="F1405" s="6" t="s">
        <v>11</v>
      </c>
      <c r="G1405" s="6" t="s">
        <v>32</v>
      </c>
    </row>
    <row r="1406" spans="1:7" x14ac:dyDescent="0.35">
      <c r="A1406" s="6" t="s">
        <v>84</v>
      </c>
      <c r="B1406" s="7">
        <v>37879</v>
      </c>
      <c r="C1406">
        <v>0</v>
      </c>
      <c r="D1406">
        <v>1242.26</v>
      </c>
      <c r="E1406" s="6" t="s">
        <v>7</v>
      </c>
      <c r="F1406" s="6" t="s">
        <v>11</v>
      </c>
      <c r="G1406" s="6" t="s">
        <v>32</v>
      </c>
    </row>
    <row r="1407" spans="1:7" x14ac:dyDescent="0.35">
      <c r="A1407" s="6" t="s">
        <v>83</v>
      </c>
      <c r="B1407" s="7">
        <v>37835</v>
      </c>
      <c r="C1407">
        <v>0</v>
      </c>
      <c r="D1407">
        <v>1241.57</v>
      </c>
      <c r="E1407" s="6" t="s">
        <v>7</v>
      </c>
      <c r="F1407" s="6" t="s">
        <v>7</v>
      </c>
      <c r="G1407" s="6" t="s">
        <v>32</v>
      </c>
    </row>
    <row r="1408" spans="1:7" x14ac:dyDescent="0.35">
      <c r="A1408" s="6" t="s">
        <v>82</v>
      </c>
      <c r="B1408" s="7">
        <v>37438</v>
      </c>
      <c r="C1408">
        <v>0</v>
      </c>
      <c r="D1408">
        <v>1241</v>
      </c>
      <c r="E1408" s="6" t="s">
        <v>7</v>
      </c>
      <c r="F1408" s="6" t="s">
        <v>7</v>
      </c>
      <c r="G1408" s="6" t="s">
        <v>9</v>
      </c>
    </row>
    <row r="1409" spans="1:7" x14ac:dyDescent="0.35">
      <c r="A1409" s="6" t="s">
        <v>81</v>
      </c>
      <c r="B1409" s="7">
        <v>36079</v>
      </c>
      <c r="C1409">
        <v>0</v>
      </c>
      <c r="D1409">
        <v>1240</v>
      </c>
      <c r="E1409" s="6" t="s">
        <v>7</v>
      </c>
      <c r="F1409" s="6" t="s">
        <v>11</v>
      </c>
      <c r="G1409" s="6" t="s">
        <v>16</v>
      </c>
    </row>
    <row r="1410" spans="1:7" x14ac:dyDescent="0.35">
      <c r="A1410" s="6" t="s">
        <v>80</v>
      </c>
      <c r="B1410" s="7">
        <v>37602</v>
      </c>
      <c r="C1410">
        <v>0</v>
      </c>
      <c r="D1410">
        <v>1237</v>
      </c>
      <c r="E1410" s="6" t="s">
        <v>7</v>
      </c>
      <c r="F1410" s="6" t="s">
        <v>7</v>
      </c>
      <c r="G1410" s="6" t="s">
        <v>9</v>
      </c>
    </row>
    <row r="1411" spans="1:7" x14ac:dyDescent="0.35">
      <c r="A1411" s="6" t="s">
        <v>79</v>
      </c>
      <c r="B1411" s="7">
        <v>35989</v>
      </c>
      <c r="C1411">
        <v>0</v>
      </c>
      <c r="D1411">
        <v>1234</v>
      </c>
      <c r="E1411" s="6" t="s">
        <v>7</v>
      </c>
      <c r="F1411" s="6" t="s">
        <v>11</v>
      </c>
      <c r="G1411" s="6" t="s">
        <v>9</v>
      </c>
    </row>
    <row r="1412" spans="1:7" x14ac:dyDescent="0.35">
      <c r="A1412" s="6" t="s">
        <v>2136</v>
      </c>
      <c r="B1412" s="7">
        <v>36029</v>
      </c>
      <c r="C1412">
        <v>0</v>
      </c>
      <c r="D1412">
        <v>34976.42</v>
      </c>
      <c r="E1412" s="6" t="s">
        <v>7</v>
      </c>
      <c r="F1412" s="6" t="s">
        <v>11</v>
      </c>
      <c r="G1412" s="6" t="s">
        <v>32</v>
      </c>
    </row>
    <row r="1413" spans="1:7" x14ac:dyDescent="0.35">
      <c r="A1413" s="6" t="s">
        <v>78</v>
      </c>
      <c r="B1413" s="7">
        <v>38276</v>
      </c>
      <c r="C1413">
        <v>0</v>
      </c>
      <c r="D1413">
        <v>1228</v>
      </c>
      <c r="E1413" s="6" t="s">
        <v>7</v>
      </c>
      <c r="F1413" s="6" t="s">
        <v>11</v>
      </c>
      <c r="G1413" s="6" t="s">
        <v>16</v>
      </c>
    </row>
    <row r="1414" spans="1:7" x14ac:dyDescent="0.35">
      <c r="A1414" s="6" t="s">
        <v>77</v>
      </c>
      <c r="B1414" s="7">
        <v>38177</v>
      </c>
      <c r="C1414">
        <v>0</v>
      </c>
      <c r="D1414">
        <v>1224</v>
      </c>
      <c r="E1414" s="6" t="s">
        <v>7</v>
      </c>
      <c r="F1414" s="6" t="s">
        <v>11</v>
      </c>
      <c r="G1414" s="6" t="s">
        <v>9</v>
      </c>
    </row>
    <row r="1415" spans="1:7" x14ac:dyDescent="0.35">
      <c r="A1415" s="6" t="s">
        <v>76</v>
      </c>
      <c r="B1415" s="7">
        <v>35373</v>
      </c>
      <c r="C1415">
        <v>0</v>
      </c>
      <c r="D1415">
        <v>1220</v>
      </c>
      <c r="E1415" s="6" t="s">
        <v>7</v>
      </c>
      <c r="F1415" s="6" t="s">
        <v>8</v>
      </c>
      <c r="G1415" s="6" t="s">
        <v>16</v>
      </c>
    </row>
    <row r="1416" spans="1:7" x14ac:dyDescent="0.35">
      <c r="A1416" s="6" t="s">
        <v>75</v>
      </c>
      <c r="B1416" s="7">
        <v>38140</v>
      </c>
      <c r="C1416">
        <v>0</v>
      </c>
      <c r="D1416">
        <v>1210</v>
      </c>
      <c r="E1416" s="6" t="s">
        <v>7</v>
      </c>
      <c r="F1416" s="6" t="s">
        <v>11</v>
      </c>
      <c r="G1416" s="6" t="s">
        <v>9</v>
      </c>
    </row>
    <row r="1417" spans="1:7" x14ac:dyDescent="0.35">
      <c r="A1417" s="6" t="s">
        <v>74</v>
      </c>
      <c r="B1417" s="7">
        <v>33883</v>
      </c>
      <c r="C1417">
        <v>0</v>
      </c>
      <c r="D1417">
        <v>1200.55</v>
      </c>
      <c r="E1417" s="6" t="s">
        <v>7</v>
      </c>
      <c r="F1417" s="6" t="s">
        <v>8</v>
      </c>
      <c r="G1417" s="6" t="s">
        <v>9</v>
      </c>
    </row>
    <row r="1418" spans="1:7" x14ac:dyDescent="0.35">
      <c r="A1418" s="6" t="s">
        <v>73</v>
      </c>
      <c r="B1418" s="7">
        <v>36339</v>
      </c>
      <c r="C1418">
        <v>0</v>
      </c>
      <c r="D1418">
        <v>1200</v>
      </c>
      <c r="E1418" s="6" t="s">
        <v>7</v>
      </c>
      <c r="F1418" s="6" t="s">
        <v>8</v>
      </c>
      <c r="G1418" s="6" t="s">
        <v>16</v>
      </c>
    </row>
    <row r="1419" spans="1:7" x14ac:dyDescent="0.35">
      <c r="A1419" s="6" t="s">
        <v>72</v>
      </c>
      <c r="B1419" s="7">
        <v>37494</v>
      </c>
      <c r="C1419">
        <v>0</v>
      </c>
      <c r="D1419">
        <v>1191</v>
      </c>
      <c r="E1419" s="6" t="s">
        <v>7</v>
      </c>
      <c r="F1419" s="6" t="s">
        <v>11</v>
      </c>
      <c r="G1419" s="6" t="s">
        <v>9</v>
      </c>
    </row>
    <row r="1420" spans="1:7" x14ac:dyDescent="0.35">
      <c r="A1420" s="6" t="s">
        <v>71</v>
      </c>
      <c r="B1420" s="7">
        <v>35609</v>
      </c>
      <c r="C1420">
        <v>0</v>
      </c>
      <c r="D1420">
        <v>1178.07</v>
      </c>
      <c r="E1420" s="6" t="s">
        <v>7</v>
      </c>
      <c r="F1420" s="6" t="s">
        <v>7</v>
      </c>
      <c r="G1420" s="6" t="s">
        <v>9</v>
      </c>
    </row>
    <row r="1421" spans="1:7" x14ac:dyDescent="0.35">
      <c r="A1421" s="6" t="s">
        <v>70</v>
      </c>
      <c r="B1421" s="7">
        <v>35288</v>
      </c>
      <c r="C1421">
        <v>0</v>
      </c>
      <c r="D1421">
        <v>1178</v>
      </c>
      <c r="E1421" s="6" t="s">
        <v>7</v>
      </c>
      <c r="F1421" s="6" t="s">
        <v>8</v>
      </c>
      <c r="G1421" s="6" t="s">
        <v>9</v>
      </c>
    </row>
    <row r="1422" spans="1:7" x14ac:dyDescent="0.35">
      <c r="A1422" s="6" t="s">
        <v>69</v>
      </c>
      <c r="B1422" s="7">
        <v>37207</v>
      </c>
      <c r="C1422">
        <v>0</v>
      </c>
      <c r="D1422">
        <v>1167</v>
      </c>
      <c r="E1422" s="6" t="s">
        <v>7</v>
      </c>
      <c r="F1422" s="6" t="s">
        <v>11</v>
      </c>
      <c r="G1422" s="6" t="s">
        <v>9</v>
      </c>
    </row>
    <row r="1423" spans="1:7" x14ac:dyDescent="0.35">
      <c r="A1423" s="6" t="s">
        <v>2135</v>
      </c>
      <c r="B1423" s="7">
        <v>24752</v>
      </c>
      <c r="C1423">
        <v>0</v>
      </c>
      <c r="D1423">
        <v>34975.68</v>
      </c>
      <c r="E1423" s="6" t="s">
        <v>7</v>
      </c>
      <c r="F1423" s="6" t="s">
        <v>7</v>
      </c>
      <c r="G1423" s="6" t="s">
        <v>32</v>
      </c>
    </row>
    <row r="1424" spans="1:7" x14ac:dyDescent="0.35">
      <c r="A1424" s="6" t="s">
        <v>68</v>
      </c>
      <c r="B1424" s="7">
        <v>37418</v>
      </c>
      <c r="C1424">
        <v>0</v>
      </c>
      <c r="D1424">
        <v>1165</v>
      </c>
      <c r="E1424" s="6" t="s">
        <v>7</v>
      </c>
      <c r="F1424" s="6" t="s">
        <v>8</v>
      </c>
      <c r="G1424" s="6" t="s">
        <v>16</v>
      </c>
    </row>
    <row r="1425" spans="1:7" x14ac:dyDescent="0.35">
      <c r="A1425" s="6" t="s">
        <v>67</v>
      </c>
      <c r="B1425" s="7">
        <v>38302</v>
      </c>
      <c r="C1425">
        <v>0</v>
      </c>
      <c r="D1425">
        <v>1163.46</v>
      </c>
      <c r="E1425" s="6" t="s">
        <v>7</v>
      </c>
      <c r="F1425" s="6" t="s">
        <v>8</v>
      </c>
      <c r="G1425" s="6" t="s">
        <v>9</v>
      </c>
    </row>
    <row r="1426" spans="1:7" x14ac:dyDescent="0.35">
      <c r="A1426" s="6" t="s">
        <v>66</v>
      </c>
      <c r="B1426" s="7">
        <v>34541</v>
      </c>
      <c r="C1426">
        <v>0</v>
      </c>
      <c r="D1426">
        <v>1158.32</v>
      </c>
      <c r="E1426" s="6" t="s">
        <v>7</v>
      </c>
      <c r="F1426" s="6" t="s">
        <v>11</v>
      </c>
      <c r="G1426" s="6" t="s">
        <v>9</v>
      </c>
    </row>
    <row r="1427" spans="1:7" x14ac:dyDescent="0.35">
      <c r="A1427" s="6" t="s">
        <v>65</v>
      </c>
      <c r="B1427" s="7">
        <v>38186</v>
      </c>
      <c r="C1427">
        <v>0</v>
      </c>
      <c r="D1427">
        <v>1149.4000000000001</v>
      </c>
      <c r="E1427" s="6" t="s">
        <v>7</v>
      </c>
      <c r="F1427" s="6" t="s">
        <v>7</v>
      </c>
      <c r="G1427" s="6" t="s">
        <v>9</v>
      </c>
    </row>
    <row r="1428" spans="1:7" x14ac:dyDescent="0.35">
      <c r="A1428" s="6" t="s">
        <v>64</v>
      </c>
      <c r="B1428" s="7">
        <v>37784</v>
      </c>
      <c r="C1428">
        <v>0</v>
      </c>
      <c r="D1428">
        <v>1149</v>
      </c>
      <c r="E1428" s="6" t="s">
        <v>7</v>
      </c>
      <c r="F1428" s="6" t="s">
        <v>11</v>
      </c>
      <c r="G1428" s="6" t="s">
        <v>16</v>
      </c>
    </row>
    <row r="1429" spans="1:7" x14ac:dyDescent="0.35">
      <c r="A1429" s="6" t="s">
        <v>63</v>
      </c>
      <c r="B1429" s="7">
        <v>38148</v>
      </c>
      <c r="C1429">
        <v>0</v>
      </c>
      <c r="D1429">
        <v>1146.8</v>
      </c>
      <c r="E1429" s="6" t="s">
        <v>7</v>
      </c>
      <c r="F1429" s="6" t="s">
        <v>7</v>
      </c>
      <c r="G1429" s="6" t="s">
        <v>9</v>
      </c>
    </row>
    <row r="1430" spans="1:7" x14ac:dyDescent="0.35">
      <c r="A1430" s="6" t="s">
        <v>62</v>
      </c>
      <c r="B1430" s="7">
        <v>37530</v>
      </c>
      <c r="C1430">
        <v>0</v>
      </c>
      <c r="D1430">
        <v>1142</v>
      </c>
      <c r="E1430" s="6" t="s">
        <v>8</v>
      </c>
      <c r="F1430" s="6" t="s">
        <v>7</v>
      </c>
      <c r="G1430" s="6" t="s">
        <v>32</v>
      </c>
    </row>
    <row r="1431" spans="1:7" x14ac:dyDescent="0.35">
      <c r="A1431" s="6" t="s">
        <v>61</v>
      </c>
      <c r="B1431" s="7">
        <v>38242</v>
      </c>
      <c r="C1431">
        <v>0</v>
      </c>
      <c r="D1431">
        <v>1141.45</v>
      </c>
      <c r="E1431" s="6" t="s">
        <v>8</v>
      </c>
      <c r="F1431" s="6" t="s">
        <v>8</v>
      </c>
      <c r="G1431" s="6" t="s">
        <v>9</v>
      </c>
    </row>
    <row r="1432" spans="1:7" x14ac:dyDescent="0.35">
      <c r="A1432" s="6" t="s">
        <v>60</v>
      </c>
      <c r="B1432" s="7">
        <v>37189</v>
      </c>
      <c r="C1432">
        <v>0</v>
      </c>
      <c r="D1432">
        <v>1141</v>
      </c>
      <c r="E1432" s="6" t="s">
        <v>8</v>
      </c>
      <c r="F1432" s="6" t="s">
        <v>11</v>
      </c>
      <c r="G1432" s="6" t="s">
        <v>9</v>
      </c>
    </row>
    <row r="1433" spans="1:7" x14ac:dyDescent="0.35">
      <c r="A1433" s="6" t="s">
        <v>59</v>
      </c>
      <c r="B1433" s="7">
        <v>38318</v>
      </c>
      <c r="C1433">
        <v>0</v>
      </c>
      <c r="D1433">
        <v>1137.47</v>
      </c>
      <c r="E1433" s="6" t="s">
        <v>8</v>
      </c>
      <c r="F1433" s="6" t="s">
        <v>7</v>
      </c>
      <c r="G1433" s="6" t="s">
        <v>9</v>
      </c>
    </row>
    <row r="1434" spans="1:7" x14ac:dyDescent="0.35">
      <c r="A1434" s="6" t="s">
        <v>2134</v>
      </c>
      <c r="B1434" s="7">
        <v>30526</v>
      </c>
      <c r="C1434">
        <v>3</v>
      </c>
      <c r="D1434">
        <v>34940.61</v>
      </c>
      <c r="E1434" s="6" t="s">
        <v>7</v>
      </c>
      <c r="F1434" s="6" t="s">
        <v>8</v>
      </c>
      <c r="G1434" s="6" t="s">
        <v>32</v>
      </c>
    </row>
    <row r="1435" spans="1:7" x14ac:dyDescent="0.35">
      <c r="A1435" s="6" t="s">
        <v>58</v>
      </c>
      <c r="B1435" s="7">
        <v>38275</v>
      </c>
      <c r="C1435">
        <v>0</v>
      </c>
      <c r="D1435">
        <v>1137.01</v>
      </c>
      <c r="E1435" s="6" t="s">
        <v>8</v>
      </c>
      <c r="F1435" s="6" t="s">
        <v>11</v>
      </c>
      <c r="G1435" s="6" t="s">
        <v>9</v>
      </c>
    </row>
    <row r="1436" spans="1:7" x14ac:dyDescent="0.35">
      <c r="A1436" s="6" t="s">
        <v>57</v>
      </c>
      <c r="B1436" s="7">
        <v>37479</v>
      </c>
      <c r="C1436">
        <v>0</v>
      </c>
      <c r="D1436">
        <v>1137</v>
      </c>
      <c r="E1436" s="6" t="s">
        <v>8</v>
      </c>
      <c r="F1436" s="6" t="s">
        <v>11</v>
      </c>
      <c r="G1436" s="6" t="s">
        <v>9</v>
      </c>
    </row>
    <row r="1437" spans="1:7" x14ac:dyDescent="0.35">
      <c r="A1437" s="6" t="s">
        <v>56</v>
      </c>
      <c r="B1437" s="7">
        <v>38319</v>
      </c>
      <c r="C1437">
        <v>0</v>
      </c>
      <c r="D1437">
        <v>1136.4000000000001</v>
      </c>
      <c r="E1437" s="6" t="s">
        <v>8</v>
      </c>
      <c r="F1437" s="6" t="s">
        <v>8</v>
      </c>
      <c r="G1437" s="6" t="s">
        <v>9</v>
      </c>
    </row>
    <row r="1438" spans="1:7" x14ac:dyDescent="0.35">
      <c r="A1438" s="6" t="s">
        <v>55</v>
      </c>
      <c r="B1438" s="7">
        <v>38149</v>
      </c>
      <c r="C1438">
        <v>0</v>
      </c>
      <c r="D1438">
        <v>1135.94</v>
      </c>
      <c r="E1438" s="6" t="s">
        <v>8</v>
      </c>
      <c r="F1438" s="6" t="s">
        <v>8</v>
      </c>
      <c r="G1438" s="6" t="s">
        <v>9</v>
      </c>
    </row>
    <row r="1439" spans="1:7" x14ac:dyDescent="0.35">
      <c r="A1439" s="6" t="s">
        <v>54</v>
      </c>
      <c r="B1439" s="7">
        <v>38266</v>
      </c>
      <c r="C1439">
        <v>0</v>
      </c>
      <c r="D1439">
        <v>1135</v>
      </c>
      <c r="E1439" s="6" t="s">
        <v>8</v>
      </c>
      <c r="F1439" s="6" t="s">
        <v>8</v>
      </c>
      <c r="G1439" s="6" t="s">
        <v>9</v>
      </c>
    </row>
    <row r="1440" spans="1:7" x14ac:dyDescent="0.35">
      <c r="A1440" s="6" t="s">
        <v>53</v>
      </c>
      <c r="B1440" s="7">
        <v>37456</v>
      </c>
      <c r="C1440">
        <v>0</v>
      </c>
      <c r="D1440">
        <v>1132</v>
      </c>
      <c r="E1440" s="6" t="s">
        <v>8</v>
      </c>
      <c r="F1440" s="6" t="s">
        <v>11</v>
      </c>
      <c r="G1440" s="6" t="s">
        <v>9</v>
      </c>
    </row>
    <row r="1441" spans="1:7" x14ac:dyDescent="0.35">
      <c r="A1441" s="6" t="s">
        <v>52</v>
      </c>
      <c r="B1441" s="7">
        <v>38152</v>
      </c>
      <c r="C1441">
        <v>0</v>
      </c>
      <c r="D1441">
        <v>1131.51</v>
      </c>
      <c r="E1441" s="6" t="s">
        <v>8</v>
      </c>
      <c r="F1441" s="6" t="s">
        <v>11</v>
      </c>
      <c r="G1441" s="6" t="s">
        <v>9</v>
      </c>
    </row>
    <row r="1442" spans="1:7" x14ac:dyDescent="0.35">
      <c r="A1442" s="6" t="s">
        <v>51</v>
      </c>
      <c r="B1442" s="7">
        <v>38303</v>
      </c>
      <c r="C1442">
        <v>0</v>
      </c>
      <c r="D1442">
        <v>1121.8699999999999</v>
      </c>
      <c r="E1442" s="6" t="s">
        <v>8</v>
      </c>
      <c r="F1442" s="6" t="s">
        <v>11</v>
      </c>
      <c r="G1442" s="6" t="s">
        <v>9</v>
      </c>
    </row>
    <row r="1443" spans="1:7" x14ac:dyDescent="0.35">
      <c r="A1443" s="6" t="s">
        <v>50</v>
      </c>
      <c r="B1443" s="7">
        <v>37481</v>
      </c>
      <c r="C1443">
        <v>0</v>
      </c>
      <c r="D1443">
        <v>1086</v>
      </c>
      <c r="E1443" s="6" t="s">
        <v>8</v>
      </c>
      <c r="F1443" s="6" t="s">
        <v>8</v>
      </c>
      <c r="G1443" s="6" t="s">
        <v>9</v>
      </c>
    </row>
    <row r="1444" spans="1:7" x14ac:dyDescent="0.35">
      <c r="A1444" s="6" t="s">
        <v>49</v>
      </c>
      <c r="B1444" s="7">
        <v>36155</v>
      </c>
      <c r="C1444">
        <v>0</v>
      </c>
      <c r="D1444">
        <v>1082</v>
      </c>
      <c r="E1444" s="6" t="s">
        <v>8</v>
      </c>
      <c r="F1444" s="6" t="s">
        <v>7</v>
      </c>
      <c r="G1444" s="6" t="s">
        <v>9</v>
      </c>
    </row>
    <row r="1445" spans="1:7" x14ac:dyDescent="0.35">
      <c r="A1445" s="6" t="s">
        <v>2340</v>
      </c>
      <c r="B1445" s="7">
        <v>21431</v>
      </c>
      <c r="C1445">
        <v>2</v>
      </c>
      <c r="D1445">
        <v>47291.06</v>
      </c>
      <c r="E1445" s="6" t="s">
        <v>7</v>
      </c>
      <c r="F1445" s="6" t="s">
        <v>11</v>
      </c>
      <c r="G1445" s="6" t="s">
        <v>32</v>
      </c>
    </row>
    <row r="1446" spans="1:7" x14ac:dyDescent="0.35">
      <c r="A1446" s="6" t="s">
        <v>2133</v>
      </c>
      <c r="B1446" s="7">
        <v>34989</v>
      </c>
      <c r="C1446">
        <v>0</v>
      </c>
      <c r="D1446">
        <v>34838.870000000003</v>
      </c>
      <c r="E1446" s="6" t="s">
        <v>7</v>
      </c>
      <c r="F1446" s="6" t="s">
        <v>8</v>
      </c>
      <c r="G1446" s="6" t="s">
        <v>32</v>
      </c>
    </row>
    <row r="1447" spans="1:7" x14ac:dyDescent="0.35">
      <c r="A1447" s="6" t="s">
        <v>48</v>
      </c>
      <c r="B1447" s="7">
        <v>35655</v>
      </c>
      <c r="C1447">
        <v>0</v>
      </c>
      <c r="D1447">
        <v>1071</v>
      </c>
      <c r="E1447" s="6" t="s">
        <v>8</v>
      </c>
      <c r="F1447" s="6" t="s">
        <v>8</v>
      </c>
      <c r="G1447" s="6" t="s">
        <v>9</v>
      </c>
    </row>
    <row r="1448" spans="1:7" x14ac:dyDescent="0.35">
      <c r="A1448" s="6" t="s">
        <v>47</v>
      </c>
      <c r="B1448" s="7">
        <v>38223</v>
      </c>
      <c r="C1448">
        <v>0</v>
      </c>
      <c r="D1448">
        <v>1070</v>
      </c>
      <c r="E1448" s="6" t="s">
        <v>8</v>
      </c>
      <c r="F1448" s="6" t="s">
        <v>8</v>
      </c>
      <c r="G1448" s="6" t="s">
        <v>9</v>
      </c>
    </row>
    <row r="1449" spans="1:7" x14ac:dyDescent="0.35">
      <c r="A1449" s="6" t="s">
        <v>46</v>
      </c>
      <c r="B1449" s="7">
        <v>34240</v>
      </c>
      <c r="C1449">
        <v>0</v>
      </c>
      <c r="D1449">
        <v>1068</v>
      </c>
      <c r="E1449" s="6" t="s">
        <v>8</v>
      </c>
      <c r="F1449" s="6" t="s">
        <v>11</v>
      </c>
      <c r="G1449" s="6" t="s">
        <v>9</v>
      </c>
    </row>
    <row r="1450" spans="1:7" x14ac:dyDescent="0.35">
      <c r="A1450" s="6" t="s">
        <v>45</v>
      </c>
      <c r="B1450" s="7">
        <v>34851</v>
      </c>
      <c r="C1450">
        <v>0</v>
      </c>
      <c r="D1450">
        <v>1056</v>
      </c>
      <c r="E1450" s="6" t="s">
        <v>8</v>
      </c>
      <c r="F1450" s="6" t="s">
        <v>7</v>
      </c>
      <c r="G1450" s="6" t="s">
        <v>9</v>
      </c>
    </row>
    <row r="1451" spans="1:7" x14ac:dyDescent="0.35">
      <c r="A1451" s="6" t="s">
        <v>44</v>
      </c>
      <c r="B1451" s="7">
        <v>37438</v>
      </c>
      <c r="C1451">
        <v>0</v>
      </c>
      <c r="D1451">
        <v>1049</v>
      </c>
      <c r="E1451" s="6" t="s">
        <v>8</v>
      </c>
      <c r="F1451" s="6" t="s">
        <v>7</v>
      </c>
      <c r="G1451" s="6" t="s">
        <v>16</v>
      </c>
    </row>
    <row r="1452" spans="1:7" x14ac:dyDescent="0.35">
      <c r="A1452" s="6" t="s">
        <v>43</v>
      </c>
      <c r="B1452" s="7">
        <v>37457</v>
      </c>
      <c r="C1452">
        <v>0</v>
      </c>
      <c r="D1452">
        <v>1047</v>
      </c>
      <c r="E1452" s="6" t="s">
        <v>8</v>
      </c>
      <c r="F1452" s="6" t="s">
        <v>11</v>
      </c>
      <c r="G1452" s="6" t="s">
        <v>9</v>
      </c>
    </row>
    <row r="1453" spans="1:7" x14ac:dyDescent="0.35">
      <c r="A1453" s="6" t="s">
        <v>42</v>
      </c>
      <c r="B1453" s="7">
        <v>34655</v>
      </c>
      <c r="C1453">
        <v>0</v>
      </c>
      <c r="D1453">
        <v>1044</v>
      </c>
      <c r="E1453" s="6" t="s">
        <v>8</v>
      </c>
      <c r="F1453" s="6" t="s">
        <v>7</v>
      </c>
      <c r="G1453" s="6" t="s">
        <v>9</v>
      </c>
    </row>
    <row r="1454" spans="1:7" x14ac:dyDescent="0.35">
      <c r="A1454" s="6" t="s">
        <v>41</v>
      </c>
      <c r="B1454" s="7">
        <v>34977</v>
      </c>
      <c r="C1454">
        <v>0</v>
      </c>
      <c r="D1454">
        <v>1033.74</v>
      </c>
      <c r="E1454" s="6" t="s">
        <v>8</v>
      </c>
      <c r="F1454" s="6" t="s">
        <v>11</v>
      </c>
      <c r="G1454" s="6" t="s">
        <v>9</v>
      </c>
    </row>
    <row r="1455" spans="1:7" x14ac:dyDescent="0.35">
      <c r="A1455" s="6" t="s">
        <v>40</v>
      </c>
      <c r="B1455" s="7">
        <v>36377</v>
      </c>
      <c r="C1455">
        <v>0</v>
      </c>
      <c r="D1455">
        <v>1019</v>
      </c>
      <c r="E1455" s="6" t="s">
        <v>8</v>
      </c>
      <c r="F1455" s="6" t="s">
        <v>7</v>
      </c>
      <c r="G1455" s="6" t="s">
        <v>9</v>
      </c>
    </row>
    <row r="1456" spans="1:7" x14ac:dyDescent="0.35">
      <c r="A1456" s="6" t="s">
        <v>39</v>
      </c>
      <c r="B1456" s="7">
        <v>36808</v>
      </c>
      <c r="C1456">
        <v>0</v>
      </c>
      <c r="D1456">
        <v>1012</v>
      </c>
      <c r="E1456" s="6" t="s">
        <v>8</v>
      </c>
      <c r="F1456" s="6" t="s">
        <v>7</v>
      </c>
      <c r="G1456" s="6" t="s">
        <v>9</v>
      </c>
    </row>
    <row r="1457" spans="1:7" x14ac:dyDescent="0.35">
      <c r="A1457" s="6" t="s">
        <v>2132</v>
      </c>
      <c r="B1457" s="7">
        <v>37881</v>
      </c>
      <c r="C1457">
        <v>0</v>
      </c>
      <c r="D1457">
        <v>34828.65</v>
      </c>
      <c r="E1457" s="6" t="s">
        <v>11</v>
      </c>
      <c r="F1457" s="6" t="s">
        <v>8</v>
      </c>
      <c r="G1457" s="6" t="s">
        <v>32</v>
      </c>
    </row>
    <row r="1458" spans="1:7" x14ac:dyDescent="0.35">
      <c r="A1458" s="6" t="s">
        <v>38</v>
      </c>
      <c r="B1458" s="7">
        <v>34660</v>
      </c>
      <c r="C1458">
        <v>0</v>
      </c>
      <c r="D1458">
        <v>1006.65</v>
      </c>
      <c r="E1458" s="6" t="s">
        <v>8</v>
      </c>
      <c r="F1458" s="6" t="s">
        <v>7</v>
      </c>
      <c r="G1458" s="6" t="s">
        <v>9</v>
      </c>
    </row>
    <row r="1459" spans="1:7" x14ac:dyDescent="0.35">
      <c r="A1459" s="6" t="s">
        <v>37</v>
      </c>
      <c r="B1459" s="7">
        <v>37122</v>
      </c>
      <c r="C1459">
        <v>0</v>
      </c>
      <c r="D1459">
        <v>964.71</v>
      </c>
      <c r="E1459" s="6" t="s">
        <v>8</v>
      </c>
      <c r="F1459" s="6" t="s">
        <v>7</v>
      </c>
      <c r="G1459" s="6" t="s">
        <v>9</v>
      </c>
    </row>
    <row r="1460" spans="1:7" x14ac:dyDescent="0.35">
      <c r="A1460" s="6" t="s">
        <v>36</v>
      </c>
      <c r="B1460" s="7">
        <v>35000</v>
      </c>
      <c r="C1460">
        <v>0</v>
      </c>
      <c r="D1460">
        <v>928.59</v>
      </c>
      <c r="E1460" s="6" t="s">
        <v>8</v>
      </c>
      <c r="F1460" s="6" t="s">
        <v>11</v>
      </c>
      <c r="G1460" s="6" t="s">
        <v>9</v>
      </c>
    </row>
    <row r="1461" spans="1:7" x14ac:dyDescent="0.35">
      <c r="A1461" s="6" t="s">
        <v>35</v>
      </c>
      <c r="B1461" s="7">
        <v>34637</v>
      </c>
      <c r="C1461">
        <v>0</v>
      </c>
      <c r="D1461">
        <v>915.07</v>
      </c>
      <c r="E1461" s="6" t="s">
        <v>8</v>
      </c>
      <c r="F1461" s="6" t="s">
        <v>11</v>
      </c>
      <c r="G1461" s="6" t="s">
        <v>9</v>
      </c>
    </row>
    <row r="1462" spans="1:7" x14ac:dyDescent="0.35">
      <c r="A1462" s="6" t="s">
        <v>34</v>
      </c>
      <c r="B1462" s="7">
        <v>34300</v>
      </c>
      <c r="C1462">
        <v>0</v>
      </c>
      <c r="D1462">
        <v>896.21</v>
      </c>
      <c r="E1462" s="6" t="s">
        <v>8</v>
      </c>
      <c r="F1462" s="6" t="s">
        <v>11</v>
      </c>
      <c r="G1462" s="6" t="s">
        <v>9</v>
      </c>
    </row>
    <row r="1463" spans="1:7" x14ac:dyDescent="0.35">
      <c r="A1463" s="6" t="s">
        <v>33</v>
      </c>
      <c r="B1463" s="7">
        <v>36848</v>
      </c>
      <c r="C1463">
        <v>0</v>
      </c>
      <c r="D1463">
        <v>865.41</v>
      </c>
      <c r="E1463" s="6" t="s">
        <v>8</v>
      </c>
      <c r="F1463" s="6" t="s">
        <v>11</v>
      </c>
      <c r="G1463" s="6" t="s">
        <v>9</v>
      </c>
    </row>
    <row r="1464" spans="1:7" x14ac:dyDescent="0.35">
      <c r="A1464" s="6" t="s">
        <v>31</v>
      </c>
      <c r="B1464" s="7">
        <v>38267</v>
      </c>
      <c r="C1464">
        <v>0</v>
      </c>
      <c r="D1464">
        <v>830.52</v>
      </c>
      <c r="E1464" s="6" t="s">
        <v>8</v>
      </c>
      <c r="F1464" s="6" t="s">
        <v>7</v>
      </c>
      <c r="G1464" s="6" t="s">
        <v>32</v>
      </c>
    </row>
    <row r="1465" spans="1:7" x14ac:dyDescent="0.35">
      <c r="A1465" s="6" t="s">
        <v>30</v>
      </c>
      <c r="B1465" s="7">
        <v>35040</v>
      </c>
      <c r="C1465">
        <v>0</v>
      </c>
      <c r="D1465">
        <v>773.54</v>
      </c>
      <c r="E1465" s="6" t="s">
        <v>8</v>
      </c>
      <c r="F1465" s="6" t="s">
        <v>7</v>
      </c>
      <c r="G1465" s="6" t="s">
        <v>9</v>
      </c>
    </row>
    <row r="1466" spans="1:7" x14ac:dyDescent="0.35">
      <c r="A1466" s="6" t="s">
        <v>29</v>
      </c>
      <c r="B1466" s="7"/>
      <c r="C1466">
        <v>0</v>
      </c>
      <c r="D1466">
        <v>770.38</v>
      </c>
      <c r="E1466" s="6" t="s">
        <v>8</v>
      </c>
      <c r="F1466" s="6" t="s">
        <v>23</v>
      </c>
      <c r="G1466" s="6" t="s">
        <v>16</v>
      </c>
    </row>
    <row r="1467" spans="1:7" x14ac:dyDescent="0.35">
      <c r="A1467" s="6" t="s">
        <v>28</v>
      </c>
      <c r="B1467" s="7">
        <v>34148</v>
      </c>
      <c r="C1467">
        <v>0</v>
      </c>
      <c r="D1467">
        <v>770</v>
      </c>
      <c r="E1467" s="6" t="s">
        <v>8</v>
      </c>
      <c r="F1467" s="6" t="s">
        <v>8</v>
      </c>
      <c r="G1467" s="6" t="s">
        <v>9</v>
      </c>
    </row>
    <row r="1468" spans="1:7" x14ac:dyDescent="0.35">
      <c r="A1468" s="6" t="s">
        <v>2131</v>
      </c>
      <c r="B1468" s="7">
        <v>35060</v>
      </c>
      <c r="C1468">
        <v>1</v>
      </c>
      <c r="D1468">
        <v>34806.47</v>
      </c>
      <c r="E1468" s="6" t="s">
        <v>11</v>
      </c>
      <c r="F1468" s="6" t="s">
        <v>7</v>
      </c>
      <c r="G1468" s="6" t="s">
        <v>9</v>
      </c>
    </row>
    <row r="1469" spans="1:7" x14ac:dyDescent="0.35">
      <c r="A1469" s="6" t="s">
        <v>27</v>
      </c>
      <c r="B1469" s="7">
        <v>35360</v>
      </c>
      <c r="C1469">
        <v>0</v>
      </c>
      <c r="D1469">
        <v>760</v>
      </c>
      <c r="E1469" s="6" t="s">
        <v>8</v>
      </c>
      <c r="F1469" s="6" t="s">
        <v>8</v>
      </c>
      <c r="G1469" s="6" t="s">
        <v>9</v>
      </c>
    </row>
    <row r="1470" spans="1:7" x14ac:dyDescent="0.35">
      <c r="A1470" s="6" t="s">
        <v>26</v>
      </c>
      <c r="B1470" s="7">
        <v>34190</v>
      </c>
      <c r="C1470">
        <v>0</v>
      </c>
      <c r="D1470">
        <v>760</v>
      </c>
      <c r="E1470" s="6" t="s">
        <v>8</v>
      </c>
      <c r="F1470" s="6" t="s">
        <v>11</v>
      </c>
      <c r="G1470" s="6" t="s">
        <v>9</v>
      </c>
    </row>
    <row r="1471" spans="1:7" x14ac:dyDescent="0.35">
      <c r="A1471" s="6" t="s">
        <v>25</v>
      </c>
      <c r="B1471" s="7"/>
      <c r="C1471">
        <v>0</v>
      </c>
      <c r="D1471">
        <v>750</v>
      </c>
      <c r="E1471" s="6" t="s">
        <v>8</v>
      </c>
      <c r="F1471" s="6" t="s">
        <v>11</v>
      </c>
      <c r="G1471" s="6" t="s">
        <v>16</v>
      </c>
    </row>
    <row r="1472" spans="1:7" x14ac:dyDescent="0.35">
      <c r="A1472" s="6" t="s">
        <v>24</v>
      </c>
      <c r="B1472" s="7">
        <v>36508</v>
      </c>
      <c r="C1472">
        <v>0</v>
      </c>
      <c r="D1472">
        <v>722.99</v>
      </c>
      <c r="E1472" s="6" t="s">
        <v>8</v>
      </c>
      <c r="F1472" s="6" t="s">
        <v>11</v>
      </c>
      <c r="G1472" s="6" t="s">
        <v>9</v>
      </c>
    </row>
    <row r="1473" spans="1:7" x14ac:dyDescent="0.35">
      <c r="A1473" s="6" t="s">
        <v>22</v>
      </c>
      <c r="B1473" s="7">
        <v>36520</v>
      </c>
      <c r="C1473">
        <v>0</v>
      </c>
      <c r="D1473">
        <v>700</v>
      </c>
      <c r="E1473" s="6" t="s">
        <v>23</v>
      </c>
      <c r="F1473" s="6" t="s">
        <v>8</v>
      </c>
      <c r="G1473" s="6" t="s">
        <v>9</v>
      </c>
    </row>
    <row r="1474" spans="1:7" x14ac:dyDescent="0.35">
      <c r="A1474" s="6" t="s">
        <v>21</v>
      </c>
      <c r="B1474" s="7">
        <v>37146</v>
      </c>
      <c r="C1474">
        <v>0</v>
      </c>
      <c r="D1474">
        <v>687.54</v>
      </c>
      <c r="E1474" s="6" t="s">
        <v>8</v>
      </c>
      <c r="F1474" s="6" t="s">
        <v>7</v>
      </c>
      <c r="G1474" s="6" t="s">
        <v>9</v>
      </c>
    </row>
    <row r="1475" spans="1:7" x14ac:dyDescent="0.35">
      <c r="A1475" s="6" t="s">
        <v>20</v>
      </c>
      <c r="B1475" s="7">
        <v>35743</v>
      </c>
      <c r="C1475">
        <v>0</v>
      </c>
      <c r="D1475">
        <v>670</v>
      </c>
      <c r="E1475" s="6" t="s">
        <v>8</v>
      </c>
      <c r="F1475" s="6" t="s">
        <v>8</v>
      </c>
      <c r="G1475" s="6" t="s">
        <v>9</v>
      </c>
    </row>
    <row r="1476" spans="1:7" x14ac:dyDescent="0.35">
      <c r="A1476" s="6" t="s">
        <v>19</v>
      </c>
      <c r="B1476" s="7">
        <v>37589</v>
      </c>
      <c r="C1476">
        <v>0</v>
      </c>
      <c r="D1476">
        <v>668</v>
      </c>
      <c r="E1476" s="6" t="s">
        <v>8</v>
      </c>
      <c r="F1476" s="6" t="s">
        <v>7</v>
      </c>
      <c r="G1476" s="6" t="s">
        <v>16</v>
      </c>
    </row>
    <row r="1477" spans="1:7" x14ac:dyDescent="0.35">
      <c r="A1477" s="6" t="s">
        <v>18</v>
      </c>
      <c r="B1477" s="7">
        <v>34884</v>
      </c>
      <c r="C1477">
        <v>0</v>
      </c>
      <c r="D1477">
        <v>650</v>
      </c>
      <c r="E1477" s="6" t="s">
        <v>8</v>
      </c>
      <c r="F1477" s="6" t="s">
        <v>8</v>
      </c>
      <c r="G1477" s="6" t="s">
        <v>9</v>
      </c>
    </row>
    <row r="1478" spans="1:7" x14ac:dyDescent="0.35">
      <c r="A1478" s="6" t="s">
        <v>17</v>
      </c>
      <c r="B1478" s="7">
        <v>34121</v>
      </c>
      <c r="C1478">
        <v>0</v>
      </c>
      <c r="D1478">
        <v>650</v>
      </c>
      <c r="E1478" s="6" t="s">
        <v>8</v>
      </c>
      <c r="F1478" s="6" t="s">
        <v>8</v>
      </c>
      <c r="G1478" s="6" t="s">
        <v>9</v>
      </c>
    </row>
    <row r="1479" spans="1:7" x14ac:dyDescent="0.35">
      <c r="A1479" s="6" t="s">
        <v>2130</v>
      </c>
      <c r="B1479" s="7">
        <v>37805</v>
      </c>
      <c r="C1479">
        <v>0</v>
      </c>
      <c r="D1479">
        <v>34779.620000000003</v>
      </c>
      <c r="E1479" s="6" t="s">
        <v>11</v>
      </c>
      <c r="F1479" s="6" t="s">
        <v>7</v>
      </c>
      <c r="G1479" s="6" t="s">
        <v>32</v>
      </c>
    </row>
    <row r="1480" spans="1:7" x14ac:dyDescent="0.35">
      <c r="A1480" s="6" t="s">
        <v>15</v>
      </c>
      <c r="B1480" s="7">
        <v>37215</v>
      </c>
      <c r="C1480">
        <v>0</v>
      </c>
      <c r="D1480">
        <v>646.14</v>
      </c>
      <c r="E1480" s="6" t="s">
        <v>8</v>
      </c>
      <c r="F1480" s="6" t="s">
        <v>8</v>
      </c>
      <c r="G1480" s="6" t="s">
        <v>16</v>
      </c>
    </row>
    <row r="1481" spans="1:7" x14ac:dyDescent="0.35">
      <c r="A1481" s="6" t="s">
        <v>14</v>
      </c>
      <c r="B1481" s="7">
        <v>36003</v>
      </c>
      <c r="C1481">
        <v>0</v>
      </c>
      <c r="D1481">
        <v>637.26</v>
      </c>
      <c r="E1481" s="6" t="s">
        <v>8</v>
      </c>
      <c r="F1481" s="6" t="s">
        <v>8</v>
      </c>
      <c r="G1481" s="6" t="s">
        <v>9</v>
      </c>
    </row>
    <row r="1482" spans="1:7" x14ac:dyDescent="0.35">
      <c r="A1482" s="6" t="s">
        <v>13</v>
      </c>
      <c r="B1482" s="7">
        <v>33860</v>
      </c>
      <c r="C1482">
        <v>0</v>
      </c>
      <c r="D1482">
        <v>604.54</v>
      </c>
      <c r="E1482" s="6" t="s">
        <v>8</v>
      </c>
      <c r="F1482" s="6" t="s">
        <v>8</v>
      </c>
      <c r="G1482" s="6" t="s">
        <v>9</v>
      </c>
    </row>
    <row r="1483" spans="1:7" x14ac:dyDescent="0.35">
      <c r="A1483" s="6" t="s">
        <v>12</v>
      </c>
      <c r="B1483" s="7">
        <v>34150</v>
      </c>
      <c r="C1483">
        <v>0</v>
      </c>
      <c r="D1483">
        <v>600</v>
      </c>
      <c r="E1483" s="6" t="s">
        <v>7</v>
      </c>
      <c r="F1483" s="6" t="s">
        <v>11</v>
      </c>
      <c r="G1483" s="6" t="s">
        <v>9</v>
      </c>
    </row>
    <row r="1484" spans="1:7" x14ac:dyDescent="0.35">
      <c r="A1484" s="6" t="s">
        <v>10</v>
      </c>
      <c r="B1484" s="7">
        <v>33938</v>
      </c>
      <c r="C1484">
        <v>0</v>
      </c>
      <c r="D1484">
        <v>570.62</v>
      </c>
      <c r="E1484" s="6" t="s">
        <v>7</v>
      </c>
      <c r="F1484" s="6" t="s">
        <v>11</v>
      </c>
      <c r="G1484" s="6" t="s">
        <v>9</v>
      </c>
    </row>
    <row r="1485" spans="1:7" x14ac:dyDescent="0.35">
      <c r="A1485" s="6" t="s">
        <v>6</v>
      </c>
      <c r="B1485" s="7">
        <v>33794</v>
      </c>
      <c r="C1485">
        <v>0</v>
      </c>
      <c r="D1485">
        <v>563.84</v>
      </c>
      <c r="E1485" s="6" t="s">
        <v>7</v>
      </c>
      <c r="F1485" s="6" t="s">
        <v>8</v>
      </c>
      <c r="G1485" s="6" t="s">
        <v>9</v>
      </c>
    </row>
    <row r="1486" spans="1:7" x14ac:dyDescent="0.35">
      <c r="A1486" s="6" t="s">
        <v>2129</v>
      </c>
      <c r="B1486" s="7">
        <v>34522</v>
      </c>
      <c r="C1486">
        <v>0</v>
      </c>
      <c r="D1486">
        <v>34672.15</v>
      </c>
      <c r="E1486" s="6" t="s">
        <v>11</v>
      </c>
      <c r="F1486" s="6" t="s">
        <v>8</v>
      </c>
      <c r="G1486" s="6" t="s">
        <v>9</v>
      </c>
    </row>
    <row r="1487" spans="1:7" x14ac:dyDescent="0.35">
      <c r="A1487" s="6" t="s">
        <v>2128</v>
      </c>
      <c r="B1487" s="7">
        <v>38269</v>
      </c>
      <c r="C1487">
        <v>0</v>
      </c>
      <c r="D1487">
        <v>34617.839999999997</v>
      </c>
      <c r="E1487" s="6" t="s">
        <v>11</v>
      </c>
      <c r="F1487" s="6" t="s">
        <v>8</v>
      </c>
      <c r="G1487" s="6" t="s">
        <v>158</v>
      </c>
    </row>
    <row r="1488" spans="1:7" x14ac:dyDescent="0.35">
      <c r="A1488" s="6" t="s">
        <v>2127</v>
      </c>
      <c r="B1488" s="7">
        <v>28089</v>
      </c>
      <c r="C1488">
        <v>2</v>
      </c>
      <c r="D1488">
        <v>34543.39</v>
      </c>
      <c r="E1488" s="6" t="s">
        <v>7</v>
      </c>
      <c r="F1488" s="6" t="s">
        <v>8</v>
      </c>
      <c r="G1488" s="6" t="s">
        <v>32</v>
      </c>
    </row>
    <row r="1489" spans="1:7" x14ac:dyDescent="0.35">
      <c r="A1489" s="6" t="s">
        <v>2126</v>
      </c>
      <c r="B1489" s="7">
        <v>35970</v>
      </c>
      <c r="C1489">
        <v>0</v>
      </c>
      <c r="D1489">
        <v>34472.839999999997</v>
      </c>
      <c r="E1489" s="6" t="s">
        <v>11</v>
      </c>
      <c r="F1489" s="6" t="s">
        <v>8</v>
      </c>
      <c r="G1489" s="6" t="s">
        <v>32</v>
      </c>
    </row>
    <row r="1490" spans="1:7" x14ac:dyDescent="0.35">
      <c r="A1490" s="6" t="s">
        <v>2125</v>
      </c>
      <c r="B1490" s="7">
        <v>33140</v>
      </c>
      <c r="C1490">
        <v>3</v>
      </c>
      <c r="D1490">
        <v>34456.269999999997</v>
      </c>
      <c r="E1490" s="6" t="s">
        <v>11</v>
      </c>
      <c r="F1490" s="6" t="s">
        <v>7</v>
      </c>
      <c r="G1490" s="6" t="s">
        <v>32</v>
      </c>
    </row>
    <row r="1491" spans="1:7" x14ac:dyDescent="0.35">
      <c r="A1491" s="6" t="s">
        <v>2124</v>
      </c>
      <c r="B1491" s="7">
        <v>37899</v>
      </c>
      <c r="C1491">
        <v>0</v>
      </c>
      <c r="D1491">
        <v>34439.86</v>
      </c>
      <c r="E1491" s="6" t="s">
        <v>7</v>
      </c>
      <c r="F1491" s="6" t="s">
        <v>11</v>
      </c>
      <c r="G1491" s="6" t="s">
        <v>9</v>
      </c>
    </row>
    <row r="1492" spans="1:7" x14ac:dyDescent="0.35">
      <c r="A1492" s="6" t="s">
        <v>2339</v>
      </c>
      <c r="B1492" s="7">
        <v>25930</v>
      </c>
      <c r="C1492">
        <v>2</v>
      </c>
      <c r="D1492">
        <v>47269.85</v>
      </c>
      <c r="E1492" s="6" t="s">
        <v>11</v>
      </c>
      <c r="F1492" s="6" t="s">
        <v>7</v>
      </c>
      <c r="G1492" s="6" t="s">
        <v>9</v>
      </c>
    </row>
    <row r="1493" spans="1:7" x14ac:dyDescent="0.35">
      <c r="A1493" s="6" t="s">
        <v>2123</v>
      </c>
      <c r="B1493" s="7">
        <v>30956</v>
      </c>
      <c r="C1493">
        <v>3</v>
      </c>
      <c r="D1493">
        <v>34402.22</v>
      </c>
      <c r="E1493" s="6" t="s">
        <v>7</v>
      </c>
      <c r="F1493" s="6" t="s">
        <v>8</v>
      </c>
      <c r="G1493" s="6" t="s">
        <v>32</v>
      </c>
    </row>
    <row r="1494" spans="1:7" x14ac:dyDescent="0.35">
      <c r="A1494" s="6" t="s">
        <v>2122</v>
      </c>
      <c r="B1494" s="7">
        <v>30591</v>
      </c>
      <c r="C1494">
        <v>3</v>
      </c>
      <c r="D1494">
        <v>34307.22</v>
      </c>
      <c r="E1494" s="6" t="s">
        <v>7</v>
      </c>
      <c r="F1494" s="6" t="s">
        <v>7</v>
      </c>
      <c r="G1494" s="6" t="s">
        <v>16</v>
      </c>
    </row>
    <row r="1495" spans="1:7" x14ac:dyDescent="0.35">
      <c r="A1495" s="6" t="s">
        <v>2120</v>
      </c>
      <c r="B1495" s="7">
        <v>31696</v>
      </c>
      <c r="C1495">
        <v>3</v>
      </c>
      <c r="D1495">
        <v>34293.120000000003</v>
      </c>
      <c r="E1495" s="6" t="s">
        <v>11</v>
      </c>
      <c r="F1495" s="6" t="s">
        <v>7</v>
      </c>
      <c r="G1495" s="6" t="s">
        <v>32</v>
      </c>
    </row>
    <row r="1496" spans="1:7" x14ac:dyDescent="0.35">
      <c r="A1496" s="6" t="s">
        <v>2119</v>
      </c>
      <c r="B1496" s="7">
        <v>35002</v>
      </c>
      <c r="C1496">
        <v>0</v>
      </c>
      <c r="D1496">
        <v>34289.43</v>
      </c>
      <c r="E1496" s="6" t="s">
        <v>11</v>
      </c>
      <c r="F1496" s="6" t="s">
        <v>11</v>
      </c>
      <c r="G1496" s="6" t="s">
        <v>32</v>
      </c>
    </row>
    <row r="1497" spans="1:7" x14ac:dyDescent="0.35">
      <c r="A1497" s="6" t="s">
        <v>2118</v>
      </c>
      <c r="B1497" s="7">
        <v>35957</v>
      </c>
      <c r="C1497">
        <v>0</v>
      </c>
      <c r="D1497">
        <v>34254.050000000003</v>
      </c>
      <c r="E1497" s="6" t="s">
        <v>11</v>
      </c>
      <c r="F1497" s="6" t="s">
        <v>8</v>
      </c>
      <c r="G1497" s="6" t="s">
        <v>156</v>
      </c>
    </row>
    <row r="1498" spans="1:7" x14ac:dyDescent="0.35">
      <c r="A1498" s="6" t="s">
        <v>2117</v>
      </c>
      <c r="B1498" s="7">
        <v>22832</v>
      </c>
      <c r="C1498">
        <v>0</v>
      </c>
      <c r="D1498">
        <v>34218.019999999997</v>
      </c>
      <c r="E1498" s="6" t="s">
        <v>11</v>
      </c>
      <c r="F1498" s="6" t="s">
        <v>11</v>
      </c>
      <c r="G1498" s="6" t="s">
        <v>32</v>
      </c>
    </row>
    <row r="1499" spans="1:7" x14ac:dyDescent="0.35">
      <c r="A1499" s="6" t="s">
        <v>2116</v>
      </c>
      <c r="B1499" s="7">
        <v>27596</v>
      </c>
      <c r="C1499">
        <v>1</v>
      </c>
      <c r="D1499">
        <v>34210.33</v>
      </c>
      <c r="E1499" s="6" t="s">
        <v>7</v>
      </c>
      <c r="F1499" s="6" t="s">
        <v>11</v>
      </c>
      <c r="G1499" s="6" t="s">
        <v>16</v>
      </c>
    </row>
    <row r="1500" spans="1:7" x14ac:dyDescent="0.35">
      <c r="A1500" s="6" t="s">
        <v>2115</v>
      </c>
      <c r="B1500" s="7">
        <v>26170</v>
      </c>
      <c r="C1500">
        <v>0</v>
      </c>
      <c r="D1500">
        <v>34205.07</v>
      </c>
      <c r="E1500" s="6" t="s">
        <v>7</v>
      </c>
      <c r="F1500" s="6" t="s">
        <v>7</v>
      </c>
      <c r="G1500" s="6" t="s">
        <v>32</v>
      </c>
    </row>
    <row r="1501" spans="1:7" x14ac:dyDescent="0.35">
      <c r="A1501" s="6" t="s">
        <v>2114</v>
      </c>
      <c r="B1501" s="7">
        <v>36470</v>
      </c>
      <c r="C1501">
        <v>0</v>
      </c>
      <c r="D1501">
        <v>34166.269999999997</v>
      </c>
      <c r="E1501" s="6" t="s">
        <v>7</v>
      </c>
      <c r="F1501" s="6" t="s">
        <v>8</v>
      </c>
      <c r="G1501" s="6" t="s">
        <v>32</v>
      </c>
    </row>
    <row r="1502" spans="1:7" x14ac:dyDescent="0.35">
      <c r="A1502" s="6" t="s">
        <v>2113</v>
      </c>
      <c r="B1502" s="7">
        <v>37616</v>
      </c>
      <c r="C1502">
        <v>0</v>
      </c>
      <c r="D1502">
        <v>34084.68</v>
      </c>
      <c r="E1502" s="6" t="s">
        <v>7</v>
      </c>
      <c r="F1502" s="6" t="s">
        <v>8</v>
      </c>
      <c r="G1502" s="6" t="s">
        <v>32</v>
      </c>
    </row>
    <row r="1503" spans="1:7" x14ac:dyDescent="0.35">
      <c r="A1503" s="6" t="s">
        <v>2338</v>
      </c>
      <c r="B1503" s="7">
        <v>21745</v>
      </c>
      <c r="C1503">
        <v>0</v>
      </c>
      <c r="D1503">
        <v>47055.53</v>
      </c>
      <c r="E1503" s="6" t="s">
        <v>7</v>
      </c>
      <c r="F1503" s="6" t="s">
        <v>11</v>
      </c>
      <c r="G1503" s="6" t="s">
        <v>9</v>
      </c>
    </row>
    <row r="1504" spans="1:7" x14ac:dyDescent="0.35">
      <c r="A1504" s="6" t="s">
        <v>2112</v>
      </c>
      <c r="B1504" s="7">
        <v>26506</v>
      </c>
      <c r="C1504">
        <v>0</v>
      </c>
      <c r="D1504">
        <v>34053.360000000001</v>
      </c>
      <c r="E1504" s="6" t="s">
        <v>7</v>
      </c>
      <c r="F1504" s="6" t="s">
        <v>7</v>
      </c>
      <c r="G1504" s="6" t="s">
        <v>32</v>
      </c>
    </row>
    <row r="1505" spans="1:7" x14ac:dyDescent="0.35">
      <c r="A1505" s="6" t="s">
        <v>2111</v>
      </c>
      <c r="B1505" s="7">
        <v>34602</v>
      </c>
      <c r="C1505">
        <v>0</v>
      </c>
      <c r="D1505">
        <v>33975.47</v>
      </c>
      <c r="E1505" s="6" t="s">
        <v>7</v>
      </c>
      <c r="F1505" s="6" t="s">
        <v>7</v>
      </c>
      <c r="G1505" s="6" t="s">
        <v>32</v>
      </c>
    </row>
    <row r="1506" spans="1:7" x14ac:dyDescent="0.35">
      <c r="A1506" s="6" t="s">
        <v>2110</v>
      </c>
      <c r="B1506" s="7">
        <v>36887</v>
      </c>
      <c r="C1506">
        <v>0</v>
      </c>
      <c r="D1506">
        <v>33907.550000000003</v>
      </c>
      <c r="E1506" s="6" t="s">
        <v>7</v>
      </c>
      <c r="F1506" s="6" t="s">
        <v>7</v>
      </c>
      <c r="G1506" s="6" t="s">
        <v>16</v>
      </c>
    </row>
    <row r="1507" spans="1:7" x14ac:dyDescent="0.35">
      <c r="A1507" s="6" t="s">
        <v>2109</v>
      </c>
      <c r="B1507" s="7">
        <v>35651</v>
      </c>
      <c r="C1507">
        <v>0</v>
      </c>
      <c r="D1507">
        <v>33900.65</v>
      </c>
      <c r="E1507" s="6" t="s">
        <v>7</v>
      </c>
      <c r="F1507" s="6" t="s">
        <v>8</v>
      </c>
      <c r="G1507" s="6" t="s">
        <v>32</v>
      </c>
    </row>
    <row r="1508" spans="1:7" x14ac:dyDescent="0.35">
      <c r="A1508" s="6" t="s">
        <v>2108</v>
      </c>
      <c r="B1508" s="7">
        <v>36825</v>
      </c>
      <c r="C1508">
        <v>0</v>
      </c>
      <c r="D1508">
        <v>33829.39</v>
      </c>
      <c r="E1508" s="6" t="s">
        <v>7</v>
      </c>
      <c r="F1508" s="6" t="s">
        <v>8</v>
      </c>
      <c r="G1508" s="6" t="s">
        <v>32</v>
      </c>
    </row>
    <row r="1509" spans="1:7" x14ac:dyDescent="0.35">
      <c r="A1509" s="6" t="s">
        <v>2107</v>
      </c>
      <c r="B1509" s="7">
        <v>22991</v>
      </c>
      <c r="C1509">
        <v>0</v>
      </c>
      <c r="D1509">
        <v>33753.32</v>
      </c>
      <c r="E1509" s="6" t="s">
        <v>11</v>
      </c>
      <c r="F1509" s="6" t="s">
        <v>8</v>
      </c>
      <c r="G1509" s="6" t="s">
        <v>32</v>
      </c>
    </row>
    <row r="1510" spans="1:7" x14ac:dyDescent="0.35">
      <c r="A1510" s="6" t="s">
        <v>2106</v>
      </c>
      <c r="B1510" s="7">
        <v>37876</v>
      </c>
      <c r="C1510">
        <v>0</v>
      </c>
      <c r="D1510">
        <v>33750.29</v>
      </c>
      <c r="E1510" s="6" t="s">
        <v>11</v>
      </c>
      <c r="F1510" s="6" t="s">
        <v>8</v>
      </c>
      <c r="G1510" s="6" t="s">
        <v>16</v>
      </c>
    </row>
    <row r="1511" spans="1:7" x14ac:dyDescent="0.35">
      <c r="A1511" s="6" t="s">
        <v>2105</v>
      </c>
      <c r="B1511" s="7">
        <v>38292</v>
      </c>
      <c r="C1511">
        <v>0</v>
      </c>
      <c r="D1511">
        <v>33732.69</v>
      </c>
      <c r="E1511" s="6" t="s">
        <v>11</v>
      </c>
      <c r="F1511" s="6" t="s">
        <v>11</v>
      </c>
      <c r="G1511" s="6" t="s">
        <v>346</v>
      </c>
    </row>
    <row r="1512" spans="1:7" x14ac:dyDescent="0.35">
      <c r="A1512" s="6" t="s">
        <v>2104</v>
      </c>
      <c r="B1512" s="7">
        <v>34301</v>
      </c>
      <c r="C1512">
        <v>0</v>
      </c>
      <c r="D1512">
        <v>33707.550000000003</v>
      </c>
      <c r="E1512" s="6" t="s">
        <v>7</v>
      </c>
      <c r="F1512" s="6" t="s">
        <v>7</v>
      </c>
      <c r="G1512" s="6" t="s">
        <v>32</v>
      </c>
    </row>
    <row r="1513" spans="1:7" x14ac:dyDescent="0.35">
      <c r="A1513" s="6" t="s">
        <v>2103</v>
      </c>
      <c r="B1513" s="7">
        <v>37873</v>
      </c>
      <c r="C1513">
        <v>0</v>
      </c>
      <c r="D1513">
        <v>33611.71</v>
      </c>
      <c r="E1513" s="6" t="s">
        <v>11</v>
      </c>
      <c r="F1513" s="6" t="s">
        <v>7</v>
      </c>
      <c r="G1513" s="6" t="s">
        <v>32</v>
      </c>
    </row>
    <row r="1514" spans="1:7" x14ac:dyDescent="0.35">
      <c r="A1514" s="6" t="s">
        <v>2337</v>
      </c>
      <c r="B1514" s="7">
        <v>21443</v>
      </c>
      <c r="C1514">
        <v>0</v>
      </c>
      <c r="D1514">
        <v>46889.26</v>
      </c>
      <c r="E1514" s="6" t="s">
        <v>7</v>
      </c>
      <c r="F1514" s="6" t="s">
        <v>8</v>
      </c>
      <c r="G1514" s="6" t="s">
        <v>9</v>
      </c>
    </row>
    <row r="1515" spans="1:7" x14ac:dyDescent="0.35">
      <c r="A1515" s="6" t="s">
        <v>2102</v>
      </c>
      <c r="B1515" s="7">
        <v>30885</v>
      </c>
      <c r="C1515">
        <v>3</v>
      </c>
      <c r="D1515">
        <v>33527.1</v>
      </c>
      <c r="E1515" s="6" t="s">
        <v>7</v>
      </c>
      <c r="F1515" s="6" t="s">
        <v>8</v>
      </c>
      <c r="G1515" s="6" t="s">
        <v>32</v>
      </c>
    </row>
    <row r="1516" spans="1:7" x14ac:dyDescent="0.35">
      <c r="A1516" s="6" t="s">
        <v>2101</v>
      </c>
      <c r="B1516" s="7">
        <v>37493</v>
      </c>
      <c r="C1516">
        <v>0</v>
      </c>
      <c r="D1516">
        <v>33475.82</v>
      </c>
      <c r="E1516" s="6" t="s">
        <v>11</v>
      </c>
      <c r="F1516" s="6" t="s">
        <v>11</v>
      </c>
      <c r="G1516" s="6" t="s">
        <v>160</v>
      </c>
    </row>
    <row r="1517" spans="1:7" x14ac:dyDescent="0.35">
      <c r="A1517" s="6" t="s">
        <v>2100</v>
      </c>
      <c r="B1517" s="7">
        <v>25737</v>
      </c>
      <c r="C1517">
        <v>2</v>
      </c>
      <c r="D1517">
        <v>33471.97</v>
      </c>
      <c r="E1517" s="6" t="s">
        <v>7</v>
      </c>
      <c r="F1517" s="6" t="s">
        <v>7</v>
      </c>
      <c r="G1517" s="6" t="s">
        <v>16</v>
      </c>
    </row>
    <row r="1518" spans="1:7" x14ac:dyDescent="0.35">
      <c r="A1518" s="6" t="s">
        <v>2099</v>
      </c>
      <c r="B1518" s="7">
        <v>31388</v>
      </c>
      <c r="C1518">
        <v>3</v>
      </c>
      <c r="D1518">
        <v>33450.99</v>
      </c>
      <c r="E1518" s="6" t="s">
        <v>7</v>
      </c>
      <c r="F1518" s="6" t="s">
        <v>7</v>
      </c>
      <c r="G1518" s="6" t="s">
        <v>32</v>
      </c>
    </row>
    <row r="1519" spans="1:7" x14ac:dyDescent="0.35">
      <c r="A1519" s="6" t="s">
        <v>2098</v>
      </c>
      <c r="B1519" s="7">
        <v>26547</v>
      </c>
      <c r="C1519">
        <v>0</v>
      </c>
      <c r="D1519">
        <v>33344.449999999997</v>
      </c>
      <c r="E1519" s="6" t="s">
        <v>7</v>
      </c>
      <c r="F1519" s="6" t="s">
        <v>8</v>
      </c>
      <c r="G1519" s="6" t="s">
        <v>32</v>
      </c>
    </row>
    <row r="1520" spans="1:7" x14ac:dyDescent="0.35">
      <c r="A1520" s="6" t="s">
        <v>2097</v>
      </c>
      <c r="B1520" s="7">
        <v>37953</v>
      </c>
      <c r="C1520">
        <v>0</v>
      </c>
      <c r="D1520">
        <v>33307.550000000003</v>
      </c>
      <c r="E1520" s="6" t="s">
        <v>7</v>
      </c>
      <c r="F1520" s="6" t="s">
        <v>8</v>
      </c>
      <c r="G1520" s="6" t="s">
        <v>16</v>
      </c>
    </row>
    <row r="1521" spans="1:7" x14ac:dyDescent="0.35">
      <c r="A1521" s="6" t="s">
        <v>2096</v>
      </c>
      <c r="B1521" s="7">
        <v>33158</v>
      </c>
      <c r="C1521">
        <v>3</v>
      </c>
      <c r="D1521">
        <v>33292.83</v>
      </c>
      <c r="E1521" s="6" t="s">
        <v>7</v>
      </c>
      <c r="F1521" s="6" t="s">
        <v>11</v>
      </c>
      <c r="G1521" s="6" t="s">
        <v>32</v>
      </c>
    </row>
    <row r="1522" spans="1:7" x14ac:dyDescent="0.35">
      <c r="A1522" s="6" t="s">
        <v>2095</v>
      </c>
      <c r="B1522" s="7">
        <v>31243</v>
      </c>
      <c r="C1522">
        <v>3</v>
      </c>
      <c r="D1522">
        <v>33121</v>
      </c>
      <c r="E1522" s="6" t="s">
        <v>7</v>
      </c>
      <c r="F1522" s="6" t="s">
        <v>11</v>
      </c>
      <c r="G1522" s="6" t="s">
        <v>32</v>
      </c>
    </row>
    <row r="1523" spans="1:7" x14ac:dyDescent="0.35">
      <c r="A1523" s="6" t="s">
        <v>2094</v>
      </c>
      <c r="B1523" s="7">
        <v>25506</v>
      </c>
      <c r="C1523">
        <v>0</v>
      </c>
      <c r="D1523">
        <v>33090.660000000003</v>
      </c>
      <c r="E1523" s="6" t="s">
        <v>7</v>
      </c>
      <c r="F1523" s="6" t="s">
        <v>7</v>
      </c>
      <c r="G1523" s="6" t="s">
        <v>32</v>
      </c>
    </row>
    <row r="1524" spans="1:7" x14ac:dyDescent="0.35">
      <c r="A1524" s="6" t="s">
        <v>2093</v>
      </c>
      <c r="B1524" s="7">
        <v>22828</v>
      </c>
      <c r="C1524">
        <v>0</v>
      </c>
      <c r="D1524">
        <v>33074.94</v>
      </c>
      <c r="E1524" s="6" t="s">
        <v>11</v>
      </c>
      <c r="F1524" s="6" t="s">
        <v>7</v>
      </c>
      <c r="G1524" s="6" t="s">
        <v>32</v>
      </c>
    </row>
    <row r="1525" spans="1:7" x14ac:dyDescent="0.35">
      <c r="A1525" s="6" t="s">
        <v>2336</v>
      </c>
      <c r="B1525" s="7">
        <v>22237</v>
      </c>
      <c r="C1525">
        <v>3</v>
      </c>
      <c r="D1525">
        <v>46718.16</v>
      </c>
      <c r="E1525" s="6" t="s">
        <v>11</v>
      </c>
      <c r="F1525" s="6" t="s">
        <v>11</v>
      </c>
      <c r="G1525" s="6" t="s">
        <v>16</v>
      </c>
    </row>
    <row r="1526" spans="1:7" x14ac:dyDescent="0.35">
      <c r="A1526" s="6" t="s">
        <v>2092</v>
      </c>
      <c r="B1526" s="7">
        <v>34543</v>
      </c>
      <c r="C1526">
        <v>0</v>
      </c>
      <c r="D1526">
        <v>33057.230000000003</v>
      </c>
      <c r="E1526" s="6" t="s">
        <v>11</v>
      </c>
      <c r="F1526" s="6" t="s">
        <v>7</v>
      </c>
      <c r="G1526" s="6" t="s">
        <v>32</v>
      </c>
    </row>
    <row r="1527" spans="1:7" x14ac:dyDescent="0.35">
      <c r="A1527" s="6" t="s">
        <v>2091</v>
      </c>
      <c r="B1527" s="7">
        <v>24663</v>
      </c>
      <c r="C1527">
        <v>0</v>
      </c>
      <c r="D1527">
        <v>33025.32</v>
      </c>
      <c r="E1527" s="6" t="s">
        <v>7</v>
      </c>
      <c r="F1527" s="6" t="s">
        <v>8</v>
      </c>
      <c r="G1527" s="6" t="s">
        <v>32</v>
      </c>
    </row>
    <row r="1528" spans="1:7" x14ac:dyDescent="0.35">
      <c r="A1528" s="6" t="s">
        <v>2090</v>
      </c>
      <c r="B1528" s="7">
        <v>34888</v>
      </c>
      <c r="C1528">
        <v>0</v>
      </c>
      <c r="D1528">
        <v>33017.46</v>
      </c>
      <c r="E1528" s="6" t="s">
        <v>11</v>
      </c>
      <c r="F1528" s="6" t="s">
        <v>11</v>
      </c>
      <c r="G1528" s="6" t="s">
        <v>32</v>
      </c>
    </row>
    <row r="1529" spans="1:7" x14ac:dyDescent="0.35">
      <c r="A1529" s="6" t="s">
        <v>2089</v>
      </c>
      <c r="B1529" s="7">
        <v>26169</v>
      </c>
      <c r="C1529">
        <v>0</v>
      </c>
      <c r="D1529">
        <v>32947.629999999997</v>
      </c>
      <c r="E1529" s="6" t="s">
        <v>7</v>
      </c>
      <c r="F1529" s="6" t="s">
        <v>11</v>
      </c>
      <c r="G1529" s="6" t="s">
        <v>32</v>
      </c>
    </row>
    <row r="1530" spans="1:7" x14ac:dyDescent="0.35">
      <c r="A1530" s="6" t="s">
        <v>2088</v>
      </c>
      <c r="B1530" s="7">
        <v>29907</v>
      </c>
      <c r="C1530">
        <v>1</v>
      </c>
      <c r="D1530">
        <v>32906.69</v>
      </c>
      <c r="E1530" s="6" t="s">
        <v>7</v>
      </c>
      <c r="F1530" s="6" t="s">
        <v>8</v>
      </c>
      <c r="G1530" s="6" t="s">
        <v>32</v>
      </c>
    </row>
    <row r="1531" spans="1:7" x14ac:dyDescent="0.35">
      <c r="A1531" s="6" t="s">
        <v>2087</v>
      </c>
      <c r="B1531" s="7">
        <v>35037</v>
      </c>
      <c r="C1531">
        <v>0</v>
      </c>
      <c r="D1531">
        <v>32827.51</v>
      </c>
      <c r="E1531" s="6" t="s">
        <v>11</v>
      </c>
      <c r="F1531" s="6" t="s">
        <v>7</v>
      </c>
      <c r="G1531" s="6" t="s">
        <v>32</v>
      </c>
    </row>
    <row r="1532" spans="1:7" x14ac:dyDescent="0.35">
      <c r="A1532" s="6" t="s">
        <v>2086</v>
      </c>
      <c r="B1532" s="7">
        <v>29567</v>
      </c>
      <c r="C1532">
        <v>3</v>
      </c>
      <c r="D1532">
        <v>32787.46</v>
      </c>
      <c r="E1532" s="6" t="s">
        <v>11</v>
      </c>
      <c r="F1532" s="6" t="s">
        <v>8</v>
      </c>
      <c r="G1532" s="6" t="s">
        <v>16</v>
      </c>
    </row>
    <row r="1533" spans="1:7" x14ac:dyDescent="0.35">
      <c r="A1533" s="6" t="s">
        <v>2085</v>
      </c>
      <c r="B1533" s="7">
        <v>26610</v>
      </c>
      <c r="C1533">
        <v>0</v>
      </c>
      <c r="D1533">
        <v>32765.33</v>
      </c>
      <c r="E1533" s="6" t="s">
        <v>7</v>
      </c>
      <c r="F1533" s="6" t="s">
        <v>7</v>
      </c>
      <c r="G1533" s="6" t="s">
        <v>16</v>
      </c>
    </row>
    <row r="1534" spans="1:7" x14ac:dyDescent="0.35">
      <c r="A1534" s="6" t="s">
        <v>2084</v>
      </c>
      <c r="B1534" s="7">
        <v>27369</v>
      </c>
      <c r="C1534">
        <v>0</v>
      </c>
      <c r="D1534">
        <v>32760.48</v>
      </c>
      <c r="E1534" s="6" t="s">
        <v>11</v>
      </c>
      <c r="F1534" s="6" t="s">
        <v>11</v>
      </c>
      <c r="G1534" s="6" t="s">
        <v>32</v>
      </c>
    </row>
    <row r="1535" spans="1:7" x14ac:dyDescent="0.35">
      <c r="A1535" s="6" t="s">
        <v>2083</v>
      </c>
      <c r="B1535" s="7">
        <v>33063</v>
      </c>
      <c r="C1535">
        <v>2</v>
      </c>
      <c r="D1535">
        <v>32734.19</v>
      </c>
      <c r="E1535" s="6" t="s">
        <v>7</v>
      </c>
      <c r="F1535" s="6" t="s">
        <v>11</v>
      </c>
      <c r="G1535" s="6" t="s">
        <v>16</v>
      </c>
    </row>
    <row r="1536" spans="1:7" x14ac:dyDescent="0.35">
      <c r="A1536" s="6" t="s">
        <v>2335</v>
      </c>
      <c r="B1536" s="7">
        <v>25377</v>
      </c>
      <c r="C1536">
        <v>3</v>
      </c>
      <c r="D1536">
        <v>46661.440000000002</v>
      </c>
      <c r="E1536" s="6" t="s">
        <v>11</v>
      </c>
      <c r="F1536" s="6" t="s">
        <v>8</v>
      </c>
      <c r="G1536" s="6" t="s">
        <v>16</v>
      </c>
    </row>
    <row r="1537" spans="1:7" x14ac:dyDescent="0.35">
      <c r="A1537" s="6" t="s">
        <v>2082</v>
      </c>
      <c r="B1537" s="7">
        <v>33146</v>
      </c>
      <c r="C1537">
        <v>3</v>
      </c>
      <c r="D1537">
        <v>32716.2</v>
      </c>
      <c r="E1537" s="6" t="s">
        <v>11</v>
      </c>
      <c r="F1537" s="6" t="s">
        <v>7</v>
      </c>
      <c r="G1537" s="6" t="s">
        <v>32</v>
      </c>
    </row>
    <row r="1538" spans="1:7" x14ac:dyDescent="0.35">
      <c r="A1538" s="6" t="s">
        <v>2081</v>
      </c>
      <c r="B1538" s="7">
        <v>25143</v>
      </c>
      <c r="C1538">
        <v>0</v>
      </c>
      <c r="D1538">
        <v>32686.080000000002</v>
      </c>
      <c r="E1538" s="6" t="s">
        <v>7</v>
      </c>
      <c r="F1538" s="6" t="s">
        <v>8</v>
      </c>
      <c r="G1538" s="6" t="s">
        <v>32</v>
      </c>
    </row>
    <row r="1539" spans="1:7" x14ac:dyDescent="0.35">
      <c r="A1539" s="6" t="s">
        <v>2080</v>
      </c>
      <c r="B1539" s="7">
        <v>33067</v>
      </c>
      <c r="C1539">
        <v>3</v>
      </c>
      <c r="D1539">
        <v>32672.11</v>
      </c>
      <c r="E1539" s="6" t="s">
        <v>11</v>
      </c>
      <c r="F1539" s="6" t="s">
        <v>11</v>
      </c>
      <c r="G1539" s="6" t="s">
        <v>32</v>
      </c>
    </row>
    <row r="1540" spans="1:7" x14ac:dyDescent="0.35">
      <c r="A1540" s="6" t="s">
        <v>2079</v>
      </c>
      <c r="B1540" s="7">
        <v>37902</v>
      </c>
      <c r="C1540">
        <v>0</v>
      </c>
      <c r="D1540">
        <v>32548.34</v>
      </c>
      <c r="E1540" s="6" t="s">
        <v>11</v>
      </c>
      <c r="F1540" s="6" t="s">
        <v>7</v>
      </c>
      <c r="G1540" s="6" t="s">
        <v>9</v>
      </c>
    </row>
    <row r="1541" spans="1:7" x14ac:dyDescent="0.35">
      <c r="A1541" s="6" t="s">
        <v>2078</v>
      </c>
      <c r="B1541" s="7">
        <v>28022</v>
      </c>
      <c r="C1541">
        <v>2</v>
      </c>
      <c r="D1541">
        <v>32485.46</v>
      </c>
      <c r="E1541" s="6" t="s">
        <v>7</v>
      </c>
      <c r="F1541" s="6" t="s">
        <v>11</v>
      </c>
      <c r="G1541" s="6" t="s">
        <v>32</v>
      </c>
    </row>
    <row r="1542" spans="1:7" x14ac:dyDescent="0.35">
      <c r="A1542" s="6" t="s">
        <v>2077</v>
      </c>
      <c r="B1542" s="7">
        <v>29856</v>
      </c>
      <c r="C1542">
        <v>1</v>
      </c>
      <c r="D1542">
        <v>32462.35</v>
      </c>
      <c r="E1542" s="6" t="s">
        <v>7</v>
      </c>
      <c r="F1542" s="6" t="s">
        <v>7</v>
      </c>
      <c r="G1542" s="6" t="s">
        <v>32</v>
      </c>
    </row>
    <row r="1543" spans="1:7" x14ac:dyDescent="0.35">
      <c r="A1543" s="6" t="s">
        <v>2076</v>
      </c>
      <c r="B1543" s="7">
        <v>27981</v>
      </c>
      <c r="C1543">
        <v>2</v>
      </c>
      <c r="D1543">
        <v>32430.22</v>
      </c>
      <c r="E1543" s="6" t="s">
        <v>7</v>
      </c>
      <c r="F1543" s="6" t="s">
        <v>8</v>
      </c>
      <c r="G1543" s="6" t="s">
        <v>32</v>
      </c>
    </row>
    <row r="1544" spans="1:7" x14ac:dyDescent="0.35">
      <c r="A1544" s="6" t="s">
        <v>2075</v>
      </c>
      <c r="B1544" s="7">
        <v>26591</v>
      </c>
      <c r="C1544">
        <v>0</v>
      </c>
      <c r="D1544">
        <v>32428.63</v>
      </c>
      <c r="E1544" s="6" t="s">
        <v>7</v>
      </c>
      <c r="F1544" s="6" t="s">
        <v>7</v>
      </c>
      <c r="G1544" s="6" t="s">
        <v>32</v>
      </c>
    </row>
    <row r="1545" spans="1:7" x14ac:dyDescent="0.35">
      <c r="A1545" s="6" t="s">
        <v>2074</v>
      </c>
      <c r="B1545" s="7">
        <v>31748</v>
      </c>
      <c r="C1545">
        <v>3</v>
      </c>
      <c r="D1545">
        <v>32288.49</v>
      </c>
      <c r="E1545" s="6" t="s">
        <v>7</v>
      </c>
      <c r="F1545" s="6" t="s">
        <v>7</v>
      </c>
      <c r="G1545" s="6" t="s">
        <v>32</v>
      </c>
    </row>
    <row r="1546" spans="1:7" x14ac:dyDescent="0.35">
      <c r="A1546" s="6" t="s">
        <v>2073</v>
      </c>
      <c r="B1546" s="7">
        <v>27745</v>
      </c>
      <c r="C1546">
        <v>1</v>
      </c>
      <c r="D1546">
        <v>32259.96</v>
      </c>
      <c r="E1546" s="6" t="s">
        <v>7</v>
      </c>
      <c r="F1546" s="6" t="s">
        <v>8</v>
      </c>
      <c r="G1546" s="6" t="s">
        <v>16</v>
      </c>
    </row>
    <row r="1547" spans="1:7" x14ac:dyDescent="0.35">
      <c r="A1547" s="6" t="s">
        <v>2334</v>
      </c>
      <c r="B1547" s="7">
        <v>22501</v>
      </c>
      <c r="C1547">
        <v>0</v>
      </c>
      <c r="D1547">
        <v>46599.11</v>
      </c>
      <c r="E1547" s="6" t="s">
        <v>11</v>
      </c>
      <c r="F1547" s="6" t="s">
        <v>11</v>
      </c>
      <c r="G1547" s="6" t="s">
        <v>9</v>
      </c>
    </row>
    <row r="1548" spans="1:7" x14ac:dyDescent="0.35">
      <c r="A1548" s="6" t="s">
        <v>2072</v>
      </c>
      <c r="B1548" s="7">
        <v>34585</v>
      </c>
      <c r="C1548">
        <v>0</v>
      </c>
      <c r="D1548">
        <v>32222.81</v>
      </c>
      <c r="E1548" s="6" t="s">
        <v>7</v>
      </c>
      <c r="F1548" s="6" t="s">
        <v>11</v>
      </c>
      <c r="G1548" s="6" t="s">
        <v>32</v>
      </c>
    </row>
    <row r="1549" spans="1:7" x14ac:dyDescent="0.35">
      <c r="A1549" s="6" t="s">
        <v>2071</v>
      </c>
      <c r="B1549" s="7">
        <v>25457</v>
      </c>
      <c r="C1549">
        <v>0</v>
      </c>
      <c r="D1549">
        <v>32192.76</v>
      </c>
      <c r="E1549" s="6" t="s">
        <v>11</v>
      </c>
      <c r="F1549" s="6" t="s">
        <v>7</v>
      </c>
      <c r="G1549" s="6" t="s">
        <v>32</v>
      </c>
    </row>
    <row r="1550" spans="1:7" x14ac:dyDescent="0.35">
      <c r="A1550" s="6" t="s">
        <v>2070</v>
      </c>
      <c r="B1550" s="7">
        <v>28804</v>
      </c>
      <c r="C1550">
        <v>2</v>
      </c>
      <c r="D1550">
        <v>32108.66</v>
      </c>
      <c r="E1550" s="6" t="s">
        <v>11</v>
      </c>
      <c r="F1550" s="6" t="s">
        <v>8</v>
      </c>
      <c r="G1550" s="6" t="s">
        <v>346</v>
      </c>
    </row>
    <row r="1551" spans="1:7" x14ac:dyDescent="0.35">
      <c r="A1551" s="6" t="s">
        <v>2069</v>
      </c>
      <c r="B1551" s="7">
        <v>34225</v>
      </c>
      <c r="C1551">
        <v>0</v>
      </c>
      <c r="D1551">
        <v>32086.21</v>
      </c>
      <c r="E1551" s="6" t="s">
        <v>11</v>
      </c>
      <c r="F1551" s="6" t="s">
        <v>8</v>
      </c>
      <c r="G1551" s="6" t="s">
        <v>32</v>
      </c>
    </row>
    <row r="1552" spans="1:7" x14ac:dyDescent="0.35">
      <c r="A1552" s="6" t="s">
        <v>2068</v>
      </c>
      <c r="B1552" s="7">
        <v>26563</v>
      </c>
      <c r="C1552">
        <v>0</v>
      </c>
      <c r="D1552">
        <v>31980.89</v>
      </c>
      <c r="E1552" s="6" t="s">
        <v>7</v>
      </c>
      <c r="F1552" s="6" t="s">
        <v>11</v>
      </c>
      <c r="G1552" s="6" t="s">
        <v>32</v>
      </c>
    </row>
    <row r="1553" spans="1:7" x14ac:dyDescent="0.35">
      <c r="A1553" s="6" t="s">
        <v>2067</v>
      </c>
      <c r="B1553" s="7">
        <v>27662</v>
      </c>
      <c r="C1553">
        <v>1</v>
      </c>
      <c r="D1553">
        <v>31897.1</v>
      </c>
      <c r="E1553" s="6" t="s">
        <v>7</v>
      </c>
      <c r="F1553" s="6" t="s">
        <v>8</v>
      </c>
      <c r="G1553" s="6" t="s">
        <v>32</v>
      </c>
    </row>
    <row r="1554" spans="1:7" x14ac:dyDescent="0.35">
      <c r="A1554" s="6" t="s">
        <v>2066</v>
      </c>
      <c r="B1554" s="7">
        <v>30935</v>
      </c>
      <c r="C1554">
        <v>3</v>
      </c>
      <c r="D1554">
        <v>31743.919999999998</v>
      </c>
      <c r="E1554" s="6" t="s">
        <v>7</v>
      </c>
      <c r="F1554" s="6" t="s">
        <v>11</v>
      </c>
      <c r="G1554" s="6" t="s">
        <v>32</v>
      </c>
    </row>
    <row r="1555" spans="1:7" x14ac:dyDescent="0.35">
      <c r="A1555" s="6" t="s">
        <v>2065</v>
      </c>
      <c r="B1555" s="7">
        <v>28412</v>
      </c>
      <c r="C1555">
        <v>2</v>
      </c>
      <c r="D1555">
        <v>31736.7</v>
      </c>
      <c r="E1555" s="6" t="s">
        <v>7</v>
      </c>
      <c r="F1555" s="6" t="s">
        <v>7</v>
      </c>
      <c r="G1555" s="6" t="s">
        <v>16</v>
      </c>
    </row>
    <row r="1556" spans="1:7" x14ac:dyDescent="0.35">
      <c r="A1556" s="6" t="s">
        <v>2064</v>
      </c>
      <c r="B1556" s="7">
        <v>22263</v>
      </c>
      <c r="C1556">
        <v>1</v>
      </c>
      <c r="D1556">
        <v>31620</v>
      </c>
      <c r="E1556" s="6" t="s">
        <v>7</v>
      </c>
      <c r="F1556" s="6" t="s">
        <v>11</v>
      </c>
      <c r="G1556" s="6" t="s">
        <v>237</v>
      </c>
    </row>
    <row r="1557" spans="1:7" x14ac:dyDescent="0.35">
      <c r="A1557" s="6" t="s">
        <v>2063</v>
      </c>
      <c r="B1557" s="7">
        <v>27696</v>
      </c>
      <c r="C1557">
        <v>1</v>
      </c>
      <c r="D1557">
        <v>31591.82</v>
      </c>
      <c r="E1557" s="6" t="s">
        <v>7</v>
      </c>
      <c r="F1557" s="6" t="s">
        <v>11</v>
      </c>
      <c r="G1557" s="6" t="s">
        <v>32</v>
      </c>
    </row>
    <row r="1558" spans="1:7" x14ac:dyDescent="0.35">
      <c r="A1558" s="6" t="s">
        <v>2360</v>
      </c>
      <c r="B1558" s="7"/>
      <c r="C1558">
        <v>3</v>
      </c>
      <c r="D1558">
        <v>60021.4</v>
      </c>
      <c r="E1558" s="6" t="s">
        <v>11</v>
      </c>
      <c r="F1558" s="6" t="s">
        <v>11</v>
      </c>
      <c r="G1558" s="6" t="s">
        <v>16</v>
      </c>
    </row>
    <row r="1559" spans="1:7" x14ac:dyDescent="0.35">
      <c r="A1559" s="6" t="s">
        <v>2333</v>
      </c>
      <c r="B1559" s="7">
        <v>26273</v>
      </c>
      <c r="C1559">
        <v>3</v>
      </c>
      <c r="D1559">
        <v>46255.11</v>
      </c>
      <c r="E1559" s="6" t="s">
        <v>11</v>
      </c>
      <c r="F1559" s="6" t="s">
        <v>8</v>
      </c>
      <c r="G1559" s="6" t="s">
        <v>237</v>
      </c>
    </row>
    <row r="1560" spans="1:7" x14ac:dyDescent="0.35">
      <c r="A1560" s="6" t="s">
        <v>2062</v>
      </c>
      <c r="B1560" s="7">
        <v>27310</v>
      </c>
      <c r="C1560">
        <v>0</v>
      </c>
      <c r="D1560">
        <v>31368.81</v>
      </c>
      <c r="E1560" s="6" t="s">
        <v>7</v>
      </c>
      <c r="F1560" s="6" t="s">
        <v>8</v>
      </c>
      <c r="G1560" s="6" t="s">
        <v>32</v>
      </c>
    </row>
    <row r="1561" spans="1:7" x14ac:dyDescent="0.35">
      <c r="A1561" s="6" t="s">
        <v>2061</v>
      </c>
      <c r="B1561" s="7">
        <v>34969</v>
      </c>
      <c r="C1561">
        <v>0</v>
      </c>
      <c r="D1561">
        <v>31328.27</v>
      </c>
      <c r="E1561" s="6" t="s">
        <v>7</v>
      </c>
      <c r="F1561" s="6" t="s">
        <v>7</v>
      </c>
      <c r="G1561" s="6" t="s">
        <v>32</v>
      </c>
    </row>
    <row r="1562" spans="1:7" x14ac:dyDescent="0.35">
      <c r="A1562" s="6" t="s">
        <v>2060</v>
      </c>
      <c r="B1562" s="7">
        <v>25028</v>
      </c>
      <c r="C1562">
        <v>0</v>
      </c>
      <c r="D1562">
        <v>31322.53</v>
      </c>
      <c r="E1562" s="6" t="s">
        <v>7</v>
      </c>
      <c r="F1562" s="6" t="s">
        <v>11</v>
      </c>
      <c r="G1562" s="6" t="s">
        <v>32</v>
      </c>
    </row>
    <row r="1563" spans="1:7" x14ac:dyDescent="0.35">
      <c r="A1563" s="6" t="s">
        <v>2059</v>
      </c>
      <c r="B1563" s="7">
        <v>36729</v>
      </c>
      <c r="C1563">
        <v>0</v>
      </c>
      <c r="D1563">
        <v>31234.560000000001</v>
      </c>
      <c r="E1563" s="6" t="s">
        <v>11</v>
      </c>
      <c r="F1563" s="6" t="s">
        <v>11</v>
      </c>
      <c r="G1563" s="6" t="s">
        <v>32</v>
      </c>
    </row>
    <row r="1564" spans="1:7" x14ac:dyDescent="0.35">
      <c r="A1564" s="6" t="s">
        <v>2058</v>
      </c>
      <c r="B1564" s="7">
        <v>38300</v>
      </c>
      <c r="C1564">
        <v>0</v>
      </c>
      <c r="D1564">
        <v>31196.61</v>
      </c>
      <c r="E1564" s="6" t="s">
        <v>7</v>
      </c>
      <c r="F1564" s="6" t="s">
        <v>11</v>
      </c>
      <c r="G1564" s="6" t="s">
        <v>32</v>
      </c>
    </row>
    <row r="1565" spans="1:7" x14ac:dyDescent="0.35">
      <c r="A1565" s="6" t="s">
        <v>2057</v>
      </c>
      <c r="B1565" s="7">
        <v>22533</v>
      </c>
      <c r="C1565">
        <v>3</v>
      </c>
      <c r="D1565">
        <v>30942.19</v>
      </c>
      <c r="E1565" s="6" t="s">
        <v>7</v>
      </c>
      <c r="F1565" s="6" t="s">
        <v>7</v>
      </c>
      <c r="G1565" s="6" t="s">
        <v>9</v>
      </c>
    </row>
    <row r="1566" spans="1:7" x14ac:dyDescent="0.35">
      <c r="A1566" s="6" t="s">
        <v>2056</v>
      </c>
      <c r="B1566" s="7">
        <v>32391</v>
      </c>
      <c r="C1566">
        <v>3</v>
      </c>
      <c r="D1566">
        <v>30763.01</v>
      </c>
      <c r="E1566" s="6" t="s">
        <v>7</v>
      </c>
      <c r="F1566" s="6" t="s">
        <v>11</v>
      </c>
      <c r="G1566" s="6" t="s">
        <v>32</v>
      </c>
    </row>
    <row r="1567" spans="1:7" x14ac:dyDescent="0.35">
      <c r="A1567" s="6" t="s">
        <v>2055</v>
      </c>
      <c r="B1567" s="7">
        <v>30671</v>
      </c>
      <c r="C1567">
        <v>3</v>
      </c>
      <c r="D1567">
        <v>30724.44</v>
      </c>
      <c r="E1567" s="6" t="s">
        <v>7</v>
      </c>
      <c r="F1567" s="6" t="s">
        <v>8</v>
      </c>
      <c r="G1567" s="6" t="s">
        <v>32</v>
      </c>
    </row>
    <row r="1568" spans="1:7" x14ac:dyDescent="0.35">
      <c r="A1568" s="6" t="s">
        <v>2054</v>
      </c>
      <c r="B1568" s="7">
        <v>36424</v>
      </c>
      <c r="C1568">
        <v>0</v>
      </c>
      <c r="D1568">
        <v>30697.71</v>
      </c>
      <c r="E1568" s="6" t="s">
        <v>11</v>
      </c>
      <c r="F1568" s="6" t="s">
        <v>7</v>
      </c>
      <c r="G1568" s="6" t="s">
        <v>32</v>
      </c>
    </row>
    <row r="1569" spans="1:7" x14ac:dyDescent="0.35">
      <c r="A1569" s="6" t="s">
        <v>2053</v>
      </c>
      <c r="B1569" s="7">
        <v>25883</v>
      </c>
      <c r="C1569">
        <v>0</v>
      </c>
      <c r="D1569">
        <v>30625.65</v>
      </c>
      <c r="E1569" s="6" t="s">
        <v>7</v>
      </c>
      <c r="F1569" s="6" t="s">
        <v>8</v>
      </c>
      <c r="G1569" s="6" t="s">
        <v>32</v>
      </c>
    </row>
    <row r="1570" spans="1:7" x14ac:dyDescent="0.35">
      <c r="A1570" s="6" t="s">
        <v>2332</v>
      </c>
      <c r="B1570" s="7">
        <v>28719</v>
      </c>
      <c r="C1570">
        <v>2</v>
      </c>
      <c r="D1570">
        <v>46200.99</v>
      </c>
      <c r="E1570" s="6" t="s">
        <v>11</v>
      </c>
      <c r="F1570" s="6" t="s">
        <v>11</v>
      </c>
      <c r="G1570" s="6" t="s">
        <v>9</v>
      </c>
    </row>
    <row r="1571" spans="1:7" x14ac:dyDescent="0.35">
      <c r="A1571" s="6" t="s">
        <v>2052</v>
      </c>
      <c r="B1571" s="7">
        <v>31634</v>
      </c>
      <c r="C1571">
        <v>3</v>
      </c>
      <c r="D1571">
        <v>30530.5</v>
      </c>
      <c r="E1571" s="6" t="s">
        <v>7</v>
      </c>
      <c r="F1571" s="6" t="s">
        <v>11</v>
      </c>
      <c r="G1571" s="6" t="s">
        <v>32</v>
      </c>
    </row>
    <row r="1572" spans="1:7" x14ac:dyDescent="0.35">
      <c r="A1572" s="6" t="s">
        <v>2051</v>
      </c>
      <c r="B1572" s="7">
        <v>30562</v>
      </c>
      <c r="C1572">
        <v>3</v>
      </c>
      <c r="D1572">
        <v>30457.37</v>
      </c>
      <c r="E1572" s="6" t="s">
        <v>7</v>
      </c>
      <c r="F1572" s="6" t="s">
        <v>11</v>
      </c>
      <c r="G1572" s="6" t="s">
        <v>16</v>
      </c>
    </row>
    <row r="1573" spans="1:7" x14ac:dyDescent="0.35">
      <c r="A1573" s="6" t="s">
        <v>2050</v>
      </c>
      <c r="B1573" s="7">
        <v>36096</v>
      </c>
      <c r="C1573">
        <v>0</v>
      </c>
      <c r="D1573">
        <v>30422.03</v>
      </c>
      <c r="E1573" s="6" t="s">
        <v>7</v>
      </c>
      <c r="F1573" s="6" t="s">
        <v>8</v>
      </c>
      <c r="G1573" s="6" t="s">
        <v>32</v>
      </c>
    </row>
    <row r="1574" spans="1:7" x14ac:dyDescent="0.35">
      <c r="A1574" s="6" t="s">
        <v>2049</v>
      </c>
      <c r="B1574" s="7">
        <v>28006</v>
      </c>
      <c r="C1574">
        <v>2</v>
      </c>
      <c r="D1574">
        <v>30409.53</v>
      </c>
      <c r="E1574" s="6" t="s">
        <v>7</v>
      </c>
      <c r="F1574" s="6" t="s">
        <v>8</v>
      </c>
      <c r="G1574" s="6" t="s">
        <v>16</v>
      </c>
    </row>
    <row r="1575" spans="1:7" x14ac:dyDescent="0.35">
      <c r="A1575" s="6" t="s">
        <v>2048</v>
      </c>
      <c r="B1575" s="7">
        <v>25414</v>
      </c>
      <c r="C1575">
        <v>0</v>
      </c>
      <c r="D1575">
        <v>30366.93</v>
      </c>
      <c r="E1575" s="6" t="s">
        <v>7</v>
      </c>
      <c r="F1575" s="6" t="s">
        <v>7</v>
      </c>
      <c r="G1575" s="6" t="s">
        <v>32</v>
      </c>
    </row>
    <row r="1576" spans="1:7" x14ac:dyDescent="0.35">
      <c r="A1576" s="6" t="s">
        <v>2047</v>
      </c>
      <c r="B1576" s="7">
        <v>38139</v>
      </c>
      <c r="C1576">
        <v>0</v>
      </c>
      <c r="D1576">
        <v>30328.27</v>
      </c>
      <c r="E1576" s="6" t="s">
        <v>7</v>
      </c>
      <c r="F1576" s="6" t="s">
        <v>7</v>
      </c>
      <c r="G1576" s="6" t="s">
        <v>32</v>
      </c>
    </row>
    <row r="1577" spans="1:7" x14ac:dyDescent="0.35">
      <c r="A1577" s="6" t="s">
        <v>2046</v>
      </c>
      <c r="B1577" s="7">
        <v>26504</v>
      </c>
      <c r="C1577">
        <v>2</v>
      </c>
      <c r="D1577">
        <v>30284.639999999999</v>
      </c>
      <c r="E1577" s="6" t="s">
        <v>11</v>
      </c>
      <c r="F1577" s="6" t="s">
        <v>11</v>
      </c>
      <c r="G1577" s="6" t="s">
        <v>16</v>
      </c>
    </row>
    <row r="1578" spans="1:7" x14ac:dyDescent="0.35">
      <c r="A1578" s="6" t="s">
        <v>2045</v>
      </c>
      <c r="B1578" s="7">
        <v>22904</v>
      </c>
      <c r="C1578">
        <v>0</v>
      </c>
      <c r="D1578">
        <v>30260</v>
      </c>
      <c r="E1578" s="6" t="s">
        <v>11</v>
      </c>
      <c r="F1578" s="6" t="s">
        <v>11</v>
      </c>
      <c r="G1578" s="6" t="s">
        <v>266</v>
      </c>
    </row>
    <row r="1579" spans="1:7" x14ac:dyDescent="0.35">
      <c r="A1579" s="6" t="s">
        <v>2044</v>
      </c>
      <c r="B1579" s="7">
        <v>23267</v>
      </c>
      <c r="C1579">
        <v>3</v>
      </c>
      <c r="D1579">
        <v>30184.94</v>
      </c>
      <c r="E1579" s="6" t="s">
        <v>11</v>
      </c>
      <c r="F1579" s="6" t="s">
        <v>11</v>
      </c>
      <c r="G1579" s="6" t="s">
        <v>266</v>
      </c>
    </row>
    <row r="1580" spans="1:7" x14ac:dyDescent="0.35">
      <c r="A1580" s="6" t="s">
        <v>2043</v>
      </c>
      <c r="B1580" s="7">
        <v>21408</v>
      </c>
      <c r="C1580">
        <v>1</v>
      </c>
      <c r="D1580">
        <v>30166.62</v>
      </c>
      <c r="E1580" s="6" t="s">
        <v>11</v>
      </c>
      <c r="F1580" s="6" t="s">
        <v>8</v>
      </c>
      <c r="G1580" s="6" t="s">
        <v>16</v>
      </c>
    </row>
    <row r="1581" spans="1:7" x14ac:dyDescent="0.35">
      <c r="A1581" s="6" t="s">
        <v>2331</v>
      </c>
      <c r="B1581" s="7">
        <v>28096</v>
      </c>
      <c r="C1581">
        <v>3</v>
      </c>
      <c r="D1581">
        <v>46151.12</v>
      </c>
      <c r="E1581" s="6" t="s">
        <v>11</v>
      </c>
      <c r="F1581" s="6" t="s">
        <v>8</v>
      </c>
      <c r="G1581" s="6" t="s">
        <v>9</v>
      </c>
    </row>
    <row r="1582" spans="1:7" x14ac:dyDescent="0.35">
      <c r="A1582" s="6" t="s">
        <v>2042</v>
      </c>
      <c r="B1582" s="7">
        <v>26292</v>
      </c>
      <c r="C1582">
        <v>0</v>
      </c>
      <c r="D1582">
        <v>30134.75</v>
      </c>
      <c r="E1582" s="6" t="s">
        <v>7</v>
      </c>
      <c r="F1582" s="6" t="s">
        <v>8</v>
      </c>
      <c r="G1582" s="6" t="s">
        <v>32</v>
      </c>
    </row>
    <row r="1583" spans="1:7" x14ac:dyDescent="0.35">
      <c r="A1583" s="6" t="s">
        <v>2041</v>
      </c>
      <c r="B1583" s="7">
        <v>29100</v>
      </c>
      <c r="C1583">
        <v>2</v>
      </c>
      <c r="D1583">
        <v>30095.97</v>
      </c>
      <c r="E1583" s="6" t="s">
        <v>7</v>
      </c>
      <c r="F1583" s="6" t="s">
        <v>8</v>
      </c>
      <c r="G1583" s="6" t="s">
        <v>32</v>
      </c>
    </row>
    <row r="1584" spans="1:7" x14ac:dyDescent="0.35">
      <c r="A1584" s="6" t="s">
        <v>2040</v>
      </c>
      <c r="B1584" s="7">
        <v>24639</v>
      </c>
      <c r="C1584">
        <v>3</v>
      </c>
      <c r="D1584">
        <v>30063.58</v>
      </c>
      <c r="E1584" s="6" t="s">
        <v>11</v>
      </c>
      <c r="F1584" s="6" t="s">
        <v>11</v>
      </c>
      <c r="G1584" s="6" t="s">
        <v>16</v>
      </c>
    </row>
    <row r="1585" spans="1:7" x14ac:dyDescent="0.35">
      <c r="A1585" s="6" t="s">
        <v>2039</v>
      </c>
      <c r="B1585" s="7">
        <v>29802</v>
      </c>
      <c r="C1585">
        <v>1</v>
      </c>
      <c r="D1585">
        <v>30026.87</v>
      </c>
      <c r="E1585" s="6" t="s">
        <v>7</v>
      </c>
      <c r="F1585" s="6" t="s">
        <v>8</v>
      </c>
      <c r="G1585" s="6" t="s">
        <v>16</v>
      </c>
    </row>
    <row r="1586" spans="1:7" x14ac:dyDescent="0.35">
      <c r="A1586" s="6" t="s">
        <v>2038</v>
      </c>
      <c r="B1586" s="7">
        <v>33516</v>
      </c>
      <c r="C1586">
        <v>3</v>
      </c>
      <c r="D1586">
        <v>29969.67</v>
      </c>
      <c r="E1586" s="6" t="s">
        <v>11</v>
      </c>
      <c r="F1586" s="6" t="s">
        <v>11</v>
      </c>
      <c r="G1586" s="6" t="s">
        <v>32</v>
      </c>
    </row>
    <row r="1587" spans="1:7" x14ac:dyDescent="0.35">
      <c r="A1587" s="6" t="s">
        <v>2037</v>
      </c>
      <c r="B1587" s="7">
        <v>27923</v>
      </c>
      <c r="C1587">
        <v>2</v>
      </c>
      <c r="D1587">
        <v>29933.75</v>
      </c>
      <c r="E1587" s="6" t="s">
        <v>11</v>
      </c>
      <c r="F1587" s="6" t="s">
        <v>11</v>
      </c>
      <c r="G1587" s="6" t="s">
        <v>32</v>
      </c>
    </row>
    <row r="1588" spans="1:7" x14ac:dyDescent="0.35">
      <c r="A1588" s="6" t="s">
        <v>2036</v>
      </c>
      <c r="B1588" s="7">
        <v>32507</v>
      </c>
      <c r="C1588">
        <v>3</v>
      </c>
      <c r="D1588">
        <v>29929.56</v>
      </c>
      <c r="E1588" s="6" t="s">
        <v>11</v>
      </c>
      <c r="F1588" s="6" t="s">
        <v>11</v>
      </c>
      <c r="G1588" s="6" t="s">
        <v>32</v>
      </c>
    </row>
    <row r="1589" spans="1:7" x14ac:dyDescent="0.35">
      <c r="A1589" s="6" t="s">
        <v>2035</v>
      </c>
      <c r="B1589" s="7">
        <v>27625</v>
      </c>
      <c r="C1589">
        <v>1</v>
      </c>
      <c r="D1589">
        <v>29899.25</v>
      </c>
      <c r="E1589" s="6" t="s">
        <v>11</v>
      </c>
      <c r="F1589" s="6" t="s">
        <v>8</v>
      </c>
      <c r="G1589" s="6" t="s">
        <v>32</v>
      </c>
    </row>
    <row r="1590" spans="1:7" x14ac:dyDescent="0.35">
      <c r="A1590" s="6" t="s">
        <v>2034</v>
      </c>
      <c r="B1590" s="7">
        <v>32872</v>
      </c>
      <c r="C1590">
        <v>3</v>
      </c>
      <c r="D1590">
        <v>29852.48</v>
      </c>
      <c r="E1590" s="6" t="s">
        <v>11</v>
      </c>
      <c r="F1590" s="6" t="s">
        <v>8</v>
      </c>
      <c r="G1590" s="6" t="s">
        <v>32</v>
      </c>
    </row>
    <row r="1591" spans="1:7" x14ac:dyDescent="0.35">
      <c r="A1591" s="6" t="s">
        <v>2033</v>
      </c>
      <c r="B1591" s="7">
        <v>30253</v>
      </c>
      <c r="C1591">
        <v>3</v>
      </c>
      <c r="D1591">
        <v>29818.76</v>
      </c>
      <c r="E1591" s="6" t="s">
        <v>11</v>
      </c>
      <c r="F1591" s="6" t="s">
        <v>11</v>
      </c>
      <c r="G1591" s="6" t="s">
        <v>16</v>
      </c>
    </row>
    <row r="1592" spans="1:7" x14ac:dyDescent="0.35">
      <c r="A1592" s="6" t="s">
        <v>2330</v>
      </c>
      <c r="B1592" s="7">
        <v>22984</v>
      </c>
      <c r="C1592">
        <v>3</v>
      </c>
      <c r="D1592">
        <v>46130.53</v>
      </c>
      <c r="E1592" s="6" t="s">
        <v>11</v>
      </c>
      <c r="F1592" s="6" t="s">
        <v>11</v>
      </c>
      <c r="G1592" s="6" t="s">
        <v>16</v>
      </c>
    </row>
    <row r="1593" spans="1:7" x14ac:dyDescent="0.35">
      <c r="A1593" s="6" t="s">
        <v>2032</v>
      </c>
      <c r="B1593" s="7">
        <v>29811</v>
      </c>
      <c r="C1593">
        <v>1</v>
      </c>
      <c r="D1593">
        <v>29816.639999999999</v>
      </c>
      <c r="E1593" s="6" t="s">
        <v>11</v>
      </c>
      <c r="F1593" s="6" t="s">
        <v>7</v>
      </c>
      <c r="G1593" s="6" t="s">
        <v>32</v>
      </c>
    </row>
    <row r="1594" spans="1:7" x14ac:dyDescent="0.35">
      <c r="A1594" s="6" t="s">
        <v>2031</v>
      </c>
      <c r="B1594" s="7">
        <v>35966</v>
      </c>
      <c r="C1594">
        <v>0</v>
      </c>
      <c r="D1594">
        <v>29760.6</v>
      </c>
      <c r="E1594" s="6" t="s">
        <v>11</v>
      </c>
      <c r="F1594" s="6" t="s">
        <v>7</v>
      </c>
      <c r="G1594" s="6" t="s">
        <v>32</v>
      </c>
    </row>
    <row r="1595" spans="1:7" x14ac:dyDescent="0.35">
      <c r="A1595" s="6" t="s">
        <v>2030</v>
      </c>
      <c r="B1595" s="7">
        <v>26899</v>
      </c>
      <c r="C1595">
        <v>0</v>
      </c>
      <c r="D1595">
        <v>29757.69</v>
      </c>
      <c r="E1595" s="6" t="s">
        <v>11</v>
      </c>
      <c r="F1595" s="6" t="s">
        <v>8</v>
      </c>
      <c r="G1595" s="6" t="s">
        <v>32</v>
      </c>
    </row>
    <row r="1596" spans="1:7" x14ac:dyDescent="0.35">
      <c r="A1596" s="6" t="s">
        <v>2029</v>
      </c>
      <c r="B1596" s="7">
        <v>34177</v>
      </c>
      <c r="C1596">
        <v>0</v>
      </c>
      <c r="D1596">
        <v>29622.69</v>
      </c>
      <c r="E1596" s="6" t="s">
        <v>11</v>
      </c>
      <c r="F1596" s="6" t="s">
        <v>11</v>
      </c>
      <c r="G1596" s="6" t="s">
        <v>32</v>
      </c>
    </row>
    <row r="1597" spans="1:7" x14ac:dyDescent="0.35">
      <c r="A1597" s="6" t="s">
        <v>2028</v>
      </c>
      <c r="B1597" s="7">
        <v>27701</v>
      </c>
      <c r="C1597">
        <v>1</v>
      </c>
      <c r="D1597">
        <v>29583.8</v>
      </c>
      <c r="E1597" s="6" t="s">
        <v>11</v>
      </c>
      <c r="F1597" s="6" t="s">
        <v>11</v>
      </c>
      <c r="G1597" s="6" t="s">
        <v>32</v>
      </c>
    </row>
    <row r="1598" spans="1:7" x14ac:dyDescent="0.35">
      <c r="A1598" s="6" t="s">
        <v>2027</v>
      </c>
      <c r="B1598" s="7">
        <v>21843</v>
      </c>
      <c r="C1598">
        <v>0</v>
      </c>
      <c r="D1598">
        <v>29523.17</v>
      </c>
      <c r="E1598" s="6" t="s">
        <v>11</v>
      </c>
      <c r="F1598" s="6" t="s">
        <v>7</v>
      </c>
      <c r="G1598" s="6" t="s">
        <v>237</v>
      </c>
    </row>
    <row r="1599" spans="1:7" x14ac:dyDescent="0.35">
      <c r="A1599" s="6" t="s">
        <v>2026</v>
      </c>
      <c r="B1599" s="7">
        <v>31974</v>
      </c>
      <c r="C1599">
        <v>3</v>
      </c>
      <c r="D1599">
        <v>29443.59</v>
      </c>
      <c r="E1599" s="6" t="s">
        <v>11</v>
      </c>
      <c r="F1599" s="6" t="s">
        <v>11</v>
      </c>
      <c r="G1599" s="6" t="s">
        <v>32</v>
      </c>
    </row>
    <row r="1600" spans="1:7" x14ac:dyDescent="0.35">
      <c r="A1600" s="6" t="s">
        <v>2025</v>
      </c>
      <c r="B1600" s="7">
        <v>31358</v>
      </c>
      <c r="C1600">
        <v>3</v>
      </c>
      <c r="D1600">
        <v>29352.560000000001</v>
      </c>
      <c r="E1600" s="6" t="s">
        <v>11</v>
      </c>
      <c r="F1600" s="6" t="s">
        <v>11</v>
      </c>
      <c r="G1600" s="6" t="s">
        <v>32</v>
      </c>
    </row>
    <row r="1601" spans="1:7" x14ac:dyDescent="0.35">
      <c r="A1601" s="6" t="s">
        <v>2024</v>
      </c>
      <c r="B1601" s="7">
        <v>21341</v>
      </c>
      <c r="C1601">
        <v>0</v>
      </c>
      <c r="D1601">
        <v>29330.98</v>
      </c>
      <c r="E1601" s="6" t="s">
        <v>11</v>
      </c>
      <c r="F1601" s="6" t="s">
        <v>7</v>
      </c>
      <c r="G1601" s="6" t="s">
        <v>16</v>
      </c>
    </row>
    <row r="1602" spans="1:7" x14ac:dyDescent="0.35">
      <c r="A1602" s="6" t="s">
        <v>2023</v>
      </c>
      <c r="B1602" s="7">
        <v>28692</v>
      </c>
      <c r="C1602">
        <v>2</v>
      </c>
      <c r="D1602">
        <v>29227.599999999999</v>
      </c>
      <c r="E1602" s="6" t="s">
        <v>11</v>
      </c>
      <c r="F1602" s="6" t="s">
        <v>8</v>
      </c>
      <c r="G1602" s="6" t="s">
        <v>16</v>
      </c>
    </row>
    <row r="1603" spans="1:7" x14ac:dyDescent="0.35">
      <c r="A1603" s="6" t="s">
        <v>2329</v>
      </c>
      <c r="B1603" s="7">
        <v>31320</v>
      </c>
      <c r="C1603">
        <v>2</v>
      </c>
      <c r="D1603">
        <v>46113.51</v>
      </c>
      <c r="E1603" s="6" t="s">
        <v>7</v>
      </c>
      <c r="F1603" s="6" t="s">
        <v>8</v>
      </c>
      <c r="G1603" s="6" t="s">
        <v>32</v>
      </c>
    </row>
    <row r="1604" spans="1:7" x14ac:dyDescent="0.35">
      <c r="A1604" s="6" t="s">
        <v>2022</v>
      </c>
      <c r="B1604" s="7">
        <v>25393</v>
      </c>
      <c r="C1604">
        <v>2</v>
      </c>
      <c r="D1604">
        <v>29186.48</v>
      </c>
      <c r="E1604" s="6" t="s">
        <v>11</v>
      </c>
      <c r="F1604" s="6" t="s">
        <v>8</v>
      </c>
      <c r="G1604" s="6" t="s">
        <v>237</v>
      </c>
    </row>
    <row r="1605" spans="1:7" x14ac:dyDescent="0.35">
      <c r="A1605" s="6" t="s">
        <v>2021</v>
      </c>
      <c r="B1605" s="7">
        <v>28072</v>
      </c>
      <c r="C1605">
        <v>2</v>
      </c>
      <c r="D1605">
        <v>29160.39</v>
      </c>
      <c r="E1605" s="6" t="s">
        <v>11</v>
      </c>
      <c r="F1605" s="6" t="s">
        <v>7</v>
      </c>
      <c r="G1605" s="6" t="s">
        <v>32</v>
      </c>
    </row>
    <row r="1606" spans="1:7" x14ac:dyDescent="0.35">
      <c r="A1606" s="6" t="s">
        <v>2020</v>
      </c>
      <c r="B1606" s="7">
        <v>22639</v>
      </c>
      <c r="C1606">
        <v>0</v>
      </c>
      <c r="D1606">
        <v>29141.360000000001</v>
      </c>
      <c r="E1606" s="6" t="s">
        <v>11</v>
      </c>
      <c r="F1606" s="6" t="s">
        <v>8</v>
      </c>
      <c r="G1606" s="6" t="s">
        <v>16</v>
      </c>
    </row>
    <row r="1607" spans="1:7" x14ac:dyDescent="0.35">
      <c r="A1607" s="6" t="s">
        <v>2019</v>
      </c>
      <c r="B1607" s="7">
        <v>28823</v>
      </c>
      <c r="C1607">
        <v>2</v>
      </c>
      <c r="D1607">
        <v>29114.77</v>
      </c>
      <c r="E1607" s="6" t="s">
        <v>11</v>
      </c>
      <c r="F1607" s="6" t="s">
        <v>11</v>
      </c>
      <c r="G1607" s="6" t="s">
        <v>32</v>
      </c>
    </row>
    <row r="1608" spans="1:7" x14ac:dyDescent="0.35">
      <c r="A1608" s="6" t="s">
        <v>2018</v>
      </c>
      <c r="B1608" s="7">
        <v>29416</v>
      </c>
      <c r="C1608">
        <v>2</v>
      </c>
      <c r="D1608">
        <v>29114.21</v>
      </c>
      <c r="E1608" s="6" t="s">
        <v>11</v>
      </c>
      <c r="F1608" s="6" t="s">
        <v>8</v>
      </c>
      <c r="G1608" s="6" t="s">
        <v>32</v>
      </c>
    </row>
    <row r="1609" spans="1:7" x14ac:dyDescent="0.35">
      <c r="A1609" s="6" t="s">
        <v>2017</v>
      </c>
      <c r="B1609" s="7">
        <v>33792</v>
      </c>
      <c r="C1609">
        <v>0</v>
      </c>
      <c r="D1609">
        <v>29007.82</v>
      </c>
      <c r="E1609" s="6" t="s">
        <v>11</v>
      </c>
      <c r="F1609" s="6" t="s">
        <v>8</v>
      </c>
      <c r="G1609" s="6" t="s">
        <v>32</v>
      </c>
    </row>
    <row r="1610" spans="1:7" x14ac:dyDescent="0.35">
      <c r="A1610" s="6" t="s">
        <v>2016</v>
      </c>
      <c r="B1610" s="7">
        <v>37865</v>
      </c>
      <c r="C1610">
        <v>0</v>
      </c>
      <c r="D1610">
        <v>28998.68</v>
      </c>
      <c r="E1610" s="6" t="s">
        <v>11</v>
      </c>
      <c r="F1610" s="6" t="s">
        <v>8</v>
      </c>
      <c r="G1610" s="6" t="s">
        <v>32</v>
      </c>
    </row>
    <row r="1611" spans="1:7" x14ac:dyDescent="0.35">
      <c r="A1611" s="6" t="s">
        <v>2015</v>
      </c>
      <c r="B1611" s="7">
        <v>21889</v>
      </c>
      <c r="C1611">
        <v>0</v>
      </c>
      <c r="D1611">
        <v>28950.47</v>
      </c>
      <c r="E1611" s="6" t="s">
        <v>11</v>
      </c>
      <c r="F1611" s="6" t="s">
        <v>11</v>
      </c>
      <c r="G1611" s="6" t="s">
        <v>16</v>
      </c>
    </row>
    <row r="1612" spans="1:7" x14ac:dyDescent="0.35">
      <c r="A1612" s="6" t="s">
        <v>2014</v>
      </c>
      <c r="B1612" s="7">
        <v>22852</v>
      </c>
      <c r="C1612">
        <v>0</v>
      </c>
      <c r="D1612">
        <v>28923.14</v>
      </c>
      <c r="E1612" s="6" t="s">
        <v>11</v>
      </c>
      <c r="F1612" s="6" t="s">
        <v>11</v>
      </c>
      <c r="G1612" s="6" t="s">
        <v>16</v>
      </c>
    </row>
    <row r="1613" spans="1:7" x14ac:dyDescent="0.35">
      <c r="A1613" s="6" t="s">
        <v>2013</v>
      </c>
      <c r="B1613" s="7">
        <v>22496</v>
      </c>
      <c r="C1613">
        <v>1</v>
      </c>
      <c r="D1613">
        <v>28868.66</v>
      </c>
      <c r="E1613" s="6" t="s">
        <v>11</v>
      </c>
      <c r="F1613" s="6" t="s">
        <v>7</v>
      </c>
      <c r="G1613" s="6" t="s">
        <v>16</v>
      </c>
    </row>
    <row r="1614" spans="1:7" x14ac:dyDescent="0.35">
      <c r="A1614" s="6" t="s">
        <v>2328</v>
      </c>
      <c r="B1614" s="7">
        <v>29079</v>
      </c>
      <c r="C1614">
        <v>0</v>
      </c>
      <c r="D1614">
        <v>45863.21</v>
      </c>
      <c r="E1614" s="6" t="s">
        <v>7</v>
      </c>
      <c r="F1614" s="6" t="s">
        <v>11</v>
      </c>
      <c r="G1614" s="6" t="s">
        <v>9</v>
      </c>
    </row>
    <row r="1615" spans="1:7" x14ac:dyDescent="0.35">
      <c r="A1615" s="6" t="s">
        <v>2012</v>
      </c>
      <c r="B1615" s="7">
        <v>33212</v>
      </c>
      <c r="C1615">
        <v>3</v>
      </c>
      <c r="D1615">
        <v>28716.14</v>
      </c>
      <c r="E1615" s="6" t="s">
        <v>11</v>
      </c>
      <c r="F1615" s="6" t="s">
        <v>8</v>
      </c>
      <c r="G1615" s="6" t="s">
        <v>32</v>
      </c>
    </row>
    <row r="1616" spans="1:7" x14ac:dyDescent="0.35">
      <c r="A1616" s="6" t="s">
        <v>2011</v>
      </c>
      <c r="B1616" s="7">
        <v>31317</v>
      </c>
      <c r="C1616">
        <v>3</v>
      </c>
      <c r="D1616">
        <v>28542.86</v>
      </c>
      <c r="E1616" s="6" t="s">
        <v>11</v>
      </c>
      <c r="F1616" s="6" t="s">
        <v>8</v>
      </c>
      <c r="G1616" s="6" t="s">
        <v>32</v>
      </c>
    </row>
    <row r="1617" spans="1:7" x14ac:dyDescent="0.35">
      <c r="A1617" s="6" t="s">
        <v>2010</v>
      </c>
      <c r="B1617" s="7">
        <v>30296</v>
      </c>
      <c r="C1617">
        <v>1</v>
      </c>
      <c r="D1617">
        <v>28476.73</v>
      </c>
      <c r="E1617" s="6" t="s">
        <v>11</v>
      </c>
      <c r="F1617" s="6" t="s">
        <v>7</v>
      </c>
      <c r="G1617" s="6" t="s">
        <v>16</v>
      </c>
    </row>
    <row r="1618" spans="1:7" x14ac:dyDescent="0.35">
      <c r="A1618" s="6" t="s">
        <v>2009</v>
      </c>
      <c r="B1618" s="7">
        <v>27288</v>
      </c>
      <c r="C1618">
        <v>1</v>
      </c>
      <c r="D1618">
        <v>28468.92</v>
      </c>
      <c r="E1618" s="6" t="s">
        <v>11</v>
      </c>
      <c r="F1618" s="6" t="s">
        <v>11</v>
      </c>
      <c r="G1618" s="6" t="s">
        <v>16</v>
      </c>
    </row>
    <row r="1619" spans="1:7" x14ac:dyDescent="0.35">
      <c r="A1619" s="6" t="s">
        <v>2008</v>
      </c>
      <c r="B1619" s="7">
        <v>28461</v>
      </c>
      <c r="C1619">
        <v>1</v>
      </c>
      <c r="D1619">
        <v>28340.19</v>
      </c>
      <c r="E1619" s="6" t="s">
        <v>11</v>
      </c>
      <c r="F1619" s="6" t="s">
        <v>7</v>
      </c>
      <c r="G1619" s="6" t="s">
        <v>16</v>
      </c>
    </row>
    <row r="1620" spans="1:7" x14ac:dyDescent="0.35">
      <c r="A1620" s="6" t="s">
        <v>2007</v>
      </c>
      <c r="B1620" s="7">
        <v>33231</v>
      </c>
      <c r="C1620">
        <v>3</v>
      </c>
      <c r="D1620">
        <v>28302.33</v>
      </c>
      <c r="E1620" s="6" t="s">
        <v>11</v>
      </c>
      <c r="F1620" s="6" t="s">
        <v>7</v>
      </c>
      <c r="G1620" s="6" t="s">
        <v>32</v>
      </c>
    </row>
    <row r="1621" spans="1:7" x14ac:dyDescent="0.35">
      <c r="A1621" s="6" t="s">
        <v>2006</v>
      </c>
      <c r="B1621" s="7">
        <v>23340</v>
      </c>
      <c r="C1621">
        <v>1</v>
      </c>
      <c r="D1621">
        <v>28287.9</v>
      </c>
      <c r="E1621" s="6" t="s">
        <v>11</v>
      </c>
      <c r="F1621" s="6" t="s">
        <v>11</v>
      </c>
      <c r="G1621" s="6" t="s">
        <v>9</v>
      </c>
    </row>
    <row r="1622" spans="1:7" x14ac:dyDescent="0.35">
      <c r="A1622" s="6" t="s">
        <v>2005</v>
      </c>
      <c r="B1622" s="7">
        <v>36409</v>
      </c>
      <c r="C1622">
        <v>0</v>
      </c>
      <c r="D1622">
        <v>28245.34</v>
      </c>
      <c r="E1622" s="6" t="s">
        <v>11</v>
      </c>
      <c r="F1622" s="6" t="s">
        <v>8</v>
      </c>
      <c r="G1622" s="6" t="s">
        <v>32</v>
      </c>
    </row>
    <row r="1623" spans="1:7" x14ac:dyDescent="0.35">
      <c r="A1623" s="6" t="s">
        <v>2004</v>
      </c>
      <c r="B1623" s="7">
        <v>22242</v>
      </c>
      <c r="C1623">
        <v>0</v>
      </c>
      <c r="D1623">
        <v>28101.33</v>
      </c>
      <c r="E1623" s="6" t="s">
        <v>11</v>
      </c>
      <c r="F1623" s="6" t="s">
        <v>7</v>
      </c>
      <c r="G1623" s="6" t="s">
        <v>156</v>
      </c>
    </row>
    <row r="1624" spans="1:7" x14ac:dyDescent="0.35">
      <c r="A1624" s="6" t="s">
        <v>2003</v>
      </c>
      <c r="B1624" s="7">
        <v>31380</v>
      </c>
      <c r="C1624">
        <v>3</v>
      </c>
      <c r="D1624">
        <v>28006.94</v>
      </c>
      <c r="E1624" s="6" t="s">
        <v>11</v>
      </c>
      <c r="F1624" s="6" t="s">
        <v>7</v>
      </c>
      <c r="G1624" s="6" t="s">
        <v>32</v>
      </c>
    </row>
    <row r="1625" spans="1:7" x14ac:dyDescent="0.35">
      <c r="A1625" s="6" t="s">
        <v>2327</v>
      </c>
      <c r="B1625" s="7">
        <v>22271</v>
      </c>
      <c r="C1625">
        <v>0</v>
      </c>
      <c r="D1625">
        <v>45710.21</v>
      </c>
      <c r="E1625" s="6" t="s">
        <v>7</v>
      </c>
      <c r="F1625" s="6" t="s">
        <v>7</v>
      </c>
      <c r="G1625" s="6" t="s">
        <v>158</v>
      </c>
    </row>
    <row r="1626" spans="1:7" x14ac:dyDescent="0.35">
      <c r="A1626" s="6" t="s">
        <v>2002</v>
      </c>
      <c r="B1626" s="7">
        <v>36515</v>
      </c>
      <c r="C1626">
        <v>0</v>
      </c>
      <c r="D1626">
        <v>27980.77</v>
      </c>
      <c r="E1626" s="6" t="s">
        <v>11</v>
      </c>
      <c r="F1626" s="6" t="s">
        <v>11</v>
      </c>
      <c r="G1626" s="6" t="s">
        <v>32</v>
      </c>
    </row>
    <row r="1627" spans="1:7" x14ac:dyDescent="0.35">
      <c r="A1627" s="6" t="s">
        <v>2001</v>
      </c>
      <c r="B1627" s="7">
        <v>22490</v>
      </c>
      <c r="C1627">
        <v>3</v>
      </c>
      <c r="D1627">
        <v>27941.29</v>
      </c>
      <c r="E1627" s="6" t="s">
        <v>11</v>
      </c>
      <c r="F1627" s="6" t="s">
        <v>8</v>
      </c>
      <c r="G1627" s="6" t="s">
        <v>32</v>
      </c>
    </row>
    <row r="1628" spans="1:7" x14ac:dyDescent="0.35">
      <c r="A1628" s="6" t="s">
        <v>2000</v>
      </c>
      <c r="B1628" s="7">
        <v>33393</v>
      </c>
      <c r="C1628">
        <v>3</v>
      </c>
      <c r="D1628">
        <v>27931.11</v>
      </c>
      <c r="E1628" s="6" t="s">
        <v>11</v>
      </c>
      <c r="F1628" s="6" t="s">
        <v>8</v>
      </c>
      <c r="G1628" s="6" t="s">
        <v>32</v>
      </c>
    </row>
    <row r="1629" spans="1:7" x14ac:dyDescent="0.35">
      <c r="A1629" s="6" t="s">
        <v>1999</v>
      </c>
      <c r="B1629" s="7">
        <v>32833</v>
      </c>
      <c r="C1629">
        <v>3</v>
      </c>
      <c r="D1629">
        <v>27925.86</v>
      </c>
      <c r="E1629" s="6" t="s">
        <v>11</v>
      </c>
      <c r="F1629" s="6" t="s">
        <v>7</v>
      </c>
      <c r="G1629" s="6" t="s">
        <v>32</v>
      </c>
    </row>
    <row r="1630" spans="1:7" x14ac:dyDescent="0.35">
      <c r="A1630" s="6" t="s">
        <v>1998</v>
      </c>
      <c r="B1630" s="7">
        <v>31385</v>
      </c>
      <c r="C1630">
        <v>3</v>
      </c>
      <c r="D1630">
        <v>27849.94</v>
      </c>
      <c r="E1630" s="6" t="s">
        <v>11</v>
      </c>
      <c r="F1630" s="6" t="s">
        <v>11</v>
      </c>
      <c r="G1630" s="6" t="s">
        <v>32</v>
      </c>
    </row>
    <row r="1631" spans="1:7" x14ac:dyDescent="0.35">
      <c r="A1631" s="6" t="s">
        <v>1997</v>
      </c>
      <c r="B1631" s="7">
        <v>22103</v>
      </c>
      <c r="C1631">
        <v>0</v>
      </c>
      <c r="D1631">
        <v>27808.73</v>
      </c>
      <c r="E1631" s="6" t="s">
        <v>11</v>
      </c>
      <c r="F1631" s="6" t="s">
        <v>11</v>
      </c>
      <c r="G1631" s="6" t="s">
        <v>9</v>
      </c>
    </row>
    <row r="1632" spans="1:7" x14ac:dyDescent="0.35">
      <c r="A1632" s="6" t="s">
        <v>1996</v>
      </c>
      <c r="B1632" s="7">
        <v>37596</v>
      </c>
      <c r="C1632">
        <v>1</v>
      </c>
      <c r="D1632">
        <v>27724.29</v>
      </c>
      <c r="E1632" s="6" t="s">
        <v>11</v>
      </c>
      <c r="F1632" s="6" t="s">
        <v>8</v>
      </c>
      <c r="G1632" s="6" t="s">
        <v>9</v>
      </c>
    </row>
    <row r="1633" spans="1:7" x14ac:dyDescent="0.35">
      <c r="A1633" s="6" t="s">
        <v>1995</v>
      </c>
      <c r="B1633" s="7">
        <v>33788</v>
      </c>
      <c r="C1633">
        <v>0</v>
      </c>
      <c r="D1633">
        <v>27696.11</v>
      </c>
      <c r="E1633" s="6" t="s">
        <v>11</v>
      </c>
      <c r="F1633" s="6" t="s">
        <v>7</v>
      </c>
      <c r="G1633" s="6" t="s">
        <v>32</v>
      </c>
    </row>
    <row r="1634" spans="1:7" x14ac:dyDescent="0.35">
      <c r="A1634" s="6" t="s">
        <v>1994</v>
      </c>
      <c r="B1634" s="7">
        <v>35710</v>
      </c>
      <c r="C1634">
        <v>0</v>
      </c>
      <c r="D1634">
        <v>27625.17</v>
      </c>
      <c r="E1634" s="6" t="s">
        <v>11</v>
      </c>
      <c r="F1634" s="6" t="s">
        <v>11</v>
      </c>
      <c r="G1634" s="6" t="s">
        <v>32</v>
      </c>
    </row>
    <row r="1635" spans="1:7" x14ac:dyDescent="0.35">
      <c r="A1635" s="6" t="s">
        <v>1993</v>
      </c>
      <c r="B1635" s="7">
        <v>35682</v>
      </c>
      <c r="C1635">
        <v>0</v>
      </c>
      <c r="D1635">
        <v>27619.360000000001</v>
      </c>
      <c r="E1635" s="6" t="s">
        <v>7</v>
      </c>
      <c r="F1635" s="6" t="s">
        <v>8</v>
      </c>
      <c r="G1635" s="6" t="s">
        <v>32</v>
      </c>
    </row>
    <row r="1636" spans="1:7" x14ac:dyDescent="0.35">
      <c r="A1636" s="6" t="s">
        <v>2326</v>
      </c>
      <c r="B1636" s="7">
        <v>27250</v>
      </c>
      <c r="C1636">
        <v>2</v>
      </c>
      <c r="D1636">
        <v>45702.02</v>
      </c>
      <c r="E1636" s="6" t="s">
        <v>7</v>
      </c>
      <c r="F1636" s="6" t="s">
        <v>7</v>
      </c>
      <c r="G1636" s="6" t="s">
        <v>16</v>
      </c>
    </row>
    <row r="1637" spans="1:7" x14ac:dyDescent="0.35">
      <c r="A1637" s="6" t="s">
        <v>1992</v>
      </c>
      <c r="B1637" s="7">
        <v>33766</v>
      </c>
      <c r="C1637">
        <v>0</v>
      </c>
      <c r="D1637">
        <v>27614.71</v>
      </c>
      <c r="E1637" s="6" t="s">
        <v>7</v>
      </c>
      <c r="F1637" s="6" t="s">
        <v>8</v>
      </c>
      <c r="G1637" s="6" t="s">
        <v>32</v>
      </c>
    </row>
    <row r="1638" spans="1:7" x14ac:dyDescent="0.35">
      <c r="A1638" s="6" t="s">
        <v>1991</v>
      </c>
      <c r="B1638" s="7">
        <v>31357</v>
      </c>
      <c r="C1638">
        <v>3</v>
      </c>
      <c r="D1638">
        <v>27598.93</v>
      </c>
      <c r="E1638" s="6" t="s">
        <v>7</v>
      </c>
      <c r="F1638" s="6" t="s">
        <v>11</v>
      </c>
      <c r="G1638" s="6" t="s">
        <v>32</v>
      </c>
    </row>
    <row r="1639" spans="1:7" x14ac:dyDescent="0.35">
      <c r="A1639" s="6" t="s">
        <v>1990</v>
      </c>
      <c r="B1639" s="7">
        <v>30885</v>
      </c>
      <c r="C1639">
        <v>3</v>
      </c>
      <c r="D1639">
        <v>27534.53</v>
      </c>
      <c r="E1639" s="6" t="s">
        <v>7</v>
      </c>
      <c r="F1639" s="6" t="s">
        <v>7</v>
      </c>
      <c r="G1639" s="6" t="s">
        <v>32</v>
      </c>
    </row>
    <row r="1640" spans="1:7" x14ac:dyDescent="0.35">
      <c r="A1640" s="6" t="s">
        <v>1989</v>
      </c>
      <c r="B1640" s="7">
        <v>24034</v>
      </c>
      <c r="C1640">
        <v>0</v>
      </c>
      <c r="D1640">
        <v>27533.91</v>
      </c>
      <c r="E1640" s="6" t="s">
        <v>7</v>
      </c>
      <c r="F1640" s="6" t="s">
        <v>8</v>
      </c>
      <c r="G1640" s="6" t="s">
        <v>9</v>
      </c>
    </row>
    <row r="1641" spans="1:7" x14ac:dyDescent="0.35">
      <c r="A1641" s="6" t="s">
        <v>1988</v>
      </c>
      <c r="B1641" s="7">
        <v>29862</v>
      </c>
      <c r="C1641">
        <v>1</v>
      </c>
      <c r="D1641">
        <v>27495.59</v>
      </c>
      <c r="E1641" s="6" t="s">
        <v>7</v>
      </c>
      <c r="F1641" s="6" t="s">
        <v>11</v>
      </c>
      <c r="G1641" s="6" t="s">
        <v>32</v>
      </c>
    </row>
    <row r="1642" spans="1:7" x14ac:dyDescent="0.35">
      <c r="A1642" s="6" t="s">
        <v>1987</v>
      </c>
      <c r="B1642" s="7">
        <v>31386</v>
      </c>
      <c r="C1642">
        <v>3</v>
      </c>
      <c r="D1642">
        <v>27432.73</v>
      </c>
      <c r="E1642" s="6" t="s">
        <v>7</v>
      </c>
      <c r="F1642" s="6" t="s">
        <v>11</v>
      </c>
      <c r="G1642" s="6" t="s">
        <v>32</v>
      </c>
    </row>
    <row r="1643" spans="1:7" x14ac:dyDescent="0.35">
      <c r="A1643" s="6" t="s">
        <v>1986</v>
      </c>
      <c r="B1643" s="7">
        <v>32401</v>
      </c>
      <c r="C1643">
        <v>2</v>
      </c>
      <c r="D1643">
        <v>27375.9</v>
      </c>
      <c r="E1643" s="6" t="s">
        <v>7</v>
      </c>
      <c r="F1643" s="6" t="s">
        <v>8</v>
      </c>
      <c r="G1643" s="6" t="s">
        <v>154</v>
      </c>
    </row>
    <row r="1644" spans="1:7" x14ac:dyDescent="0.35">
      <c r="A1644" s="6" t="s">
        <v>1985</v>
      </c>
      <c r="B1644" s="7">
        <v>25492</v>
      </c>
      <c r="C1644">
        <v>0</v>
      </c>
      <c r="D1644">
        <v>27346.04</v>
      </c>
      <c r="E1644" s="6" t="s">
        <v>7</v>
      </c>
      <c r="F1644" s="6" t="s">
        <v>7</v>
      </c>
      <c r="G1644" s="6" t="s">
        <v>9</v>
      </c>
    </row>
    <row r="1645" spans="1:7" x14ac:dyDescent="0.35">
      <c r="A1645" s="6" t="s">
        <v>1984</v>
      </c>
      <c r="B1645" s="7">
        <v>24995</v>
      </c>
      <c r="C1645">
        <v>3</v>
      </c>
      <c r="D1645">
        <v>27322.73</v>
      </c>
      <c r="E1645" s="6" t="s">
        <v>7</v>
      </c>
      <c r="F1645" s="6" t="s">
        <v>7</v>
      </c>
      <c r="G1645" s="6" t="s">
        <v>9</v>
      </c>
    </row>
    <row r="1646" spans="1:7" x14ac:dyDescent="0.35">
      <c r="A1646" s="6" t="s">
        <v>1983</v>
      </c>
      <c r="B1646" s="7">
        <v>36496</v>
      </c>
      <c r="C1646">
        <v>0</v>
      </c>
      <c r="D1646">
        <v>27236.959999999999</v>
      </c>
      <c r="E1646" s="6" t="s">
        <v>7</v>
      </c>
      <c r="F1646" s="6" t="s">
        <v>11</v>
      </c>
      <c r="G1646" s="6" t="s">
        <v>32</v>
      </c>
    </row>
    <row r="1647" spans="1:7" x14ac:dyDescent="0.35">
      <c r="A1647" s="6" t="s">
        <v>2325</v>
      </c>
      <c r="B1647" s="7">
        <v>22997</v>
      </c>
      <c r="C1647">
        <v>0</v>
      </c>
      <c r="D1647">
        <v>45008.959999999999</v>
      </c>
      <c r="E1647" s="6" t="s">
        <v>7</v>
      </c>
      <c r="F1647" s="6" t="s">
        <v>7</v>
      </c>
      <c r="G1647" s="6" t="s">
        <v>9</v>
      </c>
    </row>
    <row r="1648" spans="1:7" x14ac:dyDescent="0.35">
      <c r="A1648" s="6" t="s">
        <v>1982</v>
      </c>
      <c r="B1648" s="7">
        <v>24097</v>
      </c>
      <c r="C1648">
        <v>0</v>
      </c>
      <c r="D1648">
        <v>27218.44</v>
      </c>
      <c r="E1648" s="6" t="s">
        <v>7</v>
      </c>
      <c r="F1648" s="6" t="s">
        <v>11</v>
      </c>
      <c r="G1648" s="6" t="s">
        <v>346</v>
      </c>
    </row>
    <row r="1649" spans="1:7" x14ac:dyDescent="0.35">
      <c r="A1649" s="6" t="s">
        <v>1981</v>
      </c>
      <c r="B1649" s="7">
        <v>25843</v>
      </c>
      <c r="C1649">
        <v>0</v>
      </c>
      <c r="D1649">
        <v>27117.99</v>
      </c>
      <c r="E1649" s="6" t="s">
        <v>7</v>
      </c>
      <c r="F1649" s="6" t="s">
        <v>7</v>
      </c>
      <c r="G1649" s="6" t="s">
        <v>9</v>
      </c>
    </row>
    <row r="1650" spans="1:7" x14ac:dyDescent="0.35">
      <c r="A1650" s="6" t="s">
        <v>1980</v>
      </c>
      <c r="B1650" s="7">
        <v>33220</v>
      </c>
      <c r="C1650">
        <v>3</v>
      </c>
      <c r="D1650">
        <v>27092.38</v>
      </c>
      <c r="E1650" s="6" t="s">
        <v>7</v>
      </c>
      <c r="F1650" s="6" t="s">
        <v>8</v>
      </c>
      <c r="G1650" s="6" t="s">
        <v>32</v>
      </c>
    </row>
    <row r="1651" spans="1:7" x14ac:dyDescent="0.35">
      <c r="A1651" s="6" t="s">
        <v>1979</v>
      </c>
      <c r="B1651" s="7">
        <v>34517</v>
      </c>
      <c r="C1651">
        <v>0</v>
      </c>
      <c r="D1651">
        <v>27080.639999999999</v>
      </c>
      <c r="E1651" s="6" t="s">
        <v>7</v>
      </c>
      <c r="F1651" s="6" t="s">
        <v>7</v>
      </c>
      <c r="G1651" s="6" t="s">
        <v>32</v>
      </c>
    </row>
    <row r="1652" spans="1:7" x14ac:dyDescent="0.35">
      <c r="A1652" s="6" t="s">
        <v>1978</v>
      </c>
      <c r="B1652" s="7">
        <v>21366</v>
      </c>
      <c r="C1652">
        <v>0</v>
      </c>
      <c r="D1652">
        <v>27037.91</v>
      </c>
      <c r="E1652" s="6" t="s">
        <v>7</v>
      </c>
      <c r="F1652" s="6" t="s">
        <v>7</v>
      </c>
      <c r="G1652" s="6" t="s">
        <v>9</v>
      </c>
    </row>
    <row r="1653" spans="1:7" x14ac:dyDescent="0.35">
      <c r="A1653" s="6" t="s">
        <v>1977</v>
      </c>
      <c r="B1653" s="7">
        <v>22106</v>
      </c>
      <c r="C1653">
        <v>1</v>
      </c>
      <c r="D1653">
        <v>27000.98</v>
      </c>
      <c r="E1653" s="6" t="s">
        <v>7</v>
      </c>
      <c r="F1653" s="6" t="s">
        <v>7</v>
      </c>
      <c r="G1653" s="6" t="s">
        <v>9</v>
      </c>
    </row>
    <row r="1654" spans="1:7" x14ac:dyDescent="0.35">
      <c r="A1654" s="6" t="s">
        <v>1976</v>
      </c>
      <c r="B1654" s="7">
        <v>36839</v>
      </c>
      <c r="C1654">
        <v>0</v>
      </c>
      <c r="D1654">
        <v>26936.98</v>
      </c>
      <c r="E1654" s="6" t="s">
        <v>7</v>
      </c>
      <c r="F1654" s="6" t="s">
        <v>8</v>
      </c>
      <c r="G1654" s="6" t="s">
        <v>32</v>
      </c>
    </row>
    <row r="1655" spans="1:7" x14ac:dyDescent="0.35">
      <c r="A1655" s="6" t="s">
        <v>1975</v>
      </c>
      <c r="B1655" s="7">
        <v>37424</v>
      </c>
      <c r="C1655">
        <v>0</v>
      </c>
      <c r="D1655">
        <v>26927.69</v>
      </c>
      <c r="E1655" s="6" t="s">
        <v>7</v>
      </c>
      <c r="F1655" s="6" t="s">
        <v>7</v>
      </c>
      <c r="G1655" s="6" t="s">
        <v>32</v>
      </c>
    </row>
    <row r="1656" spans="1:7" x14ac:dyDescent="0.35">
      <c r="A1656" s="6" t="s">
        <v>1974</v>
      </c>
      <c r="B1656" s="7">
        <v>21544</v>
      </c>
      <c r="C1656">
        <v>0</v>
      </c>
      <c r="D1656">
        <v>26926.51</v>
      </c>
      <c r="E1656" s="6" t="s">
        <v>7</v>
      </c>
      <c r="F1656" s="6" t="s">
        <v>11</v>
      </c>
      <c r="G1656" s="6" t="s">
        <v>9</v>
      </c>
    </row>
    <row r="1657" spans="1:7" x14ac:dyDescent="0.35">
      <c r="A1657" s="6" t="s">
        <v>1973</v>
      </c>
      <c r="B1657" s="7">
        <v>33472</v>
      </c>
      <c r="C1657">
        <v>3</v>
      </c>
      <c r="D1657">
        <v>26912.560000000001</v>
      </c>
      <c r="E1657" s="6" t="s">
        <v>7</v>
      </c>
      <c r="F1657" s="6" t="s">
        <v>7</v>
      </c>
      <c r="G1657" s="6" t="s">
        <v>32</v>
      </c>
    </row>
    <row r="1658" spans="1:7" x14ac:dyDescent="0.35">
      <c r="A1658" s="6" t="s">
        <v>2324</v>
      </c>
      <c r="B1658" s="7">
        <v>26158</v>
      </c>
      <c r="C1658">
        <v>2</v>
      </c>
      <c r="D1658">
        <v>44641.2</v>
      </c>
      <c r="E1658" s="6" t="s">
        <v>7</v>
      </c>
      <c r="F1658" s="6" t="s">
        <v>8</v>
      </c>
      <c r="G1658" s="6" t="s">
        <v>237</v>
      </c>
    </row>
    <row r="1659" spans="1:7" x14ac:dyDescent="0.35">
      <c r="A1659" s="6" t="s">
        <v>1972</v>
      </c>
      <c r="B1659" s="7">
        <v>32346</v>
      </c>
      <c r="C1659">
        <v>3</v>
      </c>
      <c r="D1659">
        <v>26607.89</v>
      </c>
      <c r="E1659" s="6" t="s">
        <v>7</v>
      </c>
      <c r="F1659" s="6" t="s">
        <v>11</v>
      </c>
      <c r="G1659" s="6" t="s">
        <v>32</v>
      </c>
    </row>
    <row r="1660" spans="1:7" x14ac:dyDescent="0.35">
      <c r="A1660" s="6" t="s">
        <v>1971</v>
      </c>
      <c r="B1660" s="7">
        <v>38235</v>
      </c>
      <c r="C1660">
        <v>0</v>
      </c>
      <c r="D1660">
        <v>26479.4</v>
      </c>
      <c r="E1660" s="6" t="s">
        <v>7</v>
      </c>
      <c r="F1660" s="6" t="s">
        <v>7</v>
      </c>
      <c r="G1660" s="6" t="s">
        <v>32</v>
      </c>
    </row>
    <row r="1661" spans="1:7" x14ac:dyDescent="0.35">
      <c r="A1661" s="6" t="s">
        <v>1970</v>
      </c>
      <c r="B1661" s="7">
        <v>25807</v>
      </c>
      <c r="C1661">
        <v>2</v>
      </c>
      <c r="D1661">
        <v>26467.1</v>
      </c>
      <c r="E1661" s="6" t="s">
        <v>7</v>
      </c>
      <c r="F1661" s="6" t="s">
        <v>8</v>
      </c>
      <c r="G1661" s="6" t="s">
        <v>16</v>
      </c>
    </row>
    <row r="1662" spans="1:7" x14ac:dyDescent="0.35">
      <c r="A1662" s="6" t="s">
        <v>1969</v>
      </c>
      <c r="B1662" s="7">
        <v>27293</v>
      </c>
      <c r="C1662">
        <v>1</v>
      </c>
      <c r="D1662">
        <v>26392.26</v>
      </c>
      <c r="E1662" s="6" t="s">
        <v>7</v>
      </c>
      <c r="F1662" s="6" t="s">
        <v>7</v>
      </c>
      <c r="G1662" s="6" t="s">
        <v>237</v>
      </c>
    </row>
    <row r="1663" spans="1:7" x14ac:dyDescent="0.35">
      <c r="A1663" s="6" t="s">
        <v>1968</v>
      </c>
      <c r="B1663" s="7">
        <v>38326</v>
      </c>
      <c r="C1663">
        <v>0</v>
      </c>
      <c r="D1663">
        <v>26316.59</v>
      </c>
      <c r="E1663" s="6" t="s">
        <v>7</v>
      </c>
      <c r="F1663" s="6" t="s">
        <v>8</v>
      </c>
      <c r="G1663" s="6" t="s">
        <v>32</v>
      </c>
    </row>
    <row r="1664" spans="1:7" x14ac:dyDescent="0.35">
      <c r="A1664" s="6" t="s">
        <v>1967</v>
      </c>
      <c r="B1664" s="7">
        <v>27549</v>
      </c>
      <c r="C1664">
        <v>1</v>
      </c>
      <c r="D1664">
        <v>26236.58</v>
      </c>
      <c r="E1664" s="6" t="s">
        <v>7</v>
      </c>
      <c r="F1664" s="6" t="s">
        <v>11</v>
      </c>
      <c r="G1664" s="6" t="s">
        <v>32</v>
      </c>
    </row>
    <row r="1665" spans="1:7" x14ac:dyDescent="0.35">
      <c r="A1665" s="6" t="s">
        <v>1966</v>
      </c>
      <c r="B1665" s="7">
        <v>26852</v>
      </c>
      <c r="C1665">
        <v>1</v>
      </c>
      <c r="D1665">
        <v>26140.36</v>
      </c>
      <c r="E1665" s="6" t="s">
        <v>7</v>
      </c>
      <c r="F1665" s="6" t="s">
        <v>8</v>
      </c>
      <c r="G1665" s="6" t="s">
        <v>32</v>
      </c>
    </row>
    <row r="1666" spans="1:7" x14ac:dyDescent="0.35">
      <c r="A1666" s="6" t="s">
        <v>1965</v>
      </c>
      <c r="B1666" s="7">
        <v>37540</v>
      </c>
      <c r="C1666">
        <v>0</v>
      </c>
      <c r="D1666">
        <v>26125.67</v>
      </c>
      <c r="E1666" s="6" t="s">
        <v>7</v>
      </c>
      <c r="F1666" s="6" t="s">
        <v>11</v>
      </c>
      <c r="G1666" s="6" t="s">
        <v>9</v>
      </c>
    </row>
    <row r="1667" spans="1:7" x14ac:dyDescent="0.35">
      <c r="A1667" s="6" t="s">
        <v>1964</v>
      </c>
      <c r="B1667" s="7">
        <v>24297</v>
      </c>
      <c r="C1667">
        <v>1</v>
      </c>
      <c r="D1667">
        <v>26109.33</v>
      </c>
      <c r="E1667" s="6" t="s">
        <v>7</v>
      </c>
      <c r="F1667" s="6" t="s">
        <v>8</v>
      </c>
      <c r="G1667" s="6" t="s">
        <v>16</v>
      </c>
    </row>
    <row r="1668" spans="1:7" x14ac:dyDescent="0.35">
      <c r="A1668" s="6" t="s">
        <v>1963</v>
      </c>
      <c r="B1668" s="7">
        <v>36886</v>
      </c>
      <c r="C1668">
        <v>0</v>
      </c>
      <c r="D1668">
        <v>26026.97</v>
      </c>
      <c r="E1668" s="6" t="s">
        <v>7</v>
      </c>
      <c r="F1668" s="6" t="s">
        <v>8</v>
      </c>
      <c r="G1668" s="6" t="s">
        <v>32</v>
      </c>
    </row>
    <row r="1669" spans="1:7" x14ac:dyDescent="0.35">
      <c r="A1669" s="6" t="s">
        <v>2359</v>
      </c>
      <c r="B1669" s="7">
        <v>33395</v>
      </c>
      <c r="C1669">
        <v>1</v>
      </c>
      <c r="D1669">
        <v>58571.07</v>
      </c>
      <c r="E1669" s="6" t="s">
        <v>11</v>
      </c>
      <c r="F1669" s="6" t="s">
        <v>8</v>
      </c>
      <c r="G1669" s="6" t="s">
        <v>237</v>
      </c>
    </row>
    <row r="1670" spans="1:7" x14ac:dyDescent="0.35">
      <c r="A1670" s="6" t="s">
        <v>2323</v>
      </c>
      <c r="B1670" s="7">
        <v>34253</v>
      </c>
      <c r="C1670">
        <v>2</v>
      </c>
      <c r="D1670">
        <v>44585.46</v>
      </c>
      <c r="E1670" s="6" t="s">
        <v>7</v>
      </c>
      <c r="F1670" s="6" t="s">
        <v>7</v>
      </c>
      <c r="G1670" s="6" t="s">
        <v>32</v>
      </c>
    </row>
    <row r="1671" spans="1:7" x14ac:dyDescent="0.35">
      <c r="A1671" s="6" t="s">
        <v>1962</v>
      </c>
      <c r="B1671" s="7">
        <v>37047</v>
      </c>
      <c r="C1671">
        <v>2</v>
      </c>
      <c r="D1671">
        <v>26018.95</v>
      </c>
      <c r="E1671" s="6" t="s">
        <v>7</v>
      </c>
      <c r="F1671" s="6" t="s">
        <v>7</v>
      </c>
      <c r="G1671" s="6" t="s">
        <v>16</v>
      </c>
    </row>
    <row r="1672" spans="1:7" x14ac:dyDescent="0.35">
      <c r="A1672" s="6" t="s">
        <v>1961</v>
      </c>
      <c r="B1672" s="7">
        <v>25905</v>
      </c>
      <c r="C1672">
        <v>3</v>
      </c>
      <c r="D1672">
        <v>25992.82</v>
      </c>
      <c r="E1672" s="6" t="s">
        <v>7</v>
      </c>
      <c r="F1672" s="6" t="s">
        <v>7</v>
      </c>
      <c r="G1672" s="6" t="s">
        <v>9</v>
      </c>
    </row>
    <row r="1673" spans="1:7" x14ac:dyDescent="0.35">
      <c r="A1673" s="6" t="s">
        <v>1960</v>
      </c>
      <c r="B1673" s="7">
        <v>23244</v>
      </c>
      <c r="C1673">
        <v>0</v>
      </c>
      <c r="D1673">
        <v>25678.78</v>
      </c>
      <c r="E1673" s="6" t="s">
        <v>7</v>
      </c>
      <c r="F1673" s="6" t="s">
        <v>8</v>
      </c>
      <c r="G1673" s="6" t="s">
        <v>16</v>
      </c>
    </row>
    <row r="1674" spans="1:7" x14ac:dyDescent="0.35">
      <c r="A1674" s="6" t="s">
        <v>1959</v>
      </c>
      <c r="B1674" s="7">
        <v>26497</v>
      </c>
      <c r="C1674">
        <v>0</v>
      </c>
      <c r="D1674">
        <v>25656.58</v>
      </c>
      <c r="E1674" s="6" t="s">
        <v>7</v>
      </c>
      <c r="F1674" s="6" t="s">
        <v>8</v>
      </c>
      <c r="G1674" s="6" t="s">
        <v>237</v>
      </c>
    </row>
    <row r="1675" spans="1:7" x14ac:dyDescent="0.35">
      <c r="A1675" s="6" t="s">
        <v>1958</v>
      </c>
      <c r="B1675" s="7">
        <v>37105</v>
      </c>
      <c r="C1675">
        <v>0</v>
      </c>
      <c r="D1675">
        <v>25648.98</v>
      </c>
      <c r="E1675" s="6" t="s">
        <v>7</v>
      </c>
      <c r="F1675" s="6" t="s">
        <v>11</v>
      </c>
      <c r="G1675" s="6" t="s">
        <v>32</v>
      </c>
    </row>
    <row r="1676" spans="1:7" x14ac:dyDescent="0.35">
      <c r="A1676" s="6" t="s">
        <v>1957</v>
      </c>
      <c r="B1676" s="7">
        <v>25183</v>
      </c>
      <c r="C1676">
        <v>1</v>
      </c>
      <c r="D1676">
        <v>25517.11</v>
      </c>
      <c r="E1676" s="6" t="s">
        <v>7</v>
      </c>
      <c r="F1676" s="6" t="s">
        <v>8</v>
      </c>
      <c r="G1676" s="6" t="s">
        <v>346</v>
      </c>
    </row>
    <row r="1677" spans="1:7" x14ac:dyDescent="0.35">
      <c r="A1677" s="6" t="s">
        <v>1956</v>
      </c>
      <c r="B1677" s="7">
        <v>25072</v>
      </c>
      <c r="C1677">
        <v>3</v>
      </c>
      <c r="D1677">
        <v>25382.3</v>
      </c>
      <c r="E1677" s="6" t="s">
        <v>7</v>
      </c>
      <c r="F1677" s="6" t="s">
        <v>7</v>
      </c>
      <c r="G1677" s="6" t="s">
        <v>32</v>
      </c>
    </row>
    <row r="1678" spans="1:7" x14ac:dyDescent="0.35">
      <c r="A1678" s="6" t="s">
        <v>1955</v>
      </c>
      <c r="B1678" s="7">
        <v>26568</v>
      </c>
      <c r="C1678">
        <v>2</v>
      </c>
      <c r="D1678">
        <v>25333.33</v>
      </c>
      <c r="E1678" s="6" t="s">
        <v>7</v>
      </c>
      <c r="F1678" s="6" t="s">
        <v>7</v>
      </c>
      <c r="G1678" s="6" t="s">
        <v>346</v>
      </c>
    </row>
    <row r="1679" spans="1:7" x14ac:dyDescent="0.35">
      <c r="A1679" s="6" t="s">
        <v>1954</v>
      </c>
      <c r="B1679" s="7">
        <v>27742</v>
      </c>
      <c r="C1679">
        <v>3</v>
      </c>
      <c r="D1679">
        <v>25309.49</v>
      </c>
      <c r="E1679" s="6" t="s">
        <v>7</v>
      </c>
      <c r="F1679" s="6" t="s">
        <v>11</v>
      </c>
      <c r="G1679" s="6" t="s">
        <v>32</v>
      </c>
    </row>
    <row r="1680" spans="1:7" x14ac:dyDescent="0.35">
      <c r="A1680" s="6" t="s">
        <v>1953</v>
      </c>
      <c r="B1680" s="7">
        <v>36123</v>
      </c>
      <c r="C1680">
        <v>0</v>
      </c>
      <c r="D1680">
        <v>25127.22</v>
      </c>
      <c r="E1680" s="6" t="s">
        <v>7</v>
      </c>
      <c r="F1680" s="6" t="s">
        <v>8</v>
      </c>
      <c r="G1680" s="6" t="s">
        <v>32</v>
      </c>
    </row>
    <row r="1681" spans="1:7" x14ac:dyDescent="0.35">
      <c r="A1681" s="6" t="s">
        <v>2322</v>
      </c>
      <c r="B1681" s="7">
        <v>36740</v>
      </c>
      <c r="C1681">
        <v>1</v>
      </c>
      <c r="D1681">
        <v>44501.4</v>
      </c>
      <c r="E1681" s="6" t="s">
        <v>7</v>
      </c>
      <c r="F1681" s="6" t="s">
        <v>8</v>
      </c>
      <c r="G1681" s="6" t="s">
        <v>9</v>
      </c>
    </row>
    <row r="1682" spans="1:7" x14ac:dyDescent="0.35">
      <c r="A1682" s="6" t="s">
        <v>1952</v>
      </c>
      <c r="B1682" s="7">
        <v>35960</v>
      </c>
      <c r="C1682">
        <v>0</v>
      </c>
      <c r="D1682">
        <v>25081.77</v>
      </c>
      <c r="E1682" s="6" t="s">
        <v>7</v>
      </c>
      <c r="F1682" s="6" t="s">
        <v>7</v>
      </c>
      <c r="G1682" s="6" t="s">
        <v>9</v>
      </c>
    </row>
    <row r="1683" spans="1:7" x14ac:dyDescent="0.35">
      <c r="A1683" s="6" t="s">
        <v>1951</v>
      </c>
      <c r="B1683" s="7">
        <v>35037</v>
      </c>
      <c r="C1683">
        <v>0</v>
      </c>
      <c r="D1683">
        <v>25075.97</v>
      </c>
      <c r="E1683" s="6" t="s">
        <v>7</v>
      </c>
      <c r="F1683" s="6" t="s">
        <v>7</v>
      </c>
      <c r="G1683" s="6" t="s">
        <v>32</v>
      </c>
    </row>
    <row r="1684" spans="1:7" x14ac:dyDescent="0.35">
      <c r="A1684" s="6" t="s">
        <v>1950</v>
      </c>
      <c r="B1684" s="7">
        <v>27712</v>
      </c>
      <c r="C1684">
        <v>3</v>
      </c>
      <c r="D1684">
        <v>24915.22</v>
      </c>
      <c r="E1684" s="6" t="s">
        <v>7</v>
      </c>
      <c r="F1684" s="6" t="s">
        <v>8</v>
      </c>
      <c r="G1684" s="6" t="s">
        <v>16</v>
      </c>
    </row>
    <row r="1685" spans="1:7" x14ac:dyDescent="0.35">
      <c r="A1685" s="6" t="s">
        <v>1949</v>
      </c>
      <c r="B1685" s="7">
        <v>31942</v>
      </c>
      <c r="C1685">
        <v>2</v>
      </c>
      <c r="D1685">
        <v>24915.05</v>
      </c>
      <c r="E1685" s="6" t="s">
        <v>7</v>
      </c>
      <c r="F1685" s="6" t="s">
        <v>11</v>
      </c>
      <c r="G1685" s="6" t="s">
        <v>237</v>
      </c>
    </row>
    <row r="1686" spans="1:7" x14ac:dyDescent="0.35">
      <c r="A1686" s="6" t="s">
        <v>1948</v>
      </c>
      <c r="B1686" s="7">
        <v>25407</v>
      </c>
      <c r="C1686">
        <v>3</v>
      </c>
      <c r="D1686">
        <v>24873.38</v>
      </c>
      <c r="E1686" s="6" t="s">
        <v>7</v>
      </c>
      <c r="F1686" s="6" t="s">
        <v>11</v>
      </c>
      <c r="G1686" s="6" t="s">
        <v>237</v>
      </c>
    </row>
    <row r="1687" spans="1:7" x14ac:dyDescent="0.35">
      <c r="A1687" s="6" t="s">
        <v>1947</v>
      </c>
      <c r="B1687" s="7">
        <v>25898</v>
      </c>
      <c r="C1687">
        <v>3</v>
      </c>
      <c r="D1687">
        <v>24869.84</v>
      </c>
      <c r="E1687" s="6" t="s">
        <v>7</v>
      </c>
      <c r="F1687" s="6" t="s">
        <v>7</v>
      </c>
      <c r="G1687" s="6" t="s">
        <v>158</v>
      </c>
    </row>
    <row r="1688" spans="1:7" x14ac:dyDescent="0.35">
      <c r="A1688" s="6" t="s">
        <v>1946</v>
      </c>
      <c r="B1688" s="7">
        <v>34860</v>
      </c>
      <c r="C1688">
        <v>0</v>
      </c>
      <c r="D1688">
        <v>24863.25</v>
      </c>
      <c r="E1688" s="6" t="s">
        <v>7</v>
      </c>
      <c r="F1688" s="6" t="s">
        <v>8</v>
      </c>
      <c r="G1688" s="6" t="s">
        <v>32</v>
      </c>
    </row>
    <row r="1689" spans="1:7" x14ac:dyDescent="0.35">
      <c r="A1689" s="6" t="s">
        <v>1945</v>
      </c>
      <c r="B1689" s="7">
        <v>34586</v>
      </c>
      <c r="C1689">
        <v>0</v>
      </c>
      <c r="D1689">
        <v>24817.25</v>
      </c>
      <c r="E1689" s="6" t="s">
        <v>7</v>
      </c>
      <c r="F1689" s="6" t="s">
        <v>7</v>
      </c>
      <c r="G1689" s="6" t="s">
        <v>32</v>
      </c>
    </row>
    <row r="1690" spans="1:7" x14ac:dyDescent="0.35">
      <c r="A1690" s="6" t="s">
        <v>1944</v>
      </c>
      <c r="B1690" s="7">
        <v>33888</v>
      </c>
      <c r="C1690">
        <v>0</v>
      </c>
      <c r="D1690">
        <v>24795.040000000001</v>
      </c>
      <c r="E1690" s="6" t="s">
        <v>7</v>
      </c>
      <c r="F1690" s="6" t="s">
        <v>8</v>
      </c>
      <c r="G1690" s="6" t="s">
        <v>32</v>
      </c>
    </row>
    <row r="1691" spans="1:7" x14ac:dyDescent="0.35">
      <c r="A1691" s="6" t="s">
        <v>1943</v>
      </c>
      <c r="B1691" s="7">
        <v>35305</v>
      </c>
      <c r="C1691">
        <v>4</v>
      </c>
      <c r="D1691">
        <v>24671.66</v>
      </c>
      <c r="E1691" s="6" t="s">
        <v>7</v>
      </c>
      <c r="F1691" s="6" t="s">
        <v>11</v>
      </c>
      <c r="G1691" s="6" t="s">
        <v>237</v>
      </c>
    </row>
    <row r="1692" spans="1:7" x14ac:dyDescent="0.35">
      <c r="A1692" s="6" t="s">
        <v>2321</v>
      </c>
      <c r="B1692" s="7">
        <v>24729</v>
      </c>
      <c r="C1692">
        <v>0</v>
      </c>
      <c r="D1692">
        <v>44423.8</v>
      </c>
      <c r="E1692" s="6" t="s">
        <v>7</v>
      </c>
      <c r="F1692" s="6" t="s">
        <v>8</v>
      </c>
      <c r="G1692" s="6" t="s">
        <v>9</v>
      </c>
    </row>
    <row r="1693" spans="1:7" x14ac:dyDescent="0.35">
      <c r="A1693" s="6" t="s">
        <v>1942</v>
      </c>
      <c r="B1693" s="7">
        <v>25731</v>
      </c>
      <c r="C1693">
        <v>2</v>
      </c>
      <c r="D1693">
        <v>24667.42</v>
      </c>
      <c r="E1693" s="6" t="s">
        <v>7</v>
      </c>
      <c r="F1693" s="6" t="s">
        <v>8</v>
      </c>
      <c r="G1693" s="6" t="s">
        <v>9</v>
      </c>
    </row>
    <row r="1694" spans="1:7" x14ac:dyDescent="0.35">
      <c r="A1694" s="6" t="s">
        <v>1941</v>
      </c>
      <c r="B1694" s="7">
        <v>28045</v>
      </c>
      <c r="C1694">
        <v>0</v>
      </c>
      <c r="D1694">
        <v>24603.05</v>
      </c>
      <c r="E1694" s="6" t="s">
        <v>7</v>
      </c>
      <c r="F1694" s="6" t="s">
        <v>7</v>
      </c>
      <c r="G1694" s="6" t="s">
        <v>32</v>
      </c>
    </row>
    <row r="1695" spans="1:7" x14ac:dyDescent="0.35">
      <c r="A1695" s="6" t="s">
        <v>1940</v>
      </c>
      <c r="B1695" s="7">
        <v>27558</v>
      </c>
      <c r="C1695">
        <v>2</v>
      </c>
      <c r="D1695">
        <v>24535.7</v>
      </c>
      <c r="E1695" s="6" t="s">
        <v>7</v>
      </c>
      <c r="F1695" s="6" t="s">
        <v>7</v>
      </c>
      <c r="G1695" s="6" t="s">
        <v>16</v>
      </c>
    </row>
    <row r="1696" spans="1:7" x14ac:dyDescent="0.35">
      <c r="A1696" s="6" t="s">
        <v>1939</v>
      </c>
      <c r="B1696" s="7">
        <v>26556</v>
      </c>
      <c r="C1696">
        <v>1</v>
      </c>
      <c r="D1696">
        <v>24520.26</v>
      </c>
      <c r="E1696" s="6" t="s">
        <v>7</v>
      </c>
      <c r="F1696" s="6" t="s">
        <v>8</v>
      </c>
      <c r="G1696" s="6" t="s">
        <v>32</v>
      </c>
    </row>
    <row r="1697" spans="1:7" x14ac:dyDescent="0.35">
      <c r="A1697" s="6" t="s">
        <v>1938</v>
      </c>
      <c r="B1697" s="7">
        <v>22575</v>
      </c>
      <c r="C1697">
        <v>0</v>
      </c>
      <c r="D1697">
        <v>24513.09</v>
      </c>
      <c r="E1697" s="6" t="s">
        <v>7</v>
      </c>
      <c r="F1697" s="6" t="s">
        <v>7</v>
      </c>
      <c r="G1697" s="6" t="s">
        <v>9</v>
      </c>
    </row>
    <row r="1698" spans="1:7" x14ac:dyDescent="0.35">
      <c r="A1698" s="6" t="s">
        <v>1937</v>
      </c>
      <c r="B1698" s="7">
        <v>25025</v>
      </c>
      <c r="C1698">
        <v>0</v>
      </c>
      <c r="D1698">
        <v>24476.48</v>
      </c>
      <c r="E1698" s="6" t="s">
        <v>7</v>
      </c>
      <c r="F1698" s="6" t="s">
        <v>7</v>
      </c>
      <c r="G1698" s="6" t="s">
        <v>16</v>
      </c>
    </row>
    <row r="1699" spans="1:7" x14ac:dyDescent="0.35">
      <c r="A1699" s="6" t="s">
        <v>1936</v>
      </c>
      <c r="B1699" s="7">
        <v>25902</v>
      </c>
      <c r="C1699">
        <v>0</v>
      </c>
      <c r="D1699">
        <v>24393.62</v>
      </c>
      <c r="E1699" s="6" t="s">
        <v>7</v>
      </c>
      <c r="F1699" s="6" t="s">
        <v>8</v>
      </c>
      <c r="G1699" s="6" t="s">
        <v>16</v>
      </c>
    </row>
    <row r="1700" spans="1:7" x14ac:dyDescent="0.35">
      <c r="A1700" s="6" t="s">
        <v>1935</v>
      </c>
      <c r="B1700" s="7">
        <v>36440</v>
      </c>
      <c r="C1700">
        <v>0</v>
      </c>
      <c r="D1700">
        <v>24387.74</v>
      </c>
      <c r="E1700" s="6" t="s">
        <v>7</v>
      </c>
      <c r="F1700" s="6" t="s">
        <v>11</v>
      </c>
      <c r="G1700" s="6" t="s">
        <v>32</v>
      </c>
    </row>
    <row r="1701" spans="1:7" x14ac:dyDescent="0.35">
      <c r="A1701" s="6" t="s">
        <v>1934</v>
      </c>
      <c r="B1701" s="7">
        <v>38202</v>
      </c>
      <c r="C1701">
        <v>0</v>
      </c>
      <c r="D1701">
        <v>24294.02</v>
      </c>
      <c r="E1701" s="6" t="s">
        <v>7</v>
      </c>
      <c r="F1701" s="6" t="s">
        <v>11</v>
      </c>
      <c r="G1701" s="6" t="s">
        <v>32</v>
      </c>
    </row>
    <row r="1702" spans="1:7" x14ac:dyDescent="0.35">
      <c r="A1702" s="6" t="s">
        <v>1933</v>
      </c>
      <c r="B1702" s="7">
        <v>23727</v>
      </c>
      <c r="C1702">
        <v>0</v>
      </c>
      <c r="D1702">
        <v>24227.34</v>
      </c>
      <c r="E1702" s="6" t="s">
        <v>7</v>
      </c>
      <c r="F1702" s="6" t="s">
        <v>11</v>
      </c>
      <c r="G1702" s="6" t="s">
        <v>9</v>
      </c>
    </row>
    <row r="1703" spans="1:7" x14ac:dyDescent="0.35">
      <c r="A1703" s="6" t="s">
        <v>2320</v>
      </c>
      <c r="B1703" s="7">
        <v>26235</v>
      </c>
      <c r="C1703">
        <v>0</v>
      </c>
      <c r="D1703">
        <v>44400.41</v>
      </c>
      <c r="E1703" s="6" t="s">
        <v>7</v>
      </c>
      <c r="F1703" s="6" t="s">
        <v>7</v>
      </c>
      <c r="G1703" s="6" t="s">
        <v>9</v>
      </c>
    </row>
    <row r="1704" spans="1:7" x14ac:dyDescent="0.35">
      <c r="A1704" s="6" t="s">
        <v>1932</v>
      </c>
      <c r="B1704" s="7">
        <v>27282</v>
      </c>
      <c r="C1704">
        <v>3</v>
      </c>
      <c r="D1704">
        <v>24180.93</v>
      </c>
      <c r="E1704" s="6" t="s">
        <v>7</v>
      </c>
      <c r="F1704" s="6" t="s">
        <v>11</v>
      </c>
      <c r="G1704" s="6" t="s">
        <v>9</v>
      </c>
    </row>
    <row r="1705" spans="1:7" x14ac:dyDescent="0.35">
      <c r="A1705" s="6" t="s">
        <v>1931</v>
      </c>
      <c r="B1705" s="7">
        <v>26828</v>
      </c>
      <c r="C1705">
        <v>3</v>
      </c>
      <c r="D1705">
        <v>24106.91</v>
      </c>
      <c r="E1705" s="6" t="s">
        <v>7</v>
      </c>
      <c r="F1705" s="6" t="s">
        <v>7</v>
      </c>
      <c r="G1705" s="6" t="s">
        <v>237</v>
      </c>
    </row>
    <row r="1706" spans="1:7" x14ac:dyDescent="0.35">
      <c r="A1706" s="6" t="s">
        <v>1930</v>
      </c>
      <c r="B1706" s="7">
        <v>37985</v>
      </c>
      <c r="C1706">
        <v>2</v>
      </c>
      <c r="D1706">
        <v>24059.68</v>
      </c>
      <c r="E1706" s="6" t="s">
        <v>7</v>
      </c>
      <c r="F1706" s="6" t="s">
        <v>7</v>
      </c>
      <c r="G1706" s="6" t="s">
        <v>16</v>
      </c>
    </row>
    <row r="1707" spans="1:7" x14ac:dyDescent="0.35">
      <c r="A1707" s="6" t="s">
        <v>1929</v>
      </c>
      <c r="B1707" s="7">
        <v>26124</v>
      </c>
      <c r="C1707">
        <v>2</v>
      </c>
      <c r="D1707">
        <v>23967.38</v>
      </c>
      <c r="E1707" s="6" t="s">
        <v>7</v>
      </c>
      <c r="F1707" s="6" t="s">
        <v>7</v>
      </c>
      <c r="G1707" s="6" t="s">
        <v>16</v>
      </c>
    </row>
    <row r="1708" spans="1:7" x14ac:dyDescent="0.35">
      <c r="A1708" s="6" t="s">
        <v>1928</v>
      </c>
      <c r="B1708" s="7">
        <v>25788</v>
      </c>
      <c r="C1708">
        <v>1</v>
      </c>
      <c r="D1708">
        <v>23887.66</v>
      </c>
      <c r="E1708" s="6" t="s">
        <v>7</v>
      </c>
      <c r="F1708" s="6" t="s">
        <v>8</v>
      </c>
      <c r="G1708" s="6" t="s">
        <v>16</v>
      </c>
    </row>
    <row r="1709" spans="1:7" x14ac:dyDescent="0.35">
      <c r="A1709" s="6" t="s">
        <v>1927</v>
      </c>
      <c r="B1709" s="7">
        <v>26842</v>
      </c>
      <c r="C1709">
        <v>2</v>
      </c>
      <c r="D1709">
        <v>23807.24</v>
      </c>
      <c r="E1709" s="6" t="s">
        <v>7</v>
      </c>
      <c r="F1709" s="6" t="s">
        <v>8</v>
      </c>
      <c r="G1709" s="6" t="s">
        <v>16</v>
      </c>
    </row>
    <row r="1710" spans="1:7" x14ac:dyDescent="0.35">
      <c r="A1710" s="6" t="s">
        <v>1926</v>
      </c>
      <c r="B1710" s="7">
        <v>27182</v>
      </c>
      <c r="C1710">
        <v>1</v>
      </c>
      <c r="D1710">
        <v>23568.27</v>
      </c>
      <c r="E1710" s="6" t="s">
        <v>7</v>
      </c>
      <c r="F1710" s="6" t="s">
        <v>7</v>
      </c>
      <c r="G1710" s="6" t="s">
        <v>32</v>
      </c>
    </row>
    <row r="1711" spans="1:7" x14ac:dyDescent="0.35">
      <c r="A1711" s="6" t="s">
        <v>1925</v>
      </c>
      <c r="B1711" s="7">
        <v>30554</v>
      </c>
      <c r="C1711">
        <v>2</v>
      </c>
      <c r="D1711">
        <v>23563.02</v>
      </c>
      <c r="E1711" s="6" t="s">
        <v>7</v>
      </c>
      <c r="F1711" s="6" t="s">
        <v>7</v>
      </c>
      <c r="G1711" s="6" t="s">
        <v>9</v>
      </c>
    </row>
    <row r="1712" spans="1:7" x14ac:dyDescent="0.35">
      <c r="A1712" s="6" t="s">
        <v>1924</v>
      </c>
      <c r="B1712" s="7">
        <v>27711</v>
      </c>
      <c r="C1712">
        <v>1</v>
      </c>
      <c r="D1712">
        <v>23401.31</v>
      </c>
      <c r="E1712" s="6" t="s">
        <v>7</v>
      </c>
      <c r="F1712" s="6" t="s">
        <v>8</v>
      </c>
      <c r="G1712" s="6" t="s">
        <v>237</v>
      </c>
    </row>
    <row r="1713" spans="1:7" x14ac:dyDescent="0.35">
      <c r="A1713" s="6" t="s">
        <v>1923</v>
      </c>
      <c r="B1713" s="7">
        <v>26959</v>
      </c>
      <c r="C1713">
        <v>2</v>
      </c>
      <c r="D1713">
        <v>23306.55</v>
      </c>
      <c r="E1713" s="6" t="s">
        <v>7</v>
      </c>
      <c r="F1713" s="6" t="s">
        <v>7</v>
      </c>
      <c r="G1713" s="6" t="s">
        <v>32</v>
      </c>
    </row>
    <row r="1714" spans="1:7" x14ac:dyDescent="0.35">
      <c r="A1714" s="6" t="s">
        <v>2319</v>
      </c>
      <c r="B1714" s="7">
        <v>25166</v>
      </c>
      <c r="C1714">
        <v>2</v>
      </c>
      <c r="D1714">
        <v>44260.75</v>
      </c>
      <c r="E1714" s="6" t="s">
        <v>7</v>
      </c>
      <c r="F1714" s="6" t="s">
        <v>11</v>
      </c>
      <c r="G1714" s="6" t="s">
        <v>9</v>
      </c>
    </row>
    <row r="1715" spans="1:7" x14ac:dyDescent="0.35">
      <c r="A1715" s="6" t="s">
        <v>1922</v>
      </c>
      <c r="B1715" s="7">
        <v>34610</v>
      </c>
      <c r="C1715">
        <v>1</v>
      </c>
      <c r="D1715">
        <v>23288.93</v>
      </c>
      <c r="E1715" s="6" t="s">
        <v>7</v>
      </c>
      <c r="F1715" s="6" t="s">
        <v>8</v>
      </c>
      <c r="G1715" s="6" t="s">
        <v>237</v>
      </c>
    </row>
    <row r="1716" spans="1:7" x14ac:dyDescent="0.35">
      <c r="A1716" s="6" t="s">
        <v>1921</v>
      </c>
      <c r="B1716" s="7">
        <v>25521</v>
      </c>
      <c r="C1716">
        <v>1</v>
      </c>
      <c r="D1716">
        <v>23244.79</v>
      </c>
      <c r="E1716" s="6" t="s">
        <v>7</v>
      </c>
      <c r="F1716" s="6" t="s">
        <v>8</v>
      </c>
      <c r="G1716" s="6" t="s">
        <v>9</v>
      </c>
    </row>
    <row r="1717" spans="1:7" x14ac:dyDescent="0.35">
      <c r="A1717" s="6" t="s">
        <v>1920</v>
      </c>
      <c r="B1717" s="7">
        <v>35649</v>
      </c>
      <c r="C1717">
        <v>2</v>
      </c>
      <c r="D1717">
        <v>23241.47</v>
      </c>
      <c r="E1717" s="6" t="s">
        <v>7</v>
      </c>
      <c r="F1717" s="6" t="s">
        <v>8</v>
      </c>
      <c r="G1717" s="6" t="s">
        <v>160</v>
      </c>
    </row>
    <row r="1718" spans="1:7" x14ac:dyDescent="0.35">
      <c r="A1718" s="6" t="s">
        <v>1919</v>
      </c>
      <c r="B1718" s="7">
        <v>37969</v>
      </c>
      <c r="C1718">
        <v>0</v>
      </c>
      <c r="D1718">
        <v>23082.959999999999</v>
      </c>
      <c r="E1718" s="6" t="s">
        <v>7</v>
      </c>
      <c r="F1718" s="6" t="s">
        <v>7</v>
      </c>
      <c r="G1718" s="6" t="s">
        <v>32</v>
      </c>
    </row>
    <row r="1719" spans="1:7" x14ac:dyDescent="0.35">
      <c r="A1719" s="6" t="s">
        <v>1918</v>
      </c>
      <c r="B1719" s="7">
        <v>27646</v>
      </c>
      <c r="C1719">
        <v>0</v>
      </c>
      <c r="D1719">
        <v>23065.42</v>
      </c>
      <c r="E1719" s="6" t="s">
        <v>7</v>
      </c>
      <c r="F1719" s="6" t="s">
        <v>7</v>
      </c>
      <c r="G1719" s="6" t="s">
        <v>9</v>
      </c>
    </row>
    <row r="1720" spans="1:7" x14ac:dyDescent="0.35">
      <c r="A1720" s="6" t="s">
        <v>1917</v>
      </c>
      <c r="B1720" s="7">
        <v>25881</v>
      </c>
      <c r="C1720">
        <v>0</v>
      </c>
      <c r="D1720">
        <v>23045.57</v>
      </c>
      <c r="E1720" s="6" t="s">
        <v>7</v>
      </c>
      <c r="F1720" s="6" t="s">
        <v>7</v>
      </c>
      <c r="G1720" s="6" t="s">
        <v>237</v>
      </c>
    </row>
    <row r="1721" spans="1:7" x14ac:dyDescent="0.35">
      <c r="A1721" s="6" t="s">
        <v>1916</v>
      </c>
      <c r="B1721" s="7">
        <v>37827</v>
      </c>
      <c r="C1721">
        <v>2</v>
      </c>
      <c r="D1721">
        <v>22493.66</v>
      </c>
      <c r="E1721" s="6" t="s">
        <v>7</v>
      </c>
      <c r="F1721" s="6" t="s">
        <v>11</v>
      </c>
      <c r="G1721" s="6" t="s">
        <v>16</v>
      </c>
    </row>
    <row r="1722" spans="1:7" x14ac:dyDescent="0.35">
      <c r="A1722" s="6" t="s">
        <v>1915</v>
      </c>
      <c r="B1722" s="7">
        <v>29173</v>
      </c>
      <c r="C1722">
        <v>2</v>
      </c>
      <c r="D1722">
        <v>22478.6</v>
      </c>
      <c r="E1722" s="6" t="s">
        <v>8</v>
      </c>
      <c r="F1722" s="6" t="s">
        <v>7</v>
      </c>
      <c r="G1722" s="6" t="s">
        <v>32</v>
      </c>
    </row>
    <row r="1723" spans="1:7" x14ac:dyDescent="0.35">
      <c r="A1723" s="6" t="s">
        <v>1914</v>
      </c>
      <c r="B1723" s="7">
        <v>30671</v>
      </c>
      <c r="C1723">
        <v>1</v>
      </c>
      <c r="D1723">
        <v>22462.04</v>
      </c>
      <c r="E1723" s="6" t="s">
        <v>8</v>
      </c>
      <c r="F1723" s="6" t="s">
        <v>11</v>
      </c>
      <c r="G1723" s="6" t="s">
        <v>156</v>
      </c>
    </row>
    <row r="1724" spans="1:7" x14ac:dyDescent="0.35">
      <c r="A1724" s="6" t="s">
        <v>1913</v>
      </c>
      <c r="B1724" s="7">
        <v>24337</v>
      </c>
      <c r="C1724">
        <v>0</v>
      </c>
      <c r="D1724">
        <v>22412.65</v>
      </c>
      <c r="E1724" s="6" t="s">
        <v>8</v>
      </c>
      <c r="F1724" s="6" t="s">
        <v>8</v>
      </c>
      <c r="G1724" s="6" t="s">
        <v>266</v>
      </c>
    </row>
    <row r="1725" spans="1:7" x14ac:dyDescent="0.35">
      <c r="A1725" s="6" t="s">
        <v>2318</v>
      </c>
      <c r="B1725" s="7">
        <v>27546</v>
      </c>
      <c r="C1725">
        <v>2</v>
      </c>
      <c r="D1725">
        <v>44202.65</v>
      </c>
      <c r="E1725" s="6" t="s">
        <v>7</v>
      </c>
      <c r="F1725" s="6" t="s">
        <v>7</v>
      </c>
      <c r="G1725" s="6" t="s">
        <v>9</v>
      </c>
    </row>
    <row r="1726" spans="1:7" x14ac:dyDescent="0.35">
      <c r="A1726" s="6" t="s">
        <v>1912</v>
      </c>
      <c r="B1726" s="7">
        <v>36398</v>
      </c>
      <c r="C1726">
        <v>2</v>
      </c>
      <c r="D1726">
        <v>22395.74</v>
      </c>
      <c r="E1726" s="6" t="s">
        <v>8</v>
      </c>
      <c r="F1726" s="6" t="s">
        <v>7</v>
      </c>
      <c r="G1726" s="6" t="s">
        <v>237</v>
      </c>
    </row>
    <row r="1727" spans="1:7" x14ac:dyDescent="0.35">
      <c r="A1727" s="6" t="s">
        <v>1911</v>
      </c>
      <c r="B1727" s="7">
        <v>30312</v>
      </c>
      <c r="C1727">
        <v>1</v>
      </c>
      <c r="D1727">
        <v>22331.57</v>
      </c>
      <c r="E1727" s="6" t="s">
        <v>7</v>
      </c>
      <c r="F1727" s="6" t="s">
        <v>8</v>
      </c>
      <c r="G1727" s="6" t="s">
        <v>237</v>
      </c>
    </row>
    <row r="1728" spans="1:7" x14ac:dyDescent="0.35">
      <c r="A1728" s="6" t="s">
        <v>1910</v>
      </c>
      <c r="B1728" s="7">
        <v>26100</v>
      </c>
      <c r="C1728">
        <v>1</v>
      </c>
      <c r="D1728">
        <v>22218.11</v>
      </c>
      <c r="E1728" s="6" t="s">
        <v>7</v>
      </c>
      <c r="F1728" s="6" t="s">
        <v>8</v>
      </c>
      <c r="G1728" s="6" t="s">
        <v>9</v>
      </c>
    </row>
    <row r="1729" spans="1:7" x14ac:dyDescent="0.35">
      <c r="A1729" s="6" t="s">
        <v>1909</v>
      </c>
      <c r="B1729" s="7">
        <v>23978</v>
      </c>
      <c r="C1729">
        <v>1</v>
      </c>
      <c r="D1729">
        <v>22192.44</v>
      </c>
      <c r="E1729" s="6" t="s">
        <v>8</v>
      </c>
      <c r="F1729" s="6" t="s">
        <v>11</v>
      </c>
      <c r="G1729" s="6" t="s">
        <v>9</v>
      </c>
    </row>
    <row r="1730" spans="1:7" x14ac:dyDescent="0.35">
      <c r="A1730" s="6" t="s">
        <v>1908</v>
      </c>
      <c r="B1730" s="7">
        <v>29476</v>
      </c>
      <c r="C1730">
        <v>0</v>
      </c>
      <c r="D1730">
        <v>22144.03</v>
      </c>
      <c r="E1730" s="6" t="s">
        <v>7</v>
      </c>
      <c r="F1730" s="6" t="s">
        <v>7</v>
      </c>
      <c r="G1730" s="6" t="s">
        <v>32</v>
      </c>
    </row>
    <row r="1731" spans="1:7" x14ac:dyDescent="0.35">
      <c r="A1731" s="6" t="s">
        <v>1907</v>
      </c>
      <c r="B1731" s="7">
        <v>37131</v>
      </c>
      <c r="C1731">
        <v>0</v>
      </c>
      <c r="D1731">
        <v>22097.62</v>
      </c>
      <c r="E1731" s="6" t="s">
        <v>8</v>
      </c>
      <c r="F1731" s="6" t="s">
        <v>11</v>
      </c>
      <c r="G1731" s="6" t="s">
        <v>32</v>
      </c>
    </row>
    <row r="1732" spans="1:7" x14ac:dyDescent="0.35">
      <c r="A1732" s="6" t="s">
        <v>1906</v>
      </c>
      <c r="B1732" s="7">
        <v>32795</v>
      </c>
      <c r="C1732">
        <v>0</v>
      </c>
      <c r="D1732">
        <v>21984.47</v>
      </c>
      <c r="E1732" s="6" t="s">
        <v>8</v>
      </c>
      <c r="F1732" s="6" t="s">
        <v>11</v>
      </c>
      <c r="G1732" s="6" t="s">
        <v>16</v>
      </c>
    </row>
    <row r="1733" spans="1:7" x14ac:dyDescent="0.35">
      <c r="A1733" s="6" t="s">
        <v>1905</v>
      </c>
      <c r="B1733" s="7">
        <v>27747</v>
      </c>
      <c r="C1733">
        <v>1</v>
      </c>
      <c r="D1733">
        <v>21978.68</v>
      </c>
      <c r="E1733" s="6" t="s">
        <v>8</v>
      </c>
      <c r="F1733" s="6" t="s">
        <v>8</v>
      </c>
      <c r="G1733" s="6" t="s">
        <v>9</v>
      </c>
    </row>
    <row r="1734" spans="1:7" x14ac:dyDescent="0.35">
      <c r="A1734" s="6" t="s">
        <v>1904</v>
      </c>
      <c r="B1734" s="7">
        <v>37892</v>
      </c>
      <c r="C1734">
        <v>0</v>
      </c>
      <c r="D1734">
        <v>21882.400000000001</v>
      </c>
      <c r="E1734" s="6" t="s">
        <v>7</v>
      </c>
      <c r="F1734" s="6" t="s">
        <v>11</v>
      </c>
      <c r="G1734" s="6" t="s">
        <v>32</v>
      </c>
    </row>
    <row r="1735" spans="1:7" x14ac:dyDescent="0.35">
      <c r="A1735" s="6" t="s">
        <v>1903</v>
      </c>
      <c r="B1735" s="7">
        <v>29084</v>
      </c>
      <c r="C1735">
        <v>2</v>
      </c>
      <c r="D1735">
        <v>21880.82</v>
      </c>
      <c r="E1735" s="6" t="s">
        <v>8</v>
      </c>
      <c r="F1735" s="6" t="s">
        <v>11</v>
      </c>
      <c r="G1735" s="6" t="s">
        <v>16</v>
      </c>
    </row>
    <row r="1736" spans="1:7" x14ac:dyDescent="0.35">
      <c r="A1736" s="6" t="s">
        <v>2317</v>
      </c>
      <c r="B1736" s="7">
        <v>32340</v>
      </c>
      <c r="C1736">
        <v>1</v>
      </c>
      <c r="D1736">
        <v>43943.88</v>
      </c>
      <c r="E1736" s="6" t="s">
        <v>7</v>
      </c>
      <c r="F1736" s="6" t="s">
        <v>11</v>
      </c>
      <c r="G1736" s="6" t="s">
        <v>16</v>
      </c>
    </row>
    <row r="1737" spans="1:7" x14ac:dyDescent="0.35">
      <c r="A1737" s="6" t="s">
        <v>1902</v>
      </c>
      <c r="B1737" s="7">
        <v>23250</v>
      </c>
      <c r="C1737">
        <v>0</v>
      </c>
      <c r="D1737">
        <v>21797</v>
      </c>
      <c r="E1737" s="6" t="s">
        <v>8</v>
      </c>
      <c r="F1737" s="6" t="s">
        <v>11</v>
      </c>
      <c r="G1737" s="6" t="s">
        <v>32</v>
      </c>
    </row>
    <row r="1738" spans="1:7" x14ac:dyDescent="0.35">
      <c r="A1738" s="6" t="s">
        <v>1901</v>
      </c>
      <c r="B1738" s="7">
        <v>29126</v>
      </c>
      <c r="C1738">
        <v>0</v>
      </c>
      <c r="D1738">
        <v>21774.32</v>
      </c>
      <c r="E1738" s="6" t="s">
        <v>8</v>
      </c>
      <c r="F1738" s="6" t="s">
        <v>7</v>
      </c>
      <c r="G1738" s="6" t="s">
        <v>16</v>
      </c>
    </row>
    <row r="1739" spans="1:7" x14ac:dyDescent="0.35">
      <c r="A1739" s="6" t="s">
        <v>1900</v>
      </c>
      <c r="B1739" s="7">
        <v>29118</v>
      </c>
      <c r="C1739">
        <v>1</v>
      </c>
      <c r="D1739">
        <v>21771.34</v>
      </c>
      <c r="E1739" s="6" t="s">
        <v>8</v>
      </c>
      <c r="F1739" s="6" t="s">
        <v>11</v>
      </c>
      <c r="G1739" s="6" t="s">
        <v>237</v>
      </c>
    </row>
    <row r="1740" spans="1:7" x14ac:dyDescent="0.35">
      <c r="A1740" s="6" t="s">
        <v>1899</v>
      </c>
      <c r="B1740" s="7">
        <v>27959</v>
      </c>
      <c r="C1740">
        <v>1</v>
      </c>
      <c r="D1740">
        <v>21677.279999999999</v>
      </c>
      <c r="E1740" s="6" t="s">
        <v>8</v>
      </c>
      <c r="F1740" s="6" t="s">
        <v>11</v>
      </c>
      <c r="G1740" s="6" t="s">
        <v>16</v>
      </c>
    </row>
    <row r="1741" spans="1:7" x14ac:dyDescent="0.35">
      <c r="A1741" s="6" t="s">
        <v>1898</v>
      </c>
      <c r="B1741" s="7">
        <v>22966</v>
      </c>
      <c r="C1741">
        <v>0</v>
      </c>
      <c r="D1741">
        <v>21661.16</v>
      </c>
      <c r="E1741" s="6" t="s">
        <v>7</v>
      </c>
      <c r="F1741" s="6" t="s">
        <v>7</v>
      </c>
      <c r="G1741" s="6" t="s">
        <v>16</v>
      </c>
    </row>
    <row r="1742" spans="1:7" x14ac:dyDescent="0.35">
      <c r="A1742" s="6" t="s">
        <v>1897</v>
      </c>
      <c r="B1742" s="7">
        <v>30675</v>
      </c>
      <c r="C1742">
        <v>3</v>
      </c>
      <c r="D1742">
        <v>21659.93</v>
      </c>
      <c r="E1742" s="6" t="s">
        <v>8</v>
      </c>
      <c r="F1742" s="6" t="s">
        <v>8</v>
      </c>
      <c r="G1742" s="6" t="s">
        <v>237</v>
      </c>
    </row>
    <row r="1743" spans="1:7" x14ac:dyDescent="0.35">
      <c r="A1743" s="6" t="s">
        <v>1896</v>
      </c>
      <c r="B1743" s="7">
        <v>36323</v>
      </c>
      <c r="C1743">
        <v>0</v>
      </c>
      <c r="D1743">
        <v>21595.38</v>
      </c>
      <c r="E1743" s="6" t="s">
        <v>7</v>
      </c>
      <c r="F1743" s="6" t="s">
        <v>8</v>
      </c>
      <c r="G1743" s="6" t="s">
        <v>16</v>
      </c>
    </row>
    <row r="1744" spans="1:7" x14ac:dyDescent="0.35">
      <c r="A1744" s="6" t="s">
        <v>1895</v>
      </c>
      <c r="B1744" s="7">
        <v>33198</v>
      </c>
      <c r="C1744">
        <v>4</v>
      </c>
      <c r="D1744">
        <v>21472.48</v>
      </c>
      <c r="E1744" s="6" t="s">
        <v>7</v>
      </c>
      <c r="F1744" s="6" t="s">
        <v>7</v>
      </c>
      <c r="G1744" s="6" t="s">
        <v>16</v>
      </c>
    </row>
    <row r="1745" spans="1:7" x14ac:dyDescent="0.35">
      <c r="A1745" s="6" t="s">
        <v>1894</v>
      </c>
      <c r="B1745" s="7">
        <v>29468</v>
      </c>
      <c r="C1745">
        <v>0</v>
      </c>
      <c r="D1745">
        <v>21348.71</v>
      </c>
      <c r="E1745" s="6" t="s">
        <v>7</v>
      </c>
      <c r="F1745" s="6" t="s">
        <v>11</v>
      </c>
      <c r="G1745" s="6" t="s">
        <v>16</v>
      </c>
    </row>
    <row r="1746" spans="1:7" x14ac:dyDescent="0.35">
      <c r="A1746" s="6" t="s">
        <v>1893</v>
      </c>
      <c r="B1746" s="7">
        <v>38203</v>
      </c>
      <c r="C1746">
        <v>0</v>
      </c>
      <c r="D1746">
        <v>21344.85</v>
      </c>
      <c r="E1746" s="6" t="s">
        <v>8</v>
      </c>
      <c r="F1746" s="6" t="s">
        <v>11</v>
      </c>
      <c r="G1746" s="6" t="s">
        <v>237</v>
      </c>
    </row>
    <row r="1747" spans="1:7" x14ac:dyDescent="0.35">
      <c r="A1747" s="6" t="s">
        <v>2316</v>
      </c>
      <c r="B1747" s="7">
        <v>24385</v>
      </c>
      <c r="C1747">
        <v>0</v>
      </c>
      <c r="D1747">
        <v>43921.18</v>
      </c>
      <c r="E1747" s="6" t="s">
        <v>7</v>
      </c>
      <c r="F1747" s="6" t="s">
        <v>7</v>
      </c>
      <c r="G1747" s="6" t="s">
        <v>16</v>
      </c>
    </row>
    <row r="1748" spans="1:7" x14ac:dyDescent="0.35">
      <c r="A1748" s="6" t="s">
        <v>1892</v>
      </c>
      <c r="B1748" s="7">
        <v>29565</v>
      </c>
      <c r="C1748">
        <v>2</v>
      </c>
      <c r="D1748">
        <v>21259.38</v>
      </c>
      <c r="E1748" s="6" t="s">
        <v>8</v>
      </c>
      <c r="F1748" s="6" t="s">
        <v>8</v>
      </c>
      <c r="G1748" s="6" t="s">
        <v>156</v>
      </c>
    </row>
    <row r="1749" spans="1:7" x14ac:dyDescent="0.35">
      <c r="A1749" s="6" t="s">
        <v>1891</v>
      </c>
      <c r="B1749" s="7">
        <v>27275</v>
      </c>
      <c r="C1749">
        <v>0</v>
      </c>
      <c r="D1749">
        <v>21232.18</v>
      </c>
      <c r="E1749" s="6" t="s">
        <v>8</v>
      </c>
      <c r="F1749" s="6" t="s">
        <v>7</v>
      </c>
      <c r="G1749" s="6" t="s">
        <v>32</v>
      </c>
    </row>
    <row r="1750" spans="1:7" x14ac:dyDescent="0.35">
      <c r="A1750" s="6" t="s">
        <v>1890</v>
      </c>
      <c r="B1750" s="7">
        <v>27316</v>
      </c>
      <c r="C1750">
        <v>0</v>
      </c>
      <c r="D1750">
        <v>21223.68</v>
      </c>
      <c r="E1750" s="6" t="s">
        <v>8</v>
      </c>
      <c r="F1750" s="6" t="s">
        <v>7</v>
      </c>
      <c r="G1750" s="6" t="s">
        <v>9</v>
      </c>
    </row>
    <row r="1751" spans="1:7" x14ac:dyDescent="0.35">
      <c r="A1751" s="6" t="s">
        <v>1889</v>
      </c>
      <c r="B1751" s="7">
        <v>25441</v>
      </c>
      <c r="C1751">
        <v>0</v>
      </c>
      <c r="D1751">
        <v>21195.82</v>
      </c>
      <c r="E1751" s="6" t="s">
        <v>8</v>
      </c>
      <c r="F1751" s="6" t="s">
        <v>11</v>
      </c>
      <c r="G1751" s="6" t="s">
        <v>9</v>
      </c>
    </row>
    <row r="1752" spans="1:7" x14ac:dyDescent="0.35">
      <c r="A1752" s="6" t="s">
        <v>1888</v>
      </c>
      <c r="B1752" s="7">
        <v>28452</v>
      </c>
      <c r="C1752">
        <v>2</v>
      </c>
      <c r="D1752">
        <v>21098.55</v>
      </c>
      <c r="E1752" s="6" t="s">
        <v>8</v>
      </c>
      <c r="F1752" s="6" t="s">
        <v>8</v>
      </c>
      <c r="G1752" s="6" t="s">
        <v>16</v>
      </c>
    </row>
    <row r="1753" spans="1:7" x14ac:dyDescent="0.35">
      <c r="A1753" s="6" t="s">
        <v>1887</v>
      </c>
      <c r="B1753" s="7">
        <v>30499</v>
      </c>
      <c r="C1753">
        <v>1</v>
      </c>
      <c r="D1753">
        <v>21082.16</v>
      </c>
      <c r="E1753" s="6" t="s">
        <v>8</v>
      </c>
      <c r="F1753" s="6" t="s">
        <v>7</v>
      </c>
      <c r="G1753" s="6" t="s">
        <v>32</v>
      </c>
    </row>
    <row r="1754" spans="1:7" x14ac:dyDescent="0.35">
      <c r="A1754" s="6" t="s">
        <v>1885</v>
      </c>
      <c r="B1754" s="7">
        <v>23700</v>
      </c>
      <c r="C1754">
        <v>0</v>
      </c>
      <c r="D1754">
        <v>20893.060000000001</v>
      </c>
      <c r="E1754" s="6" t="s">
        <v>7</v>
      </c>
      <c r="F1754" s="6" t="s">
        <v>8</v>
      </c>
      <c r="G1754" s="6" t="s">
        <v>16</v>
      </c>
    </row>
    <row r="1755" spans="1:7" x14ac:dyDescent="0.35">
      <c r="A1755" s="6" t="s">
        <v>1884</v>
      </c>
      <c r="B1755" s="7">
        <v>27736</v>
      </c>
      <c r="C1755">
        <v>0</v>
      </c>
      <c r="D1755">
        <v>20878.78</v>
      </c>
      <c r="E1755" s="6" t="s">
        <v>7</v>
      </c>
      <c r="F1755" s="6" t="s">
        <v>11</v>
      </c>
      <c r="G1755" s="6" t="s">
        <v>237</v>
      </c>
    </row>
    <row r="1756" spans="1:7" x14ac:dyDescent="0.35">
      <c r="A1756" s="6" t="s">
        <v>1883</v>
      </c>
      <c r="B1756" s="7">
        <v>24723</v>
      </c>
      <c r="C1756">
        <v>0</v>
      </c>
      <c r="D1756">
        <v>20781.490000000002</v>
      </c>
      <c r="E1756" s="6" t="s">
        <v>7</v>
      </c>
      <c r="F1756" s="6" t="s">
        <v>8</v>
      </c>
      <c r="G1756" s="6" t="s">
        <v>9</v>
      </c>
    </row>
    <row r="1757" spans="1:7" x14ac:dyDescent="0.35">
      <c r="A1757" s="6" t="s">
        <v>1882</v>
      </c>
      <c r="B1757" s="7">
        <v>31628</v>
      </c>
      <c r="C1757">
        <v>1</v>
      </c>
      <c r="D1757">
        <v>20773.63</v>
      </c>
      <c r="E1757" s="6" t="s">
        <v>7</v>
      </c>
      <c r="F1757" s="6" t="s">
        <v>8</v>
      </c>
      <c r="G1757" s="6" t="s">
        <v>346</v>
      </c>
    </row>
    <row r="1758" spans="1:7" x14ac:dyDescent="0.35">
      <c r="A1758" s="6" t="s">
        <v>2315</v>
      </c>
      <c r="B1758" s="7">
        <v>29535</v>
      </c>
      <c r="C1758">
        <v>2</v>
      </c>
      <c r="D1758">
        <v>43896.38</v>
      </c>
      <c r="E1758" s="6" t="s">
        <v>7</v>
      </c>
      <c r="F1758" s="6" t="s">
        <v>11</v>
      </c>
      <c r="G1758" s="6" t="s">
        <v>9</v>
      </c>
    </row>
    <row r="1759" spans="1:7" x14ac:dyDescent="0.35">
      <c r="A1759" s="6" t="s">
        <v>1881</v>
      </c>
      <c r="B1759" s="7">
        <v>33861</v>
      </c>
      <c r="C1759">
        <v>3</v>
      </c>
      <c r="D1759">
        <v>20745.990000000002</v>
      </c>
      <c r="E1759" s="6" t="s">
        <v>8</v>
      </c>
      <c r="F1759" s="6" t="s">
        <v>11</v>
      </c>
      <c r="G1759" s="6" t="s">
        <v>16</v>
      </c>
    </row>
    <row r="1760" spans="1:7" x14ac:dyDescent="0.35">
      <c r="A1760" s="6" t="s">
        <v>1880</v>
      </c>
      <c r="B1760" s="7">
        <v>23955</v>
      </c>
      <c r="C1760">
        <v>0</v>
      </c>
      <c r="D1760">
        <v>20709.02</v>
      </c>
      <c r="E1760" s="6" t="s">
        <v>8</v>
      </c>
      <c r="F1760" s="6" t="s">
        <v>7</v>
      </c>
      <c r="G1760" s="6" t="s">
        <v>156</v>
      </c>
    </row>
    <row r="1761" spans="1:7" x14ac:dyDescent="0.35">
      <c r="A1761" s="6" t="s">
        <v>1879</v>
      </c>
      <c r="B1761" s="7">
        <v>24823</v>
      </c>
      <c r="C1761">
        <v>0</v>
      </c>
      <c r="D1761">
        <v>20630.28</v>
      </c>
      <c r="E1761" s="6" t="s">
        <v>7</v>
      </c>
      <c r="F1761" s="6" t="s">
        <v>8</v>
      </c>
      <c r="G1761" s="6" t="s">
        <v>32</v>
      </c>
    </row>
    <row r="1762" spans="1:7" x14ac:dyDescent="0.35">
      <c r="A1762" s="6" t="s">
        <v>1878</v>
      </c>
      <c r="B1762" s="7">
        <v>24297</v>
      </c>
      <c r="C1762">
        <v>0</v>
      </c>
      <c r="D1762">
        <v>20568.32</v>
      </c>
      <c r="E1762" s="6" t="s">
        <v>8</v>
      </c>
      <c r="F1762" s="6" t="s">
        <v>7</v>
      </c>
      <c r="G1762" s="6" t="s">
        <v>16</v>
      </c>
    </row>
    <row r="1763" spans="1:7" x14ac:dyDescent="0.35">
      <c r="A1763" s="6" t="s">
        <v>1877</v>
      </c>
      <c r="B1763" s="7">
        <v>25489</v>
      </c>
      <c r="C1763">
        <v>3</v>
      </c>
      <c r="D1763">
        <v>20463</v>
      </c>
      <c r="E1763" s="6" t="s">
        <v>7</v>
      </c>
      <c r="F1763" s="6" t="s">
        <v>7</v>
      </c>
      <c r="G1763" s="6" t="s">
        <v>9</v>
      </c>
    </row>
    <row r="1764" spans="1:7" x14ac:dyDescent="0.35">
      <c r="A1764" s="6" t="s">
        <v>1876</v>
      </c>
      <c r="B1764" s="7">
        <v>22937</v>
      </c>
      <c r="C1764">
        <v>0</v>
      </c>
      <c r="D1764">
        <v>20446.849999999999</v>
      </c>
      <c r="E1764" s="6" t="s">
        <v>7</v>
      </c>
      <c r="F1764" s="6" t="s">
        <v>11</v>
      </c>
      <c r="G1764" s="6" t="s">
        <v>16</v>
      </c>
    </row>
    <row r="1765" spans="1:7" x14ac:dyDescent="0.35">
      <c r="A1765" s="6" t="s">
        <v>1875</v>
      </c>
      <c r="B1765" s="7">
        <v>31240</v>
      </c>
      <c r="C1765">
        <v>0</v>
      </c>
      <c r="D1765">
        <v>20420.599999999999</v>
      </c>
      <c r="E1765" s="6" t="s">
        <v>8</v>
      </c>
      <c r="F1765" s="6" t="s">
        <v>7</v>
      </c>
      <c r="G1765" s="6" t="s">
        <v>32</v>
      </c>
    </row>
    <row r="1766" spans="1:7" x14ac:dyDescent="0.35">
      <c r="A1766" s="6" t="s">
        <v>1874</v>
      </c>
      <c r="B1766" s="7">
        <v>22829</v>
      </c>
      <c r="C1766">
        <v>0</v>
      </c>
      <c r="D1766">
        <v>20354.5</v>
      </c>
      <c r="E1766" s="6" t="s">
        <v>8</v>
      </c>
      <c r="F1766" s="6" t="s">
        <v>7</v>
      </c>
      <c r="G1766" s="6" t="s">
        <v>525</v>
      </c>
    </row>
    <row r="1767" spans="1:7" x14ac:dyDescent="0.35">
      <c r="A1767" s="6" t="s">
        <v>1873</v>
      </c>
      <c r="B1767" s="7">
        <v>31307</v>
      </c>
      <c r="C1767">
        <v>1</v>
      </c>
      <c r="D1767">
        <v>20296.86</v>
      </c>
      <c r="E1767" s="6" t="s">
        <v>8</v>
      </c>
      <c r="F1767" s="6" t="s">
        <v>11</v>
      </c>
      <c r="G1767" s="6" t="s">
        <v>237</v>
      </c>
    </row>
    <row r="1768" spans="1:7" x14ac:dyDescent="0.35">
      <c r="A1768" s="6" t="s">
        <v>1872</v>
      </c>
      <c r="B1768" s="7">
        <v>34219</v>
      </c>
      <c r="C1768">
        <v>1</v>
      </c>
      <c r="D1768">
        <v>20277.810000000001</v>
      </c>
      <c r="E1768" s="6" t="s">
        <v>8</v>
      </c>
      <c r="F1768" s="6" t="s">
        <v>8</v>
      </c>
      <c r="G1768" s="6" t="s">
        <v>158</v>
      </c>
    </row>
    <row r="1769" spans="1:7" x14ac:dyDescent="0.35">
      <c r="A1769" s="6" t="s">
        <v>2314</v>
      </c>
      <c r="B1769" s="7">
        <v>24290</v>
      </c>
      <c r="C1769">
        <v>0</v>
      </c>
      <c r="D1769">
        <v>43817.45</v>
      </c>
      <c r="E1769" s="6" t="s">
        <v>7</v>
      </c>
      <c r="F1769" s="6" t="s">
        <v>8</v>
      </c>
      <c r="G1769" s="6" t="s">
        <v>16</v>
      </c>
    </row>
    <row r="1770" spans="1:7" x14ac:dyDescent="0.35">
      <c r="A1770" s="6" t="s">
        <v>1871</v>
      </c>
      <c r="B1770" s="7">
        <v>24341</v>
      </c>
      <c r="C1770">
        <v>0</v>
      </c>
      <c r="D1770">
        <v>20253.84</v>
      </c>
      <c r="E1770" s="6" t="s">
        <v>7</v>
      </c>
      <c r="F1770" s="6" t="s">
        <v>8</v>
      </c>
      <c r="G1770" s="6" t="s">
        <v>16</v>
      </c>
    </row>
    <row r="1771" spans="1:7" x14ac:dyDescent="0.35">
      <c r="A1771" s="6" t="s">
        <v>1870</v>
      </c>
      <c r="B1771" s="7">
        <v>32067</v>
      </c>
      <c r="C1771">
        <v>0</v>
      </c>
      <c r="D1771">
        <v>20234.849999999999</v>
      </c>
      <c r="E1771" s="6" t="s">
        <v>7</v>
      </c>
      <c r="F1771" s="6" t="s">
        <v>8</v>
      </c>
      <c r="G1771" s="6" t="s">
        <v>16</v>
      </c>
    </row>
    <row r="1772" spans="1:7" x14ac:dyDescent="0.35">
      <c r="A1772" s="6" t="s">
        <v>1869</v>
      </c>
      <c r="B1772" s="7">
        <v>34493</v>
      </c>
      <c r="C1772">
        <v>2</v>
      </c>
      <c r="D1772">
        <v>20177.669999999998</v>
      </c>
      <c r="E1772" s="6" t="s">
        <v>7</v>
      </c>
      <c r="F1772" s="6" t="s">
        <v>11</v>
      </c>
      <c r="G1772" s="6" t="s">
        <v>32</v>
      </c>
    </row>
    <row r="1773" spans="1:7" x14ac:dyDescent="0.35">
      <c r="A1773" s="6" t="s">
        <v>1868</v>
      </c>
      <c r="B1773" s="7">
        <v>37446</v>
      </c>
      <c r="C1773">
        <v>0</v>
      </c>
      <c r="D1773">
        <v>20167.34</v>
      </c>
      <c r="E1773" s="6" t="s">
        <v>8</v>
      </c>
      <c r="F1773" s="6" t="s">
        <v>8</v>
      </c>
      <c r="G1773" s="6" t="s">
        <v>32</v>
      </c>
    </row>
    <row r="1774" spans="1:7" x14ac:dyDescent="0.35">
      <c r="A1774" s="6" t="s">
        <v>1867</v>
      </c>
      <c r="B1774" s="7">
        <v>30595</v>
      </c>
      <c r="C1774">
        <v>0</v>
      </c>
      <c r="D1774">
        <v>20149.32</v>
      </c>
      <c r="E1774" s="6" t="s">
        <v>7</v>
      </c>
      <c r="F1774" s="6" t="s">
        <v>11</v>
      </c>
      <c r="G1774" s="6" t="s">
        <v>158</v>
      </c>
    </row>
    <row r="1775" spans="1:7" x14ac:dyDescent="0.35">
      <c r="A1775" s="6" t="s">
        <v>1866</v>
      </c>
      <c r="B1775" s="7">
        <v>32349</v>
      </c>
      <c r="C1775">
        <v>1</v>
      </c>
      <c r="D1775">
        <v>20009.63</v>
      </c>
      <c r="E1775" s="6" t="s">
        <v>7</v>
      </c>
      <c r="F1775" s="6" t="s">
        <v>11</v>
      </c>
      <c r="G1775" s="6" t="s">
        <v>16</v>
      </c>
    </row>
    <row r="1776" spans="1:7" x14ac:dyDescent="0.35">
      <c r="A1776" s="6" t="s">
        <v>1865</v>
      </c>
      <c r="B1776" s="7">
        <v>24329</v>
      </c>
      <c r="C1776">
        <v>0</v>
      </c>
      <c r="D1776">
        <v>19995.29</v>
      </c>
      <c r="E1776" s="6" t="s">
        <v>11</v>
      </c>
      <c r="F1776" s="6" t="s">
        <v>8</v>
      </c>
      <c r="G1776" s="6" t="s">
        <v>525</v>
      </c>
    </row>
    <row r="1777" spans="1:7" x14ac:dyDescent="0.35">
      <c r="A1777" s="6" t="s">
        <v>1864</v>
      </c>
      <c r="B1777" s="7">
        <v>29503</v>
      </c>
      <c r="C1777">
        <v>0</v>
      </c>
      <c r="D1777">
        <v>19964.75</v>
      </c>
      <c r="E1777" s="6" t="s">
        <v>11</v>
      </c>
      <c r="F1777" s="6" t="s">
        <v>7</v>
      </c>
      <c r="G1777" s="6" t="s">
        <v>237</v>
      </c>
    </row>
    <row r="1778" spans="1:7" x14ac:dyDescent="0.35">
      <c r="A1778" s="6" t="s">
        <v>1863</v>
      </c>
      <c r="B1778" s="7">
        <v>35721</v>
      </c>
      <c r="C1778">
        <v>3</v>
      </c>
      <c r="D1778">
        <v>19933.46</v>
      </c>
      <c r="E1778" s="6" t="s">
        <v>11</v>
      </c>
      <c r="F1778" s="6" t="s">
        <v>8</v>
      </c>
      <c r="G1778" s="6" t="s">
        <v>32</v>
      </c>
    </row>
    <row r="1779" spans="1:7" x14ac:dyDescent="0.35">
      <c r="A1779" s="6" t="s">
        <v>1862</v>
      </c>
      <c r="B1779" s="7">
        <v>29158</v>
      </c>
      <c r="C1779">
        <v>2</v>
      </c>
      <c r="D1779">
        <v>19798.05</v>
      </c>
      <c r="E1779" s="6" t="s">
        <v>11</v>
      </c>
      <c r="F1779" s="6" t="s">
        <v>11</v>
      </c>
      <c r="G1779" s="6" t="s">
        <v>237</v>
      </c>
    </row>
    <row r="1780" spans="1:7" x14ac:dyDescent="0.35">
      <c r="A1780" s="6" t="s">
        <v>2358</v>
      </c>
      <c r="B1780" s="7">
        <v>32678</v>
      </c>
      <c r="C1780">
        <v>0</v>
      </c>
      <c r="D1780">
        <v>55135.4</v>
      </c>
      <c r="E1780" s="6" t="s">
        <v>11</v>
      </c>
      <c r="F1780" s="6" t="s">
        <v>7</v>
      </c>
      <c r="G1780" s="6" t="s">
        <v>16</v>
      </c>
    </row>
    <row r="1781" spans="1:7" x14ac:dyDescent="0.35">
      <c r="A1781" s="6" t="s">
        <v>2313</v>
      </c>
      <c r="B1781" s="7">
        <v>24405</v>
      </c>
      <c r="C1781">
        <v>2</v>
      </c>
      <c r="D1781">
        <v>43813.87</v>
      </c>
      <c r="E1781" s="6" t="s">
        <v>7</v>
      </c>
      <c r="F1781" s="6" t="s">
        <v>7</v>
      </c>
      <c r="G1781" s="6" t="s">
        <v>9</v>
      </c>
    </row>
    <row r="1782" spans="1:7" x14ac:dyDescent="0.35">
      <c r="A1782" s="6" t="s">
        <v>1861</v>
      </c>
      <c r="B1782" s="7">
        <v>26464</v>
      </c>
      <c r="C1782">
        <v>3</v>
      </c>
      <c r="D1782">
        <v>19749.38</v>
      </c>
      <c r="E1782" s="6" t="s">
        <v>11</v>
      </c>
      <c r="F1782" s="6" t="s">
        <v>8</v>
      </c>
      <c r="G1782" s="6" t="s">
        <v>9</v>
      </c>
    </row>
    <row r="1783" spans="1:7" x14ac:dyDescent="0.35">
      <c r="A1783" s="6" t="s">
        <v>1860</v>
      </c>
      <c r="B1783" s="7">
        <v>33093</v>
      </c>
      <c r="C1783">
        <v>1</v>
      </c>
      <c r="D1783">
        <v>19719.689999999999</v>
      </c>
      <c r="E1783" s="6" t="s">
        <v>11</v>
      </c>
      <c r="F1783" s="6" t="s">
        <v>7</v>
      </c>
      <c r="G1783" s="6" t="s">
        <v>9</v>
      </c>
    </row>
    <row r="1784" spans="1:7" x14ac:dyDescent="0.35">
      <c r="A1784" s="6" t="s">
        <v>1859</v>
      </c>
      <c r="B1784" s="7">
        <v>34573</v>
      </c>
      <c r="C1784">
        <v>0</v>
      </c>
      <c r="D1784">
        <v>19673.34</v>
      </c>
      <c r="E1784" s="6" t="s">
        <v>11</v>
      </c>
      <c r="F1784" s="6" t="s">
        <v>7</v>
      </c>
      <c r="G1784" s="6" t="s">
        <v>16</v>
      </c>
    </row>
    <row r="1785" spans="1:7" x14ac:dyDescent="0.35">
      <c r="A1785" s="6" t="s">
        <v>1858</v>
      </c>
      <c r="B1785" s="7">
        <v>28757</v>
      </c>
      <c r="C1785">
        <v>1</v>
      </c>
      <c r="D1785">
        <v>19594.810000000001</v>
      </c>
      <c r="E1785" s="6" t="s">
        <v>11</v>
      </c>
      <c r="F1785" s="6" t="s">
        <v>11</v>
      </c>
      <c r="G1785" s="6" t="s">
        <v>237</v>
      </c>
    </row>
    <row r="1786" spans="1:7" x14ac:dyDescent="0.35">
      <c r="A1786" s="6" t="s">
        <v>1857</v>
      </c>
      <c r="B1786" s="7">
        <v>23206</v>
      </c>
      <c r="C1786">
        <v>0</v>
      </c>
      <c r="D1786">
        <v>19551.34</v>
      </c>
      <c r="E1786" s="6" t="s">
        <v>11</v>
      </c>
      <c r="F1786" s="6" t="s">
        <v>8</v>
      </c>
      <c r="G1786" s="6" t="s">
        <v>16</v>
      </c>
    </row>
    <row r="1787" spans="1:7" x14ac:dyDescent="0.35">
      <c r="A1787" s="6" t="s">
        <v>1856</v>
      </c>
      <c r="B1787" s="7">
        <v>31307</v>
      </c>
      <c r="C1787">
        <v>0</v>
      </c>
      <c r="D1787">
        <v>19539.240000000002</v>
      </c>
      <c r="E1787" s="6" t="s">
        <v>11</v>
      </c>
      <c r="F1787" s="6" t="s">
        <v>11</v>
      </c>
      <c r="G1787" s="6" t="s">
        <v>9</v>
      </c>
    </row>
    <row r="1788" spans="1:7" x14ac:dyDescent="0.35">
      <c r="A1788" s="6" t="s">
        <v>1855</v>
      </c>
      <c r="B1788" s="7">
        <v>33835</v>
      </c>
      <c r="C1788">
        <v>1</v>
      </c>
      <c r="D1788">
        <v>19521.97</v>
      </c>
      <c r="E1788" s="6" t="s">
        <v>11</v>
      </c>
      <c r="F1788" s="6" t="s">
        <v>7</v>
      </c>
      <c r="G1788" s="6" t="s">
        <v>9</v>
      </c>
    </row>
    <row r="1789" spans="1:7" x14ac:dyDescent="0.35">
      <c r="A1789" s="6" t="s">
        <v>1854</v>
      </c>
      <c r="B1789" s="7">
        <v>29533</v>
      </c>
      <c r="C1789">
        <v>0</v>
      </c>
      <c r="D1789">
        <v>19515.54</v>
      </c>
      <c r="E1789" s="6" t="s">
        <v>11</v>
      </c>
      <c r="F1789" s="6" t="s">
        <v>11</v>
      </c>
      <c r="G1789" s="6" t="s">
        <v>9</v>
      </c>
    </row>
    <row r="1790" spans="1:7" x14ac:dyDescent="0.35">
      <c r="A1790" s="6" t="s">
        <v>1853</v>
      </c>
      <c r="B1790" s="7">
        <v>32111</v>
      </c>
      <c r="C1790">
        <v>4</v>
      </c>
      <c r="D1790">
        <v>19496.72</v>
      </c>
      <c r="E1790" s="6" t="s">
        <v>11</v>
      </c>
      <c r="F1790" s="6" t="s">
        <v>8</v>
      </c>
      <c r="G1790" s="6" t="s">
        <v>156</v>
      </c>
    </row>
    <row r="1791" spans="1:7" x14ac:dyDescent="0.35">
      <c r="A1791" s="6" t="s">
        <v>1852</v>
      </c>
      <c r="B1791" s="7">
        <v>30300</v>
      </c>
      <c r="C1791">
        <v>2</v>
      </c>
      <c r="D1791">
        <v>19444.27</v>
      </c>
      <c r="E1791" s="6" t="s">
        <v>11</v>
      </c>
      <c r="F1791" s="6" t="s">
        <v>11</v>
      </c>
      <c r="G1791" s="6" t="s">
        <v>9</v>
      </c>
    </row>
    <row r="1792" spans="1:7" x14ac:dyDescent="0.35">
      <c r="A1792" s="6" t="s">
        <v>2312</v>
      </c>
      <c r="B1792" s="7">
        <v>31775</v>
      </c>
      <c r="C1792">
        <v>3</v>
      </c>
      <c r="D1792">
        <v>43753.34</v>
      </c>
      <c r="E1792" s="6" t="s">
        <v>7</v>
      </c>
      <c r="F1792" s="6" t="s">
        <v>11</v>
      </c>
      <c r="G1792" s="6" t="s">
        <v>154</v>
      </c>
    </row>
    <row r="1793" spans="1:7" x14ac:dyDescent="0.35">
      <c r="A1793" s="6" t="s">
        <v>1851</v>
      </c>
      <c r="B1793" s="7">
        <v>34218</v>
      </c>
      <c r="C1793">
        <v>2</v>
      </c>
      <c r="D1793">
        <v>19442.349999999999</v>
      </c>
      <c r="E1793" s="6" t="s">
        <v>11</v>
      </c>
      <c r="F1793" s="6" t="s">
        <v>8</v>
      </c>
      <c r="G1793" s="6" t="s">
        <v>16</v>
      </c>
    </row>
    <row r="1794" spans="1:7" x14ac:dyDescent="0.35">
      <c r="A1794" s="6" t="s">
        <v>1850</v>
      </c>
      <c r="B1794" s="7">
        <v>31958</v>
      </c>
      <c r="C1794">
        <v>3</v>
      </c>
      <c r="D1794">
        <v>19362</v>
      </c>
      <c r="E1794" s="6" t="s">
        <v>11</v>
      </c>
      <c r="F1794" s="6" t="s">
        <v>8</v>
      </c>
      <c r="G1794" s="6" t="s">
        <v>9</v>
      </c>
    </row>
    <row r="1795" spans="1:7" x14ac:dyDescent="0.35">
      <c r="A1795" s="6" t="s">
        <v>1849</v>
      </c>
      <c r="B1795" s="7">
        <v>33474</v>
      </c>
      <c r="C1795">
        <v>0</v>
      </c>
      <c r="D1795">
        <v>19350.37</v>
      </c>
      <c r="E1795" s="6" t="s">
        <v>11</v>
      </c>
      <c r="F1795" s="6" t="s">
        <v>8</v>
      </c>
      <c r="G1795" s="6" t="s">
        <v>9</v>
      </c>
    </row>
    <row r="1796" spans="1:7" x14ac:dyDescent="0.35">
      <c r="A1796" s="6" t="s">
        <v>1848</v>
      </c>
      <c r="B1796" s="7">
        <v>24426</v>
      </c>
      <c r="C1796">
        <v>0</v>
      </c>
      <c r="D1796">
        <v>19321.060000000001</v>
      </c>
      <c r="E1796" s="6" t="s">
        <v>11</v>
      </c>
      <c r="F1796" s="6" t="s">
        <v>11</v>
      </c>
      <c r="G1796" s="6" t="s">
        <v>16</v>
      </c>
    </row>
    <row r="1797" spans="1:7" x14ac:dyDescent="0.35">
      <c r="A1797" s="6" t="s">
        <v>1847</v>
      </c>
      <c r="B1797" s="7">
        <v>24682</v>
      </c>
      <c r="C1797">
        <v>0</v>
      </c>
      <c r="D1797">
        <v>19259.96</v>
      </c>
      <c r="E1797" s="6" t="s">
        <v>11</v>
      </c>
      <c r="F1797" s="6" t="s">
        <v>11</v>
      </c>
      <c r="G1797" s="6" t="s">
        <v>16</v>
      </c>
    </row>
    <row r="1798" spans="1:7" x14ac:dyDescent="0.35">
      <c r="A1798" s="6" t="s">
        <v>1846</v>
      </c>
      <c r="B1798" s="7">
        <v>31409</v>
      </c>
      <c r="C1798">
        <v>0</v>
      </c>
      <c r="D1798">
        <v>19214.71</v>
      </c>
      <c r="E1798" s="6" t="s">
        <v>11</v>
      </c>
      <c r="F1798" s="6" t="s">
        <v>8</v>
      </c>
      <c r="G1798" s="6" t="s">
        <v>9</v>
      </c>
    </row>
    <row r="1799" spans="1:7" x14ac:dyDescent="0.35">
      <c r="A1799" s="6" t="s">
        <v>1845</v>
      </c>
      <c r="B1799" s="7">
        <v>33497</v>
      </c>
      <c r="C1799">
        <v>3</v>
      </c>
      <c r="D1799">
        <v>19199.939999999999</v>
      </c>
      <c r="E1799" s="6" t="s">
        <v>11</v>
      </c>
      <c r="F1799" s="6" t="s">
        <v>8</v>
      </c>
      <c r="G1799" s="6" t="s">
        <v>32</v>
      </c>
    </row>
    <row r="1800" spans="1:7" x14ac:dyDescent="0.35">
      <c r="A1800" s="6" t="s">
        <v>1844</v>
      </c>
      <c r="B1800" s="7">
        <v>29038</v>
      </c>
      <c r="C1800">
        <v>2</v>
      </c>
      <c r="D1800">
        <v>19144.580000000002</v>
      </c>
      <c r="E1800" s="6" t="s">
        <v>11</v>
      </c>
      <c r="F1800" s="6" t="s">
        <v>11</v>
      </c>
      <c r="G1800" s="6" t="s">
        <v>237</v>
      </c>
    </row>
    <row r="1801" spans="1:7" x14ac:dyDescent="0.35">
      <c r="A1801" s="6" t="s">
        <v>1843</v>
      </c>
      <c r="B1801" s="7">
        <v>34240</v>
      </c>
      <c r="C1801">
        <v>1</v>
      </c>
      <c r="D1801">
        <v>19107.78</v>
      </c>
      <c r="E1801" s="6" t="s">
        <v>11</v>
      </c>
      <c r="F1801" s="6" t="s">
        <v>7</v>
      </c>
      <c r="G1801" s="6" t="s">
        <v>9</v>
      </c>
    </row>
    <row r="1802" spans="1:7" x14ac:dyDescent="0.35">
      <c r="A1802" s="6" t="s">
        <v>1842</v>
      </c>
      <c r="B1802" s="7">
        <v>32664</v>
      </c>
      <c r="C1802">
        <v>1</v>
      </c>
      <c r="D1802">
        <v>19040.88</v>
      </c>
      <c r="E1802" s="6" t="s">
        <v>11</v>
      </c>
      <c r="F1802" s="6" t="s">
        <v>8</v>
      </c>
      <c r="G1802" s="6" t="s">
        <v>32</v>
      </c>
    </row>
    <row r="1803" spans="1:7" x14ac:dyDescent="0.35">
      <c r="A1803" s="6" t="s">
        <v>2311</v>
      </c>
      <c r="B1803" s="7">
        <v>23976</v>
      </c>
      <c r="C1803">
        <v>0</v>
      </c>
      <c r="D1803">
        <v>43578.94</v>
      </c>
      <c r="E1803" s="6" t="s">
        <v>7</v>
      </c>
      <c r="F1803" s="6" t="s">
        <v>7</v>
      </c>
      <c r="G1803" s="6" t="s">
        <v>16</v>
      </c>
    </row>
    <row r="1804" spans="1:7" x14ac:dyDescent="0.35">
      <c r="A1804" s="6" t="s">
        <v>1841</v>
      </c>
      <c r="B1804" s="7">
        <v>30669</v>
      </c>
      <c r="C1804">
        <v>5</v>
      </c>
      <c r="D1804">
        <v>19023.259999999998</v>
      </c>
      <c r="E1804" s="6" t="s">
        <v>11</v>
      </c>
      <c r="F1804" s="6" t="s">
        <v>8</v>
      </c>
      <c r="G1804" s="6" t="s">
        <v>32</v>
      </c>
    </row>
    <row r="1805" spans="1:7" x14ac:dyDescent="0.35">
      <c r="A1805" s="6" t="s">
        <v>1840</v>
      </c>
      <c r="B1805" s="7">
        <v>32440</v>
      </c>
      <c r="C1805">
        <v>2</v>
      </c>
      <c r="D1805">
        <v>18972.5</v>
      </c>
      <c r="E1805" s="6" t="s">
        <v>11</v>
      </c>
      <c r="F1805" s="6" t="s">
        <v>8</v>
      </c>
      <c r="G1805" s="6" t="s">
        <v>9</v>
      </c>
    </row>
    <row r="1806" spans="1:7" x14ac:dyDescent="0.35">
      <c r="A1806" s="6" t="s">
        <v>1839</v>
      </c>
      <c r="B1806" s="7">
        <v>33938</v>
      </c>
      <c r="C1806">
        <v>1</v>
      </c>
      <c r="D1806">
        <v>18963.169999999998</v>
      </c>
      <c r="E1806" s="6" t="s">
        <v>11</v>
      </c>
      <c r="F1806" s="6" t="s">
        <v>11</v>
      </c>
      <c r="G1806" s="6" t="s">
        <v>9</v>
      </c>
    </row>
    <row r="1807" spans="1:7" x14ac:dyDescent="0.35">
      <c r="A1807" s="6" t="s">
        <v>1838</v>
      </c>
      <c r="B1807" s="7">
        <v>36013</v>
      </c>
      <c r="C1807">
        <v>0</v>
      </c>
      <c r="D1807">
        <v>18955.22</v>
      </c>
      <c r="E1807" s="6" t="s">
        <v>11</v>
      </c>
      <c r="F1807" s="6" t="s">
        <v>8</v>
      </c>
      <c r="G1807" s="6" t="s">
        <v>32</v>
      </c>
    </row>
    <row r="1808" spans="1:7" x14ac:dyDescent="0.35">
      <c r="A1808" s="6" t="s">
        <v>1837</v>
      </c>
      <c r="B1808" s="7">
        <v>23304</v>
      </c>
      <c r="C1808">
        <v>0</v>
      </c>
      <c r="D1808">
        <v>18954.560000000001</v>
      </c>
      <c r="E1808" s="6" t="s">
        <v>11</v>
      </c>
      <c r="F1808" s="6" t="s">
        <v>11</v>
      </c>
      <c r="G1808" s="6" t="s">
        <v>525</v>
      </c>
    </row>
    <row r="1809" spans="1:7" x14ac:dyDescent="0.35">
      <c r="A1809" s="6" t="s">
        <v>1836</v>
      </c>
      <c r="B1809" s="7">
        <v>25418</v>
      </c>
      <c r="C1809">
        <v>0</v>
      </c>
      <c r="D1809">
        <v>18932.810000000001</v>
      </c>
      <c r="E1809" s="6" t="s">
        <v>11</v>
      </c>
      <c r="F1809" s="6" t="s">
        <v>8</v>
      </c>
      <c r="G1809" s="6" t="s">
        <v>16</v>
      </c>
    </row>
    <row r="1810" spans="1:7" x14ac:dyDescent="0.35">
      <c r="A1810" s="6" t="s">
        <v>1835</v>
      </c>
      <c r="B1810" s="7">
        <v>34969</v>
      </c>
      <c r="C1810">
        <v>1</v>
      </c>
      <c r="D1810">
        <v>18903.490000000002</v>
      </c>
      <c r="E1810" s="6" t="s">
        <v>11</v>
      </c>
      <c r="F1810" s="6" t="s">
        <v>7</v>
      </c>
      <c r="G1810" s="6" t="s">
        <v>237</v>
      </c>
    </row>
    <row r="1811" spans="1:7" x14ac:dyDescent="0.35">
      <c r="A1811" s="6" t="s">
        <v>1834</v>
      </c>
      <c r="B1811" s="7">
        <v>23351</v>
      </c>
      <c r="C1811">
        <v>0</v>
      </c>
      <c r="D1811">
        <v>18883.330000000002</v>
      </c>
      <c r="E1811" s="6" t="s">
        <v>11</v>
      </c>
      <c r="F1811" s="6" t="s">
        <v>11</v>
      </c>
      <c r="G1811" s="6" t="s">
        <v>525</v>
      </c>
    </row>
    <row r="1812" spans="1:7" x14ac:dyDescent="0.35">
      <c r="A1812" s="6" t="s">
        <v>1833</v>
      </c>
      <c r="B1812" s="7">
        <v>37826</v>
      </c>
      <c r="C1812">
        <v>3</v>
      </c>
      <c r="D1812">
        <v>18838.7</v>
      </c>
      <c r="E1812" s="6" t="s">
        <v>11</v>
      </c>
      <c r="F1812" s="6" t="s">
        <v>8</v>
      </c>
      <c r="G1812" s="6" t="s">
        <v>16</v>
      </c>
    </row>
    <row r="1813" spans="1:7" x14ac:dyDescent="0.35">
      <c r="A1813" s="6" t="s">
        <v>1832</v>
      </c>
      <c r="B1813" s="7">
        <v>22998</v>
      </c>
      <c r="C1813">
        <v>0</v>
      </c>
      <c r="D1813">
        <v>18815.53</v>
      </c>
      <c r="E1813" s="6" t="s">
        <v>11</v>
      </c>
      <c r="F1813" s="6" t="s">
        <v>11</v>
      </c>
      <c r="G1813" s="6" t="s">
        <v>239</v>
      </c>
    </row>
    <row r="1814" spans="1:7" x14ac:dyDescent="0.35">
      <c r="A1814" s="6" t="s">
        <v>2310</v>
      </c>
      <c r="B1814" s="7">
        <v>25540</v>
      </c>
      <c r="C1814">
        <v>0</v>
      </c>
      <c r="D1814">
        <v>43254.42</v>
      </c>
      <c r="E1814" s="6" t="s">
        <v>7</v>
      </c>
      <c r="F1814" s="6" t="s">
        <v>7</v>
      </c>
      <c r="G1814" s="6" t="s">
        <v>158</v>
      </c>
    </row>
    <row r="1815" spans="1:7" x14ac:dyDescent="0.35">
      <c r="A1815" s="6" t="s">
        <v>1831</v>
      </c>
      <c r="B1815" s="7">
        <v>29143</v>
      </c>
      <c r="C1815">
        <v>2</v>
      </c>
      <c r="D1815">
        <v>18806.150000000001</v>
      </c>
      <c r="E1815" s="6" t="s">
        <v>11</v>
      </c>
      <c r="F1815" s="6" t="s">
        <v>7</v>
      </c>
      <c r="G1815" s="6" t="s">
        <v>9</v>
      </c>
    </row>
    <row r="1816" spans="1:7" x14ac:dyDescent="0.35">
      <c r="A1816" s="6" t="s">
        <v>1830</v>
      </c>
      <c r="B1816" s="7">
        <v>35031</v>
      </c>
      <c r="C1816">
        <v>3</v>
      </c>
      <c r="D1816">
        <v>18804.75</v>
      </c>
      <c r="E1816" s="6" t="s">
        <v>11</v>
      </c>
      <c r="F1816" s="6" t="s">
        <v>11</v>
      </c>
      <c r="G1816" s="6" t="s">
        <v>16</v>
      </c>
    </row>
    <row r="1817" spans="1:7" x14ac:dyDescent="0.35">
      <c r="A1817" s="6" t="s">
        <v>1829</v>
      </c>
      <c r="B1817" s="7">
        <v>29178</v>
      </c>
      <c r="C1817">
        <v>2</v>
      </c>
      <c r="D1817">
        <v>18767.740000000002</v>
      </c>
      <c r="E1817" s="6" t="s">
        <v>11</v>
      </c>
      <c r="F1817" s="6" t="s">
        <v>11</v>
      </c>
      <c r="G1817" s="6" t="s">
        <v>9</v>
      </c>
    </row>
    <row r="1818" spans="1:7" x14ac:dyDescent="0.35">
      <c r="A1818" s="6" t="s">
        <v>1828</v>
      </c>
      <c r="B1818" s="7">
        <v>33965</v>
      </c>
      <c r="C1818">
        <v>3</v>
      </c>
      <c r="D1818">
        <v>18765.88</v>
      </c>
      <c r="E1818" s="6" t="s">
        <v>11</v>
      </c>
      <c r="F1818" s="6" t="s">
        <v>7</v>
      </c>
      <c r="G1818" s="6" t="s">
        <v>16</v>
      </c>
    </row>
    <row r="1819" spans="1:7" x14ac:dyDescent="0.35">
      <c r="A1819" s="6" t="s">
        <v>1827</v>
      </c>
      <c r="B1819" s="7">
        <v>24714</v>
      </c>
      <c r="C1819">
        <v>0</v>
      </c>
      <c r="D1819">
        <v>18694.689999999999</v>
      </c>
      <c r="E1819" s="6" t="s">
        <v>11</v>
      </c>
      <c r="F1819" s="6" t="s">
        <v>11</v>
      </c>
      <c r="G1819" s="6" t="s">
        <v>239</v>
      </c>
    </row>
    <row r="1820" spans="1:7" x14ac:dyDescent="0.35">
      <c r="A1820" s="6" t="s">
        <v>1826</v>
      </c>
      <c r="B1820" s="7">
        <v>25858</v>
      </c>
      <c r="C1820">
        <v>0</v>
      </c>
      <c r="D1820">
        <v>18682.740000000002</v>
      </c>
      <c r="E1820" s="6" t="s">
        <v>11</v>
      </c>
      <c r="F1820" s="6" t="s">
        <v>8</v>
      </c>
      <c r="G1820" s="6" t="s">
        <v>16</v>
      </c>
    </row>
    <row r="1821" spans="1:7" x14ac:dyDescent="0.35">
      <c r="A1821" s="6" t="s">
        <v>1825</v>
      </c>
      <c r="B1821" s="7">
        <v>36061</v>
      </c>
      <c r="C1821">
        <v>0</v>
      </c>
      <c r="D1821">
        <v>18648.419999999998</v>
      </c>
      <c r="E1821" s="6" t="s">
        <v>11</v>
      </c>
      <c r="F1821" s="6" t="s">
        <v>11</v>
      </c>
      <c r="G1821" s="6" t="s">
        <v>156</v>
      </c>
    </row>
    <row r="1822" spans="1:7" x14ac:dyDescent="0.35">
      <c r="A1822" s="6" t="s">
        <v>1824</v>
      </c>
      <c r="B1822" s="7">
        <v>31636</v>
      </c>
      <c r="C1822">
        <v>2</v>
      </c>
      <c r="D1822">
        <v>18608.259999999998</v>
      </c>
      <c r="E1822" s="6" t="s">
        <v>11</v>
      </c>
      <c r="F1822" s="6" t="s">
        <v>8</v>
      </c>
      <c r="G1822" s="6" t="s">
        <v>32</v>
      </c>
    </row>
    <row r="1823" spans="1:7" x14ac:dyDescent="0.35">
      <c r="A1823" s="6" t="s">
        <v>1823</v>
      </c>
      <c r="B1823" s="7">
        <v>23646</v>
      </c>
      <c r="C1823">
        <v>0</v>
      </c>
      <c r="D1823">
        <v>18443.11</v>
      </c>
      <c r="E1823" s="6" t="s">
        <v>11</v>
      </c>
      <c r="F1823" s="6" t="s">
        <v>7</v>
      </c>
      <c r="G1823" s="6" t="s">
        <v>16</v>
      </c>
    </row>
    <row r="1824" spans="1:7" x14ac:dyDescent="0.35">
      <c r="A1824" s="6" t="s">
        <v>1822</v>
      </c>
      <c r="B1824" s="7">
        <v>36509</v>
      </c>
      <c r="C1824">
        <v>1</v>
      </c>
      <c r="D1824">
        <v>18328.240000000002</v>
      </c>
      <c r="E1824" s="6" t="s">
        <v>11</v>
      </c>
      <c r="F1824" s="6" t="s">
        <v>7</v>
      </c>
      <c r="G1824" s="6" t="s">
        <v>9</v>
      </c>
    </row>
    <row r="1825" spans="1:7" x14ac:dyDescent="0.35">
      <c r="A1825" s="6" t="s">
        <v>2309</v>
      </c>
      <c r="B1825" s="7">
        <v>24075</v>
      </c>
      <c r="C1825">
        <v>0</v>
      </c>
      <c r="D1825">
        <v>43073.760000000002</v>
      </c>
      <c r="E1825" s="6" t="s">
        <v>7</v>
      </c>
      <c r="F1825" s="6" t="s">
        <v>7</v>
      </c>
      <c r="G1825" s="6" t="s">
        <v>32</v>
      </c>
    </row>
    <row r="1826" spans="1:7" x14ac:dyDescent="0.35">
      <c r="A1826" s="6" t="s">
        <v>1821</v>
      </c>
      <c r="B1826" s="7">
        <v>34884</v>
      </c>
      <c r="C1826">
        <v>0</v>
      </c>
      <c r="D1826">
        <v>18310.740000000002</v>
      </c>
      <c r="E1826" s="6" t="s">
        <v>11</v>
      </c>
      <c r="F1826" s="6" t="s">
        <v>8</v>
      </c>
      <c r="G1826" s="6" t="s">
        <v>16</v>
      </c>
    </row>
    <row r="1827" spans="1:7" x14ac:dyDescent="0.35">
      <c r="A1827" s="6" t="s">
        <v>1820</v>
      </c>
      <c r="B1827" s="7">
        <v>33963</v>
      </c>
      <c r="C1827">
        <v>3</v>
      </c>
      <c r="D1827">
        <v>18259.22</v>
      </c>
      <c r="E1827" s="6" t="s">
        <v>11</v>
      </c>
      <c r="F1827" s="6" t="s">
        <v>8</v>
      </c>
      <c r="G1827" s="6" t="s">
        <v>32</v>
      </c>
    </row>
    <row r="1828" spans="1:7" x14ac:dyDescent="0.35">
      <c r="A1828" s="6" t="s">
        <v>1819</v>
      </c>
      <c r="B1828" s="7">
        <v>34914</v>
      </c>
      <c r="C1828">
        <v>0</v>
      </c>
      <c r="D1828">
        <v>18246.5</v>
      </c>
      <c r="E1828" s="6" t="s">
        <v>11</v>
      </c>
      <c r="F1828" s="6" t="s">
        <v>11</v>
      </c>
      <c r="G1828" s="6" t="s">
        <v>9</v>
      </c>
    </row>
    <row r="1829" spans="1:7" x14ac:dyDescent="0.35">
      <c r="A1829" s="6" t="s">
        <v>1818</v>
      </c>
      <c r="B1829" s="7">
        <v>38240</v>
      </c>
      <c r="C1829">
        <v>3</v>
      </c>
      <c r="D1829">
        <v>18223.45</v>
      </c>
      <c r="E1829" s="6" t="s">
        <v>11</v>
      </c>
      <c r="F1829" s="6" t="s">
        <v>8</v>
      </c>
      <c r="G1829" s="6" t="s">
        <v>9</v>
      </c>
    </row>
    <row r="1830" spans="1:7" x14ac:dyDescent="0.35">
      <c r="A1830" s="6" t="s">
        <v>1817</v>
      </c>
      <c r="B1830" s="7">
        <v>35596</v>
      </c>
      <c r="C1830">
        <v>1</v>
      </c>
      <c r="D1830">
        <v>18218.16</v>
      </c>
      <c r="E1830" s="6" t="s">
        <v>11</v>
      </c>
      <c r="F1830" s="6" t="s">
        <v>11</v>
      </c>
      <c r="G1830" s="6" t="s">
        <v>9</v>
      </c>
    </row>
    <row r="1831" spans="1:7" x14ac:dyDescent="0.35">
      <c r="A1831" s="6" t="s">
        <v>1816</v>
      </c>
      <c r="B1831" s="7">
        <v>23196</v>
      </c>
      <c r="C1831">
        <v>0</v>
      </c>
      <c r="D1831">
        <v>18208.34</v>
      </c>
      <c r="E1831" s="6" t="s">
        <v>11</v>
      </c>
      <c r="F1831" s="6" t="s">
        <v>7</v>
      </c>
      <c r="G1831" s="6" t="s">
        <v>525</v>
      </c>
    </row>
    <row r="1832" spans="1:7" x14ac:dyDescent="0.35">
      <c r="A1832" s="6" t="s">
        <v>1815</v>
      </c>
      <c r="B1832" s="7">
        <v>34162</v>
      </c>
      <c r="C1832">
        <v>2</v>
      </c>
      <c r="D1832">
        <v>18157.88</v>
      </c>
      <c r="E1832" s="6" t="s">
        <v>11</v>
      </c>
      <c r="F1832" s="6" t="s">
        <v>11</v>
      </c>
      <c r="G1832" s="6" t="s">
        <v>16</v>
      </c>
    </row>
    <row r="1833" spans="1:7" x14ac:dyDescent="0.35">
      <c r="A1833" s="6" t="s">
        <v>1814</v>
      </c>
      <c r="B1833" s="7">
        <v>36457</v>
      </c>
      <c r="C1833">
        <v>0</v>
      </c>
      <c r="D1833">
        <v>18033.97</v>
      </c>
      <c r="E1833" s="6" t="s">
        <v>11</v>
      </c>
      <c r="F1833" s="6" t="s">
        <v>11</v>
      </c>
      <c r="G1833" s="6" t="s">
        <v>16</v>
      </c>
    </row>
    <row r="1834" spans="1:7" x14ac:dyDescent="0.35">
      <c r="A1834" s="6" t="s">
        <v>1813</v>
      </c>
      <c r="B1834" s="7">
        <v>24032</v>
      </c>
      <c r="C1834">
        <v>0</v>
      </c>
      <c r="D1834">
        <v>18031.189999999999</v>
      </c>
      <c r="E1834" s="6" t="s">
        <v>11</v>
      </c>
      <c r="F1834" s="6" t="s">
        <v>7</v>
      </c>
      <c r="G1834" s="6" t="s">
        <v>16</v>
      </c>
    </row>
    <row r="1835" spans="1:7" x14ac:dyDescent="0.35">
      <c r="A1835" s="6" t="s">
        <v>1812</v>
      </c>
      <c r="B1835" s="7">
        <v>27572</v>
      </c>
      <c r="C1835">
        <v>1</v>
      </c>
      <c r="D1835">
        <v>18031.16</v>
      </c>
      <c r="E1835" s="6" t="s">
        <v>11</v>
      </c>
      <c r="F1835" s="6" t="s">
        <v>8</v>
      </c>
      <c r="G1835" s="6" t="s">
        <v>239</v>
      </c>
    </row>
    <row r="1836" spans="1:7" x14ac:dyDescent="0.35">
      <c r="A1836" s="6" t="s">
        <v>2308</v>
      </c>
      <c r="B1836" s="7">
        <v>28798</v>
      </c>
      <c r="C1836">
        <v>0</v>
      </c>
      <c r="D1836">
        <v>42983.46</v>
      </c>
      <c r="E1836" s="6" t="s">
        <v>11</v>
      </c>
      <c r="F1836" s="6" t="s">
        <v>7</v>
      </c>
      <c r="G1836" s="6" t="s">
        <v>16</v>
      </c>
    </row>
    <row r="1837" spans="1:7" x14ac:dyDescent="0.35">
      <c r="A1837" s="6" t="s">
        <v>1811</v>
      </c>
      <c r="B1837" s="7">
        <v>37162</v>
      </c>
      <c r="C1837">
        <v>4</v>
      </c>
      <c r="D1837">
        <v>17942.11</v>
      </c>
      <c r="E1837" s="6" t="s">
        <v>11</v>
      </c>
      <c r="F1837" s="6" t="s">
        <v>7</v>
      </c>
      <c r="G1837" s="6" t="s">
        <v>32</v>
      </c>
    </row>
    <row r="1838" spans="1:7" x14ac:dyDescent="0.35">
      <c r="A1838" s="6" t="s">
        <v>1810</v>
      </c>
      <c r="B1838" s="7">
        <v>28415</v>
      </c>
      <c r="C1838">
        <v>0</v>
      </c>
      <c r="D1838">
        <v>17929.3</v>
      </c>
      <c r="E1838" s="6" t="s">
        <v>11</v>
      </c>
      <c r="F1838" s="6" t="s">
        <v>7</v>
      </c>
      <c r="G1838" s="6" t="s">
        <v>9</v>
      </c>
    </row>
    <row r="1839" spans="1:7" x14ac:dyDescent="0.35">
      <c r="A1839" s="6" t="s">
        <v>1809</v>
      </c>
      <c r="B1839" s="7">
        <v>32846</v>
      </c>
      <c r="C1839">
        <v>0</v>
      </c>
      <c r="D1839">
        <v>17904.53</v>
      </c>
      <c r="E1839" s="6" t="s">
        <v>11</v>
      </c>
      <c r="F1839" s="6" t="s">
        <v>7</v>
      </c>
      <c r="G1839" s="6" t="s">
        <v>346</v>
      </c>
    </row>
    <row r="1840" spans="1:7" x14ac:dyDescent="0.35">
      <c r="A1840" s="6" t="s">
        <v>1808</v>
      </c>
      <c r="B1840" s="7">
        <v>29171</v>
      </c>
      <c r="C1840">
        <v>2</v>
      </c>
      <c r="D1840">
        <v>17882.669999999998</v>
      </c>
      <c r="E1840" s="6" t="s">
        <v>11</v>
      </c>
      <c r="F1840" s="6" t="s">
        <v>8</v>
      </c>
      <c r="G1840" s="6" t="s">
        <v>16</v>
      </c>
    </row>
    <row r="1841" spans="1:7" x14ac:dyDescent="0.35">
      <c r="A1841" s="6" t="s">
        <v>1807</v>
      </c>
      <c r="B1841" s="7">
        <v>35668</v>
      </c>
      <c r="C1841">
        <v>0</v>
      </c>
      <c r="D1841">
        <v>17878.900000000001</v>
      </c>
      <c r="E1841" s="6" t="s">
        <v>11</v>
      </c>
      <c r="F1841" s="6" t="s">
        <v>7</v>
      </c>
      <c r="G1841" s="6" t="s">
        <v>237</v>
      </c>
    </row>
    <row r="1842" spans="1:7" x14ac:dyDescent="0.35">
      <c r="A1842" s="6" t="s">
        <v>1806</v>
      </c>
      <c r="B1842" s="7">
        <v>28106</v>
      </c>
      <c r="C1842">
        <v>2</v>
      </c>
      <c r="D1842">
        <v>17862.919999999998</v>
      </c>
      <c r="E1842" s="6" t="s">
        <v>11</v>
      </c>
      <c r="F1842" s="6" t="s">
        <v>7</v>
      </c>
      <c r="G1842" s="6" t="s">
        <v>16</v>
      </c>
    </row>
    <row r="1843" spans="1:7" x14ac:dyDescent="0.35">
      <c r="A1843" s="6" t="s">
        <v>1805</v>
      </c>
      <c r="B1843" s="7">
        <v>23353</v>
      </c>
      <c r="C1843">
        <v>0</v>
      </c>
      <c r="D1843">
        <v>17832.599999999999</v>
      </c>
      <c r="E1843" s="6" t="s">
        <v>11</v>
      </c>
      <c r="F1843" s="6" t="s">
        <v>7</v>
      </c>
      <c r="G1843" s="6" t="s">
        <v>16</v>
      </c>
    </row>
    <row r="1844" spans="1:7" x14ac:dyDescent="0.35">
      <c r="A1844" s="6" t="s">
        <v>1804</v>
      </c>
      <c r="B1844" s="7">
        <v>29138</v>
      </c>
      <c r="C1844">
        <v>2</v>
      </c>
      <c r="D1844">
        <v>17779.939999999999</v>
      </c>
      <c r="E1844" s="6" t="s">
        <v>11</v>
      </c>
      <c r="F1844" s="6" t="s">
        <v>7</v>
      </c>
      <c r="G1844" s="6" t="s">
        <v>16</v>
      </c>
    </row>
    <row r="1845" spans="1:7" x14ac:dyDescent="0.35">
      <c r="A1845" s="6" t="s">
        <v>1803</v>
      </c>
      <c r="B1845" s="7">
        <v>24279</v>
      </c>
      <c r="C1845">
        <v>0</v>
      </c>
      <c r="D1845">
        <v>17777.73</v>
      </c>
      <c r="E1845" s="6" t="s">
        <v>11</v>
      </c>
      <c r="F1845" s="6" t="s">
        <v>8</v>
      </c>
      <c r="G1845" s="6" t="s">
        <v>16</v>
      </c>
    </row>
    <row r="1846" spans="1:7" x14ac:dyDescent="0.35">
      <c r="A1846" s="6" t="s">
        <v>1802</v>
      </c>
      <c r="B1846" s="7">
        <v>37816</v>
      </c>
      <c r="C1846">
        <v>0</v>
      </c>
      <c r="D1846">
        <v>17748.509999999998</v>
      </c>
      <c r="E1846" s="6" t="s">
        <v>11</v>
      </c>
      <c r="F1846" s="6" t="s">
        <v>11</v>
      </c>
      <c r="G1846" s="6" t="s">
        <v>16</v>
      </c>
    </row>
    <row r="1847" spans="1:7" x14ac:dyDescent="0.35">
      <c r="A1847" s="6" t="s">
        <v>2307</v>
      </c>
      <c r="B1847" s="7">
        <v>27690</v>
      </c>
      <c r="C1847">
        <v>1</v>
      </c>
      <c r="D1847">
        <v>42969.85</v>
      </c>
      <c r="E1847" s="6" t="s">
        <v>11</v>
      </c>
      <c r="F1847" s="6" t="s">
        <v>8</v>
      </c>
      <c r="G1847" s="6" t="s">
        <v>9</v>
      </c>
    </row>
    <row r="1848" spans="1:7" x14ac:dyDescent="0.35">
      <c r="A1848" s="6" t="s">
        <v>1801</v>
      </c>
      <c r="B1848" s="7">
        <v>34516</v>
      </c>
      <c r="C1848">
        <v>3</v>
      </c>
      <c r="D1848">
        <v>17663.14</v>
      </c>
      <c r="E1848" s="6" t="s">
        <v>11</v>
      </c>
      <c r="F1848" s="6" t="s">
        <v>8</v>
      </c>
      <c r="G1848" s="6" t="s">
        <v>9</v>
      </c>
    </row>
    <row r="1849" spans="1:7" x14ac:dyDescent="0.35">
      <c r="A1849" s="6" t="s">
        <v>1800</v>
      </c>
      <c r="B1849" s="7">
        <v>33171</v>
      </c>
      <c r="C1849">
        <v>1</v>
      </c>
      <c r="D1849">
        <v>17626.240000000002</v>
      </c>
      <c r="E1849" s="6" t="s">
        <v>11</v>
      </c>
      <c r="F1849" s="6" t="s">
        <v>8</v>
      </c>
      <c r="G1849" s="6" t="s">
        <v>9</v>
      </c>
    </row>
    <row r="1850" spans="1:7" x14ac:dyDescent="0.35">
      <c r="A1850" s="6" t="s">
        <v>1799</v>
      </c>
      <c r="B1850" s="7">
        <v>25775</v>
      </c>
      <c r="C1850">
        <v>0</v>
      </c>
      <c r="D1850">
        <v>17584.72</v>
      </c>
      <c r="E1850" s="6" t="s">
        <v>11</v>
      </c>
      <c r="F1850" s="6" t="s">
        <v>8</v>
      </c>
      <c r="G1850" s="6" t="s">
        <v>16</v>
      </c>
    </row>
    <row r="1851" spans="1:7" x14ac:dyDescent="0.35">
      <c r="A1851" s="6" t="s">
        <v>1798</v>
      </c>
      <c r="B1851" s="7">
        <v>37493</v>
      </c>
      <c r="C1851">
        <v>1</v>
      </c>
      <c r="D1851">
        <v>17560.38</v>
      </c>
      <c r="E1851" s="6" t="s">
        <v>11</v>
      </c>
      <c r="F1851" s="6" t="s">
        <v>11</v>
      </c>
      <c r="G1851" s="6" t="s">
        <v>16</v>
      </c>
    </row>
    <row r="1852" spans="1:7" x14ac:dyDescent="0.35">
      <c r="A1852" s="6" t="s">
        <v>1797</v>
      </c>
      <c r="B1852" s="7">
        <v>23331</v>
      </c>
      <c r="C1852">
        <v>0</v>
      </c>
      <c r="D1852">
        <v>17556.88</v>
      </c>
      <c r="E1852" s="6" t="s">
        <v>11</v>
      </c>
      <c r="F1852" s="6" t="s">
        <v>7</v>
      </c>
      <c r="G1852" s="6" t="s">
        <v>16</v>
      </c>
    </row>
    <row r="1853" spans="1:7" x14ac:dyDescent="0.35">
      <c r="A1853" s="6" t="s">
        <v>1796</v>
      </c>
      <c r="B1853" s="7">
        <v>25031</v>
      </c>
      <c r="C1853">
        <v>0</v>
      </c>
      <c r="D1853">
        <v>17507.47</v>
      </c>
      <c r="E1853" s="6" t="s">
        <v>11</v>
      </c>
      <c r="F1853" s="6" t="s">
        <v>11</v>
      </c>
      <c r="G1853" s="6" t="s">
        <v>525</v>
      </c>
    </row>
    <row r="1854" spans="1:7" x14ac:dyDescent="0.35">
      <c r="A1854" s="6" t="s">
        <v>1795</v>
      </c>
      <c r="B1854" s="7">
        <v>23909</v>
      </c>
      <c r="C1854">
        <v>0</v>
      </c>
      <c r="D1854">
        <v>17505.650000000001</v>
      </c>
      <c r="E1854" s="6" t="s">
        <v>11</v>
      </c>
      <c r="F1854" s="6" t="s">
        <v>7</v>
      </c>
      <c r="G1854" s="6" t="s">
        <v>239</v>
      </c>
    </row>
    <row r="1855" spans="1:7" x14ac:dyDescent="0.35">
      <c r="A1855" s="6" t="s">
        <v>1794</v>
      </c>
      <c r="B1855" s="7">
        <v>33236</v>
      </c>
      <c r="C1855">
        <v>0</v>
      </c>
      <c r="D1855">
        <v>17496.310000000001</v>
      </c>
      <c r="E1855" s="6" t="s">
        <v>11</v>
      </c>
      <c r="F1855" s="6" t="s">
        <v>7</v>
      </c>
      <c r="G1855" s="6" t="s">
        <v>32</v>
      </c>
    </row>
    <row r="1856" spans="1:7" x14ac:dyDescent="0.35">
      <c r="A1856" s="6" t="s">
        <v>1793</v>
      </c>
      <c r="B1856" s="7">
        <v>26092</v>
      </c>
      <c r="C1856">
        <v>0</v>
      </c>
      <c r="D1856">
        <v>17479.53</v>
      </c>
      <c r="E1856" s="6" t="s">
        <v>11</v>
      </c>
      <c r="F1856" s="6" t="s">
        <v>11</v>
      </c>
      <c r="G1856" s="6" t="s">
        <v>16</v>
      </c>
    </row>
    <row r="1857" spans="1:7" x14ac:dyDescent="0.35">
      <c r="A1857" s="6" t="s">
        <v>1792</v>
      </c>
      <c r="B1857" s="7">
        <v>37927</v>
      </c>
      <c r="C1857">
        <v>0</v>
      </c>
      <c r="D1857">
        <v>17468.98</v>
      </c>
      <c r="E1857" s="6" t="s">
        <v>7</v>
      </c>
      <c r="F1857" s="6" t="s">
        <v>11</v>
      </c>
      <c r="G1857" s="6" t="s">
        <v>16</v>
      </c>
    </row>
    <row r="1858" spans="1:7" x14ac:dyDescent="0.35">
      <c r="A1858" s="6" t="s">
        <v>2306</v>
      </c>
      <c r="B1858" s="7">
        <v>26552</v>
      </c>
      <c r="C1858">
        <v>2</v>
      </c>
      <c r="D1858">
        <v>42856.84</v>
      </c>
      <c r="E1858" s="6" t="s">
        <v>11</v>
      </c>
      <c r="F1858" s="6" t="s">
        <v>11</v>
      </c>
      <c r="G1858" s="6" t="s">
        <v>32</v>
      </c>
    </row>
    <row r="1859" spans="1:7" x14ac:dyDescent="0.35">
      <c r="A1859" s="6" t="s">
        <v>1791</v>
      </c>
      <c r="B1859" s="7">
        <v>33895</v>
      </c>
      <c r="C1859">
        <v>2</v>
      </c>
      <c r="D1859">
        <v>17361.77</v>
      </c>
      <c r="E1859" s="6" t="s">
        <v>7</v>
      </c>
      <c r="F1859" s="6" t="s">
        <v>11</v>
      </c>
      <c r="G1859" s="6" t="s">
        <v>16</v>
      </c>
    </row>
    <row r="1860" spans="1:7" x14ac:dyDescent="0.35">
      <c r="A1860" s="6" t="s">
        <v>1790</v>
      </c>
      <c r="B1860" s="7">
        <v>37926</v>
      </c>
      <c r="C1860">
        <v>0</v>
      </c>
      <c r="D1860">
        <v>17352.68</v>
      </c>
      <c r="E1860" s="6" t="s">
        <v>7</v>
      </c>
      <c r="F1860" s="6" t="s">
        <v>8</v>
      </c>
      <c r="G1860" s="6" t="s">
        <v>16</v>
      </c>
    </row>
    <row r="1861" spans="1:7" x14ac:dyDescent="0.35">
      <c r="A1861" s="6" t="s">
        <v>1789</v>
      </c>
      <c r="B1861" s="7">
        <v>23204</v>
      </c>
      <c r="C1861">
        <v>0</v>
      </c>
      <c r="D1861">
        <v>17337.580000000002</v>
      </c>
      <c r="E1861" s="6" t="s">
        <v>7</v>
      </c>
      <c r="F1861" s="6" t="s">
        <v>8</v>
      </c>
      <c r="G1861" s="6" t="s">
        <v>239</v>
      </c>
    </row>
    <row r="1862" spans="1:7" x14ac:dyDescent="0.35">
      <c r="A1862" s="6" t="s">
        <v>1788</v>
      </c>
      <c r="B1862" s="7">
        <v>27631</v>
      </c>
      <c r="C1862">
        <v>1</v>
      </c>
      <c r="D1862">
        <v>17253.43</v>
      </c>
      <c r="E1862" s="6" t="s">
        <v>7</v>
      </c>
      <c r="F1862" s="6" t="s">
        <v>8</v>
      </c>
      <c r="G1862" s="6" t="s">
        <v>525</v>
      </c>
    </row>
    <row r="1863" spans="1:7" x14ac:dyDescent="0.35">
      <c r="A1863" s="6" t="s">
        <v>1787</v>
      </c>
      <c r="B1863" s="7">
        <v>30246</v>
      </c>
      <c r="C1863">
        <v>1</v>
      </c>
      <c r="D1863">
        <v>17179.52</v>
      </c>
      <c r="E1863" s="6" t="s">
        <v>7</v>
      </c>
      <c r="F1863" s="6" t="s">
        <v>11</v>
      </c>
      <c r="G1863" s="6" t="s">
        <v>9</v>
      </c>
    </row>
    <row r="1864" spans="1:7" x14ac:dyDescent="0.35">
      <c r="A1864" s="6" t="s">
        <v>1786</v>
      </c>
      <c r="B1864" s="7">
        <v>38217</v>
      </c>
      <c r="C1864">
        <v>1</v>
      </c>
      <c r="D1864">
        <v>17178.68</v>
      </c>
      <c r="E1864" s="6" t="s">
        <v>7</v>
      </c>
      <c r="F1864" s="6" t="s">
        <v>7</v>
      </c>
      <c r="G1864" s="6" t="s">
        <v>156</v>
      </c>
    </row>
    <row r="1865" spans="1:7" x14ac:dyDescent="0.35">
      <c r="A1865" s="6" t="s">
        <v>1785</v>
      </c>
      <c r="B1865" s="7">
        <v>23535</v>
      </c>
      <c r="C1865">
        <v>0</v>
      </c>
      <c r="D1865">
        <v>17174.52</v>
      </c>
      <c r="E1865" s="6" t="s">
        <v>7</v>
      </c>
      <c r="F1865" s="6" t="s">
        <v>7</v>
      </c>
      <c r="G1865" s="6" t="s">
        <v>16</v>
      </c>
    </row>
    <row r="1866" spans="1:7" x14ac:dyDescent="0.35">
      <c r="A1866" s="6" t="s">
        <v>1784</v>
      </c>
      <c r="B1866" s="7">
        <v>24001</v>
      </c>
      <c r="C1866">
        <v>0</v>
      </c>
      <c r="D1866">
        <v>17172.27</v>
      </c>
      <c r="E1866" s="6" t="s">
        <v>7</v>
      </c>
      <c r="F1866" s="6" t="s">
        <v>7</v>
      </c>
      <c r="G1866" s="6" t="s">
        <v>525</v>
      </c>
    </row>
    <row r="1867" spans="1:7" x14ac:dyDescent="0.35">
      <c r="A1867" s="6" t="s">
        <v>1783</v>
      </c>
      <c r="B1867" s="7">
        <v>35949</v>
      </c>
      <c r="C1867">
        <v>4</v>
      </c>
      <c r="D1867">
        <v>17128.43</v>
      </c>
      <c r="E1867" s="6" t="s">
        <v>7</v>
      </c>
      <c r="F1867" s="6" t="s">
        <v>8</v>
      </c>
      <c r="G1867" s="6" t="s">
        <v>158</v>
      </c>
    </row>
    <row r="1868" spans="1:7" x14ac:dyDescent="0.35">
      <c r="A1868" s="6" t="s">
        <v>1782</v>
      </c>
      <c r="B1868" s="7">
        <v>37435</v>
      </c>
      <c r="C1868">
        <v>1</v>
      </c>
      <c r="D1868">
        <v>17085.27</v>
      </c>
      <c r="E1868" s="6" t="s">
        <v>7</v>
      </c>
      <c r="F1868" s="6" t="s">
        <v>8</v>
      </c>
      <c r="G1868" s="6" t="s">
        <v>9</v>
      </c>
    </row>
    <row r="1869" spans="1:7" x14ac:dyDescent="0.35">
      <c r="A1869" s="6" t="s">
        <v>2305</v>
      </c>
      <c r="B1869" s="7">
        <v>24044</v>
      </c>
      <c r="C1869">
        <v>0</v>
      </c>
      <c r="D1869">
        <v>42764.12</v>
      </c>
      <c r="E1869" s="6" t="s">
        <v>11</v>
      </c>
      <c r="F1869" s="6" t="s">
        <v>7</v>
      </c>
      <c r="G1869" s="6" t="s">
        <v>32</v>
      </c>
    </row>
    <row r="1870" spans="1:7" x14ac:dyDescent="0.35">
      <c r="A1870" s="6" t="s">
        <v>1781</v>
      </c>
      <c r="B1870" s="7">
        <v>37981</v>
      </c>
      <c r="C1870">
        <v>0</v>
      </c>
      <c r="D1870">
        <v>17081.080000000002</v>
      </c>
      <c r="E1870" s="6" t="s">
        <v>7</v>
      </c>
      <c r="F1870" s="6" t="s">
        <v>7</v>
      </c>
      <c r="G1870" s="6" t="s">
        <v>32</v>
      </c>
    </row>
    <row r="1871" spans="1:7" x14ac:dyDescent="0.35">
      <c r="A1871" s="6" t="s">
        <v>1780</v>
      </c>
      <c r="B1871" s="7">
        <v>35226</v>
      </c>
      <c r="C1871">
        <v>0</v>
      </c>
      <c r="D1871">
        <v>17043.34</v>
      </c>
      <c r="E1871" s="6" t="s">
        <v>7</v>
      </c>
      <c r="F1871" s="6" t="s">
        <v>8</v>
      </c>
      <c r="G1871" s="6" t="s">
        <v>9</v>
      </c>
    </row>
    <row r="1872" spans="1:7" x14ac:dyDescent="0.35">
      <c r="A1872" s="6" t="s">
        <v>1779</v>
      </c>
      <c r="B1872" s="7">
        <v>26167</v>
      </c>
      <c r="C1872">
        <v>0</v>
      </c>
      <c r="D1872">
        <v>17016.009999999998</v>
      </c>
      <c r="E1872" s="6" t="s">
        <v>7</v>
      </c>
      <c r="F1872" s="6" t="s">
        <v>7</v>
      </c>
      <c r="G1872" s="6" t="s">
        <v>239</v>
      </c>
    </row>
    <row r="1873" spans="1:7" x14ac:dyDescent="0.35">
      <c r="A1873" s="6" t="s">
        <v>1778</v>
      </c>
      <c r="B1873" s="7">
        <v>29418</v>
      </c>
      <c r="C1873">
        <v>2</v>
      </c>
      <c r="D1873">
        <v>16990.55</v>
      </c>
      <c r="E1873" s="6" t="s">
        <v>7</v>
      </c>
      <c r="F1873" s="6" t="s">
        <v>8</v>
      </c>
      <c r="G1873" s="6" t="s">
        <v>16</v>
      </c>
    </row>
    <row r="1874" spans="1:7" x14ac:dyDescent="0.35">
      <c r="A1874" s="6" t="s">
        <v>1777</v>
      </c>
      <c r="B1874" s="7">
        <v>28362</v>
      </c>
      <c r="C1874">
        <v>2</v>
      </c>
      <c r="D1874">
        <v>16921.09</v>
      </c>
      <c r="E1874" s="6" t="s">
        <v>7</v>
      </c>
      <c r="F1874" s="6" t="s">
        <v>8</v>
      </c>
      <c r="G1874" s="6" t="s">
        <v>239</v>
      </c>
    </row>
    <row r="1875" spans="1:7" x14ac:dyDescent="0.35">
      <c r="A1875" s="6" t="s">
        <v>1776</v>
      </c>
      <c r="B1875" s="7">
        <v>25132</v>
      </c>
      <c r="C1875">
        <v>0</v>
      </c>
      <c r="D1875">
        <v>16903.5</v>
      </c>
      <c r="E1875" s="6" t="s">
        <v>7</v>
      </c>
      <c r="F1875" s="6" t="s">
        <v>8</v>
      </c>
      <c r="G1875" s="6" t="s">
        <v>16</v>
      </c>
    </row>
    <row r="1876" spans="1:7" x14ac:dyDescent="0.35">
      <c r="A1876" s="6" t="s">
        <v>1775</v>
      </c>
      <c r="B1876" s="7">
        <v>37874</v>
      </c>
      <c r="C1876">
        <v>0</v>
      </c>
      <c r="D1876">
        <v>16884.919999999998</v>
      </c>
      <c r="E1876" s="6" t="s">
        <v>7</v>
      </c>
      <c r="F1876" s="6" t="s">
        <v>7</v>
      </c>
      <c r="G1876" s="6" t="s">
        <v>32</v>
      </c>
    </row>
    <row r="1877" spans="1:7" x14ac:dyDescent="0.35">
      <c r="A1877" s="6" t="s">
        <v>1774</v>
      </c>
      <c r="B1877" s="7">
        <v>27249</v>
      </c>
      <c r="C1877">
        <v>0</v>
      </c>
      <c r="D1877">
        <v>16841.32</v>
      </c>
      <c r="E1877" s="6" t="s">
        <v>7</v>
      </c>
      <c r="F1877" s="6" t="s">
        <v>8</v>
      </c>
      <c r="G1877" s="6" t="s">
        <v>32</v>
      </c>
    </row>
    <row r="1878" spans="1:7" x14ac:dyDescent="0.35">
      <c r="A1878" s="6" t="s">
        <v>1773</v>
      </c>
      <c r="B1878" s="7">
        <v>34991</v>
      </c>
      <c r="C1878">
        <v>1</v>
      </c>
      <c r="D1878">
        <v>16796.41</v>
      </c>
      <c r="E1878" s="6" t="s">
        <v>7</v>
      </c>
      <c r="F1878" s="6" t="s">
        <v>8</v>
      </c>
      <c r="G1878" s="6" t="s">
        <v>237</v>
      </c>
    </row>
    <row r="1879" spans="1:7" x14ac:dyDescent="0.35">
      <c r="A1879" s="6" t="s">
        <v>1772</v>
      </c>
      <c r="B1879" s="7">
        <v>22856</v>
      </c>
      <c r="C1879">
        <v>0</v>
      </c>
      <c r="D1879">
        <v>16779.400000000001</v>
      </c>
      <c r="E1879" s="6" t="s">
        <v>7</v>
      </c>
      <c r="F1879" s="6" t="s">
        <v>7</v>
      </c>
      <c r="G1879" s="6" t="s">
        <v>525</v>
      </c>
    </row>
    <row r="1880" spans="1:7" x14ac:dyDescent="0.35">
      <c r="A1880" s="6" t="s">
        <v>2304</v>
      </c>
      <c r="B1880" s="7">
        <v>28419</v>
      </c>
      <c r="C1880">
        <v>2</v>
      </c>
      <c r="D1880">
        <v>42760.5</v>
      </c>
      <c r="E1880" s="6" t="s">
        <v>11</v>
      </c>
      <c r="F1880" s="6" t="s">
        <v>7</v>
      </c>
      <c r="G1880" s="6" t="s">
        <v>16</v>
      </c>
    </row>
    <row r="1881" spans="1:7" x14ac:dyDescent="0.35">
      <c r="A1881" s="6" t="s">
        <v>1771</v>
      </c>
      <c r="B1881" s="7">
        <v>32774</v>
      </c>
      <c r="C1881">
        <v>2</v>
      </c>
      <c r="D1881">
        <v>16776.3</v>
      </c>
      <c r="E1881" s="6" t="s">
        <v>7</v>
      </c>
      <c r="F1881" s="6" t="s">
        <v>7</v>
      </c>
      <c r="G1881" s="6" t="s">
        <v>237</v>
      </c>
    </row>
    <row r="1882" spans="1:7" x14ac:dyDescent="0.35">
      <c r="A1882" s="6" t="s">
        <v>1770</v>
      </c>
      <c r="B1882" s="7">
        <v>27269</v>
      </c>
      <c r="C1882">
        <v>0</v>
      </c>
      <c r="D1882">
        <v>16770.990000000002</v>
      </c>
      <c r="E1882" s="6" t="s">
        <v>7</v>
      </c>
      <c r="F1882" s="6" t="s">
        <v>11</v>
      </c>
      <c r="G1882" s="6" t="s">
        <v>16</v>
      </c>
    </row>
    <row r="1883" spans="1:7" x14ac:dyDescent="0.35">
      <c r="A1883" s="6" t="s">
        <v>1769</v>
      </c>
      <c r="B1883" s="7">
        <v>34278</v>
      </c>
      <c r="C1883">
        <v>1</v>
      </c>
      <c r="D1883">
        <v>16657.72</v>
      </c>
      <c r="E1883" s="6" t="s">
        <v>7</v>
      </c>
      <c r="F1883" s="6" t="s">
        <v>11</v>
      </c>
      <c r="G1883" s="6" t="s">
        <v>237</v>
      </c>
    </row>
    <row r="1884" spans="1:7" x14ac:dyDescent="0.35">
      <c r="A1884" s="6" t="s">
        <v>1768</v>
      </c>
      <c r="B1884" s="7">
        <v>28393</v>
      </c>
      <c r="C1884">
        <v>2</v>
      </c>
      <c r="D1884">
        <v>16631.61</v>
      </c>
      <c r="E1884" s="6" t="s">
        <v>7</v>
      </c>
      <c r="F1884" s="6" t="s">
        <v>11</v>
      </c>
      <c r="G1884" s="6" t="s">
        <v>16</v>
      </c>
    </row>
    <row r="1885" spans="1:7" x14ac:dyDescent="0.35">
      <c r="A1885" s="6" t="s">
        <v>1767</v>
      </c>
      <c r="B1885" s="7">
        <v>27599</v>
      </c>
      <c r="C1885">
        <v>1</v>
      </c>
      <c r="D1885">
        <v>16602.18</v>
      </c>
      <c r="E1885" s="6" t="s">
        <v>7</v>
      </c>
      <c r="F1885" s="6" t="s">
        <v>11</v>
      </c>
      <c r="G1885" s="6" t="s">
        <v>525</v>
      </c>
    </row>
    <row r="1886" spans="1:7" x14ac:dyDescent="0.35">
      <c r="A1886" s="6" t="s">
        <v>1766</v>
      </c>
      <c r="B1886" s="7">
        <v>25759</v>
      </c>
      <c r="C1886">
        <v>0</v>
      </c>
      <c r="D1886">
        <v>16600.16</v>
      </c>
      <c r="E1886" s="6" t="s">
        <v>7</v>
      </c>
      <c r="F1886" s="6" t="s">
        <v>7</v>
      </c>
      <c r="G1886" s="6" t="s">
        <v>32</v>
      </c>
    </row>
    <row r="1887" spans="1:7" x14ac:dyDescent="0.35">
      <c r="A1887" s="6" t="s">
        <v>1765</v>
      </c>
      <c r="B1887" s="7">
        <v>23187</v>
      </c>
      <c r="C1887">
        <v>0</v>
      </c>
      <c r="D1887">
        <v>16587.96</v>
      </c>
      <c r="E1887" s="6" t="s">
        <v>7</v>
      </c>
      <c r="F1887" s="6" t="s">
        <v>7</v>
      </c>
      <c r="G1887" s="6" t="s">
        <v>239</v>
      </c>
    </row>
    <row r="1888" spans="1:7" x14ac:dyDescent="0.35">
      <c r="A1888" s="6" t="s">
        <v>1764</v>
      </c>
      <c r="B1888" s="7">
        <v>37067</v>
      </c>
      <c r="C1888">
        <v>0</v>
      </c>
      <c r="D1888">
        <v>16586.5</v>
      </c>
      <c r="E1888" s="6" t="s">
        <v>7</v>
      </c>
      <c r="F1888" s="6" t="s">
        <v>11</v>
      </c>
      <c r="G1888" s="6" t="s">
        <v>9</v>
      </c>
    </row>
    <row r="1889" spans="1:7" x14ac:dyDescent="0.35">
      <c r="A1889" s="6" t="s">
        <v>1763</v>
      </c>
      <c r="B1889" s="7">
        <v>35056</v>
      </c>
      <c r="C1889">
        <v>0</v>
      </c>
      <c r="D1889">
        <v>16577.78</v>
      </c>
      <c r="E1889" s="6" t="s">
        <v>7</v>
      </c>
      <c r="F1889" s="6" t="s">
        <v>11</v>
      </c>
      <c r="G1889" s="6" t="s">
        <v>9</v>
      </c>
    </row>
    <row r="1890" spans="1:7" x14ac:dyDescent="0.35">
      <c r="A1890" s="6" t="s">
        <v>1762</v>
      </c>
      <c r="B1890" s="7">
        <v>21468</v>
      </c>
      <c r="C1890">
        <v>3</v>
      </c>
      <c r="D1890">
        <v>16455.71</v>
      </c>
      <c r="E1890" s="6" t="s">
        <v>7</v>
      </c>
      <c r="F1890" s="6" t="s">
        <v>7</v>
      </c>
      <c r="G1890" s="6" t="s">
        <v>16</v>
      </c>
    </row>
    <row r="1891" spans="1:7" x14ac:dyDescent="0.35">
      <c r="A1891" s="6" t="s">
        <v>2357</v>
      </c>
      <c r="B1891" s="7">
        <v>22862</v>
      </c>
      <c r="C1891">
        <v>0</v>
      </c>
      <c r="D1891">
        <v>52590.83</v>
      </c>
      <c r="E1891" s="6" t="s">
        <v>11</v>
      </c>
      <c r="F1891" s="6" t="s">
        <v>8</v>
      </c>
      <c r="G1891" s="6" t="s">
        <v>32</v>
      </c>
    </row>
    <row r="1892" spans="1:7" x14ac:dyDescent="0.35">
      <c r="A1892" s="6" t="s">
        <v>2303</v>
      </c>
      <c r="B1892" s="7">
        <v>26240</v>
      </c>
      <c r="C1892">
        <v>0</v>
      </c>
      <c r="D1892">
        <v>42644.2</v>
      </c>
      <c r="E1892" s="6" t="s">
        <v>11</v>
      </c>
      <c r="F1892" s="6" t="s">
        <v>8</v>
      </c>
      <c r="G1892" s="6" t="s">
        <v>32</v>
      </c>
    </row>
    <row r="1893" spans="1:7" x14ac:dyDescent="0.35">
      <c r="A1893" s="6" t="s">
        <v>1761</v>
      </c>
      <c r="B1893" s="7">
        <v>37975</v>
      </c>
      <c r="C1893">
        <v>1</v>
      </c>
      <c r="D1893">
        <v>16450.89</v>
      </c>
      <c r="E1893" s="6" t="s">
        <v>7</v>
      </c>
      <c r="F1893" s="6" t="s">
        <v>11</v>
      </c>
      <c r="G1893" s="6" t="s">
        <v>16</v>
      </c>
    </row>
    <row r="1894" spans="1:7" x14ac:dyDescent="0.35">
      <c r="A1894" s="6" t="s">
        <v>1760</v>
      </c>
      <c r="B1894" s="7">
        <v>34970</v>
      </c>
      <c r="C1894">
        <v>3</v>
      </c>
      <c r="D1894">
        <v>16420.490000000002</v>
      </c>
      <c r="E1894" s="6" t="s">
        <v>7</v>
      </c>
      <c r="F1894" s="6" t="s">
        <v>8</v>
      </c>
      <c r="G1894" s="6" t="s">
        <v>16</v>
      </c>
    </row>
    <row r="1895" spans="1:7" x14ac:dyDescent="0.35">
      <c r="A1895" s="6" t="s">
        <v>1759</v>
      </c>
      <c r="B1895" s="7">
        <v>24081</v>
      </c>
      <c r="C1895">
        <v>0</v>
      </c>
      <c r="D1895">
        <v>16351.42</v>
      </c>
      <c r="E1895" s="6" t="s">
        <v>7</v>
      </c>
      <c r="F1895" s="6" t="s">
        <v>8</v>
      </c>
      <c r="G1895" s="6" t="s">
        <v>525</v>
      </c>
    </row>
    <row r="1896" spans="1:7" x14ac:dyDescent="0.35">
      <c r="A1896" s="6" t="s">
        <v>1758</v>
      </c>
      <c r="B1896" s="7">
        <v>25423</v>
      </c>
      <c r="C1896">
        <v>0</v>
      </c>
      <c r="D1896">
        <v>16311.05</v>
      </c>
      <c r="E1896" s="6" t="s">
        <v>7</v>
      </c>
      <c r="F1896" s="6" t="s">
        <v>8</v>
      </c>
      <c r="G1896" s="6" t="s">
        <v>525</v>
      </c>
    </row>
    <row r="1897" spans="1:7" x14ac:dyDescent="0.35">
      <c r="A1897" s="6" t="s">
        <v>1757</v>
      </c>
      <c r="B1897" s="7">
        <v>37857</v>
      </c>
      <c r="C1897">
        <v>0</v>
      </c>
      <c r="D1897">
        <v>16297.85</v>
      </c>
      <c r="E1897" s="6" t="s">
        <v>7</v>
      </c>
      <c r="F1897" s="6" t="s">
        <v>8</v>
      </c>
      <c r="G1897" s="6" t="s">
        <v>32</v>
      </c>
    </row>
    <row r="1898" spans="1:7" x14ac:dyDescent="0.35">
      <c r="A1898" s="6" t="s">
        <v>1756</v>
      </c>
      <c r="B1898" s="7">
        <v>26510</v>
      </c>
      <c r="C1898">
        <v>0</v>
      </c>
      <c r="D1898">
        <v>16267.32</v>
      </c>
      <c r="E1898" s="6" t="s">
        <v>7</v>
      </c>
      <c r="F1898" s="6" t="s">
        <v>7</v>
      </c>
      <c r="G1898" s="6" t="s">
        <v>239</v>
      </c>
    </row>
    <row r="1899" spans="1:7" x14ac:dyDescent="0.35">
      <c r="A1899" s="6" t="s">
        <v>1755</v>
      </c>
      <c r="B1899" s="7">
        <v>37507</v>
      </c>
      <c r="C1899">
        <v>0</v>
      </c>
      <c r="D1899">
        <v>16232.85</v>
      </c>
      <c r="E1899" s="6" t="s">
        <v>7</v>
      </c>
      <c r="F1899" s="6" t="s">
        <v>11</v>
      </c>
      <c r="G1899" s="6" t="s">
        <v>32</v>
      </c>
    </row>
    <row r="1900" spans="1:7" x14ac:dyDescent="0.35">
      <c r="A1900" s="6" t="s">
        <v>1754</v>
      </c>
      <c r="B1900" s="7">
        <v>32376</v>
      </c>
      <c r="C1900">
        <v>3</v>
      </c>
      <c r="D1900">
        <v>16205.88</v>
      </c>
      <c r="E1900" s="6" t="s">
        <v>7</v>
      </c>
      <c r="F1900" s="6" t="s">
        <v>11</v>
      </c>
      <c r="G1900" s="6" t="s">
        <v>16</v>
      </c>
    </row>
    <row r="1901" spans="1:7" x14ac:dyDescent="0.35">
      <c r="A1901" s="6" t="s">
        <v>1753</v>
      </c>
      <c r="B1901" s="7">
        <v>32361</v>
      </c>
      <c r="C1901">
        <v>3</v>
      </c>
      <c r="D1901">
        <v>16199.1</v>
      </c>
      <c r="E1901" s="6" t="s">
        <v>7</v>
      </c>
      <c r="F1901" s="6" t="s">
        <v>7</v>
      </c>
      <c r="G1901" s="6" t="s">
        <v>16</v>
      </c>
    </row>
    <row r="1902" spans="1:7" x14ac:dyDescent="0.35">
      <c r="A1902" s="6" t="s">
        <v>1752</v>
      </c>
      <c r="B1902" s="7">
        <v>27283</v>
      </c>
      <c r="C1902">
        <v>0</v>
      </c>
      <c r="D1902">
        <v>16190.97</v>
      </c>
      <c r="E1902" s="6" t="s">
        <v>7</v>
      </c>
      <c r="F1902" s="6" t="s">
        <v>8</v>
      </c>
      <c r="G1902" s="6" t="s">
        <v>16</v>
      </c>
    </row>
    <row r="1903" spans="1:7" x14ac:dyDescent="0.35">
      <c r="A1903" s="6" t="s">
        <v>2302</v>
      </c>
      <c r="B1903" s="7">
        <v>29216</v>
      </c>
      <c r="C1903">
        <v>2</v>
      </c>
      <c r="D1903">
        <v>42560.43</v>
      </c>
      <c r="E1903" s="6" t="s">
        <v>11</v>
      </c>
      <c r="F1903" s="6" t="s">
        <v>8</v>
      </c>
      <c r="G1903" s="6" t="s">
        <v>9</v>
      </c>
    </row>
    <row r="1904" spans="1:7" x14ac:dyDescent="0.35">
      <c r="A1904" s="6" t="s">
        <v>1751</v>
      </c>
      <c r="B1904" s="7">
        <v>30138</v>
      </c>
      <c r="C1904">
        <v>3</v>
      </c>
      <c r="D1904">
        <v>16152.04</v>
      </c>
      <c r="E1904" s="6" t="s">
        <v>7</v>
      </c>
      <c r="F1904" s="6" t="s">
        <v>11</v>
      </c>
      <c r="G1904" s="6" t="s">
        <v>525</v>
      </c>
    </row>
    <row r="1905" spans="1:7" x14ac:dyDescent="0.35">
      <c r="A1905" s="6" t="s">
        <v>1750</v>
      </c>
      <c r="B1905" s="7">
        <v>34315</v>
      </c>
      <c r="C1905">
        <v>0</v>
      </c>
      <c r="D1905">
        <v>16138.76</v>
      </c>
      <c r="E1905" s="6" t="s">
        <v>7</v>
      </c>
      <c r="F1905" s="6" t="s">
        <v>8</v>
      </c>
      <c r="G1905" s="6" t="s">
        <v>346</v>
      </c>
    </row>
    <row r="1906" spans="1:7" x14ac:dyDescent="0.35">
      <c r="A1906" s="6" t="s">
        <v>1749</v>
      </c>
      <c r="B1906" s="7">
        <v>32056</v>
      </c>
      <c r="C1906">
        <v>3</v>
      </c>
      <c r="D1906">
        <v>16122.65</v>
      </c>
      <c r="E1906" s="6" t="s">
        <v>7</v>
      </c>
      <c r="F1906" s="6" t="s">
        <v>11</v>
      </c>
      <c r="G1906" s="6" t="s">
        <v>32</v>
      </c>
    </row>
    <row r="1907" spans="1:7" x14ac:dyDescent="0.35">
      <c r="A1907" s="6" t="s">
        <v>1748</v>
      </c>
      <c r="B1907" s="7">
        <v>34189</v>
      </c>
      <c r="C1907">
        <v>0</v>
      </c>
      <c r="D1907">
        <v>16115.3</v>
      </c>
      <c r="E1907" s="6" t="s">
        <v>7</v>
      </c>
      <c r="F1907" s="6" t="s">
        <v>11</v>
      </c>
      <c r="G1907" s="6" t="s">
        <v>237</v>
      </c>
    </row>
    <row r="1908" spans="1:7" x14ac:dyDescent="0.35">
      <c r="A1908" s="6" t="s">
        <v>1747</v>
      </c>
      <c r="B1908" s="7">
        <v>31286</v>
      </c>
      <c r="C1908">
        <v>3</v>
      </c>
      <c r="D1908">
        <v>16097.94</v>
      </c>
      <c r="E1908" s="6" t="s">
        <v>7</v>
      </c>
      <c r="F1908" s="6" t="s">
        <v>8</v>
      </c>
      <c r="G1908" s="6" t="s">
        <v>16</v>
      </c>
    </row>
    <row r="1909" spans="1:7" x14ac:dyDescent="0.35">
      <c r="A1909" s="6" t="s">
        <v>1746</v>
      </c>
      <c r="B1909" s="7">
        <v>21357</v>
      </c>
      <c r="C1909">
        <v>3</v>
      </c>
      <c r="D1909">
        <v>16085.13</v>
      </c>
      <c r="E1909" s="6" t="s">
        <v>7</v>
      </c>
      <c r="F1909" s="6" t="s">
        <v>7</v>
      </c>
      <c r="G1909" s="6" t="s">
        <v>9</v>
      </c>
    </row>
    <row r="1910" spans="1:7" x14ac:dyDescent="0.35">
      <c r="A1910" s="6" t="s">
        <v>1745</v>
      </c>
      <c r="B1910" s="7">
        <v>21480</v>
      </c>
      <c r="C1910">
        <v>2</v>
      </c>
      <c r="D1910">
        <v>16069.08</v>
      </c>
      <c r="E1910" s="6" t="s">
        <v>7</v>
      </c>
      <c r="F1910" s="6" t="s">
        <v>7</v>
      </c>
      <c r="G1910" s="6" t="s">
        <v>237</v>
      </c>
    </row>
    <row r="1911" spans="1:7" x14ac:dyDescent="0.35">
      <c r="A1911" s="6" t="s">
        <v>1744</v>
      </c>
      <c r="B1911" s="7">
        <v>28749</v>
      </c>
      <c r="C1911">
        <v>2</v>
      </c>
      <c r="D1911">
        <v>16062.89</v>
      </c>
      <c r="E1911" s="6" t="s">
        <v>7</v>
      </c>
      <c r="F1911" s="6" t="s">
        <v>7</v>
      </c>
      <c r="G1911" s="6" t="s">
        <v>525</v>
      </c>
    </row>
    <row r="1912" spans="1:7" x14ac:dyDescent="0.35">
      <c r="A1912" s="6" t="s">
        <v>1743</v>
      </c>
      <c r="B1912" s="7">
        <v>32482</v>
      </c>
      <c r="C1912">
        <v>3</v>
      </c>
      <c r="D1912">
        <v>16059.06</v>
      </c>
      <c r="E1912" s="6" t="s">
        <v>7</v>
      </c>
      <c r="F1912" s="6" t="s">
        <v>8</v>
      </c>
      <c r="G1912" s="6" t="s">
        <v>16</v>
      </c>
    </row>
    <row r="1913" spans="1:7" x14ac:dyDescent="0.35">
      <c r="A1913" s="6" t="s">
        <v>1742</v>
      </c>
      <c r="B1913" s="7">
        <v>29483</v>
      </c>
      <c r="C1913">
        <v>2</v>
      </c>
      <c r="D1913">
        <v>15966.19</v>
      </c>
      <c r="E1913" s="6" t="s">
        <v>7</v>
      </c>
      <c r="F1913" s="6" t="s">
        <v>7</v>
      </c>
      <c r="G1913" s="6" t="s">
        <v>16</v>
      </c>
    </row>
    <row r="1914" spans="1:7" x14ac:dyDescent="0.35">
      <c r="A1914" s="6" t="s">
        <v>2301</v>
      </c>
      <c r="B1914" s="7">
        <v>24650</v>
      </c>
      <c r="C1914">
        <v>0</v>
      </c>
      <c r="D1914">
        <v>42538.720000000001</v>
      </c>
      <c r="E1914" s="6" t="s">
        <v>11</v>
      </c>
      <c r="F1914" s="6" t="s">
        <v>8</v>
      </c>
      <c r="G1914" s="6" t="s">
        <v>32</v>
      </c>
    </row>
    <row r="1915" spans="1:7" x14ac:dyDescent="0.35">
      <c r="A1915" s="6" t="s">
        <v>1741</v>
      </c>
      <c r="B1915" s="7">
        <v>30156</v>
      </c>
      <c r="C1915">
        <v>3</v>
      </c>
      <c r="D1915">
        <v>15965.29</v>
      </c>
      <c r="E1915" s="6" t="s">
        <v>7</v>
      </c>
      <c r="F1915" s="6" t="s">
        <v>11</v>
      </c>
      <c r="G1915" s="6" t="s">
        <v>16</v>
      </c>
    </row>
    <row r="1916" spans="1:7" x14ac:dyDescent="0.35">
      <c r="A1916" s="6" t="s">
        <v>1740</v>
      </c>
      <c r="B1916" s="7">
        <v>29506</v>
      </c>
      <c r="C1916">
        <v>2</v>
      </c>
      <c r="D1916">
        <v>15922.29</v>
      </c>
      <c r="E1916" s="6" t="s">
        <v>7</v>
      </c>
      <c r="F1916" s="6" t="s">
        <v>8</v>
      </c>
      <c r="G1916" s="6" t="s">
        <v>525</v>
      </c>
    </row>
    <row r="1917" spans="1:7" x14ac:dyDescent="0.35">
      <c r="A1917" s="6" t="s">
        <v>1739</v>
      </c>
      <c r="B1917" s="7">
        <v>23005</v>
      </c>
      <c r="C1917">
        <v>0</v>
      </c>
      <c r="D1917">
        <v>15840.81</v>
      </c>
      <c r="E1917" s="6" t="s">
        <v>7</v>
      </c>
      <c r="F1917" s="6" t="s">
        <v>11</v>
      </c>
      <c r="G1917" s="6" t="s">
        <v>622</v>
      </c>
    </row>
    <row r="1918" spans="1:7" x14ac:dyDescent="0.35">
      <c r="A1918" s="6" t="s">
        <v>1738</v>
      </c>
      <c r="B1918" s="7">
        <v>30266</v>
      </c>
      <c r="C1918">
        <v>4</v>
      </c>
      <c r="D1918">
        <v>15828.82</v>
      </c>
      <c r="E1918" s="6" t="s">
        <v>7</v>
      </c>
      <c r="F1918" s="6" t="s">
        <v>8</v>
      </c>
      <c r="G1918" s="6" t="s">
        <v>32</v>
      </c>
    </row>
    <row r="1919" spans="1:7" x14ac:dyDescent="0.35">
      <c r="A1919" s="6" t="s">
        <v>1737</v>
      </c>
      <c r="B1919" s="7">
        <v>30859</v>
      </c>
      <c r="C1919">
        <v>0</v>
      </c>
      <c r="D1919">
        <v>15820.7</v>
      </c>
      <c r="E1919" s="6" t="s">
        <v>7</v>
      </c>
      <c r="F1919" s="6" t="s">
        <v>8</v>
      </c>
      <c r="G1919" s="6" t="s">
        <v>32</v>
      </c>
    </row>
    <row r="1920" spans="1:7" x14ac:dyDescent="0.35">
      <c r="A1920" s="6" t="s">
        <v>1736</v>
      </c>
      <c r="B1920" s="7">
        <v>35712</v>
      </c>
      <c r="C1920">
        <v>0</v>
      </c>
      <c r="D1920">
        <v>15817.99</v>
      </c>
      <c r="E1920" s="6" t="s">
        <v>7</v>
      </c>
      <c r="F1920" s="6" t="s">
        <v>7</v>
      </c>
      <c r="G1920" s="6" t="s">
        <v>16</v>
      </c>
    </row>
    <row r="1921" spans="1:7" x14ac:dyDescent="0.35">
      <c r="A1921" s="6" t="s">
        <v>1735</v>
      </c>
      <c r="B1921" s="7">
        <v>27270</v>
      </c>
      <c r="C1921">
        <v>0</v>
      </c>
      <c r="D1921">
        <v>15746.62</v>
      </c>
      <c r="E1921" s="6" t="s">
        <v>7</v>
      </c>
      <c r="F1921" s="6" t="s">
        <v>11</v>
      </c>
      <c r="G1921" s="6" t="s">
        <v>16</v>
      </c>
    </row>
    <row r="1922" spans="1:7" x14ac:dyDescent="0.35">
      <c r="A1922" s="6" t="s">
        <v>1734</v>
      </c>
      <c r="B1922" s="7">
        <v>28023</v>
      </c>
      <c r="C1922">
        <v>2</v>
      </c>
      <c r="D1922">
        <v>15698.86</v>
      </c>
      <c r="E1922" s="6" t="s">
        <v>7</v>
      </c>
      <c r="F1922" s="6" t="s">
        <v>7</v>
      </c>
      <c r="G1922" s="6" t="s">
        <v>16</v>
      </c>
    </row>
    <row r="1923" spans="1:7" x14ac:dyDescent="0.35">
      <c r="A1923" s="6" t="s">
        <v>1733</v>
      </c>
      <c r="B1923" s="7">
        <v>26841</v>
      </c>
      <c r="C1923">
        <v>0</v>
      </c>
      <c r="D1923">
        <v>15670.3</v>
      </c>
      <c r="E1923" s="6" t="s">
        <v>7</v>
      </c>
      <c r="F1923" s="6" t="s">
        <v>7</v>
      </c>
      <c r="G1923" s="6" t="s">
        <v>525</v>
      </c>
    </row>
    <row r="1924" spans="1:7" x14ac:dyDescent="0.35">
      <c r="A1924" s="6" t="s">
        <v>1732</v>
      </c>
      <c r="B1924" s="7">
        <v>32499</v>
      </c>
      <c r="C1924">
        <v>3</v>
      </c>
      <c r="D1924">
        <v>15646.28</v>
      </c>
      <c r="E1924" s="6" t="s">
        <v>7</v>
      </c>
      <c r="F1924" s="6" t="s">
        <v>7</v>
      </c>
      <c r="G1924" s="6" t="s">
        <v>32</v>
      </c>
    </row>
    <row r="1925" spans="1:7" x14ac:dyDescent="0.35">
      <c r="A1925" s="6" t="s">
        <v>2300</v>
      </c>
      <c r="B1925" s="7">
        <v>25053</v>
      </c>
      <c r="C1925">
        <v>0</v>
      </c>
      <c r="D1925">
        <v>42478.6</v>
      </c>
      <c r="E1925" s="6" t="s">
        <v>11</v>
      </c>
      <c r="F1925" s="6" t="s">
        <v>7</v>
      </c>
      <c r="G1925" s="6" t="s">
        <v>32</v>
      </c>
    </row>
    <row r="1926" spans="1:7" x14ac:dyDescent="0.35">
      <c r="A1926" s="6" t="s">
        <v>1731</v>
      </c>
      <c r="B1926" s="7">
        <v>22073</v>
      </c>
      <c r="C1926">
        <v>3</v>
      </c>
      <c r="D1926">
        <v>15612.19</v>
      </c>
      <c r="E1926" s="6" t="s">
        <v>7</v>
      </c>
      <c r="F1926" s="6" t="s">
        <v>7</v>
      </c>
      <c r="G1926" s="6" t="s">
        <v>16</v>
      </c>
    </row>
    <row r="1927" spans="1:7" x14ac:dyDescent="0.35">
      <c r="A1927" s="6" t="s">
        <v>1730</v>
      </c>
      <c r="B1927" s="7">
        <v>24043</v>
      </c>
      <c r="C1927">
        <v>0</v>
      </c>
      <c r="D1927">
        <v>15608.58</v>
      </c>
      <c r="E1927" s="6" t="s">
        <v>7</v>
      </c>
      <c r="F1927" s="6" t="s">
        <v>7</v>
      </c>
      <c r="G1927" s="6" t="s">
        <v>525</v>
      </c>
    </row>
    <row r="1928" spans="1:7" x14ac:dyDescent="0.35">
      <c r="A1928" s="6" t="s">
        <v>1729</v>
      </c>
      <c r="B1928" s="7">
        <v>27240</v>
      </c>
      <c r="C1928">
        <v>0</v>
      </c>
      <c r="D1928">
        <v>15556.67</v>
      </c>
      <c r="E1928" s="6" t="s">
        <v>7</v>
      </c>
      <c r="F1928" s="6" t="s">
        <v>7</v>
      </c>
      <c r="G1928" s="6" t="s">
        <v>16</v>
      </c>
    </row>
    <row r="1929" spans="1:7" x14ac:dyDescent="0.35">
      <c r="A1929" s="6" t="s">
        <v>1728</v>
      </c>
      <c r="B1929" s="7">
        <v>21825</v>
      </c>
      <c r="C1929">
        <v>3</v>
      </c>
      <c r="D1929">
        <v>15555.19</v>
      </c>
      <c r="E1929" s="6" t="s">
        <v>7</v>
      </c>
      <c r="F1929" s="6" t="s">
        <v>8</v>
      </c>
      <c r="G1929" s="6" t="s">
        <v>16</v>
      </c>
    </row>
    <row r="1930" spans="1:7" x14ac:dyDescent="0.35">
      <c r="A1930" s="6" t="s">
        <v>1727</v>
      </c>
      <c r="B1930" s="7">
        <v>27208</v>
      </c>
      <c r="C1930">
        <v>0</v>
      </c>
      <c r="D1930">
        <v>15532.16</v>
      </c>
      <c r="E1930" s="6" t="s">
        <v>7</v>
      </c>
      <c r="F1930" s="6" t="s">
        <v>7</v>
      </c>
      <c r="G1930" s="6" t="s">
        <v>525</v>
      </c>
    </row>
    <row r="1931" spans="1:7" x14ac:dyDescent="0.35">
      <c r="A1931" s="6" t="s">
        <v>1726</v>
      </c>
      <c r="B1931" s="7">
        <v>38185</v>
      </c>
      <c r="C1931">
        <v>0</v>
      </c>
      <c r="D1931">
        <v>15518.18</v>
      </c>
      <c r="E1931" s="6" t="s">
        <v>7</v>
      </c>
      <c r="F1931" s="6" t="s">
        <v>8</v>
      </c>
      <c r="G1931" s="6" t="s">
        <v>154</v>
      </c>
    </row>
    <row r="1932" spans="1:7" x14ac:dyDescent="0.35">
      <c r="A1932" s="6" t="s">
        <v>1725</v>
      </c>
      <c r="B1932" s="7">
        <v>27961</v>
      </c>
      <c r="C1932">
        <v>2</v>
      </c>
      <c r="D1932">
        <v>15450.48</v>
      </c>
      <c r="E1932" s="6" t="s">
        <v>7</v>
      </c>
      <c r="F1932" s="6" t="s">
        <v>11</v>
      </c>
      <c r="G1932" s="6" t="s">
        <v>525</v>
      </c>
    </row>
    <row r="1933" spans="1:7" x14ac:dyDescent="0.35">
      <c r="A1933" s="6" t="s">
        <v>1724</v>
      </c>
      <c r="B1933" s="7">
        <v>33171</v>
      </c>
      <c r="C1933">
        <v>3</v>
      </c>
      <c r="D1933">
        <v>15440.2</v>
      </c>
      <c r="E1933" s="6" t="s">
        <v>7</v>
      </c>
      <c r="F1933" s="6" t="s">
        <v>11</v>
      </c>
      <c r="G1933" s="6" t="s">
        <v>16</v>
      </c>
    </row>
    <row r="1934" spans="1:7" x14ac:dyDescent="0.35">
      <c r="A1934" s="6" t="s">
        <v>1723</v>
      </c>
      <c r="B1934" s="7">
        <v>23624</v>
      </c>
      <c r="C1934">
        <v>0</v>
      </c>
      <c r="D1934">
        <v>15377.77</v>
      </c>
      <c r="E1934" s="6" t="s">
        <v>7</v>
      </c>
      <c r="F1934" s="6" t="s">
        <v>7</v>
      </c>
      <c r="G1934" s="6" t="s">
        <v>16</v>
      </c>
    </row>
    <row r="1935" spans="1:7" x14ac:dyDescent="0.35">
      <c r="A1935" s="6" t="s">
        <v>1722</v>
      </c>
      <c r="B1935" s="7">
        <v>22895</v>
      </c>
      <c r="C1935">
        <v>0</v>
      </c>
      <c r="D1935">
        <v>15368.22</v>
      </c>
      <c r="E1935" s="6" t="s">
        <v>7</v>
      </c>
      <c r="F1935" s="6" t="s">
        <v>7</v>
      </c>
      <c r="G1935" s="6" t="s">
        <v>32</v>
      </c>
    </row>
    <row r="1936" spans="1:7" x14ac:dyDescent="0.35">
      <c r="A1936" s="6" t="s">
        <v>2299</v>
      </c>
      <c r="B1936" s="7">
        <v>24651</v>
      </c>
      <c r="C1936">
        <v>0</v>
      </c>
      <c r="D1936">
        <v>42303.69</v>
      </c>
      <c r="E1936" s="6" t="s">
        <v>11</v>
      </c>
      <c r="F1936" s="6" t="s">
        <v>7</v>
      </c>
      <c r="G1936" s="6" t="s">
        <v>158</v>
      </c>
    </row>
    <row r="1937" spans="1:7" x14ac:dyDescent="0.35">
      <c r="A1937" s="6" t="s">
        <v>1721</v>
      </c>
      <c r="B1937" s="7">
        <v>25037</v>
      </c>
      <c r="C1937">
        <v>0</v>
      </c>
      <c r="D1937">
        <v>15363.77</v>
      </c>
      <c r="E1937" s="6" t="s">
        <v>7</v>
      </c>
      <c r="F1937" s="6" t="s">
        <v>11</v>
      </c>
      <c r="G1937" s="6" t="s">
        <v>525</v>
      </c>
    </row>
    <row r="1938" spans="1:7" x14ac:dyDescent="0.35">
      <c r="A1938" s="6" t="s">
        <v>1720</v>
      </c>
      <c r="B1938" s="7">
        <v>32494</v>
      </c>
      <c r="C1938">
        <v>3</v>
      </c>
      <c r="D1938">
        <v>15361.5</v>
      </c>
      <c r="E1938" s="6" t="s">
        <v>7</v>
      </c>
      <c r="F1938" s="6" t="s">
        <v>8</v>
      </c>
      <c r="G1938" s="6" t="s">
        <v>239</v>
      </c>
    </row>
    <row r="1939" spans="1:7" x14ac:dyDescent="0.35">
      <c r="A1939" s="6" t="s">
        <v>1719</v>
      </c>
      <c r="B1939" s="7">
        <v>37086</v>
      </c>
      <c r="C1939">
        <v>1</v>
      </c>
      <c r="D1939">
        <v>15359.1</v>
      </c>
      <c r="E1939" s="6" t="s">
        <v>7</v>
      </c>
      <c r="F1939" s="6" t="s">
        <v>8</v>
      </c>
      <c r="G1939" s="6" t="s">
        <v>237</v>
      </c>
    </row>
    <row r="1940" spans="1:7" x14ac:dyDescent="0.35">
      <c r="A1940" s="6" t="s">
        <v>1718</v>
      </c>
      <c r="B1940" s="7">
        <v>23358</v>
      </c>
      <c r="C1940">
        <v>0</v>
      </c>
      <c r="D1940">
        <v>15322.77</v>
      </c>
      <c r="E1940" s="6" t="s">
        <v>7</v>
      </c>
      <c r="F1940" s="6" t="s">
        <v>8</v>
      </c>
      <c r="G1940" s="6" t="s">
        <v>290</v>
      </c>
    </row>
    <row r="1941" spans="1:7" x14ac:dyDescent="0.35">
      <c r="A1941" s="6" t="s">
        <v>1717</v>
      </c>
      <c r="B1941" s="7">
        <v>25462</v>
      </c>
      <c r="C1941">
        <v>0</v>
      </c>
      <c r="D1941">
        <v>15260.52</v>
      </c>
      <c r="E1941" s="6" t="s">
        <v>7</v>
      </c>
      <c r="F1941" s="6" t="s">
        <v>7</v>
      </c>
      <c r="G1941" s="6" t="s">
        <v>239</v>
      </c>
    </row>
    <row r="1942" spans="1:7" x14ac:dyDescent="0.35">
      <c r="A1942" s="6" t="s">
        <v>1716</v>
      </c>
      <c r="B1942" s="7">
        <v>22122</v>
      </c>
      <c r="C1942">
        <v>2</v>
      </c>
      <c r="D1942">
        <v>15230.32</v>
      </c>
      <c r="E1942" s="6" t="s">
        <v>7</v>
      </c>
      <c r="F1942" s="6" t="s">
        <v>7</v>
      </c>
      <c r="G1942" s="6" t="s">
        <v>237</v>
      </c>
    </row>
    <row r="1943" spans="1:7" x14ac:dyDescent="0.35">
      <c r="A1943" s="6" t="s">
        <v>1715</v>
      </c>
      <c r="B1943" s="7">
        <v>28817</v>
      </c>
      <c r="C1943">
        <v>2</v>
      </c>
      <c r="D1943">
        <v>15207.92</v>
      </c>
      <c r="E1943" s="6" t="s">
        <v>7</v>
      </c>
      <c r="F1943" s="6" t="s">
        <v>11</v>
      </c>
      <c r="G1943" s="6" t="s">
        <v>16</v>
      </c>
    </row>
    <row r="1944" spans="1:7" x14ac:dyDescent="0.35">
      <c r="A1944" s="6" t="s">
        <v>1714</v>
      </c>
      <c r="B1944" s="7">
        <v>22814</v>
      </c>
      <c r="C1944">
        <v>0</v>
      </c>
      <c r="D1944">
        <v>15174.81</v>
      </c>
      <c r="E1944" s="6" t="s">
        <v>7</v>
      </c>
      <c r="F1944" s="6" t="s">
        <v>11</v>
      </c>
      <c r="G1944" s="6" t="s">
        <v>16</v>
      </c>
    </row>
    <row r="1945" spans="1:7" x14ac:dyDescent="0.35">
      <c r="A1945" s="6" t="s">
        <v>1713</v>
      </c>
      <c r="B1945" s="7">
        <v>21887</v>
      </c>
      <c r="C1945">
        <v>3</v>
      </c>
      <c r="D1945">
        <v>15170.07</v>
      </c>
      <c r="E1945" s="6" t="s">
        <v>7</v>
      </c>
      <c r="F1945" s="6" t="s">
        <v>8</v>
      </c>
      <c r="G1945" s="6" t="s">
        <v>32</v>
      </c>
    </row>
    <row r="1946" spans="1:7" x14ac:dyDescent="0.35">
      <c r="A1946" s="6" t="s">
        <v>1712</v>
      </c>
      <c r="B1946" s="7">
        <v>21705</v>
      </c>
      <c r="C1946">
        <v>3</v>
      </c>
      <c r="D1946">
        <v>15161.53</v>
      </c>
      <c r="E1946" s="6" t="s">
        <v>7</v>
      </c>
      <c r="F1946" s="6" t="s">
        <v>11</v>
      </c>
      <c r="G1946" s="6" t="s">
        <v>9</v>
      </c>
    </row>
    <row r="1947" spans="1:7" x14ac:dyDescent="0.35">
      <c r="A1947" s="6" t="s">
        <v>2298</v>
      </c>
      <c r="B1947" s="7">
        <v>27621</v>
      </c>
      <c r="C1947">
        <v>1</v>
      </c>
      <c r="D1947">
        <v>42211.14</v>
      </c>
      <c r="E1947" s="6" t="s">
        <v>11</v>
      </c>
      <c r="F1947" s="6" t="s">
        <v>8</v>
      </c>
      <c r="G1947" s="6" t="s">
        <v>9</v>
      </c>
    </row>
    <row r="1948" spans="1:7" x14ac:dyDescent="0.35">
      <c r="A1948" s="6" t="s">
        <v>1711</v>
      </c>
      <c r="B1948" s="7">
        <v>22944</v>
      </c>
      <c r="C1948">
        <v>0</v>
      </c>
      <c r="D1948">
        <v>15161.25</v>
      </c>
      <c r="E1948" s="6" t="s">
        <v>7</v>
      </c>
      <c r="F1948" s="6" t="s">
        <v>7</v>
      </c>
      <c r="G1948" s="6" t="s">
        <v>16</v>
      </c>
    </row>
    <row r="1949" spans="1:7" x14ac:dyDescent="0.35">
      <c r="A1949" s="6" t="s">
        <v>1710</v>
      </c>
      <c r="B1949" s="7">
        <v>26262</v>
      </c>
      <c r="C1949">
        <v>0</v>
      </c>
      <c r="D1949">
        <v>15150.44</v>
      </c>
      <c r="E1949" s="6" t="s">
        <v>7</v>
      </c>
      <c r="F1949" s="6" t="s">
        <v>11</v>
      </c>
      <c r="G1949" s="6" t="s">
        <v>239</v>
      </c>
    </row>
    <row r="1950" spans="1:7" x14ac:dyDescent="0.35">
      <c r="A1950" s="6" t="s">
        <v>1709</v>
      </c>
      <c r="B1950" s="7">
        <v>28738</v>
      </c>
      <c r="C1950">
        <v>2</v>
      </c>
      <c r="D1950">
        <v>15123.19</v>
      </c>
      <c r="E1950" s="6" t="s">
        <v>7</v>
      </c>
      <c r="F1950" s="6" t="s">
        <v>11</v>
      </c>
      <c r="G1950" s="6" t="s">
        <v>32</v>
      </c>
    </row>
    <row r="1951" spans="1:7" x14ac:dyDescent="0.35">
      <c r="A1951" s="6" t="s">
        <v>1708</v>
      </c>
      <c r="B1951" s="7">
        <v>26610</v>
      </c>
      <c r="C1951">
        <v>0</v>
      </c>
      <c r="D1951">
        <v>15103.69</v>
      </c>
      <c r="E1951" s="6" t="s">
        <v>7</v>
      </c>
      <c r="F1951" s="6" t="s">
        <v>11</v>
      </c>
      <c r="G1951" s="6" t="s">
        <v>16</v>
      </c>
    </row>
    <row r="1952" spans="1:7" x14ac:dyDescent="0.35">
      <c r="A1952" s="6" t="s">
        <v>1707</v>
      </c>
      <c r="B1952" s="7">
        <v>27693</v>
      </c>
      <c r="C1952">
        <v>1</v>
      </c>
      <c r="D1952">
        <v>15090.35</v>
      </c>
      <c r="E1952" s="6" t="s">
        <v>7</v>
      </c>
      <c r="F1952" s="6" t="s">
        <v>11</v>
      </c>
      <c r="G1952" s="6" t="s">
        <v>239</v>
      </c>
    </row>
    <row r="1953" spans="1:7" x14ac:dyDescent="0.35">
      <c r="A1953" s="6" t="s">
        <v>1706</v>
      </c>
      <c r="B1953" s="7">
        <v>25001</v>
      </c>
      <c r="C1953">
        <v>0</v>
      </c>
      <c r="D1953">
        <v>15052.68</v>
      </c>
      <c r="E1953" s="6" t="s">
        <v>7</v>
      </c>
      <c r="F1953" s="6" t="s">
        <v>7</v>
      </c>
      <c r="G1953" s="6" t="s">
        <v>622</v>
      </c>
    </row>
    <row r="1954" spans="1:7" x14ac:dyDescent="0.35">
      <c r="A1954" s="6" t="s">
        <v>1705</v>
      </c>
      <c r="B1954" s="7">
        <v>26160</v>
      </c>
      <c r="C1954">
        <v>0</v>
      </c>
      <c r="D1954">
        <v>15038.51</v>
      </c>
      <c r="E1954" s="6" t="s">
        <v>7</v>
      </c>
      <c r="F1954" s="6" t="s">
        <v>8</v>
      </c>
      <c r="G1954" s="6" t="s">
        <v>239</v>
      </c>
    </row>
    <row r="1955" spans="1:7" x14ac:dyDescent="0.35">
      <c r="A1955" s="6" t="s">
        <v>1704</v>
      </c>
      <c r="B1955" s="7">
        <v>25822</v>
      </c>
      <c r="C1955">
        <v>0</v>
      </c>
      <c r="D1955">
        <v>15026.3</v>
      </c>
      <c r="E1955" s="6" t="s">
        <v>7</v>
      </c>
      <c r="F1955" s="6" t="s">
        <v>8</v>
      </c>
      <c r="G1955" s="6" t="s">
        <v>32</v>
      </c>
    </row>
    <row r="1956" spans="1:7" x14ac:dyDescent="0.35">
      <c r="A1956" s="6" t="s">
        <v>1703</v>
      </c>
      <c r="B1956" s="7">
        <v>29184</v>
      </c>
      <c r="C1956">
        <v>2</v>
      </c>
      <c r="D1956">
        <v>15025.76</v>
      </c>
      <c r="E1956" s="6" t="s">
        <v>7</v>
      </c>
      <c r="F1956" s="6" t="s">
        <v>11</v>
      </c>
      <c r="G1956" s="6" t="s">
        <v>32</v>
      </c>
    </row>
    <row r="1957" spans="1:7" x14ac:dyDescent="0.35">
      <c r="A1957" s="6" t="s">
        <v>1702</v>
      </c>
      <c r="B1957" s="7">
        <v>22136</v>
      </c>
      <c r="C1957">
        <v>2</v>
      </c>
      <c r="D1957">
        <v>15019.76</v>
      </c>
      <c r="E1957" s="6" t="s">
        <v>7</v>
      </c>
      <c r="F1957" s="6" t="s">
        <v>7</v>
      </c>
      <c r="G1957" s="6" t="s">
        <v>16</v>
      </c>
    </row>
    <row r="1958" spans="1:7" x14ac:dyDescent="0.35">
      <c r="A1958" s="6" t="s">
        <v>2297</v>
      </c>
      <c r="B1958" s="7">
        <v>26925</v>
      </c>
      <c r="C1958">
        <v>0</v>
      </c>
      <c r="D1958">
        <v>42188.15</v>
      </c>
      <c r="E1958" s="6" t="s">
        <v>11</v>
      </c>
      <c r="F1958" s="6" t="s">
        <v>11</v>
      </c>
      <c r="G1958" s="6" t="s">
        <v>32</v>
      </c>
    </row>
    <row r="1959" spans="1:7" x14ac:dyDescent="0.35">
      <c r="A1959" s="6" t="s">
        <v>1701</v>
      </c>
      <c r="B1959" s="7">
        <v>34913</v>
      </c>
      <c r="C1959">
        <v>2</v>
      </c>
      <c r="D1959">
        <v>15006.58</v>
      </c>
      <c r="E1959" s="6" t="s">
        <v>7</v>
      </c>
      <c r="F1959" s="6" t="s">
        <v>7</v>
      </c>
      <c r="G1959" s="6" t="s">
        <v>237</v>
      </c>
    </row>
    <row r="1960" spans="1:7" x14ac:dyDescent="0.35">
      <c r="A1960" s="6" t="s">
        <v>1700</v>
      </c>
      <c r="B1960" s="7">
        <v>21395</v>
      </c>
      <c r="C1960">
        <v>2</v>
      </c>
      <c r="D1960">
        <v>14988.43</v>
      </c>
      <c r="E1960" s="6" t="s">
        <v>7</v>
      </c>
      <c r="F1960" s="6" t="s">
        <v>8</v>
      </c>
      <c r="G1960" s="6" t="s">
        <v>32</v>
      </c>
    </row>
    <row r="1961" spans="1:7" x14ac:dyDescent="0.35">
      <c r="A1961" s="6" t="s">
        <v>1699</v>
      </c>
      <c r="B1961" s="7">
        <v>22979</v>
      </c>
      <c r="C1961">
        <v>0</v>
      </c>
      <c r="D1961">
        <v>14945.34</v>
      </c>
      <c r="E1961" s="6" t="s">
        <v>7</v>
      </c>
      <c r="F1961" s="6" t="s">
        <v>11</v>
      </c>
      <c r="G1961" s="6" t="s">
        <v>290</v>
      </c>
    </row>
    <row r="1962" spans="1:7" x14ac:dyDescent="0.35">
      <c r="A1962" s="6" t="s">
        <v>1698</v>
      </c>
      <c r="B1962" s="7">
        <v>25150</v>
      </c>
      <c r="C1962">
        <v>0</v>
      </c>
      <c r="D1962">
        <v>14926.97</v>
      </c>
      <c r="E1962" s="6" t="s">
        <v>7</v>
      </c>
      <c r="F1962" s="6" t="s">
        <v>7</v>
      </c>
      <c r="G1962" s="6" t="s">
        <v>16</v>
      </c>
    </row>
    <row r="1963" spans="1:7" x14ac:dyDescent="0.35">
      <c r="A1963" s="6" t="s">
        <v>1697</v>
      </c>
      <c r="B1963" s="7">
        <v>29771</v>
      </c>
      <c r="C1963">
        <v>1</v>
      </c>
      <c r="D1963">
        <v>14908.27</v>
      </c>
      <c r="E1963" s="6" t="s">
        <v>7</v>
      </c>
      <c r="F1963" s="6" t="s">
        <v>11</v>
      </c>
      <c r="G1963" s="6" t="s">
        <v>32</v>
      </c>
    </row>
    <row r="1964" spans="1:7" x14ac:dyDescent="0.35">
      <c r="A1964" s="6" t="s">
        <v>1696</v>
      </c>
      <c r="B1964" s="7">
        <v>21475</v>
      </c>
      <c r="C1964">
        <v>0</v>
      </c>
      <c r="D1964">
        <v>14901.52</v>
      </c>
      <c r="E1964" s="6" t="s">
        <v>7</v>
      </c>
      <c r="F1964" s="6" t="s">
        <v>7</v>
      </c>
      <c r="G1964" s="6" t="s">
        <v>237</v>
      </c>
    </row>
    <row r="1965" spans="1:7" x14ac:dyDescent="0.35">
      <c r="A1965" s="6" t="s">
        <v>1695</v>
      </c>
      <c r="B1965" s="7">
        <v>25883</v>
      </c>
      <c r="C1965">
        <v>0</v>
      </c>
      <c r="D1965">
        <v>14847.63</v>
      </c>
      <c r="E1965" s="6" t="s">
        <v>7</v>
      </c>
      <c r="F1965" s="6" t="s">
        <v>7</v>
      </c>
      <c r="G1965" s="6" t="s">
        <v>239</v>
      </c>
    </row>
    <row r="1966" spans="1:7" x14ac:dyDescent="0.35">
      <c r="A1966" s="6" t="s">
        <v>1694</v>
      </c>
      <c r="B1966" s="7">
        <v>29742</v>
      </c>
      <c r="C1966">
        <v>1</v>
      </c>
      <c r="D1966">
        <v>14843.96</v>
      </c>
      <c r="E1966" s="6" t="s">
        <v>7</v>
      </c>
      <c r="F1966" s="6" t="s">
        <v>8</v>
      </c>
      <c r="G1966" s="6" t="s">
        <v>525</v>
      </c>
    </row>
    <row r="1967" spans="1:7" x14ac:dyDescent="0.35">
      <c r="A1967" s="6" t="s">
        <v>1693</v>
      </c>
      <c r="B1967" s="7">
        <v>29146</v>
      </c>
      <c r="C1967">
        <v>2</v>
      </c>
      <c r="D1967">
        <v>14839.34</v>
      </c>
      <c r="E1967" s="6" t="s">
        <v>7</v>
      </c>
      <c r="F1967" s="6" t="s">
        <v>8</v>
      </c>
      <c r="G1967" s="6" t="s">
        <v>525</v>
      </c>
    </row>
    <row r="1968" spans="1:7" x14ac:dyDescent="0.35">
      <c r="A1968" s="6" t="s">
        <v>1692</v>
      </c>
      <c r="B1968" s="7">
        <v>27738</v>
      </c>
      <c r="C1968">
        <v>1</v>
      </c>
      <c r="D1968">
        <v>14819</v>
      </c>
      <c r="E1968" s="6" t="s">
        <v>7</v>
      </c>
      <c r="F1968" s="6" t="s">
        <v>8</v>
      </c>
      <c r="G1968" s="6" t="s">
        <v>239</v>
      </c>
    </row>
    <row r="1969" spans="1:7" x14ac:dyDescent="0.35">
      <c r="A1969" s="6" t="s">
        <v>2296</v>
      </c>
      <c r="B1969" s="7">
        <v>29039</v>
      </c>
      <c r="C1969">
        <v>3</v>
      </c>
      <c r="D1969">
        <v>42124.52</v>
      </c>
      <c r="E1969" s="6" t="s">
        <v>11</v>
      </c>
      <c r="F1969" s="6" t="s">
        <v>11</v>
      </c>
      <c r="G1969" s="6" t="s">
        <v>9</v>
      </c>
    </row>
    <row r="1970" spans="1:7" x14ac:dyDescent="0.35">
      <c r="A1970" s="6" t="s">
        <v>1691</v>
      </c>
      <c r="B1970" s="7">
        <v>23950</v>
      </c>
      <c r="C1970">
        <v>0</v>
      </c>
      <c r="D1970">
        <v>14750.42</v>
      </c>
      <c r="E1970" s="6" t="s">
        <v>7</v>
      </c>
      <c r="F1970" s="6" t="s">
        <v>7</v>
      </c>
      <c r="G1970" s="6" t="s">
        <v>525</v>
      </c>
    </row>
    <row r="1971" spans="1:7" x14ac:dyDescent="0.35">
      <c r="A1971" s="6" t="s">
        <v>1690</v>
      </c>
      <c r="B1971" s="7">
        <v>22856</v>
      </c>
      <c r="C1971">
        <v>0</v>
      </c>
      <c r="D1971">
        <v>14738.43</v>
      </c>
      <c r="E1971" s="6" t="s">
        <v>7</v>
      </c>
      <c r="F1971" s="6" t="s">
        <v>8</v>
      </c>
      <c r="G1971" s="6" t="s">
        <v>290</v>
      </c>
    </row>
    <row r="1972" spans="1:7" x14ac:dyDescent="0.35">
      <c r="A1972" s="6" t="s">
        <v>1689</v>
      </c>
      <c r="B1972" s="7">
        <v>37523</v>
      </c>
      <c r="C1972">
        <v>0</v>
      </c>
      <c r="D1972">
        <v>14711.74</v>
      </c>
      <c r="E1972" s="6" t="s">
        <v>7</v>
      </c>
      <c r="F1972" s="6" t="s">
        <v>7</v>
      </c>
      <c r="G1972" s="6" t="s">
        <v>16</v>
      </c>
    </row>
    <row r="1973" spans="1:7" x14ac:dyDescent="0.35">
      <c r="A1973" s="6" t="s">
        <v>1688</v>
      </c>
      <c r="B1973" s="7">
        <v>30198</v>
      </c>
      <c r="C1973">
        <v>3</v>
      </c>
      <c r="D1973">
        <v>14696.77</v>
      </c>
      <c r="E1973" s="6" t="s">
        <v>7</v>
      </c>
      <c r="F1973" s="6" t="s">
        <v>7</v>
      </c>
      <c r="G1973" s="6" t="s">
        <v>32</v>
      </c>
    </row>
    <row r="1974" spans="1:7" x14ac:dyDescent="0.35">
      <c r="A1974" s="6" t="s">
        <v>1687</v>
      </c>
      <c r="B1974" s="7">
        <v>21389</v>
      </c>
      <c r="C1974">
        <v>0</v>
      </c>
      <c r="D1974">
        <v>14692.67</v>
      </c>
      <c r="E1974" s="6" t="s">
        <v>7</v>
      </c>
      <c r="F1974" s="6" t="s">
        <v>11</v>
      </c>
      <c r="G1974" s="6" t="s">
        <v>16</v>
      </c>
    </row>
    <row r="1975" spans="1:7" x14ac:dyDescent="0.35">
      <c r="A1975" s="6" t="s">
        <v>1686</v>
      </c>
      <c r="B1975" s="7">
        <v>25496</v>
      </c>
      <c r="C1975">
        <v>0</v>
      </c>
      <c r="D1975">
        <v>14665.75</v>
      </c>
      <c r="E1975" s="6" t="s">
        <v>7</v>
      </c>
      <c r="F1975" s="6" t="s">
        <v>11</v>
      </c>
      <c r="G1975" s="6" t="s">
        <v>16</v>
      </c>
    </row>
    <row r="1976" spans="1:7" x14ac:dyDescent="0.35">
      <c r="A1976" s="6" t="s">
        <v>1685</v>
      </c>
      <c r="B1976" s="7">
        <v>29903</v>
      </c>
      <c r="C1976">
        <v>1</v>
      </c>
      <c r="D1976">
        <v>14657.2</v>
      </c>
      <c r="E1976" s="6" t="s">
        <v>7</v>
      </c>
      <c r="F1976" s="6" t="s">
        <v>11</v>
      </c>
      <c r="G1976" s="6" t="s">
        <v>16</v>
      </c>
    </row>
    <row r="1977" spans="1:7" x14ac:dyDescent="0.35">
      <c r="A1977" s="6" t="s">
        <v>1684</v>
      </c>
      <c r="B1977" s="7">
        <v>24716</v>
      </c>
      <c r="C1977">
        <v>0</v>
      </c>
      <c r="D1977">
        <v>14640.35</v>
      </c>
      <c r="E1977" s="6" t="s">
        <v>7</v>
      </c>
      <c r="F1977" s="6" t="s">
        <v>8</v>
      </c>
      <c r="G1977" s="6" t="s">
        <v>525</v>
      </c>
    </row>
    <row r="1978" spans="1:7" x14ac:dyDescent="0.35">
      <c r="A1978" s="6" t="s">
        <v>1683</v>
      </c>
      <c r="B1978" s="7">
        <v>33471</v>
      </c>
      <c r="C1978">
        <v>3</v>
      </c>
      <c r="D1978">
        <v>14630.52</v>
      </c>
      <c r="E1978" s="6" t="s">
        <v>7</v>
      </c>
      <c r="F1978" s="6" t="s">
        <v>8</v>
      </c>
      <c r="G1978" s="6" t="s">
        <v>32</v>
      </c>
    </row>
    <row r="1979" spans="1:7" x14ac:dyDescent="0.35">
      <c r="A1979" s="6" t="s">
        <v>1682</v>
      </c>
      <c r="B1979" s="7">
        <v>24054</v>
      </c>
      <c r="C1979">
        <v>0</v>
      </c>
      <c r="D1979">
        <v>14612.33</v>
      </c>
      <c r="E1979" s="6" t="s">
        <v>7</v>
      </c>
      <c r="F1979" s="6" t="s">
        <v>8</v>
      </c>
      <c r="G1979" s="6" t="s">
        <v>290</v>
      </c>
    </row>
    <row r="1980" spans="1:7" x14ac:dyDescent="0.35">
      <c r="A1980" s="6" t="s">
        <v>2295</v>
      </c>
      <c r="B1980" s="7">
        <v>35773</v>
      </c>
      <c r="C1980">
        <v>2</v>
      </c>
      <c r="D1980">
        <v>42112.24</v>
      </c>
      <c r="E1980" s="6" t="s">
        <v>11</v>
      </c>
      <c r="F1980" s="6" t="s">
        <v>8</v>
      </c>
      <c r="G1980" s="6" t="s">
        <v>9</v>
      </c>
    </row>
    <row r="1981" spans="1:7" x14ac:dyDescent="0.35">
      <c r="A1981" s="6" t="s">
        <v>1681</v>
      </c>
      <c r="B1981" s="7">
        <v>24671</v>
      </c>
      <c r="C1981">
        <v>0</v>
      </c>
      <c r="D1981">
        <v>14600.62</v>
      </c>
      <c r="E1981" s="6" t="s">
        <v>7</v>
      </c>
      <c r="F1981" s="6" t="s">
        <v>8</v>
      </c>
      <c r="G1981" s="6" t="s">
        <v>622</v>
      </c>
    </row>
    <row r="1982" spans="1:7" x14ac:dyDescent="0.35">
      <c r="A1982" s="6" t="s">
        <v>1680</v>
      </c>
      <c r="B1982" s="7">
        <v>23298</v>
      </c>
      <c r="C1982">
        <v>3</v>
      </c>
      <c r="D1982">
        <v>14590.63</v>
      </c>
      <c r="E1982" s="6" t="s">
        <v>7</v>
      </c>
      <c r="F1982" s="6" t="s">
        <v>11</v>
      </c>
      <c r="G1982" s="6" t="s">
        <v>237</v>
      </c>
    </row>
    <row r="1983" spans="1:7" x14ac:dyDescent="0.35">
      <c r="A1983" s="6" t="s">
        <v>1679</v>
      </c>
      <c r="B1983" s="7">
        <v>22983</v>
      </c>
      <c r="C1983">
        <v>0</v>
      </c>
      <c r="D1983">
        <v>14574.64</v>
      </c>
      <c r="E1983" s="6" t="s">
        <v>7</v>
      </c>
      <c r="F1983" s="6" t="s">
        <v>11</v>
      </c>
      <c r="G1983" s="6" t="s">
        <v>190</v>
      </c>
    </row>
    <row r="1984" spans="1:7" x14ac:dyDescent="0.35">
      <c r="A1984" s="6" t="s">
        <v>1678</v>
      </c>
      <c r="B1984" s="7">
        <v>36050</v>
      </c>
      <c r="C1984">
        <v>0</v>
      </c>
      <c r="D1984">
        <v>14571.89</v>
      </c>
      <c r="E1984" s="6" t="s">
        <v>7</v>
      </c>
      <c r="F1984" s="6" t="s">
        <v>11</v>
      </c>
      <c r="G1984" s="6" t="s">
        <v>237</v>
      </c>
    </row>
    <row r="1985" spans="1:7" x14ac:dyDescent="0.35">
      <c r="A1985" s="6" t="s">
        <v>1677</v>
      </c>
      <c r="B1985" s="7">
        <v>32703</v>
      </c>
      <c r="C1985">
        <v>3</v>
      </c>
      <c r="D1985">
        <v>14547.26</v>
      </c>
      <c r="E1985" s="6" t="s">
        <v>7</v>
      </c>
      <c r="F1985" s="6" t="s">
        <v>8</v>
      </c>
      <c r="G1985" s="6" t="s">
        <v>32</v>
      </c>
    </row>
    <row r="1986" spans="1:7" x14ac:dyDescent="0.35">
      <c r="A1986" s="6" t="s">
        <v>1676</v>
      </c>
      <c r="B1986" s="7">
        <v>32711</v>
      </c>
      <c r="C1986">
        <v>3</v>
      </c>
      <c r="D1986">
        <v>14507.46</v>
      </c>
      <c r="E1986" s="6" t="s">
        <v>7</v>
      </c>
      <c r="F1986" s="6" t="s">
        <v>8</v>
      </c>
      <c r="G1986" s="6" t="s">
        <v>16</v>
      </c>
    </row>
    <row r="1987" spans="1:7" x14ac:dyDescent="0.35">
      <c r="A1987" s="6" t="s">
        <v>1675</v>
      </c>
      <c r="B1987" s="7">
        <v>29148</v>
      </c>
      <c r="C1987">
        <v>5</v>
      </c>
      <c r="D1987">
        <v>14478.33</v>
      </c>
      <c r="E1987" s="6" t="s">
        <v>7</v>
      </c>
      <c r="F1987" s="6" t="s">
        <v>7</v>
      </c>
      <c r="G1987" s="6" t="s">
        <v>9</v>
      </c>
    </row>
    <row r="1988" spans="1:7" x14ac:dyDescent="0.35">
      <c r="A1988" s="6" t="s">
        <v>1674</v>
      </c>
      <c r="B1988" s="7">
        <v>21874</v>
      </c>
      <c r="C1988">
        <v>1</v>
      </c>
      <c r="D1988">
        <v>14474.68</v>
      </c>
      <c r="E1988" s="6" t="s">
        <v>7</v>
      </c>
      <c r="F1988" s="6" t="s">
        <v>7</v>
      </c>
      <c r="G1988" s="6" t="s">
        <v>9</v>
      </c>
    </row>
    <row r="1989" spans="1:7" x14ac:dyDescent="0.35">
      <c r="A1989" s="6" t="s">
        <v>1673</v>
      </c>
      <c r="B1989" s="7">
        <v>28091</v>
      </c>
      <c r="C1989">
        <v>2</v>
      </c>
      <c r="D1989">
        <v>14470.01</v>
      </c>
      <c r="E1989" s="6" t="s">
        <v>7</v>
      </c>
      <c r="F1989" s="6" t="s">
        <v>8</v>
      </c>
      <c r="G1989" s="6" t="s">
        <v>16</v>
      </c>
    </row>
    <row r="1990" spans="1:7" x14ac:dyDescent="0.35">
      <c r="A1990" s="6" t="s">
        <v>1672</v>
      </c>
      <c r="B1990" s="7">
        <v>35379</v>
      </c>
      <c r="C1990">
        <v>2</v>
      </c>
      <c r="D1990">
        <v>14455.64</v>
      </c>
      <c r="E1990" s="6" t="s">
        <v>7</v>
      </c>
      <c r="F1990" s="6" t="s">
        <v>8</v>
      </c>
      <c r="G1990" s="6" t="s">
        <v>237</v>
      </c>
    </row>
    <row r="1991" spans="1:7" x14ac:dyDescent="0.35">
      <c r="A1991" s="6" t="s">
        <v>2294</v>
      </c>
      <c r="B1991" s="7">
        <v>28092</v>
      </c>
      <c r="C1991">
        <v>0</v>
      </c>
      <c r="D1991">
        <v>42111.66</v>
      </c>
      <c r="E1991" s="6" t="s">
        <v>11</v>
      </c>
      <c r="F1991" s="6" t="s">
        <v>11</v>
      </c>
      <c r="G1991" s="6" t="s">
        <v>237</v>
      </c>
    </row>
    <row r="1992" spans="1:7" x14ac:dyDescent="0.35">
      <c r="A1992" s="6" t="s">
        <v>1671</v>
      </c>
      <c r="B1992" s="7">
        <v>21765</v>
      </c>
      <c r="C1992">
        <v>0</v>
      </c>
      <c r="D1992">
        <v>14451.84</v>
      </c>
      <c r="E1992" s="6" t="s">
        <v>7</v>
      </c>
      <c r="F1992" s="6" t="s">
        <v>8</v>
      </c>
      <c r="G1992" s="6" t="s">
        <v>239</v>
      </c>
    </row>
    <row r="1993" spans="1:7" x14ac:dyDescent="0.35">
      <c r="A1993" s="6" t="s">
        <v>1670</v>
      </c>
      <c r="B1993" s="7">
        <v>21730</v>
      </c>
      <c r="C1993">
        <v>0</v>
      </c>
      <c r="D1993">
        <v>14449.85</v>
      </c>
      <c r="E1993" s="6" t="s">
        <v>7</v>
      </c>
      <c r="F1993" s="6" t="s">
        <v>11</v>
      </c>
      <c r="G1993" s="6" t="s">
        <v>237</v>
      </c>
    </row>
    <row r="1994" spans="1:7" x14ac:dyDescent="0.35">
      <c r="A1994" s="6" t="s">
        <v>1669</v>
      </c>
      <c r="B1994" s="7">
        <v>24780</v>
      </c>
      <c r="C1994">
        <v>0</v>
      </c>
      <c r="D1994">
        <v>14427.63</v>
      </c>
      <c r="E1994" s="6" t="s">
        <v>7</v>
      </c>
      <c r="F1994" s="6" t="s">
        <v>7</v>
      </c>
      <c r="G1994" s="6" t="s">
        <v>290</v>
      </c>
    </row>
    <row r="1995" spans="1:7" x14ac:dyDescent="0.35">
      <c r="A1995" s="6" t="s">
        <v>1668</v>
      </c>
      <c r="B1995" s="7">
        <v>24699</v>
      </c>
      <c r="C1995">
        <v>0</v>
      </c>
      <c r="D1995">
        <v>14426.66</v>
      </c>
      <c r="E1995" s="6" t="s">
        <v>7</v>
      </c>
      <c r="F1995" s="6" t="s">
        <v>7</v>
      </c>
      <c r="G1995" s="6" t="s">
        <v>525</v>
      </c>
    </row>
    <row r="1996" spans="1:7" x14ac:dyDescent="0.35">
      <c r="A1996" s="6" t="s">
        <v>1667</v>
      </c>
      <c r="B1996" s="7">
        <v>36382</v>
      </c>
      <c r="C1996">
        <v>2</v>
      </c>
      <c r="D1996">
        <v>14426.07</v>
      </c>
      <c r="E1996" s="6" t="s">
        <v>7</v>
      </c>
      <c r="F1996" s="6" t="s">
        <v>11</v>
      </c>
      <c r="G1996" s="6" t="s">
        <v>16</v>
      </c>
    </row>
    <row r="1997" spans="1:7" x14ac:dyDescent="0.35">
      <c r="A1997" s="6" t="s">
        <v>1666</v>
      </c>
      <c r="B1997" s="7">
        <v>21448</v>
      </c>
      <c r="C1997">
        <v>1</v>
      </c>
      <c r="D1997">
        <v>14418.28</v>
      </c>
      <c r="E1997" s="6" t="s">
        <v>7</v>
      </c>
      <c r="F1997" s="6" t="s">
        <v>8</v>
      </c>
      <c r="G1997" s="6" t="s">
        <v>9</v>
      </c>
    </row>
    <row r="1998" spans="1:7" x14ac:dyDescent="0.35">
      <c r="A1998" s="6" t="s">
        <v>1665</v>
      </c>
      <c r="B1998" s="7">
        <v>21395</v>
      </c>
      <c r="C1998">
        <v>0</v>
      </c>
      <c r="D1998">
        <v>14410.93</v>
      </c>
      <c r="E1998" s="6" t="s">
        <v>7</v>
      </c>
      <c r="F1998" s="6" t="s">
        <v>7</v>
      </c>
      <c r="G1998" s="6" t="s">
        <v>158</v>
      </c>
    </row>
    <row r="1999" spans="1:7" x14ac:dyDescent="0.35">
      <c r="A1999" s="6" t="s">
        <v>1664</v>
      </c>
      <c r="B1999" s="7">
        <v>21442</v>
      </c>
      <c r="C1999">
        <v>0</v>
      </c>
      <c r="D1999">
        <v>14394.56</v>
      </c>
      <c r="E1999" s="6" t="s">
        <v>7</v>
      </c>
      <c r="F1999" s="6" t="s">
        <v>11</v>
      </c>
      <c r="G1999" s="6" t="s">
        <v>160</v>
      </c>
    </row>
    <row r="2000" spans="1:7" x14ac:dyDescent="0.35">
      <c r="A2000" s="6" t="s">
        <v>1663</v>
      </c>
      <c r="B2000" s="7">
        <v>23915</v>
      </c>
      <c r="C2000">
        <v>4</v>
      </c>
      <c r="D2000">
        <v>14394.4</v>
      </c>
      <c r="E2000" s="6" t="s">
        <v>7</v>
      </c>
      <c r="F2000" s="6" t="s">
        <v>8</v>
      </c>
      <c r="G2000" s="6" t="s">
        <v>237</v>
      </c>
    </row>
    <row r="2001" spans="1:7" x14ac:dyDescent="0.35">
      <c r="A2001" s="6" t="s">
        <v>1662</v>
      </c>
      <c r="B2001" s="7">
        <v>23208</v>
      </c>
      <c r="C2001">
        <v>3</v>
      </c>
      <c r="D2001">
        <v>14382.71</v>
      </c>
      <c r="E2001" s="6" t="s">
        <v>7</v>
      </c>
      <c r="F2001" s="6" t="s">
        <v>7</v>
      </c>
      <c r="G2001" s="6" t="s">
        <v>16</v>
      </c>
    </row>
    <row r="2002" spans="1:7" x14ac:dyDescent="0.35">
      <c r="A2002" s="6" t="s">
        <v>2356</v>
      </c>
      <c r="B2002" s="7">
        <v>34634</v>
      </c>
      <c r="C2002">
        <v>1</v>
      </c>
      <c r="D2002">
        <v>51194.559999999998</v>
      </c>
      <c r="E2002" s="6" t="s">
        <v>11</v>
      </c>
      <c r="F2002" s="6" t="s">
        <v>8</v>
      </c>
      <c r="G2002" s="6" t="s">
        <v>32</v>
      </c>
    </row>
    <row r="2003" spans="1:7" x14ac:dyDescent="0.35">
      <c r="A2003" s="6" t="s">
        <v>2293</v>
      </c>
      <c r="B2003" s="7">
        <v>25191</v>
      </c>
      <c r="C2003">
        <v>1</v>
      </c>
      <c r="D2003">
        <v>41999.519999999997</v>
      </c>
      <c r="E2003" s="6" t="s">
        <v>11</v>
      </c>
      <c r="F2003" s="6" t="s">
        <v>8</v>
      </c>
      <c r="G2003" s="6" t="s">
        <v>9</v>
      </c>
    </row>
    <row r="2004" spans="1:7" x14ac:dyDescent="0.35">
      <c r="A2004" s="6" t="s">
        <v>1661</v>
      </c>
      <c r="B2004" s="7">
        <v>32463</v>
      </c>
      <c r="C2004">
        <v>1</v>
      </c>
      <c r="D2004">
        <v>14358.36</v>
      </c>
      <c r="E2004" s="6" t="s">
        <v>7</v>
      </c>
      <c r="F2004" s="6" t="s">
        <v>7</v>
      </c>
      <c r="G2004" s="6" t="s">
        <v>32</v>
      </c>
    </row>
    <row r="2005" spans="1:7" x14ac:dyDescent="0.35">
      <c r="A2005" s="6" t="s">
        <v>1660</v>
      </c>
      <c r="B2005" s="7">
        <v>24755</v>
      </c>
      <c r="C2005">
        <v>0</v>
      </c>
      <c r="D2005">
        <v>14355.43</v>
      </c>
      <c r="E2005" s="6" t="s">
        <v>7</v>
      </c>
      <c r="F2005" s="6" t="s">
        <v>11</v>
      </c>
      <c r="G2005" s="6" t="s">
        <v>525</v>
      </c>
    </row>
    <row r="2006" spans="1:7" x14ac:dyDescent="0.35">
      <c r="A2006" s="6" t="s">
        <v>1659</v>
      </c>
      <c r="B2006" s="7">
        <v>21908</v>
      </c>
      <c r="C2006">
        <v>1</v>
      </c>
      <c r="D2006">
        <v>14349.85</v>
      </c>
      <c r="E2006" s="6" t="s">
        <v>7</v>
      </c>
      <c r="F2006" s="6" t="s">
        <v>7</v>
      </c>
      <c r="G2006" s="6" t="s">
        <v>16</v>
      </c>
    </row>
    <row r="2007" spans="1:7" x14ac:dyDescent="0.35">
      <c r="A2007" s="6" t="s">
        <v>1658</v>
      </c>
      <c r="B2007" s="7">
        <v>25472</v>
      </c>
      <c r="C2007">
        <v>0</v>
      </c>
      <c r="D2007">
        <v>14337.91</v>
      </c>
      <c r="E2007" s="6" t="s">
        <v>7</v>
      </c>
      <c r="F2007" s="6" t="s">
        <v>8</v>
      </c>
      <c r="G2007" s="6" t="s">
        <v>622</v>
      </c>
    </row>
    <row r="2008" spans="1:7" x14ac:dyDescent="0.35">
      <c r="A2008" s="6" t="s">
        <v>1657</v>
      </c>
      <c r="B2008" s="7">
        <v>21376</v>
      </c>
      <c r="C2008">
        <v>0</v>
      </c>
      <c r="D2008">
        <v>14319.03</v>
      </c>
      <c r="E2008" s="6" t="s">
        <v>7</v>
      </c>
      <c r="F2008" s="6" t="s">
        <v>7</v>
      </c>
      <c r="G2008" s="6" t="s">
        <v>32</v>
      </c>
    </row>
    <row r="2009" spans="1:7" x14ac:dyDescent="0.35">
      <c r="A2009" s="6" t="s">
        <v>1656</v>
      </c>
      <c r="B2009" s="7">
        <v>21473</v>
      </c>
      <c r="C2009">
        <v>0</v>
      </c>
      <c r="D2009">
        <v>14313.85</v>
      </c>
      <c r="E2009" s="6" t="s">
        <v>7</v>
      </c>
      <c r="F2009" s="6" t="s">
        <v>8</v>
      </c>
      <c r="G2009" s="6" t="s">
        <v>9</v>
      </c>
    </row>
    <row r="2010" spans="1:7" x14ac:dyDescent="0.35">
      <c r="A2010" s="6" t="s">
        <v>1655</v>
      </c>
      <c r="B2010" s="7">
        <v>25187</v>
      </c>
      <c r="C2010">
        <v>0</v>
      </c>
      <c r="D2010">
        <v>14285.9</v>
      </c>
      <c r="E2010" s="6" t="s">
        <v>7</v>
      </c>
      <c r="F2010" s="6" t="s">
        <v>8</v>
      </c>
      <c r="G2010" s="6" t="s">
        <v>16</v>
      </c>
    </row>
    <row r="2011" spans="1:7" x14ac:dyDescent="0.35">
      <c r="A2011" s="6" t="s">
        <v>1654</v>
      </c>
      <c r="B2011" s="7">
        <v>38236</v>
      </c>
      <c r="C2011">
        <v>0</v>
      </c>
      <c r="D2011">
        <v>14283.46</v>
      </c>
      <c r="E2011" s="6" t="s">
        <v>7</v>
      </c>
      <c r="F2011" s="6" t="s">
        <v>7</v>
      </c>
      <c r="G2011" s="6" t="s">
        <v>237</v>
      </c>
    </row>
    <row r="2012" spans="1:7" x14ac:dyDescent="0.35">
      <c r="A2012" s="6" t="s">
        <v>1653</v>
      </c>
      <c r="B2012" s="7">
        <v>26493</v>
      </c>
      <c r="C2012">
        <v>0</v>
      </c>
      <c r="D2012">
        <v>14258.33</v>
      </c>
      <c r="E2012" s="6" t="s">
        <v>7</v>
      </c>
      <c r="F2012" s="6" t="s">
        <v>7</v>
      </c>
      <c r="G2012" s="6" t="s">
        <v>525</v>
      </c>
    </row>
    <row r="2013" spans="1:7" x14ac:dyDescent="0.35">
      <c r="A2013" s="6" t="s">
        <v>1652</v>
      </c>
      <c r="B2013" s="7">
        <v>27389</v>
      </c>
      <c r="C2013">
        <v>0</v>
      </c>
      <c r="D2013">
        <v>14256.79</v>
      </c>
      <c r="E2013" s="6" t="s">
        <v>7</v>
      </c>
      <c r="F2013" s="6" t="s">
        <v>7</v>
      </c>
      <c r="G2013" s="6" t="s">
        <v>525</v>
      </c>
    </row>
    <row r="2014" spans="1:7" x14ac:dyDescent="0.35">
      <c r="A2014" s="6" t="s">
        <v>2292</v>
      </c>
      <c r="B2014" s="7">
        <v>30996</v>
      </c>
      <c r="C2014">
        <v>3</v>
      </c>
      <c r="D2014">
        <v>41949.24</v>
      </c>
      <c r="E2014" s="6" t="s">
        <v>11</v>
      </c>
      <c r="F2014" s="6" t="s">
        <v>11</v>
      </c>
      <c r="G2014" s="6" t="s">
        <v>9</v>
      </c>
    </row>
    <row r="2015" spans="1:7" x14ac:dyDescent="0.35">
      <c r="A2015" s="6" t="s">
        <v>1651</v>
      </c>
      <c r="B2015" s="7">
        <v>21862</v>
      </c>
      <c r="C2015">
        <v>0</v>
      </c>
      <c r="D2015">
        <v>14256.19</v>
      </c>
      <c r="E2015" s="6" t="s">
        <v>7</v>
      </c>
      <c r="F2015" s="6" t="s">
        <v>8</v>
      </c>
      <c r="G2015" s="6" t="s">
        <v>16</v>
      </c>
    </row>
    <row r="2016" spans="1:7" x14ac:dyDescent="0.35">
      <c r="A2016" s="6" t="s">
        <v>1650</v>
      </c>
      <c r="B2016" s="7">
        <v>21833</v>
      </c>
      <c r="C2016">
        <v>0</v>
      </c>
      <c r="D2016">
        <v>14254.61</v>
      </c>
      <c r="E2016" s="6" t="s">
        <v>7</v>
      </c>
      <c r="F2016" s="6" t="s">
        <v>11</v>
      </c>
      <c r="G2016" s="6" t="s">
        <v>16</v>
      </c>
    </row>
    <row r="2017" spans="1:7" x14ac:dyDescent="0.35">
      <c r="A2017" s="6" t="s">
        <v>1649</v>
      </c>
      <c r="B2017" s="7">
        <v>22549</v>
      </c>
      <c r="C2017">
        <v>2</v>
      </c>
      <c r="D2017">
        <v>14235.07</v>
      </c>
      <c r="E2017" s="6" t="s">
        <v>7</v>
      </c>
      <c r="F2017" s="6" t="s">
        <v>11</v>
      </c>
      <c r="G2017" s="6" t="s">
        <v>32</v>
      </c>
    </row>
    <row r="2018" spans="1:7" x14ac:dyDescent="0.35">
      <c r="A2018" s="6" t="s">
        <v>1648</v>
      </c>
      <c r="B2018" s="7">
        <v>21449</v>
      </c>
      <c r="C2018">
        <v>0</v>
      </c>
      <c r="D2018">
        <v>14210.54</v>
      </c>
      <c r="E2018" s="6" t="s">
        <v>7</v>
      </c>
      <c r="F2018" s="6" t="s">
        <v>7</v>
      </c>
      <c r="G2018" s="6" t="s">
        <v>16</v>
      </c>
    </row>
    <row r="2019" spans="1:7" x14ac:dyDescent="0.35">
      <c r="A2019" s="6" t="s">
        <v>1647</v>
      </c>
      <c r="B2019" s="7">
        <v>30637</v>
      </c>
      <c r="C2019">
        <v>3</v>
      </c>
      <c r="D2019">
        <v>14209.4</v>
      </c>
      <c r="E2019" s="6" t="s">
        <v>7</v>
      </c>
      <c r="F2019" s="6" t="s">
        <v>11</v>
      </c>
      <c r="G2019" s="6" t="s">
        <v>525</v>
      </c>
    </row>
    <row r="2020" spans="1:7" x14ac:dyDescent="0.35">
      <c r="A2020" s="6" t="s">
        <v>1646</v>
      </c>
      <c r="B2020" s="7">
        <v>25197</v>
      </c>
      <c r="C2020">
        <v>0</v>
      </c>
      <c r="D2020">
        <v>14193.55</v>
      </c>
      <c r="E2020" s="6" t="s">
        <v>7</v>
      </c>
      <c r="F2020" s="6" t="s">
        <v>11</v>
      </c>
      <c r="G2020" s="6" t="s">
        <v>525</v>
      </c>
    </row>
    <row r="2021" spans="1:7" x14ac:dyDescent="0.35">
      <c r="A2021" s="6" t="s">
        <v>1645</v>
      </c>
      <c r="B2021" s="7">
        <v>30870</v>
      </c>
      <c r="C2021">
        <v>3</v>
      </c>
      <c r="D2021">
        <v>14152.46</v>
      </c>
      <c r="E2021" s="6" t="s">
        <v>7</v>
      </c>
      <c r="F2021" s="6" t="s">
        <v>11</v>
      </c>
      <c r="G2021" s="6" t="s">
        <v>16</v>
      </c>
    </row>
    <row r="2022" spans="1:7" x14ac:dyDescent="0.35">
      <c r="A2022" s="6" t="s">
        <v>1644</v>
      </c>
      <c r="B2022" s="7">
        <v>38174</v>
      </c>
      <c r="C2022">
        <v>0</v>
      </c>
      <c r="D2022">
        <v>14133.04</v>
      </c>
      <c r="E2022" s="6" t="s">
        <v>7</v>
      </c>
      <c r="F2022" s="6" t="s">
        <v>8</v>
      </c>
      <c r="G2022" s="6" t="s">
        <v>9</v>
      </c>
    </row>
    <row r="2023" spans="1:7" x14ac:dyDescent="0.35">
      <c r="A2023" s="6" t="s">
        <v>1643</v>
      </c>
      <c r="B2023" s="7">
        <v>22446</v>
      </c>
      <c r="C2023">
        <v>2</v>
      </c>
      <c r="D2023">
        <v>14119.62</v>
      </c>
      <c r="E2023" s="6" t="s">
        <v>7</v>
      </c>
      <c r="F2023" s="6" t="s">
        <v>11</v>
      </c>
      <c r="G2023" s="6" t="s">
        <v>16</v>
      </c>
    </row>
    <row r="2024" spans="1:7" x14ac:dyDescent="0.35">
      <c r="A2024" s="6" t="s">
        <v>1642</v>
      </c>
      <c r="B2024" s="7">
        <v>28029</v>
      </c>
      <c r="C2024">
        <v>2</v>
      </c>
      <c r="D2024">
        <v>14098.07</v>
      </c>
      <c r="E2024" s="6" t="s">
        <v>7</v>
      </c>
      <c r="F2024" s="6" t="s">
        <v>8</v>
      </c>
      <c r="G2024" s="6" t="s">
        <v>239</v>
      </c>
    </row>
    <row r="2025" spans="1:7" x14ac:dyDescent="0.35">
      <c r="A2025" s="6" t="s">
        <v>2291</v>
      </c>
      <c r="B2025" s="7">
        <v>26458</v>
      </c>
      <c r="C2025">
        <v>1</v>
      </c>
      <c r="D2025">
        <v>41919.1</v>
      </c>
      <c r="E2025" s="6" t="s">
        <v>11</v>
      </c>
      <c r="F2025" s="6" t="s">
        <v>11</v>
      </c>
      <c r="G2025" s="6" t="s">
        <v>158</v>
      </c>
    </row>
    <row r="2026" spans="1:7" x14ac:dyDescent="0.35">
      <c r="A2026" s="6" t="s">
        <v>1641</v>
      </c>
      <c r="B2026" s="7">
        <v>33493</v>
      </c>
      <c r="C2026">
        <v>3</v>
      </c>
      <c r="D2026">
        <v>14081.93</v>
      </c>
      <c r="E2026" s="6" t="s">
        <v>7</v>
      </c>
      <c r="F2026" s="6" t="s">
        <v>8</v>
      </c>
      <c r="G2026" s="6" t="s">
        <v>16</v>
      </c>
    </row>
    <row r="2027" spans="1:7" x14ac:dyDescent="0.35">
      <c r="A2027" s="6" t="s">
        <v>1640</v>
      </c>
      <c r="B2027" s="7">
        <v>22228</v>
      </c>
      <c r="C2027">
        <v>0</v>
      </c>
      <c r="D2027">
        <v>14043.48</v>
      </c>
      <c r="E2027" s="6" t="s">
        <v>7</v>
      </c>
      <c r="F2027" s="6" t="s">
        <v>8</v>
      </c>
      <c r="G2027" s="6" t="s">
        <v>237</v>
      </c>
    </row>
    <row r="2028" spans="1:7" x14ac:dyDescent="0.35">
      <c r="A2028" s="6" t="s">
        <v>1639</v>
      </c>
      <c r="B2028" s="7">
        <v>23200</v>
      </c>
      <c r="C2028">
        <v>3</v>
      </c>
      <c r="D2028">
        <v>14007.22</v>
      </c>
      <c r="E2028" s="6" t="s">
        <v>7</v>
      </c>
      <c r="F2028" s="6" t="s">
        <v>8</v>
      </c>
      <c r="G2028" s="6" t="s">
        <v>32</v>
      </c>
    </row>
    <row r="2029" spans="1:7" x14ac:dyDescent="0.35">
      <c r="A2029" s="6" t="s">
        <v>1638</v>
      </c>
      <c r="B2029" s="7">
        <v>23198</v>
      </c>
      <c r="C2029">
        <v>3</v>
      </c>
      <c r="D2029">
        <v>14001.29</v>
      </c>
      <c r="E2029" s="6" t="s">
        <v>7</v>
      </c>
      <c r="F2029" s="6" t="s">
        <v>7</v>
      </c>
      <c r="G2029" s="6" t="s">
        <v>9</v>
      </c>
    </row>
    <row r="2030" spans="1:7" x14ac:dyDescent="0.35">
      <c r="A2030" s="6" t="s">
        <v>1637</v>
      </c>
      <c r="B2030" s="7">
        <v>23368</v>
      </c>
      <c r="C2030">
        <v>3</v>
      </c>
      <c r="D2030">
        <v>14001.13</v>
      </c>
      <c r="E2030" s="6" t="s">
        <v>7</v>
      </c>
      <c r="F2030" s="6" t="s">
        <v>11</v>
      </c>
      <c r="G2030" s="6" t="s">
        <v>9</v>
      </c>
    </row>
    <row r="2031" spans="1:7" x14ac:dyDescent="0.35">
      <c r="A2031" s="6" t="s">
        <v>1636</v>
      </c>
      <c r="B2031" s="7">
        <v>21799</v>
      </c>
      <c r="C2031">
        <v>0</v>
      </c>
      <c r="D2031">
        <v>13981.85</v>
      </c>
      <c r="E2031" s="6" t="s">
        <v>7</v>
      </c>
      <c r="F2031" s="6" t="s">
        <v>11</v>
      </c>
      <c r="G2031" s="6" t="s">
        <v>158</v>
      </c>
    </row>
    <row r="2032" spans="1:7" x14ac:dyDescent="0.35">
      <c r="A2032" s="6" t="s">
        <v>1635</v>
      </c>
      <c r="B2032" s="7">
        <v>33067</v>
      </c>
      <c r="C2032">
        <v>3</v>
      </c>
      <c r="D2032">
        <v>13979.45</v>
      </c>
      <c r="E2032" s="6" t="s">
        <v>7</v>
      </c>
      <c r="F2032" s="6" t="s">
        <v>11</v>
      </c>
      <c r="G2032" s="6" t="s">
        <v>239</v>
      </c>
    </row>
    <row r="2033" spans="1:7" x14ac:dyDescent="0.35">
      <c r="A2033" s="6" t="s">
        <v>1634</v>
      </c>
      <c r="B2033" s="7">
        <v>21791</v>
      </c>
      <c r="C2033">
        <v>0</v>
      </c>
      <c r="D2033">
        <v>13974.46</v>
      </c>
      <c r="E2033" s="6" t="s">
        <v>7</v>
      </c>
      <c r="F2033" s="6" t="s">
        <v>7</v>
      </c>
      <c r="G2033" s="6" t="s">
        <v>156</v>
      </c>
    </row>
    <row r="2034" spans="1:7" x14ac:dyDescent="0.35">
      <c r="A2034" s="6" t="s">
        <v>1633</v>
      </c>
      <c r="B2034" s="7">
        <v>22085</v>
      </c>
      <c r="C2034">
        <v>1</v>
      </c>
      <c r="D2034">
        <v>13937.67</v>
      </c>
      <c r="E2034" s="6" t="s">
        <v>7</v>
      </c>
      <c r="F2034" s="6" t="s">
        <v>11</v>
      </c>
      <c r="G2034" s="6" t="s">
        <v>16</v>
      </c>
    </row>
    <row r="2035" spans="1:7" x14ac:dyDescent="0.35">
      <c r="A2035" s="6" t="s">
        <v>1632</v>
      </c>
      <c r="B2035" s="7">
        <v>22854</v>
      </c>
      <c r="C2035">
        <v>3</v>
      </c>
      <c r="D2035">
        <v>13919.82</v>
      </c>
      <c r="E2035" s="6" t="s">
        <v>7</v>
      </c>
      <c r="F2035" s="6" t="s">
        <v>7</v>
      </c>
      <c r="G2035" s="6" t="s">
        <v>9</v>
      </c>
    </row>
    <row r="2036" spans="1:7" x14ac:dyDescent="0.35">
      <c r="A2036" s="6" t="s">
        <v>2290</v>
      </c>
      <c r="B2036" s="7">
        <v>24371</v>
      </c>
      <c r="C2036">
        <v>0</v>
      </c>
      <c r="D2036">
        <v>41886.54</v>
      </c>
      <c r="E2036" s="6" t="s">
        <v>11</v>
      </c>
      <c r="F2036" s="6" t="s">
        <v>8</v>
      </c>
      <c r="G2036" s="6" t="s">
        <v>32</v>
      </c>
    </row>
    <row r="2037" spans="1:7" x14ac:dyDescent="0.35">
      <c r="A2037" s="6" t="s">
        <v>1631</v>
      </c>
      <c r="B2037" s="7">
        <v>21738</v>
      </c>
      <c r="C2037">
        <v>0</v>
      </c>
      <c r="D2037">
        <v>13887.97</v>
      </c>
      <c r="E2037" s="6" t="s">
        <v>7</v>
      </c>
      <c r="F2037" s="6" t="s">
        <v>7</v>
      </c>
      <c r="G2037" s="6" t="s">
        <v>9</v>
      </c>
    </row>
    <row r="2038" spans="1:7" x14ac:dyDescent="0.35">
      <c r="A2038" s="6" t="s">
        <v>1630</v>
      </c>
      <c r="B2038" s="7">
        <v>21913</v>
      </c>
      <c r="C2038">
        <v>0</v>
      </c>
      <c r="D2038">
        <v>13887.2</v>
      </c>
      <c r="E2038" s="6" t="s">
        <v>7</v>
      </c>
      <c r="F2038" s="6" t="s">
        <v>8</v>
      </c>
      <c r="G2038" s="6" t="s">
        <v>9</v>
      </c>
    </row>
    <row r="2039" spans="1:7" x14ac:dyDescent="0.35">
      <c r="A2039" s="6" t="s">
        <v>1629</v>
      </c>
      <c r="B2039" s="7">
        <v>31315</v>
      </c>
      <c r="C2039">
        <v>3</v>
      </c>
      <c r="D2039">
        <v>13886.4</v>
      </c>
      <c r="E2039" s="6" t="s">
        <v>7</v>
      </c>
      <c r="F2039" s="6" t="s">
        <v>7</v>
      </c>
      <c r="G2039" s="6" t="s">
        <v>16</v>
      </c>
    </row>
    <row r="2040" spans="1:7" x14ac:dyDescent="0.35">
      <c r="A2040" s="6" t="s">
        <v>1628</v>
      </c>
      <c r="B2040" s="7">
        <v>21828</v>
      </c>
      <c r="C2040">
        <v>0</v>
      </c>
      <c r="D2040">
        <v>13880.95</v>
      </c>
      <c r="E2040" s="6" t="s">
        <v>7</v>
      </c>
      <c r="F2040" s="6" t="s">
        <v>7</v>
      </c>
      <c r="G2040" s="6" t="s">
        <v>32</v>
      </c>
    </row>
    <row r="2041" spans="1:7" x14ac:dyDescent="0.35">
      <c r="A2041" s="6" t="s">
        <v>1627</v>
      </c>
      <c r="B2041" s="7">
        <v>28843</v>
      </c>
      <c r="C2041">
        <v>2</v>
      </c>
      <c r="D2041">
        <v>13874.89</v>
      </c>
      <c r="E2041" s="6" t="s">
        <v>7</v>
      </c>
      <c r="F2041" s="6" t="s">
        <v>11</v>
      </c>
      <c r="G2041" s="6" t="s">
        <v>16</v>
      </c>
    </row>
    <row r="2042" spans="1:7" x14ac:dyDescent="0.35">
      <c r="A2042" s="6" t="s">
        <v>1626</v>
      </c>
      <c r="B2042" s="7">
        <v>22118</v>
      </c>
      <c r="C2042">
        <v>0</v>
      </c>
      <c r="D2042">
        <v>13844.8</v>
      </c>
      <c r="E2042" s="6" t="s">
        <v>7</v>
      </c>
      <c r="F2042" s="6" t="s">
        <v>7</v>
      </c>
      <c r="G2042" s="6" t="s">
        <v>16</v>
      </c>
    </row>
    <row r="2043" spans="1:7" x14ac:dyDescent="0.35">
      <c r="A2043" s="6" t="s">
        <v>1625</v>
      </c>
      <c r="B2043" s="7">
        <v>37779</v>
      </c>
      <c r="C2043">
        <v>0</v>
      </c>
      <c r="D2043">
        <v>13844.51</v>
      </c>
      <c r="E2043" s="6" t="s">
        <v>7</v>
      </c>
      <c r="F2043" s="6" t="s">
        <v>11</v>
      </c>
      <c r="G2043" s="6" t="s">
        <v>32</v>
      </c>
    </row>
    <row r="2044" spans="1:7" x14ac:dyDescent="0.35">
      <c r="A2044" s="6" t="s">
        <v>1624</v>
      </c>
      <c r="B2044" s="7">
        <v>21529</v>
      </c>
      <c r="C2044">
        <v>0</v>
      </c>
      <c r="D2044">
        <v>13831.12</v>
      </c>
      <c r="E2044" s="6" t="s">
        <v>8</v>
      </c>
      <c r="F2044" s="6" t="s">
        <v>11</v>
      </c>
      <c r="G2044" s="6" t="s">
        <v>9</v>
      </c>
    </row>
    <row r="2045" spans="1:7" x14ac:dyDescent="0.35">
      <c r="A2045" s="6" t="s">
        <v>1623</v>
      </c>
      <c r="B2045" s="7">
        <v>21514</v>
      </c>
      <c r="C2045">
        <v>0</v>
      </c>
      <c r="D2045">
        <v>13822.8</v>
      </c>
      <c r="E2045" s="6" t="s">
        <v>8</v>
      </c>
      <c r="F2045" s="6" t="s">
        <v>8</v>
      </c>
      <c r="G2045" s="6" t="s">
        <v>32</v>
      </c>
    </row>
    <row r="2046" spans="1:7" x14ac:dyDescent="0.35">
      <c r="A2046" s="6" t="s">
        <v>1622</v>
      </c>
      <c r="B2046" s="7">
        <v>31754</v>
      </c>
      <c r="C2046">
        <v>3</v>
      </c>
      <c r="D2046">
        <v>13819.49</v>
      </c>
      <c r="E2046" s="6" t="s">
        <v>8</v>
      </c>
      <c r="F2046" s="6" t="s">
        <v>7</v>
      </c>
      <c r="G2046" s="6" t="s">
        <v>16</v>
      </c>
    </row>
    <row r="2047" spans="1:7" x14ac:dyDescent="0.35">
      <c r="A2047" s="6" t="s">
        <v>2289</v>
      </c>
      <c r="B2047" s="7">
        <v>22911</v>
      </c>
      <c r="C2047">
        <v>0</v>
      </c>
      <c r="D2047">
        <v>41794.629999999997</v>
      </c>
      <c r="E2047" s="6" t="s">
        <v>11</v>
      </c>
      <c r="F2047" s="6" t="s">
        <v>8</v>
      </c>
      <c r="G2047" s="6" t="s">
        <v>32</v>
      </c>
    </row>
    <row r="2048" spans="1:7" x14ac:dyDescent="0.35">
      <c r="A2048" s="6" t="s">
        <v>1621</v>
      </c>
      <c r="B2048" s="7">
        <v>24421</v>
      </c>
      <c r="C2048">
        <v>0</v>
      </c>
      <c r="D2048">
        <v>13801.61</v>
      </c>
      <c r="E2048" s="6" t="s">
        <v>8</v>
      </c>
      <c r="F2048" s="6" t="s">
        <v>8</v>
      </c>
      <c r="G2048" s="6" t="s">
        <v>525</v>
      </c>
    </row>
    <row r="2049" spans="1:7" x14ac:dyDescent="0.35">
      <c r="A2049" s="6" t="s">
        <v>1620</v>
      </c>
      <c r="B2049" s="7">
        <v>21768</v>
      </c>
      <c r="C2049">
        <v>0</v>
      </c>
      <c r="D2049">
        <v>13770.1</v>
      </c>
      <c r="E2049" s="6" t="s">
        <v>8</v>
      </c>
      <c r="F2049" s="6" t="s">
        <v>11</v>
      </c>
      <c r="G2049" s="6" t="s">
        <v>16</v>
      </c>
    </row>
    <row r="2050" spans="1:7" x14ac:dyDescent="0.35">
      <c r="A2050" s="6" t="s">
        <v>1619</v>
      </c>
      <c r="B2050" s="7">
        <v>38184</v>
      </c>
      <c r="C2050">
        <v>0</v>
      </c>
      <c r="D2050">
        <v>13747.87</v>
      </c>
      <c r="E2050" s="6" t="s">
        <v>8</v>
      </c>
      <c r="F2050" s="6" t="s">
        <v>7</v>
      </c>
      <c r="G2050" s="6" t="s">
        <v>160</v>
      </c>
    </row>
    <row r="2051" spans="1:7" x14ac:dyDescent="0.35">
      <c r="A2051" s="6" t="s">
        <v>1618</v>
      </c>
      <c r="B2051" s="7">
        <v>25499</v>
      </c>
      <c r="C2051">
        <v>0</v>
      </c>
      <c r="D2051">
        <v>13746.74</v>
      </c>
      <c r="E2051" s="6" t="s">
        <v>8</v>
      </c>
      <c r="F2051" s="6" t="s">
        <v>7</v>
      </c>
      <c r="G2051" s="6" t="s">
        <v>525</v>
      </c>
    </row>
    <row r="2052" spans="1:7" x14ac:dyDescent="0.35">
      <c r="A2052" s="6" t="s">
        <v>1617</v>
      </c>
      <c r="B2052" s="7">
        <v>31288</v>
      </c>
      <c r="C2052">
        <v>3</v>
      </c>
      <c r="D2052">
        <v>13726.21</v>
      </c>
      <c r="E2052" s="6" t="s">
        <v>8</v>
      </c>
      <c r="F2052" s="6" t="s">
        <v>8</v>
      </c>
      <c r="G2052" s="6" t="s">
        <v>525</v>
      </c>
    </row>
    <row r="2053" spans="1:7" x14ac:dyDescent="0.35">
      <c r="A2053" s="6" t="s">
        <v>1616</v>
      </c>
      <c r="B2053" s="7">
        <v>29800</v>
      </c>
      <c r="C2053">
        <v>1</v>
      </c>
      <c r="D2053">
        <v>13725.47</v>
      </c>
      <c r="E2053" s="6" t="s">
        <v>8</v>
      </c>
      <c r="F2053" s="6" t="s">
        <v>7</v>
      </c>
      <c r="G2053" s="6" t="s">
        <v>237</v>
      </c>
    </row>
    <row r="2054" spans="1:7" x14ac:dyDescent="0.35">
      <c r="A2054" s="6" t="s">
        <v>1615</v>
      </c>
      <c r="B2054" s="7">
        <v>31740</v>
      </c>
      <c r="C2054">
        <v>3</v>
      </c>
      <c r="D2054">
        <v>13714.55</v>
      </c>
      <c r="E2054" s="6" t="s">
        <v>8</v>
      </c>
      <c r="F2054" s="6" t="s">
        <v>7</v>
      </c>
      <c r="G2054" s="6" t="s">
        <v>239</v>
      </c>
    </row>
    <row r="2055" spans="1:7" x14ac:dyDescent="0.35">
      <c r="A2055" s="6" t="s">
        <v>1614</v>
      </c>
      <c r="B2055" s="7">
        <v>31304</v>
      </c>
      <c r="C2055">
        <v>3</v>
      </c>
      <c r="D2055">
        <v>13685.51</v>
      </c>
      <c r="E2055" s="6" t="s">
        <v>8</v>
      </c>
      <c r="F2055" s="6" t="s">
        <v>11</v>
      </c>
      <c r="G2055" s="6" t="s">
        <v>525</v>
      </c>
    </row>
    <row r="2056" spans="1:7" x14ac:dyDescent="0.35">
      <c r="A2056" s="6" t="s">
        <v>1613</v>
      </c>
      <c r="B2056" s="7">
        <v>23227</v>
      </c>
      <c r="C2056">
        <v>0</v>
      </c>
      <c r="D2056">
        <v>13677.68</v>
      </c>
      <c r="E2056" s="6" t="s">
        <v>8</v>
      </c>
      <c r="F2056" s="6" t="s">
        <v>7</v>
      </c>
      <c r="G2056" s="6" t="s">
        <v>290</v>
      </c>
    </row>
    <row r="2057" spans="1:7" x14ac:dyDescent="0.35">
      <c r="A2057" s="6" t="s">
        <v>1612</v>
      </c>
      <c r="B2057" s="7">
        <v>30883</v>
      </c>
      <c r="C2057">
        <v>3</v>
      </c>
      <c r="D2057">
        <v>13638.06</v>
      </c>
      <c r="E2057" s="6" t="s">
        <v>8</v>
      </c>
      <c r="F2057" s="6" t="s">
        <v>8</v>
      </c>
      <c r="G2057" s="6" t="s">
        <v>239</v>
      </c>
    </row>
    <row r="2058" spans="1:7" x14ac:dyDescent="0.35">
      <c r="A2058" s="6" t="s">
        <v>2288</v>
      </c>
      <c r="B2058" s="7">
        <v>27666</v>
      </c>
      <c r="C2058">
        <v>1</v>
      </c>
      <c r="D2058">
        <v>41681.86</v>
      </c>
      <c r="E2058" s="6" t="s">
        <v>11</v>
      </c>
      <c r="F2058" s="6" t="s">
        <v>11</v>
      </c>
      <c r="G2058" s="6" t="s">
        <v>32</v>
      </c>
    </row>
    <row r="2059" spans="1:7" x14ac:dyDescent="0.35">
      <c r="A2059" s="6" t="s">
        <v>1611</v>
      </c>
      <c r="B2059" s="7">
        <v>22639</v>
      </c>
      <c r="C2059">
        <v>0</v>
      </c>
      <c r="D2059">
        <v>13635.64</v>
      </c>
      <c r="E2059" s="6" t="s">
        <v>8</v>
      </c>
      <c r="F2059" s="6" t="s">
        <v>8</v>
      </c>
      <c r="G2059" s="6" t="s">
        <v>237</v>
      </c>
    </row>
    <row r="2060" spans="1:7" x14ac:dyDescent="0.35">
      <c r="A2060" s="6" t="s">
        <v>1610</v>
      </c>
      <c r="B2060" s="7">
        <v>25410</v>
      </c>
      <c r="C2060">
        <v>0</v>
      </c>
      <c r="D2060">
        <v>13622.01</v>
      </c>
      <c r="E2060" s="6" t="s">
        <v>8</v>
      </c>
      <c r="F2060" s="6" t="s">
        <v>8</v>
      </c>
      <c r="G2060" s="6" t="s">
        <v>16</v>
      </c>
    </row>
    <row r="2061" spans="1:7" x14ac:dyDescent="0.35">
      <c r="A2061" s="6" t="s">
        <v>1609</v>
      </c>
      <c r="B2061" s="7">
        <v>22603</v>
      </c>
      <c r="C2061">
        <v>0</v>
      </c>
      <c r="D2061">
        <v>13616.36</v>
      </c>
      <c r="E2061" s="6" t="s">
        <v>8</v>
      </c>
      <c r="F2061" s="6" t="s">
        <v>8</v>
      </c>
      <c r="G2061" s="6" t="s">
        <v>237</v>
      </c>
    </row>
    <row r="2062" spans="1:7" x14ac:dyDescent="0.35">
      <c r="A2062" s="6" t="s">
        <v>1608</v>
      </c>
      <c r="B2062" s="7">
        <v>23630</v>
      </c>
      <c r="C2062">
        <v>2</v>
      </c>
      <c r="D2062">
        <v>13607.37</v>
      </c>
      <c r="E2062" s="6" t="s">
        <v>8</v>
      </c>
      <c r="F2062" s="6" t="s">
        <v>11</v>
      </c>
      <c r="G2062" s="6" t="s">
        <v>237</v>
      </c>
    </row>
    <row r="2063" spans="1:7" x14ac:dyDescent="0.35">
      <c r="A2063" s="6" t="s">
        <v>1607</v>
      </c>
      <c r="B2063" s="7">
        <v>33830</v>
      </c>
      <c r="C2063">
        <v>0</v>
      </c>
      <c r="D2063">
        <v>13588.17</v>
      </c>
      <c r="E2063" s="6" t="s">
        <v>8</v>
      </c>
      <c r="F2063" s="6" t="s">
        <v>11</v>
      </c>
      <c r="G2063" s="6" t="s">
        <v>16</v>
      </c>
    </row>
    <row r="2064" spans="1:7" x14ac:dyDescent="0.35">
      <c r="A2064" s="6" t="s">
        <v>1606</v>
      </c>
      <c r="B2064" s="7">
        <v>25034</v>
      </c>
      <c r="C2064">
        <v>0</v>
      </c>
      <c r="D2064">
        <v>13566.04</v>
      </c>
      <c r="E2064" s="6" t="s">
        <v>8</v>
      </c>
      <c r="F2064" s="6" t="s">
        <v>8</v>
      </c>
      <c r="G2064" s="6" t="s">
        <v>525</v>
      </c>
    </row>
    <row r="2065" spans="1:7" x14ac:dyDescent="0.35">
      <c r="A2065" s="6" t="s">
        <v>1605</v>
      </c>
      <c r="B2065" s="7">
        <v>22108</v>
      </c>
      <c r="C2065">
        <v>0</v>
      </c>
      <c r="D2065">
        <v>13555</v>
      </c>
      <c r="E2065" s="6" t="s">
        <v>8</v>
      </c>
      <c r="F2065" s="6" t="s">
        <v>8</v>
      </c>
      <c r="G2065" s="6" t="s">
        <v>346</v>
      </c>
    </row>
    <row r="2066" spans="1:7" x14ac:dyDescent="0.35">
      <c r="A2066" s="6" t="s">
        <v>1604</v>
      </c>
      <c r="B2066" s="7">
        <v>23298</v>
      </c>
      <c r="C2066">
        <v>0</v>
      </c>
      <c r="D2066">
        <v>13511.28</v>
      </c>
      <c r="E2066" s="6" t="s">
        <v>8</v>
      </c>
      <c r="F2066" s="6" t="s">
        <v>11</v>
      </c>
      <c r="G2066" s="6" t="s">
        <v>16</v>
      </c>
    </row>
    <row r="2067" spans="1:7" x14ac:dyDescent="0.35">
      <c r="A2067" s="6" t="s">
        <v>1603</v>
      </c>
      <c r="B2067" s="7">
        <v>33115</v>
      </c>
      <c r="C2067">
        <v>3</v>
      </c>
      <c r="D2067">
        <v>13480.83</v>
      </c>
      <c r="E2067" s="6" t="s">
        <v>8</v>
      </c>
      <c r="F2067" s="6" t="s">
        <v>7</v>
      </c>
      <c r="G2067" s="6" t="s">
        <v>239</v>
      </c>
    </row>
    <row r="2068" spans="1:7" x14ac:dyDescent="0.35">
      <c r="A2068" s="6" t="s">
        <v>1602</v>
      </c>
      <c r="B2068" s="7">
        <v>27613</v>
      </c>
      <c r="C2068">
        <v>1</v>
      </c>
      <c r="D2068">
        <v>13472.19</v>
      </c>
      <c r="E2068" s="6" t="s">
        <v>8</v>
      </c>
      <c r="F2068" s="6" t="s">
        <v>7</v>
      </c>
      <c r="G2068" s="6" t="s">
        <v>16</v>
      </c>
    </row>
    <row r="2069" spans="1:7" x14ac:dyDescent="0.35">
      <c r="A2069" s="6" t="s">
        <v>2287</v>
      </c>
      <c r="B2069" s="7">
        <v>27712</v>
      </c>
      <c r="C2069">
        <v>0</v>
      </c>
      <c r="D2069">
        <v>41676.080000000002</v>
      </c>
      <c r="E2069" s="6" t="s">
        <v>11</v>
      </c>
      <c r="F2069" s="6" t="s">
        <v>7</v>
      </c>
      <c r="G2069" s="6" t="s">
        <v>9</v>
      </c>
    </row>
    <row r="2070" spans="1:7" x14ac:dyDescent="0.35">
      <c r="A2070" s="6" t="s">
        <v>1601</v>
      </c>
      <c r="B2070" s="7">
        <v>22121</v>
      </c>
      <c r="C2070">
        <v>0</v>
      </c>
      <c r="D2070">
        <v>13470.86</v>
      </c>
      <c r="E2070" s="6" t="s">
        <v>8</v>
      </c>
      <c r="F2070" s="6" t="s">
        <v>8</v>
      </c>
      <c r="G2070" s="6" t="s">
        <v>32</v>
      </c>
    </row>
    <row r="2071" spans="1:7" x14ac:dyDescent="0.35">
      <c r="A2071" s="6" t="s">
        <v>1600</v>
      </c>
      <c r="B2071" s="7">
        <v>22125</v>
      </c>
      <c r="C2071">
        <v>0</v>
      </c>
      <c r="D2071">
        <v>13470.8</v>
      </c>
      <c r="E2071" s="6" t="s">
        <v>8</v>
      </c>
      <c r="F2071" s="6" t="s">
        <v>7</v>
      </c>
      <c r="G2071" s="6" t="s">
        <v>9</v>
      </c>
    </row>
    <row r="2072" spans="1:7" x14ac:dyDescent="0.35">
      <c r="A2072" s="6" t="s">
        <v>1599</v>
      </c>
      <c r="B2072" s="7">
        <v>31278</v>
      </c>
      <c r="C2072">
        <v>3</v>
      </c>
      <c r="D2072">
        <v>13465.8</v>
      </c>
      <c r="E2072" s="6" t="s">
        <v>8</v>
      </c>
      <c r="F2072" s="6" t="s">
        <v>11</v>
      </c>
      <c r="G2072" s="6" t="s">
        <v>16</v>
      </c>
    </row>
    <row r="2073" spans="1:7" x14ac:dyDescent="0.35">
      <c r="A2073" s="6" t="s">
        <v>1598</v>
      </c>
      <c r="B2073" s="7">
        <v>22266</v>
      </c>
      <c r="C2073">
        <v>0</v>
      </c>
      <c r="D2073">
        <v>13462.52</v>
      </c>
      <c r="E2073" s="6" t="s">
        <v>8</v>
      </c>
      <c r="F2073" s="6" t="s">
        <v>7</v>
      </c>
      <c r="G2073" s="6" t="s">
        <v>32</v>
      </c>
    </row>
    <row r="2074" spans="1:7" x14ac:dyDescent="0.35">
      <c r="A2074" s="6" t="s">
        <v>1597</v>
      </c>
      <c r="B2074" s="7">
        <v>22108</v>
      </c>
      <c r="C2074">
        <v>0</v>
      </c>
      <c r="D2074">
        <v>13457.96</v>
      </c>
      <c r="E2074" s="6" t="s">
        <v>8</v>
      </c>
      <c r="F2074" s="6" t="s">
        <v>11</v>
      </c>
      <c r="G2074" s="6" t="s">
        <v>9</v>
      </c>
    </row>
    <row r="2075" spans="1:7" x14ac:dyDescent="0.35">
      <c r="A2075" s="6" t="s">
        <v>1596</v>
      </c>
      <c r="B2075" s="7">
        <v>22141</v>
      </c>
      <c r="C2075">
        <v>0</v>
      </c>
      <c r="D2075">
        <v>13451.12</v>
      </c>
      <c r="E2075" s="6" t="s">
        <v>8</v>
      </c>
      <c r="F2075" s="6" t="s">
        <v>11</v>
      </c>
      <c r="G2075" s="6" t="s">
        <v>32</v>
      </c>
    </row>
    <row r="2076" spans="1:7" x14ac:dyDescent="0.35">
      <c r="A2076" s="6" t="s">
        <v>1595</v>
      </c>
      <c r="B2076" s="7">
        <v>27574</v>
      </c>
      <c r="C2076">
        <v>1</v>
      </c>
      <c r="D2076">
        <v>13440.7</v>
      </c>
      <c r="E2076" s="6" t="s">
        <v>8</v>
      </c>
      <c r="F2076" s="6" t="s">
        <v>7</v>
      </c>
      <c r="G2076" s="6" t="s">
        <v>16</v>
      </c>
    </row>
    <row r="2077" spans="1:7" x14ac:dyDescent="0.35">
      <c r="A2077" s="6" t="s">
        <v>1594</v>
      </c>
      <c r="B2077" s="7">
        <v>24425</v>
      </c>
      <c r="C2077">
        <v>3</v>
      </c>
      <c r="D2077">
        <v>13430.27</v>
      </c>
      <c r="E2077" s="6" t="s">
        <v>8</v>
      </c>
      <c r="F2077" s="6" t="s">
        <v>8</v>
      </c>
      <c r="G2077" s="6" t="s">
        <v>237</v>
      </c>
    </row>
    <row r="2078" spans="1:7" x14ac:dyDescent="0.35">
      <c r="A2078" s="6" t="s">
        <v>1593</v>
      </c>
      <c r="B2078" s="7">
        <v>22588</v>
      </c>
      <c r="C2078">
        <v>0</v>
      </c>
      <c r="D2078">
        <v>13429.04</v>
      </c>
      <c r="E2078" s="6" t="s">
        <v>8</v>
      </c>
      <c r="F2078" s="6" t="s">
        <v>8</v>
      </c>
      <c r="G2078" s="6" t="s">
        <v>16</v>
      </c>
    </row>
    <row r="2079" spans="1:7" x14ac:dyDescent="0.35">
      <c r="A2079" s="6" t="s">
        <v>1592</v>
      </c>
      <c r="B2079" s="7">
        <v>34502</v>
      </c>
      <c r="C2079">
        <v>0</v>
      </c>
      <c r="D2079">
        <v>13417.05</v>
      </c>
      <c r="E2079" s="6" t="s">
        <v>8</v>
      </c>
      <c r="F2079" s="6" t="s">
        <v>8</v>
      </c>
      <c r="G2079" s="6" t="s">
        <v>16</v>
      </c>
    </row>
    <row r="2080" spans="1:7" x14ac:dyDescent="0.35">
      <c r="A2080" s="6" t="s">
        <v>2286</v>
      </c>
      <c r="B2080" s="7">
        <v>28062</v>
      </c>
      <c r="C2080">
        <v>1</v>
      </c>
      <c r="D2080">
        <v>41661.599999999999</v>
      </c>
      <c r="E2080" s="6" t="s">
        <v>11</v>
      </c>
      <c r="F2080" s="6" t="s">
        <v>8</v>
      </c>
      <c r="G2080" s="6" t="s">
        <v>32</v>
      </c>
    </row>
    <row r="2081" spans="1:7" x14ac:dyDescent="0.35">
      <c r="A2081" s="6" t="s">
        <v>1591</v>
      </c>
      <c r="B2081" s="7">
        <v>22484</v>
      </c>
      <c r="C2081">
        <v>0</v>
      </c>
      <c r="D2081">
        <v>13415.04</v>
      </c>
      <c r="E2081" s="6" t="s">
        <v>8</v>
      </c>
      <c r="F2081" s="6" t="s">
        <v>7</v>
      </c>
      <c r="G2081" s="6" t="s">
        <v>16</v>
      </c>
    </row>
    <row r="2082" spans="1:7" x14ac:dyDescent="0.35">
      <c r="A2082" s="6" t="s">
        <v>1590</v>
      </c>
      <c r="B2082" s="7">
        <v>33957</v>
      </c>
      <c r="C2082">
        <v>0</v>
      </c>
      <c r="D2082">
        <v>13412.97</v>
      </c>
      <c r="E2082" s="6" t="s">
        <v>8</v>
      </c>
      <c r="F2082" s="6" t="s">
        <v>8</v>
      </c>
      <c r="G2082" s="6" t="s">
        <v>239</v>
      </c>
    </row>
    <row r="2083" spans="1:7" x14ac:dyDescent="0.35">
      <c r="A2083" s="6" t="s">
        <v>1589</v>
      </c>
      <c r="B2083" s="7">
        <v>21904</v>
      </c>
      <c r="C2083">
        <v>0</v>
      </c>
      <c r="D2083">
        <v>13405.39</v>
      </c>
      <c r="E2083" s="6" t="s">
        <v>8</v>
      </c>
      <c r="F2083" s="6" t="s">
        <v>8</v>
      </c>
      <c r="G2083" s="6" t="s">
        <v>9</v>
      </c>
    </row>
    <row r="2084" spans="1:7" x14ac:dyDescent="0.35">
      <c r="A2084" s="6" t="s">
        <v>1588</v>
      </c>
      <c r="B2084" s="7">
        <v>21879</v>
      </c>
      <c r="C2084">
        <v>0</v>
      </c>
      <c r="D2084">
        <v>13393.76</v>
      </c>
      <c r="E2084" s="6" t="s">
        <v>8</v>
      </c>
      <c r="F2084" s="6" t="s">
        <v>11</v>
      </c>
      <c r="G2084" s="6" t="s">
        <v>32</v>
      </c>
    </row>
    <row r="2085" spans="1:7" x14ac:dyDescent="0.35">
      <c r="A2085" s="6" t="s">
        <v>1587</v>
      </c>
      <c r="B2085" s="7">
        <v>21893</v>
      </c>
      <c r="C2085">
        <v>0</v>
      </c>
      <c r="D2085">
        <v>13390.56</v>
      </c>
      <c r="E2085" s="6" t="s">
        <v>8</v>
      </c>
      <c r="F2085" s="6" t="s">
        <v>8</v>
      </c>
      <c r="G2085" s="6" t="s">
        <v>32</v>
      </c>
    </row>
    <row r="2086" spans="1:7" x14ac:dyDescent="0.35">
      <c r="A2086" s="6" t="s">
        <v>1586</v>
      </c>
      <c r="B2086" s="7">
        <v>30839</v>
      </c>
      <c r="C2086">
        <v>3</v>
      </c>
      <c r="D2086">
        <v>13383.67</v>
      </c>
      <c r="E2086" s="6" t="s">
        <v>8</v>
      </c>
      <c r="F2086" s="6" t="s">
        <v>7</v>
      </c>
      <c r="G2086" s="6" t="s">
        <v>239</v>
      </c>
    </row>
    <row r="2087" spans="1:7" x14ac:dyDescent="0.35">
      <c r="A2087" s="6" t="s">
        <v>1585</v>
      </c>
      <c r="B2087" s="7">
        <v>29128</v>
      </c>
      <c r="C2087">
        <v>2</v>
      </c>
      <c r="D2087">
        <v>13377.41</v>
      </c>
      <c r="E2087" s="6" t="s">
        <v>8</v>
      </c>
      <c r="F2087" s="6" t="s">
        <v>8</v>
      </c>
      <c r="G2087" s="6" t="s">
        <v>525</v>
      </c>
    </row>
    <row r="2088" spans="1:7" x14ac:dyDescent="0.35">
      <c r="A2088" s="6" t="s">
        <v>1584</v>
      </c>
      <c r="B2088" s="7">
        <v>23644</v>
      </c>
      <c r="C2088">
        <v>0</v>
      </c>
      <c r="D2088">
        <v>13375.76</v>
      </c>
      <c r="E2088" s="6" t="s">
        <v>8</v>
      </c>
      <c r="F2088" s="6" t="s">
        <v>7</v>
      </c>
      <c r="G2088" s="6" t="s">
        <v>190</v>
      </c>
    </row>
    <row r="2089" spans="1:7" x14ac:dyDescent="0.35">
      <c r="A2089" s="6" t="s">
        <v>1583</v>
      </c>
      <c r="B2089" s="7">
        <v>33148</v>
      </c>
      <c r="C2089">
        <v>3</v>
      </c>
      <c r="D2089">
        <v>13360.94</v>
      </c>
      <c r="E2089" s="6" t="s">
        <v>8</v>
      </c>
      <c r="F2089" s="6" t="s">
        <v>11</v>
      </c>
      <c r="G2089" s="6" t="s">
        <v>16</v>
      </c>
    </row>
    <row r="2090" spans="1:7" x14ac:dyDescent="0.35">
      <c r="A2090" s="6" t="s">
        <v>1582</v>
      </c>
      <c r="B2090" s="7">
        <v>22231</v>
      </c>
      <c r="C2090">
        <v>0</v>
      </c>
      <c r="D2090">
        <v>13352.1</v>
      </c>
      <c r="E2090" s="6" t="s">
        <v>8</v>
      </c>
      <c r="F2090" s="6" t="s">
        <v>11</v>
      </c>
      <c r="G2090" s="6" t="s">
        <v>16</v>
      </c>
    </row>
    <row r="2091" spans="1:7" x14ac:dyDescent="0.35">
      <c r="A2091" s="6" t="s">
        <v>2285</v>
      </c>
      <c r="B2091" s="7">
        <v>27357</v>
      </c>
      <c r="C2091">
        <v>0</v>
      </c>
      <c r="D2091">
        <v>41636.199999999997</v>
      </c>
      <c r="E2091" s="6" t="s">
        <v>11</v>
      </c>
      <c r="F2091" s="6" t="s">
        <v>11</v>
      </c>
      <c r="G2091" s="6" t="s">
        <v>32</v>
      </c>
    </row>
    <row r="2092" spans="1:7" x14ac:dyDescent="0.35">
      <c r="A2092" s="6" t="s">
        <v>1581</v>
      </c>
      <c r="B2092" s="7">
        <v>27995</v>
      </c>
      <c r="C2092">
        <v>2</v>
      </c>
      <c r="D2092">
        <v>13333.71</v>
      </c>
      <c r="E2092" s="6" t="s">
        <v>8</v>
      </c>
      <c r="F2092" s="6" t="s">
        <v>7</v>
      </c>
      <c r="G2092" s="6" t="s">
        <v>16</v>
      </c>
    </row>
    <row r="2093" spans="1:7" x14ac:dyDescent="0.35">
      <c r="A2093" s="6" t="s">
        <v>1580</v>
      </c>
      <c r="B2093" s="7">
        <v>34516</v>
      </c>
      <c r="C2093">
        <v>0</v>
      </c>
      <c r="D2093">
        <v>13292.52</v>
      </c>
      <c r="E2093" s="6" t="s">
        <v>8</v>
      </c>
      <c r="F2093" s="6" t="s">
        <v>8</v>
      </c>
      <c r="G2093" s="6" t="s">
        <v>16</v>
      </c>
    </row>
    <row r="2094" spans="1:7" x14ac:dyDescent="0.35">
      <c r="A2094" s="6" t="s">
        <v>1579</v>
      </c>
      <c r="B2094" s="7">
        <v>22930</v>
      </c>
      <c r="C2094">
        <v>0</v>
      </c>
      <c r="D2094">
        <v>13228.85</v>
      </c>
      <c r="E2094" s="6" t="s">
        <v>8</v>
      </c>
      <c r="F2094" s="6" t="s">
        <v>8</v>
      </c>
      <c r="G2094" s="6" t="s">
        <v>239</v>
      </c>
    </row>
    <row r="2095" spans="1:7" x14ac:dyDescent="0.35">
      <c r="A2095" s="6" t="s">
        <v>1578</v>
      </c>
      <c r="B2095" s="7">
        <v>22974</v>
      </c>
      <c r="C2095">
        <v>1</v>
      </c>
      <c r="D2095">
        <v>13224.69</v>
      </c>
      <c r="E2095" s="6" t="s">
        <v>8</v>
      </c>
      <c r="F2095" s="6" t="s">
        <v>7</v>
      </c>
      <c r="G2095" s="6" t="s">
        <v>32</v>
      </c>
    </row>
    <row r="2096" spans="1:7" x14ac:dyDescent="0.35">
      <c r="A2096" s="6" t="s">
        <v>1577</v>
      </c>
      <c r="B2096" s="7">
        <v>24059</v>
      </c>
      <c r="C2096">
        <v>2</v>
      </c>
      <c r="D2096">
        <v>13224.06</v>
      </c>
      <c r="E2096" s="6" t="s">
        <v>8</v>
      </c>
      <c r="F2096" s="6" t="s">
        <v>8</v>
      </c>
      <c r="G2096" s="6" t="s">
        <v>237</v>
      </c>
    </row>
    <row r="2097" spans="1:7" x14ac:dyDescent="0.35">
      <c r="A2097" s="6" t="s">
        <v>1576</v>
      </c>
      <c r="B2097" s="7">
        <v>22987</v>
      </c>
      <c r="C2097">
        <v>0</v>
      </c>
      <c r="D2097">
        <v>13217.09</v>
      </c>
      <c r="E2097" s="6" t="s">
        <v>8</v>
      </c>
      <c r="F2097" s="6" t="s">
        <v>11</v>
      </c>
      <c r="G2097" s="6" t="s">
        <v>237</v>
      </c>
    </row>
    <row r="2098" spans="1:7" x14ac:dyDescent="0.35">
      <c r="A2098" s="6" t="s">
        <v>1575</v>
      </c>
      <c r="B2098" s="7">
        <v>30239</v>
      </c>
      <c r="C2098">
        <v>3</v>
      </c>
      <c r="D2098">
        <v>13214.43</v>
      </c>
      <c r="E2098" s="6" t="s">
        <v>8</v>
      </c>
      <c r="F2098" s="6" t="s">
        <v>7</v>
      </c>
      <c r="G2098" s="6" t="s">
        <v>16</v>
      </c>
    </row>
    <row r="2099" spans="1:7" x14ac:dyDescent="0.35">
      <c r="A2099" s="6" t="s">
        <v>1574</v>
      </c>
      <c r="B2099" s="7">
        <v>22863</v>
      </c>
      <c r="C2099">
        <v>0</v>
      </c>
      <c r="D2099">
        <v>13204.29</v>
      </c>
      <c r="E2099" s="6" t="s">
        <v>8</v>
      </c>
      <c r="F2099" s="6" t="s">
        <v>11</v>
      </c>
      <c r="G2099" s="6" t="s">
        <v>237</v>
      </c>
    </row>
    <row r="2100" spans="1:7" x14ac:dyDescent="0.35">
      <c r="A2100" s="6" t="s">
        <v>1573</v>
      </c>
      <c r="B2100" s="7">
        <v>22621</v>
      </c>
      <c r="C2100">
        <v>0</v>
      </c>
      <c r="D2100">
        <v>13143.86</v>
      </c>
      <c r="E2100" s="6" t="s">
        <v>8</v>
      </c>
      <c r="F2100" s="6" t="s">
        <v>7</v>
      </c>
      <c r="G2100" s="6" t="s">
        <v>158</v>
      </c>
    </row>
    <row r="2101" spans="1:7" x14ac:dyDescent="0.35">
      <c r="A2101" s="6" t="s">
        <v>1572</v>
      </c>
      <c r="B2101" s="7">
        <v>22621</v>
      </c>
      <c r="C2101">
        <v>0</v>
      </c>
      <c r="D2101">
        <v>13143.34</v>
      </c>
      <c r="E2101" s="6" t="s">
        <v>8</v>
      </c>
      <c r="F2101" s="6" t="s">
        <v>7</v>
      </c>
      <c r="G2101" s="6" t="s">
        <v>506</v>
      </c>
    </row>
    <row r="2102" spans="1:7" x14ac:dyDescent="0.35">
      <c r="A2102" s="6" t="s">
        <v>2284</v>
      </c>
      <c r="B2102" s="7">
        <v>24828</v>
      </c>
      <c r="C2102">
        <v>0</v>
      </c>
      <c r="D2102">
        <v>41505.15</v>
      </c>
      <c r="E2102" s="6" t="s">
        <v>11</v>
      </c>
      <c r="F2102" s="6" t="s">
        <v>7</v>
      </c>
      <c r="G2102" s="6" t="s">
        <v>32</v>
      </c>
    </row>
    <row r="2103" spans="1:7" x14ac:dyDescent="0.35">
      <c r="A2103" s="6" t="s">
        <v>1571</v>
      </c>
      <c r="B2103" s="7">
        <v>22531</v>
      </c>
      <c r="C2103">
        <v>0</v>
      </c>
      <c r="D2103">
        <v>13129.6</v>
      </c>
      <c r="E2103" s="6" t="s">
        <v>8</v>
      </c>
      <c r="F2103" s="6" t="s">
        <v>7</v>
      </c>
      <c r="G2103" s="6" t="s">
        <v>346</v>
      </c>
    </row>
    <row r="2104" spans="1:7" x14ac:dyDescent="0.35">
      <c r="A2104" s="6" t="s">
        <v>1570</v>
      </c>
      <c r="B2104" s="7">
        <v>36388</v>
      </c>
      <c r="C2104">
        <v>0</v>
      </c>
      <c r="D2104">
        <v>13126.68</v>
      </c>
      <c r="E2104" s="6" t="s">
        <v>8</v>
      </c>
      <c r="F2104" s="6" t="s">
        <v>8</v>
      </c>
      <c r="G2104" s="6" t="s">
        <v>32</v>
      </c>
    </row>
    <row r="2105" spans="1:7" x14ac:dyDescent="0.35">
      <c r="A2105" s="6" t="s">
        <v>1569</v>
      </c>
      <c r="B2105" s="7">
        <v>23268</v>
      </c>
      <c r="C2105">
        <v>0</v>
      </c>
      <c r="D2105">
        <v>13116.84</v>
      </c>
      <c r="E2105" s="6" t="s">
        <v>8</v>
      </c>
      <c r="F2105" s="6" t="s">
        <v>11</v>
      </c>
      <c r="G2105" s="6" t="s">
        <v>16</v>
      </c>
    </row>
    <row r="2106" spans="1:7" x14ac:dyDescent="0.35">
      <c r="A2106" s="6" t="s">
        <v>1568</v>
      </c>
      <c r="B2106" s="7">
        <v>33828</v>
      </c>
      <c r="C2106">
        <v>0</v>
      </c>
      <c r="D2106">
        <v>13113.51</v>
      </c>
      <c r="E2106" s="6" t="s">
        <v>8</v>
      </c>
      <c r="F2106" s="6" t="s">
        <v>7</v>
      </c>
      <c r="G2106" s="6" t="s">
        <v>525</v>
      </c>
    </row>
    <row r="2107" spans="1:7" x14ac:dyDescent="0.35">
      <c r="A2107" s="6" t="s">
        <v>1567</v>
      </c>
      <c r="B2107" s="7">
        <v>22860</v>
      </c>
      <c r="C2107">
        <v>1</v>
      </c>
      <c r="D2107">
        <v>13112.6</v>
      </c>
      <c r="E2107" s="6" t="s">
        <v>8</v>
      </c>
      <c r="F2107" s="6" t="s">
        <v>8</v>
      </c>
      <c r="G2107" s="6" t="s">
        <v>16</v>
      </c>
    </row>
    <row r="2108" spans="1:7" x14ac:dyDescent="0.35">
      <c r="A2108" s="6" t="s">
        <v>1566</v>
      </c>
      <c r="B2108" s="7">
        <v>26236</v>
      </c>
      <c r="C2108">
        <v>0</v>
      </c>
      <c r="D2108">
        <v>13110.79</v>
      </c>
      <c r="E2108" s="6" t="s">
        <v>8</v>
      </c>
      <c r="F2108" s="6" t="s">
        <v>7</v>
      </c>
      <c r="G2108" s="6" t="s">
        <v>32</v>
      </c>
    </row>
    <row r="2109" spans="1:7" x14ac:dyDescent="0.35">
      <c r="A2109" s="6" t="s">
        <v>1565</v>
      </c>
      <c r="B2109" s="7">
        <v>28688</v>
      </c>
      <c r="C2109">
        <v>2</v>
      </c>
      <c r="D2109">
        <v>13101.74</v>
      </c>
      <c r="E2109" s="6" t="s">
        <v>8</v>
      </c>
      <c r="F2109" s="6" t="s">
        <v>7</v>
      </c>
      <c r="G2109" s="6" t="s">
        <v>525</v>
      </c>
    </row>
    <row r="2110" spans="1:7" x14ac:dyDescent="0.35">
      <c r="A2110" s="6" t="s">
        <v>1564</v>
      </c>
      <c r="B2110" s="7">
        <v>22591</v>
      </c>
      <c r="C2110">
        <v>0</v>
      </c>
      <c r="D2110">
        <v>13063.88</v>
      </c>
      <c r="E2110" s="6" t="s">
        <v>8</v>
      </c>
      <c r="F2110" s="6" t="s">
        <v>7</v>
      </c>
      <c r="G2110" s="6" t="s">
        <v>32</v>
      </c>
    </row>
    <row r="2111" spans="1:7" x14ac:dyDescent="0.35">
      <c r="A2111" s="6" t="s">
        <v>1563</v>
      </c>
      <c r="B2111" s="7">
        <v>31346</v>
      </c>
      <c r="C2111">
        <v>3</v>
      </c>
      <c r="D2111">
        <v>13051.22</v>
      </c>
      <c r="E2111" s="6" t="s">
        <v>8</v>
      </c>
      <c r="F2111" s="6" t="s">
        <v>11</v>
      </c>
      <c r="G2111" s="6" t="s">
        <v>525</v>
      </c>
    </row>
    <row r="2112" spans="1:7" x14ac:dyDescent="0.35">
      <c r="A2112" s="6" t="s">
        <v>1562</v>
      </c>
      <c r="B2112" s="7">
        <v>24690</v>
      </c>
      <c r="C2112">
        <v>3</v>
      </c>
      <c r="D2112">
        <v>13047.33</v>
      </c>
      <c r="E2112" s="6" t="s">
        <v>8</v>
      </c>
      <c r="F2112" s="6" t="s">
        <v>8</v>
      </c>
      <c r="G2112" s="6" t="s">
        <v>237</v>
      </c>
    </row>
    <row r="2113" spans="1:7" x14ac:dyDescent="0.35">
      <c r="A2113" s="6" t="s">
        <v>2355</v>
      </c>
      <c r="B2113" s="7">
        <v>21363</v>
      </c>
      <c r="C2113">
        <v>2</v>
      </c>
      <c r="D2113">
        <v>49577.66</v>
      </c>
      <c r="E2113" s="6" t="s">
        <v>7</v>
      </c>
      <c r="F2113" s="6" t="s">
        <v>7</v>
      </c>
      <c r="G2113" s="6" t="s">
        <v>9</v>
      </c>
    </row>
    <row r="2114" spans="1:7" x14ac:dyDescent="0.35">
      <c r="A2114" s="6" t="s">
        <v>2283</v>
      </c>
      <c r="B2114" s="7">
        <v>26222</v>
      </c>
      <c r="C2114">
        <v>0</v>
      </c>
      <c r="D2114">
        <v>41351.879999999997</v>
      </c>
      <c r="E2114" s="6" t="s">
        <v>11</v>
      </c>
      <c r="F2114" s="6" t="s">
        <v>7</v>
      </c>
      <c r="G2114" s="6" t="s">
        <v>32</v>
      </c>
    </row>
    <row r="2115" spans="1:7" x14ac:dyDescent="0.35">
      <c r="A2115" s="6" t="s">
        <v>1561</v>
      </c>
      <c r="B2115" s="7">
        <v>25469</v>
      </c>
      <c r="C2115">
        <v>0</v>
      </c>
      <c r="D2115">
        <v>13044.41</v>
      </c>
      <c r="E2115" s="6" t="s">
        <v>8</v>
      </c>
      <c r="F2115" s="6" t="s">
        <v>11</v>
      </c>
      <c r="G2115" s="6" t="s">
        <v>16</v>
      </c>
    </row>
    <row r="2116" spans="1:7" x14ac:dyDescent="0.35">
      <c r="A2116" s="6" t="s">
        <v>1560</v>
      </c>
      <c r="B2116" s="7">
        <v>22594</v>
      </c>
      <c r="C2116">
        <v>0</v>
      </c>
      <c r="D2116">
        <v>13041.92</v>
      </c>
      <c r="E2116" s="6" t="s">
        <v>8</v>
      </c>
      <c r="F2116" s="6" t="s">
        <v>11</v>
      </c>
      <c r="G2116" s="6" t="s">
        <v>32</v>
      </c>
    </row>
    <row r="2117" spans="1:7" x14ac:dyDescent="0.35">
      <c r="A2117" s="6" t="s">
        <v>1559</v>
      </c>
      <c r="B2117" s="7">
        <v>24050</v>
      </c>
      <c r="C2117">
        <v>0</v>
      </c>
      <c r="D2117">
        <v>13023.93</v>
      </c>
      <c r="E2117" s="6" t="s">
        <v>8</v>
      </c>
      <c r="F2117" s="6" t="s">
        <v>7</v>
      </c>
      <c r="G2117" s="6" t="s">
        <v>190</v>
      </c>
    </row>
    <row r="2118" spans="1:7" x14ac:dyDescent="0.35">
      <c r="A2118" s="6" t="s">
        <v>1558</v>
      </c>
      <c r="B2118" s="7">
        <v>23643</v>
      </c>
      <c r="C2118">
        <v>1</v>
      </c>
      <c r="D2118">
        <v>13019.16</v>
      </c>
      <c r="E2118" s="6" t="s">
        <v>8</v>
      </c>
      <c r="F2118" s="6" t="s">
        <v>11</v>
      </c>
      <c r="G2118" s="6" t="s">
        <v>237</v>
      </c>
    </row>
    <row r="2119" spans="1:7" x14ac:dyDescent="0.35">
      <c r="A2119" s="6" t="s">
        <v>1557</v>
      </c>
      <c r="B2119" s="7">
        <v>22847</v>
      </c>
      <c r="C2119">
        <v>0</v>
      </c>
      <c r="D2119">
        <v>13012.21</v>
      </c>
      <c r="E2119" s="6" t="s">
        <v>8</v>
      </c>
      <c r="F2119" s="6" t="s">
        <v>11</v>
      </c>
      <c r="G2119" s="6" t="s">
        <v>16</v>
      </c>
    </row>
    <row r="2120" spans="1:7" x14ac:dyDescent="0.35">
      <c r="A2120" s="6" t="s">
        <v>1556</v>
      </c>
      <c r="B2120" s="7">
        <v>26569</v>
      </c>
      <c r="C2120">
        <v>0</v>
      </c>
      <c r="D2120">
        <v>13010.86</v>
      </c>
      <c r="E2120" s="6" t="s">
        <v>8</v>
      </c>
      <c r="F2120" s="6" t="s">
        <v>7</v>
      </c>
      <c r="G2120" s="6" t="s">
        <v>16</v>
      </c>
    </row>
    <row r="2121" spans="1:7" x14ac:dyDescent="0.35">
      <c r="A2121" s="6" t="s">
        <v>1555</v>
      </c>
      <c r="B2121" s="7">
        <v>25550</v>
      </c>
      <c r="C2121">
        <v>0</v>
      </c>
      <c r="D2121">
        <v>13008.07</v>
      </c>
      <c r="E2121" s="6" t="s">
        <v>8</v>
      </c>
      <c r="F2121" s="6" t="s">
        <v>8</v>
      </c>
      <c r="G2121" s="6" t="s">
        <v>16</v>
      </c>
    </row>
    <row r="2122" spans="1:7" x14ac:dyDescent="0.35">
      <c r="A2122" s="6" t="s">
        <v>1554</v>
      </c>
      <c r="B2122" s="7">
        <v>22821</v>
      </c>
      <c r="C2122">
        <v>0</v>
      </c>
      <c r="D2122">
        <v>13004.95</v>
      </c>
      <c r="E2122" s="6" t="s">
        <v>8</v>
      </c>
      <c r="F2122" s="6" t="s">
        <v>11</v>
      </c>
      <c r="G2122" s="6" t="s">
        <v>16</v>
      </c>
    </row>
    <row r="2123" spans="1:7" x14ac:dyDescent="0.35">
      <c r="A2123" s="6" t="s">
        <v>1553</v>
      </c>
      <c r="B2123" s="7">
        <v>29889</v>
      </c>
      <c r="C2123">
        <v>1</v>
      </c>
      <c r="D2123">
        <v>13002.91</v>
      </c>
      <c r="E2123" s="6" t="s">
        <v>8</v>
      </c>
      <c r="F2123" s="6" t="s">
        <v>11</v>
      </c>
      <c r="G2123" s="6" t="s">
        <v>16</v>
      </c>
    </row>
    <row r="2124" spans="1:7" x14ac:dyDescent="0.35">
      <c r="A2124" s="6" t="s">
        <v>1552</v>
      </c>
      <c r="B2124" s="7">
        <v>29186</v>
      </c>
      <c r="C2124">
        <v>2</v>
      </c>
      <c r="D2124">
        <v>12994.12</v>
      </c>
      <c r="E2124" s="6" t="s">
        <v>8</v>
      </c>
      <c r="F2124" s="6" t="s">
        <v>7</v>
      </c>
      <c r="G2124" s="6" t="s">
        <v>525</v>
      </c>
    </row>
    <row r="2125" spans="1:7" x14ac:dyDescent="0.35">
      <c r="A2125" s="6" t="s">
        <v>2282</v>
      </c>
      <c r="B2125" s="7">
        <v>23657</v>
      </c>
      <c r="C2125">
        <v>0</v>
      </c>
      <c r="D2125">
        <v>41331.79</v>
      </c>
      <c r="E2125" s="6" t="s">
        <v>11</v>
      </c>
      <c r="F2125" s="6" t="s">
        <v>7</v>
      </c>
      <c r="G2125" s="6" t="s">
        <v>32</v>
      </c>
    </row>
    <row r="2126" spans="1:7" x14ac:dyDescent="0.35">
      <c r="A2126" s="6" t="s">
        <v>1551</v>
      </c>
      <c r="B2126" s="7">
        <v>22248</v>
      </c>
      <c r="C2126">
        <v>0</v>
      </c>
      <c r="D2126">
        <v>12982.87</v>
      </c>
      <c r="E2126" s="6" t="s">
        <v>8</v>
      </c>
      <c r="F2126" s="6" t="s">
        <v>11</v>
      </c>
      <c r="G2126" s="6" t="s">
        <v>9</v>
      </c>
    </row>
    <row r="2127" spans="1:7" x14ac:dyDescent="0.35">
      <c r="A2127" s="6" t="s">
        <v>1550</v>
      </c>
      <c r="B2127" s="7">
        <v>22182</v>
      </c>
      <c r="C2127">
        <v>0</v>
      </c>
      <c r="D2127">
        <v>12981.35</v>
      </c>
      <c r="E2127" s="6" t="s">
        <v>8</v>
      </c>
      <c r="F2127" s="6" t="s">
        <v>8</v>
      </c>
      <c r="G2127" s="6" t="s">
        <v>9</v>
      </c>
    </row>
    <row r="2128" spans="1:7" x14ac:dyDescent="0.35">
      <c r="A2128" s="6" t="s">
        <v>1549</v>
      </c>
      <c r="B2128" s="7">
        <v>22089</v>
      </c>
      <c r="C2128">
        <v>0</v>
      </c>
      <c r="D2128">
        <v>12979.36</v>
      </c>
      <c r="E2128" s="6" t="s">
        <v>8</v>
      </c>
      <c r="F2128" s="6" t="s">
        <v>11</v>
      </c>
      <c r="G2128" s="6" t="s">
        <v>32</v>
      </c>
    </row>
    <row r="2129" spans="1:7" x14ac:dyDescent="0.35">
      <c r="A2129" s="6" t="s">
        <v>1548</v>
      </c>
      <c r="B2129" s="7">
        <v>22224</v>
      </c>
      <c r="C2129">
        <v>0</v>
      </c>
      <c r="D2129">
        <v>12957.12</v>
      </c>
      <c r="E2129" s="6" t="s">
        <v>8</v>
      </c>
      <c r="F2129" s="6" t="s">
        <v>11</v>
      </c>
      <c r="G2129" s="6" t="s">
        <v>32</v>
      </c>
    </row>
    <row r="2130" spans="1:7" x14ac:dyDescent="0.35">
      <c r="A2130" s="6" t="s">
        <v>1547</v>
      </c>
      <c r="B2130" s="7">
        <v>22513</v>
      </c>
      <c r="C2130">
        <v>0</v>
      </c>
      <c r="D2130">
        <v>12950.07</v>
      </c>
      <c r="E2130" s="6" t="s">
        <v>8</v>
      </c>
      <c r="F2130" s="6" t="s">
        <v>11</v>
      </c>
      <c r="G2130" s="6" t="s">
        <v>16</v>
      </c>
    </row>
    <row r="2131" spans="1:7" x14ac:dyDescent="0.35">
      <c r="A2131" s="6" t="s">
        <v>1546</v>
      </c>
      <c r="B2131" s="7">
        <v>24463</v>
      </c>
      <c r="C2131">
        <v>4</v>
      </c>
      <c r="D2131">
        <v>12949.16</v>
      </c>
      <c r="E2131" s="6" t="s">
        <v>8</v>
      </c>
      <c r="F2131" s="6" t="s">
        <v>8</v>
      </c>
      <c r="G2131" s="6" t="s">
        <v>9</v>
      </c>
    </row>
    <row r="2132" spans="1:7" x14ac:dyDescent="0.35">
      <c r="A2132" s="6" t="s">
        <v>1545</v>
      </c>
      <c r="B2132" s="7">
        <v>23237</v>
      </c>
      <c r="C2132">
        <v>2</v>
      </c>
      <c r="D2132">
        <v>12928.79</v>
      </c>
      <c r="E2132" s="6" t="s">
        <v>8</v>
      </c>
      <c r="F2132" s="6" t="s">
        <v>7</v>
      </c>
      <c r="G2132" s="6" t="s">
        <v>9</v>
      </c>
    </row>
    <row r="2133" spans="1:7" x14ac:dyDescent="0.35">
      <c r="A2133" s="6" t="s">
        <v>1544</v>
      </c>
      <c r="B2133" s="7">
        <v>23255</v>
      </c>
      <c r="C2133">
        <v>2</v>
      </c>
      <c r="D2133">
        <v>12925.89</v>
      </c>
      <c r="E2133" s="6" t="s">
        <v>8</v>
      </c>
      <c r="F2133" s="6" t="s">
        <v>7</v>
      </c>
      <c r="G2133" s="6" t="s">
        <v>9</v>
      </c>
    </row>
    <row r="2134" spans="1:7" x14ac:dyDescent="0.35">
      <c r="A2134" s="6" t="s">
        <v>1543</v>
      </c>
      <c r="B2134" s="7">
        <v>23239</v>
      </c>
      <c r="C2134">
        <v>1</v>
      </c>
      <c r="D2134">
        <v>12913.99</v>
      </c>
      <c r="E2134" s="6" t="s">
        <v>8</v>
      </c>
      <c r="F2134" s="6" t="s">
        <v>7</v>
      </c>
      <c r="G2134" s="6" t="s">
        <v>158</v>
      </c>
    </row>
    <row r="2135" spans="1:7" x14ac:dyDescent="0.35">
      <c r="A2135" s="6" t="s">
        <v>1542</v>
      </c>
      <c r="B2135" s="7">
        <v>38177</v>
      </c>
      <c r="C2135">
        <v>0</v>
      </c>
      <c r="D2135">
        <v>12890.06</v>
      </c>
      <c r="E2135" s="6" t="s">
        <v>8</v>
      </c>
      <c r="F2135" s="6" t="s">
        <v>11</v>
      </c>
      <c r="G2135" s="6" t="s">
        <v>156</v>
      </c>
    </row>
    <row r="2136" spans="1:7" x14ac:dyDescent="0.35">
      <c r="A2136" s="6" t="s">
        <v>2281</v>
      </c>
      <c r="B2136" s="7">
        <v>28364</v>
      </c>
      <c r="C2136">
        <v>2</v>
      </c>
      <c r="D2136">
        <v>41271.5</v>
      </c>
      <c r="E2136" s="6" t="s">
        <v>11</v>
      </c>
      <c r="F2136" s="6" t="s">
        <v>7</v>
      </c>
      <c r="G2136" s="6" t="s">
        <v>32</v>
      </c>
    </row>
    <row r="2137" spans="1:7" x14ac:dyDescent="0.35">
      <c r="A2137" s="6" t="s">
        <v>1541</v>
      </c>
      <c r="B2137" s="7">
        <v>30900</v>
      </c>
      <c r="C2137">
        <v>3</v>
      </c>
      <c r="D2137">
        <v>12870.31</v>
      </c>
      <c r="E2137" s="6" t="s">
        <v>8</v>
      </c>
      <c r="F2137" s="6" t="s">
        <v>8</v>
      </c>
      <c r="G2137" s="6" t="s">
        <v>16</v>
      </c>
    </row>
    <row r="2138" spans="1:7" x14ac:dyDescent="0.35">
      <c r="A2138" s="6" t="s">
        <v>1540</v>
      </c>
      <c r="B2138" s="7">
        <v>23281</v>
      </c>
      <c r="C2138">
        <v>0</v>
      </c>
      <c r="D2138">
        <v>12856.84</v>
      </c>
      <c r="E2138" s="6" t="s">
        <v>8</v>
      </c>
      <c r="F2138" s="6" t="s">
        <v>8</v>
      </c>
      <c r="G2138" s="6" t="s">
        <v>290</v>
      </c>
    </row>
    <row r="2139" spans="1:7" x14ac:dyDescent="0.35">
      <c r="A2139" s="6" t="s">
        <v>1539</v>
      </c>
      <c r="B2139" s="7">
        <v>26929</v>
      </c>
      <c r="C2139">
        <v>0</v>
      </c>
      <c r="D2139">
        <v>12852.37</v>
      </c>
      <c r="E2139" s="6" t="s">
        <v>8</v>
      </c>
      <c r="F2139" s="6" t="s">
        <v>11</v>
      </c>
      <c r="G2139" s="6" t="s">
        <v>16</v>
      </c>
    </row>
    <row r="2140" spans="1:7" x14ac:dyDescent="0.35">
      <c r="A2140" s="6" t="s">
        <v>1538</v>
      </c>
      <c r="B2140" s="7">
        <v>34239</v>
      </c>
      <c r="C2140">
        <v>0</v>
      </c>
      <c r="D2140">
        <v>12847.24</v>
      </c>
      <c r="E2140" s="6" t="s">
        <v>8</v>
      </c>
      <c r="F2140" s="6" t="s">
        <v>7</v>
      </c>
      <c r="G2140" s="6" t="s">
        <v>16</v>
      </c>
    </row>
    <row r="2141" spans="1:7" x14ac:dyDescent="0.35">
      <c r="A2141" s="6" t="s">
        <v>1537</v>
      </c>
      <c r="B2141" s="7">
        <v>38300</v>
      </c>
      <c r="C2141">
        <v>2</v>
      </c>
      <c r="D2141">
        <v>12829.46</v>
      </c>
      <c r="E2141" s="6" t="s">
        <v>8</v>
      </c>
      <c r="F2141" s="6" t="s">
        <v>8</v>
      </c>
      <c r="G2141" s="6" t="s">
        <v>158</v>
      </c>
    </row>
    <row r="2142" spans="1:7" x14ac:dyDescent="0.35">
      <c r="A2142" s="6" t="s">
        <v>1536</v>
      </c>
      <c r="B2142" s="7">
        <v>24740</v>
      </c>
      <c r="C2142">
        <v>0</v>
      </c>
      <c r="D2142">
        <v>12823.25</v>
      </c>
      <c r="E2142" s="6" t="s">
        <v>8</v>
      </c>
      <c r="F2142" s="6" t="s">
        <v>8</v>
      </c>
      <c r="G2142" s="6" t="s">
        <v>290</v>
      </c>
    </row>
    <row r="2143" spans="1:7" x14ac:dyDescent="0.35">
      <c r="A2143" s="6" t="s">
        <v>1535</v>
      </c>
      <c r="B2143" s="7">
        <v>23212</v>
      </c>
      <c r="C2143">
        <v>0</v>
      </c>
      <c r="D2143">
        <v>12815.44</v>
      </c>
      <c r="E2143" s="6" t="s">
        <v>8</v>
      </c>
      <c r="F2143" s="6" t="s">
        <v>8</v>
      </c>
      <c r="G2143" s="6" t="s">
        <v>237</v>
      </c>
    </row>
    <row r="2144" spans="1:7" x14ac:dyDescent="0.35">
      <c r="A2144" s="6" t="s">
        <v>1534</v>
      </c>
      <c r="B2144" s="7">
        <v>28695</v>
      </c>
      <c r="C2144">
        <v>0</v>
      </c>
      <c r="D2144">
        <v>12797.21</v>
      </c>
      <c r="E2144" s="6" t="s">
        <v>8</v>
      </c>
      <c r="F2144" s="6" t="s">
        <v>11</v>
      </c>
      <c r="G2144" s="6" t="s">
        <v>237</v>
      </c>
    </row>
    <row r="2145" spans="1:7" x14ac:dyDescent="0.35">
      <c r="A2145" s="6" t="s">
        <v>1533</v>
      </c>
      <c r="B2145" s="7">
        <v>30618</v>
      </c>
      <c r="C2145">
        <v>3</v>
      </c>
      <c r="D2145">
        <v>12788.18</v>
      </c>
      <c r="E2145" s="6" t="s">
        <v>8</v>
      </c>
      <c r="F2145" s="6" t="s">
        <v>11</v>
      </c>
      <c r="G2145" s="6" t="s">
        <v>525</v>
      </c>
    </row>
    <row r="2146" spans="1:7" x14ac:dyDescent="0.35">
      <c r="A2146" s="6" t="s">
        <v>1532</v>
      </c>
      <c r="B2146" s="7">
        <v>23350</v>
      </c>
      <c r="C2146">
        <v>0</v>
      </c>
      <c r="D2146">
        <v>12788.03</v>
      </c>
      <c r="E2146" s="6" t="s">
        <v>8</v>
      </c>
      <c r="F2146" s="6" t="s">
        <v>8</v>
      </c>
      <c r="G2146" s="6" t="s">
        <v>190</v>
      </c>
    </row>
    <row r="2147" spans="1:7" x14ac:dyDescent="0.35">
      <c r="A2147" s="6" t="s">
        <v>2280</v>
      </c>
      <c r="B2147" s="7">
        <v>23534</v>
      </c>
      <c r="C2147">
        <v>0</v>
      </c>
      <c r="D2147">
        <v>41250.39</v>
      </c>
      <c r="E2147" s="6" t="s">
        <v>11</v>
      </c>
      <c r="F2147" s="6" t="s">
        <v>8</v>
      </c>
      <c r="G2147" s="6" t="s">
        <v>32</v>
      </c>
    </row>
    <row r="2148" spans="1:7" x14ac:dyDescent="0.35">
      <c r="A2148" s="6" t="s">
        <v>1531</v>
      </c>
      <c r="B2148" s="7">
        <v>26579</v>
      </c>
      <c r="C2148">
        <v>0</v>
      </c>
      <c r="D2148">
        <v>12776.05</v>
      </c>
      <c r="E2148" s="6" t="s">
        <v>8</v>
      </c>
      <c r="F2148" s="6" t="s">
        <v>8</v>
      </c>
      <c r="G2148" s="6" t="s">
        <v>525</v>
      </c>
    </row>
    <row r="2149" spans="1:7" x14ac:dyDescent="0.35">
      <c r="A2149" s="6" t="s">
        <v>1530</v>
      </c>
      <c r="B2149" s="7">
        <v>27662</v>
      </c>
      <c r="C2149">
        <v>1</v>
      </c>
      <c r="D2149">
        <v>12770.27</v>
      </c>
      <c r="E2149" s="6" t="s">
        <v>8</v>
      </c>
      <c r="F2149" s="6" t="s">
        <v>8</v>
      </c>
      <c r="G2149" s="6" t="s">
        <v>290</v>
      </c>
    </row>
    <row r="2150" spans="1:7" x14ac:dyDescent="0.35">
      <c r="A2150" s="6" t="s">
        <v>1529</v>
      </c>
      <c r="B2150" s="7">
        <v>22920</v>
      </c>
      <c r="C2150">
        <v>0</v>
      </c>
      <c r="D2150">
        <v>12741.17</v>
      </c>
      <c r="E2150" s="6" t="s">
        <v>8</v>
      </c>
      <c r="F2150" s="6" t="s">
        <v>11</v>
      </c>
      <c r="G2150" s="6" t="s">
        <v>346</v>
      </c>
    </row>
    <row r="2151" spans="1:7" x14ac:dyDescent="0.35">
      <c r="A2151" s="6" t="s">
        <v>1528</v>
      </c>
      <c r="B2151" s="7">
        <v>22891</v>
      </c>
      <c r="C2151">
        <v>0</v>
      </c>
      <c r="D2151">
        <v>12731</v>
      </c>
      <c r="E2151" s="6" t="s">
        <v>8</v>
      </c>
      <c r="F2151" s="6" t="s">
        <v>8</v>
      </c>
      <c r="G2151" s="6" t="s">
        <v>158</v>
      </c>
    </row>
    <row r="2152" spans="1:7" x14ac:dyDescent="0.35">
      <c r="A2152" s="6" t="s">
        <v>1527</v>
      </c>
      <c r="B2152" s="7">
        <v>32341</v>
      </c>
      <c r="C2152">
        <v>3</v>
      </c>
      <c r="D2152">
        <v>12718.21</v>
      </c>
      <c r="E2152" s="6" t="s">
        <v>8</v>
      </c>
      <c r="F2152" s="6" t="s">
        <v>11</v>
      </c>
      <c r="G2152" s="6" t="s">
        <v>525</v>
      </c>
    </row>
    <row r="2153" spans="1:7" x14ac:dyDescent="0.35">
      <c r="A2153" s="6" t="s">
        <v>1526</v>
      </c>
      <c r="B2153" s="7">
        <v>25757</v>
      </c>
      <c r="C2153">
        <v>0</v>
      </c>
      <c r="D2153">
        <v>12713</v>
      </c>
      <c r="E2153" s="6" t="s">
        <v>8</v>
      </c>
      <c r="F2153" s="6" t="s">
        <v>11</v>
      </c>
      <c r="G2153" s="6" t="s">
        <v>32</v>
      </c>
    </row>
    <row r="2154" spans="1:7" x14ac:dyDescent="0.35">
      <c r="A2154" s="6" t="s">
        <v>1525</v>
      </c>
      <c r="B2154" s="7">
        <v>23709</v>
      </c>
      <c r="C2154">
        <v>0</v>
      </c>
      <c r="D2154">
        <v>12700.63</v>
      </c>
      <c r="E2154" s="6" t="s">
        <v>8</v>
      </c>
      <c r="F2154" s="6" t="s">
        <v>8</v>
      </c>
      <c r="G2154" s="6" t="s">
        <v>32</v>
      </c>
    </row>
    <row r="2155" spans="1:7" x14ac:dyDescent="0.35">
      <c r="A2155" s="6" t="s">
        <v>1524</v>
      </c>
      <c r="B2155" s="7">
        <v>33792</v>
      </c>
      <c r="C2155">
        <v>0</v>
      </c>
      <c r="D2155">
        <v>12699.56</v>
      </c>
      <c r="E2155" s="6" t="s">
        <v>8</v>
      </c>
      <c r="F2155" s="6" t="s">
        <v>7</v>
      </c>
      <c r="G2155" s="6" t="s">
        <v>32</v>
      </c>
    </row>
    <row r="2156" spans="1:7" x14ac:dyDescent="0.35">
      <c r="A2156" s="6" t="s">
        <v>1523</v>
      </c>
      <c r="B2156" s="7">
        <v>27296</v>
      </c>
      <c r="C2156">
        <v>0</v>
      </c>
      <c r="D2156">
        <v>12697.48</v>
      </c>
      <c r="E2156" s="6" t="s">
        <v>8</v>
      </c>
      <c r="F2156" s="6" t="s">
        <v>8</v>
      </c>
      <c r="G2156" s="6" t="s">
        <v>290</v>
      </c>
    </row>
    <row r="2157" spans="1:7" x14ac:dyDescent="0.35">
      <c r="A2157" s="6" t="s">
        <v>1522</v>
      </c>
      <c r="B2157" s="7">
        <v>22885</v>
      </c>
      <c r="C2157">
        <v>0</v>
      </c>
      <c r="D2157">
        <v>12648.7</v>
      </c>
      <c r="E2157" s="6" t="s">
        <v>8</v>
      </c>
      <c r="F2157" s="6" t="s">
        <v>7</v>
      </c>
      <c r="G2157" s="6" t="s">
        <v>9</v>
      </c>
    </row>
    <row r="2158" spans="1:7" x14ac:dyDescent="0.35">
      <c r="A2158" s="6" t="s">
        <v>2279</v>
      </c>
      <c r="B2158" s="7">
        <v>25423</v>
      </c>
      <c r="C2158">
        <v>0</v>
      </c>
      <c r="D2158">
        <v>41191.57</v>
      </c>
      <c r="E2158" s="6" t="s">
        <v>11</v>
      </c>
      <c r="F2158" s="6" t="s">
        <v>7</v>
      </c>
      <c r="G2158" s="6" t="s">
        <v>32</v>
      </c>
    </row>
    <row r="2159" spans="1:7" x14ac:dyDescent="0.35">
      <c r="A2159" s="6" t="s">
        <v>1521</v>
      </c>
      <c r="B2159" s="7">
        <v>23999</v>
      </c>
      <c r="C2159">
        <v>2</v>
      </c>
      <c r="D2159">
        <v>12646.21</v>
      </c>
      <c r="E2159" s="6" t="s">
        <v>8</v>
      </c>
      <c r="F2159" s="6" t="s">
        <v>7</v>
      </c>
      <c r="G2159" s="6" t="s">
        <v>32</v>
      </c>
    </row>
    <row r="2160" spans="1:7" x14ac:dyDescent="0.35">
      <c r="A2160" s="6" t="s">
        <v>1520</v>
      </c>
      <c r="B2160" s="7">
        <v>22838</v>
      </c>
      <c r="C2160">
        <v>0</v>
      </c>
      <c r="D2160">
        <v>12644.59</v>
      </c>
      <c r="E2160" s="6" t="s">
        <v>8</v>
      </c>
      <c r="F2160" s="6" t="s">
        <v>7</v>
      </c>
      <c r="G2160" s="6" t="s">
        <v>32</v>
      </c>
    </row>
    <row r="2161" spans="1:7" x14ac:dyDescent="0.35">
      <c r="A2161" s="6" t="s">
        <v>1519</v>
      </c>
      <c r="B2161" s="7">
        <v>24458</v>
      </c>
      <c r="C2161">
        <v>2</v>
      </c>
      <c r="D2161">
        <v>12643.38</v>
      </c>
      <c r="E2161" s="6" t="s">
        <v>8</v>
      </c>
      <c r="F2161" s="6" t="s">
        <v>11</v>
      </c>
      <c r="G2161" s="6" t="s">
        <v>16</v>
      </c>
    </row>
    <row r="2162" spans="1:7" x14ac:dyDescent="0.35">
      <c r="A2162" s="6" t="s">
        <v>1518</v>
      </c>
      <c r="B2162" s="7">
        <v>26547</v>
      </c>
      <c r="C2162">
        <v>0</v>
      </c>
      <c r="D2162">
        <v>12640.24</v>
      </c>
      <c r="E2162" s="6" t="s">
        <v>8</v>
      </c>
      <c r="F2162" s="6" t="s">
        <v>11</v>
      </c>
      <c r="G2162" s="6" t="s">
        <v>32</v>
      </c>
    </row>
    <row r="2163" spans="1:7" x14ac:dyDescent="0.35">
      <c r="A2163" s="6" t="s">
        <v>1517</v>
      </c>
      <c r="B2163" s="7">
        <v>22849</v>
      </c>
      <c r="C2163">
        <v>0</v>
      </c>
      <c r="D2163">
        <v>12638.2</v>
      </c>
      <c r="E2163" s="6" t="s">
        <v>8</v>
      </c>
      <c r="F2163" s="6" t="s">
        <v>11</v>
      </c>
      <c r="G2163" s="6" t="s">
        <v>32</v>
      </c>
    </row>
    <row r="2164" spans="1:7" x14ac:dyDescent="0.35">
      <c r="A2164" s="6" t="s">
        <v>1516</v>
      </c>
      <c r="B2164" s="7">
        <v>22972</v>
      </c>
      <c r="C2164">
        <v>0</v>
      </c>
      <c r="D2164">
        <v>12629.9</v>
      </c>
      <c r="E2164" s="6" t="s">
        <v>8</v>
      </c>
      <c r="F2164" s="6" t="s">
        <v>8</v>
      </c>
      <c r="G2164" s="6" t="s">
        <v>9</v>
      </c>
    </row>
    <row r="2165" spans="1:7" x14ac:dyDescent="0.35">
      <c r="A2165" s="6" t="s">
        <v>1515</v>
      </c>
      <c r="B2165" s="7">
        <v>24019</v>
      </c>
      <c r="C2165">
        <v>2</v>
      </c>
      <c r="D2165">
        <v>12629.17</v>
      </c>
      <c r="E2165" s="6" t="s">
        <v>8</v>
      </c>
      <c r="F2165" s="6" t="s">
        <v>11</v>
      </c>
      <c r="G2165" s="6" t="s">
        <v>9</v>
      </c>
    </row>
    <row r="2166" spans="1:7" x14ac:dyDescent="0.35">
      <c r="A2166" s="6" t="s">
        <v>1514</v>
      </c>
      <c r="B2166" s="7">
        <v>25930</v>
      </c>
      <c r="C2166">
        <v>0</v>
      </c>
      <c r="D2166">
        <v>12624.74</v>
      </c>
      <c r="E2166" s="6" t="s">
        <v>8</v>
      </c>
      <c r="F2166" s="6" t="s">
        <v>11</v>
      </c>
      <c r="G2166" s="6" t="s">
        <v>16</v>
      </c>
    </row>
    <row r="2167" spans="1:7" x14ac:dyDescent="0.35">
      <c r="A2167" s="6" t="s">
        <v>1513</v>
      </c>
      <c r="B2167" s="7">
        <v>23242</v>
      </c>
      <c r="C2167">
        <v>0</v>
      </c>
      <c r="D2167">
        <v>12622.18</v>
      </c>
      <c r="E2167" s="6" t="s">
        <v>8</v>
      </c>
      <c r="F2167" s="6" t="s">
        <v>11</v>
      </c>
      <c r="G2167" s="6" t="s">
        <v>16</v>
      </c>
    </row>
    <row r="2168" spans="1:7" x14ac:dyDescent="0.35">
      <c r="A2168" s="6" t="s">
        <v>1512</v>
      </c>
      <c r="B2168" s="7">
        <v>36117</v>
      </c>
      <c r="C2168">
        <v>1</v>
      </c>
      <c r="D2168">
        <v>12609.89</v>
      </c>
      <c r="E2168" s="6" t="s">
        <v>8</v>
      </c>
      <c r="F2168" s="6" t="s">
        <v>8</v>
      </c>
      <c r="G2168" s="6" t="s">
        <v>16</v>
      </c>
    </row>
    <row r="2169" spans="1:7" x14ac:dyDescent="0.35">
      <c r="A2169" s="6" t="s">
        <v>2278</v>
      </c>
      <c r="B2169" s="7">
        <v>26548</v>
      </c>
      <c r="C2169">
        <v>0</v>
      </c>
      <c r="D2169">
        <v>41097.160000000003</v>
      </c>
      <c r="E2169" s="6" t="s">
        <v>11</v>
      </c>
      <c r="F2169" s="6" t="s">
        <v>8</v>
      </c>
      <c r="G2169" s="6" t="s">
        <v>158</v>
      </c>
    </row>
    <row r="2170" spans="1:7" x14ac:dyDescent="0.35">
      <c r="A2170" s="6" t="s">
        <v>1511</v>
      </c>
      <c r="B2170" s="7">
        <v>32366</v>
      </c>
      <c r="C2170">
        <v>3</v>
      </c>
      <c r="D2170">
        <v>12600.46</v>
      </c>
      <c r="E2170" s="6" t="s">
        <v>8</v>
      </c>
      <c r="F2170" s="6" t="s">
        <v>11</v>
      </c>
      <c r="G2170" s="6" t="s">
        <v>239</v>
      </c>
    </row>
    <row r="2171" spans="1:7" x14ac:dyDescent="0.35">
      <c r="A2171" s="6" t="s">
        <v>1510</v>
      </c>
      <c r="B2171" s="7">
        <v>25737</v>
      </c>
      <c r="C2171">
        <v>5</v>
      </c>
      <c r="D2171">
        <v>12592.53</v>
      </c>
      <c r="E2171" s="6" t="s">
        <v>8</v>
      </c>
      <c r="F2171" s="6" t="s">
        <v>7</v>
      </c>
      <c r="G2171" s="6" t="s">
        <v>9</v>
      </c>
    </row>
    <row r="2172" spans="1:7" x14ac:dyDescent="0.35">
      <c r="A2172" s="6" t="s">
        <v>1509</v>
      </c>
      <c r="B2172" s="7">
        <v>25533</v>
      </c>
      <c r="C2172">
        <v>0</v>
      </c>
      <c r="D2172">
        <v>12579.92</v>
      </c>
      <c r="E2172" s="6" t="s">
        <v>8</v>
      </c>
      <c r="F2172" s="6" t="s">
        <v>11</v>
      </c>
      <c r="G2172" s="6" t="s">
        <v>190</v>
      </c>
    </row>
    <row r="2173" spans="1:7" x14ac:dyDescent="0.35">
      <c r="A2173" s="6" t="s">
        <v>1508</v>
      </c>
      <c r="B2173" s="7">
        <v>22613</v>
      </c>
      <c r="C2173">
        <v>0</v>
      </c>
      <c r="D2173">
        <v>12574.05</v>
      </c>
      <c r="E2173" s="6" t="s">
        <v>8</v>
      </c>
      <c r="F2173" s="6" t="s">
        <v>11</v>
      </c>
      <c r="G2173" s="6" t="s">
        <v>32</v>
      </c>
    </row>
    <row r="2174" spans="1:7" x14ac:dyDescent="0.35">
      <c r="A2174" s="6" t="s">
        <v>1507</v>
      </c>
      <c r="B2174" s="7">
        <v>22613</v>
      </c>
      <c r="C2174">
        <v>0</v>
      </c>
      <c r="D2174">
        <v>12557.61</v>
      </c>
      <c r="E2174" s="6" t="s">
        <v>8</v>
      </c>
      <c r="F2174" s="6" t="s">
        <v>8</v>
      </c>
      <c r="G2174" s="6" t="s">
        <v>9</v>
      </c>
    </row>
    <row r="2175" spans="1:7" x14ac:dyDescent="0.35">
      <c r="A2175" s="6" t="s">
        <v>1506</v>
      </c>
      <c r="B2175" s="7">
        <v>22935</v>
      </c>
      <c r="C2175">
        <v>0</v>
      </c>
      <c r="D2175">
        <v>12523.6</v>
      </c>
      <c r="E2175" s="6" t="s">
        <v>8</v>
      </c>
      <c r="F2175" s="6" t="s">
        <v>8</v>
      </c>
      <c r="G2175" s="6" t="s">
        <v>16</v>
      </c>
    </row>
    <row r="2176" spans="1:7" x14ac:dyDescent="0.35">
      <c r="A2176" s="6" t="s">
        <v>1505</v>
      </c>
      <c r="B2176" s="7">
        <v>24300</v>
      </c>
      <c r="C2176">
        <v>0</v>
      </c>
      <c r="D2176">
        <v>12499.88</v>
      </c>
      <c r="E2176" s="6" t="s">
        <v>8</v>
      </c>
      <c r="F2176" s="6" t="s">
        <v>7</v>
      </c>
      <c r="G2176" s="6" t="s">
        <v>16</v>
      </c>
    </row>
    <row r="2177" spans="1:7" x14ac:dyDescent="0.35">
      <c r="A2177" s="6" t="s">
        <v>1504</v>
      </c>
      <c r="B2177" s="7">
        <v>25175</v>
      </c>
      <c r="C2177">
        <v>3</v>
      </c>
      <c r="D2177">
        <v>12495.29</v>
      </c>
      <c r="E2177" s="6" t="s">
        <v>8</v>
      </c>
      <c r="F2177" s="6" t="s">
        <v>8</v>
      </c>
      <c r="G2177" s="6" t="s">
        <v>16</v>
      </c>
    </row>
    <row r="2178" spans="1:7" x14ac:dyDescent="0.35">
      <c r="A2178" s="6" t="s">
        <v>1503</v>
      </c>
      <c r="B2178" s="7">
        <v>24716</v>
      </c>
      <c r="C2178">
        <v>3</v>
      </c>
      <c r="D2178">
        <v>12485.8</v>
      </c>
      <c r="E2178" s="6" t="s">
        <v>8</v>
      </c>
      <c r="F2178" s="6" t="s">
        <v>8</v>
      </c>
      <c r="G2178" s="6" t="s">
        <v>9</v>
      </c>
    </row>
    <row r="2179" spans="1:7" x14ac:dyDescent="0.35">
      <c r="A2179" s="6" t="s">
        <v>1502</v>
      </c>
      <c r="B2179" s="7">
        <v>25154</v>
      </c>
      <c r="C2179">
        <v>3</v>
      </c>
      <c r="D2179">
        <v>12479.71</v>
      </c>
      <c r="E2179" s="6" t="s">
        <v>8</v>
      </c>
      <c r="F2179" s="6" t="s">
        <v>8</v>
      </c>
      <c r="G2179" s="6" t="s">
        <v>16</v>
      </c>
    </row>
    <row r="2180" spans="1:7" x14ac:dyDescent="0.35">
      <c r="A2180" s="6" t="s">
        <v>2277</v>
      </c>
      <c r="B2180" s="7">
        <v>26523</v>
      </c>
      <c r="C2180">
        <v>0</v>
      </c>
      <c r="D2180">
        <v>41055.29</v>
      </c>
      <c r="E2180" s="6" t="s">
        <v>11</v>
      </c>
      <c r="F2180" s="6" t="s">
        <v>7</v>
      </c>
      <c r="G2180" s="6" t="s">
        <v>32</v>
      </c>
    </row>
    <row r="2181" spans="1:7" x14ac:dyDescent="0.35">
      <c r="A2181" s="6" t="s">
        <v>1501</v>
      </c>
      <c r="B2181" s="7">
        <v>25168</v>
      </c>
      <c r="C2181">
        <v>3</v>
      </c>
      <c r="D2181">
        <v>12475.35</v>
      </c>
      <c r="E2181" s="6" t="s">
        <v>8</v>
      </c>
      <c r="F2181" s="6" t="s">
        <v>11</v>
      </c>
      <c r="G2181" s="6" t="s">
        <v>16</v>
      </c>
    </row>
    <row r="2182" spans="1:7" x14ac:dyDescent="0.35">
      <c r="A2182" s="6" t="s">
        <v>1500</v>
      </c>
      <c r="B2182" s="7">
        <v>34920</v>
      </c>
      <c r="C2182">
        <v>0</v>
      </c>
      <c r="D2182">
        <v>12452.25</v>
      </c>
      <c r="E2182" s="6" t="s">
        <v>8</v>
      </c>
      <c r="F2182" s="6" t="s">
        <v>8</v>
      </c>
      <c r="G2182" s="6" t="s">
        <v>16</v>
      </c>
    </row>
    <row r="2183" spans="1:7" x14ac:dyDescent="0.35">
      <c r="A2183" s="6" t="s">
        <v>1499</v>
      </c>
      <c r="B2183" s="7">
        <v>23593</v>
      </c>
      <c r="C2183">
        <v>0</v>
      </c>
      <c r="D2183">
        <v>12430.95</v>
      </c>
      <c r="E2183" s="6" t="s">
        <v>8</v>
      </c>
      <c r="F2183" s="6" t="s">
        <v>8</v>
      </c>
      <c r="G2183" s="6" t="s">
        <v>237</v>
      </c>
    </row>
    <row r="2184" spans="1:7" x14ac:dyDescent="0.35">
      <c r="A2184" s="6" t="s">
        <v>1498</v>
      </c>
      <c r="B2184" s="7">
        <v>29050</v>
      </c>
      <c r="C2184">
        <v>2</v>
      </c>
      <c r="D2184">
        <v>12408.29</v>
      </c>
      <c r="E2184" s="6" t="s">
        <v>8</v>
      </c>
      <c r="F2184" s="6" t="s">
        <v>11</v>
      </c>
      <c r="G2184" s="6" t="s">
        <v>622</v>
      </c>
    </row>
    <row r="2185" spans="1:7" x14ac:dyDescent="0.35">
      <c r="A2185" s="6" t="s">
        <v>1497</v>
      </c>
      <c r="B2185" s="7">
        <v>26532</v>
      </c>
      <c r="C2185">
        <v>0</v>
      </c>
      <c r="D2185">
        <v>12407.3</v>
      </c>
      <c r="E2185" s="6" t="s">
        <v>8</v>
      </c>
      <c r="F2185" s="6" t="s">
        <v>7</v>
      </c>
      <c r="G2185" s="6" t="s">
        <v>290</v>
      </c>
    </row>
    <row r="2186" spans="1:7" x14ac:dyDescent="0.35">
      <c r="A2186" s="6" t="s">
        <v>1496</v>
      </c>
      <c r="B2186" s="7">
        <v>32871</v>
      </c>
      <c r="C2186">
        <v>0</v>
      </c>
      <c r="D2186">
        <v>12404.88</v>
      </c>
      <c r="E2186" s="6" t="s">
        <v>8</v>
      </c>
      <c r="F2186" s="6" t="s">
        <v>8</v>
      </c>
      <c r="G2186" s="6" t="s">
        <v>158</v>
      </c>
    </row>
    <row r="2187" spans="1:7" x14ac:dyDescent="0.35">
      <c r="A2187" s="6" t="s">
        <v>1495</v>
      </c>
      <c r="B2187" s="7">
        <v>22915</v>
      </c>
      <c r="C2187">
        <v>0</v>
      </c>
      <c r="D2187">
        <v>12369.89</v>
      </c>
      <c r="E2187" s="6" t="s">
        <v>8</v>
      </c>
      <c r="F2187" s="6" t="s">
        <v>7</v>
      </c>
      <c r="G2187" s="6" t="s">
        <v>237</v>
      </c>
    </row>
    <row r="2188" spans="1:7" x14ac:dyDescent="0.35">
      <c r="A2188" s="6" t="s">
        <v>1494</v>
      </c>
      <c r="B2188" s="7">
        <v>24470</v>
      </c>
      <c r="C2188">
        <v>3</v>
      </c>
      <c r="D2188">
        <v>12363.55</v>
      </c>
      <c r="E2188" s="6" t="s">
        <v>8</v>
      </c>
      <c r="F2188" s="6" t="s">
        <v>8</v>
      </c>
      <c r="G2188" s="6" t="s">
        <v>32</v>
      </c>
    </row>
    <row r="2189" spans="1:7" x14ac:dyDescent="0.35">
      <c r="A2189" s="6" t="s">
        <v>1493</v>
      </c>
      <c r="B2189" s="7">
        <v>23276</v>
      </c>
      <c r="C2189">
        <v>1</v>
      </c>
      <c r="D2189">
        <v>12347.17</v>
      </c>
      <c r="E2189" s="6" t="s">
        <v>8</v>
      </c>
      <c r="F2189" s="6" t="s">
        <v>8</v>
      </c>
      <c r="G2189" s="6" t="s">
        <v>32</v>
      </c>
    </row>
    <row r="2190" spans="1:7" x14ac:dyDescent="0.35">
      <c r="A2190" s="6" t="s">
        <v>1492</v>
      </c>
      <c r="B2190" s="7">
        <v>23225</v>
      </c>
      <c r="C2190">
        <v>1</v>
      </c>
      <c r="D2190">
        <v>12333.83</v>
      </c>
      <c r="E2190" s="6" t="s">
        <v>8</v>
      </c>
      <c r="F2190" s="6" t="s">
        <v>7</v>
      </c>
      <c r="G2190" s="6" t="s">
        <v>32</v>
      </c>
    </row>
    <row r="2191" spans="1:7" x14ac:dyDescent="0.35">
      <c r="A2191" s="6" t="s">
        <v>2276</v>
      </c>
      <c r="B2191" s="7">
        <v>29139</v>
      </c>
      <c r="C2191">
        <v>1</v>
      </c>
      <c r="D2191">
        <v>41034.22</v>
      </c>
      <c r="E2191" s="6" t="s">
        <v>11</v>
      </c>
      <c r="F2191" s="6" t="s">
        <v>8</v>
      </c>
      <c r="G2191" s="6" t="s">
        <v>346</v>
      </c>
    </row>
    <row r="2192" spans="1:7" x14ac:dyDescent="0.35">
      <c r="A2192" s="6" t="s">
        <v>1491</v>
      </c>
      <c r="B2192" s="7">
        <v>23252</v>
      </c>
      <c r="C2192">
        <v>0</v>
      </c>
      <c r="D2192">
        <v>12323.94</v>
      </c>
      <c r="E2192" s="6" t="s">
        <v>8</v>
      </c>
      <c r="F2192" s="6" t="s">
        <v>8</v>
      </c>
      <c r="G2192" s="6" t="s">
        <v>346</v>
      </c>
    </row>
    <row r="2193" spans="1:7" x14ac:dyDescent="0.35">
      <c r="A2193" s="6" t="s">
        <v>1490</v>
      </c>
      <c r="B2193" s="7">
        <v>23312</v>
      </c>
      <c r="C2193">
        <v>0</v>
      </c>
      <c r="D2193">
        <v>12299.59</v>
      </c>
      <c r="E2193" s="6" t="s">
        <v>8</v>
      </c>
      <c r="F2193" s="6" t="s">
        <v>11</v>
      </c>
      <c r="G2193" s="6" t="s">
        <v>190</v>
      </c>
    </row>
    <row r="2194" spans="1:7" x14ac:dyDescent="0.35">
      <c r="A2194" s="6" t="s">
        <v>1489</v>
      </c>
      <c r="B2194" s="7">
        <v>33175</v>
      </c>
      <c r="C2194">
        <v>3</v>
      </c>
      <c r="D2194">
        <v>12282.38</v>
      </c>
      <c r="E2194" s="6" t="s">
        <v>8</v>
      </c>
      <c r="F2194" s="6" t="s">
        <v>11</v>
      </c>
      <c r="G2194" s="6" t="s">
        <v>32</v>
      </c>
    </row>
    <row r="2195" spans="1:7" x14ac:dyDescent="0.35">
      <c r="A2195" s="6" t="s">
        <v>1488</v>
      </c>
      <c r="B2195" s="7">
        <v>24427</v>
      </c>
      <c r="C2195">
        <v>0</v>
      </c>
      <c r="D2195">
        <v>12282.03</v>
      </c>
      <c r="E2195" s="6" t="s">
        <v>8</v>
      </c>
      <c r="F2195" s="6" t="s">
        <v>11</v>
      </c>
      <c r="G2195" s="6" t="s">
        <v>190</v>
      </c>
    </row>
    <row r="2196" spans="1:7" x14ac:dyDescent="0.35">
      <c r="A2196" s="6" t="s">
        <v>1487</v>
      </c>
      <c r="B2196" s="7">
        <v>24712</v>
      </c>
      <c r="C2196">
        <v>2</v>
      </c>
      <c r="D2196">
        <v>12269.69</v>
      </c>
      <c r="E2196" s="6" t="s">
        <v>8</v>
      </c>
      <c r="F2196" s="6" t="s">
        <v>7</v>
      </c>
      <c r="G2196" s="6" t="s">
        <v>16</v>
      </c>
    </row>
    <row r="2197" spans="1:7" x14ac:dyDescent="0.35">
      <c r="A2197" s="6" t="s">
        <v>1486</v>
      </c>
      <c r="B2197" s="7">
        <v>24836</v>
      </c>
      <c r="C2197">
        <v>2</v>
      </c>
      <c r="D2197">
        <v>12268.63</v>
      </c>
      <c r="E2197" s="6" t="s">
        <v>8</v>
      </c>
      <c r="F2197" s="6" t="s">
        <v>11</v>
      </c>
      <c r="G2197" s="6" t="s">
        <v>16</v>
      </c>
    </row>
    <row r="2198" spans="1:7" x14ac:dyDescent="0.35">
      <c r="A2198" s="6" t="s">
        <v>1485</v>
      </c>
      <c r="B2198" s="7">
        <v>24447</v>
      </c>
      <c r="C2198">
        <v>2</v>
      </c>
      <c r="D2198">
        <v>12265.51</v>
      </c>
      <c r="E2198" s="6" t="s">
        <v>8</v>
      </c>
      <c r="F2198" s="6" t="s">
        <v>8</v>
      </c>
      <c r="G2198" s="6" t="s">
        <v>9</v>
      </c>
    </row>
    <row r="2199" spans="1:7" x14ac:dyDescent="0.35">
      <c r="A2199" s="6" t="s">
        <v>1484</v>
      </c>
      <c r="B2199" s="7">
        <v>31637</v>
      </c>
      <c r="C2199">
        <v>3</v>
      </c>
      <c r="D2199">
        <v>12255.04</v>
      </c>
      <c r="E2199" s="6" t="s">
        <v>8</v>
      </c>
      <c r="F2199" s="6" t="s">
        <v>7</v>
      </c>
      <c r="G2199" s="6" t="s">
        <v>525</v>
      </c>
    </row>
    <row r="2200" spans="1:7" x14ac:dyDescent="0.35">
      <c r="A2200" s="6" t="s">
        <v>1483</v>
      </c>
      <c r="B2200" s="7">
        <v>32835</v>
      </c>
      <c r="C2200">
        <v>3</v>
      </c>
      <c r="D2200">
        <v>12254.44</v>
      </c>
      <c r="E2200" s="6" t="s">
        <v>8</v>
      </c>
      <c r="F2200" s="6" t="s">
        <v>8</v>
      </c>
      <c r="G2200" s="6" t="s">
        <v>525</v>
      </c>
    </row>
    <row r="2201" spans="1:7" x14ac:dyDescent="0.35">
      <c r="A2201" s="6" t="s">
        <v>1482</v>
      </c>
      <c r="B2201" s="7">
        <v>27203</v>
      </c>
      <c r="C2201">
        <v>0</v>
      </c>
      <c r="D2201">
        <v>12245.17</v>
      </c>
      <c r="E2201" s="6" t="s">
        <v>8</v>
      </c>
      <c r="F2201" s="6" t="s">
        <v>11</v>
      </c>
      <c r="G2201" s="6" t="s">
        <v>16</v>
      </c>
    </row>
    <row r="2202" spans="1:7" x14ac:dyDescent="0.35">
      <c r="A2202" s="6" t="s">
        <v>2275</v>
      </c>
      <c r="B2202" s="7">
        <v>27185</v>
      </c>
      <c r="C2202">
        <v>0</v>
      </c>
      <c r="D2202">
        <v>40974.160000000003</v>
      </c>
      <c r="E2202" s="6" t="s">
        <v>11</v>
      </c>
      <c r="F2202" s="6" t="s">
        <v>7</v>
      </c>
      <c r="G2202" s="6" t="s">
        <v>9</v>
      </c>
    </row>
    <row r="2203" spans="1:7" x14ac:dyDescent="0.35">
      <c r="A2203" s="6" t="s">
        <v>1481</v>
      </c>
      <c r="B2203" s="7">
        <v>23209</v>
      </c>
      <c r="C2203">
        <v>0</v>
      </c>
      <c r="D2203">
        <v>12244.53</v>
      </c>
      <c r="E2203" s="6" t="s">
        <v>8</v>
      </c>
      <c r="F2203" s="6" t="s">
        <v>11</v>
      </c>
      <c r="G2203" s="6" t="s">
        <v>9</v>
      </c>
    </row>
    <row r="2204" spans="1:7" x14ac:dyDescent="0.35">
      <c r="A2204" s="6" t="s">
        <v>1480</v>
      </c>
      <c r="B2204" s="7">
        <v>24317</v>
      </c>
      <c r="C2204">
        <v>0</v>
      </c>
      <c r="D2204">
        <v>12237.73</v>
      </c>
      <c r="E2204" s="6" t="s">
        <v>8</v>
      </c>
      <c r="F2204" s="6" t="s">
        <v>8</v>
      </c>
      <c r="G2204" s="6" t="s">
        <v>16</v>
      </c>
    </row>
    <row r="2205" spans="1:7" x14ac:dyDescent="0.35">
      <c r="A2205" s="6" t="s">
        <v>1479</v>
      </c>
      <c r="B2205" s="7">
        <v>23665</v>
      </c>
      <c r="C2205">
        <v>0</v>
      </c>
      <c r="D2205">
        <v>12235.84</v>
      </c>
      <c r="E2205" s="6" t="s">
        <v>8</v>
      </c>
      <c r="F2205" s="6" t="s">
        <v>8</v>
      </c>
      <c r="G2205" s="6" t="s">
        <v>16</v>
      </c>
    </row>
    <row r="2206" spans="1:7" x14ac:dyDescent="0.35">
      <c r="A2206" s="6" t="s">
        <v>1478</v>
      </c>
      <c r="B2206" s="7">
        <v>23211</v>
      </c>
      <c r="C2206">
        <v>0</v>
      </c>
      <c r="D2206">
        <v>12233.83</v>
      </c>
      <c r="E2206" s="6" t="s">
        <v>8</v>
      </c>
      <c r="F2206" s="6" t="s">
        <v>11</v>
      </c>
      <c r="G2206" s="6" t="s">
        <v>32</v>
      </c>
    </row>
    <row r="2207" spans="1:7" x14ac:dyDescent="0.35">
      <c r="A2207" s="6" t="s">
        <v>1477</v>
      </c>
      <c r="B2207" s="7">
        <v>23552</v>
      </c>
      <c r="C2207">
        <v>0</v>
      </c>
      <c r="D2207">
        <v>12231.61</v>
      </c>
      <c r="E2207" s="6" t="s">
        <v>8</v>
      </c>
      <c r="F2207" s="6" t="s">
        <v>8</v>
      </c>
      <c r="G2207" s="6" t="s">
        <v>16</v>
      </c>
    </row>
    <row r="2208" spans="1:7" x14ac:dyDescent="0.35">
      <c r="A2208" s="6" t="s">
        <v>1476</v>
      </c>
      <c r="B2208" s="7">
        <v>23560</v>
      </c>
      <c r="C2208">
        <v>0</v>
      </c>
      <c r="D2208">
        <v>12224.35</v>
      </c>
      <c r="E2208" s="6" t="s">
        <v>8</v>
      </c>
      <c r="F2208" s="6" t="s">
        <v>11</v>
      </c>
      <c r="G2208" s="6" t="s">
        <v>16</v>
      </c>
    </row>
    <row r="2209" spans="1:7" x14ac:dyDescent="0.35">
      <c r="A2209" s="6" t="s">
        <v>1475</v>
      </c>
      <c r="B2209" s="7">
        <v>23578</v>
      </c>
      <c r="C2209">
        <v>0</v>
      </c>
      <c r="D2209">
        <v>12222.9</v>
      </c>
      <c r="E2209" s="6" t="s">
        <v>8</v>
      </c>
      <c r="F2209" s="6" t="s">
        <v>7</v>
      </c>
      <c r="G2209" s="6" t="s">
        <v>16</v>
      </c>
    </row>
    <row r="2210" spans="1:7" x14ac:dyDescent="0.35">
      <c r="A2210" s="6" t="s">
        <v>1474</v>
      </c>
      <c r="B2210" s="7">
        <v>28351</v>
      </c>
      <c r="C2210">
        <v>2</v>
      </c>
      <c r="D2210">
        <v>12218.7</v>
      </c>
      <c r="E2210" s="6" t="s">
        <v>8</v>
      </c>
      <c r="F2210" s="6" t="s">
        <v>11</v>
      </c>
      <c r="G2210" s="6" t="s">
        <v>16</v>
      </c>
    </row>
    <row r="2211" spans="1:7" x14ac:dyDescent="0.35">
      <c r="A2211" s="6" t="s">
        <v>1473</v>
      </c>
      <c r="B2211" s="7">
        <v>33479</v>
      </c>
      <c r="C2211">
        <v>3</v>
      </c>
      <c r="D2211">
        <v>12198.64</v>
      </c>
      <c r="E2211" s="6" t="s">
        <v>8</v>
      </c>
      <c r="F2211" s="6" t="s">
        <v>8</v>
      </c>
      <c r="G2211" s="6" t="s">
        <v>525</v>
      </c>
    </row>
    <row r="2212" spans="1:7" x14ac:dyDescent="0.35">
      <c r="A2212" s="6" t="s">
        <v>1472</v>
      </c>
      <c r="B2212" s="7">
        <v>32055</v>
      </c>
      <c r="C2212">
        <v>3</v>
      </c>
      <c r="D2212">
        <v>12148.2</v>
      </c>
      <c r="E2212" s="6" t="s">
        <v>8</v>
      </c>
      <c r="F2212" s="6" t="s">
        <v>8</v>
      </c>
      <c r="G2212" s="6" t="s">
        <v>16</v>
      </c>
    </row>
    <row r="2213" spans="1:7" x14ac:dyDescent="0.35">
      <c r="A2213" s="6" t="s">
        <v>2274</v>
      </c>
      <c r="B2213" s="7">
        <v>30567</v>
      </c>
      <c r="C2213">
        <v>3</v>
      </c>
      <c r="D2213">
        <v>40961.29</v>
      </c>
      <c r="E2213" s="6" t="s">
        <v>11</v>
      </c>
      <c r="F2213" s="6" t="s">
        <v>7</v>
      </c>
      <c r="G2213" s="6" t="s">
        <v>32</v>
      </c>
    </row>
    <row r="2214" spans="1:7" x14ac:dyDescent="0.35">
      <c r="A2214" s="6" t="s">
        <v>1471</v>
      </c>
      <c r="B2214" s="7">
        <v>22904</v>
      </c>
      <c r="C2214">
        <v>0</v>
      </c>
      <c r="D2214">
        <v>12146.97</v>
      </c>
      <c r="E2214" s="6" t="s">
        <v>8</v>
      </c>
      <c r="F2214" s="6" t="s">
        <v>8</v>
      </c>
      <c r="G2214" s="6" t="s">
        <v>32</v>
      </c>
    </row>
    <row r="2215" spans="1:7" x14ac:dyDescent="0.35">
      <c r="A2215" s="6" t="s">
        <v>1470</v>
      </c>
      <c r="B2215" s="7">
        <v>22954</v>
      </c>
      <c r="C2215">
        <v>0</v>
      </c>
      <c r="D2215">
        <v>12142.58</v>
      </c>
      <c r="E2215" s="6" t="s">
        <v>8</v>
      </c>
      <c r="F2215" s="6" t="s">
        <v>7</v>
      </c>
      <c r="G2215" s="6" t="s">
        <v>9</v>
      </c>
    </row>
    <row r="2216" spans="1:7" x14ac:dyDescent="0.35">
      <c r="A2216" s="6" t="s">
        <v>1469</v>
      </c>
      <c r="B2216" s="7">
        <v>27288</v>
      </c>
      <c r="C2216">
        <v>0</v>
      </c>
      <c r="D2216">
        <v>12137.6</v>
      </c>
      <c r="E2216" s="6" t="s">
        <v>8</v>
      </c>
      <c r="F2216" s="6" t="s">
        <v>8</v>
      </c>
      <c r="G2216" s="6" t="s">
        <v>16</v>
      </c>
    </row>
    <row r="2217" spans="1:7" x14ac:dyDescent="0.35">
      <c r="A2217" s="6" t="s">
        <v>1468</v>
      </c>
      <c r="B2217" s="7">
        <v>33548</v>
      </c>
      <c r="C2217">
        <v>3</v>
      </c>
      <c r="D2217">
        <v>12130.8</v>
      </c>
      <c r="E2217" s="6" t="s">
        <v>8</v>
      </c>
      <c r="F2217" s="6" t="s">
        <v>8</v>
      </c>
      <c r="G2217" s="6" t="s">
        <v>525</v>
      </c>
    </row>
    <row r="2218" spans="1:7" x14ac:dyDescent="0.35">
      <c r="A2218" s="6" t="s">
        <v>1467</v>
      </c>
      <c r="B2218" s="7">
        <v>23166</v>
      </c>
      <c r="C2218">
        <v>0</v>
      </c>
      <c r="D2218">
        <v>12129.61</v>
      </c>
      <c r="E2218" s="6" t="s">
        <v>8</v>
      </c>
      <c r="F2218" s="6" t="s">
        <v>11</v>
      </c>
      <c r="G2218" s="6" t="s">
        <v>16</v>
      </c>
    </row>
    <row r="2219" spans="1:7" x14ac:dyDescent="0.35">
      <c r="A2219" s="6" t="s">
        <v>1466</v>
      </c>
      <c r="B2219" s="7">
        <v>23212</v>
      </c>
      <c r="C2219">
        <v>0</v>
      </c>
      <c r="D2219">
        <v>12124.99</v>
      </c>
      <c r="E2219" s="6" t="s">
        <v>8</v>
      </c>
      <c r="F2219" s="6" t="s">
        <v>11</v>
      </c>
      <c r="G2219" s="6" t="s">
        <v>16</v>
      </c>
    </row>
    <row r="2220" spans="1:7" x14ac:dyDescent="0.35">
      <c r="A2220" s="6" t="s">
        <v>1465</v>
      </c>
      <c r="B2220" s="7">
        <v>25136</v>
      </c>
      <c r="C2220">
        <v>3</v>
      </c>
      <c r="D2220">
        <v>12105.32</v>
      </c>
      <c r="E2220" s="6" t="s">
        <v>8</v>
      </c>
      <c r="F2220" s="6" t="s">
        <v>8</v>
      </c>
      <c r="G2220" s="6" t="s">
        <v>32</v>
      </c>
    </row>
    <row r="2221" spans="1:7" x14ac:dyDescent="0.35">
      <c r="A2221" s="6" t="s">
        <v>1464</v>
      </c>
      <c r="B2221" s="7">
        <v>25181</v>
      </c>
      <c r="C2221">
        <v>2</v>
      </c>
      <c r="D2221">
        <v>12096.65</v>
      </c>
      <c r="E2221" s="6" t="s">
        <v>8</v>
      </c>
      <c r="F2221" s="6" t="s">
        <v>11</v>
      </c>
      <c r="G2221" s="6" t="s">
        <v>237</v>
      </c>
    </row>
    <row r="2222" spans="1:7" x14ac:dyDescent="0.35">
      <c r="A2222" s="6" t="s">
        <v>1463</v>
      </c>
      <c r="B2222" s="7">
        <v>25010</v>
      </c>
      <c r="C2222">
        <v>3</v>
      </c>
      <c r="D2222">
        <v>12094.48</v>
      </c>
      <c r="E2222" s="6" t="s">
        <v>8</v>
      </c>
      <c r="F2222" s="6" t="s">
        <v>8</v>
      </c>
      <c r="G2222" s="6" t="s">
        <v>32</v>
      </c>
    </row>
    <row r="2223" spans="1:7" x14ac:dyDescent="0.35">
      <c r="A2223" s="6" t="s">
        <v>1462</v>
      </c>
      <c r="B2223" s="7">
        <v>30927</v>
      </c>
      <c r="C2223">
        <v>3</v>
      </c>
      <c r="D2223">
        <v>12091.34</v>
      </c>
      <c r="E2223" s="6" t="s">
        <v>8</v>
      </c>
      <c r="F2223" s="6" t="s">
        <v>7</v>
      </c>
      <c r="G2223" s="6" t="s">
        <v>622</v>
      </c>
    </row>
    <row r="2224" spans="1:7" x14ac:dyDescent="0.35">
      <c r="A2224" s="6" t="s">
        <v>2354</v>
      </c>
      <c r="B2224" s="7">
        <v>23258</v>
      </c>
      <c r="C2224">
        <v>1</v>
      </c>
      <c r="D2224">
        <v>48970.25</v>
      </c>
      <c r="E2224" s="6" t="s">
        <v>11</v>
      </c>
      <c r="F2224" s="6" t="s">
        <v>7</v>
      </c>
      <c r="G2224" s="6" t="s">
        <v>9</v>
      </c>
    </row>
    <row r="2225" spans="1:7" x14ac:dyDescent="0.35">
      <c r="A2225" s="6" t="s">
        <v>2273</v>
      </c>
      <c r="B2225" s="7">
        <v>29114</v>
      </c>
      <c r="C2225">
        <v>3</v>
      </c>
      <c r="D2225">
        <v>40941.29</v>
      </c>
      <c r="E2225" s="6" t="s">
        <v>11</v>
      </c>
      <c r="F2225" s="6" t="s">
        <v>7</v>
      </c>
      <c r="G2225" s="6" t="s">
        <v>9</v>
      </c>
    </row>
    <row r="2226" spans="1:7" x14ac:dyDescent="0.35">
      <c r="A2226" s="6" t="s">
        <v>1461</v>
      </c>
      <c r="B2226" s="7">
        <v>31662</v>
      </c>
      <c r="C2226">
        <v>3</v>
      </c>
      <c r="D2226">
        <v>12048.13</v>
      </c>
      <c r="E2226" s="6" t="s">
        <v>8</v>
      </c>
      <c r="F2226" s="6" t="s">
        <v>7</v>
      </c>
      <c r="G2226" s="6" t="s">
        <v>525</v>
      </c>
    </row>
    <row r="2227" spans="1:7" x14ac:dyDescent="0.35">
      <c r="A2227" s="6" t="s">
        <v>1460</v>
      </c>
      <c r="B2227" s="7">
        <v>24435</v>
      </c>
      <c r="C2227">
        <v>1</v>
      </c>
      <c r="D2227">
        <v>12044.34</v>
      </c>
      <c r="E2227" s="6" t="s">
        <v>8</v>
      </c>
      <c r="F2227" s="6" t="s">
        <v>11</v>
      </c>
      <c r="G2227" s="6" t="s">
        <v>16</v>
      </c>
    </row>
    <row r="2228" spans="1:7" x14ac:dyDescent="0.35">
      <c r="A2228" s="6" t="s">
        <v>1459</v>
      </c>
      <c r="B2228" s="7">
        <v>29144</v>
      </c>
      <c r="C2228">
        <v>2</v>
      </c>
      <c r="D2228">
        <v>12035.18</v>
      </c>
      <c r="E2228" s="6" t="s">
        <v>8</v>
      </c>
      <c r="F2228" s="6" t="s">
        <v>8</v>
      </c>
      <c r="G2228" s="6" t="s">
        <v>290</v>
      </c>
    </row>
    <row r="2229" spans="1:7" x14ac:dyDescent="0.35">
      <c r="A2229" s="6" t="s">
        <v>1458</v>
      </c>
      <c r="B2229" s="7">
        <v>24044</v>
      </c>
      <c r="C2229">
        <v>1</v>
      </c>
      <c r="D2229">
        <v>12032.33</v>
      </c>
      <c r="E2229" s="6" t="s">
        <v>8</v>
      </c>
      <c r="F2229" s="6" t="s">
        <v>11</v>
      </c>
      <c r="G2229" s="6" t="s">
        <v>32</v>
      </c>
    </row>
    <row r="2230" spans="1:7" x14ac:dyDescent="0.35">
      <c r="A2230" s="6" t="s">
        <v>1457</v>
      </c>
      <c r="B2230" s="7">
        <v>23902</v>
      </c>
      <c r="C2230">
        <v>0</v>
      </c>
      <c r="D2230">
        <v>12029.29</v>
      </c>
      <c r="E2230" s="6" t="s">
        <v>8</v>
      </c>
      <c r="F2230" s="6" t="s">
        <v>7</v>
      </c>
      <c r="G2230" s="6" t="s">
        <v>237</v>
      </c>
    </row>
    <row r="2231" spans="1:7" x14ac:dyDescent="0.35">
      <c r="A2231" s="6" t="s">
        <v>1456</v>
      </c>
      <c r="B2231" s="7">
        <v>30241</v>
      </c>
      <c r="C2231">
        <v>3</v>
      </c>
      <c r="D2231">
        <v>12001.29</v>
      </c>
      <c r="E2231" s="6" t="s">
        <v>8</v>
      </c>
      <c r="F2231" s="6" t="s">
        <v>8</v>
      </c>
      <c r="G2231" s="6" t="s">
        <v>290</v>
      </c>
    </row>
    <row r="2232" spans="1:7" x14ac:dyDescent="0.35">
      <c r="A2232" s="6" t="s">
        <v>1455</v>
      </c>
      <c r="B2232" s="7">
        <v>34315</v>
      </c>
      <c r="C2232">
        <v>0</v>
      </c>
      <c r="D2232">
        <v>11994.89</v>
      </c>
      <c r="E2232" s="6" t="s">
        <v>8</v>
      </c>
      <c r="F2232" s="6" t="s">
        <v>7</v>
      </c>
      <c r="G2232" s="6" t="s">
        <v>16</v>
      </c>
    </row>
    <row r="2233" spans="1:7" x14ac:dyDescent="0.35">
      <c r="A2233" s="6" t="s">
        <v>1454</v>
      </c>
      <c r="B2233" s="7">
        <v>30501</v>
      </c>
      <c r="C2233">
        <v>3</v>
      </c>
      <c r="D2233">
        <v>11987.68</v>
      </c>
      <c r="E2233" s="6" t="s">
        <v>8</v>
      </c>
      <c r="F2233" s="6" t="s">
        <v>7</v>
      </c>
      <c r="G2233" s="6" t="s">
        <v>525</v>
      </c>
    </row>
    <row r="2234" spans="1:7" x14ac:dyDescent="0.35">
      <c r="A2234" s="6" t="s">
        <v>1453</v>
      </c>
      <c r="B2234" s="7">
        <v>24828</v>
      </c>
      <c r="C2234">
        <v>3</v>
      </c>
      <c r="D2234">
        <v>11987.17</v>
      </c>
      <c r="E2234" s="6" t="s">
        <v>8</v>
      </c>
      <c r="F2234" s="6" t="s">
        <v>8</v>
      </c>
      <c r="G2234" s="6" t="s">
        <v>9</v>
      </c>
    </row>
    <row r="2235" spans="1:7" x14ac:dyDescent="0.35">
      <c r="A2235" s="6" t="s">
        <v>1452</v>
      </c>
      <c r="B2235" s="7">
        <v>23649</v>
      </c>
      <c r="C2235">
        <v>1</v>
      </c>
      <c r="D2235">
        <v>11946.63</v>
      </c>
      <c r="E2235" s="6" t="s">
        <v>8</v>
      </c>
      <c r="F2235" s="6" t="s">
        <v>7</v>
      </c>
      <c r="G2235" s="6" t="s">
        <v>9</v>
      </c>
    </row>
    <row r="2236" spans="1:7" x14ac:dyDescent="0.35">
      <c r="A2236" s="6" t="s">
        <v>2272</v>
      </c>
      <c r="B2236" s="7">
        <v>33820</v>
      </c>
      <c r="C2236">
        <v>3</v>
      </c>
      <c r="D2236">
        <v>40932.43</v>
      </c>
      <c r="E2236" s="6" t="s">
        <v>11</v>
      </c>
      <c r="F2236" s="6" t="s">
        <v>7</v>
      </c>
      <c r="G2236" s="6" t="s">
        <v>9</v>
      </c>
    </row>
    <row r="2237" spans="1:7" x14ac:dyDescent="0.35">
      <c r="A2237" s="6" t="s">
        <v>1451</v>
      </c>
      <c r="B2237" s="7">
        <v>24047</v>
      </c>
      <c r="C2237">
        <v>1</v>
      </c>
      <c r="D2237">
        <v>11945.13</v>
      </c>
      <c r="E2237" s="6" t="s">
        <v>8</v>
      </c>
      <c r="F2237" s="6" t="s">
        <v>7</v>
      </c>
      <c r="G2237" s="6" t="s">
        <v>16</v>
      </c>
    </row>
    <row r="2238" spans="1:7" x14ac:dyDescent="0.35">
      <c r="A2238" s="6" t="s">
        <v>1450</v>
      </c>
      <c r="B2238" s="7">
        <v>23736</v>
      </c>
      <c r="C2238">
        <v>0</v>
      </c>
      <c r="D2238">
        <v>11944.59</v>
      </c>
      <c r="E2238" s="6" t="s">
        <v>8</v>
      </c>
      <c r="F2238" s="6" t="s">
        <v>7</v>
      </c>
      <c r="G2238" s="6" t="s">
        <v>158</v>
      </c>
    </row>
    <row r="2239" spans="1:7" x14ac:dyDescent="0.35">
      <c r="A2239" s="6" t="s">
        <v>1449</v>
      </c>
      <c r="B2239" s="7">
        <v>33530</v>
      </c>
      <c r="C2239">
        <v>3</v>
      </c>
      <c r="D2239">
        <v>11941.83</v>
      </c>
      <c r="E2239" s="6" t="s">
        <v>8</v>
      </c>
      <c r="F2239" s="6" t="s">
        <v>11</v>
      </c>
      <c r="G2239" s="6" t="s">
        <v>239</v>
      </c>
    </row>
    <row r="2240" spans="1:7" x14ac:dyDescent="0.35">
      <c r="A2240" s="6" t="s">
        <v>1448</v>
      </c>
      <c r="B2240" s="7">
        <v>23591</v>
      </c>
      <c r="C2240">
        <v>0</v>
      </c>
      <c r="D2240">
        <v>11938.26</v>
      </c>
      <c r="E2240" s="6" t="s">
        <v>8</v>
      </c>
      <c r="F2240" s="6" t="s">
        <v>8</v>
      </c>
      <c r="G2240" s="6" t="s">
        <v>156</v>
      </c>
    </row>
    <row r="2241" spans="1:7" x14ac:dyDescent="0.35">
      <c r="A2241" s="6" t="s">
        <v>1447</v>
      </c>
      <c r="B2241" s="7">
        <v>23731</v>
      </c>
      <c r="C2241">
        <v>0</v>
      </c>
      <c r="D2241">
        <v>11931.13</v>
      </c>
      <c r="E2241" s="6" t="s">
        <v>8</v>
      </c>
      <c r="F2241" s="6" t="s">
        <v>11</v>
      </c>
      <c r="G2241" s="6" t="s">
        <v>156</v>
      </c>
    </row>
    <row r="2242" spans="1:7" x14ac:dyDescent="0.35">
      <c r="A2242" s="6" t="s">
        <v>1446</v>
      </c>
      <c r="B2242" s="7">
        <v>23700</v>
      </c>
      <c r="C2242">
        <v>0</v>
      </c>
      <c r="D2242">
        <v>11918.2</v>
      </c>
      <c r="E2242" s="6" t="s">
        <v>8</v>
      </c>
      <c r="F2242" s="6" t="s">
        <v>11</v>
      </c>
      <c r="G2242" s="6" t="s">
        <v>290</v>
      </c>
    </row>
    <row r="2243" spans="1:7" x14ac:dyDescent="0.35">
      <c r="A2243" s="6" t="s">
        <v>1445</v>
      </c>
      <c r="B2243" s="7">
        <v>38140</v>
      </c>
      <c r="C2243">
        <v>2</v>
      </c>
      <c r="D2243">
        <v>11884.05</v>
      </c>
      <c r="E2243" s="6" t="s">
        <v>8</v>
      </c>
      <c r="F2243" s="6" t="s">
        <v>8</v>
      </c>
      <c r="G2243" s="6" t="s">
        <v>9</v>
      </c>
    </row>
    <row r="2244" spans="1:7" x14ac:dyDescent="0.35">
      <c r="A2244" s="6" t="s">
        <v>1444</v>
      </c>
      <c r="B2244" s="7">
        <v>24774</v>
      </c>
      <c r="C2244">
        <v>2</v>
      </c>
      <c r="D2244">
        <v>11881.97</v>
      </c>
      <c r="E2244" s="6" t="s">
        <v>8</v>
      </c>
      <c r="F2244" s="6" t="s">
        <v>11</v>
      </c>
      <c r="G2244" s="6" t="s">
        <v>9</v>
      </c>
    </row>
    <row r="2245" spans="1:7" x14ac:dyDescent="0.35">
      <c r="A2245" s="6" t="s">
        <v>1443</v>
      </c>
      <c r="B2245" s="7">
        <v>24667</v>
      </c>
      <c r="C2245">
        <v>2</v>
      </c>
      <c r="D2245">
        <v>11881.36</v>
      </c>
      <c r="E2245" s="6" t="s">
        <v>8</v>
      </c>
      <c r="F2245" s="6" t="s">
        <v>7</v>
      </c>
      <c r="G2245" s="6" t="s">
        <v>32</v>
      </c>
    </row>
    <row r="2246" spans="1:7" x14ac:dyDescent="0.35">
      <c r="A2246" s="6" t="s">
        <v>1442</v>
      </c>
      <c r="B2246" s="7">
        <v>24708</v>
      </c>
      <c r="C2246">
        <v>1</v>
      </c>
      <c r="D2246">
        <v>11879.1</v>
      </c>
      <c r="E2246" s="6" t="s">
        <v>8</v>
      </c>
      <c r="F2246" s="6" t="s">
        <v>8</v>
      </c>
      <c r="G2246" s="6" t="s">
        <v>237</v>
      </c>
    </row>
    <row r="2247" spans="1:7" x14ac:dyDescent="0.35">
      <c r="A2247" s="6" t="s">
        <v>2271</v>
      </c>
      <c r="B2247" s="7">
        <v>36343</v>
      </c>
      <c r="C2247">
        <v>1</v>
      </c>
      <c r="D2247">
        <v>40904.199999999997</v>
      </c>
      <c r="E2247" s="6" t="s">
        <v>11</v>
      </c>
      <c r="F2247" s="6" t="s">
        <v>11</v>
      </c>
      <c r="G2247" s="6" t="s">
        <v>237</v>
      </c>
    </row>
    <row r="2248" spans="1:7" x14ac:dyDescent="0.35">
      <c r="A2248" s="6" t="s">
        <v>1441</v>
      </c>
      <c r="B2248" s="7">
        <v>27217</v>
      </c>
      <c r="C2248">
        <v>0</v>
      </c>
      <c r="D2248">
        <v>11858.56</v>
      </c>
      <c r="E2248" s="6" t="s">
        <v>8</v>
      </c>
      <c r="F2248" s="6" t="s">
        <v>8</v>
      </c>
      <c r="G2248" s="6" t="s">
        <v>32</v>
      </c>
    </row>
    <row r="2249" spans="1:7" x14ac:dyDescent="0.35">
      <c r="A2249" s="6" t="s">
        <v>1440</v>
      </c>
      <c r="B2249" s="7">
        <v>23649</v>
      </c>
      <c r="C2249">
        <v>0</v>
      </c>
      <c r="D2249">
        <v>11856.41</v>
      </c>
      <c r="E2249" s="6" t="s">
        <v>8</v>
      </c>
      <c r="F2249" s="6" t="s">
        <v>7</v>
      </c>
      <c r="G2249" s="6" t="s">
        <v>9</v>
      </c>
    </row>
    <row r="2250" spans="1:7" x14ac:dyDescent="0.35">
      <c r="A2250" s="6" t="s">
        <v>1439</v>
      </c>
      <c r="B2250" s="7">
        <v>23555</v>
      </c>
      <c r="C2250">
        <v>0</v>
      </c>
      <c r="D2250">
        <v>11848.14</v>
      </c>
      <c r="E2250" s="6" t="s">
        <v>8</v>
      </c>
      <c r="F2250" s="6" t="s">
        <v>7</v>
      </c>
      <c r="G2250" s="6" t="s">
        <v>32</v>
      </c>
    </row>
    <row r="2251" spans="1:7" x14ac:dyDescent="0.35">
      <c r="A2251" s="6" t="s">
        <v>1438</v>
      </c>
      <c r="B2251" s="7">
        <v>24056</v>
      </c>
      <c r="C2251">
        <v>0</v>
      </c>
      <c r="D2251">
        <v>11842.62</v>
      </c>
      <c r="E2251" s="6" t="s">
        <v>8</v>
      </c>
      <c r="F2251" s="6" t="s">
        <v>8</v>
      </c>
      <c r="G2251" s="6" t="s">
        <v>16</v>
      </c>
    </row>
    <row r="2252" spans="1:7" x14ac:dyDescent="0.35">
      <c r="A2252" s="6" t="s">
        <v>1437</v>
      </c>
      <c r="B2252" s="7">
        <v>23569</v>
      </c>
      <c r="C2252">
        <v>0</v>
      </c>
      <c r="D2252">
        <v>11842.44</v>
      </c>
      <c r="E2252" s="6" t="s">
        <v>8</v>
      </c>
      <c r="F2252" s="6" t="s">
        <v>7</v>
      </c>
      <c r="G2252" s="6" t="s">
        <v>32</v>
      </c>
    </row>
    <row r="2253" spans="1:7" x14ac:dyDescent="0.35">
      <c r="A2253" s="6" t="s">
        <v>1436</v>
      </c>
      <c r="B2253" s="7">
        <v>24010</v>
      </c>
      <c r="C2253">
        <v>0</v>
      </c>
      <c r="D2253">
        <v>11840.78</v>
      </c>
      <c r="E2253" s="6" t="s">
        <v>8</v>
      </c>
      <c r="F2253" s="6" t="s">
        <v>7</v>
      </c>
      <c r="G2253" s="6" t="s">
        <v>16</v>
      </c>
    </row>
    <row r="2254" spans="1:7" x14ac:dyDescent="0.35">
      <c r="A2254" s="6" t="s">
        <v>1435</v>
      </c>
      <c r="B2254" s="7">
        <v>23631</v>
      </c>
      <c r="C2254">
        <v>0</v>
      </c>
      <c r="D2254">
        <v>11837.16</v>
      </c>
      <c r="E2254" s="6" t="s">
        <v>8</v>
      </c>
      <c r="F2254" s="6" t="s">
        <v>8</v>
      </c>
      <c r="G2254" s="6" t="s">
        <v>32</v>
      </c>
    </row>
    <row r="2255" spans="1:7" x14ac:dyDescent="0.35">
      <c r="A2255" s="6" t="s">
        <v>1434</v>
      </c>
      <c r="B2255" s="7">
        <v>23555</v>
      </c>
      <c r="C2255">
        <v>0</v>
      </c>
      <c r="D2255">
        <v>11833.78</v>
      </c>
      <c r="E2255" s="6" t="s">
        <v>8</v>
      </c>
      <c r="F2255" s="6" t="s">
        <v>8</v>
      </c>
      <c r="G2255" s="6" t="s">
        <v>9</v>
      </c>
    </row>
    <row r="2256" spans="1:7" x14ac:dyDescent="0.35">
      <c r="A2256" s="6" t="s">
        <v>1433</v>
      </c>
      <c r="B2256" s="7">
        <v>24018</v>
      </c>
      <c r="C2256">
        <v>0</v>
      </c>
      <c r="D2256">
        <v>11830.61</v>
      </c>
      <c r="E2256" s="6" t="s">
        <v>8</v>
      </c>
      <c r="F2256" s="6" t="s">
        <v>11</v>
      </c>
      <c r="G2256" s="6" t="s">
        <v>16</v>
      </c>
    </row>
    <row r="2257" spans="1:7" x14ac:dyDescent="0.35">
      <c r="A2257" s="6" t="s">
        <v>1432</v>
      </c>
      <c r="B2257" s="7">
        <v>30275</v>
      </c>
      <c r="C2257">
        <v>3</v>
      </c>
      <c r="D2257">
        <v>11773.06</v>
      </c>
      <c r="E2257" s="6" t="s">
        <v>8</v>
      </c>
      <c r="F2257" s="6" t="s">
        <v>8</v>
      </c>
      <c r="G2257" s="6" t="s">
        <v>525</v>
      </c>
    </row>
    <row r="2258" spans="1:7" x14ac:dyDescent="0.35">
      <c r="A2258" s="6" t="s">
        <v>2270</v>
      </c>
      <c r="B2258" s="7">
        <v>26460</v>
      </c>
      <c r="C2258">
        <v>0</v>
      </c>
      <c r="D2258">
        <v>40817.85</v>
      </c>
      <c r="E2258" s="6" t="s">
        <v>11</v>
      </c>
      <c r="F2258" s="6" t="s">
        <v>8</v>
      </c>
      <c r="G2258" s="6" t="s">
        <v>32</v>
      </c>
    </row>
    <row r="2259" spans="1:7" x14ac:dyDescent="0.35">
      <c r="A2259" s="6" t="s">
        <v>1431</v>
      </c>
      <c r="B2259" s="7">
        <v>24313</v>
      </c>
      <c r="C2259">
        <v>1</v>
      </c>
      <c r="D2259">
        <v>11763</v>
      </c>
      <c r="E2259" s="6" t="s">
        <v>8</v>
      </c>
      <c r="F2259" s="6" t="s">
        <v>8</v>
      </c>
      <c r="G2259" s="6" t="s">
        <v>158</v>
      </c>
    </row>
    <row r="2260" spans="1:7" x14ac:dyDescent="0.35">
      <c r="A2260" s="6" t="s">
        <v>1430</v>
      </c>
      <c r="B2260" s="7">
        <v>29165</v>
      </c>
      <c r="C2260">
        <v>2</v>
      </c>
      <c r="D2260">
        <v>11752.68</v>
      </c>
      <c r="E2260" s="6" t="s">
        <v>8</v>
      </c>
      <c r="F2260" s="6" t="s">
        <v>11</v>
      </c>
      <c r="G2260" s="6" t="s">
        <v>525</v>
      </c>
    </row>
    <row r="2261" spans="1:7" x14ac:dyDescent="0.35">
      <c r="A2261" s="6" t="s">
        <v>1429</v>
      </c>
      <c r="B2261" s="7">
        <v>23713</v>
      </c>
      <c r="C2261">
        <v>0</v>
      </c>
      <c r="D2261">
        <v>11743.93</v>
      </c>
      <c r="E2261" s="6" t="s">
        <v>8</v>
      </c>
      <c r="F2261" s="6" t="s">
        <v>11</v>
      </c>
      <c r="G2261" s="6" t="s">
        <v>16</v>
      </c>
    </row>
    <row r="2262" spans="1:7" x14ac:dyDescent="0.35">
      <c r="A2262" s="6" t="s">
        <v>1428</v>
      </c>
      <c r="B2262" s="7">
        <v>23171</v>
      </c>
      <c r="C2262">
        <v>0</v>
      </c>
      <c r="D2262">
        <v>11743.3</v>
      </c>
      <c r="E2262" s="6" t="s">
        <v>8</v>
      </c>
      <c r="F2262" s="6" t="s">
        <v>8</v>
      </c>
      <c r="G2262" s="6" t="s">
        <v>9</v>
      </c>
    </row>
    <row r="2263" spans="1:7" x14ac:dyDescent="0.35">
      <c r="A2263" s="6" t="s">
        <v>1427</v>
      </c>
      <c r="B2263" s="7">
        <v>25519</v>
      </c>
      <c r="C2263">
        <v>3</v>
      </c>
      <c r="D2263">
        <v>11741.73</v>
      </c>
      <c r="E2263" s="6" t="s">
        <v>8</v>
      </c>
      <c r="F2263" s="6" t="s">
        <v>11</v>
      </c>
      <c r="G2263" s="6" t="s">
        <v>32</v>
      </c>
    </row>
    <row r="2264" spans="1:7" x14ac:dyDescent="0.35">
      <c r="A2264" s="6" t="s">
        <v>1426</v>
      </c>
      <c r="B2264" s="7">
        <v>32391</v>
      </c>
      <c r="C2264">
        <v>2</v>
      </c>
      <c r="D2264">
        <v>11737.85</v>
      </c>
      <c r="E2264" s="6" t="s">
        <v>8</v>
      </c>
      <c r="F2264" s="6" t="s">
        <v>11</v>
      </c>
      <c r="G2264" s="6" t="s">
        <v>32</v>
      </c>
    </row>
    <row r="2265" spans="1:7" x14ac:dyDescent="0.35">
      <c r="A2265" s="6" t="s">
        <v>1425</v>
      </c>
      <c r="B2265" s="7">
        <v>23690</v>
      </c>
      <c r="C2265">
        <v>0</v>
      </c>
      <c r="D2265">
        <v>11735.88</v>
      </c>
      <c r="E2265" s="6" t="s">
        <v>8</v>
      </c>
      <c r="F2265" s="6" t="s">
        <v>11</v>
      </c>
      <c r="G2265" s="6" t="s">
        <v>16</v>
      </c>
    </row>
    <row r="2266" spans="1:7" x14ac:dyDescent="0.35">
      <c r="A2266" s="6" t="s">
        <v>1424</v>
      </c>
      <c r="B2266" s="7">
        <v>31012</v>
      </c>
      <c r="C2266">
        <v>3</v>
      </c>
      <c r="D2266">
        <v>11730.82</v>
      </c>
      <c r="E2266" s="6" t="s">
        <v>8</v>
      </c>
      <c r="F2266" s="6" t="s">
        <v>8</v>
      </c>
      <c r="G2266" s="6" t="s">
        <v>525</v>
      </c>
    </row>
    <row r="2267" spans="1:7" x14ac:dyDescent="0.35">
      <c r="A2267" s="6" t="s">
        <v>1423</v>
      </c>
      <c r="B2267" s="7">
        <v>25488</v>
      </c>
      <c r="C2267">
        <v>2</v>
      </c>
      <c r="D2267">
        <v>11729.68</v>
      </c>
      <c r="E2267" s="6" t="s">
        <v>8</v>
      </c>
      <c r="F2267" s="6" t="s">
        <v>11</v>
      </c>
      <c r="G2267" s="6" t="s">
        <v>237</v>
      </c>
    </row>
    <row r="2268" spans="1:7" x14ac:dyDescent="0.35">
      <c r="A2268" s="6" t="s">
        <v>1422</v>
      </c>
      <c r="B2268" s="7">
        <v>30245</v>
      </c>
      <c r="C2268">
        <v>3</v>
      </c>
      <c r="D2268">
        <v>11712.97</v>
      </c>
      <c r="E2268" s="6" t="s">
        <v>8</v>
      </c>
      <c r="F2268" s="6" t="s">
        <v>7</v>
      </c>
      <c r="G2268" s="6" t="s">
        <v>290</v>
      </c>
    </row>
    <row r="2269" spans="1:7" x14ac:dyDescent="0.35">
      <c r="A2269" s="6" t="s">
        <v>2269</v>
      </c>
      <c r="B2269" s="7">
        <v>28120</v>
      </c>
      <c r="C2269">
        <v>3</v>
      </c>
      <c r="D2269">
        <v>40720.550000000003</v>
      </c>
      <c r="E2269" s="6" t="s">
        <v>11</v>
      </c>
      <c r="F2269" s="6" t="s">
        <v>8</v>
      </c>
      <c r="G2269" s="6" t="s">
        <v>16</v>
      </c>
    </row>
    <row r="2270" spans="1:7" x14ac:dyDescent="0.35">
      <c r="A2270" s="6" t="s">
        <v>1421</v>
      </c>
      <c r="B2270" s="7">
        <v>25903</v>
      </c>
      <c r="C2270">
        <v>0</v>
      </c>
      <c r="D2270">
        <v>11696.52</v>
      </c>
      <c r="E2270" s="6" t="s">
        <v>8</v>
      </c>
      <c r="F2270" s="6" t="s">
        <v>11</v>
      </c>
      <c r="G2270" s="6" t="s">
        <v>290</v>
      </c>
    </row>
    <row r="2271" spans="1:7" x14ac:dyDescent="0.35">
      <c r="A2271" s="6" t="s">
        <v>1420</v>
      </c>
      <c r="B2271" s="7">
        <v>24420</v>
      </c>
      <c r="C2271">
        <v>1</v>
      </c>
      <c r="D2271">
        <v>11674.13</v>
      </c>
      <c r="E2271" s="6" t="s">
        <v>8</v>
      </c>
      <c r="F2271" s="6" t="s">
        <v>11</v>
      </c>
      <c r="G2271" s="6" t="s">
        <v>32</v>
      </c>
    </row>
    <row r="2272" spans="1:7" x14ac:dyDescent="0.35">
      <c r="A2272" s="6" t="s">
        <v>1419</v>
      </c>
      <c r="B2272" s="7">
        <v>24342</v>
      </c>
      <c r="C2272">
        <v>0</v>
      </c>
      <c r="D2272">
        <v>11658.38</v>
      </c>
      <c r="E2272" s="6" t="s">
        <v>8</v>
      </c>
      <c r="F2272" s="6" t="s">
        <v>8</v>
      </c>
      <c r="G2272" s="6" t="s">
        <v>237</v>
      </c>
    </row>
    <row r="2273" spans="1:7" x14ac:dyDescent="0.35">
      <c r="A2273" s="6" t="s">
        <v>1418</v>
      </c>
      <c r="B2273" s="7">
        <v>24294</v>
      </c>
      <c r="C2273">
        <v>0</v>
      </c>
      <c r="D2273">
        <v>11658.12</v>
      </c>
      <c r="E2273" s="6" t="s">
        <v>8</v>
      </c>
      <c r="F2273" s="6" t="s">
        <v>11</v>
      </c>
      <c r="G2273" s="6" t="s">
        <v>237</v>
      </c>
    </row>
    <row r="2274" spans="1:7" x14ac:dyDescent="0.35">
      <c r="A2274" s="6" t="s">
        <v>1417</v>
      </c>
      <c r="B2274" s="7">
        <v>34535</v>
      </c>
      <c r="C2274">
        <v>0</v>
      </c>
      <c r="D2274">
        <v>11657.81</v>
      </c>
      <c r="E2274" s="6" t="s">
        <v>8</v>
      </c>
      <c r="F2274" s="6" t="s">
        <v>7</v>
      </c>
      <c r="G2274" s="6" t="s">
        <v>239</v>
      </c>
    </row>
    <row r="2275" spans="1:7" x14ac:dyDescent="0.35">
      <c r="A2275" s="6" t="s">
        <v>1416</v>
      </c>
      <c r="B2275" s="7">
        <v>24384</v>
      </c>
      <c r="C2275">
        <v>0</v>
      </c>
      <c r="D2275">
        <v>11657.72</v>
      </c>
      <c r="E2275" s="6" t="s">
        <v>8</v>
      </c>
      <c r="F2275" s="6" t="s">
        <v>7</v>
      </c>
      <c r="G2275" s="6" t="s">
        <v>237</v>
      </c>
    </row>
    <row r="2276" spans="1:7" x14ac:dyDescent="0.35">
      <c r="A2276" s="6" t="s">
        <v>1415</v>
      </c>
      <c r="B2276" s="7">
        <v>31610</v>
      </c>
      <c r="C2276">
        <v>3</v>
      </c>
      <c r="D2276">
        <v>11625.11</v>
      </c>
      <c r="E2276" s="6" t="s">
        <v>8</v>
      </c>
      <c r="F2276" s="6" t="s">
        <v>8</v>
      </c>
      <c r="G2276" s="6" t="s">
        <v>622</v>
      </c>
    </row>
    <row r="2277" spans="1:7" x14ac:dyDescent="0.35">
      <c r="A2277" s="6" t="s">
        <v>1414</v>
      </c>
      <c r="B2277" s="7">
        <v>23548</v>
      </c>
      <c r="C2277">
        <v>0</v>
      </c>
      <c r="D2277">
        <v>11602.75</v>
      </c>
      <c r="E2277" s="6" t="s">
        <v>8</v>
      </c>
      <c r="F2277" s="6" t="s">
        <v>11</v>
      </c>
      <c r="G2277" s="6" t="s">
        <v>506</v>
      </c>
    </row>
    <row r="2278" spans="1:7" x14ac:dyDescent="0.35">
      <c r="A2278" s="6" t="s">
        <v>1413</v>
      </c>
      <c r="B2278" s="7">
        <v>24052</v>
      </c>
      <c r="C2278">
        <v>1</v>
      </c>
      <c r="D2278">
        <v>11576.13</v>
      </c>
      <c r="E2278" s="6" t="s">
        <v>8</v>
      </c>
      <c r="F2278" s="6" t="s">
        <v>8</v>
      </c>
      <c r="G2278" s="6" t="s">
        <v>32</v>
      </c>
    </row>
    <row r="2279" spans="1:7" x14ac:dyDescent="0.35">
      <c r="A2279" s="6" t="s">
        <v>1412</v>
      </c>
      <c r="B2279" s="7">
        <v>24101</v>
      </c>
      <c r="C2279">
        <v>0</v>
      </c>
      <c r="D2279">
        <v>11566.3</v>
      </c>
      <c r="E2279" s="6" t="s">
        <v>8</v>
      </c>
      <c r="F2279" s="6" t="s">
        <v>8</v>
      </c>
      <c r="G2279" s="6" t="s">
        <v>158</v>
      </c>
    </row>
    <row r="2280" spans="1:7" x14ac:dyDescent="0.35">
      <c r="A2280" s="6" t="s">
        <v>2268</v>
      </c>
      <c r="B2280" s="7">
        <v>25836</v>
      </c>
      <c r="C2280">
        <v>0</v>
      </c>
      <c r="D2280">
        <v>40692.910000000003</v>
      </c>
      <c r="E2280" s="6" t="s">
        <v>11</v>
      </c>
      <c r="F2280" s="6" t="s">
        <v>11</v>
      </c>
      <c r="G2280" s="6" t="s">
        <v>32</v>
      </c>
    </row>
    <row r="2281" spans="1:7" x14ac:dyDescent="0.35">
      <c r="A2281" s="6" t="s">
        <v>1411</v>
      </c>
      <c r="B2281" s="7">
        <v>24042</v>
      </c>
      <c r="C2281">
        <v>1</v>
      </c>
      <c r="D2281">
        <v>11554.22</v>
      </c>
      <c r="E2281" s="6" t="s">
        <v>8</v>
      </c>
      <c r="F2281" s="6" t="s">
        <v>11</v>
      </c>
      <c r="G2281" s="6" t="s">
        <v>9</v>
      </c>
    </row>
    <row r="2282" spans="1:7" x14ac:dyDescent="0.35">
      <c r="A2282" s="6" t="s">
        <v>1410</v>
      </c>
      <c r="B2282" s="7">
        <v>26868</v>
      </c>
      <c r="C2282">
        <v>5</v>
      </c>
      <c r="D2282">
        <v>11552.9</v>
      </c>
      <c r="E2282" s="6" t="s">
        <v>8</v>
      </c>
      <c r="F2282" s="6" t="s">
        <v>7</v>
      </c>
      <c r="G2282" s="6" t="s">
        <v>32</v>
      </c>
    </row>
    <row r="2283" spans="1:7" x14ac:dyDescent="0.35">
      <c r="A2283" s="6" t="s">
        <v>1409</v>
      </c>
      <c r="B2283" s="7">
        <v>26268</v>
      </c>
      <c r="C2283">
        <v>0</v>
      </c>
      <c r="D2283">
        <v>11540.25</v>
      </c>
      <c r="E2283" s="6" t="s">
        <v>8</v>
      </c>
      <c r="F2283" s="6" t="s">
        <v>11</v>
      </c>
      <c r="G2283" s="6" t="s">
        <v>16</v>
      </c>
    </row>
    <row r="2284" spans="1:7" x14ac:dyDescent="0.35">
      <c r="A2284" s="6" t="s">
        <v>1408</v>
      </c>
      <c r="B2284" s="7">
        <v>25156</v>
      </c>
      <c r="C2284">
        <v>2</v>
      </c>
      <c r="D2284">
        <v>11538.42</v>
      </c>
      <c r="E2284" s="6" t="s">
        <v>8</v>
      </c>
      <c r="F2284" s="6" t="s">
        <v>11</v>
      </c>
      <c r="G2284" s="6" t="s">
        <v>32</v>
      </c>
    </row>
    <row r="2285" spans="1:7" x14ac:dyDescent="0.35">
      <c r="A2285" s="6" t="s">
        <v>1407</v>
      </c>
      <c r="B2285" s="7">
        <v>24018</v>
      </c>
      <c r="C2285">
        <v>0</v>
      </c>
      <c r="D2285">
        <v>11534.87</v>
      </c>
      <c r="E2285" s="6" t="s">
        <v>8</v>
      </c>
      <c r="F2285" s="6" t="s">
        <v>11</v>
      </c>
      <c r="G2285" s="6" t="s">
        <v>346</v>
      </c>
    </row>
    <row r="2286" spans="1:7" x14ac:dyDescent="0.35">
      <c r="A2286" s="6" t="s">
        <v>1406</v>
      </c>
      <c r="B2286" s="7">
        <v>25772</v>
      </c>
      <c r="C2286">
        <v>0</v>
      </c>
      <c r="D2286">
        <v>11530.12</v>
      </c>
      <c r="E2286" s="6" t="s">
        <v>8</v>
      </c>
      <c r="F2286" s="6" t="s">
        <v>11</v>
      </c>
      <c r="G2286" s="6" t="s">
        <v>16</v>
      </c>
    </row>
    <row r="2287" spans="1:7" x14ac:dyDescent="0.35">
      <c r="A2287" s="6" t="s">
        <v>1405</v>
      </c>
      <c r="B2287" s="7">
        <v>32306</v>
      </c>
      <c r="C2287">
        <v>3</v>
      </c>
      <c r="D2287">
        <v>11524.25</v>
      </c>
      <c r="E2287" s="6" t="s">
        <v>8</v>
      </c>
      <c r="F2287" s="6" t="s">
        <v>11</v>
      </c>
      <c r="G2287" s="6" t="s">
        <v>525</v>
      </c>
    </row>
    <row r="2288" spans="1:7" x14ac:dyDescent="0.35">
      <c r="A2288" s="6" t="s">
        <v>1404</v>
      </c>
      <c r="B2288" s="7">
        <v>26286</v>
      </c>
      <c r="C2288">
        <v>4</v>
      </c>
      <c r="D2288">
        <v>11520.1</v>
      </c>
      <c r="E2288" s="6" t="s">
        <v>8</v>
      </c>
      <c r="F2288" s="6" t="s">
        <v>11</v>
      </c>
      <c r="G2288" s="6" t="s">
        <v>16</v>
      </c>
    </row>
    <row r="2289" spans="1:7" x14ac:dyDescent="0.35">
      <c r="A2289" s="6" t="s">
        <v>1403</v>
      </c>
      <c r="B2289" s="7">
        <v>25013</v>
      </c>
      <c r="C2289">
        <v>1</v>
      </c>
      <c r="D2289">
        <v>11512.41</v>
      </c>
      <c r="E2289" s="6" t="s">
        <v>8</v>
      </c>
      <c r="F2289" s="6" t="s">
        <v>11</v>
      </c>
      <c r="G2289" s="6" t="s">
        <v>237</v>
      </c>
    </row>
    <row r="2290" spans="1:7" x14ac:dyDescent="0.35">
      <c r="A2290" s="6" t="s">
        <v>1402</v>
      </c>
      <c r="B2290" s="7">
        <v>32787</v>
      </c>
      <c r="C2290">
        <v>3</v>
      </c>
      <c r="D2290">
        <v>11511.61</v>
      </c>
      <c r="E2290" s="6" t="s">
        <v>8</v>
      </c>
      <c r="F2290" s="6" t="s">
        <v>8</v>
      </c>
      <c r="G2290" s="6" t="s">
        <v>525</v>
      </c>
    </row>
    <row r="2291" spans="1:7" x14ac:dyDescent="0.35">
      <c r="A2291" s="6" t="s">
        <v>2267</v>
      </c>
      <c r="B2291" s="7">
        <v>27585</v>
      </c>
      <c r="C2291">
        <v>1</v>
      </c>
      <c r="D2291">
        <v>40590.550000000003</v>
      </c>
      <c r="E2291" s="6" t="s">
        <v>11</v>
      </c>
      <c r="F2291" s="6" t="s">
        <v>8</v>
      </c>
      <c r="G2291" s="6" t="s">
        <v>16</v>
      </c>
    </row>
    <row r="2292" spans="1:7" x14ac:dyDescent="0.35">
      <c r="A2292" s="6" t="s">
        <v>1401</v>
      </c>
      <c r="B2292" s="7">
        <v>25426</v>
      </c>
      <c r="C2292">
        <v>0</v>
      </c>
      <c r="D2292">
        <v>11497.69</v>
      </c>
      <c r="E2292" s="6" t="s">
        <v>8</v>
      </c>
      <c r="F2292" s="6" t="s">
        <v>11</v>
      </c>
      <c r="G2292" s="6" t="s">
        <v>16</v>
      </c>
    </row>
    <row r="2293" spans="1:7" x14ac:dyDescent="0.35">
      <c r="A2293" s="6" t="s">
        <v>1400</v>
      </c>
      <c r="B2293" s="7">
        <v>30474</v>
      </c>
      <c r="C2293">
        <v>3</v>
      </c>
      <c r="D2293">
        <v>11492.46</v>
      </c>
      <c r="E2293" s="6" t="s">
        <v>8</v>
      </c>
      <c r="F2293" s="6" t="s">
        <v>8</v>
      </c>
      <c r="G2293" s="6" t="s">
        <v>525</v>
      </c>
    </row>
    <row r="2294" spans="1:7" x14ac:dyDescent="0.35">
      <c r="A2294" s="6" t="s">
        <v>1399</v>
      </c>
      <c r="B2294" s="7">
        <v>25854</v>
      </c>
      <c r="C2294">
        <v>3</v>
      </c>
      <c r="D2294">
        <v>11488.32</v>
      </c>
      <c r="E2294" s="6" t="s">
        <v>8</v>
      </c>
      <c r="F2294" s="6" t="s">
        <v>11</v>
      </c>
      <c r="G2294" s="6" t="s">
        <v>266</v>
      </c>
    </row>
    <row r="2295" spans="1:7" x14ac:dyDescent="0.35">
      <c r="A2295" s="6" t="s">
        <v>1398</v>
      </c>
      <c r="B2295" s="7">
        <v>38240</v>
      </c>
      <c r="C2295">
        <v>0</v>
      </c>
      <c r="D2295">
        <v>11482.63</v>
      </c>
      <c r="E2295" s="6" t="s">
        <v>8</v>
      </c>
      <c r="F2295" s="6" t="s">
        <v>7</v>
      </c>
      <c r="G2295" s="6" t="s">
        <v>9</v>
      </c>
    </row>
    <row r="2296" spans="1:7" x14ac:dyDescent="0.35">
      <c r="A2296" s="6" t="s">
        <v>1397</v>
      </c>
      <c r="B2296" s="7">
        <v>24357</v>
      </c>
      <c r="C2296">
        <v>0</v>
      </c>
      <c r="D2296">
        <v>11478.14</v>
      </c>
      <c r="E2296" s="6" t="s">
        <v>8</v>
      </c>
      <c r="F2296" s="6" t="s">
        <v>7</v>
      </c>
      <c r="G2296" s="6" t="s">
        <v>190</v>
      </c>
    </row>
    <row r="2297" spans="1:7" x14ac:dyDescent="0.35">
      <c r="A2297" s="6" t="s">
        <v>1396</v>
      </c>
      <c r="B2297" s="7">
        <v>23916</v>
      </c>
      <c r="C2297">
        <v>0</v>
      </c>
      <c r="D2297">
        <v>11455.28</v>
      </c>
      <c r="E2297" s="6" t="s">
        <v>8</v>
      </c>
      <c r="F2297" s="6" t="s">
        <v>7</v>
      </c>
      <c r="G2297" s="6" t="s">
        <v>32</v>
      </c>
    </row>
    <row r="2298" spans="1:7" x14ac:dyDescent="0.35">
      <c r="A2298" s="6" t="s">
        <v>1395</v>
      </c>
      <c r="B2298" s="7">
        <v>24272</v>
      </c>
      <c r="C2298">
        <v>0</v>
      </c>
      <c r="D2298">
        <v>11454.02</v>
      </c>
      <c r="E2298" s="6" t="s">
        <v>8</v>
      </c>
      <c r="F2298" s="6" t="s">
        <v>11</v>
      </c>
      <c r="G2298" s="6" t="s">
        <v>16</v>
      </c>
    </row>
    <row r="2299" spans="1:7" x14ac:dyDescent="0.35">
      <c r="A2299" s="6" t="s">
        <v>1394</v>
      </c>
      <c r="B2299" s="7">
        <v>26188</v>
      </c>
      <c r="C2299">
        <v>3</v>
      </c>
      <c r="D2299">
        <v>11436.74</v>
      </c>
      <c r="E2299" s="6" t="s">
        <v>8</v>
      </c>
      <c r="F2299" s="6" t="s">
        <v>8</v>
      </c>
      <c r="G2299" s="6" t="s">
        <v>16</v>
      </c>
    </row>
    <row r="2300" spans="1:7" x14ac:dyDescent="0.35">
      <c r="A2300" s="6" t="s">
        <v>1393</v>
      </c>
      <c r="B2300" s="7">
        <v>29419</v>
      </c>
      <c r="C2300">
        <v>2</v>
      </c>
      <c r="D2300">
        <v>11435.74</v>
      </c>
      <c r="E2300" s="6" t="s">
        <v>8</v>
      </c>
      <c r="F2300" s="6" t="s">
        <v>8</v>
      </c>
      <c r="G2300" s="6" t="s">
        <v>290</v>
      </c>
    </row>
    <row r="2301" spans="1:7" x14ac:dyDescent="0.35">
      <c r="A2301" s="6" t="s">
        <v>1392</v>
      </c>
      <c r="B2301" s="7">
        <v>31207</v>
      </c>
      <c r="C2301">
        <v>3</v>
      </c>
      <c r="D2301">
        <v>11419.49</v>
      </c>
      <c r="E2301" s="6" t="s">
        <v>8</v>
      </c>
      <c r="F2301" s="6" t="s">
        <v>11</v>
      </c>
      <c r="G2301" s="6" t="s">
        <v>16</v>
      </c>
    </row>
    <row r="2302" spans="1:7" x14ac:dyDescent="0.35">
      <c r="A2302" s="6" t="s">
        <v>2266</v>
      </c>
      <c r="B2302" s="7">
        <v>31354</v>
      </c>
      <c r="C2302">
        <v>0</v>
      </c>
      <c r="D2302">
        <v>40419.019999999997</v>
      </c>
      <c r="E2302" s="6" t="s">
        <v>11</v>
      </c>
      <c r="F2302" s="6" t="s">
        <v>7</v>
      </c>
      <c r="G2302" s="6" t="s">
        <v>9</v>
      </c>
    </row>
    <row r="2303" spans="1:7" x14ac:dyDescent="0.35">
      <c r="A2303" s="6" t="s">
        <v>1391</v>
      </c>
      <c r="B2303" s="7">
        <v>30612</v>
      </c>
      <c r="C2303">
        <v>3</v>
      </c>
      <c r="D2303">
        <v>11412.02</v>
      </c>
      <c r="E2303" s="6" t="s">
        <v>8</v>
      </c>
      <c r="F2303" s="6" t="s">
        <v>11</v>
      </c>
      <c r="G2303" s="6" t="s">
        <v>290</v>
      </c>
    </row>
    <row r="2304" spans="1:7" x14ac:dyDescent="0.35">
      <c r="A2304" s="6" t="s">
        <v>1390</v>
      </c>
      <c r="B2304" s="7">
        <v>25848</v>
      </c>
      <c r="C2304">
        <v>3</v>
      </c>
      <c r="D2304">
        <v>11411.69</v>
      </c>
      <c r="E2304" s="6" t="s">
        <v>8</v>
      </c>
      <c r="F2304" s="6" t="s">
        <v>7</v>
      </c>
      <c r="G2304" s="6" t="s">
        <v>32</v>
      </c>
    </row>
    <row r="2305" spans="1:7" x14ac:dyDescent="0.35">
      <c r="A2305" s="6" t="s">
        <v>1389</v>
      </c>
      <c r="B2305" s="7">
        <v>25843</v>
      </c>
      <c r="C2305">
        <v>2</v>
      </c>
      <c r="D2305">
        <v>11396.9</v>
      </c>
      <c r="E2305" s="6" t="s">
        <v>8</v>
      </c>
      <c r="F2305" s="6" t="s">
        <v>8</v>
      </c>
      <c r="G2305" s="6" t="s">
        <v>237</v>
      </c>
    </row>
    <row r="2306" spans="1:7" x14ac:dyDescent="0.35">
      <c r="A2306" s="6" t="s">
        <v>1388</v>
      </c>
      <c r="B2306" s="7">
        <v>24825</v>
      </c>
      <c r="C2306">
        <v>1</v>
      </c>
      <c r="D2306">
        <v>11394.07</v>
      </c>
      <c r="E2306" s="6" t="s">
        <v>8</v>
      </c>
      <c r="F2306" s="6" t="s">
        <v>11</v>
      </c>
      <c r="G2306" s="6" t="s">
        <v>160</v>
      </c>
    </row>
    <row r="2307" spans="1:7" x14ac:dyDescent="0.35">
      <c r="A2307" s="6" t="s">
        <v>1387</v>
      </c>
      <c r="B2307" s="7">
        <v>35639</v>
      </c>
      <c r="C2307">
        <v>0</v>
      </c>
      <c r="D2307">
        <v>11388.27</v>
      </c>
      <c r="E2307" s="6" t="s">
        <v>8</v>
      </c>
      <c r="F2307" s="6" t="s">
        <v>7</v>
      </c>
      <c r="G2307" s="6" t="s">
        <v>525</v>
      </c>
    </row>
    <row r="2308" spans="1:7" x14ac:dyDescent="0.35">
      <c r="A2308" s="6" t="s">
        <v>1386</v>
      </c>
      <c r="B2308" s="7">
        <v>23541</v>
      </c>
      <c r="C2308">
        <v>0</v>
      </c>
      <c r="D2308">
        <v>11381.33</v>
      </c>
      <c r="E2308" s="6" t="s">
        <v>8</v>
      </c>
      <c r="F2308" s="6" t="s">
        <v>7</v>
      </c>
      <c r="G2308" s="6" t="s">
        <v>9</v>
      </c>
    </row>
    <row r="2309" spans="1:7" x14ac:dyDescent="0.35">
      <c r="A2309" s="6" t="s">
        <v>1385</v>
      </c>
      <c r="B2309" s="7">
        <v>26639</v>
      </c>
      <c r="C2309">
        <v>0</v>
      </c>
      <c r="D2309">
        <v>11378.57</v>
      </c>
      <c r="E2309" s="6" t="s">
        <v>8</v>
      </c>
      <c r="F2309" s="6" t="s">
        <v>7</v>
      </c>
      <c r="G2309" s="6" t="s">
        <v>190</v>
      </c>
    </row>
    <row r="2310" spans="1:7" x14ac:dyDescent="0.35">
      <c r="A2310" s="6" t="s">
        <v>1384</v>
      </c>
      <c r="B2310" s="7">
        <v>29013</v>
      </c>
      <c r="C2310">
        <v>2</v>
      </c>
      <c r="D2310">
        <v>11369.39</v>
      </c>
      <c r="E2310" s="6" t="s">
        <v>8</v>
      </c>
      <c r="F2310" s="6" t="s">
        <v>11</v>
      </c>
      <c r="G2310" s="6" t="s">
        <v>525</v>
      </c>
    </row>
    <row r="2311" spans="1:7" x14ac:dyDescent="0.35">
      <c r="A2311" s="6" t="s">
        <v>1383</v>
      </c>
      <c r="B2311" s="7">
        <v>23724</v>
      </c>
      <c r="C2311">
        <v>0</v>
      </c>
      <c r="D2311">
        <v>11365.95</v>
      </c>
      <c r="E2311" s="6" t="s">
        <v>8</v>
      </c>
      <c r="F2311" s="6" t="s">
        <v>7</v>
      </c>
      <c r="G2311" s="6" t="s">
        <v>32</v>
      </c>
    </row>
    <row r="2312" spans="1:7" x14ac:dyDescent="0.35">
      <c r="A2312" s="6" t="s">
        <v>1382</v>
      </c>
      <c r="B2312" s="7">
        <v>23561</v>
      </c>
      <c r="C2312">
        <v>0</v>
      </c>
      <c r="D2312">
        <v>11363.28</v>
      </c>
      <c r="E2312" s="6" t="s">
        <v>8</v>
      </c>
      <c r="F2312" s="6" t="s">
        <v>11</v>
      </c>
      <c r="G2312" s="6" t="s">
        <v>9</v>
      </c>
    </row>
    <row r="2313" spans="1:7" x14ac:dyDescent="0.35">
      <c r="A2313" s="6" t="s">
        <v>2265</v>
      </c>
      <c r="B2313" s="7">
        <v>24331</v>
      </c>
      <c r="C2313">
        <v>0</v>
      </c>
      <c r="D2313">
        <v>40373.74</v>
      </c>
      <c r="E2313" s="6" t="s">
        <v>11</v>
      </c>
      <c r="F2313" s="6" t="s">
        <v>8</v>
      </c>
      <c r="G2313" s="6" t="s">
        <v>32</v>
      </c>
    </row>
    <row r="2314" spans="1:7" x14ac:dyDescent="0.35">
      <c r="A2314" s="6" t="s">
        <v>1381</v>
      </c>
      <c r="B2314" s="7">
        <v>23562</v>
      </c>
      <c r="C2314">
        <v>0</v>
      </c>
      <c r="D2314">
        <v>11362.76</v>
      </c>
      <c r="E2314" s="6" t="s">
        <v>8</v>
      </c>
      <c r="F2314" s="6" t="s">
        <v>11</v>
      </c>
      <c r="G2314" s="6" t="s">
        <v>32</v>
      </c>
    </row>
    <row r="2315" spans="1:7" x14ac:dyDescent="0.35">
      <c r="A2315" s="6" t="s">
        <v>1380</v>
      </c>
      <c r="B2315" s="7">
        <v>24011</v>
      </c>
      <c r="C2315">
        <v>0</v>
      </c>
      <c r="D2315">
        <v>11356.66</v>
      </c>
      <c r="E2315" s="6" t="s">
        <v>8</v>
      </c>
      <c r="F2315" s="6" t="s">
        <v>8</v>
      </c>
      <c r="G2315" s="6" t="s">
        <v>16</v>
      </c>
    </row>
    <row r="2316" spans="1:7" x14ac:dyDescent="0.35">
      <c r="A2316" s="6" t="s">
        <v>1379</v>
      </c>
      <c r="B2316" s="7">
        <v>24075</v>
      </c>
      <c r="C2316">
        <v>0</v>
      </c>
      <c r="D2316">
        <v>11353.23</v>
      </c>
      <c r="E2316" s="6" t="s">
        <v>8</v>
      </c>
      <c r="F2316" s="6" t="s">
        <v>11</v>
      </c>
      <c r="G2316" s="6" t="s">
        <v>16</v>
      </c>
    </row>
    <row r="2317" spans="1:7" x14ac:dyDescent="0.35">
      <c r="A2317" s="6" t="s">
        <v>1378</v>
      </c>
      <c r="B2317" s="7">
        <v>23570</v>
      </c>
      <c r="C2317">
        <v>0</v>
      </c>
      <c r="D2317">
        <v>11345.52</v>
      </c>
      <c r="E2317" s="6" t="s">
        <v>8</v>
      </c>
      <c r="F2317" s="6" t="s">
        <v>8</v>
      </c>
      <c r="G2317" s="6" t="s">
        <v>32</v>
      </c>
    </row>
    <row r="2318" spans="1:7" x14ac:dyDescent="0.35">
      <c r="A2318" s="6" t="s">
        <v>1377</v>
      </c>
      <c r="B2318" s="7">
        <v>25144</v>
      </c>
      <c r="C2318">
        <v>0</v>
      </c>
      <c r="D2318">
        <v>11344.32</v>
      </c>
      <c r="E2318" s="6" t="s">
        <v>8</v>
      </c>
      <c r="F2318" s="6" t="s">
        <v>7</v>
      </c>
      <c r="G2318" s="6" t="s">
        <v>190</v>
      </c>
    </row>
    <row r="2319" spans="1:7" x14ac:dyDescent="0.35">
      <c r="A2319" s="6" t="s">
        <v>1376</v>
      </c>
      <c r="B2319" s="7">
        <v>32739</v>
      </c>
      <c r="C2319">
        <v>1</v>
      </c>
      <c r="D2319">
        <v>11326.71</v>
      </c>
      <c r="E2319" s="6" t="s">
        <v>8</v>
      </c>
      <c r="F2319" s="6" t="s">
        <v>8</v>
      </c>
      <c r="G2319" s="6" t="s">
        <v>9</v>
      </c>
    </row>
    <row r="2320" spans="1:7" x14ac:dyDescent="0.35">
      <c r="A2320" s="6" t="s">
        <v>1375</v>
      </c>
      <c r="B2320" s="7">
        <v>37519</v>
      </c>
      <c r="C2320">
        <v>0</v>
      </c>
      <c r="D2320">
        <v>11321.49</v>
      </c>
      <c r="E2320" s="6" t="s">
        <v>8</v>
      </c>
      <c r="F2320" s="6" t="s">
        <v>8</v>
      </c>
      <c r="G2320" s="6" t="s">
        <v>16</v>
      </c>
    </row>
    <row r="2321" spans="1:7" x14ac:dyDescent="0.35">
      <c r="A2321" s="6" t="s">
        <v>1374</v>
      </c>
      <c r="B2321" s="7">
        <v>23203</v>
      </c>
      <c r="C2321">
        <v>0</v>
      </c>
      <c r="D2321">
        <v>11319.12</v>
      </c>
      <c r="E2321" s="6" t="s">
        <v>8</v>
      </c>
      <c r="F2321" s="6" t="s">
        <v>11</v>
      </c>
      <c r="G2321" s="6" t="s">
        <v>16</v>
      </c>
    </row>
    <row r="2322" spans="1:7" x14ac:dyDescent="0.35">
      <c r="A2322" s="6" t="s">
        <v>1373</v>
      </c>
      <c r="B2322" s="7">
        <v>35043</v>
      </c>
      <c r="C2322">
        <v>0</v>
      </c>
      <c r="D2322">
        <v>11318.57</v>
      </c>
      <c r="E2322" s="6" t="s">
        <v>8</v>
      </c>
      <c r="F2322" s="6" t="s">
        <v>7</v>
      </c>
      <c r="G2322" s="6" t="s">
        <v>525</v>
      </c>
    </row>
    <row r="2323" spans="1:7" x14ac:dyDescent="0.35">
      <c r="A2323" s="6" t="s">
        <v>1372</v>
      </c>
      <c r="B2323" s="7">
        <v>23337</v>
      </c>
      <c r="C2323">
        <v>0</v>
      </c>
      <c r="D2323">
        <v>11312.33</v>
      </c>
      <c r="E2323" s="6" t="s">
        <v>8</v>
      </c>
      <c r="F2323" s="6" t="s">
        <v>8</v>
      </c>
      <c r="G2323" s="6" t="s">
        <v>16</v>
      </c>
    </row>
    <row r="2324" spans="1:7" x14ac:dyDescent="0.35">
      <c r="A2324" s="6" t="s">
        <v>2264</v>
      </c>
      <c r="B2324" s="7">
        <v>22893</v>
      </c>
      <c r="C2324">
        <v>0</v>
      </c>
      <c r="D2324">
        <v>40309.93</v>
      </c>
      <c r="E2324" s="6" t="s">
        <v>11</v>
      </c>
      <c r="F2324" s="6" t="s">
        <v>8</v>
      </c>
      <c r="G2324" s="6" t="s">
        <v>32</v>
      </c>
    </row>
    <row r="2325" spans="1:7" x14ac:dyDescent="0.35">
      <c r="A2325" s="6" t="s">
        <v>1371</v>
      </c>
      <c r="B2325" s="7">
        <v>25117</v>
      </c>
      <c r="C2325">
        <v>1</v>
      </c>
      <c r="D2325">
        <v>11305.93</v>
      </c>
      <c r="E2325" s="6" t="s">
        <v>8</v>
      </c>
      <c r="F2325" s="6" t="s">
        <v>11</v>
      </c>
      <c r="G2325" s="6" t="s">
        <v>16</v>
      </c>
    </row>
    <row r="2326" spans="1:7" x14ac:dyDescent="0.35">
      <c r="A2326" s="6" t="s">
        <v>1370</v>
      </c>
      <c r="B2326" s="7">
        <v>26567</v>
      </c>
      <c r="C2326">
        <v>4</v>
      </c>
      <c r="D2326">
        <v>11299.34</v>
      </c>
      <c r="E2326" s="6" t="s">
        <v>8</v>
      </c>
      <c r="F2326" s="6" t="s">
        <v>7</v>
      </c>
      <c r="G2326" s="6" t="s">
        <v>32</v>
      </c>
    </row>
    <row r="2327" spans="1:7" x14ac:dyDescent="0.35">
      <c r="A2327" s="6" t="s">
        <v>1369</v>
      </c>
      <c r="B2327" s="7">
        <v>32461</v>
      </c>
      <c r="C2327">
        <v>3</v>
      </c>
      <c r="D2327">
        <v>11294.57</v>
      </c>
      <c r="E2327" s="6" t="s">
        <v>8</v>
      </c>
      <c r="F2327" s="6" t="s">
        <v>11</v>
      </c>
      <c r="G2327" s="6" t="s">
        <v>622</v>
      </c>
    </row>
    <row r="2328" spans="1:7" x14ac:dyDescent="0.35">
      <c r="A2328" s="6" t="s">
        <v>1368</v>
      </c>
      <c r="B2328" s="7">
        <v>25741</v>
      </c>
      <c r="C2328">
        <v>3</v>
      </c>
      <c r="D2328">
        <v>11289.11</v>
      </c>
      <c r="E2328" s="6" t="s">
        <v>8</v>
      </c>
      <c r="F2328" s="6" t="s">
        <v>11</v>
      </c>
      <c r="G2328" s="6" t="s">
        <v>16</v>
      </c>
    </row>
    <row r="2329" spans="1:7" x14ac:dyDescent="0.35">
      <c r="A2329" s="6" t="s">
        <v>1367</v>
      </c>
      <c r="B2329" s="7">
        <v>24637</v>
      </c>
      <c r="C2329">
        <v>0</v>
      </c>
      <c r="D2329">
        <v>11286.54</v>
      </c>
      <c r="E2329" s="6" t="s">
        <v>8</v>
      </c>
      <c r="F2329" s="6" t="s">
        <v>8</v>
      </c>
      <c r="G2329" s="6" t="s">
        <v>237</v>
      </c>
    </row>
    <row r="2330" spans="1:7" x14ac:dyDescent="0.35">
      <c r="A2330" s="6" t="s">
        <v>1366</v>
      </c>
      <c r="B2330" s="7">
        <v>38264</v>
      </c>
      <c r="C2330">
        <v>1</v>
      </c>
      <c r="D2330">
        <v>11272.33</v>
      </c>
      <c r="E2330" s="6" t="s">
        <v>8</v>
      </c>
      <c r="F2330" s="6" t="s">
        <v>7</v>
      </c>
      <c r="G2330" s="6" t="s">
        <v>156</v>
      </c>
    </row>
    <row r="2331" spans="1:7" x14ac:dyDescent="0.35">
      <c r="A2331" s="6" t="s">
        <v>1365</v>
      </c>
      <c r="B2331" s="7">
        <v>26293</v>
      </c>
      <c r="C2331">
        <v>0</v>
      </c>
      <c r="D2331">
        <v>11265.71</v>
      </c>
      <c r="E2331" s="6" t="s">
        <v>8</v>
      </c>
      <c r="F2331" s="6" t="s">
        <v>11</v>
      </c>
      <c r="G2331" s="6" t="s">
        <v>190</v>
      </c>
    </row>
    <row r="2332" spans="1:7" x14ac:dyDescent="0.35">
      <c r="A2332" s="6" t="s">
        <v>1364</v>
      </c>
      <c r="B2332" s="7">
        <v>25487</v>
      </c>
      <c r="C2332">
        <v>3</v>
      </c>
      <c r="D2332">
        <v>11264.54</v>
      </c>
      <c r="E2332" s="6" t="s">
        <v>8</v>
      </c>
      <c r="F2332" s="6" t="s">
        <v>7</v>
      </c>
      <c r="G2332" s="6" t="s">
        <v>32</v>
      </c>
    </row>
    <row r="2333" spans="1:7" x14ac:dyDescent="0.35">
      <c r="A2333" s="6" t="s">
        <v>1363</v>
      </c>
      <c r="B2333" s="7">
        <v>29861</v>
      </c>
      <c r="C2333">
        <v>1</v>
      </c>
      <c r="D2333">
        <v>11255.29</v>
      </c>
      <c r="E2333" s="6" t="s">
        <v>8</v>
      </c>
      <c r="F2333" s="6" t="s">
        <v>11</v>
      </c>
      <c r="G2333" s="6" t="s">
        <v>525</v>
      </c>
    </row>
    <row r="2334" spans="1:7" x14ac:dyDescent="0.35">
      <c r="A2334" s="6" t="s">
        <v>1362</v>
      </c>
      <c r="B2334" s="7">
        <v>25435</v>
      </c>
      <c r="C2334">
        <v>3</v>
      </c>
      <c r="D2334">
        <v>11253.42</v>
      </c>
      <c r="E2334" s="6" t="s">
        <v>8</v>
      </c>
      <c r="F2334" s="6" t="s">
        <v>11</v>
      </c>
      <c r="G2334" s="6" t="s">
        <v>32</v>
      </c>
    </row>
    <row r="2335" spans="1:7" x14ac:dyDescent="0.35">
      <c r="A2335" s="6" t="s">
        <v>1886</v>
      </c>
      <c r="B2335" s="7">
        <v>32108</v>
      </c>
      <c r="C2335">
        <v>2</v>
      </c>
      <c r="D2335">
        <v>20984.09</v>
      </c>
      <c r="E2335" s="6" t="s">
        <v>7</v>
      </c>
      <c r="F2335" s="6" t="s">
        <v>7</v>
      </c>
      <c r="G2335" s="6" t="s">
        <v>154</v>
      </c>
    </row>
    <row r="2336" spans="1:7" x14ac:dyDescent="0.35">
      <c r="A2336" s="6" t="s">
        <v>2121</v>
      </c>
      <c r="B2336" s="7">
        <v>38292</v>
      </c>
      <c r="C2336">
        <v>2</v>
      </c>
      <c r="D2336">
        <v>34303.17</v>
      </c>
      <c r="E2336" s="6" t="s">
        <v>11</v>
      </c>
      <c r="F2336" s="6" t="s">
        <v>8</v>
      </c>
      <c r="G2336" s="6" t="s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8C06-BAC2-49FC-B0B4-FCD444BE0F9C}">
  <dimension ref="A1:D2336"/>
  <sheetViews>
    <sheetView workbookViewId="0">
      <selection sqref="A1:D2336"/>
    </sheetView>
  </sheetViews>
  <sheetFormatPr defaultRowHeight="14.5" x14ac:dyDescent="0.35"/>
  <cols>
    <col min="1" max="1" width="13.54296875" bestFit="1" customWidth="1"/>
    <col min="2" max="2" width="6.7265625" bestFit="1" customWidth="1"/>
    <col min="3" max="3" width="17.26953125" bestFit="1" customWidth="1"/>
    <col min="4" max="4" width="19.6328125" bestFit="1" customWidth="1"/>
  </cols>
  <sheetData>
    <row r="1" spans="1:4" x14ac:dyDescent="0.35">
      <c r="A1" t="s">
        <v>0</v>
      </c>
      <c r="B1" t="s">
        <v>4710</v>
      </c>
      <c r="C1" t="s">
        <v>4711</v>
      </c>
      <c r="D1" t="s">
        <v>4712</v>
      </c>
    </row>
    <row r="2" spans="1:4" x14ac:dyDescent="0.35">
      <c r="A2" s="6" t="s">
        <v>2362</v>
      </c>
      <c r="B2" s="6" t="s">
        <v>4713</v>
      </c>
      <c r="C2" s="6" t="s">
        <v>4714</v>
      </c>
      <c r="D2" s="6" t="s">
        <v>4715</v>
      </c>
    </row>
    <row r="3" spans="1:4" x14ac:dyDescent="0.35">
      <c r="A3" s="6" t="s">
        <v>2361</v>
      </c>
      <c r="B3" s="6" t="s">
        <v>4716</v>
      </c>
      <c r="C3" s="6" t="s">
        <v>4717</v>
      </c>
      <c r="D3" s="6" t="s">
        <v>4718</v>
      </c>
    </row>
    <row r="4" spans="1:4" x14ac:dyDescent="0.35">
      <c r="A4" s="6" t="s">
        <v>2360</v>
      </c>
      <c r="B4" s="6" t="s">
        <v>4716</v>
      </c>
      <c r="C4" s="6" t="s">
        <v>4719</v>
      </c>
      <c r="D4" s="6" t="s">
        <v>4720</v>
      </c>
    </row>
    <row r="5" spans="1:4" x14ac:dyDescent="0.35">
      <c r="A5" s="6" t="s">
        <v>2359</v>
      </c>
      <c r="B5" s="6" t="s">
        <v>4713</v>
      </c>
      <c r="C5" s="6" t="s">
        <v>4721</v>
      </c>
      <c r="D5" s="6" t="s">
        <v>4722</v>
      </c>
    </row>
    <row r="6" spans="1:4" x14ac:dyDescent="0.35">
      <c r="A6" s="6" t="s">
        <v>2358</v>
      </c>
      <c r="B6" s="6" t="s">
        <v>4713</v>
      </c>
      <c r="C6" s="6" t="s">
        <v>4723</v>
      </c>
      <c r="D6" s="6" t="s">
        <v>4724</v>
      </c>
    </row>
    <row r="7" spans="1:4" x14ac:dyDescent="0.35">
      <c r="A7" s="6" t="s">
        <v>2357</v>
      </c>
      <c r="B7" s="6" t="s">
        <v>4716</v>
      </c>
      <c r="C7" s="6" t="s">
        <v>4725</v>
      </c>
      <c r="D7" s="6" t="s">
        <v>4726</v>
      </c>
    </row>
    <row r="8" spans="1:4" x14ac:dyDescent="0.35">
      <c r="A8" s="6" t="s">
        <v>2356</v>
      </c>
      <c r="B8" s="6" t="s">
        <v>4716</v>
      </c>
      <c r="C8" s="6" t="s">
        <v>4727</v>
      </c>
      <c r="D8" s="6" t="s">
        <v>4728</v>
      </c>
    </row>
    <row r="9" spans="1:4" x14ac:dyDescent="0.35">
      <c r="A9" s="6" t="s">
        <v>2355</v>
      </c>
      <c r="B9" s="6" t="s">
        <v>4716</v>
      </c>
      <c r="C9" s="6" t="s">
        <v>4729</v>
      </c>
      <c r="D9" s="6" t="s">
        <v>4730</v>
      </c>
    </row>
    <row r="10" spans="1:4" x14ac:dyDescent="0.35">
      <c r="A10" s="6" t="s">
        <v>2354</v>
      </c>
      <c r="B10" s="6" t="s">
        <v>4716</v>
      </c>
      <c r="C10" s="6" t="s">
        <v>4731</v>
      </c>
      <c r="D10" s="6" t="s">
        <v>4732</v>
      </c>
    </row>
    <row r="11" spans="1:4" x14ac:dyDescent="0.35">
      <c r="A11" s="6" t="s">
        <v>2353</v>
      </c>
      <c r="B11" s="6" t="s">
        <v>4713</v>
      </c>
      <c r="C11" s="6" t="s">
        <v>4733</v>
      </c>
      <c r="D11" s="6" t="s">
        <v>4734</v>
      </c>
    </row>
    <row r="12" spans="1:4" x14ac:dyDescent="0.35">
      <c r="A12" s="6" t="s">
        <v>2352</v>
      </c>
      <c r="B12" s="6" t="s">
        <v>4713</v>
      </c>
      <c r="C12" s="6" t="s">
        <v>4735</v>
      </c>
      <c r="D12" s="6" t="s">
        <v>4736</v>
      </c>
    </row>
    <row r="13" spans="1:4" x14ac:dyDescent="0.35">
      <c r="A13" s="6" t="s">
        <v>2351</v>
      </c>
      <c r="B13" s="6" t="s">
        <v>4716</v>
      </c>
      <c r="C13" s="6" t="s">
        <v>4737</v>
      </c>
      <c r="D13" s="6" t="s">
        <v>4738</v>
      </c>
    </row>
    <row r="14" spans="1:4" x14ac:dyDescent="0.35">
      <c r="A14" s="6" t="s">
        <v>2350</v>
      </c>
      <c r="B14" s="6" t="s">
        <v>4716</v>
      </c>
      <c r="C14" s="6" t="s">
        <v>4739</v>
      </c>
      <c r="D14" s="6" t="s">
        <v>4740</v>
      </c>
    </row>
    <row r="15" spans="1:4" x14ac:dyDescent="0.35">
      <c r="A15" s="6" t="s">
        <v>2349</v>
      </c>
      <c r="B15" s="6" t="s">
        <v>4716</v>
      </c>
      <c r="C15" s="6" t="s">
        <v>4741</v>
      </c>
      <c r="D15" s="6" t="s">
        <v>4742</v>
      </c>
    </row>
    <row r="16" spans="1:4" x14ac:dyDescent="0.35">
      <c r="A16" s="6" t="s">
        <v>2348</v>
      </c>
      <c r="B16" s="6" t="s">
        <v>4713</v>
      </c>
      <c r="C16" s="6" t="s">
        <v>4743</v>
      </c>
      <c r="D16" s="6" t="s">
        <v>4744</v>
      </c>
    </row>
    <row r="17" spans="1:4" x14ac:dyDescent="0.35">
      <c r="A17" s="6" t="s">
        <v>2347</v>
      </c>
      <c r="B17" s="6" t="s">
        <v>4716</v>
      </c>
      <c r="C17" s="6" t="s">
        <v>4745</v>
      </c>
      <c r="D17" s="6" t="s">
        <v>4746</v>
      </c>
    </row>
    <row r="18" spans="1:4" x14ac:dyDescent="0.35">
      <c r="A18" s="6" t="s">
        <v>2346</v>
      </c>
      <c r="B18" s="6" t="s">
        <v>4713</v>
      </c>
      <c r="C18" s="6" t="s">
        <v>4747</v>
      </c>
      <c r="D18" s="6" t="s">
        <v>4748</v>
      </c>
    </row>
    <row r="19" spans="1:4" x14ac:dyDescent="0.35">
      <c r="A19" s="6" t="s">
        <v>2345</v>
      </c>
      <c r="B19" s="6" t="s">
        <v>4713</v>
      </c>
      <c r="C19" s="6" t="s">
        <v>4749</v>
      </c>
      <c r="D19" s="6" t="s">
        <v>4750</v>
      </c>
    </row>
    <row r="20" spans="1:4" x14ac:dyDescent="0.35">
      <c r="A20" s="6" t="s">
        <v>2344</v>
      </c>
      <c r="B20" s="6" t="s">
        <v>4716</v>
      </c>
      <c r="C20" s="6" t="s">
        <v>4751</v>
      </c>
      <c r="D20" s="6" t="s">
        <v>4752</v>
      </c>
    </row>
    <row r="21" spans="1:4" x14ac:dyDescent="0.35">
      <c r="A21" s="6" t="s">
        <v>2343</v>
      </c>
      <c r="B21" s="6" t="s">
        <v>4716</v>
      </c>
      <c r="C21" s="6" t="s">
        <v>4753</v>
      </c>
      <c r="D21" s="6" t="s">
        <v>4754</v>
      </c>
    </row>
    <row r="22" spans="1:4" x14ac:dyDescent="0.35">
      <c r="A22" s="6" t="s">
        <v>2342</v>
      </c>
      <c r="B22" s="6" t="s">
        <v>4716</v>
      </c>
      <c r="C22" s="6" t="s">
        <v>4755</v>
      </c>
      <c r="D22" s="6" t="s">
        <v>4756</v>
      </c>
    </row>
    <row r="23" spans="1:4" x14ac:dyDescent="0.35">
      <c r="A23" s="6" t="s">
        <v>2341</v>
      </c>
      <c r="B23" s="6" t="s">
        <v>4713</v>
      </c>
      <c r="C23" s="6" t="s">
        <v>4757</v>
      </c>
      <c r="D23" s="6" t="s">
        <v>4758</v>
      </c>
    </row>
    <row r="24" spans="1:4" x14ac:dyDescent="0.35">
      <c r="A24" s="6" t="s">
        <v>2340</v>
      </c>
      <c r="B24" s="6" t="s">
        <v>4713</v>
      </c>
      <c r="C24" s="6" t="s">
        <v>4759</v>
      </c>
      <c r="D24" s="6" t="s">
        <v>4760</v>
      </c>
    </row>
    <row r="25" spans="1:4" x14ac:dyDescent="0.35">
      <c r="A25" s="6" t="s">
        <v>2339</v>
      </c>
      <c r="B25" s="6" t="s">
        <v>4716</v>
      </c>
      <c r="C25" s="6" t="s">
        <v>4761</v>
      </c>
      <c r="D25" s="6" t="s">
        <v>4762</v>
      </c>
    </row>
    <row r="26" spans="1:4" x14ac:dyDescent="0.35">
      <c r="A26" s="6" t="s">
        <v>2338</v>
      </c>
      <c r="B26" s="6" t="s">
        <v>4716</v>
      </c>
      <c r="C26" s="6" t="s">
        <v>4763</v>
      </c>
      <c r="D26" s="6" t="s">
        <v>4764</v>
      </c>
    </row>
    <row r="27" spans="1:4" x14ac:dyDescent="0.35">
      <c r="A27" s="6" t="s">
        <v>2337</v>
      </c>
      <c r="B27" s="6" t="s">
        <v>4716</v>
      </c>
      <c r="C27" s="6" t="s">
        <v>4765</v>
      </c>
      <c r="D27" s="6" t="s">
        <v>4766</v>
      </c>
    </row>
    <row r="28" spans="1:4" x14ac:dyDescent="0.35">
      <c r="A28" s="6" t="s">
        <v>2336</v>
      </c>
      <c r="B28" s="6" t="s">
        <v>4716</v>
      </c>
      <c r="C28" s="6" t="s">
        <v>4767</v>
      </c>
      <c r="D28" s="6" t="s">
        <v>4768</v>
      </c>
    </row>
    <row r="29" spans="1:4" x14ac:dyDescent="0.35">
      <c r="A29" s="6" t="s">
        <v>2335</v>
      </c>
      <c r="B29" s="6" t="s">
        <v>4713</v>
      </c>
      <c r="C29" s="6" t="s">
        <v>4769</v>
      </c>
      <c r="D29" s="6" t="s">
        <v>4770</v>
      </c>
    </row>
    <row r="30" spans="1:4" x14ac:dyDescent="0.35">
      <c r="A30" s="6" t="s">
        <v>2334</v>
      </c>
      <c r="B30" s="6" t="s">
        <v>4716</v>
      </c>
      <c r="C30" s="6" t="s">
        <v>4771</v>
      </c>
      <c r="D30" s="6" t="s">
        <v>4730</v>
      </c>
    </row>
    <row r="31" spans="1:4" x14ac:dyDescent="0.35">
      <c r="A31" s="6" t="s">
        <v>2333</v>
      </c>
      <c r="B31" s="6" t="s">
        <v>4713</v>
      </c>
      <c r="C31" s="6" t="s">
        <v>4772</v>
      </c>
      <c r="D31" s="6" t="s">
        <v>4773</v>
      </c>
    </row>
    <row r="32" spans="1:4" x14ac:dyDescent="0.35">
      <c r="A32" s="6" t="s">
        <v>2332</v>
      </c>
      <c r="B32" s="6" t="s">
        <v>4713</v>
      </c>
      <c r="C32" s="6" t="s">
        <v>4774</v>
      </c>
      <c r="D32" s="6" t="s">
        <v>4775</v>
      </c>
    </row>
    <row r="33" spans="1:4" x14ac:dyDescent="0.35">
      <c r="A33" s="6" t="s">
        <v>2331</v>
      </c>
      <c r="B33" s="6" t="s">
        <v>4716</v>
      </c>
      <c r="C33" s="6" t="s">
        <v>4776</v>
      </c>
      <c r="D33" s="6" t="s">
        <v>4777</v>
      </c>
    </row>
    <row r="34" spans="1:4" x14ac:dyDescent="0.35">
      <c r="A34" s="6" t="s">
        <v>2330</v>
      </c>
      <c r="B34" s="6" t="s">
        <v>4716</v>
      </c>
      <c r="C34" s="6" t="s">
        <v>4778</v>
      </c>
      <c r="D34" s="6" t="s">
        <v>4779</v>
      </c>
    </row>
    <row r="35" spans="1:4" x14ac:dyDescent="0.35">
      <c r="A35" s="6" t="s">
        <v>2329</v>
      </c>
      <c r="B35" s="6" t="s">
        <v>4713</v>
      </c>
      <c r="C35" s="6" t="s">
        <v>4780</v>
      </c>
      <c r="D35" s="6" t="s">
        <v>4781</v>
      </c>
    </row>
    <row r="36" spans="1:4" x14ac:dyDescent="0.35">
      <c r="A36" s="6" t="s">
        <v>2328</v>
      </c>
      <c r="B36" s="6" t="s">
        <v>4713</v>
      </c>
      <c r="C36" s="6" t="s">
        <v>4782</v>
      </c>
      <c r="D36" s="6" t="s">
        <v>4783</v>
      </c>
    </row>
    <row r="37" spans="1:4" x14ac:dyDescent="0.35">
      <c r="A37" s="6" t="s">
        <v>2327</v>
      </c>
      <c r="B37" s="6" t="s">
        <v>4716</v>
      </c>
      <c r="C37" s="6" t="s">
        <v>4784</v>
      </c>
      <c r="D37" s="6" t="s">
        <v>4785</v>
      </c>
    </row>
    <row r="38" spans="1:4" x14ac:dyDescent="0.35">
      <c r="A38" s="6" t="s">
        <v>2326</v>
      </c>
      <c r="B38" s="6" t="s">
        <v>4716</v>
      </c>
      <c r="C38" s="6" t="s">
        <v>4786</v>
      </c>
      <c r="D38" s="6" t="s">
        <v>4787</v>
      </c>
    </row>
    <row r="39" spans="1:4" x14ac:dyDescent="0.35">
      <c r="A39" s="6" t="s">
        <v>2325</v>
      </c>
      <c r="B39" s="6" t="s">
        <v>4713</v>
      </c>
      <c r="C39" s="6" t="s">
        <v>4788</v>
      </c>
      <c r="D39" s="6" t="s">
        <v>4789</v>
      </c>
    </row>
    <row r="40" spans="1:4" x14ac:dyDescent="0.35">
      <c r="A40" s="6" t="s">
        <v>2324</v>
      </c>
      <c r="B40" s="6" t="s">
        <v>4713</v>
      </c>
      <c r="C40" s="6" t="s">
        <v>4790</v>
      </c>
      <c r="D40" s="6" t="s">
        <v>4791</v>
      </c>
    </row>
    <row r="41" spans="1:4" x14ac:dyDescent="0.35">
      <c r="A41" s="6" t="s">
        <v>2323</v>
      </c>
      <c r="B41" s="6" t="s">
        <v>4716</v>
      </c>
      <c r="C41" s="6" t="s">
        <v>4792</v>
      </c>
      <c r="D41" s="6" t="s">
        <v>4793</v>
      </c>
    </row>
    <row r="42" spans="1:4" x14ac:dyDescent="0.35">
      <c r="A42" s="6" t="s">
        <v>2322</v>
      </c>
      <c r="B42" s="6" t="s">
        <v>4716</v>
      </c>
      <c r="C42" s="6" t="s">
        <v>4794</v>
      </c>
      <c r="D42" s="6" t="s">
        <v>4795</v>
      </c>
    </row>
    <row r="43" spans="1:4" x14ac:dyDescent="0.35">
      <c r="A43" s="6" t="s">
        <v>2321</v>
      </c>
      <c r="B43" s="6" t="s">
        <v>4713</v>
      </c>
      <c r="C43" s="6" t="s">
        <v>4796</v>
      </c>
      <c r="D43" s="6" t="s">
        <v>4797</v>
      </c>
    </row>
    <row r="44" spans="1:4" x14ac:dyDescent="0.35">
      <c r="A44" s="6" t="s">
        <v>2320</v>
      </c>
      <c r="B44" s="6" t="s">
        <v>4713</v>
      </c>
      <c r="C44" s="6" t="s">
        <v>4798</v>
      </c>
      <c r="D44" s="6" t="s">
        <v>4760</v>
      </c>
    </row>
    <row r="45" spans="1:4" x14ac:dyDescent="0.35">
      <c r="A45" s="6" t="s">
        <v>2319</v>
      </c>
      <c r="B45" s="6" t="s">
        <v>4716</v>
      </c>
      <c r="C45" s="6" t="s">
        <v>4799</v>
      </c>
      <c r="D45" s="6" t="s">
        <v>4800</v>
      </c>
    </row>
    <row r="46" spans="1:4" x14ac:dyDescent="0.35">
      <c r="A46" s="6" t="s">
        <v>2318</v>
      </c>
      <c r="B46" s="6" t="s">
        <v>4716</v>
      </c>
      <c r="C46" s="6" t="s">
        <v>4801</v>
      </c>
      <c r="D46" s="6" t="s">
        <v>4802</v>
      </c>
    </row>
    <row r="47" spans="1:4" x14ac:dyDescent="0.35">
      <c r="A47" s="6" t="s">
        <v>2317</v>
      </c>
      <c r="B47" s="6" t="s">
        <v>4713</v>
      </c>
      <c r="C47" s="6" t="s">
        <v>4803</v>
      </c>
      <c r="D47" s="6" t="s">
        <v>4804</v>
      </c>
    </row>
    <row r="48" spans="1:4" x14ac:dyDescent="0.35">
      <c r="A48" s="6" t="s">
        <v>2316</v>
      </c>
      <c r="B48" s="6" t="s">
        <v>4716</v>
      </c>
      <c r="C48" s="6" t="s">
        <v>4805</v>
      </c>
      <c r="D48" s="6" t="s">
        <v>4806</v>
      </c>
    </row>
    <row r="49" spans="1:4" x14ac:dyDescent="0.35">
      <c r="A49" s="6" t="s">
        <v>2315</v>
      </c>
      <c r="B49" s="6" t="s">
        <v>4713</v>
      </c>
      <c r="C49" s="6" t="s">
        <v>4796</v>
      </c>
      <c r="D49" s="6" t="s">
        <v>4807</v>
      </c>
    </row>
    <row r="50" spans="1:4" x14ac:dyDescent="0.35">
      <c r="A50" s="6" t="s">
        <v>2314</v>
      </c>
      <c r="B50" s="6" t="s">
        <v>4716</v>
      </c>
      <c r="C50" s="6" t="s">
        <v>4808</v>
      </c>
      <c r="D50" s="6" t="s">
        <v>4809</v>
      </c>
    </row>
    <row r="51" spans="1:4" x14ac:dyDescent="0.35">
      <c r="A51" s="6" t="s">
        <v>2313</v>
      </c>
      <c r="B51" s="6" t="s">
        <v>4716</v>
      </c>
      <c r="C51" s="6" t="s">
        <v>4810</v>
      </c>
      <c r="D51" s="6" t="s">
        <v>4811</v>
      </c>
    </row>
    <row r="52" spans="1:4" x14ac:dyDescent="0.35">
      <c r="A52" s="6" t="s">
        <v>2312</v>
      </c>
      <c r="B52" s="6" t="s">
        <v>4716</v>
      </c>
      <c r="C52" s="6" t="s">
        <v>4812</v>
      </c>
      <c r="D52" s="6" t="s">
        <v>4813</v>
      </c>
    </row>
    <row r="53" spans="1:4" x14ac:dyDescent="0.35">
      <c r="A53" s="6" t="s">
        <v>2311</v>
      </c>
      <c r="B53" s="6" t="s">
        <v>4713</v>
      </c>
      <c r="C53" s="6" t="s">
        <v>4814</v>
      </c>
      <c r="D53" s="6" t="s">
        <v>4815</v>
      </c>
    </row>
    <row r="54" spans="1:4" x14ac:dyDescent="0.35">
      <c r="A54" s="6" t="s">
        <v>2310</v>
      </c>
      <c r="B54" s="6" t="s">
        <v>4716</v>
      </c>
      <c r="C54" s="6" t="s">
        <v>4816</v>
      </c>
      <c r="D54" s="6" t="s">
        <v>4738</v>
      </c>
    </row>
    <row r="55" spans="1:4" x14ac:dyDescent="0.35">
      <c r="A55" s="6" t="s">
        <v>2309</v>
      </c>
      <c r="B55" s="6" t="s">
        <v>4716</v>
      </c>
      <c r="C55" s="6" t="s">
        <v>4817</v>
      </c>
      <c r="D55" s="6" t="s">
        <v>4818</v>
      </c>
    </row>
    <row r="56" spans="1:4" x14ac:dyDescent="0.35">
      <c r="A56" s="6" t="s">
        <v>2308</v>
      </c>
      <c r="B56" s="6" t="s">
        <v>4713</v>
      </c>
      <c r="C56" s="6" t="s">
        <v>4819</v>
      </c>
      <c r="D56" s="6" t="s">
        <v>4820</v>
      </c>
    </row>
    <row r="57" spans="1:4" x14ac:dyDescent="0.35">
      <c r="A57" s="6" t="s">
        <v>2307</v>
      </c>
      <c r="B57" s="6" t="s">
        <v>4713</v>
      </c>
      <c r="C57" s="6" t="s">
        <v>4821</v>
      </c>
      <c r="D57" s="6" t="s">
        <v>4822</v>
      </c>
    </row>
    <row r="58" spans="1:4" x14ac:dyDescent="0.35">
      <c r="A58" s="6" t="s">
        <v>2306</v>
      </c>
      <c r="B58" s="6" t="s">
        <v>4716</v>
      </c>
      <c r="C58" s="6" t="s">
        <v>4823</v>
      </c>
      <c r="D58" s="6" t="s">
        <v>4824</v>
      </c>
    </row>
    <row r="59" spans="1:4" x14ac:dyDescent="0.35">
      <c r="A59" s="6" t="s">
        <v>2305</v>
      </c>
      <c r="B59" s="6" t="s">
        <v>4713</v>
      </c>
      <c r="C59" s="6" t="s">
        <v>4825</v>
      </c>
      <c r="D59" s="6" t="s">
        <v>4826</v>
      </c>
    </row>
    <row r="60" spans="1:4" x14ac:dyDescent="0.35">
      <c r="A60" s="6" t="s">
        <v>2304</v>
      </c>
      <c r="B60" s="6" t="s">
        <v>4716</v>
      </c>
      <c r="C60" s="6" t="s">
        <v>4827</v>
      </c>
      <c r="D60" s="6" t="s">
        <v>4828</v>
      </c>
    </row>
    <row r="61" spans="1:4" x14ac:dyDescent="0.35">
      <c r="A61" s="6" t="s">
        <v>2303</v>
      </c>
      <c r="B61" s="6" t="s">
        <v>4713</v>
      </c>
      <c r="C61" s="6" t="s">
        <v>4829</v>
      </c>
      <c r="D61" s="6" t="s">
        <v>4830</v>
      </c>
    </row>
    <row r="62" spans="1:4" x14ac:dyDescent="0.35">
      <c r="A62" s="6" t="s">
        <v>2302</v>
      </c>
      <c r="B62" s="6" t="s">
        <v>4716</v>
      </c>
      <c r="C62" s="6" t="s">
        <v>4831</v>
      </c>
      <c r="D62" s="6" t="s">
        <v>4832</v>
      </c>
    </row>
    <row r="63" spans="1:4" x14ac:dyDescent="0.35">
      <c r="A63" s="6" t="s">
        <v>2301</v>
      </c>
      <c r="B63" s="6" t="s">
        <v>4713</v>
      </c>
      <c r="C63" s="6" t="s">
        <v>4833</v>
      </c>
      <c r="D63" s="6" t="s">
        <v>4834</v>
      </c>
    </row>
    <row r="64" spans="1:4" x14ac:dyDescent="0.35">
      <c r="A64" s="6" t="s">
        <v>2300</v>
      </c>
      <c r="B64" s="6" t="s">
        <v>4713</v>
      </c>
      <c r="C64" s="6" t="s">
        <v>4835</v>
      </c>
      <c r="D64" s="6" t="s">
        <v>4836</v>
      </c>
    </row>
    <row r="65" spans="1:4" x14ac:dyDescent="0.35">
      <c r="A65" s="6" t="s">
        <v>2299</v>
      </c>
      <c r="B65" s="6" t="s">
        <v>4716</v>
      </c>
      <c r="C65" s="6" t="s">
        <v>4837</v>
      </c>
      <c r="D65" s="6" t="s">
        <v>4738</v>
      </c>
    </row>
    <row r="66" spans="1:4" x14ac:dyDescent="0.35">
      <c r="A66" s="6" t="s">
        <v>2298</v>
      </c>
      <c r="B66" s="6" t="s">
        <v>4716</v>
      </c>
      <c r="C66" s="6" t="s">
        <v>4838</v>
      </c>
      <c r="D66" s="6" t="s">
        <v>4839</v>
      </c>
    </row>
    <row r="67" spans="1:4" x14ac:dyDescent="0.35">
      <c r="A67" s="6" t="s">
        <v>2297</v>
      </c>
      <c r="B67" s="6" t="s">
        <v>4713</v>
      </c>
      <c r="C67" s="6" t="s">
        <v>4840</v>
      </c>
      <c r="D67" s="6" t="s">
        <v>4841</v>
      </c>
    </row>
    <row r="68" spans="1:4" x14ac:dyDescent="0.35">
      <c r="A68" s="6" t="s">
        <v>2296</v>
      </c>
      <c r="B68" s="6" t="s">
        <v>4716</v>
      </c>
      <c r="C68" s="6" t="s">
        <v>4842</v>
      </c>
      <c r="D68" s="6" t="s">
        <v>4843</v>
      </c>
    </row>
    <row r="69" spans="1:4" x14ac:dyDescent="0.35">
      <c r="A69" s="6" t="s">
        <v>2295</v>
      </c>
      <c r="B69" s="6" t="s">
        <v>4716</v>
      </c>
      <c r="C69" s="6" t="s">
        <v>4844</v>
      </c>
      <c r="D69" s="6" t="s">
        <v>4845</v>
      </c>
    </row>
    <row r="70" spans="1:4" x14ac:dyDescent="0.35">
      <c r="A70" s="6" t="s">
        <v>2294</v>
      </c>
      <c r="B70" s="6" t="s">
        <v>4713</v>
      </c>
      <c r="C70" s="6" t="s">
        <v>4846</v>
      </c>
      <c r="D70" s="6" t="s">
        <v>4847</v>
      </c>
    </row>
    <row r="71" spans="1:4" x14ac:dyDescent="0.35">
      <c r="A71" s="6" t="s">
        <v>2293</v>
      </c>
      <c r="B71" s="6" t="s">
        <v>4716</v>
      </c>
      <c r="C71" s="6" t="s">
        <v>4848</v>
      </c>
      <c r="D71" s="6" t="s">
        <v>4849</v>
      </c>
    </row>
    <row r="72" spans="1:4" x14ac:dyDescent="0.35">
      <c r="A72" s="6" t="s">
        <v>2292</v>
      </c>
      <c r="B72" s="6" t="s">
        <v>4716</v>
      </c>
      <c r="C72" s="6" t="s">
        <v>4850</v>
      </c>
      <c r="D72" s="6" t="s">
        <v>4851</v>
      </c>
    </row>
    <row r="73" spans="1:4" x14ac:dyDescent="0.35">
      <c r="A73" s="6" t="s">
        <v>2291</v>
      </c>
      <c r="B73" s="6" t="s">
        <v>4716</v>
      </c>
      <c r="C73" s="6" t="s">
        <v>4852</v>
      </c>
      <c r="D73" s="6" t="s">
        <v>4853</v>
      </c>
    </row>
    <row r="74" spans="1:4" x14ac:dyDescent="0.35">
      <c r="A74" s="6" t="s">
        <v>2290</v>
      </c>
      <c r="B74" s="6" t="s">
        <v>4713</v>
      </c>
      <c r="C74" s="6" t="s">
        <v>4854</v>
      </c>
      <c r="D74" s="6" t="s">
        <v>4855</v>
      </c>
    </row>
    <row r="75" spans="1:4" x14ac:dyDescent="0.35">
      <c r="A75" s="6" t="s">
        <v>2289</v>
      </c>
      <c r="B75" s="6" t="s">
        <v>4713</v>
      </c>
      <c r="C75" s="6" t="s">
        <v>4856</v>
      </c>
      <c r="D75" s="6" t="s">
        <v>4857</v>
      </c>
    </row>
    <row r="76" spans="1:4" x14ac:dyDescent="0.35">
      <c r="A76" s="6" t="s">
        <v>2288</v>
      </c>
      <c r="B76" s="6" t="s">
        <v>4713</v>
      </c>
      <c r="C76" s="6" t="s">
        <v>4858</v>
      </c>
      <c r="D76" s="6" t="s">
        <v>4859</v>
      </c>
    </row>
    <row r="77" spans="1:4" x14ac:dyDescent="0.35">
      <c r="A77" s="6" t="s">
        <v>2287</v>
      </c>
      <c r="B77" s="6" t="s">
        <v>4716</v>
      </c>
      <c r="C77" s="6" t="s">
        <v>4860</v>
      </c>
      <c r="D77" s="6" t="s">
        <v>4861</v>
      </c>
    </row>
    <row r="78" spans="1:4" x14ac:dyDescent="0.35">
      <c r="A78" s="6" t="s">
        <v>2286</v>
      </c>
      <c r="B78" s="6" t="s">
        <v>4713</v>
      </c>
      <c r="C78" s="6" t="s">
        <v>4862</v>
      </c>
      <c r="D78" s="6" t="s">
        <v>4863</v>
      </c>
    </row>
    <row r="79" spans="1:4" x14ac:dyDescent="0.35">
      <c r="A79" s="6" t="s">
        <v>2285</v>
      </c>
      <c r="B79" s="6" t="s">
        <v>4713</v>
      </c>
      <c r="C79" s="6" t="s">
        <v>4864</v>
      </c>
      <c r="D79" s="6" t="s">
        <v>4865</v>
      </c>
    </row>
    <row r="80" spans="1:4" x14ac:dyDescent="0.35">
      <c r="A80" s="6" t="s">
        <v>2284</v>
      </c>
      <c r="B80" s="6" t="s">
        <v>4716</v>
      </c>
      <c r="C80" s="6" t="s">
        <v>4866</v>
      </c>
      <c r="D80" s="6" t="s">
        <v>4867</v>
      </c>
    </row>
    <row r="81" spans="1:4" x14ac:dyDescent="0.35">
      <c r="A81" s="6" t="s">
        <v>2283</v>
      </c>
      <c r="B81" s="6" t="s">
        <v>4713</v>
      </c>
      <c r="C81" s="6" t="s">
        <v>4868</v>
      </c>
      <c r="D81" s="6" t="s">
        <v>4869</v>
      </c>
    </row>
    <row r="82" spans="1:4" x14ac:dyDescent="0.35">
      <c r="A82" s="6" t="s">
        <v>2282</v>
      </c>
      <c r="B82" s="6" t="s">
        <v>4713</v>
      </c>
      <c r="C82" s="6" t="s">
        <v>4870</v>
      </c>
      <c r="D82" s="6" t="s">
        <v>4871</v>
      </c>
    </row>
    <row r="83" spans="1:4" x14ac:dyDescent="0.35">
      <c r="A83" s="6" t="s">
        <v>2281</v>
      </c>
      <c r="B83" s="6" t="s">
        <v>4716</v>
      </c>
      <c r="C83" s="6" t="s">
        <v>4872</v>
      </c>
      <c r="D83" s="6" t="s">
        <v>4873</v>
      </c>
    </row>
    <row r="84" spans="1:4" x14ac:dyDescent="0.35">
      <c r="A84" s="6" t="s">
        <v>2280</v>
      </c>
      <c r="B84" s="6" t="s">
        <v>4713</v>
      </c>
      <c r="C84" s="6" t="s">
        <v>4874</v>
      </c>
      <c r="D84" s="6" t="s">
        <v>4875</v>
      </c>
    </row>
    <row r="85" spans="1:4" x14ac:dyDescent="0.35">
      <c r="A85" s="6" t="s">
        <v>2279</v>
      </c>
      <c r="B85" s="6" t="s">
        <v>4716</v>
      </c>
      <c r="C85" s="6" t="s">
        <v>4876</v>
      </c>
      <c r="D85" s="6" t="s">
        <v>4877</v>
      </c>
    </row>
    <row r="86" spans="1:4" x14ac:dyDescent="0.35">
      <c r="A86" s="6" t="s">
        <v>2278</v>
      </c>
      <c r="B86" s="6" t="s">
        <v>4716</v>
      </c>
      <c r="C86" s="6" t="s">
        <v>4878</v>
      </c>
      <c r="D86" s="6" t="s">
        <v>4879</v>
      </c>
    </row>
    <row r="87" spans="1:4" x14ac:dyDescent="0.35">
      <c r="A87" s="6" t="s">
        <v>2277</v>
      </c>
      <c r="B87" s="6" t="s">
        <v>4716</v>
      </c>
      <c r="C87" s="6" t="s">
        <v>4880</v>
      </c>
      <c r="D87" s="6" t="s">
        <v>4881</v>
      </c>
    </row>
    <row r="88" spans="1:4" x14ac:dyDescent="0.35">
      <c r="A88" s="6" t="s">
        <v>2276</v>
      </c>
      <c r="B88" s="6" t="s">
        <v>4716</v>
      </c>
      <c r="C88" s="6" t="s">
        <v>4882</v>
      </c>
      <c r="D88" s="6" t="s">
        <v>4883</v>
      </c>
    </row>
    <row r="89" spans="1:4" x14ac:dyDescent="0.35">
      <c r="A89" s="6" t="s">
        <v>2275</v>
      </c>
      <c r="B89" s="6" t="s">
        <v>4713</v>
      </c>
      <c r="C89" s="6" t="s">
        <v>4884</v>
      </c>
      <c r="D89" s="6" t="s">
        <v>4885</v>
      </c>
    </row>
    <row r="90" spans="1:4" x14ac:dyDescent="0.35">
      <c r="A90" s="6" t="s">
        <v>2274</v>
      </c>
      <c r="B90" s="6" t="s">
        <v>4713</v>
      </c>
      <c r="C90" s="6" t="s">
        <v>4886</v>
      </c>
      <c r="D90" s="6" t="s">
        <v>4887</v>
      </c>
    </row>
    <row r="91" spans="1:4" x14ac:dyDescent="0.35">
      <c r="A91" s="6" t="s">
        <v>2273</v>
      </c>
      <c r="B91" s="6" t="s">
        <v>4713</v>
      </c>
      <c r="C91" s="6" t="s">
        <v>4888</v>
      </c>
      <c r="D91" s="6" t="s">
        <v>4889</v>
      </c>
    </row>
    <row r="92" spans="1:4" x14ac:dyDescent="0.35">
      <c r="A92" s="6" t="s">
        <v>2272</v>
      </c>
      <c r="B92" s="6" t="s">
        <v>4713</v>
      </c>
      <c r="C92" s="6" t="s">
        <v>4890</v>
      </c>
      <c r="D92" s="6" t="s">
        <v>4891</v>
      </c>
    </row>
    <row r="93" spans="1:4" x14ac:dyDescent="0.35">
      <c r="A93" s="6" t="s">
        <v>2271</v>
      </c>
      <c r="B93" s="6" t="s">
        <v>4713</v>
      </c>
      <c r="C93" s="6" t="s">
        <v>4892</v>
      </c>
      <c r="D93" s="6" t="s">
        <v>4893</v>
      </c>
    </row>
    <row r="94" spans="1:4" x14ac:dyDescent="0.35">
      <c r="A94" s="6" t="s">
        <v>2270</v>
      </c>
      <c r="B94" s="6" t="s">
        <v>4716</v>
      </c>
      <c r="C94" s="6" t="s">
        <v>4894</v>
      </c>
      <c r="D94" s="6" t="s">
        <v>4895</v>
      </c>
    </row>
    <row r="95" spans="1:4" x14ac:dyDescent="0.35">
      <c r="A95" s="6" t="s">
        <v>2269</v>
      </c>
      <c r="B95" s="6" t="s">
        <v>4716</v>
      </c>
      <c r="C95" s="6" t="s">
        <v>4896</v>
      </c>
      <c r="D95" s="6" t="s">
        <v>4738</v>
      </c>
    </row>
    <row r="96" spans="1:4" x14ac:dyDescent="0.35">
      <c r="A96" s="6" t="s">
        <v>2268</v>
      </c>
      <c r="B96" s="6" t="s">
        <v>4713</v>
      </c>
      <c r="C96" s="6" t="s">
        <v>4897</v>
      </c>
      <c r="D96" s="6" t="s">
        <v>4773</v>
      </c>
    </row>
    <row r="97" spans="1:4" x14ac:dyDescent="0.35">
      <c r="A97" s="6" t="s">
        <v>2267</v>
      </c>
      <c r="B97" s="6" t="s">
        <v>4716</v>
      </c>
      <c r="C97" s="6" t="s">
        <v>4898</v>
      </c>
      <c r="D97" s="6" t="s">
        <v>4899</v>
      </c>
    </row>
    <row r="98" spans="1:4" x14ac:dyDescent="0.35">
      <c r="A98" s="6" t="s">
        <v>2266</v>
      </c>
      <c r="B98" s="6" t="s">
        <v>4713</v>
      </c>
      <c r="C98" s="6" t="s">
        <v>4900</v>
      </c>
      <c r="D98" s="6" t="s">
        <v>4901</v>
      </c>
    </row>
    <row r="99" spans="1:4" x14ac:dyDescent="0.35">
      <c r="A99" s="6" t="s">
        <v>2265</v>
      </c>
      <c r="B99" s="6" t="s">
        <v>4713</v>
      </c>
      <c r="C99" s="6" t="s">
        <v>4902</v>
      </c>
      <c r="D99" s="6" t="s">
        <v>4903</v>
      </c>
    </row>
    <row r="100" spans="1:4" x14ac:dyDescent="0.35">
      <c r="A100" s="6" t="s">
        <v>2264</v>
      </c>
      <c r="B100" s="6" t="s">
        <v>4716</v>
      </c>
      <c r="C100" s="6" t="s">
        <v>4904</v>
      </c>
      <c r="D100" s="6" t="s">
        <v>4905</v>
      </c>
    </row>
    <row r="101" spans="1:4" x14ac:dyDescent="0.35">
      <c r="A101" s="6" t="s">
        <v>2263</v>
      </c>
      <c r="B101" s="6" t="s">
        <v>4716</v>
      </c>
      <c r="C101" s="6" t="s">
        <v>4906</v>
      </c>
      <c r="D101" s="6" t="s">
        <v>4843</v>
      </c>
    </row>
    <row r="102" spans="1:4" x14ac:dyDescent="0.35">
      <c r="A102" s="6" t="s">
        <v>2262</v>
      </c>
      <c r="B102" s="6" t="s">
        <v>4716</v>
      </c>
      <c r="C102" s="6" t="s">
        <v>4907</v>
      </c>
      <c r="D102" s="6" t="s">
        <v>4908</v>
      </c>
    </row>
    <row r="103" spans="1:4" x14ac:dyDescent="0.35">
      <c r="A103" s="6" t="s">
        <v>2261</v>
      </c>
      <c r="B103" s="6" t="s">
        <v>4713</v>
      </c>
      <c r="C103" s="6" t="s">
        <v>4909</v>
      </c>
      <c r="D103" s="6" t="s">
        <v>4910</v>
      </c>
    </row>
    <row r="104" spans="1:4" x14ac:dyDescent="0.35">
      <c r="A104" s="6" t="s">
        <v>2260</v>
      </c>
      <c r="B104" s="6" t="s">
        <v>4716</v>
      </c>
      <c r="C104" s="6" t="s">
        <v>4911</v>
      </c>
      <c r="D104" s="6" t="s">
        <v>4912</v>
      </c>
    </row>
    <row r="105" spans="1:4" x14ac:dyDescent="0.35">
      <c r="A105" s="6" t="s">
        <v>2259</v>
      </c>
      <c r="B105" s="6" t="s">
        <v>4716</v>
      </c>
      <c r="C105" s="6" t="s">
        <v>4913</v>
      </c>
      <c r="D105" s="6" t="s">
        <v>4914</v>
      </c>
    </row>
    <row r="106" spans="1:4" x14ac:dyDescent="0.35">
      <c r="A106" s="6" t="s">
        <v>2258</v>
      </c>
      <c r="B106" s="6" t="s">
        <v>4716</v>
      </c>
      <c r="C106" s="6" t="s">
        <v>4915</v>
      </c>
      <c r="D106" s="6" t="s">
        <v>4916</v>
      </c>
    </row>
    <row r="107" spans="1:4" x14ac:dyDescent="0.35">
      <c r="A107" s="6" t="s">
        <v>2257</v>
      </c>
      <c r="B107" s="6" t="s">
        <v>4716</v>
      </c>
      <c r="C107" s="6" t="s">
        <v>4917</v>
      </c>
      <c r="D107" s="6" t="s">
        <v>4918</v>
      </c>
    </row>
    <row r="108" spans="1:4" x14ac:dyDescent="0.35">
      <c r="A108" s="6" t="s">
        <v>2256</v>
      </c>
      <c r="B108" s="6" t="s">
        <v>4716</v>
      </c>
      <c r="C108" s="6" t="s">
        <v>4919</v>
      </c>
      <c r="D108" s="6" t="s">
        <v>4920</v>
      </c>
    </row>
    <row r="109" spans="1:4" x14ac:dyDescent="0.35">
      <c r="A109" s="6" t="s">
        <v>2255</v>
      </c>
      <c r="B109" s="6" t="s">
        <v>4713</v>
      </c>
      <c r="C109" s="6" t="s">
        <v>4921</v>
      </c>
      <c r="D109" s="6" t="s">
        <v>4922</v>
      </c>
    </row>
    <row r="110" spans="1:4" x14ac:dyDescent="0.35">
      <c r="A110" s="6" t="s">
        <v>2254</v>
      </c>
      <c r="B110" s="6" t="s">
        <v>4713</v>
      </c>
      <c r="C110" s="6" t="s">
        <v>4923</v>
      </c>
      <c r="D110" s="6" t="s">
        <v>4924</v>
      </c>
    </row>
    <row r="111" spans="1:4" x14ac:dyDescent="0.35">
      <c r="A111" s="6" t="s">
        <v>2253</v>
      </c>
      <c r="B111" s="6" t="s">
        <v>4716</v>
      </c>
      <c r="C111" s="6" t="s">
        <v>4925</v>
      </c>
      <c r="D111" s="6" t="s">
        <v>4895</v>
      </c>
    </row>
    <row r="112" spans="1:4" x14ac:dyDescent="0.35">
      <c r="A112" s="6" t="s">
        <v>2252</v>
      </c>
      <c r="B112" s="6" t="s">
        <v>4716</v>
      </c>
      <c r="C112" s="6" t="s">
        <v>4926</v>
      </c>
      <c r="D112" s="6" t="s">
        <v>4927</v>
      </c>
    </row>
    <row r="113" spans="1:4" x14ac:dyDescent="0.35">
      <c r="A113" s="6" t="s">
        <v>2251</v>
      </c>
      <c r="B113" s="6" t="s">
        <v>4713</v>
      </c>
      <c r="C113" s="6" t="s">
        <v>4928</v>
      </c>
      <c r="D113" s="6" t="s">
        <v>4929</v>
      </c>
    </row>
    <row r="114" spans="1:4" x14ac:dyDescent="0.35">
      <c r="A114" s="6" t="s">
        <v>2250</v>
      </c>
      <c r="B114" s="6" t="s">
        <v>4713</v>
      </c>
      <c r="C114" s="6" t="s">
        <v>4930</v>
      </c>
      <c r="D114" s="6" t="s">
        <v>4931</v>
      </c>
    </row>
    <row r="115" spans="1:4" x14ac:dyDescent="0.35">
      <c r="A115" s="6" t="s">
        <v>2249</v>
      </c>
      <c r="B115" s="6" t="s">
        <v>4716</v>
      </c>
      <c r="C115" s="6" t="s">
        <v>4932</v>
      </c>
      <c r="D115" s="6" t="s">
        <v>4933</v>
      </c>
    </row>
    <row r="116" spans="1:4" x14ac:dyDescent="0.35">
      <c r="A116" s="6" t="s">
        <v>2248</v>
      </c>
      <c r="B116" s="6" t="s">
        <v>4716</v>
      </c>
      <c r="C116" s="6" t="s">
        <v>4934</v>
      </c>
      <c r="D116" s="6" t="s">
        <v>4935</v>
      </c>
    </row>
    <row r="117" spans="1:4" x14ac:dyDescent="0.35">
      <c r="A117" s="6" t="s">
        <v>2247</v>
      </c>
      <c r="B117" s="6" t="s">
        <v>4713</v>
      </c>
      <c r="C117" s="6" t="s">
        <v>4936</v>
      </c>
      <c r="D117" s="6" t="s">
        <v>4937</v>
      </c>
    </row>
    <row r="118" spans="1:4" x14ac:dyDescent="0.35">
      <c r="A118" s="6" t="s">
        <v>2246</v>
      </c>
      <c r="B118" s="6" t="s">
        <v>4716</v>
      </c>
      <c r="C118" s="6" t="s">
        <v>4938</v>
      </c>
      <c r="D118" s="6" t="s">
        <v>4939</v>
      </c>
    </row>
    <row r="119" spans="1:4" x14ac:dyDescent="0.35">
      <c r="A119" s="6" t="s">
        <v>2245</v>
      </c>
      <c r="B119" s="6" t="s">
        <v>4716</v>
      </c>
      <c r="C119" s="6" t="s">
        <v>4940</v>
      </c>
      <c r="D119" s="6" t="s">
        <v>4754</v>
      </c>
    </row>
    <row r="120" spans="1:4" x14ac:dyDescent="0.35">
      <c r="A120" s="6" t="s">
        <v>2244</v>
      </c>
      <c r="B120" s="6" t="s">
        <v>4716</v>
      </c>
      <c r="C120" s="6" t="s">
        <v>4941</v>
      </c>
      <c r="D120" s="6" t="s">
        <v>4942</v>
      </c>
    </row>
    <row r="121" spans="1:4" x14ac:dyDescent="0.35">
      <c r="A121" s="6" t="s">
        <v>2243</v>
      </c>
      <c r="B121" s="6" t="s">
        <v>4716</v>
      </c>
      <c r="C121" s="6" t="s">
        <v>4943</v>
      </c>
      <c r="D121" s="6" t="s">
        <v>4944</v>
      </c>
    </row>
    <row r="122" spans="1:4" x14ac:dyDescent="0.35">
      <c r="A122" s="6" t="s">
        <v>2242</v>
      </c>
      <c r="B122" s="6" t="s">
        <v>4716</v>
      </c>
      <c r="C122" s="6" t="s">
        <v>4945</v>
      </c>
      <c r="D122" s="6" t="s">
        <v>4946</v>
      </c>
    </row>
    <row r="123" spans="1:4" x14ac:dyDescent="0.35">
      <c r="A123" s="6" t="s">
        <v>2241</v>
      </c>
      <c r="B123" s="6" t="s">
        <v>4716</v>
      </c>
      <c r="C123" s="6" t="s">
        <v>4947</v>
      </c>
      <c r="D123" s="6" t="s">
        <v>4948</v>
      </c>
    </row>
    <row r="124" spans="1:4" x14ac:dyDescent="0.35">
      <c r="A124" s="6" t="s">
        <v>2240</v>
      </c>
      <c r="B124" s="6" t="s">
        <v>4713</v>
      </c>
      <c r="C124" s="6" t="s">
        <v>4949</v>
      </c>
      <c r="D124" s="6" t="s">
        <v>4950</v>
      </c>
    </row>
    <row r="125" spans="1:4" x14ac:dyDescent="0.35">
      <c r="A125" s="6" t="s">
        <v>2239</v>
      </c>
      <c r="B125" s="6" t="s">
        <v>4716</v>
      </c>
      <c r="C125" s="6" t="s">
        <v>4951</v>
      </c>
      <c r="D125" s="6" t="s">
        <v>4952</v>
      </c>
    </row>
    <row r="126" spans="1:4" x14ac:dyDescent="0.35">
      <c r="A126" s="6" t="s">
        <v>2238</v>
      </c>
      <c r="B126" s="6" t="s">
        <v>4713</v>
      </c>
      <c r="C126" s="6" t="s">
        <v>4953</v>
      </c>
      <c r="D126" s="6" t="s">
        <v>4954</v>
      </c>
    </row>
    <row r="127" spans="1:4" x14ac:dyDescent="0.35">
      <c r="A127" s="6" t="s">
        <v>2237</v>
      </c>
      <c r="B127" s="6" t="s">
        <v>4716</v>
      </c>
      <c r="C127" s="6" t="s">
        <v>4955</v>
      </c>
      <c r="D127" s="6" t="s">
        <v>4956</v>
      </c>
    </row>
    <row r="128" spans="1:4" x14ac:dyDescent="0.35">
      <c r="A128" s="6" t="s">
        <v>2236</v>
      </c>
      <c r="B128" s="6" t="s">
        <v>4716</v>
      </c>
      <c r="C128" s="6" t="s">
        <v>4957</v>
      </c>
      <c r="D128" s="6" t="s">
        <v>4958</v>
      </c>
    </row>
    <row r="129" spans="1:4" x14ac:dyDescent="0.35">
      <c r="A129" s="6" t="s">
        <v>2235</v>
      </c>
      <c r="B129" s="6" t="s">
        <v>4716</v>
      </c>
      <c r="C129" s="6" t="s">
        <v>4959</v>
      </c>
      <c r="D129" s="6" t="s">
        <v>4960</v>
      </c>
    </row>
    <row r="130" spans="1:4" x14ac:dyDescent="0.35">
      <c r="A130" s="6" t="s">
        <v>2234</v>
      </c>
      <c r="B130" s="6" t="s">
        <v>4716</v>
      </c>
      <c r="C130" s="6" t="s">
        <v>4961</v>
      </c>
      <c r="D130" s="6" t="s">
        <v>4962</v>
      </c>
    </row>
    <row r="131" spans="1:4" x14ac:dyDescent="0.35">
      <c r="A131" s="6" t="s">
        <v>2233</v>
      </c>
      <c r="B131" s="6" t="s">
        <v>4716</v>
      </c>
      <c r="C131" s="6" t="s">
        <v>4963</v>
      </c>
      <c r="D131" s="6" t="s">
        <v>4964</v>
      </c>
    </row>
    <row r="132" spans="1:4" x14ac:dyDescent="0.35">
      <c r="A132" s="6" t="s">
        <v>2232</v>
      </c>
      <c r="B132" s="6" t="s">
        <v>4716</v>
      </c>
      <c r="C132" s="6" t="s">
        <v>4965</v>
      </c>
      <c r="D132" s="6" t="s">
        <v>4966</v>
      </c>
    </row>
    <row r="133" spans="1:4" x14ac:dyDescent="0.35">
      <c r="A133" s="6" t="s">
        <v>2231</v>
      </c>
      <c r="B133" s="6" t="s">
        <v>4713</v>
      </c>
      <c r="C133" s="6" t="s">
        <v>4967</v>
      </c>
      <c r="D133" s="6" t="s">
        <v>4968</v>
      </c>
    </row>
    <row r="134" spans="1:4" x14ac:dyDescent="0.35">
      <c r="A134" s="6" t="s">
        <v>2230</v>
      </c>
      <c r="B134" s="6" t="s">
        <v>4716</v>
      </c>
      <c r="C134" s="6" t="s">
        <v>4969</v>
      </c>
      <c r="D134" s="6" t="s">
        <v>4970</v>
      </c>
    </row>
    <row r="135" spans="1:4" x14ac:dyDescent="0.35">
      <c r="A135" s="6" t="s">
        <v>2229</v>
      </c>
      <c r="B135" s="6" t="s">
        <v>4716</v>
      </c>
      <c r="C135" s="6" t="s">
        <v>4971</v>
      </c>
      <c r="D135" s="6" t="s">
        <v>4972</v>
      </c>
    </row>
    <row r="136" spans="1:4" x14ac:dyDescent="0.35">
      <c r="A136" s="6" t="s">
        <v>2228</v>
      </c>
      <c r="B136" s="6" t="s">
        <v>4713</v>
      </c>
      <c r="C136" s="6" t="s">
        <v>4973</v>
      </c>
      <c r="D136" s="6" t="s">
        <v>4974</v>
      </c>
    </row>
    <row r="137" spans="1:4" x14ac:dyDescent="0.35">
      <c r="A137" s="6" t="s">
        <v>2227</v>
      </c>
      <c r="B137" s="6" t="s">
        <v>4713</v>
      </c>
      <c r="C137" s="6" t="s">
        <v>4975</v>
      </c>
      <c r="D137" s="6" t="s">
        <v>4976</v>
      </c>
    </row>
    <row r="138" spans="1:4" x14ac:dyDescent="0.35">
      <c r="A138" s="6" t="s">
        <v>2226</v>
      </c>
      <c r="B138" s="6" t="s">
        <v>4713</v>
      </c>
      <c r="C138" s="6" t="s">
        <v>4977</v>
      </c>
      <c r="D138" s="6" t="s">
        <v>4978</v>
      </c>
    </row>
    <row r="139" spans="1:4" x14ac:dyDescent="0.35">
      <c r="A139" s="6" t="s">
        <v>2225</v>
      </c>
      <c r="B139" s="6" t="s">
        <v>4716</v>
      </c>
      <c r="C139" s="6" t="s">
        <v>4979</v>
      </c>
      <c r="D139" s="6" t="s">
        <v>4980</v>
      </c>
    </row>
    <row r="140" spans="1:4" x14ac:dyDescent="0.35">
      <c r="A140" s="6" t="s">
        <v>2224</v>
      </c>
      <c r="B140" s="6" t="s">
        <v>4716</v>
      </c>
      <c r="C140" s="6" t="s">
        <v>4981</v>
      </c>
      <c r="D140" s="6" t="s">
        <v>4982</v>
      </c>
    </row>
    <row r="141" spans="1:4" x14ac:dyDescent="0.35">
      <c r="A141" s="6" t="s">
        <v>2223</v>
      </c>
      <c r="B141" s="6" t="s">
        <v>4716</v>
      </c>
      <c r="C141" s="6" t="s">
        <v>4983</v>
      </c>
      <c r="D141" s="6" t="s">
        <v>4984</v>
      </c>
    </row>
    <row r="142" spans="1:4" x14ac:dyDescent="0.35">
      <c r="A142" s="6" t="s">
        <v>2222</v>
      </c>
      <c r="B142" s="6" t="s">
        <v>4716</v>
      </c>
      <c r="C142" s="6" t="s">
        <v>4985</v>
      </c>
      <c r="D142" s="6" t="s">
        <v>4986</v>
      </c>
    </row>
    <row r="143" spans="1:4" x14ac:dyDescent="0.35">
      <c r="A143" s="6" t="s">
        <v>2221</v>
      </c>
      <c r="B143" s="6" t="s">
        <v>4716</v>
      </c>
      <c r="C143" s="6" t="s">
        <v>4987</v>
      </c>
      <c r="D143" s="6" t="s">
        <v>4988</v>
      </c>
    </row>
    <row r="144" spans="1:4" x14ac:dyDescent="0.35">
      <c r="A144" s="6" t="s">
        <v>2220</v>
      </c>
      <c r="B144" s="6" t="s">
        <v>4713</v>
      </c>
      <c r="C144" s="6" t="s">
        <v>4989</v>
      </c>
      <c r="D144" s="6" t="s">
        <v>4990</v>
      </c>
    </row>
    <row r="145" spans="1:4" x14ac:dyDescent="0.35">
      <c r="A145" s="6" t="s">
        <v>2219</v>
      </c>
      <c r="B145" s="6" t="s">
        <v>4716</v>
      </c>
      <c r="C145" s="6" t="s">
        <v>4991</v>
      </c>
      <c r="D145" s="6" t="s">
        <v>4992</v>
      </c>
    </row>
    <row r="146" spans="1:4" x14ac:dyDescent="0.35">
      <c r="A146" s="6" t="s">
        <v>2218</v>
      </c>
      <c r="B146" s="6" t="s">
        <v>4716</v>
      </c>
      <c r="C146" s="6" t="s">
        <v>4993</v>
      </c>
      <c r="D146" s="6" t="s">
        <v>4994</v>
      </c>
    </row>
    <row r="147" spans="1:4" x14ac:dyDescent="0.35">
      <c r="A147" s="6" t="s">
        <v>2217</v>
      </c>
      <c r="B147" s="6" t="s">
        <v>4713</v>
      </c>
      <c r="C147" s="6" t="s">
        <v>4995</v>
      </c>
      <c r="D147" s="6" t="s">
        <v>4996</v>
      </c>
    </row>
    <row r="148" spans="1:4" x14ac:dyDescent="0.35">
      <c r="A148" s="6" t="s">
        <v>2216</v>
      </c>
      <c r="B148" s="6" t="s">
        <v>4716</v>
      </c>
      <c r="C148" s="6" t="s">
        <v>4870</v>
      </c>
      <c r="D148" s="6" t="s">
        <v>4997</v>
      </c>
    </row>
    <row r="149" spans="1:4" x14ac:dyDescent="0.35">
      <c r="A149" s="6" t="s">
        <v>2215</v>
      </c>
      <c r="B149" s="6" t="s">
        <v>4716</v>
      </c>
      <c r="C149" s="6" t="s">
        <v>4998</v>
      </c>
      <c r="D149" s="6" t="s">
        <v>4999</v>
      </c>
    </row>
    <row r="150" spans="1:4" x14ac:dyDescent="0.35">
      <c r="A150" s="6" t="s">
        <v>2214</v>
      </c>
      <c r="B150" s="6" t="s">
        <v>4716</v>
      </c>
      <c r="C150" s="6" t="s">
        <v>5000</v>
      </c>
      <c r="D150" s="6" t="s">
        <v>5001</v>
      </c>
    </row>
    <row r="151" spans="1:4" x14ac:dyDescent="0.35">
      <c r="A151" s="6" t="s">
        <v>2213</v>
      </c>
      <c r="B151" s="6" t="s">
        <v>4716</v>
      </c>
      <c r="C151" s="6" t="s">
        <v>5002</v>
      </c>
      <c r="D151" s="6" t="s">
        <v>5003</v>
      </c>
    </row>
    <row r="152" spans="1:4" x14ac:dyDescent="0.35">
      <c r="A152" s="6" t="s">
        <v>2212</v>
      </c>
      <c r="B152" s="6" t="s">
        <v>4713</v>
      </c>
      <c r="C152" s="6" t="s">
        <v>5004</v>
      </c>
      <c r="D152" s="6" t="s">
        <v>5005</v>
      </c>
    </row>
    <row r="153" spans="1:4" x14ac:dyDescent="0.35">
      <c r="A153" s="6" t="s">
        <v>2211</v>
      </c>
      <c r="B153" s="6" t="s">
        <v>4716</v>
      </c>
      <c r="C153" s="6" t="s">
        <v>5006</v>
      </c>
      <c r="D153" s="6" t="s">
        <v>4997</v>
      </c>
    </row>
    <row r="154" spans="1:4" x14ac:dyDescent="0.35">
      <c r="A154" s="6" t="s">
        <v>2210</v>
      </c>
      <c r="B154" s="6" t="s">
        <v>4716</v>
      </c>
      <c r="C154" s="6" t="s">
        <v>5007</v>
      </c>
      <c r="D154" s="6" t="s">
        <v>5008</v>
      </c>
    </row>
    <row r="155" spans="1:4" x14ac:dyDescent="0.35">
      <c r="A155" s="6" t="s">
        <v>2209</v>
      </c>
      <c r="B155" s="6" t="s">
        <v>4716</v>
      </c>
      <c r="C155" s="6" t="s">
        <v>5009</v>
      </c>
      <c r="D155" s="6" t="s">
        <v>5010</v>
      </c>
    </row>
    <row r="156" spans="1:4" x14ac:dyDescent="0.35">
      <c r="A156" s="6" t="s">
        <v>2208</v>
      </c>
      <c r="B156" s="6" t="s">
        <v>4716</v>
      </c>
      <c r="C156" s="6" t="s">
        <v>5011</v>
      </c>
      <c r="D156" s="6" t="s">
        <v>5012</v>
      </c>
    </row>
    <row r="157" spans="1:4" x14ac:dyDescent="0.35">
      <c r="A157" s="6" t="s">
        <v>2207</v>
      </c>
      <c r="B157" s="6" t="s">
        <v>4716</v>
      </c>
      <c r="C157" s="6" t="s">
        <v>5013</v>
      </c>
      <c r="D157" s="6" t="s">
        <v>5014</v>
      </c>
    </row>
    <row r="158" spans="1:4" x14ac:dyDescent="0.35">
      <c r="A158" s="6" t="s">
        <v>2206</v>
      </c>
      <c r="B158" s="6" t="s">
        <v>4716</v>
      </c>
      <c r="C158" s="6" t="s">
        <v>5015</v>
      </c>
      <c r="D158" s="6" t="s">
        <v>4843</v>
      </c>
    </row>
    <row r="159" spans="1:4" x14ac:dyDescent="0.35">
      <c r="A159" s="6" t="s">
        <v>2205</v>
      </c>
      <c r="B159" s="6" t="s">
        <v>4713</v>
      </c>
      <c r="C159" s="6" t="s">
        <v>5016</v>
      </c>
      <c r="D159" s="6" t="s">
        <v>5017</v>
      </c>
    </row>
    <row r="160" spans="1:4" x14ac:dyDescent="0.35">
      <c r="A160" s="6" t="s">
        <v>2204</v>
      </c>
      <c r="B160" s="6" t="s">
        <v>4713</v>
      </c>
      <c r="C160" s="6" t="s">
        <v>5018</v>
      </c>
      <c r="D160" s="6" t="s">
        <v>5019</v>
      </c>
    </row>
    <row r="161" spans="1:4" x14ac:dyDescent="0.35">
      <c r="A161" s="6" t="s">
        <v>2203</v>
      </c>
      <c r="B161" s="6" t="s">
        <v>4716</v>
      </c>
      <c r="C161" s="6" t="s">
        <v>5020</v>
      </c>
      <c r="D161" s="6" t="s">
        <v>5021</v>
      </c>
    </row>
    <row r="162" spans="1:4" x14ac:dyDescent="0.35">
      <c r="A162" s="6" t="s">
        <v>2202</v>
      </c>
      <c r="B162" s="6" t="s">
        <v>4716</v>
      </c>
      <c r="C162" s="6" t="s">
        <v>5022</v>
      </c>
      <c r="D162" s="6" t="s">
        <v>5023</v>
      </c>
    </row>
    <row r="163" spans="1:4" x14ac:dyDescent="0.35">
      <c r="A163" s="6" t="s">
        <v>2201</v>
      </c>
      <c r="B163" s="6" t="s">
        <v>4716</v>
      </c>
      <c r="C163" s="6" t="s">
        <v>5024</v>
      </c>
      <c r="D163" s="6" t="s">
        <v>5025</v>
      </c>
    </row>
    <row r="164" spans="1:4" x14ac:dyDescent="0.35">
      <c r="A164" s="6" t="s">
        <v>2200</v>
      </c>
      <c r="B164" s="6" t="s">
        <v>4716</v>
      </c>
      <c r="C164" s="6" t="s">
        <v>5026</v>
      </c>
      <c r="D164" s="6" t="s">
        <v>5027</v>
      </c>
    </row>
    <row r="165" spans="1:4" x14ac:dyDescent="0.35">
      <c r="A165" s="6" t="s">
        <v>2199</v>
      </c>
      <c r="B165" s="6" t="s">
        <v>4716</v>
      </c>
      <c r="C165" s="6" t="s">
        <v>5028</v>
      </c>
      <c r="D165" s="6" t="s">
        <v>5029</v>
      </c>
    </row>
    <row r="166" spans="1:4" x14ac:dyDescent="0.35">
      <c r="A166" s="6" t="s">
        <v>2198</v>
      </c>
      <c r="B166" s="6" t="s">
        <v>4713</v>
      </c>
      <c r="C166" s="6" t="s">
        <v>5030</v>
      </c>
      <c r="D166" s="6" t="s">
        <v>5031</v>
      </c>
    </row>
    <row r="167" spans="1:4" x14ac:dyDescent="0.35">
      <c r="A167" s="6" t="s">
        <v>2197</v>
      </c>
      <c r="B167" s="6" t="s">
        <v>4716</v>
      </c>
      <c r="C167" s="6" t="s">
        <v>5032</v>
      </c>
      <c r="D167" s="6" t="s">
        <v>5033</v>
      </c>
    </row>
    <row r="168" spans="1:4" x14ac:dyDescent="0.35">
      <c r="A168" s="6" t="s">
        <v>2196</v>
      </c>
      <c r="B168" s="6" t="s">
        <v>4713</v>
      </c>
      <c r="C168" s="6" t="s">
        <v>5034</v>
      </c>
      <c r="D168" s="6" t="s">
        <v>5035</v>
      </c>
    </row>
    <row r="169" spans="1:4" x14ac:dyDescent="0.35">
      <c r="A169" s="6" t="s">
        <v>2195</v>
      </c>
      <c r="B169" s="6" t="s">
        <v>4713</v>
      </c>
      <c r="C169" s="6" t="s">
        <v>5036</v>
      </c>
      <c r="D169" s="6" t="s">
        <v>5037</v>
      </c>
    </row>
    <row r="170" spans="1:4" x14ac:dyDescent="0.35">
      <c r="A170" s="6" t="s">
        <v>2194</v>
      </c>
      <c r="B170" s="6" t="s">
        <v>4716</v>
      </c>
      <c r="C170" s="6" t="s">
        <v>5038</v>
      </c>
      <c r="D170" s="6" t="s">
        <v>5039</v>
      </c>
    </row>
    <row r="171" spans="1:4" x14ac:dyDescent="0.35">
      <c r="A171" s="6" t="s">
        <v>2193</v>
      </c>
      <c r="B171" s="6" t="s">
        <v>4716</v>
      </c>
      <c r="C171" s="6" t="s">
        <v>5040</v>
      </c>
      <c r="D171" s="6" t="s">
        <v>5041</v>
      </c>
    </row>
    <row r="172" spans="1:4" x14ac:dyDescent="0.35">
      <c r="A172" s="6" t="s">
        <v>2192</v>
      </c>
      <c r="B172" s="6" t="s">
        <v>4713</v>
      </c>
      <c r="C172" s="6" t="s">
        <v>5042</v>
      </c>
      <c r="D172" s="6" t="s">
        <v>4773</v>
      </c>
    </row>
    <row r="173" spans="1:4" x14ac:dyDescent="0.35">
      <c r="A173" s="6" t="s">
        <v>2191</v>
      </c>
      <c r="B173" s="6" t="s">
        <v>4713</v>
      </c>
      <c r="C173" s="6" t="s">
        <v>5043</v>
      </c>
      <c r="D173" s="6" t="s">
        <v>5044</v>
      </c>
    </row>
    <row r="174" spans="1:4" x14ac:dyDescent="0.35">
      <c r="A174" s="6" t="s">
        <v>2190</v>
      </c>
      <c r="B174" s="6" t="s">
        <v>4716</v>
      </c>
      <c r="C174" s="6" t="s">
        <v>5045</v>
      </c>
      <c r="D174" s="6" t="s">
        <v>5046</v>
      </c>
    </row>
    <row r="175" spans="1:4" x14ac:dyDescent="0.35">
      <c r="A175" s="6" t="s">
        <v>2189</v>
      </c>
      <c r="B175" s="6" t="s">
        <v>4713</v>
      </c>
      <c r="C175" s="6" t="s">
        <v>5047</v>
      </c>
      <c r="D175" s="6" t="s">
        <v>4924</v>
      </c>
    </row>
    <row r="176" spans="1:4" x14ac:dyDescent="0.35">
      <c r="A176" s="6" t="s">
        <v>2188</v>
      </c>
      <c r="B176" s="6" t="s">
        <v>4716</v>
      </c>
      <c r="C176" s="6" t="s">
        <v>5048</v>
      </c>
      <c r="D176" s="6" t="s">
        <v>5049</v>
      </c>
    </row>
    <row r="177" spans="1:4" x14ac:dyDescent="0.35">
      <c r="A177" s="6" t="s">
        <v>2187</v>
      </c>
      <c r="B177" s="6" t="s">
        <v>4716</v>
      </c>
      <c r="C177" s="6" t="s">
        <v>5050</v>
      </c>
      <c r="D177" s="6" t="s">
        <v>4754</v>
      </c>
    </row>
    <row r="178" spans="1:4" x14ac:dyDescent="0.35">
      <c r="A178" s="6" t="s">
        <v>2186</v>
      </c>
      <c r="B178" s="6" t="s">
        <v>4713</v>
      </c>
      <c r="C178" s="6" t="s">
        <v>5051</v>
      </c>
      <c r="D178" s="6" t="s">
        <v>5052</v>
      </c>
    </row>
    <row r="179" spans="1:4" x14ac:dyDescent="0.35">
      <c r="A179" s="6" t="s">
        <v>2185</v>
      </c>
      <c r="B179" s="6" t="s">
        <v>4713</v>
      </c>
      <c r="C179" s="6" t="s">
        <v>5053</v>
      </c>
      <c r="D179" s="6" t="s">
        <v>5054</v>
      </c>
    </row>
    <row r="180" spans="1:4" x14ac:dyDescent="0.35">
      <c r="A180" s="6" t="s">
        <v>2184</v>
      </c>
      <c r="B180" s="6" t="s">
        <v>4713</v>
      </c>
      <c r="C180" s="6" t="s">
        <v>5055</v>
      </c>
      <c r="D180" s="6" t="s">
        <v>5056</v>
      </c>
    </row>
    <row r="181" spans="1:4" x14ac:dyDescent="0.35">
      <c r="A181" s="6" t="s">
        <v>2183</v>
      </c>
      <c r="B181" s="6" t="s">
        <v>4713</v>
      </c>
      <c r="C181" s="6" t="s">
        <v>5057</v>
      </c>
      <c r="D181" s="6" t="s">
        <v>5058</v>
      </c>
    </row>
    <row r="182" spans="1:4" x14ac:dyDescent="0.35">
      <c r="A182" s="6" t="s">
        <v>2182</v>
      </c>
      <c r="B182" s="6" t="s">
        <v>4713</v>
      </c>
      <c r="C182" s="6" t="s">
        <v>5059</v>
      </c>
      <c r="D182" s="6" t="s">
        <v>5060</v>
      </c>
    </row>
    <row r="183" spans="1:4" x14ac:dyDescent="0.35">
      <c r="A183" s="6" t="s">
        <v>2181</v>
      </c>
      <c r="B183" s="6" t="s">
        <v>4716</v>
      </c>
      <c r="C183" s="6" t="s">
        <v>5061</v>
      </c>
      <c r="D183" s="6" t="s">
        <v>5062</v>
      </c>
    </row>
    <row r="184" spans="1:4" x14ac:dyDescent="0.35">
      <c r="A184" s="6" t="s">
        <v>2180</v>
      </c>
      <c r="B184" s="6" t="s">
        <v>4716</v>
      </c>
      <c r="C184" s="6" t="s">
        <v>5063</v>
      </c>
      <c r="D184" s="6" t="s">
        <v>5064</v>
      </c>
    </row>
    <row r="185" spans="1:4" x14ac:dyDescent="0.35">
      <c r="A185" s="6" t="s">
        <v>2179</v>
      </c>
      <c r="B185" s="6" t="s">
        <v>4716</v>
      </c>
      <c r="C185" s="6" t="s">
        <v>5065</v>
      </c>
      <c r="D185" s="6" t="s">
        <v>5066</v>
      </c>
    </row>
    <row r="186" spans="1:4" x14ac:dyDescent="0.35">
      <c r="A186" s="6" t="s">
        <v>2178</v>
      </c>
      <c r="B186" s="6" t="s">
        <v>4716</v>
      </c>
      <c r="C186" s="6" t="s">
        <v>5067</v>
      </c>
      <c r="D186" s="6" t="s">
        <v>5068</v>
      </c>
    </row>
    <row r="187" spans="1:4" x14ac:dyDescent="0.35">
      <c r="A187" s="6" t="s">
        <v>2177</v>
      </c>
      <c r="B187" s="6" t="s">
        <v>4713</v>
      </c>
      <c r="C187" s="6" t="s">
        <v>5069</v>
      </c>
      <c r="D187" s="6" t="s">
        <v>5070</v>
      </c>
    </row>
    <row r="188" spans="1:4" x14ac:dyDescent="0.35">
      <c r="A188" s="6" t="s">
        <v>2176</v>
      </c>
      <c r="B188" s="6" t="s">
        <v>4716</v>
      </c>
      <c r="C188" s="6" t="s">
        <v>5071</v>
      </c>
      <c r="D188" s="6" t="s">
        <v>5072</v>
      </c>
    </row>
    <row r="189" spans="1:4" x14ac:dyDescent="0.35">
      <c r="A189" s="6" t="s">
        <v>2175</v>
      </c>
      <c r="B189" s="6" t="s">
        <v>4716</v>
      </c>
      <c r="C189" s="6" t="s">
        <v>5073</v>
      </c>
      <c r="D189" s="6" t="s">
        <v>5074</v>
      </c>
    </row>
    <row r="190" spans="1:4" x14ac:dyDescent="0.35">
      <c r="A190" s="6" t="s">
        <v>2174</v>
      </c>
      <c r="B190" s="6" t="s">
        <v>4713</v>
      </c>
      <c r="C190" s="6" t="s">
        <v>5075</v>
      </c>
      <c r="D190" s="6" t="s">
        <v>5076</v>
      </c>
    </row>
    <row r="191" spans="1:4" x14ac:dyDescent="0.35">
      <c r="A191" s="6" t="s">
        <v>2173</v>
      </c>
      <c r="B191" s="6" t="s">
        <v>4713</v>
      </c>
      <c r="C191" s="6" t="s">
        <v>5077</v>
      </c>
      <c r="D191" s="6" t="s">
        <v>5078</v>
      </c>
    </row>
    <row r="192" spans="1:4" x14ac:dyDescent="0.35">
      <c r="A192" s="6" t="s">
        <v>2172</v>
      </c>
      <c r="B192" s="6" t="s">
        <v>4716</v>
      </c>
      <c r="C192" s="6" t="s">
        <v>5079</v>
      </c>
      <c r="D192" s="6" t="s">
        <v>5080</v>
      </c>
    </row>
    <row r="193" spans="1:4" x14ac:dyDescent="0.35">
      <c r="A193" s="6" t="s">
        <v>2171</v>
      </c>
      <c r="B193" s="6" t="s">
        <v>4716</v>
      </c>
      <c r="C193" s="6" t="s">
        <v>5081</v>
      </c>
      <c r="D193" s="6" t="s">
        <v>5082</v>
      </c>
    </row>
    <row r="194" spans="1:4" x14ac:dyDescent="0.35">
      <c r="A194" s="6" t="s">
        <v>2170</v>
      </c>
      <c r="B194" s="6" t="s">
        <v>4713</v>
      </c>
      <c r="C194" s="6" t="s">
        <v>5083</v>
      </c>
      <c r="D194" s="6" t="s">
        <v>5084</v>
      </c>
    </row>
    <row r="195" spans="1:4" x14ac:dyDescent="0.35">
      <c r="A195" s="6" t="s">
        <v>2169</v>
      </c>
      <c r="B195" s="6" t="s">
        <v>4716</v>
      </c>
      <c r="C195" s="6" t="s">
        <v>5085</v>
      </c>
      <c r="D195" s="6" t="s">
        <v>5086</v>
      </c>
    </row>
    <row r="196" spans="1:4" x14ac:dyDescent="0.35">
      <c r="A196" s="6" t="s">
        <v>2168</v>
      </c>
      <c r="B196" s="6" t="s">
        <v>4716</v>
      </c>
      <c r="C196" s="6" t="s">
        <v>5087</v>
      </c>
      <c r="D196" s="6" t="s">
        <v>5088</v>
      </c>
    </row>
    <row r="197" spans="1:4" x14ac:dyDescent="0.35">
      <c r="A197" s="6" t="s">
        <v>2167</v>
      </c>
      <c r="B197" s="6" t="s">
        <v>4716</v>
      </c>
      <c r="C197" s="6" t="s">
        <v>5089</v>
      </c>
      <c r="D197" s="6" t="s">
        <v>5090</v>
      </c>
    </row>
    <row r="198" spans="1:4" x14ac:dyDescent="0.35">
      <c r="A198" s="6" t="s">
        <v>2166</v>
      </c>
      <c r="B198" s="6" t="s">
        <v>4716</v>
      </c>
      <c r="C198" s="6" t="s">
        <v>5091</v>
      </c>
      <c r="D198" s="6" t="s">
        <v>5092</v>
      </c>
    </row>
    <row r="199" spans="1:4" x14ac:dyDescent="0.35">
      <c r="A199" s="6" t="s">
        <v>2165</v>
      </c>
      <c r="B199" s="6" t="s">
        <v>4716</v>
      </c>
      <c r="C199" s="6" t="s">
        <v>5093</v>
      </c>
      <c r="D199" s="6" t="s">
        <v>4988</v>
      </c>
    </row>
    <row r="200" spans="1:4" x14ac:dyDescent="0.35">
      <c r="A200" s="6" t="s">
        <v>2164</v>
      </c>
      <c r="B200" s="6" t="s">
        <v>4713</v>
      </c>
      <c r="C200" s="6" t="s">
        <v>5094</v>
      </c>
      <c r="D200" s="6" t="s">
        <v>5095</v>
      </c>
    </row>
    <row r="201" spans="1:4" x14ac:dyDescent="0.35">
      <c r="A201" s="6" t="s">
        <v>2163</v>
      </c>
      <c r="B201" s="6" t="s">
        <v>4716</v>
      </c>
      <c r="C201" s="6" t="s">
        <v>5096</v>
      </c>
      <c r="D201" s="6" t="s">
        <v>4982</v>
      </c>
    </row>
    <row r="202" spans="1:4" x14ac:dyDescent="0.35">
      <c r="A202" s="6" t="s">
        <v>2162</v>
      </c>
      <c r="B202" s="6" t="s">
        <v>4716</v>
      </c>
      <c r="C202" s="6" t="s">
        <v>5097</v>
      </c>
      <c r="D202" s="6" t="s">
        <v>5098</v>
      </c>
    </row>
    <row r="203" spans="1:4" x14ac:dyDescent="0.35">
      <c r="A203" s="6" t="s">
        <v>2161</v>
      </c>
      <c r="B203" s="6" t="s">
        <v>4716</v>
      </c>
      <c r="C203" s="6" t="s">
        <v>5099</v>
      </c>
      <c r="D203" s="6" t="s">
        <v>5100</v>
      </c>
    </row>
    <row r="204" spans="1:4" x14ac:dyDescent="0.35">
      <c r="A204" s="6" t="s">
        <v>2160</v>
      </c>
      <c r="B204" s="6" t="s">
        <v>4716</v>
      </c>
      <c r="C204" s="6" t="s">
        <v>5101</v>
      </c>
      <c r="D204" s="6" t="s">
        <v>5102</v>
      </c>
    </row>
    <row r="205" spans="1:4" x14ac:dyDescent="0.35">
      <c r="A205" s="6" t="s">
        <v>2159</v>
      </c>
      <c r="B205" s="6" t="s">
        <v>4713</v>
      </c>
      <c r="C205" s="6" t="s">
        <v>5103</v>
      </c>
      <c r="D205" s="6" t="s">
        <v>4885</v>
      </c>
    </row>
    <row r="206" spans="1:4" x14ac:dyDescent="0.35">
      <c r="A206" s="6" t="s">
        <v>2158</v>
      </c>
      <c r="B206" s="6" t="s">
        <v>4716</v>
      </c>
      <c r="C206" s="6" t="s">
        <v>5104</v>
      </c>
      <c r="D206" s="6" t="s">
        <v>5105</v>
      </c>
    </row>
    <row r="207" spans="1:4" x14ac:dyDescent="0.35">
      <c r="A207" s="6" t="s">
        <v>2157</v>
      </c>
      <c r="B207" s="6" t="s">
        <v>4713</v>
      </c>
      <c r="C207" s="6" t="s">
        <v>5106</v>
      </c>
      <c r="D207" s="6" t="s">
        <v>5107</v>
      </c>
    </row>
    <row r="208" spans="1:4" x14ac:dyDescent="0.35">
      <c r="A208" s="6" t="s">
        <v>2156</v>
      </c>
      <c r="B208" s="6" t="s">
        <v>4713</v>
      </c>
      <c r="C208" s="6" t="s">
        <v>5108</v>
      </c>
      <c r="D208" s="6" t="s">
        <v>5109</v>
      </c>
    </row>
    <row r="209" spans="1:4" x14ac:dyDescent="0.35">
      <c r="A209" s="6" t="s">
        <v>2155</v>
      </c>
      <c r="B209" s="6" t="s">
        <v>4716</v>
      </c>
      <c r="C209" s="6" t="s">
        <v>5110</v>
      </c>
      <c r="D209" s="6" t="s">
        <v>5111</v>
      </c>
    </row>
    <row r="210" spans="1:4" x14ac:dyDescent="0.35">
      <c r="A210" s="6" t="s">
        <v>2154</v>
      </c>
      <c r="B210" s="6" t="s">
        <v>4713</v>
      </c>
      <c r="C210" s="6" t="s">
        <v>5112</v>
      </c>
      <c r="D210" s="6" t="s">
        <v>5113</v>
      </c>
    </row>
    <row r="211" spans="1:4" x14ac:dyDescent="0.35">
      <c r="A211" s="6" t="s">
        <v>2153</v>
      </c>
      <c r="B211" s="6" t="s">
        <v>4713</v>
      </c>
      <c r="C211" s="6" t="s">
        <v>5114</v>
      </c>
      <c r="D211" s="6" t="s">
        <v>5115</v>
      </c>
    </row>
    <row r="212" spans="1:4" x14ac:dyDescent="0.35">
      <c r="A212" s="6" t="s">
        <v>2152</v>
      </c>
      <c r="B212" s="6" t="s">
        <v>4716</v>
      </c>
      <c r="C212" s="6" t="s">
        <v>5116</v>
      </c>
      <c r="D212" s="6" t="s">
        <v>5117</v>
      </c>
    </row>
    <row r="213" spans="1:4" x14ac:dyDescent="0.35">
      <c r="A213" s="6" t="s">
        <v>2151</v>
      </c>
      <c r="B213" s="6" t="s">
        <v>4716</v>
      </c>
      <c r="C213" s="6" t="s">
        <v>5118</v>
      </c>
      <c r="D213" s="6" t="s">
        <v>5119</v>
      </c>
    </row>
    <row r="214" spans="1:4" x14ac:dyDescent="0.35">
      <c r="A214" s="6" t="s">
        <v>2150</v>
      </c>
      <c r="B214" s="6" t="s">
        <v>4716</v>
      </c>
      <c r="C214" s="6" t="s">
        <v>5120</v>
      </c>
      <c r="D214" s="6" t="s">
        <v>5121</v>
      </c>
    </row>
    <row r="215" spans="1:4" x14ac:dyDescent="0.35">
      <c r="A215" s="6" t="s">
        <v>2149</v>
      </c>
      <c r="B215" s="6" t="s">
        <v>4716</v>
      </c>
      <c r="C215" s="6" t="s">
        <v>5122</v>
      </c>
      <c r="D215" s="6" t="s">
        <v>4718</v>
      </c>
    </row>
    <row r="216" spans="1:4" x14ac:dyDescent="0.35">
      <c r="A216" s="6" t="s">
        <v>2148</v>
      </c>
      <c r="B216" s="6" t="s">
        <v>4713</v>
      </c>
      <c r="C216" s="6" t="s">
        <v>5123</v>
      </c>
      <c r="D216" s="6" t="s">
        <v>4903</v>
      </c>
    </row>
    <row r="217" spans="1:4" x14ac:dyDescent="0.35">
      <c r="A217" s="6" t="s">
        <v>2147</v>
      </c>
      <c r="B217" s="6" t="s">
        <v>4716</v>
      </c>
      <c r="C217" s="6" t="s">
        <v>5124</v>
      </c>
      <c r="D217" s="6" t="s">
        <v>5125</v>
      </c>
    </row>
    <row r="218" spans="1:4" x14ac:dyDescent="0.35">
      <c r="A218" s="6" t="s">
        <v>2146</v>
      </c>
      <c r="B218" s="6" t="s">
        <v>4716</v>
      </c>
      <c r="C218" s="6" t="s">
        <v>5126</v>
      </c>
      <c r="D218" s="6" t="s">
        <v>4815</v>
      </c>
    </row>
    <row r="219" spans="1:4" x14ac:dyDescent="0.35">
      <c r="A219" s="6" t="s">
        <v>2145</v>
      </c>
      <c r="B219" s="6" t="s">
        <v>4716</v>
      </c>
      <c r="C219" s="6" t="s">
        <v>5127</v>
      </c>
      <c r="D219" s="6" t="s">
        <v>4877</v>
      </c>
    </row>
    <row r="220" spans="1:4" x14ac:dyDescent="0.35">
      <c r="A220" s="6" t="s">
        <v>2144</v>
      </c>
      <c r="B220" s="6" t="s">
        <v>4716</v>
      </c>
      <c r="C220" s="6" t="s">
        <v>5128</v>
      </c>
      <c r="D220" s="6" t="s">
        <v>5129</v>
      </c>
    </row>
    <row r="221" spans="1:4" x14ac:dyDescent="0.35">
      <c r="A221" s="6" t="s">
        <v>2143</v>
      </c>
      <c r="B221" s="6" t="s">
        <v>4716</v>
      </c>
      <c r="C221" s="6" t="s">
        <v>4870</v>
      </c>
      <c r="D221" s="6" t="s">
        <v>5130</v>
      </c>
    </row>
    <row r="222" spans="1:4" x14ac:dyDescent="0.35">
      <c r="A222" s="6" t="s">
        <v>2142</v>
      </c>
      <c r="B222" s="6" t="s">
        <v>4713</v>
      </c>
      <c r="C222" s="6" t="s">
        <v>5131</v>
      </c>
      <c r="D222" s="6" t="s">
        <v>5132</v>
      </c>
    </row>
    <row r="223" spans="1:4" x14ac:dyDescent="0.35">
      <c r="A223" s="6" t="s">
        <v>2141</v>
      </c>
      <c r="B223" s="6" t="s">
        <v>4716</v>
      </c>
      <c r="C223" s="6" t="s">
        <v>5133</v>
      </c>
      <c r="D223" s="6" t="s">
        <v>5134</v>
      </c>
    </row>
    <row r="224" spans="1:4" x14ac:dyDescent="0.35">
      <c r="A224" s="6" t="s">
        <v>2140</v>
      </c>
      <c r="B224" s="6" t="s">
        <v>4716</v>
      </c>
      <c r="C224" s="6" t="s">
        <v>5135</v>
      </c>
      <c r="D224" s="6" t="s">
        <v>5136</v>
      </c>
    </row>
    <row r="225" spans="1:4" x14ac:dyDescent="0.35">
      <c r="A225" s="6" t="s">
        <v>2139</v>
      </c>
      <c r="B225" s="6" t="s">
        <v>4713</v>
      </c>
      <c r="C225" s="6" t="s">
        <v>5137</v>
      </c>
      <c r="D225" s="6" t="s">
        <v>5138</v>
      </c>
    </row>
    <row r="226" spans="1:4" x14ac:dyDescent="0.35">
      <c r="A226" s="6" t="s">
        <v>2138</v>
      </c>
      <c r="B226" s="6" t="s">
        <v>4713</v>
      </c>
      <c r="C226" s="6" t="s">
        <v>5139</v>
      </c>
      <c r="D226" s="6" t="s">
        <v>4869</v>
      </c>
    </row>
    <row r="227" spans="1:4" x14ac:dyDescent="0.35">
      <c r="A227" s="6" t="s">
        <v>2137</v>
      </c>
      <c r="B227" s="6" t="s">
        <v>4716</v>
      </c>
      <c r="C227" s="6" t="s">
        <v>4838</v>
      </c>
      <c r="D227" s="6" t="s">
        <v>5140</v>
      </c>
    </row>
    <row r="228" spans="1:4" x14ac:dyDescent="0.35">
      <c r="A228" s="6" t="s">
        <v>2136</v>
      </c>
      <c r="B228" s="6" t="s">
        <v>4713</v>
      </c>
      <c r="C228" s="6" t="s">
        <v>5141</v>
      </c>
      <c r="D228" s="6" t="s">
        <v>5142</v>
      </c>
    </row>
    <row r="229" spans="1:4" x14ac:dyDescent="0.35">
      <c r="A229" s="6" t="s">
        <v>2135</v>
      </c>
      <c r="B229" s="6" t="s">
        <v>4716</v>
      </c>
      <c r="C229" s="6" t="s">
        <v>5143</v>
      </c>
      <c r="D229" s="6" t="s">
        <v>5144</v>
      </c>
    </row>
    <row r="230" spans="1:4" x14ac:dyDescent="0.35">
      <c r="A230" s="6" t="s">
        <v>2134</v>
      </c>
      <c r="B230" s="6" t="s">
        <v>4713</v>
      </c>
      <c r="C230" s="6" t="s">
        <v>5145</v>
      </c>
      <c r="D230" s="6" t="s">
        <v>5146</v>
      </c>
    </row>
    <row r="231" spans="1:4" x14ac:dyDescent="0.35">
      <c r="A231" s="6" t="s">
        <v>2133</v>
      </c>
      <c r="B231" s="6" t="s">
        <v>4713</v>
      </c>
      <c r="C231" s="6" t="s">
        <v>5147</v>
      </c>
      <c r="D231" s="6" t="s">
        <v>5148</v>
      </c>
    </row>
    <row r="232" spans="1:4" x14ac:dyDescent="0.35">
      <c r="A232" s="6" t="s">
        <v>2132</v>
      </c>
      <c r="B232" s="6" t="s">
        <v>4716</v>
      </c>
      <c r="C232" s="6" t="s">
        <v>5149</v>
      </c>
      <c r="D232" s="6" t="s">
        <v>5150</v>
      </c>
    </row>
    <row r="233" spans="1:4" x14ac:dyDescent="0.35">
      <c r="A233" s="6" t="s">
        <v>2131</v>
      </c>
      <c r="B233" s="6" t="s">
        <v>4716</v>
      </c>
      <c r="C233" s="6" t="s">
        <v>5151</v>
      </c>
      <c r="D233" s="6" t="s">
        <v>5152</v>
      </c>
    </row>
    <row r="234" spans="1:4" x14ac:dyDescent="0.35">
      <c r="A234" s="6" t="s">
        <v>2130</v>
      </c>
      <c r="B234" s="6" t="s">
        <v>4716</v>
      </c>
      <c r="C234" s="6" t="s">
        <v>5153</v>
      </c>
      <c r="D234" s="6" t="s">
        <v>5154</v>
      </c>
    </row>
    <row r="235" spans="1:4" x14ac:dyDescent="0.35">
      <c r="A235" s="6" t="s">
        <v>2129</v>
      </c>
      <c r="B235" s="6" t="s">
        <v>4716</v>
      </c>
      <c r="C235" s="6" t="s">
        <v>5155</v>
      </c>
      <c r="D235" s="6" t="s">
        <v>5156</v>
      </c>
    </row>
    <row r="236" spans="1:4" x14ac:dyDescent="0.35">
      <c r="A236" s="6" t="s">
        <v>2128</v>
      </c>
      <c r="B236" s="6" t="s">
        <v>4716</v>
      </c>
      <c r="C236" s="6" t="s">
        <v>4971</v>
      </c>
      <c r="D236" s="6" t="s">
        <v>5144</v>
      </c>
    </row>
    <row r="237" spans="1:4" x14ac:dyDescent="0.35">
      <c r="A237" s="6" t="s">
        <v>2127</v>
      </c>
      <c r="B237" s="6" t="s">
        <v>4713</v>
      </c>
      <c r="C237" s="6" t="s">
        <v>5157</v>
      </c>
      <c r="D237" s="6" t="s">
        <v>5158</v>
      </c>
    </row>
    <row r="238" spans="1:4" x14ac:dyDescent="0.35">
      <c r="A238" s="6" t="s">
        <v>2126</v>
      </c>
      <c r="B238" s="6" t="s">
        <v>4716</v>
      </c>
      <c r="C238" s="6" t="s">
        <v>5159</v>
      </c>
      <c r="D238" s="6" t="s">
        <v>5160</v>
      </c>
    </row>
    <row r="239" spans="1:4" x14ac:dyDescent="0.35">
      <c r="A239" s="6" t="s">
        <v>2125</v>
      </c>
      <c r="B239" s="6" t="s">
        <v>4716</v>
      </c>
      <c r="C239" s="6" t="s">
        <v>5161</v>
      </c>
      <c r="D239" s="6" t="s">
        <v>5162</v>
      </c>
    </row>
    <row r="240" spans="1:4" x14ac:dyDescent="0.35">
      <c r="A240" s="6" t="s">
        <v>2124</v>
      </c>
      <c r="B240" s="6" t="s">
        <v>4713</v>
      </c>
      <c r="C240" s="6" t="s">
        <v>5163</v>
      </c>
      <c r="D240" s="6" t="s">
        <v>5164</v>
      </c>
    </row>
    <row r="241" spans="1:4" x14ac:dyDescent="0.35">
      <c r="A241" s="6" t="s">
        <v>2123</v>
      </c>
      <c r="B241" s="6" t="s">
        <v>4713</v>
      </c>
      <c r="C241" s="6" t="s">
        <v>5165</v>
      </c>
      <c r="D241" s="6" t="s">
        <v>5166</v>
      </c>
    </row>
    <row r="242" spans="1:4" x14ac:dyDescent="0.35">
      <c r="A242" s="6" t="s">
        <v>2122</v>
      </c>
      <c r="B242" s="6" t="s">
        <v>4716</v>
      </c>
      <c r="C242" s="6" t="s">
        <v>5167</v>
      </c>
      <c r="D242" s="6" t="s">
        <v>5168</v>
      </c>
    </row>
    <row r="243" spans="1:4" x14ac:dyDescent="0.35">
      <c r="A243" s="6" t="s">
        <v>2120</v>
      </c>
      <c r="B243" s="6" t="s">
        <v>4716</v>
      </c>
      <c r="C243" s="6" t="s">
        <v>5169</v>
      </c>
      <c r="D243" s="6" t="s">
        <v>5170</v>
      </c>
    </row>
    <row r="244" spans="1:4" x14ac:dyDescent="0.35">
      <c r="A244" s="6" t="s">
        <v>2119</v>
      </c>
      <c r="B244" s="6" t="s">
        <v>4716</v>
      </c>
      <c r="C244" s="6" t="s">
        <v>5171</v>
      </c>
      <c r="D244" s="6" t="s">
        <v>5172</v>
      </c>
    </row>
    <row r="245" spans="1:4" x14ac:dyDescent="0.35">
      <c r="A245" s="6" t="s">
        <v>2118</v>
      </c>
      <c r="B245" s="6" t="s">
        <v>4716</v>
      </c>
      <c r="C245" s="6" t="s">
        <v>5173</v>
      </c>
      <c r="D245" s="6" t="s">
        <v>5174</v>
      </c>
    </row>
    <row r="246" spans="1:4" x14ac:dyDescent="0.35">
      <c r="A246" s="6" t="s">
        <v>2117</v>
      </c>
      <c r="B246" s="6" t="s">
        <v>4716</v>
      </c>
      <c r="C246" s="6" t="s">
        <v>5175</v>
      </c>
      <c r="D246" s="6" t="s">
        <v>5176</v>
      </c>
    </row>
    <row r="247" spans="1:4" x14ac:dyDescent="0.35">
      <c r="A247" s="6" t="s">
        <v>2116</v>
      </c>
      <c r="B247" s="6" t="s">
        <v>4716</v>
      </c>
      <c r="C247" s="6" t="s">
        <v>5177</v>
      </c>
      <c r="D247" s="6" t="s">
        <v>5178</v>
      </c>
    </row>
    <row r="248" spans="1:4" x14ac:dyDescent="0.35">
      <c r="A248" s="6" t="s">
        <v>2115</v>
      </c>
      <c r="B248" s="6" t="s">
        <v>4713</v>
      </c>
      <c r="C248" s="6" t="s">
        <v>5179</v>
      </c>
      <c r="D248" s="6" t="s">
        <v>5180</v>
      </c>
    </row>
    <row r="249" spans="1:4" x14ac:dyDescent="0.35">
      <c r="A249" s="6" t="s">
        <v>2114</v>
      </c>
      <c r="B249" s="6" t="s">
        <v>4713</v>
      </c>
      <c r="C249" s="6" t="s">
        <v>5181</v>
      </c>
      <c r="D249" s="6" t="s">
        <v>5182</v>
      </c>
    </row>
    <row r="250" spans="1:4" x14ac:dyDescent="0.35">
      <c r="A250" s="6" t="s">
        <v>2113</v>
      </c>
      <c r="B250" s="6" t="s">
        <v>4713</v>
      </c>
      <c r="C250" s="6" t="s">
        <v>5183</v>
      </c>
      <c r="D250" s="6" t="s">
        <v>5184</v>
      </c>
    </row>
    <row r="251" spans="1:4" x14ac:dyDescent="0.35">
      <c r="A251" s="6" t="s">
        <v>2112</v>
      </c>
      <c r="B251" s="6" t="s">
        <v>4713</v>
      </c>
      <c r="C251" s="6" t="s">
        <v>5185</v>
      </c>
      <c r="D251" s="6" t="s">
        <v>5186</v>
      </c>
    </row>
    <row r="252" spans="1:4" x14ac:dyDescent="0.35">
      <c r="A252" s="6" t="s">
        <v>2111</v>
      </c>
      <c r="B252" s="6" t="s">
        <v>4713</v>
      </c>
      <c r="C252" s="6" t="s">
        <v>5187</v>
      </c>
      <c r="D252" s="6" t="s">
        <v>5188</v>
      </c>
    </row>
    <row r="253" spans="1:4" x14ac:dyDescent="0.35">
      <c r="A253" s="6" t="s">
        <v>2110</v>
      </c>
      <c r="B253" s="6" t="s">
        <v>4713</v>
      </c>
      <c r="C253" s="6" t="s">
        <v>5189</v>
      </c>
      <c r="D253" s="6" t="s">
        <v>4715</v>
      </c>
    </row>
    <row r="254" spans="1:4" x14ac:dyDescent="0.35">
      <c r="A254" s="6" t="s">
        <v>2109</v>
      </c>
      <c r="B254" s="6" t="s">
        <v>4713</v>
      </c>
      <c r="C254" s="6" t="s">
        <v>5190</v>
      </c>
      <c r="D254" s="6" t="s">
        <v>5191</v>
      </c>
    </row>
    <row r="255" spans="1:4" x14ac:dyDescent="0.35">
      <c r="A255" s="6" t="s">
        <v>2108</v>
      </c>
      <c r="B255" s="6" t="s">
        <v>4716</v>
      </c>
      <c r="C255" s="6" t="s">
        <v>5192</v>
      </c>
      <c r="D255" s="6" t="s">
        <v>4815</v>
      </c>
    </row>
    <row r="256" spans="1:4" x14ac:dyDescent="0.35">
      <c r="A256" s="6" t="s">
        <v>2107</v>
      </c>
      <c r="B256" s="6" t="s">
        <v>4716</v>
      </c>
      <c r="C256" s="6" t="s">
        <v>5193</v>
      </c>
      <c r="D256" s="6" t="s">
        <v>5194</v>
      </c>
    </row>
    <row r="257" spans="1:4" x14ac:dyDescent="0.35">
      <c r="A257" s="6" t="s">
        <v>2106</v>
      </c>
      <c r="B257" s="6" t="s">
        <v>4716</v>
      </c>
      <c r="C257" s="6" t="s">
        <v>5195</v>
      </c>
      <c r="D257" s="6" t="s">
        <v>5196</v>
      </c>
    </row>
    <row r="258" spans="1:4" x14ac:dyDescent="0.35">
      <c r="A258" s="6" t="s">
        <v>2105</v>
      </c>
      <c r="B258" s="6" t="s">
        <v>4716</v>
      </c>
      <c r="C258" s="6" t="s">
        <v>5197</v>
      </c>
      <c r="D258" s="6" t="s">
        <v>5198</v>
      </c>
    </row>
    <row r="259" spans="1:4" x14ac:dyDescent="0.35">
      <c r="A259" s="6" t="s">
        <v>2104</v>
      </c>
      <c r="B259" s="6" t="s">
        <v>4716</v>
      </c>
      <c r="C259" s="6" t="s">
        <v>5199</v>
      </c>
      <c r="D259" s="6" t="s">
        <v>5200</v>
      </c>
    </row>
    <row r="260" spans="1:4" x14ac:dyDescent="0.35">
      <c r="A260" s="6" t="s">
        <v>2103</v>
      </c>
      <c r="B260" s="6" t="s">
        <v>4716</v>
      </c>
      <c r="C260" s="6" t="s">
        <v>5201</v>
      </c>
      <c r="D260" s="6" t="s">
        <v>5202</v>
      </c>
    </row>
    <row r="261" spans="1:4" x14ac:dyDescent="0.35">
      <c r="A261" s="6" t="s">
        <v>2102</v>
      </c>
      <c r="B261" s="6" t="s">
        <v>4713</v>
      </c>
      <c r="C261" s="6" t="s">
        <v>5203</v>
      </c>
      <c r="D261" s="6" t="s">
        <v>5204</v>
      </c>
    </row>
    <row r="262" spans="1:4" x14ac:dyDescent="0.35">
      <c r="A262" s="6" t="s">
        <v>2101</v>
      </c>
      <c r="B262" s="6" t="s">
        <v>4716</v>
      </c>
      <c r="C262" s="6" t="s">
        <v>5205</v>
      </c>
      <c r="D262" s="6" t="s">
        <v>5206</v>
      </c>
    </row>
    <row r="263" spans="1:4" x14ac:dyDescent="0.35">
      <c r="A263" s="6" t="s">
        <v>2100</v>
      </c>
      <c r="B263" s="6" t="s">
        <v>4713</v>
      </c>
      <c r="C263" s="6" t="s">
        <v>5207</v>
      </c>
      <c r="D263" s="6" t="s">
        <v>5208</v>
      </c>
    </row>
    <row r="264" spans="1:4" x14ac:dyDescent="0.35">
      <c r="A264" s="6" t="s">
        <v>2099</v>
      </c>
      <c r="B264" s="6" t="s">
        <v>4716</v>
      </c>
      <c r="C264" s="6" t="s">
        <v>5209</v>
      </c>
      <c r="D264" s="6" t="s">
        <v>5210</v>
      </c>
    </row>
    <row r="265" spans="1:4" x14ac:dyDescent="0.35">
      <c r="A265" s="6" t="s">
        <v>2098</v>
      </c>
      <c r="B265" s="6" t="s">
        <v>4713</v>
      </c>
      <c r="C265" s="6" t="s">
        <v>5211</v>
      </c>
      <c r="D265" s="6" t="s">
        <v>5212</v>
      </c>
    </row>
    <row r="266" spans="1:4" x14ac:dyDescent="0.35">
      <c r="A266" s="6" t="s">
        <v>2097</v>
      </c>
      <c r="B266" s="6" t="s">
        <v>4713</v>
      </c>
      <c r="C266" s="6" t="s">
        <v>5213</v>
      </c>
      <c r="D266" s="6" t="s">
        <v>5214</v>
      </c>
    </row>
    <row r="267" spans="1:4" x14ac:dyDescent="0.35">
      <c r="A267" s="6" t="s">
        <v>2096</v>
      </c>
      <c r="B267" s="6" t="s">
        <v>4716</v>
      </c>
      <c r="C267" s="6" t="s">
        <v>5215</v>
      </c>
      <c r="D267" s="6" t="s">
        <v>5136</v>
      </c>
    </row>
    <row r="268" spans="1:4" x14ac:dyDescent="0.35">
      <c r="A268" s="6" t="s">
        <v>2095</v>
      </c>
      <c r="B268" s="6" t="s">
        <v>4713</v>
      </c>
      <c r="C268" s="6" t="s">
        <v>5216</v>
      </c>
      <c r="D268" s="6" t="s">
        <v>5217</v>
      </c>
    </row>
    <row r="269" spans="1:4" x14ac:dyDescent="0.35">
      <c r="A269" s="6" t="s">
        <v>2094</v>
      </c>
      <c r="B269" s="6" t="s">
        <v>4713</v>
      </c>
      <c r="C269" s="6" t="s">
        <v>5077</v>
      </c>
      <c r="D269" s="6" t="s">
        <v>5218</v>
      </c>
    </row>
    <row r="270" spans="1:4" x14ac:dyDescent="0.35">
      <c r="A270" s="6" t="s">
        <v>2093</v>
      </c>
      <c r="B270" s="6" t="s">
        <v>4716</v>
      </c>
      <c r="C270" s="6" t="s">
        <v>5219</v>
      </c>
      <c r="D270" s="6" t="s">
        <v>4766</v>
      </c>
    </row>
    <row r="271" spans="1:4" x14ac:dyDescent="0.35">
      <c r="A271" s="6" t="s">
        <v>2092</v>
      </c>
      <c r="B271" s="6" t="s">
        <v>4716</v>
      </c>
      <c r="C271" s="6" t="s">
        <v>5220</v>
      </c>
      <c r="D271" s="6" t="s">
        <v>5221</v>
      </c>
    </row>
    <row r="272" spans="1:4" x14ac:dyDescent="0.35">
      <c r="A272" s="6" t="s">
        <v>2091</v>
      </c>
      <c r="B272" s="6" t="s">
        <v>4716</v>
      </c>
      <c r="C272" s="6" t="s">
        <v>5222</v>
      </c>
      <c r="D272" s="6" t="s">
        <v>5223</v>
      </c>
    </row>
    <row r="273" spans="1:4" x14ac:dyDescent="0.35">
      <c r="A273" s="6" t="s">
        <v>2090</v>
      </c>
      <c r="B273" s="6" t="s">
        <v>4716</v>
      </c>
      <c r="C273" s="6" t="s">
        <v>5224</v>
      </c>
      <c r="D273" s="6" t="s">
        <v>4730</v>
      </c>
    </row>
    <row r="274" spans="1:4" x14ac:dyDescent="0.35">
      <c r="A274" s="6" t="s">
        <v>2089</v>
      </c>
      <c r="B274" s="6" t="s">
        <v>4716</v>
      </c>
      <c r="C274" s="6" t="s">
        <v>5225</v>
      </c>
      <c r="D274" s="6" t="s">
        <v>5226</v>
      </c>
    </row>
    <row r="275" spans="1:4" x14ac:dyDescent="0.35">
      <c r="A275" s="6" t="s">
        <v>2088</v>
      </c>
      <c r="B275" s="6" t="s">
        <v>4716</v>
      </c>
      <c r="C275" s="6" t="s">
        <v>5227</v>
      </c>
      <c r="D275" s="6" t="s">
        <v>5228</v>
      </c>
    </row>
    <row r="276" spans="1:4" x14ac:dyDescent="0.35">
      <c r="A276" s="6" t="s">
        <v>2087</v>
      </c>
      <c r="B276" s="6" t="s">
        <v>4716</v>
      </c>
      <c r="C276" s="6" t="s">
        <v>5229</v>
      </c>
      <c r="D276" s="6" t="s">
        <v>5230</v>
      </c>
    </row>
    <row r="277" spans="1:4" x14ac:dyDescent="0.35">
      <c r="A277" s="6" t="s">
        <v>2086</v>
      </c>
      <c r="B277" s="6" t="s">
        <v>4716</v>
      </c>
      <c r="C277" s="6" t="s">
        <v>5231</v>
      </c>
      <c r="D277" s="6" t="s">
        <v>5105</v>
      </c>
    </row>
    <row r="278" spans="1:4" x14ac:dyDescent="0.35">
      <c r="A278" s="6" t="s">
        <v>2085</v>
      </c>
      <c r="B278" s="6" t="s">
        <v>4716</v>
      </c>
      <c r="C278" s="6" t="s">
        <v>5232</v>
      </c>
      <c r="D278" s="6" t="s">
        <v>5233</v>
      </c>
    </row>
    <row r="279" spans="1:4" x14ac:dyDescent="0.35">
      <c r="A279" s="6" t="s">
        <v>2084</v>
      </c>
      <c r="B279" s="6" t="s">
        <v>4716</v>
      </c>
      <c r="C279" s="6" t="s">
        <v>5234</v>
      </c>
      <c r="D279" s="6" t="s">
        <v>5235</v>
      </c>
    </row>
    <row r="280" spans="1:4" x14ac:dyDescent="0.35">
      <c r="A280" s="6" t="s">
        <v>2083</v>
      </c>
      <c r="B280" s="6" t="s">
        <v>4713</v>
      </c>
      <c r="C280" s="6" t="s">
        <v>5059</v>
      </c>
      <c r="D280" s="6" t="s">
        <v>5236</v>
      </c>
    </row>
    <row r="281" spans="1:4" x14ac:dyDescent="0.35">
      <c r="A281" s="6" t="s">
        <v>2082</v>
      </c>
      <c r="B281" s="6" t="s">
        <v>4716</v>
      </c>
      <c r="C281" s="6" t="s">
        <v>5237</v>
      </c>
      <c r="D281" s="6" t="s">
        <v>5238</v>
      </c>
    </row>
    <row r="282" spans="1:4" x14ac:dyDescent="0.35">
      <c r="A282" s="6" t="s">
        <v>2081</v>
      </c>
      <c r="B282" s="6" t="s">
        <v>4713</v>
      </c>
      <c r="C282" s="6" t="s">
        <v>5239</v>
      </c>
      <c r="D282" s="6" t="s">
        <v>5240</v>
      </c>
    </row>
    <row r="283" spans="1:4" x14ac:dyDescent="0.35">
      <c r="A283" s="6" t="s">
        <v>2080</v>
      </c>
      <c r="B283" s="6" t="s">
        <v>4716</v>
      </c>
      <c r="C283" s="6" t="s">
        <v>4896</v>
      </c>
      <c r="D283" s="6" t="s">
        <v>5241</v>
      </c>
    </row>
    <row r="284" spans="1:4" x14ac:dyDescent="0.35">
      <c r="A284" s="6" t="s">
        <v>2079</v>
      </c>
      <c r="B284" s="6" t="s">
        <v>4716</v>
      </c>
      <c r="C284" s="6" t="s">
        <v>5242</v>
      </c>
      <c r="D284" s="6" t="s">
        <v>5243</v>
      </c>
    </row>
    <row r="285" spans="1:4" x14ac:dyDescent="0.35">
      <c r="A285" s="6" t="s">
        <v>2078</v>
      </c>
      <c r="B285" s="6" t="s">
        <v>4716</v>
      </c>
      <c r="C285" s="6" t="s">
        <v>5244</v>
      </c>
      <c r="D285" s="6" t="s">
        <v>5245</v>
      </c>
    </row>
    <row r="286" spans="1:4" x14ac:dyDescent="0.35">
      <c r="A286" s="6" t="s">
        <v>2077</v>
      </c>
      <c r="B286" s="6" t="s">
        <v>4716</v>
      </c>
      <c r="C286" s="6" t="s">
        <v>5246</v>
      </c>
      <c r="D286" s="6" t="s">
        <v>5247</v>
      </c>
    </row>
    <row r="287" spans="1:4" x14ac:dyDescent="0.35">
      <c r="A287" s="6" t="s">
        <v>2076</v>
      </c>
      <c r="B287" s="6" t="s">
        <v>4713</v>
      </c>
      <c r="C287" s="6" t="s">
        <v>5248</v>
      </c>
      <c r="D287" s="6" t="s">
        <v>5249</v>
      </c>
    </row>
    <row r="288" spans="1:4" x14ac:dyDescent="0.35">
      <c r="A288" s="6" t="s">
        <v>2075</v>
      </c>
      <c r="B288" s="6" t="s">
        <v>4713</v>
      </c>
      <c r="C288" s="6" t="s">
        <v>5250</v>
      </c>
      <c r="D288" s="6" t="s">
        <v>5251</v>
      </c>
    </row>
    <row r="289" spans="1:4" x14ac:dyDescent="0.35">
      <c r="A289" s="6" t="s">
        <v>2074</v>
      </c>
      <c r="B289" s="6" t="s">
        <v>4716</v>
      </c>
      <c r="C289" s="6" t="s">
        <v>5252</v>
      </c>
      <c r="D289" s="6" t="s">
        <v>5105</v>
      </c>
    </row>
    <row r="290" spans="1:4" x14ac:dyDescent="0.35">
      <c r="A290" s="6" t="s">
        <v>2073</v>
      </c>
      <c r="B290" s="6" t="s">
        <v>4716</v>
      </c>
      <c r="C290" s="6" t="s">
        <v>5253</v>
      </c>
      <c r="D290" s="6" t="s">
        <v>5254</v>
      </c>
    </row>
    <row r="291" spans="1:4" x14ac:dyDescent="0.35">
      <c r="A291" s="6" t="s">
        <v>2072</v>
      </c>
      <c r="B291" s="6" t="s">
        <v>4716</v>
      </c>
      <c r="C291" s="6" t="s">
        <v>5255</v>
      </c>
      <c r="D291" s="6" t="s">
        <v>5140</v>
      </c>
    </row>
    <row r="292" spans="1:4" x14ac:dyDescent="0.35">
      <c r="A292" s="6" t="s">
        <v>2071</v>
      </c>
      <c r="B292" s="6" t="s">
        <v>4716</v>
      </c>
      <c r="C292" s="6" t="s">
        <v>5256</v>
      </c>
      <c r="D292" s="6" t="s">
        <v>5257</v>
      </c>
    </row>
    <row r="293" spans="1:4" x14ac:dyDescent="0.35">
      <c r="A293" s="6" t="s">
        <v>2070</v>
      </c>
      <c r="B293" s="6" t="s">
        <v>4716</v>
      </c>
      <c r="C293" s="6" t="s">
        <v>5258</v>
      </c>
      <c r="D293" s="6" t="s">
        <v>5259</v>
      </c>
    </row>
    <row r="294" spans="1:4" x14ac:dyDescent="0.35">
      <c r="A294" s="6" t="s">
        <v>2069</v>
      </c>
      <c r="B294" s="6" t="s">
        <v>4716</v>
      </c>
      <c r="C294" s="6" t="s">
        <v>5260</v>
      </c>
      <c r="D294" s="6" t="s">
        <v>5261</v>
      </c>
    </row>
    <row r="295" spans="1:4" x14ac:dyDescent="0.35">
      <c r="A295" s="6" t="s">
        <v>2068</v>
      </c>
      <c r="B295" s="6" t="s">
        <v>4713</v>
      </c>
      <c r="C295" s="6" t="s">
        <v>5262</v>
      </c>
      <c r="D295" s="6" t="s">
        <v>5263</v>
      </c>
    </row>
    <row r="296" spans="1:4" x14ac:dyDescent="0.35">
      <c r="A296" s="6" t="s">
        <v>2067</v>
      </c>
      <c r="B296" s="6" t="s">
        <v>4716</v>
      </c>
      <c r="C296" s="6" t="s">
        <v>5264</v>
      </c>
      <c r="D296" s="6" t="s">
        <v>5265</v>
      </c>
    </row>
    <row r="297" spans="1:4" x14ac:dyDescent="0.35">
      <c r="A297" s="6" t="s">
        <v>2066</v>
      </c>
      <c r="B297" s="6" t="s">
        <v>4716</v>
      </c>
      <c r="C297" s="6" t="s">
        <v>5266</v>
      </c>
      <c r="D297" s="6" t="s">
        <v>5267</v>
      </c>
    </row>
    <row r="298" spans="1:4" x14ac:dyDescent="0.35">
      <c r="A298" s="6" t="s">
        <v>2065</v>
      </c>
      <c r="B298" s="6" t="s">
        <v>4716</v>
      </c>
      <c r="C298" s="6" t="s">
        <v>5268</v>
      </c>
      <c r="D298" s="6" t="s">
        <v>5269</v>
      </c>
    </row>
    <row r="299" spans="1:4" x14ac:dyDescent="0.35">
      <c r="A299" s="6" t="s">
        <v>2064</v>
      </c>
      <c r="B299" s="6" t="s">
        <v>4713</v>
      </c>
      <c r="C299" s="6" t="s">
        <v>5270</v>
      </c>
      <c r="D299" s="6" t="s">
        <v>5271</v>
      </c>
    </row>
    <row r="300" spans="1:4" x14ac:dyDescent="0.35">
      <c r="A300" s="6" t="s">
        <v>2063</v>
      </c>
      <c r="B300" s="6" t="s">
        <v>4716</v>
      </c>
      <c r="C300" s="6" t="s">
        <v>5272</v>
      </c>
      <c r="D300" s="6" t="s">
        <v>5273</v>
      </c>
    </row>
    <row r="301" spans="1:4" x14ac:dyDescent="0.35">
      <c r="A301" s="6" t="s">
        <v>2062</v>
      </c>
      <c r="B301" s="6" t="s">
        <v>4713</v>
      </c>
      <c r="C301" s="6" t="s">
        <v>5274</v>
      </c>
      <c r="D301" s="6" t="s">
        <v>5275</v>
      </c>
    </row>
    <row r="302" spans="1:4" x14ac:dyDescent="0.35">
      <c r="A302" s="6" t="s">
        <v>2061</v>
      </c>
      <c r="B302" s="6" t="s">
        <v>4716</v>
      </c>
      <c r="C302" s="6" t="s">
        <v>5171</v>
      </c>
      <c r="D302" s="6" t="s">
        <v>5276</v>
      </c>
    </row>
    <row r="303" spans="1:4" x14ac:dyDescent="0.35">
      <c r="A303" s="6" t="s">
        <v>2060</v>
      </c>
      <c r="B303" s="6" t="s">
        <v>4713</v>
      </c>
      <c r="C303" s="6" t="s">
        <v>5277</v>
      </c>
      <c r="D303" s="6" t="s">
        <v>4875</v>
      </c>
    </row>
    <row r="304" spans="1:4" x14ac:dyDescent="0.35">
      <c r="A304" s="6" t="s">
        <v>2059</v>
      </c>
      <c r="B304" s="6" t="s">
        <v>4716</v>
      </c>
      <c r="C304" s="6" t="s">
        <v>5278</v>
      </c>
      <c r="D304" s="6" t="s">
        <v>5279</v>
      </c>
    </row>
    <row r="305" spans="1:4" x14ac:dyDescent="0.35">
      <c r="A305" s="6" t="s">
        <v>2058</v>
      </c>
      <c r="B305" s="6" t="s">
        <v>4713</v>
      </c>
      <c r="C305" s="6" t="s">
        <v>5280</v>
      </c>
      <c r="D305" s="6" t="s">
        <v>5281</v>
      </c>
    </row>
    <row r="306" spans="1:4" x14ac:dyDescent="0.35">
      <c r="A306" s="6" t="s">
        <v>2057</v>
      </c>
      <c r="B306" s="6" t="s">
        <v>4713</v>
      </c>
      <c r="C306" s="6" t="s">
        <v>5282</v>
      </c>
      <c r="D306" s="6" t="s">
        <v>5283</v>
      </c>
    </row>
    <row r="307" spans="1:4" x14ac:dyDescent="0.35">
      <c r="A307" s="6" t="s">
        <v>2056</v>
      </c>
      <c r="B307" s="6" t="s">
        <v>4713</v>
      </c>
      <c r="C307" s="6" t="s">
        <v>5165</v>
      </c>
      <c r="D307" s="6" t="s">
        <v>5284</v>
      </c>
    </row>
    <row r="308" spans="1:4" x14ac:dyDescent="0.35">
      <c r="A308" s="6" t="s">
        <v>2055</v>
      </c>
      <c r="B308" s="6" t="s">
        <v>4713</v>
      </c>
      <c r="C308" s="6" t="s">
        <v>5285</v>
      </c>
      <c r="D308" s="6" t="s">
        <v>4841</v>
      </c>
    </row>
    <row r="309" spans="1:4" x14ac:dyDescent="0.35">
      <c r="A309" s="6" t="s">
        <v>2054</v>
      </c>
      <c r="B309" s="6" t="s">
        <v>4716</v>
      </c>
      <c r="C309" s="6" t="s">
        <v>5286</v>
      </c>
      <c r="D309" s="6" t="s">
        <v>5287</v>
      </c>
    </row>
    <row r="310" spans="1:4" x14ac:dyDescent="0.35">
      <c r="A310" s="6" t="s">
        <v>2053</v>
      </c>
      <c r="B310" s="6" t="s">
        <v>4713</v>
      </c>
      <c r="C310" s="6" t="s">
        <v>5288</v>
      </c>
      <c r="D310" s="6" t="s">
        <v>5289</v>
      </c>
    </row>
    <row r="311" spans="1:4" x14ac:dyDescent="0.35">
      <c r="A311" s="6" t="s">
        <v>2052</v>
      </c>
      <c r="B311" s="6" t="s">
        <v>4713</v>
      </c>
      <c r="C311" s="6" t="s">
        <v>5290</v>
      </c>
      <c r="D311" s="6" t="s">
        <v>5291</v>
      </c>
    </row>
    <row r="312" spans="1:4" x14ac:dyDescent="0.35">
      <c r="A312" s="6" t="s">
        <v>2051</v>
      </c>
      <c r="B312" s="6" t="s">
        <v>4716</v>
      </c>
      <c r="C312" s="6" t="s">
        <v>4850</v>
      </c>
      <c r="D312" s="6" t="s">
        <v>5292</v>
      </c>
    </row>
    <row r="313" spans="1:4" x14ac:dyDescent="0.35">
      <c r="A313" s="6" t="s">
        <v>2050</v>
      </c>
      <c r="B313" s="6" t="s">
        <v>4716</v>
      </c>
      <c r="C313" s="6" t="s">
        <v>5293</v>
      </c>
      <c r="D313" s="6" t="s">
        <v>5294</v>
      </c>
    </row>
    <row r="314" spans="1:4" x14ac:dyDescent="0.35">
      <c r="A314" s="6" t="s">
        <v>2049</v>
      </c>
      <c r="B314" s="6" t="s">
        <v>4716</v>
      </c>
      <c r="C314" s="6" t="s">
        <v>5295</v>
      </c>
      <c r="D314" s="6" t="s">
        <v>5296</v>
      </c>
    </row>
    <row r="315" spans="1:4" x14ac:dyDescent="0.35">
      <c r="A315" s="6" t="s">
        <v>2048</v>
      </c>
      <c r="B315" s="6" t="s">
        <v>4713</v>
      </c>
      <c r="C315" s="6" t="s">
        <v>5297</v>
      </c>
      <c r="D315" s="6" t="s">
        <v>5298</v>
      </c>
    </row>
    <row r="316" spans="1:4" x14ac:dyDescent="0.35">
      <c r="A316" s="6" t="s">
        <v>2047</v>
      </c>
      <c r="B316" s="6" t="s">
        <v>4713</v>
      </c>
      <c r="C316" s="6" t="s">
        <v>5299</v>
      </c>
      <c r="D316" s="6" t="s">
        <v>5300</v>
      </c>
    </row>
    <row r="317" spans="1:4" x14ac:dyDescent="0.35">
      <c r="A317" s="6" t="s">
        <v>2046</v>
      </c>
      <c r="B317" s="6" t="s">
        <v>4716</v>
      </c>
      <c r="C317" s="6" t="s">
        <v>5301</v>
      </c>
      <c r="D317" s="6" t="s">
        <v>5049</v>
      </c>
    </row>
    <row r="318" spans="1:4" x14ac:dyDescent="0.35">
      <c r="A318" s="6" t="s">
        <v>2045</v>
      </c>
      <c r="B318" s="6" t="s">
        <v>4716</v>
      </c>
      <c r="C318" s="6" t="s">
        <v>5302</v>
      </c>
      <c r="D318" s="6" t="s">
        <v>4754</v>
      </c>
    </row>
    <row r="319" spans="1:4" x14ac:dyDescent="0.35">
      <c r="A319" s="6" t="s">
        <v>2044</v>
      </c>
      <c r="B319" s="6" t="s">
        <v>4716</v>
      </c>
      <c r="C319" s="6" t="s">
        <v>5303</v>
      </c>
      <c r="D319" s="6" t="s">
        <v>5304</v>
      </c>
    </row>
    <row r="320" spans="1:4" x14ac:dyDescent="0.35">
      <c r="A320" s="6" t="s">
        <v>2043</v>
      </c>
      <c r="B320" s="6" t="s">
        <v>4716</v>
      </c>
      <c r="C320" s="6" t="s">
        <v>5305</v>
      </c>
      <c r="D320" s="6" t="s">
        <v>5306</v>
      </c>
    </row>
    <row r="321" spans="1:4" x14ac:dyDescent="0.35">
      <c r="A321" s="6" t="s">
        <v>2042</v>
      </c>
      <c r="B321" s="6" t="s">
        <v>4713</v>
      </c>
      <c r="C321" s="6" t="s">
        <v>5307</v>
      </c>
      <c r="D321" s="6" t="s">
        <v>5308</v>
      </c>
    </row>
    <row r="322" spans="1:4" x14ac:dyDescent="0.35">
      <c r="A322" s="6" t="s">
        <v>2041</v>
      </c>
      <c r="B322" s="6" t="s">
        <v>4713</v>
      </c>
      <c r="C322" s="6" t="s">
        <v>5309</v>
      </c>
      <c r="D322" s="6" t="s">
        <v>5310</v>
      </c>
    </row>
    <row r="323" spans="1:4" x14ac:dyDescent="0.35">
      <c r="A323" s="6" t="s">
        <v>2040</v>
      </c>
      <c r="B323" s="6" t="s">
        <v>4716</v>
      </c>
      <c r="C323" s="6" t="s">
        <v>5311</v>
      </c>
      <c r="D323" s="6" t="s">
        <v>5312</v>
      </c>
    </row>
    <row r="324" spans="1:4" x14ac:dyDescent="0.35">
      <c r="A324" s="6" t="s">
        <v>2039</v>
      </c>
      <c r="B324" s="6" t="s">
        <v>4716</v>
      </c>
      <c r="C324" s="6" t="s">
        <v>5242</v>
      </c>
      <c r="D324" s="6" t="s">
        <v>5313</v>
      </c>
    </row>
    <row r="325" spans="1:4" x14ac:dyDescent="0.35">
      <c r="A325" s="6" t="s">
        <v>2038</v>
      </c>
      <c r="B325" s="6" t="s">
        <v>4716</v>
      </c>
      <c r="C325" s="6" t="s">
        <v>5314</v>
      </c>
      <c r="D325" s="6" t="s">
        <v>5010</v>
      </c>
    </row>
    <row r="326" spans="1:4" x14ac:dyDescent="0.35">
      <c r="A326" s="6" t="s">
        <v>2037</v>
      </c>
      <c r="B326" s="6" t="s">
        <v>4713</v>
      </c>
      <c r="C326" s="6" t="s">
        <v>5315</v>
      </c>
      <c r="D326" s="6" t="s">
        <v>5316</v>
      </c>
    </row>
    <row r="327" spans="1:4" x14ac:dyDescent="0.35">
      <c r="A327" s="6" t="s">
        <v>2036</v>
      </c>
      <c r="B327" s="6" t="s">
        <v>4716</v>
      </c>
      <c r="C327" s="6" t="s">
        <v>5317</v>
      </c>
      <c r="D327" s="6" t="s">
        <v>5318</v>
      </c>
    </row>
    <row r="328" spans="1:4" x14ac:dyDescent="0.35">
      <c r="A328" s="6" t="s">
        <v>2035</v>
      </c>
      <c r="B328" s="6" t="s">
        <v>4716</v>
      </c>
      <c r="C328" s="6" t="s">
        <v>5319</v>
      </c>
      <c r="D328" s="6" t="s">
        <v>5150</v>
      </c>
    </row>
    <row r="329" spans="1:4" x14ac:dyDescent="0.35">
      <c r="A329" s="6" t="s">
        <v>2034</v>
      </c>
      <c r="B329" s="6" t="s">
        <v>4716</v>
      </c>
      <c r="C329" s="6" t="s">
        <v>5320</v>
      </c>
      <c r="D329" s="6" t="s">
        <v>5321</v>
      </c>
    </row>
    <row r="330" spans="1:4" x14ac:dyDescent="0.35">
      <c r="A330" s="6" t="s">
        <v>2033</v>
      </c>
      <c r="B330" s="6" t="s">
        <v>4716</v>
      </c>
      <c r="C330" s="6" t="s">
        <v>5322</v>
      </c>
      <c r="D330" s="6" t="s">
        <v>5140</v>
      </c>
    </row>
    <row r="331" spans="1:4" x14ac:dyDescent="0.35">
      <c r="A331" s="6" t="s">
        <v>2032</v>
      </c>
      <c r="B331" s="6" t="s">
        <v>4716</v>
      </c>
      <c r="C331" s="6" t="s">
        <v>5323</v>
      </c>
      <c r="D331" s="6" t="s">
        <v>5324</v>
      </c>
    </row>
    <row r="332" spans="1:4" x14ac:dyDescent="0.35">
      <c r="A332" s="6" t="s">
        <v>2031</v>
      </c>
      <c r="B332" s="6" t="s">
        <v>4716</v>
      </c>
      <c r="C332" s="6" t="s">
        <v>5325</v>
      </c>
      <c r="D332" s="6" t="s">
        <v>5326</v>
      </c>
    </row>
    <row r="333" spans="1:4" x14ac:dyDescent="0.35">
      <c r="A333" s="6" t="s">
        <v>2030</v>
      </c>
      <c r="B333" s="6" t="s">
        <v>4716</v>
      </c>
      <c r="C333" s="6" t="s">
        <v>5327</v>
      </c>
      <c r="D333" s="6" t="s">
        <v>5306</v>
      </c>
    </row>
    <row r="334" spans="1:4" x14ac:dyDescent="0.35">
      <c r="A334" s="6" t="s">
        <v>2029</v>
      </c>
      <c r="B334" s="6" t="s">
        <v>4713</v>
      </c>
      <c r="C334" s="6" t="s">
        <v>5328</v>
      </c>
      <c r="D334" s="6" t="s">
        <v>5329</v>
      </c>
    </row>
    <row r="335" spans="1:4" x14ac:dyDescent="0.35">
      <c r="A335" s="6" t="s">
        <v>2028</v>
      </c>
      <c r="B335" s="6" t="s">
        <v>4716</v>
      </c>
      <c r="C335" s="6" t="s">
        <v>5330</v>
      </c>
      <c r="D335" s="6" t="s">
        <v>5331</v>
      </c>
    </row>
    <row r="336" spans="1:4" x14ac:dyDescent="0.35">
      <c r="A336" s="6" t="s">
        <v>2027</v>
      </c>
      <c r="B336" s="6" t="s">
        <v>4713</v>
      </c>
      <c r="C336" s="6" t="s">
        <v>5332</v>
      </c>
      <c r="D336" s="6" t="s">
        <v>5333</v>
      </c>
    </row>
    <row r="337" spans="1:4" x14ac:dyDescent="0.35">
      <c r="A337" s="6" t="s">
        <v>2026</v>
      </c>
      <c r="B337" s="6" t="s">
        <v>4716</v>
      </c>
      <c r="C337" s="6" t="s">
        <v>5334</v>
      </c>
      <c r="D337" s="6" t="s">
        <v>5335</v>
      </c>
    </row>
    <row r="338" spans="1:4" x14ac:dyDescent="0.35">
      <c r="A338" s="6" t="s">
        <v>2025</v>
      </c>
      <c r="B338" s="6" t="s">
        <v>4713</v>
      </c>
      <c r="C338" s="6" t="s">
        <v>5336</v>
      </c>
      <c r="D338" s="6" t="s">
        <v>5337</v>
      </c>
    </row>
    <row r="339" spans="1:4" x14ac:dyDescent="0.35">
      <c r="A339" s="6" t="s">
        <v>2024</v>
      </c>
      <c r="B339" s="6" t="s">
        <v>4713</v>
      </c>
      <c r="C339" s="6" t="s">
        <v>5338</v>
      </c>
      <c r="D339" s="6" t="s">
        <v>5339</v>
      </c>
    </row>
    <row r="340" spans="1:4" x14ac:dyDescent="0.35">
      <c r="A340" s="6" t="s">
        <v>2023</v>
      </c>
      <c r="B340" s="6" t="s">
        <v>4716</v>
      </c>
      <c r="C340" s="6" t="s">
        <v>5340</v>
      </c>
      <c r="D340" s="6" t="s">
        <v>5029</v>
      </c>
    </row>
    <row r="341" spans="1:4" x14ac:dyDescent="0.35">
      <c r="A341" s="6" t="s">
        <v>2022</v>
      </c>
      <c r="B341" s="6" t="s">
        <v>4713</v>
      </c>
      <c r="C341" s="6" t="s">
        <v>5341</v>
      </c>
      <c r="D341" s="6" t="s">
        <v>5342</v>
      </c>
    </row>
    <row r="342" spans="1:4" x14ac:dyDescent="0.35">
      <c r="A342" s="6" t="s">
        <v>2021</v>
      </c>
      <c r="B342" s="6" t="s">
        <v>4713</v>
      </c>
      <c r="C342" s="6" t="s">
        <v>5343</v>
      </c>
      <c r="D342" s="6" t="s">
        <v>5344</v>
      </c>
    </row>
    <row r="343" spans="1:4" x14ac:dyDescent="0.35">
      <c r="A343" s="6" t="s">
        <v>2020</v>
      </c>
      <c r="B343" s="6" t="s">
        <v>4713</v>
      </c>
      <c r="C343" s="6" t="s">
        <v>5345</v>
      </c>
      <c r="D343" s="6" t="s">
        <v>5346</v>
      </c>
    </row>
    <row r="344" spans="1:4" x14ac:dyDescent="0.35">
      <c r="A344" s="6" t="s">
        <v>2019</v>
      </c>
      <c r="B344" s="6" t="s">
        <v>4713</v>
      </c>
      <c r="C344" s="6" t="s">
        <v>5347</v>
      </c>
      <c r="D344" s="6" t="s">
        <v>4903</v>
      </c>
    </row>
    <row r="345" spans="1:4" x14ac:dyDescent="0.35">
      <c r="A345" s="6" t="s">
        <v>2018</v>
      </c>
      <c r="B345" s="6" t="s">
        <v>4716</v>
      </c>
      <c r="C345" s="6" t="s">
        <v>5348</v>
      </c>
      <c r="D345" s="6" t="s">
        <v>5349</v>
      </c>
    </row>
    <row r="346" spans="1:4" x14ac:dyDescent="0.35">
      <c r="A346" s="6" t="s">
        <v>2017</v>
      </c>
      <c r="B346" s="6" t="s">
        <v>4713</v>
      </c>
      <c r="C346" s="6" t="s">
        <v>5350</v>
      </c>
      <c r="D346" s="6" t="s">
        <v>5351</v>
      </c>
    </row>
    <row r="347" spans="1:4" x14ac:dyDescent="0.35">
      <c r="A347" s="6" t="s">
        <v>2016</v>
      </c>
      <c r="B347" s="6" t="s">
        <v>4716</v>
      </c>
      <c r="C347" s="6" t="s">
        <v>5352</v>
      </c>
      <c r="D347" s="6" t="s">
        <v>4815</v>
      </c>
    </row>
    <row r="348" spans="1:4" x14ac:dyDescent="0.35">
      <c r="A348" s="6" t="s">
        <v>2015</v>
      </c>
      <c r="B348" s="6" t="s">
        <v>4713</v>
      </c>
      <c r="C348" s="6" t="s">
        <v>5353</v>
      </c>
      <c r="D348" s="6" t="s">
        <v>5354</v>
      </c>
    </row>
    <row r="349" spans="1:4" x14ac:dyDescent="0.35">
      <c r="A349" s="6" t="s">
        <v>2014</v>
      </c>
      <c r="B349" s="6" t="s">
        <v>4713</v>
      </c>
      <c r="C349" s="6" t="s">
        <v>5355</v>
      </c>
      <c r="D349" s="6" t="s">
        <v>5356</v>
      </c>
    </row>
    <row r="350" spans="1:4" x14ac:dyDescent="0.35">
      <c r="A350" s="6" t="s">
        <v>2013</v>
      </c>
      <c r="B350" s="6" t="s">
        <v>4716</v>
      </c>
      <c r="C350" s="6" t="s">
        <v>5357</v>
      </c>
      <c r="D350" s="6" t="s">
        <v>5358</v>
      </c>
    </row>
    <row r="351" spans="1:4" x14ac:dyDescent="0.35">
      <c r="A351" s="6" t="s">
        <v>2012</v>
      </c>
      <c r="B351" s="6" t="s">
        <v>4713</v>
      </c>
      <c r="C351" s="6" t="s">
        <v>5359</v>
      </c>
      <c r="D351" s="6" t="s">
        <v>5360</v>
      </c>
    </row>
    <row r="352" spans="1:4" x14ac:dyDescent="0.35">
      <c r="A352" s="6" t="s">
        <v>2011</v>
      </c>
      <c r="B352" s="6" t="s">
        <v>4716</v>
      </c>
      <c r="C352" s="6" t="s">
        <v>5361</v>
      </c>
      <c r="D352" s="6" t="s">
        <v>5362</v>
      </c>
    </row>
    <row r="353" spans="1:4" x14ac:dyDescent="0.35">
      <c r="A353" s="6" t="s">
        <v>2010</v>
      </c>
      <c r="B353" s="6" t="s">
        <v>4713</v>
      </c>
      <c r="C353" s="6" t="s">
        <v>5363</v>
      </c>
      <c r="D353" s="6" t="s">
        <v>5364</v>
      </c>
    </row>
    <row r="354" spans="1:4" x14ac:dyDescent="0.35">
      <c r="A354" s="6" t="s">
        <v>2009</v>
      </c>
      <c r="B354" s="6" t="s">
        <v>4716</v>
      </c>
      <c r="C354" s="6" t="s">
        <v>4870</v>
      </c>
      <c r="D354" s="6" t="s">
        <v>5365</v>
      </c>
    </row>
    <row r="355" spans="1:4" x14ac:dyDescent="0.35">
      <c r="A355" s="6" t="s">
        <v>2008</v>
      </c>
      <c r="B355" s="6" t="s">
        <v>4713</v>
      </c>
      <c r="C355" s="6" t="s">
        <v>5366</v>
      </c>
      <c r="D355" s="6" t="s">
        <v>5367</v>
      </c>
    </row>
    <row r="356" spans="1:4" x14ac:dyDescent="0.35">
      <c r="A356" s="6" t="s">
        <v>2007</v>
      </c>
      <c r="B356" s="6" t="s">
        <v>4713</v>
      </c>
      <c r="C356" s="6" t="s">
        <v>5368</v>
      </c>
      <c r="D356" s="6" t="s">
        <v>5369</v>
      </c>
    </row>
    <row r="357" spans="1:4" x14ac:dyDescent="0.35">
      <c r="A357" s="6" t="s">
        <v>2006</v>
      </c>
      <c r="B357" s="6" t="s">
        <v>4713</v>
      </c>
      <c r="C357" s="6" t="s">
        <v>5370</v>
      </c>
      <c r="D357" s="6" t="s">
        <v>5371</v>
      </c>
    </row>
    <row r="358" spans="1:4" x14ac:dyDescent="0.35">
      <c r="A358" s="6" t="s">
        <v>2005</v>
      </c>
      <c r="B358" s="6" t="s">
        <v>4716</v>
      </c>
      <c r="C358" s="6" t="s">
        <v>5372</v>
      </c>
      <c r="D358" s="6" t="s">
        <v>5373</v>
      </c>
    </row>
    <row r="359" spans="1:4" x14ac:dyDescent="0.35">
      <c r="A359" s="6" t="s">
        <v>2004</v>
      </c>
      <c r="B359" s="6" t="s">
        <v>4716</v>
      </c>
      <c r="C359" s="6" t="s">
        <v>5374</v>
      </c>
      <c r="D359" s="6" t="s">
        <v>5375</v>
      </c>
    </row>
    <row r="360" spans="1:4" x14ac:dyDescent="0.35">
      <c r="A360" s="6" t="s">
        <v>2003</v>
      </c>
      <c r="B360" s="6" t="s">
        <v>4716</v>
      </c>
      <c r="C360" s="6" t="s">
        <v>5376</v>
      </c>
      <c r="D360" s="6" t="s">
        <v>5377</v>
      </c>
    </row>
    <row r="361" spans="1:4" x14ac:dyDescent="0.35">
      <c r="A361" s="6" t="s">
        <v>2002</v>
      </c>
      <c r="B361" s="6" t="s">
        <v>4716</v>
      </c>
      <c r="C361" s="6" t="s">
        <v>5075</v>
      </c>
      <c r="D361" s="6" t="s">
        <v>5378</v>
      </c>
    </row>
    <row r="362" spans="1:4" x14ac:dyDescent="0.35">
      <c r="A362" s="6" t="s">
        <v>2001</v>
      </c>
      <c r="B362" s="6" t="s">
        <v>4716</v>
      </c>
      <c r="C362" s="6" t="s">
        <v>5379</v>
      </c>
      <c r="D362" s="6" t="s">
        <v>5380</v>
      </c>
    </row>
    <row r="363" spans="1:4" x14ac:dyDescent="0.35">
      <c r="A363" s="6" t="s">
        <v>2000</v>
      </c>
      <c r="B363" s="6" t="s">
        <v>4716</v>
      </c>
      <c r="C363" s="6" t="s">
        <v>5381</v>
      </c>
      <c r="D363" s="6" t="s">
        <v>4843</v>
      </c>
    </row>
    <row r="364" spans="1:4" x14ac:dyDescent="0.35">
      <c r="A364" s="6" t="s">
        <v>1999</v>
      </c>
      <c r="B364" s="6" t="s">
        <v>4716</v>
      </c>
      <c r="C364" s="6" t="s">
        <v>5382</v>
      </c>
      <c r="D364" s="6" t="s">
        <v>5383</v>
      </c>
    </row>
    <row r="365" spans="1:4" x14ac:dyDescent="0.35">
      <c r="A365" s="6" t="s">
        <v>1998</v>
      </c>
      <c r="B365" s="6" t="s">
        <v>4713</v>
      </c>
      <c r="C365" s="6" t="s">
        <v>5384</v>
      </c>
      <c r="D365" s="6" t="s">
        <v>5385</v>
      </c>
    </row>
    <row r="366" spans="1:4" x14ac:dyDescent="0.35">
      <c r="A366" s="6" t="s">
        <v>1997</v>
      </c>
      <c r="B366" s="6" t="s">
        <v>4713</v>
      </c>
      <c r="C366" s="6" t="s">
        <v>5386</v>
      </c>
      <c r="D366" s="6" t="s">
        <v>5387</v>
      </c>
    </row>
    <row r="367" spans="1:4" x14ac:dyDescent="0.35">
      <c r="A367" s="6" t="s">
        <v>1996</v>
      </c>
      <c r="B367" s="6" t="s">
        <v>4716</v>
      </c>
      <c r="C367" s="6" t="s">
        <v>5388</v>
      </c>
      <c r="D367" s="6" t="s">
        <v>5389</v>
      </c>
    </row>
    <row r="368" spans="1:4" x14ac:dyDescent="0.35">
      <c r="A368" s="6" t="s">
        <v>1995</v>
      </c>
      <c r="B368" s="6" t="s">
        <v>4716</v>
      </c>
      <c r="C368" s="6" t="s">
        <v>5390</v>
      </c>
      <c r="D368" s="6" t="s">
        <v>5391</v>
      </c>
    </row>
    <row r="369" spans="1:4" x14ac:dyDescent="0.35">
      <c r="A369" s="6" t="s">
        <v>1994</v>
      </c>
      <c r="B369" s="6" t="s">
        <v>4713</v>
      </c>
      <c r="C369" s="6" t="s">
        <v>5392</v>
      </c>
      <c r="D369" s="6" t="s">
        <v>5393</v>
      </c>
    </row>
    <row r="370" spans="1:4" x14ac:dyDescent="0.35">
      <c r="A370" s="6" t="s">
        <v>1993</v>
      </c>
      <c r="B370" s="6" t="s">
        <v>4716</v>
      </c>
      <c r="C370" s="6" t="s">
        <v>5394</v>
      </c>
      <c r="D370" s="6" t="s">
        <v>5395</v>
      </c>
    </row>
    <row r="371" spans="1:4" x14ac:dyDescent="0.35">
      <c r="A371" s="6" t="s">
        <v>1992</v>
      </c>
      <c r="B371" s="6" t="s">
        <v>4716</v>
      </c>
      <c r="C371" s="6" t="s">
        <v>5396</v>
      </c>
      <c r="D371" s="6" t="s">
        <v>5397</v>
      </c>
    </row>
    <row r="372" spans="1:4" x14ac:dyDescent="0.35">
      <c r="A372" s="6" t="s">
        <v>1991</v>
      </c>
      <c r="B372" s="6" t="s">
        <v>4713</v>
      </c>
      <c r="C372" s="6" t="s">
        <v>5398</v>
      </c>
      <c r="D372" s="6" t="s">
        <v>5399</v>
      </c>
    </row>
    <row r="373" spans="1:4" x14ac:dyDescent="0.35">
      <c r="A373" s="6" t="s">
        <v>1990</v>
      </c>
      <c r="B373" s="6" t="s">
        <v>4716</v>
      </c>
      <c r="C373" s="6" t="s">
        <v>5400</v>
      </c>
      <c r="D373" s="6" t="s">
        <v>5401</v>
      </c>
    </row>
    <row r="374" spans="1:4" x14ac:dyDescent="0.35">
      <c r="A374" s="6" t="s">
        <v>1989</v>
      </c>
      <c r="B374" s="6" t="s">
        <v>4713</v>
      </c>
      <c r="C374" s="6" t="s">
        <v>5402</v>
      </c>
      <c r="D374" s="6" t="s">
        <v>5403</v>
      </c>
    </row>
    <row r="375" spans="1:4" x14ac:dyDescent="0.35">
      <c r="A375" s="6" t="s">
        <v>1988</v>
      </c>
      <c r="B375" s="6" t="s">
        <v>4713</v>
      </c>
      <c r="C375" s="6" t="s">
        <v>5404</v>
      </c>
      <c r="D375" s="6" t="s">
        <v>5249</v>
      </c>
    </row>
    <row r="376" spans="1:4" x14ac:dyDescent="0.35">
      <c r="A376" s="6" t="s">
        <v>1987</v>
      </c>
      <c r="B376" s="6" t="s">
        <v>4713</v>
      </c>
      <c r="C376" s="6" t="s">
        <v>5405</v>
      </c>
      <c r="D376" s="6" t="s">
        <v>5406</v>
      </c>
    </row>
    <row r="377" spans="1:4" x14ac:dyDescent="0.35">
      <c r="A377" s="6" t="s">
        <v>1986</v>
      </c>
      <c r="B377" s="6" t="s">
        <v>4716</v>
      </c>
      <c r="C377" s="6" t="s">
        <v>5407</v>
      </c>
      <c r="D377" s="6" t="s">
        <v>5408</v>
      </c>
    </row>
    <row r="378" spans="1:4" x14ac:dyDescent="0.35">
      <c r="A378" s="6" t="s">
        <v>1985</v>
      </c>
      <c r="B378" s="6" t="s">
        <v>4716</v>
      </c>
      <c r="C378" s="6" t="s">
        <v>5409</v>
      </c>
      <c r="D378" s="6" t="s">
        <v>5010</v>
      </c>
    </row>
    <row r="379" spans="1:4" x14ac:dyDescent="0.35">
      <c r="A379" s="6" t="s">
        <v>1984</v>
      </c>
      <c r="B379" s="6" t="s">
        <v>4713</v>
      </c>
      <c r="C379" s="6" t="s">
        <v>5410</v>
      </c>
      <c r="D379" s="6" t="s">
        <v>5411</v>
      </c>
    </row>
    <row r="380" spans="1:4" x14ac:dyDescent="0.35">
      <c r="A380" s="6" t="s">
        <v>1983</v>
      </c>
      <c r="B380" s="6" t="s">
        <v>4713</v>
      </c>
      <c r="C380" s="6" t="s">
        <v>5412</v>
      </c>
      <c r="D380" s="6" t="s">
        <v>5084</v>
      </c>
    </row>
    <row r="381" spans="1:4" x14ac:dyDescent="0.35">
      <c r="A381" s="6" t="s">
        <v>1982</v>
      </c>
      <c r="B381" s="6" t="s">
        <v>4716</v>
      </c>
      <c r="C381" s="6" t="s">
        <v>5413</v>
      </c>
      <c r="D381" s="6" t="s">
        <v>5414</v>
      </c>
    </row>
    <row r="382" spans="1:4" x14ac:dyDescent="0.35">
      <c r="A382" s="6" t="s">
        <v>1981</v>
      </c>
      <c r="B382" s="6" t="s">
        <v>4713</v>
      </c>
      <c r="C382" s="6" t="s">
        <v>5415</v>
      </c>
      <c r="D382" s="6" t="s">
        <v>5416</v>
      </c>
    </row>
    <row r="383" spans="1:4" x14ac:dyDescent="0.35">
      <c r="A383" s="6" t="s">
        <v>1980</v>
      </c>
      <c r="B383" s="6" t="s">
        <v>4716</v>
      </c>
      <c r="C383" s="6" t="s">
        <v>5417</v>
      </c>
      <c r="D383" s="6" t="s">
        <v>4728</v>
      </c>
    </row>
    <row r="384" spans="1:4" x14ac:dyDescent="0.35">
      <c r="A384" s="6" t="s">
        <v>1979</v>
      </c>
      <c r="B384" s="6" t="s">
        <v>4716</v>
      </c>
      <c r="C384" s="6" t="s">
        <v>5418</v>
      </c>
      <c r="D384" s="6" t="s">
        <v>5154</v>
      </c>
    </row>
    <row r="385" spans="1:4" x14ac:dyDescent="0.35">
      <c r="A385" s="6" t="s">
        <v>1978</v>
      </c>
      <c r="B385" s="6" t="s">
        <v>4713</v>
      </c>
      <c r="C385" s="6" t="s">
        <v>5419</v>
      </c>
      <c r="D385" s="6" t="s">
        <v>4863</v>
      </c>
    </row>
    <row r="386" spans="1:4" x14ac:dyDescent="0.35">
      <c r="A386" s="6" t="s">
        <v>1977</v>
      </c>
      <c r="B386" s="6" t="s">
        <v>4716</v>
      </c>
      <c r="C386" s="6" t="s">
        <v>5420</v>
      </c>
      <c r="D386" s="6" t="s">
        <v>5421</v>
      </c>
    </row>
    <row r="387" spans="1:4" x14ac:dyDescent="0.35">
      <c r="A387" s="6" t="s">
        <v>1976</v>
      </c>
      <c r="B387" s="6" t="s">
        <v>4716</v>
      </c>
      <c r="C387" s="6" t="s">
        <v>5422</v>
      </c>
      <c r="D387" s="6" t="s">
        <v>5423</v>
      </c>
    </row>
    <row r="388" spans="1:4" x14ac:dyDescent="0.35">
      <c r="A388" s="6" t="s">
        <v>1975</v>
      </c>
      <c r="B388" s="6" t="s">
        <v>4713</v>
      </c>
      <c r="C388" s="6" t="s">
        <v>5424</v>
      </c>
      <c r="D388" s="6" t="s">
        <v>5425</v>
      </c>
    </row>
    <row r="389" spans="1:4" x14ac:dyDescent="0.35">
      <c r="A389" s="6" t="s">
        <v>1974</v>
      </c>
      <c r="B389" s="6" t="s">
        <v>4716</v>
      </c>
      <c r="C389" s="6" t="s">
        <v>5426</v>
      </c>
      <c r="D389" s="6" t="s">
        <v>5427</v>
      </c>
    </row>
    <row r="390" spans="1:4" x14ac:dyDescent="0.35">
      <c r="A390" s="6" t="s">
        <v>1973</v>
      </c>
      <c r="B390" s="6" t="s">
        <v>4713</v>
      </c>
      <c r="C390" s="6" t="s">
        <v>5428</v>
      </c>
      <c r="D390" s="6" t="s">
        <v>5291</v>
      </c>
    </row>
    <row r="391" spans="1:4" x14ac:dyDescent="0.35">
      <c r="A391" s="6" t="s">
        <v>1972</v>
      </c>
      <c r="B391" s="6" t="s">
        <v>4713</v>
      </c>
      <c r="C391" s="6" t="s">
        <v>5429</v>
      </c>
      <c r="D391" s="6" t="s">
        <v>5430</v>
      </c>
    </row>
    <row r="392" spans="1:4" x14ac:dyDescent="0.35">
      <c r="A392" s="6" t="s">
        <v>1971</v>
      </c>
      <c r="B392" s="6" t="s">
        <v>4716</v>
      </c>
      <c r="C392" s="6" t="s">
        <v>5431</v>
      </c>
      <c r="D392" s="6" t="s">
        <v>5432</v>
      </c>
    </row>
    <row r="393" spans="1:4" x14ac:dyDescent="0.35">
      <c r="A393" s="6" t="s">
        <v>1970</v>
      </c>
      <c r="B393" s="6" t="s">
        <v>4716</v>
      </c>
      <c r="C393" s="6" t="s">
        <v>5433</v>
      </c>
      <c r="D393" s="6" t="s">
        <v>4811</v>
      </c>
    </row>
    <row r="394" spans="1:4" x14ac:dyDescent="0.35">
      <c r="A394" s="6" t="s">
        <v>1969</v>
      </c>
      <c r="B394" s="6" t="s">
        <v>4713</v>
      </c>
      <c r="C394" s="6" t="s">
        <v>5434</v>
      </c>
      <c r="D394" s="6" t="s">
        <v>5435</v>
      </c>
    </row>
    <row r="395" spans="1:4" x14ac:dyDescent="0.35">
      <c r="A395" s="6" t="s">
        <v>1968</v>
      </c>
      <c r="B395" s="6" t="s">
        <v>4716</v>
      </c>
      <c r="C395" s="6" t="s">
        <v>5106</v>
      </c>
      <c r="D395" s="6" t="s">
        <v>5436</v>
      </c>
    </row>
    <row r="396" spans="1:4" x14ac:dyDescent="0.35">
      <c r="A396" s="6" t="s">
        <v>1967</v>
      </c>
      <c r="B396" s="6" t="s">
        <v>4713</v>
      </c>
      <c r="C396" s="6" t="s">
        <v>5437</v>
      </c>
      <c r="D396" s="6" t="s">
        <v>5438</v>
      </c>
    </row>
    <row r="397" spans="1:4" x14ac:dyDescent="0.35">
      <c r="A397" s="6" t="s">
        <v>1966</v>
      </c>
      <c r="B397" s="6" t="s">
        <v>4713</v>
      </c>
      <c r="C397" s="6" t="s">
        <v>5439</v>
      </c>
      <c r="D397" s="6" t="s">
        <v>5440</v>
      </c>
    </row>
    <row r="398" spans="1:4" x14ac:dyDescent="0.35">
      <c r="A398" s="6" t="s">
        <v>1965</v>
      </c>
      <c r="B398" s="6" t="s">
        <v>4713</v>
      </c>
      <c r="C398" s="6" t="s">
        <v>5441</v>
      </c>
      <c r="D398" s="6" t="s">
        <v>5442</v>
      </c>
    </row>
    <row r="399" spans="1:4" x14ac:dyDescent="0.35">
      <c r="A399" s="6" t="s">
        <v>1964</v>
      </c>
      <c r="B399" s="6" t="s">
        <v>4716</v>
      </c>
      <c r="C399" s="6" t="s">
        <v>5443</v>
      </c>
      <c r="D399" s="6" t="s">
        <v>5444</v>
      </c>
    </row>
    <row r="400" spans="1:4" x14ac:dyDescent="0.35">
      <c r="A400" s="6" t="s">
        <v>1963</v>
      </c>
      <c r="B400" s="6" t="s">
        <v>4713</v>
      </c>
      <c r="C400" s="6" t="s">
        <v>5445</v>
      </c>
      <c r="D400" s="6" t="s">
        <v>4885</v>
      </c>
    </row>
    <row r="401" spans="1:4" x14ac:dyDescent="0.35">
      <c r="A401" s="6" t="s">
        <v>1962</v>
      </c>
      <c r="B401" s="6" t="s">
        <v>4713</v>
      </c>
      <c r="C401" s="6" t="s">
        <v>5446</v>
      </c>
      <c r="D401" s="6" t="s">
        <v>5447</v>
      </c>
    </row>
    <row r="402" spans="1:4" x14ac:dyDescent="0.35">
      <c r="A402" s="6" t="s">
        <v>1961</v>
      </c>
      <c r="B402" s="6" t="s">
        <v>4716</v>
      </c>
      <c r="C402" s="6" t="s">
        <v>5448</v>
      </c>
      <c r="D402" s="6" t="s">
        <v>5449</v>
      </c>
    </row>
    <row r="403" spans="1:4" x14ac:dyDescent="0.35">
      <c r="A403" s="6" t="s">
        <v>1960</v>
      </c>
      <c r="B403" s="6" t="s">
        <v>4713</v>
      </c>
      <c r="C403" s="6" t="s">
        <v>5450</v>
      </c>
      <c r="D403" s="6" t="s">
        <v>5451</v>
      </c>
    </row>
    <row r="404" spans="1:4" x14ac:dyDescent="0.35">
      <c r="A404" s="6" t="s">
        <v>1959</v>
      </c>
      <c r="B404" s="6" t="s">
        <v>4713</v>
      </c>
      <c r="C404" s="6" t="s">
        <v>5452</v>
      </c>
      <c r="D404" s="6" t="s">
        <v>5453</v>
      </c>
    </row>
    <row r="405" spans="1:4" x14ac:dyDescent="0.35">
      <c r="A405" s="6" t="s">
        <v>1958</v>
      </c>
      <c r="B405" s="6" t="s">
        <v>4716</v>
      </c>
      <c r="C405" s="6" t="s">
        <v>5454</v>
      </c>
      <c r="D405" s="6" t="s">
        <v>5455</v>
      </c>
    </row>
    <row r="406" spans="1:4" x14ac:dyDescent="0.35">
      <c r="A406" s="6" t="s">
        <v>1957</v>
      </c>
      <c r="B406" s="6" t="s">
        <v>4716</v>
      </c>
      <c r="C406" s="6" t="s">
        <v>5456</v>
      </c>
      <c r="D406" s="6" t="s">
        <v>5457</v>
      </c>
    </row>
    <row r="407" spans="1:4" x14ac:dyDescent="0.35">
      <c r="A407" s="6" t="s">
        <v>1956</v>
      </c>
      <c r="B407" s="6" t="s">
        <v>4716</v>
      </c>
      <c r="C407" s="6" t="s">
        <v>5458</v>
      </c>
      <c r="D407" s="6" t="s">
        <v>5459</v>
      </c>
    </row>
    <row r="408" spans="1:4" x14ac:dyDescent="0.35">
      <c r="A408" s="6" t="s">
        <v>1955</v>
      </c>
      <c r="B408" s="6" t="s">
        <v>4716</v>
      </c>
      <c r="C408" s="6" t="s">
        <v>5460</v>
      </c>
      <c r="D408" s="6" t="s">
        <v>5461</v>
      </c>
    </row>
    <row r="409" spans="1:4" x14ac:dyDescent="0.35">
      <c r="A409" s="6" t="s">
        <v>1954</v>
      </c>
      <c r="B409" s="6" t="s">
        <v>4716</v>
      </c>
      <c r="C409" s="6" t="s">
        <v>5462</v>
      </c>
      <c r="D409" s="6" t="s">
        <v>5463</v>
      </c>
    </row>
    <row r="410" spans="1:4" x14ac:dyDescent="0.35">
      <c r="A410" s="6" t="s">
        <v>1953</v>
      </c>
      <c r="B410" s="6" t="s">
        <v>4716</v>
      </c>
      <c r="C410" s="6" t="s">
        <v>5464</v>
      </c>
      <c r="D410" s="6" t="s">
        <v>5465</v>
      </c>
    </row>
    <row r="411" spans="1:4" x14ac:dyDescent="0.35">
      <c r="A411" s="6" t="s">
        <v>1952</v>
      </c>
      <c r="B411" s="6" t="s">
        <v>4713</v>
      </c>
      <c r="C411" s="6" t="s">
        <v>5466</v>
      </c>
      <c r="D411" s="6" t="s">
        <v>5467</v>
      </c>
    </row>
    <row r="412" spans="1:4" x14ac:dyDescent="0.35">
      <c r="A412" s="6" t="s">
        <v>1951</v>
      </c>
      <c r="B412" s="6" t="s">
        <v>4713</v>
      </c>
      <c r="C412" s="6" t="s">
        <v>5468</v>
      </c>
      <c r="D412" s="6" t="s">
        <v>5469</v>
      </c>
    </row>
    <row r="413" spans="1:4" x14ac:dyDescent="0.35">
      <c r="A413" s="6" t="s">
        <v>1950</v>
      </c>
      <c r="B413" s="6" t="s">
        <v>4716</v>
      </c>
      <c r="C413" s="6" t="s">
        <v>5470</v>
      </c>
      <c r="D413" s="6" t="s">
        <v>5471</v>
      </c>
    </row>
    <row r="414" spans="1:4" x14ac:dyDescent="0.35">
      <c r="A414" s="6" t="s">
        <v>1949</v>
      </c>
      <c r="B414" s="6" t="s">
        <v>4713</v>
      </c>
      <c r="C414" s="6" t="s">
        <v>5472</v>
      </c>
      <c r="D414" s="6" t="s">
        <v>5473</v>
      </c>
    </row>
    <row r="415" spans="1:4" x14ac:dyDescent="0.35">
      <c r="A415" s="6" t="s">
        <v>1948</v>
      </c>
      <c r="B415" s="6" t="s">
        <v>4713</v>
      </c>
      <c r="C415" s="6" t="s">
        <v>5474</v>
      </c>
      <c r="D415" s="6" t="s">
        <v>5475</v>
      </c>
    </row>
    <row r="416" spans="1:4" x14ac:dyDescent="0.35">
      <c r="A416" s="6" t="s">
        <v>1947</v>
      </c>
      <c r="B416" s="6" t="s">
        <v>4716</v>
      </c>
      <c r="C416" s="6" t="s">
        <v>5476</v>
      </c>
      <c r="D416" s="6" t="s">
        <v>5477</v>
      </c>
    </row>
    <row r="417" spans="1:4" x14ac:dyDescent="0.35">
      <c r="A417" s="6" t="s">
        <v>1946</v>
      </c>
      <c r="B417" s="6" t="s">
        <v>4716</v>
      </c>
      <c r="C417" s="6" t="s">
        <v>5478</v>
      </c>
      <c r="D417" s="6" t="s">
        <v>4728</v>
      </c>
    </row>
    <row r="418" spans="1:4" x14ac:dyDescent="0.35">
      <c r="A418" s="6" t="s">
        <v>1945</v>
      </c>
      <c r="B418" s="6" t="s">
        <v>4713</v>
      </c>
      <c r="C418" s="6" t="s">
        <v>5479</v>
      </c>
      <c r="D418" s="6" t="s">
        <v>5480</v>
      </c>
    </row>
    <row r="419" spans="1:4" x14ac:dyDescent="0.35">
      <c r="A419" s="6" t="s">
        <v>1944</v>
      </c>
      <c r="B419" s="6" t="s">
        <v>4713</v>
      </c>
      <c r="C419" s="6" t="s">
        <v>5481</v>
      </c>
      <c r="D419" s="6" t="s">
        <v>5351</v>
      </c>
    </row>
    <row r="420" spans="1:4" x14ac:dyDescent="0.35">
      <c r="A420" s="6" t="s">
        <v>1943</v>
      </c>
      <c r="B420" s="6" t="s">
        <v>4713</v>
      </c>
      <c r="C420" s="6" t="s">
        <v>5482</v>
      </c>
      <c r="D420" s="6" t="s">
        <v>5483</v>
      </c>
    </row>
    <row r="421" spans="1:4" x14ac:dyDescent="0.35">
      <c r="A421" s="6" t="s">
        <v>1942</v>
      </c>
      <c r="B421" s="6" t="s">
        <v>4713</v>
      </c>
      <c r="C421" s="6" t="s">
        <v>5484</v>
      </c>
      <c r="D421" s="6" t="s">
        <v>5485</v>
      </c>
    </row>
    <row r="422" spans="1:4" x14ac:dyDescent="0.35">
      <c r="A422" s="6" t="s">
        <v>1941</v>
      </c>
      <c r="B422" s="6" t="s">
        <v>4716</v>
      </c>
      <c r="C422" s="6" t="s">
        <v>5486</v>
      </c>
      <c r="D422" s="6" t="s">
        <v>5487</v>
      </c>
    </row>
    <row r="423" spans="1:4" x14ac:dyDescent="0.35">
      <c r="A423" s="6" t="s">
        <v>1940</v>
      </c>
      <c r="B423" s="6" t="s">
        <v>4713</v>
      </c>
      <c r="C423" s="6" t="s">
        <v>4926</v>
      </c>
      <c r="D423" s="6" t="s">
        <v>5488</v>
      </c>
    </row>
    <row r="424" spans="1:4" x14ac:dyDescent="0.35">
      <c r="A424" s="6" t="s">
        <v>1939</v>
      </c>
      <c r="B424" s="6" t="s">
        <v>4713</v>
      </c>
      <c r="C424" s="6" t="s">
        <v>5489</v>
      </c>
      <c r="D424" s="6" t="s">
        <v>5490</v>
      </c>
    </row>
    <row r="425" spans="1:4" x14ac:dyDescent="0.35">
      <c r="A425" s="6" t="s">
        <v>1938</v>
      </c>
      <c r="B425" s="6" t="s">
        <v>4713</v>
      </c>
      <c r="C425" s="6" t="s">
        <v>5491</v>
      </c>
      <c r="D425" s="6" t="s">
        <v>5492</v>
      </c>
    </row>
    <row r="426" spans="1:4" x14ac:dyDescent="0.35">
      <c r="A426" s="6" t="s">
        <v>1937</v>
      </c>
      <c r="B426" s="6" t="s">
        <v>4716</v>
      </c>
      <c r="C426" s="6" t="s">
        <v>5493</v>
      </c>
      <c r="D426" s="6" t="s">
        <v>5475</v>
      </c>
    </row>
    <row r="427" spans="1:4" x14ac:dyDescent="0.35">
      <c r="A427" s="6" t="s">
        <v>1936</v>
      </c>
      <c r="B427" s="6" t="s">
        <v>4716</v>
      </c>
      <c r="C427" s="6" t="s">
        <v>5494</v>
      </c>
      <c r="D427" s="6" t="s">
        <v>5105</v>
      </c>
    </row>
    <row r="428" spans="1:4" x14ac:dyDescent="0.35">
      <c r="A428" s="6" t="s">
        <v>1935</v>
      </c>
      <c r="B428" s="6" t="s">
        <v>4713</v>
      </c>
      <c r="C428" s="6" t="s">
        <v>5495</v>
      </c>
      <c r="D428" s="6" t="s">
        <v>5496</v>
      </c>
    </row>
    <row r="429" spans="1:4" x14ac:dyDescent="0.35">
      <c r="A429" s="6" t="s">
        <v>1934</v>
      </c>
      <c r="B429" s="6" t="s">
        <v>4713</v>
      </c>
      <c r="C429" s="6" t="s">
        <v>5497</v>
      </c>
      <c r="D429" s="6" t="s">
        <v>5498</v>
      </c>
    </row>
    <row r="430" spans="1:4" x14ac:dyDescent="0.35">
      <c r="A430" s="6" t="s">
        <v>1933</v>
      </c>
      <c r="B430" s="6" t="s">
        <v>4713</v>
      </c>
      <c r="C430" s="6" t="s">
        <v>5499</v>
      </c>
      <c r="D430" s="6" t="s">
        <v>4869</v>
      </c>
    </row>
    <row r="431" spans="1:4" x14ac:dyDescent="0.35">
      <c r="A431" s="6" t="s">
        <v>1932</v>
      </c>
      <c r="B431" s="6" t="s">
        <v>4713</v>
      </c>
      <c r="C431" s="6" t="s">
        <v>5500</v>
      </c>
      <c r="D431" s="6" t="s">
        <v>5501</v>
      </c>
    </row>
    <row r="432" spans="1:4" x14ac:dyDescent="0.35">
      <c r="A432" s="6" t="s">
        <v>1931</v>
      </c>
      <c r="B432" s="6" t="s">
        <v>4713</v>
      </c>
      <c r="C432" s="6" t="s">
        <v>5502</v>
      </c>
      <c r="D432" s="6" t="s">
        <v>5503</v>
      </c>
    </row>
    <row r="433" spans="1:4" x14ac:dyDescent="0.35">
      <c r="A433" s="6" t="s">
        <v>1930</v>
      </c>
      <c r="B433" s="6" t="s">
        <v>4713</v>
      </c>
      <c r="C433" s="6" t="s">
        <v>5504</v>
      </c>
      <c r="D433" s="6" t="s">
        <v>5505</v>
      </c>
    </row>
    <row r="434" spans="1:4" x14ac:dyDescent="0.35">
      <c r="A434" s="6" t="s">
        <v>1929</v>
      </c>
      <c r="B434" s="6" t="s">
        <v>4716</v>
      </c>
      <c r="C434" s="6" t="s">
        <v>5506</v>
      </c>
      <c r="D434" s="6" t="s">
        <v>5461</v>
      </c>
    </row>
    <row r="435" spans="1:4" x14ac:dyDescent="0.35">
      <c r="A435" s="6" t="s">
        <v>1928</v>
      </c>
      <c r="B435" s="6" t="s">
        <v>4713</v>
      </c>
      <c r="C435" s="6" t="s">
        <v>5507</v>
      </c>
      <c r="D435" s="6" t="s">
        <v>4885</v>
      </c>
    </row>
    <row r="436" spans="1:4" x14ac:dyDescent="0.35">
      <c r="A436" s="6" t="s">
        <v>1927</v>
      </c>
      <c r="B436" s="6" t="s">
        <v>4716</v>
      </c>
      <c r="C436" s="6" t="s">
        <v>5508</v>
      </c>
      <c r="D436" s="6" t="s">
        <v>5509</v>
      </c>
    </row>
    <row r="437" spans="1:4" x14ac:dyDescent="0.35">
      <c r="A437" s="6" t="s">
        <v>1926</v>
      </c>
      <c r="B437" s="6" t="s">
        <v>4716</v>
      </c>
      <c r="C437" s="6" t="s">
        <v>5510</v>
      </c>
      <c r="D437" s="6" t="s">
        <v>5511</v>
      </c>
    </row>
    <row r="438" spans="1:4" x14ac:dyDescent="0.35">
      <c r="A438" s="6" t="s">
        <v>1925</v>
      </c>
      <c r="B438" s="6" t="s">
        <v>4716</v>
      </c>
      <c r="C438" s="6" t="s">
        <v>5512</v>
      </c>
      <c r="D438" s="6" t="s">
        <v>5513</v>
      </c>
    </row>
    <row r="439" spans="1:4" x14ac:dyDescent="0.35">
      <c r="A439" s="6" t="s">
        <v>1924</v>
      </c>
      <c r="B439" s="6" t="s">
        <v>4713</v>
      </c>
      <c r="C439" s="6" t="s">
        <v>5514</v>
      </c>
      <c r="D439" s="6" t="s">
        <v>5387</v>
      </c>
    </row>
    <row r="440" spans="1:4" x14ac:dyDescent="0.35">
      <c r="A440" s="6" t="s">
        <v>1923</v>
      </c>
      <c r="B440" s="6" t="s">
        <v>4716</v>
      </c>
      <c r="C440" s="6" t="s">
        <v>5515</v>
      </c>
      <c r="D440" s="6" t="s">
        <v>5516</v>
      </c>
    </row>
    <row r="441" spans="1:4" x14ac:dyDescent="0.35">
      <c r="A441" s="6" t="s">
        <v>1922</v>
      </c>
      <c r="B441" s="6" t="s">
        <v>4713</v>
      </c>
      <c r="C441" s="6" t="s">
        <v>5517</v>
      </c>
      <c r="D441" s="6" t="s">
        <v>5518</v>
      </c>
    </row>
    <row r="442" spans="1:4" x14ac:dyDescent="0.35">
      <c r="A442" s="6" t="s">
        <v>1921</v>
      </c>
      <c r="B442" s="6" t="s">
        <v>4713</v>
      </c>
      <c r="C442" s="6" t="s">
        <v>5519</v>
      </c>
      <c r="D442" s="6" t="s">
        <v>5520</v>
      </c>
    </row>
    <row r="443" spans="1:4" x14ac:dyDescent="0.35">
      <c r="A443" s="6" t="s">
        <v>1920</v>
      </c>
      <c r="B443" s="6" t="s">
        <v>4716</v>
      </c>
      <c r="C443" s="6" t="s">
        <v>5521</v>
      </c>
      <c r="D443" s="6" t="s">
        <v>5522</v>
      </c>
    </row>
    <row r="444" spans="1:4" x14ac:dyDescent="0.35">
      <c r="A444" s="6" t="s">
        <v>1919</v>
      </c>
      <c r="B444" s="6" t="s">
        <v>4716</v>
      </c>
      <c r="C444" s="6" t="s">
        <v>4848</v>
      </c>
      <c r="D444" s="6" t="s">
        <v>5523</v>
      </c>
    </row>
    <row r="445" spans="1:4" x14ac:dyDescent="0.35">
      <c r="A445" s="6" t="s">
        <v>1918</v>
      </c>
      <c r="B445" s="6" t="s">
        <v>4713</v>
      </c>
      <c r="C445" s="6" t="s">
        <v>5524</v>
      </c>
      <c r="D445" s="6" t="s">
        <v>5525</v>
      </c>
    </row>
    <row r="446" spans="1:4" x14ac:dyDescent="0.35">
      <c r="A446" s="6" t="s">
        <v>1917</v>
      </c>
      <c r="B446" s="6" t="s">
        <v>4713</v>
      </c>
      <c r="C446" s="6" t="s">
        <v>5526</v>
      </c>
      <c r="D446" s="6" t="s">
        <v>5527</v>
      </c>
    </row>
    <row r="447" spans="1:4" x14ac:dyDescent="0.35">
      <c r="A447" s="6" t="s">
        <v>1916</v>
      </c>
      <c r="B447" s="6" t="s">
        <v>4716</v>
      </c>
      <c r="C447" s="6" t="s">
        <v>5528</v>
      </c>
      <c r="D447" s="6" t="s">
        <v>5321</v>
      </c>
    </row>
    <row r="448" spans="1:4" x14ac:dyDescent="0.35">
      <c r="A448" s="6" t="s">
        <v>1915</v>
      </c>
      <c r="B448" s="6" t="s">
        <v>4713</v>
      </c>
      <c r="C448" s="6" t="s">
        <v>5529</v>
      </c>
      <c r="D448" s="6" t="s">
        <v>5530</v>
      </c>
    </row>
    <row r="449" spans="1:4" x14ac:dyDescent="0.35">
      <c r="A449" s="6" t="s">
        <v>1914</v>
      </c>
      <c r="B449" s="6" t="s">
        <v>4716</v>
      </c>
      <c r="C449" s="6" t="s">
        <v>5531</v>
      </c>
      <c r="D449" s="6" t="s">
        <v>5532</v>
      </c>
    </row>
    <row r="450" spans="1:4" x14ac:dyDescent="0.35">
      <c r="A450" s="6" t="s">
        <v>1913</v>
      </c>
      <c r="B450" s="6" t="s">
        <v>4716</v>
      </c>
      <c r="C450" s="6" t="s">
        <v>5533</v>
      </c>
      <c r="D450" s="6" t="s">
        <v>5534</v>
      </c>
    </row>
    <row r="451" spans="1:4" x14ac:dyDescent="0.35">
      <c r="A451" s="6" t="s">
        <v>1912</v>
      </c>
      <c r="B451" s="6" t="s">
        <v>4713</v>
      </c>
      <c r="C451" s="6" t="s">
        <v>5535</v>
      </c>
      <c r="D451" s="6" t="s">
        <v>5536</v>
      </c>
    </row>
    <row r="452" spans="1:4" x14ac:dyDescent="0.35">
      <c r="A452" s="6" t="s">
        <v>1911</v>
      </c>
      <c r="B452" s="6" t="s">
        <v>4713</v>
      </c>
      <c r="C452" s="6" t="s">
        <v>5359</v>
      </c>
      <c r="D452" s="6" t="s">
        <v>5537</v>
      </c>
    </row>
    <row r="453" spans="1:4" x14ac:dyDescent="0.35">
      <c r="A453" s="6" t="s">
        <v>1910</v>
      </c>
      <c r="B453" s="6" t="s">
        <v>4716</v>
      </c>
      <c r="C453" s="6" t="s">
        <v>4814</v>
      </c>
      <c r="D453" s="6" t="s">
        <v>5538</v>
      </c>
    </row>
    <row r="454" spans="1:4" x14ac:dyDescent="0.35">
      <c r="A454" s="6" t="s">
        <v>1909</v>
      </c>
      <c r="B454" s="6" t="s">
        <v>4713</v>
      </c>
      <c r="C454" s="6" t="s">
        <v>5539</v>
      </c>
      <c r="D454" s="6" t="s">
        <v>5540</v>
      </c>
    </row>
    <row r="455" spans="1:4" x14ac:dyDescent="0.35">
      <c r="A455" s="6" t="s">
        <v>1908</v>
      </c>
      <c r="B455" s="6" t="s">
        <v>4716</v>
      </c>
      <c r="C455" s="6" t="s">
        <v>5541</v>
      </c>
      <c r="D455" s="6" t="s">
        <v>4970</v>
      </c>
    </row>
    <row r="456" spans="1:4" x14ac:dyDescent="0.35">
      <c r="A456" s="6" t="s">
        <v>1907</v>
      </c>
      <c r="B456" s="6" t="s">
        <v>4716</v>
      </c>
      <c r="C456" s="6" t="s">
        <v>5542</v>
      </c>
      <c r="D456" s="6" t="s">
        <v>4728</v>
      </c>
    </row>
    <row r="457" spans="1:4" x14ac:dyDescent="0.35">
      <c r="A457" s="6" t="s">
        <v>1906</v>
      </c>
      <c r="B457" s="6" t="s">
        <v>4716</v>
      </c>
      <c r="C457" s="6" t="s">
        <v>5543</v>
      </c>
      <c r="D457" s="6" t="s">
        <v>5544</v>
      </c>
    </row>
    <row r="458" spans="1:4" x14ac:dyDescent="0.35">
      <c r="A458" s="6" t="s">
        <v>1905</v>
      </c>
      <c r="B458" s="6" t="s">
        <v>4716</v>
      </c>
      <c r="C458" s="6" t="s">
        <v>5545</v>
      </c>
      <c r="D458" s="6" t="s">
        <v>5254</v>
      </c>
    </row>
    <row r="459" spans="1:4" x14ac:dyDescent="0.35">
      <c r="A459" s="6" t="s">
        <v>1904</v>
      </c>
      <c r="B459" s="6" t="s">
        <v>4716</v>
      </c>
      <c r="C459" s="6" t="s">
        <v>5546</v>
      </c>
      <c r="D459" s="6" t="s">
        <v>5547</v>
      </c>
    </row>
    <row r="460" spans="1:4" x14ac:dyDescent="0.35">
      <c r="A460" s="6" t="s">
        <v>1903</v>
      </c>
      <c r="B460" s="6" t="s">
        <v>4713</v>
      </c>
      <c r="C460" s="6" t="s">
        <v>5548</v>
      </c>
      <c r="D460" s="6" t="s">
        <v>5549</v>
      </c>
    </row>
    <row r="461" spans="1:4" x14ac:dyDescent="0.35">
      <c r="A461" s="6" t="s">
        <v>1902</v>
      </c>
      <c r="B461" s="6" t="s">
        <v>4716</v>
      </c>
      <c r="C461" s="6" t="s">
        <v>4838</v>
      </c>
      <c r="D461" s="6" t="s">
        <v>5550</v>
      </c>
    </row>
    <row r="462" spans="1:4" x14ac:dyDescent="0.35">
      <c r="A462" s="6" t="s">
        <v>1901</v>
      </c>
      <c r="B462" s="6" t="s">
        <v>4713</v>
      </c>
      <c r="C462" s="6" t="s">
        <v>5264</v>
      </c>
      <c r="D462" s="6" t="s">
        <v>5551</v>
      </c>
    </row>
    <row r="463" spans="1:4" x14ac:dyDescent="0.35">
      <c r="A463" s="6" t="s">
        <v>1900</v>
      </c>
      <c r="B463" s="6" t="s">
        <v>4713</v>
      </c>
      <c r="C463" s="6" t="s">
        <v>4870</v>
      </c>
      <c r="D463" s="6" t="s">
        <v>4826</v>
      </c>
    </row>
    <row r="464" spans="1:4" x14ac:dyDescent="0.35">
      <c r="A464" s="6" t="s">
        <v>1899</v>
      </c>
      <c r="B464" s="6" t="s">
        <v>4713</v>
      </c>
      <c r="C464" s="6" t="s">
        <v>5552</v>
      </c>
      <c r="D464" s="6" t="s">
        <v>5553</v>
      </c>
    </row>
    <row r="465" spans="1:4" x14ac:dyDescent="0.35">
      <c r="A465" s="6" t="s">
        <v>1898</v>
      </c>
      <c r="B465" s="6" t="s">
        <v>4716</v>
      </c>
      <c r="C465" s="6" t="s">
        <v>5554</v>
      </c>
      <c r="D465" s="6" t="s">
        <v>5555</v>
      </c>
    </row>
    <row r="466" spans="1:4" x14ac:dyDescent="0.35">
      <c r="A466" s="6" t="s">
        <v>1897</v>
      </c>
      <c r="B466" s="6" t="s">
        <v>4713</v>
      </c>
      <c r="C466" s="6" t="s">
        <v>5556</v>
      </c>
      <c r="D466" s="6" t="s">
        <v>4863</v>
      </c>
    </row>
    <row r="467" spans="1:4" x14ac:dyDescent="0.35">
      <c r="A467" s="6" t="s">
        <v>1896</v>
      </c>
      <c r="B467" s="6" t="s">
        <v>4716</v>
      </c>
      <c r="C467" s="6" t="s">
        <v>5557</v>
      </c>
      <c r="D467" s="6" t="s">
        <v>5558</v>
      </c>
    </row>
    <row r="468" spans="1:4" x14ac:dyDescent="0.35">
      <c r="A468" s="6" t="s">
        <v>1895</v>
      </c>
      <c r="B468" s="6" t="s">
        <v>4716</v>
      </c>
      <c r="C468" s="6" t="s">
        <v>4844</v>
      </c>
      <c r="D468" s="6" t="s">
        <v>5559</v>
      </c>
    </row>
    <row r="469" spans="1:4" x14ac:dyDescent="0.35">
      <c r="A469" s="6" t="s">
        <v>1894</v>
      </c>
      <c r="B469" s="6" t="s">
        <v>4713</v>
      </c>
      <c r="C469" s="6" t="s">
        <v>5560</v>
      </c>
      <c r="D469" s="6" t="s">
        <v>5561</v>
      </c>
    </row>
    <row r="470" spans="1:4" x14ac:dyDescent="0.35">
      <c r="A470" s="6" t="s">
        <v>1893</v>
      </c>
      <c r="B470" s="6" t="s">
        <v>4713</v>
      </c>
      <c r="C470" s="6" t="s">
        <v>5562</v>
      </c>
      <c r="D470" s="6" t="s">
        <v>5563</v>
      </c>
    </row>
    <row r="471" spans="1:4" x14ac:dyDescent="0.35">
      <c r="A471" s="6" t="s">
        <v>1892</v>
      </c>
      <c r="B471" s="6" t="s">
        <v>4716</v>
      </c>
      <c r="C471" s="6" t="s">
        <v>5564</v>
      </c>
      <c r="D471" s="6" t="s">
        <v>5565</v>
      </c>
    </row>
    <row r="472" spans="1:4" x14ac:dyDescent="0.35">
      <c r="A472" s="6" t="s">
        <v>1891</v>
      </c>
      <c r="B472" s="6" t="s">
        <v>4716</v>
      </c>
      <c r="C472" s="6" t="s">
        <v>5566</v>
      </c>
      <c r="D472" s="6" t="s">
        <v>5567</v>
      </c>
    </row>
    <row r="473" spans="1:4" x14ac:dyDescent="0.35">
      <c r="A473" s="6" t="s">
        <v>1890</v>
      </c>
      <c r="B473" s="6" t="s">
        <v>4716</v>
      </c>
      <c r="C473" s="6" t="s">
        <v>5568</v>
      </c>
      <c r="D473" s="6" t="s">
        <v>5140</v>
      </c>
    </row>
    <row r="474" spans="1:4" x14ac:dyDescent="0.35">
      <c r="A474" s="6" t="s">
        <v>1889</v>
      </c>
      <c r="B474" s="6" t="s">
        <v>4716</v>
      </c>
      <c r="C474" s="6" t="s">
        <v>5175</v>
      </c>
      <c r="D474" s="6" t="s">
        <v>5569</v>
      </c>
    </row>
    <row r="475" spans="1:4" x14ac:dyDescent="0.35">
      <c r="A475" s="6" t="s">
        <v>1888</v>
      </c>
      <c r="B475" s="6" t="s">
        <v>4716</v>
      </c>
      <c r="C475" s="6" t="s">
        <v>5570</v>
      </c>
      <c r="D475" s="6" t="s">
        <v>4738</v>
      </c>
    </row>
    <row r="476" spans="1:4" x14ac:dyDescent="0.35">
      <c r="A476" s="6" t="s">
        <v>1887</v>
      </c>
      <c r="B476" s="6" t="s">
        <v>4716</v>
      </c>
      <c r="C476" s="6" t="s">
        <v>5571</v>
      </c>
      <c r="D476" s="6" t="s">
        <v>5572</v>
      </c>
    </row>
    <row r="477" spans="1:4" x14ac:dyDescent="0.35">
      <c r="A477" s="6" t="s">
        <v>1885</v>
      </c>
      <c r="B477" s="6" t="s">
        <v>4716</v>
      </c>
      <c r="C477" s="6" t="s">
        <v>5573</v>
      </c>
      <c r="D477" s="6" t="s">
        <v>5574</v>
      </c>
    </row>
    <row r="478" spans="1:4" x14ac:dyDescent="0.35">
      <c r="A478" s="6" t="s">
        <v>1884</v>
      </c>
      <c r="B478" s="6" t="s">
        <v>4713</v>
      </c>
      <c r="C478" s="6" t="s">
        <v>5575</v>
      </c>
      <c r="D478" s="6" t="s">
        <v>5576</v>
      </c>
    </row>
    <row r="479" spans="1:4" x14ac:dyDescent="0.35">
      <c r="A479" s="6" t="s">
        <v>1883</v>
      </c>
      <c r="B479" s="6" t="s">
        <v>4716</v>
      </c>
      <c r="C479" s="6" t="s">
        <v>5577</v>
      </c>
      <c r="D479" s="6" t="s">
        <v>5578</v>
      </c>
    </row>
    <row r="480" spans="1:4" x14ac:dyDescent="0.35">
      <c r="A480" s="6" t="s">
        <v>1882</v>
      </c>
      <c r="B480" s="6" t="s">
        <v>4716</v>
      </c>
      <c r="C480" s="6" t="s">
        <v>5579</v>
      </c>
      <c r="D480" s="6" t="s">
        <v>5580</v>
      </c>
    </row>
    <row r="481" spans="1:4" x14ac:dyDescent="0.35">
      <c r="A481" s="6" t="s">
        <v>1881</v>
      </c>
      <c r="B481" s="6" t="s">
        <v>4716</v>
      </c>
      <c r="C481" s="6" t="s">
        <v>5581</v>
      </c>
      <c r="D481" s="6" t="s">
        <v>5582</v>
      </c>
    </row>
    <row r="482" spans="1:4" x14ac:dyDescent="0.35">
      <c r="A482" s="6" t="s">
        <v>1880</v>
      </c>
      <c r="B482" s="6" t="s">
        <v>4716</v>
      </c>
      <c r="C482" s="6" t="s">
        <v>5583</v>
      </c>
      <c r="D482" s="6" t="s">
        <v>5064</v>
      </c>
    </row>
    <row r="483" spans="1:4" x14ac:dyDescent="0.35">
      <c r="A483" s="6" t="s">
        <v>1879</v>
      </c>
      <c r="B483" s="6" t="s">
        <v>4716</v>
      </c>
      <c r="C483" s="6" t="s">
        <v>5584</v>
      </c>
      <c r="D483" s="6" t="s">
        <v>5585</v>
      </c>
    </row>
    <row r="484" spans="1:4" x14ac:dyDescent="0.35">
      <c r="A484" s="6" t="s">
        <v>1878</v>
      </c>
      <c r="B484" s="6" t="s">
        <v>4713</v>
      </c>
      <c r="C484" s="6" t="s">
        <v>5586</v>
      </c>
      <c r="D484" s="6" t="s">
        <v>5587</v>
      </c>
    </row>
    <row r="485" spans="1:4" x14ac:dyDescent="0.35">
      <c r="A485" s="6" t="s">
        <v>1877</v>
      </c>
      <c r="B485" s="6" t="s">
        <v>4713</v>
      </c>
      <c r="C485" s="6" t="s">
        <v>4965</v>
      </c>
      <c r="D485" s="6" t="s">
        <v>5588</v>
      </c>
    </row>
    <row r="486" spans="1:4" x14ac:dyDescent="0.35">
      <c r="A486" s="6" t="s">
        <v>1876</v>
      </c>
      <c r="B486" s="6" t="s">
        <v>4716</v>
      </c>
      <c r="C486" s="6" t="s">
        <v>5589</v>
      </c>
      <c r="D486" s="6" t="s">
        <v>5014</v>
      </c>
    </row>
    <row r="487" spans="1:4" x14ac:dyDescent="0.35">
      <c r="A487" s="6" t="s">
        <v>1875</v>
      </c>
      <c r="B487" s="6" t="s">
        <v>4716</v>
      </c>
      <c r="C487" s="6" t="s">
        <v>5322</v>
      </c>
      <c r="D487" s="6" t="s">
        <v>4851</v>
      </c>
    </row>
    <row r="488" spans="1:4" x14ac:dyDescent="0.35">
      <c r="A488" s="6" t="s">
        <v>1874</v>
      </c>
      <c r="B488" s="6" t="s">
        <v>5590</v>
      </c>
      <c r="C488" s="6" t="s">
        <v>5591</v>
      </c>
      <c r="D488" s="6" t="s">
        <v>5592</v>
      </c>
    </row>
    <row r="489" spans="1:4" x14ac:dyDescent="0.35">
      <c r="A489" s="6" t="s">
        <v>1873</v>
      </c>
      <c r="B489" s="6" t="s">
        <v>4713</v>
      </c>
      <c r="C489" s="6" t="s">
        <v>5593</v>
      </c>
      <c r="D489" s="6" t="s">
        <v>5594</v>
      </c>
    </row>
    <row r="490" spans="1:4" x14ac:dyDescent="0.35">
      <c r="A490" s="6" t="s">
        <v>1872</v>
      </c>
      <c r="B490" s="6" t="s">
        <v>4716</v>
      </c>
      <c r="C490" s="6" t="s">
        <v>5595</v>
      </c>
      <c r="D490" s="6" t="s">
        <v>4972</v>
      </c>
    </row>
    <row r="491" spans="1:4" x14ac:dyDescent="0.35">
      <c r="A491" s="6" t="s">
        <v>1871</v>
      </c>
      <c r="B491" s="6" t="s">
        <v>4716</v>
      </c>
      <c r="C491" s="6" t="s">
        <v>5596</v>
      </c>
      <c r="D491" s="6" t="s">
        <v>4728</v>
      </c>
    </row>
    <row r="492" spans="1:4" x14ac:dyDescent="0.35">
      <c r="A492" s="6" t="s">
        <v>1870</v>
      </c>
      <c r="B492" s="6" t="s">
        <v>4713</v>
      </c>
      <c r="C492" s="6" t="s">
        <v>5597</v>
      </c>
      <c r="D492" s="6" t="s">
        <v>5598</v>
      </c>
    </row>
    <row r="493" spans="1:4" x14ac:dyDescent="0.35">
      <c r="A493" s="6" t="s">
        <v>1869</v>
      </c>
      <c r="B493" s="6" t="s">
        <v>4713</v>
      </c>
      <c r="C493" s="6" t="s">
        <v>5599</v>
      </c>
      <c r="D493" s="6" t="s">
        <v>5600</v>
      </c>
    </row>
    <row r="494" spans="1:4" x14ac:dyDescent="0.35">
      <c r="A494" s="6" t="s">
        <v>1868</v>
      </c>
      <c r="B494" s="6" t="s">
        <v>4713</v>
      </c>
      <c r="C494" s="6" t="s">
        <v>5601</v>
      </c>
      <c r="D494" s="6" t="s">
        <v>5281</v>
      </c>
    </row>
    <row r="495" spans="1:4" x14ac:dyDescent="0.35">
      <c r="A495" s="6" t="s">
        <v>1867</v>
      </c>
      <c r="B495" s="6" t="s">
        <v>4716</v>
      </c>
      <c r="C495" s="6" t="s">
        <v>5602</v>
      </c>
      <c r="D495" s="6" t="s">
        <v>5603</v>
      </c>
    </row>
    <row r="496" spans="1:4" x14ac:dyDescent="0.35">
      <c r="A496" s="6" t="s">
        <v>1866</v>
      </c>
      <c r="B496" s="6" t="s">
        <v>4716</v>
      </c>
      <c r="C496" s="6" t="s">
        <v>5583</v>
      </c>
      <c r="D496" s="6" t="s">
        <v>5604</v>
      </c>
    </row>
    <row r="497" spans="1:4" x14ac:dyDescent="0.35">
      <c r="A497" s="6" t="s">
        <v>1865</v>
      </c>
      <c r="B497" s="6" t="s">
        <v>5590</v>
      </c>
      <c r="C497" s="6" t="s">
        <v>5605</v>
      </c>
      <c r="D497" s="6" t="s">
        <v>4903</v>
      </c>
    </row>
    <row r="498" spans="1:4" x14ac:dyDescent="0.35">
      <c r="A498" s="6" t="s">
        <v>1864</v>
      </c>
      <c r="B498" s="6" t="s">
        <v>4713</v>
      </c>
      <c r="C498" s="6" t="s">
        <v>5606</v>
      </c>
      <c r="D498" s="6" t="s">
        <v>5607</v>
      </c>
    </row>
    <row r="499" spans="1:4" x14ac:dyDescent="0.35">
      <c r="A499" s="6" t="s">
        <v>1863</v>
      </c>
      <c r="B499" s="6" t="s">
        <v>4716</v>
      </c>
      <c r="C499" s="6" t="s">
        <v>5608</v>
      </c>
      <c r="D499" s="6" t="s">
        <v>5140</v>
      </c>
    </row>
    <row r="500" spans="1:4" x14ac:dyDescent="0.35">
      <c r="A500" s="6" t="s">
        <v>1862</v>
      </c>
      <c r="B500" s="6" t="s">
        <v>4713</v>
      </c>
      <c r="C500" s="6" t="s">
        <v>5609</v>
      </c>
      <c r="D500" s="6" t="s">
        <v>5610</v>
      </c>
    </row>
    <row r="501" spans="1:4" x14ac:dyDescent="0.35">
      <c r="A501" s="6" t="s">
        <v>1861</v>
      </c>
      <c r="B501" s="6" t="s">
        <v>4713</v>
      </c>
      <c r="C501" s="6" t="s">
        <v>5611</v>
      </c>
      <c r="D501" s="6" t="s">
        <v>4903</v>
      </c>
    </row>
    <row r="502" spans="1:4" x14ac:dyDescent="0.35">
      <c r="A502" s="6" t="s">
        <v>1860</v>
      </c>
      <c r="B502" s="6" t="s">
        <v>4716</v>
      </c>
      <c r="C502" s="6" t="s">
        <v>5612</v>
      </c>
      <c r="D502" s="6" t="s">
        <v>5613</v>
      </c>
    </row>
    <row r="503" spans="1:4" x14ac:dyDescent="0.35">
      <c r="A503" s="6" t="s">
        <v>1859</v>
      </c>
      <c r="B503" s="6" t="s">
        <v>4716</v>
      </c>
      <c r="C503" s="6" t="s">
        <v>4848</v>
      </c>
      <c r="D503" s="6" t="s">
        <v>5614</v>
      </c>
    </row>
    <row r="504" spans="1:4" x14ac:dyDescent="0.35">
      <c r="A504" s="6" t="s">
        <v>1858</v>
      </c>
      <c r="B504" s="6" t="s">
        <v>4713</v>
      </c>
      <c r="C504" s="6" t="s">
        <v>5615</v>
      </c>
      <c r="D504" s="6" t="s">
        <v>5616</v>
      </c>
    </row>
    <row r="505" spans="1:4" x14ac:dyDescent="0.35">
      <c r="A505" s="6" t="s">
        <v>1857</v>
      </c>
      <c r="B505" s="6" t="s">
        <v>4713</v>
      </c>
      <c r="C505" s="6" t="s">
        <v>5617</v>
      </c>
      <c r="D505" s="6" t="s">
        <v>5618</v>
      </c>
    </row>
    <row r="506" spans="1:4" x14ac:dyDescent="0.35">
      <c r="A506" s="6" t="s">
        <v>1856</v>
      </c>
      <c r="B506" s="6" t="s">
        <v>4713</v>
      </c>
      <c r="C506" s="6" t="s">
        <v>5619</v>
      </c>
      <c r="D506" s="6" t="s">
        <v>4869</v>
      </c>
    </row>
    <row r="507" spans="1:4" x14ac:dyDescent="0.35">
      <c r="A507" s="6" t="s">
        <v>1855</v>
      </c>
      <c r="B507" s="6" t="s">
        <v>4713</v>
      </c>
      <c r="C507" s="6" t="s">
        <v>5620</v>
      </c>
      <c r="D507" s="6" t="s">
        <v>5621</v>
      </c>
    </row>
    <row r="508" spans="1:4" x14ac:dyDescent="0.35">
      <c r="A508" s="6" t="s">
        <v>1854</v>
      </c>
      <c r="B508" s="6" t="s">
        <v>4716</v>
      </c>
      <c r="C508" s="6" t="s">
        <v>5622</v>
      </c>
      <c r="D508" s="6" t="s">
        <v>5623</v>
      </c>
    </row>
    <row r="509" spans="1:4" x14ac:dyDescent="0.35">
      <c r="A509" s="6" t="s">
        <v>1853</v>
      </c>
      <c r="B509" s="6" t="s">
        <v>4716</v>
      </c>
      <c r="C509" s="6" t="s">
        <v>5624</v>
      </c>
      <c r="D509" s="6" t="s">
        <v>5625</v>
      </c>
    </row>
    <row r="510" spans="1:4" x14ac:dyDescent="0.35">
      <c r="A510" s="6" t="s">
        <v>1852</v>
      </c>
      <c r="B510" s="6" t="s">
        <v>4713</v>
      </c>
      <c r="C510" s="6" t="s">
        <v>5626</v>
      </c>
      <c r="D510" s="6" t="s">
        <v>5627</v>
      </c>
    </row>
    <row r="511" spans="1:4" x14ac:dyDescent="0.35">
      <c r="A511" s="6" t="s">
        <v>1851</v>
      </c>
      <c r="B511" s="6" t="s">
        <v>4716</v>
      </c>
      <c r="C511" s="6" t="s">
        <v>5628</v>
      </c>
      <c r="D511" s="6" t="s">
        <v>5629</v>
      </c>
    </row>
    <row r="512" spans="1:4" x14ac:dyDescent="0.35">
      <c r="A512" s="6" t="s">
        <v>1850</v>
      </c>
      <c r="B512" s="6" t="s">
        <v>4716</v>
      </c>
      <c r="C512" s="6" t="s">
        <v>5630</v>
      </c>
      <c r="D512" s="6" t="s">
        <v>5378</v>
      </c>
    </row>
    <row r="513" spans="1:4" x14ac:dyDescent="0.35">
      <c r="A513" s="6" t="s">
        <v>1849</v>
      </c>
      <c r="B513" s="6" t="s">
        <v>4716</v>
      </c>
      <c r="C513" s="6" t="s">
        <v>5631</v>
      </c>
      <c r="D513" s="6" t="s">
        <v>5014</v>
      </c>
    </row>
    <row r="514" spans="1:4" x14ac:dyDescent="0.35">
      <c r="A514" s="6" t="s">
        <v>1848</v>
      </c>
      <c r="B514" s="6" t="s">
        <v>4716</v>
      </c>
      <c r="C514" s="6" t="s">
        <v>5632</v>
      </c>
      <c r="D514" s="6" t="s">
        <v>5633</v>
      </c>
    </row>
    <row r="515" spans="1:4" x14ac:dyDescent="0.35">
      <c r="A515" s="6" t="s">
        <v>1847</v>
      </c>
      <c r="B515" s="6" t="s">
        <v>4713</v>
      </c>
      <c r="C515" s="6" t="s">
        <v>5634</v>
      </c>
      <c r="D515" s="6" t="s">
        <v>5635</v>
      </c>
    </row>
    <row r="516" spans="1:4" x14ac:dyDescent="0.35">
      <c r="A516" s="6" t="s">
        <v>1846</v>
      </c>
      <c r="B516" s="6" t="s">
        <v>4716</v>
      </c>
      <c r="C516" s="6" t="s">
        <v>5636</v>
      </c>
      <c r="D516" s="6" t="s">
        <v>5637</v>
      </c>
    </row>
    <row r="517" spans="1:4" x14ac:dyDescent="0.35">
      <c r="A517" s="6" t="s">
        <v>1845</v>
      </c>
      <c r="B517" s="6" t="s">
        <v>4716</v>
      </c>
      <c r="C517" s="6" t="s">
        <v>5638</v>
      </c>
      <c r="D517" s="6" t="s">
        <v>4843</v>
      </c>
    </row>
    <row r="518" spans="1:4" x14ac:dyDescent="0.35">
      <c r="A518" s="6" t="s">
        <v>1844</v>
      </c>
      <c r="B518" s="6" t="s">
        <v>4713</v>
      </c>
      <c r="C518" s="6" t="s">
        <v>5639</v>
      </c>
      <c r="D518" s="6" t="s">
        <v>4924</v>
      </c>
    </row>
    <row r="519" spans="1:4" x14ac:dyDescent="0.35">
      <c r="A519" s="6" t="s">
        <v>1843</v>
      </c>
      <c r="B519" s="6" t="s">
        <v>4713</v>
      </c>
      <c r="C519" s="6" t="s">
        <v>5640</v>
      </c>
      <c r="D519" s="6" t="s">
        <v>5610</v>
      </c>
    </row>
    <row r="520" spans="1:4" x14ac:dyDescent="0.35">
      <c r="A520" s="6" t="s">
        <v>1842</v>
      </c>
      <c r="B520" s="6" t="s">
        <v>4716</v>
      </c>
      <c r="C520" s="6" t="s">
        <v>5641</v>
      </c>
      <c r="D520" s="6" t="s">
        <v>5449</v>
      </c>
    </row>
    <row r="521" spans="1:4" x14ac:dyDescent="0.35">
      <c r="A521" s="6" t="s">
        <v>1841</v>
      </c>
      <c r="B521" s="6" t="s">
        <v>4713</v>
      </c>
      <c r="C521" s="6" t="s">
        <v>5642</v>
      </c>
      <c r="D521" s="6" t="s">
        <v>5643</v>
      </c>
    </row>
    <row r="522" spans="1:4" x14ac:dyDescent="0.35">
      <c r="A522" s="6" t="s">
        <v>1840</v>
      </c>
      <c r="B522" s="6" t="s">
        <v>4716</v>
      </c>
      <c r="C522" s="6" t="s">
        <v>5644</v>
      </c>
      <c r="D522" s="6" t="s">
        <v>5645</v>
      </c>
    </row>
    <row r="523" spans="1:4" x14ac:dyDescent="0.35">
      <c r="A523" s="6" t="s">
        <v>1839</v>
      </c>
      <c r="B523" s="6" t="s">
        <v>4716</v>
      </c>
      <c r="C523" s="6" t="s">
        <v>5646</v>
      </c>
      <c r="D523" s="6" t="s">
        <v>4766</v>
      </c>
    </row>
    <row r="524" spans="1:4" x14ac:dyDescent="0.35">
      <c r="A524" s="6" t="s">
        <v>1838</v>
      </c>
      <c r="B524" s="6" t="s">
        <v>4713</v>
      </c>
      <c r="C524" s="6" t="s">
        <v>5647</v>
      </c>
      <c r="D524" s="6" t="s">
        <v>5648</v>
      </c>
    </row>
    <row r="525" spans="1:4" x14ac:dyDescent="0.35">
      <c r="A525" s="6" t="s">
        <v>1837</v>
      </c>
      <c r="B525" s="6" t="s">
        <v>5590</v>
      </c>
      <c r="C525" s="6" t="s">
        <v>5649</v>
      </c>
      <c r="D525" s="6" t="s">
        <v>5650</v>
      </c>
    </row>
    <row r="526" spans="1:4" x14ac:dyDescent="0.35">
      <c r="A526" s="6" t="s">
        <v>1836</v>
      </c>
      <c r="B526" s="6" t="s">
        <v>4713</v>
      </c>
      <c r="C526" s="6" t="s">
        <v>5651</v>
      </c>
      <c r="D526" s="6" t="s">
        <v>5652</v>
      </c>
    </row>
    <row r="527" spans="1:4" x14ac:dyDescent="0.35">
      <c r="A527" s="6" t="s">
        <v>1835</v>
      </c>
      <c r="B527" s="6" t="s">
        <v>4713</v>
      </c>
      <c r="C527" s="6" t="s">
        <v>5653</v>
      </c>
      <c r="D527" s="6" t="s">
        <v>5076</v>
      </c>
    </row>
    <row r="528" spans="1:4" x14ac:dyDescent="0.35">
      <c r="A528" s="6" t="s">
        <v>1834</v>
      </c>
      <c r="B528" s="6" t="s">
        <v>5590</v>
      </c>
      <c r="C528" s="6" t="s">
        <v>5654</v>
      </c>
      <c r="D528" s="6" t="s">
        <v>5655</v>
      </c>
    </row>
    <row r="529" spans="1:4" x14ac:dyDescent="0.35">
      <c r="A529" s="6" t="s">
        <v>1833</v>
      </c>
      <c r="B529" s="6" t="s">
        <v>4713</v>
      </c>
      <c r="C529" s="6" t="s">
        <v>5656</v>
      </c>
      <c r="D529" s="6" t="s">
        <v>4826</v>
      </c>
    </row>
    <row r="530" spans="1:4" x14ac:dyDescent="0.35">
      <c r="A530" s="6" t="s">
        <v>1832</v>
      </c>
      <c r="B530" s="6" t="s">
        <v>4716</v>
      </c>
      <c r="C530" s="6" t="s">
        <v>5657</v>
      </c>
      <c r="D530" s="6" t="s">
        <v>5196</v>
      </c>
    </row>
    <row r="531" spans="1:4" x14ac:dyDescent="0.35">
      <c r="A531" s="6" t="s">
        <v>1831</v>
      </c>
      <c r="B531" s="6" t="s">
        <v>4716</v>
      </c>
      <c r="C531" s="6" t="s">
        <v>5658</v>
      </c>
      <c r="D531" s="6" t="s">
        <v>5659</v>
      </c>
    </row>
    <row r="532" spans="1:4" x14ac:dyDescent="0.35">
      <c r="A532" s="6" t="s">
        <v>1830</v>
      </c>
      <c r="B532" s="6" t="s">
        <v>4713</v>
      </c>
      <c r="C532" s="6" t="s">
        <v>5660</v>
      </c>
      <c r="D532" s="6" t="s">
        <v>5661</v>
      </c>
    </row>
    <row r="533" spans="1:4" x14ac:dyDescent="0.35">
      <c r="A533" s="6" t="s">
        <v>1829</v>
      </c>
      <c r="B533" s="6" t="s">
        <v>4716</v>
      </c>
      <c r="C533" s="6" t="s">
        <v>5662</v>
      </c>
      <c r="D533" s="6" t="s">
        <v>4994</v>
      </c>
    </row>
    <row r="534" spans="1:4" x14ac:dyDescent="0.35">
      <c r="A534" s="6" t="s">
        <v>1828</v>
      </c>
      <c r="B534" s="6" t="s">
        <v>4713</v>
      </c>
      <c r="C534" s="6" t="s">
        <v>5663</v>
      </c>
      <c r="D534" s="6" t="s">
        <v>5664</v>
      </c>
    </row>
    <row r="535" spans="1:4" x14ac:dyDescent="0.35">
      <c r="A535" s="6" t="s">
        <v>1827</v>
      </c>
      <c r="B535" s="6" t="s">
        <v>4716</v>
      </c>
      <c r="C535" s="6" t="s">
        <v>5665</v>
      </c>
      <c r="D535" s="6" t="s">
        <v>5625</v>
      </c>
    </row>
    <row r="536" spans="1:4" x14ac:dyDescent="0.35">
      <c r="A536" s="6" t="s">
        <v>1826</v>
      </c>
      <c r="B536" s="6" t="s">
        <v>4713</v>
      </c>
      <c r="C536" s="6" t="s">
        <v>5666</v>
      </c>
      <c r="D536" s="6" t="s">
        <v>5667</v>
      </c>
    </row>
    <row r="537" spans="1:4" x14ac:dyDescent="0.35">
      <c r="A537" s="6" t="s">
        <v>1825</v>
      </c>
      <c r="B537" s="6" t="s">
        <v>4716</v>
      </c>
      <c r="C537" s="6" t="s">
        <v>4848</v>
      </c>
      <c r="D537" s="6" t="s">
        <v>5668</v>
      </c>
    </row>
    <row r="538" spans="1:4" x14ac:dyDescent="0.35">
      <c r="A538" s="6" t="s">
        <v>1824</v>
      </c>
      <c r="B538" s="6" t="s">
        <v>4713</v>
      </c>
      <c r="C538" s="6" t="s">
        <v>5669</v>
      </c>
      <c r="D538" s="6" t="s">
        <v>5670</v>
      </c>
    </row>
    <row r="539" spans="1:4" x14ac:dyDescent="0.35">
      <c r="A539" s="6" t="s">
        <v>1823</v>
      </c>
      <c r="B539" s="6" t="s">
        <v>4713</v>
      </c>
      <c r="C539" s="6" t="s">
        <v>5671</v>
      </c>
      <c r="D539" s="6" t="s">
        <v>5672</v>
      </c>
    </row>
    <row r="540" spans="1:4" x14ac:dyDescent="0.35">
      <c r="A540" s="6" t="s">
        <v>1822</v>
      </c>
      <c r="B540" s="6" t="s">
        <v>4713</v>
      </c>
      <c r="C540" s="6" t="s">
        <v>5673</v>
      </c>
      <c r="D540" s="6" t="s">
        <v>5661</v>
      </c>
    </row>
    <row r="541" spans="1:4" x14ac:dyDescent="0.35">
      <c r="A541" s="6" t="s">
        <v>1821</v>
      </c>
      <c r="B541" s="6" t="s">
        <v>4716</v>
      </c>
      <c r="C541" s="6" t="s">
        <v>5674</v>
      </c>
      <c r="D541" s="6" t="s">
        <v>4843</v>
      </c>
    </row>
    <row r="542" spans="1:4" x14ac:dyDescent="0.35">
      <c r="A542" s="6" t="s">
        <v>1820</v>
      </c>
      <c r="B542" s="6" t="s">
        <v>4716</v>
      </c>
      <c r="C542" s="6" t="s">
        <v>5675</v>
      </c>
      <c r="D542" s="6" t="s">
        <v>5676</v>
      </c>
    </row>
    <row r="543" spans="1:4" x14ac:dyDescent="0.35">
      <c r="A543" s="6" t="s">
        <v>1819</v>
      </c>
      <c r="B543" s="6" t="s">
        <v>4716</v>
      </c>
      <c r="C543" s="6" t="s">
        <v>5677</v>
      </c>
      <c r="D543" s="6" t="s">
        <v>5678</v>
      </c>
    </row>
    <row r="544" spans="1:4" x14ac:dyDescent="0.35">
      <c r="A544" s="6" t="s">
        <v>1818</v>
      </c>
      <c r="B544" s="6" t="s">
        <v>4713</v>
      </c>
      <c r="C544" s="6" t="s">
        <v>5679</v>
      </c>
      <c r="D544" s="6" t="s">
        <v>5148</v>
      </c>
    </row>
    <row r="545" spans="1:4" x14ac:dyDescent="0.35">
      <c r="A545" s="6" t="s">
        <v>1817</v>
      </c>
      <c r="B545" s="6" t="s">
        <v>4713</v>
      </c>
      <c r="C545" s="6" t="s">
        <v>5680</v>
      </c>
      <c r="D545" s="6" t="s">
        <v>5681</v>
      </c>
    </row>
    <row r="546" spans="1:4" x14ac:dyDescent="0.35">
      <c r="A546" s="6" t="s">
        <v>1816</v>
      </c>
      <c r="B546" s="6" t="s">
        <v>5590</v>
      </c>
      <c r="C546" s="6" t="s">
        <v>5682</v>
      </c>
      <c r="D546" s="6" t="s">
        <v>5683</v>
      </c>
    </row>
    <row r="547" spans="1:4" x14ac:dyDescent="0.35">
      <c r="A547" s="6" t="s">
        <v>1815</v>
      </c>
      <c r="B547" s="6" t="s">
        <v>4716</v>
      </c>
      <c r="C547" s="6" t="s">
        <v>5684</v>
      </c>
      <c r="D547" s="6" t="s">
        <v>5408</v>
      </c>
    </row>
    <row r="548" spans="1:4" x14ac:dyDescent="0.35">
      <c r="A548" s="6" t="s">
        <v>1814</v>
      </c>
      <c r="B548" s="6" t="s">
        <v>4713</v>
      </c>
      <c r="C548" s="6" t="s">
        <v>5685</v>
      </c>
      <c r="D548" s="6" t="s">
        <v>5686</v>
      </c>
    </row>
    <row r="549" spans="1:4" x14ac:dyDescent="0.35">
      <c r="A549" s="6" t="s">
        <v>1813</v>
      </c>
      <c r="B549" s="6" t="s">
        <v>4716</v>
      </c>
      <c r="C549" s="6" t="s">
        <v>5687</v>
      </c>
      <c r="D549" s="6" t="s">
        <v>5688</v>
      </c>
    </row>
    <row r="550" spans="1:4" x14ac:dyDescent="0.35">
      <c r="A550" s="6" t="s">
        <v>1812</v>
      </c>
      <c r="B550" s="6" t="s">
        <v>4716</v>
      </c>
      <c r="C550" s="6" t="s">
        <v>5689</v>
      </c>
      <c r="D550" s="6" t="s">
        <v>5690</v>
      </c>
    </row>
    <row r="551" spans="1:4" x14ac:dyDescent="0.35">
      <c r="A551" s="6" t="s">
        <v>1811</v>
      </c>
      <c r="B551" s="6" t="s">
        <v>4716</v>
      </c>
      <c r="C551" s="6" t="s">
        <v>5691</v>
      </c>
      <c r="D551" s="6" t="s">
        <v>5692</v>
      </c>
    </row>
    <row r="552" spans="1:4" x14ac:dyDescent="0.35">
      <c r="A552" s="6" t="s">
        <v>1810</v>
      </c>
      <c r="B552" s="6" t="s">
        <v>4713</v>
      </c>
      <c r="C552" s="6" t="s">
        <v>5693</v>
      </c>
      <c r="D552" s="6" t="s">
        <v>5694</v>
      </c>
    </row>
    <row r="553" spans="1:4" x14ac:dyDescent="0.35">
      <c r="A553" s="6" t="s">
        <v>1809</v>
      </c>
      <c r="B553" s="6" t="s">
        <v>4716</v>
      </c>
      <c r="C553" s="6" t="s">
        <v>5057</v>
      </c>
      <c r="D553" s="6" t="s">
        <v>5567</v>
      </c>
    </row>
    <row r="554" spans="1:4" x14ac:dyDescent="0.35">
      <c r="A554" s="6" t="s">
        <v>1808</v>
      </c>
      <c r="B554" s="6" t="s">
        <v>4716</v>
      </c>
      <c r="C554" s="6" t="s">
        <v>5695</v>
      </c>
      <c r="D554" s="6" t="s">
        <v>5696</v>
      </c>
    </row>
    <row r="555" spans="1:4" x14ac:dyDescent="0.35">
      <c r="A555" s="6" t="s">
        <v>1807</v>
      </c>
      <c r="B555" s="6" t="s">
        <v>4713</v>
      </c>
      <c r="C555" s="6" t="s">
        <v>5697</v>
      </c>
      <c r="D555" s="6" t="s">
        <v>5698</v>
      </c>
    </row>
    <row r="556" spans="1:4" x14ac:dyDescent="0.35">
      <c r="A556" s="6" t="s">
        <v>1806</v>
      </c>
      <c r="B556" s="6" t="s">
        <v>4716</v>
      </c>
      <c r="C556" s="6" t="s">
        <v>5699</v>
      </c>
      <c r="D556" s="6" t="s">
        <v>4908</v>
      </c>
    </row>
    <row r="557" spans="1:4" x14ac:dyDescent="0.35">
      <c r="A557" s="6" t="s">
        <v>1805</v>
      </c>
      <c r="B557" s="6" t="s">
        <v>4716</v>
      </c>
      <c r="C557" s="6" t="s">
        <v>5700</v>
      </c>
      <c r="D557" s="6" t="s">
        <v>5701</v>
      </c>
    </row>
    <row r="558" spans="1:4" x14ac:dyDescent="0.35">
      <c r="A558" s="6" t="s">
        <v>1804</v>
      </c>
      <c r="B558" s="6" t="s">
        <v>4713</v>
      </c>
      <c r="C558" s="6" t="s">
        <v>5702</v>
      </c>
      <c r="D558" s="6" t="s">
        <v>5703</v>
      </c>
    </row>
    <row r="559" spans="1:4" x14ac:dyDescent="0.35">
      <c r="A559" s="6" t="s">
        <v>1803</v>
      </c>
      <c r="B559" s="6" t="s">
        <v>4716</v>
      </c>
      <c r="C559" s="6" t="s">
        <v>5704</v>
      </c>
      <c r="D559" s="6" t="s">
        <v>4895</v>
      </c>
    </row>
    <row r="560" spans="1:4" x14ac:dyDescent="0.35">
      <c r="A560" s="6" t="s">
        <v>1802</v>
      </c>
      <c r="B560" s="6" t="s">
        <v>4713</v>
      </c>
      <c r="C560" s="6" t="s">
        <v>5705</v>
      </c>
      <c r="D560" s="6" t="s">
        <v>5706</v>
      </c>
    </row>
    <row r="561" spans="1:4" x14ac:dyDescent="0.35">
      <c r="A561" s="6" t="s">
        <v>1801</v>
      </c>
      <c r="B561" s="6" t="s">
        <v>4716</v>
      </c>
      <c r="C561" s="6" t="s">
        <v>5707</v>
      </c>
      <c r="D561" s="6" t="s">
        <v>5708</v>
      </c>
    </row>
    <row r="562" spans="1:4" x14ac:dyDescent="0.35">
      <c r="A562" s="6" t="s">
        <v>1800</v>
      </c>
      <c r="B562" s="6" t="s">
        <v>4713</v>
      </c>
      <c r="C562" s="6" t="s">
        <v>5709</v>
      </c>
      <c r="D562" s="6" t="s">
        <v>5710</v>
      </c>
    </row>
    <row r="563" spans="1:4" x14ac:dyDescent="0.35">
      <c r="A563" s="6" t="s">
        <v>1799</v>
      </c>
      <c r="B563" s="6" t="s">
        <v>4716</v>
      </c>
      <c r="C563" s="6" t="s">
        <v>5711</v>
      </c>
      <c r="D563" s="6" t="s">
        <v>5712</v>
      </c>
    </row>
    <row r="564" spans="1:4" x14ac:dyDescent="0.35">
      <c r="A564" s="6" t="s">
        <v>1798</v>
      </c>
      <c r="B564" s="6" t="s">
        <v>4716</v>
      </c>
      <c r="C564" s="6" t="s">
        <v>5713</v>
      </c>
      <c r="D564" s="6" t="s">
        <v>5714</v>
      </c>
    </row>
    <row r="565" spans="1:4" x14ac:dyDescent="0.35">
      <c r="A565" s="6" t="s">
        <v>1797</v>
      </c>
      <c r="B565" s="6" t="s">
        <v>4713</v>
      </c>
      <c r="C565" s="6" t="s">
        <v>5715</v>
      </c>
      <c r="D565" s="6" t="s">
        <v>5716</v>
      </c>
    </row>
    <row r="566" spans="1:4" x14ac:dyDescent="0.35">
      <c r="A566" s="6" t="s">
        <v>1796</v>
      </c>
      <c r="B566" s="6" t="s">
        <v>5590</v>
      </c>
      <c r="C566" s="6" t="s">
        <v>5717</v>
      </c>
      <c r="D566" s="6" t="s">
        <v>5661</v>
      </c>
    </row>
    <row r="567" spans="1:4" x14ac:dyDescent="0.35">
      <c r="A567" s="6" t="s">
        <v>1795</v>
      </c>
      <c r="B567" s="6" t="s">
        <v>4716</v>
      </c>
      <c r="C567" s="6" t="s">
        <v>5718</v>
      </c>
      <c r="D567" s="6" t="s">
        <v>5719</v>
      </c>
    </row>
    <row r="568" spans="1:4" x14ac:dyDescent="0.35">
      <c r="A568" s="6" t="s">
        <v>1794</v>
      </c>
      <c r="B568" s="6" t="s">
        <v>4713</v>
      </c>
      <c r="C568" s="6" t="s">
        <v>5720</v>
      </c>
      <c r="D568" s="6" t="s">
        <v>5721</v>
      </c>
    </row>
    <row r="569" spans="1:4" x14ac:dyDescent="0.35">
      <c r="A569" s="6" t="s">
        <v>1793</v>
      </c>
      <c r="B569" s="6" t="s">
        <v>4713</v>
      </c>
      <c r="C569" s="6" t="s">
        <v>5722</v>
      </c>
      <c r="D569" s="6" t="s">
        <v>5723</v>
      </c>
    </row>
    <row r="570" spans="1:4" x14ac:dyDescent="0.35">
      <c r="A570" s="6" t="s">
        <v>1792</v>
      </c>
      <c r="B570" s="6" t="s">
        <v>4713</v>
      </c>
      <c r="C570" s="6" t="s">
        <v>5724</v>
      </c>
      <c r="D570" s="6" t="s">
        <v>5725</v>
      </c>
    </row>
    <row r="571" spans="1:4" x14ac:dyDescent="0.35">
      <c r="A571" s="6" t="s">
        <v>1791</v>
      </c>
      <c r="B571" s="6" t="s">
        <v>4716</v>
      </c>
      <c r="C571" s="6" t="s">
        <v>5726</v>
      </c>
      <c r="D571" s="6" t="s">
        <v>5727</v>
      </c>
    </row>
    <row r="572" spans="1:4" x14ac:dyDescent="0.35">
      <c r="A572" s="6" t="s">
        <v>1790</v>
      </c>
      <c r="B572" s="6" t="s">
        <v>4716</v>
      </c>
      <c r="C572" s="6" t="s">
        <v>5728</v>
      </c>
      <c r="D572" s="6" t="s">
        <v>5729</v>
      </c>
    </row>
    <row r="573" spans="1:4" x14ac:dyDescent="0.35">
      <c r="A573" s="6" t="s">
        <v>1789</v>
      </c>
      <c r="B573" s="6" t="s">
        <v>4716</v>
      </c>
      <c r="C573" s="6" t="s">
        <v>5730</v>
      </c>
      <c r="D573" s="6" t="s">
        <v>5098</v>
      </c>
    </row>
    <row r="574" spans="1:4" x14ac:dyDescent="0.35">
      <c r="A574" s="6" t="s">
        <v>1788</v>
      </c>
      <c r="B574" s="6" t="s">
        <v>5590</v>
      </c>
      <c r="C574" s="6" t="s">
        <v>5731</v>
      </c>
      <c r="D574" s="6" t="s">
        <v>5732</v>
      </c>
    </row>
    <row r="575" spans="1:4" x14ac:dyDescent="0.35">
      <c r="A575" s="6" t="s">
        <v>1787</v>
      </c>
      <c r="B575" s="6" t="s">
        <v>4716</v>
      </c>
      <c r="C575" s="6" t="s">
        <v>5733</v>
      </c>
      <c r="D575" s="6" t="s">
        <v>5734</v>
      </c>
    </row>
    <row r="576" spans="1:4" x14ac:dyDescent="0.35">
      <c r="A576" s="6" t="s">
        <v>1786</v>
      </c>
      <c r="B576" s="6" t="s">
        <v>4716</v>
      </c>
      <c r="C576" s="6" t="s">
        <v>5735</v>
      </c>
      <c r="D576" s="6" t="s">
        <v>5736</v>
      </c>
    </row>
    <row r="577" spans="1:4" x14ac:dyDescent="0.35">
      <c r="A577" s="6" t="s">
        <v>1785</v>
      </c>
      <c r="B577" s="6" t="s">
        <v>4713</v>
      </c>
      <c r="C577" s="6" t="s">
        <v>5737</v>
      </c>
      <c r="D577" s="6" t="s">
        <v>5738</v>
      </c>
    </row>
    <row r="578" spans="1:4" x14ac:dyDescent="0.35">
      <c r="A578" s="6" t="s">
        <v>1784</v>
      </c>
      <c r="B578" s="6" t="s">
        <v>5590</v>
      </c>
      <c r="C578" s="6" t="s">
        <v>5739</v>
      </c>
      <c r="D578" s="6" t="s">
        <v>4950</v>
      </c>
    </row>
    <row r="579" spans="1:4" x14ac:dyDescent="0.35">
      <c r="A579" s="6" t="s">
        <v>1783</v>
      </c>
      <c r="B579" s="6" t="s">
        <v>4716</v>
      </c>
      <c r="C579" s="6" t="s">
        <v>5740</v>
      </c>
      <c r="D579" s="6" t="s">
        <v>5741</v>
      </c>
    </row>
    <row r="580" spans="1:4" x14ac:dyDescent="0.35">
      <c r="A580" s="6" t="s">
        <v>1782</v>
      </c>
      <c r="B580" s="6" t="s">
        <v>4713</v>
      </c>
      <c r="C580" s="6" t="s">
        <v>5742</v>
      </c>
      <c r="D580" s="6" t="s">
        <v>5743</v>
      </c>
    </row>
    <row r="581" spans="1:4" x14ac:dyDescent="0.35">
      <c r="A581" s="6" t="s">
        <v>1781</v>
      </c>
      <c r="B581" s="6" t="s">
        <v>4713</v>
      </c>
      <c r="C581" s="6" t="s">
        <v>5744</v>
      </c>
      <c r="D581" s="6" t="s">
        <v>5745</v>
      </c>
    </row>
    <row r="582" spans="1:4" x14ac:dyDescent="0.35">
      <c r="A582" s="6" t="s">
        <v>1780</v>
      </c>
      <c r="B582" s="6" t="s">
        <v>4716</v>
      </c>
      <c r="C582" s="6" t="s">
        <v>5746</v>
      </c>
      <c r="D582" s="6" t="s">
        <v>5747</v>
      </c>
    </row>
    <row r="583" spans="1:4" x14ac:dyDescent="0.35">
      <c r="A583" s="6" t="s">
        <v>1779</v>
      </c>
      <c r="B583" s="6" t="s">
        <v>4716</v>
      </c>
      <c r="C583" s="6" t="s">
        <v>5748</v>
      </c>
      <c r="D583" s="6" t="s">
        <v>4720</v>
      </c>
    </row>
    <row r="584" spans="1:4" x14ac:dyDescent="0.35">
      <c r="A584" s="6" t="s">
        <v>1778</v>
      </c>
      <c r="B584" s="6" t="s">
        <v>4713</v>
      </c>
      <c r="C584" s="6" t="s">
        <v>5749</v>
      </c>
      <c r="D584" s="6" t="s">
        <v>5750</v>
      </c>
    </row>
    <row r="585" spans="1:4" x14ac:dyDescent="0.35">
      <c r="A585" s="6" t="s">
        <v>1777</v>
      </c>
      <c r="B585" s="6" t="s">
        <v>4716</v>
      </c>
      <c r="C585" s="6" t="s">
        <v>5751</v>
      </c>
      <c r="D585" s="6" t="s">
        <v>5471</v>
      </c>
    </row>
    <row r="586" spans="1:4" x14ac:dyDescent="0.35">
      <c r="A586" s="6" t="s">
        <v>1776</v>
      </c>
      <c r="B586" s="6" t="s">
        <v>4713</v>
      </c>
      <c r="C586" s="6" t="s">
        <v>5752</v>
      </c>
      <c r="D586" s="6" t="s">
        <v>5753</v>
      </c>
    </row>
    <row r="587" spans="1:4" x14ac:dyDescent="0.35">
      <c r="A587" s="6" t="s">
        <v>1775</v>
      </c>
      <c r="B587" s="6" t="s">
        <v>4713</v>
      </c>
      <c r="C587" s="6" t="s">
        <v>5754</v>
      </c>
      <c r="D587" s="6" t="s">
        <v>5387</v>
      </c>
    </row>
    <row r="588" spans="1:4" x14ac:dyDescent="0.35">
      <c r="A588" s="6" t="s">
        <v>1774</v>
      </c>
      <c r="B588" s="6" t="s">
        <v>4713</v>
      </c>
      <c r="C588" s="6" t="s">
        <v>5755</v>
      </c>
      <c r="D588" s="6" t="s">
        <v>5756</v>
      </c>
    </row>
    <row r="589" spans="1:4" x14ac:dyDescent="0.35">
      <c r="A589" s="6" t="s">
        <v>1773</v>
      </c>
      <c r="B589" s="6" t="s">
        <v>4713</v>
      </c>
      <c r="C589" s="6" t="s">
        <v>5757</v>
      </c>
      <c r="D589" s="6" t="s">
        <v>5758</v>
      </c>
    </row>
    <row r="590" spans="1:4" x14ac:dyDescent="0.35">
      <c r="A590" s="6" t="s">
        <v>1772</v>
      </c>
      <c r="B590" s="6" t="s">
        <v>5590</v>
      </c>
      <c r="C590" s="6" t="s">
        <v>4866</v>
      </c>
      <c r="D590" s="6" t="s">
        <v>5759</v>
      </c>
    </row>
    <row r="591" spans="1:4" x14ac:dyDescent="0.35">
      <c r="A591" s="6" t="s">
        <v>1771</v>
      </c>
      <c r="B591" s="6" t="s">
        <v>4713</v>
      </c>
      <c r="C591" s="6" t="s">
        <v>5760</v>
      </c>
      <c r="D591" s="6" t="s">
        <v>5761</v>
      </c>
    </row>
    <row r="592" spans="1:4" x14ac:dyDescent="0.35">
      <c r="A592" s="6" t="s">
        <v>1770</v>
      </c>
      <c r="B592" s="6" t="s">
        <v>4716</v>
      </c>
      <c r="C592" s="6" t="s">
        <v>5762</v>
      </c>
      <c r="D592" s="6" t="s">
        <v>5202</v>
      </c>
    </row>
    <row r="593" spans="1:4" x14ac:dyDescent="0.35">
      <c r="A593" s="6" t="s">
        <v>1769</v>
      </c>
      <c r="B593" s="6" t="s">
        <v>4713</v>
      </c>
      <c r="C593" s="6" t="s">
        <v>4844</v>
      </c>
      <c r="D593" s="6" t="s">
        <v>5763</v>
      </c>
    </row>
    <row r="594" spans="1:4" x14ac:dyDescent="0.35">
      <c r="A594" s="6" t="s">
        <v>1768</v>
      </c>
      <c r="B594" s="6" t="s">
        <v>4713</v>
      </c>
      <c r="C594" s="6" t="s">
        <v>5764</v>
      </c>
      <c r="D594" s="6" t="s">
        <v>5765</v>
      </c>
    </row>
    <row r="595" spans="1:4" x14ac:dyDescent="0.35">
      <c r="A595" s="6" t="s">
        <v>1767</v>
      </c>
      <c r="B595" s="6" t="s">
        <v>5590</v>
      </c>
      <c r="C595" s="6" t="s">
        <v>5766</v>
      </c>
      <c r="D595" s="6" t="s">
        <v>5767</v>
      </c>
    </row>
    <row r="596" spans="1:4" x14ac:dyDescent="0.35">
      <c r="A596" s="6" t="s">
        <v>1766</v>
      </c>
      <c r="B596" s="6" t="s">
        <v>4713</v>
      </c>
      <c r="C596" s="6" t="s">
        <v>5768</v>
      </c>
      <c r="D596" s="6" t="s">
        <v>5769</v>
      </c>
    </row>
    <row r="597" spans="1:4" x14ac:dyDescent="0.35">
      <c r="A597" s="6" t="s">
        <v>1765</v>
      </c>
      <c r="B597" s="6" t="s">
        <v>4716</v>
      </c>
      <c r="C597" s="6" t="s">
        <v>5770</v>
      </c>
      <c r="D597" s="6" t="s">
        <v>5771</v>
      </c>
    </row>
    <row r="598" spans="1:4" x14ac:dyDescent="0.35">
      <c r="A598" s="6" t="s">
        <v>1764</v>
      </c>
      <c r="B598" s="6" t="s">
        <v>4716</v>
      </c>
      <c r="C598" s="6" t="s">
        <v>5772</v>
      </c>
      <c r="D598" s="6" t="s">
        <v>5773</v>
      </c>
    </row>
    <row r="599" spans="1:4" x14ac:dyDescent="0.35">
      <c r="A599" s="6" t="s">
        <v>1763</v>
      </c>
      <c r="B599" s="6" t="s">
        <v>4713</v>
      </c>
      <c r="C599" s="6" t="s">
        <v>5774</v>
      </c>
      <c r="D599" s="6" t="s">
        <v>5775</v>
      </c>
    </row>
    <row r="600" spans="1:4" x14ac:dyDescent="0.35">
      <c r="A600" s="6" t="s">
        <v>1762</v>
      </c>
      <c r="B600" s="6" t="s">
        <v>4713</v>
      </c>
      <c r="C600" s="6" t="s">
        <v>5776</v>
      </c>
      <c r="D600" s="6" t="s">
        <v>5777</v>
      </c>
    </row>
    <row r="601" spans="1:4" x14ac:dyDescent="0.35">
      <c r="A601" s="6" t="s">
        <v>1761</v>
      </c>
      <c r="B601" s="6" t="s">
        <v>4716</v>
      </c>
      <c r="C601" s="6" t="s">
        <v>5778</v>
      </c>
      <c r="D601" s="6" t="s">
        <v>5779</v>
      </c>
    </row>
    <row r="602" spans="1:4" x14ac:dyDescent="0.35">
      <c r="A602" s="6" t="s">
        <v>1760</v>
      </c>
      <c r="B602" s="6" t="s">
        <v>4713</v>
      </c>
      <c r="C602" s="6" t="s">
        <v>5780</v>
      </c>
      <c r="D602" s="6" t="s">
        <v>5781</v>
      </c>
    </row>
    <row r="603" spans="1:4" x14ac:dyDescent="0.35">
      <c r="A603" s="6" t="s">
        <v>1759</v>
      </c>
      <c r="B603" s="6" t="s">
        <v>5590</v>
      </c>
      <c r="C603" s="6" t="s">
        <v>5782</v>
      </c>
      <c r="D603" s="6" t="s">
        <v>5084</v>
      </c>
    </row>
    <row r="604" spans="1:4" x14ac:dyDescent="0.35">
      <c r="A604" s="6" t="s">
        <v>1758</v>
      </c>
      <c r="B604" s="6" t="s">
        <v>5590</v>
      </c>
      <c r="C604" s="6" t="s">
        <v>5783</v>
      </c>
      <c r="D604" s="6" t="s">
        <v>5784</v>
      </c>
    </row>
    <row r="605" spans="1:4" x14ac:dyDescent="0.35">
      <c r="A605" s="6" t="s">
        <v>1757</v>
      </c>
      <c r="B605" s="6" t="s">
        <v>4716</v>
      </c>
      <c r="C605" s="6" t="s">
        <v>5785</v>
      </c>
      <c r="D605" s="6" t="s">
        <v>5747</v>
      </c>
    </row>
    <row r="606" spans="1:4" x14ac:dyDescent="0.35">
      <c r="A606" s="6" t="s">
        <v>1756</v>
      </c>
      <c r="B606" s="6" t="s">
        <v>4716</v>
      </c>
      <c r="C606" s="6" t="s">
        <v>4936</v>
      </c>
      <c r="D606" s="6" t="s">
        <v>5786</v>
      </c>
    </row>
    <row r="607" spans="1:4" x14ac:dyDescent="0.35">
      <c r="A607" s="6" t="s">
        <v>1755</v>
      </c>
      <c r="B607" s="6" t="s">
        <v>4716</v>
      </c>
      <c r="C607" s="6" t="s">
        <v>5787</v>
      </c>
      <c r="D607" s="6" t="s">
        <v>5788</v>
      </c>
    </row>
    <row r="608" spans="1:4" x14ac:dyDescent="0.35">
      <c r="A608" s="6" t="s">
        <v>1754</v>
      </c>
      <c r="B608" s="6" t="s">
        <v>4716</v>
      </c>
      <c r="C608" s="6" t="s">
        <v>5789</v>
      </c>
      <c r="D608" s="6" t="s">
        <v>5790</v>
      </c>
    </row>
    <row r="609" spans="1:4" x14ac:dyDescent="0.35">
      <c r="A609" s="6" t="s">
        <v>1753</v>
      </c>
      <c r="B609" s="6" t="s">
        <v>4716</v>
      </c>
      <c r="C609" s="6" t="s">
        <v>5791</v>
      </c>
      <c r="D609" s="6" t="s">
        <v>5792</v>
      </c>
    </row>
    <row r="610" spans="1:4" x14ac:dyDescent="0.35">
      <c r="A610" s="6" t="s">
        <v>1752</v>
      </c>
      <c r="B610" s="6" t="s">
        <v>4716</v>
      </c>
      <c r="C610" s="6" t="s">
        <v>5793</v>
      </c>
      <c r="D610" s="6" t="s">
        <v>5794</v>
      </c>
    </row>
    <row r="611" spans="1:4" x14ac:dyDescent="0.35">
      <c r="A611" s="6" t="s">
        <v>1751</v>
      </c>
      <c r="B611" s="6" t="s">
        <v>5590</v>
      </c>
      <c r="C611" s="6" t="s">
        <v>5795</v>
      </c>
      <c r="D611" s="6" t="s">
        <v>5796</v>
      </c>
    </row>
    <row r="612" spans="1:4" x14ac:dyDescent="0.35">
      <c r="A612" s="6" t="s">
        <v>1750</v>
      </c>
      <c r="B612" s="6" t="s">
        <v>4716</v>
      </c>
      <c r="C612" s="6" t="s">
        <v>5797</v>
      </c>
      <c r="D612" s="6" t="s">
        <v>5798</v>
      </c>
    </row>
    <row r="613" spans="1:4" x14ac:dyDescent="0.35">
      <c r="A613" s="6" t="s">
        <v>1749</v>
      </c>
      <c r="B613" s="6" t="s">
        <v>4713</v>
      </c>
      <c r="C613" s="6" t="s">
        <v>5799</v>
      </c>
      <c r="D613" s="6" t="s">
        <v>5204</v>
      </c>
    </row>
    <row r="614" spans="1:4" x14ac:dyDescent="0.35">
      <c r="A614" s="6" t="s">
        <v>1748</v>
      </c>
      <c r="B614" s="6" t="s">
        <v>4713</v>
      </c>
      <c r="C614" s="6" t="s">
        <v>5800</v>
      </c>
      <c r="D614" s="6" t="s">
        <v>5801</v>
      </c>
    </row>
    <row r="615" spans="1:4" x14ac:dyDescent="0.35">
      <c r="A615" s="6" t="s">
        <v>1747</v>
      </c>
      <c r="B615" s="6" t="s">
        <v>4716</v>
      </c>
      <c r="C615" s="6" t="s">
        <v>5802</v>
      </c>
      <c r="D615" s="6" t="s">
        <v>5803</v>
      </c>
    </row>
    <row r="616" spans="1:4" x14ac:dyDescent="0.35">
      <c r="A616" s="6" t="s">
        <v>1746</v>
      </c>
      <c r="B616" s="6" t="s">
        <v>4713</v>
      </c>
      <c r="C616" s="6" t="s">
        <v>5804</v>
      </c>
      <c r="D616" s="6" t="s">
        <v>5805</v>
      </c>
    </row>
    <row r="617" spans="1:4" x14ac:dyDescent="0.35">
      <c r="A617" s="6" t="s">
        <v>1745</v>
      </c>
      <c r="B617" s="6" t="s">
        <v>4713</v>
      </c>
      <c r="C617" s="6" t="s">
        <v>4850</v>
      </c>
      <c r="D617" s="6" t="s">
        <v>5806</v>
      </c>
    </row>
    <row r="618" spans="1:4" x14ac:dyDescent="0.35">
      <c r="A618" s="6" t="s">
        <v>1744</v>
      </c>
      <c r="B618" s="6" t="s">
        <v>5590</v>
      </c>
      <c r="C618" s="6" t="s">
        <v>5242</v>
      </c>
      <c r="D618" s="6" t="s">
        <v>5076</v>
      </c>
    </row>
    <row r="619" spans="1:4" x14ac:dyDescent="0.35">
      <c r="A619" s="6" t="s">
        <v>1743</v>
      </c>
      <c r="B619" s="6" t="s">
        <v>4713</v>
      </c>
      <c r="C619" s="6" t="s">
        <v>5807</v>
      </c>
      <c r="D619" s="6" t="s">
        <v>5070</v>
      </c>
    </row>
    <row r="620" spans="1:4" x14ac:dyDescent="0.35">
      <c r="A620" s="6" t="s">
        <v>1742</v>
      </c>
      <c r="B620" s="6" t="s">
        <v>4713</v>
      </c>
      <c r="C620" s="6" t="s">
        <v>5808</v>
      </c>
      <c r="D620" s="6" t="s">
        <v>5164</v>
      </c>
    </row>
    <row r="621" spans="1:4" x14ac:dyDescent="0.35">
      <c r="A621" s="6" t="s">
        <v>1741</v>
      </c>
      <c r="B621" s="6" t="s">
        <v>4713</v>
      </c>
      <c r="C621" s="6" t="s">
        <v>5809</v>
      </c>
      <c r="D621" s="6" t="s">
        <v>5810</v>
      </c>
    </row>
    <row r="622" spans="1:4" x14ac:dyDescent="0.35">
      <c r="A622" s="6" t="s">
        <v>1740</v>
      </c>
      <c r="B622" s="6" t="s">
        <v>5590</v>
      </c>
      <c r="C622" s="6" t="s">
        <v>5811</v>
      </c>
      <c r="D622" s="6" t="s">
        <v>5812</v>
      </c>
    </row>
    <row r="623" spans="1:4" x14ac:dyDescent="0.35">
      <c r="A623" s="6" t="s">
        <v>1739</v>
      </c>
      <c r="B623" s="6" t="s">
        <v>4716</v>
      </c>
      <c r="C623" s="6" t="s">
        <v>5813</v>
      </c>
      <c r="D623" s="6" t="s">
        <v>5814</v>
      </c>
    </row>
    <row r="624" spans="1:4" x14ac:dyDescent="0.35">
      <c r="A624" s="6" t="s">
        <v>1738</v>
      </c>
      <c r="B624" s="6" t="s">
        <v>4713</v>
      </c>
      <c r="C624" s="6" t="s">
        <v>5815</v>
      </c>
      <c r="D624" s="6" t="s">
        <v>5816</v>
      </c>
    </row>
    <row r="625" spans="1:4" x14ac:dyDescent="0.35">
      <c r="A625" s="6" t="s">
        <v>1737</v>
      </c>
      <c r="B625" s="6" t="s">
        <v>4716</v>
      </c>
      <c r="C625" s="6" t="s">
        <v>5817</v>
      </c>
      <c r="D625" s="6" t="s">
        <v>5818</v>
      </c>
    </row>
    <row r="626" spans="1:4" x14ac:dyDescent="0.35">
      <c r="A626" s="6" t="s">
        <v>1736</v>
      </c>
      <c r="B626" s="6" t="s">
        <v>4716</v>
      </c>
      <c r="C626" s="6" t="s">
        <v>5819</v>
      </c>
      <c r="D626" s="6" t="s">
        <v>5820</v>
      </c>
    </row>
    <row r="627" spans="1:4" x14ac:dyDescent="0.35">
      <c r="A627" s="6" t="s">
        <v>1735</v>
      </c>
      <c r="B627" s="6" t="s">
        <v>4716</v>
      </c>
      <c r="C627" s="6" t="s">
        <v>5821</v>
      </c>
      <c r="D627" s="6" t="s">
        <v>5822</v>
      </c>
    </row>
    <row r="628" spans="1:4" x14ac:dyDescent="0.35">
      <c r="A628" s="6" t="s">
        <v>1734</v>
      </c>
      <c r="B628" s="6" t="s">
        <v>4716</v>
      </c>
      <c r="C628" s="6" t="s">
        <v>5823</v>
      </c>
      <c r="D628" s="6" t="s">
        <v>5824</v>
      </c>
    </row>
    <row r="629" spans="1:4" x14ac:dyDescent="0.35">
      <c r="A629" s="6" t="s">
        <v>1733</v>
      </c>
      <c r="B629" s="6" t="s">
        <v>5590</v>
      </c>
      <c r="C629" s="6" t="s">
        <v>5825</v>
      </c>
      <c r="D629" s="6" t="s">
        <v>5826</v>
      </c>
    </row>
    <row r="630" spans="1:4" x14ac:dyDescent="0.35">
      <c r="A630" s="6" t="s">
        <v>1732</v>
      </c>
      <c r="B630" s="6" t="s">
        <v>4716</v>
      </c>
      <c r="C630" s="6" t="s">
        <v>5827</v>
      </c>
      <c r="D630" s="6" t="s">
        <v>5828</v>
      </c>
    </row>
    <row r="631" spans="1:4" x14ac:dyDescent="0.35">
      <c r="A631" s="6" t="s">
        <v>1731</v>
      </c>
      <c r="B631" s="6" t="s">
        <v>4713</v>
      </c>
      <c r="C631" s="6" t="s">
        <v>5222</v>
      </c>
      <c r="D631" s="6" t="s">
        <v>5829</v>
      </c>
    </row>
    <row r="632" spans="1:4" x14ac:dyDescent="0.35">
      <c r="A632" s="6" t="s">
        <v>1730</v>
      </c>
      <c r="B632" s="6" t="s">
        <v>5590</v>
      </c>
      <c r="C632" s="6" t="s">
        <v>5830</v>
      </c>
      <c r="D632" s="6" t="s">
        <v>5831</v>
      </c>
    </row>
    <row r="633" spans="1:4" x14ac:dyDescent="0.35">
      <c r="A633" s="6" t="s">
        <v>1729</v>
      </c>
      <c r="B633" s="6" t="s">
        <v>4716</v>
      </c>
      <c r="C633" s="6" t="s">
        <v>5832</v>
      </c>
      <c r="D633" s="6" t="s">
        <v>5136</v>
      </c>
    </row>
    <row r="634" spans="1:4" x14ac:dyDescent="0.35">
      <c r="A634" s="6" t="s">
        <v>1728</v>
      </c>
      <c r="B634" s="6" t="s">
        <v>4716</v>
      </c>
      <c r="C634" s="6" t="s">
        <v>5833</v>
      </c>
      <c r="D634" s="6" t="s">
        <v>5471</v>
      </c>
    </row>
    <row r="635" spans="1:4" x14ac:dyDescent="0.35">
      <c r="A635" s="6" t="s">
        <v>1727</v>
      </c>
      <c r="B635" s="6" t="s">
        <v>5590</v>
      </c>
      <c r="C635" s="6" t="s">
        <v>5834</v>
      </c>
      <c r="D635" s="6" t="s">
        <v>5835</v>
      </c>
    </row>
    <row r="636" spans="1:4" x14ac:dyDescent="0.35">
      <c r="A636" s="6" t="s">
        <v>1726</v>
      </c>
      <c r="B636" s="6" t="s">
        <v>4716</v>
      </c>
      <c r="C636" s="6" t="s">
        <v>5327</v>
      </c>
      <c r="D636" s="6" t="s">
        <v>5836</v>
      </c>
    </row>
    <row r="637" spans="1:4" x14ac:dyDescent="0.35">
      <c r="A637" s="6" t="s">
        <v>1725</v>
      </c>
      <c r="B637" s="6" t="s">
        <v>5590</v>
      </c>
      <c r="C637" s="6" t="s">
        <v>5837</v>
      </c>
      <c r="D637" s="6" t="s">
        <v>5838</v>
      </c>
    </row>
    <row r="638" spans="1:4" x14ac:dyDescent="0.35">
      <c r="A638" s="6" t="s">
        <v>1724</v>
      </c>
      <c r="B638" s="6" t="s">
        <v>4713</v>
      </c>
      <c r="C638" s="6" t="s">
        <v>5839</v>
      </c>
      <c r="D638" s="6" t="s">
        <v>5180</v>
      </c>
    </row>
    <row r="639" spans="1:4" x14ac:dyDescent="0.35">
      <c r="A639" s="6" t="s">
        <v>1723</v>
      </c>
      <c r="B639" s="6" t="s">
        <v>4716</v>
      </c>
      <c r="C639" s="6" t="s">
        <v>5840</v>
      </c>
      <c r="D639" s="6" t="s">
        <v>4952</v>
      </c>
    </row>
    <row r="640" spans="1:4" x14ac:dyDescent="0.35">
      <c r="A640" s="6" t="s">
        <v>1722</v>
      </c>
      <c r="B640" s="6" t="s">
        <v>4713</v>
      </c>
      <c r="C640" s="6" t="s">
        <v>5841</v>
      </c>
      <c r="D640" s="6" t="s">
        <v>5842</v>
      </c>
    </row>
    <row r="641" spans="1:4" x14ac:dyDescent="0.35">
      <c r="A641" s="6" t="s">
        <v>1721</v>
      </c>
      <c r="B641" s="6" t="s">
        <v>5590</v>
      </c>
      <c r="C641" s="6" t="s">
        <v>4721</v>
      </c>
      <c r="D641" s="6" t="s">
        <v>5843</v>
      </c>
    </row>
    <row r="642" spans="1:4" x14ac:dyDescent="0.35">
      <c r="A642" s="6" t="s">
        <v>1720</v>
      </c>
      <c r="B642" s="6" t="s">
        <v>4716</v>
      </c>
      <c r="C642" s="6" t="s">
        <v>5844</v>
      </c>
      <c r="D642" s="6" t="s">
        <v>5845</v>
      </c>
    </row>
    <row r="643" spans="1:4" x14ac:dyDescent="0.35">
      <c r="A643" s="6" t="s">
        <v>1719</v>
      </c>
      <c r="B643" s="6" t="s">
        <v>4713</v>
      </c>
      <c r="C643" s="6" t="s">
        <v>4838</v>
      </c>
      <c r="D643" s="6" t="s">
        <v>5846</v>
      </c>
    </row>
    <row r="644" spans="1:4" x14ac:dyDescent="0.35">
      <c r="A644" s="6" t="s">
        <v>1718</v>
      </c>
      <c r="B644" s="6" t="s">
        <v>4716</v>
      </c>
      <c r="C644" s="6" t="s">
        <v>5847</v>
      </c>
      <c r="D644" s="6" t="s">
        <v>4728</v>
      </c>
    </row>
    <row r="645" spans="1:4" x14ac:dyDescent="0.35">
      <c r="A645" s="6" t="s">
        <v>1717</v>
      </c>
      <c r="B645" s="6" t="s">
        <v>4716</v>
      </c>
      <c r="C645" s="6" t="s">
        <v>5848</v>
      </c>
      <c r="D645" s="6" t="s">
        <v>5849</v>
      </c>
    </row>
    <row r="646" spans="1:4" x14ac:dyDescent="0.35">
      <c r="A646" s="6" t="s">
        <v>1716</v>
      </c>
      <c r="B646" s="6" t="s">
        <v>4713</v>
      </c>
      <c r="C646" s="6" t="s">
        <v>5850</v>
      </c>
      <c r="D646" s="6" t="s">
        <v>5447</v>
      </c>
    </row>
    <row r="647" spans="1:4" x14ac:dyDescent="0.35">
      <c r="A647" s="6" t="s">
        <v>1715</v>
      </c>
      <c r="B647" s="6" t="s">
        <v>4713</v>
      </c>
      <c r="C647" s="6" t="s">
        <v>5851</v>
      </c>
      <c r="D647" s="6" t="s">
        <v>5852</v>
      </c>
    </row>
    <row r="648" spans="1:4" x14ac:dyDescent="0.35">
      <c r="A648" s="6" t="s">
        <v>1714</v>
      </c>
      <c r="B648" s="6" t="s">
        <v>4713</v>
      </c>
      <c r="C648" s="6" t="s">
        <v>5853</v>
      </c>
      <c r="D648" s="6" t="s">
        <v>5854</v>
      </c>
    </row>
    <row r="649" spans="1:4" x14ac:dyDescent="0.35">
      <c r="A649" s="6" t="s">
        <v>1713</v>
      </c>
      <c r="B649" s="6" t="s">
        <v>4716</v>
      </c>
      <c r="C649" s="6" t="s">
        <v>5855</v>
      </c>
      <c r="D649" s="6" t="s">
        <v>5856</v>
      </c>
    </row>
    <row r="650" spans="1:4" x14ac:dyDescent="0.35">
      <c r="A650" s="6" t="s">
        <v>1712</v>
      </c>
      <c r="B650" s="6" t="s">
        <v>4716</v>
      </c>
      <c r="C650" s="6" t="s">
        <v>5857</v>
      </c>
      <c r="D650" s="6" t="s">
        <v>5449</v>
      </c>
    </row>
    <row r="651" spans="1:4" x14ac:dyDescent="0.35">
      <c r="A651" s="6" t="s">
        <v>1711</v>
      </c>
      <c r="B651" s="6" t="s">
        <v>4713</v>
      </c>
      <c r="C651" s="6" t="s">
        <v>5858</v>
      </c>
      <c r="D651" s="6" t="s">
        <v>5859</v>
      </c>
    </row>
    <row r="652" spans="1:4" x14ac:dyDescent="0.35">
      <c r="A652" s="6" t="s">
        <v>1710</v>
      </c>
      <c r="B652" s="6" t="s">
        <v>4716</v>
      </c>
      <c r="C652" s="6" t="s">
        <v>5860</v>
      </c>
      <c r="D652" s="6" t="s">
        <v>4738</v>
      </c>
    </row>
    <row r="653" spans="1:4" x14ac:dyDescent="0.35">
      <c r="A653" s="6" t="s">
        <v>1709</v>
      </c>
      <c r="B653" s="6" t="s">
        <v>4713</v>
      </c>
      <c r="C653" s="6" t="s">
        <v>5861</v>
      </c>
      <c r="D653" s="6" t="s">
        <v>5862</v>
      </c>
    </row>
    <row r="654" spans="1:4" x14ac:dyDescent="0.35">
      <c r="A654" s="6" t="s">
        <v>1708</v>
      </c>
      <c r="B654" s="6" t="s">
        <v>4716</v>
      </c>
      <c r="C654" s="6" t="s">
        <v>5863</v>
      </c>
      <c r="D654" s="6" t="s">
        <v>5864</v>
      </c>
    </row>
    <row r="655" spans="1:4" x14ac:dyDescent="0.35">
      <c r="A655" s="6" t="s">
        <v>1707</v>
      </c>
      <c r="B655" s="6" t="s">
        <v>4716</v>
      </c>
      <c r="C655" s="6" t="s">
        <v>5865</v>
      </c>
      <c r="D655" s="6" t="s">
        <v>4899</v>
      </c>
    </row>
    <row r="656" spans="1:4" x14ac:dyDescent="0.35">
      <c r="A656" s="6" t="s">
        <v>1706</v>
      </c>
      <c r="B656" s="6" t="s">
        <v>4716</v>
      </c>
      <c r="C656" s="6" t="s">
        <v>5866</v>
      </c>
      <c r="D656" s="6" t="s">
        <v>5867</v>
      </c>
    </row>
    <row r="657" spans="1:4" x14ac:dyDescent="0.35">
      <c r="A657" s="6" t="s">
        <v>1705</v>
      </c>
      <c r="B657" s="6" t="s">
        <v>4716</v>
      </c>
      <c r="C657" s="6" t="s">
        <v>5868</v>
      </c>
      <c r="D657" s="6" t="s">
        <v>5869</v>
      </c>
    </row>
    <row r="658" spans="1:4" x14ac:dyDescent="0.35">
      <c r="A658" s="6" t="s">
        <v>1704</v>
      </c>
      <c r="B658" s="6" t="s">
        <v>4713</v>
      </c>
      <c r="C658" s="6" t="s">
        <v>5870</v>
      </c>
      <c r="D658" s="6" t="s">
        <v>5871</v>
      </c>
    </row>
    <row r="659" spans="1:4" x14ac:dyDescent="0.35">
      <c r="A659" s="6" t="s">
        <v>1703</v>
      </c>
      <c r="B659" s="6" t="s">
        <v>4713</v>
      </c>
      <c r="C659" s="6" t="s">
        <v>5872</v>
      </c>
      <c r="D659" s="6" t="s">
        <v>5873</v>
      </c>
    </row>
    <row r="660" spans="1:4" x14ac:dyDescent="0.35">
      <c r="A660" s="6" t="s">
        <v>1702</v>
      </c>
      <c r="B660" s="6" t="s">
        <v>4713</v>
      </c>
      <c r="C660" s="6" t="s">
        <v>5874</v>
      </c>
      <c r="D660" s="6" t="s">
        <v>5875</v>
      </c>
    </row>
    <row r="661" spans="1:4" x14ac:dyDescent="0.35">
      <c r="A661" s="6" t="s">
        <v>1701</v>
      </c>
      <c r="B661" s="6" t="s">
        <v>4713</v>
      </c>
      <c r="C661" s="6" t="s">
        <v>5876</v>
      </c>
      <c r="D661" s="6" t="s">
        <v>5877</v>
      </c>
    </row>
    <row r="662" spans="1:4" x14ac:dyDescent="0.35">
      <c r="A662" s="6" t="s">
        <v>1700</v>
      </c>
      <c r="B662" s="6" t="s">
        <v>4716</v>
      </c>
      <c r="C662" s="6" t="s">
        <v>5878</v>
      </c>
      <c r="D662" s="6" t="s">
        <v>5879</v>
      </c>
    </row>
    <row r="663" spans="1:4" x14ac:dyDescent="0.35">
      <c r="A663" s="6" t="s">
        <v>1699</v>
      </c>
      <c r="B663" s="6" t="s">
        <v>4716</v>
      </c>
      <c r="C663" s="6" t="s">
        <v>5880</v>
      </c>
      <c r="D663" s="6" t="s">
        <v>5881</v>
      </c>
    </row>
    <row r="664" spans="1:4" x14ac:dyDescent="0.35">
      <c r="A664" s="6" t="s">
        <v>1698</v>
      </c>
      <c r="B664" s="6" t="s">
        <v>4716</v>
      </c>
      <c r="C664" s="6" t="s">
        <v>5882</v>
      </c>
      <c r="D664" s="6" t="s">
        <v>5883</v>
      </c>
    </row>
    <row r="665" spans="1:4" x14ac:dyDescent="0.35">
      <c r="A665" s="6" t="s">
        <v>1697</v>
      </c>
      <c r="B665" s="6" t="s">
        <v>4713</v>
      </c>
      <c r="C665" s="6" t="s">
        <v>5884</v>
      </c>
      <c r="D665" s="6" t="s">
        <v>5885</v>
      </c>
    </row>
    <row r="666" spans="1:4" x14ac:dyDescent="0.35">
      <c r="A666" s="6" t="s">
        <v>1696</v>
      </c>
      <c r="B666" s="6" t="s">
        <v>4713</v>
      </c>
      <c r="C666" s="6" t="s">
        <v>5886</v>
      </c>
      <c r="D666" s="6" t="s">
        <v>5887</v>
      </c>
    </row>
    <row r="667" spans="1:4" x14ac:dyDescent="0.35">
      <c r="A667" s="6" t="s">
        <v>1695</v>
      </c>
      <c r="B667" s="6" t="s">
        <v>4716</v>
      </c>
      <c r="C667" s="6" t="s">
        <v>5888</v>
      </c>
      <c r="D667" s="6" t="s">
        <v>5889</v>
      </c>
    </row>
    <row r="668" spans="1:4" x14ac:dyDescent="0.35">
      <c r="A668" s="6" t="s">
        <v>1694</v>
      </c>
      <c r="B668" s="6" t="s">
        <v>5590</v>
      </c>
      <c r="C668" s="6" t="s">
        <v>5890</v>
      </c>
      <c r="D668" s="6" t="s">
        <v>5710</v>
      </c>
    </row>
    <row r="669" spans="1:4" x14ac:dyDescent="0.35">
      <c r="A669" s="6" t="s">
        <v>1693</v>
      </c>
      <c r="B669" s="6" t="s">
        <v>5590</v>
      </c>
      <c r="C669" s="6" t="s">
        <v>5891</v>
      </c>
      <c r="D669" s="6" t="s">
        <v>5892</v>
      </c>
    </row>
    <row r="670" spans="1:4" x14ac:dyDescent="0.35">
      <c r="A670" s="6" t="s">
        <v>1692</v>
      </c>
      <c r="B670" s="6" t="s">
        <v>4716</v>
      </c>
      <c r="C670" s="6" t="s">
        <v>5893</v>
      </c>
      <c r="D670" s="6" t="s">
        <v>5068</v>
      </c>
    </row>
    <row r="671" spans="1:4" x14ac:dyDescent="0.35">
      <c r="A671" s="6" t="s">
        <v>1691</v>
      </c>
      <c r="B671" s="6" t="s">
        <v>5590</v>
      </c>
      <c r="C671" s="6" t="s">
        <v>5388</v>
      </c>
      <c r="D671" s="6" t="s">
        <v>4869</v>
      </c>
    </row>
    <row r="672" spans="1:4" x14ac:dyDescent="0.35">
      <c r="A672" s="6" t="s">
        <v>1690</v>
      </c>
      <c r="B672" s="6" t="s">
        <v>4716</v>
      </c>
      <c r="C672" s="6" t="s">
        <v>5894</v>
      </c>
      <c r="D672" s="6" t="s">
        <v>5895</v>
      </c>
    </row>
    <row r="673" spans="1:4" x14ac:dyDescent="0.35">
      <c r="A673" s="6" t="s">
        <v>1689</v>
      </c>
      <c r="B673" s="6" t="s">
        <v>4713</v>
      </c>
      <c r="C673" s="6" t="s">
        <v>5896</v>
      </c>
      <c r="D673" s="6" t="s">
        <v>5897</v>
      </c>
    </row>
    <row r="674" spans="1:4" x14ac:dyDescent="0.35">
      <c r="A674" s="6" t="s">
        <v>1688</v>
      </c>
      <c r="B674" s="6" t="s">
        <v>4713</v>
      </c>
      <c r="C674" s="6" t="s">
        <v>5898</v>
      </c>
      <c r="D674" s="6" t="s">
        <v>5899</v>
      </c>
    </row>
    <row r="675" spans="1:4" x14ac:dyDescent="0.35">
      <c r="A675" s="6" t="s">
        <v>1687</v>
      </c>
      <c r="B675" s="6" t="s">
        <v>4713</v>
      </c>
      <c r="C675" s="6" t="s">
        <v>5900</v>
      </c>
      <c r="D675" s="6" t="s">
        <v>5901</v>
      </c>
    </row>
    <row r="676" spans="1:4" x14ac:dyDescent="0.35">
      <c r="A676" s="6" t="s">
        <v>1686</v>
      </c>
      <c r="B676" s="6" t="s">
        <v>4713</v>
      </c>
      <c r="C676" s="6" t="s">
        <v>5902</v>
      </c>
      <c r="D676" s="6" t="s">
        <v>5903</v>
      </c>
    </row>
    <row r="677" spans="1:4" x14ac:dyDescent="0.35">
      <c r="A677" s="6" t="s">
        <v>1685</v>
      </c>
      <c r="B677" s="6" t="s">
        <v>4713</v>
      </c>
      <c r="C677" s="6" t="s">
        <v>5904</v>
      </c>
      <c r="D677" s="6" t="s">
        <v>5905</v>
      </c>
    </row>
    <row r="678" spans="1:4" x14ac:dyDescent="0.35">
      <c r="A678" s="6" t="s">
        <v>1684</v>
      </c>
      <c r="B678" s="6" t="s">
        <v>5590</v>
      </c>
      <c r="C678" s="6" t="s">
        <v>5906</v>
      </c>
      <c r="D678" s="6" t="s">
        <v>5907</v>
      </c>
    </row>
    <row r="679" spans="1:4" x14ac:dyDescent="0.35">
      <c r="A679" s="6" t="s">
        <v>1683</v>
      </c>
      <c r="B679" s="6" t="s">
        <v>4713</v>
      </c>
      <c r="C679" s="6" t="s">
        <v>5908</v>
      </c>
      <c r="D679" s="6" t="s">
        <v>5909</v>
      </c>
    </row>
    <row r="680" spans="1:4" x14ac:dyDescent="0.35">
      <c r="A680" s="6" t="s">
        <v>1682</v>
      </c>
      <c r="B680" s="6" t="s">
        <v>4716</v>
      </c>
      <c r="C680" s="6" t="s">
        <v>5910</v>
      </c>
      <c r="D680" s="6" t="s">
        <v>5911</v>
      </c>
    </row>
    <row r="681" spans="1:4" x14ac:dyDescent="0.35">
      <c r="A681" s="6" t="s">
        <v>1681</v>
      </c>
      <c r="B681" s="6" t="s">
        <v>4716</v>
      </c>
      <c r="C681" s="6" t="s">
        <v>5912</v>
      </c>
      <c r="D681" s="6" t="s">
        <v>5444</v>
      </c>
    </row>
    <row r="682" spans="1:4" x14ac:dyDescent="0.35">
      <c r="A682" s="6" t="s">
        <v>1680</v>
      </c>
      <c r="B682" s="6" t="s">
        <v>4713</v>
      </c>
      <c r="C682" s="6" t="s">
        <v>5913</v>
      </c>
      <c r="D682" s="6" t="s">
        <v>5914</v>
      </c>
    </row>
    <row r="683" spans="1:4" x14ac:dyDescent="0.35">
      <c r="A683" s="6" t="s">
        <v>1679</v>
      </c>
      <c r="B683" s="6" t="s">
        <v>5590</v>
      </c>
      <c r="C683" s="6" t="s">
        <v>5915</v>
      </c>
      <c r="D683" s="6" t="s">
        <v>5916</v>
      </c>
    </row>
    <row r="684" spans="1:4" x14ac:dyDescent="0.35">
      <c r="A684" s="6" t="s">
        <v>1678</v>
      </c>
      <c r="B684" s="6" t="s">
        <v>4713</v>
      </c>
      <c r="C684" s="6" t="s">
        <v>5917</v>
      </c>
      <c r="D684" s="6" t="s">
        <v>4903</v>
      </c>
    </row>
    <row r="685" spans="1:4" x14ac:dyDescent="0.35">
      <c r="A685" s="6" t="s">
        <v>1677</v>
      </c>
      <c r="B685" s="6" t="s">
        <v>4713</v>
      </c>
      <c r="C685" s="6" t="s">
        <v>5918</v>
      </c>
      <c r="D685" s="6" t="s">
        <v>5919</v>
      </c>
    </row>
    <row r="686" spans="1:4" x14ac:dyDescent="0.35">
      <c r="A686" s="6" t="s">
        <v>1676</v>
      </c>
      <c r="B686" s="6" t="s">
        <v>4716</v>
      </c>
      <c r="C686" s="6" t="s">
        <v>5920</v>
      </c>
      <c r="D686" s="6" t="s">
        <v>5921</v>
      </c>
    </row>
    <row r="687" spans="1:4" x14ac:dyDescent="0.35">
      <c r="A687" s="6" t="s">
        <v>1675</v>
      </c>
      <c r="B687" s="6" t="s">
        <v>4716</v>
      </c>
      <c r="C687" s="6" t="s">
        <v>5922</v>
      </c>
      <c r="D687" s="6" t="s">
        <v>5923</v>
      </c>
    </row>
    <row r="688" spans="1:4" x14ac:dyDescent="0.35">
      <c r="A688" s="6" t="s">
        <v>1674</v>
      </c>
      <c r="B688" s="6" t="s">
        <v>4713</v>
      </c>
      <c r="C688" s="6" t="s">
        <v>5924</v>
      </c>
      <c r="D688" s="6" t="s">
        <v>5925</v>
      </c>
    </row>
    <row r="689" spans="1:4" x14ac:dyDescent="0.35">
      <c r="A689" s="6" t="s">
        <v>1673</v>
      </c>
      <c r="B689" s="6" t="s">
        <v>4713</v>
      </c>
      <c r="C689" s="6" t="s">
        <v>5926</v>
      </c>
      <c r="D689" s="6" t="s">
        <v>5927</v>
      </c>
    </row>
    <row r="690" spans="1:4" x14ac:dyDescent="0.35">
      <c r="A690" s="6" t="s">
        <v>1672</v>
      </c>
      <c r="B690" s="6" t="s">
        <v>4713</v>
      </c>
      <c r="C690" s="6" t="s">
        <v>5928</v>
      </c>
      <c r="D690" s="6" t="s">
        <v>5929</v>
      </c>
    </row>
    <row r="691" spans="1:4" x14ac:dyDescent="0.35">
      <c r="A691" s="6" t="s">
        <v>1671</v>
      </c>
      <c r="B691" s="6" t="s">
        <v>4713</v>
      </c>
      <c r="C691" s="6" t="s">
        <v>5930</v>
      </c>
      <c r="D691" s="6" t="s">
        <v>5931</v>
      </c>
    </row>
    <row r="692" spans="1:4" x14ac:dyDescent="0.35">
      <c r="A692" s="6" t="s">
        <v>1670</v>
      </c>
      <c r="B692" s="6" t="s">
        <v>4713</v>
      </c>
      <c r="C692" s="6" t="s">
        <v>5932</v>
      </c>
      <c r="D692" s="6" t="s">
        <v>5933</v>
      </c>
    </row>
    <row r="693" spans="1:4" x14ac:dyDescent="0.35">
      <c r="A693" s="6" t="s">
        <v>1669</v>
      </c>
      <c r="B693" s="6" t="s">
        <v>4716</v>
      </c>
      <c r="C693" s="6" t="s">
        <v>5934</v>
      </c>
      <c r="D693" s="6" t="s">
        <v>5935</v>
      </c>
    </row>
    <row r="694" spans="1:4" x14ac:dyDescent="0.35">
      <c r="A694" s="6" t="s">
        <v>1668</v>
      </c>
      <c r="B694" s="6" t="s">
        <v>5590</v>
      </c>
      <c r="C694" s="6" t="s">
        <v>5936</v>
      </c>
      <c r="D694" s="6" t="s">
        <v>5937</v>
      </c>
    </row>
    <row r="695" spans="1:4" x14ac:dyDescent="0.35">
      <c r="A695" s="6" t="s">
        <v>1667</v>
      </c>
      <c r="B695" s="6" t="s">
        <v>4713</v>
      </c>
      <c r="C695" s="6" t="s">
        <v>5938</v>
      </c>
      <c r="D695" s="6" t="s">
        <v>5939</v>
      </c>
    </row>
    <row r="696" spans="1:4" x14ac:dyDescent="0.35">
      <c r="A696" s="6" t="s">
        <v>1666</v>
      </c>
      <c r="B696" s="6" t="s">
        <v>4716</v>
      </c>
      <c r="C696" s="6" t="s">
        <v>5940</v>
      </c>
      <c r="D696" s="6" t="s">
        <v>5941</v>
      </c>
    </row>
    <row r="697" spans="1:4" x14ac:dyDescent="0.35">
      <c r="A697" s="6" t="s">
        <v>1665</v>
      </c>
      <c r="B697" s="6" t="s">
        <v>4716</v>
      </c>
      <c r="C697" s="6" t="s">
        <v>5942</v>
      </c>
      <c r="D697" s="6" t="s">
        <v>5943</v>
      </c>
    </row>
    <row r="698" spans="1:4" x14ac:dyDescent="0.35">
      <c r="A698" s="6" t="s">
        <v>1664</v>
      </c>
      <c r="B698" s="6" t="s">
        <v>4716</v>
      </c>
      <c r="C698" s="6" t="s">
        <v>5944</v>
      </c>
      <c r="D698" s="6" t="s">
        <v>5945</v>
      </c>
    </row>
    <row r="699" spans="1:4" x14ac:dyDescent="0.35">
      <c r="A699" s="6" t="s">
        <v>1663</v>
      </c>
      <c r="B699" s="6" t="s">
        <v>4713</v>
      </c>
      <c r="C699" s="6" t="s">
        <v>5946</v>
      </c>
      <c r="D699" s="6" t="s">
        <v>4875</v>
      </c>
    </row>
    <row r="700" spans="1:4" x14ac:dyDescent="0.35">
      <c r="A700" s="6" t="s">
        <v>1662</v>
      </c>
      <c r="B700" s="6" t="s">
        <v>4713</v>
      </c>
      <c r="C700" s="6" t="s">
        <v>5947</v>
      </c>
      <c r="D700" s="6" t="s">
        <v>5948</v>
      </c>
    </row>
    <row r="701" spans="1:4" x14ac:dyDescent="0.35">
      <c r="A701" s="6" t="s">
        <v>1661</v>
      </c>
      <c r="B701" s="6" t="s">
        <v>4716</v>
      </c>
      <c r="C701" s="6" t="s">
        <v>5949</v>
      </c>
      <c r="D701" s="6" t="s">
        <v>5950</v>
      </c>
    </row>
    <row r="702" spans="1:4" x14ac:dyDescent="0.35">
      <c r="A702" s="6" t="s">
        <v>1660</v>
      </c>
      <c r="B702" s="6" t="s">
        <v>5590</v>
      </c>
      <c r="C702" s="6" t="s">
        <v>5951</v>
      </c>
      <c r="D702" s="6" t="s">
        <v>5952</v>
      </c>
    </row>
    <row r="703" spans="1:4" x14ac:dyDescent="0.35">
      <c r="A703" s="6" t="s">
        <v>1659</v>
      </c>
      <c r="B703" s="6" t="s">
        <v>4716</v>
      </c>
      <c r="C703" s="6" t="s">
        <v>5953</v>
      </c>
      <c r="D703" s="6" t="s">
        <v>5954</v>
      </c>
    </row>
    <row r="704" spans="1:4" x14ac:dyDescent="0.35">
      <c r="A704" s="6" t="s">
        <v>1658</v>
      </c>
      <c r="B704" s="6" t="s">
        <v>4716</v>
      </c>
      <c r="C704" s="6" t="s">
        <v>5955</v>
      </c>
      <c r="D704" s="6" t="s">
        <v>5956</v>
      </c>
    </row>
    <row r="705" spans="1:4" x14ac:dyDescent="0.35">
      <c r="A705" s="6" t="s">
        <v>1657</v>
      </c>
      <c r="B705" s="6" t="s">
        <v>4713</v>
      </c>
      <c r="C705" s="6" t="s">
        <v>5957</v>
      </c>
      <c r="D705" s="6" t="s">
        <v>4863</v>
      </c>
    </row>
    <row r="706" spans="1:4" x14ac:dyDescent="0.35">
      <c r="A706" s="6" t="s">
        <v>1656</v>
      </c>
      <c r="B706" s="6" t="s">
        <v>4713</v>
      </c>
      <c r="C706" s="6" t="s">
        <v>5958</v>
      </c>
      <c r="D706" s="6" t="s">
        <v>5959</v>
      </c>
    </row>
    <row r="707" spans="1:4" x14ac:dyDescent="0.35">
      <c r="A707" s="6" t="s">
        <v>1655</v>
      </c>
      <c r="B707" s="6" t="s">
        <v>4716</v>
      </c>
      <c r="C707" s="6" t="s">
        <v>5960</v>
      </c>
      <c r="D707" s="6" t="s">
        <v>5961</v>
      </c>
    </row>
    <row r="708" spans="1:4" x14ac:dyDescent="0.35">
      <c r="A708" s="6" t="s">
        <v>1654</v>
      </c>
      <c r="B708" s="6" t="s">
        <v>4713</v>
      </c>
      <c r="C708" s="6" t="s">
        <v>5962</v>
      </c>
      <c r="D708" s="6" t="s">
        <v>5490</v>
      </c>
    </row>
    <row r="709" spans="1:4" x14ac:dyDescent="0.35">
      <c r="A709" s="6" t="s">
        <v>1653</v>
      </c>
      <c r="B709" s="6" t="s">
        <v>5590</v>
      </c>
      <c r="C709" s="6" t="s">
        <v>5583</v>
      </c>
      <c r="D709" s="6" t="s">
        <v>5661</v>
      </c>
    </row>
    <row r="710" spans="1:4" x14ac:dyDescent="0.35">
      <c r="A710" s="6" t="s">
        <v>1652</v>
      </c>
      <c r="B710" s="6" t="s">
        <v>5590</v>
      </c>
      <c r="C710" s="6" t="s">
        <v>5963</v>
      </c>
      <c r="D710" s="6" t="s">
        <v>5964</v>
      </c>
    </row>
    <row r="711" spans="1:4" x14ac:dyDescent="0.35">
      <c r="A711" s="6" t="s">
        <v>1651</v>
      </c>
      <c r="B711" s="6" t="s">
        <v>4713</v>
      </c>
      <c r="C711" s="6" t="s">
        <v>5965</v>
      </c>
      <c r="D711" s="6" t="s">
        <v>5966</v>
      </c>
    </row>
    <row r="712" spans="1:4" x14ac:dyDescent="0.35">
      <c r="A712" s="6" t="s">
        <v>1650</v>
      </c>
      <c r="B712" s="6" t="s">
        <v>4713</v>
      </c>
      <c r="C712" s="6" t="s">
        <v>5967</v>
      </c>
      <c r="D712" s="6" t="s">
        <v>5968</v>
      </c>
    </row>
    <row r="713" spans="1:4" x14ac:dyDescent="0.35">
      <c r="A713" s="6" t="s">
        <v>1649</v>
      </c>
      <c r="B713" s="6" t="s">
        <v>4713</v>
      </c>
      <c r="C713" s="6" t="s">
        <v>5969</v>
      </c>
      <c r="D713" s="6" t="s">
        <v>5970</v>
      </c>
    </row>
    <row r="714" spans="1:4" x14ac:dyDescent="0.35">
      <c r="A714" s="6" t="s">
        <v>1648</v>
      </c>
      <c r="B714" s="6" t="s">
        <v>4716</v>
      </c>
      <c r="C714" s="6" t="s">
        <v>5971</v>
      </c>
      <c r="D714" s="6" t="s">
        <v>5972</v>
      </c>
    </row>
    <row r="715" spans="1:4" x14ac:dyDescent="0.35">
      <c r="A715" s="6" t="s">
        <v>1647</v>
      </c>
      <c r="B715" s="6" t="s">
        <v>5590</v>
      </c>
      <c r="C715" s="6" t="s">
        <v>5973</v>
      </c>
      <c r="D715" s="6" t="s">
        <v>5184</v>
      </c>
    </row>
    <row r="716" spans="1:4" x14ac:dyDescent="0.35">
      <c r="A716" s="6" t="s">
        <v>1646</v>
      </c>
      <c r="B716" s="6" t="s">
        <v>5590</v>
      </c>
      <c r="C716" s="6" t="s">
        <v>4838</v>
      </c>
      <c r="D716" s="6" t="s">
        <v>5974</v>
      </c>
    </row>
    <row r="717" spans="1:4" x14ac:dyDescent="0.35">
      <c r="A717" s="6" t="s">
        <v>1645</v>
      </c>
      <c r="B717" s="6" t="s">
        <v>4713</v>
      </c>
      <c r="C717" s="6" t="s">
        <v>5975</v>
      </c>
      <c r="D717" s="6" t="s">
        <v>5976</v>
      </c>
    </row>
    <row r="718" spans="1:4" x14ac:dyDescent="0.35">
      <c r="A718" s="6" t="s">
        <v>1644</v>
      </c>
      <c r="B718" s="6" t="s">
        <v>4713</v>
      </c>
      <c r="C718" s="6" t="s">
        <v>5977</v>
      </c>
      <c r="D718" s="6" t="s">
        <v>5978</v>
      </c>
    </row>
    <row r="719" spans="1:4" x14ac:dyDescent="0.35">
      <c r="A719" s="6" t="s">
        <v>1643</v>
      </c>
      <c r="B719" s="6" t="s">
        <v>4716</v>
      </c>
      <c r="C719" s="6" t="s">
        <v>5979</v>
      </c>
      <c r="D719" s="6" t="s">
        <v>5980</v>
      </c>
    </row>
    <row r="720" spans="1:4" x14ac:dyDescent="0.35">
      <c r="A720" s="6" t="s">
        <v>1642</v>
      </c>
      <c r="B720" s="6" t="s">
        <v>4716</v>
      </c>
      <c r="C720" s="6" t="s">
        <v>5981</v>
      </c>
      <c r="D720" s="6" t="s">
        <v>5982</v>
      </c>
    </row>
    <row r="721" spans="1:4" x14ac:dyDescent="0.35">
      <c r="A721" s="6" t="s">
        <v>1641</v>
      </c>
      <c r="B721" s="6" t="s">
        <v>4716</v>
      </c>
      <c r="C721" s="6" t="s">
        <v>5983</v>
      </c>
      <c r="D721" s="6" t="s">
        <v>5984</v>
      </c>
    </row>
    <row r="722" spans="1:4" x14ac:dyDescent="0.35">
      <c r="A722" s="6" t="s">
        <v>1640</v>
      </c>
      <c r="B722" s="6" t="s">
        <v>4713</v>
      </c>
      <c r="C722" s="6" t="s">
        <v>5985</v>
      </c>
      <c r="D722" s="6" t="s">
        <v>4773</v>
      </c>
    </row>
    <row r="723" spans="1:4" x14ac:dyDescent="0.35">
      <c r="A723" s="6" t="s">
        <v>1639</v>
      </c>
      <c r="B723" s="6" t="s">
        <v>4713</v>
      </c>
      <c r="C723" s="6" t="s">
        <v>5986</v>
      </c>
      <c r="D723" s="6" t="s">
        <v>5467</v>
      </c>
    </row>
    <row r="724" spans="1:4" x14ac:dyDescent="0.35">
      <c r="A724" s="6" t="s">
        <v>1638</v>
      </c>
      <c r="B724" s="6" t="s">
        <v>4713</v>
      </c>
      <c r="C724" s="6" t="s">
        <v>5987</v>
      </c>
      <c r="D724" s="6" t="s">
        <v>5988</v>
      </c>
    </row>
    <row r="725" spans="1:4" x14ac:dyDescent="0.35">
      <c r="A725" s="6" t="s">
        <v>1637</v>
      </c>
      <c r="B725" s="6" t="s">
        <v>5590</v>
      </c>
      <c r="C725" s="6" t="s">
        <v>5989</v>
      </c>
      <c r="D725" s="6" t="s">
        <v>5600</v>
      </c>
    </row>
    <row r="726" spans="1:4" x14ac:dyDescent="0.35">
      <c r="A726" s="6" t="s">
        <v>1636</v>
      </c>
      <c r="B726" s="6" t="s">
        <v>4716</v>
      </c>
      <c r="C726" s="6" t="s">
        <v>5990</v>
      </c>
      <c r="D726" s="6" t="s">
        <v>5991</v>
      </c>
    </row>
    <row r="727" spans="1:4" x14ac:dyDescent="0.35">
      <c r="A727" s="6" t="s">
        <v>1635</v>
      </c>
      <c r="B727" s="6" t="s">
        <v>4716</v>
      </c>
      <c r="C727" s="6" t="s">
        <v>4886</v>
      </c>
      <c r="D727" s="6" t="s">
        <v>5228</v>
      </c>
    </row>
    <row r="728" spans="1:4" x14ac:dyDescent="0.35">
      <c r="A728" s="6" t="s">
        <v>1634</v>
      </c>
      <c r="B728" s="6" t="s">
        <v>4716</v>
      </c>
      <c r="C728" s="6" t="s">
        <v>5992</v>
      </c>
      <c r="D728" s="6" t="s">
        <v>4754</v>
      </c>
    </row>
    <row r="729" spans="1:4" x14ac:dyDescent="0.35">
      <c r="A729" s="6" t="s">
        <v>1633</v>
      </c>
      <c r="B729" s="6" t="s">
        <v>4716</v>
      </c>
      <c r="C729" s="6" t="s">
        <v>5993</v>
      </c>
      <c r="D729" s="6" t="s">
        <v>5994</v>
      </c>
    </row>
    <row r="730" spans="1:4" x14ac:dyDescent="0.35">
      <c r="A730" s="6" t="s">
        <v>1632</v>
      </c>
      <c r="B730" s="6" t="s">
        <v>4716</v>
      </c>
      <c r="C730" s="6" t="s">
        <v>5981</v>
      </c>
      <c r="D730" s="6" t="s">
        <v>5995</v>
      </c>
    </row>
    <row r="731" spans="1:4" x14ac:dyDescent="0.35">
      <c r="A731" s="6" t="s">
        <v>1631</v>
      </c>
      <c r="B731" s="6" t="s">
        <v>4713</v>
      </c>
      <c r="C731" s="6" t="s">
        <v>5996</v>
      </c>
      <c r="D731" s="6" t="s">
        <v>5997</v>
      </c>
    </row>
    <row r="732" spans="1:4" x14ac:dyDescent="0.35">
      <c r="A732" s="6" t="s">
        <v>1630</v>
      </c>
      <c r="B732" s="6" t="s">
        <v>4713</v>
      </c>
      <c r="C732" s="6" t="s">
        <v>5998</v>
      </c>
      <c r="D732" s="6" t="s">
        <v>5058</v>
      </c>
    </row>
    <row r="733" spans="1:4" x14ac:dyDescent="0.35">
      <c r="A733" s="6" t="s">
        <v>1629</v>
      </c>
      <c r="B733" s="6" t="s">
        <v>4716</v>
      </c>
      <c r="C733" s="6" t="s">
        <v>5999</v>
      </c>
      <c r="D733" s="6" t="s">
        <v>6000</v>
      </c>
    </row>
    <row r="734" spans="1:4" x14ac:dyDescent="0.35">
      <c r="A734" s="6" t="s">
        <v>1628</v>
      </c>
      <c r="B734" s="6" t="s">
        <v>4713</v>
      </c>
      <c r="C734" s="6" t="s">
        <v>6001</v>
      </c>
      <c r="D734" s="6" t="s">
        <v>6002</v>
      </c>
    </row>
    <row r="735" spans="1:4" x14ac:dyDescent="0.35">
      <c r="A735" s="6" t="s">
        <v>1627</v>
      </c>
      <c r="B735" s="6" t="s">
        <v>4713</v>
      </c>
      <c r="C735" s="6" t="s">
        <v>4844</v>
      </c>
      <c r="D735" s="6" t="s">
        <v>6003</v>
      </c>
    </row>
    <row r="736" spans="1:4" x14ac:dyDescent="0.35">
      <c r="A736" s="6" t="s">
        <v>1626</v>
      </c>
      <c r="B736" s="6" t="s">
        <v>4713</v>
      </c>
      <c r="C736" s="6" t="s">
        <v>6004</v>
      </c>
      <c r="D736" s="6" t="s">
        <v>6005</v>
      </c>
    </row>
    <row r="737" spans="1:4" x14ac:dyDescent="0.35">
      <c r="A737" s="6" t="s">
        <v>1625</v>
      </c>
      <c r="B737" s="6" t="s">
        <v>4713</v>
      </c>
      <c r="C737" s="6" t="s">
        <v>6006</v>
      </c>
      <c r="D737" s="6" t="s">
        <v>6007</v>
      </c>
    </row>
    <row r="738" spans="1:4" x14ac:dyDescent="0.35">
      <c r="A738" s="6" t="s">
        <v>1624</v>
      </c>
      <c r="B738" s="6" t="s">
        <v>4716</v>
      </c>
      <c r="C738" s="6" t="s">
        <v>6008</v>
      </c>
      <c r="D738" s="6" t="s">
        <v>5276</v>
      </c>
    </row>
    <row r="739" spans="1:4" x14ac:dyDescent="0.35">
      <c r="A739" s="6" t="s">
        <v>1623</v>
      </c>
      <c r="B739" s="6" t="s">
        <v>4716</v>
      </c>
      <c r="C739" s="6" t="s">
        <v>6009</v>
      </c>
      <c r="D739" s="6" t="s">
        <v>6010</v>
      </c>
    </row>
    <row r="740" spans="1:4" x14ac:dyDescent="0.35">
      <c r="A740" s="6" t="s">
        <v>1622</v>
      </c>
      <c r="B740" s="6" t="s">
        <v>4716</v>
      </c>
      <c r="C740" s="6" t="s">
        <v>6011</v>
      </c>
      <c r="D740" s="6" t="s">
        <v>6012</v>
      </c>
    </row>
    <row r="741" spans="1:4" x14ac:dyDescent="0.35">
      <c r="A741" s="6" t="s">
        <v>1621</v>
      </c>
      <c r="B741" s="6" t="s">
        <v>5590</v>
      </c>
      <c r="C741" s="6" t="s">
        <v>6013</v>
      </c>
      <c r="D741" s="6" t="s">
        <v>6014</v>
      </c>
    </row>
    <row r="742" spans="1:4" x14ac:dyDescent="0.35">
      <c r="A742" s="6" t="s">
        <v>1620</v>
      </c>
      <c r="B742" s="6" t="s">
        <v>4716</v>
      </c>
      <c r="C742" s="6" t="s">
        <v>6015</v>
      </c>
      <c r="D742" s="6" t="s">
        <v>5140</v>
      </c>
    </row>
    <row r="743" spans="1:4" x14ac:dyDescent="0.35">
      <c r="A743" s="6" t="s">
        <v>1619</v>
      </c>
      <c r="B743" s="6" t="s">
        <v>4716</v>
      </c>
      <c r="C743" s="6" t="s">
        <v>6016</v>
      </c>
      <c r="D743" s="6" t="s">
        <v>6017</v>
      </c>
    </row>
    <row r="744" spans="1:4" x14ac:dyDescent="0.35">
      <c r="A744" s="6" t="s">
        <v>1618</v>
      </c>
      <c r="B744" s="6" t="s">
        <v>5590</v>
      </c>
      <c r="C744" s="6" t="s">
        <v>6018</v>
      </c>
      <c r="D744" s="6" t="s">
        <v>5536</v>
      </c>
    </row>
    <row r="745" spans="1:4" x14ac:dyDescent="0.35">
      <c r="A745" s="6" t="s">
        <v>1617</v>
      </c>
      <c r="B745" s="6" t="s">
        <v>5590</v>
      </c>
      <c r="C745" s="6" t="s">
        <v>4757</v>
      </c>
      <c r="D745" s="6" t="s">
        <v>6019</v>
      </c>
    </row>
    <row r="746" spans="1:4" x14ac:dyDescent="0.35">
      <c r="A746" s="6" t="s">
        <v>1616</v>
      </c>
      <c r="B746" s="6" t="s">
        <v>4713</v>
      </c>
      <c r="C746" s="6" t="s">
        <v>6020</v>
      </c>
      <c r="D746" s="6" t="s">
        <v>6021</v>
      </c>
    </row>
    <row r="747" spans="1:4" x14ac:dyDescent="0.35">
      <c r="A747" s="6" t="s">
        <v>1615</v>
      </c>
      <c r="B747" s="6" t="s">
        <v>4716</v>
      </c>
      <c r="C747" s="6" t="s">
        <v>6022</v>
      </c>
      <c r="D747" s="6" t="s">
        <v>6023</v>
      </c>
    </row>
    <row r="748" spans="1:4" x14ac:dyDescent="0.35">
      <c r="A748" s="6" t="s">
        <v>1614</v>
      </c>
      <c r="B748" s="6" t="s">
        <v>5590</v>
      </c>
      <c r="C748" s="6" t="s">
        <v>6024</v>
      </c>
      <c r="D748" s="6" t="s">
        <v>6025</v>
      </c>
    </row>
    <row r="749" spans="1:4" x14ac:dyDescent="0.35">
      <c r="A749" s="6" t="s">
        <v>1613</v>
      </c>
      <c r="B749" s="6" t="s">
        <v>4716</v>
      </c>
      <c r="C749" s="6" t="s">
        <v>6026</v>
      </c>
      <c r="D749" s="6" t="s">
        <v>5140</v>
      </c>
    </row>
    <row r="750" spans="1:4" x14ac:dyDescent="0.35">
      <c r="A750" s="6" t="s">
        <v>1612</v>
      </c>
      <c r="B750" s="6" t="s">
        <v>4716</v>
      </c>
      <c r="C750" s="6" t="s">
        <v>6027</v>
      </c>
      <c r="D750" s="6" t="s">
        <v>4843</v>
      </c>
    </row>
    <row r="751" spans="1:4" x14ac:dyDescent="0.35">
      <c r="A751" s="6" t="s">
        <v>1611</v>
      </c>
      <c r="B751" s="6" t="s">
        <v>4713</v>
      </c>
      <c r="C751" s="6" t="s">
        <v>6028</v>
      </c>
      <c r="D751" s="6" t="s">
        <v>4841</v>
      </c>
    </row>
    <row r="752" spans="1:4" x14ac:dyDescent="0.35">
      <c r="A752" s="6" t="s">
        <v>1610</v>
      </c>
      <c r="B752" s="6" t="s">
        <v>4716</v>
      </c>
      <c r="C752" s="6" t="s">
        <v>6029</v>
      </c>
      <c r="D752" s="6" t="s">
        <v>4877</v>
      </c>
    </row>
    <row r="753" spans="1:4" x14ac:dyDescent="0.35">
      <c r="A753" s="6" t="s">
        <v>1609</v>
      </c>
      <c r="B753" s="6" t="s">
        <v>4713</v>
      </c>
      <c r="C753" s="6" t="s">
        <v>6030</v>
      </c>
      <c r="D753" s="6" t="s">
        <v>6031</v>
      </c>
    </row>
    <row r="754" spans="1:4" x14ac:dyDescent="0.35">
      <c r="A754" s="6" t="s">
        <v>1608</v>
      </c>
      <c r="B754" s="6" t="s">
        <v>4713</v>
      </c>
      <c r="C754" s="6" t="s">
        <v>6032</v>
      </c>
      <c r="D754" s="6" t="s">
        <v>6033</v>
      </c>
    </row>
    <row r="755" spans="1:4" x14ac:dyDescent="0.35">
      <c r="A755" s="6" t="s">
        <v>1607</v>
      </c>
      <c r="B755" s="6" t="s">
        <v>4713</v>
      </c>
      <c r="C755" s="6" t="s">
        <v>6034</v>
      </c>
      <c r="D755" s="6" t="s">
        <v>6035</v>
      </c>
    </row>
    <row r="756" spans="1:4" x14ac:dyDescent="0.35">
      <c r="A756" s="6" t="s">
        <v>1606</v>
      </c>
      <c r="B756" s="6" t="s">
        <v>5590</v>
      </c>
      <c r="C756" s="6" t="s">
        <v>6036</v>
      </c>
      <c r="D756" s="6" t="s">
        <v>6037</v>
      </c>
    </row>
    <row r="757" spans="1:4" x14ac:dyDescent="0.35">
      <c r="A757" s="6" t="s">
        <v>1605</v>
      </c>
      <c r="B757" s="6" t="s">
        <v>4716</v>
      </c>
      <c r="C757" s="6" t="s">
        <v>6038</v>
      </c>
      <c r="D757" s="6" t="s">
        <v>6039</v>
      </c>
    </row>
    <row r="758" spans="1:4" x14ac:dyDescent="0.35">
      <c r="A758" s="6" t="s">
        <v>1604</v>
      </c>
      <c r="B758" s="6" t="s">
        <v>4716</v>
      </c>
      <c r="C758" s="6" t="s">
        <v>6040</v>
      </c>
      <c r="D758" s="6" t="s">
        <v>6041</v>
      </c>
    </row>
    <row r="759" spans="1:4" x14ac:dyDescent="0.35">
      <c r="A759" s="6" t="s">
        <v>1603</v>
      </c>
      <c r="B759" s="6" t="s">
        <v>4716</v>
      </c>
      <c r="C759" s="6" t="s">
        <v>6042</v>
      </c>
      <c r="D759" s="6" t="s">
        <v>5049</v>
      </c>
    </row>
    <row r="760" spans="1:4" x14ac:dyDescent="0.35">
      <c r="A760" s="6" t="s">
        <v>1602</v>
      </c>
      <c r="B760" s="6" t="s">
        <v>4716</v>
      </c>
      <c r="C760" s="6" t="s">
        <v>6043</v>
      </c>
      <c r="D760" s="6" t="s">
        <v>6044</v>
      </c>
    </row>
    <row r="761" spans="1:4" x14ac:dyDescent="0.35">
      <c r="A761" s="6" t="s">
        <v>1601</v>
      </c>
      <c r="B761" s="6" t="s">
        <v>4713</v>
      </c>
      <c r="C761" s="6" t="s">
        <v>6045</v>
      </c>
      <c r="D761" s="6" t="s">
        <v>6046</v>
      </c>
    </row>
    <row r="762" spans="1:4" x14ac:dyDescent="0.35">
      <c r="A762" s="6" t="s">
        <v>1600</v>
      </c>
      <c r="B762" s="6" t="s">
        <v>4713</v>
      </c>
      <c r="C762" s="6" t="s">
        <v>6047</v>
      </c>
      <c r="D762" s="6" t="s">
        <v>5600</v>
      </c>
    </row>
    <row r="763" spans="1:4" x14ac:dyDescent="0.35">
      <c r="A763" s="6" t="s">
        <v>1599</v>
      </c>
      <c r="B763" s="6" t="s">
        <v>4716</v>
      </c>
      <c r="C763" s="6" t="s">
        <v>6048</v>
      </c>
      <c r="D763" s="6" t="s">
        <v>5202</v>
      </c>
    </row>
    <row r="764" spans="1:4" x14ac:dyDescent="0.35">
      <c r="A764" s="6" t="s">
        <v>1598</v>
      </c>
      <c r="B764" s="6" t="s">
        <v>4713</v>
      </c>
      <c r="C764" s="6" t="s">
        <v>6049</v>
      </c>
      <c r="D764" s="6" t="s">
        <v>4781</v>
      </c>
    </row>
    <row r="765" spans="1:4" x14ac:dyDescent="0.35">
      <c r="A765" s="6" t="s">
        <v>1597</v>
      </c>
      <c r="B765" s="6" t="s">
        <v>4713</v>
      </c>
      <c r="C765" s="6" t="s">
        <v>6050</v>
      </c>
      <c r="D765" s="6" t="s">
        <v>6051</v>
      </c>
    </row>
    <row r="766" spans="1:4" x14ac:dyDescent="0.35">
      <c r="A766" s="6" t="s">
        <v>1596</v>
      </c>
      <c r="B766" s="6" t="s">
        <v>4713</v>
      </c>
      <c r="C766" s="6" t="s">
        <v>6052</v>
      </c>
      <c r="D766" s="6" t="s">
        <v>6053</v>
      </c>
    </row>
    <row r="767" spans="1:4" x14ac:dyDescent="0.35">
      <c r="A767" s="6" t="s">
        <v>1595</v>
      </c>
      <c r="B767" s="6" t="s">
        <v>4713</v>
      </c>
      <c r="C767" s="6" t="s">
        <v>6054</v>
      </c>
      <c r="D767" s="6" t="s">
        <v>6055</v>
      </c>
    </row>
    <row r="768" spans="1:4" x14ac:dyDescent="0.35">
      <c r="A768" s="6" t="s">
        <v>1594</v>
      </c>
      <c r="B768" s="6" t="s">
        <v>4713</v>
      </c>
      <c r="C768" s="6" t="s">
        <v>6056</v>
      </c>
      <c r="D768" s="6" t="s">
        <v>6057</v>
      </c>
    </row>
    <row r="769" spans="1:4" x14ac:dyDescent="0.35">
      <c r="A769" s="6" t="s">
        <v>1593</v>
      </c>
      <c r="B769" s="6" t="s">
        <v>4713</v>
      </c>
      <c r="C769" s="6" t="s">
        <v>6058</v>
      </c>
      <c r="D769" s="6" t="s">
        <v>6059</v>
      </c>
    </row>
    <row r="770" spans="1:4" x14ac:dyDescent="0.35">
      <c r="A770" s="6" t="s">
        <v>1592</v>
      </c>
      <c r="B770" s="6" t="s">
        <v>4713</v>
      </c>
      <c r="C770" s="6" t="s">
        <v>6060</v>
      </c>
      <c r="D770" s="6" t="s">
        <v>5281</v>
      </c>
    </row>
    <row r="771" spans="1:4" x14ac:dyDescent="0.35">
      <c r="A771" s="6" t="s">
        <v>1591</v>
      </c>
      <c r="B771" s="6" t="s">
        <v>4713</v>
      </c>
      <c r="C771" s="6" t="s">
        <v>6061</v>
      </c>
      <c r="D771" s="6" t="s">
        <v>6062</v>
      </c>
    </row>
    <row r="772" spans="1:4" x14ac:dyDescent="0.35">
      <c r="A772" s="6" t="s">
        <v>1590</v>
      </c>
      <c r="B772" s="6" t="s">
        <v>4716</v>
      </c>
      <c r="C772" s="6" t="s">
        <v>6063</v>
      </c>
      <c r="D772" s="6" t="s">
        <v>4718</v>
      </c>
    </row>
    <row r="773" spans="1:4" x14ac:dyDescent="0.35">
      <c r="A773" s="6" t="s">
        <v>1589</v>
      </c>
      <c r="B773" s="6" t="s">
        <v>4716</v>
      </c>
      <c r="C773" s="6" t="s">
        <v>6064</v>
      </c>
      <c r="D773" s="6" t="s">
        <v>5010</v>
      </c>
    </row>
    <row r="774" spans="1:4" x14ac:dyDescent="0.35">
      <c r="A774" s="6" t="s">
        <v>1588</v>
      </c>
      <c r="B774" s="6" t="s">
        <v>4716</v>
      </c>
      <c r="C774" s="6" t="s">
        <v>6065</v>
      </c>
      <c r="D774" s="6" t="s">
        <v>5029</v>
      </c>
    </row>
    <row r="775" spans="1:4" x14ac:dyDescent="0.35">
      <c r="A775" s="6" t="s">
        <v>1587</v>
      </c>
      <c r="B775" s="6" t="s">
        <v>4716</v>
      </c>
      <c r="C775" s="6" t="s">
        <v>6066</v>
      </c>
      <c r="D775" s="6" t="s">
        <v>5140</v>
      </c>
    </row>
    <row r="776" spans="1:4" x14ac:dyDescent="0.35">
      <c r="A776" s="6" t="s">
        <v>1586</v>
      </c>
      <c r="B776" s="6" t="s">
        <v>4716</v>
      </c>
      <c r="C776" s="6" t="s">
        <v>6067</v>
      </c>
      <c r="D776" s="6" t="s">
        <v>6068</v>
      </c>
    </row>
    <row r="777" spans="1:4" x14ac:dyDescent="0.35">
      <c r="A777" s="6" t="s">
        <v>1585</v>
      </c>
      <c r="B777" s="6" t="s">
        <v>5590</v>
      </c>
      <c r="C777" s="6" t="s">
        <v>6069</v>
      </c>
      <c r="D777" s="6" t="s">
        <v>6070</v>
      </c>
    </row>
    <row r="778" spans="1:4" x14ac:dyDescent="0.35">
      <c r="A778" s="6" t="s">
        <v>1584</v>
      </c>
      <c r="B778" s="6" t="s">
        <v>5590</v>
      </c>
      <c r="C778" s="6" t="s">
        <v>4848</v>
      </c>
      <c r="D778" s="6" t="s">
        <v>6071</v>
      </c>
    </row>
    <row r="779" spans="1:4" x14ac:dyDescent="0.35">
      <c r="A779" s="6" t="s">
        <v>1583</v>
      </c>
      <c r="B779" s="6" t="s">
        <v>4713</v>
      </c>
      <c r="C779" s="6" t="s">
        <v>6072</v>
      </c>
      <c r="D779" s="6" t="s">
        <v>6073</v>
      </c>
    </row>
    <row r="780" spans="1:4" x14ac:dyDescent="0.35">
      <c r="A780" s="6" t="s">
        <v>1582</v>
      </c>
      <c r="B780" s="6" t="s">
        <v>4716</v>
      </c>
      <c r="C780" s="6" t="s">
        <v>6074</v>
      </c>
      <c r="D780" s="6" t="s">
        <v>5105</v>
      </c>
    </row>
    <row r="781" spans="1:4" x14ac:dyDescent="0.35">
      <c r="A781" s="6" t="s">
        <v>1581</v>
      </c>
      <c r="B781" s="6" t="s">
        <v>4713</v>
      </c>
      <c r="C781" s="6" t="s">
        <v>6075</v>
      </c>
      <c r="D781" s="6" t="s">
        <v>5490</v>
      </c>
    </row>
    <row r="782" spans="1:4" x14ac:dyDescent="0.35">
      <c r="A782" s="6" t="s">
        <v>1580</v>
      </c>
      <c r="B782" s="6" t="s">
        <v>4716</v>
      </c>
      <c r="C782" s="6" t="s">
        <v>6076</v>
      </c>
      <c r="D782" s="6" t="s">
        <v>6077</v>
      </c>
    </row>
    <row r="783" spans="1:4" x14ac:dyDescent="0.35">
      <c r="A783" s="6" t="s">
        <v>1579</v>
      </c>
      <c r="B783" s="6" t="s">
        <v>4713</v>
      </c>
      <c r="C783" s="6" t="s">
        <v>5890</v>
      </c>
      <c r="D783" s="6" t="s">
        <v>6078</v>
      </c>
    </row>
    <row r="784" spans="1:4" x14ac:dyDescent="0.35">
      <c r="A784" s="6" t="s">
        <v>1578</v>
      </c>
      <c r="B784" s="6" t="s">
        <v>4713</v>
      </c>
      <c r="C784" s="6" t="s">
        <v>6079</v>
      </c>
      <c r="D784" s="6" t="s">
        <v>6080</v>
      </c>
    </row>
    <row r="785" spans="1:4" x14ac:dyDescent="0.35">
      <c r="A785" s="6" t="s">
        <v>1577</v>
      </c>
      <c r="B785" s="6" t="s">
        <v>4713</v>
      </c>
      <c r="C785" s="6" t="s">
        <v>6081</v>
      </c>
      <c r="D785" s="6" t="s">
        <v>6082</v>
      </c>
    </row>
    <row r="786" spans="1:4" x14ac:dyDescent="0.35">
      <c r="A786" s="6" t="s">
        <v>1576</v>
      </c>
      <c r="B786" s="6" t="s">
        <v>4713</v>
      </c>
      <c r="C786" s="6" t="s">
        <v>6083</v>
      </c>
      <c r="D786" s="6" t="s">
        <v>6084</v>
      </c>
    </row>
    <row r="787" spans="1:4" x14ac:dyDescent="0.35">
      <c r="A787" s="6" t="s">
        <v>1575</v>
      </c>
      <c r="B787" s="6" t="s">
        <v>4713</v>
      </c>
      <c r="C787" s="6" t="s">
        <v>6085</v>
      </c>
      <c r="D787" s="6" t="s">
        <v>6086</v>
      </c>
    </row>
    <row r="788" spans="1:4" x14ac:dyDescent="0.35">
      <c r="A788" s="6" t="s">
        <v>1574</v>
      </c>
      <c r="B788" s="6" t="s">
        <v>4713</v>
      </c>
      <c r="C788" s="6" t="s">
        <v>6087</v>
      </c>
      <c r="D788" s="6" t="s">
        <v>6088</v>
      </c>
    </row>
    <row r="789" spans="1:4" x14ac:dyDescent="0.35">
      <c r="A789" s="6" t="s">
        <v>1573</v>
      </c>
      <c r="B789" s="6" t="s">
        <v>4716</v>
      </c>
      <c r="C789" s="6" t="s">
        <v>4792</v>
      </c>
      <c r="D789" s="6" t="s">
        <v>6089</v>
      </c>
    </row>
    <row r="790" spans="1:4" x14ac:dyDescent="0.35">
      <c r="A790" s="6" t="s">
        <v>1572</v>
      </c>
      <c r="B790" s="6" t="s">
        <v>4716</v>
      </c>
      <c r="C790" s="6" t="s">
        <v>6090</v>
      </c>
      <c r="D790" s="6" t="s">
        <v>6091</v>
      </c>
    </row>
    <row r="791" spans="1:4" x14ac:dyDescent="0.35">
      <c r="A791" s="6" t="s">
        <v>1571</v>
      </c>
      <c r="B791" s="6" t="s">
        <v>4716</v>
      </c>
      <c r="C791" s="6" t="s">
        <v>6092</v>
      </c>
      <c r="D791" s="6" t="s">
        <v>6093</v>
      </c>
    </row>
    <row r="792" spans="1:4" x14ac:dyDescent="0.35">
      <c r="A792" s="6" t="s">
        <v>1570</v>
      </c>
      <c r="B792" s="6" t="s">
        <v>4713</v>
      </c>
      <c r="C792" s="6" t="s">
        <v>6094</v>
      </c>
      <c r="D792" s="6" t="s">
        <v>4901</v>
      </c>
    </row>
    <row r="793" spans="1:4" x14ac:dyDescent="0.35">
      <c r="A793" s="6" t="s">
        <v>1569</v>
      </c>
      <c r="B793" s="6" t="s">
        <v>4713</v>
      </c>
      <c r="C793" s="6" t="s">
        <v>6095</v>
      </c>
      <c r="D793" s="6" t="s">
        <v>6096</v>
      </c>
    </row>
    <row r="794" spans="1:4" x14ac:dyDescent="0.35">
      <c r="A794" s="6" t="s">
        <v>1568</v>
      </c>
      <c r="B794" s="6" t="s">
        <v>5590</v>
      </c>
      <c r="C794" s="6" t="s">
        <v>6097</v>
      </c>
      <c r="D794" s="6" t="s">
        <v>6098</v>
      </c>
    </row>
    <row r="795" spans="1:4" x14ac:dyDescent="0.35">
      <c r="A795" s="6" t="s">
        <v>1567</v>
      </c>
      <c r="B795" s="6" t="s">
        <v>4716</v>
      </c>
      <c r="C795" s="6" t="s">
        <v>6099</v>
      </c>
      <c r="D795" s="6" t="s">
        <v>6100</v>
      </c>
    </row>
    <row r="796" spans="1:4" x14ac:dyDescent="0.35">
      <c r="A796" s="6" t="s">
        <v>1566</v>
      </c>
      <c r="B796" s="6" t="s">
        <v>4713</v>
      </c>
      <c r="C796" s="6" t="s">
        <v>6101</v>
      </c>
      <c r="D796" s="6" t="s">
        <v>5076</v>
      </c>
    </row>
    <row r="797" spans="1:4" x14ac:dyDescent="0.35">
      <c r="A797" s="6" t="s">
        <v>1565</v>
      </c>
      <c r="B797" s="6" t="s">
        <v>5590</v>
      </c>
      <c r="C797" s="6" t="s">
        <v>6102</v>
      </c>
      <c r="D797" s="6" t="s">
        <v>6103</v>
      </c>
    </row>
    <row r="798" spans="1:4" x14ac:dyDescent="0.35">
      <c r="A798" s="6" t="s">
        <v>1564</v>
      </c>
      <c r="B798" s="6" t="s">
        <v>4713</v>
      </c>
      <c r="C798" s="6" t="s">
        <v>6104</v>
      </c>
      <c r="D798" s="6" t="s">
        <v>6105</v>
      </c>
    </row>
    <row r="799" spans="1:4" x14ac:dyDescent="0.35">
      <c r="A799" s="6" t="s">
        <v>1563</v>
      </c>
      <c r="B799" s="6" t="s">
        <v>5590</v>
      </c>
      <c r="C799" s="6" t="s">
        <v>6106</v>
      </c>
      <c r="D799" s="6" t="s">
        <v>6107</v>
      </c>
    </row>
    <row r="800" spans="1:4" x14ac:dyDescent="0.35">
      <c r="A800" s="6" t="s">
        <v>1562</v>
      </c>
      <c r="B800" s="6" t="s">
        <v>4713</v>
      </c>
      <c r="C800" s="6" t="s">
        <v>5599</v>
      </c>
      <c r="D800" s="6" t="s">
        <v>6108</v>
      </c>
    </row>
    <row r="801" spans="1:4" x14ac:dyDescent="0.35">
      <c r="A801" s="6" t="s">
        <v>1561</v>
      </c>
      <c r="B801" s="6" t="s">
        <v>4713</v>
      </c>
      <c r="C801" s="6" t="s">
        <v>6109</v>
      </c>
      <c r="D801" s="6" t="s">
        <v>6110</v>
      </c>
    </row>
    <row r="802" spans="1:4" x14ac:dyDescent="0.35">
      <c r="A802" s="6" t="s">
        <v>1560</v>
      </c>
      <c r="B802" s="6" t="s">
        <v>4713</v>
      </c>
      <c r="C802" s="6" t="s">
        <v>6111</v>
      </c>
      <c r="D802" s="6" t="s">
        <v>6112</v>
      </c>
    </row>
    <row r="803" spans="1:4" x14ac:dyDescent="0.35">
      <c r="A803" s="6" t="s">
        <v>1559</v>
      </c>
      <c r="B803" s="6" t="s">
        <v>5590</v>
      </c>
      <c r="C803" s="6" t="s">
        <v>6113</v>
      </c>
      <c r="D803" s="6" t="s">
        <v>6114</v>
      </c>
    </row>
    <row r="804" spans="1:4" x14ac:dyDescent="0.35">
      <c r="A804" s="6" t="s">
        <v>1558</v>
      </c>
      <c r="B804" s="6" t="s">
        <v>4713</v>
      </c>
      <c r="C804" s="6" t="s">
        <v>5222</v>
      </c>
      <c r="D804" s="6" t="s">
        <v>5525</v>
      </c>
    </row>
    <row r="805" spans="1:4" x14ac:dyDescent="0.35">
      <c r="A805" s="6" t="s">
        <v>1557</v>
      </c>
      <c r="B805" s="6" t="s">
        <v>4713</v>
      </c>
      <c r="C805" s="6" t="s">
        <v>6115</v>
      </c>
      <c r="D805" s="6" t="s">
        <v>5525</v>
      </c>
    </row>
    <row r="806" spans="1:4" x14ac:dyDescent="0.35">
      <c r="A806" s="6" t="s">
        <v>1556</v>
      </c>
      <c r="B806" s="6" t="s">
        <v>4716</v>
      </c>
      <c r="C806" s="6" t="s">
        <v>6116</v>
      </c>
      <c r="D806" s="6" t="s">
        <v>6117</v>
      </c>
    </row>
    <row r="807" spans="1:4" x14ac:dyDescent="0.35">
      <c r="A807" s="6" t="s">
        <v>1555</v>
      </c>
      <c r="B807" s="6" t="s">
        <v>4716</v>
      </c>
      <c r="C807" s="6" t="s">
        <v>6118</v>
      </c>
      <c r="D807" s="6" t="s">
        <v>4730</v>
      </c>
    </row>
    <row r="808" spans="1:4" x14ac:dyDescent="0.35">
      <c r="A808" s="6" t="s">
        <v>1554</v>
      </c>
      <c r="B808" s="6" t="s">
        <v>4716</v>
      </c>
      <c r="C808" s="6" t="s">
        <v>6119</v>
      </c>
      <c r="D808" s="6" t="s">
        <v>6120</v>
      </c>
    </row>
    <row r="809" spans="1:4" x14ac:dyDescent="0.35">
      <c r="A809" s="6" t="s">
        <v>1553</v>
      </c>
      <c r="B809" s="6" t="s">
        <v>4716</v>
      </c>
      <c r="C809" s="6" t="s">
        <v>6121</v>
      </c>
      <c r="D809" s="6" t="s">
        <v>6122</v>
      </c>
    </row>
    <row r="810" spans="1:4" x14ac:dyDescent="0.35">
      <c r="A810" s="6" t="s">
        <v>1552</v>
      </c>
      <c r="B810" s="6" t="s">
        <v>5590</v>
      </c>
      <c r="C810" s="6" t="s">
        <v>6123</v>
      </c>
      <c r="D810" s="6" t="s">
        <v>6124</v>
      </c>
    </row>
    <row r="811" spans="1:4" x14ac:dyDescent="0.35">
      <c r="A811" s="6" t="s">
        <v>1551</v>
      </c>
      <c r="B811" s="6" t="s">
        <v>4716</v>
      </c>
      <c r="C811" s="6" t="s">
        <v>6125</v>
      </c>
      <c r="D811" s="6" t="s">
        <v>6126</v>
      </c>
    </row>
    <row r="812" spans="1:4" x14ac:dyDescent="0.35">
      <c r="A812" s="6" t="s">
        <v>1550</v>
      </c>
      <c r="B812" s="6" t="s">
        <v>4716</v>
      </c>
      <c r="C812" s="6" t="s">
        <v>6127</v>
      </c>
      <c r="D812" s="6" t="s">
        <v>4952</v>
      </c>
    </row>
    <row r="813" spans="1:4" x14ac:dyDescent="0.35">
      <c r="A813" s="6" t="s">
        <v>1549</v>
      </c>
      <c r="B813" s="6" t="s">
        <v>4716</v>
      </c>
      <c r="C813" s="6" t="s">
        <v>5446</v>
      </c>
      <c r="D813" s="6" t="s">
        <v>6128</v>
      </c>
    </row>
    <row r="814" spans="1:4" x14ac:dyDescent="0.35">
      <c r="A814" s="6" t="s">
        <v>1548</v>
      </c>
      <c r="B814" s="6" t="s">
        <v>4716</v>
      </c>
      <c r="C814" s="6" t="s">
        <v>6129</v>
      </c>
      <c r="D814" s="6" t="s">
        <v>5747</v>
      </c>
    </row>
    <row r="815" spans="1:4" x14ac:dyDescent="0.35">
      <c r="A815" s="6" t="s">
        <v>1547</v>
      </c>
      <c r="B815" s="6" t="s">
        <v>4716</v>
      </c>
      <c r="C815" s="6" t="s">
        <v>6130</v>
      </c>
      <c r="D815" s="6" t="s">
        <v>6131</v>
      </c>
    </row>
    <row r="816" spans="1:4" x14ac:dyDescent="0.35">
      <c r="A816" s="6" t="s">
        <v>1546</v>
      </c>
      <c r="B816" s="6" t="s">
        <v>4716</v>
      </c>
      <c r="C816" s="6" t="s">
        <v>6132</v>
      </c>
      <c r="D816" s="6" t="s">
        <v>6133</v>
      </c>
    </row>
    <row r="817" spans="1:4" x14ac:dyDescent="0.35">
      <c r="A817" s="6" t="s">
        <v>1545</v>
      </c>
      <c r="B817" s="6" t="s">
        <v>4716</v>
      </c>
      <c r="C817" s="6" t="s">
        <v>6134</v>
      </c>
      <c r="D817" s="6" t="s">
        <v>6135</v>
      </c>
    </row>
    <row r="818" spans="1:4" x14ac:dyDescent="0.35">
      <c r="A818" s="6" t="s">
        <v>1544</v>
      </c>
      <c r="B818" s="6" t="s">
        <v>4716</v>
      </c>
      <c r="C818" s="6" t="s">
        <v>6136</v>
      </c>
      <c r="D818" s="6" t="s">
        <v>6137</v>
      </c>
    </row>
    <row r="819" spans="1:4" x14ac:dyDescent="0.35">
      <c r="A819" s="6" t="s">
        <v>1543</v>
      </c>
      <c r="B819" s="6" t="s">
        <v>4716</v>
      </c>
      <c r="C819" s="6" t="s">
        <v>5280</v>
      </c>
      <c r="D819" s="6" t="s">
        <v>5436</v>
      </c>
    </row>
    <row r="820" spans="1:4" x14ac:dyDescent="0.35">
      <c r="A820" s="6" t="s">
        <v>1542</v>
      </c>
      <c r="B820" s="6" t="s">
        <v>4716</v>
      </c>
      <c r="C820" s="6" t="s">
        <v>6138</v>
      </c>
      <c r="D820" s="6" t="s">
        <v>6139</v>
      </c>
    </row>
    <row r="821" spans="1:4" x14ac:dyDescent="0.35">
      <c r="A821" s="6" t="s">
        <v>1541</v>
      </c>
      <c r="B821" s="6" t="s">
        <v>4713</v>
      </c>
      <c r="C821" s="6" t="s">
        <v>6140</v>
      </c>
      <c r="D821" s="6" t="s">
        <v>5763</v>
      </c>
    </row>
    <row r="822" spans="1:4" x14ac:dyDescent="0.35">
      <c r="A822" s="6" t="s">
        <v>1540</v>
      </c>
      <c r="B822" s="6" t="s">
        <v>4716</v>
      </c>
      <c r="C822" s="6" t="s">
        <v>6141</v>
      </c>
      <c r="D822" s="6" t="s">
        <v>6142</v>
      </c>
    </row>
    <row r="823" spans="1:4" x14ac:dyDescent="0.35">
      <c r="A823" s="6" t="s">
        <v>1539</v>
      </c>
      <c r="B823" s="6" t="s">
        <v>4716</v>
      </c>
      <c r="C823" s="6" t="s">
        <v>6143</v>
      </c>
      <c r="D823" s="6" t="s">
        <v>6144</v>
      </c>
    </row>
    <row r="824" spans="1:4" x14ac:dyDescent="0.35">
      <c r="A824" s="6" t="s">
        <v>1538</v>
      </c>
      <c r="B824" s="6" t="s">
        <v>4716</v>
      </c>
      <c r="C824" s="6" t="s">
        <v>6145</v>
      </c>
      <c r="D824" s="6" t="s">
        <v>4793</v>
      </c>
    </row>
    <row r="825" spans="1:4" x14ac:dyDescent="0.35">
      <c r="A825" s="6" t="s">
        <v>1537</v>
      </c>
      <c r="B825" s="6" t="s">
        <v>4716</v>
      </c>
      <c r="C825" s="6" t="s">
        <v>5930</v>
      </c>
      <c r="D825" s="6" t="s">
        <v>6146</v>
      </c>
    </row>
    <row r="826" spans="1:4" x14ac:dyDescent="0.35">
      <c r="A826" s="6" t="s">
        <v>1536</v>
      </c>
      <c r="B826" s="6" t="s">
        <v>4716</v>
      </c>
      <c r="C826" s="6" t="s">
        <v>6147</v>
      </c>
      <c r="D826" s="6" t="s">
        <v>6148</v>
      </c>
    </row>
    <row r="827" spans="1:4" x14ac:dyDescent="0.35">
      <c r="A827" s="6" t="s">
        <v>1535</v>
      </c>
      <c r="B827" s="6" t="s">
        <v>4713</v>
      </c>
      <c r="C827" s="6" t="s">
        <v>6149</v>
      </c>
      <c r="D827" s="6" t="s">
        <v>6150</v>
      </c>
    </row>
    <row r="828" spans="1:4" x14ac:dyDescent="0.35">
      <c r="A828" s="6" t="s">
        <v>1534</v>
      </c>
      <c r="B828" s="6" t="s">
        <v>4713</v>
      </c>
      <c r="C828" s="6" t="s">
        <v>6151</v>
      </c>
      <c r="D828" s="6" t="s">
        <v>6152</v>
      </c>
    </row>
    <row r="829" spans="1:4" x14ac:dyDescent="0.35">
      <c r="A829" s="6" t="s">
        <v>1533</v>
      </c>
      <c r="B829" s="6" t="s">
        <v>5590</v>
      </c>
      <c r="C829" s="6" t="s">
        <v>5599</v>
      </c>
      <c r="D829" s="6" t="s">
        <v>6153</v>
      </c>
    </row>
    <row r="830" spans="1:4" x14ac:dyDescent="0.35">
      <c r="A830" s="6" t="s">
        <v>1532</v>
      </c>
      <c r="B830" s="6" t="s">
        <v>5590</v>
      </c>
      <c r="C830" s="6" t="s">
        <v>5628</v>
      </c>
      <c r="D830" s="6" t="s">
        <v>6154</v>
      </c>
    </row>
    <row r="831" spans="1:4" x14ac:dyDescent="0.35">
      <c r="A831" s="6" t="s">
        <v>1531</v>
      </c>
      <c r="B831" s="6" t="s">
        <v>5590</v>
      </c>
      <c r="C831" s="6" t="s">
        <v>6155</v>
      </c>
      <c r="D831" s="6" t="s">
        <v>6156</v>
      </c>
    </row>
    <row r="832" spans="1:4" x14ac:dyDescent="0.35">
      <c r="A832" s="6" t="s">
        <v>1530</v>
      </c>
      <c r="B832" s="6" t="s">
        <v>4716</v>
      </c>
      <c r="C832" s="6" t="s">
        <v>6157</v>
      </c>
      <c r="D832" s="6" t="s">
        <v>5010</v>
      </c>
    </row>
    <row r="833" spans="1:4" x14ac:dyDescent="0.35">
      <c r="A833" s="6" t="s">
        <v>1529</v>
      </c>
      <c r="B833" s="6" t="s">
        <v>4716</v>
      </c>
      <c r="C833" s="6" t="s">
        <v>6158</v>
      </c>
      <c r="D833" s="6" t="s">
        <v>6159</v>
      </c>
    </row>
    <row r="834" spans="1:4" x14ac:dyDescent="0.35">
      <c r="A834" s="6" t="s">
        <v>1528</v>
      </c>
      <c r="B834" s="6" t="s">
        <v>4716</v>
      </c>
      <c r="C834" s="6" t="s">
        <v>6160</v>
      </c>
      <c r="D834" s="6" t="s">
        <v>6161</v>
      </c>
    </row>
    <row r="835" spans="1:4" x14ac:dyDescent="0.35">
      <c r="A835" s="6" t="s">
        <v>1527</v>
      </c>
      <c r="B835" s="6" t="s">
        <v>5590</v>
      </c>
      <c r="C835" s="6" t="s">
        <v>6162</v>
      </c>
      <c r="D835" s="6" t="s">
        <v>5925</v>
      </c>
    </row>
    <row r="836" spans="1:4" x14ac:dyDescent="0.35">
      <c r="A836" s="6" t="s">
        <v>1526</v>
      </c>
      <c r="B836" s="6" t="s">
        <v>4713</v>
      </c>
      <c r="C836" s="6" t="s">
        <v>6163</v>
      </c>
      <c r="D836" s="6" t="s">
        <v>6164</v>
      </c>
    </row>
    <row r="837" spans="1:4" x14ac:dyDescent="0.35">
      <c r="A837" s="6" t="s">
        <v>1525</v>
      </c>
      <c r="B837" s="6" t="s">
        <v>4713</v>
      </c>
      <c r="C837" s="6" t="s">
        <v>5128</v>
      </c>
      <c r="D837" s="6" t="s">
        <v>6165</v>
      </c>
    </row>
    <row r="838" spans="1:4" x14ac:dyDescent="0.35">
      <c r="A838" s="6" t="s">
        <v>1524</v>
      </c>
      <c r="B838" s="6" t="s">
        <v>4713</v>
      </c>
      <c r="C838" s="6" t="s">
        <v>6166</v>
      </c>
      <c r="D838" s="6" t="s">
        <v>6167</v>
      </c>
    </row>
    <row r="839" spans="1:4" x14ac:dyDescent="0.35">
      <c r="A839" s="6" t="s">
        <v>1523</v>
      </c>
      <c r="B839" s="6" t="s">
        <v>4716</v>
      </c>
      <c r="C839" s="6" t="s">
        <v>5827</v>
      </c>
      <c r="D839" s="6" t="s">
        <v>5719</v>
      </c>
    </row>
    <row r="840" spans="1:4" x14ac:dyDescent="0.35">
      <c r="A840" s="6" t="s">
        <v>1522</v>
      </c>
      <c r="B840" s="6" t="s">
        <v>4713</v>
      </c>
      <c r="C840" s="6" t="s">
        <v>6168</v>
      </c>
      <c r="D840" s="6" t="s">
        <v>5148</v>
      </c>
    </row>
    <row r="841" spans="1:4" x14ac:dyDescent="0.35">
      <c r="A841" s="6" t="s">
        <v>1521</v>
      </c>
      <c r="B841" s="6" t="s">
        <v>4713</v>
      </c>
      <c r="C841" s="6" t="s">
        <v>6169</v>
      </c>
      <c r="D841" s="6" t="s">
        <v>6170</v>
      </c>
    </row>
    <row r="842" spans="1:4" x14ac:dyDescent="0.35">
      <c r="A842" s="6" t="s">
        <v>1520</v>
      </c>
      <c r="B842" s="6" t="s">
        <v>4713</v>
      </c>
      <c r="C842" s="6" t="s">
        <v>6171</v>
      </c>
      <c r="D842" s="6" t="s">
        <v>6172</v>
      </c>
    </row>
    <row r="843" spans="1:4" x14ac:dyDescent="0.35">
      <c r="A843" s="6" t="s">
        <v>1519</v>
      </c>
      <c r="B843" s="6" t="s">
        <v>4713</v>
      </c>
      <c r="C843" s="6" t="s">
        <v>6173</v>
      </c>
      <c r="D843" s="6" t="s">
        <v>6070</v>
      </c>
    </row>
    <row r="844" spans="1:4" x14ac:dyDescent="0.35">
      <c r="A844" s="6" t="s">
        <v>1518</v>
      </c>
      <c r="B844" s="6" t="s">
        <v>4713</v>
      </c>
      <c r="C844" s="6" t="s">
        <v>6174</v>
      </c>
      <c r="D844" s="6" t="s">
        <v>6175</v>
      </c>
    </row>
    <row r="845" spans="1:4" x14ac:dyDescent="0.35">
      <c r="A845" s="6" t="s">
        <v>1517</v>
      </c>
      <c r="B845" s="6" t="s">
        <v>4713</v>
      </c>
      <c r="C845" s="6" t="s">
        <v>4991</v>
      </c>
      <c r="D845" s="6" t="s">
        <v>5652</v>
      </c>
    </row>
    <row r="846" spans="1:4" x14ac:dyDescent="0.35">
      <c r="A846" s="6" t="s">
        <v>1516</v>
      </c>
      <c r="B846" s="6" t="s">
        <v>5590</v>
      </c>
      <c r="C846" s="6" t="s">
        <v>6176</v>
      </c>
      <c r="D846" s="6" t="s">
        <v>6177</v>
      </c>
    </row>
    <row r="847" spans="1:4" x14ac:dyDescent="0.35">
      <c r="A847" s="6" t="s">
        <v>1515</v>
      </c>
      <c r="B847" s="6" t="s">
        <v>4713</v>
      </c>
      <c r="C847" s="6" t="s">
        <v>6178</v>
      </c>
      <c r="D847" s="6" t="s">
        <v>6179</v>
      </c>
    </row>
    <row r="848" spans="1:4" x14ac:dyDescent="0.35">
      <c r="A848" s="6" t="s">
        <v>1514</v>
      </c>
      <c r="B848" s="6" t="s">
        <v>4713</v>
      </c>
      <c r="C848" s="6" t="s">
        <v>6180</v>
      </c>
      <c r="D848" s="6" t="s">
        <v>6181</v>
      </c>
    </row>
    <row r="849" spans="1:4" x14ac:dyDescent="0.35">
      <c r="A849" s="6" t="s">
        <v>1513</v>
      </c>
      <c r="B849" s="6" t="s">
        <v>4713</v>
      </c>
      <c r="C849" s="6" t="s">
        <v>6182</v>
      </c>
      <c r="D849" s="6" t="s">
        <v>6183</v>
      </c>
    </row>
    <row r="850" spans="1:4" x14ac:dyDescent="0.35">
      <c r="A850" s="6" t="s">
        <v>1512</v>
      </c>
      <c r="B850" s="6" t="s">
        <v>4716</v>
      </c>
      <c r="C850" s="6" t="s">
        <v>6184</v>
      </c>
      <c r="D850" s="6" t="s">
        <v>4815</v>
      </c>
    </row>
    <row r="851" spans="1:4" x14ac:dyDescent="0.35">
      <c r="A851" s="6" t="s">
        <v>1511</v>
      </c>
      <c r="B851" s="6" t="s">
        <v>4716</v>
      </c>
      <c r="C851" s="6" t="s">
        <v>6185</v>
      </c>
      <c r="D851" s="6" t="s">
        <v>4800</v>
      </c>
    </row>
    <row r="852" spans="1:4" x14ac:dyDescent="0.35">
      <c r="A852" s="6" t="s">
        <v>1510</v>
      </c>
      <c r="B852" s="6" t="s">
        <v>4713</v>
      </c>
      <c r="C852" s="6" t="s">
        <v>6186</v>
      </c>
      <c r="D852" s="6" t="s">
        <v>6187</v>
      </c>
    </row>
    <row r="853" spans="1:4" x14ac:dyDescent="0.35">
      <c r="A853" s="6" t="s">
        <v>1509</v>
      </c>
      <c r="B853" s="6" t="s">
        <v>5590</v>
      </c>
      <c r="C853" s="6" t="s">
        <v>6188</v>
      </c>
      <c r="D853" s="6" t="s">
        <v>5070</v>
      </c>
    </row>
    <row r="854" spans="1:4" x14ac:dyDescent="0.35">
      <c r="A854" s="6" t="s">
        <v>1508</v>
      </c>
      <c r="B854" s="6" t="s">
        <v>4716</v>
      </c>
      <c r="C854" s="6" t="s">
        <v>5050</v>
      </c>
      <c r="D854" s="6" t="s">
        <v>4867</v>
      </c>
    </row>
    <row r="855" spans="1:4" x14ac:dyDescent="0.35">
      <c r="A855" s="6" t="s">
        <v>1507</v>
      </c>
      <c r="B855" s="6" t="s">
        <v>4716</v>
      </c>
      <c r="C855" s="6" t="s">
        <v>6189</v>
      </c>
      <c r="D855" s="6" t="s">
        <v>6190</v>
      </c>
    </row>
    <row r="856" spans="1:4" x14ac:dyDescent="0.35">
      <c r="A856" s="6" t="s">
        <v>1506</v>
      </c>
      <c r="B856" s="6" t="s">
        <v>4716</v>
      </c>
      <c r="C856" s="6" t="s">
        <v>6191</v>
      </c>
      <c r="D856" s="6" t="s">
        <v>5144</v>
      </c>
    </row>
    <row r="857" spans="1:4" x14ac:dyDescent="0.35">
      <c r="A857" s="6" t="s">
        <v>1505</v>
      </c>
      <c r="B857" s="6" t="s">
        <v>4716</v>
      </c>
      <c r="C857" s="6" t="s">
        <v>6192</v>
      </c>
      <c r="D857" s="6" t="s">
        <v>6193</v>
      </c>
    </row>
    <row r="858" spans="1:4" x14ac:dyDescent="0.35">
      <c r="A858" s="6" t="s">
        <v>1504</v>
      </c>
      <c r="B858" s="6" t="s">
        <v>4713</v>
      </c>
      <c r="C858" s="6" t="s">
        <v>6194</v>
      </c>
      <c r="D858" s="6" t="s">
        <v>6195</v>
      </c>
    </row>
    <row r="859" spans="1:4" x14ac:dyDescent="0.35">
      <c r="A859" s="6" t="s">
        <v>1503</v>
      </c>
      <c r="B859" s="6" t="s">
        <v>4713</v>
      </c>
      <c r="C859" s="6" t="s">
        <v>6196</v>
      </c>
      <c r="D859" s="6" t="s">
        <v>5525</v>
      </c>
    </row>
    <row r="860" spans="1:4" x14ac:dyDescent="0.35">
      <c r="A860" s="6" t="s">
        <v>1502</v>
      </c>
      <c r="B860" s="6" t="s">
        <v>4713</v>
      </c>
      <c r="C860" s="6" t="s">
        <v>6197</v>
      </c>
      <c r="D860" s="6" t="s">
        <v>6198</v>
      </c>
    </row>
    <row r="861" spans="1:4" x14ac:dyDescent="0.35">
      <c r="A861" s="6" t="s">
        <v>1501</v>
      </c>
      <c r="B861" s="6" t="s">
        <v>4713</v>
      </c>
      <c r="C861" s="6" t="s">
        <v>6199</v>
      </c>
      <c r="D861" s="6" t="s">
        <v>6200</v>
      </c>
    </row>
    <row r="862" spans="1:4" x14ac:dyDescent="0.35">
      <c r="A862" s="6" t="s">
        <v>1500</v>
      </c>
      <c r="B862" s="6" t="s">
        <v>4716</v>
      </c>
      <c r="C862" s="6" t="s">
        <v>6201</v>
      </c>
      <c r="D862" s="6" t="s">
        <v>4815</v>
      </c>
    </row>
    <row r="863" spans="1:4" x14ac:dyDescent="0.35">
      <c r="A863" s="6" t="s">
        <v>1499</v>
      </c>
      <c r="B863" s="6" t="s">
        <v>4713</v>
      </c>
      <c r="C863" s="6" t="s">
        <v>6202</v>
      </c>
      <c r="D863" s="6" t="s">
        <v>5337</v>
      </c>
    </row>
    <row r="864" spans="1:4" x14ac:dyDescent="0.35">
      <c r="A864" s="6" t="s">
        <v>1498</v>
      </c>
      <c r="B864" s="6" t="s">
        <v>4716</v>
      </c>
      <c r="C864" s="6" t="s">
        <v>6203</v>
      </c>
      <c r="D864" s="6" t="s">
        <v>6204</v>
      </c>
    </row>
    <row r="865" spans="1:4" x14ac:dyDescent="0.35">
      <c r="A865" s="6" t="s">
        <v>1497</v>
      </c>
      <c r="B865" s="6" t="s">
        <v>4716</v>
      </c>
      <c r="C865" s="6" t="s">
        <v>6205</v>
      </c>
      <c r="D865" s="6" t="s">
        <v>6206</v>
      </c>
    </row>
    <row r="866" spans="1:4" x14ac:dyDescent="0.35">
      <c r="A866" s="6" t="s">
        <v>1496</v>
      </c>
      <c r="B866" s="6" t="s">
        <v>4716</v>
      </c>
      <c r="C866" s="6" t="s">
        <v>6207</v>
      </c>
      <c r="D866" s="6" t="s">
        <v>4845</v>
      </c>
    </row>
    <row r="867" spans="1:4" x14ac:dyDescent="0.35">
      <c r="A867" s="6" t="s">
        <v>1495</v>
      </c>
      <c r="B867" s="6" t="s">
        <v>5590</v>
      </c>
      <c r="C867" s="6" t="s">
        <v>6208</v>
      </c>
      <c r="D867" s="6" t="s">
        <v>6209</v>
      </c>
    </row>
    <row r="868" spans="1:4" x14ac:dyDescent="0.35">
      <c r="A868" s="6" t="s">
        <v>1494</v>
      </c>
      <c r="B868" s="6" t="s">
        <v>4716</v>
      </c>
      <c r="C868" s="6" t="s">
        <v>6210</v>
      </c>
      <c r="D868" s="6" t="s">
        <v>6211</v>
      </c>
    </row>
    <row r="869" spans="1:4" x14ac:dyDescent="0.35">
      <c r="A869" s="6" t="s">
        <v>1493</v>
      </c>
      <c r="B869" s="6" t="s">
        <v>4716</v>
      </c>
      <c r="C869" s="6" t="s">
        <v>6212</v>
      </c>
      <c r="D869" s="6" t="s">
        <v>4918</v>
      </c>
    </row>
    <row r="870" spans="1:4" x14ac:dyDescent="0.35">
      <c r="A870" s="6" t="s">
        <v>1492</v>
      </c>
      <c r="B870" s="6" t="s">
        <v>4716</v>
      </c>
      <c r="C870" s="6" t="s">
        <v>6213</v>
      </c>
      <c r="D870" s="6" t="s">
        <v>4738</v>
      </c>
    </row>
    <row r="871" spans="1:4" x14ac:dyDescent="0.35">
      <c r="A871" s="6" t="s">
        <v>1491</v>
      </c>
      <c r="B871" s="6" t="s">
        <v>4716</v>
      </c>
      <c r="C871" s="6" t="s">
        <v>6214</v>
      </c>
      <c r="D871" s="6" t="s">
        <v>6215</v>
      </c>
    </row>
    <row r="872" spans="1:4" x14ac:dyDescent="0.35">
      <c r="A872" s="6" t="s">
        <v>1490</v>
      </c>
      <c r="B872" s="6" t="s">
        <v>5590</v>
      </c>
      <c r="C872" s="6" t="s">
        <v>6216</v>
      </c>
      <c r="D872" s="6" t="s">
        <v>6217</v>
      </c>
    </row>
    <row r="873" spans="1:4" x14ac:dyDescent="0.35">
      <c r="A873" s="6" t="s">
        <v>1489</v>
      </c>
      <c r="B873" s="6" t="s">
        <v>4713</v>
      </c>
      <c r="C873" s="6" t="s">
        <v>6218</v>
      </c>
      <c r="D873" s="6" t="s">
        <v>6219</v>
      </c>
    </row>
    <row r="874" spans="1:4" x14ac:dyDescent="0.35">
      <c r="A874" s="6" t="s">
        <v>1488</v>
      </c>
      <c r="B874" s="6" t="s">
        <v>5590</v>
      </c>
      <c r="C874" s="6" t="s">
        <v>6220</v>
      </c>
      <c r="D874" s="6" t="s">
        <v>5490</v>
      </c>
    </row>
    <row r="875" spans="1:4" x14ac:dyDescent="0.35">
      <c r="A875" s="6" t="s">
        <v>1487</v>
      </c>
      <c r="B875" s="6" t="s">
        <v>4713</v>
      </c>
      <c r="C875" s="6" t="s">
        <v>6221</v>
      </c>
      <c r="D875" s="6" t="s">
        <v>6222</v>
      </c>
    </row>
    <row r="876" spans="1:4" x14ac:dyDescent="0.35">
      <c r="A876" s="6" t="s">
        <v>1486</v>
      </c>
      <c r="B876" s="6" t="s">
        <v>4713</v>
      </c>
      <c r="C876" s="6" t="s">
        <v>6223</v>
      </c>
      <c r="D876" s="6" t="s">
        <v>6224</v>
      </c>
    </row>
    <row r="877" spans="1:4" x14ac:dyDescent="0.35">
      <c r="A877" s="6" t="s">
        <v>1485</v>
      </c>
      <c r="B877" s="6" t="s">
        <v>4713</v>
      </c>
      <c r="C877" s="6" t="s">
        <v>6225</v>
      </c>
      <c r="D877" s="6" t="s">
        <v>6226</v>
      </c>
    </row>
    <row r="878" spans="1:4" x14ac:dyDescent="0.35">
      <c r="A878" s="6" t="s">
        <v>1484</v>
      </c>
      <c r="B878" s="6" t="s">
        <v>5590</v>
      </c>
      <c r="C878" s="6" t="s">
        <v>6227</v>
      </c>
      <c r="D878" s="6" t="s">
        <v>5862</v>
      </c>
    </row>
    <row r="879" spans="1:4" x14ac:dyDescent="0.35">
      <c r="A879" s="6" t="s">
        <v>1483</v>
      </c>
      <c r="B879" s="6" t="s">
        <v>5590</v>
      </c>
      <c r="C879" s="6" t="s">
        <v>6228</v>
      </c>
      <c r="D879" s="6" t="s">
        <v>6229</v>
      </c>
    </row>
    <row r="880" spans="1:4" x14ac:dyDescent="0.35">
      <c r="A880" s="6" t="s">
        <v>1482</v>
      </c>
      <c r="B880" s="6" t="s">
        <v>4713</v>
      </c>
      <c r="C880" s="6" t="s">
        <v>6230</v>
      </c>
      <c r="D880" s="6" t="s">
        <v>6231</v>
      </c>
    </row>
    <row r="881" spans="1:4" x14ac:dyDescent="0.35">
      <c r="A881" s="6" t="s">
        <v>1481</v>
      </c>
      <c r="B881" s="6" t="s">
        <v>4713</v>
      </c>
      <c r="C881" s="6" t="s">
        <v>6232</v>
      </c>
      <c r="D881" s="6" t="s">
        <v>6233</v>
      </c>
    </row>
    <row r="882" spans="1:4" x14ac:dyDescent="0.35">
      <c r="A882" s="6" t="s">
        <v>1480</v>
      </c>
      <c r="B882" s="6" t="s">
        <v>4713</v>
      </c>
      <c r="C882" s="6" t="s">
        <v>6234</v>
      </c>
      <c r="D882" s="6" t="s">
        <v>6235</v>
      </c>
    </row>
    <row r="883" spans="1:4" x14ac:dyDescent="0.35">
      <c r="A883" s="6" t="s">
        <v>1479</v>
      </c>
      <c r="B883" s="6" t="s">
        <v>4713</v>
      </c>
      <c r="C883" s="6" t="s">
        <v>6236</v>
      </c>
      <c r="D883" s="6" t="s">
        <v>5236</v>
      </c>
    </row>
    <row r="884" spans="1:4" x14ac:dyDescent="0.35">
      <c r="A884" s="6" t="s">
        <v>1478</v>
      </c>
      <c r="B884" s="6" t="s">
        <v>4713</v>
      </c>
      <c r="C884" s="6" t="s">
        <v>6237</v>
      </c>
      <c r="D884" s="6" t="s">
        <v>6238</v>
      </c>
    </row>
    <row r="885" spans="1:4" x14ac:dyDescent="0.35">
      <c r="A885" s="6" t="s">
        <v>1477</v>
      </c>
      <c r="B885" s="6" t="s">
        <v>4713</v>
      </c>
      <c r="C885" s="6" t="s">
        <v>6239</v>
      </c>
      <c r="D885" s="6" t="s">
        <v>6240</v>
      </c>
    </row>
    <row r="886" spans="1:4" x14ac:dyDescent="0.35">
      <c r="A886" s="6" t="s">
        <v>1476</v>
      </c>
      <c r="B886" s="6" t="s">
        <v>4713</v>
      </c>
      <c r="C886" s="6" t="s">
        <v>6241</v>
      </c>
      <c r="D886" s="6" t="s">
        <v>6242</v>
      </c>
    </row>
    <row r="887" spans="1:4" x14ac:dyDescent="0.35">
      <c r="A887" s="6" t="s">
        <v>1475</v>
      </c>
      <c r="B887" s="6" t="s">
        <v>4713</v>
      </c>
      <c r="C887" s="6" t="s">
        <v>6243</v>
      </c>
      <c r="D887" s="6" t="s">
        <v>6244</v>
      </c>
    </row>
    <row r="888" spans="1:4" x14ac:dyDescent="0.35">
      <c r="A888" s="6" t="s">
        <v>1474</v>
      </c>
      <c r="B888" s="6" t="s">
        <v>4713</v>
      </c>
      <c r="C888" s="6" t="s">
        <v>6245</v>
      </c>
      <c r="D888" s="6" t="s">
        <v>6246</v>
      </c>
    </row>
    <row r="889" spans="1:4" x14ac:dyDescent="0.35">
      <c r="A889" s="6" t="s">
        <v>1473</v>
      </c>
      <c r="B889" s="6" t="s">
        <v>5590</v>
      </c>
      <c r="C889" s="6" t="s">
        <v>6247</v>
      </c>
      <c r="D889" s="6" t="s">
        <v>6248</v>
      </c>
    </row>
    <row r="890" spans="1:4" x14ac:dyDescent="0.35">
      <c r="A890" s="6" t="s">
        <v>1472</v>
      </c>
      <c r="B890" s="6" t="s">
        <v>4716</v>
      </c>
      <c r="C890" s="6" t="s">
        <v>6249</v>
      </c>
      <c r="D890" s="6" t="s">
        <v>6250</v>
      </c>
    </row>
    <row r="891" spans="1:4" x14ac:dyDescent="0.35">
      <c r="A891" s="6" t="s">
        <v>1471</v>
      </c>
      <c r="B891" s="6" t="s">
        <v>4716</v>
      </c>
      <c r="C891" s="6" t="s">
        <v>6251</v>
      </c>
      <c r="D891" s="6" t="s">
        <v>5064</v>
      </c>
    </row>
    <row r="892" spans="1:4" x14ac:dyDescent="0.35">
      <c r="A892" s="6" t="s">
        <v>1470</v>
      </c>
      <c r="B892" s="6" t="s">
        <v>4716</v>
      </c>
      <c r="C892" s="6" t="s">
        <v>6252</v>
      </c>
      <c r="D892" s="6" t="s">
        <v>6253</v>
      </c>
    </row>
    <row r="893" spans="1:4" x14ac:dyDescent="0.35">
      <c r="A893" s="6" t="s">
        <v>1469</v>
      </c>
      <c r="B893" s="6" t="s">
        <v>4716</v>
      </c>
      <c r="C893" s="6" t="s">
        <v>6254</v>
      </c>
      <c r="D893" s="6" t="s">
        <v>6255</v>
      </c>
    </row>
    <row r="894" spans="1:4" x14ac:dyDescent="0.35">
      <c r="A894" s="6" t="s">
        <v>1468</v>
      </c>
      <c r="B894" s="6" t="s">
        <v>5590</v>
      </c>
      <c r="C894" s="6" t="s">
        <v>6256</v>
      </c>
      <c r="D894" s="6" t="s">
        <v>6257</v>
      </c>
    </row>
    <row r="895" spans="1:4" x14ac:dyDescent="0.35">
      <c r="A895" s="6" t="s">
        <v>1467</v>
      </c>
      <c r="B895" s="6" t="s">
        <v>4716</v>
      </c>
      <c r="C895" s="6" t="s">
        <v>6258</v>
      </c>
      <c r="D895" s="6" t="s">
        <v>4754</v>
      </c>
    </row>
    <row r="896" spans="1:4" x14ac:dyDescent="0.35">
      <c r="A896" s="6" t="s">
        <v>1466</v>
      </c>
      <c r="B896" s="6" t="s">
        <v>4716</v>
      </c>
      <c r="C896" s="6" t="s">
        <v>6259</v>
      </c>
      <c r="D896" s="6" t="s">
        <v>6260</v>
      </c>
    </row>
    <row r="897" spans="1:4" x14ac:dyDescent="0.35">
      <c r="A897" s="6" t="s">
        <v>1465</v>
      </c>
      <c r="B897" s="6" t="s">
        <v>4713</v>
      </c>
      <c r="C897" s="6" t="s">
        <v>6261</v>
      </c>
      <c r="D897" s="6" t="s">
        <v>6262</v>
      </c>
    </row>
    <row r="898" spans="1:4" x14ac:dyDescent="0.35">
      <c r="A898" s="6" t="s">
        <v>1464</v>
      </c>
      <c r="B898" s="6" t="s">
        <v>4713</v>
      </c>
      <c r="C898" s="6" t="s">
        <v>5649</v>
      </c>
      <c r="D898" s="6" t="s">
        <v>6263</v>
      </c>
    </row>
    <row r="899" spans="1:4" x14ac:dyDescent="0.35">
      <c r="A899" s="6" t="s">
        <v>1463</v>
      </c>
      <c r="B899" s="6" t="s">
        <v>4713</v>
      </c>
      <c r="C899" s="6" t="s">
        <v>6264</v>
      </c>
      <c r="D899" s="6" t="s">
        <v>6265</v>
      </c>
    </row>
    <row r="900" spans="1:4" x14ac:dyDescent="0.35">
      <c r="A900" s="6" t="s">
        <v>1462</v>
      </c>
      <c r="B900" s="6" t="s">
        <v>4716</v>
      </c>
      <c r="C900" s="6" t="s">
        <v>5096</v>
      </c>
      <c r="D900" s="6" t="s">
        <v>4793</v>
      </c>
    </row>
    <row r="901" spans="1:4" x14ac:dyDescent="0.35">
      <c r="A901" s="6" t="s">
        <v>1461</v>
      </c>
      <c r="B901" s="6" t="s">
        <v>5590</v>
      </c>
      <c r="C901" s="6" t="s">
        <v>5126</v>
      </c>
      <c r="D901" s="6" t="s">
        <v>6266</v>
      </c>
    </row>
    <row r="902" spans="1:4" x14ac:dyDescent="0.35">
      <c r="A902" s="6" t="s">
        <v>1460</v>
      </c>
      <c r="B902" s="6" t="s">
        <v>4713</v>
      </c>
      <c r="C902" s="6" t="s">
        <v>6267</v>
      </c>
      <c r="D902" s="6" t="s">
        <v>6268</v>
      </c>
    </row>
    <row r="903" spans="1:4" x14ac:dyDescent="0.35">
      <c r="A903" s="6" t="s">
        <v>1459</v>
      </c>
      <c r="B903" s="6" t="s">
        <v>4716</v>
      </c>
      <c r="C903" s="6" t="s">
        <v>6269</v>
      </c>
      <c r="D903" s="6" t="s">
        <v>5729</v>
      </c>
    </row>
    <row r="904" spans="1:4" x14ac:dyDescent="0.35">
      <c r="A904" s="6" t="s">
        <v>1458</v>
      </c>
      <c r="B904" s="6" t="s">
        <v>4713</v>
      </c>
      <c r="C904" s="6" t="s">
        <v>6270</v>
      </c>
      <c r="D904" s="6" t="s">
        <v>6271</v>
      </c>
    </row>
    <row r="905" spans="1:4" x14ac:dyDescent="0.35">
      <c r="A905" s="6" t="s">
        <v>1457</v>
      </c>
      <c r="B905" s="6" t="s">
        <v>4713</v>
      </c>
      <c r="C905" s="6" t="s">
        <v>6272</v>
      </c>
      <c r="D905" s="6" t="s">
        <v>6273</v>
      </c>
    </row>
    <row r="906" spans="1:4" x14ac:dyDescent="0.35">
      <c r="A906" s="6" t="s">
        <v>1456</v>
      </c>
      <c r="B906" s="6" t="s">
        <v>4716</v>
      </c>
      <c r="C906" s="6" t="s">
        <v>6274</v>
      </c>
      <c r="D906" s="6" t="s">
        <v>6275</v>
      </c>
    </row>
    <row r="907" spans="1:4" x14ac:dyDescent="0.35">
      <c r="A907" s="6" t="s">
        <v>1455</v>
      </c>
      <c r="B907" s="6" t="s">
        <v>4713</v>
      </c>
      <c r="C907" s="6" t="s">
        <v>6276</v>
      </c>
      <c r="D907" s="6" t="s">
        <v>6167</v>
      </c>
    </row>
    <row r="908" spans="1:4" x14ac:dyDescent="0.35">
      <c r="A908" s="6" t="s">
        <v>1454</v>
      </c>
      <c r="B908" s="6" t="s">
        <v>5590</v>
      </c>
      <c r="C908" s="6" t="s">
        <v>6277</v>
      </c>
      <c r="D908" s="6" t="s">
        <v>6278</v>
      </c>
    </row>
    <row r="909" spans="1:4" x14ac:dyDescent="0.35">
      <c r="A909" s="6" t="s">
        <v>1453</v>
      </c>
      <c r="B909" s="6" t="s">
        <v>4716</v>
      </c>
      <c r="C909" s="6" t="s">
        <v>6279</v>
      </c>
      <c r="D909" s="6" t="s">
        <v>6280</v>
      </c>
    </row>
    <row r="910" spans="1:4" x14ac:dyDescent="0.35">
      <c r="A910" s="6" t="s">
        <v>1452</v>
      </c>
      <c r="B910" s="6" t="s">
        <v>4716</v>
      </c>
      <c r="C910" s="6" t="s">
        <v>6281</v>
      </c>
      <c r="D910" s="6" t="s">
        <v>5306</v>
      </c>
    </row>
    <row r="911" spans="1:4" x14ac:dyDescent="0.35">
      <c r="A911" s="6" t="s">
        <v>1451</v>
      </c>
      <c r="B911" s="6" t="s">
        <v>4716</v>
      </c>
      <c r="C911" s="6" t="s">
        <v>6282</v>
      </c>
      <c r="D911" s="6" t="s">
        <v>6283</v>
      </c>
    </row>
    <row r="912" spans="1:4" x14ac:dyDescent="0.35">
      <c r="A912" s="6" t="s">
        <v>1450</v>
      </c>
      <c r="B912" s="6" t="s">
        <v>4716</v>
      </c>
      <c r="C912" s="6" t="s">
        <v>6284</v>
      </c>
      <c r="D912" s="6" t="s">
        <v>6285</v>
      </c>
    </row>
    <row r="913" spans="1:4" x14ac:dyDescent="0.35">
      <c r="A913" s="6" t="s">
        <v>1449</v>
      </c>
      <c r="B913" s="6" t="s">
        <v>4716</v>
      </c>
      <c r="C913" s="6" t="s">
        <v>6286</v>
      </c>
      <c r="D913" s="6" t="s">
        <v>5471</v>
      </c>
    </row>
    <row r="914" spans="1:4" x14ac:dyDescent="0.35">
      <c r="A914" s="6" t="s">
        <v>1448</v>
      </c>
      <c r="B914" s="6" t="s">
        <v>4716</v>
      </c>
      <c r="C914" s="6" t="s">
        <v>6287</v>
      </c>
      <c r="D914" s="6" t="s">
        <v>4877</v>
      </c>
    </row>
    <row r="915" spans="1:4" x14ac:dyDescent="0.35">
      <c r="A915" s="6" t="s">
        <v>1447</v>
      </c>
      <c r="B915" s="6" t="s">
        <v>4716</v>
      </c>
      <c r="C915" s="6" t="s">
        <v>4965</v>
      </c>
      <c r="D915" s="6" t="s">
        <v>6288</v>
      </c>
    </row>
    <row r="916" spans="1:4" x14ac:dyDescent="0.35">
      <c r="A916" s="6" t="s">
        <v>1446</v>
      </c>
      <c r="B916" s="6" t="s">
        <v>4716</v>
      </c>
      <c r="C916" s="6" t="s">
        <v>6289</v>
      </c>
      <c r="D916" s="6" t="s">
        <v>6290</v>
      </c>
    </row>
    <row r="917" spans="1:4" x14ac:dyDescent="0.35">
      <c r="A917" s="6" t="s">
        <v>1445</v>
      </c>
      <c r="B917" s="6" t="s">
        <v>4716</v>
      </c>
      <c r="C917" s="6" t="s">
        <v>5126</v>
      </c>
      <c r="D917" s="6" t="s">
        <v>6291</v>
      </c>
    </row>
    <row r="918" spans="1:4" x14ac:dyDescent="0.35">
      <c r="A918" s="6" t="s">
        <v>1444</v>
      </c>
      <c r="B918" s="6" t="s">
        <v>4713</v>
      </c>
      <c r="C918" s="6" t="s">
        <v>6292</v>
      </c>
      <c r="D918" s="6" t="s">
        <v>6293</v>
      </c>
    </row>
    <row r="919" spans="1:4" x14ac:dyDescent="0.35">
      <c r="A919" s="6" t="s">
        <v>1443</v>
      </c>
      <c r="B919" s="6" t="s">
        <v>4713</v>
      </c>
      <c r="C919" s="6" t="s">
        <v>6294</v>
      </c>
      <c r="D919" s="6" t="s">
        <v>5488</v>
      </c>
    </row>
    <row r="920" spans="1:4" x14ac:dyDescent="0.35">
      <c r="A920" s="6" t="s">
        <v>1442</v>
      </c>
      <c r="B920" s="6" t="s">
        <v>4713</v>
      </c>
      <c r="C920" s="6" t="s">
        <v>6295</v>
      </c>
      <c r="D920" s="6" t="s">
        <v>4807</v>
      </c>
    </row>
    <row r="921" spans="1:4" x14ac:dyDescent="0.35">
      <c r="A921" s="6" t="s">
        <v>1441</v>
      </c>
      <c r="B921" s="6" t="s">
        <v>4713</v>
      </c>
      <c r="C921" s="6" t="s">
        <v>6296</v>
      </c>
      <c r="D921" s="6" t="s">
        <v>6297</v>
      </c>
    </row>
    <row r="922" spans="1:4" x14ac:dyDescent="0.35">
      <c r="A922" s="6" t="s">
        <v>1440</v>
      </c>
      <c r="B922" s="6" t="s">
        <v>4713</v>
      </c>
      <c r="C922" s="6" t="s">
        <v>6298</v>
      </c>
      <c r="D922" s="6" t="s">
        <v>6299</v>
      </c>
    </row>
    <row r="923" spans="1:4" x14ac:dyDescent="0.35">
      <c r="A923" s="6" t="s">
        <v>1439</v>
      </c>
      <c r="B923" s="6" t="s">
        <v>4713</v>
      </c>
      <c r="C923" s="6" t="s">
        <v>6300</v>
      </c>
      <c r="D923" s="6" t="s">
        <v>6301</v>
      </c>
    </row>
    <row r="924" spans="1:4" x14ac:dyDescent="0.35">
      <c r="A924" s="6" t="s">
        <v>1438</v>
      </c>
      <c r="B924" s="6" t="s">
        <v>4713</v>
      </c>
      <c r="C924" s="6" t="s">
        <v>6302</v>
      </c>
      <c r="D924" s="6" t="s">
        <v>6303</v>
      </c>
    </row>
    <row r="925" spans="1:4" x14ac:dyDescent="0.35">
      <c r="A925" s="6" t="s">
        <v>1437</v>
      </c>
      <c r="B925" s="6" t="s">
        <v>4713</v>
      </c>
      <c r="C925" s="6" t="s">
        <v>6304</v>
      </c>
      <c r="D925" s="6" t="s">
        <v>6305</v>
      </c>
    </row>
    <row r="926" spans="1:4" x14ac:dyDescent="0.35">
      <c r="A926" s="6" t="s">
        <v>1436</v>
      </c>
      <c r="B926" s="6" t="s">
        <v>4713</v>
      </c>
      <c r="C926" s="6" t="s">
        <v>6306</v>
      </c>
      <c r="D926" s="6" t="s">
        <v>6307</v>
      </c>
    </row>
    <row r="927" spans="1:4" x14ac:dyDescent="0.35">
      <c r="A927" s="6" t="s">
        <v>1435</v>
      </c>
      <c r="B927" s="6" t="s">
        <v>4713</v>
      </c>
      <c r="C927" s="6" t="s">
        <v>6308</v>
      </c>
      <c r="D927" s="6" t="s">
        <v>6309</v>
      </c>
    </row>
    <row r="928" spans="1:4" x14ac:dyDescent="0.35">
      <c r="A928" s="6" t="s">
        <v>1434</v>
      </c>
      <c r="B928" s="6" t="s">
        <v>4713</v>
      </c>
      <c r="C928" s="6" t="s">
        <v>6310</v>
      </c>
      <c r="D928" s="6" t="s">
        <v>5937</v>
      </c>
    </row>
    <row r="929" spans="1:4" x14ac:dyDescent="0.35">
      <c r="A929" s="6" t="s">
        <v>1433</v>
      </c>
      <c r="B929" s="6" t="s">
        <v>4713</v>
      </c>
      <c r="C929" s="6" t="s">
        <v>6311</v>
      </c>
      <c r="D929" s="6" t="s">
        <v>6312</v>
      </c>
    </row>
    <row r="930" spans="1:4" x14ac:dyDescent="0.35">
      <c r="A930" s="6" t="s">
        <v>1432</v>
      </c>
      <c r="B930" s="6" t="s">
        <v>5590</v>
      </c>
      <c r="C930" s="6" t="s">
        <v>6313</v>
      </c>
      <c r="D930" s="6" t="s">
        <v>6314</v>
      </c>
    </row>
    <row r="931" spans="1:4" x14ac:dyDescent="0.35">
      <c r="A931" s="6" t="s">
        <v>1431</v>
      </c>
      <c r="B931" s="6" t="s">
        <v>4716</v>
      </c>
      <c r="C931" s="6" t="s">
        <v>6315</v>
      </c>
      <c r="D931" s="6" t="s">
        <v>6316</v>
      </c>
    </row>
    <row r="932" spans="1:4" x14ac:dyDescent="0.35">
      <c r="A932" s="6" t="s">
        <v>1430</v>
      </c>
      <c r="B932" s="6" t="s">
        <v>5590</v>
      </c>
      <c r="C932" s="6" t="s">
        <v>6317</v>
      </c>
      <c r="D932" s="6" t="s">
        <v>5939</v>
      </c>
    </row>
    <row r="933" spans="1:4" x14ac:dyDescent="0.35">
      <c r="A933" s="6" t="s">
        <v>1429</v>
      </c>
      <c r="B933" s="6" t="s">
        <v>4716</v>
      </c>
      <c r="C933" s="6" t="s">
        <v>6318</v>
      </c>
      <c r="D933" s="6" t="s">
        <v>5049</v>
      </c>
    </row>
    <row r="934" spans="1:4" x14ac:dyDescent="0.35">
      <c r="A934" s="6" t="s">
        <v>1428</v>
      </c>
      <c r="B934" s="6" t="s">
        <v>4716</v>
      </c>
      <c r="C934" s="6" t="s">
        <v>6319</v>
      </c>
      <c r="D934" s="6" t="s">
        <v>6320</v>
      </c>
    </row>
    <row r="935" spans="1:4" x14ac:dyDescent="0.35">
      <c r="A935" s="6" t="s">
        <v>1427</v>
      </c>
      <c r="B935" s="6" t="s">
        <v>4713</v>
      </c>
      <c r="C935" s="6" t="s">
        <v>4731</v>
      </c>
      <c r="D935" s="6" t="s">
        <v>6321</v>
      </c>
    </row>
    <row r="936" spans="1:4" x14ac:dyDescent="0.35">
      <c r="A936" s="6" t="s">
        <v>1426</v>
      </c>
      <c r="B936" s="6" t="s">
        <v>4716</v>
      </c>
      <c r="C936" s="6" t="s">
        <v>6322</v>
      </c>
      <c r="D936" s="6" t="s">
        <v>6323</v>
      </c>
    </row>
    <row r="937" spans="1:4" x14ac:dyDescent="0.35">
      <c r="A937" s="6" t="s">
        <v>1425</v>
      </c>
      <c r="B937" s="6" t="s">
        <v>4716</v>
      </c>
      <c r="C937" s="6" t="s">
        <v>6324</v>
      </c>
      <c r="D937" s="6" t="s">
        <v>4832</v>
      </c>
    </row>
    <row r="938" spans="1:4" x14ac:dyDescent="0.35">
      <c r="A938" s="6" t="s">
        <v>1424</v>
      </c>
      <c r="B938" s="6" t="s">
        <v>5590</v>
      </c>
      <c r="C938" s="6" t="s">
        <v>6292</v>
      </c>
      <c r="D938" s="6" t="s">
        <v>6325</v>
      </c>
    </row>
    <row r="939" spans="1:4" x14ac:dyDescent="0.35">
      <c r="A939" s="6" t="s">
        <v>1423</v>
      </c>
      <c r="B939" s="6" t="s">
        <v>4713</v>
      </c>
      <c r="C939" s="6" t="s">
        <v>6326</v>
      </c>
      <c r="D939" s="6" t="s">
        <v>6327</v>
      </c>
    </row>
    <row r="940" spans="1:4" x14ac:dyDescent="0.35">
      <c r="A940" s="6" t="s">
        <v>1422</v>
      </c>
      <c r="B940" s="6" t="s">
        <v>4716</v>
      </c>
      <c r="C940" s="6" t="s">
        <v>6328</v>
      </c>
      <c r="D940" s="6" t="s">
        <v>6329</v>
      </c>
    </row>
    <row r="941" spans="1:4" x14ac:dyDescent="0.35">
      <c r="A941" s="6" t="s">
        <v>1421</v>
      </c>
      <c r="B941" s="6" t="s">
        <v>4716</v>
      </c>
      <c r="C941" s="6" t="s">
        <v>6330</v>
      </c>
      <c r="D941" s="6" t="s">
        <v>5444</v>
      </c>
    </row>
    <row r="942" spans="1:4" x14ac:dyDescent="0.35">
      <c r="A942" s="6" t="s">
        <v>1420</v>
      </c>
      <c r="B942" s="6" t="s">
        <v>4713</v>
      </c>
      <c r="C942" s="6" t="s">
        <v>6331</v>
      </c>
      <c r="D942" s="6" t="s">
        <v>6332</v>
      </c>
    </row>
    <row r="943" spans="1:4" x14ac:dyDescent="0.35">
      <c r="A943" s="6" t="s">
        <v>1419</v>
      </c>
      <c r="B943" s="6" t="s">
        <v>4713</v>
      </c>
      <c r="C943" s="6" t="s">
        <v>6333</v>
      </c>
      <c r="D943" s="6" t="s">
        <v>6334</v>
      </c>
    </row>
    <row r="944" spans="1:4" x14ac:dyDescent="0.35">
      <c r="A944" s="6" t="s">
        <v>1418</v>
      </c>
      <c r="B944" s="6" t="s">
        <v>4713</v>
      </c>
      <c r="C944" s="6" t="s">
        <v>6335</v>
      </c>
      <c r="D944" s="6" t="s">
        <v>6336</v>
      </c>
    </row>
    <row r="945" spans="1:4" x14ac:dyDescent="0.35">
      <c r="A945" s="6" t="s">
        <v>1417</v>
      </c>
      <c r="B945" s="6" t="s">
        <v>4716</v>
      </c>
      <c r="C945" s="6" t="s">
        <v>5426</v>
      </c>
      <c r="D945" s="6" t="s">
        <v>6337</v>
      </c>
    </row>
    <row r="946" spans="1:4" x14ac:dyDescent="0.35">
      <c r="A946" s="6" t="s">
        <v>1416</v>
      </c>
      <c r="B946" s="6" t="s">
        <v>4713</v>
      </c>
      <c r="C946" s="6" t="s">
        <v>6338</v>
      </c>
      <c r="D946" s="6" t="s">
        <v>4885</v>
      </c>
    </row>
    <row r="947" spans="1:4" x14ac:dyDescent="0.35">
      <c r="A947" s="6" t="s">
        <v>1415</v>
      </c>
      <c r="B947" s="6" t="s">
        <v>4716</v>
      </c>
      <c r="C947" s="6" t="s">
        <v>6339</v>
      </c>
      <c r="D947" s="6" t="s">
        <v>4754</v>
      </c>
    </row>
    <row r="948" spans="1:4" x14ac:dyDescent="0.35">
      <c r="A948" s="6" t="s">
        <v>1414</v>
      </c>
      <c r="B948" s="6" t="s">
        <v>4716</v>
      </c>
      <c r="C948" s="6" t="s">
        <v>5782</v>
      </c>
      <c r="D948" s="6" t="s">
        <v>6340</v>
      </c>
    </row>
    <row r="949" spans="1:4" x14ac:dyDescent="0.35">
      <c r="A949" s="6" t="s">
        <v>1413</v>
      </c>
      <c r="B949" s="6" t="s">
        <v>4716</v>
      </c>
      <c r="C949" s="6" t="s">
        <v>6341</v>
      </c>
      <c r="D949" s="6" t="s">
        <v>4994</v>
      </c>
    </row>
    <row r="950" spans="1:4" x14ac:dyDescent="0.35">
      <c r="A950" s="6" t="s">
        <v>1412</v>
      </c>
      <c r="B950" s="6" t="s">
        <v>4716</v>
      </c>
      <c r="C950" s="6" t="s">
        <v>6342</v>
      </c>
      <c r="D950" s="6" t="s">
        <v>5136</v>
      </c>
    </row>
    <row r="951" spans="1:4" x14ac:dyDescent="0.35">
      <c r="A951" s="6" t="s">
        <v>1411</v>
      </c>
      <c r="B951" s="6" t="s">
        <v>4716</v>
      </c>
      <c r="C951" s="6" t="s">
        <v>6343</v>
      </c>
      <c r="D951" s="6" t="s">
        <v>5559</v>
      </c>
    </row>
    <row r="952" spans="1:4" x14ac:dyDescent="0.35">
      <c r="A952" s="6" t="s">
        <v>1410</v>
      </c>
      <c r="B952" s="6" t="s">
        <v>4713</v>
      </c>
      <c r="C952" s="6" t="s">
        <v>6344</v>
      </c>
      <c r="D952" s="6" t="s">
        <v>6345</v>
      </c>
    </row>
    <row r="953" spans="1:4" x14ac:dyDescent="0.35">
      <c r="A953" s="6" t="s">
        <v>1409</v>
      </c>
      <c r="B953" s="6" t="s">
        <v>4713</v>
      </c>
      <c r="C953" s="6" t="s">
        <v>5338</v>
      </c>
      <c r="D953" s="6" t="s">
        <v>6346</v>
      </c>
    </row>
    <row r="954" spans="1:4" x14ac:dyDescent="0.35">
      <c r="A954" s="6" t="s">
        <v>1408</v>
      </c>
      <c r="B954" s="6" t="s">
        <v>4713</v>
      </c>
      <c r="C954" s="6" t="s">
        <v>6347</v>
      </c>
      <c r="D954" s="6" t="s">
        <v>6348</v>
      </c>
    </row>
    <row r="955" spans="1:4" x14ac:dyDescent="0.35">
      <c r="A955" s="6" t="s">
        <v>1407</v>
      </c>
      <c r="B955" s="6" t="s">
        <v>4716</v>
      </c>
      <c r="C955" s="6" t="s">
        <v>6349</v>
      </c>
      <c r="D955" s="6" t="s">
        <v>6350</v>
      </c>
    </row>
    <row r="956" spans="1:4" x14ac:dyDescent="0.35">
      <c r="A956" s="6" t="s">
        <v>1406</v>
      </c>
      <c r="B956" s="6" t="s">
        <v>4716</v>
      </c>
      <c r="C956" s="6" t="s">
        <v>6351</v>
      </c>
      <c r="D956" s="6" t="s">
        <v>6352</v>
      </c>
    </row>
    <row r="957" spans="1:4" x14ac:dyDescent="0.35">
      <c r="A957" s="6" t="s">
        <v>1405</v>
      </c>
      <c r="B957" s="6" t="s">
        <v>5590</v>
      </c>
      <c r="C957" s="6" t="s">
        <v>6353</v>
      </c>
      <c r="D957" s="6" t="s">
        <v>6354</v>
      </c>
    </row>
    <row r="958" spans="1:4" x14ac:dyDescent="0.35">
      <c r="A958" s="6" t="s">
        <v>1404</v>
      </c>
      <c r="B958" s="6" t="s">
        <v>4716</v>
      </c>
      <c r="C958" s="6" t="s">
        <v>6254</v>
      </c>
      <c r="D958" s="6" t="s">
        <v>4994</v>
      </c>
    </row>
    <row r="959" spans="1:4" x14ac:dyDescent="0.35">
      <c r="A959" s="6" t="s">
        <v>1403</v>
      </c>
      <c r="B959" s="6" t="s">
        <v>4713</v>
      </c>
      <c r="C959" s="6" t="s">
        <v>6355</v>
      </c>
      <c r="D959" s="6" t="s">
        <v>6356</v>
      </c>
    </row>
    <row r="960" spans="1:4" x14ac:dyDescent="0.35">
      <c r="A960" s="6" t="s">
        <v>1402</v>
      </c>
      <c r="B960" s="6" t="s">
        <v>5590</v>
      </c>
      <c r="C960" s="6" t="s">
        <v>6357</v>
      </c>
      <c r="D960" s="6" t="s">
        <v>6358</v>
      </c>
    </row>
    <row r="961" spans="1:4" x14ac:dyDescent="0.35">
      <c r="A961" s="6" t="s">
        <v>1401</v>
      </c>
      <c r="B961" s="6" t="s">
        <v>4713</v>
      </c>
      <c r="C961" s="6" t="s">
        <v>6359</v>
      </c>
      <c r="D961" s="6" t="s">
        <v>6360</v>
      </c>
    </row>
    <row r="962" spans="1:4" x14ac:dyDescent="0.35">
      <c r="A962" s="6" t="s">
        <v>1400</v>
      </c>
      <c r="B962" s="6" t="s">
        <v>5590</v>
      </c>
      <c r="C962" s="6" t="s">
        <v>6361</v>
      </c>
      <c r="D962" s="6" t="s">
        <v>5451</v>
      </c>
    </row>
    <row r="963" spans="1:4" x14ac:dyDescent="0.35">
      <c r="A963" s="6" t="s">
        <v>1399</v>
      </c>
      <c r="B963" s="6" t="s">
        <v>4716</v>
      </c>
      <c r="C963" s="6" t="s">
        <v>5262</v>
      </c>
      <c r="D963" s="6" t="s">
        <v>6362</v>
      </c>
    </row>
    <row r="964" spans="1:4" x14ac:dyDescent="0.35">
      <c r="A964" s="6" t="s">
        <v>1398</v>
      </c>
      <c r="B964" s="6" t="s">
        <v>4713</v>
      </c>
      <c r="C964" s="6" t="s">
        <v>6363</v>
      </c>
      <c r="D964" s="6" t="s">
        <v>6364</v>
      </c>
    </row>
    <row r="965" spans="1:4" x14ac:dyDescent="0.35">
      <c r="A965" s="6" t="s">
        <v>1397</v>
      </c>
      <c r="B965" s="6" t="s">
        <v>5590</v>
      </c>
      <c r="C965" s="6" t="s">
        <v>6365</v>
      </c>
      <c r="D965" s="6" t="s">
        <v>6366</v>
      </c>
    </row>
    <row r="966" spans="1:4" x14ac:dyDescent="0.35">
      <c r="A966" s="6" t="s">
        <v>1396</v>
      </c>
      <c r="B966" s="6" t="s">
        <v>4713</v>
      </c>
      <c r="C966" s="6" t="s">
        <v>6367</v>
      </c>
      <c r="D966" s="6" t="s">
        <v>6368</v>
      </c>
    </row>
    <row r="967" spans="1:4" x14ac:dyDescent="0.35">
      <c r="A967" s="6" t="s">
        <v>1395</v>
      </c>
      <c r="B967" s="6" t="s">
        <v>4713</v>
      </c>
      <c r="C967" s="6" t="s">
        <v>6369</v>
      </c>
      <c r="D967" s="6" t="s">
        <v>6370</v>
      </c>
    </row>
    <row r="968" spans="1:4" x14ac:dyDescent="0.35">
      <c r="A968" s="6" t="s">
        <v>1394</v>
      </c>
      <c r="B968" s="6" t="s">
        <v>4713</v>
      </c>
      <c r="C968" s="6" t="s">
        <v>6371</v>
      </c>
      <c r="D968" s="6" t="s">
        <v>6372</v>
      </c>
    </row>
    <row r="969" spans="1:4" x14ac:dyDescent="0.35">
      <c r="A969" s="6" t="s">
        <v>1393</v>
      </c>
      <c r="B969" s="6" t="s">
        <v>4716</v>
      </c>
      <c r="C969" s="6" t="s">
        <v>6373</v>
      </c>
      <c r="D969" s="6" t="s">
        <v>4836</v>
      </c>
    </row>
    <row r="970" spans="1:4" x14ac:dyDescent="0.35">
      <c r="A970" s="6" t="s">
        <v>1392</v>
      </c>
      <c r="B970" s="6" t="s">
        <v>4713</v>
      </c>
      <c r="C970" s="6" t="s">
        <v>6374</v>
      </c>
      <c r="D970" s="6" t="s">
        <v>5810</v>
      </c>
    </row>
    <row r="971" spans="1:4" x14ac:dyDescent="0.35">
      <c r="A971" s="6" t="s">
        <v>1391</v>
      </c>
      <c r="B971" s="6" t="s">
        <v>4716</v>
      </c>
      <c r="C971" s="6" t="s">
        <v>6375</v>
      </c>
      <c r="D971" s="6" t="s">
        <v>6376</v>
      </c>
    </row>
    <row r="972" spans="1:4" x14ac:dyDescent="0.35">
      <c r="A972" s="6" t="s">
        <v>1390</v>
      </c>
      <c r="B972" s="6" t="s">
        <v>4713</v>
      </c>
      <c r="C972" s="6" t="s">
        <v>6377</v>
      </c>
      <c r="D972" s="6" t="s">
        <v>5467</v>
      </c>
    </row>
    <row r="973" spans="1:4" x14ac:dyDescent="0.35">
      <c r="A973" s="6" t="s">
        <v>1389</v>
      </c>
      <c r="B973" s="6" t="s">
        <v>4713</v>
      </c>
      <c r="C973" s="6" t="s">
        <v>6378</v>
      </c>
      <c r="D973" s="6" t="s">
        <v>6379</v>
      </c>
    </row>
    <row r="974" spans="1:4" x14ac:dyDescent="0.35">
      <c r="A974" s="6" t="s">
        <v>1388</v>
      </c>
      <c r="B974" s="6" t="s">
        <v>4716</v>
      </c>
      <c r="C974" s="6" t="s">
        <v>6380</v>
      </c>
      <c r="D974" s="6" t="s">
        <v>5014</v>
      </c>
    </row>
    <row r="975" spans="1:4" x14ac:dyDescent="0.35">
      <c r="A975" s="6" t="s">
        <v>1387</v>
      </c>
      <c r="B975" s="6" t="s">
        <v>5590</v>
      </c>
      <c r="C975" s="6" t="s">
        <v>6050</v>
      </c>
      <c r="D975" s="6" t="s">
        <v>6381</v>
      </c>
    </row>
    <row r="976" spans="1:4" x14ac:dyDescent="0.35">
      <c r="A976" s="6" t="s">
        <v>1386</v>
      </c>
      <c r="B976" s="6" t="s">
        <v>4716</v>
      </c>
      <c r="C976" s="6" t="s">
        <v>6382</v>
      </c>
      <c r="D976" s="6" t="s">
        <v>5941</v>
      </c>
    </row>
    <row r="977" spans="1:4" x14ac:dyDescent="0.35">
      <c r="A977" s="6" t="s">
        <v>1385</v>
      </c>
      <c r="B977" s="6" t="s">
        <v>5590</v>
      </c>
      <c r="C977" s="6" t="s">
        <v>6383</v>
      </c>
      <c r="D977" s="6" t="s">
        <v>6384</v>
      </c>
    </row>
    <row r="978" spans="1:4" x14ac:dyDescent="0.35">
      <c r="A978" s="6" t="s">
        <v>1384</v>
      </c>
      <c r="B978" s="6" t="s">
        <v>5590</v>
      </c>
      <c r="C978" s="6" t="s">
        <v>5583</v>
      </c>
      <c r="D978" s="6" t="s">
        <v>6385</v>
      </c>
    </row>
    <row r="979" spans="1:4" x14ac:dyDescent="0.35">
      <c r="A979" s="6" t="s">
        <v>1383</v>
      </c>
      <c r="B979" s="6" t="s">
        <v>4716</v>
      </c>
      <c r="C979" s="6" t="s">
        <v>6386</v>
      </c>
      <c r="D979" s="6" t="s">
        <v>5276</v>
      </c>
    </row>
    <row r="980" spans="1:4" x14ac:dyDescent="0.35">
      <c r="A980" s="6" t="s">
        <v>1382</v>
      </c>
      <c r="B980" s="6" t="s">
        <v>4716</v>
      </c>
      <c r="C980" s="6" t="s">
        <v>6387</v>
      </c>
      <c r="D980" s="6" t="s">
        <v>6388</v>
      </c>
    </row>
    <row r="981" spans="1:4" x14ac:dyDescent="0.35">
      <c r="A981" s="6" t="s">
        <v>1381</v>
      </c>
      <c r="B981" s="6" t="s">
        <v>4716</v>
      </c>
      <c r="C981" s="6" t="s">
        <v>6389</v>
      </c>
      <c r="D981" s="6" t="s">
        <v>5140</v>
      </c>
    </row>
    <row r="982" spans="1:4" x14ac:dyDescent="0.35">
      <c r="A982" s="6" t="s">
        <v>1380</v>
      </c>
      <c r="B982" s="6" t="s">
        <v>4716</v>
      </c>
      <c r="C982" s="6" t="s">
        <v>6390</v>
      </c>
      <c r="D982" s="6" t="s">
        <v>6391</v>
      </c>
    </row>
    <row r="983" spans="1:4" x14ac:dyDescent="0.35">
      <c r="A983" s="6" t="s">
        <v>1379</v>
      </c>
      <c r="B983" s="6" t="s">
        <v>4716</v>
      </c>
      <c r="C983" s="6" t="s">
        <v>6392</v>
      </c>
      <c r="D983" s="6" t="s">
        <v>6393</v>
      </c>
    </row>
    <row r="984" spans="1:4" x14ac:dyDescent="0.35">
      <c r="A984" s="6" t="s">
        <v>1378</v>
      </c>
      <c r="B984" s="6" t="s">
        <v>4716</v>
      </c>
      <c r="C984" s="6" t="s">
        <v>6394</v>
      </c>
      <c r="D984" s="6" t="s">
        <v>5150</v>
      </c>
    </row>
    <row r="985" spans="1:4" x14ac:dyDescent="0.35">
      <c r="A985" s="6" t="s">
        <v>1377</v>
      </c>
      <c r="B985" s="6" t="s">
        <v>5590</v>
      </c>
      <c r="C985" s="6" t="s">
        <v>6395</v>
      </c>
      <c r="D985" s="6" t="s">
        <v>6396</v>
      </c>
    </row>
    <row r="986" spans="1:4" x14ac:dyDescent="0.35">
      <c r="A986" s="6" t="s">
        <v>1376</v>
      </c>
      <c r="B986" s="6" t="s">
        <v>4716</v>
      </c>
      <c r="C986" s="6" t="s">
        <v>6397</v>
      </c>
      <c r="D986" s="6" t="s">
        <v>6398</v>
      </c>
    </row>
    <row r="987" spans="1:4" x14ac:dyDescent="0.35">
      <c r="A987" s="6" t="s">
        <v>1375</v>
      </c>
      <c r="B987" s="6" t="s">
        <v>4713</v>
      </c>
      <c r="C987" s="6" t="s">
        <v>6399</v>
      </c>
      <c r="D987" s="6" t="s">
        <v>6400</v>
      </c>
    </row>
    <row r="988" spans="1:4" x14ac:dyDescent="0.35">
      <c r="A988" s="6" t="s">
        <v>1374</v>
      </c>
      <c r="B988" s="6" t="s">
        <v>4713</v>
      </c>
      <c r="C988" s="6" t="s">
        <v>4991</v>
      </c>
      <c r="D988" s="6" t="s">
        <v>5191</v>
      </c>
    </row>
    <row r="989" spans="1:4" x14ac:dyDescent="0.35">
      <c r="A989" s="6" t="s">
        <v>1373</v>
      </c>
      <c r="B989" s="6" t="s">
        <v>5590</v>
      </c>
      <c r="C989" s="6" t="s">
        <v>6401</v>
      </c>
      <c r="D989" s="6" t="s">
        <v>6240</v>
      </c>
    </row>
    <row r="990" spans="1:4" x14ac:dyDescent="0.35">
      <c r="A990" s="6" t="s">
        <v>1372</v>
      </c>
      <c r="B990" s="6" t="s">
        <v>4713</v>
      </c>
      <c r="C990" s="6" t="s">
        <v>6402</v>
      </c>
      <c r="D990" s="6" t="s">
        <v>6403</v>
      </c>
    </row>
    <row r="991" spans="1:4" x14ac:dyDescent="0.35">
      <c r="A991" s="6" t="s">
        <v>1371</v>
      </c>
      <c r="B991" s="6" t="s">
        <v>4713</v>
      </c>
      <c r="C991" s="6" t="s">
        <v>6404</v>
      </c>
      <c r="D991" s="6" t="s">
        <v>4869</v>
      </c>
    </row>
    <row r="992" spans="1:4" x14ac:dyDescent="0.35">
      <c r="A992" s="6" t="s">
        <v>1370</v>
      </c>
      <c r="B992" s="6" t="s">
        <v>4713</v>
      </c>
      <c r="C992" s="6" t="s">
        <v>6405</v>
      </c>
      <c r="D992" s="6" t="s">
        <v>6406</v>
      </c>
    </row>
    <row r="993" spans="1:4" x14ac:dyDescent="0.35">
      <c r="A993" s="6" t="s">
        <v>1369</v>
      </c>
      <c r="B993" s="6" t="s">
        <v>4716</v>
      </c>
      <c r="C993" s="6" t="s">
        <v>4888</v>
      </c>
      <c r="D993" s="6" t="s">
        <v>6407</v>
      </c>
    </row>
    <row r="994" spans="1:4" x14ac:dyDescent="0.35">
      <c r="A994" s="6" t="s">
        <v>1368</v>
      </c>
      <c r="B994" s="6" t="s">
        <v>4716</v>
      </c>
      <c r="C994" s="6" t="s">
        <v>6408</v>
      </c>
      <c r="D994" s="6" t="s">
        <v>6409</v>
      </c>
    </row>
    <row r="995" spans="1:4" x14ac:dyDescent="0.35">
      <c r="A995" s="6" t="s">
        <v>1367</v>
      </c>
      <c r="B995" s="6" t="s">
        <v>4713</v>
      </c>
      <c r="C995" s="6" t="s">
        <v>6410</v>
      </c>
      <c r="D995" s="6" t="s">
        <v>6411</v>
      </c>
    </row>
    <row r="996" spans="1:4" x14ac:dyDescent="0.35">
      <c r="A996" s="6" t="s">
        <v>1366</v>
      </c>
      <c r="B996" s="6" t="s">
        <v>4716</v>
      </c>
      <c r="C996" s="6" t="s">
        <v>4796</v>
      </c>
      <c r="D996" s="6" t="s">
        <v>6412</v>
      </c>
    </row>
    <row r="997" spans="1:4" x14ac:dyDescent="0.35">
      <c r="A997" s="6" t="s">
        <v>1365</v>
      </c>
      <c r="B997" s="6" t="s">
        <v>5590</v>
      </c>
      <c r="C997" s="6" t="s">
        <v>6413</v>
      </c>
      <c r="D997" s="6" t="s">
        <v>6414</v>
      </c>
    </row>
    <row r="998" spans="1:4" x14ac:dyDescent="0.35">
      <c r="A998" s="6" t="s">
        <v>1364</v>
      </c>
      <c r="B998" s="6" t="s">
        <v>4716</v>
      </c>
      <c r="C998" s="6" t="s">
        <v>4763</v>
      </c>
      <c r="D998" s="6" t="s">
        <v>6415</v>
      </c>
    </row>
    <row r="999" spans="1:4" x14ac:dyDescent="0.35">
      <c r="A999" s="6" t="s">
        <v>1363</v>
      </c>
      <c r="B999" s="6" t="s">
        <v>5590</v>
      </c>
      <c r="C999" s="6" t="s">
        <v>6416</v>
      </c>
      <c r="D999" s="6" t="s">
        <v>5536</v>
      </c>
    </row>
    <row r="1000" spans="1:4" x14ac:dyDescent="0.35">
      <c r="A1000" s="6" t="s">
        <v>1362</v>
      </c>
      <c r="B1000" s="6" t="s">
        <v>4716</v>
      </c>
      <c r="C1000" s="6" t="s">
        <v>5697</v>
      </c>
      <c r="D1000" s="6" t="s">
        <v>6417</v>
      </c>
    </row>
    <row r="1001" spans="1:4" x14ac:dyDescent="0.35">
      <c r="A1001" s="6" t="s">
        <v>1361</v>
      </c>
      <c r="B1001" s="6" t="s">
        <v>5590</v>
      </c>
      <c r="C1001" s="6" t="s">
        <v>6418</v>
      </c>
      <c r="D1001" s="6" t="s">
        <v>6419</v>
      </c>
    </row>
    <row r="1002" spans="1:4" x14ac:dyDescent="0.35">
      <c r="A1002" s="6" t="s">
        <v>1360</v>
      </c>
      <c r="B1002" s="6" t="s">
        <v>4716</v>
      </c>
      <c r="C1002" s="6" t="s">
        <v>6420</v>
      </c>
      <c r="D1002" s="6" t="s">
        <v>4873</v>
      </c>
    </row>
    <row r="1003" spans="1:4" x14ac:dyDescent="0.35">
      <c r="A1003" s="6" t="s">
        <v>1359</v>
      </c>
      <c r="B1003" s="6" t="s">
        <v>5590</v>
      </c>
      <c r="C1003" s="6" t="s">
        <v>6421</v>
      </c>
      <c r="D1003" s="6" t="s">
        <v>6422</v>
      </c>
    </row>
    <row r="1004" spans="1:4" x14ac:dyDescent="0.35">
      <c r="A1004" s="6" t="s">
        <v>1358</v>
      </c>
      <c r="B1004" s="6" t="s">
        <v>4713</v>
      </c>
      <c r="C1004" s="6" t="s">
        <v>6423</v>
      </c>
      <c r="D1004" s="6" t="s">
        <v>6424</v>
      </c>
    </row>
    <row r="1005" spans="1:4" x14ac:dyDescent="0.35">
      <c r="A1005" s="6" t="s">
        <v>1357</v>
      </c>
      <c r="B1005" s="6" t="s">
        <v>4716</v>
      </c>
      <c r="C1005" s="6" t="s">
        <v>6425</v>
      </c>
      <c r="D1005" s="6" t="s">
        <v>6426</v>
      </c>
    </row>
    <row r="1006" spans="1:4" x14ac:dyDescent="0.35">
      <c r="A1006" s="6" t="s">
        <v>1356</v>
      </c>
      <c r="B1006" s="6" t="s">
        <v>4716</v>
      </c>
      <c r="C1006" s="6" t="s">
        <v>6427</v>
      </c>
      <c r="D1006" s="6" t="s">
        <v>4899</v>
      </c>
    </row>
    <row r="1007" spans="1:4" x14ac:dyDescent="0.35">
      <c r="A1007" s="6" t="s">
        <v>1355</v>
      </c>
      <c r="B1007" s="6" t="s">
        <v>4713</v>
      </c>
      <c r="C1007" s="6" t="s">
        <v>6428</v>
      </c>
      <c r="D1007" s="6" t="s">
        <v>6429</v>
      </c>
    </row>
    <row r="1008" spans="1:4" x14ac:dyDescent="0.35">
      <c r="A1008" s="6" t="s">
        <v>1354</v>
      </c>
      <c r="B1008" s="6" t="s">
        <v>4713</v>
      </c>
      <c r="C1008" s="6" t="s">
        <v>5205</v>
      </c>
      <c r="D1008" s="6" t="s">
        <v>6430</v>
      </c>
    </row>
    <row r="1009" spans="1:4" x14ac:dyDescent="0.35">
      <c r="A1009" s="6" t="s">
        <v>1353</v>
      </c>
      <c r="B1009" s="6" t="s">
        <v>4716</v>
      </c>
      <c r="C1009" s="6" t="s">
        <v>6431</v>
      </c>
      <c r="D1009" s="6" t="s">
        <v>6432</v>
      </c>
    </row>
    <row r="1010" spans="1:4" x14ac:dyDescent="0.35">
      <c r="A1010" s="6" t="s">
        <v>1352</v>
      </c>
      <c r="B1010" s="6" t="s">
        <v>4713</v>
      </c>
      <c r="C1010" s="6" t="s">
        <v>6433</v>
      </c>
      <c r="D1010" s="6" t="s">
        <v>5070</v>
      </c>
    </row>
    <row r="1011" spans="1:4" x14ac:dyDescent="0.35">
      <c r="A1011" s="6" t="s">
        <v>1351</v>
      </c>
      <c r="B1011" s="6" t="s">
        <v>4713</v>
      </c>
      <c r="C1011" s="6" t="s">
        <v>6434</v>
      </c>
      <c r="D1011" s="6" t="s">
        <v>6435</v>
      </c>
    </row>
    <row r="1012" spans="1:4" x14ac:dyDescent="0.35">
      <c r="A1012" s="6" t="s">
        <v>1350</v>
      </c>
      <c r="B1012" s="6" t="s">
        <v>4713</v>
      </c>
      <c r="C1012" s="6" t="s">
        <v>6436</v>
      </c>
      <c r="D1012" s="6" t="s">
        <v>5184</v>
      </c>
    </row>
    <row r="1013" spans="1:4" x14ac:dyDescent="0.35">
      <c r="A1013" s="6" t="s">
        <v>1349</v>
      </c>
      <c r="B1013" s="6" t="s">
        <v>4713</v>
      </c>
      <c r="C1013" s="6" t="s">
        <v>6437</v>
      </c>
      <c r="D1013" s="6" t="s">
        <v>6438</v>
      </c>
    </row>
    <row r="1014" spans="1:4" x14ac:dyDescent="0.35">
      <c r="A1014" s="6" t="s">
        <v>1348</v>
      </c>
      <c r="B1014" s="6" t="s">
        <v>4713</v>
      </c>
      <c r="C1014" s="6" t="s">
        <v>6439</v>
      </c>
      <c r="D1014" s="6" t="s">
        <v>6440</v>
      </c>
    </row>
    <row r="1015" spans="1:4" x14ac:dyDescent="0.35">
      <c r="A1015" s="6" t="s">
        <v>1347</v>
      </c>
      <c r="B1015" s="6" t="s">
        <v>4713</v>
      </c>
      <c r="C1015" s="6" t="s">
        <v>6441</v>
      </c>
      <c r="D1015" s="6" t="s">
        <v>5655</v>
      </c>
    </row>
    <row r="1016" spans="1:4" x14ac:dyDescent="0.35">
      <c r="A1016" s="6" t="s">
        <v>1346</v>
      </c>
      <c r="B1016" s="6" t="s">
        <v>4713</v>
      </c>
      <c r="C1016" s="6" t="s">
        <v>6442</v>
      </c>
      <c r="D1016" s="6" t="s">
        <v>5019</v>
      </c>
    </row>
    <row r="1017" spans="1:4" x14ac:dyDescent="0.35">
      <c r="A1017" s="6" t="s">
        <v>1345</v>
      </c>
      <c r="B1017" s="6" t="s">
        <v>4713</v>
      </c>
      <c r="C1017" s="6" t="s">
        <v>6443</v>
      </c>
      <c r="D1017" s="6" t="s">
        <v>6444</v>
      </c>
    </row>
    <row r="1018" spans="1:4" x14ac:dyDescent="0.35">
      <c r="A1018" s="6" t="s">
        <v>1344</v>
      </c>
      <c r="B1018" s="6" t="s">
        <v>5590</v>
      </c>
      <c r="C1018" s="6" t="s">
        <v>6445</v>
      </c>
      <c r="D1018" s="6" t="s">
        <v>6446</v>
      </c>
    </row>
    <row r="1019" spans="1:4" x14ac:dyDescent="0.35">
      <c r="A1019" s="6" t="s">
        <v>1343</v>
      </c>
      <c r="B1019" s="6" t="s">
        <v>5590</v>
      </c>
      <c r="C1019" s="6" t="s">
        <v>6447</v>
      </c>
      <c r="D1019" s="6" t="s">
        <v>6448</v>
      </c>
    </row>
    <row r="1020" spans="1:4" x14ac:dyDescent="0.35">
      <c r="A1020" s="6" t="s">
        <v>1342</v>
      </c>
      <c r="B1020" s="6" t="s">
        <v>4716</v>
      </c>
      <c r="C1020" s="6" t="s">
        <v>6449</v>
      </c>
      <c r="D1020" s="6" t="s">
        <v>4730</v>
      </c>
    </row>
    <row r="1021" spans="1:4" x14ac:dyDescent="0.35">
      <c r="A1021" s="6" t="s">
        <v>1341</v>
      </c>
      <c r="B1021" s="6" t="s">
        <v>4713</v>
      </c>
      <c r="C1021" s="6" t="s">
        <v>6450</v>
      </c>
      <c r="D1021" s="6" t="s">
        <v>6451</v>
      </c>
    </row>
    <row r="1022" spans="1:4" x14ac:dyDescent="0.35">
      <c r="A1022" s="6" t="s">
        <v>1340</v>
      </c>
      <c r="B1022" s="6" t="s">
        <v>4716</v>
      </c>
      <c r="C1022" s="6" t="s">
        <v>6452</v>
      </c>
      <c r="D1022" s="6" t="s">
        <v>6453</v>
      </c>
    </row>
    <row r="1023" spans="1:4" x14ac:dyDescent="0.35">
      <c r="A1023" s="6" t="s">
        <v>1339</v>
      </c>
      <c r="B1023" s="6" t="s">
        <v>4713</v>
      </c>
      <c r="C1023" s="6" t="s">
        <v>6454</v>
      </c>
      <c r="D1023" s="6" t="s">
        <v>6455</v>
      </c>
    </row>
    <row r="1024" spans="1:4" x14ac:dyDescent="0.35">
      <c r="A1024" s="6" t="s">
        <v>1338</v>
      </c>
      <c r="B1024" s="6" t="s">
        <v>4713</v>
      </c>
      <c r="C1024" s="6" t="s">
        <v>6456</v>
      </c>
      <c r="D1024" s="6" t="s">
        <v>6457</v>
      </c>
    </row>
    <row r="1025" spans="1:4" x14ac:dyDescent="0.35">
      <c r="A1025" s="6" t="s">
        <v>1337</v>
      </c>
      <c r="B1025" s="6" t="s">
        <v>4716</v>
      </c>
      <c r="C1025" s="6" t="s">
        <v>6458</v>
      </c>
      <c r="D1025" s="6" t="s">
        <v>6459</v>
      </c>
    </row>
    <row r="1026" spans="1:4" x14ac:dyDescent="0.35">
      <c r="A1026" s="6" t="s">
        <v>1336</v>
      </c>
      <c r="B1026" s="6" t="s">
        <v>4716</v>
      </c>
      <c r="C1026" s="6" t="s">
        <v>6460</v>
      </c>
      <c r="D1026" s="6" t="s">
        <v>4738</v>
      </c>
    </row>
    <row r="1027" spans="1:4" x14ac:dyDescent="0.35">
      <c r="A1027" s="6" t="s">
        <v>1335</v>
      </c>
      <c r="B1027" s="6" t="s">
        <v>4716</v>
      </c>
      <c r="C1027" s="6" t="s">
        <v>6461</v>
      </c>
      <c r="D1027" s="6" t="s">
        <v>6462</v>
      </c>
    </row>
    <row r="1028" spans="1:4" x14ac:dyDescent="0.35">
      <c r="A1028" s="6" t="s">
        <v>1334</v>
      </c>
      <c r="B1028" s="6" t="s">
        <v>4713</v>
      </c>
      <c r="C1028" s="6" t="s">
        <v>6463</v>
      </c>
      <c r="D1028" s="6" t="s">
        <v>6464</v>
      </c>
    </row>
    <row r="1029" spans="1:4" x14ac:dyDescent="0.35">
      <c r="A1029" s="6" t="s">
        <v>1333</v>
      </c>
      <c r="B1029" s="6" t="s">
        <v>4716</v>
      </c>
      <c r="C1029" s="6" t="s">
        <v>6465</v>
      </c>
      <c r="D1029" s="6" t="s">
        <v>6462</v>
      </c>
    </row>
    <row r="1030" spans="1:4" x14ac:dyDescent="0.35">
      <c r="A1030" s="6" t="s">
        <v>1332</v>
      </c>
      <c r="B1030" s="6" t="s">
        <v>4716</v>
      </c>
      <c r="C1030" s="6" t="s">
        <v>6466</v>
      </c>
      <c r="D1030" s="6" t="s">
        <v>4873</v>
      </c>
    </row>
    <row r="1031" spans="1:4" x14ac:dyDescent="0.35">
      <c r="A1031" s="6" t="s">
        <v>1331</v>
      </c>
      <c r="B1031" s="6" t="s">
        <v>4713</v>
      </c>
      <c r="C1031" s="6" t="s">
        <v>6467</v>
      </c>
      <c r="D1031" s="6" t="s">
        <v>6468</v>
      </c>
    </row>
    <row r="1032" spans="1:4" x14ac:dyDescent="0.35">
      <c r="A1032" s="6" t="s">
        <v>1330</v>
      </c>
      <c r="B1032" s="6" t="s">
        <v>4716</v>
      </c>
      <c r="C1032" s="6" t="s">
        <v>6469</v>
      </c>
      <c r="D1032" s="6" t="s">
        <v>6470</v>
      </c>
    </row>
    <row r="1033" spans="1:4" x14ac:dyDescent="0.35">
      <c r="A1033" s="6" t="s">
        <v>1329</v>
      </c>
      <c r="B1033" s="6" t="s">
        <v>4713</v>
      </c>
      <c r="C1033" s="6" t="s">
        <v>6471</v>
      </c>
      <c r="D1033" s="6" t="s">
        <v>6472</v>
      </c>
    </row>
    <row r="1034" spans="1:4" x14ac:dyDescent="0.35">
      <c r="A1034" s="6" t="s">
        <v>1328</v>
      </c>
      <c r="B1034" s="6" t="s">
        <v>4713</v>
      </c>
      <c r="C1034" s="6" t="s">
        <v>5880</v>
      </c>
      <c r="D1034" s="6" t="s">
        <v>6473</v>
      </c>
    </row>
    <row r="1035" spans="1:4" x14ac:dyDescent="0.35">
      <c r="A1035" s="6" t="s">
        <v>1327</v>
      </c>
      <c r="B1035" s="6" t="s">
        <v>4713</v>
      </c>
      <c r="C1035" s="6" t="s">
        <v>6474</v>
      </c>
      <c r="D1035" s="6" t="s">
        <v>5425</v>
      </c>
    </row>
    <row r="1036" spans="1:4" x14ac:dyDescent="0.35">
      <c r="A1036" s="6" t="s">
        <v>1326</v>
      </c>
      <c r="B1036" s="6" t="s">
        <v>4713</v>
      </c>
      <c r="C1036" s="6" t="s">
        <v>6475</v>
      </c>
      <c r="D1036" s="6" t="s">
        <v>6476</v>
      </c>
    </row>
    <row r="1037" spans="1:4" x14ac:dyDescent="0.35">
      <c r="A1037" s="6" t="s">
        <v>1325</v>
      </c>
      <c r="B1037" s="6" t="s">
        <v>4713</v>
      </c>
      <c r="C1037" s="6" t="s">
        <v>6477</v>
      </c>
      <c r="D1037" s="6" t="s">
        <v>5721</v>
      </c>
    </row>
    <row r="1038" spans="1:4" x14ac:dyDescent="0.35">
      <c r="A1038" s="6" t="s">
        <v>1324</v>
      </c>
      <c r="B1038" s="6" t="s">
        <v>4716</v>
      </c>
      <c r="C1038" s="6" t="s">
        <v>6478</v>
      </c>
      <c r="D1038" s="6" t="s">
        <v>4843</v>
      </c>
    </row>
    <row r="1039" spans="1:4" x14ac:dyDescent="0.35">
      <c r="A1039" s="6" t="s">
        <v>1323</v>
      </c>
      <c r="B1039" s="6" t="s">
        <v>4716</v>
      </c>
      <c r="C1039" s="6" t="s">
        <v>6479</v>
      </c>
      <c r="D1039" s="6" t="s">
        <v>6480</v>
      </c>
    </row>
    <row r="1040" spans="1:4" x14ac:dyDescent="0.35">
      <c r="A1040" s="6" t="s">
        <v>1322</v>
      </c>
      <c r="B1040" s="6" t="s">
        <v>4713</v>
      </c>
      <c r="C1040" s="6" t="s">
        <v>6481</v>
      </c>
      <c r="D1040" s="6" t="s">
        <v>6482</v>
      </c>
    </row>
    <row r="1041" spans="1:4" x14ac:dyDescent="0.35">
      <c r="A1041" s="6" t="s">
        <v>1321</v>
      </c>
      <c r="B1041" s="6" t="s">
        <v>4713</v>
      </c>
      <c r="C1041" s="6" t="s">
        <v>6483</v>
      </c>
      <c r="D1041" s="6" t="s">
        <v>6484</v>
      </c>
    </row>
    <row r="1042" spans="1:4" x14ac:dyDescent="0.35">
      <c r="A1042" s="6" t="s">
        <v>1320</v>
      </c>
      <c r="B1042" s="6" t="s">
        <v>4716</v>
      </c>
      <c r="C1042" s="6" t="s">
        <v>5930</v>
      </c>
      <c r="D1042" s="6" t="s">
        <v>5023</v>
      </c>
    </row>
    <row r="1043" spans="1:4" x14ac:dyDescent="0.35">
      <c r="A1043" s="6" t="s">
        <v>1319</v>
      </c>
      <c r="B1043" s="6" t="s">
        <v>4713</v>
      </c>
      <c r="C1043" s="6" t="s">
        <v>6485</v>
      </c>
      <c r="D1043" s="6" t="s">
        <v>6486</v>
      </c>
    </row>
    <row r="1044" spans="1:4" x14ac:dyDescent="0.35">
      <c r="A1044" s="6" t="s">
        <v>1318</v>
      </c>
      <c r="B1044" s="6" t="s">
        <v>4716</v>
      </c>
      <c r="C1044" s="6" t="s">
        <v>6487</v>
      </c>
      <c r="D1044" s="6" t="s">
        <v>6488</v>
      </c>
    </row>
    <row r="1045" spans="1:4" x14ac:dyDescent="0.35">
      <c r="A1045" s="6" t="s">
        <v>1317</v>
      </c>
      <c r="B1045" s="6" t="s">
        <v>4716</v>
      </c>
      <c r="C1045" s="6" t="s">
        <v>6489</v>
      </c>
      <c r="D1045" s="6" t="s">
        <v>6490</v>
      </c>
    </row>
    <row r="1046" spans="1:4" x14ac:dyDescent="0.35">
      <c r="A1046" s="6" t="s">
        <v>1316</v>
      </c>
      <c r="B1046" s="6" t="s">
        <v>5590</v>
      </c>
      <c r="C1046" s="6" t="s">
        <v>6491</v>
      </c>
      <c r="D1046" s="6" t="s">
        <v>6492</v>
      </c>
    </row>
    <row r="1047" spans="1:4" x14ac:dyDescent="0.35">
      <c r="A1047" s="6" t="s">
        <v>1315</v>
      </c>
      <c r="B1047" s="6" t="s">
        <v>4716</v>
      </c>
      <c r="C1047" s="6" t="s">
        <v>6493</v>
      </c>
      <c r="D1047" s="6" t="s">
        <v>6494</v>
      </c>
    </row>
    <row r="1048" spans="1:4" x14ac:dyDescent="0.35">
      <c r="A1048" s="6" t="s">
        <v>1314</v>
      </c>
      <c r="B1048" s="6" t="s">
        <v>4716</v>
      </c>
      <c r="C1048" s="6" t="s">
        <v>6495</v>
      </c>
      <c r="D1048" s="6" t="s">
        <v>6462</v>
      </c>
    </row>
    <row r="1049" spans="1:4" x14ac:dyDescent="0.35">
      <c r="A1049" s="6" t="s">
        <v>1313</v>
      </c>
      <c r="B1049" s="6" t="s">
        <v>4713</v>
      </c>
      <c r="C1049" s="6" t="s">
        <v>6496</v>
      </c>
      <c r="D1049" s="6" t="s">
        <v>6497</v>
      </c>
    </row>
    <row r="1050" spans="1:4" x14ac:dyDescent="0.35">
      <c r="A1050" s="6" t="s">
        <v>1312</v>
      </c>
      <c r="B1050" s="6" t="s">
        <v>4713</v>
      </c>
      <c r="C1050" s="6" t="s">
        <v>6498</v>
      </c>
      <c r="D1050" s="6" t="s">
        <v>6499</v>
      </c>
    </row>
    <row r="1051" spans="1:4" x14ac:dyDescent="0.35">
      <c r="A1051" s="6" t="s">
        <v>1311</v>
      </c>
      <c r="B1051" s="6" t="s">
        <v>4713</v>
      </c>
      <c r="C1051" s="6" t="s">
        <v>6500</v>
      </c>
      <c r="D1051" s="6" t="s">
        <v>5939</v>
      </c>
    </row>
    <row r="1052" spans="1:4" x14ac:dyDescent="0.35">
      <c r="A1052" s="6" t="s">
        <v>1310</v>
      </c>
      <c r="B1052" s="6" t="s">
        <v>5590</v>
      </c>
      <c r="C1052" s="6" t="s">
        <v>6501</v>
      </c>
      <c r="D1052" s="6" t="s">
        <v>6502</v>
      </c>
    </row>
    <row r="1053" spans="1:4" x14ac:dyDescent="0.35">
      <c r="A1053" s="6" t="s">
        <v>1309</v>
      </c>
      <c r="B1053" s="6" t="s">
        <v>4716</v>
      </c>
      <c r="C1053" s="6" t="s">
        <v>6503</v>
      </c>
      <c r="D1053" s="6" t="s">
        <v>6504</v>
      </c>
    </row>
    <row r="1054" spans="1:4" x14ac:dyDescent="0.35">
      <c r="A1054" s="6" t="s">
        <v>1308</v>
      </c>
      <c r="B1054" s="6" t="s">
        <v>4713</v>
      </c>
      <c r="C1054" s="6" t="s">
        <v>6505</v>
      </c>
      <c r="D1054" s="6" t="s">
        <v>6506</v>
      </c>
    </row>
    <row r="1055" spans="1:4" x14ac:dyDescent="0.35">
      <c r="A1055" s="6" t="s">
        <v>1307</v>
      </c>
      <c r="B1055" s="6" t="s">
        <v>4716</v>
      </c>
      <c r="C1055" s="6" t="s">
        <v>6507</v>
      </c>
      <c r="D1055" s="6" t="s">
        <v>6508</v>
      </c>
    </row>
    <row r="1056" spans="1:4" x14ac:dyDescent="0.35">
      <c r="A1056" s="6" t="s">
        <v>1306</v>
      </c>
      <c r="B1056" s="6" t="s">
        <v>5590</v>
      </c>
      <c r="C1056" s="6" t="s">
        <v>6509</v>
      </c>
      <c r="D1056" s="6" t="s">
        <v>5490</v>
      </c>
    </row>
    <row r="1057" spans="1:4" x14ac:dyDescent="0.35">
      <c r="A1057" s="6" t="s">
        <v>1305</v>
      </c>
      <c r="B1057" s="6" t="s">
        <v>4713</v>
      </c>
      <c r="C1057" s="6" t="s">
        <v>6510</v>
      </c>
      <c r="D1057" s="6" t="s">
        <v>6511</v>
      </c>
    </row>
    <row r="1058" spans="1:4" x14ac:dyDescent="0.35">
      <c r="A1058" s="6" t="s">
        <v>1304</v>
      </c>
      <c r="B1058" s="6" t="s">
        <v>5590</v>
      </c>
      <c r="C1058" s="6" t="s">
        <v>6404</v>
      </c>
      <c r="D1058" s="6" t="s">
        <v>6512</v>
      </c>
    </row>
    <row r="1059" spans="1:4" x14ac:dyDescent="0.35">
      <c r="A1059" s="6" t="s">
        <v>1303</v>
      </c>
      <c r="B1059" s="6" t="s">
        <v>4713</v>
      </c>
      <c r="C1059" s="6" t="s">
        <v>6513</v>
      </c>
      <c r="D1059" s="6" t="s">
        <v>6314</v>
      </c>
    </row>
    <row r="1060" spans="1:4" x14ac:dyDescent="0.35">
      <c r="A1060" s="6" t="s">
        <v>1302</v>
      </c>
      <c r="B1060" s="6" t="s">
        <v>4716</v>
      </c>
      <c r="C1060" s="6" t="s">
        <v>6514</v>
      </c>
      <c r="D1060" s="6" t="s">
        <v>5105</v>
      </c>
    </row>
    <row r="1061" spans="1:4" x14ac:dyDescent="0.35">
      <c r="A1061" s="6" t="s">
        <v>1301</v>
      </c>
      <c r="B1061" s="6" t="s">
        <v>4716</v>
      </c>
      <c r="C1061" s="6" t="s">
        <v>6515</v>
      </c>
      <c r="D1061" s="6" t="s">
        <v>6516</v>
      </c>
    </row>
    <row r="1062" spans="1:4" x14ac:dyDescent="0.35">
      <c r="A1062" s="6" t="s">
        <v>1300</v>
      </c>
      <c r="B1062" s="6" t="s">
        <v>4716</v>
      </c>
      <c r="C1062" s="6" t="s">
        <v>6517</v>
      </c>
      <c r="D1062" s="6" t="s">
        <v>6518</v>
      </c>
    </row>
    <row r="1063" spans="1:4" x14ac:dyDescent="0.35">
      <c r="A1063" s="6" t="s">
        <v>1299</v>
      </c>
      <c r="B1063" s="6" t="s">
        <v>4716</v>
      </c>
      <c r="C1063" s="6" t="s">
        <v>6056</v>
      </c>
      <c r="D1063" s="6" t="s">
        <v>6519</v>
      </c>
    </row>
    <row r="1064" spans="1:4" x14ac:dyDescent="0.35">
      <c r="A1064" s="6" t="s">
        <v>1298</v>
      </c>
      <c r="B1064" s="6" t="s">
        <v>4716</v>
      </c>
      <c r="C1064" s="6" t="s">
        <v>6520</v>
      </c>
      <c r="D1064" s="6" t="s">
        <v>6521</v>
      </c>
    </row>
    <row r="1065" spans="1:4" x14ac:dyDescent="0.35">
      <c r="A1065" s="6" t="s">
        <v>1297</v>
      </c>
      <c r="B1065" s="6" t="s">
        <v>4716</v>
      </c>
      <c r="C1065" s="6" t="s">
        <v>6522</v>
      </c>
      <c r="D1065" s="6" t="s">
        <v>6523</v>
      </c>
    </row>
    <row r="1066" spans="1:4" x14ac:dyDescent="0.35">
      <c r="A1066" s="6" t="s">
        <v>1296</v>
      </c>
      <c r="B1066" s="6" t="s">
        <v>4713</v>
      </c>
      <c r="C1066" s="6" t="s">
        <v>6524</v>
      </c>
      <c r="D1066" s="6" t="s">
        <v>6525</v>
      </c>
    </row>
    <row r="1067" spans="1:4" x14ac:dyDescent="0.35">
      <c r="A1067" s="6" t="s">
        <v>1295</v>
      </c>
      <c r="B1067" s="6" t="s">
        <v>4716</v>
      </c>
      <c r="C1067" s="6" t="s">
        <v>6526</v>
      </c>
      <c r="D1067" s="6" t="s">
        <v>6527</v>
      </c>
    </row>
    <row r="1068" spans="1:4" x14ac:dyDescent="0.35">
      <c r="A1068" s="6" t="s">
        <v>1294</v>
      </c>
      <c r="B1068" s="6" t="s">
        <v>4713</v>
      </c>
      <c r="C1068" s="6" t="s">
        <v>6528</v>
      </c>
      <c r="D1068" s="6" t="s">
        <v>6529</v>
      </c>
    </row>
    <row r="1069" spans="1:4" x14ac:dyDescent="0.35">
      <c r="A1069" s="6" t="s">
        <v>1293</v>
      </c>
      <c r="B1069" s="6" t="s">
        <v>4716</v>
      </c>
      <c r="C1069" s="6" t="s">
        <v>6530</v>
      </c>
      <c r="D1069" s="6" t="s">
        <v>4728</v>
      </c>
    </row>
    <row r="1070" spans="1:4" x14ac:dyDescent="0.35">
      <c r="A1070" s="6" t="s">
        <v>1292</v>
      </c>
      <c r="B1070" s="6" t="s">
        <v>4713</v>
      </c>
      <c r="C1070" s="6" t="s">
        <v>6067</v>
      </c>
      <c r="D1070" s="6" t="s">
        <v>6531</v>
      </c>
    </row>
    <row r="1071" spans="1:4" x14ac:dyDescent="0.35">
      <c r="A1071" s="6" t="s">
        <v>1291</v>
      </c>
      <c r="B1071" s="6" t="s">
        <v>4713</v>
      </c>
      <c r="C1071" s="6" t="s">
        <v>6532</v>
      </c>
      <c r="D1071" s="6" t="s">
        <v>6533</v>
      </c>
    </row>
    <row r="1072" spans="1:4" x14ac:dyDescent="0.35">
      <c r="A1072" s="6" t="s">
        <v>1290</v>
      </c>
      <c r="B1072" s="6" t="s">
        <v>4713</v>
      </c>
      <c r="C1072" s="6" t="s">
        <v>6534</v>
      </c>
      <c r="D1072" s="6" t="s">
        <v>5356</v>
      </c>
    </row>
    <row r="1073" spans="1:4" x14ac:dyDescent="0.35">
      <c r="A1073" s="6" t="s">
        <v>1289</v>
      </c>
      <c r="B1073" s="6" t="s">
        <v>5590</v>
      </c>
      <c r="C1073" s="6" t="s">
        <v>6535</v>
      </c>
      <c r="D1073" s="6" t="s">
        <v>6536</v>
      </c>
    </row>
    <row r="1074" spans="1:4" x14ac:dyDescent="0.35">
      <c r="A1074" s="6" t="s">
        <v>1288</v>
      </c>
      <c r="B1074" s="6" t="s">
        <v>4713</v>
      </c>
      <c r="C1074" s="6" t="s">
        <v>6537</v>
      </c>
      <c r="D1074" s="6" t="s">
        <v>6538</v>
      </c>
    </row>
    <row r="1075" spans="1:4" x14ac:dyDescent="0.35">
      <c r="A1075" s="6" t="s">
        <v>1287</v>
      </c>
      <c r="B1075" s="6" t="s">
        <v>4716</v>
      </c>
      <c r="C1075" s="6" t="s">
        <v>6539</v>
      </c>
      <c r="D1075" s="6" t="s">
        <v>4994</v>
      </c>
    </row>
    <row r="1076" spans="1:4" x14ac:dyDescent="0.35">
      <c r="A1076" s="6" t="s">
        <v>1286</v>
      </c>
      <c r="B1076" s="6" t="s">
        <v>4716</v>
      </c>
      <c r="C1076" s="6" t="s">
        <v>6540</v>
      </c>
      <c r="D1076" s="6" t="s">
        <v>5692</v>
      </c>
    </row>
    <row r="1077" spans="1:4" x14ac:dyDescent="0.35">
      <c r="A1077" s="6" t="s">
        <v>1285</v>
      </c>
      <c r="B1077" s="6" t="s">
        <v>4716</v>
      </c>
      <c r="C1077" s="6" t="s">
        <v>5619</v>
      </c>
      <c r="D1077" s="6" t="s">
        <v>6541</v>
      </c>
    </row>
    <row r="1078" spans="1:4" x14ac:dyDescent="0.35">
      <c r="A1078" s="6" t="s">
        <v>1284</v>
      </c>
      <c r="B1078" s="6" t="s">
        <v>4713</v>
      </c>
      <c r="C1078" s="6" t="s">
        <v>6542</v>
      </c>
      <c r="D1078" s="6" t="s">
        <v>6543</v>
      </c>
    </row>
    <row r="1079" spans="1:4" x14ac:dyDescent="0.35">
      <c r="A1079" s="6" t="s">
        <v>1283</v>
      </c>
      <c r="B1079" s="6" t="s">
        <v>4716</v>
      </c>
      <c r="C1079" s="6" t="s">
        <v>6544</v>
      </c>
      <c r="D1079" s="6" t="s">
        <v>5140</v>
      </c>
    </row>
    <row r="1080" spans="1:4" x14ac:dyDescent="0.35">
      <c r="A1080" s="6" t="s">
        <v>1282</v>
      </c>
      <c r="B1080" s="6" t="s">
        <v>4716</v>
      </c>
      <c r="C1080" s="6" t="s">
        <v>6545</v>
      </c>
      <c r="D1080" s="6" t="s">
        <v>6546</v>
      </c>
    </row>
    <row r="1081" spans="1:4" x14ac:dyDescent="0.35">
      <c r="A1081" s="6" t="s">
        <v>1281</v>
      </c>
      <c r="B1081" s="6" t="s">
        <v>4716</v>
      </c>
      <c r="C1081" s="6" t="s">
        <v>6547</v>
      </c>
      <c r="D1081" s="6" t="s">
        <v>6548</v>
      </c>
    </row>
    <row r="1082" spans="1:4" x14ac:dyDescent="0.35">
      <c r="A1082" s="6" t="s">
        <v>1280</v>
      </c>
      <c r="B1082" s="6" t="s">
        <v>4716</v>
      </c>
      <c r="C1082" s="6" t="s">
        <v>6549</v>
      </c>
      <c r="D1082" s="6" t="s">
        <v>6550</v>
      </c>
    </row>
    <row r="1083" spans="1:4" x14ac:dyDescent="0.35">
      <c r="A1083" s="6" t="s">
        <v>1279</v>
      </c>
      <c r="B1083" s="6" t="s">
        <v>5590</v>
      </c>
      <c r="C1083" s="6" t="s">
        <v>6551</v>
      </c>
      <c r="D1083" s="6" t="s">
        <v>6552</v>
      </c>
    </row>
    <row r="1084" spans="1:4" x14ac:dyDescent="0.35">
      <c r="A1084" s="6" t="s">
        <v>1278</v>
      </c>
      <c r="B1084" s="6" t="s">
        <v>5590</v>
      </c>
      <c r="C1084" s="6" t="s">
        <v>6553</v>
      </c>
      <c r="D1084" s="6" t="s">
        <v>6554</v>
      </c>
    </row>
    <row r="1085" spans="1:4" x14ac:dyDescent="0.35">
      <c r="A1085" s="6" t="s">
        <v>1277</v>
      </c>
      <c r="B1085" s="6" t="s">
        <v>4716</v>
      </c>
      <c r="C1085" s="6" t="s">
        <v>6555</v>
      </c>
      <c r="D1085" s="6" t="s">
        <v>6556</v>
      </c>
    </row>
    <row r="1086" spans="1:4" x14ac:dyDescent="0.35">
      <c r="A1086" s="6" t="s">
        <v>1276</v>
      </c>
      <c r="B1086" s="6" t="s">
        <v>4716</v>
      </c>
      <c r="C1086" s="6" t="s">
        <v>6557</v>
      </c>
      <c r="D1086" s="6" t="s">
        <v>5692</v>
      </c>
    </row>
    <row r="1087" spans="1:4" x14ac:dyDescent="0.35">
      <c r="A1087" s="6" t="s">
        <v>1275</v>
      </c>
      <c r="B1087" s="6" t="s">
        <v>4716</v>
      </c>
      <c r="C1087" s="6" t="s">
        <v>6558</v>
      </c>
      <c r="D1087" s="6" t="s">
        <v>5140</v>
      </c>
    </row>
    <row r="1088" spans="1:4" x14ac:dyDescent="0.35">
      <c r="A1088" s="6" t="s">
        <v>1274</v>
      </c>
      <c r="B1088" s="6" t="s">
        <v>4713</v>
      </c>
      <c r="C1088" s="6" t="s">
        <v>6559</v>
      </c>
      <c r="D1088" s="6" t="s">
        <v>6560</v>
      </c>
    </row>
    <row r="1089" spans="1:4" x14ac:dyDescent="0.35">
      <c r="A1089" s="6" t="s">
        <v>1273</v>
      </c>
      <c r="B1089" s="6" t="s">
        <v>4713</v>
      </c>
      <c r="C1089" s="6" t="s">
        <v>6561</v>
      </c>
      <c r="D1089" s="6" t="s">
        <v>6562</v>
      </c>
    </row>
    <row r="1090" spans="1:4" x14ac:dyDescent="0.35">
      <c r="A1090" s="6" t="s">
        <v>1272</v>
      </c>
      <c r="B1090" s="6" t="s">
        <v>5590</v>
      </c>
      <c r="C1090" s="6" t="s">
        <v>6563</v>
      </c>
      <c r="D1090" s="6" t="s">
        <v>6564</v>
      </c>
    </row>
    <row r="1091" spans="1:4" x14ac:dyDescent="0.35">
      <c r="A1091" s="6" t="s">
        <v>1271</v>
      </c>
      <c r="B1091" s="6" t="s">
        <v>4713</v>
      </c>
      <c r="C1091" s="6" t="s">
        <v>6565</v>
      </c>
      <c r="D1091" s="6" t="s">
        <v>6566</v>
      </c>
    </row>
    <row r="1092" spans="1:4" x14ac:dyDescent="0.35">
      <c r="A1092" s="6" t="s">
        <v>1270</v>
      </c>
      <c r="B1092" s="6" t="s">
        <v>4713</v>
      </c>
      <c r="C1092" s="6" t="s">
        <v>6479</v>
      </c>
      <c r="D1092" s="6" t="s">
        <v>6567</v>
      </c>
    </row>
    <row r="1093" spans="1:4" x14ac:dyDescent="0.35">
      <c r="A1093" s="6" t="s">
        <v>1269</v>
      </c>
      <c r="B1093" s="6" t="s">
        <v>4716</v>
      </c>
      <c r="C1093" s="6" t="s">
        <v>6568</v>
      </c>
      <c r="D1093" s="6" t="s">
        <v>6569</v>
      </c>
    </row>
    <row r="1094" spans="1:4" x14ac:dyDescent="0.35">
      <c r="A1094" s="6" t="s">
        <v>1268</v>
      </c>
      <c r="B1094" s="6" t="s">
        <v>4713</v>
      </c>
      <c r="C1094" s="6" t="s">
        <v>6570</v>
      </c>
      <c r="D1094" s="6" t="s">
        <v>6571</v>
      </c>
    </row>
    <row r="1095" spans="1:4" x14ac:dyDescent="0.35">
      <c r="A1095" s="6" t="s">
        <v>1267</v>
      </c>
      <c r="B1095" s="6" t="s">
        <v>4716</v>
      </c>
      <c r="C1095" s="6" t="s">
        <v>4838</v>
      </c>
      <c r="D1095" s="6" t="s">
        <v>6161</v>
      </c>
    </row>
    <row r="1096" spans="1:4" x14ac:dyDescent="0.35">
      <c r="A1096" s="6" t="s">
        <v>1266</v>
      </c>
      <c r="B1096" s="6" t="s">
        <v>4716</v>
      </c>
      <c r="C1096" s="6" t="s">
        <v>6572</v>
      </c>
      <c r="D1096" s="6" t="s">
        <v>5014</v>
      </c>
    </row>
    <row r="1097" spans="1:4" x14ac:dyDescent="0.35">
      <c r="A1097" s="6" t="s">
        <v>1265</v>
      </c>
      <c r="B1097" s="6" t="s">
        <v>5590</v>
      </c>
      <c r="C1097" s="6" t="s">
        <v>6573</v>
      </c>
      <c r="D1097" s="6" t="s">
        <v>6574</v>
      </c>
    </row>
    <row r="1098" spans="1:4" x14ac:dyDescent="0.35">
      <c r="A1098" s="6" t="s">
        <v>1264</v>
      </c>
      <c r="B1098" s="6" t="s">
        <v>4713</v>
      </c>
      <c r="C1098" s="6" t="s">
        <v>6575</v>
      </c>
      <c r="D1098" s="6" t="s">
        <v>6576</v>
      </c>
    </row>
    <row r="1099" spans="1:4" x14ac:dyDescent="0.35">
      <c r="A1099" s="6" t="s">
        <v>1263</v>
      </c>
      <c r="B1099" s="6" t="s">
        <v>4713</v>
      </c>
      <c r="C1099" s="6" t="s">
        <v>6577</v>
      </c>
      <c r="D1099" s="6" t="s">
        <v>5939</v>
      </c>
    </row>
    <row r="1100" spans="1:4" x14ac:dyDescent="0.35">
      <c r="A1100" s="6" t="s">
        <v>1262</v>
      </c>
      <c r="B1100" s="6" t="s">
        <v>4713</v>
      </c>
      <c r="C1100" s="6" t="s">
        <v>5195</v>
      </c>
      <c r="D1100" s="6" t="s">
        <v>6578</v>
      </c>
    </row>
    <row r="1101" spans="1:4" x14ac:dyDescent="0.35">
      <c r="A1101" s="6" t="s">
        <v>1261</v>
      </c>
      <c r="B1101" s="6" t="s">
        <v>4716</v>
      </c>
      <c r="C1101" s="6" t="s">
        <v>6579</v>
      </c>
      <c r="D1101" s="6" t="s">
        <v>6580</v>
      </c>
    </row>
    <row r="1102" spans="1:4" x14ac:dyDescent="0.35">
      <c r="A1102" s="6" t="s">
        <v>1260</v>
      </c>
      <c r="B1102" s="6" t="s">
        <v>5590</v>
      </c>
      <c r="C1102" s="6" t="s">
        <v>6581</v>
      </c>
      <c r="D1102" s="6" t="s">
        <v>5536</v>
      </c>
    </row>
    <row r="1103" spans="1:4" x14ac:dyDescent="0.35">
      <c r="A1103" s="6" t="s">
        <v>1259</v>
      </c>
      <c r="B1103" s="6" t="s">
        <v>4716</v>
      </c>
      <c r="C1103" s="6" t="s">
        <v>5579</v>
      </c>
      <c r="D1103" s="6" t="s">
        <v>4728</v>
      </c>
    </row>
    <row r="1104" spans="1:4" x14ac:dyDescent="0.35">
      <c r="A1104" s="6" t="s">
        <v>1258</v>
      </c>
      <c r="B1104" s="6" t="s">
        <v>4716</v>
      </c>
      <c r="C1104" s="6" t="s">
        <v>6582</v>
      </c>
      <c r="D1104" s="6" t="s">
        <v>6583</v>
      </c>
    </row>
    <row r="1105" spans="1:4" x14ac:dyDescent="0.35">
      <c r="A1105" s="6" t="s">
        <v>1257</v>
      </c>
      <c r="B1105" s="6" t="s">
        <v>4713</v>
      </c>
      <c r="C1105" s="6" t="s">
        <v>6584</v>
      </c>
      <c r="D1105" s="6" t="s">
        <v>6585</v>
      </c>
    </row>
    <row r="1106" spans="1:4" x14ac:dyDescent="0.35">
      <c r="A1106" s="6" t="s">
        <v>1256</v>
      </c>
      <c r="B1106" s="6" t="s">
        <v>4716</v>
      </c>
      <c r="C1106" s="6" t="s">
        <v>6586</v>
      </c>
      <c r="D1106" s="6" t="s">
        <v>6587</v>
      </c>
    </row>
    <row r="1107" spans="1:4" x14ac:dyDescent="0.35">
      <c r="A1107" s="6" t="s">
        <v>1255</v>
      </c>
      <c r="B1107" s="6" t="s">
        <v>4716</v>
      </c>
      <c r="C1107" s="6" t="s">
        <v>6588</v>
      </c>
      <c r="D1107" s="6" t="s">
        <v>4942</v>
      </c>
    </row>
    <row r="1108" spans="1:4" x14ac:dyDescent="0.35">
      <c r="A1108" s="6" t="s">
        <v>1254</v>
      </c>
      <c r="B1108" s="6" t="s">
        <v>4716</v>
      </c>
      <c r="C1108" s="6" t="s">
        <v>6589</v>
      </c>
      <c r="D1108" s="6" t="s">
        <v>5771</v>
      </c>
    </row>
    <row r="1109" spans="1:4" x14ac:dyDescent="0.35">
      <c r="A1109" s="6" t="s">
        <v>1253</v>
      </c>
      <c r="B1109" s="6" t="s">
        <v>4713</v>
      </c>
      <c r="C1109" s="6" t="s">
        <v>6590</v>
      </c>
      <c r="D1109" s="6" t="s">
        <v>6591</v>
      </c>
    </row>
    <row r="1110" spans="1:4" x14ac:dyDescent="0.35">
      <c r="A1110" s="6" t="s">
        <v>1252</v>
      </c>
      <c r="B1110" s="6" t="s">
        <v>5590</v>
      </c>
      <c r="C1110" s="6" t="s">
        <v>6592</v>
      </c>
      <c r="D1110" s="6" t="s">
        <v>6593</v>
      </c>
    </row>
    <row r="1111" spans="1:4" x14ac:dyDescent="0.35">
      <c r="A1111" s="6" t="s">
        <v>1251</v>
      </c>
      <c r="B1111" s="6" t="s">
        <v>5590</v>
      </c>
      <c r="C1111" s="6" t="s">
        <v>6594</v>
      </c>
      <c r="D1111" s="6" t="s">
        <v>6595</v>
      </c>
    </row>
    <row r="1112" spans="1:4" x14ac:dyDescent="0.35">
      <c r="A1112" s="6" t="s">
        <v>1250</v>
      </c>
      <c r="B1112" s="6" t="s">
        <v>4713</v>
      </c>
      <c r="C1112" s="6" t="s">
        <v>5446</v>
      </c>
      <c r="D1112" s="6" t="s">
        <v>4869</v>
      </c>
    </row>
    <row r="1113" spans="1:4" x14ac:dyDescent="0.35">
      <c r="A1113" s="6" t="s">
        <v>1249</v>
      </c>
      <c r="B1113" s="6" t="s">
        <v>5590</v>
      </c>
      <c r="C1113" s="6" t="s">
        <v>6596</v>
      </c>
      <c r="D1113" s="6" t="s">
        <v>6597</v>
      </c>
    </row>
    <row r="1114" spans="1:4" x14ac:dyDescent="0.35">
      <c r="A1114" s="6" t="s">
        <v>1248</v>
      </c>
      <c r="B1114" s="6" t="s">
        <v>4716</v>
      </c>
      <c r="C1114" s="6" t="s">
        <v>6598</v>
      </c>
      <c r="D1114" s="6" t="s">
        <v>4899</v>
      </c>
    </row>
    <row r="1115" spans="1:4" x14ac:dyDescent="0.35">
      <c r="A1115" s="6" t="s">
        <v>1247</v>
      </c>
      <c r="B1115" s="6" t="s">
        <v>4713</v>
      </c>
      <c r="C1115" s="6" t="s">
        <v>6599</v>
      </c>
      <c r="D1115" s="6" t="s">
        <v>6600</v>
      </c>
    </row>
    <row r="1116" spans="1:4" x14ac:dyDescent="0.35">
      <c r="A1116" s="6" t="s">
        <v>1246</v>
      </c>
      <c r="B1116" s="6" t="s">
        <v>4713</v>
      </c>
      <c r="C1116" s="6" t="s">
        <v>6601</v>
      </c>
      <c r="D1116" s="6" t="s">
        <v>6602</v>
      </c>
    </row>
    <row r="1117" spans="1:4" x14ac:dyDescent="0.35">
      <c r="A1117" s="6" t="s">
        <v>1245</v>
      </c>
      <c r="B1117" s="6" t="s">
        <v>4713</v>
      </c>
      <c r="C1117" s="6" t="s">
        <v>6603</v>
      </c>
      <c r="D1117" s="6" t="s">
        <v>6604</v>
      </c>
    </row>
    <row r="1118" spans="1:4" x14ac:dyDescent="0.35">
      <c r="A1118" s="6" t="s">
        <v>1244</v>
      </c>
      <c r="B1118" s="6" t="s">
        <v>4713</v>
      </c>
      <c r="C1118" s="6" t="s">
        <v>6605</v>
      </c>
      <c r="D1118" s="6" t="s">
        <v>6606</v>
      </c>
    </row>
    <row r="1119" spans="1:4" x14ac:dyDescent="0.35">
      <c r="A1119" s="6" t="s">
        <v>1243</v>
      </c>
      <c r="B1119" s="6" t="s">
        <v>4713</v>
      </c>
      <c r="C1119" s="6" t="s">
        <v>6607</v>
      </c>
      <c r="D1119" s="6" t="s">
        <v>5148</v>
      </c>
    </row>
    <row r="1120" spans="1:4" x14ac:dyDescent="0.35">
      <c r="A1120" s="6" t="s">
        <v>1242</v>
      </c>
      <c r="B1120" s="6" t="s">
        <v>4716</v>
      </c>
      <c r="C1120" s="6" t="s">
        <v>6608</v>
      </c>
      <c r="D1120" s="6" t="s">
        <v>6609</v>
      </c>
    </row>
    <row r="1121" spans="1:4" x14ac:dyDescent="0.35">
      <c r="A1121" s="6" t="s">
        <v>1241</v>
      </c>
      <c r="B1121" s="6" t="s">
        <v>4716</v>
      </c>
      <c r="C1121" s="6" t="s">
        <v>6610</v>
      </c>
      <c r="D1121" s="6" t="s">
        <v>6611</v>
      </c>
    </row>
    <row r="1122" spans="1:4" x14ac:dyDescent="0.35">
      <c r="A1122" s="6" t="s">
        <v>1240</v>
      </c>
      <c r="B1122" s="6" t="s">
        <v>4716</v>
      </c>
      <c r="C1122" s="6" t="s">
        <v>6612</v>
      </c>
      <c r="D1122" s="6" t="s">
        <v>6613</v>
      </c>
    </row>
    <row r="1123" spans="1:4" x14ac:dyDescent="0.35">
      <c r="A1123" s="6" t="s">
        <v>1239</v>
      </c>
      <c r="B1123" s="6" t="s">
        <v>4716</v>
      </c>
      <c r="C1123" s="6" t="s">
        <v>6614</v>
      </c>
      <c r="D1123" s="6" t="s">
        <v>6615</v>
      </c>
    </row>
    <row r="1124" spans="1:4" x14ac:dyDescent="0.35">
      <c r="A1124" s="6" t="s">
        <v>1238</v>
      </c>
      <c r="B1124" s="6" t="s">
        <v>4713</v>
      </c>
      <c r="C1124" s="6" t="s">
        <v>6616</v>
      </c>
      <c r="D1124" s="6" t="s">
        <v>6617</v>
      </c>
    </row>
    <row r="1125" spans="1:4" x14ac:dyDescent="0.35">
      <c r="A1125" s="6" t="s">
        <v>1237</v>
      </c>
      <c r="B1125" s="6" t="s">
        <v>4716</v>
      </c>
      <c r="C1125" s="6" t="s">
        <v>6618</v>
      </c>
      <c r="D1125" s="6" t="s">
        <v>5459</v>
      </c>
    </row>
    <row r="1126" spans="1:4" x14ac:dyDescent="0.35">
      <c r="A1126" s="6" t="s">
        <v>1236</v>
      </c>
      <c r="B1126" s="6" t="s">
        <v>5590</v>
      </c>
      <c r="C1126" s="6" t="s">
        <v>6619</v>
      </c>
      <c r="D1126" s="6" t="s">
        <v>6620</v>
      </c>
    </row>
    <row r="1127" spans="1:4" x14ac:dyDescent="0.35">
      <c r="A1127" s="6" t="s">
        <v>1235</v>
      </c>
      <c r="B1127" s="6" t="s">
        <v>4713</v>
      </c>
      <c r="C1127" s="6" t="s">
        <v>6621</v>
      </c>
      <c r="D1127" s="6" t="s">
        <v>6622</v>
      </c>
    </row>
    <row r="1128" spans="1:4" x14ac:dyDescent="0.35">
      <c r="A1128" s="6" t="s">
        <v>1234</v>
      </c>
      <c r="B1128" s="6" t="s">
        <v>4716</v>
      </c>
      <c r="C1128" s="6" t="s">
        <v>6623</v>
      </c>
      <c r="D1128" s="6" t="s">
        <v>5471</v>
      </c>
    </row>
    <row r="1129" spans="1:4" x14ac:dyDescent="0.35">
      <c r="A1129" s="6" t="s">
        <v>1233</v>
      </c>
      <c r="B1129" s="6" t="s">
        <v>4716</v>
      </c>
      <c r="C1129" s="6" t="s">
        <v>6624</v>
      </c>
      <c r="D1129" s="6" t="s">
        <v>4811</v>
      </c>
    </row>
    <row r="1130" spans="1:4" x14ac:dyDescent="0.35">
      <c r="A1130" s="6" t="s">
        <v>1232</v>
      </c>
      <c r="B1130" s="6" t="s">
        <v>4716</v>
      </c>
      <c r="C1130" s="6" t="s">
        <v>6625</v>
      </c>
      <c r="D1130" s="6" t="s">
        <v>6626</v>
      </c>
    </row>
    <row r="1131" spans="1:4" x14ac:dyDescent="0.35">
      <c r="A1131" s="6" t="s">
        <v>1231</v>
      </c>
      <c r="B1131" s="6" t="s">
        <v>4713</v>
      </c>
      <c r="C1131" s="6" t="s">
        <v>6627</v>
      </c>
      <c r="D1131" s="6" t="s">
        <v>5661</v>
      </c>
    </row>
    <row r="1132" spans="1:4" x14ac:dyDescent="0.35">
      <c r="A1132" s="6" t="s">
        <v>1230</v>
      </c>
      <c r="B1132" s="6" t="s">
        <v>5590</v>
      </c>
      <c r="C1132" s="6" t="s">
        <v>6628</v>
      </c>
      <c r="D1132" s="6" t="s">
        <v>6629</v>
      </c>
    </row>
    <row r="1133" spans="1:4" x14ac:dyDescent="0.35">
      <c r="A1133" s="6" t="s">
        <v>1229</v>
      </c>
      <c r="B1133" s="6" t="s">
        <v>4713</v>
      </c>
      <c r="C1133" s="6" t="s">
        <v>6630</v>
      </c>
      <c r="D1133" s="6" t="s">
        <v>6631</v>
      </c>
    </row>
    <row r="1134" spans="1:4" x14ac:dyDescent="0.35">
      <c r="A1134" s="6" t="s">
        <v>1228</v>
      </c>
      <c r="B1134" s="6" t="s">
        <v>4716</v>
      </c>
      <c r="C1134" s="6" t="s">
        <v>6632</v>
      </c>
      <c r="D1134" s="6" t="s">
        <v>6633</v>
      </c>
    </row>
    <row r="1135" spans="1:4" x14ac:dyDescent="0.35">
      <c r="A1135" s="6" t="s">
        <v>1227</v>
      </c>
      <c r="B1135" s="6" t="s">
        <v>4713</v>
      </c>
      <c r="C1135" s="6" t="s">
        <v>6634</v>
      </c>
      <c r="D1135" s="6" t="s">
        <v>5078</v>
      </c>
    </row>
    <row r="1136" spans="1:4" x14ac:dyDescent="0.35">
      <c r="A1136" s="6" t="s">
        <v>1226</v>
      </c>
      <c r="B1136" s="6" t="s">
        <v>4713</v>
      </c>
      <c r="C1136" s="6" t="s">
        <v>6635</v>
      </c>
      <c r="D1136" s="6" t="s">
        <v>4841</v>
      </c>
    </row>
    <row r="1137" spans="1:4" x14ac:dyDescent="0.35">
      <c r="A1137" s="6" t="s">
        <v>1225</v>
      </c>
      <c r="B1137" s="6" t="s">
        <v>4713</v>
      </c>
      <c r="C1137" s="6" t="s">
        <v>6636</v>
      </c>
      <c r="D1137" s="6" t="s">
        <v>6637</v>
      </c>
    </row>
    <row r="1138" spans="1:4" x14ac:dyDescent="0.35">
      <c r="A1138" s="6" t="s">
        <v>1224</v>
      </c>
      <c r="B1138" s="6" t="s">
        <v>4713</v>
      </c>
      <c r="C1138" s="6" t="s">
        <v>6638</v>
      </c>
      <c r="D1138" s="6" t="s">
        <v>6639</v>
      </c>
    </row>
    <row r="1139" spans="1:4" x14ac:dyDescent="0.35">
      <c r="A1139" s="6" t="s">
        <v>1223</v>
      </c>
      <c r="B1139" s="6" t="s">
        <v>4713</v>
      </c>
      <c r="C1139" s="6" t="s">
        <v>6640</v>
      </c>
      <c r="D1139" s="6" t="s">
        <v>6641</v>
      </c>
    </row>
    <row r="1140" spans="1:4" x14ac:dyDescent="0.35">
      <c r="A1140" s="6" t="s">
        <v>1222</v>
      </c>
      <c r="B1140" s="6" t="s">
        <v>4713</v>
      </c>
      <c r="C1140" s="6" t="s">
        <v>6642</v>
      </c>
      <c r="D1140" s="6" t="s">
        <v>6643</v>
      </c>
    </row>
    <row r="1141" spans="1:4" x14ac:dyDescent="0.35">
      <c r="A1141" s="6" t="s">
        <v>1221</v>
      </c>
      <c r="B1141" s="6" t="s">
        <v>4716</v>
      </c>
      <c r="C1141" s="6" t="s">
        <v>6644</v>
      </c>
      <c r="D1141" s="6" t="s">
        <v>4811</v>
      </c>
    </row>
    <row r="1142" spans="1:4" x14ac:dyDescent="0.35">
      <c r="A1142" s="6" t="s">
        <v>1220</v>
      </c>
      <c r="B1142" s="6" t="s">
        <v>4716</v>
      </c>
      <c r="C1142" s="6" t="s">
        <v>5128</v>
      </c>
      <c r="D1142" s="6" t="s">
        <v>4843</v>
      </c>
    </row>
    <row r="1143" spans="1:4" x14ac:dyDescent="0.35">
      <c r="A1143" s="6" t="s">
        <v>1219</v>
      </c>
      <c r="B1143" s="6" t="s">
        <v>4713</v>
      </c>
      <c r="C1143" s="6" t="s">
        <v>6645</v>
      </c>
      <c r="D1143" s="6" t="s">
        <v>5076</v>
      </c>
    </row>
    <row r="1144" spans="1:4" x14ac:dyDescent="0.35">
      <c r="A1144" s="6" t="s">
        <v>1218</v>
      </c>
      <c r="B1144" s="6" t="s">
        <v>4716</v>
      </c>
      <c r="C1144" s="6" t="s">
        <v>6646</v>
      </c>
      <c r="D1144" s="6" t="s">
        <v>6161</v>
      </c>
    </row>
    <row r="1145" spans="1:4" x14ac:dyDescent="0.35">
      <c r="A1145" s="6" t="s">
        <v>1217</v>
      </c>
      <c r="B1145" s="6" t="s">
        <v>4713</v>
      </c>
      <c r="C1145" s="6" t="s">
        <v>6647</v>
      </c>
      <c r="D1145" s="6" t="s">
        <v>6648</v>
      </c>
    </row>
    <row r="1146" spans="1:4" x14ac:dyDescent="0.35">
      <c r="A1146" s="6" t="s">
        <v>1216</v>
      </c>
      <c r="B1146" s="6" t="s">
        <v>4713</v>
      </c>
      <c r="C1146" s="6" t="s">
        <v>6649</v>
      </c>
      <c r="D1146" s="6" t="s">
        <v>4760</v>
      </c>
    </row>
    <row r="1147" spans="1:4" x14ac:dyDescent="0.35">
      <c r="A1147" s="6" t="s">
        <v>1215</v>
      </c>
      <c r="B1147" s="6" t="s">
        <v>4716</v>
      </c>
      <c r="C1147" s="6" t="s">
        <v>6650</v>
      </c>
      <c r="D1147" s="6" t="s">
        <v>6651</v>
      </c>
    </row>
    <row r="1148" spans="1:4" x14ac:dyDescent="0.35">
      <c r="A1148" s="6" t="s">
        <v>1214</v>
      </c>
      <c r="B1148" s="6" t="s">
        <v>4716</v>
      </c>
      <c r="C1148" s="6" t="s">
        <v>6652</v>
      </c>
      <c r="D1148" s="6" t="s">
        <v>6653</v>
      </c>
    </row>
    <row r="1149" spans="1:4" x14ac:dyDescent="0.35">
      <c r="A1149" s="6" t="s">
        <v>1213</v>
      </c>
      <c r="B1149" s="6" t="s">
        <v>4716</v>
      </c>
      <c r="C1149" s="6" t="s">
        <v>6654</v>
      </c>
      <c r="D1149" s="6" t="s">
        <v>4908</v>
      </c>
    </row>
    <row r="1150" spans="1:4" x14ac:dyDescent="0.35">
      <c r="A1150" s="6" t="s">
        <v>1212</v>
      </c>
      <c r="B1150" s="6" t="s">
        <v>4716</v>
      </c>
      <c r="C1150" s="6" t="s">
        <v>6655</v>
      </c>
      <c r="D1150" s="6" t="s">
        <v>5014</v>
      </c>
    </row>
    <row r="1151" spans="1:4" x14ac:dyDescent="0.35">
      <c r="A1151" s="6" t="s">
        <v>1211</v>
      </c>
      <c r="B1151" s="6" t="s">
        <v>4713</v>
      </c>
      <c r="C1151" s="6" t="s">
        <v>6656</v>
      </c>
      <c r="D1151" s="6" t="s">
        <v>6657</v>
      </c>
    </row>
    <row r="1152" spans="1:4" x14ac:dyDescent="0.35">
      <c r="A1152" s="6" t="s">
        <v>1210</v>
      </c>
      <c r="B1152" s="6" t="s">
        <v>4716</v>
      </c>
      <c r="C1152" s="6" t="s">
        <v>5649</v>
      </c>
      <c r="D1152" s="6" t="s">
        <v>6658</v>
      </c>
    </row>
    <row r="1153" spans="1:4" x14ac:dyDescent="0.35">
      <c r="A1153" s="6" t="s">
        <v>1209</v>
      </c>
      <c r="B1153" s="6" t="s">
        <v>4716</v>
      </c>
      <c r="C1153" s="6" t="s">
        <v>6659</v>
      </c>
      <c r="D1153" s="6" t="s">
        <v>6660</v>
      </c>
    </row>
    <row r="1154" spans="1:4" x14ac:dyDescent="0.35">
      <c r="A1154" s="6" t="s">
        <v>1208</v>
      </c>
      <c r="B1154" s="6" t="s">
        <v>4713</v>
      </c>
      <c r="C1154" s="6" t="s">
        <v>6661</v>
      </c>
      <c r="D1154" s="6" t="s">
        <v>5621</v>
      </c>
    </row>
    <row r="1155" spans="1:4" x14ac:dyDescent="0.35">
      <c r="A1155" s="6" t="s">
        <v>1207</v>
      </c>
      <c r="B1155" s="6" t="s">
        <v>4713</v>
      </c>
      <c r="C1155" s="6" t="s">
        <v>6662</v>
      </c>
      <c r="D1155" s="6" t="s">
        <v>6663</v>
      </c>
    </row>
    <row r="1156" spans="1:4" x14ac:dyDescent="0.35">
      <c r="A1156" s="6" t="s">
        <v>1206</v>
      </c>
      <c r="B1156" s="6" t="s">
        <v>4713</v>
      </c>
      <c r="C1156" s="6" t="s">
        <v>6664</v>
      </c>
      <c r="D1156" s="6" t="s">
        <v>6665</v>
      </c>
    </row>
    <row r="1157" spans="1:4" x14ac:dyDescent="0.35">
      <c r="A1157" s="6" t="s">
        <v>1205</v>
      </c>
      <c r="B1157" s="6" t="s">
        <v>4716</v>
      </c>
      <c r="C1157" s="6" t="s">
        <v>6666</v>
      </c>
      <c r="D1157" s="6" t="s">
        <v>6667</v>
      </c>
    </row>
    <row r="1158" spans="1:4" x14ac:dyDescent="0.35">
      <c r="A1158" s="6" t="s">
        <v>1204</v>
      </c>
      <c r="B1158" s="6" t="s">
        <v>4716</v>
      </c>
      <c r="C1158" s="6" t="s">
        <v>6668</v>
      </c>
      <c r="D1158" s="6" t="s">
        <v>6669</v>
      </c>
    </row>
    <row r="1159" spans="1:4" x14ac:dyDescent="0.35">
      <c r="A1159" s="6" t="s">
        <v>1203</v>
      </c>
      <c r="B1159" s="6" t="s">
        <v>4716</v>
      </c>
      <c r="C1159" s="6" t="s">
        <v>6670</v>
      </c>
      <c r="D1159" s="6" t="s">
        <v>6671</v>
      </c>
    </row>
    <row r="1160" spans="1:4" x14ac:dyDescent="0.35">
      <c r="A1160" s="6" t="s">
        <v>1202</v>
      </c>
      <c r="B1160" s="6" t="s">
        <v>4713</v>
      </c>
      <c r="C1160" s="6" t="s">
        <v>6672</v>
      </c>
      <c r="D1160" s="6" t="s">
        <v>6673</v>
      </c>
    </row>
    <row r="1161" spans="1:4" x14ac:dyDescent="0.35">
      <c r="A1161" s="6" t="s">
        <v>1201</v>
      </c>
      <c r="B1161" s="6" t="s">
        <v>4716</v>
      </c>
      <c r="C1161" s="6" t="s">
        <v>6674</v>
      </c>
      <c r="D1161" s="6" t="s">
        <v>6675</v>
      </c>
    </row>
    <row r="1162" spans="1:4" x14ac:dyDescent="0.35">
      <c r="A1162" s="6" t="s">
        <v>1200</v>
      </c>
      <c r="B1162" s="6" t="s">
        <v>4713</v>
      </c>
      <c r="C1162" s="6" t="s">
        <v>6676</v>
      </c>
      <c r="D1162" s="6" t="s">
        <v>6677</v>
      </c>
    </row>
    <row r="1163" spans="1:4" x14ac:dyDescent="0.35">
      <c r="A1163" s="6" t="s">
        <v>1199</v>
      </c>
      <c r="B1163" s="6" t="s">
        <v>4713</v>
      </c>
      <c r="C1163" s="6" t="s">
        <v>6678</v>
      </c>
      <c r="D1163" s="6" t="s">
        <v>6679</v>
      </c>
    </row>
    <row r="1164" spans="1:4" x14ac:dyDescent="0.35">
      <c r="A1164" s="6" t="s">
        <v>1198</v>
      </c>
      <c r="B1164" s="6" t="s">
        <v>4716</v>
      </c>
      <c r="C1164" s="6" t="s">
        <v>6680</v>
      </c>
      <c r="D1164" s="6" t="s">
        <v>6681</v>
      </c>
    </row>
    <row r="1165" spans="1:4" x14ac:dyDescent="0.35">
      <c r="A1165" s="6" t="s">
        <v>1197</v>
      </c>
      <c r="B1165" s="6" t="s">
        <v>4713</v>
      </c>
      <c r="C1165" s="6" t="s">
        <v>6682</v>
      </c>
      <c r="D1165" s="6" t="s">
        <v>6683</v>
      </c>
    </row>
    <row r="1166" spans="1:4" x14ac:dyDescent="0.35">
      <c r="A1166" s="6" t="s">
        <v>1196</v>
      </c>
      <c r="B1166" s="6" t="s">
        <v>4713</v>
      </c>
      <c r="C1166" s="6" t="s">
        <v>6684</v>
      </c>
      <c r="D1166" s="6" t="s">
        <v>6685</v>
      </c>
    </row>
    <row r="1167" spans="1:4" x14ac:dyDescent="0.35">
      <c r="A1167" s="6" t="s">
        <v>1195</v>
      </c>
      <c r="B1167" s="6" t="s">
        <v>4713</v>
      </c>
      <c r="C1167" s="6" t="s">
        <v>6686</v>
      </c>
      <c r="D1167" s="6" t="s">
        <v>5109</v>
      </c>
    </row>
    <row r="1168" spans="1:4" x14ac:dyDescent="0.35">
      <c r="A1168" s="6" t="s">
        <v>1194</v>
      </c>
      <c r="B1168" s="6" t="s">
        <v>4713</v>
      </c>
      <c r="C1168" s="6" t="s">
        <v>6687</v>
      </c>
      <c r="D1168" s="6" t="s">
        <v>4791</v>
      </c>
    </row>
    <row r="1169" spans="1:4" x14ac:dyDescent="0.35">
      <c r="A1169" s="6" t="s">
        <v>1193</v>
      </c>
      <c r="B1169" s="6" t="s">
        <v>5590</v>
      </c>
      <c r="C1169" s="6" t="s">
        <v>6688</v>
      </c>
      <c r="D1169" s="6" t="s">
        <v>6689</v>
      </c>
    </row>
    <row r="1170" spans="1:4" x14ac:dyDescent="0.35">
      <c r="A1170" s="6" t="s">
        <v>1192</v>
      </c>
      <c r="B1170" s="6" t="s">
        <v>4716</v>
      </c>
      <c r="C1170" s="6" t="s">
        <v>4796</v>
      </c>
      <c r="D1170" s="6" t="s">
        <v>6690</v>
      </c>
    </row>
    <row r="1171" spans="1:4" x14ac:dyDescent="0.35">
      <c r="A1171" s="6" t="s">
        <v>1191</v>
      </c>
      <c r="B1171" s="6" t="s">
        <v>4716</v>
      </c>
      <c r="C1171" s="6" t="s">
        <v>6691</v>
      </c>
      <c r="D1171" s="6" t="s">
        <v>6692</v>
      </c>
    </row>
    <row r="1172" spans="1:4" x14ac:dyDescent="0.35">
      <c r="A1172" s="6" t="s">
        <v>1190</v>
      </c>
      <c r="B1172" s="6" t="s">
        <v>5590</v>
      </c>
      <c r="C1172" s="6" t="s">
        <v>6408</v>
      </c>
      <c r="D1172" s="6" t="s">
        <v>6693</v>
      </c>
    </row>
    <row r="1173" spans="1:4" x14ac:dyDescent="0.35">
      <c r="A1173" s="6" t="s">
        <v>1189</v>
      </c>
      <c r="B1173" s="6" t="s">
        <v>4713</v>
      </c>
      <c r="C1173" s="6" t="s">
        <v>6694</v>
      </c>
      <c r="D1173" s="6" t="s">
        <v>6695</v>
      </c>
    </row>
    <row r="1174" spans="1:4" x14ac:dyDescent="0.35">
      <c r="A1174" s="6" t="s">
        <v>1188</v>
      </c>
      <c r="B1174" s="6" t="s">
        <v>4716</v>
      </c>
      <c r="C1174" s="6" t="s">
        <v>6696</v>
      </c>
      <c r="D1174" s="6" t="s">
        <v>6697</v>
      </c>
    </row>
    <row r="1175" spans="1:4" x14ac:dyDescent="0.35">
      <c r="A1175" s="6" t="s">
        <v>1187</v>
      </c>
      <c r="B1175" s="6" t="s">
        <v>5590</v>
      </c>
      <c r="C1175" s="6" t="s">
        <v>6698</v>
      </c>
      <c r="D1175" s="6" t="s">
        <v>6699</v>
      </c>
    </row>
    <row r="1176" spans="1:4" x14ac:dyDescent="0.35">
      <c r="A1176" s="6" t="s">
        <v>1186</v>
      </c>
      <c r="B1176" s="6" t="s">
        <v>4716</v>
      </c>
      <c r="C1176" s="6" t="s">
        <v>6700</v>
      </c>
      <c r="D1176" s="6" t="s">
        <v>6701</v>
      </c>
    </row>
    <row r="1177" spans="1:4" x14ac:dyDescent="0.35">
      <c r="A1177" s="6" t="s">
        <v>1185</v>
      </c>
      <c r="B1177" s="6" t="s">
        <v>4716</v>
      </c>
      <c r="C1177" s="6" t="s">
        <v>6702</v>
      </c>
      <c r="D1177" s="6" t="s">
        <v>6703</v>
      </c>
    </row>
    <row r="1178" spans="1:4" x14ac:dyDescent="0.35">
      <c r="A1178" s="6" t="s">
        <v>1184</v>
      </c>
      <c r="B1178" s="6" t="s">
        <v>4716</v>
      </c>
      <c r="C1178" s="6" t="s">
        <v>6704</v>
      </c>
      <c r="D1178" s="6" t="s">
        <v>6705</v>
      </c>
    </row>
    <row r="1179" spans="1:4" x14ac:dyDescent="0.35">
      <c r="A1179" s="6" t="s">
        <v>1183</v>
      </c>
      <c r="B1179" s="6" t="s">
        <v>4713</v>
      </c>
      <c r="C1179" s="6" t="s">
        <v>6706</v>
      </c>
      <c r="D1179" s="6" t="s">
        <v>6707</v>
      </c>
    </row>
    <row r="1180" spans="1:4" x14ac:dyDescent="0.35">
      <c r="A1180" s="6" t="s">
        <v>1182</v>
      </c>
      <c r="B1180" s="6" t="s">
        <v>4716</v>
      </c>
      <c r="C1180" s="6" t="s">
        <v>6708</v>
      </c>
      <c r="D1180" s="6" t="s">
        <v>4851</v>
      </c>
    </row>
    <row r="1181" spans="1:4" x14ac:dyDescent="0.35">
      <c r="A1181" s="6" t="s">
        <v>1181</v>
      </c>
      <c r="B1181" s="6" t="s">
        <v>4713</v>
      </c>
      <c r="C1181" s="6" t="s">
        <v>6709</v>
      </c>
      <c r="D1181" s="6" t="s">
        <v>5070</v>
      </c>
    </row>
    <row r="1182" spans="1:4" x14ac:dyDescent="0.35">
      <c r="A1182" s="6" t="s">
        <v>1180</v>
      </c>
      <c r="B1182" s="6" t="s">
        <v>4716</v>
      </c>
      <c r="C1182" s="6" t="s">
        <v>6710</v>
      </c>
      <c r="D1182" s="6" t="s">
        <v>4766</v>
      </c>
    </row>
    <row r="1183" spans="1:4" x14ac:dyDescent="0.35">
      <c r="A1183" s="6" t="s">
        <v>1179</v>
      </c>
      <c r="B1183" s="6" t="s">
        <v>4713</v>
      </c>
      <c r="C1183" s="6" t="s">
        <v>4794</v>
      </c>
      <c r="D1183" s="6" t="s">
        <v>6711</v>
      </c>
    </row>
    <row r="1184" spans="1:4" x14ac:dyDescent="0.35">
      <c r="A1184" s="6" t="s">
        <v>1178</v>
      </c>
      <c r="B1184" s="6" t="s">
        <v>4713</v>
      </c>
      <c r="C1184" s="6" t="s">
        <v>6712</v>
      </c>
      <c r="D1184" s="6" t="s">
        <v>6713</v>
      </c>
    </row>
    <row r="1185" spans="1:4" x14ac:dyDescent="0.35">
      <c r="A1185" s="6" t="s">
        <v>1177</v>
      </c>
      <c r="B1185" s="6" t="s">
        <v>5590</v>
      </c>
      <c r="C1185" s="6" t="s">
        <v>6714</v>
      </c>
      <c r="D1185" s="6" t="s">
        <v>6715</v>
      </c>
    </row>
    <row r="1186" spans="1:4" x14ac:dyDescent="0.35">
      <c r="A1186" s="6" t="s">
        <v>1176</v>
      </c>
      <c r="B1186" s="6" t="s">
        <v>4716</v>
      </c>
      <c r="C1186" s="6" t="s">
        <v>6716</v>
      </c>
      <c r="D1186" s="6" t="s">
        <v>6717</v>
      </c>
    </row>
    <row r="1187" spans="1:4" x14ac:dyDescent="0.35">
      <c r="A1187" s="6" t="s">
        <v>1175</v>
      </c>
      <c r="B1187" s="6" t="s">
        <v>4713</v>
      </c>
      <c r="C1187" s="6" t="s">
        <v>6718</v>
      </c>
      <c r="D1187" s="6" t="s">
        <v>4760</v>
      </c>
    </row>
    <row r="1188" spans="1:4" x14ac:dyDescent="0.35">
      <c r="A1188" s="6" t="s">
        <v>1174</v>
      </c>
      <c r="B1188" s="6" t="s">
        <v>4713</v>
      </c>
      <c r="C1188" s="6" t="s">
        <v>6719</v>
      </c>
      <c r="D1188" s="6" t="s">
        <v>6720</v>
      </c>
    </row>
    <row r="1189" spans="1:4" x14ac:dyDescent="0.35">
      <c r="A1189" s="6" t="s">
        <v>1173</v>
      </c>
      <c r="B1189" s="6" t="s">
        <v>4716</v>
      </c>
      <c r="C1189" s="6" t="s">
        <v>5229</v>
      </c>
      <c r="D1189" s="6" t="s">
        <v>6721</v>
      </c>
    </row>
    <row r="1190" spans="1:4" x14ac:dyDescent="0.35">
      <c r="A1190" s="6" t="s">
        <v>1172</v>
      </c>
      <c r="B1190" s="6" t="s">
        <v>4716</v>
      </c>
      <c r="C1190" s="6" t="s">
        <v>6722</v>
      </c>
      <c r="D1190" s="6" t="s">
        <v>6723</v>
      </c>
    </row>
    <row r="1191" spans="1:4" x14ac:dyDescent="0.35">
      <c r="A1191" s="6" t="s">
        <v>1171</v>
      </c>
      <c r="B1191" s="6" t="s">
        <v>4716</v>
      </c>
      <c r="C1191" s="6" t="s">
        <v>6724</v>
      </c>
      <c r="D1191" s="6" t="s">
        <v>6725</v>
      </c>
    </row>
    <row r="1192" spans="1:4" x14ac:dyDescent="0.35">
      <c r="A1192" s="6" t="s">
        <v>1170</v>
      </c>
      <c r="B1192" s="6" t="s">
        <v>4716</v>
      </c>
      <c r="C1192" s="6" t="s">
        <v>6726</v>
      </c>
      <c r="D1192" s="6" t="s">
        <v>6727</v>
      </c>
    </row>
    <row r="1193" spans="1:4" x14ac:dyDescent="0.35">
      <c r="A1193" s="6" t="s">
        <v>1169</v>
      </c>
      <c r="B1193" s="6" t="s">
        <v>4716</v>
      </c>
      <c r="C1193" s="6" t="s">
        <v>6728</v>
      </c>
      <c r="D1193" s="6" t="s">
        <v>5172</v>
      </c>
    </row>
    <row r="1194" spans="1:4" x14ac:dyDescent="0.35">
      <c r="A1194" s="6" t="s">
        <v>1168</v>
      </c>
      <c r="B1194" s="6" t="s">
        <v>4713</v>
      </c>
      <c r="C1194" s="6" t="s">
        <v>6729</v>
      </c>
      <c r="D1194" s="6" t="s">
        <v>5354</v>
      </c>
    </row>
    <row r="1195" spans="1:4" x14ac:dyDescent="0.35">
      <c r="A1195" s="6" t="s">
        <v>1167</v>
      </c>
      <c r="B1195" s="6" t="s">
        <v>4713</v>
      </c>
      <c r="C1195" s="6" t="s">
        <v>6730</v>
      </c>
      <c r="D1195" s="6" t="s">
        <v>4924</v>
      </c>
    </row>
    <row r="1196" spans="1:4" x14ac:dyDescent="0.35">
      <c r="A1196" s="6" t="s">
        <v>1166</v>
      </c>
      <c r="B1196" s="6" t="s">
        <v>4713</v>
      </c>
      <c r="C1196" s="6" t="s">
        <v>6731</v>
      </c>
      <c r="D1196" s="6" t="s">
        <v>6732</v>
      </c>
    </row>
    <row r="1197" spans="1:4" x14ac:dyDescent="0.35">
      <c r="A1197" s="6" t="s">
        <v>1165</v>
      </c>
      <c r="B1197" s="6" t="s">
        <v>4713</v>
      </c>
      <c r="C1197" s="6" t="s">
        <v>6733</v>
      </c>
      <c r="D1197" s="6" t="s">
        <v>6734</v>
      </c>
    </row>
    <row r="1198" spans="1:4" x14ac:dyDescent="0.35">
      <c r="A1198" s="6" t="s">
        <v>1164</v>
      </c>
      <c r="B1198" s="6" t="s">
        <v>4713</v>
      </c>
      <c r="C1198" s="6" t="s">
        <v>6735</v>
      </c>
      <c r="D1198" s="6" t="s">
        <v>6736</v>
      </c>
    </row>
    <row r="1199" spans="1:4" x14ac:dyDescent="0.35">
      <c r="A1199" s="6" t="s">
        <v>1163</v>
      </c>
      <c r="B1199" s="6" t="s">
        <v>4716</v>
      </c>
      <c r="C1199" s="6" t="s">
        <v>6737</v>
      </c>
      <c r="D1199" s="6" t="s">
        <v>6462</v>
      </c>
    </row>
    <row r="1200" spans="1:4" x14ac:dyDescent="0.35">
      <c r="A1200" s="6" t="s">
        <v>1162</v>
      </c>
      <c r="B1200" s="6" t="s">
        <v>4716</v>
      </c>
      <c r="C1200" s="6" t="s">
        <v>6738</v>
      </c>
      <c r="D1200" s="6" t="s">
        <v>6739</v>
      </c>
    </row>
    <row r="1201" spans="1:4" x14ac:dyDescent="0.35">
      <c r="A1201" s="6" t="s">
        <v>1161</v>
      </c>
      <c r="B1201" s="6" t="s">
        <v>5590</v>
      </c>
      <c r="C1201" s="6" t="s">
        <v>6740</v>
      </c>
      <c r="D1201" s="6" t="s">
        <v>6314</v>
      </c>
    </row>
    <row r="1202" spans="1:4" x14ac:dyDescent="0.35">
      <c r="A1202" s="6" t="s">
        <v>1160</v>
      </c>
      <c r="B1202" s="6" t="s">
        <v>4716</v>
      </c>
      <c r="C1202" s="6" t="s">
        <v>6166</v>
      </c>
      <c r="D1202" s="6" t="s">
        <v>4811</v>
      </c>
    </row>
    <row r="1203" spans="1:4" x14ac:dyDescent="0.35">
      <c r="A1203" s="6" t="s">
        <v>1159</v>
      </c>
      <c r="B1203" s="6" t="s">
        <v>5590</v>
      </c>
      <c r="C1203" s="6" t="s">
        <v>6741</v>
      </c>
      <c r="D1203" s="6" t="s">
        <v>6742</v>
      </c>
    </row>
    <row r="1204" spans="1:4" x14ac:dyDescent="0.35">
      <c r="A1204" s="6" t="s">
        <v>1158</v>
      </c>
      <c r="B1204" s="6" t="s">
        <v>4716</v>
      </c>
      <c r="C1204" s="6" t="s">
        <v>6743</v>
      </c>
      <c r="D1204" s="6" t="s">
        <v>6744</v>
      </c>
    </row>
    <row r="1205" spans="1:4" x14ac:dyDescent="0.35">
      <c r="A1205" s="6" t="s">
        <v>1157</v>
      </c>
      <c r="B1205" s="6" t="s">
        <v>4716</v>
      </c>
      <c r="C1205" s="6" t="s">
        <v>6745</v>
      </c>
      <c r="D1205" s="6" t="s">
        <v>5349</v>
      </c>
    </row>
    <row r="1206" spans="1:4" x14ac:dyDescent="0.35">
      <c r="A1206" s="6" t="s">
        <v>1156</v>
      </c>
      <c r="B1206" s="6" t="s">
        <v>5590</v>
      </c>
      <c r="C1206" s="6" t="s">
        <v>6746</v>
      </c>
      <c r="D1206" s="6" t="s">
        <v>6747</v>
      </c>
    </row>
    <row r="1207" spans="1:4" x14ac:dyDescent="0.35">
      <c r="A1207" s="6" t="s">
        <v>1155</v>
      </c>
      <c r="B1207" s="6" t="s">
        <v>4716</v>
      </c>
      <c r="C1207" s="6" t="s">
        <v>6748</v>
      </c>
      <c r="D1207" s="6" t="s">
        <v>6749</v>
      </c>
    </row>
    <row r="1208" spans="1:4" x14ac:dyDescent="0.35">
      <c r="A1208" s="6" t="s">
        <v>1154</v>
      </c>
      <c r="B1208" s="6" t="s">
        <v>5590</v>
      </c>
      <c r="C1208" s="6" t="s">
        <v>6750</v>
      </c>
      <c r="D1208" s="6" t="s">
        <v>6751</v>
      </c>
    </row>
    <row r="1209" spans="1:4" x14ac:dyDescent="0.35">
      <c r="A1209" s="6" t="s">
        <v>1153</v>
      </c>
      <c r="B1209" s="6" t="s">
        <v>4713</v>
      </c>
      <c r="C1209" s="6" t="s">
        <v>5718</v>
      </c>
      <c r="D1209" s="6" t="s">
        <v>6752</v>
      </c>
    </row>
    <row r="1210" spans="1:4" x14ac:dyDescent="0.35">
      <c r="A1210" s="6" t="s">
        <v>1152</v>
      </c>
      <c r="B1210" s="6" t="s">
        <v>4716</v>
      </c>
      <c r="C1210" s="6" t="s">
        <v>6753</v>
      </c>
      <c r="D1210" s="6" t="s">
        <v>6754</v>
      </c>
    </row>
    <row r="1211" spans="1:4" x14ac:dyDescent="0.35">
      <c r="A1211" s="6" t="s">
        <v>1151</v>
      </c>
      <c r="B1211" s="6" t="s">
        <v>4716</v>
      </c>
      <c r="C1211" s="6" t="s">
        <v>5825</v>
      </c>
      <c r="D1211" s="6" t="s">
        <v>5014</v>
      </c>
    </row>
    <row r="1212" spans="1:4" x14ac:dyDescent="0.35">
      <c r="A1212" s="6" t="s">
        <v>1150</v>
      </c>
      <c r="B1212" s="6" t="s">
        <v>4716</v>
      </c>
      <c r="C1212" s="6" t="s">
        <v>6755</v>
      </c>
      <c r="D1212" s="6" t="s">
        <v>6756</v>
      </c>
    </row>
    <row r="1213" spans="1:4" x14ac:dyDescent="0.35">
      <c r="A1213" s="6" t="s">
        <v>1149</v>
      </c>
      <c r="B1213" s="6" t="s">
        <v>4716</v>
      </c>
      <c r="C1213" s="6" t="s">
        <v>6757</v>
      </c>
      <c r="D1213" s="6" t="s">
        <v>5012</v>
      </c>
    </row>
    <row r="1214" spans="1:4" x14ac:dyDescent="0.35">
      <c r="A1214" s="6" t="s">
        <v>1148</v>
      </c>
      <c r="B1214" s="6" t="s">
        <v>5590</v>
      </c>
      <c r="C1214" s="6" t="s">
        <v>6758</v>
      </c>
      <c r="D1214" s="6" t="s">
        <v>5490</v>
      </c>
    </row>
    <row r="1215" spans="1:4" x14ac:dyDescent="0.35">
      <c r="A1215" s="6" t="s">
        <v>1147</v>
      </c>
      <c r="B1215" s="6" t="s">
        <v>4713</v>
      </c>
      <c r="C1215" s="6" t="s">
        <v>6759</v>
      </c>
      <c r="D1215" s="6" t="s">
        <v>5939</v>
      </c>
    </row>
    <row r="1216" spans="1:4" x14ac:dyDescent="0.35">
      <c r="A1216" s="6" t="s">
        <v>1146</v>
      </c>
      <c r="B1216" s="6" t="s">
        <v>4716</v>
      </c>
      <c r="C1216" s="6" t="s">
        <v>6760</v>
      </c>
      <c r="D1216" s="6" t="s">
        <v>6761</v>
      </c>
    </row>
    <row r="1217" spans="1:4" x14ac:dyDescent="0.35">
      <c r="A1217" s="6" t="s">
        <v>1145</v>
      </c>
      <c r="B1217" s="6" t="s">
        <v>4713</v>
      </c>
      <c r="C1217" s="6" t="s">
        <v>6762</v>
      </c>
      <c r="D1217" s="6" t="s">
        <v>6763</v>
      </c>
    </row>
    <row r="1218" spans="1:4" x14ac:dyDescent="0.35">
      <c r="A1218" s="6" t="s">
        <v>1144</v>
      </c>
      <c r="B1218" s="6" t="s">
        <v>4713</v>
      </c>
      <c r="C1218" s="6" t="s">
        <v>6028</v>
      </c>
      <c r="D1218" s="6" t="s">
        <v>5929</v>
      </c>
    </row>
    <row r="1219" spans="1:4" x14ac:dyDescent="0.35">
      <c r="A1219" s="6" t="s">
        <v>1143</v>
      </c>
      <c r="B1219" s="6" t="s">
        <v>4716</v>
      </c>
      <c r="C1219" s="6" t="s">
        <v>6764</v>
      </c>
      <c r="D1219" s="6" t="s">
        <v>6765</v>
      </c>
    </row>
    <row r="1220" spans="1:4" x14ac:dyDescent="0.35">
      <c r="A1220" s="6" t="s">
        <v>1142</v>
      </c>
      <c r="B1220" s="6" t="s">
        <v>4716</v>
      </c>
      <c r="C1220" s="6" t="s">
        <v>6766</v>
      </c>
      <c r="D1220" s="6" t="s">
        <v>4730</v>
      </c>
    </row>
    <row r="1221" spans="1:4" x14ac:dyDescent="0.35">
      <c r="A1221" s="6" t="s">
        <v>1141</v>
      </c>
      <c r="B1221" s="6" t="s">
        <v>4716</v>
      </c>
      <c r="C1221" s="6" t="s">
        <v>6767</v>
      </c>
      <c r="D1221" s="6" t="s">
        <v>6768</v>
      </c>
    </row>
    <row r="1222" spans="1:4" x14ac:dyDescent="0.35">
      <c r="A1222" s="6" t="s">
        <v>1140</v>
      </c>
      <c r="B1222" s="6" t="s">
        <v>4716</v>
      </c>
      <c r="C1222" s="6" t="s">
        <v>6769</v>
      </c>
      <c r="D1222" s="6" t="s">
        <v>6770</v>
      </c>
    </row>
    <row r="1223" spans="1:4" x14ac:dyDescent="0.35">
      <c r="A1223" s="6" t="s">
        <v>1139</v>
      </c>
      <c r="B1223" s="6" t="s">
        <v>4713</v>
      </c>
      <c r="C1223" s="6" t="s">
        <v>6771</v>
      </c>
      <c r="D1223" s="6" t="s">
        <v>6772</v>
      </c>
    </row>
    <row r="1224" spans="1:4" x14ac:dyDescent="0.35">
      <c r="A1224" s="6" t="s">
        <v>1138</v>
      </c>
      <c r="B1224" s="6" t="s">
        <v>4713</v>
      </c>
      <c r="C1224" s="6" t="s">
        <v>6773</v>
      </c>
      <c r="D1224" s="6" t="s">
        <v>6774</v>
      </c>
    </row>
    <row r="1225" spans="1:4" x14ac:dyDescent="0.35">
      <c r="A1225" s="6" t="s">
        <v>1137</v>
      </c>
      <c r="B1225" s="6" t="s">
        <v>4716</v>
      </c>
      <c r="C1225" s="6" t="s">
        <v>5280</v>
      </c>
      <c r="D1225" s="6" t="s">
        <v>6775</v>
      </c>
    </row>
    <row r="1226" spans="1:4" x14ac:dyDescent="0.35">
      <c r="A1226" s="6" t="s">
        <v>1136</v>
      </c>
      <c r="B1226" s="6" t="s">
        <v>4713</v>
      </c>
      <c r="C1226" s="6" t="s">
        <v>4814</v>
      </c>
      <c r="D1226" s="6" t="s">
        <v>6776</v>
      </c>
    </row>
    <row r="1227" spans="1:4" x14ac:dyDescent="0.35">
      <c r="A1227" s="6" t="s">
        <v>1135</v>
      </c>
      <c r="B1227" s="6" t="s">
        <v>4716</v>
      </c>
      <c r="C1227" s="6" t="s">
        <v>6777</v>
      </c>
      <c r="D1227" s="6" t="s">
        <v>6778</v>
      </c>
    </row>
    <row r="1228" spans="1:4" x14ac:dyDescent="0.35">
      <c r="A1228" s="6" t="s">
        <v>1134</v>
      </c>
      <c r="B1228" s="6" t="s">
        <v>4713</v>
      </c>
      <c r="C1228" s="6" t="s">
        <v>6779</v>
      </c>
      <c r="D1228" s="6" t="s">
        <v>6780</v>
      </c>
    </row>
    <row r="1229" spans="1:4" x14ac:dyDescent="0.35">
      <c r="A1229" s="6" t="s">
        <v>1133</v>
      </c>
      <c r="B1229" s="6" t="s">
        <v>4716</v>
      </c>
      <c r="C1229" s="6" t="s">
        <v>6781</v>
      </c>
      <c r="D1229" s="6" t="s">
        <v>6782</v>
      </c>
    </row>
    <row r="1230" spans="1:4" x14ac:dyDescent="0.35">
      <c r="A1230" s="6" t="s">
        <v>1132</v>
      </c>
      <c r="B1230" s="6" t="s">
        <v>4716</v>
      </c>
      <c r="C1230" s="6" t="s">
        <v>6783</v>
      </c>
      <c r="D1230" s="6" t="s">
        <v>5172</v>
      </c>
    </row>
    <row r="1231" spans="1:4" x14ac:dyDescent="0.35">
      <c r="A1231" s="6" t="s">
        <v>1131</v>
      </c>
      <c r="B1231" s="6" t="s">
        <v>4713</v>
      </c>
      <c r="C1231" s="6" t="s">
        <v>6784</v>
      </c>
      <c r="D1231" s="6" t="s">
        <v>6785</v>
      </c>
    </row>
    <row r="1232" spans="1:4" x14ac:dyDescent="0.35">
      <c r="A1232" s="6" t="s">
        <v>1130</v>
      </c>
      <c r="B1232" s="6" t="s">
        <v>4713</v>
      </c>
      <c r="C1232" s="6" t="s">
        <v>6786</v>
      </c>
      <c r="D1232" s="6" t="s">
        <v>6787</v>
      </c>
    </row>
    <row r="1233" spans="1:4" x14ac:dyDescent="0.35">
      <c r="A1233" s="6" t="s">
        <v>1129</v>
      </c>
      <c r="B1233" s="6" t="s">
        <v>4713</v>
      </c>
      <c r="C1233" s="6" t="s">
        <v>6788</v>
      </c>
      <c r="D1233" s="6" t="s">
        <v>6789</v>
      </c>
    </row>
    <row r="1234" spans="1:4" x14ac:dyDescent="0.35">
      <c r="A1234" s="6" t="s">
        <v>1128</v>
      </c>
      <c r="B1234" s="6" t="s">
        <v>4716</v>
      </c>
      <c r="C1234" s="6" t="s">
        <v>6790</v>
      </c>
      <c r="D1234" s="6" t="s">
        <v>6791</v>
      </c>
    </row>
    <row r="1235" spans="1:4" x14ac:dyDescent="0.35">
      <c r="A1235" s="6" t="s">
        <v>1127</v>
      </c>
      <c r="B1235" s="6" t="s">
        <v>4716</v>
      </c>
      <c r="C1235" s="6" t="s">
        <v>6450</v>
      </c>
      <c r="D1235" s="6" t="s">
        <v>6792</v>
      </c>
    </row>
    <row r="1236" spans="1:4" x14ac:dyDescent="0.35">
      <c r="A1236" s="6" t="s">
        <v>1126</v>
      </c>
      <c r="B1236" s="6" t="s">
        <v>5590</v>
      </c>
      <c r="C1236" s="6" t="s">
        <v>6793</v>
      </c>
      <c r="D1236" s="6" t="s">
        <v>6794</v>
      </c>
    </row>
    <row r="1237" spans="1:4" x14ac:dyDescent="0.35">
      <c r="A1237" s="6" t="s">
        <v>1125</v>
      </c>
      <c r="B1237" s="6" t="s">
        <v>5590</v>
      </c>
      <c r="C1237" s="6" t="s">
        <v>6795</v>
      </c>
      <c r="D1237" s="6" t="s">
        <v>6796</v>
      </c>
    </row>
    <row r="1238" spans="1:4" x14ac:dyDescent="0.35">
      <c r="A1238" s="6" t="s">
        <v>1124</v>
      </c>
      <c r="B1238" s="6" t="s">
        <v>4713</v>
      </c>
      <c r="C1238" s="6" t="s">
        <v>6797</v>
      </c>
      <c r="D1238" s="6" t="s">
        <v>6798</v>
      </c>
    </row>
    <row r="1239" spans="1:4" x14ac:dyDescent="0.35">
      <c r="A1239" s="6" t="s">
        <v>1123</v>
      </c>
      <c r="B1239" s="6" t="s">
        <v>4716</v>
      </c>
      <c r="C1239" s="6" t="s">
        <v>6799</v>
      </c>
      <c r="D1239" s="6" t="s">
        <v>5012</v>
      </c>
    </row>
    <row r="1240" spans="1:4" x14ac:dyDescent="0.35">
      <c r="A1240" s="6" t="s">
        <v>1122</v>
      </c>
      <c r="B1240" s="6" t="s">
        <v>4716</v>
      </c>
      <c r="C1240" s="6" t="s">
        <v>6800</v>
      </c>
      <c r="D1240" s="6" t="s">
        <v>6801</v>
      </c>
    </row>
    <row r="1241" spans="1:4" x14ac:dyDescent="0.35">
      <c r="A1241" s="6" t="s">
        <v>1121</v>
      </c>
      <c r="B1241" s="6" t="s">
        <v>4713</v>
      </c>
      <c r="C1241" s="6" t="s">
        <v>6802</v>
      </c>
      <c r="D1241" s="6" t="s">
        <v>6803</v>
      </c>
    </row>
    <row r="1242" spans="1:4" x14ac:dyDescent="0.35">
      <c r="A1242" s="6" t="s">
        <v>1120</v>
      </c>
      <c r="B1242" s="6" t="s">
        <v>4716</v>
      </c>
      <c r="C1242" s="6" t="s">
        <v>6804</v>
      </c>
      <c r="D1242" s="6" t="s">
        <v>6805</v>
      </c>
    </row>
    <row r="1243" spans="1:4" x14ac:dyDescent="0.35">
      <c r="A1243" s="6" t="s">
        <v>1119</v>
      </c>
      <c r="B1243" s="6" t="s">
        <v>5590</v>
      </c>
      <c r="C1243" s="6" t="s">
        <v>6286</v>
      </c>
      <c r="D1243" s="6" t="s">
        <v>6806</v>
      </c>
    </row>
    <row r="1244" spans="1:4" x14ac:dyDescent="0.35">
      <c r="A1244" s="6" t="s">
        <v>1118</v>
      </c>
      <c r="B1244" s="6" t="s">
        <v>4716</v>
      </c>
      <c r="C1244" s="6" t="s">
        <v>6807</v>
      </c>
      <c r="D1244" s="6" t="s">
        <v>6808</v>
      </c>
    </row>
    <row r="1245" spans="1:4" x14ac:dyDescent="0.35">
      <c r="A1245" s="6" t="s">
        <v>1117</v>
      </c>
      <c r="B1245" s="6" t="s">
        <v>4713</v>
      </c>
      <c r="C1245" s="6" t="s">
        <v>6809</v>
      </c>
      <c r="D1245" s="6" t="s">
        <v>6531</v>
      </c>
    </row>
    <row r="1246" spans="1:4" x14ac:dyDescent="0.35">
      <c r="A1246" s="6" t="s">
        <v>1116</v>
      </c>
      <c r="B1246" s="6" t="s">
        <v>4713</v>
      </c>
      <c r="C1246" s="6" t="s">
        <v>6743</v>
      </c>
      <c r="D1246" s="6" t="s">
        <v>6810</v>
      </c>
    </row>
    <row r="1247" spans="1:4" x14ac:dyDescent="0.35">
      <c r="A1247" s="6" t="s">
        <v>1115</v>
      </c>
      <c r="B1247" s="6" t="s">
        <v>4716</v>
      </c>
      <c r="C1247" s="6" t="s">
        <v>6811</v>
      </c>
      <c r="D1247" s="6" t="s">
        <v>6812</v>
      </c>
    </row>
    <row r="1248" spans="1:4" x14ac:dyDescent="0.35">
      <c r="A1248" s="6" t="s">
        <v>1114</v>
      </c>
      <c r="B1248" s="6" t="s">
        <v>4716</v>
      </c>
      <c r="C1248" s="6" t="s">
        <v>6813</v>
      </c>
      <c r="D1248" s="6" t="s">
        <v>6814</v>
      </c>
    </row>
    <row r="1249" spans="1:4" x14ac:dyDescent="0.35">
      <c r="A1249" s="6" t="s">
        <v>1113</v>
      </c>
      <c r="B1249" s="6" t="s">
        <v>4716</v>
      </c>
      <c r="C1249" s="6" t="s">
        <v>6815</v>
      </c>
      <c r="D1249" s="6" t="s">
        <v>5449</v>
      </c>
    </row>
    <row r="1250" spans="1:4" x14ac:dyDescent="0.35">
      <c r="A1250" s="6" t="s">
        <v>1112</v>
      </c>
      <c r="B1250" s="6" t="s">
        <v>4716</v>
      </c>
      <c r="C1250" s="6" t="s">
        <v>6816</v>
      </c>
      <c r="D1250" s="6" t="s">
        <v>4994</v>
      </c>
    </row>
    <row r="1251" spans="1:4" x14ac:dyDescent="0.35">
      <c r="A1251" s="6" t="s">
        <v>1111</v>
      </c>
      <c r="B1251" s="6" t="s">
        <v>4713</v>
      </c>
      <c r="C1251" s="6" t="s">
        <v>6817</v>
      </c>
      <c r="D1251" s="6" t="s">
        <v>6818</v>
      </c>
    </row>
    <row r="1252" spans="1:4" x14ac:dyDescent="0.35">
      <c r="A1252" s="6" t="s">
        <v>1110</v>
      </c>
      <c r="B1252" s="6" t="s">
        <v>4716</v>
      </c>
      <c r="C1252" s="6" t="s">
        <v>6819</v>
      </c>
      <c r="D1252" s="6" t="s">
        <v>6820</v>
      </c>
    </row>
    <row r="1253" spans="1:4" x14ac:dyDescent="0.35">
      <c r="A1253" s="6" t="s">
        <v>1109</v>
      </c>
      <c r="B1253" s="6" t="s">
        <v>4716</v>
      </c>
      <c r="C1253" s="6" t="s">
        <v>6821</v>
      </c>
      <c r="D1253" s="6" t="s">
        <v>5814</v>
      </c>
    </row>
    <row r="1254" spans="1:4" x14ac:dyDescent="0.35">
      <c r="A1254" s="6" t="s">
        <v>1108</v>
      </c>
      <c r="B1254" s="6" t="s">
        <v>4713</v>
      </c>
      <c r="C1254" s="6" t="s">
        <v>6822</v>
      </c>
      <c r="D1254" s="6" t="s">
        <v>6823</v>
      </c>
    </row>
    <row r="1255" spans="1:4" x14ac:dyDescent="0.35">
      <c r="A1255" s="6" t="s">
        <v>1107</v>
      </c>
      <c r="B1255" s="6" t="s">
        <v>5590</v>
      </c>
      <c r="C1255" s="6" t="s">
        <v>6824</v>
      </c>
      <c r="D1255" s="6" t="s">
        <v>4869</v>
      </c>
    </row>
    <row r="1256" spans="1:4" x14ac:dyDescent="0.35">
      <c r="A1256" s="6" t="s">
        <v>1106</v>
      </c>
      <c r="B1256" s="6" t="s">
        <v>4713</v>
      </c>
      <c r="C1256" s="6" t="s">
        <v>6825</v>
      </c>
      <c r="D1256" s="6" t="s">
        <v>6826</v>
      </c>
    </row>
    <row r="1257" spans="1:4" x14ac:dyDescent="0.35">
      <c r="A1257" s="6" t="s">
        <v>1105</v>
      </c>
      <c r="B1257" s="6" t="s">
        <v>4713</v>
      </c>
      <c r="C1257" s="6" t="s">
        <v>6827</v>
      </c>
      <c r="D1257" s="6" t="s">
        <v>6828</v>
      </c>
    </row>
    <row r="1258" spans="1:4" x14ac:dyDescent="0.35">
      <c r="A1258" s="6" t="s">
        <v>1104</v>
      </c>
      <c r="B1258" s="6" t="s">
        <v>4716</v>
      </c>
      <c r="C1258" s="6" t="s">
        <v>6829</v>
      </c>
      <c r="D1258" s="6" t="s">
        <v>5010</v>
      </c>
    </row>
    <row r="1259" spans="1:4" x14ac:dyDescent="0.35">
      <c r="A1259" s="6" t="s">
        <v>1103</v>
      </c>
      <c r="B1259" s="6" t="s">
        <v>4713</v>
      </c>
      <c r="C1259" s="6" t="s">
        <v>6830</v>
      </c>
      <c r="D1259" s="6" t="s">
        <v>6831</v>
      </c>
    </row>
    <row r="1260" spans="1:4" x14ac:dyDescent="0.35">
      <c r="A1260" s="6" t="s">
        <v>1102</v>
      </c>
      <c r="B1260" s="6" t="s">
        <v>4716</v>
      </c>
      <c r="C1260" s="6" t="s">
        <v>6832</v>
      </c>
      <c r="D1260" s="6" t="s">
        <v>6833</v>
      </c>
    </row>
    <row r="1261" spans="1:4" x14ac:dyDescent="0.35">
      <c r="A1261" s="6" t="s">
        <v>1101</v>
      </c>
      <c r="B1261" s="6" t="s">
        <v>4716</v>
      </c>
      <c r="C1261" s="6" t="s">
        <v>6418</v>
      </c>
      <c r="D1261" s="6" t="s">
        <v>6834</v>
      </c>
    </row>
    <row r="1262" spans="1:4" x14ac:dyDescent="0.35">
      <c r="A1262" s="6" t="s">
        <v>1100</v>
      </c>
      <c r="B1262" s="6" t="s">
        <v>4716</v>
      </c>
      <c r="C1262" s="6" t="s">
        <v>6835</v>
      </c>
      <c r="D1262" s="6" t="s">
        <v>5444</v>
      </c>
    </row>
    <row r="1263" spans="1:4" x14ac:dyDescent="0.35">
      <c r="A1263" s="6" t="s">
        <v>1099</v>
      </c>
      <c r="B1263" s="6" t="s">
        <v>4713</v>
      </c>
      <c r="C1263" s="6" t="s">
        <v>6836</v>
      </c>
      <c r="D1263" s="6" t="s">
        <v>6837</v>
      </c>
    </row>
    <row r="1264" spans="1:4" x14ac:dyDescent="0.35">
      <c r="A1264" s="6" t="s">
        <v>1098</v>
      </c>
      <c r="B1264" s="6" t="s">
        <v>4713</v>
      </c>
      <c r="C1264" s="6" t="s">
        <v>6838</v>
      </c>
      <c r="D1264" s="6" t="s">
        <v>6839</v>
      </c>
    </row>
    <row r="1265" spans="1:4" x14ac:dyDescent="0.35">
      <c r="A1265" s="6" t="s">
        <v>1097</v>
      </c>
      <c r="B1265" s="6" t="s">
        <v>4716</v>
      </c>
      <c r="C1265" s="6" t="s">
        <v>6840</v>
      </c>
      <c r="D1265" s="6" t="s">
        <v>6841</v>
      </c>
    </row>
    <row r="1266" spans="1:4" x14ac:dyDescent="0.35">
      <c r="A1266" s="6" t="s">
        <v>1096</v>
      </c>
      <c r="B1266" s="6" t="s">
        <v>4716</v>
      </c>
      <c r="C1266" s="6" t="s">
        <v>6842</v>
      </c>
      <c r="D1266" s="6" t="s">
        <v>6843</v>
      </c>
    </row>
    <row r="1267" spans="1:4" x14ac:dyDescent="0.35">
      <c r="A1267" s="6" t="s">
        <v>1095</v>
      </c>
      <c r="B1267" s="6" t="s">
        <v>4716</v>
      </c>
      <c r="C1267" s="6" t="s">
        <v>6844</v>
      </c>
      <c r="D1267" s="6" t="s">
        <v>5105</v>
      </c>
    </row>
    <row r="1268" spans="1:4" x14ac:dyDescent="0.35">
      <c r="A1268" s="6" t="s">
        <v>1094</v>
      </c>
      <c r="B1268" s="6" t="s">
        <v>4716</v>
      </c>
      <c r="C1268" s="6" t="s">
        <v>6845</v>
      </c>
      <c r="D1268" s="6" t="s">
        <v>6846</v>
      </c>
    </row>
    <row r="1269" spans="1:4" x14ac:dyDescent="0.35">
      <c r="A1269" s="6" t="s">
        <v>1093</v>
      </c>
      <c r="B1269" s="6" t="s">
        <v>4713</v>
      </c>
      <c r="C1269" s="6" t="s">
        <v>6847</v>
      </c>
      <c r="D1269" s="6" t="s">
        <v>6848</v>
      </c>
    </row>
    <row r="1270" spans="1:4" x14ac:dyDescent="0.35">
      <c r="A1270" s="6" t="s">
        <v>1092</v>
      </c>
      <c r="B1270" s="6" t="s">
        <v>4713</v>
      </c>
      <c r="C1270" s="6" t="s">
        <v>6849</v>
      </c>
      <c r="D1270" s="6" t="s">
        <v>6837</v>
      </c>
    </row>
    <row r="1271" spans="1:4" x14ac:dyDescent="0.35">
      <c r="A1271" s="6" t="s">
        <v>1091</v>
      </c>
      <c r="B1271" s="6" t="s">
        <v>4713</v>
      </c>
      <c r="C1271" s="6" t="s">
        <v>5075</v>
      </c>
      <c r="D1271" s="6" t="s">
        <v>6850</v>
      </c>
    </row>
    <row r="1272" spans="1:4" x14ac:dyDescent="0.35">
      <c r="A1272" s="6" t="s">
        <v>1090</v>
      </c>
      <c r="B1272" s="6" t="s">
        <v>4716</v>
      </c>
      <c r="C1272" s="6" t="s">
        <v>4991</v>
      </c>
      <c r="D1272" s="6" t="s">
        <v>6851</v>
      </c>
    </row>
    <row r="1273" spans="1:4" x14ac:dyDescent="0.35">
      <c r="A1273" s="6" t="s">
        <v>1089</v>
      </c>
      <c r="B1273" s="6" t="s">
        <v>4716</v>
      </c>
      <c r="C1273" s="6" t="s">
        <v>6852</v>
      </c>
      <c r="D1273" s="6" t="s">
        <v>6853</v>
      </c>
    </row>
    <row r="1274" spans="1:4" x14ac:dyDescent="0.35">
      <c r="A1274" s="6" t="s">
        <v>1088</v>
      </c>
      <c r="B1274" s="6" t="s">
        <v>4716</v>
      </c>
      <c r="C1274" s="6" t="s">
        <v>6854</v>
      </c>
      <c r="D1274" s="6" t="s">
        <v>6855</v>
      </c>
    </row>
    <row r="1275" spans="1:4" x14ac:dyDescent="0.35">
      <c r="A1275" s="6" t="s">
        <v>1087</v>
      </c>
      <c r="B1275" s="6" t="s">
        <v>4716</v>
      </c>
      <c r="C1275" s="6" t="s">
        <v>6856</v>
      </c>
      <c r="D1275" s="6" t="s">
        <v>6857</v>
      </c>
    </row>
    <row r="1276" spans="1:4" x14ac:dyDescent="0.35">
      <c r="A1276" s="6" t="s">
        <v>1086</v>
      </c>
      <c r="B1276" s="6" t="s">
        <v>4716</v>
      </c>
      <c r="C1276" s="6" t="s">
        <v>6858</v>
      </c>
      <c r="D1276" s="6" t="s">
        <v>4766</v>
      </c>
    </row>
    <row r="1277" spans="1:4" x14ac:dyDescent="0.35">
      <c r="A1277" s="6" t="s">
        <v>1085</v>
      </c>
      <c r="B1277" s="6" t="s">
        <v>4716</v>
      </c>
      <c r="C1277" s="6" t="s">
        <v>6387</v>
      </c>
      <c r="D1277" s="6" t="s">
        <v>6859</v>
      </c>
    </row>
    <row r="1278" spans="1:4" x14ac:dyDescent="0.35">
      <c r="A1278" s="6" t="s">
        <v>1084</v>
      </c>
      <c r="B1278" s="6" t="s">
        <v>4713</v>
      </c>
      <c r="C1278" s="6" t="s">
        <v>6860</v>
      </c>
      <c r="D1278" s="6" t="s">
        <v>6861</v>
      </c>
    </row>
    <row r="1279" spans="1:4" x14ac:dyDescent="0.35">
      <c r="A1279" s="6" t="s">
        <v>1083</v>
      </c>
      <c r="B1279" s="6" t="s">
        <v>4713</v>
      </c>
      <c r="C1279" s="6" t="s">
        <v>6862</v>
      </c>
      <c r="D1279" s="6" t="s">
        <v>6863</v>
      </c>
    </row>
    <row r="1280" spans="1:4" x14ac:dyDescent="0.35">
      <c r="A1280" s="6" t="s">
        <v>1082</v>
      </c>
      <c r="B1280" s="6" t="s">
        <v>4713</v>
      </c>
      <c r="C1280" s="6" t="s">
        <v>6864</v>
      </c>
      <c r="D1280" s="6" t="s">
        <v>6566</v>
      </c>
    </row>
    <row r="1281" spans="1:4" x14ac:dyDescent="0.35">
      <c r="A1281" s="6" t="s">
        <v>1081</v>
      </c>
      <c r="B1281" s="6" t="s">
        <v>4716</v>
      </c>
      <c r="C1281" s="6" t="s">
        <v>6865</v>
      </c>
      <c r="D1281" s="6" t="s">
        <v>6866</v>
      </c>
    </row>
    <row r="1282" spans="1:4" x14ac:dyDescent="0.35">
      <c r="A1282" s="6" t="s">
        <v>1080</v>
      </c>
      <c r="B1282" s="6" t="s">
        <v>4716</v>
      </c>
      <c r="C1282" s="6" t="s">
        <v>6867</v>
      </c>
      <c r="D1282" s="6" t="s">
        <v>5008</v>
      </c>
    </row>
    <row r="1283" spans="1:4" x14ac:dyDescent="0.35">
      <c r="A1283" s="6" t="s">
        <v>1079</v>
      </c>
      <c r="B1283" s="6" t="s">
        <v>4713</v>
      </c>
      <c r="C1283" s="6" t="s">
        <v>6868</v>
      </c>
      <c r="D1283" s="6" t="s">
        <v>6869</v>
      </c>
    </row>
    <row r="1284" spans="1:4" x14ac:dyDescent="0.35">
      <c r="A1284" s="6" t="s">
        <v>1078</v>
      </c>
      <c r="B1284" s="6" t="s">
        <v>4716</v>
      </c>
      <c r="C1284" s="6" t="s">
        <v>5173</v>
      </c>
      <c r="D1284" s="6" t="s">
        <v>5136</v>
      </c>
    </row>
    <row r="1285" spans="1:4" x14ac:dyDescent="0.35">
      <c r="A1285" s="6" t="s">
        <v>1077</v>
      </c>
      <c r="B1285" s="6" t="s">
        <v>4713</v>
      </c>
      <c r="C1285" s="6" t="s">
        <v>6870</v>
      </c>
      <c r="D1285" s="6" t="s">
        <v>6871</v>
      </c>
    </row>
    <row r="1286" spans="1:4" x14ac:dyDescent="0.35">
      <c r="A1286" s="6" t="s">
        <v>1076</v>
      </c>
      <c r="B1286" s="6" t="s">
        <v>4713</v>
      </c>
      <c r="C1286" s="6" t="s">
        <v>6872</v>
      </c>
      <c r="D1286" s="6" t="s">
        <v>6873</v>
      </c>
    </row>
    <row r="1287" spans="1:4" x14ac:dyDescent="0.35">
      <c r="A1287" s="6" t="s">
        <v>1075</v>
      </c>
      <c r="B1287" s="6" t="s">
        <v>4713</v>
      </c>
      <c r="C1287" s="6" t="s">
        <v>6874</v>
      </c>
      <c r="D1287" s="6" t="s">
        <v>6875</v>
      </c>
    </row>
    <row r="1288" spans="1:4" x14ac:dyDescent="0.35">
      <c r="A1288" s="6" t="s">
        <v>1074</v>
      </c>
      <c r="B1288" s="6" t="s">
        <v>4713</v>
      </c>
      <c r="C1288" s="6" t="s">
        <v>4739</v>
      </c>
      <c r="D1288" s="6" t="s">
        <v>6876</v>
      </c>
    </row>
    <row r="1289" spans="1:4" x14ac:dyDescent="0.35">
      <c r="A1289" s="6" t="s">
        <v>1073</v>
      </c>
      <c r="B1289" s="6" t="s">
        <v>4713</v>
      </c>
      <c r="C1289" s="6" t="s">
        <v>6877</v>
      </c>
      <c r="D1289" s="6" t="s">
        <v>5076</v>
      </c>
    </row>
    <row r="1290" spans="1:4" x14ac:dyDescent="0.35">
      <c r="A1290" s="6" t="s">
        <v>1072</v>
      </c>
      <c r="B1290" s="6" t="s">
        <v>4713</v>
      </c>
      <c r="C1290" s="6" t="s">
        <v>6878</v>
      </c>
      <c r="D1290" s="6" t="s">
        <v>6879</v>
      </c>
    </row>
    <row r="1291" spans="1:4" x14ac:dyDescent="0.35">
      <c r="A1291" s="6" t="s">
        <v>1071</v>
      </c>
      <c r="B1291" s="6" t="s">
        <v>4713</v>
      </c>
      <c r="C1291" s="6" t="s">
        <v>6880</v>
      </c>
      <c r="D1291" s="6" t="s">
        <v>6881</v>
      </c>
    </row>
    <row r="1292" spans="1:4" x14ac:dyDescent="0.35">
      <c r="A1292" s="6" t="s">
        <v>1070</v>
      </c>
      <c r="B1292" s="6" t="s">
        <v>4713</v>
      </c>
      <c r="C1292" s="6" t="s">
        <v>6882</v>
      </c>
      <c r="D1292" s="6" t="s">
        <v>4826</v>
      </c>
    </row>
    <row r="1293" spans="1:4" x14ac:dyDescent="0.35">
      <c r="A1293" s="6" t="s">
        <v>1069</v>
      </c>
      <c r="B1293" s="6" t="s">
        <v>4713</v>
      </c>
      <c r="C1293" s="6" t="s">
        <v>6883</v>
      </c>
      <c r="D1293" s="6" t="s">
        <v>6566</v>
      </c>
    </row>
    <row r="1294" spans="1:4" x14ac:dyDescent="0.35">
      <c r="A1294" s="6" t="s">
        <v>1068</v>
      </c>
      <c r="B1294" s="6" t="s">
        <v>4713</v>
      </c>
      <c r="C1294" s="6" t="s">
        <v>6884</v>
      </c>
      <c r="D1294" s="6" t="s">
        <v>6885</v>
      </c>
    </row>
    <row r="1295" spans="1:4" x14ac:dyDescent="0.35">
      <c r="A1295" s="6" t="s">
        <v>1067</v>
      </c>
      <c r="B1295" s="6" t="s">
        <v>4713</v>
      </c>
      <c r="C1295" s="6" t="s">
        <v>6886</v>
      </c>
      <c r="D1295" s="6" t="s">
        <v>6887</v>
      </c>
    </row>
    <row r="1296" spans="1:4" x14ac:dyDescent="0.35">
      <c r="A1296" s="6" t="s">
        <v>1066</v>
      </c>
      <c r="B1296" s="6" t="s">
        <v>4716</v>
      </c>
      <c r="C1296" s="6" t="s">
        <v>6888</v>
      </c>
      <c r="D1296" s="6" t="s">
        <v>6889</v>
      </c>
    </row>
    <row r="1297" spans="1:4" x14ac:dyDescent="0.35">
      <c r="A1297" s="6" t="s">
        <v>1065</v>
      </c>
      <c r="B1297" s="6" t="s">
        <v>4713</v>
      </c>
      <c r="C1297" s="6" t="s">
        <v>6890</v>
      </c>
      <c r="D1297" s="6" t="s">
        <v>6891</v>
      </c>
    </row>
    <row r="1298" spans="1:4" x14ac:dyDescent="0.35">
      <c r="A1298" s="6" t="s">
        <v>1064</v>
      </c>
      <c r="B1298" s="6" t="s">
        <v>4716</v>
      </c>
      <c r="C1298" s="6" t="s">
        <v>6892</v>
      </c>
      <c r="D1298" s="6" t="s">
        <v>6893</v>
      </c>
    </row>
    <row r="1299" spans="1:4" x14ac:dyDescent="0.35">
      <c r="A1299" s="6" t="s">
        <v>1063</v>
      </c>
      <c r="B1299" s="6" t="s">
        <v>5590</v>
      </c>
      <c r="C1299" s="6" t="s">
        <v>5847</v>
      </c>
      <c r="D1299" s="6" t="s">
        <v>6894</v>
      </c>
    </row>
    <row r="1300" spans="1:4" x14ac:dyDescent="0.35">
      <c r="A1300" s="6" t="s">
        <v>1062</v>
      </c>
      <c r="B1300" s="6" t="s">
        <v>4713</v>
      </c>
      <c r="C1300" s="6" t="s">
        <v>6565</v>
      </c>
      <c r="D1300" s="6" t="s">
        <v>6895</v>
      </c>
    </row>
    <row r="1301" spans="1:4" x14ac:dyDescent="0.35">
      <c r="A1301" s="6" t="s">
        <v>1061</v>
      </c>
      <c r="B1301" s="6" t="s">
        <v>4716</v>
      </c>
      <c r="C1301" s="6" t="s">
        <v>6896</v>
      </c>
      <c r="D1301" s="6" t="s">
        <v>4793</v>
      </c>
    </row>
    <row r="1302" spans="1:4" x14ac:dyDescent="0.35">
      <c r="A1302" s="6" t="s">
        <v>1060</v>
      </c>
      <c r="B1302" s="6" t="s">
        <v>4716</v>
      </c>
      <c r="C1302" s="6" t="s">
        <v>6897</v>
      </c>
      <c r="D1302" s="6" t="s">
        <v>6898</v>
      </c>
    </row>
    <row r="1303" spans="1:4" x14ac:dyDescent="0.35">
      <c r="A1303" s="6" t="s">
        <v>1059</v>
      </c>
      <c r="B1303" s="6" t="s">
        <v>4716</v>
      </c>
      <c r="C1303" s="6" t="s">
        <v>6899</v>
      </c>
      <c r="D1303" s="6" t="s">
        <v>6900</v>
      </c>
    </row>
    <row r="1304" spans="1:4" x14ac:dyDescent="0.35">
      <c r="A1304" s="6" t="s">
        <v>1058</v>
      </c>
      <c r="B1304" s="6" t="s">
        <v>4716</v>
      </c>
      <c r="C1304" s="6" t="s">
        <v>6901</v>
      </c>
      <c r="D1304" s="6" t="s">
        <v>6902</v>
      </c>
    </row>
    <row r="1305" spans="1:4" x14ac:dyDescent="0.35">
      <c r="A1305" s="6" t="s">
        <v>1057</v>
      </c>
      <c r="B1305" s="6" t="s">
        <v>4716</v>
      </c>
      <c r="C1305" s="6" t="s">
        <v>6903</v>
      </c>
      <c r="D1305" s="6" t="s">
        <v>5136</v>
      </c>
    </row>
    <row r="1306" spans="1:4" x14ac:dyDescent="0.35">
      <c r="A1306" s="6" t="s">
        <v>1056</v>
      </c>
      <c r="B1306" s="6" t="s">
        <v>4716</v>
      </c>
      <c r="C1306" s="6" t="s">
        <v>6904</v>
      </c>
      <c r="D1306" s="6" t="s">
        <v>5471</v>
      </c>
    </row>
    <row r="1307" spans="1:4" x14ac:dyDescent="0.35">
      <c r="A1307" s="6" t="s">
        <v>1055</v>
      </c>
      <c r="B1307" s="6" t="s">
        <v>4716</v>
      </c>
      <c r="C1307" s="6" t="s">
        <v>6905</v>
      </c>
      <c r="D1307" s="6" t="s">
        <v>6906</v>
      </c>
    </row>
    <row r="1308" spans="1:4" x14ac:dyDescent="0.35">
      <c r="A1308" s="6" t="s">
        <v>1054</v>
      </c>
      <c r="B1308" s="6" t="s">
        <v>4716</v>
      </c>
      <c r="C1308" s="6" t="s">
        <v>6907</v>
      </c>
      <c r="D1308" s="6" t="s">
        <v>6908</v>
      </c>
    </row>
    <row r="1309" spans="1:4" x14ac:dyDescent="0.35">
      <c r="A1309" s="6" t="s">
        <v>1053</v>
      </c>
      <c r="B1309" s="6" t="s">
        <v>4716</v>
      </c>
      <c r="C1309" s="6" t="s">
        <v>6909</v>
      </c>
      <c r="D1309" s="6" t="s">
        <v>6215</v>
      </c>
    </row>
    <row r="1310" spans="1:4" x14ac:dyDescent="0.35">
      <c r="A1310" s="6" t="s">
        <v>1052</v>
      </c>
      <c r="B1310" s="6" t="s">
        <v>4716</v>
      </c>
      <c r="C1310" s="6" t="s">
        <v>5315</v>
      </c>
      <c r="D1310" s="6" t="s">
        <v>6910</v>
      </c>
    </row>
    <row r="1311" spans="1:4" x14ac:dyDescent="0.35">
      <c r="A1311" s="6" t="s">
        <v>1051</v>
      </c>
      <c r="B1311" s="6" t="s">
        <v>4716</v>
      </c>
      <c r="C1311" s="6" t="s">
        <v>6911</v>
      </c>
      <c r="D1311" s="6" t="s">
        <v>6912</v>
      </c>
    </row>
    <row r="1312" spans="1:4" x14ac:dyDescent="0.35">
      <c r="A1312" s="6" t="s">
        <v>1050</v>
      </c>
      <c r="B1312" s="6" t="s">
        <v>4716</v>
      </c>
      <c r="C1312" s="6" t="s">
        <v>6913</v>
      </c>
      <c r="D1312" s="6" t="s">
        <v>6914</v>
      </c>
    </row>
    <row r="1313" spans="1:4" x14ac:dyDescent="0.35">
      <c r="A1313" s="6" t="s">
        <v>1049</v>
      </c>
      <c r="B1313" s="6" t="s">
        <v>4716</v>
      </c>
      <c r="C1313" s="6" t="s">
        <v>6915</v>
      </c>
      <c r="D1313" s="6" t="s">
        <v>5444</v>
      </c>
    </row>
    <row r="1314" spans="1:4" x14ac:dyDescent="0.35">
      <c r="A1314" s="6" t="s">
        <v>1048</v>
      </c>
      <c r="B1314" s="6" t="s">
        <v>4713</v>
      </c>
      <c r="C1314" s="6" t="s">
        <v>6916</v>
      </c>
      <c r="D1314" s="6" t="s">
        <v>6917</v>
      </c>
    </row>
    <row r="1315" spans="1:4" x14ac:dyDescent="0.35">
      <c r="A1315" s="6" t="s">
        <v>1047</v>
      </c>
      <c r="B1315" s="6" t="s">
        <v>4713</v>
      </c>
      <c r="C1315" s="6" t="s">
        <v>6918</v>
      </c>
      <c r="D1315" s="6" t="s">
        <v>5217</v>
      </c>
    </row>
    <row r="1316" spans="1:4" x14ac:dyDescent="0.35">
      <c r="A1316" s="6" t="s">
        <v>1046</v>
      </c>
      <c r="B1316" s="6" t="s">
        <v>4716</v>
      </c>
      <c r="C1316" s="6" t="s">
        <v>6919</v>
      </c>
      <c r="D1316" s="6" t="s">
        <v>6920</v>
      </c>
    </row>
    <row r="1317" spans="1:4" x14ac:dyDescent="0.35">
      <c r="A1317" s="6" t="s">
        <v>1045</v>
      </c>
      <c r="B1317" s="6" t="s">
        <v>4713</v>
      </c>
      <c r="C1317" s="6" t="s">
        <v>6921</v>
      </c>
      <c r="D1317" s="6" t="s">
        <v>5600</v>
      </c>
    </row>
    <row r="1318" spans="1:4" x14ac:dyDescent="0.35">
      <c r="A1318" s="6" t="s">
        <v>1044</v>
      </c>
      <c r="B1318" s="6" t="s">
        <v>4713</v>
      </c>
      <c r="C1318" s="6" t="s">
        <v>6922</v>
      </c>
      <c r="D1318" s="6" t="s">
        <v>6923</v>
      </c>
    </row>
    <row r="1319" spans="1:4" x14ac:dyDescent="0.35">
      <c r="A1319" s="6" t="s">
        <v>1043</v>
      </c>
      <c r="B1319" s="6" t="s">
        <v>4713</v>
      </c>
      <c r="C1319" s="6" t="s">
        <v>6924</v>
      </c>
      <c r="D1319" s="6" t="s">
        <v>6925</v>
      </c>
    </row>
    <row r="1320" spans="1:4" x14ac:dyDescent="0.35">
      <c r="A1320" s="6" t="s">
        <v>1042</v>
      </c>
      <c r="B1320" s="6" t="s">
        <v>4716</v>
      </c>
      <c r="C1320" s="6" t="s">
        <v>6926</v>
      </c>
      <c r="D1320" s="6" t="s">
        <v>6927</v>
      </c>
    </row>
    <row r="1321" spans="1:4" x14ac:dyDescent="0.35">
      <c r="A1321" s="6" t="s">
        <v>1041</v>
      </c>
      <c r="B1321" s="6" t="s">
        <v>4713</v>
      </c>
      <c r="C1321" s="6" t="s">
        <v>6928</v>
      </c>
      <c r="D1321" s="6" t="s">
        <v>4722</v>
      </c>
    </row>
    <row r="1322" spans="1:4" x14ac:dyDescent="0.35">
      <c r="A1322" s="6" t="s">
        <v>1040</v>
      </c>
      <c r="B1322" s="6" t="s">
        <v>4716</v>
      </c>
      <c r="C1322" s="6" t="s">
        <v>6929</v>
      </c>
      <c r="D1322" s="6" t="s">
        <v>6930</v>
      </c>
    </row>
    <row r="1323" spans="1:4" x14ac:dyDescent="0.35">
      <c r="A1323" s="6" t="s">
        <v>1039</v>
      </c>
      <c r="B1323" s="6" t="s">
        <v>4713</v>
      </c>
      <c r="C1323" s="6" t="s">
        <v>6931</v>
      </c>
      <c r="D1323" s="6" t="s">
        <v>6932</v>
      </c>
    </row>
    <row r="1324" spans="1:4" x14ac:dyDescent="0.35">
      <c r="A1324" s="6" t="s">
        <v>1038</v>
      </c>
      <c r="B1324" s="6" t="s">
        <v>4713</v>
      </c>
      <c r="C1324" s="6" t="s">
        <v>6933</v>
      </c>
      <c r="D1324" s="6" t="s">
        <v>6934</v>
      </c>
    </row>
    <row r="1325" spans="1:4" x14ac:dyDescent="0.35">
      <c r="A1325" s="6" t="s">
        <v>1037</v>
      </c>
      <c r="B1325" s="6" t="s">
        <v>4713</v>
      </c>
      <c r="C1325" s="6" t="s">
        <v>6935</v>
      </c>
      <c r="D1325" s="6" t="s">
        <v>6936</v>
      </c>
    </row>
    <row r="1326" spans="1:4" x14ac:dyDescent="0.35">
      <c r="A1326" s="6" t="s">
        <v>1036</v>
      </c>
      <c r="B1326" s="6" t="s">
        <v>4713</v>
      </c>
      <c r="C1326" s="6" t="s">
        <v>6937</v>
      </c>
      <c r="D1326" s="6" t="s">
        <v>4841</v>
      </c>
    </row>
    <row r="1327" spans="1:4" x14ac:dyDescent="0.35">
      <c r="A1327" s="6" t="s">
        <v>1035</v>
      </c>
      <c r="B1327" s="6" t="s">
        <v>4713</v>
      </c>
      <c r="C1327" s="6" t="s">
        <v>6938</v>
      </c>
      <c r="D1327" s="6" t="s">
        <v>6939</v>
      </c>
    </row>
    <row r="1328" spans="1:4" x14ac:dyDescent="0.35">
      <c r="A1328" s="6" t="s">
        <v>1034</v>
      </c>
      <c r="B1328" s="6" t="s">
        <v>4713</v>
      </c>
      <c r="C1328" s="6" t="s">
        <v>6940</v>
      </c>
      <c r="D1328" s="6" t="s">
        <v>5594</v>
      </c>
    </row>
    <row r="1329" spans="1:4" x14ac:dyDescent="0.35">
      <c r="A1329" s="6" t="s">
        <v>1033</v>
      </c>
      <c r="B1329" s="6" t="s">
        <v>4716</v>
      </c>
      <c r="C1329" s="6" t="s">
        <v>6941</v>
      </c>
      <c r="D1329" s="6" t="s">
        <v>6942</v>
      </c>
    </row>
    <row r="1330" spans="1:4" x14ac:dyDescent="0.35">
      <c r="A1330" s="6" t="s">
        <v>1032</v>
      </c>
      <c r="B1330" s="6" t="s">
        <v>5590</v>
      </c>
      <c r="C1330" s="6" t="s">
        <v>6943</v>
      </c>
      <c r="D1330" s="6" t="s">
        <v>6944</v>
      </c>
    </row>
    <row r="1331" spans="1:4" x14ac:dyDescent="0.35">
      <c r="A1331" s="6" t="s">
        <v>1031</v>
      </c>
      <c r="B1331" s="6" t="s">
        <v>4716</v>
      </c>
      <c r="C1331" s="6" t="s">
        <v>6945</v>
      </c>
      <c r="D1331" s="6" t="s">
        <v>5150</v>
      </c>
    </row>
    <row r="1332" spans="1:4" x14ac:dyDescent="0.35">
      <c r="A1332" s="6" t="s">
        <v>1030</v>
      </c>
      <c r="B1332" s="6" t="s">
        <v>4713</v>
      </c>
      <c r="C1332" s="6" t="s">
        <v>6946</v>
      </c>
      <c r="D1332" s="6" t="s">
        <v>5607</v>
      </c>
    </row>
    <row r="1333" spans="1:4" x14ac:dyDescent="0.35">
      <c r="A1333" s="6" t="s">
        <v>1029</v>
      </c>
      <c r="B1333" s="6" t="s">
        <v>4716</v>
      </c>
      <c r="C1333" s="6" t="s">
        <v>6947</v>
      </c>
      <c r="D1333" s="6" t="s">
        <v>6948</v>
      </c>
    </row>
    <row r="1334" spans="1:4" x14ac:dyDescent="0.35">
      <c r="A1334" s="6" t="s">
        <v>1028</v>
      </c>
      <c r="B1334" s="6" t="s">
        <v>5590</v>
      </c>
      <c r="C1334" s="6" t="s">
        <v>6949</v>
      </c>
      <c r="D1334" s="6" t="s">
        <v>6950</v>
      </c>
    </row>
    <row r="1335" spans="1:4" x14ac:dyDescent="0.35">
      <c r="A1335" s="6" t="s">
        <v>1027</v>
      </c>
      <c r="B1335" s="6" t="s">
        <v>4716</v>
      </c>
      <c r="C1335" s="6" t="s">
        <v>6951</v>
      </c>
      <c r="D1335" s="6" t="s">
        <v>6952</v>
      </c>
    </row>
    <row r="1336" spans="1:4" x14ac:dyDescent="0.35">
      <c r="A1336" s="6" t="s">
        <v>1026</v>
      </c>
      <c r="B1336" s="6" t="s">
        <v>4716</v>
      </c>
      <c r="C1336" s="6" t="s">
        <v>6953</v>
      </c>
      <c r="D1336" s="6" t="s">
        <v>6954</v>
      </c>
    </row>
    <row r="1337" spans="1:4" x14ac:dyDescent="0.35">
      <c r="A1337" s="6" t="s">
        <v>1025</v>
      </c>
      <c r="B1337" s="6" t="s">
        <v>4716</v>
      </c>
      <c r="C1337" s="6" t="s">
        <v>4725</v>
      </c>
      <c r="D1337" s="6" t="s">
        <v>6955</v>
      </c>
    </row>
    <row r="1338" spans="1:4" x14ac:dyDescent="0.35">
      <c r="A1338" s="6" t="s">
        <v>1024</v>
      </c>
      <c r="B1338" s="6" t="s">
        <v>4716</v>
      </c>
      <c r="C1338" s="6" t="s">
        <v>6956</v>
      </c>
      <c r="D1338" s="6" t="s">
        <v>6957</v>
      </c>
    </row>
    <row r="1339" spans="1:4" x14ac:dyDescent="0.35">
      <c r="A1339" s="6" t="s">
        <v>1023</v>
      </c>
      <c r="B1339" s="6" t="s">
        <v>5590</v>
      </c>
      <c r="C1339" s="6" t="s">
        <v>4844</v>
      </c>
      <c r="D1339" s="6" t="s">
        <v>5763</v>
      </c>
    </row>
    <row r="1340" spans="1:4" x14ac:dyDescent="0.35">
      <c r="A1340" s="6" t="s">
        <v>1022</v>
      </c>
      <c r="B1340" s="6" t="s">
        <v>4716</v>
      </c>
      <c r="C1340" s="6" t="s">
        <v>6958</v>
      </c>
      <c r="D1340" s="6" t="s">
        <v>5012</v>
      </c>
    </row>
    <row r="1341" spans="1:4" x14ac:dyDescent="0.35">
      <c r="A1341" s="6" t="s">
        <v>1021</v>
      </c>
      <c r="B1341" s="6" t="s">
        <v>4716</v>
      </c>
      <c r="C1341" s="6" t="s">
        <v>6959</v>
      </c>
      <c r="D1341" s="6" t="s">
        <v>6960</v>
      </c>
    </row>
    <row r="1342" spans="1:4" x14ac:dyDescent="0.35">
      <c r="A1342" s="6" t="s">
        <v>1020</v>
      </c>
      <c r="B1342" s="6" t="s">
        <v>5590</v>
      </c>
      <c r="C1342" s="6" t="s">
        <v>6961</v>
      </c>
      <c r="D1342" s="6" t="s">
        <v>6962</v>
      </c>
    </row>
    <row r="1343" spans="1:4" x14ac:dyDescent="0.35">
      <c r="A1343" s="6" t="s">
        <v>1019</v>
      </c>
      <c r="B1343" s="6" t="s">
        <v>4713</v>
      </c>
      <c r="C1343" s="6" t="s">
        <v>6963</v>
      </c>
      <c r="D1343" s="6" t="s">
        <v>6964</v>
      </c>
    </row>
    <row r="1344" spans="1:4" x14ac:dyDescent="0.35">
      <c r="A1344" s="6" t="s">
        <v>1018</v>
      </c>
      <c r="B1344" s="6" t="s">
        <v>5590</v>
      </c>
      <c r="C1344" s="6" t="s">
        <v>6965</v>
      </c>
      <c r="D1344" s="6" t="s">
        <v>6966</v>
      </c>
    </row>
    <row r="1345" spans="1:4" x14ac:dyDescent="0.35">
      <c r="A1345" s="6" t="s">
        <v>1017</v>
      </c>
      <c r="B1345" s="6" t="s">
        <v>4713</v>
      </c>
      <c r="C1345" s="6" t="s">
        <v>6967</v>
      </c>
      <c r="D1345" s="6" t="s">
        <v>5488</v>
      </c>
    </row>
    <row r="1346" spans="1:4" x14ac:dyDescent="0.35">
      <c r="A1346" s="6" t="s">
        <v>1016</v>
      </c>
      <c r="B1346" s="6" t="s">
        <v>4716</v>
      </c>
      <c r="C1346" s="6" t="s">
        <v>6968</v>
      </c>
      <c r="D1346" s="6" t="s">
        <v>4908</v>
      </c>
    </row>
    <row r="1347" spans="1:4" x14ac:dyDescent="0.35">
      <c r="A1347" s="6" t="s">
        <v>1015</v>
      </c>
      <c r="B1347" s="6" t="s">
        <v>4713</v>
      </c>
      <c r="C1347" s="6" t="s">
        <v>6969</v>
      </c>
      <c r="D1347" s="6" t="s">
        <v>6970</v>
      </c>
    </row>
    <row r="1348" spans="1:4" x14ac:dyDescent="0.35">
      <c r="A1348" s="6" t="s">
        <v>1014</v>
      </c>
      <c r="B1348" s="6" t="s">
        <v>4716</v>
      </c>
      <c r="C1348" s="6" t="s">
        <v>6971</v>
      </c>
      <c r="D1348" s="6" t="s">
        <v>5062</v>
      </c>
    </row>
    <row r="1349" spans="1:4" x14ac:dyDescent="0.35">
      <c r="A1349" s="6" t="s">
        <v>1013</v>
      </c>
      <c r="B1349" s="6" t="s">
        <v>4713</v>
      </c>
      <c r="C1349" s="6" t="s">
        <v>6972</v>
      </c>
      <c r="D1349" s="6" t="s">
        <v>6973</v>
      </c>
    </row>
    <row r="1350" spans="1:4" x14ac:dyDescent="0.35">
      <c r="A1350" s="6" t="s">
        <v>1012</v>
      </c>
      <c r="B1350" s="6" t="s">
        <v>5590</v>
      </c>
      <c r="C1350" s="6" t="s">
        <v>6974</v>
      </c>
      <c r="D1350" s="6" t="s">
        <v>5490</v>
      </c>
    </row>
    <row r="1351" spans="1:4" x14ac:dyDescent="0.35">
      <c r="A1351" s="6" t="s">
        <v>1011</v>
      </c>
      <c r="B1351" s="6" t="s">
        <v>4716</v>
      </c>
      <c r="C1351" s="6" t="s">
        <v>6975</v>
      </c>
      <c r="D1351" s="6" t="s">
        <v>6976</v>
      </c>
    </row>
    <row r="1352" spans="1:4" x14ac:dyDescent="0.35">
      <c r="A1352" s="6" t="s">
        <v>1010</v>
      </c>
      <c r="B1352" s="6" t="s">
        <v>4713</v>
      </c>
      <c r="C1352" s="6" t="s">
        <v>5280</v>
      </c>
      <c r="D1352" s="6" t="s">
        <v>6977</v>
      </c>
    </row>
    <row r="1353" spans="1:4" x14ac:dyDescent="0.35">
      <c r="A1353" s="6" t="s">
        <v>1009</v>
      </c>
      <c r="B1353" s="6" t="s">
        <v>4716</v>
      </c>
      <c r="C1353" s="6" t="s">
        <v>6978</v>
      </c>
      <c r="D1353" s="6" t="s">
        <v>5427</v>
      </c>
    </row>
    <row r="1354" spans="1:4" x14ac:dyDescent="0.35">
      <c r="A1354" s="6" t="s">
        <v>1008</v>
      </c>
      <c r="B1354" s="6" t="s">
        <v>4713</v>
      </c>
      <c r="C1354" s="6" t="s">
        <v>6979</v>
      </c>
      <c r="D1354" s="6" t="s">
        <v>6980</v>
      </c>
    </row>
    <row r="1355" spans="1:4" x14ac:dyDescent="0.35">
      <c r="A1355" s="6" t="s">
        <v>1007</v>
      </c>
      <c r="B1355" s="6" t="s">
        <v>4713</v>
      </c>
      <c r="C1355" s="6" t="s">
        <v>5361</v>
      </c>
      <c r="D1355" s="6" t="s">
        <v>6981</v>
      </c>
    </row>
    <row r="1356" spans="1:4" x14ac:dyDescent="0.35">
      <c r="A1356" s="6" t="s">
        <v>1006</v>
      </c>
      <c r="B1356" s="6" t="s">
        <v>4713</v>
      </c>
      <c r="C1356" s="6" t="s">
        <v>6704</v>
      </c>
      <c r="D1356" s="6" t="s">
        <v>6982</v>
      </c>
    </row>
    <row r="1357" spans="1:4" x14ac:dyDescent="0.35">
      <c r="A1357" s="6" t="s">
        <v>1005</v>
      </c>
      <c r="B1357" s="6" t="s">
        <v>4713</v>
      </c>
      <c r="C1357" s="6" t="s">
        <v>6983</v>
      </c>
      <c r="D1357" s="6" t="s">
        <v>6984</v>
      </c>
    </row>
    <row r="1358" spans="1:4" x14ac:dyDescent="0.35">
      <c r="A1358" s="6" t="s">
        <v>1004</v>
      </c>
      <c r="B1358" s="6" t="s">
        <v>4713</v>
      </c>
      <c r="C1358" s="6" t="s">
        <v>6985</v>
      </c>
      <c r="D1358" s="6" t="s">
        <v>6986</v>
      </c>
    </row>
    <row r="1359" spans="1:4" x14ac:dyDescent="0.35">
      <c r="A1359" s="6" t="s">
        <v>1003</v>
      </c>
      <c r="B1359" s="6" t="s">
        <v>4716</v>
      </c>
      <c r="C1359" s="6" t="s">
        <v>6987</v>
      </c>
      <c r="D1359" s="6" t="s">
        <v>5798</v>
      </c>
    </row>
    <row r="1360" spans="1:4" x14ac:dyDescent="0.35">
      <c r="A1360" s="6" t="s">
        <v>1002</v>
      </c>
      <c r="B1360" s="6" t="s">
        <v>4713</v>
      </c>
      <c r="C1360" s="6" t="s">
        <v>6988</v>
      </c>
      <c r="D1360" s="6" t="s">
        <v>6989</v>
      </c>
    </row>
    <row r="1361" spans="1:4" x14ac:dyDescent="0.35">
      <c r="A1361" s="6" t="s">
        <v>1001</v>
      </c>
      <c r="B1361" s="6" t="s">
        <v>4713</v>
      </c>
      <c r="C1361" s="6" t="s">
        <v>4971</v>
      </c>
      <c r="D1361" s="6" t="s">
        <v>6990</v>
      </c>
    </row>
    <row r="1362" spans="1:4" x14ac:dyDescent="0.35">
      <c r="A1362" s="6" t="s">
        <v>1000</v>
      </c>
      <c r="B1362" s="6" t="s">
        <v>4716</v>
      </c>
      <c r="C1362" s="6" t="s">
        <v>6991</v>
      </c>
      <c r="D1362" s="6" t="s">
        <v>6992</v>
      </c>
    </row>
    <row r="1363" spans="1:4" x14ac:dyDescent="0.35">
      <c r="A1363" s="6" t="s">
        <v>999</v>
      </c>
      <c r="B1363" s="6" t="s">
        <v>4716</v>
      </c>
      <c r="C1363" s="6" t="s">
        <v>6993</v>
      </c>
      <c r="D1363" s="6" t="s">
        <v>6994</v>
      </c>
    </row>
    <row r="1364" spans="1:4" x14ac:dyDescent="0.35">
      <c r="A1364" s="6" t="s">
        <v>998</v>
      </c>
      <c r="B1364" s="6" t="s">
        <v>4716</v>
      </c>
      <c r="C1364" s="6" t="s">
        <v>6134</v>
      </c>
      <c r="D1364" s="6" t="s">
        <v>6995</v>
      </c>
    </row>
    <row r="1365" spans="1:4" x14ac:dyDescent="0.35">
      <c r="A1365" s="6" t="s">
        <v>997</v>
      </c>
      <c r="B1365" s="6" t="s">
        <v>4713</v>
      </c>
      <c r="C1365" s="6" t="s">
        <v>6996</v>
      </c>
      <c r="D1365" s="6" t="s">
        <v>6997</v>
      </c>
    </row>
    <row r="1366" spans="1:4" x14ac:dyDescent="0.35">
      <c r="A1366" s="6" t="s">
        <v>996</v>
      </c>
      <c r="B1366" s="6" t="s">
        <v>4713</v>
      </c>
      <c r="C1366" s="6" t="s">
        <v>6998</v>
      </c>
      <c r="D1366" s="6" t="s">
        <v>4760</v>
      </c>
    </row>
    <row r="1367" spans="1:4" x14ac:dyDescent="0.35">
      <c r="A1367" s="6" t="s">
        <v>995</v>
      </c>
      <c r="B1367" s="6" t="s">
        <v>5590</v>
      </c>
      <c r="C1367" s="6" t="s">
        <v>6999</v>
      </c>
      <c r="D1367" s="6" t="s">
        <v>7000</v>
      </c>
    </row>
    <row r="1368" spans="1:4" x14ac:dyDescent="0.35">
      <c r="A1368" s="6" t="s">
        <v>994</v>
      </c>
      <c r="B1368" s="6" t="s">
        <v>4713</v>
      </c>
      <c r="C1368" s="6" t="s">
        <v>7001</v>
      </c>
      <c r="D1368" s="6" t="s">
        <v>7002</v>
      </c>
    </row>
    <row r="1369" spans="1:4" x14ac:dyDescent="0.35">
      <c r="A1369" s="6" t="s">
        <v>993</v>
      </c>
      <c r="B1369" s="6" t="s">
        <v>4716</v>
      </c>
      <c r="C1369" s="6" t="s">
        <v>7003</v>
      </c>
      <c r="D1369" s="6" t="s">
        <v>4908</v>
      </c>
    </row>
    <row r="1370" spans="1:4" x14ac:dyDescent="0.35">
      <c r="A1370" s="6" t="s">
        <v>992</v>
      </c>
      <c r="B1370" s="6" t="s">
        <v>4716</v>
      </c>
      <c r="C1370" s="6" t="s">
        <v>7004</v>
      </c>
      <c r="D1370" s="6" t="s">
        <v>7005</v>
      </c>
    </row>
    <row r="1371" spans="1:4" x14ac:dyDescent="0.35">
      <c r="A1371" s="6" t="s">
        <v>991</v>
      </c>
      <c r="B1371" s="6" t="s">
        <v>4716</v>
      </c>
      <c r="C1371" s="6" t="s">
        <v>7006</v>
      </c>
      <c r="D1371" s="6" t="s">
        <v>7007</v>
      </c>
    </row>
    <row r="1372" spans="1:4" x14ac:dyDescent="0.35">
      <c r="A1372" s="6" t="s">
        <v>990</v>
      </c>
      <c r="B1372" s="6" t="s">
        <v>4713</v>
      </c>
      <c r="C1372" s="6" t="s">
        <v>7008</v>
      </c>
      <c r="D1372" s="6" t="s">
        <v>7009</v>
      </c>
    </row>
    <row r="1373" spans="1:4" x14ac:dyDescent="0.35">
      <c r="A1373" s="6" t="s">
        <v>989</v>
      </c>
      <c r="B1373" s="6" t="s">
        <v>4713</v>
      </c>
      <c r="C1373" s="6" t="s">
        <v>7010</v>
      </c>
      <c r="D1373" s="6" t="s">
        <v>7011</v>
      </c>
    </row>
    <row r="1374" spans="1:4" x14ac:dyDescent="0.35">
      <c r="A1374" s="6" t="s">
        <v>988</v>
      </c>
      <c r="B1374" s="6" t="s">
        <v>4716</v>
      </c>
      <c r="C1374" s="6" t="s">
        <v>5057</v>
      </c>
      <c r="D1374" s="6" t="s">
        <v>7012</v>
      </c>
    </row>
    <row r="1375" spans="1:4" x14ac:dyDescent="0.35">
      <c r="A1375" s="6" t="s">
        <v>987</v>
      </c>
      <c r="B1375" s="6" t="s">
        <v>4716</v>
      </c>
      <c r="C1375" s="6" t="s">
        <v>7013</v>
      </c>
      <c r="D1375" s="6" t="s">
        <v>7014</v>
      </c>
    </row>
    <row r="1376" spans="1:4" x14ac:dyDescent="0.35">
      <c r="A1376" s="6" t="s">
        <v>986</v>
      </c>
      <c r="B1376" s="6" t="s">
        <v>5590</v>
      </c>
      <c r="C1376" s="6" t="s">
        <v>5697</v>
      </c>
      <c r="D1376" s="6" t="s">
        <v>7015</v>
      </c>
    </row>
    <row r="1377" spans="1:4" x14ac:dyDescent="0.35">
      <c r="A1377" s="6" t="s">
        <v>985</v>
      </c>
      <c r="B1377" s="6" t="s">
        <v>4716</v>
      </c>
      <c r="C1377" s="6" t="s">
        <v>7016</v>
      </c>
      <c r="D1377" s="6" t="s">
        <v>7017</v>
      </c>
    </row>
    <row r="1378" spans="1:4" x14ac:dyDescent="0.35">
      <c r="A1378" s="6" t="s">
        <v>984</v>
      </c>
      <c r="B1378" s="6" t="s">
        <v>4716</v>
      </c>
      <c r="C1378" s="6" t="s">
        <v>7018</v>
      </c>
      <c r="D1378" s="6" t="s">
        <v>5378</v>
      </c>
    </row>
    <row r="1379" spans="1:4" x14ac:dyDescent="0.35">
      <c r="A1379" s="6" t="s">
        <v>983</v>
      </c>
      <c r="B1379" s="6" t="s">
        <v>4713</v>
      </c>
      <c r="C1379" s="6" t="s">
        <v>7019</v>
      </c>
      <c r="D1379" s="6" t="s">
        <v>7020</v>
      </c>
    </row>
    <row r="1380" spans="1:4" x14ac:dyDescent="0.35">
      <c r="A1380" s="6" t="s">
        <v>982</v>
      </c>
      <c r="B1380" s="6" t="s">
        <v>4716</v>
      </c>
      <c r="C1380" s="6" t="s">
        <v>7021</v>
      </c>
      <c r="D1380" s="6" t="s">
        <v>4843</v>
      </c>
    </row>
    <row r="1381" spans="1:4" x14ac:dyDescent="0.35">
      <c r="A1381" s="6" t="s">
        <v>981</v>
      </c>
      <c r="B1381" s="6" t="s">
        <v>4716</v>
      </c>
      <c r="C1381" s="6" t="s">
        <v>7022</v>
      </c>
      <c r="D1381" s="6" t="s">
        <v>5111</v>
      </c>
    </row>
    <row r="1382" spans="1:4" x14ac:dyDescent="0.35">
      <c r="A1382" s="6" t="s">
        <v>980</v>
      </c>
      <c r="B1382" s="6" t="s">
        <v>4716</v>
      </c>
      <c r="C1382" s="6" t="s">
        <v>7023</v>
      </c>
      <c r="D1382" s="6" t="s">
        <v>7024</v>
      </c>
    </row>
    <row r="1383" spans="1:4" x14ac:dyDescent="0.35">
      <c r="A1383" s="6" t="s">
        <v>979</v>
      </c>
      <c r="B1383" s="6" t="s">
        <v>4713</v>
      </c>
      <c r="C1383" s="6" t="s">
        <v>7025</v>
      </c>
      <c r="D1383" s="6" t="s">
        <v>5661</v>
      </c>
    </row>
    <row r="1384" spans="1:4" x14ac:dyDescent="0.35">
      <c r="A1384" s="6" t="s">
        <v>978</v>
      </c>
      <c r="B1384" s="6" t="s">
        <v>4716</v>
      </c>
      <c r="C1384" s="6" t="s">
        <v>5851</v>
      </c>
      <c r="D1384" s="6" t="s">
        <v>7026</v>
      </c>
    </row>
    <row r="1385" spans="1:4" x14ac:dyDescent="0.35">
      <c r="A1385" s="6" t="s">
        <v>977</v>
      </c>
      <c r="B1385" s="6" t="s">
        <v>4716</v>
      </c>
      <c r="C1385" s="6" t="s">
        <v>7027</v>
      </c>
      <c r="D1385" s="6" t="s">
        <v>7028</v>
      </c>
    </row>
    <row r="1386" spans="1:4" x14ac:dyDescent="0.35">
      <c r="A1386" s="6" t="s">
        <v>976</v>
      </c>
      <c r="B1386" s="6" t="s">
        <v>4713</v>
      </c>
      <c r="C1386" s="6" t="s">
        <v>5242</v>
      </c>
      <c r="D1386" s="6" t="s">
        <v>7029</v>
      </c>
    </row>
    <row r="1387" spans="1:4" x14ac:dyDescent="0.35">
      <c r="A1387" s="6" t="s">
        <v>975</v>
      </c>
      <c r="B1387" s="6" t="s">
        <v>4716</v>
      </c>
      <c r="C1387" s="6" t="s">
        <v>7030</v>
      </c>
      <c r="D1387" s="6" t="s">
        <v>7031</v>
      </c>
    </row>
    <row r="1388" spans="1:4" x14ac:dyDescent="0.35">
      <c r="A1388" s="6" t="s">
        <v>974</v>
      </c>
      <c r="B1388" s="6" t="s">
        <v>4716</v>
      </c>
      <c r="C1388" s="6" t="s">
        <v>6423</v>
      </c>
      <c r="D1388" s="6" t="s">
        <v>7032</v>
      </c>
    </row>
    <row r="1389" spans="1:4" x14ac:dyDescent="0.35">
      <c r="A1389" s="6" t="s">
        <v>973</v>
      </c>
      <c r="B1389" s="6" t="s">
        <v>4713</v>
      </c>
      <c r="C1389" s="6" t="s">
        <v>7033</v>
      </c>
      <c r="D1389" s="6" t="s">
        <v>7034</v>
      </c>
    </row>
    <row r="1390" spans="1:4" x14ac:dyDescent="0.35">
      <c r="A1390" s="6" t="s">
        <v>972</v>
      </c>
      <c r="B1390" s="6" t="s">
        <v>4716</v>
      </c>
      <c r="C1390" s="6" t="s">
        <v>7035</v>
      </c>
      <c r="D1390" s="6" t="s">
        <v>4738</v>
      </c>
    </row>
    <row r="1391" spans="1:4" x14ac:dyDescent="0.35">
      <c r="A1391" s="6" t="s">
        <v>971</v>
      </c>
      <c r="B1391" s="6" t="s">
        <v>4716</v>
      </c>
      <c r="C1391" s="6" t="s">
        <v>7036</v>
      </c>
      <c r="D1391" s="6" t="s">
        <v>5558</v>
      </c>
    </row>
    <row r="1392" spans="1:4" x14ac:dyDescent="0.35">
      <c r="A1392" s="6" t="s">
        <v>970</v>
      </c>
      <c r="B1392" s="6" t="s">
        <v>4716</v>
      </c>
      <c r="C1392" s="6" t="s">
        <v>5533</v>
      </c>
      <c r="D1392" s="6" t="s">
        <v>7037</v>
      </c>
    </row>
    <row r="1393" spans="1:4" x14ac:dyDescent="0.35">
      <c r="A1393" s="6" t="s">
        <v>969</v>
      </c>
      <c r="B1393" s="6" t="s">
        <v>4716</v>
      </c>
      <c r="C1393" s="6" t="s">
        <v>7038</v>
      </c>
      <c r="D1393" s="6" t="s">
        <v>5010</v>
      </c>
    </row>
    <row r="1394" spans="1:4" x14ac:dyDescent="0.35">
      <c r="A1394" s="6" t="s">
        <v>968</v>
      </c>
      <c r="B1394" s="6" t="s">
        <v>4713</v>
      </c>
      <c r="C1394" s="6" t="s">
        <v>7039</v>
      </c>
      <c r="D1394" s="6" t="s">
        <v>7040</v>
      </c>
    </row>
    <row r="1395" spans="1:4" x14ac:dyDescent="0.35">
      <c r="A1395" s="6" t="s">
        <v>967</v>
      </c>
      <c r="B1395" s="6" t="s">
        <v>4713</v>
      </c>
      <c r="C1395" s="6" t="s">
        <v>7041</v>
      </c>
      <c r="D1395" s="6" t="s">
        <v>7042</v>
      </c>
    </row>
    <row r="1396" spans="1:4" x14ac:dyDescent="0.35">
      <c r="A1396" s="6" t="s">
        <v>966</v>
      </c>
      <c r="B1396" s="6" t="s">
        <v>4716</v>
      </c>
      <c r="C1396" s="6" t="s">
        <v>7043</v>
      </c>
      <c r="D1396" s="6" t="s">
        <v>4908</v>
      </c>
    </row>
    <row r="1397" spans="1:4" x14ac:dyDescent="0.35">
      <c r="A1397" s="6" t="s">
        <v>965</v>
      </c>
      <c r="B1397" s="6" t="s">
        <v>4716</v>
      </c>
      <c r="C1397" s="6" t="s">
        <v>7044</v>
      </c>
      <c r="D1397" s="6" t="s">
        <v>4908</v>
      </c>
    </row>
    <row r="1398" spans="1:4" x14ac:dyDescent="0.35">
      <c r="A1398" s="6" t="s">
        <v>964</v>
      </c>
      <c r="B1398" s="6" t="s">
        <v>4713</v>
      </c>
      <c r="C1398" s="6" t="s">
        <v>7045</v>
      </c>
      <c r="D1398" s="6" t="s">
        <v>7046</v>
      </c>
    </row>
    <row r="1399" spans="1:4" x14ac:dyDescent="0.35">
      <c r="A1399" s="6" t="s">
        <v>963</v>
      </c>
      <c r="B1399" s="6" t="s">
        <v>5590</v>
      </c>
      <c r="C1399" s="6" t="s">
        <v>7047</v>
      </c>
      <c r="D1399" s="6" t="s">
        <v>7048</v>
      </c>
    </row>
    <row r="1400" spans="1:4" x14ac:dyDescent="0.35">
      <c r="A1400" s="6" t="s">
        <v>962</v>
      </c>
      <c r="B1400" s="6" t="s">
        <v>4713</v>
      </c>
      <c r="C1400" s="6" t="s">
        <v>7049</v>
      </c>
      <c r="D1400" s="6" t="s">
        <v>5184</v>
      </c>
    </row>
    <row r="1401" spans="1:4" x14ac:dyDescent="0.35">
      <c r="A1401" s="6" t="s">
        <v>961</v>
      </c>
      <c r="B1401" s="6" t="s">
        <v>4713</v>
      </c>
      <c r="C1401" s="6" t="s">
        <v>7050</v>
      </c>
      <c r="D1401" s="6" t="s">
        <v>5997</v>
      </c>
    </row>
    <row r="1402" spans="1:4" x14ac:dyDescent="0.35">
      <c r="A1402" s="6" t="s">
        <v>960</v>
      </c>
      <c r="B1402" s="6" t="s">
        <v>4713</v>
      </c>
      <c r="C1402" s="6" t="s">
        <v>6735</v>
      </c>
      <c r="D1402" s="6" t="s">
        <v>7051</v>
      </c>
    </row>
    <row r="1403" spans="1:4" x14ac:dyDescent="0.35">
      <c r="A1403" s="6" t="s">
        <v>959</v>
      </c>
      <c r="B1403" s="6" t="s">
        <v>4713</v>
      </c>
      <c r="C1403" s="6" t="s">
        <v>7052</v>
      </c>
      <c r="D1403" s="6" t="s">
        <v>4826</v>
      </c>
    </row>
    <row r="1404" spans="1:4" x14ac:dyDescent="0.35">
      <c r="A1404" s="6" t="s">
        <v>958</v>
      </c>
      <c r="B1404" s="6" t="s">
        <v>4713</v>
      </c>
      <c r="C1404" s="6" t="s">
        <v>7053</v>
      </c>
      <c r="D1404" s="6" t="s">
        <v>7054</v>
      </c>
    </row>
    <row r="1405" spans="1:4" x14ac:dyDescent="0.35">
      <c r="A1405" s="6" t="s">
        <v>957</v>
      </c>
      <c r="B1405" s="6" t="s">
        <v>4713</v>
      </c>
      <c r="C1405" s="6" t="s">
        <v>7055</v>
      </c>
      <c r="D1405" s="6" t="s">
        <v>7056</v>
      </c>
    </row>
    <row r="1406" spans="1:4" x14ac:dyDescent="0.35">
      <c r="A1406" s="6" t="s">
        <v>956</v>
      </c>
      <c r="B1406" s="6" t="s">
        <v>4713</v>
      </c>
      <c r="C1406" s="6" t="s">
        <v>7057</v>
      </c>
      <c r="D1406" s="6" t="s">
        <v>7058</v>
      </c>
    </row>
    <row r="1407" spans="1:4" x14ac:dyDescent="0.35">
      <c r="A1407" s="6" t="s">
        <v>955</v>
      </c>
      <c r="B1407" s="6" t="s">
        <v>4716</v>
      </c>
      <c r="C1407" s="6" t="s">
        <v>7059</v>
      </c>
      <c r="D1407" s="6" t="s">
        <v>4766</v>
      </c>
    </row>
    <row r="1408" spans="1:4" x14ac:dyDescent="0.35">
      <c r="A1408" s="6" t="s">
        <v>954</v>
      </c>
      <c r="B1408" s="6" t="s">
        <v>4713</v>
      </c>
      <c r="C1408" s="6" t="s">
        <v>7060</v>
      </c>
      <c r="D1408" s="6" t="s">
        <v>5997</v>
      </c>
    </row>
    <row r="1409" spans="1:4" x14ac:dyDescent="0.35">
      <c r="A1409" s="6" t="s">
        <v>953</v>
      </c>
      <c r="B1409" s="6" t="s">
        <v>4716</v>
      </c>
      <c r="C1409" s="6" t="s">
        <v>7061</v>
      </c>
      <c r="D1409" s="6" t="s">
        <v>4802</v>
      </c>
    </row>
    <row r="1410" spans="1:4" x14ac:dyDescent="0.35">
      <c r="A1410" s="6" t="s">
        <v>952</v>
      </c>
      <c r="B1410" s="6" t="s">
        <v>4716</v>
      </c>
      <c r="C1410" s="6" t="s">
        <v>7062</v>
      </c>
      <c r="D1410" s="6" t="s">
        <v>4718</v>
      </c>
    </row>
    <row r="1411" spans="1:4" x14ac:dyDescent="0.35">
      <c r="A1411" s="6" t="s">
        <v>951</v>
      </c>
      <c r="B1411" s="6" t="s">
        <v>4716</v>
      </c>
      <c r="C1411" s="6" t="s">
        <v>7063</v>
      </c>
      <c r="D1411" s="6" t="s">
        <v>7064</v>
      </c>
    </row>
    <row r="1412" spans="1:4" x14ac:dyDescent="0.35">
      <c r="A1412" s="6" t="s">
        <v>950</v>
      </c>
      <c r="B1412" s="6" t="s">
        <v>4713</v>
      </c>
      <c r="C1412" s="6" t="s">
        <v>6596</v>
      </c>
      <c r="D1412" s="6" t="s">
        <v>7065</v>
      </c>
    </row>
    <row r="1413" spans="1:4" x14ac:dyDescent="0.35">
      <c r="A1413" s="6" t="s">
        <v>949</v>
      </c>
      <c r="B1413" s="6" t="s">
        <v>4713</v>
      </c>
      <c r="C1413" s="6" t="s">
        <v>7066</v>
      </c>
      <c r="D1413" s="6" t="s">
        <v>7067</v>
      </c>
    </row>
    <row r="1414" spans="1:4" x14ac:dyDescent="0.35">
      <c r="A1414" s="6" t="s">
        <v>948</v>
      </c>
      <c r="B1414" s="6" t="s">
        <v>4713</v>
      </c>
      <c r="C1414" s="6" t="s">
        <v>6781</v>
      </c>
      <c r="D1414" s="6" t="s">
        <v>7068</v>
      </c>
    </row>
    <row r="1415" spans="1:4" x14ac:dyDescent="0.35">
      <c r="A1415" s="6" t="s">
        <v>947</v>
      </c>
      <c r="B1415" s="6" t="s">
        <v>4716</v>
      </c>
      <c r="C1415" s="6" t="s">
        <v>7069</v>
      </c>
      <c r="D1415" s="6" t="s">
        <v>5014</v>
      </c>
    </row>
    <row r="1416" spans="1:4" x14ac:dyDescent="0.35">
      <c r="A1416" s="6" t="s">
        <v>946</v>
      </c>
      <c r="B1416" s="6" t="s">
        <v>4716</v>
      </c>
      <c r="C1416" s="6" t="s">
        <v>7070</v>
      </c>
      <c r="D1416" s="6" t="s">
        <v>7071</v>
      </c>
    </row>
    <row r="1417" spans="1:4" x14ac:dyDescent="0.35">
      <c r="A1417" s="6" t="s">
        <v>945</v>
      </c>
      <c r="B1417" s="6" t="s">
        <v>4716</v>
      </c>
      <c r="C1417" s="6" t="s">
        <v>7072</v>
      </c>
      <c r="D1417" s="6" t="s">
        <v>4877</v>
      </c>
    </row>
    <row r="1418" spans="1:4" x14ac:dyDescent="0.35">
      <c r="A1418" s="6" t="s">
        <v>944</v>
      </c>
      <c r="B1418" s="6" t="s">
        <v>4713</v>
      </c>
      <c r="C1418" s="6" t="s">
        <v>7073</v>
      </c>
      <c r="D1418" s="6" t="s">
        <v>7074</v>
      </c>
    </row>
    <row r="1419" spans="1:4" x14ac:dyDescent="0.35">
      <c r="A1419" s="6" t="s">
        <v>943</v>
      </c>
      <c r="B1419" s="6" t="s">
        <v>5590</v>
      </c>
      <c r="C1419" s="6" t="s">
        <v>7075</v>
      </c>
      <c r="D1419" s="6" t="s">
        <v>4924</v>
      </c>
    </row>
    <row r="1420" spans="1:4" x14ac:dyDescent="0.35">
      <c r="A1420" s="6" t="s">
        <v>942</v>
      </c>
      <c r="B1420" s="6" t="s">
        <v>4716</v>
      </c>
      <c r="C1420" s="6" t="s">
        <v>7076</v>
      </c>
      <c r="D1420" s="6" t="s">
        <v>5228</v>
      </c>
    </row>
    <row r="1421" spans="1:4" x14ac:dyDescent="0.35">
      <c r="A1421" s="6" t="s">
        <v>941</v>
      </c>
      <c r="B1421" s="6" t="s">
        <v>4716</v>
      </c>
      <c r="C1421" s="6" t="s">
        <v>7077</v>
      </c>
      <c r="D1421" s="6" t="s">
        <v>7078</v>
      </c>
    </row>
    <row r="1422" spans="1:4" x14ac:dyDescent="0.35">
      <c r="A1422" s="6" t="s">
        <v>940</v>
      </c>
      <c r="B1422" s="6" t="s">
        <v>4713</v>
      </c>
      <c r="C1422" s="6" t="s">
        <v>7079</v>
      </c>
      <c r="D1422" s="6" t="s">
        <v>7080</v>
      </c>
    </row>
    <row r="1423" spans="1:4" x14ac:dyDescent="0.35">
      <c r="A1423" s="6" t="s">
        <v>939</v>
      </c>
      <c r="B1423" s="6" t="s">
        <v>4716</v>
      </c>
      <c r="C1423" s="6" t="s">
        <v>7081</v>
      </c>
      <c r="D1423" s="6" t="s">
        <v>7082</v>
      </c>
    </row>
    <row r="1424" spans="1:4" x14ac:dyDescent="0.35">
      <c r="A1424" s="6" t="s">
        <v>938</v>
      </c>
      <c r="B1424" s="6" t="s">
        <v>4716</v>
      </c>
      <c r="C1424" s="6" t="s">
        <v>7083</v>
      </c>
      <c r="D1424" s="6" t="s">
        <v>7084</v>
      </c>
    </row>
    <row r="1425" spans="1:4" x14ac:dyDescent="0.35">
      <c r="A1425" s="6" t="s">
        <v>937</v>
      </c>
      <c r="B1425" s="6" t="s">
        <v>4713</v>
      </c>
      <c r="C1425" s="6" t="s">
        <v>7085</v>
      </c>
      <c r="D1425" s="6" t="s">
        <v>7086</v>
      </c>
    </row>
    <row r="1426" spans="1:4" x14ac:dyDescent="0.35">
      <c r="A1426" s="6" t="s">
        <v>936</v>
      </c>
      <c r="B1426" s="6" t="s">
        <v>4716</v>
      </c>
      <c r="C1426" s="6" t="s">
        <v>7087</v>
      </c>
      <c r="D1426" s="6" t="s">
        <v>7088</v>
      </c>
    </row>
    <row r="1427" spans="1:4" x14ac:dyDescent="0.35">
      <c r="A1427" s="6" t="s">
        <v>935</v>
      </c>
      <c r="B1427" s="6" t="s">
        <v>4716</v>
      </c>
      <c r="C1427" s="6" t="s">
        <v>7089</v>
      </c>
      <c r="D1427" s="6" t="s">
        <v>4728</v>
      </c>
    </row>
    <row r="1428" spans="1:4" x14ac:dyDescent="0.35">
      <c r="A1428" s="6" t="s">
        <v>934</v>
      </c>
      <c r="B1428" s="6" t="s">
        <v>4713</v>
      </c>
      <c r="C1428" s="6" t="s">
        <v>5264</v>
      </c>
      <c r="D1428" s="6" t="s">
        <v>7090</v>
      </c>
    </row>
    <row r="1429" spans="1:4" x14ac:dyDescent="0.35">
      <c r="A1429" s="6" t="s">
        <v>933</v>
      </c>
      <c r="B1429" s="6" t="s">
        <v>4713</v>
      </c>
      <c r="C1429" s="6" t="s">
        <v>7091</v>
      </c>
      <c r="D1429" s="6" t="s">
        <v>7092</v>
      </c>
    </row>
    <row r="1430" spans="1:4" x14ac:dyDescent="0.35">
      <c r="A1430" s="6" t="s">
        <v>932</v>
      </c>
      <c r="B1430" s="6" t="s">
        <v>4713</v>
      </c>
      <c r="C1430" s="6" t="s">
        <v>4838</v>
      </c>
      <c r="D1430" s="6" t="s">
        <v>5551</v>
      </c>
    </row>
    <row r="1431" spans="1:4" x14ac:dyDescent="0.35">
      <c r="A1431" s="6" t="s">
        <v>931</v>
      </c>
      <c r="B1431" s="6" t="s">
        <v>4716</v>
      </c>
      <c r="C1431" s="6" t="s">
        <v>7093</v>
      </c>
      <c r="D1431" s="6" t="s">
        <v>7094</v>
      </c>
    </row>
    <row r="1432" spans="1:4" x14ac:dyDescent="0.35">
      <c r="A1432" s="6" t="s">
        <v>930</v>
      </c>
      <c r="B1432" s="6" t="s">
        <v>5590</v>
      </c>
      <c r="C1432" s="6" t="s">
        <v>7095</v>
      </c>
      <c r="D1432" s="6" t="s">
        <v>7096</v>
      </c>
    </row>
    <row r="1433" spans="1:4" x14ac:dyDescent="0.35">
      <c r="A1433" s="6" t="s">
        <v>929</v>
      </c>
      <c r="B1433" s="6" t="s">
        <v>4713</v>
      </c>
      <c r="C1433" s="6" t="s">
        <v>7097</v>
      </c>
      <c r="D1433" s="6" t="s">
        <v>4760</v>
      </c>
    </row>
    <row r="1434" spans="1:4" x14ac:dyDescent="0.35">
      <c r="A1434" s="6" t="s">
        <v>928</v>
      </c>
      <c r="B1434" s="6" t="s">
        <v>4713</v>
      </c>
      <c r="C1434" s="6" t="s">
        <v>7098</v>
      </c>
      <c r="D1434" s="6" t="s">
        <v>7099</v>
      </c>
    </row>
    <row r="1435" spans="1:4" x14ac:dyDescent="0.35">
      <c r="A1435" s="6" t="s">
        <v>927</v>
      </c>
      <c r="B1435" s="6" t="s">
        <v>4713</v>
      </c>
      <c r="C1435" s="6" t="s">
        <v>7100</v>
      </c>
      <c r="D1435" s="6" t="s">
        <v>5351</v>
      </c>
    </row>
    <row r="1436" spans="1:4" x14ac:dyDescent="0.35">
      <c r="A1436" s="6" t="s">
        <v>926</v>
      </c>
      <c r="B1436" s="6" t="s">
        <v>4713</v>
      </c>
      <c r="C1436" s="6" t="s">
        <v>5288</v>
      </c>
      <c r="D1436" s="6" t="s">
        <v>7101</v>
      </c>
    </row>
    <row r="1437" spans="1:4" x14ac:dyDescent="0.35">
      <c r="A1437" s="6" t="s">
        <v>925</v>
      </c>
      <c r="B1437" s="6" t="s">
        <v>4716</v>
      </c>
      <c r="C1437" s="6" t="s">
        <v>7102</v>
      </c>
      <c r="D1437" s="6" t="s">
        <v>7103</v>
      </c>
    </row>
    <row r="1438" spans="1:4" x14ac:dyDescent="0.35">
      <c r="A1438" s="6" t="s">
        <v>924</v>
      </c>
      <c r="B1438" s="6" t="s">
        <v>4713</v>
      </c>
      <c r="C1438" s="6" t="s">
        <v>7104</v>
      </c>
      <c r="D1438" s="6" t="s">
        <v>6265</v>
      </c>
    </row>
    <row r="1439" spans="1:4" x14ac:dyDescent="0.35">
      <c r="A1439" s="6" t="s">
        <v>923</v>
      </c>
      <c r="B1439" s="6" t="s">
        <v>4713</v>
      </c>
      <c r="C1439" s="6" t="s">
        <v>7105</v>
      </c>
      <c r="D1439" s="6" t="s">
        <v>7106</v>
      </c>
    </row>
    <row r="1440" spans="1:4" x14ac:dyDescent="0.35">
      <c r="A1440" s="6" t="s">
        <v>922</v>
      </c>
      <c r="B1440" s="6" t="s">
        <v>4713</v>
      </c>
      <c r="C1440" s="6" t="s">
        <v>7107</v>
      </c>
      <c r="D1440" s="6" t="s">
        <v>6059</v>
      </c>
    </row>
    <row r="1441" spans="1:4" x14ac:dyDescent="0.35">
      <c r="A1441" s="6" t="s">
        <v>921</v>
      </c>
      <c r="B1441" s="6" t="s">
        <v>4713</v>
      </c>
      <c r="C1441" s="6" t="s">
        <v>7108</v>
      </c>
      <c r="D1441" s="6" t="s">
        <v>7109</v>
      </c>
    </row>
    <row r="1442" spans="1:4" x14ac:dyDescent="0.35">
      <c r="A1442" s="6" t="s">
        <v>920</v>
      </c>
      <c r="B1442" s="6" t="s">
        <v>4713</v>
      </c>
      <c r="C1442" s="6" t="s">
        <v>4991</v>
      </c>
      <c r="D1442" s="6" t="s">
        <v>7110</v>
      </c>
    </row>
    <row r="1443" spans="1:4" x14ac:dyDescent="0.35">
      <c r="A1443" s="6" t="s">
        <v>919</v>
      </c>
      <c r="B1443" s="6" t="s">
        <v>4716</v>
      </c>
      <c r="C1443" s="6" t="s">
        <v>7111</v>
      </c>
      <c r="D1443" s="6" t="s">
        <v>4877</v>
      </c>
    </row>
    <row r="1444" spans="1:4" x14ac:dyDescent="0.35">
      <c r="A1444" s="6" t="s">
        <v>918</v>
      </c>
      <c r="B1444" s="6" t="s">
        <v>4713</v>
      </c>
      <c r="C1444" s="6" t="s">
        <v>7112</v>
      </c>
      <c r="D1444" s="6" t="s">
        <v>5600</v>
      </c>
    </row>
    <row r="1445" spans="1:4" x14ac:dyDescent="0.35">
      <c r="A1445" s="6" t="s">
        <v>917</v>
      </c>
      <c r="B1445" s="6" t="s">
        <v>4713</v>
      </c>
      <c r="C1445" s="6" t="s">
        <v>4725</v>
      </c>
      <c r="D1445" s="6" t="s">
        <v>7113</v>
      </c>
    </row>
    <row r="1446" spans="1:4" x14ac:dyDescent="0.35">
      <c r="A1446" s="6" t="s">
        <v>916</v>
      </c>
      <c r="B1446" s="6" t="s">
        <v>4716</v>
      </c>
      <c r="C1446" s="6" t="s">
        <v>7114</v>
      </c>
      <c r="D1446" s="6" t="s">
        <v>7115</v>
      </c>
    </row>
    <row r="1447" spans="1:4" x14ac:dyDescent="0.35">
      <c r="A1447" s="6" t="s">
        <v>915</v>
      </c>
      <c r="B1447" s="6" t="s">
        <v>4713</v>
      </c>
      <c r="C1447" s="6" t="s">
        <v>4844</v>
      </c>
      <c r="D1447" s="6" t="s">
        <v>7116</v>
      </c>
    </row>
    <row r="1448" spans="1:4" x14ac:dyDescent="0.35">
      <c r="A1448" s="6" t="s">
        <v>914</v>
      </c>
      <c r="B1448" s="6" t="s">
        <v>4713</v>
      </c>
      <c r="C1448" s="6" t="s">
        <v>7117</v>
      </c>
      <c r="D1448" s="6" t="s">
        <v>6183</v>
      </c>
    </row>
    <row r="1449" spans="1:4" x14ac:dyDescent="0.35">
      <c r="A1449" s="6" t="s">
        <v>913</v>
      </c>
      <c r="B1449" s="6" t="s">
        <v>4713</v>
      </c>
      <c r="C1449" s="6" t="s">
        <v>7118</v>
      </c>
      <c r="D1449" s="6" t="s">
        <v>7119</v>
      </c>
    </row>
    <row r="1450" spans="1:4" x14ac:dyDescent="0.35">
      <c r="A1450" s="6" t="s">
        <v>912</v>
      </c>
      <c r="B1450" s="6" t="s">
        <v>4713</v>
      </c>
      <c r="C1450" s="6" t="s">
        <v>7120</v>
      </c>
      <c r="D1450" s="6" t="s">
        <v>7121</v>
      </c>
    </row>
    <row r="1451" spans="1:4" x14ac:dyDescent="0.35">
      <c r="A1451" s="6" t="s">
        <v>911</v>
      </c>
      <c r="B1451" s="6" t="s">
        <v>4713</v>
      </c>
      <c r="C1451" s="6" t="s">
        <v>7122</v>
      </c>
      <c r="D1451" s="6" t="s">
        <v>7123</v>
      </c>
    </row>
    <row r="1452" spans="1:4" x14ac:dyDescent="0.35">
      <c r="A1452" s="6" t="s">
        <v>910</v>
      </c>
      <c r="B1452" s="6" t="s">
        <v>4716</v>
      </c>
      <c r="C1452" s="6" t="s">
        <v>7124</v>
      </c>
      <c r="D1452" s="6" t="s">
        <v>7125</v>
      </c>
    </row>
    <row r="1453" spans="1:4" x14ac:dyDescent="0.35">
      <c r="A1453" s="6" t="s">
        <v>909</v>
      </c>
      <c r="B1453" s="6" t="s">
        <v>4716</v>
      </c>
      <c r="C1453" s="6" t="s">
        <v>7126</v>
      </c>
      <c r="D1453" s="6" t="s">
        <v>4766</v>
      </c>
    </row>
    <row r="1454" spans="1:4" x14ac:dyDescent="0.35">
      <c r="A1454" s="6" t="s">
        <v>908</v>
      </c>
      <c r="B1454" s="6" t="s">
        <v>4716</v>
      </c>
      <c r="C1454" s="6" t="s">
        <v>7127</v>
      </c>
      <c r="D1454" s="6" t="s">
        <v>6068</v>
      </c>
    </row>
    <row r="1455" spans="1:4" x14ac:dyDescent="0.35">
      <c r="A1455" s="6" t="s">
        <v>907</v>
      </c>
      <c r="B1455" s="6" t="s">
        <v>4716</v>
      </c>
      <c r="C1455" s="6" t="s">
        <v>7128</v>
      </c>
      <c r="D1455" s="6" t="s">
        <v>7129</v>
      </c>
    </row>
    <row r="1456" spans="1:4" x14ac:dyDescent="0.35">
      <c r="A1456" s="6" t="s">
        <v>906</v>
      </c>
      <c r="B1456" s="6" t="s">
        <v>4716</v>
      </c>
      <c r="C1456" s="6" t="s">
        <v>7130</v>
      </c>
      <c r="D1456" s="6" t="s">
        <v>7131</v>
      </c>
    </row>
    <row r="1457" spans="1:4" x14ac:dyDescent="0.35">
      <c r="A1457" s="6" t="s">
        <v>905</v>
      </c>
      <c r="B1457" s="6" t="s">
        <v>4716</v>
      </c>
      <c r="C1457" s="6" t="s">
        <v>5370</v>
      </c>
      <c r="D1457" s="6" t="s">
        <v>7132</v>
      </c>
    </row>
    <row r="1458" spans="1:4" x14ac:dyDescent="0.35">
      <c r="A1458" s="6" t="s">
        <v>904</v>
      </c>
      <c r="B1458" s="6" t="s">
        <v>4713</v>
      </c>
      <c r="C1458" s="6" t="s">
        <v>7133</v>
      </c>
      <c r="D1458" s="6" t="s">
        <v>7134</v>
      </c>
    </row>
    <row r="1459" spans="1:4" x14ac:dyDescent="0.35">
      <c r="A1459" s="6" t="s">
        <v>903</v>
      </c>
      <c r="B1459" s="6" t="s">
        <v>4713</v>
      </c>
      <c r="C1459" s="6" t="s">
        <v>7135</v>
      </c>
      <c r="D1459" s="6" t="s">
        <v>5184</v>
      </c>
    </row>
    <row r="1460" spans="1:4" x14ac:dyDescent="0.35">
      <c r="A1460" s="6" t="s">
        <v>902</v>
      </c>
      <c r="B1460" s="6" t="s">
        <v>4716</v>
      </c>
      <c r="C1460" s="6" t="s">
        <v>7136</v>
      </c>
      <c r="D1460" s="6" t="s">
        <v>7137</v>
      </c>
    </row>
    <row r="1461" spans="1:4" x14ac:dyDescent="0.35">
      <c r="A1461" s="6" t="s">
        <v>901</v>
      </c>
      <c r="B1461" s="6" t="s">
        <v>4716</v>
      </c>
      <c r="C1461" s="6" t="s">
        <v>6109</v>
      </c>
      <c r="D1461" s="6" t="s">
        <v>7138</v>
      </c>
    </row>
    <row r="1462" spans="1:4" x14ac:dyDescent="0.35">
      <c r="A1462" s="6" t="s">
        <v>900</v>
      </c>
      <c r="B1462" s="6" t="s">
        <v>4713</v>
      </c>
      <c r="C1462" s="6" t="s">
        <v>5258</v>
      </c>
      <c r="D1462" s="6" t="s">
        <v>5661</v>
      </c>
    </row>
    <row r="1463" spans="1:4" x14ac:dyDescent="0.35">
      <c r="A1463" s="6" t="s">
        <v>899</v>
      </c>
      <c r="B1463" s="6" t="s">
        <v>4713</v>
      </c>
      <c r="C1463" s="6" t="s">
        <v>5141</v>
      </c>
      <c r="D1463" s="6" t="s">
        <v>7139</v>
      </c>
    </row>
    <row r="1464" spans="1:4" x14ac:dyDescent="0.35">
      <c r="A1464" s="6" t="s">
        <v>898</v>
      </c>
      <c r="B1464" s="6" t="s">
        <v>4716</v>
      </c>
      <c r="C1464" s="6" t="s">
        <v>7140</v>
      </c>
      <c r="D1464" s="6" t="s">
        <v>5196</v>
      </c>
    </row>
    <row r="1465" spans="1:4" x14ac:dyDescent="0.35">
      <c r="A1465" s="6" t="s">
        <v>897</v>
      </c>
      <c r="B1465" s="6" t="s">
        <v>4716</v>
      </c>
      <c r="C1465" s="6" t="s">
        <v>7141</v>
      </c>
      <c r="D1465" s="6" t="s">
        <v>7142</v>
      </c>
    </row>
    <row r="1466" spans="1:4" x14ac:dyDescent="0.35">
      <c r="A1466" s="6" t="s">
        <v>896</v>
      </c>
      <c r="B1466" s="6" t="s">
        <v>4713</v>
      </c>
      <c r="C1466" s="6" t="s">
        <v>5222</v>
      </c>
      <c r="D1466" s="6" t="s">
        <v>7143</v>
      </c>
    </row>
    <row r="1467" spans="1:4" x14ac:dyDescent="0.35">
      <c r="A1467" s="6" t="s">
        <v>895</v>
      </c>
      <c r="B1467" s="6" t="s">
        <v>4716</v>
      </c>
      <c r="C1467" s="6" t="s">
        <v>5533</v>
      </c>
      <c r="D1467" s="6" t="s">
        <v>7144</v>
      </c>
    </row>
    <row r="1468" spans="1:4" x14ac:dyDescent="0.35">
      <c r="A1468" s="6" t="s">
        <v>894</v>
      </c>
      <c r="B1468" s="6" t="s">
        <v>4716</v>
      </c>
      <c r="C1468" s="6" t="s">
        <v>7145</v>
      </c>
      <c r="D1468" s="6" t="s">
        <v>7146</v>
      </c>
    </row>
    <row r="1469" spans="1:4" x14ac:dyDescent="0.35">
      <c r="A1469" s="6" t="s">
        <v>893</v>
      </c>
      <c r="B1469" s="6" t="s">
        <v>4716</v>
      </c>
      <c r="C1469" s="6" t="s">
        <v>7147</v>
      </c>
      <c r="D1469" s="6" t="s">
        <v>7148</v>
      </c>
    </row>
    <row r="1470" spans="1:4" x14ac:dyDescent="0.35">
      <c r="A1470" s="6" t="s">
        <v>892</v>
      </c>
      <c r="B1470" s="6" t="s">
        <v>4716</v>
      </c>
      <c r="C1470" s="6" t="s">
        <v>7149</v>
      </c>
      <c r="D1470" s="6" t="s">
        <v>5150</v>
      </c>
    </row>
    <row r="1471" spans="1:4" x14ac:dyDescent="0.35">
      <c r="A1471" s="6" t="s">
        <v>891</v>
      </c>
      <c r="B1471" s="6" t="s">
        <v>4713</v>
      </c>
      <c r="C1471" s="6" t="s">
        <v>7150</v>
      </c>
      <c r="D1471" s="6" t="s">
        <v>7151</v>
      </c>
    </row>
    <row r="1472" spans="1:4" x14ac:dyDescent="0.35">
      <c r="A1472" s="6" t="s">
        <v>890</v>
      </c>
      <c r="B1472" s="6" t="s">
        <v>4716</v>
      </c>
      <c r="C1472" s="6" t="s">
        <v>7152</v>
      </c>
      <c r="D1472" s="6" t="s">
        <v>7153</v>
      </c>
    </row>
    <row r="1473" spans="1:4" x14ac:dyDescent="0.35">
      <c r="A1473" s="6" t="s">
        <v>889</v>
      </c>
      <c r="B1473" s="6" t="s">
        <v>4713</v>
      </c>
      <c r="C1473" s="6" t="s">
        <v>7154</v>
      </c>
      <c r="D1473" s="6" t="s">
        <v>6110</v>
      </c>
    </row>
    <row r="1474" spans="1:4" x14ac:dyDescent="0.35">
      <c r="A1474" s="6" t="s">
        <v>888</v>
      </c>
      <c r="B1474" s="6" t="s">
        <v>4716</v>
      </c>
      <c r="C1474" s="6" t="s">
        <v>7155</v>
      </c>
      <c r="D1474" s="6" t="s">
        <v>5982</v>
      </c>
    </row>
    <row r="1475" spans="1:4" x14ac:dyDescent="0.35">
      <c r="A1475" s="6" t="s">
        <v>887</v>
      </c>
      <c r="B1475" s="6" t="s">
        <v>4716</v>
      </c>
      <c r="C1475" s="6" t="s">
        <v>7156</v>
      </c>
      <c r="D1475" s="6" t="s">
        <v>7157</v>
      </c>
    </row>
    <row r="1476" spans="1:4" x14ac:dyDescent="0.35">
      <c r="A1476" s="6" t="s">
        <v>886</v>
      </c>
      <c r="B1476" s="6" t="s">
        <v>4713</v>
      </c>
      <c r="C1476" s="6" t="s">
        <v>7158</v>
      </c>
      <c r="D1476" s="6" t="s">
        <v>7159</v>
      </c>
    </row>
    <row r="1477" spans="1:4" x14ac:dyDescent="0.35">
      <c r="A1477" s="6" t="s">
        <v>885</v>
      </c>
      <c r="B1477" s="6" t="s">
        <v>4716</v>
      </c>
      <c r="C1477" s="6" t="s">
        <v>7160</v>
      </c>
      <c r="D1477" s="6" t="s">
        <v>7161</v>
      </c>
    </row>
    <row r="1478" spans="1:4" x14ac:dyDescent="0.35">
      <c r="A1478" s="6" t="s">
        <v>884</v>
      </c>
      <c r="B1478" s="6" t="s">
        <v>4713</v>
      </c>
      <c r="C1478" s="6" t="s">
        <v>7162</v>
      </c>
      <c r="D1478" s="6" t="s">
        <v>6891</v>
      </c>
    </row>
    <row r="1479" spans="1:4" x14ac:dyDescent="0.35">
      <c r="A1479" s="6" t="s">
        <v>883</v>
      </c>
      <c r="B1479" s="6" t="s">
        <v>4716</v>
      </c>
      <c r="C1479" s="6" t="s">
        <v>7163</v>
      </c>
      <c r="D1479" s="6" t="s">
        <v>7164</v>
      </c>
    </row>
    <row r="1480" spans="1:4" x14ac:dyDescent="0.35">
      <c r="A1480" s="6" t="s">
        <v>882</v>
      </c>
      <c r="B1480" s="6" t="s">
        <v>4716</v>
      </c>
      <c r="C1480" s="6" t="s">
        <v>7165</v>
      </c>
      <c r="D1480" s="6" t="s">
        <v>7166</v>
      </c>
    </row>
    <row r="1481" spans="1:4" x14ac:dyDescent="0.35">
      <c r="A1481" s="6" t="s">
        <v>881</v>
      </c>
      <c r="B1481" s="6" t="s">
        <v>4713</v>
      </c>
      <c r="C1481" s="6" t="s">
        <v>7167</v>
      </c>
      <c r="D1481" s="6" t="s">
        <v>7168</v>
      </c>
    </row>
    <row r="1482" spans="1:4" x14ac:dyDescent="0.35">
      <c r="A1482" s="6" t="s">
        <v>880</v>
      </c>
      <c r="B1482" s="6" t="s">
        <v>4716</v>
      </c>
      <c r="C1482" s="6" t="s">
        <v>7169</v>
      </c>
      <c r="D1482" s="6" t="s">
        <v>5233</v>
      </c>
    </row>
    <row r="1483" spans="1:4" x14ac:dyDescent="0.35">
      <c r="A1483" s="6" t="s">
        <v>879</v>
      </c>
      <c r="B1483" s="6" t="s">
        <v>4713</v>
      </c>
      <c r="C1483" s="6" t="s">
        <v>6972</v>
      </c>
      <c r="D1483" s="6" t="s">
        <v>7170</v>
      </c>
    </row>
    <row r="1484" spans="1:4" x14ac:dyDescent="0.35">
      <c r="A1484" s="6" t="s">
        <v>878</v>
      </c>
      <c r="B1484" s="6" t="s">
        <v>4716</v>
      </c>
      <c r="C1484" s="6" t="s">
        <v>7171</v>
      </c>
      <c r="D1484" s="6" t="s">
        <v>7172</v>
      </c>
    </row>
    <row r="1485" spans="1:4" x14ac:dyDescent="0.35">
      <c r="A1485" s="6" t="s">
        <v>877</v>
      </c>
      <c r="B1485" s="6" t="s">
        <v>4713</v>
      </c>
      <c r="C1485" s="6" t="s">
        <v>7173</v>
      </c>
      <c r="D1485" s="6" t="s">
        <v>4836</v>
      </c>
    </row>
    <row r="1486" spans="1:4" x14ac:dyDescent="0.35">
      <c r="A1486" s="6" t="s">
        <v>876</v>
      </c>
      <c r="B1486" s="6" t="s">
        <v>4713</v>
      </c>
      <c r="C1486" s="6" t="s">
        <v>7174</v>
      </c>
      <c r="D1486" s="6" t="s">
        <v>6229</v>
      </c>
    </row>
    <row r="1487" spans="1:4" x14ac:dyDescent="0.35">
      <c r="A1487" s="6" t="s">
        <v>875</v>
      </c>
      <c r="B1487" s="6" t="s">
        <v>4713</v>
      </c>
      <c r="C1487" s="6" t="s">
        <v>7175</v>
      </c>
      <c r="D1487" s="6" t="s">
        <v>7176</v>
      </c>
    </row>
    <row r="1488" spans="1:4" x14ac:dyDescent="0.35">
      <c r="A1488" s="6" t="s">
        <v>874</v>
      </c>
      <c r="B1488" s="6" t="s">
        <v>4713</v>
      </c>
      <c r="C1488" s="6" t="s">
        <v>7177</v>
      </c>
      <c r="D1488" s="6" t="s">
        <v>7178</v>
      </c>
    </row>
    <row r="1489" spans="1:4" x14ac:dyDescent="0.35">
      <c r="A1489" s="6" t="s">
        <v>873</v>
      </c>
      <c r="B1489" s="6" t="s">
        <v>4716</v>
      </c>
      <c r="C1489" s="6" t="s">
        <v>6390</v>
      </c>
      <c r="D1489" s="6" t="s">
        <v>7179</v>
      </c>
    </row>
    <row r="1490" spans="1:4" x14ac:dyDescent="0.35">
      <c r="A1490" s="6" t="s">
        <v>872</v>
      </c>
      <c r="B1490" s="6" t="s">
        <v>4713</v>
      </c>
      <c r="C1490" s="6" t="s">
        <v>7180</v>
      </c>
      <c r="D1490" s="6" t="s">
        <v>7181</v>
      </c>
    </row>
    <row r="1491" spans="1:4" x14ac:dyDescent="0.35">
      <c r="A1491" s="6" t="s">
        <v>871</v>
      </c>
      <c r="B1491" s="6" t="s">
        <v>4713</v>
      </c>
      <c r="C1491" s="6" t="s">
        <v>7182</v>
      </c>
      <c r="D1491" s="6" t="s">
        <v>7183</v>
      </c>
    </row>
    <row r="1492" spans="1:4" x14ac:dyDescent="0.35">
      <c r="A1492" s="6" t="s">
        <v>870</v>
      </c>
      <c r="B1492" s="6" t="s">
        <v>4713</v>
      </c>
      <c r="C1492" s="6" t="s">
        <v>7184</v>
      </c>
      <c r="D1492" s="6" t="s">
        <v>7185</v>
      </c>
    </row>
    <row r="1493" spans="1:4" x14ac:dyDescent="0.35">
      <c r="A1493" s="6" t="s">
        <v>869</v>
      </c>
      <c r="B1493" s="6" t="s">
        <v>4716</v>
      </c>
      <c r="C1493" s="6" t="s">
        <v>7186</v>
      </c>
      <c r="D1493" s="6" t="s">
        <v>7187</v>
      </c>
    </row>
    <row r="1494" spans="1:4" x14ac:dyDescent="0.35">
      <c r="A1494" s="6" t="s">
        <v>868</v>
      </c>
      <c r="B1494" s="6" t="s">
        <v>4716</v>
      </c>
      <c r="C1494" s="6" t="s">
        <v>7188</v>
      </c>
      <c r="D1494" s="6" t="s">
        <v>7189</v>
      </c>
    </row>
    <row r="1495" spans="1:4" x14ac:dyDescent="0.35">
      <c r="A1495" s="6" t="s">
        <v>867</v>
      </c>
      <c r="B1495" s="6" t="s">
        <v>4713</v>
      </c>
      <c r="C1495" s="6" t="s">
        <v>7190</v>
      </c>
      <c r="D1495" s="6" t="s">
        <v>6944</v>
      </c>
    </row>
    <row r="1496" spans="1:4" x14ac:dyDescent="0.35">
      <c r="A1496" s="6" t="s">
        <v>866</v>
      </c>
      <c r="B1496" s="6" t="s">
        <v>4716</v>
      </c>
      <c r="C1496" s="6" t="s">
        <v>7191</v>
      </c>
      <c r="D1496" s="6" t="s">
        <v>7192</v>
      </c>
    </row>
    <row r="1497" spans="1:4" x14ac:dyDescent="0.35">
      <c r="A1497" s="6" t="s">
        <v>865</v>
      </c>
      <c r="B1497" s="6" t="s">
        <v>4716</v>
      </c>
      <c r="C1497" s="6" t="s">
        <v>7193</v>
      </c>
      <c r="D1497" s="6" t="s">
        <v>7194</v>
      </c>
    </row>
    <row r="1498" spans="1:4" x14ac:dyDescent="0.35">
      <c r="A1498" s="6" t="s">
        <v>864</v>
      </c>
      <c r="B1498" s="6" t="s">
        <v>4716</v>
      </c>
      <c r="C1498" s="6" t="s">
        <v>7195</v>
      </c>
      <c r="D1498" s="6" t="s">
        <v>7196</v>
      </c>
    </row>
    <row r="1499" spans="1:4" x14ac:dyDescent="0.35">
      <c r="A1499" s="6" t="s">
        <v>863</v>
      </c>
      <c r="B1499" s="6" t="s">
        <v>4716</v>
      </c>
      <c r="C1499" s="6" t="s">
        <v>7197</v>
      </c>
      <c r="D1499" s="6" t="s">
        <v>4908</v>
      </c>
    </row>
    <row r="1500" spans="1:4" x14ac:dyDescent="0.35">
      <c r="A1500" s="6" t="s">
        <v>862</v>
      </c>
      <c r="B1500" s="6" t="s">
        <v>4713</v>
      </c>
      <c r="C1500" s="6" t="s">
        <v>7198</v>
      </c>
      <c r="D1500" s="6" t="s">
        <v>7199</v>
      </c>
    </row>
    <row r="1501" spans="1:4" x14ac:dyDescent="0.35">
      <c r="A1501" s="6" t="s">
        <v>861</v>
      </c>
      <c r="B1501" s="6" t="s">
        <v>4713</v>
      </c>
      <c r="C1501" s="6" t="s">
        <v>7200</v>
      </c>
      <c r="D1501" s="6" t="s">
        <v>5903</v>
      </c>
    </row>
    <row r="1502" spans="1:4" x14ac:dyDescent="0.35">
      <c r="A1502" s="6" t="s">
        <v>860</v>
      </c>
      <c r="B1502" s="6" t="s">
        <v>5590</v>
      </c>
      <c r="C1502" s="6" t="s">
        <v>7201</v>
      </c>
      <c r="D1502" s="6" t="s">
        <v>7202</v>
      </c>
    </row>
    <row r="1503" spans="1:4" x14ac:dyDescent="0.35">
      <c r="A1503" s="6" t="s">
        <v>859</v>
      </c>
      <c r="B1503" s="6" t="s">
        <v>4713</v>
      </c>
      <c r="C1503" s="6" t="s">
        <v>7203</v>
      </c>
      <c r="D1503" s="6" t="s">
        <v>5877</v>
      </c>
    </row>
    <row r="1504" spans="1:4" x14ac:dyDescent="0.35">
      <c r="A1504" s="6" t="s">
        <v>858</v>
      </c>
      <c r="B1504" s="6" t="s">
        <v>4713</v>
      </c>
      <c r="C1504" s="6" t="s">
        <v>7204</v>
      </c>
      <c r="D1504" s="6" t="s">
        <v>7205</v>
      </c>
    </row>
    <row r="1505" spans="1:4" x14ac:dyDescent="0.35">
      <c r="A1505" s="6" t="s">
        <v>857</v>
      </c>
      <c r="B1505" s="6" t="s">
        <v>4716</v>
      </c>
      <c r="C1505" s="6" t="s">
        <v>6272</v>
      </c>
      <c r="D1505" s="6" t="s">
        <v>7206</v>
      </c>
    </row>
    <row r="1506" spans="1:4" x14ac:dyDescent="0.35">
      <c r="A1506" s="6" t="s">
        <v>856</v>
      </c>
      <c r="B1506" s="6" t="s">
        <v>4716</v>
      </c>
      <c r="C1506" s="6" t="s">
        <v>7207</v>
      </c>
      <c r="D1506" s="6" t="s">
        <v>7208</v>
      </c>
    </row>
    <row r="1507" spans="1:4" x14ac:dyDescent="0.35">
      <c r="A1507" s="6" t="s">
        <v>855</v>
      </c>
      <c r="B1507" s="6" t="s">
        <v>4713</v>
      </c>
      <c r="C1507" s="6" t="s">
        <v>7209</v>
      </c>
      <c r="D1507" s="6" t="s">
        <v>7210</v>
      </c>
    </row>
    <row r="1508" spans="1:4" x14ac:dyDescent="0.35">
      <c r="A1508" s="6" t="s">
        <v>854</v>
      </c>
      <c r="B1508" s="6" t="s">
        <v>4716</v>
      </c>
      <c r="C1508" s="6" t="s">
        <v>7211</v>
      </c>
      <c r="D1508" s="6" t="s">
        <v>7032</v>
      </c>
    </row>
    <row r="1509" spans="1:4" x14ac:dyDescent="0.35">
      <c r="A1509" s="6" t="s">
        <v>853</v>
      </c>
      <c r="B1509" s="6" t="s">
        <v>4716</v>
      </c>
      <c r="C1509" s="6" t="s">
        <v>6141</v>
      </c>
      <c r="D1509" s="6" t="s">
        <v>7212</v>
      </c>
    </row>
    <row r="1510" spans="1:4" x14ac:dyDescent="0.35">
      <c r="A1510" s="6" t="s">
        <v>852</v>
      </c>
      <c r="B1510" s="6" t="s">
        <v>4716</v>
      </c>
      <c r="C1510" s="6" t="s">
        <v>5034</v>
      </c>
      <c r="D1510" s="6" t="s">
        <v>5080</v>
      </c>
    </row>
    <row r="1511" spans="1:4" x14ac:dyDescent="0.35">
      <c r="A1511" s="6" t="s">
        <v>851</v>
      </c>
      <c r="B1511" s="6" t="s">
        <v>4713</v>
      </c>
      <c r="C1511" s="6" t="s">
        <v>7213</v>
      </c>
      <c r="D1511" s="6" t="s">
        <v>7214</v>
      </c>
    </row>
    <row r="1512" spans="1:4" x14ac:dyDescent="0.35">
      <c r="A1512" s="6" t="s">
        <v>850</v>
      </c>
      <c r="B1512" s="6" t="s">
        <v>4716</v>
      </c>
      <c r="C1512" s="6" t="s">
        <v>7215</v>
      </c>
      <c r="D1512" s="6" t="s">
        <v>5014</v>
      </c>
    </row>
    <row r="1513" spans="1:4" x14ac:dyDescent="0.35">
      <c r="A1513" s="6" t="s">
        <v>849</v>
      </c>
      <c r="B1513" s="6" t="s">
        <v>4716</v>
      </c>
      <c r="C1513" s="6" t="s">
        <v>7216</v>
      </c>
      <c r="D1513" s="6" t="s">
        <v>7217</v>
      </c>
    </row>
    <row r="1514" spans="1:4" x14ac:dyDescent="0.35">
      <c r="A1514" s="6" t="s">
        <v>848</v>
      </c>
      <c r="B1514" s="6" t="s">
        <v>4713</v>
      </c>
      <c r="C1514" s="6" t="s">
        <v>7218</v>
      </c>
      <c r="D1514" s="6" t="s">
        <v>7219</v>
      </c>
    </row>
    <row r="1515" spans="1:4" x14ac:dyDescent="0.35">
      <c r="A1515" s="6" t="s">
        <v>847</v>
      </c>
      <c r="B1515" s="6" t="s">
        <v>4716</v>
      </c>
      <c r="C1515" s="6" t="s">
        <v>7220</v>
      </c>
      <c r="D1515" s="6" t="s">
        <v>7221</v>
      </c>
    </row>
    <row r="1516" spans="1:4" x14ac:dyDescent="0.35">
      <c r="A1516" s="6" t="s">
        <v>846</v>
      </c>
      <c r="B1516" s="6" t="s">
        <v>4716</v>
      </c>
      <c r="C1516" s="6" t="s">
        <v>7222</v>
      </c>
      <c r="D1516" s="6" t="s">
        <v>5014</v>
      </c>
    </row>
    <row r="1517" spans="1:4" x14ac:dyDescent="0.35">
      <c r="A1517" s="6" t="s">
        <v>845</v>
      </c>
      <c r="B1517" s="6" t="s">
        <v>4716</v>
      </c>
      <c r="C1517" s="6" t="s">
        <v>7223</v>
      </c>
      <c r="D1517" s="6" t="s">
        <v>6721</v>
      </c>
    </row>
    <row r="1518" spans="1:4" x14ac:dyDescent="0.35">
      <c r="A1518" s="6" t="s">
        <v>844</v>
      </c>
      <c r="B1518" s="6" t="s">
        <v>4713</v>
      </c>
      <c r="C1518" s="6" t="s">
        <v>7224</v>
      </c>
      <c r="D1518" s="6" t="s">
        <v>7225</v>
      </c>
    </row>
    <row r="1519" spans="1:4" x14ac:dyDescent="0.35">
      <c r="A1519" s="6" t="s">
        <v>843</v>
      </c>
      <c r="B1519" s="6" t="s">
        <v>4713</v>
      </c>
      <c r="C1519" s="6" t="s">
        <v>7226</v>
      </c>
      <c r="D1519" s="6" t="s">
        <v>5536</v>
      </c>
    </row>
    <row r="1520" spans="1:4" x14ac:dyDescent="0.35">
      <c r="A1520" s="6" t="s">
        <v>842</v>
      </c>
      <c r="B1520" s="6" t="s">
        <v>4713</v>
      </c>
      <c r="C1520" s="6" t="s">
        <v>7227</v>
      </c>
      <c r="D1520" s="6" t="s">
        <v>7228</v>
      </c>
    </row>
    <row r="1521" spans="1:4" x14ac:dyDescent="0.35">
      <c r="A1521" s="6" t="s">
        <v>841</v>
      </c>
      <c r="B1521" s="6" t="s">
        <v>4713</v>
      </c>
      <c r="C1521" s="6" t="s">
        <v>7229</v>
      </c>
      <c r="D1521" s="6" t="s">
        <v>7230</v>
      </c>
    </row>
    <row r="1522" spans="1:4" x14ac:dyDescent="0.35">
      <c r="A1522" s="6" t="s">
        <v>840</v>
      </c>
      <c r="B1522" s="6" t="s">
        <v>4716</v>
      </c>
      <c r="C1522" s="6" t="s">
        <v>7231</v>
      </c>
      <c r="D1522" s="6" t="s">
        <v>7232</v>
      </c>
    </row>
    <row r="1523" spans="1:4" x14ac:dyDescent="0.35">
      <c r="A1523" s="6" t="s">
        <v>839</v>
      </c>
      <c r="B1523" s="6" t="s">
        <v>4713</v>
      </c>
      <c r="C1523" s="6" t="s">
        <v>7233</v>
      </c>
      <c r="D1523" s="6" t="s">
        <v>5862</v>
      </c>
    </row>
    <row r="1524" spans="1:4" x14ac:dyDescent="0.35">
      <c r="A1524" s="6" t="s">
        <v>838</v>
      </c>
      <c r="B1524" s="6" t="s">
        <v>4716</v>
      </c>
      <c r="C1524" s="6" t="s">
        <v>7234</v>
      </c>
      <c r="D1524" s="6" t="s">
        <v>7235</v>
      </c>
    </row>
    <row r="1525" spans="1:4" x14ac:dyDescent="0.35">
      <c r="A1525" s="6" t="s">
        <v>837</v>
      </c>
      <c r="B1525" s="6" t="s">
        <v>4716</v>
      </c>
      <c r="C1525" s="6" t="s">
        <v>7236</v>
      </c>
      <c r="D1525" s="6" t="s">
        <v>5150</v>
      </c>
    </row>
    <row r="1526" spans="1:4" x14ac:dyDescent="0.35">
      <c r="A1526" s="6" t="s">
        <v>836</v>
      </c>
      <c r="B1526" s="6" t="s">
        <v>4716</v>
      </c>
      <c r="C1526" s="6" t="s">
        <v>6227</v>
      </c>
      <c r="D1526" s="6" t="s">
        <v>7237</v>
      </c>
    </row>
    <row r="1527" spans="1:4" x14ac:dyDescent="0.35">
      <c r="A1527" s="6" t="s">
        <v>835</v>
      </c>
      <c r="B1527" s="6" t="s">
        <v>4713</v>
      </c>
      <c r="C1527" s="6" t="s">
        <v>7238</v>
      </c>
      <c r="D1527" s="6" t="s">
        <v>7239</v>
      </c>
    </row>
    <row r="1528" spans="1:4" x14ac:dyDescent="0.35">
      <c r="A1528" s="6" t="s">
        <v>834</v>
      </c>
      <c r="B1528" s="6" t="s">
        <v>4713</v>
      </c>
      <c r="C1528" s="6" t="s">
        <v>7240</v>
      </c>
      <c r="D1528" s="6" t="s">
        <v>7241</v>
      </c>
    </row>
    <row r="1529" spans="1:4" x14ac:dyDescent="0.35">
      <c r="A1529" s="6" t="s">
        <v>833</v>
      </c>
      <c r="B1529" s="6" t="s">
        <v>4716</v>
      </c>
      <c r="C1529" s="6" t="s">
        <v>7242</v>
      </c>
      <c r="D1529" s="6" t="s">
        <v>7243</v>
      </c>
    </row>
    <row r="1530" spans="1:4" x14ac:dyDescent="0.35">
      <c r="A1530" s="6" t="s">
        <v>832</v>
      </c>
      <c r="B1530" s="6" t="s">
        <v>4713</v>
      </c>
      <c r="C1530" s="6" t="s">
        <v>7244</v>
      </c>
      <c r="D1530" s="6" t="s">
        <v>7245</v>
      </c>
    </row>
    <row r="1531" spans="1:4" x14ac:dyDescent="0.35">
      <c r="A1531" s="6" t="s">
        <v>831</v>
      </c>
      <c r="B1531" s="6" t="s">
        <v>4713</v>
      </c>
      <c r="C1531" s="6" t="s">
        <v>5264</v>
      </c>
      <c r="D1531" s="6" t="s">
        <v>4875</v>
      </c>
    </row>
    <row r="1532" spans="1:4" x14ac:dyDescent="0.35">
      <c r="A1532" s="6" t="s">
        <v>830</v>
      </c>
      <c r="B1532" s="6" t="s">
        <v>4713</v>
      </c>
      <c r="C1532" s="6" t="s">
        <v>7246</v>
      </c>
      <c r="D1532" s="6" t="s">
        <v>7247</v>
      </c>
    </row>
    <row r="1533" spans="1:4" x14ac:dyDescent="0.35">
      <c r="A1533" s="6" t="s">
        <v>829</v>
      </c>
      <c r="B1533" s="6" t="s">
        <v>4716</v>
      </c>
      <c r="C1533" s="6" t="s">
        <v>7248</v>
      </c>
      <c r="D1533" s="6" t="s">
        <v>7249</v>
      </c>
    </row>
    <row r="1534" spans="1:4" x14ac:dyDescent="0.35">
      <c r="A1534" s="6" t="s">
        <v>828</v>
      </c>
      <c r="B1534" s="6" t="s">
        <v>4716</v>
      </c>
      <c r="C1534" s="6" t="s">
        <v>7250</v>
      </c>
      <c r="D1534" s="6" t="s">
        <v>5449</v>
      </c>
    </row>
    <row r="1535" spans="1:4" x14ac:dyDescent="0.35">
      <c r="A1535" s="6" t="s">
        <v>827</v>
      </c>
      <c r="B1535" s="6" t="s">
        <v>4713</v>
      </c>
      <c r="C1535" s="6" t="s">
        <v>7251</v>
      </c>
      <c r="D1535" s="6" t="s">
        <v>4885</v>
      </c>
    </row>
    <row r="1536" spans="1:4" x14ac:dyDescent="0.35">
      <c r="A1536" s="6" t="s">
        <v>826</v>
      </c>
      <c r="B1536" s="6" t="s">
        <v>4716</v>
      </c>
      <c r="C1536" s="6" t="s">
        <v>7252</v>
      </c>
      <c r="D1536" s="6" t="s">
        <v>4766</v>
      </c>
    </row>
    <row r="1537" spans="1:4" x14ac:dyDescent="0.35">
      <c r="A1537" s="6" t="s">
        <v>825</v>
      </c>
      <c r="B1537" s="6" t="s">
        <v>4716</v>
      </c>
      <c r="C1537" s="6" t="s">
        <v>7253</v>
      </c>
      <c r="D1537" s="6" t="s">
        <v>4811</v>
      </c>
    </row>
    <row r="1538" spans="1:4" x14ac:dyDescent="0.35">
      <c r="A1538" s="6" t="s">
        <v>824</v>
      </c>
      <c r="B1538" s="6" t="s">
        <v>4713</v>
      </c>
      <c r="C1538" s="6" t="s">
        <v>7254</v>
      </c>
      <c r="D1538" s="6" t="s">
        <v>7255</v>
      </c>
    </row>
    <row r="1539" spans="1:4" x14ac:dyDescent="0.35">
      <c r="A1539" s="6" t="s">
        <v>823</v>
      </c>
      <c r="B1539" s="6" t="s">
        <v>4716</v>
      </c>
      <c r="C1539" s="6" t="s">
        <v>7256</v>
      </c>
      <c r="D1539" s="6" t="s">
        <v>5140</v>
      </c>
    </row>
    <row r="1540" spans="1:4" x14ac:dyDescent="0.35">
      <c r="A1540" s="6" t="s">
        <v>822</v>
      </c>
      <c r="B1540" s="6" t="s">
        <v>4716</v>
      </c>
      <c r="C1540" s="6" t="s">
        <v>7257</v>
      </c>
      <c r="D1540" s="6" t="s">
        <v>7258</v>
      </c>
    </row>
    <row r="1541" spans="1:4" x14ac:dyDescent="0.35">
      <c r="A1541" s="6" t="s">
        <v>821</v>
      </c>
      <c r="B1541" s="6" t="s">
        <v>4713</v>
      </c>
      <c r="C1541" s="6" t="s">
        <v>7259</v>
      </c>
      <c r="D1541" s="6" t="s">
        <v>7260</v>
      </c>
    </row>
    <row r="1542" spans="1:4" x14ac:dyDescent="0.35">
      <c r="A1542" s="6" t="s">
        <v>820</v>
      </c>
      <c r="B1542" s="6" t="s">
        <v>4713</v>
      </c>
      <c r="C1542" s="6" t="s">
        <v>7261</v>
      </c>
      <c r="D1542" s="6" t="s">
        <v>7262</v>
      </c>
    </row>
    <row r="1543" spans="1:4" x14ac:dyDescent="0.35">
      <c r="A1543" s="6" t="s">
        <v>819</v>
      </c>
      <c r="B1543" s="6" t="s">
        <v>4716</v>
      </c>
      <c r="C1543" s="6" t="s">
        <v>7263</v>
      </c>
      <c r="D1543" s="6" t="s">
        <v>7264</v>
      </c>
    </row>
    <row r="1544" spans="1:4" x14ac:dyDescent="0.35">
      <c r="A1544" s="6" t="s">
        <v>818</v>
      </c>
      <c r="B1544" s="6" t="s">
        <v>4716</v>
      </c>
      <c r="C1544" s="6" t="s">
        <v>7265</v>
      </c>
      <c r="D1544" s="6" t="s">
        <v>4811</v>
      </c>
    </row>
    <row r="1545" spans="1:4" x14ac:dyDescent="0.35">
      <c r="A1545" s="6" t="s">
        <v>817</v>
      </c>
      <c r="B1545" s="6" t="s">
        <v>4716</v>
      </c>
      <c r="C1545" s="6" t="s">
        <v>7266</v>
      </c>
      <c r="D1545" s="6" t="s">
        <v>7267</v>
      </c>
    </row>
    <row r="1546" spans="1:4" x14ac:dyDescent="0.35">
      <c r="A1546" s="6" t="s">
        <v>816</v>
      </c>
      <c r="B1546" s="6" t="s">
        <v>4716</v>
      </c>
      <c r="C1546" s="6" t="s">
        <v>7268</v>
      </c>
      <c r="D1546" s="6" t="s">
        <v>7269</v>
      </c>
    </row>
    <row r="1547" spans="1:4" x14ac:dyDescent="0.35">
      <c r="A1547" s="6" t="s">
        <v>815</v>
      </c>
      <c r="B1547" s="6" t="s">
        <v>4713</v>
      </c>
      <c r="C1547" s="6" t="s">
        <v>7270</v>
      </c>
      <c r="D1547" s="6" t="s">
        <v>6110</v>
      </c>
    </row>
    <row r="1548" spans="1:4" x14ac:dyDescent="0.35">
      <c r="A1548" s="6" t="s">
        <v>814</v>
      </c>
      <c r="B1548" s="6" t="s">
        <v>4713</v>
      </c>
      <c r="C1548" s="6" t="s">
        <v>7271</v>
      </c>
      <c r="D1548" s="6" t="s">
        <v>7272</v>
      </c>
    </row>
    <row r="1549" spans="1:4" x14ac:dyDescent="0.35">
      <c r="A1549" s="6" t="s">
        <v>813</v>
      </c>
      <c r="B1549" s="6" t="s">
        <v>4713</v>
      </c>
      <c r="C1549" s="6" t="s">
        <v>7273</v>
      </c>
      <c r="D1549" s="6" t="s">
        <v>7274</v>
      </c>
    </row>
    <row r="1550" spans="1:4" x14ac:dyDescent="0.35">
      <c r="A1550" s="6" t="s">
        <v>812</v>
      </c>
      <c r="B1550" s="6" t="s">
        <v>4716</v>
      </c>
      <c r="C1550" s="6" t="s">
        <v>7275</v>
      </c>
      <c r="D1550" s="6" t="s">
        <v>7276</v>
      </c>
    </row>
    <row r="1551" spans="1:4" x14ac:dyDescent="0.35">
      <c r="A1551" s="6" t="s">
        <v>811</v>
      </c>
      <c r="B1551" s="6" t="s">
        <v>4713</v>
      </c>
      <c r="C1551" s="6" t="s">
        <v>7277</v>
      </c>
      <c r="D1551" s="6" t="s">
        <v>4770</v>
      </c>
    </row>
    <row r="1552" spans="1:4" x14ac:dyDescent="0.35">
      <c r="A1552" s="6" t="s">
        <v>810</v>
      </c>
      <c r="B1552" s="6" t="s">
        <v>4716</v>
      </c>
      <c r="C1552" s="6" t="s">
        <v>7278</v>
      </c>
      <c r="D1552" s="6" t="s">
        <v>7279</v>
      </c>
    </row>
    <row r="1553" spans="1:4" x14ac:dyDescent="0.35">
      <c r="A1553" s="6" t="s">
        <v>809</v>
      </c>
      <c r="B1553" s="6" t="s">
        <v>4716</v>
      </c>
      <c r="C1553" s="6" t="s">
        <v>6827</v>
      </c>
      <c r="D1553" s="6" t="s">
        <v>5558</v>
      </c>
    </row>
    <row r="1554" spans="1:4" x14ac:dyDescent="0.35">
      <c r="A1554" s="6" t="s">
        <v>808</v>
      </c>
      <c r="B1554" s="6" t="s">
        <v>4716</v>
      </c>
      <c r="C1554" s="6" t="s">
        <v>7280</v>
      </c>
      <c r="D1554" s="6" t="s">
        <v>7281</v>
      </c>
    </row>
    <row r="1555" spans="1:4" x14ac:dyDescent="0.35">
      <c r="A1555" s="6" t="s">
        <v>807</v>
      </c>
      <c r="B1555" s="6" t="s">
        <v>4713</v>
      </c>
      <c r="C1555" s="6" t="s">
        <v>7282</v>
      </c>
      <c r="D1555" s="6" t="s">
        <v>7283</v>
      </c>
    </row>
    <row r="1556" spans="1:4" x14ac:dyDescent="0.35">
      <c r="A1556" s="6" t="s">
        <v>806</v>
      </c>
      <c r="B1556" s="6" t="s">
        <v>4713</v>
      </c>
      <c r="C1556" s="6" t="s">
        <v>7284</v>
      </c>
      <c r="D1556" s="6" t="s">
        <v>5084</v>
      </c>
    </row>
    <row r="1557" spans="1:4" x14ac:dyDescent="0.35">
      <c r="A1557" s="6" t="s">
        <v>805</v>
      </c>
      <c r="B1557" s="6" t="s">
        <v>4716</v>
      </c>
      <c r="C1557" s="6" t="s">
        <v>6561</v>
      </c>
      <c r="D1557" s="6" t="s">
        <v>7285</v>
      </c>
    </row>
    <row r="1558" spans="1:4" x14ac:dyDescent="0.35">
      <c r="A1558" s="6" t="s">
        <v>804</v>
      </c>
      <c r="B1558" s="6" t="s">
        <v>4713</v>
      </c>
      <c r="C1558" s="6" t="s">
        <v>7286</v>
      </c>
      <c r="D1558" s="6" t="s">
        <v>7287</v>
      </c>
    </row>
    <row r="1559" spans="1:4" x14ac:dyDescent="0.35">
      <c r="A1559" s="6" t="s">
        <v>803</v>
      </c>
      <c r="B1559" s="6" t="s">
        <v>4713</v>
      </c>
      <c r="C1559" s="6" t="s">
        <v>7288</v>
      </c>
      <c r="D1559" s="6" t="s">
        <v>7054</v>
      </c>
    </row>
    <row r="1560" spans="1:4" x14ac:dyDescent="0.35">
      <c r="A1560" s="6" t="s">
        <v>802</v>
      </c>
      <c r="B1560" s="6" t="s">
        <v>4713</v>
      </c>
      <c r="C1560" s="6" t="s">
        <v>7289</v>
      </c>
      <c r="D1560" s="6" t="s">
        <v>7290</v>
      </c>
    </row>
    <row r="1561" spans="1:4" x14ac:dyDescent="0.35">
      <c r="A1561" s="6" t="s">
        <v>801</v>
      </c>
      <c r="B1561" s="6" t="s">
        <v>4713</v>
      </c>
      <c r="C1561" s="6" t="s">
        <v>7291</v>
      </c>
      <c r="D1561" s="6" t="s">
        <v>7292</v>
      </c>
    </row>
    <row r="1562" spans="1:4" x14ac:dyDescent="0.35">
      <c r="A1562" s="6" t="s">
        <v>800</v>
      </c>
      <c r="B1562" s="6" t="s">
        <v>4716</v>
      </c>
      <c r="C1562" s="6" t="s">
        <v>7293</v>
      </c>
      <c r="D1562" s="6" t="s">
        <v>7294</v>
      </c>
    </row>
    <row r="1563" spans="1:4" x14ac:dyDescent="0.35">
      <c r="A1563" s="6" t="s">
        <v>799</v>
      </c>
      <c r="B1563" s="6" t="s">
        <v>4716</v>
      </c>
      <c r="C1563" s="6" t="s">
        <v>7295</v>
      </c>
      <c r="D1563" s="6" t="s">
        <v>7296</v>
      </c>
    </row>
    <row r="1564" spans="1:4" x14ac:dyDescent="0.35">
      <c r="A1564" s="6" t="s">
        <v>798</v>
      </c>
      <c r="B1564" s="6" t="s">
        <v>4716</v>
      </c>
      <c r="C1564" s="6" t="s">
        <v>7297</v>
      </c>
      <c r="D1564" s="6" t="s">
        <v>7298</v>
      </c>
    </row>
    <row r="1565" spans="1:4" x14ac:dyDescent="0.35">
      <c r="A1565" s="6" t="s">
        <v>797</v>
      </c>
      <c r="B1565" s="6" t="s">
        <v>4716</v>
      </c>
      <c r="C1565" s="6" t="s">
        <v>5599</v>
      </c>
      <c r="D1565" s="6" t="s">
        <v>5008</v>
      </c>
    </row>
    <row r="1566" spans="1:4" x14ac:dyDescent="0.35">
      <c r="A1566" s="6" t="s">
        <v>796</v>
      </c>
      <c r="B1566" s="6" t="s">
        <v>4716</v>
      </c>
      <c r="C1566" s="6" t="s">
        <v>6241</v>
      </c>
      <c r="D1566" s="6" t="s">
        <v>7299</v>
      </c>
    </row>
    <row r="1567" spans="1:4" x14ac:dyDescent="0.35">
      <c r="A1567" s="6" t="s">
        <v>795</v>
      </c>
      <c r="B1567" s="6" t="s">
        <v>4713</v>
      </c>
      <c r="C1567" s="6" t="s">
        <v>7300</v>
      </c>
      <c r="D1567" s="6" t="s">
        <v>7301</v>
      </c>
    </row>
    <row r="1568" spans="1:4" x14ac:dyDescent="0.35">
      <c r="A1568" s="6" t="s">
        <v>794</v>
      </c>
      <c r="B1568" s="6" t="s">
        <v>4713</v>
      </c>
      <c r="C1568" s="6" t="s">
        <v>7302</v>
      </c>
      <c r="D1568" s="6" t="s">
        <v>5387</v>
      </c>
    </row>
    <row r="1569" spans="1:4" x14ac:dyDescent="0.35">
      <c r="A1569" s="6" t="s">
        <v>793</v>
      </c>
      <c r="B1569" s="6" t="s">
        <v>4716</v>
      </c>
      <c r="C1569" s="6" t="s">
        <v>5671</v>
      </c>
      <c r="D1569" s="6" t="s">
        <v>7303</v>
      </c>
    </row>
    <row r="1570" spans="1:4" x14ac:dyDescent="0.35">
      <c r="A1570" s="6" t="s">
        <v>792</v>
      </c>
      <c r="B1570" s="6" t="s">
        <v>4713</v>
      </c>
      <c r="C1570" s="6" t="s">
        <v>7304</v>
      </c>
      <c r="D1570" s="6" t="s">
        <v>7305</v>
      </c>
    </row>
    <row r="1571" spans="1:4" x14ac:dyDescent="0.35">
      <c r="A1571" s="6" t="s">
        <v>791</v>
      </c>
      <c r="B1571" s="6" t="s">
        <v>4716</v>
      </c>
      <c r="C1571" s="6" t="s">
        <v>7306</v>
      </c>
      <c r="D1571" s="6" t="s">
        <v>6494</v>
      </c>
    </row>
    <row r="1572" spans="1:4" x14ac:dyDescent="0.35">
      <c r="A1572" s="6" t="s">
        <v>790</v>
      </c>
      <c r="B1572" s="6" t="s">
        <v>4713</v>
      </c>
      <c r="C1572" s="6" t="s">
        <v>7307</v>
      </c>
      <c r="D1572" s="6" t="s">
        <v>6502</v>
      </c>
    </row>
    <row r="1573" spans="1:4" x14ac:dyDescent="0.35">
      <c r="A1573" s="6" t="s">
        <v>789</v>
      </c>
      <c r="B1573" s="6" t="s">
        <v>4716</v>
      </c>
      <c r="C1573" s="6" t="s">
        <v>5583</v>
      </c>
      <c r="D1573" s="6" t="s">
        <v>7308</v>
      </c>
    </row>
    <row r="1574" spans="1:4" x14ac:dyDescent="0.35">
      <c r="A1574" s="6" t="s">
        <v>788</v>
      </c>
      <c r="B1574" s="6" t="s">
        <v>4716</v>
      </c>
      <c r="C1574" s="6" t="s">
        <v>7309</v>
      </c>
      <c r="D1574" s="6" t="s">
        <v>7310</v>
      </c>
    </row>
    <row r="1575" spans="1:4" x14ac:dyDescent="0.35">
      <c r="A1575" s="6" t="s">
        <v>787</v>
      </c>
      <c r="B1575" s="6" t="s">
        <v>4716</v>
      </c>
      <c r="C1575" s="6" t="s">
        <v>7311</v>
      </c>
      <c r="D1575" s="6" t="s">
        <v>7312</v>
      </c>
    </row>
    <row r="1576" spans="1:4" x14ac:dyDescent="0.35">
      <c r="A1576" s="6" t="s">
        <v>786</v>
      </c>
      <c r="B1576" s="6" t="s">
        <v>4716</v>
      </c>
      <c r="C1576" s="6" t="s">
        <v>7313</v>
      </c>
      <c r="D1576" s="6" t="s">
        <v>4762</v>
      </c>
    </row>
    <row r="1577" spans="1:4" x14ac:dyDescent="0.35">
      <c r="A1577" s="6" t="s">
        <v>785</v>
      </c>
      <c r="B1577" s="6" t="s">
        <v>4713</v>
      </c>
      <c r="C1577" s="6" t="s">
        <v>5697</v>
      </c>
      <c r="D1577" s="6" t="s">
        <v>7314</v>
      </c>
    </row>
    <row r="1578" spans="1:4" x14ac:dyDescent="0.35">
      <c r="A1578" s="6" t="s">
        <v>784</v>
      </c>
      <c r="B1578" s="6" t="s">
        <v>4716</v>
      </c>
      <c r="C1578" s="6" t="s">
        <v>7315</v>
      </c>
      <c r="D1578" s="6" t="s">
        <v>7316</v>
      </c>
    </row>
    <row r="1579" spans="1:4" x14ac:dyDescent="0.35">
      <c r="A1579" s="6" t="s">
        <v>783</v>
      </c>
      <c r="B1579" s="6" t="s">
        <v>4716</v>
      </c>
      <c r="C1579" s="6" t="s">
        <v>7317</v>
      </c>
      <c r="D1579" s="6" t="s">
        <v>7318</v>
      </c>
    </row>
    <row r="1580" spans="1:4" x14ac:dyDescent="0.35">
      <c r="A1580" s="6" t="s">
        <v>782</v>
      </c>
      <c r="B1580" s="6" t="s">
        <v>4713</v>
      </c>
      <c r="C1580" s="6" t="s">
        <v>5868</v>
      </c>
      <c r="D1580" s="6" t="s">
        <v>7319</v>
      </c>
    </row>
    <row r="1581" spans="1:4" x14ac:dyDescent="0.35">
      <c r="A1581" s="6" t="s">
        <v>781</v>
      </c>
      <c r="B1581" s="6" t="s">
        <v>4716</v>
      </c>
      <c r="C1581" s="6" t="s">
        <v>7320</v>
      </c>
      <c r="D1581" s="6" t="s">
        <v>5010</v>
      </c>
    </row>
    <row r="1582" spans="1:4" x14ac:dyDescent="0.35">
      <c r="A1582" s="6" t="s">
        <v>780</v>
      </c>
      <c r="B1582" s="6" t="s">
        <v>4716</v>
      </c>
      <c r="C1582" s="6" t="s">
        <v>7321</v>
      </c>
      <c r="D1582" s="6" t="s">
        <v>7322</v>
      </c>
    </row>
    <row r="1583" spans="1:4" x14ac:dyDescent="0.35">
      <c r="A1583" s="6" t="s">
        <v>779</v>
      </c>
      <c r="B1583" s="6" t="s">
        <v>4716</v>
      </c>
      <c r="C1583" s="6" t="s">
        <v>5338</v>
      </c>
      <c r="D1583" s="6" t="s">
        <v>7323</v>
      </c>
    </row>
    <row r="1584" spans="1:4" x14ac:dyDescent="0.35">
      <c r="A1584" s="6" t="s">
        <v>778</v>
      </c>
      <c r="B1584" s="6" t="s">
        <v>5590</v>
      </c>
      <c r="C1584" s="6" t="s">
        <v>7324</v>
      </c>
      <c r="D1584" s="6" t="s">
        <v>7325</v>
      </c>
    </row>
    <row r="1585" spans="1:4" x14ac:dyDescent="0.35">
      <c r="A1585" s="6" t="s">
        <v>777</v>
      </c>
      <c r="B1585" s="6" t="s">
        <v>4713</v>
      </c>
      <c r="C1585" s="6" t="s">
        <v>7326</v>
      </c>
      <c r="D1585" s="6" t="s">
        <v>7327</v>
      </c>
    </row>
    <row r="1586" spans="1:4" x14ac:dyDescent="0.35">
      <c r="A1586" s="6" t="s">
        <v>776</v>
      </c>
      <c r="B1586" s="6" t="s">
        <v>5590</v>
      </c>
      <c r="C1586" s="6" t="s">
        <v>7328</v>
      </c>
      <c r="D1586" s="6" t="s">
        <v>7329</v>
      </c>
    </row>
    <row r="1587" spans="1:4" x14ac:dyDescent="0.35">
      <c r="A1587" s="6" t="s">
        <v>775</v>
      </c>
      <c r="B1587" s="6" t="s">
        <v>4713</v>
      </c>
      <c r="C1587" s="6" t="s">
        <v>7330</v>
      </c>
      <c r="D1587" s="6" t="s">
        <v>7331</v>
      </c>
    </row>
    <row r="1588" spans="1:4" x14ac:dyDescent="0.35">
      <c r="A1588" s="6" t="s">
        <v>774</v>
      </c>
      <c r="B1588" s="6" t="s">
        <v>4716</v>
      </c>
      <c r="C1588" s="6" t="s">
        <v>7332</v>
      </c>
      <c r="D1588" s="6" t="s">
        <v>7333</v>
      </c>
    </row>
    <row r="1589" spans="1:4" x14ac:dyDescent="0.35">
      <c r="A1589" s="6" t="s">
        <v>773</v>
      </c>
      <c r="B1589" s="6" t="s">
        <v>4716</v>
      </c>
      <c r="C1589" s="6" t="s">
        <v>7334</v>
      </c>
      <c r="D1589" s="6" t="s">
        <v>7335</v>
      </c>
    </row>
    <row r="1590" spans="1:4" x14ac:dyDescent="0.35">
      <c r="A1590" s="6" t="s">
        <v>772</v>
      </c>
      <c r="B1590" s="6" t="s">
        <v>4713</v>
      </c>
      <c r="C1590" s="6" t="s">
        <v>7336</v>
      </c>
      <c r="D1590" s="6" t="s">
        <v>7337</v>
      </c>
    </row>
    <row r="1591" spans="1:4" x14ac:dyDescent="0.35">
      <c r="A1591" s="6" t="s">
        <v>771</v>
      </c>
      <c r="B1591" s="6" t="s">
        <v>4716</v>
      </c>
      <c r="C1591" s="6" t="s">
        <v>5272</v>
      </c>
      <c r="D1591" s="6" t="s">
        <v>5471</v>
      </c>
    </row>
    <row r="1592" spans="1:4" x14ac:dyDescent="0.35">
      <c r="A1592" s="6" t="s">
        <v>770</v>
      </c>
      <c r="B1592" s="6" t="s">
        <v>4716</v>
      </c>
      <c r="C1592" s="6" t="s">
        <v>7338</v>
      </c>
      <c r="D1592" s="6" t="s">
        <v>5645</v>
      </c>
    </row>
    <row r="1593" spans="1:4" x14ac:dyDescent="0.35">
      <c r="A1593" s="6" t="s">
        <v>769</v>
      </c>
      <c r="B1593" s="6" t="s">
        <v>4716</v>
      </c>
      <c r="C1593" s="6" t="s">
        <v>7339</v>
      </c>
      <c r="D1593" s="6" t="s">
        <v>5125</v>
      </c>
    </row>
    <row r="1594" spans="1:4" x14ac:dyDescent="0.35">
      <c r="A1594" s="6" t="s">
        <v>768</v>
      </c>
      <c r="B1594" s="6" t="s">
        <v>5590</v>
      </c>
      <c r="C1594" s="6" t="s">
        <v>7340</v>
      </c>
      <c r="D1594" s="6" t="s">
        <v>5661</v>
      </c>
    </row>
    <row r="1595" spans="1:4" x14ac:dyDescent="0.35">
      <c r="A1595" s="6" t="s">
        <v>767</v>
      </c>
      <c r="B1595" s="6" t="s">
        <v>4716</v>
      </c>
      <c r="C1595" s="6" t="s">
        <v>7341</v>
      </c>
      <c r="D1595" s="6" t="s">
        <v>7342</v>
      </c>
    </row>
    <row r="1596" spans="1:4" x14ac:dyDescent="0.35">
      <c r="A1596" s="6" t="s">
        <v>766</v>
      </c>
      <c r="B1596" s="6" t="s">
        <v>4713</v>
      </c>
      <c r="C1596" s="6" t="s">
        <v>7343</v>
      </c>
      <c r="D1596" s="6" t="s">
        <v>5076</v>
      </c>
    </row>
    <row r="1597" spans="1:4" x14ac:dyDescent="0.35">
      <c r="A1597" s="6" t="s">
        <v>765</v>
      </c>
      <c r="B1597" s="6" t="s">
        <v>5590</v>
      </c>
      <c r="C1597" s="6" t="s">
        <v>7344</v>
      </c>
      <c r="D1597" s="6" t="s">
        <v>7345</v>
      </c>
    </row>
    <row r="1598" spans="1:4" x14ac:dyDescent="0.35">
      <c r="A1598" s="6" t="s">
        <v>764</v>
      </c>
      <c r="B1598" s="6" t="s">
        <v>4716</v>
      </c>
      <c r="C1598" s="6" t="s">
        <v>7346</v>
      </c>
      <c r="D1598" s="6" t="s">
        <v>7347</v>
      </c>
    </row>
    <row r="1599" spans="1:4" x14ac:dyDescent="0.35">
      <c r="A1599" s="6" t="s">
        <v>763</v>
      </c>
      <c r="B1599" s="6" t="s">
        <v>4716</v>
      </c>
      <c r="C1599" s="6" t="s">
        <v>7348</v>
      </c>
      <c r="D1599" s="6" t="s">
        <v>7349</v>
      </c>
    </row>
    <row r="1600" spans="1:4" x14ac:dyDescent="0.35">
      <c r="A1600" s="6" t="s">
        <v>762</v>
      </c>
      <c r="B1600" s="6" t="s">
        <v>4716</v>
      </c>
      <c r="C1600" s="6" t="s">
        <v>6310</v>
      </c>
      <c r="D1600" s="6" t="s">
        <v>7350</v>
      </c>
    </row>
    <row r="1601" spans="1:4" x14ac:dyDescent="0.35">
      <c r="A1601" s="6" t="s">
        <v>761</v>
      </c>
      <c r="B1601" s="6" t="s">
        <v>4716</v>
      </c>
      <c r="C1601" s="6" t="s">
        <v>7351</v>
      </c>
      <c r="D1601" s="6" t="s">
        <v>5436</v>
      </c>
    </row>
    <row r="1602" spans="1:4" x14ac:dyDescent="0.35">
      <c r="A1602" s="6" t="s">
        <v>760</v>
      </c>
      <c r="B1602" s="6" t="s">
        <v>4713</v>
      </c>
      <c r="C1602" s="6" t="s">
        <v>7352</v>
      </c>
      <c r="D1602" s="6" t="s">
        <v>7353</v>
      </c>
    </row>
    <row r="1603" spans="1:4" x14ac:dyDescent="0.35">
      <c r="A1603" s="6" t="s">
        <v>759</v>
      </c>
      <c r="B1603" s="6" t="s">
        <v>4716</v>
      </c>
      <c r="C1603" s="6" t="s">
        <v>7354</v>
      </c>
      <c r="D1603" s="6" t="s">
        <v>6226</v>
      </c>
    </row>
    <row r="1604" spans="1:4" x14ac:dyDescent="0.35">
      <c r="A1604" s="6" t="s">
        <v>758</v>
      </c>
      <c r="B1604" s="6" t="s">
        <v>4716</v>
      </c>
      <c r="C1604" s="6" t="s">
        <v>7355</v>
      </c>
      <c r="D1604" s="6" t="s">
        <v>4970</v>
      </c>
    </row>
    <row r="1605" spans="1:4" x14ac:dyDescent="0.35">
      <c r="A1605" s="6" t="s">
        <v>757</v>
      </c>
      <c r="B1605" s="6" t="s">
        <v>4716</v>
      </c>
      <c r="C1605" s="6" t="s">
        <v>6106</v>
      </c>
      <c r="D1605" s="6" t="s">
        <v>7356</v>
      </c>
    </row>
    <row r="1606" spans="1:4" x14ac:dyDescent="0.35">
      <c r="A1606" s="6" t="s">
        <v>756</v>
      </c>
      <c r="B1606" s="6" t="s">
        <v>5590</v>
      </c>
      <c r="C1606" s="6" t="s">
        <v>7357</v>
      </c>
      <c r="D1606" s="6" t="s">
        <v>6803</v>
      </c>
    </row>
    <row r="1607" spans="1:4" x14ac:dyDescent="0.35">
      <c r="A1607" s="6" t="s">
        <v>755</v>
      </c>
      <c r="B1607" s="6" t="s">
        <v>4716</v>
      </c>
      <c r="C1607" s="6" t="s">
        <v>7358</v>
      </c>
      <c r="D1607" s="6" t="s">
        <v>4895</v>
      </c>
    </row>
    <row r="1608" spans="1:4" x14ac:dyDescent="0.35">
      <c r="A1608" s="6" t="s">
        <v>754</v>
      </c>
      <c r="B1608" s="6" t="s">
        <v>4716</v>
      </c>
      <c r="C1608" s="6" t="s">
        <v>5599</v>
      </c>
      <c r="D1608" s="6" t="s">
        <v>7359</v>
      </c>
    </row>
    <row r="1609" spans="1:4" x14ac:dyDescent="0.35">
      <c r="A1609" s="6" t="s">
        <v>753</v>
      </c>
      <c r="B1609" s="6" t="s">
        <v>4713</v>
      </c>
      <c r="C1609" s="6" t="s">
        <v>7360</v>
      </c>
      <c r="D1609" s="6" t="s">
        <v>7361</v>
      </c>
    </row>
    <row r="1610" spans="1:4" x14ac:dyDescent="0.35">
      <c r="A1610" s="6" t="s">
        <v>752</v>
      </c>
      <c r="B1610" s="6" t="s">
        <v>4713</v>
      </c>
      <c r="C1610" s="6" t="s">
        <v>7362</v>
      </c>
      <c r="D1610" s="6" t="s">
        <v>5661</v>
      </c>
    </row>
    <row r="1611" spans="1:4" x14ac:dyDescent="0.35">
      <c r="A1611" s="6" t="s">
        <v>751</v>
      </c>
      <c r="B1611" s="6" t="s">
        <v>4713</v>
      </c>
      <c r="C1611" s="6" t="s">
        <v>7363</v>
      </c>
      <c r="D1611" s="6" t="s">
        <v>7364</v>
      </c>
    </row>
    <row r="1612" spans="1:4" x14ac:dyDescent="0.35">
      <c r="A1612" s="6" t="s">
        <v>750</v>
      </c>
      <c r="B1612" s="6" t="s">
        <v>4713</v>
      </c>
      <c r="C1612" s="6" t="s">
        <v>7365</v>
      </c>
      <c r="D1612" s="6" t="s">
        <v>7366</v>
      </c>
    </row>
    <row r="1613" spans="1:4" x14ac:dyDescent="0.35">
      <c r="A1613" s="6" t="s">
        <v>749</v>
      </c>
      <c r="B1613" s="6" t="s">
        <v>4713</v>
      </c>
      <c r="C1613" s="6" t="s">
        <v>7367</v>
      </c>
      <c r="D1613" s="6" t="s">
        <v>5447</v>
      </c>
    </row>
    <row r="1614" spans="1:4" x14ac:dyDescent="0.35">
      <c r="A1614" s="6" t="s">
        <v>748</v>
      </c>
      <c r="B1614" s="6" t="s">
        <v>4716</v>
      </c>
      <c r="C1614" s="6" t="s">
        <v>7368</v>
      </c>
      <c r="D1614" s="6" t="s">
        <v>7369</v>
      </c>
    </row>
    <row r="1615" spans="1:4" x14ac:dyDescent="0.35">
      <c r="A1615" s="6" t="s">
        <v>747</v>
      </c>
      <c r="B1615" s="6" t="s">
        <v>4713</v>
      </c>
      <c r="C1615" s="6" t="s">
        <v>7370</v>
      </c>
      <c r="D1615" s="6" t="s">
        <v>7371</v>
      </c>
    </row>
    <row r="1616" spans="1:4" x14ac:dyDescent="0.35">
      <c r="A1616" s="6" t="s">
        <v>746</v>
      </c>
      <c r="B1616" s="6" t="s">
        <v>4716</v>
      </c>
      <c r="C1616" s="6" t="s">
        <v>7372</v>
      </c>
      <c r="D1616" s="6" t="s">
        <v>5140</v>
      </c>
    </row>
    <row r="1617" spans="1:4" x14ac:dyDescent="0.35">
      <c r="A1617" s="6" t="s">
        <v>745</v>
      </c>
      <c r="B1617" s="6" t="s">
        <v>4713</v>
      </c>
      <c r="C1617" s="6" t="s">
        <v>7373</v>
      </c>
      <c r="D1617" s="6" t="s">
        <v>7374</v>
      </c>
    </row>
    <row r="1618" spans="1:4" x14ac:dyDescent="0.35">
      <c r="A1618" s="6" t="s">
        <v>744</v>
      </c>
      <c r="B1618" s="6" t="s">
        <v>4716</v>
      </c>
      <c r="C1618" s="6" t="s">
        <v>7375</v>
      </c>
      <c r="D1618" s="6" t="s">
        <v>7376</v>
      </c>
    </row>
    <row r="1619" spans="1:4" x14ac:dyDescent="0.35">
      <c r="A1619" s="6" t="s">
        <v>743</v>
      </c>
      <c r="B1619" s="6" t="s">
        <v>4713</v>
      </c>
      <c r="C1619" s="6" t="s">
        <v>7377</v>
      </c>
      <c r="D1619" s="6" t="s">
        <v>6419</v>
      </c>
    </row>
    <row r="1620" spans="1:4" x14ac:dyDescent="0.35">
      <c r="A1620" s="6" t="s">
        <v>742</v>
      </c>
      <c r="B1620" s="6" t="s">
        <v>4716</v>
      </c>
      <c r="C1620" s="6" t="s">
        <v>4814</v>
      </c>
      <c r="D1620" s="6" t="s">
        <v>7378</v>
      </c>
    </row>
    <row r="1621" spans="1:4" x14ac:dyDescent="0.35">
      <c r="A1621" s="6" t="s">
        <v>741</v>
      </c>
      <c r="B1621" s="6" t="s">
        <v>4713</v>
      </c>
      <c r="C1621" s="6" t="s">
        <v>7379</v>
      </c>
      <c r="D1621" s="6" t="s">
        <v>7380</v>
      </c>
    </row>
    <row r="1622" spans="1:4" x14ac:dyDescent="0.35">
      <c r="A1622" s="6" t="s">
        <v>740</v>
      </c>
      <c r="B1622" s="6" t="s">
        <v>4713</v>
      </c>
      <c r="C1622" s="6" t="s">
        <v>7381</v>
      </c>
      <c r="D1622" s="6" t="s">
        <v>7382</v>
      </c>
    </row>
    <row r="1623" spans="1:4" x14ac:dyDescent="0.35">
      <c r="A1623" s="6" t="s">
        <v>739</v>
      </c>
      <c r="B1623" s="6" t="s">
        <v>4716</v>
      </c>
      <c r="C1623" s="6" t="s">
        <v>7383</v>
      </c>
      <c r="D1623" s="6" t="s">
        <v>5064</v>
      </c>
    </row>
    <row r="1624" spans="1:4" x14ac:dyDescent="0.35">
      <c r="A1624" s="6" t="s">
        <v>738</v>
      </c>
      <c r="B1624" s="6" t="s">
        <v>4716</v>
      </c>
      <c r="C1624" s="6" t="s">
        <v>7384</v>
      </c>
      <c r="D1624" s="6" t="s">
        <v>5798</v>
      </c>
    </row>
    <row r="1625" spans="1:4" x14ac:dyDescent="0.35">
      <c r="A1625" s="6" t="s">
        <v>737</v>
      </c>
      <c r="B1625" s="6" t="s">
        <v>4713</v>
      </c>
      <c r="C1625" s="6" t="s">
        <v>7385</v>
      </c>
      <c r="D1625" s="6" t="s">
        <v>5490</v>
      </c>
    </row>
    <row r="1626" spans="1:4" x14ac:dyDescent="0.35">
      <c r="A1626" s="6" t="s">
        <v>736</v>
      </c>
      <c r="B1626" s="6" t="s">
        <v>4713</v>
      </c>
      <c r="C1626" s="6" t="s">
        <v>7386</v>
      </c>
      <c r="D1626" s="6" t="s">
        <v>4885</v>
      </c>
    </row>
    <row r="1627" spans="1:4" x14ac:dyDescent="0.35">
      <c r="A1627" s="6" t="s">
        <v>735</v>
      </c>
      <c r="B1627" s="6" t="s">
        <v>5590</v>
      </c>
      <c r="C1627" s="6" t="s">
        <v>6477</v>
      </c>
      <c r="D1627" s="6" t="s">
        <v>7387</v>
      </c>
    </row>
    <row r="1628" spans="1:4" x14ac:dyDescent="0.35">
      <c r="A1628" s="6" t="s">
        <v>734</v>
      </c>
      <c r="B1628" s="6" t="s">
        <v>4713</v>
      </c>
      <c r="C1628" s="6" t="s">
        <v>7388</v>
      </c>
      <c r="D1628" s="6" t="s">
        <v>7389</v>
      </c>
    </row>
    <row r="1629" spans="1:4" x14ac:dyDescent="0.35">
      <c r="A1629" s="6" t="s">
        <v>733</v>
      </c>
      <c r="B1629" s="6" t="s">
        <v>4716</v>
      </c>
      <c r="C1629" s="6" t="s">
        <v>7390</v>
      </c>
      <c r="D1629" s="6" t="s">
        <v>4877</v>
      </c>
    </row>
    <row r="1630" spans="1:4" x14ac:dyDescent="0.35">
      <c r="A1630" s="6" t="s">
        <v>732</v>
      </c>
      <c r="B1630" s="6" t="s">
        <v>4716</v>
      </c>
      <c r="C1630" s="6" t="s">
        <v>7391</v>
      </c>
      <c r="D1630" s="6" t="s">
        <v>7392</v>
      </c>
    </row>
    <row r="1631" spans="1:4" x14ac:dyDescent="0.35">
      <c r="A1631" s="6" t="s">
        <v>731</v>
      </c>
      <c r="B1631" s="6" t="s">
        <v>4713</v>
      </c>
      <c r="C1631" s="6" t="s">
        <v>7393</v>
      </c>
      <c r="D1631" s="6" t="s">
        <v>7394</v>
      </c>
    </row>
    <row r="1632" spans="1:4" x14ac:dyDescent="0.35">
      <c r="A1632" s="6" t="s">
        <v>730</v>
      </c>
      <c r="B1632" s="6" t="s">
        <v>4716</v>
      </c>
      <c r="C1632" s="6" t="s">
        <v>6467</v>
      </c>
      <c r="D1632" s="6" t="s">
        <v>5140</v>
      </c>
    </row>
    <row r="1633" spans="1:4" x14ac:dyDescent="0.35">
      <c r="A1633" s="6" t="s">
        <v>729</v>
      </c>
      <c r="B1633" s="6" t="s">
        <v>4716</v>
      </c>
      <c r="C1633" s="6" t="s">
        <v>7254</v>
      </c>
      <c r="D1633" s="6" t="s">
        <v>7395</v>
      </c>
    </row>
    <row r="1634" spans="1:4" x14ac:dyDescent="0.35">
      <c r="A1634" s="6" t="s">
        <v>728</v>
      </c>
      <c r="B1634" s="6" t="s">
        <v>4713</v>
      </c>
      <c r="C1634" s="6" t="s">
        <v>7396</v>
      </c>
      <c r="D1634" s="6" t="s">
        <v>6695</v>
      </c>
    </row>
    <row r="1635" spans="1:4" x14ac:dyDescent="0.35">
      <c r="A1635" s="6" t="s">
        <v>727</v>
      </c>
      <c r="B1635" s="6" t="s">
        <v>4716</v>
      </c>
      <c r="C1635" s="6" t="s">
        <v>7397</v>
      </c>
      <c r="D1635" s="6" t="s">
        <v>7398</v>
      </c>
    </row>
    <row r="1636" spans="1:4" x14ac:dyDescent="0.35">
      <c r="A1636" s="6" t="s">
        <v>726</v>
      </c>
      <c r="B1636" s="6" t="s">
        <v>4713</v>
      </c>
      <c r="C1636" s="6" t="s">
        <v>7399</v>
      </c>
      <c r="D1636" s="6" t="s">
        <v>7400</v>
      </c>
    </row>
    <row r="1637" spans="1:4" x14ac:dyDescent="0.35">
      <c r="A1637" s="6" t="s">
        <v>725</v>
      </c>
      <c r="B1637" s="6" t="s">
        <v>4713</v>
      </c>
      <c r="C1637" s="6" t="s">
        <v>7401</v>
      </c>
      <c r="D1637" s="6" t="s">
        <v>5594</v>
      </c>
    </row>
    <row r="1638" spans="1:4" x14ac:dyDescent="0.35">
      <c r="A1638" s="6" t="s">
        <v>724</v>
      </c>
      <c r="B1638" s="6" t="s">
        <v>4713</v>
      </c>
      <c r="C1638" s="6" t="s">
        <v>7402</v>
      </c>
      <c r="D1638" s="6" t="s">
        <v>7403</v>
      </c>
    </row>
    <row r="1639" spans="1:4" x14ac:dyDescent="0.35">
      <c r="A1639" s="6" t="s">
        <v>723</v>
      </c>
      <c r="B1639" s="6" t="s">
        <v>4713</v>
      </c>
      <c r="C1639" s="6" t="s">
        <v>6969</v>
      </c>
      <c r="D1639" s="6" t="s">
        <v>7404</v>
      </c>
    </row>
    <row r="1640" spans="1:4" x14ac:dyDescent="0.35">
      <c r="A1640" s="6" t="s">
        <v>722</v>
      </c>
      <c r="B1640" s="6" t="s">
        <v>4716</v>
      </c>
      <c r="C1640" s="6" t="s">
        <v>5171</v>
      </c>
      <c r="D1640" s="6" t="s">
        <v>7405</v>
      </c>
    </row>
    <row r="1641" spans="1:4" x14ac:dyDescent="0.35">
      <c r="A1641" s="6" t="s">
        <v>721</v>
      </c>
      <c r="B1641" s="6" t="s">
        <v>4713</v>
      </c>
      <c r="C1641" s="6" t="s">
        <v>7406</v>
      </c>
      <c r="D1641" s="6" t="s">
        <v>7407</v>
      </c>
    </row>
    <row r="1642" spans="1:4" x14ac:dyDescent="0.35">
      <c r="A1642" s="6" t="s">
        <v>720</v>
      </c>
      <c r="B1642" s="6" t="s">
        <v>4713</v>
      </c>
      <c r="C1642" s="6" t="s">
        <v>7408</v>
      </c>
      <c r="D1642" s="6" t="s">
        <v>7409</v>
      </c>
    </row>
    <row r="1643" spans="1:4" x14ac:dyDescent="0.35">
      <c r="A1643" s="6" t="s">
        <v>719</v>
      </c>
      <c r="B1643" s="6" t="s">
        <v>4713</v>
      </c>
      <c r="C1643" s="6" t="s">
        <v>5546</v>
      </c>
      <c r="D1643" s="6" t="s">
        <v>5551</v>
      </c>
    </row>
    <row r="1644" spans="1:4" x14ac:dyDescent="0.35">
      <c r="A1644" s="6" t="s">
        <v>718</v>
      </c>
      <c r="B1644" s="6" t="s">
        <v>4713</v>
      </c>
      <c r="C1644" s="6" t="s">
        <v>7410</v>
      </c>
      <c r="D1644" s="6" t="s">
        <v>5643</v>
      </c>
    </row>
    <row r="1645" spans="1:4" x14ac:dyDescent="0.35">
      <c r="A1645" s="6" t="s">
        <v>717</v>
      </c>
      <c r="B1645" s="6" t="s">
        <v>4716</v>
      </c>
      <c r="C1645" s="6" t="s">
        <v>5699</v>
      </c>
      <c r="D1645" s="6" t="s">
        <v>5041</v>
      </c>
    </row>
    <row r="1646" spans="1:4" x14ac:dyDescent="0.35">
      <c r="A1646" s="6" t="s">
        <v>716</v>
      </c>
      <c r="B1646" s="6" t="s">
        <v>4716</v>
      </c>
      <c r="C1646" s="6" t="s">
        <v>6090</v>
      </c>
      <c r="D1646" s="6" t="s">
        <v>7411</v>
      </c>
    </row>
    <row r="1647" spans="1:4" x14ac:dyDescent="0.35">
      <c r="A1647" s="6" t="s">
        <v>715</v>
      </c>
      <c r="B1647" s="6" t="s">
        <v>5590</v>
      </c>
      <c r="C1647" s="6" t="s">
        <v>7412</v>
      </c>
      <c r="D1647" s="6" t="s">
        <v>6818</v>
      </c>
    </row>
    <row r="1648" spans="1:4" x14ac:dyDescent="0.35">
      <c r="A1648" s="6" t="s">
        <v>714</v>
      </c>
      <c r="B1648" s="6" t="s">
        <v>4716</v>
      </c>
      <c r="C1648" s="6" t="s">
        <v>7413</v>
      </c>
      <c r="D1648" s="6" t="s">
        <v>5049</v>
      </c>
    </row>
    <row r="1649" spans="1:4" x14ac:dyDescent="0.35">
      <c r="A1649" s="6" t="s">
        <v>713</v>
      </c>
      <c r="B1649" s="6" t="s">
        <v>4716</v>
      </c>
      <c r="C1649" s="6" t="s">
        <v>7414</v>
      </c>
      <c r="D1649" s="6" t="s">
        <v>5172</v>
      </c>
    </row>
    <row r="1650" spans="1:4" x14ac:dyDescent="0.35">
      <c r="A1650" s="6" t="s">
        <v>712</v>
      </c>
      <c r="B1650" s="6" t="s">
        <v>4713</v>
      </c>
      <c r="C1650" s="6" t="s">
        <v>5171</v>
      </c>
      <c r="D1650" s="6" t="s">
        <v>7374</v>
      </c>
    </row>
    <row r="1651" spans="1:4" x14ac:dyDescent="0.35">
      <c r="A1651" s="6" t="s">
        <v>711</v>
      </c>
      <c r="B1651" s="6" t="s">
        <v>5590</v>
      </c>
      <c r="C1651" s="6" t="s">
        <v>7415</v>
      </c>
      <c r="D1651" s="6" t="s">
        <v>4903</v>
      </c>
    </row>
    <row r="1652" spans="1:4" x14ac:dyDescent="0.35">
      <c r="A1652" s="6" t="s">
        <v>710</v>
      </c>
      <c r="B1652" s="6" t="s">
        <v>4716</v>
      </c>
      <c r="C1652" s="6" t="s">
        <v>7416</v>
      </c>
      <c r="D1652" s="6" t="s">
        <v>7417</v>
      </c>
    </row>
    <row r="1653" spans="1:4" x14ac:dyDescent="0.35">
      <c r="A1653" s="6" t="s">
        <v>709</v>
      </c>
      <c r="B1653" s="6" t="s">
        <v>4713</v>
      </c>
      <c r="C1653" s="6" t="s">
        <v>7418</v>
      </c>
      <c r="D1653" s="6" t="s">
        <v>7419</v>
      </c>
    </row>
    <row r="1654" spans="1:4" x14ac:dyDescent="0.35">
      <c r="A1654" s="6" t="s">
        <v>708</v>
      </c>
      <c r="B1654" s="6" t="s">
        <v>4713</v>
      </c>
      <c r="C1654" s="6" t="s">
        <v>7420</v>
      </c>
      <c r="D1654" s="6" t="s">
        <v>5600</v>
      </c>
    </row>
    <row r="1655" spans="1:4" x14ac:dyDescent="0.35">
      <c r="A1655" s="6" t="s">
        <v>707</v>
      </c>
      <c r="B1655" s="6" t="s">
        <v>4716</v>
      </c>
      <c r="C1655" s="6" t="s">
        <v>7421</v>
      </c>
      <c r="D1655" s="6" t="s">
        <v>7422</v>
      </c>
    </row>
    <row r="1656" spans="1:4" x14ac:dyDescent="0.35">
      <c r="A1656" s="6" t="s">
        <v>706</v>
      </c>
      <c r="B1656" s="6" t="s">
        <v>4716</v>
      </c>
      <c r="C1656" s="6" t="s">
        <v>7423</v>
      </c>
      <c r="D1656" s="6" t="s">
        <v>7424</v>
      </c>
    </row>
    <row r="1657" spans="1:4" x14ac:dyDescent="0.35">
      <c r="A1657" s="6" t="s">
        <v>705</v>
      </c>
      <c r="B1657" s="6" t="s">
        <v>4716</v>
      </c>
      <c r="C1657" s="6" t="s">
        <v>7425</v>
      </c>
      <c r="D1657" s="6" t="s">
        <v>4997</v>
      </c>
    </row>
    <row r="1658" spans="1:4" x14ac:dyDescent="0.35">
      <c r="A1658" s="6" t="s">
        <v>704</v>
      </c>
      <c r="B1658" s="6" t="s">
        <v>4713</v>
      </c>
      <c r="C1658" s="6" t="s">
        <v>5969</v>
      </c>
      <c r="D1658" s="6" t="s">
        <v>7426</v>
      </c>
    </row>
    <row r="1659" spans="1:4" x14ac:dyDescent="0.35">
      <c r="A1659" s="6" t="s">
        <v>703</v>
      </c>
      <c r="B1659" s="6" t="s">
        <v>5590</v>
      </c>
      <c r="C1659" s="6" t="s">
        <v>7427</v>
      </c>
      <c r="D1659" s="6" t="s">
        <v>7428</v>
      </c>
    </row>
    <row r="1660" spans="1:4" x14ac:dyDescent="0.35">
      <c r="A1660" s="6" t="s">
        <v>702</v>
      </c>
      <c r="B1660" s="6" t="s">
        <v>4713</v>
      </c>
      <c r="C1660" s="6" t="s">
        <v>6296</v>
      </c>
      <c r="D1660" s="6" t="s">
        <v>4715</v>
      </c>
    </row>
    <row r="1661" spans="1:4" x14ac:dyDescent="0.35">
      <c r="A1661" s="6" t="s">
        <v>701</v>
      </c>
      <c r="B1661" s="6" t="s">
        <v>4716</v>
      </c>
      <c r="C1661" s="6" t="s">
        <v>7429</v>
      </c>
      <c r="D1661" s="6" t="s">
        <v>7430</v>
      </c>
    </row>
    <row r="1662" spans="1:4" x14ac:dyDescent="0.35">
      <c r="A1662" s="6" t="s">
        <v>700</v>
      </c>
      <c r="B1662" s="6" t="s">
        <v>5590</v>
      </c>
      <c r="C1662" s="6" t="s">
        <v>7431</v>
      </c>
      <c r="D1662" s="6" t="s">
        <v>7432</v>
      </c>
    </row>
    <row r="1663" spans="1:4" x14ac:dyDescent="0.35">
      <c r="A1663" s="6" t="s">
        <v>699</v>
      </c>
      <c r="B1663" s="6" t="s">
        <v>4716</v>
      </c>
      <c r="C1663" s="6" t="s">
        <v>7433</v>
      </c>
      <c r="D1663" s="6" t="s">
        <v>5150</v>
      </c>
    </row>
    <row r="1664" spans="1:4" x14ac:dyDescent="0.35">
      <c r="A1664" s="6" t="s">
        <v>698</v>
      </c>
      <c r="B1664" s="6" t="s">
        <v>4713</v>
      </c>
      <c r="C1664" s="6" t="s">
        <v>7434</v>
      </c>
      <c r="D1664" s="6" t="s">
        <v>7435</v>
      </c>
    </row>
    <row r="1665" spans="1:4" x14ac:dyDescent="0.35">
      <c r="A1665" s="6" t="s">
        <v>697</v>
      </c>
      <c r="B1665" s="6" t="s">
        <v>4716</v>
      </c>
      <c r="C1665" s="6" t="s">
        <v>7436</v>
      </c>
      <c r="D1665" s="6" t="s">
        <v>7437</v>
      </c>
    </row>
    <row r="1666" spans="1:4" x14ac:dyDescent="0.35">
      <c r="A1666" s="6" t="s">
        <v>696</v>
      </c>
      <c r="B1666" s="6" t="s">
        <v>4716</v>
      </c>
      <c r="C1666" s="6" t="s">
        <v>7438</v>
      </c>
      <c r="D1666" s="6" t="s">
        <v>7439</v>
      </c>
    </row>
    <row r="1667" spans="1:4" x14ac:dyDescent="0.35">
      <c r="A1667" s="6" t="s">
        <v>695</v>
      </c>
      <c r="B1667" s="6" t="s">
        <v>4716</v>
      </c>
      <c r="C1667" s="6" t="s">
        <v>4844</v>
      </c>
      <c r="D1667" s="6" t="s">
        <v>7440</v>
      </c>
    </row>
    <row r="1668" spans="1:4" x14ac:dyDescent="0.35">
      <c r="A1668" s="6" t="s">
        <v>694</v>
      </c>
      <c r="B1668" s="6" t="s">
        <v>4716</v>
      </c>
      <c r="C1668" s="6" t="s">
        <v>7441</v>
      </c>
      <c r="D1668" s="6" t="s">
        <v>4793</v>
      </c>
    </row>
    <row r="1669" spans="1:4" x14ac:dyDescent="0.35">
      <c r="A1669" s="6" t="s">
        <v>693</v>
      </c>
      <c r="B1669" s="6" t="s">
        <v>4716</v>
      </c>
      <c r="C1669" s="6" t="s">
        <v>7442</v>
      </c>
      <c r="D1669" s="6" t="s">
        <v>7443</v>
      </c>
    </row>
    <row r="1670" spans="1:4" x14ac:dyDescent="0.35">
      <c r="A1670" s="6" t="s">
        <v>692</v>
      </c>
      <c r="B1670" s="6" t="s">
        <v>4716</v>
      </c>
      <c r="C1670" s="6" t="s">
        <v>5478</v>
      </c>
      <c r="D1670" s="6" t="s">
        <v>5014</v>
      </c>
    </row>
    <row r="1671" spans="1:4" x14ac:dyDescent="0.35">
      <c r="A1671" s="6" t="s">
        <v>691</v>
      </c>
      <c r="B1671" s="6" t="s">
        <v>4716</v>
      </c>
      <c r="C1671" s="6" t="s">
        <v>7444</v>
      </c>
      <c r="D1671" s="6" t="s">
        <v>7445</v>
      </c>
    </row>
    <row r="1672" spans="1:4" x14ac:dyDescent="0.35">
      <c r="A1672" s="6" t="s">
        <v>690</v>
      </c>
      <c r="B1672" s="6" t="s">
        <v>4713</v>
      </c>
      <c r="C1672" s="6" t="s">
        <v>6735</v>
      </c>
      <c r="D1672" s="6" t="s">
        <v>7446</v>
      </c>
    </row>
    <row r="1673" spans="1:4" x14ac:dyDescent="0.35">
      <c r="A1673" s="6" t="s">
        <v>689</v>
      </c>
      <c r="B1673" s="6" t="s">
        <v>4716</v>
      </c>
      <c r="C1673" s="6" t="s">
        <v>7447</v>
      </c>
      <c r="D1673" s="6" t="s">
        <v>7269</v>
      </c>
    </row>
    <row r="1674" spans="1:4" x14ac:dyDescent="0.35">
      <c r="A1674" s="6" t="s">
        <v>688</v>
      </c>
      <c r="B1674" s="6" t="s">
        <v>4713</v>
      </c>
      <c r="C1674" s="6" t="s">
        <v>7448</v>
      </c>
      <c r="D1674" s="6" t="s">
        <v>7272</v>
      </c>
    </row>
    <row r="1675" spans="1:4" x14ac:dyDescent="0.35">
      <c r="A1675" s="6" t="s">
        <v>687</v>
      </c>
      <c r="B1675" s="6" t="s">
        <v>4713</v>
      </c>
      <c r="C1675" s="6" t="s">
        <v>7449</v>
      </c>
      <c r="D1675" s="6" t="s">
        <v>7074</v>
      </c>
    </row>
    <row r="1676" spans="1:4" x14ac:dyDescent="0.35">
      <c r="A1676" s="6" t="s">
        <v>686</v>
      </c>
      <c r="B1676" s="6" t="s">
        <v>4716</v>
      </c>
      <c r="C1676" s="6" t="s">
        <v>7450</v>
      </c>
      <c r="D1676" s="6" t="s">
        <v>7451</v>
      </c>
    </row>
    <row r="1677" spans="1:4" x14ac:dyDescent="0.35">
      <c r="A1677" s="6" t="s">
        <v>685</v>
      </c>
      <c r="B1677" s="6" t="s">
        <v>4713</v>
      </c>
      <c r="C1677" s="6" t="s">
        <v>7452</v>
      </c>
      <c r="D1677" s="6" t="s">
        <v>7453</v>
      </c>
    </row>
    <row r="1678" spans="1:4" x14ac:dyDescent="0.35">
      <c r="A1678" s="6" t="s">
        <v>684</v>
      </c>
      <c r="B1678" s="6" t="s">
        <v>4713</v>
      </c>
      <c r="C1678" s="6" t="s">
        <v>7454</v>
      </c>
      <c r="D1678" s="6" t="s">
        <v>7455</v>
      </c>
    </row>
    <row r="1679" spans="1:4" x14ac:dyDescent="0.35">
      <c r="A1679" s="6" t="s">
        <v>683</v>
      </c>
      <c r="B1679" s="6" t="s">
        <v>4716</v>
      </c>
      <c r="C1679" s="6" t="s">
        <v>7456</v>
      </c>
      <c r="D1679" s="6" t="s">
        <v>7457</v>
      </c>
    </row>
    <row r="1680" spans="1:4" x14ac:dyDescent="0.35">
      <c r="A1680" s="6" t="s">
        <v>682</v>
      </c>
      <c r="B1680" s="6" t="s">
        <v>4713</v>
      </c>
      <c r="C1680" s="6" t="s">
        <v>6686</v>
      </c>
      <c r="D1680" s="6" t="s">
        <v>7458</v>
      </c>
    </row>
    <row r="1681" spans="1:4" x14ac:dyDescent="0.35">
      <c r="A1681" s="6" t="s">
        <v>681</v>
      </c>
      <c r="B1681" s="6" t="s">
        <v>4713</v>
      </c>
      <c r="C1681" s="6" t="s">
        <v>7459</v>
      </c>
      <c r="D1681" s="6" t="s">
        <v>7460</v>
      </c>
    </row>
    <row r="1682" spans="1:4" x14ac:dyDescent="0.35">
      <c r="A1682" s="6" t="s">
        <v>680</v>
      </c>
      <c r="B1682" s="6" t="s">
        <v>4716</v>
      </c>
      <c r="C1682" s="6" t="s">
        <v>5724</v>
      </c>
      <c r="D1682" s="6" t="s">
        <v>7461</v>
      </c>
    </row>
    <row r="1683" spans="1:4" x14ac:dyDescent="0.35">
      <c r="A1683" s="6" t="s">
        <v>679</v>
      </c>
      <c r="B1683" s="6" t="s">
        <v>4716</v>
      </c>
      <c r="C1683" s="6" t="s">
        <v>7462</v>
      </c>
      <c r="D1683" s="6" t="s">
        <v>6721</v>
      </c>
    </row>
    <row r="1684" spans="1:4" x14ac:dyDescent="0.35">
      <c r="A1684" s="6" t="s">
        <v>678</v>
      </c>
      <c r="B1684" s="6" t="s">
        <v>4713</v>
      </c>
      <c r="C1684" s="6" t="s">
        <v>5359</v>
      </c>
      <c r="D1684" s="6" t="s">
        <v>7463</v>
      </c>
    </row>
    <row r="1685" spans="1:4" x14ac:dyDescent="0.35">
      <c r="A1685" s="6" t="s">
        <v>677</v>
      </c>
      <c r="B1685" s="6" t="s">
        <v>4716</v>
      </c>
      <c r="C1685" s="6" t="s">
        <v>6967</v>
      </c>
      <c r="D1685" s="6" t="s">
        <v>7464</v>
      </c>
    </row>
    <row r="1686" spans="1:4" x14ac:dyDescent="0.35">
      <c r="A1686" s="6" t="s">
        <v>676</v>
      </c>
      <c r="B1686" s="6" t="s">
        <v>4716</v>
      </c>
      <c r="C1686" s="6" t="s">
        <v>7465</v>
      </c>
      <c r="D1686" s="6" t="s">
        <v>6388</v>
      </c>
    </row>
    <row r="1687" spans="1:4" x14ac:dyDescent="0.35">
      <c r="A1687" s="6" t="s">
        <v>675</v>
      </c>
      <c r="B1687" s="6" t="s">
        <v>4716</v>
      </c>
      <c r="C1687" s="6" t="s">
        <v>5577</v>
      </c>
      <c r="D1687" s="6" t="s">
        <v>7466</v>
      </c>
    </row>
    <row r="1688" spans="1:4" x14ac:dyDescent="0.35">
      <c r="A1688" s="6" t="s">
        <v>674</v>
      </c>
      <c r="B1688" s="6" t="s">
        <v>4713</v>
      </c>
      <c r="C1688" s="6" t="s">
        <v>7467</v>
      </c>
      <c r="D1688" s="6" t="s">
        <v>7468</v>
      </c>
    </row>
    <row r="1689" spans="1:4" x14ac:dyDescent="0.35">
      <c r="A1689" s="6" t="s">
        <v>673</v>
      </c>
      <c r="B1689" s="6" t="s">
        <v>5590</v>
      </c>
      <c r="C1689" s="6" t="s">
        <v>7469</v>
      </c>
      <c r="D1689" s="6" t="s">
        <v>7470</v>
      </c>
    </row>
    <row r="1690" spans="1:4" x14ac:dyDescent="0.35">
      <c r="A1690" s="6" t="s">
        <v>672</v>
      </c>
      <c r="B1690" s="6" t="s">
        <v>4716</v>
      </c>
      <c r="C1690" s="6" t="s">
        <v>7471</v>
      </c>
      <c r="D1690" s="6" t="s">
        <v>6727</v>
      </c>
    </row>
    <row r="1691" spans="1:4" x14ac:dyDescent="0.35">
      <c r="A1691" s="6" t="s">
        <v>671</v>
      </c>
      <c r="B1691" s="6" t="s">
        <v>4713</v>
      </c>
      <c r="C1691" s="6" t="s">
        <v>7472</v>
      </c>
      <c r="D1691" s="6" t="s">
        <v>7473</v>
      </c>
    </row>
    <row r="1692" spans="1:4" x14ac:dyDescent="0.35">
      <c r="A1692" s="6" t="s">
        <v>670</v>
      </c>
      <c r="B1692" s="6" t="s">
        <v>4713</v>
      </c>
      <c r="C1692" s="6" t="s">
        <v>7474</v>
      </c>
      <c r="D1692" s="6" t="s">
        <v>7475</v>
      </c>
    </row>
    <row r="1693" spans="1:4" x14ac:dyDescent="0.35">
      <c r="A1693" s="6" t="s">
        <v>669</v>
      </c>
      <c r="B1693" s="6" t="s">
        <v>4716</v>
      </c>
      <c r="C1693" s="6" t="s">
        <v>7476</v>
      </c>
      <c r="D1693" s="6" t="s">
        <v>7477</v>
      </c>
    </row>
    <row r="1694" spans="1:4" x14ac:dyDescent="0.35">
      <c r="A1694" s="6" t="s">
        <v>668</v>
      </c>
      <c r="B1694" s="6" t="s">
        <v>4716</v>
      </c>
      <c r="C1694" s="6" t="s">
        <v>5596</v>
      </c>
      <c r="D1694" s="6" t="s">
        <v>7478</v>
      </c>
    </row>
    <row r="1695" spans="1:4" x14ac:dyDescent="0.35">
      <c r="A1695" s="6" t="s">
        <v>667</v>
      </c>
      <c r="B1695" s="6" t="s">
        <v>4713</v>
      </c>
      <c r="C1695" s="6" t="s">
        <v>7479</v>
      </c>
      <c r="D1695" s="6" t="s">
        <v>5781</v>
      </c>
    </row>
    <row r="1696" spans="1:4" x14ac:dyDescent="0.35">
      <c r="A1696" s="6" t="s">
        <v>666</v>
      </c>
      <c r="B1696" s="6" t="s">
        <v>4713</v>
      </c>
      <c r="C1696" s="6" t="s">
        <v>7480</v>
      </c>
      <c r="D1696" s="6" t="s">
        <v>7481</v>
      </c>
    </row>
    <row r="1697" spans="1:4" x14ac:dyDescent="0.35">
      <c r="A1697" s="6" t="s">
        <v>665</v>
      </c>
      <c r="B1697" s="6" t="s">
        <v>4713</v>
      </c>
      <c r="C1697" s="6" t="s">
        <v>7482</v>
      </c>
      <c r="D1697" s="6" t="s">
        <v>7483</v>
      </c>
    </row>
    <row r="1698" spans="1:4" x14ac:dyDescent="0.35">
      <c r="A1698" s="6" t="s">
        <v>664</v>
      </c>
      <c r="B1698" s="6" t="s">
        <v>4713</v>
      </c>
      <c r="C1698" s="6" t="s">
        <v>7021</v>
      </c>
      <c r="D1698" s="6" t="s">
        <v>7484</v>
      </c>
    </row>
    <row r="1699" spans="1:4" x14ac:dyDescent="0.35">
      <c r="A1699" s="6" t="s">
        <v>663</v>
      </c>
      <c r="B1699" s="6" t="s">
        <v>4713</v>
      </c>
      <c r="C1699" s="6" t="s">
        <v>7485</v>
      </c>
      <c r="D1699" s="6" t="s">
        <v>6497</v>
      </c>
    </row>
    <row r="1700" spans="1:4" x14ac:dyDescent="0.35">
      <c r="A1700" s="6" t="s">
        <v>662</v>
      </c>
      <c r="B1700" s="6" t="s">
        <v>4716</v>
      </c>
      <c r="C1700" s="6" t="s">
        <v>7486</v>
      </c>
      <c r="D1700" s="6" t="s">
        <v>4908</v>
      </c>
    </row>
    <row r="1701" spans="1:4" x14ac:dyDescent="0.35">
      <c r="A1701" s="6" t="s">
        <v>661</v>
      </c>
      <c r="B1701" s="6" t="s">
        <v>4713</v>
      </c>
      <c r="C1701" s="6" t="s">
        <v>7487</v>
      </c>
      <c r="D1701" s="6" t="s">
        <v>7488</v>
      </c>
    </row>
    <row r="1702" spans="1:4" x14ac:dyDescent="0.35">
      <c r="A1702" s="6" t="s">
        <v>660</v>
      </c>
      <c r="B1702" s="6" t="s">
        <v>4716</v>
      </c>
      <c r="C1702" s="6" t="s">
        <v>7489</v>
      </c>
      <c r="D1702" s="6" t="s">
        <v>4730</v>
      </c>
    </row>
    <row r="1703" spans="1:4" x14ac:dyDescent="0.35">
      <c r="A1703" s="6" t="s">
        <v>659</v>
      </c>
      <c r="B1703" s="6" t="s">
        <v>4716</v>
      </c>
      <c r="C1703" s="6" t="s">
        <v>7490</v>
      </c>
      <c r="D1703" s="6" t="s">
        <v>4867</v>
      </c>
    </row>
    <row r="1704" spans="1:4" x14ac:dyDescent="0.35">
      <c r="A1704" s="6" t="s">
        <v>658</v>
      </c>
      <c r="B1704" s="6" t="s">
        <v>4716</v>
      </c>
      <c r="C1704" s="6" t="s">
        <v>7491</v>
      </c>
      <c r="D1704" s="6" t="s">
        <v>5982</v>
      </c>
    </row>
    <row r="1705" spans="1:4" x14ac:dyDescent="0.35">
      <c r="A1705" s="6" t="s">
        <v>657</v>
      </c>
      <c r="B1705" s="6" t="s">
        <v>4713</v>
      </c>
      <c r="C1705" s="6" t="s">
        <v>7492</v>
      </c>
      <c r="D1705" s="6" t="s">
        <v>5084</v>
      </c>
    </row>
    <row r="1706" spans="1:4" x14ac:dyDescent="0.35">
      <c r="A1706" s="6" t="s">
        <v>656</v>
      </c>
      <c r="B1706" s="6" t="s">
        <v>4716</v>
      </c>
      <c r="C1706" s="6" t="s">
        <v>6060</v>
      </c>
      <c r="D1706" s="6" t="s">
        <v>7493</v>
      </c>
    </row>
    <row r="1707" spans="1:4" x14ac:dyDescent="0.35">
      <c r="A1707" s="6" t="s">
        <v>655</v>
      </c>
      <c r="B1707" s="6" t="s">
        <v>4713</v>
      </c>
      <c r="C1707" s="6" t="s">
        <v>7494</v>
      </c>
      <c r="D1707" s="6" t="s">
        <v>7495</v>
      </c>
    </row>
    <row r="1708" spans="1:4" x14ac:dyDescent="0.35">
      <c r="A1708" s="6" t="s">
        <v>654</v>
      </c>
      <c r="B1708" s="6" t="s">
        <v>4713</v>
      </c>
      <c r="C1708" s="6" t="s">
        <v>6642</v>
      </c>
      <c r="D1708" s="6" t="s">
        <v>5716</v>
      </c>
    </row>
    <row r="1709" spans="1:4" x14ac:dyDescent="0.35">
      <c r="A1709" s="6" t="s">
        <v>653</v>
      </c>
      <c r="B1709" s="6" t="s">
        <v>4716</v>
      </c>
      <c r="C1709" s="6" t="s">
        <v>7496</v>
      </c>
      <c r="D1709" s="6" t="s">
        <v>7497</v>
      </c>
    </row>
    <row r="1710" spans="1:4" x14ac:dyDescent="0.35">
      <c r="A1710" s="6" t="s">
        <v>652</v>
      </c>
      <c r="B1710" s="6" t="s">
        <v>4713</v>
      </c>
      <c r="C1710" s="6" t="s">
        <v>7021</v>
      </c>
      <c r="D1710" s="6" t="s">
        <v>6268</v>
      </c>
    </row>
    <row r="1711" spans="1:4" x14ac:dyDescent="0.35">
      <c r="A1711" s="6" t="s">
        <v>651</v>
      </c>
      <c r="B1711" s="6" t="s">
        <v>4713</v>
      </c>
      <c r="C1711" s="6" t="s">
        <v>7498</v>
      </c>
      <c r="D1711" s="6" t="s">
        <v>7499</v>
      </c>
    </row>
    <row r="1712" spans="1:4" x14ac:dyDescent="0.35">
      <c r="A1712" s="6" t="s">
        <v>650</v>
      </c>
      <c r="B1712" s="6" t="s">
        <v>4716</v>
      </c>
      <c r="C1712" s="6" t="s">
        <v>7500</v>
      </c>
      <c r="D1712" s="6" t="s">
        <v>7501</v>
      </c>
    </row>
    <row r="1713" spans="1:4" x14ac:dyDescent="0.35">
      <c r="A1713" s="6" t="s">
        <v>649</v>
      </c>
      <c r="B1713" s="6" t="s">
        <v>4713</v>
      </c>
      <c r="C1713" s="6" t="s">
        <v>7502</v>
      </c>
      <c r="D1713" s="6" t="s">
        <v>5346</v>
      </c>
    </row>
    <row r="1714" spans="1:4" x14ac:dyDescent="0.35">
      <c r="A1714" s="6" t="s">
        <v>648</v>
      </c>
      <c r="B1714" s="6" t="s">
        <v>4716</v>
      </c>
      <c r="C1714" s="6" t="s">
        <v>7503</v>
      </c>
      <c r="D1714" s="6" t="s">
        <v>5062</v>
      </c>
    </row>
    <row r="1715" spans="1:4" x14ac:dyDescent="0.35">
      <c r="A1715" s="6" t="s">
        <v>647</v>
      </c>
      <c r="B1715" s="6" t="s">
        <v>4713</v>
      </c>
      <c r="C1715" s="6" t="s">
        <v>7504</v>
      </c>
      <c r="D1715" s="6" t="s">
        <v>7505</v>
      </c>
    </row>
    <row r="1716" spans="1:4" x14ac:dyDescent="0.35">
      <c r="A1716" s="6" t="s">
        <v>646</v>
      </c>
      <c r="B1716" s="6" t="s">
        <v>4713</v>
      </c>
      <c r="C1716" s="6" t="s">
        <v>7506</v>
      </c>
      <c r="D1716" s="6" t="s">
        <v>7499</v>
      </c>
    </row>
    <row r="1717" spans="1:4" x14ac:dyDescent="0.35">
      <c r="A1717" s="6" t="s">
        <v>645</v>
      </c>
      <c r="B1717" s="6" t="s">
        <v>4716</v>
      </c>
      <c r="C1717" s="6" t="s">
        <v>7507</v>
      </c>
      <c r="D1717" s="6" t="s">
        <v>4899</v>
      </c>
    </row>
    <row r="1718" spans="1:4" x14ac:dyDescent="0.35">
      <c r="A1718" s="6" t="s">
        <v>644</v>
      </c>
      <c r="B1718" s="6" t="s">
        <v>4713</v>
      </c>
      <c r="C1718" s="6" t="s">
        <v>7508</v>
      </c>
      <c r="D1718" s="6" t="s">
        <v>7509</v>
      </c>
    </row>
    <row r="1719" spans="1:4" x14ac:dyDescent="0.35">
      <c r="A1719" s="6" t="s">
        <v>643</v>
      </c>
      <c r="B1719" s="6" t="s">
        <v>4713</v>
      </c>
      <c r="C1719" s="6" t="s">
        <v>7510</v>
      </c>
      <c r="D1719" s="6" t="s">
        <v>7511</v>
      </c>
    </row>
    <row r="1720" spans="1:4" x14ac:dyDescent="0.35">
      <c r="A1720" s="6" t="s">
        <v>642</v>
      </c>
      <c r="B1720" s="6" t="s">
        <v>4713</v>
      </c>
      <c r="C1720" s="6" t="s">
        <v>7512</v>
      </c>
      <c r="D1720" s="6" t="s">
        <v>7513</v>
      </c>
    </row>
    <row r="1721" spans="1:4" x14ac:dyDescent="0.35">
      <c r="A1721" s="6" t="s">
        <v>641</v>
      </c>
      <c r="B1721" s="6" t="s">
        <v>4713</v>
      </c>
      <c r="C1721" s="6" t="s">
        <v>5106</v>
      </c>
      <c r="D1721" s="6" t="s">
        <v>7514</v>
      </c>
    </row>
    <row r="1722" spans="1:4" x14ac:dyDescent="0.35">
      <c r="A1722" s="6" t="s">
        <v>640</v>
      </c>
      <c r="B1722" s="6" t="s">
        <v>4716</v>
      </c>
      <c r="C1722" s="6" t="s">
        <v>7515</v>
      </c>
      <c r="D1722" s="6" t="s">
        <v>4873</v>
      </c>
    </row>
    <row r="1723" spans="1:4" x14ac:dyDescent="0.35">
      <c r="A1723" s="6" t="s">
        <v>639</v>
      </c>
      <c r="B1723" s="6" t="s">
        <v>4716</v>
      </c>
      <c r="C1723" s="6" t="s">
        <v>7516</v>
      </c>
      <c r="D1723" s="6" t="s">
        <v>7517</v>
      </c>
    </row>
    <row r="1724" spans="1:4" x14ac:dyDescent="0.35">
      <c r="A1724" s="6" t="s">
        <v>638</v>
      </c>
      <c r="B1724" s="6" t="s">
        <v>4713</v>
      </c>
      <c r="C1724" s="6" t="s">
        <v>7518</v>
      </c>
      <c r="D1724" s="6" t="s">
        <v>7519</v>
      </c>
    </row>
    <row r="1725" spans="1:4" x14ac:dyDescent="0.35">
      <c r="A1725" s="6" t="s">
        <v>637</v>
      </c>
      <c r="B1725" s="6" t="s">
        <v>4716</v>
      </c>
      <c r="C1725" s="6" t="s">
        <v>7520</v>
      </c>
      <c r="D1725" s="6" t="s">
        <v>7521</v>
      </c>
    </row>
    <row r="1726" spans="1:4" x14ac:dyDescent="0.35">
      <c r="A1726" s="6" t="s">
        <v>636</v>
      </c>
      <c r="B1726" s="6" t="s">
        <v>4713</v>
      </c>
      <c r="C1726" s="6" t="s">
        <v>7120</v>
      </c>
      <c r="D1726" s="6" t="s">
        <v>7522</v>
      </c>
    </row>
    <row r="1727" spans="1:4" x14ac:dyDescent="0.35">
      <c r="A1727" s="6" t="s">
        <v>635</v>
      </c>
      <c r="B1727" s="6" t="s">
        <v>4713</v>
      </c>
      <c r="C1727" s="6" t="s">
        <v>7523</v>
      </c>
      <c r="D1727" s="6" t="s">
        <v>7524</v>
      </c>
    </row>
    <row r="1728" spans="1:4" x14ac:dyDescent="0.35">
      <c r="A1728" s="6" t="s">
        <v>634</v>
      </c>
      <c r="B1728" s="6" t="s">
        <v>4713</v>
      </c>
      <c r="C1728" s="6" t="s">
        <v>7525</v>
      </c>
      <c r="D1728" s="6" t="s">
        <v>7526</v>
      </c>
    </row>
    <row r="1729" spans="1:4" x14ac:dyDescent="0.35">
      <c r="A1729" s="6" t="s">
        <v>633</v>
      </c>
      <c r="B1729" s="6" t="s">
        <v>4716</v>
      </c>
      <c r="C1729" s="6" t="s">
        <v>5893</v>
      </c>
      <c r="D1729" s="6" t="s">
        <v>7527</v>
      </c>
    </row>
    <row r="1730" spans="1:4" x14ac:dyDescent="0.35">
      <c r="A1730" s="6" t="s">
        <v>632</v>
      </c>
      <c r="B1730" s="6" t="s">
        <v>4716</v>
      </c>
      <c r="C1730" s="6" t="s">
        <v>7528</v>
      </c>
      <c r="D1730" s="6" t="s">
        <v>7529</v>
      </c>
    </row>
    <row r="1731" spans="1:4" x14ac:dyDescent="0.35">
      <c r="A1731" s="6" t="s">
        <v>631</v>
      </c>
      <c r="B1731" s="6" t="s">
        <v>4716</v>
      </c>
      <c r="C1731" s="6" t="s">
        <v>7343</v>
      </c>
      <c r="D1731" s="6" t="s">
        <v>7530</v>
      </c>
    </row>
    <row r="1732" spans="1:4" x14ac:dyDescent="0.35">
      <c r="A1732" s="6" t="s">
        <v>630</v>
      </c>
      <c r="B1732" s="6" t="s">
        <v>4713</v>
      </c>
      <c r="C1732" s="6" t="s">
        <v>5762</v>
      </c>
      <c r="D1732" s="6" t="s">
        <v>7531</v>
      </c>
    </row>
    <row r="1733" spans="1:4" x14ac:dyDescent="0.35">
      <c r="A1733" s="6" t="s">
        <v>629</v>
      </c>
      <c r="B1733" s="6" t="s">
        <v>4713</v>
      </c>
      <c r="C1733" s="6" t="s">
        <v>7532</v>
      </c>
      <c r="D1733" s="6" t="s">
        <v>4875</v>
      </c>
    </row>
    <row r="1734" spans="1:4" x14ac:dyDescent="0.35">
      <c r="A1734" s="6" t="s">
        <v>628</v>
      </c>
      <c r="B1734" s="6" t="s">
        <v>4713</v>
      </c>
      <c r="C1734" s="6" t="s">
        <v>7533</v>
      </c>
      <c r="D1734" s="6" t="s">
        <v>7534</v>
      </c>
    </row>
    <row r="1735" spans="1:4" x14ac:dyDescent="0.35">
      <c r="A1735" s="6" t="s">
        <v>627</v>
      </c>
      <c r="B1735" s="6" t="s">
        <v>4713</v>
      </c>
      <c r="C1735" s="6" t="s">
        <v>7535</v>
      </c>
      <c r="D1735" s="6" t="s">
        <v>7536</v>
      </c>
    </row>
    <row r="1736" spans="1:4" x14ac:dyDescent="0.35">
      <c r="A1736" s="6" t="s">
        <v>626</v>
      </c>
      <c r="B1736" s="6" t="s">
        <v>5590</v>
      </c>
      <c r="C1736" s="6" t="s">
        <v>7537</v>
      </c>
      <c r="D1736" s="6" t="s">
        <v>7538</v>
      </c>
    </row>
    <row r="1737" spans="1:4" x14ac:dyDescent="0.35">
      <c r="A1737" s="6" t="s">
        <v>625</v>
      </c>
      <c r="B1737" s="6" t="s">
        <v>4713</v>
      </c>
      <c r="C1737" s="6" t="s">
        <v>7539</v>
      </c>
      <c r="D1737" s="6" t="s">
        <v>7540</v>
      </c>
    </row>
    <row r="1738" spans="1:4" x14ac:dyDescent="0.35">
      <c r="A1738" s="6" t="s">
        <v>624</v>
      </c>
      <c r="B1738" s="6" t="s">
        <v>4716</v>
      </c>
      <c r="C1738" s="6" t="s">
        <v>6272</v>
      </c>
      <c r="D1738" s="6" t="s">
        <v>7541</v>
      </c>
    </row>
    <row r="1739" spans="1:4" x14ac:dyDescent="0.35">
      <c r="A1739" s="6" t="s">
        <v>623</v>
      </c>
      <c r="B1739" s="6" t="s">
        <v>4716</v>
      </c>
      <c r="C1739" s="6" t="s">
        <v>7542</v>
      </c>
      <c r="D1739" s="6" t="s">
        <v>4815</v>
      </c>
    </row>
    <row r="1740" spans="1:4" x14ac:dyDescent="0.35">
      <c r="A1740" s="6" t="s">
        <v>621</v>
      </c>
      <c r="B1740" s="6" t="s">
        <v>4716</v>
      </c>
      <c r="C1740" s="6" t="s">
        <v>7543</v>
      </c>
      <c r="D1740" s="6" t="s">
        <v>7544</v>
      </c>
    </row>
    <row r="1741" spans="1:4" x14ac:dyDescent="0.35">
      <c r="A1741" s="6" t="s">
        <v>620</v>
      </c>
      <c r="B1741" s="6" t="s">
        <v>4713</v>
      </c>
      <c r="C1741" s="6" t="s">
        <v>7545</v>
      </c>
      <c r="D1741" s="6" t="s">
        <v>7546</v>
      </c>
    </row>
    <row r="1742" spans="1:4" x14ac:dyDescent="0.35">
      <c r="A1742" s="6" t="s">
        <v>619</v>
      </c>
      <c r="B1742" s="6" t="s">
        <v>4713</v>
      </c>
      <c r="C1742" s="6" t="s">
        <v>7547</v>
      </c>
      <c r="D1742" s="6" t="s">
        <v>7548</v>
      </c>
    </row>
    <row r="1743" spans="1:4" x14ac:dyDescent="0.35">
      <c r="A1743" s="6" t="s">
        <v>618</v>
      </c>
      <c r="B1743" s="6" t="s">
        <v>4713</v>
      </c>
      <c r="C1743" s="6" t="s">
        <v>7549</v>
      </c>
      <c r="D1743" s="6" t="s">
        <v>7550</v>
      </c>
    </row>
    <row r="1744" spans="1:4" x14ac:dyDescent="0.35">
      <c r="A1744" s="6" t="s">
        <v>617</v>
      </c>
      <c r="B1744" s="6" t="s">
        <v>4713</v>
      </c>
      <c r="C1744" s="6" t="s">
        <v>7551</v>
      </c>
      <c r="D1744" s="6" t="s">
        <v>7552</v>
      </c>
    </row>
    <row r="1745" spans="1:4" x14ac:dyDescent="0.35">
      <c r="A1745" s="6" t="s">
        <v>616</v>
      </c>
      <c r="B1745" s="6" t="s">
        <v>4713</v>
      </c>
      <c r="C1745" s="6" t="s">
        <v>7553</v>
      </c>
      <c r="D1745" s="6" t="s">
        <v>5661</v>
      </c>
    </row>
    <row r="1746" spans="1:4" x14ac:dyDescent="0.35">
      <c r="A1746" s="6" t="s">
        <v>615</v>
      </c>
      <c r="B1746" s="6" t="s">
        <v>4716</v>
      </c>
      <c r="C1746" s="6" t="s">
        <v>6009</v>
      </c>
      <c r="D1746" s="6" t="s">
        <v>7554</v>
      </c>
    </row>
    <row r="1747" spans="1:4" x14ac:dyDescent="0.35">
      <c r="A1747" s="6" t="s">
        <v>614</v>
      </c>
      <c r="B1747" s="6" t="s">
        <v>4713</v>
      </c>
      <c r="C1747" s="6" t="s">
        <v>7555</v>
      </c>
      <c r="D1747" s="6" t="s">
        <v>7239</v>
      </c>
    </row>
    <row r="1748" spans="1:4" x14ac:dyDescent="0.35">
      <c r="A1748" s="6" t="s">
        <v>613</v>
      </c>
      <c r="B1748" s="6" t="s">
        <v>4713</v>
      </c>
      <c r="C1748" s="6" t="s">
        <v>7556</v>
      </c>
      <c r="D1748" s="6" t="s">
        <v>7557</v>
      </c>
    </row>
    <row r="1749" spans="1:4" x14ac:dyDescent="0.35">
      <c r="A1749" s="6" t="s">
        <v>612</v>
      </c>
      <c r="B1749" s="6" t="s">
        <v>4716</v>
      </c>
      <c r="C1749" s="6" t="s">
        <v>7539</v>
      </c>
      <c r="D1749" s="6" t="s">
        <v>7558</v>
      </c>
    </row>
    <row r="1750" spans="1:4" x14ac:dyDescent="0.35">
      <c r="A1750" s="6" t="s">
        <v>611</v>
      </c>
      <c r="B1750" s="6" t="s">
        <v>4716</v>
      </c>
      <c r="C1750" s="6" t="s">
        <v>7559</v>
      </c>
      <c r="D1750" s="6" t="s">
        <v>6128</v>
      </c>
    </row>
    <row r="1751" spans="1:4" x14ac:dyDescent="0.35">
      <c r="A1751" s="6" t="s">
        <v>610</v>
      </c>
      <c r="B1751" s="6" t="s">
        <v>4716</v>
      </c>
      <c r="C1751" s="6" t="s">
        <v>6579</v>
      </c>
      <c r="D1751" s="6" t="s">
        <v>7560</v>
      </c>
    </row>
    <row r="1752" spans="1:4" x14ac:dyDescent="0.35">
      <c r="A1752" s="6" t="s">
        <v>609</v>
      </c>
      <c r="B1752" s="6" t="s">
        <v>5590</v>
      </c>
      <c r="C1752" s="6" t="s">
        <v>7561</v>
      </c>
      <c r="D1752" s="6" t="s">
        <v>7562</v>
      </c>
    </row>
    <row r="1753" spans="1:4" x14ac:dyDescent="0.35">
      <c r="A1753" s="6" t="s">
        <v>608</v>
      </c>
      <c r="B1753" s="6" t="s">
        <v>4716</v>
      </c>
      <c r="C1753" s="6" t="s">
        <v>7563</v>
      </c>
      <c r="D1753" s="6" t="s">
        <v>7359</v>
      </c>
    </row>
    <row r="1754" spans="1:4" x14ac:dyDescent="0.35">
      <c r="A1754" s="6" t="s">
        <v>607</v>
      </c>
      <c r="B1754" s="6" t="s">
        <v>4716</v>
      </c>
      <c r="C1754" s="6" t="s">
        <v>7564</v>
      </c>
      <c r="D1754" s="6" t="s">
        <v>7565</v>
      </c>
    </row>
    <row r="1755" spans="1:4" x14ac:dyDescent="0.35">
      <c r="A1755" s="6" t="s">
        <v>606</v>
      </c>
      <c r="B1755" s="6" t="s">
        <v>4716</v>
      </c>
      <c r="C1755" s="6" t="s">
        <v>5782</v>
      </c>
      <c r="D1755" s="6" t="s">
        <v>7566</v>
      </c>
    </row>
    <row r="1756" spans="1:4" x14ac:dyDescent="0.35">
      <c r="A1756" s="6" t="s">
        <v>605</v>
      </c>
      <c r="B1756" s="6" t="s">
        <v>4713</v>
      </c>
      <c r="C1756" s="6" t="s">
        <v>7567</v>
      </c>
      <c r="D1756" s="6" t="s">
        <v>7568</v>
      </c>
    </row>
    <row r="1757" spans="1:4" x14ac:dyDescent="0.35">
      <c r="A1757" s="6" t="s">
        <v>604</v>
      </c>
      <c r="B1757" s="6" t="s">
        <v>4713</v>
      </c>
      <c r="C1757" s="6" t="s">
        <v>7569</v>
      </c>
      <c r="D1757" s="6" t="s">
        <v>7570</v>
      </c>
    </row>
    <row r="1758" spans="1:4" x14ac:dyDescent="0.35">
      <c r="A1758" s="6" t="s">
        <v>603</v>
      </c>
      <c r="B1758" s="6" t="s">
        <v>4716</v>
      </c>
      <c r="C1758" s="6" t="s">
        <v>5171</v>
      </c>
      <c r="D1758" s="6" t="s">
        <v>7571</v>
      </c>
    </row>
    <row r="1759" spans="1:4" x14ac:dyDescent="0.35">
      <c r="A1759" s="6" t="s">
        <v>602</v>
      </c>
      <c r="B1759" s="6" t="s">
        <v>5590</v>
      </c>
      <c r="C1759" s="6" t="s">
        <v>7572</v>
      </c>
      <c r="D1759" s="6" t="s">
        <v>7573</v>
      </c>
    </row>
    <row r="1760" spans="1:4" x14ac:dyDescent="0.35">
      <c r="A1760" s="6" t="s">
        <v>601</v>
      </c>
      <c r="B1760" s="6" t="s">
        <v>4716</v>
      </c>
      <c r="C1760" s="6" t="s">
        <v>7574</v>
      </c>
      <c r="D1760" s="6" t="s">
        <v>7575</v>
      </c>
    </row>
    <row r="1761" spans="1:4" x14ac:dyDescent="0.35">
      <c r="A1761" s="6" t="s">
        <v>600</v>
      </c>
      <c r="B1761" s="6" t="s">
        <v>4716</v>
      </c>
      <c r="C1761" s="6" t="s">
        <v>7576</v>
      </c>
      <c r="D1761" s="6" t="s">
        <v>7577</v>
      </c>
    </row>
    <row r="1762" spans="1:4" x14ac:dyDescent="0.35">
      <c r="A1762" s="6" t="s">
        <v>599</v>
      </c>
      <c r="B1762" s="6" t="s">
        <v>4716</v>
      </c>
      <c r="C1762" s="6" t="s">
        <v>7578</v>
      </c>
      <c r="D1762" s="6" t="s">
        <v>7579</v>
      </c>
    </row>
    <row r="1763" spans="1:4" x14ac:dyDescent="0.35">
      <c r="A1763" s="6" t="s">
        <v>598</v>
      </c>
      <c r="B1763" s="6" t="s">
        <v>4713</v>
      </c>
      <c r="C1763" s="6" t="s">
        <v>7580</v>
      </c>
      <c r="D1763" s="6" t="s">
        <v>7581</v>
      </c>
    </row>
    <row r="1764" spans="1:4" x14ac:dyDescent="0.35">
      <c r="A1764" s="6" t="s">
        <v>597</v>
      </c>
      <c r="B1764" s="6" t="s">
        <v>4713</v>
      </c>
      <c r="C1764" s="6" t="s">
        <v>7582</v>
      </c>
      <c r="D1764" s="6" t="s">
        <v>7583</v>
      </c>
    </row>
    <row r="1765" spans="1:4" x14ac:dyDescent="0.35">
      <c r="A1765" s="6" t="s">
        <v>596</v>
      </c>
      <c r="B1765" s="6" t="s">
        <v>4713</v>
      </c>
      <c r="C1765" s="6" t="s">
        <v>5151</v>
      </c>
      <c r="D1765" s="6" t="s">
        <v>7584</v>
      </c>
    </row>
    <row r="1766" spans="1:4" x14ac:dyDescent="0.35">
      <c r="A1766" s="6" t="s">
        <v>595</v>
      </c>
      <c r="B1766" s="6" t="s">
        <v>4713</v>
      </c>
      <c r="C1766" s="6" t="s">
        <v>6676</v>
      </c>
      <c r="D1766" s="6" t="s">
        <v>7585</v>
      </c>
    </row>
    <row r="1767" spans="1:4" x14ac:dyDescent="0.35">
      <c r="A1767" s="6" t="s">
        <v>594</v>
      </c>
      <c r="B1767" s="6" t="s">
        <v>4716</v>
      </c>
      <c r="C1767" s="6" t="s">
        <v>7586</v>
      </c>
      <c r="D1767" s="6" t="s">
        <v>5029</v>
      </c>
    </row>
    <row r="1768" spans="1:4" x14ac:dyDescent="0.35">
      <c r="A1768" s="6" t="s">
        <v>593</v>
      </c>
      <c r="B1768" s="6" t="s">
        <v>4713</v>
      </c>
      <c r="C1768" s="6" t="s">
        <v>7587</v>
      </c>
      <c r="D1768" s="6" t="s">
        <v>6595</v>
      </c>
    </row>
    <row r="1769" spans="1:4" x14ac:dyDescent="0.35">
      <c r="A1769" s="6" t="s">
        <v>592</v>
      </c>
      <c r="B1769" s="6" t="s">
        <v>4713</v>
      </c>
      <c r="C1769" s="6" t="s">
        <v>7588</v>
      </c>
      <c r="D1769" s="6" t="s">
        <v>5076</v>
      </c>
    </row>
    <row r="1770" spans="1:4" x14ac:dyDescent="0.35">
      <c r="A1770" s="6" t="s">
        <v>591</v>
      </c>
      <c r="B1770" s="6" t="s">
        <v>4713</v>
      </c>
      <c r="C1770" s="6" t="s">
        <v>7589</v>
      </c>
      <c r="D1770" s="6" t="s">
        <v>5661</v>
      </c>
    </row>
    <row r="1771" spans="1:4" x14ac:dyDescent="0.35">
      <c r="A1771" s="6" t="s">
        <v>590</v>
      </c>
      <c r="B1771" s="6" t="s">
        <v>4713</v>
      </c>
      <c r="C1771" s="6" t="s">
        <v>7590</v>
      </c>
      <c r="D1771" s="6" t="s">
        <v>7591</v>
      </c>
    </row>
    <row r="1772" spans="1:4" x14ac:dyDescent="0.35">
      <c r="A1772" s="6" t="s">
        <v>589</v>
      </c>
      <c r="B1772" s="6" t="s">
        <v>4713</v>
      </c>
      <c r="C1772" s="6" t="s">
        <v>7592</v>
      </c>
      <c r="D1772" s="6" t="s">
        <v>7593</v>
      </c>
    </row>
    <row r="1773" spans="1:4" x14ac:dyDescent="0.35">
      <c r="A1773" s="6" t="s">
        <v>588</v>
      </c>
      <c r="B1773" s="6" t="s">
        <v>4713</v>
      </c>
      <c r="C1773" s="6" t="s">
        <v>7594</v>
      </c>
      <c r="D1773" s="6" t="s">
        <v>5610</v>
      </c>
    </row>
    <row r="1774" spans="1:4" x14ac:dyDescent="0.35">
      <c r="A1774" s="6" t="s">
        <v>587</v>
      </c>
      <c r="B1774" s="6" t="s">
        <v>4713</v>
      </c>
      <c r="C1774" s="6" t="s">
        <v>7595</v>
      </c>
      <c r="D1774" s="6" t="s">
        <v>7596</v>
      </c>
    </row>
    <row r="1775" spans="1:4" x14ac:dyDescent="0.35">
      <c r="A1775" s="6" t="s">
        <v>586</v>
      </c>
      <c r="B1775" s="6" t="s">
        <v>4716</v>
      </c>
      <c r="C1775" s="6" t="s">
        <v>7597</v>
      </c>
      <c r="D1775" s="6" t="s">
        <v>7598</v>
      </c>
    </row>
    <row r="1776" spans="1:4" x14ac:dyDescent="0.35">
      <c r="A1776" s="6" t="s">
        <v>585</v>
      </c>
      <c r="B1776" s="6" t="s">
        <v>4713</v>
      </c>
      <c r="C1776" s="6" t="s">
        <v>7599</v>
      </c>
      <c r="D1776" s="6" t="s">
        <v>6499</v>
      </c>
    </row>
    <row r="1777" spans="1:4" x14ac:dyDescent="0.35">
      <c r="A1777" s="6" t="s">
        <v>584</v>
      </c>
      <c r="B1777" s="6" t="s">
        <v>4713</v>
      </c>
      <c r="C1777" s="6" t="s">
        <v>7600</v>
      </c>
      <c r="D1777" s="6" t="s">
        <v>4903</v>
      </c>
    </row>
    <row r="1778" spans="1:4" x14ac:dyDescent="0.35">
      <c r="A1778" s="6" t="s">
        <v>583</v>
      </c>
      <c r="B1778" s="6" t="s">
        <v>4716</v>
      </c>
      <c r="C1778" s="6" t="s">
        <v>7601</v>
      </c>
      <c r="D1778" s="6" t="s">
        <v>7602</v>
      </c>
    </row>
    <row r="1779" spans="1:4" x14ac:dyDescent="0.35">
      <c r="A1779" s="6" t="s">
        <v>582</v>
      </c>
      <c r="B1779" s="6" t="s">
        <v>4713</v>
      </c>
      <c r="C1779" s="6" t="s">
        <v>6581</v>
      </c>
      <c r="D1779" s="6" t="s">
        <v>7603</v>
      </c>
    </row>
    <row r="1780" spans="1:4" x14ac:dyDescent="0.35">
      <c r="A1780" s="6" t="s">
        <v>581</v>
      </c>
      <c r="B1780" s="6" t="s">
        <v>4716</v>
      </c>
      <c r="C1780" s="6" t="s">
        <v>7604</v>
      </c>
      <c r="D1780" s="6" t="s">
        <v>7605</v>
      </c>
    </row>
    <row r="1781" spans="1:4" x14ac:dyDescent="0.35">
      <c r="A1781" s="6" t="s">
        <v>580</v>
      </c>
      <c r="B1781" s="6" t="s">
        <v>4713</v>
      </c>
      <c r="C1781" s="6" t="s">
        <v>7606</v>
      </c>
      <c r="D1781" s="6" t="s">
        <v>6103</v>
      </c>
    </row>
    <row r="1782" spans="1:4" x14ac:dyDescent="0.35">
      <c r="A1782" s="6" t="s">
        <v>579</v>
      </c>
      <c r="B1782" s="6" t="s">
        <v>4713</v>
      </c>
      <c r="C1782" s="6" t="s">
        <v>7607</v>
      </c>
      <c r="D1782" s="6" t="s">
        <v>6222</v>
      </c>
    </row>
    <row r="1783" spans="1:4" x14ac:dyDescent="0.35">
      <c r="A1783" s="6" t="s">
        <v>578</v>
      </c>
      <c r="B1783" s="6" t="s">
        <v>4716</v>
      </c>
      <c r="C1783" s="6" t="s">
        <v>7354</v>
      </c>
      <c r="D1783" s="6" t="s">
        <v>7608</v>
      </c>
    </row>
    <row r="1784" spans="1:4" x14ac:dyDescent="0.35">
      <c r="A1784" s="6" t="s">
        <v>577</v>
      </c>
      <c r="B1784" s="6" t="s">
        <v>4713</v>
      </c>
      <c r="C1784" s="6" t="s">
        <v>4765</v>
      </c>
      <c r="D1784" s="6" t="s">
        <v>7609</v>
      </c>
    </row>
    <row r="1785" spans="1:4" x14ac:dyDescent="0.35">
      <c r="A1785" s="6" t="s">
        <v>576</v>
      </c>
      <c r="B1785" s="6" t="s">
        <v>4716</v>
      </c>
      <c r="C1785" s="6" t="s">
        <v>5757</v>
      </c>
      <c r="D1785" s="6" t="s">
        <v>6089</v>
      </c>
    </row>
    <row r="1786" spans="1:4" x14ac:dyDescent="0.35">
      <c r="A1786" s="6" t="s">
        <v>575</v>
      </c>
      <c r="B1786" s="6" t="s">
        <v>4716</v>
      </c>
      <c r="C1786" s="6" t="s">
        <v>7610</v>
      </c>
      <c r="D1786" s="6" t="s">
        <v>7611</v>
      </c>
    </row>
    <row r="1787" spans="1:4" x14ac:dyDescent="0.35">
      <c r="A1787" s="6" t="s">
        <v>574</v>
      </c>
      <c r="B1787" s="6" t="s">
        <v>4716</v>
      </c>
      <c r="C1787" s="6" t="s">
        <v>7612</v>
      </c>
      <c r="D1787" s="6" t="s">
        <v>4754</v>
      </c>
    </row>
    <row r="1788" spans="1:4" x14ac:dyDescent="0.35">
      <c r="A1788" s="6" t="s">
        <v>573</v>
      </c>
      <c r="B1788" s="6" t="s">
        <v>4716</v>
      </c>
      <c r="C1788" s="6" t="s">
        <v>7613</v>
      </c>
      <c r="D1788" s="6" t="s">
        <v>7614</v>
      </c>
    </row>
    <row r="1789" spans="1:4" x14ac:dyDescent="0.35">
      <c r="A1789" s="6" t="s">
        <v>572</v>
      </c>
      <c r="B1789" s="6" t="s">
        <v>4716</v>
      </c>
      <c r="C1789" s="6" t="s">
        <v>6616</v>
      </c>
      <c r="D1789" s="6" t="s">
        <v>7615</v>
      </c>
    </row>
    <row r="1790" spans="1:4" x14ac:dyDescent="0.35">
      <c r="A1790" s="6" t="s">
        <v>571</v>
      </c>
      <c r="B1790" s="6" t="s">
        <v>4716</v>
      </c>
      <c r="C1790" s="6" t="s">
        <v>7616</v>
      </c>
      <c r="D1790" s="6" t="s">
        <v>4728</v>
      </c>
    </row>
    <row r="1791" spans="1:4" x14ac:dyDescent="0.35">
      <c r="A1791" s="6" t="s">
        <v>570</v>
      </c>
      <c r="B1791" s="6" t="s">
        <v>4716</v>
      </c>
      <c r="C1791" s="6" t="s">
        <v>7617</v>
      </c>
      <c r="D1791" s="6" t="s">
        <v>7618</v>
      </c>
    </row>
    <row r="1792" spans="1:4" x14ac:dyDescent="0.35">
      <c r="A1792" s="6" t="s">
        <v>569</v>
      </c>
      <c r="B1792" s="6" t="s">
        <v>4716</v>
      </c>
      <c r="C1792" s="6" t="s">
        <v>5464</v>
      </c>
      <c r="D1792" s="6" t="s">
        <v>7619</v>
      </c>
    </row>
    <row r="1793" spans="1:4" x14ac:dyDescent="0.35">
      <c r="A1793" s="6" t="s">
        <v>568</v>
      </c>
      <c r="B1793" s="6" t="s">
        <v>4713</v>
      </c>
      <c r="C1793" s="6" t="s">
        <v>7620</v>
      </c>
      <c r="D1793" s="6" t="s">
        <v>5084</v>
      </c>
    </row>
    <row r="1794" spans="1:4" x14ac:dyDescent="0.35">
      <c r="A1794" s="6" t="s">
        <v>567</v>
      </c>
      <c r="B1794" s="6" t="s">
        <v>4716</v>
      </c>
      <c r="C1794" s="6" t="s">
        <v>7621</v>
      </c>
      <c r="D1794" s="6" t="s">
        <v>5010</v>
      </c>
    </row>
    <row r="1795" spans="1:4" x14ac:dyDescent="0.35">
      <c r="A1795" s="6" t="s">
        <v>566</v>
      </c>
      <c r="B1795" s="6" t="s">
        <v>4713</v>
      </c>
      <c r="C1795" s="6" t="s">
        <v>7622</v>
      </c>
      <c r="D1795" s="6" t="s">
        <v>5877</v>
      </c>
    </row>
    <row r="1796" spans="1:4" x14ac:dyDescent="0.35">
      <c r="A1796" s="6" t="s">
        <v>565</v>
      </c>
      <c r="B1796" s="6" t="s">
        <v>4716</v>
      </c>
      <c r="C1796" s="6" t="s">
        <v>7098</v>
      </c>
      <c r="D1796" s="6" t="s">
        <v>4787</v>
      </c>
    </row>
    <row r="1797" spans="1:4" x14ac:dyDescent="0.35">
      <c r="A1797" s="6" t="s">
        <v>564</v>
      </c>
      <c r="B1797" s="6" t="s">
        <v>4713</v>
      </c>
      <c r="C1797" s="6" t="s">
        <v>7623</v>
      </c>
      <c r="D1797" s="6" t="s">
        <v>6637</v>
      </c>
    </row>
    <row r="1798" spans="1:4" x14ac:dyDescent="0.35">
      <c r="A1798" s="6" t="s">
        <v>563</v>
      </c>
      <c r="B1798" s="6" t="s">
        <v>4716</v>
      </c>
      <c r="C1798" s="6" t="s">
        <v>7624</v>
      </c>
      <c r="D1798" s="6" t="s">
        <v>7625</v>
      </c>
    </row>
    <row r="1799" spans="1:4" x14ac:dyDescent="0.35">
      <c r="A1799" s="6" t="s">
        <v>562</v>
      </c>
      <c r="B1799" s="6" t="s">
        <v>4713</v>
      </c>
      <c r="C1799" s="6" t="s">
        <v>7626</v>
      </c>
      <c r="D1799" s="6" t="s">
        <v>7627</v>
      </c>
    </row>
    <row r="1800" spans="1:4" x14ac:dyDescent="0.35">
      <c r="A1800" s="6" t="s">
        <v>561</v>
      </c>
      <c r="B1800" s="6" t="s">
        <v>4713</v>
      </c>
      <c r="C1800" s="6" t="s">
        <v>5709</v>
      </c>
      <c r="D1800" s="6" t="s">
        <v>7628</v>
      </c>
    </row>
    <row r="1801" spans="1:4" x14ac:dyDescent="0.35">
      <c r="A1801" s="6" t="s">
        <v>560</v>
      </c>
      <c r="B1801" s="6" t="s">
        <v>4716</v>
      </c>
      <c r="C1801" s="6" t="s">
        <v>7629</v>
      </c>
      <c r="D1801" s="6" t="s">
        <v>7630</v>
      </c>
    </row>
    <row r="1802" spans="1:4" x14ac:dyDescent="0.35">
      <c r="A1802" s="6" t="s">
        <v>559</v>
      </c>
      <c r="B1802" s="6" t="s">
        <v>4713</v>
      </c>
      <c r="C1802" s="6" t="s">
        <v>7631</v>
      </c>
      <c r="D1802" s="6" t="s">
        <v>7499</v>
      </c>
    </row>
    <row r="1803" spans="1:4" x14ac:dyDescent="0.35">
      <c r="A1803" s="6" t="s">
        <v>558</v>
      </c>
      <c r="B1803" s="6" t="s">
        <v>4716</v>
      </c>
      <c r="C1803" s="6" t="s">
        <v>7632</v>
      </c>
      <c r="D1803" s="6" t="s">
        <v>4843</v>
      </c>
    </row>
    <row r="1804" spans="1:4" x14ac:dyDescent="0.35">
      <c r="A1804" s="6" t="s">
        <v>557</v>
      </c>
      <c r="B1804" s="6" t="s">
        <v>4716</v>
      </c>
      <c r="C1804" s="6" t="s">
        <v>5101</v>
      </c>
      <c r="D1804" s="6" t="s">
        <v>5747</v>
      </c>
    </row>
    <row r="1805" spans="1:4" x14ac:dyDescent="0.35">
      <c r="A1805" s="6" t="s">
        <v>556</v>
      </c>
      <c r="B1805" s="6" t="s">
        <v>4716</v>
      </c>
      <c r="C1805" s="6" t="s">
        <v>4771</v>
      </c>
      <c r="D1805" s="6" t="s">
        <v>7633</v>
      </c>
    </row>
    <row r="1806" spans="1:4" x14ac:dyDescent="0.35">
      <c r="A1806" s="6" t="s">
        <v>555</v>
      </c>
      <c r="B1806" s="6" t="s">
        <v>4716</v>
      </c>
      <c r="C1806" s="6" t="s">
        <v>7634</v>
      </c>
      <c r="D1806" s="6" t="s">
        <v>7635</v>
      </c>
    </row>
    <row r="1807" spans="1:4" x14ac:dyDescent="0.35">
      <c r="A1807" s="6" t="s">
        <v>554</v>
      </c>
      <c r="B1807" s="6" t="s">
        <v>4713</v>
      </c>
      <c r="C1807" s="6" t="s">
        <v>7636</v>
      </c>
      <c r="D1807" s="6" t="s">
        <v>5536</v>
      </c>
    </row>
    <row r="1808" spans="1:4" x14ac:dyDescent="0.35">
      <c r="A1808" s="6" t="s">
        <v>553</v>
      </c>
      <c r="B1808" s="6" t="s">
        <v>4713</v>
      </c>
      <c r="C1808" s="6" t="s">
        <v>7637</v>
      </c>
      <c r="D1808" s="6" t="s">
        <v>7638</v>
      </c>
    </row>
    <row r="1809" spans="1:4" x14ac:dyDescent="0.35">
      <c r="A1809" s="6" t="s">
        <v>552</v>
      </c>
      <c r="B1809" s="6" t="s">
        <v>4713</v>
      </c>
      <c r="C1809" s="6" t="s">
        <v>7639</v>
      </c>
      <c r="D1809" s="6" t="s">
        <v>7640</v>
      </c>
    </row>
    <row r="1810" spans="1:4" x14ac:dyDescent="0.35">
      <c r="A1810" s="6" t="s">
        <v>551</v>
      </c>
      <c r="B1810" s="6" t="s">
        <v>4713</v>
      </c>
      <c r="C1810" s="6" t="s">
        <v>7641</v>
      </c>
      <c r="D1810" s="6" t="s">
        <v>5184</v>
      </c>
    </row>
    <row r="1811" spans="1:4" x14ac:dyDescent="0.35">
      <c r="A1811" s="6" t="s">
        <v>550</v>
      </c>
      <c r="B1811" s="6" t="s">
        <v>4713</v>
      </c>
      <c r="C1811" s="6" t="s">
        <v>7642</v>
      </c>
      <c r="D1811" s="6" t="s">
        <v>7548</v>
      </c>
    </row>
    <row r="1812" spans="1:4" x14ac:dyDescent="0.35">
      <c r="A1812" s="6" t="s">
        <v>549</v>
      </c>
      <c r="B1812" s="6" t="s">
        <v>4713</v>
      </c>
      <c r="C1812" s="6" t="s">
        <v>7643</v>
      </c>
      <c r="D1812" s="6" t="s">
        <v>7644</v>
      </c>
    </row>
    <row r="1813" spans="1:4" x14ac:dyDescent="0.35">
      <c r="A1813" s="6" t="s">
        <v>548</v>
      </c>
      <c r="B1813" s="6" t="s">
        <v>4713</v>
      </c>
      <c r="C1813" s="6" t="s">
        <v>7645</v>
      </c>
      <c r="D1813" s="6" t="s">
        <v>7646</v>
      </c>
    </row>
    <row r="1814" spans="1:4" x14ac:dyDescent="0.35">
      <c r="A1814" s="6" t="s">
        <v>547</v>
      </c>
      <c r="B1814" s="6" t="s">
        <v>4716</v>
      </c>
      <c r="C1814" s="6" t="s">
        <v>7647</v>
      </c>
      <c r="D1814" s="6" t="s">
        <v>7648</v>
      </c>
    </row>
    <row r="1815" spans="1:4" x14ac:dyDescent="0.35">
      <c r="A1815" s="6" t="s">
        <v>546</v>
      </c>
      <c r="B1815" s="6" t="s">
        <v>4713</v>
      </c>
      <c r="C1815" s="6" t="s">
        <v>7649</v>
      </c>
      <c r="D1815" s="6" t="s">
        <v>5536</v>
      </c>
    </row>
    <row r="1816" spans="1:4" x14ac:dyDescent="0.35">
      <c r="A1816" s="6" t="s">
        <v>545</v>
      </c>
      <c r="B1816" s="6" t="s">
        <v>4716</v>
      </c>
      <c r="C1816" s="6" t="s">
        <v>7650</v>
      </c>
      <c r="D1816" s="6" t="s">
        <v>6000</v>
      </c>
    </row>
    <row r="1817" spans="1:4" x14ac:dyDescent="0.35">
      <c r="A1817" s="6" t="s">
        <v>544</v>
      </c>
      <c r="B1817" s="6" t="s">
        <v>4716</v>
      </c>
      <c r="C1817" s="6" t="s">
        <v>7651</v>
      </c>
      <c r="D1817" s="6" t="s">
        <v>7652</v>
      </c>
    </row>
    <row r="1818" spans="1:4" x14ac:dyDescent="0.35">
      <c r="A1818" s="6" t="s">
        <v>543</v>
      </c>
      <c r="B1818" s="6" t="s">
        <v>4716</v>
      </c>
      <c r="C1818" s="6" t="s">
        <v>7653</v>
      </c>
      <c r="D1818" s="6" t="s">
        <v>7654</v>
      </c>
    </row>
    <row r="1819" spans="1:4" x14ac:dyDescent="0.35">
      <c r="A1819" s="6" t="s">
        <v>542</v>
      </c>
      <c r="B1819" s="6" t="s">
        <v>4716</v>
      </c>
      <c r="C1819" s="6" t="s">
        <v>7655</v>
      </c>
      <c r="D1819" s="6" t="s">
        <v>7172</v>
      </c>
    </row>
    <row r="1820" spans="1:4" x14ac:dyDescent="0.35">
      <c r="A1820" s="6" t="s">
        <v>541</v>
      </c>
      <c r="B1820" s="6" t="s">
        <v>4716</v>
      </c>
      <c r="C1820" s="6" t="s">
        <v>6466</v>
      </c>
      <c r="D1820" s="6" t="s">
        <v>5365</v>
      </c>
    </row>
    <row r="1821" spans="1:4" x14ac:dyDescent="0.35">
      <c r="A1821" s="6" t="s">
        <v>540</v>
      </c>
      <c r="B1821" s="6" t="s">
        <v>4716</v>
      </c>
      <c r="C1821" s="6" t="s">
        <v>7656</v>
      </c>
      <c r="D1821" s="6" t="s">
        <v>7657</v>
      </c>
    </row>
    <row r="1822" spans="1:4" x14ac:dyDescent="0.35">
      <c r="A1822" s="6" t="s">
        <v>539</v>
      </c>
      <c r="B1822" s="6" t="s">
        <v>4716</v>
      </c>
      <c r="C1822" s="6" t="s">
        <v>7658</v>
      </c>
      <c r="D1822" s="6" t="s">
        <v>4873</v>
      </c>
    </row>
    <row r="1823" spans="1:4" x14ac:dyDescent="0.35">
      <c r="A1823" s="6" t="s">
        <v>538</v>
      </c>
      <c r="B1823" s="6" t="s">
        <v>4716</v>
      </c>
      <c r="C1823" s="6" t="s">
        <v>7659</v>
      </c>
      <c r="D1823" s="6" t="s">
        <v>7660</v>
      </c>
    </row>
    <row r="1824" spans="1:4" x14ac:dyDescent="0.35">
      <c r="A1824" s="6" t="s">
        <v>537</v>
      </c>
      <c r="B1824" s="6" t="s">
        <v>4713</v>
      </c>
      <c r="C1824" s="6" t="s">
        <v>7661</v>
      </c>
      <c r="D1824" s="6" t="s">
        <v>7662</v>
      </c>
    </row>
    <row r="1825" spans="1:4" x14ac:dyDescent="0.35">
      <c r="A1825" s="6" t="s">
        <v>536</v>
      </c>
      <c r="B1825" s="6" t="s">
        <v>4716</v>
      </c>
      <c r="C1825" s="6" t="s">
        <v>6038</v>
      </c>
      <c r="D1825" s="6" t="s">
        <v>5559</v>
      </c>
    </row>
    <row r="1826" spans="1:4" x14ac:dyDescent="0.35">
      <c r="A1826" s="6" t="s">
        <v>535</v>
      </c>
      <c r="B1826" s="6" t="s">
        <v>4713</v>
      </c>
      <c r="C1826" s="6" t="s">
        <v>7663</v>
      </c>
      <c r="D1826" s="6" t="s">
        <v>7664</v>
      </c>
    </row>
    <row r="1827" spans="1:4" x14ac:dyDescent="0.35">
      <c r="A1827" s="6" t="s">
        <v>534</v>
      </c>
      <c r="B1827" s="6" t="s">
        <v>4713</v>
      </c>
      <c r="C1827" s="6" t="s">
        <v>7665</v>
      </c>
      <c r="D1827" s="6" t="s">
        <v>7666</v>
      </c>
    </row>
    <row r="1828" spans="1:4" x14ac:dyDescent="0.35">
      <c r="A1828" s="6" t="s">
        <v>533</v>
      </c>
      <c r="B1828" s="6" t="s">
        <v>4713</v>
      </c>
      <c r="C1828" s="6" t="s">
        <v>7667</v>
      </c>
      <c r="D1828" s="6" t="s">
        <v>7668</v>
      </c>
    </row>
    <row r="1829" spans="1:4" x14ac:dyDescent="0.35">
      <c r="A1829" s="6" t="s">
        <v>532</v>
      </c>
      <c r="B1829" s="6" t="s">
        <v>4713</v>
      </c>
      <c r="C1829" s="6" t="s">
        <v>7669</v>
      </c>
      <c r="D1829" s="6" t="s">
        <v>7519</v>
      </c>
    </row>
    <row r="1830" spans="1:4" x14ac:dyDescent="0.35">
      <c r="A1830" s="6" t="s">
        <v>531</v>
      </c>
      <c r="B1830" s="6" t="s">
        <v>4713</v>
      </c>
      <c r="C1830" s="6" t="s">
        <v>7670</v>
      </c>
      <c r="D1830" s="6" t="s">
        <v>5525</v>
      </c>
    </row>
    <row r="1831" spans="1:4" x14ac:dyDescent="0.35">
      <c r="A1831" s="6" t="s">
        <v>530</v>
      </c>
      <c r="B1831" s="6" t="s">
        <v>4716</v>
      </c>
      <c r="C1831" s="6" t="s">
        <v>5077</v>
      </c>
      <c r="D1831" s="6" t="s">
        <v>7671</v>
      </c>
    </row>
    <row r="1832" spans="1:4" x14ac:dyDescent="0.35">
      <c r="A1832" s="6" t="s">
        <v>529</v>
      </c>
      <c r="B1832" s="6" t="s">
        <v>4713</v>
      </c>
      <c r="C1832" s="6" t="s">
        <v>6467</v>
      </c>
      <c r="D1832" s="6" t="s">
        <v>5111</v>
      </c>
    </row>
    <row r="1833" spans="1:4" x14ac:dyDescent="0.35">
      <c r="A1833" s="6" t="s">
        <v>528</v>
      </c>
      <c r="B1833" s="6" t="s">
        <v>4713</v>
      </c>
      <c r="C1833" s="6" t="s">
        <v>5439</v>
      </c>
      <c r="D1833" s="6" t="s">
        <v>7435</v>
      </c>
    </row>
    <row r="1834" spans="1:4" x14ac:dyDescent="0.35">
      <c r="A1834" s="6" t="s">
        <v>527</v>
      </c>
      <c r="B1834" s="6" t="s">
        <v>4716</v>
      </c>
      <c r="C1834" s="6" t="s">
        <v>7672</v>
      </c>
      <c r="D1834" s="6" t="s">
        <v>7673</v>
      </c>
    </row>
    <row r="1835" spans="1:4" x14ac:dyDescent="0.35">
      <c r="A1835" s="6" t="s">
        <v>526</v>
      </c>
      <c r="B1835" s="6" t="s">
        <v>4713</v>
      </c>
      <c r="C1835" s="6" t="s">
        <v>7674</v>
      </c>
      <c r="D1835" s="6" t="s">
        <v>7675</v>
      </c>
    </row>
    <row r="1836" spans="1:4" x14ac:dyDescent="0.35">
      <c r="A1836" s="6" t="s">
        <v>524</v>
      </c>
      <c r="B1836" s="6" t="s">
        <v>5590</v>
      </c>
      <c r="C1836" s="6" t="s">
        <v>7676</v>
      </c>
      <c r="D1836" s="6" t="s">
        <v>6876</v>
      </c>
    </row>
    <row r="1837" spans="1:4" x14ac:dyDescent="0.35">
      <c r="A1837" s="6" t="s">
        <v>523</v>
      </c>
      <c r="B1837" s="6" t="s">
        <v>4716</v>
      </c>
      <c r="C1837" s="6" t="s">
        <v>7677</v>
      </c>
      <c r="D1837" s="6" t="s">
        <v>6000</v>
      </c>
    </row>
    <row r="1838" spans="1:4" x14ac:dyDescent="0.35">
      <c r="A1838" s="6" t="s">
        <v>522</v>
      </c>
      <c r="B1838" s="6" t="s">
        <v>4716</v>
      </c>
      <c r="C1838" s="6" t="s">
        <v>7678</v>
      </c>
      <c r="D1838" s="6" t="s">
        <v>7679</v>
      </c>
    </row>
    <row r="1839" spans="1:4" x14ac:dyDescent="0.35">
      <c r="A1839" s="6" t="s">
        <v>521</v>
      </c>
      <c r="B1839" s="6" t="s">
        <v>4716</v>
      </c>
      <c r="C1839" s="6" t="s">
        <v>7680</v>
      </c>
      <c r="D1839" s="6" t="s">
        <v>7681</v>
      </c>
    </row>
    <row r="1840" spans="1:4" x14ac:dyDescent="0.35">
      <c r="A1840" s="6" t="s">
        <v>520</v>
      </c>
      <c r="B1840" s="6" t="s">
        <v>4716</v>
      </c>
      <c r="C1840" s="6" t="s">
        <v>6698</v>
      </c>
      <c r="D1840" s="6" t="s">
        <v>7682</v>
      </c>
    </row>
    <row r="1841" spans="1:4" x14ac:dyDescent="0.35">
      <c r="A1841" s="6" t="s">
        <v>519</v>
      </c>
      <c r="B1841" s="6" t="s">
        <v>4716</v>
      </c>
      <c r="C1841" s="6" t="s">
        <v>6781</v>
      </c>
      <c r="D1841" s="6" t="s">
        <v>7683</v>
      </c>
    </row>
    <row r="1842" spans="1:4" x14ac:dyDescent="0.35">
      <c r="A1842" s="6" t="s">
        <v>518</v>
      </c>
      <c r="B1842" s="6" t="s">
        <v>4713</v>
      </c>
      <c r="C1842" s="6" t="s">
        <v>7684</v>
      </c>
      <c r="D1842" s="6" t="s">
        <v>4841</v>
      </c>
    </row>
    <row r="1843" spans="1:4" x14ac:dyDescent="0.35">
      <c r="A1843" s="6" t="s">
        <v>517</v>
      </c>
      <c r="B1843" s="6" t="s">
        <v>4713</v>
      </c>
      <c r="C1843" s="6" t="s">
        <v>7685</v>
      </c>
      <c r="D1843" s="6" t="s">
        <v>7686</v>
      </c>
    </row>
    <row r="1844" spans="1:4" x14ac:dyDescent="0.35">
      <c r="A1844" s="6" t="s">
        <v>516</v>
      </c>
      <c r="B1844" s="6" t="s">
        <v>4716</v>
      </c>
      <c r="C1844" s="6" t="s">
        <v>4844</v>
      </c>
      <c r="D1844" s="6" t="s">
        <v>7687</v>
      </c>
    </row>
    <row r="1845" spans="1:4" x14ac:dyDescent="0.35">
      <c r="A1845" s="6" t="s">
        <v>515</v>
      </c>
      <c r="B1845" s="6" t="s">
        <v>4716</v>
      </c>
      <c r="C1845" s="6" t="s">
        <v>7688</v>
      </c>
      <c r="D1845" s="6" t="s">
        <v>7689</v>
      </c>
    </row>
    <row r="1846" spans="1:4" x14ac:dyDescent="0.35">
      <c r="A1846" s="6" t="s">
        <v>514</v>
      </c>
      <c r="B1846" s="6" t="s">
        <v>4716</v>
      </c>
      <c r="C1846" s="6" t="s">
        <v>7690</v>
      </c>
      <c r="D1846" s="6" t="s">
        <v>4766</v>
      </c>
    </row>
    <row r="1847" spans="1:4" x14ac:dyDescent="0.35">
      <c r="A1847" s="6" t="s">
        <v>513</v>
      </c>
      <c r="B1847" s="6" t="s">
        <v>4716</v>
      </c>
      <c r="C1847" s="6" t="s">
        <v>7691</v>
      </c>
      <c r="D1847" s="6" t="s">
        <v>7692</v>
      </c>
    </row>
    <row r="1848" spans="1:4" x14ac:dyDescent="0.35">
      <c r="A1848" s="6" t="s">
        <v>512</v>
      </c>
      <c r="B1848" s="6" t="s">
        <v>4716</v>
      </c>
      <c r="C1848" s="6" t="s">
        <v>7693</v>
      </c>
      <c r="D1848" s="6" t="s">
        <v>7694</v>
      </c>
    </row>
    <row r="1849" spans="1:4" x14ac:dyDescent="0.35">
      <c r="A1849" s="6" t="s">
        <v>511</v>
      </c>
      <c r="B1849" s="6" t="s">
        <v>4716</v>
      </c>
      <c r="C1849" s="6" t="s">
        <v>7695</v>
      </c>
      <c r="D1849" s="6" t="s">
        <v>7696</v>
      </c>
    </row>
    <row r="1850" spans="1:4" x14ac:dyDescent="0.35">
      <c r="A1850" s="6" t="s">
        <v>510</v>
      </c>
      <c r="B1850" s="6" t="s">
        <v>4716</v>
      </c>
      <c r="C1850" s="6" t="s">
        <v>7697</v>
      </c>
      <c r="D1850" s="6" t="s">
        <v>7698</v>
      </c>
    </row>
    <row r="1851" spans="1:4" x14ac:dyDescent="0.35">
      <c r="A1851" s="6" t="s">
        <v>509</v>
      </c>
      <c r="B1851" s="6" t="s">
        <v>4716</v>
      </c>
      <c r="C1851" s="6" t="s">
        <v>7699</v>
      </c>
      <c r="D1851" s="6" t="s">
        <v>5276</v>
      </c>
    </row>
    <row r="1852" spans="1:4" x14ac:dyDescent="0.35">
      <c r="A1852" s="6" t="s">
        <v>508</v>
      </c>
      <c r="B1852" s="6" t="s">
        <v>4716</v>
      </c>
      <c r="C1852" s="6" t="s">
        <v>7700</v>
      </c>
      <c r="D1852" s="6" t="s">
        <v>4811</v>
      </c>
    </row>
    <row r="1853" spans="1:4" x14ac:dyDescent="0.35">
      <c r="A1853" s="6" t="s">
        <v>507</v>
      </c>
      <c r="B1853" s="6" t="s">
        <v>4716</v>
      </c>
      <c r="C1853" s="6" t="s">
        <v>7701</v>
      </c>
      <c r="D1853" s="6" t="s">
        <v>7702</v>
      </c>
    </row>
    <row r="1854" spans="1:4" x14ac:dyDescent="0.35">
      <c r="A1854" s="6" t="s">
        <v>505</v>
      </c>
      <c r="B1854" s="6" t="s">
        <v>4716</v>
      </c>
      <c r="C1854" s="6" t="s">
        <v>7703</v>
      </c>
      <c r="D1854" s="6" t="s">
        <v>4811</v>
      </c>
    </row>
    <row r="1855" spans="1:4" x14ac:dyDescent="0.35">
      <c r="A1855" s="6" t="s">
        <v>504</v>
      </c>
      <c r="B1855" s="6" t="s">
        <v>4713</v>
      </c>
      <c r="C1855" s="6" t="s">
        <v>7397</v>
      </c>
      <c r="D1855" s="6" t="s">
        <v>7704</v>
      </c>
    </row>
    <row r="1856" spans="1:4" x14ac:dyDescent="0.35">
      <c r="A1856" s="6" t="s">
        <v>503</v>
      </c>
      <c r="B1856" s="6" t="s">
        <v>4716</v>
      </c>
      <c r="C1856" s="6" t="s">
        <v>5928</v>
      </c>
      <c r="D1856" s="6" t="s">
        <v>6857</v>
      </c>
    </row>
    <row r="1857" spans="1:4" x14ac:dyDescent="0.35">
      <c r="A1857" s="6" t="s">
        <v>502</v>
      </c>
      <c r="B1857" s="6" t="s">
        <v>4716</v>
      </c>
      <c r="C1857" s="6" t="s">
        <v>7705</v>
      </c>
      <c r="D1857" s="6" t="s">
        <v>5471</v>
      </c>
    </row>
    <row r="1858" spans="1:4" x14ac:dyDescent="0.35">
      <c r="A1858" s="6" t="s">
        <v>501</v>
      </c>
      <c r="B1858" s="6" t="s">
        <v>4713</v>
      </c>
      <c r="C1858" s="6" t="s">
        <v>7706</v>
      </c>
      <c r="D1858" s="6" t="s">
        <v>7707</v>
      </c>
    </row>
    <row r="1859" spans="1:4" x14ac:dyDescent="0.35">
      <c r="A1859" s="6" t="s">
        <v>500</v>
      </c>
      <c r="B1859" s="6" t="s">
        <v>4716</v>
      </c>
      <c r="C1859" s="6" t="s">
        <v>7708</v>
      </c>
      <c r="D1859" s="6" t="s">
        <v>7709</v>
      </c>
    </row>
    <row r="1860" spans="1:4" x14ac:dyDescent="0.35">
      <c r="A1860" s="6" t="s">
        <v>499</v>
      </c>
      <c r="B1860" s="6" t="s">
        <v>4713</v>
      </c>
      <c r="C1860" s="6" t="s">
        <v>6557</v>
      </c>
      <c r="D1860" s="6" t="s">
        <v>6925</v>
      </c>
    </row>
    <row r="1861" spans="1:4" x14ac:dyDescent="0.35">
      <c r="A1861" s="6" t="s">
        <v>498</v>
      </c>
      <c r="B1861" s="6" t="s">
        <v>4713</v>
      </c>
      <c r="C1861" s="6" t="s">
        <v>6272</v>
      </c>
      <c r="D1861" s="6" t="s">
        <v>7710</v>
      </c>
    </row>
    <row r="1862" spans="1:4" x14ac:dyDescent="0.35">
      <c r="A1862" s="6" t="s">
        <v>497</v>
      </c>
      <c r="B1862" s="6" t="s">
        <v>4713</v>
      </c>
      <c r="C1862" s="6" t="s">
        <v>7711</v>
      </c>
      <c r="D1862" s="6" t="s">
        <v>7712</v>
      </c>
    </row>
    <row r="1863" spans="1:4" x14ac:dyDescent="0.35">
      <c r="A1863" s="6" t="s">
        <v>496</v>
      </c>
      <c r="B1863" s="6" t="s">
        <v>4713</v>
      </c>
      <c r="C1863" s="6" t="s">
        <v>5446</v>
      </c>
      <c r="D1863" s="6" t="s">
        <v>5661</v>
      </c>
    </row>
    <row r="1864" spans="1:4" x14ac:dyDescent="0.35">
      <c r="A1864" s="6" t="s">
        <v>495</v>
      </c>
      <c r="B1864" s="6" t="s">
        <v>4713</v>
      </c>
      <c r="C1864" s="6" t="s">
        <v>7713</v>
      </c>
      <c r="D1864" s="6" t="s">
        <v>7714</v>
      </c>
    </row>
    <row r="1865" spans="1:4" x14ac:dyDescent="0.35">
      <c r="A1865" s="6" t="s">
        <v>494</v>
      </c>
      <c r="B1865" s="6" t="s">
        <v>4713</v>
      </c>
      <c r="C1865" s="6" t="s">
        <v>7715</v>
      </c>
      <c r="D1865" s="6" t="s">
        <v>4822</v>
      </c>
    </row>
    <row r="1866" spans="1:4" x14ac:dyDescent="0.35">
      <c r="A1866" s="6" t="s">
        <v>493</v>
      </c>
      <c r="B1866" s="6" t="s">
        <v>4713</v>
      </c>
      <c r="C1866" s="6" t="s">
        <v>5533</v>
      </c>
      <c r="D1866" s="6" t="s">
        <v>7716</v>
      </c>
    </row>
    <row r="1867" spans="1:4" x14ac:dyDescent="0.35">
      <c r="A1867" s="6" t="s">
        <v>492</v>
      </c>
      <c r="B1867" s="6" t="s">
        <v>4716</v>
      </c>
      <c r="C1867" s="6" t="s">
        <v>7717</v>
      </c>
      <c r="D1867" s="6" t="s">
        <v>7718</v>
      </c>
    </row>
    <row r="1868" spans="1:4" x14ac:dyDescent="0.35">
      <c r="A1868" s="6" t="s">
        <v>491</v>
      </c>
      <c r="B1868" s="6" t="s">
        <v>4713</v>
      </c>
      <c r="C1868" s="6" t="s">
        <v>6134</v>
      </c>
      <c r="D1868" s="6" t="s">
        <v>6062</v>
      </c>
    </row>
    <row r="1869" spans="1:4" x14ac:dyDescent="0.35">
      <c r="A1869" s="6" t="s">
        <v>490</v>
      </c>
      <c r="B1869" s="6" t="s">
        <v>4716</v>
      </c>
      <c r="C1869" s="6" t="s">
        <v>5969</v>
      </c>
      <c r="D1869" s="6" t="s">
        <v>7719</v>
      </c>
    </row>
    <row r="1870" spans="1:4" x14ac:dyDescent="0.35">
      <c r="A1870" s="6" t="s">
        <v>489</v>
      </c>
      <c r="B1870" s="6" t="s">
        <v>4716</v>
      </c>
      <c r="C1870" s="6" t="s">
        <v>7720</v>
      </c>
      <c r="D1870" s="6" t="s">
        <v>5408</v>
      </c>
    </row>
    <row r="1871" spans="1:4" x14ac:dyDescent="0.35">
      <c r="A1871" s="6" t="s">
        <v>488</v>
      </c>
      <c r="B1871" s="6" t="s">
        <v>4716</v>
      </c>
      <c r="C1871" s="6" t="s">
        <v>5108</v>
      </c>
      <c r="D1871" s="6" t="s">
        <v>4962</v>
      </c>
    </row>
    <row r="1872" spans="1:4" x14ac:dyDescent="0.35">
      <c r="A1872" s="6" t="s">
        <v>487</v>
      </c>
      <c r="B1872" s="6" t="s">
        <v>4716</v>
      </c>
      <c r="C1872" s="6" t="s">
        <v>7721</v>
      </c>
      <c r="D1872" s="6" t="s">
        <v>7722</v>
      </c>
    </row>
    <row r="1873" spans="1:4" x14ac:dyDescent="0.35">
      <c r="A1873" s="6" t="s">
        <v>486</v>
      </c>
      <c r="B1873" s="6" t="s">
        <v>4716</v>
      </c>
      <c r="C1873" s="6" t="s">
        <v>7723</v>
      </c>
      <c r="D1873" s="6" t="s">
        <v>7724</v>
      </c>
    </row>
    <row r="1874" spans="1:4" x14ac:dyDescent="0.35">
      <c r="A1874" s="6" t="s">
        <v>485</v>
      </c>
      <c r="B1874" s="6" t="s">
        <v>4716</v>
      </c>
      <c r="C1874" s="6" t="s">
        <v>7725</v>
      </c>
      <c r="D1874" s="6" t="s">
        <v>7726</v>
      </c>
    </row>
    <row r="1875" spans="1:4" x14ac:dyDescent="0.35">
      <c r="A1875" s="6" t="s">
        <v>484</v>
      </c>
      <c r="B1875" s="6" t="s">
        <v>4716</v>
      </c>
      <c r="C1875" s="6" t="s">
        <v>7727</v>
      </c>
      <c r="D1875" s="6" t="s">
        <v>7728</v>
      </c>
    </row>
    <row r="1876" spans="1:4" x14ac:dyDescent="0.35">
      <c r="A1876" s="6" t="s">
        <v>483</v>
      </c>
      <c r="B1876" s="6" t="s">
        <v>4716</v>
      </c>
      <c r="C1876" s="6" t="s">
        <v>7729</v>
      </c>
      <c r="D1876" s="6" t="s">
        <v>7730</v>
      </c>
    </row>
    <row r="1877" spans="1:4" x14ac:dyDescent="0.35">
      <c r="A1877" s="6" t="s">
        <v>482</v>
      </c>
      <c r="B1877" s="6" t="s">
        <v>4713</v>
      </c>
      <c r="C1877" s="6" t="s">
        <v>6616</v>
      </c>
      <c r="D1877" s="6" t="s">
        <v>7731</v>
      </c>
    </row>
    <row r="1878" spans="1:4" x14ac:dyDescent="0.35">
      <c r="A1878" s="6" t="s">
        <v>481</v>
      </c>
      <c r="B1878" s="6" t="s">
        <v>4713</v>
      </c>
      <c r="C1878" s="6" t="s">
        <v>7732</v>
      </c>
      <c r="D1878" s="6" t="s">
        <v>5929</v>
      </c>
    </row>
    <row r="1879" spans="1:4" x14ac:dyDescent="0.35">
      <c r="A1879" s="6" t="s">
        <v>480</v>
      </c>
      <c r="B1879" s="6" t="s">
        <v>5590</v>
      </c>
      <c r="C1879" s="6" t="s">
        <v>7733</v>
      </c>
      <c r="D1879" s="6" t="s">
        <v>7734</v>
      </c>
    </row>
    <row r="1880" spans="1:4" x14ac:dyDescent="0.35">
      <c r="A1880" s="6" t="s">
        <v>479</v>
      </c>
      <c r="B1880" s="6" t="s">
        <v>4713</v>
      </c>
      <c r="C1880" s="6" t="s">
        <v>7735</v>
      </c>
      <c r="D1880" s="6" t="s">
        <v>7736</v>
      </c>
    </row>
    <row r="1881" spans="1:4" x14ac:dyDescent="0.35">
      <c r="A1881" s="6" t="s">
        <v>478</v>
      </c>
      <c r="B1881" s="6" t="s">
        <v>4713</v>
      </c>
      <c r="C1881" s="6" t="s">
        <v>7737</v>
      </c>
      <c r="D1881" s="6" t="s">
        <v>7738</v>
      </c>
    </row>
    <row r="1882" spans="1:4" x14ac:dyDescent="0.35">
      <c r="A1882" s="6" t="s">
        <v>477</v>
      </c>
      <c r="B1882" s="6" t="s">
        <v>4716</v>
      </c>
      <c r="C1882" s="6" t="s">
        <v>5726</v>
      </c>
      <c r="D1882" s="6" t="s">
        <v>7739</v>
      </c>
    </row>
    <row r="1883" spans="1:4" x14ac:dyDescent="0.35">
      <c r="A1883" s="6" t="s">
        <v>476</v>
      </c>
      <c r="B1883" s="6" t="s">
        <v>4713</v>
      </c>
      <c r="C1883" s="6" t="s">
        <v>7740</v>
      </c>
      <c r="D1883" s="6" t="s">
        <v>7731</v>
      </c>
    </row>
    <row r="1884" spans="1:4" x14ac:dyDescent="0.35">
      <c r="A1884" s="6" t="s">
        <v>475</v>
      </c>
      <c r="B1884" s="6" t="s">
        <v>4713</v>
      </c>
      <c r="C1884" s="6" t="s">
        <v>7741</v>
      </c>
      <c r="D1884" s="6" t="s">
        <v>7742</v>
      </c>
    </row>
    <row r="1885" spans="1:4" x14ac:dyDescent="0.35">
      <c r="A1885" s="6" t="s">
        <v>474</v>
      </c>
      <c r="B1885" s="6" t="s">
        <v>4713</v>
      </c>
      <c r="C1885" s="6" t="s">
        <v>7743</v>
      </c>
      <c r="D1885" s="6" t="s">
        <v>7744</v>
      </c>
    </row>
    <row r="1886" spans="1:4" x14ac:dyDescent="0.35">
      <c r="A1886" s="6" t="s">
        <v>473</v>
      </c>
      <c r="B1886" s="6" t="s">
        <v>4713</v>
      </c>
      <c r="C1886" s="6" t="s">
        <v>7745</v>
      </c>
      <c r="D1886" s="6" t="s">
        <v>7746</v>
      </c>
    </row>
    <row r="1887" spans="1:4" x14ac:dyDescent="0.35">
      <c r="A1887" s="6" t="s">
        <v>472</v>
      </c>
      <c r="B1887" s="6" t="s">
        <v>4713</v>
      </c>
      <c r="C1887" s="6" t="s">
        <v>7747</v>
      </c>
      <c r="D1887" s="6" t="s">
        <v>7748</v>
      </c>
    </row>
    <row r="1888" spans="1:4" x14ac:dyDescent="0.35">
      <c r="A1888" s="6" t="s">
        <v>471</v>
      </c>
      <c r="B1888" s="6" t="s">
        <v>4716</v>
      </c>
      <c r="C1888" s="6" t="s">
        <v>7749</v>
      </c>
      <c r="D1888" s="6" t="s">
        <v>7750</v>
      </c>
    </row>
    <row r="1889" spans="1:4" x14ac:dyDescent="0.35">
      <c r="A1889" s="6" t="s">
        <v>470</v>
      </c>
      <c r="B1889" s="6" t="s">
        <v>4716</v>
      </c>
      <c r="C1889" s="6" t="s">
        <v>7751</v>
      </c>
      <c r="D1889" s="6" t="s">
        <v>5444</v>
      </c>
    </row>
    <row r="1890" spans="1:4" x14ac:dyDescent="0.35">
      <c r="A1890" s="6" t="s">
        <v>469</v>
      </c>
      <c r="B1890" s="6" t="s">
        <v>4716</v>
      </c>
      <c r="C1890" s="6" t="s">
        <v>5752</v>
      </c>
      <c r="D1890" s="6" t="s">
        <v>7752</v>
      </c>
    </row>
    <row r="1891" spans="1:4" x14ac:dyDescent="0.35">
      <c r="A1891" s="6" t="s">
        <v>468</v>
      </c>
      <c r="B1891" s="6" t="s">
        <v>4713</v>
      </c>
      <c r="C1891" s="6" t="s">
        <v>7753</v>
      </c>
      <c r="D1891" s="6" t="s">
        <v>6695</v>
      </c>
    </row>
    <row r="1892" spans="1:4" x14ac:dyDescent="0.35">
      <c r="A1892" s="6" t="s">
        <v>467</v>
      </c>
      <c r="B1892" s="6" t="s">
        <v>4716</v>
      </c>
      <c r="C1892" s="6" t="s">
        <v>7754</v>
      </c>
      <c r="D1892" s="6" t="s">
        <v>4754</v>
      </c>
    </row>
    <row r="1893" spans="1:4" x14ac:dyDescent="0.35">
      <c r="A1893" s="6" t="s">
        <v>466</v>
      </c>
      <c r="B1893" s="6" t="s">
        <v>4716</v>
      </c>
      <c r="C1893" s="6" t="s">
        <v>7755</v>
      </c>
      <c r="D1893" s="6" t="s">
        <v>7756</v>
      </c>
    </row>
    <row r="1894" spans="1:4" x14ac:dyDescent="0.35">
      <c r="A1894" s="6" t="s">
        <v>465</v>
      </c>
      <c r="B1894" s="6" t="s">
        <v>4713</v>
      </c>
      <c r="C1894" s="6" t="s">
        <v>7757</v>
      </c>
      <c r="D1894" s="6" t="s">
        <v>7758</v>
      </c>
    </row>
    <row r="1895" spans="1:4" x14ac:dyDescent="0.35">
      <c r="A1895" s="6" t="s">
        <v>464</v>
      </c>
      <c r="B1895" s="6" t="s">
        <v>4716</v>
      </c>
      <c r="C1895" s="6" t="s">
        <v>7759</v>
      </c>
      <c r="D1895" s="6" t="s">
        <v>4942</v>
      </c>
    </row>
    <row r="1896" spans="1:4" x14ac:dyDescent="0.35">
      <c r="A1896" s="6" t="s">
        <v>463</v>
      </c>
      <c r="B1896" s="6" t="s">
        <v>4713</v>
      </c>
      <c r="C1896" s="6" t="s">
        <v>7760</v>
      </c>
      <c r="D1896" s="6" t="s">
        <v>7761</v>
      </c>
    </row>
    <row r="1897" spans="1:4" x14ac:dyDescent="0.35">
      <c r="A1897" s="6" t="s">
        <v>462</v>
      </c>
      <c r="B1897" s="6" t="s">
        <v>4716</v>
      </c>
      <c r="C1897" s="6" t="s">
        <v>5169</v>
      </c>
      <c r="D1897" s="6" t="s">
        <v>7762</v>
      </c>
    </row>
    <row r="1898" spans="1:4" x14ac:dyDescent="0.35">
      <c r="A1898" s="6" t="s">
        <v>461</v>
      </c>
      <c r="B1898" s="6" t="s">
        <v>4716</v>
      </c>
      <c r="C1898" s="6" t="s">
        <v>7763</v>
      </c>
      <c r="D1898" s="6" t="s">
        <v>5014</v>
      </c>
    </row>
    <row r="1899" spans="1:4" x14ac:dyDescent="0.35">
      <c r="A1899" s="6" t="s">
        <v>460</v>
      </c>
      <c r="B1899" s="6" t="s">
        <v>4716</v>
      </c>
      <c r="C1899" s="6" t="s">
        <v>4850</v>
      </c>
      <c r="D1899" s="6" t="s">
        <v>7764</v>
      </c>
    </row>
    <row r="1900" spans="1:4" x14ac:dyDescent="0.35">
      <c r="A1900" s="6" t="s">
        <v>459</v>
      </c>
      <c r="B1900" s="6" t="s">
        <v>4716</v>
      </c>
      <c r="C1900" s="6" t="s">
        <v>4907</v>
      </c>
      <c r="D1900" s="6" t="s">
        <v>5471</v>
      </c>
    </row>
    <row r="1901" spans="1:4" x14ac:dyDescent="0.35">
      <c r="A1901" s="6" t="s">
        <v>458</v>
      </c>
      <c r="B1901" s="6" t="s">
        <v>4713</v>
      </c>
      <c r="C1901" s="6" t="s">
        <v>7765</v>
      </c>
      <c r="D1901" s="6" t="s">
        <v>4903</v>
      </c>
    </row>
    <row r="1902" spans="1:4" x14ac:dyDescent="0.35">
      <c r="A1902" s="6" t="s">
        <v>457</v>
      </c>
      <c r="B1902" s="6" t="s">
        <v>4713</v>
      </c>
      <c r="C1902" s="6" t="s">
        <v>7601</v>
      </c>
      <c r="D1902" s="6" t="s">
        <v>7766</v>
      </c>
    </row>
    <row r="1903" spans="1:4" x14ac:dyDescent="0.35">
      <c r="A1903" s="6" t="s">
        <v>456</v>
      </c>
      <c r="B1903" s="6" t="s">
        <v>4713</v>
      </c>
      <c r="C1903" s="6" t="s">
        <v>7767</v>
      </c>
      <c r="D1903" s="6" t="s">
        <v>6637</v>
      </c>
    </row>
    <row r="1904" spans="1:4" x14ac:dyDescent="0.35">
      <c r="A1904" s="6" t="s">
        <v>455</v>
      </c>
      <c r="B1904" s="6" t="s">
        <v>4713</v>
      </c>
      <c r="C1904" s="6" t="s">
        <v>7768</v>
      </c>
      <c r="D1904" s="6" t="s">
        <v>5148</v>
      </c>
    </row>
    <row r="1905" spans="1:4" x14ac:dyDescent="0.35">
      <c r="A1905" s="6" t="s">
        <v>454</v>
      </c>
      <c r="B1905" s="6" t="s">
        <v>4713</v>
      </c>
      <c r="C1905" s="6" t="s">
        <v>7769</v>
      </c>
      <c r="D1905" s="6" t="s">
        <v>7770</v>
      </c>
    </row>
    <row r="1906" spans="1:4" x14ac:dyDescent="0.35">
      <c r="A1906" s="6" t="s">
        <v>453</v>
      </c>
      <c r="B1906" s="6" t="s">
        <v>4713</v>
      </c>
      <c r="C1906" s="6" t="s">
        <v>7771</v>
      </c>
      <c r="D1906" s="6" t="s">
        <v>7772</v>
      </c>
    </row>
    <row r="1907" spans="1:4" x14ac:dyDescent="0.35">
      <c r="A1907" s="6" t="s">
        <v>452</v>
      </c>
      <c r="B1907" s="6" t="s">
        <v>4716</v>
      </c>
      <c r="C1907" s="6" t="s">
        <v>7773</v>
      </c>
      <c r="D1907" s="6" t="s">
        <v>7774</v>
      </c>
    </row>
    <row r="1908" spans="1:4" x14ac:dyDescent="0.35">
      <c r="A1908" s="6" t="s">
        <v>451</v>
      </c>
      <c r="B1908" s="6" t="s">
        <v>4713</v>
      </c>
      <c r="C1908" s="6" t="s">
        <v>5262</v>
      </c>
      <c r="D1908" s="6" t="s">
        <v>7775</v>
      </c>
    </row>
    <row r="1909" spans="1:4" x14ac:dyDescent="0.35">
      <c r="A1909" s="6" t="s">
        <v>450</v>
      </c>
      <c r="B1909" s="6" t="s">
        <v>4713</v>
      </c>
      <c r="C1909" s="6" t="s">
        <v>7776</v>
      </c>
      <c r="D1909" s="6" t="s">
        <v>7777</v>
      </c>
    </row>
    <row r="1910" spans="1:4" x14ac:dyDescent="0.35">
      <c r="A1910" s="6" t="s">
        <v>449</v>
      </c>
      <c r="B1910" s="6" t="s">
        <v>4716</v>
      </c>
      <c r="C1910" s="6" t="s">
        <v>7778</v>
      </c>
      <c r="D1910" s="6" t="s">
        <v>7779</v>
      </c>
    </row>
    <row r="1911" spans="1:4" x14ac:dyDescent="0.35">
      <c r="A1911" s="6" t="s">
        <v>448</v>
      </c>
      <c r="B1911" s="6" t="s">
        <v>4716</v>
      </c>
      <c r="C1911" s="6" t="s">
        <v>5533</v>
      </c>
      <c r="D1911" s="6" t="s">
        <v>7780</v>
      </c>
    </row>
    <row r="1912" spans="1:4" x14ac:dyDescent="0.35">
      <c r="A1912" s="6" t="s">
        <v>447</v>
      </c>
      <c r="B1912" s="6" t="s">
        <v>4713</v>
      </c>
      <c r="C1912" s="6" t="s">
        <v>7781</v>
      </c>
      <c r="D1912" s="6" t="s">
        <v>7782</v>
      </c>
    </row>
    <row r="1913" spans="1:4" x14ac:dyDescent="0.35">
      <c r="A1913" s="6" t="s">
        <v>446</v>
      </c>
      <c r="B1913" s="6" t="s">
        <v>4716</v>
      </c>
      <c r="C1913" s="6" t="s">
        <v>5426</v>
      </c>
      <c r="D1913" s="6" t="s">
        <v>7783</v>
      </c>
    </row>
    <row r="1914" spans="1:4" x14ac:dyDescent="0.35">
      <c r="A1914" s="6" t="s">
        <v>445</v>
      </c>
      <c r="B1914" s="6" t="s">
        <v>4716</v>
      </c>
      <c r="C1914" s="6" t="s">
        <v>7784</v>
      </c>
      <c r="D1914" s="6" t="s">
        <v>7785</v>
      </c>
    </row>
    <row r="1915" spans="1:4" x14ac:dyDescent="0.35">
      <c r="A1915" s="6" t="s">
        <v>444</v>
      </c>
      <c r="B1915" s="6" t="s">
        <v>4716</v>
      </c>
      <c r="C1915" s="6" t="s">
        <v>5762</v>
      </c>
      <c r="D1915" s="6" t="s">
        <v>7786</v>
      </c>
    </row>
    <row r="1916" spans="1:4" x14ac:dyDescent="0.35">
      <c r="A1916" s="6" t="s">
        <v>443</v>
      </c>
      <c r="B1916" s="6" t="s">
        <v>4713</v>
      </c>
      <c r="C1916" s="6" t="s">
        <v>7787</v>
      </c>
      <c r="D1916" s="6" t="s">
        <v>7788</v>
      </c>
    </row>
    <row r="1917" spans="1:4" x14ac:dyDescent="0.35">
      <c r="A1917" s="6" t="s">
        <v>442</v>
      </c>
      <c r="B1917" s="6" t="s">
        <v>4716</v>
      </c>
      <c r="C1917" s="6" t="s">
        <v>7789</v>
      </c>
      <c r="D1917" s="6" t="s">
        <v>7790</v>
      </c>
    </row>
    <row r="1918" spans="1:4" x14ac:dyDescent="0.35">
      <c r="A1918" s="6" t="s">
        <v>441</v>
      </c>
      <c r="B1918" s="6" t="s">
        <v>4716</v>
      </c>
      <c r="C1918" s="6" t="s">
        <v>7791</v>
      </c>
      <c r="D1918" s="6" t="s">
        <v>5010</v>
      </c>
    </row>
    <row r="1919" spans="1:4" x14ac:dyDescent="0.35">
      <c r="A1919" s="6" t="s">
        <v>440</v>
      </c>
      <c r="B1919" s="6" t="s">
        <v>4716</v>
      </c>
      <c r="C1919" s="6" t="s">
        <v>7792</v>
      </c>
      <c r="D1919" s="6" t="s">
        <v>6954</v>
      </c>
    </row>
    <row r="1920" spans="1:4" x14ac:dyDescent="0.35">
      <c r="A1920" s="6" t="s">
        <v>439</v>
      </c>
      <c r="B1920" s="6" t="s">
        <v>4716</v>
      </c>
      <c r="C1920" s="6" t="s">
        <v>7793</v>
      </c>
      <c r="D1920" s="6" t="s">
        <v>7794</v>
      </c>
    </row>
    <row r="1921" spans="1:4" x14ac:dyDescent="0.35">
      <c r="A1921" s="6" t="s">
        <v>438</v>
      </c>
      <c r="B1921" s="6" t="s">
        <v>4716</v>
      </c>
      <c r="C1921" s="6" t="s">
        <v>7795</v>
      </c>
      <c r="D1921" s="6" t="s">
        <v>4935</v>
      </c>
    </row>
    <row r="1922" spans="1:4" x14ac:dyDescent="0.35">
      <c r="A1922" s="6" t="s">
        <v>437</v>
      </c>
      <c r="B1922" s="6" t="s">
        <v>5590</v>
      </c>
      <c r="C1922" s="6" t="s">
        <v>7796</v>
      </c>
      <c r="D1922" s="6" t="s">
        <v>7797</v>
      </c>
    </row>
    <row r="1923" spans="1:4" x14ac:dyDescent="0.35">
      <c r="A1923" s="6" t="s">
        <v>436</v>
      </c>
      <c r="B1923" s="6" t="s">
        <v>4716</v>
      </c>
      <c r="C1923" s="6" t="s">
        <v>7798</v>
      </c>
      <c r="D1923" s="6" t="s">
        <v>5010</v>
      </c>
    </row>
    <row r="1924" spans="1:4" x14ac:dyDescent="0.35">
      <c r="A1924" s="6" t="s">
        <v>435</v>
      </c>
      <c r="B1924" s="6" t="s">
        <v>4716</v>
      </c>
      <c r="C1924" s="6" t="s">
        <v>7799</v>
      </c>
      <c r="D1924" s="6" t="s">
        <v>6000</v>
      </c>
    </row>
    <row r="1925" spans="1:4" x14ac:dyDescent="0.35">
      <c r="A1925" s="6" t="s">
        <v>434</v>
      </c>
      <c r="B1925" s="6" t="s">
        <v>4716</v>
      </c>
      <c r="C1925" s="6" t="s">
        <v>7800</v>
      </c>
      <c r="D1925" s="6" t="s">
        <v>7801</v>
      </c>
    </row>
    <row r="1926" spans="1:4" x14ac:dyDescent="0.35">
      <c r="A1926" s="6" t="s">
        <v>433</v>
      </c>
      <c r="B1926" s="6" t="s">
        <v>4716</v>
      </c>
      <c r="C1926" s="6" t="s">
        <v>7802</v>
      </c>
      <c r="D1926" s="6" t="s">
        <v>4982</v>
      </c>
    </row>
    <row r="1927" spans="1:4" x14ac:dyDescent="0.35">
      <c r="A1927" s="6" t="s">
        <v>432</v>
      </c>
      <c r="B1927" s="6" t="s">
        <v>4713</v>
      </c>
      <c r="C1927" s="6" t="s">
        <v>6202</v>
      </c>
      <c r="D1927" s="6" t="s">
        <v>7803</v>
      </c>
    </row>
    <row r="1928" spans="1:4" x14ac:dyDescent="0.35">
      <c r="A1928" s="6" t="s">
        <v>431</v>
      </c>
      <c r="B1928" s="6" t="s">
        <v>4713</v>
      </c>
      <c r="C1928" s="6" t="s">
        <v>7804</v>
      </c>
      <c r="D1928" s="6" t="s">
        <v>7805</v>
      </c>
    </row>
    <row r="1929" spans="1:4" x14ac:dyDescent="0.35">
      <c r="A1929" s="6" t="s">
        <v>430</v>
      </c>
      <c r="B1929" s="6" t="s">
        <v>4716</v>
      </c>
      <c r="C1929" s="6" t="s">
        <v>7806</v>
      </c>
      <c r="D1929" s="6" t="s">
        <v>4843</v>
      </c>
    </row>
    <row r="1930" spans="1:4" x14ac:dyDescent="0.35">
      <c r="A1930" s="6" t="s">
        <v>429</v>
      </c>
      <c r="B1930" s="6" t="s">
        <v>4713</v>
      </c>
      <c r="C1930" s="6" t="s">
        <v>6565</v>
      </c>
      <c r="D1930" s="6" t="s">
        <v>7807</v>
      </c>
    </row>
    <row r="1931" spans="1:4" x14ac:dyDescent="0.35">
      <c r="A1931" s="6" t="s">
        <v>428</v>
      </c>
      <c r="B1931" s="6" t="s">
        <v>4713</v>
      </c>
      <c r="C1931" s="6" t="s">
        <v>5599</v>
      </c>
      <c r="D1931" s="6" t="s">
        <v>6631</v>
      </c>
    </row>
    <row r="1932" spans="1:4" x14ac:dyDescent="0.35">
      <c r="A1932" s="6" t="s">
        <v>427</v>
      </c>
      <c r="B1932" s="6" t="s">
        <v>4713</v>
      </c>
      <c r="C1932" s="6" t="s">
        <v>7808</v>
      </c>
      <c r="D1932" s="6" t="s">
        <v>7809</v>
      </c>
    </row>
    <row r="1933" spans="1:4" x14ac:dyDescent="0.35">
      <c r="A1933" s="6" t="s">
        <v>426</v>
      </c>
      <c r="B1933" s="6" t="s">
        <v>4713</v>
      </c>
      <c r="C1933" s="6" t="s">
        <v>7810</v>
      </c>
      <c r="D1933" s="6" t="s">
        <v>7811</v>
      </c>
    </row>
    <row r="1934" spans="1:4" x14ac:dyDescent="0.35">
      <c r="A1934" s="6" t="s">
        <v>425</v>
      </c>
      <c r="B1934" s="6" t="s">
        <v>4716</v>
      </c>
      <c r="C1934" s="6" t="s">
        <v>7812</v>
      </c>
      <c r="D1934" s="6" t="s">
        <v>4877</v>
      </c>
    </row>
    <row r="1935" spans="1:4" x14ac:dyDescent="0.35">
      <c r="A1935" s="6" t="s">
        <v>424</v>
      </c>
      <c r="B1935" s="6" t="s">
        <v>4713</v>
      </c>
      <c r="C1935" s="6" t="s">
        <v>7813</v>
      </c>
      <c r="D1935" s="6" t="s">
        <v>4903</v>
      </c>
    </row>
    <row r="1936" spans="1:4" x14ac:dyDescent="0.35">
      <c r="A1936" s="6" t="s">
        <v>423</v>
      </c>
      <c r="B1936" s="6" t="s">
        <v>4713</v>
      </c>
      <c r="C1936" s="6" t="s">
        <v>7814</v>
      </c>
      <c r="D1936" s="6" t="s">
        <v>7815</v>
      </c>
    </row>
    <row r="1937" spans="1:4" x14ac:dyDescent="0.35">
      <c r="A1937" s="6" t="s">
        <v>422</v>
      </c>
      <c r="B1937" s="6" t="s">
        <v>4716</v>
      </c>
      <c r="C1937" s="6" t="s">
        <v>7816</v>
      </c>
      <c r="D1937" s="6" t="s">
        <v>7817</v>
      </c>
    </row>
    <row r="1938" spans="1:4" x14ac:dyDescent="0.35">
      <c r="A1938" s="6" t="s">
        <v>421</v>
      </c>
      <c r="B1938" s="6" t="s">
        <v>5590</v>
      </c>
      <c r="C1938" s="6" t="s">
        <v>7818</v>
      </c>
      <c r="D1938" s="6" t="s">
        <v>7819</v>
      </c>
    </row>
    <row r="1939" spans="1:4" x14ac:dyDescent="0.35">
      <c r="A1939" s="6" t="s">
        <v>420</v>
      </c>
      <c r="B1939" s="6" t="s">
        <v>4716</v>
      </c>
      <c r="C1939" s="6" t="s">
        <v>7490</v>
      </c>
      <c r="D1939" s="6" t="s">
        <v>4738</v>
      </c>
    </row>
    <row r="1940" spans="1:4" x14ac:dyDescent="0.35">
      <c r="A1940" s="6" t="s">
        <v>419</v>
      </c>
      <c r="B1940" s="6" t="s">
        <v>4716</v>
      </c>
      <c r="C1940" s="6" t="s">
        <v>7820</v>
      </c>
      <c r="D1940" s="6" t="s">
        <v>7821</v>
      </c>
    </row>
    <row r="1941" spans="1:4" x14ac:dyDescent="0.35">
      <c r="A1941" s="6" t="s">
        <v>418</v>
      </c>
      <c r="B1941" s="6" t="s">
        <v>4716</v>
      </c>
      <c r="C1941" s="6" t="s">
        <v>7822</v>
      </c>
      <c r="D1941" s="6" t="s">
        <v>7823</v>
      </c>
    </row>
    <row r="1942" spans="1:4" x14ac:dyDescent="0.35">
      <c r="A1942" s="6" t="s">
        <v>417</v>
      </c>
      <c r="B1942" s="6" t="s">
        <v>4716</v>
      </c>
      <c r="C1942" s="6" t="s">
        <v>6141</v>
      </c>
      <c r="D1942" s="6" t="s">
        <v>7824</v>
      </c>
    </row>
    <row r="1943" spans="1:4" x14ac:dyDescent="0.35">
      <c r="A1943" s="6" t="s">
        <v>416</v>
      </c>
      <c r="B1943" s="6" t="s">
        <v>4716</v>
      </c>
      <c r="C1943" s="6" t="s">
        <v>7825</v>
      </c>
      <c r="D1943" s="6" t="s">
        <v>7826</v>
      </c>
    </row>
    <row r="1944" spans="1:4" x14ac:dyDescent="0.35">
      <c r="A1944" s="6" t="s">
        <v>415</v>
      </c>
      <c r="B1944" s="6" t="s">
        <v>4716</v>
      </c>
      <c r="C1944" s="6" t="s">
        <v>7827</v>
      </c>
      <c r="D1944" s="6" t="s">
        <v>5010</v>
      </c>
    </row>
    <row r="1945" spans="1:4" x14ac:dyDescent="0.35">
      <c r="A1945" s="6" t="s">
        <v>414</v>
      </c>
      <c r="B1945" s="6" t="s">
        <v>4716</v>
      </c>
      <c r="C1945" s="6" t="s">
        <v>6008</v>
      </c>
      <c r="D1945" s="6" t="s">
        <v>7828</v>
      </c>
    </row>
    <row r="1946" spans="1:4" x14ac:dyDescent="0.35">
      <c r="A1946" s="6" t="s">
        <v>413</v>
      </c>
      <c r="B1946" s="6" t="s">
        <v>4713</v>
      </c>
      <c r="C1946" s="6" t="s">
        <v>7829</v>
      </c>
      <c r="D1946" s="6" t="s">
        <v>4924</v>
      </c>
    </row>
    <row r="1947" spans="1:4" x14ac:dyDescent="0.35">
      <c r="A1947" s="6" t="s">
        <v>412</v>
      </c>
      <c r="B1947" s="6" t="s">
        <v>4716</v>
      </c>
      <c r="C1947" s="6" t="s">
        <v>7830</v>
      </c>
      <c r="D1947" s="6" t="s">
        <v>7730</v>
      </c>
    </row>
    <row r="1948" spans="1:4" x14ac:dyDescent="0.35">
      <c r="A1948" s="6" t="s">
        <v>411</v>
      </c>
      <c r="B1948" s="6" t="s">
        <v>4716</v>
      </c>
      <c r="C1948" s="6" t="s">
        <v>7831</v>
      </c>
      <c r="D1948" s="6" t="s">
        <v>7832</v>
      </c>
    </row>
    <row r="1949" spans="1:4" x14ac:dyDescent="0.35">
      <c r="A1949" s="6" t="s">
        <v>410</v>
      </c>
      <c r="B1949" s="6" t="s">
        <v>4716</v>
      </c>
      <c r="C1949" s="6" t="s">
        <v>7833</v>
      </c>
      <c r="D1949" s="6" t="s">
        <v>7834</v>
      </c>
    </row>
    <row r="1950" spans="1:4" x14ac:dyDescent="0.35">
      <c r="A1950" s="6" t="s">
        <v>409</v>
      </c>
      <c r="B1950" s="6" t="s">
        <v>4713</v>
      </c>
      <c r="C1950" s="6" t="s">
        <v>7835</v>
      </c>
      <c r="D1950" s="6" t="s">
        <v>7836</v>
      </c>
    </row>
    <row r="1951" spans="1:4" x14ac:dyDescent="0.35">
      <c r="A1951" s="6" t="s">
        <v>408</v>
      </c>
      <c r="B1951" s="6" t="s">
        <v>4716</v>
      </c>
      <c r="C1951" s="6" t="s">
        <v>5774</v>
      </c>
      <c r="D1951" s="6" t="s">
        <v>4982</v>
      </c>
    </row>
    <row r="1952" spans="1:4" x14ac:dyDescent="0.35">
      <c r="A1952" s="6" t="s">
        <v>407</v>
      </c>
      <c r="B1952" s="6" t="s">
        <v>4713</v>
      </c>
      <c r="C1952" s="6" t="s">
        <v>7837</v>
      </c>
      <c r="D1952" s="6" t="s">
        <v>7838</v>
      </c>
    </row>
    <row r="1953" spans="1:4" x14ac:dyDescent="0.35">
      <c r="A1953" s="6" t="s">
        <v>406</v>
      </c>
      <c r="B1953" s="6" t="s">
        <v>4716</v>
      </c>
      <c r="C1953" s="6" t="s">
        <v>7839</v>
      </c>
      <c r="D1953" s="6" t="s">
        <v>7840</v>
      </c>
    </row>
    <row r="1954" spans="1:4" x14ac:dyDescent="0.35">
      <c r="A1954" s="6" t="s">
        <v>405</v>
      </c>
      <c r="B1954" s="6" t="s">
        <v>4716</v>
      </c>
      <c r="C1954" s="6" t="s">
        <v>7841</v>
      </c>
      <c r="D1954" s="6" t="s">
        <v>7842</v>
      </c>
    </row>
    <row r="1955" spans="1:4" x14ac:dyDescent="0.35">
      <c r="A1955" s="6" t="s">
        <v>404</v>
      </c>
      <c r="B1955" s="6" t="s">
        <v>4713</v>
      </c>
      <c r="C1955" s="6" t="s">
        <v>7843</v>
      </c>
      <c r="D1955" s="6" t="s">
        <v>7844</v>
      </c>
    </row>
    <row r="1956" spans="1:4" x14ac:dyDescent="0.35">
      <c r="A1956" s="6" t="s">
        <v>403</v>
      </c>
      <c r="B1956" s="6" t="s">
        <v>4713</v>
      </c>
      <c r="C1956" s="6" t="s">
        <v>7845</v>
      </c>
      <c r="D1956" s="6" t="s">
        <v>7846</v>
      </c>
    </row>
    <row r="1957" spans="1:4" x14ac:dyDescent="0.35">
      <c r="A1957" s="6" t="s">
        <v>402</v>
      </c>
      <c r="B1957" s="6" t="s">
        <v>4713</v>
      </c>
      <c r="C1957" s="6" t="s">
        <v>7847</v>
      </c>
      <c r="D1957" s="6" t="s">
        <v>7848</v>
      </c>
    </row>
    <row r="1958" spans="1:4" x14ac:dyDescent="0.35">
      <c r="A1958" s="6" t="s">
        <v>401</v>
      </c>
      <c r="B1958" s="6" t="s">
        <v>4716</v>
      </c>
      <c r="C1958" s="6" t="s">
        <v>7849</v>
      </c>
      <c r="D1958" s="6" t="s">
        <v>7850</v>
      </c>
    </row>
    <row r="1959" spans="1:4" x14ac:dyDescent="0.35">
      <c r="A1959" s="6" t="s">
        <v>400</v>
      </c>
      <c r="B1959" s="6" t="s">
        <v>4713</v>
      </c>
      <c r="C1959" s="6" t="s">
        <v>5345</v>
      </c>
      <c r="D1959" s="6" t="s">
        <v>5536</v>
      </c>
    </row>
    <row r="1960" spans="1:4" x14ac:dyDescent="0.35">
      <c r="A1960" s="6" t="s">
        <v>399</v>
      </c>
      <c r="B1960" s="6" t="s">
        <v>4713</v>
      </c>
      <c r="C1960" s="6" t="s">
        <v>7851</v>
      </c>
      <c r="D1960" s="6" t="s">
        <v>4781</v>
      </c>
    </row>
    <row r="1961" spans="1:4" x14ac:dyDescent="0.35">
      <c r="A1961" s="6" t="s">
        <v>398</v>
      </c>
      <c r="B1961" s="6" t="s">
        <v>4713</v>
      </c>
      <c r="C1961" s="6" t="s">
        <v>5599</v>
      </c>
      <c r="D1961" s="6" t="s">
        <v>5148</v>
      </c>
    </row>
    <row r="1962" spans="1:4" x14ac:dyDescent="0.35">
      <c r="A1962" s="6" t="s">
        <v>397</v>
      </c>
      <c r="B1962" s="6" t="s">
        <v>4713</v>
      </c>
      <c r="C1962" s="6" t="s">
        <v>7852</v>
      </c>
      <c r="D1962" s="6" t="s">
        <v>7853</v>
      </c>
    </row>
    <row r="1963" spans="1:4" x14ac:dyDescent="0.35">
      <c r="A1963" s="6" t="s">
        <v>396</v>
      </c>
      <c r="B1963" s="6" t="s">
        <v>4716</v>
      </c>
      <c r="C1963" s="6" t="s">
        <v>7601</v>
      </c>
      <c r="D1963" s="6" t="s">
        <v>4718</v>
      </c>
    </row>
    <row r="1964" spans="1:4" x14ac:dyDescent="0.35">
      <c r="A1964" s="6" t="s">
        <v>395</v>
      </c>
      <c r="B1964" s="6" t="s">
        <v>4716</v>
      </c>
      <c r="C1964" s="6" t="s">
        <v>7854</v>
      </c>
      <c r="D1964" s="6" t="s">
        <v>7855</v>
      </c>
    </row>
    <row r="1965" spans="1:4" x14ac:dyDescent="0.35">
      <c r="A1965" s="6" t="s">
        <v>394</v>
      </c>
      <c r="B1965" s="6" t="s">
        <v>4716</v>
      </c>
      <c r="C1965" s="6" t="s">
        <v>5288</v>
      </c>
      <c r="D1965" s="6" t="s">
        <v>7856</v>
      </c>
    </row>
    <row r="1966" spans="1:4" x14ac:dyDescent="0.35">
      <c r="A1966" s="6" t="s">
        <v>393</v>
      </c>
      <c r="B1966" s="6" t="s">
        <v>4713</v>
      </c>
      <c r="C1966" s="6" t="s">
        <v>7857</v>
      </c>
      <c r="D1966" s="6" t="s">
        <v>7858</v>
      </c>
    </row>
    <row r="1967" spans="1:4" x14ac:dyDescent="0.35">
      <c r="A1967" s="6" t="s">
        <v>392</v>
      </c>
      <c r="B1967" s="6" t="s">
        <v>4716</v>
      </c>
      <c r="C1967" s="6" t="s">
        <v>4817</v>
      </c>
      <c r="D1967" s="6" t="s">
        <v>7859</v>
      </c>
    </row>
    <row r="1968" spans="1:4" x14ac:dyDescent="0.35">
      <c r="A1968" s="6" t="s">
        <v>391</v>
      </c>
      <c r="B1968" s="6" t="s">
        <v>4716</v>
      </c>
      <c r="C1968" s="6" t="s">
        <v>7860</v>
      </c>
      <c r="D1968" s="6" t="s">
        <v>7861</v>
      </c>
    </row>
    <row r="1969" spans="1:4" x14ac:dyDescent="0.35">
      <c r="A1969" s="6" t="s">
        <v>390</v>
      </c>
      <c r="B1969" s="6" t="s">
        <v>4716</v>
      </c>
      <c r="C1969" s="6" t="s">
        <v>6999</v>
      </c>
      <c r="D1969" s="6" t="s">
        <v>7862</v>
      </c>
    </row>
    <row r="1970" spans="1:4" x14ac:dyDescent="0.35">
      <c r="A1970" s="6" t="s">
        <v>389</v>
      </c>
      <c r="B1970" s="6" t="s">
        <v>4716</v>
      </c>
      <c r="C1970" s="6" t="s">
        <v>6608</v>
      </c>
      <c r="D1970" s="6" t="s">
        <v>7863</v>
      </c>
    </row>
    <row r="1971" spans="1:4" x14ac:dyDescent="0.35">
      <c r="A1971" s="6" t="s">
        <v>388</v>
      </c>
      <c r="B1971" s="6" t="s">
        <v>5590</v>
      </c>
      <c r="C1971" s="6" t="s">
        <v>7864</v>
      </c>
      <c r="D1971" s="6" t="s">
        <v>7865</v>
      </c>
    </row>
    <row r="1972" spans="1:4" x14ac:dyDescent="0.35">
      <c r="A1972" s="6" t="s">
        <v>387</v>
      </c>
      <c r="B1972" s="6" t="s">
        <v>4713</v>
      </c>
      <c r="C1972" s="6" t="s">
        <v>7866</v>
      </c>
      <c r="D1972" s="6" t="s">
        <v>7867</v>
      </c>
    </row>
    <row r="1973" spans="1:4" x14ac:dyDescent="0.35">
      <c r="A1973" s="6" t="s">
        <v>386</v>
      </c>
      <c r="B1973" s="6" t="s">
        <v>4716</v>
      </c>
      <c r="C1973" s="6" t="s">
        <v>7868</v>
      </c>
      <c r="D1973" s="6" t="s">
        <v>4867</v>
      </c>
    </row>
    <row r="1974" spans="1:4" x14ac:dyDescent="0.35">
      <c r="A1974" s="6" t="s">
        <v>385</v>
      </c>
      <c r="B1974" s="6" t="s">
        <v>4716</v>
      </c>
      <c r="C1974" s="6" t="s">
        <v>7869</v>
      </c>
      <c r="D1974" s="6" t="s">
        <v>7870</v>
      </c>
    </row>
    <row r="1975" spans="1:4" x14ac:dyDescent="0.35">
      <c r="A1975" s="6" t="s">
        <v>384</v>
      </c>
      <c r="B1975" s="6" t="s">
        <v>4713</v>
      </c>
      <c r="C1975" s="6" t="s">
        <v>7871</v>
      </c>
      <c r="D1975" s="6" t="s">
        <v>7872</v>
      </c>
    </row>
    <row r="1976" spans="1:4" x14ac:dyDescent="0.35">
      <c r="A1976" s="6" t="s">
        <v>383</v>
      </c>
      <c r="B1976" s="6" t="s">
        <v>4713</v>
      </c>
      <c r="C1976" s="6" t="s">
        <v>7873</v>
      </c>
      <c r="D1976" s="6" t="s">
        <v>7874</v>
      </c>
    </row>
    <row r="1977" spans="1:4" x14ac:dyDescent="0.35">
      <c r="A1977" s="6" t="s">
        <v>382</v>
      </c>
      <c r="B1977" s="6" t="s">
        <v>4713</v>
      </c>
      <c r="C1977" s="6" t="s">
        <v>7875</v>
      </c>
      <c r="D1977" s="6" t="s">
        <v>7876</v>
      </c>
    </row>
    <row r="1978" spans="1:4" x14ac:dyDescent="0.35">
      <c r="A1978" s="6" t="s">
        <v>381</v>
      </c>
      <c r="B1978" s="6" t="s">
        <v>4713</v>
      </c>
      <c r="C1978" s="6" t="s">
        <v>7877</v>
      </c>
      <c r="D1978" s="6" t="s">
        <v>4826</v>
      </c>
    </row>
    <row r="1979" spans="1:4" x14ac:dyDescent="0.35">
      <c r="A1979" s="6" t="s">
        <v>380</v>
      </c>
      <c r="B1979" s="6" t="s">
        <v>4713</v>
      </c>
      <c r="C1979" s="6" t="s">
        <v>5126</v>
      </c>
      <c r="D1979" s="6" t="s">
        <v>7878</v>
      </c>
    </row>
    <row r="1980" spans="1:4" x14ac:dyDescent="0.35">
      <c r="A1980" s="6" t="s">
        <v>379</v>
      </c>
      <c r="B1980" s="6" t="s">
        <v>4713</v>
      </c>
      <c r="C1980" s="6" t="s">
        <v>7879</v>
      </c>
      <c r="D1980" s="6" t="s">
        <v>7880</v>
      </c>
    </row>
    <row r="1981" spans="1:4" x14ac:dyDescent="0.35">
      <c r="A1981" s="6" t="s">
        <v>378</v>
      </c>
      <c r="B1981" s="6" t="s">
        <v>4713</v>
      </c>
      <c r="C1981" s="6" t="s">
        <v>7881</v>
      </c>
      <c r="D1981" s="6" t="s">
        <v>7882</v>
      </c>
    </row>
    <row r="1982" spans="1:4" x14ac:dyDescent="0.35">
      <c r="A1982" s="6" t="s">
        <v>377</v>
      </c>
      <c r="B1982" s="6" t="s">
        <v>4713</v>
      </c>
      <c r="C1982" s="6" t="s">
        <v>7883</v>
      </c>
      <c r="D1982" s="6" t="s">
        <v>7884</v>
      </c>
    </row>
    <row r="1983" spans="1:4" x14ac:dyDescent="0.35">
      <c r="A1983" s="6" t="s">
        <v>376</v>
      </c>
      <c r="B1983" s="6" t="s">
        <v>4713</v>
      </c>
      <c r="C1983" s="6" t="s">
        <v>7885</v>
      </c>
      <c r="D1983" s="6" t="s">
        <v>7886</v>
      </c>
    </row>
    <row r="1984" spans="1:4" x14ac:dyDescent="0.35">
      <c r="A1984" s="6" t="s">
        <v>375</v>
      </c>
      <c r="B1984" s="6" t="s">
        <v>4713</v>
      </c>
      <c r="C1984" s="6" t="s">
        <v>7887</v>
      </c>
      <c r="D1984" s="6" t="s">
        <v>7888</v>
      </c>
    </row>
    <row r="1985" spans="1:4" x14ac:dyDescent="0.35">
      <c r="A1985" s="6" t="s">
        <v>374</v>
      </c>
      <c r="B1985" s="6" t="s">
        <v>4716</v>
      </c>
      <c r="C1985" s="6" t="s">
        <v>7889</v>
      </c>
      <c r="D1985" s="6" t="s">
        <v>7890</v>
      </c>
    </row>
    <row r="1986" spans="1:4" x14ac:dyDescent="0.35">
      <c r="A1986" s="6" t="s">
        <v>373</v>
      </c>
      <c r="B1986" s="6" t="s">
        <v>4716</v>
      </c>
      <c r="C1986" s="6" t="s">
        <v>7891</v>
      </c>
      <c r="D1986" s="6" t="s">
        <v>6462</v>
      </c>
    </row>
    <row r="1987" spans="1:4" x14ac:dyDescent="0.35">
      <c r="A1987" s="6" t="s">
        <v>372</v>
      </c>
      <c r="B1987" s="6" t="s">
        <v>4716</v>
      </c>
      <c r="C1987" s="6" t="s">
        <v>7892</v>
      </c>
      <c r="D1987" s="6" t="s">
        <v>4754</v>
      </c>
    </row>
    <row r="1988" spans="1:4" x14ac:dyDescent="0.35">
      <c r="A1988" s="6" t="s">
        <v>371</v>
      </c>
      <c r="B1988" s="6" t="s">
        <v>5590</v>
      </c>
      <c r="C1988" s="6" t="s">
        <v>7893</v>
      </c>
      <c r="D1988" s="6" t="s">
        <v>5346</v>
      </c>
    </row>
    <row r="1989" spans="1:4" x14ac:dyDescent="0.35">
      <c r="A1989" s="6" t="s">
        <v>370</v>
      </c>
      <c r="B1989" s="6" t="s">
        <v>4716</v>
      </c>
      <c r="C1989" s="6" t="s">
        <v>7894</v>
      </c>
      <c r="D1989" s="6" t="s">
        <v>7895</v>
      </c>
    </row>
    <row r="1990" spans="1:4" x14ac:dyDescent="0.35">
      <c r="A1990" s="6" t="s">
        <v>369</v>
      </c>
      <c r="B1990" s="6" t="s">
        <v>4713</v>
      </c>
      <c r="C1990" s="6" t="s">
        <v>7896</v>
      </c>
      <c r="D1990" s="6" t="s">
        <v>4875</v>
      </c>
    </row>
    <row r="1991" spans="1:4" x14ac:dyDescent="0.35">
      <c r="A1991" s="6" t="s">
        <v>368</v>
      </c>
      <c r="B1991" s="6" t="s">
        <v>4716</v>
      </c>
      <c r="C1991" s="6" t="s">
        <v>7897</v>
      </c>
      <c r="D1991" s="6" t="s">
        <v>7898</v>
      </c>
    </row>
    <row r="1992" spans="1:4" x14ac:dyDescent="0.35">
      <c r="A1992" s="6" t="s">
        <v>367</v>
      </c>
      <c r="B1992" s="6" t="s">
        <v>4716</v>
      </c>
      <c r="C1992" s="6" t="s">
        <v>7899</v>
      </c>
      <c r="D1992" s="6" t="s">
        <v>7900</v>
      </c>
    </row>
    <row r="1993" spans="1:4" x14ac:dyDescent="0.35">
      <c r="A1993" s="6" t="s">
        <v>366</v>
      </c>
      <c r="B1993" s="6" t="s">
        <v>4716</v>
      </c>
      <c r="C1993" s="6" t="s">
        <v>7901</v>
      </c>
      <c r="D1993" s="6" t="s">
        <v>7902</v>
      </c>
    </row>
    <row r="1994" spans="1:4" x14ac:dyDescent="0.35">
      <c r="A1994" s="6" t="s">
        <v>365</v>
      </c>
      <c r="B1994" s="6" t="s">
        <v>4716</v>
      </c>
      <c r="C1994" s="6" t="s">
        <v>7903</v>
      </c>
      <c r="D1994" s="6" t="s">
        <v>7904</v>
      </c>
    </row>
    <row r="1995" spans="1:4" x14ac:dyDescent="0.35">
      <c r="A1995" s="6" t="s">
        <v>364</v>
      </c>
      <c r="B1995" s="6" t="s">
        <v>4713</v>
      </c>
      <c r="C1995" s="6" t="s">
        <v>7905</v>
      </c>
      <c r="D1995" s="6" t="s">
        <v>7241</v>
      </c>
    </row>
    <row r="1996" spans="1:4" x14ac:dyDescent="0.35">
      <c r="A1996" s="6" t="s">
        <v>363</v>
      </c>
      <c r="B1996" s="6" t="s">
        <v>4713</v>
      </c>
      <c r="C1996" s="6" t="s">
        <v>7906</v>
      </c>
      <c r="D1996" s="6" t="s">
        <v>7907</v>
      </c>
    </row>
    <row r="1997" spans="1:4" x14ac:dyDescent="0.35">
      <c r="A1997" s="6" t="s">
        <v>362</v>
      </c>
      <c r="B1997" s="6" t="s">
        <v>4713</v>
      </c>
      <c r="C1997" s="6" t="s">
        <v>5419</v>
      </c>
      <c r="D1997" s="6" t="s">
        <v>7908</v>
      </c>
    </row>
    <row r="1998" spans="1:4" x14ac:dyDescent="0.35">
      <c r="A1998" s="6" t="s">
        <v>361</v>
      </c>
      <c r="B1998" s="6" t="s">
        <v>4713</v>
      </c>
      <c r="C1998" s="6" t="s">
        <v>4898</v>
      </c>
      <c r="D1998" s="6" t="s">
        <v>5191</v>
      </c>
    </row>
    <row r="1999" spans="1:4" x14ac:dyDescent="0.35">
      <c r="A1999" s="6" t="s">
        <v>360</v>
      </c>
      <c r="B1999" s="6" t="s">
        <v>4713</v>
      </c>
      <c r="C1999" s="6" t="s">
        <v>7909</v>
      </c>
      <c r="D1999" s="6" t="s">
        <v>7910</v>
      </c>
    </row>
    <row r="2000" spans="1:4" x14ac:dyDescent="0.35">
      <c r="A2000" s="6" t="s">
        <v>359</v>
      </c>
      <c r="B2000" s="6" t="s">
        <v>4713</v>
      </c>
      <c r="C2000" s="6" t="s">
        <v>5262</v>
      </c>
      <c r="D2000" s="6" t="s">
        <v>5551</v>
      </c>
    </row>
    <row r="2001" spans="1:4" x14ac:dyDescent="0.35">
      <c r="A2001" s="6" t="s">
        <v>358</v>
      </c>
      <c r="B2001" s="6" t="s">
        <v>4713</v>
      </c>
      <c r="C2001" s="6" t="s">
        <v>7911</v>
      </c>
      <c r="D2001" s="6" t="s">
        <v>7912</v>
      </c>
    </row>
    <row r="2002" spans="1:4" x14ac:dyDescent="0.35">
      <c r="A2002" s="6" t="s">
        <v>357</v>
      </c>
      <c r="B2002" s="6" t="s">
        <v>4716</v>
      </c>
      <c r="C2002" s="6" t="s">
        <v>7913</v>
      </c>
      <c r="D2002" s="6" t="s">
        <v>7914</v>
      </c>
    </row>
    <row r="2003" spans="1:4" x14ac:dyDescent="0.35">
      <c r="A2003" s="6" t="s">
        <v>356</v>
      </c>
      <c r="B2003" s="6" t="s">
        <v>4713</v>
      </c>
      <c r="C2003" s="6" t="s">
        <v>7915</v>
      </c>
      <c r="D2003" s="6" t="s">
        <v>7916</v>
      </c>
    </row>
    <row r="2004" spans="1:4" x14ac:dyDescent="0.35">
      <c r="A2004" s="6" t="s">
        <v>355</v>
      </c>
      <c r="B2004" s="6" t="s">
        <v>4713</v>
      </c>
      <c r="C2004" s="6" t="s">
        <v>7917</v>
      </c>
      <c r="D2004" s="6" t="s">
        <v>5600</v>
      </c>
    </row>
    <row r="2005" spans="1:4" x14ac:dyDescent="0.35">
      <c r="A2005" s="6" t="s">
        <v>354</v>
      </c>
      <c r="B2005" s="6" t="s">
        <v>4713</v>
      </c>
      <c r="C2005" s="6" t="s">
        <v>7918</v>
      </c>
      <c r="D2005" s="6" t="s">
        <v>7919</v>
      </c>
    </row>
    <row r="2006" spans="1:4" x14ac:dyDescent="0.35">
      <c r="A2006" s="6" t="s">
        <v>353</v>
      </c>
      <c r="B2006" s="6" t="s">
        <v>4713</v>
      </c>
      <c r="C2006" s="6" t="s">
        <v>6882</v>
      </c>
      <c r="D2006" s="6" t="s">
        <v>7920</v>
      </c>
    </row>
    <row r="2007" spans="1:4" x14ac:dyDescent="0.35">
      <c r="A2007" s="6" t="s">
        <v>352</v>
      </c>
      <c r="B2007" s="6" t="s">
        <v>4713</v>
      </c>
      <c r="C2007" s="6" t="s">
        <v>7921</v>
      </c>
      <c r="D2007" s="6" t="s">
        <v>4841</v>
      </c>
    </row>
    <row r="2008" spans="1:4" x14ac:dyDescent="0.35">
      <c r="A2008" s="6" t="s">
        <v>351</v>
      </c>
      <c r="B2008" s="6" t="s">
        <v>5590</v>
      </c>
      <c r="C2008" s="6" t="s">
        <v>5464</v>
      </c>
      <c r="D2008" s="6" t="s">
        <v>7922</v>
      </c>
    </row>
    <row r="2009" spans="1:4" x14ac:dyDescent="0.35">
      <c r="A2009" s="6" t="s">
        <v>350</v>
      </c>
      <c r="B2009" s="6" t="s">
        <v>4713</v>
      </c>
      <c r="C2009" s="6" t="s">
        <v>7923</v>
      </c>
      <c r="D2009" s="6" t="s">
        <v>7924</v>
      </c>
    </row>
    <row r="2010" spans="1:4" x14ac:dyDescent="0.35">
      <c r="A2010" s="6" t="s">
        <v>349</v>
      </c>
      <c r="B2010" s="6" t="s">
        <v>4716</v>
      </c>
      <c r="C2010" s="6" t="s">
        <v>7925</v>
      </c>
      <c r="D2010" s="6" t="s">
        <v>7926</v>
      </c>
    </row>
    <row r="2011" spans="1:4" x14ac:dyDescent="0.35">
      <c r="A2011" s="6" t="s">
        <v>348</v>
      </c>
      <c r="B2011" s="6" t="s">
        <v>4716</v>
      </c>
      <c r="C2011" s="6" t="s">
        <v>7927</v>
      </c>
      <c r="D2011" s="6" t="s">
        <v>7928</v>
      </c>
    </row>
    <row r="2012" spans="1:4" x14ac:dyDescent="0.35">
      <c r="A2012" s="6" t="s">
        <v>347</v>
      </c>
      <c r="B2012" s="6" t="s">
        <v>4716</v>
      </c>
      <c r="C2012" s="6" t="s">
        <v>7929</v>
      </c>
      <c r="D2012" s="6" t="s">
        <v>5247</v>
      </c>
    </row>
    <row r="2013" spans="1:4" x14ac:dyDescent="0.35">
      <c r="A2013" s="6" t="s">
        <v>345</v>
      </c>
      <c r="B2013" s="6" t="s">
        <v>4716</v>
      </c>
      <c r="C2013" s="6" t="s">
        <v>7930</v>
      </c>
      <c r="D2013" s="6" t="s">
        <v>5105</v>
      </c>
    </row>
    <row r="2014" spans="1:4" x14ac:dyDescent="0.35">
      <c r="A2014" s="6" t="s">
        <v>344</v>
      </c>
      <c r="B2014" s="6" t="s">
        <v>4713</v>
      </c>
      <c r="C2014" s="6" t="s">
        <v>6466</v>
      </c>
      <c r="D2014" s="6" t="s">
        <v>7931</v>
      </c>
    </row>
    <row r="2015" spans="1:4" x14ac:dyDescent="0.35">
      <c r="A2015" s="6" t="s">
        <v>343</v>
      </c>
      <c r="B2015" s="6" t="s">
        <v>4716</v>
      </c>
      <c r="C2015" s="6" t="s">
        <v>7932</v>
      </c>
      <c r="D2015" s="6" t="s">
        <v>7933</v>
      </c>
    </row>
    <row r="2016" spans="1:4" x14ac:dyDescent="0.35">
      <c r="A2016" s="6" t="s">
        <v>342</v>
      </c>
      <c r="B2016" s="6" t="s">
        <v>4713</v>
      </c>
      <c r="C2016" s="6" t="s">
        <v>7934</v>
      </c>
      <c r="D2016" s="6" t="s">
        <v>7935</v>
      </c>
    </row>
    <row r="2017" spans="1:4" x14ac:dyDescent="0.35">
      <c r="A2017" s="6" t="s">
        <v>341</v>
      </c>
      <c r="B2017" s="6" t="s">
        <v>4716</v>
      </c>
      <c r="C2017" s="6" t="s">
        <v>7936</v>
      </c>
      <c r="D2017" s="6" t="s">
        <v>7834</v>
      </c>
    </row>
    <row r="2018" spans="1:4" x14ac:dyDescent="0.35">
      <c r="A2018" s="6" t="s">
        <v>340</v>
      </c>
      <c r="B2018" s="6" t="s">
        <v>4713</v>
      </c>
      <c r="C2018" s="6" t="s">
        <v>7937</v>
      </c>
      <c r="D2018" s="6" t="s">
        <v>7938</v>
      </c>
    </row>
    <row r="2019" spans="1:4" x14ac:dyDescent="0.35">
      <c r="A2019" s="6" t="s">
        <v>339</v>
      </c>
      <c r="B2019" s="6" t="s">
        <v>4713</v>
      </c>
      <c r="C2019" s="6" t="s">
        <v>7939</v>
      </c>
      <c r="D2019" s="6" t="s">
        <v>4841</v>
      </c>
    </row>
    <row r="2020" spans="1:4" x14ac:dyDescent="0.35">
      <c r="A2020" s="6" t="s">
        <v>338</v>
      </c>
      <c r="B2020" s="6" t="s">
        <v>4713</v>
      </c>
      <c r="C2020" s="6" t="s">
        <v>4835</v>
      </c>
      <c r="D2020" s="6" t="s">
        <v>7940</v>
      </c>
    </row>
    <row r="2021" spans="1:4" x14ac:dyDescent="0.35">
      <c r="A2021" s="6" t="s">
        <v>337</v>
      </c>
      <c r="B2021" s="6" t="s">
        <v>4716</v>
      </c>
      <c r="C2021" s="6" t="s">
        <v>7941</v>
      </c>
      <c r="D2021" s="6" t="s">
        <v>7942</v>
      </c>
    </row>
    <row r="2022" spans="1:4" x14ac:dyDescent="0.35">
      <c r="A2022" s="6" t="s">
        <v>336</v>
      </c>
      <c r="B2022" s="6" t="s">
        <v>4716</v>
      </c>
      <c r="C2022" s="6" t="s">
        <v>5141</v>
      </c>
      <c r="D2022" s="6" t="s">
        <v>7615</v>
      </c>
    </row>
    <row r="2023" spans="1:4" x14ac:dyDescent="0.35">
      <c r="A2023" s="6" t="s">
        <v>335</v>
      </c>
      <c r="B2023" s="6" t="s">
        <v>4713</v>
      </c>
      <c r="C2023" s="6" t="s">
        <v>7943</v>
      </c>
      <c r="D2023" s="6" t="s">
        <v>7944</v>
      </c>
    </row>
    <row r="2024" spans="1:4" x14ac:dyDescent="0.35">
      <c r="A2024" s="6" t="s">
        <v>334</v>
      </c>
      <c r="B2024" s="6" t="s">
        <v>4716</v>
      </c>
      <c r="C2024" s="6" t="s">
        <v>7945</v>
      </c>
      <c r="D2024" s="6" t="s">
        <v>7946</v>
      </c>
    </row>
    <row r="2025" spans="1:4" x14ac:dyDescent="0.35">
      <c r="A2025" s="6" t="s">
        <v>333</v>
      </c>
      <c r="B2025" s="6" t="s">
        <v>4713</v>
      </c>
      <c r="C2025" s="6" t="s">
        <v>7947</v>
      </c>
      <c r="D2025" s="6" t="s">
        <v>7948</v>
      </c>
    </row>
    <row r="2026" spans="1:4" x14ac:dyDescent="0.35">
      <c r="A2026" s="6" t="s">
        <v>332</v>
      </c>
      <c r="B2026" s="6" t="s">
        <v>4713</v>
      </c>
      <c r="C2026" s="6" t="s">
        <v>7949</v>
      </c>
      <c r="D2026" s="6" t="s">
        <v>7950</v>
      </c>
    </row>
    <row r="2027" spans="1:4" x14ac:dyDescent="0.35">
      <c r="A2027" s="6" t="s">
        <v>331</v>
      </c>
      <c r="B2027" s="6" t="s">
        <v>4716</v>
      </c>
      <c r="C2027" s="6" t="s">
        <v>7951</v>
      </c>
      <c r="D2027" s="6" t="s">
        <v>7952</v>
      </c>
    </row>
    <row r="2028" spans="1:4" x14ac:dyDescent="0.35">
      <c r="A2028" s="6" t="s">
        <v>330</v>
      </c>
      <c r="B2028" s="6" t="s">
        <v>4713</v>
      </c>
      <c r="C2028" s="6" t="s">
        <v>7307</v>
      </c>
      <c r="D2028" s="6" t="s">
        <v>7953</v>
      </c>
    </row>
    <row r="2029" spans="1:4" x14ac:dyDescent="0.35">
      <c r="A2029" s="6" t="s">
        <v>329</v>
      </c>
      <c r="B2029" s="6" t="s">
        <v>4716</v>
      </c>
      <c r="C2029" s="6" t="s">
        <v>7954</v>
      </c>
      <c r="D2029" s="6" t="s">
        <v>7955</v>
      </c>
    </row>
    <row r="2030" spans="1:4" x14ac:dyDescent="0.35">
      <c r="A2030" s="6" t="s">
        <v>328</v>
      </c>
      <c r="B2030" s="6" t="s">
        <v>4716</v>
      </c>
      <c r="C2030" s="6" t="s">
        <v>7956</v>
      </c>
      <c r="D2030" s="6" t="s">
        <v>4843</v>
      </c>
    </row>
    <row r="2031" spans="1:4" x14ac:dyDescent="0.35">
      <c r="A2031" s="6" t="s">
        <v>327</v>
      </c>
      <c r="B2031" s="6" t="s">
        <v>4713</v>
      </c>
      <c r="C2031" s="6" t="s">
        <v>7957</v>
      </c>
      <c r="D2031" s="6" t="s">
        <v>7958</v>
      </c>
    </row>
    <row r="2032" spans="1:4" x14ac:dyDescent="0.35">
      <c r="A2032" s="6" t="s">
        <v>326</v>
      </c>
      <c r="B2032" s="6" t="s">
        <v>4713</v>
      </c>
      <c r="C2032" s="6" t="s">
        <v>7959</v>
      </c>
      <c r="D2032" s="6" t="s">
        <v>7960</v>
      </c>
    </row>
    <row r="2033" spans="1:4" x14ac:dyDescent="0.35">
      <c r="A2033" s="6" t="s">
        <v>325</v>
      </c>
      <c r="B2033" s="6" t="s">
        <v>4716</v>
      </c>
      <c r="C2033" s="6" t="s">
        <v>5987</v>
      </c>
      <c r="D2033" s="6" t="s">
        <v>7961</v>
      </c>
    </row>
    <row r="2034" spans="1:4" x14ac:dyDescent="0.35">
      <c r="A2034" s="6" t="s">
        <v>324</v>
      </c>
      <c r="B2034" s="6" t="s">
        <v>4716</v>
      </c>
      <c r="C2034" s="6" t="s">
        <v>7962</v>
      </c>
      <c r="D2034" s="6" t="s">
        <v>7963</v>
      </c>
    </row>
    <row r="2035" spans="1:4" x14ac:dyDescent="0.35">
      <c r="A2035" s="6" t="s">
        <v>323</v>
      </c>
      <c r="B2035" s="6" t="s">
        <v>4716</v>
      </c>
      <c r="C2035" s="6" t="s">
        <v>7964</v>
      </c>
      <c r="D2035" s="6" t="s">
        <v>6412</v>
      </c>
    </row>
    <row r="2036" spans="1:4" x14ac:dyDescent="0.35">
      <c r="A2036" s="6" t="s">
        <v>322</v>
      </c>
      <c r="B2036" s="6" t="s">
        <v>4713</v>
      </c>
      <c r="C2036" s="6" t="s">
        <v>7965</v>
      </c>
      <c r="D2036" s="6" t="s">
        <v>7966</v>
      </c>
    </row>
    <row r="2037" spans="1:4" x14ac:dyDescent="0.35">
      <c r="A2037" s="6" t="s">
        <v>321</v>
      </c>
      <c r="B2037" s="6" t="s">
        <v>4713</v>
      </c>
      <c r="C2037" s="6" t="s">
        <v>7967</v>
      </c>
      <c r="D2037" s="6" t="s">
        <v>7968</v>
      </c>
    </row>
    <row r="2038" spans="1:4" x14ac:dyDescent="0.35">
      <c r="A2038" s="6" t="s">
        <v>320</v>
      </c>
      <c r="B2038" s="6" t="s">
        <v>4713</v>
      </c>
      <c r="C2038" s="6" t="s">
        <v>7969</v>
      </c>
      <c r="D2038" s="6" t="s">
        <v>7970</v>
      </c>
    </row>
    <row r="2039" spans="1:4" x14ac:dyDescent="0.35">
      <c r="A2039" s="6" t="s">
        <v>319</v>
      </c>
      <c r="B2039" s="6" t="s">
        <v>4713</v>
      </c>
      <c r="C2039" s="6" t="s">
        <v>7971</v>
      </c>
      <c r="D2039" s="6" t="s">
        <v>5180</v>
      </c>
    </row>
    <row r="2040" spans="1:4" x14ac:dyDescent="0.35">
      <c r="A2040" s="6" t="s">
        <v>318</v>
      </c>
      <c r="B2040" s="6" t="s">
        <v>4716</v>
      </c>
      <c r="C2040" s="6" t="s">
        <v>4840</v>
      </c>
      <c r="D2040" s="6" t="s">
        <v>7972</v>
      </c>
    </row>
    <row r="2041" spans="1:4" x14ac:dyDescent="0.35">
      <c r="A2041" s="6" t="s">
        <v>317</v>
      </c>
      <c r="B2041" s="6" t="s">
        <v>4713</v>
      </c>
      <c r="C2041" s="6" t="s">
        <v>7973</v>
      </c>
      <c r="D2041" s="6" t="s">
        <v>7974</v>
      </c>
    </row>
    <row r="2042" spans="1:4" x14ac:dyDescent="0.35">
      <c r="A2042" s="6" t="s">
        <v>316</v>
      </c>
      <c r="B2042" s="6" t="s">
        <v>4716</v>
      </c>
      <c r="C2042" s="6" t="s">
        <v>6272</v>
      </c>
      <c r="D2042" s="6" t="s">
        <v>6291</v>
      </c>
    </row>
    <row r="2043" spans="1:4" x14ac:dyDescent="0.35">
      <c r="A2043" s="6" t="s">
        <v>315</v>
      </c>
      <c r="B2043" s="6" t="s">
        <v>4716</v>
      </c>
      <c r="C2043" s="6" t="s">
        <v>7975</v>
      </c>
      <c r="D2043" s="6" t="s">
        <v>7976</v>
      </c>
    </row>
    <row r="2044" spans="1:4" x14ac:dyDescent="0.35">
      <c r="A2044" s="6" t="s">
        <v>314</v>
      </c>
      <c r="B2044" s="6" t="s">
        <v>4716</v>
      </c>
      <c r="C2044" s="6" t="s">
        <v>7977</v>
      </c>
      <c r="D2044" s="6" t="s">
        <v>7978</v>
      </c>
    </row>
    <row r="2045" spans="1:4" x14ac:dyDescent="0.35">
      <c r="A2045" s="6" t="s">
        <v>313</v>
      </c>
      <c r="B2045" s="6" t="s">
        <v>4713</v>
      </c>
      <c r="C2045" s="6" t="s">
        <v>7979</v>
      </c>
      <c r="D2045" s="6" t="s">
        <v>7980</v>
      </c>
    </row>
    <row r="2046" spans="1:4" x14ac:dyDescent="0.35">
      <c r="A2046" s="6" t="s">
        <v>312</v>
      </c>
      <c r="B2046" s="6" t="s">
        <v>4713</v>
      </c>
      <c r="C2046" s="6" t="s">
        <v>7981</v>
      </c>
      <c r="D2046" s="6" t="s">
        <v>7982</v>
      </c>
    </row>
    <row r="2047" spans="1:4" x14ac:dyDescent="0.35">
      <c r="A2047" s="6" t="s">
        <v>311</v>
      </c>
      <c r="B2047" s="6" t="s">
        <v>4713</v>
      </c>
      <c r="C2047" s="6" t="s">
        <v>7983</v>
      </c>
      <c r="D2047" s="6" t="s">
        <v>7984</v>
      </c>
    </row>
    <row r="2048" spans="1:4" x14ac:dyDescent="0.35">
      <c r="A2048" s="6" t="s">
        <v>310</v>
      </c>
      <c r="B2048" s="6" t="s">
        <v>4713</v>
      </c>
      <c r="C2048" s="6" t="s">
        <v>4848</v>
      </c>
      <c r="D2048" s="6" t="s">
        <v>4869</v>
      </c>
    </row>
    <row r="2049" spans="1:4" x14ac:dyDescent="0.35">
      <c r="A2049" s="6" t="s">
        <v>309</v>
      </c>
      <c r="B2049" s="6" t="s">
        <v>4713</v>
      </c>
      <c r="C2049" s="6" t="s">
        <v>7985</v>
      </c>
      <c r="D2049" s="6" t="s">
        <v>7986</v>
      </c>
    </row>
    <row r="2050" spans="1:4" x14ac:dyDescent="0.35">
      <c r="A2050" s="6" t="s">
        <v>308</v>
      </c>
      <c r="B2050" s="6" t="s">
        <v>4716</v>
      </c>
      <c r="C2050" s="6" t="s">
        <v>6616</v>
      </c>
      <c r="D2050" s="6" t="s">
        <v>7987</v>
      </c>
    </row>
    <row r="2051" spans="1:4" x14ac:dyDescent="0.35">
      <c r="A2051" s="6" t="s">
        <v>307</v>
      </c>
      <c r="B2051" s="6" t="s">
        <v>4716</v>
      </c>
      <c r="C2051" s="6" t="s">
        <v>7188</v>
      </c>
      <c r="D2051" s="6" t="s">
        <v>5729</v>
      </c>
    </row>
    <row r="2052" spans="1:4" x14ac:dyDescent="0.35">
      <c r="A2052" s="6" t="s">
        <v>306</v>
      </c>
      <c r="B2052" s="6" t="s">
        <v>4716</v>
      </c>
      <c r="C2052" s="6" t="s">
        <v>7988</v>
      </c>
      <c r="D2052" s="6" t="s">
        <v>7989</v>
      </c>
    </row>
    <row r="2053" spans="1:4" x14ac:dyDescent="0.35">
      <c r="A2053" s="6" t="s">
        <v>305</v>
      </c>
      <c r="B2053" s="6" t="s">
        <v>4713</v>
      </c>
      <c r="C2053" s="6" t="s">
        <v>5904</v>
      </c>
      <c r="D2053" s="6" t="s">
        <v>7990</v>
      </c>
    </row>
    <row r="2054" spans="1:4" x14ac:dyDescent="0.35">
      <c r="A2054" s="6" t="s">
        <v>304</v>
      </c>
      <c r="B2054" s="6" t="s">
        <v>4713</v>
      </c>
      <c r="C2054" s="6" t="s">
        <v>7991</v>
      </c>
      <c r="D2054" s="6" t="s">
        <v>7992</v>
      </c>
    </row>
    <row r="2055" spans="1:4" x14ac:dyDescent="0.35">
      <c r="A2055" s="6" t="s">
        <v>303</v>
      </c>
      <c r="B2055" s="6" t="s">
        <v>4713</v>
      </c>
      <c r="C2055" s="6" t="s">
        <v>7993</v>
      </c>
      <c r="D2055" s="6" t="s">
        <v>7994</v>
      </c>
    </row>
    <row r="2056" spans="1:4" x14ac:dyDescent="0.35">
      <c r="A2056" s="6" t="s">
        <v>302</v>
      </c>
      <c r="B2056" s="6" t="s">
        <v>4713</v>
      </c>
      <c r="C2056" s="6" t="s">
        <v>5596</v>
      </c>
      <c r="D2056" s="6" t="s">
        <v>7995</v>
      </c>
    </row>
    <row r="2057" spans="1:4" x14ac:dyDescent="0.35">
      <c r="A2057" s="6" t="s">
        <v>301</v>
      </c>
      <c r="B2057" s="6" t="s">
        <v>4716</v>
      </c>
      <c r="C2057" s="6" t="s">
        <v>7996</v>
      </c>
      <c r="D2057" s="6" t="s">
        <v>7997</v>
      </c>
    </row>
    <row r="2058" spans="1:4" x14ac:dyDescent="0.35">
      <c r="A2058" s="6" t="s">
        <v>300</v>
      </c>
      <c r="B2058" s="6" t="s">
        <v>4713</v>
      </c>
      <c r="C2058" s="6" t="s">
        <v>7998</v>
      </c>
      <c r="D2058" s="6" t="s">
        <v>7999</v>
      </c>
    </row>
    <row r="2059" spans="1:4" x14ac:dyDescent="0.35">
      <c r="A2059" s="6" t="s">
        <v>299</v>
      </c>
      <c r="B2059" s="6" t="s">
        <v>4716</v>
      </c>
      <c r="C2059" s="6" t="s">
        <v>8000</v>
      </c>
      <c r="D2059" s="6" t="s">
        <v>5692</v>
      </c>
    </row>
    <row r="2060" spans="1:4" x14ac:dyDescent="0.35">
      <c r="A2060" s="6" t="s">
        <v>298</v>
      </c>
      <c r="B2060" s="6" t="s">
        <v>4713</v>
      </c>
      <c r="C2060" s="6" t="s">
        <v>8001</v>
      </c>
      <c r="D2060" s="6" t="s">
        <v>8002</v>
      </c>
    </row>
    <row r="2061" spans="1:4" x14ac:dyDescent="0.35">
      <c r="A2061" s="6" t="s">
        <v>297</v>
      </c>
      <c r="B2061" s="6" t="s">
        <v>4716</v>
      </c>
      <c r="C2061" s="6" t="s">
        <v>8003</v>
      </c>
      <c r="D2061" s="6" t="s">
        <v>6285</v>
      </c>
    </row>
    <row r="2062" spans="1:4" x14ac:dyDescent="0.35">
      <c r="A2062" s="6" t="s">
        <v>296</v>
      </c>
      <c r="B2062" s="6" t="s">
        <v>4716</v>
      </c>
      <c r="C2062" s="6" t="s">
        <v>8004</v>
      </c>
      <c r="D2062" s="6" t="s">
        <v>8005</v>
      </c>
    </row>
    <row r="2063" spans="1:4" x14ac:dyDescent="0.35">
      <c r="A2063" s="6" t="s">
        <v>295</v>
      </c>
      <c r="B2063" s="6" t="s">
        <v>4716</v>
      </c>
      <c r="C2063" s="6" t="s">
        <v>8006</v>
      </c>
      <c r="D2063" s="6" t="s">
        <v>8007</v>
      </c>
    </row>
    <row r="2064" spans="1:4" x14ac:dyDescent="0.35">
      <c r="A2064" s="6" t="s">
        <v>294</v>
      </c>
      <c r="B2064" s="6" t="s">
        <v>4713</v>
      </c>
      <c r="C2064" s="6" t="s">
        <v>6985</v>
      </c>
      <c r="D2064" s="6" t="s">
        <v>8008</v>
      </c>
    </row>
    <row r="2065" spans="1:4" x14ac:dyDescent="0.35">
      <c r="A2065" s="6" t="s">
        <v>293</v>
      </c>
      <c r="B2065" s="6" t="s">
        <v>4713</v>
      </c>
      <c r="C2065" s="6" t="s">
        <v>5656</v>
      </c>
      <c r="D2065" s="6" t="s">
        <v>5180</v>
      </c>
    </row>
    <row r="2066" spans="1:4" x14ac:dyDescent="0.35">
      <c r="A2066" s="6" t="s">
        <v>292</v>
      </c>
      <c r="B2066" s="6" t="s">
        <v>4713</v>
      </c>
      <c r="C2066" s="6" t="s">
        <v>8009</v>
      </c>
      <c r="D2066" s="6" t="s">
        <v>8010</v>
      </c>
    </row>
    <row r="2067" spans="1:4" x14ac:dyDescent="0.35">
      <c r="A2067" s="6" t="s">
        <v>291</v>
      </c>
      <c r="B2067" s="6" t="s">
        <v>4713</v>
      </c>
      <c r="C2067" s="6" t="s">
        <v>6272</v>
      </c>
      <c r="D2067" s="6" t="s">
        <v>8011</v>
      </c>
    </row>
    <row r="2068" spans="1:4" x14ac:dyDescent="0.35">
      <c r="A2068" s="6" t="s">
        <v>289</v>
      </c>
      <c r="B2068" s="6" t="s">
        <v>4716</v>
      </c>
      <c r="C2068" s="6" t="s">
        <v>8012</v>
      </c>
      <c r="D2068" s="6" t="s">
        <v>7249</v>
      </c>
    </row>
    <row r="2069" spans="1:4" x14ac:dyDescent="0.35">
      <c r="A2069" s="6" t="s">
        <v>288</v>
      </c>
      <c r="B2069" s="6" t="s">
        <v>4716</v>
      </c>
      <c r="C2069" s="6" t="s">
        <v>8013</v>
      </c>
      <c r="D2069" s="6" t="s">
        <v>8014</v>
      </c>
    </row>
    <row r="2070" spans="1:4" x14ac:dyDescent="0.35">
      <c r="A2070" s="6" t="s">
        <v>287</v>
      </c>
      <c r="B2070" s="6" t="s">
        <v>4716</v>
      </c>
      <c r="C2070" s="6" t="s">
        <v>8015</v>
      </c>
      <c r="D2070" s="6" t="s">
        <v>8016</v>
      </c>
    </row>
    <row r="2071" spans="1:4" x14ac:dyDescent="0.35">
      <c r="A2071" s="6" t="s">
        <v>286</v>
      </c>
      <c r="B2071" s="6" t="s">
        <v>4713</v>
      </c>
      <c r="C2071" s="6" t="s">
        <v>8017</v>
      </c>
      <c r="D2071" s="6" t="s">
        <v>5076</v>
      </c>
    </row>
    <row r="2072" spans="1:4" x14ac:dyDescent="0.35">
      <c r="A2072" s="6" t="s">
        <v>285</v>
      </c>
      <c r="B2072" s="6" t="s">
        <v>4716</v>
      </c>
      <c r="C2072" s="6" t="s">
        <v>5096</v>
      </c>
      <c r="D2072" s="6" t="s">
        <v>5134</v>
      </c>
    </row>
    <row r="2073" spans="1:4" x14ac:dyDescent="0.35">
      <c r="A2073" s="6" t="s">
        <v>284</v>
      </c>
      <c r="B2073" s="6" t="s">
        <v>4713</v>
      </c>
      <c r="C2073" s="6" t="s">
        <v>8018</v>
      </c>
      <c r="D2073" s="6" t="s">
        <v>8019</v>
      </c>
    </row>
    <row r="2074" spans="1:4" x14ac:dyDescent="0.35">
      <c r="A2074" s="6" t="s">
        <v>283</v>
      </c>
      <c r="B2074" s="6" t="s">
        <v>4716</v>
      </c>
      <c r="C2074" s="6" t="s">
        <v>8020</v>
      </c>
      <c r="D2074" s="6" t="s">
        <v>8021</v>
      </c>
    </row>
    <row r="2075" spans="1:4" x14ac:dyDescent="0.35">
      <c r="A2075" s="6" t="s">
        <v>282</v>
      </c>
      <c r="B2075" s="6" t="s">
        <v>4713</v>
      </c>
      <c r="C2075" s="6" t="s">
        <v>8022</v>
      </c>
      <c r="D2075" s="6" t="s">
        <v>8023</v>
      </c>
    </row>
    <row r="2076" spans="1:4" x14ac:dyDescent="0.35">
      <c r="A2076" s="6" t="s">
        <v>281</v>
      </c>
      <c r="B2076" s="6" t="s">
        <v>4713</v>
      </c>
      <c r="C2076" s="6" t="s">
        <v>7818</v>
      </c>
      <c r="D2076" s="6" t="s">
        <v>8024</v>
      </c>
    </row>
    <row r="2077" spans="1:4" x14ac:dyDescent="0.35">
      <c r="A2077" s="6" t="s">
        <v>280</v>
      </c>
      <c r="B2077" s="6" t="s">
        <v>4716</v>
      </c>
      <c r="C2077" s="6" t="s">
        <v>8025</v>
      </c>
      <c r="D2077" s="6" t="s">
        <v>7530</v>
      </c>
    </row>
    <row r="2078" spans="1:4" x14ac:dyDescent="0.35">
      <c r="A2078" s="6" t="s">
        <v>279</v>
      </c>
      <c r="B2078" s="6" t="s">
        <v>4716</v>
      </c>
      <c r="C2078" s="6" t="s">
        <v>8026</v>
      </c>
      <c r="D2078" s="6" t="s">
        <v>4895</v>
      </c>
    </row>
    <row r="2079" spans="1:4" x14ac:dyDescent="0.35">
      <c r="A2079" s="6" t="s">
        <v>278</v>
      </c>
      <c r="B2079" s="6" t="s">
        <v>4716</v>
      </c>
      <c r="C2079" s="6" t="s">
        <v>8027</v>
      </c>
      <c r="D2079" s="6" t="s">
        <v>5856</v>
      </c>
    </row>
    <row r="2080" spans="1:4" x14ac:dyDescent="0.35">
      <c r="A2080" s="6" t="s">
        <v>277</v>
      </c>
      <c r="B2080" s="6" t="s">
        <v>4716</v>
      </c>
      <c r="C2080" s="6" t="s">
        <v>8028</v>
      </c>
      <c r="D2080" s="6" t="s">
        <v>5692</v>
      </c>
    </row>
    <row r="2081" spans="1:4" x14ac:dyDescent="0.35">
      <c r="A2081" s="6" t="s">
        <v>276</v>
      </c>
      <c r="B2081" s="6" t="s">
        <v>4713</v>
      </c>
      <c r="C2081" s="6" t="s">
        <v>6203</v>
      </c>
      <c r="D2081" s="6" t="s">
        <v>8029</v>
      </c>
    </row>
    <row r="2082" spans="1:4" x14ac:dyDescent="0.35">
      <c r="A2082" s="6" t="s">
        <v>275</v>
      </c>
      <c r="B2082" s="6" t="s">
        <v>4713</v>
      </c>
      <c r="C2082" s="6" t="s">
        <v>8030</v>
      </c>
      <c r="D2082" s="6" t="s">
        <v>6720</v>
      </c>
    </row>
    <row r="2083" spans="1:4" x14ac:dyDescent="0.35">
      <c r="A2083" s="6" t="s">
        <v>274</v>
      </c>
      <c r="B2083" s="6" t="s">
        <v>4713</v>
      </c>
      <c r="C2083" s="6" t="s">
        <v>8031</v>
      </c>
      <c r="D2083" s="6" t="s">
        <v>6566</v>
      </c>
    </row>
    <row r="2084" spans="1:4" x14ac:dyDescent="0.35">
      <c r="A2084" s="6" t="s">
        <v>273</v>
      </c>
      <c r="B2084" s="6" t="s">
        <v>4713</v>
      </c>
      <c r="C2084" s="6" t="s">
        <v>8032</v>
      </c>
      <c r="D2084" s="6" t="s">
        <v>8033</v>
      </c>
    </row>
    <row r="2085" spans="1:4" x14ac:dyDescent="0.35">
      <c r="A2085" s="6" t="s">
        <v>272</v>
      </c>
      <c r="B2085" s="6" t="s">
        <v>4713</v>
      </c>
      <c r="C2085" s="6" t="s">
        <v>8034</v>
      </c>
      <c r="D2085" s="6" t="s">
        <v>8035</v>
      </c>
    </row>
    <row r="2086" spans="1:4" x14ac:dyDescent="0.35">
      <c r="A2086" s="6" t="s">
        <v>271</v>
      </c>
      <c r="B2086" s="6" t="s">
        <v>4713</v>
      </c>
      <c r="C2086" s="6" t="s">
        <v>8036</v>
      </c>
      <c r="D2086" s="6" t="s">
        <v>8037</v>
      </c>
    </row>
    <row r="2087" spans="1:4" x14ac:dyDescent="0.35">
      <c r="A2087" s="6" t="s">
        <v>270</v>
      </c>
      <c r="B2087" s="6" t="s">
        <v>4716</v>
      </c>
      <c r="C2087" s="6" t="s">
        <v>8038</v>
      </c>
      <c r="D2087" s="6" t="s">
        <v>8039</v>
      </c>
    </row>
    <row r="2088" spans="1:4" x14ac:dyDescent="0.35">
      <c r="A2088" s="6" t="s">
        <v>269</v>
      </c>
      <c r="B2088" s="6" t="s">
        <v>4716</v>
      </c>
      <c r="C2088" s="6" t="s">
        <v>5096</v>
      </c>
      <c r="D2088" s="6" t="s">
        <v>5144</v>
      </c>
    </row>
    <row r="2089" spans="1:4" x14ac:dyDescent="0.35">
      <c r="A2089" s="6" t="s">
        <v>268</v>
      </c>
      <c r="B2089" s="6" t="s">
        <v>4713</v>
      </c>
      <c r="C2089" s="6" t="s">
        <v>8040</v>
      </c>
      <c r="D2089" s="6" t="s">
        <v>8041</v>
      </c>
    </row>
    <row r="2090" spans="1:4" x14ac:dyDescent="0.35">
      <c r="A2090" s="6" t="s">
        <v>267</v>
      </c>
      <c r="B2090" s="6" t="s">
        <v>4716</v>
      </c>
      <c r="C2090" s="6" t="s">
        <v>8042</v>
      </c>
      <c r="D2090" s="6" t="s">
        <v>7801</v>
      </c>
    </row>
    <row r="2091" spans="1:4" x14ac:dyDescent="0.35">
      <c r="A2091" s="6" t="s">
        <v>265</v>
      </c>
      <c r="B2091" s="6" t="s">
        <v>4716</v>
      </c>
      <c r="C2091" s="6" t="s">
        <v>8043</v>
      </c>
      <c r="D2091" s="6" t="s">
        <v>8044</v>
      </c>
    </row>
    <row r="2092" spans="1:4" x14ac:dyDescent="0.35">
      <c r="A2092" s="6" t="s">
        <v>264</v>
      </c>
      <c r="B2092" s="6" t="s">
        <v>4716</v>
      </c>
      <c r="C2092" s="6" t="s">
        <v>8045</v>
      </c>
      <c r="D2092" s="6" t="s">
        <v>8046</v>
      </c>
    </row>
    <row r="2093" spans="1:4" x14ac:dyDescent="0.35">
      <c r="A2093" s="6" t="s">
        <v>263</v>
      </c>
      <c r="B2093" s="6" t="s">
        <v>4716</v>
      </c>
      <c r="C2093" s="6" t="s">
        <v>8047</v>
      </c>
      <c r="D2093" s="6" t="s">
        <v>4988</v>
      </c>
    </row>
    <row r="2094" spans="1:4" x14ac:dyDescent="0.35">
      <c r="A2094" s="6" t="s">
        <v>262</v>
      </c>
      <c r="B2094" s="6" t="s">
        <v>4716</v>
      </c>
      <c r="C2094" s="6" t="s">
        <v>8048</v>
      </c>
      <c r="D2094" s="6" t="s">
        <v>4918</v>
      </c>
    </row>
    <row r="2095" spans="1:4" x14ac:dyDescent="0.35">
      <c r="A2095" s="6" t="s">
        <v>261</v>
      </c>
      <c r="B2095" s="6" t="s">
        <v>4713</v>
      </c>
      <c r="C2095" s="6" t="s">
        <v>8049</v>
      </c>
      <c r="D2095" s="6" t="s">
        <v>5536</v>
      </c>
    </row>
    <row r="2096" spans="1:4" x14ac:dyDescent="0.35">
      <c r="A2096" s="6" t="s">
        <v>260</v>
      </c>
      <c r="B2096" s="6" t="s">
        <v>4716</v>
      </c>
      <c r="C2096" s="6" t="s">
        <v>8050</v>
      </c>
      <c r="D2096" s="6" t="s">
        <v>8051</v>
      </c>
    </row>
    <row r="2097" spans="1:4" x14ac:dyDescent="0.35">
      <c r="A2097" s="6" t="s">
        <v>259</v>
      </c>
      <c r="B2097" s="6" t="s">
        <v>4716</v>
      </c>
      <c r="C2097" s="6" t="s">
        <v>8052</v>
      </c>
      <c r="D2097" s="6" t="s">
        <v>5982</v>
      </c>
    </row>
    <row r="2098" spans="1:4" x14ac:dyDescent="0.35">
      <c r="A2098" s="6" t="s">
        <v>258</v>
      </c>
      <c r="B2098" s="6" t="s">
        <v>4716</v>
      </c>
      <c r="C2098" s="6" t="s">
        <v>8053</v>
      </c>
      <c r="D2098" s="6" t="s">
        <v>8054</v>
      </c>
    </row>
    <row r="2099" spans="1:4" x14ac:dyDescent="0.35">
      <c r="A2099" s="6" t="s">
        <v>257</v>
      </c>
      <c r="B2099" s="6" t="s">
        <v>4713</v>
      </c>
      <c r="C2099" s="6" t="s">
        <v>8055</v>
      </c>
      <c r="D2099" s="6" t="s">
        <v>6229</v>
      </c>
    </row>
    <row r="2100" spans="1:4" x14ac:dyDescent="0.35">
      <c r="A2100" s="6" t="s">
        <v>256</v>
      </c>
      <c r="B2100" s="6" t="s">
        <v>4716</v>
      </c>
      <c r="C2100" s="6" t="s">
        <v>8056</v>
      </c>
      <c r="D2100" s="6" t="s">
        <v>5014</v>
      </c>
    </row>
    <row r="2101" spans="1:4" x14ac:dyDescent="0.35">
      <c r="A2101" s="6" t="s">
        <v>255</v>
      </c>
      <c r="B2101" s="6" t="s">
        <v>4713</v>
      </c>
      <c r="C2101" s="6" t="s">
        <v>8057</v>
      </c>
      <c r="D2101" s="6" t="s">
        <v>8058</v>
      </c>
    </row>
    <row r="2102" spans="1:4" x14ac:dyDescent="0.35">
      <c r="A2102" s="6" t="s">
        <v>254</v>
      </c>
      <c r="B2102" s="6" t="s">
        <v>4713</v>
      </c>
      <c r="C2102" s="6" t="s">
        <v>8059</v>
      </c>
      <c r="D2102" s="6" t="s">
        <v>8060</v>
      </c>
    </row>
    <row r="2103" spans="1:4" x14ac:dyDescent="0.35">
      <c r="A2103" s="6" t="s">
        <v>253</v>
      </c>
      <c r="B2103" s="6" t="s">
        <v>4716</v>
      </c>
      <c r="C2103" s="6" t="s">
        <v>7420</v>
      </c>
      <c r="D2103" s="6" t="s">
        <v>5798</v>
      </c>
    </row>
    <row r="2104" spans="1:4" x14ac:dyDescent="0.35">
      <c r="A2104" s="6" t="s">
        <v>252</v>
      </c>
      <c r="B2104" s="6" t="s">
        <v>4716</v>
      </c>
      <c r="C2104" s="6" t="s">
        <v>8061</v>
      </c>
      <c r="D2104" s="6" t="s">
        <v>8062</v>
      </c>
    </row>
    <row r="2105" spans="1:4" x14ac:dyDescent="0.35">
      <c r="A2105" s="6" t="s">
        <v>251</v>
      </c>
      <c r="B2105" s="6" t="s">
        <v>4716</v>
      </c>
      <c r="C2105" s="6" t="s">
        <v>4731</v>
      </c>
      <c r="D2105" s="6" t="s">
        <v>5377</v>
      </c>
    </row>
    <row r="2106" spans="1:4" x14ac:dyDescent="0.35">
      <c r="A2106" s="6" t="s">
        <v>250</v>
      </c>
      <c r="B2106" s="6" t="s">
        <v>4713</v>
      </c>
      <c r="C2106" s="6" t="s">
        <v>8063</v>
      </c>
      <c r="D2106" s="6" t="s">
        <v>8064</v>
      </c>
    </row>
    <row r="2107" spans="1:4" x14ac:dyDescent="0.35">
      <c r="A2107" s="6" t="s">
        <v>249</v>
      </c>
      <c r="B2107" s="6" t="s">
        <v>4713</v>
      </c>
      <c r="C2107" s="6" t="s">
        <v>8065</v>
      </c>
      <c r="D2107" s="6" t="s">
        <v>8066</v>
      </c>
    </row>
    <row r="2108" spans="1:4" x14ac:dyDescent="0.35">
      <c r="A2108" s="6" t="s">
        <v>248</v>
      </c>
      <c r="B2108" s="6" t="s">
        <v>4713</v>
      </c>
      <c r="C2108" s="6" t="s">
        <v>8067</v>
      </c>
      <c r="D2108" s="6" t="s">
        <v>8068</v>
      </c>
    </row>
    <row r="2109" spans="1:4" x14ac:dyDescent="0.35">
      <c r="A2109" s="6" t="s">
        <v>247</v>
      </c>
      <c r="B2109" s="6" t="s">
        <v>4713</v>
      </c>
      <c r="C2109" s="6" t="s">
        <v>8069</v>
      </c>
      <c r="D2109" s="6" t="s">
        <v>8070</v>
      </c>
    </row>
    <row r="2110" spans="1:4" x14ac:dyDescent="0.35">
      <c r="A2110" s="6" t="s">
        <v>246</v>
      </c>
      <c r="B2110" s="6" t="s">
        <v>4713</v>
      </c>
      <c r="C2110" s="6" t="s">
        <v>5564</v>
      </c>
      <c r="D2110" s="6" t="s">
        <v>8071</v>
      </c>
    </row>
    <row r="2111" spans="1:4" x14ac:dyDescent="0.35">
      <c r="A2111" s="6" t="s">
        <v>245</v>
      </c>
      <c r="B2111" s="6" t="s">
        <v>4713</v>
      </c>
      <c r="C2111" s="6" t="s">
        <v>8072</v>
      </c>
      <c r="D2111" s="6" t="s">
        <v>8073</v>
      </c>
    </row>
    <row r="2112" spans="1:4" x14ac:dyDescent="0.35">
      <c r="A2112" s="6" t="s">
        <v>244</v>
      </c>
      <c r="B2112" s="6" t="s">
        <v>4713</v>
      </c>
      <c r="C2112" s="6" t="s">
        <v>8074</v>
      </c>
      <c r="D2112" s="6" t="s">
        <v>8075</v>
      </c>
    </row>
    <row r="2113" spans="1:4" x14ac:dyDescent="0.35">
      <c r="A2113" s="6" t="s">
        <v>243</v>
      </c>
      <c r="B2113" s="6" t="s">
        <v>4713</v>
      </c>
      <c r="C2113" s="6" t="s">
        <v>8076</v>
      </c>
      <c r="D2113" s="6" t="s">
        <v>8077</v>
      </c>
    </row>
    <row r="2114" spans="1:4" x14ac:dyDescent="0.35">
      <c r="A2114" s="6" t="s">
        <v>242</v>
      </c>
      <c r="B2114" s="6" t="s">
        <v>4713</v>
      </c>
      <c r="C2114" s="6" t="s">
        <v>8078</v>
      </c>
      <c r="D2114" s="6" t="s">
        <v>6183</v>
      </c>
    </row>
    <row r="2115" spans="1:4" x14ac:dyDescent="0.35">
      <c r="A2115" s="6" t="s">
        <v>241</v>
      </c>
      <c r="B2115" s="6" t="s">
        <v>4713</v>
      </c>
      <c r="C2115" s="6" t="s">
        <v>8079</v>
      </c>
      <c r="D2115" s="6" t="s">
        <v>5351</v>
      </c>
    </row>
    <row r="2116" spans="1:4" x14ac:dyDescent="0.35">
      <c r="A2116" s="6" t="s">
        <v>240</v>
      </c>
      <c r="B2116" s="6" t="s">
        <v>4713</v>
      </c>
      <c r="C2116" s="6" t="s">
        <v>8080</v>
      </c>
      <c r="D2116" s="6" t="s">
        <v>5655</v>
      </c>
    </row>
    <row r="2117" spans="1:4" x14ac:dyDescent="0.35">
      <c r="A2117" s="6" t="s">
        <v>238</v>
      </c>
      <c r="B2117" s="6" t="s">
        <v>4713</v>
      </c>
      <c r="C2117" s="6" t="s">
        <v>8081</v>
      </c>
      <c r="D2117" s="6" t="s">
        <v>8082</v>
      </c>
    </row>
    <row r="2118" spans="1:4" x14ac:dyDescent="0.35">
      <c r="A2118" s="6" t="s">
        <v>236</v>
      </c>
      <c r="B2118" s="6" t="s">
        <v>4713</v>
      </c>
      <c r="C2118" s="6" t="s">
        <v>8083</v>
      </c>
      <c r="D2118" s="6" t="s">
        <v>8084</v>
      </c>
    </row>
    <row r="2119" spans="1:4" x14ac:dyDescent="0.35">
      <c r="A2119" s="6" t="s">
        <v>235</v>
      </c>
      <c r="B2119" s="6" t="s">
        <v>4716</v>
      </c>
      <c r="C2119" s="6" t="s">
        <v>8085</v>
      </c>
      <c r="D2119" s="6" t="s">
        <v>8086</v>
      </c>
    </row>
    <row r="2120" spans="1:4" x14ac:dyDescent="0.35">
      <c r="A2120" s="6" t="s">
        <v>234</v>
      </c>
      <c r="B2120" s="6" t="s">
        <v>4716</v>
      </c>
      <c r="C2120" s="6" t="s">
        <v>8087</v>
      </c>
      <c r="D2120" s="6" t="s">
        <v>5014</v>
      </c>
    </row>
    <row r="2121" spans="1:4" x14ac:dyDescent="0.35">
      <c r="A2121" s="6" t="s">
        <v>233</v>
      </c>
      <c r="B2121" s="6" t="s">
        <v>4713</v>
      </c>
      <c r="C2121" s="6" t="s">
        <v>8088</v>
      </c>
      <c r="D2121" s="6" t="s">
        <v>5621</v>
      </c>
    </row>
    <row r="2122" spans="1:4" x14ac:dyDescent="0.35">
      <c r="A2122" s="6" t="s">
        <v>232</v>
      </c>
      <c r="B2122" s="6" t="s">
        <v>4713</v>
      </c>
      <c r="C2122" s="6" t="s">
        <v>8089</v>
      </c>
      <c r="D2122" s="6" t="s">
        <v>8090</v>
      </c>
    </row>
    <row r="2123" spans="1:4" x14ac:dyDescent="0.35">
      <c r="A2123" s="6" t="s">
        <v>231</v>
      </c>
      <c r="B2123" s="6" t="s">
        <v>4713</v>
      </c>
      <c r="C2123" s="6" t="s">
        <v>8091</v>
      </c>
      <c r="D2123" s="6" t="s">
        <v>8092</v>
      </c>
    </row>
    <row r="2124" spans="1:4" x14ac:dyDescent="0.35">
      <c r="A2124" s="6" t="s">
        <v>230</v>
      </c>
      <c r="B2124" s="6" t="s">
        <v>4713</v>
      </c>
      <c r="C2124" s="6" t="s">
        <v>8093</v>
      </c>
      <c r="D2124" s="6" t="s">
        <v>8094</v>
      </c>
    </row>
    <row r="2125" spans="1:4" x14ac:dyDescent="0.35">
      <c r="A2125" s="6" t="s">
        <v>229</v>
      </c>
      <c r="B2125" s="6" t="s">
        <v>4713</v>
      </c>
      <c r="C2125" s="6" t="s">
        <v>6020</v>
      </c>
      <c r="D2125" s="6" t="s">
        <v>8095</v>
      </c>
    </row>
    <row r="2126" spans="1:4" x14ac:dyDescent="0.35">
      <c r="A2126" s="6" t="s">
        <v>228</v>
      </c>
      <c r="B2126" s="6" t="s">
        <v>4713</v>
      </c>
      <c r="C2126" s="6" t="s">
        <v>8096</v>
      </c>
      <c r="D2126" s="6" t="s">
        <v>8097</v>
      </c>
    </row>
    <row r="2127" spans="1:4" x14ac:dyDescent="0.35">
      <c r="A2127" s="6" t="s">
        <v>227</v>
      </c>
      <c r="B2127" s="6" t="s">
        <v>4713</v>
      </c>
      <c r="C2127" s="6" t="s">
        <v>8098</v>
      </c>
      <c r="D2127" s="6" t="s">
        <v>7994</v>
      </c>
    </row>
    <row r="2128" spans="1:4" x14ac:dyDescent="0.35">
      <c r="A2128" s="6" t="s">
        <v>226</v>
      </c>
      <c r="B2128" s="6" t="s">
        <v>4716</v>
      </c>
      <c r="C2128" s="6" t="s">
        <v>8099</v>
      </c>
      <c r="D2128" s="6" t="s">
        <v>8100</v>
      </c>
    </row>
    <row r="2129" spans="1:4" x14ac:dyDescent="0.35">
      <c r="A2129" s="6" t="s">
        <v>225</v>
      </c>
      <c r="B2129" s="6" t="s">
        <v>4713</v>
      </c>
      <c r="C2129" s="6" t="s">
        <v>8101</v>
      </c>
      <c r="D2129" s="6" t="s">
        <v>7499</v>
      </c>
    </row>
    <row r="2130" spans="1:4" x14ac:dyDescent="0.35">
      <c r="A2130" s="6" t="s">
        <v>224</v>
      </c>
      <c r="B2130" s="6" t="s">
        <v>4713</v>
      </c>
      <c r="C2130" s="6" t="s">
        <v>8102</v>
      </c>
      <c r="D2130" s="6" t="s">
        <v>8103</v>
      </c>
    </row>
    <row r="2131" spans="1:4" x14ac:dyDescent="0.35">
      <c r="A2131" s="6" t="s">
        <v>223</v>
      </c>
      <c r="B2131" s="6" t="s">
        <v>4713</v>
      </c>
      <c r="C2131" s="6" t="s">
        <v>6125</v>
      </c>
      <c r="D2131" s="6" t="s">
        <v>7327</v>
      </c>
    </row>
    <row r="2132" spans="1:4" x14ac:dyDescent="0.35">
      <c r="A2132" s="6" t="s">
        <v>222</v>
      </c>
      <c r="B2132" s="6" t="s">
        <v>4713</v>
      </c>
      <c r="C2132" s="6" t="s">
        <v>4792</v>
      </c>
      <c r="D2132" s="6" t="s">
        <v>8104</v>
      </c>
    </row>
    <row r="2133" spans="1:4" x14ac:dyDescent="0.35">
      <c r="A2133" s="6" t="s">
        <v>221</v>
      </c>
      <c r="B2133" s="6" t="s">
        <v>4716</v>
      </c>
      <c r="C2133" s="6" t="s">
        <v>8105</v>
      </c>
      <c r="D2133" s="6" t="s">
        <v>8106</v>
      </c>
    </row>
    <row r="2134" spans="1:4" x14ac:dyDescent="0.35">
      <c r="A2134" s="6" t="s">
        <v>220</v>
      </c>
      <c r="B2134" s="6" t="s">
        <v>4713</v>
      </c>
      <c r="C2134" s="6" t="s">
        <v>8107</v>
      </c>
      <c r="D2134" s="6" t="s">
        <v>7970</v>
      </c>
    </row>
    <row r="2135" spans="1:4" x14ac:dyDescent="0.35">
      <c r="A2135" s="6" t="s">
        <v>219</v>
      </c>
      <c r="B2135" s="6" t="s">
        <v>4716</v>
      </c>
      <c r="C2135" s="6" t="s">
        <v>8108</v>
      </c>
      <c r="D2135" s="6" t="s">
        <v>5202</v>
      </c>
    </row>
    <row r="2136" spans="1:4" x14ac:dyDescent="0.35">
      <c r="A2136" s="6" t="s">
        <v>218</v>
      </c>
      <c r="B2136" s="6" t="s">
        <v>4716</v>
      </c>
      <c r="C2136" s="6" t="s">
        <v>8109</v>
      </c>
      <c r="D2136" s="6" t="s">
        <v>8110</v>
      </c>
    </row>
    <row r="2137" spans="1:4" x14ac:dyDescent="0.35">
      <c r="A2137" s="6" t="s">
        <v>217</v>
      </c>
      <c r="B2137" s="6" t="s">
        <v>4716</v>
      </c>
      <c r="C2137" s="6" t="s">
        <v>7936</v>
      </c>
      <c r="D2137" s="6" t="s">
        <v>8111</v>
      </c>
    </row>
    <row r="2138" spans="1:4" x14ac:dyDescent="0.35">
      <c r="A2138" s="6" t="s">
        <v>216</v>
      </c>
      <c r="B2138" s="6" t="s">
        <v>4716</v>
      </c>
      <c r="C2138" s="6" t="s">
        <v>7324</v>
      </c>
      <c r="D2138" s="6" t="s">
        <v>8112</v>
      </c>
    </row>
    <row r="2139" spans="1:4" x14ac:dyDescent="0.35">
      <c r="A2139" s="6" t="s">
        <v>215</v>
      </c>
      <c r="B2139" s="6" t="s">
        <v>5590</v>
      </c>
      <c r="C2139" s="6" t="s">
        <v>8113</v>
      </c>
      <c r="D2139" s="6" t="s">
        <v>5536</v>
      </c>
    </row>
    <row r="2140" spans="1:4" x14ac:dyDescent="0.35">
      <c r="A2140" s="6" t="s">
        <v>214</v>
      </c>
      <c r="B2140" s="6" t="s">
        <v>4716</v>
      </c>
      <c r="C2140" s="6" t="s">
        <v>8114</v>
      </c>
      <c r="D2140" s="6" t="s">
        <v>8115</v>
      </c>
    </row>
    <row r="2141" spans="1:4" x14ac:dyDescent="0.35">
      <c r="A2141" s="6" t="s">
        <v>213</v>
      </c>
      <c r="B2141" s="6" t="s">
        <v>4716</v>
      </c>
      <c r="C2141" s="6" t="s">
        <v>8116</v>
      </c>
      <c r="D2141" s="6" t="s">
        <v>4899</v>
      </c>
    </row>
    <row r="2142" spans="1:4" x14ac:dyDescent="0.35">
      <c r="A2142" s="6" t="s">
        <v>212</v>
      </c>
      <c r="B2142" s="6" t="s">
        <v>4713</v>
      </c>
      <c r="C2142" s="6" t="s">
        <v>8117</v>
      </c>
      <c r="D2142" s="6" t="s">
        <v>4869</v>
      </c>
    </row>
    <row r="2143" spans="1:4" x14ac:dyDescent="0.35">
      <c r="A2143" s="6" t="s">
        <v>211</v>
      </c>
      <c r="B2143" s="6" t="s">
        <v>4713</v>
      </c>
      <c r="C2143" s="6" t="s">
        <v>8118</v>
      </c>
      <c r="D2143" s="6" t="s">
        <v>8119</v>
      </c>
    </row>
    <row r="2144" spans="1:4" x14ac:dyDescent="0.35">
      <c r="A2144" s="6" t="s">
        <v>210</v>
      </c>
      <c r="B2144" s="6" t="s">
        <v>4713</v>
      </c>
      <c r="C2144" s="6" t="s">
        <v>8120</v>
      </c>
      <c r="D2144" s="6" t="s">
        <v>8121</v>
      </c>
    </row>
    <row r="2145" spans="1:4" x14ac:dyDescent="0.35">
      <c r="A2145" s="6" t="s">
        <v>209</v>
      </c>
      <c r="B2145" s="6" t="s">
        <v>4713</v>
      </c>
      <c r="C2145" s="6" t="s">
        <v>8122</v>
      </c>
      <c r="D2145" s="6" t="s">
        <v>8123</v>
      </c>
    </row>
    <row r="2146" spans="1:4" x14ac:dyDescent="0.35">
      <c r="A2146" s="6" t="s">
        <v>208</v>
      </c>
      <c r="B2146" s="6" t="s">
        <v>4716</v>
      </c>
      <c r="C2146" s="6" t="s">
        <v>8124</v>
      </c>
      <c r="D2146" s="6" t="s">
        <v>8125</v>
      </c>
    </row>
    <row r="2147" spans="1:4" x14ac:dyDescent="0.35">
      <c r="A2147" s="6" t="s">
        <v>207</v>
      </c>
      <c r="B2147" s="6" t="s">
        <v>4716</v>
      </c>
      <c r="C2147" s="6" t="s">
        <v>8126</v>
      </c>
      <c r="D2147" s="6" t="s">
        <v>8127</v>
      </c>
    </row>
    <row r="2148" spans="1:4" x14ac:dyDescent="0.35">
      <c r="A2148" s="6" t="s">
        <v>206</v>
      </c>
      <c r="B2148" s="6" t="s">
        <v>4716</v>
      </c>
      <c r="C2148" s="6" t="s">
        <v>8128</v>
      </c>
      <c r="D2148" s="6" t="s">
        <v>8129</v>
      </c>
    </row>
    <row r="2149" spans="1:4" x14ac:dyDescent="0.35">
      <c r="A2149" s="6" t="s">
        <v>205</v>
      </c>
      <c r="B2149" s="6" t="s">
        <v>4716</v>
      </c>
      <c r="C2149" s="6" t="s">
        <v>8130</v>
      </c>
      <c r="D2149" s="6" t="s">
        <v>8131</v>
      </c>
    </row>
    <row r="2150" spans="1:4" x14ac:dyDescent="0.35">
      <c r="A2150" s="6" t="s">
        <v>204</v>
      </c>
      <c r="B2150" s="6" t="s">
        <v>4716</v>
      </c>
      <c r="C2150" s="6" t="s">
        <v>8132</v>
      </c>
      <c r="D2150" s="6" t="s">
        <v>4766</v>
      </c>
    </row>
    <row r="2151" spans="1:4" x14ac:dyDescent="0.35">
      <c r="A2151" s="6" t="s">
        <v>203</v>
      </c>
      <c r="B2151" s="6" t="s">
        <v>4716</v>
      </c>
      <c r="C2151" s="6" t="s">
        <v>7073</v>
      </c>
      <c r="D2151" s="6" t="s">
        <v>8133</v>
      </c>
    </row>
    <row r="2152" spans="1:4" x14ac:dyDescent="0.35">
      <c r="A2152" s="6" t="s">
        <v>202</v>
      </c>
      <c r="B2152" s="6" t="s">
        <v>4716</v>
      </c>
      <c r="C2152" s="6" t="s">
        <v>8134</v>
      </c>
      <c r="D2152" s="6" t="s">
        <v>8135</v>
      </c>
    </row>
    <row r="2153" spans="1:4" x14ac:dyDescent="0.35">
      <c r="A2153" s="6" t="s">
        <v>201</v>
      </c>
      <c r="B2153" s="6" t="s">
        <v>4716</v>
      </c>
      <c r="C2153" s="6" t="s">
        <v>8136</v>
      </c>
      <c r="D2153" s="6" t="s">
        <v>8137</v>
      </c>
    </row>
    <row r="2154" spans="1:4" x14ac:dyDescent="0.35">
      <c r="A2154" s="6" t="s">
        <v>200</v>
      </c>
      <c r="B2154" s="6" t="s">
        <v>4716</v>
      </c>
      <c r="C2154" s="6" t="s">
        <v>8138</v>
      </c>
      <c r="D2154" s="6" t="s">
        <v>8139</v>
      </c>
    </row>
    <row r="2155" spans="1:4" x14ac:dyDescent="0.35">
      <c r="A2155" s="6" t="s">
        <v>199</v>
      </c>
      <c r="B2155" s="6" t="s">
        <v>4716</v>
      </c>
      <c r="C2155" s="6" t="s">
        <v>8140</v>
      </c>
      <c r="D2155" s="6" t="s">
        <v>8141</v>
      </c>
    </row>
    <row r="2156" spans="1:4" x14ac:dyDescent="0.35">
      <c r="A2156" s="6" t="s">
        <v>198</v>
      </c>
      <c r="B2156" s="6" t="s">
        <v>4716</v>
      </c>
      <c r="C2156" s="6" t="s">
        <v>8088</v>
      </c>
      <c r="D2156" s="6" t="s">
        <v>8142</v>
      </c>
    </row>
    <row r="2157" spans="1:4" x14ac:dyDescent="0.35">
      <c r="A2157" s="6" t="s">
        <v>197</v>
      </c>
      <c r="B2157" s="6" t="s">
        <v>4716</v>
      </c>
      <c r="C2157" s="6" t="s">
        <v>8143</v>
      </c>
      <c r="D2157" s="6" t="s">
        <v>7780</v>
      </c>
    </row>
    <row r="2158" spans="1:4" x14ac:dyDescent="0.35">
      <c r="A2158" s="6" t="s">
        <v>196</v>
      </c>
      <c r="B2158" s="6" t="s">
        <v>4716</v>
      </c>
      <c r="C2158" s="6" t="s">
        <v>8144</v>
      </c>
      <c r="D2158" s="6" t="s">
        <v>4730</v>
      </c>
    </row>
    <row r="2159" spans="1:4" x14ac:dyDescent="0.35">
      <c r="A2159" s="6" t="s">
        <v>195</v>
      </c>
      <c r="B2159" s="6" t="s">
        <v>4713</v>
      </c>
      <c r="C2159" s="6" t="s">
        <v>8145</v>
      </c>
      <c r="D2159" s="6" t="s">
        <v>8146</v>
      </c>
    </row>
    <row r="2160" spans="1:4" x14ac:dyDescent="0.35">
      <c r="A2160" s="6" t="s">
        <v>194</v>
      </c>
      <c r="B2160" s="6" t="s">
        <v>4713</v>
      </c>
      <c r="C2160" s="6" t="s">
        <v>8147</v>
      </c>
      <c r="D2160" s="6" t="s">
        <v>7548</v>
      </c>
    </row>
    <row r="2161" spans="1:4" x14ac:dyDescent="0.35">
      <c r="A2161" s="6" t="s">
        <v>193</v>
      </c>
      <c r="B2161" s="6" t="s">
        <v>4713</v>
      </c>
      <c r="C2161" s="6" t="s">
        <v>8148</v>
      </c>
      <c r="D2161" s="6" t="s">
        <v>8149</v>
      </c>
    </row>
    <row r="2162" spans="1:4" x14ac:dyDescent="0.35">
      <c r="A2162" s="6" t="s">
        <v>192</v>
      </c>
      <c r="B2162" s="6" t="s">
        <v>4713</v>
      </c>
      <c r="C2162" s="6" t="s">
        <v>8150</v>
      </c>
      <c r="D2162" s="6" t="s">
        <v>6070</v>
      </c>
    </row>
    <row r="2163" spans="1:4" x14ac:dyDescent="0.35">
      <c r="A2163" s="6" t="s">
        <v>191</v>
      </c>
      <c r="B2163" s="6" t="s">
        <v>4713</v>
      </c>
      <c r="C2163" s="6" t="s">
        <v>8151</v>
      </c>
      <c r="D2163" s="6" t="s">
        <v>5070</v>
      </c>
    </row>
    <row r="2164" spans="1:4" x14ac:dyDescent="0.35">
      <c r="A2164" s="6" t="s">
        <v>189</v>
      </c>
      <c r="B2164" s="6" t="s">
        <v>5590</v>
      </c>
      <c r="C2164" s="6" t="s">
        <v>8152</v>
      </c>
      <c r="D2164" s="6" t="s">
        <v>8153</v>
      </c>
    </row>
    <row r="2165" spans="1:4" x14ac:dyDescent="0.35">
      <c r="A2165" s="6" t="s">
        <v>188</v>
      </c>
      <c r="B2165" s="6" t="s">
        <v>4713</v>
      </c>
      <c r="C2165" s="6" t="s">
        <v>4870</v>
      </c>
      <c r="D2165" s="6" t="s">
        <v>8154</v>
      </c>
    </row>
    <row r="2166" spans="1:4" x14ac:dyDescent="0.35">
      <c r="A2166" s="6" t="s">
        <v>187</v>
      </c>
      <c r="B2166" s="6" t="s">
        <v>4716</v>
      </c>
      <c r="C2166" s="6" t="s">
        <v>8155</v>
      </c>
      <c r="D2166" s="6" t="s">
        <v>6000</v>
      </c>
    </row>
    <row r="2167" spans="1:4" x14ac:dyDescent="0.35">
      <c r="A2167" s="6" t="s">
        <v>186</v>
      </c>
      <c r="B2167" s="6" t="s">
        <v>4716</v>
      </c>
      <c r="C2167" s="6" t="s">
        <v>8156</v>
      </c>
      <c r="D2167" s="6" t="s">
        <v>8157</v>
      </c>
    </row>
    <row r="2168" spans="1:4" x14ac:dyDescent="0.35">
      <c r="A2168" s="6" t="s">
        <v>185</v>
      </c>
      <c r="B2168" s="6" t="s">
        <v>4716</v>
      </c>
      <c r="C2168" s="6" t="s">
        <v>8158</v>
      </c>
      <c r="D2168" s="6" t="s">
        <v>8159</v>
      </c>
    </row>
    <row r="2169" spans="1:4" x14ac:dyDescent="0.35">
      <c r="A2169" s="6" t="s">
        <v>184</v>
      </c>
      <c r="B2169" s="6" t="s">
        <v>4716</v>
      </c>
      <c r="C2169" s="6" t="s">
        <v>8160</v>
      </c>
      <c r="D2169" s="6" t="s">
        <v>5747</v>
      </c>
    </row>
    <row r="2170" spans="1:4" x14ac:dyDescent="0.35">
      <c r="A2170" s="6" t="s">
        <v>183</v>
      </c>
      <c r="B2170" s="6" t="s">
        <v>4716</v>
      </c>
      <c r="C2170" s="6" t="s">
        <v>8161</v>
      </c>
      <c r="D2170" s="6" t="s">
        <v>8162</v>
      </c>
    </row>
    <row r="2171" spans="1:4" x14ac:dyDescent="0.35">
      <c r="A2171" s="6" t="s">
        <v>182</v>
      </c>
      <c r="B2171" s="6" t="s">
        <v>4716</v>
      </c>
      <c r="C2171" s="6" t="s">
        <v>8163</v>
      </c>
      <c r="D2171" s="6" t="s">
        <v>4994</v>
      </c>
    </row>
    <row r="2172" spans="1:4" x14ac:dyDescent="0.35">
      <c r="A2172" s="6" t="s">
        <v>181</v>
      </c>
      <c r="B2172" s="6" t="s">
        <v>4713</v>
      </c>
      <c r="C2172" s="6" t="s">
        <v>8164</v>
      </c>
      <c r="D2172" s="6" t="s">
        <v>6360</v>
      </c>
    </row>
    <row r="2173" spans="1:4" x14ac:dyDescent="0.35">
      <c r="A2173" s="6" t="s">
        <v>180</v>
      </c>
      <c r="B2173" s="6" t="s">
        <v>4716</v>
      </c>
      <c r="C2173" s="6" t="s">
        <v>7441</v>
      </c>
      <c r="D2173" s="6" t="s">
        <v>5008</v>
      </c>
    </row>
    <row r="2174" spans="1:4" x14ac:dyDescent="0.35">
      <c r="A2174" s="6" t="s">
        <v>179</v>
      </c>
      <c r="B2174" s="6" t="s">
        <v>4716</v>
      </c>
      <c r="C2174" s="6" t="s">
        <v>8165</v>
      </c>
      <c r="D2174" s="6" t="s">
        <v>8166</v>
      </c>
    </row>
    <row r="2175" spans="1:4" x14ac:dyDescent="0.35">
      <c r="A2175" s="6" t="s">
        <v>178</v>
      </c>
      <c r="B2175" s="6" t="s">
        <v>4713</v>
      </c>
      <c r="C2175" s="6" t="s">
        <v>6619</v>
      </c>
      <c r="D2175" s="6" t="s">
        <v>8167</v>
      </c>
    </row>
    <row r="2176" spans="1:4" x14ac:dyDescent="0.35">
      <c r="A2176" s="6" t="s">
        <v>177</v>
      </c>
      <c r="B2176" s="6" t="s">
        <v>4716</v>
      </c>
      <c r="C2176" s="6" t="s">
        <v>8168</v>
      </c>
      <c r="D2176" s="6" t="s">
        <v>8169</v>
      </c>
    </row>
    <row r="2177" spans="1:4" x14ac:dyDescent="0.35">
      <c r="A2177" s="6" t="s">
        <v>176</v>
      </c>
      <c r="B2177" s="6" t="s">
        <v>4713</v>
      </c>
      <c r="C2177" s="6" t="s">
        <v>5141</v>
      </c>
      <c r="D2177" s="6" t="s">
        <v>8170</v>
      </c>
    </row>
    <row r="2178" spans="1:4" x14ac:dyDescent="0.35">
      <c r="A2178" s="6" t="s">
        <v>175</v>
      </c>
      <c r="B2178" s="6" t="s">
        <v>4713</v>
      </c>
      <c r="C2178" s="6" t="s">
        <v>5126</v>
      </c>
      <c r="D2178" s="6" t="s">
        <v>8171</v>
      </c>
    </row>
    <row r="2179" spans="1:4" x14ac:dyDescent="0.35">
      <c r="A2179" s="6" t="s">
        <v>174</v>
      </c>
      <c r="B2179" s="6" t="s">
        <v>4713</v>
      </c>
      <c r="C2179" s="6" t="s">
        <v>5893</v>
      </c>
      <c r="D2179" s="6" t="s">
        <v>5371</v>
      </c>
    </row>
    <row r="2180" spans="1:4" x14ac:dyDescent="0.35">
      <c r="A2180" s="6" t="s">
        <v>173</v>
      </c>
      <c r="B2180" s="6" t="s">
        <v>4713</v>
      </c>
      <c r="C2180" s="6" t="s">
        <v>8172</v>
      </c>
      <c r="D2180" s="6" t="s">
        <v>8173</v>
      </c>
    </row>
    <row r="2181" spans="1:4" x14ac:dyDescent="0.35">
      <c r="A2181" s="6" t="s">
        <v>172</v>
      </c>
      <c r="B2181" s="6" t="s">
        <v>4713</v>
      </c>
      <c r="C2181" s="6" t="s">
        <v>6676</v>
      </c>
      <c r="D2181" s="6" t="s">
        <v>5333</v>
      </c>
    </row>
    <row r="2182" spans="1:4" x14ac:dyDescent="0.35">
      <c r="A2182" s="6" t="s">
        <v>171</v>
      </c>
      <c r="B2182" s="6" t="s">
        <v>4713</v>
      </c>
      <c r="C2182" s="6" t="s">
        <v>8174</v>
      </c>
      <c r="D2182" s="6" t="s">
        <v>8175</v>
      </c>
    </row>
    <row r="2183" spans="1:4" x14ac:dyDescent="0.35">
      <c r="A2183" s="6" t="s">
        <v>170</v>
      </c>
      <c r="B2183" s="6" t="s">
        <v>4713</v>
      </c>
      <c r="C2183" s="6" t="s">
        <v>8176</v>
      </c>
      <c r="D2183" s="6" t="s">
        <v>5367</v>
      </c>
    </row>
    <row r="2184" spans="1:4" x14ac:dyDescent="0.35">
      <c r="A2184" s="6" t="s">
        <v>169</v>
      </c>
      <c r="B2184" s="6" t="s">
        <v>4716</v>
      </c>
      <c r="C2184" s="6" t="s">
        <v>5426</v>
      </c>
      <c r="D2184" s="6" t="s">
        <v>7648</v>
      </c>
    </row>
    <row r="2185" spans="1:4" x14ac:dyDescent="0.35">
      <c r="A2185" s="6" t="s">
        <v>168</v>
      </c>
      <c r="B2185" s="6" t="s">
        <v>4716</v>
      </c>
      <c r="C2185" s="6" t="s">
        <v>8177</v>
      </c>
      <c r="D2185" s="6" t="s">
        <v>8178</v>
      </c>
    </row>
    <row r="2186" spans="1:4" x14ac:dyDescent="0.35">
      <c r="A2186" s="6" t="s">
        <v>167</v>
      </c>
      <c r="B2186" s="6" t="s">
        <v>4716</v>
      </c>
      <c r="C2186" s="6" t="s">
        <v>8179</v>
      </c>
      <c r="D2186" s="6" t="s">
        <v>5198</v>
      </c>
    </row>
    <row r="2187" spans="1:4" x14ac:dyDescent="0.35">
      <c r="A2187" s="6" t="s">
        <v>166</v>
      </c>
      <c r="B2187" s="6" t="s">
        <v>4716</v>
      </c>
      <c r="C2187" s="6" t="s">
        <v>5695</v>
      </c>
      <c r="D2187" s="6" t="s">
        <v>8180</v>
      </c>
    </row>
    <row r="2188" spans="1:4" x14ac:dyDescent="0.35">
      <c r="A2188" s="6" t="s">
        <v>165</v>
      </c>
      <c r="B2188" s="6" t="s">
        <v>4716</v>
      </c>
      <c r="C2188" s="6" t="s">
        <v>8181</v>
      </c>
      <c r="D2188" s="6" t="s">
        <v>4728</v>
      </c>
    </row>
    <row r="2189" spans="1:4" x14ac:dyDescent="0.35">
      <c r="A2189" s="6" t="s">
        <v>164</v>
      </c>
      <c r="B2189" s="6" t="s">
        <v>4716</v>
      </c>
      <c r="C2189" s="6" t="s">
        <v>8182</v>
      </c>
      <c r="D2189" s="6" t="s">
        <v>4877</v>
      </c>
    </row>
    <row r="2190" spans="1:4" x14ac:dyDescent="0.35">
      <c r="A2190" s="6" t="s">
        <v>163</v>
      </c>
      <c r="B2190" s="6" t="s">
        <v>4716</v>
      </c>
      <c r="C2190" s="6" t="s">
        <v>6958</v>
      </c>
      <c r="D2190" s="6" t="s">
        <v>8183</v>
      </c>
    </row>
    <row r="2191" spans="1:4" x14ac:dyDescent="0.35">
      <c r="A2191" s="6" t="s">
        <v>162</v>
      </c>
      <c r="B2191" s="6" t="s">
        <v>4716</v>
      </c>
      <c r="C2191" s="6" t="s">
        <v>8184</v>
      </c>
      <c r="D2191" s="6" t="s">
        <v>8185</v>
      </c>
    </row>
    <row r="2192" spans="1:4" x14ac:dyDescent="0.35">
      <c r="A2192" s="6" t="s">
        <v>161</v>
      </c>
      <c r="B2192" s="6" t="s">
        <v>4716</v>
      </c>
      <c r="C2192" s="6" t="s">
        <v>5123</v>
      </c>
      <c r="D2192" s="6" t="s">
        <v>8186</v>
      </c>
    </row>
    <row r="2193" spans="1:4" x14ac:dyDescent="0.35">
      <c r="A2193" s="6" t="s">
        <v>159</v>
      </c>
      <c r="B2193" s="6" t="s">
        <v>4716</v>
      </c>
      <c r="C2193" s="6" t="s">
        <v>8187</v>
      </c>
      <c r="D2193" s="6" t="s">
        <v>8188</v>
      </c>
    </row>
    <row r="2194" spans="1:4" x14ac:dyDescent="0.35">
      <c r="A2194" s="6" t="s">
        <v>157</v>
      </c>
      <c r="B2194" s="6" t="s">
        <v>4716</v>
      </c>
      <c r="C2194" s="6" t="s">
        <v>7551</v>
      </c>
      <c r="D2194" s="6" t="s">
        <v>8189</v>
      </c>
    </row>
    <row r="2195" spans="1:4" x14ac:dyDescent="0.35">
      <c r="A2195" s="6" t="s">
        <v>155</v>
      </c>
      <c r="B2195" s="6" t="s">
        <v>4716</v>
      </c>
      <c r="C2195" s="6" t="s">
        <v>5809</v>
      </c>
      <c r="D2195" s="6" t="s">
        <v>8190</v>
      </c>
    </row>
    <row r="2196" spans="1:4" x14ac:dyDescent="0.35">
      <c r="A2196" s="6" t="s">
        <v>153</v>
      </c>
      <c r="B2196" s="6" t="s">
        <v>4716</v>
      </c>
      <c r="C2196" s="6" t="s">
        <v>8191</v>
      </c>
      <c r="D2196" s="6" t="s">
        <v>8192</v>
      </c>
    </row>
    <row r="2197" spans="1:4" x14ac:dyDescent="0.35">
      <c r="A2197" s="6" t="s">
        <v>152</v>
      </c>
      <c r="B2197" s="6" t="s">
        <v>4716</v>
      </c>
      <c r="C2197" s="6" t="s">
        <v>5639</v>
      </c>
      <c r="D2197" s="6" t="s">
        <v>8193</v>
      </c>
    </row>
    <row r="2198" spans="1:4" x14ac:dyDescent="0.35">
      <c r="A2198" s="6" t="s">
        <v>151</v>
      </c>
      <c r="B2198" s="6" t="s">
        <v>4716</v>
      </c>
      <c r="C2198" s="6" t="s">
        <v>8194</v>
      </c>
      <c r="D2198" s="6" t="s">
        <v>8195</v>
      </c>
    </row>
    <row r="2199" spans="1:4" x14ac:dyDescent="0.35">
      <c r="A2199" s="6" t="s">
        <v>150</v>
      </c>
      <c r="B2199" s="6" t="s">
        <v>4716</v>
      </c>
      <c r="C2199" s="6" t="s">
        <v>8196</v>
      </c>
      <c r="D2199" s="6" t="s">
        <v>4811</v>
      </c>
    </row>
    <row r="2200" spans="1:4" x14ac:dyDescent="0.35">
      <c r="A2200" s="6" t="s">
        <v>149</v>
      </c>
      <c r="B2200" s="6" t="s">
        <v>4716</v>
      </c>
      <c r="C2200" s="6" t="s">
        <v>8197</v>
      </c>
      <c r="D2200" s="6" t="s">
        <v>8198</v>
      </c>
    </row>
    <row r="2201" spans="1:4" x14ac:dyDescent="0.35">
      <c r="A2201" s="6" t="s">
        <v>148</v>
      </c>
      <c r="B2201" s="6" t="s">
        <v>4716</v>
      </c>
      <c r="C2201" s="6" t="s">
        <v>8199</v>
      </c>
      <c r="D2201" s="6" t="s">
        <v>8200</v>
      </c>
    </row>
    <row r="2202" spans="1:4" x14ac:dyDescent="0.35">
      <c r="A2202" s="6" t="s">
        <v>147</v>
      </c>
      <c r="B2202" s="6" t="s">
        <v>4716</v>
      </c>
      <c r="C2202" s="6" t="s">
        <v>8201</v>
      </c>
      <c r="D2202" s="6" t="s">
        <v>8202</v>
      </c>
    </row>
    <row r="2203" spans="1:4" x14ac:dyDescent="0.35">
      <c r="A2203" s="6" t="s">
        <v>146</v>
      </c>
      <c r="B2203" s="6" t="s">
        <v>4716</v>
      </c>
      <c r="C2203" s="6" t="s">
        <v>8203</v>
      </c>
      <c r="D2203" s="6" t="s">
        <v>5062</v>
      </c>
    </row>
    <row r="2204" spans="1:4" x14ac:dyDescent="0.35">
      <c r="A2204" s="6" t="s">
        <v>145</v>
      </c>
      <c r="B2204" s="6" t="s">
        <v>4713</v>
      </c>
      <c r="C2204" s="6" t="s">
        <v>8204</v>
      </c>
      <c r="D2204" s="6" t="s">
        <v>8205</v>
      </c>
    </row>
    <row r="2205" spans="1:4" x14ac:dyDescent="0.35">
      <c r="A2205" s="6" t="s">
        <v>144</v>
      </c>
      <c r="B2205" s="6" t="s">
        <v>4713</v>
      </c>
      <c r="C2205" s="6" t="s">
        <v>8206</v>
      </c>
      <c r="D2205" s="6" t="s">
        <v>8207</v>
      </c>
    </row>
    <row r="2206" spans="1:4" x14ac:dyDescent="0.35">
      <c r="A2206" s="6" t="s">
        <v>143</v>
      </c>
      <c r="B2206" s="6" t="s">
        <v>4713</v>
      </c>
      <c r="C2206" s="6" t="s">
        <v>8208</v>
      </c>
      <c r="D2206" s="6" t="s">
        <v>8209</v>
      </c>
    </row>
    <row r="2207" spans="1:4" x14ac:dyDescent="0.35">
      <c r="A2207" s="6" t="s">
        <v>142</v>
      </c>
      <c r="B2207" s="6" t="s">
        <v>4716</v>
      </c>
      <c r="C2207" s="6" t="s">
        <v>8210</v>
      </c>
      <c r="D2207" s="6" t="s">
        <v>8211</v>
      </c>
    </row>
    <row r="2208" spans="1:4" x14ac:dyDescent="0.35">
      <c r="A2208" s="6" t="s">
        <v>141</v>
      </c>
      <c r="B2208" s="6" t="s">
        <v>4716</v>
      </c>
      <c r="C2208" s="6" t="s">
        <v>8212</v>
      </c>
      <c r="D2208" s="6" t="s">
        <v>7115</v>
      </c>
    </row>
    <row r="2209" spans="1:4" x14ac:dyDescent="0.35">
      <c r="A2209" s="6" t="s">
        <v>140</v>
      </c>
      <c r="B2209" s="6" t="s">
        <v>4713</v>
      </c>
      <c r="C2209" s="6" t="s">
        <v>8213</v>
      </c>
      <c r="D2209" s="6" t="s">
        <v>8214</v>
      </c>
    </row>
    <row r="2210" spans="1:4" x14ac:dyDescent="0.35">
      <c r="A2210" s="6" t="s">
        <v>139</v>
      </c>
      <c r="B2210" s="6" t="s">
        <v>4713</v>
      </c>
      <c r="C2210" s="6" t="s">
        <v>8215</v>
      </c>
      <c r="D2210" s="6" t="s">
        <v>8216</v>
      </c>
    </row>
    <row r="2211" spans="1:4" x14ac:dyDescent="0.35">
      <c r="A2211" s="6" t="s">
        <v>138</v>
      </c>
      <c r="B2211" s="6" t="s">
        <v>4713</v>
      </c>
      <c r="C2211" s="6" t="s">
        <v>8217</v>
      </c>
      <c r="D2211" s="6" t="s">
        <v>4748</v>
      </c>
    </row>
    <row r="2212" spans="1:4" x14ac:dyDescent="0.35">
      <c r="A2212" s="6" t="s">
        <v>137</v>
      </c>
      <c r="B2212" s="6" t="s">
        <v>4716</v>
      </c>
      <c r="C2212" s="6" t="s">
        <v>8218</v>
      </c>
      <c r="D2212" s="6" t="s">
        <v>7826</v>
      </c>
    </row>
    <row r="2213" spans="1:4" x14ac:dyDescent="0.35">
      <c r="A2213" s="6" t="s">
        <v>136</v>
      </c>
      <c r="B2213" s="6" t="s">
        <v>4716</v>
      </c>
      <c r="C2213" s="6" t="s">
        <v>7637</v>
      </c>
      <c r="D2213" s="6" t="s">
        <v>7115</v>
      </c>
    </row>
    <row r="2214" spans="1:4" x14ac:dyDescent="0.35">
      <c r="A2214" s="6" t="s">
        <v>135</v>
      </c>
      <c r="B2214" s="6" t="s">
        <v>4716</v>
      </c>
      <c r="C2214" s="6" t="s">
        <v>8219</v>
      </c>
      <c r="D2214" s="6" t="s">
        <v>5471</v>
      </c>
    </row>
    <row r="2215" spans="1:4" x14ac:dyDescent="0.35">
      <c r="A2215" s="6" t="s">
        <v>134</v>
      </c>
      <c r="B2215" s="6" t="s">
        <v>4713</v>
      </c>
      <c r="C2215" s="6" t="s">
        <v>8220</v>
      </c>
      <c r="D2215" s="6" t="s">
        <v>8221</v>
      </c>
    </row>
    <row r="2216" spans="1:4" x14ac:dyDescent="0.35">
      <c r="A2216" s="6" t="s">
        <v>133</v>
      </c>
      <c r="B2216" s="6" t="s">
        <v>4713</v>
      </c>
      <c r="C2216" s="6" t="s">
        <v>8222</v>
      </c>
      <c r="D2216" s="6" t="s">
        <v>5490</v>
      </c>
    </row>
    <row r="2217" spans="1:4" x14ac:dyDescent="0.35">
      <c r="A2217" s="6" t="s">
        <v>132</v>
      </c>
      <c r="B2217" s="6" t="s">
        <v>4716</v>
      </c>
      <c r="C2217" s="6" t="s">
        <v>6072</v>
      </c>
      <c r="D2217" s="6" t="s">
        <v>8223</v>
      </c>
    </row>
    <row r="2218" spans="1:4" x14ac:dyDescent="0.35">
      <c r="A2218" s="6" t="s">
        <v>131</v>
      </c>
      <c r="B2218" s="6" t="s">
        <v>4713</v>
      </c>
      <c r="C2218" s="6" t="s">
        <v>4838</v>
      </c>
      <c r="D2218" s="6" t="s">
        <v>8224</v>
      </c>
    </row>
    <row r="2219" spans="1:4" x14ac:dyDescent="0.35">
      <c r="A2219" s="6" t="s">
        <v>130</v>
      </c>
      <c r="B2219" s="6" t="s">
        <v>4713</v>
      </c>
      <c r="C2219" s="6" t="s">
        <v>8225</v>
      </c>
      <c r="D2219" s="6" t="s">
        <v>6021</v>
      </c>
    </row>
    <row r="2220" spans="1:4" x14ac:dyDescent="0.35">
      <c r="A2220" s="6" t="s">
        <v>129</v>
      </c>
      <c r="B2220" s="6" t="s">
        <v>4713</v>
      </c>
      <c r="C2220" s="6" t="s">
        <v>8226</v>
      </c>
      <c r="D2220" s="6" t="s">
        <v>5148</v>
      </c>
    </row>
    <row r="2221" spans="1:4" x14ac:dyDescent="0.35">
      <c r="A2221" s="6" t="s">
        <v>128</v>
      </c>
      <c r="B2221" s="6" t="s">
        <v>4713</v>
      </c>
      <c r="C2221" s="6" t="s">
        <v>8227</v>
      </c>
      <c r="D2221" s="6" t="s">
        <v>8228</v>
      </c>
    </row>
    <row r="2222" spans="1:4" x14ac:dyDescent="0.35">
      <c r="A2222" s="6" t="s">
        <v>127</v>
      </c>
      <c r="B2222" s="6" t="s">
        <v>4716</v>
      </c>
      <c r="C2222" s="6" t="s">
        <v>8229</v>
      </c>
      <c r="D2222" s="6" t="s">
        <v>4986</v>
      </c>
    </row>
    <row r="2223" spans="1:4" x14ac:dyDescent="0.35">
      <c r="A2223" s="6" t="s">
        <v>126</v>
      </c>
      <c r="B2223" s="6" t="s">
        <v>4716</v>
      </c>
      <c r="C2223" s="6" t="s">
        <v>8230</v>
      </c>
      <c r="D2223" s="6" t="s">
        <v>6508</v>
      </c>
    </row>
    <row r="2224" spans="1:4" x14ac:dyDescent="0.35">
      <c r="A2224" s="6" t="s">
        <v>125</v>
      </c>
      <c r="B2224" s="6" t="s">
        <v>4716</v>
      </c>
      <c r="C2224" s="6" t="s">
        <v>5583</v>
      </c>
      <c r="D2224" s="6" t="s">
        <v>5408</v>
      </c>
    </row>
    <row r="2225" spans="1:4" x14ac:dyDescent="0.35">
      <c r="A2225" s="6" t="s">
        <v>124</v>
      </c>
      <c r="B2225" s="6" t="s">
        <v>4716</v>
      </c>
      <c r="C2225" s="6" t="s">
        <v>8231</v>
      </c>
      <c r="D2225" s="6" t="s">
        <v>6508</v>
      </c>
    </row>
    <row r="2226" spans="1:4" x14ac:dyDescent="0.35">
      <c r="A2226" s="6" t="s">
        <v>123</v>
      </c>
      <c r="B2226" s="6" t="s">
        <v>4716</v>
      </c>
      <c r="C2226" s="6" t="s">
        <v>7641</v>
      </c>
      <c r="D2226" s="6" t="s">
        <v>8232</v>
      </c>
    </row>
    <row r="2227" spans="1:4" x14ac:dyDescent="0.35">
      <c r="A2227" s="6" t="s">
        <v>122</v>
      </c>
      <c r="B2227" s="6" t="s">
        <v>4713</v>
      </c>
      <c r="C2227" s="6" t="s">
        <v>6029</v>
      </c>
      <c r="D2227" s="6" t="s">
        <v>5184</v>
      </c>
    </row>
    <row r="2228" spans="1:4" x14ac:dyDescent="0.35">
      <c r="A2228" s="6" t="s">
        <v>121</v>
      </c>
      <c r="B2228" s="6" t="s">
        <v>4713</v>
      </c>
      <c r="C2228" s="6" t="s">
        <v>6996</v>
      </c>
      <c r="D2228" s="6" t="s">
        <v>6876</v>
      </c>
    </row>
    <row r="2229" spans="1:4" x14ac:dyDescent="0.35">
      <c r="A2229" s="6" t="s">
        <v>120</v>
      </c>
      <c r="B2229" s="6" t="s">
        <v>4713</v>
      </c>
      <c r="C2229" s="6" t="s">
        <v>8233</v>
      </c>
      <c r="D2229" s="6" t="s">
        <v>8234</v>
      </c>
    </row>
    <row r="2230" spans="1:4" x14ac:dyDescent="0.35">
      <c r="A2230" s="6" t="s">
        <v>119</v>
      </c>
      <c r="B2230" s="6" t="s">
        <v>4713</v>
      </c>
      <c r="C2230" s="6" t="s">
        <v>8235</v>
      </c>
      <c r="D2230" s="6" t="s">
        <v>8236</v>
      </c>
    </row>
    <row r="2231" spans="1:4" x14ac:dyDescent="0.35">
      <c r="A2231" s="6" t="s">
        <v>118</v>
      </c>
      <c r="B2231" s="6" t="s">
        <v>4716</v>
      </c>
      <c r="C2231" s="6" t="s">
        <v>8237</v>
      </c>
      <c r="D2231" s="6" t="s">
        <v>8238</v>
      </c>
    </row>
    <row r="2232" spans="1:4" x14ac:dyDescent="0.35">
      <c r="A2232" s="6" t="s">
        <v>117</v>
      </c>
      <c r="B2232" s="6" t="s">
        <v>4713</v>
      </c>
      <c r="C2232" s="6" t="s">
        <v>8239</v>
      </c>
      <c r="D2232" s="6" t="s">
        <v>8240</v>
      </c>
    </row>
    <row r="2233" spans="1:4" x14ac:dyDescent="0.35">
      <c r="A2233" s="6" t="s">
        <v>116</v>
      </c>
      <c r="B2233" s="6" t="s">
        <v>4713</v>
      </c>
      <c r="C2233" s="6" t="s">
        <v>8241</v>
      </c>
      <c r="D2233" s="6" t="s">
        <v>8242</v>
      </c>
    </row>
    <row r="2234" spans="1:4" x14ac:dyDescent="0.35">
      <c r="A2234" s="6" t="s">
        <v>115</v>
      </c>
      <c r="B2234" s="6" t="s">
        <v>4713</v>
      </c>
      <c r="C2234" s="6" t="s">
        <v>8243</v>
      </c>
      <c r="D2234" s="6" t="s">
        <v>8244</v>
      </c>
    </row>
    <row r="2235" spans="1:4" x14ac:dyDescent="0.35">
      <c r="A2235" s="6" t="s">
        <v>114</v>
      </c>
      <c r="B2235" s="6" t="s">
        <v>4716</v>
      </c>
      <c r="C2235" s="6" t="s">
        <v>6565</v>
      </c>
      <c r="D2235" s="6" t="s">
        <v>4728</v>
      </c>
    </row>
    <row r="2236" spans="1:4" x14ac:dyDescent="0.35">
      <c r="A2236" s="6" t="s">
        <v>113</v>
      </c>
      <c r="B2236" s="6" t="s">
        <v>4716</v>
      </c>
      <c r="C2236" s="6" t="s">
        <v>8245</v>
      </c>
      <c r="D2236" s="6" t="s">
        <v>4754</v>
      </c>
    </row>
    <row r="2237" spans="1:4" x14ac:dyDescent="0.35">
      <c r="A2237" s="6" t="s">
        <v>112</v>
      </c>
      <c r="B2237" s="6" t="s">
        <v>4716</v>
      </c>
      <c r="C2237" s="6" t="s">
        <v>8246</v>
      </c>
      <c r="D2237" s="6" t="s">
        <v>8247</v>
      </c>
    </row>
    <row r="2238" spans="1:4" x14ac:dyDescent="0.35">
      <c r="A2238" s="6" t="s">
        <v>111</v>
      </c>
      <c r="B2238" s="6" t="s">
        <v>4716</v>
      </c>
      <c r="C2238" s="6" t="s">
        <v>8248</v>
      </c>
      <c r="D2238" s="6" t="s">
        <v>7635</v>
      </c>
    </row>
    <row r="2239" spans="1:4" x14ac:dyDescent="0.35">
      <c r="A2239" s="6" t="s">
        <v>110</v>
      </c>
      <c r="B2239" s="6" t="s">
        <v>4716</v>
      </c>
      <c r="C2239" s="6" t="s">
        <v>8249</v>
      </c>
      <c r="D2239" s="6" t="s">
        <v>8250</v>
      </c>
    </row>
    <row r="2240" spans="1:4" x14ac:dyDescent="0.35">
      <c r="A2240" s="6" t="s">
        <v>109</v>
      </c>
      <c r="B2240" s="6" t="s">
        <v>4716</v>
      </c>
      <c r="C2240" s="6" t="s">
        <v>4844</v>
      </c>
      <c r="D2240" s="6" t="s">
        <v>8251</v>
      </c>
    </row>
    <row r="2241" spans="1:4" x14ac:dyDescent="0.35">
      <c r="A2241" s="6" t="s">
        <v>108</v>
      </c>
      <c r="B2241" s="6" t="s">
        <v>4713</v>
      </c>
      <c r="C2241" s="6" t="s">
        <v>8252</v>
      </c>
      <c r="D2241" s="6" t="s">
        <v>8253</v>
      </c>
    </row>
    <row r="2242" spans="1:4" x14ac:dyDescent="0.35">
      <c r="A2242" s="6" t="s">
        <v>107</v>
      </c>
      <c r="B2242" s="6" t="s">
        <v>4713</v>
      </c>
      <c r="C2242" s="6" t="s">
        <v>8254</v>
      </c>
      <c r="D2242" s="6" t="s">
        <v>4903</v>
      </c>
    </row>
    <row r="2243" spans="1:4" x14ac:dyDescent="0.35">
      <c r="A2243" s="6" t="s">
        <v>106</v>
      </c>
      <c r="B2243" s="6" t="s">
        <v>4713</v>
      </c>
      <c r="C2243" s="6" t="s">
        <v>8255</v>
      </c>
      <c r="D2243" s="6" t="s">
        <v>8256</v>
      </c>
    </row>
    <row r="2244" spans="1:4" x14ac:dyDescent="0.35">
      <c r="A2244" s="6" t="s">
        <v>105</v>
      </c>
      <c r="B2244" s="6" t="s">
        <v>4716</v>
      </c>
      <c r="C2244" s="6" t="s">
        <v>6296</v>
      </c>
      <c r="D2244" s="6" t="s">
        <v>5475</v>
      </c>
    </row>
    <row r="2245" spans="1:4" x14ac:dyDescent="0.35">
      <c r="A2245" s="6" t="s">
        <v>104</v>
      </c>
      <c r="B2245" s="6" t="s">
        <v>4716</v>
      </c>
      <c r="C2245" s="6" t="s">
        <v>8257</v>
      </c>
      <c r="D2245" s="6" t="s">
        <v>4908</v>
      </c>
    </row>
    <row r="2246" spans="1:4" x14ac:dyDescent="0.35">
      <c r="A2246" s="6" t="s">
        <v>103</v>
      </c>
      <c r="B2246" s="6" t="s">
        <v>4713</v>
      </c>
      <c r="C2246" s="6" t="s">
        <v>5893</v>
      </c>
      <c r="D2246" s="6" t="s">
        <v>7113</v>
      </c>
    </row>
    <row r="2247" spans="1:4" x14ac:dyDescent="0.35">
      <c r="A2247" s="6" t="s">
        <v>102</v>
      </c>
      <c r="B2247" s="6" t="s">
        <v>4713</v>
      </c>
      <c r="C2247" s="6" t="s">
        <v>8258</v>
      </c>
      <c r="D2247" s="6" t="s">
        <v>6082</v>
      </c>
    </row>
    <row r="2248" spans="1:4" x14ac:dyDescent="0.35">
      <c r="A2248" s="6" t="s">
        <v>101</v>
      </c>
      <c r="B2248" s="6" t="s">
        <v>4713</v>
      </c>
      <c r="C2248" s="6" t="s">
        <v>8259</v>
      </c>
      <c r="D2248" s="6" t="s">
        <v>4903</v>
      </c>
    </row>
    <row r="2249" spans="1:4" x14ac:dyDescent="0.35">
      <c r="A2249" s="6" t="s">
        <v>100</v>
      </c>
      <c r="B2249" s="6" t="s">
        <v>4716</v>
      </c>
      <c r="C2249" s="6" t="s">
        <v>8260</v>
      </c>
      <c r="D2249" s="6" t="s">
        <v>8261</v>
      </c>
    </row>
    <row r="2250" spans="1:4" x14ac:dyDescent="0.35">
      <c r="A2250" s="6" t="s">
        <v>99</v>
      </c>
      <c r="B2250" s="6" t="s">
        <v>4716</v>
      </c>
      <c r="C2250" s="6" t="s">
        <v>8262</v>
      </c>
      <c r="D2250" s="6" t="s">
        <v>5645</v>
      </c>
    </row>
    <row r="2251" spans="1:4" x14ac:dyDescent="0.35">
      <c r="A2251" s="6" t="s">
        <v>98</v>
      </c>
      <c r="B2251" s="6" t="s">
        <v>4713</v>
      </c>
      <c r="C2251" s="6" t="s">
        <v>8263</v>
      </c>
      <c r="D2251" s="6" t="s">
        <v>5763</v>
      </c>
    </row>
    <row r="2252" spans="1:4" x14ac:dyDescent="0.35">
      <c r="A2252" s="6" t="s">
        <v>97</v>
      </c>
      <c r="B2252" s="6" t="s">
        <v>4713</v>
      </c>
      <c r="C2252" s="6" t="s">
        <v>8264</v>
      </c>
      <c r="D2252" s="6" t="s">
        <v>4773</v>
      </c>
    </row>
    <row r="2253" spans="1:4" x14ac:dyDescent="0.35">
      <c r="A2253" s="6" t="s">
        <v>96</v>
      </c>
      <c r="B2253" s="6" t="s">
        <v>4716</v>
      </c>
      <c r="C2253" s="6" t="s">
        <v>8265</v>
      </c>
      <c r="D2253" s="6" t="s">
        <v>5471</v>
      </c>
    </row>
    <row r="2254" spans="1:4" x14ac:dyDescent="0.35">
      <c r="A2254" s="6" t="s">
        <v>95</v>
      </c>
      <c r="B2254" s="6" t="s">
        <v>4713</v>
      </c>
      <c r="C2254" s="6" t="s">
        <v>8266</v>
      </c>
      <c r="D2254" s="6" t="s">
        <v>8267</v>
      </c>
    </row>
    <row r="2255" spans="1:4" x14ac:dyDescent="0.35">
      <c r="A2255" s="6" t="s">
        <v>94</v>
      </c>
      <c r="B2255" s="6" t="s">
        <v>4713</v>
      </c>
      <c r="C2255" s="6" t="s">
        <v>8268</v>
      </c>
      <c r="D2255" s="6" t="s">
        <v>6499</v>
      </c>
    </row>
    <row r="2256" spans="1:4" x14ac:dyDescent="0.35">
      <c r="A2256" s="6" t="s">
        <v>93</v>
      </c>
      <c r="B2256" s="6" t="s">
        <v>4713</v>
      </c>
      <c r="C2256" s="6" t="s">
        <v>8269</v>
      </c>
      <c r="D2256" s="6" t="s">
        <v>8270</v>
      </c>
    </row>
    <row r="2257" spans="1:4" x14ac:dyDescent="0.35">
      <c r="A2257" s="6" t="s">
        <v>92</v>
      </c>
      <c r="B2257" s="6" t="s">
        <v>4716</v>
      </c>
      <c r="C2257" s="6" t="s">
        <v>4844</v>
      </c>
      <c r="D2257" s="6" t="s">
        <v>8271</v>
      </c>
    </row>
    <row r="2258" spans="1:4" x14ac:dyDescent="0.35">
      <c r="A2258" s="6" t="s">
        <v>91</v>
      </c>
      <c r="B2258" s="6" t="s">
        <v>4716</v>
      </c>
      <c r="C2258" s="6" t="s">
        <v>8272</v>
      </c>
      <c r="D2258" s="6" t="s">
        <v>8273</v>
      </c>
    </row>
    <row r="2259" spans="1:4" x14ac:dyDescent="0.35">
      <c r="A2259" s="6" t="s">
        <v>90</v>
      </c>
      <c r="B2259" s="6" t="s">
        <v>4716</v>
      </c>
      <c r="C2259" s="6" t="s">
        <v>8274</v>
      </c>
      <c r="D2259" s="6" t="s">
        <v>8275</v>
      </c>
    </row>
    <row r="2260" spans="1:4" x14ac:dyDescent="0.35">
      <c r="A2260" s="6" t="s">
        <v>89</v>
      </c>
      <c r="B2260" s="6" t="s">
        <v>4716</v>
      </c>
      <c r="C2260" s="6" t="s">
        <v>8276</v>
      </c>
      <c r="D2260" s="6" t="s">
        <v>8277</v>
      </c>
    </row>
    <row r="2261" spans="1:4" x14ac:dyDescent="0.35">
      <c r="A2261" s="6" t="s">
        <v>88</v>
      </c>
      <c r="B2261" s="6" t="s">
        <v>4716</v>
      </c>
      <c r="C2261" s="6" t="s">
        <v>8278</v>
      </c>
      <c r="D2261" s="6" t="s">
        <v>5150</v>
      </c>
    </row>
    <row r="2262" spans="1:4" x14ac:dyDescent="0.35">
      <c r="A2262" s="6" t="s">
        <v>87</v>
      </c>
      <c r="B2262" s="6" t="s">
        <v>4713</v>
      </c>
      <c r="C2262" s="6" t="s">
        <v>8279</v>
      </c>
      <c r="D2262" s="6" t="s">
        <v>4865</v>
      </c>
    </row>
    <row r="2263" spans="1:4" x14ac:dyDescent="0.35">
      <c r="A2263" s="6" t="s">
        <v>86</v>
      </c>
      <c r="B2263" s="6" t="s">
        <v>4716</v>
      </c>
      <c r="C2263" s="6" t="s">
        <v>8280</v>
      </c>
      <c r="D2263" s="6" t="s">
        <v>4843</v>
      </c>
    </row>
    <row r="2264" spans="1:4" x14ac:dyDescent="0.35">
      <c r="A2264" s="6" t="s">
        <v>85</v>
      </c>
      <c r="B2264" s="6" t="s">
        <v>4716</v>
      </c>
      <c r="C2264" s="6" t="s">
        <v>8281</v>
      </c>
      <c r="D2264" s="6" t="s">
        <v>5111</v>
      </c>
    </row>
    <row r="2265" spans="1:4" x14ac:dyDescent="0.35">
      <c r="A2265" s="6" t="s">
        <v>84</v>
      </c>
      <c r="B2265" s="6" t="s">
        <v>4716</v>
      </c>
      <c r="C2265" s="6" t="s">
        <v>8282</v>
      </c>
      <c r="D2265" s="6" t="s">
        <v>8283</v>
      </c>
    </row>
    <row r="2266" spans="1:4" x14ac:dyDescent="0.35">
      <c r="A2266" s="6" t="s">
        <v>83</v>
      </c>
      <c r="B2266" s="6" t="s">
        <v>4716</v>
      </c>
      <c r="C2266" s="6" t="s">
        <v>7410</v>
      </c>
      <c r="D2266" s="6" t="s">
        <v>5014</v>
      </c>
    </row>
    <row r="2267" spans="1:4" x14ac:dyDescent="0.35">
      <c r="A2267" s="6" t="s">
        <v>82</v>
      </c>
      <c r="B2267" s="6" t="s">
        <v>4713</v>
      </c>
      <c r="C2267" s="6" t="s">
        <v>8284</v>
      </c>
      <c r="D2267" s="6" t="s">
        <v>6641</v>
      </c>
    </row>
    <row r="2268" spans="1:4" x14ac:dyDescent="0.35">
      <c r="A2268" s="6" t="s">
        <v>81</v>
      </c>
      <c r="B2268" s="6" t="s">
        <v>4713</v>
      </c>
      <c r="C2268" s="6" t="s">
        <v>8285</v>
      </c>
      <c r="D2268" s="6" t="s">
        <v>5661</v>
      </c>
    </row>
    <row r="2269" spans="1:4" x14ac:dyDescent="0.35">
      <c r="A2269" s="6" t="s">
        <v>80</v>
      </c>
      <c r="B2269" s="6" t="s">
        <v>4713</v>
      </c>
      <c r="C2269" s="6" t="s">
        <v>8286</v>
      </c>
      <c r="D2269" s="6" t="s">
        <v>8287</v>
      </c>
    </row>
    <row r="2270" spans="1:4" x14ac:dyDescent="0.35">
      <c r="A2270" s="6" t="s">
        <v>79</v>
      </c>
      <c r="B2270" s="6" t="s">
        <v>4713</v>
      </c>
      <c r="C2270" s="6" t="s">
        <v>4971</v>
      </c>
      <c r="D2270" s="6" t="s">
        <v>8288</v>
      </c>
    </row>
    <row r="2271" spans="1:4" x14ac:dyDescent="0.35">
      <c r="A2271" s="6" t="s">
        <v>78</v>
      </c>
      <c r="B2271" s="6" t="s">
        <v>4713</v>
      </c>
      <c r="C2271" s="6" t="s">
        <v>5762</v>
      </c>
      <c r="D2271" s="6" t="s">
        <v>7119</v>
      </c>
    </row>
    <row r="2272" spans="1:4" x14ac:dyDescent="0.35">
      <c r="A2272" s="6" t="s">
        <v>77</v>
      </c>
      <c r="B2272" s="6" t="s">
        <v>4716</v>
      </c>
      <c r="C2272" s="6" t="s">
        <v>8289</v>
      </c>
      <c r="D2272" s="6" t="s">
        <v>8290</v>
      </c>
    </row>
    <row r="2273" spans="1:4" x14ac:dyDescent="0.35">
      <c r="A2273" s="6" t="s">
        <v>76</v>
      </c>
      <c r="B2273" s="6" t="s">
        <v>4713</v>
      </c>
      <c r="C2273" s="6" t="s">
        <v>8291</v>
      </c>
      <c r="D2273" s="6" t="s">
        <v>8292</v>
      </c>
    </row>
    <row r="2274" spans="1:4" x14ac:dyDescent="0.35">
      <c r="A2274" s="6" t="s">
        <v>75</v>
      </c>
      <c r="B2274" s="6" t="s">
        <v>4716</v>
      </c>
      <c r="C2274" s="6" t="s">
        <v>4848</v>
      </c>
      <c r="D2274" s="6" t="s">
        <v>8293</v>
      </c>
    </row>
    <row r="2275" spans="1:4" x14ac:dyDescent="0.35">
      <c r="A2275" s="6" t="s">
        <v>74</v>
      </c>
      <c r="B2275" s="6" t="s">
        <v>4713</v>
      </c>
      <c r="C2275" s="6" t="s">
        <v>8294</v>
      </c>
      <c r="D2275" s="6" t="s">
        <v>8173</v>
      </c>
    </row>
    <row r="2276" spans="1:4" x14ac:dyDescent="0.35">
      <c r="A2276" s="6" t="s">
        <v>73</v>
      </c>
      <c r="B2276" s="6" t="s">
        <v>4716</v>
      </c>
      <c r="C2276" s="6" t="s">
        <v>8295</v>
      </c>
      <c r="D2276" s="6" t="s">
        <v>5558</v>
      </c>
    </row>
    <row r="2277" spans="1:4" x14ac:dyDescent="0.35">
      <c r="A2277" s="6" t="s">
        <v>72</v>
      </c>
      <c r="B2277" s="6" t="s">
        <v>4716</v>
      </c>
      <c r="C2277" s="6" t="s">
        <v>8296</v>
      </c>
      <c r="D2277" s="6" t="s">
        <v>6462</v>
      </c>
    </row>
    <row r="2278" spans="1:4" x14ac:dyDescent="0.35">
      <c r="A2278" s="6" t="s">
        <v>71</v>
      </c>
      <c r="B2278" s="6" t="s">
        <v>4713</v>
      </c>
      <c r="C2278" s="6" t="s">
        <v>8297</v>
      </c>
      <c r="D2278" s="6" t="s">
        <v>8298</v>
      </c>
    </row>
    <row r="2279" spans="1:4" x14ac:dyDescent="0.35">
      <c r="A2279" s="6" t="s">
        <v>70</v>
      </c>
      <c r="B2279" s="6" t="s">
        <v>4716</v>
      </c>
      <c r="C2279" s="6" t="s">
        <v>8299</v>
      </c>
      <c r="D2279" s="6" t="s">
        <v>4918</v>
      </c>
    </row>
    <row r="2280" spans="1:4" x14ac:dyDescent="0.35">
      <c r="A2280" s="6" t="s">
        <v>69</v>
      </c>
      <c r="B2280" s="6" t="s">
        <v>4716</v>
      </c>
      <c r="C2280" s="6" t="s">
        <v>5057</v>
      </c>
      <c r="D2280" s="6" t="s">
        <v>8300</v>
      </c>
    </row>
    <row r="2281" spans="1:4" x14ac:dyDescent="0.35">
      <c r="A2281" s="6" t="s">
        <v>68</v>
      </c>
      <c r="B2281" s="6" t="s">
        <v>4716</v>
      </c>
      <c r="C2281" s="6" t="s">
        <v>8301</v>
      </c>
      <c r="D2281" s="6" t="s">
        <v>4867</v>
      </c>
    </row>
    <row r="2282" spans="1:4" x14ac:dyDescent="0.35">
      <c r="A2282" s="6" t="s">
        <v>67</v>
      </c>
      <c r="B2282" s="6" t="s">
        <v>4716</v>
      </c>
      <c r="C2282" s="6" t="s">
        <v>8302</v>
      </c>
      <c r="D2282" s="6" t="s">
        <v>8303</v>
      </c>
    </row>
    <row r="2283" spans="1:4" x14ac:dyDescent="0.35">
      <c r="A2283" s="6" t="s">
        <v>66</v>
      </c>
      <c r="B2283" s="6" t="s">
        <v>4713</v>
      </c>
      <c r="C2283" s="6" t="s">
        <v>4796</v>
      </c>
      <c r="D2283" s="6" t="s">
        <v>4875</v>
      </c>
    </row>
    <row r="2284" spans="1:4" x14ac:dyDescent="0.35">
      <c r="A2284" s="6" t="s">
        <v>65</v>
      </c>
      <c r="B2284" s="6" t="s">
        <v>4716</v>
      </c>
      <c r="C2284" s="6" t="s">
        <v>8304</v>
      </c>
      <c r="D2284" s="6" t="s">
        <v>4738</v>
      </c>
    </row>
    <row r="2285" spans="1:4" x14ac:dyDescent="0.35">
      <c r="A2285" s="6" t="s">
        <v>64</v>
      </c>
      <c r="B2285" s="6" t="s">
        <v>4713</v>
      </c>
      <c r="C2285" s="6" t="s">
        <v>8305</v>
      </c>
      <c r="D2285" s="6" t="s">
        <v>6307</v>
      </c>
    </row>
    <row r="2286" spans="1:4" x14ac:dyDescent="0.35">
      <c r="A2286" s="6" t="s">
        <v>63</v>
      </c>
      <c r="B2286" s="6" t="s">
        <v>4716</v>
      </c>
      <c r="C2286" s="6" t="s">
        <v>8306</v>
      </c>
      <c r="D2286" s="6" t="s">
        <v>8307</v>
      </c>
    </row>
    <row r="2287" spans="1:4" x14ac:dyDescent="0.35">
      <c r="A2287" s="6" t="s">
        <v>62</v>
      </c>
      <c r="B2287" s="6" t="s">
        <v>4713</v>
      </c>
      <c r="C2287" s="6" t="s">
        <v>8265</v>
      </c>
      <c r="D2287" s="6" t="s">
        <v>4891</v>
      </c>
    </row>
    <row r="2288" spans="1:4" x14ac:dyDescent="0.35">
      <c r="A2288" s="6" t="s">
        <v>61</v>
      </c>
      <c r="B2288" s="6" t="s">
        <v>4716</v>
      </c>
      <c r="C2288" s="6" t="s">
        <v>8308</v>
      </c>
      <c r="D2288" s="6" t="s">
        <v>8309</v>
      </c>
    </row>
    <row r="2289" spans="1:4" x14ac:dyDescent="0.35">
      <c r="A2289" s="6" t="s">
        <v>60</v>
      </c>
      <c r="B2289" s="6" t="s">
        <v>4713</v>
      </c>
      <c r="C2289" s="6" t="s">
        <v>8310</v>
      </c>
      <c r="D2289" s="6" t="s">
        <v>7123</v>
      </c>
    </row>
    <row r="2290" spans="1:4" x14ac:dyDescent="0.35">
      <c r="A2290" s="6" t="s">
        <v>59</v>
      </c>
      <c r="B2290" s="6" t="s">
        <v>4716</v>
      </c>
      <c r="C2290" s="6" t="s">
        <v>8311</v>
      </c>
      <c r="D2290" s="6" t="s">
        <v>8312</v>
      </c>
    </row>
    <row r="2291" spans="1:4" x14ac:dyDescent="0.35">
      <c r="A2291" s="6" t="s">
        <v>58</v>
      </c>
      <c r="B2291" s="6" t="s">
        <v>4716</v>
      </c>
      <c r="C2291" s="6" t="s">
        <v>8313</v>
      </c>
      <c r="D2291" s="6" t="s">
        <v>8314</v>
      </c>
    </row>
    <row r="2292" spans="1:4" x14ac:dyDescent="0.35">
      <c r="A2292" s="6" t="s">
        <v>57</v>
      </c>
      <c r="B2292" s="6" t="s">
        <v>4713</v>
      </c>
      <c r="C2292" s="6" t="s">
        <v>5057</v>
      </c>
      <c r="D2292" s="6" t="s">
        <v>5217</v>
      </c>
    </row>
    <row r="2293" spans="1:4" x14ac:dyDescent="0.35">
      <c r="A2293" s="6" t="s">
        <v>56</v>
      </c>
      <c r="B2293" s="6" t="s">
        <v>4716</v>
      </c>
      <c r="C2293" s="6" t="s">
        <v>8315</v>
      </c>
      <c r="D2293" s="6" t="s">
        <v>8316</v>
      </c>
    </row>
    <row r="2294" spans="1:4" x14ac:dyDescent="0.35">
      <c r="A2294" s="6" t="s">
        <v>55</v>
      </c>
      <c r="B2294" s="6" t="s">
        <v>4716</v>
      </c>
      <c r="C2294" s="6" t="s">
        <v>4880</v>
      </c>
      <c r="D2294" s="6" t="s">
        <v>4811</v>
      </c>
    </row>
    <row r="2295" spans="1:4" x14ac:dyDescent="0.35">
      <c r="A2295" s="6" t="s">
        <v>54</v>
      </c>
      <c r="B2295" s="6" t="s">
        <v>4713</v>
      </c>
      <c r="C2295" s="6" t="s">
        <v>8317</v>
      </c>
      <c r="D2295" s="6" t="s">
        <v>4891</v>
      </c>
    </row>
    <row r="2296" spans="1:4" x14ac:dyDescent="0.35">
      <c r="A2296" s="6" t="s">
        <v>53</v>
      </c>
      <c r="B2296" s="6" t="s">
        <v>4716</v>
      </c>
      <c r="C2296" s="6" t="s">
        <v>8318</v>
      </c>
      <c r="D2296" s="6" t="s">
        <v>5982</v>
      </c>
    </row>
    <row r="2297" spans="1:4" x14ac:dyDescent="0.35">
      <c r="A2297" s="6" t="s">
        <v>52</v>
      </c>
      <c r="B2297" s="6" t="s">
        <v>4716</v>
      </c>
      <c r="C2297" s="6" t="s">
        <v>8319</v>
      </c>
      <c r="D2297" s="6" t="s">
        <v>8320</v>
      </c>
    </row>
    <row r="2298" spans="1:4" x14ac:dyDescent="0.35">
      <c r="A2298" s="6" t="s">
        <v>51</v>
      </c>
      <c r="B2298" s="6" t="s">
        <v>4716</v>
      </c>
      <c r="C2298" s="6" t="s">
        <v>8321</v>
      </c>
      <c r="D2298" s="6" t="s">
        <v>8322</v>
      </c>
    </row>
    <row r="2299" spans="1:4" x14ac:dyDescent="0.35">
      <c r="A2299" s="6" t="s">
        <v>50</v>
      </c>
      <c r="B2299" s="6" t="s">
        <v>4713</v>
      </c>
      <c r="C2299" s="6" t="s">
        <v>8323</v>
      </c>
      <c r="D2299" s="6" t="s">
        <v>8324</v>
      </c>
    </row>
    <row r="2300" spans="1:4" x14ac:dyDescent="0.35">
      <c r="A2300" s="6" t="s">
        <v>49</v>
      </c>
      <c r="B2300" s="6" t="s">
        <v>4716</v>
      </c>
      <c r="C2300" s="6" t="s">
        <v>8325</v>
      </c>
      <c r="D2300" s="6" t="s">
        <v>8326</v>
      </c>
    </row>
    <row r="2301" spans="1:4" x14ac:dyDescent="0.35">
      <c r="A2301" s="6" t="s">
        <v>48</v>
      </c>
      <c r="B2301" s="6" t="s">
        <v>4716</v>
      </c>
      <c r="C2301" s="6" t="s">
        <v>8327</v>
      </c>
      <c r="D2301" s="6" t="s">
        <v>4873</v>
      </c>
    </row>
    <row r="2302" spans="1:4" x14ac:dyDescent="0.35">
      <c r="A2302" s="6" t="s">
        <v>47</v>
      </c>
      <c r="B2302" s="6" t="s">
        <v>4716</v>
      </c>
      <c r="C2302" s="6" t="s">
        <v>8328</v>
      </c>
      <c r="D2302" s="6" t="s">
        <v>8329</v>
      </c>
    </row>
    <row r="2303" spans="1:4" x14ac:dyDescent="0.35">
      <c r="A2303" s="6" t="s">
        <v>46</v>
      </c>
      <c r="B2303" s="6" t="s">
        <v>4716</v>
      </c>
      <c r="C2303" s="6" t="s">
        <v>5231</v>
      </c>
      <c r="D2303" s="6" t="s">
        <v>4738</v>
      </c>
    </row>
    <row r="2304" spans="1:4" x14ac:dyDescent="0.35">
      <c r="A2304" s="6" t="s">
        <v>45</v>
      </c>
      <c r="B2304" s="6" t="s">
        <v>4713</v>
      </c>
      <c r="C2304" s="6" t="s">
        <v>8330</v>
      </c>
      <c r="D2304" s="6" t="s">
        <v>8331</v>
      </c>
    </row>
    <row r="2305" spans="1:4" x14ac:dyDescent="0.35">
      <c r="A2305" s="6" t="s">
        <v>44</v>
      </c>
      <c r="B2305" s="6" t="s">
        <v>4716</v>
      </c>
      <c r="C2305" s="6" t="s">
        <v>8332</v>
      </c>
      <c r="D2305" s="6" t="s">
        <v>5558</v>
      </c>
    </row>
    <row r="2306" spans="1:4" x14ac:dyDescent="0.35">
      <c r="A2306" s="6" t="s">
        <v>43</v>
      </c>
      <c r="B2306" s="6" t="s">
        <v>4716</v>
      </c>
      <c r="C2306" s="6" t="s">
        <v>8333</v>
      </c>
      <c r="D2306" s="6" t="s">
        <v>8334</v>
      </c>
    </row>
    <row r="2307" spans="1:4" x14ac:dyDescent="0.35">
      <c r="A2307" s="6" t="s">
        <v>42</v>
      </c>
      <c r="B2307" s="6" t="s">
        <v>4716</v>
      </c>
      <c r="C2307" s="6" t="s">
        <v>8335</v>
      </c>
      <c r="D2307" s="6" t="s">
        <v>6609</v>
      </c>
    </row>
    <row r="2308" spans="1:4" x14ac:dyDescent="0.35">
      <c r="A2308" s="6" t="s">
        <v>41</v>
      </c>
      <c r="B2308" s="6" t="s">
        <v>4713</v>
      </c>
      <c r="C2308" s="6" t="s">
        <v>8336</v>
      </c>
      <c r="D2308" s="6" t="s">
        <v>5249</v>
      </c>
    </row>
    <row r="2309" spans="1:4" x14ac:dyDescent="0.35">
      <c r="A2309" s="6" t="s">
        <v>40</v>
      </c>
      <c r="B2309" s="6" t="s">
        <v>4713</v>
      </c>
      <c r="C2309" s="6" t="s">
        <v>8337</v>
      </c>
      <c r="D2309" s="6" t="s">
        <v>7534</v>
      </c>
    </row>
    <row r="2310" spans="1:4" x14ac:dyDescent="0.35">
      <c r="A2310" s="6" t="s">
        <v>39</v>
      </c>
      <c r="B2310" s="6" t="s">
        <v>4713</v>
      </c>
      <c r="C2310" s="6" t="s">
        <v>7677</v>
      </c>
      <c r="D2310" s="6" t="s">
        <v>7499</v>
      </c>
    </row>
    <row r="2311" spans="1:4" x14ac:dyDescent="0.35">
      <c r="A2311" s="6" t="s">
        <v>38</v>
      </c>
      <c r="B2311" s="6" t="s">
        <v>4716</v>
      </c>
      <c r="C2311" s="6" t="s">
        <v>4971</v>
      </c>
      <c r="D2311" s="6" t="s">
        <v>5014</v>
      </c>
    </row>
    <row r="2312" spans="1:4" x14ac:dyDescent="0.35">
      <c r="A2312" s="6" t="s">
        <v>37</v>
      </c>
      <c r="B2312" s="6" t="s">
        <v>5590</v>
      </c>
      <c r="C2312" s="6" t="s">
        <v>8338</v>
      </c>
      <c r="D2312" s="6" t="s">
        <v>5877</v>
      </c>
    </row>
    <row r="2313" spans="1:4" x14ac:dyDescent="0.35">
      <c r="A2313" s="6" t="s">
        <v>36</v>
      </c>
      <c r="B2313" s="6" t="s">
        <v>4713</v>
      </c>
      <c r="C2313" s="6" t="s">
        <v>8339</v>
      </c>
      <c r="D2313" s="6" t="s">
        <v>4826</v>
      </c>
    </row>
    <row r="2314" spans="1:4" x14ac:dyDescent="0.35">
      <c r="A2314" s="6" t="s">
        <v>35</v>
      </c>
      <c r="B2314" s="6" t="s">
        <v>4716</v>
      </c>
      <c r="C2314" s="6" t="s">
        <v>8340</v>
      </c>
      <c r="D2314" s="6" t="s">
        <v>4793</v>
      </c>
    </row>
    <row r="2315" spans="1:4" x14ac:dyDescent="0.35">
      <c r="A2315" s="6" t="s">
        <v>34</v>
      </c>
      <c r="B2315" s="6" t="s">
        <v>4713</v>
      </c>
      <c r="C2315" s="6" t="s">
        <v>8341</v>
      </c>
      <c r="D2315" s="6" t="s">
        <v>5451</v>
      </c>
    </row>
    <row r="2316" spans="1:4" x14ac:dyDescent="0.35">
      <c r="A2316" s="6" t="s">
        <v>33</v>
      </c>
      <c r="B2316" s="6" t="s">
        <v>4713</v>
      </c>
      <c r="C2316" s="6" t="s">
        <v>6216</v>
      </c>
      <c r="D2316" s="6" t="s">
        <v>8342</v>
      </c>
    </row>
    <row r="2317" spans="1:4" x14ac:dyDescent="0.35">
      <c r="A2317" s="6" t="s">
        <v>31</v>
      </c>
      <c r="B2317" s="6" t="s">
        <v>4716</v>
      </c>
      <c r="C2317" s="6" t="s">
        <v>5264</v>
      </c>
      <c r="D2317" s="6" t="s">
        <v>8343</v>
      </c>
    </row>
    <row r="2318" spans="1:4" x14ac:dyDescent="0.35">
      <c r="A2318" s="6" t="s">
        <v>30</v>
      </c>
      <c r="B2318" s="6" t="s">
        <v>4716</v>
      </c>
      <c r="C2318" s="6" t="s">
        <v>8344</v>
      </c>
      <c r="D2318" s="6" t="s">
        <v>6100</v>
      </c>
    </row>
    <row r="2319" spans="1:4" x14ac:dyDescent="0.35">
      <c r="A2319" s="6" t="s">
        <v>29</v>
      </c>
      <c r="B2319" s="6" t="s">
        <v>4713</v>
      </c>
      <c r="C2319" s="6" t="s">
        <v>7556</v>
      </c>
      <c r="D2319" s="6" t="s">
        <v>8345</v>
      </c>
    </row>
    <row r="2320" spans="1:4" x14ac:dyDescent="0.35">
      <c r="A2320" s="6" t="s">
        <v>28</v>
      </c>
      <c r="B2320" s="6" t="s">
        <v>4716</v>
      </c>
      <c r="C2320" s="6" t="s">
        <v>8346</v>
      </c>
      <c r="D2320" s="6" t="s">
        <v>8347</v>
      </c>
    </row>
    <row r="2321" spans="1:4" x14ac:dyDescent="0.35">
      <c r="A2321" s="6" t="s">
        <v>27</v>
      </c>
      <c r="B2321" s="6" t="s">
        <v>4713</v>
      </c>
      <c r="C2321" s="6" t="s">
        <v>8348</v>
      </c>
      <c r="D2321" s="6" t="s">
        <v>8349</v>
      </c>
    </row>
    <row r="2322" spans="1:4" x14ac:dyDescent="0.35">
      <c r="A2322" s="6" t="s">
        <v>26</v>
      </c>
      <c r="B2322" s="6" t="s">
        <v>4716</v>
      </c>
      <c r="C2322" s="6" t="s">
        <v>8350</v>
      </c>
      <c r="D2322" s="6" t="s">
        <v>4899</v>
      </c>
    </row>
    <row r="2323" spans="1:4" x14ac:dyDescent="0.35">
      <c r="A2323" s="6" t="s">
        <v>25</v>
      </c>
      <c r="B2323" s="6" t="s">
        <v>4713</v>
      </c>
      <c r="C2323" s="6" t="s">
        <v>8351</v>
      </c>
      <c r="D2323" s="6" t="s">
        <v>8352</v>
      </c>
    </row>
    <row r="2324" spans="1:4" x14ac:dyDescent="0.35">
      <c r="A2324" s="6" t="s">
        <v>24</v>
      </c>
      <c r="B2324" s="6" t="s">
        <v>4716</v>
      </c>
      <c r="C2324" s="6" t="s">
        <v>8353</v>
      </c>
      <c r="D2324" s="6" t="s">
        <v>5014</v>
      </c>
    </row>
    <row r="2325" spans="1:4" x14ac:dyDescent="0.35">
      <c r="A2325" s="6" t="s">
        <v>22</v>
      </c>
      <c r="B2325" s="6" t="s">
        <v>4713</v>
      </c>
      <c r="C2325" s="6" t="s">
        <v>8354</v>
      </c>
      <c r="D2325" s="6" t="s">
        <v>8355</v>
      </c>
    </row>
    <row r="2326" spans="1:4" x14ac:dyDescent="0.35">
      <c r="A2326" s="6" t="s">
        <v>21</v>
      </c>
      <c r="B2326" s="6" t="s">
        <v>4716</v>
      </c>
      <c r="C2326" s="6" t="s">
        <v>6036</v>
      </c>
      <c r="D2326" s="6" t="s">
        <v>8356</v>
      </c>
    </row>
    <row r="2327" spans="1:4" x14ac:dyDescent="0.35">
      <c r="A2327" s="6" t="s">
        <v>20</v>
      </c>
      <c r="B2327" s="6" t="s">
        <v>4716</v>
      </c>
      <c r="C2327" s="6" t="s">
        <v>8357</v>
      </c>
      <c r="D2327" s="6" t="s">
        <v>8358</v>
      </c>
    </row>
    <row r="2328" spans="1:4" x14ac:dyDescent="0.35">
      <c r="A2328" s="6" t="s">
        <v>19</v>
      </c>
      <c r="B2328" s="6" t="s">
        <v>4713</v>
      </c>
      <c r="C2328" s="6" t="s">
        <v>5357</v>
      </c>
      <c r="D2328" s="6" t="s">
        <v>6566</v>
      </c>
    </row>
    <row r="2329" spans="1:4" x14ac:dyDescent="0.35">
      <c r="A2329" s="6" t="s">
        <v>18</v>
      </c>
      <c r="B2329" s="6" t="s">
        <v>4713</v>
      </c>
      <c r="C2329" s="6" t="s">
        <v>8359</v>
      </c>
      <c r="D2329" s="6" t="s">
        <v>4760</v>
      </c>
    </row>
    <row r="2330" spans="1:4" x14ac:dyDescent="0.35">
      <c r="A2330" s="6" t="s">
        <v>17</v>
      </c>
      <c r="B2330" s="6" t="s">
        <v>4713</v>
      </c>
      <c r="C2330" s="6" t="s">
        <v>8360</v>
      </c>
      <c r="D2330" s="6" t="s">
        <v>8361</v>
      </c>
    </row>
    <row r="2331" spans="1:4" x14ac:dyDescent="0.35">
      <c r="A2331" s="6" t="s">
        <v>15</v>
      </c>
      <c r="B2331" s="6" t="s">
        <v>4713</v>
      </c>
      <c r="C2331" s="6" t="s">
        <v>8362</v>
      </c>
      <c r="D2331" s="6" t="s">
        <v>8363</v>
      </c>
    </row>
    <row r="2332" spans="1:4" x14ac:dyDescent="0.35">
      <c r="A2332" s="6" t="s">
        <v>14</v>
      </c>
      <c r="B2332" s="6" t="s">
        <v>4716</v>
      </c>
      <c r="C2332" s="6" t="s">
        <v>8364</v>
      </c>
      <c r="D2332" s="6" t="s">
        <v>5475</v>
      </c>
    </row>
    <row r="2333" spans="1:4" x14ac:dyDescent="0.35">
      <c r="A2333" s="6" t="s">
        <v>13</v>
      </c>
      <c r="B2333" s="6" t="s">
        <v>4716</v>
      </c>
      <c r="C2333" s="6" t="s">
        <v>8365</v>
      </c>
      <c r="D2333" s="6" t="s">
        <v>8366</v>
      </c>
    </row>
    <row r="2334" spans="1:4" x14ac:dyDescent="0.35">
      <c r="A2334" s="6" t="s">
        <v>12</v>
      </c>
      <c r="B2334" s="6" t="s">
        <v>4713</v>
      </c>
      <c r="C2334" s="6" t="s">
        <v>8367</v>
      </c>
      <c r="D2334" s="6" t="s">
        <v>7519</v>
      </c>
    </row>
    <row r="2335" spans="1:4" x14ac:dyDescent="0.35">
      <c r="A2335" s="6" t="s">
        <v>10</v>
      </c>
      <c r="B2335" s="6" t="s">
        <v>4716</v>
      </c>
      <c r="C2335" s="6" t="s">
        <v>8368</v>
      </c>
      <c r="D2335" s="6" t="s">
        <v>8369</v>
      </c>
    </row>
    <row r="2336" spans="1:4" x14ac:dyDescent="0.35">
      <c r="A2336" s="6" t="s">
        <v>6</v>
      </c>
      <c r="B2336" s="6" t="s">
        <v>4716</v>
      </c>
      <c r="C2336" s="6" t="s">
        <v>8370</v>
      </c>
      <c r="D2336" s="6" t="s">
        <v>8371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35EA-8C03-466B-BD8F-3ED34ED3B466}">
  <dimension ref="A1:J2336"/>
  <sheetViews>
    <sheetView workbookViewId="0">
      <selection sqref="A1:J2336"/>
    </sheetView>
  </sheetViews>
  <sheetFormatPr defaultRowHeight="14.5" x14ac:dyDescent="0.35"/>
  <cols>
    <col min="1" max="1" width="13.54296875" bestFit="1" customWidth="1"/>
    <col min="2" max="2" width="6.81640625" bestFit="1" customWidth="1"/>
    <col min="4" max="4" width="13.36328125" bestFit="1" customWidth="1"/>
    <col min="5" max="5" width="16.6328125" bestFit="1" customWidth="1"/>
    <col min="6" max="6" width="15.1796875" bestFit="1" customWidth="1"/>
    <col min="7" max="7" width="24.90625" bestFit="1" customWidth="1"/>
    <col min="8" max="8" width="9.36328125" bestFit="1" customWidth="1"/>
    <col min="9" max="9" width="14.81640625" bestFit="1" customWidth="1"/>
    <col min="10" max="10" width="16.26953125" bestFit="1" customWidth="1"/>
  </cols>
  <sheetData>
    <row r="1" spans="1:10" x14ac:dyDescent="0.35">
      <c r="A1" t="s">
        <v>0</v>
      </c>
      <c r="B1" t="s">
        <v>2363</v>
      </c>
      <c r="C1" t="s">
        <v>2364</v>
      </c>
      <c r="D1" t="s">
        <v>2365</v>
      </c>
      <c r="E1" t="s">
        <v>2366</v>
      </c>
      <c r="F1" t="s">
        <v>2367</v>
      </c>
      <c r="G1" t="s">
        <v>2368</v>
      </c>
      <c r="H1" t="s">
        <v>2369</v>
      </c>
      <c r="I1" t="s">
        <v>8372</v>
      </c>
      <c r="J1" t="s">
        <v>8373</v>
      </c>
    </row>
    <row r="2" spans="1:10" x14ac:dyDescent="0.35">
      <c r="A2" s="6" t="s">
        <v>2362</v>
      </c>
      <c r="B2">
        <v>47.41</v>
      </c>
      <c r="C2">
        <v>7.47</v>
      </c>
      <c r="D2" s="6" t="s">
        <v>2370</v>
      </c>
      <c r="E2" s="6" t="s">
        <v>2370</v>
      </c>
      <c r="F2" s="6" t="s">
        <v>2370</v>
      </c>
      <c r="G2">
        <v>0</v>
      </c>
      <c r="H2" s="6" t="s">
        <v>2373</v>
      </c>
      <c r="I2" t="s">
        <v>8374</v>
      </c>
      <c r="J2" t="s">
        <v>8375</v>
      </c>
    </row>
    <row r="3" spans="1:10" x14ac:dyDescent="0.35">
      <c r="A3" s="6" t="s">
        <v>2361</v>
      </c>
      <c r="B3">
        <v>30.36</v>
      </c>
      <c r="C3">
        <v>5.77</v>
      </c>
      <c r="D3" s="6" t="s">
        <v>2370</v>
      </c>
      <c r="E3" s="6" t="s">
        <v>2370</v>
      </c>
      <c r="F3" s="6" t="s">
        <v>2370</v>
      </c>
      <c r="G3">
        <v>0</v>
      </c>
      <c r="H3" s="6" t="s">
        <v>2373</v>
      </c>
      <c r="I3" t="s">
        <v>8374</v>
      </c>
      <c r="J3" t="s">
        <v>8376</v>
      </c>
    </row>
    <row r="4" spans="1:10" x14ac:dyDescent="0.35">
      <c r="A4" s="6" t="s">
        <v>2360</v>
      </c>
      <c r="B4">
        <v>34.484999999999999</v>
      </c>
      <c r="C4">
        <v>11.87</v>
      </c>
      <c r="D4" s="6" t="s">
        <v>2373</v>
      </c>
      <c r="E4" s="6" t="s">
        <v>2370</v>
      </c>
      <c r="F4" s="6" t="s">
        <v>2370</v>
      </c>
      <c r="G4">
        <v>2</v>
      </c>
      <c r="H4" s="6" t="s">
        <v>2373</v>
      </c>
      <c r="I4" t="s">
        <v>8374</v>
      </c>
      <c r="J4" t="s">
        <v>8375</v>
      </c>
    </row>
    <row r="5" spans="1:10" x14ac:dyDescent="0.35">
      <c r="A5" s="6" t="s">
        <v>2359</v>
      </c>
      <c r="B5">
        <v>38.094999999999999</v>
      </c>
      <c r="C5">
        <v>6.05</v>
      </c>
      <c r="D5" s="6" t="s">
        <v>2370</v>
      </c>
      <c r="E5" s="6" t="s">
        <v>2370</v>
      </c>
      <c r="F5" s="6" t="s">
        <v>2370</v>
      </c>
      <c r="G5">
        <v>0</v>
      </c>
      <c r="H5" s="6" t="s">
        <v>2373</v>
      </c>
      <c r="I5" t="s">
        <v>8374</v>
      </c>
      <c r="J5" t="s">
        <v>8376</v>
      </c>
    </row>
    <row r="6" spans="1:10" x14ac:dyDescent="0.35">
      <c r="A6" s="6" t="s">
        <v>2358</v>
      </c>
      <c r="B6">
        <v>35.53</v>
      </c>
      <c r="C6">
        <v>5.45</v>
      </c>
      <c r="D6" s="6" t="s">
        <v>2370</v>
      </c>
      <c r="E6" s="6" t="s">
        <v>2370</v>
      </c>
      <c r="F6" s="6" t="s">
        <v>2370</v>
      </c>
      <c r="G6">
        <v>0</v>
      </c>
      <c r="H6" s="6" t="s">
        <v>2373</v>
      </c>
      <c r="I6" t="s">
        <v>8374</v>
      </c>
      <c r="J6" t="s">
        <v>8377</v>
      </c>
    </row>
    <row r="7" spans="1:10" x14ac:dyDescent="0.35">
      <c r="A7" s="6" t="s">
        <v>2357</v>
      </c>
      <c r="B7">
        <v>32.799999999999997</v>
      </c>
      <c r="C7">
        <v>6.59</v>
      </c>
      <c r="D7" s="6" t="s">
        <v>2370</v>
      </c>
      <c r="E7" s="6" t="s">
        <v>2370</v>
      </c>
      <c r="F7" s="6" t="s">
        <v>2370</v>
      </c>
      <c r="G7">
        <v>0</v>
      </c>
      <c r="H7" s="6" t="s">
        <v>2373</v>
      </c>
      <c r="I7" t="s">
        <v>8374</v>
      </c>
      <c r="J7" t="s">
        <v>8375</v>
      </c>
    </row>
    <row r="8" spans="1:10" x14ac:dyDescent="0.35">
      <c r="A8" s="6" t="s">
        <v>2356</v>
      </c>
      <c r="B8">
        <v>36.4</v>
      </c>
      <c r="C8">
        <v>6.07</v>
      </c>
      <c r="D8" s="6" t="s">
        <v>2370</v>
      </c>
      <c r="E8" s="6" t="s">
        <v>2370</v>
      </c>
      <c r="F8" s="6" t="s">
        <v>2370</v>
      </c>
      <c r="G8">
        <v>0</v>
      </c>
      <c r="H8" s="6" t="s">
        <v>2373</v>
      </c>
      <c r="I8" t="s">
        <v>8374</v>
      </c>
      <c r="J8" t="s">
        <v>8376</v>
      </c>
    </row>
    <row r="9" spans="1:10" x14ac:dyDescent="0.35">
      <c r="A9" s="6" t="s">
        <v>2355</v>
      </c>
      <c r="B9">
        <v>36.96</v>
      </c>
      <c r="C9">
        <v>7.93</v>
      </c>
      <c r="D9" s="6" t="s">
        <v>2370</v>
      </c>
      <c r="E9" s="6" t="s">
        <v>2370</v>
      </c>
      <c r="F9" s="6" t="s">
        <v>2370</v>
      </c>
      <c r="G9">
        <v>3</v>
      </c>
      <c r="H9" s="6" t="s">
        <v>2373</v>
      </c>
      <c r="I9" t="s">
        <v>8374</v>
      </c>
      <c r="J9" t="s">
        <v>8375</v>
      </c>
    </row>
    <row r="10" spans="1:10" x14ac:dyDescent="0.35">
      <c r="A10" s="6" t="s">
        <v>2354</v>
      </c>
      <c r="B10">
        <v>41.14</v>
      </c>
      <c r="C10">
        <v>9.58</v>
      </c>
      <c r="D10" s="6" t="s">
        <v>2373</v>
      </c>
      <c r="E10" s="6" t="s">
        <v>2370</v>
      </c>
      <c r="F10" s="6" t="s">
        <v>2373</v>
      </c>
      <c r="G10">
        <v>1</v>
      </c>
      <c r="H10" s="6" t="s">
        <v>2373</v>
      </c>
      <c r="I10" t="s">
        <v>8374</v>
      </c>
      <c r="J10" t="s">
        <v>8375</v>
      </c>
    </row>
    <row r="11" spans="1:10" x14ac:dyDescent="0.35">
      <c r="A11" s="6" t="s">
        <v>2353</v>
      </c>
      <c r="B11">
        <v>38.06</v>
      </c>
      <c r="C11">
        <v>10.79</v>
      </c>
      <c r="D11" s="6" t="s">
        <v>2370</v>
      </c>
      <c r="E11" s="6" t="s">
        <v>2370</v>
      </c>
      <c r="F11" s="6" t="s">
        <v>2370</v>
      </c>
      <c r="G11">
        <v>0</v>
      </c>
      <c r="H11" s="6" t="s">
        <v>2373</v>
      </c>
      <c r="I11" t="s">
        <v>8374</v>
      </c>
      <c r="J11" t="s">
        <v>8375</v>
      </c>
    </row>
    <row r="12" spans="1:10" x14ac:dyDescent="0.35">
      <c r="A12" s="6" t="s">
        <v>2352</v>
      </c>
      <c r="B12">
        <v>37.700000000000003</v>
      </c>
      <c r="C12">
        <v>5.96</v>
      </c>
      <c r="D12" s="6" t="s">
        <v>2373</v>
      </c>
      <c r="E12" s="6" t="s">
        <v>2370</v>
      </c>
      <c r="F12" s="6" t="s">
        <v>2370</v>
      </c>
      <c r="G12">
        <v>2</v>
      </c>
      <c r="H12" s="6" t="s">
        <v>2373</v>
      </c>
      <c r="I12" t="s">
        <v>8374</v>
      </c>
      <c r="J12" t="s">
        <v>8376</v>
      </c>
    </row>
    <row r="13" spans="1:10" x14ac:dyDescent="0.35">
      <c r="A13" s="6" t="s">
        <v>2351</v>
      </c>
      <c r="B13">
        <v>42.13</v>
      </c>
      <c r="C13">
        <v>11.9</v>
      </c>
      <c r="D13" s="6" t="s">
        <v>2370</v>
      </c>
      <c r="E13" s="6" t="s">
        <v>2370</v>
      </c>
      <c r="F13" s="6" t="s">
        <v>2370</v>
      </c>
      <c r="G13">
        <v>0</v>
      </c>
      <c r="H13" s="6" t="s">
        <v>2373</v>
      </c>
      <c r="I13" t="s">
        <v>8374</v>
      </c>
      <c r="J13" t="s">
        <v>8375</v>
      </c>
    </row>
    <row r="14" spans="1:10" x14ac:dyDescent="0.35">
      <c r="A14" s="6" t="s">
        <v>2350</v>
      </c>
      <c r="B14">
        <v>40.92</v>
      </c>
      <c r="C14">
        <v>8.41</v>
      </c>
      <c r="D14" s="6" t="s">
        <v>2370</v>
      </c>
      <c r="E14" s="6" t="s">
        <v>2370</v>
      </c>
      <c r="F14" s="6" t="s">
        <v>2370</v>
      </c>
      <c r="G14">
        <v>0</v>
      </c>
      <c r="H14" s="6" t="s">
        <v>2373</v>
      </c>
      <c r="I14" t="s">
        <v>8374</v>
      </c>
      <c r="J14" t="s">
        <v>8375</v>
      </c>
    </row>
    <row r="15" spans="1:10" x14ac:dyDescent="0.35">
      <c r="A15" s="6" t="s">
        <v>2349</v>
      </c>
      <c r="B15">
        <v>40.564999999999998</v>
      </c>
      <c r="C15">
        <v>7.02</v>
      </c>
      <c r="D15" s="6" t="s">
        <v>2370</v>
      </c>
      <c r="E15" s="6" t="s">
        <v>2370</v>
      </c>
      <c r="F15" s="6" t="s">
        <v>2370</v>
      </c>
      <c r="G15">
        <v>0</v>
      </c>
      <c r="H15" s="6" t="s">
        <v>2373</v>
      </c>
      <c r="I15" t="s">
        <v>8374</v>
      </c>
      <c r="J15" t="s">
        <v>8375</v>
      </c>
    </row>
    <row r="16" spans="1:10" x14ac:dyDescent="0.35">
      <c r="A16" s="6" t="s">
        <v>2348</v>
      </c>
      <c r="B16">
        <v>36.384999999999998</v>
      </c>
      <c r="C16">
        <v>7.59</v>
      </c>
      <c r="D16" s="6" t="s">
        <v>2373</v>
      </c>
      <c r="E16" s="6" t="s">
        <v>2370</v>
      </c>
      <c r="F16" s="6" t="s">
        <v>2370</v>
      </c>
      <c r="G16">
        <v>2</v>
      </c>
      <c r="H16" s="6" t="s">
        <v>2373</v>
      </c>
      <c r="I16" t="s">
        <v>8374</v>
      </c>
      <c r="J16" t="s">
        <v>8375</v>
      </c>
    </row>
    <row r="17" spans="1:10" x14ac:dyDescent="0.35">
      <c r="A17" s="6" t="s">
        <v>2347</v>
      </c>
      <c r="B17">
        <v>39.9</v>
      </c>
      <c r="C17">
        <v>11.32</v>
      </c>
      <c r="D17" s="6" t="s">
        <v>2370</v>
      </c>
      <c r="E17" s="6" t="s">
        <v>2370</v>
      </c>
      <c r="F17" s="6" t="s">
        <v>2370</v>
      </c>
      <c r="G17">
        <v>0</v>
      </c>
      <c r="H17" s="6" t="s">
        <v>2373</v>
      </c>
      <c r="I17" t="s">
        <v>8374</v>
      </c>
      <c r="J17" t="s">
        <v>8375</v>
      </c>
    </row>
    <row r="18" spans="1:10" x14ac:dyDescent="0.35">
      <c r="A18" s="6" t="s">
        <v>2346</v>
      </c>
      <c r="B18">
        <v>33.799999999999997</v>
      </c>
      <c r="C18">
        <v>7.67</v>
      </c>
      <c r="D18" s="6" t="s">
        <v>2370</v>
      </c>
      <c r="E18" s="6" t="s">
        <v>2370</v>
      </c>
      <c r="F18" s="6" t="s">
        <v>2370</v>
      </c>
      <c r="G18">
        <v>3</v>
      </c>
      <c r="H18" s="6" t="s">
        <v>2373</v>
      </c>
      <c r="I18" t="s">
        <v>8374</v>
      </c>
      <c r="J18" t="s">
        <v>8375</v>
      </c>
    </row>
    <row r="19" spans="1:10" x14ac:dyDescent="0.35">
      <c r="A19" s="6" t="s">
        <v>2345</v>
      </c>
      <c r="B19">
        <v>36.765000000000001</v>
      </c>
      <c r="C19">
        <v>7.29</v>
      </c>
      <c r="D19" s="6" t="s">
        <v>2373</v>
      </c>
      <c r="E19" s="6" t="s">
        <v>2370</v>
      </c>
      <c r="F19" s="6" t="s">
        <v>2373</v>
      </c>
      <c r="G19">
        <v>1</v>
      </c>
      <c r="H19" s="6" t="s">
        <v>2373</v>
      </c>
      <c r="I19" t="s">
        <v>8374</v>
      </c>
      <c r="J19" t="s">
        <v>8375</v>
      </c>
    </row>
    <row r="20" spans="1:10" x14ac:dyDescent="0.35">
      <c r="A20" s="6" t="s">
        <v>2344</v>
      </c>
      <c r="B20">
        <v>36.954999999999998</v>
      </c>
      <c r="C20">
        <v>4.72</v>
      </c>
      <c r="D20" s="6" t="s">
        <v>2373</v>
      </c>
      <c r="E20" s="6" t="s">
        <v>2370</v>
      </c>
      <c r="F20" s="6" t="s">
        <v>2370</v>
      </c>
      <c r="G20">
        <v>1</v>
      </c>
      <c r="H20" s="6" t="s">
        <v>2373</v>
      </c>
      <c r="I20" t="s">
        <v>8374</v>
      </c>
      <c r="J20" t="s">
        <v>8377</v>
      </c>
    </row>
    <row r="21" spans="1:10" x14ac:dyDescent="0.35">
      <c r="A21" s="6" t="s">
        <v>2343</v>
      </c>
      <c r="B21">
        <v>42.9</v>
      </c>
      <c r="C21">
        <v>11.41</v>
      </c>
      <c r="D21" s="6" t="s">
        <v>2370</v>
      </c>
      <c r="E21" s="6" t="s">
        <v>2370</v>
      </c>
      <c r="F21" s="6" t="s">
        <v>2370</v>
      </c>
      <c r="G21">
        <v>0</v>
      </c>
      <c r="H21" s="6" t="s">
        <v>2373</v>
      </c>
      <c r="I21" t="s">
        <v>8374</v>
      </c>
      <c r="J21" t="s">
        <v>8375</v>
      </c>
    </row>
    <row r="22" spans="1:10" x14ac:dyDescent="0.35">
      <c r="A22" s="6" t="s">
        <v>2342</v>
      </c>
      <c r="B22">
        <v>36.299999999999997</v>
      </c>
      <c r="C22">
        <v>11.5</v>
      </c>
      <c r="D22" s="6" t="s">
        <v>2373</v>
      </c>
      <c r="E22" s="6" t="s">
        <v>2370</v>
      </c>
      <c r="F22" s="6" t="s">
        <v>2370</v>
      </c>
      <c r="G22">
        <v>2</v>
      </c>
      <c r="H22" s="6" t="s">
        <v>2373</v>
      </c>
      <c r="I22" t="s">
        <v>8374</v>
      </c>
      <c r="J22" t="s">
        <v>8375</v>
      </c>
    </row>
    <row r="23" spans="1:10" x14ac:dyDescent="0.35">
      <c r="A23" s="6" t="s">
        <v>2341</v>
      </c>
      <c r="B23">
        <v>32.200000000000003</v>
      </c>
      <c r="C23">
        <v>6.22</v>
      </c>
      <c r="D23" s="6" t="s">
        <v>2373</v>
      </c>
      <c r="E23" s="6" t="s">
        <v>2370</v>
      </c>
      <c r="F23" s="6" t="s">
        <v>2370</v>
      </c>
      <c r="G23">
        <v>2</v>
      </c>
      <c r="H23" s="6" t="s">
        <v>2373</v>
      </c>
      <c r="I23" t="s">
        <v>8374</v>
      </c>
      <c r="J23" t="s">
        <v>8376</v>
      </c>
    </row>
    <row r="24" spans="1:10" x14ac:dyDescent="0.35">
      <c r="A24" s="6" t="s">
        <v>2340</v>
      </c>
      <c r="B24">
        <v>31.3</v>
      </c>
      <c r="C24">
        <v>11.38</v>
      </c>
      <c r="D24" s="6" t="s">
        <v>2370</v>
      </c>
      <c r="E24" s="6" t="s">
        <v>2370</v>
      </c>
      <c r="F24" s="6" t="s">
        <v>2370</v>
      </c>
      <c r="G24">
        <v>3</v>
      </c>
      <c r="H24" s="6" t="s">
        <v>2373</v>
      </c>
      <c r="I24" t="s">
        <v>8374</v>
      </c>
      <c r="J24" t="s">
        <v>8375</v>
      </c>
    </row>
    <row r="25" spans="1:10" x14ac:dyDescent="0.35">
      <c r="A25" s="6" t="s">
        <v>2339</v>
      </c>
      <c r="B25">
        <v>41.8</v>
      </c>
      <c r="C25">
        <v>7.89</v>
      </c>
      <c r="D25" s="6" t="s">
        <v>2373</v>
      </c>
      <c r="E25" s="6" t="s">
        <v>2370</v>
      </c>
      <c r="F25" s="6" t="s">
        <v>2370</v>
      </c>
      <c r="G25">
        <v>2</v>
      </c>
      <c r="H25" s="6" t="s">
        <v>2373</v>
      </c>
      <c r="I25" t="s">
        <v>8374</v>
      </c>
      <c r="J25" t="s">
        <v>8375</v>
      </c>
    </row>
    <row r="26" spans="1:10" x14ac:dyDescent="0.35">
      <c r="A26" s="6" t="s">
        <v>2338</v>
      </c>
      <c r="B26">
        <v>35.090000000000003</v>
      </c>
      <c r="C26">
        <v>4.38</v>
      </c>
      <c r="D26" s="6" t="s">
        <v>2373</v>
      </c>
      <c r="E26" s="6" t="s">
        <v>2370</v>
      </c>
      <c r="F26" s="6" t="s">
        <v>2370</v>
      </c>
      <c r="G26">
        <v>2</v>
      </c>
      <c r="H26" s="6" t="s">
        <v>2373</v>
      </c>
      <c r="I26" t="s">
        <v>8374</v>
      </c>
      <c r="J26" t="s">
        <v>8377</v>
      </c>
    </row>
    <row r="27" spans="1:10" x14ac:dyDescent="0.35">
      <c r="A27" s="6" t="s">
        <v>2337</v>
      </c>
      <c r="B27">
        <v>33.880000000000003</v>
      </c>
      <c r="C27">
        <v>7.01</v>
      </c>
      <c r="D27" s="6" t="s">
        <v>2370</v>
      </c>
      <c r="E27" s="6" t="s">
        <v>2370</v>
      </c>
      <c r="F27" s="6" t="s">
        <v>2370</v>
      </c>
      <c r="G27">
        <v>3</v>
      </c>
      <c r="H27" s="6" t="s">
        <v>2373</v>
      </c>
      <c r="I27" t="s">
        <v>8374</v>
      </c>
      <c r="J27" t="s">
        <v>8375</v>
      </c>
    </row>
    <row r="28" spans="1:10" x14ac:dyDescent="0.35">
      <c r="A28" s="6" t="s">
        <v>2336</v>
      </c>
      <c r="B28">
        <v>30.875</v>
      </c>
      <c r="C28">
        <v>11.88</v>
      </c>
      <c r="D28" s="6" t="s">
        <v>2370</v>
      </c>
      <c r="E28" s="6" t="s">
        <v>2370</v>
      </c>
      <c r="F28" s="6" t="s">
        <v>2370</v>
      </c>
      <c r="G28">
        <v>0</v>
      </c>
      <c r="H28" s="6" t="s">
        <v>2373</v>
      </c>
      <c r="I28" t="s">
        <v>8374</v>
      </c>
      <c r="J28" t="s">
        <v>8375</v>
      </c>
    </row>
    <row r="29" spans="1:10" x14ac:dyDescent="0.35">
      <c r="A29" s="6" t="s">
        <v>2335</v>
      </c>
      <c r="B29">
        <v>36.86</v>
      </c>
      <c r="C29">
        <v>5.19</v>
      </c>
      <c r="D29" s="6" t="s">
        <v>2373</v>
      </c>
      <c r="E29" s="6" t="s">
        <v>2370</v>
      </c>
      <c r="F29" s="6" t="s">
        <v>2373</v>
      </c>
      <c r="G29">
        <v>1</v>
      </c>
      <c r="H29" s="6" t="s">
        <v>2373</v>
      </c>
      <c r="I29" t="s">
        <v>8374</v>
      </c>
      <c r="J29" t="s">
        <v>8377</v>
      </c>
    </row>
    <row r="30" spans="1:10" x14ac:dyDescent="0.35">
      <c r="A30" s="6" t="s">
        <v>2334</v>
      </c>
      <c r="B30">
        <v>35.86</v>
      </c>
      <c r="C30">
        <v>6.74</v>
      </c>
      <c r="D30" s="6" t="s">
        <v>2373</v>
      </c>
      <c r="E30" s="6" t="s">
        <v>2370</v>
      </c>
      <c r="F30" s="6" t="s">
        <v>2370</v>
      </c>
      <c r="G30">
        <v>2</v>
      </c>
      <c r="H30" s="6" t="s">
        <v>2373</v>
      </c>
      <c r="I30" t="s">
        <v>8374</v>
      </c>
      <c r="J30" t="s">
        <v>8375</v>
      </c>
    </row>
    <row r="31" spans="1:10" x14ac:dyDescent="0.35">
      <c r="A31" s="6" t="s">
        <v>2333</v>
      </c>
      <c r="B31">
        <v>37.049999999999997</v>
      </c>
      <c r="C31">
        <v>8.44</v>
      </c>
      <c r="D31" s="6" t="s">
        <v>2370</v>
      </c>
      <c r="E31" s="6" t="s">
        <v>2370</v>
      </c>
      <c r="F31" s="6" t="s">
        <v>2370</v>
      </c>
      <c r="G31">
        <v>0</v>
      </c>
      <c r="H31" s="6" t="s">
        <v>2373</v>
      </c>
      <c r="I31" t="s">
        <v>8374</v>
      </c>
      <c r="J31" t="s">
        <v>8375</v>
      </c>
    </row>
    <row r="32" spans="1:10" x14ac:dyDescent="0.35">
      <c r="A32" s="6" t="s">
        <v>2332</v>
      </c>
      <c r="B32">
        <v>43.89</v>
      </c>
      <c r="C32">
        <v>8.7100000000000009</v>
      </c>
      <c r="D32" s="6" t="s">
        <v>2370</v>
      </c>
      <c r="E32" s="6" t="s">
        <v>2370</v>
      </c>
      <c r="F32" s="6" t="s">
        <v>2370</v>
      </c>
      <c r="G32">
        <v>0</v>
      </c>
      <c r="H32" s="6" t="s">
        <v>2373</v>
      </c>
      <c r="I32" t="s">
        <v>8374</v>
      </c>
      <c r="J32" t="s">
        <v>8375</v>
      </c>
    </row>
    <row r="33" spans="1:10" x14ac:dyDescent="0.35">
      <c r="A33" s="6" t="s">
        <v>2331</v>
      </c>
      <c r="B33">
        <v>42.35</v>
      </c>
      <c r="C33">
        <v>5.08</v>
      </c>
      <c r="D33" s="6" t="s">
        <v>2373</v>
      </c>
      <c r="E33" s="6" t="s">
        <v>2370</v>
      </c>
      <c r="F33" s="6" t="s">
        <v>2370</v>
      </c>
      <c r="G33">
        <v>0</v>
      </c>
      <c r="H33" s="6" t="s">
        <v>2373</v>
      </c>
      <c r="I33" t="s">
        <v>8374</v>
      </c>
      <c r="J33" t="s">
        <v>8377</v>
      </c>
    </row>
    <row r="34" spans="1:10" x14ac:dyDescent="0.35">
      <c r="A34" s="6" t="s">
        <v>2330</v>
      </c>
      <c r="B34">
        <v>31.35</v>
      </c>
      <c r="C34">
        <v>6.86</v>
      </c>
      <c r="D34" s="6" t="s">
        <v>2370</v>
      </c>
      <c r="E34" s="6" t="s">
        <v>2370</v>
      </c>
      <c r="F34" s="6" t="s">
        <v>2370</v>
      </c>
      <c r="G34">
        <v>0</v>
      </c>
      <c r="H34" s="6" t="s">
        <v>2373</v>
      </c>
      <c r="I34" t="s">
        <v>8374</v>
      </c>
      <c r="J34" t="s">
        <v>8375</v>
      </c>
    </row>
    <row r="35" spans="1:10" x14ac:dyDescent="0.35">
      <c r="A35" s="6" t="s">
        <v>2329</v>
      </c>
      <c r="B35">
        <v>47.6</v>
      </c>
      <c r="C35">
        <v>5.95</v>
      </c>
      <c r="D35" s="6" t="s">
        <v>2373</v>
      </c>
      <c r="E35" s="6" t="s">
        <v>2370</v>
      </c>
      <c r="F35" s="6" t="s">
        <v>2370</v>
      </c>
      <c r="G35">
        <v>0</v>
      </c>
      <c r="H35" s="6" t="s">
        <v>2373</v>
      </c>
      <c r="I35" t="s">
        <v>8374</v>
      </c>
      <c r="J35" t="s">
        <v>8376</v>
      </c>
    </row>
    <row r="36" spans="1:10" x14ac:dyDescent="0.35">
      <c r="A36" s="6" t="s">
        <v>2328</v>
      </c>
      <c r="B36">
        <v>46.2</v>
      </c>
      <c r="C36">
        <v>6.09</v>
      </c>
      <c r="D36" s="6" t="s">
        <v>2370</v>
      </c>
      <c r="E36" s="6" t="s">
        <v>2370</v>
      </c>
      <c r="F36" s="6" t="s">
        <v>2373</v>
      </c>
      <c r="G36">
        <v>1</v>
      </c>
      <c r="H36" s="6" t="s">
        <v>2373</v>
      </c>
      <c r="I36" t="s">
        <v>8374</v>
      </c>
      <c r="J36" t="s">
        <v>8376</v>
      </c>
    </row>
    <row r="37" spans="1:10" x14ac:dyDescent="0.35">
      <c r="A37" s="6" t="s">
        <v>2327</v>
      </c>
      <c r="B37">
        <v>32.015000000000001</v>
      </c>
      <c r="C37">
        <v>11.75</v>
      </c>
      <c r="D37" s="6" t="s">
        <v>2370</v>
      </c>
      <c r="E37" s="6" t="s">
        <v>2370</v>
      </c>
      <c r="F37" s="6" t="s">
        <v>2370</v>
      </c>
      <c r="G37">
        <v>0</v>
      </c>
      <c r="H37" s="6" t="s">
        <v>2373</v>
      </c>
      <c r="I37" t="s">
        <v>8374</v>
      </c>
      <c r="J37" t="s">
        <v>8375</v>
      </c>
    </row>
    <row r="38" spans="1:10" x14ac:dyDescent="0.35">
      <c r="A38" s="6" t="s">
        <v>2326</v>
      </c>
      <c r="B38">
        <v>40.564999999999998</v>
      </c>
      <c r="C38">
        <v>7.37</v>
      </c>
      <c r="D38" s="6" t="s">
        <v>2370</v>
      </c>
      <c r="E38" s="6" t="s">
        <v>2370</v>
      </c>
      <c r="F38" s="6" t="s">
        <v>2370</v>
      </c>
      <c r="G38">
        <v>0</v>
      </c>
      <c r="H38" s="6" t="s">
        <v>2373</v>
      </c>
      <c r="I38" t="s">
        <v>8374</v>
      </c>
      <c r="J38" t="s">
        <v>8375</v>
      </c>
    </row>
    <row r="39" spans="1:10" x14ac:dyDescent="0.35">
      <c r="A39" s="6" t="s">
        <v>2325</v>
      </c>
      <c r="B39">
        <v>32.450000000000003</v>
      </c>
      <c r="C39">
        <v>11.91</v>
      </c>
      <c r="D39" s="6" t="s">
        <v>2370</v>
      </c>
      <c r="E39" s="6" t="s">
        <v>2370</v>
      </c>
      <c r="F39" s="6" t="s">
        <v>2370</v>
      </c>
      <c r="G39">
        <v>0</v>
      </c>
      <c r="H39" s="6" t="s">
        <v>2373</v>
      </c>
      <c r="I39" t="s">
        <v>8374</v>
      </c>
      <c r="J39" t="s">
        <v>8375</v>
      </c>
    </row>
    <row r="40" spans="1:10" x14ac:dyDescent="0.35">
      <c r="A40" s="6" t="s">
        <v>2324</v>
      </c>
      <c r="B40">
        <v>34.96</v>
      </c>
      <c r="C40">
        <v>6.52</v>
      </c>
      <c r="D40" s="6" t="s">
        <v>2370</v>
      </c>
      <c r="E40" s="6" t="s">
        <v>2370</v>
      </c>
      <c r="F40" s="6" t="s">
        <v>2370</v>
      </c>
      <c r="G40">
        <v>0</v>
      </c>
      <c r="H40" s="6" t="s">
        <v>2373</v>
      </c>
      <c r="I40" t="s">
        <v>8374</v>
      </c>
      <c r="J40" t="s">
        <v>8375</v>
      </c>
    </row>
    <row r="41" spans="1:10" x14ac:dyDescent="0.35">
      <c r="A41" s="6" t="s">
        <v>2323</v>
      </c>
      <c r="B41">
        <v>35.5</v>
      </c>
      <c r="C41">
        <v>5.14</v>
      </c>
      <c r="D41" s="6" t="s">
        <v>2370</v>
      </c>
      <c r="E41" s="6" t="s">
        <v>2370</v>
      </c>
      <c r="F41" s="6" t="s">
        <v>2373</v>
      </c>
      <c r="G41">
        <v>1</v>
      </c>
      <c r="H41" s="6" t="s">
        <v>2373</v>
      </c>
      <c r="I41" t="s">
        <v>8374</v>
      </c>
      <c r="J41" t="s">
        <v>8377</v>
      </c>
    </row>
    <row r="42" spans="1:10" x14ac:dyDescent="0.35">
      <c r="A42" s="6" t="s">
        <v>2322</v>
      </c>
      <c r="B42">
        <v>52.58</v>
      </c>
      <c r="C42">
        <v>4.1900000000000004</v>
      </c>
      <c r="D42" s="6" t="s">
        <v>2370</v>
      </c>
      <c r="E42" s="6" t="s">
        <v>2372</v>
      </c>
      <c r="F42" s="6" t="s">
        <v>2370</v>
      </c>
      <c r="G42">
        <v>1</v>
      </c>
      <c r="H42" s="6" t="s">
        <v>2373</v>
      </c>
      <c r="I42" t="s">
        <v>8374</v>
      </c>
      <c r="J42" t="s">
        <v>8377</v>
      </c>
    </row>
    <row r="43" spans="1:10" x14ac:dyDescent="0.35">
      <c r="A43" s="6" t="s">
        <v>2321</v>
      </c>
      <c r="B43">
        <v>35.200000000000003</v>
      </c>
      <c r="C43">
        <v>11.68</v>
      </c>
      <c r="D43" s="6" t="s">
        <v>2373</v>
      </c>
      <c r="E43" s="6" t="s">
        <v>2370</v>
      </c>
      <c r="F43" s="6" t="s">
        <v>2370</v>
      </c>
      <c r="G43">
        <v>0</v>
      </c>
      <c r="H43" s="6" t="s">
        <v>2373</v>
      </c>
      <c r="I43" t="s">
        <v>8374</v>
      </c>
      <c r="J43" t="s">
        <v>8375</v>
      </c>
    </row>
    <row r="44" spans="1:10" x14ac:dyDescent="0.35">
      <c r="A44" s="6" t="s">
        <v>2320</v>
      </c>
      <c r="B44">
        <v>38.06</v>
      </c>
      <c r="C44">
        <v>6.98</v>
      </c>
      <c r="D44" s="6" t="s">
        <v>2370</v>
      </c>
      <c r="E44" s="6" t="s">
        <v>2370</v>
      </c>
      <c r="F44" s="6" t="s">
        <v>2370</v>
      </c>
      <c r="G44">
        <v>0</v>
      </c>
      <c r="H44" s="6" t="s">
        <v>2373</v>
      </c>
      <c r="I44" t="s">
        <v>8374</v>
      </c>
      <c r="J44" t="s">
        <v>8375</v>
      </c>
    </row>
    <row r="45" spans="1:10" x14ac:dyDescent="0.35">
      <c r="A45" s="6" t="s">
        <v>2319</v>
      </c>
      <c r="B45">
        <v>34.21</v>
      </c>
      <c r="C45">
        <v>8.34</v>
      </c>
      <c r="D45" s="6" t="s">
        <v>2370</v>
      </c>
      <c r="E45" s="6" t="s">
        <v>2370</v>
      </c>
      <c r="F45" s="6" t="s">
        <v>2370</v>
      </c>
      <c r="G45">
        <v>0</v>
      </c>
      <c r="H45" s="6" t="s">
        <v>2373</v>
      </c>
      <c r="I45" t="s">
        <v>8374</v>
      </c>
      <c r="J45" t="s">
        <v>8375</v>
      </c>
    </row>
    <row r="46" spans="1:10" x14ac:dyDescent="0.35">
      <c r="A46" s="6" t="s">
        <v>2318</v>
      </c>
      <c r="B46">
        <v>38.94</v>
      </c>
      <c r="C46">
        <v>8.49</v>
      </c>
      <c r="D46" s="6" t="s">
        <v>2373</v>
      </c>
      <c r="E46" s="6" t="s">
        <v>2370</v>
      </c>
      <c r="F46" s="6" t="s">
        <v>2370</v>
      </c>
      <c r="G46">
        <v>1</v>
      </c>
      <c r="H46" s="6" t="s">
        <v>2373</v>
      </c>
      <c r="I46" t="s">
        <v>8374</v>
      </c>
      <c r="J46" t="s">
        <v>8375</v>
      </c>
    </row>
    <row r="47" spans="1:10" x14ac:dyDescent="0.35">
      <c r="A47" s="6" t="s">
        <v>2317</v>
      </c>
      <c r="B47">
        <v>30.21</v>
      </c>
      <c r="C47">
        <v>5.34</v>
      </c>
      <c r="D47" s="6" t="s">
        <v>2373</v>
      </c>
      <c r="E47" s="6" t="s">
        <v>2370</v>
      </c>
      <c r="F47" s="6" t="s">
        <v>2370</v>
      </c>
      <c r="G47">
        <v>1</v>
      </c>
      <c r="H47" s="6" t="s">
        <v>2373</v>
      </c>
      <c r="I47" t="s">
        <v>8374</v>
      </c>
      <c r="J47" t="s">
        <v>8377</v>
      </c>
    </row>
    <row r="48" spans="1:10" x14ac:dyDescent="0.35">
      <c r="A48" s="6" t="s">
        <v>2316</v>
      </c>
      <c r="B48">
        <v>33.630000000000003</v>
      </c>
      <c r="C48">
        <v>4.43</v>
      </c>
      <c r="D48" s="6" t="s">
        <v>2373</v>
      </c>
      <c r="E48" s="6" t="s">
        <v>2370</v>
      </c>
      <c r="F48" s="6" t="s">
        <v>2370</v>
      </c>
      <c r="G48">
        <v>2</v>
      </c>
      <c r="H48" s="6" t="s">
        <v>2373</v>
      </c>
      <c r="I48" t="s">
        <v>8374</v>
      </c>
      <c r="J48" t="s">
        <v>8377</v>
      </c>
    </row>
    <row r="49" spans="1:10" x14ac:dyDescent="0.35">
      <c r="A49" s="6" t="s">
        <v>2315</v>
      </c>
      <c r="B49">
        <v>40.369999999999997</v>
      </c>
      <c r="C49">
        <v>4.47</v>
      </c>
      <c r="D49" s="6" t="s">
        <v>2370</v>
      </c>
      <c r="E49" s="6" t="s">
        <v>2370</v>
      </c>
      <c r="F49" s="6" t="s">
        <v>2370</v>
      </c>
      <c r="G49">
        <v>0</v>
      </c>
      <c r="H49" s="6" t="s">
        <v>2373</v>
      </c>
      <c r="I49" t="s">
        <v>8374</v>
      </c>
      <c r="J49" t="s">
        <v>8377</v>
      </c>
    </row>
    <row r="50" spans="1:10" x14ac:dyDescent="0.35">
      <c r="A50" s="6" t="s">
        <v>2314</v>
      </c>
      <c r="B50">
        <v>53.09</v>
      </c>
      <c r="C50">
        <v>4.82</v>
      </c>
      <c r="D50" s="6" t="s">
        <v>2373</v>
      </c>
      <c r="E50" s="6" t="s">
        <v>2370</v>
      </c>
      <c r="F50" s="6" t="s">
        <v>2370</v>
      </c>
      <c r="G50">
        <v>2</v>
      </c>
      <c r="H50" s="6" t="s">
        <v>2373</v>
      </c>
      <c r="I50" t="s">
        <v>8374</v>
      </c>
      <c r="J50" t="s">
        <v>8377</v>
      </c>
    </row>
    <row r="51" spans="1:10" x14ac:dyDescent="0.35">
      <c r="A51" s="6" t="s">
        <v>2313</v>
      </c>
      <c r="B51">
        <v>31.79</v>
      </c>
      <c r="C51">
        <v>5.51</v>
      </c>
      <c r="D51" s="6" t="s">
        <v>2373</v>
      </c>
      <c r="E51" s="6" t="s">
        <v>2370</v>
      </c>
      <c r="F51" s="6" t="s">
        <v>2370</v>
      </c>
      <c r="G51">
        <v>2</v>
      </c>
      <c r="H51" s="6" t="s">
        <v>2373</v>
      </c>
      <c r="I51" t="s">
        <v>8374</v>
      </c>
      <c r="J51" t="s">
        <v>8377</v>
      </c>
    </row>
    <row r="52" spans="1:10" x14ac:dyDescent="0.35">
      <c r="A52" s="6" t="s">
        <v>2312</v>
      </c>
      <c r="B52">
        <v>41.895000000000003</v>
      </c>
      <c r="C52">
        <v>10.87</v>
      </c>
      <c r="D52" s="6" t="s">
        <v>2373</v>
      </c>
      <c r="E52" s="6" t="s">
        <v>2370</v>
      </c>
      <c r="F52" s="6" t="s">
        <v>2370</v>
      </c>
      <c r="G52">
        <v>1</v>
      </c>
      <c r="H52" s="6" t="s">
        <v>2373</v>
      </c>
      <c r="I52" t="s">
        <v>8374</v>
      </c>
      <c r="J52" t="s">
        <v>8375</v>
      </c>
    </row>
    <row r="53" spans="1:10" x14ac:dyDescent="0.35">
      <c r="A53" s="6" t="s">
        <v>2311</v>
      </c>
      <c r="B53">
        <v>31.16</v>
      </c>
      <c r="C53">
        <v>9.34</v>
      </c>
      <c r="D53" s="6" t="s">
        <v>2370</v>
      </c>
      <c r="E53" s="6" t="s">
        <v>2370</v>
      </c>
      <c r="F53" s="6" t="s">
        <v>2370</v>
      </c>
      <c r="G53">
        <v>0</v>
      </c>
      <c r="H53" s="6" t="s">
        <v>2373</v>
      </c>
      <c r="I53" t="s">
        <v>8374</v>
      </c>
      <c r="J53" t="s">
        <v>8375</v>
      </c>
    </row>
    <row r="54" spans="1:10" x14ac:dyDescent="0.35">
      <c r="A54" s="6" t="s">
        <v>2310</v>
      </c>
      <c r="B54">
        <v>34.104999999999997</v>
      </c>
      <c r="C54">
        <v>5.03</v>
      </c>
      <c r="D54" s="6" t="s">
        <v>2373</v>
      </c>
      <c r="E54" s="6" t="s">
        <v>2370</v>
      </c>
      <c r="F54" s="6" t="s">
        <v>2373</v>
      </c>
      <c r="G54">
        <v>1</v>
      </c>
      <c r="H54" s="6" t="s">
        <v>2373</v>
      </c>
      <c r="I54" t="s">
        <v>8374</v>
      </c>
      <c r="J54" t="s">
        <v>8377</v>
      </c>
    </row>
    <row r="55" spans="1:10" x14ac:dyDescent="0.35">
      <c r="A55" s="6" t="s">
        <v>2309</v>
      </c>
      <c r="B55">
        <v>51.93</v>
      </c>
      <c r="C55">
        <v>11.05</v>
      </c>
      <c r="D55" s="6" t="s">
        <v>2370</v>
      </c>
      <c r="E55" s="6" t="s">
        <v>2370</v>
      </c>
      <c r="F55" s="6" t="s">
        <v>2370</v>
      </c>
      <c r="G55">
        <v>0</v>
      </c>
      <c r="H55" s="6" t="s">
        <v>2373</v>
      </c>
      <c r="I55" t="s">
        <v>8374</v>
      </c>
      <c r="J55" t="s">
        <v>8375</v>
      </c>
    </row>
    <row r="56" spans="1:10" x14ac:dyDescent="0.35">
      <c r="A56" s="6" t="s">
        <v>2308</v>
      </c>
      <c r="B56">
        <v>38.950000000000003</v>
      </c>
      <c r="C56">
        <v>11.95</v>
      </c>
      <c r="D56" s="6" t="s">
        <v>2370</v>
      </c>
      <c r="E56" s="6" t="s">
        <v>2370</v>
      </c>
      <c r="F56" s="6" t="s">
        <v>2370</v>
      </c>
      <c r="G56">
        <v>0</v>
      </c>
      <c r="H56" s="6" t="s">
        <v>2373</v>
      </c>
      <c r="I56" t="s">
        <v>8374</v>
      </c>
      <c r="J56" t="s">
        <v>8375</v>
      </c>
    </row>
    <row r="57" spans="1:10" x14ac:dyDescent="0.35">
      <c r="A57" s="6" t="s">
        <v>2307</v>
      </c>
      <c r="B57">
        <v>36.630000000000003</v>
      </c>
      <c r="C57">
        <v>7.72</v>
      </c>
      <c r="D57" s="6" t="s">
        <v>2373</v>
      </c>
      <c r="E57" s="6" t="s">
        <v>2370</v>
      </c>
      <c r="F57" s="6" t="s">
        <v>2370</v>
      </c>
      <c r="G57">
        <v>1</v>
      </c>
      <c r="H57" s="6" t="s">
        <v>2373</v>
      </c>
      <c r="I57" t="s">
        <v>8374</v>
      </c>
      <c r="J57" t="s">
        <v>8375</v>
      </c>
    </row>
    <row r="58" spans="1:10" x14ac:dyDescent="0.35">
      <c r="A58" s="6" t="s">
        <v>2306</v>
      </c>
      <c r="B58">
        <v>34.200000000000003</v>
      </c>
      <c r="C58">
        <v>5.75</v>
      </c>
      <c r="D58" s="6" t="s">
        <v>2370</v>
      </c>
      <c r="E58" s="6" t="s">
        <v>2370</v>
      </c>
      <c r="F58" s="6" t="s">
        <v>2370</v>
      </c>
      <c r="G58">
        <v>2</v>
      </c>
      <c r="H58" s="6" t="s">
        <v>2373</v>
      </c>
      <c r="I58" t="s">
        <v>8374</v>
      </c>
      <c r="J58" t="s">
        <v>8376</v>
      </c>
    </row>
    <row r="59" spans="1:10" x14ac:dyDescent="0.35">
      <c r="A59" s="6" t="s">
        <v>2305</v>
      </c>
      <c r="B59">
        <v>50.63</v>
      </c>
      <c r="C59">
        <v>11.89</v>
      </c>
      <c r="D59" s="6" t="s">
        <v>2370</v>
      </c>
      <c r="E59" s="6" t="s">
        <v>2370</v>
      </c>
      <c r="F59" s="6" t="s">
        <v>2370</v>
      </c>
      <c r="G59">
        <v>0</v>
      </c>
      <c r="H59" s="6" t="s">
        <v>2373</v>
      </c>
      <c r="I59" t="s">
        <v>8374</v>
      </c>
      <c r="J59" t="s">
        <v>8375</v>
      </c>
    </row>
    <row r="60" spans="1:10" x14ac:dyDescent="0.35">
      <c r="A60" s="6" t="s">
        <v>2304</v>
      </c>
      <c r="B60">
        <v>36.479999999999997</v>
      </c>
      <c r="C60">
        <v>6.2</v>
      </c>
      <c r="D60" s="6" t="s">
        <v>2370</v>
      </c>
      <c r="E60" s="6" t="s">
        <v>2370</v>
      </c>
      <c r="F60" s="6" t="s">
        <v>2370</v>
      </c>
      <c r="G60">
        <v>0</v>
      </c>
      <c r="H60" s="6" t="s">
        <v>2373</v>
      </c>
      <c r="I60" t="s">
        <v>8374</v>
      </c>
      <c r="J60" t="s">
        <v>8376</v>
      </c>
    </row>
    <row r="61" spans="1:10" x14ac:dyDescent="0.35">
      <c r="A61" s="6" t="s">
        <v>2303</v>
      </c>
      <c r="B61">
        <v>54.82</v>
      </c>
      <c r="C61">
        <v>10.61</v>
      </c>
      <c r="D61" s="6" t="s">
        <v>2370</v>
      </c>
      <c r="E61" s="6" t="s">
        <v>2370</v>
      </c>
      <c r="F61" s="6" t="s">
        <v>2370</v>
      </c>
      <c r="G61">
        <v>0</v>
      </c>
      <c r="H61" s="6" t="s">
        <v>2373</v>
      </c>
      <c r="I61" t="s">
        <v>8374</v>
      </c>
      <c r="J61" t="s">
        <v>8375</v>
      </c>
    </row>
    <row r="62" spans="1:10" x14ac:dyDescent="0.35">
      <c r="A62" s="6" t="s">
        <v>2302</v>
      </c>
      <c r="B62">
        <v>38.06</v>
      </c>
      <c r="C62">
        <v>6.04</v>
      </c>
      <c r="D62" s="6" t="s">
        <v>2370</v>
      </c>
      <c r="E62" s="6" t="s">
        <v>2370</v>
      </c>
      <c r="F62" s="6" t="s">
        <v>2373</v>
      </c>
      <c r="G62">
        <v>1</v>
      </c>
      <c r="H62" s="6" t="s">
        <v>2373</v>
      </c>
      <c r="I62" t="s">
        <v>8374</v>
      </c>
      <c r="J62" t="s">
        <v>8376</v>
      </c>
    </row>
    <row r="63" spans="1:10" x14ac:dyDescent="0.35">
      <c r="A63" s="6" t="s">
        <v>2301</v>
      </c>
      <c r="B63">
        <v>51.48</v>
      </c>
      <c r="C63">
        <v>9.33</v>
      </c>
      <c r="D63" s="6" t="s">
        <v>2373</v>
      </c>
      <c r="E63" s="6" t="s">
        <v>2370</v>
      </c>
      <c r="F63" s="6" t="s">
        <v>2370</v>
      </c>
      <c r="G63">
        <v>0</v>
      </c>
      <c r="H63" s="6" t="s">
        <v>2373</v>
      </c>
      <c r="I63" t="s">
        <v>8374</v>
      </c>
      <c r="J63" t="s">
        <v>8375</v>
      </c>
    </row>
    <row r="64" spans="1:10" x14ac:dyDescent="0.35">
      <c r="A64" s="6" t="s">
        <v>2300</v>
      </c>
      <c r="B64">
        <v>52.06</v>
      </c>
      <c r="C64">
        <v>11.47</v>
      </c>
      <c r="D64" s="6" t="s">
        <v>2370</v>
      </c>
      <c r="E64" s="6" t="s">
        <v>2370</v>
      </c>
      <c r="F64" s="6" t="s">
        <v>2370</v>
      </c>
      <c r="G64">
        <v>0</v>
      </c>
      <c r="H64" s="6" t="s">
        <v>2373</v>
      </c>
      <c r="I64" t="s">
        <v>8374</v>
      </c>
      <c r="J64" t="s">
        <v>8375</v>
      </c>
    </row>
    <row r="65" spans="1:10" x14ac:dyDescent="0.35">
      <c r="A65" s="6" t="s">
        <v>2299</v>
      </c>
      <c r="B65">
        <v>30.684999999999999</v>
      </c>
      <c r="C65">
        <v>7.02</v>
      </c>
      <c r="D65" s="6" t="s">
        <v>2373</v>
      </c>
      <c r="E65" s="6" t="s">
        <v>2370</v>
      </c>
      <c r="F65" s="6" t="s">
        <v>2370</v>
      </c>
      <c r="G65">
        <v>0</v>
      </c>
      <c r="H65" s="6" t="s">
        <v>2373</v>
      </c>
      <c r="I65" t="s">
        <v>8374</v>
      </c>
      <c r="J65" t="s">
        <v>8375</v>
      </c>
    </row>
    <row r="66" spans="1:10" x14ac:dyDescent="0.35">
      <c r="A66" s="6" t="s">
        <v>2298</v>
      </c>
      <c r="B66">
        <v>36.08</v>
      </c>
      <c r="C66">
        <v>8.8000000000000007</v>
      </c>
      <c r="D66" s="6" t="s">
        <v>2373</v>
      </c>
      <c r="E66" s="6" t="s">
        <v>2370</v>
      </c>
      <c r="F66" s="6" t="s">
        <v>2370</v>
      </c>
      <c r="G66">
        <v>1</v>
      </c>
      <c r="H66" s="6" t="s">
        <v>2373</v>
      </c>
      <c r="I66" t="s">
        <v>8374</v>
      </c>
      <c r="J66" t="s">
        <v>8375</v>
      </c>
    </row>
    <row r="67" spans="1:10" x14ac:dyDescent="0.35">
      <c r="A67" s="6" t="s">
        <v>2297</v>
      </c>
      <c r="B67">
        <v>54.99</v>
      </c>
      <c r="C67">
        <v>8.68</v>
      </c>
      <c r="D67" s="6" t="s">
        <v>2370</v>
      </c>
      <c r="E67" s="6" t="s">
        <v>2370</v>
      </c>
      <c r="F67" s="6" t="s">
        <v>2370</v>
      </c>
      <c r="G67">
        <v>2</v>
      </c>
      <c r="H67" s="6" t="s">
        <v>2373</v>
      </c>
      <c r="I67" t="s">
        <v>8374</v>
      </c>
      <c r="J67" t="s">
        <v>8375</v>
      </c>
    </row>
    <row r="68" spans="1:10" x14ac:dyDescent="0.35">
      <c r="A68" s="6" t="s">
        <v>2296</v>
      </c>
      <c r="B68">
        <v>35.97</v>
      </c>
      <c r="C68">
        <v>6.12</v>
      </c>
      <c r="D68" s="6" t="s">
        <v>2370</v>
      </c>
      <c r="E68" s="6" t="s">
        <v>2370</v>
      </c>
      <c r="F68" s="6" t="s">
        <v>2373</v>
      </c>
      <c r="G68">
        <v>1</v>
      </c>
      <c r="H68" s="6" t="s">
        <v>2373</v>
      </c>
      <c r="I68" t="s">
        <v>8374</v>
      </c>
      <c r="J68" t="s">
        <v>8376</v>
      </c>
    </row>
    <row r="69" spans="1:10" x14ac:dyDescent="0.35">
      <c r="A69" s="6" t="s">
        <v>2295</v>
      </c>
      <c r="B69">
        <v>45.54</v>
      </c>
      <c r="C69">
        <v>5.4</v>
      </c>
      <c r="D69" s="6" t="s">
        <v>2373</v>
      </c>
      <c r="E69" s="6" t="s">
        <v>2370</v>
      </c>
      <c r="F69" s="6" t="s">
        <v>2373</v>
      </c>
      <c r="G69">
        <v>1</v>
      </c>
      <c r="H69" s="6" t="s">
        <v>2373</v>
      </c>
      <c r="I69" t="s">
        <v>8374</v>
      </c>
      <c r="J69" t="s">
        <v>8377</v>
      </c>
    </row>
    <row r="70" spans="1:10" x14ac:dyDescent="0.35">
      <c r="A70" s="6" t="s">
        <v>2294</v>
      </c>
      <c r="B70">
        <v>35.53</v>
      </c>
      <c r="C70">
        <v>4.3600000000000003</v>
      </c>
      <c r="D70" s="6" t="s">
        <v>2373</v>
      </c>
      <c r="E70" s="6" t="s">
        <v>2370</v>
      </c>
      <c r="F70" s="6" t="s">
        <v>2370</v>
      </c>
      <c r="G70">
        <v>0</v>
      </c>
      <c r="H70" s="6" t="s">
        <v>2373</v>
      </c>
      <c r="I70" t="s">
        <v>8374</v>
      </c>
      <c r="J70" t="s">
        <v>8377</v>
      </c>
    </row>
    <row r="71" spans="1:10" x14ac:dyDescent="0.35">
      <c r="A71" s="6" t="s">
        <v>2293</v>
      </c>
      <c r="B71">
        <v>30.8</v>
      </c>
      <c r="C71">
        <v>9.77</v>
      </c>
      <c r="D71" s="6" t="s">
        <v>2370</v>
      </c>
      <c r="E71" s="6" t="s">
        <v>2370</v>
      </c>
      <c r="F71" s="6" t="s">
        <v>2370</v>
      </c>
      <c r="G71">
        <v>0</v>
      </c>
      <c r="H71" s="6" t="s">
        <v>2373</v>
      </c>
      <c r="I71" t="s">
        <v>8374</v>
      </c>
      <c r="J71" t="s">
        <v>8375</v>
      </c>
    </row>
    <row r="72" spans="1:10" x14ac:dyDescent="0.35">
      <c r="A72" s="6" t="s">
        <v>2292</v>
      </c>
      <c r="B72">
        <v>38.39</v>
      </c>
      <c r="C72">
        <v>4.25</v>
      </c>
      <c r="D72" s="6" t="s">
        <v>2370</v>
      </c>
      <c r="E72" s="6" t="s">
        <v>2370</v>
      </c>
      <c r="F72" s="6" t="s">
        <v>2370</v>
      </c>
      <c r="G72">
        <v>1</v>
      </c>
      <c r="H72" s="6" t="s">
        <v>2373</v>
      </c>
      <c r="I72" t="s">
        <v>8374</v>
      </c>
      <c r="J72" t="s">
        <v>8377</v>
      </c>
    </row>
    <row r="73" spans="1:10" x14ac:dyDescent="0.35">
      <c r="A73" s="6" t="s">
        <v>2291</v>
      </c>
      <c r="B73">
        <v>32.299999999999997</v>
      </c>
      <c r="C73">
        <v>4.76</v>
      </c>
      <c r="D73" s="6" t="s">
        <v>2370</v>
      </c>
      <c r="E73" s="6" t="s">
        <v>2370</v>
      </c>
      <c r="F73" s="6" t="s">
        <v>2370</v>
      </c>
      <c r="G73">
        <v>2</v>
      </c>
      <c r="H73" s="6" t="s">
        <v>2373</v>
      </c>
      <c r="I73" t="s">
        <v>8374</v>
      </c>
      <c r="J73" t="s">
        <v>8377</v>
      </c>
    </row>
    <row r="74" spans="1:10" x14ac:dyDescent="0.35">
      <c r="A74" s="6" t="s">
        <v>2290</v>
      </c>
      <c r="B74">
        <v>48.8</v>
      </c>
      <c r="C74">
        <v>6.22</v>
      </c>
      <c r="D74" s="6" t="s">
        <v>2373</v>
      </c>
      <c r="E74" s="6" t="s">
        <v>2370</v>
      </c>
      <c r="F74" s="6" t="s">
        <v>2370</v>
      </c>
      <c r="G74">
        <v>2</v>
      </c>
      <c r="H74" s="6" t="s">
        <v>2373</v>
      </c>
      <c r="I74" t="s">
        <v>8374</v>
      </c>
      <c r="J74" t="s">
        <v>8376</v>
      </c>
    </row>
    <row r="75" spans="1:10" x14ac:dyDescent="0.35">
      <c r="A75" s="6" t="s">
        <v>2289</v>
      </c>
      <c r="B75">
        <v>45.5</v>
      </c>
      <c r="C75">
        <v>7.96</v>
      </c>
      <c r="D75" s="6" t="s">
        <v>2370</v>
      </c>
      <c r="E75" s="6" t="s">
        <v>2370</v>
      </c>
      <c r="F75" s="6" t="s">
        <v>2370</v>
      </c>
      <c r="G75">
        <v>0</v>
      </c>
      <c r="H75" s="6" t="s">
        <v>2373</v>
      </c>
      <c r="I75" t="s">
        <v>8374</v>
      </c>
      <c r="J75" t="s">
        <v>8375</v>
      </c>
    </row>
    <row r="76" spans="1:10" x14ac:dyDescent="0.35">
      <c r="A76" s="6" t="s">
        <v>2288</v>
      </c>
      <c r="B76">
        <v>53.61</v>
      </c>
      <c r="C76">
        <v>10.92</v>
      </c>
      <c r="D76" s="6" t="s">
        <v>2373</v>
      </c>
      <c r="E76" s="6" t="s">
        <v>2370</v>
      </c>
      <c r="F76" s="6" t="s">
        <v>2370</v>
      </c>
      <c r="G76">
        <v>1</v>
      </c>
      <c r="H76" s="6" t="s">
        <v>2373</v>
      </c>
      <c r="I76" t="s">
        <v>8374</v>
      </c>
      <c r="J76" t="s">
        <v>8375</v>
      </c>
    </row>
    <row r="77" spans="1:10" x14ac:dyDescent="0.35">
      <c r="A77" s="6" t="s">
        <v>2287</v>
      </c>
      <c r="B77">
        <v>36.19</v>
      </c>
      <c r="C77">
        <v>11.51</v>
      </c>
      <c r="D77" s="6" t="s">
        <v>2373</v>
      </c>
      <c r="E77" s="6" t="s">
        <v>2370</v>
      </c>
      <c r="F77" s="6" t="s">
        <v>2370</v>
      </c>
      <c r="G77">
        <v>1</v>
      </c>
      <c r="H77" s="6" t="s">
        <v>2373</v>
      </c>
      <c r="I77" t="s">
        <v>8374</v>
      </c>
      <c r="J77" t="s">
        <v>8375</v>
      </c>
    </row>
    <row r="78" spans="1:10" x14ac:dyDescent="0.35">
      <c r="A78" s="6" t="s">
        <v>2286</v>
      </c>
      <c r="B78">
        <v>34.6</v>
      </c>
      <c r="C78">
        <v>5.99</v>
      </c>
      <c r="D78" s="6" t="s">
        <v>2373</v>
      </c>
      <c r="E78" s="6" t="s">
        <v>2370</v>
      </c>
      <c r="F78" s="6" t="s">
        <v>2370</v>
      </c>
      <c r="G78">
        <v>0</v>
      </c>
      <c r="H78" s="6" t="s">
        <v>2373</v>
      </c>
      <c r="I78" t="s">
        <v>8374</v>
      </c>
      <c r="J78" t="s">
        <v>8376</v>
      </c>
    </row>
    <row r="79" spans="1:10" x14ac:dyDescent="0.35">
      <c r="A79" s="6" t="s">
        <v>2285</v>
      </c>
      <c r="B79">
        <v>54.12</v>
      </c>
      <c r="C79">
        <v>11.57</v>
      </c>
      <c r="D79" s="6" t="s">
        <v>2370</v>
      </c>
      <c r="E79" s="6" t="s">
        <v>2370</v>
      </c>
      <c r="F79" s="6" t="s">
        <v>2370</v>
      </c>
      <c r="G79">
        <v>0</v>
      </c>
      <c r="H79" s="6" t="s">
        <v>2373</v>
      </c>
      <c r="I79" t="s">
        <v>8374</v>
      </c>
      <c r="J79" t="s">
        <v>8375</v>
      </c>
    </row>
    <row r="80" spans="1:10" x14ac:dyDescent="0.35">
      <c r="A80" s="6" t="s">
        <v>2284</v>
      </c>
      <c r="B80">
        <v>48.82</v>
      </c>
      <c r="C80">
        <v>6.67</v>
      </c>
      <c r="D80" s="6" t="s">
        <v>2373</v>
      </c>
      <c r="E80" s="6" t="s">
        <v>2370</v>
      </c>
      <c r="F80" s="6" t="s">
        <v>2370</v>
      </c>
      <c r="G80">
        <v>0</v>
      </c>
      <c r="H80" s="6" t="s">
        <v>2373</v>
      </c>
      <c r="I80" t="s">
        <v>8374</v>
      </c>
      <c r="J80" t="s">
        <v>8375</v>
      </c>
    </row>
    <row r="81" spans="1:10" x14ac:dyDescent="0.35">
      <c r="A81" s="6" t="s">
        <v>2283</v>
      </c>
      <c r="B81">
        <v>51.01</v>
      </c>
      <c r="C81">
        <v>9.1999999999999993</v>
      </c>
      <c r="D81" s="6" t="s">
        <v>2370</v>
      </c>
      <c r="E81" s="6" t="s">
        <v>2370</v>
      </c>
      <c r="F81" s="6" t="s">
        <v>2370</v>
      </c>
      <c r="G81">
        <v>0</v>
      </c>
      <c r="H81" s="6" t="s">
        <v>2373</v>
      </c>
      <c r="I81" t="s">
        <v>8374</v>
      </c>
      <c r="J81" t="s">
        <v>8375</v>
      </c>
    </row>
    <row r="82" spans="1:10" x14ac:dyDescent="0.35">
      <c r="A82" s="6" t="s">
        <v>2282</v>
      </c>
      <c r="B82">
        <v>45.65</v>
      </c>
      <c r="C82">
        <v>5.1100000000000003</v>
      </c>
      <c r="D82" s="6" t="s">
        <v>2373</v>
      </c>
      <c r="E82" s="6" t="s">
        <v>2370</v>
      </c>
      <c r="F82" s="6" t="s">
        <v>2370</v>
      </c>
      <c r="G82">
        <v>1</v>
      </c>
      <c r="H82" s="6" t="s">
        <v>2373</v>
      </c>
      <c r="I82" t="s">
        <v>8374</v>
      </c>
      <c r="J82" t="s">
        <v>8377</v>
      </c>
    </row>
    <row r="83" spans="1:10" x14ac:dyDescent="0.35">
      <c r="A83" s="6" t="s">
        <v>2281</v>
      </c>
      <c r="B83">
        <v>52.9</v>
      </c>
      <c r="C83">
        <v>5.34</v>
      </c>
      <c r="D83" s="6" t="s">
        <v>2370</v>
      </c>
      <c r="E83" s="6" t="s">
        <v>2370</v>
      </c>
      <c r="F83" s="6" t="s">
        <v>2370</v>
      </c>
      <c r="G83">
        <v>0</v>
      </c>
      <c r="H83" s="6" t="s">
        <v>2373</v>
      </c>
      <c r="I83" t="s">
        <v>8374</v>
      </c>
      <c r="J83" t="s">
        <v>8377</v>
      </c>
    </row>
    <row r="84" spans="1:10" x14ac:dyDescent="0.35">
      <c r="A84" s="6" t="s">
        <v>2280</v>
      </c>
      <c r="B84">
        <v>45.41</v>
      </c>
      <c r="C84">
        <v>4.03</v>
      </c>
      <c r="D84" s="6" t="s">
        <v>2373</v>
      </c>
      <c r="E84" s="6" t="s">
        <v>2370</v>
      </c>
      <c r="F84" s="6" t="s">
        <v>2370</v>
      </c>
      <c r="G84">
        <v>1</v>
      </c>
      <c r="H84" s="6" t="s">
        <v>2373</v>
      </c>
      <c r="I84" t="s">
        <v>8374</v>
      </c>
      <c r="J84" t="s">
        <v>8377</v>
      </c>
    </row>
    <row r="85" spans="1:10" x14ac:dyDescent="0.35">
      <c r="A85" s="6" t="s">
        <v>2279</v>
      </c>
      <c r="B85">
        <v>49.41</v>
      </c>
      <c r="C85">
        <v>4.2300000000000004</v>
      </c>
      <c r="D85" s="6" t="s">
        <v>2373</v>
      </c>
      <c r="E85" s="6" t="s">
        <v>2370</v>
      </c>
      <c r="F85" s="6" t="s">
        <v>2373</v>
      </c>
      <c r="G85">
        <v>1</v>
      </c>
      <c r="H85" s="6" t="s">
        <v>2373</v>
      </c>
      <c r="I85" t="s">
        <v>8374</v>
      </c>
      <c r="J85" t="s">
        <v>8377</v>
      </c>
    </row>
    <row r="86" spans="1:10" x14ac:dyDescent="0.35">
      <c r="A86" s="6" t="s">
        <v>2278</v>
      </c>
      <c r="B86">
        <v>31.824999999999999</v>
      </c>
      <c r="C86">
        <v>4.0599999999999996</v>
      </c>
      <c r="D86" s="6" t="s">
        <v>2370</v>
      </c>
      <c r="E86" s="6" t="s">
        <v>2370</v>
      </c>
      <c r="F86" s="6" t="s">
        <v>2370</v>
      </c>
      <c r="G86">
        <v>2</v>
      </c>
      <c r="H86" s="6" t="s">
        <v>2373</v>
      </c>
      <c r="I86" t="s">
        <v>8374</v>
      </c>
      <c r="J86" t="s">
        <v>8377</v>
      </c>
    </row>
    <row r="87" spans="1:10" x14ac:dyDescent="0.35">
      <c r="A87" s="6" t="s">
        <v>2277</v>
      </c>
      <c r="B87">
        <v>51.28</v>
      </c>
      <c r="C87">
        <v>4.68</v>
      </c>
      <c r="D87" s="6" t="s">
        <v>2370</v>
      </c>
      <c r="E87" s="6" t="s">
        <v>2370</v>
      </c>
      <c r="F87" s="6" t="s">
        <v>2370</v>
      </c>
      <c r="G87">
        <v>2</v>
      </c>
      <c r="H87" s="6" t="s">
        <v>2373</v>
      </c>
      <c r="I87" t="s">
        <v>8374</v>
      </c>
      <c r="J87" t="s">
        <v>8377</v>
      </c>
    </row>
    <row r="88" spans="1:10" x14ac:dyDescent="0.35">
      <c r="A88" s="6" t="s">
        <v>2276</v>
      </c>
      <c r="B88">
        <v>34.96</v>
      </c>
      <c r="C88">
        <v>4.34</v>
      </c>
      <c r="D88" s="6" t="s">
        <v>2370</v>
      </c>
      <c r="E88" s="6" t="s">
        <v>2370</v>
      </c>
      <c r="F88" s="6" t="s">
        <v>2373</v>
      </c>
      <c r="G88">
        <v>1</v>
      </c>
      <c r="H88" s="6" t="s">
        <v>2373</v>
      </c>
      <c r="I88" t="s">
        <v>8374</v>
      </c>
      <c r="J88" t="s">
        <v>8377</v>
      </c>
    </row>
    <row r="89" spans="1:10" x14ac:dyDescent="0.35">
      <c r="A89" s="6" t="s">
        <v>2275</v>
      </c>
      <c r="B89">
        <v>33.11</v>
      </c>
      <c r="C89">
        <v>10.51</v>
      </c>
      <c r="D89" s="6" t="s">
        <v>2370</v>
      </c>
      <c r="E89" s="6" t="s">
        <v>2370</v>
      </c>
      <c r="F89" s="6" t="s">
        <v>2370</v>
      </c>
      <c r="G89">
        <v>0</v>
      </c>
      <c r="H89" s="6" t="s">
        <v>2373</v>
      </c>
      <c r="I89" t="s">
        <v>8374</v>
      </c>
      <c r="J89" t="s">
        <v>8375</v>
      </c>
    </row>
    <row r="90" spans="1:10" x14ac:dyDescent="0.35">
      <c r="A90" s="6" t="s">
        <v>2274</v>
      </c>
      <c r="B90">
        <v>54.74</v>
      </c>
      <c r="C90">
        <v>5.84</v>
      </c>
      <c r="D90" s="6" t="s">
        <v>2373</v>
      </c>
      <c r="E90" s="6" t="s">
        <v>2370</v>
      </c>
      <c r="F90" s="6" t="s">
        <v>2373</v>
      </c>
      <c r="G90">
        <v>1</v>
      </c>
      <c r="H90" s="6" t="s">
        <v>2373</v>
      </c>
      <c r="I90" t="s">
        <v>8374</v>
      </c>
      <c r="J90" t="s">
        <v>8376</v>
      </c>
    </row>
    <row r="91" spans="1:10" x14ac:dyDescent="0.35">
      <c r="A91" s="6" t="s">
        <v>2273</v>
      </c>
      <c r="B91">
        <v>32.56</v>
      </c>
      <c r="C91">
        <v>5.41</v>
      </c>
      <c r="D91" s="6" t="s">
        <v>2370</v>
      </c>
      <c r="E91" s="6" t="s">
        <v>2370</v>
      </c>
      <c r="F91" s="6" t="s">
        <v>2373</v>
      </c>
      <c r="G91">
        <v>1</v>
      </c>
      <c r="H91" s="6" t="s">
        <v>2373</v>
      </c>
      <c r="I91" t="s">
        <v>8374</v>
      </c>
      <c r="J91" t="s">
        <v>8377</v>
      </c>
    </row>
    <row r="92" spans="1:10" x14ac:dyDescent="0.35">
      <c r="A92" s="6" t="s">
        <v>2272</v>
      </c>
      <c r="B92">
        <v>39.049999999999997</v>
      </c>
      <c r="C92">
        <v>6.06</v>
      </c>
      <c r="D92" s="6" t="s">
        <v>2370</v>
      </c>
      <c r="E92" s="6" t="s">
        <v>2370</v>
      </c>
      <c r="F92" s="6" t="s">
        <v>2370</v>
      </c>
      <c r="G92">
        <v>1</v>
      </c>
      <c r="H92" s="6" t="s">
        <v>2373</v>
      </c>
      <c r="I92" t="s">
        <v>8374</v>
      </c>
      <c r="J92" t="s">
        <v>8376</v>
      </c>
    </row>
    <row r="93" spans="1:10" x14ac:dyDescent="0.35">
      <c r="A93" s="6" t="s">
        <v>2271</v>
      </c>
      <c r="B93">
        <v>42.75</v>
      </c>
      <c r="C93">
        <v>4.22</v>
      </c>
      <c r="D93" s="6" t="s">
        <v>2370</v>
      </c>
      <c r="E93" s="6" t="s">
        <v>2370</v>
      </c>
      <c r="F93" s="6" t="s">
        <v>2370</v>
      </c>
      <c r="G93">
        <v>0</v>
      </c>
      <c r="H93" s="6" t="s">
        <v>2373</v>
      </c>
      <c r="I93" t="s">
        <v>8374</v>
      </c>
      <c r="J93" t="s">
        <v>8377</v>
      </c>
    </row>
    <row r="94" spans="1:10" x14ac:dyDescent="0.35">
      <c r="A94" s="6" t="s">
        <v>2270</v>
      </c>
      <c r="B94">
        <v>50.58</v>
      </c>
      <c r="C94">
        <v>5.12</v>
      </c>
      <c r="D94" s="6" t="s">
        <v>2370</v>
      </c>
      <c r="E94" s="6" t="s">
        <v>2370</v>
      </c>
      <c r="F94" s="6" t="s">
        <v>2370</v>
      </c>
      <c r="G94">
        <v>2</v>
      </c>
      <c r="H94" s="6" t="s">
        <v>2373</v>
      </c>
      <c r="I94" t="s">
        <v>8374</v>
      </c>
      <c r="J94" t="s">
        <v>8377</v>
      </c>
    </row>
    <row r="95" spans="1:10" x14ac:dyDescent="0.35">
      <c r="A95" s="6" t="s">
        <v>2269</v>
      </c>
      <c r="B95">
        <v>30.495000000000001</v>
      </c>
      <c r="C95">
        <v>4.57</v>
      </c>
      <c r="D95" s="6" t="s">
        <v>2373</v>
      </c>
      <c r="E95" s="6" t="s">
        <v>2370</v>
      </c>
      <c r="F95" s="6" t="s">
        <v>2370</v>
      </c>
      <c r="G95">
        <v>0</v>
      </c>
      <c r="H95" s="6" t="s">
        <v>2373</v>
      </c>
      <c r="I95" t="s">
        <v>8374</v>
      </c>
      <c r="J95" t="s">
        <v>8377</v>
      </c>
    </row>
    <row r="96" spans="1:10" x14ac:dyDescent="0.35">
      <c r="A96" s="6" t="s">
        <v>2268</v>
      </c>
      <c r="B96">
        <v>48.31</v>
      </c>
      <c r="C96">
        <v>9.58</v>
      </c>
      <c r="D96" s="6" t="s">
        <v>2373</v>
      </c>
      <c r="E96" s="6" t="s">
        <v>2370</v>
      </c>
      <c r="F96" s="6" t="s">
        <v>2370</v>
      </c>
      <c r="G96">
        <v>2</v>
      </c>
      <c r="H96" s="6" t="s">
        <v>2373</v>
      </c>
      <c r="I96" t="s">
        <v>8374</v>
      </c>
      <c r="J96" t="s">
        <v>8375</v>
      </c>
    </row>
    <row r="97" spans="1:10" x14ac:dyDescent="0.35">
      <c r="A97" s="6" t="s">
        <v>2267</v>
      </c>
      <c r="B97">
        <v>48.99</v>
      </c>
      <c r="C97">
        <v>9.7799999999999994</v>
      </c>
      <c r="D97" s="6" t="s">
        <v>2373</v>
      </c>
      <c r="E97" s="6" t="s">
        <v>2370</v>
      </c>
      <c r="F97" s="6" t="s">
        <v>2370</v>
      </c>
      <c r="G97">
        <v>1</v>
      </c>
      <c r="H97" s="6" t="s">
        <v>2373</v>
      </c>
      <c r="I97" t="s">
        <v>8374</v>
      </c>
      <c r="J97" t="s">
        <v>8375</v>
      </c>
    </row>
    <row r="98" spans="1:10" x14ac:dyDescent="0.35">
      <c r="A98" s="6" t="s">
        <v>2266</v>
      </c>
      <c r="B98">
        <v>38.39</v>
      </c>
      <c r="C98">
        <v>4.1100000000000003</v>
      </c>
      <c r="D98" s="6" t="s">
        <v>2373</v>
      </c>
      <c r="E98" s="6" t="s">
        <v>2370</v>
      </c>
      <c r="F98" s="6" t="s">
        <v>2370</v>
      </c>
      <c r="G98">
        <v>0</v>
      </c>
      <c r="H98" s="6" t="s">
        <v>2373</v>
      </c>
      <c r="I98" t="s">
        <v>8374</v>
      </c>
      <c r="J98" t="s">
        <v>8377</v>
      </c>
    </row>
    <row r="99" spans="1:10" x14ac:dyDescent="0.35">
      <c r="A99" s="6" t="s">
        <v>2265</v>
      </c>
      <c r="B99">
        <v>44.34</v>
      </c>
      <c r="C99">
        <v>4.0199999999999996</v>
      </c>
      <c r="D99" s="6" t="s">
        <v>2373</v>
      </c>
      <c r="E99" s="6" t="s">
        <v>2370</v>
      </c>
      <c r="F99" s="6" t="s">
        <v>2370</v>
      </c>
      <c r="G99">
        <v>2</v>
      </c>
      <c r="H99" s="6" t="s">
        <v>2373</v>
      </c>
      <c r="I99" t="s">
        <v>8374</v>
      </c>
      <c r="J99" t="s">
        <v>8377</v>
      </c>
    </row>
    <row r="100" spans="1:10" x14ac:dyDescent="0.35">
      <c r="A100" s="6" t="s">
        <v>2264</v>
      </c>
      <c r="B100">
        <v>41.51</v>
      </c>
      <c r="C100">
        <v>6.92</v>
      </c>
      <c r="D100" s="6" t="s">
        <v>2370</v>
      </c>
      <c r="E100" s="6" t="s">
        <v>2370</v>
      </c>
      <c r="F100" s="6" t="s">
        <v>2370</v>
      </c>
      <c r="G100">
        <v>0</v>
      </c>
      <c r="H100" s="6" t="s">
        <v>2373</v>
      </c>
      <c r="I100" t="s">
        <v>8374</v>
      </c>
      <c r="J100" t="s">
        <v>8375</v>
      </c>
    </row>
    <row r="101" spans="1:10" x14ac:dyDescent="0.35">
      <c r="A101" s="6" t="s">
        <v>2263</v>
      </c>
      <c r="B101">
        <v>48.2</v>
      </c>
      <c r="C101">
        <v>4.84</v>
      </c>
      <c r="D101" s="6" t="s">
        <v>2370</v>
      </c>
      <c r="E101" s="6" t="s">
        <v>2370</v>
      </c>
      <c r="F101" s="6" t="s">
        <v>2370</v>
      </c>
      <c r="G101">
        <v>0</v>
      </c>
      <c r="H101" s="6" t="s">
        <v>2373</v>
      </c>
      <c r="I101" t="s">
        <v>8374</v>
      </c>
      <c r="J101" t="s">
        <v>8377</v>
      </c>
    </row>
    <row r="102" spans="1:10" x14ac:dyDescent="0.35">
      <c r="A102" s="6" t="s">
        <v>2262</v>
      </c>
      <c r="B102">
        <v>35.75</v>
      </c>
      <c r="C102">
        <v>8</v>
      </c>
      <c r="D102" s="6" t="s">
        <v>2373</v>
      </c>
      <c r="E102" s="6" t="s">
        <v>2370</v>
      </c>
      <c r="F102" s="6" t="s">
        <v>2370</v>
      </c>
      <c r="G102">
        <v>0</v>
      </c>
      <c r="H102" s="6" t="s">
        <v>2373</v>
      </c>
      <c r="I102" t="s">
        <v>8374</v>
      </c>
      <c r="J102" t="s">
        <v>8375</v>
      </c>
    </row>
    <row r="103" spans="1:10" x14ac:dyDescent="0.35">
      <c r="A103" s="6" t="s">
        <v>2261</v>
      </c>
      <c r="B103">
        <v>53.81</v>
      </c>
      <c r="C103">
        <v>8.77</v>
      </c>
      <c r="D103" s="6" t="s">
        <v>2373</v>
      </c>
      <c r="E103" s="6" t="s">
        <v>2370</v>
      </c>
      <c r="F103" s="6" t="s">
        <v>2370</v>
      </c>
      <c r="G103">
        <v>0</v>
      </c>
      <c r="H103" s="6" t="s">
        <v>2373</v>
      </c>
      <c r="I103" t="s">
        <v>8374</v>
      </c>
      <c r="J103" t="s">
        <v>8375</v>
      </c>
    </row>
    <row r="104" spans="1:10" x14ac:dyDescent="0.35">
      <c r="A104" s="6" t="s">
        <v>2260</v>
      </c>
      <c r="B104">
        <v>49.48</v>
      </c>
      <c r="C104">
        <v>4.96</v>
      </c>
      <c r="D104" s="6" t="s">
        <v>2370</v>
      </c>
      <c r="E104" s="6" t="s">
        <v>2370</v>
      </c>
      <c r="F104" s="6" t="s">
        <v>2373</v>
      </c>
      <c r="G104">
        <v>1</v>
      </c>
      <c r="H104" s="6" t="s">
        <v>2373</v>
      </c>
      <c r="I104" t="s">
        <v>8374</v>
      </c>
      <c r="J104" t="s">
        <v>8377</v>
      </c>
    </row>
    <row r="105" spans="1:10" x14ac:dyDescent="0.35">
      <c r="A105" s="6" t="s">
        <v>2259</v>
      </c>
      <c r="B105">
        <v>34.1</v>
      </c>
      <c r="C105">
        <v>4.43</v>
      </c>
      <c r="D105" s="6" t="s">
        <v>2373</v>
      </c>
      <c r="E105" s="6" t="s">
        <v>2370</v>
      </c>
      <c r="F105" s="6" t="s">
        <v>2370</v>
      </c>
      <c r="G105">
        <v>0</v>
      </c>
      <c r="H105" s="6" t="s">
        <v>2373</v>
      </c>
      <c r="I105" t="s">
        <v>8374</v>
      </c>
      <c r="J105" t="s">
        <v>8377</v>
      </c>
    </row>
    <row r="106" spans="1:10" x14ac:dyDescent="0.35">
      <c r="A106" s="6" t="s">
        <v>2258</v>
      </c>
      <c r="B106">
        <v>35.299999999999997</v>
      </c>
      <c r="C106">
        <v>5.82</v>
      </c>
      <c r="D106" s="6" t="s">
        <v>2373</v>
      </c>
      <c r="E106" s="6" t="s">
        <v>2370</v>
      </c>
      <c r="F106" s="6" t="s">
        <v>2373</v>
      </c>
      <c r="G106">
        <v>1</v>
      </c>
      <c r="H106" s="6" t="s">
        <v>2373</v>
      </c>
      <c r="I106" t="s">
        <v>8374</v>
      </c>
      <c r="J106" t="s">
        <v>8376</v>
      </c>
    </row>
    <row r="107" spans="1:10" x14ac:dyDescent="0.35">
      <c r="A107" s="6" t="s">
        <v>2257</v>
      </c>
      <c r="B107">
        <v>43.83</v>
      </c>
      <c r="C107">
        <v>6.03</v>
      </c>
      <c r="D107" s="6" t="s">
        <v>2373</v>
      </c>
      <c r="E107" s="6" t="s">
        <v>2370</v>
      </c>
      <c r="F107" s="6" t="s">
        <v>2370</v>
      </c>
      <c r="G107">
        <v>2</v>
      </c>
      <c r="H107" s="6" t="s">
        <v>2373</v>
      </c>
      <c r="I107" t="s">
        <v>8374</v>
      </c>
      <c r="J107" t="s">
        <v>8376</v>
      </c>
    </row>
    <row r="108" spans="1:10" x14ac:dyDescent="0.35">
      <c r="A108" s="6" t="s">
        <v>2256</v>
      </c>
      <c r="B108">
        <v>50.07</v>
      </c>
      <c r="C108">
        <v>9.27</v>
      </c>
      <c r="D108" s="6" t="s">
        <v>2370</v>
      </c>
      <c r="E108" s="6" t="s">
        <v>2370</v>
      </c>
      <c r="F108" s="6" t="s">
        <v>2370</v>
      </c>
      <c r="G108">
        <v>0</v>
      </c>
      <c r="H108" s="6" t="s">
        <v>2373</v>
      </c>
      <c r="I108" t="s">
        <v>8374</v>
      </c>
      <c r="J108" t="s">
        <v>8375</v>
      </c>
    </row>
    <row r="109" spans="1:10" x14ac:dyDescent="0.35">
      <c r="A109" s="6" t="s">
        <v>2255</v>
      </c>
      <c r="B109">
        <v>32.774999999999999</v>
      </c>
      <c r="C109">
        <v>5.53</v>
      </c>
      <c r="D109" s="6" t="s">
        <v>2370</v>
      </c>
      <c r="E109" s="6" t="s">
        <v>2370</v>
      </c>
      <c r="F109" s="6" t="s">
        <v>2370</v>
      </c>
      <c r="G109">
        <v>0</v>
      </c>
      <c r="H109" s="6" t="s">
        <v>2373</v>
      </c>
      <c r="I109" t="s">
        <v>8374</v>
      </c>
      <c r="J109" t="s">
        <v>8377</v>
      </c>
    </row>
    <row r="110" spans="1:10" x14ac:dyDescent="0.35">
      <c r="A110" s="6" t="s">
        <v>2254</v>
      </c>
      <c r="B110">
        <v>34.104999999999997</v>
      </c>
      <c r="C110">
        <v>5.07</v>
      </c>
      <c r="D110" s="6" t="s">
        <v>2370</v>
      </c>
      <c r="E110" s="6" t="s">
        <v>2370</v>
      </c>
      <c r="F110" s="6" t="s">
        <v>2370</v>
      </c>
      <c r="G110">
        <v>1</v>
      </c>
      <c r="H110" s="6" t="s">
        <v>2373</v>
      </c>
      <c r="I110" t="s">
        <v>8374</v>
      </c>
      <c r="J110" t="s">
        <v>8377</v>
      </c>
    </row>
    <row r="111" spans="1:10" x14ac:dyDescent="0.35">
      <c r="A111" s="6" t="s">
        <v>2253</v>
      </c>
      <c r="B111">
        <v>48.93</v>
      </c>
      <c r="C111">
        <v>11.17</v>
      </c>
      <c r="D111" s="6" t="s">
        <v>2373</v>
      </c>
      <c r="E111" s="6" t="s">
        <v>2370</v>
      </c>
      <c r="F111" s="6" t="s">
        <v>2370</v>
      </c>
      <c r="G111">
        <v>1</v>
      </c>
      <c r="H111" s="6" t="s">
        <v>2373</v>
      </c>
      <c r="I111" t="s">
        <v>8374</v>
      </c>
      <c r="J111" t="s">
        <v>8375</v>
      </c>
    </row>
    <row r="112" spans="1:10" x14ac:dyDescent="0.35">
      <c r="A112" s="6" t="s">
        <v>2252</v>
      </c>
      <c r="B112">
        <v>37.07</v>
      </c>
      <c r="C112">
        <v>6.14</v>
      </c>
      <c r="D112" s="6" t="s">
        <v>2373</v>
      </c>
      <c r="E112" s="6" t="s">
        <v>2370</v>
      </c>
      <c r="F112" s="6" t="s">
        <v>2370</v>
      </c>
      <c r="G112">
        <v>0</v>
      </c>
      <c r="H112" s="6" t="s">
        <v>2373</v>
      </c>
      <c r="I112" t="s">
        <v>8374</v>
      </c>
      <c r="J112" t="s">
        <v>8376</v>
      </c>
    </row>
    <row r="113" spans="1:10" x14ac:dyDescent="0.35">
      <c r="A113" s="6" t="s">
        <v>2251</v>
      </c>
      <c r="B113">
        <v>51.51</v>
      </c>
      <c r="C113">
        <v>6.26</v>
      </c>
      <c r="D113" s="6" t="s">
        <v>2373</v>
      </c>
      <c r="E113" s="6" t="s">
        <v>2370</v>
      </c>
      <c r="F113" s="6" t="s">
        <v>2373</v>
      </c>
      <c r="G113">
        <v>1</v>
      </c>
      <c r="H113" s="6" t="s">
        <v>2373</v>
      </c>
      <c r="I113" t="s">
        <v>8374</v>
      </c>
      <c r="J113" t="s">
        <v>8376</v>
      </c>
    </row>
    <row r="114" spans="1:10" x14ac:dyDescent="0.35">
      <c r="A114" s="6" t="s">
        <v>2250</v>
      </c>
      <c r="B114">
        <v>34.799999999999997</v>
      </c>
      <c r="C114">
        <v>4.72</v>
      </c>
      <c r="D114" s="6" t="s">
        <v>2373</v>
      </c>
      <c r="E114" s="6" t="s">
        <v>2370</v>
      </c>
      <c r="F114" s="6" t="s">
        <v>2370</v>
      </c>
      <c r="G114">
        <v>0</v>
      </c>
      <c r="H114" s="6" t="s">
        <v>2373</v>
      </c>
      <c r="I114" t="s">
        <v>8374</v>
      </c>
      <c r="J114" t="s">
        <v>8377</v>
      </c>
    </row>
    <row r="115" spans="1:10" x14ac:dyDescent="0.35">
      <c r="A115" s="6" t="s">
        <v>2249</v>
      </c>
      <c r="B115">
        <v>36.67</v>
      </c>
      <c r="C115">
        <v>5.18</v>
      </c>
      <c r="D115" s="6" t="s">
        <v>2370</v>
      </c>
      <c r="E115" s="6" t="s">
        <v>2370</v>
      </c>
      <c r="F115" s="6" t="s">
        <v>2370</v>
      </c>
      <c r="G115">
        <v>1</v>
      </c>
      <c r="H115" s="6" t="s">
        <v>2373</v>
      </c>
      <c r="I115" t="s">
        <v>8374</v>
      </c>
      <c r="J115" t="s">
        <v>8377</v>
      </c>
    </row>
    <row r="116" spans="1:10" x14ac:dyDescent="0.35">
      <c r="A116" s="6" t="s">
        <v>2248</v>
      </c>
      <c r="B116">
        <v>30.9</v>
      </c>
      <c r="C116">
        <v>9.4</v>
      </c>
      <c r="D116" s="6" t="s">
        <v>2370</v>
      </c>
      <c r="E116" s="6" t="s">
        <v>2370</v>
      </c>
      <c r="F116" s="6" t="s">
        <v>2370</v>
      </c>
      <c r="G116">
        <v>2</v>
      </c>
      <c r="H116" s="6" t="s">
        <v>2373</v>
      </c>
      <c r="I116" t="s">
        <v>8374</v>
      </c>
      <c r="J116" t="s">
        <v>8375</v>
      </c>
    </row>
    <row r="117" spans="1:10" x14ac:dyDescent="0.35">
      <c r="A117" s="6" t="s">
        <v>2247</v>
      </c>
      <c r="B117">
        <v>30.495000000000001</v>
      </c>
      <c r="C117">
        <v>6.29</v>
      </c>
      <c r="D117" s="6" t="s">
        <v>2370</v>
      </c>
      <c r="E117" s="6" t="s">
        <v>2370</v>
      </c>
      <c r="F117" s="6" t="s">
        <v>2370</v>
      </c>
      <c r="G117">
        <v>0</v>
      </c>
      <c r="H117" s="6" t="s">
        <v>2373</v>
      </c>
      <c r="I117" t="s">
        <v>8374</v>
      </c>
      <c r="J117" t="s">
        <v>8376</v>
      </c>
    </row>
    <row r="118" spans="1:10" x14ac:dyDescent="0.35">
      <c r="A118" s="6" t="s">
        <v>2246</v>
      </c>
      <c r="B118">
        <v>44.88</v>
      </c>
      <c r="C118">
        <v>6.04</v>
      </c>
      <c r="D118" s="6" t="s">
        <v>2370</v>
      </c>
      <c r="E118" s="6" t="s">
        <v>2370</v>
      </c>
      <c r="F118" s="6" t="s">
        <v>2373</v>
      </c>
      <c r="G118">
        <v>1</v>
      </c>
      <c r="H118" s="6" t="s">
        <v>2373</v>
      </c>
      <c r="I118" t="s">
        <v>8374</v>
      </c>
      <c r="J118" t="s">
        <v>8376</v>
      </c>
    </row>
    <row r="119" spans="1:10" x14ac:dyDescent="0.35">
      <c r="A119" s="6" t="s">
        <v>2245</v>
      </c>
      <c r="B119">
        <v>44.32</v>
      </c>
      <c r="C119">
        <v>10.55</v>
      </c>
      <c r="D119" s="6" t="s">
        <v>2370</v>
      </c>
      <c r="E119" s="6" t="s">
        <v>2370</v>
      </c>
      <c r="F119" s="6" t="s">
        <v>2370</v>
      </c>
      <c r="G119">
        <v>0</v>
      </c>
      <c r="H119" s="6" t="s">
        <v>2373</v>
      </c>
      <c r="I119" t="s">
        <v>8374</v>
      </c>
      <c r="J119" t="s">
        <v>8375</v>
      </c>
    </row>
    <row r="120" spans="1:10" x14ac:dyDescent="0.35">
      <c r="A120" s="6" t="s">
        <v>2244</v>
      </c>
      <c r="B120">
        <v>46.39</v>
      </c>
      <c r="C120">
        <v>5.09</v>
      </c>
      <c r="D120" s="6" t="s">
        <v>2370</v>
      </c>
      <c r="E120" s="6" t="s">
        <v>2370</v>
      </c>
      <c r="F120" s="6" t="s">
        <v>2370</v>
      </c>
      <c r="G120">
        <v>0</v>
      </c>
      <c r="H120" s="6" t="s">
        <v>2373</v>
      </c>
      <c r="I120" t="s">
        <v>8374</v>
      </c>
      <c r="J120" t="s">
        <v>8377</v>
      </c>
    </row>
    <row r="121" spans="1:10" x14ac:dyDescent="0.35">
      <c r="A121" s="6" t="s">
        <v>2243</v>
      </c>
      <c r="B121">
        <v>42.13</v>
      </c>
      <c r="C121">
        <v>5.2</v>
      </c>
      <c r="D121" s="6" t="s">
        <v>2373</v>
      </c>
      <c r="E121" s="6" t="s">
        <v>2370</v>
      </c>
      <c r="F121" s="6" t="s">
        <v>2370</v>
      </c>
      <c r="G121">
        <v>1</v>
      </c>
      <c r="H121" s="6" t="s">
        <v>2373</v>
      </c>
      <c r="I121" t="s">
        <v>8374</v>
      </c>
      <c r="J121" t="s">
        <v>8377</v>
      </c>
    </row>
    <row r="122" spans="1:10" x14ac:dyDescent="0.35">
      <c r="A122" s="6" t="s">
        <v>2242</v>
      </c>
      <c r="B122">
        <v>30.78</v>
      </c>
      <c r="C122">
        <v>8.4499999999999993</v>
      </c>
      <c r="D122" s="6" t="s">
        <v>2373</v>
      </c>
      <c r="E122" s="6" t="s">
        <v>2370</v>
      </c>
      <c r="F122" s="6" t="s">
        <v>2370</v>
      </c>
      <c r="G122">
        <v>0</v>
      </c>
      <c r="H122" s="6" t="s">
        <v>2373</v>
      </c>
      <c r="I122" t="s">
        <v>8374</v>
      </c>
      <c r="J122" t="s">
        <v>8375</v>
      </c>
    </row>
    <row r="123" spans="1:10" x14ac:dyDescent="0.35">
      <c r="A123" s="6" t="s">
        <v>2241</v>
      </c>
      <c r="B123">
        <v>31.35</v>
      </c>
      <c r="C123">
        <v>9.5399999999999991</v>
      </c>
      <c r="D123" s="6" t="s">
        <v>2370</v>
      </c>
      <c r="E123" s="6" t="s">
        <v>2370</v>
      </c>
      <c r="F123" s="6" t="s">
        <v>2370</v>
      </c>
      <c r="G123">
        <v>0</v>
      </c>
      <c r="H123" s="6" t="s">
        <v>2373</v>
      </c>
      <c r="I123" t="s">
        <v>8374</v>
      </c>
      <c r="J123" t="s">
        <v>8375</v>
      </c>
    </row>
    <row r="124" spans="1:10" x14ac:dyDescent="0.35">
      <c r="A124" s="6" t="s">
        <v>2240</v>
      </c>
      <c r="B124">
        <v>41.46</v>
      </c>
      <c r="C124">
        <v>4.99</v>
      </c>
      <c r="D124" s="6" t="s">
        <v>2373</v>
      </c>
      <c r="E124" s="6" t="s">
        <v>2370</v>
      </c>
      <c r="F124" s="6" t="s">
        <v>2370</v>
      </c>
      <c r="G124">
        <v>2</v>
      </c>
      <c r="H124" s="6" t="s">
        <v>2373</v>
      </c>
      <c r="I124" t="s">
        <v>8374</v>
      </c>
      <c r="J124" t="s">
        <v>8377</v>
      </c>
    </row>
    <row r="125" spans="1:10" x14ac:dyDescent="0.35">
      <c r="A125" s="6" t="s">
        <v>2239</v>
      </c>
      <c r="B125">
        <v>48</v>
      </c>
      <c r="C125">
        <v>10.54</v>
      </c>
      <c r="D125" s="6" t="s">
        <v>2370</v>
      </c>
      <c r="E125" s="6" t="s">
        <v>2370</v>
      </c>
      <c r="F125" s="6" t="s">
        <v>2370</v>
      </c>
      <c r="G125">
        <v>0</v>
      </c>
      <c r="H125" s="6" t="s">
        <v>2373</v>
      </c>
      <c r="I125" t="s">
        <v>8374</v>
      </c>
      <c r="J125" t="s">
        <v>8375</v>
      </c>
    </row>
    <row r="126" spans="1:10" x14ac:dyDescent="0.35">
      <c r="A126" s="6" t="s">
        <v>2238</v>
      </c>
      <c r="B126">
        <v>49.13</v>
      </c>
      <c r="C126">
        <v>4.54</v>
      </c>
      <c r="D126" s="6" t="s">
        <v>2370</v>
      </c>
      <c r="E126" s="6" t="s">
        <v>2370</v>
      </c>
      <c r="F126" s="6" t="s">
        <v>2370</v>
      </c>
      <c r="G126">
        <v>0</v>
      </c>
      <c r="H126" s="6" t="s">
        <v>2373</v>
      </c>
      <c r="I126" t="s">
        <v>8374</v>
      </c>
      <c r="J126" t="s">
        <v>8377</v>
      </c>
    </row>
    <row r="127" spans="1:10" x14ac:dyDescent="0.35">
      <c r="A127" s="6" t="s">
        <v>2237</v>
      </c>
      <c r="B127">
        <v>37.799999999999997</v>
      </c>
      <c r="C127">
        <v>6.29</v>
      </c>
      <c r="D127" s="6" t="s">
        <v>2370</v>
      </c>
      <c r="E127" s="6" t="s">
        <v>2370</v>
      </c>
      <c r="F127" s="6" t="s">
        <v>2370</v>
      </c>
      <c r="G127">
        <v>1</v>
      </c>
      <c r="H127" s="6" t="s">
        <v>2373</v>
      </c>
      <c r="I127" t="s">
        <v>8374</v>
      </c>
      <c r="J127" t="s">
        <v>8376</v>
      </c>
    </row>
    <row r="128" spans="1:10" x14ac:dyDescent="0.35">
      <c r="A128" s="6" t="s">
        <v>2236</v>
      </c>
      <c r="B128">
        <v>38.299999999999997</v>
      </c>
      <c r="C128">
        <v>9.51</v>
      </c>
      <c r="D128" s="6" t="s">
        <v>2370</v>
      </c>
      <c r="E128" s="6" t="s">
        <v>2370</v>
      </c>
      <c r="F128" s="6" t="s">
        <v>2370</v>
      </c>
      <c r="G128">
        <v>0</v>
      </c>
      <c r="H128" s="6" t="s">
        <v>2373</v>
      </c>
      <c r="I128" t="s">
        <v>8374</v>
      </c>
      <c r="J128" t="s">
        <v>8375</v>
      </c>
    </row>
    <row r="129" spans="1:10" x14ac:dyDescent="0.35">
      <c r="A129" s="6" t="s">
        <v>2235</v>
      </c>
      <c r="B129">
        <v>32.774999999999999</v>
      </c>
      <c r="C129">
        <v>4.72</v>
      </c>
      <c r="D129" s="6" t="s">
        <v>2370</v>
      </c>
      <c r="E129" s="6" t="s">
        <v>2370</v>
      </c>
      <c r="F129" s="6" t="s">
        <v>2370</v>
      </c>
      <c r="G129">
        <v>0</v>
      </c>
      <c r="H129" s="6" t="s">
        <v>2373</v>
      </c>
      <c r="I129" t="s">
        <v>8374</v>
      </c>
      <c r="J129" t="s">
        <v>8377</v>
      </c>
    </row>
    <row r="130" spans="1:10" x14ac:dyDescent="0.35">
      <c r="A130" s="6" t="s">
        <v>2234</v>
      </c>
      <c r="B130">
        <v>34.200000000000003</v>
      </c>
      <c r="C130">
        <v>5.91</v>
      </c>
      <c r="D130" s="6" t="s">
        <v>2373</v>
      </c>
      <c r="E130" s="6" t="s">
        <v>2370</v>
      </c>
      <c r="F130" s="6" t="s">
        <v>2370</v>
      </c>
      <c r="G130">
        <v>0</v>
      </c>
      <c r="H130" s="6" t="s">
        <v>2373</v>
      </c>
      <c r="I130" t="s">
        <v>8374</v>
      </c>
      <c r="J130" t="s">
        <v>8376</v>
      </c>
    </row>
    <row r="131" spans="1:10" x14ac:dyDescent="0.35">
      <c r="A131" s="6" t="s">
        <v>2233</v>
      </c>
      <c r="B131">
        <v>30.2</v>
      </c>
      <c r="C131">
        <v>9.58</v>
      </c>
      <c r="D131" s="6" t="s">
        <v>2370</v>
      </c>
      <c r="E131" s="6" t="s">
        <v>2370</v>
      </c>
      <c r="F131" s="6" t="s">
        <v>2370</v>
      </c>
      <c r="G131">
        <v>0</v>
      </c>
      <c r="H131" s="6" t="s">
        <v>2373</v>
      </c>
      <c r="I131" t="s">
        <v>8374</v>
      </c>
      <c r="J131" t="s">
        <v>8375</v>
      </c>
    </row>
    <row r="132" spans="1:10" x14ac:dyDescent="0.35">
      <c r="A132" s="6" t="s">
        <v>2232</v>
      </c>
      <c r="B132">
        <v>48.32</v>
      </c>
      <c r="C132">
        <v>5.77</v>
      </c>
      <c r="D132" s="6" t="s">
        <v>2370</v>
      </c>
      <c r="E132" s="6" t="s">
        <v>2370</v>
      </c>
      <c r="F132" s="6" t="s">
        <v>2370</v>
      </c>
      <c r="G132">
        <v>0</v>
      </c>
      <c r="H132" s="6" t="s">
        <v>2373</v>
      </c>
      <c r="I132" t="s">
        <v>8374</v>
      </c>
      <c r="J132" t="s">
        <v>8376</v>
      </c>
    </row>
    <row r="133" spans="1:10" x14ac:dyDescent="0.35">
      <c r="A133" s="6" t="s">
        <v>2231</v>
      </c>
      <c r="B133">
        <v>44.86</v>
      </c>
      <c r="C133">
        <v>4.38</v>
      </c>
      <c r="D133" s="6" t="s">
        <v>2373</v>
      </c>
      <c r="E133" s="6" t="s">
        <v>2370</v>
      </c>
      <c r="F133" s="6" t="s">
        <v>2370</v>
      </c>
      <c r="G133">
        <v>0</v>
      </c>
      <c r="H133" s="6" t="s">
        <v>2373</v>
      </c>
      <c r="I133" t="s">
        <v>8374</v>
      </c>
      <c r="J133" t="s">
        <v>8377</v>
      </c>
    </row>
    <row r="134" spans="1:10" x14ac:dyDescent="0.35">
      <c r="A134" s="6" t="s">
        <v>2230</v>
      </c>
      <c r="B134">
        <v>52.15</v>
      </c>
      <c r="C134">
        <v>5.65</v>
      </c>
      <c r="D134" s="6" t="s">
        <v>2370</v>
      </c>
      <c r="E134" s="6" t="s">
        <v>2370</v>
      </c>
      <c r="F134" s="6" t="s">
        <v>2370</v>
      </c>
      <c r="G134">
        <v>1</v>
      </c>
      <c r="H134" s="6" t="s">
        <v>2373</v>
      </c>
      <c r="I134" t="s">
        <v>8374</v>
      </c>
      <c r="J134" t="s">
        <v>8377</v>
      </c>
    </row>
    <row r="135" spans="1:10" x14ac:dyDescent="0.35">
      <c r="A135" s="6" t="s">
        <v>2229</v>
      </c>
      <c r="B135">
        <v>41.12</v>
      </c>
      <c r="C135">
        <v>7.54</v>
      </c>
      <c r="D135" s="6" t="s">
        <v>2373</v>
      </c>
      <c r="E135" s="6" t="s">
        <v>2370</v>
      </c>
      <c r="F135" s="6" t="s">
        <v>2370</v>
      </c>
      <c r="G135">
        <v>0</v>
      </c>
      <c r="H135" s="6" t="s">
        <v>2373</v>
      </c>
      <c r="I135" t="s">
        <v>8374</v>
      </c>
      <c r="J135" t="s">
        <v>8375</v>
      </c>
    </row>
    <row r="136" spans="1:10" x14ac:dyDescent="0.35">
      <c r="A136" s="6" t="s">
        <v>2228</v>
      </c>
      <c r="B136">
        <v>38.39</v>
      </c>
      <c r="C136">
        <v>5.1100000000000003</v>
      </c>
      <c r="D136" s="6" t="s">
        <v>2373</v>
      </c>
      <c r="E136" s="6" t="s">
        <v>2370</v>
      </c>
      <c r="F136" s="6" t="s">
        <v>2370</v>
      </c>
      <c r="G136">
        <v>1</v>
      </c>
      <c r="H136" s="6" t="s">
        <v>2373</v>
      </c>
      <c r="I136" t="s">
        <v>8374</v>
      </c>
      <c r="J136" t="s">
        <v>8377</v>
      </c>
    </row>
    <row r="137" spans="1:10" x14ac:dyDescent="0.35">
      <c r="A137" s="6" t="s">
        <v>2227</v>
      </c>
      <c r="B137">
        <v>46.85</v>
      </c>
      <c r="C137">
        <v>4.25</v>
      </c>
      <c r="D137" s="6" t="s">
        <v>2370</v>
      </c>
      <c r="E137" s="6" t="s">
        <v>2370</v>
      </c>
      <c r="F137" s="6" t="s">
        <v>2373</v>
      </c>
      <c r="G137">
        <v>1</v>
      </c>
      <c r="H137" s="6" t="s">
        <v>2373</v>
      </c>
      <c r="I137" t="s">
        <v>8374</v>
      </c>
      <c r="J137" t="s">
        <v>8377</v>
      </c>
    </row>
    <row r="138" spans="1:10" x14ac:dyDescent="0.35">
      <c r="A138" s="6" t="s">
        <v>2226</v>
      </c>
      <c r="B138">
        <v>42.24</v>
      </c>
      <c r="C138">
        <v>5.55</v>
      </c>
      <c r="D138" s="6" t="s">
        <v>2370</v>
      </c>
      <c r="E138" s="6" t="s">
        <v>2372</v>
      </c>
      <c r="F138" s="6" t="s">
        <v>2370</v>
      </c>
      <c r="G138">
        <v>1</v>
      </c>
      <c r="H138" s="6" t="s">
        <v>2373</v>
      </c>
      <c r="I138" t="s">
        <v>8374</v>
      </c>
      <c r="J138" t="s">
        <v>8377</v>
      </c>
    </row>
    <row r="139" spans="1:10" x14ac:dyDescent="0.35">
      <c r="A139" s="6" t="s">
        <v>2225</v>
      </c>
      <c r="B139">
        <v>34.39</v>
      </c>
      <c r="C139">
        <v>5.78</v>
      </c>
      <c r="D139" s="6" t="s">
        <v>2370</v>
      </c>
      <c r="E139" s="6" t="s">
        <v>2370</v>
      </c>
      <c r="F139" s="6" t="s">
        <v>2370</v>
      </c>
      <c r="G139">
        <v>0</v>
      </c>
      <c r="H139" s="6" t="s">
        <v>2373</v>
      </c>
      <c r="I139" t="s">
        <v>8374</v>
      </c>
      <c r="J139" t="s">
        <v>8376</v>
      </c>
    </row>
    <row r="140" spans="1:10" x14ac:dyDescent="0.35">
      <c r="A140" s="6" t="s">
        <v>2224</v>
      </c>
      <c r="B140">
        <v>42.89</v>
      </c>
      <c r="C140">
        <v>5.28</v>
      </c>
      <c r="D140" s="6" t="s">
        <v>2373</v>
      </c>
      <c r="E140" s="6" t="s">
        <v>2370</v>
      </c>
      <c r="F140" s="6" t="s">
        <v>2370</v>
      </c>
      <c r="G140">
        <v>0</v>
      </c>
      <c r="H140" s="6" t="s">
        <v>2373</v>
      </c>
      <c r="I140" t="s">
        <v>8374</v>
      </c>
      <c r="J140" t="s">
        <v>8377</v>
      </c>
    </row>
    <row r="141" spans="1:10" x14ac:dyDescent="0.35">
      <c r="A141" s="6" t="s">
        <v>2223</v>
      </c>
      <c r="B141">
        <v>36.299999999999997</v>
      </c>
      <c r="C141">
        <v>5.39</v>
      </c>
      <c r="D141" s="6" t="s">
        <v>2370</v>
      </c>
      <c r="E141" s="6" t="s">
        <v>2370</v>
      </c>
      <c r="F141" s="6" t="s">
        <v>2370</v>
      </c>
      <c r="G141">
        <v>0</v>
      </c>
      <c r="H141" s="6" t="s">
        <v>2373</v>
      </c>
      <c r="I141" t="s">
        <v>8374</v>
      </c>
      <c r="J141" t="s">
        <v>8377</v>
      </c>
    </row>
    <row r="142" spans="1:10" x14ac:dyDescent="0.35">
      <c r="A142" s="6" t="s">
        <v>2222</v>
      </c>
      <c r="B142">
        <v>35.200000000000003</v>
      </c>
      <c r="C142">
        <v>8.01</v>
      </c>
      <c r="D142" s="6" t="s">
        <v>2373</v>
      </c>
      <c r="E142" s="6" t="s">
        <v>2370</v>
      </c>
      <c r="F142" s="6" t="s">
        <v>2370</v>
      </c>
      <c r="G142">
        <v>1</v>
      </c>
      <c r="H142" s="6" t="s">
        <v>2373</v>
      </c>
      <c r="I142" t="s">
        <v>8374</v>
      </c>
      <c r="J142" t="s">
        <v>8375</v>
      </c>
    </row>
    <row r="143" spans="1:10" x14ac:dyDescent="0.35">
      <c r="A143" s="6" t="s">
        <v>2221</v>
      </c>
      <c r="B143">
        <v>53.62</v>
      </c>
      <c r="C143">
        <v>5.21</v>
      </c>
      <c r="D143" s="6" t="s">
        <v>2370</v>
      </c>
      <c r="E143" s="6" t="s">
        <v>2370</v>
      </c>
      <c r="F143" s="6" t="s">
        <v>2370</v>
      </c>
      <c r="G143">
        <v>0</v>
      </c>
      <c r="H143" s="6" t="s">
        <v>2373</v>
      </c>
      <c r="I143" t="s">
        <v>8374</v>
      </c>
      <c r="J143" t="s">
        <v>8377</v>
      </c>
    </row>
    <row r="144" spans="1:10" x14ac:dyDescent="0.35">
      <c r="A144" s="6" t="s">
        <v>2220</v>
      </c>
      <c r="B144">
        <v>36.67</v>
      </c>
      <c r="C144">
        <v>6.27</v>
      </c>
      <c r="D144" s="6" t="s">
        <v>2370</v>
      </c>
      <c r="E144" s="6" t="s">
        <v>2370</v>
      </c>
      <c r="F144" s="6" t="s">
        <v>2370</v>
      </c>
      <c r="G144">
        <v>0</v>
      </c>
      <c r="H144" s="6" t="s">
        <v>2373</v>
      </c>
      <c r="I144" t="s">
        <v>8374</v>
      </c>
      <c r="J144" t="s">
        <v>8376</v>
      </c>
    </row>
    <row r="145" spans="1:10" x14ac:dyDescent="0.35">
      <c r="A145" s="6" t="s">
        <v>2219</v>
      </c>
      <c r="B145">
        <v>33.4</v>
      </c>
      <c r="C145">
        <v>10.73</v>
      </c>
      <c r="D145" s="6" t="s">
        <v>2373</v>
      </c>
      <c r="E145" s="6" t="s">
        <v>2370</v>
      </c>
      <c r="F145" s="6" t="s">
        <v>2370</v>
      </c>
      <c r="G145">
        <v>1</v>
      </c>
      <c r="H145" s="6" t="s">
        <v>2373</v>
      </c>
      <c r="I145" t="s">
        <v>8374</v>
      </c>
      <c r="J145" t="s">
        <v>8375</v>
      </c>
    </row>
    <row r="146" spans="1:10" x14ac:dyDescent="0.35">
      <c r="A146" s="6" t="s">
        <v>2218</v>
      </c>
      <c r="B146">
        <v>42.71</v>
      </c>
      <c r="C146">
        <v>10.52</v>
      </c>
      <c r="D146" s="6" t="s">
        <v>2370</v>
      </c>
      <c r="E146" s="6" t="s">
        <v>2370</v>
      </c>
      <c r="F146" s="6" t="s">
        <v>2370</v>
      </c>
      <c r="G146">
        <v>0</v>
      </c>
      <c r="H146" s="6" t="s">
        <v>2373</v>
      </c>
      <c r="I146" t="s">
        <v>8374</v>
      </c>
      <c r="J146" t="s">
        <v>8375</v>
      </c>
    </row>
    <row r="147" spans="1:10" x14ac:dyDescent="0.35">
      <c r="A147" s="6" t="s">
        <v>2217</v>
      </c>
      <c r="B147">
        <v>41.52</v>
      </c>
      <c r="C147">
        <v>11.82</v>
      </c>
      <c r="D147" s="6" t="s">
        <v>2373</v>
      </c>
      <c r="E147" s="6" t="s">
        <v>2370</v>
      </c>
      <c r="F147" s="6" t="s">
        <v>2370</v>
      </c>
      <c r="G147">
        <v>2</v>
      </c>
      <c r="H147" s="6" t="s">
        <v>2373</v>
      </c>
      <c r="I147" t="s">
        <v>8374</v>
      </c>
      <c r="J147" t="s">
        <v>8375</v>
      </c>
    </row>
    <row r="148" spans="1:10" x14ac:dyDescent="0.35">
      <c r="A148" s="6" t="s">
        <v>2216</v>
      </c>
      <c r="B148">
        <v>39.4</v>
      </c>
      <c r="C148">
        <v>6.76</v>
      </c>
      <c r="D148" s="6" t="s">
        <v>2370</v>
      </c>
      <c r="E148" s="6" t="s">
        <v>2370</v>
      </c>
      <c r="F148" s="6" t="s">
        <v>2370</v>
      </c>
      <c r="G148">
        <v>0</v>
      </c>
      <c r="H148" s="6" t="s">
        <v>2373</v>
      </c>
      <c r="I148" t="s">
        <v>8374</v>
      </c>
      <c r="J148" t="s">
        <v>8375</v>
      </c>
    </row>
    <row r="149" spans="1:10" x14ac:dyDescent="0.35">
      <c r="A149" s="6" t="s">
        <v>2215</v>
      </c>
      <c r="B149">
        <v>46.45</v>
      </c>
      <c r="C149">
        <v>5.62</v>
      </c>
      <c r="D149" s="6" t="s">
        <v>2370</v>
      </c>
      <c r="E149" s="6" t="s">
        <v>2370</v>
      </c>
      <c r="F149" s="6" t="s">
        <v>2370</v>
      </c>
      <c r="G149">
        <v>0</v>
      </c>
      <c r="H149" s="6" t="s">
        <v>2373</v>
      </c>
      <c r="I149" t="s">
        <v>8374</v>
      </c>
      <c r="J149" t="s">
        <v>8377</v>
      </c>
    </row>
    <row r="150" spans="1:10" x14ac:dyDescent="0.35">
      <c r="A150" s="6" t="s">
        <v>2214</v>
      </c>
      <c r="B150">
        <v>35.75</v>
      </c>
      <c r="C150">
        <v>4.1900000000000004</v>
      </c>
      <c r="D150" s="6" t="s">
        <v>2370</v>
      </c>
      <c r="E150" s="6" t="s">
        <v>2370</v>
      </c>
      <c r="F150" s="6" t="s">
        <v>2370</v>
      </c>
      <c r="G150">
        <v>0</v>
      </c>
      <c r="H150" s="6" t="s">
        <v>2373</v>
      </c>
      <c r="I150" t="s">
        <v>8374</v>
      </c>
      <c r="J150" t="s">
        <v>8377</v>
      </c>
    </row>
    <row r="151" spans="1:10" x14ac:dyDescent="0.35">
      <c r="A151" s="6" t="s">
        <v>2213</v>
      </c>
      <c r="B151">
        <v>26.07</v>
      </c>
      <c r="C151">
        <v>5.32</v>
      </c>
      <c r="D151" s="6" t="s">
        <v>2370</v>
      </c>
      <c r="E151" s="6" t="s">
        <v>2370</v>
      </c>
      <c r="F151" s="6" t="s">
        <v>2370</v>
      </c>
      <c r="G151">
        <v>0</v>
      </c>
      <c r="H151" s="6" t="s">
        <v>2373</v>
      </c>
      <c r="I151" t="s">
        <v>8378</v>
      </c>
      <c r="J151" t="s">
        <v>8377</v>
      </c>
    </row>
    <row r="152" spans="1:10" x14ac:dyDescent="0.35">
      <c r="A152" s="6" t="s">
        <v>2212</v>
      </c>
      <c r="B152">
        <v>36.54</v>
      </c>
      <c r="C152">
        <v>4.46</v>
      </c>
      <c r="D152" s="6" t="s">
        <v>2373</v>
      </c>
      <c r="E152" s="6" t="s">
        <v>2370</v>
      </c>
      <c r="F152" s="6" t="s">
        <v>2370</v>
      </c>
      <c r="G152">
        <v>1</v>
      </c>
      <c r="H152" s="6" t="s">
        <v>2373</v>
      </c>
      <c r="I152" t="s">
        <v>8374</v>
      </c>
      <c r="J152" t="s">
        <v>8377</v>
      </c>
    </row>
    <row r="153" spans="1:10" x14ac:dyDescent="0.35">
      <c r="A153" s="6" t="s">
        <v>2211</v>
      </c>
      <c r="B153">
        <v>51.64</v>
      </c>
      <c r="C153">
        <v>5.65</v>
      </c>
      <c r="D153" s="6" t="s">
        <v>2370</v>
      </c>
      <c r="E153" s="6" t="s">
        <v>2370</v>
      </c>
      <c r="F153" s="6" t="s">
        <v>2370</v>
      </c>
      <c r="G153">
        <v>0</v>
      </c>
      <c r="H153" s="6" t="s">
        <v>2373</v>
      </c>
      <c r="I153" t="s">
        <v>8374</v>
      </c>
      <c r="J153" t="s">
        <v>8377</v>
      </c>
    </row>
    <row r="154" spans="1:10" x14ac:dyDescent="0.35">
      <c r="A154" s="6" t="s">
        <v>2210</v>
      </c>
      <c r="B154">
        <v>42.83</v>
      </c>
      <c r="C154">
        <v>6.04</v>
      </c>
      <c r="D154" s="6" t="s">
        <v>2370</v>
      </c>
      <c r="E154" s="6" t="s">
        <v>2370</v>
      </c>
      <c r="F154" s="6" t="s">
        <v>2370</v>
      </c>
      <c r="G154">
        <v>2</v>
      </c>
      <c r="H154" s="6" t="s">
        <v>2373</v>
      </c>
      <c r="I154" t="s">
        <v>8374</v>
      </c>
      <c r="J154" t="s">
        <v>8376</v>
      </c>
    </row>
    <row r="155" spans="1:10" x14ac:dyDescent="0.35">
      <c r="A155" s="6" t="s">
        <v>2209</v>
      </c>
      <c r="B155">
        <v>40.15</v>
      </c>
      <c r="C155">
        <v>5.76</v>
      </c>
      <c r="D155" s="6" t="s">
        <v>2370</v>
      </c>
      <c r="E155" s="6" t="s">
        <v>2370</v>
      </c>
      <c r="F155" s="6" t="s">
        <v>2370</v>
      </c>
      <c r="G155">
        <v>1</v>
      </c>
      <c r="H155" s="6" t="s">
        <v>2373</v>
      </c>
      <c r="I155" t="s">
        <v>8374</v>
      </c>
      <c r="J155" t="s">
        <v>8376</v>
      </c>
    </row>
    <row r="156" spans="1:10" x14ac:dyDescent="0.35">
      <c r="A156" s="6" t="s">
        <v>2208</v>
      </c>
      <c r="B156">
        <v>27.8</v>
      </c>
      <c r="C156">
        <v>4.3600000000000003</v>
      </c>
      <c r="D156" s="6" t="s">
        <v>2370</v>
      </c>
      <c r="E156" s="6" t="s">
        <v>2370</v>
      </c>
      <c r="F156" s="6" t="s">
        <v>2373</v>
      </c>
      <c r="G156">
        <v>1</v>
      </c>
      <c r="H156" s="6" t="s">
        <v>2373</v>
      </c>
      <c r="I156" t="s">
        <v>8378</v>
      </c>
      <c r="J156" t="s">
        <v>8377</v>
      </c>
    </row>
    <row r="157" spans="1:10" x14ac:dyDescent="0.35">
      <c r="A157" s="6" t="s">
        <v>2207</v>
      </c>
      <c r="B157">
        <v>45.81</v>
      </c>
      <c r="C157">
        <v>4.76</v>
      </c>
      <c r="D157" s="6" t="s">
        <v>2373</v>
      </c>
      <c r="E157" s="6" t="s">
        <v>2370</v>
      </c>
      <c r="F157" s="6" t="s">
        <v>2373</v>
      </c>
      <c r="G157">
        <v>1</v>
      </c>
      <c r="H157" s="6" t="s">
        <v>2373</v>
      </c>
      <c r="I157" t="s">
        <v>8374</v>
      </c>
      <c r="J157" t="s">
        <v>8377</v>
      </c>
    </row>
    <row r="158" spans="1:10" x14ac:dyDescent="0.35">
      <c r="A158" s="6" t="s">
        <v>2206</v>
      </c>
      <c r="B158">
        <v>34.43</v>
      </c>
      <c r="C158">
        <v>10.82</v>
      </c>
      <c r="D158" s="6" t="s">
        <v>2373</v>
      </c>
      <c r="E158" s="6" t="s">
        <v>2370</v>
      </c>
      <c r="F158" s="6" t="s">
        <v>2370</v>
      </c>
      <c r="G158">
        <v>1</v>
      </c>
      <c r="H158" s="6" t="s">
        <v>2373</v>
      </c>
      <c r="I158" t="s">
        <v>8374</v>
      </c>
      <c r="J158" t="s">
        <v>8375</v>
      </c>
    </row>
    <row r="159" spans="1:10" x14ac:dyDescent="0.35">
      <c r="A159" s="6" t="s">
        <v>2205</v>
      </c>
      <c r="B159">
        <v>41.33</v>
      </c>
      <c r="C159">
        <v>4.01</v>
      </c>
      <c r="D159" s="6" t="s">
        <v>2373</v>
      </c>
      <c r="E159" s="6" t="s">
        <v>2370</v>
      </c>
      <c r="F159" s="6" t="s">
        <v>2370</v>
      </c>
      <c r="G159">
        <v>0</v>
      </c>
      <c r="H159" s="6" t="s">
        <v>2373</v>
      </c>
      <c r="I159" t="s">
        <v>8374</v>
      </c>
      <c r="J159" t="s">
        <v>8377</v>
      </c>
    </row>
    <row r="160" spans="1:10" x14ac:dyDescent="0.35">
      <c r="A160" s="6" t="s">
        <v>2204</v>
      </c>
      <c r="B160">
        <v>31.92</v>
      </c>
      <c r="C160">
        <v>5.12</v>
      </c>
      <c r="D160" s="6" t="s">
        <v>2373</v>
      </c>
      <c r="E160" s="6" t="s">
        <v>2370</v>
      </c>
      <c r="F160" s="6" t="s">
        <v>2370</v>
      </c>
      <c r="G160">
        <v>1</v>
      </c>
      <c r="H160" s="6" t="s">
        <v>2373</v>
      </c>
      <c r="I160" t="s">
        <v>8374</v>
      </c>
      <c r="J160" t="s">
        <v>8377</v>
      </c>
    </row>
    <row r="161" spans="1:10" x14ac:dyDescent="0.35">
      <c r="A161" s="6" t="s">
        <v>2203</v>
      </c>
      <c r="B161">
        <v>39.799999999999997</v>
      </c>
      <c r="C161">
        <v>10.54</v>
      </c>
      <c r="D161" s="6" t="s">
        <v>2373</v>
      </c>
      <c r="E161" s="6" t="s">
        <v>2370</v>
      </c>
      <c r="F161" s="6" t="s">
        <v>2370</v>
      </c>
      <c r="G161">
        <v>2</v>
      </c>
      <c r="H161" s="6" t="s">
        <v>2373</v>
      </c>
      <c r="I161" t="s">
        <v>8374</v>
      </c>
      <c r="J161" t="s">
        <v>8375</v>
      </c>
    </row>
    <row r="162" spans="1:10" x14ac:dyDescent="0.35">
      <c r="A162" s="6" t="s">
        <v>2202</v>
      </c>
      <c r="B162">
        <v>42.82</v>
      </c>
      <c r="C162">
        <v>4.21</v>
      </c>
      <c r="D162" s="6" t="s">
        <v>2370</v>
      </c>
      <c r="E162" s="6" t="s">
        <v>2370</v>
      </c>
      <c r="F162" s="6" t="s">
        <v>2370</v>
      </c>
      <c r="G162">
        <v>0</v>
      </c>
      <c r="H162" s="6" t="s">
        <v>2373</v>
      </c>
      <c r="I162" t="s">
        <v>8374</v>
      </c>
      <c r="J162" t="s">
        <v>8377</v>
      </c>
    </row>
    <row r="163" spans="1:10" x14ac:dyDescent="0.35">
      <c r="A163" s="6" t="s">
        <v>2201</v>
      </c>
      <c r="B163">
        <v>33.630000000000003</v>
      </c>
      <c r="C163">
        <v>5.42</v>
      </c>
      <c r="D163" s="6" t="s">
        <v>2370</v>
      </c>
      <c r="E163" s="6" t="s">
        <v>2370</v>
      </c>
      <c r="F163" s="6" t="s">
        <v>2370</v>
      </c>
      <c r="G163">
        <v>0</v>
      </c>
      <c r="H163" s="6" t="s">
        <v>2373</v>
      </c>
      <c r="I163" t="s">
        <v>8374</v>
      </c>
      <c r="J163" t="s">
        <v>8377</v>
      </c>
    </row>
    <row r="164" spans="1:10" x14ac:dyDescent="0.35">
      <c r="A164" s="6" t="s">
        <v>2200</v>
      </c>
      <c r="B164">
        <v>37.07</v>
      </c>
      <c r="C164">
        <v>4.28</v>
      </c>
      <c r="D164" s="6" t="s">
        <v>2370</v>
      </c>
      <c r="E164" s="6" t="s">
        <v>2372</v>
      </c>
      <c r="F164" s="6" t="s">
        <v>2370</v>
      </c>
      <c r="G164">
        <v>1</v>
      </c>
      <c r="H164" s="6" t="s">
        <v>2373</v>
      </c>
      <c r="I164" t="s">
        <v>8374</v>
      </c>
      <c r="J164" t="s">
        <v>8377</v>
      </c>
    </row>
    <row r="165" spans="1:10" x14ac:dyDescent="0.35">
      <c r="A165" s="6" t="s">
        <v>2199</v>
      </c>
      <c r="B165">
        <v>35.625</v>
      </c>
      <c r="C165">
        <v>8.9</v>
      </c>
      <c r="D165" s="6" t="s">
        <v>2370</v>
      </c>
      <c r="E165" s="6" t="s">
        <v>2370</v>
      </c>
      <c r="F165" s="6" t="s">
        <v>2370</v>
      </c>
      <c r="G165">
        <v>0</v>
      </c>
      <c r="H165" s="6" t="s">
        <v>2373</v>
      </c>
      <c r="I165" t="s">
        <v>8374</v>
      </c>
      <c r="J165" t="s">
        <v>8375</v>
      </c>
    </row>
    <row r="166" spans="1:10" x14ac:dyDescent="0.35">
      <c r="A166" s="6" t="s">
        <v>2198</v>
      </c>
      <c r="B166">
        <v>42.69</v>
      </c>
      <c r="C166">
        <v>4.8899999999999997</v>
      </c>
      <c r="D166" s="6" t="s">
        <v>2370</v>
      </c>
      <c r="E166" s="6" t="s">
        <v>2370</v>
      </c>
      <c r="F166" s="6" t="s">
        <v>2373</v>
      </c>
      <c r="G166">
        <v>1</v>
      </c>
      <c r="H166" s="6" t="s">
        <v>2373</v>
      </c>
      <c r="I166" t="s">
        <v>8374</v>
      </c>
      <c r="J166" t="s">
        <v>8377</v>
      </c>
    </row>
    <row r="167" spans="1:10" x14ac:dyDescent="0.35">
      <c r="A167" s="6" t="s">
        <v>2197</v>
      </c>
      <c r="B167">
        <v>37.869999999999997</v>
      </c>
      <c r="C167">
        <v>4.29</v>
      </c>
      <c r="D167" s="6" t="s">
        <v>2373</v>
      </c>
      <c r="E167" s="6" t="s">
        <v>2370</v>
      </c>
      <c r="F167" s="6" t="s">
        <v>2373</v>
      </c>
      <c r="G167">
        <v>1</v>
      </c>
      <c r="H167" s="6" t="s">
        <v>2373</v>
      </c>
      <c r="I167" t="s">
        <v>8374</v>
      </c>
      <c r="J167" t="s">
        <v>8377</v>
      </c>
    </row>
    <row r="168" spans="1:10" x14ac:dyDescent="0.35">
      <c r="A168" s="6" t="s">
        <v>2196</v>
      </c>
      <c r="B168">
        <v>40.61</v>
      </c>
      <c r="C168">
        <v>8</v>
      </c>
      <c r="D168" s="6" t="s">
        <v>2373</v>
      </c>
      <c r="E168" s="6" t="s">
        <v>2370</v>
      </c>
      <c r="F168" s="6" t="s">
        <v>2370</v>
      </c>
      <c r="G168">
        <v>1</v>
      </c>
      <c r="H168" s="6" t="s">
        <v>2373</v>
      </c>
      <c r="I168" t="s">
        <v>8374</v>
      </c>
      <c r="J168" t="s">
        <v>8375</v>
      </c>
    </row>
    <row r="169" spans="1:10" x14ac:dyDescent="0.35">
      <c r="A169" s="6" t="s">
        <v>2195</v>
      </c>
      <c r="B169">
        <v>30.78</v>
      </c>
      <c r="C169">
        <v>4.67</v>
      </c>
      <c r="D169" s="6" t="s">
        <v>2373</v>
      </c>
      <c r="E169" s="6" t="s">
        <v>2370</v>
      </c>
      <c r="F169" s="6" t="s">
        <v>2370</v>
      </c>
      <c r="G169">
        <v>0</v>
      </c>
      <c r="H169" s="6" t="s">
        <v>2373</v>
      </c>
      <c r="I169" t="s">
        <v>8374</v>
      </c>
      <c r="J169" t="s">
        <v>8377</v>
      </c>
    </row>
    <row r="170" spans="1:10" x14ac:dyDescent="0.35">
      <c r="A170" s="6" t="s">
        <v>2194</v>
      </c>
      <c r="B170">
        <v>49.49</v>
      </c>
      <c r="C170">
        <v>4.5</v>
      </c>
      <c r="D170" s="6" t="s">
        <v>2370</v>
      </c>
      <c r="E170" s="6" t="s">
        <v>2370</v>
      </c>
      <c r="F170" s="6" t="s">
        <v>2370</v>
      </c>
      <c r="G170">
        <v>0</v>
      </c>
      <c r="H170" s="6" t="s">
        <v>2373</v>
      </c>
      <c r="I170" t="s">
        <v>8374</v>
      </c>
      <c r="J170" t="s">
        <v>8377</v>
      </c>
    </row>
    <row r="171" spans="1:10" x14ac:dyDescent="0.35">
      <c r="A171" s="6" t="s">
        <v>2193</v>
      </c>
      <c r="B171">
        <v>37.619999999999997</v>
      </c>
      <c r="C171">
        <v>6.32</v>
      </c>
      <c r="D171" s="6" t="s">
        <v>2373</v>
      </c>
      <c r="E171" s="6" t="s">
        <v>2372</v>
      </c>
      <c r="F171" s="6" t="s">
        <v>2370</v>
      </c>
      <c r="G171">
        <v>2</v>
      </c>
      <c r="H171" s="6" t="s">
        <v>2373</v>
      </c>
      <c r="I171" t="s">
        <v>8374</v>
      </c>
      <c r="J171" t="s">
        <v>8376</v>
      </c>
    </row>
    <row r="172" spans="1:10" x14ac:dyDescent="0.35">
      <c r="A172" s="6" t="s">
        <v>2192</v>
      </c>
      <c r="B172">
        <v>36.08</v>
      </c>
      <c r="C172">
        <v>6.1</v>
      </c>
      <c r="D172" s="6" t="s">
        <v>2373</v>
      </c>
      <c r="E172" s="6" t="s">
        <v>2370</v>
      </c>
      <c r="F172" s="6" t="s">
        <v>2370</v>
      </c>
      <c r="G172">
        <v>1</v>
      </c>
      <c r="H172" s="6" t="s">
        <v>2373</v>
      </c>
      <c r="I172" t="s">
        <v>8374</v>
      </c>
      <c r="J172" t="s">
        <v>8376</v>
      </c>
    </row>
    <row r="173" spans="1:10" x14ac:dyDescent="0.35">
      <c r="A173" s="6" t="s">
        <v>2191</v>
      </c>
      <c r="B173">
        <v>33.5</v>
      </c>
      <c r="C173">
        <v>5.4</v>
      </c>
      <c r="D173" s="6" t="s">
        <v>2370</v>
      </c>
      <c r="E173" s="6" t="s">
        <v>2370</v>
      </c>
      <c r="F173" s="6" t="s">
        <v>2370</v>
      </c>
      <c r="G173">
        <v>0</v>
      </c>
      <c r="H173" s="6" t="s">
        <v>2373</v>
      </c>
      <c r="I173" t="s">
        <v>8374</v>
      </c>
      <c r="J173" t="s">
        <v>8377</v>
      </c>
    </row>
    <row r="174" spans="1:10" x14ac:dyDescent="0.35">
      <c r="A174" s="6" t="s">
        <v>2190</v>
      </c>
      <c r="B174">
        <v>47.46</v>
      </c>
      <c r="C174">
        <v>6.24</v>
      </c>
      <c r="D174" s="6" t="s">
        <v>2373</v>
      </c>
      <c r="E174" s="6" t="s">
        <v>2370</v>
      </c>
      <c r="F174" s="6" t="s">
        <v>2370</v>
      </c>
      <c r="G174">
        <v>1</v>
      </c>
      <c r="H174" s="6" t="s">
        <v>2373</v>
      </c>
      <c r="I174" t="s">
        <v>8374</v>
      </c>
      <c r="J174" t="s">
        <v>8376</v>
      </c>
    </row>
    <row r="175" spans="1:10" x14ac:dyDescent="0.35">
      <c r="A175" s="6" t="s">
        <v>2189</v>
      </c>
      <c r="B175">
        <v>49.24</v>
      </c>
      <c r="C175">
        <v>4.45</v>
      </c>
      <c r="D175" s="6" t="s">
        <v>2370</v>
      </c>
      <c r="E175" s="6" t="s">
        <v>2370</v>
      </c>
      <c r="F175" s="6" t="s">
        <v>2370</v>
      </c>
      <c r="G175">
        <v>0</v>
      </c>
      <c r="H175" s="6" t="s">
        <v>2373</v>
      </c>
      <c r="I175" t="s">
        <v>8374</v>
      </c>
      <c r="J175" t="s">
        <v>8377</v>
      </c>
    </row>
    <row r="176" spans="1:10" x14ac:dyDescent="0.35">
      <c r="A176" s="6" t="s">
        <v>2188</v>
      </c>
      <c r="B176">
        <v>54.4</v>
      </c>
      <c r="C176">
        <v>5.22</v>
      </c>
      <c r="D176" s="6" t="s">
        <v>2370</v>
      </c>
      <c r="E176" s="6" t="s">
        <v>2370</v>
      </c>
      <c r="F176" s="6" t="s">
        <v>2370</v>
      </c>
      <c r="G176">
        <v>1</v>
      </c>
      <c r="H176" s="6" t="s">
        <v>2373</v>
      </c>
      <c r="I176" t="s">
        <v>8374</v>
      </c>
      <c r="J176" t="s">
        <v>8377</v>
      </c>
    </row>
    <row r="177" spans="1:10" x14ac:dyDescent="0.35">
      <c r="A177" s="6" t="s">
        <v>2187</v>
      </c>
      <c r="B177">
        <v>35.53</v>
      </c>
      <c r="C177">
        <v>4.6100000000000003</v>
      </c>
      <c r="D177" s="6" t="s">
        <v>2370</v>
      </c>
      <c r="E177" s="6" t="s">
        <v>2370</v>
      </c>
      <c r="F177" s="6" t="s">
        <v>2370</v>
      </c>
      <c r="G177">
        <v>1</v>
      </c>
      <c r="H177" s="6" t="s">
        <v>2373</v>
      </c>
      <c r="I177" t="s">
        <v>8374</v>
      </c>
      <c r="J177" t="s">
        <v>8377</v>
      </c>
    </row>
    <row r="178" spans="1:10" x14ac:dyDescent="0.35">
      <c r="A178" s="6" t="s">
        <v>2186</v>
      </c>
      <c r="B178">
        <v>39.729999999999997</v>
      </c>
      <c r="C178">
        <v>6.24</v>
      </c>
      <c r="D178" s="6" t="s">
        <v>2370</v>
      </c>
      <c r="E178" s="6" t="s">
        <v>2370</v>
      </c>
      <c r="F178" s="6" t="s">
        <v>2370</v>
      </c>
      <c r="G178">
        <v>0</v>
      </c>
      <c r="H178" s="6" t="s">
        <v>2373</v>
      </c>
      <c r="I178" t="s">
        <v>8374</v>
      </c>
      <c r="J178" t="s">
        <v>8376</v>
      </c>
    </row>
    <row r="179" spans="1:10" x14ac:dyDescent="0.35">
      <c r="A179" s="6" t="s">
        <v>2185</v>
      </c>
      <c r="B179">
        <v>35.68</v>
      </c>
      <c r="C179">
        <v>10.039999999999999</v>
      </c>
      <c r="D179" s="6" t="s">
        <v>2370</v>
      </c>
      <c r="E179" s="6" t="s">
        <v>2370</v>
      </c>
      <c r="F179" s="6" t="s">
        <v>2370</v>
      </c>
      <c r="G179">
        <v>0</v>
      </c>
      <c r="H179" s="6" t="s">
        <v>2373</v>
      </c>
      <c r="I179" t="s">
        <v>8374</v>
      </c>
      <c r="J179" t="s">
        <v>8375</v>
      </c>
    </row>
    <row r="180" spans="1:10" x14ac:dyDescent="0.35">
      <c r="A180" s="6" t="s">
        <v>2184</v>
      </c>
      <c r="B180">
        <v>48.86</v>
      </c>
      <c r="C180">
        <v>6.09</v>
      </c>
      <c r="D180" s="6" t="s">
        <v>2370</v>
      </c>
      <c r="E180" s="6" t="s">
        <v>2370</v>
      </c>
      <c r="F180" s="6" t="s">
        <v>2370</v>
      </c>
      <c r="G180">
        <v>0</v>
      </c>
      <c r="H180" s="6" t="s">
        <v>2373</v>
      </c>
      <c r="I180" t="s">
        <v>8374</v>
      </c>
      <c r="J180" t="s">
        <v>8376</v>
      </c>
    </row>
    <row r="181" spans="1:10" x14ac:dyDescent="0.35">
      <c r="A181" s="6" t="s">
        <v>2183</v>
      </c>
      <c r="B181">
        <v>34.799999999999997</v>
      </c>
      <c r="C181">
        <v>11.4</v>
      </c>
      <c r="D181" s="6" t="s">
        <v>2373</v>
      </c>
      <c r="E181" s="6" t="s">
        <v>2370</v>
      </c>
      <c r="F181" s="6" t="s">
        <v>2373</v>
      </c>
      <c r="G181">
        <v>1</v>
      </c>
      <c r="H181" s="6" t="s">
        <v>2370</v>
      </c>
      <c r="I181" t="s">
        <v>8374</v>
      </c>
      <c r="J181" t="s">
        <v>8375</v>
      </c>
    </row>
    <row r="182" spans="1:10" x14ac:dyDescent="0.35">
      <c r="A182" s="6" t="s">
        <v>2182</v>
      </c>
      <c r="B182">
        <v>32.49</v>
      </c>
      <c r="C182">
        <v>4.29</v>
      </c>
      <c r="D182" s="6" t="s">
        <v>2370</v>
      </c>
      <c r="E182" s="6" t="s">
        <v>2370</v>
      </c>
      <c r="F182" s="6" t="s">
        <v>2373</v>
      </c>
      <c r="G182">
        <v>1</v>
      </c>
      <c r="H182" s="6" t="s">
        <v>2373</v>
      </c>
      <c r="I182" t="s">
        <v>8374</v>
      </c>
      <c r="J182" t="s">
        <v>8377</v>
      </c>
    </row>
    <row r="183" spans="1:10" x14ac:dyDescent="0.35">
      <c r="A183" s="6" t="s">
        <v>2181</v>
      </c>
      <c r="B183">
        <v>39</v>
      </c>
      <c r="C183">
        <v>5.7</v>
      </c>
      <c r="D183" s="6" t="s">
        <v>2370</v>
      </c>
      <c r="E183" s="6" t="s">
        <v>2370</v>
      </c>
      <c r="F183" s="6" t="s">
        <v>2370</v>
      </c>
      <c r="G183">
        <v>2</v>
      </c>
      <c r="H183" s="6" t="s">
        <v>2373</v>
      </c>
      <c r="I183" t="s">
        <v>8374</v>
      </c>
      <c r="J183" t="s">
        <v>8376</v>
      </c>
    </row>
    <row r="184" spans="1:10" x14ac:dyDescent="0.35">
      <c r="A184" s="6" t="s">
        <v>2180</v>
      </c>
      <c r="B184">
        <v>35.299999999999997</v>
      </c>
      <c r="C184">
        <v>6.09</v>
      </c>
      <c r="D184" s="6" t="s">
        <v>2370</v>
      </c>
      <c r="E184" s="6" t="s">
        <v>2370</v>
      </c>
      <c r="F184" s="6" t="s">
        <v>2370</v>
      </c>
      <c r="G184">
        <v>1</v>
      </c>
      <c r="H184" s="6" t="s">
        <v>2373</v>
      </c>
      <c r="I184" t="s">
        <v>8374</v>
      </c>
      <c r="J184" t="s">
        <v>8376</v>
      </c>
    </row>
    <row r="185" spans="1:10" x14ac:dyDescent="0.35">
      <c r="A185" s="6" t="s">
        <v>2179</v>
      </c>
      <c r="B185">
        <v>33.42</v>
      </c>
      <c r="C185">
        <v>10.67</v>
      </c>
      <c r="D185" s="6" t="s">
        <v>2370</v>
      </c>
      <c r="E185" s="6" t="s">
        <v>2370</v>
      </c>
      <c r="F185" s="6" t="s">
        <v>2370</v>
      </c>
      <c r="G185">
        <v>0</v>
      </c>
      <c r="H185" s="6" t="s">
        <v>2373</v>
      </c>
      <c r="I185" t="s">
        <v>8374</v>
      </c>
      <c r="J185" t="s">
        <v>8375</v>
      </c>
    </row>
    <row r="186" spans="1:10" x14ac:dyDescent="0.35">
      <c r="A186" s="6" t="s">
        <v>2178</v>
      </c>
      <c r="B186">
        <v>37.18</v>
      </c>
      <c r="C186">
        <v>6.75</v>
      </c>
      <c r="D186" s="6" t="s">
        <v>2373</v>
      </c>
      <c r="E186" s="6" t="s">
        <v>2370</v>
      </c>
      <c r="F186" s="6" t="s">
        <v>2370</v>
      </c>
      <c r="G186">
        <v>2</v>
      </c>
      <c r="H186" s="6" t="s">
        <v>2373</v>
      </c>
      <c r="I186" t="s">
        <v>8374</v>
      </c>
      <c r="J186" t="s">
        <v>8375</v>
      </c>
    </row>
    <row r="187" spans="1:10" x14ac:dyDescent="0.35">
      <c r="A187" s="6" t="s">
        <v>2177</v>
      </c>
      <c r="B187">
        <v>33.33</v>
      </c>
      <c r="C187">
        <v>9.26</v>
      </c>
      <c r="D187" s="6" t="s">
        <v>2373</v>
      </c>
      <c r="E187" s="6" t="s">
        <v>2370</v>
      </c>
      <c r="F187" s="6" t="s">
        <v>2370</v>
      </c>
      <c r="G187">
        <v>2</v>
      </c>
      <c r="H187" s="6" t="s">
        <v>2370</v>
      </c>
      <c r="I187" t="s">
        <v>8374</v>
      </c>
      <c r="J187" t="s">
        <v>8375</v>
      </c>
    </row>
    <row r="188" spans="1:10" x14ac:dyDescent="0.35">
      <c r="A188" s="6" t="s">
        <v>2176</v>
      </c>
      <c r="B188">
        <v>53.21</v>
      </c>
      <c r="C188">
        <v>4.2699999999999996</v>
      </c>
      <c r="D188" s="6" t="s">
        <v>2370</v>
      </c>
      <c r="E188" s="6" t="s">
        <v>2370</v>
      </c>
      <c r="F188" s="6" t="s">
        <v>2370</v>
      </c>
      <c r="G188">
        <v>1</v>
      </c>
      <c r="H188" s="6" t="s">
        <v>2373</v>
      </c>
      <c r="I188" t="s">
        <v>8374</v>
      </c>
      <c r="J188" t="s">
        <v>8377</v>
      </c>
    </row>
    <row r="189" spans="1:10" x14ac:dyDescent="0.35">
      <c r="A189" s="6" t="s">
        <v>2175</v>
      </c>
      <c r="B189">
        <v>38.729999999999997</v>
      </c>
      <c r="C189">
        <v>11.51</v>
      </c>
      <c r="D189" s="6" t="s">
        <v>2370</v>
      </c>
      <c r="E189" s="6" t="s">
        <v>2370</v>
      </c>
      <c r="F189" s="6" t="s">
        <v>2370</v>
      </c>
      <c r="G189">
        <v>2</v>
      </c>
      <c r="H189" s="6" t="s">
        <v>2373</v>
      </c>
      <c r="I189" t="s">
        <v>8374</v>
      </c>
      <c r="J189" t="s">
        <v>8375</v>
      </c>
    </row>
    <row r="190" spans="1:10" x14ac:dyDescent="0.35">
      <c r="A190" s="6" t="s">
        <v>2174</v>
      </c>
      <c r="B190">
        <v>29.73</v>
      </c>
      <c r="C190">
        <v>7.22</v>
      </c>
      <c r="D190" s="6" t="s">
        <v>2370</v>
      </c>
      <c r="E190" s="6" t="s">
        <v>2370</v>
      </c>
      <c r="F190" s="6" t="s">
        <v>2370</v>
      </c>
      <c r="G190">
        <v>0</v>
      </c>
      <c r="H190" s="6" t="s">
        <v>2373</v>
      </c>
      <c r="I190" t="s">
        <v>8378</v>
      </c>
      <c r="J190" t="s">
        <v>8375</v>
      </c>
    </row>
    <row r="191" spans="1:10" x14ac:dyDescent="0.35">
      <c r="A191" s="6" t="s">
        <v>2173</v>
      </c>
      <c r="B191">
        <v>34.700000000000003</v>
      </c>
      <c r="C191">
        <v>4.37</v>
      </c>
      <c r="D191" s="6" t="s">
        <v>2370</v>
      </c>
      <c r="E191" s="6" t="s">
        <v>2370</v>
      </c>
      <c r="F191" s="6" t="s">
        <v>2373</v>
      </c>
      <c r="G191">
        <v>1</v>
      </c>
      <c r="H191" s="6" t="s">
        <v>2373</v>
      </c>
      <c r="I191" t="s">
        <v>8374</v>
      </c>
      <c r="J191" t="s">
        <v>8377</v>
      </c>
    </row>
    <row r="192" spans="1:10" x14ac:dyDescent="0.35">
      <c r="A192" s="6" t="s">
        <v>2172</v>
      </c>
      <c r="B192">
        <v>38.28</v>
      </c>
      <c r="C192">
        <v>11.56</v>
      </c>
      <c r="D192" s="6" t="s">
        <v>2373</v>
      </c>
      <c r="E192" s="6" t="s">
        <v>2370</v>
      </c>
      <c r="F192" s="6" t="s">
        <v>2370</v>
      </c>
      <c r="G192">
        <v>1</v>
      </c>
      <c r="H192" s="6" t="s">
        <v>2373</v>
      </c>
      <c r="I192" t="s">
        <v>8374</v>
      </c>
      <c r="J192" t="s">
        <v>8375</v>
      </c>
    </row>
    <row r="193" spans="1:10" x14ac:dyDescent="0.35">
      <c r="A193" s="6" t="s">
        <v>2171</v>
      </c>
      <c r="B193">
        <v>33.57</v>
      </c>
      <c r="C193">
        <v>8.82</v>
      </c>
      <c r="D193" s="6" t="s">
        <v>2373</v>
      </c>
      <c r="E193" s="6" t="s">
        <v>2370</v>
      </c>
      <c r="F193" s="6" t="s">
        <v>2370</v>
      </c>
      <c r="G193">
        <v>0</v>
      </c>
      <c r="H193" s="6" t="s">
        <v>2373</v>
      </c>
      <c r="I193" t="s">
        <v>8374</v>
      </c>
      <c r="J193" t="s">
        <v>8375</v>
      </c>
    </row>
    <row r="194" spans="1:10" x14ac:dyDescent="0.35">
      <c r="A194" s="6" t="s">
        <v>2170</v>
      </c>
      <c r="B194">
        <v>52.06</v>
      </c>
      <c r="C194">
        <v>4.6900000000000004</v>
      </c>
      <c r="D194" s="6" t="s">
        <v>2370</v>
      </c>
      <c r="E194" s="6" t="s">
        <v>2370</v>
      </c>
      <c r="F194" s="6" t="s">
        <v>2370</v>
      </c>
      <c r="G194">
        <v>1</v>
      </c>
      <c r="H194" s="6" t="s">
        <v>2373</v>
      </c>
      <c r="I194" t="s">
        <v>8374</v>
      </c>
      <c r="J194" t="s">
        <v>8377</v>
      </c>
    </row>
    <row r="195" spans="1:10" x14ac:dyDescent="0.35">
      <c r="A195" s="6" t="s">
        <v>2169</v>
      </c>
      <c r="B195">
        <v>38.17</v>
      </c>
      <c r="C195">
        <v>4.53</v>
      </c>
      <c r="D195" s="6" t="s">
        <v>2370</v>
      </c>
      <c r="E195" s="6" t="s">
        <v>2372</v>
      </c>
      <c r="F195" s="6" t="s">
        <v>2370</v>
      </c>
      <c r="G195">
        <v>1</v>
      </c>
      <c r="H195" s="6" t="s">
        <v>2373</v>
      </c>
      <c r="I195" t="s">
        <v>8374</v>
      </c>
      <c r="J195" t="s">
        <v>8377</v>
      </c>
    </row>
    <row r="196" spans="1:10" x14ac:dyDescent="0.35">
      <c r="A196" s="6" t="s">
        <v>2168</v>
      </c>
      <c r="B196">
        <v>36.954999999999998</v>
      </c>
      <c r="C196">
        <v>5.84</v>
      </c>
      <c r="D196" s="6" t="s">
        <v>2370</v>
      </c>
      <c r="E196" s="6" t="s">
        <v>2370</v>
      </c>
      <c r="F196" s="6" t="s">
        <v>2373</v>
      </c>
      <c r="G196">
        <v>1</v>
      </c>
      <c r="H196" s="6" t="s">
        <v>2373</v>
      </c>
      <c r="I196" t="s">
        <v>8374</v>
      </c>
      <c r="J196" t="s">
        <v>8376</v>
      </c>
    </row>
    <row r="197" spans="1:10" x14ac:dyDescent="0.35">
      <c r="A197" s="6" t="s">
        <v>2167</v>
      </c>
      <c r="B197">
        <v>34.4</v>
      </c>
      <c r="C197">
        <v>4.9000000000000004</v>
      </c>
      <c r="D197" s="6" t="s">
        <v>2370</v>
      </c>
      <c r="E197" s="6" t="s">
        <v>2370</v>
      </c>
      <c r="F197" s="6" t="s">
        <v>2373</v>
      </c>
      <c r="G197">
        <v>1</v>
      </c>
      <c r="H197" s="6" t="s">
        <v>2373</v>
      </c>
      <c r="I197" t="s">
        <v>8374</v>
      </c>
      <c r="J197" t="s">
        <v>8377</v>
      </c>
    </row>
    <row r="198" spans="1:10" x14ac:dyDescent="0.35">
      <c r="A198" s="6" t="s">
        <v>2166</v>
      </c>
      <c r="B198">
        <v>31.73</v>
      </c>
      <c r="C198">
        <v>4.3</v>
      </c>
      <c r="D198" s="6" t="s">
        <v>2370</v>
      </c>
      <c r="E198" s="6" t="s">
        <v>2370</v>
      </c>
      <c r="F198" s="6" t="s">
        <v>2370</v>
      </c>
      <c r="G198">
        <v>0</v>
      </c>
      <c r="H198" s="6" t="s">
        <v>2373</v>
      </c>
      <c r="I198" t="s">
        <v>8374</v>
      </c>
      <c r="J198" t="s">
        <v>8377</v>
      </c>
    </row>
    <row r="199" spans="1:10" x14ac:dyDescent="0.35">
      <c r="A199" s="6" t="s">
        <v>2165</v>
      </c>
      <c r="B199">
        <v>36.64</v>
      </c>
      <c r="C199">
        <v>11.34</v>
      </c>
      <c r="D199" s="6" t="s">
        <v>2370</v>
      </c>
      <c r="E199" s="6" t="s">
        <v>2370</v>
      </c>
      <c r="F199" s="6" t="s">
        <v>2370</v>
      </c>
      <c r="G199">
        <v>0</v>
      </c>
      <c r="H199" s="6" t="s">
        <v>2373</v>
      </c>
      <c r="I199" t="s">
        <v>8374</v>
      </c>
      <c r="J199" t="s">
        <v>8375</v>
      </c>
    </row>
    <row r="200" spans="1:10" x14ac:dyDescent="0.35">
      <c r="A200" s="6" t="s">
        <v>2164</v>
      </c>
      <c r="B200">
        <v>36.85</v>
      </c>
      <c r="C200">
        <v>5.88</v>
      </c>
      <c r="D200" s="6" t="s">
        <v>2370</v>
      </c>
      <c r="E200" s="6" t="s">
        <v>2372</v>
      </c>
      <c r="F200" s="6" t="s">
        <v>2370</v>
      </c>
      <c r="G200">
        <v>1</v>
      </c>
      <c r="H200" s="6" t="s">
        <v>2373</v>
      </c>
      <c r="I200" t="s">
        <v>8374</v>
      </c>
      <c r="J200" t="s">
        <v>8376</v>
      </c>
    </row>
    <row r="201" spans="1:10" x14ac:dyDescent="0.35">
      <c r="A201" s="6" t="s">
        <v>2163</v>
      </c>
      <c r="B201">
        <v>33.33</v>
      </c>
      <c r="C201">
        <v>5.01</v>
      </c>
      <c r="D201" s="6" t="s">
        <v>2373</v>
      </c>
      <c r="E201" s="6" t="s">
        <v>2370</v>
      </c>
      <c r="F201" s="6" t="s">
        <v>2373</v>
      </c>
      <c r="G201">
        <v>1</v>
      </c>
      <c r="H201" s="6" t="s">
        <v>2373</v>
      </c>
      <c r="I201" t="s">
        <v>8374</v>
      </c>
      <c r="J201" t="s">
        <v>8377</v>
      </c>
    </row>
    <row r="202" spans="1:10" x14ac:dyDescent="0.35">
      <c r="A202" s="6" t="s">
        <v>2162</v>
      </c>
      <c r="B202">
        <v>39.14</v>
      </c>
      <c r="C202">
        <v>4.4000000000000004</v>
      </c>
      <c r="D202" s="6" t="s">
        <v>2370</v>
      </c>
      <c r="E202" s="6" t="s">
        <v>2370</v>
      </c>
      <c r="F202" s="6" t="s">
        <v>2373</v>
      </c>
      <c r="G202">
        <v>1</v>
      </c>
      <c r="H202" s="6" t="s">
        <v>2373</v>
      </c>
      <c r="I202" t="s">
        <v>8374</v>
      </c>
      <c r="J202" t="s">
        <v>8377</v>
      </c>
    </row>
    <row r="203" spans="1:10" x14ac:dyDescent="0.35">
      <c r="A203" s="6" t="s">
        <v>2161</v>
      </c>
      <c r="B203">
        <v>32.9</v>
      </c>
      <c r="C203">
        <v>6.26</v>
      </c>
      <c r="D203" s="6" t="s">
        <v>2373</v>
      </c>
      <c r="E203" s="6" t="s">
        <v>2370</v>
      </c>
      <c r="F203" s="6" t="s">
        <v>2370</v>
      </c>
      <c r="G203">
        <v>0</v>
      </c>
      <c r="H203" s="6" t="s">
        <v>2373</v>
      </c>
      <c r="I203" t="s">
        <v>8374</v>
      </c>
      <c r="J203" t="s">
        <v>8376</v>
      </c>
    </row>
    <row r="204" spans="1:10" x14ac:dyDescent="0.35">
      <c r="A204" s="6" t="s">
        <v>2160</v>
      </c>
      <c r="B204">
        <v>29.78</v>
      </c>
      <c r="C204">
        <v>10.27</v>
      </c>
      <c r="D204" s="6" t="s">
        <v>2373</v>
      </c>
      <c r="E204" s="6" t="s">
        <v>2370</v>
      </c>
      <c r="F204" s="6" t="s">
        <v>2373</v>
      </c>
      <c r="G204">
        <v>1</v>
      </c>
      <c r="H204" s="6" t="s">
        <v>2373</v>
      </c>
      <c r="I204" t="s">
        <v>8378</v>
      </c>
      <c r="J204" t="s">
        <v>8375</v>
      </c>
    </row>
    <row r="205" spans="1:10" x14ac:dyDescent="0.35">
      <c r="A205" s="6" t="s">
        <v>2159</v>
      </c>
      <c r="B205">
        <v>32.78</v>
      </c>
      <c r="C205">
        <v>5.27</v>
      </c>
      <c r="D205" s="6" t="s">
        <v>2370</v>
      </c>
      <c r="E205" s="6" t="s">
        <v>2370</v>
      </c>
      <c r="F205" s="6" t="s">
        <v>2370</v>
      </c>
      <c r="G205">
        <v>0</v>
      </c>
      <c r="H205" s="6" t="s">
        <v>2373</v>
      </c>
      <c r="I205" t="s">
        <v>8374</v>
      </c>
      <c r="J205" t="s">
        <v>8377</v>
      </c>
    </row>
    <row r="206" spans="1:10" x14ac:dyDescent="0.35">
      <c r="A206" s="6" t="s">
        <v>2158</v>
      </c>
      <c r="B206">
        <v>41.65</v>
      </c>
      <c r="C206">
        <v>10.73</v>
      </c>
      <c r="D206" s="6" t="s">
        <v>2373</v>
      </c>
      <c r="E206" s="6" t="s">
        <v>2370</v>
      </c>
      <c r="F206" s="6" t="s">
        <v>2370</v>
      </c>
      <c r="G206">
        <v>0</v>
      </c>
      <c r="H206" s="6" t="s">
        <v>2373</v>
      </c>
      <c r="I206" t="s">
        <v>8374</v>
      </c>
      <c r="J206" t="s">
        <v>8375</v>
      </c>
    </row>
    <row r="207" spans="1:10" x14ac:dyDescent="0.35">
      <c r="A207" s="6" t="s">
        <v>2157</v>
      </c>
      <c r="B207">
        <v>50.79</v>
      </c>
      <c r="C207">
        <v>4.45</v>
      </c>
      <c r="D207" s="6" t="s">
        <v>2370</v>
      </c>
      <c r="E207" s="6" t="s">
        <v>2370</v>
      </c>
      <c r="F207" s="6" t="s">
        <v>2370</v>
      </c>
      <c r="G207">
        <v>1</v>
      </c>
      <c r="H207" s="6" t="s">
        <v>2373</v>
      </c>
      <c r="I207" t="s">
        <v>8374</v>
      </c>
      <c r="J207" t="s">
        <v>8377</v>
      </c>
    </row>
    <row r="208" spans="1:10" x14ac:dyDescent="0.35">
      <c r="A208" s="6" t="s">
        <v>2156</v>
      </c>
      <c r="B208">
        <v>35.43</v>
      </c>
      <c r="C208">
        <v>5.25</v>
      </c>
      <c r="D208" s="6" t="s">
        <v>2373</v>
      </c>
      <c r="E208" s="6" t="s">
        <v>2370</v>
      </c>
      <c r="F208" s="6" t="s">
        <v>2370</v>
      </c>
      <c r="G208">
        <v>0</v>
      </c>
      <c r="H208" s="6" t="s">
        <v>2373</v>
      </c>
      <c r="I208" t="s">
        <v>8374</v>
      </c>
      <c r="J208" t="s">
        <v>8377</v>
      </c>
    </row>
    <row r="209" spans="1:10" x14ac:dyDescent="0.35">
      <c r="A209" s="6" t="s">
        <v>2155</v>
      </c>
      <c r="B209">
        <v>35.25</v>
      </c>
      <c r="C209">
        <v>9.51</v>
      </c>
      <c r="D209" s="6" t="s">
        <v>2370</v>
      </c>
      <c r="E209" s="6" t="s">
        <v>2370</v>
      </c>
      <c r="F209" s="6" t="s">
        <v>2370</v>
      </c>
      <c r="G209">
        <v>0</v>
      </c>
      <c r="H209" s="6" t="s">
        <v>2373</v>
      </c>
      <c r="I209" t="s">
        <v>8374</v>
      </c>
      <c r="J209" t="s">
        <v>8375</v>
      </c>
    </row>
    <row r="210" spans="1:10" x14ac:dyDescent="0.35">
      <c r="A210" s="6" t="s">
        <v>2154</v>
      </c>
      <c r="B210">
        <v>36.85</v>
      </c>
      <c r="C210">
        <v>11.12</v>
      </c>
      <c r="D210" s="6" t="s">
        <v>2370</v>
      </c>
      <c r="E210" s="6" t="s">
        <v>2370</v>
      </c>
      <c r="F210" s="6" t="s">
        <v>2370</v>
      </c>
      <c r="G210">
        <v>0</v>
      </c>
      <c r="H210" s="6" t="s">
        <v>2373</v>
      </c>
      <c r="I210" t="s">
        <v>8374</v>
      </c>
      <c r="J210" t="s">
        <v>8375</v>
      </c>
    </row>
    <row r="211" spans="1:10" x14ac:dyDescent="0.35">
      <c r="A211" s="6" t="s">
        <v>2153</v>
      </c>
      <c r="B211">
        <v>31.02</v>
      </c>
      <c r="C211">
        <v>4.5599999999999996</v>
      </c>
      <c r="D211" s="6" t="s">
        <v>2370</v>
      </c>
      <c r="E211" s="6" t="s">
        <v>2372</v>
      </c>
      <c r="F211" s="6" t="s">
        <v>2370</v>
      </c>
      <c r="G211">
        <v>1</v>
      </c>
      <c r="H211" s="6" t="s">
        <v>2373</v>
      </c>
      <c r="I211" t="s">
        <v>8374</v>
      </c>
      <c r="J211" t="s">
        <v>8377</v>
      </c>
    </row>
    <row r="212" spans="1:10" x14ac:dyDescent="0.35">
      <c r="A212" s="6" t="s">
        <v>2152</v>
      </c>
      <c r="B212">
        <v>35.6</v>
      </c>
      <c r="C212">
        <v>4.0199999999999996</v>
      </c>
      <c r="D212" s="6" t="s">
        <v>2373</v>
      </c>
      <c r="E212" s="6" t="s">
        <v>2372</v>
      </c>
      <c r="F212" s="6" t="s">
        <v>2370</v>
      </c>
      <c r="G212">
        <v>2</v>
      </c>
      <c r="H212" s="6" t="s">
        <v>2373</v>
      </c>
      <c r="I212" t="s">
        <v>8374</v>
      </c>
      <c r="J212" t="s">
        <v>8377</v>
      </c>
    </row>
    <row r="213" spans="1:10" x14ac:dyDescent="0.35">
      <c r="A213" s="6" t="s">
        <v>2151</v>
      </c>
      <c r="B213">
        <v>34.39</v>
      </c>
      <c r="C213">
        <v>8.7200000000000006</v>
      </c>
      <c r="D213" s="6" t="s">
        <v>2370</v>
      </c>
      <c r="E213" s="6" t="s">
        <v>2370</v>
      </c>
      <c r="F213" s="6" t="s">
        <v>2370</v>
      </c>
      <c r="G213">
        <v>0</v>
      </c>
      <c r="H213" s="6" t="s">
        <v>2373</v>
      </c>
      <c r="I213" t="s">
        <v>8374</v>
      </c>
      <c r="J213" t="s">
        <v>8375</v>
      </c>
    </row>
    <row r="214" spans="1:10" x14ac:dyDescent="0.35">
      <c r="A214" s="6" t="s">
        <v>2150</v>
      </c>
      <c r="B214">
        <v>29.06</v>
      </c>
      <c r="C214">
        <v>6.25</v>
      </c>
      <c r="D214" s="6" t="s">
        <v>2373</v>
      </c>
      <c r="E214" s="6" t="s">
        <v>2370</v>
      </c>
      <c r="F214" s="6" t="s">
        <v>2370</v>
      </c>
      <c r="G214">
        <v>1</v>
      </c>
      <c r="H214" s="6" t="s">
        <v>2373</v>
      </c>
      <c r="I214" t="s">
        <v>8378</v>
      </c>
      <c r="J214" t="s">
        <v>8376</v>
      </c>
    </row>
    <row r="215" spans="1:10" x14ac:dyDescent="0.35">
      <c r="A215" s="6" t="s">
        <v>2149</v>
      </c>
      <c r="B215">
        <v>35.799999999999997</v>
      </c>
      <c r="C215">
        <v>7.32</v>
      </c>
      <c r="D215" s="6" t="s">
        <v>2370</v>
      </c>
      <c r="E215" s="6" t="s">
        <v>2370</v>
      </c>
      <c r="F215" s="6" t="s">
        <v>2370</v>
      </c>
      <c r="G215">
        <v>2</v>
      </c>
      <c r="H215" s="6" t="s">
        <v>2373</v>
      </c>
      <c r="I215" t="s">
        <v>8374</v>
      </c>
      <c r="J215" t="s">
        <v>8375</v>
      </c>
    </row>
    <row r="216" spans="1:10" x14ac:dyDescent="0.35">
      <c r="A216" s="6" t="s">
        <v>2148</v>
      </c>
      <c r="B216">
        <v>49.8</v>
      </c>
      <c r="C216">
        <v>4.24</v>
      </c>
      <c r="D216" s="6" t="s">
        <v>2370</v>
      </c>
      <c r="E216" s="6" t="s">
        <v>2370</v>
      </c>
      <c r="F216" s="6" t="s">
        <v>2370</v>
      </c>
      <c r="G216">
        <v>1</v>
      </c>
      <c r="H216" s="6" t="s">
        <v>2373</v>
      </c>
      <c r="I216" t="s">
        <v>8374</v>
      </c>
      <c r="J216" t="s">
        <v>8377</v>
      </c>
    </row>
    <row r="217" spans="1:10" x14ac:dyDescent="0.35">
      <c r="A217" s="6" t="s">
        <v>2147</v>
      </c>
      <c r="B217">
        <v>35.71</v>
      </c>
      <c r="C217">
        <v>6.84</v>
      </c>
      <c r="D217" s="6" t="s">
        <v>2370</v>
      </c>
      <c r="E217" s="6" t="s">
        <v>2370</v>
      </c>
      <c r="F217" s="6" t="s">
        <v>2370</v>
      </c>
      <c r="G217">
        <v>2</v>
      </c>
      <c r="H217" s="6" t="s">
        <v>2373</v>
      </c>
      <c r="I217" t="s">
        <v>8374</v>
      </c>
      <c r="J217" t="s">
        <v>8375</v>
      </c>
    </row>
    <row r="218" spans="1:10" x14ac:dyDescent="0.35">
      <c r="A218" s="6" t="s">
        <v>2146</v>
      </c>
      <c r="B218">
        <v>30.8</v>
      </c>
      <c r="C218">
        <v>5.23</v>
      </c>
      <c r="D218" s="6" t="s">
        <v>2373</v>
      </c>
      <c r="E218" s="6" t="s">
        <v>2370</v>
      </c>
      <c r="F218" s="6" t="s">
        <v>2370</v>
      </c>
      <c r="G218">
        <v>1</v>
      </c>
      <c r="H218" s="6" t="s">
        <v>2373</v>
      </c>
      <c r="I218" t="s">
        <v>8374</v>
      </c>
      <c r="J218" t="s">
        <v>8377</v>
      </c>
    </row>
    <row r="219" spans="1:10" x14ac:dyDescent="0.35">
      <c r="A219" s="6" t="s">
        <v>2145</v>
      </c>
      <c r="B219">
        <v>33.69</v>
      </c>
      <c r="C219">
        <v>9.68</v>
      </c>
      <c r="D219" s="6" t="s">
        <v>2370</v>
      </c>
      <c r="E219" s="6" t="s">
        <v>2370</v>
      </c>
      <c r="F219" s="6" t="s">
        <v>2370</v>
      </c>
      <c r="G219">
        <v>0</v>
      </c>
      <c r="H219" s="6" t="s">
        <v>2373</v>
      </c>
      <c r="I219" t="s">
        <v>8374</v>
      </c>
      <c r="J219" t="s">
        <v>8375</v>
      </c>
    </row>
    <row r="220" spans="1:10" x14ac:dyDescent="0.35">
      <c r="A220" s="6" t="s">
        <v>2144</v>
      </c>
      <c r="B220">
        <v>42.27</v>
      </c>
      <c r="C220">
        <v>6.05</v>
      </c>
      <c r="D220" s="6" t="s">
        <v>2373</v>
      </c>
      <c r="E220" s="6" t="s">
        <v>2370</v>
      </c>
      <c r="F220" s="6" t="s">
        <v>2370</v>
      </c>
      <c r="G220">
        <v>1</v>
      </c>
      <c r="H220" s="6" t="s">
        <v>2373</v>
      </c>
      <c r="I220" t="s">
        <v>8374</v>
      </c>
      <c r="J220" t="s">
        <v>8376</v>
      </c>
    </row>
    <row r="221" spans="1:10" x14ac:dyDescent="0.35">
      <c r="A221" s="6" t="s">
        <v>2143</v>
      </c>
      <c r="B221">
        <v>53.25</v>
      </c>
      <c r="C221">
        <v>6.11</v>
      </c>
      <c r="D221" s="6" t="s">
        <v>2373</v>
      </c>
      <c r="E221" s="6" t="s">
        <v>2370</v>
      </c>
      <c r="F221" s="6" t="s">
        <v>2373</v>
      </c>
      <c r="G221">
        <v>1</v>
      </c>
      <c r="H221" s="6" t="s">
        <v>2373</v>
      </c>
      <c r="I221" t="s">
        <v>8374</v>
      </c>
      <c r="J221" t="s">
        <v>8376</v>
      </c>
    </row>
    <row r="222" spans="1:10" x14ac:dyDescent="0.35">
      <c r="A222" s="6" t="s">
        <v>2142</v>
      </c>
      <c r="B222">
        <v>26.8</v>
      </c>
      <c r="C222">
        <v>10.93</v>
      </c>
      <c r="D222" s="6" t="s">
        <v>2373</v>
      </c>
      <c r="E222" s="6" t="s">
        <v>2370</v>
      </c>
      <c r="F222" s="6" t="s">
        <v>2370</v>
      </c>
      <c r="G222">
        <v>0</v>
      </c>
      <c r="H222" s="6" t="s">
        <v>2370</v>
      </c>
      <c r="I222" t="s">
        <v>8378</v>
      </c>
      <c r="J222" t="s">
        <v>8375</v>
      </c>
    </row>
    <row r="223" spans="1:10" x14ac:dyDescent="0.35">
      <c r="A223" s="6" t="s">
        <v>2141</v>
      </c>
      <c r="B223">
        <v>28.5</v>
      </c>
      <c r="C223">
        <v>5.12</v>
      </c>
      <c r="D223" s="6" t="s">
        <v>2370</v>
      </c>
      <c r="E223" s="6" t="s">
        <v>2370</v>
      </c>
      <c r="F223" s="6" t="s">
        <v>2370</v>
      </c>
      <c r="G223">
        <v>1</v>
      </c>
      <c r="H223" s="6" t="s">
        <v>2373</v>
      </c>
      <c r="I223" t="s">
        <v>8378</v>
      </c>
      <c r="J223" t="s">
        <v>8377</v>
      </c>
    </row>
    <row r="224" spans="1:10" x14ac:dyDescent="0.35">
      <c r="A224" s="6" t="s">
        <v>2140</v>
      </c>
      <c r="B224">
        <v>22.895</v>
      </c>
      <c r="C224">
        <v>5.72</v>
      </c>
      <c r="D224" s="6" t="s">
        <v>2370</v>
      </c>
      <c r="E224" s="6" t="s">
        <v>2370</v>
      </c>
      <c r="F224" s="6" t="s">
        <v>2370</v>
      </c>
      <c r="G224">
        <v>0</v>
      </c>
      <c r="H224" s="6" t="s">
        <v>2373</v>
      </c>
      <c r="I224" t="s">
        <v>8379</v>
      </c>
      <c r="J224" t="s">
        <v>8376</v>
      </c>
    </row>
    <row r="225" spans="1:10" x14ac:dyDescent="0.35">
      <c r="A225" s="6" t="s">
        <v>2139</v>
      </c>
      <c r="B225">
        <v>34.06</v>
      </c>
      <c r="C225">
        <v>11.83</v>
      </c>
      <c r="D225" s="6" t="s">
        <v>2373</v>
      </c>
      <c r="E225" s="6" t="s">
        <v>2370</v>
      </c>
      <c r="F225" s="6" t="s">
        <v>2370</v>
      </c>
      <c r="G225">
        <v>1</v>
      </c>
      <c r="H225" s="6" t="s">
        <v>2373</v>
      </c>
      <c r="I225" t="s">
        <v>8374</v>
      </c>
      <c r="J225" t="s">
        <v>8375</v>
      </c>
    </row>
    <row r="226" spans="1:10" x14ac:dyDescent="0.35">
      <c r="A226" s="6" t="s">
        <v>2138</v>
      </c>
      <c r="B226">
        <v>36.409999999999997</v>
      </c>
      <c r="C226">
        <v>4.55</v>
      </c>
      <c r="D226" s="6" t="s">
        <v>2370</v>
      </c>
      <c r="E226" s="6" t="s">
        <v>2370</v>
      </c>
      <c r="F226" s="6" t="s">
        <v>2370</v>
      </c>
      <c r="G226">
        <v>0</v>
      </c>
      <c r="H226" s="6" t="s">
        <v>2373</v>
      </c>
      <c r="I226" t="s">
        <v>8374</v>
      </c>
      <c r="J226" t="s">
        <v>8377</v>
      </c>
    </row>
    <row r="227" spans="1:10" x14ac:dyDescent="0.35">
      <c r="A227" s="6" t="s">
        <v>2137</v>
      </c>
      <c r="B227">
        <v>52.3</v>
      </c>
      <c r="C227">
        <v>4.87</v>
      </c>
      <c r="D227" s="6" t="s">
        <v>2373</v>
      </c>
      <c r="E227" s="6" t="s">
        <v>2370</v>
      </c>
      <c r="F227" s="6" t="s">
        <v>2373</v>
      </c>
      <c r="G227">
        <v>1</v>
      </c>
      <c r="H227" s="6" t="s">
        <v>2373</v>
      </c>
      <c r="I227" t="s">
        <v>8374</v>
      </c>
      <c r="J227" t="s">
        <v>8377</v>
      </c>
    </row>
    <row r="228" spans="1:10" x14ac:dyDescent="0.35">
      <c r="A228" s="6" t="s">
        <v>2136</v>
      </c>
      <c r="B228">
        <v>52.66</v>
      </c>
      <c r="C228">
        <v>4.45</v>
      </c>
      <c r="D228" s="6" t="s">
        <v>2370</v>
      </c>
      <c r="E228" s="6" t="s">
        <v>2370</v>
      </c>
      <c r="F228" s="6" t="s">
        <v>2370</v>
      </c>
      <c r="G228">
        <v>1</v>
      </c>
      <c r="H228" s="6" t="s">
        <v>2373</v>
      </c>
      <c r="I228" t="s">
        <v>8374</v>
      </c>
      <c r="J228" t="s">
        <v>8377</v>
      </c>
    </row>
    <row r="229" spans="1:10" x14ac:dyDescent="0.35">
      <c r="A229" s="6" t="s">
        <v>2135</v>
      </c>
      <c r="B229">
        <v>29.57</v>
      </c>
      <c r="C229">
        <v>9.42</v>
      </c>
      <c r="D229" s="6" t="s">
        <v>2373</v>
      </c>
      <c r="E229" s="6" t="s">
        <v>2370</v>
      </c>
      <c r="F229" s="6" t="s">
        <v>2370</v>
      </c>
      <c r="G229">
        <v>0</v>
      </c>
      <c r="H229" s="6" t="s">
        <v>2373</v>
      </c>
      <c r="I229" t="s">
        <v>8378</v>
      </c>
      <c r="J229" t="s">
        <v>8375</v>
      </c>
    </row>
    <row r="230" spans="1:10" x14ac:dyDescent="0.35">
      <c r="A230" s="6" t="s">
        <v>2134</v>
      </c>
      <c r="B230">
        <v>36.99</v>
      </c>
      <c r="C230">
        <v>5.37</v>
      </c>
      <c r="D230" s="6" t="s">
        <v>2373</v>
      </c>
      <c r="E230" s="6" t="s">
        <v>2370</v>
      </c>
      <c r="F230" s="6" t="s">
        <v>2373</v>
      </c>
      <c r="G230">
        <v>1</v>
      </c>
      <c r="H230" s="6" t="s">
        <v>2373</v>
      </c>
      <c r="I230" t="s">
        <v>8374</v>
      </c>
      <c r="J230" t="s">
        <v>8377</v>
      </c>
    </row>
    <row r="231" spans="1:10" x14ac:dyDescent="0.35">
      <c r="A231" s="6" t="s">
        <v>2133</v>
      </c>
      <c r="B231">
        <v>31.4</v>
      </c>
      <c r="C231">
        <v>4.5999999999999996</v>
      </c>
      <c r="D231" s="6" t="s">
        <v>2373</v>
      </c>
      <c r="E231" s="6" t="s">
        <v>2370</v>
      </c>
      <c r="F231" s="6" t="s">
        <v>2370</v>
      </c>
      <c r="G231">
        <v>1</v>
      </c>
      <c r="H231" s="6" t="s">
        <v>2373</v>
      </c>
      <c r="I231" t="s">
        <v>8374</v>
      </c>
      <c r="J231" t="s">
        <v>8377</v>
      </c>
    </row>
    <row r="232" spans="1:10" x14ac:dyDescent="0.35">
      <c r="A232" s="6" t="s">
        <v>2132</v>
      </c>
      <c r="B232">
        <v>34.9</v>
      </c>
      <c r="C232">
        <v>6.22</v>
      </c>
      <c r="D232" s="6" t="s">
        <v>2370</v>
      </c>
      <c r="E232" s="6" t="s">
        <v>2370</v>
      </c>
      <c r="F232" s="6" t="s">
        <v>2373</v>
      </c>
      <c r="G232">
        <v>1</v>
      </c>
      <c r="H232" s="6" t="s">
        <v>2373</v>
      </c>
      <c r="I232" t="s">
        <v>8374</v>
      </c>
      <c r="J232" t="s">
        <v>8376</v>
      </c>
    </row>
    <row r="233" spans="1:10" x14ac:dyDescent="0.35">
      <c r="A233" s="6" t="s">
        <v>2131</v>
      </c>
      <c r="B233">
        <v>31.13</v>
      </c>
      <c r="C233">
        <v>4.5199999999999996</v>
      </c>
      <c r="D233" s="6" t="s">
        <v>2373</v>
      </c>
      <c r="E233" s="6" t="s">
        <v>2370</v>
      </c>
      <c r="F233" s="6" t="s">
        <v>2370</v>
      </c>
      <c r="G233">
        <v>1</v>
      </c>
      <c r="H233" s="6" t="s">
        <v>2373</v>
      </c>
      <c r="I233" t="s">
        <v>8374</v>
      </c>
      <c r="J233" t="s">
        <v>8377</v>
      </c>
    </row>
    <row r="234" spans="1:10" x14ac:dyDescent="0.35">
      <c r="A234" s="6" t="s">
        <v>2130</v>
      </c>
      <c r="B234">
        <v>34.799999999999997</v>
      </c>
      <c r="C234">
        <v>6.18</v>
      </c>
      <c r="D234" s="6" t="s">
        <v>2370</v>
      </c>
      <c r="E234" s="6" t="s">
        <v>2370</v>
      </c>
      <c r="F234" s="6" t="s">
        <v>2373</v>
      </c>
      <c r="G234">
        <v>1</v>
      </c>
      <c r="H234" s="6" t="s">
        <v>2373</v>
      </c>
      <c r="I234" t="s">
        <v>8374</v>
      </c>
      <c r="J234" t="s">
        <v>8376</v>
      </c>
    </row>
    <row r="235" spans="1:10" x14ac:dyDescent="0.35">
      <c r="A235" s="6" t="s">
        <v>2129</v>
      </c>
      <c r="B235">
        <v>31.68</v>
      </c>
      <c r="C235">
        <v>4.4000000000000004</v>
      </c>
      <c r="D235" s="6" t="s">
        <v>2370</v>
      </c>
      <c r="E235" s="6" t="s">
        <v>2370</v>
      </c>
      <c r="F235" s="6" t="s">
        <v>2370</v>
      </c>
      <c r="G235">
        <v>0</v>
      </c>
      <c r="H235" s="6" t="s">
        <v>2373</v>
      </c>
      <c r="I235" t="s">
        <v>8374</v>
      </c>
      <c r="J235" t="s">
        <v>8377</v>
      </c>
    </row>
    <row r="236" spans="1:10" x14ac:dyDescent="0.35">
      <c r="A236" s="6" t="s">
        <v>2128</v>
      </c>
      <c r="B236">
        <v>33.534999999999997</v>
      </c>
      <c r="C236">
        <v>6.23</v>
      </c>
      <c r="D236" s="6" t="s">
        <v>2370</v>
      </c>
      <c r="E236" s="6" t="s">
        <v>2372</v>
      </c>
      <c r="F236" s="6" t="s">
        <v>2370</v>
      </c>
      <c r="G236">
        <v>1</v>
      </c>
      <c r="H236" s="6" t="s">
        <v>2373</v>
      </c>
      <c r="I236" t="s">
        <v>8374</v>
      </c>
      <c r="J236" t="s">
        <v>8376</v>
      </c>
    </row>
    <row r="237" spans="1:10" x14ac:dyDescent="0.35">
      <c r="A237" s="6" t="s">
        <v>2127</v>
      </c>
      <c r="B237">
        <v>31.92</v>
      </c>
      <c r="C237">
        <v>5.33</v>
      </c>
      <c r="D237" s="6" t="s">
        <v>2373</v>
      </c>
      <c r="E237" s="6" t="s">
        <v>2370</v>
      </c>
      <c r="F237" s="6" t="s">
        <v>2370</v>
      </c>
      <c r="G237">
        <v>0</v>
      </c>
      <c r="H237" s="6" t="s">
        <v>2373</v>
      </c>
      <c r="I237" t="s">
        <v>8374</v>
      </c>
      <c r="J237" t="s">
        <v>8377</v>
      </c>
    </row>
    <row r="238" spans="1:10" x14ac:dyDescent="0.35">
      <c r="A238" s="6" t="s">
        <v>2126</v>
      </c>
      <c r="B238">
        <v>32.700000000000003</v>
      </c>
      <c r="C238">
        <v>4.09</v>
      </c>
      <c r="D238" s="6" t="s">
        <v>2370</v>
      </c>
      <c r="E238" s="6" t="s">
        <v>2370</v>
      </c>
      <c r="F238" s="6" t="s">
        <v>2370</v>
      </c>
      <c r="G238">
        <v>1</v>
      </c>
      <c r="H238" s="6" t="s">
        <v>2373</v>
      </c>
      <c r="I238" t="s">
        <v>8374</v>
      </c>
      <c r="J238" t="s">
        <v>8377</v>
      </c>
    </row>
    <row r="239" spans="1:10" x14ac:dyDescent="0.35">
      <c r="A239" s="6" t="s">
        <v>2125</v>
      </c>
      <c r="B239">
        <v>41.25</v>
      </c>
      <c r="C239">
        <v>5.19</v>
      </c>
      <c r="D239" s="6" t="s">
        <v>2370</v>
      </c>
      <c r="E239" s="6" t="s">
        <v>2370</v>
      </c>
      <c r="F239" s="6" t="s">
        <v>2370</v>
      </c>
      <c r="G239">
        <v>0</v>
      </c>
      <c r="H239" s="6" t="s">
        <v>2373</v>
      </c>
      <c r="I239" t="s">
        <v>8374</v>
      </c>
      <c r="J239" t="s">
        <v>8377</v>
      </c>
    </row>
    <row r="240" spans="1:10" x14ac:dyDescent="0.35">
      <c r="A240" s="6" t="s">
        <v>2124</v>
      </c>
      <c r="B240">
        <v>33.11</v>
      </c>
      <c r="C240">
        <v>4.12</v>
      </c>
      <c r="D240" s="6" t="s">
        <v>2370</v>
      </c>
      <c r="E240" s="6" t="s">
        <v>2370</v>
      </c>
      <c r="F240" s="6" t="s">
        <v>2373</v>
      </c>
      <c r="G240">
        <v>1</v>
      </c>
      <c r="H240" s="6" t="s">
        <v>2373</v>
      </c>
      <c r="I240" t="s">
        <v>8374</v>
      </c>
      <c r="J240" t="s">
        <v>8377</v>
      </c>
    </row>
    <row r="241" spans="1:10" x14ac:dyDescent="0.35">
      <c r="A241" s="6" t="s">
        <v>2123</v>
      </c>
      <c r="B241">
        <v>36.159999999999997</v>
      </c>
      <c r="C241">
        <v>5.0999999999999996</v>
      </c>
      <c r="D241" s="6" t="s">
        <v>2370</v>
      </c>
      <c r="E241" s="6" t="s">
        <v>2370</v>
      </c>
      <c r="F241" s="6" t="s">
        <v>2370</v>
      </c>
      <c r="G241">
        <v>1</v>
      </c>
      <c r="H241" s="6" t="s">
        <v>2373</v>
      </c>
      <c r="I241" t="s">
        <v>8374</v>
      </c>
      <c r="J241" t="s">
        <v>8377</v>
      </c>
    </row>
    <row r="242" spans="1:10" x14ac:dyDescent="0.35">
      <c r="A242" s="6" t="s">
        <v>2122</v>
      </c>
      <c r="B242">
        <v>33.72</v>
      </c>
      <c r="C242">
        <v>6.21</v>
      </c>
      <c r="D242" s="6" t="s">
        <v>2373</v>
      </c>
      <c r="E242" s="6" t="s">
        <v>2370</v>
      </c>
      <c r="F242" s="6" t="s">
        <v>2373</v>
      </c>
      <c r="G242">
        <v>1</v>
      </c>
      <c r="H242" s="6" t="s">
        <v>2373</v>
      </c>
      <c r="I242" t="s">
        <v>8374</v>
      </c>
      <c r="J242" t="s">
        <v>8376</v>
      </c>
    </row>
    <row r="243" spans="1:10" x14ac:dyDescent="0.35">
      <c r="A243" s="6" t="s">
        <v>2120</v>
      </c>
      <c r="B243">
        <v>37.74</v>
      </c>
      <c r="C243">
        <v>9.5299999999999994</v>
      </c>
      <c r="D243" s="6" t="s">
        <v>2373</v>
      </c>
      <c r="E243" s="6" t="s">
        <v>2370</v>
      </c>
      <c r="F243" s="6" t="s">
        <v>2370</v>
      </c>
      <c r="G243">
        <v>1</v>
      </c>
      <c r="H243" s="6" t="s">
        <v>2373</v>
      </c>
      <c r="I243" t="s">
        <v>8374</v>
      </c>
      <c r="J243" t="s">
        <v>8375</v>
      </c>
    </row>
    <row r="244" spans="1:10" x14ac:dyDescent="0.35">
      <c r="A244" s="6" t="s">
        <v>2119</v>
      </c>
      <c r="B244">
        <v>48.75</v>
      </c>
      <c r="C244">
        <v>4.6399999999999997</v>
      </c>
      <c r="D244" s="6" t="s">
        <v>2373</v>
      </c>
      <c r="E244" s="6" t="s">
        <v>2370</v>
      </c>
      <c r="F244" s="6" t="s">
        <v>2370</v>
      </c>
      <c r="G244">
        <v>1</v>
      </c>
      <c r="H244" s="6" t="s">
        <v>2373</v>
      </c>
      <c r="I244" t="s">
        <v>8374</v>
      </c>
      <c r="J244" t="s">
        <v>8377</v>
      </c>
    </row>
    <row r="245" spans="1:10" x14ac:dyDescent="0.35">
      <c r="A245" s="6" t="s">
        <v>2118</v>
      </c>
      <c r="B245">
        <v>31.065000000000001</v>
      </c>
      <c r="C245">
        <v>5.05</v>
      </c>
      <c r="D245" s="6" t="s">
        <v>2370</v>
      </c>
      <c r="E245" s="6" t="s">
        <v>2370</v>
      </c>
      <c r="F245" s="6" t="s">
        <v>2370</v>
      </c>
      <c r="G245">
        <v>1</v>
      </c>
      <c r="H245" s="6" t="s">
        <v>2373</v>
      </c>
      <c r="I245" t="s">
        <v>8374</v>
      </c>
      <c r="J245" t="s">
        <v>8377</v>
      </c>
    </row>
    <row r="246" spans="1:10" x14ac:dyDescent="0.35">
      <c r="A246" s="6" t="s">
        <v>2117</v>
      </c>
      <c r="B246">
        <v>23.55</v>
      </c>
      <c r="C246">
        <v>10.38</v>
      </c>
      <c r="D246" s="6" t="s">
        <v>2370</v>
      </c>
      <c r="E246" s="6" t="s">
        <v>2370</v>
      </c>
      <c r="F246" s="6" t="s">
        <v>2370</v>
      </c>
      <c r="G246">
        <v>0</v>
      </c>
      <c r="H246" s="6" t="s">
        <v>2373</v>
      </c>
      <c r="I246" t="s">
        <v>8379</v>
      </c>
      <c r="J246" t="s">
        <v>8375</v>
      </c>
    </row>
    <row r="247" spans="1:10" x14ac:dyDescent="0.35">
      <c r="A247" s="6" t="s">
        <v>2116</v>
      </c>
      <c r="B247">
        <v>30.18</v>
      </c>
      <c r="C247">
        <v>8.31</v>
      </c>
      <c r="D247" s="6" t="s">
        <v>2373</v>
      </c>
      <c r="E247" s="6" t="s">
        <v>2370</v>
      </c>
      <c r="F247" s="6" t="s">
        <v>2370</v>
      </c>
      <c r="G247">
        <v>1</v>
      </c>
      <c r="H247" s="6" t="s">
        <v>2373</v>
      </c>
      <c r="I247" t="s">
        <v>8374</v>
      </c>
      <c r="J247" t="s">
        <v>8375</v>
      </c>
    </row>
    <row r="248" spans="1:10" x14ac:dyDescent="0.35">
      <c r="A248" s="6" t="s">
        <v>2115</v>
      </c>
      <c r="B248">
        <v>29.94</v>
      </c>
      <c r="C248">
        <v>7.59</v>
      </c>
      <c r="D248" s="6" t="s">
        <v>2370</v>
      </c>
      <c r="E248" s="6" t="s">
        <v>2370</v>
      </c>
      <c r="F248" s="6" t="s">
        <v>2370</v>
      </c>
      <c r="G248">
        <v>0</v>
      </c>
      <c r="H248" s="6" t="s">
        <v>2373</v>
      </c>
      <c r="I248" t="s">
        <v>8378</v>
      </c>
      <c r="J248" t="s">
        <v>8375</v>
      </c>
    </row>
    <row r="249" spans="1:10" x14ac:dyDescent="0.35">
      <c r="A249" s="6" t="s">
        <v>2114</v>
      </c>
      <c r="B249">
        <v>31.4</v>
      </c>
      <c r="C249">
        <v>5.49</v>
      </c>
      <c r="D249" s="6" t="s">
        <v>2370</v>
      </c>
      <c r="E249" s="6" t="s">
        <v>2370</v>
      </c>
      <c r="F249" s="6" t="s">
        <v>2370</v>
      </c>
      <c r="G249">
        <v>0</v>
      </c>
      <c r="H249" s="6" t="s">
        <v>2373</v>
      </c>
      <c r="I249" t="s">
        <v>8374</v>
      </c>
      <c r="J249" t="s">
        <v>8377</v>
      </c>
    </row>
    <row r="250" spans="1:10" x14ac:dyDescent="0.35">
      <c r="A250" s="6" t="s">
        <v>2113</v>
      </c>
      <c r="B250">
        <v>53.06</v>
      </c>
      <c r="C250">
        <v>11.68</v>
      </c>
      <c r="D250" s="6" t="s">
        <v>2370</v>
      </c>
      <c r="E250" s="6" t="s">
        <v>2370</v>
      </c>
      <c r="F250" s="6" t="s">
        <v>2370</v>
      </c>
      <c r="G250">
        <v>0</v>
      </c>
      <c r="H250" s="6" t="s">
        <v>2373</v>
      </c>
      <c r="I250" t="s">
        <v>8374</v>
      </c>
      <c r="J250" t="s">
        <v>8375</v>
      </c>
    </row>
    <row r="251" spans="1:10" x14ac:dyDescent="0.35">
      <c r="A251" s="6" t="s">
        <v>2112</v>
      </c>
      <c r="B251">
        <v>30.25</v>
      </c>
      <c r="C251">
        <v>4.1900000000000004</v>
      </c>
      <c r="D251" s="6" t="s">
        <v>2370</v>
      </c>
      <c r="E251" s="6" t="s">
        <v>2370</v>
      </c>
      <c r="F251" s="6" t="s">
        <v>2370</v>
      </c>
      <c r="G251">
        <v>2</v>
      </c>
      <c r="H251" s="6" t="s">
        <v>2373</v>
      </c>
      <c r="I251" t="s">
        <v>8374</v>
      </c>
      <c r="J251" t="s">
        <v>8377</v>
      </c>
    </row>
    <row r="252" spans="1:10" x14ac:dyDescent="0.35">
      <c r="A252" s="6" t="s">
        <v>2111</v>
      </c>
      <c r="B252">
        <v>46.68</v>
      </c>
      <c r="C252">
        <v>4.01</v>
      </c>
      <c r="D252" s="6" t="s">
        <v>2370</v>
      </c>
      <c r="E252" s="6" t="s">
        <v>2370</v>
      </c>
      <c r="F252" s="6" t="s">
        <v>2370</v>
      </c>
      <c r="G252">
        <v>0</v>
      </c>
      <c r="H252" s="6" t="s">
        <v>2373</v>
      </c>
      <c r="I252" t="s">
        <v>8374</v>
      </c>
      <c r="J252" t="s">
        <v>8377</v>
      </c>
    </row>
    <row r="253" spans="1:10" x14ac:dyDescent="0.35">
      <c r="A253" s="6" t="s">
        <v>2110</v>
      </c>
      <c r="B253">
        <v>30.4</v>
      </c>
      <c r="C253">
        <v>5.91</v>
      </c>
      <c r="D253" s="6" t="s">
        <v>2370</v>
      </c>
      <c r="E253" s="6" t="s">
        <v>2372</v>
      </c>
      <c r="F253" s="6" t="s">
        <v>2370</v>
      </c>
      <c r="G253">
        <v>2</v>
      </c>
      <c r="H253" s="6" t="s">
        <v>2373</v>
      </c>
      <c r="I253" t="s">
        <v>8374</v>
      </c>
      <c r="J253" t="s">
        <v>8376</v>
      </c>
    </row>
    <row r="254" spans="1:10" x14ac:dyDescent="0.35">
      <c r="A254" s="6" t="s">
        <v>2109</v>
      </c>
      <c r="B254">
        <v>30.2</v>
      </c>
      <c r="C254">
        <v>4.47</v>
      </c>
      <c r="D254" s="6" t="s">
        <v>2373</v>
      </c>
      <c r="E254" s="6" t="s">
        <v>2370</v>
      </c>
      <c r="F254" s="6" t="s">
        <v>2373</v>
      </c>
      <c r="G254">
        <v>1</v>
      </c>
      <c r="H254" s="6" t="s">
        <v>2373</v>
      </c>
      <c r="I254" t="s">
        <v>8374</v>
      </c>
      <c r="J254" t="s">
        <v>8377</v>
      </c>
    </row>
    <row r="255" spans="1:10" x14ac:dyDescent="0.35">
      <c r="A255" s="6" t="s">
        <v>2108</v>
      </c>
      <c r="B255">
        <v>51.18</v>
      </c>
      <c r="C255">
        <v>4.5599999999999996</v>
      </c>
      <c r="D255" s="6" t="s">
        <v>2373</v>
      </c>
      <c r="E255" s="6" t="s">
        <v>2372</v>
      </c>
      <c r="F255" s="6" t="s">
        <v>2370</v>
      </c>
      <c r="G255">
        <v>2</v>
      </c>
      <c r="H255" s="6" t="s">
        <v>2373</v>
      </c>
      <c r="I255" t="s">
        <v>8374</v>
      </c>
      <c r="J255" t="s">
        <v>8377</v>
      </c>
    </row>
    <row r="256" spans="1:10" x14ac:dyDescent="0.35">
      <c r="A256" s="6" t="s">
        <v>2107</v>
      </c>
      <c r="B256">
        <v>22.18</v>
      </c>
      <c r="C256">
        <v>9.9</v>
      </c>
      <c r="D256" s="6" t="s">
        <v>2370</v>
      </c>
      <c r="E256" s="6" t="s">
        <v>2370</v>
      </c>
      <c r="F256" s="6" t="s">
        <v>2370</v>
      </c>
      <c r="G256">
        <v>0</v>
      </c>
      <c r="H256" s="6" t="s">
        <v>2373</v>
      </c>
      <c r="I256" t="s">
        <v>8379</v>
      </c>
      <c r="J256" t="s">
        <v>8375</v>
      </c>
    </row>
    <row r="257" spans="1:10" x14ac:dyDescent="0.35">
      <c r="A257" s="6" t="s">
        <v>2106</v>
      </c>
      <c r="B257">
        <v>31.92</v>
      </c>
      <c r="C257">
        <v>5.1100000000000003</v>
      </c>
      <c r="D257" s="6" t="s">
        <v>2370</v>
      </c>
      <c r="E257" s="6" t="s">
        <v>2370</v>
      </c>
      <c r="F257" s="6" t="s">
        <v>2373</v>
      </c>
      <c r="G257">
        <v>1</v>
      </c>
      <c r="H257" s="6" t="s">
        <v>2373</v>
      </c>
      <c r="I257" t="s">
        <v>8374</v>
      </c>
      <c r="J257" t="s">
        <v>8377</v>
      </c>
    </row>
    <row r="258" spans="1:10" x14ac:dyDescent="0.35">
      <c r="A258" s="6" t="s">
        <v>2105</v>
      </c>
      <c r="B258">
        <v>31.73</v>
      </c>
      <c r="C258">
        <v>5.73</v>
      </c>
      <c r="D258" s="6" t="s">
        <v>2370</v>
      </c>
      <c r="E258" s="6" t="s">
        <v>2372</v>
      </c>
      <c r="F258" s="6" t="s">
        <v>2370</v>
      </c>
      <c r="G258">
        <v>1</v>
      </c>
      <c r="H258" s="6" t="s">
        <v>2373</v>
      </c>
      <c r="I258" t="s">
        <v>8374</v>
      </c>
      <c r="J258" t="s">
        <v>8376</v>
      </c>
    </row>
    <row r="259" spans="1:10" x14ac:dyDescent="0.35">
      <c r="A259" s="6" t="s">
        <v>2104</v>
      </c>
      <c r="B259">
        <v>45.52</v>
      </c>
      <c r="C259">
        <v>6.04</v>
      </c>
      <c r="D259" s="6" t="s">
        <v>2370</v>
      </c>
      <c r="E259" s="6" t="s">
        <v>2370</v>
      </c>
      <c r="F259" s="6" t="s">
        <v>2373</v>
      </c>
      <c r="G259">
        <v>1</v>
      </c>
      <c r="H259" s="6" t="s">
        <v>2373</v>
      </c>
      <c r="I259" t="s">
        <v>8374</v>
      </c>
      <c r="J259" t="s">
        <v>8376</v>
      </c>
    </row>
    <row r="260" spans="1:10" x14ac:dyDescent="0.35">
      <c r="A260" s="6" t="s">
        <v>2103</v>
      </c>
      <c r="B260">
        <v>52.81</v>
      </c>
      <c r="C260">
        <v>5.19</v>
      </c>
      <c r="D260" s="6" t="s">
        <v>2370</v>
      </c>
      <c r="E260" s="6" t="s">
        <v>2370</v>
      </c>
      <c r="F260" s="6" t="s">
        <v>2373</v>
      </c>
      <c r="G260">
        <v>1</v>
      </c>
      <c r="H260" s="6" t="s">
        <v>2373</v>
      </c>
      <c r="I260" t="s">
        <v>8374</v>
      </c>
      <c r="J260" t="s">
        <v>8377</v>
      </c>
    </row>
    <row r="261" spans="1:10" x14ac:dyDescent="0.35">
      <c r="A261" s="6" t="s">
        <v>2102</v>
      </c>
      <c r="B261">
        <v>33.58</v>
      </c>
      <c r="C261">
        <v>5.56</v>
      </c>
      <c r="D261" s="6" t="s">
        <v>2370</v>
      </c>
      <c r="E261" s="6" t="s">
        <v>2370</v>
      </c>
      <c r="F261" s="6" t="s">
        <v>2370</v>
      </c>
      <c r="G261">
        <v>1</v>
      </c>
      <c r="H261" s="6" t="s">
        <v>2373</v>
      </c>
      <c r="I261" t="s">
        <v>8374</v>
      </c>
      <c r="J261" t="s">
        <v>8377</v>
      </c>
    </row>
    <row r="262" spans="1:10" x14ac:dyDescent="0.35">
      <c r="A262" s="6" t="s">
        <v>2101</v>
      </c>
      <c r="B262">
        <v>30.684999999999999</v>
      </c>
      <c r="C262">
        <v>8.23</v>
      </c>
      <c r="D262" s="6" t="s">
        <v>2370</v>
      </c>
      <c r="E262" s="6" t="s">
        <v>2370</v>
      </c>
      <c r="F262" s="6" t="s">
        <v>2370</v>
      </c>
      <c r="G262">
        <v>0</v>
      </c>
      <c r="H262" s="6" t="s">
        <v>2373</v>
      </c>
      <c r="I262" t="s">
        <v>8374</v>
      </c>
      <c r="J262" t="s">
        <v>8375</v>
      </c>
    </row>
    <row r="263" spans="1:10" x14ac:dyDescent="0.35">
      <c r="A263" s="6" t="s">
        <v>2100</v>
      </c>
      <c r="B263">
        <v>37.524999999999999</v>
      </c>
      <c r="C263">
        <v>9.0299999999999994</v>
      </c>
      <c r="D263" s="6" t="s">
        <v>2373</v>
      </c>
      <c r="E263" s="6" t="s">
        <v>2370</v>
      </c>
      <c r="F263" s="6" t="s">
        <v>2370</v>
      </c>
      <c r="G263">
        <v>2</v>
      </c>
      <c r="H263" s="6" t="s">
        <v>2370</v>
      </c>
      <c r="I263" t="s">
        <v>8374</v>
      </c>
      <c r="J263" t="s">
        <v>8375</v>
      </c>
    </row>
    <row r="264" spans="1:10" x14ac:dyDescent="0.35">
      <c r="A264" s="6" t="s">
        <v>2099</v>
      </c>
      <c r="B264">
        <v>34.5</v>
      </c>
      <c r="C264">
        <v>4.07</v>
      </c>
      <c r="D264" s="6" t="s">
        <v>2373</v>
      </c>
      <c r="E264" s="6" t="s">
        <v>2370</v>
      </c>
      <c r="F264" s="6" t="s">
        <v>2370</v>
      </c>
      <c r="G264">
        <v>0</v>
      </c>
      <c r="H264" s="6" t="s">
        <v>2373</v>
      </c>
      <c r="I264" t="s">
        <v>8374</v>
      </c>
      <c r="J264" t="s">
        <v>8377</v>
      </c>
    </row>
    <row r="265" spans="1:10" x14ac:dyDescent="0.35">
      <c r="A265" s="6" t="s">
        <v>2098</v>
      </c>
      <c r="B265">
        <v>28.16</v>
      </c>
      <c r="C265">
        <v>5.77</v>
      </c>
      <c r="D265" s="6" t="s">
        <v>2370</v>
      </c>
      <c r="E265" s="6" t="s">
        <v>2370</v>
      </c>
      <c r="F265" s="6" t="s">
        <v>2370</v>
      </c>
      <c r="G265">
        <v>2</v>
      </c>
      <c r="H265" s="6" t="s">
        <v>2373</v>
      </c>
      <c r="I265" t="s">
        <v>8378</v>
      </c>
      <c r="J265" t="s">
        <v>8376</v>
      </c>
    </row>
    <row r="266" spans="1:10" x14ac:dyDescent="0.35">
      <c r="A266" s="6" t="s">
        <v>2097</v>
      </c>
      <c r="B266">
        <v>30.02</v>
      </c>
      <c r="C266">
        <v>5.98</v>
      </c>
      <c r="D266" s="6" t="s">
        <v>2370</v>
      </c>
      <c r="E266" s="6" t="s">
        <v>2370</v>
      </c>
      <c r="F266" s="6" t="s">
        <v>2373</v>
      </c>
      <c r="G266">
        <v>1</v>
      </c>
      <c r="H266" s="6" t="s">
        <v>2373</v>
      </c>
      <c r="I266" t="s">
        <v>8374</v>
      </c>
      <c r="J266" t="s">
        <v>8376</v>
      </c>
    </row>
    <row r="267" spans="1:10" x14ac:dyDescent="0.35">
      <c r="A267" s="6" t="s">
        <v>2096</v>
      </c>
      <c r="B267">
        <v>37.82</v>
      </c>
      <c r="C267">
        <v>6.01</v>
      </c>
      <c r="D267" s="6" t="s">
        <v>2370</v>
      </c>
      <c r="E267" s="6" t="s">
        <v>2370</v>
      </c>
      <c r="F267" s="6" t="s">
        <v>2370</v>
      </c>
      <c r="G267">
        <v>0</v>
      </c>
      <c r="H267" s="6" t="s">
        <v>2373</v>
      </c>
      <c r="I267" t="s">
        <v>8374</v>
      </c>
      <c r="J267" t="s">
        <v>8376</v>
      </c>
    </row>
    <row r="268" spans="1:10" x14ac:dyDescent="0.35">
      <c r="A268" s="6" t="s">
        <v>2095</v>
      </c>
      <c r="B268">
        <v>33.14</v>
      </c>
      <c r="C268">
        <v>5.67</v>
      </c>
      <c r="D268" s="6" t="s">
        <v>2373</v>
      </c>
      <c r="E268" s="6" t="s">
        <v>2370</v>
      </c>
      <c r="F268" s="6" t="s">
        <v>2370</v>
      </c>
      <c r="G268">
        <v>0</v>
      </c>
      <c r="H268" s="6" t="s">
        <v>2373</v>
      </c>
      <c r="I268" t="s">
        <v>8374</v>
      </c>
      <c r="J268" t="s">
        <v>8377</v>
      </c>
    </row>
    <row r="269" spans="1:10" x14ac:dyDescent="0.35">
      <c r="A269" s="6" t="s">
        <v>2094</v>
      </c>
      <c r="B269">
        <v>25.14</v>
      </c>
      <c r="C269">
        <v>6.02</v>
      </c>
      <c r="D269" s="6" t="s">
        <v>2373</v>
      </c>
      <c r="E269" s="6" t="s">
        <v>2370</v>
      </c>
      <c r="F269" s="6" t="s">
        <v>2373</v>
      </c>
      <c r="G269">
        <v>1</v>
      </c>
      <c r="H269" s="6" t="s">
        <v>2373</v>
      </c>
      <c r="I269" t="s">
        <v>8378</v>
      </c>
      <c r="J269" t="s">
        <v>8376</v>
      </c>
    </row>
    <row r="270" spans="1:10" x14ac:dyDescent="0.35">
      <c r="A270" s="6" t="s">
        <v>2093</v>
      </c>
      <c r="B270">
        <v>20.18</v>
      </c>
      <c r="C270">
        <v>11.19</v>
      </c>
      <c r="D270" s="6" t="s">
        <v>2370</v>
      </c>
      <c r="E270" s="6" t="s">
        <v>2370</v>
      </c>
      <c r="F270" s="6" t="s">
        <v>2370</v>
      </c>
      <c r="G270">
        <v>0</v>
      </c>
      <c r="H270" s="6" t="s">
        <v>2373</v>
      </c>
      <c r="I270" t="s">
        <v>8379</v>
      </c>
      <c r="J270" t="s">
        <v>8375</v>
      </c>
    </row>
    <row r="271" spans="1:10" x14ac:dyDescent="0.35">
      <c r="A271" s="6" t="s">
        <v>2092</v>
      </c>
      <c r="B271">
        <v>44.36</v>
      </c>
      <c r="C271">
        <v>5.1100000000000003</v>
      </c>
      <c r="D271" s="6" t="s">
        <v>2370</v>
      </c>
      <c r="E271" s="6" t="s">
        <v>2370</v>
      </c>
      <c r="F271" s="6" t="s">
        <v>2370</v>
      </c>
      <c r="G271">
        <v>0</v>
      </c>
      <c r="H271" s="6" t="s">
        <v>2373</v>
      </c>
      <c r="I271" t="s">
        <v>8374</v>
      </c>
      <c r="J271" t="s">
        <v>8377</v>
      </c>
    </row>
    <row r="272" spans="1:10" x14ac:dyDescent="0.35">
      <c r="A272" s="6" t="s">
        <v>2091</v>
      </c>
      <c r="B272">
        <v>23.82</v>
      </c>
      <c r="C272">
        <v>10.85</v>
      </c>
      <c r="D272" s="6" t="s">
        <v>2373</v>
      </c>
      <c r="E272" s="6" t="s">
        <v>2370</v>
      </c>
      <c r="F272" s="6" t="s">
        <v>2370</v>
      </c>
      <c r="G272">
        <v>0</v>
      </c>
      <c r="H272" s="6" t="s">
        <v>2373</v>
      </c>
      <c r="I272" t="s">
        <v>8379</v>
      </c>
      <c r="J272" t="s">
        <v>8375</v>
      </c>
    </row>
    <row r="273" spans="1:10" x14ac:dyDescent="0.35">
      <c r="A273" s="6" t="s">
        <v>2090</v>
      </c>
      <c r="B273">
        <v>45</v>
      </c>
      <c r="C273">
        <v>5.24</v>
      </c>
      <c r="D273" s="6" t="s">
        <v>2373</v>
      </c>
      <c r="E273" s="6" t="s">
        <v>2370</v>
      </c>
      <c r="F273" s="6" t="s">
        <v>2370</v>
      </c>
      <c r="G273">
        <v>1</v>
      </c>
      <c r="H273" s="6" t="s">
        <v>2373</v>
      </c>
      <c r="I273" t="s">
        <v>8374</v>
      </c>
      <c r="J273" t="s">
        <v>8377</v>
      </c>
    </row>
    <row r="274" spans="1:10" x14ac:dyDescent="0.35">
      <c r="A274" s="6" t="s">
        <v>2089</v>
      </c>
      <c r="B274">
        <v>26.62</v>
      </c>
      <c r="C274">
        <v>10.08</v>
      </c>
      <c r="D274" s="6" t="s">
        <v>2370</v>
      </c>
      <c r="E274" s="6" t="s">
        <v>2370</v>
      </c>
      <c r="F274" s="6" t="s">
        <v>2370</v>
      </c>
      <c r="G274">
        <v>0</v>
      </c>
      <c r="H274" s="6" t="s">
        <v>2373</v>
      </c>
      <c r="I274" t="s">
        <v>8378</v>
      </c>
      <c r="J274" t="s">
        <v>8375</v>
      </c>
    </row>
    <row r="275" spans="1:10" x14ac:dyDescent="0.35">
      <c r="A275" s="6" t="s">
        <v>2088</v>
      </c>
      <c r="B275">
        <v>32.67</v>
      </c>
      <c r="C275">
        <v>10.97</v>
      </c>
      <c r="D275" s="6" t="s">
        <v>2373</v>
      </c>
      <c r="E275" s="6" t="s">
        <v>2370</v>
      </c>
      <c r="F275" s="6" t="s">
        <v>2370</v>
      </c>
      <c r="G275">
        <v>0</v>
      </c>
      <c r="H275" s="6" t="s">
        <v>2373</v>
      </c>
      <c r="I275" t="s">
        <v>8374</v>
      </c>
      <c r="J275" t="s">
        <v>8375</v>
      </c>
    </row>
    <row r="276" spans="1:10" x14ac:dyDescent="0.35">
      <c r="A276" s="6" t="s">
        <v>2087</v>
      </c>
      <c r="B276">
        <v>44.44</v>
      </c>
      <c r="C276">
        <v>4.9000000000000004</v>
      </c>
      <c r="D276" s="6" t="s">
        <v>2373</v>
      </c>
      <c r="E276" s="6" t="s">
        <v>2370</v>
      </c>
      <c r="F276" s="6" t="s">
        <v>2370</v>
      </c>
      <c r="G276">
        <v>1</v>
      </c>
      <c r="H276" s="6" t="s">
        <v>2373</v>
      </c>
      <c r="I276" t="s">
        <v>8374</v>
      </c>
      <c r="J276" t="s">
        <v>8377</v>
      </c>
    </row>
    <row r="277" spans="1:10" x14ac:dyDescent="0.35">
      <c r="A277" s="6" t="s">
        <v>2086</v>
      </c>
      <c r="B277">
        <v>28.31</v>
      </c>
      <c r="C277">
        <v>5.33</v>
      </c>
      <c r="D277" s="6" t="s">
        <v>2370</v>
      </c>
      <c r="E277" s="6" t="s">
        <v>2370</v>
      </c>
      <c r="F277" s="6" t="s">
        <v>2370</v>
      </c>
      <c r="G277">
        <v>0</v>
      </c>
      <c r="H277" s="6" t="s">
        <v>2373</v>
      </c>
      <c r="I277" t="s">
        <v>8378</v>
      </c>
      <c r="J277" t="s">
        <v>8377</v>
      </c>
    </row>
    <row r="278" spans="1:10" x14ac:dyDescent="0.35">
      <c r="A278" s="6" t="s">
        <v>2085</v>
      </c>
      <c r="B278">
        <v>25.05</v>
      </c>
      <c r="C278">
        <v>4.6100000000000003</v>
      </c>
      <c r="D278" s="6" t="s">
        <v>2370</v>
      </c>
      <c r="E278" s="6" t="s">
        <v>2370</v>
      </c>
      <c r="F278" s="6" t="s">
        <v>2370</v>
      </c>
      <c r="G278">
        <v>2</v>
      </c>
      <c r="H278" s="6" t="s">
        <v>2373</v>
      </c>
      <c r="I278" t="s">
        <v>8378</v>
      </c>
      <c r="J278" t="s">
        <v>8377</v>
      </c>
    </row>
    <row r="279" spans="1:10" x14ac:dyDescent="0.35">
      <c r="A279" s="6" t="s">
        <v>2084</v>
      </c>
      <c r="B279">
        <v>28.34</v>
      </c>
      <c r="C279">
        <v>8.18</v>
      </c>
      <c r="D279" s="6" t="s">
        <v>2370</v>
      </c>
      <c r="E279" s="6" t="s">
        <v>2370</v>
      </c>
      <c r="F279" s="6" t="s">
        <v>2370</v>
      </c>
      <c r="G279">
        <v>0</v>
      </c>
      <c r="H279" s="6" t="s">
        <v>2373</v>
      </c>
      <c r="I279" t="s">
        <v>8378</v>
      </c>
      <c r="J279" t="s">
        <v>8375</v>
      </c>
    </row>
    <row r="280" spans="1:10" x14ac:dyDescent="0.35">
      <c r="A280" s="6" t="s">
        <v>2083</v>
      </c>
      <c r="B280">
        <v>17.765000000000001</v>
      </c>
      <c r="C280">
        <v>5.62</v>
      </c>
      <c r="D280" s="6" t="s">
        <v>2370</v>
      </c>
      <c r="E280" s="6" t="s">
        <v>2370</v>
      </c>
      <c r="F280" s="6" t="s">
        <v>2370</v>
      </c>
      <c r="G280">
        <v>0</v>
      </c>
      <c r="H280" s="6" t="s">
        <v>2373</v>
      </c>
      <c r="I280" t="s">
        <v>8380</v>
      </c>
      <c r="J280" t="s">
        <v>8377</v>
      </c>
    </row>
    <row r="281" spans="1:10" x14ac:dyDescent="0.35">
      <c r="A281" s="6" t="s">
        <v>2082</v>
      </c>
      <c r="B281">
        <v>36.119999999999997</v>
      </c>
      <c r="C281">
        <v>5.82</v>
      </c>
      <c r="D281" s="6" t="s">
        <v>2370</v>
      </c>
      <c r="E281" s="6" t="s">
        <v>2370</v>
      </c>
      <c r="F281" s="6" t="s">
        <v>2370</v>
      </c>
      <c r="G281">
        <v>0</v>
      </c>
      <c r="H281" s="6" t="s">
        <v>2373</v>
      </c>
      <c r="I281" t="s">
        <v>8374</v>
      </c>
      <c r="J281" t="s">
        <v>8376</v>
      </c>
    </row>
    <row r="282" spans="1:10" x14ac:dyDescent="0.35">
      <c r="A282" s="6" t="s">
        <v>2081</v>
      </c>
      <c r="B282">
        <v>23.19</v>
      </c>
      <c r="C282">
        <v>7.66</v>
      </c>
      <c r="D282" s="6" t="s">
        <v>2370</v>
      </c>
      <c r="E282" s="6" t="s">
        <v>2370</v>
      </c>
      <c r="F282" s="6" t="s">
        <v>2370</v>
      </c>
      <c r="G282">
        <v>0</v>
      </c>
      <c r="H282" s="6" t="s">
        <v>2373</v>
      </c>
      <c r="I282" t="s">
        <v>8379</v>
      </c>
      <c r="J282" t="s">
        <v>8375</v>
      </c>
    </row>
    <row r="283" spans="1:10" x14ac:dyDescent="0.35">
      <c r="A283" s="6" t="s">
        <v>2080</v>
      </c>
      <c r="B283">
        <v>35.99</v>
      </c>
      <c r="C283">
        <v>4.2300000000000004</v>
      </c>
      <c r="D283" s="6" t="s">
        <v>2370</v>
      </c>
      <c r="E283" s="6" t="s">
        <v>2370</v>
      </c>
      <c r="F283" s="6" t="s">
        <v>2370</v>
      </c>
      <c r="G283">
        <v>0</v>
      </c>
      <c r="H283" s="6" t="s">
        <v>2373</v>
      </c>
      <c r="I283" t="s">
        <v>8374</v>
      </c>
      <c r="J283" t="s">
        <v>8377</v>
      </c>
    </row>
    <row r="284" spans="1:10" x14ac:dyDescent="0.35">
      <c r="A284" s="6" t="s">
        <v>2079</v>
      </c>
      <c r="B284">
        <v>30.25</v>
      </c>
      <c r="C284">
        <v>5.58</v>
      </c>
      <c r="D284" s="6" t="s">
        <v>2370</v>
      </c>
      <c r="E284" s="6" t="s">
        <v>2370</v>
      </c>
      <c r="F284" s="6" t="s">
        <v>2373</v>
      </c>
      <c r="G284">
        <v>1</v>
      </c>
      <c r="H284" s="6" t="s">
        <v>2373</v>
      </c>
      <c r="I284" t="s">
        <v>8374</v>
      </c>
      <c r="J284" t="s">
        <v>8377</v>
      </c>
    </row>
    <row r="285" spans="1:10" x14ac:dyDescent="0.35">
      <c r="A285" s="6" t="s">
        <v>2078</v>
      </c>
      <c r="B285">
        <v>26.24</v>
      </c>
      <c r="C285">
        <v>6.26</v>
      </c>
      <c r="D285" s="6" t="s">
        <v>2373</v>
      </c>
      <c r="E285" s="6" t="s">
        <v>2370</v>
      </c>
      <c r="F285" s="6" t="s">
        <v>2370</v>
      </c>
      <c r="G285">
        <v>0</v>
      </c>
      <c r="H285" s="6" t="s">
        <v>2373</v>
      </c>
      <c r="I285" t="s">
        <v>8378</v>
      </c>
      <c r="J285" t="s">
        <v>8376</v>
      </c>
    </row>
    <row r="286" spans="1:10" x14ac:dyDescent="0.35">
      <c r="A286" s="6" t="s">
        <v>2077</v>
      </c>
      <c r="B286">
        <v>31.36</v>
      </c>
      <c r="C286">
        <v>10.6</v>
      </c>
      <c r="D286" s="6" t="s">
        <v>2373</v>
      </c>
      <c r="E286" s="6" t="s">
        <v>2370</v>
      </c>
      <c r="F286" s="6" t="s">
        <v>2370</v>
      </c>
      <c r="G286">
        <v>0</v>
      </c>
      <c r="H286" s="6" t="s">
        <v>2373</v>
      </c>
      <c r="I286" t="s">
        <v>8374</v>
      </c>
      <c r="J286" t="s">
        <v>8375</v>
      </c>
    </row>
    <row r="287" spans="1:10" x14ac:dyDescent="0.35">
      <c r="A287" s="6" t="s">
        <v>2076</v>
      </c>
      <c r="B287">
        <v>25.69</v>
      </c>
      <c r="C287">
        <v>4.78</v>
      </c>
      <c r="D287" s="6" t="s">
        <v>2373</v>
      </c>
      <c r="E287" s="6" t="s">
        <v>2370</v>
      </c>
      <c r="F287" s="6" t="s">
        <v>2370</v>
      </c>
      <c r="G287">
        <v>0</v>
      </c>
      <c r="H287" s="6" t="s">
        <v>2373</v>
      </c>
      <c r="I287" t="s">
        <v>8378</v>
      </c>
      <c r="J287" t="s">
        <v>8377</v>
      </c>
    </row>
    <row r="288" spans="1:10" x14ac:dyDescent="0.35">
      <c r="A288" s="6" t="s">
        <v>2075</v>
      </c>
      <c r="B288">
        <v>25.46</v>
      </c>
      <c r="C288">
        <v>6.03</v>
      </c>
      <c r="D288" s="6" t="s">
        <v>2370</v>
      </c>
      <c r="E288" s="6" t="s">
        <v>2370</v>
      </c>
      <c r="F288" s="6" t="s">
        <v>2370</v>
      </c>
      <c r="G288">
        <v>2</v>
      </c>
      <c r="H288" s="6" t="s">
        <v>2373</v>
      </c>
      <c r="I288" t="s">
        <v>8378</v>
      </c>
      <c r="J288" t="s">
        <v>8376</v>
      </c>
    </row>
    <row r="289" spans="1:10" x14ac:dyDescent="0.35">
      <c r="A289" s="6" t="s">
        <v>2074</v>
      </c>
      <c r="B289">
        <v>31.83</v>
      </c>
      <c r="C289">
        <v>11.55</v>
      </c>
      <c r="D289" s="6" t="s">
        <v>2373</v>
      </c>
      <c r="E289" s="6" t="s">
        <v>2370</v>
      </c>
      <c r="F289" s="6" t="s">
        <v>2370</v>
      </c>
      <c r="G289">
        <v>1</v>
      </c>
      <c r="H289" s="6" t="s">
        <v>2373</v>
      </c>
      <c r="I289" t="s">
        <v>8374</v>
      </c>
      <c r="J289" t="s">
        <v>8375</v>
      </c>
    </row>
    <row r="290" spans="1:10" x14ac:dyDescent="0.35">
      <c r="A290" s="6" t="s">
        <v>2073</v>
      </c>
      <c r="B290">
        <v>24.43</v>
      </c>
      <c r="C290">
        <v>7.59</v>
      </c>
      <c r="D290" s="6" t="s">
        <v>2373</v>
      </c>
      <c r="E290" s="6" t="s">
        <v>2370</v>
      </c>
      <c r="F290" s="6" t="s">
        <v>2370</v>
      </c>
      <c r="G290">
        <v>1</v>
      </c>
      <c r="H290" s="6" t="s">
        <v>2373</v>
      </c>
      <c r="I290" t="s">
        <v>8379</v>
      </c>
      <c r="J290" t="s">
        <v>8375</v>
      </c>
    </row>
    <row r="291" spans="1:10" x14ac:dyDescent="0.35">
      <c r="A291" s="6" t="s">
        <v>2072</v>
      </c>
      <c r="B291">
        <v>41.9</v>
      </c>
      <c r="C291">
        <v>4.26</v>
      </c>
      <c r="D291" s="6" t="s">
        <v>2370</v>
      </c>
      <c r="E291" s="6" t="s">
        <v>2370</v>
      </c>
      <c r="F291" s="6" t="s">
        <v>2370</v>
      </c>
      <c r="G291">
        <v>0</v>
      </c>
      <c r="H291" s="6" t="s">
        <v>2373</v>
      </c>
      <c r="I291" t="s">
        <v>8374</v>
      </c>
      <c r="J291" t="s">
        <v>8377</v>
      </c>
    </row>
    <row r="292" spans="1:10" x14ac:dyDescent="0.35">
      <c r="A292" s="6" t="s">
        <v>2071</v>
      </c>
      <c r="B292">
        <v>22.88</v>
      </c>
      <c r="C292">
        <v>5.9</v>
      </c>
      <c r="D292" s="6" t="s">
        <v>2373</v>
      </c>
      <c r="E292" s="6" t="s">
        <v>2370</v>
      </c>
      <c r="F292" s="6" t="s">
        <v>2373</v>
      </c>
      <c r="G292">
        <v>1</v>
      </c>
      <c r="H292" s="6" t="s">
        <v>2373</v>
      </c>
      <c r="I292" t="s">
        <v>8379</v>
      </c>
      <c r="J292" t="s">
        <v>8376</v>
      </c>
    </row>
    <row r="293" spans="1:10" x14ac:dyDescent="0.35">
      <c r="A293" s="6" t="s">
        <v>2070</v>
      </c>
      <c r="B293">
        <v>29.734999999999999</v>
      </c>
      <c r="C293">
        <v>7.79</v>
      </c>
      <c r="D293" s="6" t="s">
        <v>2370</v>
      </c>
      <c r="E293" s="6" t="s">
        <v>2370</v>
      </c>
      <c r="F293" s="6" t="s">
        <v>2370</v>
      </c>
      <c r="G293">
        <v>0</v>
      </c>
      <c r="H293" s="6" t="s">
        <v>2370</v>
      </c>
      <c r="I293" t="s">
        <v>8378</v>
      </c>
      <c r="J293" t="s">
        <v>8375</v>
      </c>
    </row>
    <row r="294" spans="1:10" x14ac:dyDescent="0.35">
      <c r="A294" s="6" t="s">
        <v>2069</v>
      </c>
      <c r="B294">
        <v>40.74</v>
      </c>
      <c r="C294">
        <v>5.28</v>
      </c>
      <c r="D294" s="6" t="s">
        <v>2370</v>
      </c>
      <c r="E294" s="6" t="s">
        <v>2370</v>
      </c>
      <c r="F294" s="6" t="s">
        <v>2373</v>
      </c>
      <c r="G294">
        <v>1</v>
      </c>
      <c r="H294" s="6" t="s">
        <v>2373</v>
      </c>
      <c r="I294" t="s">
        <v>8374</v>
      </c>
      <c r="J294" t="s">
        <v>8377</v>
      </c>
    </row>
    <row r="295" spans="1:10" x14ac:dyDescent="0.35">
      <c r="A295" s="6" t="s">
        <v>2068</v>
      </c>
      <c r="B295">
        <v>24.14</v>
      </c>
      <c r="C295">
        <v>5.87</v>
      </c>
      <c r="D295" s="6" t="s">
        <v>2370</v>
      </c>
      <c r="E295" s="6" t="s">
        <v>2370</v>
      </c>
      <c r="F295" s="6" t="s">
        <v>2370</v>
      </c>
      <c r="G295">
        <v>2</v>
      </c>
      <c r="H295" s="6" t="s">
        <v>2373</v>
      </c>
      <c r="I295" t="s">
        <v>8379</v>
      </c>
      <c r="J295" t="s">
        <v>8376</v>
      </c>
    </row>
    <row r="296" spans="1:10" x14ac:dyDescent="0.35">
      <c r="A296" s="6" t="s">
        <v>2067</v>
      </c>
      <c r="B296">
        <v>25.15</v>
      </c>
      <c r="C296">
        <v>9.08</v>
      </c>
      <c r="D296" s="6" t="s">
        <v>2373</v>
      </c>
      <c r="E296" s="6" t="s">
        <v>2370</v>
      </c>
      <c r="F296" s="6" t="s">
        <v>2370</v>
      </c>
      <c r="G296">
        <v>1</v>
      </c>
      <c r="H296" s="6" t="s">
        <v>2373</v>
      </c>
      <c r="I296" t="s">
        <v>8378</v>
      </c>
      <c r="J296" t="s">
        <v>8375</v>
      </c>
    </row>
    <row r="297" spans="1:10" x14ac:dyDescent="0.35">
      <c r="A297" s="6" t="s">
        <v>2066</v>
      </c>
      <c r="B297">
        <v>28.71</v>
      </c>
      <c r="C297">
        <v>5.2</v>
      </c>
      <c r="D297" s="6" t="s">
        <v>2370</v>
      </c>
      <c r="E297" s="6" t="s">
        <v>2370</v>
      </c>
      <c r="F297" s="6" t="s">
        <v>2370</v>
      </c>
      <c r="G297">
        <v>1</v>
      </c>
      <c r="H297" s="6" t="s">
        <v>2373</v>
      </c>
      <c r="I297" t="s">
        <v>8378</v>
      </c>
      <c r="J297" t="s">
        <v>8377</v>
      </c>
    </row>
    <row r="298" spans="1:10" x14ac:dyDescent="0.35">
      <c r="A298" s="6" t="s">
        <v>2065</v>
      </c>
      <c r="B298">
        <v>23</v>
      </c>
      <c r="C298">
        <v>5.48</v>
      </c>
      <c r="D298" s="6" t="s">
        <v>2370</v>
      </c>
      <c r="E298" s="6" t="s">
        <v>2370</v>
      </c>
      <c r="F298" s="6" t="s">
        <v>2370</v>
      </c>
      <c r="G298">
        <v>0</v>
      </c>
      <c r="H298" s="6" t="s">
        <v>2373</v>
      </c>
      <c r="I298" t="s">
        <v>8379</v>
      </c>
      <c r="J298" t="s">
        <v>8377</v>
      </c>
    </row>
    <row r="299" spans="1:10" x14ac:dyDescent="0.35">
      <c r="A299" s="6" t="s">
        <v>2064</v>
      </c>
      <c r="B299">
        <v>36.86</v>
      </c>
      <c r="C299">
        <v>11.95</v>
      </c>
      <c r="D299" s="6" t="s">
        <v>2370</v>
      </c>
      <c r="E299" s="6" t="s">
        <v>2370</v>
      </c>
      <c r="F299" s="6" t="s">
        <v>2370</v>
      </c>
      <c r="G299">
        <v>0</v>
      </c>
      <c r="H299" s="6" t="s">
        <v>2370</v>
      </c>
      <c r="I299" t="s">
        <v>8374</v>
      </c>
      <c r="J299" t="s">
        <v>8375</v>
      </c>
    </row>
    <row r="300" spans="1:10" x14ac:dyDescent="0.35">
      <c r="A300" s="6" t="s">
        <v>2063</v>
      </c>
      <c r="B300">
        <v>24.25</v>
      </c>
      <c r="C300">
        <v>8.6999999999999993</v>
      </c>
      <c r="D300" s="6" t="s">
        <v>2373</v>
      </c>
      <c r="E300" s="6" t="s">
        <v>2370</v>
      </c>
      <c r="F300" s="6" t="s">
        <v>2370</v>
      </c>
      <c r="G300">
        <v>1</v>
      </c>
      <c r="H300" s="6" t="s">
        <v>2373</v>
      </c>
      <c r="I300" t="s">
        <v>8379</v>
      </c>
      <c r="J300" t="s">
        <v>8375</v>
      </c>
    </row>
    <row r="301" spans="1:10" x14ac:dyDescent="0.35">
      <c r="A301" s="6" t="s">
        <v>2062</v>
      </c>
      <c r="B301">
        <v>23.85</v>
      </c>
      <c r="C301">
        <v>7.84</v>
      </c>
      <c r="D301" s="6" t="s">
        <v>2370</v>
      </c>
      <c r="E301" s="6" t="s">
        <v>2370</v>
      </c>
      <c r="F301" s="6" t="s">
        <v>2370</v>
      </c>
      <c r="G301">
        <v>0</v>
      </c>
      <c r="H301" s="6" t="s">
        <v>2373</v>
      </c>
      <c r="I301" t="s">
        <v>8379</v>
      </c>
      <c r="J301" t="s">
        <v>8375</v>
      </c>
    </row>
    <row r="302" spans="1:10" x14ac:dyDescent="0.35">
      <c r="A302" s="6" t="s">
        <v>2061</v>
      </c>
      <c r="B302">
        <v>40.020000000000003</v>
      </c>
      <c r="C302">
        <v>5.19</v>
      </c>
      <c r="D302" s="6" t="s">
        <v>2373</v>
      </c>
      <c r="E302" s="6" t="s">
        <v>2370</v>
      </c>
      <c r="F302" s="6" t="s">
        <v>2370</v>
      </c>
      <c r="G302">
        <v>1</v>
      </c>
      <c r="H302" s="6" t="s">
        <v>2373</v>
      </c>
      <c r="I302" t="s">
        <v>8374</v>
      </c>
      <c r="J302" t="s">
        <v>8377</v>
      </c>
    </row>
    <row r="303" spans="1:10" x14ac:dyDescent="0.35">
      <c r="A303" s="6" t="s">
        <v>2060</v>
      </c>
      <c r="B303">
        <v>19.170000000000002</v>
      </c>
      <c r="C303">
        <v>8.41</v>
      </c>
      <c r="D303" s="6" t="s">
        <v>2370</v>
      </c>
      <c r="E303" s="6" t="s">
        <v>2370</v>
      </c>
      <c r="F303" s="6" t="s">
        <v>2370</v>
      </c>
      <c r="G303">
        <v>0</v>
      </c>
      <c r="H303" s="6" t="s">
        <v>2373</v>
      </c>
      <c r="I303" t="s">
        <v>8379</v>
      </c>
      <c r="J303" t="s">
        <v>8375</v>
      </c>
    </row>
    <row r="304" spans="1:10" x14ac:dyDescent="0.35">
      <c r="A304" s="6" t="s">
        <v>2059</v>
      </c>
      <c r="B304">
        <v>43.53</v>
      </c>
      <c r="C304">
        <v>5.86</v>
      </c>
      <c r="D304" s="6" t="s">
        <v>2373</v>
      </c>
      <c r="E304" s="6" t="s">
        <v>2372</v>
      </c>
      <c r="F304" s="6" t="s">
        <v>2370</v>
      </c>
      <c r="G304">
        <v>2</v>
      </c>
      <c r="H304" s="6" t="s">
        <v>2373</v>
      </c>
      <c r="I304" t="s">
        <v>8374</v>
      </c>
      <c r="J304" t="s">
        <v>8376</v>
      </c>
    </row>
    <row r="305" spans="1:10" x14ac:dyDescent="0.35">
      <c r="A305" s="6" t="s">
        <v>2058</v>
      </c>
      <c r="B305">
        <v>46.06</v>
      </c>
      <c r="C305">
        <v>4.18</v>
      </c>
      <c r="D305" s="6" t="s">
        <v>2370</v>
      </c>
      <c r="E305" s="6" t="s">
        <v>2372</v>
      </c>
      <c r="F305" s="6" t="s">
        <v>2370</v>
      </c>
      <c r="G305">
        <v>1</v>
      </c>
      <c r="H305" s="6" t="s">
        <v>2373</v>
      </c>
      <c r="I305" t="s">
        <v>8374</v>
      </c>
      <c r="J305" t="s">
        <v>8377</v>
      </c>
    </row>
    <row r="306" spans="1:10" x14ac:dyDescent="0.35">
      <c r="A306" s="6" t="s">
        <v>2057</v>
      </c>
      <c r="B306">
        <v>29.92</v>
      </c>
      <c r="C306">
        <v>11.99</v>
      </c>
      <c r="D306" s="6" t="s">
        <v>2373</v>
      </c>
      <c r="E306" s="6" t="s">
        <v>2370</v>
      </c>
      <c r="F306" s="6" t="s">
        <v>2370</v>
      </c>
      <c r="G306">
        <v>2</v>
      </c>
      <c r="H306" s="6" t="s">
        <v>2373</v>
      </c>
      <c r="I306" t="s">
        <v>8378</v>
      </c>
      <c r="J306" t="s">
        <v>8375</v>
      </c>
    </row>
    <row r="307" spans="1:10" x14ac:dyDescent="0.35">
      <c r="A307" s="6" t="s">
        <v>2056</v>
      </c>
      <c r="B307">
        <v>28.46</v>
      </c>
      <c r="C307">
        <v>4.8499999999999996</v>
      </c>
      <c r="D307" s="6" t="s">
        <v>2373</v>
      </c>
      <c r="E307" s="6" t="s">
        <v>2370</v>
      </c>
      <c r="F307" s="6" t="s">
        <v>2370</v>
      </c>
      <c r="G307">
        <v>1</v>
      </c>
      <c r="H307" s="6" t="s">
        <v>2373</v>
      </c>
      <c r="I307" t="s">
        <v>8378</v>
      </c>
      <c r="J307" t="s">
        <v>8377</v>
      </c>
    </row>
    <row r="308" spans="1:10" x14ac:dyDescent="0.35">
      <c r="A308" s="6" t="s">
        <v>2055</v>
      </c>
      <c r="B308">
        <v>24.56</v>
      </c>
      <c r="C308">
        <v>6.18</v>
      </c>
      <c r="D308" s="6" t="s">
        <v>2373</v>
      </c>
      <c r="E308" s="6" t="s">
        <v>2370</v>
      </c>
      <c r="F308" s="6" t="s">
        <v>2373</v>
      </c>
      <c r="G308">
        <v>1</v>
      </c>
      <c r="H308" s="6" t="s">
        <v>2373</v>
      </c>
      <c r="I308" t="s">
        <v>8379</v>
      </c>
      <c r="J308" t="s">
        <v>8376</v>
      </c>
    </row>
    <row r="309" spans="1:10" x14ac:dyDescent="0.35">
      <c r="A309" s="6" t="s">
        <v>2054</v>
      </c>
      <c r="B309">
        <v>41.19</v>
      </c>
      <c r="C309">
        <v>6.37</v>
      </c>
      <c r="D309" s="6" t="s">
        <v>2370</v>
      </c>
      <c r="E309" s="6" t="s">
        <v>2370</v>
      </c>
      <c r="F309" s="6" t="s">
        <v>2370</v>
      </c>
      <c r="G309">
        <v>0</v>
      </c>
      <c r="H309" s="6" t="s">
        <v>2373</v>
      </c>
      <c r="I309" t="s">
        <v>8374</v>
      </c>
      <c r="J309" t="s">
        <v>8376</v>
      </c>
    </row>
    <row r="310" spans="1:10" x14ac:dyDescent="0.35">
      <c r="A310" s="6" t="s">
        <v>2053</v>
      </c>
      <c r="B310">
        <v>18.63</v>
      </c>
      <c r="C310">
        <v>9.81</v>
      </c>
      <c r="D310" s="6" t="s">
        <v>2373</v>
      </c>
      <c r="E310" s="6" t="s">
        <v>2370</v>
      </c>
      <c r="F310" s="6" t="s">
        <v>2370</v>
      </c>
      <c r="G310">
        <v>2</v>
      </c>
      <c r="H310" s="6" t="s">
        <v>2373</v>
      </c>
      <c r="I310" t="s">
        <v>8379</v>
      </c>
      <c r="J310" t="s">
        <v>8375</v>
      </c>
    </row>
    <row r="311" spans="1:10" x14ac:dyDescent="0.35">
      <c r="A311" s="6" t="s">
        <v>2052</v>
      </c>
      <c r="B311">
        <v>26.26</v>
      </c>
      <c r="C311">
        <v>11.8</v>
      </c>
      <c r="D311" s="6" t="s">
        <v>2373</v>
      </c>
      <c r="E311" s="6" t="s">
        <v>2370</v>
      </c>
      <c r="F311" s="6" t="s">
        <v>2370</v>
      </c>
      <c r="G311">
        <v>1</v>
      </c>
      <c r="H311" s="6" t="s">
        <v>2373</v>
      </c>
      <c r="I311" t="s">
        <v>8378</v>
      </c>
      <c r="J311" t="s">
        <v>8375</v>
      </c>
    </row>
    <row r="312" spans="1:10" x14ac:dyDescent="0.35">
      <c r="A312" s="6" t="s">
        <v>2051</v>
      </c>
      <c r="B312">
        <v>22.37</v>
      </c>
      <c r="C312">
        <v>5.86</v>
      </c>
      <c r="D312" s="6" t="s">
        <v>2373</v>
      </c>
      <c r="E312" s="6" t="s">
        <v>2370</v>
      </c>
      <c r="F312" s="6" t="s">
        <v>2373</v>
      </c>
      <c r="G312">
        <v>1</v>
      </c>
      <c r="H312" s="6" t="s">
        <v>2373</v>
      </c>
      <c r="I312" t="s">
        <v>8379</v>
      </c>
      <c r="J312" t="s">
        <v>8376</v>
      </c>
    </row>
    <row r="313" spans="1:10" x14ac:dyDescent="0.35">
      <c r="A313" s="6" t="s">
        <v>2050</v>
      </c>
      <c r="B313">
        <v>39.619999999999997</v>
      </c>
      <c r="C313">
        <v>4.28</v>
      </c>
      <c r="D313" s="6" t="s">
        <v>2370</v>
      </c>
      <c r="E313" s="6" t="s">
        <v>2370</v>
      </c>
      <c r="F313" s="6" t="s">
        <v>2370</v>
      </c>
      <c r="G313">
        <v>1</v>
      </c>
      <c r="H313" s="6" t="s">
        <v>2373</v>
      </c>
      <c r="I313" t="s">
        <v>8374</v>
      </c>
      <c r="J313" t="s">
        <v>8377</v>
      </c>
    </row>
    <row r="314" spans="1:10" x14ac:dyDescent="0.35">
      <c r="A314" s="6" t="s">
        <v>2049</v>
      </c>
      <c r="B314">
        <v>18.329999999999998</v>
      </c>
      <c r="C314">
        <v>4.16</v>
      </c>
      <c r="D314" s="6" t="s">
        <v>2373</v>
      </c>
      <c r="E314" s="6" t="s">
        <v>2370</v>
      </c>
      <c r="F314" s="6" t="s">
        <v>2370</v>
      </c>
      <c r="G314">
        <v>0</v>
      </c>
      <c r="H314" s="6" t="s">
        <v>2373</v>
      </c>
      <c r="I314" t="s">
        <v>8380</v>
      </c>
      <c r="J314" t="s">
        <v>8377</v>
      </c>
    </row>
    <row r="315" spans="1:10" x14ac:dyDescent="0.35">
      <c r="A315" s="6" t="s">
        <v>2048</v>
      </c>
      <c r="B315">
        <v>17.11</v>
      </c>
      <c r="C315">
        <v>4.9800000000000004</v>
      </c>
      <c r="D315" s="6" t="s">
        <v>2373</v>
      </c>
      <c r="E315" s="6" t="s">
        <v>2370</v>
      </c>
      <c r="F315" s="6" t="s">
        <v>2373</v>
      </c>
      <c r="G315">
        <v>1</v>
      </c>
      <c r="H315" s="6" t="s">
        <v>2373</v>
      </c>
      <c r="I315" t="s">
        <v>8380</v>
      </c>
      <c r="J315" t="s">
        <v>8377</v>
      </c>
    </row>
    <row r="316" spans="1:10" x14ac:dyDescent="0.35">
      <c r="A316" s="6" t="s">
        <v>2047</v>
      </c>
      <c r="B316">
        <v>43.5</v>
      </c>
      <c r="C316">
        <v>6.38</v>
      </c>
      <c r="D316" s="6" t="s">
        <v>2370</v>
      </c>
      <c r="E316" s="6" t="s">
        <v>2372</v>
      </c>
      <c r="F316" s="6" t="s">
        <v>2370</v>
      </c>
      <c r="G316">
        <v>1</v>
      </c>
      <c r="H316" s="6" t="s">
        <v>2373</v>
      </c>
      <c r="I316" t="s">
        <v>8374</v>
      </c>
      <c r="J316" t="s">
        <v>8376</v>
      </c>
    </row>
    <row r="317" spans="1:10" x14ac:dyDescent="0.35">
      <c r="A317" s="6" t="s">
        <v>2046</v>
      </c>
      <c r="B317">
        <v>25.364999999999998</v>
      </c>
      <c r="C317">
        <v>5.19</v>
      </c>
      <c r="D317" s="6" t="s">
        <v>2370</v>
      </c>
      <c r="E317" s="6" t="s">
        <v>2370</v>
      </c>
      <c r="F317" s="6" t="s">
        <v>2370</v>
      </c>
      <c r="G317">
        <v>2</v>
      </c>
      <c r="H317" s="6" t="s">
        <v>2370</v>
      </c>
      <c r="I317" t="s">
        <v>8378</v>
      </c>
      <c r="J317" t="s">
        <v>8377</v>
      </c>
    </row>
    <row r="318" spans="1:10" x14ac:dyDescent="0.35">
      <c r="A318" s="6" t="s">
        <v>2045</v>
      </c>
      <c r="B318">
        <v>28.594999999999999</v>
      </c>
      <c r="C318">
        <v>10.210000000000001</v>
      </c>
      <c r="D318" s="6" t="s">
        <v>2370</v>
      </c>
      <c r="E318" s="6" t="s">
        <v>2370</v>
      </c>
      <c r="F318" s="6" t="s">
        <v>2370</v>
      </c>
      <c r="G318">
        <v>0</v>
      </c>
      <c r="H318" s="6" t="s">
        <v>2370</v>
      </c>
      <c r="I318" t="s">
        <v>8378</v>
      </c>
      <c r="J318" t="s">
        <v>8375</v>
      </c>
    </row>
    <row r="319" spans="1:10" x14ac:dyDescent="0.35">
      <c r="A319" s="6" t="s">
        <v>2044</v>
      </c>
      <c r="B319">
        <v>29.83</v>
      </c>
      <c r="C319">
        <v>9.6999999999999993</v>
      </c>
      <c r="D319" s="6" t="s">
        <v>2373</v>
      </c>
      <c r="E319" s="6" t="s">
        <v>2370</v>
      </c>
      <c r="F319" s="6" t="s">
        <v>2373</v>
      </c>
      <c r="G319">
        <v>1</v>
      </c>
      <c r="H319" s="6" t="s">
        <v>2373</v>
      </c>
      <c r="I319" t="s">
        <v>8378</v>
      </c>
      <c r="J319" t="s">
        <v>8375</v>
      </c>
    </row>
    <row r="320" spans="1:10" x14ac:dyDescent="0.35">
      <c r="A320" s="6" t="s">
        <v>2043</v>
      </c>
      <c r="B320">
        <v>24.7</v>
      </c>
      <c r="C320">
        <v>10.25</v>
      </c>
      <c r="D320" s="6" t="s">
        <v>2370</v>
      </c>
      <c r="E320" s="6" t="s">
        <v>2370</v>
      </c>
      <c r="F320" s="6" t="s">
        <v>2370</v>
      </c>
      <c r="G320">
        <v>3</v>
      </c>
      <c r="H320" s="6" t="s">
        <v>2370</v>
      </c>
      <c r="I320" t="s">
        <v>8379</v>
      </c>
      <c r="J320" t="s">
        <v>8375</v>
      </c>
    </row>
    <row r="321" spans="1:10" x14ac:dyDescent="0.35">
      <c r="A321" s="6" t="s">
        <v>2042</v>
      </c>
      <c r="B321">
        <v>17.940000000000001</v>
      </c>
      <c r="C321">
        <v>9.77</v>
      </c>
      <c r="D321" s="6" t="s">
        <v>2370</v>
      </c>
      <c r="E321" s="6" t="s">
        <v>2370</v>
      </c>
      <c r="F321" s="6" t="s">
        <v>2370</v>
      </c>
      <c r="G321">
        <v>0</v>
      </c>
      <c r="H321" s="6" t="s">
        <v>2373</v>
      </c>
      <c r="I321" t="s">
        <v>8380</v>
      </c>
      <c r="J321" t="s">
        <v>8375</v>
      </c>
    </row>
    <row r="322" spans="1:10" x14ac:dyDescent="0.35">
      <c r="A322" s="6" t="s">
        <v>2041</v>
      </c>
      <c r="B322">
        <v>21.08</v>
      </c>
      <c r="C322">
        <v>4.83</v>
      </c>
      <c r="D322" s="6" t="s">
        <v>2370</v>
      </c>
      <c r="E322" s="6" t="s">
        <v>2370</v>
      </c>
      <c r="F322" s="6" t="s">
        <v>2373</v>
      </c>
      <c r="G322">
        <v>1</v>
      </c>
      <c r="H322" s="6" t="s">
        <v>2373</v>
      </c>
      <c r="I322" t="s">
        <v>8379</v>
      </c>
      <c r="J322" t="s">
        <v>8377</v>
      </c>
    </row>
    <row r="323" spans="1:10" x14ac:dyDescent="0.35">
      <c r="A323" s="6" t="s">
        <v>2040</v>
      </c>
      <c r="B323">
        <v>37.715000000000003</v>
      </c>
      <c r="C323">
        <v>10.86</v>
      </c>
      <c r="D323" s="6" t="s">
        <v>2373</v>
      </c>
      <c r="E323" s="6" t="s">
        <v>2370</v>
      </c>
      <c r="F323" s="6" t="s">
        <v>2370</v>
      </c>
      <c r="G323">
        <v>0</v>
      </c>
      <c r="H323" s="6" t="s">
        <v>2370</v>
      </c>
      <c r="I323" t="s">
        <v>8374</v>
      </c>
      <c r="J323" t="s">
        <v>8375</v>
      </c>
    </row>
    <row r="324" spans="1:10" x14ac:dyDescent="0.35">
      <c r="A324" s="6" t="s">
        <v>2039</v>
      </c>
      <c r="B324">
        <v>22.39</v>
      </c>
      <c r="C324">
        <v>9.5299999999999994</v>
      </c>
      <c r="D324" s="6" t="s">
        <v>2373</v>
      </c>
      <c r="E324" s="6" t="s">
        <v>2370</v>
      </c>
      <c r="F324" s="6" t="s">
        <v>2370</v>
      </c>
      <c r="G324">
        <v>0</v>
      </c>
      <c r="H324" s="6" t="s">
        <v>2373</v>
      </c>
      <c r="I324" t="s">
        <v>8379</v>
      </c>
      <c r="J324" t="s">
        <v>8375</v>
      </c>
    </row>
    <row r="325" spans="1:10" x14ac:dyDescent="0.35">
      <c r="A325" s="6" t="s">
        <v>2038</v>
      </c>
      <c r="B325">
        <v>28.78</v>
      </c>
      <c r="C325">
        <v>5.68</v>
      </c>
      <c r="D325" s="6" t="s">
        <v>2370</v>
      </c>
      <c r="E325" s="6" t="s">
        <v>2370</v>
      </c>
      <c r="F325" s="6" t="s">
        <v>2370</v>
      </c>
      <c r="G325">
        <v>0</v>
      </c>
      <c r="H325" s="6" t="s">
        <v>2373</v>
      </c>
      <c r="I325" t="s">
        <v>8378</v>
      </c>
      <c r="J325" t="s">
        <v>8377</v>
      </c>
    </row>
    <row r="326" spans="1:10" x14ac:dyDescent="0.35">
      <c r="A326" s="6" t="s">
        <v>2037</v>
      </c>
      <c r="B326">
        <v>18.329999999999998</v>
      </c>
      <c r="C326">
        <v>5.57</v>
      </c>
      <c r="D326" s="6" t="s">
        <v>2373</v>
      </c>
      <c r="E326" s="6" t="s">
        <v>2370</v>
      </c>
      <c r="F326" s="6" t="s">
        <v>2370</v>
      </c>
      <c r="G326">
        <v>0</v>
      </c>
      <c r="H326" s="6" t="s">
        <v>2373</v>
      </c>
      <c r="I326" t="s">
        <v>8380</v>
      </c>
      <c r="J326" t="s">
        <v>8377</v>
      </c>
    </row>
    <row r="327" spans="1:10" x14ac:dyDescent="0.35">
      <c r="A327" s="6" t="s">
        <v>2036</v>
      </c>
      <c r="B327">
        <v>26.39</v>
      </c>
      <c r="C327">
        <v>4.58</v>
      </c>
      <c r="D327" s="6" t="s">
        <v>2373</v>
      </c>
      <c r="E327" s="6" t="s">
        <v>2370</v>
      </c>
      <c r="F327" s="6" t="s">
        <v>2370</v>
      </c>
      <c r="G327">
        <v>1</v>
      </c>
      <c r="H327" s="6" t="s">
        <v>2373</v>
      </c>
      <c r="I327" t="s">
        <v>8378</v>
      </c>
      <c r="J327" t="s">
        <v>8377</v>
      </c>
    </row>
    <row r="328" spans="1:10" x14ac:dyDescent="0.35">
      <c r="A328" s="6" t="s">
        <v>2035</v>
      </c>
      <c r="B328">
        <v>19.260000000000002</v>
      </c>
      <c r="C328">
        <v>8.9600000000000009</v>
      </c>
      <c r="D328" s="6" t="s">
        <v>2373</v>
      </c>
      <c r="E328" s="6" t="s">
        <v>2370</v>
      </c>
      <c r="F328" s="6" t="s">
        <v>2370</v>
      </c>
      <c r="G328">
        <v>1</v>
      </c>
      <c r="H328" s="6" t="s">
        <v>2373</v>
      </c>
      <c r="I328" t="s">
        <v>8379</v>
      </c>
      <c r="J328" t="s">
        <v>8375</v>
      </c>
    </row>
    <row r="329" spans="1:10" x14ac:dyDescent="0.35">
      <c r="A329" s="6" t="s">
        <v>2034</v>
      </c>
      <c r="B329">
        <v>26.92</v>
      </c>
      <c r="C329">
        <v>6.09</v>
      </c>
      <c r="D329" s="6" t="s">
        <v>2370</v>
      </c>
      <c r="E329" s="6" t="s">
        <v>2370</v>
      </c>
      <c r="F329" s="6" t="s">
        <v>2370</v>
      </c>
      <c r="G329">
        <v>0</v>
      </c>
      <c r="H329" s="6" t="s">
        <v>2373</v>
      </c>
      <c r="I329" t="s">
        <v>8378</v>
      </c>
      <c r="J329" t="s">
        <v>8376</v>
      </c>
    </row>
    <row r="330" spans="1:10" x14ac:dyDescent="0.35">
      <c r="A330" s="6" t="s">
        <v>2033</v>
      </c>
      <c r="B330">
        <v>19.73</v>
      </c>
      <c r="C330">
        <v>4.3600000000000003</v>
      </c>
      <c r="D330" s="6" t="s">
        <v>2370</v>
      </c>
      <c r="E330" s="6" t="s">
        <v>2370</v>
      </c>
      <c r="F330" s="6" t="s">
        <v>2370</v>
      </c>
      <c r="G330">
        <v>0</v>
      </c>
      <c r="H330" s="6" t="s">
        <v>2373</v>
      </c>
      <c r="I330" t="s">
        <v>8379</v>
      </c>
      <c r="J330" t="s">
        <v>8377</v>
      </c>
    </row>
    <row r="331" spans="1:10" x14ac:dyDescent="0.35">
      <c r="A331" s="6" t="s">
        <v>2032</v>
      </c>
      <c r="B331">
        <v>23.56</v>
      </c>
      <c r="C331">
        <v>11.74</v>
      </c>
      <c r="D331" s="6" t="s">
        <v>2373</v>
      </c>
      <c r="E331" s="6" t="s">
        <v>2370</v>
      </c>
      <c r="F331" s="6" t="s">
        <v>2370</v>
      </c>
      <c r="G331">
        <v>0</v>
      </c>
      <c r="H331" s="6" t="s">
        <v>2373</v>
      </c>
      <c r="I331" t="s">
        <v>8379</v>
      </c>
      <c r="J331" t="s">
        <v>8375</v>
      </c>
    </row>
    <row r="332" spans="1:10" x14ac:dyDescent="0.35">
      <c r="A332" s="6" t="s">
        <v>2031</v>
      </c>
      <c r="B332">
        <v>37.67</v>
      </c>
      <c r="C332">
        <v>5.89</v>
      </c>
      <c r="D332" s="6" t="s">
        <v>2370</v>
      </c>
      <c r="E332" s="6" t="s">
        <v>2370</v>
      </c>
      <c r="F332" s="6" t="s">
        <v>2370</v>
      </c>
      <c r="G332">
        <v>1</v>
      </c>
      <c r="H332" s="6" t="s">
        <v>2373</v>
      </c>
      <c r="I332" t="s">
        <v>8374</v>
      </c>
      <c r="J332" t="s">
        <v>8376</v>
      </c>
    </row>
    <row r="333" spans="1:10" x14ac:dyDescent="0.35">
      <c r="A333" s="6" t="s">
        <v>2030</v>
      </c>
      <c r="B333">
        <v>18.73</v>
      </c>
      <c r="C333">
        <v>10.64</v>
      </c>
      <c r="D333" s="6" t="s">
        <v>2370</v>
      </c>
      <c r="E333" s="6" t="s">
        <v>2370</v>
      </c>
      <c r="F333" s="6" t="s">
        <v>2370</v>
      </c>
      <c r="G333">
        <v>2</v>
      </c>
      <c r="H333" s="6" t="s">
        <v>2373</v>
      </c>
      <c r="I333" t="s">
        <v>8379</v>
      </c>
      <c r="J333" t="s">
        <v>8375</v>
      </c>
    </row>
    <row r="334" spans="1:10" x14ac:dyDescent="0.35">
      <c r="A334" s="6" t="s">
        <v>2029</v>
      </c>
      <c r="B334">
        <v>33.090000000000003</v>
      </c>
      <c r="C334">
        <v>6.06</v>
      </c>
      <c r="D334" s="6" t="s">
        <v>2370</v>
      </c>
      <c r="E334" s="6" t="s">
        <v>2370</v>
      </c>
      <c r="F334" s="6" t="s">
        <v>2373</v>
      </c>
      <c r="G334">
        <v>1</v>
      </c>
      <c r="H334" s="6" t="s">
        <v>2373</v>
      </c>
      <c r="I334" t="s">
        <v>8374</v>
      </c>
      <c r="J334" t="s">
        <v>8376</v>
      </c>
    </row>
    <row r="335" spans="1:10" x14ac:dyDescent="0.35">
      <c r="A335" s="6" t="s">
        <v>2028</v>
      </c>
      <c r="B335">
        <v>18.329999999999998</v>
      </c>
      <c r="C335">
        <v>7.46</v>
      </c>
      <c r="D335" s="6" t="s">
        <v>2373</v>
      </c>
      <c r="E335" s="6" t="s">
        <v>2370</v>
      </c>
      <c r="F335" s="6" t="s">
        <v>2370</v>
      </c>
      <c r="G335">
        <v>1</v>
      </c>
      <c r="H335" s="6" t="s">
        <v>2373</v>
      </c>
      <c r="I335" t="s">
        <v>8380</v>
      </c>
      <c r="J335" t="s">
        <v>8375</v>
      </c>
    </row>
    <row r="336" spans="1:10" x14ac:dyDescent="0.35">
      <c r="A336" s="6" t="s">
        <v>2027</v>
      </c>
      <c r="B336">
        <v>27.74</v>
      </c>
      <c r="C336">
        <v>4.68</v>
      </c>
      <c r="D336" s="6" t="s">
        <v>2373</v>
      </c>
      <c r="E336" s="6" t="s">
        <v>2370</v>
      </c>
      <c r="F336" s="6" t="s">
        <v>2370</v>
      </c>
      <c r="G336">
        <v>2</v>
      </c>
      <c r="H336" s="6" t="s">
        <v>2373</v>
      </c>
      <c r="I336" t="s">
        <v>8378</v>
      </c>
      <c r="J336" t="s">
        <v>8377</v>
      </c>
    </row>
    <row r="337" spans="1:10" x14ac:dyDescent="0.35">
      <c r="A337" s="6" t="s">
        <v>2026</v>
      </c>
      <c r="B337">
        <v>24.2</v>
      </c>
      <c r="C337">
        <v>6.15</v>
      </c>
      <c r="D337" s="6" t="s">
        <v>2370</v>
      </c>
      <c r="E337" s="6" t="s">
        <v>2370</v>
      </c>
      <c r="F337" s="6" t="s">
        <v>2370</v>
      </c>
      <c r="G337">
        <v>1</v>
      </c>
      <c r="H337" s="6" t="s">
        <v>2373</v>
      </c>
      <c r="I337" t="s">
        <v>8379</v>
      </c>
      <c r="J337" t="s">
        <v>8376</v>
      </c>
    </row>
    <row r="338" spans="1:10" x14ac:dyDescent="0.35">
      <c r="A338" s="6" t="s">
        <v>2025</v>
      </c>
      <c r="B338">
        <v>22.03</v>
      </c>
      <c r="C338">
        <v>4.28</v>
      </c>
      <c r="D338" s="6" t="s">
        <v>2373</v>
      </c>
      <c r="E338" s="6" t="s">
        <v>2370</v>
      </c>
      <c r="F338" s="6" t="s">
        <v>2370</v>
      </c>
      <c r="G338">
        <v>0</v>
      </c>
      <c r="H338" s="6" t="s">
        <v>2373</v>
      </c>
      <c r="I338" t="s">
        <v>8379</v>
      </c>
      <c r="J338" t="s">
        <v>8377</v>
      </c>
    </row>
    <row r="339" spans="1:10" x14ac:dyDescent="0.35">
      <c r="A339" s="6" t="s">
        <v>2024</v>
      </c>
      <c r="B339">
        <v>26.885000000000002</v>
      </c>
      <c r="C339">
        <v>9.86</v>
      </c>
      <c r="D339" s="6" t="s">
        <v>2370</v>
      </c>
      <c r="E339" s="6" t="s">
        <v>2370</v>
      </c>
      <c r="F339" s="6" t="s">
        <v>2370</v>
      </c>
      <c r="G339">
        <v>3</v>
      </c>
      <c r="H339" s="6" t="s">
        <v>2373</v>
      </c>
      <c r="I339" t="s">
        <v>8378</v>
      </c>
      <c r="J339" t="s">
        <v>8375</v>
      </c>
    </row>
    <row r="340" spans="1:10" x14ac:dyDescent="0.35">
      <c r="A340" s="6" t="s">
        <v>2023</v>
      </c>
      <c r="B340">
        <v>16.36</v>
      </c>
      <c r="C340">
        <v>11.19</v>
      </c>
      <c r="D340" s="6" t="s">
        <v>2370</v>
      </c>
      <c r="E340" s="6" t="s">
        <v>2370</v>
      </c>
      <c r="F340" s="6" t="s">
        <v>2370</v>
      </c>
      <c r="G340">
        <v>0</v>
      </c>
      <c r="H340" s="6" t="s">
        <v>2373</v>
      </c>
      <c r="I340" t="s">
        <v>8380</v>
      </c>
      <c r="J340" t="s">
        <v>8375</v>
      </c>
    </row>
    <row r="341" spans="1:10" x14ac:dyDescent="0.35">
      <c r="A341" s="6" t="s">
        <v>2022</v>
      </c>
      <c r="B341">
        <v>32.299999999999997</v>
      </c>
      <c r="C341">
        <v>4.8899999999999997</v>
      </c>
      <c r="D341" s="6" t="s">
        <v>2373</v>
      </c>
      <c r="E341" s="6" t="s">
        <v>2370</v>
      </c>
      <c r="F341" s="6" t="s">
        <v>2373</v>
      </c>
      <c r="G341">
        <v>1</v>
      </c>
      <c r="H341" s="6" t="s">
        <v>2370</v>
      </c>
      <c r="I341" t="s">
        <v>8374</v>
      </c>
      <c r="J341" t="s">
        <v>8377</v>
      </c>
    </row>
    <row r="342" spans="1:10" x14ac:dyDescent="0.35">
      <c r="A342" s="6" t="s">
        <v>2021</v>
      </c>
      <c r="B342">
        <v>16.05</v>
      </c>
      <c r="C342">
        <v>4.3499999999999996</v>
      </c>
      <c r="D342" s="6" t="s">
        <v>2373</v>
      </c>
      <c r="E342" s="6" t="s">
        <v>2370</v>
      </c>
      <c r="F342" s="6" t="s">
        <v>2370</v>
      </c>
      <c r="G342">
        <v>0</v>
      </c>
      <c r="H342" s="6" t="s">
        <v>2373</v>
      </c>
      <c r="I342" t="s">
        <v>8380</v>
      </c>
      <c r="J342" t="s">
        <v>8377</v>
      </c>
    </row>
    <row r="343" spans="1:10" x14ac:dyDescent="0.35">
      <c r="A343" s="6" t="s">
        <v>2020</v>
      </c>
      <c r="B343">
        <v>29.07</v>
      </c>
      <c r="C343">
        <v>8.66</v>
      </c>
      <c r="D343" s="6" t="s">
        <v>2373</v>
      </c>
      <c r="E343" s="6" t="s">
        <v>2370</v>
      </c>
      <c r="F343" s="6" t="s">
        <v>2370</v>
      </c>
      <c r="G343">
        <v>2</v>
      </c>
      <c r="H343" s="6" t="s">
        <v>2373</v>
      </c>
      <c r="I343" t="s">
        <v>8378</v>
      </c>
      <c r="J343" t="s">
        <v>8375</v>
      </c>
    </row>
    <row r="344" spans="1:10" x14ac:dyDescent="0.35">
      <c r="A344" s="6" t="s">
        <v>2019</v>
      </c>
      <c r="B344">
        <v>17.43</v>
      </c>
      <c r="C344">
        <v>8.64</v>
      </c>
      <c r="D344" s="6" t="s">
        <v>2370</v>
      </c>
      <c r="E344" s="6" t="s">
        <v>2370</v>
      </c>
      <c r="F344" s="6" t="s">
        <v>2370</v>
      </c>
      <c r="G344">
        <v>0</v>
      </c>
      <c r="H344" s="6" t="s">
        <v>2373</v>
      </c>
      <c r="I344" t="s">
        <v>8380</v>
      </c>
      <c r="J344" t="s">
        <v>8375</v>
      </c>
    </row>
    <row r="345" spans="1:10" x14ac:dyDescent="0.35">
      <c r="A345" s="6" t="s">
        <v>2018</v>
      </c>
      <c r="B345">
        <v>19.329999999999998</v>
      </c>
      <c r="C345">
        <v>4.2699999999999996</v>
      </c>
      <c r="D345" s="6" t="s">
        <v>2370</v>
      </c>
      <c r="E345" s="6" t="s">
        <v>2370</v>
      </c>
      <c r="F345" s="6" t="s">
        <v>2370</v>
      </c>
      <c r="G345">
        <v>0</v>
      </c>
      <c r="H345" s="6" t="s">
        <v>2373</v>
      </c>
      <c r="I345" t="s">
        <v>8379</v>
      </c>
      <c r="J345" t="s">
        <v>8377</v>
      </c>
    </row>
    <row r="346" spans="1:10" x14ac:dyDescent="0.35">
      <c r="A346" s="6" t="s">
        <v>2017</v>
      </c>
      <c r="B346">
        <v>30.52</v>
      </c>
      <c r="C346">
        <v>4.21</v>
      </c>
      <c r="D346" s="6" t="s">
        <v>2370</v>
      </c>
      <c r="E346" s="6" t="s">
        <v>2370</v>
      </c>
      <c r="F346" s="6" t="s">
        <v>2370</v>
      </c>
      <c r="G346">
        <v>1</v>
      </c>
      <c r="H346" s="6" t="s">
        <v>2373</v>
      </c>
      <c r="I346" t="s">
        <v>8374</v>
      </c>
      <c r="J346" t="s">
        <v>8377</v>
      </c>
    </row>
    <row r="347" spans="1:10" x14ac:dyDescent="0.35">
      <c r="A347" s="6" t="s">
        <v>2016</v>
      </c>
      <c r="B347">
        <v>39.21</v>
      </c>
      <c r="C347">
        <v>5.04</v>
      </c>
      <c r="D347" s="6" t="s">
        <v>2370</v>
      </c>
      <c r="E347" s="6" t="s">
        <v>2370</v>
      </c>
      <c r="F347" s="6" t="s">
        <v>2373</v>
      </c>
      <c r="G347">
        <v>1</v>
      </c>
      <c r="H347" s="6" t="s">
        <v>2373</v>
      </c>
      <c r="I347" t="s">
        <v>8374</v>
      </c>
      <c r="J347" t="s">
        <v>8377</v>
      </c>
    </row>
    <row r="348" spans="1:10" x14ac:dyDescent="0.35">
      <c r="A348" s="6" t="s">
        <v>2015</v>
      </c>
      <c r="B348">
        <v>26.98</v>
      </c>
      <c r="C348">
        <v>5.21</v>
      </c>
      <c r="D348" s="6" t="s">
        <v>2373</v>
      </c>
      <c r="E348" s="6" t="s">
        <v>2370</v>
      </c>
      <c r="F348" s="6" t="s">
        <v>2370</v>
      </c>
      <c r="G348">
        <v>2</v>
      </c>
      <c r="H348" s="6" t="s">
        <v>2373</v>
      </c>
      <c r="I348" t="s">
        <v>8378</v>
      </c>
      <c r="J348" t="s">
        <v>8377</v>
      </c>
    </row>
    <row r="349" spans="1:10" x14ac:dyDescent="0.35">
      <c r="A349" s="6" t="s">
        <v>2014</v>
      </c>
      <c r="B349">
        <v>25.84</v>
      </c>
      <c r="C349">
        <v>8.83</v>
      </c>
      <c r="D349" s="6" t="s">
        <v>2370</v>
      </c>
      <c r="E349" s="6" t="s">
        <v>2370</v>
      </c>
      <c r="F349" s="6" t="s">
        <v>2370</v>
      </c>
      <c r="G349">
        <v>0</v>
      </c>
      <c r="H349" s="6" t="s">
        <v>2370</v>
      </c>
      <c r="I349" t="s">
        <v>8378</v>
      </c>
      <c r="J349" t="s">
        <v>8375</v>
      </c>
    </row>
    <row r="350" spans="1:10" x14ac:dyDescent="0.35">
      <c r="A350" s="6" t="s">
        <v>2013</v>
      </c>
      <c r="B350">
        <v>28.31</v>
      </c>
      <c r="C350">
        <v>8.4700000000000006</v>
      </c>
      <c r="D350" s="6" t="s">
        <v>2373</v>
      </c>
      <c r="E350" s="6" t="s">
        <v>2370</v>
      </c>
      <c r="F350" s="6" t="s">
        <v>2370</v>
      </c>
      <c r="G350">
        <v>2</v>
      </c>
      <c r="H350" s="6" t="s">
        <v>2373</v>
      </c>
      <c r="I350" t="s">
        <v>8378</v>
      </c>
      <c r="J350" t="s">
        <v>8375</v>
      </c>
    </row>
    <row r="351" spans="1:10" x14ac:dyDescent="0.35">
      <c r="A351" s="6" t="s">
        <v>2012</v>
      </c>
      <c r="B351">
        <v>23.94</v>
      </c>
      <c r="C351">
        <v>4.2</v>
      </c>
      <c r="D351" s="6" t="s">
        <v>2370</v>
      </c>
      <c r="E351" s="6" t="s">
        <v>2370</v>
      </c>
      <c r="F351" s="6" t="s">
        <v>2370</v>
      </c>
      <c r="G351">
        <v>0</v>
      </c>
      <c r="H351" s="6" t="s">
        <v>2373</v>
      </c>
      <c r="I351" t="s">
        <v>8379</v>
      </c>
      <c r="J351" t="s">
        <v>8377</v>
      </c>
    </row>
    <row r="352" spans="1:10" x14ac:dyDescent="0.35">
      <c r="A352" s="6" t="s">
        <v>2011</v>
      </c>
      <c r="B352">
        <v>20.03</v>
      </c>
      <c r="C352">
        <v>6.14</v>
      </c>
      <c r="D352" s="6" t="s">
        <v>2373</v>
      </c>
      <c r="E352" s="6" t="s">
        <v>2370</v>
      </c>
      <c r="F352" s="6" t="s">
        <v>2370</v>
      </c>
      <c r="G352">
        <v>0</v>
      </c>
      <c r="H352" s="6" t="s">
        <v>2373</v>
      </c>
      <c r="I352" t="s">
        <v>8379</v>
      </c>
      <c r="J352" t="s">
        <v>8376</v>
      </c>
    </row>
    <row r="353" spans="1:10" x14ac:dyDescent="0.35">
      <c r="A353" s="6" t="s">
        <v>2010</v>
      </c>
      <c r="B353">
        <v>41.42</v>
      </c>
      <c r="C353">
        <v>6.07</v>
      </c>
      <c r="D353" s="6" t="s">
        <v>2370</v>
      </c>
      <c r="E353" s="6" t="s">
        <v>2370</v>
      </c>
      <c r="F353" s="6" t="s">
        <v>2370</v>
      </c>
      <c r="G353">
        <v>0</v>
      </c>
      <c r="H353" s="6" t="s">
        <v>2370</v>
      </c>
      <c r="I353" t="s">
        <v>8374</v>
      </c>
      <c r="J353" t="s">
        <v>8376</v>
      </c>
    </row>
    <row r="354" spans="1:10" x14ac:dyDescent="0.35">
      <c r="A354" s="6" t="s">
        <v>2009</v>
      </c>
      <c r="B354">
        <v>36.67</v>
      </c>
      <c r="C354">
        <v>10.210000000000001</v>
      </c>
      <c r="D354" s="6" t="s">
        <v>2370</v>
      </c>
      <c r="E354" s="6" t="s">
        <v>2370</v>
      </c>
      <c r="F354" s="6" t="s">
        <v>2370</v>
      </c>
      <c r="G354">
        <v>0</v>
      </c>
      <c r="H354" s="6" t="s">
        <v>2370</v>
      </c>
      <c r="I354" t="s">
        <v>8374</v>
      </c>
      <c r="J354" t="s">
        <v>8375</v>
      </c>
    </row>
    <row r="355" spans="1:10" x14ac:dyDescent="0.35">
      <c r="A355" s="6" t="s">
        <v>2008</v>
      </c>
      <c r="B355">
        <v>27.645</v>
      </c>
      <c r="C355">
        <v>4.6900000000000004</v>
      </c>
      <c r="D355" s="6" t="s">
        <v>2370</v>
      </c>
      <c r="E355" s="6" t="s">
        <v>2370</v>
      </c>
      <c r="F355" s="6" t="s">
        <v>2370</v>
      </c>
      <c r="G355">
        <v>0</v>
      </c>
      <c r="H355" s="6" t="s">
        <v>2370</v>
      </c>
      <c r="I355" t="s">
        <v>8378</v>
      </c>
      <c r="J355" t="s">
        <v>8377</v>
      </c>
    </row>
    <row r="356" spans="1:10" x14ac:dyDescent="0.35">
      <c r="A356" s="6" t="s">
        <v>2007</v>
      </c>
      <c r="B356">
        <v>22.72</v>
      </c>
      <c r="C356">
        <v>5.71</v>
      </c>
      <c r="D356" s="6" t="s">
        <v>2370</v>
      </c>
      <c r="E356" s="6" t="s">
        <v>2370</v>
      </c>
      <c r="F356" s="6" t="s">
        <v>2370</v>
      </c>
      <c r="G356">
        <v>0</v>
      </c>
      <c r="H356" s="6" t="s">
        <v>2373</v>
      </c>
      <c r="I356" t="s">
        <v>8379</v>
      </c>
      <c r="J356" t="s">
        <v>8376</v>
      </c>
    </row>
    <row r="357" spans="1:10" x14ac:dyDescent="0.35">
      <c r="A357" s="6" t="s">
        <v>2006</v>
      </c>
      <c r="B357">
        <v>36.520000000000003</v>
      </c>
      <c r="C357">
        <v>9.07</v>
      </c>
      <c r="D357" s="6" t="s">
        <v>2373</v>
      </c>
      <c r="E357" s="6" t="s">
        <v>2370</v>
      </c>
      <c r="F357" s="6" t="s">
        <v>2373</v>
      </c>
      <c r="G357">
        <v>1</v>
      </c>
      <c r="H357" s="6" t="s">
        <v>2370</v>
      </c>
      <c r="I357" t="s">
        <v>8374</v>
      </c>
      <c r="J357" t="s">
        <v>8375</v>
      </c>
    </row>
    <row r="358" spans="1:10" x14ac:dyDescent="0.35">
      <c r="A358" s="6" t="s">
        <v>2005</v>
      </c>
      <c r="B358">
        <v>33.96</v>
      </c>
      <c r="C358">
        <v>4.99</v>
      </c>
      <c r="D358" s="6" t="s">
        <v>2370</v>
      </c>
      <c r="E358" s="6" t="s">
        <v>2370</v>
      </c>
      <c r="F358" s="6" t="s">
        <v>2370</v>
      </c>
      <c r="G358">
        <v>0</v>
      </c>
      <c r="H358" s="6" t="s">
        <v>2373</v>
      </c>
      <c r="I358" t="s">
        <v>8374</v>
      </c>
      <c r="J358" t="s">
        <v>8377</v>
      </c>
    </row>
    <row r="359" spans="1:10" x14ac:dyDescent="0.35">
      <c r="A359" s="6" t="s">
        <v>2004</v>
      </c>
      <c r="B359">
        <v>26.695</v>
      </c>
      <c r="C359">
        <v>8.31</v>
      </c>
      <c r="D359" s="6" t="s">
        <v>2370</v>
      </c>
      <c r="E359" s="6" t="s">
        <v>2370</v>
      </c>
      <c r="F359" s="6" t="s">
        <v>2370</v>
      </c>
      <c r="G359">
        <v>0</v>
      </c>
      <c r="H359" s="6" t="s">
        <v>2373</v>
      </c>
      <c r="I359" t="s">
        <v>8378</v>
      </c>
      <c r="J359" t="s">
        <v>8375</v>
      </c>
    </row>
    <row r="360" spans="1:10" x14ac:dyDescent="0.35">
      <c r="A360" s="6" t="s">
        <v>2003</v>
      </c>
      <c r="B360">
        <v>18.45</v>
      </c>
      <c r="C360">
        <v>5.07</v>
      </c>
      <c r="D360" s="6" t="s">
        <v>2373</v>
      </c>
      <c r="E360" s="6" t="s">
        <v>2370</v>
      </c>
      <c r="F360" s="6" t="s">
        <v>2370</v>
      </c>
      <c r="G360">
        <v>0</v>
      </c>
      <c r="H360" s="6" t="s">
        <v>2373</v>
      </c>
      <c r="I360" t="s">
        <v>8380</v>
      </c>
      <c r="J360" t="s">
        <v>8377</v>
      </c>
    </row>
    <row r="361" spans="1:10" x14ac:dyDescent="0.35">
      <c r="A361" s="6" t="s">
        <v>2002</v>
      </c>
      <c r="B361">
        <v>33.18</v>
      </c>
      <c r="C361">
        <v>4.79</v>
      </c>
      <c r="D361" s="6" t="s">
        <v>2370</v>
      </c>
      <c r="E361" s="6" t="s">
        <v>2370</v>
      </c>
      <c r="F361" s="6" t="s">
        <v>2370</v>
      </c>
      <c r="G361">
        <v>0</v>
      </c>
      <c r="H361" s="6" t="s">
        <v>2373</v>
      </c>
      <c r="I361" t="s">
        <v>8374</v>
      </c>
      <c r="J361" t="s">
        <v>8377</v>
      </c>
    </row>
    <row r="362" spans="1:10" x14ac:dyDescent="0.35">
      <c r="A362" s="6" t="s">
        <v>2001</v>
      </c>
      <c r="B362">
        <v>36.1</v>
      </c>
      <c r="C362">
        <v>11.39</v>
      </c>
      <c r="D362" s="6" t="s">
        <v>2373</v>
      </c>
      <c r="E362" s="6" t="s">
        <v>2370</v>
      </c>
      <c r="F362" s="6" t="s">
        <v>2370</v>
      </c>
      <c r="G362">
        <v>2</v>
      </c>
      <c r="H362" s="6" t="s">
        <v>2370</v>
      </c>
      <c r="I362" t="s">
        <v>8374</v>
      </c>
      <c r="J362" t="s">
        <v>8375</v>
      </c>
    </row>
    <row r="363" spans="1:10" x14ac:dyDescent="0.35">
      <c r="A363" s="6" t="s">
        <v>2000</v>
      </c>
      <c r="B363">
        <v>22.77</v>
      </c>
      <c r="C363">
        <v>6</v>
      </c>
      <c r="D363" s="6" t="s">
        <v>2370</v>
      </c>
      <c r="E363" s="6" t="s">
        <v>2370</v>
      </c>
      <c r="F363" s="6" t="s">
        <v>2370</v>
      </c>
      <c r="G363">
        <v>0</v>
      </c>
      <c r="H363" s="6" t="s">
        <v>2373</v>
      </c>
      <c r="I363" t="s">
        <v>8379</v>
      </c>
      <c r="J363" t="s">
        <v>8376</v>
      </c>
    </row>
    <row r="364" spans="1:10" x14ac:dyDescent="0.35">
      <c r="A364" s="6" t="s">
        <v>1999</v>
      </c>
      <c r="B364">
        <v>21.24</v>
      </c>
      <c r="C364">
        <v>5.13</v>
      </c>
      <c r="D364" s="6" t="s">
        <v>2370</v>
      </c>
      <c r="E364" s="6" t="s">
        <v>2370</v>
      </c>
      <c r="F364" s="6" t="s">
        <v>2370</v>
      </c>
      <c r="G364">
        <v>0</v>
      </c>
      <c r="H364" s="6" t="s">
        <v>2373</v>
      </c>
      <c r="I364" t="s">
        <v>8379</v>
      </c>
      <c r="J364" t="s">
        <v>8377</v>
      </c>
    </row>
    <row r="365" spans="1:10" x14ac:dyDescent="0.35">
      <c r="A365" s="6" t="s">
        <v>1998</v>
      </c>
      <c r="B365">
        <v>17.600000000000001</v>
      </c>
      <c r="C365">
        <v>5.26</v>
      </c>
      <c r="D365" s="6" t="s">
        <v>2373</v>
      </c>
      <c r="E365" s="6" t="s">
        <v>2370</v>
      </c>
      <c r="F365" s="6" t="s">
        <v>2370</v>
      </c>
      <c r="G365">
        <v>0</v>
      </c>
      <c r="H365" s="6" t="s">
        <v>2373</v>
      </c>
      <c r="I365" t="s">
        <v>8380</v>
      </c>
      <c r="J365" t="s">
        <v>8377</v>
      </c>
    </row>
    <row r="366" spans="1:10" x14ac:dyDescent="0.35">
      <c r="A366" s="6" t="s">
        <v>1997</v>
      </c>
      <c r="B366">
        <v>26.29</v>
      </c>
      <c r="C366">
        <v>6.84</v>
      </c>
      <c r="D366" s="6" t="s">
        <v>2370</v>
      </c>
      <c r="E366" s="6" t="s">
        <v>2370</v>
      </c>
      <c r="F366" s="6" t="s">
        <v>2370</v>
      </c>
      <c r="G366">
        <v>0</v>
      </c>
      <c r="H366" s="6" t="s">
        <v>2373</v>
      </c>
      <c r="I366" t="s">
        <v>8378</v>
      </c>
      <c r="J366" t="s">
        <v>8375</v>
      </c>
    </row>
    <row r="367" spans="1:10" x14ac:dyDescent="0.35">
      <c r="A367" s="6" t="s">
        <v>1996</v>
      </c>
      <c r="B367">
        <v>35.31</v>
      </c>
      <c r="C367">
        <v>9.0399999999999991</v>
      </c>
      <c r="D367" s="6" t="s">
        <v>2370</v>
      </c>
      <c r="E367" s="6" t="s">
        <v>2370</v>
      </c>
      <c r="F367" s="6" t="s">
        <v>2370</v>
      </c>
      <c r="G367">
        <v>0</v>
      </c>
      <c r="H367" s="6" t="s">
        <v>2370</v>
      </c>
      <c r="I367" t="s">
        <v>8374</v>
      </c>
      <c r="J367" t="s">
        <v>8375</v>
      </c>
    </row>
    <row r="368" spans="1:10" x14ac:dyDescent="0.35">
      <c r="A368" s="6" t="s">
        <v>1995</v>
      </c>
      <c r="B368">
        <v>27.04</v>
      </c>
      <c r="C368">
        <v>4.0999999999999996</v>
      </c>
      <c r="D368" s="6" t="s">
        <v>2370</v>
      </c>
      <c r="E368" s="6" t="s">
        <v>2370</v>
      </c>
      <c r="F368" s="6" t="s">
        <v>2370</v>
      </c>
      <c r="G368">
        <v>1</v>
      </c>
      <c r="H368" s="6" t="s">
        <v>2373</v>
      </c>
      <c r="I368" t="s">
        <v>8378</v>
      </c>
      <c r="J368" t="s">
        <v>8377</v>
      </c>
    </row>
    <row r="369" spans="1:10" x14ac:dyDescent="0.35">
      <c r="A369" s="6" t="s">
        <v>1994</v>
      </c>
      <c r="B369">
        <v>30.23</v>
      </c>
      <c r="C369">
        <v>4.2300000000000004</v>
      </c>
      <c r="D369" s="6" t="s">
        <v>2373</v>
      </c>
      <c r="E369" s="6" t="s">
        <v>2370</v>
      </c>
      <c r="F369" s="6" t="s">
        <v>2373</v>
      </c>
      <c r="G369">
        <v>1</v>
      </c>
      <c r="H369" s="6" t="s">
        <v>2373</v>
      </c>
      <c r="I369" t="s">
        <v>8374</v>
      </c>
      <c r="J369" t="s">
        <v>8377</v>
      </c>
    </row>
    <row r="370" spans="1:10" x14ac:dyDescent="0.35">
      <c r="A370" s="6" t="s">
        <v>1993</v>
      </c>
      <c r="B370">
        <v>30.6</v>
      </c>
      <c r="C370">
        <v>6.48</v>
      </c>
      <c r="D370" s="6" t="s">
        <v>2373</v>
      </c>
      <c r="E370" s="6" t="s">
        <v>2370</v>
      </c>
      <c r="F370" s="6" t="s">
        <v>2373</v>
      </c>
      <c r="G370">
        <v>1</v>
      </c>
      <c r="H370" s="6" t="s">
        <v>2373</v>
      </c>
      <c r="I370" t="s">
        <v>8374</v>
      </c>
      <c r="J370" t="s">
        <v>8376</v>
      </c>
    </row>
    <row r="371" spans="1:10" x14ac:dyDescent="0.35">
      <c r="A371" s="6" t="s">
        <v>1992</v>
      </c>
      <c r="B371">
        <v>26.8</v>
      </c>
      <c r="C371">
        <v>5.53</v>
      </c>
      <c r="D371" s="6" t="s">
        <v>2370</v>
      </c>
      <c r="E371" s="6" t="s">
        <v>2370</v>
      </c>
      <c r="F371" s="6" t="s">
        <v>2370</v>
      </c>
      <c r="G371">
        <v>1</v>
      </c>
      <c r="H371" s="6" t="s">
        <v>2373</v>
      </c>
      <c r="I371" t="s">
        <v>8378</v>
      </c>
      <c r="J371" t="s">
        <v>8377</v>
      </c>
    </row>
    <row r="372" spans="1:10" x14ac:dyDescent="0.35">
      <c r="A372" s="6" t="s">
        <v>1991</v>
      </c>
      <c r="B372">
        <v>16.86</v>
      </c>
      <c r="C372">
        <v>4.07</v>
      </c>
      <c r="D372" s="6" t="s">
        <v>2373</v>
      </c>
      <c r="E372" s="6" t="s">
        <v>2370</v>
      </c>
      <c r="F372" s="6" t="s">
        <v>2370</v>
      </c>
      <c r="G372">
        <v>0</v>
      </c>
      <c r="H372" s="6" t="s">
        <v>2373</v>
      </c>
      <c r="I372" t="s">
        <v>8380</v>
      </c>
      <c r="J372" t="s">
        <v>8377</v>
      </c>
    </row>
    <row r="373" spans="1:10" x14ac:dyDescent="0.35">
      <c r="A373" s="6" t="s">
        <v>1990</v>
      </c>
      <c r="B373">
        <v>16.3</v>
      </c>
      <c r="C373">
        <v>5.51</v>
      </c>
      <c r="D373" s="6" t="s">
        <v>2370</v>
      </c>
      <c r="E373" s="6" t="s">
        <v>2370</v>
      </c>
      <c r="F373" s="6" t="s">
        <v>2370</v>
      </c>
      <c r="G373">
        <v>1</v>
      </c>
      <c r="H373" s="6" t="s">
        <v>2373</v>
      </c>
      <c r="I373" t="s">
        <v>8380</v>
      </c>
      <c r="J373" t="s">
        <v>8377</v>
      </c>
    </row>
    <row r="374" spans="1:10" x14ac:dyDescent="0.35">
      <c r="A374" s="6" t="s">
        <v>1989</v>
      </c>
      <c r="B374">
        <v>29.81</v>
      </c>
      <c r="C374">
        <v>11.66</v>
      </c>
      <c r="D374" s="6" t="s">
        <v>2370</v>
      </c>
      <c r="E374" s="6" t="s">
        <v>2370</v>
      </c>
      <c r="F374" s="6" t="s">
        <v>2370</v>
      </c>
      <c r="G374">
        <v>0</v>
      </c>
      <c r="H374" s="6" t="s">
        <v>2373</v>
      </c>
      <c r="I374" t="s">
        <v>8378</v>
      </c>
      <c r="J374" t="s">
        <v>8375</v>
      </c>
    </row>
    <row r="375" spans="1:10" x14ac:dyDescent="0.35">
      <c r="A375" s="6" t="s">
        <v>1988</v>
      </c>
      <c r="B375">
        <v>16.329999999999998</v>
      </c>
      <c r="C375">
        <v>7.26</v>
      </c>
      <c r="D375" s="6" t="s">
        <v>2373</v>
      </c>
      <c r="E375" s="6" t="s">
        <v>2370</v>
      </c>
      <c r="F375" s="6" t="s">
        <v>2370</v>
      </c>
      <c r="G375">
        <v>0</v>
      </c>
      <c r="H375" s="6" t="s">
        <v>2373</v>
      </c>
      <c r="I375" t="s">
        <v>8380</v>
      </c>
      <c r="J375" t="s">
        <v>8375</v>
      </c>
    </row>
    <row r="376" spans="1:10" x14ac:dyDescent="0.35">
      <c r="A376" s="6" t="s">
        <v>1987</v>
      </c>
      <c r="B376">
        <v>16.37</v>
      </c>
      <c r="C376">
        <v>4.79</v>
      </c>
      <c r="D376" s="6" t="s">
        <v>2373</v>
      </c>
      <c r="E376" s="6" t="s">
        <v>2370</v>
      </c>
      <c r="F376" s="6" t="s">
        <v>2370</v>
      </c>
      <c r="G376">
        <v>0</v>
      </c>
      <c r="H376" s="6" t="s">
        <v>2373</v>
      </c>
      <c r="I376" t="s">
        <v>8380</v>
      </c>
      <c r="J376" t="s">
        <v>8377</v>
      </c>
    </row>
    <row r="377" spans="1:10" x14ac:dyDescent="0.35">
      <c r="A377" s="6" t="s">
        <v>1986</v>
      </c>
      <c r="B377">
        <v>22.42</v>
      </c>
      <c r="C377">
        <v>4.68</v>
      </c>
      <c r="D377" s="6" t="s">
        <v>2373</v>
      </c>
      <c r="E377" s="6" t="s">
        <v>2370</v>
      </c>
      <c r="F377" s="6" t="s">
        <v>2370</v>
      </c>
      <c r="G377">
        <v>1</v>
      </c>
      <c r="H377" s="6" t="s">
        <v>2370</v>
      </c>
      <c r="I377" t="s">
        <v>8379</v>
      </c>
      <c r="J377" t="s">
        <v>8377</v>
      </c>
    </row>
    <row r="378" spans="1:10" x14ac:dyDescent="0.35">
      <c r="A378" s="6" t="s">
        <v>1985</v>
      </c>
      <c r="B378">
        <v>31.35</v>
      </c>
      <c r="C378">
        <v>4.33</v>
      </c>
      <c r="D378" s="6" t="s">
        <v>2373</v>
      </c>
      <c r="E378" s="6" t="s">
        <v>2370</v>
      </c>
      <c r="F378" s="6" t="s">
        <v>2373</v>
      </c>
      <c r="G378">
        <v>1</v>
      </c>
      <c r="H378" s="6" t="s">
        <v>2370</v>
      </c>
      <c r="I378" t="s">
        <v>8374</v>
      </c>
      <c r="J378" t="s">
        <v>8377</v>
      </c>
    </row>
    <row r="379" spans="1:10" x14ac:dyDescent="0.35">
      <c r="A379" s="6" t="s">
        <v>1984</v>
      </c>
      <c r="B379">
        <v>31.9</v>
      </c>
      <c r="C379">
        <v>11.89</v>
      </c>
      <c r="D379" s="6" t="s">
        <v>2370</v>
      </c>
      <c r="E379" s="6" t="s">
        <v>2370</v>
      </c>
      <c r="F379" s="6" t="s">
        <v>2370</v>
      </c>
      <c r="G379">
        <v>0</v>
      </c>
      <c r="H379" s="6" t="s">
        <v>2370</v>
      </c>
      <c r="I379" t="s">
        <v>8374</v>
      </c>
      <c r="J379" t="s">
        <v>8375</v>
      </c>
    </row>
    <row r="380" spans="1:10" x14ac:dyDescent="0.35">
      <c r="A380" s="6" t="s">
        <v>1983</v>
      </c>
      <c r="B380">
        <v>30.6</v>
      </c>
      <c r="C380">
        <v>5.24</v>
      </c>
      <c r="D380" s="6" t="s">
        <v>2370</v>
      </c>
      <c r="E380" s="6" t="s">
        <v>2370</v>
      </c>
      <c r="F380" s="6" t="s">
        <v>2370</v>
      </c>
      <c r="G380">
        <v>0</v>
      </c>
      <c r="H380" s="6" t="s">
        <v>2373</v>
      </c>
      <c r="I380" t="s">
        <v>8374</v>
      </c>
      <c r="J380" t="s">
        <v>8377</v>
      </c>
    </row>
    <row r="381" spans="1:10" x14ac:dyDescent="0.35">
      <c r="A381" s="6" t="s">
        <v>1982</v>
      </c>
      <c r="B381">
        <v>28.975000000000001</v>
      </c>
      <c r="C381">
        <v>7.63</v>
      </c>
      <c r="D381" s="6" t="s">
        <v>2370</v>
      </c>
      <c r="E381" s="6" t="s">
        <v>2370</v>
      </c>
      <c r="F381" s="6" t="s">
        <v>2370</v>
      </c>
      <c r="G381">
        <v>0</v>
      </c>
      <c r="H381" s="6" t="s">
        <v>2373</v>
      </c>
      <c r="I381" t="s">
        <v>8378</v>
      </c>
      <c r="J381" t="s">
        <v>8375</v>
      </c>
    </row>
    <row r="382" spans="1:10" x14ac:dyDescent="0.35">
      <c r="A382" s="6" t="s">
        <v>1981</v>
      </c>
      <c r="B382">
        <v>24.86</v>
      </c>
      <c r="C382">
        <v>8.92</v>
      </c>
      <c r="D382" s="6" t="s">
        <v>2373</v>
      </c>
      <c r="E382" s="6" t="s">
        <v>2370</v>
      </c>
      <c r="F382" s="6" t="s">
        <v>2370</v>
      </c>
      <c r="G382">
        <v>2</v>
      </c>
      <c r="H382" s="6" t="s">
        <v>2370</v>
      </c>
      <c r="I382" t="s">
        <v>8379</v>
      </c>
      <c r="J382" t="s">
        <v>8375</v>
      </c>
    </row>
    <row r="383" spans="1:10" x14ac:dyDescent="0.35">
      <c r="A383" s="6" t="s">
        <v>1980</v>
      </c>
      <c r="B383">
        <v>19.54</v>
      </c>
      <c r="C383">
        <v>5.37</v>
      </c>
      <c r="D383" s="6" t="s">
        <v>2370</v>
      </c>
      <c r="E383" s="6" t="s">
        <v>2370</v>
      </c>
      <c r="F383" s="6" t="s">
        <v>2370</v>
      </c>
      <c r="G383">
        <v>0</v>
      </c>
      <c r="H383" s="6" t="s">
        <v>2373</v>
      </c>
      <c r="I383" t="s">
        <v>8379</v>
      </c>
      <c r="J383" t="s">
        <v>8377</v>
      </c>
    </row>
    <row r="384" spans="1:10" x14ac:dyDescent="0.35">
      <c r="A384" s="6" t="s">
        <v>1979</v>
      </c>
      <c r="B384">
        <v>26.74</v>
      </c>
      <c r="C384">
        <v>4.3099999999999996</v>
      </c>
      <c r="D384" s="6" t="s">
        <v>2370</v>
      </c>
      <c r="E384" s="6" t="s">
        <v>2370</v>
      </c>
      <c r="F384" s="6" t="s">
        <v>2370</v>
      </c>
      <c r="G384">
        <v>0</v>
      </c>
      <c r="H384" s="6" t="s">
        <v>2373</v>
      </c>
      <c r="I384" t="s">
        <v>8378</v>
      </c>
      <c r="J384" t="s">
        <v>8377</v>
      </c>
    </row>
    <row r="385" spans="1:10" x14ac:dyDescent="0.35">
      <c r="A385" s="6" t="s">
        <v>1978</v>
      </c>
      <c r="B385">
        <v>22.99</v>
      </c>
      <c r="C385">
        <v>10.46</v>
      </c>
      <c r="D385" s="6" t="s">
        <v>2370</v>
      </c>
      <c r="E385" s="6" t="s">
        <v>2370</v>
      </c>
      <c r="F385" s="6" t="s">
        <v>2370</v>
      </c>
      <c r="G385">
        <v>3</v>
      </c>
      <c r="H385" s="6" t="s">
        <v>2373</v>
      </c>
      <c r="I385" t="s">
        <v>8379</v>
      </c>
      <c r="J385" t="s">
        <v>8375</v>
      </c>
    </row>
    <row r="386" spans="1:10" x14ac:dyDescent="0.35">
      <c r="A386" s="6" t="s">
        <v>1977</v>
      </c>
      <c r="B386">
        <v>31.46</v>
      </c>
      <c r="C386">
        <v>7.39</v>
      </c>
      <c r="D386" s="6" t="s">
        <v>2370</v>
      </c>
      <c r="E386" s="6" t="s">
        <v>2370</v>
      </c>
      <c r="F386" s="6" t="s">
        <v>2370</v>
      </c>
      <c r="G386">
        <v>0</v>
      </c>
      <c r="H386" s="6" t="s">
        <v>2370</v>
      </c>
      <c r="I386" t="s">
        <v>8374</v>
      </c>
      <c r="J386" t="s">
        <v>8375</v>
      </c>
    </row>
    <row r="387" spans="1:10" x14ac:dyDescent="0.35">
      <c r="A387" s="6" t="s">
        <v>1976</v>
      </c>
      <c r="B387">
        <v>30.86</v>
      </c>
      <c r="C387">
        <v>6.18</v>
      </c>
      <c r="D387" s="6" t="s">
        <v>2370</v>
      </c>
      <c r="E387" s="6" t="s">
        <v>2372</v>
      </c>
      <c r="F387" s="6" t="s">
        <v>2370</v>
      </c>
      <c r="G387">
        <v>2</v>
      </c>
      <c r="H387" s="6" t="s">
        <v>2373</v>
      </c>
      <c r="I387" t="s">
        <v>8374</v>
      </c>
      <c r="J387" t="s">
        <v>8376</v>
      </c>
    </row>
    <row r="388" spans="1:10" x14ac:dyDescent="0.35">
      <c r="A388" s="6" t="s">
        <v>1975</v>
      </c>
      <c r="B388">
        <v>31.96</v>
      </c>
      <c r="C388">
        <v>8.86</v>
      </c>
      <c r="D388" s="6" t="s">
        <v>2370</v>
      </c>
      <c r="E388" s="6" t="s">
        <v>2370</v>
      </c>
      <c r="F388" s="6" t="s">
        <v>2370</v>
      </c>
      <c r="G388">
        <v>0</v>
      </c>
      <c r="H388" s="6" t="s">
        <v>2373</v>
      </c>
      <c r="I388" t="s">
        <v>8374</v>
      </c>
      <c r="J388" t="s">
        <v>8375</v>
      </c>
    </row>
    <row r="389" spans="1:10" x14ac:dyDescent="0.35">
      <c r="A389" s="6" t="s">
        <v>1974</v>
      </c>
      <c r="B389">
        <v>23.76</v>
      </c>
      <c r="C389">
        <v>10.96</v>
      </c>
      <c r="D389" s="6" t="s">
        <v>2370</v>
      </c>
      <c r="E389" s="6" t="s">
        <v>2370</v>
      </c>
      <c r="F389" s="6" t="s">
        <v>2370</v>
      </c>
      <c r="G389">
        <v>3</v>
      </c>
      <c r="H389" s="6" t="s">
        <v>2373</v>
      </c>
      <c r="I389" t="s">
        <v>8379</v>
      </c>
      <c r="J389" t="s">
        <v>8375</v>
      </c>
    </row>
    <row r="390" spans="1:10" x14ac:dyDescent="0.35">
      <c r="A390" s="6" t="s">
        <v>1973</v>
      </c>
      <c r="B390">
        <v>19.38</v>
      </c>
      <c r="C390">
        <v>6.28</v>
      </c>
      <c r="D390" s="6" t="s">
        <v>2370</v>
      </c>
      <c r="E390" s="6" t="s">
        <v>2370</v>
      </c>
      <c r="F390" s="6" t="s">
        <v>2370</v>
      </c>
      <c r="G390">
        <v>0</v>
      </c>
      <c r="H390" s="6" t="s">
        <v>2373</v>
      </c>
      <c r="I390" t="s">
        <v>8379</v>
      </c>
      <c r="J390" t="s">
        <v>8376</v>
      </c>
    </row>
    <row r="391" spans="1:10" x14ac:dyDescent="0.35">
      <c r="A391" s="6" t="s">
        <v>1972</v>
      </c>
      <c r="B391">
        <v>16.21</v>
      </c>
      <c r="C391">
        <v>6.29</v>
      </c>
      <c r="D391" s="6" t="s">
        <v>2373</v>
      </c>
      <c r="E391" s="6" t="s">
        <v>2370</v>
      </c>
      <c r="F391" s="6" t="s">
        <v>2370</v>
      </c>
      <c r="G391">
        <v>1</v>
      </c>
      <c r="H391" s="6" t="s">
        <v>2373</v>
      </c>
      <c r="I391" t="s">
        <v>8380</v>
      </c>
      <c r="J391" t="s">
        <v>8376</v>
      </c>
    </row>
    <row r="392" spans="1:10" x14ac:dyDescent="0.35">
      <c r="A392" s="6" t="s">
        <v>1971</v>
      </c>
      <c r="B392">
        <v>32.54</v>
      </c>
      <c r="C392">
        <v>4.0199999999999996</v>
      </c>
      <c r="D392" s="6" t="s">
        <v>2370</v>
      </c>
      <c r="E392" s="6" t="s">
        <v>2372</v>
      </c>
      <c r="F392" s="6" t="s">
        <v>2370</v>
      </c>
      <c r="G392">
        <v>1</v>
      </c>
      <c r="H392" s="6" t="s">
        <v>2373</v>
      </c>
      <c r="I392" t="s">
        <v>8374</v>
      </c>
      <c r="J392" t="s">
        <v>8377</v>
      </c>
    </row>
    <row r="393" spans="1:10" x14ac:dyDescent="0.35">
      <c r="A393" s="6" t="s">
        <v>1970</v>
      </c>
      <c r="B393">
        <v>36.765000000000001</v>
      </c>
      <c r="C393">
        <v>11.95</v>
      </c>
      <c r="D393" s="6" t="s">
        <v>2373</v>
      </c>
      <c r="E393" s="6" t="s">
        <v>2370</v>
      </c>
      <c r="F393" s="6" t="s">
        <v>2370</v>
      </c>
      <c r="G393">
        <v>2</v>
      </c>
      <c r="H393" s="6" t="s">
        <v>2370</v>
      </c>
      <c r="I393" t="s">
        <v>8374</v>
      </c>
      <c r="J393" t="s">
        <v>8375</v>
      </c>
    </row>
    <row r="394" spans="1:10" x14ac:dyDescent="0.35">
      <c r="A394" s="6" t="s">
        <v>1969</v>
      </c>
      <c r="B394">
        <v>35.909999999999997</v>
      </c>
      <c r="C394">
        <v>8.7100000000000009</v>
      </c>
      <c r="D394" s="6" t="s">
        <v>2370</v>
      </c>
      <c r="E394" s="6" t="s">
        <v>2370</v>
      </c>
      <c r="F394" s="6" t="s">
        <v>2370</v>
      </c>
      <c r="G394">
        <v>0</v>
      </c>
      <c r="H394" s="6" t="s">
        <v>2370</v>
      </c>
      <c r="I394" t="s">
        <v>8374</v>
      </c>
      <c r="J394" t="s">
        <v>8375</v>
      </c>
    </row>
    <row r="395" spans="1:10" x14ac:dyDescent="0.35">
      <c r="A395" s="6" t="s">
        <v>1968</v>
      </c>
      <c r="B395">
        <v>32.06</v>
      </c>
      <c r="C395">
        <v>4.67</v>
      </c>
      <c r="D395" s="6" t="s">
        <v>2370</v>
      </c>
      <c r="E395" s="6" t="s">
        <v>2372</v>
      </c>
      <c r="F395" s="6" t="s">
        <v>2370</v>
      </c>
      <c r="G395">
        <v>1</v>
      </c>
      <c r="H395" s="6" t="s">
        <v>2373</v>
      </c>
      <c r="I395" t="s">
        <v>8374</v>
      </c>
      <c r="J395" t="s">
        <v>8377</v>
      </c>
    </row>
    <row r="396" spans="1:10" x14ac:dyDescent="0.35">
      <c r="A396" s="6" t="s">
        <v>1967</v>
      </c>
      <c r="B396">
        <v>24.1</v>
      </c>
      <c r="C396">
        <v>11.14</v>
      </c>
      <c r="D396" s="6" t="s">
        <v>2373</v>
      </c>
      <c r="E396" s="6" t="s">
        <v>2370</v>
      </c>
      <c r="F396" s="6" t="s">
        <v>2370</v>
      </c>
      <c r="G396">
        <v>1</v>
      </c>
      <c r="H396" s="6" t="s">
        <v>2370</v>
      </c>
      <c r="I396" t="s">
        <v>8379</v>
      </c>
      <c r="J396" t="s">
        <v>8375</v>
      </c>
    </row>
    <row r="397" spans="1:10" x14ac:dyDescent="0.35">
      <c r="A397" s="6" t="s">
        <v>1966</v>
      </c>
      <c r="B397">
        <v>27.1</v>
      </c>
      <c r="C397">
        <v>9.0500000000000007</v>
      </c>
      <c r="D397" s="6" t="s">
        <v>2370</v>
      </c>
      <c r="E397" s="6" t="s">
        <v>2370</v>
      </c>
      <c r="F397" s="6" t="s">
        <v>2370</v>
      </c>
      <c r="G397">
        <v>2</v>
      </c>
      <c r="H397" s="6" t="s">
        <v>2370</v>
      </c>
      <c r="I397" t="s">
        <v>8378</v>
      </c>
      <c r="J397" t="s">
        <v>8375</v>
      </c>
    </row>
    <row r="398" spans="1:10" x14ac:dyDescent="0.35">
      <c r="A398" s="6" t="s">
        <v>1965</v>
      </c>
      <c r="B398">
        <v>24.42</v>
      </c>
      <c r="C398">
        <v>11.31</v>
      </c>
      <c r="D398" s="6" t="s">
        <v>2370</v>
      </c>
      <c r="E398" s="6" t="s">
        <v>2370</v>
      </c>
      <c r="F398" s="6" t="s">
        <v>2370</v>
      </c>
      <c r="G398">
        <v>0</v>
      </c>
      <c r="H398" s="6" t="s">
        <v>2373</v>
      </c>
      <c r="I398" t="s">
        <v>8379</v>
      </c>
      <c r="J398" t="s">
        <v>8375</v>
      </c>
    </row>
    <row r="399" spans="1:10" x14ac:dyDescent="0.35">
      <c r="A399" s="6" t="s">
        <v>1964</v>
      </c>
      <c r="B399">
        <v>26.695</v>
      </c>
      <c r="C399">
        <v>4.68</v>
      </c>
      <c r="D399" s="6" t="s">
        <v>2373</v>
      </c>
      <c r="E399" s="6" t="s">
        <v>2370</v>
      </c>
      <c r="F399" s="6" t="s">
        <v>2370</v>
      </c>
      <c r="G399">
        <v>2</v>
      </c>
      <c r="H399" s="6" t="s">
        <v>2373</v>
      </c>
      <c r="I399" t="s">
        <v>8378</v>
      </c>
      <c r="J399" t="s">
        <v>8377</v>
      </c>
    </row>
    <row r="400" spans="1:10" x14ac:dyDescent="0.35">
      <c r="A400" s="6" t="s">
        <v>1963</v>
      </c>
      <c r="B400">
        <v>27.79</v>
      </c>
      <c r="C400">
        <v>6.05</v>
      </c>
      <c r="D400" s="6" t="s">
        <v>2373</v>
      </c>
      <c r="E400" s="6" t="s">
        <v>2372</v>
      </c>
      <c r="F400" s="6" t="s">
        <v>2370</v>
      </c>
      <c r="G400">
        <v>1</v>
      </c>
      <c r="H400" s="6" t="s">
        <v>2373</v>
      </c>
      <c r="I400" t="s">
        <v>8378</v>
      </c>
      <c r="J400" t="s">
        <v>8376</v>
      </c>
    </row>
    <row r="401" spans="1:10" x14ac:dyDescent="0.35">
      <c r="A401" s="6" t="s">
        <v>1962</v>
      </c>
      <c r="B401">
        <v>32.68</v>
      </c>
      <c r="C401">
        <v>4.68</v>
      </c>
      <c r="D401" s="6" t="s">
        <v>2373</v>
      </c>
      <c r="E401" s="6" t="s">
        <v>2370</v>
      </c>
      <c r="F401" s="6" t="s">
        <v>2370</v>
      </c>
      <c r="G401">
        <v>0</v>
      </c>
      <c r="H401" s="6" t="s">
        <v>2370</v>
      </c>
      <c r="I401" t="s">
        <v>8374</v>
      </c>
      <c r="J401" t="s">
        <v>8377</v>
      </c>
    </row>
    <row r="402" spans="1:10" x14ac:dyDescent="0.35">
      <c r="A402" s="6" t="s">
        <v>1961</v>
      </c>
      <c r="B402">
        <v>26.4</v>
      </c>
      <c r="C402">
        <v>9.5</v>
      </c>
      <c r="D402" s="6" t="s">
        <v>2373</v>
      </c>
      <c r="E402" s="6" t="s">
        <v>2370</v>
      </c>
      <c r="F402" s="6" t="s">
        <v>2370</v>
      </c>
      <c r="G402">
        <v>2</v>
      </c>
      <c r="H402" s="6" t="s">
        <v>2370</v>
      </c>
      <c r="I402" t="s">
        <v>8378</v>
      </c>
      <c r="J402" t="s">
        <v>8375</v>
      </c>
    </row>
    <row r="403" spans="1:10" x14ac:dyDescent="0.35">
      <c r="A403" s="6" t="s">
        <v>1960</v>
      </c>
      <c r="B403">
        <v>23.655000000000001</v>
      </c>
      <c r="C403">
        <v>10.84</v>
      </c>
      <c r="D403" s="6" t="s">
        <v>2373</v>
      </c>
      <c r="E403" s="6" t="s">
        <v>2370</v>
      </c>
      <c r="F403" s="6" t="s">
        <v>2373</v>
      </c>
      <c r="G403">
        <v>1</v>
      </c>
      <c r="H403" s="6" t="s">
        <v>2373</v>
      </c>
      <c r="I403" t="s">
        <v>8379</v>
      </c>
      <c r="J403" t="s">
        <v>8375</v>
      </c>
    </row>
    <row r="404" spans="1:10" x14ac:dyDescent="0.35">
      <c r="A404" s="6" t="s">
        <v>1959</v>
      </c>
      <c r="B404">
        <v>27.36</v>
      </c>
      <c r="C404">
        <v>5.88</v>
      </c>
      <c r="D404" s="6" t="s">
        <v>2370</v>
      </c>
      <c r="E404" s="6" t="s">
        <v>2370</v>
      </c>
      <c r="F404" s="6" t="s">
        <v>2370</v>
      </c>
      <c r="G404">
        <v>2</v>
      </c>
      <c r="H404" s="6" t="s">
        <v>2370</v>
      </c>
      <c r="I404" t="s">
        <v>8378</v>
      </c>
      <c r="J404" t="s">
        <v>8376</v>
      </c>
    </row>
    <row r="405" spans="1:10" x14ac:dyDescent="0.35">
      <c r="A405" s="6" t="s">
        <v>1958</v>
      </c>
      <c r="B405">
        <v>27.82</v>
      </c>
      <c r="C405">
        <v>5.24</v>
      </c>
      <c r="D405" s="6" t="s">
        <v>2373</v>
      </c>
      <c r="E405" s="6" t="s">
        <v>2370</v>
      </c>
      <c r="F405" s="6" t="s">
        <v>2370</v>
      </c>
      <c r="G405">
        <v>0</v>
      </c>
      <c r="H405" s="6" t="s">
        <v>2373</v>
      </c>
      <c r="I405" t="s">
        <v>8378</v>
      </c>
      <c r="J405" t="s">
        <v>8377</v>
      </c>
    </row>
    <row r="406" spans="1:10" x14ac:dyDescent="0.35">
      <c r="A406" s="6" t="s">
        <v>1957</v>
      </c>
      <c r="B406">
        <v>25.46</v>
      </c>
      <c r="C406">
        <v>11.75</v>
      </c>
      <c r="D406" s="6" t="s">
        <v>2370</v>
      </c>
      <c r="E406" s="6" t="s">
        <v>2370</v>
      </c>
      <c r="F406" s="6" t="s">
        <v>2370</v>
      </c>
      <c r="G406">
        <v>0</v>
      </c>
      <c r="H406" s="6" t="s">
        <v>2370</v>
      </c>
      <c r="I406" t="s">
        <v>8378</v>
      </c>
      <c r="J406" t="s">
        <v>8375</v>
      </c>
    </row>
    <row r="407" spans="1:10" x14ac:dyDescent="0.35">
      <c r="A407" s="6" t="s">
        <v>1956</v>
      </c>
      <c r="B407">
        <v>25.1</v>
      </c>
      <c r="C407">
        <v>6.97</v>
      </c>
      <c r="D407" s="6" t="s">
        <v>2370</v>
      </c>
      <c r="E407" s="6" t="s">
        <v>2370</v>
      </c>
      <c r="F407" s="6" t="s">
        <v>2370</v>
      </c>
      <c r="G407">
        <v>0</v>
      </c>
      <c r="H407" s="6" t="s">
        <v>2373</v>
      </c>
      <c r="I407" t="s">
        <v>8378</v>
      </c>
      <c r="J407" t="s">
        <v>8375</v>
      </c>
    </row>
    <row r="408" spans="1:10" x14ac:dyDescent="0.35">
      <c r="A408" s="6" t="s">
        <v>1955</v>
      </c>
      <c r="B408">
        <v>32.11</v>
      </c>
      <c r="C408">
        <v>4.76</v>
      </c>
      <c r="D408" s="6" t="s">
        <v>2370</v>
      </c>
      <c r="E408" s="6" t="s">
        <v>2370</v>
      </c>
      <c r="F408" s="6" t="s">
        <v>2370</v>
      </c>
      <c r="G408">
        <v>2</v>
      </c>
      <c r="H408" s="6" t="s">
        <v>2370</v>
      </c>
      <c r="I408" t="s">
        <v>8374</v>
      </c>
      <c r="J408" t="s">
        <v>8377</v>
      </c>
    </row>
    <row r="409" spans="1:10" x14ac:dyDescent="0.35">
      <c r="A409" s="6" t="s">
        <v>1954</v>
      </c>
      <c r="B409">
        <v>29.8</v>
      </c>
      <c r="C409">
        <v>8.24</v>
      </c>
      <c r="D409" s="6" t="s">
        <v>2373</v>
      </c>
      <c r="E409" s="6" t="s">
        <v>2370</v>
      </c>
      <c r="F409" s="6" t="s">
        <v>2370</v>
      </c>
      <c r="G409">
        <v>1</v>
      </c>
      <c r="H409" s="6" t="s">
        <v>2373</v>
      </c>
      <c r="I409" t="s">
        <v>8378</v>
      </c>
      <c r="J409" t="s">
        <v>8375</v>
      </c>
    </row>
    <row r="410" spans="1:10" x14ac:dyDescent="0.35">
      <c r="A410" s="6" t="s">
        <v>1953</v>
      </c>
      <c r="B410">
        <v>24.01</v>
      </c>
      <c r="C410">
        <v>4.76</v>
      </c>
      <c r="D410" s="6" t="s">
        <v>2370</v>
      </c>
      <c r="E410" s="6" t="s">
        <v>2370</v>
      </c>
      <c r="F410" s="6" t="s">
        <v>2370</v>
      </c>
      <c r="G410">
        <v>1</v>
      </c>
      <c r="H410" s="6" t="s">
        <v>2373</v>
      </c>
      <c r="I410" t="s">
        <v>8379</v>
      </c>
      <c r="J410" t="s">
        <v>8377</v>
      </c>
    </row>
    <row r="411" spans="1:10" x14ac:dyDescent="0.35">
      <c r="A411" s="6" t="s">
        <v>1952</v>
      </c>
      <c r="B411">
        <v>23.21</v>
      </c>
      <c r="C411">
        <v>6.03</v>
      </c>
      <c r="D411" s="6" t="s">
        <v>2370</v>
      </c>
      <c r="E411" s="6" t="s">
        <v>2370</v>
      </c>
      <c r="F411" s="6" t="s">
        <v>2370</v>
      </c>
      <c r="G411">
        <v>1</v>
      </c>
      <c r="H411" s="6" t="s">
        <v>2370</v>
      </c>
      <c r="I411" t="s">
        <v>8379</v>
      </c>
      <c r="J411" t="s">
        <v>8376</v>
      </c>
    </row>
    <row r="412" spans="1:10" x14ac:dyDescent="0.35">
      <c r="A412" s="6" t="s">
        <v>1951</v>
      </c>
      <c r="B412">
        <v>21.2</v>
      </c>
      <c r="C412">
        <v>4.07</v>
      </c>
      <c r="D412" s="6" t="s">
        <v>2373</v>
      </c>
      <c r="E412" s="6" t="s">
        <v>2370</v>
      </c>
      <c r="F412" s="6" t="s">
        <v>2370</v>
      </c>
      <c r="G412">
        <v>1</v>
      </c>
      <c r="H412" s="6" t="s">
        <v>2373</v>
      </c>
      <c r="I412" t="s">
        <v>8379</v>
      </c>
      <c r="J412" t="s">
        <v>8377</v>
      </c>
    </row>
    <row r="413" spans="1:10" x14ac:dyDescent="0.35">
      <c r="A413" s="6" t="s">
        <v>1950</v>
      </c>
      <c r="B413">
        <v>28.215</v>
      </c>
      <c r="C413">
        <v>8.26</v>
      </c>
      <c r="D413" s="6" t="s">
        <v>2373</v>
      </c>
      <c r="E413" s="6" t="s">
        <v>2370</v>
      </c>
      <c r="F413" s="6" t="s">
        <v>2370</v>
      </c>
      <c r="G413">
        <v>1</v>
      </c>
      <c r="H413" s="6" t="s">
        <v>2373</v>
      </c>
      <c r="I413" t="s">
        <v>8378</v>
      </c>
      <c r="J413" t="s">
        <v>8375</v>
      </c>
    </row>
    <row r="414" spans="1:10" x14ac:dyDescent="0.35">
      <c r="A414" s="6" t="s">
        <v>1949</v>
      </c>
      <c r="B414">
        <v>38.094999999999999</v>
      </c>
      <c r="C414">
        <v>4.76</v>
      </c>
      <c r="D414" s="6" t="s">
        <v>2370</v>
      </c>
      <c r="E414" s="6" t="s">
        <v>2370</v>
      </c>
      <c r="F414" s="6" t="s">
        <v>2370</v>
      </c>
      <c r="G414">
        <v>1</v>
      </c>
      <c r="H414" s="6" t="s">
        <v>2370</v>
      </c>
      <c r="I414" t="s">
        <v>8374</v>
      </c>
      <c r="J414" t="s">
        <v>8377</v>
      </c>
    </row>
    <row r="415" spans="1:10" x14ac:dyDescent="0.35">
      <c r="A415" s="6" t="s">
        <v>1948</v>
      </c>
      <c r="B415">
        <v>22.61</v>
      </c>
      <c r="C415">
        <v>6.13</v>
      </c>
      <c r="D415" s="6" t="s">
        <v>2373</v>
      </c>
      <c r="E415" s="6" t="s">
        <v>2370</v>
      </c>
      <c r="F415" s="6" t="s">
        <v>2373</v>
      </c>
      <c r="G415">
        <v>1</v>
      </c>
      <c r="H415" s="6" t="s">
        <v>2373</v>
      </c>
      <c r="I415" t="s">
        <v>8379</v>
      </c>
      <c r="J415" t="s">
        <v>8376</v>
      </c>
    </row>
    <row r="416" spans="1:10" x14ac:dyDescent="0.35">
      <c r="A416" s="6" t="s">
        <v>1947</v>
      </c>
      <c r="B416">
        <v>24.32</v>
      </c>
      <c r="C416">
        <v>10.47</v>
      </c>
      <c r="D416" s="6" t="s">
        <v>2373</v>
      </c>
      <c r="E416" s="6" t="s">
        <v>2370</v>
      </c>
      <c r="F416" s="6" t="s">
        <v>2370</v>
      </c>
      <c r="G416">
        <v>2</v>
      </c>
      <c r="H416" s="6" t="s">
        <v>2373</v>
      </c>
      <c r="I416" t="s">
        <v>8379</v>
      </c>
      <c r="J416" t="s">
        <v>8375</v>
      </c>
    </row>
    <row r="417" spans="1:10" x14ac:dyDescent="0.35">
      <c r="A417" s="6" t="s">
        <v>1946</v>
      </c>
      <c r="B417">
        <v>20.96</v>
      </c>
      <c r="C417">
        <v>4.04</v>
      </c>
      <c r="D417" s="6" t="s">
        <v>2373</v>
      </c>
      <c r="E417" s="6" t="s">
        <v>2370</v>
      </c>
      <c r="F417" s="6" t="s">
        <v>2370</v>
      </c>
      <c r="G417">
        <v>1</v>
      </c>
      <c r="H417" s="6" t="s">
        <v>2373</v>
      </c>
      <c r="I417" t="s">
        <v>8379</v>
      </c>
      <c r="J417" t="s">
        <v>8377</v>
      </c>
    </row>
    <row r="418" spans="1:10" x14ac:dyDescent="0.35">
      <c r="A418" s="6" t="s">
        <v>1945</v>
      </c>
      <c r="B418">
        <v>19.68</v>
      </c>
      <c r="C418">
        <v>5.74</v>
      </c>
      <c r="D418" s="6" t="s">
        <v>2370</v>
      </c>
      <c r="E418" s="6" t="s">
        <v>2370</v>
      </c>
      <c r="F418" s="6" t="s">
        <v>2370</v>
      </c>
      <c r="G418">
        <v>0</v>
      </c>
      <c r="H418" s="6" t="s">
        <v>2373</v>
      </c>
      <c r="I418" t="s">
        <v>8379</v>
      </c>
      <c r="J418" t="s">
        <v>8376</v>
      </c>
    </row>
    <row r="419" spans="1:10" x14ac:dyDescent="0.35">
      <c r="A419" s="6" t="s">
        <v>1944</v>
      </c>
      <c r="B419">
        <v>18.100000000000001</v>
      </c>
      <c r="C419">
        <v>6.33</v>
      </c>
      <c r="D419" s="6" t="s">
        <v>2370</v>
      </c>
      <c r="E419" s="6" t="s">
        <v>2370</v>
      </c>
      <c r="F419" s="6" t="s">
        <v>2370</v>
      </c>
      <c r="G419">
        <v>1</v>
      </c>
      <c r="H419" s="6" t="s">
        <v>2373</v>
      </c>
      <c r="I419" t="s">
        <v>8380</v>
      </c>
      <c r="J419" t="s">
        <v>8376</v>
      </c>
    </row>
    <row r="420" spans="1:10" x14ac:dyDescent="0.35">
      <c r="A420" s="6" t="s">
        <v>1943</v>
      </c>
      <c r="B420">
        <v>29.64</v>
      </c>
      <c r="C420">
        <v>4.28</v>
      </c>
      <c r="D420" s="6" t="s">
        <v>2373</v>
      </c>
      <c r="E420" s="6" t="s">
        <v>2370</v>
      </c>
      <c r="F420" s="6" t="s">
        <v>2370</v>
      </c>
      <c r="G420">
        <v>0</v>
      </c>
      <c r="H420" s="6" t="s">
        <v>2370</v>
      </c>
      <c r="I420" t="s">
        <v>8378</v>
      </c>
      <c r="J420" t="s">
        <v>8377</v>
      </c>
    </row>
    <row r="421" spans="1:10" x14ac:dyDescent="0.35">
      <c r="A421" s="6" t="s">
        <v>1942</v>
      </c>
      <c r="B421">
        <v>25.3</v>
      </c>
      <c r="C421">
        <v>9.4700000000000006</v>
      </c>
      <c r="D421" s="6" t="s">
        <v>2373</v>
      </c>
      <c r="E421" s="6" t="s">
        <v>2370</v>
      </c>
      <c r="F421" s="6" t="s">
        <v>2370</v>
      </c>
      <c r="G421">
        <v>2</v>
      </c>
      <c r="H421" s="6" t="s">
        <v>2373</v>
      </c>
      <c r="I421" t="s">
        <v>8378</v>
      </c>
      <c r="J421" t="s">
        <v>8375</v>
      </c>
    </row>
    <row r="422" spans="1:10" x14ac:dyDescent="0.35">
      <c r="A422" s="6" t="s">
        <v>1941</v>
      </c>
      <c r="B422">
        <v>27.6</v>
      </c>
      <c r="C422">
        <v>4.8499999999999996</v>
      </c>
      <c r="D422" s="6" t="s">
        <v>2373</v>
      </c>
      <c r="E422" s="6" t="s">
        <v>2370</v>
      </c>
      <c r="F422" s="6" t="s">
        <v>2370</v>
      </c>
      <c r="G422">
        <v>0</v>
      </c>
      <c r="H422" s="6" t="s">
        <v>2370</v>
      </c>
      <c r="I422" t="s">
        <v>8378</v>
      </c>
      <c r="J422" t="s">
        <v>8377</v>
      </c>
    </row>
    <row r="423" spans="1:10" x14ac:dyDescent="0.35">
      <c r="A423" s="6" t="s">
        <v>1940</v>
      </c>
      <c r="B423">
        <v>27.645</v>
      </c>
      <c r="C423">
        <v>11.03</v>
      </c>
      <c r="D423" s="6" t="s">
        <v>2373</v>
      </c>
      <c r="E423" s="6" t="s">
        <v>2370</v>
      </c>
      <c r="F423" s="6" t="s">
        <v>2370</v>
      </c>
      <c r="G423">
        <v>1</v>
      </c>
      <c r="H423" s="6" t="s">
        <v>2373</v>
      </c>
      <c r="I423" t="s">
        <v>8378</v>
      </c>
      <c r="J423" t="s">
        <v>8375</v>
      </c>
    </row>
    <row r="424" spans="1:10" x14ac:dyDescent="0.35">
      <c r="A424" s="6" t="s">
        <v>1939</v>
      </c>
      <c r="B424">
        <v>27.6</v>
      </c>
      <c r="C424">
        <v>5.22</v>
      </c>
      <c r="D424" s="6" t="s">
        <v>2370</v>
      </c>
      <c r="E424" s="6" t="s">
        <v>2370</v>
      </c>
      <c r="F424" s="6" t="s">
        <v>2370</v>
      </c>
      <c r="G424">
        <v>2</v>
      </c>
      <c r="H424" s="6" t="s">
        <v>2373</v>
      </c>
      <c r="I424" t="s">
        <v>8378</v>
      </c>
      <c r="J424" t="s">
        <v>8377</v>
      </c>
    </row>
    <row r="425" spans="1:10" x14ac:dyDescent="0.35">
      <c r="A425" s="6" t="s">
        <v>1938</v>
      </c>
      <c r="B425">
        <v>25.08</v>
      </c>
      <c r="C425">
        <v>9.52</v>
      </c>
      <c r="D425" s="6" t="s">
        <v>2373</v>
      </c>
      <c r="E425" s="6" t="s">
        <v>2370</v>
      </c>
      <c r="F425" s="6" t="s">
        <v>2370</v>
      </c>
      <c r="G425">
        <v>2</v>
      </c>
      <c r="H425" s="6" t="s">
        <v>2370</v>
      </c>
      <c r="I425" t="s">
        <v>8378</v>
      </c>
      <c r="J425" t="s">
        <v>8375</v>
      </c>
    </row>
    <row r="426" spans="1:10" x14ac:dyDescent="0.35">
      <c r="A426" s="6" t="s">
        <v>1937</v>
      </c>
      <c r="B426">
        <v>30.02</v>
      </c>
      <c r="C426">
        <v>11.09</v>
      </c>
      <c r="D426" s="6" t="s">
        <v>2370</v>
      </c>
      <c r="E426" s="6" t="s">
        <v>2370</v>
      </c>
      <c r="F426" s="6" t="s">
        <v>2370</v>
      </c>
      <c r="G426">
        <v>0</v>
      </c>
      <c r="H426" s="6" t="s">
        <v>2370</v>
      </c>
      <c r="I426" t="s">
        <v>8374</v>
      </c>
      <c r="J426" t="s">
        <v>8375</v>
      </c>
    </row>
    <row r="427" spans="1:10" x14ac:dyDescent="0.35">
      <c r="A427" s="6" t="s">
        <v>1936</v>
      </c>
      <c r="B427">
        <v>27.36</v>
      </c>
      <c r="C427">
        <v>9.4499999999999993</v>
      </c>
      <c r="D427" s="6" t="s">
        <v>2373</v>
      </c>
      <c r="E427" s="6" t="s">
        <v>2370</v>
      </c>
      <c r="F427" s="6" t="s">
        <v>2370</v>
      </c>
      <c r="G427">
        <v>2</v>
      </c>
      <c r="H427" s="6" t="s">
        <v>2373</v>
      </c>
      <c r="I427" t="s">
        <v>8378</v>
      </c>
      <c r="J427" t="s">
        <v>8375</v>
      </c>
    </row>
    <row r="428" spans="1:10" x14ac:dyDescent="0.35">
      <c r="A428" s="6" t="s">
        <v>1935</v>
      </c>
      <c r="B428">
        <v>22.2</v>
      </c>
      <c r="C428">
        <v>5.51</v>
      </c>
      <c r="D428" s="6" t="s">
        <v>2370</v>
      </c>
      <c r="E428" s="6" t="s">
        <v>2370</v>
      </c>
      <c r="F428" s="6" t="s">
        <v>2370</v>
      </c>
      <c r="G428">
        <v>0</v>
      </c>
      <c r="H428" s="6" t="s">
        <v>2373</v>
      </c>
      <c r="I428" t="s">
        <v>8379</v>
      </c>
      <c r="J428" t="s">
        <v>8377</v>
      </c>
    </row>
    <row r="429" spans="1:10" x14ac:dyDescent="0.35">
      <c r="A429" s="6" t="s">
        <v>1934</v>
      </c>
      <c r="B429">
        <v>25.71</v>
      </c>
      <c r="C429">
        <v>4.18</v>
      </c>
      <c r="D429" s="6" t="s">
        <v>2370</v>
      </c>
      <c r="E429" s="6" t="s">
        <v>2372</v>
      </c>
      <c r="F429" s="6" t="s">
        <v>2370</v>
      </c>
      <c r="G429">
        <v>1</v>
      </c>
      <c r="H429" s="6" t="s">
        <v>2373</v>
      </c>
      <c r="I429" t="s">
        <v>8378</v>
      </c>
      <c r="J429" t="s">
        <v>8377</v>
      </c>
    </row>
    <row r="430" spans="1:10" x14ac:dyDescent="0.35">
      <c r="A430" s="6" t="s">
        <v>1933</v>
      </c>
      <c r="B430">
        <v>41.91</v>
      </c>
      <c r="C430">
        <v>5.98</v>
      </c>
      <c r="D430" s="6" t="s">
        <v>2373</v>
      </c>
      <c r="E430" s="6" t="s">
        <v>2370</v>
      </c>
      <c r="F430" s="6" t="s">
        <v>2370</v>
      </c>
      <c r="G430">
        <v>1</v>
      </c>
      <c r="H430" s="6" t="s">
        <v>2370</v>
      </c>
      <c r="I430" t="s">
        <v>8374</v>
      </c>
      <c r="J430" t="s">
        <v>8376</v>
      </c>
    </row>
    <row r="431" spans="1:10" x14ac:dyDescent="0.35">
      <c r="A431" s="6" t="s">
        <v>1932</v>
      </c>
      <c r="B431">
        <v>25.85</v>
      </c>
      <c r="C431">
        <v>10.16</v>
      </c>
      <c r="D431" s="6" t="s">
        <v>2370</v>
      </c>
      <c r="E431" s="6" t="s">
        <v>2370</v>
      </c>
      <c r="F431" s="6" t="s">
        <v>2370</v>
      </c>
      <c r="G431">
        <v>0</v>
      </c>
      <c r="H431" s="6" t="s">
        <v>2373</v>
      </c>
      <c r="I431" t="s">
        <v>8378</v>
      </c>
      <c r="J431" t="s">
        <v>8375</v>
      </c>
    </row>
    <row r="432" spans="1:10" x14ac:dyDescent="0.35">
      <c r="A432" s="6" t="s">
        <v>1931</v>
      </c>
      <c r="B432">
        <v>23.844999999999999</v>
      </c>
      <c r="C432">
        <v>11.71</v>
      </c>
      <c r="D432" s="6" t="s">
        <v>2370</v>
      </c>
      <c r="E432" s="6" t="s">
        <v>2370</v>
      </c>
      <c r="F432" s="6" t="s">
        <v>2370</v>
      </c>
      <c r="G432">
        <v>2</v>
      </c>
      <c r="H432" s="6" t="s">
        <v>2373</v>
      </c>
      <c r="I432" t="s">
        <v>8379</v>
      </c>
      <c r="J432" t="s">
        <v>8375</v>
      </c>
    </row>
    <row r="433" spans="1:10" x14ac:dyDescent="0.35">
      <c r="A433" s="6" t="s">
        <v>1930</v>
      </c>
      <c r="B433">
        <v>30.59</v>
      </c>
      <c r="C433">
        <v>5.23</v>
      </c>
      <c r="D433" s="6" t="s">
        <v>2370</v>
      </c>
      <c r="E433" s="6" t="s">
        <v>2370</v>
      </c>
      <c r="F433" s="6" t="s">
        <v>2373</v>
      </c>
      <c r="G433">
        <v>1</v>
      </c>
      <c r="H433" s="6" t="s">
        <v>2370</v>
      </c>
      <c r="I433" t="s">
        <v>8374</v>
      </c>
      <c r="J433" t="s">
        <v>8377</v>
      </c>
    </row>
    <row r="434" spans="1:10" x14ac:dyDescent="0.35">
      <c r="A434" s="6" t="s">
        <v>1929</v>
      </c>
      <c r="B434">
        <v>24.795000000000002</v>
      </c>
      <c r="C434">
        <v>6.85</v>
      </c>
      <c r="D434" s="6" t="s">
        <v>2370</v>
      </c>
      <c r="E434" s="6" t="s">
        <v>2370</v>
      </c>
      <c r="F434" s="6" t="s">
        <v>2370</v>
      </c>
      <c r="G434">
        <v>0</v>
      </c>
      <c r="H434" s="6" t="s">
        <v>2373</v>
      </c>
      <c r="I434" t="s">
        <v>8379</v>
      </c>
      <c r="J434" t="s">
        <v>8375</v>
      </c>
    </row>
    <row r="435" spans="1:10" x14ac:dyDescent="0.35">
      <c r="A435" s="6" t="s">
        <v>1928</v>
      </c>
      <c r="B435">
        <v>24.13</v>
      </c>
      <c r="C435">
        <v>7.05</v>
      </c>
      <c r="D435" s="6" t="s">
        <v>2373</v>
      </c>
      <c r="E435" s="6" t="s">
        <v>2370</v>
      </c>
      <c r="F435" s="6" t="s">
        <v>2370</v>
      </c>
      <c r="G435">
        <v>2</v>
      </c>
      <c r="H435" s="6" t="s">
        <v>2373</v>
      </c>
      <c r="I435" t="s">
        <v>8379</v>
      </c>
      <c r="J435" t="s">
        <v>8375</v>
      </c>
    </row>
    <row r="436" spans="1:10" x14ac:dyDescent="0.35">
      <c r="A436" s="6" t="s">
        <v>1927</v>
      </c>
      <c r="B436">
        <v>25.84</v>
      </c>
      <c r="C436">
        <v>11.64</v>
      </c>
      <c r="D436" s="6" t="s">
        <v>2370</v>
      </c>
      <c r="E436" s="6" t="s">
        <v>2370</v>
      </c>
      <c r="F436" s="6" t="s">
        <v>2370</v>
      </c>
      <c r="G436">
        <v>2</v>
      </c>
      <c r="H436" s="6" t="s">
        <v>2373</v>
      </c>
      <c r="I436" t="s">
        <v>8378</v>
      </c>
      <c r="J436" t="s">
        <v>8375</v>
      </c>
    </row>
    <row r="437" spans="1:10" x14ac:dyDescent="0.35">
      <c r="A437" s="6" t="s">
        <v>1926</v>
      </c>
      <c r="B437">
        <v>28</v>
      </c>
      <c r="C437">
        <v>10.52</v>
      </c>
      <c r="D437" s="6" t="s">
        <v>2370</v>
      </c>
      <c r="E437" s="6" t="s">
        <v>2370</v>
      </c>
      <c r="F437" s="6" t="s">
        <v>2370</v>
      </c>
      <c r="G437">
        <v>0</v>
      </c>
      <c r="H437" s="6" t="s">
        <v>2373</v>
      </c>
      <c r="I437" t="s">
        <v>8378</v>
      </c>
      <c r="J437" t="s">
        <v>8375</v>
      </c>
    </row>
    <row r="438" spans="1:10" x14ac:dyDescent="0.35">
      <c r="A438" s="6" t="s">
        <v>1925</v>
      </c>
      <c r="B438">
        <v>34.1</v>
      </c>
      <c r="C438">
        <v>4.01</v>
      </c>
      <c r="D438" s="6" t="s">
        <v>2373</v>
      </c>
      <c r="E438" s="6" t="s">
        <v>2370</v>
      </c>
      <c r="F438" s="6" t="s">
        <v>2373</v>
      </c>
      <c r="G438">
        <v>1</v>
      </c>
      <c r="H438" s="6" t="s">
        <v>2370</v>
      </c>
      <c r="I438" t="s">
        <v>8374</v>
      </c>
      <c r="J438" t="s">
        <v>8377</v>
      </c>
    </row>
    <row r="439" spans="1:10" x14ac:dyDescent="0.35">
      <c r="A439" s="6" t="s">
        <v>1924</v>
      </c>
      <c r="B439">
        <v>26.125</v>
      </c>
      <c r="C439">
        <v>8.56</v>
      </c>
      <c r="D439" s="6" t="s">
        <v>2373</v>
      </c>
      <c r="E439" s="6" t="s">
        <v>2370</v>
      </c>
      <c r="F439" s="6" t="s">
        <v>2370</v>
      </c>
      <c r="G439">
        <v>1</v>
      </c>
      <c r="H439" s="6" t="s">
        <v>2373</v>
      </c>
      <c r="I439" t="s">
        <v>8378</v>
      </c>
      <c r="J439" t="s">
        <v>8375</v>
      </c>
    </row>
    <row r="440" spans="1:10" x14ac:dyDescent="0.35">
      <c r="A440" s="6" t="s">
        <v>1923</v>
      </c>
      <c r="B440">
        <v>25.6</v>
      </c>
      <c r="C440">
        <v>10.5</v>
      </c>
      <c r="D440" s="6" t="s">
        <v>2370</v>
      </c>
      <c r="E440" s="6" t="s">
        <v>2370</v>
      </c>
      <c r="F440" s="6" t="s">
        <v>2370</v>
      </c>
      <c r="G440">
        <v>2</v>
      </c>
      <c r="H440" s="6" t="s">
        <v>2373</v>
      </c>
      <c r="I440" t="s">
        <v>8378</v>
      </c>
      <c r="J440" t="s">
        <v>8375</v>
      </c>
    </row>
    <row r="441" spans="1:10" x14ac:dyDescent="0.35">
      <c r="A441" s="6" t="s">
        <v>1922</v>
      </c>
      <c r="B441">
        <v>24.32</v>
      </c>
      <c r="C441">
        <v>6.39</v>
      </c>
      <c r="D441" s="6" t="s">
        <v>2370</v>
      </c>
      <c r="E441" s="6" t="s">
        <v>2370</v>
      </c>
      <c r="F441" s="6" t="s">
        <v>2370</v>
      </c>
      <c r="G441">
        <v>0</v>
      </c>
      <c r="H441" s="6" t="s">
        <v>2370</v>
      </c>
      <c r="I441" t="s">
        <v>8379</v>
      </c>
      <c r="J441" t="s">
        <v>8376</v>
      </c>
    </row>
    <row r="442" spans="1:10" x14ac:dyDescent="0.35">
      <c r="A442" s="6" t="s">
        <v>1921</v>
      </c>
      <c r="B442">
        <v>22.88</v>
      </c>
      <c r="C442">
        <v>5.71</v>
      </c>
      <c r="D442" s="6" t="s">
        <v>2373</v>
      </c>
      <c r="E442" s="6" t="s">
        <v>2370</v>
      </c>
      <c r="F442" s="6" t="s">
        <v>2373</v>
      </c>
      <c r="G442">
        <v>1</v>
      </c>
      <c r="H442" s="6" t="s">
        <v>2373</v>
      </c>
      <c r="I442" t="s">
        <v>8379</v>
      </c>
      <c r="J442" t="s">
        <v>8376</v>
      </c>
    </row>
    <row r="443" spans="1:10" x14ac:dyDescent="0.35">
      <c r="A443" s="6" t="s">
        <v>1920</v>
      </c>
      <c r="B443">
        <v>24.984999999999999</v>
      </c>
      <c r="C443">
        <v>4.43</v>
      </c>
      <c r="D443" s="6" t="s">
        <v>2373</v>
      </c>
      <c r="E443" s="6" t="s">
        <v>2370</v>
      </c>
      <c r="F443" s="6" t="s">
        <v>2373</v>
      </c>
      <c r="G443">
        <v>1</v>
      </c>
      <c r="H443" s="6" t="s">
        <v>2370</v>
      </c>
      <c r="I443" t="s">
        <v>8379</v>
      </c>
      <c r="J443" t="s">
        <v>8377</v>
      </c>
    </row>
    <row r="444" spans="1:10" x14ac:dyDescent="0.35">
      <c r="A444" s="6" t="s">
        <v>1919</v>
      </c>
      <c r="B444">
        <v>33.1</v>
      </c>
      <c r="C444">
        <v>5.52</v>
      </c>
      <c r="D444" s="6" t="s">
        <v>2370</v>
      </c>
      <c r="E444" s="6" t="s">
        <v>2370</v>
      </c>
      <c r="F444" s="6" t="s">
        <v>2373</v>
      </c>
      <c r="G444">
        <v>1</v>
      </c>
      <c r="H444" s="6" t="s">
        <v>2370</v>
      </c>
      <c r="I444" t="s">
        <v>8374</v>
      </c>
      <c r="J444" t="s">
        <v>8377</v>
      </c>
    </row>
    <row r="445" spans="1:10" x14ac:dyDescent="0.35">
      <c r="A445" s="6" t="s">
        <v>1918</v>
      </c>
      <c r="B445">
        <v>27.83</v>
      </c>
      <c r="C445">
        <v>9.1999999999999993</v>
      </c>
      <c r="D445" s="6" t="s">
        <v>2373</v>
      </c>
      <c r="E445" s="6" t="s">
        <v>2370</v>
      </c>
      <c r="F445" s="6" t="s">
        <v>2370</v>
      </c>
      <c r="G445">
        <v>1</v>
      </c>
      <c r="H445" s="6" t="s">
        <v>2373</v>
      </c>
      <c r="I445" t="s">
        <v>8378</v>
      </c>
      <c r="J445" t="s">
        <v>8375</v>
      </c>
    </row>
    <row r="446" spans="1:10" x14ac:dyDescent="0.35">
      <c r="A446" s="6" t="s">
        <v>1917</v>
      </c>
      <c r="B446">
        <v>30.875</v>
      </c>
      <c r="C446">
        <v>10.97</v>
      </c>
      <c r="D446" s="6" t="s">
        <v>2373</v>
      </c>
      <c r="E446" s="6" t="s">
        <v>2370</v>
      </c>
      <c r="F446" s="6" t="s">
        <v>2370</v>
      </c>
      <c r="G446">
        <v>2</v>
      </c>
      <c r="H446" s="6" t="s">
        <v>2370</v>
      </c>
      <c r="I446" t="s">
        <v>8374</v>
      </c>
      <c r="J446" t="s">
        <v>8375</v>
      </c>
    </row>
    <row r="447" spans="1:10" x14ac:dyDescent="0.35">
      <c r="A447" s="6" t="s">
        <v>1916</v>
      </c>
      <c r="B447">
        <v>27.265000000000001</v>
      </c>
      <c r="C447">
        <v>4.25</v>
      </c>
      <c r="D447" s="6" t="s">
        <v>2370</v>
      </c>
      <c r="E447" s="6" t="s">
        <v>2370</v>
      </c>
      <c r="F447" s="6" t="s">
        <v>2373</v>
      </c>
      <c r="G447">
        <v>1</v>
      </c>
      <c r="H447" s="6" t="s">
        <v>2370</v>
      </c>
      <c r="I447" t="s">
        <v>8378</v>
      </c>
      <c r="J447" t="s">
        <v>8377</v>
      </c>
    </row>
    <row r="448" spans="1:10" x14ac:dyDescent="0.35">
      <c r="A448" s="6" t="s">
        <v>1915</v>
      </c>
      <c r="B448">
        <v>26.7</v>
      </c>
      <c r="C448">
        <v>5.23</v>
      </c>
      <c r="D448" s="6" t="s">
        <v>2370</v>
      </c>
      <c r="E448" s="6" t="s">
        <v>2370</v>
      </c>
      <c r="F448" s="6" t="s">
        <v>2373</v>
      </c>
      <c r="G448">
        <v>1</v>
      </c>
      <c r="H448" s="6" t="s">
        <v>2373</v>
      </c>
      <c r="I448" t="s">
        <v>8378</v>
      </c>
      <c r="J448" t="s">
        <v>8377</v>
      </c>
    </row>
    <row r="449" spans="1:10" x14ac:dyDescent="0.35">
      <c r="A449" s="6" t="s">
        <v>1914</v>
      </c>
      <c r="B449">
        <v>29.925000000000001</v>
      </c>
      <c r="C449">
        <v>5.96</v>
      </c>
      <c r="D449" s="6" t="s">
        <v>2373</v>
      </c>
      <c r="E449" s="6" t="s">
        <v>2370</v>
      </c>
      <c r="F449" s="6" t="s">
        <v>2373</v>
      </c>
      <c r="G449">
        <v>1</v>
      </c>
      <c r="H449" s="6" t="s">
        <v>2373</v>
      </c>
      <c r="I449" t="s">
        <v>8378</v>
      </c>
      <c r="J449" t="s">
        <v>8376</v>
      </c>
    </row>
    <row r="450" spans="1:10" x14ac:dyDescent="0.35">
      <c r="A450" s="6" t="s">
        <v>1913</v>
      </c>
      <c r="B450">
        <v>19.95</v>
      </c>
      <c r="C450">
        <v>4.29</v>
      </c>
      <c r="D450" s="6" t="s">
        <v>2373</v>
      </c>
      <c r="E450" s="6" t="s">
        <v>2370</v>
      </c>
      <c r="F450" s="6" t="s">
        <v>2370</v>
      </c>
      <c r="G450">
        <v>2</v>
      </c>
      <c r="H450" s="6" t="s">
        <v>2373</v>
      </c>
      <c r="I450" t="s">
        <v>8379</v>
      </c>
      <c r="J450" t="s">
        <v>8377</v>
      </c>
    </row>
    <row r="451" spans="1:10" x14ac:dyDescent="0.35">
      <c r="A451" s="6" t="s">
        <v>1912</v>
      </c>
      <c r="B451">
        <v>24.225000000000001</v>
      </c>
      <c r="C451">
        <v>4.09</v>
      </c>
      <c r="D451" s="6" t="s">
        <v>2370</v>
      </c>
      <c r="E451" s="6" t="s">
        <v>2370</v>
      </c>
      <c r="F451" s="6" t="s">
        <v>2370</v>
      </c>
      <c r="G451">
        <v>0</v>
      </c>
      <c r="H451" s="6" t="s">
        <v>2370</v>
      </c>
      <c r="I451" t="s">
        <v>8379</v>
      </c>
      <c r="J451" t="s">
        <v>8377</v>
      </c>
    </row>
    <row r="452" spans="1:10" x14ac:dyDescent="0.35">
      <c r="A452" s="6" t="s">
        <v>1911</v>
      </c>
      <c r="B452">
        <v>28.12</v>
      </c>
      <c r="C452">
        <v>4.88</v>
      </c>
      <c r="D452" s="6" t="s">
        <v>2370</v>
      </c>
      <c r="E452" s="6" t="s">
        <v>2370</v>
      </c>
      <c r="F452" s="6" t="s">
        <v>2370</v>
      </c>
      <c r="G452">
        <v>0</v>
      </c>
      <c r="H452" s="6" t="s">
        <v>2373</v>
      </c>
      <c r="I452" t="s">
        <v>8378</v>
      </c>
      <c r="J452" t="s">
        <v>8377</v>
      </c>
    </row>
    <row r="453" spans="1:10" x14ac:dyDescent="0.35">
      <c r="A453" s="6" t="s">
        <v>1910</v>
      </c>
      <c r="B453">
        <v>23.21</v>
      </c>
      <c r="C453">
        <v>6.76</v>
      </c>
      <c r="D453" s="6" t="s">
        <v>2370</v>
      </c>
      <c r="E453" s="6" t="s">
        <v>2370</v>
      </c>
      <c r="F453" s="6" t="s">
        <v>2370</v>
      </c>
      <c r="G453">
        <v>0</v>
      </c>
      <c r="H453" s="6" t="s">
        <v>2373</v>
      </c>
      <c r="I453" t="s">
        <v>8379</v>
      </c>
      <c r="J453" t="s">
        <v>8375</v>
      </c>
    </row>
    <row r="454" spans="1:10" x14ac:dyDescent="0.35">
      <c r="A454" s="6" t="s">
        <v>1909</v>
      </c>
      <c r="B454">
        <v>23.98</v>
      </c>
      <c r="C454">
        <v>10.67</v>
      </c>
      <c r="D454" s="6" t="s">
        <v>2370</v>
      </c>
      <c r="E454" s="6" t="s">
        <v>2370</v>
      </c>
      <c r="F454" s="6" t="s">
        <v>2370</v>
      </c>
      <c r="G454">
        <v>0</v>
      </c>
      <c r="H454" s="6" t="s">
        <v>2370</v>
      </c>
      <c r="I454" t="s">
        <v>8379</v>
      </c>
      <c r="J454" t="s">
        <v>8375</v>
      </c>
    </row>
    <row r="455" spans="1:10" x14ac:dyDescent="0.35">
      <c r="A455" s="6" t="s">
        <v>1908</v>
      </c>
      <c r="B455">
        <v>30</v>
      </c>
      <c r="C455">
        <v>6.21</v>
      </c>
      <c r="D455" s="6" t="s">
        <v>2370</v>
      </c>
      <c r="E455" s="6" t="s">
        <v>2370</v>
      </c>
      <c r="F455" s="6" t="s">
        <v>2370</v>
      </c>
      <c r="G455">
        <v>0</v>
      </c>
      <c r="H455" s="6" t="s">
        <v>2373</v>
      </c>
      <c r="I455" t="s">
        <v>8374</v>
      </c>
      <c r="J455" t="s">
        <v>8376</v>
      </c>
    </row>
    <row r="456" spans="1:10" x14ac:dyDescent="0.35">
      <c r="A456" s="6" t="s">
        <v>1907</v>
      </c>
      <c r="B456">
        <v>17.350000000000001</v>
      </c>
      <c r="C456">
        <v>5.03</v>
      </c>
      <c r="D456" s="6" t="s">
        <v>2373</v>
      </c>
      <c r="E456" s="6" t="s">
        <v>2370</v>
      </c>
      <c r="F456" s="6" t="s">
        <v>2370</v>
      </c>
      <c r="G456">
        <v>0</v>
      </c>
      <c r="H456" s="6" t="s">
        <v>2373</v>
      </c>
      <c r="I456" t="s">
        <v>8380</v>
      </c>
      <c r="J456" t="s">
        <v>8377</v>
      </c>
    </row>
    <row r="457" spans="1:10" x14ac:dyDescent="0.35">
      <c r="A457" s="6" t="s">
        <v>1906</v>
      </c>
      <c r="B457">
        <v>22.704999999999998</v>
      </c>
      <c r="C457">
        <v>5.27</v>
      </c>
      <c r="D457" s="6" t="s">
        <v>2370</v>
      </c>
      <c r="E457" s="6" t="s">
        <v>2370</v>
      </c>
      <c r="F457" s="6" t="s">
        <v>2370</v>
      </c>
      <c r="G457">
        <v>0</v>
      </c>
      <c r="H457" s="6" t="s">
        <v>2370</v>
      </c>
      <c r="I457" t="s">
        <v>8379</v>
      </c>
      <c r="J457" t="s">
        <v>8377</v>
      </c>
    </row>
    <row r="458" spans="1:10" x14ac:dyDescent="0.35">
      <c r="A458" s="6" t="s">
        <v>1905</v>
      </c>
      <c r="B458">
        <v>25.41</v>
      </c>
      <c r="C458">
        <v>10.53</v>
      </c>
      <c r="D458" s="6" t="s">
        <v>2373</v>
      </c>
      <c r="E458" s="6" t="s">
        <v>2370</v>
      </c>
      <c r="F458" s="6" t="s">
        <v>2370</v>
      </c>
      <c r="G458">
        <v>1</v>
      </c>
      <c r="H458" s="6" t="s">
        <v>2373</v>
      </c>
      <c r="I458" t="s">
        <v>8378</v>
      </c>
      <c r="J458" t="s">
        <v>8375</v>
      </c>
    </row>
    <row r="459" spans="1:10" x14ac:dyDescent="0.35">
      <c r="A459" s="6" t="s">
        <v>1904</v>
      </c>
      <c r="B459">
        <v>18.23</v>
      </c>
      <c r="C459">
        <v>5.78</v>
      </c>
      <c r="D459" s="6" t="s">
        <v>2370</v>
      </c>
      <c r="E459" s="6" t="s">
        <v>2370</v>
      </c>
      <c r="F459" s="6" t="s">
        <v>2373</v>
      </c>
      <c r="G459">
        <v>1</v>
      </c>
      <c r="H459" s="6" t="s">
        <v>2373</v>
      </c>
      <c r="I459" t="s">
        <v>8380</v>
      </c>
      <c r="J459" t="s">
        <v>8376</v>
      </c>
    </row>
    <row r="460" spans="1:10" x14ac:dyDescent="0.35">
      <c r="A460" s="6" t="s">
        <v>1903</v>
      </c>
      <c r="B460">
        <v>24.7</v>
      </c>
      <c r="C460">
        <v>4.3600000000000003</v>
      </c>
      <c r="D460" s="6" t="s">
        <v>2370</v>
      </c>
      <c r="E460" s="6" t="s">
        <v>2370</v>
      </c>
      <c r="F460" s="6" t="s">
        <v>2373</v>
      </c>
      <c r="G460">
        <v>1</v>
      </c>
      <c r="H460" s="6" t="s">
        <v>2373</v>
      </c>
      <c r="I460" t="s">
        <v>8379</v>
      </c>
      <c r="J460" t="s">
        <v>8377</v>
      </c>
    </row>
    <row r="461" spans="1:10" x14ac:dyDescent="0.35">
      <c r="A461" s="6" t="s">
        <v>1902</v>
      </c>
      <c r="B461">
        <v>37.4</v>
      </c>
      <c r="C461">
        <v>9.7200000000000006</v>
      </c>
      <c r="D461" s="6" t="s">
        <v>2373</v>
      </c>
      <c r="E461" s="6" t="s">
        <v>2370</v>
      </c>
      <c r="F461" s="6" t="s">
        <v>2373</v>
      </c>
      <c r="G461">
        <v>1</v>
      </c>
      <c r="H461" s="6" t="s">
        <v>2370</v>
      </c>
      <c r="I461" t="s">
        <v>8374</v>
      </c>
      <c r="J461" t="s">
        <v>8375</v>
      </c>
    </row>
    <row r="462" spans="1:10" x14ac:dyDescent="0.35">
      <c r="A462" s="6" t="s">
        <v>1901</v>
      </c>
      <c r="B462">
        <v>26.885000000000002</v>
      </c>
      <c r="C462">
        <v>5.18</v>
      </c>
      <c r="D462" s="6" t="s">
        <v>2370</v>
      </c>
      <c r="E462" s="6" t="s">
        <v>2370</v>
      </c>
      <c r="F462" s="6" t="s">
        <v>2373</v>
      </c>
      <c r="G462">
        <v>1</v>
      </c>
      <c r="H462" s="6" t="s">
        <v>2373</v>
      </c>
      <c r="I462" t="s">
        <v>8378</v>
      </c>
      <c r="J462" t="s">
        <v>8377</v>
      </c>
    </row>
    <row r="463" spans="1:10" x14ac:dyDescent="0.35">
      <c r="A463" s="6" t="s">
        <v>1900</v>
      </c>
      <c r="B463">
        <v>25.27</v>
      </c>
      <c r="C463">
        <v>5.29</v>
      </c>
      <c r="D463" s="6" t="s">
        <v>2370</v>
      </c>
      <c r="E463" s="6" t="s">
        <v>2370</v>
      </c>
      <c r="F463" s="6" t="s">
        <v>2373</v>
      </c>
      <c r="G463">
        <v>1</v>
      </c>
      <c r="H463" s="6" t="s">
        <v>2373</v>
      </c>
      <c r="I463" t="s">
        <v>8378</v>
      </c>
      <c r="J463" t="s">
        <v>8377</v>
      </c>
    </row>
    <row r="464" spans="1:10" x14ac:dyDescent="0.35">
      <c r="A464" s="6" t="s">
        <v>1899</v>
      </c>
      <c r="B464">
        <v>23.655000000000001</v>
      </c>
      <c r="C464">
        <v>4.8600000000000003</v>
      </c>
      <c r="D464" s="6" t="s">
        <v>2373</v>
      </c>
      <c r="E464" s="6" t="s">
        <v>2370</v>
      </c>
      <c r="F464" s="6" t="s">
        <v>2370</v>
      </c>
      <c r="G464">
        <v>0</v>
      </c>
      <c r="H464" s="6" t="s">
        <v>2373</v>
      </c>
      <c r="I464" t="s">
        <v>8379</v>
      </c>
      <c r="J464" t="s">
        <v>8377</v>
      </c>
    </row>
    <row r="465" spans="1:10" x14ac:dyDescent="0.35">
      <c r="A465" s="6" t="s">
        <v>1898</v>
      </c>
      <c r="B465">
        <v>55.05</v>
      </c>
      <c r="C465">
        <v>7.66</v>
      </c>
      <c r="D465" s="6" t="s">
        <v>2370</v>
      </c>
      <c r="E465" s="6" t="s">
        <v>2370</v>
      </c>
      <c r="F465" s="6" t="s">
        <v>2370</v>
      </c>
      <c r="G465">
        <v>0</v>
      </c>
      <c r="H465" s="6" t="s">
        <v>2370</v>
      </c>
      <c r="I465" t="s">
        <v>8374</v>
      </c>
      <c r="J465" t="s">
        <v>8375</v>
      </c>
    </row>
    <row r="466" spans="1:10" x14ac:dyDescent="0.35">
      <c r="A466" s="6" t="s">
        <v>1897</v>
      </c>
      <c r="B466">
        <v>24.89</v>
      </c>
      <c r="C466">
        <v>6.1</v>
      </c>
      <c r="D466" s="6" t="s">
        <v>2373</v>
      </c>
      <c r="E466" s="6" t="s">
        <v>2370</v>
      </c>
      <c r="F466" s="6" t="s">
        <v>2373</v>
      </c>
      <c r="G466">
        <v>1</v>
      </c>
      <c r="H466" s="6" t="s">
        <v>2373</v>
      </c>
      <c r="I466" t="s">
        <v>8379</v>
      </c>
      <c r="J466" t="s">
        <v>8376</v>
      </c>
    </row>
    <row r="467" spans="1:10" x14ac:dyDescent="0.35">
      <c r="A467" s="6" t="s">
        <v>1896</v>
      </c>
      <c r="B467">
        <v>18.715</v>
      </c>
      <c r="C467">
        <v>4.4400000000000004</v>
      </c>
      <c r="D467" s="6" t="s">
        <v>2370</v>
      </c>
      <c r="E467" s="6" t="s">
        <v>2370</v>
      </c>
      <c r="F467" s="6" t="s">
        <v>2370</v>
      </c>
      <c r="G467">
        <v>0</v>
      </c>
      <c r="H467" s="6" t="s">
        <v>2370</v>
      </c>
      <c r="I467" t="s">
        <v>8379</v>
      </c>
      <c r="J467" t="s">
        <v>8377</v>
      </c>
    </row>
    <row r="468" spans="1:10" x14ac:dyDescent="0.35">
      <c r="A468" s="6" t="s">
        <v>1895</v>
      </c>
      <c r="B468">
        <v>28.12</v>
      </c>
      <c r="C468">
        <v>6.15</v>
      </c>
      <c r="D468" s="6" t="s">
        <v>2370</v>
      </c>
      <c r="E468" s="6" t="s">
        <v>2370</v>
      </c>
      <c r="F468" s="6" t="s">
        <v>2370</v>
      </c>
      <c r="G468">
        <v>0</v>
      </c>
      <c r="H468" s="6" t="s">
        <v>2373</v>
      </c>
      <c r="I468" t="s">
        <v>8378</v>
      </c>
      <c r="J468" t="s">
        <v>8376</v>
      </c>
    </row>
    <row r="469" spans="1:10" x14ac:dyDescent="0.35">
      <c r="A469" s="6" t="s">
        <v>1894</v>
      </c>
      <c r="B469">
        <v>26.6</v>
      </c>
      <c r="C469">
        <v>4.53</v>
      </c>
      <c r="D469" s="6" t="s">
        <v>2370</v>
      </c>
      <c r="E469" s="6" t="s">
        <v>2370</v>
      </c>
      <c r="F469" s="6" t="s">
        <v>2370</v>
      </c>
      <c r="G469">
        <v>0</v>
      </c>
      <c r="H469" s="6" t="s">
        <v>2373</v>
      </c>
      <c r="I469" t="s">
        <v>8378</v>
      </c>
      <c r="J469" t="s">
        <v>8377</v>
      </c>
    </row>
    <row r="470" spans="1:10" x14ac:dyDescent="0.35">
      <c r="A470" s="6" t="s">
        <v>1893</v>
      </c>
      <c r="B470">
        <v>30.114999999999998</v>
      </c>
      <c r="C470">
        <v>5.48</v>
      </c>
      <c r="D470" s="6" t="s">
        <v>2370</v>
      </c>
      <c r="E470" s="6" t="s">
        <v>2372</v>
      </c>
      <c r="F470" s="6" t="s">
        <v>2370</v>
      </c>
      <c r="G470">
        <v>1</v>
      </c>
      <c r="H470" s="6" t="s">
        <v>2370</v>
      </c>
      <c r="I470" t="s">
        <v>8374</v>
      </c>
      <c r="J470" t="s">
        <v>8377</v>
      </c>
    </row>
    <row r="471" spans="1:10" x14ac:dyDescent="0.35">
      <c r="A471" s="6" t="s">
        <v>1892</v>
      </c>
      <c r="B471">
        <v>24.605</v>
      </c>
      <c r="C471">
        <v>5.48</v>
      </c>
      <c r="D471" s="6" t="s">
        <v>2370</v>
      </c>
      <c r="E471" s="6" t="s">
        <v>2370</v>
      </c>
      <c r="F471" s="6" t="s">
        <v>2370</v>
      </c>
      <c r="G471">
        <v>0</v>
      </c>
      <c r="H471" s="6" t="s">
        <v>2373</v>
      </c>
      <c r="I471" t="s">
        <v>8379</v>
      </c>
      <c r="J471" t="s">
        <v>8377</v>
      </c>
    </row>
    <row r="472" spans="1:10" x14ac:dyDescent="0.35">
      <c r="A472" s="6" t="s">
        <v>1891</v>
      </c>
      <c r="B472">
        <v>29.6</v>
      </c>
      <c r="C472">
        <v>8.1</v>
      </c>
      <c r="D472" s="6" t="s">
        <v>2370</v>
      </c>
      <c r="E472" s="6" t="s">
        <v>2370</v>
      </c>
      <c r="F472" s="6" t="s">
        <v>2370</v>
      </c>
      <c r="G472">
        <v>0</v>
      </c>
      <c r="H472" s="6" t="s">
        <v>2370</v>
      </c>
      <c r="I472" t="s">
        <v>8378</v>
      </c>
      <c r="J472" t="s">
        <v>8375</v>
      </c>
    </row>
    <row r="473" spans="1:10" x14ac:dyDescent="0.35">
      <c r="A473" s="6" t="s">
        <v>1890</v>
      </c>
      <c r="B473">
        <v>24.42</v>
      </c>
      <c r="C473">
        <v>7.16</v>
      </c>
      <c r="D473" s="6" t="s">
        <v>2370</v>
      </c>
      <c r="E473" s="6" t="s">
        <v>2370</v>
      </c>
      <c r="F473" s="6" t="s">
        <v>2370</v>
      </c>
      <c r="G473">
        <v>0</v>
      </c>
      <c r="H473" s="6" t="s">
        <v>2373</v>
      </c>
      <c r="I473" t="s">
        <v>8379</v>
      </c>
      <c r="J473" t="s">
        <v>8375</v>
      </c>
    </row>
    <row r="474" spans="1:10" x14ac:dyDescent="0.35">
      <c r="A474" s="6" t="s">
        <v>1889</v>
      </c>
      <c r="B474">
        <v>20.9</v>
      </c>
      <c r="C474">
        <v>4.55</v>
      </c>
      <c r="D474" s="6" t="s">
        <v>2373</v>
      </c>
      <c r="E474" s="6" t="s">
        <v>2370</v>
      </c>
      <c r="F474" s="6" t="s">
        <v>2373</v>
      </c>
      <c r="G474">
        <v>1</v>
      </c>
      <c r="H474" s="6" t="s">
        <v>2373</v>
      </c>
      <c r="I474" t="s">
        <v>8379</v>
      </c>
      <c r="J474" t="s">
        <v>8377</v>
      </c>
    </row>
    <row r="475" spans="1:10" x14ac:dyDescent="0.35">
      <c r="A475" s="6" t="s">
        <v>1888</v>
      </c>
      <c r="B475">
        <v>22.895</v>
      </c>
      <c r="C475">
        <v>6.03</v>
      </c>
      <c r="D475" s="6" t="s">
        <v>2370</v>
      </c>
      <c r="E475" s="6" t="s">
        <v>2370</v>
      </c>
      <c r="F475" s="6" t="s">
        <v>2370</v>
      </c>
      <c r="G475">
        <v>0</v>
      </c>
      <c r="H475" s="6" t="s">
        <v>2373</v>
      </c>
      <c r="I475" t="s">
        <v>8379</v>
      </c>
      <c r="J475" t="s">
        <v>8376</v>
      </c>
    </row>
    <row r="476" spans="1:10" x14ac:dyDescent="0.35">
      <c r="A476" s="6" t="s">
        <v>1887</v>
      </c>
      <c r="B476">
        <v>28.3</v>
      </c>
      <c r="C476">
        <v>5.47</v>
      </c>
      <c r="D476" s="6" t="s">
        <v>2373</v>
      </c>
      <c r="E476" s="6" t="s">
        <v>2370</v>
      </c>
      <c r="F476" s="6" t="s">
        <v>2373</v>
      </c>
      <c r="G476">
        <v>1</v>
      </c>
      <c r="H476" s="6" t="s">
        <v>2373</v>
      </c>
      <c r="I476" t="s">
        <v>8378</v>
      </c>
      <c r="J476" t="s">
        <v>8377</v>
      </c>
    </row>
    <row r="477" spans="1:10" x14ac:dyDescent="0.35">
      <c r="A477" s="6" t="s">
        <v>1885</v>
      </c>
      <c r="B477">
        <v>54.3</v>
      </c>
      <c r="C477">
        <v>4.1500000000000004</v>
      </c>
      <c r="D477" s="6" t="s">
        <v>2373</v>
      </c>
      <c r="E477" s="6" t="s">
        <v>2370</v>
      </c>
      <c r="F477" s="6" t="s">
        <v>2370</v>
      </c>
      <c r="G477">
        <v>1</v>
      </c>
      <c r="H477" s="6" t="s">
        <v>2370</v>
      </c>
      <c r="I477" t="s">
        <v>8374</v>
      </c>
      <c r="J477" t="s">
        <v>8377</v>
      </c>
    </row>
    <row r="478" spans="1:10" x14ac:dyDescent="0.35">
      <c r="A478" s="6" t="s">
        <v>1884</v>
      </c>
      <c r="B478">
        <v>33.344999999999999</v>
      </c>
      <c r="C478">
        <v>11.32</v>
      </c>
      <c r="D478" s="6" t="s">
        <v>2373</v>
      </c>
      <c r="E478" s="6" t="s">
        <v>2370</v>
      </c>
      <c r="F478" s="6" t="s">
        <v>2370</v>
      </c>
      <c r="G478">
        <v>1</v>
      </c>
      <c r="H478" s="6" t="s">
        <v>2370</v>
      </c>
      <c r="I478" t="s">
        <v>8374</v>
      </c>
      <c r="J478" t="s">
        <v>8375</v>
      </c>
    </row>
    <row r="479" spans="1:10" x14ac:dyDescent="0.35">
      <c r="A479" s="6" t="s">
        <v>1883</v>
      </c>
      <c r="B479">
        <v>33</v>
      </c>
      <c r="C479">
        <v>9.51</v>
      </c>
      <c r="D479" s="6" t="s">
        <v>2373</v>
      </c>
      <c r="E479" s="6" t="s">
        <v>2370</v>
      </c>
      <c r="F479" s="6" t="s">
        <v>2370</v>
      </c>
      <c r="G479">
        <v>0</v>
      </c>
      <c r="H479" s="6" t="s">
        <v>2370</v>
      </c>
      <c r="I479" t="s">
        <v>8374</v>
      </c>
      <c r="J479" t="s">
        <v>8375</v>
      </c>
    </row>
    <row r="480" spans="1:10" x14ac:dyDescent="0.35">
      <c r="A480" s="6" t="s">
        <v>1882</v>
      </c>
      <c r="B480">
        <v>28.024999999999999</v>
      </c>
      <c r="C480">
        <v>7.67</v>
      </c>
      <c r="D480" s="6" t="s">
        <v>2373</v>
      </c>
      <c r="E480" s="6" t="s">
        <v>2370</v>
      </c>
      <c r="F480" s="6" t="s">
        <v>2370</v>
      </c>
      <c r="G480">
        <v>1</v>
      </c>
      <c r="H480" s="6" t="s">
        <v>2373</v>
      </c>
      <c r="I480" t="s">
        <v>8378</v>
      </c>
      <c r="J480" t="s">
        <v>8375</v>
      </c>
    </row>
    <row r="481" spans="1:10" x14ac:dyDescent="0.35">
      <c r="A481" s="6" t="s">
        <v>1881</v>
      </c>
      <c r="B481">
        <v>28.69</v>
      </c>
      <c r="C481">
        <v>6.23</v>
      </c>
      <c r="D481" s="6" t="s">
        <v>2370</v>
      </c>
      <c r="E481" s="6" t="s">
        <v>2370</v>
      </c>
      <c r="F481" s="6" t="s">
        <v>2370</v>
      </c>
      <c r="G481">
        <v>1</v>
      </c>
      <c r="H481" s="6" t="s">
        <v>2373</v>
      </c>
      <c r="I481" t="s">
        <v>8378</v>
      </c>
      <c r="J481" t="s">
        <v>8376</v>
      </c>
    </row>
    <row r="482" spans="1:10" x14ac:dyDescent="0.35">
      <c r="A482" s="6" t="s">
        <v>1880</v>
      </c>
      <c r="B482">
        <v>40.28</v>
      </c>
      <c r="C482">
        <v>8.9</v>
      </c>
      <c r="D482" s="6" t="s">
        <v>2370</v>
      </c>
      <c r="E482" s="6" t="s">
        <v>2370</v>
      </c>
      <c r="F482" s="6" t="s">
        <v>2370</v>
      </c>
      <c r="G482">
        <v>0</v>
      </c>
      <c r="H482" s="6" t="s">
        <v>2370</v>
      </c>
      <c r="I482" t="s">
        <v>8374</v>
      </c>
      <c r="J482" t="s">
        <v>8375</v>
      </c>
    </row>
    <row r="483" spans="1:10" x14ac:dyDescent="0.35">
      <c r="A483" s="6" t="s">
        <v>1879</v>
      </c>
      <c r="B483">
        <v>37.299999999999997</v>
      </c>
      <c r="C483">
        <v>7.79</v>
      </c>
      <c r="D483" s="6" t="s">
        <v>2373</v>
      </c>
      <c r="E483" s="6" t="s">
        <v>2370</v>
      </c>
      <c r="F483" s="6" t="s">
        <v>2370</v>
      </c>
      <c r="G483">
        <v>0</v>
      </c>
      <c r="H483" s="6" t="s">
        <v>2370</v>
      </c>
      <c r="I483" t="s">
        <v>8374</v>
      </c>
      <c r="J483" t="s">
        <v>8375</v>
      </c>
    </row>
    <row r="484" spans="1:10" x14ac:dyDescent="0.35">
      <c r="A484" s="6" t="s">
        <v>1878</v>
      </c>
      <c r="B484">
        <v>54.47</v>
      </c>
      <c r="C484">
        <v>4.49</v>
      </c>
      <c r="D484" s="6" t="s">
        <v>2373</v>
      </c>
      <c r="E484" s="6" t="s">
        <v>2370</v>
      </c>
      <c r="F484" s="6" t="s">
        <v>2370</v>
      </c>
      <c r="G484">
        <v>2</v>
      </c>
      <c r="H484" s="6" t="s">
        <v>2370</v>
      </c>
      <c r="I484" t="s">
        <v>8374</v>
      </c>
      <c r="J484" t="s">
        <v>8377</v>
      </c>
    </row>
    <row r="485" spans="1:10" x14ac:dyDescent="0.35">
      <c r="A485" s="6" t="s">
        <v>1877</v>
      </c>
      <c r="B485">
        <v>38.06</v>
      </c>
      <c r="C485">
        <v>5.24</v>
      </c>
      <c r="D485" s="6" t="s">
        <v>2373</v>
      </c>
      <c r="E485" s="6" t="s">
        <v>2370</v>
      </c>
      <c r="F485" s="6" t="s">
        <v>2373</v>
      </c>
      <c r="G485">
        <v>1</v>
      </c>
      <c r="H485" s="6" t="s">
        <v>2370</v>
      </c>
      <c r="I485" t="s">
        <v>8374</v>
      </c>
      <c r="J485" t="s">
        <v>8377</v>
      </c>
    </row>
    <row r="486" spans="1:10" x14ac:dyDescent="0.35">
      <c r="A486" s="6" t="s">
        <v>1876</v>
      </c>
      <c r="B486">
        <v>51.47</v>
      </c>
      <c r="C486">
        <v>9.6</v>
      </c>
      <c r="D486" s="6" t="s">
        <v>2370</v>
      </c>
      <c r="E486" s="6" t="s">
        <v>2370</v>
      </c>
      <c r="F486" s="6" t="s">
        <v>2370</v>
      </c>
      <c r="G486">
        <v>0</v>
      </c>
      <c r="H486" s="6" t="s">
        <v>2370</v>
      </c>
      <c r="I486" t="s">
        <v>8374</v>
      </c>
      <c r="J486" t="s">
        <v>8375</v>
      </c>
    </row>
    <row r="487" spans="1:10" x14ac:dyDescent="0.35">
      <c r="A487" s="6" t="s">
        <v>1875</v>
      </c>
      <c r="B487">
        <v>29.8</v>
      </c>
      <c r="C487">
        <v>5.78</v>
      </c>
      <c r="D487" s="6" t="s">
        <v>2373</v>
      </c>
      <c r="E487" s="6" t="s">
        <v>2370</v>
      </c>
      <c r="F487" s="6" t="s">
        <v>2370</v>
      </c>
      <c r="G487">
        <v>0</v>
      </c>
      <c r="H487" s="6" t="s">
        <v>2370</v>
      </c>
      <c r="I487" t="s">
        <v>8378</v>
      </c>
      <c r="J487" t="s">
        <v>8376</v>
      </c>
    </row>
    <row r="488" spans="1:10" x14ac:dyDescent="0.35">
      <c r="A488" s="6" t="s">
        <v>1874</v>
      </c>
      <c r="B488">
        <v>49.77</v>
      </c>
      <c r="C488">
        <v>7.02</v>
      </c>
      <c r="D488" s="6" t="s">
        <v>2370</v>
      </c>
      <c r="E488" s="6" t="s">
        <v>2370</v>
      </c>
      <c r="F488" s="6" t="s">
        <v>2370</v>
      </c>
      <c r="G488">
        <v>0</v>
      </c>
      <c r="H488" s="6" t="s">
        <v>2370</v>
      </c>
      <c r="I488" t="s">
        <v>8374</v>
      </c>
      <c r="J488" t="s">
        <v>8375</v>
      </c>
    </row>
    <row r="489" spans="1:10" x14ac:dyDescent="0.35">
      <c r="A489" s="6" t="s">
        <v>1873</v>
      </c>
      <c r="B489">
        <v>25.555</v>
      </c>
      <c r="C489">
        <v>4.09</v>
      </c>
      <c r="D489" s="6" t="s">
        <v>2373</v>
      </c>
      <c r="E489" s="6" t="s">
        <v>2370</v>
      </c>
      <c r="F489" s="6" t="s">
        <v>2370</v>
      </c>
      <c r="G489">
        <v>0</v>
      </c>
      <c r="H489" s="6" t="s">
        <v>2373</v>
      </c>
      <c r="I489" t="s">
        <v>8378</v>
      </c>
      <c r="J489" t="s">
        <v>8377</v>
      </c>
    </row>
    <row r="490" spans="1:10" x14ac:dyDescent="0.35">
      <c r="A490" s="6" t="s">
        <v>1872</v>
      </c>
      <c r="B490">
        <v>29.64</v>
      </c>
      <c r="C490">
        <v>4.93</v>
      </c>
      <c r="D490" s="6" t="s">
        <v>2370</v>
      </c>
      <c r="E490" s="6" t="s">
        <v>2370</v>
      </c>
      <c r="F490" s="6" t="s">
        <v>2373</v>
      </c>
      <c r="G490">
        <v>1</v>
      </c>
      <c r="H490" s="6" t="s">
        <v>2370</v>
      </c>
      <c r="I490" t="s">
        <v>8378</v>
      </c>
      <c r="J490" t="s">
        <v>8377</v>
      </c>
    </row>
    <row r="491" spans="1:10" x14ac:dyDescent="0.35">
      <c r="A491" s="6" t="s">
        <v>1871</v>
      </c>
      <c r="B491">
        <v>53.93</v>
      </c>
      <c r="C491">
        <v>5.34</v>
      </c>
      <c r="D491" s="6" t="s">
        <v>2373</v>
      </c>
      <c r="E491" s="6" t="s">
        <v>2370</v>
      </c>
      <c r="F491" s="6" t="s">
        <v>2370</v>
      </c>
      <c r="G491">
        <v>2</v>
      </c>
      <c r="H491" s="6" t="s">
        <v>2370</v>
      </c>
      <c r="I491" t="s">
        <v>8374</v>
      </c>
      <c r="J491" t="s">
        <v>8377</v>
      </c>
    </row>
    <row r="492" spans="1:10" x14ac:dyDescent="0.35">
      <c r="A492" s="6" t="s">
        <v>1870</v>
      </c>
      <c r="B492">
        <v>28.024999999999999</v>
      </c>
      <c r="C492">
        <v>5.65</v>
      </c>
      <c r="D492" s="6" t="s">
        <v>2370</v>
      </c>
      <c r="E492" s="6" t="s">
        <v>2370</v>
      </c>
      <c r="F492" s="6" t="s">
        <v>2370</v>
      </c>
      <c r="G492">
        <v>1</v>
      </c>
      <c r="H492" s="6" t="s">
        <v>2373</v>
      </c>
      <c r="I492" t="s">
        <v>8378</v>
      </c>
      <c r="J492" t="s">
        <v>8377</v>
      </c>
    </row>
    <row r="493" spans="1:10" x14ac:dyDescent="0.35">
      <c r="A493" s="6" t="s">
        <v>1869</v>
      </c>
      <c r="B493">
        <v>27.5</v>
      </c>
      <c r="C493">
        <v>4.49</v>
      </c>
      <c r="D493" s="6" t="s">
        <v>2370</v>
      </c>
      <c r="E493" s="6" t="s">
        <v>2370</v>
      </c>
      <c r="F493" s="6" t="s">
        <v>2370</v>
      </c>
      <c r="G493">
        <v>0</v>
      </c>
      <c r="H493" s="6" t="s">
        <v>2370</v>
      </c>
      <c r="I493" t="s">
        <v>8378</v>
      </c>
      <c r="J493" t="s">
        <v>8377</v>
      </c>
    </row>
    <row r="494" spans="1:10" x14ac:dyDescent="0.35">
      <c r="A494" s="6" t="s">
        <v>1868</v>
      </c>
      <c r="B494">
        <v>21.8</v>
      </c>
      <c r="C494">
        <v>10.55</v>
      </c>
      <c r="D494" s="6" t="s">
        <v>2370</v>
      </c>
      <c r="E494" s="6" t="s">
        <v>2370</v>
      </c>
      <c r="F494" s="6" t="s">
        <v>2370</v>
      </c>
      <c r="G494">
        <v>0</v>
      </c>
      <c r="H494" s="6" t="s">
        <v>2373</v>
      </c>
      <c r="I494" t="s">
        <v>8379</v>
      </c>
      <c r="J494" t="s">
        <v>8375</v>
      </c>
    </row>
    <row r="495" spans="1:10" x14ac:dyDescent="0.35">
      <c r="A495" s="6" t="s">
        <v>1867</v>
      </c>
      <c r="B495">
        <v>26.41</v>
      </c>
      <c r="C495">
        <v>4.92</v>
      </c>
      <c r="D495" s="6" t="s">
        <v>2373</v>
      </c>
      <c r="E495" s="6" t="s">
        <v>2370</v>
      </c>
      <c r="F495" s="6" t="s">
        <v>2373</v>
      </c>
      <c r="G495">
        <v>1</v>
      </c>
      <c r="H495" s="6" t="s">
        <v>2373</v>
      </c>
      <c r="I495" t="s">
        <v>8378</v>
      </c>
      <c r="J495" t="s">
        <v>8377</v>
      </c>
    </row>
    <row r="496" spans="1:10" x14ac:dyDescent="0.35">
      <c r="A496" s="6" t="s">
        <v>1866</v>
      </c>
      <c r="B496">
        <v>27.835000000000001</v>
      </c>
      <c r="C496">
        <v>5.9</v>
      </c>
      <c r="D496" s="6" t="s">
        <v>2373</v>
      </c>
      <c r="E496" s="6" t="s">
        <v>2370</v>
      </c>
      <c r="F496" s="6" t="s">
        <v>2370</v>
      </c>
      <c r="G496">
        <v>1</v>
      </c>
      <c r="H496" s="6" t="s">
        <v>2373</v>
      </c>
      <c r="I496" t="s">
        <v>8378</v>
      </c>
      <c r="J496" t="s">
        <v>8376</v>
      </c>
    </row>
    <row r="497" spans="1:10" x14ac:dyDescent="0.35">
      <c r="A497" s="6" t="s">
        <v>1865</v>
      </c>
      <c r="B497">
        <v>51.74</v>
      </c>
      <c r="C497">
        <v>4.9800000000000004</v>
      </c>
      <c r="D497" s="6" t="s">
        <v>2373</v>
      </c>
      <c r="E497" s="6" t="s">
        <v>2370</v>
      </c>
      <c r="F497" s="6" t="s">
        <v>2370</v>
      </c>
      <c r="G497">
        <v>2</v>
      </c>
      <c r="H497" s="6" t="s">
        <v>2370</v>
      </c>
      <c r="I497" t="s">
        <v>8374</v>
      </c>
      <c r="J497" t="s">
        <v>8377</v>
      </c>
    </row>
    <row r="498" spans="1:10" x14ac:dyDescent="0.35">
      <c r="A498" s="6" t="s">
        <v>1864</v>
      </c>
      <c r="B498">
        <v>23.37</v>
      </c>
      <c r="C498">
        <v>5.8</v>
      </c>
      <c r="D498" s="6" t="s">
        <v>2370</v>
      </c>
      <c r="E498" s="6" t="s">
        <v>2370</v>
      </c>
      <c r="F498" s="6" t="s">
        <v>2370</v>
      </c>
      <c r="G498">
        <v>0</v>
      </c>
      <c r="H498" s="6" t="s">
        <v>2373</v>
      </c>
      <c r="I498" t="s">
        <v>8379</v>
      </c>
      <c r="J498" t="s">
        <v>8376</v>
      </c>
    </row>
    <row r="499" spans="1:10" x14ac:dyDescent="0.35">
      <c r="A499" s="6" t="s">
        <v>1863</v>
      </c>
      <c r="B499">
        <v>29.7</v>
      </c>
      <c r="C499">
        <v>6.21</v>
      </c>
      <c r="D499" s="6" t="s">
        <v>2373</v>
      </c>
      <c r="E499" s="6" t="s">
        <v>2370</v>
      </c>
      <c r="F499" s="6" t="s">
        <v>2373</v>
      </c>
      <c r="G499">
        <v>1</v>
      </c>
      <c r="H499" s="6" t="s">
        <v>2373</v>
      </c>
      <c r="I499" t="s">
        <v>8378</v>
      </c>
      <c r="J499" t="s">
        <v>8376</v>
      </c>
    </row>
    <row r="500" spans="1:10" x14ac:dyDescent="0.35">
      <c r="A500" s="6" t="s">
        <v>1862</v>
      </c>
      <c r="B500">
        <v>20.045000000000002</v>
      </c>
      <c r="C500">
        <v>6.17</v>
      </c>
      <c r="D500" s="6" t="s">
        <v>2370</v>
      </c>
      <c r="E500" s="6" t="s">
        <v>2370</v>
      </c>
      <c r="F500" s="6" t="s">
        <v>2373</v>
      </c>
      <c r="G500">
        <v>1</v>
      </c>
      <c r="H500" s="6" t="s">
        <v>2373</v>
      </c>
      <c r="I500" t="s">
        <v>8379</v>
      </c>
      <c r="J500" t="s">
        <v>8376</v>
      </c>
    </row>
    <row r="501" spans="1:10" x14ac:dyDescent="0.35">
      <c r="A501" s="6" t="s">
        <v>1861</v>
      </c>
      <c r="B501">
        <v>27.83</v>
      </c>
      <c r="C501">
        <v>5.36</v>
      </c>
      <c r="D501" s="6" t="s">
        <v>2370</v>
      </c>
      <c r="E501" s="6" t="s">
        <v>2370</v>
      </c>
      <c r="F501" s="6" t="s">
        <v>2370</v>
      </c>
      <c r="G501">
        <v>2</v>
      </c>
      <c r="H501" s="6" t="s">
        <v>2370</v>
      </c>
      <c r="I501" t="s">
        <v>8378</v>
      </c>
      <c r="J501" t="s">
        <v>8377</v>
      </c>
    </row>
    <row r="502" spans="1:10" x14ac:dyDescent="0.35">
      <c r="A502" s="6" t="s">
        <v>1860</v>
      </c>
      <c r="B502">
        <v>28.93</v>
      </c>
      <c r="C502">
        <v>5.2</v>
      </c>
      <c r="D502" s="6" t="s">
        <v>2370</v>
      </c>
      <c r="E502" s="6" t="s">
        <v>2370</v>
      </c>
      <c r="F502" s="6" t="s">
        <v>2370</v>
      </c>
      <c r="G502">
        <v>0</v>
      </c>
      <c r="H502" s="6" t="s">
        <v>2373</v>
      </c>
      <c r="I502" t="s">
        <v>8378</v>
      </c>
      <c r="J502" t="s">
        <v>8377</v>
      </c>
    </row>
    <row r="503" spans="1:10" x14ac:dyDescent="0.35">
      <c r="A503" s="6" t="s">
        <v>1859</v>
      </c>
      <c r="B503">
        <v>33.82</v>
      </c>
      <c r="C503">
        <v>5.42</v>
      </c>
      <c r="D503" s="6" t="s">
        <v>2370</v>
      </c>
      <c r="E503" s="6" t="s">
        <v>2370</v>
      </c>
      <c r="F503" s="6" t="s">
        <v>2370</v>
      </c>
      <c r="G503">
        <v>0</v>
      </c>
      <c r="H503" s="6" t="s">
        <v>2370</v>
      </c>
      <c r="I503" t="s">
        <v>8374</v>
      </c>
      <c r="J503" t="s">
        <v>8377</v>
      </c>
    </row>
    <row r="504" spans="1:10" x14ac:dyDescent="0.35">
      <c r="A504" s="6" t="s">
        <v>1858</v>
      </c>
      <c r="B504">
        <v>20.234999999999999</v>
      </c>
      <c r="C504">
        <v>6.84</v>
      </c>
      <c r="D504" s="6" t="s">
        <v>2370</v>
      </c>
      <c r="E504" s="6" t="s">
        <v>2370</v>
      </c>
      <c r="F504" s="6" t="s">
        <v>2370</v>
      </c>
      <c r="G504">
        <v>0</v>
      </c>
      <c r="H504" s="6" t="s">
        <v>2373</v>
      </c>
      <c r="I504" t="s">
        <v>8379</v>
      </c>
      <c r="J504" t="s">
        <v>8375</v>
      </c>
    </row>
    <row r="505" spans="1:10" x14ac:dyDescent="0.35">
      <c r="A505" s="6" t="s">
        <v>1857</v>
      </c>
      <c r="B505">
        <v>49.2</v>
      </c>
      <c r="C505">
        <v>10.9</v>
      </c>
      <c r="D505" s="6" t="s">
        <v>2373</v>
      </c>
      <c r="E505" s="6" t="s">
        <v>2370</v>
      </c>
      <c r="F505" s="6" t="s">
        <v>2373</v>
      </c>
      <c r="G505">
        <v>1</v>
      </c>
      <c r="H505" s="6" t="s">
        <v>2370</v>
      </c>
      <c r="I505" t="s">
        <v>8374</v>
      </c>
      <c r="J505" t="s">
        <v>8375</v>
      </c>
    </row>
    <row r="506" spans="1:10" x14ac:dyDescent="0.35">
      <c r="A506" s="6" t="s">
        <v>1856</v>
      </c>
      <c r="B506">
        <v>26.4</v>
      </c>
      <c r="C506">
        <v>4.87</v>
      </c>
      <c r="D506" s="6" t="s">
        <v>2373</v>
      </c>
      <c r="E506" s="6" t="s">
        <v>2370</v>
      </c>
      <c r="F506" s="6" t="s">
        <v>2370</v>
      </c>
      <c r="G506">
        <v>0</v>
      </c>
      <c r="H506" s="6" t="s">
        <v>2373</v>
      </c>
      <c r="I506" t="s">
        <v>8378</v>
      </c>
      <c r="J506" t="s">
        <v>8377</v>
      </c>
    </row>
    <row r="507" spans="1:10" x14ac:dyDescent="0.35">
      <c r="A507" s="6" t="s">
        <v>1855</v>
      </c>
      <c r="B507">
        <v>28.38</v>
      </c>
      <c r="C507">
        <v>6.07</v>
      </c>
      <c r="D507" s="6" t="s">
        <v>2370</v>
      </c>
      <c r="E507" s="6" t="s">
        <v>2370</v>
      </c>
      <c r="F507" s="6" t="s">
        <v>2370</v>
      </c>
      <c r="G507">
        <v>1</v>
      </c>
      <c r="H507" s="6" t="s">
        <v>2373</v>
      </c>
      <c r="I507" t="s">
        <v>8378</v>
      </c>
      <c r="J507" t="s">
        <v>8376</v>
      </c>
    </row>
    <row r="508" spans="1:10" x14ac:dyDescent="0.35">
      <c r="A508" s="6" t="s">
        <v>1854</v>
      </c>
      <c r="B508">
        <v>24.64</v>
      </c>
      <c r="C508">
        <v>4.33</v>
      </c>
      <c r="D508" s="6" t="s">
        <v>2370</v>
      </c>
      <c r="E508" s="6" t="s">
        <v>2370</v>
      </c>
      <c r="F508" s="6" t="s">
        <v>2370</v>
      </c>
      <c r="G508">
        <v>0</v>
      </c>
      <c r="H508" s="6" t="s">
        <v>2373</v>
      </c>
      <c r="I508" t="s">
        <v>8379</v>
      </c>
      <c r="J508" t="s">
        <v>8377</v>
      </c>
    </row>
    <row r="509" spans="1:10" x14ac:dyDescent="0.35">
      <c r="A509" s="6" t="s">
        <v>1853</v>
      </c>
      <c r="B509">
        <v>39.71</v>
      </c>
      <c r="C509">
        <v>5.83</v>
      </c>
      <c r="D509" s="6" t="s">
        <v>2370</v>
      </c>
      <c r="E509" s="6" t="s">
        <v>2370</v>
      </c>
      <c r="F509" s="6" t="s">
        <v>2370</v>
      </c>
      <c r="G509">
        <v>1</v>
      </c>
      <c r="H509" s="6" t="s">
        <v>2370</v>
      </c>
      <c r="I509" t="s">
        <v>8374</v>
      </c>
      <c r="J509" t="s">
        <v>8376</v>
      </c>
    </row>
    <row r="510" spans="1:10" x14ac:dyDescent="0.35">
      <c r="A510" s="6" t="s">
        <v>1852</v>
      </c>
      <c r="B510">
        <v>22.22</v>
      </c>
      <c r="C510">
        <v>5.5</v>
      </c>
      <c r="D510" s="6" t="s">
        <v>2370</v>
      </c>
      <c r="E510" s="6" t="s">
        <v>2370</v>
      </c>
      <c r="F510" s="6" t="s">
        <v>2370</v>
      </c>
      <c r="G510">
        <v>0</v>
      </c>
      <c r="H510" s="6" t="s">
        <v>2373</v>
      </c>
      <c r="I510" t="s">
        <v>8379</v>
      </c>
      <c r="J510" t="s">
        <v>8377</v>
      </c>
    </row>
    <row r="511" spans="1:10" x14ac:dyDescent="0.35">
      <c r="A511" s="6" t="s">
        <v>1851</v>
      </c>
      <c r="B511">
        <v>33.344999999999999</v>
      </c>
      <c r="C511">
        <v>4.79</v>
      </c>
      <c r="D511" s="6" t="s">
        <v>2370</v>
      </c>
      <c r="E511" s="6" t="s">
        <v>2370</v>
      </c>
      <c r="F511" s="6" t="s">
        <v>2373</v>
      </c>
      <c r="G511">
        <v>1</v>
      </c>
      <c r="H511" s="6" t="s">
        <v>2370</v>
      </c>
      <c r="I511" t="s">
        <v>8374</v>
      </c>
      <c r="J511" t="s">
        <v>8377</v>
      </c>
    </row>
    <row r="512" spans="1:10" x14ac:dyDescent="0.35">
      <c r="A512" s="6" t="s">
        <v>1850</v>
      </c>
      <c r="B512">
        <v>24.42</v>
      </c>
      <c r="C512">
        <v>5.81</v>
      </c>
      <c r="D512" s="6" t="s">
        <v>2370</v>
      </c>
      <c r="E512" s="6" t="s">
        <v>2370</v>
      </c>
      <c r="F512" s="6" t="s">
        <v>2370</v>
      </c>
      <c r="G512">
        <v>1</v>
      </c>
      <c r="H512" s="6" t="s">
        <v>2373</v>
      </c>
      <c r="I512" t="s">
        <v>8379</v>
      </c>
      <c r="J512" t="s">
        <v>8376</v>
      </c>
    </row>
    <row r="513" spans="1:10" x14ac:dyDescent="0.35">
      <c r="A513" s="6" t="s">
        <v>1849</v>
      </c>
      <c r="B513">
        <v>29.81</v>
      </c>
      <c r="C513">
        <v>5.58</v>
      </c>
      <c r="D513" s="6" t="s">
        <v>2370</v>
      </c>
      <c r="E513" s="6" t="s">
        <v>2370</v>
      </c>
      <c r="F513" s="6" t="s">
        <v>2370</v>
      </c>
      <c r="G513">
        <v>0</v>
      </c>
      <c r="H513" s="6" t="s">
        <v>2373</v>
      </c>
      <c r="I513" t="s">
        <v>8378</v>
      </c>
      <c r="J513" t="s">
        <v>8377</v>
      </c>
    </row>
    <row r="514" spans="1:10" x14ac:dyDescent="0.35">
      <c r="A514" s="6" t="s">
        <v>1848</v>
      </c>
      <c r="B514">
        <v>51.18</v>
      </c>
      <c r="C514">
        <v>4.4000000000000004</v>
      </c>
      <c r="D514" s="6" t="s">
        <v>2373</v>
      </c>
      <c r="E514" s="6" t="s">
        <v>2370</v>
      </c>
      <c r="F514" s="6" t="s">
        <v>2370</v>
      </c>
      <c r="G514">
        <v>2</v>
      </c>
      <c r="H514" s="6" t="s">
        <v>2370</v>
      </c>
      <c r="I514" t="s">
        <v>8374</v>
      </c>
      <c r="J514" t="s">
        <v>8377</v>
      </c>
    </row>
    <row r="515" spans="1:10" x14ac:dyDescent="0.35">
      <c r="A515" s="6" t="s">
        <v>1847</v>
      </c>
      <c r="B515">
        <v>51.37</v>
      </c>
      <c r="C515">
        <v>8.18</v>
      </c>
      <c r="D515" s="6" t="s">
        <v>2373</v>
      </c>
      <c r="E515" s="6" t="s">
        <v>2370</v>
      </c>
      <c r="F515" s="6" t="s">
        <v>2370</v>
      </c>
      <c r="G515">
        <v>0</v>
      </c>
      <c r="H515" s="6" t="s">
        <v>2370</v>
      </c>
      <c r="I515" t="s">
        <v>8374</v>
      </c>
      <c r="J515" t="s">
        <v>8375</v>
      </c>
    </row>
    <row r="516" spans="1:10" x14ac:dyDescent="0.35">
      <c r="A516" s="6" t="s">
        <v>1846</v>
      </c>
      <c r="B516">
        <v>36.19</v>
      </c>
      <c r="C516">
        <v>5.52</v>
      </c>
      <c r="D516" s="6" t="s">
        <v>2373</v>
      </c>
      <c r="E516" s="6" t="s">
        <v>2370</v>
      </c>
      <c r="F516" s="6" t="s">
        <v>2370</v>
      </c>
      <c r="G516">
        <v>0</v>
      </c>
      <c r="H516" s="6" t="s">
        <v>2370</v>
      </c>
      <c r="I516" t="s">
        <v>8374</v>
      </c>
      <c r="J516" t="s">
        <v>8377</v>
      </c>
    </row>
    <row r="517" spans="1:10" x14ac:dyDescent="0.35">
      <c r="A517" s="6" t="s">
        <v>1845</v>
      </c>
      <c r="B517">
        <v>25.9</v>
      </c>
      <c r="C517">
        <v>4.84</v>
      </c>
      <c r="D517" s="6" t="s">
        <v>2370</v>
      </c>
      <c r="E517" s="6" t="s">
        <v>2370</v>
      </c>
      <c r="F517" s="6" t="s">
        <v>2370</v>
      </c>
      <c r="G517">
        <v>0</v>
      </c>
      <c r="H517" s="6" t="s">
        <v>2373</v>
      </c>
      <c r="I517" t="s">
        <v>8378</v>
      </c>
      <c r="J517" t="s">
        <v>8377</v>
      </c>
    </row>
    <row r="518" spans="1:10" x14ac:dyDescent="0.35">
      <c r="A518" s="6" t="s">
        <v>1844</v>
      </c>
      <c r="B518">
        <v>35.72</v>
      </c>
      <c r="C518">
        <v>4.08</v>
      </c>
      <c r="D518" s="6" t="s">
        <v>2370</v>
      </c>
      <c r="E518" s="6" t="s">
        <v>2370</v>
      </c>
      <c r="F518" s="6" t="s">
        <v>2373</v>
      </c>
      <c r="G518">
        <v>1</v>
      </c>
      <c r="H518" s="6" t="s">
        <v>2370</v>
      </c>
      <c r="I518" t="s">
        <v>8374</v>
      </c>
      <c r="J518" t="s">
        <v>8377</v>
      </c>
    </row>
    <row r="519" spans="1:10" x14ac:dyDescent="0.35">
      <c r="A519" s="6" t="s">
        <v>1843</v>
      </c>
      <c r="B519">
        <v>27.94</v>
      </c>
      <c r="C519">
        <v>4.4800000000000004</v>
      </c>
      <c r="D519" s="6" t="s">
        <v>2370</v>
      </c>
      <c r="E519" s="6" t="s">
        <v>2370</v>
      </c>
      <c r="F519" s="6" t="s">
        <v>2373</v>
      </c>
      <c r="G519">
        <v>1</v>
      </c>
      <c r="H519" s="6" t="s">
        <v>2373</v>
      </c>
      <c r="I519" t="s">
        <v>8378</v>
      </c>
      <c r="J519" t="s">
        <v>8377</v>
      </c>
    </row>
    <row r="520" spans="1:10" x14ac:dyDescent="0.35">
      <c r="A520" s="6" t="s">
        <v>1842</v>
      </c>
      <c r="B520">
        <v>27.1</v>
      </c>
      <c r="C520">
        <v>5.73</v>
      </c>
      <c r="D520" s="6" t="s">
        <v>2370</v>
      </c>
      <c r="E520" s="6" t="s">
        <v>2370</v>
      </c>
      <c r="F520" s="6" t="s">
        <v>2370</v>
      </c>
      <c r="G520">
        <v>0</v>
      </c>
      <c r="H520" s="6" t="s">
        <v>2373</v>
      </c>
      <c r="I520" t="s">
        <v>8378</v>
      </c>
      <c r="J520" t="s">
        <v>8376</v>
      </c>
    </row>
    <row r="521" spans="1:10" x14ac:dyDescent="0.35">
      <c r="A521" s="6" t="s">
        <v>1841</v>
      </c>
      <c r="B521">
        <v>18.3</v>
      </c>
      <c r="C521">
        <v>5.46</v>
      </c>
      <c r="D521" s="6" t="s">
        <v>2373</v>
      </c>
      <c r="E521" s="6" t="s">
        <v>2370</v>
      </c>
      <c r="F521" s="6" t="s">
        <v>2373</v>
      </c>
      <c r="G521">
        <v>1</v>
      </c>
      <c r="H521" s="6" t="s">
        <v>2373</v>
      </c>
      <c r="I521" t="s">
        <v>8380</v>
      </c>
      <c r="J521" t="s">
        <v>8377</v>
      </c>
    </row>
    <row r="522" spans="1:10" x14ac:dyDescent="0.35">
      <c r="A522" s="6" t="s">
        <v>1840</v>
      </c>
      <c r="B522">
        <v>25.3</v>
      </c>
      <c r="C522">
        <v>5.0199999999999996</v>
      </c>
      <c r="D522" s="6" t="s">
        <v>2373</v>
      </c>
      <c r="E522" s="6" t="s">
        <v>2370</v>
      </c>
      <c r="F522" s="6" t="s">
        <v>2370</v>
      </c>
      <c r="G522">
        <v>1</v>
      </c>
      <c r="H522" s="6" t="s">
        <v>2373</v>
      </c>
      <c r="I522" t="s">
        <v>8378</v>
      </c>
      <c r="J522" t="s">
        <v>8377</v>
      </c>
    </row>
    <row r="523" spans="1:10" x14ac:dyDescent="0.35">
      <c r="A523" s="6" t="s">
        <v>1839</v>
      </c>
      <c r="B523">
        <v>38.83</v>
      </c>
      <c r="C523">
        <v>6.36</v>
      </c>
      <c r="D523" s="6" t="s">
        <v>2370</v>
      </c>
      <c r="E523" s="6" t="s">
        <v>2370</v>
      </c>
      <c r="F523" s="6" t="s">
        <v>2370</v>
      </c>
      <c r="G523">
        <v>1</v>
      </c>
      <c r="H523" s="6" t="s">
        <v>2370</v>
      </c>
      <c r="I523" t="s">
        <v>8374</v>
      </c>
      <c r="J523" t="s">
        <v>8376</v>
      </c>
    </row>
    <row r="524" spans="1:10" x14ac:dyDescent="0.35">
      <c r="A524" s="6" t="s">
        <v>1838</v>
      </c>
      <c r="B524">
        <v>27.6</v>
      </c>
      <c r="C524">
        <v>5.36</v>
      </c>
      <c r="D524" s="6" t="s">
        <v>2370</v>
      </c>
      <c r="E524" s="6" t="s">
        <v>2370</v>
      </c>
      <c r="F524" s="6" t="s">
        <v>2370</v>
      </c>
      <c r="G524">
        <v>1</v>
      </c>
      <c r="H524" s="6" t="s">
        <v>2370</v>
      </c>
      <c r="I524" t="s">
        <v>8378</v>
      </c>
      <c r="J524" t="s">
        <v>8377</v>
      </c>
    </row>
    <row r="525" spans="1:10" x14ac:dyDescent="0.35">
      <c r="A525" s="6" t="s">
        <v>1837</v>
      </c>
      <c r="B525">
        <v>46.4</v>
      </c>
      <c r="C525">
        <v>8.3699999999999992</v>
      </c>
      <c r="D525" s="6" t="s">
        <v>2373</v>
      </c>
      <c r="E525" s="6" t="s">
        <v>2370</v>
      </c>
      <c r="F525" s="6" t="s">
        <v>2373</v>
      </c>
      <c r="G525">
        <v>1</v>
      </c>
      <c r="H525" s="6" t="s">
        <v>2370</v>
      </c>
      <c r="I525" t="s">
        <v>8374</v>
      </c>
      <c r="J525" t="s">
        <v>8375</v>
      </c>
    </row>
    <row r="526" spans="1:10" x14ac:dyDescent="0.35">
      <c r="A526" s="6" t="s">
        <v>1836</v>
      </c>
      <c r="B526">
        <v>51.92</v>
      </c>
      <c r="C526">
        <v>5.18</v>
      </c>
      <c r="D526" s="6" t="s">
        <v>2373</v>
      </c>
      <c r="E526" s="6" t="s">
        <v>2370</v>
      </c>
      <c r="F526" s="6" t="s">
        <v>2373</v>
      </c>
      <c r="G526">
        <v>1</v>
      </c>
      <c r="H526" s="6" t="s">
        <v>2370</v>
      </c>
      <c r="I526" t="s">
        <v>8374</v>
      </c>
      <c r="J526" t="s">
        <v>8377</v>
      </c>
    </row>
    <row r="527" spans="1:10" x14ac:dyDescent="0.35">
      <c r="A527" s="6" t="s">
        <v>1835</v>
      </c>
      <c r="B527">
        <v>32.395000000000003</v>
      </c>
      <c r="C527">
        <v>5.68</v>
      </c>
      <c r="D527" s="6" t="s">
        <v>2373</v>
      </c>
      <c r="E527" s="6" t="s">
        <v>2370</v>
      </c>
      <c r="F527" s="6" t="s">
        <v>2370</v>
      </c>
      <c r="G527">
        <v>1</v>
      </c>
      <c r="H527" s="6" t="s">
        <v>2370</v>
      </c>
      <c r="I527" t="s">
        <v>8374</v>
      </c>
      <c r="J527" t="s">
        <v>8377</v>
      </c>
    </row>
    <row r="528" spans="1:10" x14ac:dyDescent="0.35">
      <c r="A528" s="6" t="s">
        <v>1834</v>
      </c>
      <c r="B528">
        <v>46.19</v>
      </c>
      <c r="C528">
        <v>7.31</v>
      </c>
      <c r="D528" s="6" t="s">
        <v>2373</v>
      </c>
      <c r="E528" s="6" t="s">
        <v>2370</v>
      </c>
      <c r="F528" s="6" t="s">
        <v>2373</v>
      </c>
      <c r="G528">
        <v>1</v>
      </c>
      <c r="H528" s="6" t="s">
        <v>2370</v>
      </c>
      <c r="I528" t="s">
        <v>8374</v>
      </c>
      <c r="J528" t="s">
        <v>8375</v>
      </c>
    </row>
    <row r="529" spans="1:10" x14ac:dyDescent="0.35">
      <c r="A529" s="6" t="s">
        <v>1833</v>
      </c>
      <c r="B529">
        <v>27.93</v>
      </c>
      <c r="C529">
        <v>4.67</v>
      </c>
      <c r="D529" s="6" t="s">
        <v>2370</v>
      </c>
      <c r="E529" s="6" t="s">
        <v>2370</v>
      </c>
      <c r="F529" s="6" t="s">
        <v>2373</v>
      </c>
      <c r="G529">
        <v>1</v>
      </c>
      <c r="H529" s="6" t="s">
        <v>2370</v>
      </c>
      <c r="I529" t="s">
        <v>8378</v>
      </c>
      <c r="J529" t="s">
        <v>8377</v>
      </c>
    </row>
    <row r="530" spans="1:10" x14ac:dyDescent="0.35">
      <c r="A530" s="6" t="s">
        <v>1832</v>
      </c>
      <c r="B530">
        <v>45.62</v>
      </c>
      <c r="C530">
        <v>6.87</v>
      </c>
      <c r="D530" s="6" t="s">
        <v>2370</v>
      </c>
      <c r="E530" s="6" t="s">
        <v>2370</v>
      </c>
      <c r="F530" s="6" t="s">
        <v>2370</v>
      </c>
      <c r="G530">
        <v>0</v>
      </c>
      <c r="H530" s="6" t="s">
        <v>2370</v>
      </c>
      <c r="I530" t="s">
        <v>8374</v>
      </c>
      <c r="J530" t="s">
        <v>8375</v>
      </c>
    </row>
    <row r="531" spans="1:10" x14ac:dyDescent="0.35">
      <c r="A531" s="6" t="s">
        <v>1831</v>
      </c>
      <c r="B531">
        <v>35.31</v>
      </c>
      <c r="C531">
        <v>5.87</v>
      </c>
      <c r="D531" s="6" t="s">
        <v>2370</v>
      </c>
      <c r="E531" s="6" t="s">
        <v>2370</v>
      </c>
      <c r="F531" s="6" t="s">
        <v>2373</v>
      </c>
      <c r="G531">
        <v>1</v>
      </c>
      <c r="H531" s="6" t="s">
        <v>2370</v>
      </c>
      <c r="I531" t="s">
        <v>8374</v>
      </c>
      <c r="J531" t="s">
        <v>8376</v>
      </c>
    </row>
    <row r="532" spans="1:10" x14ac:dyDescent="0.35">
      <c r="A532" s="6" t="s">
        <v>1830</v>
      </c>
      <c r="B532">
        <v>30.4</v>
      </c>
      <c r="C532">
        <v>4.07</v>
      </c>
      <c r="D532" s="6" t="s">
        <v>2373</v>
      </c>
      <c r="E532" s="6" t="s">
        <v>2370</v>
      </c>
      <c r="F532" s="6" t="s">
        <v>2370</v>
      </c>
      <c r="G532">
        <v>1</v>
      </c>
      <c r="H532" s="6" t="s">
        <v>2370</v>
      </c>
      <c r="I532" t="s">
        <v>8374</v>
      </c>
      <c r="J532" t="s">
        <v>8377</v>
      </c>
    </row>
    <row r="533" spans="1:10" x14ac:dyDescent="0.35">
      <c r="A533" s="6" t="s">
        <v>1829</v>
      </c>
      <c r="B533">
        <v>20.13</v>
      </c>
      <c r="C533">
        <v>6.47</v>
      </c>
      <c r="D533" s="6" t="s">
        <v>2370</v>
      </c>
      <c r="E533" s="6" t="s">
        <v>2370</v>
      </c>
      <c r="F533" s="6" t="s">
        <v>2373</v>
      </c>
      <c r="G533">
        <v>1</v>
      </c>
      <c r="H533" s="6" t="s">
        <v>2373</v>
      </c>
      <c r="I533" t="s">
        <v>8379</v>
      </c>
      <c r="J533" t="s">
        <v>8376</v>
      </c>
    </row>
    <row r="534" spans="1:10" x14ac:dyDescent="0.35">
      <c r="A534" s="6" t="s">
        <v>1828</v>
      </c>
      <c r="B534">
        <v>23.655000000000001</v>
      </c>
      <c r="C534">
        <v>5.14</v>
      </c>
      <c r="D534" s="6" t="s">
        <v>2370</v>
      </c>
      <c r="E534" s="6" t="s">
        <v>2370</v>
      </c>
      <c r="F534" s="6" t="s">
        <v>2370</v>
      </c>
      <c r="G534">
        <v>1</v>
      </c>
      <c r="H534" s="6" t="s">
        <v>2373</v>
      </c>
      <c r="I534" t="s">
        <v>8379</v>
      </c>
      <c r="J534" t="s">
        <v>8377</v>
      </c>
    </row>
    <row r="535" spans="1:10" x14ac:dyDescent="0.35">
      <c r="A535" s="6" t="s">
        <v>1827</v>
      </c>
      <c r="B535">
        <v>49.05</v>
      </c>
      <c r="C535">
        <v>9.77</v>
      </c>
      <c r="D535" s="6" t="s">
        <v>2373</v>
      </c>
      <c r="E535" s="6" t="s">
        <v>2370</v>
      </c>
      <c r="F535" s="6" t="s">
        <v>2370</v>
      </c>
      <c r="G535">
        <v>0</v>
      </c>
      <c r="H535" s="6" t="s">
        <v>2370</v>
      </c>
      <c r="I535" t="s">
        <v>8374</v>
      </c>
      <c r="J535" t="s">
        <v>8375</v>
      </c>
    </row>
    <row r="536" spans="1:10" x14ac:dyDescent="0.35">
      <c r="A536" s="6" t="s">
        <v>1826</v>
      </c>
      <c r="B536">
        <v>51.94</v>
      </c>
      <c r="C536">
        <v>8.8000000000000007</v>
      </c>
      <c r="D536" s="6" t="s">
        <v>2373</v>
      </c>
      <c r="E536" s="6" t="s">
        <v>2370</v>
      </c>
      <c r="F536" s="6" t="s">
        <v>2370</v>
      </c>
      <c r="G536">
        <v>2</v>
      </c>
      <c r="H536" s="6" t="s">
        <v>2370</v>
      </c>
      <c r="I536" t="s">
        <v>8374</v>
      </c>
      <c r="J536" t="s">
        <v>8375</v>
      </c>
    </row>
    <row r="537" spans="1:10" x14ac:dyDescent="0.35">
      <c r="A537" s="6" t="s">
        <v>1825</v>
      </c>
      <c r="B537">
        <v>29.83</v>
      </c>
      <c r="C537">
        <v>5.84</v>
      </c>
      <c r="D537" s="6" t="s">
        <v>2370</v>
      </c>
      <c r="E537" s="6" t="s">
        <v>2370</v>
      </c>
      <c r="F537" s="6" t="s">
        <v>2370</v>
      </c>
      <c r="G537">
        <v>1</v>
      </c>
      <c r="H537" s="6" t="s">
        <v>2373</v>
      </c>
      <c r="I537" t="s">
        <v>8378</v>
      </c>
      <c r="J537" t="s">
        <v>8376</v>
      </c>
    </row>
    <row r="538" spans="1:10" x14ac:dyDescent="0.35">
      <c r="A538" s="6" t="s">
        <v>1824</v>
      </c>
      <c r="B538">
        <v>22.6</v>
      </c>
      <c r="C538">
        <v>10.43</v>
      </c>
      <c r="D538" s="6" t="s">
        <v>2373</v>
      </c>
      <c r="E538" s="6" t="s">
        <v>2370</v>
      </c>
      <c r="F538" s="6" t="s">
        <v>2370</v>
      </c>
      <c r="G538">
        <v>1</v>
      </c>
      <c r="H538" s="6" t="s">
        <v>2373</v>
      </c>
      <c r="I538" t="s">
        <v>8379</v>
      </c>
      <c r="J538" t="s">
        <v>8375</v>
      </c>
    </row>
    <row r="539" spans="1:10" x14ac:dyDescent="0.35">
      <c r="A539" s="6" t="s">
        <v>1823</v>
      </c>
      <c r="B539">
        <v>46.69</v>
      </c>
      <c r="C539">
        <v>4.25</v>
      </c>
      <c r="D539" s="6" t="s">
        <v>2373</v>
      </c>
      <c r="E539" s="6" t="s">
        <v>2370</v>
      </c>
      <c r="F539" s="6" t="s">
        <v>2370</v>
      </c>
      <c r="G539">
        <v>1</v>
      </c>
      <c r="H539" s="6" t="s">
        <v>2370</v>
      </c>
      <c r="I539" t="s">
        <v>8374</v>
      </c>
      <c r="J539" t="s">
        <v>8377</v>
      </c>
    </row>
    <row r="540" spans="1:10" x14ac:dyDescent="0.35">
      <c r="A540" s="6" t="s">
        <v>1822</v>
      </c>
      <c r="B540">
        <v>28.49</v>
      </c>
      <c r="C540">
        <v>4.8899999999999997</v>
      </c>
      <c r="D540" s="6" t="s">
        <v>2370</v>
      </c>
      <c r="E540" s="6" t="s">
        <v>2370</v>
      </c>
      <c r="F540" s="6" t="s">
        <v>2370</v>
      </c>
      <c r="G540">
        <v>0</v>
      </c>
      <c r="H540" s="6" t="s">
        <v>2373</v>
      </c>
      <c r="I540" t="s">
        <v>8378</v>
      </c>
      <c r="J540" t="s">
        <v>8377</v>
      </c>
    </row>
    <row r="541" spans="1:10" x14ac:dyDescent="0.35">
      <c r="A541" s="6" t="s">
        <v>1821</v>
      </c>
      <c r="B541">
        <v>28.5</v>
      </c>
      <c r="C541">
        <v>5.55</v>
      </c>
      <c r="D541" s="6" t="s">
        <v>2373</v>
      </c>
      <c r="E541" s="6" t="s">
        <v>2370</v>
      </c>
      <c r="F541" s="6" t="s">
        <v>2370</v>
      </c>
      <c r="G541">
        <v>1</v>
      </c>
      <c r="H541" s="6" t="s">
        <v>2373</v>
      </c>
      <c r="I541" t="s">
        <v>8378</v>
      </c>
      <c r="J541" t="s">
        <v>8377</v>
      </c>
    </row>
    <row r="542" spans="1:10" x14ac:dyDescent="0.35">
      <c r="A542" s="6" t="s">
        <v>1820</v>
      </c>
      <c r="B542">
        <v>24.4</v>
      </c>
      <c r="C542">
        <v>4.5199999999999996</v>
      </c>
      <c r="D542" s="6" t="s">
        <v>2370</v>
      </c>
      <c r="E542" s="6" t="s">
        <v>2370</v>
      </c>
      <c r="F542" s="6" t="s">
        <v>2370</v>
      </c>
      <c r="G542">
        <v>1</v>
      </c>
      <c r="H542" s="6" t="s">
        <v>2373</v>
      </c>
      <c r="I542" t="s">
        <v>8379</v>
      </c>
      <c r="J542" t="s">
        <v>8377</v>
      </c>
    </row>
    <row r="543" spans="1:10" x14ac:dyDescent="0.35">
      <c r="A543" s="6" t="s">
        <v>1819</v>
      </c>
      <c r="B543">
        <v>29.15</v>
      </c>
      <c r="C543">
        <v>4.45</v>
      </c>
      <c r="D543" s="6" t="s">
        <v>2373</v>
      </c>
      <c r="E543" s="6" t="s">
        <v>2370</v>
      </c>
      <c r="F543" s="6" t="s">
        <v>2370</v>
      </c>
      <c r="G543">
        <v>1</v>
      </c>
      <c r="H543" s="6" t="s">
        <v>2373</v>
      </c>
      <c r="I543" t="s">
        <v>8378</v>
      </c>
      <c r="J543" t="s">
        <v>8377</v>
      </c>
    </row>
    <row r="544" spans="1:10" x14ac:dyDescent="0.35">
      <c r="A544" s="6" t="s">
        <v>1818</v>
      </c>
      <c r="B544">
        <v>27.28</v>
      </c>
      <c r="C544">
        <v>4.72</v>
      </c>
      <c r="D544" s="6" t="s">
        <v>2370</v>
      </c>
      <c r="E544" s="6" t="s">
        <v>2372</v>
      </c>
      <c r="F544" s="6" t="s">
        <v>2370</v>
      </c>
      <c r="G544">
        <v>1</v>
      </c>
      <c r="H544" s="6" t="s">
        <v>2373</v>
      </c>
      <c r="I544" t="s">
        <v>8378</v>
      </c>
      <c r="J544" t="s">
        <v>8377</v>
      </c>
    </row>
    <row r="545" spans="1:10" x14ac:dyDescent="0.35">
      <c r="A545" s="6" t="s">
        <v>1817</v>
      </c>
      <c r="B545">
        <v>32.229999999999997</v>
      </c>
      <c r="C545">
        <v>4.6500000000000004</v>
      </c>
      <c r="D545" s="6" t="s">
        <v>2373</v>
      </c>
      <c r="E545" s="6" t="s">
        <v>2370</v>
      </c>
      <c r="F545" s="6" t="s">
        <v>2373</v>
      </c>
      <c r="G545">
        <v>1</v>
      </c>
      <c r="H545" s="6" t="s">
        <v>2370</v>
      </c>
      <c r="I545" t="s">
        <v>8374</v>
      </c>
      <c r="J545" t="s">
        <v>8377</v>
      </c>
    </row>
    <row r="546" spans="1:10" x14ac:dyDescent="0.35">
      <c r="A546" s="6" t="s">
        <v>1816</v>
      </c>
      <c r="B546">
        <v>44.2</v>
      </c>
      <c r="C546">
        <v>11.34</v>
      </c>
      <c r="D546" s="6" t="s">
        <v>2373</v>
      </c>
      <c r="E546" s="6" t="s">
        <v>2370</v>
      </c>
      <c r="F546" s="6" t="s">
        <v>2373</v>
      </c>
      <c r="G546">
        <v>1</v>
      </c>
      <c r="H546" s="6" t="s">
        <v>2370</v>
      </c>
      <c r="I546" t="s">
        <v>8374</v>
      </c>
      <c r="J546" t="s">
        <v>8375</v>
      </c>
    </row>
    <row r="547" spans="1:10" x14ac:dyDescent="0.35">
      <c r="A547" s="6" t="s">
        <v>1815</v>
      </c>
      <c r="B547">
        <v>29.734999999999999</v>
      </c>
      <c r="C547">
        <v>4.53</v>
      </c>
      <c r="D547" s="6" t="s">
        <v>2370</v>
      </c>
      <c r="E547" s="6" t="s">
        <v>2370</v>
      </c>
      <c r="F547" s="6" t="s">
        <v>2373</v>
      </c>
      <c r="G547">
        <v>1</v>
      </c>
      <c r="H547" s="6" t="s">
        <v>2370</v>
      </c>
      <c r="I547" t="s">
        <v>8378</v>
      </c>
      <c r="J547" t="s">
        <v>8377</v>
      </c>
    </row>
    <row r="548" spans="1:10" x14ac:dyDescent="0.35">
      <c r="A548" s="6" t="s">
        <v>1814</v>
      </c>
      <c r="B548">
        <v>28.31</v>
      </c>
      <c r="C548">
        <v>6.35</v>
      </c>
      <c r="D548" s="6" t="s">
        <v>2370</v>
      </c>
      <c r="E548" s="6" t="s">
        <v>2370</v>
      </c>
      <c r="F548" s="6" t="s">
        <v>2370</v>
      </c>
      <c r="G548">
        <v>0</v>
      </c>
      <c r="H548" s="6" t="s">
        <v>2373</v>
      </c>
      <c r="I548" t="s">
        <v>8378</v>
      </c>
      <c r="J548" t="s">
        <v>8376</v>
      </c>
    </row>
    <row r="549" spans="1:10" x14ac:dyDescent="0.35">
      <c r="A549" s="6" t="s">
        <v>1813</v>
      </c>
      <c r="B549">
        <v>46.62</v>
      </c>
      <c r="C549">
        <v>8.51</v>
      </c>
      <c r="D549" s="6" t="s">
        <v>2370</v>
      </c>
      <c r="E549" s="6" t="s">
        <v>2370</v>
      </c>
      <c r="F549" s="6" t="s">
        <v>2370</v>
      </c>
      <c r="G549">
        <v>0</v>
      </c>
      <c r="H549" s="6" t="s">
        <v>2370</v>
      </c>
      <c r="I549" t="s">
        <v>8374</v>
      </c>
      <c r="J549" t="s">
        <v>8375</v>
      </c>
    </row>
    <row r="550" spans="1:10" x14ac:dyDescent="0.35">
      <c r="A550" s="6" t="s">
        <v>1812</v>
      </c>
      <c r="B550">
        <v>51.75</v>
      </c>
      <c r="C550">
        <v>8.59</v>
      </c>
      <c r="D550" s="6" t="s">
        <v>2373</v>
      </c>
      <c r="E550" s="6" t="s">
        <v>2370</v>
      </c>
      <c r="F550" s="6" t="s">
        <v>2370</v>
      </c>
      <c r="G550">
        <v>1</v>
      </c>
      <c r="H550" s="6" t="s">
        <v>2370</v>
      </c>
      <c r="I550" t="s">
        <v>8374</v>
      </c>
      <c r="J550" t="s">
        <v>8375</v>
      </c>
    </row>
    <row r="551" spans="1:10" x14ac:dyDescent="0.35">
      <c r="A551" s="6" t="s">
        <v>1811</v>
      </c>
      <c r="B551">
        <v>25.7</v>
      </c>
      <c r="C551">
        <v>4.13</v>
      </c>
      <c r="D551" s="6" t="s">
        <v>2373</v>
      </c>
      <c r="E551" s="6" t="s">
        <v>2370</v>
      </c>
      <c r="F551" s="6" t="s">
        <v>2370</v>
      </c>
      <c r="G551">
        <v>0</v>
      </c>
      <c r="H551" s="6" t="s">
        <v>2373</v>
      </c>
      <c r="I551" t="s">
        <v>8378</v>
      </c>
      <c r="J551" t="s">
        <v>8377</v>
      </c>
    </row>
    <row r="552" spans="1:10" x14ac:dyDescent="0.35">
      <c r="A552" s="6" t="s">
        <v>1810</v>
      </c>
      <c r="B552">
        <v>31.79</v>
      </c>
      <c r="C552">
        <v>4.55</v>
      </c>
      <c r="D552" s="6" t="s">
        <v>2370</v>
      </c>
      <c r="E552" s="6" t="s">
        <v>2370</v>
      </c>
      <c r="F552" s="6" t="s">
        <v>2370</v>
      </c>
      <c r="G552">
        <v>0</v>
      </c>
      <c r="H552" s="6" t="s">
        <v>2370</v>
      </c>
      <c r="I552" t="s">
        <v>8374</v>
      </c>
      <c r="J552" t="s">
        <v>8377</v>
      </c>
    </row>
    <row r="553" spans="1:10" x14ac:dyDescent="0.35">
      <c r="A553" s="6" t="s">
        <v>1809</v>
      </c>
      <c r="B553">
        <v>24.795000000000002</v>
      </c>
      <c r="C553">
        <v>4.5199999999999996</v>
      </c>
      <c r="D553" s="6" t="s">
        <v>2370</v>
      </c>
      <c r="E553" s="6" t="s">
        <v>2370</v>
      </c>
      <c r="F553" s="6" t="s">
        <v>2370</v>
      </c>
      <c r="G553">
        <v>0</v>
      </c>
      <c r="H553" s="6" t="s">
        <v>2373</v>
      </c>
      <c r="I553" t="s">
        <v>8379</v>
      </c>
      <c r="J553" t="s">
        <v>8377</v>
      </c>
    </row>
    <row r="554" spans="1:10" x14ac:dyDescent="0.35">
      <c r="A554" s="6" t="s">
        <v>1808</v>
      </c>
      <c r="B554">
        <v>53.98</v>
      </c>
      <c r="C554">
        <v>5.07</v>
      </c>
      <c r="D554" s="6" t="s">
        <v>2370</v>
      </c>
      <c r="E554" s="6" t="s">
        <v>2370</v>
      </c>
      <c r="F554" s="6" t="s">
        <v>2373</v>
      </c>
      <c r="G554">
        <v>1</v>
      </c>
      <c r="H554" s="6" t="s">
        <v>2370</v>
      </c>
      <c r="I554" t="s">
        <v>8374</v>
      </c>
      <c r="J554" t="s">
        <v>8377</v>
      </c>
    </row>
    <row r="555" spans="1:10" x14ac:dyDescent="0.35">
      <c r="A555" s="6" t="s">
        <v>1807</v>
      </c>
      <c r="B555">
        <v>41.325000000000003</v>
      </c>
      <c r="C555">
        <v>4.04</v>
      </c>
      <c r="D555" s="6" t="s">
        <v>2373</v>
      </c>
      <c r="E555" s="6" t="s">
        <v>2370</v>
      </c>
      <c r="F555" s="6" t="s">
        <v>2373</v>
      </c>
      <c r="G555">
        <v>1</v>
      </c>
      <c r="H555" s="6" t="s">
        <v>2370</v>
      </c>
      <c r="I555" t="s">
        <v>8374</v>
      </c>
      <c r="J555" t="s">
        <v>8377</v>
      </c>
    </row>
    <row r="556" spans="1:10" x14ac:dyDescent="0.35">
      <c r="A556" s="6" t="s">
        <v>1806</v>
      </c>
      <c r="B556">
        <v>51.65</v>
      </c>
      <c r="C556">
        <v>5.3</v>
      </c>
      <c r="D556" s="6" t="s">
        <v>2373</v>
      </c>
      <c r="E556" s="6" t="s">
        <v>2370</v>
      </c>
      <c r="F556" s="6" t="s">
        <v>2370</v>
      </c>
      <c r="G556">
        <v>0</v>
      </c>
      <c r="H556" s="6" t="s">
        <v>2370</v>
      </c>
      <c r="I556" t="s">
        <v>8374</v>
      </c>
      <c r="J556" t="s">
        <v>8377</v>
      </c>
    </row>
    <row r="557" spans="1:10" x14ac:dyDescent="0.35">
      <c r="A557" s="6" t="s">
        <v>1805</v>
      </c>
      <c r="B557">
        <v>44.52</v>
      </c>
      <c r="C557">
        <v>8.64</v>
      </c>
      <c r="D557" s="6" t="s">
        <v>2373</v>
      </c>
      <c r="E557" s="6" t="s">
        <v>2370</v>
      </c>
      <c r="F557" s="6" t="s">
        <v>2373</v>
      </c>
      <c r="G557">
        <v>1</v>
      </c>
      <c r="H557" s="6" t="s">
        <v>2370</v>
      </c>
      <c r="I557" t="s">
        <v>8374</v>
      </c>
      <c r="J557" t="s">
        <v>8375</v>
      </c>
    </row>
    <row r="558" spans="1:10" x14ac:dyDescent="0.35">
      <c r="A558" s="6" t="s">
        <v>1804</v>
      </c>
      <c r="B558">
        <v>53.29</v>
      </c>
      <c r="C558">
        <v>4.03</v>
      </c>
      <c r="D558" s="6" t="s">
        <v>2370</v>
      </c>
      <c r="E558" s="6" t="s">
        <v>2370</v>
      </c>
      <c r="F558" s="6" t="s">
        <v>2373</v>
      </c>
      <c r="G558">
        <v>1</v>
      </c>
      <c r="H558" s="6" t="s">
        <v>2370</v>
      </c>
      <c r="I558" t="s">
        <v>8374</v>
      </c>
      <c r="J558" t="s">
        <v>8377</v>
      </c>
    </row>
    <row r="559" spans="1:10" x14ac:dyDescent="0.35">
      <c r="A559" s="6" t="s">
        <v>1803</v>
      </c>
      <c r="B559">
        <v>46.63</v>
      </c>
      <c r="C559">
        <v>4.26</v>
      </c>
      <c r="D559" s="6" t="s">
        <v>2373</v>
      </c>
      <c r="E559" s="6" t="s">
        <v>2370</v>
      </c>
      <c r="F559" s="6" t="s">
        <v>2370</v>
      </c>
      <c r="G559">
        <v>2</v>
      </c>
      <c r="H559" s="6" t="s">
        <v>2370</v>
      </c>
      <c r="I559" t="s">
        <v>8374</v>
      </c>
      <c r="J559" t="s">
        <v>8377</v>
      </c>
    </row>
    <row r="560" spans="1:10" x14ac:dyDescent="0.35">
      <c r="A560" s="6" t="s">
        <v>1802</v>
      </c>
      <c r="B560">
        <v>28.88</v>
      </c>
      <c r="C560">
        <v>5.35</v>
      </c>
      <c r="D560" s="6" t="s">
        <v>2370</v>
      </c>
      <c r="E560" s="6" t="s">
        <v>2370</v>
      </c>
      <c r="F560" s="6" t="s">
        <v>2373</v>
      </c>
      <c r="G560">
        <v>1</v>
      </c>
      <c r="H560" s="6" t="s">
        <v>2373</v>
      </c>
      <c r="I560" t="s">
        <v>8378</v>
      </c>
      <c r="J560" t="s">
        <v>8377</v>
      </c>
    </row>
    <row r="561" spans="1:10" x14ac:dyDescent="0.35">
      <c r="A561" s="6" t="s">
        <v>1801</v>
      </c>
      <c r="B561">
        <v>23.98</v>
      </c>
      <c r="C561">
        <v>4.9000000000000004</v>
      </c>
      <c r="D561" s="6" t="s">
        <v>2370</v>
      </c>
      <c r="E561" s="6" t="s">
        <v>2370</v>
      </c>
      <c r="F561" s="6" t="s">
        <v>2370</v>
      </c>
      <c r="G561">
        <v>0</v>
      </c>
      <c r="H561" s="6" t="s">
        <v>2370</v>
      </c>
      <c r="I561" t="s">
        <v>8379</v>
      </c>
      <c r="J561" t="s">
        <v>8377</v>
      </c>
    </row>
    <row r="562" spans="1:10" x14ac:dyDescent="0.35">
      <c r="A562" s="6" t="s">
        <v>1800</v>
      </c>
      <c r="B562">
        <v>23.65</v>
      </c>
      <c r="C562">
        <v>4.5</v>
      </c>
      <c r="D562" s="6" t="s">
        <v>2370</v>
      </c>
      <c r="E562" s="6" t="s">
        <v>2370</v>
      </c>
      <c r="F562" s="6" t="s">
        <v>2370</v>
      </c>
      <c r="G562">
        <v>0</v>
      </c>
      <c r="H562" s="6" t="s">
        <v>2370</v>
      </c>
      <c r="I562" t="s">
        <v>8379</v>
      </c>
      <c r="J562" t="s">
        <v>8377</v>
      </c>
    </row>
    <row r="563" spans="1:10" x14ac:dyDescent="0.35">
      <c r="A563" s="6" t="s">
        <v>1799</v>
      </c>
      <c r="B563">
        <v>49.09</v>
      </c>
      <c r="C563">
        <v>8.3800000000000008</v>
      </c>
      <c r="D563" s="6" t="s">
        <v>2373</v>
      </c>
      <c r="E563" s="6" t="s">
        <v>2370</v>
      </c>
      <c r="F563" s="6" t="s">
        <v>2370</v>
      </c>
      <c r="G563">
        <v>2</v>
      </c>
      <c r="H563" s="6" t="s">
        <v>2370</v>
      </c>
      <c r="I563" t="s">
        <v>8374</v>
      </c>
      <c r="J563" t="s">
        <v>8375</v>
      </c>
    </row>
    <row r="564" spans="1:10" x14ac:dyDescent="0.35">
      <c r="A564" s="6" t="s">
        <v>1798</v>
      </c>
      <c r="B564">
        <v>28.024999999999999</v>
      </c>
      <c r="C564">
        <v>7.03</v>
      </c>
      <c r="D564" s="6" t="s">
        <v>2370</v>
      </c>
      <c r="E564" s="6" t="s">
        <v>2370</v>
      </c>
      <c r="F564" s="6" t="s">
        <v>2370</v>
      </c>
      <c r="G564">
        <v>0</v>
      </c>
      <c r="H564" s="6" t="s">
        <v>2373</v>
      </c>
      <c r="I564" t="s">
        <v>8378</v>
      </c>
      <c r="J564" t="s">
        <v>8375</v>
      </c>
    </row>
    <row r="565" spans="1:10" x14ac:dyDescent="0.35">
      <c r="A565" s="6" t="s">
        <v>1797</v>
      </c>
      <c r="B565">
        <v>43.32</v>
      </c>
      <c r="C565">
        <v>8.75</v>
      </c>
      <c r="D565" s="6" t="s">
        <v>2373</v>
      </c>
      <c r="E565" s="6" t="s">
        <v>2370</v>
      </c>
      <c r="F565" s="6" t="s">
        <v>2373</v>
      </c>
      <c r="G565">
        <v>1</v>
      </c>
      <c r="H565" s="6" t="s">
        <v>2370</v>
      </c>
      <c r="I565" t="s">
        <v>8374</v>
      </c>
      <c r="J565" t="s">
        <v>8375</v>
      </c>
    </row>
    <row r="566" spans="1:10" x14ac:dyDescent="0.35">
      <c r="A566" s="6" t="s">
        <v>1796</v>
      </c>
      <c r="B566">
        <v>45.92</v>
      </c>
      <c r="C566">
        <v>9.51</v>
      </c>
      <c r="D566" s="6" t="s">
        <v>2370</v>
      </c>
      <c r="E566" s="6" t="s">
        <v>2370</v>
      </c>
      <c r="F566" s="6" t="s">
        <v>2370</v>
      </c>
      <c r="G566">
        <v>0</v>
      </c>
      <c r="H566" s="6" t="s">
        <v>2370</v>
      </c>
      <c r="I566" t="s">
        <v>8374</v>
      </c>
      <c r="J566" t="s">
        <v>8375</v>
      </c>
    </row>
    <row r="567" spans="1:10" x14ac:dyDescent="0.35">
      <c r="A567" s="6" t="s">
        <v>1795</v>
      </c>
      <c r="B567">
        <v>44.03</v>
      </c>
      <c r="C567">
        <v>9.36</v>
      </c>
      <c r="D567" s="6" t="s">
        <v>2370</v>
      </c>
      <c r="E567" s="6" t="s">
        <v>2370</v>
      </c>
      <c r="F567" s="6" t="s">
        <v>2370</v>
      </c>
      <c r="G567">
        <v>0</v>
      </c>
      <c r="H567" s="6" t="s">
        <v>2370</v>
      </c>
      <c r="I567" t="s">
        <v>8374</v>
      </c>
      <c r="J567" t="s">
        <v>8375</v>
      </c>
    </row>
    <row r="568" spans="1:10" x14ac:dyDescent="0.35">
      <c r="A568" s="6" t="s">
        <v>1794</v>
      </c>
      <c r="B568">
        <v>24.6</v>
      </c>
      <c r="C568">
        <v>4.8099999999999996</v>
      </c>
      <c r="D568" s="6" t="s">
        <v>2370</v>
      </c>
      <c r="E568" s="6" t="s">
        <v>2370</v>
      </c>
      <c r="F568" s="6" t="s">
        <v>2370</v>
      </c>
      <c r="G568">
        <v>0</v>
      </c>
      <c r="H568" s="6" t="s">
        <v>2373</v>
      </c>
      <c r="I568" t="s">
        <v>8379</v>
      </c>
      <c r="J568" t="s">
        <v>8377</v>
      </c>
    </row>
    <row r="569" spans="1:10" x14ac:dyDescent="0.35">
      <c r="A569" s="6" t="s">
        <v>1793</v>
      </c>
      <c r="B569">
        <v>49.15</v>
      </c>
      <c r="C569">
        <v>8.08</v>
      </c>
      <c r="D569" s="6" t="s">
        <v>2370</v>
      </c>
      <c r="E569" s="6" t="s">
        <v>2370</v>
      </c>
      <c r="F569" s="6" t="s">
        <v>2370</v>
      </c>
      <c r="G569">
        <v>0</v>
      </c>
      <c r="H569" s="6" t="s">
        <v>2370</v>
      </c>
      <c r="I569" t="s">
        <v>8374</v>
      </c>
      <c r="J569" t="s">
        <v>8375</v>
      </c>
    </row>
    <row r="570" spans="1:10" x14ac:dyDescent="0.35">
      <c r="A570" s="6" t="s">
        <v>1792</v>
      </c>
      <c r="B570">
        <v>28.31</v>
      </c>
      <c r="C570">
        <v>6.29</v>
      </c>
      <c r="D570" s="6" t="s">
        <v>2370</v>
      </c>
      <c r="E570" s="6" t="s">
        <v>2370</v>
      </c>
      <c r="F570" s="6" t="s">
        <v>2373</v>
      </c>
      <c r="G570">
        <v>1</v>
      </c>
      <c r="H570" s="6" t="s">
        <v>2373</v>
      </c>
      <c r="I570" t="s">
        <v>8378</v>
      </c>
      <c r="J570" t="s">
        <v>8376</v>
      </c>
    </row>
    <row r="571" spans="1:10" x14ac:dyDescent="0.35">
      <c r="A571" s="6" t="s">
        <v>1791</v>
      </c>
      <c r="B571">
        <v>22.99</v>
      </c>
      <c r="C571">
        <v>6.29</v>
      </c>
      <c r="D571" s="6" t="s">
        <v>2370</v>
      </c>
      <c r="E571" s="6" t="s">
        <v>2370</v>
      </c>
      <c r="F571" s="6" t="s">
        <v>2370</v>
      </c>
      <c r="G571">
        <v>1</v>
      </c>
      <c r="H571" s="6" t="s">
        <v>2373</v>
      </c>
      <c r="I571" t="s">
        <v>8379</v>
      </c>
      <c r="J571" t="s">
        <v>8376</v>
      </c>
    </row>
    <row r="572" spans="1:10" x14ac:dyDescent="0.35">
      <c r="A572" s="6" t="s">
        <v>1790</v>
      </c>
      <c r="B572">
        <v>29.07</v>
      </c>
      <c r="C572">
        <v>5.12</v>
      </c>
      <c r="D572" s="6" t="s">
        <v>2370</v>
      </c>
      <c r="E572" s="6" t="s">
        <v>2370</v>
      </c>
      <c r="F572" s="6" t="s">
        <v>2373</v>
      </c>
      <c r="G572">
        <v>1</v>
      </c>
      <c r="H572" s="6" t="s">
        <v>2373</v>
      </c>
      <c r="I572" t="s">
        <v>8378</v>
      </c>
      <c r="J572" t="s">
        <v>8377</v>
      </c>
    </row>
    <row r="573" spans="1:10" x14ac:dyDescent="0.35">
      <c r="A573" s="6" t="s">
        <v>1789</v>
      </c>
      <c r="B573">
        <v>42.02</v>
      </c>
      <c r="C573">
        <v>9.9499999999999993</v>
      </c>
      <c r="D573" s="6" t="s">
        <v>2373</v>
      </c>
      <c r="E573" s="6" t="s">
        <v>2370</v>
      </c>
      <c r="F573" s="6" t="s">
        <v>2373</v>
      </c>
      <c r="G573">
        <v>1</v>
      </c>
      <c r="H573" s="6" t="s">
        <v>2370</v>
      </c>
      <c r="I573" t="s">
        <v>8374</v>
      </c>
      <c r="J573" t="s">
        <v>8375</v>
      </c>
    </row>
    <row r="574" spans="1:10" x14ac:dyDescent="0.35">
      <c r="A574" s="6" t="s">
        <v>1788</v>
      </c>
      <c r="B574">
        <v>49.07</v>
      </c>
      <c r="C574">
        <v>9.08</v>
      </c>
      <c r="D574" s="6" t="s">
        <v>2373</v>
      </c>
      <c r="E574" s="6" t="s">
        <v>2370</v>
      </c>
      <c r="F574" s="6" t="s">
        <v>2370</v>
      </c>
      <c r="G574">
        <v>1</v>
      </c>
      <c r="H574" s="6" t="s">
        <v>2370</v>
      </c>
      <c r="I574" t="s">
        <v>8374</v>
      </c>
      <c r="J574" t="s">
        <v>8375</v>
      </c>
    </row>
    <row r="575" spans="1:10" x14ac:dyDescent="0.35">
      <c r="A575" s="6" t="s">
        <v>1787</v>
      </c>
      <c r="B575">
        <v>19.8</v>
      </c>
      <c r="C575">
        <v>4.82</v>
      </c>
      <c r="D575" s="6" t="s">
        <v>2370</v>
      </c>
      <c r="E575" s="6" t="s">
        <v>2370</v>
      </c>
      <c r="F575" s="6" t="s">
        <v>2370</v>
      </c>
      <c r="G575">
        <v>0</v>
      </c>
      <c r="H575" s="6" t="s">
        <v>2373</v>
      </c>
      <c r="I575" t="s">
        <v>8379</v>
      </c>
      <c r="J575" t="s">
        <v>8377</v>
      </c>
    </row>
    <row r="576" spans="1:10" x14ac:dyDescent="0.35">
      <c r="A576" s="6" t="s">
        <v>1786</v>
      </c>
      <c r="B576">
        <v>27.36</v>
      </c>
      <c r="C576">
        <v>4.6500000000000004</v>
      </c>
      <c r="D576" s="6" t="s">
        <v>2370</v>
      </c>
      <c r="E576" s="6" t="s">
        <v>2372</v>
      </c>
      <c r="F576" s="6" t="s">
        <v>2370</v>
      </c>
      <c r="G576">
        <v>1</v>
      </c>
      <c r="H576" s="6" t="s">
        <v>2373</v>
      </c>
      <c r="I576" t="s">
        <v>8378</v>
      </c>
      <c r="J576" t="s">
        <v>8377</v>
      </c>
    </row>
    <row r="577" spans="1:10" x14ac:dyDescent="0.35">
      <c r="A577" s="6" t="s">
        <v>1785</v>
      </c>
      <c r="B577">
        <v>42.95</v>
      </c>
      <c r="C577">
        <v>5.16</v>
      </c>
      <c r="D577" s="6" t="s">
        <v>2373</v>
      </c>
      <c r="E577" s="6" t="s">
        <v>2370</v>
      </c>
      <c r="F577" s="6" t="s">
        <v>2370</v>
      </c>
      <c r="G577">
        <v>1</v>
      </c>
      <c r="H577" s="6" t="s">
        <v>2370</v>
      </c>
      <c r="I577" t="s">
        <v>8374</v>
      </c>
      <c r="J577" t="s">
        <v>8377</v>
      </c>
    </row>
    <row r="578" spans="1:10" x14ac:dyDescent="0.35">
      <c r="A578" s="6" t="s">
        <v>1784</v>
      </c>
      <c r="B578">
        <v>42.66</v>
      </c>
      <c r="C578">
        <v>10.44</v>
      </c>
      <c r="D578" s="6" t="s">
        <v>2370</v>
      </c>
      <c r="E578" s="6" t="s">
        <v>2370</v>
      </c>
      <c r="F578" s="6" t="s">
        <v>2370</v>
      </c>
      <c r="G578">
        <v>0</v>
      </c>
      <c r="H578" s="6" t="s">
        <v>2370</v>
      </c>
      <c r="I578" t="s">
        <v>8374</v>
      </c>
      <c r="J578" t="s">
        <v>8375</v>
      </c>
    </row>
    <row r="579" spans="1:10" x14ac:dyDescent="0.35">
      <c r="A579" s="6" t="s">
        <v>1783</v>
      </c>
      <c r="B579">
        <v>33.630000000000003</v>
      </c>
      <c r="C579">
        <v>5.69</v>
      </c>
      <c r="D579" s="6" t="s">
        <v>2370</v>
      </c>
      <c r="E579" s="6" t="s">
        <v>2370</v>
      </c>
      <c r="F579" s="6" t="s">
        <v>2370</v>
      </c>
      <c r="G579">
        <v>1</v>
      </c>
      <c r="H579" s="6" t="s">
        <v>2370</v>
      </c>
      <c r="I579" t="s">
        <v>8374</v>
      </c>
      <c r="J579" t="s">
        <v>8377</v>
      </c>
    </row>
    <row r="580" spans="1:10" x14ac:dyDescent="0.35">
      <c r="A580" s="6" t="s">
        <v>1782</v>
      </c>
      <c r="B580">
        <v>26.84</v>
      </c>
      <c r="C580">
        <v>6.5</v>
      </c>
      <c r="D580" s="6" t="s">
        <v>2370</v>
      </c>
      <c r="E580" s="6" t="s">
        <v>2370</v>
      </c>
      <c r="F580" s="6" t="s">
        <v>2370</v>
      </c>
      <c r="G580">
        <v>0</v>
      </c>
      <c r="H580" s="6" t="s">
        <v>2373</v>
      </c>
      <c r="I580" t="s">
        <v>8378</v>
      </c>
      <c r="J580" t="s">
        <v>8375</v>
      </c>
    </row>
    <row r="581" spans="1:10" x14ac:dyDescent="0.35">
      <c r="A581" s="6" t="s">
        <v>1781</v>
      </c>
      <c r="B581">
        <v>28.3</v>
      </c>
      <c r="C581">
        <v>5.73</v>
      </c>
      <c r="D581" s="6" t="s">
        <v>2370</v>
      </c>
      <c r="E581" s="6" t="s">
        <v>2370</v>
      </c>
      <c r="F581" s="6" t="s">
        <v>2373</v>
      </c>
      <c r="G581">
        <v>1</v>
      </c>
      <c r="H581" s="6" t="s">
        <v>2373</v>
      </c>
      <c r="I581" t="s">
        <v>8378</v>
      </c>
      <c r="J581" t="s">
        <v>8376</v>
      </c>
    </row>
    <row r="582" spans="1:10" x14ac:dyDescent="0.35">
      <c r="A582" s="6" t="s">
        <v>1780</v>
      </c>
      <c r="B582">
        <v>27.06</v>
      </c>
      <c r="C582">
        <v>5.74</v>
      </c>
      <c r="D582" s="6" t="s">
        <v>2373</v>
      </c>
      <c r="E582" s="6" t="s">
        <v>2370</v>
      </c>
      <c r="F582" s="6" t="s">
        <v>2370</v>
      </c>
      <c r="G582">
        <v>0</v>
      </c>
      <c r="H582" s="6" t="s">
        <v>2373</v>
      </c>
      <c r="I582" t="s">
        <v>8378</v>
      </c>
      <c r="J582" t="s">
        <v>8376</v>
      </c>
    </row>
    <row r="583" spans="1:10" x14ac:dyDescent="0.35">
      <c r="A583" s="6" t="s">
        <v>1779</v>
      </c>
      <c r="B583">
        <v>47.13</v>
      </c>
      <c r="C583">
        <v>8.6999999999999993</v>
      </c>
      <c r="D583" s="6" t="s">
        <v>2370</v>
      </c>
      <c r="E583" s="6" t="s">
        <v>2370</v>
      </c>
      <c r="F583" s="6" t="s">
        <v>2370</v>
      </c>
      <c r="G583">
        <v>0</v>
      </c>
      <c r="H583" s="6" t="s">
        <v>2370</v>
      </c>
      <c r="I583" t="s">
        <v>8374</v>
      </c>
      <c r="J583" t="s">
        <v>8375</v>
      </c>
    </row>
    <row r="584" spans="1:10" x14ac:dyDescent="0.35">
      <c r="A584" s="6" t="s">
        <v>1778</v>
      </c>
      <c r="B584">
        <v>51.72</v>
      </c>
      <c r="C584">
        <v>5.09</v>
      </c>
      <c r="D584" s="6" t="s">
        <v>2370</v>
      </c>
      <c r="E584" s="6" t="s">
        <v>2370</v>
      </c>
      <c r="F584" s="6" t="s">
        <v>2370</v>
      </c>
      <c r="G584">
        <v>0</v>
      </c>
      <c r="H584" s="6" t="s">
        <v>2370</v>
      </c>
      <c r="I584" t="s">
        <v>8374</v>
      </c>
      <c r="J584" t="s">
        <v>8377</v>
      </c>
    </row>
    <row r="585" spans="1:10" x14ac:dyDescent="0.35">
      <c r="A585" s="6" t="s">
        <v>1777</v>
      </c>
      <c r="B585">
        <v>48.59</v>
      </c>
      <c r="C585">
        <v>5.57</v>
      </c>
      <c r="D585" s="6" t="s">
        <v>2370</v>
      </c>
      <c r="E585" s="6" t="s">
        <v>2370</v>
      </c>
      <c r="F585" s="6" t="s">
        <v>2370</v>
      </c>
      <c r="G585">
        <v>0</v>
      </c>
      <c r="H585" s="6" t="s">
        <v>2370</v>
      </c>
      <c r="I585" t="s">
        <v>8374</v>
      </c>
      <c r="J585" t="s">
        <v>8377</v>
      </c>
    </row>
    <row r="586" spans="1:10" x14ac:dyDescent="0.35">
      <c r="A586" s="6" t="s">
        <v>1776</v>
      </c>
      <c r="B586">
        <v>45.18</v>
      </c>
      <c r="C586">
        <v>10.87</v>
      </c>
      <c r="D586" s="6" t="s">
        <v>2370</v>
      </c>
      <c r="E586" s="6" t="s">
        <v>2370</v>
      </c>
      <c r="F586" s="6" t="s">
        <v>2370</v>
      </c>
      <c r="G586">
        <v>0</v>
      </c>
      <c r="H586" s="6" t="s">
        <v>2370</v>
      </c>
      <c r="I586" t="s">
        <v>8374</v>
      </c>
      <c r="J586" t="s">
        <v>8375</v>
      </c>
    </row>
    <row r="587" spans="1:10" x14ac:dyDescent="0.35">
      <c r="A587" s="6" t="s">
        <v>1775</v>
      </c>
      <c r="B587">
        <v>27.9</v>
      </c>
      <c r="C587">
        <v>6.02</v>
      </c>
      <c r="D587" s="6" t="s">
        <v>2370</v>
      </c>
      <c r="E587" s="6" t="s">
        <v>2370</v>
      </c>
      <c r="F587" s="6" t="s">
        <v>2373</v>
      </c>
      <c r="G587">
        <v>1</v>
      </c>
      <c r="H587" s="6" t="s">
        <v>2373</v>
      </c>
      <c r="I587" t="s">
        <v>8378</v>
      </c>
      <c r="J587" t="s">
        <v>8376</v>
      </c>
    </row>
    <row r="588" spans="1:10" x14ac:dyDescent="0.35">
      <c r="A588" s="6" t="s">
        <v>1774</v>
      </c>
      <c r="B588">
        <v>51.33</v>
      </c>
      <c r="C588">
        <v>7</v>
      </c>
      <c r="D588" s="6" t="s">
        <v>2370</v>
      </c>
      <c r="E588" s="6" t="s">
        <v>2370</v>
      </c>
      <c r="F588" s="6" t="s">
        <v>2370</v>
      </c>
      <c r="G588">
        <v>0</v>
      </c>
      <c r="H588" s="6" t="s">
        <v>2370</v>
      </c>
      <c r="I588" t="s">
        <v>8374</v>
      </c>
      <c r="J588" t="s">
        <v>8375</v>
      </c>
    </row>
    <row r="589" spans="1:10" x14ac:dyDescent="0.35">
      <c r="A589" s="6" t="s">
        <v>1773</v>
      </c>
      <c r="B589">
        <v>30.59</v>
      </c>
      <c r="C589">
        <v>5.56</v>
      </c>
      <c r="D589" s="6" t="s">
        <v>2373</v>
      </c>
      <c r="E589" s="6" t="s">
        <v>2370</v>
      </c>
      <c r="F589" s="6" t="s">
        <v>2370</v>
      </c>
      <c r="G589">
        <v>1</v>
      </c>
      <c r="H589" s="6" t="s">
        <v>2370</v>
      </c>
      <c r="I589" t="s">
        <v>8374</v>
      </c>
      <c r="J589" t="s">
        <v>8377</v>
      </c>
    </row>
    <row r="590" spans="1:10" x14ac:dyDescent="0.35">
      <c r="A590" s="6" t="s">
        <v>1772</v>
      </c>
      <c r="B590">
        <v>39.229999999999997</v>
      </c>
      <c r="C590">
        <v>8.4499999999999993</v>
      </c>
      <c r="D590" s="6" t="s">
        <v>2370</v>
      </c>
      <c r="E590" s="6" t="s">
        <v>2370</v>
      </c>
      <c r="F590" s="6" t="s">
        <v>2370</v>
      </c>
      <c r="G590">
        <v>0</v>
      </c>
      <c r="H590" s="6" t="s">
        <v>2370</v>
      </c>
      <c r="I590" t="s">
        <v>8374</v>
      </c>
      <c r="J590" t="s">
        <v>8375</v>
      </c>
    </row>
    <row r="591" spans="1:10" x14ac:dyDescent="0.35">
      <c r="A591" s="6" t="s">
        <v>1771</v>
      </c>
      <c r="B591">
        <v>19.094999999999999</v>
      </c>
      <c r="C591">
        <v>6.19</v>
      </c>
      <c r="D591" s="6" t="s">
        <v>2370</v>
      </c>
      <c r="E591" s="6" t="s">
        <v>2370</v>
      </c>
      <c r="F591" s="6" t="s">
        <v>2370</v>
      </c>
      <c r="G591">
        <v>0</v>
      </c>
      <c r="H591" s="6" t="s">
        <v>2373</v>
      </c>
      <c r="I591" t="s">
        <v>8379</v>
      </c>
      <c r="J591" t="s">
        <v>8376</v>
      </c>
    </row>
    <row r="592" spans="1:10" x14ac:dyDescent="0.35">
      <c r="A592" s="6" t="s">
        <v>1770</v>
      </c>
      <c r="B592">
        <v>49.72</v>
      </c>
      <c r="C592">
        <v>7.71</v>
      </c>
      <c r="D592" s="6" t="s">
        <v>2370</v>
      </c>
      <c r="E592" s="6" t="s">
        <v>2370</v>
      </c>
      <c r="F592" s="6" t="s">
        <v>2370</v>
      </c>
      <c r="G592">
        <v>0</v>
      </c>
      <c r="H592" s="6" t="s">
        <v>2370</v>
      </c>
      <c r="I592" t="s">
        <v>8374</v>
      </c>
      <c r="J592" t="s">
        <v>8375</v>
      </c>
    </row>
    <row r="593" spans="1:10" x14ac:dyDescent="0.35">
      <c r="A593" s="6" t="s">
        <v>1769</v>
      </c>
      <c r="B593">
        <v>21.754999999999999</v>
      </c>
      <c r="C593">
        <v>4.63</v>
      </c>
      <c r="D593" s="6" t="s">
        <v>2370</v>
      </c>
      <c r="E593" s="6" t="s">
        <v>2370</v>
      </c>
      <c r="F593" s="6" t="s">
        <v>2373</v>
      </c>
      <c r="G593">
        <v>1</v>
      </c>
      <c r="H593" s="6" t="s">
        <v>2373</v>
      </c>
      <c r="I593" t="s">
        <v>8379</v>
      </c>
      <c r="J593" t="s">
        <v>8377</v>
      </c>
    </row>
    <row r="594" spans="1:10" x14ac:dyDescent="0.35">
      <c r="A594" s="6" t="s">
        <v>1768</v>
      </c>
      <c r="B594">
        <v>48.39</v>
      </c>
      <c r="C594">
        <v>4.6100000000000003</v>
      </c>
      <c r="D594" s="6" t="s">
        <v>2370</v>
      </c>
      <c r="E594" s="6" t="s">
        <v>2370</v>
      </c>
      <c r="F594" s="6" t="s">
        <v>2370</v>
      </c>
      <c r="G594">
        <v>0</v>
      </c>
      <c r="H594" s="6" t="s">
        <v>2370</v>
      </c>
      <c r="I594" t="s">
        <v>8374</v>
      </c>
      <c r="J594" t="s">
        <v>8377</v>
      </c>
    </row>
    <row r="595" spans="1:10" x14ac:dyDescent="0.35">
      <c r="A595" s="6" t="s">
        <v>1767</v>
      </c>
      <c r="B595">
        <v>47.15</v>
      </c>
      <c r="C595">
        <v>9.5299999999999994</v>
      </c>
      <c r="D595" s="6" t="s">
        <v>2373</v>
      </c>
      <c r="E595" s="6" t="s">
        <v>2370</v>
      </c>
      <c r="F595" s="6" t="s">
        <v>2370</v>
      </c>
      <c r="G595">
        <v>1</v>
      </c>
      <c r="H595" s="6" t="s">
        <v>2370</v>
      </c>
      <c r="I595" t="s">
        <v>8374</v>
      </c>
      <c r="J595" t="s">
        <v>8375</v>
      </c>
    </row>
    <row r="596" spans="1:10" x14ac:dyDescent="0.35">
      <c r="A596" s="6" t="s">
        <v>1766</v>
      </c>
      <c r="B596">
        <v>47.59</v>
      </c>
      <c r="C596">
        <v>11.43</v>
      </c>
      <c r="D596" s="6" t="s">
        <v>2373</v>
      </c>
      <c r="E596" s="6" t="s">
        <v>2370</v>
      </c>
      <c r="F596" s="6" t="s">
        <v>2370</v>
      </c>
      <c r="G596">
        <v>2</v>
      </c>
      <c r="H596" s="6" t="s">
        <v>2370</v>
      </c>
      <c r="I596" t="s">
        <v>8374</v>
      </c>
      <c r="J596" t="s">
        <v>8375</v>
      </c>
    </row>
    <row r="597" spans="1:10" x14ac:dyDescent="0.35">
      <c r="A597" s="6" t="s">
        <v>1765</v>
      </c>
      <c r="B597">
        <v>39.81</v>
      </c>
      <c r="C597">
        <v>7.65</v>
      </c>
      <c r="D597" s="6" t="s">
        <v>2373</v>
      </c>
      <c r="E597" s="6" t="s">
        <v>2370</v>
      </c>
      <c r="F597" s="6" t="s">
        <v>2373</v>
      </c>
      <c r="G597">
        <v>1</v>
      </c>
      <c r="H597" s="6" t="s">
        <v>2370</v>
      </c>
      <c r="I597" t="s">
        <v>8374</v>
      </c>
      <c r="J597" t="s">
        <v>8375</v>
      </c>
    </row>
    <row r="598" spans="1:10" x14ac:dyDescent="0.35">
      <c r="A598" s="6" t="s">
        <v>1764</v>
      </c>
      <c r="B598">
        <v>31.02</v>
      </c>
      <c r="C598">
        <v>5.87</v>
      </c>
      <c r="D598" s="6" t="s">
        <v>2373</v>
      </c>
      <c r="E598" s="6" t="s">
        <v>2370</v>
      </c>
      <c r="F598" s="6" t="s">
        <v>2370</v>
      </c>
      <c r="G598">
        <v>0</v>
      </c>
      <c r="H598" s="6" t="s">
        <v>2370</v>
      </c>
      <c r="I598" t="s">
        <v>8374</v>
      </c>
      <c r="J598" t="s">
        <v>8376</v>
      </c>
    </row>
    <row r="599" spans="1:10" x14ac:dyDescent="0.35">
      <c r="A599" s="6" t="s">
        <v>1763</v>
      </c>
      <c r="B599">
        <v>24.75</v>
      </c>
      <c r="C599">
        <v>4.3600000000000003</v>
      </c>
      <c r="D599" s="6" t="s">
        <v>2373</v>
      </c>
      <c r="E599" s="6" t="s">
        <v>2370</v>
      </c>
      <c r="F599" s="6" t="s">
        <v>2370</v>
      </c>
      <c r="G599">
        <v>1</v>
      </c>
      <c r="H599" s="6" t="s">
        <v>2373</v>
      </c>
      <c r="I599" t="s">
        <v>8379</v>
      </c>
      <c r="J599" t="s">
        <v>8377</v>
      </c>
    </row>
    <row r="600" spans="1:10" x14ac:dyDescent="0.35">
      <c r="A600" s="6" t="s">
        <v>1762</v>
      </c>
      <c r="B600">
        <v>30.114999999999998</v>
      </c>
      <c r="C600">
        <v>10.119999999999999</v>
      </c>
      <c r="D600" s="6" t="s">
        <v>2370</v>
      </c>
      <c r="E600" s="6" t="s">
        <v>2370</v>
      </c>
      <c r="F600" s="6" t="s">
        <v>2370</v>
      </c>
      <c r="G600">
        <v>3</v>
      </c>
      <c r="H600" s="6" t="s">
        <v>2370</v>
      </c>
      <c r="I600" t="s">
        <v>8374</v>
      </c>
      <c r="J600" t="s">
        <v>8375</v>
      </c>
    </row>
    <row r="601" spans="1:10" x14ac:dyDescent="0.35">
      <c r="A601" s="6" t="s">
        <v>1761</v>
      </c>
      <c r="B601">
        <v>26.03</v>
      </c>
      <c r="C601">
        <v>4.01</v>
      </c>
      <c r="D601" s="6" t="s">
        <v>2370</v>
      </c>
      <c r="E601" s="6" t="s">
        <v>2370</v>
      </c>
      <c r="F601" s="6" t="s">
        <v>2373</v>
      </c>
      <c r="G601">
        <v>1</v>
      </c>
      <c r="H601" s="6" t="s">
        <v>2373</v>
      </c>
      <c r="I601" t="s">
        <v>8378</v>
      </c>
      <c r="J601" t="s">
        <v>8377</v>
      </c>
    </row>
    <row r="602" spans="1:10" x14ac:dyDescent="0.35">
      <c r="A602" s="6" t="s">
        <v>1760</v>
      </c>
      <c r="B602">
        <v>20.045000000000002</v>
      </c>
      <c r="C602">
        <v>4.7699999999999996</v>
      </c>
      <c r="D602" s="6" t="s">
        <v>2373</v>
      </c>
      <c r="E602" s="6" t="s">
        <v>2370</v>
      </c>
      <c r="F602" s="6" t="s">
        <v>2370</v>
      </c>
      <c r="G602">
        <v>1</v>
      </c>
      <c r="H602" s="6" t="s">
        <v>2373</v>
      </c>
      <c r="I602" t="s">
        <v>8379</v>
      </c>
      <c r="J602" t="s">
        <v>8377</v>
      </c>
    </row>
    <row r="603" spans="1:10" x14ac:dyDescent="0.35">
      <c r="A603" s="6" t="s">
        <v>1759</v>
      </c>
      <c r="B603">
        <v>40.24</v>
      </c>
      <c r="C603">
        <v>6.83</v>
      </c>
      <c r="D603" s="6" t="s">
        <v>2370</v>
      </c>
      <c r="E603" s="6" t="s">
        <v>2370</v>
      </c>
      <c r="F603" s="6" t="s">
        <v>2370</v>
      </c>
      <c r="G603">
        <v>0</v>
      </c>
      <c r="H603" s="6" t="s">
        <v>2370</v>
      </c>
      <c r="I603" t="s">
        <v>8374</v>
      </c>
      <c r="J603" t="s">
        <v>8375</v>
      </c>
    </row>
    <row r="604" spans="1:10" x14ac:dyDescent="0.35">
      <c r="A604" s="6" t="s">
        <v>1758</v>
      </c>
      <c r="B604">
        <v>43.15</v>
      </c>
      <c r="C604">
        <v>6.14</v>
      </c>
      <c r="D604" s="6" t="s">
        <v>2373</v>
      </c>
      <c r="E604" s="6" t="s">
        <v>2370</v>
      </c>
      <c r="F604" s="6" t="s">
        <v>2373</v>
      </c>
      <c r="G604">
        <v>1</v>
      </c>
      <c r="H604" s="6" t="s">
        <v>2370</v>
      </c>
      <c r="I604" t="s">
        <v>8374</v>
      </c>
      <c r="J604" t="s">
        <v>8376</v>
      </c>
    </row>
    <row r="605" spans="1:10" x14ac:dyDescent="0.35">
      <c r="A605" s="6" t="s">
        <v>1757</v>
      </c>
      <c r="B605">
        <v>27.7</v>
      </c>
      <c r="C605">
        <v>5.6</v>
      </c>
      <c r="D605" s="6" t="s">
        <v>2370</v>
      </c>
      <c r="E605" s="6" t="s">
        <v>2370</v>
      </c>
      <c r="F605" s="6" t="s">
        <v>2373</v>
      </c>
      <c r="G605">
        <v>1</v>
      </c>
      <c r="H605" s="6" t="s">
        <v>2373</v>
      </c>
      <c r="I605" t="s">
        <v>8378</v>
      </c>
      <c r="J605" t="s">
        <v>8377</v>
      </c>
    </row>
    <row r="606" spans="1:10" x14ac:dyDescent="0.35">
      <c r="A606" s="6" t="s">
        <v>1756</v>
      </c>
      <c r="B606">
        <v>45.68</v>
      </c>
      <c r="C606">
        <v>4.8</v>
      </c>
      <c r="D606" s="6" t="s">
        <v>2370</v>
      </c>
      <c r="E606" s="6" t="s">
        <v>2370</v>
      </c>
      <c r="F606" s="6" t="s">
        <v>2370</v>
      </c>
      <c r="G606">
        <v>2</v>
      </c>
      <c r="H606" s="6" t="s">
        <v>2370</v>
      </c>
      <c r="I606" t="s">
        <v>8374</v>
      </c>
      <c r="J606" t="s">
        <v>8377</v>
      </c>
    </row>
    <row r="607" spans="1:10" x14ac:dyDescent="0.35">
      <c r="A607" s="6" t="s">
        <v>1755</v>
      </c>
      <c r="B607">
        <v>27.3</v>
      </c>
      <c r="C607">
        <v>11.89</v>
      </c>
      <c r="D607" s="6" t="s">
        <v>2370</v>
      </c>
      <c r="E607" s="6" t="s">
        <v>2370</v>
      </c>
      <c r="F607" s="6" t="s">
        <v>2370</v>
      </c>
      <c r="G607">
        <v>0</v>
      </c>
      <c r="H607" s="6" t="s">
        <v>2373</v>
      </c>
      <c r="I607" t="s">
        <v>8378</v>
      </c>
      <c r="J607" t="s">
        <v>8375</v>
      </c>
    </row>
    <row r="608" spans="1:10" x14ac:dyDescent="0.35">
      <c r="A608" s="6" t="s">
        <v>1754</v>
      </c>
      <c r="B608">
        <v>54.45</v>
      </c>
      <c r="C608">
        <v>4.7300000000000004</v>
      </c>
      <c r="D608" s="6" t="s">
        <v>2373</v>
      </c>
      <c r="E608" s="6" t="s">
        <v>2370</v>
      </c>
      <c r="F608" s="6" t="s">
        <v>2370</v>
      </c>
      <c r="G608">
        <v>1</v>
      </c>
      <c r="H608" s="6" t="s">
        <v>2370</v>
      </c>
      <c r="I608" t="s">
        <v>8374</v>
      </c>
      <c r="J608" t="s">
        <v>8377</v>
      </c>
    </row>
    <row r="609" spans="1:10" x14ac:dyDescent="0.35">
      <c r="A609" s="6" t="s">
        <v>1753</v>
      </c>
      <c r="B609">
        <v>54.43</v>
      </c>
      <c r="C609">
        <v>4.6100000000000003</v>
      </c>
      <c r="D609" s="6" t="s">
        <v>2373</v>
      </c>
      <c r="E609" s="6" t="s">
        <v>2370</v>
      </c>
      <c r="F609" s="6" t="s">
        <v>2370</v>
      </c>
      <c r="G609">
        <v>1</v>
      </c>
      <c r="H609" s="6" t="s">
        <v>2370</v>
      </c>
      <c r="I609" t="s">
        <v>8374</v>
      </c>
      <c r="J609" t="s">
        <v>8377</v>
      </c>
    </row>
    <row r="610" spans="1:10" x14ac:dyDescent="0.35">
      <c r="A610" s="6" t="s">
        <v>1752</v>
      </c>
      <c r="B610">
        <v>48.01</v>
      </c>
      <c r="C610">
        <v>7.3</v>
      </c>
      <c r="D610" s="6" t="s">
        <v>2370</v>
      </c>
      <c r="E610" s="6" t="s">
        <v>2370</v>
      </c>
      <c r="F610" s="6" t="s">
        <v>2370</v>
      </c>
      <c r="G610">
        <v>0</v>
      </c>
      <c r="H610" s="6" t="s">
        <v>2370</v>
      </c>
      <c r="I610" t="s">
        <v>8374</v>
      </c>
      <c r="J610" t="s">
        <v>8375</v>
      </c>
    </row>
    <row r="611" spans="1:10" x14ac:dyDescent="0.35">
      <c r="A611" s="6" t="s">
        <v>1751</v>
      </c>
      <c r="B611">
        <v>48.32</v>
      </c>
      <c r="C611">
        <v>5.88</v>
      </c>
      <c r="D611" s="6" t="s">
        <v>2370</v>
      </c>
      <c r="E611" s="6" t="s">
        <v>2370</v>
      </c>
      <c r="F611" s="6" t="s">
        <v>2370</v>
      </c>
      <c r="G611">
        <v>0</v>
      </c>
      <c r="H611" s="6" t="s">
        <v>2370</v>
      </c>
      <c r="I611" t="s">
        <v>8374</v>
      </c>
      <c r="J611" t="s">
        <v>8376</v>
      </c>
    </row>
    <row r="612" spans="1:10" x14ac:dyDescent="0.35">
      <c r="A612" s="6" t="s">
        <v>1750</v>
      </c>
      <c r="B612">
        <v>22.895</v>
      </c>
      <c r="C612">
        <v>4.0599999999999996</v>
      </c>
      <c r="D612" s="6" t="s">
        <v>2370</v>
      </c>
      <c r="E612" s="6" t="s">
        <v>2370</v>
      </c>
      <c r="F612" s="6" t="s">
        <v>2373</v>
      </c>
      <c r="G612">
        <v>1</v>
      </c>
      <c r="H612" s="6" t="s">
        <v>2373</v>
      </c>
      <c r="I612" t="s">
        <v>8379</v>
      </c>
      <c r="J612" t="s">
        <v>8377</v>
      </c>
    </row>
    <row r="613" spans="1:10" x14ac:dyDescent="0.35">
      <c r="A613" s="6" t="s">
        <v>1749</v>
      </c>
      <c r="B613">
        <v>54.85</v>
      </c>
      <c r="C613">
        <v>4.9000000000000004</v>
      </c>
      <c r="D613" s="6" t="s">
        <v>2370</v>
      </c>
      <c r="E613" s="6" t="s">
        <v>2370</v>
      </c>
      <c r="F613" s="6" t="s">
        <v>2370</v>
      </c>
      <c r="G613">
        <v>1</v>
      </c>
      <c r="H613" s="6" t="s">
        <v>2370</v>
      </c>
      <c r="I613" t="s">
        <v>8374</v>
      </c>
      <c r="J613" t="s">
        <v>8377</v>
      </c>
    </row>
    <row r="614" spans="1:10" x14ac:dyDescent="0.35">
      <c r="A614" s="6" t="s">
        <v>1748</v>
      </c>
      <c r="B614">
        <v>21.85</v>
      </c>
      <c r="C614">
        <v>5.52</v>
      </c>
      <c r="D614" s="6" t="s">
        <v>2370</v>
      </c>
      <c r="E614" s="6" t="s">
        <v>2370</v>
      </c>
      <c r="F614" s="6" t="s">
        <v>2373</v>
      </c>
      <c r="G614">
        <v>1</v>
      </c>
      <c r="H614" s="6" t="s">
        <v>2373</v>
      </c>
      <c r="I614" t="s">
        <v>8379</v>
      </c>
      <c r="J614" t="s">
        <v>8377</v>
      </c>
    </row>
    <row r="615" spans="1:10" x14ac:dyDescent="0.35">
      <c r="A615" s="6" t="s">
        <v>1747</v>
      </c>
      <c r="B615">
        <v>51.86</v>
      </c>
      <c r="C615">
        <v>5.2</v>
      </c>
      <c r="D615" s="6" t="s">
        <v>2373</v>
      </c>
      <c r="E615" s="6" t="s">
        <v>2370</v>
      </c>
      <c r="F615" s="6" t="s">
        <v>2370</v>
      </c>
      <c r="G615">
        <v>0</v>
      </c>
      <c r="H615" s="6" t="s">
        <v>2370</v>
      </c>
      <c r="I615" t="s">
        <v>8374</v>
      </c>
      <c r="J615" t="s">
        <v>8377</v>
      </c>
    </row>
    <row r="616" spans="1:10" x14ac:dyDescent="0.35">
      <c r="A616" s="6" t="s">
        <v>1746</v>
      </c>
      <c r="B616">
        <v>39.049999999999997</v>
      </c>
      <c r="C616">
        <v>7.59</v>
      </c>
      <c r="D616" s="6" t="s">
        <v>2370</v>
      </c>
      <c r="E616" s="6" t="s">
        <v>2370</v>
      </c>
      <c r="F616" s="6" t="s">
        <v>2370</v>
      </c>
      <c r="G616">
        <v>3</v>
      </c>
      <c r="H616" s="6" t="s">
        <v>2370</v>
      </c>
      <c r="I616" t="s">
        <v>8374</v>
      </c>
      <c r="J616" t="s">
        <v>8375</v>
      </c>
    </row>
    <row r="617" spans="1:10" x14ac:dyDescent="0.35">
      <c r="A617" s="6" t="s">
        <v>1745</v>
      </c>
      <c r="B617">
        <v>31.824999999999999</v>
      </c>
      <c r="C617">
        <v>8.2799999999999994</v>
      </c>
      <c r="D617" s="6" t="s">
        <v>2370</v>
      </c>
      <c r="E617" s="6" t="s">
        <v>2370</v>
      </c>
      <c r="F617" s="6" t="s">
        <v>2370</v>
      </c>
      <c r="G617">
        <v>3</v>
      </c>
      <c r="H617" s="6" t="s">
        <v>2370</v>
      </c>
      <c r="I617" t="s">
        <v>8374</v>
      </c>
      <c r="J617" t="s">
        <v>8375</v>
      </c>
    </row>
    <row r="618" spans="1:10" x14ac:dyDescent="0.35">
      <c r="A618" s="6" t="s">
        <v>1744</v>
      </c>
      <c r="B618">
        <v>46.43</v>
      </c>
      <c r="C618">
        <v>6.72</v>
      </c>
      <c r="D618" s="6" t="s">
        <v>2370</v>
      </c>
      <c r="E618" s="6" t="s">
        <v>2370</v>
      </c>
      <c r="F618" s="6" t="s">
        <v>2370</v>
      </c>
      <c r="G618">
        <v>0</v>
      </c>
      <c r="H618" s="6" t="s">
        <v>2370</v>
      </c>
      <c r="I618" t="s">
        <v>8374</v>
      </c>
      <c r="J618" t="s">
        <v>8375</v>
      </c>
    </row>
    <row r="619" spans="1:10" x14ac:dyDescent="0.35">
      <c r="A619" s="6" t="s">
        <v>1743</v>
      </c>
      <c r="B619">
        <v>53.63</v>
      </c>
      <c r="C619">
        <v>5.47</v>
      </c>
      <c r="D619" s="6" t="s">
        <v>2373</v>
      </c>
      <c r="E619" s="6" t="s">
        <v>2370</v>
      </c>
      <c r="F619" s="6" t="s">
        <v>2370</v>
      </c>
      <c r="G619">
        <v>1</v>
      </c>
      <c r="H619" s="6" t="s">
        <v>2370</v>
      </c>
      <c r="I619" t="s">
        <v>8374</v>
      </c>
      <c r="J619" t="s">
        <v>8377</v>
      </c>
    </row>
    <row r="620" spans="1:10" x14ac:dyDescent="0.35">
      <c r="A620" s="6" t="s">
        <v>1742</v>
      </c>
      <c r="B620">
        <v>48.7</v>
      </c>
      <c r="C620">
        <v>4.71</v>
      </c>
      <c r="D620" s="6" t="s">
        <v>2370</v>
      </c>
      <c r="E620" s="6" t="s">
        <v>2370</v>
      </c>
      <c r="F620" s="6" t="s">
        <v>2370</v>
      </c>
      <c r="G620">
        <v>0</v>
      </c>
      <c r="H620" s="6" t="s">
        <v>2370</v>
      </c>
      <c r="I620" t="s">
        <v>8374</v>
      </c>
      <c r="J620" t="s">
        <v>8377</v>
      </c>
    </row>
    <row r="621" spans="1:10" x14ac:dyDescent="0.35">
      <c r="A621" s="6" t="s">
        <v>1741</v>
      </c>
      <c r="B621">
        <v>48.81</v>
      </c>
      <c r="C621">
        <v>5.49</v>
      </c>
      <c r="D621" s="6" t="s">
        <v>2370</v>
      </c>
      <c r="E621" s="6" t="s">
        <v>2370</v>
      </c>
      <c r="F621" s="6" t="s">
        <v>2370</v>
      </c>
      <c r="G621">
        <v>0</v>
      </c>
      <c r="H621" s="6" t="s">
        <v>2370</v>
      </c>
      <c r="I621" t="s">
        <v>8374</v>
      </c>
      <c r="J621" t="s">
        <v>8377</v>
      </c>
    </row>
    <row r="622" spans="1:10" x14ac:dyDescent="0.35">
      <c r="A622" s="6" t="s">
        <v>1740</v>
      </c>
      <c r="B622">
        <v>47.53</v>
      </c>
      <c r="C622">
        <v>4.72</v>
      </c>
      <c r="D622" s="6" t="s">
        <v>2370</v>
      </c>
      <c r="E622" s="6" t="s">
        <v>2370</v>
      </c>
      <c r="F622" s="6" t="s">
        <v>2370</v>
      </c>
      <c r="G622">
        <v>0</v>
      </c>
      <c r="H622" s="6" t="s">
        <v>2370</v>
      </c>
      <c r="I622" t="s">
        <v>8374</v>
      </c>
      <c r="J622" t="s">
        <v>8377</v>
      </c>
    </row>
    <row r="623" spans="1:10" x14ac:dyDescent="0.35">
      <c r="A623" s="6" t="s">
        <v>1739</v>
      </c>
      <c r="B623">
        <v>36.85</v>
      </c>
      <c r="C623">
        <v>6.7</v>
      </c>
      <c r="D623" s="6" t="s">
        <v>2370</v>
      </c>
      <c r="E623" s="6" t="s">
        <v>2370</v>
      </c>
      <c r="F623" s="6" t="s">
        <v>2370</v>
      </c>
      <c r="G623">
        <v>0</v>
      </c>
      <c r="H623" s="6" t="s">
        <v>2370</v>
      </c>
      <c r="I623" t="s">
        <v>8374</v>
      </c>
      <c r="J623" t="s">
        <v>8375</v>
      </c>
    </row>
    <row r="624" spans="1:10" x14ac:dyDescent="0.35">
      <c r="A624" s="6" t="s">
        <v>1738</v>
      </c>
      <c r="B624">
        <v>29.3</v>
      </c>
      <c r="C624">
        <v>5.5</v>
      </c>
      <c r="D624" s="6" t="s">
        <v>2370</v>
      </c>
      <c r="E624" s="6" t="s">
        <v>2370</v>
      </c>
      <c r="F624" s="6" t="s">
        <v>2370</v>
      </c>
      <c r="G624">
        <v>0</v>
      </c>
      <c r="H624" s="6" t="s">
        <v>2370</v>
      </c>
      <c r="I624" t="s">
        <v>8378</v>
      </c>
      <c r="J624" t="s">
        <v>8377</v>
      </c>
    </row>
    <row r="625" spans="1:10" x14ac:dyDescent="0.35">
      <c r="A625" s="6" t="s">
        <v>1737</v>
      </c>
      <c r="B625">
        <v>19.3</v>
      </c>
      <c r="C625">
        <v>4.46</v>
      </c>
      <c r="D625" s="6" t="s">
        <v>2370</v>
      </c>
      <c r="E625" s="6" t="s">
        <v>2370</v>
      </c>
      <c r="F625" s="6" t="s">
        <v>2370</v>
      </c>
      <c r="G625">
        <v>1</v>
      </c>
      <c r="H625" s="6" t="s">
        <v>2373</v>
      </c>
      <c r="I625" t="s">
        <v>8379</v>
      </c>
      <c r="J625" t="s">
        <v>8377</v>
      </c>
    </row>
    <row r="626" spans="1:10" x14ac:dyDescent="0.35">
      <c r="A626" s="6" t="s">
        <v>1736</v>
      </c>
      <c r="B626">
        <v>24.13</v>
      </c>
      <c r="C626">
        <v>5.29</v>
      </c>
      <c r="D626" s="6" t="s">
        <v>2373</v>
      </c>
      <c r="E626" s="6" t="s">
        <v>2370</v>
      </c>
      <c r="F626" s="6" t="s">
        <v>2373</v>
      </c>
      <c r="G626">
        <v>1</v>
      </c>
      <c r="H626" s="6" t="s">
        <v>2373</v>
      </c>
      <c r="I626" t="s">
        <v>8379</v>
      </c>
      <c r="J626" t="s">
        <v>8377</v>
      </c>
    </row>
    <row r="627" spans="1:10" x14ac:dyDescent="0.35">
      <c r="A627" s="6" t="s">
        <v>1735</v>
      </c>
      <c r="B627">
        <v>46.7</v>
      </c>
      <c r="C627">
        <v>10.99</v>
      </c>
      <c r="D627" s="6" t="s">
        <v>2370</v>
      </c>
      <c r="E627" s="6" t="s">
        <v>2370</v>
      </c>
      <c r="F627" s="6" t="s">
        <v>2370</v>
      </c>
      <c r="G627">
        <v>0</v>
      </c>
      <c r="H627" s="6" t="s">
        <v>2370</v>
      </c>
      <c r="I627" t="s">
        <v>8374</v>
      </c>
      <c r="J627" t="s">
        <v>8375</v>
      </c>
    </row>
    <row r="628" spans="1:10" x14ac:dyDescent="0.35">
      <c r="A628" s="6" t="s">
        <v>1734</v>
      </c>
      <c r="B628">
        <v>45.27</v>
      </c>
      <c r="C628">
        <v>5.2</v>
      </c>
      <c r="D628" s="6" t="s">
        <v>2373</v>
      </c>
      <c r="E628" s="6" t="s">
        <v>2370</v>
      </c>
      <c r="F628" s="6" t="s">
        <v>2370</v>
      </c>
      <c r="G628">
        <v>0</v>
      </c>
      <c r="H628" s="6" t="s">
        <v>2370</v>
      </c>
      <c r="I628" t="s">
        <v>8374</v>
      </c>
      <c r="J628" t="s">
        <v>8377</v>
      </c>
    </row>
    <row r="629" spans="1:10" x14ac:dyDescent="0.35">
      <c r="A629" s="6" t="s">
        <v>1733</v>
      </c>
      <c r="B629">
        <v>44.29</v>
      </c>
      <c r="C629">
        <v>9.66</v>
      </c>
      <c r="D629" s="6" t="s">
        <v>2370</v>
      </c>
      <c r="E629" s="6" t="s">
        <v>2370</v>
      </c>
      <c r="F629" s="6" t="s">
        <v>2370</v>
      </c>
      <c r="G629">
        <v>2</v>
      </c>
      <c r="H629" s="6" t="s">
        <v>2370</v>
      </c>
      <c r="I629" t="s">
        <v>8374</v>
      </c>
      <c r="J629" t="s">
        <v>8375</v>
      </c>
    </row>
    <row r="630" spans="1:10" x14ac:dyDescent="0.35">
      <c r="A630" s="6" t="s">
        <v>1732</v>
      </c>
      <c r="B630">
        <v>54.59</v>
      </c>
      <c r="C630">
        <v>4.22</v>
      </c>
      <c r="D630" s="6" t="s">
        <v>2373</v>
      </c>
      <c r="E630" s="6" t="s">
        <v>2370</v>
      </c>
      <c r="F630" s="6" t="s">
        <v>2370</v>
      </c>
      <c r="G630">
        <v>1</v>
      </c>
      <c r="H630" s="6" t="s">
        <v>2370</v>
      </c>
      <c r="I630" t="s">
        <v>8374</v>
      </c>
      <c r="J630" t="s">
        <v>8377</v>
      </c>
    </row>
    <row r="631" spans="1:10" x14ac:dyDescent="0.35">
      <c r="A631" s="6" t="s">
        <v>1731</v>
      </c>
      <c r="B631">
        <v>32.965000000000003</v>
      </c>
      <c r="C631">
        <v>11.78</v>
      </c>
      <c r="D631" s="6" t="s">
        <v>2370</v>
      </c>
      <c r="E631" s="6" t="s">
        <v>2370</v>
      </c>
      <c r="F631" s="6" t="s">
        <v>2370</v>
      </c>
      <c r="G631">
        <v>0</v>
      </c>
      <c r="H631" s="6" t="s">
        <v>2370</v>
      </c>
      <c r="I631" t="s">
        <v>8374</v>
      </c>
      <c r="J631" t="s">
        <v>8375</v>
      </c>
    </row>
    <row r="632" spans="1:10" x14ac:dyDescent="0.35">
      <c r="A632" s="6" t="s">
        <v>1730</v>
      </c>
      <c r="B632">
        <v>38.049999999999997</v>
      </c>
      <c r="C632">
        <v>9.6199999999999992</v>
      </c>
      <c r="D632" s="6" t="s">
        <v>2370</v>
      </c>
      <c r="E632" s="6" t="s">
        <v>2370</v>
      </c>
      <c r="F632" s="6" t="s">
        <v>2370</v>
      </c>
      <c r="G632">
        <v>0</v>
      </c>
      <c r="H632" s="6" t="s">
        <v>2370</v>
      </c>
      <c r="I632" t="s">
        <v>8374</v>
      </c>
      <c r="J632" t="s">
        <v>8375</v>
      </c>
    </row>
    <row r="633" spans="1:10" x14ac:dyDescent="0.35">
      <c r="A633" s="6" t="s">
        <v>1729</v>
      </c>
      <c r="B633">
        <v>46.14</v>
      </c>
      <c r="C633">
        <v>10.78</v>
      </c>
      <c r="D633" s="6" t="s">
        <v>2370</v>
      </c>
      <c r="E633" s="6" t="s">
        <v>2370</v>
      </c>
      <c r="F633" s="6" t="s">
        <v>2370</v>
      </c>
      <c r="G633">
        <v>0</v>
      </c>
      <c r="H633" s="6" t="s">
        <v>2370</v>
      </c>
      <c r="I633" t="s">
        <v>8374</v>
      </c>
      <c r="J633" t="s">
        <v>8375</v>
      </c>
    </row>
    <row r="634" spans="1:10" x14ac:dyDescent="0.35">
      <c r="A634" s="6" t="s">
        <v>1728</v>
      </c>
      <c r="B634">
        <v>41.325000000000003</v>
      </c>
      <c r="C634">
        <v>5.1100000000000003</v>
      </c>
      <c r="D634" s="6" t="s">
        <v>2373</v>
      </c>
      <c r="E634" s="6" t="s">
        <v>2370</v>
      </c>
      <c r="F634" s="6" t="s">
        <v>2370</v>
      </c>
      <c r="G634">
        <v>2</v>
      </c>
      <c r="H634" s="6" t="s">
        <v>2370</v>
      </c>
      <c r="I634" t="s">
        <v>8374</v>
      </c>
      <c r="J634" t="s">
        <v>8377</v>
      </c>
    </row>
    <row r="635" spans="1:10" x14ac:dyDescent="0.35">
      <c r="A635" s="6" t="s">
        <v>1727</v>
      </c>
      <c r="B635">
        <v>44.64</v>
      </c>
      <c r="C635">
        <v>7.18</v>
      </c>
      <c r="D635" s="6" t="s">
        <v>2370</v>
      </c>
      <c r="E635" s="6" t="s">
        <v>2370</v>
      </c>
      <c r="F635" s="6" t="s">
        <v>2370</v>
      </c>
      <c r="G635">
        <v>0</v>
      </c>
      <c r="H635" s="6" t="s">
        <v>2370</v>
      </c>
      <c r="I635" t="s">
        <v>8374</v>
      </c>
      <c r="J635" t="s">
        <v>8375</v>
      </c>
    </row>
    <row r="636" spans="1:10" x14ac:dyDescent="0.35">
      <c r="A636" s="6" t="s">
        <v>1726</v>
      </c>
      <c r="B636">
        <v>25.175000000000001</v>
      </c>
      <c r="C636">
        <v>4.96</v>
      </c>
      <c r="D636" s="6" t="s">
        <v>2370</v>
      </c>
      <c r="E636" s="6" t="s">
        <v>2372</v>
      </c>
      <c r="F636" s="6" t="s">
        <v>2370</v>
      </c>
      <c r="G636">
        <v>1</v>
      </c>
      <c r="H636" s="6" t="s">
        <v>2370</v>
      </c>
      <c r="I636" t="s">
        <v>8378</v>
      </c>
      <c r="J636" t="s">
        <v>8377</v>
      </c>
    </row>
    <row r="637" spans="1:10" x14ac:dyDescent="0.35">
      <c r="A637" s="6" t="s">
        <v>1725</v>
      </c>
      <c r="B637">
        <v>43.11</v>
      </c>
      <c r="C637">
        <v>4.67</v>
      </c>
      <c r="D637" s="6" t="s">
        <v>2373</v>
      </c>
      <c r="E637" s="6" t="s">
        <v>2370</v>
      </c>
      <c r="F637" s="6" t="s">
        <v>2370</v>
      </c>
      <c r="G637">
        <v>0</v>
      </c>
      <c r="H637" s="6" t="s">
        <v>2370</v>
      </c>
      <c r="I637" t="s">
        <v>8374</v>
      </c>
      <c r="J637" t="s">
        <v>8377</v>
      </c>
    </row>
    <row r="638" spans="1:10" x14ac:dyDescent="0.35">
      <c r="A638" s="6" t="s">
        <v>1724</v>
      </c>
      <c r="B638">
        <v>53.32</v>
      </c>
      <c r="C638">
        <v>5.0599999999999996</v>
      </c>
      <c r="D638" s="6" t="s">
        <v>2370</v>
      </c>
      <c r="E638" s="6" t="s">
        <v>2370</v>
      </c>
      <c r="F638" s="6" t="s">
        <v>2370</v>
      </c>
      <c r="G638">
        <v>0</v>
      </c>
      <c r="H638" s="6" t="s">
        <v>2370</v>
      </c>
      <c r="I638" t="s">
        <v>8374</v>
      </c>
      <c r="J638" t="s">
        <v>8377</v>
      </c>
    </row>
    <row r="639" spans="1:10" x14ac:dyDescent="0.35">
      <c r="A639" s="6" t="s">
        <v>1723</v>
      </c>
      <c r="B639">
        <v>38.04</v>
      </c>
      <c r="C639">
        <v>5.0199999999999996</v>
      </c>
      <c r="D639" s="6" t="s">
        <v>2373</v>
      </c>
      <c r="E639" s="6" t="s">
        <v>2370</v>
      </c>
      <c r="F639" s="6" t="s">
        <v>2370</v>
      </c>
      <c r="G639">
        <v>1</v>
      </c>
      <c r="H639" s="6" t="s">
        <v>2370</v>
      </c>
      <c r="I639" t="s">
        <v>8374</v>
      </c>
      <c r="J639" t="s">
        <v>8377</v>
      </c>
    </row>
    <row r="640" spans="1:10" x14ac:dyDescent="0.35">
      <c r="A640" s="6" t="s">
        <v>1722</v>
      </c>
      <c r="B640">
        <v>37.9</v>
      </c>
      <c r="C640">
        <v>7.76</v>
      </c>
      <c r="D640" s="6" t="s">
        <v>2370</v>
      </c>
      <c r="E640" s="6" t="s">
        <v>2370</v>
      </c>
      <c r="F640" s="6" t="s">
        <v>2370</v>
      </c>
      <c r="G640">
        <v>0</v>
      </c>
      <c r="H640" s="6" t="s">
        <v>2370</v>
      </c>
      <c r="I640" t="s">
        <v>8374</v>
      </c>
      <c r="J640" t="s">
        <v>8375</v>
      </c>
    </row>
    <row r="641" spans="1:10" x14ac:dyDescent="0.35">
      <c r="A641" s="6" t="s">
        <v>1721</v>
      </c>
      <c r="B641">
        <v>39.6</v>
      </c>
      <c r="C641">
        <v>9.32</v>
      </c>
      <c r="D641" s="6" t="s">
        <v>2370</v>
      </c>
      <c r="E641" s="6" t="s">
        <v>2370</v>
      </c>
      <c r="F641" s="6" t="s">
        <v>2370</v>
      </c>
      <c r="G641">
        <v>0</v>
      </c>
      <c r="H641" s="6" t="s">
        <v>2370</v>
      </c>
      <c r="I641" t="s">
        <v>8374</v>
      </c>
      <c r="J641" t="s">
        <v>8375</v>
      </c>
    </row>
    <row r="642" spans="1:10" x14ac:dyDescent="0.35">
      <c r="A642" s="6" t="s">
        <v>1720</v>
      </c>
      <c r="B642">
        <v>50.92</v>
      </c>
      <c r="C642">
        <v>5.31</v>
      </c>
      <c r="D642" s="6" t="s">
        <v>2373</v>
      </c>
      <c r="E642" s="6" t="s">
        <v>2370</v>
      </c>
      <c r="F642" s="6" t="s">
        <v>2370</v>
      </c>
      <c r="G642">
        <v>1</v>
      </c>
      <c r="H642" s="6" t="s">
        <v>2370</v>
      </c>
      <c r="I642" t="s">
        <v>8374</v>
      </c>
      <c r="J642" t="s">
        <v>8377</v>
      </c>
    </row>
    <row r="643" spans="1:10" x14ac:dyDescent="0.35">
      <c r="A643" s="6" t="s">
        <v>1719</v>
      </c>
      <c r="B643">
        <v>21.85</v>
      </c>
      <c r="C643">
        <v>5.56</v>
      </c>
      <c r="D643" s="6" t="s">
        <v>2373</v>
      </c>
      <c r="E643" s="6" t="s">
        <v>2370</v>
      </c>
      <c r="F643" s="6" t="s">
        <v>2370</v>
      </c>
      <c r="G643">
        <v>0</v>
      </c>
      <c r="H643" s="6" t="s">
        <v>2373</v>
      </c>
      <c r="I643" t="s">
        <v>8379</v>
      </c>
      <c r="J643" t="s">
        <v>8377</v>
      </c>
    </row>
    <row r="644" spans="1:10" x14ac:dyDescent="0.35">
      <c r="A644" s="6" t="s">
        <v>1718</v>
      </c>
      <c r="B644">
        <v>36.08</v>
      </c>
      <c r="C644">
        <v>7.11</v>
      </c>
      <c r="D644" s="6" t="s">
        <v>2373</v>
      </c>
      <c r="E644" s="6" t="s">
        <v>2370</v>
      </c>
      <c r="F644" s="6" t="s">
        <v>2373</v>
      </c>
      <c r="G644">
        <v>1</v>
      </c>
      <c r="H644" s="6" t="s">
        <v>2370</v>
      </c>
      <c r="I644" t="s">
        <v>8374</v>
      </c>
      <c r="J644" t="s">
        <v>8375</v>
      </c>
    </row>
    <row r="645" spans="1:10" x14ac:dyDescent="0.35">
      <c r="A645" s="6" t="s">
        <v>1717</v>
      </c>
      <c r="B645">
        <v>40.44</v>
      </c>
      <c r="C645">
        <v>5.13</v>
      </c>
      <c r="D645" s="6" t="s">
        <v>2373</v>
      </c>
      <c r="E645" s="6" t="s">
        <v>2370</v>
      </c>
      <c r="F645" s="6" t="s">
        <v>2373</v>
      </c>
      <c r="G645">
        <v>1</v>
      </c>
      <c r="H645" s="6" t="s">
        <v>2370</v>
      </c>
      <c r="I645" t="s">
        <v>8374</v>
      </c>
      <c r="J645" t="s">
        <v>8377</v>
      </c>
    </row>
    <row r="646" spans="1:10" x14ac:dyDescent="0.35">
      <c r="A646" s="6" t="s">
        <v>1716</v>
      </c>
      <c r="B646">
        <v>38.094999999999999</v>
      </c>
      <c r="C646">
        <v>10.199999999999999</v>
      </c>
      <c r="D646" s="6" t="s">
        <v>2370</v>
      </c>
      <c r="E646" s="6" t="s">
        <v>2370</v>
      </c>
      <c r="F646" s="6" t="s">
        <v>2370</v>
      </c>
      <c r="G646">
        <v>0</v>
      </c>
      <c r="H646" s="6" t="s">
        <v>2370</v>
      </c>
      <c r="I646" t="s">
        <v>8374</v>
      </c>
      <c r="J646" t="s">
        <v>8375</v>
      </c>
    </row>
    <row r="647" spans="1:10" x14ac:dyDescent="0.35">
      <c r="A647" s="6" t="s">
        <v>1715</v>
      </c>
      <c r="B647">
        <v>44.95</v>
      </c>
      <c r="C647">
        <v>10.4</v>
      </c>
      <c r="D647" s="6" t="s">
        <v>2370</v>
      </c>
      <c r="E647" s="6" t="s">
        <v>2370</v>
      </c>
      <c r="F647" s="6" t="s">
        <v>2370</v>
      </c>
      <c r="G647">
        <v>0</v>
      </c>
      <c r="H647" s="6" t="s">
        <v>2370</v>
      </c>
      <c r="I647" t="s">
        <v>8374</v>
      </c>
      <c r="J647" t="s">
        <v>8375</v>
      </c>
    </row>
    <row r="648" spans="1:10" x14ac:dyDescent="0.35">
      <c r="A648" s="6" t="s">
        <v>1714</v>
      </c>
      <c r="B648">
        <v>35.54</v>
      </c>
      <c r="C648">
        <v>10.67</v>
      </c>
      <c r="D648" s="6" t="s">
        <v>2370</v>
      </c>
      <c r="E648" s="6" t="s">
        <v>2370</v>
      </c>
      <c r="F648" s="6" t="s">
        <v>2370</v>
      </c>
      <c r="G648">
        <v>0</v>
      </c>
      <c r="H648" s="6" t="s">
        <v>2370</v>
      </c>
      <c r="I648" t="s">
        <v>8374</v>
      </c>
      <c r="J648" t="s">
        <v>8375</v>
      </c>
    </row>
    <row r="649" spans="1:10" x14ac:dyDescent="0.35">
      <c r="A649" s="6" t="s">
        <v>1713</v>
      </c>
      <c r="B649">
        <v>39.799999999999997</v>
      </c>
      <c r="C649">
        <v>4.6500000000000004</v>
      </c>
      <c r="D649" s="6" t="s">
        <v>2373</v>
      </c>
      <c r="E649" s="6" t="s">
        <v>2370</v>
      </c>
      <c r="F649" s="6" t="s">
        <v>2370</v>
      </c>
      <c r="G649">
        <v>2</v>
      </c>
      <c r="H649" s="6" t="s">
        <v>2370</v>
      </c>
      <c r="I649" t="s">
        <v>8374</v>
      </c>
      <c r="J649" t="s">
        <v>8377</v>
      </c>
    </row>
    <row r="650" spans="1:10" x14ac:dyDescent="0.35">
      <c r="A650" s="6" t="s">
        <v>1712</v>
      </c>
      <c r="B650">
        <v>33.659999999999997</v>
      </c>
      <c r="C650">
        <v>5.65</v>
      </c>
      <c r="D650" s="6" t="s">
        <v>2373</v>
      </c>
      <c r="E650" s="6" t="s">
        <v>2370</v>
      </c>
      <c r="F650" s="6" t="s">
        <v>2370</v>
      </c>
      <c r="G650">
        <v>2</v>
      </c>
      <c r="H650" s="6" t="s">
        <v>2370</v>
      </c>
      <c r="I650" t="s">
        <v>8374</v>
      </c>
      <c r="J650" t="s">
        <v>8377</v>
      </c>
    </row>
    <row r="651" spans="1:10" x14ac:dyDescent="0.35">
      <c r="A651" s="6" t="s">
        <v>1711</v>
      </c>
      <c r="B651">
        <v>35.5</v>
      </c>
      <c r="C651">
        <v>11.97</v>
      </c>
      <c r="D651" s="6" t="s">
        <v>2370</v>
      </c>
      <c r="E651" s="6" t="s">
        <v>2370</v>
      </c>
      <c r="F651" s="6" t="s">
        <v>2370</v>
      </c>
      <c r="G651">
        <v>0</v>
      </c>
      <c r="H651" s="6" t="s">
        <v>2370</v>
      </c>
      <c r="I651" t="s">
        <v>8374</v>
      </c>
      <c r="J651" t="s">
        <v>8375</v>
      </c>
    </row>
    <row r="652" spans="1:10" x14ac:dyDescent="0.35">
      <c r="A652" s="6" t="s">
        <v>1710</v>
      </c>
      <c r="B652">
        <v>41.63</v>
      </c>
      <c r="C652">
        <v>6.71</v>
      </c>
      <c r="D652" s="6" t="s">
        <v>2370</v>
      </c>
      <c r="E652" s="6" t="s">
        <v>2370</v>
      </c>
      <c r="F652" s="6" t="s">
        <v>2370</v>
      </c>
      <c r="G652">
        <v>0</v>
      </c>
      <c r="H652" s="6" t="s">
        <v>2370</v>
      </c>
      <c r="I652" t="s">
        <v>8374</v>
      </c>
      <c r="J652" t="s">
        <v>8375</v>
      </c>
    </row>
    <row r="653" spans="1:10" x14ac:dyDescent="0.35">
      <c r="A653" s="6" t="s">
        <v>1709</v>
      </c>
      <c r="B653">
        <v>46.49</v>
      </c>
      <c r="C653">
        <v>11.92</v>
      </c>
      <c r="D653" s="6" t="s">
        <v>2370</v>
      </c>
      <c r="E653" s="6" t="s">
        <v>2370</v>
      </c>
      <c r="F653" s="6" t="s">
        <v>2370</v>
      </c>
      <c r="G653">
        <v>0</v>
      </c>
      <c r="H653" s="6" t="s">
        <v>2370</v>
      </c>
      <c r="I653" t="s">
        <v>8374</v>
      </c>
      <c r="J653" t="s">
        <v>8375</v>
      </c>
    </row>
    <row r="654" spans="1:10" x14ac:dyDescent="0.35">
      <c r="A654" s="6" t="s">
        <v>1708</v>
      </c>
      <c r="B654">
        <v>43.29</v>
      </c>
      <c r="C654">
        <v>5.35</v>
      </c>
      <c r="D654" s="6" t="s">
        <v>2370</v>
      </c>
      <c r="E654" s="6" t="s">
        <v>2370</v>
      </c>
      <c r="F654" s="6" t="s">
        <v>2370</v>
      </c>
      <c r="G654">
        <v>2</v>
      </c>
      <c r="H654" s="6" t="s">
        <v>2370</v>
      </c>
      <c r="I654" t="s">
        <v>8374</v>
      </c>
      <c r="J654" t="s">
        <v>8377</v>
      </c>
    </row>
    <row r="655" spans="1:10" x14ac:dyDescent="0.35">
      <c r="A655" s="6" t="s">
        <v>1707</v>
      </c>
      <c r="B655">
        <v>43.08</v>
      </c>
      <c r="C655">
        <v>8.9600000000000009</v>
      </c>
      <c r="D655" s="6" t="s">
        <v>2373</v>
      </c>
      <c r="E655" s="6" t="s">
        <v>2370</v>
      </c>
      <c r="F655" s="6" t="s">
        <v>2370</v>
      </c>
      <c r="G655">
        <v>1</v>
      </c>
      <c r="H655" s="6" t="s">
        <v>2370</v>
      </c>
      <c r="I655" t="s">
        <v>8374</v>
      </c>
      <c r="J655" t="s">
        <v>8375</v>
      </c>
    </row>
    <row r="656" spans="1:10" x14ac:dyDescent="0.35">
      <c r="A656" s="6" t="s">
        <v>1706</v>
      </c>
      <c r="B656">
        <v>39.07</v>
      </c>
      <c r="C656">
        <v>11.93</v>
      </c>
      <c r="D656" s="6" t="s">
        <v>2370</v>
      </c>
      <c r="E656" s="6" t="s">
        <v>2370</v>
      </c>
      <c r="F656" s="6" t="s">
        <v>2370</v>
      </c>
      <c r="G656">
        <v>0</v>
      </c>
      <c r="H656" s="6" t="s">
        <v>2370</v>
      </c>
      <c r="I656" t="s">
        <v>8374</v>
      </c>
      <c r="J656" t="s">
        <v>8375</v>
      </c>
    </row>
    <row r="657" spans="1:10" x14ac:dyDescent="0.35">
      <c r="A657" s="6" t="s">
        <v>1705</v>
      </c>
      <c r="B657">
        <v>41.3</v>
      </c>
      <c r="C657">
        <v>9.59</v>
      </c>
      <c r="D657" s="6" t="s">
        <v>2370</v>
      </c>
      <c r="E657" s="6" t="s">
        <v>2370</v>
      </c>
      <c r="F657" s="6" t="s">
        <v>2370</v>
      </c>
      <c r="G657">
        <v>0</v>
      </c>
      <c r="H657" s="6" t="s">
        <v>2370</v>
      </c>
      <c r="I657" t="s">
        <v>8374</v>
      </c>
      <c r="J657" t="s">
        <v>8375</v>
      </c>
    </row>
    <row r="658" spans="1:10" x14ac:dyDescent="0.35">
      <c r="A658" s="6" t="s">
        <v>1704</v>
      </c>
      <c r="B658">
        <v>42.95</v>
      </c>
      <c r="C658">
        <v>11.88</v>
      </c>
      <c r="D658" s="6" t="s">
        <v>2373</v>
      </c>
      <c r="E658" s="6" t="s">
        <v>2370</v>
      </c>
      <c r="F658" s="6" t="s">
        <v>2370</v>
      </c>
      <c r="G658">
        <v>2</v>
      </c>
      <c r="H658" s="6" t="s">
        <v>2370</v>
      </c>
      <c r="I658" t="s">
        <v>8374</v>
      </c>
      <c r="J658" t="s">
        <v>8375</v>
      </c>
    </row>
    <row r="659" spans="1:10" x14ac:dyDescent="0.35">
      <c r="A659" s="6" t="s">
        <v>1703</v>
      </c>
      <c r="B659">
        <v>46.96</v>
      </c>
      <c r="C659">
        <v>4.6399999999999997</v>
      </c>
      <c r="D659" s="6" t="s">
        <v>2370</v>
      </c>
      <c r="E659" s="6" t="s">
        <v>2370</v>
      </c>
      <c r="F659" s="6" t="s">
        <v>2373</v>
      </c>
      <c r="G659">
        <v>1</v>
      </c>
      <c r="H659" s="6" t="s">
        <v>2370</v>
      </c>
      <c r="I659" t="s">
        <v>8374</v>
      </c>
      <c r="J659" t="s">
        <v>8377</v>
      </c>
    </row>
    <row r="660" spans="1:10" x14ac:dyDescent="0.35">
      <c r="A660" s="6" t="s">
        <v>1702</v>
      </c>
      <c r="B660">
        <v>30.495000000000001</v>
      </c>
      <c r="C660">
        <v>9.5299999999999994</v>
      </c>
      <c r="D660" s="6" t="s">
        <v>2370</v>
      </c>
      <c r="E660" s="6" t="s">
        <v>2370</v>
      </c>
      <c r="F660" s="6" t="s">
        <v>2370</v>
      </c>
      <c r="G660">
        <v>0</v>
      </c>
      <c r="H660" s="6" t="s">
        <v>2370</v>
      </c>
      <c r="I660" t="s">
        <v>8374</v>
      </c>
      <c r="J660" t="s">
        <v>8375</v>
      </c>
    </row>
    <row r="661" spans="1:10" x14ac:dyDescent="0.35">
      <c r="A661" s="6" t="s">
        <v>1701</v>
      </c>
      <c r="B661">
        <v>17.954999999999998</v>
      </c>
      <c r="C661">
        <v>5.29</v>
      </c>
      <c r="D661" s="6" t="s">
        <v>2373</v>
      </c>
      <c r="E661" s="6" t="s">
        <v>2370</v>
      </c>
      <c r="F661" s="6" t="s">
        <v>2370</v>
      </c>
      <c r="G661">
        <v>1</v>
      </c>
      <c r="H661" s="6" t="s">
        <v>2373</v>
      </c>
      <c r="I661" t="s">
        <v>8380</v>
      </c>
      <c r="J661" t="s">
        <v>8377</v>
      </c>
    </row>
    <row r="662" spans="1:10" x14ac:dyDescent="0.35">
      <c r="A662" s="6" t="s">
        <v>1700</v>
      </c>
      <c r="B662">
        <v>25.6</v>
      </c>
      <c r="C662">
        <v>10.95</v>
      </c>
      <c r="D662" s="6" t="s">
        <v>2370</v>
      </c>
      <c r="E662" s="6" t="s">
        <v>2370</v>
      </c>
      <c r="F662" s="6" t="s">
        <v>2370</v>
      </c>
      <c r="G662">
        <v>3</v>
      </c>
      <c r="H662" s="6" t="s">
        <v>2370</v>
      </c>
      <c r="I662" t="s">
        <v>8378</v>
      </c>
      <c r="J662" t="s">
        <v>8375</v>
      </c>
    </row>
    <row r="663" spans="1:10" x14ac:dyDescent="0.35">
      <c r="A663" s="6" t="s">
        <v>1699</v>
      </c>
      <c r="B663">
        <v>34.21</v>
      </c>
      <c r="C663">
        <v>9.17</v>
      </c>
      <c r="D663" s="6" t="s">
        <v>2370</v>
      </c>
      <c r="E663" s="6" t="s">
        <v>2370</v>
      </c>
      <c r="F663" s="6" t="s">
        <v>2370</v>
      </c>
      <c r="G663">
        <v>0</v>
      </c>
      <c r="H663" s="6" t="s">
        <v>2370</v>
      </c>
      <c r="I663" t="s">
        <v>8374</v>
      </c>
      <c r="J663" t="s">
        <v>8375</v>
      </c>
    </row>
    <row r="664" spans="1:10" x14ac:dyDescent="0.35">
      <c r="A664" s="6" t="s">
        <v>1698</v>
      </c>
      <c r="B664">
        <v>39.74</v>
      </c>
      <c r="C664">
        <v>7.39</v>
      </c>
      <c r="D664" s="6" t="s">
        <v>2370</v>
      </c>
      <c r="E664" s="6" t="s">
        <v>2370</v>
      </c>
      <c r="F664" s="6" t="s">
        <v>2370</v>
      </c>
      <c r="G664">
        <v>0</v>
      </c>
      <c r="H664" s="6" t="s">
        <v>2370</v>
      </c>
      <c r="I664" t="s">
        <v>8374</v>
      </c>
      <c r="J664" t="s">
        <v>8375</v>
      </c>
    </row>
    <row r="665" spans="1:10" x14ac:dyDescent="0.35">
      <c r="A665" s="6" t="s">
        <v>1697</v>
      </c>
      <c r="B665">
        <v>49.53</v>
      </c>
      <c r="C665">
        <v>9.1300000000000008</v>
      </c>
      <c r="D665" s="6" t="s">
        <v>2373</v>
      </c>
      <c r="E665" s="6" t="s">
        <v>2370</v>
      </c>
      <c r="F665" s="6" t="s">
        <v>2370</v>
      </c>
      <c r="G665">
        <v>0</v>
      </c>
      <c r="H665" s="6" t="s">
        <v>2370</v>
      </c>
      <c r="I665" t="s">
        <v>8374</v>
      </c>
      <c r="J665" t="s">
        <v>8375</v>
      </c>
    </row>
    <row r="666" spans="1:10" x14ac:dyDescent="0.35">
      <c r="A666" s="6" t="s">
        <v>1696</v>
      </c>
      <c r="B666">
        <v>39.33</v>
      </c>
      <c r="C666">
        <v>10.4</v>
      </c>
      <c r="D666" s="6" t="s">
        <v>2370</v>
      </c>
      <c r="E666" s="6" t="s">
        <v>2370</v>
      </c>
      <c r="F666" s="6" t="s">
        <v>2370</v>
      </c>
      <c r="G666">
        <v>3</v>
      </c>
      <c r="H666" s="6" t="s">
        <v>2370</v>
      </c>
      <c r="I666" t="s">
        <v>8374</v>
      </c>
      <c r="J666" t="s">
        <v>8375</v>
      </c>
    </row>
    <row r="667" spans="1:10" x14ac:dyDescent="0.35">
      <c r="A667" s="6" t="s">
        <v>1695</v>
      </c>
      <c r="B667">
        <v>39.979999999999997</v>
      </c>
      <c r="C667">
        <v>9.4600000000000009</v>
      </c>
      <c r="D667" s="6" t="s">
        <v>2373</v>
      </c>
      <c r="E667" s="6" t="s">
        <v>2370</v>
      </c>
      <c r="F667" s="6" t="s">
        <v>2370</v>
      </c>
      <c r="G667">
        <v>2</v>
      </c>
      <c r="H667" s="6" t="s">
        <v>2370</v>
      </c>
      <c r="I667" t="s">
        <v>8374</v>
      </c>
      <c r="J667" t="s">
        <v>8375</v>
      </c>
    </row>
    <row r="668" spans="1:10" x14ac:dyDescent="0.35">
      <c r="A668" s="6" t="s">
        <v>1694</v>
      </c>
      <c r="B668">
        <v>46.51</v>
      </c>
      <c r="C668">
        <v>8.69</v>
      </c>
      <c r="D668" s="6" t="s">
        <v>2373</v>
      </c>
      <c r="E668" s="6" t="s">
        <v>2370</v>
      </c>
      <c r="F668" s="6" t="s">
        <v>2370</v>
      </c>
      <c r="G668">
        <v>0</v>
      </c>
      <c r="H668" s="6" t="s">
        <v>2370</v>
      </c>
      <c r="I668" t="s">
        <v>8374</v>
      </c>
      <c r="J668" t="s">
        <v>8375</v>
      </c>
    </row>
    <row r="669" spans="1:10" x14ac:dyDescent="0.35">
      <c r="A669" s="6" t="s">
        <v>1693</v>
      </c>
      <c r="B669">
        <v>43.58</v>
      </c>
      <c r="C669">
        <v>4.2300000000000004</v>
      </c>
      <c r="D669" s="6" t="s">
        <v>2370</v>
      </c>
      <c r="E669" s="6" t="s">
        <v>2370</v>
      </c>
      <c r="F669" s="6" t="s">
        <v>2373</v>
      </c>
      <c r="G669">
        <v>1</v>
      </c>
      <c r="H669" s="6" t="s">
        <v>2370</v>
      </c>
      <c r="I669" t="s">
        <v>8374</v>
      </c>
      <c r="J669" t="s">
        <v>8377</v>
      </c>
    </row>
    <row r="670" spans="1:10" x14ac:dyDescent="0.35">
      <c r="A670" s="6" t="s">
        <v>1692</v>
      </c>
      <c r="B670">
        <v>42.28</v>
      </c>
      <c r="C670">
        <v>9.16</v>
      </c>
      <c r="D670" s="6" t="s">
        <v>2373</v>
      </c>
      <c r="E670" s="6" t="s">
        <v>2370</v>
      </c>
      <c r="F670" s="6" t="s">
        <v>2370</v>
      </c>
      <c r="G670">
        <v>1</v>
      </c>
      <c r="H670" s="6" t="s">
        <v>2370</v>
      </c>
      <c r="I670" t="s">
        <v>8374</v>
      </c>
      <c r="J670" t="s">
        <v>8375</v>
      </c>
    </row>
    <row r="671" spans="1:10" x14ac:dyDescent="0.35">
      <c r="A671" s="6" t="s">
        <v>1691</v>
      </c>
      <c r="B671">
        <v>35.520000000000003</v>
      </c>
      <c r="C671">
        <v>8.26</v>
      </c>
      <c r="D671" s="6" t="s">
        <v>2370</v>
      </c>
      <c r="E671" s="6" t="s">
        <v>2370</v>
      </c>
      <c r="F671" s="6" t="s">
        <v>2370</v>
      </c>
      <c r="G671">
        <v>0</v>
      </c>
      <c r="H671" s="6" t="s">
        <v>2370</v>
      </c>
      <c r="I671" t="s">
        <v>8374</v>
      </c>
      <c r="J671" t="s">
        <v>8375</v>
      </c>
    </row>
    <row r="672" spans="1:10" x14ac:dyDescent="0.35">
      <c r="A672" s="6" t="s">
        <v>1690</v>
      </c>
      <c r="B672">
        <v>33.6</v>
      </c>
      <c r="C672">
        <v>11.25</v>
      </c>
      <c r="D672" s="6" t="s">
        <v>2370</v>
      </c>
      <c r="E672" s="6" t="s">
        <v>2370</v>
      </c>
      <c r="F672" s="6" t="s">
        <v>2370</v>
      </c>
      <c r="G672">
        <v>0</v>
      </c>
      <c r="H672" s="6" t="s">
        <v>2370</v>
      </c>
      <c r="I672" t="s">
        <v>8374</v>
      </c>
      <c r="J672" t="s">
        <v>8375</v>
      </c>
    </row>
    <row r="673" spans="1:10" x14ac:dyDescent="0.35">
      <c r="A673" s="6" t="s">
        <v>1689</v>
      </c>
      <c r="B673">
        <v>22.42</v>
      </c>
      <c r="C673">
        <v>6.74</v>
      </c>
      <c r="D673" s="6" t="s">
        <v>2370</v>
      </c>
      <c r="E673" s="6" t="s">
        <v>2370</v>
      </c>
      <c r="F673" s="6" t="s">
        <v>2370</v>
      </c>
      <c r="G673">
        <v>0</v>
      </c>
      <c r="H673" s="6" t="s">
        <v>2373</v>
      </c>
      <c r="I673" t="s">
        <v>8379</v>
      </c>
      <c r="J673" t="s">
        <v>8375</v>
      </c>
    </row>
    <row r="674" spans="1:10" x14ac:dyDescent="0.35">
      <c r="A674" s="6" t="s">
        <v>1688</v>
      </c>
      <c r="B674">
        <v>46.86</v>
      </c>
      <c r="C674">
        <v>4.87</v>
      </c>
      <c r="D674" s="6" t="s">
        <v>2370</v>
      </c>
      <c r="E674" s="6" t="s">
        <v>2370</v>
      </c>
      <c r="F674" s="6" t="s">
        <v>2370</v>
      </c>
      <c r="G674">
        <v>0</v>
      </c>
      <c r="H674" s="6" t="s">
        <v>2370</v>
      </c>
      <c r="I674" t="s">
        <v>8374</v>
      </c>
      <c r="J674" t="s">
        <v>8377</v>
      </c>
    </row>
    <row r="675" spans="1:10" x14ac:dyDescent="0.35">
      <c r="A675" s="6" t="s">
        <v>1687</v>
      </c>
      <c r="B675">
        <v>32.965000000000003</v>
      </c>
      <c r="C675">
        <v>6.68</v>
      </c>
      <c r="D675" s="6" t="s">
        <v>2370</v>
      </c>
      <c r="E675" s="6" t="s">
        <v>2370</v>
      </c>
      <c r="F675" s="6" t="s">
        <v>2370</v>
      </c>
      <c r="G675">
        <v>3</v>
      </c>
      <c r="H675" s="6" t="s">
        <v>2370</v>
      </c>
      <c r="I675" t="s">
        <v>8374</v>
      </c>
      <c r="J675" t="s">
        <v>8375</v>
      </c>
    </row>
    <row r="676" spans="1:10" x14ac:dyDescent="0.35">
      <c r="A676" s="6" t="s">
        <v>1686</v>
      </c>
      <c r="B676">
        <v>39.340000000000003</v>
      </c>
      <c r="C676">
        <v>5.0199999999999996</v>
      </c>
      <c r="D676" s="6" t="s">
        <v>2373</v>
      </c>
      <c r="E676" s="6" t="s">
        <v>2370</v>
      </c>
      <c r="F676" s="6" t="s">
        <v>2373</v>
      </c>
      <c r="G676">
        <v>1</v>
      </c>
      <c r="H676" s="6" t="s">
        <v>2370</v>
      </c>
      <c r="I676" t="s">
        <v>8374</v>
      </c>
      <c r="J676" t="s">
        <v>8377</v>
      </c>
    </row>
    <row r="677" spans="1:10" x14ac:dyDescent="0.35">
      <c r="A677" s="6" t="s">
        <v>1685</v>
      </c>
      <c r="B677">
        <v>47</v>
      </c>
      <c r="C677">
        <v>10.64</v>
      </c>
      <c r="D677" s="6" t="s">
        <v>2373</v>
      </c>
      <c r="E677" s="6" t="s">
        <v>2370</v>
      </c>
      <c r="F677" s="6" t="s">
        <v>2370</v>
      </c>
      <c r="G677">
        <v>0</v>
      </c>
      <c r="H677" s="6" t="s">
        <v>2370</v>
      </c>
      <c r="I677" t="s">
        <v>8374</v>
      </c>
      <c r="J677" t="s">
        <v>8375</v>
      </c>
    </row>
    <row r="678" spans="1:10" x14ac:dyDescent="0.35">
      <c r="A678" s="6" t="s">
        <v>1684</v>
      </c>
      <c r="B678">
        <v>36.71</v>
      </c>
      <c r="C678">
        <v>8.74</v>
      </c>
      <c r="D678" s="6" t="s">
        <v>2373</v>
      </c>
      <c r="E678" s="6" t="s">
        <v>2370</v>
      </c>
      <c r="F678" s="6" t="s">
        <v>2370</v>
      </c>
      <c r="G678">
        <v>0</v>
      </c>
      <c r="H678" s="6" t="s">
        <v>2370</v>
      </c>
      <c r="I678" t="s">
        <v>8374</v>
      </c>
      <c r="J678" t="s">
        <v>8375</v>
      </c>
    </row>
    <row r="679" spans="1:10" x14ac:dyDescent="0.35">
      <c r="A679" s="6" t="s">
        <v>1683</v>
      </c>
      <c r="B679">
        <v>53.48</v>
      </c>
      <c r="C679">
        <v>5.64</v>
      </c>
      <c r="D679" s="6" t="s">
        <v>2370</v>
      </c>
      <c r="E679" s="6" t="s">
        <v>2370</v>
      </c>
      <c r="F679" s="6" t="s">
        <v>2370</v>
      </c>
      <c r="G679">
        <v>0</v>
      </c>
      <c r="H679" s="6" t="s">
        <v>2370</v>
      </c>
      <c r="I679" t="s">
        <v>8374</v>
      </c>
      <c r="J679" t="s">
        <v>8377</v>
      </c>
    </row>
    <row r="680" spans="1:10" x14ac:dyDescent="0.35">
      <c r="A680" s="6" t="s">
        <v>1682</v>
      </c>
      <c r="B680">
        <v>35.5</v>
      </c>
      <c r="C680">
        <v>10.37</v>
      </c>
      <c r="D680" s="6" t="s">
        <v>2370</v>
      </c>
      <c r="E680" s="6" t="s">
        <v>2370</v>
      </c>
      <c r="F680" s="6" t="s">
        <v>2370</v>
      </c>
      <c r="G680">
        <v>0</v>
      </c>
      <c r="H680" s="6" t="s">
        <v>2370</v>
      </c>
      <c r="I680" t="s">
        <v>8374</v>
      </c>
      <c r="J680" t="s">
        <v>8375</v>
      </c>
    </row>
    <row r="681" spans="1:10" x14ac:dyDescent="0.35">
      <c r="A681" s="6" t="s">
        <v>1681</v>
      </c>
      <c r="B681">
        <v>36.979999999999997</v>
      </c>
      <c r="C681">
        <v>9.56</v>
      </c>
      <c r="D681" s="6" t="s">
        <v>2373</v>
      </c>
      <c r="E681" s="6" t="s">
        <v>2370</v>
      </c>
      <c r="F681" s="6" t="s">
        <v>2370</v>
      </c>
      <c r="G681">
        <v>0</v>
      </c>
      <c r="H681" s="6" t="s">
        <v>2370</v>
      </c>
      <c r="I681" t="s">
        <v>8374</v>
      </c>
      <c r="J681" t="s">
        <v>8375</v>
      </c>
    </row>
    <row r="682" spans="1:10" x14ac:dyDescent="0.35">
      <c r="A682" s="6" t="s">
        <v>1680</v>
      </c>
      <c r="B682">
        <v>32.395000000000003</v>
      </c>
      <c r="C682">
        <v>8.23</v>
      </c>
      <c r="D682" s="6" t="s">
        <v>2373</v>
      </c>
      <c r="E682" s="6" t="s">
        <v>2370</v>
      </c>
      <c r="F682" s="6" t="s">
        <v>2373</v>
      </c>
      <c r="G682">
        <v>1</v>
      </c>
      <c r="H682" s="6" t="s">
        <v>2370</v>
      </c>
      <c r="I682" t="s">
        <v>8374</v>
      </c>
      <c r="J682" t="s">
        <v>8375</v>
      </c>
    </row>
    <row r="683" spans="1:10" x14ac:dyDescent="0.35">
      <c r="A683" s="6" t="s">
        <v>1679</v>
      </c>
      <c r="B683">
        <v>32.729999999999997</v>
      </c>
      <c r="C683">
        <v>7.03</v>
      </c>
      <c r="D683" s="6" t="s">
        <v>2370</v>
      </c>
      <c r="E683" s="6" t="s">
        <v>2370</v>
      </c>
      <c r="F683" s="6" t="s">
        <v>2370</v>
      </c>
      <c r="G683">
        <v>0</v>
      </c>
      <c r="H683" s="6" t="s">
        <v>2370</v>
      </c>
      <c r="I683" t="s">
        <v>8374</v>
      </c>
      <c r="J683" t="s">
        <v>8375</v>
      </c>
    </row>
    <row r="684" spans="1:10" x14ac:dyDescent="0.35">
      <c r="A684" s="6" t="s">
        <v>1678</v>
      </c>
      <c r="B684">
        <v>20.52</v>
      </c>
      <c r="C684">
        <v>5.45</v>
      </c>
      <c r="D684" s="6" t="s">
        <v>2370</v>
      </c>
      <c r="E684" s="6" t="s">
        <v>2370</v>
      </c>
      <c r="F684" s="6" t="s">
        <v>2370</v>
      </c>
      <c r="G684">
        <v>1</v>
      </c>
      <c r="H684" s="6" t="s">
        <v>2373</v>
      </c>
      <c r="I684" t="s">
        <v>8379</v>
      </c>
      <c r="J684" t="s">
        <v>8377</v>
      </c>
    </row>
    <row r="685" spans="1:10" x14ac:dyDescent="0.35">
      <c r="A685" s="6" t="s">
        <v>1677</v>
      </c>
      <c r="B685">
        <v>51.72</v>
      </c>
      <c r="C685">
        <v>5.76</v>
      </c>
      <c r="D685" s="6" t="s">
        <v>2370</v>
      </c>
      <c r="E685" s="6" t="s">
        <v>2370</v>
      </c>
      <c r="F685" s="6" t="s">
        <v>2370</v>
      </c>
      <c r="G685">
        <v>0</v>
      </c>
      <c r="H685" s="6" t="s">
        <v>2370</v>
      </c>
      <c r="I685" t="s">
        <v>8374</v>
      </c>
      <c r="J685" t="s">
        <v>8376</v>
      </c>
    </row>
    <row r="686" spans="1:10" x14ac:dyDescent="0.35">
      <c r="A686" s="6" t="s">
        <v>1676</v>
      </c>
      <c r="B686">
        <v>50.2</v>
      </c>
      <c r="C686">
        <v>5.4</v>
      </c>
      <c r="D686" s="6" t="s">
        <v>2370</v>
      </c>
      <c r="E686" s="6" t="s">
        <v>2370</v>
      </c>
      <c r="F686" s="6" t="s">
        <v>2370</v>
      </c>
      <c r="G686">
        <v>0</v>
      </c>
      <c r="H686" s="6" t="s">
        <v>2370</v>
      </c>
      <c r="I686" t="s">
        <v>8374</v>
      </c>
      <c r="J686" t="s">
        <v>8377</v>
      </c>
    </row>
    <row r="687" spans="1:10" x14ac:dyDescent="0.35">
      <c r="A687" s="6" t="s">
        <v>1675</v>
      </c>
      <c r="B687">
        <v>25.52</v>
      </c>
      <c r="C687">
        <v>6.35</v>
      </c>
      <c r="D687" s="6" t="s">
        <v>2370</v>
      </c>
      <c r="E687" s="6" t="s">
        <v>2370</v>
      </c>
      <c r="F687" s="6" t="s">
        <v>2373</v>
      </c>
      <c r="G687">
        <v>1</v>
      </c>
      <c r="H687" s="6" t="s">
        <v>2370</v>
      </c>
      <c r="I687" t="s">
        <v>8378</v>
      </c>
      <c r="J687" t="s">
        <v>8376</v>
      </c>
    </row>
    <row r="688" spans="1:10" x14ac:dyDescent="0.35">
      <c r="A688" s="6" t="s">
        <v>1674</v>
      </c>
      <c r="B688">
        <v>35.200000000000003</v>
      </c>
      <c r="C688">
        <v>6.26</v>
      </c>
      <c r="D688" s="6" t="s">
        <v>2373</v>
      </c>
      <c r="E688" s="6" t="s">
        <v>2370</v>
      </c>
      <c r="F688" s="6" t="s">
        <v>2370</v>
      </c>
      <c r="G688">
        <v>2</v>
      </c>
      <c r="H688" s="6" t="s">
        <v>2370</v>
      </c>
      <c r="I688" t="s">
        <v>8374</v>
      </c>
      <c r="J688" t="s">
        <v>8376</v>
      </c>
    </row>
    <row r="689" spans="1:10" x14ac:dyDescent="0.35">
      <c r="A689" s="6" t="s">
        <v>1673</v>
      </c>
      <c r="B689">
        <v>41.26</v>
      </c>
      <c r="C689">
        <v>5.97</v>
      </c>
      <c r="D689" s="6" t="s">
        <v>2373</v>
      </c>
      <c r="E689" s="6" t="s">
        <v>2370</v>
      </c>
      <c r="F689" s="6" t="s">
        <v>2370</v>
      </c>
      <c r="G689">
        <v>0</v>
      </c>
      <c r="H689" s="6" t="s">
        <v>2370</v>
      </c>
      <c r="I689" t="s">
        <v>8374</v>
      </c>
      <c r="J689" t="s">
        <v>8376</v>
      </c>
    </row>
    <row r="690" spans="1:10" x14ac:dyDescent="0.35">
      <c r="A690" s="6" t="s">
        <v>1672</v>
      </c>
      <c r="B690">
        <v>17.195</v>
      </c>
      <c r="C690">
        <v>5.29</v>
      </c>
      <c r="D690" s="6" t="s">
        <v>2373</v>
      </c>
      <c r="E690" s="6" t="s">
        <v>2370</v>
      </c>
      <c r="F690" s="6" t="s">
        <v>2370</v>
      </c>
      <c r="G690">
        <v>0</v>
      </c>
      <c r="H690" s="6" t="s">
        <v>2373</v>
      </c>
      <c r="I690" t="s">
        <v>8380</v>
      </c>
      <c r="J690" t="s">
        <v>8377</v>
      </c>
    </row>
    <row r="691" spans="1:10" x14ac:dyDescent="0.35">
      <c r="A691" s="6" t="s">
        <v>1671</v>
      </c>
      <c r="B691">
        <v>23.085000000000001</v>
      </c>
      <c r="C691">
        <v>4.2699999999999996</v>
      </c>
      <c r="D691" s="6" t="s">
        <v>2373</v>
      </c>
      <c r="E691" s="6" t="s">
        <v>2370</v>
      </c>
      <c r="F691" s="6" t="s">
        <v>2370</v>
      </c>
      <c r="G691">
        <v>2</v>
      </c>
      <c r="H691" s="6" t="s">
        <v>2370</v>
      </c>
      <c r="I691" t="s">
        <v>8379</v>
      </c>
      <c r="J691" t="s">
        <v>8377</v>
      </c>
    </row>
    <row r="692" spans="1:10" x14ac:dyDescent="0.35">
      <c r="A692" s="6" t="s">
        <v>1670</v>
      </c>
      <c r="B692">
        <v>21.66</v>
      </c>
      <c r="C692">
        <v>5.2</v>
      </c>
      <c r="D692" s="6" t="s">
        <v>2373</v>
      </c>
      <c r="E692" s="6" t="s">
        <v>2370</v>
      </c>
      <c r="F692" s="6" t="s">
        <v>2370</v>
      </c>
      <c r="G692">
        <v>2</v>
      </c>
      <c r="H692" s="6" t="s">
        <v>2370</v>
      </c>
      <c r="I692" t="s">
        <v>8379</v>
      </c>
      <c r="J692" t="s">
        <v>8377</v>
      </c>
    </row>
    <row r="693" spans="1:10" x14ac:dyDescent="0.35">
      <c r="A693" s="6" t="s">
        <v>1669</v>
      </c>
      <c r="B693">
        <v>36.47</v>
      </c>
      <c r="C693">
        <v>8.23</v>
      </c>
      <c r="D693" s="6" t="s">
        <v>2373</v>
      </c>
      <c r="E693" s="6" t="s">
        <v>2370</v>
      </c>
      <c r="F693" s="6" t="s">
        <v>2370</v>
      </c>
      <c r="G693">
        <v>0</v>
      </c>
      <c r="H693" s="6" t="s">
        <v>2370</v>
      </c>
      <c r="I693" t="s">
        <v>8374</v>
      </c>
      <c r="J693" t="s">
        <v>8375</v>
      </c>
    </row>
    <row r="694" spans="1:10" x14ac:dyDescent="0.35">
      <c r="A694" s="6" t="s">
        <v>1668</v>
      </c>
      <c r="B694">
        <v>36.08</v>
      </c>
      <c r="C694">
        <v>10.33</v>
      </c>
      <c r="D694" s="6" t="s">
        <v>2373</v>
      </c>
      <c r="E694" s="6" t="s">
        <v>2370</v>
      </c>
      <c r="F694" s="6" t="s">
        <v>2370</v>
      </c>
      <c r="G694">
        <v>0</v>
      </c>
      <c r="H694" s="6" t="s">
        <v>2370</v>
      </c>
      <c r="I694" t="s">
        <v>8374</v>
      </c>
      <c r="J694" t="s">
        <v>8375</v>
      </c>
    </row>
    <row r="695" spans="1:10" x14ac:dyDescent="0.35">
      <c r="A695" s="6" t="s">
        <v>1667</v>
      </c>
      <c r="B695">
        <v>23.18</v>
      </c>
      <c r="C695">
        <v>6.13</v>
      </c>
      <c r="D695" s="6" t="s">
        <v>2370</v>
      </c>
      <c r="E695" s="6" t="s">
        <v>2370</v>
      </c>
      <c r="F695" s="6" t="s">
        <v>2370</v>
      </c>
      <c r="G695">
        <v>0</v>
      </c>
      <c r="H695" s="6" t="s">
        <v>2370</v>
      </c>
      <c r="I695" t="s">
        <v>8379</v>
      </c>
      <c r="J695" t="s">
        <v>8376</v>
      </c>
    </row>
    <row r="696" spans="1:10" x14ac:dyDescent="0.35">
      <c r="A696" s="6" t="s">
        <v>1666</v>
      </c>
      <c r="B696">
        <v>39.159999999999997</v>
      </c>
      <c r="C696">
        <v>8.08</v>
      </c>
      <c r="D696" s="6" t="s">
        <v>2370</v>
      </c>
      <c r="E696" s="6" t="s">
        <v>2370</v>
      </c>
      <c r="F696" s="6" t="s">
        <v>2370</v>
      </c>
      <c r="G696">
        <v>3</v>
      </c>
      <c r="H696" s="6" t="s">
        <v>2370</v>
      </c>
      <c r="I696" t="s">
        <v>8374</v>
      </c>
      <c r="J696" t="s">
        <v>8375</v>
      </c>
    </row>
    <row r="697" spans="1:10" x14ac:dyDescent="0.35">
      <c r="A697" s="6" t="s">
        <v>1665</v>
      </c>
      <c r="B697">
        <v>38.19</v>
      </c>
      <c r="C697">
        <v>10.49</v>
      </c>
      <c r="D697" s="6" t="s">
        <v>2370</v>
      </c>
      <c r="E697" s="6" t="s">
        <v>2370</v>
      </c>
      <c r="F697" s="6" t="s">
        <v>2370</v>
      </c>
      <c r="G697">
        <v>3</v>
      </c>
      <c r="H697" s="6" t="s">
        <v>2370</v>
      </c>
      <c r="I697" t="s">
        <v>8374</v>
      </c>
      <c r="J697" t="s">
        <v>8375</v>
      </c>
    </row>
    <row r="698" spans="1:10" x14ac:dyDescent="0.35">
      <c r="A698" s="6" t="s">
        <v>1664</v>
      </c>
      <c r="B698">
        <v>26.41</v>
      </c>
      <c r="C698">
        <v>8.11</v>
      </c>
      <c r="D698" s="6" t="s">
        <v>2370</v>
      </c>
      <c r="E698" s="6" t="s">
        <v>2370</v>
      </c>
      <c r="F698" s="6" t="s">
        <v>2370</v>
      </c>
      <c r="G698">
        <v>3</v>
      </c>
      <c r="H698" s="6" t="s">
        <v>2370</v>
      </c>
      <c r="I698" t="s">
        <v>8378</v>
      </c>
      <c r="J698" t="s">
        <v>8375</v>
      </c>
    </row>
    <row r="699" spans="1:10" x14ac:dyDescent="0.35">
      <c r="A699" s="6" t="s">
        <v>1663</v>
      </c>
      <c r="B699">
        <v>28.785</v>
      </c>
      <c r="C699">
        <v>6.6</v>
      </c>
      <c r="D699" s="6" t="s">
        <v>2370</v>
      </c>
      <c r="E699" s="6" t="s">
        <v>2370</v>
      </c>
      <c r="F699" s="6" t="s">
        <v>2370</v>
      </c>
      <c r="G699">
        <v>0</v>
      </c>
      <c r="H699" s="6" t="s">
        <v>2370</v>
      </c>
      <c r="I699" t="s">
        <v>8378</v>
      </c>
      <c r="J699" t="s">
        <v>8375</v>
      </c>
    </row>
    <row r="700" spans="1:10" x14ac:dyDescent="0.35">
      <c r="A700" s="6" t="s">
        <v>1662</v>
      </c>
      <c r="B700">
        <v>26.695</v>
      </c>
      <c r="C700">
        <v>10.14</v>
      </c>
      <c r="D700" s="6" t="s">
        <v>2373</v>
      </c>
      <c r="E700" s="6" t="s">
        <v>2370</v>
      </c>
      <c r="F700" s="6" t="s">
        <v>2373</v>
      </c>
      <c r="G700">
        <v>1</v>
      </c>
      <c r="H700" s="6" t="s">
        <v>2370</v>
      </c>
      <c r="I700" t="s">
        <v>8378</v>
      </c>
      <c r="J700" t="s">
        <v>8375</v>
      </c>
    </row>
    <row r="701" spans="1:10" x14ac:dyDescent="0.35">
      <c r="A701" s="6" t="s">
        <v>1661</v>
      </c>
      <c r="B701">
        <v>32.799999999999997</v>
      </c>
      <c r="C701">
        <v>6.06</v>
      </c>
      <c r="D701" s="6" t="s">
        <v>2373</v>
      </c>
      <c r="E701" s="6" t="s">
        <v>2370</v>
      </c>
      <c r="F701" s="6" t="s">
        <v>2370</v>
      </c>
      <c r="G701">
        <v>1</v>
      </c>
      <c r="H701" s="6" t="s">
        <v>2370</v>
      </c>
      <c r="I701" t="s">
        <v>8374</v>
      </c>
      <c r="J701" t="s">
        <v>8376</v>
      </c>
    </row>
    <row r="702" spans="1:10" x14ac:dyDescent="0.35">
      <c r="A702" s="6" t="s">
        <v>1660</v>
      </c>
      <c r="B702">
        <v>35.869999999999997</v>
      </c>
      <c r="C702">
        <v>9.91</v>
      </c>
      <c r="D702" s="6" t="s">
        <v>2373</v>
      </c>
      <c r="E702" s="6" t="s">
        <v>2370</v>
      </c>
      <c r="F702" s="6" t="s">
        <v>2370</v>
      </c>
      <c r="G702">
        <v>0</v>
      </c>
      <c r="H702" s="6" t="s">
        <v>2370</v>
      </c>
      <c r="I702" t="s">
        <v>8374</v>
      </c>
      <c r="J702" t="s">
        <v>8375</v>
      </c>
    </row>
    <row r="703" spans="1:10" x14ac:dyDescent="0.35">
      <c r="A703" s="6" t="s">
        <v>1659</v>
      </c>
      <c r="B703">
        <v>21.66</v>
      </c>
      <c r="C703">
        <v>4.1399999999999997</v>
      </c>
      <c r="D703" s="6" t="s">
        <v>2373</v>
      </c>
      <c r="E703" s="6" t="s">
        <v>2370</v>
      </c>
      <c r="F703" s="6" t="s">
        <v>2370</v>
      </c>
      <c r="G703">
        <v>2</v>
      </c>
      <c r="H703" s="6" t="s">
        <v>2370</v>
      </c>
      <c r="I703" t="s">
        <v>8379</v>
      </c>
      <c r="J703" t="s">
        <v>8377</v>
      </c>
    </row>
    <row r="704" spans="1:10" x14ac:dyDescent="0.35">
      <c r="A704" s="6" t="s">
        <v>1658</v>
      </c>
      <c r="B704">
        <v>37.72</v>
      </c>
      <c r="C704">
        <v>4.38</v>
      </c>
      <c r="D704" s="6" t="s">
        <v>2373</v>
      </c>
      <c r="E704" s="6" t="s">
        <v>2370</v>
      </c>
      <c r="F704" s="6" t="s">
        <v>2373</v>
      </c>
      <c r="G704">
        <v>1</v>
      </c>
      <c r="H704" s="6" t="s">
        <v>2370</v>
      </c>
      <c r="I704" t="s">
        <v>8374</v>
      </c>
      <c r="J704" t="s">
        <v>8377</v>
      </c>
    </row>
    <row r="705" spans="1:10" x14ac:dyDescent="0.35">
      <c r="A705" s="6" t="s">
        <v>1657</v>
      </c>
      <c r="B705">
        <v>39.700000000000003</v>
      </c>
      <c r="C705">
        <v>9.83</v>
      </c>
      <c r="D705" s="6" t="s">
        <v>2370</v>
      </c>
      <c r="E705" s="6" t="s">
        <v>2370</v>
      </c>
      <c r="F705" s="6" t="s">
        <v>2370</v>
      </c>
      <c r="G705">
        <v>3</v>
      </c>
      <c r="H705" s="6" t="s">
        <v>2370</v>
      </c>
      <c r="I705" t="s">
        <v>8374</v>
      </c>
      <c r="J705" t="s">
        <v>8375</v>
      </c>
    </row>
    <row r="706" spans="1:10" x14ac:dyDescent="0.35">
      <c r="A706" s="6" t="s">
        <v>1656</v>
      </c>
      <c r="B706">
        <v>35.97</v>
      </c>
      <c r="C706">
        <v>11.08</v>
      </c>
      <c r="D706" s="6" t="s">
        <v>2370</v>
      </c>
      <c r="E706" s="6" t="s">
        <v>2370</v>
      </c>
      <c r="F706" s="6" t="s">
        <v>2370</v>
      </c>
      <c r="G706">
        <v>3</v>
      </c>
      <c r="H706" s="6" t="s">
        <v>2370</v>
      </c>
      <c r="I706" t="s">
        <v>8374</v>
      </c>
      <c r="J706" t="s">
        <v>8375</v>
      </c>
    </row>
    <row r="707" spans="1:10" x14ac:dyDescent="0.35">
      <c r="A707" s="6" t="s">
        <v>1655</v>
      </c>
      <c r="B707">
        <v>37.85</v>
      </c>
      <c r="C707">
        <v>11.01</v>
      </c>
      <c r="D707" s="6" t="s">
        <v>2370</v>
      </c>
      <c r="E707" s="6" t="s">
        <v>2370</v>
      </c>
      <c r="F707" s="6" t="s">
        <v>2370</v>
      </c>
      <c r="G707">
        <v>0</v>
      </c>
      <c r="H707" s="6" t="s">
        <v>2370</v>
      </c>
      <c r="I707" t="s">
        <v>8374</v>
      </c>
      <c r="J707" t="s">
        <v>8375</v>
      </c>
    </row>
    <row r="708" spans="1:10" x14ac:dyDescent="0.35">
      <c r="A708" s="6" t="s">
        <v>1654</v>
      </c>
      <c r="B708">
        <v>21.66</v>
      </c>
      <c r="C708">
        <v>4.37</v>
      </c>
      <c r="D708" s="6" t="s">
        <v>2370</v>
      </c>
      <c r="E708" s="6" t="s">
        <v>2372</v>
      </c>
      <c r="F708" s="6" t="s">
        <v>2370</v>
      </c>
      <c r="G708">
        <v>1</v>
      </c>
      <c r="H708" s="6" t="s">
        <v>2373</v>
      </c>
      <c r="I708" t="s">
        <v>8379</v>
      </c>
      <c r="J708" t="s">
        <v>8377</v>
      </c>
    </row>
    <row r="709" spans="1:10" x14ac:dyDescent="0.35">
      <c r="A709" s="6" t="s">
        <v>1653</v>
      </c>
      <c r="B709">
        <v>39.369999999999997</v>
      </c>
      <c r="C709">
        <v>5.91</v>
      </c>
      <c r="D709" s="6" t="s">
        <v>2370</v>
      </c>
      <c r="E709" s="6" t="s">
        <v>2370</v>
      </c>
      <c r="F709" s="6" t="s">
        <v>2370</v>
      </c>
      <c r="G709">
        <v>2</v>
      </c>
      <c r="H709" s="6" t="s">
        <v>2370</v>
      </c>
      <c r="I709" t="s">
        <v>8374</v>
      </c>
      <c r="J709" t="s">
        <v>8376</v>
      </c>
    </row>
    <row r="710" spans="1:10" x14ac:dyDescent="0.35">
      <c r="A710" s="6" t="s">
        <v>1652</v>
      </c>
      <c r="B710">
        <v>40.880000000000003</v>
      </c>
      <c r="C710">
        <v>7.65</v>
      </c>
      <c r="D710" s="6" t="s">
        <v>2370</v>
      </c>
      <c r="E710" s="6" t="s">
        <v>2370</v>
      </c>
      <c r="F710" s="6" t="s">
        <v>2370</v>
      </c>
      <c r="G710">
        <v>0</v>
      </c>
      <c r="H710" s="6" t="s">
        <v>2370</v>
      </c>
      <c r="I710" t="s">
        <v>8374</v>
      </c>
      <c r="J710" t="s">
        <v>8375</v>
      </c>
    </row>
    <row r="711" spans="1:10" x14ac:dyDescent="0.35">
      <c r="A711" s="6" t="s">
        <v>1651</v>
      </c>
      <c r="B711">
        <v>26.22</v>
      </c>
      <c r="C711">
        <v>5.37</v>
      </c>
      <c r="D711" s="6" t="s">
        <v>2373</v>
      </c>
      <c r="E711" s="6" t="s">
        <v>2370</v>
      </c>
      <c r="F711" s="6" t="s">
        <v>2370</v>
      </c>
      <c r="G711">
        <v>2</v>
      </c>
      <c r="H711" s="6" t="s">
        <v>2370</v>
      </c>
      <c r="I711" t="s">
        <v>8378</v>
      </c>
      <c r="J711" t="s">
        <v>8377</v>
      </c>
    </row>
    <row r="712" spans="1:10" x14ac:dyDescent="0.35">
      <c r="A712" s="6" t="s">
        <v>1650</v>
      </c>
      <c r="B712">
        <v>25.08</v>
      </c>
      <c r="C712">
        <v>5.75</v>
      </c>
      <c r="D712" s="6" t="s">
        <v>2373</v>
      </c>
      <c r="E712" s="6" t="s">
        <v>2370</v>
      </c>
      <c r="F712" s="6" t="s">
        <v>2370</v>
      </c>
      <c r="G712">
        <v>2</v>
      </c>
      <c r="H712" s="6" t="s">
        <v>2370</v>
      </c>
      <c r="I712" t="s">
        <v>8378</v>
      </c>
      <c r="J712" t="s">
        <v>8376</v>
      </c>
    </row>
    <row r="713" spans="1:10" x14ac:dyDescent="0.35">
      <c r="A713" s="6" t="s">
        <v>1649</v>
      </c>
      <c r="B713">
        <v>39.1</v>
      </c>
      <c r="C713">
        <v>6.79</v>
      </c>
      <c r="D713" s="6" t="s">
        <v>2373</v>
      </c>
      <c r="E713" s="6" t="s">
        <v>2370</v>
      </c>
      <c r="F713" s="6" t="s">
        <v>2370</v>
      </c>
      <c r="G713">
        <v>2</v>
      </c>
      <c r="H713" s="6" t="s">
        <v>2370</v>
      </c>
      <c r="I713" t="s">
        <v>8374</v>
      </c>
      <c r="J713" t="s">
        <v>8375</v>
      </c>
    </row>
    <row r="714" spans="1:10" x14ac:dyDescent="0.35">
      <c r="A714" s="6" t="s">
        <v>1648</v>
      </c>
      <c r="B714">
        <v>37.905000000000001</v>
      </c>
      <c r="C714">
        <v>7.03</v>
      </c>
      <c r="D714" s="6" t="s">
        <v>2370</v>
      </c>
      <c r="E714" s="6" t="s">
        <v>2370</v>
      </c>
      <c r="F714" s="6" t="s">
        <v>2370</v>
      </c>
      <c r="G714">
        <v>3</v>
      </c>
      <c r="H714" s="6" t="s">
        <v>2370</v>
      </c>
      <c r="I714" t="s">
        <v>8374</v>
      </c>
      <c r="J714" t="s">
        <v>8375</v>
      </c>
    </row>
    <row r="715" spans="1:10" x14ac:dyDescent="0.35">
      <c r="A715" s="6" t="s">
        <v>1647</v>
      </c>
      <c r="B715">
        <v>43.35</v>
      </c>
      <c r="C715">
        <v>5.41</v>
      </c>
      <c r="D715" s="6" t="s">
        <v>2373</v>
      </c>
      <c r="E715" s="6" t="s">
        <v>2370</v>
      </c>
      <c r="F715" s="6" t="s">
        <v>2373</v>
      </c>
      <c r="G715">
        <v>1</v>
      </c>
      <c r="H715" s="6" t="s">
        <v>2370</v>
      </c>
      <c r="I715" t="s">
        <v>8374</v>
      </c>
      <c r="J715" t="s">
        <v>8377</v>
      </c>
    </row>
    <row r="716" spans="1:10" x14ac:dyDescent="0.35">
      <c r="A716" s="6" t="s">
        <v>1646</v>
      </c>
      <c r="B716">
        <v>36.15</v>
      </c>
      <c r="C716">
        <v>8.0500000000000007</v>
      </c>
      <c r="D716" s="6" t="s">
        <v>2370</v>
      </c>
      <c r="E716" s="6" t="s">
        <v>2370</v>
      </c>
      <c r="F716" s="6" t="s">
        <v>2370</v>
      </c>
      <c r="G716">
        <v>0</v>
      </c>
      <c r="H716" s="6" t="s">
        <v>2370</v>
      </c>
      <c r="I716" t="s">
        <v>8374</v>
      </c>
      <c r="J716" t="s">
        <v>8375</v>
      </c>
    </row>
    <row r="717" spans="1:10" x14ac:dyDescent="0.35">
      <c r="A717" s="6" t="s">
        <v>1645</v>
      </c>
      <c r="B717">
        <v>44.98</v>
      </c>
      <c r="C717">
        <v>5.94</v>
      </c>
      <c r="D717" s="6" t="s">
        <v>2370</v>
      </c>
      <c r="E717" s="6" t="s">
        <v>2370</v>
      </c>
      <c r="F717" s="6" t="s">
        <v>2370</v>
      </c>
      <c r="G717">
        <v>1</v>
      </c>
      <c r="H717" s="6" t="s">
        <v>2370</v>
      </c>
      <c r="I717" t="s">
        <v>8374</v>
      </c>
      <c r="J717" t="s">
        <v>8376</v>
      </c>
    </row>
    <row r="718" spans="1:10" x14ac:dyDescent="0.35">
      <c r="A718" s="6" t="s">
        <v>1644</v>
      </c>
      <c r="B718">
        <v>38.28</v>
      </c>
      <c r="C718">
        <v>5.51</v>
      </c>
      <c r="D718" s="6" t="s">
        <v>2370</v>
      </c>
      <c r="E718" s="6" t="s">
        <v>2372</v>
      </c>
      <c r="F718" s="6" t="s">
        <v>2370</v>
      </c>
      <c r="G718">
        <v>1</v>
      </c>
      <c r="H718" s="6" t="s">
        <v>2370</v>
      </c>
      <c r="I718" t="s">
        <v>8374</v>
      </c>
      <c r="J718" t="s">
        <v>8377</v>
      </c>
    </row>
    <row r="719" spans="1:10" x14ac:dyDescent="0.35">
      <c r="A719" s="6" t="s">
        <v>1643</v>
      </c>
      <c r="B719">
        <v>32.299999999999997</v>
      </c>
      <c r="C719">
        <v>6.55</v>
      </c>
      <c r="D719" s="6" t="s">
        <v>2373</v>
      </c>
      <c r="E719" s="6" t="s">
        <v>2370</v>
      </c>
      <c r="F719" s="6" t="s">
        <v>2370</v>
      </c>
      <c r="G719">
        <v>2</v>
      </c>
      <c r="H719" s="6" t="s">
        <v>2370</v>
      </c>
      <c r="I719" t="s">
        <v>8374</v>
      </c>
      <c r="J719" t="s">
        <v>8375</v>
      </c>
    </row>
    <row r="720" spans="1:10" x14ac:dyDescent="0.35">
      <c r="A720" s="6" t="s">
        <v>1642</v>
      </c>
      <c r="B720">
        <v>39.51</v>
      </c>
      <c r="C720">
        <v>5.79</v>
      </c>
      <c r="D720" s="6" t="s">
        <v>2373</v>
      </c>
      <c r="E720" s="6" t="s">
        <v>2370</v>
      </c>
      <c r="F720" s="6" t="s">
        <v>2370</v>
      </c>
      <c r="G720">
        <v>0</v>
      </c>
      <c r="H720" s="6" t="s">
        <v>2370</v>
      </c>
      <c r="I720" t="s">
        <v>8374</v>
      </c>
      <c r="J720" t="s">
        <v>8376</v>
      </c>
    </row>
    <row r="721" spans="1:10" x14ac:dyDescent="0.35">
      <c r="A721" s="6" t="s">
        <v>1641</v>
      </c>
      <c r="B721">
        <v>50.46</v>
      </c>
      <c r="C721">
        <v>4.5599999999999996</v>
      </c>
      <c r="D721" s="6" t="s">
        <v>2370</v>
      </c>
      <c r="E721" s="6" t="s">
        <v>2370</v>
      </c>
      <c r="F721" s="6" t="s">
        <v>2370</v>
      </c>
      <c r="G721">
        <v>0</v>
      </c>
      <c r="H721" s="6" t="s">
        <v>2370</v>
      </c>
      <c r="I721" t="s">
        <v>8374</v>
      </c>
      <c r="J721" t="s">
        <v>8377</v>
      </c>
    </row>
    <row r="722" spans="1:10" x14ac:dyDescent="0.35">
      <c r="A722" s="6" t="s">
        <v>1640</v>
      </c>
      <c r="B722">
        <v>31.73</v>
      </c>
      <c r="C722">
        <v>7</v>
      </c>
      <c r="D722" s="6" t="s">
        <v>2370</v>
      </c>
      <c r="E722" s="6" t="s">
        <v>2370</v>
      </c>
      <c r="F722" s="6" t="s">
        <v>2370</v>
      </c>
      <c r="G722">
        <v>0</v>
      </c>
      <c r="H722" s="6" t="s">
        <v>2370</v>
      </c>
      <c r="I722" t="s">
        <v>8374</v>
      </c>
      <c r="J722" t="s">
        <v>8375</v>
      </c>
    </row>
    <row r="723" spans="1:10" x14ac:dyDescent="0.35">
      <c r="A723" s="6" t="s">
        <v>1639</v>
      </c>
      <c r="B723">
        <v>32.1</v>
      </c>
      <c r="C723">
        <v>6.57</v>
      </c>
      <c r="D723" s="6" t="s">
        <v>2373</v>
      </c>
      <c r="E723" s="6" t="s">
        <v>2370</v>
      </c>
      <c r="F723" s="6" t="s">
        <v>2373</v>
      </c>
      <c r="G723">
        <v>1</v>
      </c>
      <c r="H723" s="6" t="s">
        <v>2370</v>
      </c>
      <c r="I723" t="s">
        <v>8374</v>
      </c>
      <c r="J723" t="s">
        <v>8375</v>
      </c>
    </row>
    <row r="724" spans="1:10" x14ac:dyDescent="0.35">
      <c r="A724" s="6" t="s">
        <v>1638</v>
      </c>
      <c r="B724">
        <v>27.83</v>
      </c>
      <c r="C724">
        <v>11.61</v>
      </c>
      <c r="D724" s="6" t="s">
        <v>2373</v>
      </c>
      <c r="E724" s="6" t="s">
        <v>2370</v>
      </c>
      <c r="F724" s="6" t="s">
        <v>2373</v>
      </c>
      <c r="G724">
        <v>1</v>
      </c>
      <c r="H724" s="6" t="s">
        <v>2370</v>
      </c>
      <c r="I724" t="s">
        <v>8378</v>
      </c>
      <c r="J724" t="s">
        <v>8375</v>
      </c>
    </row>
    <row r="725" spans="1:10" x14ac:dyDescent="0.35">
      <c r="A725" s="6" t="s">
        <v>1637</v>
      </c>
      <c r="B725">
        <v>27.72</v>
      </c>
      <c r="C725">
        <v>8.16</v>
      </c>
      <c r="D725" s="6" t="s">
        <v>2373</v>
      </c>
      <c r="E725" s="6" t="s">
        <v>2370</v>
      </c>
      <c r="F725" s="6" t="s">
        <v>2373</v>
      </c>
      <c r="G725">
        <v>1</v>
      </c>
      <c r="H725" s="6" t="s">
        <v>2370</v>
      </c>
      <c r="I725" t="s">
        <v>8378</v>
      </c>
      <c r="J725" t="s">
        <v>8375</v>
      </c>
    </row>
    <row r="726" spans="1:10" x14ac:dyDescent="0.35">
      <c r="A726" s="6" t="s">
        <v>1636</v>
      </c>
      <c r="B726">
        <v>36.765000000000001</v>
      </c>
      <c r="C726">
        <v>4.4800000000000004</v>
      </c>
      <c r="D726" s="6" t="s">
        <v>2373</v>
      </c>
      <c r="E726" s="6" t="s">
        <v>2370</v>
      </c>
      <c r="F726" s="6" t="s">
        <v>2370</v>
      </c>
      <c r="G726">
        <v>2</v>
      </c>
      <c r="H726" s="6" t="s">
        <v>2370</v>
      </c>
      <c r="I726" t="s">
        <v>8374</v>
      </c>
      <c r="J726" t="s">
        <v>8377</v>
      </c>
    </row>
    <row r="727" spans="1:10" x14ac:dyDescent="0.35">
      <c r="A727" s="6" t="s">
        <v>1635</v>
      </c>
      <c r="B727">
        <v>48.36</v>
      </c>
      <c r="C727">
        <v>4.08</v>
      </c>
      <c r="D727" s="6" t="s">
        <v>2370</v>
      </c>
      <c r="E727" s="6" t="s">
        <v>2370</v>
      </c>
      <c r="F727" s="6" t="s">
        <v>2370</v>
      </c>
      <c r="G727">
        <v>0</v>
      </c>
      <c r="H727" s="6" t="s">
        <v>2370</v>
      </c>
      <c r="I727" t="s">
        <v>8374</v>
      </c>
      <c r="J727" t="s">
        <v>8377</v>
      </c>
    </row>
    <row r="728" spans="1:10" x14ac:dyDescent="0.35">
      <c r="A728" s="6" t="s">
        <v>1634</v>
      </c>
      <c r="B728">
        <v>31.445</v>
      </c>
      <c r="C728">
        <v>4.4000000000000004</v>
      </c>
      <c r="D728" s="6" t="s">
        <v>2373</v>
      </c>
      <c r="E728" s="6" t="s">
        <v>2370</v>
      </c>
      <c r="F728" s="6" t="s">
        <v>2370</v>
      </c>
      <c r="G728">
        <v>2</v>
      </c>
      <c r="H728" s="6" t="s">
        <v>2370</v>
      </c>
      <c r="I728" t="s">
        <v>8374</v>
      </c>
      <c r="J728" t="s">
        <v>8377</v>
      </c>
    </row>
    <row r="729" spans="1:10" x14ac:dyDescent="0.35">
      <c r="A729" s="6" t="s">
        <v>1633</v>
      </c>
      <c r="B729">
        <v>27.55</v>
      </c>
      <c r="C729">
        <v>9.02</v>
      </c>
      <c r="D729" s="6" t="s">
        <v>2370</v>
      </c>
      <c r="E729" s="6" t="s">
        <v>2370</v>
      </c>
      <c r="F729" s="6" t="s">
        <v>2370</v>
      </c>
      <c r="G729">
        <v>0</v>
      </c>
      <c r="H729" s="6" t="s">
        <v>2370</v>
      </c>
      <c r="I729" t="s">
        <v>8378</v>
      </c>
      <c r="J729" t="s">
        <v>8375</v>
      </c>
    </row>
    <row r="730" spans="1:10" x14ac:dyDescent="0.35">
      <c r="A730" s="6" t="s">
        <v>1632</v>
      </c>
      <c r="B730">
        <v>33.11</v>
      </c>
      <c r="C730">
        <v>8.06</v>
      </c>
      <c r="D730" s="6" t="s">
        <v>2370</v>
      </c>
      <c r="E730" s="6" t="s">
        <v>2370</v>
      </c>
      <c r="F730" s="6" t="s">
        <v>2370</v>
      </c>
      <c r="G730">
        <v>0</v>
      </c>
      <c r="H730" s="6" t="s">
        <v>2370</v>
      </c>
      <c r="I730" t="s">
        <v>8374</v>
      </c>
      <c r="J730" t="s">
        <v>8375</v>
      </c>
    </row>
    <row r="731" spans="1:10" x14ac:dyDescent="0.35">
      <c r="A731" s="6" t="s">
        <v>1631</v>
      </c>
      <c r="B731">
        <v>36.85</v>
      </c>
      <c r="C731">
        <v>6.21</v>
      </c>
      <c r="D731" s="6" t="s">
        <v>2373</v>
      </c>
      <c r="E731" s="6" t="s">
        <v>2370</v>
      </c>
      <c r="F731" s="6" t="s">
        <v>2370</v>
      </c>
      <c r="G731">
        <v>2</v>
      </c>
      <c r="H731" s="6" t="s">
        <v>2370</v>
      </c>
      <c r="I731" t="s">
        <v>8374</v>
      </c>
      <c r="J731" t="s">
        <v>8376</v>
      </c>
    </row>
    <row r="732" spans="1:10" x14ac:dyDescent="0.35">
      <c r="A732" s="6" t="s">
        <v>1630</v>
      </c>
      <c r="B732">
        <v>36.299999999999997</v>
      </c>
      <c r="C732">
        <v>5.79</v>
      </c>
      <c r="D732" s="6" t="s">
        <v>2373</v>
      </c>
      <c r="E732" s="6" t="s">
        <v>2370</v>
      </c>
      <c r="F732" s="6" t="s">
        <v>2370</v>
      </c>
      <c r="G732">
        <v>2</v>
      </c>
      <c r="H732" s="6" t="s">
        <v>2370</v>
      </c>
      <c r="I732" t="s">
        <v>8374</v>
      </c>
      <c r="J732" t="s">
        <v>8376</v>
      </c>
    </row>
    <row r="733" spans="1:10" x14ac:dyDescent="0.35">
      <c r="A733" s="6" t="s">
        <v>1629</v>
      </c>
      <c r="B733">
        <v>45.34</v>
      </c>
      <c r="C733">
        <v>5.69</v>
      </c>
      <c r="D733" s="6" t="s">
        <v>2373</v>
      </c>
      <c r="E733" s="6" t="s">
        <v>2370</v>
      </c>
      <c r="F733" s="6" t="s">
        <v>2370</v>
      </c>
      <c r="G733">
        <v>0</v>
      </c>
      <c r="H733" s="6" t="s">
        <v>2370</v>
      </c>
      <c r="I733" t="s">
        <v>8374</v>
      </c>
      <c r="J733" t="s">
        <v>8377</v>
      </c>
    </row>
    <row r="734" spans="1:10" x14ac:dyDescent="0.35">
      <c r="A734" s="6" t="s">
        <v>1628</v>
      </c>
      <c r="B734">
        <v>31.8</v>
      </c>
      <c r="C734">
        <v>5.36</v>
      </c>
      <c r="D734" s="6" t="s">
        <v>2373</v>
      </c>
      <c r="E734" s="6" t="s">
        <v>2370</v>
      </c>
      <c r="F734" s="6" t="s">
        <v>2370</v>
      </c>
      <c r="G734">
        <v>2</v>
      </c>
      <c r="H734" s="6" t="s">
        <v>2370</v>
      </c>
      <c r="I734" t="s">
        <v>8374</v>
      </c>
      <c r="J734" t="s">
        <v>8377</v>
      </c>
    </row>
    <row r="735" spans="1:10" x14ac:dyDescent="0.35">
      <c r="A735" s="6" t="s">
        <v>1627</v>
      </c>
      <c r="B735">
        <v>41.02</v>
      </c>
      <c r="C735">
        <v>11.37</v>
      </c>
      <c r="D735" s="6" t="s">
        <v>2370</v>
      </c>
      <c r="E735" s="6" t="s">
        <v>2370</v>
      </c>
      <c r="F735" s="6" t="s">
        <v>2370</v>
      </c>
      <c r="G735">
        <v>0</v>
      </c>
      <c r="H735" s="6" t="s">
        <v>2370</v>
      </c>
      <c r="I735" t="s">
        <v>8374</v>
      </c>
      <c r="J735" t="s">
        <v>8375</v>
      </c>
    </row>
    <row r="736" spans="1:10" x14ac:dyDescent="0.35">
      <c r="A736" s="6" t="s">
        <v>1626</v>
      </c>
      <c r="B736">
        <v>32.68</v>
      </c>
      <c r="C736">
        <v>11.87</v>
      </c>
      <c r="D736" s="6" t="s">
        <v>2370</v>
      </c>
      <c r="E736" s="6" t="s">
        <v>2370</v>
      </c>
      <c r="F736" s="6" t="s">
        <v>2370</v>
      </c>
      <c r="G736">
        <v>0</v>
      </c>
      <c r="H736" s="6" t="s">
        <v>2370</v>
      </c>
      <c r="I736" t="s">
        <v>8374</v>
      </c>
      <c r="J736" t="s">
        <v>8375</v>
      </c>
    </row>
    <row r="737" spans="1:10" x14ac:dyDescent="0.35">
      <c r="A737" s="6" t="s">
        <v>1625</v>
      </c>
      <c r="B737">
        <v>21.7</v>
      </c>
      <c r="C737">
        <v>4.9000000000000004</v>
      </c>
      <c r="D737" s="6" t="s">
        <v>2370</v>
      </c>
      <c r="E737" s="6" t="s">
        <v>2370</v>
      </c>
      <c r="F737" s="6" t="s">
        <v>2373</v>
      </c>
      <c r="G737">
        <v>1</v>
      </c>
      <c r="H737" s="6" t="s">
        <v>2373</v>
      </c>
      <c r="I737" t="s">
        <v>8379</v>
      </c>
      <c r="J737" t="s">
        <v>8377</v>
      </c>
    </row>
    <row r="738" spans="1:10" x14ac:dyDescent="0.35">
      <c r="A738" s="6" t="s">
        <v>1624</v>
      </c>
      <c r="B738">
        <v>40.479999999999997</v>
      </c>
      <c r="C738">
        <v>6.7</v>
      </c>
      <c r="D738" s="6" t="s">
        <v>2370</v>
      </c>
      <c r="E738" s="6" t="s">
        <v>2370</v>
      </c>
      <c r="F738" s="6" t="s">
        <v>2370</v>
      </c>
      <c r="G738">
        <v>3</v>
      </c>
      <c r="H738" s="6" t="s">
        <v>2370</v>
      </c>
      <c r="I738" t="s">
        <v>8374</v>
      </c>
      <c r="J738" t="s">
        <v>8375</v>
      </c>
    </row>
    <row r="739" spans="1:10" x14ac:dyDescent="0.35">
      <c r="A739" s="6" t="s">
        <v>1623</v>
      </c>
      <c r="B739">
        <v>34.5</v>
      </c>
      <c r="C739">
        <v>10.3</v>
      </c>
      <c r="D739" s="6" t="s">
        <v>2370</v>
      </c>
      <c r="E739" s="6" t="s">
        <v>2370</v>
      </c>
      <c r="F739" s="6" t="s">
        <v>2370</v>
      </c>
      <c r="G739">
        <v>3</v>
      </c>
      <c r="H739" s="6" t="s">
        <v>2370</v>
      </c>
      <c r="I739" t="s">
        <v>8374</v>
      </c>
      <c r="J739" t="s">
        <v>8375</v>
      </c>
    </row>
    <row r="740" spans="1:10" x14ac:dyDescent="0.35">
      <c r="A740" s="6" t="s">
        <v>1622</v>
      </c>
      <c r="B740">
        <v>45.9</v>
      </c>
      <c r="C740">
        <v>11.14</v>
      </c>
      <c r="D740" s="6" t="s">
        <v>2373</v>
      </c>
      <c r="E740" s="6" t="s">
        <v>2370</v>
      </c>
      <c r="F740" s="6" t="s">
        <v>2370</v>
      </c>
      <c r="G740">
        <v>1</v>
      </c>
      <c r="H740" s="6" t="s">
        <v>2370</v>
      </c>
      <c r="I740" t="s">
        <v>8374</v>
      </c>
      <c r="J740" t="s">
        <v>8375</v>
      </c>
    </row>
    <row r="741" spans="1:10" x14ac:dyDescent="0.35">
      <c r="A741" s="6" t="s">
        <v>1621</v>
      </c>
      <c r="B741">
        <v>33.479999999999997</v>
      </c>
      <c r="C741">
        <v>4.74</v>
      </c>
      <c r="D741" s="6" t="s">
        <v>2373</v>
      </c>
      <c r="E741" s="6" t="s">
        <v>2370</v>
      </c>
      <c r="F741" s="6" t="s">
        <v>2370</v>
      </c>
      <c r="G741">
        <v>2</v>
      </c>
      <c r="H741" s="6" t="s">
        <v>2370</v>
      </c>
      <c r="I741" t="s">
        <v>8374</v>
      </c>
      <c r="J741" t="s">
        <v>8377</v>
      </c>
    </row>
    <row r="742" spans="1:10" x14ac:dyDescent="0.35">
      <c r="A742" s="6" t="s">
        <v>1620</v>
      </c>
      <c r="B742">
        <v>28.31</v>
      </c>
      <c r="C742">
        <v>5.96</v>
      </c>
      <c r="D742" s="6" t="s">
        <v>2373</v>
      </c>
      <c r="E742" s="6" t="s">
        <v>2370</v>
      </c>
      <c r="F742" s="6" t="s">
        <v>2370</v>
      </c>
      <c r="G742">
        <v>2</v>
      </c>
      <c r="H742" s="6" t="s">
        <v>2370</v>
      </c>
      <c r="I742" t="s">
        <v>8378</v>
      </c>
      <c r="J742" t="s">
        <v>8376</v>
      </c>
    </row>
    <row r="743" spans="1:10" x14ac:dyDescent="0.35">
      <c r="A743" s="6" t="s">
        <v>1619</v>
      </c>
      <c r="B743">
        <v>21.565000000000001</v>
      </c>
      <c r="C743">
        <v>4.95</v>
      </c>
      <c r="D743" s="6" t="s">
        <v>2370</v>
      </c>
      <c r="E743" s="6" t="s">
        <v>2372</v>
      </c>
      <c r="F743" s="6" t="s">
        <v>2370</v>
      </c>
      <c r="G743">
        <v>1</v>
      </c>
      <c r="H743" s="6" t="s">
        <v>2373</v>
      </c>
      <c r="I743" t="s">
        <v>8379</v>
      </c>
      <c r="J743" t="s">
        <v>8377</v>
      </c>
    </row>
    <row r="744" spans="1:10" x14ac:dyDescent="0.35">
      <c r="A744" s="6" t="s">
        <v>1618</v>
      </c>
      <c r="B744">
        <v>35.590000000000003</v>
      </c>
      <c r="C744">
        <v>5.21</v>
      </c>
      <c r="D744" s="6" t="s">
        <v>2373</v>
      </c>
      <c r="E744" s="6" t="s">
        <v>2370</v>
      </c>
      <c r="F744" s="6" t="s">
        <v>2373</v>
      </c>
      <c r="G744">
        <v>1</v>
      </c>
      <c r="H744" s="6" t="s">
        <v>2370</v>
      </c>
      <c r="I744" t="s">
        <v>8374</v>
      </c>
      <c r="J744" t="s">
        <v>8377</v>
      </c>
    </row>
    <row r="745" spans="1:10" x14ac:dyDescent="0.35">
      <c r="A745" s="6" t="s">
        <v>1617</v>
      </c>
      <c r="B745">
        <v>43.44</v>
      </c>
      <c r="C745">
        <v>4.8600000000000003</v>
      </c>
      <c r="D745" s="6" t="s">
        <v>2373</v>
      </c>
      <c r="E745" s="6" t="s">
        <v>2370</v>
      </c>
      <c r="F745" s="6" t="s">
        <v>2370</v>
      </c>
      <c r="G745">
        <v>0</v>
      </c>
      <c r="H745" s="6" t="s">
        <v>2370</v>
      </c>
      <c r="I745" t="s">
        <v>8374</v>
      </c>
      <c r="J745" t="s">
        <v>8377</v>
      </c>
    </row>
    <row r="746" spans="1:10" x14ac:dyDescent="0.35">
      <c r="A746" s="6" t="s">
        <v>1616</v>
      </c>
      <c r="B746">
        <v>21.754999999999999</v>
      </c>
      <c r="C746">
        <v>7.79</v>
      </c>
      <c r="D746" s="6" t="s">
        <v>2373</v>
      </c>
      <c r="E746" s="6" t="s">
        <v>2370</v>
      </c>
      <c r="F746" s="6" t="s">
        <v>2370</v>
      </c>
      <c r="G746">
        <v>0</v>
      </c>
      <c r="H746" s="6" t="s">
        <v>2370</v>
      </c>
      <c r="I746" t="s">
        <v>8379</v>
      </c>
      <c r="J746" t="s">
        <v>8375</v>
      </c>
    </row>
    <row r="747" spans="1:10" x14ac:dyDescent="0.35">
      <c r="A747" s="6" t="s">
        <v>1615</v>
      </c>
      <c r="B747">
        <v>44.55</v>
      </c>
      <c r="C747">
        <v>7.12</v>
      </c>
      <c r="D747" s="6" t="s">
        <v>2373</v>
      </c>
      <c r="E747" s="6" t="s">
        <v>2370</v>
      </c>
      <c r="F747" s="6" t="s">
        <v>2370</v>
      </c>
      <c r="G747">
        <v>1</v>
      </c>
      <c r="H747" s="6" t="s">
        <v>2370</v>
      </c>
      <c r="I747" t="s">
        <v>8374</v>
      </c>
      <c r="J747" t="s">
        <v>8375</v>
      </c>
    </row>
    <row r="748" spans="1:10" x14ac:dyDescent="0.35">
      <c r="A748" s="6" t="s">
        <v>1614</v>
      </c>
      <c r="B748">
        <v>43.32</v>
      </c>
      <c r="C748">
        <v>4.67</v>
      </c>
      <c r="D748" s="6" t="s">
        <v>2373</v>
      </c>
      <c r="E748" s="6" t="s">
        <v>2370</v>
      </c>
      <c r="F748" s="6" t="s">
        <v>2370</v>
      </c>
      <c r="G748">
        <v>0</v>
      </c>
      <c r="H748" s="6" t="s">
        <v>2370</v>
      </c>
      <c r="I748" t="s">
        <v>8374</v>
      </c>
      <c r="J748" t="s">
        <v>8377</v>
      </c>
    </row>
    <row r="749" spans="1:10" x14ac:dyDescent="0.35">
      <c r="A749" s="6" t="s">
        <v>1613</v>
      </c>
      <c r="B749">
        <v>31.23</v>
      </c>
      <c r="C749">
        <v>9.1199999999999992</v>
      </c>
      <c r="D749" s="6" t="s">
        <v>2373</v>
      </c>
      <c r="E749" s="6" t="s">
        <v>2370</v>
      </c>
      <c r="F749" s="6" t="s">
        <v>2373</v>
      </c>
      <c r="G749">
        <v>1</v>
      </c>
      <c r="H749" s="6" t="s">
        <v>2370</v>
      </c>
      <c r="I749" t="s">
        <v>8374</v>
      </c>
      <c r="J749" t="s">
        <v>8375</v>
      </c>
    </row>
    <row r="750" spans="1:10" x14ac:dyDescent="0.35">
      <c r="A750" s="6" t="s">
        <v>1612</v>
      </c>
      <c r="B750">
        <v>42.81</v>
      </c>
      <c r="C750">
        <v>4.1500000000000004</v>
      </c>
      <c r="D750" s="6" t="s">
        <v>2370</v>
      </c>
      <c r="E750" s="6" t="s">
        <v>2370</v>
      </c>
      <c r="F750" s="6" t="s">
        <v>2370</v>
      </c>
      <c r="G750">
        <v>1</v>
      </c>
      <c r="H750" s="6" t="s">
        <v>2370</v>
      </c>
      <c r="I750" t="s">
        <v>8374</v>
      </c>
      <c r="J750" t="s">
        <v>8377</v>
      </c>
    </row>
    <row r="751" spans="1:10" x14ac:dyDescent="0.35">
      <c r="A751" s="6" t="s">
        <v>1611</v>
      </c>
      <c r="B751">
        <v>35.909999999999997</v>
      </c>
      <c r="C751">
        <v>6.72</v>
      </c>
      <c r="D751" s="6" t="s">
        <v>2373</v>
      </c>
      <c r="E751" s="6" t="s">
        <v>2370</v>
      </c>
      <c r="F751" s="6" t="s">
        <v>2370</v>
      </c>
      <c r="G751">
        <v>2</v>
      </c>
      <c r="H751" s="6" t="s">
        <v>2370</v>
      </c>
      <c r="I751" t="s">
        <v>8374</v>
      </c>
      <c r="J751" t="s">
        <v>8375</v>
      </c>
    </row>
    <row r="752" spans="1:10" x14ac:dyDescent="0.35">
      <c r="A752" s="6" t="s">
        <v>1610</v>
      </c>
      <c r="B752">
        <v>36.65</v>
      </c>
      <c r="C752">
        <v>5.01</v>
      </c>
      <c r="D752" s="6" t="s">
        <v>2373</v>
      </c>
      <c r="E752" s="6" t="s">
        <v>2370</v>
      </c>
      <c r="F752" s="6" t="s">
        <v>2373</v>
      </c>
      <c r="G752">
        <v>1</v>
      </c>
      <c r="H752" s="6" t="s">
        <v>2370</v>
      </c>
      <c r="I752" t="s">
        <v>8374</v>
      </c>
      <c r="J752" t="s">
        <v>8377</v>
      </c>
    </row>
    <row r="753" spans="1:10" x14ac:dyDescent="0.35">
      <c r="A753" s="6" t="s">
        <v>1609</v>
      </c>
      <c r="B753">
        <v>22.04</v>
      </c>
      <c r="C753">
        <v>10.9</v>
      </c>
      <c r="D753" s="6" t="s">
        <v>2373</v>
      </c>
      <c r="E753" s="6" t="s">
        <v>2370</v>
      </c>
      <c r="F753" s="6" t="s">
        <v>2370</v>
      </c>
      <c r="G753">
        <v>2</v>
      </c>
      <c r="H753" s="6" t="s">
        <v>2370</v>
      </c>
      <c r="I753" t="s">
        <v>8379</v>
      </c>
      <c r="J753" t="s">
        <v>8375</v>
      </c>
    </row>
    <row r="754" spans="1:10" x14ac:dyDescent="0.35">
      <c r="A754" s="6" t="s">
        <v>1608</v>
      </c>
      <c r="B754">
        <v>31.824999999999999</v>
      </c>
      <c r="C754">
        <v>5.52</v>
      </c>
      <c r="D754" s="6" t="s">
        <v>2373</v>
      </c>
      <c r="E754" s="6" t="s">
        <v>2370</v>
      </c>
      <c r="F754" s="6" t="s">
        <v>2370</v>
      </c>
      <c r="G754">
        <v>1</v>
      </c>
      <c r="H754" s="6" t="s">
        <v>2370</v>
      </c>
      <c r="I754" t="s">
        <v>8374</v>
      </c>
      <c r="J754" t="s">
        <v>8377</v>
      </c>
    </row>
    <row r="755" spans="1:10" x14ac:dyDescent="0.35">
      <c r="A755" s="6" t="s">
        <v>1607</v>
      </c>
      <c r="B755">
        <v>53.58</v>
      </c>
      <c r="C755">
        <v>4.55</v>
      </c>
      <c r="D755" s="6" t="s">
        <v>2370</v>
      </c>
      <c r="E755" s="6" t="s">
        <v>2370</v>
      </c>
      <c r="F755" s="6" t="s">
        <v>2370</v>
      </c>
      <c r="G755">
        <v>1</v>
      </c>
      <c r="H755" s="6" t="s">
        <v>2370</v>
      </c>
      <c r="I755" t="s">
        <v>8374</v>
      </c>
      <c r="J755" t="s">
        <v>8377</v>
      </c>
    </row>
    <row r="756" spans="1:10" x14ac:dyDescent="0.35">
      <c r="A756" s="6" t="s">
        <v>1606</v>
      </c>
      <c r="B756">
        <v>34.299999999999997</v>
      </c>
      <c r="C756">
        <v>11.76</v>
      </c>
      <c r="D756" s="6" t="s">
        <v>2370</v>
      </c>
      <c r="E756" s="6" t="s">
        <v>2370</v>
      </c>
      <c r="F756" s="6" t="s">
        <v>2370</v>
      </c>
      <c r="G756">
        <v>0</v>
      </c>
      <c r="H756" s="6" t="s">
        <v>2370</v>
      </c>
      <c r="I756" t="s">
        <v>8374</v>
      </c>
      <c r="J756" t="s">
        <v>8375</v>
      </c>
    </row>
    <row r="757" spans="1:10" x14ac:dyDescent="0.35">
      <c r="A757" s="6" t="s">
        <v>1605</v>
      </c>
      <c r="B757">
        <v>32.11</v>
      </c>
      <c r="C757">
        <v>7.06</v>
      </c>
      <c r="D757" s="6" t="s">
        <v>2370</v>
      </c>
      <c r="E757" s="6" t="s">
        <v>2370</v>
      </c>
      <c r="F757" s="6" t="s">
        <v>2370</v>
      </c>
      <c r="G757">
        <v>0</v>
      </c>
      <c r="H757" s="6" t="s">
        <v>2370</v>
      </c>
      <c r="I757" t="s">
        <v>8374</v>
      </c>
      <c r="J757" t="s">
        <v>8375</v>
      </c>
    </row>
    <row r="758" spans="1:10" x14ac:dyDescent="0.35">
      <c r="A758" s="6" t="s">
        <v>1604</v>
      </c>
      <c r="B758">
        <v>31.78</v>
      </c>
      <c r="C758">
        <v>11.35</v>
      </c>
      <c r="D758" s="6" t="s">
        <v>2373</v>
      </c>
      <c r="E758" s="6" t="s">
        <v>2370</v>
      </c>
      <c r="F758" s="6" t="s">
        <v>2373</v>
      </c>
      <c r="G758">
        <v>1</v>
      </c>
      <c r="H758" s="6" t="s">
        <v>2370</v>
      </c>
      <c r="I758" t="s">
        <v>8374</v>
      </c>
      <c r="J758" t="s">
        <v>8375</v>
      </c>
    </row>
    <row r="759" spans="1:10" x14ac:dyDescent="0.35">
      <c r="A759" s="6" t="s">
        <v>1603</v>
      </c>
      <c r="B759">
        <v>46.89</v>
      </c>
      <c r="C759">
        <v>5.52</v>
      </c>
      <c r="D759" s="6" t="s">
        <v>2370</v>
      </c>
      <c r="E759" s="6" t="s">
        <v>2370</v>
      </c>
      <c r="F759" s="6" t="s">
        <v>2370</v>
      </c>
      <c r="G759">
        <v>0</v>
      </c>
      <c r="H759" s="6" t="s">
        <v>2370</v>
      </c>
      <c r="I759" t="s">
        <v>8374</v>
      </c>
      <c r="J759" t="s">
        <v>8377</v>
      </c>
    </row>
    <row r="760" spans="1:10" x14ac:dyDescent="0.35">
      <c r="A760" s="6" t="s">
        <v>1602</v>
      </c>
      <c r="B760">
        <v>39.35</v>
      </c>
      <c r="C760">
        <v>7.86</v>
      </c>
      <c r="D760" s="6" t="s">
        <v>2373</v>
      </c>
      <c r="E760" s="6" t="s">
        <v>2370</v>
      </c>
      <c r="F760" s="6" t="s">
        <v>2370</v>
      </c>
      <c r="G760">
        <v>1</v>
      </c>
      <c r="H760" s="6" t="s">
        <v>2370</v>
      </c>
      <c r="I760" t="s">
        <v>8374</v>
      </c>
      <c r="J760" t="s">
        <v>8375</v>
      </c>
    </row>
    <row r="761" spans="1:10" x14ac:dyDescent="0.35">
      <c r="A761" s="6" t="s">
        <v>1601</v>
      </c>
      <c r="B761">
        <v>39.200000000000003</v>
      </c>
      <c r="C761">
        <v>11.38</v>
      </c>
      <c r="D761" s="6" t="s">
        <v>2370</v>
      </c>
      <c r="E761" s="6" t="s">
        <v>2370</v>
      </c>
      <c r="F761" s="6" t="s">
        <v>2370</v>
      </c>
      <c r="G761">
        <v>0</v>
      </c>
      <c r="H761" s="6" t="s">
        <v>2370</v>
      </c>
      <c r="I761" t="s">
        <v>8374</v>
      </c>
      <c r="J761" t="s">
        <v>8375</v>
      </c>
    </row>
    <row r="762" spans="1:10" x14ac:dyDescent="0.35">
      <c r="A762" s="6" t="s">
        <v>1600</v>
      </c>
      <c r="B762">
        <v>39.159999999999997</v>
      </c>
      <c r="C762">
        <v>10.48</v>
      </c>
      <c r="D762" s="6" t="s">
        <v>2370</v>
      </c>
      <c r="E762" s="6" t="s">
        <v>2370</v>
      </c>
      <c r="F762" s="6" t="s">
        <v>2370</v>
      </c>
      <c r="G762">
        <v>0</v>
      </c>
      <c r="H762" s="6" t="s">
        <v>2370</v>
      </c>
      <c r="I762" t="s">
        <v>8374</v>
      </c>
      <c r="J762" t="s">
        <v>8375</v>
      </c>
    </row>
    <row r="763" spans="1:10" x14ac:dyDescent="0.35">
      <c r="A763" s="6" t="s">
        <v>1599</v>
      </c>
      <c r="B763">
        <v>44.1</v>
      </c>
      <c r="C763">
        <v>5.04</v>
      </c>
      <c r="D763" s="6" t="s">
        <v>2373</v>
      </c>
      <c r="E763" s="6" t="s">
        <v>2370</v>
      </c>
      <c r="F763" s="6" t="s">
        <v>2370</v>
      </c>
      <c r="G763">
        <v>0</v>
      </c>
      <c r="H763" s="6" t="s">
        <v>2370</v>
      </c>
      <c r="I763" t="s">
        <v>8374</v>
      </c>
      <c r="J763" t="s">
        <v>8377</v>
      </c>
    </row>
    <row r="764" spans="1:10" x14ac:dyDescent="0.35">
      <c r="A764" s="6" t="s">
        <v>1598</v>
      </c>
      <c r="B764">
        <v>33.200000000000003</v>
      </c>
      <c r="C764">
        <v>9.06</v>
      </c>
      <c r="D764" s="6" t="s">
        <v>2370</v>
      </c>
      <c r="E764" s="6" t="s">
        <v>2370</v>
      </c>
      <c r="F764" s="6" t="s">
        <v>2370</v>
      </c>
      <c r="G764">
        <v>0</v>
      </c>
      <c r="H764" s="6" t="s">
        <v>2370</v>
      </c>
      <c r="I764" t="s">
        <v>8374</v>
      </c>
      <c r="J764" t="s">
        <v>8375</v>
      </c>
    </row>
    <row r="765" spans="1:10" x14ac:dyDescent="0.35">
      <c r="A765" s="6" t="s">
        <v>1597</v>
      </c>
      <c r="B765">
        <v>29.92</v>
      </c>
      <c r="C765">
        <v>11.07</v>
      </c>
      <c r="D765" s="6" t="s">
        <v>2370</v>
      </c>
      <c r="E765" s="6" t="s">
        <v>2370</v>
      </c>
      <c r="F765" s="6" t="s">
        <v>2370</v>
      </c>
      <c r="G765">
        <v>0</v>
      </c>
      <c r="H765" s="6" t="s">
        <v>2370</v>
      </c>
      <c r="I765" t="s">
        <v>8378</v>
      </c>
      <c r="J765" t="s">
        <v>8375</v>
      </c>
    </row>
    <row r="766" spans="1:10" x14ac:dyDescent="0.35">
      <c r="A766" s="6" t="s">
        <v>1596</v>
      </c>
      <c r="B766">
        <v>25</v>
      </c>
      <c r="C766">
        <v>10.45</v>
      </c>
      <c r="D766" s="6" t="s">
        <v>2370</v>
      </c>
      <c r="E766" s="6" t="s">
        <v>2370</v>
      </c>
      <c r="F766" s="6" t="s">
        <v>2370</v>
      </c>
      <c r="G766">
        <v>0</v>
      </c>
      <c r="H766" s="6" t="s">
        <v>2370</v>
      </c>
      <c r="I766" t="s">
        <v>8378</v>
      </c>
      <c r="J766" t="s">
        <v>8375</v>
      </c>
    </row>
    <row r="767" spans="1:10" x14ac:dyDescent="0.35">
      <c r="A767" s="6" t="s">
        <v>1595</v>
      </c>
      <c r="B767">
        <v>38.869999999999997</v>
      </c>
      <c r="C767">
        <v>8.6300000000000008</v>
      </c>
      <c r="D767" s="6" t="s">
        <v>2373</v>
      </c>
      <c r="E767" s="6" t="s">
        <v>2370</v>
      </c>
      <c r="F767" s="6" t="s">
        <v>2370</v>
      </c>
      <c r="G767">
        <v>1</v>
      </c>
      <c r="H767" s="6" t="s">
        <v>2370</v>
      </c>
      <c r="I767" t="s">
        <v>8374</v>
      </c>
      <c r="J767" t="s">
        <v>8375</v>
      </c>
    </row>
    <row r="768" spans="1:10" x14ac:dyDescent="0.35">
      <c r="A768" s="6" t="s">
        <v>1594</v>
      </c>
      <c r="B768">
        <v>32.299999999999997</v>
      </c>
      <c r="C768">
        <v>5.28</v>
      </c>
      <c r="D768" s="6" t="s">
        <v>2373</v>
      </c>
      <c r="E768" s="6" t="s">
        <v>2370</v>
      </c>
      <c r="F768" s="6" t="s">
        <v>2370</v>
      </c>
      <c r="G768">
        <v>2</v>
      </c>
      <c r="H768" s="6" t="s">
        <v>2370</v>
      </c>
      <c r="I768" t="s">
        <v>8374</v>
      </c>
      <c r="J768" t="s">
        <v>8377</v>
      </c>
    </row>
    <row r="769" spans="1:10" x14ac:dyDescent="0.35">
      <c r="A769" s="6" t="s">
        <v>1593</v>
      </c>
      <c r="B769">
        <v>31.16</v>
      </c>
      <c r="C769">
        <v>7.49</v>
      </c>
      <c r="D769" s="6" t="s">
        <v>2373</v>
      </c>
      <c r="E769" s="6" t="s">
        <v>2370</v>
      </c>
      <c r="F769" s="6" t="s">
        <v>2370</v>
      </c>
      <c r="G769">
        <v>2</v>
      </c>
      <c r="H769" s="6" t="s">
        <v>2370</v>
      </c>
      <c r="I769" t="s">
        <v>8374</v>
      </c>
      <c r="J769" t="s">
        <v>8375</v>
      </c>
    </row>
    <row r="770" spans="1:10" x14ac:dyDescent="0.35">
      <c r="A770" s="6" t="s">
        <v>1592</v>
      </c>
      <c r="B770">
        <v>54.59</v>
      </c>
      <c r="C770">
        <v>4.2699999999999996</v>
      </c>
      <c r="D770" s="6" t="s">
        <v>2370</v>
      </c>
      <c r="E770" s="6" t="s">
        <v>2370</v>
      </c>
      <c r="F770" s="6" t="s">
        <v>2370</v>
      </c>
      <c r="G770">
        <v>0</v>
      </c>
      <c r="H770" s="6" t="s">
        <v>2370</v>
      </c>
      <c r="I770" t="s">
        <v>8374</v>
      </c>
      <c r="J770" t="s">
        <v>8377</v>
      </c>
    </row>
    <row r="771" spans="1:10" x14ac:dyDescent="0.35">
      <c r="A771" s="6" t="s">
        <v>1591</v>
      </c>
      <c r="B771">
        <v>21.09</v>
      </c>
      <c r="C771">
        <v>9.2200000000000006</v>
      </c>
      <c r="D771" s="6" t="s">
        <v>2373</v>
      </c>
      <c r="E771" s="6" t="s">
        <v>2370</v>
      </c>
      <c r="F771" s="6" t="s">
        <v>2370</v>
      </c>
      <c r="G771">
        <v>2</v>
      </c>
      <c r="H771" s="6" t="s">
        <v>2370</v>
      </c>
      <c r="I771" t="s">
        <v>8379</v>
      </c>
      <c r="J771" t="s">
        <v>8375</v>
      </c>
    </row>
    <row r="772" spans="1:10" x14ac:dyDescent="0.35">
      <c r="A772" s="6" t="s">
        <v>1590</v>
      </c>
      <c r="B772">
        <v>52.41</v>
      </c>
      <c r="C772">
        <v>5.99</v>
      </c>
      <c r="D772" s="6" t="s">
        <v>2370</v>
      </c>
      <c r="E772" s="6" t="s">
        <v>2370</v>
      </c>
      <c r="F772" s="6" t="s">
        <v>2370</v>
      </c>
      <c r="G772">
        <v>1</v>
      </c>
      <c r="H772" s="6" t="s">
        <v>2370</v>
      </c>
      <c r="I772" t="s">
        <v>8374</v>
      </c>
      <c r="J772" t="s">
        <v>8376</v>
      </c>
    </row>
    <row r="773" spans="1:10" x14ac:dyDescent="0.35">
      <c r="A773" s="6" t="s">
        <v>1589</v>
      </c>
      <c r="B773">
        <v>41.47</v>
      </c>
      <c r="C773">
        <v>5.86</v>
      </c>
      <c r="D773" s="6" t="s">
        <v>2373</v>
      </c>
      <c r="E773" s="6" t="s">
        <v>2370</v>
      </c>
      <c r="F773" s="6" t="s">
        <v>2370</v>
      </c>
      <c r="G773">
        <v>2</v>
      </c>
      <c r="H773" s="6" t="s">
        <v>2370</v>
      </c>
      <c r="I773" t="s">
        <v>8374</v>
      </c>
      <c r="J773" t="s">
        <v>8376</v>
      </c>
    </row>
    <row r="774" spans="1:10" x14ac:dyDescent="0.35">
      <c r="A774" s="6" t="s">
        <v>1588</v>
      </c>
      <c r="B774">
        <v>33.1</v>
      </c>
      <c r="C774">
        <v>5.19</v>
      </c>
      <c r="D774" s="6" t="s">
        <v>2373</v>
      </c>
      <c r="E774" s="6" t="s">
        <v>2370</v>
      </c>
      <c r="F774" s="6" t="s">
        <v>2370</v>
      </c>
      <c r="G774">
        <v>2</v>
      </c>
      <c r="H774" s="6" t="s">
        <v>2370</v>
      </c>
      <c r="I774" t="s">
        <v>8374</v>
      </c>
      <c r="J774" t="s">
        <v>8377</v>
      </c>
    </row>
    <row r="775" spans="1:10" x14ac:dyDescent="0.35">
      <c r="A775" s="6" t="s">
        <v>1587</v>
      </c>
      <c r="B775">
        <v>30.8</v>
      </c>
      <c r="C775">
        <v>4.37</v>
      </c>
      <c r="D775" s="6" t="s">
        <v>2373</v>
      </c>
      <c r="E775" s="6" t="s">
        <v>2370</v>
      </c>
      <c r="F775" s="6" t="s">
        <v>2370</v>
      </c>
      <c r="G775">
        <v>2</v>
      </c>
      <c r="H775" s="6" t="s">
        <v>2370</v>
      </c>
      <c r="I775" t="s">
        <v>8374</v>
      </c>
      <c r="J775" t="s">
        <v>8377</v>
      </c>
    </row>
    <row r="776" spans="1:10" x14ac:dyDescent="0.35">
      <c r="A776" s="6" t="s">
        <v>1586</v>
      </c>
      <c r="B776">
        <v>42.06</v>
      </c>
      <c r="C776">
        <v>5.32</v>
      </c>
      <c r="D776" s="6" t="s">
        <v>2370</v>
      </c>
      <c r="E776" s="6" t="s">
        <v>2370</v>
      </c>
      <c r="F776" s="6" t="s">
        <v>2370</v>
      </c>
      <c r="G776">
        <v>1</v>
      </c>
      <c r="H776" s="6" t="s">
        <v>2370</v>
      </c>
      <c r="I776" t="s">
        <v>8374</v>
      </c>
      <c r="J776" t="s">
        <v>8377</v>
      </c>
    </row>
    <row r="777" spans="1:10" x14ac:dyDescent="0.35">
      <c r="A777" s="6" t="s">
        <v>1585</v>
      </c>
      <c r="B777">
        <v>39.270000000000003</v>
      </c>
      <c r="C777">
        <v>5.64</v>
      </c>
      <c r="D777" s="6" t="s">
        <v>2370</v>
      </c>
      <c r="E777" s="6" t="s">
        <v>2370</v>
      </c>
      <c r="F777" s="6" t="s">
        <v>2373</v>
      </c>
      <c r="G777">
        <v>1</v>
      </c>
      <c r="H777" s="6" t="s">
        <v>2370</v>
      </c>
      <c r="I777" t="s">
        <v>8374</v>
      </c>
      <c r="J777" t="s">
        <v>8377</v>
      </c>
    </row>
    <row r="778" spans="1:10" x14ac:dyDescent="0.35">
      <c r="A778" s="6" t="s">
        <v>1584</v>
      </c>
      <c r="B778">
        <v>30.71</v>
      </c>
      <c r="C778">
        <v>5.59</v>
      </c>
      <c r="D778" s="6" t="s">
        <v>2373</v>
      </c>
      <c r="E778" s="6" t="s">
        <v>2370</v>
      </c>
      <c r="F778" s="6" t="s">
        <v>2370</v>
      </c>
      <c r="G778">
        <v>1</v>
      </c>
      <c r="H778" s="6" t="s">
        <v>2370</v>
      </c>
      <c r="I778" t="s">
        <v>8374</v>
      </c>
      <c r="J778" t="s">
        <v>8377</v>
      </c>
    </row>
    <row r="779" spans="1:10" x14ac:dyDescent="0.35">
      <c r="A779" s="6" t="s">
        <v>1583</v>
      </c>
      <c r="B779">
        <v>47.19</v>
      </c>
      <c r="C779">
        <v>5.29</v>
      </c>
      <c r="D779" s="6" t="s">
        <v>2370</v>
      </c>
      <c r="E779" s="6" t="s">
        <v>2370</v>
      </c>
      <c r="F779" s="6" t="s">
        <v>2370</v>
      </c>
      <c r="G779">
        <v>0</v>
      </c>
      <c r="H779" s="6" t="s">
        <v>2370</v>
      </c>
      <c r="I779" t="s">
        <v>8374</v>
      </c>
      <c r="J779" t="s">
        <v>8377</v>
      </c>
    </row>
    <row r="780" spans="1:10" x14ac:dyDescent="0.35">
      <c r="A780" s="6" t="s">
        <v>1582</v>
      </c>
      <c r="B780">
        <v>30.02</v>
      </c>
      <c r="C780">
        <v>6.65</v>
      </c>
      <c r="D780" s="6" t="s">
        <v>2370</v>
      </c>
      <c r="E780" s="6" t="s">
        <v>2370</v>
      </c>
      <c r="F780" s="6" t="s">
        <v>2370</v>
      </c>
      <c r="G780">
        <v>0</v>
      </c>
      <c r="H780" s="6" t="s">
        <v>2370</v>
      </c>
      <c r="I780" t="s">
        <v>8374</v>
      </c>
      <c r="J780" t="s">
        <v>8375</v>
      </c>
    </row>
    <row r="781" spans="1:10" x14ac:dyDescent="0.35">
      <c r="A781" s="6" t="s">
        <v>1581</v>
      </c>
      <c r="B781">
        <v>37.909999999999997</v>
      </c>
      <c r="C781">
        <v>5.68</v>
      </c>
      <c r="D781" s="6" t="s">
        <v>2373</v>
      </c>
      <c r="E781" s="6" t="s">
        <v>2370</v>
      </c>
      <c r="F781" s="6" t="s">
        <v>2370</v>
      </c>
      <c r="G781">
        <v>0</v>
      </c>
      <c r="H781" s="6" t="s">
        <v>2370</v>
      </c>
      <c r="I781" t="s">
        <v>8374</v>
      </c>
      <c r="J781" t="s">
        <v>8377</v>
      </c>
    </row>
    <row r="782" spans="1:10" x14ac:dyDescent="0.35">
      <c r="A782" s="6" t="s">
        <v>1580</v>
      </c>
      <c r="B782">
        <v>54.61</v>
      </c>
      <c r="C782">
        <v>4.49</v>
      </c>
      <c r="D782" s="6" t="s">
        <v>2370</v>
      </c>
      <c r="E782" s="6" t="s">
        <v>2370</v>
      </c>
      <c r="F782" s="6" t="s">
        <v>2370</v>
      </c>
      <c r="G782">
        <v>0</v>
      </c>
      <c r="H782" s="6" t="s">
        <v>2370</v>
      </c>
      <c r="I782" t="s">
        <v>8374</v>
      </c>
      <c r="J782" t="s">
        <v>8377</v>
      </c>
    </row>
    <row r="783" spans="1:10" x14ac:dyDescent="0.35">
      <c r="A783" s="6" t="s">
        <v>1579</v>
      </c>
      <c r="B783">
        <v>36.005000000000003</v>
      </c>
      <c r="C783">
        <v>6.9</v>
      </c>
      <c r="D783" s="6" t="s">
        <v>2370</v>
      </c>
      <c r="E783" s="6" t="s">
        <v>2370</v>
      </c>
      <c r="F783" s="6" t="s">
        <v>2370</v>
      </c>
      <c r="G783">
        <v>0</v>
      </c>
      <c r="H783" s="6" t="s">
        <v>2370</v>
      </c>
      <c r="I783" t="s">
        <v>8374</v>
      </c>
      <c r="J783" t="s">
        <v>8375</v>
      </c>
    </row>
    <row r="784" spans="1:10" x14ac:dyDescent="0.35">
      <c r="A784" s="6" t="s">
        <v>1578</v>
      </c>
      <c r="B784">
        <v>28.7</v>
      </c>
      <c r="C784">
        <v>11.52</v>
      </c>
      <c r="D784" s="6" t="s">
        <v>2370</v>
      </c>
      <c r="E784" s="6" t="s">
        <v>2370</v>
      </c>
      <c r="F784" s="6" t="s">
        <v>2370</v>
      </c>
      <c r="G784">
        <v>0</v>
      </c>
      <c r="H784" s="6" t="s">
        <v>2370</v>
      </c>
      <c r="I784" t="s">
        <v>8378</v>
      </c>
      <c r="J784" t="s">
        <v>8375</v>
      </c>
    </row>
    <row r="785" spans="1:10" x14ac:dyDescent="0.35">
      <c r="A785" s="6" t="s">
        <v>1577</v>
      </c>
      <c r="B785">
        <v>34.295000000000002</v>
      </c>
      <c r="C785">
        <v>11.24</v>
      </c>
      <c r="D785" s="6" t="s">
        <v>2370</v>
      </c>
      <c r="E785" s="6" t="s">
        <v>2370</v>
      </c>
      <c r="F785" s="6" t="s">
        <v>2370</v>
      </c>
      <c r="G785">
        <v>0</v>
      </c>
      <c r="H785" s="6" t="s">
        <v>2370</v>
      </c>
      <c r="I785" t="s">
        <v>8374</v>
      </c>
      <c r="J785" t="s">
        <v>8375</v>
      </c>
    </row>
    <row r="786" spans="1:10" x14ac:dyDescent="0.35">
      <c r="A786" s="6" t="s">
        <v>1576</v>
      </c>
      <c r="B786">
        <v>27.55</v>
      </c>
      <c r="C786">
        <v>10.98</v>
      </c>
      <c r="D786" s="6" t="s">
        <v>2370</v>
      </c>
      <c r="E786" s="6" t="s">
        <v>2370</v>
      </c>
      <c r="F786" s="6" t="s">
        <v>2370</v>
      </c>
      <c r="G786">
        <v>0</v>
      </c>
      <c r="H786" s="6" t="s">
        <v>2370</v>
      </c>
      <c r="I786" t="s">
        <v>8378</v>
      </c>
      <c r="J786" t="s">
        <v>8375</v>
      </c>
    </row>
    <row r="787" spans="1:10" x14ac:dyDescent="0.35">
      <c r="A787" s="6" t="s">
        <v>1575</v>
      </c>
      <c r="B787">
        <v>40.700000000000003</v>
      </c>
      <c r="C787">
        <v>5.42</v>
      </c>
      <c r="D787" s="6" t="s">
        <v>2370</v>
      </c>
      <c r="E787" s="6" t="s">
        <v>2370</v>
      </c>
      <c r="F787" s="6" t="s">
        <v>2370</v>
      </c>
      <c r="G787">
        <v>0</v>
      </c>
      <c r="H787" s="6" t="s">
        <v>2370</v>
      </c>
      <c r="I787" t="s">
        <v>8374</v>
      </c>
      <c r="J787" t="s">
        <v>8377</v>
      </c>
    </row>
    <row r="788" spans="1:10" x14ac:dyDescent="0.35">
      <c r="A788" s="6" t="s">
        <v>1574</v>
      </c>
      <c r="B788">
        <v>18.335000000000001</v>
      </c>
      <c r="C788">
        <v>10.97</v>
      </c>
      <c r="D788" s="6" t="s">
        <v>2370</v>
      </c>
      <c r="E788" s="6" t="s">
        <v>2370</v>
      </c>
      <c r="F788" s="6" t="s">
        <v>2370</v>
      </c>
      <c r="G788">
        <v>0</v>
      </c>
      <c r="H788" s="6" t="s">
        <v>2370</v>
      </c>
      <c r="I788" t="s">
        <v>8380</v>
      </c>
      <c r="J788" t="s">
        <v>8375</v>
      </c>
    </row>
    <row r="789" spans="1:10" x14ac:dyDescent="0.35">
      <c r="A789" s="6" t="s">
        <v>1573</v>
      </c>
      <c r="B789">
        <v>33.914999999999999</v>
      </c>
      <c r="C789">
        <v>9.56</v>
      </c>
      <c r="D789" s="6" t="s">
        <v>2373</v>
      </c>
      <c r="E789" s="6" t="s">
        <v>2370</v>
      </c>
      <c r="F789" s="6" t="s">
        <v>2370</v>
      </c>
      <c r="G789">
        <v>2</v>
      </c>
      <c r="H789" s="6" t="s">
        <v>2370</v>
      </c>
      <c r="I789" t="s">
        <v>8374</v>
      </c>
      <c r="J789" t="s">
        <v>8375</v>
      </c>
    </row>
    <row r="790" spans="1:10" x14ac:dyDescent="0.35">
      <c r="A790" s="6" t="s">
        <v>1572</v>
      </c>
      <c r="B790">
        <v>33.534999999999997</v>
      </c>
      <c r="C790">
        <v>9.4</v>
      </c>
      <c r="D790" s="6" t="s">
        <v>2373</v>
      </c>
      <c r="E790" s="6" t="s">
        <v>2370</v>
      </c>
      <c r="F790" s="6" t="s">
        <v>2370</v>
      </c>
      <c r="G790">
        <v>2</v>
      </c>
      <c r="H790" s="6" t="s">
        <v>2370</v>
      </c>
      <c r="I790" t="s">
        <v>8374</v>
      </c>
      <c r="J790" t="s">
        <v>8375</v>
      </c>
    </row>
    <row r="791" spans="1:10" x14ac:dyDescent="0.35">
      <c r="A791" s="6" t="s">
        <v>1571</v>
      </c>
      <c r="B791">
        <v>23.655000000000001</v>
      </c>
      <c r="C791">
        <v>8.48</v>
      </c>
      <c r="D791" s="6" t="s">
        <v>2373</v>
      </c>
      <c r="E791" s="6" t="s">
        <v>2370</v>
      </c>
      <c r="F791" s="6" t="s">
        <v>2370</v>
      </c>
      <c r="G791">
        <v>2</v>
      </c>
      <c r="H791" s="6" t="s">
        <v>2370</v>
      </c>
      <c r="I791" t="s">
        <v>8379</v>
      </c>
      <c r="J791" t="s">
        <v>8375</v>
      </c>
    </row>
    <row r="792" spans="1:10" x14ac:dyDescent="0.35">
      <c r="A792" s="6" t="s">
        <v>1570</v>
      </c>
      <c r="B792">
        <v>28</v>
      </c>
      <c r="C792">
        <v>5.57</v>
      </c>
      <c r="D792" s="6" t="s">
        <v>2370</v>
      </c>
      <c r="E792" s="6" t="s">
        <v>2370</v>
      </c>
      <c r="F792" s="6" t="s">
        <v>2370</v>
      </c>
      <c r="G792">
        <v>0</v>
      </c>
      <c r="H792" s="6" t="s">
        <v>2370</v>
      </c>
      <c r="I792" t="s">
        <v>8378</v>
      </c>
      <c r="J792" t="s">
        <v>8377</v>
      </c>
    </row>
    <row r="793" spans="1:10" x14ac:dyDescent="0.35">
      <c r="A793" s="6" t="s">
        <v>1569</v>
      </c>
      <c r="B793">
        <v>30.23</v>
      </c>
      <c r="C793">
        <v>6.94</v>
      </c>
      <c r="D793" s="6" t="s">
        <v>2373</v>
      </c>
      <c r="E793" s="6" t="s">
        <v>2370</v>
      </c>
      <c r="F793" s="6" t="s">
        <v>2373</v>
      </c>
      <c r="G793">
        <v>1</v>
      </c>
      <c r="H793" s="6" t="s">
        <v>2370</v>
      </c>
      <c r="I793" t="s">
        <v>8374</v>
      </c>
      <c r="J793" t="s">
        <v>8375</v>
      </c>
    </row>
    <row r="794" spans="1:10" x14ac:dyDescent="0.35">
      <c r="A794" s="6" t="s">
        <v>1568</v>
      </c>
      <c r="B794">
        <v>51.14</v>
      </c>
      <c r="C794">
        <v>4.05</v>
      </c>
      <c r="D794" s="6" t="s">
        <v>2370</v>
      </c>
      <c r="E794" s="6" t="s">
        <v>2370</v>
      </c>
      <c r="F794" s="6" t="s">
        <v>2370</v>
      </c>
      <c r="G794">
        <v>1</v>
      </c>
      <c r="H794" s="6" t="s">
        <v>2370</v>
      </c>
      <c r="I794" t="s">
        <v>8374</v>
      </c>
      <c r="J794" t="s">
        <v>8377</v>
      </c>
    </row>
    <row r="795" spans="1:10" x14ac:dyDescent="0.35">
      <c r="A795" s="6" t="s">
        <v>1567</v>
      </c>
      <c r="B795">
        <v>24.32</v>
      </c>
      <c r="C795">
        <v>10.220000000000001</v>
      </c>
      <c r="D795" s="6" t="s">
        <v>2370</v>
      </c>
      <c r="E795" s="6" t="s">
        <v>2370</v>
      </c>
      <c r="F795" s="6" t="s">
        <v>2370</v>
      </c>
      <c r="G795">
        <v>0</v>
      </c>
      <c r="H795" s="6" t="s">
        <v>2370</v>
      </c>
      <c r="I795" t="s">
        <v>8379</v>
      </c>
      <c r="J795" t="s">
        <v>8375</v>
      </c>
    </row>
    <row r="796" spans="1:10" x14ac:dyDescent="0.35">
      <c r="A796" s="6" t="s">
        <v>1566</v>
      </c>
      <c r="B796">
        <v>38.06</v>
      </c>
      <c r="C796">
        <v>9.24</v>
      </c>
      <c r="D796" s="6" t="s">
        <v>2370</v>
      </c>
      <c r="E796" s="6" t="s">
        <v>2370</v>
      </c>
      <c r="F796" s="6" t="s">
        <v>2370</v>
      </c>
      <c r="G796">
        <v>0</v>
      </c>
      <c r="H796" s="6" t="s">
        <v>2370</v>
      </c>
      <c r="I796" t="s">
        <v>8374</v>
      </c>
      <c r="J796" t="s">
        <v>8375</v>
      </c>
    </row>
    <row r="797" spans="1:10" x14ac:dyDescent="0.35">
      <c r="A797" s="6" t="s">
        <v>1565</v>
      </c>
      <c r="B797">
        <v>37.700000000000003</v>
      </c>
      <c r="C797">
        <v>8.6</v>
      </c>
      <c r="D797" s="6" t="s">
        <v>2370</v>
      </c>
      <c r="E797" s="6" t="s">
        <v>2370</v>
      </c>
      <c r="F797" s="6" t="s">
        <v>2370</v>
      </c>
      <c r="G797">
        <v>0</v>
      </c>
      <c r="H797" s="6" t="s">
        <v>2370</v>
      </c>
      <c r="I797" t="s">
        <v>8374</v>
      </c>
      <c r="J797" t="s">
        <v>8375</v>
      </c>
    </row>
    <row r="798" spans="1:10" x14ac:dyDescent="0.35">
      <c r="A798" s="6" t="s">
        <v>1564</v>
      </c>
      <c r="B798">
        <v>44</v>
      </c>
      <c r="C798">
        <v>9.32</v>
      </c>
      <c r="D798" s="6" t="s">
        <v>2373</v>
      </c>
      <c r="E798" s="6" t="s">
        <v>2370</v>
      </c>
      <c r="F798" s="6" t="s">
        <v>2370</v>
      </c>
      <c r="G798">
        <v>2</v>
      </c>
      <c r="H798" s="6" t="s">
        <v>2370</v>
      </c>
      <c r="I798" t="s">
        <v>8374</v>
      </c>
      <c r="J798" t="s">
        <v>8375</v>
      </c>
    </row>
    <row r="799" spans="1:10" x14ac:dyDescent="0.35">
      <c r="A799" s="6" t="s">
        <v>1563</v>
      </c>
      <c r="B799">
        <v>41.45</v>
      </c>
      <c r="C799">
        <v>6.12</v>
      </c>
      <c r="D799" s="6" t="s">
        <v>2373</v>
      </c>
      <c r="E799" s="6" t="s">
        <v>2370</v>
      </c>
      <c r="F799" s="6" t="s">
        <v>2370</v>
      </c>
      <c r="G799">
        <v>0</v>
      </c>
      <c r="H799" s="6" t="s">
        <v>2370</v>
      </c>
      <c r="I799" t="s">
        <v>8374</v>
      </c>
      <c r="J799" t="s">
        <v>8376</v>
      </c>
    </row>
    <row r="800" spans="1:10" x14ac:dyDescent="0.35">
      <c r="A800" s="6" t="s">
        <v>1562</v>
      </c>
      <c r="B800">
        <v>25.364999999999998</v>
      </c>
      <c r="C800">
        <v>9.19</v>
      </c>
      <c r="D800" s="6" t="s">
        <v>2373</v>
      </c>
      <c r="E800" s="6" t="s">
        <v>2370</v>
      </c>
      <c r="F800" s="6" t="s">
        <v>2370</v>
      </c>
      <c r="G800">
        <v>0</v>
      </c>
      <c r="H800" s="6" t="s">
        <v>2370</v>
      </c>
      <c r="I800" t="s">
        <v>8378</v>
      </c>
      <c r="J800" t="s">
        <v>8375</v>
      </c>
    </row>
    <row r="801" spans="1:10" x14ac:dyDescent="0.35">
      <c r="A801" s="6" t="s">
        <v>1561</v>
      </c>
      <c r="B801">
        <v>34.56</v>
      </c>
      <c r="C801">
        <v>5.84</v>
      </c>
      <c r="D801" s="6" t="s">
        <v>2373</v>
      </c>
      <c r="E801" s="6" t="s">
        <v>2370</v>
      </c>
      <c r="F801" s="6" t="s">
        <v>2373</v>
      </c>
      <c r="G801">
        <v>1</v>
      </c>
      <c r="H801" s="6" t="s">
        <v>2370</v>
      </c>
      <c r="I801" t="s">
        <v>8374</v>
      </c>
      <c r="J801" t="s">
        <v>8376</v>
      </c>
    </row>
    <row r="802" spans="1:10" x14ac:dyDescent="0.35">
      <c r="A802" s="6" t="s">
        <v>1560</v>
      </c>
      <c r="B802">
        <v>28.2</v>
      </c>
      <c r="C802">
        <v>7.19</v>
      </c>
      <c r="D802" s="6" t="s">
        <v>2373</v>
      </c>
      <c r="E802" s="6" t="s">
        <v>2370</v>
      </c>
      <c r="F802" s="6" t="s">
        <v>2370</v>
      </c>
      <c r="G802">
        <v>2</v>
      </c>
      <c r="H802" s="6" t="s">
        <v>2370</v>
      </c>
      <c r="I802" t="s">
        <v>8378</v>
      </c>
      <c r="J802" t="s">
        <v>8375</v>
      </c>
    </row>
    <row r="803" spans="1:10" x14ac:dyDescent="0.35">
      <c r="A803" s="6" t="s">
        <v>1559</v>
      </c>
      <c r="B803">
        <v>30.43</v>
      </c>
      <c r="C803">
        <v>9.39</v>
      </c>
      <c r="D803" s="6" t="s">
        <v>2370</v>
      </c>
      <c r="E803" s="6" t="s">
        <v>2370</v>
      </c>
      <c r="F803" s="6" t="s">
        <v>2370</v>
      </c>
      <c r="G803">
        <v>0</v>
      </c>
      <c r="H803" s="6" t="s">
        <v>2370</v>
      </c>
      <c r="I803" t="s">
        <v>8374</v>
      </c>
      <c r="J803" t="s">
        <v>8375</v>
      </c>
    </row>
    <row r="804" spans="1:10" x14ac:dyDescent="0.35">
      <c r="A804" s="6" t="s">
        <v>1558</v>
      </c>
      <c r="B804">
        <v>32.395000000000003</v>
      </c>
      <c r="C804">
        <v>4.2699999999999996</v>
      </c>
      <c r="D804" s="6" t="s">
        <v>2373</v>
      </c>
      <c r="E804" s="6" t="s">
        <v>2370</v>
      </c>
      <c r="F804" s="6" t="s">
        <v>2370</v>
      </c>
      <c r="G804">
        <v>1</v>
      </c>
      <c r="H804" s="6" t="s">
        <v>2370</v>
      </c>
      <c r="I804" t="s">
        <v>8374</v>
      </c>
      <c r="J804" t="s">
        <v>8377</v>
      </c>
    </row>
    <row r="805" spans="1:10" x14ac:dyDescent="0.35">
      <c r="A805" s="6" t="s">
        <v>1557</v>
      </c>
      <c r="B805">
        <v>24.035</v>
      </c>
      <c r="C805">
        <v>11.71</v>
      </c>
      <c r="D805" s="6" t="s">
        <v>2370</v>
      </c>
      <c r="E805" s="6" t="s">
        <v>2370</v>
      </c>
      <c r="F805" s="6" t="s">
        <v>2370</v>
      </c>
      <c r="G805">
        <v>0</v>
      </c>
      <c r="H805" s="6" t="s">
        <v>2370</v>
      </c>
      <c r="I805" t="s">
        <v>8379</v>
      </c>
      <c r="J805" t="s">
        <v>8375</v>
      </c>
    </row>
    <row r="806" spans="1:10" x14ac:dyDescent="0.35">
      <c r="A806" s="6" t="s">
        <v>1556</v>
      </c>
      <c r="B806">
        <v>37.119999999999997</v>
      </c>
      <c r="C806">
        <v>5.29</v>
      </c>
      <c r="D806" s="6" t="s">
        <v>2370</v>
      </c>
      <c r="E806" s="6" t="s">
        <v>2370</v>
      </c>
      <c r="F806" s="6" t="s">
        <v>2370</v>
      </c>
      <c r="G806">
        <v>2</v>
      </c>
      <c r="H806" s="6" t="s">
        <v>2370</v>
      </c>
      <c r="I806" t="s">
        <v>8374</v>
      </c>
      <c r="J806" t="s">
        <v>8377</v>
      </c>
    </row>
    <row r="807" spans="1:10" x14ac:dyDescent="0.35">
      <c r="A807" s="6" t="s">
        <v>1555</v>
      </c>
      <c r="B807">
        <v>34.840000000000003</v>
      </c>
      <c r="C807">
        <v>6</v>
      </c>
      <c r="D807" s="6" t="s">
        <v>2373</v>
      </c>
      <c r="E807" s="6" t="s">
        <v>2370</v>
      </c>
      <c r="F807" s="6" t="s">
        <v>2373</v>
      </c>
      <c r="G807">
        <v>1</v>
      </c>
      <c r="H807" s="6" t="s">
        <v>2370</v>
      </c>
      <c r="I807" t="s">
        <v>8374</v>
      </c>
      <c r="J807" t="s">
        <v>8376</v>
      </c>
    </row>
    <row r="808" spans="1:10" x14ac:dyDescent="0.35">
      <c r="A808" s="6" t="s">
        <v>1554</v>
      </c>
      <c r="B808">
        <v>29.53</v>
      </c>
      <c r="C808">
        <v>10.64</v>
      </c>
      <c r="D808" s="6" t="s">
        <v>2370</v>
      </c>
      <c r="E808" s="6" t="s">
        <v>2370</v>
      </c>
      <c r="F808" s="6" t="s">
        <v>2370</v>
      </c>
      <c r="G808">
        <v>0</v>
      </c>
      <c r="H808" s="6" t="s">
        <v>2370</v>
      </c>
      <c r="I808" t="s">
        <v>8378</v>
      </c>
      <c r="J808" t="s">
        <v>8375</v>
      </c>
    </row>
    <row r="809" spans="1:10" x14ac:dyDescent="0.35">
      <c r="A809" s="6" t="s">
        <v>1553</v>
      </c>
      <c r="B809">
        <v>42.51</v>
      </c>
      <c r="C809">
        <v>8.2100000000000009</v>
      </c>
      <c r="D809" s="6" t="s">
        <v>2373</v>
      </c>
      <c r="E809" s="6" t="s">
        <v>2370</v>
      </c>
      <c r="F809" s="6" t="s">
        <v>2370</v>
      </c>
      <c r="G809">
        <v>0</v>
      </c>
      <c r="H809" s="6" t="s">
        <v>2370</v>
      </c>
      <c r="I809" t="s">
        <v>8374</v>
      </c>
      <c r="J809" t="s">
        <v>8375</v>
      </c>
    </row>
    <row r="810" spans="1:10" x14ac:dyDescent="0.35">
      <c r="A810" s="6" t="s">
        <v>1552</v>
      </c>
      <c r="B810">
        <v>38.14</v>
      </c>
      <c r="C810">
        <v>5.58</v>
      </c>
      <c r="D810" s="6" t="s">
        <v>2370</v>
      </c>
      <c r="E810" s="6" t="s">
        <v>2370</v>
      </c>
      <c r="F810" s="6" t="s">
        <v>2373</v>
      </c>
      <c r="G810">
        <v>1</v>
      </c>
      <c r="H810" s="6" t="s">
        <v>2370</v>
      </c>
      <c r="I810" t="s">
        <v>8374</v>
      </c>
      <c r="J810" t="s">
        <v>8377</v>
      </c>
    </row>
    <row r="811" spans="1:10" x14ac:dyDescent="0.35">
      <c r="A811" s="6" t="s">
        <v>1551</v>
      </c>
      <c r="B811">
        <v>39.93</v>
      </c>
      <c r="C811">
        <v>8.75</v>
      </c>
      <c r="D811" s="6" t="s">
        <v>2370</v>
      </c>
      <c r="E811" s="6" t="s">
        <v>2370</v>
      </c>
      <c r="F811" s="6" t="s">
        <v>2370</v>
      </c>
      <c r="G811">
        <v>0</v>
      </c>
      <c r="H811" s="6" t="s">
        <v>2370</v>
      </c>
      <c r="I811" t="s">
        <v>8374</v>
      </c>
      <c r="J811" t="s">
        <v>8375</v>
      </c>
    </row>
    <row r="812" spans="1:10" x14ac:dyDescent="0.35">
      <c r="A812" s="6" t="s">
        <v>1550</v>
      </c>
      <c r="B812">
        <v>38.83</v>
      </c>
      <c r="C812">
        <v>11.86</v>
      </c>
      <c r="D812" s="6" t="s">
        <v>2370</v>
      </c>
      <c r="E812" s="6" t="s">
        <v>2370</v>
      </c>
      <c r="F812" s="6" t="s">
        <v>2370</v>
      </c>
      <c r="G812">
        <v>0</v>
      </c>
      <c r="H812" s="6" t="s">
        <v>2370</v>
      </c>
      <c r="I812" t="s">
        <v>8374</v>
      </c>
      <c r="J812" t="s">
        <v>8375</v>
      </c>
    </row>
    <row r="813" spans="1:10" x14ac:dyDescent="0.35">
      <c r="A813" s="6" t="s">
        <v>1549</v>
      </c>
      <c r="B813">
        <v>37.4</v>
      </c>
      <c r="C813">
        <v>11.46</v>
      </c>
      <c r="D813" s="6" t="s">
        <v>2370</v>
      </c>
      <c r="E813" s="6" t="s">
        <v>2370</v>
      </c>
      <c r="F813" s="6" t="s">
        <v>2370</v>
      </c>
      <c r="G813">
        <v>0</v>
      </c>
      <c r="H813" s="6" t="s">
        <v>2370</v>
      </c>
      <c r="I813" t="s">
        <v>8374</v>
      </c>
      <c r="J813" t="s">
        <v>8375</v>
      </c>
    </row>
    <row r="814" spans="1:10" x14ac:dyDescent="0.35">
      <c r="A814" s="6" t="s">
        <v>1548</v>
      </c>
      <c r="B814">
        <v>21.4</v>
      </c>
      <c r="C814">
        <v>9.0299999999999994</v>
      </c>
      <c r="D814" s="6" t="s">
        <v>2370</v>
      </c>
      <c r="E814" s="6" t="s">
        <v>2370</v>
      </c>
      <c r="F814" s="6" t="s">
        <v>2370</v>
      </c>
      <c r="G814">
        <v>0</v>
      </c>
      <c r="H814" s="6" t="s">
        <v>2370</v>
      </c>
      <c r="I814" t="s">
        <v>8379</v>
      </c>
      <c r="J814" t="s">
        <v>8375</v>
      </c>
    </row>
    <row r="815" spans="1:10" x14ac:dyDescent="0.35">
      <c r="A815" s="6" t="s">
        <v>1547</v>
      </c>
      <c r="B815">
        <v>38.380000000000003</v>
      </c>
      <c r="C815">
        <v>8.26</v>
      </c>
      <c r="D815" s="6" t="s">
        <v>2373</v>
      </c>
      <c r="E815" s="6" t="s">
        <v>2370</v>
      </c>
      <c r="F815" s="6" t="s">
        <v>2370</v>
      </c>
      <c r="G815">
        <v>2</v>
      </c>
      <c r="H815" s="6" t="s">
        <v>2370</v>
      </c>
      <c r="I815" t="s">
        <v>8374</v>
      </c>
      <c r="J815" t="s">
        <v>8375</v>
      </c>
    </row>
    <row r="816" spans="1:10" x14ac:dyDescent="0.35">
      <c r="A816" s="6" t="s">
        <v>1546</v>
      </c>
      <c r="B816">
        <v>33.659999999999997</v>
      </c>
      <c r="C816">
        <v>5.42</v>
      </c>
      <c r="D816" s="6" t="s">
        <v>2373</v>
      </c>
      <c r="E816" s="6" t="s">
        <v>2370</v>
      </c>
      <c r="F816" s="6" t="s">
        <v>2370</v>
      </c>
      <c r="G816">
        <v>2</v>
      </c>
      <c r="H816" s="6" t="s">
        <v>2370</v>
      </c>
      <c r="I816" t="s">
        <v>8374</v>
      </c>
      <c r="J816" t="s">
        <v>8377</v>
      </c>
    </row>
    <row r="817" spans="1:10" x14ac:dyDescent="0.35">
      <c r="A817" s="6" t="s">
        <v>1545</v>
      </c>
      <c r="B817">
        <v>31.79</v>
      </c>
      <c r="C817">
        <v>11.33</v>
      </c>
      <c r="D817" s="6" t="s">
        <v>2373</v>
      </c>
      <c r="E817" s="6" t="s">
        <v>2370</v>
      </c>
      <c r="F817" s="6" t="s">
        <v>2373</v>
      </c>
      <c r="G817">
        <v>1</v>
      </c>
      <c r="H817" s="6" t="s">
        <v>2370</v>
      </c>
      <c r="I817" t="s">
        <v>8374</v>
      </c>
      <c r="J817" t="s">
        <v>8375</v>
      </c>
    </row>
    <row r="818" spans="1:10" x14ac:dyDescent="0.35">
      <c r="A818" s="6" t="s">
        <v>1544</v>
      </c>
      <c r="B818">
        <v>29.7</v>
      </c>
      <c r="C818">
        <v>7.69</v>
      </c>
      <c r="D818" s="6" t="s">
        <v>2373</v>
      </c>
      <c r="E818" s="6" t="s">
        <v>2370</v>
      </c>
      <c r="F818" s="6" t="s">
        <v>2373</v>
      </c>
      <c r="G818">
        <v>1</v>
      </c>
      <c r="H818" s="6" t="s">
        <v>2370</v>
      </c>
      <c r="I818" t="s">
        <v>8378</v>
      </c>
      <c r="J818" t="s">
        <v>8375</v>
      </c>
    </row>
    <row r="819" spans="1:10" x14ac:dyDescent="0.35">
      <c r="A819" s="6" t="s">
        <v>1543</v>
      </c>
      <c r="B819">
        <v>25.46</v>
      </c>
      <c r="C819">
        <v>8.77</v>
      </c>
      <c r="D819" s="6" t="s">
        <v>2373</v>
      </c>
      <c r="E819" s="6" t="s">
        <v>2370</v>
      </c>
      <c r="F819" s="6" t="s">
        <v>2373</v>
      </c>
      <c r="G819">
        <v>1</v>
      </c>
      <c r="H819" s="6" t="s">
        <v>2370</v>
      </c>
      <c r="I819" t="s">
        <v>8378</v>
      </c>
      <c r="J819" t="s">
        <v>8375</v>
      </c>
    </row>
    <row r="820" spans="1:10" x14ac:dyDescent="0.35">
      <c r="A820" s="6" t="s">
        <v>1542</v>
      </c>
      <c r="B820">
        <v>39.14</v>
      </c>
      <c r="C820">
        <v>4.91</v>
      </c>
      <c r="D820" s="6" t="s">
        <v>2370</v>
      </c>
      <c r="E820" s="6" t="s">
        <v>2372</v>
      </c>
      <c r="F820" s="6" t="s">
        <v>2370</v>
      </c>
      <c r="G820">
        <v>1</v>
      </c>
      <c r="H820" s="6" t="s">
        <v>2370</v>
      </c>
      <c r="I820" t="s">
        <v>8374</v>
      </c>
      <c r="J820" t="s">
        <v>8377</v>
      </c>
    </row>
    <row r="821" spans="1:10" x14ac:dyDescent="0.35">
      <c r="A821" s="6" t="s">
        <v>1541</v>
      </c>
      <c r="B821">
        <v>41.2</v>
      </c>
      <c r="C821">
        <v>4.95</v>
      </c>
      <c r="D821" s="6" t="s">
        <v>2370</v>
      </c>
      <c r="E821" s="6" t="s">
        <v>2370</v>
      </c>
      <c r="F821" s="6" t="s">
        <v>2370</v>
      </c>
      <c r="G821">
        <v>1</v>
      </c>
      <c r="H821" s="6" t="s">
        <v>2370</v>
      </c>
      <c r="I821" t="s">
        <v>8374</v>
      </c>
      <c r="J821" t="s">
        <v>8377</v>
      </c>
    </row>
    <row r="822" spans="1:10" x14ac:dyDescent="0.35">
      <c r="A822" s="6" t="s">
        <v>1540</v>
      </c>
      <c r="B822">
        <v>28.81</v>
      </c>
      <c r="C822">
        <v>10.8</v>
      </c>
      <c r="D822" s="6" t="s">
        <v>2373</v>
      </c>
      <c r="E822" s="6" t="s">
        <v>2370</v>
      </c>
      <c r="F822" s="6" t="s">
        <v>2373</v>
      </c>
      <c r="G822">
        <v>1</v>
      </c>
      <c r="H822" s="6" t="s">
        <v>2370</v>
      </c>
      <c r="I822" t="s">
        <v>8378</v>
      </c>
      <c r="J822" t="s">
        <v>8375</v>
      </c>
    </row>
    <row r="823" spans="1:10" x14ac:dyDescent="0.35">
      <c r="A823" s="6" t="s">
        <v>1539</v>
      </c>
      <c r="B823">
        <v>37.409999999999997</v>
      </c>
      <c r="C823">
        <v>7.21</v>
      </c>
      <c r="D823" s="6" t="s">
        <v>2370</v>
      </c>
      <c r="E823" s="6" t="s">
        <v>2370</v>
      </c>
      <c r="F823" s="6" t="s">
        <v>2370</v>
      </c>
      <c r="G823">
        <v>2</v>
      </c>
      <c r="H823" s="6" t="s">
        <v>2370</v>
      </c>
      <c r="I823" t="s">
        <v>8374</v>
      </c>
      <c r="J823" t="s">
        <v>8375</v>
      </c>
    </row>
    <row r="824" spans="1:10" x14ac:dyDescent="0.35">
      <c r="A824" s="6" t="s">
        <v>1538</v>
      </c>
      <c r="B824">
        <v>52.54</v>
      </c>
      <c r="C824">
        <v>5.12</v>
      </c>
      <c r="D824" s="6" t="s">
        <v>2370</v>
      </c>
      <c r="E824" s="6" t="s">
        <v>2370</v>
      </c>
      <c r="F824" s="6" t="s">
        <v>2373</v>
      </c>
      <c r="G824">
        <v>1</v>
      </c>
      <c r="H824" s="6" t="s">
        <v>2370</v>
      </c>
      <c r="I824" t="s">
        <v>8374</v>
      </c>
      <c r="J824" t="s">
        <v>8377</v>
      </c>
    </row>
    <row r="825" spans="1:10" x14ac:dyDescent="0.35">
      <c r="A825" s="6" t="s">
        <v>1537</v>
      </c>
      <c r="B825">
        <v>17.29</v>
      </c>
      <c r="C825">
        <v>4.62</v>
      </c>
      <c r="D825" s="6" t="s">
        <v>2370</v>
      </c>
      <c r="E825" s="6" t="s">
        <v>2372</v>
      </c>
      <c r="F825" s="6" t="s">
        <v>2370</v>
      </c>
      <c r="G825">
        <v>1</v>
      </c>
      <c r="H825" s="6" t="s">
        <v>2373</v>
      </c>
      <c r="I825" t="s">
        <v>8380</v>
      </c>
      <c r="J825" t="s">
        <v>8377</v>
      </c>
    </row>
    <row r="826" spans="1:10" x14ac:dyDescent="0.35">
      <c r="A826" s="6" t="s">
        <v>1536</v>
      </c>
      <c r="B826">
        <v>31.74</v>
      </c>
      <c r="C826">
        <v>7.68</v>
      </c>
      <c r="D826" s="6" t="s">
        <v>2373</v>
      </c>
      <c r="E826" s="6" t="s">
        <v>2370</v>
      </c>
      <c r="F826" s="6" t="s">
        <v>2370</v>
      </c>
      <c r="G826">
        <v>0</v>
      </c>
      <c r="H826" s="6" t="s">
        <v>2370</v>
      </c>
      <c r="I826" t="s">
        <v>8374</v>
      </c>
      <c r="J826" t="s">
        <v>8375</v>
      </c>
    </row>
    <row r="827" spans="1:10" x14ac:dyDescent="0.35">
      <c r="A827" s="6" t="s">
        <v>1535</v>
      </c>
      <c r="B827">
        <v>26.504999999999999</v>
      </c>
      <c r="C827">
        <v>6.79</v>
      </c>
      <c r="D827" s="6" t="s">
        <v>2373</v>
      </c>
      <c r="E827" s="6" t="s">
        <v>2370</v>
      </c>
      <c r="F827" s="6" t="s">
        <v>2373</v>
      </c>
      <c r="G827">
        <v>1</v>
      </c>
      <c r="H827" s="6" t="s">
        <v>2370</v>
      </c>
      <c r="I827" t="s">
        <v>8378</v>
      </c>
      <c r="J827" t="s">
        <v>8375</v>
      </c>
    </row>
    <row r="828" spans="1:10" x14ac:dyDescent="0.35">
      <c r="A828" s="6" t="s">
        <v>1534</v>
      </c>
      <c r="B828">
        <v>36.479999999999997</v>
      </c>
      <c r="C828">
        <v>11.09</v>
      </c>
      <c r="D828" s="6" t="s">
        <v>2370</v>
      </c>
      <c r="E828" s="6" t="s">
        <v>2370</v>
      </c>
      <c r="F828" s="6" t="s">
        <v>2370</v>
      </c>
      <c r="G828">
        <v>0</v>
      </c>
      <c r="H828" s="6" t="s">
        <v>2370</v>
      </c>
      <c r="I828" t="s">
        <v>8374</v>
      </c>
      <c r="J828" t="s">
        <v>8375</v>
      </c>
    </row>
    <row r="829" spans="1:10" x14ac:dyDescent="0.35">
      <c r="A829" s="6" t="s">
        <v>1533</v>
      </c>
      <c r="B829">
        <v>39.159999999999997</v>
      </c>
      <c r="C829">
        <v>5.24</v>
      </c>
      <c r="D829" s="6" t="s">
        <v>2373</v>
      </c>
      <c r="E829" s="6" t="s">
        <v>2370</v>
      </c>
      <c r="F829" s="6" t="s">
        <v>2373</v>
      </c>
      <c r="G829">
        <v>1</v>
      </c>
      <c r="H829" s="6" t="s">
        <v>2370</v>
      </c>
      <c r="I829" t="s">
        <v>8374</v>
      </c>
      <c r="J829" t="s">
        <v>8377</v>
      </c>
    </row>
    <row r="830" spans="1:10" x14ac:dyDescent="0.35">
      <c r="A830" s="6" t="s">
        <v>1532</v>
      </c>
      <c r="B830">
        <v>28.22</v>
      </c>
      <c r="C830">
        <v>7.51</v>
      </c>
      <c r="D830" s="6" t="s">
        <v>2373</v>
      </c>
      <c r="E830" s="6" t="s">
        <v>2370</v>
      </c>
      <c r="F830" s="6" t="s">
        <v>2373</v>
      </c>
      <c r="G830">
        <v>1</v>
      </c>
      <c r="H830" s="6" t="s">
        <v>2370</v>
      </c>
      <c r="I830" t="s">
        <v>8378</v>
      </c>
      <c r="J830" t="s">
        <v>8375</v>
      </c>
    </row>
    <row r="831" spans="1:10" x14ac:dyDescent="0.35">
      <c r="A831" s="6" t="s">
        <v>1531</v>
      </c>
      <c r="B831">
        <v>35</v>
      </c>
      <c r="C831">
        <v>4.13</v>
      </c>
      <c r="D831" s="6" t="s">
        <v>2370</v>
      </c>
      <c r="E831" s="6" t="s">
        <v>2370</v>
      </c>
      <c r="F831" s="6" t="s">
        <v>2370</v>
      </c>
      <c r="G831">
        <v>2</v>
      </c>
      <c r="H831" s="6" t="s">
        <v>2370</v>
      </c>
      <c r="I831" t="s">
        <v>8374</v>
      </c>
      <c r="J831" t="s">
        <v>8377</v>
      </c>
    </row>
    <row r="832" spans="1:10" x14ac:dyDescent="0.35">
      <c r="A832" s="6" t="s">
        <v>1530</v>
      </c>
      <c r="B832">
        <v>36.24</v>
      </c>
      <c r="C832">
        <v>8.3800000000000008</v>
      </c>
      <c r="D832" s="6" t="s">
        <v>2373</v>
      </c>
      <c r="E832" s="6" t="s">
        <v>2370</v>
      </c>
      <c r="F832" s="6" t="s">
        <v>2370</v>
      </c>
      <c r="G832">
        <v>1</v>
      </c>
      <c r="H832" s="6" t="s">
        <v>2370</v>
      </c>
      <c r="I832" t="s">
        <v>8374</v>
      </c>
      <c r="J832" t="s">
        <v>8375</v>
      </c>
    </row>
    <row r="833" spans="1:10" x14ac:dyDescent="0.35">
      <c r="A833" s="6" t="s">
        <v>1529</v>
      </c>
      <c r="B833">
        <v>36.954999999999998</v>
      </c>
      <c r="C833">
        <v>8.07</v>
      </c>
      <c r="D833" s="6" t="s">
        <v>2370</v>
      </c>
      <c r="E833" s="6" t="s">
        <v>2370</v>
      </c>
      <c r="F833" s="6" t="s">
        <v>2370</v>
      </c>
      <c r="G833">
        <v>0</v>
      </c>
      <c r="H833" s="6" t="s">
        <v>2370</v>
      </c>
      <c r="I833" t="s">
        <v>8374</v>
      </c>
      <c r="J833" t="s">
        <v>8375</v>
      </c>
    </row>
    <row r="834" spans="1:10" x14ac:dyDescent="0.35">
      <c r="A834" s="6" t="s">
        <v>1528</v>
      </c>
      <c r="B834">
        <v>29.64</v>
      </c>
      <c r="C834">
        <v>8.9499999999999993</v>
      </c>
      <c r="D834" s="6" t="s">
        <v>2370</v>
      </c>
      <c r="E834" s="6" t="s">
        <v>2370</v>
      </c>
      <c r="F834" s="6" t="s">
        <v>2370</v>
      </c>
      <c r="G834">
        <v>0</v>
      </c>
      <c r="H834" s="6" t="s">
        <v>2370</v>
      </c>
      <c r="I834" t="s">
        <v>8378</v>
      </c>
      <c r="J834" t="s">
        <v>8375</v>
      </c>
    </row>
    <row r="835" spans="1:10" x14ac:dyDescent="0.35">
      <c r="A835" s="6" t="s">
        <v>1527</v>
      </c>
      <c r="B835">
        <v>42.74</v>
      </c>
      <c r="C835">
        <v>6.31</v>
      </c>
      <c r="D835" s="6" t="s">
        <v>2373</v>
      </c>
      <c r="E835" s="6" t="s">
        <v>2370</v>
      </c>
      <c r="F835" s="6" t="s">
        <v>2370</v>
      </c>
      <c r="G835">
        <v>1</v>
      </c>
      <c r="H835" s="6" t="s">
        <v>2370</v>
      </c>
      <c r="I835" t="s">
        <v>8374</v>
      </c>
      <c r="J835" t="s">
        <v>8376</v>
      </c>
    </row>
    <row r="836" spans="1:10" x14ac:dyDescent="0.35">
      <c r="A836" s="6" t="s">
        <v>1526</v>
      </c>
      <c r="B836">
        <v>36.130000000000003</v>
      </c>
      <c r="C836">
        <v>7.19</v>
      </c>
      <c r="D836" s="6" t="s">
        <v>2373</v>
      </c>
      <c r="E836" s="6" t="s">
        <v>2370</v>
      </c>
      <c r="F836" s="6" t="s">
        <v>2370</v>
      </c>
      <c r="G836">
        <v>2</v>
      </c>
      <c r="H836" s="6" t="s">
        <v>2370</v>
      </c>
      <c r="I836" t="s">
        <v>8374</v>
      </c>
      <c r="J836" t="s">
        <v>8375</v>
      </c>
    </row>
    <row r="837" spans="1:10" x14ac:dyDescent="0.35">
      <c r="A837" s="6" t="s">
        <v>1525</v>
      </c>
      <c r="B837">
        <v>31.55</v>
      </c>
      <c r="C837">
        <v>6.11</v>
      </c>
      <c r="D837" s="6" t="s">
        <v>2373</v>
      </c>
      <c r="E837" s="6" t="s">
        <v>2370</v>
      </c>
      <c r="F837" s="6" t="s">
        <v>2370</v>
      </c>
      <c r="G837">
        <v>1</v>
      </c>
      <c r="H837" s="6" t="s">
        <v>2370</v>
      </c>
      <c r="I837" t="s">
        <v>8374</v>
      </c>
      <c r="J837" t="s">
        <v>8376</v>
      </c>
    </row>
    <row r="838" spans="1:10" x14ac:dyDescent="0.35">
      <c r="A838" s="6" t="s">
        <v>1524</v>
      </c>
      <c r="B838">
        <v>52.75</v>
      </c>
      <c r="C838">
        <v>6.02</v>
      </c>
      <c r="D838" s="6" t="s">
        <v>2370</v>
      </c>
      <c r="E838" s="6" t="s">
        <v>2370</v>
      </c>
      <c r="F838" s="6" t="s">
        <v>2370</v>
      </c>
      <c r="G838">
        <v>1</v>
      </c>
      <c r="H838" s="6" t="s">
        <v>2370</v>
      </c>
      <c r="I838" t="s">
        <v>8374</v>
      </c>
      <c r="J838" t="s">
        <v>8376</v>
      </c>
    </row>
    <row r="839" spans="1:10" x14ac:dyDescent="0.35">
      <c r="A839" s="6" t="s">
        <v>1523</v>
      </c>
      <c r="B839">
        <v>36.67</v>
      </c>
      <c r="C839">
        <v>11.86</v>
      </c>
      <c r="D839" s="6" t="s">
        <v>2370</v>
      </c>
      <c r="E839" s="6" t="s">
        <v>2370</v>
      </c>
      <c r="F839" s="6" t="s">
        <v>2370</v>
      </c>
      <c r="G839">
        <v>0</v>
      </c>
      <c r="H839" s="6" t="s">
        <v>2370</v>
      </c>
      <c r="I839" t="s">
        <v>8374</v>
      </c>
      <c r="J839" t="s">
        <v>8375</v>
      </c>
    </row>
    <row r="840" spans="1:10" x14ac:dyDescent="0.35">
      <c r="A840" s="6" t="s">
        <v>1522</v>
      </c>
      <c r="B840">
        <v>38.06</v>
      </c>
      <c r="C840">
        <v>8.25</v>
      </c>
      <c r="D840" s="6" t="s">
        <v>2370</v>
      </c>
      <c r="E840" s="6" t="s">
        <v>2370</v>
      </c>
      <c r="F840" s="6" t="s">
        <v>2370</v>
      </c>
      <c r="G840">
        <v>0</v>
      </c>
      <c r="H840" s="6" t="s">
        <v>2370</v>
      </c>
      <c r="I840" t="s">
        <v>8374</v>
      </c>
      <c r="J840" t="s">
        <v>8375</v>
      </c>
    </row>
    <row r="841" spans="1:10" x14ac:dyDescent="0.35">
      <c r="A841" s="6" t="s">
        <v>1521</v>
      </c>
      <c r="B841">
        <v>38</v>
      </c>
      <c r="C841">
        <v>8.1300000000000008</v>
      </c>
      <c r="D841" s="6" t="s">
        <v>2370</v>
      </c>
      <c r="E841" s="6" t="s">
        <v>2370</v>
      </c>
      <c r="F841" s="6" t="s">
        <v>2370</v>
      </c>
      <c r="G841">
        <v>0</v>
      </c>
      <c r="H841" s="6" t="s">
        <v>2370</v>
      </c>
      <c r="I841" t="s">
        <v>8374</v>
      </c>
      <c r="J841" t="s">
        <v>8375</v>
      </c>
    </row>
    <row r="842" spans="1:10" x14ac:dyDescent="0.35">
      <c r="A842" s="6" t="s">
        <v>1520</v>
      </c>
      <c r="B842">
        <v>35.1</v>
      </c>
      <c r="C842">
        <v>10.1</v>
      </c>
      <c r="D842" s="6" t="s">
        <v>2370</v>
      </c>
      <c r="E842" s="6" t="s">
        <v>2370</v>
      </c>
      <c r="F842" s="6" t="s">
        <v>2370</v>
      </c>
      <c r="G842">
        <v>0</v>
      </c>
      <c r="H842" s="6" t="s">
        <v>2370</v>
      </c>
      <c r="I842" t="s">
        <v>8374</v>
      </c>
      <c r="J842" t="s">
        <v>8375</v>
      </c>
    </row>
    <row r="843" spans="1:10" x14ac:dyDescent="0.35">
      <c r="A843" s="6" t="s">
        <v>1519</v>
      </c>
      <c r="B843">
        <v>33.82</v>
      </c>
      <c r="C843">
        <v>5.89</v>
      </c>
      <c r="D843" s="6" t="s">
        <v>2373</v>
      </c>
      <c r="E843" s="6" t="s">
        <v>2370</v>
      </c>
      <c r="F843" s="6" t="s">
        <v>2370</v>
      </c>
      <c r="G843">
        <v>2</v>
      </c>
      <c r="H843" s="6" t="s">
        <v>2370</v>
      </c>
      <c r="I843" t="s">
        <v>8374</v>
      </c>
      <c r="J843" t="s">
        <v>8376</v>
      </c>
    </row>
    <row r="844" spans="1:10" x14ac:dyDescent="0.35">
      <c r="A844" s="6" t="s">
        <v>1518</v>
      </c>
      <c r="B844">
        <v>37.43</v>
      </c>
      <c r="C844">
        <v>4.97</v>
      </c>
      <c r="D844" s="6" t="s">
        <v>2370</v>
      </c>
      <c r="E844" s="6" t="s">
        <v>2370</v>
      </c>
      <c r="F844" s="6" t="s">
        <v>2370</v>
      </c>
      <c r="G844">
        <v>2</v>
      </c>
      <c r="H844" s="6" t="s">
        <v>2370</v>
      </c>
      <c r="I844" t="s">
        <v>8374</v>
      </c>
      <c r="J844" t="s">
        <v>8377</v>
      </c>
    </row>
    <row r="845" spans="1:10" x14ac:dyDescent="0.35">
      <c r="A845" s="6" t="s">
        <v>1517</v>
      </c>
      <c r="B845">
        <v>30.5</v>
      </c>
      <c r="C845">
        <v>9.9</v>
      </c>
      <c r="D845" s="6" t="s">
        <v>2370</v>
      </c>
      <c r="E845" s="6" t="s">
        <v>2370</v>
      </c>
      <c r="F845" s="6" t="s">
        <v>2370</v>
      </c>
      <c r="G845">
        <v>0</v>
      </c>
      <c r="H845" s="6" t="s">
        <v>2370</v>
      </c>
      <c r="I845" t="s">
        <v>8374</v>
      </c>
      <c r="J845" t="s">
        <v>8375</v>
      </c>
    </row>
    <row r="846" spans="1:10" x14ac:dyDescent="0.35">
      <c r="A846" s="6" t="s">
        <v>1516</v>
      </c>
      <c r="B846">
        <v>24.53</v>
      </c>
      <c r="C846">
        <v>9.0500000000000007</v>
      </c>
      <c r="D846" s="6" t="s">
        <v>2370</v>
      </c>
      <c r="E846" s="6" t="s">
        <v>2370</v>
      </c>
      <c r="F846" s="6" t="s">
        <v>2370</v>
      </c>
      <c r="G846">
        <v>0</v>
      </c>
      <c r="H846" s="6" t="s">
        <v>2370</v>
      </c>
      <c r="I846" t="s">
        <v>8379</v>
      </c>
      <c r="J846" t="s">
        <v>8375</v>
      </c>
    </row>
    <row r="847" spans="1:10" x14ac:dyDescent="0.35">
      <c r="A847" s="6" t="s">
        <v>1515</v>
      </c>
      <c r="B847">
        <v>25.74</v>
      </c>
      <c r="C847">
        <v>10.93</v>
      </c>
      <c r="D847" s="6" t="s">
        <v>2370</v>
      </c>
      <c r="E847" s="6" t="s">
        <v>2370</v>
      </c>
      <c r="F847" s="6" t="s">
        <v>2370</v>
      </c>
      <c r="G847">
        <v>0</v>
      </c>
      <c r="H847" s="6" t="s">
        <v>2370</v>
      </c>
      <c r="I847" t="s">
        <v>8378</v>
      </c>
      <c r="J847" t="s">
        <v>8375</v>
      </c>
    </row>
    <row r="848" spans="1:10" x14ac:dyDescent="0.35">
      <c r="A848" s="6" t="s">
        <v>1514</v>
      </c>
      <c r="B848">
        <v>34.08</v>
      </c>
      <c r="C848">
        <v>7.58</v>
      </c>
      <c r="D848" s="6" t="s">
        <v>2373</v>
      </c>
      <c r="E848" s="6" t="s">
        <v>2370</v>
      </c>
      <c r="F848" s="6" t="s">
        <v>2370</v>
      </c>
      <c r="G848">
        <v>2</v>
      </c>
      <c r="H848" s="6" t="s">
        <v>2370</v>
      </c>
      <c r="I848" t="s">
        <v>8374</v>
      </c>
      <c r="J848" t="s">
        <v>8375</v>
      </c>
    </row>
    <row r="849" spans="1:10" x14ac:dyDescent="0.35">
      <c r="A849" s="6" t="s">
        <v>1513</v>
      </c>
      <c r="B849">
        <v>31.35</v>
      </c>
      <c r="C849">
        <v>11</v>
      </c>
      <c r="D849" s="6" t="s">
        <v>2373</v>
      </c>
      <c r="E849" s="6" t="s">
        <v>2370</v>
      </c>
      <c r="F849" s="6" t="s">
        <v>2373</v>
      </c>
      <c r="G849">
        <v>1</v>
      </c>
      <c r="H849" s="6" t="s">
        <v>2370</v>
      </c>
      <c r="I849" t="s">
        <v>8374</v>
      </c>
      <c r="J849" t="s">
        <v>8375</v>
      </c>
    </row>
    <row r="850" spans="1:10" x14ac:dyDescent="0.35">
      <c r="A850" s="6" t="s">
        <v>1512</v>
      </c>
      <c r="B850">
        <v>26.79</v>
      </c>
      <c r="C850">
        <v>5.0599999999999996</v>
      </c>
      <c r="D850" s="6" t="s">
        <v>2370</v>
      </c>
      <c r="E850" s="6" t="s">
        <v>2370</v>
      </c>
      <c r="F850" s="6" t="s">
        <v>2370</v>
      </c>
      <c r="G850">
        <v>1</v>
      </c>
      <c r="H850" s="6" t="s">
        <v>2370</v>
      </c>
      <c r="I850" t="s">
        <v>8378</v>
      </c>
      <c r="J850" t="s">
        <v>8377</v>
      </c>
    </row>
    <row r="851" spans="1:10" x14ac:dyDescent="0.35">
      <c r="A851" s="6" t="s">
        <v>1511</v>
      </c>
      <c r="B851">
        <v>42.78</v>
      </c>
      <c r="C851">
        <v>6.11</v>
      </c>
      <c r="D851" s="6" t="s">
        <v>2373</v>
      </c>
      <c r="E851" s="6" t="s">
        <v>2370</v>
      </c>
      <c r="F851" s="6" t="s">
        <v>2370</v>
      </c>
      <c r="G851">
        <v>1</v>
      </c>
      <c r="H851" s="6" t="s">
        <v>2370</v>
      </c>
      <c r="I851" t="s">
        <v>8374</v>
      </c>
      <c r="J851" t="s">
        <v>8376</v>
      </c>
    </row>
    <row r="852" spans="1:10" x14ac:dyDescent="0.35">
      <c r="A852" s="6" t="s">
        <v>1510</v>
      </c>
      <c r="B852">
        <v>46.75</v>
      </c>
      <c r="C852">
        <v>6.66</v>
      </c>
      <c r="D852" s="6" t="s">
        <v>2373</v>
      </c>
      <c r="E852" s="6" t="s">
        <v>2370</v>
      </c>
      <c r="F852" s="6" t="s">
        <v>2370</v>
      </c>
      <c r="G852">
        <v>2</v>
      </c>
      <c r="H852" s="6" t="s">
        <v>2370</v>
      </c>
      <c r="I852" t="s">
        <v>8374</v>
      </c>
      <c r="J852" t="s">
        <v>8375</v>
      </c>
    </row>
    <row r="853" spans="1:10" x14ac:dyDescent="0.35">
      <c r="A853" s="6" t="s">
        <v>1509</v>
      </c>
      <c r="B853">
        <v>32.15</v>
      </c>
      <c r="C853">
        <v>4.0199999999999996</v>
      </c>
      <c r="D853" s="6" t="s">
        <v>2373</v>
      </c>
      <c r="E853" s="6" t="s">
        <v>2370</v>
      </c>
      <c r="F853" s="6" t="s">
        <v>2373</v>
      </c>
      <c r="G853">
        <v>1</v>
      </c>
      <c r="H853" s="6" t="s">
        <v>2370</v>
      </c>
      <c r="I853" t="s">
        <v>8374</v>
      </c>
      <c r="J853" t="s">
        <v>8377</v>
      </c>
    </row>
    <row r="854" spans="1:10" x14ac:dyDescent="0.35">
      <c r="A854" s="6" t="s">
        <v>1508</v>
      </c>
      <c r="B854">
        <v>43.4</v>
      </c>
      <c r="C854">
        <v>8.81</v>
      </c>
      <c r="D854" s="6" t="s">
        <v>2373</v>
      </c>
      <c r="E854" s="6" t="s">
        <v>2370</v>
      </c>
      <c r="F854" s="6" t="s">
        <v>2370</v>
      </c>
      <c r="G854">
        <v>2</v>
      </c>
      <c r="H854" s="6" t="s">
        <v>2370</v>
      </c>
      <c r="I854" t="s">
        <v>8374</v>
      </c>
      <c r="J854" t="s">
        <v>8375</v>
      </c>
    </row>
    <row r="855" spans="1:10" x14ac:dyDescent="0.35">
      <c r="A855" s="6" t="s">
        <v>1507</v>
      </c>
      <c r="B855">
        <v>31.57</v>
      </c>
      <c r="C855">
        <v>7.92</v>
      </c>
      <c r="D855" s="6" t="s">
        <v>2373</v>
      </c>
      <c r="E855" s="6" t="s">
        <v>2370</v>
      </c>
      <c r="F855" s="6" t="s">
        <v>2370</v>
      </c>
      <c r="G855">
        <v>2</v>
      </c>
      <c r="H855" s="6" t="s">
        <v>2370</v>
      </c>
      <c r="I855" t="s">
        <v>8374</v>
      </c>
      <c r="J855" t="s">
        <v>8375</v>
      </c>
    </row>
    <row r="856" spans="1:10" x14ac:dyDescent="0.35">
      <c r="A856" s="6" t="s">
        <v>1506</v>
      </c>
      <c r="B856">
        <v>24.32</v>
      </c>
      <c r="C856">
        <v>7.48</v>
      </c>
      <c r="D856" s="6" t="s">
        <v>2370</v>
      </c>
      <c r="E856" s="6" t="s">
        <v>2370</v>
      </c>
      <c r="F856" s="6" t="s">
        <v>2370</v>
      </c>
      <c r="G856">
        <v>0</v>
      </c>
      <c r="H856" s="6" t="s">
        <v>2370</v>
      </c>
      <c r="I856" t="s">
        <v>8379</v>
      </c>
      <c r="J856" t="s">
        <v>8375</v>
      </c>
    </row>
    <row r="857" spans="1:10" x14ac:dyDescent="0.35">
      <c r="A857" s="6" t="s">
        <v>1505</v>
      </c>
      <c r="B857">
        <v>31.07</v>
      </c>
      <c r="C857">
        <v>4.62</v>
      </c>
      <c r="D857" s="6" t="s">
        <v>2373</v>
      </c>
      <c r="E857" s="6" t="s">
        <v>2370</v>
      </c>
      <c r="F857" s="6" t="s">
        <v>2370</v>
      </c>
      <c r="G857">
        <v>2</v>
      </c>
      <c r="H857" s="6" t="s">
        <v>2370</v>
      </c>
      <c r="I857" t="s">
        <v>8374</v>
      </c>
      <c r="J857" t="s">
        <v>8377</v>
      </c>
    </row>
    <row r="858" spans="1:10" x14ac:dyDescent="0.35">
      <c r="A858" s="6" t="s">
        <v>1504</v>
      </c>
      <c r="B858">
        <v>35.814999999999998</v>
      </c>
      <c r="C858">
        <v>8.4700000000000006</v>
      </c>
      <c r="D858" s="6" t="s">
        <v>2370</v>
      </c>
      <c r="E858" s="6" t="s">
        <v>2370</v>
      </c>
      <c r="F858" s="6" t="s">
        <v>2370</v>
      </c>
      <c r="G858">
        <v>0</v>
      </c>
      <c r="H858" s="6" t="s">
        <v>2370</v>
      </c>
      <c r="I858" t="s">
        <v>8374</v>
      </c>
      <c r="J858" t="s">
        <v>8375</v>
      </c>
    </row>
    <row r="859" spans="1:10" x14ac:dyDescent="0.35">
      <c r="A859" s="6" t="s">
        <v>1503</v>
      </c>
      <c r="B859">
        <v>40.81</v>
      </c>
      <c r="C859">
        <v>10.58</v>
      </c>
      <c r="D859" s="6" t="s">
        <v>2373</v>
      </c>
      <c r="E859" s="6" t="s">
        <v>2370</v>
      </c>
      <c r="F859" s="6" t="s">
        <v>2370</v>
      </c>
      <c r="G859">
        <v>0</v>
      </c>
      <c r="H859" s="6" t="s">
        <v>2370</v>
      </c>
      <c r="I859" t="s">
        <v>8374</v>
      </c>
      <c r="J859" t="s">
        <v>8375</v>
      </c>
    </row>
    <row r="860" spans="1:10" x14ac:dyDescent="0.35">
      <c r="A860" s="6" t="s">
        <v>1502</v>
      </c>
      <c r="B860">
        <v>24.605</v>
      </c>
      <c r="C860">
        <v>7.48</v>
      </c>
      <c r="D860" s="6" t="s">
        <v>2370</v>
      </c>
      <c r="E860" s="6" t="s">
        <v>2370</v>
      </c>
      <c r="F860" s="6" t="s">
        <v>2370</v>
      </c>
      <c r="G860">
        <v>0</v>
      </c>
      <c r="H860" s="6" t="s">
        <v>2370</v>
      </c>
      <c r="I860" t="s">
        <v>8379</v>
      </c>
      <c r="J860" t="s">
        <v>8375</v>
      </c>
    </row>
    <row r="861" spans="1:10" x14ac:dyDescent="0.35">
      <c r="A861" s="6" t="s">
        <v>1501</v>
      </c>
      <c r="B861">
        <v>21.47</v>
      </c>
      <c r="C861">
        <v>7.82</v>
      </c>
      <c r="D861" s="6" t="s">
        <v>2370</v>
      </c>
      <c r="E861" s="6" t="s">
        <v>2370</v>
      </c>
      <c r="F861" s="6" t="s">
        <v>2370</v>
      </c>
      <c r="G861">
        <v>0</v>
      </c>
      <c r="H861" s="6" t="s">
        <v>2370</v>
      </c>
      <c r="I861" t="s">
        <v>8379</v>
      </c>
      <c r="J861" t="s">
        <v>8375</v>
      </c>
    </row>
    <row r="862" spans="1:10" x14ac:dyDescent="0.35">
      <c r="A862" s="6" t="s">
        <v>1500</v>
      </c>
      <c r="B862">
        <v>52.89</v>
      </c>
      <c r="C862">
        <v>4.96</v>
      </c>
      <c r="D862" s="6" t="s">
        <v>2373</v>
      </c>
      <c r="E862" s="6" t="s">
        <v>2370</v>
      </c>
      <c r="F862" s="6" t="s">
        <v>2370</v>
      </c>
      <c r="G862">
        <v>1</v>
      </c>
      <c r="H862" s="6" t="s">
        <v>2370</v>
      </c>
      <c r="I862" t="s">
        <v>8374</v>
      </c>
      <c r="J862" t="s">
        <v>8377</v>
      </c>
    </row>
    <row r="863" spans="1:10" x14ac:dyDescent="0.35">
      <c r="A863" s="6" t="s">
        <v>1499</v>
      </c>
      <c r="B863">
        <v>32.965000000000003</v>
      </c>
      <c r="C863">
        <v>6.15</v>
      </c>
      <c r="D863" s="6" t="s">
        <v>2373</v>
      </c>
      <c r="E863" s="6" t="s">
        <v>2370</v>
      </c>
      <c r="F863" s="6" t="s">
        <v>2370</v>
      </c>
      <c r="G863">
        <v>1</v>
      </c>
      <c r="H863" s="6" t="s">
        <v>2370</v>
      </c>
      <c r="I863" t="s">
        <v>8374</v>
      </c>
      <c r="J863" t="s">
        <v>8376</v>
      </c>
    </row>
    <row r="864" spans="1:10" x14ac:dyDescent="0.35">
      <c r="A864" s="6" t="s">
        <v>1498</v>
      </c>
      <c r="B864">
        <v>36.799999999999997</v>
      </c>
      <c r="C864">
        <v>4.62</v>
      </c>
      <c r="D864" s="6" t="s">
        <v>2370</v>
      </c>
      <c r="E864" s="6" t="s">
        <v>2370</v>
      </c>
      <c r="F864" s="6" t="s">
        <v>2373</v>
      </c>
      <c r="G864">
        <v>1</v>
      </c>
      <c r="H864" s="6" t="s">
        <v>2370</v>
      </c>
      <c r="I864" t="s">
        <v>8374</v>
      </c>
      <c r="J864" t="s">
        <v>8377</v>
      </c>
    </row>
    <row r="865" spans="1:10" x14ac:dyDescent="0.35">
      <c r="A865" s="6" t="s">
        <v>1497</v>
      </c>
      <c r="B865">
        <v>34.299999999999997</v>
      </c>
      <c r="C865">
        <v>4.87</v>
      </c>
      <c r="D865" s="6" t="s">
        <v>2370</v>
      </c>
      <c r="E865" s="6" t="s">
        <v>2370</v>
      </c>
      <c r="F865" s="6" t="s">
        <v>2370</v>
      </c>
      <c r="G865">
        <v>2</v>
      </c>
      <c r="H865" s="6" t="s">
        <v>2370</v>
      </c>
      <c r="I865" t="s">
        <v>8374</v>
      </c>
      <c r="J865" t="s">
        <v>8377</v>
      </c>
    </row>
    <row r="866" spans="1:10" x14ac:dyDescent="0.35">
      <c r="A866" s="6" t="s">
        <v>1496</v>
      </c>
      <c r="B866">
        <v>35.244999999999997</v>
      </c>
      <c r="C866">
        <v>4.63</v>
      </c>
      <c r="D866" s="6" t="s">
        <v>2370</v>
      </c>
      <c r="E866" s="6" t="s">
        <v>2370</v>
      </c>
      <c r="F866" s="6" t="s">
        <v>2370</v>
      </c>
      <c r="G866">
        <v>0</v>
      </c>
      <c r="H866" s="6" t="s">
        <v>2370</v>
      </c>
      <c r="I866" t="s">
        <v>8374</v>
      </c>
      <c r="J866" t="s">
        <v>8377</v>
      </c>
    </row>
    <row r="867" spans="1:10" x14ac:dyDescent="0.35">
      <c r="A867" s="6" t="s">
        <v>1495</v>
      </c>
      <c r="B867">
        <v>26.23</v>
      </c>
      <c r="C867">
        <v>11.93</v>
      </c>
      <c r="D867" s="6" t="s">
        <v>2370</v>
      </c>
      <c r="E867" s="6" t="s">
        <v>2370</v>
      </c>
      <c r="F867" s="6" t="s">
        <v>2370</v>
      </c>
      <c r="G867">
        <v>0</v>
      </c>
      <c r="H867" s="6" t="s">
        <v>2370</v>
      </c>
      <c r="I867" t="s">
        <v>8378</v>
      </c>
      <c r="J867" t="s">
        <v>8375</v>
      </c>
    </row>
    <row r="868" spans="1:10" x14ac:dyDescent="0.35">
      <c r="A868" s="6" t="s">
        <v>1494</v>
      </c>
      <c r="B868">
        <v>36.1</v>
      </c>
      <c r="C868">
        <v>5.65</v>
      </c>
      <c r="D868" s="6" t="s">
        <v>2373</v>
      </c>
      <c r="E868" s="6" t="s">
        <v>2370</v>
      </c>
      <c r="F868" s="6" t="s">
        <v>2370</v>
      </c>
      <c r="G868">
        <v>2</v>
      </c>
      <c r="H868" s="6" t="s">
        <v>2370</v>
      </c>
      <c r="I868" t="s">
        <v>8374</v>
      </c>
      <c r="J868" t="s">
        <v>8377</v>
      </c>
    </row>
    <row r="869" spans="1:10" x14ac:dyDescent="0.35">
      <c r="A869" s="6" t="s">
        <v>1493</v>
      </c>
      <c r="B869">
        <v>37.1</v>
      </c>
      <c r="C869">
        <v>11.21</v>
      </c>
      <c r="D869" s="6" t="s">
        <v>2373</v>
      </c>
      <c r="E869" s="6" t="s">
        <v>2370</v>
      </c>
      <c r="F869" s="6" t="s">
        <v>2373</v>
      </c>
      <c r="G869">
        <v>1</v>
      </c>
      <c r="H869" s="6" t="s">
        <v>2370</v>
      </c>
      <c r="I869" t="s">
        <v>8374</v>
      </c>
      <c r="J869" t="s">
        <v>8375</v>
      </c>
    </row>
    <row r="870" spans="1:10" x14ac:dyDescent="0.35">
      <c r="A870" s="6" t="s">
        <v>1492</v>
      </c>
      <c r="B870">
        <v>27.5</v>
      </c>
      <c r="C870">
        <v>10.62</v>
      </c>
      <c r="D870" s="6" t="s">
        <v>2373</v>
      </c>
      <c r="E870" s="6" t="s">
        <v>2370</v>
      </c>
      <c r="F870" s="6" t="s">
        <v>2373</v>
      </c>
      <c r="G870">
        <v>1</v>
      </c>
      <c r="H870" s="6" t="s">
        <v>2370</v>
      </c>
      <c r="I870" t="s">
        <v>8378</v>
      </c>
      <c r="J870" t="s">
        <v>8375</v>
      </c>
    </row>
    <row r="871" spans="1:10" x14ac:dyDescent="0.35">
      <c r="A871" s="6" t="s">
        <v>1491</v>
      </c>
      <c r="B871">
        <v>24.7</v>
      </c>
      <c r="C871">
        <v>10.7</v>
      </c>
      <c r="D871" s="6" t="s">
        <v>2373</v>
      </c>
      <c r="E871" s="6" t="s">
        <v>2370</v>
      </c>
      <c r="F871" s="6" t="s">
        <v>2373</v>
      </c>
      <c r="G871">
        <v>1</v>
      </c>
      <c r="H871" s="6" t="s">
        <v>2370</v>
      </c>
      <c r="I871" t="s">
        <v>8379</v>
      </c>
      <c r="J871" t="s">
        <v>8375</v>
      </c>
    </row>
    <row r="872" spans="1:10" x14ac:dyDescent="0.35">
      <c r="A872" s="6" t="s">
        <v>1490</v>
      </c>
      <c r="B872">
        <v>26.78</v>
      </c>
      <c r="C872">
        <v>10.02</v>
      </c>
      <c r="D872" s="6" t="s">
        <v>2373</v>
      </c>
      <c r="E872" s="6" t="s">
        <v>2370</v>
      </c>
      <c r="F872" s="6" t="s">
        <v>2373</v>
      </c>
      <c r="G872">
        <v>1</v>
      </c>
      <c r="H872" s="6" t="s">
        <v>2370</v>
      </c>
      <c r="I872" t="s">
        <v>8378</v>
      </c>
      <c r="J872" t="s">
        <v>8375</v>
      </c>
    </row>
    <row r="873" spans="1:10" x14ac:dyDescent="0.35">
      <c r="A873" s="6" t="s">
        <v>1489</v>
      </c>
      <c r="B873">
        <v>45.8</v>
      </c>
      <c r="C873">
        <v>4.8499999999999996</v>
      </c>
      <c r="D873" s="6" t="s">
        <v>2370</v>
      </c>
      <c r="E873" s="6" t="s">
        <v>2370</v>
      </c>
      <c r="F873" s="6" t="s">
        <v>2370</v>
      </c>
      <c r="G873">
        <v>0</v>
      </c>
      <c r="H873" s="6" t="s">
        <v>2370</v>
      </c>
      <c r="I873" t="s">
        <v>8374</v>
      </c>
      <c r="J873" t="s">
        <v>8377</v>
      </c>
    </row>
    <row r="874" spans="1:10" x14ac:dyDescent="0.35">
      <c r="A874" s="6" t="s">
        <v>1488</v>
      </c>
      <c r="B874">
        <v>29</v>
      </c>
      <c r="C874">
        <v>4.3899999999999997</v>
      </c>
      <c r="D874" s="6" t="s">
        <v>2373</v>
      </c>
      <c r="E874" s="6" t="s">
        <v>2370</v>
      </c>
      <c r="F874" s="6" t="s">
        <v>2370</v>
      </c>
      <c r="G874">
        <v>2</v>
      </c>
      <c r="H874" s="6" t="s">
        <v>2370</v>
      </c>
      <c r="I874" t="s">
        <v>8378</v>
      </c>
      <c r="J874" t="s">
        <v>8377</v>
      </c>
    </row>
    <row r="875" spans="1:10" x14ac:dyDescent="0.35">
      <c r="A875" s="6" t="s">
        <v>1487</v>
      </c>
      <c r="B875">
        <v>33.534999999999997</v>
      </c>
      <c r="C875">
        <v>8.24</v>
      </c>
      <c r="D875" s="6" t="s">
        <v>2373</v>
      </c>
      <c r="E875" s="6" t="s">
        <v>2370</v>
      </c>
      <c r="F875" s="6" t="s">
        <v>2370</v>
      </c>
      <c r="G875">
        <v>0</v>
      </c>
      <c r="H875" s="6" t="s">
        <v>2370</v>
      </c>
      <c r="I875" t="s">
        <v>8374</v>
      </c>
      <c r="J875" t="s">
        <v>8375</v>
      </c>
    </row>
    <row r="876" spans="1:10" x14ac:dyDescent="0.35">
      <c r="A876" s="6" t="s">
        <v>1486</v>
      </c>
      <c r="B876">
        <v>32.774999999999999</v>
      </c>
      <c r="C876">
        <v>9.77</v>
      </c>
      <c r="D876" s="6" t="s">
        <v>2373</v>
      </c>
      <c r="E876" s="6" t="s">
        <v>2370</v>
      </c>
      <c r="F876" s="6" t="s">
        <v>2370</v>
      </c>
      <c r="G876">
        <v>0</v>
      </c>
      <c r="H876" s="6" t="s">
        <v>2370</v>
      </c>
      <c r="I876" t="s">
        <v>8374</v>
      </c>
      <c r="J876" t="s">
        <v>8375</v>
      </c>
    </row>
    <row r="877" spans="1:10" x14ac:dyDescent="0.35">
      <c r="A877" s="6" t="s">
        <v>1485</v>
      </c>
      <c r="B877">
        <v>37.51</v>
      </c>
      <c r="C877">
        <v>5.5</v>
      </c>
      <c r="D877" s="6" t="s">
        <v>2373</v>
      </c>
      <c r="E877" s="6" t="s">
        <v>2370</v>
      </c>
      <c r="F877" s="6" t="s">
        <v>2370</v>
      </c>
      <c r="G877">
        <v>2</v>
      </c>
      <c r="H877" s="6" t="s">
        <v>2370</v>
      </c>
      <c r="I877" t="s">
        <v>8374</v>
      </c>
      <c r="J877" t="s">
        <v>8377</v>
      </c>
    </row>
    <row r="878" spans="1:10" x14ac:dyDescent="0.35">
      <c r="A878" s="6" t="s">
        <v>1484</v>
      </c>
      <c r="B878">
        <v>39.86</v>
      </c>
      <c r="C878">
        <v>11.84</v>
      </c>
      <c r="D878" s="6" t="s">
        <v>2373</v>
      </c>
      <c r="E878" s="6" t="s">
        <v>2370</v>
      </c>
      <c r="F878" s="6" t="s">
        <v>2370</v>
      </c>
      <c r="G878">
        <v>1</v>
      </c>
      <c r="H878" s="6" t="s">
        <v>2370</v>
      </c>
      <c r="I878" t="s">
        <v>8374</v>
      </c>
      <c r="J878" t="s">
        <v>8375</v>
      </c>
    </row>
    <row r="879" spans="1:10" x14ac:dyDescent="0.35">
      <c r="A879" s="6" t="s">
        <v>1483</v>
      </c>
      <c r="B879">
        <v>42.13</v>
      </c>
      <c r="C879">
        <v>4.66</v>
      </c>
      <c r="D879" s="6" t="s">
        <v>2370</v>
      </c>
      <c r="E879" s="6" t="s">
        <v>2370</v>
      </c>
      <c r="F879" s="6" t="s">
        <v>2370</v>
      </c>
      <c r="G879">
        <v>0</v>
      </c>
      <c r="H879" s="6" t="s">
        <v>2370</v>
      </c>
      <c r="I879" t="s">
        <v>8374</v>
      </c>
      <c r="J879" t="s">
        <v>8377</v>
      </c>
    </row>
    <row r="880" spans="1:10" x14ac:dyDescent="0.35">
      <c r="A880" s="6" t="s">
        <v>1482</v>
      </c>
      <c r="B880">
        <v>35.99</v>
      </c>
      <c r="C880">
        <v>11.11</v>
      </c>
      <c r="D880" s="6" t="s">
        <v>2370</v>
      </c>
      <c r="E880" s="6" t="s">
        <v>2370</v>
      </c>
      <c r="F880" s="6" t="s">
        <v>2370</v>
      </c>
      <c r="G880">
        <v>0</v>
      </c>
      <c r="H880" s="6" t="s">
        <v>2370</v>
      </c>
      <c r="I880" t="s">
        <v>8374</v>
      </c>
      <c r="J880" t="s">
        <v>8375</v>
      </c>
    </row>
    <row r="881" spans="1:10" x14ac:dyDescent="0.35">
      <c r="A881" s="6" t="s">
        <v>1481</v>
      </c>
      <c r="B881">
        <v>35.200000000000003</v>
      </c>
      <c r="C881">
        <v>7.72</v>
      </c>
      <c r="D881" s="6" t="s">
        <v>2373</v>
      </c>
      <c r="E881" s="6" t="s">
        <v>2370</v>
      </c>
      <c r="F881" s="6" t="s">
        <v>2373</v>
      </c>
      <c r="G881">
        <v>1</v>
      </c>
      <c r="H881" s="6" t="s">
        <v>2370</v>
      </c>
      <c r="I881" t="s">
        <v>8374</v>
      </c>
      <c r="J881" t="s">
        <v>8375</v>
      </c>
    </row>
    <row r="882" spans="1:10" x14ac:dyDescent="0.35">
      <c r="A882" s="6" t="s">
        <v>1480</v>
      </c>
      <c r="B882">
        <v>29.91</v>
      </c>
      <c r="C882">
        <v>5.55</v>
      </c>
      <c r="D882" s="6" t="s">
        <v>2373</v>
      </c>
      <c r="E882" s="6" t="s">
        <v>2370</v>
      </c>
      <c r="F882" s="6" t="s">
        <v>2370</v>
      </c>
      <c r="G882">
        <v>2</v>
      </c>
      <c r="H882" s="6" t="s">
        <v>2370</v>
      </c>
      <c r="I882" t="s">
        <v>8378</v>
      </c>
      <c r="J882" t="s">
        <v>8377</v>
      </c>
    </row>
    <row r="883" spans="1:10" x14ac:dyDescent="0.35">
      <c r="A883" s="6" t="s">
        <v>1479</v>
      </c>
      <c r="B883">
        <v>36.479999999999997</v>
      </c>
      <c r="C883">
        <v>5.05</v>
      </c>
      <c r="D883" s="6" t="s">
        <v>2373</v>
      </c>
      <c r="E883" s="6" t="s">
        <v>2370</v>
      </c>
      <c r="F883" s="6" t="s">
        <v>2370</v>
      </c>
      <c r="G883">
        <v>1</v>
      </c>
      <c r="H883" s="6" t="s">
        <v>2370</v>
      </c>
      <c r="I883" t="s">
        <v>8374</v>
      </c>
      <c r="J883" t="s">
        <v>8377</v>
      </c>
    </row>
    <row r="884" spans="1:10" x14ac:dyDescent="0.35">
      <c r="A884" s="6" t="s">
        <v>1478</v>
      </c>
      <c r="B884">
        <v>27.5</v>
      </c>
      <c r="C884">
        <v>8.69</v>
      </c>
      <c r="D884" s="6" t="s">
        <v>2373</v>
      </c>
      <c r="E884" s="6" t="s">
        <v>2370</v>
      </c>
      <c r="F884" s="6" t="s">
        <v>2373</v>
      </c>
      <c r="G884">
        <v>1</v>
      </c>
      <c r="H884" s="6" t="s">
        <v>2370</v>
      </c>
      <c r="I884" t="s">
        <v>8378</v>
      </c>
      <c r="J884" t="s">
        <v>8375</v>
      </c>
    </row>
    <row r="885" spans="1:10" x14ac:dyDescent="0.35">
      <c r="A885" s="6" t="s">
        <v>1477</v>
      </c>
      <c r="B885">
        <v>33.44</v>
      </c>
      <c r="C885">
        <v>5.9</v>
      </c>
      <c r="D885" s="6" t="s">
        <v>2373</v>
      </c>
      <c r="E885" s="6" t="s">
        <v>2370</v>
      </c>
      <c r="F885" s="6" t="s">
        <v>2370</v>
      </c>
      <c r="G885">
        <v>1</v>
      </c>
      <c r="H885" s="6" t="s">
        <v>2370</v>
      </c>
      <c r="I885" t="s">
        <v>8374</v>
      </c>
      <c r="J885" t="s">
        <v>8376</v>
      </c>
    </row>
    <row r="886" spans="1:10" x14ac:dyDescent="0.35">
      <c r="A886" s="6" t="s">
        <v>1476</v>
      </c>
      <c r="B886">
        <v>28.215</v>
      </c>
      <c r="C886">
        <v>6.29</v>
      </c>
      <c r="D886" s="6" t="s">
        <v>2373</v>
      </c>
      <c r="E886" s="6" t="s">
        <v>2370</v>
      </c>
      <c r="F886" s="6" t="s">
        <v>2370</v>
      </c>
      <c r="G886">
        <v>1</v>
      </c>
      <c r="H886" s="6" t="s">
        <v>2370</v>
      </c>
      <c r="I886" t="s">
        <v>8378</v>
      </c>
      <c r="J886" t="s">
        <v>8376</v>
      </c>
    </row>
    <row r="887" spans="1:10" x14ac:dyDescent="0.35">
      <c r="A887" s="6" t="s">
        <v>1475</v>
      </c>
      <c r="B887">
        <v>27.17</v>
      </c>
      <c r="C887">
        <v>5.84</v>
      </c>
      <c r="D887" s="6" t="s">
        <v>2373</v>
      </c>
      <c r="E887" s="6" t="s">
        <v>2370</v>
      </c>
      <c r="F887" s="6" t="s">
        <v>2370</v>
      </c>
      <c r="G887">
        <v>1</v>
      </c>
      <c r="H887" s="6" t="s">
        <v>2370</v>
      </c>
      <c r="I887" t="s">
        <v>8378</v>
      </c>
      <c r="J887" t="s">
        <v>8376</v>
      </c>
    </row>
    <row r="888" spans="1:10" x14ac:dyDescent="0.35">
      <c r="A888" s="6" t="s">
        <v>1474</v>
      </c>
      <c r="B888">
        <v>35.380000000000003</v>
      </c>
      <c r="C888">
        <v>6.12</v>
      </c>
      <c r="D888" s="6" t="s">
        <v>2370</v>
      </c>
      <c r="E888" s="6" t="s">
        <v>2370</v>
      </c>
      <c r="F888" s="6" t="s">
        <v>2370</v>
      </c>
      <c r="G888">
        <v>0</v>
      </c>
      <c r="H888" s="6" t="s">
        <v>2370</v>
      </c>
      <c r="I888" t="s">
        <v>8374</v>
      </c>
      <c r="J888" t="s">
        <v>8376</v>
      </c>
    </row>
    <row r="889" spans="1:10" x14ac:dyDescent="0.35">
      <c r="A889" s="6" t="s">
        <v>1473</v>
      </c>
      <c r="B889">
        <v>43.48</v>
      </c>
      <c r="C889">
        <v>6.24</v>
      </c>
      <c r="D889" s="6" t="s">
        <v>2370</v>
      </c>
      <c r="E889" s="6" t="s">
        <v>2370</v>
      </c>
      <c r="F889" s="6" t="s">
        <v>2370</v>
      </c>
      <c r="G889">
        <v>0</v>
      </c>
      <c r="H889" s="6" t="s">
        <v>2370</v>
      </c>
      <c r="I889" t="s">
        <v>8374</v>
      </c>
      <c r="J889" t="s">
        <v>8376</v>
      </c>
    </row>
    <row r="890" spans="1:10" x14ac:dyDescent="0.35">
      <c r="A890" s="6" t="s">
        <v>1472</v>
      </c>
      <c r="B890">
        <v>41.73</v>
      </c>
      <c r="C890">
        <v>6.25</v>
      </c>
      <c r="D890" s="6" t="s">
        <v>2370</v>
      </c>
      <c r="E890" s="6" t="s">
        <v>2370</v>
      </c>
      <c r="F890" s="6" t="s">
        <v>2370</v>
      </c>
      <c r="G890">
        <v>1</v>
      </c>
      <c r="H890" s="6" t="s">
        <v>2370</v>
      </c>
      <c r="I890" t="s">
        <v>8374</v>
      </c>
      <c r="J890" t="s">
        <v>8376</v>
      </c>
    </row>
    <row r="891" spans="1:10" x14ac:dyDescent="0.35">
      <c r="A891" s="6" t="s">
        <v>1471</v>
      </c>
      <c r="B891">
        <v>28.9</v>
      </c>
      <c r="C891">
        <v>11.96</v>
      </c>
      <c r="D891" s="6" t="s">
        <v>2370</v>
      </c>
      <c r="E891" s="6" t="s">
        <v>2370</v>
      </c>
      <c r="F891" s="6" t="s">
        <v>2370</v>
      </c>
      <c r="G891">
        <v>0</v>
      </c>
      <c r="H891" s="6" t="s">
        <v>2370</v>
      </c>
      <c r="I891" t="s">
        <v>8378</v>
      </c>
      <c r="J891" t="s">
        <v>8375</v>
      </c>
    </row>
    <row r="892" spans="1:10" x14ac:dyDescent="0.35">
      <c r="A892" s="6" t="s">
        <v>1470</v>
      </c>
      <c r="B892">
        <v>25.74</v>
      </c>
      <c r="C892">
        <v>7.69</v>
      </c>
      <c r="D892" s="6" t="s">
        <v>2370</v>
      </c>
      <c r="E892" s="6" t="s">
        <v>2370</v>
      </c>
      <c r="F892" s="6" t="s">
        <v>2370</v>
      </c>
      <c r="G892">
        <v>0</v>
      </c>
      <c r="H892" s="6" t="s">
        <v>2370</v>
      </c>
      <c r="I892" t="s">
        <v>8378</v>
      </c>
      <c r="J892" t="s">
        <v>8375</v>
      </c>
    </row>
    <row r="893" spans="1:10" x14ac:dyDescent="0.35">
      <c r="A893" s="6" t="s">
        <v>1469</v>
      </c>
      <c r="B893">
        <v>36.06</v>
      </c>
      <c r="C893">
        <v>8.83</v>
      </c>
      <c r="D893" s="6" t="s">
        <v>2370</v>
      </c>
      <c r="E893" s="6" t="s">
        <v>2370</v>
      </c>
      <c r="F893" s="6" t="s">
        <v>2370</v>
      </c>
      <c r="G893">
        <v>0</v>
      </c>
      <c r="H893" s="6" t="s">
        <v>2370</v>
      </c>
      <c r="I893" t="s">
        <v>8374</v>
      </c>
      <c r="J893" t="s">
        <v>8375</v>
      </c>
    </row>
    <row r="894" spans="1:10" x14ac:dyDescent="0.35">
      <c r="A894" s="6" t="s">
        <v>1468</v>
      </c>
      <c r="B894">
        <v>43.28</v>
      </c>
      <c r="C894">
        <v>4.41</v>
      </c>
      <c r="D894" s="6" t="s">
        <v>2370</v>
      </c>
      <c r="E894" s="6" t="s">
        <v>2370</v>
      </c>
      <c r="F894" s="6" t="s">
        <v>2370</v>
      </c>
      <c r="G894">
        <v>0</v>
      </c>
      <c r="H894" s="6" t="s">
        <v>2370</v>
      </c>
      <c r="I894" t="s">
        <v>8374</v>
      </c>
      <c r="J894" t="s">
        <v>8377</v>
      </c>
    </row>
    <row r="895" spans="1:10" x14ac:dyDescent="0.35">
      <c r="A895" s="6" t="s">
        <v>1467</v>
      </c>
      <c r="B895">
        <v>28.785</v>
      </c>
      <c r="C895">
        <v>9.1</v>
      </c>
      <c r="D895" s="6" t="s">
        <v>2373</v>
      </c>
      <c r="E895" s="6" t="s">
        <v>2370</v>
      </c>
      <c r="F895" s="6" t="s">
        <v>2373</v>
      </c>
      <c r="G895">
        <v>1</v>
      </c>
      <c r="H895" s="6" t="s">
        <v>2370</v>
      </c>
      <c r="I895" t="s">
        <v>8378</v>
      </c>
      <c r="J895" t="s">
        <v>8375</v>
      </c>
    </row>
    <row r="896" spans="1:10" x14ac:dyDescent="0.35">
      <c r="A896" s="6" t="s">
        <v>1466</v>
      </c>
      <c r="B896">
        <v>25.46</v>
      </c>
      <c r="C896">
        <v>11.52</v>
      </c>
      <c r="D896" s="6" t="s">
        <v>2373</v>
      </c>
      <c r="E896" s="6" t="s">
        <v>2370</v>
      </c>
      <c r="F896" s="6" t="s">
        <v>2373</v>
      </c>
      <c r="G896">
        <v>1</v>
      </c>
      <c r="H896" s="6" t="s">
        <v>2370</v>
      </c>
      <c r="I896" t="s">
        <v>8378</v>
      </c>
      <c r="J896" t="s">
        <v>8375</v>
      </c>
    </row>
    <row r="897" spans="1:10" x14ac:dyDescent="0.35">
      <c r="A897" s="6" t="s">
        <v>1465</v>
      </c>
      <c r="B897">
        <v>30.8</v>
      </c>
      <c r="C897">
        <v>10.95</v>
      </c>
      <c r="D897" s="6" t="s">
        <v>2370</v>
      </c>
      <c r="E897" s="6" t="s">
        <v>2370</v>
      </c>
      <c r="F897" s="6" t="s">
        <v>2370</v>
      </c>
      <c r="G897">
        <v>0</v>
      </c>
      <c r="H897" s="6" t="s">
        <v>2370</v>
      </c>
      <c r="I897" t="s">
        <v>8374</v>
      </c>
      <c r="J897" t="s">
        <v>8375</v>
      </c>
    </row>
    <row r="898" spans="1:10" x14ac:dyDescent="0.35">
      <c r="A898" s="6" t="s">
        <v>1464</v>
      </c>
      <c r="B898">
        <v>28.88</v>
      </c>
      <c r="C898">
        <v>11.5</v>
      </c>
      <c r="D898" s="6" t="s">
        <v>2370</v>
      </c>
      <c r="E898" s="6" t="s">
        <v>2370</v>
      </c>
      <c r="F898" s="6" t="s">
        <v>2370</v>
      </c>
      <c r="G898">
        <v>0</v>
      </c>
      <c r="H898" s="6" t="s">
        <v>2370</v>
      </c>
      <c r="I898" t="s">
        <v>8378</v>
      </c>
      <c r="J898" t="s">
        <v>8375</v>
      </c>
    </row>
    <row r="899" spans="1:10" x14ac:dyDescent="0.35">
      <c r="A899" s="6" t="s">
        <v>1463</v>
      </c>
      <c r="B899">
        <v>23</v>
      </c>
      <c r="C899">
        <v>9.8800000000000008</v>
      </c>
      <c r="D899" s="6" t="s">
        <v>2370</v>
      </c>
      <c r="E899" s="6" t="s">
        <v>2370</v>
      </c>
      <c r="F899" s="6" t="s">
        <v>2370</v>
      </c>
      <c r="G899">
        <v>0</v>
      </c>
      <c r="H899" s="6" t="s">
        <v>2370</v>
      </c>
      <c r="I899" t="s">
        <v>8379</v>
      </c>
      <c r="J899" t="s">
        <v>8375</v>
      </c>
    </row>
    <row r="900" spans="1:10" x14ac:dyDescent="0.35">
      <c r="A900" s="6" t="s">
        <v>1462</v>
      </c>
      <c r="B900">
        <v>38.25</v>
      </c>
      <c r="C900">
        <v>6.2</v>
      </c>
      <c r="D900" s="6" t="s">
        <v>2370</v>
      </c>
      <c r="E900" s="6" t="s">
        <v>2370</v>
      </c>
      <c r="F900" s="6" t="s">
        <v>2370</v>
      </c>
      <c r="G900">
        <v>1</v>
      </c>
      <c r="H900" s="6" t="s">
        <v>2370</v>
      </c>
      <c r="I900" t="s">
        <v>8374</v>
      </c>
      <c r="J900" t="s">
        <v>8376</v>
      </c>
    </row>
    <row r="901" spans="1:10" x14ac:dyDescent="0.35">
      <c r="A901" s="6" t="s">
        <v>1461</v>
      </c>
      <c r="B901">
        <v>39.25</v>
      </c>
      <c r="C901">
        <v>8.41</v>
      </c>
      <c r="D901" s="6" t="s">
        <v>2373</v>
      </c>
      <c r="E901" s="6" t="s">
        <v>2370</v>
      </c>
      <c r="F901" s="6" t="s">
        <v>2370</v>
      </c>
      <c r="G901">
        <v>1</v>
      </c>
      <c r="H901" s="6" t="s">
        <v>2370</v>
      </c>
      <c r="I901" t="s">
        <v>8374</v>
      </c>
      <c r="J901" t="s">
        <v>8375</v>
      </c>
    </row>
    <row r="902" spans="1:10" x14ac:dyDescent="0.35">
      <c r="A902" s="6" t="s">
        <v>1460</v>
      </c>
      <c r="B902">
        <v>26.6</v>
      </c>
      <c r="C902">
        <v>5.07</v>
      </c>
      <c r="D902" s="6" t="s">
        <v>2373</v>
      </c>
      <c r="E902" s="6" t="s">
        <v>2370</v>
      </c>
      <c r="F902" s="6" t="s">
        <v>2370</v>
      </c>
      <c r="G902">
        <v>2</v>
      </c>
      <c r="H902" s="6" t="s">
        <v>2370</v>
      </c>
      <c r="I902" t="s">
        <v>8378</v>
      </c>
      <c r="J902" t="s">
        <v>8377</v>
      </c>
    </row>
    <row r="903" spans="1:10" x14ac:dyDescent="0.35">
      <c r="A903" s="6" t="s">
        <v>1459</v>
      </c>
      <c r="B903">
        <v>35.700000000000003</v>
      </c>
      <c r="C903">
        <v>4.0599999999999996</v>
      </c>
      <c r="D903" s="6" t="s">
        <v>2370</v>
      </c>
      <c r="E903" s="6" t="s">
        <v>2370</v>
      </c>
      <c r="F903" s="6" t="s">
        <v>2373</v>
      </c>
      <c r="G903">
        <v>1</v>
      </c>
      <c r="H903" s="6" t="s">
        <v>2370</v>
      </c>
      <c r="I903" t="s">
        <v>8374</v>
      </c>
      <c r="J903" t="s">
        <v>8377</v>
      </c>
    </row>
    <row r="904" spans="1:10" x14ac:dyDescent="0.35">
      <c r="A904" s="6" t="s">
        <v>1458</v>
      </c>
      <c r="B904">
        <v>20.100000000000001</v>
      </c>
      <c r="C904">
        <v>10.52</v>
      </c>
      <c r="D904" s="6" t="s">
        <v>2370</v>
      </c>
      <c r="E904" s="6" t="s">
        <v>2370</v>
      </c>
      <c r="F904" s="6" t="s">
        <v>2370</v>
      </c>
      <c r="G904">
        <v>0</v>
      </c>
      <c r="H904" s="6" t="s">
        <v>2370</v>
      </c>
      <c r="I904" t="s">
        <v>8379</v>
      </c>
      <c r="J904" t="s">
        <v>8375</v>
      </c>
    </row>
    <row r="905" spans="1:10" x14ac:dyDescent="0.35">
      <c r="A905" s="6" t="s">
        <v>1457</v>
      </c>
      <c r="B905">
        <v>22.23</v>
      </c>
      <c r="C905">
        <v>9.65</v>
      </c>
      <c r="D905" s="6" t="s">
        <v>2370</v>
      </c>
      <c r="E905" s="6" t="s">
        <v>2370</v>
      </c>
      <c r="F905" s="6" t="s">
        <v>2370</v>
      </c>
      <c r="G905">
        <v>0</v>
      </c>
      <c r="H905" s="6" t="s">
        <v>2370</v>
      </c>
      <c r="I905" t="s">
        <v>8379</v>
      </c>
      <c r="J905" t="s">
        <v>8375</v>
      </c>
    </row>
    <row r="906" spans="1:10" x14ac:dyDescent="0.35">
      <c r="A906" s="6" t="s">
        <v>1456</v>
      </c>
      <c r="B906">
        <v>36.47</v>
      </c>
      <c r="C906">
        <v>6.21</v>
      </c>
      <c r="D906" s="6" t="s">
        <v>2370</v>
      </c>
      <c r="E906" s="6" t="s">
        <v>2370</v>
      </c>
      <c r="F906" s="6" t="s">
        <v>2370</v>
      </c>
      <c r="G906">
        <v>0</v>
      </c>
      <c r="H906" s="6" t="s">
        <v>2370</v>
      </c>
      <c r="I906" t="s">
        <v>8374</v>
      </c>
      <c r="J906" t="s">
        <v>8376</v>
      </c>
    </row>
    <row r="907" spans="1:10" x14ac:dyDescent="0.35">
      <c r="A907" s="6" t="s">
        <v>1455</v>
      </c>
      <c r="B907">
        <v>49.64</v>
      </c>
      <c r="C907">
        <v>4.76</v>
      </c>
      <c r="D907" s="6" t="s">
        <v>2370</v>
      </c>
      <c r="E907" s="6" t="s">
        <v>2370</v>
      </c>
      <c r="F907" s="6" t="s">
        <v>2373</v>
      </c>
      <c r="G907">
        <v>1</v>
      </c>
      <c r="H907" s="6" t="s">
        <v>2370</v>
      </c>
      <c r="I907" t="s">
        <v>8374</v>
      </c>
      <c r="J907" t="s">
        <v>8377</v>
      </c>
    </row>
    <row r="908" spans="1:10" x14ac:dyDescent="0.35">
      <c r="A908" s="6" t="s">
        <v>1454</v>
      </c>
      <c r="B908">
        <v>36.799999999999997</v>
      </c>
      <c r="C908">
        <v>5.73</v>
      </c>
      <c r="D908" s="6" t="s">
        <v>2373</v>
      </c>
      <c r="E908" s="6" t="s">
        <v>2370</v>
      </c>
      <c r="F908" s="6" t="s">
        <v>2373</v>
      </c>
      <c r="G908">
        <v>1</v>
      </c>
      <c r="H908" s="6" t="s">
        <v>2370</v>
      </c>
      <c r="I908" t="s">
        <v>8374</v>
      </c>
      <c r="J908" t="s">
        <v>8376</v>
      </c>
    </row>
    <row r="909" spans="1:10" x14ac:dyDescent="0.35">
      <c r="A909" s="6" t="s">
        <v>1453</v>
      </c>
      <c r="B909">
        <v>33.880000000000003</v>
      </c>
      <c r="C909">
        <v>10.78</v>
      </c>
      <c r="D909" s="6" t="s">
        <v>2373</v>
      </c>
      <c r="E909" s="6" t="s">
        <v>2370</v>
      </c>
      <c r="F909" s="6" t="s">
        <v>2370</v>
      </c>
      <c r="G909">
        <v>0</v>
      </c>
      <c r="H909" s="6" t="s">
        <v>2370</v>
      </c>
      <c r="I909" t="s">
        <v>8374</v>
      </c>
      <c r="J909" t="s">
        <v>8375</v>
      </c>
    </row>
    <row r="910" spans="1:10" x14ac:dyDescent="0.35">
      <c r="A910" s="6" t="s">
        <v>1452</v>
      </c>
      <c r="B910">
        <v>32.01</v>
      </c>
      <c r="C910">
        <v>5.08</v>
      </c>
      <c r="D910" s="6" t="s">
        <v>2373</v>
      </c>
      <c r="E910" s="6" t="s">
        <v>2370</v>
      </c>
      <c r="F910" s="6" t="s">
        <v>2370</v>
      </c>
      <c r="G910">
        <v>1</v>
      </c>
      <c r="H910" s="6" t="s">
        <v>2370</v>
      </c>
      <c r="I910" t="s">
        <v>8374</v>
      </c>
      <c r="J910" t="s">
        <v>8377</v>
      </c>
    </row>
    <row r="911" spans="1:10" x14ac:dyDescent="0.35">
      <c r="A911" s="6" t="s">
        <v>1451</v>
      </c>
      <c r="B911">
        <v>33.630000000000003</v>
      </c>
      <c r="C911">
        <v>11.39</v>
      </c>
      <c r="D911" s="6" t="s">
        <v>2370</v>
      </c>
      <c r="E911" s="6" t="s">
        <v>2370</v>
      </c>
      <c r="F911" s="6" t="s">
        <v>2370</v>
      </c>
      <c r="G911">
        <v>0</v>
      </c>
      <c r="H911" s="6" t="s">
        <v>2370</v>
      </c>
      <c r="I911" t="s">
        <v>8374</v>
      </c>
      <c r="J911" t="s">
        <v>8375</v>
      </c>
    </row>
    <row r="912" spans="1:10" x14ac:dyDescent="0.35">
      <c r="A912" s="6" t="s">
        <v>1450</v>
      </c>
      <c r="B912">
        <v>34.865000000000002</v>
      </c>
      <c r="C912">
        <v>5.35</v>
      </c>
      <c r="D912" s="6" t="s">
        <v>2373</v>
      </c>
      <c r="E912" s="6" t="s">
        <v>2370</v>
      </c>
      <c r="F912" s="6" t="s">
        <v>2370</v>
      </c>
      <c r="G912">
        <v>1</v>
      </c>
      <c r="H912" s="6" t="s">
        <v>2370</v>
      </c>
      <c r="I912" t="s">
        <v>8374</v>
      </c>
      <c r="J912" t="s">
        <v>8377</v>
      </c>
    </row>
    <row r="913" spans="1:10" x14ac:dyDescent="0.35">
      <c r="A913" s="6" t="s">
        <v>1449</v>
      </c>
      <c r="B913">
        <v>43.11</v>
      </c>
      <c r="C913">
        <v>5.6</v>
      </c>
      <c r="D913" s="6" t="s">
        <v>2370</v>
      </c>
      <c r="E913" s="6" t="s">
        <v>2370</v>
      </c>
      <c r="F913" s="6" t="s">
        <v>2370</v>
      </c>
      <c r="G913">
        <v>0</v>
      </c>
      <c r="H913" s="6" t="s">
        <v>2370</v>
      </c>
      <c r="I913" t="s">
        <v>8374</v>
      </c>
      <c r="J913" t="s">
        <v>8377</v>
      </c>
    </row>
    <row r="914" spans="1:10" x14ac:dyDescent="0.35">
      <c r="A914" s="6" t="s">
        <v>1448</v>
      </c>
      <c r="B914">
        <v>30.305</v>
      </c>
      <c r="C914">
        <v>4.2699999999999996</v>
      </c>
      <c r="D914" s="6" t="s">
        <v>2373</v>
      </c>
      <c r="E914" s="6" t="s">
        <v>2370</v>
      </c>
      <c r="F914" s="6" t="s">
        <v>2370</v>
      </c>
      <c r="G914">
        <v>1</v>
      </c>
      <c r="H914" s="6" t="s">
        <v>2370</v>
      </c>
      <c r="I914" t="s">
        <v>8374</v>
      </c>
      <c r="J914" t="s">
        <v>8377</v>
      </c>
    </row>
    <row r="915" spans="1:10" x14ac:dyDescent="0.35">
      <c r="A915" s="6" t="s">
        <v>1447</v>
      </c>
      <c r="B915">
        <v>25.175000000000001</v>
      </c>
      <c r="C915">
        <v>5.57</v>
      </c>
      <c r="D915" s="6" t="s">
        <v>2373</v>
      </c>
      <c r="E915" s="6" t="s">
        <v>2370</v>
      </c>
      <c r="F915" s="6" t="s">
        <v>2370</v>
      </c>
      <c r="G915">
        <v>1</v>
      </c>
      <c r="H915" s="6" t="s">
        <v>2370</v>
      </c>
      <c r="I915" t="s">
        <v>8378</v>
      </c>
      <c r="J915" t="s">
        <v>8377</v>
      </c>
    </row>
    <row r="916" spans="1:10" x14ac:dyDescent="0.35">
      <c r="A916" s="6" t="s">
        <v>1446</v>
      </c>
      <c r="B916">
        <v>26.8</v>
      </c>
      <c r="C916">
        <v>5.68</v>
      </c>
      <c r="D916" s="6" t="s">
        <v>2373</v>
      </c>
      <c r="E916" s="6" t="s">
        <v>2370</v>
      </c>
      <c r="F916" s="6" t="s">
        <v>2370</v>
      </c>
      <c r="G916">
        <v>1</v>
      </c>
      <c r="H916" s="6" t="s">
        <v>2370</v>
      </c>
      <c r="I916" t="s">
        <v>8378</v>
      </c>
      <c r="J916" t="s">
        <v>8377</v>
      </c>
    </row>
    <row r="917" spans="1:10" x14ac:dyDescent="0.35">
      <c r="A917" s="6" t="s">
        <v>1445</v>
      </c>
      <c r="B917">
        <v>21.78</v>
      </c>
      <c r="C917">
        <v>5.3</v>
      </c>
      <c r="D917" s="6" t="s">
        <v>2370</v>
      </c>
      <c r="E917" s="6" t="s">
        <v>2372</v>
      </c>
      <c r="F917" s="6" t="s">
        <v>2370</v>
      </c>
      <c r="G917">
        <v>1</v>
      </c>
      <c r="H917" s="6" t="s">
        <v>2370</v>
      </c>
      <c r="I917" t="s">
        <v>8379</v>
      </c>
      <c r="J917" t="s">
        <v>8377</v>
      </c>
    </row>
    <row r="918" spans="1:10" x14ac:dyDescent="0.35">
      <c r="A918" s="6" t="s">
        <v>1444</v>
      </c>
      <c r="B918">
        <v>30.14</v>
      </c>
      <c r="C918">
        <v>9.4499999999999993</v>
      </c>
      <c r="D918" s="6" t="s">
        <v>2373</v>
      </c>
      <c r="E918" s="6" t="s">
        <v>2370</v>
      </c>
      <c r="F918" s="6" t="s">
        <v>2370</v>
      </c>
      <c r="G918">
        <v>0</v>
      </c>
      <c r="H918" s="6" t="s">
        <v>2370</v>
      </c>
      <c r="I918" t="s">
        <v>8374</v>
      </c>
      <c r="J918" t="s">
        <v>8375</v>
      </c>
    </row>
    <row r="919" spans="1:10" x14ac:dyDescent="0.35">
      <c r="A919" s="6" t="s">
        <v>1443</v>
      </c>
      <c r="B919">
        <v>29.7</v>
      </c>
      <c r="C919">
        <v>6.79</v>
      </c>
      <c r="D919" s="6" t="s">
        <v>2373</v>
      </c>
      <c r="E919" s="6" t="s">
        <v>2370</v>
      </c>
      <c r="F919" s="6" t="s">
        <v>2370</v>
      </c>
      <c r="G919">
        <v>0</v>
      </c>
      <c r="H919" s="6" t="s">
        <v>2370</v>
      </c>
      <c r="I919" t="s">
        <v>8378</v>
      </c>
      <c r="J919" t="s">
        <v>8375</v>
      </c>
    </row>
    <row r="920" spans="1:10" x14ac:dyDescent="0.35">
      <c r="A920" s="6" t="s">
        <v>1442</v>
      </c>
      <c r="B920">
        <v>32.395000000000003</v>
      </c>
      <c r="C920">
        <v>11.1</v>
      </c>
      <c r="D920" s="6" t="s">
        <v>2373</v>
      </c>
      <c r="E920" s="6" t="s">
        <v>2370</v>
      </c>
      <c r="F920" s="6" t="s">
        <v>2370</v>
      </c>
      <c r="G920">
        <v>0</v>
      </c>
      <c r="H920" s="6" t="s">
        <v>2370</v>
      </c>
      <c r="I920" t="s">
        <v>8374</v>
      </c>
      <c r="J920" t="s">
        <v>8375</v>
      </c>
    </row>
    <row r="921" spans="1:10" x14ac:dyDescent="0.35">
      <c r="A921" s="6" t="s">
        <v>1441</v>
      </c>
      <c r="B921">
        <v>36.64</v>
      </c>
      <c r="C921">
        <v>7.26</v>
      </c>
      <c r="D921" s="6" t="s">
        <v>2370</v>
      </c>
      <c r="E921" s="6" t="s">
        <v>2370</v>
      </c>
      <c r="F921" s="6" t="s">
        <v>2370</v>
      </c>
      <c r="G921">
        <v>0</v>
      </c>
      <c r="H921" s="6" t="s">
        <v>2370</v>
      </c>
      <c r="I921" t="s">
        <v>8374</v>
      </c>
      <c r="J921" t="s">
        <v>8375</v>
      </c>
    </row>
    <row r="922" spans="1:10" x14ac:dyDescent="0.35">
      <c r="A922" s="6" t="s">
        <v>1440</v>
      </c>
      <c r="B922">
        <v>39.049999999999997</v>
      </c>
      <c r="C922">
        <v>5.27</v>
      </c>
      <c r="D922" s="6" t="s">
        <v>2373</v>
      </c>
      <c r="E922" s="6" t="s">
        <v>2370</v>
      </c>
      <c r="F922" s="6" t="s">
        <v>2370</v>
      </c>
      <c r="G922">
        <v>1</v>
      </c>
      <c r="H922" s="6" t="s">
        <v>2370</v>
      </c>
      <c r="I922" t="s">
        <v>8374</v>
      </c>
      <c r="J922" t="s">
        <v>8377</v>
      </c>
    </row>
    <row r="923" spans="1:10" x14ac:dyDescent="0.35">
      <c r="A923" s="6" t="s">
        <v>1439</v>
      </c>
      <c r="B923">
        <v>33.1</v>
      </c>
      <c r="C923">
        <v>5.46</v>
      </c>
      <c r="D923" s="6" t="s">
        <v>2373</v>
      </c>
      <c r="E923" s="6" t="s">
        <v>2370</v>
      </c>
      <c r="F923" s="6" t="s">
        <v>2370</v>
      </c>
      <c r="G923">
        <v>1</v>
      </c>
      <c r="H923" s="6" t="s">
        <v>2370</v>
      </c>
      <c r="I923" t="s">
        <v>8374</v>
      </c>
      <c r="J923" t="s">
        <v>8377</v>
      </c>
    </row>
    <row r="924" spans="1:10" x14ac:dyDescent="0.35">
      <c r="A924" s="6" t="s">
        <v>1438</v>
      </c>
      <c r="B924">
        <v>31.824999999999999</v>
      </c>
      <c r="C924">
        <v>8.1300000000000008</v>
      </c>
      <c r="D924" s="6" t="s">
        <v>2370</v>
      </c>
      <c r="E924" s="6" t="s">
        <v>2370</v>
      </c>
      <c r="F924" s="6" t="s">
        <v>2370</v>
      </c>
      <c r="G924">
        <v>0</v>
      </c>
      <c r="H924" s="6" t="s">
        <v>2370</v>
      </c>
      <c r="I924" t="s">
        <v>8374</v>
      </c>
      <c r="J924" t="s">
        <v>8375</v>
      </c>
    </row>
    <row r="925" spans="1:10" x14ac:dyDescent="0.35">
      <c r="A925" s="6" t="s">
        <v>1437</v>
      </c>
      <c r="B925">
        <v>29</v>
      </c>
      <c r="C925">
        <v>4.25</v>
      </c>
      <c r="D925" s="6" t="s">
        <v>2373</v>
      </c>
      <c r="E925" s="6" t="s">
        <v>2370</v>
      </c>
      <c r="F925" s="6" t="s">
        <v>2370</v>
      </c>
      <c r="G925">
        <v>1</v>
      </c>
      <c r="H925" s="6" t="s">
        <v>2370</v>
      </c>
      <c r="I925" t="s">
        <v>8378</v>
      </c>
      <c r="J925" t="s">
        <v>8377</v>
      </c>
    </row>
    <row r="926" spans="1:10" x14ac:dyDescent="0.35">
      <c r="A926" s="6" t="s">
        <v>1436</v>
      </c>
      <c r="B926">
        <v>30.495000000000001</v>
      </c>
      <c r="C926">
        <v>8.68</v>
      </c>
      <c r="D926" s="6" t="s">
        <v>2370</v>
      </c>
      <c r="E926" s="6" t="s">
        <v>2370</v>
      </c>
      <c r="F926" s="6" t="s">
        <v>2370</v>
      </c>
      <c r="G926">
        <v>0</v>
      </c>
      <c r="H926" s="6" t="s">
        <v>2370</v>
      </c>
      <c r="I926" t="s">
        <v>8374</v>
      </c>
      <c r="J926" t="s">
        <v>8375</v>
      </c>
    </row>
    <row r="927" spans="1:10" x14ac:dyDescent="0.35">
      <c r="A927" s="6" t="s">
        <v>1435</v>
      </c>
      <c r="B927">
        <v>25.2</v>
      </c>
      <c r="C927">
        <v>6.25</v>
      </c>
      <c r="D927" s="6" t="s">
        <v>2373</v>
      </c>
      <c r="E927" s="6" t="s">
        <v>2370</v>
      </c>
      <c r="F927" s="6" t="s">
        <v>2370</v>
      </c>
      <c r="G927">
        <v>1</v>
      </c>
      <c r="H927" s="6" t="s">
        <v>2370</v>
      </c>
      <c r="I927" t="s">
        <v>8378</v>
      </c>
      <c r="J927" t="s">
        <v>8376</v>
      </c>
    </row>
    <row r="928" spans="1:10" x14ac:dyDescent="0.35">
      <c r="A928" s="6" t="s">
        <v>1434</v>
      </c>
      <c r="B928">
        <v>22.77</v>
      </c>
      <c r="C928">
        <v>4.47</v>
      </c>
      <c r="D928" s="6" t="s">
        <v>2373</v>
      </c>
      <c r="E928" s="6" t="s">
        <v>2370</v>
      </c>
      <c r="F928" s="6" t="s">
        <v>2370</v>
      </c>
      <c r="G928">
        <v>1</v>
      </c>
      <c r="H928" s="6" t="s">
        <v>2370</v>
      </c>
      <c r="I928" t="s">
        <v>8379</v>
      </c>
      <c r="J928" t="s">
        <v>8377</v>
      </c>
    </row>
    <row r="929" spans="1:10" x14ac:dyDescent="0.35">
      <c r="A929" s="6" t="s">
        <v>1433</v>
      </c>
      <c r="B929">
        <v>23.18</v>
      </c>
      <c r="C929">
        <v>8.31</v>
      </c>
      <c r="D929" s="6" t="s">
        <v>2370</v>
      </c>
      <c r="E929" s="6" t="s">
        <v>2370</v>
      </c>
      <c r="F929" s="6" t="s">
        <v>2370</v>
      </c>
      <c r="G929">
        <v>0</v>
      </c>
      <c r="H929" s="6" t="s">
        <v>2370</v>
      </c>
      <c r="I929" t="s">
        <v>8379</v>
      </c>
      <c r="J929" t="s">
        <v>8375</v>
      </c>
    </row>
    <row r="930" spans="1:10" x14ac:dyDescent="0.35">
      <c r="A930" s="6" t="s">
        <v>1432</v>
      </c>
      <c r="B930">
        <v>35.409999999999997</v>
      </c>
      <c r="C930">
        <v>5.68</v>
      </c>
      <c r="D930" s="6" t="s">
        <v>2370</v>
      </c>
      <c r="E930" s="6" t="s">
        <v>2370</v>
      </c>
      <c r="F930" s="6" t="s">
        <v>2370</v>
      </c>
      <c r="G930">
        <v>0</v>
      </c>
      <c r="H930" s="6" t="s">
        <v>2370</v>
      </c>
      <c r="I930" t="s">
        <v>8374</v>
      </c>
      <c r="J930" t="s">
        <v>8377</v>
      </c>
    </row>
    <row r="931" spans="1:10" x14ac:dyDescent="0.35">
      <c r="A931" s="6" t="s">
        <v>1431</v>
      </c>
      <c r="B931">
        <v>32.11</v>
      </c>
      <c r="C931">
        <v>4.75</v>
      </c>
      <c r="D931" s="6" t="s">
        <v>2373</v>
      </c>
      <c r="E931" s="6" t="s">
        <v>2370</v>
      </c>
      <c r="F931" s="6" t="s">
        <v>2370</v>
      </c>
      <c r="G931">
        <v>2</v>
      </c>
      <c r="H931" s="6" t="s">
        <v>2370</v>
      </c>
      <c r="I931" t="s">
        <v>8374</v>
      </c>
      <c r="J931" t="s">
        <v>8377</v>
      </c>
    </row>
    <row r="932" spans="1:10" x14ac:dyDescent="0.35">
      <c r="A932" s="6" t="s">
        <v>1430</v>
      </c>
      <c r="B932">
        <v>34.479999999999997</v>
      </c>
      <c r="C932">
        <v>6.31</v>
      </c>
      <c r="D932" s="6" t="s">
        <v>2370</v>
      </c>
      <c r="E932" s="6" t="s">
        <v>2370</v>
      </c>
      <c r="F932" s="6" t="s">
        <v>2373</v>
      </c>
      <c r="G932">
        <v>1</v>
      </c>
      <c r="H932" s="6" t="s">
        <v>2370</v>
      </c>
      <c r="I932" t="s">
        <v>8374</v>
      </c>
      <c r="J932" t="s">
        <v>8376</v>
      </c>
    </row>
    <row r="933" spans="1:10" x14ac:dyDescent="0.35">
      <c r="A933" s="6" t="s">
        <v>1429</v>
      </c>
      <c r="B933">
        <v>34.39</v>
      </c>
      <c r="C933">
        <v>6.28</v>
      </c>
      <c r="D933" s="6" t="s">
        <v>2373</v>
      </c>
      <c r="E933" s="6" t="s">
        <v>2370</v>
      </c>
      <c r="F933" s="6" t="s">
        <v>2370</v>
      </c>
      <c r="G933">
        <v>1</v>
      </c>
      <c r="H933" s="6" t="s">
        <v>2370</v>
      </c>
      <c r="I933" t="s">
        <v>8374</v>
      </c>
      <c r="J933" t="s">
        <v>8376</v>
      </c>
    </row>
    <row r="934" spans="1:10" x14ac:dyDescent="0.35">
      <c r="A934" s="6" t="s">
        <v>1428</v>
      </c>
      <c r="B934">
        <v>26.4</v>
      </c>
      <c r="C934">
        <v>9.2899999999999991</v>
      </c>
      <c r="D934" s="6" t="s">
        <v>2373</v>
      </c>
      <c r="E934" s="6" t="s">
        <v>2370</v>
      </c>
      <c r="F934" s="6" t="s">
        <v>2373</v>
      </c>
      <c r="G934">
        <v>1</v>
      </c>
      <c r="H934" s="6" t="s">
        <v>2370</v>
      </c>
      <c r="I934" t="s">
        <v>8378</v>
      </c>
      <c r="J934" t="s">
        <v>8375</v>
      </c>
    </row>
    <row r="935" spans="1:10" x14ac:dyDescent="0.35">
      <c r="A935" s="6" t="s">
        <v>1427</v>
      </c>
      <c r="B935">
        <v>28.1</v>
      </c>
      <c r="C935">
        <v>5.79</v>
      </c>
      <c r="D935" s="6" t="s">
        <v>2373</v>
      </c>
      <c r="E935" s="6" t="s">
        <v>2370</v>
      </c>
      <c r="F935" s="6" t="s">
        <v>2373</v>
      </c>
      <c r="G935">
        <v>1</v>
      </c>
      <c r="H935" s="6" t="s">
        <v>2370</v>
      </c>
      <c r="I935" t="s">
        <v>8378</v>
      </c>
      <c r="J935" t="s">
        <v>8376</v>
      </c>
    </row>
    <row r="936" spans="1:10" x14ac:dyDescent="0.35">
      <c r="A936" s="6" t="s">
        <v>1426</v>
      </c>
      <c r="B936">
        <v>27</v>
      </c>
      <c r="C936">
        <v>4.54</v>
      </c>
      <c r="D936" s="6" t="s">
        <v>2373</v>
      </c>
      <c r="E936" s="6" t="s">
        <v>2370</v>
      </c>
      <c r="F936" s="6" t="s">
        <v>2370</v>
      </c>
      <c r="G936">
        <v>1</v>
      </c>
      <c r="H936" s="6" t="s">
        <v>2370</v>
      </c>
      <c r="I936" t="s">
        <v>8378</v>
      </c>
      <c r="J936" t="s">
        <v>8377</v>
      </c>
    </row>
    <row r="937" spans="1:10" x14ac:dyDescent="0.35">
      <c r="A937" s="6" t="s">
        <v>1425</v>
      </c>
      <c r="B937">
        <v>28.594999999999999</v>
      </c>
      <c r="C937">
        <v>4.68</v>
      </c>
      <c r="D937" s="6" t="s">
        <v>2373</v>
      </c>
      <c r="E937" s="6" t="s">
        <v>2370</v>
      </c>
      <c r="F937" s="6" t="s">
        <v>2370</v>
      </c>
      <c r="G937">
        <v>1</v>
      </c>
      <c r="H937" s="6" t="s">
        <v>2370</v>
      </c>
      <c r="I937" t="s">
        <v>8378</v>
      </c>
      <c r="J937" t="s">
        <v>8377</v>
      </c>
    </row>
    <row r="938" spans="1:10" x14ac:dyDescent="0.35">
      <c r="A938" s="6" t="s">
        <v>1424</v>
      </c>
      <c r="B938">
        <v>36.799999999999997</v>
      </c>
      <c r="C938">
        <v>5.88</v>
      </c>
      <c r="D938" s="6" t="s">
        <v>2370</v>
      </c>
      <c r="E938" s="6" t="s">
        <v>2370</v>
      </c>
      <c r="F938" s="6" t="s">
        <v>2370</v>
      </c>
      <c r="G938">
        <v>1</v>
      </c>
      <c r="H938" s="6" t="s">
        <v>2370</v>
      </c>
      <c r="I938" t="s">
        <v>8374</v>
      </c>
      <c r="J938" t="s">
        <v>8376</v>
      </c>
    </row>
    <row r="939" spans="1:10" x14ac:dyDescent="0.35">
      <c r="A939" s="6" t="s">
        <v>1423</v>
      </c>
      <c r="B939">
        <v>23.75</v>
      </c>
      <c r="C939">
        <v>5.42</v>
      </c>
      <c r="D939" s="6" t="s">
        <v>2373</v>
      </c>
      <c r="E939" s="6" t="s">
        <v>2370</v>
      </c>
      <c r="F939" s="6" t="s">
        <v>2373</v>
      </c>
      <c r="G939">
        <v>1</v>
      </c>
      <c r="H939" s="6" t="s">
        <v>2370</v>
      </c>
      <c r="I939" t="s">
        <v>8379</v>
      </c>
      <c r="J939" t="s">
        <v>8377</v>
      </c>
    </row>
    <row r="940" spans="1:10" x14ac:dyDescent="0.35">
      <c r="A940" s="6" t="s">
        <v>1422</v>
      </c>
      <c r="B940">
        <v>35.619999999999997</v>
      </c>
      <c r="C940">
        <v>4.16</v>
      </c>
      <c r="D940" s="6" t="s">
        <v>2370</v>
      </c>
      <c r="E940" s="6" t="s">
        <v>2370</v>
      </c>
      <c r="F940" s="6" t="s">
        <v>2370</v>
      </c>
      <c r="G940">
        <v>0</v>
      </c>
      <c r="H940" s="6" t="s">
        <v>2370</v>
      </c>
      <c r="I940" t="s">
        <v>8374</v>
      </c>
      <c r="J940" t="s">
        <v>8377</v>
      </c>
    </row>
    <row r="941" spans="1:10" x14ac:dyDescent="0.35">
      <c r="A941" s="6" t="s">
        <v>1421</v>
      </c>
      <c r="B941">
        <v>30.69</v>
      </c>
      <c r="C941">
        <v>7.05</v>
      </c>
      <c r="D941" s="6" t="s">
        <v>2373</v>
      </c>
      <c r="E941" s="6" t="s">
        <v>2370</v>
      </c>
      <c r="F941" s="6" t="s">
        <v>2370</v>
      </c>
      <c r="G941">
        <v>2</v>
      </c>
      <c r="H941" s="6" t="s">
        <v>2370</v>
      </c>
      <c r="I941" t="s">
        <v>8374</v>
      </c>
      <c r="J941" t="s">
        <v>8375</v>
      </c>
    </row>
    <row r="942" spans="1:10" x14ac:dyDescent="0.35">
      <c r="A942" s="6" t="s">
        <v>1420</v>
      </c>
      <c r="B942">
        <v>35.799999999999997</v>
      </c>
      <c r="C942">
        <v>5.63</v>
      </c>
      <c r="D942" s="6" t="s">
        <v>2373</v>
      </c>
      <c r="E942" s="6" t="s">
        <v>2370</v>
      </c>
      <c r="F942" s="6" t="s">
        <v>2370</v>
      </c>
      <c r="G942">
        <v>2</v>
      </c>
      <c r="H942" s="6" t="s">
        <v>2370</v>
      </c>
      <c r="I942" t="s">
        <v>8374</v>
      </c>
      <c r="J942" t="s">
        <v>8377</v>
      </c>
    </row>
    <row r="943" spans="1:10" x14ac:dyDescent="0.35">
      <c r="A943" s="6" t="s">
        <v>1419</v>
      </c>
      <c r="B943">
        <v>28.785</v>
      </c>
      <c r="C943">
        <v>4.24</v>
      </c>
      <c r="D943" s="6" t="s">
        <v>2373</v>
      </c>
      <c r="E943" s="6" t="s">
        <v>2370</v>
      </c>
      <c r="F943" s="6" t="s">
        <v>2370</v>
      </c>
      <c r="G943">
        <v>2</v>
      </c>
      <c r="H943" s="6" t="s">
        <v>2370</v>
      </c>
      <c r="I943" t="s">
        <v>8378</v>
      </c>
      <c r="J943" t="s">
        <v>8377</v>
      </c>
    </row>
    <row r="944" spans="1:10" x14ac:dyDescent="0.35">
      <c r="A944" s="6" t="s">
        <v>1418</v>
      </c>
      <c r="B944">
        <v>28.594999999999999</v>
      </c>
      <c r="C944">
        <v>4.96</v>
      </c>
      <c r="D944" s="6" t="s">
        <v>2373</v>
      </c>
      <c r="E944" s="6" t="s">
        <v>2370</v>
      </c>
      <c r="F944" s="6" t="s">
        <v>2370</v>
      </c>
      <c r="G944">
        <v>2</v>
      </c>
      <c r="H944" s="6" t="s">
        <v>2370</v>
      </c>
      <c r="I944" t="s">
        <v>8378</v>
      </c>
      <c r="J944" t="s">
        <v>8377</v>
      </c>
    </row>
    <row r="945" spans="1:10" x14ac:dyDescent="0.35">
      <c r="A945" s="6" t="s">
        <v>1417</v>
      </c>
      <c r="B945">
        <v>48.75</v>
      </c>
      <c r="C945">
        <v>4.34</v>
      </c>
      <c r="D945" s="6" t="s">
        <v>2370</v>
      </c>
      <c r="E945" s="6" t="s">
        <v>2370</v>
      </c>
      <c r="F945" s="6" t="s">
        <v>2370</v>
      </c>
      <c r="G945">
        <v>0</v>
      </c>
      <c r="H945" s="6" t="s">
        <v>2370</v>
      </c>
      <c r="I945" t="s">
        <v>8374</v>
      </c>
      <c r="J945" t="s">
        <v>8377</v>
      </c>
    </row>
    <row r="946" spans="1:10" x14ac:dyDescent="0.35">
      <c r="A946" s="6" t="s">
        <v>1416</v>
      </c>
      <c r="B946">
        <v>28.31</v>
      </c>
      <c r="C946">
        <v>5.43</v>
      </c>
      <c r="D946" s="6" t="s">
        <v>2373</v>
      </c>
      <c r="E946" s="6" t="s">
        <v>2370</v>
      </c>
      <c r="F946" s="6" t="s">
        <v>2370</v>
      </c>
      <c r="G946">
        <v>2</v>
      </c>
      <c r="H946" s="6" t="s">
        <v>2370</v>
      </c>
      <c r="I946" t="s">
        <v>8378</v>
      </c>
      <c r="J946" t="s">
        <v>8377</v>
      </c>
    </row>
    <row r="947" spans="1:10" x14ac:dyDescent="0.35">
      <c r="A947" s="6" t="s">
        <v>1415</v>
      </c>
      <c r="B947">
        <v>38.39</v>
      </c>
      <c r="C947">
        <v>8.33</v>
      </c>
      <c r="D947" s="6" t="s">
        <v>2373</v>
      </c>
      <c r="E947" s="6" t="s">
        <v>2370</v>
      </c>
      <c r="F947" s="6" t="s">
        <v>2370</v>
      </c>
      <c r="G947">
        <v>1</v>
      </c>
      <c r="H947" s="6" t="s">
        <v>2370</v>
      </c>
      <c r="I947" t="s">
        <v>8374</v>
      </c>
      <c r="J947" t="s">
        <v>8375</v>
      </c>
    </row>
    <row r="948" spans="1:10" x14ac:dyDescent="0.35">
      <c r="A948" s="6" t="s">
        <v>1414</v>
      </c>
      <c r="B948">
        <v>25.87</v>
      </c>
      <c r="C948">
        <v>5.63</v>
      </c>
      <c r="D948" s="6" t="s">
        <v>2373</v>
      </c>
      <c r="E948" s="6" t="s">
        <v>2370</v>
      </c>
      <c r="F948" s="6" t="s">
        <v>2370</v>
      </c>
      <c r="G948">
        <v>1</v>
      </c>
      <c r="H948" s="6" t="s">
        <v>2370</v>
      </c>
      <c r="I948" t="s">
        <v>8378</v>
      </c>
      <c r="J948" t="s">
        <v>8377</v>
      </c>
    </row>
    <row r="949" spans="1:10" x14ac:dyDescent="0.35">
      <c r="A949" s="6" t="s">
        <v>1413</v>
      </c>
      <c r="B949">
        <v>43.7</v>
      </c>
      <c r="C949">
        <v>7.23</v>
      </c>
      <c r="D949" s="6" t="s">
        <v>2370</v>
      </c>
      <c r="E949" s="6" t="s">
        <v>2370</v>
      </c>
      <c r="F949" s="6" t="s">
        <v>2370</v>
      </c>
      <c r="G949">
        <v>0</v>
      </c>
      <c r="H949" s="6" t="s">
        <v>2370</v>
      </c>
      <c r="I949" t="s">
        <v>8374</v>
      </c>
      <c r="J949" t="s">
        <v>8375</v>
      </c>
    </row>
    <row r="950" spans="1:10" x14ac:dyDescent="0.35">
      <c r="A950" s="6" t="s">
        <v>1412</v>
      </c>
      <c r="B950">
        <v>40.945</v>
      </c>
      <c r="C950">
        <v>10.57</v>
      </c>
      <c r="D950" s="6" t="s">
        <v>2370</v>
      </c>
      <c r="E950" s="6" t="s">
        <v>2370</v>
      </c>
      <c r="F950" s="6" t="s">
        <v>2370</v>
      </c>
      <c r="G950">
        <v>0</v>
      </c>
      <c r="H950" s="6" t="s">
        <v>2370</v>
      </c>
      <c r="I950" t="s">
        <v>8374</v>
      </c>
      <c r="J950" t="s">
        <v>8375</v>
      </c>
    </row>
    <row r="951" spans="1:10" x14ac:dyDescent="0.35">
      <c r="A951" s="6" t="s">
        <v>1411</v>
      </c>
      <c r="B951">
        <v>27.94</v>
      </c>
      <c r="C951">
        <v>7.92</v>
      </c>
      <c r="D951" s="6" t="s">
        <v>2370</v>
      </c>
      <c r="E951" s="6" t="s">
        <v>2370</v>
      </c>
      <c r="F951" s="6" t="s">
        <v>2370</v>
      </c>
      <c r="G951">
        <v>0</v>
      </c>
      <c r="H951" s="6" t="s">
        <v>2370</v>
      </c>
      <c r="I951" t="s">
        <v>8378</v>
      </c>
      <c r="J951" t="s">
        <v>8375</v>
      </c>
    </row>
    <row r="952" spans="1:10" x14ac:dyDescent="0.35">
      <c r="A952" s="6" t="s">
        <v>1410</v>
      </c>
      <c r="B952">
        <v>31.9</v>
      </c>
      <c r="C952">
        <v>10.119999999999999</v>
      </c>
      <c r="D952" s="6" t="s">
        <v>2370</v>
      </c>
      <c r="E952" s="6" t="s">
        <v>2370</v>
      </c>
      <c r="F952" s="6" t="s">
        <v>2370</v>
      </c>
      <c r="G952">
        <v>2</v>
      </c>
      <c r="H952" s="6" t="s">
        <v>2370</v>
      </c>
      <c r="I952" t="s">
        <v>8374</v>
      </c>
      <c r="J952" t="s">
        <v>8375</v>
      </c>
    </row>
    <row r="953" spans="1:10" x14ac:dyDescent="0.35">
      <c r="A953" s="6" t="s">
        <v>1409</v>
      </c>
      <c r="B953">
        <v>31.64</v>
      </c>
      <c r="C953">
        <v>7.91</v>
      </c>
      <c r="D953" s="6" t="s">
        <v>2370</v>
      </c>
      <c r="E953" s="6" t="s">
        <v>2370</v>
      </c>
      <c r="F953" s="6" t="s">
        <v>2370</v>
      </c>
      <c r="G953">
        <v>0</v>
      </c>
      <c r="H953" s="6" t="s">
        <v>2370</v>
      </c>
      <c r="I953" t="s">
        <v>8374</v>
      </c>
      <c r="J953" t="s">
        <v>8375</v>
      </c>
    </row>
    <row r="954" spans="1:10" x14ac:dyDescent="0.35">
      <c r="A954" s="6" t="s">
        <v>1408</v>
      </c>
      <c r="B954">
        <v>46.7</v>
      </c>
      <c r="C954">
        <v>10.9</v>
      </c>
      <c r="D954" s="6" t="s">
        <v>2370</v>
      </c>
      <c r="E954" s="6" t="s">
        <v>2370</v>
      </c>
      <c r="F954" s="6" t="s">
        <v>2370</v>
      </c>
      <c r="G954">
        <v>0</v>
      </c>
      <c r="H954" s="6" t="s">
        <v>2370</v>
      </c>
      <c r="I954" t="s">
        <v>8374</v>
      </c>
      <c r="J954" t="s">
        <v>8375</v>
      </c>
    </row>
    <row r="955" spans="1:10" x14ac:dyDescent="0.35">
      <c r="A955" s="6" t="s">
        <v>1407</v>
      </c>
      <c r="B955">
        <v>18.335000000000001</v>
      </c>
      <c r="C955">
        <v>11.83</v>
      </c>
      <c r="D955" s="6" t="s">
        <v>2370</v>
      </c>
      <c r="E955" s="6" t="s">
        <v>2370</v>
      </c>
      <c r="F955" s="6" t="s">
        <v>2370</v>
      </c>
      <c r="G955">
        <v>0</v>
      </c>
      <c r="H955" s="6" t="s">
        <v>2370</v>
      </c>
      <c r="I955" t="s">
        <v>8380</v>
      </c>
      <c r="J955" t="s">
        <v>8375</v>
      </c>
    </row>
    <row r="956" spans="1:10" x14ac:dyDescent="0.35">
      <c r="A956" s="6" t="s">
        <v>1406</v>
      </c>
      <c r="B956">
        <v>31.24</v>
      </c>
      <c r="C956">
        <v>7.42</v>
      </c>
      <c r="D956" s="6" t="s">
        <v>2373</v>
      </c>
      <c r="E956" s="6" t="s">
        <v>2370</v>
      </c>
      <c r="F956" s="6" t="s">
        <v>2370</v>
      </c>
      <c r="G956">
        <v>2</v>
      </c>
      <c r="H956" s="6" t="s">
        <v>2370</v>
      </c>
      <c r="I956" t="s">
        <v>8374</v>
      </c>
      <c r="J956" t="s">
        <v>8375</v>
      </c>
    </row>
    <row r="957" spans="1:10" x14ac:dyDescent="0.35">
      <c r="A957" s="6" t="s">
        <v>1405</v>
      </c>
      <c r="B957">
        <v>39.22</v>
      </c>
      <c r="C957">
        <v>5.62</v>
      </c>
      <c r="D957" s="6" t="s">
        <v>2373</v>
      </c>
      <c r="E957" s="6" t="s">
        <v>2370</v>
      </c>
      <c r="F957" s="6" t="s">
        <v>2370</v>
      </c>
      <c r="G957">
        <v>1</v>
      </c>
      <c r="H957" s="6" t="s">
        <v>2370</v>
      </c>
      <c r="I957" t="s">
        <v>8374</v>
      </c>
      <c r="J957" t="s">
        <v>8377</v>
      </c>
    </row>
    <row r="958" spans="1:10" x14ac:dyDescent="0.35">
      <c r="A958" s="6" t="s">
        <v>1404</v>
      </c>
      <c r="B958">
        <v>24.414999999999999</v>
      </c>
      <c r="C958">
        <v>7.16</v>
      </c>
      <c r="D958" s="6" t="s">
        <v>2370</v>
      </c>
      <c r="E958" s="6" t="s">
        <v>2370</v>
      </c>
      <c r="F958" s="6" t="s">
        <v>2370</v>
      </c>
      <c r="G958">
        <v>0</v>
      </c>
      <c r="H958" s="6" t="s">
        <v>2370</v>
      </c>
      <c r="I958" t="s">
        <v>8379</v>
      </c>
      <c r="J958" t="s">
        <v>8375</v>
      </c>
    </row>
    <row r="959" spans="1:10" x14ac:dyDescent="0.35">
      <c r="A959" s="6" t="s">
        <v>1403</v>
      </c>
      <c r="B959">
        <v>32.299999999999997</v>
      </c>
      <c r="C959">
        <v>9.89</v>
      </c>
      <c r="D959" s="6" t="s">
        <v>2370</v>
      </c>
      <c r="E959" s="6" t="s">
        <v>2370</v>
      </c>
      <c r="F959" s="6" t="s">
        <v>2370</v>
      </c>
      <c r="G959">
        <v>0</v>
      </c>
      <c r="H959" s="6" t="s">
        <v>2370</v>
      </c>
      <c r="I959" t="s">
        <v>8374</v>
      </c>
      <c r="J959" t="s">
        <v>8375</v>
      </c>
    </row>
    <row r="960" spans="1:10" x14ac:dyDescent="0.35">
      <c r="A960" s="6" t="s">
        <v>1402</v>
      </c>
      <c r="B960">
        <v>39.94</v>
      </c>
      <c r="C960">
        <v>5.14</v>
      </c>
      <c r="D960" s="6" t="s">
        <v>2370</v>
      </c>
      <c r="E960" s="6" t="s">
        <v>2370</v>
      </c>
      <c r="F960" s="6" t="s">
        <v>2370</v>
      </c>
      <c r="G960">
        <v>0</v>
      </c>
      <c r="H960" s="6" t="s">
        <v>2370</v>
      </c>
      <c r="I960" t="s">
        <v>8374</v>
      </c>
      <c r="J960" t="s">
        <v>8377</v>
      </c>
    </row>
    <row r="961" spans="1:10" x14ac:dyDescent="0.35">
      <c r="A961" s="6" t="s">
        <v>1401</v>
      </c>
      <c r="B961">
        <v>30</v>
      </c>
      <c r="C961">
        <v>5.61</v>
      </c>
      <c r="D961" s="6" t="s">
        <v>2373</v>
      </c>
      <c r="E961" s="6" t="s">
        <v>2370</v>
      </c>
      <c r="F961" s="6" t="s">
        <v>2373</v>
      </c>
      <c r="G961">
        <v>1</v>
      </c>
      <c r="H961" s="6" t="s">
        <v>2370</v>
      </c>
      <c r="I961" t="s">
        <v>8374</v>
      </c>
      <c r="J961" t="s">
        <v>8377</v>
      </c>
    </row>
    <row r="962" spans="1:10" x14ac:dyDescent="0.35">
      <c r="A962" s="6" t="s">
        <v>1400</v>
      </c>
      <c r="B962">
        <v>35.340000000000003</v>
      </c>
      <c r="C962">
        <v>5.51</v>
      </c>
      <c r="D962" s="6" t="s">
        <v>2373</v>
      </c>
      <c r="E962" s="6" t="s">
        <v>2370</v>
      </c>
      <c r="F962" s="6" t="s">
        <v>2373</v>
      </c>
      <c r="G962">
        <v>1</v>
      </c>
      <c r="H962" s="6" t="s">
        <v>2370</v>
      </c>
      <c r="I962" t="s">
        <v>8374</v>
      </c>
      <c r="J962" t="s">
        <v>8377</v>
      </c>
    </row>
    <row r="963" spans="1:10" x14ac:dyDescent="0.35">
      <c r="A963" s="6" t="s">
        <v>1399</v>
      </c>
      <c r="B963">
        <v>32.204999999999998</v>
      </c>
      <c r="C963">
        <v>8.3800000000000008</v>
      </c>
      <c r="D963" s="6" t="s">
        <v>2373</v>
      </c>
      <c r="E963" s="6" t="s">
        <v>2370</v>
      </c>
      <c r="F963" s="6" t="s">
        <v>2370</v>
      </c>
      <c r="G963">
        <v>2</v>
      </c>
      <c r="H963" s="6" t="s">
        <v>2370</v>
      </c>
      <c r="I963" t="s">
        <v>8374</v>
      </c>
      <c r="J963" t="s">
        <v>8375</v>
      </c>
    </row>
    <row r="964" spans="1:10" x14ac:dyDescent="0.35">
      <c r="A964" s="6" t="s">
        <v>1398</v>
      </c>
      <c r="B964">
        <v>33.880000000000003</v>
      </c>
      <c r="C964">
        <v>4.68</v>
      </c>
      <c r="D964" s="6" t="s">
        <v>2370</v>
      </c>
      <c r="E964" s="6" t="s">
        <v>2372</v>
      </c>
      <c r="F964" s="6" t="s">
        <v>2370</v>
      </c>
      <c r="G964">
        <v>1</v>
      </c>
      <c r="H964" s="6" t="s">
        <v>2370</v>
      </c>
      <c r="I964" t="s">
        <v>8374</v>
      </c>
      <c r="J964" t="s">
        <v>8377</v>
      </c>
    </row>
    <row r="965" spans="1:10" x14ac:dyDescent="0.35">
      <c r="A965" s="6" t="s">
        <v>1397</v>
      </c>
      <c r="B965">
        <v>26.63</v>
      </c>
      <c r="C965">
        <v>4.3600000000000003</v>
      </c>
      <c r="D965" s="6" t="s">
        <v>2373</v>
      </c>
      <c r="E965" s="6" t="s">
        <v>2370</v>
      </c>
      <c r="F965" s="6" t="s">
        <v>2370</v>
      </c>
      <c r="G965">
        <v>2</v>
      </c>
      <c r="H965" s="6" t="s">
        <v>2370</v>
      </c>
      <c r="I965" t="s">
        <v>8378</v>
      </c>
      <c r="J965" t="s">
        <v>8377</v>
      </c>
    </row>
    <row r="966" spans="1:10" x14ac:dyDescent="0.35">
      <c r="A966" s="6" t="s">
        <v>1396</v>
      </c>
      <c r="B966">
        <v>28.7</v>
      </c>
      <c r="C966">
        <v>7.74</v>
      </c>
      <c r="D966" s="6" t="s">
        <v>2370</v>
      </c>
      <c r="E966" s="6" t="s">
        <v>2370</v>
      </c>
      <c r="F966" s="6" t="s">
        <v>2370</v>
      </c>
      <c r="G966">
        <v>0</v>
      </c>
      <c r="H966" s="6" t="s">
        <v>2370</v>
      </c>
      <c r="I966" t="s">
        <v>8378</v>
      </c>
      <c r="J966" t="s">
        <v>8375</v>
      </c>
    </row>
    <row r="967" spans="1:10" x14ac:dyDescent="0.35">
      <c r="A967" s="6" t="s">
        <v>1395</v>
      </c>
      <c r="B967">
        <v>25.65</v>
      </c>
      <c r="C967">
        <v>4.05</v>
      </c>
      <c r="D967" s="6" t="s">
        <v>2373</v>
      </c>
      <c r="E967" s="6" t="s">
        <v>2370</v>
      </c>
      <c r="F967" s="6" t="s">
        <v>2370</v>
      </c>
      <c r="G967">
        <v>2</v>
      </c>
      <c r="H967" s="6" t="s">
        <v>2370</v>
      </c>
      <c r="I967" t="s">
        <v>8378</v>
      </c>
      <c r="J967" t="s">
        <v>8377</v>
      </c>
    </row>
    <row r="968" spans="1:10" x14ac:dyDescent="0.35">
      <c r="A968" s="6" t="s">
        <v>1394</v>
      </c>
      <c r="B968">
        <v>36.384999999999998</v>
      </c>
      <c r="C968">
        <v>11.49</v>
      </c>
      <c r="D968" s="6" t="s">
        <v>2370</v>
      </c>
      <c r="E968" s="6" t="s">
        <v>2370</v>
      </c>
      <c r="F968" s="6" t="s">
        <v>2370</v>
      </c>
      <c r="G968">
        <v>0</v>
      </c>
      <c r="H968" s="6" t="s">
        <v>2370</v>
      </c>
      <c r="I968" t="s">
        <v>8374</v>
      </c>
      <c r="J968" t="s">
        <v>8375</v>
      </c>
    </row>
    <row r="969" spans="1:10" x14ac:dyDescent="0.35">
      <c r="A969" s="6" t="s">
        <v>1393</v>
      </c>
      <c r="B969">
        <v>34.69</v>
      </c>
      <c r="C969">
        <v>5.65</v>
      </c>
      <c r="D969" s="6" t="s">
        <v>2370</v>
      </c>
      <c r="E969" s="6" t="s">
        <v>2370</v>
      </c>
      <c r="F969" s="6" t="s">
        <v>2370</v>
      </c>
      <c r="G969">
        <v>0</v>
      </c>
      <c r="H969" s="6" t="s">
        <v>2370</v>
      </c>
      <c r="I969" t="s">
        <v>8374</v>
      </c>
      <c r="J969" t="s">
        <v>8377</v>
      </c>
    </row>
    <row r="970" spans="1:10" x14ac:dyDescent="0.35">
      <c r="A970" s="6" t="s">
        <v>1392</v>
      </c>
      <c r="B970">
        <v>37.68</v>
      </c>
      <c r="C970">
        <v>4.29</v>
      </c>
      <c r="D970" s="6" t="s">
        <v>2373</v>
      </c>
      <c r="E970" s="6" t="s">
        <v>2370</v>
      </c>
      <c r="F970" s="6" t="s">
        <v>2370</v>
      </c>
      <c r="G970">
        <v>0</v>
      </c>
      <c r="H970" s="6" t="s">
        <v>2370</v>
      </c>
      <c r="I970" t="s">
        <v>8374</v>
      </c>
      <c r="J970" t="s">
        <v>8377</v>
      </c>
    </row>
    <row r="971" spans="1:10" x14ac:dyDescent="0.35">
      <c r="A971" s="6" t="s">
        <v>1391</v>
      </c>
      <c r="B971">
        <v>35.49</v>
      </c>
      <c r="C971">
        <v>4.74</v>
      </c>
      <c r="D971" s="6" t="s">
        <v>2373</v>
      </c>
      <c r="E971" s="6" t="s">
        <v>2370</v>
      </c>
      <c r="F971" s="6" t="s">
        <v>2373</v>
      </c>
      <c r="G971">
        <v>1</v>
      </c>
      <c r="H971" s="6" t="s">
        <v>2370</v>
      </c>
      <c r="I971" t="s">
        <v>8374</v>
      </c>
      <c r="J971" t="s">
        <v>8377</v>
      </c>
    </row>
    <row r="972" spans="1:10" x14ac:dyDescent="0.35">
      <c r="A972" s="6" t="s">
        <v>1390</v>
      </c>
      <c r="B972">
        <v>44.7</v>
      </c>
      <c r="C972">
        <v>7.6</v>
      </c>
      <c r="D972" s="6" t="s">
        <v>2373</v>
      </c>
      <c r="E972" s="6" t="s">
        <v>2370</v>
      </c>
      <c r="F972" s="6" t="s">
        <v>2370</v>
      </c>
      <c r="G972">
        <v>2</v>
      </c>
      <c r="H972" s="6" t="s">
        <v>2370</v>
      </c>
      <c r="I972" t="s">
        <v>8374</v>
      </c>
      <c r="J972" t="s">
        <v>8375</v>
      </c>
    </row>
    <row r="973" spans="1:10" x14ac:dyDescent="0.35">
      <c r="A973" s="6" t="s">
        <v>1389</v>
      </c>
      <c r="B973">
        <v>38.380000000000003</v>
      </c>
      <c r="C973">
        <v>8.5</v>
      </c>
      <c r="D973" s="6" t="s">
        <v>2373</v>
      </c>
      <c r="E973" s="6" t="s">
        <v>2370</v>
      </c>
      <c r="F973" s="6" t="s">
        <v>2370</v>
      </c>
      <c r="G973">
        <v>2</v>
      </c>
      <c r="H973" s="6" t="s">
        <v>2370</v>
      </c>
      <c r="I973" t="s">
        <v>8374</v>
      </c>
      <c r="J973" t="s">
        <v>8375</v>
      </c>
    </row>
    <row r="974" spans="1:10" x14ac:dyDescent="0.35">
      <c r="A974" s="6" t="s">
        <v>1388</v>
      </c>
      <c r="B974">
        <v>35.244999999999997</v>
      </c>
      <c r="C974">
        <v>11.22</v>
      </c>
      <c r="D974" s="6" t="s">
        <v>2373</v>
      </c>
      <c r="E974" s="6" t="s">
        <v>2370</v>
      </c>
      <c r="F974" s="6" t="s">
        <v>2370</v>
      </c>
      <c r="G974">
        <v>0</v>
      </c>
      <c r="H974" s="6" t="s">
        <v>2370</v>
      </c>
      <c r="I974" t="s">
        <v>8374</v>
      </c>
      <c r="J974" t="s">
        <v>8375</v>
      </c>
    </row>
    <row r="975" spans="1:10" x14ac:dyDescent="0.35">
      <c r="A975" s="6" t="s">
        <v>1387</v>
      </c>
      <c r="B975">
        <v>49.84</v>
      </c>
      <c r="C975">
        <v>5.0999999999999996</v>
      </c>
      <c r="D975" s="6" t="s">
        <v>2373</v>
      </c>
      <c r="E975" s="6" t="s">
        <v>2370</v>
      </c>
      <c r="F975" s="6" t="s">
        <v>2373</v>
      </c>
      <c r="G975">
        <v>1</v>
      </c>
      <c r="H975" s="6" t="s">
        <v>2370</v>
      </c>
      <c r="I975" t="s">
        <v>8374</v>
      </c>
      <c r="J975" t="s">
        <v>8377</v>
      </c>
    </row>
    <row r="976" spans="1:10" x14ac:dyDescent="0.35">
      <c r="A976" s="6" t="s">
        <v>1386</v>
      </c>
      <c r="B976">
        <v>49.06</v>
      </c>
      <c r="C976">
        <v>5.43</v>
      </c>
      <c r="D976" s="6" t="s">
        <v>2373</v>
      </c>
      <c r="E976" s="6" t="s">
        <v>2370</v>
      </c>
      <c r="F976" s="6" t="s">
        <v>2370</v>
      </c>
      <c r="G976">
        <v>1</v>
      </c>
      <c r="H976" s="6" t="s">
        <v>2370</v>
      </c>
      <c r="I976" t="s">
        <v>8374</v>
      </c>
      <c r="J976" t="s">
        <v>8377</v>
      </c>
    </row>
    <row r="977" spans="1:10" x14ac:dyDescent="0.35">
      <c r="A977" s="6" t="s">
        <v>1385</v>
      </c>
      <c r="B977">
        <v>30.88</v>
      </c>
      <c r="C977">
        <v>5.82</v>
      </c>
      <c r="D977" s="6" t="s">
        <v>2370</v>
      </c>
      <c r="E977" s="6" t="s">
        <v>2370</v>
      </c>
      <c r="F977" s="6" t="s">
        <v>2370</v>
      </c>
      <c r="G977">
        <v>2</v>
      </c>
      <c r="H977" s="6" t="s">
        <v>2370</v>
      </c>
      <c r="I977" t="s">
        <v>8374</v>
      </c>
      <c r="J977" t="s">
        <v>8376</v>
      </c>
    </row>
    <row r="978" spans="1:10" x14ac:dyDescent="0.35">
      <c r="A978" s="6" t="s">
        <v>1384</v>
      </c>
      <c r="B978">
        <v>33.35</v>
      </c>
      <c r="C978">
        <v>6.05</v>
      </c>
      <c r="D978" s="6" t="s">
        <v>2370</v>
      </c>
      <c r="E978" s="6" t="s">
        <v>2370</v>
      </c>
      <c r="F978" s="6" t="s">
        <v>2373</v>
      </c>
      <c r="G978">
        <v>1</v>
      </c>
      <c r="H978" s="6" t="s">
        <v>2370</v>
      </c>
      <c r="I978" t="s">
        <v>8374</v>
      </c>
      <c r="J978" t="s">
        <v>8376</v>
      </c>
    </row>
    <row r="979" spans="1:10" x14ac:dyDescent="0.35">
      <c r="A979" s="6" t="s">
        <v>1383</v>
      </c>
      <c r="B979">
        <v>38</v>
      </c>
      <c r="C979">
        <v>6.38</v>
      </c>
      <c r="D979" s="6" t="s">
        <v>2373</v>
      </c>
      <c r="E979" s="6" t="s">
        <v>2370</v>
      </c>
      <c r="F979" s="6" t="s">
        <v>2370</v>
      </c>
      <c r="G979">
        <v>1</v>
      </c>
      <c r="H979" s="6" t="s">
        <v>2370</v>
      </c>
      <c r="I979" t="s">
        <v>8374</v>
      </c>
      <c r="J979" t="s">
        <v>8376</v>
      </c>
    </row>
    <row r="980" spans="1:10" x14ac:dyDescent="0.35">
      <c r="A980" s="6" t="s">
        <v>1382</v>
      </c>
      <c r="B980">
        <v>36.08</v>
      </c>
      <c r="C980">
        <v>5.73</v>
      </c>
      <c r="D980" s="6" t="s">
        <v>2373</v>
      </c>
      <c r="E980" s="6" t="s">
        <v>2370</v>
      </c>
      <c r="F980" s="6" t="s">
        <v>2370</v>
      </c>
      <c r="G980">
        <v>1</v>
      </c>
      <c r="H980" s="6" t="s">
        <v>2370</v>
      </c>
      <c r="I980" t="s">
        <v>8374</v>
      </c>
      <c r="J980" t="s">
        <v>8376</v>
      </c>
    </row>
    <row r="981" spans="1:10" x14ac:dyDescent="0.35">
      <c r="A981" s="6" t="s">
        <v>1381</v>
      </c>
      <c r="B981">
        <v>35.700000000000003</v>
      </c>
      <c r="C981">
        <v>5.47</v>
      </c>
      <c r="D981" s="6" t="s">
        <v>2373</v>
      </c>
      <c r="E981" s="6" t="s">
        <v>2370</v>
      </c>
      <c r="F981" s="6" t="s">
        <v>2370</v>
      </c>
      <c r="G981">
        <v>1</v>
      </c>
      <c r="H981" s="6" t="s">
        <v>2370</v>
      </c>
      <c r="I981" t="s">
        <v>8374</v>
      </c>
      <c r="J981" t="s">
        <v>8377</v>
      </c>
    </row>
    <row r="982" spans="1:10" x14ac:dyDescent="0.35">
      <c r="A982" s="6" t="s">
        <v>1380</v>
      </c>
      <c r="B982">
        <v>34.01</v>
      </c>
      <c r="C982">
        <v>11.3</v>
      </c>
      <c r="D982" s="6" t="s">
        <v>2370</v>
      </c>
      <c r="E982" s="6" t="s">
        <v>2370</v>
      </c>
      <c r="F982" s="6" t="s">
        <v>2370</v>
      </c>
      <c r="G982">
        <v>0</v>
      </c>
      <c r="H982" s="6" t="s">
        <v>2370</v>
      </c>
      <c r="I982" t="s">
        <v>8374</v>
      </c>
      <c r="J982" t="s">
        <v>8375</v>
      </c>
    </row>
    <row r="983" spans="1:10" x14ac:dyDescent="0.35">
      <c r="A983" s="6" t="s">
        <v>1379</v>
      </c>
      <c r="B983">
        <v>31.54</v>
      </c>
      <c r="C983">
        <v>6.72</v>
      </c>
      <c r="D983" s="6" t="s">
        <v>2370</v>
      </c>
      <c r="E983" s="6" t="s">
        <v>2370</v>
      </c>
      <c r="F983" s="6" t="s">
        <v>2370</v>
      </c>
      <c r="G983">
        <v>0</v>
      </c>
      <c r="H983" s="6" t="s">
        <v>2370</v>
      </c>
      <c r="I983" t="s">
        <v>8374</v>
      </c>
      <c r="J983" t="s">
        <v>8375</v>
      </c>
    </row>
    <row r="984" spans="1:10" x14ac:dyDescent="0.35">
      <c r="A984" s="6" t="s">
        <v>1378</v>
      </c>
      <c r="B984">
        <v>23.3</v>
      </c>
      <c r="C984">
        <v>5.36</v>
      </c>
      <c r="D984" s="6" t="s">
        <v>2373</v>
      </c>
      <c r="E984" s="6" t="s">
        <v>2370</v>
      </c>
      <c r="F984" s="6" t="s">
        <v>2370</v>
      </c>
      <c r="G984">
        <v>1</v>
      </c>
      <c r="H984" s="6" t="s">
        <v>2370</v>
      </c>
      <c r="I984" t="s">
        <v>8379</v>
      </c>
      <c r="J984" t="s">
        <v>8377</v>
      </c>
    </row>
    <row r="985" spans="1:10" x14ac:dyDescent="0.35">
      <c r="A985" s="6" t="s">
        <v>1377</v>
      </c>
      <c r="B985">
        <v>27.75</v>
      </c>
      <c r="C985">
        <v>9.8800000000000008</v>
      </c>
      <c r="D985" s="6" t="s">
        <v>2370</v>
      </c>
      <c r="E985" s="6" t="s">
        <v>2370</v>
      </c>
      <c r="F985" s="6" t="s">
        <v>2370</v>
      </c>
      <c r="G985">
        <v>0</v>
      </c>
      <c r="H985" s="6" t="s">
        <v>2370</v>
      </c>
      <c r="I985" t="s">
        <v>8378</v>
      </c>
      <c r="J985" t="s">
        <v>8375</v>
      </c>
    </row>
    <row r="986" spans="1:10" x14ac:dyDescent="0.35">
      <c r="A986" s="6" t="s">
        <v>1376</v>
      </c>
      <c r="B986">
        <v>42.46</v>
      </c>
      <c r="C986">
        <v>4.1100000000000003</v>
      </c>
      <c r="D986" s="6" t="s">
        <v>2370</v>
      </c>
      <c r="E986" s="6" t="s">
        <v>2370</v>
      </c>
      <c r="F986" s="6" t="s">
        <v>2370</v>
      </c>
      <c r="G986">
        <v>0</v>
      </c>
      <c r="H986" s="6" t="s">
        <v>2370</v>
      </c>
      <c r="I986" t="s">
        <v>8374</v>
      </c>
      <c r="J986" t="s">
        <v>8377</v>
      </c>
    </row>
    <row r="987" spans="1:10" x14ac:dyDescent="0.35">
      <c r="A987" s="6" t="s">
        <v>1375</v>
      </c>
      <c r="B987">
        <v>54.47</v>
      </c>
      <c r="C987">
        <v>7.48</v>
      </c>
      <c r="D987" s="6" t="s">
        <v>2370</v>
      </c>
      <c r="E987" s="6" t="s">
        <v>2370</v>
      </c>
      <c r="F987" s="6" t="s">
        <v>2370</v>
      </c>
      <c r="G987">
        <v>0</v>
      </c>
      <c r="H987" s="6" t="s">
        <v>2370</v>
      </c>
      <c r="I987" t="s">
        <v>8374</v>
      </c>
      <c r="J987" t="s">
        <v>8375</v>
      </c>
    </row>
    <row r="988" spans="1:10" x14ac:dyDescent="0.35">
      <c r="A988" s="6" t="s">
        <v>1374</v>
      </c>
      <c r="B988">
        <v>24.93</v>
      </c>
      <c r="C988">
        <v>9.18</v>
      </c>
      <c r="D988" s="6" t="s">
        <v>2373</v>
      </c>
      <c r="E988" s="6" t="s">
        <v>2370</v>
      </c>
      <c r="F988" s="6" t="s">
        <v>2373</v>
      </c>
      <c r="G988">
        <v>1</v>
      </c>
      <c r="H988" s="6" t="s">
        <v>2370</v>
      </c>
      <c r="I988" t="s">
        <v>8379</v>
      </c>
      <c r="J988" t="s">
        <v>8375</v>
      </c>
    </row>
    <row r="989" spans="1:10" x14ac:dyDescent="0.35">
      <c r="A989" s="6" t="s">
        <v>1373</v>
      </c>
      <c r="B989">
        <v>48.12</v>
      </c>
      <c r="C989">
        <v>4.51</v>
      </c>
      <c r="D989" s="6" t="s">
        <v>2373</v>
      </c>
      <c r="E989" s="6" t="s">
        <v>2370</v>
      </c>
      <c r="F989" s="6" t="s">
        <v>2370</v>
      </c>
      <c r="G989">
        <v>1</v>
      </c>
      <c r="H989" s="6" t="s">
        <v>2370</v>
      </c>
      <c r="I989" t="s">
        <v>8374</v>
      </c>
      <c r="J989" t="s">
        <v>8377</v>
      </c>
    </row>
    <row r="990" spans="1:10" x14ac:dyDescent="0.35">
      <c r="A990" s="6" t="s">
        <v>1372</v>
      </c>
      <c r="B990">
        <v>24.91</v>
      </c>
      <c r="C990">
        <v>7.33</v>
      </c>
      <c r="D990" s="6" t="s">
        <v>2373</v>
      </c>
      <c r="E990" s="6" t="s">
        <v>2370</v>
      </c>
      <c r="F990" s="6" t="s">
        <v>2373</v>
      </c>
      <c r="G990">
        <v>1</v>
      </c>
      <c r="H990" s="6" t="s">
        <v>2370</v>
      </c>
      <c r="I990" t="s">
        <v>8379</v>
      </c>
      <c r="J990" t="s">
        <v>8375</v>
      </c>
    </row>
    <row r="991" spans="1:10" x14ac:dyDescent="0.35">
      <c r="A991" s="6" t="s">
        <v>1371</v>
      </c>
      <c r="B991">
        <v>27.645</v>
      </c>
      <c r="C991">
        <v>10.56</v>
      </c>
      <c r="D991" s="6" t="s">
        <v>2370</v>
      </c>
      <c r="E991" s="6" t="s">
        <v>2370</v>
      </c>
      <c r="F991" s="6" t="s">
        <v>2370</v>
      </c>
      <c r="G991">
        <v>0</v>
      </c>
      <c r="H991" s="6" t="s">
        <v>2370</v>
      </c>
      <c r="I991" t="s">
        <v>8378</v>
      </c>
      <c r="J991" t="s">
        <v>8375</v>
      </c>
    </row>
    <row r="992" spans="1:10" x14ac:dyDescent="0.35">
      <c r="A992" s="6" t="s">
        <v>1370</v>
      </c>
      <c r="B992">
        <v>33.700000000000003</v>
      </c>
      <c r="C992">
        <v>4.01</v>
      </c>
      <c r="D992" s="6" t="s">
        <v>2370</v>
      </c>
      <c r="E992" s="6" t="s">
        <v>2370</v>
      </c>
      <c r="F992" s="6" t="s">
        <v>2370</v>
      </c>
      <c r="G992">
        <v>2</v>
      </c>
      <c r="H992" s="6" t="s">
        <v>2370</v>
      </c>
      <c r="I992" t="s">
        <v>8374</v>
      </c>
      <c r="J992" t="s">
        <v>8377</v>
      </c>
    </row>
    <row r="993" spans="1:10" x14ac:dyDescent="0.35">
      <c r="A993" s="6" t="s">
        <v>1369</v>
      </c>
      <c r="B993">
        <v>38.93</v>
      </c>
      <c r="C993">
        <v>5.64</v>
      </c>
      <c r="D993" s="6" t="s">
        <v>2373</v>
      </c>
      <c r="E993" s="6" t="s">
        <v>2370</v>
      </c>
      <c r="F993" s="6" t="s">
        <v>2370</v>
      </c>
      <c r="G993">
        <v>1</v>
      </c>
      <c r="H993" s="6" t="s">
        <v>2370</v>
      </c>
      <c r="I993" t="s">
        <v>8374</v>
      </c>
      <c r="J993" t="s">
        <v>8377</v>
      </c>
    </row>
    <row r="994" spans="1:10" x14ac:dyDescent="0.35">
      <c r="A994" s="6" t="s">
        <v>1368</v>
      </c>
      <c r="B994">
        <v>32.774999999999999</v>
      </c>
      <c r="C994">
        <v>8.02</v>
      </c>
      <c r="D994" s="6" t="s">
        <v>2373</v>
      </c>
      <c r="E994" s="6" t="s">
        <v>2370</v>
      </c>
      <c r="F994" s="6" t="s">
        <v>2370</v>
      </c>
      <c r="G994">
        <v>2</v>
      </c>
      <c r="H994" s="6" t="s">
        <v>2370</v>
      </c>
      <c r="I994" t="s">
        <v>8374</v>
      </c>
      <c r="J994" t="s">
        <v>8375</v>
      </c>
    </row>
    <row r="995" spans="1:10" x14ac:dyDescent="0.35">
      <c r="A995" s="6" t="s">
        <v>1367</v>
      </c>
      <c r="B995">
        <v>29.83</v>
      </c>
      <c r="C995">
        <v>7.2</v>
      </c>
      <c r="D995" s="6" t="s">
        <v>2373</v>
      </c>
      <c r="E995" s="6" t="s">
        <v>2370</v>
      </c>
      <c r="F995" s="6" t="s">
        <v>2370</v>
      </c>
      <c r="G995">
        <v>0</v>
      </c>
      <c r="H995" s="6" t="s">
        <v>2370</v>
      </c>
      <c r="I995" t="s">
        <v>8378</v>
      </c>
      <c r="J995" t="s">
        <v>8375</v>
      </c>
    </row>
    <row r="996" spans="1:10" x14ac:dyDescent="0.35">
      <c r="A996" s="6" t="s">
        <v>1366</v>
      </c>
      <c r="B996">
        <v>28.31</v>
      </c>
      <c r="C996">
        <v>4.55</v>
      </c>
      <c r="D996" s="6" t="s">
        <v>2370</v>
      </c>
      <c r="E996" s="6" t="s">
        <v>2372</v>
      </c>
      <c r="F996" s="6" t="s">
        <v>2370</v>
      </c>
      <c r="G996">
        <v>1</v>
      </c>
      <c r="H996" s="6" t="s">
        <v>2370</v>
      </c>
      <c r="I996" t="s">
        <v>8378</v>
      </c>
      <c r="J996" t="s">
        <v>8377</v>
      </c>
    </row>
    <row r="997" spans="1:10" x14ac:dyDescent="0.35">
      <c r="A997" s="6" t="s">
        <v>1365</v>
      </c>
      <c r="B997">
        <v>29.79</v>
      </c>
      <c r="C997">
        <v>9.0299999999999994</v>
      </c>
      <c r="D997" s="6" t="s">
        <v>2370</v>
      </c>
      <c r="E997" s="6" t="s">
        <v>2370</v>
      </c>
      <c r="F997" s="6" t="s">
        <v>2370</v>
      </c>
      <c r="G997">
        <v>0</v>
      </c>
      <c r="H997" s="6" t="s">
        <v>2370</v>
      </c>
      <c r="I997" t="s">
        <v>8378</v>
      </c>
      <c r="J997" t="s">
        <v>8375</v>
      </c>
    </row>
    <row r="998" spans="1:10" x14ac:dyDescent="0.35">
      <c r="A998" s="6" t="s">
        <v>1364</v>
      </c>
      <c r="B998">
        <v>36.6</v>
      </c>
      <c r="C998">
        <v>5.2</v>
      </c>
      <c r="D998" s="6" t="s">
        <v>2373</v>
      </c>
      <c r="E998" s="6" t="s">
        <v>2370</v>
      </c>
      <c r="F998" s="6" t="s">
        <v>2373</v>
      </c>
      <c r="G998">
        <v>1</v>
      </c>
      <c r="H998" s="6" t="s">
        <v>2370</v>
      </c>
      <c r="I998" t="s">
        <v>8374</v>
      </c>
      <c r="J998" t="s">
        <v>8377</v>
      </c>
    </row>
    <row r="999" spans="1:10" x14ac:dyDescent="0.35">
      <c r="A999" s="6" t="s">
        <v>1363</v>
      </c>
      <c r="B999">
        <v>35.93</v>
      </c>
      <c r="C999">
        <v>8.3000000000000007</v>
      </c>
      <c r="D999" s="6" t="s">
        <v>2373</v>
      </c>
      <c r="E999" s="6" t="s">
        <v>2370</v>
      </c>
      <c r="F999" s="6" t="s">
        <v>2370</v>
      </c>
      <c r="G999">
        <v>0</v>
      </c>
      <c r="H999" s="6" t="s">
        <v>2370</v>
      </c>
      <c r="I999" t="s">
        <v>8374</v>
      </c>
      <c r="J999" t="s">
        <v>8375</v>
      </c>
    </row>
    <row r="1000" spans="1:10" x14ac:dyDescent="0.35">
      <c r="A1000" s="6" t="s">
        <v>1362</v>
      </c>
      <c r="B1000">
        <v>28.6</v>
      </c>
      <c r="C1000">
        <v>5.56</v>
      </c>
      <c r="D1000" s="6" t="s">
        <v>2373</v>
      </c>
      <c r="E1000" s="6" t="s">
        <v>2370</v>
      </c>
      <c r="F1000" s="6" t="s">
        <v>2373</v>
      </c>
      <c r="G1000">
        <v>1</v>
      </c>
      <c r="H1000" s="6" t="s">
        <v>2370</v>
      </c>
      <c r="I1000" t="s">
        <v>8378</v>
      </c>
      <c r="J1000" t="s">
        <v>8377</v>
      </c>
    </row>
    <row r="1001" spans="1:10" x14ac:dyDescent="0.35">
      <c r="A1001" s="6" t="s">
        <v>1361</v>
      </c>
      <c r="B1001">
        <v>39.17</v>
      </c>
      <c r="C1001">
        <v>4.1500000000000004</v>
      </c>
      <c r="D1001" s="6" t="s">
        <v>2370</v>
      </c>
      <c r="E1001" s="6" t="s">
        <v>2370</v>
      </c>
      <c r="F1001" s="6" t="s">
        <v>2370</v>
      </c>
      <c r="G1001">
        <v>0</v>
      </c>
      <c r="H1001" s="6" t="s">
        <v>2370</v>
      </c>
      <c r="I1001" t="s">
        <v>8374</v>
      </c>
      <c r="J1001" t="s">
        <v>8377</v>
      </c>
    </row>
    <row r="1002" spans="1:10" x14ac:dyDescent="0.35">
      <c r="A1002" s="6" t="s">
        <v>1360</v>
      </c>
      <c r="B1002">
        <v>26.41</v>
      </c>
      <c r="C1002">
        <v>5.99</v>
      </c>
      <c r="D1002" s="6" t="s">
        <v>2373</v>
      </c>
      <c r="E1002" s="6" t="s">
        <v>2370</v>
      </c>
      <c r="F1002" s="6" t="s">
        <v>2373</v>
      </c>
      <c r="G1002">
        <v>1</v>
      </c>
      <c r="H1002" s="6" t="s">
        <v>2370</v>
      </c>
      <c r="I1002" t="s">
        <v>8378</v>
      </c>
      <c r="J1002" t="s">
        <v>8376</v>
      </c>
    </row>
    <row r="1003" spans="1:10" x14ac:dyDescent="0.35">
      <c r="A1003" s="6" t="s">
        <v>1359</v>
      </c>
      <c r="B1003">
        <v>30.63</v>
      </c>
      <c r="C1003">
        <v>5.8</v>
      </c>
      <c r="D1003" s="6" t="s">
        <v>2373</v>
      </c>
      <c r="E1003" s="6" t="s">
        <v>2370</v>
      </c>
      <c r="F1003" s="6" t="s">
        <v>2370</v>
      </c>
      <c r="G1003">
        <v>0</v>
      </c>
      <c r="H1003" s="6" t="s">
        <v>2370</v>
      </c>
      <c r="I1003" t="s">
        <v>8374</v>
      </c>
      <c r="J1003" t="s">
        <v>8376</v>
      </c>
    </row>
    <row r="1004" spans="1:10" x14ac:dyDescent="0.35">
      <c r="A1004" s="6" t="s">
        <v>1358</v>
      </c>
      <c r="B1004">
        <v>31.73</v>
      </c>
      <c r="C1004">
        <v>7.32</v>
      </c>
      <c r="D1004" s="6" t="s">
        <v>2373</v>
      </c>
      <c r="E1004" s="6" t="s">
        <v>2370</v>
      </c>
      <c r="F1004" s="6" t="s">
        <v>2370</v>
      </c>
      <c r="G1004">
        <v>2</v>
      </c>
      <c r="H1004" s="6" t="s">
        <v>2370</v>
      </c>
      <c r="I1004" t="s">
        <v>8374</v>
      </c>
      <c r="J1004" t="s">
        <v>8375</v>
      </c>
    </row>
    <row r="1005" spans="1:10" x14ac:dyDescent="0.35">
      <c r="A1005" s="6" t="s">
        <v>1357</v>
      </c>
      <c r="B1005">
        <v>30.7</v>
      </c>
      <c r="C1005">
        <v>5.16</v>
      </c>
      <c r="D1005" s="6" t="s">
        <v>2370</v>
      </c>
      <c r="E1005" s="6" t="s">
        <v>2370</v>
      </c>
      <c r="F1005" s="6" t="s">
        <v>2370</v>
      </c>
      <c r="G1005">
        <v>2</v>
      </c>
      <c r="H1005" s="6" t="s">
        <v>2370</v>
      </c>
      <c r="I1005" t="s">
        <v>8374</v>
      </c>
      <c r="J1005" t="s">
        <v>8377</v>
      </c>
    </row>
    <row r="1006" spans="1:10" x14ac:dyDescent="0.35">
      <c r="A1006" s="6" t="s">
        <v>1356</v>
      </c>
      <c r="B1006">
        <v>25.934999999999999</v>
      </c>
      <c r="C1006">
        <v>5.96</v>
      </c>
      <c r="D1006" s="6" t="s">
        <v>2373</v>
      </c>
      <c r="E1006" s="6" t="s">
        <v>2370</v>
      </c>
      <c r="F1006" s="6" t="s">
        <v>2370</v>
      </c>
      <c r="G1006">
        <v>2</v>
      </c>
      <c r="H1006" s="6" t="s">
        <v>2370</v>
      </c>
      <c r="I1006" t="s">
        <v>8378</v>
      </c>
      <c r="J1006" t="s">
        <v>8376</v>
      </c>
    </row>
    <row r="1007" spans="1:10" x14ac:dyDescent="0.35">
      <c r="A1007" s="6" t="s">
        <v>1355</v>
      </c>
      <c r="B1007">
        <v>35.9</v>
      </c>
      <c r="C1007">
        <v>4.8499999999999996</v>
      </c>
      <c r="D1007" s="6" t="s">
        <v>2373</v>
      </c>
      <c r="E1007" s="6" t="s">
        <v>2370</v>
      </c>
      <c r="F1007" s="6" t="s">
        <v>2373</v>
      </c>
      <c r="G1007">
        <v>1</v>
      </c>
      <c r="H1007" s="6" t="s">
        <v>2370</v>
      </c>
      <c r="I1007" t="s">
        <v>8374</v>
      </c>
      <c r="J1007" t="s">
        <v>8377</v>
      </c>
    </row>
    <row r="1008" spans="1:10" x14ac:dyDescent="0.35">
      <c r="A1008" s="6" t="s">
        <v>1354</v>
      </c>
      <c r="B1008">
        <v>26.7</v>
      </c>
      <c r="C1008">
        <v>5.09</v>
      </c>
      <c r="D1008" s="6" t="s">
        <v>2373</v>
      </c>
      <c r="E1008" s="6" t="s">
        <v>2370</v>
      </c>
      <c r="F1008" s="6" t="s">
        <v>2373</v>
      </c>
      <c r="G1008">
        <v>1</v>
      </c>
      <c r="H1008" s="6" t="s">
        <v>2370</v>
      </c>
      <c r="I1008" t="s">
        <v>8378</v>
      </c>
      <c r="J1008" t="s">
        <v>8377</v>
      </c>
    </row>
    <row r="1009" spans="1:10" x14ac:dyDescent="0.35">
      <c r="A1009" s="6" t="s">
        <v>1353</v>
      </c>
      <c r="B1009">
        <v>33.71</v>
      </c>
      <c r="C1009">
        <v>4.9400000000000004</v>
      </c>
      <c r="D1009" s="6" t="s">
        <v>2370</v>
      </c>
      <c r="E1009" s="6" t="s">
        <v>2370</v>
      </c>
      <c r="F1009" s="6" t="s">
        <v>2370</v>
      </c>
      <c r="G1009">
        <v>0</v>
      </c>
      <c r="H1009" s="6" t="s">
        <v>2370</v>
      </c>
      <c r="I1009" t="s">
        <v>8374</v>
      </c>
      <c r="J1009" t="s">
        <v>8377</v>
      </c>
    </row>
    <row r="1010" spans="1:10" x14ac:dyDescent="0.35">
      <c r="A1010" s="6" t="s">
        <v>1352</v>
      </c>
      <c r="B1010">
        <v>41.91</v>
      </c>
      <c r="C1010">
        <v>4.92</v>
      </c>
      <c r="D1010" s="6" t="s">
        <v>2373</v>
      </c>
      <c r="E1010" s="6" t="s">
        <v>2370</v>
      </c>
      <c r="F1010" s="6" t="s">
        <v>2370</v>
      </c>
      <c r="G1010">
        <v>2</v>
      </c>
      <c r="H1010" s="6" t="s">
        <v>2370</v>
      </c>
      <c r="I1010" t="s">
        <v>8374</v>
      </c>
      <c r="J1010" t="s">
        <v>8377</v>
      </c>
    </row>
    <row r="1011" spans="1:10" x14ac:dyDescent="0.35">
      <c r="A1011" s="6" t="s">
        <v>1351</v>
      </c>
      <c r="B1011">
        <v>39.82</v>
      </c>
      <c r="C1011">
        <v>6.05</v>
      </c>
      <c r="D1011" s="6" t="s">
        <v>2373</v>
      </c>
      <c r="E1011" s="6" t="s">
        <v>2370</v>
      </c>
      <c r="F1011" s="6" t="s">
        <v>2370</v>
      </c>
      <c r="G1011">
        <v>2</v>
      </c>
      <c r="H1011" s="6" t="s">
        <v>2370</v>
      </c>
      <c r="I1011" t="s">
        <v>8374</v>
      </c>
      <c r="J1011" t="s">
        <v>8376</v>
      </c>
    </row>
    <row r="1012" spans="1:10" x14ac:dyDescent="0.35">
      <c r="A1012" s="6" t="s">
        <v>1350</v>
      </c>
      <c r="B1012">
        <v>28.12</v>
      </c>
      <c r="C1012">
        <v>4.67</v>
      </c>
      <c r="D1012" s="6" t="s">
        <v>2370</v>
      </c>
      <c r="E1012" s="6" t="s">
        <v>2370</v>
      </c>
      <c r="F1012" s="6" t="s">
        <v>2370</v>
      </c>
      <c r="G1012">
        <v>2</v>
      </c>
      <c r="H1012" s="6" t="s">
        <v>2370</v>
      </c>
      <c r="I1012" t="s">
        <v>8378</v>
      </c>
      <c r="J1012" t="s">
        <v>8377</v>
      </c>
    </row>
    <row r="1013" spans="1:10" x14ac:dyDescent="0.35">
      <c r="A1013" s="6" t="s">
        <v>1349</v>
      </c>
      <c r="B1013">
        <v>26.98</v>
      </c>
      <c r="C1013">
        <v>9.81</v>
      </c>
      <c r="D1013" s="6" t="s">
        <v>2373</v>
      </c>
      <c r="E1013" s="6" t="s">
        <v>2370</v>
      </c>
      <c r="F1013" s="6" t="s">
        <v>2370</v>
      </c>
      <c r="G1013">
        <v>0</v>
      </c>
      <c r="H1013" s="6" t="s">
        <v>2370</v>
      </c>
      <c r="I1013" t="s">
        <v>8378</v>
      </c>
      <c r="J1013" t="s">
        <v>8375</v>
      </c>
    </row>
    <row r="1014" spans="1:10" x14ac:dyDescent="0.35">
      <c r="A1014" s="6" t="s">
        <v>1348</v>
      </c>
      <c r="B1014">
        <v>27.2</v>
      </c>
      <c r="C1014">
        <v>6.06</v>
      </c>
      <c r="D1014" s="6" t="s">
        <v>2373</v>
      </c>
      <c r="E1014" s="6" t="s">
        <v>2370</v>
      </c>
      <c r="F1014" s="6" t="s">
        <v>2370</v>
      </c>
      <c r="G1014">
        <v>2</v>
      </c>
      <c r="H1014" s="6" t="s">
        <v>2370</v>
      </c>
      <c r="I1014" t="s">
        <v>8378</v>
      </c>
      <c r="J1014" t="s">
        <v>8376</v>
      </c>
    </row>
    <row r="1015" spans="1:10" x14ac:dyDescent="0.35">
      <c r="A1015" s="6" t="s">
        <v>1347</v>
      </c>
      <c r="B1015">
        <v>25.3</v>
      </c>
      <c r="C1015">
        <v>5.19</v>
      </c>
      <c r="D1015" s="6" t="s">
        <v>2373</v>
      </c>
      <c r="E1015" s="6" t="s">
        <v>2370</v>
      </c>
      <c r="F1015" s="6" t="s">
        <v>2370</v>
      </c>
      <c r="G1015">
        <v>2</v>
      </c>
      <c r="H1015" s="6" t="s">
        <v>2370</v>
      </c>
      <c r="I1015" t="s">
        <v>8378</v>
      </c>
      <c r="J1015" t="s">
        <v>8377</v>
      </c>
    </row>
    <row r="1016" spans="1:10" x14ac:dyDescent="0.35">
      <c r="A1016" s="6" t="s">
        <v>1346</v>
      </c>
      <c r="B1016">
        <v>30.25</v>
      </c>
      <c r="C1016">
        <v>10.16</v>
      </c>
      <c r="D1016" s="6" t="s">
        <v>2370</v>
      </c>
      <c r="E1016" s="6" t="s">
        <v>2370</v>
      </c>
      <c r="F1016" s="6" t="s">
        <v>2370</v>
      </c>
      <c r="G1016">
        <v>0</v>
      </c>
      <c r="H1016" s="6" t="s">
        <v>2370</v>
      </c>
      <c r="I1016" t="s">
        <v>8374</v>
      </c>
      <c r="J1016" t="s">
        <v>8375</v>
      </c>
    </row>
    <row r="1017" spans="1:10" x14ac:dyDescent="0.35">
      <c r="A1017" s="6" t="s">
        <v>1345</v>
      </c>
      <c r="B1017">
        <v>54</v>
      </c>
      <c r="C1017">
        <v>4.68</v>
      </c>
      <c r="D1017" s="6" t="s">
        <v>2373</v>
      </c>
      <c r="E1017" s="6" t="s">
        <v>2372</v>
      </c>
      <c r="F1017" s="6" t="s">
        <v>2370</v>
      </c>
      <c r="G1017">
        <v>2</v>
      </c>
      <c r="H1017" s="6" t="s">
        <v>2370</v>
      </c>
      <c r="I1017" t="s">
        <v>8374</v>
      </c>
      <c r="J1017" t="s">
        <v>8377</v>
      </c>
    </row>
    <row r="1018" spans="1:10" x14ac:dyDescent="0.35">
      <c r="A1018" s="6" t="s">
        <v>1344</v>
      </c>
      <c r="B1018">
        <v>51.86</v>
      </c>
      <c r="C1018">
        <v>5.32</v>
      </c>
      <c r="D1018" s="6" t="s">
        <v>2373</v>
      </c>
      <c r="E1018" s="6" t="s">
        <v>2370</v>
      </c>
      <c r="F1018" s="6" t="s">
        <v>2370</v>
      </c>
      <c r="G1018">
        <v>0</v>
      </c>
      <c r="H1018" s="6" t="s">
        <v>2370</v>
      </c>
      <c r="I1018" t="s">
        <v>8374</v>
      </c>
      <c r="J1018" t="s">
        <v>8377</v>
      </c>
    </row>
    <row r="1019" spans="1:10" x14ac:dyDescent="0.35">
      <c r="A1019" s="6" t="s">
        <v>1343</v>
      </c>
      <c r="B1019">
        <v>31.39</v>
      </c>
      <c r="C1019">
        <v>6.99</v>
      </c>
      <c r="D1019" s="6" t="s">
        <v>2370</v>
      </c>
      <c r="E1019" s="6" t="s">
        <v>2370</v>
      </c>
      <c r="F1019" s="6" t="s">
        <v>2370</v>
      </c>
      <c r="G1019">
        <v>0</v>
      </c>
      <c r="H1019" s="6" t="s">
        <v>2370</v>
      </c>
      <c r="I1019" t="s">
        <v>8374</v>
      </c>
      <c r="J1019" t="s">
        <v>8375</v>
      </c>
    </row>
    <row r="1020" spans="1:10" x14ac:dyDescent="0.35">
      <c r="A1020" s="6" t="s">
        <v>1342</v>
      </c>
      <c r="B1020">
        <v>39.97</v>
      </c>
      <c r="C1020">
        <v>5.55</v>
      </c>
      <c r="D1020" s="6" t="s">
        <v>2370</v>
      </c>
      <c r="E1020" s="6" t="s">
        <v>2370</v>
      </c>
      <c r="F1020" s="6" t="s">
        <v>2370</v>
      </c>
      <c r="G1020">
        <v>0</v>
      </c>
      <c r="H1020" s="6" t="s">
        <v>2370</v>
      </c>
      <c r="I1020" t="s">
        <v>8374</v>
      </c>
      <c r="J1020" t="s">
        <v>8377</v>
      </c>
    </row>
    <row r="1021" spans="1:10" x14ac:dyDescent="0.35">
      <c r="A1021" s="6" t="s">
        <v>1341</v>
      </c>
      <c r="B1021">
        <v>41.23</v>
      </c>
      <c r="C1021">
        <v>6.94</v>
      </c>
      <c r="D1021" s="6" t="s">
        <v>2370</v>
      </c>
      <c r="E1021" s="6" t="s">
        <v>2370</v>
      </c>
      <c r="F1021" s="6" t="s">
        <v>2370</v>
      </c>
      <c r="G1021">
        <v>0</v>
      </c>
      <c r="H1021" s="6" t="s">
        <v>2370</v>
      </c>
      <c r="I1021" t="s">
        <v>8374</v>
      </c>
      <c r="J1021" t="s">
        <v>8375</v>
      </c>
    </row>
    <row r="1022" spans="1:10" x14ac:dyDescent="0.35">
      <c r="A1022" s="6" t="s">
        <v>1340</v>
      </c>
      <c r="B1022">
        <v>49.45</v>
      </c>
      <c r="C1022">
        <v>4.2</v>
      </c>
      <c r="D1022" s="6" t="s">
        <v>2373</v>
      </c>
      <c r="E1022" s="6" t="s">
        <v>2370</v>
      </c>
      <c r="F1022" s="6" t="s">
        <v>2370</v>
      </c>
      <c r="G1022">
        <v>0</v>
      </c>
      <c r="H1022" s="6" t="s">
        <v>2370</v>
      </c>
      <c r="I1022" t="s">
        <v>8374</v>
      </c>
      <c r="J1022" t="s">
        <v>8377</v>
      </c>
    </row>
    <row r="1023" spans="1:10" x14ac:dyDescent="0.35">
      <c r="A1023" s="6" t="s">
        <v>1339</v>
      </c>
      <c r="B1023">
        <v>41.04</v>
      </c>
      <c r="C1023">
        <v>5.59</v>
      </c>
      <c r="D1023" s="6" t="s">
        <v>2370</v>
      </c>
      <c r="E1023" s="6" t="s">
        <v>2370</v>
      </c>
      <c r="F1023" s="6" t="s">
        <v>2370</v>
      </c>
      <c r="G1023">
        <v>0</v>
      </c>
      <c r="H1023" s="6" t="s">
        <v>2370</v>
      </c>
      <c r="I1023" t="s">
        <v>8374</v>
      </c>
      <c r="J1023" t="s">
        <v>8377</v>
      </c>
    </row>
    <row r="1024" spans="1:10" x14ac:dyDescent="0.35">
      <c r="A1024" s="6" t="s">
        <v>1338</v>
      </c>
      <c r="B1024">
        <v>27.93</v>
      </c>
      <c r="C1024">
        <v>9.9600000000000009</v>
      </c>
      <c r="D1024" s="6" t="s">
        <v>2370</v>
      </c>
      <c r="E1024" s="6" t="s">
        <v>2370</v>
      </c>
      <c r="F1024" s="6" t="s">
        <v>2370</v>
      </c>
      <c r="G1024">
        <v>0</v>
      </c>
      <c r="H1024" s="6" t="s">
        <v>2370</v>
      </c>
      <c r="I1024" t="s">
        <v>8378</v>
      </c>
      <c r="J1024" t="s">
        <v>8375</v>
      </c>
    </row>
    <row r="1025" spans="1:10" x14ac:dyDescent="0.35">
      <c r="A1025" s="6" t="s">
        <v>1337</v>
      </c>
      <c r="B1025">
        <v>21.01</v>
      </c>
      <c r="C1025">
        <v>7.37</v>
      </c>
      <c r="D1025" s="6" t="s">
        <v>2370</v>
      </c>
      <c r="E1025" s="6" t="s">
        <v>2370</v>
      </c>
      <c r="F1025" s="6" t="s">
        <v>2370</v>
      </c>
      <c r="G1025">
        <v>0</v>
      </c>
      <c r="H1025" s="6" t="s">
        <v>2370</v>
      </c>
      <c r="I1025" t="s">
        <v>8379</v>
      </c>
      <c r="J1025" t="s">
        <v>8375</v>
      </c>
    </row>
    <row r="1026" spans="1:10" x14ac:dyDescent="0.35">
      <c r="A1026" s="6" t="s">
        <v>1336</v>
      </c>
      <c r="B1026">
        <v>52.37</v>
      </c>
      <c r="C1026">
        <v>5.0599999999999996</v>
      </c>
      <c r="D1026" s="6" t="s">
        <v>2373</v>
      </c>
      <c r="E1026" s="6" t="s">
        <v>2372</v>
      </c>
      <c r="F1026" s="6" t="s">
        <v>2370</v>
      </c>
      <c r="G1026">
        <v>2</v>
      </c>
      <c r="H1026" s="6" t="s">
        <v>2370</v>
      </c>
      <c r="I1026" t="s">
        <v>8374</v>
      </c>
      <c r="J1026" t="s">
        <v>8377</v>
      </c>
    </row>
    <row r="1027" spans="1:10" x14ac:dyDescent="0.35">
      <c r="A1027" s="6" t="s">
        <v>1335</v>
      </c>
      <c r="B1027">
        <v>40.369999999999997</v>
      </c>
      <c r="C1027">
        <v>8.2100000000000009</v>
      </c>
      <c r="D1027" s="6" t="s">
        <v>2370</v>
      </c>
      <c r="E1027" s="6" t="s">
        <v>2370</v>
      </c>
      <c r="F1027" s="6" t="s">
        <v>2370</v>
      </c>
      <c r="G1027">
        <v>0</v>
      </c>
      <c r="H1027" s="6" t="s">
        <v>2370</v>
      </c>
      <c r="I1027" t="s">
        <v>8374</v>
      </c>
      <c r="J1027" t="s">
        <v>8375</v>
      </c>
    </row>
    <row r="1028" spans="1:10" x14ac:dyDescent="0.35">
      <c r="A1028" s="6" t="s">
        <v>1334</v>
      </c>
      <c r="B1028">
        <v>41.47</v>
      </c>
      <c r="C1028">
        <v>10.34</v>
      </c>
      <c r="D1028" s="6" t="s">
        <v>2370</v>
      </c>
      <c r="E1028" s="6" t="s">
        <v>2370</v>
      </c>
      <c r="F1028" s="6" t="s">
        <v>2370</v>
      </c>
      <c r="G1028">
        <v>2</v>
      </c>
      <c r="H1028" s="6" t="s">
        <v>2370</v>
      </c>
      <c r="I1028" t="s">
        <v>8374</v>
      </c>
      <c r="J1028" t="s">
        <v>8375</v>
      </c>
    </row>
    <row r="1029" spans="1:10" x14ac:dyDescent="0.35">
      <c r="A1029" s="6" t="s">
        <v>1333</v>
      </c>
      <c r="B1029">
        <v>33.725000000000001</v>
      </c>
      <c r="C1029">
        <v>5.51</v>
      </c>
      <c r="D1029" s="6" t="s">
        <v>2373</v>
      </c>
      <c r="E1029" s="6" t="s">
        <v>2370</v>
      </c>
      <c r="F1029" s="6" t="s">
        <v>2370</v>
      </c>
      <c r="G1029">
        <v>2</v>
      </c>
      <c r="H1029" s="6" t="s">
        <v>2370</v>
      </c>
      <c r="I1029" t="s">
        <v>8374</v>
      </c>
      <c r="J1029" t="s">
        <v>8377</v>
      </c>
    </row>
    <row r="1030" spans="1:10" x14ac:dyDescent="0.35">
      <c r="A1030" s="6" t="s">
        <v>1332</v>
      </c>
      <c r="B1030">
        <v>28.1</v>
      </c>
      <c r="C1030">
        <v>11.2</v>
      </c>
      <c r="D1030" s="6" t="s">
        <v>2370</v>
      </c>
      <c r="E1030" s="6" t="s">
        <v>2370</v>
      </c>
      <c r="F1030" s="6" t="s">
        <v>2370</v>
      </c>
      <c r="G1030">
        <v>0</v>
      </c>
      <c r="H1030" s="6" t="s">
        <v>2370</v>
      </c>
      <c r="I1030" t="s">
        <v>8378</v>
      </c>
      <c r="J1030" t="s">
        <v>8375</v>
      </c>
    </row>
    <row r="1031" spans="1:10" x14ac:dyDescent="0.35">
      <c r="A1031" s="6" t="s">
        <v>1331</v>
      </c>
      <c r="B1031">
        <v>37.43</v>
      </c>
      <c r="C1031">
        <v>4.3499999999999996</v>
      </c>
      <c r="D1031" s="6" t="s">
        <v>2373</v>
      </c>
      <c r="E1031" s="6" t="s">
        <v>2370</v>
      </c>
      <c r="F1031" s="6" t="s">
        <v>2373</v>
      </c>
      <c r="G1031">
        <v>1</v>
      </c>
      <c r="H1031" s="6" t="s">
        <v>2370</v>
      </c>
      <c r="I1031" t="s">
        <v>8374</v>
      </c>
      <c r="J1031" t="s">
        <v>8377</v>
      </c>
    </row>
    <row r="1032" spans="1:10" x14ac:dyDescent="0.35">
      <c r="A1032" s="6" t="s">
        <v>1330</v>
      </c>
      <c r="B1032">
        <v>23.7</v>
      </c>
      <c r="C1032">
        <v>10.45</v>
      </c>
      <c r="D1032" s="6" t="s">
        <v>2370</v>
      </c>
      <c r="E1032" s="6" t="s">
        <v>2370</v>
      </c>
      <c r="F1032" s="6" t="s">
        <v>2370</v>
      </c>
      <c r="G1032">
        <v>0</v>
      </c>
      <c r="H1032" s="6" t="s">
        <v>2370</v>
      </c>
      <c r="I1032" t="s">
        <v>8379</v>
      </c>
      <c r="J1032" t="s">
        <v>8375</v>
      </c>
    </row>
    <row r="1033" spans="1:10" x14ac:dyDescent="0.35">
      <c r="A1033" s="6" t="s">
        <v>1329</v>
      </c>
      <c r="B1033">
        <v>24.795000000000002</v>
      </c>
      <c r="C1033">
        <v>4.07</v>
      </c>
      <c r="D1033" s="6" t="s">
        <v>2373</v>
      </c>
      <c r="E1033" s="6" t="s">
        <v>2370</v>
      </c>
      <c r="F1033" s="6" t="s">
        <v>2373</v>
      </c>
      <c r="G1033">
        <v>1</v>
      </c>
      <c r="H1033" s="6" t="s">
        <v>2370</v>
      </c>
      <c r="I1033" t="s">
        <v>8379</v>
      </c>
      <c r="J1033" t="s">
        <v>8377</v>
      </c>
    </row>
    <row r="1034" spans="1:10" x14ac:dyDescent="0.35">
      <c r="A1034" s="6" t="s">
        <v>1328</v>
      </c>
      <c r="B1034">
        <v>31.9</v>
      </c>
      <c r="C1034">
        <v>8.34</v>
      </c>
      <c r="D1034" s="6" t="s">
        <v>2370</v>
      </c>
      <c r="E1034" s="6" t="s">
        <v>2370</v>
      </c>
      <c r="F1034" s="6" t="s">
        <v>2370</v>
      </c>
      <c r="G1034">
        <v>0</v>
      </c>
      <c r="H1034" s="6" t="s">
        <v>2370</v>
      </c>
      <c r="I1034" t="s">
        <v>8374</v>
      </c>
      <c r="J1034" t="s">
        <v>8375</v>
      </c>
    </row>
    <row r="1035" spans="1:10" x14ac:dyDescent="0.35">
      <c r="A1035" s="6" t="s">
        <v>1327</v>
      </c>
      <c r="B1035">
        <v>32.68</v>
      </c>
      <c r="C1035">
        <v>7.41</v>
      </c>
      <c r="D1035" s="6" t="s">
        <v>2370</v>
      </c>
      <c r="E1035" s="6" t="s">
        <v>2370</v>
      </c>
      <c r="F1035" s="6" t="s">
        <v>2370</v>
      </c>
      <c r="G1035">
        <v>0</v>
      </c>
      <c r="H1035" s="6" t="s">
        <v>2370</v>
      </c>
      <c r="I1035" t="s">
        <v>8374</v>
      </c>
      <c r="J1035" t="s">
        <v>8375</v>
      </c>
    </row>
    <row r="1036" spans="1:10" x14ac:dyDescent="0.35">
      <c r="A1036" s="6" t="s">
        <v>1326</v>
      </c>
      <c r="B1036">
        <v>47.13</v>
      </c>
      <c r="C1036">
        <v>4.3099999999999996</v>
      </c>
      <c r="D1036" s="6" t="s">
        <v>2370</v>
      </c>
      <c r="E1036" s="6" t="s">
        <v>2370</v>
      </c>
      <c r="F1036" s="6" t="s">
        <v>2370</v>
      </c>
      <c r="G1036">
        <v>0</v>
      </c>
      <c r="H1036" s="6" t="s">
        <v>2370</v>
      </c>
      <c r="I1036" t="s">
        <v>8374</v>
      </c>
      <c r="J1036" t="s">
        <v>8377</v>
      </c>
    </row>
    <row r="1037" spans="1:10" x14ac:dyDescent="0.35">
      <c r="A1037" s="6" t="s">
        <v>1325</v>
      </c>
      <c r="B1037">
        <v>36.67</v>
      </c>
      <c r="C1037">
        <v>10.83</v>
      </c>
      <c r="D1037" s="6" t="s">
        <v>2370</v>
      </c>
      <c r="E1037" s="6" t="s">
        <v>2370</v>
      </c>
      <c r="F1037" s="6" t="s">
        <v>2370</v>
      </c>
      <c r="G1037">
        <v>0</v>
      </c>
      <c r="H1037" s="6" t="s">
        <v>2370</v>
      </c>
      <c r="I1037" t="s">
        <v>8374</v>
      </c>
      <c r="J1037" t="s">
        <v>8375</v>
      </c>
    </row>
    <row r="1038" spans="1:10" x14ac:dyDescent="0.35">
      <c r="A1038" s="6" t="s">
        <v>1324</v>
      </c>
      <c r="B1038">
        <v>33.630000000000003</v>
      </c>
      <c r="C1038">
        <v>11.31</v>
      </c>
      <c r="D1038" s="6" t="s">
        <v>2370</v>
      </c>
      <c r="E1038" s="6" t="s">
        <v>2370</v>
      </c>
      <c r="F1038" s="6" t="s">
        <v>2370</v>
      </c>
      <c r="G1038">
        <v>0</v>
      </c>
      <c r="H1038" s="6" t="s">
        <v>2370</v>
      </c>
      <c r="I1038" t="s">
        <v>8374</v>
      </c>
      <c r="J1038" t="s">
        <v>8375</v>
      </c>
    </row>
    <row r="1039" spans="1:10" x14ac:dyDescent="0.35">
      <c r="A1039" s="6" t="s">
        <v>1323</v>
      </c>
      <c r="B1039">
        <v>32.67</v>
      </c>
      <c r="C1039">
        <v>11.81</v>
      </c>
      <c r="D1039" s="6" t="s">
        <v>2373</v>
      </c>
      <c r="E1039" s="6" t="s">
        <v>2370</v>
      </c>
      <c r="F1039" s="6" t="s">
        <v>2370</v>
      </c>
      <c r="G1039">
        <v>0</v>
      </c>
      <c r="H1039" s="6" t="s">
        <v>2370</v>
      </c>
      <c r="I1039" t="s">
        <v>8374</v>
      </c>
      <c r="J1039" t="s">
        <v>8375</v>
      </c>
    </row>
    <row r="1040" spans="1:10" x14ac:dyDescent="0.35">
      <c r="A1040" s="6" t="s">
        <v>1322</v>
      </c>
      <c r="B1040">
        <v>33.299999999999997</v>
      </c>
      <c r="C1040">
        <v>8.26</v>
      </c>
      <c r="D1040" s="6" t="s">
        <v>2373</v>
      </c>
      <c r="E1040" s="6" t="s">
        <v>2370</v>
      </c>
      <c r="F1040" s="6" t="s">
        <v>2370</v>
      </c>
      <c r="G1040">
        <v>2</v>
      </c>
      <c r="H1040" s="6" t="s">
        <v>2370</v>
      </c>
      <c r="I1040" t="s">
        <v>8374</v>
      </c>
      <c r="J1040" t="s">
        <v>8375</v>
      </c>
    </row>
    <row r="1041" spans="1:10" x14ac:dyDescent="0.35">
      <c r="A1041" s="6" t="s">
        <v>1321</v>
      </c>
      <c r="B1041">
        <v>30.78</v>
      </c>
      <c r="C1041">
        <v>10.74</v>
      </c>
      <c r="D1041" s="6" t="s">
        <v>2373</v>
      </c>
      <c r="E1041" s="6" t="s">
        <v>2370</v>
      </c>
      <c r="F1041" s="6" t="s">
        <v>2370</v>
      </c>
      <c r="G1041">
        <v>2</v>
      </c>
      <c r="H1041" s="6" t="s">
        <v>2370</v>
      </c>
      <c r="I1041" t="s">
        <v>8374</v>
      </c>
      <c r="J1041" t="s">
        <v>8375</v>
      </c>
    </row>
    <row r="1042" spans="1:10" x14ac:dyDescent="0.35">
      <c r="A1042" s="6" t="s">
        <v>1320</v>
      </c>
      <c r="B1042">
        <v>28.975000000000001</v>
      </c>
      <c r="C1042">
        <v>7.69</v>
      </c>
      <c r="D1042" s="6" t="s">
        <v>2373</v>
      </c>
      <c r="E1042" s="6" t="s">
        <v>2370</v>
      </c>
      <c r="F1042" s="6" t="s">
        <v>2370</v>
      </c>
      <c r="G1042">
        <v>0</v>
      </c>
      <c r="H1042" s="6" t="s">
        <v>2370</v>
      </c>
      <c r="I1042" t="s">
        <v>8378</v>
      </c>
      <c r="J1042" t="s">
        <v>8375</v>
      </c>
    </row>
    <row r="1043" spans="1:10" x14ac:dyDescent="0.35">
      <c r="A1043" s="6" t="s">
        <v>1319</v>
      </c>
      <c r="B1043">
        <v>33.4</v>
      </c>
      <c r="C1043">
        <v>4.84</v>
      </c>
      <c r="D1043" s="6" t="s">
        <v>2370</v>
      </c>
      <c r="E1043" s="6" t="s">
        <v>2370</v>
      </c>
      <c r="F1043" s="6" t="s">
        <v>2370</v>
      </c>
      <c r="G1043">
        <v>0</v>
      </c>
      <c r="H1043" s="6" t="s">
        <v>2370</v>
      </c>
      <c r="I1043" t="s">
        <v>8374</v>
      </c>
      <c r="J1043" t="s">
        <v>8377</v>
      </c>
    </row>
    <row r="1044" spans="1:10" x14ac:dyDescent="0.35">
      <c r="A1044" s="6" t="s">
        <v>1318</v>
      </c>
      <c r="B1044">
        <v>21.5</v>
      </c>
      <c r="C1044">
        <v>9.77</v>
      </c>
      <c r="D1044" s="6" t="s">
        <v>2373</v>
      </c>
      <c r="E1044" s="6" t="s">
        <v>2370</v>
      </c>
      <c r="F1044" s="6" t="s">
        <v>2370</v>
      </c>
      <c r="G1044">
        <v>0</v>
      </c>
      <c r="H1044" s="6" t="s">
        <v>2370</v>
      </c>
      <c r="I1044" t="s">
        <v>8379</v>
      </c>
      <c r="J1044" t="s">
        <v>8375</v>
      </c>
    </row>
    <row r="1045" spans="1:10" x14ac:dyDescent="0.35">
      <c r="A1045" s="6" t="s">
        <v>1317</v>
      </c>
      <c r="B1045">
        <v>38.14</v>
      </c>
      <c r="C1045">
        <v>5.84</v>
      </c>
      <c r="D1045" s="6" t="s">
        <v>2370</v>
      </c>
      <c r="E1045" s="6" t="s">
        <v>2370</v>
      </c>
      <c r="F1045" s="6" t="s">
        <v>2370</v>
      </c>
      <c r="G1045">
        <v>0</v>
      </c>
      <c r="H1045" s="6" t="s">
        <v>2370</v>
      </c>
      <c r="I1045" t="s">
        <v>8374</v>
      </c>
      <c r="J1045" t="s">
        <v>8376</v>
      </c>
    </row>
    <row r="1046" spans="1:10" x14ac:dyDescent="0.35">
      <c r="A1046" s="6" t="s">
        <v>1316</v>
      </c>
      <c r="B1046">
        <v>35.42</v>
      </c>
      <c r="C1046">
        <v>8.6999999999999993</v>
      </c>
      <c r="D1046" s="6" t="s">
        <v>2373</v>
      </c>
      <c r="E1046" s="6" t="s">
        <v>2370</v>
      </c>
      <c r="F1046" s="6" t="s">
        <v>2370</v>
      </c>
      <c r="G1046">
        <v>1</v>
      </c>
      <c r="H1046" s="6" t="s">
        <v>2370</v>
      </c>
      <c r="I1046" t="s">
        <v>8374</v>
      </c>
      <c r="J1046" t="s">
        <v>8375</v>
      </c>
    </row>
    <row r="1047" spans="1:10" x14ac:dyDescent="0.35">
      <c r="A1047" s="6" t="s">
        <v>1315</v>
      </c>
      <c r="B1047">
        <v>35.625</v>
      </c>
      <c r="C1047">
        <v>10.79</v>
      </c>
      <c r="D1047" s="6" t="s">
        <v>2370</v>
      </c>
      <c r="E1047" s="6" t="s">
        <v>2370</v>
      </c>
      <c r="F1047" s="6" t="s">
        <v>2370</v>
      </c>
      <c r="G1047">
        <v>0</v>
      </c>
      <c r="H1047" s="6" t="s">
        <v>2370</v>
      </c>
      <c r="I1047" t="s">
        <v>8374</v>
      </c>
      <c r="J1047" t="s">
        <v>8375</v>
      </c>
    </row>
    <row r="1048" spans="1:10" x14ac:dyDescent="0.35">
      <c r="A1048" s="6" t="s">
        <v>1314</v>
      </c>
      <c r="B1048">
        <v>45.51</v>
      </c>
      <c r="C1048">
        <v>4.32</v>
      </c>
      <c r="D1048" s="6" t="s">
        <v>2370</v>
      </c>
      <c r="E1048" s="6" t="s">
        <v>2370</v>
      </c>
      <c r="F1048" s="6" t="s">
        <v>2370</v>
      </c>
      <c r="G1048">
        <v>1</v>
      </c>
      <c r="H1048" s="6" t="s">
        <v>2370</v>
      </c>
      <c r="I1048" t="s">
        <v>8374</v>
      </c>
      <c r="J1048" t="s">
        <v>8377</v>
      </c>
    </row>
    <row r="1049" spans="1:10" x14ac:dyDescent="0.35">
      <c r="A1049" s="6" t="s">
        <v>1313</v>
      </c>
      <c r="B1049">
        <v>37.1</v>
      </c>
      <c r="C1049">
        <v>7.19</v>
      </c>
      <c r="D1049" s="6" t="s">
        <v>2373</v>
      </c>
      <c r="E1049" s="6" t="s">
        <v>2370</v>
      </c>
      <c r="F1049" s="6" t="s">
        <v>2370</v>
      </c>
      <c r="G1049">
        <v>0</v>
      </c>
      <c r="H1049" s="6" t="s">
        <v>2370</v>
      </c>
      <c r="I1049" t="s">
        <v>8374</v>
      </c>
      <c r="J1049" t="s">
        <v>8375</v>
      </c>
    </row>
    <row r="1050" spans="1:10" x14ac:dyDescent="0.35">
      <c r="A1050" s="6" t="s">
        <v>1312</v>
      </c>
      <c r="B1050">
        <v>30.5</v>
      </c>
      <c r="C1050">
        <v>11.94</v>
      </c>
      <c r="D1050" s="6" t="s">
        <v>2373</v>
      </c>
      <c r="E1050" s="6" t="s">
        <v>2370</v>
      </c>
      <c r="F1050" s="6" t="s">
        <v>2370</v>
      </c>
      <c r="G1050">
        <v>0</v>
      </c>
      <c r="H1050" s="6" t="s">
        <v>2370</v>
      </c>
      <c r="I1050" t="s">
        <v>8374</v>
      </c>
      <c r="J1050" t="s">
        <v>8375</v>
      </c>
    </row>
    <row r="1051" spans="1:10" x14ac:dyDescent="0.35">
      <c r="A1051" s="6" t="s">
        <v>1311</v>
      </c>
      <c r="B1051">
        <v>28.16</v>
      </c>
      <c r="C1051">
        <v>5.56</v>
      </c>
      <c r="D1051" s="6" t="s">
        <v>2370</v>
      </c>
      <c r="E1051" s="6" t="s">
        <v>2370</v>
      </c>
      <c r="F1051" s="6" t="s">
        <v>2370</v>
      </c>
      <c r="G1051">
        <v>2</v>
      </c>
      <c r="H1051" s="6" t="s">
        <v>2370</v>
      </c>
      <c r="I1051" t="s">
        <v>8378</v>
      </c>
      <c r="J1051" t="s">
        <v>8377</v>
      </c>
    </row>
    <row r="1052" spans="1:10" x14ac:dyDescent="0.35">
      <c r="A1052" s="6" t="s">
        <v>1310</v>
      </c>
      <c r="B1052">
        <v>29.1</v>
      </c>
      <c r="C1052">
        <v>5.64</v>
      </c>
      <c r="D1052" s="6" t="s">
        <v>2373</v>
      </c>
      <c r="E1052" s="6" t="s">
        <v>2370</v>
      </c>
      <c r="F1052" s="6" t="s">
        <v>2370</v>
      </c>
      <c r="G1052">
        <v>0</v>
      </c>
      <c r="H1052" s="6" t="s">
        <v>2370</v>
      </c>
      <c r="I1052" t="s">
        <v>8378</v>
      </c>
      <c r="J1052" t="s">
        <v>8377</v>
      </c>
    </row>
    <row r="1053" spans="1:10" x14ac:dyDescent="0.35">
      <c r="A1053" s="6" t="s">
        <v>1309</v>
      </c>
      <c r="B1053">
        <v>30.22</v>
      </c>
      <c r="C1053">
        <v>4.6500000000000004</v>
      </c>
      <c r="D1053" s="6" t="s">
        <v>2370</v>
      </c>
      <c r="E1053" s="6" t="s">
        <v>2370</v>
      </c>
      <c r="F1053" s="6" t="s">
        <v>2370</v>
      </c>
      <c r="G1053">
        <v>0</v>
      </c>
      <c r="H1053" s="6" t="s">
        <v>2370</v>
      </c>
      <c r="I1053" t="s">
        <v>8374</v>
      </c>
      <c r="J1053" t="s">
        <v>8377</v>
      </c>
    </row>
    <row r="1054" spans="1:10" x14ac:dyDescent="0.35">
      <c r="A1054" s="6" t="s">
        <v>1308</v>
      </c>
      <c r="B1054">
        <v>24.29</v>
      </c>
      <c r="C1054">
        <v>9.0500000000000007</v>
      </c>
      <c r="D1054" s="6" t="s">
        <v>2370</v>
      </c>
      <c r="E1054" s="6" t="s">
        <v>2370</v>
      </c>
      <c r="F1054" s="6" t="s">
        <v>2370</v>
      </c>
      <c r="G1054">
        <v>0</v>
      </c>
      <c r="H1054" s="6" t="s">
        <v>2370</v>
      </c>
      <c r="I1054" t="s">
        <v>8379</v>
      </c>
      <c r="J1054" t="s">
        <v>8375</v>
      </c>
    </row>
    <row r="1055" spans="1:10" x14ac:dyDescent="0.35">
      <c r="A1055" s="6" t="s">
        <v>1307</v>
      </c>
      <c r="B1055">
        <v>29.39</v>
      </c>
      <c r="C1055">
        <v>4.5199999999999996</v>
      </c>
      <c r="D1055" s="6" t="s">
        <v>2373</v>
      </c>
      <c r="E1055" s="6" t="s">
        <v>2370</v>
      </c>
      <c r="F1055" s="6" t="s">
        <v>2370</v>
      </c>
      <c r="G1055">
        <v>0</v>
      </c>
      <c r="H1055" s="6" t="s">
        <v>2370</v>
      </c>
      <c r="I1055" t="s">
        <v>8378</v>
      </c>
      <c r="J1055" t="s">
        <v>8377</v>
      </c>
    </row>
    <row r="1056" spans="1:10" x14ac:dyDescent="0.35">
      <c r="A1056" s="6" t="s">
        <v>1306</v>
      </c>
      <c r="B1056">
        <v>25.66</v>
      </c>
      <c r="C1056">
        <v>4.62</v>
      </c>
      <c r="D1056" s="6" t="s">
        <v>2373</v>
      </c>
      <c r="E1056" s="6" t="s">
        <v>2370</v>
      </c>
      <c r="F1056" s="6" t="s">
        <v>2370</v>
      </c>
      <c r="G1056">
        <v>1</v>
      </c>
      <c r="H1056" s="6" t="s">
        <v>2370</v>
      </c>
      <c r="I1056" t="s">
        <v>8378</v>
      </c>
      <c r="J1056" t="s">
        <v>8377</v>
      </c>
    </row>
    <row r="1057" spans="1:10" x14ac:dyDescent="0.35">
      <c r="A1057" s="6" t="s">
        <v>1305</v>
      </c>
      <c r="B1057">
        <v>39.11</v>
      </c>
      <c r="C1057">
        <v>5.87</v>
      </c>
      <c r="D1057" s="6" t="s">
        <v>2370</v>
      </c>
      <c r="E1057" s="6" t="s">
        <v>2370</v>
      </c>
      <c r="F1057" s="6" t="s">
        <v>2370</v>
      </c>
      <c r="G1057">
        <v>0</v>
      </c>
      <c r="H1057" s="6" t="s">
        <v>2370</v>
      </c>
      <c r="I1057" t="s">
        <v>8374</v>
      </c>
      <c r="J1057" t="s">
        <v>8376</v>
      </c>
    </row>
    <row r="1058" spans="1:10" x14ac:dyDescent="0.35">
      <c r="A1058" s="6" t="s">
        <v>1304</v>
      </c>
      <c r="B1058">
        <v>43.78</v>
      </c>
      <c r="C1058">
        <v>5.71</v>
      </c>
      <c r="D1058" s="6" t="s">
        <v>2370</v>
      </c>
      <c r="E1058" s="6" t="s">
        <v>2370</v>
      </c>
      <c r="F1058" s="6" t="s">
        <v>2370</v>
      </c>
      <c r="G1058">
        <v>1</v>
      </c>
      <c r="H1058" s="6" t="s">
        <v>2370</v>
      </c>
      <c r="I1058" t="s">
        <v>8374</v>
      </c>
      <c r="J1058" t="s">
        <v>8376</v>
      </c>
    </row>
    <row r="1059" spans="1:10" x14ac:dyDescent="0.35">
      <c r="A1059" s="6" t="s">
        <v>1303</v>
      </c>
      <c r="B1059">
        <v>24.35</v>
      </c>
      <c r="C1059">
        <v>9.08</v>
      </c>
      <c r="D1059" s="6" t="s">
        <v>2370</v>
      </c>
      <c r="E1059" s="6" t="s">
        <v>2370</v>
      </c>
      <c r="F1059" s="6" t="s">
        <v>2370</v>
      </c>
      <c r="G1059">
        <v>0</v>
      </c>
      <c r="H1059" s="6" t="s">
        <v>2370</v>
      </c>
      <c r="I1059" t="s">
        <v>8379</v>
      </c>
      <c r="J1059" t="s">
        <v>8375</v>
      </c>
    </row>
    <row r="1060" spans="1:10" x14ac:dyDescent="0.35">
      <c r="A1060" s="6" t="s">
        <v>1302</v>
      </c>
      <c r="B1060">
        <v>40.299999999999997</v>
      </c>
      <c r="C1060">
        <v>5.3</v>
      </c>
      <c r="D1060" s="6" t="s">
        <v>2373</v>
      </c>
      <c r="E1060" s="6" t="s">
        <v>2370</v>
      </c>
      <c r="F1060" s="6" t="s">
        <v>2370</v>
      </c>
      <c r="G1060">
        <v>2</v>
      </c>
      <c r="H1060" s="6" t="s">
        <v>2370</v>
      </c>
      <c r="I1060" t="s">
        <v>8374</v>
      </c>
      <c r="J1060" t="s">
        <v>8377</v>
      </c>
    </row>
    <row r="1061" spans="1:10" x14ac:dyDescent="0.35">
      <c r="A1061" s="6" t="s">
        <v>1301</v>
      </c>
      <c r="B1061">
        <v>32.774999999999999</v>
      </c>
      <c r="C1061">
        <v>11.76</v>
      </c>
      <c r="D1061" s="6" t="s">
        <v>2373</v>
      </c>
      <c r="E1061" s="6" t="s">
        <v>2370</v>
      </c>
      <c r="F1061" s="6" t="s">
        <v>2370</v>
      </c>
      <c r="G1061">
        <v>0</v>
      </c>
      <c r="H1061" s="6" t="s">
        <v>2370</v>
      </c>
      <c r="I1061" t="s">
        <v>8374</v>
      </c>
      <c r="J1061" t="s">
        <v>8375</v>
      </c>
    </row>
    <row r="1062" spans="1:10" x14ac:dyDescent="0.35">
      <c r="A1062" s="6" t="s">
        <v>1300</v>
      </c>
      <c r="B1062">
        <v>39.6</v>
      </c>
      <c r="C1062">
        <v>5.1100000000000003</v>
      </c>
      <c r="D1062" s="6" t="s">
        <v>2373</v>
      </c>
      <c r="E1062" s="6" t="s">
        <v>2370</v>
      </c>
      <c r="F1062" s="6" t="s">
        <v>2370</v>
      </c>
      <c r="G1062">
        <v>2</v>
      </c>
      <c r="H1062" s="6" t="s">
        <v>2370</v>
      </c>
      <c r="I1062" t="s">
        <v>8374</v>
      </c>
      <c r="J1062" t="s">
        <v>8377</v>
      </c>
    </row>
    <row r="1063" spans="1:10" x14ac:dyDescent="0.35">
      <c r="A1063" s="6" t="s">
        <v>1299</v>
      </c>
      <c r="B1063">
        <v>30.97</v>
      </c>
      <c r="C1063">
        <v>5.54</v>
      </c>
      <c r="D1063" s="6" t="s">
        <v>2370</v>
      </c>
      <c r="E1063" s="6" t="s">
        <v>2370</v>
      </c>
      <c r="F1063" s="6" t="s">
        <v>2370</v>
      </c>
      <c r="G1063">
        <v>2</v>
      </c>
      <c r="H1063" s="6" t="s">
        <v>2370</v>
      </c>
      <c r="I1063" t="s">
        <v>8374</v>
      </c>
      <c r="J1063" t="s">
        <v>8377</v>
      </c>
    </row>
    <row r="1064" spans="1:10" x14ac:dyDescent="0.35">
      <c r="A1064" s="6" t="s">
        <v>1298</v>
      </c>
      <c r="B1064">
        <v>27.645</v>
      </c>
      <c r="C1064">
        <v>8.8699999999999992</v>
      </c>
      <c r="D1064" s="6" t="s">
        <v>2373</v>
      </c>
      <c r="E1064" s="6" t="s">
        <v>2370</v>
      </c>
      <c r="F1064" s="6" t="s">
        <v>2370</v>
      </c>
      <c r="G1064">
        <v>0</v>
      </c>
      <c r="H1064" s="6" t="s">
        <v>2370</v>
      </c>
      <c r="I1064" t="s">
        <v>8378</v>
      </c>
      <c r="J1064" t="s">
        <v>8375</v>
      </c>
    </row>
    <row r="1065" spans="1:10" x14ac:dyDescent="0.35">
      <c r="A1065" s="6" t="s">
        <v>1297</v>
      </c>
      <c r="B1065">
        <v>34.43</v>
      </c>
      <c r="C1065">
        <v>5.96</v>
      </c>
      <c r="D1065" s="6" t="s">
        <v>2373</v>
      </c>
      <c r="E1065" s="6" t="s">
        <v>2370</v>
      </c>
      <c r="F1065" s="6" t="s">
        <v>2370</v>
      </c>
      <c r="G1065">
        <v>2</v>
      </c>
      <c r="H1065" s="6" t="s">
        <v>2370</v>
      </c>
      <c r="I1065" t="s">
        <v>8374</v>
      </c>
      <c r="J1065" t="s">
        <v>8376</v>
      </c>
    </row>
    <row r="1066" spans="1:10" x14ac:dyDescent="0.35">
      <c r="A1066" s="6" t="s">
        <v>1296</v>
      </c>
      <c r="B1066">
        <v>39.6</v>
      </c>
      <c r="C1066">
        <v>4.4400000000000004</v>
      </c>
      <c r="D1066" s="6" t="s">
        <v>2373</v>
      </c>
      <c r="E1066" s="6" t="s">
        <v>2370</v>
      </c>
      <c r="F1066" s="6" t="s">
        <v>2373</v>
      </c>
      <c r="G1066">
        <v>1</v>
      </c>
      <c r="H1066" s="6" t="s">
        <v>2370</v>
      </c>
      <c r="I1066" t="s">
        <v>8374</v>
      </c>
      <c r="J1066" t="s">
        <v>8377</v>
      </c>
    </row>
    <row r="1067" spans="1:10" x14ac:dyDescent="0.35">
      <c r="A1067" s="6" t="s">
        <v>1295</v>
      </c>
      <c r="B1067">
        <v>22.1</v>
      </c>
      <c r="C1067">
        <v>4.6500000000000004</v>
      </c>
      <c r="D1067" s="6" t="s">
        <v>2373</v>
      </c>
      <c r="E1067" s="6" t="s">
        <v>2370</v>
      </c>
      <c r="F1067" s="6" t="s">
        <v>2370</v>
      </c>
      <c r="G1067">
        <v>2</v>
      </c>
      <c r="H1067" s="6" t="s">
        <v>2370</v>
      </c>
      <c r="I1067" t="s">
        <v>8379</v>
      </c>
      <c r="J1067" t="s">
        <v>8377</v>
      </c>
    </row>
    <row r="1068" spans="1:10" x14ac:dyDescent="0.35">
      <c r="A1068" s="6" t="s">
        <v>1294</v>
      </c>
      <c r="B1068">
        <v>33.25</v>
      </c>
      <c r="C1068">
        <v>5.64</v>
      </c>
      <c r="D1068" s="6" t="s">
        <v>2373</v>
      </c>
      <c r="E1068" s="6" t="s">
        <v>2370</v>
      </c>
      <c r="F1068" s="6" t="s">
        <v>2373</v>
      </c>
      <c r="G1068">
        <v>1</v>
      </c>
      <c r="H1068" s="6" t="s">
        <v>2370</v>
      </c>
      <c r="I1068" t="s">
        <v>8374</v>
      </c>
      <c r="J1068" t="s">
        <v>8377</v>
      </c>
    </row>
    <row r="1069" spans="1:10" x14ac:dyDescent="0.35">
      <c r="A1069" s="6" t="s">
        <v>1293</v>
      </c>
      <c r="B1069">
        <v>33.33</v>
      </c>
      <c r="C1069">
        <v>10.19</v>
      </c>
      <c r="D1069" s="6" t="s">
        <v>2370</v>
      </c>
      <c r="E1069" s="6" t="s">
        <v>2370</v>
      </c>
      <c r="F1069" s="6" t="s">
        <v>2370</v>
      </c>
      <c r="G1069">
        <v>0</v>
      </c>
      <c r="H1069" s="6" t="s">
        <v>2370</v>
      </c>
      <c r="I1069" t="s">
        <v>8374</v>
      </c>
      <c r="J1069" t="s">
        <v>8375</v>
      </c>
    </row>
    <row r="1070" spans="1:10" x14ac:dyDescent="0.35">
      <c r="A1070" s="6" t="s">
        <v>1292</v>
      </c>
      <c r="B1070">
        <v>30.5</v>
      </c>
      <c r="C1070">
        <v>10.79</v>
      </c>
      <c r="D1070" s="6" t="s">
        <v>2370</v>
      </c>
      <c r="E1070" s="6" t="s">
        <v>2370</v>
      </c>
      <c r="F1070" s="6" t="s">
        <v>2370</v>
      </c>
      <c r="G1070">
        <v>0</v>
      </c>
      <c r="H1070" s="6" t="s">
        <v>2370</v>
      </c>
      <c r="I1070" t="s">
        <v>8374</v>
      </c>
      <c r="J1070" t="s">
        <v>8375</v>
      </c>
    </row>
    <row r="1071" spans="1:10" x14ac:dyDescent="0.35">
      <c r="A1071" s="6" t="s">
        <v>1291</v>
      </c>
      <c r="B1071">
        <v>30.3</v>
      </c>
      <c r="C1071">
        <v>4.24</v>
      </c>
      <c r="D1071" s="6" t="s">
        <v>2370</v>
      </c>
      <c r="E1071" s="6" t="s">
        <v>2370</v>
      </c>
      <c r="F1071" s="6" t="s">
        <v>2370</v>
      </c>
      <c r="G1071">
        <v>0</v>
      </c>
      <c r="H1071" s="6" t="s">
        <v>2370</v>
      </c>
      <c r="I1071" t="s">
        <v>8374</v>
      </c>
      <c r="J1071" t="s">
        <v>8377</v>
      </c>
    </row>
    <row r="1072" spans="1:10" x14ac:dyDescent="0.35">
      <c r="A1072" s="6" t="s">
        <v>1290</v>
      </c>
      <c r="B1072">
        <v>26.22</v>
      </c>
      <c r="C1072">
        <v>5.83</v>
      </c>
      <c r="D1072" s="6" t="s">
        <v>2370</v>
      </c>
      <c r="E1072" s="6" t="s">
        <v>2370</v>
      </c>
      <c r="F1072" s="6" t="s">
        <v>2370</v>
      </c>
      <c r="G1072">
        <v>2</v>
      </c>
      <c r="H1072" s="6" t="s">
        <v>2370</v>
      </c>
      <c r="I1072" t="s">
        <v>8378</v>
      </c>
      <c r="J1072" t="s">
        <v>8376</v>
      </c>
    </row>
    <row r="1073" spans="1:10" x14ac:dyDescent="0.35">
      <c r="A1073" s="6" t="s">
        <v>1289</v>
      </c>
      <c r="B1073">
        <v>29.99</v>
      </c>
      <c r="C1073">
        <v>11.85</v>
      </c>
      <c r="D1073" s="6" t="s">
        <v>2370</v>
      </c>
      <c r="E1073" s="6" t="s">
        <v>2370</v>
      </c>
      <c r="F1073" s="6" t="s">
        <v>2370</v>
      </c>
      <c r="G1073">
        <v>0</v>
      </c>
      <c r="H1073" s="6" t="s">
        <v>2370</v>
      </c>
      <c r="I1073" t="s">
        <v>8378</v>
      </c>
      <c r="J1073" t="s">
        <v>8375</v>
      </c>
    </row>
    <row r="1074" spans="1:10" x14ac:dyDescent="0.35">
      <c r="A1074" s="6" t="s">
        <v>1288</v>
      </c>
      <c r="B1074">
        <v>36.380000000000003</v>
      </c>
      <c r="C1074">
        <v>5.98</v>
      </c>
      <c r="D1074" s="6" t="s">
        <v>2370</v>
      </c>
      <c r="E1074" s="6" t="s">
        <v>2370</v>
      </c>
      <c r="F1074" s="6" t="s">
        <v>2370</v>
      </c>
      <c r="G1074">
        <v>1</v>
      </c>
      <c r="H1074" s="6" t="s">
        <v>2370</v>
      </c>
      <c r="I1074" t="s">
        <v>8374</v>
      </c>
      <c r="J1074" t="s">
        <v>8376</v>
      </c>
    </row>
    <row r="1075" spans="1:10" x14ac:dyDescent="0.35">
      <c r="A1075" s="6" t="s">
        <v>1287</v>
      </c>
      <c r="B1075">
        <v>31.16</v>
      </c>
      <c r="C1075">
        <v>4.26</v>
      </c>
      <c r="D1075" s="6" t="s">
        <v>2373</v>
      </c>
      <c r="E1075" s="6" t="s">
        <v>2370</v>
      </c>
      <c r="F1075" s="6" t="s">
        <v>2373</v>
      </c>
      <c r="G1075">
        <v>1</v>
      </c>
      <c r="H1075" s="6" t="s">
        <v>2370</v>
      </c>
      <c r="I1075" t="s">
        <v>8374</v>
      </c>
      <c r="J1075" t="s">
        <v>8377</v>
      </c>
    </row>
    <row r="1076" spans="1:10" x14ac:dyDescent="0.35">
      <c r="A1076" s="6" t="s">
        <v>1286</v>
      </c>
      <c r="B1076">
        <v>25.55</v>
      </c>
      <c r="C1076">
        <v>4.96</v>
      </c>
      <c r="D1076" s="6" t="s">
        <v>2373</v>
      </c>
      <c r="E1076" s="6" t="s">
        <v>2370</v>
      </c>
      <c r="F1076" s="6" t="s">
        <v>2370</v>
      </c>
      <c r="G1076">
        <v>1</v>
      </c>
      <c r="H1076" s="6" t="s">
        <v>2370</v>
      </c>
      <c r="I1076" t="s">
        <v>8378</v>
      </c>
      <c r="J1076" t="s">
        <v>8377</v>
      </c>
    </row>
    <row r="1077" spans="1:10" x14ac:dyDescent="0.35">
      <c r="A1077" s="6" t="s">
        <v>1285</v>
      </c>
      <c r="B1077">
        <v>28.77</v>
      </c>
      <c r="C1077">
        <v>4</v>
      </c>
      <c r="D1077" s="6" t="s">
        <v>2373</v>
      </c>
      <c r="E1077" s="6" t="s">
        <v>2370</v>
      </c>
      <c r="F1077" s="6" t="s">
        <v>2370</v>
      </c>
      <c r="G1077">
        <v>0</v>
      </c>
      <c r="H1077" s="6" t="s">
        <v>2370</v>
      </c>
      <c r="I1077" t="s">
        <v>8378</v>
      </c>
      <c r="J1077" t="s">
        <v>8377</v>
      </c>
    </row>
    <row r="1078" spans="1:10" x14ac:dyDescent="0.35">
      <c r="A1078" s="6" t="s">
        <v>1284</v>
      </c>
      <c r="B1078">
        <v>23.14</v>
      </c>
      <c r="C1078">
        <v>4.1500000000000004</v>
      </c>
      <c r="D1078" s="6" t="s">
        <v>2373</v>
      </c>
      <c r="E1078" s="6" t="s">
        <v>2370</v>
      </c>
      <c r="F1078" s="6" t="s">
        <v>2370</v>
      </c>
      <c r="G1078">
        <v>1</v>
      </c>
      <c r="H1078" s="6" t="s">
        <v>2370</v>
      </c>
      <c r="I1078" t="s">
        <v>8379</v>
      </c>
      <c r="J1078" t="s">
        <v>8377</v>
      </c>
    </row>
    <row r="1079" spans="1:10" x14ac:dyDescent="0.35">
      <c r="A1079" s="6" t="s">
        <v>1283</v>
      </c>
      <c r="B1079">
        <v>39.6</v>
      </c>
      <c r="C1079">
        <v>11.36</v>
      </c>
      <c r="D1079" s="6" t="s">
        <v>2370</v>
      </c>
      <c r="E1079" s="6" t="s">
        <v>2370</v>
      </c>
      <c r="F1079" s="6" t="s">
        <v>2370</v>
      </c>
      <c r="G1079">
        <v>0</v>
      </c>
      <c r="H1079" s="6" t="s">
        <v>2370</v>
      </c>
      <c r="I1079" t="s">
        <v>8374</v>
      </c>
      <c r="J1079" t="s">
        <v>8375</v>
      </c>
    </row>
    <row r="1080" spans="1:10" x14ac:dyDescent="0.35">
      <c r="A1080" s="6" t="s">
        <v>1282</v>
      </c>
      <c r="B1080">
        <v>29.2</v>
      </c>
      <c r="C1080">
        <v>7.53</v>
      </c>
      <c r="D1080" s="6" t="s">
        <v>2370</v>
      </c>
      <c r="E1080" s="6" t="s">
        <v>2370</v>
      </c>
      <c r="F1080" s="6" t="s">
        <v>2370</v>
      </c>
      <c r="G1080">
        <v>0</v>
      </c>
      <c r="H1080" s="6" t="s">
        <v>2370</v>
      </c>
      <c r="I1080" t="s">
        <v>8378</v>
      </c>
      <c r="J1080" t="s">
        <v>8375</v>
      </c>
    </row>
    <row r="1081" spans="1:10" x14ac:dyDescent="0.35">
      <c r="A1081" s="6" t="s">
        <v>1281</v>
      </c>
      <c r="B1081">
        <v>32.774999999999999</v>
      </c>
      <c r="C1081">
        <v>7.95</v>
      </c>
      <c r="D1081" s="6" t="s">
        <v>2370</v>
      </c>
      <c r="E1081" s="6" t="s">
        <v>2370</v>
      </c>
      <c r="F1081" s="6" t="s">
        <v>2370</v>
      </c>
      <c r="G1081">
        <v>0</v>
      </c>
      <c r="H1081" s="6" t="s">
        <v>2370</v>
      </c>
      <c r="I1081" t="s">
        <v>8374</v>
      </c>
      <c r="J1081" t="s">
        <v>8375</v>
      </c>
    </row>
    <row r="1082" spans="1:10" x14ac:dyDescent="0.35">
      <c r="A1082" s="6" t="s">
        <v>1280</v>
      </c>
      <c r="B1082">
        <v>24.035</v>
      </c>
      <c r="C1082">
        <v>8.5</v>
      </c>
      <c r="D1082" s="6" t="s">
        <v>2370</v>
      </c>
      <c r="E1082" s="6" t="s">
        <v>2370</v>
      </c>
      <c r="F1082" s="6" t="s">
        <v>2370</v>
      </c>
      <c r="G1082">
        <v>0</v>
      </c>
      <c r="H1082" s="6" t="s">
        <v>2370</v>
      </c>
      <c r="I1082" t="s">
        <v>8379</v>
      </c>
      <c r="J1082" t="s">
        <v>8375</v>
      </c>
    </row>
    <row r="1083" spans="1:10" x14ac:dyDescent="0.35">
      <c r="A1083" s="6" t="s">
        <v>1279</v>
      </c>
      <c r="B1083">
        <v>30.55</v>
      </c>
      <c r="C1083">
        <v>5.89</v>
      </c>
      <c r="D1083" s="6" t="s">
        <v>2370</v>
      </c>
      <c r="E1083" s="6" t="s">
        <v>2370</v>
      </c>
      <c r="F1083" s="6" t="s">
        <v>2373</v>
      </c>
      <c r="G1083">
        <v>1</v>
      </c>
      <c r="H1083" s="6" t="s">
        <v>2370</v>
      </c>
      <c r="I1083" t="s">
        <v>8374</v>
      </c>
      <c r="J1083" t="s">
        <v>8376</v>
      </c>
    </row>
    <row r="1084" spans="1:10" x14ac:dyDescent="0.35">
      <c r="A1084" s="6" t="s">
        <v>1278</v>
      </c>
      <c r="B1084">
        <v>28.81</v>
      </c>
      <c r="C1084">
        <v>8.76</v>
      </c>
      <c r="D1084" s="6" t="s">
        <v>2370</v>
      </c>
      <c r="E1084" s="6" t="s">
        <v>2370</v>
      </c>
      <c r="F1084" s="6" t="s">
        <v>2370</v>
      </c>
      <c r="G1084">
        <v>2</v>
      </c>
      <c r="H1084" s="6" t="s">
        <v>2370</v>
      </c>
      <c r="I1084" t="s">
        <v>8378</v>
      </c>
      <c r="J1084" t="s">
        <v>8375</v>
      </c>
    </row>
    <row r="1085" spans="1:10" x14ac:dyDescent="0.35">
      <c r="A1085" s="6" t="s">
        <v>1277</v>
      </c>
      <c r="B1085">
        <v>31.66</v>
      </c>
      <c r="C1085">
        <v>4.1100000000000003</v>
      </c>
      <c r="D1085" s="6" t="s">
        <v>2370</v>
      </c>
      <c r="E1085" s="6" t="s">
        <v>2370</v>
      </c>
      <c r="F1085" s="6" t="s">
        <v>2370</v>
      </c>
      <c r="G1085">
        <v>0</v>
      </c>
      <c r="H1085" s="6" t="s">
        <v>2370</v>
      </c>
      <c r="I1085" t="s">
        <v>8374</v>
      </c>
      <c r="J1085" t="s">
        <v>8377</v>
      </c>
    </row>
    <row r="1086" spans="1:10" x14ac:dyDescent="0.35">
      <c r="A1086" s="6" t="s">
        <v>1276</v>
      </c>
      <c r="B1086">
        <v>28.215</v>
      </c>
      <c r="C1086">
        <v>7.56</v>
      </c>
      <c r="D1086" s="6" t="s">
        <v>2373</v>
      </c>
      <c r="E1086" s="6" t="s">
        <v>2370</v>
      </c>
      <c r="F1086" s="6" t="s">
        <v>2370</v>
      </c>
      <c r="G1086">
        <v>1</v>
      </c>
      <c r="H1086" s="6" t="s">
        <v>2370</v>
      </c>
      <c r="I1086" t="s">
        <v>8378</v>
      </c>
      <c r="J1086" t="s">
        <v>8375</v>
      </c>
    </row>
    <row r="1087" spans="1:10" x14ac:dyDescent="0.35">
      <c r="A1087" s="6" t="s">
        <v>1275</v>
      </c>
      <c r="B1087">
        <v>26.12</v>
      </c>
      <c r="C1087">
        <v>4.17</v>
      </c>
      <c r="D1087" s="6" t="s">
        <v>2373</v>
      </c>
      <c r="E1087" s="6" t="s">
        <v>2370</v>
      </c>
      <c r="F1087" s="6" t="s">
        <v>2373</v>
      </c>
      <c r="G1087">
        <v>1</v>
      </c>
      <c r="H1087" s="6" t="s">
        <v>2370</v>
      </c>
      <c r="I1087" t="s">
        <v>8378</v>
      </c>
      <c r="J1087" t="s">
        <v>8377</v>
      </c>
    </row>
    <row r="1088" spans="1:10" x14ac:dyDescent="0.35">
      <c r="A1088" s="6" t="s">
        <v>1274</v>
      </c>
      <c r="B1088">
        <v>36.630000000000003</v>
      </c>
      <c r="C1088">
        <v>11.42</v>
      </c>
      <c r="D1088" s="6" t="s">
        <v>2370</v>
      </c>
      <c r="E1088" s="6" t="s">
        <v>2370</v>
      </c>
      <c r="F1088" s="6" t="s">
        <v>2370</v>
      </c>
      <c r="G1088">
        <v>2</v>
      </c>
      <c r="H1088" s="6" t="s">
        <v>2370</v>
      </c>
      <c r="I1088" t="s">
        <v>8374</v>
      </c>
      <c r="J1088" t="s">
        <v>8375</v>
      </c>
    </row>
    <row r="1089" spans="1:10" x14ac:dyDescent="0.35">
      <c r="A1089" s="6" t="s">
        <v>1273</v>
      </c>
      <c r="B1089">
        <v>33.344999999999999</v>
      </c>
      <c r="C1089">
        <v>7.33</v>
      </c>
      <c r="D1089" s="6" t="s">
        <v>2370</v>
      </c>
      <c r="E1089" s="6" t="s">
        <v>2370</v>
      </c>
      <c r="F1089" s="6" t="s">
        <v>2370</v>
      </c>
      <c r="G1089">
        <v>2</v>
      </c>
      <c r="H1089" s="6" t="s">
        <v>2370</v>
      </c>
      <c r="I1089" t="s">
        <v>8374</v>
      </c>
      <c r="J1089" t="s">
        <v>8375</v>
      </c>
    </row>
    <row r="1090" spans="1:10" x14ac:dyDescent="0.35">
      <c r="A1090" s="6" t="s">
        <v>1272</v>
      </c>
      <c r="B1090">
        <v>27.11</v>
      </c>
      <c r="C1090">
        <v>6.7</v>
      </c>
      <c r="D1090" s="6" t="s">
        <v>2370</v>
      </c>
      <c r="E1090" s="6" t="s">
        <v>2370</v>
      </c>
      <c r="F1090" s="6" t="s">
        <v>2370</v>
      </c>
      <c r="G1090">
        <v>0</v>
      </c>
      <c r="H1090" s="6" t="s">
        <v>2370</v>
      </c>
      <c r="I1090" t="s">
        <v>8378</v>
      </c>
      <c r="J1090" t="s">
        <v>8375</v>
      </c>
    </row>
    <row r="1091" spans="1:10" x14ac:dyDescent="0.35">
      <c r="A1091" s="6" t="s">
        <v>1271</v>
      </c>
      <c r="B1091">
        <v>26.6</v>
      </c>
      <c r="C1091">
        <v>5.27</v>
      </c>
      <c r="D1091" s="6" t="s">
        <v>2373</v>
      </c>
      <c r="E1091" s="6" t="s">
        <v>2370</v>
      </c>
      <c r="F1091" s="6" t="s">
        <v>2373</v>
      </c>
      <c r="G1091">
        <v>1</v>
      </c>
      <c r="H1091" s="6" t="s">
        <v>2370</v>
      </c>
      <c r="I1091" t="s">
        <v>8378</v>
      </c>
      <c r="J1091" t="s">
        <v>8377</v>
      </c>
    </row>
    <row r="1092" spans="1:10" x14ac:dyDescent="0.35">
      <c r="A1092" s="6" t="s">
        <v>1270</v>
      </c>
      <c r="B1092">
        <v>30.41</v>
      </c>
      <c r="C1092">
        <v>7.72</v>
      </c>
      <c r="D1092" s="6" t="s">
        <v>2370</v>
      </c>
      <c r="E1092" s="6" t="s">
        <v>2370</v>
      </c>
      <c r="F1092" s="6" t="s">
        <v>2370</v>
      </c>
      <c r="G1092">
        <v>0</v>
      </c>
      <c r="H1092" s="6" t="s">
        <v>2370</v>
      </c>
      <c r="I1092" t="s">
        <v>8374</v>
      </c>
      <c r="J1092" t="s">
        <v>8375</v>
      </c>
    </row>
    <row r="1093" spans="1:10" x14ac:dyDescent="0.35">
      <c r="A1093" s="6" t="s">
        <v>1269</v>
      </c>
      <c r="B1093">
        <v>28.98</v>
      </c>
      <c r="C1093">
        <v>8.68</v>
      </c>
      <c r="D1093" s="6" t="s">
        <v>2370</v>
      </c>
      <c r="E1093" s="6" t="s">
        <v>2370</v>
      </c>
      <c r="F1093" s="6" t="s">
        <v>2370</v>
      </c>
      <c r="G1093">
        <v>2</v>
      </c>
      <c r="H1093" s="6" t="s">
        <v>2370</v>
      </c>
      <c r="I1093" t="s">
        <v>8378</v>
      </c>
      <c r="J1093" t="s">
        <v>8375</v>
      </c>
    </row>
    <row r="1094" spans="1:10" x14ac:dyDescent="0.35">
      <c r="A1094" s="6" t="s">
        <v>1268</v>
      </c>
      <c r="B1094">
        <v>31.24</v>
      </c>
      <c r="C1094">
        <v>9.8000000000000007</v>
      </c>
      <c r="D1094" s="6" t="s">
        <v>2370</v>
      </c>
      <c r="E1094" s="6" t="s">
        <v>2370</v>
      </c>
      <c r="F1094" s="6" t="s">
        <v>2370</v>
      </c>
      <c r="G1094">
        <v>0</v>
      </c>
      <c r="H1094" s="6" t="s">
        <v>2370</v>
      </c>
      <c r="I1094" t="s">
        <v>8374</v>
      </c>
      <c r="J1094" t="s">
        <v>8375</v>
      </c>
    </row>
    <row r="1095" spans="1:10" x14ac:dyDescent="0.35">
      <c r="A1095" s="6" t="s">
        <v>1267</v>
      </c>
      <c r="B1095">
        <v>31.54</v>
      </c>
      <c r="C1095">
        <v>4.4400000000000004</v>
      </c>
      <c r="D1095" s="6" t="s">
        <v>2370</v>
      </c>
      <c r="E1095" s="6" t="s">
        <v>2370</v>
      </c>
      <c r="F1095" s="6" t="s">
        <v>2370</v>
      </c>
      <c r="G1095">
        <v>0</v>
      </c>
      <c r="H1095" s="6" t="s">
        <v>2370</v>
      </c>
      <c r="I1095" t="s">
        <v>8374</v>
      </c>
      <c r="J1095" t="s">
        <v>8377</v>
      </c>
    </row>
    <row r="1096" spans="1:10" x14ac:dyDescent="0.35">
      <c r="A1096" s="6" t="s">
        <v>1266</v>
      </c>
      <c r="B1096">
        <v>38.6</v>
      </c>
      <c r="C1096">
        <v>7.19</v>
      </c>
      <c r="D1096" s="6" t="s">
        <v>2373</v>
      </c>
      <c r="E1096" s="6" t="s">
        <v>2370</v>
      </c>
      <c r="F1096" s="6" t="s">
        <v>2370</v>
      </c>
      <c r="G1096">
        <v>2</v>
      </c>
      <c r="H1096" s="6" t="s">
        <v>2370</v>
      </c>
      <c r="I1096" t="s">
        <v>8374</v>
      </c>
      <c r="J1096" t="s">
        <v>8375</v>
      </c>
    </row>
    <row r="1097" spans="1:10" x14ac:dyDescent="0.35">
      <c r="A1097" s="6" t="s">
        <v>1265</v>
      </c>
      <c r="B1097">
        <v>37.950000000000003</v>
      </c>
      <c r="C1097">
        <v>6.06</v>
      </c>
      <c r="D1097" s="6" t="s">
        <v>2370</v>
      </c>
      <c r="E1097" s="6" t="s">
        <v>2370</v>
      </c>
      <c r="F1097" s="6" t="s">
        <v>2370</v>
      </c>
      <c r="G1097">
        <v>0</v>
      </c>
      <c r="H1097" s="6" t="s">
        <v>2370</v>
      </c>
      <c r="I1097" t="s">
        <v>8374</v>
      </c>
      <c r="J1097" t="s">
        <v>8376</v>
      </c>
    </row>
    <row r="1098" spans="1:10" x14ac:dyDescent="0.35">
      <c r="A1098" s="6" t="s">
        <v>1264</v>
      </c>
      <c r="B1098">
        <v>38.97</v>
      </c>
      <c r="C1098">
        <v>5.12</v>
      </c>
      <c r="D1098" s="6" t="s">
        <v>2370</v>
      </c>
      <c r="E1098" s="6" t="s">
        <v>2370</v>
      </c>
      <c r="F1098" s="6" t="s">
        <v>2370</v>
      </c>
      <c r="G1098">
        <v>0</v>
      </c>
      <c r="H1098" s="6" t="s">
        <v>2370</v>
      </c>
      <c r="I1098" t="s">
        <v>8374</v>
      </c>
      <c r="J1098" t="s">
        <v>8377</v>
      </c>
    </row>
    <row r="1099" spans="1:10" x14ac:dyDescent="0.35">
      <c r="A1099" s="6" t="s">
        <v>1263</v>
      </c>
      <c r="B1099">
        <v>21.2</v>
      </c>
      <c r="C1099">
        <v>10.72</v>
      </c>
      <c r="D1099" s="6" t="s">
        <v>2370</v>
      </c>
      <c r="E1099" s="6" t="s">
        <v>2370</v>
      </c>
      <c r="F1099" s="6" t="s">
        <v>2370</v>
      </c>
      <c r="G1099">
        <v>0</v>
      </c>
      <c r="H1099" s="6" t="s">
        <v>2370</v>
      </c>
      <c r="I1099" t="s">
        <v>8379</v>
      </c>
      <c r="J1099" t="s">
        <v>8375</v>
      </c>
    </row>
    <row r="1100" spans="1:10" x14ac:dyDescent="0.35">
      <c r="A1100" s="6" t="s">
        <v>1262</v>
      </c>
      <c r="B1100">
        <v>23.96</v>
      </c>
      <c r="C1100">
        <v>9.58</v>
      </c>
      <c r="D1100" s="6" t="s">
        <v>2373</v>
      </c>
      <c r="E1100" s="6" t="s">
        <v>2370</v>
      </c>
      <c r="F1100" s="6" t="s">
        <v>2373</v>
      </c>
      <c r="G1100">
        <v>1</v>
      </c>
      <c r="H1100" s="6" t="s">
        <v>2370</v>
      </c>
      <c r="I1100" t="s">
        <v>8379</v>
      </c>
      <c r="J1100" t="s">
        <v>8375</v>
      </c>
    </row>
    <row r="1101" spans="1:10" x14ac:dyDescent="0.35">
      <c r="A1101" s="6" t="s">
        <v>1261</v>
      </c>
      <c r="B1101">
        <v>35.93</v>
      </c>
      <c r="C1101">
        <v>6.4</v>
      </c>
      <c r="D1101" s="6" t="s">
        <v>2373</v>
      </c>
      <c r="E1101" s="6" t="s">
        <v>2370</v>
      </c>
      <c r="F1101" s="6" t="s">
        <v>2370</v>
      </c>
      <c r="G1101">
        <v>1</v>
      </c>
      <c r="H1101" s="6" t="s">
        <v>2370</v>
      </c>
      <c r="I1101" t="s">
        <v>8374</v>
      </c>
      <c r="J1101" t="s">
        <v>8376</v>
      </c>
    </row>
    <row r="1102" spans="1:10" x14ac:dyDescent="0.35">
      <c r="A1102" s="6" t="s">
        <v>1260</v>
      </c>
      <c r="B1102">
        <v>26.11</v>
      </c>
      <c r="C1102">
        <v>6.8</v>
      </c>
      <c r="D1102" s="6" t="s">
        <v>2373</v>
      </c>
      <c r="E1102" s="6" t="s">
        <v>2370</v>
      </c>
      <c r="F1102" s="6" t="s">
        <v>2370</v>
      </c>
      <c r="G1102">
        <v>2</v>
      </c>
      <c r="H1102" s="6" t="s">
        <v>2370</v>
      </c>
      <c r="I1102" t="s">
        <v>8378</v>
      </c>
      <c r="J1102" t="s">
        <v>8375</v>
      </c>
    </row>
    <row r="1103" spans="1:10" x14ac:dyDescent="0.35">
      <c r="A1103" s="6" t="s">
        <v>1259</v>
      </c>
      <c r="B1103">
        <v>32.299999999999997</v>
      </c>
      <c r="C1103">
        <v>9.48</v>
      </c>
      <c r="D1103" s="6" t="s">
        <v>2370</v>
      </c>
      <c r="E1103" s="6" t="s">
        <v>2370</v>
      </c>
      <c r="F1103" s="6" t="s">
        <v>2370</v>
      </c>
      <c r="G1103">
        <v>2</v>
      </c>
      <c r="H1103" s="6" t="s">
        <v>2370</v>
      </c>
      <c r="I1103" t="s">
        <v>8374</v>
      </c>
      <c r="J1103" t="s">
        <v>8375</v>
      </c>
    </row>
    <row r="1104" spans="1:10" x14ac:dyDescent="0.35">
      <c r="A1104" s="6" t="s">
        <v>1258</v>
      </c>
      <c r="B1104">
        <v>28.69</v>
      </c>
      <c r="C1104">
        <v>7.45</v>
      </c>
      <c r="D1104" s="6" t="s">
        <v>2370</v>
      </c>
      <c r="E1104" s="6" t="s">
        <v>2370</v>
      </c>
      <c r="F1104" s="6" t="s">
        <v>2370</v>
      </c>
      <c r="G1104">
        <v>2</v>
      </c>
      <c r="H1104" s="6" t="s">
        <v>2370</v>
      </c>
      <c r="I1104" t="s">
        <v>8378</v>
      </c>
      <c r="J1104" t="s">
        <v>8375</v>
      </c>
    </row>
    <row r="1105" spans="1:10" x14ac:dyDescent="0.35">
      <c r="A1105" s="6" t="s">
        <v>1257</v>
      </c>
      <c r="B1105">
        <v>31.28</v>
      </c>
      <c r="C1105">
        <v>6.94</v>
      </c>
      <c r="D1105" s="6" t="s">
        <v>2373</v>
      </c>
      <c r="E1105" s="6" t="s">
        <v>2370</v>
      </c>
      <c r="F1105" s="6" t="s">
        <v>2370</v>
      </c>
      <c r="G1105">
        <v>1</v>
      </c>
      <c r="H1105" s="6" t="s">
        <v>2370</v>
      </c>
      <c r="I1105" t="s">
        <v>8374</v>
      </c>
      <c r="J1105" t="s">
        <v>8375</v>
      </c>
    </row>
    <row r="1106" spans="1:10" x14ac:dyDescent="0.35">
      <c r="A1106" s="6" t="s">
        <v>1256</v>
      </c>
      <c r="B1106">
        <v>30.21</v>
      </c>
      <c r="C1106">
        <v>7.83</v>
      </c>
      <c r="D1106" s="6" t="s">
        <v>2370</v>
      </c>
      <c r="E1106" s="6" t="s">
        <v>2370</v>
      </c>
      <c r="F1106" s="6" t="s">
        <v>2370</v>
      </c>
      <c r="G1106">
        <v>0</v>
      </c>
      <c r="H1106" s="6" t="s">
        <v>2370</v>
      </c>
      <c r="I1106" t="s">
        <v>8374</v>
      </c>
      <c r="J1106" t="s">
        <v>8375</v>
      </c>
    </row>
    <row r="1107" spans="1:10" x14ac:dyDescent="0.35">
      <c r="A1107" s="6" t="s">
        <v>1255</v>
      </c>
      <c r="B1107">
        <v>38.28</v>
      </c>
      <c r="C1107">
        <v>10.17</v>
      </c>
      <c r="D1107" s="6" t="s">
        <v>2373</v>
      </c>
      <c r="E1107" s="6" t="s">
        <v>2370</v>
      </c>
      <c r="F1107" s="6" t="s">
        <v>2370</v>
      </c>
      <c r="G1107">
        <v>0</v>
      </c>
      <c r="H1107" s="6" t="s">
        <v>2370</v>
      </c>
      <c r="I1107" t="s">
        <v>8374</v>
      </c>
      <c r="J1107" t="s">
        <v>8375</v>
      </c>
    </row>
    <row r="1108" spans="1:10" x14ac:dyDescent="0.35">
      <c r="A1108" s="6" t="s">
        <v>1254</v>
      </c>
      <c r="B1108">
        <v>29.9</v>
      </c>
      <c r="C1108">
        <v>8.9600000000000009</v>
      </c>
      <c r="D1108" s="6" t="s">
        <v>2373</v>
      </c>
      <c r="E1108" s="6" t="s">
        <v>2370</v>
      </c>
      <c r="F1108" s="6" t="s">
        <v>2370</v>
      </c>
      <c r="G1108">
        <v>0</v>
      </c>
      <c r="H1108" s="6" t="s">
        <v>2370</v>
      </c>
      <c r="I1108" t="s">
        <v>8378</v>
      </c>
      <c r="J1108" t="s">
        <v>8375</v>
      </c>
    </row>
    <row r="1109" spans="1:10" x14ac:dyDescent="0.35">
      <c r="A1109" s="6" t="s">
        <v>1253</v>
      </c>
      <c r="B1109">
        <v>23.18</v>
      </c>
      <c r="C1109">
        <v>6.96</v>
      </c>
      <c r="D1109" s="6" t="s">
        <v>2373</v>
      </c>
      <c r="E1109" s="6" t="s">
        <v>2370</v>
      </c>
      <c r="F1109" s="6" t="s">
        <v>2370</v>
      </c>
      <c r="G1109">
        <v>2</v>
      </c>
      <c r="H1109" s="6" t="s">
        <v>2370</v>
      </c>
      <c r="I1109" t="s">
        <v>8379</v>
      </c>
      <c r="J1109" t="s">
        <v>8375</v>
      </c>
    </row>
    <row r="1110" spans="1:10" x14ac:dyDescent="0.35">
      <c r="A1110" s="6" t="s">
        <v>1252</v>
      </c>
      <c r="B1110">
        <v>33.020000000000003</v>
      </c>
      <c r="C1110">
        <v>5.07</v>
      </c>
      <c r="D1110" s="6" t="s">
        <v>2373</v>
      </c>
      <c r="E1110" s="6" t="s">
        <v>2370</v>
      </c>
      <c r="F1110" s="6" t="s">
        <v>2370</v>
      </c>
      <c r="G1110">
        <v>0</v>
      </c>
      <c r="H1110" s="6" t="s">
        <v>2370</v>
      </c>
      <c r="I1110" t="s">
        <v>8374</v>
      </c>
      <c r="J1110" t="s">
        <v>8377</v>
      </c>
    </row>
    <row r="1111" spans="1:10" x14ac:dyDescent="0.35">
      <c r="A1111" s="6" t="s">
        <v>1251</v>
      </c>
      <c r="B1111">
        <v>27.29</v>
      </c>
      <c r="C1111">
        <v>5.85</v>
      </c>
      <c r="D1111" s="6" t="s">
        <v>2370</v>
      </c>
      <c r="E1111" s="6" t="s">
        <v>2370</v>
      </c>
      <c r="F1111" s="6" t="s">
        <v>2370</v>
      </c>
      <c r="G1111">
        <v>2</v>
      </c>
      <c r="H1111" s="6" t="s">
        <v>2370</v>
      </c>
      <c r="I1111" t="s">
        <v>8378</v>
      </c>
      <c r="J1111" t="s">
        <v>8376</v>
      </c>
    </row>
    <row r="1112" spans="1:10" x14ac:dyDescent="0.35">
      <c r="A1112" s="6" t="s">
        <v>1250</v>
      </c>
      <c r="B1112">
        <v>23.18</v>
      </c>
      <c r="C1112">
        <v>10.56</v>
      </c>
      <c r="D1112" s="6" t="s">
        <v>2370</v>
      </c>
      <c r="E1112" s="6" t="s">
        <v>2370</v>
      </c>
      <c r="F1112" s="6" t="s">
        <v>2370</v>
      </c>
      <c r="G1112">
        <v>2</v>
      </c>
      <c r="H1112" s="6" t="s">
        <v>2370</v>
      </c>
      <c r="I1112" t="s">
        <v>8379</v>
      </c>
      <c r="J1112" t="s">
        <v>8375</v>
      </c>
    </row>
    <row r="1113" spans="1:10" x14ac:dyDescent="0.35">
      <c r="A1113" s="6" t="s">
        <v>1249</v>
      </c>
      <c r="B1113">
        <v>32.659999999999997</v>
      </c>
      <c r="C1113">
        <v>8.92</v>
      </c>
      <c r="D1113" s="6" t="s">
        <v>2373</v>
      </c>
      <c r="E1113" s="6" t="s">
        <v>2370</v>
      </c>
      <c r="F1113" s="6" t="s">
        <v>2370</v>
      </c>
      <c r="G1113">
        <v>0</v>
      </c>
      <c r="H1113" s="6" t="s">
        <v>2370</v>
      </c>
      <c r="I1113" t="s">
        <v>8374</v>
      </c>
      <c r="J1113" t="s">
        <v>8375</v>
      </c>
    </row>
    <row r="1114" spans="1:10" x14ac:dyDescent="0.35">
      <c r="A1114" s="6" t="s">
        <v>1248</v>
      </c>
      <c r="B1114">
        <v>30.78</v>
      </c>
      <c r="C1114">
        <v>8.6300000000000008</v>
      </c>
      <c r="D1114" s="6" t="s">
        <v>2370</v>
      </c>
      <c r="E1114" s="6" t="s">
        <v>2370</v>
      </c>
      <c r="F1114" s="6" t="s">
        <v>2370</v>
      </c>
      <c r="G1114">
        <v>0</v>
      </c>
      <c r="H1114" s="6" t="s">
        <v>2370</v>
      </c>
      <c r="I1114" t="s">
        <v>8374</v>
      </c>
      <c r="J1114" t="s">
        <v>8375</v>
      </c>
    </row>
    <row r="1115" spans="1:10" x14ac:dyDescent="0.35">
      <c r="A1115" s="6" t="s">
        <v>1247</v>
      </c>
      <c r="B1115">
        <v>47.2</v>
      </c>
      <c r="C1115">
        <v>6.29</v>
      </c>
      <c r="D1115" s="6" t="s">
        <v>2373</v>
      </c>
      <c r="E1115" s="6" t="s">
        <v>2370</v>
      </c>
      <c r="F1115" s="6" t="s">
        <v>2373</v>
      </c>
      <c r="G1115">
        <v>1</v>
      </c>
      <c r="H1115" s="6" t="s">
        <v>2370</v>
      </c>
      <c r="I1115" t="s">
        <v>8374</v>
      </c>
      <c r="J1115" t="s">
        <v>8376</v>
      </c>
    </row>
    <row r="1116" spans="1:10" x14ac:dyDescent="0.35">
      <c r="A1116" s="6" t="s">
        <v>1246</v>
      </c>
      <c r="B1116">
        <v>31.6</v>
      </c>
      <c r="C1116">
        <v>5.75</v>
      </c>
      <c r="D1116" s="6" t="s">
        <v>2370</v>
      </c>
      <c r="E1116" s="6" t="s">
        <v>2370</v>
      </c>
      <c r="F1116" s="6" t="s">
        <v>2370</v>
      </c>
      <c r="G1116">
        <v>2</v>
      </c>
      <c r="H1116" s="6" t="s">
        <v>2370</v>
      </c>
      <c r="I1116" t="s">
        <v>8374</v>
      </c>
      <c r="J1116" t="s">
        <v>8376</v>
      </c>
    </row>
    <row r="1117" spans="1:10" x14ac:dyDescent="0.35">
      <c r="A1117" s="6" t="s">
        <v>1245</v>
      </c>
      <c r="B1117">
        <v>33.914999999999999</v>
      </c>
      <c r="C1117">
        <v>6.66</v>
      </c>
      <c r="D1117" s="6" t="s">
        <v>2373</v>
      </c>
      <c r="E1117" s="6" t="s">
        <v>2370</v>
      </c>
      <c r="F1117" s="6" t="s">
        <v>2370</v>
      </c>
      <c r="G1117">
        <v>1</v>
      </c>
      <c r="H1117" s="6" t="s">
        <v>2370</v>
      </c>
      <c r="I1117" t="s">
        <v>8374</v>
      </c>
      <c r="J1117" t="s">
        <v>8375</v>
      </c>
    </row>
    <row r="1118" spans="1:10" x14ac:dyDescent="0.35">
      <c r="A1118" s="6" t="s">
        <v>1244</v>
      </c>
      <c r="B1118">
        <v>23.54</v>
      </c>
      <c r="C1118">
        <v>5.0999999999999996</v>
      </c>
      <c r="D1118" s="6" t="s">
        <v>2370</v>
      </c>
      <c r="E1118" s="6" t="s">
        <v>2370</v>
      </c>
      <c r="F1118" s="6" t="s">
        <v>2370</v>
      </c>
      <c r="G1118">
        <v>2</v>
      </c>
      <c r="H1118" s="6" t="s">
        <v>2370</v>
      </c>
      <c r="I1118" t="s">
        <v>8379</v>
      </c>
      <c r="J1118" t="s">
        <v>8377</v>
      </c>
    </row>
    <row r="1119" spans="1:10" x14ac:dyDescent="0.35">
      <c r="A1119" s="6" t="s">
        <v>1243</v>
      </c>
      <c r="B1119">
        <v>27.074999999999999</v>
      </c>
      <c r="C1119">
        <v>4.41</v>
      </c>
      <c r="D1119" s="6" t="s">
        <v>2370</v>
      </c>
      <c r="E1119" s="6" t="s">
        <v>2370</v>
      </c>
      <c r="F1119" s="6" t="s">
        <v>2370</v>
      </c>
      <c r="G1119">
        <v>2</v>
      </c>
      <c r="H1119" s="6" t="s">
        <v>2370</v>
      </c>
      <c r="I1119" t="s">
        <v>8378</v>
      </c>
      <c r="J1119" t="s">
        <v>8377</v>
      </c>
    </row>
    <row r="1120" spans="1:10" x14ac:dyDescent="0.35">
      <c r="A1120" s="6" t="s">
        <v>1242</v>
      </c>
      <c r="B1120">
        <v>25.8</v>
      </c>
      <c r="C1120">
        <v>5.52</v>
      </c>
      <c r="D1120" s="6" t="s">
        <v>2373</v>
      </c>
      <c r="E1120" s="6" t="s">
        <v>2370</v>
      </c>
      <c r="F1120" s="6" t="s">
        <v>2370</v>
      </c>
      <c r="G1120">
        <v>0</v>
      </c>
      <c r="H1120" s="6" t="s">
        <v>2370</v>
      </c>
      <c r="I1120" t="s">
        <v>8378</v>
      </c>
      <c r="J1120" t="s">
        <v>8377</v>
      </c>
    </row>
    <row r="1121" spans="1:10" x14ac:dyDescent="0.35">
      <c r="A1121" s="6" t="s">
        <v>1241</v>
      </c>
      <c r="B1121">
        <v>36.1</v>
      </c>
      <c r="C1121">
        <v>4.62</v>
      </c>
      <c r="D1121" s="6" t="s">
        <v>2373</v>
      </c>
      <c r="E1121" s="6" t="s">
        <v>2370</v>
      </c>
      <c r="F1121" s="6" t="s">
        <v>2373</v>
      </c>
      <c r="G1121">
        <v>1</v>
      </c>
      <c r="H1121" s="6" t="s">
        <v>2370</v>
      </c>
      <c r="I1121" t="s">
        <v>8374</v>
      </c>
      <c r="J1121" t="s">
        <v>8377</v>
      </c>
    </row>
    <row r="1122" spans="1:10" x14ac:dyDescent="0.35">
      <c r="A1122" s="6" t="s">
        <v>1240</v>
      </c>
      <c r="B1122">
        <v>30.495000000000001</v>
      </c>
      <c r="C1122">
        <v>5.74</v>
      </c>
      <c r="D1122" s="6" t="s">
        <v>2373</v>
      </c>
      <c r="E1122" s="6" t="s">
        <v>2370</v>
      </c>
      <c r="F1122" s="6" t="s">
        <v>2373</v>
      </c>
      <c r="G1122">
        <v>1</v>
      </c>
      <c r="H1122" s="6" t="s">
        <v>2370</v>
      </c>
      <c r="I1122" t="s">
        <v>8374</v>
      </c>
      <c r="J1122" t="s">
        <v>8376</v>
      </c>
    </row>
    <row r="1123" spans="1:10" x14ac:dyDescent="0.35">
      <c r="A1123" s="6" t="s">
        <v>1239</v>
      </c>
      <c r="B1123">
        <v>21.4</v>
      </c>
      <c r="C1123">
        <v>6.3</v>
      </c>
      <c r="D1123" s="6" t="s">
        <v>2373</v>
      </c>
      <c r="E1123" s="6" t="s">
        <v>2370</v>
      </c>
      <c r="F1123" s="6" t="s">
        <v>2373</v>
      </c>
      <c r="G1123">
        <v>1</v>
      </c>
      <c r="H1123" s="6" t="s">
        <v>2370</v>
      </c>
      <c r="I1123" t="s">
        <v>8379</v>
      </c>
      <c r="J1123" t="s">
        <v>8376</v>
      </c>
    </row>
    <row r="1124" spans="1:10" x14ac:dyDescent="0.35">
      <c r="A1124" s="6" t="s">
        <v>1238</v>
      </c>
      <c r="B1124">
        <v>32.299999999999997</v>
      </c>
      <c r="C1124">
        <v>10.27</v>
      </c>
      <c r="D1124" s="6" t="s">
        <v>2370</v>
      </c>
      <c r="E1124" s="6" t="s">
        <v>2370</v>
      </c>
      <c r="F1124" s="6" t="s">
        <v>2370</v>
      </c>
      <c r="G1124">
        <v>0</v>
      </c>
      <c r="H1124" s="6" t="s">
        <v>2370</v>
      </c>
      <c r="I1124" t="s">
        <v>8374</v>
      </c>
      <c r="J1124" t="s">
        <v>8375</v>
      </c>
    </row>
    <row r="1125" spans="1:10" x14ac:dyDescent="0.35">
      <c r="A1125" s="6" t="s">
        <v>1237</v>
      </c>
      <c r="B1125">
        <v>29.78</v>
      </c>
      <c r="C1125">
        <v>5.85</v>
      </c>
      <c r="D1125" s="6" t="s">
        <v>2370</v>
      </c>
      <c r="E1125" s="6" t="s">
        <v>2370</v>
      </c>
      <c r="F1125" s="6" t="s">
        <v>2373</v>
      </c>
      <c r="G1125">
        <v>1</v>
      </c>
      <c r="H1125" s="6" t="s">
        <v>2370</v>
      </c>
      <c r="I1125" t="s">
        <v>8378</v>
      </c>
      <c r="J1125" t="s">
        <v>8376</v>
      </c>
    </row>
    <row r="1126" spans="1:10" x14ac:dyDescent="0.35">
      <c r="A1126" s="6" t="s">
        <v>1236</v>
      </c>
      <c r="B1126">
        <v>34.76</v>
      </c>
      <c r="C1126">
        <v>5.92</v>
      </c>
      <c r="D1126" s="6" t="s">
        <v>2373</v>
      </c>
      <c r="E1126" s="6" t="s">
        <v>2370</v>
      </c>
      <c r="F1126" s="6" t="s">
        <v>2370</v>
      </c>
      <c r="G1126">
        <v>1</v>
      </c>
      <c r="H1126" s="6" t="s">
        <v>2370</v>
      </c>
      <c r="I1126" t="s">
        <v>8374</v>
      </c>
      <c r="J1126" t="s">
        <v>8376</v>
      </c>
    </row>
    <row r="1127" spans="1:10" x14ac:dyDescent="0.35">
      <c r="A1127" s="6" t="s">
        <v>1235</v>
      </c>
      <c r="B1127">
        <v>18.335000000000001</v>
      </c>
      <c r="C1127">
        <v>10.01</v>
      </c>
      <c r="D1127" s="6" t="s">
        <v>2373</v>
      </c>
      <c r="E1127" s="6" t="s">
        <v>2370</v>
      </c>
      <c r="F1127" s="6" t="s">
        <v>2370</v>
      </c>
      <c r="G1127">
        <v>2</v>
      </c>
      <c r="H1127" s="6" t="s">
        <v>2370</v>
      </c>
      <c r="I1127" t="s">
        <v>8380</v>
      </c>
      <c r="J1127" t="s">
        <v>8375</v>
      </c>
    </row>
    <row r="1128" spans="1:10" x14ac:dyDescent="0.35">
      <c r="A1128" s="6" t="s">
        <v>1234</v>
      </c>
      <c r="B1128">
        <v>32.299999999999997</v>
      </c>
      <c r="C1128">
        <v>9.59</v>
      </c>
      <c r="D1128" s="6" t="s">
        <v>2370</v>
      </c>
      <c r="E1128" s="6" t="s">
        <v>2370</v>
      </c>
      <c r="F1128" s="6" t="s">
        <v>2370</v>
      </c>
      <c r="G1128">
        <v>0</v>
      </c>
      <c r="H1128" s="6" t="s">
        <v>2370</v>
      </c>
      <c r="I1128" t="s">
        <v>8374</v>
      </c>
      <c r="J1128" t="s">
        <v>8375</v>
      </c>
    </row>
    <row r="1129" spans="1:10" x14ac:dyDescent="0.35">
      <c r="A1129" s="6" t="s">
        <v>1233</v>
      </c>
      <c r="B1129">
        <v>27.74</v>
      </c>
      <c r="C1129">
        <v>10.37</v>
      </c>
      <c r="D1129" s="6" t="s">
        <v>2370</v>
      </c>
      <c r="E1129" s="6" t="s">
        <v>2370</v>
      </c>
      <c r="F1129" s="6" t="s">
        <v>2370</v>
      </c>
      <c r="G1129">
        <v>0</v>
      </c>
      <c r="H1129" s="6" t="s">
        <v>2370</v>
      </c>
      <c r="I1129" t="s">
        <v>8378</v>
      </c>
      <c r="J1129" t="s">
        <v>8375</v>
      </c>
    </row>
    <row r="1130" spans="1:10" x14ac:dyDescent="0.35">
      <c r="A1130" s="6" t="s">
        <v>1232</v>
      </c>
      <c r="B1130">
        <v>24</v>
      </c>
      <c r="C1130">
        <v>4.01</v>
      </c>
      <c r="D1130" s="6" t="s">
        <v>2373</v>
      </c>
      <c r="E1130" s="6" t="s">
        <v>2370</v>
      </c>
      <c r="F1130" s="6" t="s">
        <v>2370</v>
      </c>
      <c r="G1130">
        <v>1</v>
      </c>
      <c r="H1130" s="6" t="s">
        <v>2370</v>
      </c>
      <c r="I1130" t="s">
        <v>8379</v>
      </c>
      <c r="J1130" t="s">
        <v>8377</v>
      </c>
    </row>
    <row r="1131" spans="1:10" x14ac:dyDescent="0.35">
      <c r="A1131" s="6" t="s">
        <v>1231</v>
      </c>
      <c r="B1131">
        <v>31.78</v>
      </c>
      <c r="C1131">
        <v>4.24</v>
      </c>
      <c r="D1131" s="6" t="s">
        <v>2373</v>
      </c>
      <c r="E1131" s="6" t="s">
        <v>2370</v>
      </c>
      <c r="F1131" s="6" t="s">
        <v>2373</v>
      </c>
      <c r="G1131">
        <v>1</v>
      </c>
      <c r="H1131" s="6" t="s">
        <v>2370</v>
      </c>
      <c r="I1131" t="s">
        <v>8374</v>
      </c>
      <c r="J1131" t="s">
        <v>8377</v>
      </c>
    </row>
    <row r="1132" spans="1:10" x14ac:dyDescent="0.35">
      <c r="A1132" s="6" t="s">
        <v>1230</v>
      </c>
      <c r="B1132">
        <v>32.25</v>
      </c>
      <c r="C1132">
        <v>5.36</v>
      </c>
      <c r="D1132" s="6" t="s">
        <v>2373</v>
      </c>
      <c r="E1132" s="6" t="s">
        <v>2370</v>
      </c>
      <c r="F1132" s="6" t="s">
        <v>2370</v>
      </c>
      <c r="G1132">
        <v>0</v>
      </c>
      <c r="H1132" s="6" t="s">
        <v>2370</v>
      </c>
      <c r="I1132" t="s">
        <v>8374</v>
      </c>
      <c r="J1132" t="s">
        <v>8377</v>
      </c>
    </row>
    <row r="1133" spans="1:10" x14ac:dyDescent="0.35">
      <c r="A1133" s="6" t="s">
        <v>1229</v>
      </c>
      <c r="B1133">
        <v>30.114999999999998</v>
      </c>
      <c r="C1133">
        <v>4.99</v>
      </c>
      <c r="D1133" s="6" t="s">
        <v>2370</v>
      </c>
      <c r="E1133" s="6" t="s">
        <v>2370</v>
      </c>
      <c r="F1133" s="6" t="s">
        <v>2370</v>
      </c>
      <c r="G1133">
        <v>2</v>
      </c>
      <c r="H1133" s="6" t="s">
        <v>2370</v>
      </c>
      <c r="I1133" t="s">
        <v>8374</v>
      </c>
      <c r="J1133" t="s">
        <v>8377</v>
      </c>
    </row>
    <row r="1134" spans="1:10" x14ac:dyDescent="0.35">
      <c r="A1134" s="6" t="s">
        <v>1228</v>
      </c>
      <c r="B1134">
        <v>22.41</v>
      </c>
      <c r="C1134">
        <v>8.68</v>
      </c>
      <c r="D1134" s="6" t="s">
        <v>2370</v>
      </c>
      <c r="E1134" s="6" t="s">
        <v>2370</v>
      </c>
      <c r="F1134" s="6" t="s">
        <v>2370</v>
      </c>
      <c r="G1134">
        <v>0</v>
      </c>
      <c r="H1134" s="6" t="s">
        <v>2370</v>
      </c>
      <c r="I1134" t="s">
        <v>8379</v>
      </c>
      <c r="J1134" t="s">
        <v>8375</v>
      </c>
    </row>
    <row r="1135" spans="1:10" x14ac:dyDescent="0.35">
      <c r="A1135" s="6" t="s">
        <v>1227</v>
      </c>
      <c r="B1135">
        <v>45.72</v>
      </c>
      <c r="C1135">
        <v>4.2300000000000004</v>
      </c>
      <c r="D1135" s="6" t="s">
        <v>2373</v>
      </c>
      <c r="E1135" s="6" t="s">
        <v>2370</v>
      </c>
      <c r="F1135" s="6" t="s">
        <v>2370</v>
      </c>
      <c r="G1135">
        <v>0</v>
      </c>
      <c r="H1135" s="6" t="s">
        <v>2370</v>
      </c>
      <c r="I1135" t="s">
        <v>8374</v>
      </c>
      <c r="J1135" t="s">
        <v>8377</v>
      </c>
    </row>
    <row r="1136" spans="1:10" x14ac:dyDescent="0.35">
      <c r="A1136" s="6" t="s">
        <v>1226</v>
      </c>
      <c r="B1136">
        <v>25</v>
      </c>
      <c r="C1136">
        <v>5.32</v>
      </c>
      <c r="D1136" s="6" t="s">
        <v>2373</v>
      </c>
      <c r="E1136" s="6" t="s">
        <v>2370</v>
      </c>
      <c r="F1136" s="6" t="s">
        <v>2370</v>
      </c>
      <c r="G1136">
        <v>2</v>
      </c>
      <c r="H1136" s="6" t="s">
        <v>2370</v>
      </c>
      <c r="I1136" t="s">
        <v>8378</v>
      </c>
      <c r="J1136" t="s">
        <v>8377</v>
      </c>
    </row>
    <row r="1137" spans="1:10" x14ac:dyDescent="0.35">
      <c r="A1137" s="6" t="s">
        <v>1225</v>
      </c>
      <c r="B1137">
        <v>39.5</v>
      </c>
      <c r="C1137">
        <v>6.66</v>
      </c>
      <c r="D1137" s="6" t="s">
        <v>2370</v>
      </c>
      <c r="E1137" s="6" t="s">
        <v>2370</v>
      </c>
      <c r="F1137" s="6" t="s">
        <v>2370</v>
      </c>
      <c r="G1137">
        <v>0</v>
      </c>
      <c r="H1137" s="6" t="s">
        <v>2370</v>
      </c>
      <c r="I1137" t="s">
        <v>8374</v>
      </c>
      <c r="J1137" t="s">
        <v>8375</v>
      </c>
    </row>
    <row r="1138" spans="1:10" x14ac:dyDescent="0.35">
      <c r="A1138" s="6" t="s">
        <v>1224</v>
      </c>
      <c r="B1138">
        <v>37.729999999999997</v>
      </c>
      <c r="C1138">
        <v>7.4</v>
      </c>
      <c r="D1138" s="6" t="s">
        <v>2370</v>
      </c>
      <c r="E1138" s="6" t="s">
        <v>2370</v>
      </c>
      <c r="F1138" s="6" t="s">
        <v>2370</v>
      </c>
      <c r="G1138">
        <v>0</v>
      </c>
      <c r="H1138" s="6" t="s">
        <v>2370</v>
      </c>
      <c r="I1138" t="s">
        <v>8374</v>
      </c>
      <c r="J1138" t="s">
        <v>8375</v>
      </c>
    </row>
    <row r="1139" spans="1:10" x14ac:dyDescent="0.35">
      <c r="A1139" s="6" t="s">
        <v>1223</v>
      </c>
      <c r="B1139">
        <v>40.659999999999997</v>
      </c>
      <c r="C1139">
        <v>10.08</v>
      </c>
      <c r="D1139" s="6" t="s">
        <v>2370</v>
      </c>
      <c r="E1139" s="6" t="s">
        <v>2370</v>
      </c>
      <c r="F1139" s="6" t="s">
        <v>2370</v>
      </c>
      <c r="G1139">
        <v>0</v>
      </c>
      <c r="H1139" s="6" t="s">
        <v>2370</v>
      </c>
      <c r="I1139" t="s">
        <v>8374</v>
      </c>
      <c r="J1139" t="s">
        <v>8375</v>
      </c>
    </row>
    <row r="1140" spans="1:10" x14ac:dyDescent="0.35">
      <c r="A1140" s="6" t="s">
        <v>1222</v>
      </c>
      <c r="B1140">
        <v>34.200000000000003</v>
      </c>
      <c r="C1140">
        <v>8.58</v>
      </c>
      <c r="D1140" s="6" t="s">
        <v>2370</v>
      </c>
      <c r="E1140" s="6" t="s">
        <v>2370</v>
      </c>
      <c r="F1140" s="6" t="s">
        <v>2370</v>
      </c>
      <c r="G1140">
        <v>0</v>
      </c>
      <c r="H1140" s="6" t="s">
        <v>2370</v>
      </c>
      <c r="I1140" t="s">
        <v>8374</v>
      </c>
      <c r="J1140" t="s">
        <v>8375</v>
      </c>
    </row>
    <row r="1141" spans="1:10" x14ac:dyDescent="0.35">
      <c r="A1141" s="6" t="s">
        <v>1221</v>
      </c>
      <c r="B1141">
        <v>46.51</v>
      </c>
      <c r="C1141">
        <v>5.84</v>
      </c>
      <c r="D1141" s="6" t="s">
        <v>2370</v>
      </c>
      <c r="E1141" s="6" t="s">
        <v>2370</v>
      </c>
      <c r="F1141" s="6" t="s">
        <v>2370</v>
      </c>
      <c r="G1141">
        <v>1</v>
      </c>
      <c r="H1141" s="6" t="s">
        <v>2370</v>
      </c>
      <c r="I1141" t="s">
        <v>8374</v>
      </c>
      <c r="J1141" t="s">
        <v>8376</v>
      </c>
    </row>
    <row r="1142" spans="1:10" x14ac:dyDescent="0.35">
      <c r="A1142" s="6" t="s">
        <v>1220</v>
      </c>
      <c r="B1142">
        <v>28.88</v>
      </c>
      <c r="C1142">
        <v>4.8600000000000003</v>
      </c>
      <c r="D1142" s="6" t="s">
        <v>2373</v>
      </c>
      <c r="E1142" s="6" t="s">
        <v>2370</v>
      </c>
      <c r="F1142" s="6" t="s">
        <v>2373</v>
      </c>
      <c r="G1142">
        <v>1</v>
      </c>
      <c r="H1142" s="6" t="s">
        <v>2370</v>
      </c>
      <c r="I1142" t="s">
        <v>8378</v>
      </c>
      <c r="J1142" t="s">
        <v>8377</v>
      </c>
    </row>
    <row r="1143" spans="1:10" x14ac:dyDescent="0.35">
      <c r="A1143" s="6" t="s">
        <v>1219</v>
      </c>
      <c r="B1143">
        <v>33.914999999999999</v>
      </c>
      <c r="C1143">
        <v>11.52</v>
      </c>
      <c r="D1143" s="6" t="s">
        <v>2370</v>
      </c>
      <c r="E1143" s="6" t="s">
        <v>2370</v>
      </c>
      <c r="F1143" s="6" t="s">
        <v>2370</v>
      </c>
      <c r="G1143">
        <v>0</v>
      </c>
      <c r="H1143" s="6" t="s">
        <v>2370</v>
      </c>
      <c r="I1143" t="s">
        <v>8374</v>
      </c>
      <c r="J1143" t="s">
        <v>8375</v>
      </c>
    </row>
    <row r="1144" spans="1:10" x14ac:dyDescent="0.35">
      <c r="A1144" s="6" t="s">
        <v>1218</v>
      </c>
      <c r="B1144">
        <v>24.32</v>
      </c>
      <c r="C1144">
        <v>6.15</v>
      </c>
      <c r="D1144" s="6" t="s">
        <v>2373</v>
      </c>
      <c r="E1144" s="6" t="s">
        <v>2370</v>
      </c>
      <c r="F1144" s="6" t="s">
        <v>2373</v>
      </c>
      <c r="G1144">
        <v>1</v>
      </c>
      <c r="H1144" s="6" t="s">
        <v>2370</v>
      </c>
      <c r="I1144" t="s">
        <v>8379</v>
      </c>
      <c r="J1144" t="s">
        <v>8376</v>
      </c>
    </row>
    <row r="1145" spans="1:10" x14ac:dyDescent="0.35">
      <c r="A1145" s="6" t="s">
        <v>1217</v>
      </c>
      <c r="B1145">
        <v>25.8</v>
      </c>
      <c r="C1145">
        <v>9.94</v>
      </c>
      <c r="D1145" s="6" t="s">
        <v>2370</v>
      </c>
      <c r="E1145" s="6" t="s">
        <v>2370</v>
      </c>
      <c r="F1145" s="6" t="s">
        <v>2370</v>
      </c>
      <c r="G1145">
        <v>0</v>
      </c>
      <c r="H1145" s="6" t="s">
        <v>2370</v>
      </c>
      <c r="I1145" t="s">
        <v>8378</v>
      </c>
      <c r="J1145" t="s">
        <v>8375</v>
      </c>
    </row>
    <row r="1146" spans="1:10" x14ac:dyDescent="0.35">
      <c r="A1146" s="6" t="s">
        <v>1216</v>
      </c>
      <c r="B1146">
        <v>21.56</v>
      </c>
      <c r="C1146">
        <v>10.56</v>
      </c>
      <c r="D1146" s="6" t="s">
        <v>2370</v>
      </c>
      <c r="E1146" s="6" t="s">
        <v>2370</v>
      </c>
      <c r="F1146" s="6" t="s">
        <v>2370</v>
      </c>
      <c r="G1146">
        <v>0</v>
      </c>
      <c r="H1146" s="6" t="s">
        <v>2370</v>
      </c>
      <c r="I1146" t="s">
        <v>8379</v>
      </c>
      <c r="J1146" t="s">
        <v>8375</v>
      </c>
    </row>
    <row r="1147" spans="1:10" x14ac:dyDescent="0.35">
      <c r="A1147" s="6" t="s">
        <v>1215</v>
      </c>
      <c r="B1147">
        <v>31.6</v>
      </c>
      <c r="C1147">
        <v>6.79</v>
      </c>
      <c r="D1147" s="6" t="s">
        <v>2370</v>
      </c>
      <c r="E1147" s="6" t="s">
        <v>2370</v>
      </c>
      <c r="F1147" s="6" t="s">
        <v>2370</v>
      </c>
      <c r="G1147">
        <v>0</v>
      </c>
      <c r="H1147" s="6" t="s">
        <v>2370</v>
      </c>
      <c r="I1147" t="s">
        <v>8374</v>
      </c>
      <c r="J1147" t="s">
        <v>8375</v>
      </c>
    </row>
    <row r="1148" spans="1:10" x14ac:dyDescent="0.35">
      <c r="A1148" s="6" t="s">
        <v>1214</v>
      </c>
      <c r="B1148">
        <v>42.93</v>
      </c>
      <c r="C1148">
        <v>4.8</v>
      </c>
      <c r="D1148" s="6" t="s">
        <v>2370</v>
      </c>
      <c r="E1148" s="6" t="s">
        <v>2370</v>
      </c>
      <c r="F1148" s="6" t="s">
        <v>2370</v>
      </c>
      <c r="G1148">
        <v>1</v>
      </c>
      <c r="H1148" s="6" t="s">
        <v>2370</v>
      </c>
      <c r="I1148" t="s">
        <v>8374</v>
      </c>
      <c r="J1148" t="s">
        <v>8377</v>
      </c>
    </row>
    <row r="1149" spans="1:10" x14ac:dyDescent="0.35">
      <c r="A1149" s="6" t="s">
        <v>1213</v>
      </c>
      <c r="B1149">
        <v>26.72</v>
      </c>
      <c r="C1149">
        <v>5.75</v>
      </c>
      <c r="D1149" s="6" t="s">
        <v>2370</v>
      </c>
      <c r="E1149" s="6" t="s">
        <v>2370</v>
      </c>
      <c r="F1149" s="6" t="s">
        <v>2370</v>
      </c>
      <c r="G1149">
        <v>2</v>
      </c>
      <c r="H1149" s="6" t="s">
        <v>2370</v>
      </c>
      <c r="I1149" t="s">
        <v>8378</v>
      </c>
      <c r="J1149" t="s">
        <v>8376</v>
      </c>
    </row>
    <row r="1150" spans="1:10" x14ac:dyDescent="0.35">
      <c r="A1150" s="6" t="s">
        <v>1212</v>
      </c>
      <c r="B1150">
        <v>26.67</v>
      </c>
      <c r="C1150">
        <v>5.81</v>
      </c>
      <c r="D1150" s="6" t="s">
        <v>2370</v>
      </c>
      <c r="E1150" s="6" t="s">
        <v>2370</v>
      </c>
      <c r="F1150" s="6" t="s">
        <v>2370</v>
      </c>
      <c r="G1150">
        <v>2</v>
      </c>
      <c r="H1150" s="6" t="s">
        <v>2370</v>
      </c>
      <c r="I1150" t="s">
        <v>8378</v>
      </c>
      <c r="J1150" t="s">
        <v>8376</v>
      </c>
    </row>
    <row r="1151" spans="1:10" x14ac:dyDescent="0.35">
      <c r="A1151" s="6" t="s">
        <v>1211</v>
      </c>
      <c r="B1151">
        <v>42.68</v>
      </c>
      <c r="C1151">
        <v>9.2799999999999994</v>
      </c>
      <c r="D1151" s="6" t="s">
        <v>2370</v>
      </c>
      <c r="E1151" s="6" t="s">
        <v>2370</v>
      </c>
      <c r="F1151" s="6" t="s">
        <v>2370</v>
      </c>
      <c r="G1151">
        <v>2</v>
      </c>
      <c r="H1151" s="6" t="s">
        <v>2370</v>
      </c>
      <c r="I1151" t="s">
        <v>8374</v>
      </c>
      <c r="J1151" t="s">
        <v>8375</v>
      </c>
    </row>
    <row r="1152" spans="1:10" x14ac:dyDescent="0.35">
      <c r="A1152" s="6" t="s">
        <v>1210</v>
      </c>
      <c r="B1152">
        <v>24.31</v>
      </c>
      <c r="C1152">
        <v>6.37</v>
      </c>
      <c r="D1152" s="6" t="s">
        <v>2370</v>
      </c>
      <c r="E1152" s="6" t="s">
        <v>2370</v>
      </c>
      <c r="F1152" s="6" t="s">
        <v>2370</v>
      </c>
      <c r="G1152">
        <v>0</v>
      </c>
      <c r="H1152" s="6" t="s">
        <v>2370</v>
      </c>
      <c r="I1152" t="s">
        <v>8379</v>
      </c>
      <c r="J1152" t="s">
        <v>8376</v>
      </c>
    </row>
    <row r="1153" spans="1:10" x14ac:dyDescent="0.35">
      <c r="A1153" s="6" t="s">
        <v>1209</v>
      </c>
      <c r="B1153">
        <v>44.75</v>
      </c>
      <c r="C1153">
        <v>5.09</v>
      </c>
      <c r="D1153" s="6" t="s">
        <v>2373</v>
      </c>
      <c r="E1153" s="6" t="s">
        <v>2370</v>
      </c>
      <c r="F1153" s="6" t="s">
        <v>2370</v>
      </c>
      <c r="G1153">
        <v>0</v>
      </c>
      <c r="H1153" s="6" t="s">
        <v>2370</v>
      </c>
      <c r="I1153" t="s">
        <v>8374</v>
      </c>
      <c r="J1153" t="s">
        <v>8377</v>
      </c>
    </row>
    <row r="1154" spans="1:10" x14ac:dyDescent="0.35">
      <c r="A1154" s="6" t="s">
        <v>1208</v>
      </c>
      <c r="B1154">
        <v>30.78</v>
      </c>
      <c r="C1154">
        <v>7.94</v>
      </c>
      <c r="D1154" s="6" t="s">
        <v>2370</v>
      </c>
      <c r="E1154" s="6" t="s">
        <v>2370</v>
      </c>
      <c r="F1154" s="6" t="s">
        <v>2370</v>
      </c>
      <c r="G1154">
        <v>2</v>
      </c>
      <c r="H1154" s="6" t="s">
        <v>2370</v>
      </c>
      <c r="I1154" t="s">
        <v>8374</v>
      </c>
      <c r="J1154" t="s">
        <v>8375</v>
      </c>
    </row>
    <row r="1155" spans="1:10" x14ac:dyDescent="0.35">
      <c r="A1155" s="6" t="s">
        <v>1207</v>
      </c>
      <c r="B1155">
        <v>21.86</v>
      </c>
      <c r="C1155">
        <v>10.95</v>
      </c>
      <c r="D1155" s="6" t="s">
        <v>2370</v>
      </c>
      <c r="E1155" s="6" t="s">
        <v>2370</v>
      </c>
      <c r="F1155" s="6" t="s">
        <v>2370</v>
      </c>
      <c r="G1155">
        <v>0</v>
      </c>
      <c r="H1155" s="6" t="s">
        <v>2370</v>
      </c>
      <c r="I1155" t="s">
        <v>8379</v>
      </c>
      <c r="J1155" t="s">
        <v>8375</v>
      </c>
    </row>
    <row r="1156" spans="1:10" x14ac:dyDescent="0.35">
      <c r="A1156" s="6" t="s">
        <v>1206</v>
      </c>
      <c r="B1156">
        <v>49.09</v>
      </c>
      <c r="C1156">
        <v>6.3</v>
      </c>
      <c r="D1156" s="6" t="s">
        <v>2373</v>
      </c>
      <c r="E1156" s="6" t="s">
        <v>2370</v>
      </c>
      <c r="F1156" s="6" t="s">
        <v>2370</v>
      </c>
      <c r="G1156">
        <v>0</v>
      </c>
      <c r="H1156" s="6" t="s">
        <v>2370</v>
      </c>
      <c r="I1156" t="s">
        <v>8374</v>
      </c>
      <c r="J1156" t="s">
        <v>8376</v>
      </c>
    </row>
    <row r="1157" spans="1:10" x14ac:dyDescent="0.35">
      <c r="A1157" s="6" t="s">
        <v>1205</v>
      </c>
      <c r="B1157">
        <v>47.74</v>
      </c>
      <c r="C1157">
        <v>8.0500000000000007</v>
      </c>
      <c r="D1157" s="6" t="s">
        <v>2373</v>
      </c>
      <c r="E1157" s="6" t="s">
        <v>2370</v>
      </c>
      <c r="F1157" s="6" t="s">
        <v>2370</v>
      </c>
      <c r="G1157">
        <v>2</v>
      </c>
      <c r="H1157" s="6" t="s">
        <v>2370</v>
      </c>
      <c r="I1157" t="s">
        <v>8374</v>
      </c>
      <c r="J1157" t="s">
        <v>8375</v>
      </c>
    </row>
    <row r="1158" spans="1:10" x14ac:dyDescent="0.35">
      <c r="A1158" s="6" t="s">
        <v>1204</v>
      </c>
      <c r="B1158">
        <v>30.2</v>
      </c>
      <c r="C1158">
        <v>9.8800000000000008</v>
      </c>
      <c r="D1158" s="6" t="s">
        <v>2373</v>
      </c>
      <c r="E1158" s="6" t="s">
        <v>2370</v>
      </c>
      <c r="F1158" s="6" t="s">
        <v>2370</v>
      </c>
      <c r="G1158">
        <v>2</v>
      </c>
      <c r="H1158" s="6" t="s">
        <v>2370</v>
      </c>
      <c r="I1158" t="s">
        <v>8374</v>
      </c>
      <c r="J1158" t="s">
        <v>8375</v>
      </c>
    </row>
    <row r="1159" spans="1:10" x14ac:dyDescent="0.35">
      <c r="A1159" s="6" t="s">
        <v>1203</v>
      </c>
      <c r="B1159">
        <v>33.25</v>
      </c>
      <c r="C1159">
        <v>7.42</v>
      </c>
      <c r="D1159" s="6" t="s">
        <v>2373</v>
      </c>
      <c r="E1159" s="6" t="s">
        <v>2370</v>
      </c>
      <c r="F1159" s="6" t="s">
        <v>2370</v>
      </c>
      <c r="G1159">
        <v>2</v>
      </c>
      <c r="H1159" s="6" t="s">
        <v>2370</v>
      </c>
      <c r="I1159" t="s">
        <v>8374</v>
      </c>
      <c r="J1159" t="s">
        <v>8375</v>
      </c>
    </row>
    <row r="1160" spans="1:10" x14ac:dyDescent="0.35">
      <c r="A1160" s="6" t="s">
        <v>1202</v>
      </c>
      <c r="B1160">
        <v>26.6</v>
      </c>
      <c r="C1160">
        <v>8.4499999999999993</v>
      </c>
      <c r="D1160" s="6" t="s">
        <v>2373</v>
      </c>
      <c r="E1160" s="6" t="s">
        <v>2370</v>
      </c>
      <c r="F1160" s="6" t="s">
        <v>2370</v>
      </c>
      <c r="G1160">
        <v>1</v>
      </c>
      <c r="H1160" s="6" t="s">
        <v>2370</v>
      </c>
      <c r="I1160" t="s">
        <v>8378</v>
      </c>
      <c r="J1160" t="s">
        <v>8375</v>
      </c>
    </row>
    <row r="1161" spans="1:10" x14ac:dyDescent="0.35">
      <c r="A1161" s="6" t="s">
        <v>1201</v>
      </c>
      <c r="B1161">
        <v>26.35</v>
      </c>
      <c r="C1161">
        <v>6.21</v>
      </c>
      <c r="D1161" s="6" t="s">
        <v>2370</v>
      </c>
      <c r="E1161" s="6" t="s">
        <v>2370</v>
      </c>
      <c r="F1161" s="6" t="s">
        <v>2370</v>
      </c>
      <c r="G1161">
        <v>2</v>
      </c>
      <c r="H1161" s="6" t="s">
        <v>2370</v>
      </c>
      <c r="I1161" t="s">
        <v>8378</v>
      </c>
      <c r="J1161" t="s">
        <v>8376</v>
      </c>
    </row>
    <row r="1162" spans="1:10" x14ac:dyDescent="0.35">
      <c r="A1162" s="6" t="s">
        <v>1200</v>
      </c>
      <c r="B1162">
        <v>39.994999999999997</v>
      </c>
      <c r="C1162">
        <v>4.6500000000000004</v>
      </c>
      <c r="D1162" s="6" t="s">
        <v>2370</v>
      </c>
      <c r="E1162" s="6" t="s">
        <v>2370</v>
      </c>
      <c r="F1162" s="6" t="s">
        <v>2370</v>
      </c>
      <c r="G1162">
        <v>0</v>
      </c>
      <c r="H1162" s="6" t="s">
        <v>2370</v>
      </c>
      <c r="I1162" t="s">
        <v>8374</v>
      </c>
      <c r="J1162" t="s">
        <v>8377</v>
      </c>
    </row>
    <row r="1163" spans="1:10" x14ac:dyDescent="0.35">
      <c r="A1163" s="6" t="s">
        <v>1199</v>
      </c>
      <c r="B1163">
        <v>22.92</v>
      </c>
      <c r="C1163">
        <v>5.87</v>
      </c>
      <c r="D1163" s="6" t="s">
        <v>2373</v>
      </c>
      <c r="E1163" s="6" t="s">
        <v>2370</v>
      </c>
      <c r="F1163" s="6" t="s">
        <v>2370</v>
      </c>
      <c r="G1163">
        <v>1</v>
      </c>
      <c r="H1163" s="6" t="s">
        <v>2370</v>
      </c>
      <c r="I1163" t="s">
        <v>8379</v>
      </c>
      <c r="J1163" t="s">
        <v>8376</v>
      </c>
    </row>
    <row r="1164" spans="1:10" x14ac:dyDescent="0.35">
      <c r="A1164" s="6" t="s">
        <v>1198</v>
      </c>
      <c r="B1164">
        <v>24.78</v>
      </c>
      <c r="C1164">
        <v>4.24</v>
      </c>
      <c r="D1164" s="6" t="s">
        <v>2373</v>
      </c>
      <c r="E1164" s="6" t="s">
        <v>2370</v>
      </c>
      <c r="F1164" s="6" t="s">
        <v>2370</v>
      </c>
      <c r="G1164">
        <v>2</v>
      </c>
      <c r="H1164" s="6" t="s">
        <v>2370</v>
      </c>
      <c r="I1164" t="s">
        <v>8379</v>
      </c>
      <c r="J1164" t="s">
        <v>8377</v>
      </c>
    </row>
    <row r="1165" spans="1:10" x14ac:dyDescent="0.35">
      <c r="A1165" s="6" t="s">
        <v>1197</v>
      </c>
      <c r="B1165">
        <v>34.07</v>
      </c>
      <c r="C1165">
        <v>7.81</v>
      </c>
      <c r="D1165" s="6" t="s">
        <v>2373</v>
      </c>
      <c r="E1165" s="6" t="s">
        <v>2370</v>
      </c>
      <c r="F1165" s="6" t="s">
        <v>2370</v>
      </c>
      <c r="G1165">
        <v>0</v>
      </c>
      <c r="H1165" s="6" t="s">
        <v>2370</v>
      </c>
      <c r="I1165" t="s">
        <v>8374</v>
      </c>
      <c r="J1165" t="s">
        <v>8375</v>
      </c>
    </row>
    <row r="1166" spans="1:10" x14ac:dyDescent="0.35">
      <c r="A1166" s="6" t="s">
        <v>1196</v>
      </c>
      <c r="B1166">
        <v>30.14</v>
      </c>
      <c r="C1166">
        <v>9.85</v>
      </c>
      <c r="D1166" s="6" t="s">
        <v>2370</v>
      </c>
      <c r="E1166" s="6" t="s">
        <v>2370</v>
      </c>
      <c r="F1166" s="6" t="s">
        <v>2370</v>
      </c>
      <c r="G1166">
        <v>0</v>
      </c>
      <c r="H1166" s="6" t="s">
        <v>2370</v>
      </c>
      <c r="I1166" t="s">
        <v>8374</v>
      </c>
      <c r="J1166" t="s">
        <v>8375</v>
      </c>
    </row>
    <row r="1167" spans="1:10" x14ac:dyDescent="0.35">
      <c r="A1167" s="6" t="s">
        <v>1195</v>
      </c>
      <c r="B1167">
        <v>18.05</v>
      </c>
      <c r="C1167">
        <v>6.94</v>
      </c>
      <c r="D1167" s="6" t="s">
        <v>2370</v>
      </c>
      <c r="E1167" s="6" t="s">
        <v>2370</v>
      </c>
      <c r="F1167" s="6" t="s">
        <v>2370</v>
      </c>
      <c r="G1167">
        <v>0</v>
      </c>
      <c r="H1167" s="6" t="s">
        <v>2370</v>
      </c>
      <c r="I1167" t="s">
        <v>8380</v>
      </c>
      <c r="J1167" t="s">
        <v>8375</v>
      </c>
    </row>
    <row r="1168" spans="1:10" x14ac:dyDescent="0.35">
      <c r="A1168" s="6" t="s">
        <v>1194</v>
      </c>
      <c r="B1168">
        <v>37.4</v>
      </c>
      <c r="C1168">
        <v>11.3</v>
      </c>
      <c r="D1168" s="6" t="s">
        <v>2373</v>
      </c>
      <c r="E1168" s="6" t="s">
        <v>2370</v>
      </c>
      <c r="F1168" s="6" t="s">
        <v>2370</v>
      </c>
      <c r="G1168">
        <v>2</v>
      </c>
      <c r="H1168" s="6" t="s">
        <v>2370</v>
      </c>
      <c r="I1168" t="s">
        <v>8374</v>
      </c>
      <c r="J1168" t="s">
        <v>8375</v>
      </c>
    </row>
    <row r="1169" spans="1:10" x14ac:dyDescent="0.35">
      <c r="A1169" s="6" t="s">
        <v>1193</v>
      </c>
      <c r="B1169">
        <v>25.75</v>
      </c>
      <c r="C1169">
        <v>9.23</v>
      </c>
      <c r="D1169" s="6" t="s">
        <v>2370</v>
      </c>
      <c r="E1169" s="6" t="s">
        <v>2370</v>
      </c>
      <c r="F1169" s="6" t="s">
        <v>2370</v>
      </c>
      <c r="G1169">
        <v>0</v>
      </c>
      <c r="H1169" s="6" t="s">
        <v>2370</v>
      </c>
      <c r="I1169" t="s">
        <v>8378</v>
      </c>
      <c r="J1169" t="s">
        <v>8375</v>
      </c>
    </row>
    <row r="1170" spans="1:10" x14ac:dyDescent="0.35">
      <c r="A1170" s="6" t="s">
        <v>1192</v>
      </c>
      <c r="B1170">
        <v>32.299999999999997</v>
      </c>
      <c r="C1170">
        <v>4.37</v>
      </c>
      <c r="D1170" s="6" t="s">
        <v>2370</v>
      </c>
      <c r="E1170" s="6" t="s">
        <v>2370</v>
      </c>
      <c r="F1170" s="6" t="s">
        <v>2370</v>
      </c>
      <c r="G1170">
        <v>2</v>
      </c>
      <c r="H1170" s="6" t="s">
        <v>2370</v>
      </c>
      <c r="I1170" t="s">
        <v>8374</v>
      </c>
      <c r="J1170" t="s">
        <v>8377</v>
      </c>
    </row>
    <row r="1171" spans="1:10" x14ac:dyDescent="0.35">
      <c r="A1171" s="6" t="s">
        <v>1191</v>
      </c>
      <c r="B1171">
        <v>28.61</v>
      </c>
      <c r="C1171">
        <v>5.76</v>
      </c>
      <c r="D1171" s="6" t="s">
        <v>2370</v>
      </c>
      <c r="E1171" s="6" t="s">
        <v>2370</v>
      </c>
      <c r="F1171" s="6" t="s">
        <v>2373</v>
      </c>
      <c r="G1171">
        <v>1</v>
      </c>
      <c r="H1171" s="6" t="s">
        <v>2370</v>
      </c>
      <c r="I1171" t="s">
        <v>8378</v>
      </c>
      <c r="J1171" t="s">
        <v>8376</v>
      </c>
    </row>
    <row r="1172" spans="1:10" x14ac:dyDescent="0.35">
      <c r="A1172" s="6" t="s">
        <v>1190</v>
      </c>
      <c r="B1172">
        <v>45.41</v>
      </c>
      <c r="C1172">
        <v>4.96</v>
      </c>
      <c r="D1172" s="6" t="s">
        <v>2370</v>
      </c>
      <c r="E1172" s="6" t="s">
        <v>2370</v>
      </c>
      <c r="F1172" s="6" t="s">
        <v>2370</v>
      </c>
      <c r="G1172">
        <v>1</v>
      </c>
      <c r="H1172" s="6" t="s">
        <v>2370</v>
      </c>
      <c r="I1172" t="s">
        <v>8374</v>
      </c>
      <c r="J1172" t="s">
        <v>8377</v>
      </c>
    </row>
    <row r="1173" spans="1:10" x14ac:dyDescent="0.35">
      <c r="A1173" s="6" t="s">
        <v>1189</v>
      </c>
      <c r="B1173">
        <v>31.2</v>
      </c>
      <c r="C1173">
        <v>11.04</v>
      </c>
      <c r="D1173" s="6" t="s">
        <v>2373</v>
      </c>
      <c r="E1173" s="6" t="s">
        <v>2370</v>
      </c>
      <c r="F1173" s="6" t="s">
        <v>2370</v>
      </c>
      <c r="G1173">
        <v>2</v>
      </c>
      <c r="H1173" s="6" t="s">
        <v>2370</v>
      </c>
      <c r="I1173" t="s">
        <v>8374</v>
      </c>
      <c r="J1173" t="s">
        <v>8375</v>
      </c>
    </row>
    <row r="1174" spans="1:10" x14ac:dyDescent="0.35">
      <c r="A1174" s="6" t="s">
        <v>1188</v>
      </c>
      <c r="B1174">
        <v>29.83</v>
      </c>
      <c r="C1174">
        <v>7.81</v>
      </c>
      <c r="D1174" s="6" t="s">
        <v>2373</v>
      </c>
      <c r="E1174" s="6" t="s">
        <v>2370</v>
      </c>
      <c r="F1174" s="6" t="s">
        <v>2370</v>
      </c>
      <c r="G1174">
        <v>1</v>
      </c>
      <c r="H1174" s="6" t="s">
        <v>2370</v>
      </c>
      <c r="I1174" t="s">
        <v>8378</v>
      </c>
      <c r="J1174" t="s">
        <v>8375</v>
      </c>
    </row>
    <row r="1175" spans="1:10" x14ac:dyDescent="0.35">
      <c r="A1175" s="6" t="s">
        <v>1187</v>
      </c>
      <c r="B1175">
        <v>29.06</v>
      </c>
      <c r="C1175">
        <v>4.55</v>
      </c>
      <c r="D1175" s="6" t="s">
        <v>2370</v>
      </c>
      <c r="E1175" s="6" t="s">
        <v>2370</v>
      </c>
      <c r="F1175" s="6" t="s">
        <v>2370</v>
      </c>
      <c r="G1175">
        <v>0</v>
      </c>
      <c r="H1175" s="6" t="s">
        <v>2370</v>
      </c>
      <c r="I1175" t="s">
        <v>8378</v>
      </c>
      <c r="J1175" t="s">
        <v>8377</v>
      </c>
    </row>
    <row r="1176" spans="1:10" x14ac:dyDescent="0.35">
      <c r="A1176" s="6" t="s">
        <v>1186</v>
      </c>
      <c r="B1176">
        <v>27.454999999999998</v>
      </c>
      <c r="C1176">
        <v>6.13</v>
      </c>
      <c r="D1176" s="6" t="s">
        <v>2370</v>
      </c>
      <c r="E1176" s="6" t="s">
        <v>2370</v>
      </c>
      <c r="F1176" s="6" t="s">
        <v>2370</v>
      </c>
      <c r="G1176">
        <v>2</v>
      </c>
      <c r="H1176" s="6" t="s">
        <v>2370</v>
      </c>
      <c r="I1176" t="s">
        <v>8378</v>
      </c>
      <c r="J1176" t="s">
        <v>8376</v>
      </c>
    </row>
    <row r="1177" spans="1:10" x14ac:dyDescent="0.35">
      <c r="A1177" s="6" t="s">
        <v>1185</v>
      </c>
      <c r="B1177">
        <v>23.01</v>
      </c>
      <c r="C1177">
        <v>6.04</v>
      </c>
      <c r="D1177" s="6" t="s">
        <v>2373</v>
      </c>
      <c r="E1177" s="6" t="s">
        <v>2370</v>
      </c>
      <c r="F1177" s="6" t="s">
        <v>2370</v>
      </c>
      <c r="G1177">
        <v>1</v>
      </c>
      <c r="H1177" s="6" t="s">
        <v>2370</v>
      </c>
      <c r="I1177" t="s">
        <v>8379</v>
      </c>
      <c r="J1177" t="s">
        <v>8376</v>
      </c>
    </row>
    <row r="1178" spans="1:10" x14ac:dyDescent="0.35">
      <c r="A1178" s="6" t="s">
        <v>1184</v>
      </c>
      <c r="B1178">
        <v>31.39</v>
      </c>
      <c r="C1178">
        <v>8.85</v>
      </c>
      <c r="D1178" s="6" t="s">
        <v>2373</v>
      </c>
      <c r="E1178" s="6" t="s">
        <v>2370</v>
      </c>
      <c r="F1178" s="6" t="s">
        <v>2370</v>
      </c>
      <c r="G1178">
        <v>0</v>
      </c>
      <c r="H1178" s="6" t="s">
        <v>2370</v>
      </c>
      <c r="I1178" t="s">
        <v>8374</v>
      </c>
      <c r="J1178" t="s">
        <v>8375</v>
      </c>
    </row>
    <row r="1179" spans="1:10" x14ac:dyDescent="0.35">
      <c r="A1179" s="6" t="s">
        <v>1183</v>
      </c>
      <c r="B1179">
        <v>34.770000000000003</v>
      </c>
      <c r="C1179">
        <v>10.54</v>
      </c>
      <c r="D1179" s="6" t="s">
        <v>2370</v>
      </c>
      <c r="E1179" s="6" t="s">
        <v>2370</v>
      </c>
      <c r="F1179" s="6" t="s">
        <v>2370</v>
      </c>
      <c r="G1179">
        <v>2</v>
      </c>
      <c r="H1179" s="6" t="s">
        <v>2370</v>
      </c>
      <c r="I1179" t="s">
        <v>8374</v>
      </c>
      <c r="J1179" t="s">
        <v>8375</v>
      </c>
    </row>
    <row r="1180" spans="1:10" x14ac:dyDescent="0.35">
      <c r="A1180" s="6" t="s">
        <v>1182</v>
      </c>
      <c r="B1180">
        <v>24.48</v>
      </c>
      <c r="C1180">
        <v>4.37</v>
      </c>
      <c r="D1180" s="6" t="s">
        <v>2373</v>
      </c>
      <c r="E1180" s="6" t="s">
        <v>2370</v>
      </c>
      <c r="F1180" s="6" t="s">
        <v>2370</v>
      </c>
      <c r="G1180">
        <v>2</v>
      </c>
      <c r="H1180" s="6" t="s">
        <v>2370</v>
      </c>
      <c r="I1180" t="s">
        <v>8379</v>
      </c>
      <c r="J1180" t="s">
        <v>8377</v>
      </c>
    </row>
    <row r="1181" spans="1:10" x14ac:dyDescent="0.35">
      <c r="A1181" s="6" t="s">
        <v>1181</v>
      </c>
      <c r="B1181">
        <v>22.61</v>
      </c>
      <c r="C1181">
        <v>9.6300000000000008</v>
      </c>
      <c r="D1181" s="6" t="s">
        <v>2370</v>
      </c>
      <c r="E1181" s="6" t="s">
        <v>2370</v>
      </c>
      <c r="F1181" s="6" t="s">
        <v>2370</v>
      </c>
      <c r="G1181">
        <v>2</v>
      </c>
      <c r="H1181" s="6" t="s">
        <v>2370</v>
      </c>
      <c r="I1181" t="s">
        <v>8379</v>
      </c>
      <c r="J1181" t="s">
        <v>8375</v>
      </c>
    </row>
    <row r="1182" spans="1:10" x14ac:dyDescent="0.35">
      <c r="A1182" s="6" t="s">
        <v>1180</v>
      </c>
      <c r="B1182">
        <v>34.299999999999997</v>
      </c>
      <c r="C1182">
        <v>10.37</v>
      </c>
      <c r="D1182" s="6" t="s">
        <v>2370</v>
      </c>
      <c r="E1182" s="6" t="s">
        <v>2370</v>
      </c>
      <c r="F1182" s="6" t="s">
        <v>2370</v>
      </c>
      <c r="G1182">
        <v>0</v>
      </c>
      <c r="H1182" s="6" t="s">
        <v>2370</v>
      </c>
      <c r="I1182" t="s">
        <v>8374</v>
      </c>
      <c r="J1182" t="s">
        <v>8375</v>
      </c>
    </row>
    <row r="1183" spans="1:10" x14ac:dyDescent="0.35">
      <c r="A1183" s="6" t="s">
        <v>1179</v>
      </c>
      <c r="B1183">
        <v>46.09</v>
      </c>
      <c r="C1183">
        <v>5.44</v>
      </c>
      <c r="D1183" s="6" t="s">
        <v>2370</v>
      </c>
      <c r="E1183" s="6" t="s">
        <v>2370</v>
      </c>
      <c r="F1183" s="6" t="s">
        <v>2370</v>
      </c>
      <c r="G1183">
        <v>2</v>
      </c>
      <c r="H1183" s="6" t="s">
        <v>2370</v>
      </c>
      <c r="I1183" t="s">
        <v>8374</v>
      </c>
      <c r="J1183" t="s">
        <v>8377</v>
      </c>
    </row>
    <row r="1184" spans="1:10" x14ac:dyDescent="0.35">
      <c r="A1184" s="6" t="s">
        <v>1178</v>
      </c>
      <c r="B1184">
        <v>44.744999999999997</v>
      </c>
      <c r="C1184">
        <v>5.19</v>
      </c>
      <c r="D1184" s="6" t="s">
        <v>2370</v>
      </c>
      <c r="E1184" s="6" t="s">
        <v>2370</v>
      </c>
      <c r="F1184" s="6" t="s">
        <v>2370</v>
      </c>
      <c r="G1184">
        <v>2</v>
      </c>
      <c r="H1184" s="6" t="s">
        <v>2370</v>
      </c>
      <c r="I1184" t="s">
        <v>8374</v>
      </c>
      <c r="J1184" t="s">
        <v>8377</v>
      </c>
    </row>
    <row r="1185" spans="1:10" x14ac:dyDescent="0.35">
      <c r="A1185" s="6" t="s">
        <v>1177</v>
      </c>
      <c r="B1185">
        <v>26.33</v>
      </c>
      <c r="C1185">
        <v>11.8</v>
      </c>
      <c r="D1185" s="6" t="s">
        <v>2373</v>
      </c>
      <c r="E1185" s="6" t="s">
        <v>2370</v>
      </c>
      <c r="F1185" s="6" t="s">
        <v>2370</v>
      </c>
      <c r="G1185">
        <v>1</v>
      </c>
      <c r="H1185" s="6" t="s">
        <v>2370</v>
      </c>
      <c r="I1185" t="s">
        <v>8378</v>
      </c>
      <c r="J1185" t="s">
        <v>8375</v>
      </c>
    </row>
    <row r="1186" spans="1:10" x14ac:dyDescent="0.35">
      <c r="A1186" s="6" t="s">
        <v>1176</v>
      </c>
      <c r="B1186">
        <v>26.6</v>
      </c>
      <c r="C1186">
        <v>8.3800000000000008</v>
      </c>
      <c r="D1186" s="6" t="s">
        <v>2370</v>
      </c>
      <c r="E1186" s="6" t="s">
        <v>2370</v>
      </c>
      <c r="F1186" s="6" t="s">
        <v>2370</v>
      </c>
      <c r="G1186">
        <v>2</v>
      </c>
      <c r="H1186" s="6" t="s">
        <v>2370</v>
      </c>
      <c r="I1186" t="s">
        <v>8378</v>
      </c>
      <c r="J1186" t="s">
        <v>8375</v>
      </c>
    </row>
    <row r="1187" spans="1:10" x14ac:dyDescent="0.35">
      <c r="A1187" s="6" t="s">
        <v>1175</v>
      </c>
      <c r="B1187">
        <v>27.5</v>
      </c>
      <c r="C1187">
        <v>7.58</v>
      </c>
      <c r="D1187" s="6" t="s">
        <v>2370</v>
      </c>
      <c r="E1187" s="6" t="s">
        <v>2370</v>
      </c>
      <c r="F1187" s="6" t="s">
        <v>2370</v>
      </c>
      <c r="G1187">
        <v>0</v>
      </c>
      <c r="H1187" s="6" t="s">
        <v>2370</v>
      </c>
      <c r="I1187" t="s">
        <v>8378</v>
      </c>
      <c r="J1187" t="s">
        <v>8375</v>
      </c>
    </row>
    <row r="1188" spans="1:10" x14ac:dyDescent="0.35">
      <c r="A1188" s="6" t="s">
        <v>1174</v>
      </c>
      <c r="B1188">
        <v>41.55</v>
      </c>
      <c r="C1188">
        <v>4.6100000000000003</v>
      </c>
      <c r="D1188" s="6" t="s">
        <v>2370</v>
      </c>
      <c r="E1188" s="6" t="s">
        <v>2370</v>
      </c>
      <c r="F1188" s="6" t="s">
        <v>2370</v>
      </c>
      <c r="G1188">
        <v>1</v>
      </c>
      <c r="H1188" s="6" t="s">
        <v>2370</v>
      </c>
      <c r="I1188" t="s">
        <v>8374</v>
      </c>
      <c r="J1188" t="s">
        <v>8377</v>
      </c>
    </row>
    <row r="1189" spans="1:10" x14ac:dyDescent="0.35">
      <c r="A1189" s="6" t="s">
        <v>1173</v>
      </c>
      <c r="B1189">
        <v>41.47</v>
      </c>
      <c r="C1189">
        <v>4.7</v>
      </c>
      <c r="D1189" s="6" t="s">
        <v>2373</v>
      </c>
      <c r="E1189" s="6" t="s">
        <v>2370</v>
      </c>
      <c r="F1189" s="6" t="s">
        <v>2373</v>
      </c>
      <c r="G1189">
        <v>1</v>
      </c>
      <c r="H1189" s="6" t="s">
        <v>2370</v>
      </c>
      <c r="I1189" t="s">
        <v>8374</v>
      </c>
      <c r="J1189" t="s">
        <v>8377</v>
      </c>
    </row>
    <row r="1190" spans="1:10" x14ac:dyDescent="0.35">
      <c r="A1190" s="6" t="s">
        <v>1172</v>
      </c>
      <c r="B1190">
        <v>24.795000000000002</v>
      </c>
      <c r="C1190">
        <v>6.05</v>
      </c>
      <c r="D1190" s="6" t="s">
        <v>2373</v>
      </c>
      <c r="E1190" s="6" t="s">
        <v>2370</v>
      </c>
      <c r="F1190" s="6" t="s">
        <v>2370</v>
      </c>
      <c r="G1190">
        <v>0</v>
      </c>
      <c r="H1190" s="6" t="s">
        <v>2370</v>
      </c>
      <c r="I1190" t="s">
        <v>8379</v>
      </c>
      <c r="J1190" t="s">
        <v>8376</v>
      </c>
    </row>
    <row r="1191" spans="1:10" x14ac:dyDescent="0.35">
      <c r="A1191" s="6" t="s">
        <v>1171</v>
      </c>
      <c r="B1191">
        <v>29.48</v>
      </c>
      <c r="C1191">
        <v>5.63</v>
      </c>
      <c r="D1191" s="6" t="s">
        <v>2373</v>
      </c>
      <c r="E1191" s="6" t="s">
        <v>2370</v>
      </c>
      <c r="F1191" s="6" t="s">
        <v>2373</v>
      </c>
      <c r="G1191">
        <v>1</v>
      </c>
      <c r="H1191" s="6" t="s">
        <v>2370</v>
      </c>
      <c r="I1191" t="s">
        <v>8378</v>
      </c>
      <c r="J1191" t="s">
        <v>8377</v>
      </c>
    </row>
    <row r="1192" spans="1:10" x14ac:dyDescent="0.35">
      <c r="A1192" s="6" t="s">
        <v>1170</v>
      </c>
      <c r="B1192">
        <v>28.09</v>
      </c>
      <c r="C1192">
        <v>6.06</v>
      </c>
      <c r="D1192" s="6" t="s">
        <v>2370</v>
      </c>
      <c r="E1192" s="6" t="s">
        <v>2370</v>
      </c>
      <c r="F1192" s="6" t="s">
        <v>2373</v>
      </c>
      <c r="G1192">
        <v>1</v>
      </c>
      <c r="H1192" s="6" t="s">
        <v>2370</v>
      </c>
      <c r="I1192" t="s">
        <v>8378</v>
      </c>
      <c r="J1192" t="s">
        <v>8376</v>
      </c>
    </row>
    <row r="1193" spans="1:10" x14ac:dyDescent="0.35">
      <c r="A1193" s="6" t="s">
        <v>1169</v>
      </c>
      <c r="B1193">
        <v>32.729999999999997</v>
      </c>
      <c r="C1193">
        <v>5.19</v>
      </c>
      <c r="D1193" s="6" t="s">
        <v>2370</v>
      </c>
      <c r="E1193" s="6" t="s">
        <v>2370</v>
      </c>
      <c r="F1193" s="6" t="s">
        <v>2370</v>
      </c>
      <c r="G1193">
        <v>1</v>
      </c>
      <c r="H1193" s="6" t="s">
        <v>2370</v>
      </c>
      <c r="I1193" t="s">
        <v>8374</v>
      </c>
      <c r="J1193" t="s">
        <v>8377</v>
      </c>
    </row>
    <row r="1194" spans="1:10" x14ac:dyDescent="0.35">
      <c r="A1194" s="6" t="s">
        <v>1168</v>
      </c>
      <c r="B1194">
        <v>27.36</v>
      </c>
      <c r="C1194">
        <v>8.9600000000000009</v>
      </c>
      <c r="D1194" s="6" t="s">
        <v>2370</v>
      </c>
      <c r="E1194" s="6" t="s">
        <v>2370</v>
      </c>
      <c r="F1194" s="6" t="s">
        <v>2370</v>
      </c>
      <c r="G1194">
        <v>0</v>
      </c>
      <c r="H1194" s="6" t="s">
        <v>2370</v>
      </c>
      <c r="I1194" t="s">
        <v>8378</v>
      </c>
      <c r="J1194" t="s">
        <v>8375</v>
      </c>
    </row>
    <row r="1195" spans="1:10" x14ac:dyDescent="0.35">
      <c r="A1195" s="6" t="s">
        <v>1167</v>
      </c>
      <c r="B1195">
        <v>27.265000000000001</v>
      </c>
      <c r="C1195">
        <v>11.39</v>
      </c>
      <c r="D1195" s="6" t="s">
        <v>2370</v>
      </c>
      <c r="E1195" s="6" t="s">
        <v>2370</v>
      </c>
      <c r="F1195" s="6" t="s">
        <v>2370</v>
      </c>
      <c r="G1195">
        <v>0</v>
      </c>
      <c r="H1195" s="6" t="s">
        <v>2370</v>
      </c>
      <c r="I1195" t="s">
        <v>8378</v>
      </c>
      <c r="J1195" t="s">
        <v>8375</v>
      </c>
    </row>
    <row r="1196" spans="1:10" x14ac:dyDescent="0.35">
      <c r="A1196" s="6" t="s">
        <v>1166</v>
      </c>
      <c r="B1196">
        <v>48.07</v>
      </c>
      <c r="C1196">
        <v>4.0599999999999996</v>
      </c>
      <c r="D1196" s="6" t="s">
        <v>2373</v>
      </c>
      <c r="E1196" s="6" t="s">
        <v>2370</v>
      </c>
      <c r="F1196" s="6" t="s">
        <v>2370</v>
      </c>
      <c r="G1196">
        <v>0</v>
      </c>
      <c r="H1196" s="6" t="s">
        <v>2370</v>
      </c>
      <c r="I1196" t="s">
        <v>8374</v>
      </c>
      <c r="J1196" t="s">
        <v>8377</v>
      </c>
    </row>
    <row r="1197" spans="1:10" x14ac:dyDescent="0.35">
      <c r="A1197" s="6" t="s">
        <v>1165</v>
      </c>
      <c r="B1197">
        <v>30.8</v>
      </c>
      <c r="C1197">
        <v>5.23</v>
      </c>
      <c r="D1197" s="6" t="s">
        <v>2373</v>
      </c>
      <c r="E1197" s="6" t="s">
        <v>2370</v>
      </c>
      <c r="F1197" s="6" t="s">
        <v>2370</v>
      </c>
      <c r="G1197">
        <v>0</v>
      </c>
      <c r="H1197" s="6" t="s">
        <v>2370</v>
      </c>
      <c r="I1197" t="s">
        <v>8374</v>
      </c>
      <c r="J1197" t="s">
        <v>8377</v>
      </c>
    </row>
    <row r="1198" spans="1:10" x14ac:dyDescent="0.35">
      <c r="A1198" s="6" t="s">
        <v>1164</v>
      </c>
      <c r="B1198">
        <v>32.299999999999997</v>
      </c>
      <c r="C1198">
        <v>5.05</v>
      </c>
      <c r="D1198" s="6" t="s">
        <v>2373</v>
      </c>
      <c r="E1198" s="6" t="s">
        <v>2370</v>
      </c>
      <c r="F1198" s="6" t="s">
        <v>2370</v>
      </c>
      <c r="G1198">
        <v>0</v>
      </c>
      <c r="H1198" s="6" t="s">
        <v>2370</v>
      </c>
      <c r="I1198" t="s">
        <v>8374</v>
      </c>
      <c r="J1198" t="s">
        <v>8377</v>
      </c>
    </row>
    <row r="1199" spans="1:10" x14ac:dyDescent="0.35">
      <c r="A1199" s="6" t="s">
        <v>1163</v>
      </c>
      <c r="B1199">
        <v>39.700000000000003</v>
      </c>
      <c r="C1199">
        <v>7.34</v>
      </c>
      <c r="D1199" s="6" t="s">
        <v>2370</v>
      </c>
      <c r="E1199" s="6" t="s">
        <v>2370</v>
      </c>
      <c r="F1199" s="6" t="s">
        <v>2370</v>
      </c>
      <c r="G1199">
        <v>0</v>
      </c>
      <c r="H1199" s="6" t="s">
        <v>2370</v>
      </c>
      <c r="I1199" t="s">
        <v>8374</v>
      </c>
      <c r="J1199" t="s">
        <v>8375</v>
      </c>
    </row>
    <row r="1200" spans="1:10" x14ac:dyDescent="0.35">
      <c r="A1200" s="6" t="s">
        <v>1162</v>
      </c>
      <c r="B1200">
        <v>35.97</v>
      </c>
      <c r="C1200">
        <v>8.1300000000000008</v>
      </c>
      <c r="D1200" s="6" t="s">
        <v>2370</v>
      </c>
      <c r="E1200" s="6" t="s">
        <v>2370</v>
      </c>
      <c r="F1200" s="6" t="s">
        <v>2370</v>
      </c>
      <c r="G1200">
        <v>0</v>
      </c>
      <c r="H1200" s="6" t="s">
        <v>2370</v>
      </c>
      <c r="I1200" t="s">
        <v>8374</v>
      </c>
      <c r="J1200" t="s">
        <v>8375</v>
      </c>
    </row>
    <row r="1201" spans="1:10" x14ac:dyDescent="0.35">
      <c r="A1201" s="6" t="s">
        <v>1161</v>
      </c>
      <c r="B1201">
        <v>25.86</v>
      </c>
      <c r="C1201">
        <v>6.68</v>
      </c>
      <c r="D1201" s="6" t="s">
        <v>2373</v>
      </c>
      <c r="E1201" s="6" t="s">
        <v>2370</v>
      </c>
      <c r="F1201" s="6" t="s">
        <v>2370</v>
      </c>
      <c r="G1201">
        <v>1</v>
      </c>
      <c r="H1201" s="6" t="s">
        <v>2370</v>
      </c>
      <c r="I1201" t="s">
        <v>8378</v>
      </c>
      <c r="J1201" t="s">
        <v>8375</v>
      </c>
    </row>
    <row r="1202" spans="1:10" x14ac:dyDescent="0.35">
      <c r="A1202" s="6" t="s">
        <v>1160</v>
      </c>
      <c r="B1202">
        <v>30.03</v>
      </c>
      <c r="C1202">
        <v>11.51</v>
      </c>
      <c r="D1202" s="6" t="s">
        <v>2370</v>
      </c>
      <c r="E1202" s="6" t="s">
        <v>2370</v>
      </c>
      <c r="F1202" s="6" t="s">
        <v>2370</v>
      </c>
      <c r="G1202">
        <v>0</v>
      </c>
      <c r="H1202" s="6" t="s">
        <v>2370</v>
      </c>
      <c r="I1202" t="s">
        <v>8374</v>
      </c>
      <c r="J1202" t="s">
        <v>8375</v>
      </c>
    </row>
    <row r="1203" spans="1:10" x14ac:dyDescent="0.35">
      <c r="A1203" s="6" t="s">
        <v>1159</v>
      </c>
      <c r="B1203">
        <v>25.76</v>
      </c>
      <c r="C1203">
        <v>6.02</v>
      </c>
      <c r="D1203" s="6" t="s">
        <v>2373</v>
      </c>
      <c r="E1203" s="6" t="s">
        <v>2370</v>
      </c>
      <c r="F1203" s="6" t="s">
        <v>2373</v>
      </c>
      <c r="G1203">
        <v>1</v>
      </c>
      <c r="H1203" s="6" t="s">
        <v>2370</v>
      </c>
      <c r="I1203" t="s">
        <v>8378</v>
      </c>
      <c r="J1203" t="s">
        <v>8376</v>
      </c>
    </row>
    <row r="1204" spans="1:10" x14ac:dyDescent="0.35">
      <c r="A1204" s="6" t="s">
        <v>1158</v>
      </c>
      <c r="B1204">
        <v>22.42</v>
      </c>
      <c r="C1204">
        <v>7.96</v>
      </c>
      <c r="D1204" s="6" t="s">
        <v>2370</v>
      </c>
      <c r="E1204" s="6" t="s">
        <v>2370</v>
      </c>
      <c r="F1204" s="6" t="s">
        <v>2370</v>
      </c>
      <c r="G1204">
        <v>0</v>
      </c>
      <c r="H1204" s="6" t="s">
        <v>2370</v>
      </c>
      <c r="I1204" t="s">
        <v>8379</v>
      </c>
      <c r="J1204" t="s">
        <v>8375</v>
      </c>
    </row>
    <row r="1205" spans="1:10" x14ac:dyDescent="0.35">
      <c r="A1205" s="6" t="s">
        <v>1157</v>
      </c>
      <c r="B1205">
        <v>33.18</v>
      </c>
      <c r="C1205">
        <v>6.01</v>
      </c>
      <c r="D1205" s="6" t="s">
        <v>2373</v>
      </c>
      <c r="E1205" s="6" t="s">
        <v>2370</v>
      </c>
      <c r="F1205" s="6" t="s">
        <v>2370</v>
      </c>
      <c r="G1205">
        <v>1</v>
      </c>
      <c r="H1205" s="6" t="s">
        <v>2370</v>
      </c>
      <c r="I1205" t="s">
        <v>8374</v>
      </c>
      <c r="J1205" t="s">
        <v>8376</v>
      </c>
    </row>
    <row r="1206" spans="1:10" x14ac:dyDescent="0.35">
      <c r="A1206" s="6" t="s">
        <v>1156</v>
      </c>
      <c r="B1206">
        <v>43.04</v>
      </c>
      <c r="C1206">
        <v>5.9</v>
      </c>
      <c r="D1206" s="6" t="s">
        <v>2373</v>
      </c>
      <c r="E1206" s="6" t="s">
        <v>2370</v>
      </c>
      <c r="F1206" s="6" t="s">
        <v>2370</v>
      </c>
      <c r="G1206">
        <v>0</v>
      </c>
      <c r="H1206" s="6" t="s">
        <v>2370</v>
      </c>
      <c r="I1206" t="s">
        <v>8374</v>
      </c>
      <c r="J1206" t="s">
        <v>8376</v>
      </c>
    </row>
    <row r="1207" spans="1:10" x14ac:dyDescent="0.35">
      <c r="A1207" s="6" t="s">
        <v>1155</v>
      </c>
      <c r="B1207">
        <v>34.15</v>
      </c>
      <c r="C1207">
        <v>4.49</v>
      </c>
      <c r="D1207" s="6" t="s">
        <v>2373</v>
      </c>
      <c r="E1207" s="6" t="s">
        <v>2370</v>
      </c>
      <c r="F1207" s="6" t="s">
        <v>2370</v>
      </c>
      <c r="G1207">
        <v>1</v>
      </c>
      <c r="H1207" s="6" t="s">
        <v>2370</v>
      </c>
      <c r="I1207" t="s">
        <v>8374</v>
      </c>
      <c r="J1207" t="s">
        <v>8377</v>
      </c>
    </row>
    <row r="1208" spans="1:10" x14ac:dyDescent="0.35">
      <c r="A1208" s="6" t="s">
        <v>1154</v>
      </c>
      <c r="B1208">
        <v>25.78</v>
      </c>
      <c r="C1208">
        <v>6.25</v>
      </c>
      <c r="D1208" s="6" t="s">
        <v>2370</v>
      </c>
      <c r="E1208" s="6" t="s">
        <v>2370</v>
      </c>
      <c r="F1208" s="6" t="s">
        <v>2370</v>
      </c>
      <c r="G1208">
        <v>0</v>
      </c>
      <c r="H1208" s="6" t="s">
        <v>2370</v>
      </c>
      <c r="I1208" t="s">
        <v>8378</v>
      </c>
      <c r="J1208" t="s">
        <v>8376</v>
      </c>
    </row>
    <row r="1209" spans="1:10" x14ac:dyDescent="0.35">
      <c r="A1209" s="6" t="s">
        <v>1153</v>
      </c>
      <c r="B1209">
        <v>21.02</v>
      </c>
      <c r="C1209">
        <v>9.6199999999999992</v>
      </c>
      <c r="D1209" s="6" t="s">
        <v>2373</v>
      </c>
      <c r="E1209" s="6" t="s">
        <v>2370</v>
      </c>
      <c r="F1209" s="6" t="s">
        <v>2373</v>
      </c>
      <c r="G1209">
        <v>1</v>
      </c>
      <c r="H1209" s="6" t="s">
        <v>2370</v>
      </c>
      <c r="I1209" t="s">
        <v>8379</v>
      </c>
      <c r="J1209" t="s">
        <v>8375</v>
      </c>
    </row>
    <row r="1210" spans="1:10" x14ac:dyDescent="0.35">
      <c r="A1210" s="6" t="s">
        <v>1152</v>
      </c>
      <c r="B1210">
        <v>37.51</v>
      </c>
      <c r="C1210">
        <v>11.06</v>
      </c>
      <c r="D1210" s="6" t="s">
        <v>2370</v>
      </c>
      <c r="E1210" s="6" t="s">
        <v>2370</v>
      </c>
      <c r="F1210" s="6" t="s">
        <v>2370</v>
      </c>
      <c r="G1210">
        <v>2</v>
      </c>
      <c r="H1210" s="6" t="s">
        <v>2370</v>
      </c>
      <c r="I1210" t="s">
        <v>8374</v>
      </c>
      <c r="J1210" t="s">
        <v>8375</v>
      </c>
    </row>
    <row r="1211" spans="1:10" x14ac:dyDescent="0.35">
      <c r="A1211" s="6" t="s">
        <v>1151</v>
      </c>
      <c r="B1211">
        <v>25.745000000000001</v>
      </c>
      <c r="C1211">
        <v>6.11</v>
      </c>
      <c r="D1211" s="6" t="s">
        <v>2373</v>
      </c>
      <c r="E1211" s="6" t="s">
        <v>2370</v>
      </c>
      <c r="F1211" s="6" t="s">
        <v>2370</v>
      </c>
      <c r="G1211">
        <v>0</v>
      </c>
      <c r="H1211" s="6" t="s">
        <v>2370</v>
      </c>
      <c r="I1211" t="s">
        <v>8378</v>
      </c>
      <c r="J1211" t="s">
        <v>8376</v>
      </c>
    </row>
    <row r="1212" spans="1:10" x14ac:dyDescent="0.35">
      <c r="A1212" s="6" t="s">
        <v>1150</v>
      </c>
      <c r="B1212">
        <v>31.35</v>
      </c>
      <c r="C1212">
        <v>11.49</v>
      </c>
      <c r="D1212" s="6" t="s">
        <v>2370</v>
      </c>
      <c r="E1212" s="6" t="s">
        <v>2370</v>
      </c>
      <c r="F1212" s="6" t="s">
        <v>2370</v>
      </c>
      <c r="G1212">
        <v>2</v>
      </c>
      <c r="H1212" s="6" t="s">
        <v>2370</v>
      </c>
      <c r="I1212" t="s">
        <v>8374</v>
      </c>
      <c r="J1212" t="s">
        <v>8375</v>
      </c>
    </row>
    <row r="1213" spans="1:10" x14ac:dyDescent="0.35">
      <c r="A1213" s="6" t="s">
        <v>1149</v>
      </c>
      <c r="B1213">
        <v>29.83</v>
      </c>
      <c r="C1213">
        <v>8.68</v>
      </c>
      <c r="D1213" s="6" t="s">
        <v>2370</v>
      </c>
      <c r="E1213" s="6" t="s">
        <v>2370</v>
      </c>
      <c r="F1213" s="6" t="s">
        <v>2370</v>
      </c>
      <c r="G1213">
        <v>2</v>
      </c>
      <c r="H1213" s="6" t="s">
        <v>2370</v>
      </c>
      <c r="I1213" t="s">
        <v>8378</v>
      </c>
      <c r="J1213" t="s">
        <v>8375</v>
      </c>
    </row>
    <row r="1214" spans="1:10" x14ac:dyDescent="0.35">
      <c r="A1214" s="6" t="s">
        <v>1148</v>
      </c>
      <c r="B1214">
        <v>25.49</v>
      </c>
      <c r="C1214">
        <v>5.68</v>
      </c>
      <c r="D1214" s="6" t="s">
        <v>2373</v>
      </c>
      <c r="E1214" s="6" t="s">
        <v>2370</v>
      </c>
      <c r="F1214" s="6" t="s">
        <v>2373</v>
      </c>
      <c r="G1214">
        <v>1</v>
      </c>
      <c r="H1214" s="6" t="s">
        <v>2370</v>
      </c>
      <c r="I1214" t="s">
        <v>8378</v>
      </c>
      <c r="J1214" t="s">
        <v>8377</v>
      </c>
    </row>
    <row r="1215" spans="1:10" x14ac:dyDescent="0.35">
      <c r="A1215" s="6" t="s">
        <v>1147</v>
      </c>
      <c r="B1215">
        <v>34.1</v>
      </c>
      <c r="C1215">
        <v>8.4499999999999993</v>
      </c>
      <c r="D1215" s="6" t="s">
        <v>2370</v>
      </c>
      <c r="E1215" s="6" t="s">
        <v>2370</v>
      </c>
      <c r="F1215" s="6" t="s">
        <v>2370</v>
      </c>
      <c r="G1215">
        <v>0</v>
      </c>
      <c r="H1215" s="6" t="s">
        <v>2370</v>
      </c>
      <c r="I1215" t="s">
        <v>8374</v>
      </c>
      <c r="J1215" t="s">
        <v>8375</v>
      </c>
    </row>
    <row r="1216" spans="1:10" x14ac:dyDescent="0.35">
      <c r="A1216" s="6" t="s">
        <v>1146</v>
      </c>
      <c r="B1216">
        <v>25.84</v>
      </c>
      <c r="C1216">
        <v>8.51</v>
      </c>
      <c r="D1216" s="6" t="s">
        <v>2370</v>
      </c>
      <c r="E1216" s="6" t="s">
        <v>2370</v>
      </c>
      <c r="F1216" s="6" t="s">
        <v>2370</v>
      </c>
      <c r="G1216">
        <v>2</v>
      </c>
      <c r="H1216" s="6" t="s">
        <v>2370</v>
      </c>
      <c r="I1216" t="s">
        <v>8378</v>
      </c>
      <c r="J1216" t="s">
        <v>8375</v>
      </c>
    </row>
    <row r="1217" spans="1:10" x14ac:dyDescent="0.35">
      <c r="A1217" s="6" t="s">
        <v>1145</v>
      </c>
      <c r="B1217">
        <v>20.6</v>
      </c>
      <c r="C1217">
        <v>7.62</v>
      </c>
      <c r="D1217" s="6" t="s">
        <v>2370</v>
      </c>
      <c r="E1217" s="6" t="s">
        <v>2370</v>
      </c>
      <c r="F1217" s="6" t="s">
        <v>2370</v>
      </c>
      <c r="G1217">
        <v>0</v>
      </c>
      <c r="H1217" s="6" t="s">
        <v>2370</v>
      </c>
      <c r="I1217" t="s">
        <v>8379</v>
      </c>
      <c r="J1217" t="s">
        <v>8375</v>
      </c>
    </row>
    <row r="1218" spans="1:10" x14ac:dyDescent="0.35">
      <c r="A1218" s="6" t="s">
        <v>1144</v>
      </c>
      <c r="B1218">
        <v>28.88</v>
      </c>
      <c r="C1218">
        <v>10.18</v>
      </c>
      <c r="D1218" s="6" t="s">
        <v>2370</v>
      </c>
      <c r="E1218" s="6" t="s">
        <v>2370</v>
      </c>
      <c r="F1218" s="6" t="s">
        <v>2370</v>
      </c>
      <c r="G1218">
        <v>0</v>
      </c>
      <c r="H1218" s="6" t="s">
        <v>2370</v>
      </c>
      <c r="I1218" t="s">
        <v>8378</v>
      </c>
      <c r="J1218" t="s">
        <v>8375</v>
      </c>
    </row>
    <row r="1219" spans="1:10" x14ac:dyDescent="0.35">
      <c r="A1219" s="6" t="s">
        <v>1143</v>
      </c>
      <c r="B1219">
        <v>28.24</v>
      </c>
      <c r="C1219">
        <v>5.36</v>
      </c>
      <c r="D1219" s="6" t="s">
        <v>2370</v>
      </c>
      <c r="E1219" s="6" t="s">
        <v>2370</v>
      </c>
      <c r="F1219" s="6" t="s">
        <v>2370</v>
      </c>
      <c r="G1219">
        <v>0</v>
      </c>
      <c r="H1219" s="6" t="s">
        <v>2370</v>
      </c>
      <c r="I1219" t="s">
        <v>8378</v>
      </c>
      <c r="J1219" t="s">
        <v>8377</v>
      </c>
    </row>
    <row r="1220" spans="1:10" x14ac:dyDescent="0.35">
      <c r="A1220" s="6" t="s">
        <v>1142</v>
      </c>
      <c r="B1220">
        <v>25.46</v>
      </c>
      <c r="C1220">
        <v>11.78</v>
      </c>
      <c r="D1220" s="6" t="s">
        <v>2373</v>
      </c>
      <c r="E1220" s="6" t="s">
        <v>2370</v>
      </c>
      <c r="F1220" s="6" t="s">
        <v>2370</v>
      </c>
      <c r="G1220">
        <v>1</v>
      </c>
      <c r="H1220" s="6" t="s">
        <v>2370</v>
      </c>
      <c r="I1220" t="s">
        <v>8378</v>
      </c>
      <c r="J1220" t="s">
        <v>8375</v>
      </c>
    </row>
    <row r="1221" spans="1:10" x14ac:dyDescent="0.35">
      <c r="A1221" s="6" t="s">
        <v>1141</v>
      </c>
      <c r="B1221">
        <v>29.64</v>
      </c>
      <c r="C1221">
        <v>10.82</v>
      </c>
      <c r="D1221" s="6" t="s">
        <v>2373</v>
      </c>
      <c r="E1221" s="6" t="s">
        <v>2370</v>
      </c>
      <c r="F1221" s="6" t="s">
        <v>2370</v>
      </c>
      <c r="G1221">
        <v>0</v>
      </c>
      <c r="H1221" s="6" t="s">
        <v>2370</v>
      </c>
      <c r="I1221" t="s">
        <v>8378</v>
      </c>
      <c r="J1221" t="s">
        <v>8375</v>
      </c>
    </row>
    <row r="1222" spans="1:10" x14ac:dyDescent="0.35">
      <c r="A1222" s="6" t="s">
        <v>1140</v>
      </c>
      <c r="B1222">
        <v>31.27</v>
      </c>
      <c r="C1222">
        <v>7.73</v>
      </c>
      <c r="D1222" s="6" t="s">
        <v>2373</v>
      </c>
      <c r="E1222" s="6" t="s">
        <v>2370</v>
      </c>
      <c r="F1222" s="6" t="s">
        <v>2370</v>
      </c>
      <c r="G1222">
        <v>1</v>
      </c>
      <c r="H1222" s="6" t="s">
        <v>2370</v>
      </c>
      <c r="I1222" t="s">
        <v>8374</v>
      </c>
      <c r="J1222" t="s">
        <v>8375</v>
      </c>
    </row>
    <row r="1223" spans="1:10" x14ac:dyDescent="0.35">
      <c r="A1223" s="6" t="s">
        <v>1139</v>
      </c>
      <c r="B1223">
        <v>19.95</v>
      </c>
      <c r="C1223">
        <v>6.24</v>
      </c>
      <c r="D1223" s="6" t="s">
        <v>2373</v>
      </c>
      <c r="E1223" s="6" t="s">
        <v>2370</v>
      </c>
      <c r="F1223" s="6" t="s">
        <v>2370</v>
      </c>
      <c r="G1223">
        <v>0</v>
      </c>
      <c r="H1223" s="6" t="s">
        <v>2370</v>
      </c>
      <c r="I1223" t="s">
        <v>8379</v>
      </c>
      <c r="J1223" t="s">
        <v>8376</v>
      </c>
    </row>
    <row r="1224" spans="1:10" x14ac:dyDescent="0.35">
      <c r="A1224" s="6" t="s">
        <v>1138</v>
      </c>
      <c r="B1224">
        <v>21.3</v>
      </c>
      <c r="C1224">
        <v>10.42</v>
      </c>
      <c r="D1224" s="6" t="s">
        <v>2370</v>
      </c>
      <c r="E1224" s="6" t="s">
        <v>2370</v>
      </c>
      <c r="F1224" s="6" t="s">
        <v>2370</v>
      </c>
      <c r="G1224">
        <v>2</v>
      </c>
      <c r="H1224" s="6" t="s">
        <v>2370</v>
      </c>
      <c r="I1224" t="s">
        <v>8379</v>
      </c>
      <c r="J1224" t="s">
        <v>8375</v>
      </c>
    </row>
    <row r="1225" spans="1:10" x14ac:dyDescent="0.35">
      <c r="A1225" s="6" t="s">
        <v>1137</v>
      </c>
      <c r="B1225">
        <v>31.635000000000002</v>
      </c>
      <c r="C1225">
        <v>11.11</v>
      </c>
      <c r="D1225" s="6" t="s">
        <v>2370</v>
      </c>
      <c r="E1225" s="6" t="s">
        <v>2370</v>
      </c>
      <c r="F1225" s="6" t="s">
        <v>2370</v>
      </c>
      <c r="G1225">
        <v>0</v>
      </c>
      <c r="H1225" s="6" t="s">
        <v>2370</v>
      </c>
      <c r="I1225" t="s">
        <v>8374</v>
      </c>
      <c r="J1225" t="s">
        <v>8375</v>
      </c>
    </row>
    <row r="1226" spans="1:10" x14ac:dyDescent="0.35">
      <c r="A1226" s="6" t="s">
        <v>1136</v>
      </c>
      <c r="B1226">
        <v>23.9</v>
      </c>
      <c r="C1226">
        <v>7.67</v>
      </c>
      <c r="D1226" s="6" t="s">
        <v>2373</v>
      </c>
      <c r="E1226" s="6" t="s">
        <v>2370</v>
      </c>
      <c r="F1226" s="6" t="s">
        <v>2370</v>
      </c>
      <c r="G1226">
        <v>2</v>
      </c>
      <c r="H1226" s="6" t="s">
        <v>2370</v>
      </c>
      <c r="I1226" t="s">
        <v>8379</v>
      </c>
      <c r="J1226" t="s">
        <v>8375</v>
      </c>
    </row>
    <row r="1227" spans="1:10" x14ac:dyDescent="0.35">
      <c r="A1227" s="6" t="s">
        <v>1135</v>
      </c>
      <c r="B1227">
        <v>34.15</v>
      </c>
      <c r="C1227">
        <v>6.15</v>
      </c>
      <c r="D1227" s="6" t="s">
        <v>2370</v>
      </c>
      <c r="E1227" s="6" t="s">
        <v>2370</v>
      </c>
      <c r="F1227" s="6" t="s">
        <v>2370</v>
      </c>
      <c r="G1227">
        <v>0</v>
      </c>
      <c r="H1227" s="6" t="s">
        <v>2370</v>
      </c>
      <c r="I1227" t="s">
        <v>8374</v>
      </c>
      <c r="J1227" t="s">
        <v>8376</v>
      </c>
    </row>
    <row r="1228" spans="1:10" x14ac:dyDescent="0.35">
      <c r="A1228" s="6" t="s">
        <v>1134</v>
      </c>
      <c r="B1228">
        <v>28.71</v>
      </c>
      <c r="C1228">
        <v>5.71</v>
      </c>
      <c r="D1228" s="6" t="s">
        <v>2370</v>
      </c>
      <c r="E1228" s="6" t="s">
        <v>2370</v>
      </c>
      <c r="F1228" s="6" t="s">
        <v>2370</v>
      </c>
      <c r="G1228">
        <v>0</v>
      </c>
      <c r="H1228" s="6" t="s">
        <v>2370</v>
      </c>
      <c r="I1228" t="s">
        <v>8378</v>
      </c>
      <c r="J1228" t="s">
        <v>8376</v>
      </c>
    </row>
    <row r="1229" spans="1:10" x14ac:dyDescent="0.35">
      <c r="A1229" s="6" t="s">
        <v>1133</v>
      </c>
      <c r="B1229">
        <v>36.700000000000003</v>
      </c>
      <c r="C1229">
        <v>8.6999999999999993</v>
      </c>
      <c r="D1229" s="6" t="s">
        <v>2373</v>
      </c>
      <c r="E1229" s="6" t="s">
        <v>2370</v>
      </c>
      <c r="F1229" s="6" t="s">
        <v>2370</v>
      </c>
      <c r="G1229">
        <v>2</v>
      </c>
      <c r="H1229" s="6" t="s">
        <v>2370</v>
      </c>
      <c r="I1229" t="s">
        <v>8374</v>
      </c>
      <c r="J1229" t="s">
        <v>8375</v>
      </c>
    </row>
    <row r="1230" spans="1:10" x14ac:dyDescent="0.35">
      <c r="A1230" s="6" t="s">
        <v>1132</v>
      </c>
      <c r="B1230">
        <v>34.1</v>
      </c>
      <c r="C1230">
        <v>9.0399999999999991</v>
      </c>
      <c r="D1230" s="6" t="s">
        <v>2373</v>
      </c>
      <c r="E1230" s="6" t="s">
        <v>2370</v>
      </c>
      <c r="F1230" s="6" t="s">
        <v>2370</v>
      </c>
      <c r="G1230">
        <v>2</v>
      </c>
      <c r="H1230" s="6" t="s">
        <v>2370</v>
      </c>
      <c r="I1230" t="s">
        <v>8374</v>
      </c>
      <c r="J1230" t="s">
        <v>8375</v>
      </c>
    </row>
    <row r="1231" spans="1:10" x14ac:dyDescent="0.35">
      <c r="A1231" s="6" t="s">
        <v>1131</v>
      </c>
      <c r="B1231">
        <v>25.7</v>
      </c>
      <c r="C1231">
        <v>5.61</v>
      </c>
      <c r="D1231" s="6" t="s">
        <v>2370</v>
      </c>
      <c r="E1231" s="6" t="s">
        <v>2370</v>
      </c>
      <c r="F1231" s="6" t="s">
        <v>2370</v>
      </c>
      <c r="G1231">
        <v>0</v>
      </c>
      <c r="H1231" s="6" t="s">
        <v>2370</v>
      </c>
      <c r="I1231" t="s">
        <v>8378</v>
      </c>
      <c r="J1231" t="s">
        <v>8377</v>
      </c>
    </row>
    <row r="1232" spans="1:10" x14ac:dyDescent="0.35">
      <c r="A1232" s="6" t="s">
        <v>1130</v>
      </c>
      <c r="B1232">
        <v>21.68</v>
      </c>
      <c r="C1232">
        <v>8.1199999999999992</v>
      </c>
      <c r="D1232" s="6" t="s">
        <v>2370</v>
      </c>
      <c r="E1232" s="6" t="s">
        <v>2370</v>
      </c>
      <c r="F1232" s="6" t="s">
        <v>2370</v>
      </c>
      <c r="G1232">
        <v>0</v>
      </c>
      <c r="H1232" s="6" t="s">
        <v>2370</v>
      </c>
      <c r="I1232" t="s">
        <v>8379</v>
      </c>
      <c r="J1232" t="s">
        <v>8375</v>
      </c>
    </row>
    <row r="1233" spans="1:10" x14ac:dyDescent="0.35">
      <c r="A1233" s="6" t="s">
        <v>1129</v>
      </c>
      <c r="B1233">
        <v>25.175000000000001</v>
      </c>
      <c r="C1233">
        <v>4.74</v>
      </c>
      <c r="D1233" s="6" t="s">
        <v>2370</v>
      </c>
      <c r="E1233" s="6" t="s">
        <v>2370</v>
      </c>
      <c r="F1233" s="6" t="s">
        <v>2370</v>
      </c>
      <c r="G1233">
        <v>0</v>
      </c>
      <c r="H1233" s="6" t="s">
        <v>2370</v>
      </c>
      <c r="I1233" t="s">
        <v>8378</v>
      </c>
      <c r="J1233" t="s">
        <v>8377</v>
      </c>
    </row>
    <row r="1234" spans="1:10" x14ac:dyDescent="0.35">
      <c r="A1234" s="6" t="s">
        <v>1128</v>
      </c>
      <c r="B1234">
        <v>44.77</v>
      </c>
      <c r="C1234">
        <v>4.0599999999999996</v>
      </c>
      <c r="D1234" s="6" t="s">
        <v>2370</v>
      </c>
      <c r="E1234" s="6" t="s">
        <v>2370</v>
      </c>
      <c r="F1234" s="6" t="s">
        <v>2370</v>
      </c>
      <c r="G1234">
        <v>2</v>
      </c>
      <c r="H1234" s="6" t="s">
        <v>2370</v>
      </c>
      <c r="I1234" t="s">
        <v>8374</v>
      </c>
      <c r="J1234" t="s">
        <v>8377</v>
      </c>
    </row>
    <row r="1235" spans="1:10" x14ac:dyDescent="0.35">
      <c r="A1235" s="6" t="s">
        <v>1127</v>
      </c>
      <c r="B1235">
        <v>37.07</v>
      </c>
      <c r="C1235">
        <v>5.69</v>
      </c>
      <c r="D1235" s="6" t="s">
        <v>2370</v>
      </c>
      <c r="E1235" s="6" t="s">
        <v>2370</v>
      </c>
      <c r="F1235" s="6" t="s">
        <v>2370</v>
      </c>
      <c r="G1235">
        <v>2</v>
      </c>
      <c r="H1235" s="6" t="s">
        <v>2370</v>
      </c>
      <c r="I1235" t="s">
        <v>8374</v>
      </c>
      <c r="J1235" t="s">
        <v>8377</v>
      </c>
    </row>
    <row r="1236" spans="1:10" x14ac:dyDescent="0.35">
      <c r="A1236" s="6" t="s">
        <v>1126</v>
      </c>
      <c r="B1236">
        <v>39.799999999999997</v>
      </c>
      <c r="C1236">
        <v>5.66</v>
      </c>
      <c r="D1236" s="6" t="s">
        <v>2370</v>
      </c>
      <c r="E1236" s="6" t="s">
        <v>2370</v>
      </c>
      <c r="F1236" s="6" t="s">
        <v>2373</v>
      </c>
      <c r="G1236">
        <v>1</v>
      </c>
      <c r="H1236" s="6" t="s">
        <v>2370</v>
      </c>
      <c r="I1236" t="s">
        <v>8374</v>
      </c>
      <c r="J1236" t="s">
        <v>8377</v>
      </c>
    </row>
    <row r="1237" spans="1:10" x14ac:dyDescent="0.35">
      <c r="A1237" s="6" t="s">
        <v>1125</v>
      </c>
      <c r="B1237">
        <v>26.36</v>
      </c>
      <c r="C1237">
        <v>4.32</v>
      </c>
      <c r="D1237" s="6" t="s">
        <v>2370</v>
      </c>
      <c r="E1237" s="6" t="s">
        <v>2370</v>
      </c>
      <c r="F1237" s="6" t="s">
        <v>2373</v>
      </c>
      <c r="G1237">
        <v>1</v>
      </c>
      <c r="H1237" s="6" t="s">
        <v>2370</v>
      </c>
      <c r="I1237" t="s">
        <v>8378</v>
      </c>
      <c r="J1237" t="s">
        <v>8377</v>
      </c>
    </row>
    <row r="1238" spans="1:10" x14ac:dyDescent="0.35">
      <c r="A1238" s="6" t="s">
        <v>1124</v>
      </c>
      <c r="B1238">
        <v>29.925000000000001</v>
      </c>
      <c r="C1238">
        <v>8.2899999999999991</v>
      </c>
      <c r="D1238" s="6" t="s">
        <v>2370</v>
      </c>
      <c r="E1238" s="6" t="s">
        <v>2370</v>
      </c>
      <c r="F1238" s="6" t="s">
        <v>2370</v>
      </c>
      <c r="G1238">
        <v>2</v>
      </c>
      <c r="H1238" s="6" t="s">
        <v>2370</v>
      </c>
      <c r="I1238" t="s">
        <v>8378</v>
      </c>
      <c r="J1238" t="s">
        <v>8375</v>
      </c>
    </row>
    <row r="1239" spans="1:10" x14ac:dyDescent="0.35">
      <c r="A1239" s="6" t="s">
        <v>1123</v>
      </c>
      <c r="B1239">
        <v>37.29</v>
      </c>
      <c r="C1239">
        <v>10.46</v>
      </c>
      <c r="D1239" s="6" t="s">
        <v>2370</v>
      </c>
      <c r="E1239" s="6" t="s">
        <v>2370</v>
      </c>
      <c r="F1239" s="6" t="s">
        <v>2370</v>
      </c>
      <c r="G1239">
        <v>0</v>
      </c>
      <c r="H1239" s="6" t="s">
        <v>2370</v>
      </c>
      <c r="I1239" t="s">
        <v>8374</v>
      </c>
      <c r="J1239" t="s">
        <v>8375</v>
      </c>
    </row>
    <row r="1240" spans="1:10" x14ac:dyDescent="0.35">
      <c r="A1240" s="6" t="s">
        <v>1122</v>
      </c>
      <c r="B1240">
        <v>30.2</v>
      </c>
      <c r="C1240">
        <v>11.96</v>
      </c>
      <c r="D1240" s="6" t="s">
        <v>2370</v>
      </c>
      <c r="E1240" s="6" t="s">
        <v>2370</v>
      </c>
      <c r="F1240" s="6" t="s">
        <v>2370</v>
      </c>
      <c r="G1240">
        <v>0</v>
      </c>
      <c r="H1240" s="6" t="s">
        <v>2370</v>
      </c>
      <c r="I1240" t="s">
        <v>8374</v>
      </c>
      <c r="J1240" t="s">
        <v>8375</v>
      </c>
    </row>
    <row r="1241" spans="1:10" x14ac:dyDescent="0.35">
      <c r="A1241" s="6" t="s">
        <v>1121</v>
      </c>
      <c r="B1241">
        <v>24.225000000000001</v>
      </c>
      <c r="C1241">
        <v>4.25</v>
      </c>
      <c r="D1241" s="6" t="s">
        <v>2373</v>
      </c>
      <c r="E1241" s="6" t="s">
        <v>2370</v>
      </c>
      <c r="F1241" s="6" t="s">
        <v>2373</v>
      </c>
      <c r="G1241">
        <v>1</v>
      </c>
      <c r="H1241" s="6" t="s">
        <v>2370</v>
      </c>
      <c r="I1241" t="s">
        <v>8379</v>
      </c>
      <c r="J1241" t="s">
        <v>8377</v>
      </c>
    </row>
    <row r="1242" spans="1:10" x14ac:dyDescent="0.35">
      <c r="A1242" s="6" t="s">
        <v>1120</v>
      </c>
      <c r="B1242">
        <v>31.445</v>
      </c>
      <c r="C1242">
        <v>8.33</v>
      </c>
      <c r="D1242" s="6" t="s">
        <v>2370</v>
      </c>
      <c r="E1242" s="6" t="s">
        <v>2370</v>
      </c>
      <c r="F1242" s="6" t="s">
        <v>2370</v>
      </c>
      <c r="G1242">
        <v>0</v>
      </c>
      <c r="H1242" s="6" t="s">
        <v>2370</v>
      </c>
      <c r="I1242" t="s">
        <v>8374</v>
      </c>
      <c r="J1242" t="s">
        <v>8375</v>
      </c>
    </row>
    <row r="1243" spans="1:10" x14ac:dyDescent="0.35">
      <c r="A1243" s="6" t="s">
        <v>1119</v>
      </c>
      <c r="B1243">
        <v>38.880000000000003</v>
      </c>
      <c r="C1243">
        <v>4.29</v>
      </c>
      <c r="D1243" s="6" t="s">
        <v>2370</v>
      </c>
      <c r="E1243" s="6" t="s">
        <v>2370</v>
      </c>
      <c r="F1243" s="6" t="s">
        <v>2370</v>
      </c>
      <c r="G1243">
        <v>1</v>
      </c>
      <c r="H1243" s="6" t="s">
        <v>2370</v>
      </c>
      <c r="I1243" t="s">
        <v>8374</v>
      </c>
      <c r="J1243" t="s">
        <v>8377</v>
      </c>
    </row>
    <row r="1244" spans="1:10" x14ac:dyDescent="0.35">
      <c r="A1244" s="6" t="s">
        <v>1118</v>
      </c>
      <c r="B1244">
        <v>43.89</v>
      </c>
      <c r="C1244">
        <v>6.32</v>
      </c>
      <c r="D1244" s="6" t="s">
        <v>2373</v>
      </c>
      <c r="E1244" s="6" t="s">
        <v>2370</v>
      </c>
      <c r="F1244" s="6" t="s">
        <v>2370</v>
      </c>
      <c r="G1244">
        <v>0</v>
      </c>
      <c r="H1244" s="6" t="s">
        <v>2370</v>
      </c>
      <c r="I1244" t="s">
        <v>8374</v>
      </c>
      <c r="J1244" t="s">
        <v>8376</v>
      </c>
    </row>
    <row r="1245" spans="1:10" x14ac:dyDescent="0.35">
      <c r="A1245" s="6" t="s">
        <v>1117</v>
      </c>
      <c r="B1245">
        <v>25.6</v>
      </c>
      <c r="C1245">
        <v>5.65</v>
      </c>
      <c r="D1245" s="6" t="s">
        <v>2370</v>
      </c>
      <c r="E1245" s="6" t="s">
        <v>2370</v>
      </c>
      <c r="F1245" s="6" t="s">
        <v>2370</v>
      </c>
      <c r="G1245">
        <v>2</v>
      </c>
      <c r="H1245" s="6" t="s">
        <v>2370</v>
      </c>
      <c r="I1245" t="s">
        <v>8378</v>
      </c>
      <c r="J1245" t="s">
        <v>8377</v>
      </c>
    </row>
    <row r="1246" spans="1:10" x14ac:dyDescent="0.35">
      <c r="A1246" s="6" t="s">
        <v>1116</v>
      </c>
      <c r="B1246">
        <v>29.545000000000002</v>
      </c>
      <c r="C1246">
        <v>8.41</v>
      </c>
      <c r="D1246" s="6" t="s">
        <v>2373</v>
      </c>
      <c r="E1246" s="6" t="s">
        <v>2370</v>
      </c>
      <c r="F1246" s="6" t="s">
        <v>2370</v>
      </c>
      <c r="G1246">
        <v>1</v>
      </c>
      <c r="H1246" s="6" t="s">
        <v>2370</v>
      </c>
      <c r="I1246" t="s">
        <v>8378</v>
      </c>
      <c r="J1246" t="s">
        <v>8375</v>
      </c>
    </row>
    <row r="1247" spans="1:10" x14ac:dyDescent="0.35">
      <c r="A1247" s="6" t="s">
        <v>1115</v>
      </c>
      <c r="B1247">
        <v>23.25</v>
      </c>
      <c r="C1247">
        <v>11.96</v>
      </c>
      <c r="D1247" s="6" t="s">
        <v>2373</v>
      </c>
      <c r="E1247" s="6" t="s">
        <v>2370</v>
      </c>
      <c r="F1247" s="6" t="s">
        <v>2370</v>
      </c>
      <c r="G1247">
        <v>0</v>
      </c>
      <c r="H1247" s="6" t="s">
        <v>2370</v>
      </c>
      <c r="I1247" t="s">
        <v>8379</v>
      </c>
      <c r="J1247" t="s">
        <v>8375</v>
      </c>
    </row>
    <row r="1248" spans="1:10" x14ac:dyDescent="0.35">
      <c r="A1248" s="6" t="s">
        <v>1114</v>
      </c>
      <c r="B1248">
        <v>43.95</v>
      </c>
      <c r="C1248">
        <v>5.17</v>
      </c>
      <c r="D1248" s="6" t="s">
        <v>2373</v>
      </c>
      <c r="E1248" s="6" t="s">
        <v>2370</v>
      </c>
      <c r="F1248" s="6" t="s">
        <v>2373</v>
      </c>
      <c r="G1248">
        <v>1</v>
      </c>
      <c r="H1248" s="6" t="s">
        <v>2370</v>
      </c>
      <c r="I1248" t="s">
        <v>8374</v>
      </c>
      <c r="J1248" t="s">
        <v>8377</v>
      </c>
    </row>
    <row r="1249" spans="1:10" x14ac:dyDescent="0.35">
      <c r="A1249" s="6" t="s">
        <v>1113</v>
      </c>
      <c r="B1249">
        <v>21.85</v>
      </c>
      <c r="C1249">
        <v>8.76</v>
      </c>
      <c r="D1249" s="6" t="s">
        <v>2370</v>
      </c>
      <c r="E1249" s="6" t="s">
        <v>2370</v>
      </c>
      <c r="F1249" s="6" t="s">
        <v>2370</v>
      </c>
      <c r="G1249">
        <v>0</v>
      </c>
      <c r="H1249" s="6" t="s">
        <v>2370</v>
      </c>
      <c r="I1249" t="s">
        <v>8379</v>
      </c>
      <c r="J1249" t="s">
        <v>8375</v>
      </c>
    </row>
    <row r="1250" spans="1:10" x14ac:dyDescent="0.35">
      <c r="A1250" s="6" t="s">
        <v>1112</v>
      </c>
      <c r="B1250">
        <v>25.73</v>
      </c>
      <c r="C1250">
        <v>7.99</v>
      </c>
      <c r="D1250" s="6" t="s">
        <v>2370</v>
      </c>
      <c r="E1250" s="6" t="s">
        <v>2370</v>
      </c>
      <c r="F1250" s="6" t="s">
        <v>2370</v>
      </c>
      <c r="G1250">
        <v>2</v>
      </c>
      <c r="H1250" s="6" t="s">
        <v>2370</v>
      </c>
      <c r="I1250" t="s">
        <v>8378</v>
      </c>
      <c r="J1250" t="s">
        <v>8375</v>
      </c>
    </row>
    <row r="1251" spans="1:10" x14ac:dyDescent="0.35">
      <c r="A1251" s="6" t="s">
        <v>1111</v>
      </c>
      <c r="B1251">
        <v>32.229999999999997</v>
      </c>
      <c r="C1251">
        <v>8.59</v>
      </c>
      <c r="D1251" s="6" t="s">
        <v>2370</v>
      </c>
      <c r="E1251" s="6" t="s">
        <v>2370</v>
      </c>
      <c r="F1251" s="6" t="s">
        <v>2370</v>
      </c>
      <c r="G1251">
        <v>0</v>
      </c>
      <c r="H1251" s="6" t="s">
        <v>2370</v>
      </c>
      <c r="I1251" t="s">
        <v>8374</v>
      </c>
      <c r="J1251" t="s">
        <v>8375</v>
      </c>
    </row>
    <row r="1252" spans="1:10" x14ac:dyDescent="0.35">
      <c r="A1252" s="6" t="s">
        <v>1110</v>
      </c>
      <c r="B1252">
        <v>32.204999999999998</v>
      </c>
      <c r="C1252">
        <v>6.14</v>
      </c>
      <c r="D1252" s="6" t="s">
        <v>2370</v>
      </c>
      <c r="E1252" s="6" t="s">
        <v>2370</v>
      </c>
      <c r="F1252" s="6" t="s">
        <v>2370</v>
      </c>
      <c r="G1252">
        <v>2</v>
      </c>
      <c r="H1252" s="6" t="s">
        <v>2370</v>
      </c>
      <c r="I1252" t="s">
        <v>8374</v>
      </c>
      <c r="J1252" t="s">
        <v>8376</v>
      </c>
    </row>
    <row r="1253" spans="1:10" x14ac:dyDescent="0.35">
      <c r="A1253" s="6" t="s">
        <v>1109</v>
      </c>
      <c r="B1253">
        <v>26.41</v>
      </c>
      <c r="C1253">
        <v>4.08</v>
      </c>
      <c r="D1253" s="6" t="s">
        <v>2370</v>
      </c>
      <c r="E1253" s="6" t="s">
        <v>2370</v>
      </c>
      <c r="F1253" s="6" t="s">
        <v>2370</v>
      </c>
      <c r="G1253">
        <v>2</v>
      </c>
      <c r="H1253" s="6" t="s">
        <v>2370</v>
      </c>
      <c r="I1253" t="s">
        <v>8378</v>
      </c>
      <c r="J1253" t="s">
        <v>8377</v>
      </c>
    </row>
    <row r="1254" spans="1:10" x14ac:dyDescent="0.35">
      <c r="A1254" s="6" t="s">
        <v>1108</v>
      </c>
      <c r="B1254">
        <v>30.2</v>
      </c>
      <c r="C1254">
        <v>6.25</v>
      </c>
      <c r="D1254" s="6" t="s">
        <v>2373</v>
      </c>
      <c r="E1254" s="6" t="s">
        <v>2370</v>
      </c>
      <c r="F1254" s="6" t="s">
        <v>2370</v>
      </c>
      <c r="G1254">
        <v>0</v>
      </c>
      <c r="H1254" s="6" t="s">
        <v>2370</v>
      </c>
      <c r="I1254" t="s">
        <v>8374</v>
      </c>
      <c r="J1254" t="s">
        <v>8376</v>
      </c>
    </row>
    <row r="1255" spans="1:10" x14ac:dyDescent="0.35">
      <c r="A1255" s="6" t="s">
        <v>1107</v>
      </c>
      <c r="B1255">
        <v>31.26</v>
      </c>
      <c r="C1255">
        <v>5.94</v>
      </c>
      <c r="D1255" s="6" t="s">
        <v>2373</v>
      </c>
      <c r="E1255" s="6" t="s">
        <v>2370</v>
      </c>
      <c r="F1255" s="6" t="s">
        <v>2370</v>
      </c>
      <c r="G1255">
        <v>1</v>
      </c>
      <c r="H1255" s="6" t="s">
        <v>2370</v>
      </c>
      <c r="I1255" t="s">
        <v>8374</v>
      </c>
      <c r="J1255" t="s">
        <v>8376</v>
      </c>
    </row>
    <row r="1256" spans="1:10" x14ac:dyDescent="0.35">
      <c r="A1256" s="6" t="s">
        <v>1106</v>
      </c>
      <c r="B1256">
        <v>33.725000000000001</v>
      </c>
      <c r="C1256">
        <v>6.45</v>
      </c>
      <c r="D1256" s="6" t="s">
        <v>2373</v>
      </c>
      <c r="E1256" s="6" t="s">
        <v>2370</v>
      </c>
      <c r="F1256" s="6" t="s">
        <v>2370</v>
      </c>
      <c r="G1256">
        <v>0</v>
      </c>
      <c r="H1256" s="6" t="s">
        <v>2370</v>
      </c>
      <c r="I1256" t="s">
        <v>8374</v>
      </c>
      <c r="J1256" t="s">
        <v>8376</v>
      </c>
    </row>
    <row r="1257" spans="1:10" x14ac:dyDescent="0.35">
      <c r="A1257" s="6" t="s">
        <v>1105</v>
      </c>
      <c r="B1257">
        <v>28.9</v>
      </c>
      <c r="C1257">
        <v>5.74</v>
      </c>
      <c r="D1257" s="6" t="s">
        <v>2373</v>
      </c>
      <c r="E1257" s="6" t="s">
        <v>2370</v>
      </c>
      <c r="F1257" s="6" t="s">
        <v>2370</v>
      </c>
      <c r="G1257">
        <v>0</v>
      </c>
      <c r="H1257" s="6" t="s">
        <v>2370</v>
      </c>
      <c r="I1257" t="s">
        <v>8378</v>
      </c>
      <c r="J1257" t="s">
        <v>8376</v>
      </c>
    </row>
    <row r="1258" spans="1:10" x14ac:dyDescent="0.35">
      <c r="A1258" s="6" t="s">
        <v>1104</v>
      </c>
      <c r="B1258">
        <v>45.69</v>
      </c>
      <c r="C1258">
        <v>4.43</v>
      </c>
      <c r="D1258" s="6" t="s">
        <v>2373</v>
      </c>
      <c r="E1258" s="6" t="s">
        <v>2370</v>
      </c>
      <c r="F1258" s="6" t="s">
        <v>2370</v>
      </c>
      <c r="G1258">
        <v>0</v>
      </c>
      <c r="H1258" s="6" t="s">
        <v>2370</v>
      </c>
      <c r="I1258" t="s">
        <v>8374</v>
      </c>
      <c r="J1258" t="s">
        <v>8377</v>
      </c>
    </row>
    <row r="1259" spans="1:10" x14ac:dyDescent="0.35">
      <c r="A1259" s="6" t="s">
        <v>1103</v>
      </c>
      <c r="B1259">
        <v>21.03</v>
      </c>
      <c r="C1259">
        <v>6.5</v>
      </c>
      <c r="D1259" s="6" t="s">
        <v>2370</v>
      </c>
      <c r="E1259" s="6" t="s">
        <v>2370</v>
      </c>
      <c r="F1259" s="6" t="s">
        <v>2370</v>
      </c>
      <c r="G1259">
        <v>0</v>
      </c>
      <c r="H1259" s="6" t="s">
        <v>2370</v>
      </c>
      <c r="I1259" t="s">
        <v>8379</v>
      </c>
      <c r="J1259" t="s">
        <v>8375</v>
      </c>
    </row>
    <row r="1260" spans="1:10" x14ac:dyDescent="0.35">
      <c r="A1260" s="6" t="s">
        <v>1102</v>
      </c>
      <c r="B1260">
        <v>37</v>
      </c>
      <c r="C1260">
        <v>8.75</v>
      </c>
      <c r="D1260" s="6" t="s">
        <v>2370</v>
      </c>
      <c r="E1260" s="6" t="s">
        <v>2370</v>
      </c>
      <c r="F1260" s="6" t="s">
        <v>2370</v>
      </c>
      <c r="G1260">
        <v>0</v>
      </c>
      <c r="H1260" s="6" t="s">
        <v>2370</v>
      </c>
      <c r="I1260" t="s">
        <v>8374</v>
      </c>
      <c r="J1260" t="s">
        <v>8375</v>
      </c>
    </row>
    <row r="1261" spans="1:10" x14ac:dyDescent="0.35">
      <c r="A1261" s="6" t="s">
        <v>1101</v>
      </c>
      <c r="B1261">
        <v>25.4</v>
      </c>
      <c r="C1261">
        <v>11.96</v>
      </c>
      <c r="D1261" s="6" t="s">
        <v>2370</v>
      </c>
      <c r="E1261" s="6" t="s">
        <v>2370</v>
      </c>
      <c r="F1261" s="6" t="s">
        <v>2370</v>
      </c>
      <c r="G1261">
        <v>0</v>
      </c>
      <c r="H1261" s="6" t="s">
        <v>2370</v>
      </c>
      <c r="I1261" t="s">
        <v>8378</v>
      </c>
      <c r="J1261" t="s">
        <v>8375</v>
      </c>
    </row>
    <row r="1262" spans="1:10" x14ac:dyDescent="0.35">
      <c r="A1262" s="6" t="s">
        <v>1100</v>
      </c>
      <c r="B1262">
        <v>32.299999999999997</v>
      </c>
      <c r="C1262">
        <v>10.54</v>
      </c>
      <c r="D1262" s="6" t="s">
        <v>2370</v>
      </c>
      <c r="E1262" s="6" t="s">
        <v>2370</v>
      </c>
      <c r="F1262" s="6" t="s">
        <v>2370</v>
      </c>
      <c r="G1262">
        <v>0</v>
      </c>
      <c r="H1262" s="6" t="s">
        <v>2370</v>
      </c>
      <c r="I1262" t="s">
        <v>8374</v>
      </c>
      <c r="J1262" t="s">
        <v>8375</v>
      </c>
    </row>
    <row r="1263" spans="1:10" x14ac:dyDescent="0.35">
      <c r="A1263" s="6" t="s">
        <v>1099</v>
      </c>
      <c r="B1263">
        <v>23.94</v>
      </c>
      <c r="C1263">
        <v>4.54</v>
      </c>
      <c r="D1263" s="6" t="s">
        <v>2373</v>
      </c>
      <c r="E1263" s="6" t="s">
        <v>2370</v>
      </c>
      <c r="F1263" s="6" t="s">
        <v>2373</v>
      </c>
      <c r="G1263">
        <v>1</v>
      </c>
      <c r="H1263" s="6" t="s">
        <v>2370</v>
      </c>
      <c r="I1263" t="s">
        <v>8379</v>
      </c>
      <c r="J1263" t="s">
        <v>8377</v>
      </c>
    </row>
    <row r="1264" spans="1:10" x14ac:dyDescent="0.35">
      <c r="A1264" s="6" t="s">
        <v>1098</v>
      </c>
      <c r="B1264">
        <v>46.4</v>
      </c>
      <c r="C1264">
        <v>5.71</v>
      </c>
      <c r="D1264" s="6" t="s">
        <v>2370</v>
      </c>
      <c r="E1264" s="6" t="s">
        <v>2370</v>
      </c>
      <c r="F1264" s="6" t="s">
        <v>2370</v>
      </c>
      <c r="G1264">
        <v>0</v>
      </c>
      <c r="H1264" s="6" t="s">
        <v>2370</v>
      </c>
      <c r="I1264" t="s">
        <v>8374</v>
      </c>
      <c r="J1264" t="s">
        <v>8376</v>
      </c>
    </row>
    <row r="1265" spans="1:10" x14ac:dyDescent="0.35">
      <c r="A1265" s="6" t="s">
        <v>1097</v>
      </c>
      <c r="B1265">
        <v>40.375</v>
      </c>
      <c r="C1265">
        <v>6.25</v>
      </c>
      <c r="D1265" s="6" t="s">
        <v>2373</v>
      </c>
      <c r="E1265" s="6" t="s">
        <v>2370</v>
      </c>
      <c r="F1265" s="6" t="s">
        <v>2370</v>
      </c>
      <c r="G1265">
        <v>0</v>
      </c>
      <c r="H1265" s="6" t="s">
        <v>2370</v>
      </c>
      <c r="I1265" t="s">
        <v>8374</v>
      </c>
      <c r="J1265" t="s">
        <v>8376</v>
      </c>
    </row>
    <row r="1266" spans="1:10" x14ac:dyDescent="0.35">
      <c r="A1266" s="6" t="s">
        <v>1096</v>
      </c>
      <c r="B1266">
        <v>28.7</v>
      </c>
      <c r="C1266">
        <v>9.4700000000000006</v>
      </c>
      <c r="D1266" s="6" t="s">
        <v>2370</v>
      </c>
      <c r="E1266" s="6" t="s">
        <v>2370</v>
      </c>
      <c r="F1266" s="6" t="s">
        <v>2370</v>
      </c>
      <c r="G1266">
        <v>2</v>
      </c>
      <c r="H1266" s="6" t="s">
        <v>2370</v>
      </c>
      <c r="I1266" t="s">
        <v>8378</v>
      </c>
      <c r="J1266" t="s">
        <v>8375</v>
      </c>
    </row>
    <row r="1267" spans="1:10" x14ac:dyDescent="0.35">
      <c r="A1267" s="6" t="s">
        <v>1095</v>
      </c>
      <c r="B1267">
        <v>26.63</v>
      </c>
      <c r="C1267">
        <v>5.7</v>
      </c>
      <c r="D1267" s="6" t="s">
        <v>2370</v>
      </c>
      <c r="E1267" s="6" t="s">
        <v>2370</v>
      </c>
      <c r="F1267" s="6" t="s">
        <v>2370</v>
      </c>
      <c r="G1267">
        <v>0</v>
      </c>
      <c r="H1267" s="6" t="s">
        <v>2370</v>
      </c>
      <c r="I1267" t="s">
        <v>8378</v>
      </c>
      <c r="J1267" t="s">
        <v>8376</v>
      </c>
    </row>
    <row r="1268" spans="1:10" x14ac:dyDescent="0.35">
      <c r="A1268" s="6" t="s">
        <v>1094</v>
      </c>
      <c r="B1268">
        <v>22.515000000000001</v>
      </c>
      <c r="C1268">
        <v>11.18</v>
      </c>
      <c r="D1268" s="6" t="s">
        <v>2370</v>
      </c>
      <c r="E1268" s="6" t="s">
        <v>2370</v>
      </c>
      <c r="F1268" s="6" t="s">
        <v>2370</v>
      </c>
      <c r="G1268">
        <v>2</v>
      </c>
      <c r="H1268" s="6" t="s">
        <v>2370</v>
      </c>
      <c r="I1268" t="s">
        <v>8379</v>
      </c>
      <c r="J1268" t="s">
        <v>8375</v>
      </c>
    </row>
    <row r="1269" spans="1:10" x14ac:dyDescent="0.35">
      <c r="A1269" s="6" t="s">
        <v>1093</v>
      </c>
      <c r="B1269">
        <v>36.575000000000003</v>
      </c>
      <c r="C1269">
        <v>10.98</v>
      </c>
      <c r="D1269" s="6" t="s">
        <v>2370</v>
      </c>
      <c r="E1269" s="6" t="s">
        <v>2370</v>
      </c>
      <c r="F1269" s="6" t="s">
        <v>2370</v>
      </c>
      <c r="G1269">
        <v>0</v>
      </c>
      <c r="H1269" s="6" t="s">
        <v>2370</v>
      </c>
      <c r="I1269" t="s">
        <v>8374</v>
      </c>
      <c r="J1269" t="s">
        <v>8375</v>
      </c>
    </row>
    <row r="1270" spans="1:10" x14ac:dyDescent="0.35">
      <c r="A1270" s="6" t="s">
        <v>1092</v>
      </c>
      <c r="B1270">
        <v>23.66</v>
      </c>
      <c r="C1270">
        <v>5.1100000000000003</v>
      </c>
      <c r="D1270" s="6" t="s">
        <v>2373</v>
      </c>
      <c r="E1270" s="6" t="s">
        <v>2370</v>
      </c>
      <c r="F1270" s="6" t="s">
        <v>2373</v>
      </c>
      <c r="G1270">
        <v>1</v>
      </c>
      <c r="H1270" s="6" t="s">
        <v>2370</v>
      </c>
      <c r="I1270" t="s">
        <v>8379</v>
      </c>
      <c r="J1270" t="s">
        <v>8377</v>
      </c>
    </row>
    <row r="1271" spans="1:10" x14ac:dyDescent="0.35">
      <c r="A1271" s="6" t="s">
        <v>1091</v>
      </c>
      <c r="B1271">
        <v>18.62</v>
      </c>
      <c r="C1271">
        <v>10.24</v>
      </c>
      <c r="D1271" s="6" t="s">
        <v>2370</v>
      </c>
      <c r="E1271" s="6" t="s">
        <v>2370</v>
      </c>
      <c r="F1271" s="6" t="s">
        <v>2370</v>
      </c>
      <c r="G1271">
        <v>0</v>
      </c>
      <c r="H1271" s="6" t="s">
        <v>2370</v>
      </c>
      <c r="I1271" t="s">
        <v>8379</v>
      </c>
      <c r="J1271" t="s">
        <v>8375</v>
      </c>
    </row>
    <row r="1272" spans="1:10" x14ac:dyDescent="0.35">
      <c r="A1272" s="6" t="s">
        <v>1090</v>
      </c>
      <c r="B1272">
        <v>19.190000000000001</v>
      </c>
      <c r="C1272">
        <v>7.71</v>
      </c>
      <c r="D1272" s="6" t="s">
        <v>2373</v>
      </c>
      <c r="E1272" s="6" t="s">
        <v>2370</v>
      </c>
      <c r="F1272" s="6" t="s">
        <v>2370</v>
      </c>
      <c r="G1272">
        <v>1</v>
      </c>
      <c r="H1272" s="6" t="s">
        <v>2370</v>
      </c>
      <c r="I1272" t="s">
        <v>8379</v>
      </c>
      <c r="J1272" t="s">
        <v>8375</v>
      </c>
    </row>
    <row r="1273" spans="1:10" x14ac:dyDescent="0.35">
      <c r="A1273" s="6" t="s">
        <v>1089</v>
      </c>
      <c r="B1273">
        <v>27.5</v>
      </c>
      <c r="C1273">
        <v>6.03</v>
      </c>
      <c r="D1273" s="6" t="s">
        <v>2370</v>
      </c>
      <c r="E1273" s="6" t="s">
        <v>2370</v>
      </c>
      <c r="F1273" s="6" t="s">
        <v>2370</v>
      </c>
      <c r="G1273">
        <v>0</v>
      </c>
      <c r="H1273" s="6" t="s">
        <v>2370</v>
      </c>
      <c r="I1273" t="s">
        <v>8378</v>
      </c>
      <c r="J1273" t="s">
        <v>8376</v>
      </c>
    </row>
    <row r="1274" spans="1:10" x14ac:dyDescent="0.35">
      <c r="A1274" s="6" t="s">
        <v>1088</v>
      </c>
      <c r="B1274">
        <v>27.36</v>
      </c>
      <c r="C1274">
        <v>5.96</v>
      </c>
      <c r="D1274" s="6" t="s">
        <v>2370</v>
      </c>
      <c r="E1274" s="6" t="s">
        <v>2370</v>
      </c>
      <c r="F1274" s="6" t="s">
        <v>2373</v>
      </c>
      <c r="G1274">
        <v>1</v>
      </c>
      <c r="H1274" s="6" t="s">
        <v>2370</v>
      </c>
      <c r="I1274" t="s">
        <v>8378</v>
      </c>
      <c r="J1274" t="s">
        <v>8376</v>
      </c>
    </row>
    <row r="1275" spans="1:10" x14ac:dyDescent="0.35">
      <c r="A1275" s="6" t="s">
        <v>1087</v>
      </c>
      <c r="B1275">
        <v>20.350000000000001</v>
      </c>
      <c r="C1275">
        <v>4.16</v>
      </c>
      <c r="D1275" s="6" t="s">
        <v>2370</v>
      </c>
      <c r="E1275" s="6" t="s">
        <v>2370</v>
      </c>
      <c r="F1275" s="6" t="s">
        <v>2370</v>
      </c>
      <c r="G1275">
        <v>0</v>
      </c>
      <c r="H1275" s="6" t="s">
        <v>2370</v>
      </c>
      <c r="I1275" t="s">
        <v>8379</v>
      </c>
      <c r="J1275" t="s">
        <v>8377</v>
      </c>
    </row>
    <row r="1276" spans="1:10" x14ac:dyDescent="0.35">
      <c r="A1276" s="6" t="s">
        <v>1086</v>
      </c>
      <c r="B1276">
        <v>24.035</v>
      </c>
      <c r="C1276">
        <v>6.11</v>
      </c>
      <c r="D1276" s="6" t="s">
        <v>2370</v>
      </c>
      <c r="E1276" s="6" t="s">
        <v>2370</v>
      </c>
      <c r="F1276" s="6" t="s">
        <v>2370</v>
      </c>
      <c r="G1276">
        <v>0</v>
      </c>
      <c r="H1276" s="6" t="s">
        <v>2370</v>
      </c>
      <c r="I1276" t="s">
        <v>8379</v>
      </c>
      <c r="J1276" t="s">
        <v>8376</v>
      </c>
    </row>
    <row r="1277" spans="1:10" x14ac:dyDescent="0.35">
      <c r="A1277" s="6" t="s">
        <v>1085</v>
      </c>
      <c r="B1277">
        <v>23.56</v>
      </c>
      <c r="C1277">
        <v>5.97</v>
      </c>
      <c r="D1277" s="6" t="s">
        <v>2370</v>
      </c>
      <c r="E1277" s="6" t="s">
        <v>2370</v>
      </c>
      <c r="F1277" s="6" t="s">
        <v>2370</v>
      </c>
      <c r="G1277">
        <v>0</v>
      </c>
      <c r="H1277" s="6" t="s">
        <v>2370</v>
      </c>
      <c r="I1277" t="s">
        <v>8379</v>
      </c>
      <c r="J1277" t="s">
        <v>8376</v>
      </c>
    </row>
    <row r="1278" spans="1:10" x14ac:dyDescent="0.35">
      <c r="A1278" s="6" t="s">
        <v>1084</v>
      </c>
      <c r="B1278">
        <v>27.17</v>
      </c>
      <c r="C1278">
        <v>10.81</v>
      </c>
      <c r="D1278" s="6" t="s">
        <v>2370</v>
      </c>
      <c r="E1278" s="6" t="s">
        <v>2370</v>
      </c>
      <c r="F1278" s="6" t="s">
        <v>2370</v>
      </c>
      <c r="G1278">
        <v>2</v>
      </c>
      <c r="H1278" s="6" t="s">
        <v>2370</v>
      </c>
      <c r="I1278" t="s">
        <v>8378</v>
      </c>
      <c r="J1278" t="s">
        <v>8375</v>
      </c>
    </row>
    <row r="1279" spans="1:10" x14ac:dyDescent="0.35">
      <c r="A1279" s="6" t="s">
        <v>1083</v>
      </c>
      <c r="B1279">
        <v>34.32</v>
      </c>
      <c r="C1279">
        <v>5.7</v>
      </c>
      <c r="D1279" s="6" t="s">
        <v>2373</v>
      </c>
      <c r="E1279" s="6" t="s">
        <v>2370</v>
      </c>
      <c r="F1279" s="6" t="s">
        <v>2373</v>
      </c>
      <c r="G1279">
        <v>1</v>
      </c>
      <c r="H1279" s="6" t="s">
        <v>2370</v>
      </c>
      <c r="I1279" t="s">
        <v>8374</v>
      </c>
      <c r="J1279" t="s">
        <v>8376</v>
      </c>
    </row>
    <row r="1280" spans="1:10" x14ac:dyDescent="0.35">
      <c r="A1280" s="6" t="s">
        <v>1082</v>
      </c>
      <c r="B1280">
        <v>23.87</v>
      </c>
      <c r="C1280">
        <v>4.7699999999999996</v>
      </c>
      <c r="D1280" s="6" t="s">
        <v>2373</v>
      </c>
      <c r="E1280" s="6" t="s">
        <v>2370</v>
      </c>
      <c r="F1280" s="6" t="s">
        <v>2373</v>
      </c>
      <c r="G1280">
        <v>1</v>
      </c>
      <c r="H1280" s="6" t="s">
        <v>2370</v>
      </c>
      <c r="I1280" t="s">
        <v>8379</v>
      </c>
      <c r="J1280" t="s">
        <v>8377</v>
      </c>
    </row>
    <row r="1281" spans="1:10" x14ac:dyDescent="0.35">
      <c r="A1281" s="6" t="s">
        <v>1081</v>
      </c>
      <c r="B1281">
        <v>30.15</v>
      </c>
      <c r="C1281">
        <v>4.25</v>
      </c>
      <c r="D1281" s="6" t="s">
        <v>2370</v>
      </c>
      <c r="E1281" s="6" t="s">
        <v>2370</v>
      </c>
      <c r="F1281" s="6" t="s">
        <v>2370</v>
      </c>
      <c r="G1281">
        <v>1</v>
      </c>
      <c r="H1281" s="6" t="s">
        <v>2370</v>
      </c>
      <c r="I1281" t="s">
        <v>8374</v>
      </c>
      <c r="J1281" t="s">
        <v>8377</v>
      </c>
    </row>
    <row r="1282" spans="1:10" x14ac:dyDescent="0.35">
      <c r="A1282" s="6" t="s">
        <v>1080</v>
      </c>
      <c r="B1282">
        <v>26.36</v>
      </c>
      <c r="C1282">
        <v>5.52</v>
      </c>
      <c r="D1282" s="6" t="s">
        <v>2370</v>
      </c>
      <c r="E1282" s="6" t="s">
        <v>2370</v>
      </c>
      <c r="F1282" s="6" t="s">
        <v>2370</v>
      </c>
      <c r="G1282">
        <v>0</v>
      </c>
      <c r="H1282" s="6" t="s">
        <v>2370</v>
      </c>
      <c r="I1282" t="s">
        <v>8378</v>
      </c>
      <c r="J1282" t="s">
        <v>8377</v>
      </c>
    </row>
    <row r="1283" spans="1:10" x14ac:dyDescent="0.35">
      <c r="A1283" s="6" t="s">
        <v>1079</v>
      </c>
      <c r="B1283">
        <v>45.32</v>
      </c>
      <c r="C1283">
        <v>6.53</v>
      </c>
      <c r="D1283" s="6" t="s">
        <v>2373</v>
      </c>
      <c r="E1283" s="6" t="s">
        <v>2370</v>
      </c>
      <c r="F1283" s="6" t="s">
        <v>2370</v>
      </c>
      <c r="G1283">
        <v>1</v>
      </c>
      <c r="H1283" s="6" t="s">
        <v>2370</v>
      </c>
      <c r="I1283" t="s">
        <v>8374</v>
      </c>
      <c r="J1283" t="s">
        <v>8375</v>
      </c>
    </row>
    <row r="1284" spans="1:10" x14ac:dyDescent="0.35">
      <c r="A1284" s="6" t="s">
        <v>1078</v>
      </c>
      <c r="B1284">
        <v>31.93</v>
      </c>
      <c r="C1284">
        <v>4.82</v>
      </c>
      <c r="D1284" s="6" t="s">
        <v>2373</v>
      </c>
      <c r="E1284" s="6" t="s">
        <v>2370</v>
      </c>
      <c r="F1284" s="6" t="s">
        <v>2370</v>
      </c>
      <c r="G1284">
        <v>1</v>
      </c>
      <c r="H1284" s="6" t="s">
        <v>2370</v>
      </c>
      <c r="I1284" t="s">
        <v>8374</v>
      </c>
      <c r="J1284" t="s">
        <v>8377</v>
      </c>
    </row>
    <row r="1285" spans="1:10" x14ac:dyDescent="0.35">
      <c r="A1285" s="6" t="s">
        <v>1077</v>
      </c>
      <c r="B1285">
        <v>36</v>
      </c>
      <c r="C1285">
        <v>11.94</v>
      </c>
      <c r="D1285" s="6" t="s">
        <v>2373</v>
      </c>
      <c r="E1285" s="6" t="s">
        <v>2370</v>
      </c>
      <c r="F1285" s="6" t="s">
        <v>2370</v>
      </c>
      <c r="G1285">
        <v>1</v>
      </c>
      <c r="H1285" s="6" t="s">
        <v>2370</v>
      </c>
      <c r="I1285" t="s">
        <v>8374</v>
      </c>
      <c r="J1285" t="s">
        <v>8375</v>
      </c>
    </row>
    <row r="1286" spans="1:10" x14ac:dyDescent="0.35">
      <c r="A1286" s="6" t="s">
        <v>1076</v>
      </c>
      <c r="B1286">
        <v>32</v>
      </c>
      <c r="C1286">
        <v>7.85</v>
      </c>
      <c r="D1286" s="6" t="s">
        <v>2373</v>
      </c>
      <c r="E1286" s="6" t="s">
        <v>2370</v>
      </c>
      <c r="F1286" s="6" t="s">
        <v>2370</v>
      </c>
      <c r="G1286">
        <v>1</v>
      </c>
      <c r="H1286" s="6" t="s">
        <v>2370</v>
      </c>
      <c r="I1286" t="s">
        <v>8374</v>
      </c>
      <c r="J1286" t="s">
        <v>8375</v>
      </c>
    </row>
    <row r="1287" spans="1:10" x14ac:dyDescent="0.35">
      <c r="A1287" s="6" t="s">
        <v>1075</v>
      </c>
      <c r="B1287">
        <v>29.37</v>
      </c>
      <c r="C1287">
        <v>8.01</v>
      </c>
      <c r="D1287" s="6" t="s">
        <v>2373</v>
      </c>
      <c r="E1287" s="6" t="s">
        <v>2370</v>
      </c>
      <c r="F1287" s="6" t="s">
        <v>2370</v>
      </c>
      <c r="G1287">
        <v>1</v>
      </c>
      <c r="H1287" s="6" t="s">
        <v>2370</v>
      </c>
      <c r="I1287" t="s">
        <v>8378</v>
      </c>
      <c r="J1287" t="s">
        <v>8375</v>
      </c>
    </row>
    <row r="1288" spans="1:10" x14ac:dyDescent="0.35">
      <c r="A1288" s="6" t="s">
        <v>1074</v>
      </c>
      <c r="B1288">
        <v>23.6</v>
      </c>
      <c r="C1288">
        <v>7.4</v>
      </c>
      <c r="D1288" s="6" t="s">
        <v>2373</v>
      </c>
      <c r="E1288" s="6" t="s">
        <v>2370</v>
      </c>
      <c r="F1288" s="6" t="s">
        <v>2370</v>
      </c>
      <c r="G1288">
        <v>1</v>
      </c>
      <c r="H1288" s="6" t="s">
        <v>2370</v>
      </c>
      <c r="I1288" t="s">
        <v>8379</v>
      </c>
      <c r="J1288" t="s">
        <v>8375</v>
      </c>
    </row>
    <row r="1289" spans="1:10" x14ac:dyDescent="0.35">
      <c r="A1289" s="6" t="s">
        <v>1073</v>
      </c>
      <c r="B1289">
        <v>33.155000000000001</v>
      </c>
      <c r="C1289">
        <v>8.3800000000000008</v>
      </c>
      <c r="D1289" s="6" t="s">
        <v>2373</v>
      </c>
      <c r="E1289" s="6" t="s">
        <v>2370</v>
      </c>
      <c r="F1289" s="6" t="s">
        <v>2370</v>
      </c>
      <c r="G1289">
        <v>0</v>
      </c>
      <c r="H1289" s="6" t="s">
        <v>2370</v>
      </c>
      <c r="I1289" t="s">
        <v>8374</v>
      </c>
      <c r="J1289" t="s">
        <v>8375</v>
      </c>
    </row>
    <row r="1290" spans="1:10" x14ac:dyDescent="0.35">
      <c r="A1290" s="6" t="s">
        <v>1072</v>
      </c>
      <c r="B1290">
        <v>24.32</v>
      </c>
      <c r="C1290">
        <v>11.56</v>
      </c>
      <c r="D1290" s="6" t="s">
        <v>2373</v>
      </c>
      <c r="E1290" s="6" t="s">
        <v>2370</v>
      </c>
      <c r="F1290" s="6" t="s">
        <v>2370</v>
      </c>
      <c r="G1290">
        <v>1</v>
      </c>
      <c r="H1290" s="6" t="s">
        <v>2370</v>
      </c>
      <c r="I1290" t="s">
        <v>8379</v>
      </c>
      <c r="J1290" t="s">
        <v>8375</v>
      </c>
    </row>
    <row r="1291" spans="1:10" x14ac:dyDescent="0.35">
      <c r="A1291" s="6" t="s">
        <v>1071</v>
      </c>
      <c r="B1291">
        <v>36.299999999999997</v>
      </c>
      <c r="C1291">
        <v>4.6100000000000003</v>
      </c>
      <c r="D1291" s="6" t="s">
        <v>2370</v>
      </c>
      <c r="E1291" s="6" t="s">
        <v>2370</v>
      </c>
      <c r="F1291" s="6" t="s">
        <v>2370</v>
      </c>
      <c r="G1291">
        <v>0</v>
      </c>
      <c r="H1291" s="6" t="s">
        <v>2370</v>
      </c>
      <c r="I1291" t="s">
        <v>8374</v>
      </c>
      <c r="J1291" t="s">
        <v>8377</v>
      </c>
    </row>
    <row r="1292" spans="1:10" x14ac:dyDescent="0.35">
      <c r="A1292" s="6" t="s">
        <v>1070</v>
      </c>
      <c r="B1292">
        <v>34.4</v>
      </c>
      <c r="C1292">
        <v>4.95</v>
      </c>
      <c r="D1292" s="6" t="s">
        <v>2370</v>
      </c>
      <c r="E1292" s="6" t="s">
        <v>2370</v>
      </c>
      <c r="F1292" s="6" t="s">
        <v>2373</v>
      </c>
      <c r="G1292">
        <v>1</v>
      </c>
      <c r="H1292" s="6" t="s">
        <v>2370</v>
      </c>
      <c r="I1292" t="s">
        <v>8374</v>
      </c>
      <c r="J1292" t="s">
        <v>8377</v>
      </c>
    </row>
    <row r="1293" spans="1:10" x14ac:dyDescent="0.35">
      <c r="A1293" s="6" t="s">
        <v>1069</v>
      </c>
      <c r="B1293">
        <v>30.9</v>
      </c>
      <c r="C1293">
        <v>5.04</v>
      </c>
      <c r="D1293" s="6" t="s">
        <v>2370</v>
      </c>
      <c r="E1293" s="6" t="s">
        <v>2370</v>
      </c>
      <c r="F1293" s="6" t="s">
        <v>2370</v>
      </c>
      <c r="G1293">
        <v>0</v>
      </c>
      <c r="H1293" s="6" t="s">
        <v>2370</v>
      </c>
      <c r="I1293" t="s">
        <v>8374</v>
      </c>
      <c r="J1293" t="s">
        <v>8377</v>
      </c>
    </row>
    <row r="1294" spans="1:10" x14ac:dyDescent="0.35">
      <c r="A1294" s="6" t="s">
        <v>1068</v>
      </c>
      <c r="B1294">
        <v>28.6</v>
      </c>
      <c r="C1294">
        <v>5.42</v>
      </c>
      <c r="D1294" s="6" t="s">
        <v>2370</v>
      </c>
      <c r="E1294" s="6" t="s">
        <v>2370</v>
      </c>
      <c r="F1294" s="6" t="s">
        <v>2370</v>
      </c>
      <c r="G1294">
        <v>0</v>
      </c>
      <c r="H1294" s="6" t="s">
        <v>2370</v>
      </c>
      <c r="I1294" t="s">
        <v>8378</v>
      </c>
      <c r="J1294" t="s">
        <v>8377</v>
      </c>
    </row>
    <row r="1295" spans="1:10" x14ac:dyDescent="0.35">
      <c r="A1295" s="6" t="s">
        <v>1067</v>
      </c>
      <c r="B1295">
        <v>27.83</v>
      </c>
      <c r="C1295">
        <v>5.39</v>
      </c>
      <c r="D1295" s="6" t="s">
        <v>2370</v>
      </c>
      <c r="E1295" s="6" t="s">
        <v>2370</v>
      </c>
      <c r="F1295" s="6" t="s">
        <v>2370</v>
      </c>
      <c r="G1295">
        <v>0</v>
      </c>
      <c r="H1295" s="6" t="s">
        <v>2370</v>
      </c>
      <c r="I1295" t="s">
        <v>8378</v>
      </c>
      <c r="J1295" t="s">
        <v>8377</v>
      </c>
    </row>
    <row r="1296" spans="1:10" x14ac:dyDescent="0.35">
      <c r="A1296" s="6" t="s">
        <v>1066</v>
      </c>
      <c r="B1296">
        <v>39.64</v>
      </c>
      <c r="C1296">
        <v>6</v>
      </c>
      <c r="D1296" s="6" t="s">
        <v>2370</v>
      </c>
      <c r="E1296" s="6" t="s">
        <v>2370</v>
      </c>
      <c r="F1296" s="6" t="s">
        <v>2373</v>
      </c>
      <c r="G1296">
        <v>1</v>
      </c>
      <c r="H1296" s="6" t="s">
        <v>2370</v>
      </c>
      <c r="I1296" t="s">
        <v>8374</v>
      </c>
      <c r="J1296" t="s">
        <v>8376</v>
      </c>
    </row>
    <row r="1297" spans="1:10" x14ac:dyDescent="0.35">
      <c r="A1297" s="6" t="s">
        <v>1065</v>
      </c>
      <c r="B1297">
        <v>38.479999999999997</v>
      </c>
      <c r="C1297">
        <v>6.02</v>
      </c>
      <c r="D1297" s="6" t="s">
        <v>2370</v>
      </c>
      <c r="E1297" s="6" t="s">
        <v>2370</v>
      </c>
      <c r="F1297" s="6" t="s">
        <v>2370</v>
      </c>
      <c r="G1297">
        <v>1</v>
      </c>
      <c r="H1297" s="6" t="s">
        <v>2370</v>
      </c>
      <c r="I1297" t="s">
        <v>8374</v>
      </c>
      <c r="J1297" t="s">
        <v>8376</v>
      </c>
    </row>
    <row r="1298" spans="1:10" x14ac:dyDescent="0.35">
      <c r="A1298" s="6" t="s">
        <v>1064</v>
      </c>
      <c r="B1298">
        <v>36.200000000000003</v>
      </c>
      <c r="C1298">
        <v>4.62</v>
      </c>
      <c r="D1298" s="6" t="s">
        <v>2370</v>
      </c>
      <c r="E1298" s="6" t="s">
        <v>2370</v>
      </c>
      <c r="F1298" s="6" t="s">
        <v>2370</v>
      </c>
      <c r="G1298">
        <v>2</v>
      </c>
      <c r="H1298" s="6" t="s">
        <v>2370</v>
      </c>
      <c r="I1298" t="s">
        <v>8374</v>
      </c>
      <c r="J1298" t="s">
        <v>8377</v>
      </c>
    </row>
    <row r="1299" spans="1:10" x14ac:dyDescent="0.35">
      <c r="A1299" s="6" t="s">
        <v>1063</v>
      </c>
      <c r="B1299">
        <v>27.13</v>
      </c>
      <c r="C1299">
        <v>5.59</v>
      </c>
      <c r="D1299" s="6" t="s">
        <v>2370</v>
      </c>
      <c r="E1299" s="6" t="s">
        <v>2370</v>
      </c>
      <c r="F1299" s="6" t="s">
        <v>2370</v>
      </c>
      <c r="G1299">
        <v>1</v>
      </c>
      <c r="H1299" s="6" t="s">
        <v>2370</v>
      </c>
      <c r="I1299" t="s">
        <v>8378</v>
      </c>
      <c r="J1299" t="s">
        <v>8377</v>
      </c>
    </row>
    <row r="1300" spans="1:10" x14ac:dyDescent="0.35">
      <c r="A1300" s="6" t="s">
        <v>1062</v>
      </c>
      <c r="B1300">
        <v>20.75</v>
      </c>
      <c r="C1300">
        <v>5.18</v>
      </c>
      <c r="D1300" s="6" t="s">
        <v>2373</v>
      </c>
      <c r="E1300" s="6" t="s">
        <v>2370</v>
      </c>
      <c r="F1300" s="6" t="s">
        <v>2370</v>
      </c>
      <c r="G1300">
        <v>2</v>
      </c>
      <c r="H1300" s="6" t="s">
        <v>2370</v>
      </c>
      <c r="I1300" t="s">
        <v>8379</v>
      </c>
      <c r="J1300" t="s">
        <v>8377</v>
      </c>
    </row>
    <row r="1301" spans="1:10" x14ac:dyDescent="0.35">
      <c r="A1301" s="6" t="s">
        <v>1061</v>
      </c>
      <c r="B1301">
        <v>26.6</v>
      </c>
      <c r="C1301">
        <v>6.29</v>
      </c>
      <c r="D1301" s="6" t="s">
        <v>2370</v>
      </c>
      <c r="E1301" s="6" t="s">
        <v>2370</v>
      </c>
      <c r="F1301" s="6" t="s">
        <v>2370</v>
      </c>
      <c r="G1301">
        <v>2</v>
      </c>
      <c r="H1301" s="6" t="s">
        <v>2370</v>
      </c>
      <c r="I1301" t="s">
        <v>8378</v>
      </c>
      <c r="J1301" t="s">
        <v>8376</v>
      </c>
    </row>
    <row r="1302" spans="1:10" x14ac:dyDescent="0.35">
      <c r="A1302" s="6" t="s">
        <v>1060</v>
      </c>
      <c r="B1302">
        <v>25.3</v>
      </c>
      <c r="C1302">
        <v>4.49</v>
      </c>
      <c r="D1302" s="6" t="s">
        <v>2370</v>
      </c>
      <c r="E1302" s="6" t="s">
        <v>2370</v>
      </c>
      <c r="F1302" s="6" t="s">
        <v>2370</v>
      </c>
      <c r="G1302">
        <v>2</v>
      </c>
      <c r="H1302" s="6" t="s">
        <v>2370</v>
      </c>
      <c r="I1302" t="s">
        <v>8378</v>
      </c>
      <c r="J1302" t="s">
        <v>8377</v>
      </c>
    </row>
    <row r="1303" spans="1:10" x14ac:dyDescent="0.35">
      <c r="A1303" s="6" t="s">
        <v>1059</v>
      </c>
      <c r="B1303">
        <v>18.84</v>
      </c>
      <c r="C1303">
        <v>11.82</v>
      </c>
      <c r="D1303" s="6" t="s">
        <v>2373</v>
      </c>
      <c r="E1303" s="6" t="s">
        <v>2370</v>
      </c>
      <c r="F1303" s="6" t="s">
        <v>2373</v>
      </c>
      <c r="G1303">
        <v>1</v>
      </c>
      <c r="H1303" s="6" t="s">
        <v>2370</v>
      </c>
      <c r="I1303" t="s">
        <v>8379</v>
      </c>
      <c r="J1303" t="s">
        <v>8375</v>
      </c>
    </row>
    <row r="1304" spans="1:10" x14ac:dyDescent="0.35">
      <c r="A1304" s="6" t="s">
        <v>1058</v>
      </c>
      <c r="B1304">
        <v>19.57</v>
      </c>
      <c r="C1304">
        <v>7.41</v>
      </c>
      <c r="D1304" s="6" t="s">
        <v>2373</v>
      </c>
      <c r="E1304" s="6" t="s">
        <v>2370</v>
      </c>
      <c r="F1304" s="6" t="s">
        <v>2370</v>
      </c>
      <c r="G1304">
        <v>1</v>
      </c>
      <c r="H1304" s="6" t="s">
        <v>2370</v>
      </c>
      <c r="I1304" t="s">
        <v>8379</v>
      </c>
      <c r="J1304" t="s">
        <v>8375</v>
      </c>
    </row>
    <row r="1305" spans="1:10" x14ac:dyDescent="0.35">
      <c r="A1305" s="6" t="s">
        <v>1057</v>
      </c>
      <c r="B1305">
        <v>30.495000000000001</v>
      </c>
      <c r="C1305">
        <v>5.97</v>
      </c>
      <c r="D1305" s="6" t="s">
        <v>2370</v>
      </c>
      <c r="E1305" s="6" t="s">
        <v>2370</v>
      </c>
      <c r="F1305" s="6" t="s">
        <v>2370</v>
      </c>
      <c r="G1305">
        <v>0</v>
      </c>
      <c r="H1305" s="6" t="s">
        <v>2370</v>
      </c>
      <c r="I1305" t="s">
        <v>8374</v>
      </c>
      <c r="J1305" t="s">
        <v>8376</v>
      </c>
    </row>
    <row r="1306" spans="1:10" x14ac:dyDescent="0.35">
      <c r="A1306" s="6" t="s">
        <v>1056</v>
      </c>
      <c r="B1306">
        <v>30.114999999999998</v>
      </c>
      <c r="C1306">
        <v>5.74</v>
      </c>
      <c r="D1306" s="6" t="s">
        <v>2370</v>
      </c>
      <c r="E1306" s="6" t="s">
        <v>2370</v>
      </c>
      <c r="F1306" s="6" t="s">
        <v>2373</v>
      </c>
      <c r="G1306">
        <v>1</v>
      </c>
      <c r="H1306" s="6" t="s">
        <v>2370</v>
      </c>
      <c r="I1306" t="s">
        <v>8374</v>
      </c>
      <c r="J1306" t="s">
        <v>8376</v>
      </c>
    </row>
    <row r="1307" spans="1:10" x14ac:dyDescent="0.35">
      <c r="A1307" s="6" t="s">
        <v>1055</v>
      </c>
      <c r="B1307">
        <v>24.78</v>
      </c>
      <c r="C1307">
        <v>9.85</v>
      </c>
      <c r="D1307" s="6" t="s">
        <v>2370</v>
      </c>
      <c r="E1307" s="6" t="s">
        <v>2370</v>
      </c>
      <c r="F1307" s="6" t="s">
        <v>2370</v>
      </c>
      <c r="G1307">
        <v>0</v>
      </c>
      <c r="H1307" s="6" t="s">
        <v>2370</v>
      </c>
      <c r="I1307" t="s">
        <v>8379</v>
      </c>
      <c r="J1307" t="s">
        <v>8375</v>
      </c>
    </row>
    <row r="1308" spans="1:10" x14ac:dyDescent="0.35">
      <c r="A1308" s="6" t="s">
        <v>1054</v>
      </c>
      <c r="B1308">
        <v>24.77</v>
      </c>
      <c r="C1308">
        <v>7.59</v>
      </c>
      <c r="D1308" s="6" t="s">
        <v>2370</v>
      </c>
      <c r="E1308" s="6" t="s">
        <v>2370</v>
      </c>
      <c r="F1308" s="6" t="s">
        <v>2370</v>
      </c>
      <c r="G1308">
        <v>0</v>
      </c>
      <c r="H1308" s="6" t="s">
        <v>2370</v>
      </c>
      <c r="I1308" t="s">
        <v>8379</v>
      </c>
      <c r="J1308" t="s">
        <v>8375</v>
      </c>
    </row>
    <row r="1309" spans="1:10" x14ac:dyDescent="0.35">
      <c r="A1309" s="6" t="s">
        <v>1053</v>
      </c>
      <c r="B1309">
        <v>16.579999999999998</v>
      </c>
      <c r="C1309">
        <v>6.98</v>
      </c>
      <c r="D1309" s="6" t="s">
        <v>2373</v>
      </c>
      <c r="E1309" s="6" t="s">
        <v>2370</v>
      </c>
      <c r="F1309" s="6" t="s">
        <v>2373</v>
      </c>
      <c r="G1309">
        <v>1</v>
      </c>
      <c r="H1309" s="6" t="s">
        <v>2370</v>
      </c>
      <c r="I1309" t="s">
        <v>8380</v>
      </c>
      <c r="J1309" t="s">
        <v>8375</v>
      </c>
    </row>
    <row r="1310" spans="1:10" x14ac:dyDescent="0.35">
      <c r="A1310" s="6" t="s">
        <v>1052</v>
      </c>
      <c r="B1310">
        <v>38.17</v>
      </c>
      <c r="C1310">
        <v>4.7300000000000004</v>
      </c>
      <c r="D1310" s="6" t="s">
        <v>2373</v>
      </c>
      <c r="E1310" s="6" t="s">
        <v>2370</v>
      </c>
      <c r="F1310" s="6" t="s">
        <v>2370</v>
      </c>
      <c r="G1310">
        <v>0</v>
      </c>
      <c r="H1310" s="6" t="s">
        <v>2370</v>
      </c>
      <c r="I1310" t="s">
        <v>8374</v>
      </c>
      <c r="J1310" t="s">
        <v>8377</v>
      </c>
    </row>
    <row r="1311" spans="1:10" x14ac:dyDescent="0.35">
      <c r="A1311" s="6" t="s">
        <v>1051</v>
      </c>
      <c r="B1311">
        <v>39.424999999999997</v>
      </c>
      <c r="C1311">
        <v>4.76</v>
      </c>
      <c r="D1311" s="6" t="s">
        <v>2373</v>
      </c>
      <c r="E1311" s="6" t="s">
        <v>2370</v>
      </c>
      <c r="F1311" s="6" t="s">
        <v>2370</v>
      </c>
      <c r="G1311">
        <v>0</v>
      </c>
      <c r="H1311" s="6" t="s">
        <v>2370</v>
      </c>
      <c r="I1311" t="s">
        <v>8374</v>
      </c>
      <c r="J1311" t="s">
        <v>8377</v>
      </c>
    </row>
    <row r="1312" spans="1:10" x14ac:dyDescent="0.35">
      <c r="A1312" s="6" t="s">
        <v>1050</v>
      </c>
      <c r="B1312">
        <v>33.44</v>
      </c>
      <c r="C1312">
        <v>6.24</v>
      </c>
      <c r="D1312" s="6" t="s">
        <v>2373</v>
      </c>
      <c r="E1312" s="6" t="s">
        <v>2370</v>
      </c>
      <c r="F1312" s="6" t="s">
        <v>2370</v>
      </c>
      <c r="G1312">
        <v>0</v>
      </c>
      <c r="H1312" s="6" t="s">
        <v>2370</v>
      </c>
      <c r="I1312" t="s">
        <v>8374</v>
      </c>
      <c r="J1312" t="s">
        <v>8376</v>
      </c>
    </row>
    <row r="1313" spans="1:10" x14ac:dyDescent="0.35">
      <c r="A1313" s="6" t="s">
        <v>1049</v>
      </c>
      <c r="B1313">
        <v>33.344999999999999</v>
      </c>
      <c r="C1313">
        <v>5.44</v>
      </c>
      <c r="D1313" s="6" t="s">
        <v>2373</v>
      </c>
      <c r="E1313" s="6" t="s">
        <v>2370</v>
      </c>
      <c r="F1313" s="6" t="s">
        <v>2370</v>
      </c>
      <c r="G1313">
        <v>0</v>
      </c>
      <c r="H1313" s="6" t="s">
        <v>2370</v>
      </c>
      <c r="I1313" t="s">
        <v>8374</v>
      </c>
      <c r="J1313" t="s">
        <v>8377</v>
      </c>
    </row>
    <row r="1314" spans="1:10" x14ac:dyDescent="0.35">
      <c r="A1314" s="6" t="s">
        <v>1048</v>
      </c>
      <c r="B1314">
        <v>38.79</v>
      </c>
      <c r="C1314">
        <v>5.08</v>
      </c>
      <c r="D1314" s="6" t="s">
        <v>2370</v>
      </c>
      <c r="E1314" s="6" t="s">
        <v>2370</v>
      </c>
      <c r="F1314" s="6" t="s">
        <v>2373</v>
      </c>
      <c r="G1314">
        <v>1</v>
      </c>
      <c r="H1314" s="6" t="s">
        <v>2370</v>
      </c>
      <c r="I1314" t="s">
        <v>8374</v>
      </c>
      <c r="J1314" t="s">
        <v>8377</v>
      </c>
    </row>
    <row r="1315" spans="1:10" x14ac:dyDescent="0.35">
      <c r="A1315" s="6" t="s">
        <v>1047</v>
      </c>
      <c r="B1315">
        <v>30.684999999999999</v>
      </c>
      <c r="C1315">
        <v>4.87</v>
      </c>
      <c r="D1315" s="6" t="s">
        <v>2370</v>
      </c>
      <c r="E1315" s="6" t="s">
        <v>2370</v>
      </c>
      <c r="F1315" s="6" t="s">
        <v>2373</v>
      </c>
      <c r="G1315">
        <v>1</v>
      </c>
      <c r="H1315" s="6" t="s">
        <v>2370</v>
      </c>
      <c r="I1315" t="s">
        <v>8374</v>
      </c>
      <c r="J1315" t="s">
        <v>8377</v>
      </c>
    </row>
    <row r="1316" spans="1:10" x14ac:dyDescent="0.35">
      <c r="A1316" s="6" t="s">
        <v>1046</v>
      </c>
      <c r="B1316">
        <v>22.135000000000002</v>
      </c>
      <c r="C1316">
        <v>8.17</v>
      </c>
      <c r="D1316" s="6" t="s">
        <v>2370</v>
      </c>
      <c r="E1316" s="6" t="s">
        <v>2370</v>
      </c>
      <c r="F1316" s="6" t="s">
        <v>2370</v>
      </c>
      <c r="G1316">
        <v>0</v>
      </c>
      <c r="H1316" s="6" t="s">
        <v>2370</v>
      </c>
      <c r="I1316" t="s">
        <v>8379</v>
      </c>
      <c r="J1316" t="s">
        <v>8375</v>
      </c>
    </row>
    <row r="1317" spans="1:10" x14ac:dyDescent="0.35">
      <c r="A1317" s="6" t="s">
        <v>1045</v>
      </c>
      <c r="B1317">
        <v>33.33</v>
      </c>
      <c r="C1317">
        <v>7.61</v>
      </c>
      <c r="D1317" s="6" t="s">
        <v>2370</v>
      </c>
      <c r="E1317" s="6" t="s">
        <v>2370</v>
      </c>
      <c r="F1317" s="6" t="s">
        <v>2370</v>
      </c>
      <c r="G1317">
        <v>0</v>
      </c>
      <c r="H1317" s="6" t="s">
        <v>2370</v>
      </c>
      <c r="I1317" t="s">
        <v>8374</v>
      </c>
      <c r="J1317" t="s">
        <v>8375</v>
      </c>
    </row>
    <row r="1318" spans="1:10" x14ac:dyDescent="0.35">
      <c r="A1318" s="6" t="s">
        <v>1044</v>
      </c>
      <c r="B1318">
        <v>31.13</v>
      </c>
      <c r="C1318">
        <v>10.1</v>
      </c>
      <c r="D1318" s="6" t="s">
        <v>2370</v>
      </c>
      <c r="E1318" s="6" t="s">
        <v>2370</v>
      </c>
      <c r="F1318" s="6" t="s">
        <v>2370</v>
      </c>
      <c r="G1318">
        <v>0</v>
      </c>
      <c r="H1318" s="6" t="s">
        <v>2370</v>
      </c>
      <c r="I1318" t="s">
        <v>8374</v>
      </c>
      <c r="J1318" t="s">
        <v>8375</v>
      </c>
    </row>
    <row r="1319" spans="1:10" x14ac:dyDescent="0.35">
      <c r="A1319" s="6" t="s">
        <v>1043</v>
      </c>
      <c r="B1319">
        <v>28.9</v>
      </c>
      <c r="C1319">
        <v>11.24</v>
      </c>
      <c r="D1319" s="6" t="s">
        <v>2370</v>
      </c>
      <c r="E1319" s="6" t="s">
        <v>2370</v>
      </c>
      <c r="F1319" s="6" t="s">
        <v>2370</v>
      </c>
      <c r="G1319">
        <v>0</v>
      </c>
      <c r="H1319" s="6" t="s">
        <v>2370</v>
      </c>
      <c r="I1319" t="s">
        <v>8378</v>
      </c>
      <c r="J1319" t="s">
        <v>8375</v>
      </c>
    </row>
    <row r="1320" spans="1:10" x14ac:dyDescent="0.35">
      <c r="A1320" s="6" t="s">
        <v>1042</v>
      </c>
      <c r="B1320">
        <v>43.31</v>
      </c>
      <c r="C1320">
        <v>6.1</v>
      </c>
      <c r="D1320" s="6" t="s">
        <v>2373</v>
      </c>
      <c r="E1320" s="6" t="s">
        <v>2372</v>
      </c>
      <c r="F1320" s="6" t="s">
        <v>2370</v>
      </c>
      <c r="G1320">
        <v>1</v>
      </c>
      <c r="H1320" s="6" t="s">
        <v>2370</v>
      </c>
      <c r="I1320" t="s">
        <v>8374</v>
      </c>
      <c r="J1320" t="s">
        <v>8376</v>
      </c>
    </row>
    <row r="1321" spans="1:10" x14ac:dyDescent="0.35">
      <c r="A1321" s="6" t="s">
        <v>1041</v>
      </c>
      <c r="B1321">
        <v>22.8</v>
      </c>
      <c r="C1321">
        <v>6.98</v>
      </c>
      <c r="D1321" s="6" t="s">
        <v>2370</v>
      </c>
      <c r="E1321" s="6" t="s">
        <v>2370</v>
      </c>
      <c r="F1321" s="6" t="s">
        <v>2370</v>
      </c>
      <c r="G1321">
        <v>0</v>
      </c>
      <c r="H1321" s="6" t="s">
        <v>2370</v>
      </c>
      <c r="I1321" t="s">
        <v>8379</v>
      </c>
      <c r="J1321" t="s">
        <v>8375</v>
      </c>
    </row>
    <row r="1322" spans="1:10" x14ac:dyDescent="0.35">
      <c r="A1322" s="6" t="s">
        <v>1040</v>
      </c>
      <c r="B1322">
        <v>19.09</v>
      </c>
      <c r="C1322">
        <v>4</v>
      </c>
      <c r="D1322" s="6" t="s">
        <v>2373</v>
      </c>
      <c r="E1322" s="6" t="s">
        <v>2370</v>
      </c>
      <c r="F1322" s="6" t="s">
        <v>2370</v>
      </c>
      <c r="G1322">
        <v>1</v>
      </c>
      <c r="H1322" s="6" t="s">
        <v>2370</v>
      </c>
      <c r="I1322" t="s">
        <v>8379</v>
      </c>
      <c r="J1322" t="s">
        <v>8377</v>
      </c>
    </row>
    <row r="1323" spans="1:10" x14ac:dyDescent="0.35">
      <c r="A1323" s="6" t="s">
        <v>1039</v>
      </c>
      <c r="B1323">
        <v>23.37</v>
      </c>
      <c r="C1323">
        <v>4.2300000000000004</v>
      </c>
      <c r="D1323" s="6" t="s">
        <v>2370</v>
      </c>
      <c r="E1323" s="6" t="s">
        <v>2370</v>
      </c>
      <c r="F1323" s="6" t="s">
        <v>2370</v>
      </c>
      <c r="G1323">
        <v>0</v>
      </c>
      <c r="H1323" s="6" t="s">
        <v>2370</v>
      </c>
      <c r="I1323" t="s">
        <v>8379</v>
      </c>
      <c r="J1323" t="s">
        <v>8377</v>
      </c>
    </row>
    <row r="1324" spans="1:10" x14ac:dyDescent="0.35">
      <c r="A1324" s="6" t="s">
        <v>1038</v>
      </c>
      <c r="B1324">
        <v>33.44</v>
      </c>
      <c r="C1324">
        <v>4.72</v>
      </c>
      <c r="D1324" s="6" t="s">
        <v>2373</v>
      </c>
      <c r="E1324" s="6" t="s">
        <v>2370</v>
      </c>
      <c r="F1324" s="6" t="s">
        <v>2370</v>
      </c>
      <c r="G1324">
        <v>0</v>
      </c>
      <c r="H1324" s="6" t="s">
        <v>2370</v>
      </c>
      <c r="I1324" t="s">
        <v>8374</v>
      </c>
      <c r="J1324" t="s">
        <v>8377</v>
      </c>
    </row>
    <row r="1325" spans="1:10" x14ac:dyDescent="0.35">
      <c r="A1325" s="6" t="s">
        <v>1037</v>
      </c>
      <c r="B1325">
        <v>28.05</v>
      </c>
      <c r="C1325">
        <v>5.63</v>
      </c>
      <c r="D1325" s="6" t="s">
        <v>2373</v>
      </c>
      <c r="E1325" s="6" t="s">
        <v>2370</v>
      </c>
      <c r="F1325" s="6" t="s">
        <v>2370</v>
      </c>
      <c r="G1325">
        <v>0</v>
      </c>
      <c r="H1325" s="6" t="s">
        <v>2370</v>
      </c>
      <c r="I1325" t="s">
        <v>8378</v>
      </c>
      <c r="J1325" t="s">
        <v>8377</v>
      </c>
    </row>
    <row r="1326" spans="1:10" x14ac:dyDescent="0.35">
      <c r="A1326" s="6" t="s">
        <v>1036</v>
      </c>
      <c r="B1326">
        <v>27.72</v>
      </c>
      <c r="C1326">
        <v>5.83</v>
      </c>
      <c r="D1326" s="6" t="s">
        <v>2373</v>
      </c>
      <c r="E1326" s="6" t="s">
        <v>2370</v>
      </c>
      <c r="F1326" s="6" t="s">
        <v>2370</v>
      </c>
      <c r="G1326">
        <v>0</v>
      </c>
      <c r="H1326" s="6" t="s">
        <v>2370</v>
      </c>
      <c r="I1326" t="s">
        <v>8378</v>
      </c>
      <c r="J1326" t="s">
        <v>8376</v>
      </c>
    </row>
    <row r="1327" spans="1:10" x14ac:dyDescent="0.35">
      <c r="A1327" s="6" t="s">
        <v>1035</v>
      </c>
      <c r="B1327">
        <v>29.81</v>
      </c>
      <c r="C1327">
        <v>9.23</v>
      </c>
      <c r="D1327" s="6" t="s">
        <v>2370</v>
      </c>
      <c r="E1327" s="6" t="s">
        <v>2370</v>
      </c>
      <c r="F1327" s="6" t="s">
        <v>2370</v>
      </c>
      <c r="G1327">
        <v>0</v>
      </c>
      <c r="H1327" s="6" t="s">
        <v>2370</v>
      </c>
      <c r="I1327" t="s">
        <v>8378</v>
      </c>
      <c r="J1327" t="s">
        <v>8375</v>
      </c>
    </row>
    <row r="1328" spans="1:10" x14ac:dyDescent="0.35">
      <c r="A1328" s="6" t="s">
        <v>1034</v>
      </c>
      <c r="B1328">
        <v>23.98</v>
      </c>
      <c r="C1328">
        <v>9.89</v>
      </c>
      <c r="D1328" s="6" t="s">
        <v>2370</v>
      </c>
      <c r="E1328" s="6" t="s">
        <v>2370</v>
      </c>
      <c r="F1328" s="6" t="s">
        <v>2370</v>
      </c>
      <c r="G1328">
        <v>0</v>
      </c>
      <c r="H1328" s="6" t="s">
        <v>2370</v>
      </c>
      <c r="I1328" t="s">
        <v>8379</v>
      </c>
      <c r="J1328" t="s">
        <v>8375</v>
      </c>
    </row>
    <row r="1329" spans="1:10" x14ac:dyDescent="0.35">
      <c r="A1329" s="6" t="s">
        <v>1033</v>
      </c>
      <c r="B1329">
        <v>17.34</v>
      </c>
      <c r="C1329">
        <v>12</v>
      </c>
      <c r="D1329" s="6" t="s">
        <v>2370</v>
      </c>
      <c r="E1329" s="6" t="s">
        <v>2370</v>
      </c>
      <c r="F1329" s="6" t="s">
        <v>2370</v>
      </c>
      <c r="G1329">
        <v>0</v>
      </c>
      <c r="H1329" s="6" t="s">
        <v>2370</v>
      </c>
      <c r="I1329" t="s">
        <v>8380</v>
      </c>
      <c r="J1329" t="s">
        <v>8375</v>
      </c>
    </row>
    <row r="1330" spans="1:10" x14ac:dyDescent="0.35">
      <c r="A1330" s="6" t="s">
        <v>1032</v>
      </c>
      <c r="B1330">
        <v>40.39</v>
      </c>
      <c r="C1330">
        <v>4.24</v>
      </c>
      <c r="D1330" s="6" t="s">
        <v>2373</v>
      </c>
      <c r="E1330" s="6" t="s">
        <v>2370</v>
      </c>
      <c r="F1330" s="6" t="s">
        <v>2373</v>
      </c>
      <c r="G1330">
        <v>1</v>
      </c>
      <c r="H1330" s="6" t="s">
        <v>2370</v>
      </c>
      <c r="I1330" t="s">
        <v>8374</v>
      </c>
      <c r="J1330" t="s">
        <v>8377</v>
      </c>
    </row>
    <row r="1331" spans="1:10" x14ac:dyDescent="0.35">
      <c r="A1331" s="6" t="s">
        <v>1031</v>
      </c>
      <c r="B1331">
        <v>25.96</v>
      </c>
      <c r="C1331">
        <v>4.68</v>
      </c>
      <c r="D1331" s="6" t="s">
        <v>2373</v>
      </c>
      <c r="E1331" s="6" t="s">
        <v>2370</v>
      </c>
      <c r="F1331" s="6" t="s">
        <v>2373</v>
      </c>
      <c r="G1331">
        <v>1</v>
      </c>
      <c r="H1331" s="6" t="s">
        <v>2370</v>
      </c>
      <c r="I1331" t="s">
        <v>8378</v>
      </c>
      <c r="J1331" t="s">
        <v>8377</v>
      </c>
    </row>
    <row r="1332" spans="1:10" x14ac:dyDescent="0.35">
      <c r="A1332" s="6" t="s">
        <v>1030</v>
      </c>
      <c r="B1332">
        <v>17.68</v>
      </c>
      <c r="C1332">
        <v>8.57</v>
      </c>
      <c r="D1332" s="6" t="s">
        <v>2373</v>
      </c>
      <c r="E1332" s="6" t="s">
        <v>2370</v>
      </c>
      <c r="F1332" s="6" t="s">
        <v>2373</v>
      </c>
      <c r="G1332">
        <v>1</v>
      </c>
      <c r="H1332" s="6" t="s">
        <v>2370</v>
      </c>
      <c r="I1332" t="s">
        <v>8380</v>
      </c>
      <c r="J1332" t="s">
        <v>8375</v>
      </c>
    </row>
    <row r="1333" spans="1:10" x14ac:dyDescent="0.35">
      <c r="A1333" s="6" t="s">
        <v>1029</v>
      </c>
      <c r="B1333">
        <v>30.875</v>
      </c>
      <c r="C1333">
        <v>4.0999999999999996</v>
      </c>
      <c r="D1333" s="6" t="s">
        <v>2370</v>
      </c>
      <c r="E1333" s="6" t="s">
        <v>2370</v>
      </c>
      <c r="F1333" s="6" t="s">
        <v>2370</v>
      </c>
      <c r="G1333">
        <v>0</v>
      </c>
      <c r="H1333" s="6" t="s">
        <v>2370</v>
      </c>
      <c r="I1333" t="s">
        <v>8374</v>
      </c>
      <c r="J1333" t="s">
        <v>8377</v>
      </c>
    </row>
    <row r="1334" spans="1:10" x14ac:dyDescent="0.35">
      <c r="A1334" s="6" t="s">
        <v>1028</v>
      </c>
      <c r="B1334">
        <v>30.81</v>
      </c>
      <c r="C1334">
        <v>4.49</v>
      </c>
      <c r="D1334" s="6" t="s">
        <v>2370</v>
      </c>
      <c r="E1334" s="6" t="s">
        <v>2370</v>
      </c>
      <c r="F1334" s="6" t="s">
        <v>2370</v>
      </c>
      <c r="G1334">
        <v>0</v>
      </c>
      <c r="H1334" s="6" t="s">
        <v>2370</v>
      </c>
      <c r="I1334" t="s">
        <v>8374</v>
      </c>
      <c r="J1334" t="s">
        <v>8377</v>
      </c>
    </row>
    <row r="1335" spans="1:10" x14ac:dyDescent="0.35">
      <c r="A1335" s="6" t="s">
        <v>1027</v>
      </c>
      <c r="B1335">
        <v>36.85</v>
      </c>
      <c r="C1335">
        <v>8.8000000000000007</v>
      </c>
      <c r="D1335" s="6" t="s">
        <v>2370</v>
      </c>
      <c r="E1335" s="6" t="s">
        <v>2370</v>
      </c>
      <c r="F1335" s="6" t="s">
        <v>2370</v>
      </c>
      <c r="G1335">
        <v>2</v>
      </c>
      <c r="H1335" s="6" t="s">
        <v>2370</v>
      </c>
      <c r="I1335" t="s">
        <v>8374</v>
      </c>
      <c r="J1335" t="s">
        <v>8375</v>
      </c>
    </row>
    <row r="1336" spans="1:10" x14ac:dyDescent="0.35">
      <c r="A1336" s="6" t="s">
        <v>1026</v>
      </c>
      <c r="B1336">
        <v>35.86</v>
      </c>
      <c r="C1336">
        <v>7.93</v>
      </c>
      <c r="D1336" s="6" t="s">
        <v>2370</v>
      </c>
      <c r="E1336" s="6" t="s">
        <v>2370</v>
      </c>
      <c r="F1336" s="6" t="s">
        <v>2370</v>
      </c>
      <c r="G1336">
        <v>2</v>
      </c>
      <c r="H1336" s="6" t="s">
        <v>2370</v>
      </c>
      <c r="I1336" t="s">
        <v>8374</v>
      </c>
      <c r="J1336" t="s">
        <v>8375</v>
      </c>
    </row>
    <row r="1337" spans="1:10" x14ac:dyDescent="0.35">
      <c r="A1337" s="6" t="s">
        <v>1025</v>
      </c>
      <c r="B1337">
        <v>30.3</v>
      </c>
      <c r="C1337">
        <v>9.4499999999999993</v>
      </c>
      <c r="D1337" s="6" t="s">
        <v>2370</v>
      </c>
      <c r="E1337" s="6" t="s">
        <v>2370</v>
      </c>
      <c r="F1337" s="6" t="s">
        <v>2370</v>
      </c>
      <c r="G1337">
        <v>2</v>
      </c>
      <c r="H1337" s="6" t="s">
        <v>2370</v>
      </c>
      <c r="I1337" t="s">
        <v>8374</v>
      </c>
      <c r="J1337" t="s">
        <v>8375</v>
      </c>
    </row>
    <row r="1338" spans="1:10" x14ac:dyDescent="0.35">
      <c r="A1338" s="6" t="s">
        <v>1024</v>
      </c>
      <c r="B1338">
        <v>32.015000000000001</v>
      </c>
      <c r="C1338">
        <v>7.67</v>
      </c>
      <c r="D1338" s="6" t="s">
        <v>2370</v>
      </c>
      <c r="E1338" s="6" t="s">
        <v>2370</v>
      </c>
      <c r="F1338" s="6" t="s">
        <v>2370</v>
      </c>
      <c r="G1338">
        <v>0</v>
      </c>
      <c r="H1338" s="6" t="s">
        <v>2370</v>
      </c>
      <c r="I1338" t="s">
        <v>8374</v>
      </c>
      <c r="J1338" t="s">
        <v>8375</v>
      </c>
    </row>
    <row r="1339" spans="1:10" x14ac:dyDescent="0.35">
      <c r="A1339" s="6" t="s">
        <v>1023</v>
      </c>
      <c r="B1339">
        <v>25.06</v>
      </c>
      <c r="C1339">
        <v>10.53</v>
      </c>
      <c r="D1339" s="6" t="s">
        <v>2370</v>
      </c>
      <c r="E1339" s="6" t="s">
        <v>2370</v>
      </c>
      <c r="F1339" s="6" t="s">
        <v>2370</v>
      </c>
      <c r="G1339">
        <v>2</v>
      </c>
      <c r="H1339" s="6" t="s">
        <v>2370</v>
      </c>
      <c r="I1339" t="s">
        <v>8378</v>
      </c>
      <c r="J1339" t="s">
        <v>8375</v>
      </c>
    </row>
    <row r="1340" spans="1:10" x14ac:dyDescent="0.35">
      <c r="A1340" s="6" t="s">
        <v>1022</v>
      </c>
      <c r="B1340">
        <v>18.829999999999998</v>
      </c>
      <c r="C1340">
        <v>10.08</v>
      </c>
      <c r="D1340" s="6" t="s">
        <v>2373</v>
      </c>
      <c r="E1340" s="6" t="s">
        <v>2370</v>
      </c>
      <c r="F1340" s="6" t="s">
        <v>2370</v>
      </c>
      <c r="G1340">
        <v>0</v>
      </c>
      <c r="H1340" s="6" t="s">
        <v>2370</v>
      </c>
      <c r="I1340" t="s">
        <v>8379</v>
      </c>
      <c r="J1340" t="s">
        <v>8375</v>
      </c>
    </row>
    <row r="1341" spans="1:10" x14ac:dyDescent="0.35">
      <c r="A1341" s="6" t="s">
        <v>1021</v>
      </c>
      <c r="B1341">
        <v>47.52</v>
      </c>
      <c r="C1341">
        <v>11.39</v>
      </c>
      <c r="D1341" s="6" t="s">
        <v>2373</v>
      </c>
      <c r="E1341" s="6" t="s">
        <v>2370</v>
      </c>
      <c r="F1341" s="6" t="s">
        <v>2370</v>
      </c>
      <c r="G1341">
        <v>1</v>
      </c>
      <c r="H1341" s="6" t="s">
        <v>2370</v>
      </c>
      <c r="I1341" t="s">
        <v>8374</v>
      </c>
      <c r="J1341" t="s">
        <v>8375</v>
      </c>
    </row>
    <row r="1342" spans="1:10" x14ac:dyDescent="0.35">
      <c r="A1342" s="6" t="s">
        <v>1020</v>
      </c>
      <c r="B1342">
        <v>37.82</v>
      </c>
      <c r="C1342">
        <v>6.36</v>
      </c>
      <c r="D1342" s="6" t="s">
        <v>2370</v>
      </c>
      <c r="E1342" s="6" t="s">
        <v>2370</v>
      </c>
      <c r="F1342" s="6" t="s">
        <v>2370</v>
      </c>
      <c r="G1342">
        <v>0</v>
      </c>
      <c r="H1342" s="6" t="s">
        <v>2370</v>
      </c>
      <c r="I1342" t="s">
        <v>8374</v>
      </c>
      <c r="J1342" t="s">
        <v>8376</v>
      </c>
    </row>
    <row r="1343" spans="1:10" x14ac:dyDescent="0.35">
      <c r="A1343" s="6" t="s">
        <v>1019</v>
      </c>
      <c r="B1343">
        <v>44.16</v>
      </c>
      <c r="C1343">
        <v>5.31</v>
      </c>
      <c r="D1343" s="6" t="s">
        <v>2373</v>
      </c>
      <c r="E1343" s="6" t="s">
        <v>2370</v>
      </c>
      <c r="F1343" s="6" t="s">
        <v>2370</v>
      </c>
      <c r="G1343">
        <v>0</v>
      </c>
      <c r="H1343" s="6" t="s">
        <v>2370</v>
      </c>
      <c r="I1343" t="s">
        <v>8374</v>
      </c>
      <c r="J1343" t="s">
        <v>8377</v>
      </c>
    </row>
    <row r="1344" spans="1:10" x14ac:dyDescent="0.35">
      <c r="A1344" s="6" t="s">
        <v>1018</v>
      </c>
      <c r="B1344">
        <v>37.049999999999997</v>
      </c>
      <c r="C1344">
        <v>4.74</v>
      </c>
      <c r="D1344" s="6" t="s">
        <v>2370</v>
      </c>
      <c r="E1344" s="6" t="s">
        <v>2370</v>
      </c>
      <c r="F1344" s="6" t="s">
        <v>2373</v>
      </c>
      <c r="G1344">
        <v>1</v>
      </c>
      <c r="H1344" s="6" t="s">
        <v>2370</v>
      </c>
      <c r="I1344" t="s">
        <v>8374</v>
      </c>
      <c r="J1344" t="s">
        <v>8377</v>
      </c>
    </row>
    <row r="1345" spans="1:10" x14ac:dyDescent="0.35">
      <c r="A1345" s="6" t="s">
        <v>1017</v>
      </c>
      <c r="B1345">
        <v>18.66</v>
      </c>
      <c r="C1345">
        <v>11.35</v>
      </c>
      <c r="D1345" s="6" t="s">
        <v>2370</v>
      </c>
      <c r="E1345" s="6" t="s">
        <v>2370</v>
      </c>
      <c r="F1345" s="6" t="s">
        <v>2370</v>
      </c>
      <c r="G1345">
        <v>0</v>
      </c>
      <c r="H1345" s="6" t="s">
        <v>2370</v>
      </c>
      <c r="I1345" t="s">
        <v>8379</v>
      </c>
      <c r="J1345" t="s">
        <v>8375</v>
      </c>
    </row>
    <row r="1346" spans="1:10" x14ac:dyDescent="0.35">
      <c r="A1346" s="6" t="s">
        <v>1016</v>
      </c>
      <c r="B1346">
        <v>36.200000000000003</v>
      </c>
      <c r="C1346">
        <v>6.81</v>
      </c>
      <c r="D1346" s="6" t="s">
        <v>2373</v>
      </c>
      <c r="E1346" s="6" t="s">
        <v>2370</v>
      </c>
      <c r="F1346" s="6" t="s">
        <v>2370</v>
      </c>
      <c r="G1346">
        <v>1</v>
      </c>
      <c r="H1346" s="6" t="s">
        <v>2370</v>
      </c>
      <c r="I1346" t="s">
        <v>8374</v>
      </c>
      <c r="J1346" t="s">
        <v>8375</v>
      </c>
    </row>
    <row r="1347" spans="1:10" x14ac:dyDescent="0.35">
      <c r="A1347" s="6" t="s">
        <v>1015</v>
      </c>
      <c r="B1347">
        <v>18.87</v>
      </c>
      <c r="C1347">
        <v>8.06</v>
      </c>
      <c r="D1347" s="6" t="s">
        <v>2370</v>
      </c>
      <c r="E1347" s="6" t="s">
        <v>2370</v>
      </c>
      <c r="F1347" s="6" t="s">
        <v>2370</v>
      </c>
      <c r="G1347">
        <v>0</v>
      </c>
      <c r="H1347" s="6" t="s">
        <v>2370</v>
      </c>
      <c r="I1347" t="s">
        <v>8379</v>
      </c>
      <c r="J1347" t="s">
        <v>8375</v>
      </c>
    </row>
    <row r="1348" spans="1:10" x14ac:dyDescent="0.35">
      <c r="A1348" s="6" t="s">
        <v>1014</v>
      </c>
      <c r="B1348">
        <v>32.299999999999997</v>
      </c>
      <c r="C1348">
        <v>6.74</v>
      </c>
      <c r="D1348" s="6" t="s">
        <v>2373</v>
      </c>
      <c r="E1348" s="6" t="s">
        <v>2370</v>
      </c>
      <c r="F1348" s="6" t="s">
        <v>2370</v>
      </c>
      <c r="G1348">
        <v>1</v>
      </c>
      <c r="H1348" s="6" t="s">
        <v>2370</v>
      </c>
      <c r="I1348" t="s">
        <v>8374</v>
      </c>
      <c r="J1348" t="s">
        <v>8375</v>
      </c>
    </row>
    <row r="1349" spans="1:10" x14ac:dyDescent="0.35">
      <c r="A1349" s="6" t="s">
        <v>1013</v>
      </c>
      <c r="B1349">
        <v>22.64</v>
      </c>
      <c r="C1349">
        <v>6.54</v>
      </c>
      <c r="D1349" s="6" t="s">
        <v>2373</v>
      </c>
      <c r="E1349" s="6" t="s">
        <v>2370</v>
      </c>
      <c r="F1349" s="6" t="s">
        <v>2370</v>
      </c>
      <c r="G1349">
        <v>2</v>
      </c>
      <c r="H1349" s="6" t="s">
        <v>2370</v>
      </c>
      <c r="I1349" t="s">
        <v>8379</v>
      </c>
      <c r="J1349" t="s">
        <v>8375</v>
      </c>
    </row>
    <row r="1350" spans="1:10" x14ac:dyDescent="0.35">
      <c r="A1350" s="6" t="s">
        <v>1012</v>
      </c>
      <c r="B1350">
        <v>28.69</v>
      </c>
      <c r="C1350">
        <v>5.4</v>
      </c>
      <c r="D1350" s="6" t="s">
        <v>2370</v>
      </c>
      <c r="E1350" s="6" t="s">
        <v>2370</v>
      </c>
      <c r="F1350" s="6" t="s">
        <v>2370</v>
      </c>
      <c r="G1350">
        <v>0</v>
      </c>
      <c r="H1350" s="6" t="s">
        <v>2370</v>
      </c>
      <c r="I1350" t="s">
        <v>8378</v>
      </c>
      <c r="J1350" t="s">
        <v>8377</v>
      </c>
    </row>
    <row r="1351" spans="1:10" x14ac:dyDescent="0.35">
      <c r="A1351" s="6" t="s">
        <v>1011</v>
      </c>
      <c r="B1351">
        <v>28.16</v>
      </c>
      <c r="C1351">
        <v>5.58</v>
      </c>
      <c r="D1351" s="6" t="s">
        <v>2373</v>
      </c>
      <c r="E1351" s="6" t="s">
        <v>2370</v>
      </c>
      <c r="F1351" s="6" t="s">
        <v>2370</v>
      </c>
      <c r="G1351">
        <v>0</v>
      </c>
      <c r="H1351" s="6" t="s">
        <v>2370</v>
      </c>
      <c r="I1351" t="s">
        <v>8378</v>
      </c>
      <c r="J1351" t="s">
        <v>8377</v>
      </c>
    </row>
    <row r="1352" spans="1:10" x14ac:dyDescent="0.35">
      <c r="A1352" s="6" t="s">
        <v>1010</v>
      </c>
      <c r="B1352">
        <v>45.54</v>
      </c>
      <c r="C1352">
        <v>5.84</v>
      </c>
      <c r="D1352" s="6" t="s">
        <v>2370</v>
      </c>
      <c r="E1352" s="6" t="s">
        <v>2370</v>
      </c>
      <c r="F1352" s="6" t="s">
        <v>2373</v>
      </c>
      <c r="G1352">
        <v>1</v>
      </c>
      <c r="H1352" s="6" t="s">
        <v>2370</v>
      </c>
      <c r="I1352" t="s">
        <v>8374</v>
      </c>
      <c r="J1352" t="s">
        <v>8376</v>
      </c>
    </row>
    <row r="1353" spans="1:10" x14ac:dyDescent="0.35">
      <c r="A1353" s="6" t="s">
        <v>1009</v>
      </c>
      <c r="B1353">
        <v>28.7</v>
      </c>
      <c r="C1353">
        <v>4.2</v>
      </c>
      <c r="D1353" s="6" t="s">
        <v>2370</v>
      </c>
      <c r="E1353" s="6" t="s">
        <v>2370</v>
      </c>
      <c r="F1353" s="6" t="s">
        <v>2370</v>
      </c>
      <c r="G1353">
        <v>0</v>
      </c>
      <c r="H1353" s="6" t="s">
        <v>2370</v>
      </c>
      <c r="I1353" t="s">
        <v>8378</v>
      </c>
      <c r="J1353" t="s">
        <v>8377</v>
      </c>
    </row>
    <row r="1354" spans="1:10" x14ac:dyDescent="0.35">
      <c r="A1354" s="6" t="s">
        <v>1008</v>
      </c>
      <c r="B1354">
        <v>27.74</v>
      </c>
      <c r="C1354">
        <v>6.06</v>
      </c>
      <c r="D1354" s="6" t="s">
        <v>2373</v>
      </c>
      <c r="E1354" s="6" t="s">
        <v>2370</v>
      </c>
      <c r="F1354" s="6" t="s">
        <v>2370</v>
      </c>
      <c r="G1354">
        <v>0</v>
      </c>
      <c r="H1354" s="6" t="s">
        <v>2370</v>
      </c>
      <c r="I1354" t="s">
        <v>8378</v>
      </c>
      <c r="J1354" t="s">
        <v>8376</v>
      </c>
    </row>
    <row r="1355" spans="1:10" x14ac:dyDescent="0.35">
      <c r="A1355" s="6" t="s">
        <v>1007</v>
      </c>
      <c r="B1355">
        <v>36.954999999999998</v>
      </c>
      <c r="C1355">
        <v>7.57</v>
      </c>
      <c r="D1355" s="6" t="s">
        <v>2370</v>
      </c>
      <c r="E1355" s="6" t="s">
        <v>2370</v>
      </c>
      <c r="F1355" s="6" t="s">
        <v>2370</v>
      </c>
      <c r="G1355">
        <v>0</v>
      </c>
      <c r="H1355" s="6" t="s">
        <v>2370</v>
      </c>
      <c r="I1355" t="s">
        <v>8374</v>
      </c>
      <c r="J1355" t="s">
        <v>8375</v>
      </c>
    </row>
    <row r="1356" spans="1:10" x14ac:dyDescent="0.35">
      <c r="A1356" s="6" t="s">
        <v>1006</v>
      </c>
      <c r="B1356">
        <v>30.69</v>
      </c>
      <c r="C1356">
        <v>6.15</v>
      </c>
      <c r="D1356" s="6" t="s">
        <v>2370</v>
      </c>
      <c r="E1356" s="6" t="s">
        <v>2370</v>
      </c>
      <c r="F1356" s="6" t="s">
        <v>2370</v>
      </c>
      <c r="G1356">
        <v>0</v>
      </c>
      <c r="H1356" s="6" t="s">
        <v>2370</v>
      </c>
      <c r="I1356" t="s">
        <v>8374</v>
      </c>
      <c r="J1356" t="s">
        <v>8376</v>
      </c>
    </row>
    <row r="1357" spans="1:10" x14ac:dyDescent="0.35">
      <c r="A1357" s="6" t="s">
        <v>1005</v>
      </c>
      <c r="B1357">
        <v>24.984999999999999</v>
      </c>
      <c r="C1357">
        <v>4.5599999999999996</v>
      </c>
      <c r="D1357" s="6" t="s">
        <v>2370</v>
      </c>
      <c r="E1357" s="6" t="s">
        <v>2370</v>
      </c>
      <c r="F1357" s="6" t="s">
        <v>2370</v>
      </c>
      <c r="G1357">
        <v>0</v>
      </c>
      <c r="H1357" s="6" t="s">
        <v>2370</v>
      </c>
      <c r="I1357" t="s">
        <v>8379</v>
      </c>
      <c r="J1357" t="s">
        <v>8377</v>
      </c>
    </row>
    <row r="1358" spans="1:10" x14ac:dyDescent="0.35">
      <c r="A1358" s="6" t="s">
        <v>1004</v>
      </c>
      <c r="B1358">
        <v>39.42</v>
      </c>
      <c r="C1358">
        <v>4.72</v>
      </c>
      <c r="D1358" s="6" t="s">
        <v>2373</v>
      </c>
      <c r="E1358" s="6" t="s">
        <v>2370</v>
      </c>
      <c r="F1358" s="6" t="s">
        <v>2370</v>
      </c>
      <c r="G1358">
        <v>1</v>
      </c>
      <c r="H1358" s="6" t="s">
        <v>2370</v>
      </c>
      <c r="I1358" t="s">
        <v>8374</v>
      </c>
      <c r="J1358" t="s">
        <v>8377</v>
      </c>
    </row>
    <row r="1359" spans="1:10" x14ac:dyDescent="0.35">
      <c r="A1359" s="6" t="s">
        <v>1003</v>
      </c>
      <c r="B1359">
        <v>16.8</v>
      </c>
      <c r="C1359">
        <v>7.98</v>
      </c>
      <c r="D1359" s="6" t="s">
        <v>2370</v>
      </c>
      <c r="E1359" s="6" t="s">
        <v>2370</v>
      </c>
      <c r="F1359" s="6" t="s">
        <v>2370</v>
      </c>
      <c r="G1359">
        <v>0</v>
      </c>
      <c r="H1359" s="6" t="s">
        <v>2370</v>
      </c>
      <c r="I1359" t="s">
        <v>8380</v>
      </c>
      <c r="J1359" t="s">
        <v>8375</v>
      </c>
    </row>
    <row r="1360" spans="1:10" x14ac:dyDescent="0.35">
      <c r="A1360" s="6" t="s">
        <v>1002</v>
      </c>
      <c r="B1360">
        <v>23.274999999999999</v>
      </c>
      <c r="C1360">
        <v>6.26</v>
      </c>
      <c r="D1360" s="6" t="s">
        <v>2373</v>
      </c>
      <c r="E1360" s="6" t="s">
        <v>2370</v>
      </c>
      <c r="F1360" s="6" t="s">
        <v>2373</v>
      </c>
      <c r="G1360">
        <v>1</v>
      </c>
      <c r="H1360" s="6" t="s">
        <v>2370</v>
      </c>
      <c r="I1360" t="s">
        <v>8379</v>
      </c>
      <c r="J1360" t="s">
        <v>8376</v>
      </c>
    </row>
    <row r="1361" spans="1:10" x14ac:dyDescent="0.35">
      <c r="A1361" s="6" t="s">
        <v>1001</v>
      </c>
      <c r="B1361">
        <v>22.8</v>
      </c>
      <c r="C1361">
        <v>4.29</v>
      </c>
      <c r="D1361" s="6" t="s">
        <v>2373</v>
      </c>
      <c r="E1361" s="6" t="s">
        <v>2370</v>
      </c>
      <c r="F1361" s="6" t="s">
        <v>2373</v>
      </c>
      <c r="G1361">
        <v>1</v>
      </c>
      <c r="H1361" s="6" t="s">
        <v>2370</v>
      </c>
      <c r="I1361" t="s">
        <v>8379</v>
      </c>
      <c r="J1361" t="s">
        <v>8377</v>
      </c>
    </row>
    <row r="1362" spans="1:10" x14ac:dyDescent="0.35">
      <c r="A1362" s="6" t="s">
        <v>1000</v>
      </c>
      <c r="B1362">
        <v>24.3</v>
      </c>
      <c r="C1362">
        <v>5.43</v>
      </c>
      <c r="D1362" s="6" t="s">
        <v>2370</v>
      </c>
      <c r="E1362" s="6" t="s">
        <v>2370</v>
      </c>
      <c r="F1362" s="6" t="s">
        <v>2370</v>
      </c>
      <c r="G1362">
        <v>2</v>
      </c>
      <c r="H1362" s="6" t="s">
        <v>2370</v>
      </c>
      <c r="I1362" t="s">
        <v>8379</v>
      </c>
      <c r="J1362" t="s">
        <v>8377</v>
      </c>
    </row>
    <row r="1363" spans="1:10" x14ac:dyDescent="0.35">
      <c r="A1363" s="6" t="s">
        <v>999</v>
      </c>
      <c r="B1363">
        <v>25.13</v>
      </c>
      <c r="C1363">
        <v>8</v>
      </c>
      <c r="D1363" s="6" t="s">
        <v>2373</v>
      </c>
      <c r="E1363" s="6" t="s">
        <v>2370</v>
      </c>
      <c r="F1363" s="6" t="s">
        <v>2370</v>
      </c>
      <c r="G1363">
        <v>1</v>
      </c>
      <c r="H1363" s="6" t="s">
        <v>2370</v>
      </c>
      <c r="I1363" t="s">
        <v>8378</v>
      </c>
      <c r="J1363" t="s">
        <v>8375</v>
      </c>
    </row>
    <row r="1364" spans="1:10" x14ac:dyDescent="0.35">
      <c r="A1364" s="6" t="s">
        <v>998</v>
      </c>
      <c r="B1364">
        <v>22.72</v>
      </c>
      <c r="C1364">
        <v>9.9600000000000009</v>
      </c>
      <c r="D1364" s="6" t="s">
        <v>2373</v>
      </c>
      <c r="E1364" s="6" t="s">
        <v>2370</v>
      </c>
      <c r="F1364" s="6" t="s">
        <v>2370</v>
      </c>
      <c r="G1364">
        <v>2</v>
      </c>
      <c r="H1364" s="6" t="s">
        <v>2370</v>
      </c>
      <c r="I1364" t="s">
        <v>8379</v>
      </c>
      <c r="J1364" t="s">
        <v>8375</v>
      </c>
    </row>
    <row r="1365" spans="1:10" x14ac:dyDescent="0.35">
      <c r="A1365" s="6" t="s">
        <v>997</v>
      </c>
      <c r="B1365">
        <v>32.6</v>
      </c>
      <c r="C1365">
        <v>6.8</v>
      </c>
      <c r="D1365" s="6" t="s">
        <v>2373</v>
      </c>
      <c r="E1365" s="6" t="s">
        <v>2370</v>
      </c>
      <c r="F1365" s="6" t="s">
        <v>2370</v>
      </c>
      <c r="G1365">
        <v>0</v>
      </c>
      <c r="H1365" s="6" t="s">
        <v>2370</v>
      </c>
      <c r="I1365" t="s">
        <v>8374</v>
      </c>
      <c r="J1365" t="s">
        <v>8375</v>
      </c>
    </row>
    <row r="1366" spans="1:10" x14ac:dyDescent="0.35">
      <c r="A1366" s="6" t="s">
        <v>996</v>
      </c>
      <c r="B1366">
        <v>17.28</v>
      </c>
      <c r="C1366">
        <v>6.22</v>
      </c>
      <c r="D1366" s="6" t="s">
        <v>2373</v>
      </c>
      <c r="E1366" s="6" t="s">
        <v>2370</v>
      </c>
      <c r="F1366" s="6" t="s">
        <v>2370</v>
      </c>
      <c r="G1366">
        <v>2</v>
      </c>
      <c r="H1366" s="6" t="s">
        <v>2370</v>
      </c>
      <c r="I1366" t="s">
        <v>8380</v>
      </c>
      <c r="J1366" t="s">
        <v>8376</v>
      </c>
    </row>
    <row r="1367" spans="1:10" x14ac:dyDescent="0.35">
      <c r="A1367" s="6" t="s">
        <v>995</v>
      </c>
      <c r="B1367">
        <v>27.92</v>
      </c>
      <c r="C1367">
        <v>5.79</v>
      </c>
      <c r="D1367" s="6" t="s">
        <v>2370</v>
      </c>
      <c r="E1367" s="6" t="s">
        <v>2370</v>
      </c>
      <c r="F1367" s="6" t="s">
        <v>2370</v>
      </c>
      <c r="G1367">
        <v>1</v>
      </c>
      <c r="H1367" s="6" t="s">
        <v>2370</v>
      </c>
      <c r="I1367" t="s">
        <v>8378</v>
      </c>
      <c r="J1367" t="s">
        <v>8376</v>
      </c>
    </row>
    <row r="1368" spans="1:10" x14ac:dyDescent="0.35">
      <c r="A1368" s="6" t="s">
        <v>994</v>
      </c>
      <c r="B1368">
        <v>38.284999999999997</v>
      </c>
      <c r="C1368">
        <v>5.41</v>
      </c>
      <c r="D1368" s="6" t="s">
        <v>2370</v>
      </c>
      <c r="E1368" s="6" t="s">
        <v>2370</v>
      </c>
      <c r="F1368" s="6" t="s">
        <v>2370</v>
      </c>
      <c r="G1368">
        <v>0</v>
      </c>
      <c r="H1368" s="6" t="s">
        <v>2370</v>
      </c>
      <c r="I1368" t="s">
        <v>8374</v>
      </c>
      <c r="J1368" t="s">
        <v>8377</v>
      </c>
    </row>
    <row r="1369" spans="1:10" x14ac:dyDescent="0.35">
      <c r="A1369" s="6" t="s">
        <v>993</v>
      </c>
      <c r="B1369">
        <v>16.48</v>
      </c>
      <c r="C1369">
        <v>11.05</v>
      </c>
      <c r="D1369" s="6" t="s">
        <v>2370</v>
      </c>
      <c r="E1369" s="6" t="s">
        <v>2370</v>
      </c>
      <c r="F1369" s="6" t="s">
        <v>2370</v>
      </c>
      <c r="G1369">
        <v>0</v>
      </c>
      <c r="H1369" s="6" t="s">
        <v>2370</v>
      </c>
      <c r="I1369" t="s">
        <v>8380</v>
      </c>
      <c r="J1369" t="s">
        <v>8375</v>
      </c>
    </row>
    <row r="1370" spans="1:10" x14ac:dyDescent="0.35">
      <c r="A1370" s="6" t="s">
        <v>992</v>
      </c>
      <c r="B1370">
        <v>38.57</v>
      </c>
      <c r="C1370">
        <v>6.27</v>
      </c>
      <c r="D1370" s="6" t="s">
        <v>2370</v>
      </c>
      <c r="E1370" s="6" t="s">
        <v>2370</v>
      </c>
      <c r="F1370" s="6" t="s">
        <v>2370</v>
      </c>
      <c r="G1370">
        <v>0</v>
      </c>
      <c r="H1370" s="6" t="s">
        <v>2370</v>
      </c>
      <c r="I1370" t="s">
        <v>8374</v>
      </c>
      <c r="J1370" t="s">
        <v>8376</v>
      </c>
    </row>
    <row r="1371" spans="1:10" x14ac:dyDescent="0.35">
      <c r="A1371" s="6" t="s">
        <v>991</v>
      </c>
      <c r="B1371">
        <v>43.85</v>
      </c>
      <c r="C1371">
        <v>4.7699999999999996</v>
      </c>
      <c r="D1371" s="6" t="s">
        <v>2373</v>
      </c>
      <c r="E1371" s="6" t="s">
        <v>2370</v>
      </c>
      <c r="F1371" s="6" t="s">
        <v>2370</v>
      </c>
      <c r="G1371">
        <v>0</v>
      </c>
      <c r="H1371" s="6" t="s">
        <v>2370</v>
      </c>
      <c r="I1371" t="s">
        <v>8374</v>
      </c>
      <c r="J1371" t="s">
        <v>8377</v>
      </c>
    </row>
    <row r="1372" spans="1:10" x14ac:dyDescent="0.35">
      <c r="A1372" s="6" t="s">
        <v>990</v>
      </c>
      <c r="B1372">
        <v>30.11</v>
      </c>
      <c r="C1372">
        <v>4.08</v>
      </c>
      <c r="D1372" s="6" t="s">
        <v>2370</v>
      </c>
      <c r="E1372" s="6" t="s">
        <v>2370</v>
      </c>
      <c r="F1372" s="6" t="s">
        <v>2370</v>
      </c>
      <c r="G1372">
        <v>0</v>
      </c>
      <c r="H1372" s="6" t="s">
        <v>2370</v>
      </c>
      <c r="I1372" t="s">
        <v>8374</v>
      </c>
      <c r="J1372" t="s">
        <v>8377</v>
      </c>
    </row>
    <row r="1373" spans="1:10" x14ac:dyDescent="0.35">
      <c r="A1373" s="6" t="s">
        <v>989</v>
      </c>
      <c r="B1373">
        <v>31.59</v>
      </c>
      <c r="C1373">
        <v>6.01</v>
      </c>
      <c r="D1373" s="6" t="s">
        <v>2370</v>
      </c>
      <c r="E1373" s="6" t="s">
        <v>2370</v>
      </c>
      <c r="F1373" s="6" t="s">
        <v>2370</v>
      </c>
      <c r="G1373">
        <v>0</v>
      </c>
      <c r="H1373" s="6" t="s">
        <v>2370</v>
      </c>
      <c r="I1373" t="s">
        <v>8374</v>
      </c>
      <c r="J1373" t="s">
        <v>8376</v>
      </c>
    </row>
    <row r="1374" spans="1:10" x14ac:dyDescent="0.35">
      <c r="A1374" s="6" t="s">
        <v>988</v>
      </c>
      <c r="B1374">
        <v>40.15</v>
      </c>
      <c r="C1374">
        <v>11.84</v>
      </c>
      <c r="D1374" s="6" t="s">
        <v>2370</v>
      </c>
      <c r="E1374" s="6" t="s">
        <v>2370</v>
      </c>
      <c r="F1374" s="6" t="s">
        <v>2370</v>
      </c>
      <c r="G1374">
        <v>0</v>
      </c>
      <c r="H1374" s="6" t="s">
        <v>2370</v>
      </c>
      <c r="I1374" t="s">
        <v>8374</v>
      </c>
      <c r="J1374" t="s">
        <v>8375</v>
      </c>
    </row>
    <row r="1375" spans="1:10" x14ac:dyDescent="0.35">
      <c r="A1375" s="6" t="s">
        <v>987</v>
      </c>
      <c r="B1375">
        <v>40.700000000000003</v>
      </c>
      <c r="C1375">
        <v>6.27</v>
      </c>
      <c r="D1375" s="6" t="s">
        <v>2373</v>
      </c>
      <c r="E1375" s="6" t="s">
        <v>2370</v>
      </c>
      <c r="F1375" s="6" t="s">
        <v>2373</v>
      </c>
      <c r="G1375">
        <v>1</v>
      </c>
      <c r="H1375" s="6" t="s">
        <v>2370</v>
      </c>
      <c r="I1375" t="s">
        <v>8374</v>
      </c>
      <c r="J1375" t="s">
        <v>8376</v>
      </c>
    </row>
    <row r="1376" spans="1:10" x14ac:dyDescent="0.35">
      <c r="A1376" s="6" t="s">
        <v>986</v>
      </c>
      <c r="B1376">
        <v>40.76</v>
      </c>
      <c r="C1376">
        <v>5.28</v>
      </c>
      <c r="D1376" s="6" t="s">
        <v>2370</v>
      </c>
      <c r="E1376" s="6" t="s">
        <v>2370</v>
      </c>
      <c r="F1376" s="6" t="s">
        <v>2370</v>
      </c>
      <c r="G1376">
        <v>0</v>
      </c>
      <c r="H1376" s="6" t="s">
        <v>2370</v>
      </c>
      <c r="I1376" t="s">
        <v>8374</v>
      </c>
      <c r="J1376" t="s">
        <v>8377</v>
      </c>
    </row>
    <row r="1377" spans="1:10" x14ac:dyDescent="0.35">
      <c r="A1377" s="6" t="s">
        <v>985</v>
      </c>
      <c r="B1377">
        <v>29.7</v>
      </c>
      <c r="C1377">
        <v>7.03</v>
      </c>
      <c r="D1377" s="6" t="s">
        <v>2370</v>
      </c>
      <c r="E1377" s="6" t="s">
        <v>2370</v>
      </c>
      <c r="F1377" s="6" t="s">
        <v>2370</v>
      </c>
      <c r="G1377">
        <v>0</v>
      </c>
      <c r="H1377" s="6" t="s">
        <v>2370</v>
      </c>
      <c r="I1377" t="s">
        <v>8378</v>
      </c>
      <c r="J1377" t="s">
        <v>8375</v>
      </c>
    </row>
    <row r="1378" spans="1:10" x14ac:dyDescent="0.35">
      <c r="A1378" s="6" t="s">
        <v>984</v>
      </c>
      <c r="B1378">
        <v>40.58</v>
      </c>
      <c r="C1378">
        <v>5.32</v>
      </c>
      <c r="D1378" s="6" t="s">
        <v>2373</v>
      </c>
      <c r="E1378" s="6" t="s">
        <v>2370</v>
      </c>
      <c r="F1378" s="6" t="s">
        <v>2373</v>
      </c>
      <c r="G1378">
        <v>1</v>
      </c>
      <c r="H1378" s="6" t="s">
        <v>2370</v>
      </c>
      <c r="I1378" t="s">
        <v>8374</v>
      </c>
      <c r="J1378" t="s">
        <v>8377</v>
      </c>
    </row>
    <row r="1379" spans="1:10" x14ac:dyDescent="0.35">
      <c r="A1379" s="6" t="s">
        <v>983</v>
      </c>
      <c r="B1379">
        <v>33.06</v>
      </c>
      <c r="C1379">
        <v>9.59</v>
      </c>
      <c r="D1379" s="6" t="s">
        <v>2373</v>
      </c>
      <c r="E1379" s="6" t="s">
        <v>2370</v>
      </c>
      <c r="F1379" s="6" t="s">
        <v>2370</v>
      </c>
      <c r="G1379">
        <v>0</v>
      </c>
      <c r="H1379" s="6" t="s">
        <v>2370</v>
      </c>
      <c r="I1379" t="s">
        <v>8374</v>
      </c>
      <c r="J1379" t="s">
        <v>8375</v>
      </c>
    </row>
    <row r="1380" spans="1:10" x14ac:dyDescent="0.35">
      <c r="A1380" s="6" t="s">
        <v>982</v>
      </c>
      <c r="B1380">
        <v>26.62</v>
      </c>
      <c r="C1380">
        <v>6.15</v>
      </c>
      <c r="D1380" s="6" t="s">
        <v>2373</v>
      </c>
      <c r="E1380" s="6" t="s">
        <v>2370</v>
      </c>
      <c r="F1380" s="6" t="s">
        <v>2370</v>
      </c>
      <c r="G1380">
        <v>0</v>
      </c>
      <c r="H1380" s="6" t="s">
        <v>2370</v>
      </c>
      <c r="I1380" t="s">
        <v>8378</v>
      </c>
      <c r="J1380" t="s">
        <v>8376</v>
      </c>
    </row>
    <row r="1381" spans="1:10" x14ac:dyDescent="0.35">
      <c r="A1381" s="6" t="s">
        <v>981</v>
      </c>
      <c r="B1381">
        <v>37.1</v>
      </c>
      <c r="C1381">
        <v>11.08</v>
      </c>
      <c r="D1381" s="6" t="s">
        <v>2370</v>
      </c>
      <c r="E1381" s="6" t="s">
        <v>2370</v>
      </c>
      <c r="F1381" s="6" t="s">
        <v>2370</v>
      </c>
      <c r="G1381">
        <v>0</v>
      </c>
      <c r="H1381" s="6" t="s">
        <v>2370</v>
      </c>
      <c r="I1381" t="s">
        <v>8374</v>
      </c>
      <c r="J1381" t="s">
        <v>8375</v>
      </c>
    </row>
    <row r="1382" spans="1:10" x14ac:dyDescent="0.35">
      <c r="A1382" s="6" t="s">
        <v>980</v>
      </c>
      <c r="B1382">
        <v>18.28</v>
      </c>
      <c r="C1382">
        <v>7.95</v>
      </c>
      <c r="D1382" s="6" t="s">
        <v>2370</v>
      </c>
      <c r="E1382" s="6" t="s">
        <v>2370</v>
      </c>
      <c r="F1382" s="6" t="s">
        <v>2370</v>
      </c>
      <c r="G1382">
        <v>0</v>
      </c>
      <c r="H1382" s="6" t="s">
        <v>2370</v>
      </c>
      <c r="I1382" t="s">
        <v>8380</v>
      </c>
      <c r="J1382" t="s">
        <v>8375</v>
      </c>
    </row>
    <row r="1383" spans="1:10" x14ac:dyDescent="0.35">
      <c r="A1383" s="6" t="s">
        <v>979</v>
      </c>
      <c r="B1383">
        <v>35.814999999999998</v>
      </c>
      <c r="C1383">
        <v>6.23</v>
      </c>
      <c r="D1383" s="6" t="s">
        <v>2370</v>
      </c>
      <c r="E1383" s="6" t="s">
        <v>2370</v>
      </c>
      <c r="F1383" s="6" t="s">
        <v>2370</v>
      </c>
      <c r="G1383">
        <v>0</v>
      </c>
      <c r="H1383" s="6" t="s">
        <v>2370</v>
      </c>
      <c r="I1383" t="s">
        <v>8374</v>
      </c>
      <c r="J1383" t="s">
        <v>8376</v>
      </c>
    </row>
    <row r="1384" spans="1:10" x14ac:dyDescent="0.35">
      <c r="A1384" s="6" t="s">
        <v>978</v>
      </c>
      <c r="B1384">
        <v>30.69</v>
      </c>
      <c r="C1384">
        <v>6.5</v>
      </c>
      <c r="D1384" s="6" t="s">
        <v>2370</v>
      </c>
      <c r="E1384" s="6" t="s">
        <v>2370</v>
      </c>
      <c r="F1384" s="6" t="s">
        <v>2370</v>
      </c>
      <c r="G1384">
        <v>0</v>
      </c>
      <c r="H1384" s="6" t="s">
        <v>2370</v>
      </c>
      <c r="I1384" t="s">
        <v>8374</v>
      </c>
      <c r="J1384" t="s">
        <v>8375</v>
      </c>
    </row>
    <row r="1385" spans="1:10" x14ac:dyDescent="0.35">
      <c r="A1385" s="6" t="s">
        <v>977</v>
      </c>
      <c r="B1385">
        <v>26.125</v>
      </c>
      <c r="C1385">
        <v>5.22</v>
      </c>
      <c r="D1385" s="6" t="s">
        <v>2370</v>
      </c>
      <c r="E1385" s="6" t="s">
        <v>2370</v>
      </c>
      <c r="F1385" s="6" t="s">
        <v>2370</v>
      </c>
      <c r="G1385">
        <v>0</v>
      </c>
      <c r="H1385" s="6" t="s">
        <v>2370</v>
      </c>
      <c r="I1385" t="s">
        <v>8378</v>
      </c>
      <c r="J1385" t="s">
        <v>8377</v>
      </c>
    </row>
    <row r="1386" spans="1:10" x14ac:dyDescent="0.35">
      <c r="A1386" s="6" t="s">
        <v>976</v>
      </c>
      <c r="B1386">
        <v>34.58</v>
      </c>
      <c r="C1386">
        <v>6.3</v>
      </c>
      <c r="D1386" s="6" t="s">
        <v>2370</v>
      </c>
      <c r="E1386" s="6" t="s">
        <v>2370</v>
      </c>
      <c r="F1386" s="6" t="s">
        <v>2373</v>
      </c>
      <c r="G1386">
        <v>1</v>
      </c>
      <c r="H1386" s="6" t="s">
        <v>2370</v>
      </c>
      <c r="I1386" t="s">
        <v>8374</v>
      </c>
      <c r="J1386" t="s">
        <v>8376</v>
      </c>
    </row>
    <row r="1387" spans="1:10" x14ac:dyDescent="0.35">
      <c r="A1387" s="6" t="s">
        <v>975</v>
      </c>
      <c r="B1387">
        <v>27.4</v>
      </c>
      <c r="C1387">
        <v>8.84</v>
      </c>
      <c r="D1387" s="6" t="s">
        <v>2370</v>
      </c>
      <c r="E1387" s="6" t="s">
        <v>2370</v>
      </c>
      <c r="F1387" s="6" t="s">
        <v>2370</v>
      </c>
      <c r="G1387">
        <v>0</v>
      </c>
      <c r="H1387" s="6" t="s">
        <v>2370</v>
      </c>
      <c r="I1387" t="s">
        <v>8378</v>
      </c>
      <c r="J1387" t="s">
        <v>8375</v>
      </c>
    </row>
    <row r="1388" spans="1:10" x14ac:dyDescent="0.35">
      <c r="A1388" s="6" t="s">
        <v>974</v>
      </c>
      <c r="B1388">
        <v>27.53</v>
      </c>
      <c r="C1388">
        <v>4.1100000000000003</v>
      </c>
      <c r="D1388" s="6" t="s">
        <v>2370</v>
      </c>
      <c r="E1388" s="6" t="s">
        <v>2370</v>
      </c>
      <c r="F1388" s="6" t="s">
        <v>2370</v>
      </c>
      <c r="G1388">
        <v>1</v>
      </c>
      <c r="H1388" s="6" t="s">
        <v>2370</v>
      </c>
      <c r="I1388" t="s">
        <v>8378</v>
      </c>
      <c r="J1388" t="s">
        <v>8377</v>
      </c>
    </row>
    <row r="1389" spans="1:10" x14ac:dyDescent="0.35">
      <c r="A1389" s="6" t="s">
        <v>973</v>
      </c>
      <c r="B1389">
        <v>33</v>
      </c>
      <c r="C1389">
        <v>4.57</v>
      </c>
      <c r="D1389" s="6" t="s">
        <v>2370</v>
      </c>
      <c r="E1389" s="6" t="s">
        <v>2370</v>
      </c>
      <c r="F1389" s="6" t="s">
        <v>2370</v>
      </c>
      <c r="G1389">
        <v>0</v>
      </c>
      <c r="H1389" s="6" t="s">
        <v>2370</v>
      </c>
      <c r="I1389" t="s">
        <v>8374</v>
      </c>
      <c r="J1389" t="s">
        <v>8377</v>
      </c>
    </row>
    <row r="1390" spans="1:10" x14ac:dyDescent="0.35">
      <c r="A1390" s="6" t="s">
        <v>972</v>
      </c>
      <c r="B1390">
        <v>25.78</v>
      </c>
      <c r="C1390">
        <v>11.06</v>
      </c>
      <c r="D1390" s="6" t="s">
        <v>2373</v>
      </c>
      <c r="E1390" s="6" t="s">
        <v>2370</v>
      </c>
      <c r="F1390" s="6" t="s">
        <v>2370</v>
      </c>
      <c r="G1390">
        <v>0</v>
      </c>
      <c r="H1390" s="6" t="s">
        <v>2370</v>
      </c>
      <c r="I1390" t="s">
        <v>8378</v>
      </c>
      <c r="J1390" t="s">
        <v>8375</v>
      </c>
    </row>
    <row r="1391" spans="1:10" x14ac:dyDescent="0.35">
      <c r="A1391" s="6" t="s">
        <v>971</v>
      </c>
      <c r="B1391">
        <v>22.66</v>
      </c>
      <c r="C1391">
        <v>10.68</v>
      </c>
      <c r="D1391" s="6" t="s">
        <v>2370</v>
      </c>
      <c r="E1391" s="6" t="s">
        <v>2370</v>
      </c>
      <c r="F1391" s="6" t="s">
        <v>2370</v>
      </c>
      <c r="G1391">
        <v>0</v>
      </c>
      <c r="H1391" s="6" t="s">
        <v>2370</v>
      </c>
      <c r="I1391" t="s">
        <v>8379</v>
      </c>
      <c r="J1391" t="s">
        <v>8375</v>
      </c>
    </row>
    <row r="1392" spans="1:10" x14ac:dyDescent="0.35">
      <c r="A1392" s="6" t="s">
        <v>970</v>
      </c>
      <c r="B1392">
        <v>38.81</v>
      </c>
      <c r="C1392">
        <v>6.14</v>
      </c>
      <c r="D1392" s="6" t="s">
        <v>2373</v>
      </c>
      <c r="E1392" s="6" t="s">
        <v>2370</v>
      </c>
      <c r="F1392" s="6" t="s">
        <v>2370</v>
      </c>
      <c r="G1392">
        <v>1</v>
      </c>
      <c r="H1392" s="6" t="s">
        <v>2370</v>
      </c>
      <c r="I1392" t="s">
        <v>8374</v>
      </c>
      <c r="J1392" t="s">
        <v>8376</v>
      </c>
    </row>
    <row r="1393" spans="1:10" x14ac:dyDescent="0.35">
      <c r="A1393" s="6" t="s">
        <v>969</v>
      </c>
      <c r="B1393">
        <v>38.51</v>
      </c>
      <c r="C1393">
        <v>5.45</v>
      </c>
      <c r="D1393" s="6" t="s">
        <v>2373</v>
      </c>
      <c r="E1393" s="6" t="s">
        <v>2370</v>
      </c>
      <c r="F1393" s="6" t="s">
        <v>2370</v>
      </c>
      <c r="G1393">
        <v>0</v>
      </c>
      <c r="H1393" s="6" t="s">
        <v>2370</v>
      </c>
      <c r="I1393" t="s">
        <v>8374</v>
      </c>
      <c r="J1393" t="s">
        <v>8377</v>
      </c>
    </row>
    <row r="1394" spans="1:10" x14ac:dyDescent="0.35">
      <c r="A1394" s="6" t="s">
        <v>968</v>
      </c>
      <c r="B1394">
        <v>22.98</v>
      </c>
      <c r="C1394">
        <v>6.14</v>
      </c>
      <c r="D1394" s="6" t="s">
        <v>2373</v>
      </c>
      <c r="E1394" s="6" t="s">
        <v>2370</v>
      </c>
      <c r="F1394" s="6" t="s">
        <v>2370</v>
      </c>
      <c r="G1394">
        <v>0</v>
      </c>
      <c r="H1394" s="6" t="s">
        <v>2370</v>
      </c>
      <c r="I1394" t="s">
        <v>8379</v>
      </c>
      <c r="J1394" t="s">
        <v>8376</v>
      </c>
    </row>
    <row r="1395" spans="1:10" x14ac:dyDescent="0.35">
      <c r="A1395" s="6" t="s">
        <v>967</v>
      </c>
      <c r="B1395">
        <v>15.65</v>
      </c>
      <c r="C1395">
        <v>7.85</v>
      </c>
      <c r="D1395" s="6" t="s">
        <v>2370</v>
      </c>
      <c r="E1395" s="6" t="s">
        <v>2370</v>
      </c>
      <c r="F1395" s="6" t="s">
        <v>2370</v>
      </c>
      <c r="G1395">
        <v>0</v>
      </c>
      <c r="H1395" s="6" t="s">
        <v>2370</v>
      </c>
      <c r="I1395" t="s">
        <v>8380</v>
      </c>
      <c r="J1395" t="s">
        <v>8375</v>
      </c>
    </row>
    <row r="1396" spans="1:10" x14ac:dyDescent="0.35">
      <c r="A1396" s="6" t="s">
        <v>966</v>
      </c>
      <c r="B1396">
        <v>39.97</v>
      </c>
      <c r="C1396">
        <v>4.09</v>
      </c>
      <c r="D1396" s="6" t="s">
        <v>2370</v>
      </c>
      <c r="E1396" s="6" t="s">
        <v>2370</v>
      </c>
      <c r="F1396" s="6" t="s">
        <v>2370</v>
      </c>
      <c r="G1396">
        <v>1</v>
      </c>
      <c r="H1396" s="6" t="s">
        <v>2370</v>
      </c>
      <c r="I1396" t="s">
        <v>8374</v>
      </c>
      <c r="J1396" t="s">
        <v>8377</v>
      </c>
    </row>
    <row r="1397" spans="1:10" x14ac:dyDescent="0.35">
      <c r="A1397" s="6" t="s">
        <v>965</v>
      </c>
      <c r="B1397">
        <v>37.22</v>
      </c>
      <c r="C1397">
        <v>4.62</v>
      </c>
      <c r="D1397" s="6" t="s">
        <v>2370</v>
      </c>
      <c r="E1397" s="6" t="s">
        <v>2370</v>
      </c>
      <c r="F1397" s="6" t="s">
        <v>2373</v>
      </c>
      <c r="G1397">
        <v>1</v>
      </c>
      <c r="H1397" s="6" t="s">
        <v>2370</v>
      </c>
      <c r="I1397" t="s">
        <v>8374</v>
      </c>
      <c r="J1397" t="s">
        <v>8377</v>
      </c>
    </row>
    <row r="1398" spans="1:10" x14ac:dyDescent="0.35">
      <c r="A1398" s="6" t="s">
        <v>964</v>
      </c>
      <c r="B1398">
        <v>41.325000000000003</v>
      </c>
      <c r="C1398">
        <v>5.77</v>
      </c>
      <c r="D1398" s="6" t="s">
        <v>2370</v>
      </c>
      <c r="E1398" s="6" t="s">
        <v>2370</v>
      </c>
      <c r="F1398" s="6" t="s">
        <v>2370</v>
      </c>
      <c r="G1398">
        <v>0</v>
      </c>
      <c r="H1398" s="6" t="s">
        <v>2370</v>
      </c>
      <c r="I1398" t="s">
        <v>8374</v>
      </c>
      <c r="J1398" t="s">
        <v>8376</v>
      </c>
    </row>
    <row r="1399" spans="1:10" x14ac:dyDescent="0.35">
      <c r="A1399" s="6" t="s">
        <v>963</v>
      </c>
      <c r="B1399">
        <v>40.31</v>
      </c>
      <c r="C1399">
        <v>5.84</v>
      </c>
      <c r="D1399" s="6" t="s">
        <v>2370</v>
      </c>
      <c r="E1399" s="6" t="s">
        <v>2370</v>
      </c>
      <c r="F1399" s="6" t="s">
        <v>2370</v>
      </c>
      <c r="G1399">
        <v>0</v>
      </c>
      <c r="H1399" s="6" t="s">
        <v>2370</v>
      </c>
      <c r="I1399" t="s">
        <v>8374</v>
      </c>
      <c r="J1399" t="s">
        <v>8376</v>
      </c>
    </row>
    <row r="1400" spans="1:10" x14ac:dyDescent="0.35">
      <c r="A1400" s="6" t="s">
        <v>962</v>
      </c>
      <c r="B1400">
        <v>29.48</v>
      </c>
      <c r="C1400">
        <v>4.91</v>
      </c>
      <c r="D1400" s="6" t="s">
        <v>2370</v>
      </c>
      <c r="E1400" s="6" t="s">
        <v>2370</v>
      </c>
      <c r="F1400" s="6" t="s">
        <v>2370</v>
      </c>
      <c r="G1400">
        <v>0</v>
      </c>
      <c r="H1400" s="6" t="s">
        <v>2370</v>
      </c>
      <c r="I1400" t="s">
        <v>8378</v>
      </c>
      <c r="J1400" t="s">
        <v>8377</v>
      </c>
    </row>
    <row r="1401" spans="1:10" x14ac:dyDescent="0.35">
      <c r="A1401" s="6" t="s">
        <v>961</v>
      </c>
      <c r="B1401">
        <v>33.155000000000001</v>
      </c>
      <c r="C1401">
        <v>5.07</v>
      </c>
      <c r="D1401" s="6" t="s">
        <v>2370</v>
      </c>
      <c r="E1401" s="6" t="s">
        <v>2370</v>
      </c>
      <c r="F1401" s="6" t="s">
        <v>2370</v>
      </c>
      <c r="G1401">
        <v>0</v>
      </c>
      <c r="H1401" s="6" t="s">
        <v>2370</v>
      </c>
      <c r="I1401" t="s">
        <v>8374</v>
      </c>
      <c r="J1401" t="s">
        <v>8377</v>
      </c>
    </row>
    <row r="1402" spans="1:10" x14ac:dyDescent="0.35">
      <c r="A1402" s="6" t="s">
        <v>960</v>
      </c>
      <c r="B1402">
        <v>42.85</v>
      </c>
      <c r="C1402">
        <v>5.81</v>
      </c>
      <c r="D1402" s="6" t="s">
        <v>2373</v>
      </c>
      <c r="E1402" s="6" t="s">
        <v>2370</v>
      </c>
      <c r="F1402" s="6" t="s">
        <v>2370</v>
      </c>
      <c r="G1402">
        <v>0</v>
      </c>
      <c r="H1402" s="6" t="s">
        <v>2370</v>
      </c>
      <c r="I1402" t="s">
        <v>8374</v>
      </c>
      <c r="J1402" t="s">
        <v>8376</v>
      </c>
    </row>
    <row r="1403" spans="1:10" x14ac:dyDescent="0.35">
      <c r="A1403" s="6" t="s">
        <v>959</v>
      </c>
      <c r="B1403">
        <v>32.340000000000003</v>
      </c>
      <c r="C1403">
        <v>11.2</v>
      </c>
      <c r="D1403" s="6" t="s">
        <v>2370</v>
      </c>
      <c r="E1403" s="6" t="s">
        <v>2370</v>
      </c>
      <c r="F1403" s="6" t="s">
        <v>2370</v>
      </c>
      <c r="G1403">
        <v>0</v>
      </c>
      <c r="H1403" s="6" t="s">
        <v>2370</v>
      </c>
      <c r="I1403" t="s">
        <v>8374</v>
      </c>
      <c r="J1403" t="s">
        <v>8375</v>
      </c>
    </row>
    <row r="1404" spans="1:10" x14ac:dyDescent="0.35">
      <c r="A1404" s="6" t="s">
        <v>958</v>
      </c>
      <c r="B1404">
        <v>27.5</v>
      </c>
      <c r="C1404">
        <v>10.75</v>
      </c>
      <c r="D1404" s="6" t="s">
        <v>2370</v>
      </c>
      <c r="E1404" s="6" t="s">
        <v>2370</v>
      </c>
      <c r="F1404" s="6" t="s">
        <v>2370</v>
      </c>
      <c r="G1404">
        <v>0</v>
      </c>
      <c r="H1404" s="6" t="s">
        <v>2370</v>
      </c>
      <c r="I1404" t="s">
        <v>8378</v>
      </c>
      <c r="J1404" t="s">
        <v>8375</v>
      </c>
    </row>
    <row r="1405" spans="1:10" x14ac:dyDescent="0.35">
      <c r="A1405" s="6" t="s">
        <v>957</v>
      </c>
      <c r="B1405">
        <v>25.8</v>
      </c>
      <c r="C1405">
        <v>7.8</v>
      </c>
      <c r="D1405" s="6" t="s">
        <v>2370</v>
      </c>
      <c r="E1405" s="6" t="s">
        <v>2370</v>
      </c>
      <c r="F1405" s="6" t="s">
        <v>2370</v>
      </c>
      <c r="G1405">
        <v>0</v>
      </c>
      <c r="H1405" s="6" t="s">
        <v>2370</v>
      </c>
      <c r="I1405" t="s">
        <v>8378</v>
      </c>
      <c r="J1405" t="s">
        <v>8375</v>
      </c>
    </row>
    <row r="1406" spans="1:10" x14ac:dyDescent="0.35">
      <c r="A1406" s="6" t="s">
        <v>956</v>
      </c>
      <c r="B1406">
        <v>25</v>
      </c>
      <c r="C1406">
        <v>7.04</v>
      </c>
      <c r="D1406" s="6" t="s">
        <v>2370</v>
      </c>
      <c r="E1406" s="6" t="s">
        <v>2370</v>
      </c>
      <c r="F1406" s="6" t="s">
        <v>2370</v>
      </c>
      <c r="G1406">
        <v>0</v>
      </c>
      <c r="H1406" s="6" t="s">
        <v>2370</v>
      </c>
      <c r="I1406" t="s">
        <v>8378</v>
      </c>
      <c r="J1406" t="s">
        <v>8375</v>
      </c>
    </row>
    <row r="1407" spans="1:10" x14ac:dyDescent="0.35">
      <c r="A1407" s="6" t="s">
        <v>955</v>
      </c>
      <c r="B1407">
        <v>41.2</v>
      </c>
      <c r="C1407">
        <v>4.18</v>
      </c>
      <c r="D1407" s="6" t="s">
        <v>2373</v>
      </c>
      <c r="E1407" s="6" t="s">
        <v>2370</v>
      </c>
      <c r="F1407" s="6" t="s">
        <v>2370</v>
      </c>
      <c r="G1407">
        <v>0</v>
      </c>
      <c r="H1407" s="6" t="s">
        <v>2370</v>
      </c>
      <c r="I1407" t="s">
        <v>8374</v>
      </c>
      <c r="J1407" t="s">
        <v>8377</v>
      </c>
    </row>
    <row r="1408" spans="1:10" x14ac:dyDescent="0.35">
      <c r="A1408" s="6" t="s">
        <v>954</v>
      </c>
      <c r="B1408">
        <v>17.78</v>
      </c>
      <c r="C1408">
        <v>8.19</v>
      </c>
      <c r="D1408" s="6" t="s">
        <v>2370</v>
      </c>
      <c r="E1408" s="6" t="s">
        <v>2370</v>
      </c>
      <c r="F1408" s="6" t="s">
        <v>2370</v>
      </c>
      <c r="G1408">
        <v>0</v>
      </c>
      <c r="H1408" s="6" t="s">
        <v>2370</v>
      </c>
      <c r="I1408" t="s">
        <v>8380</v>
      </c>
      <c r="J1408" t="s">
        <v>8375</v>
      </c>
    </row>
    <row r="1409" spans="1:10" x14ac:dyDescent="0.35">
      <c r="A1409" s="6" t="s">
        <v>953</v>
      </c>
      <c r="B1409">
        <v>40.119999999999997</v>
      </c>
      <c r="C1409">
        <v>6.22</v>
      </c>
      <c r="D1409" s="6" t="s">
        <v>2373</v>
      </c>
      <c r="E1409" s="6" t="s">
        <v>2370</v>
      </c>
      <c r="F1409" s="6" t="s">
        <v>2373</v>
      </c>
      <c r="G1409">
        <v>1</v>
      </c>
      <c r="H1409" s="6" t="s">
        <v>2370</v>
      </c>
      <c r="I1409" t="s">
        <v>8374</v>
      </c>
      <c r="J1409" t="s">
        <v>8376</v>
      </c>
    </row>
    <row r="1410" spans="1:10" x14ac:dyDescent="0.35">
      <c r="A1410" s="6" t="s">
        <v>952</v>
      </c>
      <c r="B1410">
        <v>19.350000000000001</v>
      </c>
      <c r="C1410">
        <v>8.2200000000000006</v>
      </c>
      <c r="D1410" s="6" t="s">
        <v>2373</v>
      </c>
      <c r="E1410" s="6" t="s">
        <v>2370</v>
      </c>
      <c r="F1410" s="6" t="s">
        <v>2370</v>
      </c>
      <c r="G1410">
        <v>0</v>
      </c>
      <c r="H1410" s="6" t="s">
        <v>2370</v>
      </c>
      <c r="I1410" t="s">
        <v>8379</v>
      </c>
      <c r="J1410" t="s">
        <v>8375</v>
      </c>
    </row>
    <row r="1411" spans="1:10" x14ac:dyDescent="0.35">
      <c r="A1411" s="6" t="s">
        <v>951</v>
      </c>
      <c r="B1411">
        <v>36.69</v>
      </c>
      <c r="C1411">
        <v>6.15</v>
      </c>
      <c r="D1411" s="6" t="s">
        <v>2370</v>
      </c>
      <c r="E1411" s="6" t="s">
        <v>2370</v>
      </c>
      <c r="F1411" s="6" t="s">
        <v>2370</v>
      </c>
      <c r="G1411">
        <v>0</v>
      </c>
      <c r="H1411" s="6" t="s">
        <v>2370</v>
      </c>
      <c r="I1411" t="s">
        <v>8374</v>
      </c>
      <c r="J1411" t="s">
        <v>8376</v>
      </c>
    </row>
    <row r="1412" spans="1:10" x14ac:dyDescent="0.35">
      <c r="A1412" s="6" t="s">
        <v>950</v>
      </c>
      <c r="B1412">
        <v>28.51</v>
      </c>
      <c r="C1412">
        <v>5.65</v>
      </c>
      <c r="D1412" s="6" t="s">
        <v>2373</v>
      </c>
      <c r="E1412" s="6" t="s">
        <v>2370</v>
      </c>
      <c r="F1412" s="6" t="s">
        <v>2370</v>
      </c>
      <c r="G1412">
        <v>1</v>
      </c>
      <c r="H1412" s="6" t="s">
        <v>2370</v>
      </c>
      <c r="I1412" t="s">
        <v>8378</v>
      </c>
      <c r="J1412" t="s">
        <v>8377</v>
      </c>
    </row>
    <row r="1413" spans="1:10" x14ac:dyDescent="0.35">
      <c r="A1413" s="6" t="s">
        <v>949</v>
      </c>
      <c r="B1413">
        <v>30.21</v>
      </c>
      <c r="C1413">
        <v>5.5</v>
      </c>
      <c r="D1413" s="6" t="s">
        <v>2370</v>
      </c>
      <c r="E1413" s="6" t="s">
        <v>2370</v>
      </c>
      <c r="F1413" s="6" t="s">
        <v>2370</v>
      </c>
      <c r="G1413">
        <v>1</v>
      </c>
      <c r="H1413" s="6" t="s">
        <v>2370</v>
      </c>
      <c r="I1413" t="s">
        <v>8374</v>
      </c>
      <c r="J1413" t="s">
        <v>8377</v>
      </c>
    </row>
    <row r="1414" spans="1:10" x14ac:dyDescent="0.35">
      <c r="A1414" s="6" t="s">
        <v>948</v>
      </c>
      <c r="B1414">
        <v>24.33</v>
      </c>
      <c r="C1414">
        <v>8</v>
      </c>
      <c r="D1414" s="6" t="s">
        <v>2370</v>
      </c>
      <c r="E1414" s="6" t="s">
        <v>2370</v>
      </c>
      <c r="F1414" s="6" t="s">
        <v>2370</v>
      </c>
      <c r="G1414">
        <v>0</v>
      </c>
      <c r="H1414" s="6" t="s">
        <v>2370</v>
      </c>
      <c r="I1414" t="s">
        <v>8379</v>
      </c>
      <c r="J1414" t="s">
        <v>8375</v>
      </c>
    </row>
    <row r="1415" spans="1:10" x14ac:dyDescent="0.35">
      <c r="A1415" s="6" t="s">
        <v>947</v>
      </c>
      <c r="B1415">
        <v>19.855</v>
      </c>
      <c r="C1415">
        <v>5.71</v>
      </c>
      <c r="D1415" s="6" t="s">
        <v>2373</v>
      </c>
      <c r="E1415" s="6" t="s">
        <v>2370</v>
      </c>
      <c r="F1415" s="6" t="s">
        <v>2370</v>
      </c>
      <c r="G1415">
        <v>0</v>
      </c>
      <c r="H1415" s="6" t="s">
        <v>2370</v>
      </c>
      <c r="I1415" t="s">
        <v>8379</v>
      </c>
      <c r="J1415" t="s">
        <v>8376</v>
      </c>
    </row>
    <row r="1416" spans="1:10" x14ac:dyDescent="0.35">
      <c r="A1416" s="6" t="s">
        <v>946</v>
      </c>
      <c r="B1416">
        <v>25.364999999999998</v>
      </c>
      <c r="C1416">
        <v>11.71</v>
      </c>
      <c r="D1416" s="6" t="s">
        <v>2370</v>
      </c>
      <c r="E1416" s="6" t="s">
        <v>2370</v>
      </c>
      <c r="F1416" s="6" t="s">
        <v>2370</v>
      </c>
      <c r="G1416">
        <v>0</v>
      </c>
      <c r="H1416" s="6" t="s">
        <v>2370</v>
      </c>
      <c r="I1416" t="s">
        <v>8378</v>
      </c>
      <c r="J1416" t="s">
        <v>8375</v>
      </c>
    </row>
    <row r="1417" spans="1:10" x14ac:dyDescent="0.35">
      <c r="A1417" s="6" t="s">
        <v>945</v>
      </c>
      <c r="B1417">
        <v>29.6</v>
      </c>
      <c r="C1417">
        <v>6.17</v>
      </c>
      <c r="D1417" s="6" t="s">
        <v>2373</v>
      </c>
      <c r="E1417" s="6" t="s">
        <v>2370</v>
      </c>
      <c r="F1417" s="6" t="s">
        <v>2373</v>
      </c>
      <c r="G1417">
        <v>1</v>
      </c>
      <c r="H1417" s="6" t="s">
        <v>2370</v>
      </c>
      <c r="I1417" t="s">
        <v>8378</v>
      </c>
      <c r="J1417" t="s">
        <v>8376</v>
      </c>
    </row>
    <row r="1418" spans="1:10" x14ac:dyDescent="0.35">
      <c r="A1418" s="6" t="s">
        <v>944</v>
      </c>
      <c r="B1418">
        <v>39.43</v>
      </c>
      <c r="C1418">
        <v>6.1</v>
      </c>
      <c r="D1418" s="6" t="s">
        <v>2373</v>
      </c>
      <c r="E1418" s="6" t="s">
        <v>2370</v>
      </c>
      <c r="F1418" s="6" t="s">
        <v>2373</v>
      </c>
      <c r="G1418">
        <v>1</v>
      </c>
      <c r="H1418" s="6" t="s">
        <v>2370</v>
      </c>
      <c r="I1418" t="s">
        <v>8374</v>
      </c>
      <c r="J1418" t="s">
        <v>8376</v>
      </c>
    </row>
    <row r="1419" spans="1:10" x14ac:dyDescent="0.35">
      <c r="A1419" s="6" t="s">
        <v>943</v>
      </c>
      <c r="B1419">
        <v>27.34</v>
      </c>
      <c r="C1419">
        <v>5.19</v>
      </c>
      <c r="D1419" s="6" t="s">
        <v>2373</v>
      </c>
      <c r="E1419" s="6" t="s">
        <v>2370</v>
      </c>
      <c r="F1419" s="6" t="s">
        <v>2370</v>
      </c>
      <c r="G1419">
        <v>1</v>
      </c>
      <c r="H1419" s="6" t="s">
        <v>2370</v>
      </c>
      <c r="I1419" t="s">
        <v>8378</v>
      </c>
      <c r="J1419" t="s">
        <v>8377</v>
      </c>
    </row>
    <row r="1420" spans="1:10" x14ac:dyDescent="0.35">
      <c r="A1420" s="6" t="s">
        <v>942</v>
      </c>
      <c r="B1420">
        <v>39.01</v>
      </c>
      <c r="C1420">
        <v>5.37</v>
      </c>
      <c r="D1420" s="6" t="s">
        <v>2373</v>
      </c>
      <c r="E1420" s="6" t="s">
        <v>2370</v>
      </c>
      <c r="F1420" s="6" t="s">
        <v>2370</v>
      </c>
      <c r="G1420">
        <v>0</v>
      </c>
      <c r="H1420" s="6" t="s">
        <v>2370</v>
      </c>
      <c r="I1420" t="s">
        <v>8374</v>
      </c>
      <c r="J1420" t="s">
        <v>8377</v>
      </c>
    </row>
    <row r="1421" spans="1:10" x14ac:dyDescent="0.35">
      <c r="A1421" s="6" t="s">
        <v>941</v>
      </c>
      <c r="B1421">
        <v>18.989999999999998</v>
      </c>
      <c r="C1421">
        <v>10.82</v>
      </c>
      <c r="D1421" s="6" t="s">
        <v>2373</v>
      </c>
      <c r="E1421" s="6" t="s">
        <v>2370</v>
      </c>
      <c r="F1421" s="6" t="s">
        <v>2370</v>
      </c>
      <c r="G1421">
        <v>0</v>
      </c>
      <c r="H1421" s="6" t="s">
        <v>2370</v>
      </c>
      <c r="I1421" t="s">
        <v>8379</v>
      </c>
      <c r="J1421" t="s">
        <v>8375</v>
      </c>
    </row>
    <row r="1422" spans="1:10" x14ac:dyDescent="0.35">
      <c r="A1422" s="6" t="s">
        <v>940</v>
      </c>
      <c r="B1422">
        <v>42.3</v>
      </c>
      <c r="C1422">
        <v>6.06</v>
      </c>
      <c r="D1422" s="6" t="s">
        <v>2373</v>
      </c>
      <c r="E1422" s="6" t="s">
        <v>2370</v>
      </c>
      <c r="F1422" s="6" t="s">
        <v>2370</v>
      </c>
      <c r="G1422">
        <v>0</v>
      </c>
      <c r="H1422" s="6" t="s">
        <v>2370</v>
      </c>
      <c r="I1422" t="s">
        <v>8374</v>
      </c>
      <c r="J1422" t="s">
        <v>8376</v>
      </c>
    </row>
    <row r="1423" spans="1:10" x14ac:dyDescent="0.35">
      <c r="A1423" s="6" t="s">
        <v>939</v>
      </c>
      <c r="B1423">
        <v>39.805</v>
      </c>
      <c r="C1423">
        <v>5.91</v>
      </c>
      <c r="D1423" s="6" t="s">
        <v>2370</v>
      </c>
      <c r="E1423" s="6" t="s">
        <v>2370</v>
      </c>
      <c r="F1423" s="6" t="s">
        <v>2370</v>
      </c>
      <c r="G1423">
        <v>0</v>
      </c>
      <c r="H1423" s="6" t="s">
        <v>2370</v>
      </c>
      <c r="I1423" t="s">
        <v>8374</v>
      </c>
      <c r="J1423" t="s">
        <v>8376</v>
      </c>
    </row>
    <row r="1424" spans="1:10" x14ac:dyDescent="0.35">
      <c r="A1424" s="6" t="s">
        <v>938</v>
      </c>
      <c r="B1424">
        <v>33.700000000000003</v>
      </c>
      <c r="C1424">
        <v>5.87</v>
      </c>
      <c r="D1424" s="6" t="s">
        <v>2370</v>
      </c>
      <c r="E1424" s="6" t="s">
        <v>2370</v>
      </c>
      <c r="F1424" s="6" t="s">
        <v>2370</v>
      </c>
      <c r="G1424">
        <v>0</v>
      </c>
      <c r="H1424" s="6" t="s">
        <v>2370</v>
      </c>
      <c r="I1424" t="s">
        <v>8374</v>
      </c>
      <c r="J1424" t="s">
        <v>8376</v>
      </c>
    </row>
    <row r="1425" spans="1:10" x14ac:dyDescent="0.35">
      <c r="A1425" s="6" t="s">
        <v>937</v>
      </c>
      <c r="B1425">
        <v>36.195</v>
      </c>
      <c r="C1425">
        <v>6.22</v>
      </c>
      <c r="D1425" s="6" t="s">
        <v>2370</v>
      </c>
      <c r="E1425" s="6" t="s">
        <v>2370</v>
      </c>
      <c r="F1425" s="6" t="s">
        <v>2370</v>
      </c>
      <c r="G1425">
        <v>0</v>
      </c>
      <c r="H1425" s="6" t="s">
        <v>2370</v>
      </c>
      <c r="I1425" t="s">
        <v>8374</v>
      </c>
      <c r="J1425" t="s">
        <v>8376</v>
      </c>
    </row>
    <row r="1426" spans="1:10" x14ac:dyDescent="0.35">
      <c r="A1426" s="6" t="s">
        <v>936</v>
      </c>
      <c r="B1426">
        <v>32.6</v>
      </c>
      <c r="C1426">
        <v>5.73</v>
      </c>
      <c r="D1426" s="6" t="s">
        <v>2370</v>
      </c>
      <c r="E1426" s="6" t="s">
        <v>2370</v>
      </c>
      <c r="F1426" s="6" t="s">
        <v>2373</v>
      </c>
      <c r="G1426">
        <v>1</v>
      </c>
      <c r="H1426" s="6" t="s">
        <v>2370</v>
      </c>
      <c r="I1426" t="s">
        <v>8374</v>
      </c>
      <c r="J1426" t="s">
        <v>8376</v>
      </c>
    </row>
    <row r="1427" spans="1:10" x14ac:dyDescent="0.35">
      <c r="A1427" s="6" t="s">
        <v>935</v>
      </c>
      <c r="B1427">
        <v>30.2</v>
      </c>
      <c r="C1427">
        <v>5.7</v>
      </c>
      <c r="D1427" s="6" t="s">
        <v>2370</v>
      </c>
      <c r="E1427" s="6" t="s">
        <v>2370</v>
      </c>
      <c r="F1427" s="6" t="s">
        <v>2370</v>
      </c>
      <c r="G1427">
        <v>0</v>
      </c>
      <c r="H1427" s="6" t="s">
        <v>2370</v>
      </c>
      <c r="I1427" t="s">
        <v>8374</v>
      </c>
      <c r="J1427" t="s">
        <v>8376</v>
      </c>
    </row>
    <row r="1428" spans="1:10" x14ac:dyDescent="0.35">
      <c r="A1428" s="6" t="s">
        <v>934</v>
      </c>
      <c r="B1428">
        <v>27.645</v>
      </c>
      <c r="C1428">
        <v>9.91</v>
      </c>
      <c r="D1428" s="6" t="s">
        <v>2370</v>
      </c>
      <c r="E1428" s="6" t="s">
        <v>2370</v>
      </c>
      <c r="F1428" s="6" t="s">
        <v>2370</v>
      </c>
      <c r="G1428">
        <v>0</v>
      </c>
      <c r="H1428" s="6" t="s">
        <v>2370</v>
      </c>
      <c r="I1428" t="s">
        <v>8378</v>
      </c>
      <c r="J1428" t="s">
        <v>8375</v>
      </c>
    </row>
    <row r="1429" spans="1:10" x14ac:dyDescent="0.35">
      <c r="A1429" s="6" t="s">
        <v>933</v>
      </c>
      <c r="B1429">
        <v>26.41</v>
      </c>
      <c r="C1429">
        <v>11.4</v>
      </c>
      <c r="D1429" s="6" t="s">
        <v>2370</v>
      </c>
      <c r="E1429" s="6" t="s">
        <v>2370</v>
      </c>
      <c r="F1429" s="6" t="s">
        <v>2370</v>
      </c>
      <c r="G1429">
        <v>0</v>
      </c>
      <c r="H1429" s="6" t="s">
        <v>2370</v>
      </c>
      <c r="I1429" t="s">
        <v>8378</v>
      </c>
      <c r="J1429" t="s">
        <v>8375</v>
      </c>
    </row>
    <row r="1430" spans="1:10" x14ac:dyDescent="0.35">
      <c r="A1430" s="6" t="s">
        <v>932</v>
      </c>
      <c r="B1430">
        <v>34.1</v>
      </c>
      <c r="C1430">
        <v>6.29</v>
      </c>
      <c r="D1430" s="6" t="s">
        <v>2373</v>
      </c>
      <c r="E1430" s="6" t="s">
        <v>2370</v>
      </c>
      <c r="F1430" s="6" t="s">
        <v>2373</v>
      </c>
      <c r="G1430">
        <v>1</v>
      </c>
      <c r="H1430" s="6" t="s">
        <v>2370</v>
      </c>
      <c r="I1430" t="s">
        <v>8374</v>
      </c>
      <c r="J1430" t="s">
        <v>8376</v>
      </c>
    </row>
    <row r="1431" spans="1:10" x14ac:dyDescent="0.35">
      <c r="A1431" s="6" t="s">
        <v>931</v>
      </c>
      <c r="B1431">
        <v>17.3</v>
      </c>
      <c r="C1431">
        <v>9.2799999999999994</v>
      </c>
      <c r="D1431" s="6" t="s">
        <v>2370</v>
      </c>
      <c r="E1431" s="6" t="s">
        <v>2370</v>
      </c>
      <c r="F1431" s="6" t="s">
        <v>2370</v>
      </c>
      <c r="G1431">
        <v>0</v>
      </c>
      <c r="H1431" s="6" t="s">
        <v>2370</v>
      </c>
      <c r="I1431" t="s">
        <v>8380</v>
      </c>
      <c r="J1431" t="s">
        <v>8375</v>
      </c>
    </row>
    <row r="1432" spans="1:10" x14ac:dyDescent="0.35">
      <c r="A1432" s="6" t="s">
        <v>930</v>
      </c>
      <c r="B1432">
        <v>35.020000000000003</v>
      </c>
      <c r="C1432">
        <v>4.78</v>
      </c>
      <c r="D1432" s="6" t="s">
        <v>2370</v>
      </c>
      <c r="E1432" s="6" t="s">
        <v>2370</v>
      </c>
      <c r="F1432" s="6" t="s">
        <v>2373</v>
      </c>
      <c r="G1432">
        <v>1</v>
      </c>
      <c r="H1432" s="6" t="s">
        <v>2370</v>
      </c>
      <c r="I1432" t="s">
        <v>8374</v>
      </c>
      <c r="J1432" t="s">
        <v>8377</v>
      </c>
    </row>
    <row r="1433" spans="1:10" x14ac:dyDescent="0.35">
      <c r="A1433" s="6" t="s">
        <v>929</v>
      </c>
      <c r="B1433">
        <v>37.1</v>
      </c>
      <c r="C1433">
        <v>8.8699999999999992</v>
      </c>
      <c r="D1433" s="6" t="s">
        <v>2373</v>
      </c>
      <c r="E1433" s="6" t="s">
        <v>2370</v>
      </c>
      <c r="F1433" s="6" t="s">
        <v>2370</v>
      </c>
      <c r="G1433">
        <v>0</v>
      </c>
      <c r="H1433" s="6" t="s">
        <v>2370</v>
      </c>
      <c r="I1433" t="s">
        <v>8374</v>
      </c>
      <c r="J1433" t="s">
        <v>8375</v>
      </c>
    </row>
    <row r="1434" spans="1:10" x14ac:dyDescent="0.35">
      <c r="A1434" s="6" t="s">
        <v>928</v>
      </c>
      <c r="B1434">
        <v>16.79</v>
      </c>
      <c r="C1434">
        <v>11.4</v>
      </c>
      <c r="D1434" s="6" t="s">
        <v>2370</v>
      </c>
      <c r="E1434" s="6" t="s">
        <v>2370</v>
      </c>
      <c r="F1434" s="6" t="s">
        <v>2370</v>
      </c>
      <c r="G1434">
        <v>0</v>
      </c>
      <c r="H1434" s="6" t="s">
        <v>2370</v>
      </c>
      <c r="I1434" t="s">
        <v>8380</v>
      </c>
      <c r="J1434" t="s">
        <v>8375</v>
      </c>
    </row>
    <row r="1435" spans="1:10" x14ac:dyDescent="0.35">
      <c r="A1435" s="6" t="s">
        <v>927</v>
      </c>
      <c r="B1435">
        <v>31.635000000000002</v>
      </c>
      <c r="C1435">
        <v>9.1300000000000008</v>
      </c>
      <c r="D1435" s="6" t="s">
        <v>2373</v>
      </c>
      <c r="E1435" s="6" t="s">
        <v>2370</v>
      </c>
      <c r="F1435" s="6" t="s">
        <v>2370</v>
      </c>
      <c r="G1435">
        <v>0</v>
      </c>
      <c r="H1435" s="6" t="s">
        <v>2370</v>
      </c>
      <c r="I1435" t="s">
        <v>8374</v>
      </c>
      <c r="J1435" t="s">
        <v>8375</v>
      </c>
    </row>
    <row r="1436" spans="1:10" x14ac:dyDescent="0.35">
      <c r="A1436" s="6" t="s">
        <v>926</v>
      </c>
      <c r="B1436">
        <v>24.19</v>
      </c>
      <c r="C1436">
        <v>6.22</v>
      </c>
      <c r="D1436" s="6" t="s">
        <v>2373</v>
      </c>
      <c r="E1436" s="6" t="s">
        <v>2370</v>
      </c>
      <c r="F1436" s="6" t="s">
        <v>2373</v>
      </c>
      <c r="G1436">
        <v>1</v>
      </c>
      <c r="H1436" s="6" t="s">
        <v>2370</v>
      </c>
      <c r="I1436" t="s">
        <v>8379</v>
      </c>
      <c r="J1436" t="s">
        <v>8376</v>
      </c>
    </row>
    <row r="1437" spans="1:10" x14ac:dyDescent="0.35">
      <c r="A1437" s="6" t="s">
        <v>925</v>
      </c>
      <c r="B1437">
        <v>35.29</v>
      </c>
      <c r="C1437">
        <v>5.9</v>
      </c>
      <c r="D1437" s="6" t="s">
        <v>2370</v>
      </c>
      <c r="E1437" s="6" t="s">
        <v>2370</v>
      </c>
      <c r="F1437" s="6" t="s">
        <v>2373</v>
      </c>
      <c r="G1437">
        <v>1</v>
      </c>
      <c r="H1437" s="6" t="s">
        <v>2370</v>
      </c>
      <c r="I1437" t="s">
        <v>8374</v>
      </c>
      <c r="J1437" t="s">
        <v>8376</v>
      </c>
    </row>
    <row r="1438" spans="1:10" x14ac:dyDescent="0.35">
      <c r="A1438" s="6" t="s">
        <v>924</v>
      </c>
      <c r="B1438">
        <v>35.299999999999997</v>
      </c>
      <c r="C1438">
        <v>4.45</v>
      </c>
      <c r="D1438" s="6" t="s">
        <v>2370</v>
      </c>
      <c r="E1438" s="6" t="s">
        <v>2370</v>
      </c>
      <c r="F1438" s="6" t="s">
        <v>2370</v>
      </c>
      <c r="G1438">
        <v>0</v>
      </c>
      <c r="H1438" s="6" t="s">
        <v>2370</v>
      </c>
      <c r="I1438" t="s">
        <v>8374</v>
      </c>
      <c r="J1438" t="s">
        <v>8377</v>
      </c>
    </row>
    <row r="1439" spans="1:10" x14ac:dyDescent="0.35">
      <c r="A1439" s="6" t="s">
        <v>923</v>
      </c>
      <c r="B1439">
        <v>35.64</v>
      </c>
      <c r="C1439">
        <v>6.17</v>
      </c>
      <c r="D1439" s="6" t="s">
        <v>2370</v>
      </c>
      <c r="E1439" s="6" t="s">
        <v>2370</v>
      </c>
      <c r="F1439" s="6" t="s">
        <v>2373</v>
      </c>
      <c r="G1439">
        <v>1</v>
      </c>
      <c r="H1439" s="6" t="s">
        <v>2370</v>
      </c>
      <c r="I1439" t="s">
        <v>8374</v>
      </c>
      <c r="J1439" t="s">
        <v>8376</v>
      </c>
    </row>
    <row r="1440" spans="1:10" x14ac:dyDescent="0.35">
      <c r="A1440" s="6" t="s">
        <v>922</v>
      </c>
      <c r="B1440">
        <v>33.1</v>
      </c>
      <c r="C1440">
        <v>4.93</v>
      </c>
      <c r="D1440" s="6" t="s">
        <v>2370</v>
      </c>
      <c r="E1440" s="6" t="s">
        <v>2370</v>
      </c>
      <c r="F1440" s="6" t="s">
        <v>2370</v>
      </c>
      <c r="G1440">
        <v>0</v>
      </c>
      <c r="H1440" s="6" t="s">
        <v>2370</v>
      </c>
      <c r="I1440" t="s">
        <v>8374</v>
      </c>
      <c r="J1440" t="s">
        <v>8377</v>
      </c>
    </row>
    <row r="1441" spans="1:10" x14ac:dyDescent="0.35">
      <c r="A1441" s="6" t="s">
        <v>921</v>
      </c>
      <c r="B1441">
        <v>26.41</v>
      </c>
      <c r="C1441">
        <v>7.32</v>
      </c>
      <c r="D1441" s="6" t="s">
        <v>2373</v>
      </c>
      <c r="E1441" s="6" t="s">
        <v>2370</v>
      </c>
      <c r="F1441" s="6" t="s">
        <v>2370</v>
      </c>
      <c r="G1441">
        <v>1</v>
      </c>
      <c r="H1441" s="6" t="s">
        <v>2370</v>
      </c>
      <c r="I1441" t="s">
        <v>8378</v>
      </c>
      <c r="J1441" t="s">
        <v>8375</v>
      </c>
    </row>
    <row r="1442" spans="1:10" x14ac:dyDescent="0.35">
      <c r="A1442" s="6" t="s">
        <v>920</v>
      </c>
      <c r="B1442">
        <v>29.9</v>
      </c>
      <c r="C1442">
        <v>5.27</v>
      </c>
      <c r="D1442" s="6" t="s">
        <v>2370</v>
      </c>
      <c r="E1442" s="6" t="s">
        <v>2370</v>
      </c>
      <c r="F1442" s="6" t="s">
        <v>2373</v>
      </c>
      <c r="G1442">
        <v>1</v>
      </c>
      <c r="H1442" s="6" t="s">
        <v>2370</v>
      </c>
      <c r="I1442" t="s">
        <v>8378</v>
      </c>
      <c r="J1442" t="s">
        <v>8377</v>
      </c>
    </row>
    <row r="1443" spans="1:10" x14ac:dyDescent="0.35">
      <c r="A1443" s="6" t="s">
        <v>919</v>
      </c>
      <c r="B1443">
        <v>25.24</v>
      </c>
      <c r="C1443">
        <v>5.82</v>
      </c>
      <c r="D1443" s="6" t="s">
        <v>2370</v>
      </c>
      <c r="E1443" s="6" t="s">
        <v>2370</v>
      </c>
      <c r="F1443" s="6" t="s">
        <v>2370</v>
      </c>
      <c r="G1443">
        <v>1</v>
      </c>
      <c r="H1443" s="6" t="s">
        <v>2370</v>
      </c>
      <c r="I1443" t="s">
        <v>8378</v>
      </c>
      <c r="J1443" t="s">
        <v>8376</v>
      </c>
    </row>
    <row r="1444" spans="1:10" x14ac:dyDescent="0.35">
      <c r="A1444" s="6" t="s">
        <v>918</v>
      </c>
      <c r="B1444">
        <v>25.08</v>
      </c>
      <c r="C1444">
        <v>5.8</v>
      </c>
      <c r="D1444" s="6" t="s">
        <v>2370</v>
      </c>
      <c r="E1444" s="6" t="s">
        <v>2370</v>
      </c>
      <c r="F1444" s="6" t="s">
        <v>2373</v>
      </c>
      <c r="G1444">
        <v>1</v>
      </c>
      <c r="H1444" s="6" t="s">
        <v>2370</v>
      </c>
      <c r="I1444" t="s">
        <v>8378</v>
      </c>
      <c r="J1444" t="s">
        <v>8376</v>
      </c>
    </row>
    <row r="1445" spans="1:10" x14ac:dyDescent="0.35">
      <c r="A1445" s="6" t="s">
        <v>917</v>
      </c>
      <c r="B1445">
        <v>29.164999999999999</v>
      </c>
      <c r="C1445">
        <v>4.87</v>
      </c>
      <c r="D1445" s="6" t="s">
        <v>2370</v>
      </c>
      <c r="E1445" s="6" t="s">
        <v>2372</v>
      </c>
      <c r="F1445" s="6" t="s">
        <v>2370</v>
      </c>
      <c r="G1445">
        <v>1</v>
      </c>
      <c r="H1445" s="6" t="s">
        <v>2370</v>
      </c>
      <c r="I1445" t="s">
        <v>8378</v>
      </c>
      <c r="J1445" t="s">
        <v>8377</v>
      </c>
    </row>
    <row r="1446" spans="1:10" x14ac:dyDescent="0.35">
      <c r="A1446" s="6" t="s">
        <v>916</v>
      </c>
      <c r="B1446">
        <v>15.05</v>
      </c>
      <c r="C1446">
        <v>8.1199999999999992</v>
      </c>
      <c r="D1446" s="6" t="s">
        <v>2370</v>
      </c>
      <c r="E1446" s="6" t="s">
        <v>2370</v>
      </c>
      <c r="F1446" s="6" t="s">
        <v>2370</v>
      </c>
      <c r="G1446">
        <v>0</v>
      </c>
      <c r="H1446" s="6" t="s">
        <v>2370</v>
      </c>
      <c r="I1446" t="s">
        <v>8380</v>
      </c>
      <c r="J1446" t="s">
        <v>8375</v>
      </c>
    </row>
    <row r="1447" spans="1:10" x14ac:dyDescent="0.35">
      <c r="A1447" s="6" t="s">
        <v>915</v>
      </c>
      <c r="B1447">
        <v>19.95</v>
      </c>
      <c r="C1447">
        <v>4.3600000000000003</v>
      </c>
      <c r="D1447" s="6" t="s">
        <v>2370</v>
      </c>
      <c r="E1447" s="6" t="s">
        <v>2370</v>
      </c>
      <c r="F1447" s="6" t="s">
        <v>2370</v>
      </c>
      <c r="G1447">
        <v>2</v>
      </c>
      <c r="H1447" s="6" t="s">
        <v>2370</v>
      </c>
      <c r="I1447" t="s">
        <v>8379</v>
      </c>
      <c r="J1447" t="s">
        <v>8377</v>
      </c>
    </row>
    <row r="1448" spans="1:10" x14ac:dyDescent="0.35">
      <c r="A1448" s="6" t="s">
        <v>914</v>
      </c>
      <c r="B1448">
        <v>16.66</v>
      </c>
      <c r="C1448">
        <v>9.16</v>
      </c>
      <c r="D1448" s="6" t="s">
        <v>2370</v>
      </c>
      <c r="E1448" s="6" t="s">
        <v>2370</v>
      </c>
      <c r="F1448" s="6" t="s">
        <v>2370</v>
      </c>
      <c r="G1448">
        <v>0</v>
      </c>
      <c r="H1448" s="6" t="s">
        <v>2370</v>
      </c>
      <c r="I1448" t="s">
        <v>8380</v>
      </c>
      <c r="J1448" t="s">
        <v>8375</v>
      </c>
    </row>
    <row r="1449" spans="1:10" x14ac:dyDescent="0.35">
      <c r="A1449" s="6" t="s">
        <v>913</v>
      </c>
      <c r="B1449">
        <v>16.62</v>
      </c>
      <c r="C1449">
        <v>9.14</v>
      </c>
      <c r="D1449" s="6" t="s">
        <v>2370</v>
      </c>
      <c r="E1449" s="6" t="s">
        <v>2370</v>
      </c>
      <c r="F1449" s="6" t="s">
        <v>2370</v>
      </c>
      <c r="G1449">
        <v>0</v>
      </c>
      <c r="H1449" s="6" t="s">
        <v>2370</v>
      </c>
      <c r="I1449" t="s">
        <v>8380</v>
      </c>
      <c r="J1449" t="s">
        <v>8375</v>
      </c>
    </row>
    <row r="1450" spans="1:10" x14ac:dyDescent="0.35">
      <c r="A1450" s="6" t="s">
        <v>912</v>
      </c>
      <c r="B1450">
        <v>15.36</v>
      </c>
      <c r="C1450">
        <v>5.49</v>
      </c>
      <c r="D1450" s="6" t="s">
        <v>2373</v>
      </c>
      <c r="E1450" s="6" t="s">
        <v>2370</v>
      </c>
      <c r="F1450" s="6" t="s">
        <v>2370</v>
      </c>
      <c r="G1450">
        <v>2</v>
      </c>
      <c r="H1450" s="6" t="s">
        <v>2370</v>
      </c>
      <c r="I1450" t="s">
        <v>8380</v>
      </c>
      <c r="J1450" t="s">
        <v>8377</v>
      </c>
    </row>
    <row r="1451" spans="1:10" x14ac:dyDescent="0.35">
      <c r="A1451" s="6" t="s">
        <v>911</v>
      </c>
      <c r="B1451">
        <v>27.74</v>
      </c>
      <c r="C1451">
        <v>5.96</v>
      </c>
      <c r="D1451" s="6" t="s">
        <v>2373</v>
      </c>
      <c r="E1451" s="6" t="s">
        <v>2370</v>
      </c>
      <c r="F1451" s="6" t="s">
        <v>2370</v>
      </c>
      <c r="G1451">
        <v>0</v>
      </c>
      <c r="H1451" s="6" t="s">
        <v>2370</v>
      </c>
      <c r="I1451" t="s">
        <v>8378</v>
      </c>
      <c r="J1451" t="s">
        <v>8376</v>
      </c>
    </row>
    <row r="1452" spans="1:10" x14ac:dyDescent="0.35">
      <c r="A1452" s="6" t="s">
        <v>910</v>
      </c>
      <c r="B1452">
        <v>22.44</v>
      </c>
      <c r="C1452">
        <v>4.62</v>
      </c>
      <c r="D1452" s="6" t="s">
        <v>2373</v>
      </c>
      <c r="E1452" s="6" t="s">
        <v>2370</v>
      </c>
      <c r="F1452" s="6" t="s">
        <v>2370</v>
      </c>
      <c r="G1452">
        <v>0</v>
      </c>
      <c r="H1452" s="6" t="s">
        <v>2370</v>
      </c>
      <c r="I1452" t="s">
        <v>8379</v>
      </c>
      <c r="J1452" t="s">
        <v>8377</v>
      </c>
    </row>
    <row r="1453" spans="1:10" x14ac:dyDescent="0.35">
      <c r="A1453" s="6" t="s">
        <v>909</v>
      </c>
      <c r="B1453">
        <v>37.049999999999997</v>
      </c>
      <c r="C1453">
        <v>9.9600000000000009</v>
      </c>
      <c r="D1453" s="6" t="s">
        <v>2373</v>
      </c>
      <c r="E1453" s="6" t="s">
        <v>2370</v>
      </c>
      <c r="F1453" s="6" t="s">
        <v>2370</v>
      </c>
      <c r="G1453">
        <v>0</v>
      </c>
      <c r="H1453" s="6" t="s">
        <v>2370</v>
      </c>
      <c r="I1453" t="s">
        <v>8374</v>
      </c>
      <c r="J1453" t="s">
        <v>8375</v>
      </c>
    </row>
    <row r="1454" spans="1:10" x14ac:dyDescent="0.35">
      <c r="A1454" s="6" t="s">
        <v>908</v>
      </c>
      <c r="B1454">
        <v>22.95</v>
      </c>
      <c r="C1454">
        <v>10.53</v>
      </c>
      <c r="D1454" s="6" t="s">
        <v>2370</v>
      </c>
      <c r="E1454" s="6" t="s">
        <v>2370</v>
      </c>
      <c r="F1454" s="6" t="s">
        <v>2370</v>
      </c>
      <c r="G1454">
        <v>2</v>
      </c>
      <c r="H1454" s="6" t="s">
        <v>2370</v>
      </c>
      <c r="I1454" t="s">
        <v>8379</v>
      </c>
      <c r="J1454" t="s">
        <v>8375</v>
      </c>
    </row>
    <row r="1455" spans="1:10" x14ac:dyDescent="0.35">
      <c r="A1455" s="6" t="s">
        <v>907</v>
      </c>
      <c r="B1455">
        <v>34.200000000000003</v>
      </c>
      <c r="C1455">
        <v>6.69</v>
      </c>
      <c r="D1455" s="6" t="s">
        <v>2373</v>
      </c>
      <c r="E1455" s="6" t="s">
        <v>2370</v>
      </c>
      <c r="F1455" s="6" t="s">
        <v>2370</v>
      </c>
      <c r="G1455">
        <v>0</v>
      </c>
      <c r="H1455" s="6" t="s">
        <v>2370</v>
      </c>
      <c r="I1455" t="s">
        <v>8374</v>
      </c>
      <c r="J1455" t="s">
        <v>8375</v>
      </c>
    </row>
    <row r="1456" spans="1:10" x14ac:dyDescent="0.35">
      <c r="A1456" s="6" t="s">
        <v>906</v>
      </c>
      <c r="B1456">
        <v>30.59</v>
      </c>
      <c r="C1456">
        <v>9.5500000000000007</v>
      </c>
      <c r="D1456" s="6" t="s">
        <v>2373</v>
      </c>
      <c r="E1456" s="6" t="s">
        <v>2370</v>
      </c>
      <c r="F1456" s="6" t="s">
        <v>2370</v>
      </c>
      <c r="G1456">
        <v>0</v>
      </c>
      <c r="H1456" s="6" t="s">
        <v>2370</v>
      </c>
      <c r="I1456" t="s">
        <v>8374</v>
      </c>
      <c r="J1456" t="s">
        <v>8375</v>
      </c>
    </row>
    <row r="1457" spans="1:10" x14ac:dyDescent="0.35">
      <c r="A1457" s="6" t="s">
        <v>905</v>
      </c>
      <c r="B1457">
        <v>25.51</v>
      </c>
      <c r="C1457">
        <v>6.05</v>
      </c>
      <c r="D1457" s="6" t="s">
        <v>2370</v>
      </c>
      <c r="E1457" s="6" t="s">
        <v>2370</v>
      </c>
      <c r="F1457" s="6" t="s">
        <v>2370</v>
      </c>
      <c r="G1457">
        <v>0</v>
      </c>
      <c r="H1457" s="6" t="s">
        <v>2370</v>
      </c>
      <c r="I1457" t="s">
        <v>8378</v>
      </c>
      <c r="J1457" t="s">
        <v>8376</v>
      </c>
    </row>
    <row r="1458" spans="1:10" x14ac:dyDescent="0.35">
      <c r="A1458" s="6" t="s">
        <v>904</v>
      </c>
      <c r="B1458">
        <v>29.04</v>
      </c>
      <c r="C1458">
        <v>10.56</v>
      </c>
      <c r="D1458" s="6" t="s">
        <v>2373</v>
      </c>
      <c r="E1458" s="6" t="s">
        <v>2370</v>
      </c>
      <c r="F1458" s="6" t="s">
        <v>2370</v>
      </c>
      <c r="G1458">
        <v>1</v>
      </c>
      <c r="H1458" s="6" t="s">
        <v>2370</v>
      </c>
      <c r="I1458" t="s">
        <v>8378</v>
      </c>
      <c r="J1458" t="s">
        <v>8375</v>
      </c>
    </row>
    <row r="1459" spans="1:10" x14ac:dyDescent="0.35">
      <c r="A1459" s="6" t="s">
        <v>903</v>
      </c>
      <c r="B1459">
        <v>22.135000000000002</v>
      </c>
      <c r="C1459">
        <v>10.81</v>
      </c>
      <c r="D1459" s="6" t="s">
        <v>2373</v>
      </c>
      <c r="E1459" s="6" t="s">
        <v>2370</v>
      </c>
      <c r="F1459" s="6" t="s">
        <v>2370</v>
      </c>
      <c r="G1459">
        <v>1</v>
      </c>
      <c r="H1459" s="6" t="s">
        <v>2370</v>
      </c>
      <c r="I1459" t="s">
        <v>8379</v>
      </c>
      <c r="J1459" t="s">
        <v>8375</v>
      </c>
    </row>
    <row r="1460" spans="1:10" x14ac:dyDescent="0.35">
      <c r="A1460" s="6" t="s">
        <v>902</v>
      </c>
      <c r="B1460">
        <v>21.375</v>
      </c>
      <c r="C1460">
        <v>4.32</v>
      </c>
      <c r="D1460" s="6" t="s">
        <v>2370</v>
      </c>
      <c r="E1460" s="6" t="s">
        <v>2370</v>
      </c>
      <c r="F1460" s="6" t="s">
        <v>2370</v>
      </c>
      <c r="G1460">
        <v>0</v>
      </c>
      <c r="H1460" s="6" t="s">
        <v>2370</v>
      </c>
      <c r="I1460" t="s">
        <v>8379</v>
      </c>
      <c r="J1460" t="s">
        <v>8377</v>
      </c>
    </row>
    <row r="1461" spans="1:10" x14ac:dyDescent="0.35">
      <c r="A1461" s="6" t="s">
        <v>901</v>
      </c>
      <c r="B1461">
        <v>29.19</v>
      </c>
      <c r="C1461">
        <v>4.37</v>
      </c>
      <c r="D1461" s="6" t="s">
        <v>2370</v>
      </c>
      <c r="E1461" s="6" t="s">
        <v>2370</v>
      </c>
      <c r="F1461" s="6" t="s">
        <v>2370</v>
      </c>
      <c r="G1461">
        <v>0</v>
      </c>
      <c r="H1461" s="6" t="s">
        <v>2370</v>
      </c>
      <c r="I1461" t="s">
        <v>8378</v>
      </c>
      <c r="J1461" t="s">
        <v>8377</v>
      </c>
    </row>
    <row r="1462" spans="1:10" x14ac:dyDescent="0.35">
      <c r="A1462" s="6" t="s">
        <v>900</v>
      </c>
      <c r="B1462">
        <v>31.92</v>
      </c>
      <c r="C1462">
        <v>4.8099999999999996</v>
      </c>
      <c r="D1462" s="6" t="s">
        <v>2373</v>
      </c>
      <c r="E1462" s="6" t="s">
        <v>2370</v>
      </c>
      <c r="F1462" s="6" t="s">
        <v>2373</v>
      </c>
      <c r="G1462">
        <v>1</v>
      </c>
      <c r="H1462" s="6" t="s">
        <v>2370</v>
      </c>
      <c r="I1462" t="s">
        <v>8374</v>
      </c>
      <c r="J1462" t="s">
        <v>8377</v>
      </c>
    </row>
    <row r="1463" spans="1:10" x14ac:dyDescent="0.35">
      <c r="A1463" s="6" t="s">
        <v>899</v>
      </c>
      <c r="B1463">
        <v>26.315000000000001</v>
      </c>
      <c r="C1463">
        <v>4.5599999999999996</v>
      </c>
      <c r="D1463" s="6" t="s">
        <v>2373</v>
      </c>
      <c r="E1463" s="6" t="s">
        <v>2370</v>
      </c>
      <c r="F1463" s="6" t="s">
        <v>2373</v>
      </c>
      <c r="G1463">
        <v>1</v>
      </c>
      <c r="H1463" s="6" t="s">
        <v>2370</v>
      </c>
      <c r="I1463" t="s">
        <v>8378</v>
      </c>
      <c r="J1463" t="s">
        <v>8377</v>
      </c>
    </row>
    <row r="1464" spans="1:10" x14ac:dyDescent="0.35">
      <c r="A1464" s="6" t="s">
        <v>898</v>
      </c>
      <c r="B1464">
        <v>35.299999999999997</v>
      </c>
      <c r="C1464">
        <v>4.3899999999999997</v>
      </c>
      <c r="D1464" s="6" t="s">
        <v>2370</v>
      </c>
      <c r="E1464" s="6" t="s">
        <v>2370</v>
      </c>
      <c r="F1464" s="6" t="s">
        <v>2370</v>
      </c>
      <c r="G1464">
        <v>0</v>
      </c>
      <c r="H1464" s="6" t="s">
        <v>2370</v>
      </c>
      <c r="I1464" t="s">
        <v>8374</v>
      </c>
      <c r="J1464" t="s">
        <v>8377</v>
      </c>
    </row>
    <row r="1465" spans="1:10" x14ac:dyDescent="0.35">
      <c r="A1465" s="6" t="s">
        <v>897</v>
      </c>
      <c r="B1465">
        <v>18.91</v>
      </c>
      <c r="C1465">
        <v>11.44</v>
      </c>
      <c r="D1465" s="6" t="s">
        <v>2370</v>
      </c>
      <c r="E1465" s="6" t="s">
        <v>2370</v>
      </c>
      <c r="F1465" s="6" t="s">
        <v>2370</v>
      </c>
      <c r="G1465">
        <v>0</v>
      </c>
      <c r="H1465" s="6" t="s">
        <v>2370</v>
      </c>
      <c r="I1465" t="s">
        <v>8379</v>
      </c>
      <c r="J1465" t="s">
        <v>8375</v>
      </c>
    </row>
    <row r="1466" spans="1:10" x14ac:dyDescent="0.35">
      <c r="A1466" s="6" t="s">
        <v>896</v>
      </c>
      <c r="B1466">
        <v>22.41</v>
      </c>
      <c r="C1466">
        <v>11.37</v>
      </c>
      <c r="D1466" s="6" t="s">
        <v>2373</v>
      </c>
      <c r="E1466" s="6" t="s">
        <v>2370</v>
      </c>
      <c r="F1466" s="6" t="s">
        <v>2370</v>
      </c>
      <c r="G1466">
        <v>1</v>
      </c>
      <c r="H1466" s="6" t="s">
        <v>2370</v>
      </c>
      <c r="I1466" t="s">
        <v>8379</v>
      </c>
      <c r="J1466" t="s">
        <v>8375</v>
      </c>
    </row>
    <row r="1467" spans="1:10" x14ac:dyDescent="0.35">
      <c r="A1467" s="6" t="s">
        <v>895</v>
      </c>
      <c r="B1467">
        <v>22.704999999999998</v>
      </c>
      <c r="C1467">
        <v>6.14</v>
      </c>
      <c r="D1467" s="6" t="s">
        <v>2370</v>
      </c>
      <c r="E1467" s="6" t="s">
        <v>2370</v>
      </c>
      <c r="F1467" s="6" t="s">
        <v>2370</v>
      </c>
      <c r="G1467">
        <v>0</v>
      </c>
      <c r="H1467" s="6" t="s">
        <v>2370</v>
      </c>
      <c r="I1467" t="s">
        <v>8379</v>
      </c>
      <c r="J1467" t="s">
        <v>8376</v>
      </c>
    </row>
    <row r="1468" spans="1:10" x14ac:dyDescent="0.35">
      <c r="A1468" s="6" t="s">
        <v>894</v>
      </c>
      <c r="B1468">
        <v>37.18</v>
      </c>
      <c r="C1468">
        <v>4.8899999999999997</v>
      </c>
      <c r="D1468" s="6" t="s">
        <v>2370</v>
      </c>
      <c r="E1468" s="6" t="s">
        <v>2370</v>
      </c>
      <c r="F1468" s="6" t="s">
        <v>2370</v>
      </c>
      <c r="G1468">
        <v>0</v>
      </c>
      <c r="H1468" s="6" t="s">
        <v>2370</v>
      </c>
      <c r="I1468" t="s">
        <v>8374</v>
      </c>
      <c r="J1468" t="s">
        <v>8377</v>
      </c>
    </row>
    <row r="1469" spans="1:10" x14ac:dyDescent="0.35">
      <c r="A1469" s="6" t="s">
        <v>893</v>
      </c>
      <c r="B1469">
        <v>35.97</v>
      </c>
      <c r="C1469">
        <v>4.5999999999999996</v>
      </c>
      <c r="D1469" s="6" t="s">
        <v>2370</v>
      </c>
      <c r="E1469" s="6" t="s">
        <v>2370</v>
      </c>
      <c r="F1469" s="6" t="s">
        <v>2370</v>
      </c>
      <c r="G1469">
        <v>0</v>
      </c>
      <c r="H1469" s="6" t="s">
        <v>2370</v>
      </c>
      <c r="I1469" t="s">
        <v>8374</v>
      </c>
      <c r="J1469" t="s">
        <v>8377</v>
      </c>
    </row>
    <row r="1470" spans="1:10" x14ac:dyDescent="0.35">
      <c r="A1470" s="6" t="s">
        <v>892</v>
      </c>
      <c r="B1470">
        <v>35.799999999999997</v>
      </c>
      <c r="C1470">
        <v>4.42</v>
      </c>
      <c r="D1470" s="6" t="s">
        <v>2370</v>
      </c>
      <c r="E1470" s="6" t="s">
        <v>2370</v>
      </c>
      <c r="F1470" s="6" t="s">
        <v>2370</v>
      </c>
      <c r="G1470">
        <v>0</v>
      </c>
      <c r="H1470" s="6" t="s">
        <v>2370</v>
      </c>
      <c r="I1470" t="s">
        <v>8374</v>
      </c>
      <c r="J1470" t="s">
        <v>8377</v>
      </c>
    </row>
    <row r="1471" spans="1:10" x14ac:dyDescent="0.35">
      <c r="A1471" s="6" t="s">
        <v>891</v>
      </c>
      <c r="B1471">
        <v>28.31</v>
      </c>
      <c r="C1471">
        <v>7.48</v>
      </c>
      <c r="D1471" s="6" t="s">
        <v>2373</v>
      </c>
      <c r="E1471" s="6" t="s">
        <v>2370</v>
      </c>
      <c r="F1471" s="6" t="s">
        <v>2370</v>
      </c>
      <c r="G1471">
        <v>0</v>
      </c>
      <c r="H1471" s="6" t="s">
        <v>2370</v>
      </c>
      <c r="I1471" t="s">
        <v>8378</v>
      </c>
      <c r="J1471" t="s">
        <v>8375</v>
      </c>
    </row>
    <row r="1472" spans="1:10" x14ac:dyDescent="0.35">
      <c r="A1472" s="6" t="s">
        <v>890</v>
      </c>
      <c r="B1472">
        <v>38.06</v>
      </c>
      <c r="C1472">
        <v>10.74</v>
      </c>
      <c r="D1472" s="6" t="s">
        <v>2370</v>
      </c>
      <c r="E1472" s="6" t="s">
        <v>2370</v>
      </c>
      <c r="F1472" s="6" t="s">
        <v>2370</v>
      </c>
      <c r="G1472">
        <v>0</v>
      </c>
      <c r="H1472" s="6" t="s">
        <v>2370</v>
      </c>
      <c r="I1472" t="s">
        <v>8374</v>
      </c>
      <c r="J1472" t="s">
        <v>8375</v>
      </c>
    </row>
    <row r="1473" spans="1:10" x14ac:dyDescent="0.35">
      <c r="A1473" s="6" t="s">
        <v>889</v>
      </c>
      <c r="B1473">
        <v>28</v>
      </c>
      <c r="C1473">
        <v>5.19</v>
      </c>
      <c r="D1473" s="6" t="s">
        <v>2370</v>
      </c>
      <c r="E1473" s="6" t="s">
        <v>2370</v>
      </c>
      <c r="F1473" s="6" t="s">
        <v>2370</v>
      </c>
      <c r="G1473">
        <v>1</v>
      </c>
      <c r="H1473" s="6" t="s">
        <v>2370</v>
      </c>
      <c r="I1473" t="s">
        <v>8378</v>
      </c>
      <c r="J1473" t="s">
        <v>8377</v>
      </c>
    </row>
    <row r="1474" spans="1:10" x14ac:dyDescent="0.35">
      <c r="A1474" s="6" t="s">
        <v>888</v>
      </c>
      <c r="B1474">
        <v>34.32</v>
      </c>
      <c r="C1474">
        <v>9.17</v>
      </c>
      <c r="D1474" s="6" t="s">
        <v>2370</v>
      </c>
      <c r="E1474" s="6" t="s">
        <v>2370</v>
      </c>
      <c r="F1474" s="6" t="s">
        <v>2370</v>
      </c>
      <c r="G1474">
        <v>0</v>
      </c>
      <c r="H1474" s="6" t="s">
        <v>2370</v>
      </c>
      <c r="I1474" t="s">
        <v>8374</v>
      </c>
      <c r="J1474" t="s">
        <v>8375</v>
      </c>
    </row>
    <row r="1475" spans="1:10" x14ac:dyDescent="0.35">
      <c r="A1475" s="6" t="s">
        <v>887</v>
      </c>
      <c r="B1475">
        <v>22.3</v>
      </c>
      <c r="C1475">
        <v>4.95</v>
      </c>
      <c r="D1475" s="6" t="s">
        <v>2373</v>
      </c>
      <c r="E1475" s="6" t="s">
        <v>2370</v>
      </c>
      <c r="F1475" s="6" t="s">
        <v>2370</v>
      </c>
      <c r="G1475">
        <v>0</v>
      </c>
      <c r="H1475" s="6" t="s">
        <v>2370</v>
      </c>
      <c r="I1475" t="s">
        <v>8379</v>
      </c>
      <c r="J1475" t="s">
        <v>8377</v>
      </c>
    </row>
    <row r="1476" spans="1:10" x14ac:dyDescent="0.35">
      <c r="A1476" s="6" t="s">
        <v>886</v>
      </c>
      <c r="B1476">
        <v>27.835000000000001</v>
      </c>
      <c r="C1476">
        <v>6.03</v>
      </c>
      <c r="D1476" s="6" t="s">
        <v>2370</v>
      </c>
      <c r="E1476" s="6" t="s">
        <v>2370</v>
      </c>
      <c r="F1476" s="6" t="s">
        <v>2370</v>
      </c>
      <c r="G1476">
        <v>1</v>
      </c>
      <c r="H1476" s="6" t="s">
        <v>2370</v>
      </c>
      <c r="I1476" t="s">
        <v>8378</v>
      </c>
      <c r="J1476" t="s">
        <v>8376</v>
      </c>
    </row>
    <row r="1477" spans="1:10" x14ac:dyDescent="0.35">
      <c r="A1477" s="6" t="s">
        <v>885</v>
      </c>
      <c r="B1477">
        <v>39.229999999999997</v>
      </c>
      <c r="C1477">
        <v>5.36</v>
      </c>
      <c r="D1477" s="6" t="s">
        <v>2370</v>
      </c>
      <c r="E1477" s="6" t="s">
        <v>2370</v>
      </c>
      <c r="F1477" s="6" t="s">
        <v>2370</v>
      </c>
      <c r="G1477">
        <v>0</v>
      </c>
      <c r="H1477" s="6" t="s">
        <v>2370</v>
      </c>
      <c r="I1477" t="s">
        <v>8374</v>
      </c>
      <c r="J1477" t="s">
        <v>8377</v>
      </c>
    </row>
    <row r="1478" spans="1:10" x14ac:dyDescent="0.35">
      <c r="A1478" s="6" t="s">
        <v>884</v>
      </c>
      <c r="B1478">
        <v>19.95</v>
      </c>
      <c r="C1478">
        <v>6.11</v>
      </c>
      <c r="D1478" s="6" t="s">
        <v>2370</v>
      </c>
      <c r="E1478" s="6" t="s">
        <v>2370</v>
      </c>
      <c r="F1478" s="6" t="s">
        <v>2370</v>
      </c>
      <c r="G1478">
        <v>1</v>
      </c>
      <c r="H1478" s="6" t="s">
        <v>2370</v>
      </c>
      <c r="I1478" t="s">
        <v>8379</v>
      </c>
      <c r="J1478" t="s">
        <v>8376</v>
      </c>
    </row>
    <row r="1479" spans="1:10" x14ac:dyDescent="0.35">
      <c r="A1479" s="6" t="s">
        <v>883</v>
      </c>
      <c r="B1479">
        <v>34.64</v>
      </c>
      <c r="C1479">
        <v>4.88</v>
      </c>
      <c r="D1479" s="6" t="s">
        <v>2370</v>
      </c>
      <c r="E1479" s="6" t="s">
        <v>2370</v>
      </c>
      <c r="F1479" s="6" t="s">
        <v>2373</v>
      </c>
      <c r="G1479">
        <v>1</v>
      </c>
      <c r="H1479" s="6" t="s">
        <v>2370</v>
      </c>
      <c r="I1479" t="s">
        <v>8374</v>
      </c>
      <c r="J1479" t="s">
        <v>8377</v>
      </c>
    </row>
    <row r="1480" spans="1:10" x14ac:dyDescent="0.35">
      <c r="A1480" s="6" t="s">
        <v>882</v>
      </c>
      <c r="B1480">
        <v>18.75</v>
      </c>
      <c r="C1480">
        <v>6.72</v>
      </c>
      <c r="D1480" s="6" t="s">
        <v>2370</v>
      </c>
      <c r="E1480" s="6" t="s">
        <v>2370</v>
      </c>
      <c r="F1480" s="6" t="s">
        <v>2370</v>
      </c>
      <c r="G1480">
        <v>0</v>
      </c>
      <c r="H1480" s="6" t="s">
        <v>2370</v>
      </c>
      <c r="I1480" t="s">
        <v>8379</v>
      </c>
      <c r="J1480" t="s">
        <v>8375</v>
      </c>
    </row>
    <row r="1481" spans="1:10" x14ac:dyDescent="0.35">
      <c r="A1481" s="6" t="s">
        <v>881</v>
      </c>
      <c r="B1481">
        <v>26.48</v>
      </c>
      <c r="C1481">
        <v>4.2</v>
      </c>
      <c r="D1481" s="6" t="s">
        <v>2370</v>
      </c>
      <c r="E1481" s="6" t="s">
        <v>2370</v>
      </c>
      <c r="F1481" s="6" t="s">
        <v>2370</v>
      </c>
      <c r="G1481">
        <v>1</v>
      </c>
      <c r="H1481" s="6" t="s">
        <v>2370</v>
      </c>
      <c r="I1481" t="s">
        <v>8378</v>
      </c>
      <c r="J1481" t="s">
        <v>8377</v>
      </c>
    </row>
    <row r="1482" spans="1:10" x14ac:dyDescent="0.35">
      <c r="A1482" s="6" t="s">
        <v>880</v>
      </c>
      <c r="B1482">
        <v>34.83</v>
      </c>
      <c r="C1482">
        <v>5.79</v>
      </c>
      <c r="D1482" s="6" t="s">
        <v>2370</v>
      </c>
      <c r="E1482" s="6" t="s">
        <v>2370</v>
      </c>
      <c r="F1482" s="6" t="s">
        <v>2370</v>
      </c>
      <c r="G1482">
        <v>1</v>
      </c>
      <c r="H1482" s="6" t="s">
        <v>2370</v>
      </c>
      <c r="I1482" t="s">
        <v>8374</v>
      </c>
      <c r="J1482" t="s">
        <v>8376</v>
      </c>
    </row>
    <row r="1483" spans="1:10" x14ac:dyDescent="0.35">
      <c r="A1483" s="6" t="s">
        <v>879</v>
      </c>
      <c r="B1483">
        <v>25.46</v>
      </c>
      <c r="C1483">
        <v>4.29</v>
      </c>
      <c r="D1483" s="6" t="s">
        <v>2370</v>
      </c>
      <c r="E1483" s="6" t="s">
        <v>2370</v>
      </c>
      <c r="F1483" s="6" t="s">
        <v>2370</v>
      </c>
      <c r="G1483">
        <v>0</v>
      </c>
      <c r="H1483" s="6" t="s">
        <v>2370</v>
      </c>
      <c r="I1483" t="s">
        <v>8378</v>
      </c>
      <c r="J1483" t="s">
        <v>8377</v>
      </c>
    </row>
    <row r="1484" spans="1:10" x14ac:dyDescent="0.35">
      <c r="A1484" s="6" t="s">
        <v>878</v>
      </c>
      <c r="B1484">
        <v>23.31</v>
      </c>
      <c r="C1484">
        <v>8.27</v>
      </c>
      <c r="D1484" s="6" t="s">
        <v>2370</v>
      </c>
      <c r="E1484" s="6" t="s">
        <v>2370</v>
      </c>
      <c r="F1484" s="6" t="s">
        <v>2370</v>
      </c>
      <c r="G1484">
        <v>0</v>
      </c>
      <c r="H1484" s="6" t="s">
        <v>2370</v>
      </c>
      <c r="I1484" t="s">
        <v>8379</v>
      </c>
      <c r="J1484" t="s">
        <v>8375</v>
      </c>
    </row>
    <row r="1485" spans="1:10" x14ac:dyDescent="0.35">
      <c r="A1485" s="6" t="s">
        <v>877</v>
      </c>
      <c r="B1485">
        <v>29</v>
      </c>
      <c r="C1485">
        <v>4.5599999999999996</v>
      </c>
      <c r="D1485" s="6" t="s">
        <v>2370</v>
      </c>
      <c r="E1485" s="6" t="s">
        <v>2370</v>
      </c>
      <c r="F1485" s="6" t="s">
        <v>2370</v>
      </c>
      <c r="G1485">
        <v>0</v>
      </c>
      <c r="H1485" s="6" t="s">
        <v>2370</v>
      </c>
      <c r="I1485" t="s">
        <v>8378</v>
      </c>
      <c r="J1485" t="s">
        <v>8377</v>
      </c>
    </row>
    <row r="1486" spans="1:10" x14ac:dyDescent="0.35">
      <c r="A1486" s="6" t="s">
        <v>876</v>
      </c>
      <c r="B1486">
        <v>32.869999999999997</v>
      </c>
      <c r="C1486">
        <v>5.33</v>
      </c>
      <c r="D1486" s="6" t="s">
        <v>2370</v>
      </c>
      <c r="E1486" s="6" t="s">
        <v>2370</v>
      </c>
      <c r="F1486" s="6" t="s">
        <v>2370</v>
      </c>
      <c r="G1486">
        <v>0</v>
      </c>
      <c r="H1486" s="6" t="s">
        <v>2370</v>
      </c>
      <c r="I1486" t="s">
        <v>8374</v>
      </c>
      <c r="J1486" t="s">
        <v>8377</v>
      </c>
    </row>
    <row r="1487" spans="1:10" x14ac:dyDescent="0.35">
      <c r="A1487" s="6" t="s">
        <v>875</v>
      </c>
      <c r="B1487">
        <v>26.18</v>
      </c>
      <c r="C1487">
        <v>5.63</v>
      </c>
      <c r="D1487" s="6" t="s">
        <v>2370</v>
      </c>
      <c r="E1487" s="6" t="s">
        <v>2370</v>
      </c>
      <c r="F1487" s="6" t="s">
        <v>2370</v>
      </c>
      <c r="G1487">
        <v>0</v>
      </c>
      <c r="H1487" s="6" t="s">
        <v>2370</v>
      </c>
      <c r="I1487" t="s">
        <v>8378</v>
      </c>
      <c r="J1487" t="s">
        <v>8377</v>
      </c>
    </row>
    <row r="1488" spans="1:10" x14ac:dyDescent="0.35">
      <c r="A1488" s="6" t="s">
        <v>874</v>
      </c>
      <c r="B1488">
        <v>25.3</v>
      </c>
      <c r="C1488">
        <v>5.12</v>
      </c>
      <c r="D1488" s="6" t="s">
        <v>2370</v>
      </c>
      <c r="E1488" s="6" t="s">
        <v>2370</v>
      </c>
      <c r="F1488" s="6" t="s">
        <v>2370</v>
      </c>
      <c r="G1488">
        <v>0</v>
      </c>
      <c r="H1488" s="6" t="s">
        <v>2370</v>
      </c>
      <c r="I1488" t="s">
        <v>8378</v>
      </c>
      <c r="J1488" t="s">
        <v>8377</v>
      </c>
    </row>
    <row r="1489" spans="1:10" x14ac:dyDescent="0.35">
      <c r="A1489" s="6" t="s">
        <v>873</v>
      </c>
      <c r="B1489">
        <v>36.94</v>
      </c>
      <c r="C1489">
        <v>5.15</v>
      </c>
      <c r="D1489" s="6" t="s">
        <v>2373</v>
      </c>
      <c r="E1489" s="6" t="s">
        <v>2370</v>
      </c>
      <c r="F1489" s="6" t="s">
        <v>2370</v>
      </c>
      <c r="G1489">
        <v>1</v>
      </c>
      <c r="H1489" s="6" t="s">
        <v>2370</v>
      </c>
      <c r="I1489" t="s">
        <v>8374</v>
      </c>
      <c r="J1489" t="s">
        <v>8377</v>
      </c>
    </row>
    <row r="1490" spans="1:10" x14ac:dyDescent="0.35">
      <c r="A1490" s="6" t="s">
        <v>872</v>
      </c>
      <c r="B1490">
        <v>22.86</v>
      </c>
      <c r="C1490">
        <v>7.5</v>
      </c>
      <c r="D1490" s="6" t="s">
        <v>2370</v>
      </c>
      <c r="E1490" s="6" t="s">
        <v>2370</v>
      </c>
      <c r="F1490" s="6" t="s">
        <v>2370</v>
      </c>
      <c r="G1490">
        <v>0</v>
      </c>
      <c r="H1490" s="6" t="s">
        <v>2370</v>
      </c>
      <c r="I1490" t="s">
        <v>8379</v>
      </c>
      <c r="J1490" t="s">
        <v>8375</v>
      </c>
    </row>
    <row r="1491" spans="1:10" x14ac:dyDescent="0.35">
      <c r="A1491" s="6" t="s">
        <v>871</v>
      </c>
      <c r="B1491">
        <v>18.760000000000002</v>
      </c>
      <c r="C1491">
        <v>4.88</v>
      </c>
      <c r="D1491" s="6" t="s">
        <v>2373</v>
      </c>
      <c r="E1491" s="6" t="s">
        <v>2370</v>
      </c>
      <c r="F1491" s="6" t="s">
        <v>2373</v>
      </c>
      <c r="G1491">
        <v>1</v>
      </c>
      <c r="H1491" s="6" t="s">
        <v>2370</v>
      </c>
      <c r="I1491" t="s">
        <v>8379</v>
      </c>
      <c r="J1491" t="s">
        <v>8377</v>
      </c>
    </row>
    <row r="1492" spans="1:10" x14ac:dyDescent="0.35">
      <c r="A1492" s="6" t="s">
        <v>870</v>
      </c>
      <c r="B1492">
        <v>24.36</v>
      </c>
      <c r="C1492">
        <v>5.57</v>
      </c>
      <c r="D1492" s="6" t="s">
        <v>2370</v>
      </c>
      <c r="E1492" s="6" t="s">
        <v>2370</v>
      </c>
      <c r="F1492" s="6" t="s">
        <v>2370</v>
      </c>
      <c r="G1492">
        <v>0</v>
      </c>
      <c r="H1492" s="6" t="s">
        <v>2370</v>
      </c>
      <c r="I1492" t="s">
        <v>8379</v>
      </c>
      <c r="J1492" t="s">
        <v>8377</v>
      </c>
    </row>
    <row r="1493" spans="1:10" x14ac:dyDescent="0.35">
      <c r="A1493" s="6" t="s">
        <v>869</v>
      </c>
      <c r="B1493">
        <v>32.299999999999997</v>
      </c>
      <c r="C1493">
        <v>5.31</v>
      </c>
      <c r="D1493" s="6" t="s">
        <v>2370</v>
      </c>
      <c r="E1493" s="6" t="s">
        <v>2370</v>
      </c>
      <c r="F1493" s="6" t="s">
        <v>2370</v>
      </c>
      <c r="G1493">
        <v>0</v>
      </c>
      <c r="H1493" s="6" t="s">
        <v>2370</v>
      </c>
      <c r="I1493" t="s">
        <v>8374</v>
      </c>
      <c r="J1493" t="s">
        <v>8377</v>
      </c>
    </row>
    <row r="1494" spans="1:10" x14ac:dyDescent="0.35">
      <c r="A1494" s="6" t="s">
        <v>868</v>
      </c>
      <c r="B1494">
        <v>22.704999999999998</v>
      </c>
      <c r="C1494">
        <v>4.57</v>
      </c>
      <c r="D1494" s="6" t="s">
        <v>2373</v>
      </c>
      <c r="E1494" s="6" t="s">
        <v>2370</v>
      </c>
      <c r="F1494" s="6" t="s">
        <v>2370</v>
      </c>
      <c r="G1494">
        <v>0</v>
      </c>
      <c r="H1494" s="6" t="s">
        <v>2370</v>
      </c>
      <c r="I1494" t="s">
        <v>8379</v>
      </c>
      <c r="J1494" t="s">
        <v>8377</v>
      </c>
    </row>
    <row r="1495" spans="1:10" x14ac:dyDescent="0.35">
      <c r="A1495" s="6" t="s">
        <v>867</v>
      </c>
      <c r="B1495">
        <v>21.79</v>
      </c>
      <c r="C1495">
        <v>8.6999999999999993</v>
      </c>
      <c r="D1495" s="6" t="s">
        <v>2373</v>
      </c>
      <c r="E1495" s="6" t="s">
        <v>2370</v>
      </c>
      <c r="F1495" s="6" t="s">
        <v>2370</v>
      </c>
      <c r="G1495">
        <v>1</v>
      </c>
      <c r="H1495" s="6" t="s">
        <v>2370</v>
      </c>
      <c r="I1495" t="s">
        <v>8379</v>
      </c>
      <c r="J1495" t="s">
        <v>8375</v>
      </c>
    </row>
    <row r="1496" spans="1:10" x14ac:dyDescent="0.35">
      <c r="A1496" s="6" t="s">
        <v>866</v>
      </c>
      <c r="B1496">
        <v>24.52</v>
      </c>
      <c r="C1496">
        <v>4.76</v>
      </c>
      <c r="D1496" s="6" t="s">
        <v>2370</v>
      </c>
      <c r="E1496" s="6" t="s">
        <v>2370</v>
      </c>
      <c r="F1496" s="6" t="s">
        <v>2370</v>
      </c>
      <c r="G1496">
        <v>0</v>
      </c>
      <c r="H1496" s="6" t="s">
        <v>2370</v>
      </c>
      <c r="I1496" t="s">
        <v>8379</v>
      </c>
      <c r="J1496" t="s">
        <v>8377</v>
      </c>
    </row>
    <row r="1497" spans="1:10" x14ac:dyDescent="0.35">
      <c r="A1497" s="6" t="s">
        <v>865</v>
      </c>
      <c r="B1497">
        <v>39.520000000000003</v>
      </c>
      <c r="C1497">
        <v>11.81</v>
      </c>
      <c r="D1497" s="6" t="s">
        <v>2370</v>
      </c>
      <c r="E1497" s="6" t="s">
        <v>2370</v>
      </c>
      <c r="F1497" s="6" t="s">
        <v>2370</v>
      </c>
      <c r="G1497">
        <v>0</v>
      </c>
      <c r="H1497" s="6" t="s">
        <v>2370</v>
      </c>
      <c r="I1497" t="s">
        <v>8374</v>
      </c>
      <c r="J1497" t="s">
        <v>8375</v>
      </c>
    </row>
    <row r="1498" spans="1:10" x14ac:dyDescent="0.35">
      <c r="A1498" s="6" t="s">
        <v>864</v>
      </c>
      <c r="B1498">
        <v>24.49</v>
      </c>
      <c r="C1498">
        <v>4.67</v>
      </c>
      <c r="D1498" s="6" t="s">
        <v>2370</v>
      </c>
      <c r="E1498" s="6" t="s">
        <v>2370</v>
      </c>
      <c r="F1498" s="6" t="s">
        <v>2370</v>
      </c>
      <c r="G1498">
        <v>0</v>
      </c>
      <c r="H1498" s="6" t="s">
        <v>2370</v>
      </c>
      <c r="I1498" t="s">
        <v>8379</v>
      </c>
      <c r="J1498" t="s">
        <v>8377</v>
      </c>
    </row>
    <row r="1499" spans="1:10" x14ac:dyDescent="0.35">
      <c r="A1499" s="6" t="s">
        <v>863</v>
      </c>
      <c r="B1499">
        <v>26.315000000000001</v>
      </c>
      <c r="C1499">
        <v>6.02</v>
      </c>
      <c r="D1499" s="6" t="s">
        <v>2370</v>
      </c>
      <c r="E1499" s="6" t="s">
        <v>2370</v>
      </c>
      <c r="F1499" s="6" t="s">
        <v>2370</v>
      </c>
      <c r="G1499">
        <v>0</v>
      </c>
      <c r="H1499" s="6" t="s">
        <v>2370</v>
      </c>
      <c r="I1499" t="s">
        <v>8378</v>
      </c>
      <c r="J1499" t="s">
        <v>8376</v>
      </c>
    </row>
    <row r="1500" spans="1:10" x14ac:dyDescent="0.35">
      <c r="A1500" s="6" t="s">
        <v>862</v>
      </c>
      <c r="B1500">
        <v>22.58</v>
      </c>
      <c r="C1500">
        <v>7.46</v>
      </c>
      <c r="D1500" s="6" t="s">
        <v>2370</v>
      </c>
      <c r="E1500" s="6" t="s">
        <v>2370</v>
      </c>
      <c r="F1500" s="6" t="s">
        <v>2370</v>
      </c>
      <c r="G1500">
        <v>0</v>
      </c>
      <c r="H1500" s="6" t="s">
        <v>2370</v>
      </c>
      <c r="I1500" t="s">
        <v>8379</v>
      </c>
      <c r="J1500" t="s">
        <v>8375</v>
      </c>
    </row>
    <row r="1501" spans="1:10" x14ac:dyDescent="0.35">
      <c r="A1501" s="6" t="s">
        <v>861</v>
      </c>
      <c r="B1501">
        <v>19.475000000000001</v>
      </c>
      <c r="C1501">
        <v>4.74</v>
      </c>
      <c r="D1501" s="6" t="s">
        <v>2370</v>
      </c>
      <c r="E1501" s="6" t="s">
        <v>2370</v>
      </c>
      <c r="F1501" s="6" t="s">
        <v>2370</v>
      </c>
      <c r="G1501">
        <v>1</v>
      </c>
      <c r="H1501" s="6" t="s">
        <v>2370</v>
      </c>
      <c r="I1501" t="s">
        <v>8379</v>
      </c>
      <c r="J1501" t="s">
        <v>8377</v>
      </c>
    </row>
    <row r="1502" spans="1:10" x14ac:dyDescent="0.35">
      <c r="A1502" s="6" t="s">
        <v>860</v>
      </c>
      <c r="B1502">
        <v>26.33</v>
      </c>
      <c r="C1502">
        <v>4.79</v>
      </c>
      <c r="D1502" s="6" t="s">
        <v>2370</v>
      </c>
      <c r="E1502" s="6" t="s">
        <v>2370</v>
      </c>
      <c r="F1502" s="6" t="s">
        <v>2370</v>
      </c>
      <c r="G1502">
        <v>0</v>
      </c>
      <c r="H1502" s="6" t="s">
        <v>2370</v>
      </c>
      <c r="I1502" t="s">
        <v>8378</v>
      </c>
      <c r="J1502" t="s">
        <v>8377</v>
      </c>
    </row>
    <row r="1503" spans="1:10" x14ac:dyDescent="0.35">
      <c r="A1503" s="6" t="s">
        <v>859</v>
      </c>
      <c r="B1503">
        <v>17.29</v>
      </c>
      <c r="C1503">
        <v>5.35</v>
      </c>
      <c r="D1503" s="6" t="s">
        <v>2373</v>
      </c>
      <c r="E1503" s="6" t="s">
        <v>2370</v>
      </c>
      <c r="F1503" s="6" t="s">
        <v>2370</v>
      </c>
      <c r="G1503">
        <v>0</v>
      </c>
      <c r="H1503" s="6" t="s">
        <v>2370</v>
      </c>
      <c r="I1503" t="s">
        <v>8380</v>
      </c>
      <c r="J1503" t="s">
        <v>8377</v>
      </c>
    </row>
    <row r="1504" spans="1:10" x14ac:dyDescent="0.35">
      <c r="A1504" s="6" t="s">
        <v>858</v>
      </c>
      <c r="B1504">
        <v>42.88</v>
      </c>
      <c r="C1504">
        <v>4.87</v>
      </c>
      <c r="D1504" s="6" t="s">
        <v>2370</v>
      </c>
      <c r="E1504" s="6" t="s">
        <v>2372</v>
      </c>
      <c r="F1504" s="6" t="s">
        <v>2370</v>
      </c>
      <c r="G1504">
        <v>1</v>
      </c>
      <c r="H1504" s="6" t="s">
        <v>2370</v>
      </c>
      <c r="I1504" t="s">
        <v>8374</v>
      </c>
      <c r="J1504" t="s">
        <v>8377</v>
      </c>
    </row>
    <row r="1505" spans="1:10" x14ac:dyDescent="0.35">
      <c r="A1505" s="6" t="s">
        <v>857</v>
      </c>
      <c r="B1505">
        <v>32.200000000000003</v>
      </c>
      <c r="C1505">
        <v>10.09</v>
      </c>
      <c r="D1505" s="6" t="s">
        <v>2373</v>
      </c>
      <c r="E1505" s="6" t="s">
        <v>2370</v>
      </c>
      <c r="F1505" s="6" t="s">
        <v>2370</v>
      </c>
      <c r="G1505">
        <v>0</v>
      </c>
      <c r="H1505" s="6" t="s">
        <v>2370</v>
      </c>
      <c r="I1505" t="s">
        <v>8374</v>
      </c>
      <c r="J1505" t="s">
        <v>8375</v>
      </c>
    </row>
    <row r="1506" spans="1:10" x14ac:dyDescent="0.35">
      <c r="A1506" s="6" t="s">
        <v>856</v>
      </c>
      <c r="B1506">
        <v>18.75</v>
      </c>
      <c r="C1506">
        <v>5.47</v>
      </c>
      <c r="D1506" s="6" t="s">
        <v>2373</v>
      </c>
      <c r="E1506" s="6" t="s">
        <v>2370</v>
      </c>
      <c r="F1506" s="6" t="s">
        <v>2373</v>
      </c>
      <c r="G1506">
        <v>1</v>
      </c>
      <c r="H1506" s="6" t="s">
        <v>2370</v>
      </c>
      <c r="I1506" t="s">
        <v>8379</v>
      </c>
      <c r="J1506" t="s">
        <v>8377</v>
      </c>
    </row>
    <row r="1507" spans="1:10" x14ac:dyDescent="0.35">
      <c r="A1507" s="6" t="s">
        <v>855</v>
      </c>
      <c r="B1507">
        <v>22.36</v>
      </c>
      <c r="C1507">
        <v>8.6</v>
      </c>
      <c r="D1507" s="6" t="s">
        <v>2370</v>
      </c>
      <c r="E1507" s="6" t="s">
        <v>2370</v>
      </c>
      <c r="F1507" s="6" t="s">
        <v>2370</v>
      </c>
      <c r="G1507">
        <v>0</v>
      </c>
      <c r="H1507" s="6" t="s">
        <v>2370</v>
      </c>
      <c r="I1507" t="s">
        <v>8379</v>
      </c>
      <c r="J1507" t="s">
        <v>8375</v>
      </c>
    </row>
    <row r="1508" spans="1:10" x14ac:dyDescent="0.35">
      <c r="A1508" s="6" t="s">
        <v>854</v>
      </c>
      <c r="B1508">
        <v>23.94</v>
      </c>
      <c r="C1508">
        <v>10.74</v>
      </c>
      <c r="D1508" s="6" t="s">
        <v>2373</v>
      </c>
      <c r="E1508" s="6" t="s">
        <v>2370</v>
      </c>
      <c r="F1508" s="6" t="s">
        <v>2370</v>
      </c>
      <c r="G1508">
        <v>0</v>
      </c>
      <c r="H1508" s="6" t="s">
        <v>2370</v>
      </c>
      <c r="I1508" t="s">
        <v>8379</v>
      </c>
      <c r="J1508" t="s">
        <v>8375</v>
      </c>
    </row>
    <row r="1509" spans="1:10" x14ac:dyDescent="0.35">
      <c r="A1509" s="6" t="s">
        <v>853</v>
      </c>
      <c r="B1509">
        <v>30.1</v>
      </c>
      <c r="C1509">
        <v>4.3899999999999997</v>
      </c>
      <c r="D1509" s="6" t="s">
        <v>2370</v>
      </c>
      <c r="E1509" s="6" t="s">
        <v>2370</v>
      </c>
      <c r="F1509" s="6" t="s">
        <v>2373</v>
      </c>
      <c r="G1509">
        <v>1</v>
      </c>
      <c r="H1509" s="6" t="s">
        <v>2370</v>
      </c>
      <c r="I1509" t="s">
        <v>8374</v>
      </c>
      <c r="J1509" t="s">
        <v>8377</v>
      </c>
    </row>
    <row r="1510" spans="1:10" x14ac:dyDescent="0.35">
      <c r="A1510" s="6" t="s">
        <v>852</v>
      </c>
      <c r="B1510">
        <v>21.93</v>
      </c>
      <c r="C1510">
        <v>6.3</v>
      </c>
      <c r="D1510" s="6" t="s">
        <v>2370</v>
      </c>
      <c r="E1510" s="6" t="s">
        <v>2370</v>
      </c>
      <c r="F1510" s="6" t="s">
        <v>2370</v>
      </c>
      <c r="G1510">
        <v>0</v>
      </c>
      <c r="H1510" s="6" t="s">
        <v>2370</v>
      </c>
      <c r="I1510" t="s">
        <v>8379</v>
      </c>
      <c r="J1510" t="s">
        <v>8376</v>
      </c>
    </row>
    <row r="1511" spans="1:10" x14ac:dyDescent="0.35">
      <c r="A1511" s="6" t="s">
        <v>851</v>
      </c>
      <c r="B1511">
        <v>39.75</v>
      </c>
      <c r="C1511">
        <v>5.41</v>
      </c>
      <c r="D1511" s="6" t="s">
        <v>2370</v>
      </c>
      <c r="E1511" s="6" t="s">
        <v>2372</v>
      </c>
      <c r="F1511" s="6" t="s">
        <v>2370</v>
      </c>
      <c r="G1511">
        <v>1</v>
      </c>
      <c r="H1511" s="6" t="s">
        <v>2370</v>
      </c>
      <c r="I1511" t="s">
        <v>8374</v>
      </c>
      <c r="J1511" t="s">
        <v>8377</v>
      </c>
    </row>
    <row r="1512" spans="1:10" x14ac:dyDescent="0.35">
      <c r="A1512" s="6" t="s">
        <v>850</v>
      </c>
      <c r="B1512">
        <v>26.03</v>
      </c>
      <c r="C1512">
        <v>4.47</v>
      </c>
      <c r="D1512" s="6" t="s">
        <v>2370</v>
      </c>
      <c r="E1512" s="6" t="s">
        <v>2370</v>
      </c>
      <c r="F1512" s="6" t="s">
        <v>2373</v>
      </c>
      <c r="G1512">
        <v>1</v>
      </c>
      <c r="H1512" s="6" t="s">
        <v>2370</v>
      </c>
      <c r="I1512" t="s">
        <v>8378</v>
      </c>
      <c r="J1512" t="s">
        <v>8377</v>
      </c>
    </row>
    <row r="1513" spans="1:10" x14ac:dyDescent="0.35">
      <c r="A1513" s="6" t="s">
        <v>849</v>
      </c>
      <c r="B1513">
        <v>34.51</v>
      </c>
      <c r="C1513">
        <v>6.26</v>
      </c>
      <c r="D1513" s="6" t="s">
        <v>2370</v>
      </c>
      <c r="E1513" s="6" t="s">
        <v>2370</v>
      </c>
      <c r="F1513" s="6" t="s">
        <v>2370</v>
      </c>
      <c r="G1513">
        <v>0</v>
      </c>
      <c r="H1513" s="6" t="s">
        <v>2370</v>
      </c>
      <c r="I1513" t="s">
        <v>8374</v>
      </c>
      <c r="J1513" t="s">
        <v>8376</v>
      </c>
    </row>
    <row r="1514" spans="1:10" x14ac:dyDescent="0.35">
      <c r="A1514" s="6" t="s">
        <v>848</v>
      </c>
      <c r="B1514">
        <v>19.32</v>
      </c>
      <c r="C1514">
        <v>11.58</v>
      </c>
      <c r="D1514" s="6" t="s">
        <v>2373</v>
      </c>
      <c r="E1514" s="6" t="s">
        <v>2370</v>
      </c>
      <c r="F1514" s="6" t="s">
        <v>2370</v>
      </c>
      <c r="G1514">
        <v>1</v>
      </c>
      <c r="H1514" s="6" t="s">
        <v>2370</v>
      </c>
      <c r="I1514" t="s">
        <v>8379</v>
      </c>
      <c r="J1514" t="s">
        <v>8375</v>
      </c>
    </row>
    <row r="1515" spans="1:10" x14ac:dyDescent="0.35">
      <c r="A1515" s="6" t="s">
        <v>847</v>
      </c>
      <c r="B1515">
        <v>28.5</v>
      </c>
      <c r="C1515">
        <v>4.3600000000000003</v>
      </c>
      <c r="D1515" s="6" t="s">
        <v>2370</v>
      </c>
      <c r="E1515" s="6" t="s">
        <v>2370</v>
      </c>
      <c r="F1515" s="6" t="s">
        <v>2370</v>
      </c>
      <c r="G1515">
        <v>0</v>
      </c>
      <c r="H1515" s="6" t="s">
        <v>2370</v>
      </c>
      <c r="I1515" t="s">
        <v>8378</v>
      </c>
      <c r="J1515" t="s">
        <v>8377</v>
      </c>
    </row>
    <row r="1516" spans="1:10" x14ac:dyDescent="0.35">
      <c r="A1516" s="6" t="s">
        <v>846</v>
      </c>
      <c r="B1516">
        <v>30.875</v>
      </c>
      <c r="C1516">
        <v>4.1399999999999997</v>
      </c>
      <c r="D1516" s="6" t="s">
        <v>2373</v>
      </c>
      <c r="E1516" s="6" t="s">
        <v>2370</v>
      </c>
      <c r="F1516" s="6" t="s">
        <v>2370</v>
      </c>
      <c r="G1516">
        <v>0</v>
      </c>
      <c r="H1516" s="6" t="s">
        <v>2370</v>
      </c>
      <c r="I1516" t="s">
        <v>8374</v>
      </c>
      <c r="J1516" t="s">
        <v>8377</v>
      </c>
    </row>
    <row r="1517" spans="1:10" x14ac:dyDescent="0.35">
      <c r="A1517" s="6" t="s">
        <v>845</v>
      </c>
      <c r="B1517">
        <v>24.02</v>
      </c>
      <c r="C1517">
        <v>4.38</v>
      </c>
      <c r="D1517" s="6" t="s">
        <v>2370</v>
      </c>
      <c r="E1517" s="6" t="s">
        <v>2370</v>
      </c>
      <c r="F1517" s="6" t="s">
        <v>2370</v>
      </c>
      <c r="G1517">
        <v>0</v>
      </c>
      <c r="H1517" s="6" t="s">
        <v>2370</v>
      </c>
      <c r="I1517" t="s">
        <v>8379</v>
      </c>
      <c r="J1517" t="s">
        <v>8377</v>
      </c>
    </row>
    <row r="1518" spans="1:10" x14ac:dyDescent="0.35">
      <c r="A1518" s="6" t="s">
        <v>844</v>
      </c>
      <c r="B1518">
        <v>36.08</v>
      </c>
      <c r="C1518">
        <v>11.61</v>
      </c>
      <c r="D1518" s="6" t="s">
        <v>2373</v>
      </c>
      <c r="E1518" s="6" t="s">
        <v>2370</v>
      </c>
      <c r="F1518" s="6" t="s">
        <v>2370</v>
      </c>
      <c r="G1518">
        <v>0</v>
      </c>
      <c r="H1518" s="6" t="s">
        <v>2370</v>
      </c>
      <c r="I1518" t="s">
        <v>8374</v>
      </c>
      <c r="J1518" t="s">
        <v>8375</v>
      </c>
    </row>
    <row r="1519" spans="1:10" x14ac:dyDescent="0.35">
      <c r="A1519" s="6" t="s">
        <v>843</v>
      </c>
      <c r="B1519">
        <v>32.200000000000003</v>
      </c>
      <c r="C1519">
        <v>10.59</v>
      </c>
      <c r="D1519" s="6" t="s">
        <v>2373</v>
      </c>
      <c r="E1519" s="6" t="s">
        <v>2370</v>
      </c>
      <c r="F1519" s="6" t="s">
        <v>2370</v>
      </c>
      <c r="G1519">
        <v>0</v>
      </c>
      <c r="H1519" s="6" t="s">
        <v>2370</v>
      </c>
      <c r="I1519" t="s">
        <v>8374</v>
      </c>
      <c r="J1519" t="s">
        <v>8375</v>
      </c>
    </row>
    <row r="1520" spans="1:10" x14ac:dyDescent="0.35">
      <c r="A1520" s="6" t="s">
        <v>842</v>
      </c>
      <c r="B1520">
        <v>28.05</v>
      </c>
      <c r="C1520">
        <v>11.85</v>
      </c>
      <c r="D1520" s="6" t="s">
        <v>2373</v>
      </c>
      <c r="E1520" s="6" t="s">
        <v>2370</v>
      </c>
      <c r="F1520" s="6" t="s">
        <v>2370</v>
      </c>
      <c r="G1520">
        <v>0</v>
      </c>
      <c r="H1520" s="6" t="s">
        <v>2370</v>
      </c>
      <c r="I1520" t="s">
        <v>8378</v>
      </c>
      <c r="J1520" t="s">
        <v>8375</v>
      </c>
    </row>
    <row r="1521" spans="1:10" x14ac:dyDescent="0.35">
      <c r="A1521" s="6" t="s">
        <v>841</v>
      </c>
      <c r="B1521">
        <v>19</v>
      </c>
      <c r="C1521">
        <v>5.46</v>
      </c>
      <c r="D1521" s="6" t="s">
        <v>2373</v>
      </c>
      <c r="E1521" s="6" t="s">
        <v>2370</v>
      </c>
      <c r="F1521" s="6" t="s">
        <v>2370</v>
      </c>
      <c r="G1521">
        <v>1</v>
      </c>
      <c r="H1521" s="6" t="s">
        <v>2370</v>
      </c>
      <c r="I1521" t="s">
        <v>8379</v>
      </c>
      <c r="J1521" t="s">
        <v>8377</v>
      </c>
    </row>
    <row r="1522" spans="1:10" x14ac:dyDescent="0.35">
      <c r="A1522" s="6" t="s">
        <v>840</v>
      </c>
      <c r="B1522">
        <v>16.13</v>
      </c>
      <c r="C1522">
        <v>4.54</v>
      </c>
      <c r="D1522" s="6" t="s">
        <v>2373</v>
      </c>
      <c r="E1522" s="6" t="s">
        <v>2370</v>
      </c>
      <c r="F1522" s="6" t="s">
        <v>2370</v>
      </c>
      <c r="G1522">
        <v>2</v>
      </c>
      <c r="H1522" s="6" t="s">
        <v>2370</v>
      </c>
      <c r="I1522" t="s">
        <v>8380</v>
      </c>
      <c r="J1522" t="s">
        <v>8377</v>
      </c>
    </row>
    <row r="1523" spans="1:10" x14ac:dyDescent="0.35">
      <c r="A1523" s="6" t="s">
        <v>839</v>
      </c>
      <c r="B1523">
        <v>18.77</v>
      </c>
      <c r="C1523">
        <v>11.98</v>
      </c>
      <c r="D1523" s="6" t="s">
        <v>2373</v>
      </c>
      <c r="E1523" s="6" t="s">
        <v>2370</v>
      </c>
      <c r="F1523" s="6" t="s">
        <v>2370</v>
      </c>
      <c r="G1523">
        <v>2</v>
      </c>
      <c r="H1523" s="6" t="s">
        <v>2370</v>
      </c>
      <c r="I1523" t="s">
        <v>8379</v>
      </c>
      <c r="J1523" t="s">
        <v>8375</v>
      </c>
    </row>
    <row r="1524" spans="1:10" x14ac:dyDescent="0.35">
      <c r="A1524" s="6" t="s">
        <v>838</v>
      </c>
      <c r="B1524">
        <v>28.88</v>
      </c>
      <c r="C1524">
        <v>6.59</v>
      </c>
      <c r="D1524" s="6" t="s">
        <v>2373</v>
      </c>
      <c r="E1524" s="6" t="s">
        <v>2370</v>
      </c>
      <c r="F1524" s="6" t="s">
        <v>2370</v>
      </c>
      <c r="G1524">
        <v>1</v>
      </c>
      <c r="H1524" s="6" t="s">
        <v>2370</v>
      </c>
      <c r="I1524" t="s">
        <v>8378</v>
      </c>
      <c r="J1524" t="s">
        <v>8375</v>
      </c>
    </row>
    <row r="1525" spans="1:10" x14ac:dyDescent="0.35">
      <c r="A1525" s="6" t="s">
        <v>837</v>
      </c>
      <c r="B1525">
        <v>27.55</v>
      </c>
      <c r="C1525">
        <v>10.83</v>
      </c>
      <c r="D1525" s="6" t="s">
        <v>2373</v>
      </c>
      <c r="E1525" s="6" t="s">
        <v>2370</v>
      </c>
      <c r="F1525" s="6" t="s">
        <v>2370</v>
      </c>
      <c r="G1525">
        <v>1</v>
      </c>
      <c r="H1525" s="6" t="s">
        <v>2370</v>
      </c>
      <c r="I1525" t="s">
        <v>8378</v>
      </c>
      <c r="J1525" t="s">
        <v>8375</v>
      </c>
    </row>
    <row r="1526" spans="1:10" x14ac:dyDescent="0.35">
      <c r="A1526" s="6" t="s">
        <v>836</v>
      </c>
      <c r="B1526">
        <v>15.6</v>
      </c>
      <c r="C1526">
        <v>8.6</v>
      </c>
      <c r="D1526" s="6" t="s">
        <v>2370</v>
      </c>
      <c r="E1526" s="6" t="s">
        <v>2370</v>
      </c>
      <c r="F1526" s="6" t="s">
        <v>2370</v>
      </c>
      <c r="G1526">
        <v>0</v>
      </c>
      <c r="H1526" s="6" t="s">
        <v>2370</v>
      </c>
      <c r="I1526" t="s">
        <v>8380</v>
      </c>
      <c r="J1526" t="s">
        <v>8375</v>
      </c>
    </row>
    <row r="1527" spans="1:10" x14ac:dyDescent="0.35">
      <c r="A1527" s="6" t="s">
        <v>835</v>
      </c>
      <c r="B1527">
        <v>21.99</v>
      </c>
      <c r="C1527">
        <v>11.17</v>
      </c>
      <c r="D1527" s="6" t="s">
        <v>2370</v>
      </c>
      <c r="E1527" s="6" t="s">
        <v>2370</v>
      </c>
      <c r="F1527" s="6" t="s">
        <v>2370</v>
      </c>
      <c r="G1527">
        <v>0</v>
      </c>
      <c r="H1527" s="6" t="s">
        <v>2370</v>
      </c>
      <c r="I1527" t="s">
        <v>8379</v>
      </c>
      <c r="J1527" t="s">
        <v>8375</v>
      </c>
    </row>
    <row r="1528" spans="1:10" x14ac:dyDescent="0.35">
      <c r="A1528" s="6" t="s">
        <v>834</v>
      </c>
      <c r="B1528">
        <v>34.85</v>
      </c>
      <c r="C1528">
        <v>5.75</v>
      </c>
      <c r="D1528" s="6" t="s">
        <v>2370</v>
      </c>
      <c r="E1528" s="6" t="s">
        <v>2370</v>
      </c>
      <c r="F1528" s="6" t="s">
        <v>2370</v>
      </c>
      <c r="G1528">
        <v>0</v>
      </c>
      <c r="H1528" s="6" t="s">
        <v>2370</v>
      </c>
      <c r="I1528" t="s">
        <v>8374</v>
      </c>
      <c r="J1528" t="s">
        <v>8376</v>
      </c>
    </row>
    <row r="1529" spans="1:10" x14ac:dyDescent="0.35">
      <c r="A1529" s="6" t="s">
        <v>833</v>
      </c>
      <c r="B1529">
        <v>24.51</v>
      </c>
      <c r="C1529">
        <v>4.83</v>
      </c>
      <c r="D1529" s="6" t="s">
        <v>2373</v>
      </c>
      <c r="E1529" s="6" t="s">
        <v>2370</v>
      </c>
      <c r="F1529" s="6" t="s">
        <v>2373</v>
      </c>
      <c r="G1529">
        <v>1</v>
      </c>
      <c r="H1529" s="6" t="s">
        <v>2370</v>
      </c>
      <c r="I1529" t="s">
        <v>8379</v>
      </c>
      <c r="J1529" t="s">
        <v>8377</v>
      </c>
    </row>
    <row r="1530" spans="1:10" x14ac:dyDescent="0.35">
      <c r="A1530" s="6" t="s">
        <v>832</v>
      </c>
      <c r="B1530">
        <v>19.399999999999999</v>
      </c>
      <c r="C1530">
        <v>11.93</v>
      </c>
      <c r="D1530" s="6" t="s">
        <v>2370</v>
      </c>
      <c r="E1530" s="6" t="s">
        <v>2370</v>
      </c>
      <c r="F1530" s="6" t="s">
        <v>2370</v>
      </c>
      <c r="G1530">
        <v>0</v>
      </c>
      <c r="H1530" s="6" t="s">
        <v>2370</v>
      </c>
      <c r="I1530" t="s">
        <v>8379</v>
      </c>
      <c r="J1530" t="s">
        <v>8375</v>
      </c>
    </row>
    <row r="1531" spans="1:10" x14ac:dyDescent="0.35">
      <c r="A1531" s="6" t="s">
        <v>831</v>
      </c>
      <c r="B1531">
        <v>15.1</v>
      </c>
      <c r="C1531">
        <v>8.41</v>
      </c>
      <c r="D1531" s="6" t="s">
        <v>2370</v>
      </c>
      <c r="E1531" s="6" t="s">
        <v>2370</v>
      </c>
      <c r="F1531" s="6" t="s">
        <v>2370</v>
      </c>
      <c r="G1531">
        <v>0</v>
      </c>
      <c r="H1531" s="6" t="s">
        <v>2370</v>
      </c>
      <c r="I1531" t="s">
        <v>8380</v>
      </c>
      <c r="J1531" t="s">
        <v>8375</v>
      </c>
    </row>
    <row r="1532" spans="1:10" x14ac:dyDescent="0.35">
      <c r="A1532" s="6" t="s">
        <v>830</v>
      </c>
      <c r="B1532">
        <v>23.37</v>
      </c>
      <c r="C1532">
        <v>5.59</v>
      </c>
      <c r="D1532" s="6" t="s">
        <v>2373</v>
      </c>
      <c r="E1532" s="6" t="s">
        <v>2370</v>
      </c>
      <c r="F1532" s="6" t="s">
        <v>2370</v>
      </c>
      <c r="G1532">
        <v>0</v>
      </c>
      <c r="H1532" s="6" t="s">
        <v>2370</v>
      </c>
      <c r="I1532" t="s">
        <v>8379</v>
      </c>
      <c r="J1532" t="s">
        <v>8377</v>
      </c>
    </row>
    <row r="1533" spans="1:10" x14ac:dyDescent="0.35">
      <c r="A1533" s="6" t="s">
        <v>829</v>
      </c>
      <c r="B1533">
        <v>42.4</v>
      </c>
      <c r="C1533">
        <v>4.0599999999999996</v>
      </c>
      <c r="D1533" s="6" t="s">
        <v>2370</v>
      </c>
      <c r="E1533" s="6" t="s">
        <v>2370</v>
      </c>
      <c r="F1533" s="6" t="s">
        <v>2370</v>
      </c>
      <c r="G1533">
        <v>0</v>
      </c>
      <c r="H1533" s="6" t="s">
        <v>2370</v>
      </c>
      <c r="I1533" t="s">
        <v>8374</v>
      </c>
      <c r="J1533" t="s">
        <v>8377</v>
      </c>
    </row>
    <row r="1534" spans="1:10" x14ac:dyDescent="0.35">
      <c r="A1534" s="6" t="s">
        <v>828</v>
      </c>
      <c r="B1534">
        <v>28.405000000000001</v>
      </c>
      <c r="C1534">
        <v>7.02</v>
      </c>
      <c r="D1534" s="6" t="s">
        <v>2373</v>
      </c>
      <c r="E1534" s="6" t="s">
        <v>2370</v>
      </c>
      <c r="F1534" s="6" t="s">
        <v>2370</v>
      </c>
      <c r="G1534">
        <v>0</v>
      </c>
      <c r="H1534" s="6" t="s">
        <v>2370</v>
      </c>
      <c r="I1534" t="s">
        <v>8378</v>
      </c>
      <c r="J1534" t="s">
        <v>8375</v>
      </c>
    </row>
    <row r="1535" spans="1:10" x14ac:dyDescent="0.35">
      <c r="A1535" s="6" t="s">
        <v>827</v>
      </c>
      <c r="B1535">
        <v>23.4</v>
      </c>
      <c r="C1535">
        <v>4.47</v>
      </c>
      <c r="D1535" s="6" t="s">
        <v>2370</v>
      </c>
      <c r="E1535" s="6" t="s">
        <v>2370</v>
      </c>
      <c r="F1535" s="6" t="s">
        <v>2370</v>
      </c>
      <c r="G1535">
        <v>0</v>
      </c>
      <c r="H1535" s="6" t="s">
        <v>2370</v>
      </c>
      <c r="I1535" t="s">
        <v>8379</v>
      </c>
      <c r="J1535" t="s">
        <v>8377</v>
      </c>
    </row>
    <row r="1536" spans="1:10" x14ac:dyDescent="0.35">
      <c r="A1536" s="6" t="s">
        <v>826</v>
      </c>
      <c r="B1536">
        <v>33.44</v>
      </c>
      <c r="C1536">
        <v>4.54</v>
      </c>
      <c r="D1536" s="6" t="s">
        <v>2370</v>
      </c>
      <c r="E1536" s="6" t="s">
        <v>2370</v>
      </c>
      <c r="F1536" s="6" t="s">
        <v>2370</v>
      </c>
      <c r="G1536">
        <v>0</v>
      </c>
      <c r="H1536" s="6" t="s">
        <v>2370</v>
      </c>
      <c r="I1536" t="s">
        <v>8374</v>
      </c>
      <c r="J1536" t="s">
        <v>8377</v>
      </c>
    </row>
    <row r="1537" spans="1:10" x14ac:dyDescent="0.35">
      <c r="A1537" s="6" t="s">
        <v>825</v>
      </c>
      <c r="B1537">
        <v>21.12</v>
      </c>
      <c r="C1537">
        <v>4.99</v>
      </c>
      <c r="D1537" s="6" t="s">
        <v>2370</v>
      </c>
      <c r="E1537" s="6" t="s">
        <v>2370</v>
      </c>
      <c r="F1537" s="6" t="s">
        <v>2370</v>
      </c>
      <c r="G1537">
        <v>1</v>
      </c>
      <c r="H1537" s="6" t="s">
        <v>2370</v>
      </c>
      <c r="I1537" t="s">
        <v>8379</v>
      </c>
      <c r="J1537" t="s">
        <v>8377</v>
      </c>
    </row>
    <row r="1538" spans="1:10" x14ac:dyDescent="0.35">
      <c r="A1538" s="6" t="s">
        <v>824</v>
      </c>
      <c r="B1538">
        <v>18.48</v>
      </c>
      <c r="C1538">
        <v>10.84</v>
      </c>
      <c r="D1538" s="6" t="s">
        <v>2373</v>
      </c>
      <c r="E1538" s="6" t="s">
        <v>2370</v>
      </c>
      <c r="F1538" s="6" t="s">
        <v>2370</v>
      </c>
      <c r="G1538">
        <v>2</v>
      </c>
      <c r="H1538" s="6" t="s">
        <v>2370</v>
      </c>
      <c r="I1538" t="s">
        <v>8380</v>
      </c>
      <c r="J1538" t="s">
        <v>8375</v>
      </c>
    </row>
    <row r="1539" spans="1:10" x14ac:dyDescent="0.35">
      <c r="A1539" s="6" t="s">
        <v>823</v>
      </c>
      <c r="B1539">
        <v>16.815000000000001</v>
      </c>
      <c r="C1539">
        <v>5.63</v>
      </c>
      <c r="D1539" s="6" t="s">
        <v>2370</v>
      </c>
      <c r="E1539" s="6" t="s">
        <v>2370</v>
      </c>
      <c r="F1539" s="6" t="s">
        <v>2370</v>
      </c>
      <c r="G1539">
        <v>1</v>
      </c>
      <c r="H1539" s="6" t="s">
        <v>2370</v>
      </c>
      <c r="I1539" t="s">
        <v>8380</v>
      </c>
      <c r="J1539" t="s">
        <v>8377</v>
      </c>
    </row>
    <row r="1540" spans="1:10" x14ac:dyDescent="0.35">
      <c r="A1540" s="6" t="s">
        <v>822</v>
      </c>
      <c r="B1540">
        <v>26.72</v>
      </c>
      <c r="C1540">
        <v>4.1399999999999997</v>
      </c>
      <c r="D1540" s="6" t="s">
        <v>2370</v>
      </c>
      <c r="E1540" s="6" t="s">
        <v>2370</v>
      </c>
      <c r="F1540" s="6" t="s">
        <v>2370</v>
      </c>
      <c r="G1540">
        <v>0</v>
      </c>
      <c r="H1540" s="6" t="s">
        <v>2370</v>
      </c>
      <c r="I1540" t="s">
        <v>8378</v>
      </c>
      <c r="J1540" t="s">
        <v>8377</v>
      </c>
    </row>
    <row r="1541" spans="1:10" x14ac:dyDescent="0.35">
      <c r="A1541" s="6" t="s">
        <v>821</v>
      </c>
      <c r="B1541">
        <v>41.42</v>
      </c>
      <c r="C1541">
        <v>5.17</v>
      </c>
      <c r="D1541" s="6" t="s">
        <v>2370</v>
      </c>
      <c r="E1541" s="6" t="s">
        <v>2370</v>
      </c>
      <c r="F1541" s="6" t="s">
        <v>2373</v>
      </c>
      <c r="G1541">
        <v>1</v>
      </c>
      <c r="H1541" s="6" t="s">
        <v>2370</v>
      </c>
      <c r="I1541" t="s">
        <v>8374</v>
      </c>
      <c r="J1541" t="s">
        <v>8377</v>
      </c>
    </row>
    <row r="1542" spans="1:10" x14ac:dyDescent="0.35">
      <c r="A1542" s="6" t="s">
        <v>820</v>
      </c>
      <c r="B1542">
        <v>20.69</v>
      </c>
      <c r="C1542">
        <v>6.93</v>
      </c>
      <c r="D1542" s="6" t="s">
        <v>2370</v>
      </c>
      <c r="E1542" s="6" t="s">
        <v>2370</v>
      </c>
      <c r="F1542" s="6" t="s">
        <v>2370</v>
      </c>
      <c r="G1542">
        <v>2</v>
      </c>
      <c r="H1542" s="6" t="s">
        <v>2370</v>
      </c>
      <c r="I1542" t="s">
        <v>8379</v>
      </c>
      <c r="J1542" t="s">
        <v>8375</v>
      </c>
    </row>
    <row r="1543" spans="1:10" x14ac:dyDescent="0.35">
      <c r="A1543" s="6" t="s">
        <v>819</v>
      </c>
      <c r="B1543">
        <v>41.23</v>
      </c>
      <c r="C1543">
        <v>4.24</v>
      </c>
      <c r="D1543" s="6" t="s">
        <v>2370</v>
      </c>
      <c r="E1543" s="6" t="s">
        <v>2370</v>
      </c>
      <c r="F1543" s="6" t="s">
        <v>2370</v>
      </c>
      <c r="G1543">
        <v>0</v>
      </c>
      <c r="H1543" s="6" t="s">
        <v>2370</v>
      </c>
      <c r="I1543" t="s">
        <v>8374</v>
      </c>
      <c r="J1543" t="s">
        <v>8377</v>
      </c>
    </row>
    <row r="1544" spans="1:10" x14ac:dyDescent="0.35">
      <c r="A1544" s="6" t="s">
        <v>818</v>
      </c>
      <c r="B1544">
        <v>29.9</v>
      </c>
      <c r="C1544">
        <v>5.91</v>
      </c>
      <c r="D1544" s="6" t="s">
        <v>2370</v>
      </c>
      <c r="E1544" s="6" t="s">
        <v>2370</v>
      </c>
      <c r="F1544" s="6" t="s">
        <v>2370</v>
      </c>
      <c r="G1544">
        <v>0</v>
      </c>
      <c r="H1544" s="6" t="s">
        <v>2370</v>
      </c>
      <c r="I1544" t="s">
        <v>8378</v>
      </c>
      <c r="J1544" t="s">
        <v>8376</v>
      </c>
    </row>
    <row r="1545" spans="1:10" x14ac:dyDescent="0.35">
      <c r="A1545" s="6" t="s">
        <v>817</v>
      </c>
      <c r="B1545">
        <v>34.104999999999997</v>
      </c>
      <c r="C1545">
        <v>5.93</v>
      </c>
      <c r="D1545" s="6" t="s">
        <v>2370</v>
      </c>
      <c r="E1545" s="6" t="s">
        <v>2370</v>
      </c>
      <c r="F1545" s="6" t="s">
        <v>2370</v>
      </c>
      <c r="G1545">
        <v>0</v>
      </c>
      <c r="H1545" s="6" t="s">
        <v>2370</v>
      </c>
      <c r="I1545" t="s">
        <v>8374</v>
      </c>
      <c r="J1545" t="s">
        <v>8376</v>
      </c>
    </row>
    <row r="1546" spans="1:10" x14ac:dyDescent="0.35">
      <c r="A1546" s="6" t="s">
        <v>816</v>
      </c>
      <c r="B1546">
        <v>24.97</v>
      </c>
      <c r="C1546">
        <v>5.66</v>
      </c>
      <c r="D1546" s="6" t="s">
        <v>2370</v>
      </c>
      <c r="E1546" s="6" t="s">
        <v>2370</v>
      </c>
      <c r="F1546" s="6" t="s">
        <v>2370</v>
      </c>
      <c r="G1546">
        <v>0</v>
      </c>
      <c r="H1546" s="6" t="s">
        <v>2370</v>
      </c>
      <c r="I1546" t="s">
        <v>8379</v>
      </c>
      <c r="J1546" t="s">
        <v>8377</v>
      </c>
    </row>
    <row r="1547" spans="1:10" x14ac:dyDescent="0.35">
      <c r="A1547" s="6" t="s">
        <v>815</v>
      </c>
      <c r="B1547">
        <v>34.799999999999997</v>
      </c>
      <c r="C1547">
        <v>4.1900000000000004</v>
      </c>
      <c r="D1547" s="6" t="s">
        <v>2370</v>
      </c>
      <c r="E1547" s="6" t="s">
        <v>2370</v>
      </c>
      <c r="F1547" s="6" t="s">
        <v>2370</v>
      </c>
      <c r="G1547">
        <v>1</v>
      </c>
      <c r="H1547" s="6" t="s">
        <v>2370</v>
      </c>
      <c r="I1547" t="s">
        <v>8374</v>
      </c>
      <c r="J1547" t="s">
        <v>8377</v>
      </c>
    </row>
    <row r="1548" spans="1:10" x14ac:dyDescent="0.35">
      <c r="A1548" s="6" t="s">
        <v>814</v>
      </c>
      <c r="B1548">
        <v>32.965000000000003</v>
      </c>
      <c r="C1548">
        <v>9.2100000000000009</v>
      </c>
      <c r="D1548" s="6" t="s">
        <v>2373</v>
      </c>
      <c r="E1548" s="6" t="s">
        <v>2370</v>
      </c>
      <c r="F1548" s="6" t="s">
        <v>2370</v>
      </c>
      <c r="G1548">
        <v>0</v>
      </c>
      <c r="H1548" s="6" t="s">
        <v>2370</v>
      </c>
      <c r="I1548" t="s">
        <v>8374</v>
      </c>
      <c r="J1548" t="s">
        <v>8375</v>
      </c>
    </row>
    <row r="1549" spans="1:10" x14ac:dyDescent="0.35">
      <c r="A1549" s="6" t="s">
        <v>813</v>
      </c>
      <c r="B1549">
        <v>27.265000000000001</v>
      </c>
      <c r="C1549">
        <v>5.51</v>
      </c>
      <c r="D1549" s="6" t="s">
        <v>2370</v>
      </c>
      <c r="E1549" s="6" t="s">
        <v>2370</v>
      </c>
      <c r="F1549" s="6" t="s">
        <v>2370</v>
      </c>
      <c r="G1549">
        <v>1</v>
      </c>
      <c r="H1549" s="6" t="s">
        <v>2370</v>
      </c>
      <c r="I1549" t="s">
        <v>8378</v>
      </c>
      <c r="J1549" t="s">
        <v>8377</v>
      </c>
    </row>
    <row r="1550" spans="1:10" x14ac:dyDescent="0.35">
      <c r="A1550" s="6" t="s">
        <v>812</v>
      </c>
      <c r="B1550">
        <v>17.059999999999999</v>
      </c>
      <c r="C1550">
        <v>8.5</v>
      </c>
      <c r="D1550" s="6" t="s">
        <v>2370</v>
      </c>
      <c r="E1550" s="6" t="s">
        <v>2370</v>
      </c>
      <c r="F1550" s="6" t="s">
        <v>2370</v>
      </c>
      <c r="G1550">
        <v>0</v>
      </c>
      <c r="H1550" s="6" t="s">
        <v>2370</v>
      </c>
      <c r="I1550" t="s">
        <v>8380</v>
      </c>
      <c r="J1550" t="s">
        <v>8375</v>
      </c>
    </row>
    <row r="1551" spans="1:10" x14ac:dyDescent="0.35">
      <c r="A1551" s="6" t="s">
        <v>811</v>
      </c>
      <c r="B1551">
        <v>36.29</v>
      </c>
      <c r="C1551">
        <v>6.23</v>
      </c>
      <c r="D1551" s="6" t="s">
        <v>2370</v>
      </c>
      <c r="E1551" s="6" t="s">
        <v>2370</v>
      </c>
      <c r="F1551" s="6" t="s">
        <v>2370</v>
      </c>
      <c r="G1551">
        <v>0</v>
      </c>
      <c r="H1551" s="6" t="s">
        <v>2370</v>
      </c>
      <c r="I1551" t="s">
        <v>8374</v>
      </c>
      <c r="J1551" t="s">
        <v>8376</v>
      </c>
    </row>
    <row r="1552" spans="1:10" x14ac:dyDescent="0.35">
      <c r="A1552" s="6" t="s">
        <v>810</v>
      </c>
      <c r="B1552">
        <v>28.594999999999999</v>
      </c>
      <c r="C1552">
        <v>8.5299999999999994</v>
      </c>
      <c r="D1552" s="6" t="s">
        <v>2373</v>
      </c>
      <c r="E1552" s="6" t="s">
        <v>2370</v>
      </c>
      <c r="F1552" s="6" t="s">
        <v>2370</v>
      </c>
      <c r="G1552">
        <v>1</v>
      </c>
      <c r="H1552" s="6" t="s">
        <v>2370</v>
      </c>
      <c r="I1552" t="s">
        <v>8378</v>
      </c>
      <c r="J1552" t="s">
        <v>8375</v>
      </c>
    </row>
    <row r="1553" spans="1:10" x14ac:dyDescent="0.35">
      <c r="A1553" s="6" t="s">
        <v>809</v>
      </c>
      <c r="B1553">
        <v>17.8</v>
      </c>
      <c r="C1553">
        <v>5.75</v>
      </c>
      <c r="D1553" s="6" t="s">
        <v>2373</v>
      </c>
      <c r="E1553" s="6" t="s">
        <v>2370</v>
      </c>
      <c r="F1553" s="6" t="s">
        <v>2373</v>
      </c>
      <c r="G1553">
        <v>1</v>
      </c>
      <c r="H1553" s="6" t="s">
        <v>2370</v>
      </c>
      <c r="I1553" t="s">
        <v>8380</v>
      </c>
      <c r="J1553" t="s">
        <v>8376</v>
      </c>
    </row>
    <row r="1554" spans="1:10" x14ac:dyDescent="0.35">
      <c r="A1554" s="6" t="s">
        <v>808</v>
      </c>
      <c r="B1554">
        <v>21.4</v>
      </c>
      <c r="C1554">
        <v>5.6</v>
      </c>
      <c r="D1554" s="6" t="s">
        <v>2370</v>
      </c>
      <c r="E1554" s="6" t="s">
        <v>2370</v>
      </c>
      <c r="F1554" s="6" t="s">
        <v>2370</v>
      </c>
      <c r="G1554">
        <v>0</v>
      </c>
      <c r="H1554" s="6" t="s">
        <v>2370</v>
      </c>
      <c r="I1554" t="s">
        <v>8379</v>
      </c>
      <c r="J1554" t="s">
        <v>8377</v>
      </c>
    </row>
    <row r="1555" spans="1:10" x14ac:dyDescent="0.35">
      <c r="A1555" s="6" t="s">
        <v>807</v>
      </c>
      <c r="B1555">
        <v>23.01</v>
      </c>
      <c r="C1555">
        <v>4.68</v>
      </c>
      <c r="D1555" s="6" t="s">
        <v>2370</v>
      </c>
      <c r="E1555" s="6" t="s">
        <v>2370</v>
      </c>
      <c r="F1555" s="6" t="s">
        <v>2370</v>
      </c>
      <c r="G1555">
        <v>0</v>
      </c>
      <c r="H1555" s="6" t="s">
        <v>2370</v>
      </c>
      <c r="I1555" t="s">
        <v>8379</v>
      </c>
      <c r="J1555" t="s">
        <v>8377</v>
      </c>
    </row>
    <row r="1556" spans="1:10" x14ac:dyDescent="0.35">
      <c r="A1556" s="6" t="s">
        <v>806</v>
      </c>
      <c r="B1556">
        <v>19.86</v>
      </c>
      <c r="C1556">
        <v>5.62</v>
      </c>
      <c r="D1556" s="6" t="s">
        <v>2373</v>
      </c>
      <c r="E1556" s="6" t="s">
        <v>2370</v>
      </c>
      <c r="F1556" s="6" t="s">
        <v>2370</v>
      </c>
      <c r="G1556">
        <v>0</v>
      </c>
      <c r="H1556" s="6" t="s">
        <v>2370</v>
      </c>
      <c r="I1556" t="s">
        <v>8379</v>
      </c>
      <c r="J1556" t="s">
        <v>8377</v>
      </c>
    </row>
    <row r="1557" spans="1:10" x14ac:dyDescent="0.35">
      <c r="A1557" s="6" t="s">
        <v>805</v>
      </c>
      <c r="B1557">
        <v>33.58</v>
      </c>
      <c r="C1557">
        <v>5.08</v>
      </c>
      <c r="D1557" s="6" t="s">
        <v>2370</v>
      </c>
      <c r="E1557" s="6" t="s">
        <v>2370</v>
      </c>
      <c r="F1557" s="6" t="s">
        <v>2370</v>
      </c>
      <c r="G1557">
        <v>0</v>
      </c>
      <c r="H1557" s="6" t="s">
        <v>2370</v>
      </c>
      <c r="I1557" t="s">
        <v>8374</v>
      </c>
      <c r="J1557" t="s">
        <v>8377</v>
      </c>
    </row>
    <row r="1558" spans="1:10" x14ac:dyDescent="0.35">
      <c r="A1558" s="6" t="s">
        <v>804</v>
      </c>
      <c r="B1558">
        <v>29.81</v>
      </c>
      <c r="C1558">
        <v>5.28</v>
      </c>
      <c r="D1558" s="6" t="s">
        <v>2370</v>
      </c>
      <c r="E1558" s="6" t="s">
        <v>2370</v>
      </c>
      <c r="F1558" s="6" t="s">
        <v>2370</v>
      </c>
      <c r="G1558">
        <v>0</v>
      </c>
      <c r="H1558" s="6" t="s">
        <v>2370</v>
      </c>
      <c r="I1558" t="s">
        <v>8378</v>
      </c>
      <c r="J1558" t="s">
        <v>8377</v>
      </c>
    </row>
    <row r="1559" spans="1:10" x14ac:dyDescent="0.35">
      <c r="A1559" s="6" t="s">
        <v>803</v>
      </c>
      <c r="B1559">
        <v>27.4</v>
      </c>
      <c r="C1559">
        <v>4.6100000000000003</v>
      </c>
      <c r="D1559" s="6" t="s">
        <v>2370</v>
      </c>
      <c r="E1559" s="6" t="s">
        <v>2370</v>
      </c>
      <c r="F1559" s="6" t="s">
        <v>2370</v>
      </c>
      <c r="G1559">
        <v>0</v>
      </c>
      <c r="H1559" s="6" t="s">
        <v>2370</v>
      </c>
      <c r="I1559" t="s">
        <v>8378</v>
      </c>
      <c r="J1559" t="s">
        <v>8377</v>
      </c>
    </row>
    <row r="1560" spans="1:10" x14ac:dyDescent="0.35">
      <c r="A1560" s="6" t="s">
        <v>802</v>
      </c>
      <c r="B1560">
        <v>17.98</v>
      </c>
      <c r="C1560">
        <v>6.57</v>
      </c>
      <c r="D1560" s="6" t="s">
        <v>2373</v>
      </c>
      <c r="E1560" s="6" t="s">
        <v>2370</v>
      </c>
      <c r="F1560" s="6" t="s">
        <v>2370</v>
      </c>
      <c r="G1560">
        <v>2</v>
      </c>
      <c r="H1560" s="6" t="s">
        <v>2370</v>
      </c>
      <c r="I1560" t="s">
        <v>8380</v>
      </c>
      <c r="J1560" t="s">
        <v>8375</v>
      </c>
    </row>
    <row r="1561" spans="1:10" x14ac:dyDescent="0.35">
      <c r="A1561" s="6" t="s">
        <v>801</v>
      </c>
      <c r="B1561">
        <v>37.9</v>
      </c>
      <c r="C1561">
        <v>5.83</v>
      </c>
      <c r="D1561" s="6" t="s">
        <v>2370</v>
      </c>
      <c r="E1561" s="6" t="s">
        <v>2370</v>
      </c>
      <c r="F1561" s="6" t="s">
        <v>2370</v>
      </c>
      <c r="G1561">
        <v>0</v>
      </c>
      <c r="H1561" s="6" t="s">
        <v>2370</v>
      </c>
      <c r="I1561" t="s">
        <v>8374</v>
      </c>
      <c r="J1561" t="s">
        <v>8376</v>
      </c>
    </row>
    <row r="1562" spans="1:10" x14ac:dyDescent="0.35">
      <c r="A1562" s="6" t="s">
        <v>800</v>
      </c>
      <c r="B1562">
        <v>25.27</v>
      </c>
      <c r="C1562">
        <v>6.98</v>
      </c>
      <c r="D1562" s="6" t="s">
        <v>2373</v>
      </c>
      <c r="E1562" s="6" t="s">
        <v>2370</v>
      </c>
      <c r="F1562" s="6" t="s">
        <v>2370</v>
      </c>
      <c r="G1562">
        <v>0</v>
      </c>
      <c r="H1562" s="6" t="s">
        <v>2370</v>
      </c>
      <c r="I1562" t="s">
        <v>8378</v>
      </c>
      <c r="J1562" t="s">
        <v>8375</v>
      </c>
    </row>
    <row r="1563" spans="1:10" x14ac:dyDescent="0.35">
      <c r="A1563" s="6" t="s">
        <v>799</v>
      </c>
      <c r="B1563">
        <v>29.26</v>
      </c>
      <c r="C1563">
        <v>4.03</v>
      </c>
      <c r="D1563" s="6" t="s">
        <v>2370</v>
      </c>
      <c r="E1563" s="6" t="s">
        <v>2370</v>
      </c>
      <c r="F1563" s="6" t="s">
        <v>2370</v>
      </c>
      <c r="G1563">
        <v>1</v>
      </c>
      <c r="H1563" s="6" t="s">
        <v>2370</v>
      </c>
      <c r="I1563" t="s">
        <v>8378</v>
      </c>
      <c r="J1563" t="s">
        <v>8377</v>
      </c>
    </row>
    <row r="1564" spans="1:10" x14ac:dyDescent="0.35">
      <c r="A1564" s="6" t="s">
        <v>798</v>
      </c>
      <c r="B1564">
        <v>27.835000000000001</v>
      </c>
      <c r="C1564">
        <v>4.5599999999999996</v>
      </c>
      <c r="D1564" s="6" t="s">
        <v>2370</v>
      </c>
      <c r="E1564" s="6" t="s">
        <v>2370</v>
      </c>
      <c r="F1564" s="6" t="s">
        <v>2370</v>
      </c>
      <c r="G1564">
        <v>1</v>
      </c>
      <c r="H1564" s="6" t="s">
        <v>2370</v>
      </c>
      <c r="I1564" t="s">
        <v>8378</v>
      </c>
      <c r="J1564" t="s">
        <v>8377</v>
      </c>
    </row>
    <row r="1565" spans="1:10" x14ac:dyDescent="0.35">
      <c r="A1565" s="6" t="s">
        <v>797</v>
      </c>
      <c r="B1565">
        <v>46.53</v>
      </c>
      <c r="C1565">
        <v>5.38</v>
      </c>
      <c r="D1565" s="6" t="s">
        <v>2373</v>
      </c>
      <c r="E1565" s="6" t="s">
        <v>2370</v>
      </c>
      <c r="F1565" s="6" t="s">
        <v>2370</v>
      </c>
      <c r="G1565">
        <v>0</v>
      </c>
      <c r="H1565" s="6" t="s">
        <v>2370</v>
      </c>
      <c r="I1565" t="s">
        <v>8374</v>
      </c>
      <c r="J1565" t="s">
        <v>8377</v>
      </c>
    </row>
    <row r="1566" spans="1:10" x14ac:dyDescent="0.35">
      <c r="A1566" s="6" t="s">
        <v>796</v>
      </c>
      <c r="B1566">
        <v>20.58</v>
      </c>
      <c r="C1566">
        <v>11.04</v>
      </c>
      <c r="D1566" s="6" t="s">
        <v>2373</v>
      </c>
      <c r="E1566" s="6" t="s">
        <v>2370</v>
      </c>
      <c r="F1566" s="6" t="s">
        <v>2370</v>
      </c>
      <c r="G1566">
        <v>1</v>
      </c>
      <c r="H1566" s="6" t="s">
        <v>2370</v>
      </c>
      <c r="I1566" t="s">
        <v>8379</v>
      </c>
      <c r="J1566" t="s">
        <v>8375</v>
      </c>
    </row>
    <row r="1567" spans="1:10" x14ac:dyDescent="0.35">
      <c r="A1567" s="6" t="s">
        <v>795</v>
      </c>
      <c r="B1567">
        <v>19.53</v>
      </c>
      <c r="C1567">
        <v>6.09</v>
      </c>
      <c r="D1567" s="6" t="s">
        <v>2373</v>
      </c>
      <c r="E1567" s="6" t="s">
        <v>2370</v>
      </c>
      <c r="F1567" s="6" t="s">
        <v>2370</v>
      </c>
      <c r="G1567">
        <v>0</v>
      </c>
      <c r="H1567" s="6" t="s">
        <v>2370</v>
      </c>
      <c r="I1567" t="s">
        <v>8379</v>
      </c>
      <c r="J1567" t="s">
        <v>8376</v>
      </c>
    </row>
    <row r="1568" spans="1:10" x14ac:dyDescent="0.35">
      <c r="A1568" s="6" t="s">
        <v>794</v>
      </c>
      <c r="B1568">
        <v>27.7</v>
      </c>
      <c r="C1568">
        <v>4.71</v>
      </c>
      <c r="D1568" s="6" t="s">
        <v>2370</v>
      </c>
      <c r="E1568" s="6" t="s">
        <v>2370</v>
      </c>
      <c r="F1568" s="6" t="s">
        <v>2370</v>
      </c>
      <c r="G1568">
        <v>1</v>
      </c>
      <c r="H1568" s="6" t="s">
        <v>2370</v>
      </c>
      <c r="I1568" t="s">
        <v>8378</v>
      </c>
      <c r="J1568" t="s">
        <v>8377</v>
      </c>
    </row>
    <row r="1569" spans="1:10" x14ac:dyDescent="0.35">
      <c r="A1569" s="6" t="s">
        <v>793</v>
      </c>
      <c r="B1569">
        <v>18.920000000000002</v>
      </c>
      <c r="C1569">
        <v>8.18</v>
      </c>
      <c r="D1569" s="6" t="s">
        <v>2370</v>
      </c>
      <c r="E1569" s="6" t="s">
        <v>2370</v>
      </c>
      <c r="F1569" s="6" t="s">
        <v>2370</v>
      </c>
      <c r="G1569">
        <v>0</v>
      </c>
      <c r="H1569" s="6" t="s">
        <v>2370</v>
      </c>
      <c r="I1569" t="s">
        <v>8379</v>
      </c>
      <c r="J1569" t="s">
        <v>8375</v>
      </c>
    </row>
    <row r="1570" spans="1:10" x14ac:dyDescent="0.35">
      <c r="A1570" s="6" t="s">
        <v>792</v>
      </c>
      <c r="B1570">
        <v>17.760000000000002</v>
      </c>
      <c r="C1570">
        <v>11.18</v>
      </c>
      <c r="D1570" s="6" t="s">
        <v>2373</v>
      </c>
      <c r="E1570" s="6" t="s">
        <v>2370</v>
      </c>
      <c r="F1570" s="6" t="s">
        <v>2370</v>
      </c>
      <c r="G1570">
        <v>2</v>
      </c>
      <c r="H1570" s="6" t="s">
        <v>2370</v>
      </c>
      <c r="I1570" t="s">
        <v>8380</v>
      </c>
      <c r="J1570" t="s">
        <v>8375</v>
      </c>
    </row>
    <row r="1571" spans="1:10" x14ac:dyDescent="0.35">
      <c r="A1571" s="6" t="s">
        <v>791</v>
      </c>
      <c r="B1571">
        <v>29.83</v>
      </c>
      <c r="C1571">
        <v>5.03</v>
      </c>
      <c r="D1571" s="6" t="s">
        <v>2373</v>
      </c>
      <c r="E1571" s="6" t="s">
        <v>2370</v>
      </c>
      <c r="F1571" s="6" t="s">
        <v>2370</v>
      </c>
      <c r="G1571">
        <v>0</v>
      </c>
      <c r="H1571" s="6" t="s">
        <v>2370</v>
      </c>
      <c r="I1571" t="s">
        <v>8378</v>
      </c>
      <c r="J1571" t="s">
        <v>8377</v>
      </c>
    </row>
    <row r="1572" spans="1:10" x14ac:dyDescent="0.35">
      <c r="A1572" s="6" t="s">
        <v>790</v>
      </c>
      <c r="B1572">
        <v>23.465</v>
      </c>
      <c r="C1572">
        <v>5.56</v>
      </c>
      <c r="D1572" s="6" t="s">
        <v>2370</v>
      </c>
      <c r="E1572" s="6" t="s">
        <v>2370</v>
      </c>
      <c r="F1572" s="6" t="s">
        <v>2370</v>
      </c>
      <c r="G1572">
        <v>1</v>
      </c>
      <c r="H1572" s="6" t="s">
        <v>2370</v>
      </c>
      <c r="I1572" t="s">
        <v>8379</v>
      </c>
      <c r="J1572" t="s">
        <v>8377</v>
      </c>
    </row>
    <row r="1573" spans="1:10" x14ac:dyDescent="0.35">
      <c r="A1573" s="6" t="s">
        <v>789</v>
      </c>
      <c r="B1573">
        <v>29.355</v>
      </c>
      <c r="C1573">
        <v>4.33</v>
      </c>
      <c r="D1573" s="6" t="s">
        <v>2370</v>
      </c>
      <c r="E1573" s="6" t="s">
        <v>2370</v>
      </c>
      <c r="F1573" s="6" t="s">
        <v>2370</v>
      </c>
      <c r="G1573">
        <v>0</v>
      </c>
      <c r="H1573" s="6" t="s">
        <v>2370</v>
      </c>
      <c r="I1573" t="s">
        <v>8378</v>
      </c>
      <c r="J1573" t="s">
        <v>8377</v>
      </c>
    </row>
    <row r="1574" spans="1:10" x14ac:dyDescent="0.35">
      <c r="A1574" s="6" t="s">
        <v>788</v>
      </c>
      <c r="B1574">
        <v>35.49</v>
      </c>
      <c r="C1574">
        <v>5.21</v>
      </c>
      <c r="D1574" s="6" t="s">
        <v>2373</v>
      </c>
      <c r="E1574" s="6" t="s">
        <v>2370</v>
      </c>
      <c r="F1574" s="6" t="s">
        <v>2373</v>
      </c>
      <c r="G1574">
        <v>1</v>
      </c>
      <c r="H1574" s="6" t="s">
        <v>2370</v>
      </c>
      <c r="I1574" t="s">
        <v>8374</v>
      </c>
      <c r="J1574" t="s">
        <v>8377</v>
      </c>
    </row>
    <row r="1575" spans="1:10" x14ac:dyDescent="0.35">
      <c r="A1575" s="6" t="s">
        <v>787</v>
      </c>
      <c r="B1575">
        <v>26.315000000000001</v>
      </c>
      <c r="C1575">
        <v>5.89</v>
      </c>
      <c r="D1575" s="6" t="s">
        <v>2370</v>
      </c>
      <c r="E1575" s="6" t="s">
        <v>2370</v>
      </c>
      <c r="F1575" s="6" t="s">
        <v>2370</v>
      </c>
      <c r="G1575">
        <v>0</v>
      </c>
      <c r="H1575" s="6" t="s">
        <v>2370</v>
      </c>
      <c r="I1575" t="s">
        <v>8378</v>
      </c>
      <c r="J1575" t="s">
        <v>8376</v>
      </c>
    </row>
    <row r="1576" spans="1:10" x14ac:dyDescent="0.35">
      <c r="A1576" s="6" t="s">
        <v>786</v>
      </c>
      <c r="B1576">
        <v>19.79</v>
      </c>
      <c r="C1576">
        <v>4.8099999999999996</v>
      </c>
      <c r="D1576" s="6" t="s">
        <v>2373</v>
      </c>
      <c r="E1576" s="6" t="s">
        <v>2370</v>
      </c>
      <c r="F1576" s="6" t="s">
        <v>2370</v>
      </c>
      <c r="G1576">
        <v>0</v>
      </c>
      <c r="H1576" s="6" t="s">
        <v>2370</v>
      </c>
      <c r="I1576" t="s">
        <v>8379</v>
      </c>
      <c r="J1576" t="s">
        <v>8377</v>
      </c>
    </row>
    <row r="1577" spans="1:10" x14ac:dyDescent="0.35">
      <c r="A1577" s="6" t="s">
        <v>785</v>
      </c>
      <c r="B1577">
        <v>40.564999999999998</v>
      </c>
      <c r="C1577">
        <v>5.66</v>
      </c>
      <c r="D1577" s="6" t="s">
        <v>2370</v>
      </c>
      <c r="E1577" s="6" t="s">
        <v>2370</v>
      </c>
      <c r="F1577" s="6" t="s">
        <v>2370</v>
      </c>
      <c r="G1577">
        <v>1</v>
      </c>
      <c r="H1577" s="6" t="s">
        <v>2370</v>
      </c>
      <c r="I1577" t="s">
        <v>8374</v>
      </c>
      <c r="J1577" t="s">
        <v>8377</v>
      </c>
    </row>
    <row r="1578" spans="1:10" x14ac:dyDescent="0.35">
      <c r="A1578" s="6" t="s">
        <v>784</v>
      </c>
      <c r="B1578">
        <v>18.03</v>
      </c>
      <c r="C1578">
        <v>10.66</v>
      </c>
      <c r="D1578" s="6" t="s">
        <v>2373</v>
      </c>
      <c r="E1578" s="6" t="s">
        <v>2370</v>
      </c>
      <c r="F1578" s="6" t="s">
        <v>2370</v>
      </c>
      <c r="G1578">
        <v>2</v>
      </c>
      <c r="H1578" s="6" t="s">
        <v>2370</v>
      </c>
      <c r="I1578" t="s">
        <v>8380</v>
      </c>
      <c r="J1578" t="s">
        <v>8375</v>
      </c>
    </row>
    <row r="1579" spans="1:10" x14ac:dyDescent="0.35">
      <c r="A1579" s="6" t="s">
        <v>783</v>
      </c>
      <c r="B1579">
        <v>34.65</v>
      </c>
      <c r="C1579">
        <v>5.98</v>
      </c>
      <c r="D1579" s="6" t="s">
        <v>2373</v>
      </c>
      <c r="E1579" s="6" t="s">
        <v>2370</v>
      </c>
      <c r="F1579" s="6" t="s">
        <v>2370</v>
      </c>
      <c r="G1579">
        <v>0</v>
      </c>
      <c r="H1579" s="6" t="s">
        <v>2370</v>
      </c>
      <c r="I1579" t="s">
        <v>8374</v>
      </c>
      <c r="J1579" t="s">
        <v>8376</v>
      </c>
    </row>
    <row r="1580" spans="1:10" x14ac:dyDescent="0.35">
      <c r="A1580" s="6" t="s">
        <v>782</v>
      </c>
      <c r="B1580">
        <v>42.94</v>
      </c>
      <c r="C1580">
        <v>4.34</v>
      </c>
      <c r="D1580" s="6" t="s">
        <v>2370</v>
      </c>
      <c r="E1580" s="6" t="s">
        <v>2370</v>
      </c>
      <c r="F1580" s="6" t="s">
        <v>2370</v>
      </c>
      <c r="G1580">
        <v>0</v>
      </c>
      <c r="H1580" s="6" t="s">
        <v>2370</v>
      </c>
      <c r="I1580" t="s">
        <v>8374</v>
      </c>
      <c r="J1580" t="s">
        <v>8377</v>
      </c>
    </row>
    <row r="1581" spans="1:10" x14ac:dyDescent="0.35">
      <c r="A1581" s="6" t="s">
        <v>781</v>
      </c>
      <c r="B1581">
        <v>31.254999999999999</v>
      </c>
      <c r="C1581">
        <v>5.17</v>
      </c>
      <c r="D1581" s="6" t="s">
        <v>2370</v>
      </c>
      <c r="E1581" s="6" t="s">
        <v>2370</v>
      </c>
      <c r="F1581" s="6" t="s">
        <v>2370</v>
      </c>
      <c r="G1581">
        <v>0</v>
      </c>
      <c r="H1581" s="6" t="s">
        <v>2370</v>
      </c>
      <c r="I1581" t="s">
        <v>8374</v>
      </c>
      <c r="J1581" t="s">
        <v>8377</v>
      </c>
    </row>
    <row r="1582" spans="1:10" x14ac:dyDescent="0.35">
      <c r="A1582" s="6" t="s">
        <v>780</v>
      </c>
      <c r="B1582">
        <v>45.43</v>
      </c>
      <c r="C1582">
        <v>4.2300000000000004</v>
      </c>
      <c r="D1582" s="6" t="s">
        <v>2373</v>
      </c>
      <c r="E1582" s="6" t="s">
        <v>2370</v>
      </c>
      <c r="F1582" s="6" t="s">
        <v>2373</v>
      </c>
      <c r="G1582">
        <v>1</v>
      </c>
      <c r="H1582" s="6" t="s">
        <v>2370</v>
      </c>
      <c r="I1582" t="s">
        <v>8374</v>
      </c>
      <c r="J1582" t="s">
        <v>8377</v>
      </c>
    </row>
    <row r="1583" spans="1:10" x14ac:dyDescent="0.35">
      <c r="A1583" s="6" t="s">
        <v>779</v>
      </c>
      <c r="B1583">
        <v>32.340000000000003</v>
      </c>
      <c r="C1583">
        <v>4.88</v>
      </c>
      <c r="D1583" s="6" t="s">
        <v>2373</v>
      </c>
      <c r="E1583" s="6" t="s">
        <v>2370</v>
      </c>
      <c r="F1583" s="6" t="s">
        <v>2373</v>
      </c>
      <c r="G1583">
        <v>1</v>
      </c>
      <c r="H1583" s="6" t="s">
        <v>2370</v>
      </c>
      <c r="I1583" t="s">
        <v>8374</v>
      </c>
      <c r="J1583" t="s">
        <v>8377</v>
      </c>
    </row>
    <row r="1584" spans="1:10" x14ac:dyDescent="0.35">
      <c r="A1584" s="6" t="s">
        <v>778</v>
      </c>
      <c r="B1584">
        <v>25.46</v>
      </c>
      <c r="C1584">
        <v>9.7100000000000009</v>
      </c>
      <c r="D1584" s="6" t="s">
        <v>2373</v>
      </c>
      <c r="E1584" s="6" t="s">
        <v>2370</v>
      </c>
      <c r="F1584" s="6" t="s">
        <v>2370</v>
      </c>
      <c r="G1584">
        <v>1</v>
      </c>
      <c r="H1584" s="6" t="s">
        <v>2370</v>
      </c>
      <c r="I1584" t="s">
        <v>8378</v>
      </c>
      <c r="J1584" t="s">
        <v>8375</v>
      </c>
    </row>
    <row r="1585" spans="1:10" x14ac:dyDescent="0.35">
      <c r="A1585" s="6" t="s">
        <v>777</v>
      </c>
      <c r="B1585">
        <v>37.145000000000003</v>
      </c>
      <c r="C1585">
        <v>5.32</v>
      </c>
      <c r="D1585" s="6" t="s">
        <v>2370</v>
      </c>
      <c r="E1585" s="6" t="s">
        <v>2370</v>
      </c>
      <c r="F1585" s="6" t="s">
        <v>2370</v>
      </c>
      <c r="G1585">
        <v>0</v>
      </c>
      <c r="H1585" s="6" t="s">
        <v>2370</v>
      </c>
      <c r="I1585" t="s">
        <v>8374</v>
      </c>
      <c r="J1585" t="s">
        <v>8377</v>
      </c>
    </row>
    <row r="1586" spans="1:10" x14ac:dyDescent="0.35">
      <c r="A1586" s="6" t="s">
        <v>776</v>
      </c>
      <c r="B1586">
        <v>30.8</v>
      </c>
      <c r="C1586">
        <v>5.83</v>
      </c>
      <c r="D1586" s="6" t="s">
        <v>2373</v>
      </c>
      <c r="E1586" s="6" t="s">
        <v>2370</v>
      </c>
      <c r="F1586" s="6" t="s">
        <v>2370</v>
      </c>
      <c r="G1586">
        <v>0</v>
      </c>
      <c r="H1586" s="6" t="s">
        <v>2370</v>
      </c>
      <c r="I1586" t="s">
        <v>8374</v>
      </c>
      <c r="J1586" t="s">
        <v>8376</v>
      </c>
    </row>
    <row r="1587" spans="1:10" x14ac:dyDescent="0.35">
      <c r="A1587" s="6" t="s">
        <v>775</v>
      </c>
      <c r="B1587">
        <v>29.5</v>
      </c>
      <c r="C1587">
        <v>5.54</v>
      </c>
      <c r="D1587" s="6" t="s">
        <v>2373</v>
      </c>
      <c r="E1587" s="6" t="s">
        <v>2370</v>
      </c>
      <c r="F1587" s="6" t="s">
        <v>2370</v>
      </c>
      <c r="G1587">
        <v>0</v>
      </c>
      <c r="H1587" s="6" t="s">
        <v>2370</v>
      </c>
      <c r="I1587" t="s">
        <v>8378</v>
      </c>
      <c r="J1587" t="s">
        <v>8377</v>
      </c>
    </row>
    <row r="1588" spans="1:10" x14ac:dyDescent="0.35">
      <c r="A1588" s="6" t="s">
        <v>774</v>
      </c>
      <c r="B1588">
        <v>43.39</v>
      </c>
      <c r="C1588">
        <v>5.85</v>
      </c>
      <c r="D1588" s="6" t="s">
        <v>2370</v>
      </c>
      <c r="E1588" s="6" t="s">
        <v>2372</v>
      </c>
      <c r="F1588" s="6" t="s">
        <v>2370</v>
      </c>
      <c r="G1588">
        <v>1</v>
      </c>
      <c r="H1588" s="6" t="s">
        <v>2370</v>
      </c>
      <c r="I1588" t="s">
        <v>8374</v>
      </c>
      <c r="J1588" t="s">
        <v>8376</v>
      </c>
    </row>
    <row r="1589" spans="1:10" x14ac:dyDescent="0.35">
      <c r="A1589" s="6" t="s">
        <v>773</v>
      </c>
      <c r="B1589">
        <v>15.08</v>
      </c>
      <c r="C1589">
        <v>4.8499999999999996</v>
      </c>
      <c r="D1589" s="6" t="s">
        <v>2373</v>
      </c>
      <c r="E1589" s="6" t="s">
        <v>2370</v>
      </c>
      <c r="F1589" s="6" t="s">
        <v>2373</v>
      </c>
      <c r="G1589">
        <v>1</v>
      </c>
      <c r="H1589" s="6" t="s">
        <v>2370</v>
      </c>
      <c r="I1589" t="s">
        <v>8380</v>
      </c>
      <c r="J1589" t="s">
        <v>8377</v>
      </c>
    </row>
    <row r="1590" spans="1:10" x14ac:dyDescent="0.35">
      <c r="A1590" s="6" t="s">
        <v>772</v>
      </c>
      <c r="B1590">
        <v>20.48</v>
      </c>
      <c r="C1590">
        <v>11.09</v>
      </c>
      <c r="D1590" s="6" t="s">
        <v>2370</v>
      </c>
      <c r="E1590" s="6" t="s">
        <v>2370</v>
      </c>
      <c r="F1590" s="6" t="s">
        <v>2370</v>
      </c>
      <c r="G1590">
        <v>0</v>
      </c>
      <c r="H1590" s="6" t="s">
        <v>2370</v>
      </c>
      <c r="I1590" t="s">
        <v>8379</v>
      </c>
      <c r="J1590" t="s">
        <v>8375</v>
      </c>
    </row>
    <row r="1591" spans="1:10" x14ac:dyDescent="0.35">
      <c r="A1591" s="6" t="s">
        <v>771</v>
      </c>
      <c r="B1591">
        <v>34.450000000000003</v>
      </c>
      <c r="C1591">
        <v>5.58</v>
      </c>
      <c r="D1591" s="6" t="s">
        <v>2373</v>
      </c>
      <c r="E1591" s="6" t="s">
        <v>2370</v>
      </c>
      <c r="F1591" s="6" t="s">
        <v>2370</v>
      </c>
      <c r="G1591">
        <v>0</v>
      </c>
      <c r="H1591" s="6" t="s">
        <v>2370</v>
      </c>
      <c r="I1591" t="s">
        <v>8374</v>
      </c>
      <c r="J1591" t="s">
        <v>8377</v>
      </c>
    </row>
    <row r="1592" spans="1:10" x14ac:dyDescent="0.35">
      <c r="A1592" s="6" t="s">
        <v>770</v>
      </c>
      <c r="B1592">
        <v>34.21</v>
      </c>
      <c r="C1592">
        <v>9.7200000000000006</v>
      </c>
      <c r="D1592" s="6" t="s">
        <v>2373</v>
      </c>
      <c r="E1592" s="6" t="s">
        <v>2370</v>
      </c>
      <c r="F1592" s="6" t="s">
        <v>2370</v>
      </c>
      <c r="G1592">
        <v>0</v>
      </c>
      <c r="H1592" s="6" t="s">
        <v>2370</v>
      </c>
      <c r="I1592" t="s">
        <v>8374</v>
      </c>
      <c r="J1592" t="s">
        <v>8375</v>
      </c>
    </row>
    <row r="1593" spans="1:10" x14ac:dyDescent="0.35">
      <c r="A1593" s="6" t="s">
        <v>769</v>
      </c>
      <c r="B1593">
        <v>28.8</v>
      </c>
      <c r="C1593">
        <v>11.41</v>
      </c>
      <c r="D1593" s="6" t="s">
        <v>2373</v>
      </c>
      <c r="E1593" s="6" t="s">
        <v>2370</v>
      </c>
      <c r="F1593" s="6" t="s">
        <v>2370</v>
      </c>
      <c r="G1593">
        <v>0</v>
      </c>
      <c r="H1593" s="6" t="s">
        <v>2370</v>
      </c>
      <c r="I1593" t="s">
        <v>8378</v>
      </c>
      <c r="J1593" t="s">
        <v>8375</v>
      </c>
    </row>
    <row r="1594" spans="1:10" x14ac:dyDescent="0.35">
      <c r="A1594" s="6" t="s">
        <v>768</v>
      </c>
      <c r="B1594">
        <v>31.74</v>
      </c>
      <c r="C1594">
        <v>4.46</v>
      </c>
      <c r="D1594" s="6" t="s">
        <v>2370</v>
      </c>
      <c r="E1594" s="6" t="s">
        <v>2370</v>
      </c>
      <c r="F1594" s="6" t="s">
        <v>2373</v>
      </c>
      <c r="G1594">
        <v>1</v>
      </c>
      <c r="H1594" s="6" t="s">
        <v>2370</v>
      </c>
      <c r="I1594" t="s">
        <v>8374</v>
      </c>
      <c r="J1594" t="s">
        <v>8377</v>
      </c>
    </row>
    <row r="1595" spans="1:10" x14ac:dyDescent="0.35">
      <c r="A1595" s="6" t="s">
        <v>767</v>
      </c>
      <c r="B1595">
        <v>21.78</v>
      </c>
      <c r="C1595">
        <v>9.31</v>
      </c>
      <c r="D1595" s="6" t="s">
        <v>2373</v>
      </c>
      <c r="E1595" s="6" t="s">
        <v>2370</v>
      </c>
      <c r="F1595" s="6" t="s">
        <v>2370</v>
      </c>
      <c r="G1595">
        <v>0</v>
      </c>
      <c r="H1595" s="6" t="s">
        <v>2370</v>
      </c>
      <c r="I1595" t="s">
        <v>8379</v>
      </c>
      <c r="J1595" t="s">
        <v>8375</v>
      </c>
    </row>
    <row r="1596" spans="1:10" x14ac:dyDescent="0.35">
      <c r="A1596" s="6" t="s">
        <v>766</v>
      </c>
      <c r="B1596">
        <v>23.75</v>
      </c>
      <c r="C1596">
        <v>5.03</v>
      </c>
      <c r="D1596" s="6" t="s">
        <v>2370</v>
      </c>
      <c r="E1596" s="6" t="s">
        <v>2370</v>
      </c>
      <c r="F1596" s="6" t="s">
        <v>2370</v>
      </c>
      <c r="G1596">
        <v>1</v>
      </c>
      <c r="H1596" s="6" t="s">
        <v>2370</v>
      </c>
      <c r="I1596" t="s">
        <v>8379</v>
      </c>
      <c r="J1596" t="s">
        <v>8377</v>
      </c>
    </row>
    <row r="1597" spans="1:10" x14ac:dyDescent="0.35">
      <c r="A1597" s="6" t="s">
        <v>765</v>
      </c>
      <c r="B1597">
        <v>33.21</v>
      </c>
      <c r="C1597">
        <v>5.07</v>
      </c>
      <c r="D1597" s="6" t="s">
        <v>2373</v>
      </c>
      <c r="E1597" s="6" t="s">
        <v>2370</v>
      </c>
      <c r="F1597" s="6" t="s">
        <v>2370</v>
      </c>
      <c r="G1597">
        <v>1</v>
      </c>
      <c r="H1597" s="6" t="s">
        <v>2370</v>
      </c>
      <c r="I1597" t="s">
        <v>8374</v>
      </c>
      <c r="J1597" t="s">
        <v>8377</v>
      </c>
    </row>
    <row r="1598" spans="1:10" x14ac:dyDescent="0.35">
      <c r="A1598" s="6" t="s">
        <v>764</v>
      </c>
      <c r="B1598">
        <v>17.7</v>
      </c>
      <c r="C1598">
        <v>10.42</v>
      </c>
      <c r="D1598" s="6" t="s">
        <v>2373</v>
      </c>
      <c r="E1598" s="6" t="s">
        <v>2370</v>
      </c>
      <c r="F1598" s="6" t="s">
        <v>2370</v>
      </c>
      <c r="G1598">
        <v>2</v>
      </c>
      <c r="H1598" s="6" t="s">
        <v>2370</v>
      </c>
      <c r="I1598" t="s">
        <v>8380</v>
      </c>
      <c r="J1598" t="s">
        <v>8375</v>
      </c>
    </row>
    <row r="1599" spans="1:10" x14ac:dyDescent="0.35">
      <c r="A1599" s="6" t="s">
        <v>763</v>
      </c>
      <c r="B1599">
        <v>17.2</v>
      </c>
      <c r="C1599">
        <v>6.45</v>
      </c>
      <c r="D1599" s="6" t="s">
        <v>2370</v>
      </c>
      <c r="E1599" s="6" t="s">
        <v>2370</v>
      </c>
      <c r="F1599" s="6" t="s">
        <v>2370</v>
      </c>
      <c r="G1599">
        <v>2</v>
      </c>
      <c r="H1599" s="6" t="s">
        <v>2370</v>
      </c>
      <c r="I1599" t="s">
        <v>8380</v>
      </c>
      <c r="J1599" t="s">
        <v>8376</v>
      </c>
    </row>
    <row r="1600" spans="1:10" x14ac:dyDescent="0.35">
      <c r="A1600" s="6" t="s">
        <v>762</v>
      </c>
      <c r="B1600">
        <v>19.21</v>
      </c>
      <c r="C1600">
        <v>5.52</v>
      </c>
      <c r="D1600" s="6" t="s">
        <v>2370</v>
      </c>
      <c r="E1600" s="6" t="s">
        <v>2370</v>
      </c>
      <c r="F1600" s="6" t="s">
        <v>2370</v>
      </c>
      <c r="G1600">
        <v>2</v>
      </c>
      <c r="H1600" s="6" t="s">
        <v>2370</v>
      </c>
      <c r="I1600" t="s">
        <v>8379</v>
      </c>
      <c r="J1600" t="s">
        <v>8377</v>
      </c>
    </row>
    <row r="1601" spans="1:10" x14ac:dyDescent="0.35">
      <c r="A1601" s="6" t="s">
        <v>761</v>
      </c>
      <c r="B1601">
        <v>23.2</v>
      </c>
      <c r="C1601">
        <v>4.41</v>
      </c>
      <c r="D1601" s="6" t="s">
        <v>2370</v>
      </c>
      <c r="E1601" s="6" t="s">
        <v>2370</v>
      </c>
      <c r="F1601" s="6" t="s">
        <v>2373</v>
      </c>
      <c r="G1601">
        <v>1</v>
      </c>
      <c r="H1601" s="6" t="s">
        <v>2370</v>
      </c>
      <c r="I1601" t="s">
        <v>8379</v>
      </c>
      <c r="J1601" t="s">
        <v>8377</v>
      </c>
    </row>
    <row r="1602" spans="1:10" x14ac:dyDescent="0.35">
      <c r="A1602" s="6" t="s">
        <v>760</v>
      </c>
      <c r="B1602">
        <v>32.5</v>
      </c>
      <c r="C1602">
        <v>4.6900000000000004</v>
      </c>
      <c r="D1602" s="6" t="s">
        <v>2373</v>
      </c>
      <c r="E1602" s="6" t="s">
        <v>2370</v>
      </c>
      <c r="F1602" s="6" t="s">
        <v>2373</v>
      </c>
      <c r="G1602">
        <v>1</v>
      </c>
      <c r="H1602" s="6" t="s">
        <v>2370</v>
      </c>
      <c r="I1602" t="s">
        <v>8374</v>
      </c>
      <c r="J1602" t="s">
        <v>8377</v>
      </c>
    </row>
    <row r="1603" spans="1:10" x14ac:dyDescent="0.35">
      <c r="A1603" s="6" t="s">
        <v>759</v>
      </c>
      <c r="B1603">
        <v>20.9</v>
      </c>
      <c r="C1603">
        <v>6.94</v>
      </c>
      <c r="D1603" s="6" t="s">
        <v>2370</v>
      </c>
      <c r="E1603" s="6" t="s">
        <v>2370</v>
      </c>
      <c r="F1603" s="6" t="s">
        <v>2370</v>
      </c>
      <c r="G1603">
        <v>0</v>
      </c>
      <c r="H1603" s="6" t="s">
        <v>2370</v>
      </c>
      <c r="I1603" t="s">
        <v>8379</v>
      </c>
      <c r="J1603" t="s">
        <v>8375</v>
      </c>
    </row>
    <row r="1604" spans="1:10" x14ac:dyDescent="0.35">
      <c r="A1604" s="6" t="s">
        <v>758</v>
      </c>
      <c r="B1604">
        <v>19.11</v>
      </c>
      <c r="C1604">
        <v>4.3499999999999996</v>
      </c>
      <c r="D1604" s="6" t="s">
        <v>2370</v>
      </c>
      <c r="E1604" s="6" t="s">
        <v>2370</v>
      </c>
      <c r="F1604" s="6" t="s">
        <v>2370</v>
      </c>
      <c r="G1604">
        <v>2</v>
      </c>
      <c r="H1604" s="6" t="s">
        <v>2370</v>
      </c>
      <c r="I1604" t="s">
        <v>8379</v>
      </c>
      <c r="J1604" t="s">
        <v>8377</v>
      </c>
    </row>
    <row r="1605" spans="1:10" x14ac:dyDescent="0.35">
      <c r="A1605" s="6" t="s">
        <v>757</v>
      </c>
      <c r="B1605">
        <v>31.17</v>
      </c>
      <c r="C1605">
        <v>5.28</v>
      </c>
      <c r="D1605" s="6" t="s">
        <v>2370</v>
      </c>
      <c r="E1605" s="6" t="s">
        <v>2370</v>
      </c>
      <c r="F1605" s="6" t="s">
        <v>2370</v>
      </c>
      <c r="G1605">
        <v>1</v>
      </c>
      <c r="H1605" s="6" t="s">
        <v>2370</v>
      </c>
      <c r="I1605" t="s">
        <v>8374</v>
      </c>
      <c r="J1605" t="s">
        <v>8377</v>
      </c>
    </row>
    <row r="1606" spans="1:10" x14ac:dyDescent="0.35">
      <c r="A1606" s="6" t="s">
        <v>756</v>
      </c>
      <c r="B1606">
        <v>36.08</v>
      </c>
      <c r="C1606">
        <v>4.29</v>
      </c>
      <c r="D1606" s="6" t="s">
        <v>2370</v>
      </c>
      <c r="E1606" s="6" t="s">
        <v>2370</v>
      </c>
      <c r="F1606" s="6" t="s">
        <v>2370</v>
      </c>
      <c r="G1606">
        <v>0</v>
      </c>
      <c r="H1606" s="6" t="s">
        <v>2370</v>
      </c>
      <c r="I1606" t="s">
        <v>8374</v>
      </c>
      <c r="J1606" t="s">
        <v>8377</v>
      </c>
    </row>
    <row r="1607" spans="1:10" x14ac:dyDescent="0.35">
      <c r="A1607" s="6" t="s">
        <v>755</v>
      </c>
      <c r="B1607">
        <v>28.024999999999999</v>
      </c>
      <c r="C1607">
        <v>5.69</v>
      </c>
      <c r="D1607" s="6" t="s">
        <v>2373</v>
      </c>
      <c r="E1607" s="6" t="s">
        <v>2370</v>
      </c>
      <c r="F1607" s="6" t="s">
        <v>2370</v>
      </c>
      <c r="G1607">
        <v>0</v>
      </c>
      <c r="H1607" s="6" t="s">
        <v>2370</v>
      </c>
      <c r="I1607" t="s">
        <v>8378</v>
      </c>
      <c r="J1607" t="s">
        <v>8377</v>
      </c>
    </row>
    <row r="1608" spans="1:10" x14ac:dyDescent="0.35">
      <c r="A1608" s="6" t="s">
        <v>754</v>
      </c>
      <c r="B1608">
        <v>24.32</v>
      </c>
      <c r="C1608">
        <v>5.56</v>
      </c>
      <c r="D1608" s="6" t="s">
        <v>2373</v>
      </c>
      <c r="E1608" s="6" t="s">
        <v>2370</v>
      </c>
      <c r="F1608" s="6" t="s">
        <v>2370</v>
      </c>
      <c r="G1608">
        <v>0</v>
      </c>
      <c r="H1608" s="6" t="s">
        <v>2370</v>
      </c>
      <c r="I1608" t="s">
        <v>8379</v>
      </c>
      <c r="J1608" t="s">
        <v>8377</v>
      </c>
    </row>
    <row r="1609" spans="1:10" x14ac:dyDescent="0.35">
      <c r="A1609" s="6" t="s">
        <v>753</v>
      </c>
      <c r="B1609">
        <v>38</v>
      </c>
      <c r="C1609">
        <v>5.41</v>
      </c>
      <c r="D1609" s="6" t="s">
        <v>2373</v>
      </c>
      <c r="E1609" s="6" t="s">
        <v>2370</v>
      </c>
      <c r="F1609" s="6" t="s">
        <v>2370</v>
      </c>
      <c r="G1609">
        <v>1</v>
      </c>
      <c r="H1609" s="6" t="s">
        <v>2370</v>
      </c>
      <c r="I1609" t="s">
        <v>8374</v>
      </c>
      <c r="J1609" t="s">
        <v>8377</v>
      </c>
    </row>
    <row r="1610" spans="1:10" x14ac:dyDescent="0.35">
      <c r="A1610" s="6" t="s">
        <v>752</v>
      </c>
      <c r="B1610">
        <v>31.6</v>
      </c>
      <c r="C1610">
        <v>10.85</v>
      </c>
      <c r="D1610" s="6" t="s">
        <v>2373</v>
      </c>
      <c r="E1610" s="6" t="s">
        <v>2370</v>
      </c>
      <c r="F1610" s="6" t="s">
        <v>2370</v>
      </c>
      <c r="G1610">
        <v>0</v>
      </c>
      <c r="H1610" s="6" t="s">
        <v>2370</v>
      </c>
      <c r="I1610" t="s">
        <v>8374</v>
      </c>
      <c r="J1610" t="s">
        <v>8375</v>
      </c>
    </row>
    <row r="1611" spans="1:10" x14ac:dyDescent="0.35">
      <c r="A1611" s="6" t="s">
        <v>751</v>
      </c>
      <c r="B1611">
        <v>31.02</v>
      </c>
      <c r="C1611">
        <v>11.63</v>
      </c>
      <c r="D1611" s="6" t="s">
        <v>2373</v>
      </c>
      <c r="E1611" s="6" t="s">
        <v>2370</v>
      </c>
      <c r="F1611" s="6" t="s">
        <v>2370</v>
      </c>
      <c r="G1611">
        <v>0</v>
      </c>
      <c r="H1611" s="6" t="s">
        <v>2370</v>
      </c>
      <c r="I1611" t="s">
        <v>8374</v>
      </c>
      <c r="J1611" t="s">
        <v>8375</v>
      </c>
    </row>
    <row r="1612" spans="1:10" x14ac:dyDescent="0.35">
      <c r="A1612" s="6" t="s">
        <v>750</v>
      </c>
      <c r="B1612">
        <v>29.26</v>
      </c>
      <c r="C1612">
        <v>5.68</v>
      </c>
      <c r="D1612" s="6" t="s">
        <v>2373</v>
      </c>
      <c r="E1612" s="6" t="s">
        <v>2370</v>
      </c>
      <c r="F1612" s="6" t="s">
        <v>2370</v>
      </c>
      <c r="G1612">
        <v>1</v>
      </c>
      <c r="H1612" s="6" t="s">
        <v>2370</v>
      </c>
      <c r="I1612" t="s">
        <v>8378</v>
      </c>
      <c r="J1612" t="s">
        <v>8377</v>
      </c>
    </row>
    <row r="1613" spans="1:10" x14ac:dyDescent="0.35">
      <c r="A1613" s="6" t="s">
        <v>749</v>
      </c>
      <c r="B1613">
        <v>15.09</v>
      </c>
      <c r="C1613">
        <v>7.59</v>
      </c>
      <c r="D1613" s="6" t="s">
        <v>2373</v>
      </c>
      <c r="E1613" s="6" t="s">
        <v>2370</v>
      </c>
      <c r="F1613" s="6" t="s">
        <v>2370</v>
      </c>
      <c r="G1613">
        <v>2</v>
      </c>
      <c r="H1613" s="6" t="s">
        <v>2370</v>
      </c>
      <c r="I1613" t="s">
        <v>8380</v>
      </c>
      <c r="J1613" t="s">
        <v>8375</v>
      </c>
    </row>
    <row r="1614" spans="1:10" x14ac:dyDescent="0.35">
      <c r="A1614" s="6" t="s">
        <v>748</v>
      </c>
      <c r="B1614">
        <v>22.63</v>
      </c>
      <c r="C1614">
        <v>5.09</v>
      </c>
      <c r="D1614" s="6" t="s">
        <v>2373</v>
      </c>
      <c r="E1614" s="6" t="s">
        <v>2370</v>
      </c>
      <c r="F1614" s="6" t="s">
        <v>2370</v>
      </c>
      <c r="G1614">
        <v>0</v>
      </c>
      <c r="H1614" s="6" t="s">
        <v>2370</v>
      </c>
      <c r="I1614" t="s">
        <v>8379</v>
      </c>
      <c r="J1614" t="s">
        <v>8377</v>
      </c>
    </row>
    <row r="1615" spans="1:10" x14ac:dyDescent="0.35">
      <c r="A1615" s="6" t="s">
        <v>747</v>
      </c>
      <c r="B1615">
        <v>23.46</v>
      </c>
      <c r="C1615">
        <v>4.21</v>
      </c>
      <c r="D1615" s="6" t="s">
        <v>2370</v>
      </c>
      <c r="E1615" s="6" t="s">
        <v>2370</v>
      </c>
      <c r="F1615" s="6" t="s">
        <v>2370</v>
      </c>
      <c r="G1615">
        <v>1</v>
      </c>
      <c r="H1615" s="6" t="s">
        <v>2370</v>
      </c>
      <c r="I1615" t="s">
        <v>8379</v>
      </c>
      <c r="J1615" t="s">
        <v>8377</v>
      </c>
    </row>
    <row r="1616" spans="1:10" x14ac:dyDescent="0.35">
      <c r="A1616" s="6" t="s">
        <v>746</v>
      </c>
      <c r="B1616">
        <v>22.56</v>
      </c>
      <c r="C1616">
        <v>4.34</v>
      </c>
      <c r="D1616" s="6" t="s">
        <v>2373</v>
      </c>
      <c r="E1616" s="6" t="s">
        <v>2370</v>
      </c>
      <c r="F1616" s="6" t="s">
        <v>2370</v>
      </c>
      <c r="G1616">
        <v>0</v>
      </c>
      <c r="H1616" s="6" t="s">
        <v>2370</v>
      </c>
      <c r="I1616" t="s">
        <v>8379</v>
      </c>
      <c r="J1616" t="s">
        <v>8377</v>
      </c>
    </row>
    <row r="1617" spans="1:10" x14ac:dyDescent="0.35">
      <c r="A1617" s="6" t="s">
        <v>745</v>
      </c>
      <c r="B1617">
        <v>19.28</v>
      </c>
      <c r="C1617">
        <v>11.85</v>
      </c>
      <c r="D1617" s="6" t="s">
        <v>2370</v>
      </c>
      <c r="E1617" s="6" t="s">
        <v>2370</v>
      </c>
      <c r="F1617" s="6" t="s">
        <v>2370</v>
      </c>
      <c r="G1617">
        <v>2</v>
      </c>
      <c r="H1617" s="6" t="s">
        <v>2370</v>
      </c>
      <c r="I1617" t="s">
        <v>8379</v>
      </c>
      <c r="J1617" t="s">
        <v>8375</v>
      </c>
    </row>
    <row r="1618" spans="1:10" x14ac:dyDescent="0.35">
      <c r="A1618" s="6" t="s">
        <v>744</v>
      </c>
      <c r="B1618">
        <v>15.37</v>
      </c>
      <c r="C1618">
        <v>9.61</v>
      </c>
      <c r="D1618" s="6" t="s">
        <v>2373</v>
      </c>
      <c r="E1618" s="6" t="s">
        <v>2370</v>
      </c>
      <c r="F1618" s="6" t="s">
        <v>2370</v>
      </c>
      <c r="G1618">
        <v>2</v>
      </c>
      <c r="H1618" s="6" t="s">
        <v>2370</v>
      </c>
      <c r="I1618" t="s">
        <v>8380</v>
      </c>
      <c r="J1618" t="s">
        <v>8375</v>
      </c>
    </row>
    <row r="1619" spans="1:10" x14ac:dyDescent="0.35">
      <c r="A1619" s="6" t="s">
        <v>743</v>
      </c>
      <c r="B1619">
        <v>18.71</v>
      </c>
      <c r="C1619">
        <v>5.29</v>
      </c>
      <c r="D1619" s="6" t="s">
        <v>2373</v>
      </c>
      <c r="E1619" s="6" t="s">
        <v>2370</v>
      </c>
      <c r="F1619" s="6" t="s">
        <v>2370</v>
      </c>
      <c r="G1619">
        <v>0</v>
      </c>
      <c r="H1619" s="6" t="s">
        <v>2370</v>
      </c>
      <c r="I1619" t="s">
        <v>8379</v>
      </c>
      <c r="J1619" t="s">
        <v>8377</v>
      </c>
    </row>
    <row r="1620" spans="1:10" x14ac:dyDescent="0.35">
      <c r="A1620" s="6" t="s">
        <v>742</v>
      </c>
      <c r="B1620">
        <v>20.61</v>
      </c>
      <c r="C1620">
        <v>6.89</v>
      </c>
      <c r="D1620" s="6" t="s">
        <v>2370</v>
      </c>
      <c r="E1620" s="6" t="s">
        <v>2370</v>
      </c>
      <c r="F1620" s="6" t="s">
        <v>2370</v>
      </c>
      <c r="G1620">
        <v>0</v>
      </c>
      <c r="H1620" s="6" t="s">
        <v>2370</v>
      </c>
      <c r="I1620" t="s">
        <v>8379</v>
      </c>
      <c r="J1620" t="s">
        <v>8375</v>
      </c>
    </row>
    <row r="1621" spans="1:10" x14ac:dyDescent="0.35">
      <c r="A1621" s="6" t="s">
        <v>741</v>
      </c>
      <c r="B1621">
        <v>15.99</v>
      </c>
      <c r="C1621">
        <v>4.57</v>
      </c>
      <c r="D1621" s="6" t="s">
        <v>2373</v>
      </c>
      <c r="E1621" s="6" t="s">
        <v>2370</v>
      </c>
      <c r="F1621" s="6" t="s">
        <v>2373</v>
      </c>
      <c r="G1621">
        <v>1</v>
      </c>
      <c r="H1621" s="6" t="s">
        <v>2370</v>
      </c>
      <c r="I1621" t="s">
        <v>8380</v>
      </c>
      <c r="J1621" t="s">
        <v>8377</v>
      </c>
    </row>
    <row r="1622" spans="1:10" x14ac:dyDescent="0.35">
      <c r="A1622" s="6" t="s">
        <v>740</v>
      </c>
      <c r="B1622">
        <v>33.155000000000001</v>
      </c>
      <c r="C1622">
        <v>4.32</v>
      </c>
      <c r="D1622" s="6" t="s">
        <v>2370</v>
      </c>
      <c r="E1622" s="6" t="s">
        <v>2370</v>
      </c>
      <c r="F1622" s="6" t="s">
        <v>2370</v>
      </c>
      <c r="G1622">
        <v>0</v>
      </c>
      <c r="H1622" s="6" t="s">
        <v>2370</v>
      </c>
      <c r="I1622" t="s">
        <v>8374</v>
      </c>
      <c r="J1622" t="s">
        <v>8377</v>
      </c>
    </row>
    <row r="1623" spans="1:10" x14ac:dyDescent="0.35">
      <c r="A1623" s="6" t="s">
        <v>739</v>
      </c>
      <c r="B1623">
        <v>26.22</v>
      </c>
      <c r="C1623">
        <v>5.57</v>
      </c>
      <c r="D1623" s="6" t="s">
        <v>2373</v>
      </c>
      <c r="E1623" s="6" t="s">
        <v>2370</v>
      </c>
      <c r="F1623" s="6" t="s">
        <v>2373</v>
      </c>
      <c r="G1623">
        <v>1</v>
      </c>
      <c r="H1623" s="6" t="s">
        <v>2370</v>
      </c>
      <c r="I1623" t="s">
        <v>8378</v>
      </c>
      <c r="J1623" t="s">
        <v>8377</v>
      </c>
    </row>
    <row r="1624" spans="1:10" x14ac:dyDescent="0.35">
      <c r="A1624" s="6" t="s">
        <v>738</v>
      </c>
      <c r="B1624">
        <v>21.85</v>
      </c>
      <c r="C1624">
        <v>5.26</v>
      </c>
      <c r="D1624" s="6" t="s">
        <v>2373</v>
      </c>
      <c r="E1624" s="6" t="s">
        <v>2370</v>
      </c>
      <c r="F1624" s="6" t="s">
        <v>2373</v>
      </c>
      <c r="G1624">
        <v>1</v>
      </c>
      <c r="H1624" s="6" t="s">
        <v>2370</v>
      </c>
      <c r="I1624" t="s">
        <v>8379</v>
      </c>
      <c r="J1624" t="s">
        <v>8377</v>
      </c>
    </row>
    <row r="1625" spans="1:10" x14ac:dyDescent="0.35">
      <c r="A1625" s="6" t="s">
        <v>737</v>
      </c>
      <c r="B1625">
        <v>30.495000000000001</v>
      </c>
      <c r="C1625">
        <v>6.25</v>
      </c>
      <c r="D1625" s="6" t="s">
        <v>2370</v>
      </c>
      <c r="E1625" s="6" t="s">
        <v>2370</v>
      </c>
      <c r="F1625" s="6" t="s">
        <v>2370</v>
      </c>
      <c r="G1625">
        <v>0</v>
      </c>
      <c r="H1625" s="6" t="s">
        <v>2370</v>
      </c>
      <c r="I1625" t="s">
        <v>8374</v>
      </c>
      <c r="J1625" t="s">
        <v>8376</v>
      </c>
    </row>
    <row r="1626" spans="1:10" x14ac:dyDescent="0.35">
      <c r="A1626" s="6" t="s">
        <v>736</v>
      </c>
      <c r="B1626">
        <v>34.104999999999997</v>
      </c>
      <c r="C1626">
        <v>5.67</v>
      </c>
      <c r="D1626" s="6" t="s">
        <v>2373</v>
      </c>
      <c r="E1626" s="6" t="s">
        <v>2370</v>
      </c>
      <c r="F1626" s="6" t="s">
        <v>2370</v>
      </c>
      <c r="G1626">
        <v>0</v>
      </c>
      <c r="H1626" s="6" t="s">
        <v>2370</v>
      </c>
      <c r="I1626" t="s">
        <v>8374</v>
      </c>
      <c r="J1626" t="s">
        <v>8377</v>
      </c>
    </row>
    <row r="1627" spans="1:10" x14ac:dyDescent="0.35">
      <c r="A1627" s="6" t="s">
        <v>735</v>
      </c>
      <c r="B1627">
        <v>32.770000000000003</v>
      </c>
      <c r="C1627">
        <v>4.42</v>
      </c>
      <c r="D1627" s="6" t="s">
        <v>2373</v>
      </c>
      <c r="E1627" s="6" t="s">
        <v>2370</v>
      </c>
      <c r="F1627" s="6" t="s">
        <v>2370</v>
      </c>
      <c r="G1627">
        <v>1</v>
      </c>
      <c r="H1627" s="6" t="s">
        <v>2370</v>
      </c>
      <c r="I1627" t="s">
        <v>8374</v>
      </c>
      <c r="J1627" t="s">
        <v>8377</v>
      </c>
    </row>
    <row r="1628" spans="1:10" x14ac:dyDescent="0.35">
      <c r="A1628" s="6" t="s">
        <v>734</v>
      </c>
      <c r="B1628">
        <v>16.850000000000001</v>
      </c>
      <c r="C1628">
        <v>11.75</v>
      </c>
      <c r="D1628" s="6" t="s">
        <v>2373</v>
      </c>
      <c r="E1628" s="6" t="s">
        <v>2370</v>
      </c>
      <c r="F1628" s="6" t="s">
        <v>2370</v>
      </c>
      <c r="G1628">
        <v>2</v>
      </c>
      <c r="H1628" s="6" t="s">
        <v>2370</v>
      </c>
      <c r="I1628" t="s">
        <v>8380</v>
      </c>
      <c r="J1628" t="s">
        <v>8375</v>
      </c>
    </row>
    <row r="1629" spans="1:10" x14ac:dyDescent="0.35">
      <c r="A1629" s="6" t="s">
        <v>733</v>
      </c>
      <c r="B1629">
        <v>34.700000000000003</v>
      </c>
      <c r="C1629">
        <v>6.06</v>
      </c>
      <c r="D1629" s="6" t="s">
        <v>2370</v>
      </c>
      <c r="E1629" s="6" t="s">
        <v>2370</v>
      </c>
      <c r="F1629" s="6" t="s">
        <v>2370</v>
      </c>
      <c r="G1629">
        <v>1</v>
      </c>
      <c r="H1629" s="6" t="s">
        <v>2370</v>
      </c>
      <c r="I1629" t="s">
        <v>8374</v>
      </c>
      <c r="J1629" t="s">
        <v>8376</v>
      </c>
    </row>
    <row r="1630" spans="1:10" x14ac:dyDescent="0.35">
      <c r="A1630" s="6" t="s">
        <v>732</v>
      </c>
      <c r="B1630">
        <v>37.049999999999997</v>
      </c>
      <c r="C1630">
        <v>5.48</v>
      </c>
      <c r="D1630" s="6" t="s">
        <v>2370</v>
      </c>
      <c r="E1630" s="6" t="s">
        <v>2370</v>
      </c>
      <c r="F1630" s="6" t="s">
        <v>2370</v>
      </c>
      <c r="G1630">
        <v>1</v>
      </c>
      <c r="H1630" s="6" t="s">
        <v>2370</v>
      </c>
      <c r="I1630" t="s">
        <v>8374</v>
      </c>
      <c r="J1630" t="s">
        <v>8377</v>
      </c>
    </row>
    <row r="1631" spans="1:10" x14ac:dyDescent="0.35">
      <c r="A1631" s="6" t="s">
        <v>731</v>
      </c>
      <c r="B1631">
        <v>18.78</v>
      </c>
      <c r="C1631">
        <v>4.45</v>
      </c>
      <c r="D1631" s="6" t="s">
        <v>2370</v>
      </c>
      <c r="E1631" s="6" t="s">
        <v>2370</v>
      </c>
      <c r="F1631" s="6" t="s">
        <v>2373</v>
      </c>
      <c r="G1631">
        <v>1</v>
      </c>
      <c r="H1631" s="6" t="s">
        <v>2370</v>
      </c>
      <c r="I1631" t="s">
        <v>8379</v>
      </c>
      <c r="J1631" t="s">
        <v>8377</v>
      </c>
    </row>
    <row r="1632" spans="1:10" x14ac:dyDescent="0.35">
      <c r="A1632" s="6" t="s">
        <v>730</v>
      </c>
      <c r="B1632">
        <v>28.024999999999999</v>
      </c>
      <c r="C1632">
        <v>5</v>
      </c>
      <c r="D1632" s="6" t="s">
        <v>2370</v>
      </c>
      <c r="E1632" s="6" t="s">
        <v>2370</v>
      </c>
      <c r="F1632" s="6" t="s">
        <v>2370</v>
      </c>
      <c r="G1632">
        <v>1</v>
      </c>
      <c r="H1632" s="6" t="s">
        <v>2370</v>
      </c>
      <c r="I1632" t="s">
        <v>8378</v>
      </c>
      <c r="J1632" t="s">
        <v>8377</v>
      </c>
    </row>
    <row r="1633" spans="1:10" x14ac:dyDescent="0.35">
      <c r="A1633" s="6" t="s">
        <v>729</v>
      </c>
      <c r="B1633">
        <v>35.090000000000003</v>
      </c>
      <c r="C1633">
        <v>5.84</v>
      </c>
      <c r="D1633" s="6" t="s">
        <v>2370</v>
      </c>
      <c r="E1633" s="6" t="s">
        <v>2370</v>
      </c>
      <c r="F1633" s="6" t="s">
        <v>2370</v>
      </c>
      <c r="G1633">
        <v>0</v>
      </c>
      <c r="H1633" s="6" t="s">
        <v>2370</v>
      </c>
      <c r="I1633" t="s">
        <v>8374</v>
      </c>
      <c r="J1633" t="s">
        <v>8376</v>
      </c>
    </row>
    <row r="1634" spans="1:10" x14ac:dyDescent="0.35">
      <c r="A1634" s="6" t="s">
        <v>728</v>
      </c>
      <c r="B1634">
        <v>34.42</v>
      </c>
      <c r="C1634">
        <v>5.21</v>
      </c>
      <c r="D1634" s="6" t="s">
        <v>2373</v>
      </c>
      <c r="E1634" s="6" t="s">
        <v>2370</v>
      </c>
      <c r="F1634" s="6" t="s">
        <v>2370</v>
      </c>
      <c r="G1634">
        <v>0</v>
      </c>
      <c r="H1634" s="6" t="s">
        <v>2370</v>
      </c>
      <c r="I1634" t="s">
        <v>8374</v>
      </c>
      <c r="J1634" t="s">
        <v>8377</v>
      </c>
    </row>
    <row r="1635" spans="1:10" x14ac:dyDescent="0.35">
      <c r="A1635" s="6" t="s">
        <v>727</v>
      </c>
      <c r="B1635">
        <v>29.4</v>
      </c>
      <c r="C1635">
        <v>4.26</v>
      </c>
      <c r="D1635" s="6" t="s">
        <v>2370</v>
      </c>
      <c r="E1635" s="6" t="s">
        <v>2370</v>
      </c>
      <c r="F1635" s="6" t="s">
        <v>2370</v>
      </c>
      <c r="G1635">
        <v>0</v>
      </c>
      <c r="H1635" s="6" t="s">
        <v>2370</v>
      </c>
      <c r="I1635" t="s">
        <v>8378</v>
      </c>
      <c r="J1635" t="s">
        <v>8377</v>
      </c>
    </row>
    <row r="1636" spans="1:10" x14ac:dyDescent="0.35">
      <c r="A1636" s="6" t="s">
        <v>726</v>
      </c>
      <c r="B1636">
        <v>21.31</v>
      </c>
      <c r="C1636">
        <v>4.17</v>
      </c>
      <c r="D1636" s="6" t="s">
        <v>2370</v>
      </c>
      <c r="E1636" s="6" t="s">
        <v>2370</v>
      </c>
      <c r="F1636" s="6" t="s">
        <v>2370</v>
      </c>
      <c r="G1636">
        <v>0</v>
      </c>
      <c r="H1636" s="6" t="s">
        <v>2370</v>
      </c>
      <c r="I1636" t="s">
        <v>8379</v>
      </c>
      <c r="J1636" t="s">
        <v>8377</v>
      </c>
    </row>
    <row r="1637" spans="1:10" x14ac:dyDescent="0.35">
      <c r="A1637" s="6" t="s">
        <v>725</v>
      </c>
      <c r="B1637">
        <v>19.559999999999999</v>
      </c>
      <c r="C1637">
        <v>11.96</v>
      </c>
      <c r="D1637" s="6" t="s">
        <v>2370</v>
      </c>
      <c r="E1637" s="6" t="s">
        <v>2370</v>
      </c>
      <c r="F1637" s="6" t="s">
        <v>2370</v>
      </c>
      <c r="G1637">
        <v>0</v>
      </c>
      <c r="H1637" s="6" t="s">
        <v>2370</v>
      </c>
      <c r="I1637" t="s">
        <v>8379</v>
      </c>
      <c r="J1637" t="s">
        <v>8375</v>
      </c>
    </row>
    <row r="1638" spans="1:10" x14ac:dyDescent="0.35">
      <c r="A1638" s="6" t="s">
        <v>724</v>
      </c>
      <c r="B1638">
        <v>37.335000000000001</v>
      </c>
      <c r="C1638">
        <v>6.26</v>
      </c>
      <c r="D1638" s="6" t="s">
        <v>2373</v>
      </c>
      <c r="E1638" s="6" t="s">
        <v>2370</v>
      </c>
      <c r="F1638" s="6" t="s">
        <v>2370</v>
      </c>
      <c r="G1638">
        <v>1</v>
      </c>
      <c r="H1638" s="6" t="s">
        <v>2370</v>
      </c>
      <c r="I1638" t="s">
        <v>8374</v>
      </c>
      <c r="J1638" t="s">
        <v>8376</v>
      </c>
    </row>
    <row r="1639" spans="1:10" x14ac:dyDescent="0.35">
      <c r="A1639" s="6" t="s">
        <v>723</v>
      </c>
      <c r="B1639">
        <v>19.53</v>
      </c>
      <c r="C1639">
        <v>11.68</v>
      </c>
      <c r="D1639" s="6" t="s">
        <v>2370</v>
      </c>
      <c r="E1639" s="6" t="s">
        <v>2370</v>
      </c>
      <c r="F1639" s="6" t="s">
        <v>2370</v>
      </c>
      <c r="G1639">
        <v>0</v>
      </c>
      <c r="H1639" s="6" t="s">
        <v>2370</v>
      </c>
      <c r="I1639" t="s">
        <v>8379</v>
      </c>
      <c r="J1639" t="s">
        <v>8375</v>
      </c>
    </row>
    <row r="1640" spans="1:10" x14ac:dyDescent="0.35">
      <c r="A1640" s="6" t="s">
        <v>722</v>
      </c>
      <c r="B1640">
        <v>34.1</v>
      </c>
      <c r="C1640">
        <v>5.16</v>
      </c>
      <c r="D1640" s="6" t="s">
        <v>2370</v>
      </c>
      <c r="E1640" s="6" t="s">
        <v>2370</v>
      </c>
      <c r="F1640" s="6" t="s">
        <v>2370</v>
      </c>
      <c r="G1640">
        <v>0</v>
      </c>
      <c r="H1640" s="6" t="s">
        <v>2370</v>
      </c>
      <c r="I1640" t="s">
        <v>8374</v>
      </c>
      <c r="J1640" t="s">
        <v>8377</v>
      </c>
    </row>
    <row r="1641" spans="1:10" x14ac:dyDescent="0.35">
      <c r="A1641" s="6" t="s">
        <v>721</v>
      </c>
      <c r="B1641">
        <v>16.5</v>
      </c>
      <c r="C1641">
        <v>6.9</v>
      </c>
      <c r="D1641" s="6" t="s">
        <v>2373</v>
      </c>
      <c r="E1641" s="6" t="s">
        <v>2370</v>
      </c>
      <c r="F1641" s="6" t="s">
        <v>2370</v>
      </c>
      <c r="G1641">
        <v>2</v>
      </c>
      <c r="H1641" s="6" t="s">
        <v>2370</v>
      </c>
      <c r="I1641" t="s">
        <v>8380</v>
      </c>
      <c r="J1641" t="s">
        <v>8375</v>
      </c>
    </row>
    <row r="1642" spans="1:10" x14ac:dyDescent="0.35">
      <c r="A1642" s="6" t="s">
        <v>720</v>
      </c>
      <c r="B1642">
        <v>30.69</v>
      </c>
      <c r="C1642">
        <v>4.83</v>
      </c>
      <c r="D1642" s="6" t="s">
        <v>2370</v>
      </c>
      <c r="E1642" s="6" t="s">
        <v>2370</v>
      </c>
      <c r="F1642" s="6" t="s">
        <v>2370</v>
      </c>
      <c r="G1642">
        <v>1</v>
      </c>
      <c r="H1642" s="6" t="s">
        <v>2370</v>
      </c>
      <c r="I1642" t="s">
        <v>8374</v>
      </c>
      <c r="J1642" t="s">
        <v>8377</v>
      </c>
    </row>
    <row r="1643" spans="1:10" x14ac:dyDescent="0.35">
      <c r="A1643" s="6" t="s">
        <v>719</v>
      </c>
      <c r="B1643">
        <v>28.93</v>
      </c>
      <c r="C1643">
        <v>4.87</v>
      </c>
      <c r="D1643" s="6" t="s">
        <v>2370</v>
      </c>
      <c r="E1643" s="6" t="s">
        <v>2370</v>
      </c>
      <c r="F1643" s="6" t="s">
        <v>2370</v>
      </c>
      <c r="G1643">
        <v>1</v>
      </c>
      <c r="H1643" s="6" t="s">
        <v>2370</v>
      </c>
      <c r="I1643" t="s">
        <v>8378</v>
      </c>
      <c r="J1643" t="s">
        <v>8377</v>
      </c>
    </row>
    <row r="1644" spans="1:10" x14ac:dyDescent="0.35">
      <c r="A1644" s="6" t="s">
        <v>718</v>
      </c>
      <c r="B1644">
        <v>38.9</v>
      </c>
      <c r="C1644">
        <v>4.28</v>
      </c>
      <c r="D1644" s="6" t="s">
        <v>2370</v>
      </c>
      <c r="E1644" s="6" t="s">
        <v>2370</v>
      </c>
      <c r="F1644" s="6" t="s">
        <v>2370</v>
      </c>
      <c r="G1644">
        <v>0</v>
      </c>
      <c r="H1644" s="6" t="s">
        <v>2370</v>
      </c>
      <c r="I1644" t="s">
        <v>8374</v>
      </c>
      <c r="J1644" t="s">
        <v>8377</v>
      </c>
    </row>
    <row r="1645" spans="1:10" x14ac:dyDescent="0.35">
      <c r="A1645" s="6" t="s">
        <v>717</v>
      </c>
      <c r="B1645">
        <v>26.9</v>
      </c>
      <c r="C1645">
        <v>4.07</v>
      </c>
      <c r="D1645" s="6" t="s">
        <v>2370</v>
      </c>
      <c r="E1645" s="6" t="s">
        <v>2370</v>
      </c>
      <c r="F1645" s="6" t="s">
        <v>2370</v>
      </c>
      <c r="G1645">
        <v>0</v>
      </c>
      <c r="H1645" s="6" t="s">
        <v>2370</v>
      </c>
      <c r="I1645" t="s">
        <v>8378</v>
      </c>
      <c r="J1645" t="s">
        <v>8377</v>
      </c>
    </row>
    <row r="1646" spans="1:10" x14ac:dyDescent="0.35">
      <c r="A1646" s="6" t="s">
        <v>716</v>
      </c>
      <c r="B1646">
        <v>24.86</v>
      </c>
      <c r="C1646">
        <v>6.23</v>
      </c>
      <c r="D1646" s="6" t="s">
        <v>2370</v>
      </c>
      <c r="E1646" s="6" t="s">
        <v>2370</v>
      </c>
      <c r="F1646" s="6" t="s">
        <v>2370</v>
      </c>
      <c r="G1646">
        <v>0</v>
      </c>
      <c r="H1646" s="6" t="s">
        <v>2370</v>
      </c>
      <c r="I1646" t="s">
        <v>8379</v>
      </c>
      <c r="J1646" t="s">
        <v>8376</v>
      </c>
    </row>
    <row r="1647" spans="1:10" x14ac:dyDescent="0.35">
      <c r="A1647" s="6" t="s">
        <v>715</v>
      </c>
      <c r="B1647">
        <v>39.14</v>
      </c>
      <c r="C1647">
        <v>6.24</v>
      </c>
      <c r="D1647" s="6" t="s">
        <v>2370</v>
      </c>
      <c r="E1647" s="6" t="s">
        <v>2372</v>
      </c>
      <c r="F1647" s="6" t="s">
        <v>2370</v>
      </c>
      <c r="G1647">
        <v>1</v>
      </c>
      <c r="H1647" s="6" t="s">
        <v>2370</v>
      </c>
      <c r="I1647" t="s">
        <v>8374</v>
      </c>
      <c r="J1647" t="s">
        <v>8376</v>
      </c>
    </row>
    <row r="1648" spans="1:10" x14ac:dyDescent="0.35">
      <c r="A1648" s="6" t="s">
        <v>714</v>
      </c>
      <c r="B1648">
        <v>39.799999999999997</v>
      </c>
      <c r="C1648">
        <v>6.17</v>
      </c>
      <c r="D1648" s="6" t="s">
        <v>2370</v>
      </c>
      <c r="E1648" s="6" t="s">
        <v>2370</v>
      </c>
      <c r="F1648" s="6" t="s">
        <v>2373</v>
      </c>
      <c r="G1648">
        <v>1</v>
      </c>
      <c r="H1648" s="6" t="s">
        <v>2370</v>
      </c>
      <c r="I1648" t="s">
        <v>8374</v>
      </c>
      <c r="J1648" t="s">
        <v>8376</v>
      </c>
    </row>
    <row r="1649" spans="1:10" x14ac:dyDescent="0.35">
      <c r="A1649" s="6" t="s">
        <v>713</v>
      </c>
      <c r="B1649">
        <v>34.32</v>
      </c>
      <c r="C1649">
        <v>5.16</v>
      </c>
      <c r="D1649" s="6" t="s">
        <v>2370</v>
      </c>
      <c r="E1649" s="6" t="s">
        <v>2370</v>
      </c>
      <c r="F1649" s="6" t="s">
        <v>2370</v>
      </c>
      <c r="G1649">
        <v>1</v>
      </c>
      <c r="H1649" s="6" t="s">
        <v>2370</v>
      </c>
      <c r="I1649" t="s">
        <v>8374</v>
      </c>
      <c r="J1649" t="s">
        <v>8377</v>
      </c>
    </row>
    <row r="1650" spans="1:10" x14ac:dyDescent="0.35">
      <c r="A1650" s="6" t="s">
        <v>712</v>
      </c>
      <c r="B1650">
        <v>32.51</v>
      </c>
      <c r="C1650">
        <v>4.3</v>
      </c>
      <c r="D1650" s="6" t="s">
        <v>2370</v>
      </c>
      <c r="E1650" s="6" t="s">
        <v>2370</v>
      </c>
      <c r="F1650" s="6" t="s">
        <v>2370</v>
      </c>
      <c r="G1650">
        <v>0</v>
      </c>
      <c r="H1650" s="6" t="s">
        <v>2370</v>
      </c>
      <c r="I1650" t="s">
        <v>8374</v>
      </c>
      <c r="J1650" t="s">
        <v>8377</v>
      </c>
    </row>
    <row r="1651" spans="1:10" x14ac:dyDescent="0.35">
      <c r="A1651" s="6" t="s">
        <v>711</v>
      </c>
      <c r="B1651">
        <v>30.71</v>
      </c>
      <c r="C1651">
        <v>6.14</v>
      </c>
      <c r="D1651" s="6" t="s">
        <v>2370</v>
      </c>
      <c r="E1651" s="6" t="s">
        <v>2370</v>
      </c>
      <c r="F1651" s="6" t="s">
        <v>2373</v>
      </c>
      <c r="G1651">
        <v>1</v>
      </c>
      <c r="H1651" s="6" t="s">
        <v>2370</v>
      </c>
      <c r="I1651" t="s">
        <v>8374</v>
      </c>
      <c r="J1651" t="s">
        <v>8376</v>
      </c>
    </row>
    <row r="1652" spans="1:10" x14ac:dyDescent="0.35">
      <c r="A1652" s="6" t="s">
        <v>710</v>
      </c>
      <c r="B1652">
        <v>28.9</v>
      </c>
      <c r="C1652">
        <v>5.36</v>
      </c>
      <c r="D1652" s="6" t="s">
        <v>2370</v>
      </c>
      <c r="E1652" s="6" t="s">
        <v>2370</v>
      </c>
      <c r="F1652" s="6" t="s">
        <v>2370</v>
      </c>
      <c r="G1652">
        <v>1</v>
      </c>
      <c r="H1652" s="6" t="s">
        <v>2370</v>
      </c>
      <c r="I1652" t="s">
        <v>8378</v>
      </c>
      <c r="J1652" t="s">
        <v>8377</v>
      </c>
    </row>
    <row r="1653" spans="1:10" x14ac:dyDescent="0.35">
      <c r="A1653" s="6" t="s">
        <v>709</v>
      </c>
      <c r="B1653">
        <v>36.19</v>
      </c>
      <c r="C1653">
        <v>4.3</v>
      </c>
      <c r="D1653" s="6" t="s">
        <v>2370</v>
      </c>
      <c r="E1653" s="6" t="s">
        <v>2370</v>
      </c>
      <c r="F1653" s="6" t="s">
        <v>2370</v>
      </c>
      <c r="G1653">
        <v>0</v>
      </c>
      <c r="H1653" s="6" t="s">
        <v>2370</v>
      </c>
      <c r="I1653" t="s">
        <v>8374</v>
      </c>
      <c r="J1653" t="s">
        <v>8377</v>
      </c>
    </row>
    <row r="1654" spans="1:10" x14ac:dyDescent="0.35">
      <c r="A1654" s="6" t="s">
        <v>708</v>
      </c>
      <c r="B1654">
        <v>29.6</v>
      </c>
      <c r="C1654">
        <v>4.09</v>
      </c>
      <c r="D1654" s="6" t="s">
        <v>2370</v>
      </c>
      <c r="E1654" s="6" t="s">
        <v>2370</v>
      </c>
      <c r="F1654" s="6" t="s">
        <v>2370</v>
      </c>
      <c r="G1654">
        <v>0</v>
      </c>
      <c r="H1654" s="6" t="s">
        <v>2370</v>
      </c>
      <c r="I1654" t="s">
        <v>8378</v>
      </c>
      <c r="J1654" t="s">
        <v>8377</v>
      </c>
    </row>
    <row r="1655" spans="1:10" x14ac:dyDescent="0.35">
      <c r="A1655" s="6" t="s">
        <v>707</v>
      </c>
      <c r="B1655">
        <v>30.95</v>
      </c>
      <c r="C1655">
        <v>6.27</v>
      </c>
      <c r="D1655" s="6" t="s">
        <v>2370</v>
      </c>
      <c r="E1655" s="6" t="s">
        <v>2370</v>
      </c>
      <c r="F1655" s="6" t="s">
        <v>2373</v>
      </c>
      <c r="G1655">
        <v>1</v>
      </c>
      <c r="H1655" s="6" t="s">
        <v>2370</v>
      </c>
      <c r="I1655" t="s">
        <v>8374</v>
      </c>
      <c r="J1655" t="s">
        <v>8376</v>
      </c>
    </row>
    <row r="1656" spans="1:10" x14ac:dyDescent="0.35">
      <c r="A1656" s="6" t="s">
        <v>706</v>
      </c>
      <c r="B1656">
        <v>19.95</v>
      </c>
      <c r="C1656">
        <v>5.39</v>
      </c>
      <c r="D1656" s="6" t="s">
        <v>2370</v>
      </c>
      <c r="E1656" s="6" t="s">
        <v>2370</v>
      </c>
      <c r="F1656" s="6" t="s">
        <v>2370</v>
      </c>
      <c r="G1656">
        <v>1</v>
      </c>
      <c r="H1656" s="6" t="s">
        <v>2370</v>
      </c>
      <c r="I1656" t="s">
        <v>8379</v>
      </c>
      <c r="J1656" t="s">
        <v>8377</v>
      </c>
    </row>
    <row r="1657" spans="1:10" x14ac:dyDescent="0.35">
      <c r="A1657" s="6" t="s">
        <v>705</v>
      </c>
      <c r="B1657">
        <v>23.65</v>
      </c>
      <c r="C1657">
        <v>5.75</v>
      </c>
      <c r="D1657" s="6" t="s">
        <v>2373</v>
      </c>
      <c r="E1657" s="6" t="s">
        <v>2370</v>
      </c>
      <c r="F1657" s="6" t="s">
        <v>2370</v>
      </c>
      <c r="G1657">
        <v>0</v>
      </c>
      <c r="H1657" s="6" t="s">
        <v>2370</v>
      </c>
      <c r="I1657" t="s">
        <v>8379</v>
      </c>
      <c r="J1657" t="s">
        <v>8376</v>
      </c>
    </row>
    <row r="1658" spans="1:10" x14ac:dyDescent="0.35">
      <c r="A1658" s="6" t="s">
        <v>704</v>
      </c>
      <c r="B1658">
        <v>43.34</v>
      </c>
      <c r="C1658">
        <v>4.91</v>
      </c>
      <c r="D1658" s="6" t="s">
        <v>2370</v>
      </c>
      <c r="E1658" s="6" t="s">
        <v>2370</v>
      </c>
      <c r="F1658" s="6" t="s">
        <v>2370</v>
      </c>
      <c r="G1658">
        <v>1</v>
      </c>
      <c r="H1658" s="6" t="s">
        <v>2370</v>
      </c>
      <c r="I1658" t="s">
        <v>8374</v>
      </c>
      <c r="J1658" t="s">
        <v>8377</v>
      </c>
    </row>
    <row r="1659" spans="1:10" x14ac:dyDescent="0.35">
      <c r="A1659" s="6" t="s">
        <v>703</v>
      </c>
      <c r="B1659">
        <v>31.98</v>
      </c>
      <c r="C1659">
        <v>4.46</v>
      </c>
      <c r="D1659" s="6" t="s">
        <v>2373</v>
      </c>
      <c r="E1659" s="6" t="s">
        <v>2370</v>
      </c>
      <c r="F1659" s="6" t="s">
        <v>2370</v>
      </c>
      <c r="G1659">
        <v>1</v>
      </c>
      <c r="H1659" s="6" t="s">
        <v>2370</v>
      </c>
      <c r="I1659" t="s">
        <v>8374</v>
      </c>
      <c r="J1659" t="s">
        <v>8377</v>
      </c>
    </row>
    <row r="1660" spans="1:10" x14ac:dyDescent="0.35">
      <c r="A1660" s="6" t="s">
        <v>702</v>
      </c>
      <c r="B1660">
        <v>35.86</v>
      </c>
      <c r="C1660">
        <v>6.22</v>
      </c>
      <c r="D1660" s="6" t="s">
        <v>2370</v>
      </c>
      <c r="E1660" s="6" t="s">
        <v>2370</v>
      </c>
      <c r="F1660" s="6" t="s">
        <v>2370</v>
      </c>
      <c r="G1660">
        <v>1</v>
      </c>
      <c r="H1660" s="6" t="s">
        <v>2370</v>
      </c>
      <c r="I1660" t="s">
        <v>8374</v>
      </c>
      <c r="J1660" t="s">
        <v>8376</v>
      </c>
    </row>
    <row r="1661" spans="1:10" x14ac:dyDescent="0.35">
      <c r="A1661" s="6" t="s">
        <v>701</v>
      </c>
      <c r="B1661">
        <v>15.2</v>
      </c>
      <c r="C1661">
        <v>8.82</v>
      </c>
      <c r="D1661" s="6" t="s">
        <v>2370</v>
      </c>
      <c r="E1661" s="6" t="s">
        <v>2370</v>
      </c>
      <c r="F1661" s="6" t="s">
        <v>2370</v>
      </c>
      <c r="G1661">
        <v>0</v>
      </c>
      <c r="H1661" s="6" t="s">
        <v>2370</v>
      </c>
      <c r="I1661" t="s">
        <v>8380</v>
      </c>
      <c r="J1661" t="s">
        <v>8375</v>
      </c>
    </row>
    <row r="1662" spans="1:10" x14ac:dyDescent="0.35">
      <c r="A1662" s="6" t="s">
        <v>700</v>
      </c>
      <c r="B1662">
        <v>37.200000000000003</v>
      </c>
      <c r="C1662">
        <v>10.14</v>
      </c>
      <c r="D1662" s="6" t="s">
        <v>2370</v>
      </c>
      <c r="E1662" s="6" t="s">
        <v>2370</v>
      </c>
      <c r="F1662" s="6" t="s">
        <v>2370</v>
      </c>
      <c r="G1662">
        <v>0</v>
      </c>
      <c r="H1662" s="6" t="s">
        <v>2370</v>
      </c>
      <c r="I1662" t="s">
        <v>8374</v>
      </c>
      <c r="J1662" t="s">
        <v>8375</v>
      </c>
    </row>
    <row r="1663" spans="1:10" x14ac:dyDescent="0.35">
      <c r="A1663" s="6" t="s">
        <v>699</v>
      </c>
      <c r="B1663">
        <v>17.91</v>
      </c>
      <c r="C1663">
        <v>4.66</v>
      </c>
      <c r="D1663" s="6" t="s">
        <v>2370</v>
      </c>
      <c r="E1663" s="6" t="s">
        <v>2370</v>
      </c>
      <c r="F1663" s="6" t="s">
        <v>2370</v>
      </c>
      <c r="G1663">
        <v>2</v>
      </c>
      <c r="H1663" s="6" t="s">
        <v>2370</v>
      </c>
      <c r="I1663" t="s">
        <v>8380</v>
      </c>
      <c r="J1663" t="s">
        <v>8377</v>
      </c>
    </row>
    <row r="1664" spans="1:10" x14ac:dyDescent="0.35">
      <c r="A1664" s="6" t="s">
        <v>698</v>
      </c>
      <c r="B1664">
        <v>20.76</v>
      </c>
      <c r="C1664">
        <v>6.26</v>
      </c>
      <c r="D1664" s="6" t="s">
        <v>2370</v>
      </c>
      <c r="E1664" s="6" t="s">
        <v>2370</v>
      </c>
      <c r="F1664" s="6" t="s">
        <v>2370</v>
      </c>
      <c r="G1664">
        <v>0</v>
      </c>
      <c r="H1664" s="6" t="s">
        <v>2370</v>
      </c>
      <c r="I1664" t="s">
        <v>8379</v>
      </c>
      <c r="J1664" t="s">
        <v>8376</v>
      </c>
    </row>
    <row r="1665" spans="1:10" x14ac:dyDescent="0.35">
      <c r="A1665" s="6" t="s">
        <v>697</v>
      </c>
      <c r="B1665">
        <v>38.99</v>
      </c>
      <c r="C1665">
        <v>5.21</v>
      </c>
      <c r="D1665" s="6" t="s">
        <v>2370</v>
      </c>
      <c r="E1665" s="6" t="s">
        <v>2372</v>
      </c>
      <c r="F1665" s="6" t="s">
        <v>2370</v>
      </c>
      <c r="G1665">
        <v>1</v>
      </c>
      <c r="H1665" s="6" t="s">
        <v>2370</v>
      </c>
      <c r="I1665" t="s">
        <v>8374</v>
      </c>
      <c r="J1665" t="s">
        <v>8377</v>
      </c>
    </row>
    <row r="1666" spans="1:10" x14ac:dyDescent="0.35">
      <c r="A1666" s="6" t="s">
        <v>696</v>
      </c>
      <c r="B1666">
        <v>42.655000000000001</v>
      </c>
      <c r="C1666">
        <v>5.94</v>
      </c>
      <c r="D1666" s="6" t="s">
        <v>2373</v>
      </c>
      <c r="E1666" s="6" t="s">
        <v>2370</v>
      </c>
      <c r="F1666" s="6" t="s">
        <v>2373</v>
      </c>
      <c r="G1666">
        <v>1</v>
      </c>
      <c r="H1666" s="6" t="s">
        <v>2370</v>
      </c>
      <c r="I1666" t="s">
        <v>8374</v>
      </c>
      <c r="J1666" t="s">
        <v>8376</v>
      </c>
    </row>
    <row r="1667" spans="1:10" x14ac:dyDescent="0.35">
      <c r="A1667" s="6" t="s">
        <v>695</v>
      </c>
      <c r="B1667">
        <v>30.57</v>
      </c>
      <c r="C1667">
        <v>5.34</v>
      </c>
      <c r="D1667" s="6" t="s">
        <v>2370</v>
      </c>
      <c r="E1667" s="6" t="s">
        <v>2370</v>
      </c>
      <c r="F1667" s="6" t="s">
        <v>2373</v>
      </c>
      <c r="G1667">
        <v>1</v>
      </c>
      <c r="H1667" s="6" t="s">
        <v>2370</v>
      </c>
      <c r="I1667" t="s">
        <v>8374</v>
      </c>
      <c r="J1667" t="s">
        <v>8377</v>
      </c>
    </row>
    <row r="1668" spans="1:10" x14ac:dyDescent="0.35">
      <c r="A1668" s="6" t="s">
        <v>694</v>
      </c>
      <c r="B1668">
        <v>17.7</v>
      </c>
      <c r="C1668">
        <v>6.38</v>
      </c>
      <c r="D1668" s="6" t="s">
        <v>2370</v>
      </c>
      <c r="E1668" s="6" t="s">
        <v>2370</v>
      </c>
      <c r="F1668" s="6" t="s">
        <v>2370</v>
      </c>
      <c r="G1668">
        <v>2</v>
      </c>
      <c r="H1668" s="6" t="s">
        <v>2370</v>
      </c>
      <c r="I1668" t="s">
        <v>8380</v>
      </c>
      <c r="J1668" t="s">
        <v>8376</v>
      </c>
    </row>
    <row r="1669" spans="1:10" x14ac:dyDescent="0.35">
      <c r="A1669" s="6" t="s">
        <v>693</v>
      </c>
      <c r="B1669">
        <v>34.770000000000003</v>
      </c>
      <c r="C1669">
        <v>4.47</v>
      </c>
      <c r="D1669" s="6" t="s">
        <v>2370</v>
      </c>
      <c r="E1669" s="6" t="s">
        <v>2370</v>
      </c>
      <c r="F1669" s="6" t="s">
        <v>2370</v>
      </c>
      <c r="G1669">
        <v>1</v>
      </c>
      <c r="H1669" s="6" t="s">
        <v>2370</v>
      </c>
      <c r="I1669" t="s">
        <v>8374</v>
      </c>
      <c r="J1669" t="s">
        <v>8377</v>
      </c>
    </row>
    <row r="1670" spans="1:10" x14ac:dyDescent="0.35">
      <c r="A1670" s="6" t="s">
        <v>692</v>
      </c>
      <c r="B1670">
        <v>16.88</v>
      </c>
      <c r="C1670">
        <v>9.9600000000000009</v>
      </c>
      <c r="D1670" s="6" t="s">
        <v>2370</v>
      </c>
      <c r="E1670" s="6" t="s">
        <v>2370</v>
      </c>
      <c r="F1670" s="6" t="s">
        <v>2370</v>
      </c>
      <c r="G1670">
        <v>0</v>
      </c>
      <c r="H1670" s="6" t="s">
        <v>2370</v>
      </c>
      <c r="I1670" t="s">
        <v>8380</v>
      </c>
      <c r="J1670" t="s">
        <v>8375</v>
      </c>
    </row>
    <row r="1671" spans="1:10" x14ac:dyDescent="0.35">
      <c r="A1671" s="6" t="s">
        <v>691</v>
      </c>
      <c r="B1671">
        <v>40.26</v>
      </c>
      <c r="C1671">
        <v>9.92</v>
      </c>
      <c r="D1671" s="6" t="s">
        <v>2373</v>
      </c>
      <c r="E1671" s="6" t="s">
        <v>2370</v>
      </c>
      <c r="F1671" s="6" t="s">
        <v>2370</v>
      </c>
      <c r="G1671">
        <v>0</v>
      </c>
      <c r="H1671" s="6" t="s">
        <v>2370</v>
      </c>
      <c r="I1671" t="s">
        <v>8374</v>
      </c>
      <c r="J1671" t="s">
        <v>8375</v>
      </c>
    </row>
    <row r="1672" spans="1:10" x14ac:dyDescent="0.35">
      <c r="A1672" s="6" t="s">
        <v>690</v>
      </c>
      <c r="B1672">
        <v>25.6</v>
      </c>
      <c r="C1672">
        <v>6.03</v>
      </c>
      <c r="D1672" s="6" t="s">
        <v>2370</v>
      </c>
      <c r="E1672" s="6" t="s">
        <v>2370</v>
      </c>
      <c r="F1672" s="6" t="s">
        <v>2373</v>
      </c>
      <c r="G1672">
        <v>1</v>
      </c>
      <c r="H1672" s="6" t="s">
        <v>2370</v>
      </c>
      <c r="I1672" t="s">
        <v>8378</v>
      </c>
      <c r="J1672" t="s">
        <v>8376</v>
      </c>
    </row>
    <row r="1673" spans="1:10" x14ac:dyDescent="0.35">
      <c r="A1673" s="6" t="s">
        <v>689</v>
      </c>
      <c r="B1673">
        <v>33.549999999999997</v>
      </c>
      <c r="C1673">
        <v>10.9</v>
      </c>
      <c r="D1673" s="6" t="s">
        <v>2373</v>
      </c>
      <c r="E1673" s="6" t="s">
        <v>2370</v>
      </c>
      <c r="F1673" s="6" t="s">
        <v>2370</v>
      </c>
      <c r="G1673">
        <v>0</v>
      </c>
      <c r="H1673" s="6" t="s">
        <v>2370</v>
      </c>
      <c r="I1673" t="s">
        <v>8374</v>
      </c>
      <c r="J1673" t="s">
        <v>8375</v>
      </c>
    </row>
    <row r="1674" spans="1:10" x14ac:dyDescent="0.35">
      <c r="A1674" s="6" t="s">
        <v>688</v>
      </c>
      <c r="B1674">
        <v>16.690000000000001</v>
      </c>
      <c r="C1674">
        <v>10.66</v>
      </c>
      <c r="D1674" s="6" t="s">
        <v>2370</v>
      </c>
      <c r="E1674" s="6" t="s">
        <v>2370</v>
      </c>
      <c r="F1674" s="6" t="s">
        <v>2370</v>
      </c>
      <c r="G1674">
        <v>0</v>
      </c>
      <c r="H1674" s="6" t="s">
        <v>2370</v>
      </c>
      <c r="I1674" t="s">
        <v>8380</v>
      </c>
      <c r="J1674" t="s">
        <v>8375</v>
      </c>
    </row>
    <row r="1675" spans="1:10" x14ac:dyDescent="0.35">
      <c r="A1675" s="6" t="s">
        <v>687</v>
      </c>
      <c r="B1675">
        <v>19.95</v>
      </c>
      <c r="C1675">
        <v>4.05</v>
      </c>
      <c r="D1675" s="6" t="s">
        <v>2370</v>
      </c>
      <c r="E1675" s="6" t="s">
        <v>2370</v>
      </c>
      <c r="F1675" s="6" t="s">
        <v>2370</v>
      </c>
      <c r="G1675">
        <v>1</v>
      </c>
      <c r="H1675" s="6" t="s">
        <v>2370</v>
      </c>
      <c r="I1675" t="s">
        <v>8379</v>
      </c>
      <c r="J1675" t="s">
        <v>8377</v>
      </c>
    </row>
    <row r="1676" spans="1:10" x14ac:dyDescent="0.35">
      <c r="A1676" s="6" t="s">
        <v>686</v>
      </c>
      <c r="B1676">
        <v>17.55</v>
      </c>
      <c r="C1676">
        <v>4.2300000000000004</v>
      </c>
      <c r="D1676" s="6" t="s">
        <v>2370</v>
      </c>
      <c r="E1676" s="6" t="s">
        <v>2370</v>
      </c>
      <c r="F1676" s="6" t="s">
        <v>2370</v>
      </c>
      <c r="G1676">
        <v>2</v>
      </c>
      <c r="H1676" s="6" t="s">
        <v>2370</v>
      </c>
      <c r="I1676" t="s">
        <v>8380</v>
      </c>
      <c r="J1676" t="s">
        <v>8377</v>
      </c>
    </row>
    <row r="1677" spans="1:10" x14ac:dyDescent="0.35">
      <c r="A1677" s="6" t="s">
        <v>685</v>
      </c>
      <c r="B1677">
        <v>22.01</v>
      </c>
      <c r="C1677">
        <v>5.01</v>
      </c>
      <c r="D1677" s="6" t="s">
        <v>2370</v>
      </c>
      <c r="E1677" s="6" t="s">
        <v>2370</v>
      </c>
      <c r="F1677" s="6" t="s">
        <v>2370</v>
      </c>
      <c r="G1677">
        <v>1</v>
      </c>
      <c r="H1677" s="6" t="s">
        <v>2370</v>
      </c>
      <c r="I1677" t="s">
        <v>8379</v>
      </c>
      <c r="J1677" t="s">
        <v>8377</v>
      </c>
    </row>
    <row r="1678" spans="1:10" x14ac:dyDescent="0.35">
      <c r="A1678" s="6" t="s">
        <v>684</v>
      </c>
      <c r="B1678">
        <v>41.8</v>
      </c>
      <c r="C1678">
        <v>5.82</v>
      </c>
      <c r="D1678" s="6" t="s">
        <v>2373</v>
      </c>
      <c r="E1678" s="6" t="s">
        <v>2370</v>
      </c>
      <c r="F1678" s="6" t="s">
        <v>2373</v>
      </c>
      <c r="G1678">
        <v>1</v>
      </c>
      <c r="H1678" s="6" t="s">
        <v>2370</v>
      </c>
      <c r="I1678" t="s">
        <v>8374</v>
      </c>
      <c r="J1678" t="s">
        <v>8376</v>
      </c>
    </row>
    <row r="1679" spans="1:10" x14ac:dyDescent="0.35">
      <c r="A1679" s="6" t="s">
        <v>683</v>
      </c>
      <c r="B1679">
        <v>19.170000000000002</v>
      </c>
      <c r="C1679">
        <v>7.94</v>
      </c>
      <c r="D1679" s="6" t="s">
        <v>2370</v>
      </c>
      <c r="E1679" s="6" t="s">
        <v>2370</v>
      </c>
      <c r="F1679" s="6" t="s">
        <v>2370</v>
      </c>
      <c r="G1679">
        <v>0</v>
      </c>
      <c r="H1679" s="6" t="s">
        <v>2370</v>
      </c>
      <c r="I1679" t="s">
        <v>8379</v>
      </c>
      <c r="J1679" t="s">
        <v>8375</v>
      </c>
    </row>
    <row r="1680" spans="1:10" x14ac:dyDescent="0.35">
      <c r="A1680" s="6" t="s">
        <v>682</v>
      </c>
      <c r="B1680">
        <v>32.799999999999997</v>
      </c>
      <c r="C1680">
        <v>6.16</v>
      </c>
      <c r="D1680" s="6" t="s">
        <v>2373</v>
      </c>
      <c r="E1680" s="6" t="s">
        <v>2370</v>
      </c>
      <c r="F1680" s="6" t="s">
        <v>2373</v>
      </c>
      <c r="G1680">
        <v>1</v>
      </c>
      <c r="H1680" s="6" t="s">
        <v>2370</v>
      </c>
      <c r="I1680" t="s">
        <v>8374</v>
      </c>
      <c r="J1680" t="s">
        <v>8376</v>
      </c>
    </row>
    <row r="1681" spans="1:10" x14ac:dyDescent="0.35">
      <c r="A1681" s="6" t="s">
        <v>681</v>
      </c>
      <c r="B1681">
        <v>35.814999999999998</v>
      </c>
      <c r="C1681">
        <v>4.1500000000000004</v>
      </c>
      <c r="D1681" s="6" t="s">
        <v>2370</v>
      </c>
      <c r="E1681" s="6" t="s">
        <v>2370</v>
      </c>
      <c r="F1681" s="6" t="s">
        <v>2370</v>
      </c>
      <c r="G1681">
        <v>1</v>
      </c>
      <c r="H1681" s="6" t="s">
        <v>2370</v>
      </c>
      <c r="I1681" t="s">
        <v>8374</v>
      </c>
      <c r="J1681" t="s">
        <v>8377</v>
      </c>
    </row>
    <row r="1682" spans="1:10" x14ac:dyDescent="0.35">
      <c r="A1682" s="6" t="s">
        <v>680</v>
      </c>
      <c r="B1682">
        <v>24.3</v>
      </c>
      <c r="C1682">
        <v>6.23</v>
      </c>
      <c r="D1682" s="6" t="s">
        <v>2370</v>
      </c>
      <c r="E1682" s="6" t="s">
        <v>2370</v>
      </c>
      <c r="F1682" s="6" t="s">
        <v>2370</v>
      </c>
      <c r="G1682">
        <v>0</v>
      </c>
      <c r="H1682" s="6" t="s">
        <v>2370</v>
      </c>
      <c r="I1682" t="s">
        <v>8379</v>
      </c>
      <c r="J1682" t="s">
        <v>8376</v>
      </c>
    </row>
    <row r="1683" spans="1:10" x14ac:dyDescent="0.35">
      <c r="A1683" s="6" t="s">
        <v>679</v>
      </c>
      <c r="B1683">
        <v>19.059999999999999</v>
      </c>
      <c r="C1683">
        <v>7.41</v>
      </c>
      <c r="D1683" s="6" t="s">
        <v>2370</v>
      </c>
      <c r="E1683" s="6" t="s">
        <v>2370</v>
      </c>
      <c r="F1683" s="6" t="s">
        <v>2370</v>
      </c>
      <c r="G1683">
        <v>0</v>
      </c>
      <c r="H1683" s="6" t="s">
        <v>2370</v>
      </c>
      <c r="I1683" t="s">
        <v>8379</v>
      </c>
      <c r="J1683" t="s">
        <v>8375</v>
      </c>
    </row>
    <row r="1684" spans="1:10" x14ac:dyDescent="0.35">
      <c r="A1684" s="6" t="s">
        <v>678</v>
      </c>
      <c r="B1684">
        <v>33.25</v>
      </c>
      <c r="C1684">
        <v>5.62</v>
      </c>
      <c r="D1684" s="6" t="s">
        <v>2373</v>
      </c>
      <c r="E1684" s="6" t="s">
        <v>2370</v>
      </c>
      <c r="F1684" s="6" t="s">
        <v>2370</v>
      </c>
      <c r="G1684">
        <v>1</v>
      </c>
      <c r="H1684" s="6" t="s">
        <v>2370</v>
      </c>
      <c r="I1684" t="s">
        <v>8374</v>
      </c>
      <c r="J1684" t="s">
        <v>8377</v>
      </c>
    </row>
    <row r="1685" spans="1:10" x14ac:dyDescent="0.35">
      <c r="A1685" s="6" t="s">
        <v>677</v>
      </c>
      <c r="B1685">
        <v>21.37</v>
      </c>
      <c r="C1685">
        <v>4.54</v>
      </c>
      <c r="D1685" s="6" t="s">
        <v>2373</v>
      </c>
      <c r="E1685" s="6" t="s">
        <v>2370</v>
      </c>
      <c r="F1685" s="6" t="s">
        <v>2373</v>
      </c>
      <c r="G1685">
        <v>1</v>
      </c>
      <c r="H1685" s="6" t="s">
        <v>2370</v>
      </c>
      <c r="I1685" t="s">
        <v>8379</v>
      </c>
      <c r="J1685" t="s">
        <v>8377</v>
      </c>
    </row>
    <row r="1686" spans="1:10" x14ac:dyDescent="0.35">
      <c r="A1686" s="6" t="s">
        <v>676</v>
      </c>
      <c r="B1686">
        <v>34.43</v>
      </c>
      <c r="C1686">
        <v>8.6199999999999992</v>
      </c>
      <c r="D1686" s="6" t="s">
        <v>2373</v>
      </c>
      <c r="E1686" s="6" t="s">
        <v>2370</v>
      </c>
      <c r="F1686" s="6" t="s">
        <v>2370</v>
      </c>
      <c r="G1686">
        <v>1</v>
      </c>
      <c r="H1686" s="6" t="s">
        <v>2370</v>
      </c>
      <c r="I1686" t="s">
        <v>8374</v>
      </c>
      <c r="J1686" t="s">
        <v>8375</v>
      </c>
    </row>
    <row r="1687" spans="1:10" x14ac:dyDescent="0.35">
      <c r="A1687" s="6" t="s">
        <v>675</v>
      </c>
      <c r="B1687">
        <v>20.86</v>
      </c>
      <c r="C1687">
        <v>4.3600000000000003</v>
      </c>
      <c r="D1687" s="6" t="s">
        <v>2373</v>
      </c>
      <c r="E1687" s="6" t="s">
        <v>2370</v>
      </c>
      <c r="F1687" s="6" t="s">
        <v>2370</v>
      </c>
      <c r="G1687">
        <v>0</v>
      </c>
      <c r="H1687" s="6" t="s">
        <v>2370</v>
      </c>
      <c r="I1687" t="s">
        <v>8379</v>
      </c>
      <c r="J1687" t="s">
        <v>8377</v>
      </c>
    </row>
    <row r="1688" spans="1:10" x14ac:dyDescent="0.35">
      <c r="A1688" s="6" t="s">
        <v>674</v>
      </c>
      <c r="B1688">
        <v>18.34</v>
      </c>
      <c r="C1688">
        <v>10.01</v>
      </c>
      <c r="D1688" s="6" t="s">
        <v>2370</v>
      </c>
      <c r="E1688" s="6" t="s">
        <v>2370</v>
      </c>
      <c r="F1688" s="6" t="s">
        <v>2370</v>
      </c>
      <c r="G1688">
        <v>0</v>
      </c>
      <c r="H1688" s="6" t="s">
        <v>2370</v>
      </c>
      <c r="I1688" t="s">
        <v>8380</v>
      </c>
      <c r="J1688" t="s">
        <v>8375</v>
      </c>
    </row>
    <row r="1689" spans="1:10" x14ac:dyDescent="0.35">
      <c r="A1689" s="6" t="s">
        <v>673</v>
      </c>
      <c r="B1689">
        <v>34.15</v>
      </c>
      <c r="C1689">
        <v>5.42</v>
      </c>
      <c r="D1689" s="6" t="s">
        <v>2370</v>
      </c>
      <c r="E1689" s="6" t="s">
        <v>2370</v>
      </c>
      <c r="F1689" s="6" t="s">
        <v>2370</v>
      </c>
      <c r="G1689">
        <v>0</v>
      </c>
      <c r="H1689" s="6" t="s">
        <v>2370</v>
      </c>
      <c r="I1689" t="s">
        <v>8374</v>
      </c>
      <c r="J1689" t="s">
        <v>8377</v>
      </c>
    </row>
    <row r="1690" spans="1:10" x14ac:dyDescent="0.35">
      <c r="A1690" s="6" t="s">
        <v>672</v>
      </c>
      <c r="B1690">
        <v>18.350000000000001</v>
      </c>
      <c r="C1690">
        <v>5.12</v>
      </c>
      <c r="D1690" s="6" t="s">
        <v>2370</v>
      </c>
      <c r="E1690" s="6" t="s">
        <v>2370</v>
      </c>
      <c r="F1690" s="6" t="s">
        <v>2370</v>
      </c>
      <c r="G1690">
        <v>0</v>
      </c>
      <c r="H1690" s="6" t="s">
        <v>2370</v>
      </c>
      <c r="I1690" t="s">
        <v>8380</v>
      </c>
      <c r="J1690" t="s">
        <v>8377</v>
      </c>
    </row>
    <row r="1691" spans="1:10" x14ac:dyDescent="0.35">
      <c r="A1691" s="6" t="s">
        <v>671</v>
      </c>
      <c r="B1691">
        <v>22.13</v>
      </c>
      <c r="C1691">
        <v>9.1999999999999993</v>
      </c>
      <c r="D1691" s="6" t="s">
        <v>2373</v>
      </c>
      <c r="E1691" s="6" t="s">
        <v>2370</v>
      </c>
      <c r="F1691" s="6" t="s">
        <v>2370</v>
      </c>
      <c r="G1691">
        <v>0</v>
      </c>
      <c r="H1691" s="6" t="s">
        <v>2370</v>
      </c>
      <c r="I1691" t="s">
        <v>8379</v>
      </c>
      <c r="J1691" t="s">
        <v>8375</v>
      </c>
    </row>
    <row r="1692" spans="1:10" x14ac:dyDescent="0.35">
      <c r="A1692" s="6" t="s">
        <v>670</v>
      </c>
      <c r="B1692">
        <v>22.51</v>
      </c>
      <c r="C1692">
        <v>6.08</v>
      </c>
      <c r="D1692" s="6" t="s">
        <v>2373</v>
      </c>
      <c r="E1692" s="6" t="s">
        <v>2370</v>
      </c>
      <c r="F1692" s="6" t="s">
        <v>2370</v>
      </c>
      <c r="G1692">
        <v>1</v>
      </c>
      <c r="H1692" s="6" t="s">
        <v>2370</v>
      </c>
      <c r="I1692" t="s">
        <v>8379</v>
      </c>
      <c r="J1692" t="s">
        <v>8376</v>
      </c>
    </row>
    <row r="1693" spans="1:10" x14ac:dyDescent="0.35">
      <c r="A1693" s="6" t="s">
        <v>669</v>
      </c>
      <c r="B1693">
        <v>31</v>
      </c>
      <c r="C1693">
        <v>4.7699999999999996</v>
      </c>
      <c r="D1693" s="6" t="s">
        <v>2370</v>
      </c>
      <c r="E1693" s="6" t="s">
        <v>2370</v>
      </c>
      <c r="F1693" s="6" t="s">
        <v>2370</v>
      </c>
      <c r="G1693">
        <v>1</v>
      </c>
      <c r="H1693" s="6" t="s">
        <v>2370</v>
      </c>
      <c r="I1693" t="s">
        <v>8374</v>
      </c>
      <c r="J1693" t="s">
        <v>8377</v>
      </c>
    </row>
    <row r="1694" spans="1:10" x14ac:dyDescent="0.35">
      <c r="A1694" s="6" t="s">
        <v>668</v>
      </c>
      <c r="B1694">
        <v>28.27</v>
      </c>
      <c r="C1694">
        <v>4.62</v>
      </c>
      <c r="D1694" s="6" t="s">
        <v>2370</v>
      </c>
      <c r="E1694" s="6" t="s">
        <v>2370</v>
      </c>
      <c r="F1694" s="6" t="s">
        <v>2370</v>
      </c>
      <c r="G1694">
        <v>1</v>
      </c>
      <c r="H1694" s="6" t="s">
        <v>2370</v>
      </c>
      <c r="I1694" t="s">
        <v>8378</v>
      </c>
      <c r="J1694" t="s">
        <v>8377</v>
      </c>
    </row>
    <row r="1695" spans="1:10" x14ac:dyDescent="0.35">
      <c r="A1695" s="6" t="s">
        <v>667</v>
      </c>
      <c r="B1695">
        <v>29.92</v>
      </c>
      <c r="C1695">
        <v>9.07</v>
      </c>
      <c r="D1695" s="6" t="s">
        <v>2373</v>
      </c>
      <c r="E1695" s="6" t="s">
        <v>2370</v>
      </c>
      <c r="F1695" s="6" t="s">
        <v>2370</v>
      </c>
      <c r="G1695">
        <v>1</v>
      </c>
      <c r="H1695" s="6" t="s">
        <v>2370</v>
      </c>
      <c r="I1695" t="s">
        <v>8378</v>
      </c>
      <c r="J1695" t="s">
        <v>8375</v>
      </c>
    </row>
    <row r="1696" spans="1:10" x14ac:dyDescent="0.35">
      <c r="A1696" s="6" t="s">
        <v>666</v>
      </c>
      <c r="B1696">
        <v>25.9</v>
      </c>
      <c r="C1696">
        <v>9.1199999999999992</v>
      </c>
      <c r="D1696" s="6" t="s">
        <v>2373</v>
      </c>
      <c r="E1696" s="6" t="s">
        <v>2370</v>
      </c>
      <c r="F1696" s="6" t="s">
        <v>2370</v>
      </c>
      <c r="G1696">
        <v>1</v>
      </c>
      <c r="H1696" s="6" t="s">
        <v>2370</v>
      </c>
      <c r="I1696" t="s">
        <v>8378</v>
      </c>
      <c r="J1696" t="s">
        <v>8375</v>
      </c>
    </row>
    <row r="1697" spans="1:10" x14ac:dyDescent="0.35">
      <c r="A1697" s="6" t="s">
        <v>665</v>
      </c>
      <c r="B1697">
        <v>27.74</v>
      </c>
      <c r="C1697">
        <v>7.32</v>
      </c>
      <c r="D1697" s="6" t="s">
        <v>2373</v>
      </c>
      <c r="E1697" s="6" t="s">
        <v>2370</v>
      </c>
      <c r="F1697" s="6" t="s">
        <v>2370</v>
      </c>
      <c r="G1697">
        <v>1</v>
      </c>
      <c r="H1697" s="6" t="s">
        <v>2370</v>
      </c>
      <c r="I1697" t="s">
        <v>8378</v>
      </c>
      <c r="J1697" t="s">
        <v>8375</v>
      </c>
    </row>
    <row r="1698" spans="1:10" x14ac:dyDescent="0.35">
      <c r="A1698" s="6" t="s">
        <v>664</v>
      </c>
      <c r="B1698">
        <v>17.260000000000002</v>
      </c>
      <c r="C1698">
        <v>11.73</v>
      </c>
      <c r="D1698" s="6" t="s">
        <v>2370</v>
      </c>
      <c r="E1698" s="6" t="s">
        <v>2370</v>
      </c>
      <c r="F1698" s="6" t="s">
        <v>2370</v>
      </c>
      <c r="G1698">
        <v>2</v>
      </c>
      <c r="H1698" s="6" t="s">
        <v>2370</v>
      </c>
      <c r="I1698" t="s">
        <v>8380</v>
      </c>
      <c r="J1698" t="s">
        <v>8375</v>
      </c>
    </row>
    <row r="1699" spans="1:10" x14ac:dyDescent="0.35">
      <c r="A1699" s="6" t="s">
        <v>663</v>
      </c>
      <c r="B1699">
        <v>19.855</v>
      </c>
      <c r="C1699">
        <v>6.64</v>
      </c>
      <c r="D1699" s="6" t="s">
        <v>2373</v>
      </c>
      <c r="E1699" s="6" t="s">
        <v>2370</v>
      </c>
      <c r="F1699" s="6" t="s">
        <v>2370</v>
      </c>
      <c r="G1699">
        <v>1</v>
      </c>
      <c r="H1699" s="6" t="s">
        <v>2370</v>
      </c>
      <c r="I1699" t="s">
        <v>8379</v>
      </c>
      <c r="J1699" t="s">
        <v>8375</v>
      </c>
    </row>
    <row r="1700" spans="1:10" x14ac:dyDescent="0.35">
      <c r="A1700" s="6" t="s">
        <v>662</v>
      </c>
      <c r="B1700">
        <v>41.69</v>
      </c>
      <c r="C1700">
        <v>5.78</v>
      </c>
      <c r="D1700" s="6" t="s">
        <v>2370</v>
      </c>
      <c r="E1700" s="6" t="s">
        <v>2370</v>
      </c>
      <c r="F1700" s="6" t="s">
        <v>2370</v>
      </c>
      <c r="G1700">
        <v>0</v>
      </c>
      <c r="H1700" s="6" t="s">
        <v>2370</v>
      </c>
      <c r="I1700" t="s">
        <v>8374</v>
      </c>
      <c r="J1700" t="s">
        <v>8376</v>
      </c>
    </row>
    <row r="1701" spans="1:10" x14ac:dyDescent="0.35">
      <c r="A1701" s="6" t="s">
        <v>661</v>
      </c>
      <c r="B1701">
        <v>16.12</v>
      </c>
      <c r="C1701">
        <v>10.45</v>
      </c>
      <c r="D1701" s="6" t="s">
        <v>2370</v>
      </c>
      <c r="E1701" s="6" t="s">
        <v>2370</v>
      </c>
      <c r="F1701" s="6" t="s">
        <v>2370</v>
      </c>
      <c r="G1701">
        <v>0</v>
      </c>
      <c r="H1701" s="6" t="s">
        <v>2370</v>
      </c>
      <c r="I1701" t="s">
        <v>8380</v>
      </c>
      <c r="J1701" t="s">
        <v>8375</v>
      </c>
    </row>
    <row r="1702" spans="1:10" x14ac:dyDescent="0.35">
      <c r="A1702" s="6" t="s">
        <v>660</v>
      </c>
      <c r="B1702">
        <v>37.43</v>
      </c>
      <c r="C1702">
        <v>4.5199999999999996</v>
      </c>
      <c r="D1702" s="6" t="s">
        <v>2370</v>
      </c>
      <c r="E1702" s="6" t="s">
        <v>2370</v>
      </c>
      <c r="F1702" s="6" t="s">
        <v>2370</v>
      </c>
      <c r="G1702">
        <v>1</v>
      </c>
      <c r="H1702" s="6" t="s">
        <v>2370</v>
      </c>
      <c r="I1702" t="s">
        <v>8374</v>
      </c>
      <c r="J1702" t="s">
        <v>8377</v>
      </c>
    </row>
    <row r="1703" spans="1:10" x14ac:dyDescent="0.35">
      <c r="A1703" s="6" t="s">
        <v>659</v>
      </c>
      <c r="B1703">
        <v>31.065000000000001</v>
      </c>
      <c r="C1703">
        <v>5.71</v>
      </c>
      <c r="D1703" s="6" t="s">
        <v>2370</v>
      </c>
      <c r="E1703" s="6" t="s">
        <v>2370</v>
      </c>
      <c r="F1703" s="6" t="s">
        <v>2370</v>
      </c>
      <c r="G1703">
        <v>0</v>
      </c>
      <c r="H1703" s="6" t="s">
        <v>2370</v>
      </c>
      <c r="I1703" t="s">
        <v>8374</v>
      </c>
      <c r="J1703" t="s">
        <v>8376</v>
      </c>
    </row>
    <row r="1704" spans="1:10" x14ac:dyDescent="0.35">
      <c r="A1704" s="6" t="s">
        <v>658</v>
      </c>
      <c r="B1704">
        <v>25.08</v>
      </c>
      <c r="C1704">
        <v>4.7699999999999996</v>
      </c>
      <c r="D1704" s="6" t="s">
        <v>2370</v>
      </c>
      <c r="E1704" s="6" t="s">
        <v>2370</v>
      </c>
      <c r="F1704" s="6" t="s">
        <v>2370</v>
      </c>
      <c r="G1704">
        <v>0</v>
      </c>
      <c r="H1704" s="6" t="s">
        <v>2370</v>
      </c>
      <c r="I1704" t="s">
        <v>8378</v>
      </c>
      <c r="J1704" t="s">
        <v>8377</v>
      </c>
    </row>
    <row r="1705" spans="1:10" x14ac:dyDescent="0.35">
      <c r="A1705" s="6" t="s">
        <v>657</v>
      </c>
      <c r="B1705">
        <v>15.2</v>
      </c>
      <c r="C1705">
        <v>7.81</v>
      </c>
      <c r="D1705" s="6" t="s">
        <v>2373</v>
      </c>
      <c r="E1705" s="6" t="s">
        <v>2370</v>
      </c>
      <c r="F1705" s="6" t="s">
        <v>2370</v>
      </c>
      <c r="G1705">
        <v>1</v>
      </c>
      <c r="H1705" s="6" t="s">
        <v>2370</v>
      </c>
      <c r="I1705" t="s">
        <v>8380</v>
      </c>
      <c r="J1705" t="s">
        <v>8375</v>
      </c>
    </row>
    <row r="1706" spans="1:10" x14ac:dyDescent="0.35">
      <c r="A1706" s="6" t="s">
        <v>656</v>
      </c>
      <c r="B1706">
        <v>22.34</v>
      </c>
      <c r="C1706">
        <v>5.19</v>
      </c>
      <c r="D1706" s="6" t="s">
        <v>2373</v>
      </c>
      <c r="E1706" s="6" t="s">
        <v>2370</v>
      </c>
      <c r="F1706" s="6" t="s">
        <v>2370</v>
      </c>
      <c r="G1706">
        <v>0</v>
      </c>
      <c r="H1706" s="6" t="s">
        <v>2370</v>
      </c>
      <c r="I1706" t="s">
        <v>8379</v>
      </c>
      <c r="J1706" t="s">
        <v>8377</v>
      </c>
    </row>
    <row r="1707" spans="1:10" x14ac:dyDescent="0.35">
      <c r="A1707" s="6" t="s">
        <v>655</v>
      </c>
      <c r="B1707">
        <v>40.15</v>
      </c>
      <c r="C1707">
        <v>5.93</v>
      </c>
      <c r="D1707" s="6" t="s">
        <v>2370</v>
      </c>
      <c r="E1707" s="6" t="s">
        <v>2370</v>
      </c>
      <c r="F1707" s="6" t="s">
        <v>2370</v>
      </c>
      <c r="G1707">
        <v>1</v>
      </c>
      <c r="H1707" s="6" t="s">
        <v>2370</v>
      </c>
      <c r="I1707" t="s">
        <v>8374</v>
      </c>
      <c r="J1707" t="s">
        <v>8376</v>
      </c>
    </row>
    <row r="1708" spans="1:10" x14ac:dyDescent="0.35">
      <c r="A1708" s="6" t="s">
        <v>654</v>
      </c>
      <c r="B1708">
        <v>37.729999999999997</v>
      </c>
      <c r="C1708">
        <v>6.29</v>
      </c>
      <c r="D1708" s="6" t="s">
        <v>2370</v>
      </c>
      <c r="E1708" s="6" t="s">
        <v>2370</v>
      </c>
      <c r="F1708" s="6" t="s">
        <v>2370</v>
      </c>
      <c r="G1708">
        <v>1</v>
      </c>
      <c r="H1708" s="6" t="s">
        <v>2370</v>
      </c>
      <c r="I1708" t="s">
        <v>8374</v>
      </c>
      <c r="J1708" t="s">
        <v>8376</v>
      </c>
    </row>
    <row r="1709" spans="1:10" x14ac:dyDescent="0.35">
      <c r="A1709" s="6" t="s">
        <v>653</v>
      </c>
      <c r="B1709">
        <v>25.35</v>
      </c>
      <c r="C1709">
        <v>4.9000000000000004</v>
      </c>
      <c r="D1709" s="6" t="s">
        <v>2370</v>
      </c>
      <c r="E1709" s="6" t="s">
        <v>2370</v>
      </c>
      <c r="F1709" s="6" t="s">
        <v>2370</v>
      </c>
      <c r="G1709">
        <v>0</v>
      </c>
      <c r="H1709" s="6" t="s">
        <v>2370</v>
      </c>
      <c r="I1709" t="s">
        <v>8378</v>
      </c>
      <c r="J1709" t="s">
        <v>8377</v>
      </c>
    </row>
    <row r="1710" spans="1:10" x14ac:dyDescent="0.35">
      <c r="A1710" s="6" t="s">
        <v>652</v>
      </c>
      <c r="B1710">
        <v>26.41</v>
      </c>
      <c r="C1710">
        <v>5.07</v>
      </c>
      <c r="D1710" s="6" t="s">
        <v>2373</v>
      </c>
      <c r="E1710" s="6" t="s">
        <v>2370</v>
      </c>
      <c r="F1710" s="6" t="s">
        <v>2370</v>
      </c>
      <c r="G1710">
        <v>1</v>
      </c>
      <c r="H1710" s="6" t="s">
        <v>2370</v>
      </c>
      <c r="I1710" t="s">
        <v>8378</v>
      </c>
      <c r="J1710" t="s">
        <v>8377</v>
      </c>
    </row>
    <row r="1711" spans="1:10" x14ac:dyDescent="0.35">
      <c r="A1711" s="6" t="s">
        <v>651</v>
      </c>
      <c r="B1711">
        <v>27.6</v>
      </c>
      <c r="C1711">
        <v>5.33</v>
      </c>
      <c r="D1711" s="6" t="s">
        <v>2370</v>
      </c>
      <c r="E1711" s="6" t="s">
        <v>2370</v>
      </c>
      <c r="F1711" s="6" t="s">
        <v>2370</v>
      </c>
      <c r="G1711">
        <v>1</v>
      </c>
      <c r="H1711" s="6" t="s">
        <v>2370</v>
      </c>
      <c r="I1711" t="s">
        <v>8378</v>
      </c>
      <c r="J1711" t="s">
        <v>8377</v>
      </c>
    </row>
    <row r="1712" spans="1:10" x14ac:dyDescent="0.35">
      <c r="A1712" s="6" t="s">
        <v>650</v>
      </c>
      <c r="B1712">
        <v>33.82</v>
      </c>
      <c r="C1712">
        <v>8.93</v>
      </c>
      <c r="D1712" s="6" t="s">
        <v>2373</v>
      </c>
      <c r="E1712" s="6" t="s">
        <v>2370</v>
      </c>
      <c r="F1712" s="6" t="s">
        <v>2370</v>
      </c>
      <c r="G1712">
        <v>1</v>
      </c>
      <c r="H1712" s="6" t="s">
        <v>2370</v>
      </c>
      <c r="I1712" t="s">
        <v>8374</v>
      </c>
      <c r="J1712" t="s">
        <v>8375</v>
      </c>
    </row>
    <row r="1713" spans="1:10" x14ac:dyDescent="0.35">
      <c r="A1713" s="6" t="s">
        <v>649</v>
      </c>
      <c r="B1713">
        <v>32.9</v>
      </c>
      <c r="C1713">
        <v>4.3499999999999996</v>
      </c>
      <c r="D1713" s="6" t="s">
        <v>2370</v>
      </c>
      <c r="E1713" s="6" t="s">
        <v>2370</v>
      </c>
      <c r="F1713" s="6" t="s">
        <v>2370</v>
      </c>
      <c r="G1713">
        <v>0</v>
      </c>
      <c r="H1713" s="6" t="s">
        <v>2370</v>
      </c>
      <c r="I1713" t="s">
        <v>8374</v>
      </c>
      <c r="J1713" t="s">
        <v>8377</v>
      </c>
    </row>
    <row r="1714" spans="1:10" x14ac:dyDescent="0.35">
      <c r="A1714" s="6" t="s">
        <v>648</v>
      </c>
      <c r="B1714">
        <v>30.875</v>
      </c>
      <c r="C1714">
        <v>9.5399999999999991</v>
      </c>
      <c r="D1714" s="6" t="s">
        <v>2373</v>
      </c>
      <c r="E1714" s="6" t="s">
        <v>2370</v>
      </c>
      <c r="F1714" s="6" t="s">
        <v>2370</v>
      </c>
      <c r="G1714">
        <v>1</v>
      </c>
      <c r="H1714" s="6" t="s">
        <v>2370</v>
      </c>
      <c r="I1714" t="s">
        <v>8374</v>
      </c>
      <c r="J1714" t="s">
        <v>8375</v>
      </c>
    </row>
    <row r="1715" spans="1:10" x14ac:dyDescent="0.35">
      <c r="A1715" s="6" t="s">
        <v>647</v>
      </c>
      <c r="B1715">
        <v>32.64</v>
      </c>
      <c r="C1715">
        <v>5.91</v>
      </c>
      <c r="D1715" s="6" t="s">
        <v>2370</v>
      </c>
      <c r="E1715" s="6" t="s">
        <v>2370</v>
      </c>
      <c r="F1715" s="6" t="s">
        <v>2370</v>
      </c>
      <c r="G1715">
        <v>0</v>
      </c>
      <c r="H1715" s="6" t="s">
        <v>2370</v>
      </c>
      <c r="I1715" t="s">
        <v>8374</v>
      </c>
      <c r="J1715" t="s">
        <v>8376</v>
      </c>
    </row>
    <row r="1716" spans="1:10" x14ac:dyDescent="0.35">
      <c r="A1716" s="6" t="s">
        <v>646</v>
      </c>
      <c r="B1716">
        <v>22.135000000000002</v>
      </c>
      <c r="C1716">
        <v>5.0999999999999996</v>
      </c>
      <c r="D1716" s="6" t="s">
        <v>2370</v>
      </c>
      <c r="E1716" s="6" t="s">
        <v>2370</v>
      </c>
      <c r="F1716" s="6" t="s">
        <v>2370</v>
      </c>
      <c r="G1716">
        <v>0</v>
      </c>
      <c r="H1716" s="6" t="s">
        <v>2370</v>
      </c>
      <c r="I1716" t="s">
        <v>8379</v>
      </c>
      <c r="J1716" t="s">
        <v>8377</v>
      </c>
    </row>
    <row r="1717" spans="1:10" x14ac:dyDescent="0.35">
      <c r="A1717" s="6" t="s">
        <v>645</v>
      </c>
      <c r="B1717">
        <v>16.53</v>
      </c>
      <c r="C1717">
        <v>5.08</v>
      </c>
      <c r="D1717" s="6" t="s">
        <v>2370</v>
      </c>
      <c r="E1717" s="6" t="s">
        <v>2370</v>
      </c>
      <c r="F1717" s="6" t="s">
        <v>2370</v>
      </c>
      <c r="G1717">
        <v>2</v>
      </c>
      <c r="H1717" s="6" t="s">
        <v>2370</v>
      </c>
      <c r="I1717" t="s">
        <v>8380</v>
      </c>
      <c r="J1717" t="s">
        <v>8377</v>
      </c>
    </row>
    <row r="1718" spans="1:10" x14ac:dyDescent="0.35">
      <c r="A1718" s="6" t="s">
        <v>644</v>
      </c>
      <c r="B1718">
        <v>32.774999999999999</v>
      </c>
      <c r="C1718">
        <v>4.75</v>
      </c>
      <c r="D1718" s="6" t="s">
        <v>2370</v>
      </c>
      <c r="E1718" s="6" t="s">
        <v>2370</v>
      </c>
      <c r="F1718" s="6" t="s">
        <v>2370</v>
      </c>
      <c r="G1718">
        <v>0</v>
      </c>
      <c r="H1718" s="6" t="s">
        <v>2370</v>
      </c>
      <c r="I1718" t="s">
        <v>8374</v>
      </c>
      <c r="J1718" t="s">
        <v>8377</v>
      </c>
    </row>
    <row r="1719" spans="1:10" x14ac:dyDescent="0.35">
      <c r="A1719" s="6" t="s">
        <v>643</v>
      </c>
      <c r="B1719">
        <v>30.9</v>
      </c>
      <c r="C1719">
        <v>6.05</v>
      </c>
      <c r="D1719" s="6" t="s">
        <v>2370</v>
      </c>
      <c r="E1719" s="6" t="s">
        <v>2370</v>
      </c>
      <c r="F1719" s="6" t="s">
        <v>2370</v>
      </c>
      <c r="G1719">
        <v>1</v>
      </c>
      <c r="H1719" s="6" t="s">
        <v>2370</v>
      </c>
      <c r="I1719" t="s">
        <v>8374</v>
      </c>
      <c r="J1719" t="s">
        <v>8376</v>
      </c>
    </row>
    <row r="1720" spans="1:10" x14ac:dyDescent="0.35">
      <c r="A1720" s="6" t="s">
        <v>642</v>
      </c>
      <c r="B1720">
        <v>15.58</v>
      </c>
      <c r="C1720">
        <v>11.56</v>
      </c>
      <c r="D1720" s="6" t="s">
        <v>2370</v>
      </c>
      <c r="E1720" s="6" t="s">
        <v>2370</v>
      </c>
      <c r="F1720" s="6" t="s">
        <v>2370</v>
      </c>
      <c r="G1720">
        <v>0</v>
      </c>
      <c r="H1720" s="6" t="s">
        <v>2370</v>
      </c>
      <c r="I1720" t="s">
        <v>8380</v>
      </c>
      <c r="J1720" t="s">
        <v>8375</v>
      </c>
    </row>
    <row r="1721" spans="1:10" x14ac:dyDescent="0.35">
      <c r="A1721" s="6" t="s">
        <v>641</v>
      </c>
      <c r="B1721">
        <v>26.315000000000001</v>
      </c>
      <c r="C1721">
        <v>5.76</v>
      </c>
      <c r="D1721" s="6" t="s">
        <v>2370</v>
      </c>
      <c r="E1721" s="6" t="s">
        <v>2370</v>
      </c>
      <c r="F1721" s="6" t="s">
        <v>2370</v>
      </c>
      <c r="G1721">
        <v>0</v>
      </c>
      <c r="H1721" s="6" t="s">
        <v>2370</v>
      </c>
      <c r="I1721" t="s">
        <v>8378</v>
      </c>
      <c r="J1721" t="s">
        <v>8376</v>
      </c>
    </row>
    <row r="1722" spans="1:10" x14ac:dyDescent="0.35">
      <c r="A1722" s="6" t="s">
        <v>640</v>
      </c>
      <c r="B1722">
        <v>35.61</v>
      </c>
      <c r="C1722">
        <v>5.65</v>
      </c>
      <c r="D1722" s="6" t="s">
        <v>2370</v>
      </c>
      <c r="E1722" s="6" t="s">
        <v>2372</v>
      </c>
      <c r="F1722" s="6" t="s">
        <v>2370</v>
      </c>
      <c r="G1722">
        <v>1</v>
      </c>
      <c r="H1722" s="6" t="s">
        <v>2370</v>
      </c>
      <c r="I1722" t="s">
        <v>8374</v>
      </c>
      <c r="J1722" t="s">
        <v>8377</v>
      </c>
    </row>
    <row r="1723" spans="1:10" x14ac:dyDescent="0.35">
      <c r="A1723" s="6" t="s">
        <v>639</v>
      </c>
      <c r="B1723">
        <v>37.56</v>
      </c>
      <c r="C1723">
        <v>5.88</v>
      </c>
      <c r="D1723" s="6" t="s">
        <v>2370</v>
      </c>
      <c r="E1723" s="6" t="s">
        <v>2372</v>
      </c>
      <c r="F1723" s="6" t="s">
        <v>2370</v>
      </c>
      <c r="G1723">
        <v>1</v>
      </c>
      <c r="H1723" s="6" t="s">
        <v>2370</v>
      </c>
      <c r="I1723" t="s">
        <v>8374</v>
      </c>
      <c r="J1723" t="s">
        <v>8376</v>
      </c>
    </row>
    <row r="1724" spans="1:10" x14ac:dyDescent="0.35">
      <c r="A1724" s="6" t="s">
        <v>638</v>
      </c>
      <c r="B1724">
        <v>15.49</v>
      </c>
      <c r="C1724">
        <v>9.6</v>
      </c>
      <c r="D1724" s="6" t="s">
        <v>2370</v>
      </c>
      <c r="E1724" s="6" t="s">
        <v>2370</v>
      </c>
      <c r="F1724" s="6" t="s">
        <v>2370</v>
      </c>
      <c r="G1724">
        <v>0</v>
      </c>
      <c r="H1724" s="6" t="s">
        <v>2370</v>
      </c>
      <c r="I1724" t="s">
        <v>8380</v>
      </c>
      <c r="J1724" t="s">
        <v>8375</v>
      </c>
    </row>
    <row r="1725" spans="1:10" x14ac:dyDescent="0.35">
      <c r="A1725" s="6" t="s">
        <v>637</v>
      </c>
      <c r="B1725">
        <v>23.48</v>
      </c>
      <c r="C1725">
        <v>6.24</v>
      </c>
      <c r="D1725" s="6" t="s">
        <v>2370</v>
      </c>
      <c r="E1725" s="6" t="s">
        <v>2370</v>
      </c>
      <c r="F1725" s="6" t="s">
        <v>2370</v>
      </c>
      <c r="G1725">
        <v>1</v>
      </c>
      <c r="H1725" s="6" t="s">
        <v>2370</v>
      </c>
      <c r="I1725" t="s">
        <v>8379</v>
      </c>
      <c r="J1725" t="s">
        <v>8376</v>
      </c>
    </row>
    <row r="1726" spans="1:10" x14ac:dyDescent="0.35">
      <c r="A1726" s="6" t="s">
        <v>636</v>
      </c>
      <c r="B1726">
        <v>30.02</v>
      </c>
      <c r="C1726">
        <v>7.63</v>
      </c>
      <c r="D1726" s="6" t="s">
        <v>2373</v>
      </c>
      <c r="E1726" s="6" t="s">
        <v>2370</v>
      </c>
      <c r="F1726" s="6" t="s">
        <v>2370</v>
      </c>
      <c r="G1726">
        <v>1</v>
      </c>
      <c r="H1726" s="6" t="s">
        <v>2370</v>
      </c>
      <c r="I1726" t="s">
        <v>8374</v>
      </c>
      <c r="J1726" t="s">
        <v>8375</v>
      </c>
    </row>
    <row r="1727" spans="1:10" x14ac:dyDescent="0.35">
      <c r="A1727" s="6" t="s">
        <v>635</v>
      </c>
      <c r="B1727">
        <v>26.885000000000002</v>
      </c>
      <c r="C1727">
        <v>8.66</v>
      </c>
      <c r="D1727" s="6" t="s">
        <v>2373</v>
      </c>
      <c r="E1727" s="6" t="s">
        <v>2370</v>
      </c>
      <c r="F1727" s="6" t="s">
        <v>2370</v>
      </c>
      <c r="G1727">
        <v>1</v>
      </c>
      <c r="H1727" s="6" t="s">
        <v>2370</v>
      </c>
      <c r="I1727" t="s">
        <v>8378</v>
      </c>
      <c r="J1727" t="s">
        <v>8375</v>
      </c>
    </row>
    <row r="1728" spans="1:10" x14ac:dyDescent="0.35">
      <c r="A1728" s="6" t="s">
        <v>634</v>
      </c>
      <c r="B1728">
        <v>25.84</v>
      </c>
      <c r="C1728">
        <v>8.5500000000000007</v>
      </c>
      <c r="D1728" s="6" t="s">
        <v>2373</v>
      </c>
      <c r="E1728" s="6" t="s">
        <v>2370</v>
      </c>
      <c r="F1728" s="6" t="s">
        <v>2370</v>
      </c>
      <c r="G1728">
        <v>1</v>
      </c>
      <c r="H1728" s="6" t="s">
        <v>2370</v>
      </c>
      <c r="I1728" t="s">
        <v>8378</v>
      </c>
      <c r="J1728" t="s">
        <v>8375</v>
      </c>
    </row>
    <row r="1729" spans="1:10" x14ac:dyDescent="0.35">
      <c r="A1729" s="6" t="s">
        <v>633</v>
      </c>
      <c r="B1729">
        <v>27.454999999999998</v>
      </c>
      <c r="C1729">
        <v>4.54</v>
      </c>
      <c r="D1729" s="6" t="s">
        <v>2370</v>
      </c>
      <c r="E1729" s="6" t="s">
        <v>2370</v>
      </c>
      <c r="F1729" s="6" t="s">
        <v>2370</v>
      </c>
      <c r="G1729">
        <v>0</v>
      </c>
      <c r="H1729" s="6" t="s">
        <v>2370</v>
      </c>
      <c r="I1729" t="s">
        <v>8378</v>
      </c>
      <c r="J1729" t="s">
        <v>8377</v>
      </c>
    </row>
    <row r="1730" spans="1:10" x14ac:dyDescent="0.35">
      <c r="A1730" s="6" t="s">
        <v>632</v>
      </c>
      <c r="B1730">
        <v>24.605</v>
      </c>
      <c r="C1730">
        <v>5.7</v>
      </c>
      <c r="D1730" s="6" t="s">
        <v>2370</v>
      </c>
      <c r="E1730" s="6" t="s">
        <v>2370</v>
      </c>
      <c r="F1730" s="6" t="s">
        <v>2370</v>
      </c>
      <c r="G1730">
        <v>0</v>
      </c>
      <c r="H1730" s="6" t="s">
        <v>2370</v>
      </c>
      <c r="I1730" t="s">
        <v>8379</v>
      </c>
      <c r="J1730" t="s">
        <v>8376</v>
      </c>
    </row>
    <row r="1731" spans="1:10" x14ac:dyDescent="0.35">
      <c r="A1731" s="6" t="s">
        <v>631</v>
      </c>
      <c r="B1731">
        <v>30.8</v>
      </c>
      <c r="C1731">
        <v>5.07</v>
      </c>
      <c r="D1731" s="6" t="s">
        <v>2370</v>
      </c>
      <c r="E1731" s="6" t="s">
        <v>2370</v>
      </c>
      <c r="F1731" s="6" t="s">
        <v>2370</v>
      </c>
      <c r="G1731">
        <v>0</v>
      </c>
      <c r="H1731" s="6" t="s">
        <v>2370</v>
      </c>
      <c r="I1731" t="s">
        <v>8374</v>
      </c>
      <c r="J1731" t="s">
        <v>8377</v>
      </c>
    </row>
    <row r="1732" spans="1:10" x14ac:dyDescent="0.35">
      <c r="A1732" s="6" t="s">
        <v>630</v>
      </c>
      <c r="B1732">
        <v>34.799999999999997</v>
      </c>
      <c r="C1732">
        <v>4.38</v>
      </c>
      <c r="D1732" s="6" t="s">
        <v>2370</v>
      </c>
      <c r="E1732" s="6" t="s">
        <v>2370</v>
      </c>
      <c r="F1732" s="6" t="s">
        <v>2370</v>
      </c>
      <c r="G1732">
        <v>1</v>
      </c>
      <c r="H1732" s="6" t="s">
        <v>2370</v>
      </c>
      <c r="I1732" t="s">
        <v>8374</v>
      </c>
      <c r="J1732" t="s">
        <v>8377</v>
      </c>
    </row>
    <row r="1733" spans="1:10" x14ac:dyDescent="0.35">
      <c r="A1733" s="6" t="s">
        <v>629</v>
      </c>
      <c r="B1733">
        <v>34.21</v>
      </c>
      <c r="C1733">
        <v>4.54</v>
      </c>
      <c r="D1733" s="6" t="s">
        <v>2370</v>
      </c>
      <c r="E1733" s="6" t="s">
        <v>2370</v>
      </c>
      <c r="F1733" s="6" t="s">
        <v>2370</v>
      </c>
      <c r="G1733">
        <v>1</v>
      </c>
      <c r="H1733" s="6" t="s">
        <v>2370</v>
      </c>
      <c r="I1733" t="s">
        <v>8374</v>
      </c>
      <c r="J1733" t="s">
        <v>8377</v>
      </c>
    </row>
    <row r="1734" spans="1:10" x14ac:dyDescent="0.35">
      <c r="A1734" s="6" t="s">
        <v>628</v>
      </c>
      <c r="B1734">
        <v>31</v>
      </c>
      <c r="C1734">
        <v>5.38</v>
      </c>
      <c r="D1734" s="6" t="s">
        <v>2370</v>
      </c>
      <c r="E1734" s="6" t="s">
        <v>2370</v>
      </c>
      <c r="F1734" s="6" t="s">
        <v>2370</v>
      </c>
      <c r="G1734">
        <v>1</v>
      </c>
      <c r="H1734" s="6" t="s">
        <v>2370</v>
      </c>
      <c r="I1734" t="s">
        <v>8374</v>
      </c>
      <c r="J1734" t="s">
        <v>8377</v>
      </c>
    </row>
    <row r="1735" spans="1:10" x14ac:dyDescent="0.35">
      <c r="A1735" s="6" t="s">
        <v>627</v>
      </c>
      <c r="B1735">
        <v>26.125</v>
      </c>
      <c r="C1735">
        <v>5.55</v>
      </c>
      <c r="D1735" s="6" t="s">
        <v>2370</v>
      </c>
      <c r="E1735" s="6" t="s">
        <v>2370</v>
      </c>
      <c r="F1735" s="6" t="s">
        <v>2370</v>
      </c>
      <c r="G1735">
        <v>1</v>
      </c>
      <c r="H1735" s="6" t="s">
        <v>2370</v>
      </c>
      <c r="I1735" t="s">
        <v>8378</v>
      </c>
      <c r="J1735" t="s">
        <v>8377</v>
      </c>
    </row>
    <row r="1736" spans="1:10" x14ac:dyDescent="0.35">
      <c r="A1736" s="6" t="s">
        <v>626</v>
      </c>
      <c r="B1736">
        <v>30.13</v>
      </c>
      <c r="C1736">
        <v>4.03</v>
      </c>
      <c r="D1736" s="6" t="s">
        <v>2373</v>
      </c>
      <c r="E1736" s="6" t="s">
        <v>2370</v>
      </c>
      <c r="F1736" s="6" t="s">
        <v>2370</v>
      </c>
      <c r="G1736">
        <v>1</v>
      </c>
      <c r="H1736" s="6" t="s">
        <v>2370</v>
      </c>
      <c r="I1736" t="s">
        <v>8374</v>
      </c>
      <c r="J1736" t="s">
        <v>8377</v>
      </c>
    </row>
    <row r="1737" spans="1:10" x14ac:dyDescent="0.35">
      <c r="A1737" s="6" t="s">
        <v>625</v>
      </c>
      <c r="B1737">
        <v>34.19</v>
      </c>
      <c r="C1737">
        <v>4.1900000000000004</v>
      </c>
      <c r="D1737" s="6" t="s">
        <v>2370</v>
      </c>
      <c r="E1737" s="6" t="s">
        <v>2370</v>
      </c>
      <c r="F1737" s="6" t="s">
        <v>2370</v>
      </c>
      <c r="G1737">
        <v>0</v>
      </c>
      <c r="H1737" s="6" t="s">
        <v>2370</v>
      </c>
      <c r="I1737" t="s">
        <v>8374</v>
      </c>
      <c r="J1737" t="s">
        <v>8377</v>
      </c>
    </row>
    <row r="1738" spans="1:10" x14ac:dyDescent="0.35">
      <c r="A1738" s="6" t="s">
        <v>624</v>
      </c>
      <c r="B1738">
        <v>22.515000000000001</v>
      </c>
      <c r="C1738">
        <v>4.37</v>
      </c>
      <c r="D1738" s="6" t="s">
        <v>2370</v>
      </c>
      <c r="E1738" s="6" t="s">
        <v>2370</v>
      </c>
      <c r="F1738" s="6" t="s">
        <v>2373</v>
      </c>
      <c r="G1738">
        <v>1</v>
      </c>
      <c r="H1738" s="6" t="s">
        <v>2370</v>
      </c>
      <c r="I1738" t="s">
        <v>8379</v>
      </c>
      <c r="J1738" t="s">
        <v>8377</v>
      </c>
    </row>
    <row r="1739" spans="1:10" x14ac:dyDescent="0.35">
      <c r="A1739" s="6" t="s">
        <v>623</v>
      </c>
      <c r="B1739">
        <v>18.239999999999998</v>
      </c>
      <c r="C1739">
        <v>5.31</v>
      </c>
      <c r="D1739" s="6" t="s">
        <v>2373</v>
      </c>
      <c r="E1739" s="6" t="s">
        <v>2370</v>
      </c>
      <c r="F1739" s="6" t="s">
        <v>2373</v>
      </c>
      <c r="G1739">
        <v>1</v>
      </c>
      <c r="H1739" s="6" t="s">
        <v>2370</v>
      </c>
      <c r="I1739" t="s">
        <v>8380</v>
      </c>
      <c r="J1739" t="s">
        <v>8377</v>
      </c>
    </row>
    <row r="1740" spans="1:10" x14ac:dyDescent="0.35">
      <c r="A1740" s="6" t="s">
        <v>621</v>
      </c>
      <c r="B1740">
        <v>37.28</v>
      </c>
      <c r="C1740">
        <v>4.66</v>
      </c>
      <c r="D1740" s="6" t="s">
        <v>2370</v>
      </c>
      <c r="E1740" s="6" t="s">
        <v>2372</v>
      </c>
      <c r="F1740" s="6" t="s">
        <v>2370</v>
      </c>
      <c r="G1740">
        <v>1</v>
      </c>
      <c r="H1740" s="6" t="s">
        <v>2370</v>
      </c>
      <c r="I1740" t="s">
        <v>8374</v>
      </c>
      <c r="J1740" t="s">
        <v>8377</v>
      </c>
    </row>
    <row r="1741" spans="1:10" x14ac:dyDescent="0.35">
      <c r="A1741" s="6" t="s">
        <v>620</v>
      </c>
      <c r="B1741">
        <v>18.2</v>
      </c>
      <c r="C1741">
        <v>6.19</v>
      </c>
      <c r="D1741" s="6" t="s">
        <v>2370</v>
      </c>
      <c r="E1741" s="6" t="s">
        <v>2370</v>
      </c>
      <c r="F1741" s="6" t="s">
        <v>2373</v>
      </c>
      <c r="G1741">
        <v>1</v>
      </c>
      <c r="H1741" s="6" t="s">
        <v>2370</v>
      </c>
      <c r="I1741" t="s">
        <v>8380</v>
      </c>
      <c r="J1741" t="s">
        <v>8376</v>
      </c>
    </row>
    <row r="1742" spans="1:10" x14ac:dyDescent="0.35">
      <c r="A1742" s="6" t="s">
        <v>619</v>
      </c>
      <c r="B1742">
        <v>20.53</v>
      </c>
      <c r="C1742">
        <v>4.8600000000000003</v>
      </c>
      <c r="D1742" s="6" t="s">
        <v>2370</v>
      </c>
      <c r="E1742" s="6" t="s">
        <v>2370</v>
      </c>
      <c r="F1742" s="6" t="s">
        <v>2370</v>
      </c>
      <c r="G1742">
        <v>1</v>
      </c>
      <c r="H1742" s="6" t="s">
        <v>2370</v>
      </c>
      <c r="I1742" t="s">
        <v>8379</v>
      </c>
      <c r="J1742" t="s">
        <v>8377</v>
      </c>
    </row>
    <row r="1743" spans="1:10" x14ac:dyDescent="0.35">
      <c r="A1743" s="6" t="s">
        <v>618</v>
      </c>
      <c r="B1743">
        <v>23.79</v>
      </c>
      <c r="C1743">
        <v>4.74</v>
      </c>
      <c r="D1743" s="6" t="s">
        <v>2370</v>
      </c>
      <c r="E1743" s="6" t="s">
        <v>2370</v>
      </c>
      <c r="F1743" s="6" t="s">
        <v>2370</v>
      </c>
      <c r="G1743">
        <v>0</v>
      </c>
      <c r="H1743" s="6" t="s">
        <v>2370</v>
      </c>
      <c r="I1743" t="s">
        <v>8379</v>
      </c>
      <c r="J1743" t="s">
        <v>8377</v>
      </c>
    </row>
    <row r="1744" spans="1:10" x14ac:dyDescent="0.35">
      <c r="A1744" s="6" t="s">
        <v>617</v>
      </c>
      <c r="B1744">
        <v>29.8</v>
      </c>
      <c r="C1744">
        <v>6.03</v>
      </c>
      <c r="D1744" s="6" t="s">
        <v>2370</v>
      </c>
      <c r="E1744" s="6" t="s">
        <v>2370</v>
      </c>
      <c r="F1744" s="6" t="s">
        <v>2370</v>
      </c>
      <c r="G1744">
        <v>0</v>
      </c>
      <c r="H1744" s="6" t="s">
        <v>2370</v>
      </c>
      <c r="I1744" t="s">
        <v>8378</v>
      </c>
      <c r="J1744" t="s">
        <v>8376</v>
      </c>
    </row>
    <row r="1745" spans="1:10" x14ac:dyDescent="0.35">
      <c r="A1745" s="6" t="s">
        <v>616</v>
      </c>
      <c r="B1745">
        <v>31.54</v>
      </c>
      <c r="C1745">
        <v>4.71</v>
      </c>
      <c r="D1745" s="6" t="s">
        <v>2370</v>
      </c>
      <c r="E1745" s="6" t="s">
        <v>2370</v>
      </c>
      <c r="F1745" s="6" t="s">
        <v>2370</v>
      </c>
      <c r="G1745">
        <v>0</v>
      </c>
      <c r="H1745" s="6" t="s">
        <v>2370</v>
      </c>
      <c r="I1745" t="s">
        <v>8374</v>
      </c>
      <c r="J1745" t="s">
        <v>8377</v>
      </c>
    </row>
    <row r="1746" spans="1:10" x14ac:dyDescent="0.35">
      <c r="A1746" s="6" t="s">
        <v>615</v>
      </c>
      <c r="B1746">
        <v>20.82</v>
      </c>
      <c r="C1746">
        <v>5.55</v>
      </c>
      <c r="D1746" s="6" t="s">
        <v>2370</v>
      </c>
      <c r="E1746" s="6" t="s">
        <v>2370</v>
      </c>
      <c r="F1746" s="6" t="s">
        <v>2370</v>
      </c>
      <c r="G1746">
        <v>1</v>
      </c>
      <c r="H1746" s="6" t="s">
        <v>2370</v>
      </c>
      <c r="I1746" t="s">
        <v>8379</v>
      </c>
      <c r="J1746" t="s">
        <v>8377</v>
      </c>
    </row>
    <row r="1747" spans="1:10" x14ac:dyDescent="0.35">
      <c r="A1747" s="6" t="s">
        <v>614</v>
      </c>
      <c r="B1747">
        <v>38.83</v>
      </c>
      <c r="C1747">
        <v>4.78</v>
      </c>
      <c r="D1747" s="6" t="s">
        <v>2370</v>
      </c>
      <c r="E1747" s="6" t="s">
        <v>2370</v>
      </c>
      <c r="F1747" s="6" t="s">
        <v>2373</v>
      </c>
      <c r="G1747">
        <v>1</v>
      </c>
      <c r="H1747" s="6" t="s">
        <v>2370</v>
      </c>
      <c r="I1747" t="s">
        <v>8374</v>
      </c>
      <c r="J1747" t="s">
        <v>8377</v>
      </c>
    </row>
    <row r="1748" spans="1:10" x14ac:dyDescent="0.35">
      <c r="A1748" s="6" t="s">
        <v>613</v>
      </c>
      <c r="B1748">
        <v>23.44</v>
      </c>
      <c r="C1748">
        <v>4.6500000000000004</v>
      </c>
      <c r="D1748" s="6" t="s">
        <v>2373</v>
      </c>
      <c r="E1748" s="6" t="s">
        <v>2370</v>
      </c>
      <c r="F1748" s="6" t="s">
        <v>2370</v>
      </c>
      <c r="G1748">
        <v>1</v>
      </c>
      <c r="H1748" s="6" t="s">
        <v>2370</v>
      </c>
      <c r="I1748" t="s">
        <v>8379</v>
      </c>
      <c r="J1748" t="s">
        <v>8377</v>
      </c>
    </row>
    <row r="1749" spans="1:10" x14ac:dyDescent="0.35">
      <c r="A1749" s="6" t="s">
        <v>612</v>
      </c>
      <c r="B1749">
        <v>24.13</v>
      </c>
      <c r="C1749">
        <v>5.2</v>
      </c>
      <c r="D1749" s="6" t="s">
        <v>2370</v>
      </c>
      <c r="E1749" s="6" t="s">
        <v>2370</v>
      </c>
      <c r="F1749" s="6" t="s">
        <v>2370</v>
      </c>
      <c r="G1749">
        <v>1</v>
      </c>
      <c r="H1749" s="6" t="s">
        <v>2370</v>
      </c>
      <c r="I1749" t="s">
        <v>8379</v>
      </c>
      <c r="J1749" t="s">
        <v>8377</v>
      </c>
    </row>
    <row r="1750" spans="1:10" x14ac:dyDescent="0.35">
      <c r="A1750" s="6" t="s">
        <v>611</v>
      </c>
      <c r="B1750">
        <v>42.13</v>
      </c>
      <c r="C1750">
        <v>4.54</v>
      </c>
      <c r="D1750" s="6" t="s">
        <v>2373</v>
      </c>
      <c r="E1750" s="6" t="s">
        <v>2370</v>
      </c>
      <c r="F1750" s="6" t="s">
        <v>2370</v>
      </c>
      <c r="G1750">
        <v>1</v>
      </c>
      <c r="H1750" s="6" t="s">
        <v>2370</v>
      </c>
      <c r="I1750" t="s">
        <v>8374</v>
      </c>
      <c r="J1750" t="s">
        <v>8377</v>
      </c>
    </row>
    <row r="1751" spans="1:10" x14ac:dyDescent="0.35">
      <c r="A1751" s="6" t="s">
        <v>610</v>
      </c>
      <c r="B1751">
        <v>17.86</v>
      </c>
      <c r="C1751">
        <v>4.1100000000000003</v>
      </c>
      <c r="D1751" s="6" t="s">
        <v>2370</v>
      </c>
      <c r="E1751" s="6" t="s">
        <v>2370</v>
      </c>
      <c r="F1751" s="6" t="s">
        <v>2370</v>
      </c>
      <c r="G1751">
        <v>1</v>
      </c>
      <c r="H1751" s="6" t="s">
        <v>2370</v>
      </c>
      <c r="I1751" t="s">
        <v>8380</v>
      </c>
      <c r="J1751" t="s">
        <v>8377</v>
      </c>
    </row>
    <row r="1752" spans="1:10" x14ac:dyDescent="0.35">
      <c r="A1752" s="6" t="s">
        <v>609</v>
      </c>
      <c r="B1752">
        <v>32.78</v>
      </c>
      <c r="C1752">
        <v>4.63</v>
      </c>
      <c r="D1752" s="6" t="s">
        <v>2370</v>
      </c>
      <c r="E1752" s="6" t="s">
        <v>2370</v>
      </c>
      <c r="F1752" s="6" t="s">
        <v>2370</v>
      </c>
      <c r="G1752">
        <v>0</v>
      </c>
      <c r="H1752" s="6" t="s">
        <v>2370</v>
      </c>
      <c r="I1752" t="s">
        <v>8374</v>
      </c>
      <c r="J1752" t="s">
        <v>8377</v>
      </c>
    </row>
    <row r="1753" spans="1:10" x14ac:dyDescent="0.35">
      <c r="A1753" s="6" t="s">
        <v>608</v>
      </c>
      <c r="B1753">
        <v>23.9</v>
      </c>
      <c r="C1753">
        <v>6.06</v>
      </c>
      <c r="D1753" s="6" t="s">
        <v>2373</v>
      </c>
      <c r="E1753" s="6" t="s">
        <v>2370</v>
      </c>
      <c r="F1753" s="6" t="s">
        <v>2373</v>
      </c>
      <c r="G1753">
        <v>1</v>
      </c>
      <c r="H1753" s="6" t="s">
        <v>2370</v>
      </c>
      <c r="I1753" t="s">
        <v>8379</v>
      </c>
      <c r="J1753" t="s">
        <v>8376</v>
      </c>
    </row>
    <row r="1754" spans="1:10" x14ac:dyDescent="0.35">
      <c r="A1754" s="6" t="s">
        <v>607</v>
      </c>
      <c r="B1754">
        <v>15.47</v>
      </c>
      <c r="C1754">
        <v>8.43</v>
      </c>
      <c r="D1754" s="6" t="s">
        <v>2370</v>
      </c>
      <c r="E1754" s="6" t="s">
        <v>2370</v>
      </c>
      <c r="F1754" s="6" t="s">
        <v>2370</v>
      </c>
      <c r="G1754">
        <v>0</v>
      </c>
      <c r="H1754" s="6" t="s">
        <v>2370</v>
      </c>
      <c r="I1754" t="s">
        <v>8380</v>
      </c>
      <c r="J1754" t="s">
        <v>8375</v>
      </c>
    </row>
    <row r="1755" spans="1:10" x14ac:dyDescent="0.35">
      <c r="A1755" s="6" t="s">
        <v>606</v>
      </c>
      <c r="B1755">
        <v>28.54</v>
      </c>
      <c r="C1755">
        <v>5.51</v>
      </c>
      <c r="D1755" s="6" t="s">
        <v>2370</v>
      </c>
      <c r="E1755" s="6" t="s">
        <v>2370</v>
      </c>
      <c r="F1755" s="6" t="s">
        <v>2373</v>
      </c>
      <c r="G1755">
        <v>1</v>
      </c>
      <c r="H1755" s="6" t="s">
        <v>2370</v>
      </c>
      <c r="I1755" t="s">
        <v>8378</v>
      </c>
      <c r="J1755" t="s">
        <v>8377</v>
      </c>
    </row>
    <row r="1756" spans="1:10" x14ac:dyDescent="0.35">
      <c r="A1756" s="6" t="s">
        <v>605</v>
      </c>
      <c r="B1756">
        <v>18.54</v>
      </c>
      <c r="C1756">
        <v>4.95</v>
      </c>
      <c r="D1756" s="6" t="s">
        <v>2370</v>
      </c>
      <c r="E1756" s="6" t="s">
        <v>2370</v>
      </c>
      <c r="F1756" s="6" t="s">
        <v>2370</v>
      </c>
      <c r="G1756">
        <v>0</v>
      </c>
      <c r="H1756" s="6" t="s">
        <v>2370</v>
      </c>
      <c r="I1756" t="s">
        <v>8379</v>
      </c>
      <c r="J1756" t="s">
        <v>8377</v>
      </c>
    </row>
    <row r="1757" spans="1:10" x14ac:dyDescent="0.35">
      <c r="A1757" s="6" t="s">
        <v>604</v>
      </c>
      <c r="B1757">
        <v>32.18</v>
      </c>
      <c r="C1757">
        <v>6.44</v>
      </c>
      <c r="D1757" s="6" t="s">
        <v>2373</v>
      </c>
      <c r="E1757" s="6" t="s">
        <v>2370</v>
      </c>
      <c r="F1757" s="6" t="s">
        <v>2373</v>
      </c>
      <c r="G1757">
        <v>1</v>
      </c>
      <c r="H1757" s="6" t="s">
        <v>2370</v>
      </c>
      <c r="I1757" t="s">
        <v>8374</v>
      </c>
      <c r="J1757" t="s">
        <v>8376</v>
      </c>
    </row>
    <row r="1758" spans="1:10" x14ac:dyDescent="0.35">
      <c r="A1758" s="6" t="s">
        <v>603</v>
      </c>
      <c r="B1758">
        <v>37.380000000000003</v>
      </c>
      <c r="C1758">
        <v>6.05</v>
      </c>
      <c r="D1758" s="6" t="s">
        <v>2373</v>
      </c>
      <c r="E1758" s="6" t="s">
        <v>2370</v>
      </c>
      <c r="F1758" s="6" t="s">
        <v>2370</v>
      </c>
      <c r="G1758">
        <v>0</v>
      </c>
      <c r="H1758" s="6" t="s">
        <v>2370</v>
      </c>
      <c r="I1758" t="s">
        <v>8374</v>
      </c>
      <c r="J1758" t="s">
        <v>8376</v>
      </c>
    </row>
    <row r="1759" spans="1:10" x14ac:dyDescent="0.35">
      <c r="A1759" s="6" t="s">
        <v>602</v>
      </c>
      <c r="B1759">
        <v>31.12</v>
      </c>
      <c r="C1759">
        <v>4.76</v>
      </c>
      <c r="D1759" s="6" t="s">
        <v>2373</v>
      </c>
      <c r="E1759" s="6" t="s">
        <v>2370</v>
      </c>
      <c r="F1759" s="6" t="s">
        <v>2373</v>
      </c>
      <c r="G1759">
        <v>1</v>
      </c>
      <c r="H1759" s="6" t="s">
        <v>2370</v>
      </c>
      <c r="I1759" t="s">
        <v>8374</v>
      </c>
      <c r="J1759" t="s">
        <v>8377</v>
      </c>
    </row>
    <row r="1760" spans="1:10" x14ac:dyDescent="0.35">
      <c r="A1760" s="6" t="s">
        <v>601</v>
      </c>
      <c r="B1760">
        <v>22.01</v>
      </c>
      <c r="C1760">
        <v>6.72</v>
      </c>
      <c r="D1760" s="6" t="s">
        <v>2373</v>
      </c>
      <c r="E1760" s="6" t="s">
        <v>2370</v>
      </c>
      <c r="F1760" s="6" t="s">
        <v>2370</v>
      </c>
      <c r="G1760">
        <v>1</v>
      </c>
      <c r="H1760" s="6" t="s">
        <v>2370</v>
      </c>
      <c r="I1760" t="s">
        <v>8379</v>
      </c>
      <c r="J1760" t="s">
        <v>8375</v>
      </c>
    </row>
    <row r="1761" spans="1:10" x14ac:dyDescent="0.35">
      <c r="A1761" s="6" t="s">
        <v>600</v>
      </c>
      <c r="B1761">
        <v>27.645</v>
      </c>
      <c r="C1761">
        <v>5.7</v>
      </c>
      <c r="D1761" s="6" t="s">
        <v>2370</v>
      </c>
      <c r="E1761" s="6" t="s">
        <v>2370</v>
      </c>
      <c r="F1761" s="6" t="s">
        <v>2370</v>
      </c>
      <c r="G1761">
        <v>0</v>
      </c>
      <c r="H1761" s="6" t="s">
        <v>2370</v>
      </c>
      <c r="I1761" t="s">
        <v>8378</v>
      </c>
      <c r="J1761" t="s">
        <v>8376</v>
      </c>
    </row>
    <row r="1762" spans="1:10" x14ac:dyDescent="0.35">
      <c r="A1762" s="6" t="s">
        <v>599</v>
      </c>
      <c r="B1762">
        <v>29.64</v>
      </c>
      <c r="C1762">
        <v>5.31</v>
      </c>
      <c r="D1762" s="6" t="s">
        <v>2373</v>
      </c>
      <c r="E1762" s="6" t="s">
        <v>2370</v>
      </c>
      <c r="F1762" s="6" t="s">
        <v>2370</v>
      </c>
      <c r="G1762">
        <v>0</v>
      </c>
      <c r="H1762" s="6" t="s">
        <v>2370</v>
      </c>
      <c r="I1762" t="s">
        <v>8378</v>
      </c>
      <c r="J1762" t="s">
        <v>8377</v>
      </c>
    </row>
    <row r="1763" spans="1:10" x14ac:dyDescent="0.35">
      <c r="A1763" s="6" t="s">
        <v>598</v>
      </c>
      <c r="B1763">
        <v>33.700000000000003</v>
      </c>
      <c r="C1763">
        <v>4.32</v>
      </c>
      <c r="D1763" s="6" t="s">
        <v>2373</v>
      </c>
      <c r="E1763" s="6" t="s">
        <v>2370</v>
      </c>
      <c r="F1763" s="6" t="s">
        <v>2370</v>
      </c>
      <c r="G1763">
        <v>1</v>
      </c>
      <c r="H1763" s="6" t="s">
        <v>2370</v>
      </c>
      <c r="I1763" t="s">
        <v>8374</v>
      </c>
      <c r="J1763" t="s">
        <v>8377</v>
      </c>
    </row>
    <row r="1764" spans="1:10" x14ac:dyDescent="0.35">
      <c r="A1764" s="6" t="s">
        <v>597</v>
      </c>
      <c r="B1764">
        <v>27.5</v>
      </c>
      <c r="C1764">
        <v>4.2300000000000004</v>
      </c>
      <c r="D1764" s="6" t="s">
        <v>2373</v>
      </c>
      <c r="E1764" s="6" t="s">
        <v>2370</v>
      </c>
      <c r="F1764" s="6" t="s">
        <v>2370</v>
      </c>
      <c r="G1764">
        <v>1</v>
      </c>
      <c r="H1764" s="6" t="s">
        <v>2370</v>
      </c>
      <c r="I1764" t="s">
        <v>8378</v>
      </c>
      <c r="J1764" t="s">
        <v>8377</v>
      </c>
    </row>
    <row r="1765" spans="1:10" x14ac:dyDescent="0.35">
      <c r="A1765" s="6" t="s">
        <v>596</v>
      </c>
      <c r="B1765">
        <v>16.12</v>
      </c>
      <c r="C1765">
        <v>6.09</v>
      </c>
      <c r="D1765" s="6" t="s">
        <v>2370</v>
      </c>
      <c r="E1765" s="6" t="s">
        <v>2370</v>
      </c>
      <c r="F1765" s="6" t="s">
        <v>2370</v>
      </c>
      <c r="G1765">
        <v>0</v>
      </c>
      <c r="H1765" s="6" t="s">
        <v>2370</v>
      </c>
      <c r="I1765" t="s">
        <v>8380</v>
      </c>
      <c r="J1765" t="s">
        <v>8376</v>
      </c>
    </row>
    <row r="1766" spans="1:10" x14ac:dyDescent="0.35">
      <c r="A1766" s="6" t="s">
        <v>595</v>
      </c>
      <c r="B1766">
        <v>26.73</v>
      </c>
      <c r="C1766">
        <v>4.74</v>
      </c>
      <c r="D1766" s="6" t="s">
        <v>2373</v>
      </c>
      <c r="E1766" s="6" t="s">
        <v>2370</v>
      </c>
      <c r="F1766" s="6" t="s">
        <v>2370</v>
      </c>
      <c r="G1766">
        <v>1</v>
      </c>
      <c r="H1766" s="6" t="s">
        <v>2370</v>
      </c>
      <c r="I1766" t="s">
        <v>8378</v>
      </c>
      <c r="J1766" t="s">
        <v>8377</v>
      </c>
    </row>
    <row r="1767" spans="1:10" x14ac:dyDescent="0.35">
      <c r="A1767" s="6" t="s">
        <v>594</v>
      </c>
      <c r="B1767">
        <v>37.25</v>
      </c>
      <c r="C1767">
        <v>6.23</v>
      </c>
      <c r="D1767" s="6" t="s">
        <v>2373</v>
      </c>
      <c r="E1767" s="6" t="s">
        <v>2370</v>
      </c>
      <c r="F1767" s="6" t="s">
        <v>2370</v>
      </c>
      <c r="G1767">
        <v>0</v>
      </c>
      <c r="H1767" s="6" t="s">
        <v>2370</v>
      </c>
      <c r="I1767" t="s">
        <v>8374</v>
      </c>
      <c r="J1767" t="s">
        <v>8376</v>
      </c>
    </row>
    <row r="1768" spans="1:10" x14ac:dyDescent="0.35">
      <c r="A1768" s="6" t="s">
        <v>593</v>
      </c>
      <c r="B1768">
        <v>23.56</v>
      </c>
      <c r="C1768">
        <v>5.45</v>
      </c>
      <c r="D1768" s="6" t="s">
        <v>2373</v>
      </c>
      <c r="E1768" s="6" t="s">
        <v>2370</v>
      </c>
      <c r="F1768" s="6" t="s">
        <v>2370</v>
      </c>
      <c r="G1768">
        <v>1</v>
      </c>
      <c r="H1768" s="6" t="s">
        <v>2370</v>
      </c>
      <c r="I1768" t="s">
        <v>8379</v>
      </c>
      <c r="J1768" t="s">
        <v>8377</v>
      </c>
    </row>
    <row r="1769" spans="1:10" x14ac:dyDescent="0.35">
      <c r="A1769" s="6" t="s">
        <v>592</v>
      </c>
      <c r="B1769">
        <v>15.84</v>
      </c>
      <c r="C1769">
        <v>10.34</v>
      </c>
      <c r="D1769" s="6" t="s">
        <v>2370</v>
      </c>
      <c r="E1769" s="6" t="s">
        <v>2370</v>
      </c>
      <c r="F1769" s="6" t="s">
        <v>2370</v>
      </c>
      <c r="G1769">
        <v>2</v>
      </c>
      <c r="H1769" s="6" t="s">
        <v>2370</v>
      </c>
      <c r="I1769" t="s">
        <v>8380</v>
      </c>
      <c r="J1769" t="s">
        <v>8375</v>
      </c>
    </row>
    <row r="1770" spans="1:10" x14ac:dyDescent="0.35">
      <c r="A1770" s="6" t="s">
        <v>591</v>
      </c>
      <c r="B1770">
        <v>36.630000000000003</v>
      </c>
      <c r="C1770">
        <v>5.15</v>
      </c>
      <c r="D1770" s="6" t="s">
        <v>2370</v>
      </c>
      <c r="E1770" s="6" t="s">
        <v>2370</v>
      </c>
      <c r="F1770" s="6" t="s">
        <v>2370</v>
      </c>
      <c r="G1770">
        <v>0</v>
      </c>
      <c r="H1770" s="6" t="s">
        <v>2370</v>
      </c>
      <c r="I1770" t="s">
        <v>8374</v>
      </c>
      <c r="J1770" t="s">
        <v>8377</v>
      </c>
    </row>
    <row r="1771" spans="1:10" x14ac:dyDescent="0.35">
      <c r="A1771" s="6" t="s">
        <v>590</v>
      </c>
      <c r="B1771">
        <v>16.47</v>
      </c>
      <c r="C1771">
        <v>11.72</v>
      </c>
      <c r="D1771" s="6" t="s">
        <v>2370</v>
      </c>
      <c r="E1771" s="6" t="s">
        <v>2370</v>
      </c>
      <c r="F1771" s="6" t="s">
        <v>2370</v>
      </c>
      <c r="G1771">
        <v>0</v>
      </c>
      <c r="H1771" s="6" t="s">
        <v>2370</v>
      </c>
      <c r="I1771" t="s">
        <v>8380</v>
      </c>
      <c r="J1771" t="s">
        <v>8375</v>
      </c>
    </row>
    <row r="1772" spans="1:10" x14ac:dyDescent="0.35">
      <c r="A1772" s="6" t="s">
        <v>589</v>
      </c>
      <c r="B1772">
        <v>25.8</v>
      </c>
      <c r="C1772">
        <v>5.29</v>
      </c>
      <c r="D1772" s="6" t="s">
        <v>2370</v>
      </c>
      <c r="E1772" s="6" t="s">
        <v>2370</v>
      </c>
      <c r="F1772" s="6" t="s">
        <v>2370</v>
      </c>
      <c r="G1772">
        <v>0</v>
      </c>
      <c r="H1772" s="6" t="s">
        <v>2370</v>
      </c>
      <c r="I1772" t="s">
        <v>8378</v>
      </c>
      <c r="J1772" t="s">
        <v>8377</v>
      </c>
    </row>
    <row r="1773" spans="1:10" x14ac:dyDescent="0.35">
      <c r="A1773" s="6" t="s">
        <v>588</v>
      </c>
      <c r="B1773">
        <v>23.6</v>
      </c>
      <c r="C1773">
        <v>4.33</v>
      </c>
      <c r="D1773" s="6" t="s">
        <v>2370</v>
      </c>
      <c r="E1773" s="6" t="s">
        <v>2370</v>
      </c>
      <c r="F1773" s="6" t="s">
        <v>2370</v>
      </c>
      <c r="G1773">
        <v>0</v>
      </c>
      <c r="H1773" s="6" t="s">
        <v>2370</v>
      </c>
      <c r="I1773" t="s">
        <v>8379</v>
      </c>
      <c r="J1773" t="s">
        <v>8377</v>
      </c>
    </row>
    <row r="1774" spans="1:10" x14ac:dyDescent="0.35">
      <c r="A1774" s="6" t="s">
        <v>587</v>
      </c>
      <c r="B1774">
        <v>32.11</v>
      </c>
      <c r="C1774">
        <v>6.24</v>
      </c>
      <c r="D1774" s="6" t="s">
        <v>2370</v>
      </c>
      <c r="E1774" s="6" t="s">
        <v>2370</v>
      </c>
      <c r="F1774" s="6" t="s">
        <v>2373</v>
      </c>
      <c r="G1774">
        <v>1</v>
      </c>
      <c r="H1774" s="6" t="s">
        <v>2370</v>
      </c>
      <c r="I1774" t="s">
        <v>8374</v>
      </c>
      <c r="J1774" t="s">
        <v>8376</v>
      </c>
    </row>
    <row r="1775" spans="1:10" x14ac:dyDescent="0.35">
      <c r="A1775" s="6" t="s">
        <v>586</v>
      </c>
      <c r="B1775">
        <v>30.114999999999998</v>
      </c>
      <c r="C1775">
        <v>11.61</v>
      </c>
      <c r="D1775" s="6" t="s">
        <v>2370</v>
      </c>
      <c r="E1775" s="6" t="s">
        <v>2370</v>
      </c>
      <c r="F1775" s="6" t="s">
        <v>2370</v>
      </c>
      <c r="G1775">
        <v>0</v>
      </c>
      <c r="H1775" s="6" t="s">
        <v>2370</v>
      </c>
      <c r="I1775" t="s">
        <v>8374</v>
      </c>
      <c r="J1775" t="s">
        <v>8375</v>
      </c>
    </row>
    <row r="1776" spans="1:10" x14ac:dyDescent="0.35">
      <c r="A1776" s="6" t="s">
        <v>585</v>
      </c>
      <c r="B1776">
        <v>20.28</v>
      </c>
      <c r="C1776">
        <v>11.07</v>
      </c>
      <c r="D1776" s="6" t="s">
        <v>2373</v>
      </c>
      <c r="E1776" s="6" t="s">
        <v>2370</v>
      </c>
      <c r="F1776" s="6" t="s">
        <v>2370</v>
      </c>
      <c r="G1776">
        <v>0</v>
      </c>
      <c r="H1776" s="6" t="s">
        <v>2370</v>
      </c>
      <c r="I1776" t="s">
        <v>8379</v>
      </c>
      <c r="J1776" t="s">
        <v>8375</v>
      </c>
    </row>
    <row r="1777" spans="1:10" x14ac:dyDescent="0.35">
      <c r="A1777" s="6" t="s">
        <v>584</v>
      </c>
      <c r="B1777">
        <v>20.234999999999999</v>
      </c>
      <c r="C1777">
        <v>5.19</v>
      </c>
      <c r="D1777" s="6" t="s">
        <v>2370</v>
      </c>
      <c r="E1777" s="6" t="s">
        <v>2370</v>
      </c>
      <c r="F1777" s="6" t="s">
        <v>2373</v>
      </c>
      <c r="G1777">
        <v>1</v>
      </c>
      <c r="H1777" s="6" t="s">
        <v>2370</v>
      </c>
      <c r="I1777" t="s">
        <v>8379</v>
      </c>
      <c r="J1777" t="s">
        <v>8377</v>
      </c>
    </row>
    <row r="1778" spans="1:10" x14ac:dyDescent="0.35">
      <c r="A1778" s="6" t="s">
        <v>583</v>
      </c>
      <c r="B1778">
        <v>25.27</v>
      </c>
      <c r="C1778">
        <v>5.7</v>
      </c>
      <c r="D1778" s="6" t="s">
        <v>2373</v>
      </c>
      <c r="E1778" s="6" t="s">
        <v>2370</v>
      </c>
      <c r="F1778" s="6" t="s">
        <v>2370</v>
      </c>
      <c r="G1778">
        <v>1</v>
      </c>
      <c r="H1778" s="6" t="s">
        <v>2370</v>
      </c>
      <c r="I1778" t="s">
        <v>8378</v>
      </c>
      <c r="J1778" t="s">
        <v>8376</v>
      </c>
    </row>
    <row r="1779" spans="1:10" x14ac:dyDescent="0.35">
      <c r="A1779" s="6" t="s">
        <v>582</v>
      </c>
      <c r="B1779">
        <v>24.24</v>
      </c>
      <c r="C1779">
        <v>6.15</v>
      </c>
      <c r="D1779" s="6" t="s">
        <v>2370</v>
      </c>
      <c r="E1779" s="6" t="s">
        <v>2370</v>
      </c>
      <c r="F1779" s="6" t="s">
        <v>2370</v>
      </c>
      <c r="G1779">
        <v>0</v>
      </c>
      <c r="H1779" s="6" t="s">
        <v>2370</v>
      </c>
      <c r="I1779" t="s">
        <v>8379</v>
      </c>
      <c r="J1779" t="s">
        <v>8376</v>
      </c>
    </row>
    <row r="1780" spans="1:10" x14ac:dyDescent="0.35">
      <c r="A1780" s="6" t="s">
        <v>581</v>
      </c>
      <c r="B1780">
        <v>35.75</v>
      </c>
      <c r="C1780">
        <v>5.07</v>
      </c>
      <c r="D1780" s="6" t="s">
        <v>2370</v>
      </c>
      <c r="E1780" s="6" t="s">
        <v>2370</v>
      </c>
      <c r="F1780" s="6" t="s">
        <v>2370</v>
      </c>
      <c r="G1780">
        <v>0</v>
      </c>
      <c r="H1780" s="6" t="s">
        <v>2370</v>
      </c>
      <c r="I1780" t="s">
        <v>8374</v>
      </c>
      <c r="J1780" t="s">
        <v>8377</v>
      </c>
    </row>
    <row r="1781" spans="1:10" x14ac:dyDescent="0.35">
      <c r="A1781" s="6" t="s">
        <v>580</v>
      </c>
      <c r="B1781">
        <v>29.92</v>
      </c>
      <c r="C1781">
        <v>10.97</v>
      </c>
      <c r="D1781" s="6" t="s">
        <v>2373</v>
      </c>
      <c r="E1781" s="6" t="s">
        <v>2370</v>
      </c>
      <c r="F1781" s="6" t="s">
        <v>2370</v>
      </c>
      <c r="G1781">
        <v>1</v>
      </c>
      <c r="H1781" s="6" t="s">
        <v>2370</v>
      </c>
      <c r="I1781" t="s">
        <v>8378</v>
      </c>
      <c r="J1781" t="s">
        <v>8375</v>
      </c>
    </row>
    <row r="1782" spans="1:10" x14ac:dyDescent="0.35">
      <c r="A1782" s="6" t="s">
        <v>579</v>
      </c>
      <c r="B1782">
        <v>26.2</v>
      </c>
      <c r="C1782">
        <v>10.93</v>
      </c>
      <c r="D1782" s="6" t="s">
        <v>2373</v>
      </c>
      <c r="E1782" s="6" t="s">
        <v>2370</v>
      </c>
      <c r="F1782" s="6" t="s">
        <v>2370</v>
      </c>
      <c r="G1782">
        <v>1</v>
      </c>
      <c r="H1782" s="6" t="s">
        <v>2370</v>
      </c>
      <c r="I1782" t="s">
        <v>8378</v>
      </c>
      <c r="J1782" t="s">
        <v>8375</v>
      </c>
    </row>
    <row r="1783" spans="1:10" x14ac:dyDescent="0.35">
      <c r="A1783" s="6" t="s">
        <v>578</v>
      </c>
      <c r="B1783">
        <v>26.695</v>
      </c>
      <c r="C1783">
        <v>4.21</v>
      </c>
      <c r="D1783" s="6" t="s">
        <v>2373</v>
      </c>
      <c r="E1783" s="6" t="s">
        <v>2370</v>
      </c>
      <c r="F1783" s="6" t="s">
        <v>2373</v>
      </c>
      <c r="G1783">
        <v>1</v>
      </c>
      <c r="H1783" s="6" t="s">
        <v>2370</v>
      </c>
      <c r="I1783" t="s">
        <v>8378</v>
      </c>
      <c r="J1783" t="s">
        <v>8377</v>
      </c>
    </row>
    <row r="1784" spans="1:10" x14ac:dyDescent="0.35">
      <c r="A1784" s="6" t="s">
        <v>577</v>
      </c>
      <c r="B1784">
        <v>23.16</v>
      </c>
      <c r="C1784">
        <v>5.5</v>
      </c>
      <c r="D1784" s="6" t="s">
        <v>2370</v>
      </c>
      <c r="E1784" s="6" t="s">
        <v>2370</v>
      </c>
      <c r="F1784" s="6" t="s">
        <v>2370</v>
      </c>
      <c r="G1784">
        <v>0</v>
      </c>
      <c r="H1784" s="6" t="s">
        <v>2370</v>
      </c>
      <c r="I1784" t="s">
        <v>8379</v>
      </c>
      <c r="J1784" t="s">
        <v>8377</v>
      </c>
    </row>
    <row r="1785" spans="1:10" x14ac:dyDescent="0.35">
      <c r="A1785" s="6" t="s">
        <v>576</v>
      </c>
      <c r="B1785">
        <v>32.585000000000001</v>
      </c>
      <c r="C1785">
        <v>4.93</v>
      </c>
      <c r="D1785" s="6" t="s">
        <v>2373</v>
      </c>
      <c r="E1785" s="6" t="s">
        <v>2370</v>
      </c>
      <c r="F1785" s="6" t="s">
        <v>2370</v>
      </c>
      <c r="G1785">
        <v>1</v>
      </c>
      <c r="H1785" s="6" t="s">
        <v>2370</v>
      </c>
      <c r="I1785" t="s">
        <v>8374</v>
      </c>
      <c r="J1785" t="s">
        <v>8377</v>
      </c>
    </row>
    <row r="1786" spans="1:10" x14ac:dyDescent="0.35">
      <c r="A1786" s="6" t="s">
        <v>575</v>
      </c>
      <c r="B1786">
        <v>33.97</v>
      </c>
      <c r="C1786">
        <v>5.6</v>
      </c>
      <c r="D1786" s="6" t="s">
        <v>2373</v>
      </c>
      <c r="E1786" s="6" t="s">
        <v>2370</v>
      </c>
      <c r="F1786" s="6" t="s">
        <v>2370</v>
      </c>
      <c r="G1786">
        <v>0</v>
      </c>
      <c r="H1786" s="6" t="s">
        <v>2370</v>
      </c>
      <c r="I1786" t="s">
        <v>8374</v>
      </c>
      <c r="J1786" t="s">
        <v>8377</v>
      </c>
    </row>
    <row r="1787" spans="1:10" x14ac:dyDescent="0.35">
      <c r="A1787" s="6" t="s">
        <v>574</v>
      </c>
      <c r="B1787">
        <v>16.57</v>
      </c>
      <c r="C1787">
        <v>9.99</v>
      </c>
      <c r="D1787" s="6" t="s">
        <v>2370</v>
      </c>
      <c r="E1787" s="6" t="s">
        <v>2370</v>
      </c>
      <c r="F1787" s="6" t="s">
        <v>2370</v>
      </c>
      <c r="G1787">
        <v>0</v>
      </c>
      <c r="H1787" s="6" t="s">
        <v>2370</v>
      </c>
      <c r="I1787" t="s">
        <v>8380</v>
      </c>
      <c r="J1787" t="s">
        <v>8375</v>
      </c>
    </row>
    <row r="1788" spans="1:10" x14ac:dyDescent="0.35">
      <c r="A1788" s="6" t="s">
        <v>573</v>
      </c>
      <c r="B1788">
        <v>17.55</v>
      </c>
      <c r="C1788">
        <v>5.93</v>
      </c>
      <c r="D1788" s="6" t="s">
        <v>2370</v>
      </c>
      <c r="E1788" s="6" t="s">
        <v>2370</v>
      </c>
      <c r="F1788" s="6" t="s">
        <v>2373</v>
      </c>
      <c r="G1788">
        <v>1</v>
      </c>
      <c r="H1788" s="6" t="s">
        <v>2370</v>
      </c>
      <c r="I1788" t="s">
        <v>8380</v>
      </c>
      <c r="J1788" t="s">
        <v>8376</v>
      </c>
    </row>
    <row r="1789" spans="1:10" x14ac:dyDescent="0.35">
      <c r="A1789" s="6" t="s">
        <v>572</v>
      </c>
      <c r="B1789">
        <v>29.41</v>
      </c>
      <c r="C1789">
        <v>6.29</v>
      </c>
      <c r="D1789" s="6" t="s">
        <v>2373</v>
      </c>
      <c r="E1789" s="6" t="s">
        <v>2370</v>
      </c>
      <c r="F1789" s="6" t="s">
        <v>2370</v>
      </c>
      <c r="G1789">
        <v>1</v>
      </c>
      <c r="H1789" s="6" t="s">
        <v>2370</v>
      </c>
      <c r="I1789" t="s">
        <v>8378</v>
      </c>
      <c r="J1789" t="s">
        <v>8376</v>
      </c>
    </row>
    <row r="1790" spans="1:10" x14ac:dyDescent="0.35">
      <c r="A1790" s="6" t="s">
        <v>571</v>
      </c>
      <c r="B1790">
        <v>17.91</v>
      </c>
      <c r="C1790">
        <v>5.65</v>
      </c>
      <c r="D1790" s="6" t="s">
        <v>2370</v>
      </c>
      <c r="E1790" s="6" t="s">
        <v>2370</v>
      </c>
      <c r="F1790" s="6" t="s">
        <v>2370</v>
      </c>
      <c r="G1790">
        <v>1</v>
      </c>
      <c r="H1790" s="6" t="s">
        <v>2370</v>
      </c>
      <c r="I1790" t="s">
        <v>8380</v>
      </c>
      <c r="J1790" t="s">
        <v>8377</v>
      </c>
    </row>
    <row r="1791" spans="1:10" x14ac:dyDescent="0.35">
      <c r="A1791" s="6" t="s">
        <v>570</v>
      </c>
      <c r="B1791">
        <v>31.57</v>
      </c>
      <c r="C1791">
        <v>6.15</v>
      </c>
      <c r="D1791" s="6" t="s">
        <v>2370</v>
      </c>
      <c r="E1791" s="6" t="s">
        <v>2370</v>
      </c>
      <c r="F1791" s="6" t="s">
        <v>2370</v>
      </c>
      <c r="G1791">
        <v>1</v>
      </c>
      <c r="H1791" s="6" t="s">
        <v>2370</v>
      </c>
      <c r="I1791" t="s">
        <v>8374</v>
      </c>
      <c r="J1791" t="s">
        <v>8376</v>
      </c>
    </row>
    <row r="1792" spans="1:10" x14ac:dyDescent="0.35">
      <c r="A1792" s="6" t="s">
        <v>569</v>
      </c>
      <c r="B1792">
        <v>33.18</v>
      </c>
      <c r="C1792">
        <v>5.22</v>
      </c>
      <c r="D1792" s="6" t="s">
        <v>2370</v>
      </c>
      <c r="E1792" s="6" t="s">
        <v>2372</v>
      </c>
      <c r="F1792" s="6" t="s">
        <v>2370</v>
      </c>
      <c r="G1792">
        <v>1</v>
      </c>
      <c r="H1792" s="6" t="s">
        <v>2370</v>
      </c>
      <c r="I1792" t="s">
        <v>8374</v>
      </c>
      <c r="J1792" t="s">
        <v>8377</v>
      </c>
    </row>
    <row r="1793" spans="1:10" x14ac:dyDescent="0.35">
      <c r="A1793" s="6" t="s">
        <v>568</v>
      </c>
      <c r="B1793">
        <v>37</v>
      </c>
      <c r="C1793">
        <v>11.66</v>
      </c>
      <c r="D1793" s="6" t="s">
        <v>2370</v>
      </c>
      <c r="E1793" s="6" t="s">
        <v>2370</v>
      </c>
      <c r="F1793" s="6" t="s">
        <v>2370</v>
      </c>
      <c r="G1793">
        <v>0</v>
      </c>
      <c r="H1793" s="6" t="s">
        <v>2370</v>
      </c>
      <c r="I1793" t="s">
        <v>8374</v>
      </c>
      <c r="J1793" t="s">
        <v>8375</v>
      </c>
    </row>
    <row r="1794" spans="1:10" x14ac:dyDescent="0.35">
      <c r="A1794" s="6" t="s">
        <v>567</v>
      </c>
      <c r="B1794">
        <v>18.905000000000001</v>
      </c>
      <c r="C1794">
        <v>4.91</v>
      </c>
      <c r="D1794" s="6" t="s">
        <v>2373</v>
      </c>
      <c r="E1794" s="6" t="s">
        <v>2370</v>
      </c>
      <c r="F1794" s="6" t="s">
        <v>2370</v>
      </c>
      <c r="G1794">
        <v>1</v>
      </c>
      <c r="H1794" s="6" t="s">
        <v>2370</v>
      </c>
      <c r="I1794" t="s">
        <v>8379</v>
      </c>
      <c r="J1794" t="s">
        <v>8377</v>
      </c>
    </row>
    <row r="1795" spans="1:10" x14ac:dyDescent="0.35">
      <c r="A1795" s="6" t="s">
        <v>566</v>
      </c>
      <c r="B1795">
        <v>20.03</v>
      </c>
      <c r="C1795">
        <v>9.25</v>
      </c>
      <c r="D1795" s="6" t="s">
        <v>2373</v>
      </c>
      <c r="E1795" s="6" t="s">
        <v>2370</v>
      </c>
      <c r="F1795" s="6" t="s">
        <v>2370</v>
      </c>
      <c r="G1795">
        <v>0</v>
      </c>
      <c r="H1795" s="6" t="s">
        <v>2370</v>
      </c>
      <c r="I1795" t="s">
        <v>8379</v>
      </c>
      <c r="J1795" t="s">
        <v>8375</v>
      </c>
    </row>
    <row r="1796" spans="1:10" x14ac:dyDescent="0.35">
      <c r="A1796" s="6" t="s">
        <v>565</v>
      </c>
      <c r="B1796">
        <v>16.7</v>
      </c>
      <c r="C1796">
        <v>11.48</v>
      </c>
      <c r="D1796" s="6" t="s">
        <v>2370</v>
      </c>
      <c r="E1796" s="6" t="s">
        <v>2370</v>
      </c>
      <c r="F1796" s="6" t="s">
        <v>2370</v>
      </c>
      <c r="G1796">
        <v>0</v>
      </c>
      <c r="H1796" s="6" t="s">
        <v>2370</v>
      </c>
      <c r="I1796" t="s">
        <v>8380</v>
      </c>
      <c r="J1796" t="s">
        <v>8375</v>
      </c>
    </row>
    <row r="1797" spans="1:10" x14ac:dyDescent="0.35">
      <c r="A1797" s="6" t="s">
        <v>564</v>
      </c>
      <c r="B1797">
        <v>39.82</v>
      </c>
      <c r="C1797">
        <v>6.06</v>
      </c>
      <c r="D1797" s="6" t="s">
        <v>2370</v>
      </c>
      <c r="E1797" s="6" t="s">
        <v>2370</v>
      </c>
      <c r="F1797" s="6" t="s">
        <v>2370</v>
      </c>
      <c r="G1797">
        <v>0</v>
      </c>
      <c r="H1797" s="6" t="s">
        <v>2370</v>
      </c>
      <c r="I1797" t="s">
        <v>8374</v>
      </c>
      <c r="J1797" t="s">
        <v>8376</v>
      </c>
    </row>
    <row r="1798" spans="1:10" x14ac:dyDescent="0.35">
      <c r="A1798" s="6" t="s">
        <v>563</v>
      </c>
      <c r="B1798">
        <v>22.04</v>
      </c>
      <c r="C1798">
        <v>5.86</v>
      </c>
      <c r="D1798" s="6" t="s">
        <v>2370</v>
      </c>
      <c r="E1798" s="6" t="s">
        <v>2370</v>
      </c>
      <c r="F1798" s="6" t="s">
        <v>2370</v>
      </c>
      <c r="G1798">
        <v>1</v>
      </c>
      <c r="H1798" s="6" t="s">
        <v>2370</v>
      </c>
      <c r="I1798" t="s">
        <v>8379</v>
      </c>
      <c r="J1798" t="s">
        <v>8376</v>
      </c>
    </row>
    <row r="1799" spans="1:10" x14ac:dyDescent="0.35">
      <c r="A1799" s="6" t="s">
        <v>562</v>
      </c>
      <c r="B1799">
        <v>28.27</v>
      </c>
      <c r="C1799">
        <v>5.33</v>
      </c>
      <c r="D1799" s="6" t="s">
        <v>2370</v>
      </c>
      <c r="E1799" s="6" t="s">
        <v>2370</v>
      </c>
      <c r="F1799" s="6" t="s">
        <v>2370</v>
      </c>
      <c r="G1799">
        <v>0</v>
      </c>
      <c r="H1799" s="6" t="s">
        <v>2370</v>
      </c>
      <c r="I1799" t="s">
        <v>8378</v>
      </c>
      <c r="J1799" t="s">
        <v>8377</v>
      </c>
    </row>
    <row r="1800" spans="1:10" x14ac:dyDescent="0.35">
      <c r="A1800" s="6" t="s">
        <v>561</v>
      </c>
      <c r="B1800">
        <v>18.5</v>
      </c>
      <c r="C1800">
        <v>5.33</v>
      </c>
      <c r="D1800" s="6" t="s">
        <v>2370</v>
      </c>
      <c r="E1800" s="6" t="s">
        <v>2370</v>
      </c>
      <c r="F1800" s="6" t="s">
        <v>2370</v>
      </c>
      <c r="G1800">
        <v>0</v>
      </c>
      <c r="H1800" s="6" t="s">
        <v>2370</v>
      </c>
      <c r="I1800" t="s">
        <v>8379</v>
      </c>
      <c r="J1800" t="s">
        <v>8377</v>
      </c>
    </row>
    <row r="1801" spans="1:10" x14ac:dyDescent="0.35">
      <c r="A1801" s="6" t="s">
        <v>560</v>
      </c>
      <c r="B1801">
        <v>38.6</v>
      </c>
      <c r="C1801">
        <v>6.02</v>
      </c>
      <c r="D1801" s="6" t="s">
        <v>2370</v>
      </c>
      <c r="E1801" s="6" t="s">
        <v>2370</v>
      </c>
      <c r="F1801" s="6" t="s">
        <v>2370</v>
      </c>
      <c r="G1801">
        <v>1</v>
      </c>
      <c r="H1801" s="6" t="s">
        <v>2370</v>
      </c>
      <c r="I1801" t="s">
        <v>8374</v>
      </c>
      <c r="J1801" t="s">
        <v>8376</v>
      </c>
    </row>
    <row r="1802" spans="1:10" x14ac:dyDescent="0.35">
      <c r="A1802" s="6" t="s">
        <v>559</v>
      </c>
      <c r="B1802">
        <v>43.12</v>
      </c>
      <c r="C1802">
        <v>6.25</v>
      </c>
      <c r="D1802" s="6" t="s">
        <v>2370</v>
      </c>
      <c r="E1802" s="6" t="s">
        <v>2370</v>
      </c>
      <c r="F1802" s="6" t="s">
        <v>2370</v>
      </c>
      <c r="G1802">
        <v>1</v>
      </c>
      <c r="H1802" s="6" t="s">
        <v>2370</v>
      </c>
      <c r="I1802" t="s">
        <v>8374</v>
      </c>
      <c r="J1802" t="s">
        <v>8376</v>
      </c>
    </row>
    <row r="1803" spans="1:10" x14ac:dyDescent="0.35">
      <c r="A1803" s="6" t="s">
        <v>558</v>
      </c>
      <c r="B1803">
        <v>30.5</v>
      </c>
      <c r="C1803">
        <v>4.8099999999999996</v>
      </c>
      <c r="D1803" s="6" t="s">
        <v>2370</v>
      </c>
      <c r="E1803" s="6" t="s">
        <v>2370</v>
      </c>
      <c r="F1803" s="6" t="s">
        <v>2370</v>
      </c>
      <c r="G1803">
        <v>1</v>
      </c>
      <c r="H1803" s="6" t="s">
        <v>2370</v>
      </c>
      <c r="I1803" t="s">
        <v>8374</v>
      </c>
      <c r="J1803" t="s">
        <v>8377</v>
      </c>
    </row>
    <row r="1804" spans="1:10" x14ac:dyDescent="0.35">
      <c r="A1804" s="6" t="s">
        <v>557</v>
      </c>
      <c r="B1804">
        <v>27.61</v>
      </c>
      <c r="C1804">
        <v>4.5999999999999996</v>
      </c>
      <c r="D1804" s="6" t="s">
        <v>2370</v>
      </c>
      <c r="E1804" s="6" t="s">
        <v>2370</v>
      </c>
      <c r="F1804" s="6" t="s">
        <v>2370</v>
      </c>
      <c r="G1804">
        <v>1</v>
      </c>
      <c r="H1804" s="6" t="s">
        <v>2370</v>
      </c>
      <c r="I1804" t="s">
        <v>8378</v>
      </c>
      <c r="J1804" t="s">
        <v>8377</v>
      </c>
    </row>
    <row r="1805" spans="1:10" x14ac:dyDescent="0.35">
      <c r="A1805" s="6" t="s">
        <v>556</v>
      </c>
      <c r="B1805">
        <v>27.1</v>
      </c>
      <c r="C1805">
        <v>5.08</v>
      </c>
      <c r="D1805" s="6" t="s">
        <v>2370</v>
      </c>
      <c r="E1805" s="6" t="s">
        <v>2370</v>
      </c>
      <c r="F1805" s="6" t="s">
        <v>2370</v>
      </c>
      <c r="G1805">
        <v>1</v>
      </c>
      <c r="H1805" s="6" t="s">
        <v>2370</v>
      </c>
      <c r="I1805" t="s">
        <v>8378</v>
      </c>
      <c r="J1805" t="s">
        <v>8377</v>
      </c>
    </row>
    <row r="1806" spans="1:10" x14ac:dyDescent="0.35">
      <c r="A1806" s="6" t="s">
        <v>555</v>
      </c>
      <c r="B1806">
        <v>35.93</v>
      </c>
      <c r="C1806">
        <v>5.43</v>
      </c>
      <c r="D1806" s="6" t="s">
        <v>2370</v>
      </c>
      <c r="E1806" s="6" t="s">
        <v>2372</v>
      </c>
      <c r="F1806" s="6" t="s">
        <v>2370</v>
      </c>
      <c r="G1806">
        <v>1</v>
      </c>
      <c r="H1806" s="6" t="s">
        <v>2370</v>
      </c>
      <c r="I1806" t="s">
        <v>8374</v>
      </c>
      <c r="J1806" t="s">
        <v>8377</v>
      </c>
    </row>
    <row r="1807" spans="1:10" x14ac:dyDescent="0.35">
      <c r="A1807" s="6" t="s">
        <v>554</v>
      </c>
      <c r="B1807">
        <v>32.68</v>
      </c>
      <c r="C1807">
        <v>5.44</v>
      </c>
      <c r="D1807" s="6" t="s">
        <v>2370</v>
      </c>
      <c r="E1807" s="6" t="s">
        <v>2370</v>
      </c>
      <c r="F1807" s="6" t="s">
        <v>2370</v>
      </c>
      <c r="G1807">
        <v>0</v>
      </c>
      <c r="H1807" s="6" t="s">
        <v>2370</v>
      </c>
      <c r="I1807" t="s">
        <v>8374</v>
      </c>
      <c r="J1807" t="s">
        <v>8377</v>
      </c>
    </row>
    <row r="1808" spans="1:10" x14ac:dyDescent="0.35">
      <c r="A1808" s="6" t="s">
        <v>553</v>
      </c>
      <c r="B1808">
        <v>20.74</v>
      </c>
      <c r="C1808">
        <v>11.69</v>
      </c>
      <c r="D1808" s="6" t="s">
        <v>2373</v>
      </c>
      <c r="E1808" s="6" t="s">
        <v>2370</v>
      </c>
      <c r="F1808" s="6" t="s">
        <v>2370</v>
      </c>
      <c r="G1808">
        <v>1</v>
      </c>
      <c r="H1808" s="6" t="s">
        <v>2370</v>
      </c>
      <c r="I1808" t="s">
        <v>8379</v>
      </c>
      <c r="J1808" t="s">
        <v>8375</v>
      </c>
    </row>
    <row r="1809" spans="1:10" x14ac:dyDescent="0.35">
      <c r="A1809" s="6" t="s">
        <v>552</v>
      </c>
      <c r="B1809">
        <v>15.57</v>
      </c>
      <c r="C1809">
        <v>6.07</v>
      </c>
      <c r="D1809" s="6" t="s">
        <v>2370</v>
      </c>
      <c r="E1809" s="6" t="s">
        <v>2370</v>
      </c>
      <c r="F1809" s="6" t="s">
        <v>2370</v>
      </c>
      <c r="G1809">
        <v>0</v>
      </c>
      <c r="H1809" s="6" t="s">
        <v>2370</v>
      </c>
      <c r="I1809" t="s">
        <v>8380</v>
      </c>
      <c r="J1809" t="s">
        <v>8376</v>
      </c>
    </row>
    <row r="1810" spans="1:10" x14ac:dyDescent="0.35">
      <c r="A1810" s="6" t="s">
        <v>551</v>
      </c>
      <c r="B1810">
        <v>23.844999999999999</v>
      </c>
      <c r="C1810">
        <v>4.3600000000000003</v>
      </c>
      <c r="D1810" s="6" t="s">
        <v>2370</v>
      </c>
      <c r="E1810" s="6" t="s">
        <v>2370</v>
      </c>
      <c r="F1810" s="6" t="s">
        <v>2370</v>
      </c>
      <c r="G1810">
        <v>0</v>
      </c>
      <c r="H1810" s="6" t="s">
        <v>2370</v>
      </c>
      <c r="I1810" t="s">
        <v>8379</v>
      </c>
      <c r="J1810" t="s">
        <v>8377</v>
      </c>
    </row>
    <row r="1811" spans="1:10" x14ac:dyDescent="0.35">
      <c r="A1811" s="6" t="s">
        <v>550</v>
      </c>
      <c r="B1811">
        <v>22.895</v>
      </c>
      <c r="C1811">
        <v>5.24</v>
      </c>
      <c r="D1811" s="6" t="s">
        <v>2370</v>
      </c>
      <c r="E1811" s="6" t="s">
        <v>2370</v>
      </c>
      <c r="F1811" s="6" t="s">
        <v>2370</v>
      </c>
      <c r="G1811">
        <v>1</v>
      </c>
      <c r="H1811" s="6" t="s">
        <v>2370</v>
      </c>
      <c r="I1811" t="s">
        <v>8379</v>
      </c>
      <c r="J1811" t="s">
        <v>8377</v>
      </c>
    </row>
    <row r="1812" spans="1:10" x14ac:dyDescent="0.35">
      <c r="A1812" s="6" t="s">
        <v>549</v>
      </c>
      <c r="B1812">
        <v>21.945</v>
      </c>
      <c r="C1812">
        <v>5.37</v>
      </c>
      <c r="D1812" s="6" t="s">
        <v>2370</v>
      </c>
      <c r="E1812" s="6" t="s">
        <v>2370</v>
      </c>
      <c r="F1812" s="6" t="s">
        <v>2370</v>
      </c>
      <c r="G1812">
        <v>1</v>
      </c>
      <c r="H1812" s="6" t="s">
        <v>2370</v>
      </c>
      <c r="I1812" t="s">
        <v>8379</v>
      </c>
      <c r="J1812" t="s">
        <v>8377</v>
      </c>
    </row>
    <row r="1813" spans="1:10" x14ac:dyDescent="0.35">
      <c r="A1813" s="6" t="s">
        <v>548</v>
      </c>
      <c r="B1813">
        <v>19.47</v>
      </c>
      <c r="C1813">
        <v>6.6</v>
      </c>
      <c r="D1813" s="6" t="s">
        <v>2373</v>
      </c>
      <c r="E1813" s="6" t="s">
        <v>2370</v>
      </c>
      <c r="F1813" s="6" t="s">
        <v>2370</v>
      </c>
      <c r="G1813">
        <v>0</v>
      </c>
      <c r="H1813" s="6" t="s">
        <v>2370</v>
      </c>
      <c r="I1813" t="s">
        <v>8379</v>
      </c>
      <c r="J1813" t="s">
        <v>8375</v>
      </c>
    </row>
    <row r="1814" spans="1:10" x14ac:dyDescent="0.35">
      <c r="A1814" s="6" t="s">
        <v>547</v>
      </c>
      <c r="B1814">
        <v>15.61</v>
      </c>
      <c r="C1814">
        <v>5.77</v>
      </c>
      <c r="D1814" s="6" t="s">
        <v>2370</v>
      </c>
      <c r="E1814" s="6" t="s">
        <v>2370</v>
      </c>
      <c r="F1814" s="6" t="s">
        <v>2370</v>
      </c>
      <c r="G1814">
        <v>0</v>
      </c>
      <c r="H1814" s="6" t="s">
        <v>2370</v>
      </c>
      <c r="I1814" t="s">
        <v>8380</v>
      </c>
      <c r="J1814" t="s">
        <v>8376</v>
      </c>
    </row>
    <row r="1815" spans="1:10" x14ac:dyDescent="0.35">
      <c r="A1815" s="6" t="s">
        <v>546</v>
      </c>
      <c r="B1815">
        <v>28.6</v>
      </c>
      <c r="C1815">
        <v>6.08</v>
      </c>
      <c r="D1815" s="6" t="s">
        <v>2370</v>
      </c>
      <c r="E1815" s="6" t="s">
        <v>2370</v>
      </c>
      <c r="F1815" s="6" t="s">
        <v>2373</v>
      </c>
      <c r="G1815">
        <v>1</v>
      </c>
      <c r="H1815" s="6" t="s">
        <v>2370</v>
      </c>
      <c r="I1815" t="s">
        <v>8378</v>
      </c>
      <c r="J1815" t="s">
        <v>8376</v>
      </c>
    </row>
    <row r="1816" spans="1:10" x14ac:dyDescent="0.35">
      <c r="A1816" s="6" t="s">
        <v>545</v>
      </c>
      <c r="B1816">
        <v>46.53</v>
      </c>
      <c r="C1816">
        <v>4.16</v>
      </c>
      <c r="D1816" s="6" t="s">
        <v>2370</v>
      </c>
      <c r="E1816" s="6" t="s">
        <v>2370</v>
      </c>
      <c r="F1816" s="6" t="s">
        <v>2370</v>
      </c>
      <c r="G1816">
        <v>0</v>
      </c>
      <c r="H1816" s="6" t="s">
        <v>2370</v>
      </c>
      <c r="I1816" t="s">
        <v>8374</v>
      </c>
      <c r="J1816" t="s">
        <v>8377</v>
      </c>
    </row>
    <row r="1817" spans="1:10" x14ac:dyDescent="0.35">
      <c r="A1817" s="6" t="s">
        <v>544</v>
      </c>
      <c r="B1817">
        <v>34.99</v>
      </c>
      <c r="C1817">
        <v>5.0999999999999996</v>
      </c>
      <c r="D1817" s="6" t="s">
        <v>2370</v>
      </c>
      <c r="E1817" s="6" t="s">
        <v>2370</v>
      </c>
      <c r="F1817" s="6" t="s">
        <v>2373</v>
      </c>
      <c r="G1817">
        <v>1</v>
      </c>
      <c r="H1817" s="6" t="s">
        <v>2370</v>
      </c>
      <c r="I1817" t="s">
        <v>8374</v>
      </c>
      <c r="J1817" t="s">
        <v>8377</v>
      </c>
    </row>
    <row r="1818" spans="1:10" x14ac:dyDescent="0.35">
      <c r="A1818" s="6" t="s">
        <v>543</v>
      </c>
      <c r="B1818">
        <v>17.05</v>
      </c>
      <c r="C1818">
        <v>5.3</v>
      </c>
      <c r="D1818" s="6" t="s">
        <v>2370</v>
      </c>
      <c r="E1818" s="6" t="s">
        <v>2370</v>
      </c>
      <c r="F1818" s="6" t="s">
        <v>2373</v>
      </c>
      <c r="G1818">
        <v>1</v>
      </c>
      <c r="H1818" s="6" t="s">
        <v>2370</v>
      </c>
      <c r="I1818" t="s">
        <v>8380</v>
      </c>
      <c r="J1818" t="s">
        <v>8377</v>
      </c>
    </row>
    <row r="1819" spans="1:10" x14ac:dyDescent="0.35">
      <c r="A1819" s="6" t="s">
        <v>542</v>
      </c>
      <c r="B1819">
        <v>37.18</v>
      </c>
      <c r="C1819">
        <v>4.9000000000000004</v>
      </c>
      <c r="D1819" s="6" t="s">
        <v>2370</v>
      </c>
      <c r="E1819" s="6" t="s">
        <v>2370</v>
      </c>
      <c r="F1819" s="6" t="s">
        <v>2370</v>
      </c>
      <c r="G1819">
        <v>0</v>
      </c>
      <c r="H1819" s="6" t="s">
        <v>2370</v>
      </c>
      <c r="I1819" t="s">
        <v>8374</v>
      </c>
      <c r="J1819" t="s">
        <v>8377</v>
      </c>
    </row>
    <row r="1820" spans="1:10" x14ac:dyDescent="0.35">
      <c r="A1820" s="6" t="s">
        <v>541</v>
      </c>
      <c r="B1820">
        <v>35.200000000000003</v>
      </c>
      <c r="C1820">
        <v>5.55</v>
      </c>
      <c r="D1820" s="6" t="s">
        <v>2370</v>
      </c>
      <c r="E1820" s="6" t="s">
        <v>2370</v>
      </c>
      <c r="F1820" s="6" t="s">
        <v>2370</v>
      </c>
      <c r="G1820">
        <v>0</v>
      </c>
      <c r="H1820" s="6" t="s">
        <v>2370</v>
      </c>
      <c r="I1820" t="s">
        <v>8374</v>
      </c>
      <c r="J1820" t="s">
        <v>8377</v>
      </c>
    </row>
    <row r="1821" spans="1:10" x14ac:dyDescent="0.35">
      <c r="A1821" s="6" t="s">
        <v>540</v>
      </c>
      <c r="B1821">
        <v>37.335000000000001</v>
      </c>
      <c r="C1821">
        <v>4.95</v>
      </c>
      <c r="D1821" s="6" t="s">
        <v>2370</v>
      </c>
      <c r="E1821" s="6" t="s">
        <v>2370</v>
      </c>
      <c r="F1821" s="6" t="s">
        <v>2370</v>
      </c>
      <c r="G1821">
        <v>0</v>
      </c>
      <c r="H1821" s="6" t="s">
        <v>2370</v>
      </c>
      <c r="I1821" t="s">
        <v>8374</v>
      </c>
      <c r="J1821" t="s">
        <v>8377</v>
      </c>
    </row>
    <row r="1822" spans="1:10" x14ac:dyDescent="0.35">
      <c r="A1822" s="6" t="s">
        <v>539</v>
      </c>
      <c r="B1822">
        <v>27.265000000000001</v>
      </c>
      <c r="C1822">
        <v>6.46</v>
      </c>
      <c r="D1822" s="6" t="s">
        <v>2373</v>
      </c>
      <c r="E1822" s="6" t="s">
        <v>2370</v>
      </c>
      <c r="F1822" s="6" t="s">
        <v>2370</v>
      </c>
      <c r="G1822">
        <v>0</v>
      </c>
      <c r="H1822" s="6" t="s">
        <v>2370</v>
      </c>
      <c r="I1822" t="s">
        <v>8378</v>
      </c>
      <c r="J1822" t="s">
        <v>8376</v>
      </c>
    </row>
    <row r="1823" spans="1:10" x14ac:dyDescent="0.35">
      <c r="A1823" s="6" t="s">
        <v>538</v>
      </c>
      <c r="B1823">
        <v>30.8</v>
      </c>
      <c r="C1823">
        <v>4.9000000000000004</v>
      </c>
      <c r="D1823" s="6" t="s">
        <v>2373</v>
      </c>
      <c r="E1823" s="6" t="s">
        <v>2370</v>
      </c>
      <c r="F1823" s="6" t="s">
        <v>2370</v>
      </c>
      <c r="G1823">
        <v>0</v>
      </c>
      <c r="H1823" s="6" t="s">
        <v>2370</v>
      </c>
      <c r="I1823" t="s">
        <v>8374</v>
      </c>
      <c r="J1823" t="s">
        <v>8377</v>
      </c>
    </row>
    <row r="1824" spans="1:10" x14ac:dyDescent="0.35">
      <c r="A1824" s="6" t="s">
        <v>537</v>
      </c>
      <c r="B1824">
        <v>30.21</v>
      </c>
      <c r="C1824">
        <v>5.21</v>
      </c>
      <c r="D1824" s="6" t="s">
        <v>2370</v>
      </c>
      <c r="E1824" s="6" t="s">
        <v>2370</v>
      </c>
      <c r="F1824" s="6" t="s">
        <v>2370</v>
      </c>
      <c r="G1824">
        <v>1</v>
      </c>
      <c r="H1824" s="6" t="s">
        <v>2370</v>
      </c>
      <c r="I1824" t="s">
        <v>8374</v>
      </c>
      <c r="J1824" t="s">
        <v>8377</v>
      </c>
    </row>
    <row r="1825" spans="1:10" x14ac:dyDescent="0.35">
      <c r="A1825" s="6" t="s">
        <v>536</v>
      </c>
      <c r="B1825">
        <v>35.340000000000003</v>
      </c>
      <c r="C1825">
        <v>4.13</v>
      </c>
      <c r="D1825" s="6" t="s">
        <v>2370</v>
      </c>
      <c r="E1825" s="6" t="s">
        <v>2372</v>
      </c>
      <c r="F1825" s="6" t="s">
        <v>2370</v>
      </c>
      <c r="G1825">
        <v>1</v>
      </c>
      <c r="H1825" s="6" t="s">
        <v>2370</v>
      </c>
      <c r="I1825" t="s">
        <v>8374</v>
      </c>
      <c r="J1825" t="s">
        <v>8377</v>
      </c>
    </row>
    <row r="1826" spans="1:10" x14ac:dyDescent="0.35">
      <c r="A1826" s="6" t="s">
        <v>535</v>
      </c>
      <c r="B1826">
        <v>26.695</v>
      </c>
      <c r="C1826">
        <v>5.28</v>
      </c>
      <c r="D1826" s="6" t="s">
        <v>2370</v>
      </c>
      <c r="E1826" s="6" t="s">
        <v>2370</v>
      </c>
      <c r="F1826" s="6" t="s">
        <v>2370</v>
      </c>
      <c r="G1826">
        <v>0</v>
      </c>
      <c r="H1826" s="6" t="s">
        <v>2370</v>
      </c>
      <c r="I1826" t="s">
        <v>8378</v>
      </c>
      <c r="J1826" t="s">
        <v>8377</v>
      </c>
    </row>
    <row r="1827" spans="1:10" x14ac:dyDescent="0.35">
      <c r="A1827" s="6" t="s">
        <v>534</v>
      </c>
      <c r="B1827">
        <v>29.355</v>
      </c>
      <c r="C1827">
        <v>4.68</v>
      </c>
      <c r="D1827" s="6" t="s">
        <v>2373</v>
      </c>
      <c r="E1827" s="6" t="s">
        <v>2370</v>
      </c>
      <c r="F1827" s="6" t="s">
        <v>2370</v>
      </c>
      <c r="G1827">
        <v>0</v>
      </c>
      <c r="H1827" s="6" t="s">
        <v>2370</v>
      </c>
      <c r="I1827" t="s">
        <v>8378</v>
      </c>
      <c r="J1827" t="s">
        <v>8377</v>
      </c>
    </row>
    <row r="1828" spans="1:10" x14ac:dyDescent="0.35">
      <c r="A1828" s="6" t="s">
        <v>533</v>
      </c>
      <c r="B1828">
        <v>29.59</v>
      </c>
      <c r="C1828">
        <v>4.0599999999999996</v>
      </c>
      <c r="D1828" s="6" t="s">
        <v>2370</v>
      </c>
      <c r="E1828" s="6" t="s">
        <v>2370</v>
      </c>
      <c r="F1828" s="6" t="s">
        <v>2370</v>
      </c>
      <c r="G1828">
        <v>0</v>
      </c>
      <c r="H1828" s="6" t="s">
        <v>2370</v>
      </c>
      <c r="I1828" t="s">
        <v>8378</v>
      </c>
      <c r="J1828" t="s">
        <v>8377</v>
      </c>
    </row>
    <row r="1829" spans="1:10" x14ac:dyDescent="0.35">
      <c r="A1829" s="6" t="s">
        <v>532</v>
      </c>
      <c r="B1829">
        <v>31.35</v>
      </c>
      <c r="C1829">
        <v>4.2</v>
      </c>
      <c r="D1829" s="6" t="s">
        <v>2370</v>
      </c>
      <c r="E1829" s="6" t="s">
        <v>2372</v>
      </c>
      <c r="F1829" s="6" t="s">
        <v>2370</v>
      </c>
      <c r="G1829">
        <v>1</v>
      </c>
      <c r="H1829" s="6" t="s">
        <v>2370</v>
      </c>
      <c r="I1829" t="s">
        <v>8374</v>
      </c>
      <c r="J1829" t="s">
        <v>8377</v>
      </c>
    </row>
    <row r="1830" spans="1:10" x14ac:dyDescent="0.35">
      <c r="A1830" s="6" t="s">
        <v>531</v>
      </c>
      <c r="B1830">
        <v>20.52</v>
      </c>
      <c r="C1830">
        <v>4.83</v>
      </c>
      <c r="D1830" s="6" t="s">
        <v>2370</v>
      </c>
      <c r="E1830" s="6" t="s">
        <v>2370</v>
      </c>
      <c r="F1830" s="6" t="s">
        <v>2370</v>
      </c>
      <c r="G1830">
        <v>0</v>
      </c>
      <c r="H1830" s="6" t="s">
        <v>2370</v>
      </c>
      <c r="I1830" t="s">
        <v>8379</v>
      </c>
      <c r="J1830" t="s">
        <v>8377</v>
      </c>
    </row>
    <row r="1831" spans="1:10" x14ac:dyDescent="0.35">
      <c r="A1831" s="6" t="s">
        <v>530</v>
      </c>
      <c r="B1831">
        <v>42.9</v>
      </c>
      <c r="C1831">
        <v>4.87</v>
      </c>
      <c r="D1831" s="6" t="s">
        <v>2373</v>
      </c>
      <c r="E1831" s="6" t="s">
        <v>2370</v>
      </c>
      <c r="F1831" s="6" t="s">
        <v>2370</v>
      </c>
      <c r="G1831">
        <v>1</v>
      </c>
      <c r="H1831" s="6" t="s">
        <v>2370</v>
      </c>
      <c r="I1831" t="s">
        <v>8374</v>
      </c>
      <c r="J1831" t="s">
        <v>8377</v>
      </c>
    </row>
    <row r="1832" spans="1:10" x14ac:dyDescent="0.35">
      <c r="A1832" s="6" t="s">
        <v>529</v>
      </c>
      <c r="B1832">
        <v>24.6</v>
      </c>
      <c r="C1832">
        <v>5.86</v>
      </c>
      <c r="D1832" s="6" t="s">
        <v>2370</v>
      </c>
      <c r="E1832" s="6" t="s">
        <v>2370</v>
      </c>
      <c r="F1832" s="6" t="s">
        <v>2373</v>
      </c>
      <c r="G1832">
        <v>1</v>
      </c>
      <c r="H1832" s="6" t="s">
        <v>2370</v>
      </c>
      <c r="I1832" t="s">
        <v>8379</v>
      </c>
      <c r="J1832" t="s">
        <v>8376</v>
      </c>
    </row>
    <row r="1833" spans="1:10" x14ac:dyDescent="0.35">
      <c r="A1833" s="6" t="s">
        <v>528</v>
      </c>
      <c r="B1833">
        <v>28.405000000000001</v>
      </c>
      <c r="C1833">
        <v>4.12</v>
      </c>
      <c r="D1833" s="6" t="s">
        <v>2370</v>
      </c>
      <c r="E1833" s="6" t="s">
        <v>2370</v>
      </c>
      <c r="F1833" s="6" t="s">
        <v>2370</v>
      </c>
      <c r="G1833">
        <v>1</v>
      </c>
      <c r="H1833" s="6" t="s">
        <v>2370</v>
      </c>
      <c r="I1833" t="s">
        <v>8378</v>
      </c>
      <c r="J1833" t="s">
        <v>8377</v>
      </c>
    </row>
    <row r="1834" spans="1:10" x14ac:dyDescent="0.35">
      <c r="A1834" s="6" t="s">
        <v>527</v>
      </c>
      <c r="B1834">
        <v>34.674999999999997</v>
      </c>
      <c r="C1834">
        <v>5.71</v>
      </c>
      <c r="D1834" s="6" t="s">
        <v>2373</v>
      </c>
      <c r="E1834" s="6" t="s">
        <v>2370</v>
      </c>
      <c r="F1834" s="6" t="s">
        <v>2370</v>
      </c>
      <c r="G1834">
        <v>1</v>
      </c>
      <c r="H1834" s="6" t="s">
        <v>2370</v>
      </c>
      <c r="I1834" t="s">
        <v>8374</v>
      </c>
      <c r="J1834" t="s">
        <v>8376</v>
      </c>
    </row>
    <row r="1835" spans="1:10" x14ac:dyDescent="0.35">
      <c r="A1835" s="6" t="s">
        <v>526</v>
      </c>
      <c r="B1835">
        <v>18.850000000000001</v>
      </c>
      <c r="C1835">
        <v>6.03</v>
      </c>
      <c r="D1835" s="6" t="s">
        <v>2370</v>
      </c>
      <c r="E1835" s="6" t="s">
        <v>2370</v>
      </c>
      <c r="F1835" s="6" t="s">
        <v>2370</v>
      </c>
      <c r="G1835">
        <v>1</v>
      </c>
      <c r="H1835" s="6" t="s">
        <v>2370</v>
      </c>
      <c r="I1835" t="s">
        <v>8379</v>
      </c>
      <c r="J1835" t="s">
        <v>8376</v>
      </c>
    </row>
    <row r="1836" spans="1:10" x14ac:dyDescent="0.35">
      <c r="A1836" s="6" t="s">
        <v>524</v>
      </c>
      <c r="B1836">
        <v>34.130000000000003</v>
      </c>
      <c r="C1836">
        <v>5.65</v>
      </c>
      <c r="D1836" s="6" t="s">
        <v>2370</v>
      </c>
      <c r="E1836" s="6" t="s">
        <v>2370</v>
      </c>
      <c r="F1836" s="6" t="s">
        <v>2373</v>
      </c>
      <c r="G1836">
        <v>1</v>
      </c>
      <c r="H1836" s="6" t="s">
        <v>2370</v>
      </c>
      <c r="I1836" t="s">
        <v>8374</v>
      </c>
      <c r="J1836" t="s">
        <v>8377</v>
      </c>
    </row>
    <row r="1837" spans="1:10" x14ac:dyDescent="0.35">
      <c r="A1837" s="6" t="s">
        <v>523</v>
      </c>
      <c r="B1837">
        <v>17.34</v>
      </c>
      <c r="C1837">
        <v>5.05</v>
      </c>
      <c r="D1837" s="6" t="s">
        <v>2370</v>
      </c>
      <c r="E1837" s="6" t="s">
        <v>2370</v>
      </c>
      <c r="F1837" s="6" t="s">
        <v>2370</v>
      </c>
      <c r="G1837">
        <v>0</v>
      </c>
      <c r="H1837" s="6" t="s">
        <v>2370</v>
      </c>
      <c r="I1837" t="s">
        <v>8380</v>
      </c>
      <c r="J1837" t="s">
        <v>8377</v>
      </c>
    </row>
    <row r="1838" spans="1:10" x14ac:dyDescent="0.35">
      <c r="A1838" s="6" t="s">
        <v>522</v>
      </c>
      <c r="B1838">
        <v>17.440000000000001</v>
      </c>
      <c r="C1838">
        <v>6.26</v>
      </c>
      <c r="D1838" s="6" t="s">
        <v>2370</v>
      </c>
      <c r="E1838" s="6" t="s">
        <v>2370</v>
      </c>
      <c r="F1838" s="6" t="s">
        <v>2370</v>
      </c>
      <c r="G1838">
        <v>0</v>
      </c>
      <c r="H1838" s="6" t="s">
        <v>2370</v>
      </c>
      <c r="I1838" t="s">
        <v>8380</v>
      </c>
      <c r="J1838" t="s">
        <v>8376</v>
      </c>
    </row>
    <row r="1839" spans="1:10" x14ac:dyDescent="0.35">
      <c r="A1839" s="6" t="s">
        <v>521</v>
      </c>
      <c r="B1839">
        <v>33.659999999999997</v>
      </c>
      <c r="C1839">
        <v>4.08</v>
      </c>
      <c r="D1839" s="6" t="s">
        <v>2373</v>
      </c>
      <c r="E1839" s="6" t="s">
        <v>2370</v>
      </c>
      <c r="F1839" s="6" t="s">
        <v>2373</v>
      </c>
      <c r="G1839">
        <v>1</v>
      </c>
      <c r="H1839" s="6" t="s">
        <v>2370</v>
      </c>
      <c r="I1839" t="s">
        <v>8374</v>
      </c>
      <c r="J1839" t="s">
        <v>8377</v>
      </c>
    </row>
    <row r="1840" spans="1:10" x14ac:dyDescent="0.35">
      <c r="A1840" s="6" t="s">
        <v>520</v>
      </c>
      <c r="B1840">
        <v>21.375</v>
      </c>
      <c r="C1840">
        <v>6.19</v>
      </c>
      <c r="D1840" s="6" t="s">
        <v>2373</v>
      </c>
      <c r="E1840" s="6" t="s">
        <v>2370</v>
      </c>
      <c r="F1840" s="6" t="s">
        <v>2370</v>
      </c>
      <c r="G1840">
        <v>1</v>
      </c>
      <c r="H1840" s="6" t="s">
        <v>2370</v>
      </c>
      <c r="I1840" t="s">
        <v>8379</v>
      </c>
      <c r="J1840" t="s">
        <v>8376</v>
      </c>
    </row>
    <row r="1841" spans="1:10" x14ac:dyDescent="0.35">
      <c r="A1841" s="6" t="s">
        <v>519</v>
      </c>
      <c r="B1841">
        <v>27.14</v>
      </c>
      <c r="C1841">
        <v>6.01</v>
      </c>
      <c r="D1841" s="6" t="s">
        <v>2370</v>
      </c>
      <c r="E1841" s="6" t="s">
        <v>2370</v>
      </c>
      <c r="F1841" s="6" t="s">
        <v>2370</v>
      </c>
      <c r="G1841">
        <v>1</v>
      </c>
      <c r="H1841" s="6" t="s">
        <v>2370</v>
      </c>
      <c r="I1841" t="s">
        <v>8378</v>
      </c>
      <c r="J1841" t="s">
        <v>8376</v>
      </c>
    </row>
    <row r="1842" spans="1:10" x14ac:dyDescent="0.35">
      <c r="A1842" s="6" t="s">
        <v>518</v>
      </c>
      <c r="B1842">
        <v>35.78</v>
      </c>
      <c r="C1842">
        <v>6.07</v>
      </c>
      <c r="D1842" s="6" t="s">
        <v>2370</v>
      </c>
      <c r="E1842" s="6" t="s">
        <v>2372</v>
      </c>
      <c r="F1842" s="6" t="s">
        <v>2370</v>
      </c>
      <c r="G1842">
        <v>1</v>
      </c>
      <c r="H1842" s="6" t="s">
        <v>2370</v>
      </c>
      <c r="I1842" t="s">
        <v>8374</v>
      </c>
      <c r="J1842" t="s">
        <v>8376</v>
      </c>
    </row>
    <row r="1843" spans="1:10" x14ac:dyDescent="0.35">
      <c r="A1843" s="6" t="s">
        <v>517</v>
      </c>
      <c r="B1843">
        <v>34.96</v>
      </c>
      <c r="C1843">
        <v>5.63</v>
      </c>
      <c r="D1843" s="6" t="s">
        <v>2370</v>
      </c>
      <c r="E1843" s="6" t="s">
        <v>2370</v>
      </c>
      <c r="F1843" s="6" t="s">
        <v>2370</v>
      </c>
      <c r="G1843">
        <v>0</v>
      </c>
      <c r="H1843" s="6" t="s">
        <v>2370</v>
      </c>
      <c r="I1843" t="s">
        <v>8374</v>
      </c>
      <c r="J1843" t="s">
        <v>8377</v>
      </c>
    </row>
    <row r="1844" spans="1:10" x14ac:dyDescent="0.35">
      <c r="A1844" s="6" t="s">
        <v>516</v>
      </c>
      <c r="B1844">
        <v>38.39</v>
      </c>
      <c r="C1844">
        <v>6.05</v>
      </c>
      <c r="D1844" s="6" t="s">
        <v>2370</v>
      </c>
      <c r="E1844" s="6" t="s">
        <v>2370</v>
      </c>
      <c r="F1844" s="6" t="s">
        <v>2370</v>
      </c>
      <c r="G1844">
        <v>0</v>
      </c>
      <c r="H1844" s="6" t="s">
        <v>2370</v>
      </c>
      <c r="I1844" t="s">
        <v>8374</v>
      </c>
      <c r="J1844" t="s">
        <v>8376</v>
      </c>
    </row>
    <row r="1845" spans="1:10" x14ac:dyDescent="0.35">
      <c r="A1845" s="6" t="s">
        <v>515</v>
      </c>
      <c r="B1845">
        <v>33.82</v>
      </c>
      <c r="C1845">
        <v>4.6500000000000004</v>
      </c>
      <c r="D1845" s="6" t="s">
        <v>2370</v>
      </c>
      <c r="E1845" s="6" t="s">
        <v>2370</v>
      </c>
      <c r="F1845" s="6" t="s">
        <v>2370</v>
      </c>
      <c r="G1845">
        <v>0</v>
      </c>
      <c r="H1845" s="6" t="s">
        <v>2370</v>
      </c>
      <c r="I1845" t="s">
        <v>8374</v>
      </c>
      <c r="J1845" t="s">
        <v>8377</v>
      </c>
    </row>
    <row r="1846" spans="1:10" x14ac:dyDescent="0.35">
      <c r="A1846" s="6" t="s">
        <v>514</v>
      </c>
      <c r="B1846">
        <v>27.835000000000001</v>
      </c>
      <c r="C1846">
        <v>5.37</v>
      </c>
      <c r="D1846" s="6" t="s">
        <v>2370</v>
      </c>
      <c r="E1846" s="6" t="s">
        <v>2370</v>
      </c>
      <c r="F1846" s="6" t="s">
        <v>2370</v>
      </c>
      <c r="G1846">
        <v>0</v>
      </c>
      <c r="H1846" s="6" t="s">
        <v>2370</v>
      </c>
      <c r="I1846" t="s">
        <v>8378</v>
      </c>
      <c r="J1846" t="s">
        <v>8377</v>
      </c>
    </row>
    <row r="1847" spans="1:10" x14ac:dyDescent="0.35">
      <c r="A1847" s="6" t="s">
        <v>513</v>
      </c>
      <c r="B1847">
        <v>33</v>
      </c>
      <c r="C1847">
        <v>5.39</v>
      </c>
      <c r="D1847" s="6" t="s">
        <v>2370</v>
      </c>
      <c r="E1847" s="6" t="s">
        <v>2370</v>
      </c>
      <c r="F1847" s="6" t="s">
        <v>2370</v>
      </c>
      <c r="G1847">
        <v>0</v>
      </c>
      <c r="H1847" s="6" t="s">
        <v>2370</v>
      </c>
      <c r="I1847" t="s">
        <v>8374</v>
      </c>
      <c r="J1847" t="s">
        <v>8377</v>
      </c>
    </row>
    <row r="1848" spans="1:10" x14ac:dyDescent="0.35">
      <c r="A1848" s="6" t="s">
        <v>512</v>
      </c>
      <c r="B1848">
        <v>26.885000000000002</v>
      </c>
      <c r="C1848">
        <v>5.86</v>
      </c>
      <c r="D1848" s="6" t="s">
        <v>2370</v>
      </c>
      <c r="E1848" s="6" t="s">
        <v>2370</v>
      </c>
      <c r="F1848" s="6" t="s">
        <v>2370</v>
      </c>
      <c r="G1848">
        <v>0</v>
      </c>
      <c r="H1848" s="6" t="s">
        <v>2370</v>
      </c>
      <c r="I1848" t="s">
        <v>8378</v>
      </c>
      <c r="J1848" t="s">
        <v>8376</v>
      </c>
    </row>
    <row r="1849" spans="1:10" x14ac:dyDescent="0.35">
      <c r="A1849" s="6" t="s">
        <v>511</v>
      </c>
      <c r="B1849">
        <v>29.26</v>
      </c>
      <c r="C1849">
        <v>4.4400000000000004</v>
      </c>
      <c r="D1849" s="6" t="s">
        <v>2370</v>
      </c>
      <c r="E1849" s="6" t="s">
        <v>2370</v>
      </c>
      <c r="F1849" s="6" t="s">
        <v>2370</v>
      </c>
      <c r="G1849">
        <v>0</v>
      </c>
      <c r="H1849" s="6" t="s">
        <v>2370</v>
      </c>
      <c r="I1849" t="s">
        <v>8378</v>
      </c>
      <c r="J1849" t="s">
        <v>8377</v>
      </c>
    </row>
    <row r="1850" spans="1:10" x14ac:dyDescent="0.35">
      <c r="A1850" s="6" t="s">
        <v>510</v>
      </c>
      <c r="B1850">
        <v>26.98</v>
      </c>
      <c r="C1850">
        <v>4.41</v>
      </c>
      <c r="D1850" s="6" t="s">
        <v>2370</v>
      </c>
      <c r="E1850" s="6" t="s">
        <v>2370</v>
      </c>
      <c r="F1850" s="6" t="s">
        <v>2370</v>
      </c>
      <c r="G1850">
        <v>0</v>
      </c>
      <c r="H1850" s="6" t="s">
        <v>2370</v>
      </c>
      <c r="I1850" t="s">
        <v>8378</v>
      </c>
      <c r="J1850" t="s">
        <v>8377</v>
      </c>
    </row>
    <row r="1851" spans="1:10" x14ac:dyDescent="0.35">
      <c r="A1851" s="6" t="s">
        <v>509</v>
      </c>
      <c r="B1851">
        <v>32.11</v>
      </c>
      <c r="C1851">
        <v>5.19</v>
      </c>
      <c r="D1851" s="6" t="s">
        <v>2370</v>
      </c>
      <c r="E1851" s="6" t="s">
        <v>2370</v>
      </c>
      <c r="F1851" s="6" t="s">
        <v>2373</v>
      </c>
      <c r="G1851">
        <v>1</v>
      </c>
      <c r="H1851" s="6" t="s">
        <v>2370</v>
      </c>
      <c r="I1851" t="s">
        <v>8374</v>
      </c>
      <c r="J1851" t="s">
        <v>8377</v>
      </c>
    </row>
    <row r="1852" spans="1:10" x14ac:dyDescent="0.35">
      <c r="A1852" s="6" t="s">
        <v>508</v>
      </c>
      <c r="B1852">
        <v>31.73</v>
      </c>
      <c r="C1852">
        <v>5.16</v>
      </c>
      <c r="D1852" s="6" t="s">
        <v>2370</v>
      </c>
      <c r="E1852" s="6" t="s">
        <v>2370</v>
      </c>
      <c r="F1852" s="6" t="s">
        <v>2373</v>
      </c>
      <c r="G1852">
        <v>1</v>
      </c>
      <c r="H1852" s="6" t="s">
        <v>2370</v>
      </c>
      <c r="I1852" t="s">
        <v>8374</v>
      </c>
      <c r="J1852" t="s">
        <v>8377</v>
      </c>
    </row>
    <row r="1853" spans="1:10" x14ac:dyDescent="0.35">
      <c r="A1853" s="6" t="s">
        <v>507</v>
      </c>
      <c r="B1853">
        <v>22.515000000000001</v>
      </c>
      <c r="C1853">
        <v>4.24</v>
      </c>
      <c r="D1853" s="6" t="s">
        <v>2370</v>
      </c>
      <c r="E1853" s="6" t="s">
        <v>2370</v>
      </c>
      <c r="F1853" s="6" t="s">
        <v>2370</v>
      </c>
      <c r="G1853">
        <v>0</v>
      </c>
      <c r="H1853" s="6" t="s">
        <v>2370</v>
      </c>
      <c r="I1853" t="s">
        <v>8379</v>
      </c>
      <c r="J1853" t="s">
        <v>8377</v>
      </c>
    </row>
    <row r="1854" spans="1:10" x14ac:dyDescent="0.35">
      <c r="A1854" s="6" t="s">
        <v>505</v>
      </c>
      <c r="B1854">
        <v>25.9</v>
      </c>
      <c r="C1854">
        <v>5.45</v>
      </c>
      <c r="D1854" s="6" t="s">
        <v>2370</v>
      </c>
      <c r="E1854" s="6" t="s">
        <v>2370</v>
      </c>
      <c r="F1854" s="6" t="s">
        <v>2370</v>
      </c>
      <c r="G1854">
        <v>1</v>
      </c>
      <c r="H1854" s="6" t="s">
        <v>2370</v>
      </c>
      <c r="I1854" t="s">
        <v>8378</v>
      </c>
      <c r="J1854" t="s">
        <v>8377</v>
      </c>
    </row>
    <row r="1855" spans="1:10" x14ac:dyDescent="0.35">
      <c r="A1855" s="6" t="s">
        <v>504</v>
      </c>
      <c r="B1855">
        <v>27.72</v>
      </c>
      <c r="C1855">
        <v>5.03</v>
      </c>
      <c r="D1855" s="6" t="s">
        <v>2373</v>
      </c>
      <c r="E1855" s="6" t="s">
        <v>2370</v>
      </c>
      <c r="F1855" s="6" t="s">
        <v>2370</v>
      </c>
      <c r="G1855">
        <v>1</v>
      </c>
      <c r="H1855" s="6" t="s">
        <v>2370</v>
      </c>
      <c r="I1855" t="s">
        <v>8378</v>
      </c>
      <c r="J1855" t="s">
        <v>8377</v>
      </c>
    </row>
    <row r="1856" spans="1:10" x14ac:dyDescent="0.35">
      <c r="A1856" s="6" t="s">
        <v>503</v>
      </c>
      <c r="B1856">
        <v>31.5</v>
      </c>
      <c r="C1856">
        <v>9.6199999999999992</v>
      </c>
      <c r="D1856" s="6" t="s">
        <v>2373</v>
      </c>
      <c r="E1856" s="6" t="s">
        <v>2370</v>
      </c>
      <c r="F1856" s="6" t="s">
        <v>2370</v>
      </c>
      <c r="G1856">
        <v>1</v>
      </c>
      <c r="H1856" s="6" t="s">
        <v>2370</v>
      </c>
      <c r="I1856" t="s">
        <v>8374</v>
      </c>
      <c r="J1856" t="s">
        <v>8375</v>
      </c>
    </row>
    <row r="1857" spans="1:10" x14ac:dyDescent="0.35">
      <c r="A1857" s="6" t="s">
        <v>502</v>
      </c>
      <c r="B1857">
        <v>29.7</v>
      </c>
      <c r="C1857">
        <v>6.77</v>
      </c>
      <c r="D1857" s="6" t="s">
        <v>2373</v>
      </c>
      <c r="E1857" s="6" t="s">
        <v>2370</v>
      </c>
      <c r="F1857" s="6" t="s">
        <v>2370</v>
      </c>
      <c r="G1857">
        <v>1</v>
      </c>
      <c r="H1857" s="6" t="s">
        <v>2370</v>
      </c>
      <c r="I1857" t="s">
        <v>8378</v>
      </c>
      <c r="J1857" t="s">
        <v>8375</v>
      </c>
    </row>
    <row r="1858" spans="1:10" x14ac:dyDescent="0.35">
      <c r="A1858" s="6" t="s">
        <v>501</v>
      </c>
      <c r="B1858">
        <v>21.26</v>
      </c>
      <c r="C1858">
        <v>5.36</v>
      </c>
      <c r="D1858" s="6" t="s">
        <v>2373</v>
      </c>
      <c r="E1858" s="6" t="s">
        <v>2370</v>
      </c>
      <c r="F1858" s="6" t="s">
        <v>2370</v>
      </c>
      <c r="G1858">
        <v>1</v>
      </c>
      <c r="H1858" s="6" t="s">
        <v>2370</v>
      </c>
      <c r="I1858" t="s">
        <v>8379</v>
      </c>
      <c r="J1858" t="s">
        <v>8377</v>
      </c>
    </row>
    <row r="1859" spans="1:10" x14ac:dyDescent="0.35">
      <c r="A1859" s="6" t="s">
        <v>500</v>
      </c>
      <c r="B1859">
        <v>17.09</v>
      </c>
      <c r="C1859">
        <v>5.69</v>
      </c>
      <c r="D1859" s="6" t="s">
        <v>2370</v>
      </c>
      <c r="E1859" s="6" t="s">
        <v>2370</v>
      </c>
      <c r="F1859" s="6" t="s">
        <v>2370</v>
      </c>
      <c r="G1859">
        <v>0</v>
      </c>
      <c r="H1859" s="6" t="s">
        <v>2370</v>
      </c>
      <c r="I1859" t="s">
        <v>8380</v>
      </c>
      <c r="J1859" t="s">
        <v>8377</v>
      </c>
    </row>
    <row r="1860" spans="1:10" x14ac:dyDescent="0.35">
      <c r="A1860" s="6" t="s">
        <v>499</v>
      </c>
      <c r="B1860">
        <v>24.3</v>
      </c>
      <c r="C1860">
        <v>4.9000000000000004</v>
      </c>
      <c r="D1860" s="6" t="s">
        <v>2373</v>
      </c>
      <c r="E1860" s="6" t="s">
        <v>2370</v>
      </c>
      <c r="F1860" s="6" t="s">
        <v>2373</v>
      </c>
      <c r="G1860">
        <v>1</v>
      </c>
      <c r="H1860" s="6" t="s">
        <v>2370</v>
      </c>
      <c r="I1860" t="s">
        <v>8379</v>
      </c>
      <c r="J1860" t="s">
        <v>8377</v>
      </c>
    </row>
    <row r="1861" spans="1:10" x14ac:dyDescent="0.35">
      <c r="A1861" s="6" t="s">
        <v>498</v>
      </c>
      <c r="B1861">
        <v>29.734999999999999</v>
      </c>
      <c r="C1861">
        <v>5.78</v>
      </c>
      <c r="D1861" s="6" t="s">
        <v>2370</v>
      </c>
      <c r="E1861" s="6" t="s">
        <v>2370</v>
      </c>
      <c r="F1861" s="6" t="s">
        <v>2370</v>
      </c>
      <c r="G1861">
        <v>0</v>
      </c>
      <c r="H1861" s="6" t="s">
        <v>2370</v>
      </c>
      <c r="I1861" t="s">
        <v>8378</v>
      </c>
      <c r="J1861" t="s">
        <v>8376</v>
      </c>
    </row>
    <row r="1862" spans="1:10" x14ac:dyDescent="0.35">
      <c r="A1862" s="6" t="s">
        <v>497</v>
      </c>
      <c r="B1862">
        <v>29.26</v>
      </c>
      <c r="C1862">
        <v>4.7</v>
      </c>
      <c r="D1862" s="6" t="s">
        <v>2370</v>
      </c>
      <c r="E1862" s="6" t="s">
        <v>2370</v>
      </c>
      <c r="F1862" s="6" t="s">
        <v>2370</v>
      </c>
      <c r="G1862">
        <v>0</v>
      </c>
      <c r="H1862" s="6" t="s">
        <v>2370</v>
      </c>
      <c r="I1862" t="s">
        <v>8378</v>
      </c>
      <c r="J1862" t="s">
        <v>8377</v>
      </c>
    </row>
    <row r="1863" spans="1:10" x14ac:dyDescent="0.35">
      <c r="A1863" s="6" t="s">
        <v>496</v>
      </c>
      <c r="B1863">
        <v>33</v>
      </c>
      <c r="C1863">
        <v>6.28</v>
      </c>
      <c r="D1863" s="6" t="s">
        <v>2370</v>
      </c>
      <c r="E1863" s="6" t="s">
        <v>2370</v>
      </c>
      <c r="F1863" s="6" t="s">
        <v>2370</v>
      </c>
      <c r="G1863">
        <v>0</v>
      </c>
      <c r="H1863" s="6" t="s">
        <v>2370</v>
      </c>
      <c r="I1863" t="s">
        <v>8374</v>
      </c>
      <c r="J1863" t="s">
        <v>8376</v>
      </c>
    </row>
    <row r="1864" spans="1:10" x14ac:dyDescent="0.35">
      <c r="A1864" s="6" t="s">
        <v>495</v>
      </c>
      <c r="B1864">
        <v>31.065000000000001</v>
      </c>
      <c r="C1864">
        <v>4.2300000000000004</v>
      </c>
      <c r="D1864" s="6" t="s">
        <v>2370</v>
      </c>
      <c r="E1864" s="6" t="s">
        <v>2370</v>
      </c>
      <c r="F1864" s="6" t="s">
        <v>2370</v>
      </c>
      <c r="G1864">
        <v>0</v>
      </c>
      <c r="H1864" s="6" t="s">
        <v>2370</v>
      </c>
      <c r="I1864" t="s">
        <v>8374</v>
      </c>
      <c r="J1864" t="s">
        <v>8377</v>
      </c>
    </row>
    <row r="1865" spans="1:10" x14ac:dyDescent="0.35">
      <c r="A1865" s="6" t="s">
        <v>494</v>
      </c>
      <c r="B1865">
        <v>26.51</v>
      </c>
      <c r="C1865">
        <v>6.17</v>
      </c>
      <c r="D1865" s="6" t="s">
        <v>2370</v>
      </c>
      <c r="E1865" s="6" t="s">
        <v>2370</v>
      </c>
      <c r="F1865" s="6" t="s">
        <v>2370</v>
      </c>
      <c r="G1865">
        <v>0</v>
      </c>
      <c r="H1865" s="6" t="s">
        <v>2370</v>
      </c>
      <c r="I1865" t="s">
        <v>8378</v>
      </c>
      <c r="J1865" t="s">
        <v>8376</v>
      </c>
    </row>
    <row r="1866" spans="1:10" x14ac:dyDescent="0.35">
      <c r="A1866" s="6" t="s">
        <v>493</v>
      </c>
      <c r="B1866">
        <v>28.88</v>
      </c>
      <c r="C1866">
        <v>4.96</v>
      </c>
      <c r="D1866" s="6" t="s">
        <v>2370</v>
      </c>
      <c r="E1866" s="6" t="s">
        <v>2370</v>
      </c>
      <c r="F1866" s="6" t="s">
        <v>2370</v>
      </c>
      <c r="G1866">
        <v>0</v>
      </c>
      <c r="H1866" s="6" t="s">
        <v>2370</v>
      </c>
      <c r="I1866" t="s">
        <v>8378</v>
      </c>
      <c r="J1866" t="s">
        <v>8377</v>
      </c>
    </row>
    <row r="1867" spans="1:10" x14ac:dyDescent="0.35">
      <c r="A1867" s="6" t="s">
        <v>492</v>
      </c>
      <c r="B1867">
        <v>35.814999999999998</v>
      </c>
      <c r="C1867">
        <v>5.1100000000000003</v>
      </c>
      <c r="D1867" s="6" t="s">
        <v>2373</v>
      </c>
      <c r="E1867" s="6" t="s">
        <v>2370</v>
      </c>
      <c r="F1867" s="6" t="s">
        <v>2370</v>
      </c>
      <c r="G1867">
        <v>1</v>
      </c>
      <c r="H1867" s="6" t="s">
        <v>2370</v>
      </c>
      <c r="I1867" t="s">
        <v>8374</v>
      </c>
      <c r="J1867" t="s">
        <v>8377</v>
      </c>
    </row>
    <row r="1868" spans="1:10" x14ac:dyDescent="0.35">
      <c r="A1868" s="6" t="s">
        <v>491</v>
      </c>
      <c r="B1868">
        <v>21.28</v>
      </c>
      <c r="C1868">
        <v>4.05</v>
      </c>
      <c r="D1868" s="6" t="s">
        <v>2370</v>
      </c>
      <c r="E1868" s="6" t="s">
        <v>2372</v>
      </c>
      <c r="F1868" s="6" t="s">
        <v>2370</v>
      </c>
      <c r="G1868">
        <v>1</v>
      </c>
      <c r="H1868" s="6" t="s">
        <v>2370</v>
      </c>
      <c r="I1868" t="s">
        <v>8379</v>
      </c>
      <c r="J1868" t="s">
        <v>8377</v>
      </c>
    </row>
    <row r="1869" spans="1:10" x14ac:dyDescent="0.35">
      <c r="A1869" s="6" t="s">
        <v>490</v>
      </c>
      <c r="B1869">
        <v>33.81</v>
      </c>
      <c r="C1869">
        <v>6.49</v>
      </c>
      <c r="D1869" s="6" t="s">
        <v>2370</v>
      </c>
      <c r="E1869" s="6" t="s">
        <v>2370</v>
      </c>
      <c r="F1869" s="6" t="s">
        <v>2373</v>
      </c>
      <c r="G1869">
        <v>1</v>
      </c>
      <c r="H1869" s="6" t="s">
        <v>2370</v>
      </c>
      <c r="I1869" t="s">
        <v>8374</v>
      </c>
      <c r="J1869" t="s">
        <v>8376</v>
      </c>
    </row>
    <row r="1870" spans="1:10" x14ac:dyDescent="0.35">
      <c r="A1870" s="6" t="s">
        <v>489</v>
      </c>
      <c r="B1870">
        <v>44.22</v>
      </c>
      <c r="C1870">
        <v>4.1900000000000004</v>
      </c>
      <c r="D1870" s="6" t="s">
        <v>2370</v>
      </c>
      <c r="E1870" s="6" t="s">
        <v>2370</v>
      </c>
      <c r="F1870" s="6" t="s">
        <v>2370</v>
      </c>
      <c r="G1870">
        <v>1</v>
      </c>
      <c r="H1870" s="6" t="s">
        <v>2370</v>
      </c>
      <c r="I1870" t="s">
        <v>8374</v>
      </c>
      <c r="J1870" t="s">
        <v>8377</v>
      </c>
    </row>
    <row r="1871" spans="1:10" x14ac:dyDescent="0.35">
      <c r="A1871" s="6" t="s">
        <v>488</v>
      </c>
      <c r="B1871">
        <v>15.46</v>
      </c>
      <c r="C1871">
        <v>4.99</v>
      </c>
      <c r="D1871" s="6" t="s">
        <v>2373</v>
      </c>
      <c r="E1871" s="6" t="s">
        <v>2370</v>
      </c>
      <c r="F1871" s="6" t="s">
        <v>2373</v>
      </c>
      <c r="G1871">
        <v>1</v>
      </c>
      <c r="H1871" s="6" t="s">
        <v>2370</v>
      </c>
      <c r="I1871" t="s">
        <v>8380</v>
      </c>
      <c r="J1871" t="s">
        <v>8377</v>
      </c>
    </row>
    <row r="1872" spans="1:10" x14ac:dyDescent="0.35">
      <c r="A1872" s="6" t="s">
        <v>487</v>
      </c>
      <c r="B1872">
        <v>30.3</v>
      </c>
      <c r="C1872">
        <v>4.7699999999999996</v>
      </c>
      <c r="D1872" s="6" t="s">
        <v>2373</v>
      </c>
      <c r="E1872" s="6" t="s">
        <v>2370</v>
      </c>
      <c r="F1872" s="6" t="s">
        <v>2370</v>
      </c>
      <c r="G1872">
        <v>1</v>
      </c>
      <c r="H1872" s="6" t="s">
        <v>2370</v>
      </c>
      <c r="I1872" t="s">
        <v>8374</v>
      </c>
      <c r="J1872" t="s">
        <v>8377</v>
      </c>
    </row>
    <row r="1873" spans="1:10" x14ac:dyDescent="0.35">
      <c r="A1873" s="6" t="s">
        <v>486</v>
      </c>
      <c r="B1873">
        <v>16.670000000000002</v>
      </c>
      <c r="C1873">
        <v>5.46</v>
      </c>
      <c r="D1873" s="6" t="s">
        <v>2370</v>
      </c>
      <c r="E1873" s="6" t="s">
        <v>2370</v>
      </c>
      <c r="F1873" s="6" t="s">
        <v>2370</v>
      </c>
      <c r="G1873">
        <v>0</v>
      </c>
      <c r="H1873" s="6" t="s">
        <v>2370</v>
      </c>
      <c r="I1873" t="s">
        <v>8380</v>
      </c>
      <c r="J1873" t="s">
        <v>8377</v>
      </c>
    </row>
    <row r="1874" spans="1:10" x14ac:dyDescent="0.35">
      <c r="A1874" s="6" t="s">
        <v>485</v>
      </c>
      <c r="B1874">
        <v>28.594999999999999</v>
      </c>
      <c r="C1874">
        <v>5.43</v>
      </c>
      <c r="D1874" s="6" t="s">
        <v>2370</v>
      </c>
      <c r="E1874" s="6" t="s">
        <v>2370</v>
      </c>
      <c r="F1874" s="6" t="s">
        <v>2370</v>
      </c>
      <c r="G1874">
        <v>0</v>
      </c>
      <c r="H1874" s="6" t="s">
        <v>2370</v>
      </c>
      <c r="I1874" t="s">
        <v>8378</v>
      </c>
      <c r="J1874" t="s">
        <v>8377</v>
      </c>
    </row>
    <row r="1875" spans="1:10" x14ac:dyDescent="0.35">
      <c r="A1875" s="6" t="s">
        <v>484</v>
      </c>
      <c r="B1875">
        <v>25.934999999999999</v>
      </c>
      <c r="C1875">
        <v>4.29</v>
      </c>
      <c r="D1875" s="6" t="s">
        <v>2370</v>
      </c>
      <c r="E1875" s="6" t="s">
        <v>2370</v>
      </c>
      <c r="F1875" s="6" t="s">
        <v>2370</v>
      </c>
      <c r="G1875">
        <v>0</v>
      </c>
      <c r="H1875" s="6" t="s">
        <v>2370</v>
      </c>
      <c r="I1875" t="s">
        <v>8378</v>
      </c>
      <c r="J1875" t="s">
        <v>8377</v>
      </c>
    </row>
    <row r="1876" spans="1:10" x14ac:dyDescent="0.35">
      <c r="A1876" s="6" t="s">
        <v>483</v>
      </c>
      <c r="B1876">
        <v>27.645</v>
      </c>
      <c r="C1876">
        <v>5.25</v>
      </c>
      <c r="D1876" s="6" t="s">
        <v>2370</v>
      </c>
      <c r="E1876" s="6" t="s">
        <v>2370</v>
      </c>
      <c r="F1876" s="6" t="s">
        <v>2370</v>
      </c>
      <c r="G1876">
        <v>1</v>
      </c>
      <c r="H1876" s="6" t="s">
        <v>2370</v>
      </c>
      <c r="I1876" t="s">
        <v>8378</v>
      </c>
      <c r="J1876" t="s">
        <v>8377</v>
      </c>
    </row>
    <row r="1877" spans="1:10" x14ac:dyDescent="0.35">
      <c r="A1877" s="6" t="s">
        <v>482</v>
      </c>
      <c r="B1877">
        <v>30.1</v>
      </c>
      <c r="C1877">
        <v>4.04</v>
      </c>
      <c r="D1877" s="6" t="s">
        <v>2370</v>
      </c>
      <c r="E1877" s="6" t="s">
        <v>2370</v>
      </c>
      <c r="F1877" s="6" t="s">
        <v>2370</v>
      </c>
      <c r="G1877">
        <v>1</v>
      </c>
      <c r="H1877" s="6" t="s">
        <v>2370</v>
      </c>
      <c r="I1877" t="s">
        <v>8374</v>
      </c>
      <c r="J1877" t="s">
        <v>8377</v>
      </c>
    </row>
    <row r="1878" spans="1:10" x14ac:dyDescent="0.35">
      <c r="A1878" s="6" t="s">
        <v>481</v>
      </c>
      <c r="B1878">
        <v>26.79</v>
      </c>
      <c r="C1878">
        <v>5</v>
      </c>
      <c r="D1878" s="6" t="s">
        <v>2373</v>
      </c>
      <c r="E1878" s="6" t="s">
        <v>2370</v>
      </c>
      <c r="F1878" s="6" t="s">
        <v>2373</v>
      </c>
      <c r="G1878">
        <v>1</v>
      </c>
      <c r="H1878" s="6" t="s">
        <v>2370</v>
      </c>
      <c r="I1878" t="s">
        <v>8378</v>
      </c>
      <c r="J1878" t="s">
        <v>8377</v>
      </c>
    </row>
    <row r="1879" spans="1:10" x14ac:dyDescent="0.35">
      <c r="A1879" s="6" t="s">
        <v>480</v>
      </c>
      <c r="B1879">
        <v>27.1</v>
      </c>
      <c r="C1879">
        <v>4.01</v>
      </c>
      <c r="D1879" s="6" t="s">
        <v>2373</v>
      </c>
      <c r="E1879" s="6" t="s">
        <v>2370</v>
      </c>
      <c r="F1879" s="6" t="s">
        <v>2370</v>
      </c>
      <c r="G1879">
        <v>1</v>
      </c>
      <c r="H1879" s="6" t="s">
        <v>2370</v>
      </c>
      <c r="I1879" t="s">
        <v>8378</v>
      </c>
      <c r="J1879" t="s">
        <v>8377</v>
      </c>
    </row>
    <row r="1880" spans="1:10" x14ac:dyDescent="0.35">
      <c r="A1880" s="6" t="s">
        <v>479</v>
      </c>
      <c r="B1880">
        <v>24.31</v>
      </c>
      <c r="C1880">
        <v>5.4</v>
      </c>
      <c r="D1880" s="6" t="s">
        <v>2370</v>
      </c>
      <c r="E1880" s="6" t="s">
        <v>2370</v>
      </c>
      <c r="F1880" s="6" t="s">
        <v>2370</v>
      </c>
      <c r="G1880">
        <v>0</v>
      </c>
      <c r="H1880" s="6" t="s">
        <v>2370</v>
      </c>
      <c r="I1880" t="s">
        <v>8379</v>
      </c>
      <c r="J1880" t="s">
        <v>8377</v>
      </c>
    </row>
    <row r="1881" spans="1:10" x14ac:dyDescent="0.35">
      <c r="A1881" s="6" t="s">
        <v>478</v>
      </c>
      <c r="B1881">
        <v>15.53</v>
      </c>
      <c r="C1881">
        <v>5.81</v>
      </c>
      <c r="D1881" s="6" t="s">
        <v>2370</v>
      </c>
      <c r="E1881" s="6" t="s">
        <v>2370</v>
      </c>
      <c r="F1881" s="6" t="s">
        <v>2370</v>
      </c>
      <c r="G1881">
        <v>1</v>
      </c>
      <c r="H1881" s="6" t="s">
        <v>2370</v>
      </c>
      <c r="I1881" t="s">
        <v>8380</v>
      </c>
      <c r="J1881" t="s">
        <v>8376</v>
      </c>
    </row>
    <row r="1882" spans="1:10" x14ac:dyDescent="0.35">
      <c r="A1882" s="6" t="s">
        <v>477</v>
      </c>
      <c r="B1882">
        <v>30.7</v>
      </c>
      <c r="C1882">
        <v>5.82</v>
      </c>
      <c r="D1882" s="6" t="s">
        <v>2370</v>
      </c>
      <c r="E1882" s="6" t="s">
        <v>2370</v>
      </c>
      <c r="F1882" s="6" t="s">
        <v>2370</v>
      </c>
      <c r="G1882">
        <v>1</v>
      </c>
      <c r="H1882" s="6" t="s">
        <v>2370</v>
      </c>
      <c r="I1882" t="s">
        <v>8374</v>
      </c>
      <c r="J1882" t="s">
        <v>8376</v>
      </c>
    </row>
    <row r="1883" spans="1:10" x14ac:dyDescent="0.35">
      <c r="A1883" s="6" t="s">
        <v>476</v>
      </c>
      <c r="B1883">
        <v>33.33</v>
      </c>
      <c r="C1883">
        <v>4.82</v>
      </c>
      <c r="D1883" s="6" t="s">
        <v>2370</v>
      </c>
      <c r="E1883" s="6" t="s">
        <v>2370</v>
      </c>
      <c r="F1883" s="6" t="s">
        <v>2370</v>
      </c>
      <c r="G1883">
        <v>1</v>
      </c>
      <c r="H1883" s="6" t="s">
        <v>2370</v>
      </c>
      <c r="I1883" t="s">
        <v>8374</v>
      </c>
      <c r="J1883" t="s">
        <v>8377</v>
      </c>
    </row>
    <row r="1884" spans="1:10" x14ac:dyDescent="0.35">
      <c r="A1884" s="6" t="s">
        <v>475</v>
      </c>
      <c r="B1884">
        <v>32.4</v>
      </c>
      <c r="C1884">
        <v>5.08</v>
      </c>
      <c r="D1884" s="6" t="s">
        <v>2370</v>
      </c>
      <c r="E1884" s="6" t="s">
        <v>2370</v>
      </c>
      <c r="F1884" s="6" t="s">
        <v>2370</v>
      </c>
      <c r="G1884">
        <v>1</v>
      </c>
      <c r="H1884" s="6" t="s">
        <v>2370</v>
      </c>
      <c r="I1884" t="s">
        <v>8374</v>
      </c>
      <c r="J1884" t="s">
        <v>8377</v>
      </c>
    </row>
    <row r="1885" spans="1:10" x14ac:dyDescent="0.35">
      <c r="A1885" s="6" t="s">
        <v>474</v>
      </c>
      <c r="B1885">
        <v>27.93</v>
      </c>
      <c r="C1885">
        <v>5.59</v>
      </c>
      <c r="D1885" s="6" t="s">
        <v>2370</v>
      </c>
      <c r="E1885" s="6" t="s">
        <v>2370</v>
      </c>
      <c r="F1885" s="6" t="s">
        <v>2370</v>
      </c>
      <c r="G1885">
        <v>1</v>
      </c>
      <c r="H1885" s="6" t="s">
        <v>2370</v>
      </c>
      <c r="I1885" t="s">
        <v>8378</v>
      </c>
      <c r="J1885" t="s">
        <v>8377</v>
      </c>
    </row>
    <row r="1886" spans="1:10" x14ac:dyDescent="0.35">
      <c r="A1886" s="6" t="s">
        <v>473</v>
      </c>
      <c r="B1886">
        <v>21.754999999999999</v>
      </c>
      <c r="C1886">
        <v>5.12</v>
      </c>
      <c r="D1886" s="6" t="s">
        <v>2370</v>
      </c>
      <c r="E1886" s="6" t="s">
        <v>2370</v>
      </c>
      <c r="F1886" s="6" t="s">
        <v>2370</v>
      </c>
      <c r="G1886">
        <v>0</v>
      </c>
      <c r="H1886" s="6" t="s">
        <v>2370</v>
      </c>
      <c r="I1886" t="s">
        <v>8379</v>
      </c>
      <c r="J1886" t="s">
        <v>8377</v>
      </c>
    </row>
    <row r="1887" spans="1:10" x14ac:dyDescent="0.35">
      <c r="A1887" s="6" t="s">
        <v>472</v>
      </c>
      <c r="B1887">
        <v>25.934999999999999</v>
      </c>
      <c r="C1887">
        <v>4.95</v>
      </c>
      <c r="D1887" s="6" t="s">
        <v>2370</v>
      </c>
      <c r="E1887" s="6" t="s">
        <v>2370</v>
      </c>
      <c r="F1887" s="6" t="s">
        <v>2370</v>
      </c>
      <c r="G1887">
        <v>0</v>
      </c>
      <c r="H1887" s="6" t="s">
        <v>2370</v>
      </c>
      <c r="I1887" t="s">
        <v>8378</v>
      </c>
      <c r="J1887" t="s">
        <v>8377</v>
      </c>
    </row>
    <row r="1888" spans="1:10" x14ac:dyDescent="0.35">
      <c r="A1888" s="6" t="s">
        <v>471</v>
      </c>
      <c r="B1888">
        <v>31.5</v>
      </c>
      <c r="C1888">
        <v>6.16</v>
      </c>
      <c r="D1888" s="6" t="s">
        <v>2370</v>
      </c>
      <c r="E1888" s="6" t="s">
        <v>2370</v>
      </c>
      <c r="F1888" s="6" t="s">
        <v>2370</v>
      </c>
      <c r="G1888">
        <v>0</v>
      </c>
      <c r="H1888" s="6" t="s">
        <v>2370</v>
      </c>
      <c r="I1888" t="s">
        <v>8374</v>
      </c>
      <c r="J1888" t="s">
        <v>8376</v>
      </c>
    </row>
    <row r="1889" spans="1:10" x14ac:dyDescent="0.35">
      <c r="A1889" s="6" t="s">
        <v>470</v>
      </c>
      <c r="B1889">
        <v>30.03</v>
      </c>
      <c r="C1889">
        <v>6.41</v>
      </c>
      <c r="D1889" s="6" t="s">
        <v>2370</v>
      </c>
      <c r="E1889" s="6" t="s">
        <v>2370</v>
      </c>
      <c r="F1889" s="6" t="s">
        <v>2370</v>
      </c>
      <c r="G1889">
        <v>0</v>
      </c>
      <c r="H1889" s="6" t="s">
        <v>2370</v>
      </c>
      <c r="I1889" t="s">
        <v>8374</v>
      </c>
      <c r="J1889" t="s">
        <v>8376</v>
      </c>
    </row>
    <row r="1890" spans="1:10" x14ac:dyDescent="0.35">
      <c r="A1890" s="6" t="s">
        <v>469</v>
      </c>
      <c r="B1890">
        <v>33.479999999999997</v>
      </c>
      <c r="C1890">
        <v>8.94</v>
      </c>
      <c r="D1890" s="6" t="s">
        <v>2370</v>
      </c>
      <c r="E1890" s="6" t="s">
        <v>2370</v>
      </c>
      <c r="F1890" s="6" t="s">
        <v>2370</v>
      </c>
      <c r="G1890">
        <v>0</v>
      </c>
      <c r="H1890" s="6" t="s">
        <v>2370</v>
      </c>
      <c r="I1890" t="s">
        <v>8374</v>
      </c>
      <c r="J1890" t="s">
        <v>8375</v>
      </c>
    </row>
    <row r="1891" spans="1:10" x14ac:dyDescent="0.35">
      <c r="A1891" s="6" t="s">
        <v>468</v>
      </c>
      <c r="B1891">
        <v>16.510000000000002</v>
      </c>
      <c r="C1891">
        <v>4.42</v>
      </c>
      <c r="D1891" s="6" t="s">
        <v>2373</v>
      </c>
      <c r="E1891" s="6" t="s">
        <v>2370</v>
      </c>
      <c r="F1891" s="6" t="s">
        <v>2373</v>
      </c>
      <c r="G1891">
        <v>1</v>
      </c>
      <c r="H1891" s="6" t="s">
        <v>2370</v>
      </c>
      <c r="I1891" t="s">
        <v>8380</v>
      </c>
      <c r="J1891" t="s">
        <v>8377</v>
      </c>
    </row>
    <row r="1892" spans="1:10" x14ac:dyDescent="0.35">
      <c r="A1892" s="6" t="s">
        <v>467</v>
      </c>
      <c r="B1892">
        <v>33.155000000000001</v>
      </c>
      <c r="C1892">
        <v>5.3</v>
      </c>
      <c r="D1892" s="6" t="s">
        <v>2373</v>
      </c>
      <c r="E1892" s="6" t="s">
        <v>2370</v>
      </c>
      <c r="F1892" s="6" t="s">
        <v>2370</v>
      </c>
      <c r="G1892">
        <v>1</v>
      </c>
      <c r="H1892" s="6" t="s">
        <v>2370</v>
      </c>
      <c r="I1892" t="s">
        <v>8374</v>
      </c>
      <c r="J1892" t="s">
        <v>8377</v>
      </c>
    </row>
    <row r="1893" spans="1:10" x14ac:dyDescent="0.35">
      <c r="A1893" s="6" t="s">
        <v>466</v>
      </c>
      <c r="B1893">
        <v>37.29</v>
      </c>
      <c r="C1893">
        <v>4.6399999999999997</v>
      </c>
      <c r="D1893" s="6" t="s">
        <v>2370</v>
      </c>
      <c r="E1893" s="6" t="s">
        <v>2370</v>
      </c>
      <c r="F1893" s="6" t="s">
        <v>2373</v>
      </c>
      <c r="G1893">
        <v>1</v>
      </c>
      <c r="H1893" s="6" t="s">
        <v>2370</v>
      </c>
      <c r="I1893" t="s">
        <v>8374</v>
      </c>
      <c r="J1893" t="s">
        <v>8377</v>
      </c>
    </row>
    <row r="1894" spans="1:10" x14ac:dyDescent="0.35">
      <c r="A1894" s="6" t="s">
        <v>465</v>
      </c>
      <c r="B1894">
        <v>20.23</v>
      </c>
      <c r="C1894">
        <v>6.16</v>
      </c>
      <c r="D1894" s="6" t="s">
        <v>2373</v>
      </c>
      <c r="E1894" s="6" t="s">
        <v>2370</v>
      </c>
      <c r="F1894" s="6" t="s">
        <v>2370</v>
      </c>
      <c r="G1894">
        <v>1</v>
      </c>
      <c r="H1894" s="6" t="s">
        <v>2370</v>
      </c>
      <c r="I1894" t="s">
        <v>8379</v>
      </c>
      <c r="J1894" t="s">
        <v>8376</v>
      </c>
    </row>
    <row r="1895" spans="1:10" x14ac:dyDescent="0.35">
      <c r="A1895" s="6" t="s">
        <v>464</v>
      </c>
      <c r="B1895">
        <v>28.975000000000001</v>
      </c>
      <c r="C1895">
        <v>4.12</v>
      </c>
      <c r="D1895" s="6" t="s">
        <v>2370</v>
      </c>
      <c r="E1895" s="6" t="s">
        <v>2370</v>
      </c>
      <c r="F1895" s="6" t="s">
        <v>2373</v>
      </c>
      <c r="G1895">
        <v>1</v>
      </c>
      <c r="H1895" s="6" t="s">
        <v>2370</v>
      </c>
      <c r="I1895" t="s">
        <v>8378</v>
      </c>
      <c r="J1895" t="s">
        <v>8377</v>
      </c>
    </row>
    <row r="1896" spans="1:10" x14ac:dyDescent="0.35">
      <c r="A1896" s="6" t="s">
        <v>463</v>
      </c>
      <c r="B1896">
        <v>16.420000000000002</v>
      </c>
      <c r="C1896">
        <v>5.77</v>
      </c>
      <c r="D1896" s="6" t="s">
        <v>2373</v>
      </c>
      <c r="E1896" s="6" t="s">
        <v>2370</v>
      </c>
      <c r="F1896" s="6" t="s">
        <v>2373</v>
      </c>
      <c r="G1896">
        <v>1</v>
      </c>
      <c r="H1896" s="6" t="s">
        <v>2370</v>
      </c>
      <c r="I1896" t="s">
        <v>8380</v>
      </c>
      <c r="J1896" t="s">
        <v>8376</v>
      </c>
    </row>
    <row r="1897" spans="1:10" x14ac:dyDescent="0.35">
      <c r="A1897" s="6" t="s">
        <v>462</v>
      </c>
      <c r="B1897">
        <v>17.559999999999999</v>
      </c>
      <c r="C1897">
        <v>6.2</v>
      </c>
      <c r="D1897" s="6" t="s">
        <v>2370</v>
      </c>
      <c r="E1897" s="6" t="s">
        <v>2370</v>
      </c>
      <c r="F1897" s="6" t="s">
        <v>2370</v>
      </c>
      <c r="G1897">
        <v>1</v>
      </c>
      <c r="H1897" s="6" t="s">
        <v>2370</v>
      </c>
      <c r="I1897" t="s">
        <v>8380</v>
      </c>
      <c r="J1897" t="s">
        <v>8376</v>
      </c>
    </row>
    <row r="1898" spans="1:10" x14ac:dyDescent="0.35">
      <c r="A1898" s="6" t="s">
        <v>461</v>
      </c>
      <c r="B1898">
        <v>24.13</v>
      </c>
      <c r="C1898">
        <v>4.3899999999999997</v>
      </c>
      <c r="D1898" s="6" t="s">
        <v>2370</v>
      </c>
      <c r="E1898" s="6" t="s">
        <v>2370</v>
      </c>
      <c r="F1898" s="6" t="s">
        <v>2370</v>
      </c>
      <c r="G1898">
        <v>1</v>
      </c>
      <c r="H1898" s="6" t="s">
        <v>2370</v>
      </c>
      <c r="I1898" t="s">
        <v>8379</v>
      </c>
      <c r="J1898" t="s">
        <v>8377</v>
      </c>
    </row>
    <row r="1899" spans="1:10" x14ac:dyDescent="0.35">
      <c r="A1899" s="6" t="s">
        <v>460</v>
      </c>
      <c r="B1899">
        <v>19.95</v>
      </c>
      <c r="C1899">
        <v>5.13</v>
      </c>
      <c r="D1899" s="6" t="s">
        <v>2370</v>
      </c>
      <c r="E1899" s="6" t="s">
        <v>2372</v>
      </c>
      <c r="F1899" s="6" t="s">
        <v>2370</v>
      </c>
      <c r="G1899">
        <v>2</v>
      </c>
      <c r="H1899" s="6" t="s">
        <v>2370</v>
      </c>
      <c r="I1899" t="s">
        <v>8379</v>
      </c>
      <c r="J1899" t="s">
        <v>8377</v>
      </c>
    </row>
    <row r="1900" spans="1:10" x14ac:dyDescent="0.35">
      <c r="A1900" s="6" t="s">
        <v>459</v>
      </c>
      <c r="B1900">
        <v>21.24</v>
      </c>
      <c r="C1900">
        <v>4.49</v>
      </c>
      <c r="D1900" s="6" t="s">
        <v>2370</v>
      </c>
      <c r="E1900" s="6" t="s">
        <v>2370</v>
      </c>
      <c r="F1900" s="6" t="s">
        <v>2370</v>
      </c>
      <c r="G1900">
        <v>0</v>
      </c>
      <c r="H1900" s="6" t="s">
        <v>2370</v>
      </c>
      <c r="I1900" t="s">
        <v>8379</v>
      </c>
      <c r="J1900" t="s">
        <v>8377</v>
      </c>
    </row>
    <row r="1901" spans="1:10" x14ac:dyDescent="0.35">
      <c r="A1901" s="6" t="s">
        <v>458</v>
      </c>
      <c r="B1901">
        <v>44.22</v>
      </c>
      <c r="C1901">
        <v>6.35</v>
      </c>
      <c r="D1901" s="6" t="s">
        <v>2370</v>
      </c>
      <c r="E1901" s="6" t="s">
        <v>2370</v>
      </c>
      <c r="F1901" s="6" t="s">
        <v>2370</v>
      </c>
      <c r="G1901">
        <v>0</v>
      </c>
      <c r="H1901" s="6" t="s">
        <v>2370</v>
      </c>
      <c r="I1901" t="s">
        <v>8374</v>
      </c>
      <c r="J1901" t="s">
        <v>8376</v>
      </c>
    </row>
    <row r="1902" spans="1:10" x14ac:dyDescent="0.35">
      <c r="A1902" s="6" t="s">
        <v>457</v>
      </c>
      <c r="B1902">
        <v>41.1</v>
      </c>
      <c r="C1902">
        <v>5.79</v>
      </c>
      <c r="D1902" s="6" t="s">
        <v>2370</v>
      </c>
      <c r="E1902" s="6" t="s">
        <v>2370</v>
      </c>
      <c r="F1902" s="6" t="s">
        <v>2370</v>
      </c>
      <c r="G1902">
        <v>0</v>
      </c>
      <c r="H1902" s="6" t="s">
        <v>2370</v>
      </c>
      <c r="I1902" t="s">
        <v>8374</v>
      </c>
      <c r="J1902" t="s">
        <v>8376</v>
      </c>
    </row>
    <row r="1903" spans="1:10" x14ac:dyDescent="0.35">
      <c r="A1903" s="6" t="s">
        <v>456</v>
      </c>
      <c r="B1903">
        <v>34.200000000000003</v>
      </c>
      <c r="C1903">
        <v>4.78</v>
      </c>
      <c r="D1903" s="6" t="s">
        <v>2373</v>
      </c>
      <c r="E1903" s="6" t="s">
        <v>2370</v>
      </c>
      <c r="F1903" s="6" t="s">
        <v>2370</v>
      </c>
      <c r="G1903">
        <v>0</v>
      </c>
      <c r="H1903" s="6" t="s">
        <v>2370</v>
      </c>
      <c r="I1903" t="s">
        <v>8374</v>
      </c>
      <c r="J1903" t="s">
        <v>8377</v>
      </c>
    </row>
    <row r="1904" spans="1:10" x14ac:dyDescent="0.35">
      <c r="A1904" s="6" t="s">
        <v>455</v>
      </c>
      <c r="B1904">
        <v>29.92</v>
      </c>
      <c r="C1904">
        <v>6.02</v>
      </c>
      <c r="D1904" s="6" t="s">
        <v>2373</v>
      </c>
      <c r="E1904" s="6" t="s">
        <v>2370</v>
      </c>
      <c r="F1904" s="6" t="s">
        <v>2370</v>
      </c>
      <c r="G1904">
        <v>0</v>
      </c>
      <c r="H1904" s="6" t="s">
        <v>2370</v>
      </c>
      <c r="I1904" t="s">
        <v>8378</v>
      </c>
      <c r="J1904" t="s">
        <v>8376</v>
      </c>
    </row>
    <row r="1905" spans="1:10" x14ac:dyDescent="0.35">
      <c r="A1905" s="6" t="s">
        <v>454</v>
      </c>
      <c r="B1905">
        <v>28.93</v>
      </c>
      <c r="C1905">
        <v>4.4400000000000004</v>
      </c>
      <c r="D1905" s="6" t="s">
        <v>2370</v>
      </c>
      <c r="E1905" s="6" t="s">
        <v>2370</v>
      </c>
      <c r="F1905" s="6" t="s">
        <v>2370</v>
      </c>
      <c r="G1905">
        <v>0</v>
      </c>
      <c r="H1905" s="6" t="s">
        <v>2370</v>
      </c>
      <c r="I1905" t="s">
        <v>8378</v>
      </c>
      <c r="J1905" t="s">
        <v>8377</v>
      </c>
    </row>
    <row r="1906" spans="1:10" x14ac:dyDescent="0.35">
      <c r="A1906" s="6" t="s">
        <v>453</v>
      </c>
      <c r="B1906">
        <v>31.254999999999999</v>
      </c>
      <c r="C1906">
        <v>5.84</v>
      </c>
      <c r="D1906" s="6" t="s">
        <v>2373</v>
      </c>
      <c r="E1906" s="6" t="s">
        <v>2370</v>
      </c>
      <c r="F1906" s="6" t="s">
        <v>2370</v>
      </c>
      <c r="G1906">
        <v>1</v>
      </c>
      <c r="H1906" s="6" t="s">
        <v>2370</v>
      </c>
      <c r="I1906" t="s">
        <v>8374</v>
      </c>
      <c r="J1906" t="s">
        <v>8376</v>
      </c>
    </row>
    <row r="1907" spans="1:10" x14ac:dyDescent="0.35">
      <c r="A1907" s="6" t="s">
        <v>452</v>
      </c>
      <c r="B1907">
        <v>29.83</v>
      </c>
      <c r="C1907">
        <v>5.39</v>
      </c>
      <c r="D1907" s="6" t="s">
        <v>2370</v>
      </c>
      <c r="E1907" s="6" t="s">
        <v>2370</v>
      </c>
      <c r="F1907" s="6" t="s">
        <v>2370</v>
      </c>
      <c r="G1907">
        <v>0</v>
      </c>
      <c r="H1907" s="6" t="s">
        <v>2370</v>
      </c>
      <c r="I1907" t="s">
        <v>8378</v>
      </c>
      <c r="J1907" t="s">
        <v>8377</v>
      </c>
    </row>
    <row r="1908" spans="1:10" x14ac:dyDescent="0.35">
      <c r="A1908" s="6" t="s">
        <v>451</v>
      </c>
      <c r="B1908">
        <v>29.59</v>
      </c>
      <c r="C1908">
        <v>6.16</v>
      </c>
      <c r="D1908" s="6" t="s">
        <v>2370</v>
      </c>
      <c r="E1908" s="6" t="s">
        <v>2370</v>
      </c>
      <c r="F1908" s="6" t="s">
        <v>2373</v>
      </c>
      <c r="G1908">
        <v>1</v>
      </c>
      <c r="H1908" s="6" t="s">
        <v>2370</v>
      </c>
      <c r="I1908" t="s">
        <v>8378</v>
      </c>
      <c r="J1908" t="s">
        <v>8376</v>
      </c>
    </row>
    <row r="1909" spans="1:10" x14ac:dyDescent="0.35">
      <c r="A1909" s="6" t="s">
        <v>450</v>
      </c>
      <c r="B1909">
        <v>31.16</v>
      </c>
      <c r="C1909">
        <v>4.49</v>
      </c>
      <c r="D1909" s="6" t="s">
        <v>2370</v>
      </c>
      <c r="E1909" s="6" t="s">
        <v>2370</v>
      </c>
      <c r="F1909" s="6" t="s">
        <v>2373</v>
      </c>
      <c r="G1909">
        <v>1</v>
      </c>
      <c r="H1909" s="6" t="s">
        <v>2370</v>
      </c>
      <c r="I1909" t="s">
        <v>8374</v>
      </c>
      <c r="J1909" t="s">
        <v>8377</v>
      </c>
    </row>
    <row r="1910" spans="1:10" x14ac:dyDescent="0.35">
      <c r="A1910" s="6" t="s">
        <v>449</v>
      </c>
      <c r="B1910">
        <v>34.21</v>
      </c>
      <c r="C1910">
        <v>4.4800000000000004</v>
      </c>
      <c r="D1910" s="6" t="s">
        <v>2373</v>
      </c>
      <c r="E1910" s="6" t="s">
        <v>2370</v>
      </c>
      <c r="F1910" s="6" t="s">
        <v>2370</v>
      </c>
      <c r="G1910">
        <v>1</v>
      </c>
      <c r="H1910" s="6" t="s">
        <v>2370</v>
      </c>
      <c r="I1910" t="s">
        <v>8374</v>
      </c>
      <c r="J1910" t="s">
        <v>8377</v>
      </c>
    </row>
    <row r="1911" spans="1:10" x14ac:dyDescent="0.35">
      <c r="A1911" s="6" t="s">
        <v>448</v>
      </c>
      <c r="B1911">
        <v>34.86</v>
      </c>
      <c r="C1911">
        <v>10.97</v>
      </c>
      <c r="D1911" s="6" t="s">
        <v>2370</v>
      </c>
      <c r="E1911" s="6" t="s">
        <v>2370</v>
      </c>
      <c r="F1911" s="6" t="s">
        <v>2370</v>
      </c>
      <c r="G1911">
        <v>0</v>
      </c>
      <c r="H1911" s="6" t="s">
        <v>2370</v>
      </c>
      <c r="I1911" t="s">
        <v>8374</v>
      </c>
      <c r="J1911" t="s">
        <v>8375</v>
      </c>
    </row>
    <row r="1912" spans="1:10" x14ac:dyDescent="0.35">
      <c r="A1912" s="6" t="s">
        <v>447</v>
      </c>
      <c r="B1912">
        <v>34.58</v>
      </c>
      <c r="C1912">
        <v>5.14</v>
      </c>
      <c r="D1912" s="6" t="s">
        <v>2370</v>
      </c>
      <c r="E1912" s="6" t="s">
        <v>2372</v>
      </c>
      <c r="F1912" s="6" t="s">
        <v>2370</v>
      </c>
      <c r="G1912">
        <v>2</v>
      </c>
      <c r="H1912" s="6" t="s">
        <v>2370</v>
      </c>
      <c r="I1912" t="s">
        <v>8374</v>
      </c>
      <c r="J1912" t="s">
        <v>8377</v>
      </c>
    </row>
    <row r="1913" spans="1:10" x14ac:dyDescent="0.35">
      <c r="A1913" s="6" t="s">
        <v>446</v>
      </c>
      <c r="B1913">
        <v>17.940000000000001</v>
      </c>
      <c r="C1913">
        <v>5.17</v>
      </c>
      <c r="D1913" s="6" t="s">
        <v>2373</v>
      </c>
      <c r="E1913" s="6" t="s">
        <v>2370</v>
      </c>
      <c r="F1913" s="6" t="s">
        <v>2370</v>
      </c>
      <c r="G1913">
        <v>0</v>
      </c>
      <c r="H1913" s="6" t="s">
        <v>2370</v>
      </c>
      <c r="I1913" t="s">
        <v>8380</v>
      </c>
      <c r="J1913" t="s">
        <v>8377</v>
      </c>
    </row>
    <row r="1914" spans="1:10" x14ac:dyDescent="0.35">
      <c r="A1914" s="6" t="s">
        <v>445</v>
      </c>
      <c r="B1914">
        <v>26.8</v>
      </c>
      <c r="C1914">
        <v>6.18</v>
      </c>
      <c r="D1914" s="6" t="s">
        <v>2373</v>
      </c>
      <c r="E1914" s="6" t="s">
        <v>2370</v>
      </c>
      <c r="F1914" s="6" t="s">
        <v>2373</v>
      </c>
      <c r="G1914">
        <v>1</v>
      </c>
      <c r="H1914" s="6" t="s">
        <v>2370</v>
      </c>
      <c r="I1914" t="s">
        <v>8378</v>
      </c>
      <c r="J1914" t="s">
        <v>8376</v>
      </c>
    </row>
    <row r="1915" spans="1:10" x14ac:dyDescent="0.35">
      <c r="A1915" s="6" t="s">
        <v>444</v>
      </c>
      <c r="B1915">
        <v>17.690000000000001</v>
      </c>
      <c r="C1915">
        <v>9.07</v>
      </c>
      <c r="D1915" s="6" t="s">
        <v>2373</v>
      </c>
      <c r="E1915" s="6" t="s">
        <v>2370</v>
      </c>
      <c r="F1915" s="6" t="s">
        <v>2370</v>
      </c>
      <c r="G1915">
        <v>0</v>
      </c>
      <c r="H1915" s="6" t="s">
        <v>2370</v>
      </c>
      <c r="I1915" t="s">
        <v>8380</v>
      </c>
      <c r="J1915" t="s">
        <v>8375</v>
      </c>
    </row>
    <row r="1916" spans="1:10" x14ac:dyDescent="0.35">
      <c r="A1916" s="6" t="s">
        <v>443</v>
      </c>
      <c r="B1916">
        <v>25.77</v>
      </c>
      <c r="C1916">
        <v>4.43</v>
      </c>
      <c r="D1916" s="6" t="s">
        <v>2370</v>
      </c>
      <c r="E1916" s="6" t="s">
        <v>2370</v>
      </c>
      <c r="F1916" s="6" t="s">
        <v>2373</v>
      </c>
      <c r="G1916">
        <v>1</v>
      </c>
      <c r="H1916" s="6" t="s">
        <v>2370</v>
      </c>
      <c r="I1916" t="s">
        <v>8378</v>
      </c>
      <c r="J1916" t="s">
        <v>8377</v>
      </c>
    </row>
    <row r="1917" spans="1:10" x14ac:dyDescent="0.35">
      <c r="A1917" s="6" t="s">
        <v>442</v>
      </c>
      <c r="B1917">
        <v>34.46</v>
      </c>
      <c r="C1917">
        <v>4.17</v>
      </c>
      <c r="D1917" s="6" t="s">
        <v>2370</v>
      </c>
      <c r="E1917" s="6" t="s">
        <v>2372</v>
      </c>
      <c r="F1917" s="6" t="s">
        <v>2370</v>
      </c>
      <c r="G1917">
        <v>1</v>
      </c>
      <c r="H1917" s="6" t="s">
        <v>2370</v>
      </c>
      <c r="I1917" t="s">
        <v>8374</v>
      </c>
      <c r="J1917" t="s">
        <v>8377</v>
      </c>
    </row>
    <row r="1918" spans="1:10" x14ac:dyDescent="0.35">
      <c r="A1918" s="6" t="s">
        <v>441</v>
      </c>
      <c r="B1918">
        <v>30.875</v>
      </c>
      <c r="C1918">
        <v>4.95</v>
      </c>
      <c r="D1918" s="6" t="s">
        <v>2373</v>
      </c>
      <c r="E1918" s="6" t="s">
        <v>2370</v>
      </c>
      <c r="F1918" s="6" t="s">
        <v>2370</v>
      </c>
      <c r="G1918">
        <v>0</v>
      </c>
      <c r="H1918" s="6" t="s">
        <v>2370</v>
      </c>
      <c r="I1918" t="s">
        <v>8374</v>
      </c>
      <c r="J1918" t="s">
        <v>8377</v>
      </c>
    </row>
    <row r="1919" spans="1:10" x14ac:dyDescent="0.35">
      <c r="A1919" s="6" t="s">
        <v>440</v>
      </c>
      <c r="B1919">
        <v>39.49</v>
      </c>
      <c r="C1919">
        <v>5.13</v>
      </c>
      <c r="D1919" s="6" t="s">
        <v>2370</v>
      </c>
      <c r="E1919" s="6" t="s">
        <v>2370</v>
      </c>
      <c r="F1919" s="6" t="s">
        <v>2370</v>
      </c>
      <c r="G1919">
        <v>0</v>
      </c>
      <c r="H1919" s="6" t="s">
        <v>2370</v>
      </c>
      <c r="I1919" t="s">
        <v>8374</v>
      </c>
      <c r="J1919" t="s">
        <v>8377</v>
      </c>
    </row>
    <row r="1920" spans="1:10" x14ac:dyDescent="0.35">
      <c r="A1920" s="6" t="s">
        <v>439</v>
      </c>
      <c r="B1920">
        <v>28.88</v>
      </c>
      <c r="C1920">
        <v>4.0999999999999996</v>
      </c>
      <c r="D1920" s="6" t="s">
        <v>2370</v>
      </c>
      <c r="E1920" s="6" t="s">
        <v>2370</v>
      </c>
      <c r="F1920" s="6" t="s">
        <v>2370</v>
      </c>
      <c r="G1920">
        <v>0</v>
      </c>
      <c r="H1920" s="6" t="s">
        <v>2370</v>
      </c>
      <c r="I1920" t="s">
        <v>8378</v>
      </c>
      <c r="J1920" t="s">
        <v>8377</v>
      </c>
    </row>
    <row r="1921" spans="1:10" x14ac:dyDescent="0.35">
      <c r="A1921" s="6" t="s">
        <v>438</v>
      </c>
      <c r="B1921">
        <v>20.234999999999999</v>
      </c>
      <c r="C1921">
        <v>5.01</v>
      </c>
      <c r="D1921" s="6" t="s">
        <v>2373</v>
      </c>
      <c r="E1921" s="6" t="s">
        <v>2370</v>
      </c>
      <c r="F1921" s="6" t="s">
        <v>2370</v>
      </c>
      <c r="G1921">
        <v>0</v>
      </c>
      <c r="H1921" s="6" t="s">
        <v>2370</v>
      </c>
      <c r="I1921" t="s">
        <v>8379</v>
      </c>
      <c r="J1921" t="s">
        <v>8377</v>
      </c>
    </row>
    <row r="1922" spans="1:10" x14ac:dyDescent="0.35">
      <c r="A1922" s="6" t="s">
        <v>437</v>
      </c>
      <c r="B1922">
        <v>30.67</v>
      </c>
      <c r="C1922">
        <v>5.09</v>
      </c>
      <c r="D1922" s="6" t="s">
        <v>2373</v>
      </c>
      <c r="E1922" s="6" t="s">
        <v>2370</v>
      </c>
      <c r="F1922" s="6" t="s">
        <v>2370</v>
      </c>
      <c r="G1922">
        <v>0</v>
      </c>
      <c r="H1922" s="6" t="s">
        <v>2370</v>
      </c>
      <c r="I1922" t="s">
        <v>8374</v>
      </c>
      <c r="J1922" t="s">
        <v>8377</v>
      </c>
    </row>
    <row r="1923" spans="1:10" x14ac:dyDescent="0.35">
      <c r="A1923" s="6" t="s">
        <v>436</v>
      </c>
      <c r="B1923">
        <v>30.875</v>
      </c>
      <c r="C1923">
        <v>6.49</v>
      </c>
      <c r="D1923" s="6" t="s">
        <v>2370</v>
      </c>
      <c r="E1923" s="6" t="s">
        <v>2370</v>
      </c>
      <c r="F1923" s="6" t="s">
        <v>2370</v>
      </c>
      <c r="G1923">
        <v>0</v>
      </c>
      <c r="H1923" s="6" t="s">
        <v>2370</v>
      </c>
      <c r="I1923" t="s">
        <v>8374</v>
      </c>
      <c r="J1923" t="s">
        <v>8376</v>
      </c>
    </row>
    <row r="1924" spans="1:10" x14ac:dyDescent="0.35">
      <c r="A1924" s="6" t="s">
        <v>435</v>
      </c>
      <c r="B1924">
        <v>23.8</v>
      </c>
      <c r="C1924">
        <v>4.08</v>
      </c>
      <c r="D1924" s="6" t="s">
        <v>2370</v>
      </c>
      <c r="E1924" s="6" t="s">
        <v>2370</v>
      </c>
      <c r="F1924" s="6" t="s">
        <v>2370</v>
      </c>
      <c r="G1924">
        <v>0</v>
      </c>
      <c r="H1924" s="6" t="s">
        <v>2370</v>
      </c>
      <c r="I1924" t="s">
        <v>8379</v>
      </c>
      <c r="J1924" t="s">
        <v>8377</v>
      </c>
    </row>
    <row r="1925" spans="1:10" x14ac:dyDescent="0.35">
      <c r="A1925" s="6" t="s">
        <v>434</v>
      </c>
      <c r="B1925">
        <v>15.37</v>
      </c>
      <c r="C1925">
        <v>8.6300000000000008</v>
      </c>
      <c r="D1925" s="6" t="s">
        <v>2373</v>
      </c>
      <c r="E1925" s="6" t="s">
        <v>2370</v>
      </c>
      <c r="F1925" s="6" t="s">
        <v>2370</v>
      </c>
      <c r="G1925">
        <v>0</v>
      </c>
      <c r="H1925" s="6" t="s">
        <v>2370</v>
      </c>
      <c r="I1925" t="s">
        <v>8380</v>
      </c>
      <c r="J1925" t="s">
        <v>8375</v>
      </c>
    </row>
    <row r="1926" spans="1:10" x14ac:dyDescent="0.35">
      <c r="A1926" s="6" t="s">
        <v>433</v>
      </c>
      <c r="B1926">
        <v>30.4</v>
      </c>
      <c r="C1926">
        <v>5.28</v>
      </c>
      <c r="D1926" s="6" t="s">
        <v>2370</v>
      </c>
      <c r="E1926" s="6" t="s">
        <v>2370</v>
      </c>
      <c r="F1926" s="6" t="s">
        <v>2370</v>
      </c>
      <c r="G1926">
        <v>0</v>
      </c>
      <c r="H1926" s="6" t="s">
        <v>2370</v>
      </c>
      <c r="I1926" t="s">
        <v>8374</v>
      </c>
      <c r="J1926" t="s">
        <v>8377</v>
      </c>
    </row>
    <row r="1927" spans="1:10" x14ac:dyDescent="0.35">
      <c r="A1927" s="6" t="s">
        <v>432</v>
      </c>
      <c r="B1927">
        <v>19.48</v>
      </c>
      <c r="C1927">
        <v>5.63</v>
      </c>
      <c r="D1927" s="6" t="s">
        <v>2373</v>
      </c>
      <c r="E1927" s="6" t="s">
        <v>2370</v>
      </c>
      <c r="F1927" s="6" t="s">
        <v>2370</v>
      </c>
      <c r="G1927">
        <v>1</v>
      </c>
      <c r="H1927" s="6" t="s">
        <v>2370</v>
      </c>
      <c r="I1927" t="s">
        <v>8379</v>
      </c>
      <c r="J1927" t="s">
        <v>8377</v>
      </c>
    </row>
    <row r="1928" spans="1:10" x14ac:dyDescent="0.35">
      <c r="A1928" s="6" t="s">
        <v>431</v>
      </c>
      <c r="B1928">
        <v>16.96</v>
      </c>
      <c r="C1928">
        <v>11.47</v>
      </c>
      <c r="D1928" s="6" t="s">
        <v>2373</v>
      </c>
      <c r="E1928" s="6" t="s">
        <v>2370</v>
      </c>
      <c r="F1928" s="6" t="s">
        <v>2370</v>
      </c>
      <c r="G1928">
        <v>0</v>
      </c>
      <c r="H1928" s="6" t="s">
        <v>2370</v>
      </c>
      <c r="I1928" t="s">
        <v>8380</v>
      </c>
      <c r="J1928" t="s">
        <v>8375</v>
      </c>
    </row>
    <row r="1929" spans="1:10" x14ac:dyDescent="0.35">
      <c r="A1929" s="6" t="s">
        <v>430</v>
      </c>
      <c r="B1929">
        <v>19.05</v>
      </c>
      <c r="C1929">
        <v>4.92</v>
      </c>
      <c r="D1929" s="6" t="s">
        <v>2370</v>
      </c>
      <c r="E1929" s="6" t="s">
        <v>2370</v>
      </c>
      <c r="F1929" s="6" t="s">
        <v>2370</v>
      </c>
      <c r="G1929">
        <v>1</v>
      </c>
      <c r="H1929" s="6" t="s">
        <v>2370</v>
      </c>
      <c r="I1929" t="s">
        <v>8379</v>
      </c>
      <c r="J1929" t="s">
        <v>8377</v>
      </c>
    </row>
    <row r="1930" spans="1:10" x14ac:dyDescent="0.35">
      <c r="A1930" s="6" t="s">
        <v>429</v>
      </c>
      <c r="B1930">
        <v>37.619999999999997</v>
      </c>
      <c r="C1930">
        <v>4.18</v>
      </c>
      <c r="D1930" s="6" t="s">
        <v>2370</v>
      </c>
      <c r="E1930" s="6" t="s">
        <v>2370</v>
      </c>
      <c r="F1930" s="6" t="s">
        <v>2370</v>
      </c>
      <c r="G1930">
        <v>0</v>
      </c>
      <c r="H1930" s="6" t="s">
        <v>2370</v>
      </c>
      <c r="I1930" t="s">
        <v>8374</v>
      </c>
      <c r="J1930" t="s">
        <v>8377</v>
      </c>
    </row>
    <row r="1931" spans="1:10" x14ac:dyDescent="0.35">
      <c r="A1931" s="6" t="s">
        <v>428</v>
      </c>
      <c r="B1931">
        <v>29.1</v>
      </c>
      <c r="C1931">
        <v>4.67</v>
      </c>
      <c r="D1931" s="6" t="s">
        <v>2370</v>
      </c>
      <c r="E1931" s="6" t="s">
        <v>2370</v>
      </c>
      <c r="F1931" s="6" t="s">
        <v>2370</v>
      </c>
      <c r="G1931">
        <v>0</v>
      </c>
      <c r="H1931" s="6" t="s">
        <v>2370</v>
      </c>
      <c r="I1931" t="s">
        <v>8378</v>
      </c>
      <c r="J1931" t="s">
        <v>8377</v>
      </c>
    </row>
    <row r="1932" spans="1:10" x14ac:dyDescent="0.35">
      <c r="A1932" s="6" t="s">
        <v>427</v>
      </c>
      <c r="B1932">
        <v>26.62</v>
      </c>
      <c r="C1932">
        <v>6.24</v>
      </c>
      <c r="D1932" s="6" t="s">
        <v>2370</v>
      </c>
      <c r="E1932" s="6" t="s">
        <v>2370</v>
      </c>
      <c r="F1932" s="6" t="s">
        <v>2370</v>
      </c>
      <c r="G1932">
        <v>0</v>
      </c>
      <c r="H1932" s="6" t="s">
        <v>2370</v>
      </c>
      <c r="I1932" t="s">
        <v>8378</v>
      </c>
      <c r="J1932" t="s">
        <v>8376</v>
      </c>
    </row>
    <row r="1933" spans="1:10" x14ac:dyDescent="0.35">
      <c r="A1933" s="6" t="s">
        <v>426</v>
      </c>
      <c r="B1933">
        <v>25.74</v>
      </c>
      <c r="C1933">
        <v>5.99</v>
      </c>
      <c r="D1933" s="6" t="s">
        <v>2370</v>
      </c>
      <c r="E1933" s="6" t="s">
        <v>2370</v>
      </c>
      <c r="F1933" s="6" t="s">
        <v>2370</v>
      </c>
      <c r="G1933">
        <v>0</v>
      </c>
      <c r="H1933" s="6" t="s">
        <v>2370</v>
      </c>
      <c r="I1933" t="s">
        <v>8378</v>
      </c>
      <c r="J1933" t="s">
        <v>8376</v>
      </c>
    </row>
    <row r="1934" spans="1:10" x14ac:dyDescent="0.35">
      <c r="A1934" s="6" t="s">
        <v>425</v>
      </c>
      <c r="B1934">
        <v>18.22</v>
      </c>
      <c r="C1934">
        <v>10.27</v>
      </c>
      <c r="D1934" s="6" t="s">
        <v>2373</v>
      </c>
      <c r="E1934" s="6" t="s">
        <v>2370</v>
      </c>
      <c r="F1934" s="6" t="s">
        <v>2370</v>
      </c>
      <c r="G1934">
        <v>1</v>
      </c>
      <c r="H1934" s="6" t="s">
        <v>2370</v>
      </c>
      <c r="I1934" t="s">
        <v>8380</v>
      </c>
      <c r="J1934" t="s">
        <v>8375</v>
      </c>
    </row>
    <row r="1935" spans="1:10" x14ac:dyDescent="0.35">
      <c r="A1935" s="6" t="s">
        <v>424</v>
      </c>
      <c r="B1935">
        <v>26.03</v>
      </c>
      <c r="C1935">
        <v>5.97</v>
      </c>
      <c r="D1935" s="6" t="s">
        <v>2370</v>
      </c>
      <c r="E1935" s="6" t="s">
        <v>2370</v>
      </c>
      <c r="F1935" s="6" t="s">
        <v>2373</v>
      </c>
      <c r="G1935">
        <v>1</v>
      </c>
      <c r="H1935" s="6" t="s">
        <v>2370</v>
      </c>
      <c r="I1935" t="s">
        <v>8378</v>
      </c>
      <c r="J1935" t="s">
        <v>8376</v>
      </c>
    </row>
    <row r="1936" spans="1:10" x14ac:dyDescent="0.35">
      <c r="A1936" s="6" t="s">
        <v>423</v>
      </c>
      <c r="B1936">
        <v>17.29</v>
      </c>
      <c r="C1936">
        <v>4.9800000000000004</v>
      </c>
      <c r="D1936" s="6" t="s">
        <v>2370</v>
      </c>
      <c r="E1936" s="6" t="s">
        <v>2370</v>
      </c>
      <c r="F1936" s="6" t="s">
        <v>2370</v>
      </c>
      <c r="G1936">
        <v>0</v>
      </c>
      <c r="H1936" s="6" t="s">
        <v>2370</v>
      </c>
      <c r="I1936" t="s">
        <v>8380</v>
      </c>
      <c r="J1936" t="s">
        <v>8377</v>
      </c>
    </row>
    <row r="1937" spans="1:10" x14ac:dyDescent="0.35">
      <c r="A1937" s="6" t="s">
        <v>422</v>
      </c>
      <c r="B1937">
        <v>18.170000000000002</v>
      </c>
      <c r="C1937">
        <v>6.91</v>
      </c>
      <c r="D1937" s="6" t="s">
        <v>2373</v>
      </c>
      <c r="E1937" s="6" t="s">
        <v>2370</v>
      </c>
      <c r="F1937" s="6" t="s">
        <v>2370</v>
      </c>
      <c r="G1937">
        <v>1</v>
      </c>
      <c r="H1937" s="6" t="s">
        <v>2370</v>
      </c>
      <c r="I1937" t="s">
        <v>8380</v>
      </c>
      <c r="J1937" t="s">
        <v>8375</v>
      </c>
    </row>
    <row r="1938" spans="1:10" x14ac:dyDescent="0.35">
      <c r="A1938" s="6" t="s">
        <v>421</v>
      </c>
      <c r="B1938">
        <v>32.54</v>
      </c>
      <c r="C1938">
        <v>6.38</v>
      </c>
      <c r="D1938" s="6" t="s">
        <v>2370</v>
      </c>
      <c r="E1938" s="6" t="s">
        <v>2372</v>
      </c>
      <c r="F1938" s="6" t="s">
        <v>2370</v>
      </c>
      <c r="G1938">
        <v>1</v>
      </c>
      <c r="H1938" s="6" t="s">
        <v>2370</v>
      </c>
      <c r="I1938" t="s">
        <v>8374</v>
      </c>
      <c r="J1938" t="s">
        <v>8376</v>
      </c>
    </row>
    <row r="1939" spans="1:10" x14ac:dyDescent="0.35">
      <c r="A1939" s="6" t="s">
        <v>420</v>
      </c>
      <c r="B1939">
        <v>30.25</v>
      </c>
      <c r="C1939">
        <v>4.7699999999999996</v>
      </c>
      <c r="D1939" s="6" t="s">
        <v>2370</v>
      </c>
      <c r="E1939" s="6" t="s">
        <v>2370</v>
      </c>
      <c r="F1939" s="6" t="s">
        <v>2370</v>
      </c>
      <c r="G1939">
        <v>0</v>
      </c>
      <c r="H1939" s="6" t="s">
        <v>2370</v>
      </c>
      <c r="I1939" t="s">
        <v>8374</v>
      </c>
      <c r="J1939" t="s">
        <v>8377</v>
      </c>
    </row>
    <row r="1940" spans="1:10" x14ac:dyDescent="0.35">
      <c r="A1940" s="6" t="s">
        <v>419</v>
      </c>
      <c r="B1940">
        <v>19.59</v>
      </c>
      <c r="C1940">
        <v>6.04</v>
      </c>
      <c r="D1940" s="6" t="s">
        <v>2373</v>
      </c>
      <c r="E1940" s="6" t="s">
        <v>2370</v>
      </c>
      <c r="F1940" s="6" t="s">
        <v>2370</v>
      </c>
      <c r="G1940">
        <v>1</v>
      </c>
      <c r="H1940" s="6" t="s">
        <v>2370</v>
      </c>
      <c r="I1940" t="s">
        <v>8379</v>
      </c>
      <c r="J1940" t="s">
        <v>8376</v>
      </c>
    </row>
    <row r="1941" spans="1:10" x14ac:dyDescent="0.35">
      <c r="A1941" s="6" t="s">
        <v>418</v>
      </c>
      <c r="B1941">
        <v>45.9</v>
      </c>
      <c r="C1941">
        <v>4.3</v>
      </c>
      <c r="D1941" s="6" t="s">
        <v>2373</v>
      </c>
      <c r="E1941" s="6" t="s">
        <v>2370</v>
      </c>
      <c r="F1941" s="6" t="s">
        <v>2370</v>
      </c>
      <c r="G1941">
        <v>1</v>
      </c>
      <c r="H1941" s="6" t="s">
        <v>2370</v>
      </c>
      <c r="I1941" t="s">
        <v>8374</v>
      </c>
      <c r="J1941" t="s">
        <v>8377</v>
      </c>
    </row>
    <row r="1942" spans="1:10" x14ac:dyDescent="0.35">
      <c r="A1942" s="6" t="s">
        <v>417</v>
      </c>
      <c r="B1942">
        <v>17.059999999999999</v>
      </c>
      <c r="C1942">
        <v>8.75</v>
      </c>
      <c r="D1942" s="6" t="s">
        <v>2373</v>
      </c>
      <c r="E1942" s="6" t="s">
        <v>2370</v>
      </c>
      <c r="F1942" s="6" t="s">
        <v>2370</v>
      </c>
      <c r="G1942">
        <v>0</v>
      </c>
      <c r="H1942" s="6" t="s">
        <v>2370</v>
      </c>
      <c r="I1942" t="s">
        <v>8380</v>
      </c>
      <c r="J1942" t="s">
        <v>8375</v>
      </c>
    </row>
    <row r="1943" spans="1:10" x14ac:dyDescent="0.35">
      <c r="A1943" s="6" t="s">
        <v>416</v>
      </c>
      <c r="B1943">
        <v>32.07</v>
      </c>
      <c r="C1943">
        <v>5.25</v>
      </c>
      <c r="D1943" s="6" t="s">
        <v>2370</v>
      </c>
      <c r="E1943" s="6" t="s">
        <v>2370</v>
      </c>
      <c r="F1943" s="6" t="s">
        <v>2373</v>
      </c>
      <c r="G1943">
        <v>1</v>
      </c>
      <c r="H1943" s="6" t="s">
        <v>2370</v>
      </c>
      <c r="I1943" t="s">
        <v>8374</v>
      </c>
      <c r="J1943" t="s">
        <v>8377</v>
      </c>
    </row>
    <row r="1944" spans="1:10" x14ac:dyDescent="0.35">
      <c r="A1944" s="6" t="s">
        <v>415</v>
      </c>
      <c r="B1944">
        <v>16.5</v>
      </c>
      <c r="C1944">
        <v>5.03</v>
      </c>
      <c r="D1944" s="6" t="s">
        <v>2370</v>
      </c>
      <c r="E1944" s="6" t="s">
        <v>2370</v>
      </c>
      <c r="F1944" s="6" t="s">
        <v>2370</v>
      </c>
      <c r="G1944">
        <v>1</v>
      </c>
      <c r="H1944" s="6" t="s">
        <v>2370</v>
      </c>
      <c r="I1944" t="s">
        <v>8380</v>
      </c>
      <c r="J1944" t="s">
        <v>8377</v>
      </c>
    </row>
    <row r="1945" spans="1:10" x14ac:dyDescent="0.35">
      <c r="A1945" s="6" t="s">
        <v>414</v>
      </c>
      <c r="B1945">
        <v>31.4</v>
      </c>
      <c r="C1945">
        <v>5.88</v>
      </c>
      <c r="D1945" s="6" t="s">
        <v>2370</v>
      </c>
      <c r="E1945" s="6" t="s">
        <v>2370</v>
      </c>
      <c r="F1945" s="6" t="s">
        <v>2370</v>
      </c>
      <c r="G1945">
        <v>1</v>
      </c>
      <c r="H1945" s="6" t="s">
        <v>2370</v>
      </c>
      <c r="I1945" t="s">
        <v>8374</v>
      </c>
      <c r="J1945" t="s">
        <v>8376</v>
      </c>
    </row>
    <row r="1946" spans="1:10" x14ac:dyDescent="0.35">
      <c r="A1946" s="6" t="s">
        <v>413</v>
      </c>
      <c r="B1946">
        <v>20.36</v>
      </c>
      <c r="C1946">
        <v>4.49</v>
      </c>
      <c r="D1946" s="6" t="s">
        <v>2370</v>
      </c>
      <c r="E1946" s="6" t="s">
        <v>2370</v>
      </c>
      <c r="F1946" s="6" t="s">
        <v>2370</v>
      </c>
      <c r="G1946">
        <v>0</v>
      </c>
      <c r="H1946" s="6" t="s">
        <v>2370</v>
      </c>
      <c r="I1946" t="s">
        <v>8379</v>
      </c>
      <c r="J1946" t="s">
        <v>8377</v>
      </c>
    </row>
    <row r="1947" spans="1:10" x14ac:dyDescent="0.35">
      <c r="A1947" s="6" t="s">
        <v>412</v>
      </c>
      <c r="B1947">
        <v>25.46</v>
      </c>
      <c r="C1947">
        <v>4.1399999999999997</v>
      </c>
      <c r="D1947" s="6" t="s">
        <v>2370</v>
      </c>
      <c r="E1947" s="6" t="s">
        <v>2370</v>
      </c>
      <c r="F1947" s="6" t="s">
        <v>2370</v>
      </c>
      <c r="G1947">
        <v>1</v>
      </c>
      <c r="H1947" s="6" t="s">
        <v>2370</v>
      </c>
      <c r="I1947" t="s">
        <v>8378</v>
      </c>
      <c r="J1947" t="s">
        <v>8377</v>
      </c>
    </row>
    <row r="1948" spans="1:10" x14ac:dyDescent="0.35">
      <c r="A1948" s="6" t="s">
        <v>411</v>
      </c>
      <c r="B1948">
        <v>17.09</v>
      </c>
      <c r="C1948">
        <v>5.8</v>
      </c>
      <c r="D1948" s="6" t="s">
        <v>2373</v>
      </c>
      <c r="E1948" s="6" t="s">
        <v>2370</v>
      </c>
      <c r="F1948" s="6" t="s">
        <v>2370</v>
      </c>
      <c r="G1948">
        <v>0</v>
      </c>
      <c r="H1948" s="6" t="s">
        <v>2370</v>
      </c>
      <c r="I1948" t="s">
        <v>8380</v>
      </c>
      <c r="J1948" t="s">
        <v>8376</v>
      </c>
    </row>
    <row r="1949" spans="1:10" x14ac:dyDescent="0.35">
      <c r="A1949" s="6" t="s">
        <v>410</v>
      </c>
      <c r="B1949">
        <v>20.83</v>
      </c>
      <c r="C1949">
        <v>5.12</v>
      </c>
      <c r="D1949" s="6" t="s">
        <v>2370</v>
      </c>
      <c r="E1949" s="6" t="s">
        <v>2370</v>
      </c>
      <c r="F1949" s="6" t="s">
        <v>2370</v>
      </c>
      <c r="G1949">
        <v>0</v>
      </c>
      <c r="H1949" s="6" t="s">
        <v>2370</v>
      </c>
      <c r="I1949" t="s">
        <v>8379</v>
      </c>
      <c r="J1949" t="s">
        <v>8377</v>
      </c>
    </row>
    <row r="1950" spans="1:10" x14ac:dyDescent="0.35">
      <c r="A1950" s="6" t="s">
        <v>409</v>
      </c>
      <c r="B1950">
        <v>18.920000000000002</v>
      </c>
      <c r="C1950">
        <v>5.98</v>
      </c>
      <c r="D1950" s="6" t="s">
        <v>2373</v>
      </c>
      <c r="E1950" s="6" t="s">
        <v>2370</v>
      </c>
      <c r="F1950" s="6" t="s">
        <v>2370</v>
      </c>
      <c r="G1950">
        <v>1</v>
      </c>
      <c r="H1950" s="6" t="s">
        <v>2370</v>
      </c>
      <c r="I1950" t="s">
        <v>8379</v>
      </c>
      <c r="J1950" t="s">
        <v>8376</v>
      </c>
    </row>
    <row r="1951" spans="1:10" x14ac:dyDescent="0.35">
      <c r="A1951" s="6" t="s">
        <v>408</v>
      </c>
      <c r="B1951">
        <v>37.1</v>
      </c>
      <c r="C1951">
        <v>5.46</v>
      </c>
      <c r="D1951" s="6" t="s">
        <v>2370</v>
      </c>
      <c r="E1951" s="6" t="s">
        <v>2370</v>
      </c>
      <c r="F1951" s="6" t="s">
        <v>2370</v>
      </c>
      <c r="G1951">
        <v>0</v>
      </c>
      <c r="H1951" s="6" t="s">
        <v>2370</v>
      </c>
      <c r="I1951" t="s">
        <v>8374</v>
      </c>
      <c r="J1951" t="s">
        <v>8377</v>
      </c>
    </row>
    <row r="1952" spans="1:10" x14ac:dyDescent="0.35">
      <c r="A1952" s="6" t="s">
        <v>407</v>
      </c>
      <c r="B1952">
        <v>22.515000000000001</v>
      </c>
      <c r="C1952">
        <v>4.91</v>
      </c>
      <c r="D1952" s="6" t="s">
        <v>2373</v>
      </c>
      <c r="E1952" s="6" t="s">
        <v>2370</v>
      </c>
      <c r="F1952" s="6" t="s">
        <v>2373</v>
      </c>
      <c r="G1952">
        <v>1</v>
      </c>
      <c r="H1952" s="6" t="s">
        <v>2370</v>
      </c>
      <c r="I1952" t="s">
        <v>8379</v>
      </c>
      <c r="J1952" t="s">
        <v>8377</v>
      </c>
    </row>
    <row r="1953" spans="1:10" x14ac:dyDescent="0.35">
      <c r="A1953" s="6" t="s">
        <v>406</v>
      </c>
      <c r="B1953">
        <v>32.700000000000003</v>
      </c>
      <c r="C1953">
        <v>4.66</v>
      </c>
      <c r="D1953" s="6" t="s">
        <v>2370</v>
      </c>
      <c r="E1953" s="6" t="s">
        <v>2370</v>
      </c>
      <c r="F1953" s="6" t="s">
        <v>2370</v>
      </c>
      <c r="G1953">
        <v>0</v>
      </c>
      <c r="H1953" s="6" t="s">
        <v>2370</v>
      </c>
      <c r="I1953" t="s">
        <v>8374</v>
      </c>
      <c r="J1953" t="s">
        <v>8377</v>
      </c>
    </row>
    <row r="1954" spans="1:10" x14ac:dyDescent="0.35">
      <c r="A1954" s="6" t="s">
        <v>405</v>
      </c>
      <c r="B1954">
        <v>17.75</v>
      </c>
      <c r="C1954">
        <v>6.8</v>
      </c>
      <c r="D1954" s="6" t="s">
        <v>2373</v>
      </c>
      <c r="E1954" s="6" t="s">
        <v>2370</v>
      </c>
      <c r="F1954" s="6" t="s">
        <v>2370</v>
      </c>
      <c r="G1954">
        <v>1</v>
      </c>
      <c r="H1954" s="6" t="s">
        <v>2370</v>
      </c>
      <c r="I1954" t="s">
        <v>8380</v>
      </c>
      <c r="J1954" t="s">
        <v>8375</v>
      </c>
    </row>
    <row r="1955" spans="1:10" x14ac:dyDescent="0.35">
      <c r="A1955" s="6" t="s">
        <v>404</v>
      </c>
      <c r="B1955">
        <v>33.630000000000003</v>
      </c>
      <c r="C1955">
        <v>4.47</v>
      </c>
      <c r="D1955" s="6" t="s">
        <v>2373</v>
      </c>
      <c r="E1955" s="6" t="s">
        <v>2370</v>
      </c>
      <c r="F1955" s="6" t="s">
        <v>2370</v>
      </c>
      <c r="G1955">
        <v>0</v>
      </c>
      <c r="H1955" s="6" t="s">
        <v>2370</v>
      </c>
      <c r="I1955" t="s">
        <v>8374</v>
      </c>
      <c r="J1955" t="s">
        <v>8377</v>
      </c>
    </row>
    <row r="1956" spans="1:10" x14ac:dyDescent="0.35">
      <c r="A1956" s="6" t="s">
        <v>403</v>
      </c>
      <c r="B1956">
        <v>34.799999999999997</v>
      </c>
      <c r="C1956">
        <v>4.08</v>
      </c>
      <c r="D1956" s="6" t="s">
        <v>2373</v>
      </c>
      <c r="E1956" s="6" t="s">
        <v>2370</v>
      </c>
      <c r="F1956" s="6" t="s">
        <v>2370</v>
      </c>
      <c r="G1956">
        <v>1</v>
      </c>
      <c r="H1956" s="6" t="s">
        <v>2370</v>
      </c>
      <c r="I1956" t="s">
        <v>8374</v>
      </c>
      <c r="J1956" t="s">
        <v>8377</v>
      </c>
    </row>
    <row r="1957" spans="1:10" x14ac:dyDescent="0.35">
      <c r="A1957" s="6" t="s">
        <v>402</v>
      </c>
      <c r="B1957">
        <v>16.809999999999999</v>
      </c>
      <c r="C1957">
        <v>5.51</v>
      </c>
      <c r="D1957" s="6" t="s">
        <v>2373</v>
      </c>
      <c r="E1957" s="6" t="s">
        <v>2370</v>
      </c>
      <c r="F1957" s="6" t="s">
        <v>2370</v>
      </c>
      <c r="G1957">
        <v>1</v>
      </c>
      <c r="H1957" s="6" t="s">
        <v>2370</v>
      </c>
      <c r="I1957" t="s">
        <v>8380</v>
      </c>
      <c r="J1957" t="s">
        <v>8377</v>
      </c>
    </row>
    <row r="1958" spans="1:10" x14ac:dyDescent="0.35">
      <c r="A1958" s="6" t="s">
        <v>401</v>
      </c>
      <c r="B1958">
        <v>16.690000000000001</v>
      </c>
      <c r="C1958">
        <v>8.4</v>
      </c>
      <c r="D1958" s="6" t="s">
        <v>2373</v>
      </c>
      <c r="E1958" s="6" t="s">
        <v>2370</v>
      </c>
      <c r="F1958" s="6" t="s">
        <v>2370</v>
      </c>
      <c r="G1958">
        <v>0</v>
      </c>
      <c r="H1958" s="6" t="s">
        <v>2370</v>
      </c>
      <c r="I1958" t="s">
        <v>8380</v>
      </c>
      <c r="J1958" t="s">
        <v>8375</v>
      </c>
    </row>
    <row r="1959" spans="1:10" x14ac:dyDescent="0.35">
      <c r="A1959" s="6" t="s">
        <v>400</v>
      </c>
      <c r="B1959">
        <v>23.21</v>
      </c>
      <c r="C1959">
        <v>5.14</v>
      </c>
      <c r="D1959" s="6" t="s">
        <v>2373</v>
      </c>
      <c r="E1959" s="6" t="s">
        <v>2370</v>
      </c>
      <c r="F1959" s="6" t="s">
        <v>2370</v>
      </c>
      <c r="G1959">
        <v>1</v>
      </c>
      <c r="H1959" s="6" t="s">
        <v>2370</v>
      </c>
      <c r="I1959" t="s">
        <v>8379</v>
      </c>
      <c r="J1959" t="s">
        <v>8377</v>
      </c>
    </row>
    <row r="1960" spans="1:10" x14ac:dyDescent="0.35">
      <c r="A1960" s="6" t="s">
        <v>399</v>
      </c>
      <c r="B1960">
        <v>25.175000000000001</v>
      </c>
      <c r="C1960">
        <v>5.21</v>
      </c>
      <c r="D1960" s="6" t="s">
        <v>2373</v>
      </c>
      <c r="E1960" s="6" t="s">
        <v>2370</v>
      </c>
      <c r="F1960" s="6" t="s">
        <v>2370</v>
      </c>
      <c r="G1960">
        <v>1</v>
      </c>
      <c r="H1960" s="6" t="s">
        <v>2370</v>
      </c>
      <c r="I1960" t="s">
        <v>8378</v>
      </c>
      <c r="J1960" t="s">
        <v>8377</v>
      </c>
    </row>
    <row r="1961" spans="1:10" x14ac:dyDescent="0.35">
      <c r="A1961" s="6" t="s">
        <v>398</v>
      </c>
      <c r="B1961">
        <v>34.770000000000003</v>
      </c>
      <c r="C1961">
        <v>6.23</v>
      </c>
      <c r="D1961" s="6" t="s">
        <v>2370</v>
      </c>
      <c r="E1961" s="6" t="s">
        <v>2370</v>
      </c>
      <c r="F1961" s="6" t="s">
        <v>2370</v>
      </c>
      <c r="G1961">
        <v>0</v>
      </c>
      <c r="H1961" s="6" t="s">
        <v>2370</v>
      </c>
      <c r="I1961" t="s">
        <v>8374</v>
      </c>
      <c r="J1961" t="s">
        <v>8376</v>
      </c>
    </row>
    <row r="1962" spans="1:10" x14ac:dyDescent="0.35">
      <c r="A1962" s="6" t="s">
        <v>397</v>
      </c>
      <c r="B1962">
        <v>27.7</v>
      </c>
      <c r="C1962">
        <v>5.6</v>
      </c>
      <c r="D1962" s="6" t="s">
        <v>2370</v>
      </c>
      <c r="E1962" s="6" t="s">
        <v>2370</v>
      </c>
      <c r="F1962" s="6" t="s">
        <v>2370</v>
      </c>
      <c r="G1962">
        <v>1</v>
      </c>
      <c r="H1962" s="6" t="s">
        <v>2370</v>
      </c>
      <c r="I1962" t="s">
        <v>8378</v>
      </c>
      <c r="J1962" t="s">
        <v>8377</v>
      </c>
    </row>
    <row r="1963" spans="1:10" x14ac:dyDescent="0.35">
      <c r="A1963" s="6" t="s">
        <v>396</v>
      </c>
      <c r="B1963">
        <v>19.12</v>
      </c>
      <c r="C1963">
        <v>4.72</v>
      </c>
      <c r="D1963" s="6" t="s">
        <v>2373</v>
      </c>
      <c r="E1963" s="6" t="s">
        <v>2370</v>
      </c>
      <c r="F1963" s="6" t="s">
        <v>2370</v>
      </c>
      <c r="G1963">
        <v>1</v>
      </c>
      <c r="H1963" s="6" t="s">
        <v>2370</v>
      </c>
      <c r="I1963" t="s">
        <v>8379</v>
      </c>
      <c r="J1963" t="s">
        <v>8377</v>
      </c>
    </row>
    <row r="1964" spans="1:10" x14ac:dyDescent="0.35">
      <c r="A1964" s="6" t="s">
        <v>395</v>
      </c>
      <c r="B1964">
        <v>32.67</v>
      </c>
      <c r="C1964">
        <v>4.67</v>
      </c>
      <c r="D1964" s="6" t="s">
        <v>2370</v>
      </c>
      <c r="E1964" s="6" t="s">
        <v>2370</v>
      </c>
      <c r="F1964" s="6" t="s">
        <v>2373</v>
      </c>
      <c r="G1964">
        <v>1</v>
      </c>
      <c r="H1964" s="6" t="s">
        <v>2370</v>
      </c>
      <c r="I1964" t="s">
        <v>8374</v>
      </c>
      <c r="J1964" t="s">
        <v>8377</v>
      </c>
    </row>
    <row r="1965" spans="1:10" x14ac:dyDescent="0.35">
      <c r="A1965" s="6" t="s">
        <v>394</v>
      </c>
      <c r="B1965">
        <v>28.5</v>
      </c>
      <c r="C1965">
        <v>6.11</v>
      </c>
      <c r="D1965" s="6" t="s">
        <v>2370</v>
      </c>
      <c r="E1965" s="6" t="s">
        <v>2370</v>
      </c>
      <c r="F1965" s="6" t="s">
        <v>2370</v>
      </c>
      <c r="G1965">
        <v>1</v>
      </c>
      <c r="H1965" s="6" t="s">
        <v>2370</v>
      </c>
      <c r="I1965" t="s">
        <v>8378</v>
      </c>
      <c r="J1965" t="s">
        <v>8376</v>
      </c>
    </row>
    <row r="1966" spans="1:10" x14ac:dyDescent="0.35">
      <c r="A1966" s="6" t="s">
        <v>393</v>
      </c>
      <c r="B1966">
        <v>39.270000000000003</v>
      </c>
      <c r="C1966">
        <v>6.25</v>
      </c>
      <c r="D1966" s="6" t="s">
        <v>2370</v>
      </c>
      <c r="E1966" s="6" t="s">
        <v>2370</v>
      </c>
      <c r="F1966" s="6" t="s">
        <v>2370</v>
      </c>
      <c r="G1966">
        <v>0</v>
      </c>
      <c r="H1966" s="6" t="s">
        <v>2370</v>
      </c>
      <c r="I1966" t="s">
        <v>8374</v>
      </c>
      <c r="J1966" t="s">
        <v>8376</v>
      </c>
    </row>
    <row r="1967" spans="1:10" x14ac:dyDescent="0.35">
      <c r="A1967" s="6" t="s">
        <v>392</v>
      </c>
      <c r="B1967">
        <v>32.49</v>
      </c>
      <c r="C1967">
        <v>4</v>
      </c>
      <c r="D1967" s="6" t="s">
        <v>2373</v>
      </c>
      <c r="E1967" s="6" t="s">
        <v>2370</v>
      </c>
      <c r="F1967" s="6" t="s">
        <v>2370</v>
      </c>
      <c r="G1967">
        <v>0</v>
      </c>
      <c r="H1967" s="6" t="s">
        <v>2370</v>
      </c>
      <c r="I1967" t="s">
        <v>8374</v>
      </c>
      <c r="J1967" t="s">
        <v>8377</v>
      </c>
    </row>
    <row r="1968" spans="1:10" x14ac:dyDescent="0.35">
      <c r="A1968" s="6" t="s">
        <v>391</v>
      </c>
      <c r="B1968">
        <v>23.7</v>
      </c>
      <c r="C1968">
        <v>5.55</v>
      </c>
      <c r="D1968" s="6" t="s">
        <v>2373</v>
      </c>
      <c r="E1968" s="6" t="s">
        <v>2370</v>
      </c>
      <c r="F1968" s="6" t="s">
        <v>2370</v>
      </c>
      <c r="G1968">
        <v>0</v>
      </c>
      <c r="H1968" s="6" t="s">
        <v>2370</v>
      </c>
      <c r="I1968" t="s">
        <v>8379</v>
      </c>
      <c r="J1968" t="s">
        <v>8377</v>
      </c>
    </row>
    <row r="1969" spans="1:10" x14ac:dyDescent="0.35">
      <c r="A1969" s="6" t="s">
        <v>390</v>
      </c>
      <c r="B1969">
        <v>30.4</v>
      </c>
      <c r="C1969">
        <v>5.95</v>
      </c>
      <c r="D1969" s="6" t="s">
        <v>2370</v>
      </c>
      <c r="E1969" s="6" t="s">
        <v>2372</v>
      </c>
      <c r="F1969" s="6" t="s">
        <v>2370</v>
      </c>
      <c r="G1969">
        <v>1</v>
      </c>
      <c r="H1969" s="6" t="s">
        <v>2370</v>
      </c>
      <c r="I1969" t="s">
        <v>8374</v>
      </c>
      <c r="J1969" t="s">
        <v>8376</v>
      </c>
    </row>
    <row r="1970" spans="1:10" x14ac:dyDescent="0.35">
      <c r="A1970" s="6" t="s">
        <v>389</v>
      </c>
      <c r="B1970">
        <v>38.94</v>
      </c>
      <c r="C1970">
        <v>4.3600000000000003</v>
      </c>
      <c r="D1970" s="6" t="s">
        <v>2370</v>
      </c>
      <c r="E1970" s="6" t="s">
        <v>2370</v>
      </c>
      <c r="F1970" s="6" t="s">
        <v>2373</v>
      </c>
      <c r="G1970">
        <v>1</v>
      </c>
      <c r="H1970" s="6" t="s">
        <v>2370</v>
      </c>
      <c r="I1970" t="s">
        <v>8374</v>
      </c>
      <c r="J1970" t="s">
        <v>8377</v>
      </c>
    </row>
    <row r="1971" spans="1:10" x14ac:dyDescent="0.35">
      <c r="A1971" s="6" t="s">
        <v>388</v>
      </c>
      <c r="B1971">
        <v>31.02</v>
      </c>
      <c r="C1971">
        <v>4.84</v>
      </c>
      <c r="D1971" s="6" t="s">
        <v>2370</v>
      </c>
      <c r="E1971" s="6" t="s">
        <v>2370</v>
      </c>
      <c r="F1971" s="6" t="s">
        <v>2373</v>
      </c>
      <c r="G1971">
        <v>1</v>
      </c>
      <c r="H1971" s="6" t="s">
        <v>2370</v>
      </c>
      <c r="I1971" t="s">
        <v>8374</v>
      </c>
      <c r="J1971" t="s">
        <v>8377</v>
      </c>
    </row>
    <row r="1972" spans="1:10" x14ac:dyDescent="0.35">
      <c r="A1972" s="6" t="s">
        <v>387</v>
      </c>
      <c r="B1972">
        <v>17.5</v>
      </c>
      <c r="C1972">
        <v>4.5599999999999996</v>
      </c>
      <c r="D1972" s="6" t="s">
        <v>2370</v>
      </c>
      <c r="E1972" s="6" t="s">
        <v>2370</v>
      </c>
      <c r="F1972" s="6" t="s">
        <v>2370</v>
      </c>
      <c r="G1972">
        <v>1</v>
      </c>
      <c r="H1972" s="6" t="s">
        <v>2370</v>
      </c>
      <c r="I1972" t="s">
        <v>8380</v>
      </c>
      <c r="J1972" t="s">
        <v>8377</v>
      </c>
    </row>
    <row r="1973" spans="1:10" x14ac:dyDescent="0.35">
      <c r="A1973" s="6" t="s">
        <v>386</v>
      </c>
      <c r="B1973">
        <v>34.799999999999997</v>
      </c>
      <c r="C1973">
        <v>4.42</v>
      </c>
      <c r="D1973" s="6" t="s">
        <v>2373</v>
      </c>
      <c r="E1973" s="6" t="s">
        <v>2372</v>
      </c>
      <c r="F1973" s="6" t="s">
        <v>2370</v>
      </c>
      <c r="G1973">
        <v>2</v>
      </c>
      <c r="H1973" s="6" t="s">
        <v>2370</v>
      </c>
      <c r="I1973" t="s">
        <v>8374</v>
      </c>
      <c r="J1973" t="s">
        <v>8377</v>
      </c>
    </row>
    <row r="1974" spans="1:10" x14ac:dyDescent="0.35">
      <c r="A1974" s="6" t="s">
        <v>385</v>
      </c>
      <c r="B1974">
        <v>17.3</v>
      </c>
      <c r="C1974">
        <v>7.66</v>
      </c>
      <c r="D1974" s="6" t="s">
        <v>2373</v>
      </c>
      <c r="E1974" s="6" t="s">
        <v>2370</v>
      </c>
      <c r="F1974" s="6" t="s">
        <v>2370</v>
      </c>
      <c r="G1974">
        <v>1</v>
      </c>
      <c r="H1974" s="6" t="s">
        <v>2370</v>
      </c>
      <c r="I1974" t="s">
        <v>8380</v>
      </c>
      <c r="J1974" t="s">
        <v>8375</v>
      </c>
    </row>
    <row r="1975" spans="1:10" x14ac:dyDescent="0.35">
      <c r="A1975" s="6" t="s">
        <v>384</v>
      </c>
      <c r="B1975">
        <v>32.25</v>
      </c>
      <c r="C1975">
        <v>5.2</v>
      </c>
      <c r="D1975" s="6" t="s">
        <v>2373</v>
      </c>
      <c r="E1975" s="6" t="s">
        <v>2370</v>
      </c>
      <c r="F1975" s="6" t="s">
        <v>2370</v>
      </c>
      <c r="G1975">
        <v>0</v>
      </c>
      <c r="H1975" s="6" t="s">
        <v>2370</v>
      </c>
      <c r="I1975" t="s">
        <v>8374</v>
      </c>
      <c r="J1975" t="s">
        <v>8377</v>
      </c>
    </row>
    <row r="1976" spans="1:10" x14ac:dyDescent="0.35">
      <c r="A1976" s="6" t="s">
        <v>383</v>
      </c>
      <c r="B1976">
        <v>42.4</v>
      </c>
      <c r="C1976">
        <v>5.53</v>
      </c>
      <c r="D1976" s="6" t="s">
        <v>2373</v>
      </c>
      <c r="E1976" s="6" t="s">
        <v>2370</v>
      </c>
      <c r="F1976" s="6" t="s">
        <v>2370</v>
      </c>
      <c r="G1976">
        <v>0</v>
      </c>
      <c r="H1976" s="6" t="s">
        <v>2370</v>
      </c>
      <c r="I1976" t="s">
        <v>8374</v>
      </c>
      <c r="J1976" t="s">
        <v>8377</v>
      </c>
    </row>
    <row r="1977" spans="1:10" x14ac:dyDescent="0.35">
      <c r="A1977" s="6" t="s">
        <v>382</v>
      </c>
      <c r="B1977">
        <v>38.664999999999999</v>
      </c>
      <c r="C1977">
        <v>4.8600000000000003</v>
      </c>
      <c r="D1977" s="6" t="s">
        <v>2370</v>
      </c>
      <c r="E1977" s="6" t="s">
        <v>2372</v>
      </c>
      <c r="F1977" s="6" t="s">
        <v>2370</v>
      </c>
      <c r="G1977">
        <v>1</v>
      </c>
      <c r="H1977" s="6" t="s">
        <v>2370</v>
      </c>
      <c r="I1977" t="s">
        <v>8374</v>
      </c>
      <c r="J1977" t="s">
        <v>8377</v>
      </c>
    </row>
    <row r="1978" spans="1:10" x14ac:dyDescent="0.35">
      <c r="A1978" s="6" t="s">
        <v>381</v>
      </c>
      <c r="B1978">
        <v>29.92</v>
      </c>
      <c r="C1978">
        <v>5.49</v>
      </c>
      <c r="D1978" s="6" t="s">
        <v>2373</v>
      </c>
      <c r="E1978" s="6" t="s">
        <v>2370</v>
      </c>
      <c r="F1978" s="6" t="s">
        <v>2370</v>
      </c>
      <c r="G1978">
        <v>0</v>
      </c>
      <c r="H1978" s="6" t="s">
        <v>2370</v>
      </c>
      <c r="I1978" t="s">
        <v>8378</v>
      </c>
      <c r="J1978" t="s">
        <v>8377</v>
      </c>
    </row>
    <row r="1979" spans="1:10" x14ac:dyDescent="0.35">
      <c r="A1979" s="6" t="s">
        <v>380</v>
      </c>
      <c r="B1979">
        <v>29.48</v>
      </c>
      <c r="C1979">
        <v>4.09</v>
      </c>
      <c r="D1979" s="6" t="s">
        <v>2373</v>
      </c>
      <c r="E1979" s="6" t="s">
        <v>2370</v>
      </c>
      <c r="F1979" s="6" t="s">
        <v>2370</v>
      </c>
      <c r="G1979">
        <v>0</v>
      </c>
      <c r="H1979" s="6" t="s">
        <v>2370</v>
      </c>
      <c r="I1979" t="s">
        <v>8378</v>
      </c>
      <c r="J1979" t="s">
        <v>8377</v>
      </c>
    </row>
    <row r="1980" spans="1:10" x14ac:dyDescent="0.35">
      <c r="A1980" s="6" t="s">
        <v>379</v>
      </c>
      <c r="B1980">
        <v>28.785</v>
      </c>
      <c r="C1980">
        <v>4.3099999999999996</v>
      </c>
      <c r="D1980" s="6" t="s">
        <v>2373</v>
      </c>
      <c r="E1980" s="6" t="s">
        <v>2370</v>
      </c>
      <c r="F1980" s="6" t="s">
        <v>2370</v>
      </c>
      <c r="G1980">
        <v>0</v>
      </c>
      <c r="H1980" s="6" t="s">
        <v>2370</v>
      </c>
      <c r="I1980" t="s">
        <v>8378</v>
      </c>
      <c r="J1980" t="s">
        <v>8377</v>
      </c>
    </row>
    <row r="1981" spans="1:10" x14ac:dyDescent="0.35">
      <c r="A1981" s="6" t="s">
        <v>378</v>
      </c>
      <c r="B1981">
        <v>19.8</v>
      </c>
      <c r="C1981">
        <v>4</v>
      </c>
      <c r="D1981" s="6" t="s">
        <v>2373</v>
      </c>
      <c r="E1981" s="6" t="s">
        <v>2370</v>
      </c>
      <c r="F1981" s="6" t="s">
        <v>2370</v>
      </c>
      <c r="G1981">
        <v>0</v>
      </c>
      <c r="H1981" s="6" t="s">
        <v>2370</v>
      </c>
      <c r="I1981" t="s">
        <v>8379</v>
      </c>
      <c r="J1981" t="s">
        <v>8377</v>
      </c>
    </row>
    <row r="1982" spans="1:10" x14ac:dyDescent="0.35">
      <c r="A1982" s="6" t="s">
        <v>377</v>
      </c>
      <c r="B1982">
        <v>35.53</v>
      </c>
      <c r="C1982">
        <v>4.68</v>
      </c>
      <c r="D1982" s="6" t="s">
        <v>2370</v>
      </c>
      <c r="E1982" s="6" t="s">
        <v>2370</v>
      </c>
      <c r="F1982" s="6" t="s">
        <v>2373</v>
      </c>
      <c r="G1982">
        <v>1</v>
      </c>
      <c r="H1982" s="6" t="s">
        <v>2370</v>
      </c>
      <c r="I1982" t="s">
        <v>8374</v>
      </c>
      <c r="J1982" t="s">
        <v>8377</v>
      </c>
    </row>
    <row r="1983" spans="1:10" x14ac:dyDescent="0.35">
      <c r="A1983" s="6" t="s">
        <v>376</v>
      </c>
      <c r="B1983">
        <v>21.47</v>
      </c>
      <c r="C1983">
        <v>4.0199999999999996</v>
      </c>
      <c r="D1983" s="6" t="s">
        <v>2373</v>
      </c>
      <c r="E1983" s="6" t="s">
        <v>2370</v>
      </c>
      <c r="F1983" s="6" t="s">
        <v>2370</v>
      </c>
      <c r="G1983">
        <v>1</v>
      </c>
      <c r="H1983" s="6" t="s">
        <v>2370</v>
      </c>
      <c r="I1983" t="s">
        <v>8379</v>
      </c>
      <c r="J1983" t="s">
        <v>8377</v>
      </c>
    </row>
    <row r="1984" spans="1:10" x14ac:dyDescent="0.35">
      <c r="A1984" s="6" t="s">
        <v>375</v>
      </c>
      <c r="B1984">
        <v>25.9</v>
      </c>
      <c r="C1984">
        <v>5.12</v>
      </c>
      <c r="D1984" s="6" t="s">
        <v>2370</v>
      </c>
      <c r="E1984" s="6" t="s">
        <v>2370</v>
      </c>
      <c r="F1984" s="6" t="s">
        <v>2373</v>
      </c>
      <c r="G1984">
        <v>1</v>
      </c>
      <c r="H1984" s="6" t="s">
        <v>2370</v>
      </c>
      <c r="I1984" t="s">
        <v>8378</v>
      </c>
      <c r="J1984" t="s">
        <v>8377</v>
      </c>
    </row>
    <row r="1985" spans="1:10" x14ac:dyDescent="0.35">
      <c r="A1985" s="6" t="s">
        <v>374</v>
      </c>
      <c r="B1985">
        <v>20.81</v>
      </c>
      <c r="C1985">
        <v>5.52</v>
      </c>
      <c r="D1985" s="6" t="s">
        <v>2370</v>
      </c>
      <c r="E1985" s="6" t="s">
        <v>2370</v>
      </c>
      <c r="F1985" s="6" t="s">
        <v>2370</v>
      </c>
      <c r="G1985">
        <v>0</v>
      </c>
      <c r="H1985" s="6" t="s">
        <v>2370</v>
      </c>
      <c r="I1985" t="s">
        <v>8379</v>
      </c>
      <c r="J1985" t="s">
        <v>8377</v>
      </c>
    </row>
    <row r="1986" spans="1:10" x14ac:dyDescent="0.35">
      <c r="A1986" s="6" t="s">
        <v>373</v>
      </c>
      <c r="B1986">
        <v>25.84</v>
      </c>
      <c r="C1986">
        <v>5.81</v>
      </c>
      <c r="D1986" s="6" t="s">
        <v>2373</v>
      </c>
      <c r="E1986" s="6" t="s">
        <v>2370</v>
      </c>
      <c r="F1986" s="6" t="s">
        <v>2373</v>
      </c>
      <c r="G1986">
        <v>1</v>
      </c>
      <c r="H1986" s="6" t="s">
        <v>2370</v>
      </c>
      <c r="I1986" t="s">
        <v>8378</v>
      </c>
      <c r="J1986" t="s">
        <v>8376</v>
      </c>
    </row>
    <row r="1987" spans="1:10" x14ac:dyDescent="0.35">
      <c r="A1987" s="6" t="s">
        <v>372</v>
      </c>
      <c r="B1987">
        <v>30.95</v>
      </c>
      <c r="C1987">
        <v>5.16</v>
      </c>
      <c r="D1987" s="6" t="s">
        <v>2370</v>
      </c>
      <c r="E1987" s="6" t="s">
        <v>2370</v>
      </c>
      <c r="F1987" s="6" t="s">
        <v>2373</v>
      </c>
      <c r="G1987">
        <v>1</v>
      </c>
      <c r="H1987" s="6" t="s">
        <v>2370</v>
      </c>
      <c r="I1987" t="s">
        <v>8374</v>
      </c>
      <c r="J1987" t="s">
        <v>8377</v>
      </c>
    </row>
    <row r="1988" spans="1:10" x14ac:dyDescent="0.35">
      <c r="A1988" s="6" t="s">
        <v>371</v>
      </c>
      <c r="B1988">
        <v>30.54</v>
      </c>
      <c r="C1988">
        <v>5</v>
      </c>
      <c r="D1988" s="6" t="s">
        <v>2370</v>
      </c>
      <c r="E1988" s="6" t="s">
        <v>2370</v>
      </c>
      <c r="F1988" s="6" t="s">
        <v>2373</v>
      </c>
      <c r="G1988">
        <v>1</v>
      </c>
      <c r="H1988" s="6" t="s">
        <v>2370</v>
      </c>
      <c r="I1988" t="s">
        <v>8374</v>
      </c>
      <c r="J1988" t="s">
        <v>8377</v>
      </c>
    </row>
    <row r="1989" spans="1:10" x14ac:dyDescent="0.35">
      <c r="A1989" s="6" t="s">
        <v>370</v>
      </c>
      <c r="B1989">
        <v>33.914999999999999</v>
      </c>
      <c r="C1989">
        <v>5.84</v>
      </c>
      <c r="D1989" s="6" t="s">
        <v>2373</v>
      </c>
      <c r="E1989" s="6" t="s">
        <v>2370</v>
      </c>
      <c r="F1989" s="6" t="s">
        <v>2370</v>
      </c>
      <c r="G1989">
        <v>0</v>
      </c>
      <c r="H1989" s="6" t="s">
        <v>2370</v>
      </c>
      <c r="I1989" t="s">
        <v>8374</v>
      </c>
      <c r="J1989" t="s">
        <v>8376</v>
      </c>
    </row>
    <row r="1990" spans="1:10" x14ac:dyDescent="0.35">
      <c r="A1990" s="6" t="s">
        <v>369</v>
      </c>
      <c r="B1990">
        <v>33.31</v>
      </c>
      <c r="C1990">
        <v>4.1900000000000004</v>
      </c>
      <c r="D1990" s="6" t="s">
        <v>2370</v>
      </c>
      <c r="E1990" s="6" t="s">
        <v>2370</v>
      </c>
      <c r="F1990" s="6" t="s">
        <v>2373</v>
      </c>
      <c r="G1990">
        <v>1</v>
      </c>
      <c r="H1990" s="6" t="s">
        <v>2370</v>
      </c>
      <c r="I1990" t="s">
        <v>8374</v>
      </c>
      <c r="J1990" t="s">
        <v>8377</v>
      </c>
    </row>
    <row r="1991" spans="1:10" x14ac:dyDescent="0.35">
      <c r="A1991" s="6" t="s">
        <v>368</v>
      </c>
      <c r="B1991">
        <v>25.745000000000001</v>
      </c>
      <c r="C1991">
        <v>4.62</v>
      </c>
      <c r="D1991" s="6" t="s">
        <v>2373</v>
      </c>
      <c r="E1991" s="6" t="s">
        <v>2370</v>
      </c>
      <c r="F1991" s="6" t="s">
        <v>2370</v>
      </c>
      <c r="G1991">
        <v>0</v>
      </c>
      <c r="H1991" s="6" t="s">
        <v>2370</v>
      </c>
      <c r="I1991" t="s">
        <v>8378</v>
      </c>
      <c r="J1991" t="s">
        <v>8377</v>
      </c>
    </row>
    <row r="1992" spans="1:10" x14ac:dyDescent="0.35">
      <c r="A1992" s="6" t="s">
        <v>367</v>
      </c>
      <c r="B1992">
        <v>37.1</v>
      </c>
      <c r="C1992">
        <v>6.24</v>
      </c>
      <c r="D1992" s="6" t="s">
        <v>2370</v>
      </c>
      <c r="E1992" s="6" t="s">
        <v>2370</v>
      </c>
      <c r="F1992" s="6" t="s">
        <v>2370</v>
      </c>
      <c r="G1992">
        <v>0</v>
      </c>
      <c r="H1992" s="6" t="s">
        <v>2370</v>
      </c>
      <c r="I1992" t="s">
        <v>8374</v>
      </c>
      <c r="J1992" t="s">
        <v>8376</v>
      </c>
    </row>
    <row r="1993" spans="1:10" x14ac:dyDescent="0.35">
      <c r="A1993" s="6" t="s">
        <v>366</v>
      </c>
      <c r="B1993">
        <v>35.435000000000002</v>
      </c>
      <c r="C1993">
        <v>5.81</v>
      </c>
      <c r="D1993" s="6" t="s">
        <v>2370</v>
      </c>
      <c r="E1993" s="6" t="s">
        <v>2370</v>
      </c>
      <c r="F1993" s="6" t="s">
        <v>2370</v>
      </c>
      <c r="G1993">
        <v>0</v>
      </c>
      <c r="H1993" s="6" t="s">
        <v>2370</v>
      </c>
      <c r="I1993" t="s">
        <v>8374</v>
      </c>
      <c r="J1993" t="s">
        <v>8376</v>
      </c>
    </row>
    <row r="1994" spans="1:10" x14ac:dyDescent="0.35">
      <c r="A1994" s="6" t="s">
        <v>365</v>
      </c>
      <c r="B1994">
        <v>20.399999999999999</v>
      </c>
      <c r="C1994">
        <v>4.83</v>
      </c>
      <c r="D1994" s="6" t="s">
        <v>2370</v>
      </c>
      <c r="E1994" s="6" t="s">
        <v>2370</v>
      </c>
      <c r="F1994" s="6" t="s">
        <v>2370</v>
      </c>
      <c r="G1994">
        <v>0</v>
      </c>
      <c r="H1994" s="6" t="s">
        <v>2370</v>
      </c>
      <c r="I1994" t="s">
        <v>8379</v>
      </c>
      <c r="J1994" t="s">
        <v>8377</v>
      </c>
    </row>
    <row r="1995" spans="1:10" x14ac:dyDescent="0.35">
      <c r="A1995" s="6" t="s">
        <v>364</v>
      </c>
      <c r="B1995">
        <v>42.13</v>
      </c>
      <c r="C1995">
        <v>5.72</v>
      </c>
      <c r="D1995" s="6" t="s">
        <v>2373</v>
      </c>
      <c r="E1995" s="6" t="s">
        <v>2370</v>
      </c>
      <c r="F1995" s="6" t="s">
        <v>2373</v>
      </c>
      <c r="G1995">
        <v>1</v>
      </c>
      <c r="H1995" s="6" t="s">
        <v>2370</v>
      </c>
      <c r="I1995" t="s">
        <v>8374</v>
      </c>
      <c r="J1995" t="s">
        <v>8376</v>
      </c>
    </row>
    <row r="1996" spans="1:10" x14ac:dyDescent="0.35">
      <c r="A1996" s="6" t="s">
        <v>363</v>
      </c>
      <c r="B1996">
        <v>33.99</v>
      </c>
      <c r="C1996">
        <v>4.83</v>
      </c>
      <c r="D1996" s="6" t="s">
        <v>2373</v>
      </c>
      <c r="E1996" s="6" t="s">
        <v>2370</v>
      </c>
      <c r="F1996" s="6" t="s">
        <v>2373</v>
      </c>
      <c r="G1996">
        <v>1</v>
      </c>
      <c r="H1996" s="6" t="s">
        <v>2370</v>
      </c>
      <c r="I1996" t="s">
        <v>8374</v>
      </c>
      <c r="J1996" t="s">
        <v>8377</v>
      </c>
    </row>
    <row r="1997" spans="1:10" x14ac:dyDescent="0.35">
      <c r="A1997" s="6" t="s">
        <v>362</v>
      </c>
      <c r="B1997">
        <v>28.594999999999999</v>
      </c>
      <c r="C1997">
        <v>4.1399999999999997</v>
      </c>
      <c r="D1997" s="6" t="s">
        <v>2373</v>
      </c>
      <c r="E1997" s="6" t="s">
        <v>2370</v>
      </c>
      <c r="F1997" s="6" t="s">
        <v>2373</v>
      </c>
      <c r="G1997">
        <v>1</v>
      </c>
      <c r="H1997" s="6" t="s">
        <v>2370</v>
      </c>
      <c r="I1997" t="s">
        <v>8378</v>
      </c>
      <c r="J1997" t="s">
        <v>8377</v>
      </c>
    </row>
    <row r="1998" spans="1:10" x14ac:dyDescent="0.35">
      <c r="A1998" s="6" t="s">
        <v>361</v>
      </c>
      <c r="B1998">
        <v>20.8</v>
      </c>
      <c r="C1998">
        <v>4.07</v>
      </c>
      <c r="D1998" s="6" t="s">
        <v>2373</v>
      </c>
      <c r="E1998" s="6" t="s">
        <v>2370</v>
      </c>
      <c r="F1998" s="6" t="s">
        <v>2373</v>
      </c>
      <c r="G1998">
        <v>1</v>
      </c>
      <c r="H1998" s="6" t="s">
        <v>2370</v>
      </c>
      <c r="I1998" t="s">
        <v>8379</v>
      </c>
      <c r="J1998" t="s">
        <v>8377</v>
      </c>
    </row>
    <row r="1999" spans="1:10" x14ac:dyDescent="0.35">
      <c r="A1999" s="6" t="s">
        <v>360</v>
      </c>
      <c r="B1999">
        <v>23.465</v>
      </c>
      <c r="C1999">
        <v>6.26</v>
      </c>
      <c r="D1999" s="6" t="s">
        <v>2373</v>
      </c>
      <c r="E1999" s="6" t="s">
        <v>2370</v>
      </c>
      <c r="F1999" s="6" t="s">
        <v>2373</v>
      </c>
      <c r="G1999">
        <v>1</v>
      </c>
      <c r="H1999" s="6" t="s">
        <v>2370</v>
      </c>
      <c r="I1999" t="s">
        <v>8379</v>
      </c>
      <c r="J1999" t="s">
        <v>8376</v>
      </c>
    </row>
    <row r="2000" spans="1:10" x14ac:dyDescent="0.35">
      <c r="A2000" s="6" t="s">
        <v>359</v>
      </c>
      <c r="B2000">
        <v>40.185000000000002</v>
      </c>
      <c r="C2000">
        <v>5.88</v>
      </c>
      <c r="D2000" s="6" t="s">
        <v>2373</v>
      </c>
      <c r="E2000" s="6" t="s">
        <v>2370</v>
      </c>
      <c r="F2000" s="6" t="s">
        <v>2370</v>
      </c>
      <c r="G2000">
        <v>0</v>
      </c>
      <c r="H2000" s="6" t="s">
        <v>2370</v>
      </c>
      <c r="I2000" t="s">
        <v>8374</v>
      </c>
      <c r="J2000" t="s">
        <v>8376</v>
      </c>
    </row>
    <row r="2001" spans="1:10" x14ac:dyDescent="0.35">
      <c r="A2001" s="6" t="s">
        <v>358</v>
      </c>
      <c r="B2001">
        <v>21.89</v>
      </c>
      <c r="C2001">
        <v>5.72</v>
      </c>
      <c r="D2001" s="6" t="s">
        <v>2373</v>
      </c>
      <c r="E2001" s="6" t="s">
        <v>2370</v>
      </c>
      <c r="F2001" s="6" t="s">
        <v>2370</v>
      </c>
      <c r="G2001">
        <v>0</v>
      </c>
      <c r="H2001" s="6" t="s">
        <v>2370</v>
      </c>
      <c r="I2001" t="s">
        <v>8379</v>
      </c>
      <c r="J2001" t="s">
        <v>8376</v>
      </c>
    </row>
    <row r="2002" spans="1:10" x14ac:dyDescent="0.35">
      <c r="A2002" s="6" t="s">
        <v>357</v>
      </c>
      <c r="B2002">
        <v>29.34</v>
      </c>
      <c r="C2002">
        <v>6.09</v>
      </c>
      <c r="D2002" s="6" t="s">
        <v>2373</v>
      </c>
      <c r="E2002" s="6" t="s">
        <v>2372</v>
      </c>
      <c r="F2002" s="6" t="s">
        <v>2370</v>
      </c>
      <c r="G2002">
        <v>2</v>
      </c>
      <c r="H2002" s="6" t="s">
        <v>2370</v>
      </c>
      <c r="I2002" t="s">
        <v>8378</v>
      </c>
      <c r="J2002" t="s">
        <v>8376</v>
      </c>
    </row>
    <row r="2003" spans="1:10" x14ac:dyDescent="0.35">
      <c r="A2003" s="6" t="s">
        <v>356</v>
      </c>
      <c r="B2003">
        <v>22.61</v>
      </c>
      <c r="C2003">
        <v>4.25</v>
      </c>
      <c r="D2003" s="6" t="s">
        <v>2373</v>
      </c>
      <c r="E2003" s="6" t="s">
        <v>2370</v>
      </c>
      <c r="F2003" s="6" t="s">
        <v>2370</v>
      </c>
      <c r="G2003">
        <v>0</v>
      </c>
      <c r="H2003" s="6" t="s">
        <v>2370</v>
      </c>
      <c r="I2003" t="s">
        <v>8379</v>
      </c>
      <c r="J2003" t="s">
        <v>8377</v>
      </c>
    </row>
    <row r="2004" spans="1:10" x14ac:dyDescent="0.35">
      <c r="A2004" s="6" t="s">
        <v>355</v>
      </c>
      <c r="B2004">
        <v>22.23</v>
      </c>
      <c r="C2004">
        <v>6.09</v>
      </c>
      <c r="D2004" s="6" t="s">
        <v>2373</v>
      </c>
      <c r="E2004" s="6" t="s">
        <v>2370</v>
      </c>
      <c r="F2004" s="6" t="s">
        <v>2370</v>
      </c>
      <c r="G2004">
        <v>0</v>
      </c>
      <c r="H2004" s="6" t="s">
        <v>2370</v>
      </c>
      <c r="I2004" t="s">
        <v>8379</v>
      </c>
      <c r="J2004" t="s">
        <v>8376</v>
      </c>
    </row>
    <row r="2005" spans="1:10" x14ac:dyDescent="0.35">
      <c r="A2005" s="6" t="s">
        <v>354</v>
      </c>
      <c r="B2005">
        <v>33.4</v>
      </c>
      <c r="C2005">
        <v>5.51</v>
      </c>
      <c r="D2005" s="6" t="s">
        <v>2370</v>
      </c>
      <c r="E2005" s="6" t="s">
        <v>2370</v>
      </c>
      <c r="F2005" s="6" t="s">
        <v>2370</v>
      </c>
      <c r="G2005">
        <v>0</v>
      </c>
      <c r="H2005" s="6" t="s">
        <v>2370</v>
      </c>
      <c r="I2005" t="s">
        <v>8374</v>
      </c>
      <c r="J2005" t="s">
        <v>8377</v>
      </c>
    </row>
    <row r="2006" spans="1:10" x14ac:dyDescent="0.35">
      <c r="A2006" s="6" t="s">
        <v>353</v>
      </c>
      <c r="B2006">
        <v>33.11</v>
      </c>
      <c r="C2006">
        <v>5.63</v>
      </c>
      <c r="D2006" s="6" t="s">
        <v>2370</v>
      </c>
      <c r="E2006" s="6" t="s">
        <v>2370</v>
      </c>
      <c r="F2006" s="6" t="s">
        <v>2370</v>
      </c>
      <c r="G2006">
        <v>0</v>
      </c>
      <c r="H2006" s="6" t="s">
        <v>2370</v>
      </c>
      <c r="I2006" t="s">
        <v>8374</v>
      </c>
      <c r="J2006" t="s">
        <v>8377</v>
      </c>
    </row>
    <row r="2007" spans="1:10" x14ac:dyDescent="0.35">
      <c r="A2007" s="6" t="s">
        <v>352</v>
      </c>
      <c r="B2007">
        <v>16.815000000000001</v>
      </c>
      <c r="C2007">
        <v>5.29</v>
      </c>
      <c r="D2007" s="6" t="s">
        <v>2373</v>
      </c>
      <c r="E2007" s="6" t="s">
        <v>2370</v>
      </c>
      <c r="F2007" s="6" t="s">
        <v>2370</v>
      </c>
      <c r="G2007">
        <v>0</v>
      </c>
      <c r="H2007" s="6" t="s">
        <v>2370</v>
      </c>
      <c r="I2007" t="s">
        <v>8380</v>
      </c>
      <c r="J2007" t="s">
        <v>8377</v>
      </c>
    </row>
    <row r="2008" spans="1:10" x14ac:dyDescent="0.35">
      <c r="A2008" s="6" t="s">
        <v>351</v>
      </c>
      <c r="B2008">
        <v>25.61</v>
      </c>
      <c r="C2008">
        <v>4</v>
      </c>
      <c r="D2008" s="6" t="s">
        <v>2370</v>
      </c>
      <c r="E2008" s="6" t="s">
        <v>2370</v>
      </c>
      <c r="F2008" s="6" t="s">
        <v>2373</v>
      </c>
      <c r="G2008">
        <v>1</v>
      </c>
      <c r="H2008" s="6" t="s">
        <v>2370</v>
      </c>
      <c r="I2008" t="s">
        <v>8378</v>
      </c>
      <c r="J2008" t="s">
        <v>8377</v>
      </c>
    </row>
    <row r="2009" spans="1:10" x14ac:dyDescent="0.35">
      <c r="A2009" s="6" t="s">
        <v>350</v>
      </c>
      <c r="B2009">
        <v>25.8</v>
      </c>
      <c r="C2009">
        <v>5.49</v>
      </c>
      <c r="D2009" s="6" t="s">
        <v>2370</v>
      </c>
      <c r="E2009" s="6" t="s">
        <v>2370</v>
      </c>
      <c r="F2009" s="6" t="s">
        <v>2370</v>
      </c>
      <c r="G2009">
        <v>0</v>
      </c>
      <c r="H2009" s="6" t="s">
        <v>2370</v>
      </c>
      <c r="I2009" t="s">
        <v>8378</v>
      </c>
      <c r="J2009" t="s">
        <v>8377</v>
      </c>
    </row>
    <row r="2010" spans="1:10" x14ac:dyDescent="0.35">
      <c r="A2010" s="6" t="s">
        <v>349</v>
      </c>
      <c r="B2010">
        <v>27.39</v>
      </c>
      <c r="C2010">
        <v>5.34</v>
      </c>
      <c r="D2010" s="6" t="s">
        <v>2370</v>
      </c>
      <c r="E2010" s="6" t="s">
        <v>2370</v>
      </c>
      <c r="F2010" s="6" t="s">
        <v>2370</v>
      </c>
      <c r="G2010">
        <v>0</v>
      </c>
      <c r="H2010" s="6" t="s">
        <v>2370</v>
      </c>
      <c r="I2010" t="s">
        <v>8378</v>
      </c>
      <c r="J2010" t="s">
        <v>8377</v>
      </c>
    </row>
    <row r="2011" spans="1:10" x14ac:dyDescent="0.35">
      <c r="A2011" s="6" t="s">
        <v>348</v>
      </c>
      <c r="B2011">
        <v>17.03</v>
      </c>
      <c r="C2011">
        <v>4.12</v>
      </c>
      <c r="D2011" s="6" t="s">
        <v>2370</v>
      </c>
      <c r="E2011" s="6" t="s">
        <v>2370</v>
      </c>
      <c r="F2011" s="6" t="s">
        <v>2370</v>
      </c>
      <c r="G2011">
        <v>1</v>
      </c>
      <c r="H2011" s="6" t="s">
        <v>2370</v>
      </c>
      <c r="I2011" t="s">
        <v>8380</v>
      </c>
      <c r="J2011" t="s">
        <v>8377</v>
      </c>
    </row>
    <row r="2012" spans="1:10" x14ac:dyDescent="0.35">
      <c r="A2012" s="6" t="s">
        <v>347</v>
      </c>
      <c r="B2012">
        <v>23.75</v>
      </c>
      <c r="C2012">
        <v>5.49</v>
      </c>
      <c r="D2012" s="6" t="s">
        <v>2373</v>
      </c>
      <c r="E2012" s="6" t="s">
        <v>2370</v>
      </c>
      <c r="F2012" s="6" t="s">
        <v>2370</v>
      </c>
      <c r="G2012">
        <v>0</v>
      </c>
      <c r="H2012" s="6" t="s">
        <v>2370</v>
      </c>
      <c r="I2012" t="s">
        <v>8379</v>
      </c>
      <c r="J2012" t="s">
        <v>8377</v>
      </c>
    </row>
    <row r="2013" spans="1:10" x14ac:dyDescent="0.35">
      <c r="A2013" s="6" t="s">
        <v>345</v>
      </c>
      <c r="B2013">
        <v>26.03</v>
      </c>
      <c r="C2013">
        <v>5.1100000000000003</v>
      </c>
      <c r="D2013" s="6" t="s">
        <v>2373</v>
      </c>
      <c r="E2013" s="6" t="s">
        <v>2370</v>
      </c>
      <c r="F2013" s="6" t="s">
        <v>2370</v>
      </c>
      <c r="G2013">
        <v>1</v>
      </c>
      <c r="H2013" s="6" t="s">
        <v>2370</v>
      </c>
      <c r="I2013" t="s">
        <v>8378</v>
      </c>
      <c r="J2013" t="s">
        <v>8377</v>
      </c>
    </row>
    <row r="2014" spans="1:10" x14ac:dyDescent="0.35">
      <c r="A2014" s="6" t="s">
        <v>344</v>
      </c>
      <c r="B2014">
        <v>16.079999999999998</v>
      </c>
      <c r="C2014">
        <v>5.94</v>
      </c>
      <c r="D2014" s="6" t="s">
        <v>2370</v>
      </c>
      <c r="E2014" s="6" t="s">
        <v>2370</v>
      </c>
      <c r="F2014" s="6" t="s">
        <v>2370</v>
      </c>
      <c r="G2014">
        <v>0</v>
      </c>
      <c r="H2014" s="6" t="s">
        <v>2370</v>
      </c>
      <c r="I2014" t="s">
        <v>8380</v>
      </c>
      <c r="J2014" t="s">
        <v>8376</v>
      </c>
    </row>
    <row r="2015" spans="1:10" x14ac:dyDescent="0.35">
      <c r="A2015" s="6" t="s">
        <v>343</v>
      </c>
      <c r="B2015">
        <v>30.875</v>
      </c>
      <c r="C2015">
        <v>5.54</v>
      </c>
      <c r="D2015" s="6" t="s">
        <v>2370</v>
      </c>
      <c r="E2015" s="6" t="s">
        <v>2370</v>
      </c>
      <c r="F2015" s="6" t="s">
        <v>2370</v>
      </c>
      <c r="G2015">
        <v>0</v>
      </c>
      <c r="H2015" s="6" t="s">
        <v>2370</v>
      </c>
      <c r="I2015" t="s">
        <v>8374</v>
      </c>
      <c r="J2015" t="s">
        <v>8377</v>
      </c>
    </row>
    <row r="2016" spans="1:10" x14ac:dyDescent="0.35">
      <c r="A2016" s="6" t="s">
        <v>342</v>
      </c>
      <c r="B2016">
        <v>31.79</v>
      </c>
      <c r="C2016">
        <v>7.09</v>
      </c>
      <c r="D2016" s="6" t="s">
        <v>2370</v>
      </c>
      <c r="E2016" s="6" t="s">
        <v>2370</v>
      </c>
      <c r="F2016" s="6" t="s">
        <v>2370</v>
      </c>
      <c r="G2016">
        <v>0</v>
      </c>
      <c r="H2016" s="6" t="s">
        <v>2370</v>
      </c>
      <c r="I2016" t="s">
        <v>8374</v>
      </c>
      <c r="J2016" t="s">
        <v>8375</v>
      </c>
    </row>
    <row r="2017" spans="1:10" x14ac:dyDescent="0.35">
      <c r="A2017" s="6" t="s">
        <v>341</v>
      </c>
      <c r="B2017">
        <v>28.48</v>
      </c>
      <c r="C2017">
        <v>6.22</v>
      </c>
      <c r="D2017" s="6" t="s">
        <v>2373</v>
      </c>
      <c r="E2017" s="6" t="s">
        <v>2370</v>
      </c>
      <c r="F2017" s="6" t="s">
        <v>2373</v>
      </c>
      <c r="G2017">
        <v>1</v>
      </c>
      <c r="H2017" s="6" t="s">
        <v>2370</v>
      </c>
      <c r="I2017" t="s">
        <v>8378</v>
      </c>
      <c r="J2017" t="s">
        <v>8376</v>
      </c>
    </row>
    <row r="2018" spans="1:10" x14ac:dyDescent="0.35">
      <c r="A2018" s="6" t="s">
        <v>340</v>
      </c>
      <c r="B2018">
        <v>26.6</v>
      </c>
      <c r="C2018">
        <v>4.33</v>
      </c>
      <c r="D2018" s="6" t="s">
        <v>2370</v>
      </c>
      <c r="E2018" s="6" t="s">
        <v>2370</v>
      </c>
      <c r="F2018" s="6" t="s">
        <v>2370</v>
      </c>
      <c r="G2018">
        <v>1</v>
      </c>
      <c r="H2018" s="6" t="s">
        <v>2370</v>
      </c>
      <c r="I2018" t="s">
        <v>8378</v>
      </c>
      <c r="J2018" t="s">
        <v>8377</v>
      </c>
    </row>
    <row r="2019" spans="1:10" x14ac:dyDescent="0.35">
      <c r="A2019" s="6" t="s">
        <v>339</v>
      </c>
      <c r="B2019">
        <v>25.27</v>
      </c>
      <c r="C2019">
        <v>5.83</v>
      </c>
      <c r="D2019" s="6" t="s">
        <v>2370</v>
      </c>
      <c r="E2019" s="6" t="s">
        <v>2370</v>
      </c>
      <c r="F2019" s="6" t="s">
        <v>2370</v>
      </c>
      <c r="G2019">
        <v>1</v>
      </c>
      <c r="H2019" s="6" t="s">
        <v>2370</v>
      </c>
      <c r="I2019" t="s">
        <v>8378</v>
      </c>
      <c r="J2019" t="s">
        <v>8376</v>
      </c>
    </row>
    <row r="2020" spans="1:10" x14ac:dyDescent="0.35">
      <c r="A2020" s="6" t="s">
        <v>338</v>
      </c>
      <c r="B2020">
        <v>34.484999999999999</v>
      </c>
      <c r="C2020">
        <v>4.7</v>
      </c>
      <c r="D2020" s="6" t="s">
        <v>2373</v>
      </c>
      <c r="E2020" s="6" t="s">
        <v>2370</v>
      </c>
      <c r="F2020" s="6" t="s">
        <v>2373</v>
      </c>
      <c r="G2020">
        <v>1</v>
      </c>
      <c r="H2020" s="6" t="s">
        <v>2370</v>
      </c>
      <c r="I2020" t="s">
        <v>8374</v>
      </c>
      <c r="J2020" t="s">
        <v>8377</v>
      </c>
    </row>
    <row r="2021" spans="1:10" x14ac:dyDescent="0.35">
      <c r="A2021" s="6" t="s">
        <v>337</v>
      </c>
      <c r="B2021">
        <v>15.57</v>
      </c>
      <c r="C2021">
        <v>4.07</v>
      </c>
      <c r="D2021" s="6" t="s">
        <v>2373</v>
      </c>
      <c r="E2021" s="6" t="s">
        <v>2370</v>
      </c>
      <c r="F2021" s="6" t="s">
        <v>2370</v>
      </c>
      <c r="G2021">
        <v>1</v>
      </c>
      <c r="H2021" s="6" t="s">
        <v>2370</v>
      </c>
      <c r="I2021" t="s">
        <v>8380</v>
      </c>
      <c r="J2021" t="s">
        <v>8377</v>
      </c>
    </row>
    <row r="2022" spans="1:10" x14ac:dyDescent="0.35">
      <c r="A2022" s="6" t="s">
        <v>336</v>
      </c>
      <c r="B2022">
        <v>30.36</v>
      </c>
      <c r="C2022">
        <v>9.39</v>
      </c>
      <c r="D2022" s="6" t="s">
        <v>2370</v>
      </c>
      <c r="E2022" s="6" t="s">
        <v>2370</v>
      </c>
      <c r="F2022" s="6" t="s">
        <v>2370</v>
      </c>
      <c r="G2022">
        <v>0</v>
      </c>
      <c r="H2022" s="6" t="s">
        <v>2370</v>
      </c>
      <c r="I2022" t="s">
        <v>8374</v>
      </c>
      <c r="J2022" t="s">
        <v>8375</v>
      </c>
    </row>
    <row r="2023" spans="1:10" x14ac:dyDescent="0.35">
      <c r="A2023" s="6" t="s">
        <v>335</v>
      </c>
      <c r="B2023">
        <v>19.37</v>
      </c>
      <c r="C2023">
        <v>4.18</v>
      </c>
      <c r="D2023" s="6" t="s">
        <v>2370</v>
      </c>
      <c r="E2023" s="6" t="s">
        <v>2370</v>
      </c>
      <c r="F2023" s="6" t="s">
        <v>2370</v>
      </c>
      <c r="G2023">
        <v>0</v>
      </c>
      <c r="H2023" s="6" t="s">
        <v>2370</v>
      </c>
      <c r="I2023" t="s">
        <v>8379</v>
      </c>
      <c r="J2023" t="s">
        <v>8377</v>
      </c>
    </row>
    <row r="2024" spans="1:10" x14ac:dyDescent="0.35">
      <c r="A2024" s="6" t="s">
        <v>334</v>
      </c>
      <c r="B2024">
        <v>16.71</v>
      </c>
      <c r="C2024">
        <v>4.18</v>
      </c>
      <c r="D2024" s="6" t="s">
        <v>2370</v>
      </c>
      <c r="E2024" s="6" t="s">
        <v>2370</v>
      </c>
      <c r="F2024" s="6" t="s">
        <v>2370</v>
      </c>
      <c r="G2024">
        <v>1</v>
      </c>
      <c r="H2024" s="6" t="s">
        <v>2370</v>
      </c>
      <c r="I2024" t="s">
        <v>8380</v>
      </c>
      <c r="J2024" t="s">
        <v>8377</v>
      </c>
    </row>
    <row r="2025" spans="1:10" x14ac:dyDescent="0.35">
      <c r="A2025" s="6" t="s">
        <v>333</v>
      </c>
      <c r="B2025">
        <v>24.1</v>
      </c>
      <c r="C2025">
        <v>4.4000000000000004</v>
      </c>
      <c r="D2025" s="6" t="s">
        <v>2373</v>
      </c>
      <c r="E2025" s="6" t="s">
        <v>2370</v>
      </c>
      <c r="F2025" s="6" t="s">
        <v>2370</v>
      </c>
      <c r="G2025">
        <v>1</v>
      </c>
      <c r="H2025" s="6" t="s">
        <v>2370</v>
      </c>
      <c r="I2025" t="s">
        <v>8379</v>
      </c>
      <c r="J2025" t="s">
        <v>8377</v>
      </c>
    </row>
    <row r="2026" spans="1:10" x14ac:dyDescent="0.35">
      <c r="A2026" s="6" t="s">
        <v>332</v>
      </c>
      <c r="B2026">
        <v>29.77</v>
      </c>
      <c r="C2026">
        <v>9.9</v>
      </c>
      <c r="D2026" s="6" t="s">
        <v>2370</v>
      </c>
      <c r="E2026" s="6" t="s">
        <v>2370</v>
      </c>
      <c r="F2026" s="6" t="s">
        <v>2370</v>
      </c>
      <c r="G2026">
        <v>0</v>
      </c>
      <c r="H2026" s="6" t="s">
        <v>2370</v>
      </c>
      <c r="I2026" t="s">
        <v>8378</v>
      </c>
      <c r="J2026" t="s">
        <v>8375</v>
      </c>
    </row>
    <row r="2027" spans="1:10" x14ac:dyDescent="0.35">
      <c r="A2027" s="6" t="s">
        <v>331</v>
      </c>
      <c r="B2027">
        <v>46.53</v>
      </c>
      <c r="C2027">
        <v>4.84</v>
      </c>
      <c r="D2027" s="6" t="s">
        <v>2373</v>
      </c>
      <c r="E2027" s="6" t="s">
        <v>2370</v>
      </c>
      <c r="F2027" s="6" t="s">
        <v>2370</v>
      </c>
      <c r="G2027">
        <v>0</v>
      </c>
      <c r="H2027" s="6" t="s">
        <v>2370</v>
      </c>
      <c r="I2027" t="s">
        <v>8374</v>
      </c>
      <c r="J2027" t="s">
        <v>8377</v>
      </c>
    </row>
    <row r="2028" spans="1:10" x14ac:dyDescent="0.35">
      <c r="A2028" s="6" t="s">
        <v>330</v>
      </c>
      <c r="B2028">
        <v>23.4</v>
      </c>
      <c r="C2028">
        <v>5.53</v>
      </c>
      <c r="D2028" s="6" t="s">
        <v>2370</v>
      </c>
      <c r="E2028" s="6" t="s">
        <v>2370</v>
      </c>
      <c r="F2028" s="6" t="s">
        <v>2373</v>
      </c>
      <c r="G2028">
        <v>1</v>
      </c>
      <c r="H2028" s="6" t="s">
        <v>2370</v>
      </c>
      <c r="I2028" t="s">
        <v>8379</v>
      </c>
      <c r="J2028" t="s">
        <v>8377</v>
      </c>
    </row>
    <row r="2029" spans="1:10" x14ac:dyDescent="0.35">
      <c r="A2029" s="6" t="s">
        <v>329</v>
      </c>
      <c r="B2029">
        <v>30</v>
      </c>
      <c r="C2029">
        <v>4.33</v>
      </c>
      <c r="D2029" s="6" t="s">
        <v>2373</v>
      </c>
      <c r="E2029" s="6" t="s">
        <v>2370</v>
      </c>
      <c r="F2029" s="6" t="s">
        <v>2370</v>
      </c>
      <c r="G2029">
        <v>0</v>
      </c>
      <c r="H2029" s="6" t="s">
        <v>2370</v>
      </c>
      <c r="I2029" t="s">
        <v>8374</v>
      </c>
      <c r="J2029" t="s">
        <v>8377</v>
      </c>
    </row>
    <row r="2030" spans="1:10" x14ac:dyDescent="0.35">
      <c r="A2030" s="6" t="s">
        <v>328</v>
      </c>
      <c r="B2030">
        <v>29.15</v>
      </c>
      <c r="C2030">
        <v>4.91</v>
      </c>
      <c r="D2030" s="6" t="s">
        <v>2373</v>
      </c>
      <c r="E2030" s="6" t="s">
        <v>2370</v>
      </c>
      <c r="F2030" s="6" t="s">
        <v>2370</v>
      </c>
      <c r="G2030">
        <v>0</v>
      </c>
      <c r="H2030" s="6" t="s">
        <v>2370</v>
      </c>
      <c r="I2030" t="s">
        <v>8378</v>
      </c>
      <c r="J2030" t="s">
        <v>8377</v>
      </c>
    </row>
    <row r="2031" spans="1:10" x14ac:dyDescent="0.35">
      <c r="A2031" s="6" t="s">
        <v>327</v>
      </c>
      <c r="B2031">
        <v>34.865000000000002</v>
      </c>
      <c r="C2031">
        <v>4.8</v>
      </c>
      <c r="D2031" s="6" t="s">
        <v>2370</v>
      </c>
      <c r="E2031" s="6" t="s">
        <v>2370</v>
      </c>
      <c r="F2031" s="6" t="s">
        <v>2370</v>
      </c>
      <c r="G2031">
        <v>0</v>
      </c>
      <c r="H2031" s="6" t="s">
        <v>2370</v>
      </c>
      <c r="I2031" t="s">
        <v>8374</v>
      </c>
      <c r="J2031" t="s">
        <v>8377</v>
      </c>
    </row>
    <row r="2032" spans="1:10" x14ac:dyDescent="0.35">
      <c r="A2032" s="6" t="s">
        <v>326</v>
      </c>
      <c r="B2032">
        <v>28.12</v>
      </c>
      <c r="C2032">
        <v>5.55</v>
      </c>
      <c r="D2032" s="6" t="s">
        <v>2373</v>
      </c>
      <c r="E2032" s="6" t="s">
        <v>2372</v>
      </c>
      <c r="F2032" s="6" t="s">
        <v>2370</v>
      </c>
      <c r="G2032">
        <v>2</v>
      </c>
      <c r="H2032" s="6" t="s">
        <v>2370</v>
      </c>
      <c r="I2032" t="s">
        <v>8378</v>
      </c>
      <c r="J2032" t="s">
        <v>8377</v>
      </c>
    </row>
    <row r="2033" spans="1:10" x14ac:dyDescent="0.35">
      <c r="A2033" s="6" t="s">
        <v>325</v>
      </c>
      <c r="B2033">
        <v>29.45</v>
      </c>
      <c r="C2033">
        <v>5.24</v>
      </c>
      <c r="D2033" s="6" t="s">
        <v>2373</v>
      </c>
      <c r="E2033" s="6" t="s">
        <v>2370</v>
      </c>
      <c r="F2033" s="6" t="s">
        <v>2370</v>
      </c>
      <c r="G2033">
        <v>0</v>
      </c>
      <c r="H2033" s="6" t="s">
        <v>2370</v>
      </c>
      <c r="I2033" t="s">
        <v>8378</v>
      </c>
      <c r="J2033" t="s">
        <v>8377</v>
      </c>
    </row>
    <row r="2034" spans="1:10" x14ac:dyDescent="0.35">
      <c r="A2034" s="6" t="s">
        <v>324</v>
      </c>
      <c r="B2034">
        <v>27.94</v>
      </c>
      <c r="C2034">
        <v>6.08</v>
      </c>
      <c r="D2034" s="6" t="s">
        <v>2370</v>
      </c>
      <c r="E2034" s="6" t="s">
        <v>2370</v>
      </c>
      <c r="F2034" s="6" t="s">
        <v>2373</v>
      </c>
      <c r="G2034">
        <v>1</v>
      </c>
      <c r="H2034" s="6" t="s">
        <v>2370</v>
      </c>
      <c r="I2034" t="s">
        <v>8378</v>
      </c>
      <c r="J2034" t="s">
        <v>8376</v>
      </c>
    </row>
    <row r="2035" spans="1:10" x14ac:dyDescent="0.35">
      <c r="A2035" s="6" t="s">
        <v>323</v>
      </c>
      <c r="B2035">
        <v>27.2</v>
      </c>
      <c r="C2035">
        <v>5.83</v>
      </c>
      <c r="D2035" s="6" t="s">
        <v>2370</v>
      </c>
      <c r="E2035" s="6" t="s">
        <v>2370</v>
      </c>
      <c r="F2035" s="6" t="s">
        <v>2373</v>
      </c>
      <c r="G2035">
        <v>1</v>
      </c>
      <c r="H2035" s="6" t="s">
        <v>2370</v>
      </c>
      <c r="I2035" t="s">
        <v>8378</v>
      </c>
      <c r="J2035" t="s">
        <v>8376</v>
      </c>
    </row>
    <row r="2036" spans="1:10" x14ac:dyDescent="0.35">
      <c r="A2036" s="6" t="s">
        <v>322</v>
      </c>
      <c r="B2036">
        <v>33.344999999999999</v>
      </c>
      <c r="C2036">
        <v>4.29</v>
      </c>
      <c r="D2036" s="6" t="s">
        <v>2370</v>
      </c>
      <c r="E2036" s="6" t="s">
        <v>2370</v>
      </c>
      <c r="F2036" s="6" t="s">
        <v>2370</v>
      </c>
      <c r="G2036">
        <v>1</v>
      </c>
      <c r="H2036" s="6" t="s">
        <v>2370</v>
      </c>
      <c r="I2036" t="s">
        <v>8374</v>
      </c>
      <c r="J2036" t="s">
        <v>8377</v>
      </c>
    </row>
    <row r="2037" spans="1:10" x14ac:dyDescent="0.35">
      <c r="A2037" s="6" t="s">
        <v>321</v>
      </c>
      <c r="B2037">
        <v>29.925000000000001</v>
      </c>
      <c r="C2037">
        <v>5.3</v>
      </c>
      <c r="D2037" s="6" t="s">
        <v>2370</v>
      </c>
      <c r="E2037" s="6" t="s">
        <v>2370</v>
      </c>
      <c r="F2037" s="6" t="s">
        <v>2370</v>
      </c>
      <c r="G2037">
        <v>1</v>
      </c>
      <c r="H2037" s="6" t="s">
        <v>2370</v>
      </c>
      <c r="I2037" t="s">
        <v>8378</v>
      </c>
      <c r="J2037" t="s">
        <v>8377</v>
      </c>
    </row>
    <row r="2038" spans="1:10" x14ac:dyDescent="0.35">
      <c r="A2038" s="6" t="s">
        <v>320</v>
      </c>
      <c r="B2038">
        <v>24.225000000000001</v>
      </c>
      <c r="C2038">
        <v>4.42</v>
      </c>
      <c r="D2038" s="6" t="s">
        <v>2370</v>
      </c>
      <c r="E2038" s="6" t="s">
        <v>2370</v>
      </c>
      <c r="F2038" s="6" t="s">
        <v>2370</v>
      </c>
      <c r="G2038">
        <v>1</v>
      </c>
      <c r="H2038" s="6" t="s">
        <v>2370</v>
      </c>
      <c r="I2038" t="s">
        <v>8379</v>
      </c>
      <c r="J2038" t="s">
        <v>8377</v>
      </c>
    </row>
    <row r="2039" spans="1:10" x14ac:dyDescent="0.35">
      <c r="A2039" s="6" t="s">
        <v>319</v>
      </c>
      <c r="B2039">
        <v>29.68</v>
      </c>
      <c r="C2039">
        <v>5.68</v>
      </c>
      <c r="D2039" s="6" t="s">
        <v>2370</v>
      </c>
      <c r="E2039" s="6" t="s">
        <v>2372</v>
      </c>
      <c r="F2039" s="6" t="s">
        <v>2370</v>
      </c>
      <c r="G2039">
        <v>1</v>
      </c>
      <c r="H2039" s="6" t="s">
        <v>2370</v>
      </c>
      <c r="I2039" t="s">
        <v>8378</v>
      </c>
      <c r="J2039" t="s">
        <v>8377</v>
      </c>
    </row>
    <row r="2040" spans="1:10" x14ac:dyDescent="0.35">
      <c r="A2040" s="6" t="s">
        <v>318</v>
      </c>
      <c r="B2040">
        <v>20.614999999999998</v>
      </c>
      <c r="C2040">
        <v>6.05</v>
      </c>
      <c r="D2040" s="6" t="s">
        <v>2370</v>
      </c>
      <c r="E2040" s="6" t="s">
        <v>2370</v>
      </c>
      <c r="F2040" s="6" t="s">
        <v>2373</v>
      </c>
      <c r="G2040">
        <v>1</v>
      </c>
      <c r="H2040" s="6" t="s">
        <v>2370</v>
      </c>
      <c r="I2040" t="s">
        <v>8379</v>
      </c>
      <c r="J2040" t="s">
        <v>8376</v>
      </c>
    </row>
    <row r="2041" spans="1:10" x14ac:dyDescent="0.35">
      <c r="A2041" s="6" t="s">
        <v>317</v>
      </c>
      <c r="B2041">
        <v>32.119999999999997</v>
      </c>
      <c r="C2041">
        <v>5.33</v>
      </c>
      <c r="D2041" s="6" t="s">
        <v>2370</v>
      </c>
      <c r="E2041" s="6" t="s">
        <v>2372</v>
      </c>
      <c r="F2041" s="6" t="s">
        <v>2370</v>
      </c>
      <c r="G2041">
        <v>1</v>
      </c>
      <c r="H2041" s="6" t="s">
        <v>2370</v>
      </c>
      <c r="I2041" t="s">
        <v>8374</v>
      </c>
      <c r="J2041" t="s">
        <v>8377</v>
      </c>
    </row>
    <row r="2042" spans="1:10" x14ac:dyDescent="0.35">
      <c r="A2042" s="6" t="s">
        <v>316</v>
      </c>
      <c r="B2042">
        <v>27.36</v>
      </c>
      <c r="C2042">
        <v>6.22</v>
      </c>
      <c r="D2042" s="6" t="s">
        <v>2370</v>
      </c>
      <c r="E2042" s="6" t="s">
        <v>2370</v>
      </c>
      <c r="F2042" s="6" t="s">
        <v>2370</v>
      </c>
      <c r="G2042">
        <v>0</v>
      </c>
      <c r="H2042" s="6" t="s">
        <v>2370</v>
      </c>
      <c r="I2042" t="s">
        <v>8378</v>
      </c>
      <c r="J2042" t="s">
        <v>8376</v>
      </c>
    </row>
    <row r="2043" spans="1:10" x14ac:dyDescent="0.35">
      <c r="A2043" s="6" t="s">
        <v>315</v>
      </c>
      <c r="B2043">
        <v>17.385000000000002</v>
      </c>
      <c r="C2043">
        <v>5.84</v>
      </c>
      <c r="D2043" s="6" t="s">
        <v>2370</v>
      </c>
      <c r="E2043" s="6" t="s">
        <v>2370</v>
      </c>
      <c r="F2043" s="6" t="s">
        <v>2370</v>
      </c>
      <c r="G2043">
        <v>0</v>
      </c>
      <c r="H2043" s="6" t="s">
        <v>2370</v>
      </c>
      <c r="I2043" t="s">
        <v>8380</v>
      </c>
      <c r="J2043" t="s">
        <v>8376</v>
      </c>
    </row>
    <row r="2044" spans="1:10" x14ac:dyDescent="0.35">
      <c r="A2044" s="6" t="s">
        <v>314</v>
      </c>
      <c r="B2044">
        <v>30.13</v>
      </c>
      <c r="C2044">
        <v>5.71</v>
      </c>
      <c r="D2044" s="6" t="s">
        <v>2370</v>
      </c>
      <c r="E2044" s="6" t="s">
        <v>2372</v>
      </c>
      <c r="F2044" s="6" t="s">
        <v>2370</v>
      </c>
      <c r="G2044">
        <v>1</v>
      </c>
      <c r="H2044" s="6" t="s">
        <v>2370</v>
      </c>
      <c r="I2044" t="s">
        <v>8374</v>
      </c>
      <c r="J2044" t="s">
        <v>8376</v>
      </c>
    </row>
    <row r="2045" spans="1:10" x14ac:dyDescent="0.35">
      <c r="A2045" s="6" t="s">
        <v>313</v>
      </c>
      <c r="B2045">
        <v>25.44</v>
      </c>
      <c r="C2045">
        <v>6.04</v>
      </c>
      <c r="D2045" s="6" t="s">
        <v>2373</v>
      </c>
      <c r="E2045" s="6" t="s">
        <v>2370</v>
      </c>
      <c r="F2045" s="6" t="s">
        <v>2373</v>
      </c>
      <c r="G2045">
        <v>1</v>
      </c>
      <c r="H2045" s="6" t="s">
        <v>2370</v>
      </c>
      <c r="I2045" t="s">
        <v>8378</v>
      </c>
      <c r="J2045" t="s">
        <v>8376</v>
      </c>
    </row>
    <row r="2046" spans="1:10" x14ac:dyDescent="0.35">
      <c r="A2046" s="6" t="s">
        <v>312</v>
      </c>
      <c r="B2046">
        <v>39.805</v>
      </c>
      <c r="C2046">
        <v>4.38</v>
      </c>
      <c r="D2046" s="6" t="s">
        <v>2370</v>
      </c>
      <c r="E2046" s="6" t="s">
        <v>2372</v>
      </c>
      <c r="F2046" s="6" t="s">
        <v>2370</v>
      </c>
      <c r="G2046">
        <v>1</v>
      </c>
      <c r="H2046" s="6" t="s">
        <v>2370</v>
      </c>
      <c r="I2046" t="s">
        <v>8374</v>
      </c>
      <c r="J2046" t="s">
        <v>8377</v>
      </c>
    </row>
    <row r="2047" spans="1:10" x14ac:dyDescent="0.35">
      <c r="A2047" s="6" t="s">
        <v>311</v>
      </c>
      <c r="B2047">
        <v>30.4</v>
      </c>
      <c r="C2047">
        <v>5.56</v>
      </c>
      <c r="D2047" s="6" t="s">
        <v>2373</v>
      </c>
      <c r="E2047" s="6" t="s">
        <v>2372</v>
      </c>
      <c r="F2047" s="6" t="s">
        <v>2370</v>
      </c>
      <c r="G2047">
        <v>1</v>
      </c>
      <c r="H2047" s="6" t="s">
        <v>2370</v>
      </c>
      <c r="I2047" t="s">
        <v>8374</v>
      </c>
      <c r="J2047" t="s">
        <v>8377</v>
      </c>
    </row>
    <row r="2048" spans="1:10" x14ac:dyDescent="0.35">
      <c r="A2048" s="6" t="s">
        <v>310</v>
      </c>
      <c r="B2048">
        <v>23.18</v>
      </c>
      <c r="C2048">
        <v>4.24</v>
      </c>
      <c r="D2048" s="6" t="s">
        <v>2370</v>
      </c>
      <c r="E2048" s="6" t="s">
        <v>2372</v>
      </c>
      <c r="F2048" s="6" t="s">
        <v>2370</v>
      </c>
      <c r="G2048">
        <v>1</v>
      </c>
      <c r="H2048" s="6" t="s">
        <v>2370</v>
      </c>
      <c r="I2048" t="s">
        <v>8379</v>
      </c>
      <c r="J2048" t="s">
        <v>8377</v>
      </c>
    </row>
    <row r="2049" spans="1:10" x14ac:dyDescent="0.35">
      <c r="A2049" s="6" t="s">
        <v>309</v>
      </c>
      <c r="B2049">
        <v>39.615000000000002</v>
      </c>
      <c r="C2049">
        <v>6.32</v>
      </c>
      <c r="D2049" s="6" t="s">
        <v>2370</v>
      </c>
      <c r="E2049" s="6" t="s">
        <v>2370</v>
      </c>
      <c r="F2049" s="6" t="s">
        <v>2373</v>
      </c>
      <c r="G2049">
        <v>1</v>
      </c>
      <c r="H2049" s="6" t="s">
        <v>2370</v>
      </c>
      <c r="I2049" t="s">
        <v>8374</v>
      </c>
      <c r="J2049" t="s">
        <v>8376</v>
      </c>
    </row>
    <row r="2050" spans="1:10" x14ac:dyDescent="0.35">
      <c r="A2050" s="6" t="s">
        <v>308</v>
      </c>
      <c r="B2050">
        <v>30.59</v>
      </c>
      <c r="C2050">
        <v>6.3</v>
      </c>
      <c r="D2050" s="6" t="s">
        <v>2373</v>
      </c>
      <c r="E2050" s="6" t="s">
        <v>2370</v>
      </c>
      <c r="F2050" s="6" t="s">
        <v>2373</v>
      </c>
      <c r="G2050">
        <v>1</v>
      </c>
      <c r="H2050" s="6" t="s">
        <v>2370</v>
      </c>
      <c r="I2050" t="s">
        <v>8374</v>
      </c>
      <c r="J2050" t="s">
        <v>8376</v>
      </c>
    </row>
    <row r="2051" spans="1:10" x14ac:dyDescent="0.35">
      <c r="A2051" s="6" t="s">
        <v>307</v>
      </c>
      <c r="B2051">
        <v>16.72</v>
      </c>
      <c r="C2051">
        <v>4.38</v>
      </c>
      <c r="D2051" s="6" t="s">
        <v>2373</v>
      </c>
      <c r="E2051" s="6" t="s">
        <v>2370</v>
      </c>
      <c r="F2051" s="6" t="s">
        <v>2370</v>
      </c>
      <c r="G2051">
        <v>1</v>
      </c>
      <c r="H2051" s="6" t="s">
        <v>2370</v>
      </c>
      <c r="I2051" t="s">
        <v>8380</v>
      </c>
      <c r="J2051" t="s">
        <v>8377</v>
      </c>
    </row>
    <row r="2052" spans="1:10" x14ac:dyDescent="0.35">
      <c r="A2052" s="6" t="s">
        <v>306</v>
      </c>
      <c r="B2052">
        <v>26.22</v>
      </c>
      <c r="C2052">
        <v>4.6500000000000004</v>
      </c>
      <c r="D2052" s="6" t="s">
        <v>2373</v>
      </c>
      <c r="E2052" s="6" t="s">
        <v>2370</v>
      </c>
      <c r="F2052" s="6" t="s">
        <v>2373</v>
      </c>
      <c r="G2052">
        <v>1</v>
      </c>
      <c r="H2052" s="6" t="s">
        <v>2370</v>
      </c>
      <c r="I2052" t="s">
        <v>8378</v>
      </c>
      <c r="J2052" t="s">
        <v>8377</v>
      </c>
    </row>
    <row r="2053" spans="1:10" x14ac:dyDescent="0.35">
      <c r="A2053" s="6" t="s">
        <v>305</v>
      </c>
      <c r="B2053">
        <v>31.824999999999999</v>
      </c>
      <c r="C2053">
        <v>4.7</v>
      </c>
      <c r="D2053" s="6" t="s">
        <v>2370</v>
      </c>
      <c r="E2053" s="6" t="s">
        <v>2370</v>
      </c>
      <c r="F2053" s="6" t="s">
        <v>2373</v>
      </c>
      <c r="G2053">
        <v>1</v>
      </c>
      <c r="H2053" s="6" t="s">
        <v>2370</v>
      </c>
      <c r="I2053" t="s">
        <v>8374</v>
      </c>
      <c r="J2053" t="s">
        <v>8377</v>
      </c>
    </row>
    <row r="2054" spans="1:10" x14ac:dyDescent="0.35">
      <c r="A2054" s="6" t="s">
        <v>304</v>
      </c>
      <c r="B2054">
        <v>25.745000000000001</v>
      </c>
      <c r="C2054">
        <v>4.34</v>
      </c>
      <c r="D2054" s="6" t="s">
        <v>2370</v>
      </c>
      <c r="E2054" s="6" t="s">
        <v>2370</v>
      </c>
      <c r="F2054" s="6" t="s">
        <v>2373</v>
      </c>
      <c r="G2054">
        <v>1</v>
      </c>
      <c r="H2054" s="6" t="s">
        <v>2370</v>
      </c>
      <c r="I2054" t="s">
        <v>8378</v>
      </c>
      <c r="J2054" t="s">
        <v>8377</v>
      </c>
    </row>
    <row r="2055" spans="1:10" x14ac:dyDescent="0.35">
      <c r="A2055" s="6" t="s">
        <v>303</v>
      </c>
      <c r="B2055">
        <v>24.605</v>
      </c>
      <c r="C2055">
        <v>5.62</v>
      </c>
      <c r="D2055" s="6" t="s">
        <v>2370</v>
      </c>
      <c r="E2055" s="6" t="s">
        <v>2370</v>
      </c>
      <c r="F2055" s="6" t="s">
        <v>2373</v>
      </c>
      <c r="G2055">
        <v>1</v>
      </c>
      <c r="H2055" s="6" t="s">
        <v>2370</v>
      </c>
      <c r="I2055" t="s">
        <v>8379</v>
      </c>
      <c r="J2055" t="s">
        <v>8377</v>
      </c>
    </row>
    <row r="2056" spans="1:10" x14ac:dyDescent="0.35">
      <c r="A2056" s="6" t="s">
        <v>302</v>
      </c>
      <c r="B2056">
        <v>24.51</v>
      </c>
      <c r="C2056">
        <v>4.24</v>
      </c>
      <c r="D2056" s="6" t="s">
        <v>2370</v>
      </c>
      <c r="E2056" s="6" t="s">
        <v>2370</v>
      </c>
      <c r="F2056" s="6" t="s">
        <v>2373</v>
      </c>
      <c r="G2056">
        <v>1</v>
      </c>
      <c r="H2056" s="6" t="s">
        <v>2370</v>
      </c>
      <c r="I2056" t="s">
        <v>8379</v>
      </c>
      <c r="J2056" t="s">
        <v>8377</v>
      </c>
    </row>
    <row r="2057" spans="1:10" x14ac:dyDescent="0.35">
      <c r="A2057" s="6" t="s">
        <v>301</v>
      </c>
      <c r="B2057">
        <v>31.065000000000001</v>
      </c>
      <c r="C2057">
        <v>4.57</v>
      </c>
      <c r="D2057" s="6" t="s">
        <v>2373</v>
      </c>
      <c r="E2057" s="6" t="s">
        <v>2370</v>
      </c>
      <c r="F2057" s="6" t="s">
        <v>2370</v>
      </c>
      <c r="G2057">
        <v>0</v>
      </c>
      <c r="H2057" s="6" t="s">
        <v>2370</v>
      </c>
      <c r="I2057" t="s">
        <v>8374</v>
      </c>
      <c r="J2057" t="s">
        <v>8377</v>
      </c>
    </row>
    <row r="2058" spans="1:10" x14ac:dyDescent="0.35">
      <c r="A2058" s="6" t="s">
        <v>300</v>
      </c>
      <c r="B2058">
        <v>28.12</v>
      </c>
      <c r="C2058">
        <v>5.05</v>
      </c>
      <c r="D2058" s="6" t="s">
        <v>2370</v>
      </c>
      <c r="E2058" s="6" t="s">
        <v>2370</v>
      </c>
      <c r="F2058" s="6" t="s">
        <v>2370</v>
      </c>
      <c r="G2058">
        <v>0</v>
      </c>
      <c r="H2058" s="6" t="s">
        <v>2370</v>
      </c>
      <c r="I2058" t="s">
        <v>8378</v>
      </c>
      <c r="J2058" t="s">
        <v>8377</v>
      </c>
    </row>
    <row r="2059" spans="1:10" x14ac:dyDescent="0.35">
      <c r="A2059" s="6" t="s">
        <v>299</v>
      </c>
      <c r="B2059">
        <v>38.06</v>
      </c>
      <c r="C2059">
        <v>6.16</v>
      </c>
      <c r="D2059" s="6" t="s">
        <v>2370</v>
      </c>
      <c r="E2059" s="6" t="s">
        <v>2370</v>
      </c>
      <c r="F2059" s="6" t="s">
        <v>2370</v>
      </c>
      <c r="G2059">
        <v>0</v>
      </c>
      <c r="H2059" s="6" t="s">
        <v>2370</v>
      </c>
      <c r="I2059" t="s">
        <v>8374</v>
      </c>
      <c r="J2059" t="s">
        <v>8376</v>
      </c>
    </row>
    <row r="2060" spans="1:10" x14ac:dyDescent="0.35">
      <c r="A2060" s="6" t="s">
        <v>298</v>
      </c>
      <c r="B2060">
        <v>24.96</v>
      </c>
      <c r="C2060">
        <v>4.57</v>
      </c>
      <c r="D2060" s="6" t="s">
        <v>2370</v>
      </c>
      <c r="E2060" s="6" t="s">
        <v>2370</v>
      </c>
      <c r="F2060" s="6" t="s">
        <v>2370</v>
      </c>
      <c r="G2060">
        <v>0</v>
      </c>
      <c r="H2060" s="6" t="s">
        <v>2370</v>
      </c>
      <c r="I2060" t="s">
        <v>8379</v>
      </c>
      <c r="J2060" t="s">
        <v>8377</v>
      </c>
    </row>
    <row r="2061" spans="1:10" x14ac:dyDescent="0.35">
      <c r="A2061" s="6" t="s">
        <v>297</v>
      </c>
      <c r="B2061">
        <v>17.670000000000002</v>
      </c>
      <c r="C2061">
        <v>5.53</v>
      </c>
      <c r="D2061" s="6" t="s">
        <v>2373</v>
      </c>
      <c r="E2061" s="6" t="s">
        <v>2370</v>
      </c>
      <c r="F2061" s="6" t="s">
        <v>2370</v>
      </c>
      <c r="G2061">
        <v>0</v>
      </c>
      <c r="H2061" s="6" t="s">
        <v>2370</v>
      </c>
      <c r="I2061" t="s">
        <v>8380</v>
      </c>
      <c r="J2061" t="s">
        <v>8377</v>
      </c>
    </row>
    <row r="2062" spans="1:10" x14ac:dyDescent="0.35">
      <c r="A2062" s="6" t="s">
        <v>296</v>
      </c>
      <c r="B2062">
        <v>31.35</v>
      </c>
      <c r="C2062">
        <v>5.84</v>
      </c>
      <c r="D2062" s="6" t="s">
        <v>2370</v>
      </c>
      <c r="E2062" s="6" t="s">
        <v>2372</v>
      </c>
      <c r="F2062" s="6" t="s">
        <v>2370</v>
      </c>
      <c r="G2062">
        <v>1</v>
      </c>
      <c r="H2062" s="6" t="s">
        <v>2370</v>
      </c>
      <c r="I2062" t="s">
        <v>8374</v>
      </c>
      <c r="J2062" t="s">
        <v>8376</v>
      </c>
    </row>
    <row r="2063" spans="1:10" x14ac:dyDescent="0.35">
      <c r="A2063" s="6" t="s">
        <v>295</v>
      </c>
      <c r="B2063">
        <v>28.31</v>
      </c>
      <c r="C2063">
        <v>6.41</v>
      </c>
      <c r="D2063" s="6" t="s">
        <v>2370</v>
      </c>
      <c r="E2063" s="6" t="s">
        <v>2372</v>
      </c>
      <c r="F2063" s="6" t="s">
        <v>2370</v>
      </c>
      <c r="G2063">
        <v>1</v>
      </c>
      <c r="H2063" s="6" t="s">
        <v>2370</v>
      </c>
      <c r="I2063" t="s">
        <v>8378</v>
      </c>
      <c r="J2063" t="s">
        <v>8376</v>
      </c>
    </row>
    <row r="2064" spans="1:10" x14ac:dyDescent="0.35">
      <c r="A2064" s="6" t="s">
        <v>294</v>
      </c>
      <c r="B2064">
        <v>30.3</v>
      </c>
      <c r="C2064">
        <v>4.7300000000000004</v>
      </c>
      <c r="D2064" s="6" t="s">
        <v>2373</v>
      </c>
      <c r="E2064" s="6" t="s">
        <v>2370</v>
      </c>
      <c r="F2064" s="6" t="s">
        <v>2373</v>
      </c>
      <c r="G2064">
        <v>1</v>
      </c>
      <c r="H2064" s="6" t="s">
        <v>2370</v>
      </c>
      <c r="I2064" t="s">
        <v>8374</v>
      </c>
      <c r="J2064" t="s">
        <v>8377</v>
      </c>
    </row>
    <row r="2065" spans="1:10" x14ac:dyDescent="0.35">
      <c r="A2065" s="6" t="s">
        <v>293</v>
      </c>
      <c r="B2065">
        <v>26.4</v>
      </c>
      <c r="C2065">
        <v>6.22</v>
      </c>
      <c r="D2065" s="6" t="s">
        <v>2373</v>
      </c>
      <c r="E2065" s="6" t="s">
        <v>2370</v>
      </c>
      <c r="F2065" s="6" t="s">
        <v>2370</v>
      </c>
      <c r="G2065">
        <v>0</v>
      </c>
      <c r="H2065" s="6" t="s">
        <v>2370</v>
      </c>
      <c r="I2065" t="s">
        <v>8378</v>
      </c>
      <c r="J2065" t="s">
        <v>8376</v>
      </c>
    </row>
    <row r="2066" spans="1:10" x14ac:dyDescent="0.35">
      <c r="A2066" s="6" t="s">
        <v>292</v>
      </c>
      <c r="B2066">
        <v>22.135000000000002</v>
      </c>
      <c r="C2066">
        <v>4.46</v>
      </c>
      <c r="D2066" s="6" t="s">
        <v>2373</v>
      </c>
      <c r="E2066" s="6" t="s">
        <v>2370</v>
      </c>
      <c r="F2066" s="6" t="s">
        <v>2370</v>
      </c>
      <c r="G2066">
        <v>0</v>
      </c>
      <c r="H2066" s="6" t="s">
        <v>2370</v>
      </c>
      <c r="I2066" t="s">
        <v>8379</v>
      </c>
      <c r="J2066" t="s">
        <v>8377</v>
      </c>
    </row>
    <row r="2067" spans="1:10" x14ac:dyDescent="0.35">
      <c r="A2067" s="6" t="s">
        <v>291</v>
      </c>
      <c r="B2067">
        <v>17.399999999999999</v>
      </c>
      <c r="C2067">
        <v>4.5</v>
      </c>
      <c r="D2067" s="6" t="s">
        <v>2373</v>
      </c>
      <c r="E2067" s="6" t="s">
        <v>2370</v>
      </c>
      <c r="F2067" s="6" t="s">
        <v>2370</v>
      </c>
      <c r="G2067">
        <v>0</v>
      </c>
      <c r="H2067" s="6" t="s">
        <v>2370</v>
      </c>
      <c r="I2067" t="s">
        <v>8380</v>
      </c>
      <c r="J2067" t="s">
        <v>8377</v>
      </c>
    </row>
    <row r="2068" spans="1:10" x14ac:dyDescent="0.35">
      <c r="A2068" s="6" t="s">
        <v>289</v>
      </c>
      <c r="B2068">
        <v>28.06</v>
      </c>
      <c r="C2068">
        <v>8.93</v>
      </c>
      <c r="D2068" s="6" t="s">
        <v>2370</v>
      </c>
      <c r="E2068" s="6" t="s">
        <v>2370</v>
      </c>
      <c r="F2068" s="6" t="s">
        <v>2370</v>
      </c>
      <c r="G2068">
        <v>0</v>
      </c>
      <c r="H2068" s="6" t="s">
        <v>2370</v>
      </c>
      <c r="I2068" t="s">
        <v>8378</v>
      </c>
      <c r="J2068" t="s">
        <v>8375</v>
      </c>
    </row>
    <row r="2069" spans="1:10" x14ac:dyDescent="0.35">
      <c r="A2069" s="6" t="s">
        <v>288</v>
      </c>
      <c r="B2069">
        <v>31.13</v>
      </c>
      <c r="C2069">
        <v>11.02</v>
      </c>
      <c r="D2069" s="6" t="s">
        <v>2370</v>
      </c>
      <c r="E2069" s="6" t="s">
        <v>2370</v>
      </c>
      <c r="F2069" s="6" t="s">
        <v>2370</v>
      </c>
      <c r="G2069">
        <v>0</v>
      </c>
      <c r="H2069" s="6" t="s">
        <v>2370</v>
      </c>
      <c r="I2069" t="s">
        <v>8374</v>
      </c>
      <c r="J2069" t="s">
        <v>8375</v>
      </c>
    </row>
    <row r="2070" spans="1:10" x14ac:dyDescent="0.35">
      <c r="A2070" s="6" t="s">
        <v>287</v>
      </c>
      <c r="B2070">
        <v>18.46</v>
      </c>
      <c r="C2070">
        <v>5.25</v>
      </c>
      <c r="D2070" s="6" t="s">
        <v>2370</v>
      </c>
      <c r="E2070" s="6" t="s">
        <v>2370</v>
      </c>
      <c r="F2070" s="6" t="s">
        <v>2370</v>
      </c>
      <c r="G2070">
        <v>0</v>
      </c>
      <c r="H2070" s="6" t="s">
        <v>2370</v>
      </c>
      <c r="I2070" t="s">
        <v>8380</v>
      </c>
      <c r="J2070" t="s">
        <v>8377</v>
      </c>
    </row>
    <row r="2071" spans="1:10" x14ac:dyDescent="0.35">
      <c r="A2071" s="6" t="s">
        <v>286</v>
      </c>
      <c r="B2071">
        <v>17.3</v>
      </c>
      <c r="C2071">
        <v>4.75</v>
      </c>
      <c r="D2071" s="6" t="s">
        <v>2370</v>
      </c>
      <c r="E2071" s="6" t="s">
        <v>2370</v>
      </c>
      <c r="F2071" s="6" t="s">
        <v>2370</v>
      </c>
      <c r="G2071">
        <v>0</v>
      </c>
      <c r="H2071" s="6" t="s">
        <v>2370</v>
      </c>
      <c r="I2071" t="s">
        <v>8380</v>
      </c>
      <c r="J2071" t="s">
        <v>8377</v>
      </c>
    </row>
    <row r="2072" spans="1:10" x14ac:dyDescent="0.35">
      <c r="A2072" s="6" t="s">
        <v>285</v>
      </c>
      <c r="B2072">
        <v>35.625</v>
      </c>
      <c r="C2072">
        <v>4.68</v>
      </c>
      <c r="D2072" s="6" t="s">
        <v>2373</v>
      </c>
      <c r="E2072" s="6" t="s">
        <v>2370</v>
      </c>
      <c r="F2072" s="6" t="s">
        <v>2373</v>
      </c>
      <c r="G2072">
        <v>1</v>
      </c>
      <c r="H2072" s="6" t="s">
        <v>2370</v>
      </c>
      <c r="I2072" t="s">
        <v>8374</v>
      </c>
      <c r="J2072" t="s">
        <v>8377</v>
      </c>
    </row>
    <row r="2073" spans="1:10" x14ac:dyDescent="0.35">
      <c r="A2073" s="6" t="s">
        <v>284</v>
      </c>
      <c r="B2073">
        <v>20.234999999999999</v>
      </c>
      <c r="C2073">
        <v>6.17</v>
      </c>
      <c r="D2073" s="6" t="s">
        <v>2373</v>
      </c>
      <c r="E2073" s="6" t="s">
        <v>2372</v>
      </c>
      <c r="F2073" s="6" t="s">
        <v>2370</v>
      </c>
      <c r="G2073">
        <v>2</v>
      </c>
      <c r="H2073" s="6" t="s">
        <v>2370</v>
      </c>
      <c r="I2073" t="s">
        <v>8379</v>
      </c>
      <c r="J2073" t="s">
        <v>8376</v>
      </c>
    </row>
    <row r="2074" spans="1:10" x14ac:dyDescent="0.35">
      <c r="A2074" s="6" t="s">
        <v>283</v>
      </c>
      <c r="B2074">
        <v>27.55</v>
      </c>
      <c r="C2074">
        <v>4.5599999999999996</v>
      </c>
      <c r="D2074" s="6" t="s">
        <v>2373</v>
      </c>
      <c r="E2074" s="6" t="s">
        <v>2370</v>
      </c>
      <c r="F2074" s="6" t="s">
        <v>2373</v>
      </c>
      <c r="G2074">
        <v>1</v>
      </c>
      <c r="H2074" s="6" t="s">
        <v>2370</v>
      </c>
      <c r="I2074" t="s">
        <v>8378</v>
      </c>
      <c r="J2074" t="s">
        <v>8377</v>
      </c>
    </row>
    <row r="2075" spans="1:10" x14ac:dyDescent="0.35">
      <c r="A2075" s="6" t="s">
        <v>282</v>
      </c>
      <c r="B2075">
        <v>17.97</v>
      </c>
      <c r="C2075">
        <v>6.3</v>
      </c>
      <c r="D2075" s="6" t="s">
        <v>2370</v>
      </c>
      <c r="E2075" s="6" t="s">
        <v>2370</v>
      </c>
      <c r="F2075" s="6" t="s">
        <v>2370</v>
      </c>
      <c r="G2075">
        <v>0</v>
      </c>
      <c r="H2075" s="6" t="s">
        <v>2370</v>
      </c>
      <c r="I2075" t="s">
        <v>8380</v>
      </c>
      <c r="J2075" t="s">
        <v>8376</v>
      </c>
    </row>
    <row r="2076" spans="1:10" x14ac:dyDescent="0.35">
      <c r="A2076" s="6" t="s">
        <v>281</v>
      </c>
      <c r="B2076">
        <v>29.98</v>
      </c>
      <c r="C2076">
        <v>6.03</v>
      </c>
      <c r="D2076" s="6" t="s">
        <v>2370</v>
      </c>
      <c r="E2076" s="6" t="s">
        <v>2372</v>
      </c>
      <c r="F2076" s="6" t="s">
        <v>2370</v>
      </c>
      <c r="G2076">
        <v>1</v>
      </c>
      <c r="H2076" s="6" t="s">
        <v>2370</v>
      </c>
      <c r="I2076" t="s">
        <v>8378</v>
      </c>
      <c r="J2076" t="s">
        <v>8376</v>
      </c>
    </row>
    <row r="2077" spans="1:10" x14ac:dyDescent="0.35">
      <c r="A2077" s="6" t="s">
        <v>280</v>
      </c>
      <c r="B2077">
        <v>33.659999999999997</v>
      </c>
      <c r="C2077">
        <v>4.2</v>
      </c>
      <c r="D2077" s="6" t="s">
        <v>2373</v>
      </c>
      <c r="E2077" s="6" t="s">
        <v>2370</v>
      </c>
      <c r="F2077" s="6" t="s">
        <v>2370</v>
      </c>
      <c r="G2077">
        <v>1</v>
      </c>
      <c r="H2077" s="6" t="s">
        <v>2370</v>
      </c>
      <c r="I2077" t="s">
        <v>8374</v>
      </c>
      <c r="J2077" t="s">
        <v>8377</v>
      </c>
    </row>
    <row r="2078" spans="1:10" x14ac:dyDescent="0.35">
      <c r="A2078" s="6" t="s">
        <v>279</v>
      </c>
      <c r="B2078">
        <v>32.67</v>
      </c>
      <c r="C2078">
        <v>5.61</v>
      </c>
      <c r="D2078" s="6" t="s">
        <v>2373</v>
      </c>
      <c r="E2078" s="6" t="s">
        <v>2370</v>
      </c>
      <c r="F2078" s="6" t="s">
        <v>2370</v>
      </c>
      <c r="G2078">
        <v>1</v>
      </c>
      <c r="H2078" s="6" t="s">
        <v>2370</v>
      </c>
      <c r="I2078" t="s">
        <v>8374</v>
      </c>
      <c r="J2078" t="s">
        <v>8377</v>
      </c>
    </row>
    <row r="2079" spans="1:10" x14ac:dyDescent="0.35">
      <c r="A2079" s="6" t="s">
        <v>278</v>
      </c>
      <c r="B2079">
        <v>30.5</v>
      </c>
      <c r="C2079">
        <v>5.88</v>
      </c>
      <c r="D2079" s="6" t="s">
        <v>2373</v>
      </c>
      <c r="E2079" s="6" t="s">
        <v>2370</v>
      </c>
      <c r="F2079" s="6" t="s">
        <v>2370</v>
      </c>
      <c r="G2079">
        <v>1</v>
      </c>
      <c r="H2079" s="6" t="s">
        <v>2370</v>
      </c>
      <c r="I2079" t="s">
        <v>8374</v>
      </c>
      <c r="J2079" t="s">
        <v>8376</v>
      </c>
    </row>
    <row r="2080" spans="1:10" x14ac:dyDescent="0.35">
      <c r="A2080" s="6" t="s">
        <v>277</v>
      </c>
      <c r="B2080">
        <v>23.1</v>
      </c>
      <c r="C2080">
        <v>5.92</v>
      </c>
      <c r="D2080" s="6" t="s">
        <v>2373</v>
      </c>
      <c r="E2080" s="6" t="s">
        <v>2370</v>
      </c>
      <c r="F2080" s="6" t="s">
        <v>2370</v>
      </c>
      <c r="G2080">
        <v>1</v>
      </c>
      <c r="H2080" s="6" t="s">
        <v>2370</v>
      </c>
      <c r="I2080" t="s">
        <v>8379</v>
      </c>
      <c r="J2080" t="s">
        <v>8376</v>
      </c>
    </row>
    <row r="2081" spans="1:10" x14ac:dyDescent="0.35">
      <c r="A2081" s="6" t="s">
        <v>276</v>
      </c>
      <c r="B2081">
        <v>39.49</v>
      </c>
      <c r="C2081">
        <v>4.8099999999999996</v>
      </c>
      <c r="D2081" s="6" t="s">
        <v>2370</v>
      </c>
      <c r="E2081" s="6" t="s">
        <v>2370</v>
      </c>
      <c r="F2081" s="6" t="s">
        <v>2370</v>
      </c>
      <c r="G2081">
        <v>1</v>
      </c>
      <c r="H2081" s="6" t="s">
        <v>2370</v>
      </c>
      <c r="I2081" t="s">
        <v>8374</v>
      </c>
      <c r="J2081" t="s">
        <v>8377</v>
      </c>
    </row>
    <row r="2082" spans="1:10" x14ac:dyDescent="0.35">
      <c r="A2082" s="6" t="s">
        <v>275</v>
      </c>
      <c r="B2082">
        <v>33.99</v>
      </c>
      <c r="C2082">
        <v>4.55</v>
      </c>
      <c r="D2082" s="6" t="s">
        <v>2370</v>
      </c>
      <c r="E2082" s="6" t="s">
        <v>2370</v>
      </c>
      <c r="F2082" s="6" t="s">
        <v>2370</v>
      </c>
      <c r="G2082">
        <v>1</v>
      </c>
      <c r="H2082" s="6" t="s">
        <v>2370</v>
      </c>
      <c r="I2082" t="s">
        <v>8374</v>
      </c>
      <c r="J2082" t="s">
        <v>8377</v>
      </c>
    </row>
    <row r="2083" spans="1:10" x14ac:dyDescent="0.35">
      <c r="A2083" s="6" t="s">
        <v>274</v>
      </c>
      <c r="B2083">
        <v>27.72</v>
      </c>
      <c r="C2083">
        <v>6.43</v>
      </c>
      <c r="D2083" s="6" t="s">
        <v>2370</v>
      </c>
      <c r="E2083" s="6" t="s">
        <v>2370</v>
      </c>
      <c r="F2083" s="6" t="s">
        <v>2370</v>
      </c>
      <c r="G2083">
        <v>1</v>
      </c>
      <c r="H2083" s="6" t="s">
        <v>2370</v>
      </c>
      <c r="I2083" t="s">
        <v>8378</v>
      </c>
      <c r="J2083" t="s">
        <v>8376</v>
      </c>
    </row>
    <row r="2084" spans="1:10" x14ac:dyDescent="0.35">
      <c r="A2084" s="6" t="s">
        <v>273</v>
      </c>
      <c r="B2084">
        <v>30.59</v>
      </c>
      <c r="C2084">
        <v>11.62</v>
      </c>
      <c r="D2084" s="6" t="s">
        <v>2370</v>
      </c>
      <c r="E2084" s="6" t="s">
        <v>2370</v>
      </c>
      <c r="F2084" s="6" t="s">
        <v>2370</v>
      </c>
      <c r="G2084">
        <v>0</v>
      </c>
      <c r="H2084" s="6" t="s">
        <v>2370</v>
      </c>
      <c r="I2084" t="s">
        <v>8374</v>
      </c>
      <c r="J2084" t="s">
        <v>8375</v>
      </c>
    </row>
    <row r="2085" spans="1:10" x14ac:dyDescent="0.35">
      <c r="A2085" s="6" t="s">
        <v>272</v>
      </c>
      <c r="B2085">
        <v>22.6</v>
      </c>
      <c r="C2085">
        <v>6.04</v>
      </c>
      <c r="D2085" s="6" t="s">
        <v>2370</v>
      </c>
      <c r="E2085" s="6" t="s">
        <v>2370</v>
      </c>
      <c r="F2085" s="6" t="s">
        <v>2370</v>
      </c>
      <c r="G2085">
        <v>1</v>
      </c>
      <c r="H2085" s="6" t="s">
        <v>2370</v>
      </c>
      <c r="I2085" t="s">
        <v>8379</v>
      </c>
      <c r="J2085" t="s">
        <v>8376</v>
      </c>
    </row>
    <row r="2086" spans="1:10" x14ac:dyDescent="0.35">
      <c r="A2086" s="6" t="s">
        <v>271</v>
      </c>
      <c r="B2086">
        <v>28.785</v>
      </c>
      <c r="C2086">
        <v>8.82</v>
      </c>
      <c r="D2086" s="6" t="s">
        <v>2370</v>
      </c>
      <c r="E2086" s="6" t="s">
        <v>2370</v>
      </c>
      <c r="F2086" s="6" t="s">
        <v>2370</v>
      </c>
      <c r="G2086">
        <v>0</v>
      </c>
      <c r="H2086" s="6" t="s">
        <v>2370</v>
      </c>
      <c r="I2086" t="s">
        <v>8378</v>
      </c>
      <c r="J2086" t="s">
        <v>8375</v>
      </c>
    </row>
    <row r="2087" spans="1:10" x14ac:dyDescent="0.35">
      <c r="A2087" s="6" t="s">
        <v>270</v>
      </c>
      <c r="B2087">
        <v>50.38</v>
      </c>
      <c r="C2087">
        <v>5.8</v>
      </c>
      <c r="D2087" s="6" t="s">
        <v>2370</v>
      </c>
      <c r="E2087" s="6" t="s">
        <v>2370</v>
      </c>
      <c r="F2087" s="6" t="s">
        <v>2370</v>
      </c>
      <c r="G2087">
        <v>0</v>
      </c>
      <c r="H2087" s="6" t="s">
        <v>2370</v>
      </c>
      <c r="I2087" t="s">
        <v>8374</v>
      </c>
      <c r="J2087" t="s">
        <v>8376</v>
      </c>
    </row>
    <row r="2088" spans="1:10" x14ac:dyDescent="0.35">
      <c r="A2088" s="6" t="s">
        <v>269</v>
      </c>
      <c r="B2088">
        <v>35.200000000000003</v>
      </c>
      <c r="C2088">
        <v>4.28</v>
      </c>
      <c r="D2088" s="6" t="s">
        <v>2370</v>
      </c>
      <c r="E2088" s="6" t="s">
        <v>2370</v>
      </c>
      <c r="F2088" s="6" t="s">
        <v>2370</v>
      </c>
      <c r="G2088">
        <v>0</v>
      </c>
      <c r="H2088" s="6" t="s">
        <v>2370</v>
      </c>
      <c r="I2088" t="s">
        <v>8374</v>
      </c>
      <c r="J2088" t="s">
        <v>8377</v>
      </c>
    </row>
    <row r="2089" spans="1:10" x14ac:dyDescent="0.35">
      <c r="A2089" s="6" t="s">
        <v>268</v>
      </c>
      <c r="B2089">
        <v>35.72</v>
      </c>
      <c r="C2089">
        <v>5.5</v>
      </c>
      <c r="D2089" s="6" t="s">
        <v>2373</v>
      </c>
      <c r="E2089" s="6" t="s">
        <v>2370</v>
      </c>
      <c r="F2089" s="6" t="s">
        <v>2370</v>
      </c>
      <c r="G2089">
        <v>0</v>
      </c>
      <c r="H2089" s="6" t="s">
        <v>2370</v>
      </c>
      <c r="I2089" t="s">
        <v>8374</v>
      </c>
      <c r="J2089" t="s">
        <v>8377</v>
      </c>
    </row>
    <row r="2090" spans="1:10" x14ac:dyDescent="0.35">
      <c r="A2090" s="6" t="s">
        <v>267</v>
      </c>
      <c r="B2090">
        <v>24.51</v>
      </c>
      <c r="C2090">
        <v>4.6900000000000004</v>
      </c>
      <c r="D2090" s="6" t="s">
        <v>2370</v>
      </c>
      <c r="E2090" s="6" t="s">
        <v>2370</v>
      </c>
      <c r="F2090" s="6" t="s">
        <v>2370</v>
      </c>
      <c r="G2090">
        <v>0</v>
      </c>
      <c r="H2090" s="6" t="s">
        <v>2370</v>
      </c>
      <c r="I2090" t="s">
        <v>8379</v>
      </c>
      <c r="J2090" t="s">
        <v>8377</v>
      </c>
    </row>
    <row r="2091" spans="1:10" x14ac:dyDescent="0.35">
      <c r="A2091" s="6" t="s">
        <v>265</v>
      </c>
      <c r="B2091">
        <v>23.844999999999999</v>
      </c>
      <c r="C2091">
        <v>4.43</v>
      </c>
      <c r="D2091" s="6" t="s">
        <v>2370</v>
      </c>
      <c r="E2091" s="6" t="s">
        <v>2370</v>
      </c>
      <c r="F2091" s="6" t="s">
        <v>2370</v>
      </c>
      <c r="G2091">
        <v>0</v>
      </c>
      <c r="H2091" s="6" t="s">
        <v>2370</v>
      </c>
      <c r="I2091" t="s">
        <v>8379</v>
      </c>
      <c r="J2091" t="s">
        <v>8377</v>
      </c>
    </row>
    <row r="2092" spans="1:10" x14ac:dyDescent="0.35">
      <c r="A2092" s="6" t="s">
        <v>264</v>
      </c>
      <c r="B2092">
        <v>15.68</v>
      </c>
      <c r="C2092">
        <v>6.16</v>
      </c>
      <c r="D2092" s="6" t="s">
        <v>2373</v>
      </c>
      <c r="E2092" s="6" t="s">
        <v>2370</v>
      </c>
      <c r="F2092" s="6" t="s">
        <v>2370</v>
      </c>
      <c r="G2092">
        <v>1</v>
      </c>
      <c r="H2092" s="6" t="s">
        <v>2370</v>
      </c>
      <c r="I2092" t="s">
        <v>8380</v>
      </c>
      <c r="J2092" t="s">
        <v>8376</v>
      </c>
    </row>
    <row r="2093" spans="1:10" x14ac:dyDescent="0.35">
      <c r="A2093" s="6" t="s">
        <v>263</v>
      </c>
      <c r="B2093">
        <v>32.395000000000003</v>
      </c>
      <c r="C2093">
        <v>6.66</v>
      </c>
      <c r="D2093" s="6" t="s">
        <v>2370</v>
      </c>
      <c r="E2093" s="6" t="s">
        <v>2370</v>
      </c>
      <c r="F2093" s="6" t="s">
        <v>2370</v>
      </c>
      <c r="G2093">
        <v>0</v>
      </c>
      <c r="H2093" s="6" t="s">
        <v>2370</v>
      </c>
      <c r="I2093" t="s">
        <v>8374</v>
      </c>
      <c r="J2093" t="s">
        <v>8375</v>
      </c>
    </row>
    <row r="2094" spans="1:10" x14ac:dyDescent="0.35">
      <c r="A2094" s="6" t="s">
        <v>262</v>
      </c>
      <c r="B2094">
        <v>23.655000000000001</v>
      </c>
      <c r="C2094">
        <v>5.92</v>
      </c>
      <c r="D2094" s="6" t="s">
        <v>2370</v>
      </c>
      <c r="E2094" s="6" t="s">
        <v>2370</v>
      </c>
      <c r="F2094" s="6" t="s">
        <v>2370</v>
      </c>
      <c r="G2094">
        <v>1</v>
      </c>
      <c r="H2094" s="6" t="s">
        <v>2370</v>
      </c>
      <c r="I2094" t="s">
        <v>8379</v>
      </c>
      <c r="J2094" t="s">
        <v>8376</v>
      </c>
    </row>
    <row r="2095" spans="1:10" x14ac:dyDescent="0.35">
      <c r="A2095" s="6" t="s">
        <v>261</v>
      </c>
      <c r="B2095">
        <v>28.4</v>
      </c>
      <c r="C2095">
        <v>5.97</v>
      </c>
      <c r="D2095" s="6" t="s">
        <v>2370</v>
      </c>
      <c r="E2095" s="6" t="s">
        <v>2370</v>
      </c>
      <c r="F2095" s="6" t="s">
        <v>2373</v>
      </c>
      <c r="G2095">
        <v>1</v>
      </c>
      <c r="H2095" s="6" t="s">
        <v>2370</v>
      </c>
      <c r="I2095" t="s">
        <v>8378</v>
      </c>
      <c r="J2095" t="s">
        <v>8376</v>
      </c>
    </row>
    <row r="2096" spans="1:10" x14ac:dyDescent="0.35">
      <c r="A2096" s="6" t="s">
        <v>260</v>
      </c>
      <c r="B2096">
        <v>35.42</v>
      </c>
      <c r="C2096">
        <v>4.6399999999999997</v>
      </c>
      <c r="D2096" s="6" t="s">
        <v>2373</v>
      </c>
      <c r="E2096" s="6" t="s">
        <v>2370</v>
      </c>
      <c r="F2096" s="6" t="s">
        <v>2370</v>
      </c>
      <c r="G2096">
        <v>0</v>
      </c>
      <c r="H2096" s="6" t="s">
        <v>2370</v>
      </c>
      <c r="I2096" t="s">
        <v>8374</v>
      </c>
      <c r="J2096" t="s">
        <v>8377</v>
      </c>
    </row>
    <row r="2097" spans="1:10" x14ac:dyDescent="0.35">
      <c r="A2097" s="6" t="s">
        <v>259</v>
      </c>
      <c r="B2097">
        <v>26.18</v>
      </c>
      <c r="C2097">
        <v>6.12</v>
      </c>
      <c r="D2097" s="6" t="s">
        <v>2370</v>
      </c>
      <c r="E2097" s="6" t="s">
        <v>2372</v>
      </c>
      <c r="F2097" s="6" t="s">
        <v>2370</v>
      </c>
      <c r="G2097">
        <v>1</v>
      </c>
      <c r="H2097" s="6" t="s">
        <v>2370</v>
      </c>
      <c r="I2097" t="s">
        <v>8378</v>
      </c>
      <c r="J2097" t="s">
        <v>8376</v>
      </c>
    </row>
    <row r="2098" spans="1:10" x14ac:dyDescent="0.35">
      <c r="A2098" s="6" t="s">
        <v>258</v>
      </c>
      <c r="B2098">
        <v>20.8</v>
      </c>
      <c r="C2098">
        <v>4.87</v>
      </c>
      <c r="D2098" s="6" t="s">
        <v>2373</v>
      </c>
      <c r="E2098" s="6" t="s">
        <v>2370</v>
      </c>
      <c r="F2098" s="6" t="s">
        <v>2370</v>
      </c>
      <c r="G2098">
        <v>0</v>
      </c>
      <c r="H2098" s="6" t="s">
        <v>2370</v>
      </c>
      <c r="I2098" t="s">
        <v>8379</v>
      </c>
      <c r="J2098" t="s">
        <v>8377</v>
      </c>
    </row>
    <row r="2099" spans="1:10" x14ac:dyDescent="0.35">
      <c r="A2099" s="6" t="s">
        <v>257</v>
      </c>
      <c r="B2099">
        <v>15.82</v>
      </c>
      <c r="C2099">
        <v>4.5999999999999996</v>
      </c>
      <c r="D2099" s="6" t="s">
        <v>2370</v>
      </c>
      <c r="E2099" s="6" t="s">
        <v>2370</v>
      </c>
      <c r="F2099" s="6" t="s">
        <v>2370</v>
      </c>
      <c r="G2099">
        <v>0</v>
      </c>
      <c r="H2099" s="6" t="s">
        <v>2370</v>
      </c>
      <c r="I2099" t="s">
        <v>8380</v>
      </c>
      <c r="J2099" t="s">
        <v>8377</v>
      </c>
    </row>
    <row r="2100" spans="1:10" x14ac:dyDescent="0.35">
      <c r="A2100" s="6" t="s">
        <v>256</v>
      </c>
      <c r="B2100">
        <v>17.670000000000002</v>
      </c>
      <c r="C2100">
        <v>4.78</v>
      </c>
      <c r="D2100" s="6" t="s">
        <v>2370</v>
      </c>
      <c r="E2100" s="6" t="s">
        <v>2370</v>
      </c>
      <c r="F2100" s="6" t="s">
        <v>2370</v>
      </c>
      <c r="G2100">
        <v>0</v>
      </c>
      <c r="H2100" s="6" t="s">
        <v>2370</v>
      </c>
      <c r="I2100" t="s">
        <v>8380</v>
      </c>
      <c r="J2100" t="s">
        <v>8377</v>
      </c>
    </row>
    <row r="2101" spans="1:10" x14ac:dyDescent="0.35">
      <c r="A2101" s="6" t="s">
        <v>255</v>
      </c>
      <c r="B2101">
        <v>31.92</v>
      </c>
      <c r="C2101">
        <v>11.05</v>
      </c>
      <c r="D2101" s="6" t="s">
        <v>2370</v>
      </c>
      <c r="E2101" s="6" t="s">
        <v>2370</v>
      </c>
      <c r="F2101" s="6" t="s">
        <v>2370</v>
      </c>
      <c r="G2101">
        <v>0</v>
      </c>
      <c r="H2101" s="6" t="s">
        <v>2370</v>
      </c>
      <c r="I2101" t="s">
        <v>8374</v>
      </c>
      <c r="J2101" t="s">
        <v>8375</v>
      </c>
    </row>
    <row r="2102" spans="1:10" x14ac:dyDescent="0.35">
      <c r="A2102" s="6" t="s">
        <v>254</v>
      </c>
      <c r="B2102">
        <v>28.975000000000001</v>
      </c>
      <c r="C2102">
        <v>7.62</v>
      </c>
      <c r="D2102" s="6" t="s">
        <v>2370</v>
      </c>
      <c r="E2102" s="6" t="s">
        <v>2370</v>
      </c>
      <c r="F2102" s="6" t="s">
        <v>2370</v>
      </c>
      <c r="G2102">
        <v>0</v>
      </c>
      <c r="H2102" s="6" t="s">
        <v>2370</v>
      </c>
      <c r="I2102" t="s">
        <v>8378</v>
      </c>
      <c r="J2102" t="s">
        <v>8375</v>
      </c>
    </row>
    <row r="2103" spans="1:10" x14ac:dyDescent="0.35">
      <c r="A2103" s="6" t="s">
        <v>253</v>
      </c>
      <c r="B2103">
        <v>31.73</v>
      </c>
      <c r="C2103">
        <v>4.78</v>
      </c>
      <c r="D2103" s="6" t="s">
        <v>2373</v>
      </c>
      <c r="E2103" s="6" t="s">
        <v>2372</v>
      </c>
      <c r="F2103" s="6" t="s">
        <v>2370</v>
      </c>
      <c r="G2103">
        <v>2</v>
      </c>
      <c r="H2103" s="6" t="s">
        <v>2370</v>
      </c>
      <c r="I2103" t="s">
        <v>8374</v>
      </c>
      <c r="J2103" t="s">
        <v>8377</v>
      </c>
    </row>
    <row r="2104" spans="1:10" x14ac:dyDescent="0.35">
      <c r="A2104" s="6" t="s">
        <v>252</v>
      </c>
      <c r="B2104">
        <v>28.88</v>
      </c>
      <c r="C2104">
        <v>6.09</v>
      </c>
      <c r="D2104" s="6" t="s">
        <v>2373</v>
      </c>
      <c r="E2104" s="6" t="s">
        <v>2372</v>
      </c>
      <c r="F2104" s="6" t="s">
        <v>2370</v>
      </c>
      <c r="G2104">
        <v>2</v>
      </c>
      <c r="H2104" s="6" t="s">
        <v>2370</v>
      </c>
      <c r="I2104" t="s">
        <v>8378</v>
      </c>
      <c r="J2104" t="s">
        <v>8376</v>
      </c>
    </row>
    <row r="2105" spans="1:10" x14ac:dyDescent="0.35">
      <c r="A2105" s="6" t="s">
        <v>251</v>
      </c>
      <c r="B2105">
        <v>25.555</v>
      </c>
      <c r="C2105">
        <v>5.1100000000000003</v>
      </c>
      <c r="D2105" s="6" t="s">
        <v>2370</v>
      </c>
      <c r="E2105" s="6" t="s">
        <v>2370</v>
      </c>
      <c r="F2105" s="6" t="s">
        <v>2373</v>
      </c>
      <c r="G2105">
        <v>1</v>
      </c>
      <c r="H2105" s="6" t="s">
        <v>2370</v>
      </c>
      <c r="I2105" t="s">
        <v>8378</v>
      </c>
      <c r="J2105" t="s">
        <v>8377</v>
      </c>
    </row>
    <row r="2106" spans="1:10" x14ac:dyDescent="0.35">
      <c r="A2106" s="6" t="s">
        <v>250</v>
      </c>
      <c r="B2106">
        <v>37.29</v>
      </c>
      <c r="C2106">
        <v>4.46</v>
      </c>
      <c r="D2106" s="6" t="s">
        <v>2370</v>
      </c>
      <c r="E2106" s="6" t="s">
        <v>2372</v>
      </c>
      <c r="F2106" s="6" t="s">
        <v>2370</v>
      </c>
      <c r="G2106">
        <v>1</v>
      </c>
      <c r="H2106" s="6" t="s">
        <v>2370</v>
      </c>
      <c r="I2106" t="s">
        <v>8374</v>
      </c>
      <c r="J2106" t="s">
        <v>8377</v>
      </c>
    </row>
    <row r="2107" spans="1:10" x14ac:dyDescent="0.35">
      <c r="A2107" s="6" t="s">
        <v>249</v>
      </c>
      <c r="B2107">
        <v>40.28</v>
      </c>
      <c r="C2107">
        <v>6.11</v>
      </c>
      <c r="D2107" s="6" t="s">
        <v>2370</v>
      </c>
      <c r="E2107" s="6" t="s">
        <v>2372</v>
      </c>
      <c r="F2107" s="6" t="s">
        <v>2370</v>
      </c>
      <c r="G2107">
        <v>1</v>
      </c>
      <c r="H2107" s="6" t="s">
        <v>2370</v>
      </c>
      <c r="I2107" t="s">
        <v>8374</v>
      </c>
      <c r="J2107" t="s">
        <v>8376</v>
      </c>
    </row>
    <row r="2108" spans="1:10" x14ac:dyDescent="0.35">
      <c r="A2108" s="6" t="s">
        <v>248</v>
      </c>
      <c r="B2108">
        <v>40.185000000000002</v>
      </c>
      <c r="C2108">
        <v>4.66</v>
      </c>
      <c r="D2108" s="6" t="s">
        <v>2370</v>
      </c>
      <c r="E2108" s="6" t="s">
        <v>2372</v>
      </c>
      <c r="F2108" s="6" t="s">
        <v>2370</v>
      </c>
      <c r="G2108">
        <v>1</v>
      </c>
      <c r="H2108" s="6" t="s">
        <v>2370</v>
      </c>
      <c r="I2108" t="s">
        <v>8374</v>
      </c>
      <c r="J2108" t="s">
        <v>8377</v>
      </c>
    </row>
    <row r="2109" spans="1:10" x14ac:dyDescent="0.35">
      <c r="A2109" s="6" t="s">
        <v>247</v>
      </c>
      <c r="B2109">
        <v>23.57</v>
      </c>
      <c r="C2109">
        <v>6.14</v>
      </c>
      <c r="D2109" s="6" t="s">
        <v>2370</v>
      </c>
      <c r="E2109" s="6" t="s">
        <v>2370</v>
      </c>
      <c r="F2109" s="6" t="s">
        <v>2370</v>
      </c>
      <c r="G2109">
        <v>0</v>
      </c>
      <c r="H2109" s="6" t="s">
        <v>2370</v>
      </c>
      <c r="I2109" t="s">
        <v>8379</v>
      </c>
      <c r="J2109" t="s">
        <v>8376</v>
      </c>
    </row>
    <row r="2110" spans="1:10" x14ac:dyDescent="0.35">
      <c r="A2110" s="6" t="s">
        <v>246</v>
      </c>
      <c r="B2110">
        <v>35.625</v>
      </c>
      <c r="C2110">
        <v>6.21</v>
      </c>
      <c r="D2110" s="6" t="s">
        <v>2370</v>
      </c>
      <c r="E2110" s="6" t="s">
        <v>2372</v>
      </c>
      <c r="F2110" s="6" t="s">
        <v>2370</v>
      </c>
      <c r="G2110">
        <v>1</v>
      </c>
      <c r="H2110" s="6" t="s">
        <v>2370</v>
      </c>
      <c r="I2110" t="s">
        <v>8374</v>
      </c>
      <c r="J2110" t="s">
        <v>8376</v>
      </c>
    </row>
    <row r="2111" spans="1:10" x14ac:dyDescent="0.35">
      <c r="A2111" s="6" t="s">
        <v>245</v>
      </c>
      <c r="B2111">
        <v>33.155000000000001</v>
      </c>
      <c r="C2111">
        <v>4.5999999999999996</v>
      </c>
      <c r="D2111" s="6" t="s">
        <v>2370</v>
      </c>
      <c r="E2111" s="6" t="s">
        <v>2372</v>
      </c>
      <c r="F2111" s="6" t="s">
        <v>2370</v>
      </c>
      <c r="G2111">
        <v>1</v>
      </c>
      <c r="H2111" s="6" t="s">
        <v>2370</v>
      </c>
      <c r="I2111" t="s">
        <v>8374</v>
      </c>
      <c r="J2111" t="s">
        <v>8377</v>
      </c>
    </row>
    <row r="2112" spans="1:10" x14ac:dyDescent="0.35">
      <c r="A2112" s="6" t="s">
        <v>244</v>
      </c>
      <c r="B2112">
        <v>31.92</v>
      </c>
      <c r="C2112">
        <v>5.04</v>
      </c>
      <c r="D2112" s="6" t="s">
        <v>2370</v>
      </c>
      <c r="E2112" s="6" t="s">
        <v>2372</v>
      </c>
      <c r="F2112" s="6" t="s">
        <v>2370</v>
      </c>
      <c r="G2112">
        <v>1</v>
      </c>
      <c r="H2112" s="6" t="s">
        <v>2370</v>
      </c>
      <c r="I2112" t="s">
        <v>8374</v>
      </c>
      <c r="J2112" t="s">
        <v>8377</v>
      </c>
    </row>
    <row r="2113" spans="1:10" x14ac:dyDescent="0.35">
      <c r="A2113" s="6" t="s">
        <v>243</v>
      </c>
      <c r="B2113">
        <v>30.305</v>
      </c>
      <c r="C2113">
        <v>5.08</v>
      </c>
      <c r="D2113" s="6" t="s">
        <v>2370</v>
      </c>
      <c r="E2113" s="6" t="s">
        <v>2372</v>
      </c>
      <c r="F2113" s="6" t="s">
        <v>2370</v>
      </c>
      <c r="G2113">
        <v>1</v>
      </c>
      <c r="H2113" s="6" t="s">
        <v>2370</v>
      </c>
      <c r="I2113" t="s">
        <v>8374</v>
      </c>
      <c r="J2113" t="s">
        <v>8377</v>
      </c>
    </row>
    <row r="2114" spans="1:10" x14ac:dyDescent="0.35">
      <c r="A2114" s="6" t="s">
        <v>242</v>
      </c>
      <c r="B2114">
        <v>30.114999999999998</v>
      </c>
      <c r="C2114">
        <v>4.38</v>
      </c>
      <c r="D2114" s="6" t="s">
        <v>2370</v>
      </c>
      <c r="E2114" s="6" t="s">
        <v>2372</v>
      </c>
      <c r="F2114" s="6" t="s">
        <v>2370</v>
      </c>
      <c r="G2114">
        <v>1</v>
      </c>
      <c r="H2114" s="6" t="s">
        <v>2370</v>
      </c>
      <c r="I2114" t="s">
        <v>8374</v>
      </c>
      <c r="J2114" t="s">
        <v>8377</v>
      </c>
    </row>
    <row r="2115" spans="1:10" x14ac:dyDescent="0.35">
      <c r="A2115" s="6" t="s">
        <v>241</v>
      </c>
      <c r="B2115">
        <v>24.09</v>
      </c>
      <c r="C2115">
        <v>4.79</v>
      </c>
      <c r="D2115" s="6" t="s">
        <v>2370</v>
      </c>
      <c r="E2115" s="6" t="s">
        <v>2372</v>
      </c>
      <c r="F2115" s="6" t="s">
        <v>2370</v>
      </c>
      <c r="G2115">
        <v>1</v>
      </c>
      <c r="H2115" s="6" t="s">
        <v>2370</v>
      </c>
      <c r="I2115" t="s">
        <v>8379</v>
      </c>
      <c r="J2115" t="s">
        <v>8377</v>
      </c>
    </row>
    <row r="2116" spans="1:10" x14ac:dyDescent="0.35">
      <c r="A2116" s="6" t="s">
        <v>240</v>
      </c>
      <c r="B2116">
        <v>28.215</v>
      </c>
      <c r="C2116">
        <v>4.21</v>
      </c>
      <c r="D2116" s="6" t="s">
        <v>2370</v>
      </c>
      <c r="E2116" s="6" t="s">
        <v>2372</v>
      </c>
      <c r="F2116" s="6" t="s">
        <v>2370</v>
      </c>
      <c r="G2116">
        <v>1</v>
      </c>
      <c r="H2116" s="6" t="s">
        <v>2370</v>
      </c>
      <c r="I2116" t="s">
        <v>8378</v>
      </c>
      <c r="J2116" t="s">
        <v>8377</v>
      </c>
    </row>
    <row r="2117" spans="1:10" x14ac:dyDescent="0.35">
      <c r="A2117" s="6" t="s">
        <v>238</v>
      </c>
      <c r="B2117">
        <v>26.315000000000001</v>
      </c>
      <c r="C2117">
        <v>5.47</v>
      </c>
      <c r="D2117" s="6" t="s">
        <v>2370</v>
      </c>
      <c r="E2117" s="6" t="s">
        <v>2372</v>
      </c>
      <c r="F2117" s="6" t="s">
        <v>2370</v>
      </c>
      <c r="G2117">
        <v>1</v>
      </c>
      <c r="H2117" s="6" t="s">
        <v>2370</v>
      </c>
      <c r="I2117" t="s">
        <v>8378</v>
      </c>
      <c r="J2117" t="s">
        <v>8377</v>
      </c>
    </row>
    <row r="2118" spans="1:10" x14ac:dyDescent="0.35">
      <c r="A2118" s="6" t="s">
        <v>236</v>
      </c>
      <c r="B2118">
        <v>25.08</v>
      </c>
      <c r="C2118">
        <v>5.09</v>
      </c>
      <c r="D2118" s="6" t="s">
        <v>2370</v>
      </c>
      <c r="E2118" s="6" t="s">
        <v>2372</v>
      </c>
      <c r="F2118" s="6" t="s">
        <v>2370</v>
      </c>
      <c r="G2118">
        <v>1</v>
      </c>
      <c r="H2118" s="6" t="s">
        <v>2370</v>
      </c>
      <c r="I2118" t="s">
        <v>8378</v>
      </c>
      <c r="J2118" t="s">
        <v>8377</v>
      </c>
    </row>
    <row r="2119" spans="1:10" x14ac:dyDescent="0.35">
      <c r="A2119" s="6" t="s">
        <v>235</v>
      </c>
      <c r="B2119">
        <v>15.41</v>
      </c>
      <c r="C2119">
        <v>5.08</v>
      </c>
      <c r="D2119" s="6" t="s">
        <v>2370</v>
      </c>
      <c r="E2119" s="6" t="s">
        <v>2370</v>
      </c>
      <c r="F2119" s="6" t="s">
        <v>2370</v>
      </c>
      <c r="G2119">
        <v>0</v>
      </c>
      <c r="H2119" s="6" t="s">
        <v>2370</v>
      </c>
      <c r="I2119" t="s">
        <v>8380</v>
      </c>
      <c r="J2119" t="s">
        <v>8377</v>
      </c>
    </row>
    <row r="2120" spans="1:10" x14ac:dyDescent="0.35">
      <c r="A2120" s="6" t="s">
        <v>234</v>
      </c>
      <c r="B2120">
        <v>23.83</v>
      </c>
      <c r="C2120">
        <v>5.68</v>
      </c>
      <c r="D2120" s="6" t="s">
        <v>2370</v>
      </c>
      <c r="E2120" s="6" t="s">
        <v>2370</v>
      </c>
      <c r="F2120" s="6" t="s">
        <v>2370</v>
      </c>
      <c r="G2120">
        <v>0</v>
      </c>
      <c r="H2120" s="6" t="s">
        <v>2370</v>
      </c>
      <c r="I2120" t="s">
        <v>8379</v>
      </c>
      <c r="J2120" t="s">
        <v>8377</v>
      </c>
    </row>
    <row r="2121" spans="1:10" x14ac:dyDescent="0.35">
      <c r="A2121" s="6" t="s">
        <v>233</v>
      </c>
      <c r="B2121">
        <v>36</v>
      </c>
      <c r="C2121">
        <v>4.66</v>
      </c>
      <c r="D2121" s="6" t="s">
        <v>2370</v>
      </c>
      <c r="E2121" s="6" t="s">
        <v>2372</v>
      </c>
      <c r="F2121" s="6" t="s">
        <v>2370</v>
      </c>
      <c r="G2121">
        <v>1</v>
      </c>
      <c r="H2121" s="6" t="s">
        <v>2370</v>
      </c>
      <c r="I2121" t="s">
        <v>8374</v>
      </c>
      <c r="J2121" t="s">
        <v>8377</v>
      </c>
    </row>
    <row r="2122" spans="1:10" x14ac:dyDescent="0.35">
      <c r="A2122" s="6" t="s">
        <v>232</v>
      </c>
      <c r="B2122">
        <v>28.82</v>
      </c>
      <c r="C2122">
        <v>5.59</v>
      </c>
      <c r="D2122" s="6" t="s">
        <v>2370</v>
      </c>
      <c r="E2122" s="6" t="s">
        <v>2372</v>
      </c>
      <c r="F2122" s="6" t="s">
        <v>2370</v>
      </c>
      <c r="G2122">
        <v>1</v>
      </c>
      <c r="H2122" s="6" t="s">
        <v>2370</v>
      </c>
      <c r="I2122" t="s">
        <v>8378</v>
      </c>
      <c r="J2122" t="s">
        <v>8377</v>
      </c>
    </row>
    <row r="2123" spans="1:10" x14ac:dyDescent="0.35">
      <c r="A2123" s="6" t="s">
        <v>231</v>
      </c>
      <c r="B2123">
        <v>28.05</v>
      </c>
      <c r="C2123">
        <v>6.2</v>
      </c>
      <c r="D2123" s="6" t="s">
        <v>2370</v>
      </c>
      <c r="E2123" s="6" t="s">
        <v>2372</v>
      </c>
      <c r="F2123" s="6" t="s">
        <v>2370</v>
      </c>
      <c r="G2123">
        <v>1</v>
      </c>
      <c r="H2123" s="6" t="s">
        <v>2370</v>
      </c>
      <c r="I2123" t="s">
        <v>8378</v>
      </c>
      <c r="J2123" t="s">
        <v>8376</v>
      </c>
    </row>
    <row r="2124" spans="1:10" x14ac:dyDescent="0.35">
      <c r="A2124" s="6" t="s">
        <v>230</v>
      </c>
      <c r="B2124">
        <v>27.1</v>
      </c>
      <c r="C2124">
        <v>4.45</v>
      </c>
      <c r="D2124" s="6" t="s">
        <v>2370</v>
      </c>
      <c r="E2124" s="6" t="s">
        <v>2372</v>
      </c>
      <c r="F2124" s="6" t="s">
        <v>2370</v>
      </c>
      <c r="G2124">
        <v>1</v>
      </c>
      <c r="H2124" s="6" t="s">
        <v>2370</v>
      </c>
      <c r="I2124" t="s">
        <v>8378</v>
      </c>
      <c r="J2124" t="s">
        <v>8377</v>
      </c>
    </row>
    <row r="2125" spans="1:10" x14ac:dyDescent="0.35">
      <c r="A2125" s="6" t="s">
        <v>229</v>
      </c>
      <c r="B2125">
        <v>24.3</v>
      </c>
      <c r="C2125">
        <v>6.1</v>
      </c>
      <c r="D2125" s="6" t="s">
        <v>2373</v>
      </c>
      <c r="E2125" s="6" t="s">
        <v>2372</v>
      </c>
      <c r="F2125" s="6" t="s">
        <v>2370</v>
      </c>
      <c r="G2125">
        <v>1</v>
      </c>
      <c r="H2125" s="6" t="s">
        <v>2370</v>
      </c>
      <c r="I2125" t="s">
        <v>8379</v>
      </c>
      <c r="J2125" t="s">
        <v>8376</v>
      </c>
    </row>
    <row r="2126" spans="1:10" x14ac:dyDescent="0.35">
      <c r="A2126" s="6" t="s">
        <v>228</v>
      </c>
      <c r="B2126">
        <v>30.72</v>
      </c>
      <c r="C2126">
        <v>6.06</v>
      </c>
      <c r="D2126" s="6" t="s">
        <v>2370</v>
      </c>
      <c r="E2126" s="6" t="s">
        <v>2372</v>
      </c>
      <c r="F2126" s="6" t="s">
        <v>2370</v>
      </c>
      <c r="G2126">
        <v>1</v>
      </c>
      <c r="H2126" s="6" t="s">
        <v>2370</v>
      </c>
      <c r="I2126" t="s">
        <v>8374</v>
      </c>
      <c r="J2126" t="s">
        <v>8376</v>
      </c>
    </row>
    <row r="2127" spans="1:10" x14ac:dyDescent="0.35">
      <c r="A2127" s="6" t="s">
        <v>227</v>
      </c>
      <c r="B2127">
        <v>37.43</v>
      </c>
      <c r="C2127">
        <v>4.5599999999999996</v>
      </c>
      <c r="D2127" s="6" t="s">
        <v>2370</v>
      </c>
      <c r="E2127" s="6" t="s">
        <v>2370</v>
      </c>
      <c r="F2127" s="6" t="s">
        <v>2373</v>
      </c>
      <c r="G2127">
        <v>1</v>
      </c>
      <c r="H2127" s="6" t="s">
        <v>2370</v>
      </c>
      <c r="I2127" t="s">
        <v>8374</v>
      </c>
      <c r="J2127" t="s">
        <v>8377</v>
      </c>
    </row>
    <row r="2128" spans="1:10" x14ac:dyDescent="0.35">
      <c r="A2128" s="6" t="s">
        <v>226</v>
      </c>
      <c r="B2128">
        <v>25.74</v>
      </c>
      <c r="C2128">
        <v>6.41</v>
      </c>
      <c r="D2128" s="6" t="s">
        <v>2373</v>
      </c>
      <c r="E2128" s="6" t="s">
        <v>2370</v>
      </c>
      <c r="F2128" s="6" t="s">
        <v>2373</v>
      </c>
      <c r="G2128">
        <v>1</v>
      </c>
      <c r="H2128" s="6" t="s">
        <v>2370</v>
      </c>
      <c r="I2128" t="s">
        <v>8378</v>
      </c>
      <c r="J2128" t="s">
        <v>8376</v>
      </c>
    </row>
    <row r="2129" spans="1:10" x14ac:dyDescent="0.35">
      <c r="A2129" s="6" t="s">
        <v>225</v>
      </c>
      <c r="B2129">
        <v>36.575000000000003</v>
      </c>
      <c r="C2129">
        <v>5.57</v>
      </c>
      <c r="D2129" s="6" t="s">
        <v>2370</v>
      </c>
      <c r="E2129" s="6" t="s">
        <v>2370</v>
      </c>
      <c r="F2129" s="6" t="s">
        <v>2373</v>
      </c>
      <c r="G2129">
        <v>1</v>
      </c>
      <c r="H2129" s="6" t="s">
        <v>2370</v>
      </c>
      <c r="I2129" t="s">
        <v>8374</v>
      </c>
      <c r="J2129" t="s">
        <v>8377</v>
      </c>
    </row>
    <row r="2130" spans="1:10" x14ac:dyDescent="0.35">
      <c r="A2130" s="6" t="s">
        <v>224</v>
      </c>
      <c r="B2130">
        <v>35.15</v>
      </c>
      <c r="C2130">
        <v>5.47</v>
      </c>
      <c r="D2130" s="6" t="s">
        <v>2370</v>
      </c>
      <c r="E2130" s="6" t="s">
        <v>2370</v>
      </c>
      <c r="F2130" s="6" t="s">
        <v>2373</v>
      </c>
      <c r="G2130">
        <v>1</v>
      </c>
      <c r="H2130" s="6" t="s">
        <v>2370</v>
      </c>
      <c r="I2130" t="s">
        <v>8374</v>
      </c>
      <c r="J2130" t="s">
        <v>8377</v>
      </c>
    </row>
    <row r="2131" spans="1:10" x14ac:dyDescent="0.35">
      <c r="A2131" s="6" t="s">
        <v>223</v>
      </c>
      <c r="B2131">
        <v>32.11</v>
      </c>
      <c r="C2131">
        <v>4.43</v>
      </c>
      <c r="D2131" s="6" t="s">
        <v>2370</v>
      </c>
      <c r="E2131" s="6" t="s">
        <v>2370</v>
      </c>
      <c r="F2131" s="6" t="s">
        <v>2373</v>
      </c>
      <c r="G2131">
        <v>1</v>
      </c>
      <c r="H2131" s="6" t="s">
        <v>2370</v>
      </c>
      <c r="I2131" t="s">
        <v>8374</v>
      </c>
      <c r="J2131" t="s">
        <v>8377</v>
      </c>
    </row>
    <row r="2132" spans="1:10" x14ac:dyDescent="0.35">
      <c r="A2132" s="6" t="s">
        <v>222</v>
      </c>
      <c r="B2132">
        <v>30.495000000000001</v>
      </c>
      <c r="C2132">
        <v>4.95</v>
      </c>
      <c r="D2132" s="6" t="s">
        <v>2370</v>
      </c>
      <c r="E2132" s="6" t="s">
        <v>2370</v>
      </c>
      <c r="F2132" s="6" t="s">
        <v>2373</v>
      </c>
      <c r="G2132">
        <v>1</v>
      </c>
      <c r="H2132" s="6" t="s">
        <v>2370</v>
      </c>
      <c r="I2132" t="s">
        <v>8374</v>
      </c>
      <c r="J2132" t="s">
        <v>8377</v>
      </c>
    </row>
    <row r="2133" spans="1:10" x14ac:dyDescent="0.35">
      <c r="A2133" s="6" t="s">
        <v>221</v>
      </c>
      <c r="B2133">
        <v>29.24</v>
      </c>
      <c r="C2133">
        <v>4.04</v>
      </c>
      <c r="D2133" s="6" t="s">
        <v>2370</v>
      </c>
      <c r="E2133" s="6" t="s">
        <v>2372</v>
      </c>
      <c r="F2133" s="6" t="s">
        <v>2370</v>
      </c>
      <c r="G2133">
        <v>1</v>
      </c>
      <c r="H2133" s="6" t="s">
        <v>2370</v>
      </c>
      <c r="I2133" t="s">
        <v>8378</v>
      </c>
      <c r="J2133" t="s">
        <v>8377</v>
      </c>
    </row>
    <row r="2134" spans="1:10" x14ac:dyDescent="0.35">
      <c r="A2134" s="6" t="s">
        <v>220</v>
      </c>
      <c r="B2134">
        <v>22.515000000000001</v>
      </c>
      <c r="C2134">
        <v>5.93</v>
      </c>
      <c r="D2134" s="6" t="s">
        <v>2370</v>
      </c>
      <c r="E2134" s="6" t="s">
        <v>2370</v>
      </c>
      <c r="F2134" s="6" t="s">
        <v>2373</v>
      </c>
      <c r="G2134">
        <v>1</v>
      </c>
      <c r="H2134" s="6" t="s">
        <v>2370</v>
      </c>
      <c r="I2134" t="s">
        <v>8379</v>
      </c>
      <c r="J2134" t="s">
        <v>8376</v>
      </c>
    </row>
    <row r="2135" spans="1:10" x14ac:dyDescent="0.35">
      <c r="A2135" s="6" t="s">
        <v>219</v>
      </c>
      <c r="B2135">
        <v>15.65</v>
      </c>
      <c r="C2135">
        <v>4.2300000000000004</v>
      </c>
      <c r="D2135" s="6" t="s">
        <v>2370</v>
      </c>
      <c r="E2135" s="6" t="s">
        <v>2370</v>
      </c>
      <c r="F2135" s="6" t="s">
        <v>2370</v>
      </c>
      <c r="G2135">
        <v>0</v>
      </c>
      <c r="H2135" s="6" t="s">
        <v>2370</v>
      </c>
      <c r="I2135" t="s">
        <v>8380</v>
      </c>
      <c r="J2135" t="s">
        <v>8377</v>
      </c>
    </row>
    <row r="2136" spans="1:10" x14ac:dyDescent="0.35">
      <c r="A2136" s="6" t="s">
        <v>218</v>
      </c>
      <c r="B2136">
        <v>27.36</v>
      </c>
      <c r="C2136">
        <v>5.59</v>
      </c>
      <c r="D2136" s="6" t="s">
        <v>2373</v>
      </c>
      <c r="E2136" s="6" t="s">
        <v>2370</v>
      </c>
      <c r="F2136" s="6" t="s">
        <v>2370</v>
      </c>
      <c r="G2136">
        <v>0</v>
      </c>
      <c r="H2136" s="6" t="s">
        <v>2370</v>
      </c>
      <c r="I2136" t="s">
        <v>8378</v>
      </c>
      <c r="J2136" t="s">
        <v>8377</v>
      </c>
    </row>
    <row r="2137" spans="1:10" x14ac:dyDescent="0.35">
      <c r="A2137" s="6" t="s">
        <v>217</v>
      </c>
      <c r="B2137">
        <v>22.3</v>
      </c>
      <c r="C2137">
        <v>4.8899999999999997</v>
      </c>
      <c r="D2137" s="6" t="s">
        <v>2373</v>
      </c>
      <c r="E2137" s="6" t="s">
        <v>2370</v>
      </c>
      <c r="F2137" s="6" t="s">
        <v>2370</v>
      </c>
      <c r="G2137">
        <v>0</v>
      </c>
      <c r="H2137" s="6" t="s">
        <v>2370</v>
      </c>
      <c r="I2137" t="s">
        <v>8379</v>
      </c>
      <c r="J2137" t="s">
        <v>8377</v>
      </c>
    </row>
    <row r="2138" spans="1:10" x14ac:dyDescent="0.35">
      <c r="A2138" s="6" t="s">
        <v>216</v>
      </c>
      <c r="B2138">
        <v>26.03</v>
      </c>
      <c r="C2138">
        <v>5.81</v>
      </c>
      <c r="D2138" s="6" t="s">
        <v>2373</v>
      </c>
      <c r="E2138" s="6" t="s">
        <v>2370</v>
      </c>
      <c r="F2138" s="6" t="s">
        <v>2370</v>
      </c>
      <c r="G2138">
        <v>0</v>
      </c>
      <c r="H2138" s="6" t="s">
        <v>2370</v>
      </c>
      <c r="I2138" t="s">
        <v>8378</v>
      </c>
      <c r="J2138" t="s">
        <v>8376</v>
      </c>
    </row>
    <row r="2139" spans="1:10" x14ac:dyDescent="0.35">
      <c r="A2139" s="6" t="s">
        <v>215</v>
      </c>
      <c r="B2139">
        <v>27.74</v>
      </c>
      <c r="C2139">
        <v>4.29</v>
      </c>
      <c r="D2139" s="6" t="s">
        <v>2370</v>
      </c>
      <c r="E2139" s="6" t="s">
        <v>2372</v>
      </c>
      <c r="F2139" s="6" t="s">
        <v>2370</v>
      </c>
      <c r="G2139">
        <v>1</v>
      </c>
      <c r="H2139" s="6" t="s">
        <v>2370</v>
      </c>
      <c r="I2139" t="s">
        <v>8378</v>
      </c>
      <c r="J2139" t="s">
        <v>8377</v>
      </c>
    </row>
    <row r="2140" spans="1:10" x14ac:dyDescent="0.35">
      <c r="A2140" s="6" t="s">
        <v>214</v>
      </c>
      <c r="B2140">
        <v>32.11</v>
      </c>
      <c r="C2140">
        <v>4.03</v>
      </c>
      <c r="D2140" s="6" t="s">
        <v>2373</v>
      </c>
      <c r="E2140" s="6" t="s">
        <v>2372</v>
      </c>
      <c r="F2140" s="6" t="s">
        <v>2370</v>
      </c>
      <c r="G2140">
        <v>2</v>
      </c>
      <c r="H2140" s="6" t="s">
        <v>2370</v>
      </c>
      <c r="I2140" t="s">
        <v>8374</v>
      </c>
      <c r="J2140" t="s">
        <v>8377</v>
      </c>
    </row>
    <row r="2141" spans="1:10" x14ac:dyDescent="0.35">
      <c r="A2141" s="6" t="s">
        <v>213</v>
      </c>
      <c r="B2141">
        <v>25.175000000000001</v>
      </c>
      <c r="C2141">
        <v>6.29</v>
      </c>
      <c r="D2141" s="6" t="s">
        <v>2373</v>
      </c>
      <c r="E2141" s="6" t="s">
        <v>2372</v>
      </c>
      <c r="F2141" s="6" t="s">
        <v>2370</v>
      </c>
      <c r="G2141">
        <v>2</v>
      </c>
      <c r="H2141" s="6" t="s">
        <v>2370</v>
      </c>
      <c r="I2141" t="s">
        <v>8378</v>
      </c>
      <c r="J2141" t="s">
        <v>8376</v>
      </c>
    </row>
    <row r="2142" spans="1:10" x14ac:dyDescent="0.35">
      <c r="A2142" s="6" t="s">
        <v>212</v>
      </c>
      <c r="B2142">
        <v>39.49</v>
      </c>
      <c r="C2142">
        <v>4.4800000000000004</v>
      </c>
      <c r="D2142" s="6" t="s">
        <v>2373</v>
      </c>
      <c r="E2142" s="6" t="s">
        <v>2370</v>
      </c>
      <c r="F2142" s="6" t="s">
        <v>2370</v>
      </c>
      <c r="G2142">
        <v>0</v>
      </c>
      <c r="H2142" s="6" t="s">
        <v>2370</v>
      </c>
      <c r="I2142" t="s">
        <v>8374</v>
      </c>
      <c r="J2142" t="s">
        <v>8377</v>
      </c>
    </row>
    <row r="2143" spans="1:10" x14ac:dyDescent="0.35">
      <c r="A2143" s="6" t="s">
        <v>211</v>
      </c>
      <c r="B2143">
        <v>34.869999999999997</v>
      </c>
      <c r="C2143">
        <v>5.51</v>
      </c>
      <c r="D2143" s="6" t="s">
        <v>2373</v>
      </c>
      <c r="E2143" s="6" t="s">
        <v>2370</v>
      </c>
      <c r="F2143" s="6" t="s">
        <v>2370</v>
      </c>
      <c r="G2143">
        <v>0</v>
      </c>
      <c r="H2143" s="6" t="s">
        <v>2370</v>
      </c>
      <c r="I2143" t="s">
        <v>8374</v>
      </c>
      <c r="J2143" t="s">
        <v>8377</v>
      </c>
    </row>
    <row r="2144" spans="1:10" x14ac:dyDescent="0.35">
      <c r="A2144" s="6" t="s">
        <v>210</v>
      </c>
      <c r="B2144">
        <v>34.6</v>
      </c>
      <c r="C2144">
        <v>4.5</v>
      </c>
      <c r="D2144" s="6" t="s">
        <v>2373</v>
      </c>
      <c r="E2144" s="6" t="s">
        <v>2370</v>
      </c>
      <c r="F2144" s="6" t="s">
        <v>2370</v>
      </c>
      <c r="G2144">
        <v>0</v>
      </c>
      <c r="H2144" s="6" t="s">
        <v>2370</v>
      </c>
      <c r="I2144" t="s">
        <v>8374</v>
      </c>
      <c r="J2144" t="s">
        <v>8377</v>
      </c>
    </row>
    <row r="2145" spans="1:10" x14ac:dyDescent="0.35">
      <c r="A2145" s="6" t="s">
        <v>209</v>
      </c>
      <c r="B2145">
        <v>25.8</v>
      </c>
      <c r="C2145">
        <v>6.29</v>
      </c>
      <c r="D2145" s="6" t="s">
        <v>2373</v>
      </c>
      <c r="E2145" s="6" t="s">
        <v>2370</v>
      </c>
      <c r="F2145" s="6" t="s">
        <v>2370</v>
      </c>
      <c r="G2145">
        <v>0</v>
      </c>
      <c r="H2145" s="6" t="s">
        <v>2370</v>
      </c>
      <c r="I2145" t="s">
        <v>8378</v>
      </c>
      <c r="J2145" t="s">
        <v>8376</v>
      </c>
    </row>
    <row r="2146" spans="1:10" x14ac:dyDescent="0.35">
      <c r="A2146" s="6" t="s">
        <v>208</v>
      </c>
      <c r="B2146">
        <v>35.86</v>
      </c>
      <c r="C2146">
        <v>4.33</v>
      </c>
      <c r="D2146" s="6" t="s">
        <v>2370</v>
      </c>
      <c r="E2146" s="6" t="s">
        <v>2370</v>
      </c>
      <c r="F2146" s="6" t="s">
        <v>2370</v>
      </c>
      <c r="G2146">
        <v>1</v>
      </c>
      <c r="H2146" s="6" t="s">
        <v>2370</v>
      </c>
      <c r="I2146" t="s">
        <v>8374</v>
      </c>
      <c r="J2146" t="s">
        <v>8377</v>
      </c>
    </row>
    <row r="2147" spans="1:10" x14ac:dyDescent="0.35">
      <c r="A2147" s="6" t="s">
        <v>207</v>
      </c>
      <c r="B2147">
        <v>40.47</v>
      </c>
      <c r="C2147">
        <v>11.15</v>
      </c>
      <c r="D2147" s="6" t="s">
        <v>2370</v>
      </c>
      <c r="E2147" s="6" t="s">
        <v>2370</v>
      </c>
      <c r="F2147" s="6" t="s">
        <v>2370</v>
      </c>
      <c r="G2147">
        <v>0</v>
      </c>
      <c r="H2147" s="6" t="s">
        <v>2370</v>
      </c>
      <c r="I2147" t="s">
        <v>8374</v>
      </c>
      <c r="J2147" t="s">
        <v>8375</v>
      </c>
    </row>
    <row r="2148" spans="1:10" x14ac:dyDescent="0.35">
      <c r="A2148" s="6" t="s">
        <v>206</v>
      </c>
      <c r="B2148">
        <v>32.01</v>
      </c>
      <c r="C2148">
        <v>6.45</v>
      </c>
      <c r="D2148" s="6" t="s">
        <v>2370</v>
      </c>
      <c r="E2148" s="6" t="s">
        <v>2370</v>
      </c>
      <c r="F2148" s="6" t="s">
        <v>2370</v>
      </c>
      <c r="G2148">
        <v>1</v>
      </c>
      <c r="H2148" s="6" t="s">
        <v>2370</v>
      </c>
      <c r="I2148" t="s">
        <v>8374</v>
      </c>
      <c r="J2148" t="s">
        <v>8376</v>
      </c>
    </row>
    <row r="2149" spans="1:10" x14ac:dyDescent="0.35">
      <c r="A2149" s="6" t="s">
        <v>205</v>
      </c>
      <c r="B2149">
        <v>33</v>
      </c>
      <c r="C2149">
        <v>9.27</v>
      </c>
      <c r="D2149" s="6" t="s">
        <v>2370</v>
      </c>
      <c r="E2149" s="6" t="s">
        <v>2370</v>
      </c>
      <c r="F2149" s="6" t="s">
        <v>2370</v>
      </c>
      <c r="G2149">
        <v>0</v>
      </c>
      <c r="H2149" s="6" t="s">
        <v>2370</v>
      </c>
      <c r="I2149" t="s">
        <v>8374</v>
      </c>
      <c r="J2149" t="s">
        <v>8375</v>
      </c>
    </row>
    <row r="2150" spans="1:10" x14ac:dyDescent="0.35">
      <c r="A2150" s="6" t="s">
        <v>204</v>
      </c>
      <c r="B2150">
        <v>29.3</v>
      </c>
      <c r="C2150">
        <v>6.15</v>
      </c>
      <c r="D2150" s="6" t="s">
        <v>2370</v>
      </c>
      <c r="E2150" s="6" t="s">
        <v>2370</v>
      </c>
      <c r="F2150" s="6" t="s">
        <v>2370</v>
      </c>
      <c r="G2150">
        <v>1</v>
      </c>
      <c r="H2150" s="6" t="s">
        <v>2370</v>
      </c>
      <c r="I2150" t="s">
        <v>8378</v>
      </c>
      <c r="J2150" t="s">
        <v>8376</v>
      </c>
    </row>
    <row r="2151" spans="1:10" x14ac:dyDescent="0.35">
      <c r="A2151" s="6" t="s">
        <v>203</v>
      </c>
      <c r="B2151">
        <v>25.8</v>
      </c>
      <c r="C2151">
        <v>4.13</v>
      </c>
      <c r="D2151" s="6" t="s">
        <v>2370</v>
      </c>
      <c r="E2151" s="6" t="s">
        <v>2370</v>
      </c>
      <c r="F2151" s="6" t="s">
        <v>2370</v>
      </c>
      <c r="G2151">
        <v>1</v>
      </c>
      <c r="H2151" s="6" t="s">
        <v>2370</v>
      </c>
      <c r="I2151" t="s">
        <v>8378</v>
      </c>
      <c r="J2151" t="s">
        <v>8377</v>
      </c>
    </row>
    <row r="2152" spans="1:10" x14ac:dyDescent="0.35">
      <c r="A2152" s="6" t="s">
        <v>202</v>
      </c>
      <c r="B2152">
        <v>23.4</v>
      </c>
      <c r="C2152">
        <v>4.24</v>
      </c>
      <c r="D2152" s="6" t="s">
        <v>2370</v>
      </c>
      <c r="E2152" s="6" t="s">
        <v>2370</v>
      </c>
      <c r="F2152" s="6" t="s">
        <v>2370</v>
      </c>
      <c r="G2152">
        <v>1</v>
      </c>
      <c r="H2152" s="6" t="s">
        <v>2370</v>
      </c>
      <c r="I2152" t="s">
        <v>8379</v>
      </c>
      <c r="J2152" t="s">
        <v>8377</v>
      </c>
    </row>
    <row r="2153" spans="1:10" x14ac:dyDescent="0.35">
      <c r="A2153" s="6" t="s">
        <v>201</v>
      </c>
      <c r="B2153">
        <v>27.93</v>
      </c>
      <c r="C2153">
        <v>9.8800000000000008</v>
      </c>
      <c r="D2153" s="6" t="s">
        <v>2370</v>
      </c>
      <c r="E2153" s="6" t="s">
        <v>2370</v>
      </c>
      <c r="F2153" s="6" t="s">
        <v>2370</v>
      </c>
      <c r="G2153">
        <v>0</v>
      </c>
      <c r="H2153" s="6" t="s">
        <v>2370</v>
      </c>
      <c r="I2153" t="s">
        <v>8378</v>
      </c>
      <c r="J2153" t="s">
        <v>8375</v>
      </c>
    </row>
    <row r="2154" spans="1:10" x14ac:dyDescent="0.35">
      <c r="A2154" s="6" t="s">
        <v>200</v>
      </c>
      <c r="B2154">
        <v>22</v>
      </c>
      <c r="C2154">
        <v>9.5</v>
      </c>
      <c r="D2154" s="6" t="s">
        <v>2370</v>
      </c>
      <c r="E2154" s="6" t="s">
        <v>2370</v>
      </c>
      <c r="F2154" s="6" t="s">
        <v>2370</v>
      </c>
      <c r="G2154">
        <v>0</v>
      </c>
      <c r="H2154" s="6" t="s">
        <v>2370</v>
      </c>
      <c r="I2154" t="s">
        <v>8379</v>
      </c>
      <c r="J2154" t="s">
        <v>8375</v>
      </c>
    </row>
    <row r="2155" spans="1:10" x14ac:dyDescent="0.35">
      <c r="A2155" s="6" t="s">
        <v>199</v>
      </c>
      <c r="B2155">
        <v>36.86</v>
      </c>
      <c r="C2155">
        <v>4.97</v>
      </c>
      <c r="D2155" s="6" t="s">
        <v>2373</v>
      </c>
      <c r="E2155" s="6" t="s">
        <v>2370</v>
      </c>
      <c r="F2155" s="6" t="s">
        <v>2370</v>
      </c>
      <c r="G2155">
        <v>0</v>
      </c>
      <c r="H2155" s="6" t="s">
        <v>2370</v>
      </c>
      <c r="I2155" t="s">
        <v>8374</v>
      </c>
      <c r="J2155" t="s">
        <v>8377</v>
      </c>
    </row>
    <row r="2156" spans="1:10" x14ac:dyDescent="0.35">
      <c r="A2156" s="6" t="s">
        <v>198</v>
      </c>
      <c r="B2156">
        <v>31.254999999999999</v>
      </c>
      <c r="C2156">
        <v>5.49</v>
      </c>
      <c r="D2156" s="6" t="s">
        <v>2373</v>
      </c>
      <c r="E2156" s="6" t="s">
        <v>2370</v>
      </c>
      <c r="F2156" s="6" t="s">
        <v>2370</v>
      </c>
      <c r="G2156">
        <v>0</v>
      </c>
      <c r="H2156" s="6" t="s">
        <v>2370</v>
      </c>
      <c r="I2156" t="s">
        <v>8374</v>
      </c>
      <c r="J2156" t="s">
        <v>8377</v>
      </c>
    </row>
    <row r="2157" spans="1:10" x14ac:dyDescent="0.35">
      <c r="A2157" s="6" t="s">
        <v>197</v>
      </c>
      <c r="B2157">
        <v>23.06</v>
      </c>
      <c r="C2157">
        <v>4.47</v>
      </c>
      <c r="D2157" s="6" t="s">
        <v>2370</v>
      </c>
      <c r="E2157" s="6" t="s">
        <v>2370</v>
      </c>
      <c r="F2157" s="6" t="s">
        <v>2370</v>
      </c>
      <c r="G2157">
        <v>0</v>
      </c>
      <c r="H2157" s="6" t="s">
        <v>2370</v>
      </c>
      <c r="I2157" t="s">
        <v>8379</v>
      </c>
      <c r="J2157" t="s">
        <v>8377</v>
      </c>
    </row>
    <row r="2158" spans="1:10" x14ac:dyDescent="0.35">
      <c r="A2158" s="6" t="s">
        <v>196</v>
      </c>
      <c r="B2158">
        <v>28.975000000000001</v>
      </c>
      <c r="C2158">
        <v>4.34</v>
      </c>
      <c r="D2158" s="6" t="s">
        <v>2373</v>
      </c>
      <c r="E2158" s="6" t="s">
        <v>2370</v>
      </c>
      <c r="F2158" s="6" t="s">
        <v>2370</v>
      </c>
      <c r="G2158">
        <v>0</v>
      </c>
      <c r="H2158" s="6" t="s">
        <v>2370</v>
      </c>
      <c r="I2158" t="s">
        <v>8378</v>
      </c>
      <c r="J2158" t="s">
        <v>8377</v>
      </c>
    </row>
    <row r="2159" spans="1:10" x14ac:dyDescent="0.35">
      <c r="A2159" s="6" t="s">
        <v>195</v>
      </c>
      <c r="B2159">
        <v>33.299999999999997</v>
      </c>
      <c r="C2159">
        <v>9.49</v>
      </c>
      <c r="D2159" s="6" t="s">
        <v>2370</v>
      </c>
      <c r="E2159" s="6" t="s">
        <v>2370</v>
      </c>
      <c r="F2159" s="6" t="s">
        <v>2370</v>
      </c>
      <c r="G2159">
        <v>0</v>
      </c>
      <c r="H2159" s="6" t="s">
        <v>2370</v>
      </c>
      <c r="I2159" t="s">
        <v>8374</v>
      </c>
      <c r="J2159" t="s">
        <v>8375</v>
      </c>
    </row>
    <row r="2160" spans="1:10" x14ac:dyDescent="0.35">
      <c r="A2160" s="6" t="s">
        <v>194</v>
      </c>
      <c r="B2160">
        <v>33</v>
      </c>
      <c r="C2160">
        <v>10.16</v>
      </c>
      <c r="D2160" s="6" t="s">
        <v>2370</v>
      </c>
      <c r="E2160" s="6" t="s">
        <v>2370</v>
      </c>
      <c r="F2160" s="6" t="s">
        <v>2370</v>
      </c>
      <c r="G2160">
        <v>0</v>
      </c>
      <c r="H2160" s="6" t="s">
        <v>2370</v>
      </c>
      <c r="I2160" t="s">
        <v>8374</v>
      </c>
      <c r="J2160" t="s">
        <v>8375</v>
      </c>
    </row>
    <row r="2161" spans="1:10" x14ac:dyDescent="0.35">
      <c r="A2161" s="6" t="s">
        <v>193</v>
      </c>
      <c r="B2161">
        <v>31.46</v>
      </c>
      <c r="C2161">
        <v>11.19</v>
      </c>
      <c r="D2161" s="6" t="s">
        <v>2370</v>
      </c>
      <c r="E2161" s="6" t="s">
        <v>2370</v>
      </c>
      <c r="F2161" s="6" t="s">
        <v>2370</v>
      </c>
      <c r="G2161">
        <v>0</v>
      </c>
      <c r="H2161" s="6" t="s">
        <v>2370</v>
      </c>
      <c r="I2161" t="s">
        <v>8374</v>
      </c>
      <c r="J2161" t="s">
        <v>8375</v>
      </c>
    </row>
    <row r="2162" spans="1:10" x14ac:dyDescent="0.35">
      <c r="A2162" s="6" t="s">
        <v>192</v>
      </c>
      <c r="B2162">
        <v>29.6</v>
      </c>
      <c r="C2162">
        <v>11.03</v>
      </c>
      <c r="D2162" s="6" t="s">
        <v>2370</v>
      </c>
      <c r="E2162" s="6" t="s">
        <v>2370</v>
      </c>
      <c r="F2162" s="6" t="s">
        <v>2370</v>
      </c>
      <c r="G2162">
        <v>0</v>
      </c>
      <c r="H2162" s="6" t="s">
        <v>2370</v>
      </c>
      <c r="I2162" t="s">
        <v>8378</v>
      </c>
      <c r="J2162" t="s">
        <v>8375</v>
      </c>
    </row>
    <row r="2163" spans="1:10" x14ac:dyDescent="0.35">
      <c r="A2163" s="6" t="s">
        <v>191</v>
      </c>
      <c r="B2163">
        <v>22.05</v>
      </c>
      <c r="C2163">
        <v>4.43</v>
      </c>
      <c r="D2163" s="6" t="s">
        <v>2373</v>
      </c>
      <c r="E2163" s="6" t="s">
        <v>2370</v>
      </c>
      <c r="F2163" s="6" t="s">
        <v>2370</v>
      </c>
      <c r="G2163">
        <v>0</v>
      </c>
      <c r="H2163" s="6" t="s">
        <v>2370</v>
      </c>
      <c r="I2163" t="s">
        <v>8379</v>
      </c>
      <c r="J2163" t="s">
        <v>8377</v>
      </c>
    </row>
    <row r="2164" spans="1:10" x14ac:dyDescent="0.35">
      <c r="A2164" s="6" t="s">
        <v>189</v>
      </c>
      <c r="B2164">
        <v>27.06</v>
      </c>
      <c r="C2164">
        <v>6.14</v>
      </c>
      <c r="D2164" s="6" t="s">
        <v>2370</v>
      </c>
      <c r="E2164" s="6" t="s">
        <v>2372</v>
      </c>
      <c r="F2164" s="6" t="s">
        <v>2370</v>
      </c>
      <c r="G2164">
        <v>1</v>
      </c>
      <c r="H2164" s="6" t="s">
        <v>2370</v>
      </c>
      <c r="I2164" t="s">
        <v>8378</v>
      </c>
      <c r="J2164" t="s">
        <v>8376</v>
      </c>
    </row>
    <row r="2165" spans="1:10" x14ac:dyDescent="0.35">
      <c r="A2165" s="6" t="s">
        <v>188</v>
      </c>
      <c r="B2165">
        <v>20.49</v>
      </c>
      <c r="C2165">
        <v>4.87</v>
      </c>
      <c r="D2165" s="6" t="s">
        <v>2370</v>
      </c>
      <c r="E2165" s="6" t="s">
        <v>2370</v>
      </c>
      <c r="F2165" s="6" t="s">
        <v>2370</v>
      </c>
      <c r="G2165">
        <v>0</v>
      </c>
      <c r="H2165" s="6" t="s">
        <v>2370</v>
      </c>
      <c r="I2165" t="s">
        <v>8379</v>
      </c>
      <c r="J2165" t="s">
        <v>8377</v>
      </c>
    </row>
    <row r="2166" spans="1:10" x14ac:dyDescent="0.35">
      <c r="A2166" s="6" t="s">
        <v>187</v>
      </c>
      <c r="B2166">
        <v>28.4</v>
      </c>
      <c r="C2166">
        <v>4.3</v>
      </c>
      <c r="D2166" s="6" t="s">
        <v>2370</v>
      </c>
      <c r="E2166" s="6" t="s">
        <v>2370</v>
      </c>
      <c r="F2166" s="6" t="s">
        <v>2373</v>
      </c>
      <c r="G2166">
        <v>1</v>
      </c>
      <c r="H2166" s="6" t="s">
        <v>2370</v>
      </c>
      <c r="I2166" t="s">
        <v>8378</v>
      </c>
      <c r="J2166" t="s">
        <v>8377</v>
      </c>
    </row>
    <row r="2167" spans="1:10" x14ac:dyDescent="0.35">
      <c r="A2167" s="6" t="s">
        <v>186</v>
      </c>
      <c r="B2167">
        <v>41.91</v>
      </c>
      <c r="C2167">
        <v>6.19</v>
      </c>
      <c r="D2167" s="6" t="s">
        <v>2370</v>
      </c>
      <c r="E2167" s="6" t="s">
        <v>2370</v>
      </c>
      <c r="F2167" s="6" t="s">
        <v>2370</v>
      </c>
      <c r="G2167">
        <v>0</v>
      </c>
      <c r="H2167" s="6" t="s">
        <v>2370</v>
      </c>
      <c r="I2167" t="s">
        <v>8374</v>
      </c>
      <c r="J2167" t="s">
        <v>8376</v>
      </c>
    </row>
    <row r="2168" spans="1:10" x14ac:dyDescent="0.35">
      <c r="A2168" s="6" t="s">
        <v>185</v>
      </c>
      <c r="B2168">
        <v>24.6</v>
      </c>
      <c r="C2168">
        <v>6.19</v>
      </c>
      <c r="D2168" s="6" t="s">
        <v>2370</v>
      </c>
      <c r="E2168" s="6" t="s">
        <v>2370</v>
      </c>
      <c r="F2168" s="6" t="s">
        <v>2373</v>
      </c>
      <c r="G2168">
        <v>1</v>
      </c>
      <c r="H2168" s="6" t="s">
        <v>2370</v>
      </c>
      <c r="I2168" t="s">
        <v>8379</v>
      </c>
      <c r="J2168" t="s">
        <v>8376</v>
      </c>
    </row>
    <row r="2169" spans="1:10" x14ac:dyDescent="0.35">
      <c r="A2169" s="6" t="s">
        <v>184</v>
      </c>
      <c r="B2169">
        <v>20.9</v>
      </c>
      <c r="C2169">
        <v>5.12</v>
      </c>
      <c r="D2169" s="6" t="s">
        <v>2370</v>
      </c>
      <c r="E2169" s="6" t="s">
        <v>2370</v>
      </c>
      <c r="F2169" s="6" t="s">
        <v>2373</v>
      </c>
      <c r="G2169">
        <v>1</v>
      </c>
      <c r="H2169" s="6" t="s">
        <v>2370</v>
      </c>
      <c r="I2169" t="s">
        <v>8379</v>
      </c>
      <c r="J2169" t="s">
        <v>8377</v>
      </c>
    </row>
    <row r="2170" spans="1:10" x14ac:dyDescent="0.35">
      <c r="A2170" s="6" t="s">
        <v>183</v>
      </c>
      <c r="B2170">
        <v>34.4</v>
      </c>
      <c r="C2170">
        <v>4.04</v>
      </c>
      <c r="D2170" s="6" t="s">
        <v>2370</v>
      </c>
      <c r="E2170" s="6" t="s">
        <v>2370</v>
      </c>
      <c r="F2170" s="6" t="s">
        <v>2370</v>
      </c>
      <c r="G2170">
        <v>0</v>
      </c>
      <c r="H2170" s="6" t="s">
        <v>2370</v>
      </c>
      <c r="I2170" t="s">
        <v>8374</v>
      </c>
      <c r="J2170" t="s">
        <v>8377</v>
      </c>
    </row>
    <row r="2171" spans="1:10" x14ac:dyDescent="0.35">
      <c r="A2171" s="6" t="s">
        <v>182</v>
      </c>
      <c r="B2171">
        <v>32.56</v>
      </c>
      <c r="C2171">
        <v>5.36</v>
      </c>
      <c r="D2171" s="6" t="s">
        <v>2370</v>
      </c>
      <c r="E2171" s="6" t="s">
        <v>2370</v>
      </c>
      <c r="F2171" s="6" t="s">
        <v>2370</v>
      </c>
      <c r="G2171">
        <v>0</v>
      </c>
      <c r="H2171" s="6" t="s">
        <v>2370</v>
      </c>
      <c r="I2171" t="s">
        <v>8374</v>
      </c>
      <c r="J2171" t="s">
        <v>8377</v>
      </c>
    </row>
    <row r="2172" spans="1:10" x14ac:dyDescent="0.35">
      <c r="A2172" s="6" t="s">
        <v>181</v>
      </c>
      <c r="B2172">
        <v>27.98</v>
      </c>
      <c r="C2172">
        <v>4.38</v>
      </c>
      <c r="D2172" s="6" t="s">
        <v>2370</v>
      </c>
      <c r="E2172" s="6" t="s">
        <v>2372</v>
      </c>
      <c r="F2172" s="6" t="s">
        <v>2370</v>
      </c>
      <c r="G2172">
        <v>1</v>
      </c>
      <c r="H2172" s="6" t="s">
        <v>2370</v>
      </c>
      <c r="I2172" t="s">
        <v>8378</v>
      </c>
      <c r="J2172" t="s">
        <v>8377</v>
      </c>
    </row>
    <row r="2173" spans="1:10" x14ac:dyDescent="0.35">
      <c r="A2173" s="6" t="s">
        <v>180</v>
      </c>
      <c r="B2173">
        <v>26.51</v>
      </c>
      <c r="C2173">
        <v>4.58</v>
      </c>
      <c r="D2173" s="6" t="s">
        <v>2370</v>
      </c>
      <c r="E2173" s="6" t="s">
        <v>2370</v>
      </c>
      <c r="F2173" s="6" t="s">
        <v>2370</v>
      </c>
      <c r="G2173">
        <v>0</v>
      </c>
      <c r="H2173" s="6" t="s">
        <v>2370</v>
      </c>
      <c r="I2173" t="s">
        <v>8378</v>
      </c>
      <c r="J2173" t="s">
        <v>8377</v>
      </c>
    </row>
    <row r="2174" spans="1:10" x14ac:dyDescent="0.35">
      <c r="A2174" s="6" t="s">
        <v>179</v>
      </c>
      <c r="B2174">
        <v>29.734999999999999</v>
      </c>
      <c r="C2174">
        <v>11.92</v>
      </c>
      <c r="D2174" s="6" t="s">
        <v>2370</v>
      </c>
      <c r="E2174" s="6" t="s">
        <v>2370</v>
      </c>
      <c r="F2174" s="6" t="s">
        <v>2370</v>
      </c>
      <c r="G2174">
        <v>0</v>
      </c>
      <c r="H2174" s="6" t="s">
        <v>2370</v>
      </c>
      <c r="I2174" t="s">
        <v>8378</v>
      </c>
      <c r="J2174" t="s">
        <v>8375</v>
      </c>
    </row>
    <row r="2175" spans="1:10" x14ac:dyDescent="0.35">
      <c r="A2175" s="6" t="s">
        <v>178</v>
      </c>
      <c r="B2175">
        <v>40.5</v>
      </c>
      <c r="C2175">
        <v>5.4</v>
      </c>
      <c r="D2175" s="6" t="s">
        <v>2370</v>
      </c>
      <c r="E2175" s="6" t="s">
        <v>2370</v>
      </c>
      <c r="F2175" s="6" t="s">
        <v>2373</v>
      </c>
      <c r="G2175">
        <v>1</v>
      </c>
      <c r="H2175" s="6" t="s">
        <v>2370</v>
      </c>
      <c r="I2175" t="s">
        <v>8374</v>
      </c>
      <c r="J2175" t="s">
        <v>8377</v>
      </c>
    </row>
    <row r="2176" spans="1:10" x14ac:dyDescent="0.35">
      <c r="A2176" s="6" t="s">
        <v>177</v>
      </c>
      <c r="B2176">
        <v>25.64</v>
      </c>
      <c r="C2176">
        <v>4.76</v>
      </c>
      <c r="D2176" s="6" t="s">
        <v>2370</v>
      </c>
      <c r="E2176" s="6" t="s">
        <v>2370</v>
      </c>
      <c r="F2176" s="6" t="s">
        <v>2370</v>
      </c>
      <c r="G2176">
        <v>1</v>
      </c>
      <c r="H2176" s="6" t="s">
        <v>2370</v>
      </c>
      <c r="I2176" t="s">
        <v>8378</v>
      </c>
      <c r="J2176" t="s">
        <v>8377</v>
      </c>
    </row>
    <row r="2177" spans="1:10" x14ac:dyDescent="0.35">
      <c r="A2177" s="6" t="s">
        <v>176</v>
      </c>
      <c r="B2177">
        <v>32.9</v>
      </c>
      <c r="C2177">
        <v>4.78</v>
      </c>
      <c r="D2177" s="6" t="s">
        <v>2370</v>
      </c>
      <c r="E2177" s="6" t="s">
        <v>2370</v>
      </c>
      <c r="F2177" s="6" t="s">
        <v>2373</v>
      </c>
      <c r="G2177">
        <v>1</v>
      </c>
      <c r="H2177" s="6" t="s">
        <v>2370</v>
      </c>
      <c r="I2177" t="s">
        <v>8374</v>
      </c>
      <c r="J2177" t="s">
        <v>8377</v>
      </c>
    </row>
    <row r="2178" spans="1:10" x14ac:dyDescent="0.35">
      <c r="A2178" s="6" t="s">
        <v>175</v>
      </c>
      <c r="B2178">
        <v>29.8</v>
      </c>
      <c r="C2178">
        <v>4.26</v>
      </c>
      <c r="D2178" s="6" t="s">
        <v>2370</v>
      </c>
      <c r="E2178" s="6" t="s">
        <v>2370</v>
      </c>
      <c r="F2178" s="6" t="s">
        <v>2373</v>
      </c>
      <c r="G2178">
        <v>1</v>
      </c>
      <c r="H2178" s="6" t="s">
        <v>2370</v>
      </c>
      <c r="I2178" t="s">
        <v>8378</v>
      </c>
      <c r="J2178" t="s">
        <v>8377</v>
      </c>
    </row>
    <row r="2179" spans="1:10" x14ac:dyDescent="0.35">
      <c r="A2179" s="6" t="s">
        <v>174</v>
      </c>
      <c r="B2179">
        <v>28.9</v>
      </c>
      <c r="C2179">
        <v>5.85</v>
      </c>
      <c r="D2179" s="6" t="s">
        <v>2370</v>
      </c>
      <c r="E2179" s="6" t="s">
        <v>2370</v>
      </c>
      <c r="F2179" s="6" t="s">
        <v>2373</v>
      </c>
      <c r="G2179">
        <v>1</v>
      </c>
      <c r="H2179" s="6" t="s">
        <v>2370</v>
      </c>
      <c r="I2179" t="s">
        <v>8378</v>
      </c>
      <c r="J2179" t="s">
        <v>8376</v>
      </c>
    </row>
    <row r="2180" spans="1:10" x14ac:dyDescent="0.35">
      <c r="A2180" s="6" t="s">
        <v>173</v>
      </c>
      <c r="B2180">
        <v>24.7</v>
      </c>
      <c r="C2180">
        <v>5.32</v>
      </c>
      <c r="D2180" s="6" t="s">
        <v>2370</v>
      </c>
      <c r="E2180" s="6" t="s">
        <v>2370</v>
      </c>
      <c r="F2180" s="6" t="s">
        <v>2373</v>
      </c>
      <c r="G2180">
        <v>1</v>
      </c>
      <c r="H2180" s="6" t="s">
        <v>2370</v>
      </c>
      <c r="I2180" t="s">
        <v>8379</v>
      </c>
      <c r="J2180" t="s">
        <v>8377</v>
      </c>
    </row>
    <row r="2181" spans="1:10" x14ac:dyDescent="0.35">
      <c r="A2181" s="6" t="s">
        <v>172</v>
      </c>
      <c r="B2181">
        <v>20.6</v>
      </c>
      <c r="C2181">
        <v>5.14</v>
      </c>
      <c r="D2181" s="6" t="s">
        <v>2370</v>
      </c>
      <c r="E2181" s="6" t="s">
        <v>2370</v>
      </c>
      <c r="F2181" s="6" t="s">
        <v>2373</v>
      </c>
      <c r="G2181">
        <v>1</v>
      </c>
      <c r="H2181" s="6" t="s">
        <v>2370</v>
      </c>
      <c r="I2181" t="s">
        <v>8379</v>
      </c>
      <c r="J2181" t="s">
        <v>8377</v>
      </c>
    </row>
    <row r="2182" spans="1:10" x14ac:dyDescent="0.35">
      <c r="A2182" s="6" t="s">
        <v>171</v>
      </c>
      <c r="B2182">
        <v>18.600000000000001</v>
      </c>
      <c r="C2182">
        <v>5</v>
      </c>
      <c r="D2182" s="6" t="s">
        <v>2370</v>
      </c>
      <c r="E2182" s="6" t="s">
        <v>2370</v>
      </c>
      <c r="F2182" s="6" t="s">
        <v>2373</v>
      </c>
      <c r="G2182">
        <v>1</v>
      </c>
      <c r="H2182" s="6" t="s">
        <v>2370</v>
      </c>
      <c r="I2182" t="s">
        <v>8379</v>
      </c>
      <c r="J2182" t="s">
        <v>8377</v>
      </c>
    </row>
    <row r="2183" spans="1:10" x14ac:dyDescent="0.35">
      <c r="A2183" s="6" t="s">
        <v>170</v>
      </c>
      <c r="B2183">
        <v>17.8</v>
      </c>
      <c r="C2183">
        <v>4.55</v>
      </c>
      <c r="D2183" s="6" t="s">
        <v>2370</v>
      </c>
      <c r="E2183" s="6" t="s">
        <v>2370</v>
      </c>
      <c r="F2183" s="6" t="s">
        <v>2373</v>
      </c>
      <c r="G2183">
        <v>1</v>
      </c>
      <c r="H2183" s="6" t="s">
        <v>2370</v>
      </c>
      <c r="I2183" t="s">
        <v>8380</v>
      </c>
      <c r="J2183" t="s">
        <v>8377</v>
      </c>
    </row>
    <row r="2184" spans="1:10" x14ac:dyDescent="0.35">
      <c r="A2184" s="6" t="s">
        <v>169</v>
      </c>
      <c r="B2184">
        <v>35.200000000000003</v>
      </c>
      <c r="C2184">
        <v>5.97</v>
      </c>
      <c r="D2184" s="6" t="s">
        <v>2370</v>
      </c>
      <c r="E2184" s="6" t="s">
        <v>2372</v>
      </c>
      <c r="F2184" s="6" t="s">
        <v>2370</v>
      </c>
      <c r="G2184">
        <v>1</v>
      </c>
      <c r="H2184" s="6" t="s">
        <v>2370</v>
      </c>
      <c r="I2184" t="s">
        <v>8374</v>
      </c>
      <c r="J2184" t="s">
        <v>8376</v>
      </c>
    </row>
    <row r="2185" spans="1:10" x14ac:dyDescent="0.35">
      <c r="A2185" s="6" t="s">
        <v>168</v>
      </c>
      <c r="B2185">
        <v>33.770000000000003</v>
      </c>
      <c r="C2185">
        <v>4.0199999999999996</v>
      </c>
      <c r="D2185" s="6" t="s">
        <v>2370</v>
      </c>
      <c r="E2185" s="6" t="s">
        <v>2372</v>
      </c>
      <c r="F2185" s="6" t="s">
        <v>2370</v>
      </c>
      <c r="G2185">
        <v>1</v>
      </c>
      <c r="H2185" s="6" t="s">
        <v>2370</v>
      </c>
      <c r="I2185" t="s">
        <v>8374</v>
      </c>
      <c r="J2185" t="s">
        <v>8377</v>
      </c>
    </row>
    <row r="2186" spans="1:10" x14ac:dyDescent="0.35">
      <c r="A2186" s="6" t="s">
        <v>167</v>
      </c>
      <c r="B2186">
        <v>30.03</v>
      </c>
      <c r="C2186">
        <v>4.04</v>
      </c>
      <c r="D2186" s="6" t="s">
        <v>2370</v>
      </c>
      <c r="E2186" s="6" t="s">
        <v>2372</v>
      </c>
      <c r="F2186" s="6" t="s">
        <v>2370</v>
      </c>
      <c r="G2186">
        <v>1</v>
      </c>
      <c r="H2186" s="6" t="s">
        <v>2370</v>
      </c>
      <c r="I2186" t="s">
        <v>8374</v>
      </c>
      <c r="J2186" t="s">
        <v>8377</v>
      </c>
    </row>
    <row r="2187" spans="1:10" x14ac:dyDescent="0.35">
      <c r="A2187" s="6" t="s">
        <v>166</v>
      </c>
      <c r="B2187">
        <v>29.37</v>
      </c>
      <c r="C2187">
        <v>5.54</v>
      </c>
      <c r="D2187" s="6" t="s">
        <v>2370</v>
      </c>
      <c r="E2187" s="6" t="s">
        <v>2372</v>
      </c>
      <c r="F2187" s="6" t="s">
        <v>2370</v>
      </c>
      <c r="G2187">
        <v>1</v>
      </c>
      <c r="H2187" s="6" t="s">
        <v>2370</v>
      </c>
      <c r="I2187" t="s">
        <v>8378</v>
      </c>
      <c r="J2187" t="s">
        <v>8377</v>
      </c>
    </row>
    <row r="2188" spans="1:10" x14ac:dyDescent="0.35">
      <c r="A2188" s="6" t="s">
        <v>165</v>
      </c>
      <c r="B2188">
        <v>28.5</v>
      </c>
      <c r="C2188">
        <v>4.03</v>
      </c>
      <c r="D2188" s="6" t="s">
        <v>2370</v>
      </c>
      <c r="E2188" s="6" t="s">
        <v>2372</v>
      </c>
      <c r="F2188" s="6" t="s">
        <v>2370</v>
      </c>
      <c r="G2188">
        <v>1</v>
      </c>
      <c r="H2188" s="6" t="s">
        <v>2370</v>
      </c>
      <c r="I2188" t="s">
        <v>8378</v>
      </c>
      <c r="J2188" t="s">
        <v>8377</v>
      </c>
    </row>
    <row r="2189" spans="1:10" x14ac:dyDescent="0.35">
      <c r="A2189" s="6" t="s">
        <v>164</v>
      </c>
      <c r="B2189">
        <v>23.32</v>
      </c>
      <c r="C2189">
        <v>5.62</v>
      </c>
      <c r="D2189" s="6" t="s">
        <v>2370</v>
      </c>
      <c r="E2189" s="6" t="s">
        <v>2372</v>
      </c>
      <c r="F2189" s="6" t="s">
        <v>2370</v>
      </c>
      <c r="G2189">
        <v>1</v>
      </c>
      <c r="H2189" s="6" t="s">
        <v>2370</v>
      </c>
      <c r="I2189" t="s">
        <v>8379</v>
      </c>
      <c r="J2189" t="s">
        <v>8377</v>
      </c>
    </row>
    <row r="2190" spans="1:10" x14ac:dyDescent="0.35">
      <c r="A2190" s="6" t="s">
        <v>163</v>
      </c>
      <c r="B2190">
        <v>26.125</v>
      </c>
      <c r="C2190">
        <v>5.27</v>
      </c>
      <c r="D2190" s="6" t="s">
        <v>2370</v>
      </c>
      <c r="E2190" s="6" t="s">
        <v>2372</v>
      </c>
      <c r="F2190" s="6" t="s">
        <v>2370</v>
      </c>
      <c r="G2190">
        <v>1</v>
      </c>
      <c r="H2190" s="6" t="s">
        <v>2370</v>
      </c>
      <c r="I2190" t="s">
        <v>8378</v>
      </c>
      <c r="J2190" t="s">
        <v>8377</v>
      </c>
    </row>
    <row r="2191" spans="1:10" x14ac:dyDescent="0.35">
      <c r="A2191" s="6" t="s">
        <v>162</v>
      </c>
      <c r="B2191">
        <v>25.46</v>
      </c>
      <c r="C2191">
        <v>5.18</v>
      </c>
      <c r="D2191" s="6" t="s">
        <v>2370</v>
      </c>
      <c r="E2191" s="6" t="s">
        <v>2372</v>
      </c>
      <c r="F2191" s="6" t="s">
        <v>2370</v>
      </c>
      <c r="G2191">
        <v>1</v>
      </c>
      <c r="H2191" s="6" t="s">
        <v>2370</v>
      </c>
      <c r="I2191" t="s">
        <v>8378</v>
      </c>
      <c r="J2191" t="s">
        <v>8377</v>
      </c>
    </row>
    <row r="2192" spans="1:10" x14ac:dyDescent="0.35">
      <c r="A2192" s="6" t="s">
        <v>161</v>
      </c>
      <c r="B2192">
        <v>23.75</v>
      </c>
      <c r="C2192">
        <v>5.27</v>
      </c>
      <c r="D2192" s="6" t="s">
        <v>2370</v>
      </c>
      <c r="E2192" s="6" t="s">
        <v>2372</v>
      </c>
      <c r="F2192" s="6" t="s">
        <v>2370</v>
      </c>
      <c r="G2192">
        <v>1</v>
      </c>
      <c r="H2192" s="6" t="s">
        <v>2370</v>
      </c>
      <c r="I2192" t="s">
        <v>8379</v>
      </c>
      <c r="J2192" t="s">
        <v>8377</v>
      </c>
    </row>
    <row r="2193" spans="1:10" x14ac:dyDescent="0.35">
      <c r="A2193" s="6" t="s">
        <v>159</v>
      </c>
      <c r="B2193">
        <v>23.085000000000001</v>
      </c>
      <c r="C2193">
        <v>5.62</v>
      </c>
      <c r="D2193" s="6" t="s">
        <v>2370</v>
      </c>
      <c r="E2193" s="6" t="s">
        <v>2372</v>
      </c>
      <c r="F2193" s="6" t="s">
        <v>2370</v>
      </c>
      <c r="G2193">
        <v>1</v>
      </c>
      <c r="H2193" s="6" t="s">
        <v>2370</v>
      </c>
      <c r="I2193" t="s">
        <v>8379</v>
      </c>
      <c r="J2193" t="s">
        <v>8377</v>
      </c>
    </row>
    <row r="2194" spans="1:10" x14ac:dyDescent="0.35">
      <c r="A2194" s="6" t="s">
        <v>157</v>
      </c>
      <c r="B2194">
        <v>22.99</v>
      </c>
      <c r="C2194">
        <v>5.0599999999999996</v>
      </c>
      <c r="D2194" s="6" t="s">
        <v>2370</v>
      </c>
      <c r="E2194" s="6" t="s">
        <v>2372</v>
      </c>
      <c r="F2194" s="6" t="s">
        <v>2370</v>
      </c>
      <c r="G2194">
        <v>1</v>
      </c>
      <c r="H2194" s="6" t="s">
        <v>2370</v>
      </c>
      <c r="I2194" t="s">
        <v>8379</v>
      </c>
      <c r="J2194" t="s">
        <v>8377</v>
      </c>
    </row>
    <row r="2195" spans="1:10" x14ac:dyDescent="0.35">
      <c r="A2195" s="6" t="s">
        <v>155</v>
      </c>
      <c r="B2195">
        <v>21.47</v>
      </c>
      <c r="C2195">
        <v>4.6900000000000004</v>
      </c>
      <c r="D2195" s="6" t="s">
        <v>2370</v>
      </c>
      <c r="E2195" s="6" t="s">
        <v>2372</v>
      </c>
      <c r="F2195" s="6" t="s">
        <v>2370</v>
      </c>
      <c r="G2195">
        <v>1</v>
      </c>
      <c r="H2195" s="6" t="s">
        <v>2370</v>
      </c>
      <c r="I2195" t="s">
        <v>8379</v>
      </c>
      <c r="J2195" t="s">
        <v>8377</v>
      </c>
    </row>
    <row r="2196" spans="1:10" x14ac:dyDescent="0.35">
      <c r="A2196" s="6" t="s">
        <v>153</v>
      </c>
      <c r="B2196">
        <v>15.96</v>
      </c>
      <c r="C2196">
        <v>5.44</v>
      </c>
      <c r="D2196" s="6" t="s">
        <v>2370</v>
      </c>
      <c r="E2196" s="6" t="s">
        <v>2372</v>
      </c>
      <c r="F2196" s="6" t="s">
        <v>2370</v>
      </c>
      <c r="G2196">
        <v>1</v>
      </c>
      <c r="H2196" s="6" t="s">
        <v>2370</v>
      </c>
      <c r="I2196" t="s">
        <v>8380</v>
      </c>
      <c r="J2196" t="s">
        <v>8377</v>
      </c>
    </row>
    <row r="2197" spans="1:10" x14ac:dyDescent="0.35">
      <c r="A2197" s="6" t="s">
        <v>152</v>
      </c>
      <c r="B2197">
        <v>39.5</v>
      </c>
      <c r="C2197">
        <v>5.05</v>
      </c>
      <c r="D2197" s="6" t="s">
        <v>2370</v>
      </c>
      <c r="E2197" s="6" t="s">
        <v>2372</v>
      </c>
      <c r="F2197" s="6" t="s">
        <v>2370</v>
      </c>
      <c r="G2197">
        <v>1</v>
      </c>
      <c r="H2197" s="6" t="s">
        <v>2370</v>
      </c>
      <c r="I2197" t="s">
        <v>8374</v>
      </c>
      <c r="J2197" t="s">
        <v>8377</v>
      </c>
    </row>
    <row r="2198" spans="1:10" x14ac:dyDescent="0.35">
      <c r="A2198" s="6" t="s">
        <v>151</v>
      </c>
      <c r="B2198">
        <v>33.770000000000003</v>
      </c>
      <c r="C2198">
        <v>6</v>
      </c>
      <c r="D2198" s="6" t="s">
        <v>2370</v>
      </c>
      <c r="E2198" s="6" t="s">
        <v>2372</v>
      </c>
      <c r="F2198" s="6" t="s">
        <v>2370</v>
      </c>
      <c r="G2198">
        <v>1</v>
      </c>
      <c r="H2198" s="6" t="s">
        <v>2370</v>
      </c>
      <c r="I2198" t="s">
        <v>8374</v>
      </c>
      <c r="J2198" t="s">
        <v>8376</v>
      </c>
    </row>
    <row r="2199" spans="1:10" x14ac:dyDescent="0.35">
      <c r="A2199" s="6" t="s">
        <v>150</v>
      </c>
      <c r="B2199">
        <v>26.84</v>
      </c>
      <c r="C2199">
        <v>5.99</v>
      </c>
      <c r="D2199" s="6" t="s">
        <v>2373</v>
      </c>
      <c r="E2199" s="6" t="s">
        <v>2372</v>
      </c>
      <c r="F2199" s="6" t="s">
        <v>2370</v>
      </c>
      <c r="G2199">
        <v>1</v>
      </c>
      <c r="H2199" s="6" t="s">
        <v>2370</v>
      </c>
      <c r="I2199" t="s">
        <v>8378</v>
      </c>
      <c r="J2199" t="s">
        <v>8376</v>
      </c>
    </row>
    <row r="2200" spans="1:10" x14ac:dyDescent="0.35">
      <c r="A2200" s="6" t="s">
        <v>149</v>
      </c>
      <c r="B2200">
        <v>35.53</v>
      </c>
      <c r="C2200">
        <v>4.3600000000000003</v>
      </c>
      <c r="D2200" s="6" t="s">
        <v>2370</v>
      </c>
      <c r="E2200" s="6" t="s">
        <v>2370</v>
      </c>
      <c r="F2200" s="6" t="s">
        <v>2373</v>
      </c>
      <c r="G2200">
        <v>1</v>
      </c>
      <c r="H2200" s="6" t="s">
        <v>2370</v>
      </c>
      <c r="I2200" t="s">
        <v>8374</v>
      </c>
      <c r="J2200" t="s">
        <v>8377</v>
      </c>
    </row>
    <row r="2201" spans="1:10" x14ac:dyDescent="0.35">
      <c r="A2201" s="6" t="s">
        <v>148</v>
      </c>
      <c r="B2201">
        <v>30.59</v>
      </c>
      <c r="C2201">
        <v>4.41</v>
      </c>
      <c r="D2201" s="6" t="s">
        <v>2370</v>
      </c>
      <c r="E2201" s="6" t="s">
        <v>2370</v>
      </c>
      <c r="F2201" s="6" t="s">
        <v>2373</v>
      </c>
      <c r="G2201">
        <v>1</v>
      </c>
      <c r="H2201" s="6" t="s">
        <v>2370</v>
      </c>
      <c r="I2201" t="s">
        <v>8374</v>
      </c>
      <c r="J2201" t="s">
        <v>8377</v>
      </c>
    </row>
    <row r="2202" spans="1:10" x14ac:dyDescent="0.35">
      <c r="A2202" s="6" t="s">
        <v>147</v>
      </c>
      <c r="B2202">
        <v>30.59</v>
      </c>
      <c r="C2202">
        <v>4.17</v>
      </c>
      <c r="D2202" s="6" t="s">
        <v>2370</v>
      </c>
      <c r="E2202" s="6" t="s">
        <v>2370</v>
      </c>
      <c r="F2202" s="6" t="s">
        <v>2373</v>
      </c>
      <c r="G2202">
        <v>1</v>
      </c>
      <c r="H2202" s="6" t="s">
        <v>2370</v>
      </c>
      <c r="I2202" t="s">
        <v>8374</v>
      </c>
      <c r="J2202" t="s">
        <v>8377</v>
      </c>
    </row>
    <row r="2203" spans="1:10" x14ac:dyDescent="0.35">
      <c r="A2203" s="6" t="s">
        <v>146</v>
      </c>
      <c r="B2203">
        <v>27.835000000000001</v>
      </c>
      <c r="C2203">
        <v>4.4400000000000004</v>
      </c>
      <c r="D2203" s="6" t="s">
        <v>2370</v>
      </c>
      <c r="E2203" s="6" t="s">
        <v>2370</v>
      </c>
      <c r="F2203" s="6" t="s">
        <v>2373</v>
      </c>
      <c r="G2203">
        <v>1</v>
      </c>
      <c r="H2203" s="6" t="s">
        <v>2370</v>
      </c>
      <c r="I2203" t="s">
        <v>8378</v>
      </c>
      <c r="J2203" t="s">
        <v>8377</v>
      </c>
    </row>
    <row r="2204" spans="1:10" x14ac:dyDescent="0.35">
      <c r="A2204" s="6" t="s">
        <v>145</v>
      </c>
      <c r="B2204">
        <v>40.26</v>
      </c>
      <c r="C2204">
        <v>5.52</v>
      </c>
      <c r="D2204" s="6" t="s">
        <v>2370</v>
      </c>
      <c r="E2204" s="6" t="s">
        <v>2372</v>
      </c>
      <c r="F2204" s="6" t="s">
        <v>2370</v>
      </c>
      <c r="G2204">
        <v>1</v>
      </c>
      <c r="H2204" s="6" t="s">
        <v>2370</v>
      </c>
      <c r="I2204" t="s">
        <v>8374</v>
      </c>
      <c r="J2204" t="s">
        <v>8377</v>
      </c>
    </row>
    <row r="2205" spans="1:10" x14ac:dyDescent="0.35">
      <c r="A2205" s="6" t="s">
        <v>144</v>
      </c>
      <c r="B2205">
        <v>39.82</v>
      </c>
      <c r="C2205">
        <v>6.01</v>
      </c>
      <c r="D2205" s="6" t="s">
        <v>2370</v>
      </c>
      <c r="E2205" s="6" t="s">
        <v>2372</v>
      </c>
      <c r="F2205" s="6" t="s">
        <v>2370</v>
      </c>
      <c r="G2205">
        <v>1</v>
      </c>
      <c r="H2205" s="6" t="s">
        <v>2370</v>
      </c>
      <c r="I2205" t="s">
        <v>8374</v>
      </c>
      <c r="J2205" t="s">
        <v>8376</v>
      </c>
    </row>
    <row r="2206" spans="1:10" x14ac:dyDescent="0.35">
      <c r="A2206" s="6" t="s">
        <v>143</v>
      </c>
      <c r="B2206">
        <v>39.159999999999997</v>
      </c>
      <c r="C2206">
        <v>5.81</v>
      </c>
      <c r="D2206" s="6" t="s">
        <v>2370</v>
      </c>
      <c r="E2206" s="6" t="s">
        <v>2372</v>
      </c>
      <c r="F2206" s="6" t="s">
        <v>2370</v>
      </c>
      <c r="G2206">
        <v>1</v>
      </c>
      <c r="H2206" s="6" t="s">
        <v>2370</v>
      </c>
      <c r="I2206" t="s">
        <v>8374</v>
      </c>
      <c r="J2206" t="s">
        <v>8376</v>
      </c>
    </row>
    <row r="2207" spans="1:10" x14ac:dyDescent="0.35">
      <c r="A2207" s="6" t="s">
        <v>142</v>
      </c>
      <c r="B2207">
        <v>25.555</v>
      </c>
      <c r="C2207">
        <v>4.37</v>
      </c>
      <c r="D2207" s="6" t="s">
        <v>2370</v>
      </c>
      <c r="E2207" s="6" t="s">
        <v>2370</v>
      </c>
      <c r="F2207" s="6" t="s">
        <v>2373</v>
      </c>
      <c r="G2207">
        <v>1</v>
      </c>
      <c r="H2207" s="6" t="s">
        <v>2370</v>
      </c>
      <c r="I2207" t="s">
        <v>8378</v>
      </c>
      <c r="J2207" t="s">
        <v>8377</v>
      </c>
    </row>
    <row r="2208" spans="1:10" x14ac:dyDescent="0.35">
      <c r="A2208" s="6" t="s">
        <v>141</v>
      </c>
      <c r="B2208">
        <v>25.175000000000001</v>
      </c>
      <c r="C2208">
        <v>5.74</v>
      </c>
      <c r="D2208" s="6" t="s">
        <v>2370</v>
      </c>
      <c r="E2208" s="6" t="s">
        <v>2370</v>
      </c>
      <c r="F2208" s="6" t="s">
        <v>2373</v>
      </c>
      <c r="G2208">
        <v>1</v>
      </c>
      <c r="H2208" s="6" t="s">
        <v>2370</v>
      </c>
      <c r="I2208" t="s">
        <v>8378</v>
      </c>
      <c r="J2208" t="s">
        <v>8376</v>
      </c>
    </row>
    <row r="2209" spans="1:10" x14ac:dyDescent="0.35">
      <c r="A2209" s="6" t="s">
        <v>140</v>
      </c>
      <c r="B2209">
        <v>38.28</v>
      </c>
      <c r="C2209">
        <v>5.39</v>
      </c>
      <c r="D2209" s="6" t="s">
        <v>2370</v>
      </c>
      <c r="E2209" s="6" t="s">
        <v>2372</v>
      </c>
      <c r="F2209" s="6" t="s">
        <v>2370</v>
      </c>
      <c r="G2209">
        <v>1</v>
      </c>
      <c r="H2209" s="6" t="s">
        <v>2370</v>
      </c>
      <c r="I2209" t="s">
        <v>8374</v>
      </c>
      <c r="J2209" t="s">
        <v>8377</v>
      </c>
    </row>
    <row r="2210" spans="1:10" x14ac:dyDescent="0.35">
      <c r="A2210" s="6" t="s">
        <v>139</v>
      </c>
      <c r="B2210">
        <v>38.17</v>
      </c>
      <c r="C2210">
        <v>4.07</v>
      </c>
      <c r="D2210" s="6" t="s">
        <v>2370</v>
      </c>
      <c r="E2210" s="6" t="s">
        <v>2372</v>
      </c>
      <c r="F2210" s="6" t="s">
        <v>2370</v>
      </c>
      <c r="G2210">
        <v>1</v>
      </c>
      <c r="H2210" s="6" t="s">
        <v>2370</v>
      </c>
      <c r="I2210" t="s">
        <v>8374</v>
      </c>
      <c r="J2210" t="s">
        <v>8377</v>
      </c>
    </row>
    <row r="2211" spans="1:10" x14ac:dyDescent="0.35">
      <c r="A2211" s="6" t="s">
        <v>138</v>
      </c>
      <c r="B2211">
        <v>36.85</v>
      </c>
      <c r="C2211">
        <v>5.49</v>
      </c>
      <c r="D2211" s="6" t="s">
        <v>2370</v>
      </c>
      <c r="E2211" s="6" t="s">
        <v>2372</v>
      </c>
      <c r="F2211" s="6" t="s">
        <v>2370</v>
      </c>
      <c r="G2211">
        <v>1</v>
      </c>
      <c r="H2211" s="6" t="s">
        <v>2370</v>
      </c>
      <c r="I2211" t="s">
        <v>8374</v>
      </c>
      <c r="J2211" t="s">
        <v>8377</v>
      </c>
    </row>
    <row r="2212" spans="1:10" x14ac:dyDescent="0.35">
      <c r="A2212" s="6" t="s">
        <v>137</v>
      </c>
      <c r="B2212">
        <v>22.61</v>
      </c>
      <c r="C2212">
        <v>5.68</v>
      </c>
      <c r="D2212" s="6" t="s">
        <v>2370</v>
      </c>
      <c r="E2212" s="6" t="s">
        <v>2370</v>
      </c>
      <c r="F2212" s="6" t="s">
        <v>2373</v>
      </c>
      <c r="G2212">
        <v>1</v>
      </c>
      <c r="H2212" s="6" t="s">
        <v>2370</v>
      </c>
      <c r="I2212" t="s">
        <v>8379</v>
      </c>
      <c r="J2212" t="s">
        <v>8377</v>
      </c>
    </row>
    <row r="2213" spans="1:10" x14ac:dyDescent="0.35">
      <c r="A2213" s="6" t="s">
        <v>136</v>
      </c>
      <c r="B2213">
        <v>21.754999999999999</v>
      </c>
      <c r="C2213">
        <v>6.09</v>
      </c>
      <c r="D2213" s="6" t="s">
        <v>2370</v>
      </c>
      <c r="E2213" s="6" t="s">
        <v>2370</v>
      </c>
      <c r="F2213" s="6" t="s">
        <v>2373</v>
      </c>
      <c r="G2213">
        <v>1</v>
      </c>
      <c r="H2213" s="6" t="s">
        <v>2370</v>
      </c>
      <c r="I2213" t="s">
        <v>8379</v>
      </c>
      <c r="J2213" t="s">
        <v>8376</v>
      </c>
    </row>
    <row r="2214" spans="1:10" x14ac:dyDescent="0.35">
      <c r="A2214" s="6" t="s">
        <v>135</v>
      </c>
      <c r="B2214">
        <v>20.425000000000001</v>
      </c>
      <c r="C2214">
        <v>5.53</v>
      </c>
      <c r="D2214" s="6" t="s">
        <v>2370</v>
      </c>
      <c r="E2214" s="6" t="s">
        <v>2370</v>
      </c>
      <c r="F2214" s="6" t="s">
        <v>2373</v>
      </c>
      <c r="G2214">
        <v>1</v>
      </c>
      <c r="H2214" s="6" t="s">
        <v>2370</v>
      </c>
      <c r="I2214" t="s">
        <v>8379</v>
      </c>
      <c r="J2214" t="s">
        <v>8377</v>
      </c>
    </row>
    <row r="2215" spans="1:10" x14ac:dyDescent="0.35">
      <c r="A2215" s="6" t="s">
        <v>134</v>
      </c>
      <c r="B2215">
        <v>31.35</v>
      </c>
      <c r="C2215">
        <v>4.28</v>
      </c>
      <c r="D2215" s="6" t="s">
        <v>2370</v>
      </c>
      <c r="E2215" s="6" t="s">
        <v>2372</v>
      </c>
      <c r="F2215" s="6" t="s">
        <v>2370</v>
      </c>
      <c r="G2215">
        <v>1</v>
      </c>
      <c r="H2215" s="6" t="s">
        <v>2370</v>
      </c>
      <c r="I2215" t="s">
        <v>8374</v>
      </c>
      <c r="J2215" t="s">
        <v>8377</v>
      </c>
    </row>
    <row r="2216" spans="1:10" x14ac:dyDescent="0.35">
      <c r="A2216" s="6" t="s">
        <v>133</v>
      </c>
      <c r="B2216">
        <v>31.13</v>
      </c>
      <c r="C2216">
        <v>6.01</v>
      </c>
      <c r="D2216" s="6" t="s">
        <v>2370</v>
      </c>
      <c r="E2216" s="6" t="s">
        <v>2372</v>
      </c>
      <c r="F2216" s="6" t="s">
        <v>2370</v>
      </c>
      <c r="G2216">
        <v>1</v>
      </c>
      <c r="H2216" s="6" t="s">
        <v>2370</v>
      </c>
      <c r="I2216" t="s">
        <v>8374</v>
      </c>
      <c r="J2216" t="s">
        <v>8376</v>
      </c>
    </row>
    <row r="2217" spans="1:10" x14ac:dyDescent="0.35">
      <c r="A2217" s="6" t="s">
        <v>132</v>
      </c>
      <c r="B2217">
        <v>17.48</v>
      </c>
      <c r="C2217">
        <v>4.59</v>
      </c>
      <c r="D2217" s="6" t="s">
        <v>2370</v>
      </c>
      <c r="E2217" s="6" t="s">
        <v>2370</v>
      </c>
      <c r="F2217" s="6" t="s">
        <v>2373</v>
      </c>
      <c r="G2217">
        <v>1</v>
      </c>
      <c r="H2217" s="6" t="s">
        <v>2370</v>
      </c>
      <c r="I2217" t="s">
        <v>8380</v>
      </c>
      <c r="J2217" t="s">
        <v>8377</v>
      </c>
    </row>
    <row r="2218" spans="1:10" x14ac:dyDescent="0.35">
      <c r="A2218" s="6" t="s">
        <v>131</v>
      </c>
      <c r="B2218">
        <v>22.57</v>
      </c>
      <c r="C2218">
        <v>5.8</v>
      </c>
      <c r="D2218" s="6" t="s">
        <v>2373</v>
      </c>
      <c r="E2218" s="6" t="s">
        <v>2370</v>
      </c>
      <c r="F2218" s="6" t="s">
        <v>2370</v>
      </c>
      <c r="G2218">
        <v>1</v>
      </c>
      <c r="H2218" s="6" t="s">
        <v>2370</v>
      </c>
      <c r="I2218" t="s">
        <v>8379</v>
      </c>
      <c r="J2218" t="s">
        <v>8376</v>
      </c>
    </row>
    <row r="2219" spans="1:10" x14ac:dyDescent="0.35">
      <c r="A2219" s="6" t="s">
        <v>130</v>
      </c>
      <c r="B2219">
        <v>26.73</v>
      </c>
      <c r="C2219">
        <v>5.08</v>
      </c>
      <c r="D2219" s="6" t="s">
        <v>2370</v>
      </c>
      <c r="E2219" s="6" t="s">
        <v>2372</v>
      </c>
      <c r="F2219" s="6" t="s">
        <v>2370</v>
      </c>
      <c r="G2219">
        <v>1</v>
      </c>
      <c r="H2219" s="6" t="s">
        <v>2370</v>
      </c>
      <c r="I2219" t="s">
        <v>8378</v>
      </c>
      <c r="J2219" t="s">
        <v>8377</v>
      </c>
    </row>
    <row r="2220" spans="1:10" x14ac:dyDescent="0.35">
      <c r="A2220" s="6" t="s">
        <v>129</v>
      </c>
      <c r="B2220">
        <v>20.79</v>
      </c>
      <c r="C2220">
        <v>5.84</v>
      </c>
      <c r="D2220" s="6" t="s">
        <v>2370</v>
      </c>
      <c r="E2220" s="6" t="s">
        <v>2372</v>
      </c>
      <c r="F2220" s="6" t="s">
        <v>2370</v>
      </c>
      <c r="G2220">
        <v>1</v>
      </c>
      <c r="H2220" s="6" t="s">
        <v>2370</v>
      </c>
      <c r="I2220" t="s">
        <v>8379</v>
      </c>
      <c r="J2220" t="s">
        <v>8376</v>
      </c>
    </row>
    <row r="2221" spans="1:10" x14ac:dyDescent="0.35">
      <c r="A2221" s="6" t="s">
        <v>128</v>
      </c>
      <c r="B2221">
        <v>20.149999999999999</v>
      </c>
      <c r="C2221">
        <v>4.1500000000000004</v>
      </c>
      <c r="D2221" s="6" t="s">
        <v>2370</v>
      </c>
      <c r="E2221" s="6" t="s">
        <v>2370</v>
      </c>
      <c r="F2221" s="6" t="s">
        <v>2370</v>
      </c>
      <c r="G2221">
        <v>1</v>
      </c>
      <c r="H2221" s="6" t="s">
        <v>2370</v>
      </c>
      <c r="I2221" t="s">
        <v>8379</v>
      </c>
      <c r="J2221" t="s">
        <v>8377</v>
      </c>
    </row>
    <row r="2222" spans="1:10" x14ac:dyDescent="0.35">
      <c r="A2222" s="6" t="s">
        <v>127</v>
      </c>
      <c r="B2222">
        <v>36.85</v>
      </c>
      <c r="C2222">
        <v>4.3600000000000003</v>
      </c>
      <c r="D2222" s="6" t="s">
        <v>2373</v>
      </c>
      <c r="E2222" s="6" t="s">
        <v>2370</v>
      </c>
      <c r="F2222" s="6" t="s">
        <v>2370</v>
      </c>
      <c r="G2222">
        <v>0</v>
      </c>
      <c r="H2222" s="6" t="s">
        <v>2370</v>
      </c>
      <c r="I2222" t="s">
        <v>8374</v>
      </c>
      <c r="J2222" t="s">
        <v>8377</v>
      </c>
    </row>
    <row r="2223" spans="1:10" x14ac:dyDescent="0.35">
      <c r="A2223" s="6" t="s">
        <v>126</v>
      </c>
      <c r="B2223">
        <v>35.53</v>
      </c>
      <c r="C2223">
        <v>4.55</v>
      </c>
      <c r="D2223" s="6" t="s">
        <v>2373</v>
      </c>
      <c r="E2223" s="6" t="s">
        <v>2370</v>
      </c>
      <c r="F2223" s="6" t="s">
        <v>2370</v>
      </c>
      <c r="G2223">
        <v>0</v>
      </c>
      <c r="H2223" s="6" t="s">
        <v>2370</v>
      </c>
      <c r="I2223" t="s">
        <v>8374</v>
      </c>
      <c r="J2223" t="s">
        <v>8377</v>
      </c>
    </row>
    <row r="2224" spans="1:10" x14ac:dyDescent="0.35">
      <c r="A2224" s="6" t="s">
        <v>125</v>
      </c>
      <c r="B2224">
        <v>31.1</v>
      </c>
      <c r="C2224">
        <v>4.37</v>
      </c>
      <c r="D2224" s="6" t="s">
        <v>2373</v>
      </c>
      <c r="E2224" s="6" t="s">
        <v>2370</v>
      </c>
      <c r="F2224" s="6" t="s">
        <v>2370</v>
      </c>
      <c r="G2224">
        <v>0</v>
      </c>
      <c r="H2224" s="6" t="s">
        <v>2370</v>
      </c>
      <c r="I2224" t="s">
        <v>8374</v>
      </c>
      <c r="J2224" t="s">
        <v>8377</v>
      </c>
    </row>
    <row r="2225" spans="1:10" x14ac:dyDescent="0.35">
      <c r="A2225" s="6" t="s">
        <v>124</v>
      </c>
      <c r="B2225">
        <v>23.21</v>
      </c>
      <c r="C2225">
        <v>5.24</v>
      </c>
      <c r="D2225" s="6" t="s">
        <v>2373</v>
      </c>
      <c r="E2225" s="6" t="s">
        <v>2370</v>
      </c>
      <c r="F2225" s="6" t="s">
        <v>2370</v>
      </c>
      <c r="G2225">
        <v>0</v>
      </c>
      <c r="H2225" s="6" t="s">
        <v>2370</v>
      </c>
      <c r="I2225" t="s">
        <v>8379</v>
      </c>
      <c r="J2225" t="s">
        <v>8377</v>
      </c>
    </row>
    <row r="2226" spans="1:10" x14ac:dyDescent="0.35">
      <c r="A2226" s="6" t="s">
        <v>123</v>
      </c>
      <c r="B2226">
        <v>18.36</v>
      </c>
      <c r="C2226">
        <v>5.96</v>
      </c>
      <c r="D2226" s="6" t="s">
        <v>2370</v>
      </c>
      <c r="E2226" s="6" t="s">
        <v>2370</v>
      </c>
      <c r="F2226" s="6" t="s">
        <v>2370</v>
      </c>
      <c r="G2226">
        <v>1</v>
      </c>
      <c r="H2226" s="6" t="s">
        <v>2370</v>
      </c>
      <c r="I2226" t="s">
        <v>8380</v>
      </c>
      <c r="J2226" t="s">
        <v>8376</v>
      </c>
    </row>
    <row r="2227" spans="1:10" x14ac:dyDescent="0.35">
      <c r="A2227" s="6" t="s">
        <v>122</v>
      </c>
      <c r="B2227">
        <v>15.92</v>
      </c>
      <c r="C2227">
        <v>4.76</v>
      </c>
      <c r="D2227" s="6" t="s">
        <v>2373</v>
      </c>
      <c r="E2227" s="6" t="s">
        <v>2370</v>
      </c>
      <c r="F2227" s="6" t="s">
        <v>2370</v>
      </c>
      <c r="G2227">
        <v>1</v>
      </c>
      <c r="H2227" s="6" t="s">
        <v>2370</v>
      </c>
      <c r="I2227" t="s">
        <v>8380</v>
      </c>
      <c r="J2227" t="s">
        <v>8377</v>
      </c>
    </row>
    <row r="2228" spans="1:10" x14ac:dyDescent="0.35">
      <c r="A2228" s="6" t="s">
        <v>121</v>
      </c>
      <c r="B2228">
        <v>15.17</v>
      </c>
      <c r="C2228">
        <v>4.3</v>
      </c>
      <c r="D2228" s="6" t="s">
        <v>2373</v>
      </c>
      <c r="E2228" s="6" t="s">
        <v>2370</v>
      </c>
      <c r="F2228" s="6" t="s">
        <v>2373</v>
      </c>
      <c r="G2228">
        <v>1</v>
      </c>
      <c r="H2228" s="6" t="s">
        <v>2370</v>
      </c>
      <c r="I2228" t="s">
        <v>8380</v>
      </c>
      <c r="J2228" t="s">
        <v>8377</v>
      </c>
    </row>
    <row r="2229" spans="1:10" x14ac:dyDescent="0.35">
      <c r="A2229" s="6" t="s">
        <v>120</v>
      </c>
      <c r="B2229">
        <v>16.63</v>
      </c>
      <c r="C2229">
        <v>4.5</v>
      </c>
      <c r="D2229" s="6" t="s">
        <v>2370</v>
      </c>
      <c r="E2229" s="6" t="s">
        <v>2370</v>
      </c>
      <c r="F2229" s="6" t="s">
        <v>2370</v>
      </c>
      <c r="G2229">
        <v>1</v>
      </c>
      <c r="H2229" s="6" t="s">
        <v>2370</v>
      </c>
      <c r="I2229" t="s">
        <v>8380</v>
      </c>
      <c r="J2229" t="s">
        <v>8377</v>
      </c>
    </row>
    <row r="2230" spans="1:10" x14ac:dyDescent="0.35">
      <c r="A2230" s="6" t="s">
        <v>119</v>
      </c>
      <c r="B2230">
        <v>19.39</v>
      </c>
      <c r="C2230">
        <v>5.59</v>
      </c>
      <c r="D2230" s="6" t="s">
        <v>2370</v>
      </c>
      <c r="E2230" s="6" t="s">
        <v>2370</v>
      </c>
      <c r="F2230" s="6" t="s">
        <v>2373</v>
      </c>
      <c r="G2230">
        <v>1</v>
      </c>
      <c r="H2230" s="6" t="s">
        <v>2370</v>
      </c>
      <c r="I2230" t="s">
        <v>8379</v>
      </c>
      <c r="J2230" t="s">
        <v>8377</v>
      </c>
    </row>
    <row r="2231" spans="1:10" x14ac:dyDescent="0.35">
      <c r="A2231" s="6" t="s">
        <v>118</v>
      </c>
      <c r="B2231">
        <v>17.34</v>
      </c>
      <c r="C2231">
        <v>6.29</v>
      </c>
      <c r="D2231" s="6" t="s">
        <v>2373</v>
      </c>
      <c r="E2231" s="6" t="s">
        <v>2370</v>
      </c>
      <c r="F2231" s="6" t="s">
        <v>2373</v>
      </c>
      <c r="G2231">
        <v>1</v>
      </c>
      <c r="H2231" s="6" t="s">
        <v>2370</v>
      </c>
      <c r="I2231" t="s">
        <v>8380</v>
      </c>
      <c r="J2231" t="s">
        <v>8376</v>
      </c>
    </row>
    <row r="2232" spans="1:10" x14ac:dyDescent="0.35">
      <c r="A2232" s="6" t="s">
        <v>117</v>
      </c>
      <c r="B2232">
        <v>17.940000000000001</v>
      </c>
      <c r="C2232">
        <v>4.1900000000000004</v>
      </c>
      <c r="D2232" s="6" t="s">
        <v>2370</v>
      </c>
      <c r="E2232" s="6" t="s">
        <v>2372</v>
      </c>
      <c r="F2232" s="6" t="s">
        <v>2370</v>
      </c>
      <c r="G2232">
        <v>1</v>
      </c>
      <c r="H2232" s="6" t="s">
        <v>2370</v>
      </c>
      <c r="I2232" t="s">
        <v>8380</v>
      </c>
      <c r="J2232" t="s">
        <v>8377</v>
      </c>
    </row>
    <row r="2233" spans="1:10" x14ac:dyDescent="0.35">
      <c r="A2233" s="6" t="s">
        <v>116</v>
      </c>
      <c r="B2233">
        <v>16.670000000000002</v>
      </c>
      <c r="C2233">
        <v>4.7</v>
      </c>
      <c r="D2233" s="6" t="s">
        <v>2373</v>
      </c>
      <c r="E2233" s="6" t="s">
        <v>2370</v>
      </c>
      <c r="F2233" s="6" t="s">
        <v>2373</v>
      </c>
      <c r="G2233">
        <v>1</v>
      </c>
      <c r="H2233" s="6" t="s">
        <v>2370</v>
      </c>
      <c r="I2233" t="s">
        <v>8380</v>
      </c>
      <c r="J2233" t="s">
        <v>8377</v>
      </c>
    </row>
    <row r="2234" spans="1:10" x14ac:dyDescent="0.35">
      <c r="A2234" s="6" t="s">
        <v>115</v>
      </c>
      <c r="B2234">
        <v>20.58</v>
      </c>
      <c r="C2234">
        <v>5.64</v>
      </c>
      <c r="D2234" s="6" t="s">
        <v>2373</v>
      </c>
      <c r="E2234" s="6" t="s">
        <v>2370</v>
      </c>
      <c r="F2234" s="6" t="s">
        <v>2370</v>
      </c>
      <c r="G2234">
        <v>0</v>
      </c>
      <c r="H2234" s="6" t="s">
        <v>2370</v>
      </c>
      <c r="I2234" t="s">
        <v>8379</v>
      </c>
      <c r="J2234" t="s">
        <v>8377</v>
      </c>
    </row>
    <row r="2235" spans="1:10" x14ac:dyDescent="0.35">
      <c r="A2235" s="6" t="s">
        <v>114</v>
      </c>
      <c r="B2235">
        <v>16.5</v>
      </c>
      <c r="C2235">
        <v>4.1100000000000003</v>
      </c>
      <c r="D2235" s="6" t="s">
        <v>2373</v>
      </c>
      <c r="E2235" s="6" t="s">
        <v>2370</v>
      </c>
      <c r="F2235" s="6" t="s">
        <v>2370</v>
      </c>
      <c r="G2235">
        <v>0</v>
      </c>
      <c r="H2235" s="6" t="s">
        <v>2370</v>
      </c>
      <c r="I2235" t="s">
        <v>8380</v>
      </c>
      <c r="J2235" t="s">
        <v>8377</v>
      </c>
    </row>
    <row r="2236" spans="1:10" x14ac:dyDescent="0.35">
      <c r="A2236" s="6" t="s">
        <v>113</v>
      </c>
      <c r="B2236">
        <v>15.41</v>
      </c>
      <c r="C2236">
        <v>5.43</v>
      </c>
      <c r="D2236" s="6" t="s">
        <v>2373</v>
      </c>
      <c r="E2236" s="6" t="s">
        <v>2370</v>
      </c>
      <c r="F2236" s="6" t="s">
        <v>2373</v>
      </c>
      <c r="G2236">
        <v>1</v>
      </c>
      <c r="H2236" s="6" t="s">
        <v>2370</v>
      </c>
      <c r="I2236" t="s">
        <v>8380</v>
      </c>
      <c r="J2236" t="s">
        <v>8377</v>
      </c>
    </row>
    <row r="2237" spans="1:10" x14ac:dyDescent="0.35">
      <c r="A2237" s="6" t="s">
        <v>112</v>
      </c>
      <c r="B2237">
        <v>24.59</v>
      </c>
      <c r="C2237">
        <v>4.38</v>
      </c>
      <c r="D2237" s="6" t="s">
        <v>2370</v>
      </c>
      <c r="E2237" s="6" t="s">
        <v>2370</v>
      </c>
      <c r="F2237" s="6" t="s">
        <v>2370</v>
      </c>
      <c r="G2237">
        <v>1</v>
      </c>
      <c r="H2237" s="6" t="s">
        <v>2370</v>
      </c>
      <c r="I2237" t="s">
        <v>8379</v>
      </c>
      <c r="J2237" t="s">
        <v>8377</v>
      </c>
    </row>
    <row r="2238" spans="1:10" x14ac:dyDescent="0.35">
      <c r="A2238" s="6" t="s">
        <v>111</v>
      </c>
      <c r="B2238">
        <v>33.33</v>
      </c>
      <c r="C2238">
        <v>9.7899999999999991</v>
      </c>
      <c r="D2238" s="6" t="s">
        <v>2370</v>
      </c>
      <c r="E2238" s="6" t="s">
        <v>2370</v>
      </c>
      <c r="F2238" s="6" t="s">
        <v>2370</v>
      </c>
      <c r="G2238">
        <v>0</v>
      </c>
      <c r="H2238" s="6" t="s">
        <v>2370</v>
      </c>
      <c r="I2238" t="s">
        <v>8374</v>
      </c>
      <c r="J2238" t="s">
        <v>8375</v>
      </c>
    </row>
    <row r="2239" spans="1:10" x14ac:dyDescent="0.35">
      <c r="A2239" s="6" t="s">
        <v>110</v>
      </c>
      <c r="B2239">
        <v>18.5</v>
      </c>
      <c r="C2239">
        <v>11.84</v>
      </c>
      <c r="D2239" s="6" t="s">
        <v>2370</v>
      </c>
      <c r="E2239" s="6" t="s">
        <v>2370</v>
      </c>
      <c r="F2239" s="6" t="s">
        <v>2370</v>
      </c>
      <c r="G2239">
        <v>0</v>
      </c>
      <c r="H2239" s="6" t="s">
        <v>2370</v>
      </c>
      <c r="I2239" t="s">
        <v>8379</v>
      </c>
      <c r="J2239" t="s">
        <v>8375</v>
      </c>
    </row>
    <row r="2240" spans="1:10" x14ac:dyDescent="0.35">
      <c r="A2240" s="6" t="s">
        <v>109</v>
      </c>
      <c r="B2240">
        <v>18.579999999999998</v>
      </c>
      <c r="C2240">
        <v>6.22</v>
      </c>
      <c r="D2240" s="6" t="s">
        <v>2370</v>
      </c>
      <c r="E2240" s="6" t="s">
        <v>2370</v>
      </c>
      <c r="F2240" s="6" t="s">
        <v>2370</v>
      </c>
      <c r="G2240">
        <v>0</v>
      </c>
      <c r="H2240" s="6" t="s">
        <v>2370</v>
      </c>
      <c r="I2240" t="s">
        <v>8379</v>
      </c>
      <c r="J2240" t="s">
        <v>8376</v>
      </c>
    </row>
    <row r="2241" spans="1:10" x14ac:dyDescent="0.35">
      <c r="A2241" s="6" t="s">
        <v>108</v>
      </c>
      <c r="B2241">
        <v>16.64</v>
      </c>
      <c r="C2241">
        <v>10.01</v>
      </c>
      <c r="D2241" s="6" t="s">
        <v>2370</v>
      </c>
      <c r="E2241" s="6" t="s">
        <v>2370</v>
      </c>
      <c r="F2241" s="6" t="s">
        <v>2370</v>
      </c>
      <c r="G2241">
        <v>0</v>
      </c>
      <c r="H2241" s="6" t="s">
        <v>2370</v>
      </c>
      <c r="I2241" t="s">
        <v>8380</v>
      </c>
      <c r="J2241" t="s">
        <v>8375</v>
      </c>
    </row>
    <row r="2242" spans="1:10" x14ac:dyDescent="0.35">
      <c r="A2242" s="6" t="s">
        <v>107</v>
      </c>
      <c r="B2242">
        <v>19.329999999999998</v>
      </c>
      <c r="C2242">
        <v>4.32</v>
      </c>
      <c r="D2242" s="6" t="s">
        <v>2370</v>
      </c>
      <c r="E2242" s="6" t="s">
        <v>2370</v>
      </c>
      <c r="F2242" s="6" t="s">
        <v>2370</v>
      </c>
      <c r="G2242">
        <v>1</v>
      </c>
      <c r="H2242" s="6" t="s">
        <v>2370</v>
      </c>
      <c r="I2242" t="s">
        <v>8379</v>
      </c>
      <c r="J2242" t="s">
        <v>8377</v>
      </c>
    </row>
    <row r="2243" spans="1:10" x14ac:dyDescent="0.35">
      <c r="A2243" s="6" t="s">
        <v>106</v>
      </c>
      <c r="B2243">
        <v>21.26</v>
      </c>
      <c r="C2243">
        <v>5.65</v>
      </c>
      <c r="D2243" s="6" t="s">
        <v>2373</v>
      </c>
      <c r="E2243" s="6" t="s">
        <v>2370</v>
      </c>
      <c r="F2243" s="6" t="s">
        <v>2373</v>
      </c>
      <c r="G2243">
        <v>1</v>
      </c>
      <c r="H2243" s="6" t="s">
        <v>2370</v>
      </c>
      <c r="I2243" t="s">
        <v>8379</v>
      </c>
      <c r="J2243" t="s">
        <v>8377</v>
      </c>
    </row>
    <row r="2244" spans="1:10" x14ac:dyDescent="0.35">
      <c r="A2244" s="6" t="s">
        <v>105</v>
      </c>
      <c r="B2244">
        <v>15.6</v>
      </c>
      <c r="C2244">
        <v>4.12</v>
      </c>
      <c r="D2244" s="6" t="s">
        <v>2373</v>
      </c>
      <c r="E2244" s="6" t="s">
        <v>2370</v>
      </c>
      <c r="F2244" s="6" t="s">
        <v>2370</v>
      </c>
      <c r="G2244">
        <v>1</v>
      </c>
      <c r="H2244" s="6" t="s">
        <v>2370</v>
      </c>
      <c r="I2244" t="s">
        <v>8380</v>
      </c>
      <c r="J2244" t="s">
        <v>8377</v>
      </c>
    </row>
    <row r="2245" spans="1:10" x14ac:dyDescent="0.35">
      <c r="A2245" s="6" t="s">
        <v>104</v>
      </c>
      <c r="B2245">
        <v>24.39</v>
      </c>
      <c r="C2245">
        <v>6.24</v>
      </c>
      <c r="D2245" s="6" t="s">
        <v>2370</v>
      </c>
      <c r="E2245" s="6" t="s">
        <v>2370</v>
      </c>
      <c r="F2245" s="6" t="s">
        <v>2370</v>
      </c>
      <c r="G2245">
        <v>1</v>
      </c>
      <c r="H2245" s="6" t="s">
        <v>2370</v>
      </c>
      <c r="I2245" t="s">
        <v>8379</v>
      </c>
      <c r="J2245" t="s">
        <v>8376</v>
      </c>
    </row>
    <row r="2246" spans="1:10" x14ac:dyDescent="0.35">
      <c r="A2246" s="6" t="s">
        <v>103</v>
      </c>
      <c r="B2246">
        <v>24.75</v>
      </c>
      <c r="C2246">
        <v>4.83</v>
      </c>
      <c r="D2246" s="6" t="s">
        <v>2370</v>
      </c>
      <c r="E2246" s="6" t="s">
        <v>2370</v>
      </c>
      <c r="F2246" s="6" t="s">
        <v>2370</v>
      </c>
      <c r="G2246">
        <v>0</v>
      </c>
      <c r="H2246" s="6" t="s">
        <v>2370</v>
      </c>
      <c r="I2246" t="s">
        <v>8379</v>
      </c>
      <c r="J2246" t="s">
        <v>8377</v>
      </c>
    </row>
    <row r="2247" spans="1:10" x14ac:dyDescent="0.35">
      <c r="A2247" s="6" t="s">
        <v>102</v>
      </c>
      <c r="B2247">
        <v>20.88</v>
      </c>
      <c r="C2247">
        <v>7.4</v>
      </c>
      <c r="D2247" s="6" t="s">
        <v>2370</v>
      </c>
      <c r="E2247" s="6" t="s">
        <v>2370</v>
      </c>
      <c r="F2247" s="6" t="s">
        <v>2370</v>
      </c>
      <c r="G2247">
        <v>0</v>
      </c>
      <c r="H2247" s="6" t="s">
        <v>2370</v>
      </c>
      <c r="I2247" t="s">
        <v>8379</v>
      </c>
      <c r="J2247" t="s">
        <v>8375</v>
      </c>
    </row>
    <row r="2248" spans="1:10" x14ac:dyDescent="0.35">
      <c r="A2248" s="6" t="s">
        <v>101</v>
      </c>
      <c r="B2248">
        <v>20.43</v>
      </c>
      <c r="C2248">
        <v>4.54</v>
      </c>
      <c r="D2248" s="6" t="s">
        <v>2370</v>
      </c>
      <c r="E2248" s="6" t="s">
        <v>2370</v>
      </c>
      <c r="F2248" s="6" t="s">
        <v>2370</v>
      </c>
      <c r="G2248">
        <v>0</v>
      </c>
      <c r="H2248" s="6" t="s">
        <v>2370</v>
      </c>
      <c r="I2248" t="s">
        <v>8379</v>
      </c>
      <c r="J2248" t="s">
        <v>8377</v>
      </c>
    </row>
    <row r="2249" spans="1:10" x14ac:dyDescent="0.35">
      <c r="A2249" s="6" t="s">
        <v>100</v>
      </c>
      <c r="B2249">
        <v>15.18</v>
      </c>
      <c r="C2249">
        <v>11.11</v>
      </c>
      <c r="D2249" s="6" t="s">
        <v>2370</v>
      </c>
      <c r="E2249" s="6" t="s">
        <v>2370</v>
      </c>
      <c r="F2249" s="6" t="s">
        <v>2370</v>
      </c>
      <c r="G2249">
        <v>0</v>
      </c>
      <c r="H2249" s="6" t="s">
        <v>2370</v>
      </c>
      <c r="I2249" t="s">
        <v>8380</v>
      </c>
      <c r="J2249" t="s">
        <v>8375</v>
      </c>
    </row>
    <row r="2250" spans="1:10" x14ac:dyDescent="0.35">
      <c r="A2250" s="6" t="s">
        <v>99</v>
      </c>
      <c r="B2250">
        <v>15.12</v>
      </c>
      <c r="C2250">
        <v>4.03</v>
      </c>
      <c r="D2250" s="6" t="s">
        <v>2373</v>
      </c>
      <c r="E2250" s="6" t="s">
        <v>2370</v>
      </c>
      <c r="F2250" s="6" t="s">
        <v>2370</v>
      </c>
      <c r="G2250">
        <v>0</v>
      </c>
      <c r="H2250" s="6" t="s">
        <v>2370</v>
      </c>
      <c r="I2250" t="s">
        <v>8380</v>
      </c>
      <c r="J2250" t="s">
        <v>8377</v>
      </c>
    </row>
    <row r="2251" spans="1:10" x14ac:dyDescent="0.35">
      <c r="A2251" s="6" t="s">
        <v>98</v>
      </c>
      <c r="B2251">
        <v>23.88</v>
      </c>
      <c r="C2251">
        <v>4.51</v>
      </c>
      <c r="D2251" s="6" t="s">
        <v>2370</v>
      </c>
      <c r="E2251" s="6" t="s">
        <v>2370</v>
      </c>
      <c r="F2251" s="6" t="s">
        <v>2370</v>
      </c>
      <c r="G2251">
        <v>1</v>
      </c>
      <c r="H2251" s="6" t="s">
        <v>2370</v>
      </c>
      <c r="I2251" t="s">
        <v>8379</v>
      </c>
      <c r="J2251" t="s">
        <v>8377</v>
      </c>
    </row>
    <row r="2252" spans="1:10" x14ac:dyDescent="0.35">
      <c r="A2252" s="6" t="s">
        <v>97</v>
      </c>
      <c r="B2252">
        <v>16.13</v>
      </c>
      <c r="C2252">
        <v>5.56</v>
      </c>
      <c r="D2252" s="6" t="s">
        <v>2370</v>
      </c>
      <c r="E2252" s="6" t="s">
        <v>2372</v>
      </c>
      <c r="F2252" s="6" t="s">
        <v>2370</v>
      </c>
      <c r="G2252">
        <v>1</v>
      </c>
      <c r="H2252" s="6" t="s">
        <v>2370</v>
      </c>
      <c r="I2252" t="s">
        <v>8380</v>
      </c>
      <c r="J2252" t="s">
        <v>8377</v>
      </c>
    </row>
    <row r="2253" spans="1:10" x14ac:dyDescent="0.35">
      <c r="A2253" s="6" t="s">
        <v>96</v>
      </c>
      <c r="B2253">
        <v>24.09</v>
      </c>
      <c r="C2253">
        <v>4.0999999999999996</v>
      </c>
      <c r="D2253" s="6" t="s">
        <v>2370</v>
      </c>
      <c r="E2253" s="6" t="s">
        <v>2372</v>
      </c>
      <c r="F2253" s="6" t="s">
        <v>2370</v>
      </c>
      <c r="G2253">
        <v>1</v>
      </c>
      <c r="H2253" s="6" t="s">
        <v>2370</v>
      </c>
      <c r="I2253" t="s">
        <v>8379</v>
      </c>
      <c r="J2253" t="s">
        <v>8377</v>
      </c>
    </row>
    <row r="2254" spans="1:10" x14ac:dyDescent="0.35">
      <c r="A2254" s="6" t="s">
        <v>95</v>
      </c>
      <c r="B2254">
        <v>19.43</v>
      </c>
      <c r="C2254">
        <v>5.85</v>
      </c>
      <c r="D2254" s="6" t="s">
        <v>2370</v>
      </c>
      <c r="E2254" s="6" t="s">
        <v>2372</v>
      </c>
      <c r="F2254" s="6" t="s">
        <v>2370</v>
      </c>
      <c r="G2254">
        <v>1</v>
      </c>
      <c r="H2254" s="6" t="s">
        <v>2370</v>
      </c>
      <c r="I2254" t="s">
        <v>8379</v>
      </c>
      <c r="J2254" t="s">
        <v>8376</v>
      </c>
    </row>
    <row r="2255" spans="1:10" x14ac:dyDescent="0.35">
      <c r="A2255" s="6" t="s">
        <v>94</v>
      </c>
      <c r="B2255">
        <v>15.22</v>
      </c>
      <c r="C2255">
        <v>4.92</v>
      </c>
      <c r="D2255" s="6" t="s">
        <v>2373</v>
      </c>
      <c r="E2255" s="6" t="s">
        <v>2370</v>
      </c>
      <c r="F2255" s="6" t="s">
        <v>2373</v>
      </c>
      <c r="G2255">
        <v>1</v>
      </c>
      <c r="H2255" s="6" t="s">
        <v>2370</v>
      </c>
      <c r="I2255" t="s">
        <v>8380</v>
      </c>
      <c r="J2255" t="s">
        <v>8377</v>
      </c>
    </row>
    <row r="2256" spans="1:10" x14ac:dyDescent="0.35">
      <c r="A2256" s="6" t="s">
        <v>93</v>
      </c>
      <c r="B2256">
        <v>20.72</v>
      </c>
      <c r="C2256">
        <v>9.4600000000000009</v>
      </c>
      <c r="D2256" s="6" t="s">
        <v>2370</v>
      </c>
      <c r="E2256" s="6" t="s">
        <v>2370</v>
      </c>
      <c r="F2256" s="6" t="s">
        <v>2370</v>
      </c>
      <c r="G2256">
        <v>0</v>
      </c>
      <c r="H2256" s="6" t="s">
        <v>2370</v>
      </c>
      <c r="I2256" t="s">
        <v>8379</v>
      </c>
      <c r="J2256" t="s">
        <v>8375</v>
      </c>
    </row>
    <row r="2257" spans="1:10" x14ac:dyDescent="0.35">
      <c r="A2257" s="6" t="s">
        <v>92</v>
      </c>
      <c r="B2257">
        <v>35.4</v>
      </c>
      <c r="C2257">
        <v>5.94</v>
      </c>
      <c r="D2257" s="6" t="s">
        <v>2370</v>
      </c>
      <c r="E2257" s="6" t="s">
        <v>2370</v>
      </c>
      <c r="F2257" s="6" t="s">
        <v>2373</v>
      </c>
      <c r="G2257">
        <v>1</v>
      </c>
      <c r="H2257" s="6" t="s">
        <v>2370</v>
      </c>
      <c r="I2257" t="s">
        <v>8374</v>
      </c>
      <c r="J2257" t="s">
        <v>8376</v>
      </c>
    </row>
    <row r="2258" spans="1:10" x14ac:dyDescent="0.35">
      <c r="A2258" s="6" t="s">
        <v>91</v>
      </c>
      <c r="B2258">
        <v>34.4</v>
      </c>
      <c r="C2258">
        <v>5.7</v>
      </c>
      <c r="D2258" s="6" t="s">
        <v>2370</v>
      </c>
      <c r="E2258" s="6" t="s">
        <v>2370</v>
      </c>
      <c r="F2258" s="6" t="s">
        <v>2373</v>
      </c>
      <c r="G2258">
        <v>1</v>
      </c>
      <c r="H2258" s="6" t="s">
        <v>2370</v>
      </c>
      <c r="I2258" t="s">
        <v>8374</v>
      </c>
      <c r="J2258" t="s">
        <v>8376</v>
      </c>
    </row>
    <row r="2259" spans="1:10" x14ac:dyDescent="0.35">
      <c r="A2259" s="6" t="s">
        <v>90</v>
      </c>
      <c r="B2259">
        <v>34.1</v>
      </c>
      <c r="C2259">
        <v>4.13</v>
      </c>
      <c r="D2259" s="6" t="s">
        <v>2370</v>
      </c>
      <c r="E2259" s="6" t="s">
        <v>2370</v>
      </c>
      <c r="F2259" s="6" t="s">
        <v>2373</v>
      </c>
      <c r="G2259">
        <v>1</v>
      </c>
      <c r="H2259" s="6" t="s">
        <v>2370</v>
      </c>
      <c r="I2259" t="s">
        <v>8374</v>
      </c>
      <c r="J2259" t="s">
        <v>8377</v>
      </c>
    </row>
    <row r="2260" spans="1:10" x14ac:dyDescent="0.35">
      <c r="A2260" s="6" t="s">
        <v>89</v>
      </c>
      <c r="B2260">
        <v>30.4</v>
      </c>
      <c r="C2260">
        <v>4.7699999999999996</v>
      </c>
      <c r="D2260" s="6" t="s">
        <v>2370</v>
      </c>
      <c r="E2260" s="6" t="s">
        <v>2370</v>
      </c>
      <c r="F2260" s="6" t="s">
        <v>2373</v>
      </c>
      <c r="G2260">
        <v>1</v>
      </c>
      <c r="H2260" s="6" t="s">
        <v>2370</v>
      </c>
      <c r="I2260" t="s">
        <v>8374</v>
      </c>
      <c r="J2260" t="s">
        <v>8377</v>
      </c>
    </row>
    <row r="2261" spans="1:10" x14ac:dyDescent="0.35">
      <c r="A2261" s="6" t="s">
        <v>88</v>
      </c>
      <c r="B2261">
        <v>28.7</v>
      </c>
      <c r="C2261">
        <v>4.99</v>
      </c>
      <c r="D2261" s="6" t="s">
        <v>2370</v>
      </c>
      <c r="E2261" s="6" t="s">
        <v>2370</v>
      </c>
      <c r="F2261" s="6" t="s">
        <v>2373</v>
      </c>
      <c r="G2261">
        <v>1</v>
      </c>
      <c r="H2261" s="6" t="s">
        <v>2370</v>
      </c>
      <c r="I2261" t="s">
        <v>8378</v>
      </c>
      <c r="J2261" t="s">
        <v>8377</v>
      </c>
    </row>
    <row r="2262" spans="1:10" x14ac:dyDescent="0.35">
      <c r="A2262" s="6" t="s">
        <v>87</v>
      </c>
      <c r="B2262">
        <v>17.440000000000001</v>
      </c>
      <c r="C2262">
        <v>4.42</v>
      </c>
      <c r="D2262" s="6" t="s">
        <v>2373</v>
      </c>
      <c r="E2262" s="6" t="s">
        <v>2370</v>
      </c>
      <c r="F2262" s="6" t="s">
        <v>2373</v>
      </c>
      <c r="G2262">
        <v>1</v>
      </c>
      <c r="H2262" s="6" t="s">
        <v>2370</v>
      </c>
      <c r="I2262" t="s">
        <v>8380</v>
      </c>
      <c r="J2262" t="s">
        <v>8377</v>
      </c>
    </row>
    <row r="2263" spans="1:10" x14ac:dyDescent="0.35">
      <c r="A2263" s="6" t="s">
        <v>86</v>
      </c>
      <c r="B2263">
        <v>27.6</v>
      </c>
      <c r="C2263">
        <v>4.01</v>
      </c>
      <c r="D2263" s="6" t="s">
        <v>2370</v>
      </c>
      <c r="E2263" s="6" t="s">
        <v>2370</v>
      </c>
      <c r="F2263" s="6" t="s">
        <v>2373</v>
      </c>
      <c r="G2263">
        <v>1</v>
      </c>
      <c r="H2263" s="6" t="s">
        <v>2370</v>
      </c>
      <c r="I2263" t="s">
        <v>8378</v>
      </c>
      <c r="J2263" t="s">
        <v>8377</v>
      </c>
    </row>
    <row r="2264" spans="1:10" x14ac:dyDescent="0.35">
      <c r="A2264" s="6" t="s">
        <v>85</v>
      </c>
      <c r="B2264">
        <v>20.7</v>
      </c>
      <c r="C2264">
        <v>4.49</v>
      </c>
      <c r="D2264" s="6" t="s">
        <v>2370</v>
      </c>
      <c r="E2264" s="6" t="s">
        <v>2370</v>
      </c>
      <c r="F2264" s="6" t="s">
        <v>2373</v>
      </c>
      <c r="G2264">
        <v>1</v>
      </c>
      <c r="H2264" s="6" t="s">
        <v>2370</v>
      </c>
      <c r="I2264" t="s">
        <v>8379</v>
      </c>
      <c r="J2264" t="s">
        <v>8377</v>
      </c>
    </row>
    <row r="2265" spans="1:10" x14ac:dyDescent="0.35">
      <c r="A2265" s="6" t="s">
        <v>84</v>
      </c>
      <c r="B2265">
        <v>20.3</v>
      </c>
      <c r="C2265">
        <v>6.37</v>
      </c>
      <c r="D2265" s="6" t="s">
        <v>2370</v>
      </c>
      <c r="E2265" s="6" t="s">
        <v>2370</v>
      </c>
      <c r="F2265" s="6" t="s">
        <v>2373</v>
      </c>
      <c r="G2265">
        <v>1</v>
      </c>
      <c r="H2265" s="6" t="s">
        <v>2370</v>
      </c>
      <c r="I2265" t="s">
        <v>8379</v>
      </c>
      <c r="J2265" t="s">
        <v>8376</v>
      </c>
    </row>
    <row r="2266" spans="1:10" x14ac:dyDescent="0.35">
      <c r="A2266" s="6" t="s">
        <v>83</v>
      </c>
      <c r="B2266">
        <v>19.8</v>
      </c>
      <c r="C2266">
        <v>5.12</v>
      </c>
      <c r="D2266" s="6" t="s">
        <v>2370</v>
      </c>
      <c r="E2266" s="6" t="s">
        <v>2370</v>
      </c>
      <c r="F2266" s="6" t="s">
        <v>2373</v>
      </c>
      <c r="G2266">
        <v>1</v>
      </c>
      <c r="H2266" s="6" t="s">
        <v>2370</v>
      </c>
      <c r="I2266" t="s">
        <v>8379</v>
      </c>
      <c r="J2266" t="s">
        <v>8377</v>
      </c>
    </row>
    <row r="2267" spans="1:10" x14ac:dyDescent="0.35">
      <c r="A2267" s="6" t="s">
        <v>82</v>
      </c>
      <c r="B2267">
        <v>21.87</v>
      </c>
      <c r="C2267">
        <v>8.59</v>
      </c>
      <c r="D2267" s="6" t="s">
        <v>2370</v>
      </c>
      <c r="E2267" s="6" t="s">
        <v>2370</v>
      </c>
      <c r="F2267" s="6" t="s">
        <v>2370</v>
      </c>
      <c r="G2267">
        <v>0</v>
      </c>
      <c r="H2267" s="6" t="s">
        <v>2370</v>
      </c>
      <c r="I2267" t="s">
        <v>8379</v>
      </c>
      <c r="J2267" t="s">
        <v>8375</v>
      </c>
    </row>
    <row r="2268" spans="1:10" x14ac:dyDescent="0.35">
      <c r="A2268" s="6" t="s">
        <v>81</v>
      </c>
      <c r="B2268">
        <v>16.600000000000001</v>
      </c>
      <c r="C2268">
        <v>5.87</v>
      </c>
      <c r="D2268" s="6" t="s">
        <v>2370</v>
      </c>
      <c r="E2268" s="6" t="s">
        <v>2370</v>
      </c>
      <c r="F2268" s="6" t="s">
        <v>2370</v>
      </c>
      <c r="G2268">
        <v>1</v>
      </c>
      <c r="H2268" s="6" t="s">
        <v>2370</v>
      </c>
      <c r="I2268" t="s">
        <v>8380</v>
      </c>
      <c r="J2268" t="s">
        <v>8376</v>
      </c>
    </row>
    <row r="2269" spans="1:10" x14ac:dyDescent="0.35">
      <c r="A2269" s="6" t="s">
        <v>80</v>
      </c>
      <c r="B2269">
        <v>21.98</v>
      </c>
      <c r="C2269">
        <v>7.03</v>
      </c>
      <c r="D2269" s="6" t="s">
        <v>2370</v>
      </c>
      <c r="E2269" s="6" t="s">
        <v>2370</v>
      </c>
      <c r="F2269" s="6" t="s">
        <v>2370</v>
      </c>
      <c r="G2269">
        <v>0</v>
      </c>
      <c r="H2269" s="6" t="s">
        <v>2370</v>
      </c>
      <c r="I2269" t="s">
        <v>8379</v>
      </c>
      <c r="J2269" t="s">
        <v>8375</v>
      </c>
    </row>
    <row r="2270" spans="1:10" x14ac:dyDescent="0.35">
      <c r="A2270" s="6" t="s">
        <v>79</v>
      </c>
      <c r="B2270">
        <v>19.7</v>
      </c>
      <c r="C2270">
        <v>5.51</v>
      </c>
      <c r="D2270" s="6" t="s">
        <v>2370</v>
      </c>
      <c r="E2270" s="6" t="s">
        <v>2370</v>
      </c>
      <c r="F2270" s="6" t="s">
        <v>2370</v>
      </c>
      <c r="G2270">
        <v>1</v>
      </c>
      <c r="H2270" s="6" t="s">
        <v>2370</v>
      </c>
      <c r="I2270" t="s">
        <v>8379</v>
      </c>
      <c r="J2270" t="s">
        <v>8377</v>
      </c>
    </row>
    <row r="2271" spans="1:10" x14ac:dyDescent="0.35">
      <c r="A2271" s="6" t="s">
        <v>78</v>
      </c>
      <c r="B2271">
        <v>19.21</v>
      </c>
      <c r="C2271">
        <v>4.76</v>
      </c>
      <c r="D2271" s="6" t="s">
        <v>2370</v>
      </c>
      <c r="E2271" s="6" t="s">
        <v>2372</v>
      </c>
      <c r="F2271" s="6" t="s">
        <v>2370</v>
      </c>
      <c r="G2271">
        <v>1</v>
      </c>
      <c r="H2271" s="6" t="s">
        <v>2370</v>
      </c>
      <c r="I2271" t="s">
        <v>8379</v>
      </c>
      <c r="J2271" t="s">
        <v>8377</v>
      </c>
    </row>
    <row r="2272" spans="1:10" x14ac:dyDescent="0.35">
      <c r="A2272" s="6" t="s">
        <v>77</v>
      </c>
      <c r="B2272">
        <v>19.3</v>
      </c>
      <c r="C2272">
        <v>4.7</v>
      </c>
      <c r="D2272" s="6" t="s">
        <v>2370</v>
      </c>
      <c r="E2272" s="6" t="s">
        <v>2372</v>
      </c>
      <c r="F2272" s="6" t="s">
        <v>2370</v>
      </c>
      <c r="G2272">
        <v>1</v>
      </c>
      <c r="H2272" s="6" t="s">
        <v>2370</v>
      </c>
      <c r="I2272" t="s">
        <v>8379</v>
      </c>
      <c r="J2272" t="s">
        <v>8377</v>
      </c>
    </row>
    <row r="2273" spans="1:10" x14ac:dyDescent="0.35">
      <c r="A2273" s="6" t="s">
        <v>76</v>
      </c>
      <c r="B2273">
        <v>16.22</v>
      </c>
      <c r="C2273">
        <v>6.21</v>
      </c>
      <c r="D2273" s="6" t="s">
        <v>2373</v>
      </c>
      <c r="E2273" s="6" t="s">
        <v>2370</v>
      </c>
      <c r="F2273" s="6" t="s">
        <v>2370</v>
      </c>
      <c r="G2273">
        <v>0</v>
      </c>
      <c r="H2273" s="6" t="s">
        <v>2370</v>
      </c>
      <c r="I2273" t="s">
        <v>8380</v>
      </c>
      <c r="J2273" t="s">
        <v>8376</v>
      </c>
    </row>
    <row r="2274" spans="1:10" x14ac:dyDescent="0.35">
      <c r="A2274" s="6" t="s">
        <v>75</v>
      </c>
      <c r="B2274">
        <v>17.12</v>
      </c>
      <c r="C2274">
        <v>4.5199999999999996</v>
      </c>
      <c r="D2274" s="6" t="s">
        <v>2370</v>
      </c>
      <c r="E2274" s="6" t="s">
        <v>2372</v>
      </c>
      <c r="F2274" s="6" t="s">
        <v>2370</v>
      </c>
      <c r="G2274">
        <v>1</v>
      </c>
      <c r="H2274" s="6" t="s">
        <v>2370</v>
      </c>
      <c r="I2274" t="s">
        <v>8380</v>
      </c>
      <c r="J2274" t="s">
        <v>8377</v>
      </c>
    </row>
    <row r="2275" spans="1:10" x14ac:dyDescent="0.35">
      <c r="A2275" s="6" t="s">
        <v>74</v>
      </c>
      <c r="B2275">
        <v>19.07</v>
      </c>
      <c r="C2275">
        <v>5.45</v>
      </c>
      <c r="D2275" s="6" t="s">
        <v>2370</v>
      </c>
      <c r="E2275" s="6" t="s">
        <v>2370</v>
      </c>
      <c r="F2275" s="6" t="s">
        <v>2370</v>
      </c>
      <c r="G2275">
        <v>1</v>
      </c>
      <c r="H2275" s="6" t="s">
        <v>2370</v>
      </c>
      <c r="I2275" t="s">
        <v>8379</v>
      </c>
      <c r="J2275" t="s">
        <v>8377</v>
      </c>
    </row>
    <row r="2276" spans="1:10" x14ac:dyDescent="0.35">
      <c r="A2276" s="6" t="s">
        <v>73</v>
      </c>
      <c r="B2276">
        <v>15.56</v>
      </c>
      <c r="C2276">
        <v>4.42</v>
      </c>
      <c r="D2276" s="6" t="s">
        <v>2370</v>
      </c>
      <c r="E2276" s="6" t="s">
        <v>2370</v>
      </c>
      <c r="F2276" s="6" t="s">
        <v>2370</v>
      </c>
      <c r="G2276">
        <v>0</v>
      </c>
      <c r="H2276" s="6" t="s">
        <v>2370</v>
      </c>
      <c r="I2276" t="s">
        <v>8380</v>
      </c>
      <c r="J2276" t="s">
        <v>8377</v>
      </c>
    </row>
    <row r="2277" spans="1:10" x14ac:dyDescent="0.35">
      <c r="A2277" s="6" t="s">
        <v>72</v>
      </c>
      <c r="B2277">
        <v>22.76</v>
      </c>
      <c r="C2277">
        <v>9.44</v>
      </c>
      <c r="D2277" s="6" t="s">
        <v>2370</v>
      </c>
      <c r="E2277" s="6" t="s">
        <v>2370</v>
      </c>
      <c r="F2277" s="6" t="s">
        <v>2370</v>
      </c>
      <c r="G2277">
        <v>0</v>
      </c>
      <c r="H2277" s="6" t="s">
        <v>2370</v>
      </c>
      <c r="I2277" t="s">
        <v>8379</v>
      </c>
      <c r="J2277" t="s">
        <v>8375</v>
      </c>
    </row>
    <row r="2278" spans="1:10" x14ac:dyDescent="0.35">
      <c r="A2278" s="6" t="s">
        <v>71</v>
      </c>
      <c r="B2278">
        <v>22.79</v>
      </c>
      <c r="C2278">
        <v>6.15</v>
      </c>
      <c r="D2278" s="6" t="s">
        <v>2373</v>
      </c>
      <c r="E2278" s="6" t="s">
        <v>2370</v>
      </c>
      <c r="F2278" s="6" t="s">
        <v>2373</v>
      </c>
      <c r="G2278">
        <v>1</v>
      </c>
      <c r="H2278" s="6" t="s">
        <v>2370</v>
      </c>
      <c r="I2278" t="s">
        <v>8379</v>
      </c>
      <c r="J2278" t="s">
        <v>8376</v>
      </c>
    </row>
    <row r="2279" spans="1:10" x14ac:dyDescent="0.35">
      <c r="A2279" s="6" t="s">
        <v>70</v>
      </c>
      <c r="B2279">
        <v>17.41</v>
      </c>
      <c r="C2279">
        <v>5.13</v>
      </c>
      <c r="D2279" s="6" t="s">
        <v>2373</v>
      </c>
      <c r="E2279" s="6" t="s">
        <v>2370</v>
      </c>
      <c r="F2279" s="6" t="s">
        <v>2370</v>
      </c>
      <c r="G2279">
        <v>0</v>
      </c>
      <c r="H2279" s="6" t="s">
        <v>2370</v>
      </c>
      <c r="I2279" t="s">
        <v>8380</v>
      </c>
      <c r="J2279" t="s">
        <v>8377</v>
      </c>
    </row>
    <row r="2280" spans="1:10" x14ac:dyDescent="0.35">
      <c r="A2280" s="6" t="s">
        <v>69</v>
      </c>
      <c r="B2280">
        <v>19.32</v>
      </c>
      <c r="C2280">
        <v>4.96</v>
      </c>
      <c r="D2280" s="6" t="s">
        <v>2373</v>
      </c>
      <c r="E2280" s="6" t="s">
        <v>2370</v>
      </c>
      <c r="F2280" s="6" t="s">
        <v>2370</v>
      </c>
      <c r="G2280">
        <v>0</v>
      </c>
      <c r="H2280" s="6" t="s">
        <v>2370</v>
      </c>
      <c r="I2280" t="s">
        <v>8379</v>
      </c>
      <c r="J2280" t="s">
        <v>8377</v>
      </c>
    </row>
    <row r="2281" spans="1:10" x14ac:dyDescent="0.35">
      <c r="A2281" s="6" t="s">
        <v>68</v>
      </c>
      <c r="B2281">
        <v>18.25</v>
      </c>
      <c r="C2281">
        <v>10.95</v>
      </c>
      <c r="D2281" s="6" t="s">
        <v>2370</v>
      </c>
      <c r="E2281" s="6" t="s">
        <v>2370</v>
      </c>
      <c r="F2281" s="6" t="s">
        <v>2370</v>
      </c>
      <c r="G2281">
        <v>0</v>
      </c>
      <c r="H2281" s="6" t="s">
        <v>2370</v>
      </c>
      <c r="I2281" t="s">
        <v>8380</v>
      </c>
      <c r="J2281" t="s">
        <v>8375</v>
      </c>
    </row>
    <row r="2282" spans="1:10" x14ac:dyDescent="0.35">
      <c r="A2282" s="6" t="s">
        <v>67</v>
      </c>
      <c r="B2282">
        <v>53.13</v>
      </c>
      <c r="C2282">
        <v>4.4400000000000004</v>
      </c>
      <c r="D2282" s="6" t="s">
        <v>2370</v>
      </c>
      <c r="E2282" s="6" t="s">
        <v>2372</v>
      </c>
      <c r="F2282" s="6" t="s">
        <v>2370</v>
      </c>
      <c r="G2282">
        <v>1</v>
      </c>
      <c r="H2282" s="6" t="s">
        <v>2370</v>
      </c>
      <c r="I2282" t="s">
        <v>8374</v>
      </c>
      <c r="J2282" t="s">
        <v>8377</v>
      </c>
    </row>
    <row r="2283" spans="1:10" x14ac:dyDescent="0.35">
      <c r="A2283" s="6" t="s">
        <v>66</v>
      </c>
      <c r="B2283">
        <v>20.46</v>
      </c>
      <c r="C2283">
        <v>4.0199999999999996</v>
      </c>
      <c r="D2283" s="6" t="s">
        <v>2370</v>
      </c>
      <c r="E2283" s="6" t="s">
        <v>2370</v>
      </c>
      <c r="F2283" s="6" t="s">
        <v>2370</v>
      </c>
      <c r="G2283">
        <v>0</v>
      </c>
      <c r="H2283" s="6" t="s">
        <v>2370</v>
      </c>
      <c r="I2283" t="s">
        <v>8379</v>
      </c>
      <c r="J2283" t="s">
        <v>8377</v>
      </c>
    </row>
    <row r="2284" spans="1:10" x14ac:dyDescent="0.35">
      <c r="A2284" s="6" t="s">
        <v>65</v>
      </c>
      <c r="B2284">
        <v>43.01</v>
      </c>
      <c r="C2284">
        <v>5.44</v>
      </c>
      <c r="D2284" s="6" t="s">
        <v>2370</v>
      </c>
      <c r="E2284" s="6" t="s">
        <v>2372</v>
      </c>
      <c r="F2284" s="6" t="s">
        <v>2370</v>
      </c>
      <c r="G2284">
        <v>1</v>
      </c>
      <c r="H2284" s="6" t="s">
        <v>2370</v>
      </c>
      <c r="I2284" t="s">
        <v>8374</v>
      </c>
      <c r="J2284" t="s">
        <v>8377</v>
      </c>
    </row>
    <row r="2285" spans="1:10" x14ac:dyDescent="0.35">
      <c r="A2285" s="6" t="s">
        <v>64</v>
      </c>
      <c r="B2285">
        <v>15.01</v>
      </c>
      <c r="C2285">
        <v>4.1500000000000004</v>
      </c>
      <c r="D2285" s="6" t="s">
        <v>2370</v>
      </c>
      <c r="E2285" s="6" t="s">
        <v>2370</v>
      </c>
      <c r="F2285" s="6" t="s">
        <v>2373</v>
      </c>
      <c r="G2285">
        <v>1</v>
      </c>
      <c r="H2285" s="6" t="s">
        <v>2370</v>
      </c>
      <c r="I2285" t="s">
        <v>8380</v>
      </c>
      <c r="J2285" t="s">
        <v>8377</v>
      </c>
    </row>
    <row r="2286" spans="1:10" x14ac:dyDescent="0.35">
      <c r="A2286" s="6" t="s">
        <v>63</v>
      </c>
      <c r="B2286">
        <v>41.14</v>
      </c>
      <c r="C2286">
        <v>6.02</v>
      </c>
      <c r="D2286" s="6" t="s">
        <v>2370</v>
      </c>
      <c r="E2286" s="6" t="s">
        <v>2372</v>
      </c>
      <c r="F2286" s="6" t="s">
        <v>2370</v>
      </c>
      <c r="G2286">
        <v>1</v>
      </c>
      <c r="H2286" s="6" t="s">
        <v>2370</v>
      </c>
      <c r="I2286" t="s">
        <v>8374</v>
      </c>
      <c r="J2286" t="s">
        <v>8376</v>
      </c>
    </row>
    <row r="2287" spans="1:10" x14ac:dyDescent="0.35">
      <c r="A2287" s="6" t="s">
        <v>62</v>
      </c>
      <c r="B2287">
        <v>16.55</v>
      </c>
      <c r="C2287">
        <v>7.73</v>
      </c>
      <c r="D2287" s="6" t="s">
        <v>2370</v>
      </c>
      <c r="E2287" s="6" t="s">
        <v>2370</v>
      </c>
      <c r="F2287" s="6" t="s">
        <v>2370</v>
      </c>
      <c r="G2287">
        <v>0</v>
      </c>
      <c r="H2287" s="6" t="s">
        <v>2370</v>
      </c>
      <c r="I2287" t="s">
        <v>8380</v>
      </c>
      <c r="J2287" t="s">
        <v>8375</v>
      </c>
    </row>
    <row r="2288" spans="1:10" x14ac:dyDescent="0.35">
      <c r="A2288" s="6" t="s">
        <v>61</v>
      </c>
      <c r="B2288">
        <v>37.29</v>
      </c>
      <c r="C2288">
        <v>5.03</v>
      </c>
      <c r="D2288" s="6" t="s">
        <v>2370</v>
      </c>
      <c r="E2288" s="6" t="s">
        <v>2372</v>
      </c>
      <c r="F2288" s="6" t="s">
        <v>2370</v>
      </c>
      <c r="G2288">
        <v>1</v>
      </c>
      <c r="H2288" s="6" t="s">
        <v>2370</v>
      </c>
      <c r="I2288" t="s">
        <v>8374</v>
      </c>
      <c r="J2288" t="s">
        <v>8377</v>
      </c>
    </row>
    <row r="2289" spans="1:10" x14ac:dyDescent="0.35">
      <c r="A2289" s="6" t="s">
        <v>60</v>
      </c>
      <c r="B2289">
        <v>16.739999999999998</v>
      </c>
      <c r="C2289">
        <v>4.08</v>
      </c>
      <c r="D2289" s="6" t="s">
        <v>2373</v>
      </c>
      <c r="E2289" s="6" t="s">
        <v>2370</v>
      </c>
      <c r="F2289" s="6" t="s">
        <v>2370</v>
      </c>
      <c r="G2289">
        <v>0</v>
      </c>
      <c r="H2289" s="6" t="s">
        <v>2370</v>
      </c>
      <c r="I2289" t="s">
        <v>8380</v>
      </c>
      <c r="J2289" t="s">
        <v>8377</v>
      </c>
    </row>
    <row r="2290" spans="1:10" x14ac:dyDescent="0.35">
      <c r="A2290" s="6" t="s">
        <v>59</v>
      </c>
      <c r="B2290">
        <v>34.43</v>
      </c>
      <c r="C2290">
        <v>4.2699999999999996</v>
      </c>
      <c r="D2290" s="6" t="s">
        <v>2370</v>
      </c>
      <c r="E2290" s="6" t="s">
        <v>2372</v>
      </c>
      <c r="F2290" s="6" t="s">
        <v>2370</v>
      </c>
      <c r="G2290">
        <v>1</v>
      </c>
      <c r="H2290" s="6" t="s">
        <v>2370</v>
      </c>
      <c r="I2290" t="s">
        <v>8374</v>
      </c>
      <c r="J2290" t="s">
        <v>8377</v>
      </c>
    </row>
    <row r="2291" spans="1:10" x14ac:dyDescent="0.35">
      <c r="A2291" s="6" t="s">
        <v>58</v>
      </c>
      <c r="B2291">
        <v>34.1</v>
      </c>
      <c r="C2291">
        <v>4.07</v>
      </c>
      <c r="D2291" s="6" t="s">
        <v>2370</v>
      </c>
      <c r="E2291" s="6" t="s">
        <v>2372</v>
      </c>
      <c r="F2291" s="6" t="s">
        <v>2370</v>
      </c>
      <c r="G2291">
        <v>1</v>
      </c>
      <c r="H2291" s="6" t="s">
        <v>2370</v>
      </c>
      <c r="I2291" t="s">
        <v>8374</v>
      </c>
      <c r="J2291" t="s">
        <v>8377</v>
      </c>
    </row>
    <row r="2292" spans="1:10" x14ac:dyDescent="0.35">
      <c r="A2292" s="6" t="s">
        <v>57</v>
      </c>
      <c r="B2292">
        <v>19.3</v>
      </c>
      <c r="C2292">
        <v>10.36</v>
      </c>
      <c r="D2292" s="6" t="s">
        <v>2370</v>
      </c>
      <c r="E2292" s="6" t="s">
        <v>2370</v>
      </c>
      <c r="F2292" s="6" t="s">
        <v>2370</v>
      </c>
      <c r="G2292">
        <v>0</v>
      </c>
      <c r="H2292" s="6" t="s">
        <v>2370</v>
      </c>
      <c r="I2292" t="s">
        <v>8379</v>
      </c>
      <c r="J2292" t="s">
        <v>8375</v>
      </c>
    </row>
    <row r="2293" spans="1:10" x14ac:dyDescent="0.35">
      <c r="A2293" s="6" t="s">
        <v>56</v>
      </c>
      <c r="B2293">
        <v>33.659999999999997</v>
      </c>
      <c r="C2293">
        <v>5.71</v>
      </c>
      <c r="D2293" s="6" t="s">
        <v>2370</v>
      </c>
      <c r="E2293" s="6" t="s">
        <v>2372</v>
      </c>
      <c r="F2293" s="6" t="s">
        <v>2370</v>
      </c>
      <c r="G2293">
        <v>1</v>
      </c>
      <c r="H2293" s="6" t="s">
        <v>2370</v>
      </c>
      <c r="I2293" t="s">
        <v>8374</v>
      </c>
      <c r="J2293" t="s">
        <v>8376</v>
      </c>
    </row>
    <row r="2294" spans="1:10" x14ac:dyDescent="0.35">
      <c r="A2294" s="6" t="s">
        <v>55</v>
      </c>
      <c r="B2294">
        <v>33.33</v>
      </c>
      <c r="C2294">
        <v>6.08</v>
      </c>
      <c r="D2294" s="6" t="s">
        <v>2370</v>
      </c>
      <c r="E2294" s="6" t="s">
        <v>2372</v>
      </c>
      <c r="F2294" s="6" t="s">
        <v>2370</v>
      </c>
      <c r="G2294">
        <v>1</v>
      </c>
      <c r="H2294" s="6" t="s">
        <v>2370</v>
      </c>
      <c r="I2294" t="s">
        <v>8374</v>
      </c>
      <c r="J2294" t="s">
        <v>8376</v>
      </c>
    </row>
    <row r="2295" spans="1:10" x14ac:dyDescent="0.35">
      <c r="A2295" s="6" t="s">
        <v>54</v>
      </c>
      <c r="B2295">
        <v>21.84</v>
      </c>
      <c r="C2295">
        <v>5.71</v>
      </c>
      <c r="D2295" s="6" t="s">
        <v>2370</v>
      </c>
      <c r="E2295" s="6" t="s">
        <v>2372</v>
      </c>
      <c r="F2295" s="6" t="s">
        <v>2370</v>
      </c>
      <c r="G2295">
        <v>1</v>
      </c>
      <c r="H2295" s="6" t="s">
        <v>2370</v>
      </c>
      <c r="I2295" t="s">
        <v>8379</v>
      </c>
      <c r="J2295" t="s">
        <v>8376</v>
      </c>
    </row>
    <row r="2296" spans="1:10" x14ac:dyDescent="0.35">
      <c r="A2296" s="6" t="s">
        <v>53</v>
      </c>
      <c r="B2296">
        <v>16.87</v>
      </c>
      <c r="C2296">
        <v>9.1300000000000008</v>
      </c>
      <c r="D2296" s="6" t="s">
        <v>2370</v>
      </c>
      <c r="E2296" s="6" t="s">
        <v>2370</v>
      </c>
      <c r="F2296" s="6" t="s">
        <v>2370</v>
      </c>
      <c r="G2296">
        <v>0</v>
      </c>
      <c r="H2296" s="6" t="s">
        <v>2370</v>
      </c>
      <c r="I2296" t="s">
        <v>8380</v>
      </c>
      <c r="J2296" t="s">
        <v>8375</v>
      </c>
    </row>
    <row r="2297" spans="1:10" x14ac:dyDescent="0.35">
      <c r="A2297" s="6" t="s">
        <v>52</v>
      </c>
      <c r="B2297">
        <v>30.14</v>
      </c>
      <c r="C2297">
        <v>5.49</v>
      </c>
      <c r="D2297" s="6" t="s">
        <v>2370</v>
      </c>
      <c r="E2297" s="6" t="s">
        <v>2372</v>
      </c>
      <c r="F2297" s="6" t="s">
        <v>2370</v>
      </c>
      <c r="G2297">
        <v>1</v>
      </c>
      <c r="H2297" s="6" t="s">
        <v>2370</v>
      </c>
      <c r="I2297" t="s">
        <v>8374</v>
      </c>
      <c r="J2297" t="s">
        <v>8377</v>
      </c>
    </row>
    <row r="2298" spans="1:10" x14ac:dyDescent="0.35">
      <c r="A2298" s="6" t="s">
        <v>51</v>
      </c>
      <c r="B2298">
        <v>23.21</v>
      </c>
      <c r="C2298">
        <v>4.37</v>
      </c>
      <c r="D2298" s="6" t="s">
        <v>2370</v>
      </c>
      <c r="E2298" s="6" t="s">
        <v>2372</v>
      </c>
      <c r="F2298" s="6" t="s">
        <v>2370</v>
      </c>
      <c r="G2298">
        <v>1</v>
      </c>
      <c r="H2298" s="6" t="s">
        <v>2370</v>
      </c>
      <c r="I2298" t="s">
        <v>8379</v>
      </c>
      <c r="J2298" t="s">
        <v>8377</v>
      </c>
    </row>
    <row r="2299" spans="1:10" x14ac:dyDescent="0.35">
      <c r="A2299" s="6" t="s">
        <v>50</v>
      </c>
      <c r="B2299">
        <v>17.170000000000002</v>
      </c>
      <c r="C2299">
        <v>8.4600000000000009</v>
      </c>
      <c r="D2299" s="6" t="s">
        <v>2370</v>
      </c>
      <c r="E2299" s="6" t="s">
        <v>2370</v>
      </c>
      <c r="F2299" s="6" t="s">
        <v>2370</v>
      </c>
      <c r="G2299">
        <v>0</v>
      </c>
      <c r="H2299" s="6" t="s">
        <v>2370</v>
      </c>
      <c r="I2299" t="s">
        <v>8380</v>
      </c>
      <c r="J2299" t="s">
        <v>8375</v>
      </c>
    </row>
    <row r="2300" spans="1:10" x14ac:dyDescent="0.35">
      <c r="A2300" s="6" t="s">
        <v>49</v>
      </c>
      <c r="B2300">
        <v>15.61</v>
      </c>
      <c r="C2300">
        <v>5.28</v>
      </c>
      <c r="D2300" s="6" t="s">
        <v>2370</v>
      </c>
      <c r="E2300" s="6" t="s">
        <v>2370</v>
      </c>
      <c r="F2300" s="6" t="s">
        <v>2370</v>
      </c>
      <c r="G2300">
        <v>1</v>
      </c>
      <c r="H2300" s="6" t="s">
        <v>2370</v>
      </c>
      <c r="I2300" t="s">
        <v>8380</v>
      </c>
      <c r="J2300" t="s">
        <v>8377</v>
      </c>
    </row>
    <row r="2301" spans="1:10" x14ac:dyDescent="0.35">
      <c r="A2301" s="6" t="s">
        <v>48</v>
      </c>
      <c r="B2301">
        <v>17.98</v>
      </c>
      <c r="C2301">
        <v>5.33</v>
      </c>
      <c r="D2301" s="6" t="s">
        <v>2373</v>
      </c>
      <c r="E2301" s="6" t="s">
        <v>2370</v>
      </c>
      <c r="F2301" s="6" t="s">
        <v>2373</v>
      </c>
      <c r="G2301">
        <v>1</v>
      </c>
      <c r="H2301" s="6" t="s">
        <v>2370</v>
      </c>
      <c r="I2301" t="s">
        <v>8380</v>
      </c>
      <c r="J2301" t="s">
        <v>8377</v>
      </c>
    </row>
    <row r="2302" spans="1:10" x14ac:dyDescent="0.35">
      <c r="A2302" s="6" t="s">
        <v>47</v>
      </c>
      <c r="B2302">
        <v>21.64</v>
      </c>
      <c r="C2302">
        <v>5.5</v>
      </c>
      <c r="D2302" s="6" t="s">
        <v>2370</v>
      </c>
      <c r="E2302" s="6" t="s">
        <v>2372</v>
      </c>
      <c r="F2302" s="6" t="s">
        <v>2370</v>
      </c>
      <c r="G2302">
        <v>1</v>
      </c>
      <c r="H2302" s="6" t="s">
        <v>2370</v>
      </c>
      <c r="I2302" t="s">
        <v>8379</v>
      </c>
      <c r="J2302" t="s">
        <v>8377</v>
      </c>
    </row>
    <row r="2303" spans="1:10" x14ac:dyDescent="0.35">
      <c r="A2303" s="6" t="s">
        <v>46</v>
      </c>
      <c r="B2303">
        <v>16.399999999999999</v>
      </c>
      <c r="C2303">
        <v>5.4</v>
      </c>
      <c r="D2303" s="6" t="s">
        <v>2370</v>
      </c>
      <c r="E2303" s="6" t="s">
        <v>2370</v>
      </c>
      <c r="F2303" s="6" t="s">
        <v>2373</v>
      </c>
      <c r="G2303">
        <v>1</v>
      </c>
      <c r="H2303" s="6" t="s">
        <v>2370</v>
      </c>
      <c r="I2303" t="s">
        <v>8380</v>
      </c>
      <c r="J2303" t="s">
        <v>8377</v>
      </c>
    </row>
    <row r="2304" spans="1:10" x14ac:dyDescent="0.35">
      <c r="A2304" s="6" t="s">
        <v>45</v>
      </c>
      <c r="B2304">
        <v>15.77</v>
      </c>
      <c r="C2304">
        <v>6.05</v>
      </c>
      <c r="D2304" s="6" t="s">
        <v>2373</v>
      </c>
      <c r="E2304" s="6" t="s">
        <v>2370</v>
      </c>
      <c r="F2304" s="6" t="s">
        <v>2370</v>
      </c>
      <c r="G2304">
        <v>1</v>
      </c>
      <c r="H2304" s="6" t="s">
        <v>2370</v>
      </c>
      <c r="I2304" t="s">
        <v>8380</v>
      </c>
      <c r="J2304" t="s">
        <v>8376</v>
      </c>
    </row>
    <row r="2305" spans="1:10" x14ac:dyDescent="0.35">
      <c r="A2305" s="6" t="s">
        <v>44</v>
      </c>
      <c r="B2305">
        <v>18.27</v>
      </c>
      <c r="C2305">
        <v>11.46</v>
      </c>
      <c r="D2305" s="6" t="s">
        <v>2370</v>
      </c>
      <c r="E2305" s="6" t="s">
        <v>2370</v>
      </c>
      <c r="F2305" s="6" t="s">
        <v>2370</v>
      </c>
      <c r="G2305">
        <v>0</v>
      </c>
      <c r="H2305" s="6" t="s">
        <v>2370</v>
      </c>
      <c r="I2305" t="s">
        <v>8380</v>
      </c>
      <c r="J2305" t="s">
        <v>8375</v>
      </c>
    </row>
    <row r="2306" spans="1:10" x14ac:dyDescent="0.35">
      <c r="A2306" s="6" t="s">
        <v>43</v>
      </c>
      <c r="B2306">
        <v>16.489999999999998</v>
      </c>
      <c r="C2306">
        <v>8.48</v>
      </c>
      <c r="D2306" s="6" t="s">
        <v>2370</v>
      </c>
      <c r="E2306" s="6" t="s">
        <v>2370</v>
      </c>
      <c r="F2306" s="6" t="s">
        <v>2370</v>
      </c>
      <c r="G2306">
        <v>0</v>
      </c>
      <c r="H2306" s="6" t="s">
        <v>2370</v>
      </c>
      <c r="I2306" t="s">
        <v>8380</v>
      </c>
      <c r="J2306" t="s">
        <v>8375</v>
      </c>
    </row>
    <row r="2307" spans="1:10" x14ac:dyDescent="0.35">
      <c r="A2307" s="6" t="s">
        <v>42</v>
      </c>
      <c r="B2307">
        <v>16.14</v>
      </c>
      <c r="C2307">
        <v>4.8600000000000003</v>
      </c>
      <c r="D2307" s="6" t="s">
        <v>2370</v>
      </c>
      <c r="E2307" s="6" t="s">
        <v>2370</v>
      </c>
      <c r="F2307" s="6" t="s">
        <v>2370</v>
      </c>
      <c r="G2307">
        <v>0</v>
      </c>
      <c r="H2307" s="6" t="s">
        <v>2370</v>
      </c>
      <c r="I2307" t="s">
        <v>8380</v>
      </c>
      <c r="J2307" t="s">
        <v>8377</v>
      </c>
    </row>
    <row r="2308" spans="1:10" x14ac:dyDescent="0.35">
      <c r="A2308" s="6" t="s">
        <v>41</v>
      </c>
      <c r="B2308">
        <v>20.85</v>
      </c>
      <c r="C2308">
        <v>4.45</v>
      </c>
      <c r="D2308" s="6" t="s">
        <v>2373</v>
      </c>
      <c r="E2308" s="6" t="s">
        <v>2370</v>
      </c>
      <c r="F2308" s="6" t="s">
        <v>2370</v>
      </c>
      <c r="G2308">
        <v>1</v>
      </c>
      <c r="H2308" s="6" t="s">
        <v>2370</v>
      </c>
      <c r="I2308" t="s">
        <v>8379</v>
      </c>
      <c r="J2308" t="s">
        <v>8377</v>
      </c>
    </row>
    <row r="2309" spans="1:10" x14ac:dyDescent="0.35">
      <c r="A2309" s="6" t="s">
        <v>40</v>
      </c>
      <c r="B2309">
        <v>15.88</v>
      </c>
      <c r="C2309">
        <v>4.3600000000000003</v>
      </c>
      <c r="D2309" s="6" t="s">
        <v>2370</v>
      </c>
      <c r="E2309" s="6" t="s">
        <v>2370</v>
      </c>
      <c r="F2309" s="6" t="s">
        <v>2370</v>
      </c>
      <c r="G2309">
        <v>0</v>
      </c>
      <c r="H2309" s="6" t="s">
        <v>2370</v>
      </c>
      <c r="I2309" t="s">
        <v>8380</v>
      </c>
      <c r="J2309" t="s">
        <v>8377</v>
      </c>
    </row>
    <row r="2310" spans="1:10" x14ac:dyDescent="0.35">
      <c r="A2310" s="6" t="s">
        <v>39</v>
      </c>
      <c r="B2310">
        <v>20.66</v>
      </c>
      <c r="C2310">
        <v>5.8</v>
      </c>
      <c r="D2310" s="6" t="s">
        <v>2370</v>
      </c>
      <c r="E2310" s="6" t="s">
        <v>2372</v>
      </c>
      <c r="F2310" s="6" t="s">
        <v>2370</v>
      </c>
      <c r="G2310">
        <v>1</v>
      </c>
      <c r="H2310" s="6" t="s">
        <v>2370</v>
      </c>
      <c r="I2310" t="s">
        <v>8379</v>
      </c>
      <c r="J2310" t="s">
        <v>8376</v>
      </c>
    </row>
    <row r="2311" spans="1:10" x14ac:dyDescent="0.35">
      <c r="A2311" s="6" t="s">
        <v>38</v>
      </c>
      <c r="B2311">
        <v>20.399999999999999</v>
      </c>
      <c r="C2311">
        <v>5.27</v>
      </c>
      <c r="D2311" s="6" t="s">
        <v>2370</v>
      </c>
      <c r="E2311" s="6" t="s">
        <v>2370</v>
      </c>
      <c r="F2311" s="6" t="s">
        <v>2370</v>
      </c>
      <c r="G2311">
        <v>0</v>
      </c>
      <c r="H2311" s="6" t="s">
        <v>2370</v>
      </c>
      <c r="I2311" t="s">
        <v>8379</v>
      </c>
      <c r="J2311" t="s">
        <v>8377</v>
      </c>
    </row>
    <row r="2312" spans="1:10" x14ac:dyDescent="0.35">
      <c r="A2312" s="6" t="s">
        <v>37</v>
      </c>
      <c r="B2312">
        <v>25.19</v>
      </c>
      <c r="C2312">
        <v>5.64</v>
      </c>
      <c r="D2312" s="6" t="s">
        <v>2373</v>
      </c>
      <c r="E2312" s="6" t="s">
        <v>2370</v>
      </c>
      <c r="F2312" s="6" t="s">
        <v>2370</v>
      </c>
      <c r="G2312">
        <v>0</v>
      </c>
      <c r="H2312" s="6" t="s">
        <v>2370</v>
      </c>
      <c r="I2312" t="s">
        <v>8378</v>
      </c>
      <c r="J2312" t="s">
        <v>8377</v>
      </c>
    </row>
    <row r="2313" spans="1:10" x14ac:dyDescent="0.35">
      <c r="A2313" s="6" t="s">
        <v>36</v>
      </c>
      <c r="B2313">
        <v>20.54</v>
      </c>
      <c r="C2313">
        <v>4.2</v>
      </c>
      <c r="D2313" s="6" t="s">
        <v>2373</v>
      </c>
      <c r="E2313" s="6" t="s">
        <v>2370</v>
      </c>
      <c r="F2313" s="6" t="s">
        <v>2370</v>
      </c>
      <c r="G2313">
        <v>1</v>
      </c>
      <c r="H2313" s="6" t="s">
        <v>2370</v>
      </c>
      <c r="I2313" t="s">
        <v>8379</v>
      </c>
      <c r="J2313" t="s">
        <v>8377</v>
      </c>
    </row>
    <row r="2314" spans="1:10" x14ac:dyDescent="0.35">
      <c r="A2314" s="6" t="s">
        <v>35</v>
      </c>
      <c r="B2314">
        <v>20.13</v>
      </c>
      <c r="C2314">
        <v>5.42</v>
      </c>
      <c r="D2314" s="6" t="s">
        <v>2370</v>
      </c>
      <c r="E2314" s="6" t="s">
        <v>2370</v>
      </c>
      <c r="F2314" s="6" t="s">
        <v>2370</v>
      </c>
      <c r="G2314">
        <v>0</v>
      </c>
      <c r="H2314" s="6" t="s">
        <v>2370</v>
      </c>
      <c r="I2314" t="s">
        <v>8379</v>
      </c>
      <c r="J2314" t="s">
        <v>8377</v>
      </c>
    </row>
    <row r="2315" spans="1:10" x14ac:dyDescent="0.35">
      <c r="A2315" s="6" t="s">
        <v>34</v>
      </c>
      <c r="B2315">
        <v>18.93</v>
      </c>
      <c r="C2315">
        <v>6.11</v>
      </c>
      <c r="D2315" s="6" t="s">
        <v>2370</v>
      </c>
      <c r="E2315" s="6" t="s">
        <v>2370</v>
      </c>
      <c r="F2315" s="6" t="s">
        <v>2373</v>
      </c>
      <c r="G2315">
        <v>1</v>
      </c>
      <c r="H2315" s="6" t="s">
        <v>2370</v>
      </c>
      <c r="I2315" t="s">
        <v>8379</v>
      </c>
      <c r="J2315" t="s">
        <v>8376</v>
      </c>
    </row>
    <row r="2316" spans="1:10" x14ac:dyDescent="0.35">
      <c r="A2316" s="6" t="s">
        <v>33</v>
      </c>
      <c r="B2316">
        <v>24.14</v>
      </c>
      <c r="C2316">
        <v>5.29</v>
      </c>
      <c r="D2316" s="6" t="s">
        <v>2370</v>
      </c>
      <c r="E2316" s="6" t="s">
        <v>2372</v>
      </c>
      <c r="F2316" s="6" t="s">
        <v>2370</v>
      </c>
      <c r="G2316">
        <v>1</v>
      </c>
      <c r="H2316" s="6" t="s">
        <v>2370</v>
      </c>
      <c r="I2316" t="s">
        <v>8379</v>
      </c>
      <c r="J2316" t="s">
        <v>8377</v>
      </c>
    </row>
    <row r="2317" spans="1:10" x14ac:dyDescent="0.35">
      <c r="A2317" s="6" t="s">
        <v>31</v>
      </c>
      <c r="B2317">
        <v>25.03</v>
      </c>
      <c r="C2317">
        <v>5.91</v>
      </c>
      <c r="D2317" s="6" t="s">
        <v>2370</v>
      </c>
      <c r="E2317" s="6" t="s">
        <v>2372</v>
      </c>
      <c r="F2317" s="6" t="s">
        <v>2370</v>
      </c>
      <c r="G2317">
        <v>1</v>
      </c>
      <c r="H2317" s="6" t="s">
        <v>2370</v>
      </c>
      <c r="I2317" t="s">
        <v>8378</v>
      </c>
      <c r="J2317" t="s">
        <v>8376</v>
      </c>
    </row>
    <row r="2318" spans="1:10" x14ac:dyDescent="0.35">
      <c r="A2318" s="6" t="s">
        <v>30</v>
      </c>
      <c r="B2318">
        <v>20.47</v>
      </c>
      <c r="C2318">
        <v>5.81</v>
      </c>
      <c r="D2318" s="6" t="s">
        <v>2373</v>
      </c>
      <c r="E2318" s="6" t="s">
        <v>2370</v>
      </c>
      <c r="F2318" s="6" t="s">
        <v>2370</v>
      </c>
      <c r="G2318">
        <v>1</v>
      </c>
      <c r="H2318" s="6" t="s">
        <v>2370</v>
      </c>
      <c r="I2318" t="s">
        <v>8379</v>
      </c>
      <c r="J2318" t="s">
        <v>8376</v>
      </c>
    </row>
    <row r="2319" spans="1:10" x14ac:dyDescent="0.35">
      <c r="A2319" s="6" t="s">
        <v>29</v>
      </c>
      <c r="B2319">
        <v>18.82</v>
      </c>
      <c r="C2319">
        <v>5.51</v>
      </c>
      <c r="D2319" s="6" t="s">
        <v>2373</v>
      </c>
      <c r="E2319" s="6" t="s">
        <v>2370</v>
      </c>
      <c r="F2319" s="6" t="s">
        <v>2370</v>
      </c>
      <c r="G2319">
        <v>0</v>
      </c>
      <c r="H2319" s="6" t="s">
        <v>2370</v>
      </c>
      <c r="I2319" t="s">
        <v>8379</v>
      </c>
      <c r="J2319" t="s">
        <v>8377</v>
      </c>
    </row>
    <row r="2320" spans="1:10" x14ac:dyDescent="0.35">
      <c r="A2320" s="6" t="s">
        <v>28</v>
      </c>
      <c r="B2320">
        <v>17.079999999999998</v>
      </c>
      <c r="C2320">
        <v>5.73</v>
      </c>
      <c r="D2320" s="6" t="s">
        <v>2370</v>
      </c>
      <c r="E2320" s="6" t="s">
        <v>2370</v>
      </c>
      <c r="F2320" s="6" t="s">
        <v>2373</v>
      </c>
      <c r="G2320">
        <v>1</v>
      </c>
      <c r="H2320" s="6" t="s">
        <v>2370</v>
      </c>
      <c r="I2320" t="s">
        <v>8380</v>
      </c>
      <c r="J2320" t="s">
        <v>8376</v>
      </c>
    </row>
    <row r="2321" spans="1:10" x14ac:dyDescent="0.35">
      <c r="A2321" s="6" t="s">
        <v>27</v>
      </c>
      <c r="B2321">
        <v>19.21</v>
      </c>
      <c r="C2321">
        <v>5.53</v>
      </c>
      <c r="D2321" s="6" t="s">
        <v>2373</v>
      </c>
      <c r="E2321" s="6" t="s">
        <v>2370</v>
      </c>
      <c r="F2321" s="6" t="s">
        <v>2370</v>
      </c>
      <c r="G2321">
        <v>0</v>
      </c>
      <c r="H2321" s="6" t="s">
        <v>2370</v>
      </c>
      <c r="I2321" t="s">
        <v>8379</v>
      </c>
      <c r="J2321" t="s">
        <v>8377</v>
      </c>
    </row>
    <row r="2322" spans="1:10" x14ac:dyDescent="0.35">
      <c r="A2322" s="6" t="s">
        <v>26</v>
      </c>
      <c r="B2322">
        <v>17.86</v>
      </c>
      <c r="C2322">
        <v>5.43</v>
      </c>
      <c r="D2322" s="6" t="s">
        <v>2370</v>
      </c>
      <c r="E2322" s="6" t="s">
        <v>2370</v>
      </c>
      <c r="F2322" s="6" t="s">
        <v>2373</v>
      </c>
      <c r="G2322">
        <v>1</v>
      </c>
      <c r="H2322" s="6" t="s">
        <v>2370</v>
      </c>
      <c r="I2322" t="s">
        <v>8380</v>
      </c>
      <c r="J2322" t="s">
        <v>8377</v>
      </c>
    </row>
    <row r="2323" spans="1:10" x14ac:dyDescent="0.35">
      <c r="A2323" s="6" t="s">
        <v>25</v>
      </c>
      <c r="B2323">
        <v>21.38</v>
      </c>
      <c r="C2323">
        <v>8.01</v>
      </c>
      <c r="D2323" s="6" t="s">
        <v>2370</v>
      </c>
      <c r="E2323" s="6" t="s">
        <v>2370</v>
      </c>
      <c r="F2323" s="6" t="s">
        <v>2370</v>
      </c>
      <c r="G2323">
        <v>0</v>
      </c>
      <c r="H2323" s="6" t="s">
        <v>2370</v>
      </c>
      <c r="I2323" t="s">
        <v>8379</v>
      </c>
      <c r="J2323" t="s">
        <v>8375</v>
      </c>
    </row>
    <row r="2324" spans="1:10" x14ac:dyDescent="0.35">
      <c r="A2324" s="6" t="s">
        <v>24</v>
      </c>
      <c r="B2324">
        <v>23.35</v>
      </c>
      <c r="C2324">
        <v>5.94</v>
      </c>
      <c r="D2324" s="6" t="s">
        <v>2370</v>
      </c>
      <c r="E2324" s="6" t="s">
        <v>2370</v>
      </c>
      <c r="F2324" s="6" t="s">
        <v>2370</v>
      </c>
      <c r="G2324">
        <v>0</v>
      </c>
      <c r="H2324" s="6" t="s">
        <v>2370</v>
      </c>
      <c r="I2324" t="s">
        <v>8379</v>
      </c>
      <c r="J2324" t="s">
        <v>8376</v>
      </c>
    </row>
    <row r="2325" spans="1:10" x14ac:dyDescent="0.35">
      <c r="A2325" s="6" t="s">
        <v>22</v>
      </c>
      <c r="B2325">
        <v>22.24</v>
      </c>
      <c r="C2325">
        <v>5.04</v>
      </c>
      <c r="D2325" s="6" t="s">
        <v>2370</v>
      </c>
      <c r="E2325" s="6" t="s">
        <v>2370</v>
      </c>
      <c r="F2325" s="6" t="s">
        <v>2370</v>
      </c>
      <c r="G2325">
        <v>0</v>
      </c>
      <c r="H2325" s="6" t="s">
        <v>2370</v>
      </c>
      <c r="I2325" t="s">
        <v>8379</v>
      </c>
      <c r="J2325" t="s">
        <v>8377</v>
      </c>
    </row>
    <row r="2326" spans="1:10" x14ac:dyDescent="0.35">
      <c r="A2326" s="6" t="s">
        <v>21</v>
      </c>
      <c r="B2326">
        <v>24.76</v>
      </c>
      <c r="C2326">
        <v>4.54</v>
      </c>
      <c r="D2326" s="6" t="s">
        <v>2373</v>
      </c>
      <c r="E2326" s="6" t="s">
        <v>2370</v>
      </c>
      <c r="F2326" s="6" t="s">
        <v>2370</v>
      </c>
      <c r="G2326">
        <v>0</v>
      </c>
      <c r="H2326" s="6" t="s">
        <v>2370</v>
      </c>
      <c r="I2326" t="s">
        <v>8379</v>
      </c>
      <c r="J2326" t="s">
        <v>8377</v>
      </c>
    </row>
    <row r="2327" spans="1:10" x14ac:dyDescent="0.35">
      <c r="A2327" s="6" t="s">
        <v>20</v>
      </c>
      <c r="B2327">
        <v>20.100000000000001</v>
      </c>
      <c r="C2327">
        <v>5.6</v>
      </c>
      <c r="D2327" s="6" t="s">
        <v>2373</v>
      </c>
      <c r="E2327" s="6" t="s">
        <v>2370</v>
      </c>
      <c r="F2327" s="6" t="s">
        <v>2373</v>
      </c>
      <c r="G2327">
        <v>1</v>
      </c>
      <c r="H2327" s="6" t="s">
        <v>2370</v>
      </c>
      <c r="I2327" t="s">
        <v>8379</v>
      </c>
      <c r="J2327" t="s">
        <v>8377</v>
      </c>
    </row>
    <row r="2328" spans="1:10" x14ac:dyDescent="0.35">
      <c r="A2328" s="6" t="s">
        <v>19</v>
      </c>
      <c r="B2328">
        <v>21.77</v>
      </c>
      <c r="C2328">
        <v>10.67</v>
      </c>
      <c r="D2328" s="6" t="s">
        <v>2370</v>
      </c>
      <c r="E2328" s="6" t="s">
        <v>2370</v>
      </c>
      <c r="F2328" s="6" t="s">
        <v>2370</v>
      </c>
      <c r="G2328">
        <v>0</v>
      </c>
      <c r="H2328" s="6" t="s">
        <v>2370</v>
      </c>
      <c r="I2328" t="s">
        <v>8379</v>
      </c>
      <c r="J2328" t="s">
        <v>8375</v>
      </c>
    </row>
    <row r="2329" spans="1:10" x14ac:dyDescent="0.35">
      <c r="A2329" s="6" t="s">
        <v>18</v>
      </c>
      <c r="B2329">
        <v>17.82</v>
      </c>
      <c r="C2329">
        <v>5.26</v>
      </c>
      <c r="D2329" s="6" t="s">
        <v>2373</v>
      </c>
      <c r="E2329" s="6" t="s">
        <v>2370</v>
      </c>
      <c r="F2329" s="6" t="s">
        <v>2370</v>
      </c>
      <c r="G2329">
        <v>1</v>
      </c>
      <c r="H2329" s="6" t="s">
        <v>2370</v>
      </c>
      <c r="I2329" t="s">
        <v>8380</v>
      </c>
      <c r="J2329" t="s">
        <v>8377</v>
      </c>
    </row>
    <row r="2330" spans="1:10" x14ac:dyDescent="0.35">
      <c r="A2330" s="6" t="s">
        <v>17</v>
      </c>
      <c r="B2330">
        <v>17.07</v>
      </c>
      <c r="C2330">
        <v>5.22</v>
      </c>
      <c r="D2330" s="6" t="s">
        <v>2370</v>
      </c>
      <c r="E2330" s="6" t="s">
        <v>2370</v>
      </c>
      <c r="F2330" s="6" t="s">
        <v>2373</v>
      </c>
      <c r="G2330">
        <v>1</v>
      </c>
      <c r="H2330" s="6" t="s">
        <v>2370</v>
      </c>
      <c r="I2330" t="s">
        <v>8380</v>
      </c>
      <c r="J2330" t="s">
        <v>8377</v>
      </c>
    </row>
    <row r="2331" spans="1:10" x14ac:dyDescent="0.35">
      <c r="A2331" s="6" t="s">
        <v>15</v>
      </c>
      <c r="B2331">
        <v>22.24</v>
      </c>
      <c r="C2331">
        <v>4.29</v>
      </c>
      <c r="D2331" s="6" t="s">
        <v>2373</v>
      </c>
      <c r="E2331" s="6" t="s">
        <v>2370</v>
      </c>
      <c r="F2331" s="6" t="s">
        <v>2370</v>
      </c>
      <c r="G2331">
        <v>0</v>
      </c>
      <c r="H2331" s="6" t="s">
        <v>2370</v>
      </c>
      <c r="I2331" t="s">
        <v>8379</v>
      </c>
      <c r="J2331" t="s">
        <v>8377</v>
      </c>
    </row>
    <row r="2332" spans="1:10" x14ac:dyDescent="0.35">
      <c r="A2332" s="6" t="s">
        <v>14</v>
      </c>
      <c r="B2332">
        <v>22.34</v>
      </c>
      <c r="C2332">
        <v>5.57</v>
      </c>
      <c r="D2332" s="6" t="s">
        <v>2370</v>
      </c>
      <c r="E2332" s="6" t="s">
        <v>2370</v>
      </c>
      <c r="F2332" s="6" t="s">
        <v>2370</v>
      </c>
      <c r="G2332">
        <v>1</v>
      </c>
      <c r="H2332" s="6" t="s">
        <v>2370</v>
      </c>
      <c r="I2332" t="s">
        <v>8379</v>
      </c>
      <c r="J2332" t="s">
        <v>8377</v>
      </c>
    </row>
    <row r="2333" spans="1:10" x14ac:dyDescent="0.35">
      <c r="A2333" s="6" t="s">
        <v>13</v>
      </c>
      <c r="B2333">
        <v>17.7</v>
      </c>
      <c r="C2333">
        <v>6.28</v>
      </c>
      <c r="D2333" s="6" t="s">
        <v>2370</v>
      </c>
      <c r="E2333" s="6" t="s">
        <v>2370</v>
      </c>
      <c r="F2333" s="6" t="s">
        <v>2370</v>
      </c>
      <c r="G2333">
        <v>1</v>
      </c>
      <c r="H2333" s="6" t="s">
        <v>2370</v>
      </c>
      <c r="I2333" t="s">
        <v>8380</v>
      </c>
      <c r="J2333" t="s">
        <v>8376</v>
      </c>
    </row>
    <row r="2334" spans="1:10" x14ac:dyDescent="0.35">
      <c r="A2334" s="6" t="s">
        <v>12</v>
      </c>
      <c r="B2334">
        <v>16.47</v>
      </c>
      <c r="C2334">
        <v>6.35</v>
      </c>
      <c r="D2334" s="6" t="s">
        <v>2370</v>
      </c>
      <c r="E2334" s="6" t="s">
        <v>2370</v>
      </c>
      <c r="F2334" s="6" t="s">
        <v>2373</v>
      </c>
      <c r="G2334">
        <v>1</v>
      </c>
      <c r="H2334" s="6" t="s">
        <v>2370</v>
      </c>
      <c r="I2334" t="s">
        <v>8380</v>
      </c>
      <c r="J2334" t="s">
        <v>8376</v>
      </c>
    </row>
    <row r="2335" spans="1:10" x14ac:dyDescent="0.35">
      <c r="A2335" s="6" t="s">
        <v>10</v>
      </c>
      <c r="B2335">
        <v>17.600000000000001</v>
      </c>
      <c r="C2335">
        <v>4.3899999999999997</v>
      </c>
      <c r="D2335" s="6" t="s">
        <v>2370</v>
      </c>
      <c r="E2335" s="6" t="s">
        <v>2370</v>
      </c>
      <c r="F2335" s="6" t="s">
        <v>2370</v>
      </c>
      <c r="G2335">
        <v>1</v>
      </c>
      <c r="H2335" s="6" t="s">
        <v>2370</v>
      </c>
      <c r="I2335" t="s">
        <v>8380</v>
      </c>
      <c r="J2335" t="s">
        <v>8377</v>
      </c>
    </row>
    <row r="2336" spans="1:10" x14ac:dyDescent="0.35">
      <c r="A2336" s="6" t="s">
        <v>6</v>
      </c>
      <c r="B2336">
        <v>17.579999999999998</v>
      </c>
      <c r="C2336">
        <v>4.51</v>
      </c>
      <c r="D2336" s="6" t="s">
        <v>2370</v>
      </c>
      <c r="E2336" s="6" t="s">
        <v>2370</v>
      </c>
      <c r="F2336" s="6" t="s">
        <v>2370</v>
      </c>
      <c r="G2336">
        <v>1</v>
      </c>
      <c r="H2336" s="6" t="s">
        <v>2370</v>
      </c>
      <c r="I2336" t="s">
        <v>8380</v>
      </c>
      <c r="J2336" t="s">
        <v>8377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D17A-9727-46B6-A459-F455055CD531}">
  <dimension ref="A1:D2336"/>
  <sheetViews>
    <sheetView topLeftCell="A2224" workbookViewId="0">
      <selection sqref="A1:A1048576"/>
    </sheetView>
  </sheetViews>
  <sheetFormatPr defaultRowHeight="14.5" x14ac:dyDescent="0.35"/>
  <cols>
    <col min="1" max="1" width="13.54296875" bestFit="1" customWidth="1"/>
    <col min="2" max="2" width="6.7265625" bestFit="1" customWidth="1"/>
    <col min="3" max="3" width="17.26953125" bestFit="1" customWidth="1"/>
    <col min="4" max="4" width="19.6328125" bestFit="1" customWidth="1"/>
  </cols>
  <sheetData>
    <row r="1" spans="1:4" x14ac:dyDescent="0.35">
      <c r="A1" s="8" t="s">
        <v>0</v>
      </c>
      <c r="B1" s="9" t="s">
        <v>4710</v>
      </c>
      <c r="C1" s="9" t="s">
        <v>4711</v>
      </c>
      <c r="D1" s="10" t="s">
        <v>4712</v>
      </c>
    </row>
    <row r="2" spans="1:4" x14ac:dyDescent="0.35">
      <c r="A2" s="11" t="s">
        <v>2362</v>
      </c>
      <c r="B2" s="12" t="s">
        <v>4713</v>
      </c>
      <c r="C2" s="12" t="s">
        <v>4714</v>
      </c>
      <c r="D2" s="13" t="s">
        <v>4715</v>
      </c>
    </row>
    <row r="3" spans="1:4" x14ac:dyDescent="0.35">
      <c r="A3" s="14" t="s">
        <v>2361</v>
      </c>
      <c r="B3" s="15" t="s">
        <v>4716</v>
      </c>
      <c r="C3" s="15" t="s">
        <v>4717</v>
      </c>
      <c r="D3" s="16" t="s">
        <v>4718</v>
      </c>
    </row>
    <row r="4" spans="1:4" x14ac:dyDescent="0.35">
      <c r="A4" s="11" t="s">
        <v>2360</v>
      </c>
      <c r="B4" s="12" t="s">
        <v>4716</v>
      </c>
      <c r="C4" s="12" t="s">
        <v>4719</v>
      </c>
      <c r="D4" s="13" t="s">
        <v>4720</v>
      </c>
    </row>
    <row r="5" spans="1:4" x14ac:dyDescent="0.35">
      <c r="A5" s="14" t="s">
        <v>2359</v>
      </c>
      <c r="B5" s="15" t="s">
        <v>4713</v>
      </c>
      <c r="C5" s="15" t="s">
        <v>4721</v>
      </c>
      <c r="D5" s="16" t="s">
        <v>4722</v>
      </c>
    </row>
    <row r="6" spans="1:4" x14ac:dyDescent="0.35">
      <c r="A6" s="11" t="s">
        <v>2358</v>
      </c>
      <c r="B6" s="12" t="s">
        <v>4713</v>
      </c>
      <c r="C6" s="12" t="s">
        <v>4723</v>
      </c>
      <c r="D6" s="13" t="s">
        <v>4724</v>
      </c>
    </row>
    <row r="7" spans="1:4" x14ac:dyDescent="0.35">
      <c r="A7" s="14" t="s">
        <v>2357</v>
      </c>
      <c r="B7" s="15" t="s">
        <v>4716</v>
      </c>
      <c r="C7" s="15" t="s">
        <v>4725</v>
      </c>
      <c r="D7" s="16" t="s">
        <v>4726</v>
      </c>
    </row>
    <row r="8" spans="1:4" x14ac:dyDescent="0.35">
      <c r="A8" s="11" t="s">
        <v>2356</v>
      </c>
      <c r="B8" s="12" t="s">
        <v>4716</v>
      </c>
      <c r="C8" s="12" t="s">
        <v>4727</v>
      </c>
      <c r="D8" s="13" t="s">
        <v>4728</v>
      </c>
    </row>
    <row r="9" spans="1:4" x14ac:dyDescent="0.35">
      <c r="A9" s="14" t="s">
        <v>2355</v>
      </c>
      <c r="B9" s="15" t="s">
        <v>4716</v>
      </c>
      <c r="C9" s="15" t="s">
        <v>4729</v>
      </c>
      <c r="D9" s="16" t="s">
        <v>4730</v>
      </c>
    </row>
    <row r="10" spans="1:4" x14ac:dyDescent="0.35">
      <c r="A10" s="11" t="s">
        <v>2354</v>
      </c>
      <c r="B10" s="12" t="s">
        <v>4716</v>
      </c>
      <c r="C10" s="12" t="s">
        <v>4731</v>
      </c>
      <c r="D10" s="13" t="s">
        <v>4732</v>
      </c>
    </row>
    <row r="11" spans="1:4" x14ac:dyDescent="0.35">
      <c r="A11" s="14" t="s">
        <v>2353</v>
      </c>
      <c r="B11" s="15" t="s">
        <v>4713</v>
      </c>
      <c r="C11" s="15" t="s">
        <v>4733</v>
      </c>
      <c r="D11" s="16" t="s">
        <v>4734</v>
      </c>
    </row>
    <row r="12" spans="1:4" x14ac:dyDescent="0.35">
      <c r="A12" s="11" t="s">
        <v>2352</v>
      </c>
      <c r="B12" s="12" t="s">
        <v>4713</v>
      </c>
      <c r="C12" s="12" t="s">
        <v>4735</v>
      </c>
      <c r="D12" s="13" t="s">
        <v>4736</v>
      </c>
    </row>
    <row r="13" spans="1:4" x14ac:dyDescent="0.35">
      <c r="A13" s="14" t="s">
        <v>2351</v>
      </c>
      <c r="B13" s="15" t="s">
        <v>4716</v>
      </c>
      <c r="C13" s="15" t="s">
        <v>4737</v>
      </c>
      <c r="D13" s="16" t="s">
        <v>4738</v>
      </c>
    </row>
    <row r="14" spans="1:4" x14ac:dyDescent="0.35">
      <c r="A14" s="11" t="s">
        <v>2350</v>
      </c>
      <c r="B14" s="12" t="s">
        <v>4716</v>
      </c>
      <c r="C14" s="12" t="s">
        <v>4739</v>
      </c>
      <c r="D14" s="13" t="s">
        <v>4740</v>
      </c>
    </row>
    <row r="15" spans="1:4" x14ac:dyDescent="0.35">
      <c r="A15" s="14" t="s">
        <v>2349</v>
      </c>
      <c r="B15" s="15" t="s">
        <v>4716</v>
      </c>
      <c r="C15" s="15" t="s">
        <v>4741</v>
      </c>
      <c r="D15" s="16" t="s">
        <v>4742</v>
      </c>
    </row>
    <row r="16" spans="1:4" x14ac:dyDescent="0.35">
      <c r="A16" s="11" t="s">
        <v>2348</v>
      </c>
      <c r="B16" s="12" t="s">
        <v>4713</v>
      </c>
      <c r="C16" s="12" t="s">
        <v>4743</v>
      </c>
      <c r="D16" s="13" t="s">
        <v>4744</v>
      </c>
    </row>
    <row r="17" spans="1:4" x14ac:dyDescent="0.35">
      <c r="A17" s="14" t="s">
        <v>2347</v>
      </c>
      <c r="B17" s="15" t="s">
        <v>4716</v>
      </c>
      <c r="C17" s="15" t="s">
        <v>4745</v>
      </c>
      <c r="D17" s="16" t="s">
        <v>4746</v>
      </c>
    </row>
    <row r="18" spans="1:4" x14ac:dyDescent="0.35">
      <c r="A18" s="11" t="s">
        <v>2346</v>
      </c>
      <c r="B18" s="12" t="s">
        <v>4713</v>
      </c>
      <c r="C18" s="12" t="s">
        <v>4747</v>
      </c>
      <c r="D18" s="13" t="s">
        <v>4748</v>
      </c>
    </row>
    <row r="19" spans="1:4" x14ac:dyDescent="0.35">
      <c r="A19" s="14" t="s">
        <v>2345</v>
      </c>
      <c r="B19" s="15" t="s">
        <v>4713</v>
      </c>
      <c r="C19" s="15" t="s">
        <v>4749</v>
      </c>
      <c r="D19" s="16" t="s">
        <v>4750</v>
      </c>
    </row>
    <row r="20" spans="1:4" x14ac:dyDescent="0.35">
      <c r="A20" s="11" t="s">
        <v>2344</v>
      </c>
      <c r="B20" s="12" t="s">
        <v>4716</v>
      </c>
      <c r="C20" s="12" t="s">
        <v>4751</v>
      </c>
      <c r="D20" s="13" t="s">
        <v>4752</v>
      </c>
    </row>
    <row r="21" spans="1:4" x14ac:dyDescent="0.35">
      <c r="A21" s="14" t="s">
        <v>2343</v>
      </c>
      <c r="B21" s="15" t="s">
        <v>4716</v>
      </c>
      <c r="C21" s="15" t="s">
        <v>4753</v>
      </c>
      <c r="D21" s="16" t="s">
        <v>4754</v>
      </c>
    </row>
    <row r="22" spans="1:4" x14ac:dyDescent="0.35">
      <c r="A22" s="11" t="s">
        <v>2342</v>
      </c>
      <c r="B22" s="12" t="s">
        <v>4716</v>
      </c>
      <c r="C22" s="12" t="s">
        <v>4755</v>
      </c>
      <c r="D22" s="13" t="s">
        <v>4756</v>
      </c>
    </row>
    <row r="23" spans="1:4" x14ac:dyDescent="0.35">
      <c r="A23" s="14" t="s">
        <v>2341</v>
      </c>
      <c r="B23" s="15" t="s">
        <v>4713</v>
      </c>
      <c r="C23" s="15" t="s">
        <v>4757</v>
      </c>
      <c r="D23" s="16" t="s">
        <v>4758</v>
      </c>
    </row>
    <row r="24" spans="1:4" x14ac:dyDescent="0.35">
      <c r="A24" s="11" t="s">
        <v>2340</v>
      </c>
      <c r="B24" s="12" t="s">
        <v>4713</v>
      </c>
      <c r="C24" s="12" t="s">
        <v>4759</v>
      </c>
      <c r="D24" s="13" t="s">
        <v>4760</v>
      </c>
    </row>
    <row r="25" spans="1:4" x14ac:dyDescent="0.35">
      <c r="A25" s="14" t="s">
        <v>2339</v>
      </c>
      <c r="B25" s="15" t="s">
        <v>4716</v>
      </c>
      <c r="C25" s="15" t="s">
        <v>4761</v>
      </c>
      <c r="D25" s="16" t="s">
        <v>4762</v>
      </c>
    </row>
    <row r="26" spans="1:4" x14ac:dyDescent="0.35">
      <c r="A26" s="11" t="s">
        <v>2338</v>
      </c>
      <c r="B26" s="12" t="s">
        <v>4716</v>
      </c>
      <c r="C26" s="12" t="s">
        <v>4763</v>
      </c>
      <c r="D26" s="13" t="s">
        <v>4764</v>
      </c>
    </row>
    <row r="27" spans="1:4" x14ac:dyDescent="0.35">
      <c r="A27" s="14" t="s">
        <v>2337</v>
      </c>
      <c r="B27" s="15" t="s">
        <v>4716</v>
      </c>
      <c r="C27" s="15" t="s">
        <v>4765</v>
      </c>
      <c r="D27" s="16" t="s">
        <v>4766</v>
      </c>
    </row>
    <row r="28" spans="1:4" x14ac:dyDescent="0.35">
      <c r="A28" s="11" t="s">
        <v>2336</v>
      </c>
      <c r="B28" s="12" t="s">
        <v>4716</v>
      </c>
      <c r="C28" s="12" t="s">
        <v>4767</v>
      </c>
      <c r="D28" s="13" t="s">
        <v>4768</v>
      </c>
    </row>
    <row r="29" spans="1:4" x14ac:dyDescent="0.35">
      <c r="A29" s="14" t="s">
        <v>2335</v>
      </c>
      <c r="B29" s="15" t="s">
        <v>4713</v>
      </c>
      <c r="C29" s="15" t="s">
        <v>4769</v>
      </c>
      <c r="D29" s="16" t="s">
        <v>4770</v>
      </c>
    </row>
    <row r="30" spans="1:4" x14ac:dyDescent="0.35">
      <c r="A30" s="11" t="s">
        <v>2334</v>
      </c>
      <c r="B30" s="12" t="s">
        <v>4716</v>
      </c>
      <c r="C30" s="12" t="s">
        <v>4771</v>
      </c>
      <c r="D30" s="13" t="s">
        <v>4730</v>
      </c>
    </row>
    <row r="31" spans="1:4" x14ac:dyDescent="0.35">
      <c r="A31" s="14" t="s">
        <v>2333</v>
      </c>
      <c r="B31" s="15" t="s">
        <v>4713</v>
      </c>
      <c r="C31" s="15" t="s">
        <v>4772</v>
      </c>
      <c r="D31" s="16" t="s">
        <v>4773</v>
      </c>
    </row>
    <row r="32" spans="1:4" x14ac:dyDescent="0.35">
      <c r="A32" s="11" t="s">
        <v>2332</v>
      </c>
      <c r="B32" s="12" t="s">
        <v>4713</v>
      </c>
      <c r="C32" s="12" t="s">
        <v>4774</v>
      </c>
      <c r="D32" s="13" t="s">
        <v>4775</v>
      </c>
    </row>
    <row r="33" spans="1:4" x14ac:dyDescent="0.35">
      <c r="A33" s="14" t="s">
        <v>2331</v>
      </c>
      <c r="B33" s="15" t="s">
        <v>4716</v>
      </c>
      <c r="C33" s="15" t="s">
        <v>4776</v>
      </c>
      <c r="D33" s="16" t="s">
        <v>4777</v>
      </c>
    </row>
    <row r="34" spans="1:4" x14ac:dyDescent="0.35">
      <c r="A34" s="11" t="s">
        <v>2330</v>
      </c>
      <c r="B34" s="12" t="s">
        <v>4716</v>
      </c>
      <c r="C34" s="12" t="s">
        <v>4778</v>
      </c>
      <c r="D34" s="13" t="s">
        <v>4779</v>
      </c>
    </row>
    <row r="35" spans="1:4" x14ac:dyDescent="0.35">
      <c r="A35" s="14" t="s">
        <v>2329</v>
      </c>
      <c r="B35" s="15" t="s">
        <v>4713</v>
      </c>
      <c r="C35" s="15" t="s">
        <v>4780</v>
      </c>
      <c r="D35" s="16" t="s">
        <v>4781</v>
      </c>
    </row>
    <row r="36" spans="1:4" x14ac:dyDescent="0.35">
      <c r="A36" s="11" t="s">
        <v>2328</v>
      </c>
      <c r="B36" s="12" t="s">
        <v>4713</v>
      </c>
      <c r="C36" s="12" t="s">
        <v>4782</v>
      </c>
      <c r="D36" s="13" t="s">
        <v>4783</v>
      </c>
    </row>
    <row r="37" spans="1:4" x14ac:dyDescent="0.35">
      <c r="A37" s="14" t="s">
        <v>2327</v>
      </c>
      <c r="B37" s="15" t="s">
        <v>4716</v>
      </c>
      <c r="C37" s="15" t="s">
        <v>4784</v>
      </c>
      <c r="D37" s="16" t="s">
        <v>4785</v>
      </c>
    </row>
    <row r="38" spans="1:4" x14ac:dyDescent="0.35">
      <c r="A38" s="11" t="s">
        <v>2326</v>
      </c>
      <c r="B38" s="12" t="s">
        <v>4716</v>
      </c>
      <c r="C38" s="12" t="s">
        <v>4786</v>
      </c>
      <c r="D38" s="13" t="s">
        <v>4787</v>
      </c>
    </row>
    <row r="39" spans="1:4" x14ac:dyDescent="0.35">
      <c r="A39" s="14" t="s">
        <v>2325</v>
      </c>
      <c r="B39" s="15" t="s">
        <v>4713</v>
      </c>
      <c r="C39" s="15" t="s">
        <v>4788</v>
      </c>
      <c r="D39" s="16" t="s">
        <v>4789</v>
      </c>
    </row>
    <row r="40" spans="1:4" x14ac:dyDescent="0.35">
      <c r="A40" s="11" t="s">
        <v>2324</v>
      </c>
      <c r="B40" s="12" t="s">
        <v>4713</v>
      </c>
      <c r="C40" s="12" t="s">
        <v>4790</v>
      </c>
      <c r="D40" s="13" t="s">
        <v>4791</v>
      </c>
    </row>
    <row r="41" spans="1:4" x14ac:dyDescent="0.35">
      <c r="A41" s="14" t="s">
        <v>2323</v>
      </c>
      <c r="B41" s="15" t="s">
        <v>4716</v>
      </c>
      <c r="C41" s="15" t="s">
        <v>4792</v>
      </c>
      <c r="D41" s="16" t="s">
        <v>4793</v>
      </c>
    </row>
    <row r="42" spans="1:4" x14ac:dyDescent="0.35">
      <c r="A42" s="11" t="s">
        <v>2322</v>
      </c>
      <c r="B42" s="12" t="s">
        <v>4716</v>
      </c>
      <c r="C42" s="12" t="s">
        <v>4794</v>
      </c>
      <c r="D42" s="13" t="s">
        <v>4795</v>
      </c>
    </row>
    <row r="43" spans="1:4" x14ac:dyDescent="0.35">
      <c r="A43" s="14" t="s">
        <v>2321</v>
      </c>
      <c r="B43" s="15" t="s">
        <v>4713</v>
      </c>
      <c r="C43" s="15" t="s">
        <v>4796</v>
      </c>
      <c r="D43" s="16" t="s">
        <v>4797</v>
      </c>
    </row>
    <row r="44" spans="1:4" x14ac:dyDescent="0.35">
      <c r="A44" s="11" t="s">
        <v>2320</v>
      </c>
      <c r="B44" s="12" t="s">
        <v>4713</v>
      </c>
      <c r="C44" s="12" t="s">
        <v>4798</v>
      </c>
      <c r="D44" s="13" t="s">
        <v>4760</v>
      </c>
    </row>
    <row r="45" spans="1:4" x14ac:dyDescent="0.35">
      <c r="A45" s="14" t="s">
        <v>2319</v>
      </c>
      <c r="B45" s="15" t="s">
        <v>4716</v>
      </c>
      <c r="C45" s="15" t="s">
        <v>4799</v>
      </c>
      <c r="D45" s="16" t="s">
        <v>4800</v>
      </c>
    </row>
    <row r="46" spans="1:4" x14ac:dyDescent="0.35">
      <c r="A46" s="11" t="s">
        <v>2318</v>
      </c>
      <c r="B46" s="12" t="s">
        <v>4716</v>
      </c>
      <c r="C46" s="12" t="s">
        <v>4801</v>
      </c>
      <c r="D46" s="13" t="s">
        <v>4802</v>
      </c>
    </row>
    <row r="47" spans="1:4" x14ac:dyDescent="0.35">
      <c r="A47" s="14" t="s">
        <v>2317</v>
      </c>
      <c r="B47" s="15" t="s">
        <v>4713</v>
      </c>
      <c r="C47" s="15" t="s">
        <v>4803</v>
      </c>
      <c r="D47" s="16" t="s">
        <v>4804</v>
      </c>
    </row>
    <row r="48" spans="1:4" x14ac:dyDescent="0.35">
      <c r="A48" s="11" t="s">
        <v>2316</v>
      </c>
      <c r="B48" s="12" t="s">
        <v>4716</v>
      </c>
      <c r="C48" s="12" t="s">
        <v>4805</v>
      </c>
      <c r="D48" s="13" t="s">
        <v>4806</v>
      </c>
    </row>
    <row r="49" spans="1:4" x14ac:dyDescent="0.35">
      <c r="A49" s="14" t="s">
        <v>2315</v>
      </c>
      <c r="B49" s="15" t="s">
        <v>4713</v>
      </c>
      <c r="C49" s="15" t="s">
        <v>4796</v>
      </c>
      <c r="D49" s="16" t="s">
        <v>4807</v>
      </c>
    </row>
    <row r="50" spans="1:4" x14ac:dyDescent="0.35">
      <c r="A50" s="11" t="s">
        <v>2314</v>
      </c>
      <c r="B50" s="12" t="s">
        <v>4716</v>
      </c>
      <c r="C50" s="12" t="s">
        <v>4808</v>
      </c>
      <c r="D50" s="13" t="s">
        <v>4809</v>
      </c>
    </row>
    <row r="51" spans="1:4" x14ac:dyDescent="0.35">
      <c r="A51" s="14" t="s">
        <v>2313</v>
      </c>
      <c r="B51" s="15" t="s">
        <v>4716</v>
      </c>
      <c r="C51" s="15" t="s">
        <v>4810</v>
      </c>
      <c r="D51" s="16" t="s">
        <v>4811</v>
      </c>
    </row>
    <row r="52" spans="1:4" x14ac:dyDescent="0.35">
      <c r="A52" s="11" t="s">
        <v>2312</v>
      </c>
      <c r="B52" s="12" t="s">
        <v>4716</v>
      </c>
      <c r="C52" s="12" t="s">
        <v>4812</v>
      </c>
      <c r="D52" s="13" t="s">
        <v>4813</v>
      </c>
    </row>
    <row r="53" spans="1:4" x14ac:dyDescent="0.35">
      <c r="A53" s="14" t="s">
        <v>2311</v>
      </c>
      <c r="B53" s="15" t="s">
        <v>4713</v>
      </c>
      <c r="C53" s="15" t="s">
        <v>4814</v>
      </c>
      <c r="D53" s="16" t="s">
        <v>4815</v>
      </c>
    </row>
    <row r="54" spans="1:4" x14ac:dyDescent="0.35">
      <c r="A54" s="11" t="s">
        <v>2310</v>
      </c>
      <c r="B54" s="12" t="s">
        <v>4716</v>
      </c>
      <c r="C54" s="12" t="s">
        <v>4816</v>
      </c>
      <c r="D54" s="13" t="s">
        <v>4738</v>
      </c>
    </row>
    <row r="55" spans="1:4" x14ac:dyDescent="0.35">
      <c r="A55" s="14" t="s">
        <v>2309</v>
      </c>
      <c r="B55" s="15" t="s">
        <v>4716</v>
      </c>
      <c r="C55" s="15" t="s">
        <v>4817</v>
      </c>
      <c r="D55" s="16" t="s">
        <v>4818</v>
      </c>
    </row>
    <row r="56" spans="1:4" x14ac:dyDescent="0.35">
      <c r="A56" s="11" t="s">
        <v>2308</v>
      </c>
      <c r="B56" s="12" t="s">
        <v>4713</v>
      </c>
      <c r="C56" s="12" t="s">
        <v>4819</v>
      </c>
      <c r="D56" s="13" t="s">
        <v>4820</v>
      </c>
    </row>
    <row r="57" spans="1:4" x14ac:dyDescent="0.35">
      <c r="A57" s="14" t="s">
        <v>2307</v>
      </c>
      <c r="B57" s="15" t="s">
        <v>4713</v>
      </c>
      <c r="C57" s="15" t="s">
        <v>4821</v>
      </c>
      <c r="D57" s="16" t="s">
        <v>4822</v>
      </c>
    </row>
    <row r="58" spans="1:4" x14ac:dyDescent="0.35">
      <c r="A58" s="11" t="s">
        <v>2306</v>
      </c>
      <c r="B58" s="12" t="s">
        <v>4716</v>
      </c>
      <c r="C58" s="12" t="s">
        <v>4823</v>
      </c>
      <c r="D58" s="13" t="s">
        <v>4824</v>
      </c>
    </row>
    <row r="59" spans="1:4" x14ac:dyDescent="0.35">
      <c r="A59" s="14" t="s">
        <v>2305</v>
      </c>
      <c r="B59" s="15" t="s">
        <v>4713</v>
      </c>
      <c r="C59" s="15" t="s">
        <v>4825</v>
      </c>
      <c r="D59" s="16" t="s">
        <v>4826</v>
      </c>
    </row>
    <row r="60" spans="1:4" x14ac:dyDescent="0.35">
      <c r="A60" s="11" t="s">
        <v>2304</v>
      </c>
      <c r="B60" s="12" t="s">
        <v>4716</v>
      </c>
      <c r="C60" s="12" t="s">
        <v>4827</v>
      </c>
      <c r="D60" s="13" t="s">
        <v>4828</v>
      </c>
    </row>
    <row r="61" spans="1:4" x14ac:dyDescent="0.35">
      <c r="A61" s="14" t="s">
        <v>2303</v>
      </c>
      <c r="B61" s="15" t="s">
        <v>4713</v>
      </c>
      <c r="C61" s="15" t="s">
        <v>4829</v>
      </c>
      <c r="D61" s="16" t="s">
        <v>4830</v>
      </c>
    </row>
    <row r="62" spans="1:4" x14ac:dyDescent="0.35">
      <c r="A62" s="11" t="s">
        <v>2302</v>
      </c>
      <c r="B62" s="12" t="s">
        <v>4716</v>
      </c>
      <c r="C62" s="12" t="s">
        <v>4831</v>
      </c>
      <c r="D62" s="13" t="s">
        <v>4832</v>
      </c>
    </row>
    <row r="63" spans="1:4" x14ac:dyDescent="0.35">
      <c r="A63" s="14" t="s">
        <v>2301</v>
      </c>
      <c r="B63" s="15" t="s">
        <v>4713</v>
      </c>
      <c r="C63" s="15" t="s">
        <v>4833</v>
      </c>
      <c r="D63" s="16" t="s">
        <v>4834</v>
      </c>
    </row>
    <row r="64" spans="1:4" x14ac:dyDescent="0.35">
      <c r="A64" s="11" t="s">
        <v>2300</v>
      </c>
      <c r="B64" s="12" t="s">
        <v>4713</v>
      </c>
      <c r="C64" s="12" t="s">
        <v>4835</v>
      </c>
      <c r="D64" s="13" t="s">
        <v>4836</v>
      </c>
    </row>
    <row r="65" spans="1:4" x14ac:dyDescent="0.35">
      <c r="A65" s="14" t="s">
        <v>2299</v>
      </c>
      <c r="B65" s="15" t="s">
        <v>4716</v>
      </c>
      <c r="C65" s="15" t="s">
        <v>4837</v>
      </c>
      <c r="D65" s="16" t="s">
        <v>4738</v>
      </c>
    </row>
    <row r="66" spans="1:4" x14ac:dyDescent="0.35">
      <c r="A66" s="11" t="s">
        <v>2298</v>
      </c>
      <c r="B66" s="12" t="s">
        <v>4716</v>
      </c>
      <c r="C66" s="12" t="s">
        <v>4838</v>
      </c>
      <c r="D66" s="13" t="s">
        <v>4839</v>
      </c>
    </row>
    <row r="67" spans="1:4" x14ac:dyDescent="0.35">
      <c r="A67" s="14" t="s">
        <v>2297</v>
      </c>
      <c r="B67" s="15" t="s">
        <v>4713</v>
      </c>
      <c r="C67" s="15" t="s">
        <v>4840</v>
      </c>
      <c r="D67" s="16" t="s">
        <v>4841</v>
      </c>
    </row>
    <row r="68" spans="1:4" x14ac:dyDescent="0.35">
      <c r="A68" s="11" t="s">
        <v>2296</v>
      </c>
      <c r="B68" s="12" t="s">
        <v>4716</v>
      </c>
      <c r="C68" s="12" t="s">
        <v>4842</v>
      </c>
      <c r="D68" s="13" t="s">
        <v>4843</v>
      </c>
    </row>
    <row r="69" spans="1:4" x14ac:dyDescent="0.35">
      <c r="A69" s="14" t="s">
        <v>2295</v>
      </c>
      <c r="B69" s="15" t="s">
        <v>4716</v>
      </c>
      <c r="C69" s="15" t="s">
        <v>4844</v>
      </c>
      <c r="D69" s="16" t="s">
        <v>4845</v>
      </c>
    </row>
    <row r="70" spans="1:4" x14ac:dyDescent="0.35">
      <c r="A70" s="11" t="s">
        <v>2294</v>
      </c>
      <c r="B70" s="12" t="s">
        <v>4713</v>
      </c>
      <c r="C70" s="12" t="s">
        <v>4846</v>
      </c>
      <c r="D70" s="13" t="s">
        <v>4847</v>
      </c>
    </row>
    <row r="71" spans="1:4" x14ac:dyDescent="0.35">
      <c r="A71" s="14" t="s">
        <v>2293</v>
      </c>
      <c r="B71" s="15" t="s">
        <v>4716</v>
      </c>
      <c r="C71" s="15" t="s">
        <v>4848</v>
      </c>
      <c r="D71" s="16" t="s">
        <v>4849</v>
      </c>
    </row>
    <row r="72" spans="1:4" x14ac:dyDescent="0.35">
      <c r="A72" s="11" t="s">
        <v>2292</v>
      </c>
      <c r="B72" s="12" t="s">
        <v>4716</v>
      </c>
      <c r="C72" s="12" t="s">
        <v>4850</v>
      </c>
      <c r="D72" s="13" t="s">
        <v>4851</v>
      </c>
    </row>
    <row r="73" spans="1:4" x14ac:dyDescent="0.35">
      <c r="A73" s="14" t="s">
        <v>2291</v>
      </c>
      <c r="B73" s="15" t="s">
        <v>4716</v>
      </c>
      <c r="C73" s="15" t="s">
        <v>4852</v>
      </c>
      <c r="D73" s="16" t="s">
        <v>4853</v>
      </c>
    </row>
    <row r="74" spans="1:4" x14ac:dyDescent="0.35">
      <c r="A74" s="11" t="s">
        <v>2290</v>
      </c>
      <c r="B74" s="12" t="s">
        <v>4713</v>
      </c>
      <c r="C74" s="12" t="s">
        <v>4854</v>
      </c>
      <c r="D74" s="13" t="s">
        <v>4855</v>
      </c>
    </row>
    <row r="75" spans="1:4" x14ac:dyDescent="0.35">
      <c r="A75" s="14" t="s">
        <v>2289</v>
      </c>
      <c r="B75" s="15" t="s">
        <v>4713</v>
      </c>
      <c r="C75" s="15" t="s">
        <v>4856</v>
      </c>
      <c r="D75" s="16" t="s">
        <v>4857</v>
      </c>
    </row>
    <row r="76" spans="1:4" x14ac:dyDescent="0.35">
      <c r="A76" s="11" t="s">
        <v>2288</v>
      </c>
      <c r="B76" s="12" t="s">
        <v>4713</v>
      </c>
      <c r="C76" s="12" t="s">
        <v>4858</v>
      </c>
      <c r="D76" s="13" t="s">
        <v>4859</v>
      </c>
    </row>
    <row r="77" spans="1:4" x14ac:dyDescent="0.35">
      <c r="A77" s="14" t="s">
        <v>2287</v>
      </c>
      <c r="B77" s="15" t="s">
        <v>4716</v>
      </c>
      <c r="C77" s="15" t="s">
        <v>4860</v>
      </c>
      <c r="D77" s="16" t="s">
        <v>4861</v>
      </c>
    </row>
    <row r="78" spans="1:4" x14ac:dyDescent="0.35">
      <c r="A78" s="11" t="s">
        <v>2286</v>
      </c>
      <c r="B78" s="12" t="s">
        <v>4713</v>
      </c>
      <c r="C78" s="12" t="s">
        <v>4862</v>
      </c>
      <c r="D78" s="13" t="s">
        <v>4863</v>
      </c>
    </row>
    <row r="79" spans="1:4" x14ac:dyDescent="0.35">
      <c r="A79" s="14" t="s">
        <v>2285</v>
      </c>
      <c r="B79" s="15" t="s">
        <v>4713</v>
      </c>
      <c r="C79" s="15" t="s">
        <v>4864</v>
      </c>
      <c r="D79" s="16" t="s">
        <v>4865</v>
      </c>
    </row>
    <row r="80" spans="1:4" x14ac:dyDescent="0.35">
      <c r="A80" s="11" t="s">
        <v>2284</v>
      </c>
      <c r="B80" s="12" t="s">
        <v>4716</v>
      </c>
      <c r="C80" s="12" t="s">
        <v>4866</v>
      </c>
      <c r="D80" s="13" t="s">
        <v>4867</v>
      </c>
    </row>
    <row r="81" spans="1:4" x14ac:dyDescent="0.35">
      <c r="A81" s="14" t="s">
        <v>2283</v>
      </c>
      <c r="B81" s="15" t="s">
        <v>4713</v>
      </c>
      <c r="C81" s="15" t="s">
        <v>4868</v>
      </c>
      <c r="D81" s="16" t="s">
        <v>4869</v>
      </c>
    </row>
    <row r="82" spans="1:4" x14ac:dyDescent="0.35">
      <c r="A82" s="11" t="s">
        <v>2282</v>
      </c>
      <c r="B82" s="12" t="s">
        <v>4713</v>
      </c>
      <c r="C82" s="12" t="s">
        <v>4870</v>
      </c>
      <c r="D82" s="13" t="s">
        <v>4871</v>
      </c>
    </row>
    <row r="83" spans="1:4" x14ac:dyDescent="0.35">
      <c r="A83" s="14" t="s">
        <v>2281</v>
      </c>
      <c r="B83" s="15" t="s">
        <v>4716</v>
      </c>
      <c r="C83" s="15" t="s">
        <v>4872</v>
      </c>
      <c r="D83" s="16" t="s">
        <v>4873</v>
      </c>
    </row>
    <row r="84" spans="1:4" x14ac:dyDescent="0.35">
      <c r="A84" s="11" t="s">
        <v>2280</v>
      </c>
      <c r="B84" s="12" t="s">
        <v>4713</v>
      </c>
      <c r="C84" s="12" t="s">
        <v>4874</v>
      </c>
      <c r="D84" s="13" t="s">
        <v>4875</v>
      </c>
    </row>
    <row r="85" spans="1:4" x14ac:dyDescent="0.35">
      <c r="A85" s="14" t="s">
        <v>2279</v>
      </c>
      <c r="B85" s="15" t="s">
        <v>4716</v>
      </c>
      <c r="C85" s="15" t="s">
        <v>4876</v>
      </c>
      <c r="D85" s="16" t="s">
        <v>4877</v>
      </c>
    </row>
    <row r="86" spans="1:4" x14ac:dyDescent="0.35">
      <c r="A86" s="11" t="s">
        <v>2278</v>
      </c>
      <c r="B86" s="12" t="s">
        <v>4716</v>
      </c>
      <c r="C86" s="12" t="s">
        <v>4878</v>
      </c>
      <c r="D86" s="13" t="s">
        <v>4879</v>
      </c>
    </row>
    <row r="87" spans="1:4" x14ac:dyDescent="0.35">
      <c r="A87" s="14" t="s">
        <v>2277</v>
      </c>
      <c r="B87" s="15" t="s">
        <v>4716</v>
      </c>
      <c r="C87" s="15" t="s">
        <v>4880</v>
      </c>
      <c r="D87" s="16" t="s">
        <v>4881</v>
      </c>
    </row>
    <row r="88" spans="1:4" x14ac:dyDescent="0.35">
      <c r="A88" s="11" t="s">
        <v>2276</v>
      </c>
      <c r="B88" s="12" t="s">
        <v>4716</v>
      </c>
      <c r="C88" s="12" t="s">
        <v>4882</v>
      </c>
      <c r="D88" s="13" t="s">
        <v>4883</v>
      </c>
    </row>
    <row r="89" spans="1:4" x14ac:dyDescent="0.35">
      <c r="A89" s="14" t="s">
        <v>2275</v>
      </c>
      <c r="B89" s="15" t="s">
        <v>4713</v>
      </c>
      <c r="C89" s="15" t="s">
        <v>4884</v>
      </c>
      <c r="D89" s="16" t="s">
        <v>4885</v>
      </c>
    </row>
    <row r="90" spans="1:4" x14ac:dyDescent="0.35">
      <c r="A90" s="11" t="s">
        <v>2274</v>
      </c>
      <c r="B90" s="12" t="s">
        <v>4713</v>
      </c>
      <c r="C90" s="12" t="s">
        <v>4886</v>
      </c>
      <c r="D90" s="13" t="s">
        <v>4887</v>
      </c>
    </row>
    <row r="91" spans="1:4" x14ac:dyDescent="0.35">
      <c r="A91" s="14" t="s">
        <v>2273</v>
      </c>
      <c r="B91" s="15" t="s">
        <v>4713</v>
      </c>
      <c r="C91" s="15" t="s">
        <v>4888</v>
      </c>
      <c r="D91" s="16" t="s">
        <v>4889</v>
      </c>
    </row>
    <row r="92" spans="1:4" x14ac:dyDescent="0.35">
      <c r="A92" s="11" t="s">
        <v>2272</v>
      </c>
      <c r="B92" s="12" t="s">
        <v>4713</v>
      </c>
      <c r="C92" s="12" t="s">
        <v>4890</v>
      </c>
      <c r="D92" s="13" t="s">
        <v>4891</v>
      </c>
    </row>
    <row r="93" spans="1:4" x14ac:dyDescent="0.35">
      <c r="A93" s="14" t="s">
        <v>2271</v>
      </c>
      <c r="B93" s="15" t="s">
        <v>4713</v>
      </c>
      <c r="C93" s="15" t="s">
        <v>4892</v>
      </c>
      <c r="D93" s="16" t="s">
        <v>4893</v>
      </c>
    </row>
    <row r="94" spans="1:4" x14ac:dyDescent="0.35">
      <c r="A94" s="11" t="s">
        <v>2270</v>
      </c>
      <c r="B94" s="12" t="s">
        <v>4716</v>
      </c>
      <c r="C94" s="12" t="s">
        <v>4894</v>
      </c>
      <c r="D94" s="13" t="s">
        <v>4895</v>
      </c>
    </row>
    <row r="95" spans="1:4" x14ac:dyDescent="0.35">
      <c r="A95" s="14" t="s">
        <v>2269</v>
      </c>
      <c r="B95" s="15" t="s">
        <v>4716</v>
      </c>
      <c r="C95" s="15" t="s">
        <v>4896</v>
      </c>
      <c r="D95" s="16" t="s">
        <v>4738</v>
      </c>
    </row>
    <row r="96" spans="1:4" x14ac:dyDescent="0.35">
      <c r="A96" s="11" t="s">
        <v>2268</v>
      </c>
      <c r="B96" s="12" t="s">
        <v>4713</v>
      </c>
      <c r="C96" s="12" t="s">
        <v>4897</v>
      </c>
      <c r="D96" s="13" t="s">
        <v>4773</v>
      </c>
    </row>
    <row r="97" spans="1:4" x14ac:dyDescent="0.35">
      <c r="A97" s="14" t="s">
        <v>2267</v>
      </c>
      <c r="B97" s="15" t="s">
        <v>4716</v>
      </c>
      <c r="C97" s="15" t="s">
        <v>4898</v>
      </c>
      <c r="D97" s="16" t="s">
        <v>4899</v>
      </c>
    </row>
    <row r="98" spans="1:4" x14ac:dyDescent="0.35">
      <c r="A98" s="11" t="s">
        <v>2266</v>
      </c>
      <c r="B98" s="12" t="s">
        <v>4713</v>
      </c>
      <c r="C98" s="12" t="s">
        <v>4900</v>
      </c>
      <c r="D98" s="13" t="s">
        <v>4901</v>
      </c>
    </row>
    <row r="99" spans="1:4" x14ac:dyDescent="0.35">
      <c r="A99" s="14" t="s">
        <v>2265</v>
      </c>
      <c r="B99" s="15" t="s">
        <v>4713</v>
      </c>
      <c r="C99" s="15" t="s">
        <v>4902</v>
      </c>
      <c r="D99" s="16" t="s">
        <v>4903</v>
      </c>
    </row>
    <row r="100" spans="1:4" x14ac:dyDescent="0.35">
      <c r="A100" s="11" t="s">
        <v>2264</v>
      </c>
      <c r="B100" s="12" t="s">
        <v>4716</v>
      </c>
      <c r="C100" s="12" t="s">
        <v>4904</v>
      </c>
      <c r="D100" s="13" t="s">
        <v>4905</v>
      </c>
    </row>
    <row r="101" spans="1:4" x14ac:dyDescent="0.35">
      <c r="A101" s="14" t="s">
        <v>2263</v>
      </c>
      <c r="B101" s="15" t="s">
        <v>4716</v>
      </c>
      <c r="C101" s="15" t="s">
        <v>4906</v>
      </c>
      <c r="D101" s="16" t="s">
        <v>4843</v>
      </c>
    </row>
    <row r="102" spans="1:4" x14ac:dyDescent="0.35">
      <c r="A102" s="11" t="s">
        <v>2262</v>
      </c>
      <c r="B102" s="12" t="s">
        <v>4716</v>
      </c>
      <c r="C102" s="12" t="s">
        <v>4907</v>
      </c>
      <c r="D102" s="13" t="s">
        <v>4908</v>
      </c>
    </row>
    <row r="103" spans="1:4" x14ac:dyDescent="0.35">
      <c r="A103" s="14" t="s">
        <v>2261</v>
      </c>
      <c r="B103" s="15" t="s">
        <v>4713</v>
      </c>
      <c r="C103" s="15" t="s">
        <v>4909</v>
      </c>
      <c r="D103" s="16" t="s">
        <v>4910</v>
      </c>
    </row>
    <row r="104" spans="1:4" x14ac:dyDescent="0.35">
      <c r="A104" s="11" t="s">
        <v>2260</v>
      </c>
      <c r="B104" s="12" t="s">
        <v>4716</v>
      </c>
      <c r="C104" s="12" t="s">
        <v>4911</v>
      </c>
      <c r="D104" s="13" t="s">
        <v>4912</v>
      </c>
    </row>
    <row r="105" spans="1:4" x14ac:dyDescent="0.35">
      <c r="A105" s="14" t="s">
        <v>2259</v>
      </c>
      <c r="B105" s="15" t="s">
        <v>4716</v>
      </c>
      <c r="C105" s="15" t="s">
        <v>4913</v>
      </c>
      <c r="D105" s="16" t="s">
        <v>4914</v>
      </c>
    </row>
    <row r="106" spans="1:4" x14ac:dyDescent="0.35">
      <c r="A106" s="11" t="s">
        <v>2258</v>
      </c>
      <c r="B106" s="12" t="s">
        <v>4716</v>
      </c>
      <c r="C106" s="12" t="s">
        <v>4915</v>
      </c>
      <c r="D106" s="13" t="s">
        <v>4916</v>
      </c>
    </row>
    <row r="107" spans="1:4" x14ac:dyDescent="0.35">
      <c r="A107" s="14" t="s">
        <v>2257</v>
      </c>
      <c r="B107" s="15" t="s">
        <v>4716</v>
      </c>
      <c r="C107" s="15" t="s">
        <v>4917</v>
      </c>
      <c r="D107" s="16" t="s">
        <v>4918</v>
      </c>
    </row>
    <row r="108" spans="1:4" x14ac:dyDescent="0.35">
      <c r="A108" s="11" t="s">
        <v>2256</v>
      </c>
      <c r="B108" s="12" t="s">
        <v>4716</v>
      </c>
      <c r="C108" s="12" t="s">
        <v>4919</v>
      </c>
      <c r="D108" s="13" t="s">
        <v>4920</v>
      </c>
    </row>
    <row r="109" spans="1:4" x14ac:dyDescent="0.35">
      <c r="A109" s="14" t="s">
        <v>2255</v>
      </c>
      <c r="B109" s="15" t="s">
        <v>4713</v>
      </c>
      <c r="C109" s="15" t="s">
        <v>4921</v>
      </c>
      <c r="D109" s="16" t="s">
        <v>4922</v>
      </c>
    </row>
    <row r="110" spans="1:4" x14ac:dyDescent="0.35">
      <c r="A110" s="11" t="s">
        <v>2254</v>
      </c>
      <c r="B110" s="12" t="s">
        <v>4713</v>
      </c>
      <c r="C110" s="12" t="s">
        <v>4923</v>
      </c>
      <c r="D110" s="13" t="s">
        <v>4924</v>
      </c>
    </row>
    <row r="111" spans="1:4" x14ac:dyDescent="0.35">
      <c r="A111" s="14" t="s">
        <v>2253</v>
      </c>
      <c r="B111" s="15" t="s">
        <v>4716</v>
      </c>
      <c r="C111" s="15" t="s">
        <v>4925</v>
      </c>
      <c r="D111" s="16" t="s">
        <v>4895</v>
      </c>
    </row>
    <row r="112" spans="1:4" x14ac:dyDescent="0.35">
      <c r="A112" s="11" t="s">
        <v>2252</v>
      </c>
      <c r="B112" s="12" t="s">
        <v>4716</v>
      </c>
      <c r="C112" s="12" t="s">
        <v>4926</v>
      </c>
      <c r="D112" s="13" t="s">
        <v>4927</v>
      </c>
    </row>
    <row r="113" spans="1:4" x14ac:dyDescent="0.35">
      <c r="A113" s="14" t="s">
        <v>2251</v>
      </c>
      <c r="B113" s="15" t="s">
        <v>4713</v>
      </c>
      <c r="C113" s="15" t="s">
        <v>4928</v>
      </c>
      <c r="D113" s="16" t="s">
        <v>4929</v>
      </c>
    </row>
    <row r="114" spans="1:4" x14ac:dyDescent="0.35">
      <c r="A114" s="11" t="s">
        <v>2250</v>
      </c>
      <c r="B114" s="12" t="s">
        <v>4713</v>
      </c>
      <c r="C114" s="12" t="s">
        <v>4930</v>
      </c>
      <c r="D114" s="13" t="s">
        <v>4931</v>
      </c>
    </row>
    <row r="115" spans="1:4" x14ac:dyDescent="0.35">
      <c r="A115" s="14" t="s">
        <v>2249</v>
      </c>
      <c r="B115" s="15" t="s">
        <v>4716</v>
      </c>
      <c r="C115" s="15" t="s">
        <v>4932</v>
      </c>
      <c r="D115" s="16" t="s">
        <v>4933</v>
      </c>
    </row>
    <row r="116" spans="1:4" x14ac:dyDescent="0.35">
      <c r="A116" s="11" t="s">
        <v>2248</v>
      </c>
      <c r="B116" s="12" t="s">
        <v>4716</v>
      </c>
      <c r="C116" s="12" t="s">
        <v>4934</v>
      </c>
      <c r="D116" s="13" t="s">
        <v>4935</v>
      </c>
    </row>
    <row r="117" spans="1:4" x14ac:dyDescent="0.35">
      <c r="A117" s="14" t="s">
        <v>2247</v>
      </c>
      <c r="B117" s="15" t="s">
        <v>4713</v>
      </c>
      <c r="C117" s="15" t="s">
        <v>4936</v>
      </c>
      <c r="D117" s="16" t="s">
        <v>4937</v>
      </c>
    </row>
    <row r="118" spans="1:4" x14ac:dyDescent="0.35">
      <c r="A118" s="11" t="s">
        <v>2246</v>
      </c>
      <c r="B118" s="12" t="s">
        <v>4716</v>
      </c>
      <c r="C118" s="12" t="s">
        <v>4938</v>
      </c>
      <c r="D118" s="13" t="s">
        <v>4939</v>
      </c>
    </row>
    <row r="119" spans="1:4" x14ac:dyDescent="0.35">
      <c r="A119" s="14" t="s">
        <v>2245</v>
      </c>
      <c r="B119" s="15" t="s">
        <v>4716</v>
      </c>
      <c r="C119" s="15" t="s">
        <v>4940</v>
      </c>
      <c r="D119" s="16" t="s">
        <v>4754</v>
      </c>
    </row>
    <row r="120" spans="1:4" x14ac:dyDescent="0.35">
      <c r="A120" s="11" t="s">
        <v>2244</v>
      </c>
      <c r="B120" s="12" t="s">
        <v>4716</v>
      </c>
      <c r="C120" s="12" t="s">
        <v>4941</v>
      </c>
      <c r="D120" s="13" t="s">
        <v>4942</v>
      </c>
    </row>
    <row r="121" spans="1:4" x14ac:dyDescent="0.35">
      <c r="A121" s="14" t="s">
        <v>2243</v>
      </c>
      <c r="B121" s="15" t="s">
        <v>4716</v>
      </c>
      <c r="C121" s="15" t="s">
        <v>4943</v>
      </c>
      <c r="D121" s="16" t="s">
        <v>4944</v>
      </c>
    </row>
    <row r="122" spans="1:4" x14ac:dyDescent="0.35">
      <c r="A122" s="11" t="s">
        <v>2242</v>
      </c>
      <c r="B122" s="12" t="s">
        <v>4716</v>
      </c>
      <c r="C122" s="12" t="s">
        <v>4945</v>
      </c>
      <c r="D122" s="13" t="s">
        <v>4946</v>
      </c>
    </row>
    <row r="123" spans="1:4" x14ac:dyDescent="0.35">
      <c r="A123" s="14" t="s">
        <v>2241</v>
      </c>
      <c r="B123" s="15" t="s">
        <v>4716</v>
      </c>
      <c r="C123" s="15" t="s">
        <v>4947</v>
      </c>
      <c r="D123" s="16" t="s">
        <v>4948</v>
      </c>
    </row>
    <row r="124" spans="1:4" x14ac:dyDescent="0.35">
      <c r="A124" s="11" t="s">
        <v>2240</v>
      </c>
      <c r="B124" s="12" t="s">
        <v>4713</v>
      </c>
      <c r="C124" s="12" t="s">
        <v>4949</v>
      </c>
      <c r="D124" s="13" t="s">
        <v>4950</v>
      </c>
    </row>
    <row r="125" spans="1:4" x14ac:dyDescent="0.35">
      <c r="A125" s="14" t="s">
        <v>2239</v>
      </c>
      <c r="B125" s="15" t="s">
        <v>4716</v>
      </c>
      <c r="C125" s="15" t="s">
        <v>4951</v>
      </c>
      <c r="D125" s="16" t="s">
        <v>4952</v>
      </c>
    </row>
    <row r="126" spans="1:4" x14ac:dyDescent="0.35">
      <c r="A126" s="11" t="s">
        <v>2238</v>
      </c>
      <c r="B126" s="12" t="s">
        <v>4713</v>
      </c>
      <c r="C126" s="12" t="s">
        <v>4953</v>
      </c>
      <c r="D126" s="13" t="s">
        <v>4954</v>
      </c>
    </row>
    <row r="127" spans="1:4" x14ac:dyDescent="0.35">
      <c r="A127" s="14" t="s">
        <v>2237</v>
      </c>
      <c r="B127" s="15" t="s">
        <v>4716</v>
      </c>
      <c r="C127" s="15" t="s">
        <v>4955</v>
      </c>
      <c r="D127" s="16" t="s">
        <v>4956</v>
      </c>
    </row>
    <row r="128" spans="1:4" x14ac:dyDescent="0.35">
      <c r="A128" s="11" t="s">
        <v>2236</v>
      </c>
      <c r="B128" s="12" t="s">
        <v>4716</v>
      </c>
      <c r="C128" s="12" t="s">
        <v>4957</v>
      </c>
      <c r="D128" s="13" t="s">
        <v>4958</v>
      </c>
    </row>
    <row r="129" spans="1:4" x14ac:dyDescent="0.35">
      <c r="A129" s="14" t="s">
        <v>2235</v>
      </c>
      <c r="B129" s="15" t="s">
        <v>4716</v>
      </c>
      <c r="C129" s="15" t="s">
        <v>4959</v>
      </c>
      <c r="D129" s="16" t="s">
        <v>4960</v>
      </c>
    </row>
    <row r="130" spans="1:4" x14ac:dyDescent="0.35">
      <c r="A130" s="11" t="s">
        <v>2234</v>
      </c>
      <c r="B130" s="12" t="s">
        <v>4716</v>
      </c>
      <c r="C130" s="12" t="s">
        <v>4961</v>
      </c>
      <c r="D130" s="13" t="s">
        <v>4962</v>
      </c>
    </row>
    <row r="131" spans="1:4" x14ac:dyDescent="0.35">
      <c r="A131" s="14" t="s">
        <v>2233</v>
      </c>
      <c r="B131" s="15" t="s">
        <v>4716</v>
      </c>
      <c r="C131" s="15" t="s">
        <v>4963</v>
      </c>
      <c r="D131" s="16" t="s">
        <v>4964</v>
      </c>
    </row>
    <row r="132" spans="1:4" x14ac:dyDescent="0.35">
      <c r="A132" s="11" t="s">
        <v>2232</v>
      </c>
      <c r="B132" s="12" t="s">
        <v>4716</v>
      </c>
      <c r="C132" s="12" t="s">
        <v>4965</v>
      </c>
      <c r="D132" s="13" t="s">
        <v>4966</v>
      </c>
    </row>
    <row r="133" spans="1:4" x14ac:dyDescent="0.35">
      <c r="A133" s="14" t="s">
        <v>2231</v>
      </c>
      <c r="B133" s="15" t="s">
        <v>4713</v>
      </c>
      <c r="C133" s="15" t="s">
        <v>4967</v>
      </c>
      <c r="D133" s="16" t="s">
        <v>4968</v>
      </c>
    </row>
    <row r="134" spans="1:4" x14ac:dyDescent="0.35">
      <c r="A134" s="11" t="s">
        <v>2230</v>
      </c>
      <c r="B134" s="12" t="s">
        <v>4716</v>
      </c>
      <c r="C134" s="12" t="s">
        <v>4969</v>
      </c>
      <c r="D134" s="13" t="s">
        <v>4970</v>
      </c>
    </row>
    <row r="135" spans="1:4" x14ac:dyDescent="0.35">
      <c r="A135" s="14" t="s">
        <v>2229</v>
      </c>
      <c r="B135" s="15" t="s">
        <v>4716</v>
      </c>
      <c r="C135" s="15" t="s">
        <v>4971</v>
      </c>
      <c r="D135" s="16" t="s">
        <v>4972</v>
      </c>
    </row>
    <row r="136" spans="1:4" x14ac:dyDescent="0.35">
      <c r="A136" s="11" t="s">
        <v>2228</v>
      </c>
      <c r="B136" s="12" t="s">
        <v>4713</v>
      </c>
      <c r="C136" s="12" t="s">
        <v>4973</v>
      </c>
      <c r="D136" s="13" t="s">
        <v>4974</v>
      </c>
    </row>
    <row r="137" spans="1:4" x14ac:dyDescent="0.35">
      <c r="A137" s="14" t="s">
        <v>2227</v>
      </c>
      <c r="B137" s="15" t="s">
        <v>4713</v>
      </c>
      <c r="C137" s="15" t="s">
        <v>4975</v>
      </c>
      <c r="D137" s="16" t="s">
        <v>4976</v>
      </c>
    </row>
    <row r="138" spans="1:4" x14ac:dyDescent="0.35">
      <c r="A138" s="11" t="s">
        <v>2226</v>
      </c>
      <c r="B138" s="12" t="s">
        <v>4713</v>
      </c>
      <c r="C138" s="12" t="s">
        <v>4977</v>
      </c>
      <c r="D138" s="13" t="s">
        <v>4978</v>
      </c>
    </row>
    <row r="139" spans="1:4" x14ac:dyDescent="0.35">
      <c r="A139" s="14" t="s">
        <v>2225</v>
      </c>
      <c r="B139" s="15" t="s">
        <v>4716</v>
      </c>
      <c r="C139" s="15" t="s">
        <v>4979</v>
      </c>
      <c r="D139" s="16" t="s">
        <v>4980</v>
      </c>
    </row>
    <row r="140" spans="1:4" x14ac:dyDescent="0.35">
      <c r="A140" s="11" t="s">
        <v>2224</v>
      </c>
      <c r="B140" s="12" t="s">
        <v>4716</v>
      </c>
      <c r="C140" s="12" t="s">
        <v>4981</v>
      </c>
      <c r="D140" s="13" t="s">
        <v>4982</v>
      </c>
    </row>
    <row r="141" spans="1:4" x14ac:dyDescent="0.35">
      <c r="A141" s="14" t="s">
        <v>2223</v>
      </c>
      <c r="B141" s="15" t="s">
        <v>4716</v>
      </c>
      <c r="C141" s="15" t="s">
        <v>4983</v>
      </c>
      <c r="D141" s="16" t="s">
        <v>4984</v>
      </c>
    </row>
    <row r="142" spans="1:4" x14ac:dyDescent="0.35">
      <c r="A142" s="11" t="s">
        <v>2222</v>
      </c>
      <c r="B142" s="12" t="s">
        <v>4716</v>
      </c>
      <c r="C142" s="12" t="s">
        <v>4985</v>
      </c>
      <c r="D142" s="13" t="s">
        <v>4986</v>
      </c>
    </row>
    <row r="143" spans="1:4" x14ac:dyDescent="0.35">
      <c r="A143" s="14" t="s">
        <v>2221</v>
      </c>
      <c r="B143" s="15" t="s">
        <v>4716</v>
      </c>
      <c r="C143" s="15" t="s">
        <v>4987</v>
      </c>
      <c r="D143" s="16" t="s">
        <v>4988</v>
      </c>
    </row>
    <row r="144" spans="1:4" x14ac:dyDescent="0.35">
      <c r="A144" s="11" t="s">
        <v>2220</v>
      </c>
      <c r="B144" s="12" t="s">
        <v>4713</v>
      </c>
      <c r="C144" s="12" t="s">
        <v>4989</v>
      </c>
      <c r="D144" s="13" t="s">
        <v>4990</v>
      </c>
    </row>
    <row r="145" spans="1:4" x14ac:dyDescent="0.35">
      <c r="A145" s="14" t="s">
        <v>2219</v>
      </c>
      <c r="B145" s="15" t="s">
        <v>4716</v>
      </c>
      <c r="C145" s="15" t="s">
        <v>4991</v>
      </c>
      <c r="D145" s="16" t="s">
        <v>4992</v>
      </c>
    </row>
    <row r="146" spans="1:4" x14ac:dyDescent="0.35">
      <c r="A146" s="11" t="s">
        <v>2218</v>
      </c>
      <c r="B146" s="12" t="s">
        <v>4716</v>
      </c>
      <c r="C146" s="12" t="s">
        <v>4993</v>
      </c>
      <c r="D146" s="13" t="s">
        <v>4994</v>
      </c>
    </row>
    <row r="147" spans="1:4" x14ac:dyDescent="0.35">
      <c r="A147" s="14" t="s">
        <v>2217</v>
      </c>
      <c r="B147" s="15" t="s">
        <v>4713</v>
      </c>
      <c r="C147" s="15" t="s">
        <v>4995</v>
      </c>
      <c r="D147" s="16" t="s">
        <v>4996</v>
      </c>
    </row>
    <row r="148" spans="1:4" x14ac:dyDescent="0.35">
      <c r="A148" s="11" t="s">
        <v>2216</v>
      </c>
      <c r="B148" s="12" t="s">
        <v>4716</v>
      </c>
      <c r="C148" s="12" t="s">
        <v>4870</v>
      </c>
      <c r="D148" s="13" t="s">
        <v>4997</v>
      </c>
    </row>
    <row r="149" spans="1:4" x14ac:dyDescent="0.35">
      <c r="A149" s="14" t="s">
        <v>2215</v>
      </c>
      <c r="B149" s="15" t="s">
        <v>4716</v>
      </c>
      <c r="C149" s="15" t="s">
        <v>4998</v>
      </c>
      <c r="D149" s="16" t="s">
        <v>4999</v>
      </c>
    </row>
    <row r="150" spans="1:4" x14ac:dyDescent="0.35">
      <c r="A150" s="11" t="s">
        <v>2214</v>
      </c>
      <c r="B150" s="12" t="s">
        <v>4716</v>
      </c>
      <c r="C150" s="12" t="s">
        <v>5000</v>
      </c>
      <c r="D150" s="13" t="s">
        <v>5001</v>
      </c>
    </row>
    <row r="151" spans="1:4" x14ac:dyDescent="0.35">
      <c r="A151" s="14" t="s">
        <v>2213</v>
      </c>
      <c r="B151" s="15" t="s">
        <v>4716</v>
      </c>
      <c r="C151" s="15" t="s">
        <v>5002</v>
      </c>
      <c r="D151" s="16" t="s">
        <v>5003</v>
      </c>
    </row>
    <row r="152" spans="1:4" x14ac:dyDescent="0.35">
      <c r="A152" s="11" t="s">
        <v>2212</v>
      </c>
      <c r="B152" s="12" t="s">
        <v>4713</v>
      </c>
      <c r="C152" s="12" t="s">
        <v>5004</v>
      </c>
      <c r="D152" s="13" t="s">
        <v>5005</v>
      </c>
    </row>
    <row r="153" spans="1:4" x14ac:dyDescent="0.35">
      <c r="A153" s="14" t="s">
        <v>2211</v>
      </c>
      <c r="B153" s="15" t="s">
        <v>4716</v>
      </c>
      <c r="C153" s="15" t="s">
        <v>5006</v>
      </c>
      <c r="D153" s="16" t="s">
        <v>4997</v>
      </c>
    </row>
    <row r="154" spans="1:4" x14ac:dyDescent="0.35">
      <c r="A154" s="11" t="s">
        <v>2210</v>
      </c>
      <c r="B154" s="12" t="s">
        <v>4716</v>
      </c>
      <c r="C154" s="12" t="s">
        <v>5007</v>
      </c>
      <c r="D154" s="13" t="s">
        <v>5008</v>
      </c>
    </row>
    <row r="155" spans="1:4" x14ac:dyDescent="0.35">
      <c r="A155" s="14" t="s">
        <v>2209</v>
      </c>
      <c r="B155" s="15" t="s">
        <v>4716</v>
      </c>
      <c r="C155" s="15" t="s">
        <v>5009</v>
      </c>
      <c r="D155" s="16" t="s">
        <v>5010</v>
      </c>
    </row>
    <row r="156" spans="1:4" x14ac:dyDescent="0.35">
      <c r="A156" s="11" t="s">
        <v>2208</v>
      </c>
      <c r="B156" s="12" t="s">
        <v>4716</v>
      </c>
      <c r="C156" s="12" t="s">
        <v>5011</v>
      </c>
      <c r="D156" s="13" t="s">
        <v>5012</v>
      </c>
    </row>
    <row r="157" spans="1:4" x14ac:dyDescent="0.35">
      <c r="A157" s="14" t="s">
        <v>2207</v>
      </c>
      <c r="B157" s="15" t="s">
        <v>4716</v>
      </c>
      <c r="C157" s="15" t="s">
        <v>5013</v>
      </c>
      <c r="D157" s="16" t="s">
        <v>5014</v>
      </c>
    </row>
    <row r="158" spans="1:4" x14ac:dyDescent="0.35">
      <c r="A158" s="11" t="s">
        <v>2206</v>
      </c>
      <c r="B158" s="12" t="s">
        <v>4716</v>
      </c>
      <c r="C158" s="12" t="s">
        <v>5015</v>
      </c>
      <c r="D158" s="13" t="s">
        <v>4843</v>
      </c>
    </row>
    <row r="159" spans="1:4" x14ac:dyDescent="0.35">
      <c r="A159" s="14" t="s">
        <v>2205</v>
      </c>
      <c r="B159" s="15" t="s">
        <v>4713</v>
      </c>
      <c r="C159" s="15" t="s">
        <v>5016</v>
      </c>
      <c r="D159" s="16" t="s">
        <v>5017</v>
      </c>
    </row>
    <row r="160" spans="1:4" x14ac:dyDescent="0.35">
      <c r="A160" s="11" t="s">
        <v>2204</v>
      </c>
      <c r="B160" s="12" t="s">
        <v>4713</v>
      </c>
      <c r="C160" s="12" t="s">
        <v>5018</v>
      </c>
      <c r="D160" s="13" t="s">
        <v>5019</v>
      </c>
    </row>
    <row r="161" spans="1:4" x14ac:dyDescent="0.35">
      <c r="A161" s="14" t="s">
        <v>2203</v>
      </c>
      <c r="B161" s="15" t="s">
        <v>4716</v>
      </c>
      <c r="C161" s="15" t="s">
        <v>5020</v>
      </c>
      <c r="D161" s="16" t="s">
        <v>5021</v>
      </c>
    </row>
    <row r="162" spans="1:4" x14ac:dyDescent="0.35">
      <c r="A162" s="11" t="s">
        <v>2202</v>
      </c>
      <c r="B162" s="12" t="s">
        <v>4716</v>
      </c>
      <c r="C162" s="12" t="s">
        <v>5022</v>
      </c>
      <c r="D162" s="13" t="s">
        <v>5023</v>
      </c>
    </row>
    <row r="163" spans="1:4" x14ac:dyDescent="0.35">
      <c r="A163" s="14" t="s">
        <v>2201</v>
      </c>
      <c r="B163" s="15" t="s">
        <v>4716</v>
      </c>
      <c r="C163" s="15" t="s">
        <v>5024</v>
      </c>
      <c r="D163" s="16" t="s">
        <v>5025</v>
      </c>
    </row>
    <row r="164" spans="1:4" x14ac:dyDescent="0.35">
      <c r="A164" s="11" t="s">
        <v>2200</v>
      </c>
      <c r="B164" s="12" t="s">
        <v>4716</v>
      </c>
      <c r="C164" s="12" t="s">
        <v>5026</v>
      </c>
      <c r="D164" s="13" t="s">
        <v>5027</v>
      </c>
    </row>
    <row r="165" spans="1:4" x14ac:dyDescent="0.35">
      <c r="A165" s="14" t="s">
        <v>2199</v>
      </c>
      <c r="B165" s="15" t="s">
        <v>4716</v>
      </c>
      <c r="C165" s="15" t="s">
        <v>5028</v>
      </c>
      <c r="D165" s="16" t="s">
        <v>5029</v>
      </c>
    </row>
    <row r="166" spans="1:4" x14ac:dyDescent="0.35">
      <c r="A166" s="11" t="s">
        <v>2198</v>
      </c>
      <c r="B166" s="12" t="s">
        <v>4713</v>
      </c>
      <c r="C166" s="12" t="s">
        <v>5030</v>
      </c>
      <c r="D166" s="13" t="s">
        <v>5031</v>
      </c>
    </row>
    <row r="167" spans="1:4" x14ac:dyDescent="0.35">
      <c r="A167" s="14" t="s">
        <v>2197</v>
      </c>
      <c r="B167" s="15" t="s">
        <v>4716</v>
      </c>
      <c r="C167" s="15" t="s">
        <v>5032</v>
      </c>
      <c r="D167" s="16" t="s">
        <v>5033</v>
      </c>
    </row>
    <row r="168" spans="1:4" x14ac:dyDescent="0.35">
      <c r="A168" s="11" t="s">
        <v>2196</v>
      </c>
      <c r="B168" s="12" t="s">
        <v>4713</v>
      </c>
      <c r="C168" s="12" t="s">
        <v>5034</v>
      </c>
      <c r="D168" s="13" t="s">
        <v>5035</v>
      </c>
    </row>
    <row r="169" spans="1:4" x14ac:dyDescent="0.35">
      <c r="A169" s="14" t="s">
        <v>2195</v>
      </c>
      <c r="B169" s="15" t="s">
        <v>4713</v>
      </c>
      <c r="C169" s="15" t="s">
        <v>5036</v>
      </c>
      <c r="D169" s="16" t="s">
        <v>5037</v>
      </c>
    </row>
    <row r="170" spans="1:4" x14ac:dyDescent="0.35">
      <c r="A170" s="11" t="s">
        <v>2194</v>
      </c>
      <c r="B170" s="12" t="s">
        <v>4716</v>
      </c>
      <c r="C170" s="12" t="s">
        <v>5038</v>
      </c>
      <c r="D170" s="13" t="s">
        <v>5039</v>
      </c>
    </row>
    <row r="171" spans="1:4" x14ac:dyDescent="0.35">
      <c r="A171" s="14" t="s">
        <v>2193</v>
      </c>
      <c r="B171" s="15" t="s">
        <v>4716</v>
      </c>
      <c r="C171" s="15" t="s">
        <v>5040</v>
      </c>
      <c r="D171" s="16" t="s">
        <v>5041</v>
      </c>
    </row>
    <row r="172" spans="1:4" x14ac:dyDescent="0.35">
      <c r="A172" s="11" t="s">
        <v>2192</v>
      </c>
      <c r="B172" s="12" t="s">
        <v>4713</v>
      </c>
      <c r="C172" s="12" t="s">
        <v>5042</v>
      </c>
      <c r="D172" s="13" t="s">
        <v>4773</v>
      </c>
    </row>
    <row r="173" spans="1:4" x14ac:dyDescent="0.35">
      <c r="A173" s="14" t="s">
        <v>2191</v>
      </c>
      <c r="B173" s="15" t="s">
        <v>4713</v>
      </c>
      <c r="C173" s="15" t="s">
        <v>5043</v>
      </c>
      <c r="D173" s="16" t="s">
        <v>5044</v>
      </c>
    </row>
    <row r="174" spans="1:4" x14ac:dyDescent="0.35">
      <c r="A174" s="11" t="s">
        <v>2190</v>
      </c>
      <c r="B174" s="12" t="s">
        <v>4716</v>
      </c>
      <c r="C174" s="12" t="s">
        <v>5045</v>
      </c>
      <c r="D174" s="13" t="s">
        <v>5046</v>
      </c>
    </row>
    <row r="175" spans="1:4" x14ac:dyDescent="0.35">
      <c r="A175" s="14" t="s">
        <v>2189</v>
      </c>
      <c r="B175" s="15" t="s">
        <v>4713</v>
      </c>
      <c r="C175" s="15" t="s">
        <v>5047</v>
      </c>
      <c r="D175" s="16" t="s">
        <v>4924</v>
      </c>
    </row>
    <row r="176" spans="1:4" x14ac:dyDescent="0.35">
      <c r="A176" s="11" t="s">
        <v>2188</v>
      </c>
      <c r="B176" s="12" t="s">
        <v>4716</v>
      </c>
      <c r="C176" s="12" t="s">
        <v>5048</v>
      </c>
      <c r="D176" s="13" t="s">
        <v>5049</v>
      </c>
    </row>
    <row r="177" spans="1:4" x14ac:dyDescent="0.35">
      <c r="A177" s="14" t="s">
        <v>2187</v>
      </c>
      <c r="B177" s="15" t="s">
        <v>4716</v>
      </c>
      <c r="C177" s="15" t="s">
        <v>5050</v>
      </c>
      <c r="D177" s="16" t="s">
        <v>4754</v>
      </c>
    </row>
    <row r="178" spans="1:4" x14ac:dyDescent="0.35">
      <c r="A178" s="11" t="s">
        <v>2186</v>
      </c>
      <c r="B178" s="12" t="s">
        <v>4713</v>
      </c>
      <c r="C178" s="12" t="s">
        <v>5051</v>
      </c>
      <c r="D178" s="13" t="s">
        <v>5052</v>
      </c>
    </row>
    <row r="179" spans="1:4" x14ac:dyDescent="0.35">
      <c r="A179" s="14" t="s">
        <v>2185</v>
      </c>
      <c r="B179" s="15" t="s">
        <v>4713</v>
      </c>
      <c r="C179" s="15" t="s">
        <v>5053</v>
      </c>
      <c r="D179" s="16" t="s">
        <v>5054</v>
      </c>
    </row>
    <row r="180" spans="1:4" x14ac:dyDescent="0.35">
      <c r="A180" s="11" t="s">
        <v>2184</v>
      </c>
      <c r="B180" s="12" t="s">
        <v>4713</v>
      </c>
      <c r="C180" s="12" t="s">
        <v>5055</v>
      </c>
      <c r="D180" s="13" t="s">
        <v>5056</v>
      </c>
    </row>
    <row r="181" spans="1:4" x14ac:dyDescent="0.35">
      <c r="A181" s="14" t="s">
        <v>2183</v>
      </c>
      <c r="B181" s="15" t="s">
        <v>4713</v>
      </c>
      <c r="C181" s="15" t="s">
        <v>5057</v>
      </c>
      <c r="D181" s="16" t="s">
        <v>5058</v>
      </c>
    </row>
    <row r="182" spans="1:4" x14ac:dyDescent="0.35">
      <c r="A182" s="11" t="s">
        <v>2182</v>
      </c>
      <c r="B182" s="12" t="s">
        <v>4713</v>
      </c>
      <c r="C182" s="12" t="s">
        <v>5059</v>
      </c>
      <c r="D182" s="13" t="s">
        <v>5060</v>
      </c>
    </row>
    <row r="183" spans="1:4" x14ac:dyDescent="0.35">
      <c r="A183" s="14" t="s">
        <v>2181</v>
      </c>
      <c r="B183" s="15" t="s">
        <v>4716</v>
      </c>
      <c r="C183" s="15" t="s">
        <v>5061</v>
      </c>
      <c r="D183" s="16" t="s">
        <v>5062</v>
      </c>
    </row>
    <row r="184" spans="1:4" x14ac:dyDescent="0.35">
      <c r="A184" s="11" t="s">
        <v>2180</v>
      </c>
      <c r="B184" s="12" t="s">
        <v>4716</v>
      </c>
      <c r="C184" s="12" t="s">
        <v>5063</v>
      </c>
      <c r="D184" s="13" t="s">
        <v>5064</v>
      </c>
    </row>
    <row r="185" spans="1:4" x14ac:dyDescent="0.35">
      <c r="A185" s="14" t="s">
        <v>2179</v>
      </c>
      <c r="B185" s="15" t="s">
        <v>4716</v>
      </c>
      <c r="C185" s="15" t="s">
        <v>5065</v>
      </c>
      <c r="D185" s="16" t="s">
        <v>5066</v>
      </c>
    </row>
    <row r="186" spans="1:4" x14ac:dyDescent="0.35">
      <c r="A186" s="11" t="s">
        <v>2178</v>
      </c>
      <c r="B186" s="12" t="s">
        <v>4716</v>
      </c>
      <c r="C186" s="12" t="s">
        <v>5067</v>
      </c>
      <c r="D186" s="13" t="s">
        <v>5068</v>
      </c>
    </row>
    <row r="187" spans="1:4" x14ac:dyDescent="0.35">
      <c r="A187" s="14" t="s">
        <v>2177</v>
      </c>
      <c r="B187" s="15" t="s">
        <v>4713</v>
      </c>
      <c r="C187" s="15" t="s">
        <v>5069</v>
      </c>
      <c r="D187" s="16" t="s">
        <v>5070</v>
      </c>
    </row>
    <row r="188" spans="1:4" x14ac:dyDescent="0.35">
      <c r="A188" s="11" t="s">
        <v>2176</v>
      </c>
      <c r="B188" s="12" t="s">
        <v>4716</v>
      </c>
      <c r="C188" s="12" t="s">
        <v>5071</v>
      </c>
      <c r="D188" s="13" t="s">
        <v>5072</v>
      </c>
    </row>
    <row r="189" spans="1:4" x14ac:dyDescent="0.35">
      <c r="A189" s="14" t="s">
        <v>2175</v>
      </c>
      <c r="B189" s="15" t="s">
        <v>4716</v>
      </c>
      <c r="C189" s="15" t="s">
        <v>5073</v>
      </c>
      <c r="D189" s="16" t="s">
        <v>5074</v>
      </c>
    </row>
    <row r="190" spans="1:4" x14ac:dyDescent="0.35">
      <c r="A190" s="11" t="s">
        <v>2174</v>
      </c>
      <c r="B190" s="12" t="s">
        <v>4713</v>
      </c>
      <c r="C190" s="12" t="s">
        <v>5075</v>
      </c>
      <c r="D190" s="13" t="s">
        <v>5076</v>
      </c>
    </row>
    <row r="191" spans="1:4" x14ac:dyDescent="0.35">
      <c r="A191" s="14" t="s">
        <v>2173</v>
      </c>
      <c r="B191" s="15" t="s">
        <v>4713</v>
      </c>
      <c r="C191" s="15" t="s">
        <v>5077</v>
      </c>
      <c r="D191" s="16" t="s">
        <v>5078</v>
      </c>
    </row>
    <row r="192" spans="1:4" x14ac:dyDescent="0.35">
      <c r="A192" s="11" t="s">
        <v>2172</v>
      </c>
      <c r="B192" s="12" t="s">
        <v>4716</v>
      </c>
      <c r="C192" s="12" t="s">
        <v>5079</v>
      </c>
      <c r="D192" s="13" t="s">
        <v>5080</v>
      </c>
    </row>
    <row r="193" spans="1:4" x14ac:dyDescent="0.35">
      <c r="A193" s="14" t="s">
        <v>2171</v>
      </c>
      <c r="B193" s="15" t="s">
        <v>4716</v>
      </c>
      <c r="C193" s="15" t="s">
        <v>5081</v>
      </c>
      <c r="D193" s="16" t="s">
        <v>5082</v>
      </c>
    </row>
    <row r="194" spans="1:4" x14ac:dyDescent="0.35">
      <c r="A194" s="11" t="s">
        <v>2170</v>
      </c>
      <c r="B194" s="12" t="s">
        <v>4713</v>
      </c>
      <c r="C194" s="12" t="s">
        <v>5083</v>
      </c>
      <c r="D194" s="13" t="s">
        <v>5084</v>
      </c>
    </row>
    <row r="195" spans="1:4" x14ac:dyDescent="0.35">
      <c r="A195" s="14" t="s">
        <v>2169</v>
      </c>
      <c r="B195" s="15" t="s">
        <v>4716</v>
      </c>
      <c r="C195" s="15" t="s">
        <v>5085</v>
      </c>
      <c r="D195" s="16" t="s">
        <v>5086</v>
      </c>
    </row>
    <row r="196" spans="1:4" x14ac:dyDescent="0.35">
      <c r="A196" s="11" t="s">
        <v>2168</v>
      </c>
      <c r="B196" s="12" t="s">
        <v>4716</v>
      </c>
      <c r="C196" s="12" t="s">
        <v>5087</v>
      </c>
      <c r="D196" s="13" t="s">
        <v>5088</v>
      </c>
    </row>
    <row r="197" spans="1:4" x14ac:dyDescent="0.35">
      <c r="A197" s="14" t="s">
        <v>2167</v>
      </c>
      <c r="B197" s="15" t="s">
        <v>4716</v>
      </c>
      <c r="C197" s="15" t="s">
        <v>5089</v>
      </c>
      <c r="D197" s="16" t="s">
        <v>5090</v>
      </c>
    </row>
    <row r="198" spans="1:4" x14ac:dyDescent="0.35">
      <c r="A198" s="11" t="s">
        <v>2166</v>
      </c>
      <c r="B198" s="12" t="s">
        <v>4716</v>
      </c>
      <c r="C198" s="12" t="s">
        <v>5091</v>
      </c>
      <c r="D198" s="13" t="s">
        <v>5092</v>
      </c>
    </row>
    <row r="199" spans="1:4" x14ac:dyDescent="0.35">
      <c r="A199" s="14" t="s">
        <v>2165</v>
      </c>
      <c r="B199" s="15" t="s">
        <v>4716</v>
      </c>
      <c r="C199" s="15" t="s">
        <v>5093</v>
      </c>
      <c r="D199" s="16" t="s">
        <v>4988</v>
      </c>
    </row>
    <row r="200" spans="1:4" x14ac:dyDescent="0.35">
      <c r="A200" s="11" t="s">
        <v>2164</v>
      </c>
      <c r="B200" s="12" t="s">
        <v>4713</v>
      </c>
      <c r="C200" s="12" t="s">
        <v>5094</v>
      </c>
      <c r="D200" s="13" t="s">
        <v>5095</v>
      </c>
    </row>
    <row r="201" spans="1:4" x14ac:dyDescent="0.35">
      <c r="A201" s="14" t="s">
        <v>2163</v>
      </c>
      <c r="B201" s="15" t="s">
        <v>4716</v>
      </c>
      <c r="C201" s="15" t="s">
        <v>5096</v>
      </c>
      <c r="D201" s="16" t="s">
        <v>4982</v>
      </c>
    </row>
    <row r="202" spans="1:4" x14ac:dyDescent="0.35">
      <c r="A202" s="11" t="s">
        <v>2162</v>
      </c>
      <c r="B202" s="12" t="s">
        <v>4716</v>
      </c>
      <c r="C202" s="12" t="s">
        <v>5097</v>
      </c>
      <c r="D202" s="13" t="s">
        <v>5098</v>
      </c>
    </row>
    <row r="203" spans="1:4" x14ac:dyDescent="0.35">
      <c r="A203" s="14" t="s">
        <v>2161</v>
      </c>
      <c r="B203" s="15" t="s">
        <v>4716</v>
      </c>
      <c r="C203" s="15" t="s">
        <v>5099</v>
      </c>
      <c r="D203" s="16" t="s">
        <v>5100</v>
      </c>
    </row>
    <row r="204" spans="1:4" x14ac:dyDescent="0.35">
      <c r="A204" s="11" t="s">
        <v>2160</v>
      </c>
      <c r="B204" s="12" t="s">
        <v>4716</v>
      </c>
      <c r="C204" s="12" t="s">
        <v>5101</v>
      </c>
      <c r="D204" s="13" t="s">
        <v>5102</v>
      </c>
    </row>
    <row r="205" spans="1:4" x14ac:dyDescent="0.35">
      <c r="A205" s="14" t="s">
        <v>2159</v>
      </c>
      <c r="B205" s="15" t="s">
        <v>4713</v>
      </c>
      <c r="C205" s="15" t="s">
        <v>5103</v>
      </c>
      <c r="D205" s="16" t="s">
        <v>4885</v>
      </c>
    </row>
    <row r="206" spans="1:4" x14ac:dyDescent="0.35">
      <c r="A206" s="11" t="s">
        <v>2158</v>
      </c>
      <c r="B206" s="12" t="s">
        <v>4716</v>
      </c>
      <c r="C206" s="12" t="s">
        <v>5104</v>
      </c>
      <c r="D206" s="13" t="s">
        <v>5105</v>
      </c>
    </row>
    <row r="207" spans="1:4" x14ac:dyDescent="0.35">
      <c r="A207" s="14" t="s">
        <v>2157</v>
      </c>
      <c r="B207" s="15" t="s">
        <v>4713</v>
      </c>
      <c r="C207" s="15" t="s">
        <v>5106</v>
      </c>
      <c r="D207" s="16" t="s">
        <v>5107</v>
      </c>
    </row>
    <row r="208" spans="1:4" x14ac:dyDescent="0.35">
      <c r="A208" s="11" t="s">
        <v>2156</v>
      </c>
      <c r="B208" s="12" t="s">
        <v>4713</v>
      </c>
      <c r="C208" s="12" t="s">
        <v>5108</v>
      </c>
      <c r="D208" s="13" t="s">
        <v>5109</v>
      </c>
    </row>
    <row r="209" spans="1:4" x14ac:dyDescent="0.35">
      <c r="A209" s="14" t="s">
        <v>2155</v>
      </c>
      <c r="B209" s="15" t="s">
        <v>4716</v>
      </c>
      <c r="C209" s="15" t="s">
        <v>5110</v>
      </c>
      <c r="D209" s="16" t="s">
        <v>5111</v>
      </c>
    </row>
    <row r="210" spans="1:4" x14ac:dyDescent="0.35">
      <c r="A210" s="11" t="s">
        <v>2154</v>
      </c>
      <c r="B210" s="12" t="s">
        <v>4713</v>
      </c>
      <c r="C210" s="12" t="s">
        <v>5112</v>
      </c>
      <c r="D210" s="13" t="s">
        <v>5113</v>
      </c>
    </row>
    <row r="211" spans="1:4" x14ac:dyDescent="0.35">
      <c r="A211" s="14" t="s">
        <v>2153</v>
      </c>
      <c r="B211" s="15" t="s">
        <v>4713</v>
      </c>
      <c r="C211" s="15" t="s">
        <v>5114</v>
      </c>
      <c r="D211" s="16" t="s">
        <v>5115</v>
      </c>
    </row>
    <row r="212" spans="1:4" x14ac:dyDescent="0.35">
      <c r="A212" s="11" t="s">
        <v>2152</v>
      </c>
      <c r="B212" s="12" t="s">
        <v>4716</v>
      </c>
      <c r="C212" s="12" t="s">
        <v>5116</v>
      </c>
      <c r="D212" s="13" t="s">
        <v>5117</v>
      </c>
    </row>
    <row r="213" spans="1:4" x14ac:dyDescent="0.35">
      <c r="A213" s="14" t="s">
        <v>2151</v>
      </c>
      <c r="B213" s="15" t="s">
        <v>4716</v>
      </c>
      <c r="C213" s="15" t="s">
        <v>5118</v>
      </c>
      <c r="D213" s="16" t="s">
        <v>5119</v>
      </c>
    </row>
    <row r="214" spans="1:4" x14ac:dyDescent="0.35">
      <c r="A214" s="11" t="s">
        <v>2150</v>
      </c>
      <c r="B214" s="12" t="s">
        <v>4716</v>
      </c>
      <c r="C214" s="12" t="s">
        <v>5120</v>
      </c>
      <c r="D214" s="13" t="s">
        <v>5121</v>
      </c>
    </row>
    <row r="215" spans="1:4" x14ac:dyDescent="0.35">
      <c r="A215" s="14" t="s">
        <v>2149</v>
      </c>
      <c r="B215" s="15" t="s">
        <v>4716</v>
      </c>
      <c r="C215" s="15" t="s">
        <v>5122</v>
      </c>
      <c r="D215" s="16" t="s">
        <v>4718</v>
      </c>
    </row>
    <row r="216" spans="1:4" x14ac:dyDescent="0.35">
      <c r="A216" s="11" t="s">
        <v>2148</v>
      </c>
      <c r="B216" s="12" t="s">
        <v>4713</v>
      </c>
      <c r="C216" s="12" t="s">
        <v>5123</v>
      </c>
      <c r="D216" s="13" t="s">
        <v>4903</v>
      </c>
    </row>
    <row r="217" spans="1:4" x14ac:dyDescent="0.35">
      <c r="A217" s="14" t="s">
        <v>2147</v>
      </c>
      <c r="B217" s="15" t="s">
        <v>4716</v>
      </c>
      <c r="C217" s="15" t="s">
        <v>5124</v>
      </c>
      <c r="D217" s="16" t="s">
        <v>5125</v>
      </c>
    </row>
    <row r="218" spans="1:4" x14ac:dyDescent="0.35">
      <c r="A218" s="11" t="s">
        <v>2146</v>
      </c>
      <c r="B218" s="12" t="s">
        <v>4716</v>
      </c>
      <c r="C218" s="12" t="s">
        <v>5126</v>
      </c>
      <c r="D218" s="13" t="s">
        <v>4815</v>
      </c>
    </row>
    <row r="219" spans="1:4" x14ac:dyDescent="0.35">
      <c r="A219" s="14" t="s">
        <v>2145</v>
      </c>
      <c r="B219" s="15" t="s">
        <v>4716</v>
      </c>
      <c r="C219" s="15" t="s">
        <v>5127</v>
      </c>
      <c r="D219" s="16" t="s">
        <v>4877</v>
      </c>
    </row>
    <row r="220" spans="1:4" x14ac:dyDescent="0.35">
      <c r="A220" s="11" t="s">
        <v>2144</v>
      </c>
      <c r="B220" s="12" t="s">
        <v>4716</v>
      </c>
      <c r="C220" s="12" t="s">
        <v>5128</v>
      </c>
      <c r="D220" s="13" t="s">
        <v>5129</v>
      </c>
    </row>
    <row r="221" spans="1:4" x14ac:dyDescent="0.35">
      <c r="A221" s="14" t="s">
        <v>2143</v>
      </c>
      <c r="B221" s="15" t="s">
        <v>4716</v>
      </c>
      <c r="C221" s="15" t="s">
        <v>4870</v>
      </c>
      <c r="D221" s="16" t="s">
        <v>5130</v>
      </c>
    </row>
    <row r="222" spans="1:4" x14ac:dyDescent="0.35">
      <c r="A222" s="11" t="s">
        <v>2142</v>
      </c>
      <c r="B222" s="12" t="s">
        <v>4713</v>
      </c>
      <c r="C222" s="12" t="s">
        <v>5131</v>
      </c>
      <c r="D222" s="13" t="s">
        <v>5132</v>
      </c>
    </row>
    <row r="223" spans="1:4" x14ac:dyDescent="0.35">
      <c r="A223" s="14" t="s">
        <v>2141</v>
      </c>
      <c r="B223" s="15" t="s">
        <v>4716</v>
      </c>
      <c r="C223" s="15" t="s">
        <v>5133</v>
      </c>
      <c r="D223" s="16" t="s">
        <v>5134</v>
      </c>
    </row>
    <row r="224" spans="1:4" x14ac:dyDescent="0.35">
      <c r="A224" s="11" t="s">
        <v>2140</v>
      </c>
      <c r="B224" s="12" t="s">
        <v>4716</v>
      </c>
      <c r="C224" s="12" t="s">
        <v>5135</v>
      </c>
      <c r="D224" s="13" t="s">
        <v>5136</v>
      </c>
    </row>
    <row r="225" spans="1:4" x14ac:dyDescent="0.35">
      <c r="A225" s="14" t="s">
        <v>2139</v>
      </c>
      <c r="B225" s="15" t="s">
        <v>4713</v>
      </c>
      <c r="C225" s="15" t="s">
        <v>5137</v>
      </c>
      <c r="D225" s="16" t="s">
        <v>5138</v>
      </c>
    </row>
    <row r="226" spans="1:4" x14ac:dyDescent="0.35">
      <c r="A226" s="11" t="s">
        <v>2138</v>
      </c>
      <c r="B226" s="12" t="s">
        <v>4713</v>
      </c>
      <c r="C226" s="12" t="s">
        <v>5139</v>
      </c>
      <c r="D226" s="13" t="s">
        <v>4869</v>
      </c>
    </row>
    <row r="227" spans="1:4" x14ac:dyDescent="0.35">
      <c r="A227" s="14" t="s">
        <v>2137</v>
      </c>
      <c r="B227" s="15" t="s">
        <v>4716</v>
      </c>
      <c r="C227" s="15" t="s">
        <v>4838</v>
      </c>
      <c r="D227" s="16" t="s">
        <v>5140</v>
      </c>
    </row>
    <row r="228" spans="1:4" x14ac:dyDescent="0.35">
      <c r="A228" s="11" t="s">
        <v>2136</v>
      </c>
      <c r="B228" s="12" t="s">
        <v>4713</v>
      </c>
      <c r="C228" s="12" t="s">
        <v>5141</v>
      </c>
      <c r="D228" s="13" t="s">
        <v>5142</v>
      </c>
    </row>
    <row r="229" spans="1:4" x14ac:dyDescent="0.35">
      <c r="A229" s="14" t="s">
        <v>2135</v>
      </c>
      <c r="B229" s="15" t="s">
        <v>4716</v>
      </c>
      <c r="C229" s="15" t="s">
        <v>5143</v>
      </c>
      <c r="D229" s="16" t="s">
        <v>5144</v>
      </c>
    </row>
    <row r="230" spans="1:4" x14ac:dyDescent="0.35">
      <c r="A230" s="11" t="s">
        <v>2134</v>
      </c>
      <c r="B230" s="12" t="s">
        <v>4713</v>
      </c>
      <c r="C230" s="12" t="s">
        <v>5145</v>
      </c>
      <c r="D230" s="13" t="s">
        <v>5146</v>
      </c>
    </row>
    <row r="231" spans="1:4" x14ac:dyDescent="0.35">
      <c r="A231" s="14" t="s">
        <v>2133</v>
      </c>
      <c r="B231" s="15" t="s">
        <v>4713</v>
      </c>
      <c r="C231" s="15" t="s">
        <v>5147</v>
      </c>
      <c r="D231" s="16" t="s">
        <v>5148</v>
      </c>
    </row>
    <row r="232" spans="1:4" x14ac:dyDescent="0.35">
      <c r="A232" s="11" t="s">
        <v>2132</v>
      </c>
      <c r="B232" s="12" t="s">
        <v>4716</v>
      </c>
      <c r="C232" s="12" t="s">
        <v>5149</v>
      </c>
      <c r="D232" s="13" t="s">
        <v>5150</v>
      </c>
    </row>
    <row r="233" spans="1:4" x14ac:dyDescent="0.35">
      <c r="A233" s="14" t="s">
        <v>2131</v>
      </c>
      <c r="B233" s="15" t="s">
        <v>4716</v>
      </c>
      <c r="C233" s="15" t="s">
        <v>5151</v>
      </c>
      <c r="D233" s="16" t="s">
        <v>5152</v>
      </c>
    </row>
    <row r="234" spans="1:4" x14ac:dyDescent="0.35">
      <c r="A234" s="11" t="s">
        <v>2130</v>
      </c>
      <c r="B234" s="12" t="s">
        <v>4716</v>
      </c>
      <c r="C234" s="12" t="s">
        <v>5153</v>
      </c>
      <c r="D234" s="13" t="s">
        <v>5154</v>
      </c>
    </row>
    <row r="235" spans="1:4" x14ac:dyDescent="0.35">
      <c r="A235" s="14" t="s">
        <v>2129</v>
      </c>
      <c r="B235" s="15" t="s">
        <v>4716</v>
      </c>
      <c r="C235" s="15" t="s">
        <v>5155</v>
      </c>
      <c r="D235" s="16" t="s">
        <v>5156</v>
      </c>
    </row>
    <row r="236" spans="1:4" x14ac:dyDescent="0.35">
      <c r="A236" s="11" t="s">
        <v>2128</v>
      </c>
      <c r="B236" s="12" t="s">
        <v>4716</v>
      </c>
      <c r="C236" s="12" t="s">
        <v>4971</v>
      </c>
      <c r="D236" s="13" t="s">
        <v>5144</v>
      </c>
    </row>
    <row r="237" spans="1:4" x14ac:dyDescent="0.35">
      <c r="A237" s="14" t="s">
        <v>2127</v>
      </c>
      <c r="B237" s="15" t="s">
        <v>4713</v>
      </c>
      <c r="C237" s="15" t="s">
        <v>5157</v>
      </c>
      <c r="D237" s="16" t="s">
        <v>5158</v>
      </c>
    </row>
    <row r="238" spans="1:4" x14ac:dyDescent="0.35">
      <c r="A238" s="11" t="s">
        <v>2126</v>
      </c>
      <c r="B238" s="12" t="s">
        <v>4716</v>
      </c>
      <c r="C238" s="12" t="s">
        <v>5159</v>
      </c>
      <c r="D238" s="13" t="s">
        <v>5160</v>
      </c>
    </row>
    <row r="239" spans="1:4" x14ac:dyDescent="0.35">
      <c r="A239" s="14" t="s">
        <v>2125</v>
      </c>
      <c r="B239" s="15" t="s">
        <v>4716</v>
      </c>
      <c r="C239" s="15" t="s">
        <v>5161</v>
      </c>
      <c r="D239" s="16" t="s">
        <v>5162</v>
      </c>
    </row>
    <row r="240" spans="1:4" x14ac:dyDescent="0.35">
      <c r="A240" s="11" t="s">
        <v>2124</v>
      </c>
      <c r="B240" s="12" t="s">
        <v>4713</v>
      </c>
      <c r="C240" s="12" t="s">
        <v>5163</v>
      </c>
      <c r="D240" s="13" t="s">
        <v>5164</v>
      </c>
    </row>
    <row r="241" spans="1:4" x14ac:dyDescent="0.35">
      <c r="A241" s="14" t="s">
        <v>2123</v>
      </c>
      <c r="B241" s="15" t="s">
        <v>4713</v>
      </c>
      <c r="C241" s="15" t="s">
        <v>5165</v>
      </c>
      <c r="D241" s="16" t="s">
        <v>5166</v>
      </c>
    </row>
    <row r="242" spans="1:4" x14ac:dyDescent="0.35">
      <c r="A242" s="11" t="s">
        <v>2122</v>
      </c>
      <c r="B242" s="12" t="s">
        <v>4716</v>
      </c>
      <c r="C242" s="12" t="s">
        <v>5167</v>
      </c>
      <c r="D242" s="13" t="s">
        <v>5168</v>
      </c>
    </row>
    <row r="243" spans="1:4" x14ac:dyDescent="0.35">
      <c r="A243" s="14" t="s">
        <v>2120</v>
      </c>
      <c r="B243" s="15" t="s">
        <v>4716</v>
      </c>
      <c r="C243" s="15" t="s">
        <v>5169</v>
      </c>
      <c r="D243" s="16" t="s">
        <v>5170</v>
      </c>
    </row>
    <row r="244" spans="1:4" x14ac:dyDescent="0.35">
      <c r="A244" s="11" t="s">
        <v>2119</v>
      </c>
      <c r="B244" s="12" t="s">
        <v>4716</v>
      </c>
      <c r="C244" s="12" t="s">
        <v>5171</v>
      </c>
      <c r="D244" s="13" t="s">
        <v>5172</v>
      </c>
    </row>
    <row r="245" spans="1:4" x14ac:dyDescent="0.35">
      <c r="A245" s="14" t="s">
        <v>2118</v>
      </c>
      <c r="B245" s="15" t="s">
        <v>4716</v>
      </c>
      <c r="C245" s="15" t="s">
        <v>5173</v>
      </c>
      <c r="D245" s="16" t="s">
        <v>5174</v>
      </c>
    </row>
    <row r="246" spans="1:4" x14ac:dyDescent="0.35">
      <c r="A246" s="11" t="s">
        <v>2117</v>
      </c>
      <c r="B246" s="12" t="s">
        <v>4716</v>
      </c>
      <c r="C246" s="12" t="s">
        <v>5175</v>
      </c>
      <c r="D246" s="13" t="s">
        <v>5176</v>
      </c>
    </row>
    <row r="247" spans="1:4" x14ac:dyDescent="0.35">
      <c r="A247" s="14" t="s">
        <v>2116</v>
      </c>
      <c r="B247" s="15" t="s">
        <v>4716</v>
      </c>
      <c r="C247" s="15" t="s">
        <v>5177</v>
      </c>
      <c r="D247" s="16" t="s">
        <v>5178</v>
      </c>
    </row>
    <row r="248" spans="1:4" x14ac:dyDescent="0.35">
      <c r="A248" s="11" t="s">
        <v>2115</v>
      </c>
      <c r="B248" s="12" t="s">
        <v>4713</v>
      </c>
      <c r="C248" s="12" t="s">
        <v>5179</v>
      </c>
      <c r="D248" s="13" t="s">
        <v>5180</v>
      </c>
    </row>
    <row r="249" spans="1:4" x14ac:dyDescent="0.35">
      <c r="A249" s="14" t="s">
        <v>2114</v>
      </c>
      <c r="B249" s="15" t="s">
        <v>4713</v>
      </c>
      <c r="C249" s="15" t="s">
        <v>5181</v>
      </c>
      <c r="D249" s="16" t="s">
        <v>5182</v>
      </c>
    </row>
    <row r="250" spans="1:4" x14ac:dyDescent="0.35">
      <c r="A250" s="11" t="s">
        <v>2113</v>
      </c>
      <c r="B250" s="12" t="s">
        <v>4713</v>
      </c>
      <c r="C250" s="12" t="s">
        <v>5183</v>
      </c>
      <c r="D250" s="13" t="s">
        <v>5184</v>
      </c>
    </row>
    <row r="251" spans="1:4" x14ac:dyDescent="0.35">
      <c r="A251" s="14" t="s">
        <v>2112</v>
      </c>
      <c r="B251" s="15" t="s">
        <v>4713</v>
      </c>
      <c r="C251" s="15" t="s">
        <v>5185</v>
      </c>
      <c r="D251" s="16" t="s">
        <v>5186</v>
      </c>
    </row>
    <row r="252" spans="1:4" x14ac:dyDescent="0.35">
      <c r="A252" s="11" t="s">
        <v>2111</v>
      </c>
      <c r="B252" s="12" t="s">
        <v>4713</v>
      </c>
      <c r="C252" s="12" t="s">
        <v>5187</v>
      </c>
      <c r="D252" s="13" t="s">
        <v>5188</v>
      </c>
    </row>
    <row r="253" spans="1:4" x14ac:dyDescent="0.35">
      <c r="A253" s="14" t="s">
        <v>2110</v>
      </c>
      <c r="B253" s="15" t="s">
        <v>4713</v>
      </c>
      <c r="C253" s="15" t="s">
        <v>5189</v>
      </c>
      <c r="D253" s="16" t="s">
        <v>4715</v>
      </c>
    </row>
    <row r="254" spans="1:4" x14ac:dyDescent="0.35">
      <c r="A254" s="11" t="s">
        <v>2109</v>
      </c>
      <c r="B254" s="12" t="s">
        <v>4713</v>
      </c>
      <c r="C254" s="12" t="s">
        <v>5190</v>
      </c>
      <c r="D254" s="13" t="s">
        <v>5191</v>
      </c>
    </row>
    <row r="255" spans="1:4" x14ac:dyDescent="0.35">
      <c r="A255" s="14" t="s">
        <v>2108</v>
      </c>
      <c r="B255" s="15" t="s">
        <v>4716</v>
      </c>
      <c r="C255" s="15" t="s">
        <v>5192</v>
      </c>
      <c r="D255" s="16" t="s">
        <v>4815</v>
      </c>
    </row>
    <row r="256" spans="1:4" x14ac:dyDescent="0.35">
      <c r="A256" s="11" t="s">
        <v>2107</v>
      </c>
      <c r="B256" s="12" t="s">
        <v>4716</v>
      </c>
      <c r="C256" s="12" t="s">
        <v>5193</v>
      </c>
      <c r="D256" s="13" t="s">
        <v>5194</v>
      </c>
    </row>
    <row r="257" spans="1:4" x14ac:dyDescent="0.35">
      <c r="A257" s="14" t="s">
        <v>2106</v>
      </c>
      <c r="B257" s="15" t="s">
        <v>4716</v>
      </c>
      <c r="C257" s="15" t="s">
        <v>5195</v>
      </c>
      <c r="D257" s="16" t="s">
        <v>5196</v>
      </c>
    </row>
    <row r="258" spans="1:4" x14ac:dyDescent="0.35">
      <c r="A258" s="11" t="s">
        <v>2105</v>
      </c>
      <c r="B258" s="12" t="s">
        <v>4716</v>
      </c>
      <c r="C258" s="12" t="s">
        <v>5197</v>
      </c>
      <c r="D258" s="13" t="s">
        <v>5198</v>
      </c>
    </row>
    <row r="259" spans="1:4" x14ac:dyDescent="0.35">
      <c r="A259" s="14" t="s">
        <v>2104</v>
      </c>
      <c r="B259" s="15" t="s">
        <v>4716</v>
      </c>
      <c r="C259" s="15" t="s">
        <v>5199</v>
      </c>
      <c r="D259" s="16" t="s">
        <v>5200</v>
      </c>
    </row>
    <row r="260" spans="1:4" x14ac:dyDescent="0.35">
      <c r="A260" s="11" t="s">
        <v>2103</v>
      </c>
      <c r="B260" s="12" t="s">
        <v>4716</v>
      </c>
      <c r="C260" s="12" t="s">
        <v>5201</v>
      </c>
      <c r="D260" s="13" t="s">
        <v>5202</v>
      </c>
    </row>
    <row r="261" spans="1:4" x14ac:dyDescent="0.35">
      <c r="A261" s="14" t="s">
        <v>2102</v>
      </c>
      <c r="B261" s="15" t="s">
        <v>4713</v>
      </c>
      <c r="C261" s="15" t="s">
        <v>5203</v>
      </c>
      <c r="D261" s="16" t="s">
        <v>5204</v>
      </c>
    </row>
    <row r="262" spans="1:4" x14ac:dyDescent="0.35">
      <c r="A262" s="11" t="s">
        <v>2101</v>
      </c>
      <c r="B262" s="12" t="s">
        <v>4716</v>
      </c>
      <c r="C262" s="12" t="s">
        <v>5205</v>
      </c>
      <c r="D262" s="13" t="s">
        <v>5206</v>
      </c>
    </row>
    <row r="263" spans="1:4" x14ac:dyDescent="0.35">
      <c r="A263" s="14" t="s">
        <v>2100</v>
      </c>
      <c r="B263" s="15" t="s">
        <v>4713</v>
      </c>
      <c r="C263" s="15" t="s">
        <v>5207</v>
      </c>
      <c r="D263" s="16" t="s">
        <v>5208</v>
      </c>
    </row>
    <row r="264" spans="1:4" x14ac:dyDescent="0.35">
      <c r="A264" s="11" t="s">
        <v>2099</v>
      </c>
      <c r="B264" s="12" t="s">
        <v>4716</v>
      </c>
      <c r="C264" s="12" t="s">
        <v>5209</v>
      </c>
      <c r="D264" s="13" t="s">
        <v>5210</v>
      </c>
    </row>
    <row r="265" spans="1:4" x14ac:dyDescent="0.35">
      <c r="A265" s="14" t="s">
        <v>2098</v>
      </c>
      <c r="B265" s="15" t="s">
        <v>4713</v>
      </c>
      <c r="C265" s="15" t="s">
        <v>5211</v>
      </c>
      <c r="D265" s="16" t="s">
        <v>5212</v>
      </c>
    </row>
    <row r="266" spans="1:4" x14ac:dyDescent="0.35">
      <c r="A266" s="11" t="s">
        <v>2097</v>
      </c>
      <c r="B266" s="12" t="s">
        <v>4713</v>
      </c>
      <c r="C266" s="12" t="s">
        <v>5213</v>
      </c>
      <c r="D266" s="13" t="s">
        <v>5214</v>
      </c>
    </row>
    <row r="267" spans="1:4" x14ac:dyDescent="0.35">
      <c r="A267" s="14" t="s">
        <v>2096</v>
      </c>
      <c r="B267" s="15" t="s">
        <v>4716</v>
      </c>
      <c r="C267" s="15" t="s">
        <v>5215</v>
      </c>
      <c r="D267" s="16" t="s">
        <v>5136</v>
      </c>
    </row>
    <row r="268" spans="1:4" x14ac:dyDescent="0.35">
      <c r="A268" s="11" t="s">
        <v>2095</v>
      </c>
      <c r="B268" s="12" t="s">
        <v>4713</v>
      </c>
      <c r="C268" s="12" t="s">
        <v>5216</v>
      </c>
      <c r="D268" s="13" t="s">
        <v>5217</v>
      </c>
    </row>
    <row r="269" spans="1:4" x14ac:dyDescent="0.35">
      <c r="A269" s="14" t="s">
        <v>2094</v>
      </c>
      <c r="B269" s="15" t="s">
        <v>4713</v>
      </c>
      <c r="C269" s="15" t="s">
        <v>5077</v>
      </c>
      <c r="D269" s="16" t="s">
        <v>5218</v>
      </c>
    </row>
    <row r="270" spans="1:4" x14ac:dyDescent="0.35">
      <c r="A270" s="11" t="s">
        <v>2093</v>
      </c>
      <c r="B270" s="12" t="s">
        <v>4716</v>
      </c>
      <c r="C270" s="12" t="s">
        <v>5219</v>
      </c>
      <c r="D270" s="13" t="s">
        <v>4766</v>
      </c>
    </row>
    <row r="271" spans="1:4" x14ac:dyDescent="0.35">
      <c r="A271" s="14" t="s">
        <v>2092</v>
      </c>
      <c r="B271" s="15" t="s">
        <v>4716</v>
      </c>
      <c r="C271" s="15" t="s">
        <v>5220</v>
      </c>
      <c r="D271" s="16" t="s">
        <v>5221</v>
      </c>
    </row>
    <row r="272" spans="1:4" x14ac:dyDescent="0.35">
      <c r="A272" s="11" t="s">
        <v>2091</v>
      </c>
      <c r="B272" s="12" t="s">
        <v>4716</v>
      </c>
      <c r="C272" s="12" t="s">
        <v>5222</v>
      </c>
      <c r="D272" s="13" t="s">
        <v>5223</v>
      </c>
    </row>
    <row r="273" spans="1:4" x14ac:dyDescent="0.35">
      <c r="A273" s="14" t="s">
        <v>2090</v>
      </c>
      <c r="B273" s="15" t="s">
        <v>4716</v>
      </c>
      <c r="C273" s="15" t="s">
        <v>5224</v>
      </c>
      <c r="D273" s="16" t="s">
        <v>4730</v>
      </c>
    </row>
    <row r="274" spans="1:4" x14ac:dyDescent="0.35">
      <c r="A274" s="11" t="s">
        <v>2089</v>
      </c>
      <c r="B274" s="12" t="s">
        <v>4716</v>
      </c>
      <c r="C274" s="12" t="s">
        <v>5225</v>
      </c>
      <c r="D274" s="13" t="s">
        <v>5226</v>
      </c>
    </row>
    <row r="275" spans="1:4" x14ac:dyDescent="0.35">
      <c r="A275" s="14" t="s">
        <v>2088</v>
      </c>
      <c r="B275" s="15" t="s">
        <v>4716</v>
      </c>
      <c r="C275" s="15" t="s">
        <v>5227</v>
      </c>
      <c r="D275" s="16" t="s">
        <v>5228</v>
      </c>
    </row>
    <row r="276" spans="1:4" x14ac:dyDescent="0.35">
      <c r="A276" s="11" t="s">
        <v>2087</v>
      </c>
      <c r="B276" s="12" t="s">
        <v>4716</v>
      </c>
      <c r="C276" s="12" t="s">
        <v>5229</v>
      </c>
      <c r="D276" s="13" t="s">
        <v>5230</v>
      </c>
    </row>
    <row r="277" spans="1:4" x14ac:dyDescent="0.35">
      <c r="A277" s="14" t="s">
        <v>2086</v>
      </c>
      <c r="B277" s="15" t="s">
        <v>4716</v>
      </c>
      <c r="C277" s="15" t="s">
        <v>5231</v>
      </c>
      <c r="D277" s="16" t="s">
        <v>5105</v>
      </c>
    </row>
    <row r="278" spans="1:4" x14ac:dyDescent="0.35">
      <c r="A278" s="11" t="s">
        <v>2085</v>
      </c>
      <c r="B278" s="12" t="s">
        <v>4716</v>
      </c>
      <c r="C278" s="12" t="s">
        <v>5232</v>
      </c>
      <c r="D278" s="13" t="s">
        <v>5233</v>
      </c>
    </row>
    <row r="279" spans="1:4" x14ac:dyDescent="0.35">
      <c r="A279" s="14" t="s">
        <v>2084</v>
      </c>
      <c r="B279" s="15" t="s">
        <v>4716</v>
      </c>
      <c r="C279" s="15" t="s">
        <v>5234</v>
      </c>
      <c r="D279" s="16" t="s">
        <v>5235</v>
      </c>
    </row>
    <row r="280" spans="1:4" x14ac:dyDescent="0.35">
      <c r="A280" s="11" t="s">
        <v>2083</v>
      </c>
      <c r="B280" s="12" t="s">
        <v>4713</v>
      </c>
      <c r="C280" s="12" t="s">
        <v>5059</v>
      </c>
      <c r="D280" s="13" t="s">
        <v>5236</v>
      </c>
    </row>
    <row r="281" spans="1:4" x14ac:dyDescent="0.35">
      <c r="A281" s="14" t="s">
        <v>2082</v>
      </c>
      <c r="B281" s="15" t="s">
        <v>4716</v>
      </c>
      <c r="C281" s="15" t="s">
        <v>5237</v>
      </c>
      <c r="D281" s="16" t="s">
        <v>5238</v>
      </c>
    </row>
    <row r="282" spans="1:4" x14ac:dyDescent="0.35">
      <c r="A282" s="11" t="s">
        <v>2081</v>
      </c>
      <c r="B282" s="12" t="s">
        <v>4713</v>
      </c>
      <c r="C282" s="12" t="s">
        <v>5239</v>
      </c>
      <c r="D282" s="13" t="s">
        <v>5240</v>
      </c>
    </row>
    <row r="283" spans="1:4" x14ac:dyDescent="0.35">
      <c r="A283" s="14" t="s">
        <v>2080</v>
      </c>
      <c r="B283" s="15" t="s">
        <v>4716</v>
      </c>
      <c r="C283" s="15" t="s">
        <v>4896</v>
      </c>
      <c r="D283" s="16" t="s">
        <v>5241</v>
      </c>
    </row>
    <row r="284" spans="1:4" x14ac:dyDescent="0.35">
      <c r="A284" s="11" t="s">
        <v>2079</v>
      </c>
      <c r="B284" s="12" t="s">
        <v>4716</v>
      </c>
      <c r="C284" s="12" t="s">
        <v>5242</v>
      </c>
      <c r="D284" s="13" t="s">
        <v>5243</v>
      </c>
    </row>
    <row r="285" spans="1:4" x14ac:dyDescent="0.35">
      <c r="A285" s="14" t="s">
        <v>2078</v>
      </c>
      <c r="B285" s="15" t="s">
        <v>4716</v>
      </c>
      <c r="C285" s="15" t="s">
        <v>5244</v>
      </c>
      <c r="D285" s="16" t="s">
        <v>5245</v>
      </c>
    </row>
    <row r="286" spans="1:4" x14ac:dyDescent="0.35">
      <c r="A286" s="11" t="s">
        <v>2077</v>
      </c>
      <c r="B286" s="12" t="s">
        <v>4716</v>
      </c>
      <c r="C286" s="12" t="s">
        <v>5246</v>
      </c>
      <c r="D286" s="13" t="s">
        <v>5247</v>
      </c>
    </row>
    <row r="287" spans="1:4" x14ac:dyDescent="0.35">
      <c r="A287" s="14" t="s">
        <v>2076</v>
      </c>
      <c r="B287" s="15" t="s">
        <v>4713</v>
      </c>
      <c r="C287" s="15" t="s">
        <v>5248</v>
      </c>
      <c r="D287" s="16" t="s">
        <v>5249</v>
      </c>
    </row>
    <row r="288" spans="1:4" x14ac:dyDescent="0.35">
      <c r="A288" s="11" t="s">
        <v>2075</v>
      </c>
      <c r="B288" s="12" t="s">
        <v>4713</v>
      </c>
      <c r="C288" s="12" t="s">
        <v>5250</v>
      </c>
      <c r="D288" s="13" t="s">
        <v>5251</v>
      </c>
    </row>
    <row r="289" spans="1:4" x14ac:dyDescent="0.35">
      <c r="A289" s="14" t="s">
        <v>2074</v>
      </c>
      <c r="B289" s="15" t="s">
        <v>4716</v>
      </c>
      <c r="C289" s="15" t="s">
        <v>5252</v>
      </c>
      <c r="D289" s="16" t="s">
        <v>5105</v>
      </c>
    </row>
    <row r="290" spans="1:4" x14ac:dyDescent="0.35">
      <c r="A290" s="11" t="s">
        <v>2073</v>
      </c>
      <c r="B290" s="12" t="s">
        <v>4716</v>
      </c>
      <c r="C290" s="12" t="s">
        <v>5253</v>
      </c>
      <c r="D290" s="13" t="s">
        <v>5254</v>
      </c>
    </row>
    <row r="291" spans="1:4" x14ac:dyDescent="0.35">
      <c r="A291" s="14" t="s">
        <v>2072</v>
      </c>
      <c r="B291" s="15" t="s">
        <v>4716</v>
      </c>
      <c r="C291" s="15" t="s">
        <v>5255</v>
      </c>
      <c r="D291" s="16" t="s">
        <v>5140</v>
      </c>
    </row>
    <row r="292" spans="1:4" x14ac:dyDescent="0.35">
      <c r="A292" s="11" t="s">
        <v>2071</v>
      </c>
      <c r="B292" s="12" t="s">
        <v>4716</v>
      </c>
      <c r="C292" s="12" t="s">
        <v>5256</v>
      </c>
      <c r="D292" s="13" t="s">
        <v>5257</v>
      </c>
    </row>
    <row r="293" spans="1:4" x14ac:dyDescent="0.35">
      <c r="A293" s="14" t="s">
        <v>2070</v>
      </c>
      <c r="B293" s="15" t="s">
        <v>4716</v>
      </c>
      <c r="C293" s="15" t="s">
        <v>5258</v>
      </c>
      <c r="D293" s="16" t="s">
        <v>5259</v>
      </c>
    </row>
    <row r="294" spans="1:4" x14ac:dyDescent="0.35">
      <c r="A294" s="11" t="s">
        <v>2069</v>
      </c>
      <c r="B294" s="12" t="s">
        <v>4716</v>
      </c>
      <c r="C294" s="12" t="s">
        <v>5260</v>
      </c>
      <c r="D294" s="13" t="s">
        <v>5261</v>
      </c>
    </row>
    <row r="295" spans="1:4" x14ac:dyDescent="0.35">
      <c r="A295" s="14" t="s">
        <v>2068</v>
      </c>
      <c r="B295" s="15" t="s">
        <v>4713</v>
      </c>
      <c r="C295" s="15" t="s">
        <v>5262</v>
      </c>
      <c r="D295" s="16" t="s">
        <v>5263</v>
      </c>
    </row>
    <row r="296" spans="1:4" x14ac:dyDescent="0.35">
      <c r="A296" s="11" t="s">
        <v>2067</v>
      </c>
      <c r="B296" s="12" t="s">
        <v>4716</v>
      </c>
      <c r="C296" s="12" t="s">
        <v>5264</v>
      </c>
      <c r="D296" s="13" t="s">
        <v>5265</v>
      </c>
    </row>
    <row r="297" spans="1:4" x14ac:dyDescent="0.35">
      <c r="A297" s="14" t="s">
        <v>2066</v>
      </c>
      <c r="B297" s="15" t="s">
        <v>4716</v>
      </c>
      <c r="C297" s="15" t="s">
        <v>5266</v>
      </c>
      <c r="D297" s="16" t="s">
        <v>5267</v>
      </c>
    </row>
    <row r="298" spans="1:4" x14ac:dyDescent="0.35">
      <c r="A298" s="11" t="s">
        <v>2065</v>
      </c>
      <c r="B298" s="12" t="s">
        <v>4716</v>
      </c>
      <c r="C298" s="12" t="s">
        <v>5268</v>
      </c>
      <c r="D298" s="13" t="s">
        <v>5269</v>
      </c>
    </row>
    <row r="299" spans="1:4" x14ac:dyDescent="0.35">
      <c r="A299" s="14" t="s">
        <v>2064</v>
      </c>
      <c r="B299" s="15" t="s">
        <v>4713</v>
      </c>
      <c r="C299" s="15" t="s">
        <v>5270</v>
      </c>
      <c r="D299" s="16" t="s">
        <v>5271</v>
      </c>
    </row>
    <row r="300" spans="1:4" x14ac:dyDescent="0.35">
      <c r="A300" s="11" t="s">
        <v>2063</v>
      </c>
      <c r="B300" s="12" t="s">
        <v>4716</v>
      </c>
      <c r="C300" s="12" t="s">
        <v>5272</v>
      </c>
      <c r="D300" s="13" t="s">
        <v>5273</v>
      </c>
    </row>
    <row r="301" spans="1:4" x14ac:dyDescent="0.35">
      <c r="A301" s="14" t="s">
        <v>2062</v>
      </c>
      <c r="B301" s="15" t="s">
        <v>4713</v>
      </c>
      <c r="C301" s="15" t="s">
        <v>5274</v>
      </c>
      <c r="D301" s="16" t="s">
        <v>5275</v>
      </c>
    </row>
    <row r="302" spans="1:4" x14ac:dyDescent="0.35">
      <c r="A302" s="11" t="s">
        <v>2061</v>
      </c>
      <c r="B302" s="12" t="s">
        <v>4716</v>
      </c>
      <c r="C302" s="12" t="s">
        <v>5171</v>
      </c>
      <c r="D302" s="13" t="s">
        <v>5276</v>
      </c>
    </row>
    <row r="303" spans="1:4" x14ac:dyDescent="0.35">
      <c r="A303" s="14" t="s">
        <v>2060</v>
      </c>
      <c r="B303" s="15" t="s">
        <v>4713</v>
      </c>
      <c r="C303" s="15" t="s">
        <v>5277</v>
      </c>
      <c r="D303" s="16" t="s">
        <v>4875</v>
      </c>
    </row>
    <row r="304" spans="1:4" x14ac:dyDescent="0.35">
      <c r="A304" s="11" t="s">
        <v>2059</v>
      </c>
      <c r="B304" s="12" t="s">
        <v>4716</v>
      </c>
      <c r="C304" s="12" t="s">
        <v>5278</v>
      </c>
      <c r="D304" s="13" t="s">
        <v>5279</v>
      </c>
    </row>
    <row r="305" spans="1:4" x14ac:dyDescent="0.35">
      <c r="A305" s="14" t="s">
        <v>2058</v>
      </c>
      <c r="B305" s="15" t="s">
        <v>4713</v>
      </c>
      <c r="C305" s="15" t="s">
        <v>5280</v>
      </c>
      <c r="D305" s="16" t="s">
        <v>5281</v>
      </c>
    </row>
    <row r="306" spans="1:4" x14ac:dyDescent="0.35">
      <c r="A306" s="11" t="s">
        <v>2057</v>
      </c>
      <c r="B306" s="12" t="s">
        <v>4713</v>
      </c>
      <c r="C306" s="12" t="s">
        <v>5282</v>
      </c>
      <c r="D306" s="13" t="s">
        <v>5283</v>
      </c>
    </row>
    <row r="307" spans="1:4" x14ac:dyDescent="0.35">
      <c r="A307" s="14" t="s">
        <v>2056</v>
      </c>
      <c r="B307" s="15" t="s">
        <v>4713</v>
      </c>
      <c r="C307" s="15" t="s">
        <v>5165</v>
      </c>
      <c r="D307" s="16" t="s">
        <v>5284</v>
      </c>
    </row>
    <row r="308" spans="1:4" x14ac:dyDescent="0.35">
      <c r="A308" s="11" t="s">
        <v>2055</v>
      </c>
      <c r="B308" s="12" t="s">
        <v>4713</v>
      </c>
      <c r="C308" s="12" t="s">
        <v>5285</v>
      </c>
      <c r="D308" s="13" t="s">
        <v>4841</v>
      </c>
    </row>
    <row r="309" spans="1:4" x14ac:dyDescent="0.35">
      <c r="A309" s="14" t="s">
        <v>2054</v>
      </c>
      <c r="B309" s="15" t="s">
        <v>4716</v>
      </c>
      <c r="C309" s="15" t="s">
        <v>5286</v>
      </c>
      <c r="D309" s="16" t="s">
        <v>5287</v>
      </c>
    </row>
    <row r="310" spans="1:4" x14ac:dyDescent="0.35">
      <c r="A310" s="11" t="s">
        <v>2053</v>
      </c>
      <c r="B310" s="12" t="s">
        <v>4713</v>
      </c>
      <c r="C310" s="12" t="s">
        <v>5288</v>
      </c>
      <c r="D310" s="13" t="s">
        <v>5289</v>
      </c>
    </row>
    <row r="311" spans="1:4" x14ac:dyDescent="0.35">
      <c r="A311" s="14" t="s">
        <v>2052</v>
      </c>
      <c r="B311" s="15" t="s">
        <v>4713</v>
      </c>
      <c r="C311" s="15" t="s">
        <v>5290</v>
      </c>
      <c r="D311" s="16" t="s">
        <v>5291</v>
      </c>
    </row>
    <row r="312" spans="1:4" x14ac:dyDescent="0.35">
      <c r="A312" s="11" t="s">
        <v>2051</v>
      </c>
      <c r="B312" s="12" t="s">
        <v>4716</v>
      </c>
      <c r="C312" s="12" t="s">
        <v>4850</v>
      </c>
      <c r="D312" s="13" t="s">
        <v>5292</v>
      </c>
    </row>
    <row r="313" spans="1:4" x14ac:dyDescent="0.35">
      <c r="A313" s="14" t="s">
        <v>2050</v>
      </c>
      <c r="B313" s="15" t="s">
        <v>4716</v>
      </c>
      <c r="C313" s="15" t="s">
        <v>5293</v>
      </c>
      <c r="D313" s="16" t="s">
        <v>5294</v>
      </c>
    </row>
    <row r="314" spans="1:4" x14ac:dyDescent="0.35">
      <c r="A314" s="11" t="s">
        <v>2049</v>
      </c>
      <c r="B314" s="12" t="s">
        <v>4716</v>
      </c>
      <c r="C314" s="12" t="s">
        <v>5295</v>
      </c>
      <c r="D314" s="13" t="s">
        <v>5296</v>
      </c>
    </row>
    <row r="315" spans="1:4" x14ac:dyDescent="0.35">
      <c r="A315" s="14" t="s">
        <v>2048</v>
      </c>
      <c r="B315" s="15" t="s">
        <v>4713</v>
      </c>
      <c r="C315" s="15" t="s">
        <v>5297</v>
      </c>
      <c r="D315" s="16" t="s">
        <v>5298</v>
      </c>
    </row>
    <row r="316" spans="1:4" x14ac:dyDescent="0.35">
      <c r="A316" s="11" t="s">
        <v>2047</v>
      </c>
      <c r="B316" s="12" t="s">
        <v>4713</v>
      </c>
      <c r="C316" s="12" t="s">
        <v>5299</v>
      </c>
      <c r="D316" s="13" t="s">
        <v>5300</v>
      </c>
    </row>
    <row r="317" spans="1:4" x14ac:dyDescent="0.35">
      <c r="A317" s="14" t="s">
        <v>2046</v>
      </c>
      <c r="B317" s="15" t="s">
        <v>4716</v>
      </c>
      <c r="C317" s="15" t="s">
        <v>5301</v>
      </c>
      <c r="D317" s="16" t="s">
        <v>5049</v>
      </c>
    </row>
    <row r="318" spans="1:4" x14ac:dyDescent="0.35">
      <c r="A318" s="11" t="s">
        <v>2045</v>
      </c>
      <c r="B318" s="12" t="s">
        <v>4716</v>
      </c>
      <c r="C318" s="12" t="s">
        <v>5302</v>
      </c>
      <c r="D318" s="13" t="s">
        <v>4754</v>
      </c>
    </row>
    <row r="319" spans="1:4" x14ac:dyDescent="0.35">
      <c r="A319" s="14" t="s">
        <v>2044</v>
      </c>
      <c r="B319" s="15" t="s">
        <v>4716</v>
      </c>
      <c r="C319" s="15" t="s">
        <v>5303</v>
      </c>
      <c r="D319" s="16" t="s">
        <v>5304</v>
      </c>
    </row>
    <row r="320" spans="1:4" x14ac:dyDescent="0.35">
      <c r="A320" s="11" t="s">
        <v>2043</v>
      </c>
      <c r="B320" s="12" t="s">
        <v>4716</v>
      </c>
      <c r="C320" s="12" t="s">
        <v>5305</v>
      </c>
      <c r="D320" s="13" t="s">
        <v>5306</v>
      </c>
    </row>
    <row r="321" spans="1:4" x14ac:dyDescent="0.35">
      <c r="A321" s="14" t="s">
        <v>2042</v>
      </c>
      <c r="B321" s="15" t="s">
        <v>4713</v>
      </c>
      <c r="C321" s="15" t="s">
        <v>5307</v>
      </c>
      <c r="D321" s="16" t="s">
        <v>5308</v>
      </c>
    </row>
    <row r="322" spans="1:4" x14ac:dyDescent="0.35">
      <c r="A322" s="11" t="s">
        <v>2041</v>
      </c>
      <c r="B322" s="12" t="s">
        <v>4713</v>
      </c>
      <c r="C322" s="12" t="s">
        <v>5309</v>
      </c>
      <c r="D322" s="13" t="s">
        <v>5310</v>
      </c>
    </row>
    <row r="323" spans="1:4" x14ac:dyDescent="0.35">
      <c r="A323" s="14" t="s">
        <v>2040</v>
      </c>
      <c r="B323" s="15" t="s">
        <v>4716</v>
      </c>
      <c r="C323" s="15" t="s">
        <v>5311</v>
      </c>
      <c r="D323" s="16" t="s">
        <v>5312</v>
      </c>
    </row>
    <row r="324" spans="1:4" x14ac:dyDescent="0.35">
      <c r="A324" s="11" t="s">
        <v>2039</v>
      </c>
      <c r="B324" s="12" t="s">
        <v>4716</v>
      </c>
      <c r="C324" s="12" t="s">
        <v>5242</v>
      </c>
      <c r="D324" s="13" t="s">
        <v>5313</v>
      </c>
    </row>
    <row r="325" spans="1:4" x14ac:dyDescent="0.35">
      <c r="A325" s="14" t="s">
        <v>2038</v>
      </c>
      <c r="B325" s="15" t="s">
        <v>4716</v>
      </c>
      <c r="C325" s="15" t="s">
        <v>5314</v>
      </c>
      <c r="D325" s="16" t="s">
        <v>5010</v>
      </c>
    </row>
    <row r="326" spans="1:4" x14ac:dyDescent="0.35">
      <c r="A326" s="11" t="s">
        <v>2037</v>
      </c>
      <c r="B326" s="12" t="s">
        <v>4713</v>
      </c>
      <c r="C326" s="12" t="s">
        <v>5315</v>
      </c>
      <c r="D326" s="13" t="s">
        <v>5316</v>
      </c>
    </row>
    <row r="327" spans="1:4" x14ac:dyDescent="0.35">
      <c r="A327" s="14" t="s">
        <v>2036</v>
      </c>
      <c r="B327" s="15" t="s">
        <v>4716</v>
      </c>
      <c r="C327" s="15" t="s">
        <v>5317</v>
      </c>
      <c r="D327" s="16" t="s">
        <v>5318</v>
      </c>
    </row>
    <row r="328" spans="1:4" x14ac:dyDescent="0.35">
      <c r="A328" s="11" t="s">
        <v>2035</v>
      </c>
      <c r="B328" s="12" t="s">
        <v>4716</v>
      </c>
      <c r="C328" s="12" t="s">
        <v>5319</v>
      </c>
      <c r="D328" s="13" t="s">
        <v>5150</v>
      </c>
    </row>
    <row r="329" spans="1:4" x14ac:dyDescent="0.35">
      <c r="A329" s="14" t="s">
        <v>2034</v>
      </c>
      <c r="B329" s="15" t="s">
        <v>4716</v>
      </c>
      <c r="C329" s="15" t="s">
        <v>5320</v>
      </c>
      <c r="D329" s="16" t="s">
        <v>5321</v>
      </c>
    </row>
    <row r="330" spans="1:4" x14ac:dyDescent="0.35">
      <c r="A330" s="11" t="s">
        <v>2033</v>
      </c>
      <c r="B330" s="12" t="s">
        <v>4716</v>
      </c>
      <c r="C330" s="12" t="s">
        <v>5322</v>
      </c>
      <c r="D330" s="13" t="s">
        <v>5140</v>
      </c>
    </row>
    <row r="331" spans="1:4" x14ac:dyDescent="0.35">
      <c r="A331" s="14" t="s">
        <v>2032</v>
      </c>
      <c r="B331" s="15" t="s">
        <v>4716</v>
      </c>
      <c r="C331" s="15" t="s">
        <v>5323</v>
      </c>
      <c r="D331" s="16" t="s">
        <v>5324</v>
      </c>
    </row>
    <row r="332" spans="1:4" x14ac:dyDescent="0.35">
      <c r="A332" s="11" t="s">
        <v>2031</v>
      </c>
      <c r="B332" s="12" t="s">
        <v>4716</v>
      </c>
      <c r="C332" s="12" t="s">
        <v>5325</v>
      </c>
      <c r="D332" s="13" t="s">
        <v>5326</v>
      </c>
    </row>
    <row r="333" spans="1:4" x14ac:dyDescent="0.35">
      <c r="A333" s="14" t="s">
        <v>2030</v>
      </c>
      <c r="B333" s="15" t="s">
        <v>4716</v>
      </c>
      <c r="C333" s="15" t="s">
        <v>5327</v>
      </c>
      <c r="D333" s="16" t="s">
        <v>5306</v>
      </c>
    </row>
    <row r="334" spans="1:4" x14ac:dyDescent="0.35">
      <c r="A334" s="11" t="s">
        <v>2029</v>
      </c>
      <c r="B334" s="12" t="s">
        <v>4713</v>
      </c>
      <c r="C334" s="12" t="s">
        <v>5328</v>
      </c>
      <c r="D334" s="13" t="s">
        <v>5329</v>
      </c>
    </row>
    <row r="335" spans="1:4" x14ac:dyDescent="0.35">
      <c r="A335" s="14" t="s">
        <v>2028</v>
      </c>
      <c r="B335" s="15" t="s">
        <v>4716</v>
      </c>
      <c r="C335" s="15" t="s">
        <v>5330</v>
      </c>
      <c r="D335" s="16" t="s">
        <v>5331</v>
      </c>
    </row>
    <row r="336" spans="1:4" x14ac:dyDescent="0.35">
      <c r="A336" s="11" t="s">
        <v>2027</v>
      </c>
      <c r="B336" s="12" t="s">
        <v>4713</v>
      </c>
      <c r="C336" s="12" t="s">
        <v>5332</v>
      </c>
      <c r="D336" s="13" t="s">
        <v>5333</v>
      </c>
    </row>
    <row r="337" spans="1:4" x14ac:dyDescent="0.35">
      <c r="A337" s="14" t="s">
        <v>2026</v>
      </c>
      <c r="B337" s="15" t="s">
        <v>4716</v>
      </c>
      <c r="C337" s="15" t="s">
        <v>5334</v>
      </c>
      <c r="D337" s="16" t="s">
        <v>5335</v>
      </c>
    </row>
    <row r="338" spans="1:4" x14ac:dyDescent="0.35">
      <c r="A338" s="11" t="s">
        <v>2025</v>
      </c>
      <c r="B338" s="12" t="s">
        <v>4713</v>
      </c>
      <c r="C338" s="12" t="s">
        <v>5336</v>
      </c>
      <c r="D338" s="13" t="s">
        <v>5337</v>
      </c>
    </row>
    <row r="339" spans="1:4" x14ac:dyDescent="0.35">
      <c r="A339" s="14" t="s">
        <v>2024</v>
      </c>
      <c r="B339" s="15" t="s">
        <v>4713</v>
      </c>
      <c r="C339" s="15" t="s">
        <v>5338</v>
      </c>
      <c r="D339" s="16" t="s">
        <v>5339</v>
      </c>
    </row>
    <row r="340" spans="1:4" x14ac:dyDescent="0.35">
      <c r="A340" s="11" t="s">
        <v>2023</v>
      </c>
      <c r="B340" s="12" t="s">
        <v>4716</v>
      </c>
      <c r="C340" s="12" t="s">
        <v>5340</v>
      </c>
      <c r="D340" s="13" t="s">
        <v>5029</v>
      </c>
    </row>
    <row r="341" spans="1:4" x14ac:dyDescent="0.35">
      <c r="A341" s="14" t="s">
        <v>2022</v>
      </c>
      <c r="B341" s="15" t="s">
        <v>4713</v>
      </c>
      <c r="C341" s="15" t="s">
        <v>5341</v>
      </c>
      <c r="D341" s="16" t="s">
        <v>5342</v>
      </c>
    </row>
    <row r="342" spans="1:4" x14ac:dyDescent="0.35">
      <c r="A342" s="11" t="s">
        <v>2021</v>
      </c>
      <c r="B342" s="12" t="s">
        <v>4713</v>
      </c>
      <c r="C342" s="12" t="s">
        <v>5343</v>
      </c>
      <c r="D342" s="13" t="s">
        <v>5344</v>
      </c>
    </row>
    <row r="343" spans="1:4" x14ac:dyDescent="0.35">
      <c r="A343" s="14" t="s">
        <v>2020</v>
      </c>
      <c r="B343" s="15" t="s">
        <v>4713</v>
      </c>
      <c r="C343" s="15" t="s">
        <v>5345</v>
      </c>
      <c r="D343" s="16" t="s">
        <v>5346</v>
      </c>
    </row>
    <row r="344" spans="1:4" x14ac:dyDescent="0.35">
      <c r="A344" s="11" t="s">
        <v>2019</v>
      </c>
      <c r="B344" s="12" t="s">
        <v>4713</v>
      </c>
      <c r="C344" s="12" t="s">
        <v>5347</v>
      </c>
      <c r="D344" s="13" t="s">
        <v>4903</v>
      </c>
    </row>
    <row r="345" spans="1:4" x14ac:dyDescent="0.35">
      <c r="A345" s="14" t="s">
        <v>2018</v>
      </c>
      <c r="B345" s="15" t="s">
        <v>4716</v>
      </c>
      <c r="C345" s="15" t="s">
        <v>5348</v>
      </c>
      <c r="D345" s="16" t="s">
        <v>5349</v>
      </c>
    </row>
    <row r="346" spans="1:4" x14ac:dyDescent="0.35">
      <c r="A346" s="11" t="s">
        <v>2017</v>
      </c>
      <c r="B346" s="12" t="s">
        <v>4713</v>
      </c>
      <c r="C346" s="12" t="s">
        <v>5350</v>
      </c>
      <c r="D346" s="13" t="s">
        <v>5351</v>
      </c>
    </row>
    <row r="347" spans="1:4" x14ac:dyDescent="0.35">
      <c r="A347" s="14" t="s">
        <v>2016</v>
      </c>
      <c r="B347" s="15" t="s">
        <v>4716</v>
      </c>
      <c r="C347" s="15" t="s">
        <v>5352</v>
      </c>
      <c r="D347" s="16" t="s">
        <v>4815</v>
      </c>
    </row>
    <row r="348" spans="1:4" x14ac:dyDescent="0.35">
      <c r="A348" s="11" t="s">
        <v>2015</v>
      </c>
      <c r="B348" s="12" t="s">
        <v>4713</v>
      </c>
      <c r="C348" s="12" t="s">
        <v>5353</v>
      </c>
      <c r="D348" s="13" t="s">
        <v>5354</v>
      </c>
    </row>
    <row r="349" spans="1:4" x14ac:dyDescent="0.35">
      <c r="A349" s="14" t="s">
        <v>2014</v>
      </c>
      <c r="B349" s="15" t="s">
        <v>4713</v>
      </c>
      <c r="C349" s="15" t="s">
        <v>5355</v>
      </c>
      <c r="D349" s="16" t="s">
        <v>5356</v>
      </c>
    </row>
    <row r="350" spans="1:4" x14ac:dyDescent="0.35">
      <c r="A350" s="11" t="s">
        <v>2013</v>
      </c>
      <c r="B350" s="12" t="s">
        <v>4716</v>
      </c>
      <c r="C350" s="12" t="s">
        <v>5357</v>
      </c>
      <c r="D350" s="13" t="s">
        <v>5358</v>
      </c>
    </row>
    <row r="351" spans="1:4" x14ac:dyDescent="0.35">
      <c r="A351" s="14" t="s">
        <v>2012</v>
      </c>
      <c r="B351" s="15" t="s">
        <v>4713</v>
      </c>
      <c r="C351" s="15" t="s">
        <v>5359</v>
      </c>
      <c r="D351" s="16" t="s">
        <v>5360</v>
      </c>
    </row>
    <row r="352" spans="1:4" x14ac:dyDescent="0.35">
      <c r="A352" s="11" t="s">
        <v>2011</v>
      </c>
      <c r="B352" s="12" t="s">
        <v>4716</v>
      </c>
      <c r="C352" s="12" t="s">
        <v>5361</v>
      </c>
      <c r="D352" s="13" t="s">
        <v>5362</v>
      </c>
    </row>
    <row r="353" spans="1:4" x14ac:dyDescent="0.35">
      <c r="A353" s="14" t="s">
        <v>2010</v>
      </c>
      <c r="B353" s="15" t="s">
        <v>4713</v>
      </c>
      <c r="C353" s="15" t="s">
        <v>5363</v>
      </c>
      <c r="D353" s="16" t="s">
        <v>5364</v>
      </c>
    </row>
    <row r="354" spans="1:4" x14ac:dyDescent="0.35">
      <c r="A354" s="11" t="s">
        <v>2009</v>
      </c>
      <c r="B354" s="12" t="s">
        <v>4716</v>
      </c>
      <c r="C354" s="12" t="s">
        <v>4870</v>
      </c>
      <c r="D354" s="13" t="s">
        <v>5365</v>
      </c>
    </row>
    <row r="355" spans="1:4" x14ac:dyDescent="0.35">
      <c r="A355" s="14" t="s">
        <v>2008</v>
      </c>
      <c r="B355" s="15" t="s">
        <v>4713</v>
      </c>
      <c r="C355" s="15" t="s">
        <v>5366</v>
      </c>
      <c r="D355" s="16" t="s">
        <v>5367</v>
      </c>
    </row>
    <row r="356" spans="1:4" x14ac:dyDescent="0.35">
      <c r="A356" s="11" t="s">
        <v>2007</v>
      </c>
      <c r="B356" s="12" t="s">
        <v>4713</v>
      </c>
      <c r="C356" s="12" t="s">
        <v>5368</v>
      </c>
      <c r="D356" s="13" t="s">
        <v>5369</v>
      </c>
    </row>
    <row r="357" spans="1:4" x14ac:dyDescent="0.35">
      <c r="A357" s="14" t="s">
        <v>2006</v>
      </c>
      <c r="B357" s="15" t="s">
        <v>4713</v>
      </c>
      <c r="C357" s="15" t="s">
        <v>5370</v>
      </c>
      <c r="D357" s="16" t="s">
        <v>5371</v>
      </c>
    </row>
    <row r="358" spans="1:4" x14ac:dyDescent="0.35">
      <c r="A358" s="11" t="s">
        <v>2005</v>
      </c>
      <c r="B358" s="12" t="s">
        <v>4716</v>
      </c>
      <c r="C358" s="12" t="s">
        <v>5372</v>
      </c>
      <c r="D358" s="13" t="s">
        <v>5373</v>
      </c>
    </row>
    <row r="359" spans="1:4" x14ac:dyDescent="0.35">
      <c r="A359" s="14" t="s">
        <v>2004</v>
      </c>
      <c r="B359" s="15" t="s">
        <v>4716</v>
      </c>
      <c r="C359" s="15" t="s">
        <v>5374</v>
      </c>
      <c r="D359" s="16" t="s">
        <v>5375</v>
      </c>
    </row>
    <row r="360" spans="1:4" x14ac:dyDescent="0.35">
      <c r="A360" s="11" t="s">
        <v>2003</v>
      </c>
      <c r="B360" s="12" t="s">
        <v>4716</v>
      </c>
      <c r="C360" s="12" t="s">
        <v>5376</v>
      </c>
      <c r="D360" s="13" t="s">
        <v>5377</v>
      </c>
    </row>
    <row r="361" spans="1:4" x14ac:dyDescent="0.35">
      <c r="A361" s="14" t="s">
        <v>2002</v>
      </c>
      <c r="B361" s="15" t="s">
        <v>4716</v>
      </c>
      <c r="C361" s="15" t="s">
        <v>5075</v>
      </c>
      <c r="D361" s="16" t="s">
        <v>5378</v>
      </c>
    </row>
    <row r="362" spans="1:4" x14ac:dyDescent="0.35">
      <c r="A362" s="11" t="s">
        <v>2001</v>
      </c>
      <c r="B362" s="12" t="s">
        <v>4716</v>
      </c>
      <c r="C362" s="12" t="s">
        <v>5379</v>
      </c>
      <c r="D362" s="13" t="s">
        <v>5380</v>
      </c>
    </row>
    <row r="363" spans="1:4" x14ac:dyDescent="0.35">
      <c r="A363" s="14" t="s">
        <v>2000</v>
      </c>
      <c r="B363" s="15" t="s">
        <v>4716</v>
      </c>
      <c r="C363" s="15" t="s">
        <v>5381</v>
      </c>
      <c r="D363" s="16" t="s">
        <v>4843</v>
      </c>
    </row>
    <row r="364" spans="1:4" x14ac:dyDescent="0.35">
      <c r="A364" s="11" t="s">
        <v>1999</v>
      </c>
      <c r="B364" s="12" t="s">
        <v>4716</v>
      </c>
      <c r="C364" s="12" t="s">
        <v>5382</v>
      </c>
      <c r="D364" s="13" t="s">
        <v>5383</v>
      </c>
    </row>
    <row r="365" spans="1:4" x14ac:dyDescent="0.35">
      <c r="A365" s="14" t="s">
        <v>1998</v>
      </c>
      <c r="B365" s="15" t="s">
        <v>4713</v>
      </c>
      <c r="C365" s="15" t="s">
        <v>5384</v>
      </c>
      <c r="D365" s="16" t="s">
        <v>5385</v>
      </c>
    </row>
    <row r="366" spans="1:4" x14ac:dyDescent="0.35">
      <c r="A366" s="11" t="s">
        <v>1997</v>
      </c>
      <c r="B366" s="12" t="s">
        <v>4713</v>
      </c>
      <c r="C366" s="12" t="s">
        <v>5386</v>
      </c>
      <c r="D366" s="13" t="s">
        <v>5387</v>
      </c>
    </row>
    <row r="367" spans="1:4" x14ac:dyDescent="0.35">
      <c r="A367" s="14" t="s">
        <v>1996</v>
      </c>
      <c r="B367" s="15" t="s">
        <v>4716</v>
      </c>
      <c r="C367" s="15" t="s">
        <v>5388</v>
      </c>
      <c r="D367" s="16" t="s">
        <v>5389</v>
      </c>
    </row>
    <row r="368" spans="1:4" x14ac:dyDescent="0.35">
      <c r="A368" s="11" t="s">
        <v>1995</v>
      </c>
      <c r="B368" s="12" t="s">
        <v>4716</v>
      </c>
      <c r="C368" s="12" t="s">
        <v>5390</v>
      </c>
      <c r="D368" s="13" t="s">
        <v>5391</v>
      </c>
    </row>
    <row r="369" spans="1:4" x14ac:dyDescent="0.35">
      <c r="A369" s="14" t="s">
        <v>1994</v>
      </c>
      <c r="B369" s="15" t="s">
        <v>4713</v>
      </c>
      <c r="C369" s="15" t="s">
        <v>5392</v>
      </c>
      <c r="D369" s="16" t="s">
        <v>5393</v>
      </c>
    </row>
    <row r="370" spans="1:4" x14ac:dyDescent="0.35">
      <c r="A370" s="11" t="s">
        <v>1993</v>
      </c>
      <c r="B370" s="12" t="s">
        <v>4716</v>
      </c>
      <c r="C370" s="12" t="s">
        <v>5394</v>
      </c>
      <c r="D370" s="13" t="s">
        <v>5395</v>
      </c>
    </row>
    <row r="371" spans="1:4" x14ac:dyDescent="0.35">
      <c r="A371" s="14" t="s">
        <v>1992</v>
      </c>
      <c r="B371" s="15" t="s">
        <v>4716</v>
      </c>
      <c r="C371" s="15" t="s">
        <v>5396</v>
      </c>
      <c r="D371" s="16" t="s">
        <v>5397</v>
      </c>
    </row>
    <row r="372" spans="1:4" x14ac:dyDescent="0.35">
      <c r="A372" s="11" t="s">
        <v>1991</v>
      </c>
      <c r="B372" s="12" t="s">
        <v>4713</v>
      </c>
      <c r="C372" s="12" t="s">
        <v>5398</v>
      </c>
      <c r="D372" s="13" t="s">
        <v>5399</v>
      </c>
    </row>
    <row r="373" spans="1:4" x14ac:dyDescent="0.35">
      <c r="A373" s="14" t="s">
        <v>1990</v>
      </c>
      <c r="B373" s="15" t="s">
        <v>4716</v>
      </c>
      <c r="C373" s="15" t="s">
        <v>5400</v>
      </c>
      <c r="D373" s="16" t="s">
        <v>5401</v>
      </c>
    </row>
    <row r="374" spans="1:4" x14ac:dyDescent="0.35">
      <c r="A374" s="11" t="s">
        <v>1989</v>
      </c>
      <c r="B374" s="12" t="s">
        <v>4713</v>
      </c>
      <c r="C374" s="12" t="s">
        <v>5402</v>
      </c>
      <c r="D374" s="13" t="s">
        <v>5403</v>
      </c>
    </row>
    <row r="375" spans="1:4" x14ac:dyDescent="0.35">
      <c r="A375" s="14" t="s">
        <v>1988</v>
      </c>
      <c r="B375" s="15" t="s">
        <v>4713</v>
      </c>
      <c r="C375" s="15" t="s">
        <v>5404</v>
      </c>
      <c r="D375" s="16" t="s">
        <v>5249</v>
      </c>
    </row>
    <row r="376" spans="1:4" x14ac:dyDescent="0.35">
      <c r="A376" s="11" t="s">
        <v>1987</v>
      </c>
      <c r="B376" s="12" t="s">
        <v>4713</v>
      </c>
      <c r="C376" s="12" t="s">
        <v>5405</v>
      </c>
      <c r="D376" s="13" t="s">
        <v>5406</v>
      </c>
    </row>
    <row r="377" spans="1:4" x14ac:dyDescent="0.35">
      <c r="A377" s="14" t="s">
        <v>1986</v>
      </c>
      <c r="B377" s="15" t="s">
        <v>4716</v>
      </c>
      <c r="C377" s="15" t="s">
        <v>5407</v>
      </c>
      <c r="D377" s="16" t="s">
        <v>5408</v>
      </c>
    </row>
    <row r="378" spans="1:4" x14ac:dyDescent="0.35">
      <c r="A378" s="11" t="s">
        <v>1985</v>
      </c>
      <c r="B378" s="12" t="s">
        <v>4716</v>
      </c>
      <c r="C378" s="12" t="s">
        <v>5409</v>
      </c>
      <c r="D378" s="13" t="s">
        <v>5010</v>
      </c>
    </row>
    <row r="379" spans="1:4" x14ac:dyDescent="0.35">
      <c r="A379" s="14" t="s">
        <v>1984</v>
      </c>
      <c r="B379" s="15" t="s">
        <v>4713</v>
      </c>
      <c r="C379" s="15" t="s">
        <v>5410</v>
      </c>
      <c r="D379" s="16" t="s">
        <v>5411</v>
      </c>
    </row>
    <row r="380" spans="1:4" x14ac:dyDescent="0.35">
      <c r="A380" s="11" t="s">
        <v>1983</v>
      </c>
      <c r="B380" s="12" t="s">
        <v>4713</v>
      </c>
      <c r="C380" s="12" t="s">
        <v>5412</v>
      </c>
      <c r="D380" s="13" t="s">
        <v>5084</v>
      </c>
    </row>
    <row r="381" spans="1:4" x14ac:dyDescent="0.35">
      <c r="A381" s="14" t="s">
        <v>1982</v>
      </c>
      <c r="B381" s="15" t="s">
        <v>4716</v>
      </c>
      <c r="C381" s="15" t="s">
        <v>5413</v>
      </c>
      <c r="D381" s="16" t="s">
        <v>5414</v>
      </c>
    </row>
    <row r="382" spans="1:4" x14ac:dyDescent="0.35">
      <c r="A382" s="11" t="s">
        <v>1981</v>
      </c>
      <c r="B382" s="12" t="s">
        <v>4713</v>
      </c>
      <c r="C382" s="12" t="s">
        <v>5415</v>
      </c>
      <c r="D382" s="13" t="s">
        <v>5416</v>
      </c>
    </row>
    <row r="383" spans="1:4" x14ac:dyDescent="0.35">
      <c r="A383" s="14" t="s">
        <v>1980</v>
      </c>
      <c r="B383" s="15" t="s">
        <v>4716</v>
      </c>
      <c r="C383" s="15" t="s">
        <v>5417</v>
      </c>
      <c r="D383" s="16" t="s">
        <v>4728</v>
      </c>
    </row>
    <row r="384" spans="1:4" x14ac:dyDescent="0.35">
      <c r="A384" s="11" t="s">
        <v>1979</v>
      </c>
      <c r="B384" s="12" t="s">
        <v>4716</v>
      </c>
      <c r="C384" s="12" t="s">
        <v>5418</v>
      </c>
      <c r="D384" s="13" t="s">
        <v>5154</v>
      </c>
    </row>
    <row r="385" spans="1:4" x14ac:dyDescent="0.35">
      <c r="A385" s="14" t="s">
        <v>1978</v>
      </c>
      <c r="B385" s="15" t="s">
        <v>4713</v>
      </c>
      <c r="C385" s="15" t="s">
        <v>5419</v>
      </c>
      <c r="D385" s="16" t="s">
        <v>4863</v>
      </c>
    </row>
    <row r="386" spans="1:4" x14ac:dyDescent="0.35">
      <c r="A386" s="11" t="s">
        <v>1977</v>
      </c>
      <c r="B386" s="12" t="s">
        <v>4716</v>
      </c>
      <c r="C386" s="12" t="s">
        <v>5420</v>
      </c>
      <c r="D386" s="13" t="s">
        <v>5421</v>
      </c>
    </row>
    <row r="387" spans="1:4" x14ac:dyDescent="0.35">
      <c r="A387" s="14" t="s">
        <v>1976</v>
      </c>
      <c r="B387" s="15" t="s">
        <v>4716</v>
      </c>
      <c r="C387" s="15" t="s">
        <v>5422</v>
      </c>
      <c r="D387" s="16" t="s">
        <v>5423</v>
      </c>
    </row>
    <row r="388" spans="1:4" x14ac:dyDescent="0.35">
      <c r="A388" s="11" t="s">
        <v>1975</v>
      </c>
      <c r="B388" s="12" t="s">
        <v>4713</v>
      </c>
      <c r="C388" s="12" t="s">
        <v>5424</v>
      </c>
      <c r="D388" s="13" t="s">
        <v>5425</v>
      </c>
    </row>
    <row r="389" spans="1:4" x14ac:dyDescent="0.35">
      <c r="A389" s="14" t="s">
        <v>1974</v>
      </c>
      <c r="B389" s="15" t="s">
        <v>4716</v>
      </c>
      <c r="C389" s="15" t="s">
        <v>5426</v>
      </c>
      <c r="D389" s="16" t="s">
        <v>5427</v>
      </c>
    </row>
    <row r="390" spans="1:4" x14ac:dyDescent="0.35">
      <c r="A390" s="11" t="s">
        <v>1973</v>
      </c>
      <c r="B390" s="12" t="s">
        <v>4713</v>
      </c>
      <c r="C390" s="12" t="s">
        <v>5428</v>
      </c>
      <c r="D390" s="13" t="s">
        <v>5291</v>
      </c>
    </row>
    <row r="391" spans="1:4" x14ac:dyDescent="0.35">
      <c r="A391" s="14" t="s">
        <v>1972</v>
      </c>
      <c r="B391" s="15" t="s">
        <v>4713</v>
      </c>
      <c r="C391" s="15" t="s">
        <v>5429</v>
      </c>
      <c r="D391" s="16" t="s">
        <v>5430</v>
      </c>
    </row>
    <row r="392" spans="1:4" x14ac:dyDescent="0.35">
      <c r="A392" s="11" t="s">
        <v>1971</v>
      </c>
      <c r="B392" s="12" t="s">
        <v>4716</v>
      </c>
      <c r="C392" s="12" t="s">
        <v>5431</v>
      </c>
      <c r="D392" s="13" t="s">
        <v>5432</v>
      </c>
    </row>
    <row r="393" spans="1:4" x14ac:dyDescent="0.35">
      <c r="A393" s="14" t="s">
        <v>1970</v>
      </c>
      <c r="B393" s="15" t="s">
        <v>4716</v>
      </c>
      <c r="C393" s="15" t="s">
        <v>5433</v>
      </c>
      <c r="D393" s="16" t="s">
        <v>4811</v>
      </c>
    </row>
    <row r="394" spans="1:4" x14ac:dyDescent="0.35">
      <c r="A394" s="11" t="s">
        <v>1969</v>
      </c>
      <c r="B394" s="12" t="s">
        <v>4713</v>
      </c>
      <c r="C394" s="12" t="s">
        <v>5434</v>
      </c>
      <c r="D394" s="13" t="s">
        <v>5435</v>
      </c>
    </row>
    <row r="395" spans="1:4" x14ac:dyDescent="0.35">
      <c r="A395" s="14" t="s">
        <v>1968</v>
      </c>
      <c r="B395" s="15" t="s">
        <v>4716</v>
      </c>
      <c r="C395" s="15" t="s">
        <v>5106</v>
      </c>
      <c r="D395" s="16" t="s">
        <v>5436</v>
      </c>
    </row>
    <row r="396" spans="1:4" x14ac:dyDescent="0.35">
      <c r="A396" s="11" t="s">
        <v>1967</v>
      </c>
      <c r="B396" s="12" t="s">
        <v>4713</v>
      </c>
      <c r="C396" s="12" t="s">
        <v>5437</v>
      </c>
      <c r="D396" s="13" t="s">
        <v>5438</v>
      </c>
    </row>
    <row r="397" spans="1:4" x14ac:dyDescent="0.35">
      <c r="A397" s="14" t="s">
        <v>1966</v>
      </c>
      <c r="B397" s="15" t="s">
        <v>4713</v>
      </c>
      <c r="C397" s="15" t="s">
        <v>5439</v>
      </c>
      <c r="D397" s="16" t="s">
        <v>5440</v>
      </c>
    </row>
    <row r="398" spans="1:4" x14ac:dyDescent="0.35">
      <c r="A398" s="11" t="s">
        <v>1965</v>
      </c>
      <c r="B398" s="12" t="s">
        <v>4713</v>
      </c>
      <c r="C398" s="12" t="s">
        <v>5441</v>
      </c>
      <c r="D398" s="13" t="s">
        <v>5442</v>
      </c>
    </row>
    <row r="399" spans="1:4" x14ac:dyDescent="0.35">
      <c r="A399" s="14" t="s">
        <v>1964</v>
      </c>
      <c r="B399" s="15" t="s">
        <v>4716</v>
      </c>
      <c r="C399" s="15" t="s">
        <v>5443</v>
      </c>
      <c r="D399" s="16" t="s">
        <v>5444</v>
      </c>
    </row>
    <row r="400" spans="1:4" x14ac:dyDescent="0.35">
      <c r="A400" s="11" t="s">
        <v>1963</v>
      </c>
      <c r="B400" s="12" t="s">
        <v>4713</v>
      </c>
      <c r="C400" s="12" t="s">
        <v>5445</v>
      </c>
      <c r="D400" s="13" t="s">
        <v>4885</v>
      </c>
    </row>
    <row r="401" spans="1:4" x14ac:dyDescent="0.35">
      <c r="A401" s="14" t="s">
        <v>1962</v>
      </c>
      <c r="B401" s="15" t="s">
        <v>4713</v>
      </c>
      <c r="C401" s="15" t="s">
        <v>5446</v>
      </c>
      <c r="D401" s="16" t="s">
        <v>5447</v>
      </c>
    </row>
    <row r="402" spans="1:4" x14ac:dyDescent="0.35">
      <c r="A402" s="11" t="s">
        <v>1961</v>
      </c>
      <c r="B402" s="12" t="s">
        <v>4716</v>
      </c>
      <c r="C402" s="12" t="s">
        <v>5448</v>
      </c>
      <c r="D402" s="13" t="s">
        <v>5449</v>
      </c>
    </row>
    <row r="403" spans="1:4" x14ac:dyDescent="0.35">
      <c r="A403" s="14" t="s">
        <v>1960</v>
      </c>
      <c r="B403" s="15" t="s">
        <v>4713</v>
      </c>
      <c r="C403" s="15" t="s">
        <v>5450</v>
      </c>
      <c r="D403" s="16" t="s">
        <v>5451</v>
      </c>
    </row>
    <row r="404" spans="1:4" x14ac:dyDescent="0.35">
      <c r="A404" s="11" t="s">
        <v>1959</v>
      </c>
      <c r="B404" s="12" t="s">
        <v>4713</v>
      </c>
      <c r="C404" s="12" t="s">
        <v>5452</v>
      </c>
      <c r="D404" s="13" t="s">
        <v>5453</v>
      </c>
    </row>
    <row r="405" spans="1:4" x14ac:dyDescent="0.35">
      <c r="A405" s="14" t="s">
        <v>1958</v>
      </c>
      <c r="B405" s="15" t="s">
        <v>4716</v>
      </c>
      <c r="C405" s="15" t="s">
        <v>5454</v>
      </c>
      <c r="D405" s="16" t="s">
        <v>5455</v>
      </c>
    </row>
    <row r="406" spans="1:4" x14ac:dyDescent="0.35">
      <c r="A406" s="11" t="s">
        <v>1957</v>
      </c>
      <c r="B406" s="12" t="s">
        <v>4716</v>
      </c>
      <c r="C406" s="12" t="s">
        <v>5456</v>
      </c>
      <c r="D406" s="13" t="s">
        <v>5457</v>
      </c>
    </row>
    <row r="407" spans="1:4" x14ac:dyDescent="0.35">
      <c r="A407" s="14" t="s">
        <v>1956</v>
      </c>
      <c r="B407" s="15" t="s">
        <v>4716</v>
      </c>
      <c r="C407" s="15" t="s">
        <v>5458</v>
      </c>
      <c r="D407" s="16" t="s">
        <v>5459</v>
      </c>
    </row>
    <row r="408" spans="1:4" x14ac:dyDescent="0.35">
      <c r="A408" s="11" t="s">
        <v>1955</v>
      </c>
      <c r="B408" s="12" t="s">
        <v>4716</v>
      </c>
      <c r="C408" s="12" t="s">
        <v>5460</v>
      </c>
      <c r="D408" s="13" t="s">
        <v>5461</v>
      </c>
    </row>
    <row r="409" spans="1:4" x14ac:dyDescent="0.35">
      <c r="A409" s="14" t="s">
        <v>1954</v>
      </c>
      <c r="B409" s="15" t="s">
        <v>4716</v>
      </c>
      <c r="C409" s="15" t="s">
        <v>5462</v>
      </c>
      <c r="D409" s="16" t="s">
        <v>5463</v>
      </c>
    </row>
    <row r="410" spans="1:4" x14ac:dyDescent="0.35">
      <c r="A410" s="11" t="s">
        <v>1953</v>
      </c>
      <c r="B410" s="12" t="s">
        <v>4716</v>
      </c>
      <c r="C410" s="12" t="s">
        <v>5464</v>
      </c>
      <c r="D410" s="13" t="s">
        <v>5465</v>
      </c>
    </row>
    <row r="411" spans="1:4" x14ac:dyDescent="0.35">
      <c r="A411" s="14" t="s">
        <v>1952</v>
      </c>
      <c r="B411" s="15" t="s">
        <v>4713</v>
      </c>
      <c r="C411" s="15" t="s">
        <v>5466</v>
      </c>
      <c r="D411" s="16" t="s">
        <v>5467</v>
      </c>
    </row>
    <row r="412" spans="1:4" x14ac:dyDescent="0.35">
      <c r="A412" s="11" t="s">
        <v>1951</v>
      </c>
      <c r="B412" s="12" t="s">
        <v>4713</v>
      </c>
      <c r="C412" s="12" t="s">
        <v>5468</v>
      </c>
      <c r="D412" s="13" t="s">
        <v>5469</v>
      </c>
    </row>
    <row r="413" spans="1:4" x14ac:dyDescent="0.35">
      <c r="A413" s="14" t="s">
        <v>1950</v>
      </c>
      <c r="B413" s="15" t="s">
        <v>4716</v>
      </c>
      <c r="C413" s="15" t="s">
        <v>5470</v>
      </c>
      <c r="D413" s="16" t="s">
        <v>5471</v>
      </c>
    </row>
    <row r="414" spans="1:4" x14ac:dyDescent="0.35">
      <c r="A414" s="11" t="s">
        <v>1949</v>
      </c>
      <c r="B414" s="12" t="s">
        <v>4713</v>
      </c>
      <c r="C414" s="12" t="s">
        <v>5472</v>
      </c>
      <c r="D414" s="13" t="s">
        <v>5473</v>
      </c>
    </row>
    <row r="415" spans="1:4" x14ac:dyDescent="0.35">
      <c r="A415" s="14" t="s">
        <v>1948</v>
      </c>
      <c r="B415" s="15" t="s">
        <v>4713</v>
      </c>
      <c r="C415" s="15" t="s">
        <v>5474</v>
      </c>
      <c r="D415" s="16" t="s">
        <v>5475</v>
      </c>
    </row>
    <row r="416" spans="1:4" x14ac:dyDescent="0.35">
      <c r="A416" s="11" t="s">
        <v>1947</v>
      </c>
      <c r="B416" s="12" t="s">
        <v>4716</v>
      </c>
      <c r="C416" s="12" t="s">
        <v>5476</v>
      </c>
      <c r="D416" s="13" t="s">
        <v>5477</v>
      </c>
    </row>
    <row r="417" spans="1:4" x14ac:dyDescent="0.35">
      <c r="A417" s="14" t="s">
        <v>1946</v>
      </c>
      <c r="B417" s="15" t="s">
        <v>4716</v>
      </c>
      <c r="C417" s="15" t="s">
        <v>5478</v>
      </c>
      <c r="D417" s="16" t="s">
        <v>4728</v>
      </c>
    </row>
    <row r="418" spans="1:4" x14ac:dyDescent="0.35">
      <c r="A418" s="11" t="s">
        <v>1945</v>
      </c>
      <c r="B418" s="12" t="s">
        <v>4713</v>
      </c>
      <c r="C418" s="12" t="s">
        <v>5479</v>
      </c>
      <c r="D418" s="13" t="s">
        <v>5480</v>
      </c>
    </row>
    <row r="419" spans="1:4" x14ac:dyDescent="0.35">
      <c r="A419" s="14" t="s">
        <v>1944</v>
      </c>
      <c r="B419" s="15" t="s">
        <v>4713</v>
      </c>
      <c r="C419" s="15" t="s">
        <v>5481</v>
      </c>
      <c r="D419" s="16" t="s">
        <v>5351</v>
      </c>
    </row>
    <row r="420" spans="1:4" x14ac:dyDescent="0.35">
      <c r="A420" s="11" t="s">
        <v>1943</v>
      </c>
      <c r="B420" s="12" t="s">
        <v>4713</v>
      </c>
      <c r="C420" s="12" t="s">
        <v>5482</v>
      </c>
      <c r="D420" s="13" t="s">
        <v>5483</v>
      </c>
    </row>
    <row r="421" spans="1:4" x14ac:dyDescent="0.35">
      <c r="A421" s="14" t="s">
        <v>1942</v>
      </c>
      <c r="B421" s="15" t="s">
        <v>4713</v>
      </c>
      <c r="C421" s="15" t="s">
        <v>5484</v>
      </c>
      <c r="D421" s="16" t="s">
        <v>5485</v>
      </c>
    </row>
    <row r="422" spans="1:4" x14ac:dyDescent="0.35">
      <c r="A422" s="11" t="s">
        <v>1941</v>
      </c>
      <c r="B422" s="12" t="s">
        <v>4716</v>
      </c>
      <c r="C422" s="12" t="s">
        <v>5486</v>
      </c>
      <c r="D422" s="13" t="s">
        <v>5487</v>
      </c>
    </row>
    <row r="423" spans="1:4" x14ac:dyDescent="0.35">
      <c r="A423" s="14" t="s">
        <v>1940</v>
      </c>
      <c r="B423" s="15" t="s">
        <v>4713</v>
      </c>
      <c r="C423" s="15" t="s">
        <v>4926</v>
      </c>
      <c r="D423" s="16" t="s">
        <v>5488</v>
      </c>
    </row>
    <row r="424" spans="1:4" x14ac:dyDescent="0.35">
      <c r="A424" s="11" t="s">
        <v>1939</v>
      </c>
      <c r="B424" s="12" t="s">
        <v>4713</v>
      </c>
      <c r="C424" s="12" t="s">
        <v>5489</v>
      </c>
      <c r="D424" s="13" t="s">
        <v>5490</v>
      </c>
    </row>
    <row r="425" spans="1:4" x14ac:dyDescent="0.35">
      <c r="A425" s="14" t="s">
        <v>1938</v>
      </c>
      <c r="B425" s="15" t="s">
        <v>4713</v>
      </c>
      <c r="C425" s="15" t="s">
        <v>5491</v>
      </c>
      <c r="D425" s="16" t="s">
        <v>5492</v>
      </c>
    </row>
    <row r="426" spans="1:4" x14ac:dyDescent="0.35">
      <c r="A426" s="11" t="s">
        <v>1937</v>
      </c>
      <c r="B426" s="12" t="s">
        <v>4716</v>
      </c>
      <c r="C426" s="12" t="s">
        <v>5493</v>
      </c>
      <c r="D426" s="13" t="s">
        <v>5475</v>
      </c>
    </row>
    <row r="427" spans="1:4" x14ac:dyDescent="0.35">
      <c r="A427" s="14" t="s">
        <v>1936</v>
      </c>
      <c r="B427" s="15" t="s">
        <v>4716</v>
      </c>
      <c r="C427" s="15" t="s">
        <v>5494</v>
      </c>
      <c r="D427" s="16" t="s">
        <v>5105</v>
      </c>
    </row>
    <row r="428" spans="1:4" x14ac:dyDescent="0.35">
      <c r="A428" s="11" t="s">
        <v>1935</v>
      </c>
      <c r="B428" s="12" t="s">
        <v>4713</v>
      </c>
      <c r="C428" s="12" t="s">
        <v>5495</v>
      </c>
      <c r="D428" s="13" t="s">
        <v>5496</v>
      </c>
    </row>
    <row r="429" spans="1:4" x14ac:dyDescent="0.35">
      <c r="A429" s="14" t="s">
        <v>1934</v>
      </c>
      <c r="B429" s="15" t="s">
        <v>4713</v>
      </c>
      <c r="C429" s="15" t="s">
        <v>5497</v>
      </c>
      <c r="D429" s="16" t="s">
        <v>5498</v>
      </c>
    </row>
    <row r="430" spans="1:4" x14ac:dyDescent="0.35">
      <c r="A430" s="11" t="s">
        <v>1933</v>
      </c>
      <c r="B430" s="12" t="s">
        <v>4713</v>
      </c>
      <c r="C430" s="12" t="s">
        <v>5499</v>
      </c>
      <c r="D430" s="13" t="s">
        <v>4869</v>
      </c>
    </row>
    <row r="431" spans="1:4" x14ac:dyDescent="0.35">
      <c r="A431" s="14" t="s">
        <v>1932</v>
      </c>
      <c r="B431" s="15" t="s">
        <v>4713</v>
      </c>
      <c r="C431" s="15" t="s">
        <v>5500</v>
      </c>
      <c r="D431" s="16" t="s">
        <v>5501</v>
      </c>
    </row>
    <row r="432" spans="1:4" x14ac:dyDescent="0.35">
      <c r="A432" s="11" t="s">
        <v>1931</v>
      </c>
      <c r="B432" s="12" t="s">
        <v>4713</v>
      </c>
      <c r="C432" s="12" t="s">
        <v>5502</v>
      </c>
      <c r="D432" s="13" t="s">
        <v>5503</v>
      </c>
    </row>
    <row r="433" spans="1:4" x14ac:dyDescent="0.35">
      <c r="A433" s="14" t="s">
        <v>1930</v>
      </c>
      <c r="B433" s="15" t="s">
        <v>4713</v>
      </c>
      <c r="C433" s="15" t="s">
        <v>5504</v>
      </c>
      <c r="D433" s="16" t="s">
        <v>5505</v>
      </c>
    </row>
    <row r="434" spans="1:4" x14ac:dyDescent="0.35">
      <c r="A434" s="11" t="s">
        <v>1929</v>
      </c>
      <c r="B434" s="12" t="s">
        <v>4716</v>
      </c>
      <c r="C434" s="12" t="s">
        <v>5506</v>
      </c>
      <c r="D434" s="13" t="s">
        <v>5461</v>
      </c>
    </row>
    <row r="435" spans="1:4" x14ac:dyDescent="0.35">
      <c r="A435" s="14" t="s">
        <v>1928</v>
      </c>
      <c r="B435" s="15" t="s">
        <v>4713</v>
      </c>
      <c r="C435" s="15" t="s">
        <v>5507</v>
      </c>
      <c r="D435" s="16" t="s">
        <v>4885</v>
      </c>
    </row>
    <row r="436" spans="1:4" x14ac:dyDescent="0.35">
      <c r="A436" s="11" t="s">
        <v>1927</v>
      </c>
      <c r="B436" s="12" t="s">
        <v>4716</v>
      </c>
      <c r="C436" s="12" t="s">
        <v>5508</v>
      </c>
      <c r="D436" s="13" t="s">
        <v>5509</v>
      </c>
    </row>
    <row r="437" spans="1:4" x14ac:dyDescent="0.35">
      <c r="A437" s="14" t="s">
        <v>1926</v>
      </c>
      <c r="B437" s="15" t="s">
        <v>4716</v>
      </c>
      <c r="C437" s="15" t="s">
        <v>5510</v>
      </c>
      <c r="D437" s="16" t="s">
        <v>5511</v>
      </c>
    </row>
    <row r="438" spans="1:4" x14ac:dyDescent="0.35">
      <c r="A438" s="11" t="s">
        <v>1925</v>
      </c>
      <c r="B438" s="12" t="s">
        <v>4716</v>
      </c>
      <c r="C438" s="12" t="s">
        <v>5512</v>
      </c>
      <c r="D438" s="13" t="s">
        <v>5513</v>
      </c>
    </row>
    <row r="439" spans="1:4" x14ac:dyDescent="0.35">
      <c r="A439" s="14" t="s">
        <v>1924</v>
      </c>
      <c r="B439" s="15" t="s">
        <v>4713</v>
      </c>
      <c r="C439" s="15" t="s">
        <v>5514</v>
      </c>
      <c r="D439" s="16" t="s">
        <v>5387</v>
      </c>
    </row>
    <row r="440" spans="1:4" x14ac:dyDescent="0.35">
      <c r="A440" s="11" t="s">
        <v>1923</v>
      </c>
      <c r="B440" s="12" t="s">
        <v>4716</v>
      </c>
      <c r="C440" s="12" t="s">
        <v>5515</v>
      </c>
      <c r="D440" s="13" t="s">
        <v>5516</v>
      </c>
    </row>
    <row r="441" spans="1:4" x14ac:dyDescent="0.35">
      <c r="A441" s="14" t="s">
        <v>1922</v>
      </c>
      <c r="B441" s="15" t="s">
        <v>4713</v>
      </c>
      <c r="C441" s="15" t="s">
        <v>5517</v>
      </c>
      <c r="D441" s="16" t="s">
        <v>5518</v>
      </c>
    </row>
    <row r="442" spans="1:4" x14ac:dyDescent="0.35">
      <c r="A442" s="11" t="s">
        <v>1921</v>
      </c>
      <c r="B442" s="12" t="s">
        <v>4713</v>
      </c>
      <c r="C442" s="12" t="s">
        <v>5519</v>
      </c>
      <c r="D442" s="13" t="s">
        <v>5520</v>
      </c>
    </row>
    <row r="443" spans="1:4" x14ac:dyDescent="0.35">
      <c r="A443" s="14" t="s">
        <v>1920</v>
      </c>
      <c r="B443" s="15" t="s">
        <v>4716</v>
      </c>
      <c r="C443" s="15" t="s">
        <v>5521</v>
      </c>
      <c r="D443" s="16" t="s">
        <v>5522</v>
      </c>
    </row>
    <row r="444" spans="1:4" x14ac:dyDescent="0.35">
      <c r="A444" s="11" t="s">
        <v>1919</v>
      </c>
      <c r="B444" s="12" t="s">
        <v>4716</v>
      </c>
      <c r="C444" s="12" t="s">
        <v>4848</v>
      </c>
      <c r="D444" s="13" t="s">
        <v>5523</v>
      </c>
    </row>
    <row r="445" spans="1:4" x14ac:dyDescent="0.35">
      <c r="A445" s="14" t="s">
        <v>1918</v>
      </c>
      <c r="B445" s="15" t="s">
        <v>4713</v>
      </c>
      <c r="C445" s="15" t="s">
        <v>5524</v>
      </c>
      <c r="D445" s="16" t="s">
        <v>5525</v>
      </c>
    </row>
    <row r="446" spans="1:4" x14ac:dyDescent="0.35">
      <c r="A446" s="11" t="s">
        <v>1917</v>
      </c>
      <c r="B446" s="12" t="s">
        <v>4713</v>
      </c>
      <c r="C446" s="12" t="s">
        <v>5526</v>
      </c>
      <c r="D446" s="13" t="s">
        <v>5527</v>
      </c>
    </row>
    <row r="447" spans="1:4" x14ac:dyDescent="0.35">
      <c r="A447" s="14" t="s">
        <v>1916</v>
      </c>
      <c r="B447" s="15" t="s">
        <v>4716</v>
      </c>
      <c r="C447" s="15" t="s">
        <v>5528</v>
      </c>
      <c r="D447" s="16" t="s">
        <v>5321</v>
      </c>
    </row>
    <row r="448" spans="1:4" x14ac:dyDescent="0.35">
      <c r="A448" s="11" t="s">
        <v>1915</v>
      </c>
      <c r="B448" s="12" t="s">
        <v>4713</v>
      </c>
      <c r="C448" s="12" t="s">
        <v>5529</v>
      </c>
      <c r="D448" s="13" t="s">
        <v>5530</v>
      </c>
    </row>
    <row r="449" spans="1:4" x14ac:dyDescent="0.35">
      <c r="A449" s="14" t="s">
        <v>1914</v>
      </c>
      <c r="B449" s="15" t="s">
        <v>4716</v>
      </c>
      <c r="C449" s="15" t="s">
        <v>5531</v>
      </c>
      <c r="D449" s="16" t="s">
        <v>5532</v>
      </c>
    </row>
    <row r="450" spans="1:4" x14ac:dyDescent="0.35">
      <c r="A450" s="11" t="s">
        <v>1913</v>
      </c>
      <c r="B450" s="12" t="s">
        <v>4716</v>
      </c>
      <c r="C450" s="12" t="s">
        <v>5533</v>
      </c>
      <c r="D450" s="13" t="s">
        <v>5534</v>
      </c>
    </row>
    <row r="451" spans="1:4" x14ac:dyDescent="0.35">
      <c r="A451" s="14" t="s">
        <v>1912</v>
      </c>
      <c r="B451" s="15" t="s">
        <v>4713</v>
      </c>
      <c r="C451" s="15" t="s">
        <v>5535</v>
      </c>
      <c r="D451" s="16" t="s">
        <v>5536</v>
      </c>
    </row>
    <row r="452" spans="1:4" x14ac:dyDescent="0.35">
      <c r="A452" s="11" t="s">
        <v>1911</v>
      </c>
      <c r="B452" s="12" t="s">
        <v>4713</v>
      </c>
      <c r="C452" s="12" t="s">
        <v>5359</v>
      </c>
      <c r="D452" s="13" t="s">
        <v>5537</v>
      </c>
    </row>
    <row r="453" spans="1:4" x14ac:dyDescent="0.35">
      <c r="A453" s="14" t="s">
        <v>1910</v>
      </c>
      <c r="B453" s="15" t="s">
        <v>4716</v>
      </c>
      <c r="C453" s="15" t="s">
        <v>4814</v>
      </c>
      <c r="D453" s="16" t="s">
        <v>5538</v>
      </c>
    </row>
    <row r="454" spans="1:4" x14ac:dyDescent="0.35">
      <c r="A454" s="11" t="s">
        <v>1909</v>
      </c>
      <c r="B454" s="12" t="s">
        <v>4713</v>
      </c>
      <c r="C454" s="12" t="s">
        <v>5539</v>
      </c>
      <c r="D454" s="13" t="s">
        <v>5540</v>
      </c>
    </row>
    <row r="455" spans="1:4" x14ac:dyDescent="0.35">
      <c r="A455" s="14" t="s">
        <v>1908</v>
      </c>
      <c r="B455" s="15" t="s">
        <v>4716</v>
      </c>
      <c r="C455" s="15" t="s">
        <v>5541</v>
      </c>
      <c r="D455" s="16" t="s">
        <v>4970</v>
      </c>
    </row>
    <row r="456" spans="1:4" x14ac:dyDescent="0.35">
      <c r="A456" s="11" t="s">
        <v>1907</v>
      </c>
      <c r="B456" s="12" t="s">
        <v>4716</v>
      </c>
      <c r="C456" s="12" t="s">
        <v>5542</v>
      </c>
      <c r="D456" s="13" t="s">
        <v>4728</v>
      </c>
    </row>
    <row r="457" spans="1:4" x14ac:dyDescent="0.35">
      <c r="A457" s="14" t="s">
        <v>1906</v>
      </c>
      <c r="B457" s="15" t="s">
        <v>4716</v>
      </c>
      <c r="C457" s="15" t="s">
        <v>5543</v>
      </c>
      <c r="D457" s="16" t="s">
        <v>5544</v>
      </c>
    </row>
    <row r="458" spans="1:4" x14ac:dyDescent="0.35">
      <c r="A458" s="11" t="s">
        <v>1905</v>
      </c>
      <c r="B458" s="12" t="s">
        <v>4716</v>
      </c>
      <c r="C458" s="12" t="s">
        <v>5545</v>
      </c>
      <c r="D458" s="13" t="s">
        <v>5254</v>
      </c>
    </row>
    <row r="459" spans="1:4" x14ac:dyDescent="0.35">
      <c r="A459" s="14" t="s">
        <v>1904</v>
      </c>
      <c r="B459" s="15" t="s">
        <v>4716</v>
      </c>
      <c r="C459" s="15" t="s">
        <v>5546</v>
      </c>
      <c r="D459" s="16" t="s">
        <v>5547</v>
      </c>
    </row>
    <row r="460" spans="1:4" x14ac:dyDescent="0.35">
      <c r="A460" s="11" t="s">
        <v>1903</v>
      </c>
      <c r="B460" s="12" t="s">
        <v>4713</v>
      </c>
      <c r="C460" s="12" t="s">
        <v>5548</v>
      </c>
      <c r="D460" s="13" t="s">
        <v>5549</v>
      </c>
    </row>
    <row r="461" spans="1:4" x14ac:dyDescent="0.35">
      <c r="A461" s="14" t="s">
        <v>1902</v>
      </c>
      <c r="B461" s="15" t="s">
        <v>4716</v>
      </c>
      <c r="C461" s="15" t="s">
        <v>4838</v>
      </c>
      <c r="D461" s="16" t="s">
        <v>5550</v>
      </c>
    </row>
    <row r="462" spans="1:4" x14ac:dyDescent="0.35">
      <c r="A462" s="11" t="s">
        <v>1901</v>
      </c>
      <c r="B462" s="12" t="s">
        <v>4713</v>
      </c>
      <c r="C462" s="12" t="s">
        <v>5264</v>
      </c>
      <c r="D462" s="13" t="s">
        <v>5551</v>
      </c>
    </row>
    <row r="463" spans="1:4" x14ac:dyDescent="0.35">
      <c r="A463" s="14" t="s">
        <v>1900</v>
      </c>
      <c r="B463" s="15" t="s">
        <v>4713</v>
      </c>
      <c r="C463" s="15" t="s">
        <v>4870</v>
      </c>
      <c r="D463" s="16" t="s">
        <v>4826</v>
      </c>
    </row>
    <row r="464" spans="1:4" x14ac:dyDescent="0.35">
      <c r="A464" s="11" t="s">
        <v>1899</v>
      </c>
      <c r="B464" s="12" t="s">
        <v>4713</v>
      </c>
      <c r="C464" s="12" t="s">
        <v>5552</v>
      </c>
      <c r="D464" s="13" t="s">
        <v>5553</v>
      </c>
    </row>
    <row r="465" spans="1:4" x14ac:dyDescent="0.35">
      <c r="A465" s="14" t="s">
        <v>1898</v>
      </c>
      <c r="B465" s="15" t="s">
        <v>4716</v>
      </c>
      <c r="C465" s="15" t="s">
        <v>5554</v>
      </c>
      <c r="D465" s="16" t="s">
        <v>5555</v>
      </c>
    </row>
    <row r="466" spans="1:4" x14ac:dyDescent="0.35">
      <c r="A466" s="11" t="s">
        <v>1897</v>
      </c>
      <c r="B466" s="12" t="s">
        <v>4713</v>
      </c>
      <c r="C466" s="12" t="s">
        <v>5556</v>
      </c>
      <c r="D466" s="13" t="s">
        <v>4863</v>
      </c>
    </row>
    <row r="467" spans="1:4" x14ac:dyDescent="0.35">
      <c r="A467" s="14" t="s">
        <v>1896</v>
      </c>
      <c r="B467" s="15" t="s">
        <v>4716</v>
      </c>
      <c r="C467" s="15" t="s">
        <v>5557</v>
      </c>
      <c r="D467" s="16" t="s">
        <v>5558</v>
      </c>
    </row>
    <row r="468" spans="1:4" x14ac:dyDescent="0.35">
      <c r="A468" s="11" t="s">
        <v>1895</v>
      </c>
      <c r="B468" s="12" t="s">
        <v>4716</v>
      </c>
      <c r="C468" s="12" t="s">
        <v>4844</v>
      </c>
      <c r="D468" s="13" t="s">
        <v>5559</v>
      </c>
    </row>
    <row r="469" spans="1:4" x14ac:dyDescent="0.35">
      <c r="A469" s="14" t="s">
        <v>1894</v>
      </c>
      <c r="B469" s="15" t="s">
        <v>4713</v>
      </c>
      <c r="C469" s="15" t="s">
        <v>5560</v>
      </c>
      <c r="D469" s="16" t="s">
        <v>5561</v>
      </c>
    </row>
    <row r="470" spans="1:4" x14ac:dyDescent="0.35">
      <c r="A470" s="11" t="s">
        <v>1893</v>
      </c>
      <c r="B470" s="12" t="s">
        <v>4713</v>
      </c>
      <c r="C470" s="12" t="s">
        <v>5562</v>
      </c>
      <c r="D470" s="13" t="s">
        <v>5563</v>
      </c>
    </row>
    <row r="471" spans="1:4" x14ac:dyDescent="0.35">
      <c r="A471" s="14" t="s">
        <v>1892</v>
      </c>
      <c r="B471" s="15" t="s">
        <v>4716</v>
      </c>
      <c r="C471" s="15" t="s">
        <v>5564</v>
      </c>
      <c r="D471" s="16" t="s">
        <v>5565</v>
      </c>
    </row>
    <row r="472" spans="1:4" x14ac:dyDescent="0.35">
      <c r="A472" s="11" t="s">
        <v>1891</v>
      </c>
      <c r="B472" s="12" t="s">
        <v>4716</v>
      </c>
      <c r="C472" s="12" t="s">
        <v>5566</v>
      </c>
      <c r="D472" s="13" t="s">
        <v>5567</v>
      </c>
    </row>
    <row r="473" spans="1:4" x14ac:dyDescent="0.35">
      <c r="A473" s="14" t="s">
        <v>1890</v>
      </c>
      <c r="B473" s="15" t="s">
        <v>4716</v>
      </c>
      <c r="C473" s="15" t="s">
        <v>5568</v>
      </c>
      <c r="D473" s="16" t="s">
        <v>5140</v>
      </c>
    </row>
    <row r="474" spans="1:4" x14ac:dyDescent="0.35">
      <c r="A474" s="11" t="s">
        <v>1889</v>
      </c>
      <c r="B474" s="12" t="s">
        <v>4716</v>
      </c>
      <c r="C474" s="12" t="s">
        <v>5175</v>
      </c>
      <c r="D474" s="13" t="s">
        <v>5569</v>
      </c>
    </row>
    <row r="475" spans="1:4" x14ac:dyDescent="0.35">
      <c r="A475" s="14" t="s">
        <v>1888</v>
      </c>
      <c r="B475" s="15" t="s">
        <v>4716</v>
      </c>
      <c r="C475" s="15" t="s">
        <v>5570</v>
      </c>
      <c r="D475" s="16" t="s">
        <v>4738</v>
      </c>
    </row>
    <row r="476" spans="1:4" x14ac:dyDescent="0.35">
      <c r="A476" s="11" t="s">
        <v>1887</v>
      </c>
      <c r="B476" s="12" t="s">
        <v>4716</v>
      </c>
      <c r="C476" s="12" t="s">
        <v>5571</v>
      </c>
      <c r="D476" s="13" t="s">
        <v>5572</v>
      </c>
    </row>
    <row r="477" spans="1:4" x14ac:dyDescent="0.35">
      <c r="A477" s="14" t="s">
        <v>1885</v>
      </c>
      <c r="B477" s="15" t="s">
        <v>4716</v>
      </c>
      <c r="C477" s="15" t="s">
        <v>5573</v>
      </c>
      <c r="D477" s="16" t="s">
        <v>5574</v>
      </c>
    </row>
    <row r="478" spans="1:4" x14ac:dyDescent="0.35">
      <c r="A478" s="11" t="s">
        <v>1884</v>
      </c>
      <c r="B478" s="12" t="s">
        <v>4713</v>
      </c>
      <c r="C478" s="12" t="s">
        <v>5575</v>
      </c>
      <c r="D478" s="13" t="s">
        <v>5576</v>
      </c>
    </row>
    <row r="479" spans="1:4" x14ac:dyDescent="0.35">
      <c r="A479" s="14" t="s">
        <v>1883</v>
      </c>
      <c r="B479" s="15" t="s">
        <v>4716</v>
      </c>
      <c r="C479" s="15" t="s">
        <v>5577</v>
      </c>
      <c r="D479" s="16" t="s">
        <v>5578</v>
      </c>
    </row>
    <row r="480" spans="1:4" x14ac:dyDescent="0.35">
      <c r="A480" s="11" t="s">
        <v>1882</v>
      </c>
      <c r="B480" s="12" t="s">
        <v>4716</v>
      </c>
      <c r="C480" s="12" t="s">
        <v>5579</v>
      </c>
      <c r="D480" s="13" t="s">
        <v>5580</v>
      </c>
    </row>
    <row r="481" spans="1:4" x14ac:dyDescent="0.35">
      <c r="A481" s="14" t="s">
        <v>1881</v>
      </c>
      <c r="B481" s="15" t="s">
        <v>4716</v>
      </c>
      <c r="C481" s="15" t="s">
        <v>5581</v>
      </c>
      <c r="D481" s="16" t="s">
        <v>5582</v>
      </c>
    </row>
    <row r="482" spans="1:4" x14ac:dyDescent="0.35">
      <c r="A482" s="11" t="s">
        <v>1880</v>
      </c>
      <c r="B482" s="12" t="s">
        <v>4716</v>
      </c>
      <c r="C482" s="12" t="s">
        <v>5583</v>
      </c>
      <c r="D482" s="13" t="s">
        <v>5064</v>
      </c>
    </row>
    <row r="483" spans="1:4" x14ac:dyDescent="0.35">
      <c r="A483" s="14" t="s">
        <v>1879</v>
      </c>
      <c r="B483" s="15" t="s">
        <v>4716</v>
      </c>
      <c r="C483" s="15" t="s">
        <v>5584</v>
      </c>
      <c r="D483" s="16" t="s">
        <v>5585</v>
      </c>
    </row>
    <row r="484" spans="1:4" x14ac:dyDescent="0.35">
      <c r="A484" s="11" t="s">
        <v>1878</v>
      </c>
      <c r="B484" s="12" t="s">
        <v>4713</v>
      </c>
      <c r="C484" s="12" t="s">
        <v>5586</v>
      </c>
      <c r="D484" s="13" t="s">
        <v>5587</v>
      </c>
    </row>
    <row r="485" spans="1:4" x14ac:dyDescent="0.35">
      <c r="A485" s="14" t="s">
        <v>1877</v>
      </c>
      <c r="B485" s="15" t="s">
        <v>4713</v>
      </c>
      <c r="C485" s="15" t="s">
        <v>4965</v>
      </c>
      <c r="D485" s="16" t="s">
        <v>5588</v>
      </c>
    </row>
    <row r="486" spans="1:4" x14ac:dyDescent="0.35">
      <c r="A486" s="11" t="s">
        <v>1876</v>
      </c>
      <c r="B486" s="12" t="s">
        <v>4716</v>
      </c>
      <c r="C486" s="12" t="s">
        <v>5589</v>
      </c>
      <c r="D486" s="13" t="s">
        <v>5014</v>
      </c>
    </row>
    <row r="487" spans="1:4" x14ac:dyDescent="0.35">
      <c r="A487" s="14" t="s">
        <v>1875</v>
      </c>
      <c r="B487" s="15" t="s">
        <v>4716</v>
      </c>
      <c r="C487" s="15" t="s">
        <v>5322</v>
      </c>
      <c r="D487" s="16" t="s">
        <v>4851</v>
      </c>
    </row>
    <row r="488" spans="1:4" x14ac:dyDescent="0.35">
      <c r="A488" s="11" t="s">
        <v>1874</v>
      </c>
      <c r="B488" s="12" t="s">
        <v>5590</v>
      </c>
      <c r="C488" s="12" t="s">
        <v>5591</v>
      </c>
      <c r="D488" s="13" t="s">
        <v>5592</v>
      </c>
    </row>
    <row r="489" spans="1:4" x14ac:dyDescent="0.35">
      <c r="A489" s="14" t="s">
        <v>1873</v>
      </c>
      <c r="B489" s="15" t="s">
        <v>4713</v>
      </c>
      <c r="C489" s="15" t="s">
        <v>5593</v>
      </c>
      <c r="D489" s="16" t="s">
        <v>5594</v>
      </c>
    </row>
    <row r="490" spans="1:4" x14ac:dyDescent="0.35">
      <c r="A490" s="11" t="s">
        <v>1872</v>
      </c>
      <c r="B490" s="12" t="s">
        <v>4716</v>
      </c>
      <c r="C490" s="12" t="s">
        <v>5595</v>
      </c>
      <c r="D490" s="13" t="s">
        <v>4972</v>
      </c>
    </row>
    <row r="491" spans="1:4" x14ac:dyDescent="0.35">
      <c r="A491" s="14" t="s">
        <v>1871</v>
      </c>
      <c r="B491" s="15" t="s">
        <v>4716</v>
      </c>
      <c r="C491" s="15" t="s">
        <v>5596</v>
      </c>
      <c r="D491" s="16" t="s">
        <v>4728</v>
      </c>
    </row>
    <row r="492" spans="1:4" x14ac:dyDescent="0.35">
      <c r="A492" s="11" t="s">
        <v>1870</v>
      </c>
      <c r="B492" s="12" t="s">
        <v>4713</v>
      </c>
      <c r="C492" s="12" t="s">
        <v>5597</v>
      </c>
      <c r="D492" s="13" t="s">
        <v>5598</v>
      </c>
    </row>
    <row r="493" spans="1:4" x14ac:dyDescent="0.35">
      <c r="A493" s="14" t="s">
        <v>1869</v>
      </c>
      <c r="B493" s="15" t="s">
        <v>4713</v>
      </c>
      <c r="C493" s="15" t="s">
        <v>5599</v>
      </c>
      <c r="D493" s="16" t="s">
        <v>5600</v>
      </c>
    </row>
    <row r="494" spans="1:4" x14ac:dyDescent="0.35">
      <c r="A494" s="11" t="s">
        <v>1868</v>
      </c>
      <c r="B494" s="12" t="s">
        <v>4713</v>
      </c>
      <c r="C494" s="12" t="s">
        <v>5601</v>
      </c>
      <c r="D494" s="13" t="s">
        <v>5281</v>
      </c>
    </row>
    <row r="495" spans="1:4" x14ac:dyDescent="0.35">
      <c r="A495" s="14" t="s">
        <v>1867</v>
      </c>
      <c r="B495" s="15" t="s">
        <v>4716</v>
      </c>
      <c r="C495" s="15" t="s">
        <v>5602</v>
      </c>
      <c r="D495" s="16" t="s">
        <v>5603</v>
      </c>
    </row>
    <row r="496" spans="1:4" x14ac:dyDescent="0.35">
      <c r="A496" s="11" t="s">
        <v>1866</v>
      </c>
      <c r="B496" s="12" t="s">
        <v>4716</v>
      </c>
      <c r="C496" s="12" t="s">
        <v>5583</v>
      </c>
      <c r="D496" s="13" t="s">
        <v>5604</v>
      </c>
    </row>
    <row r="497" spans="1:4" x14ac:dyDescent="0.35">
      <c r="A497" s="14" t="s">
        <v>1865</v>
      </c>
      <c r="B497" s="15" t="s">
        <v>5590</v>
      </c>
      <c r="C497" s="15" t="s">
        <v>5605</v>
      </c>
      <c r="D497" s="16" t="s">
        <v>4903</v>
      </c>
    </row>
    <row r="498" spans="1:4" x14ac:dyDescent="0.35">
      <c r="A498" s="11" t="s">
        <v>1864</v>
      </c>
      <c r="B498" s="12" t="s">
        <v>4713</v>
      </c>
      <c r="C498" s="12" t="s">
        <v>5606</v>
      </c>
      <c r="D498" s="13" t="s">
        <v>5607</v>
      </c>
    </row>
    <row r="499" spans="1:4" x14ac:dyDescent="0.35">
      <c r="A499" s="14" t="s">
        <v>1863</v>
      </c>
      <c r="B499" s="15" t="s">
        <v>4716</v>
      </c>
      <c r="C499" s="15" t="s">
        <v>5608</v>
      </c>
      <c r="D499" s="16" t="s">
        <v>5140</v>
      </c>
    </row>
    <row r="500" spans="1:4" x14ac:dyDescent="0.35">
      <c r="A500" s="11" t="s">
        <v>1862</v>
      </c>
      <c r="B500" s="12" t="s">
        <v>4713</v>
      </c>
      <c r="C500" s="12" t="s">
        <v>5609</v>
      </c>
      <c r="D500" s="13" t="s">
        <v>5610</v>
      </c>
    </row>
    <row r="501" spans="1:4" x14ac:dyDescent="0.35">
      <c r="A501" s="14" t="s">
        <v>1861</v>
      </c>
      <c r="B501" s="15" t="s">
        <v>4713</v>
      </c>
      <c r="C501" s="15" t="s">
        <v>5611</v>
      </c>
      <c r="D501" s="16" t="s">
        <v>4903</v>
      </c>
    </row>
    <row r="502" spans="1:4" x14ac:dyDescent="0.35">
      <c r="A502" s="11" t="s">
        <v>1860</v>
      </c>
      <c r="B502" s="12" t="s">
        <v>4716</v>
      </c>
      <c r="C502" s="12" t="s">
        <v>5612</v>
      </c>
      <c r="D502" s="13" t="s">
        <v>5613</v>
      </c>
    </row>
    <row r="503" spans="1:4" x14ac:dyDescent="0.35">
      <c r="A503" s="14" t="s">
        <v>1859</v>
      </c>
      <c r="B503" s="15" t="s">
        <v>4716</v>
      </c>
      <c r="C503" s="15" t="s">
        <v>4848</v>
      </c>
      <c r="D503" s="16" t="s">
        <v>5614</v>
      </c>
    </row>
    <row r="504" spans="1:4" x14ac:dyDescent="0.35">
      <c r="A504" s="11" t="s">
        <v>1858</v>
      </c>
      <c r="B504" s="12" t="s">
        <v>4713</v>
      </c>
      <c r="C504" s="12" t="s">
        <v>5615</v>
      </c>
      <c r="D504" s="13" t="s">
        <v>5616</v>
      </c>
    </row>
    <row r="505" spans="1:4" x14ac:dyDescent="0.35">
      <c r="A505" s="14" t="s">
        <v>1857</v>
      </c>
      <c r="B505" s="15" t="s">
        <v>4713</v>
      </c>
      <c r="C505" s="15" t="s">
        <v>5617</v>
      </c>
      <c r="D505" s="16" t="s">
        <v>5618</v>
      </c>
    </row>
    <row r="506" spans="1:4" x14ac:dyDescent="0.35">
      <c r="A506" s="11" t="s">
        <v>1856</v>
      </c>
      <c r="B506" s="12" t="s">
        <v>4713</v>
      </c>
      <c r="C506" s="12" t="s">
        <v>5619</v>
      </c>
      <c r="D506" s="13" t="s">
        <v>4869</v>
      </c>
    </row>
    <row r="507" spans="1:4" x14ac:dyDescent="0.35">
      <c r="A507" s="14" t="s">
        <v>1855</v>
      </c>
      <c r="B507" s="15" t="s">
        <v>4713</v>
      </c>
      <c r="C507" s="15" t="s">
        <v>5620</v>
      </c>
      <c r="D507" s="16" t="s">
        <v>5621</v>
      </c>
    </row>
    <row r="508" spans="1:4" x14ac:dyDescent="0.35">
      <c r="A508" s="11" t="s">
        <v>1854</v>
      </c>
      <c r="B508" s="12" t="s">
        <v>4716</v>
      </c>
      <c r="C508" s="12" t="s">
        <v>5622</v>
      </c>
      <c r="D508" s="13" t="s">
        <v>5623</v>
      </c>
    </row>
    <row r="509" spans="1:4" x14ac:dyDescent="0.35">
      <c r="A509" s="14" t="s">
        <v>1853</v>
      </c>
      <c r="B509" s="15" t="s">
        <v>4716</v>
      </c>
      <c r="C509" s="15" t="s">
        <v>5624</v>
      </c>
      <c r="D509" s="16" t="s">
        <v>5625</v>
      </c>
    </row>
    <row r="510" spans="1:4" x14ac:dyDescent="0.35">
      <c r="A510" s="11" t="s">
        <v>1852</v>
      </c>
      <c r="B510" s="12" t="s">
        <v>4713</v>
      </c>
      <c r="C510" s="12" t="s">
        <v>5626</v>
      </c>
      <c r="D510" s="13" t="s">
        <v>5627</v>
      </c>
    </row>
    <row r="511" spans="1:4" x14ac:dyDescent="0.35">
      <c r="A511" s="14" t="s">
        <v>1851</v>
      </c>
      <c r="B511" s="15" t="s">
        <v>4716</v>
      </c>
      <c r="C511" s="15" t="s">
        <v>5628</v>
      </c>
      <c r="D511" s="16" t="s">
        <v>5629</v>
      </c>
    </row>
    <row r="512" spans="1:4" x14ac:dyDescent="0.35">
      <c r="A512" s="11" t="s">
        <v>1850</v>
      </c>
      <c r="B512" s="12" t="s">
        <v>4716</v>
      </c>
      <c r="C512" s="12" t="s">
        <v>5630</v>
      </c>
      <c r="D512" s="13" t="s">
        <v>5378</v>
      </c>
    </row>
    <row r="513" spans="1:4" x14ac:dyDescent="0.35">
      <c r="A513" s="14" t="s">
        <v>1849</v>
      </c>
      <c r="B513" s="15" t="s">
        <v>4716</v>
      </c>
      <c r="C513" s="15" t="s">
        <v>5631</v>
      </c>
      <c r="D513" s="16" t="s">
        <v>5014</v>
      </c>
    </row>
    <row r="514" spans="1:4" x14ac:dyDescent="0.35">
      <c r="A514" s="11" t="s">
        <v>1848</v>
      </c>
      <c r="B514" s="12" t="s">
        <v>4716</v>
      </c>
      <c r="C514" s="12" t="s">
        <v>5632</v>
      </c>
      <c r="D514" s="13" t="s">
        <v>5633</v>
      </c>
    </row>
    <row r="515" spans="1:4" x14ac:dyDescent="0.35">
      <c r="A515" s="14" t="s">
        <v>1847</v>
      </c>
      <c r="B515" s="15" t="s">
        <v>4713</v>
      </c>
      <c r="C515" s="15" t="s">
        <v>5634</v>
      </c>
      <c r="D515" s="16" t="s">
        <v>5635</v>
      </c>
    </row>
    <row r="516" spans="1:4" x14ac:dyDescent="0.35">
      <c r="A516" s="11" t="s">
        <v>1846</v>
      </c>
      <c r="B516" s="12" t="s">
        <v>4716</v>
      </c>
      <c r="C516" s="12" t="s">
        <v>5636</v>
      </c>
      <c r="D516" s="13" t="s">
        <v>5637</v>
      </c>
    </row>
    <row r="517" spans="1:4" x14ac:dyDescent="0.35">
      <c r="A517" s="14" t="s">
        <v>1845</v>
      </c>
      <c r="B517" s="15" t="s">
        <v>4716</v>
      </c>
      <c r="C517" s="15" t="s">
        <v>5638</v>
      </c>
      <c r="D517" s="16" t="s">
        <v>4843</v>
      </c>
    </row>
    <row r="518" spans="1:4" x14ac:dyDescent="0.35">
      <c r="A518" s="11" t="s">
        <v>1844</v>
      </c>
      <c r="B518" s="12" t="s">
        <v>4713</v>
      </c>
      <c r="C518" s="12" t="s">
        <v>5639</v>
      </c>
      <c r="D518" s="13" t="s">
        <v>4924</v>
      </c>
    </row>
    <row r="519" spans="1:4" x14ac:dyDescent="0.35">
      <c r="A519" s="14" t="s">
        <v>1843</v>
      </c>
      <c r="B519" s="15" t="s">
        <v>4713</v>
      </c>
      <c r="C519" s="15" t="s">
        <v>5640</v>
      </c>
      <c r="D519" s="16" t="s">
        <v>5610</v>
      </c>
    </row>
    <row r="520" spans="1:4" x14ac:dyDescent="0.35">
      <c r="A520" s="11" t="s">
        <v>1842</v>
      </c>
      <c r="B520" s="12" t="s">
        <v>4716</v>
      </c>
      <c r="C520" s="12" t="s">
        <v>5641</v>
      </c>
      <c r="D520" s="13" t="s">
        <v>5449</v>
      </c>
    </row>
    <row r="521" spans="1:4" x14ac:dyDescent="0.35">
      <c r="A521" s="14" t="s">
        <v>1841</v>
      </c>
      <c r="B521" s="15" t="s">
        <v>4713</v>
      </c>
      <c r="C521" s="15" t="s">
        <v>5642</v>
      </c>
      <c r="D521" s="16" t="s">
        <v>5643</v>
      </c>
    </row>
    <row r="522" spans="1:4" x14ac:dyDescent="0.35">
      <c r="A522" s="11" t="s">
        <v>1840</v>
      </c>
      <c r="B522" s="12" t="s">
        <v>4716</v>
      </c>
      <c r="C522" s="12" t="s">
        <v>5644</v>
      </c>
      <c r="D522" s="13" t="s">
        <v>5645</v>
      </c>
    </row>
    <row r="523" spans="1:4" x14ac:dyDescent="0.35">
      <c r="A523" s="14" t="s">
        <v>1839</v>
      </c>
      <c r="B523" s="15" t="s">
        <v>4716</v>
      </c>
      <c r="C523" s="15" t="s">
        <v>5646</v>
      </c>
      <c r="D523" s="16" t="s">
        <v>4766</v>
      </c>
    </row>
    <row r="524" spans="1:4" x14ac:dyDescent="0.35">
      <c r="A524" s="11" t="s">
        <v>1838</v>
      </c>
      <c r="B524" s="12" t="s">
        <v>4713</v>
      </c>
      <c r="C524" s="12" t="s">
        <v>5647</v>
      </c>
      <c r="D524" s="13" t="s">
        <v>5648</v>
      </c>
    </row>
    <row r="525" spans="1:4" x14ac:dyDescent="0.35">
      <c r="A525" s="14" t="s">
        <v>1837</v>
      </c>
      <c r="B525" s="15" t="s">
        <v>5590</v>
      </c>
      <c r="C525" s="15" t="s">
        <v>5649</v>
      </c>
      <c r="D525" s="16" t="s">
        <v>5650</v>
      </c>
    </row>
    <row r="526" spans="1:4" x14ac:dyDescent="0.35">
      <c r="A526" s="11" t="s">
        <v>1836</v>
      </c>
      <c r="B526" s="12" t="s">
        <v>4713</v>
      </c>
      <c r="C526" s="12" t="s">
        <v>5651</v>
      </c>
      <c r="D526" s="13" t="s">
        <v>5652</v>
      </c>
    </row>
    <row r="527" spans="1:4" x14ac:dyDescent="0.35">
      <c r="A527" s="14" t="s">
        <v>1835</v>
      </c>
      <c r="B527" s="15" t="s">
        <v>4713</v>
      </c>
      <c r="C527" s="15" t="s">
        <v>5653</v>
      </c>
      <c r="D527" s="16" t="s">
        <v>5076</v>
      </c>
    </row>
    <row r="528" spans="1:4" x14ac:dyDescent="0.35">
      <c r="A528" s="11" t="s">
        <v>1834</v>
      </c>
      <c r="B528" s="12" t="s">
        <v>5590</v>
      </c>
      <c r="C528" s="12" t="s">
        <v>5654</v>
      </c>
      <c r="D528" s="13" t="s">
        <v>5655</v>
      </c>
    </row>
    <row r="529" spans="1:4" x14ac:dyDescent="0.35">
      <c r="A529" s="14" t="s">
        <v>1833</v>
      </c>
      <c r="B529" s="15" t="s">
        <v>4713</v>
      </c>
      <c r="C529" s="15" t="s">
        <v>5656</v>
      </c>
      <c r="D529" s="16" t="s">
        <v>4826</v>
      </c>
    </row>
    <row r="530" spans="1:4" x14ac:dyDescent="0.35">
      <c r="A530" s="11" t="s">
        <v>1832</v>
      </c>
      <c r="B530" s="12" t="s">
        <v>4716</v>
      </c>
      <c r="C530" s="12" t="s">
        <v>5657</v>
      </c>
      <c r="D530" s="13" t="s">
        <v>5196</v>
      </c>
    </row>
    <row r="531" spans="1:4" x14ac:dyDescent="0.35">
      <c r="A531" s="14" t="s">
        <v>1831</v>
      </c>
      <c r="B531" s="15" t="s">
        <v>4716</v>
      </c>
      <c r="C531" s="15" t="s">
        <v>5658</v>
      </c>
      <c r="D531" s="16" t="s">
        <v>5659</v>
      </c>
    </row>
    <row r="532" spans="1:4" x14ac:dyDescent="0.35">
      <c r="A532" s="11" t="s">
        <v>1830</v>
      </c>
      <c r="B532" s="12" t="s">
        <v>4713</v>
      </c>
      <c r="C532" s="12" t="s">
        <v>5660</v>
      </c>
      <c r="D532" s="13" t="s">
        <v>5661</v>
      </c>
    </row>
    <row r="533" spans="1:4" x14ac:dyDescent="0.35">
      <c r="A533" s="14" t="s">
        <v>1829</v>
      </c>
      <c r="B533" s="15" t="s">
        <v>4716</v>
      </c>
      <c r="C533" s="15" t="s">
        <v>5662</v>
      </c>
      <c r="D533" s="16" t="s">
        <v>4994</v>
      </c>
    </row>
    <row r="534" spans="1:4" x14ac:dyDescent="0.35">
      <c r="A534" s="11" t="s">
        <v>1828</v>
      </c>
      <c r="B534" s="12" t="s">
        <v>4713</v>
      </c>
      <c r="C534" s="12" t="s">
        <v>5663</v>
      </c>
      <c r="D534" s="13" t="s">
        <v>5664</v>
      </c>
    </row>
    <row r="535" spans="1:4" x14ac:dyDescent="0.35">
      <c r="A535" s="14" t="s">
        <v>1827</v>
      </c>
      <c r="B535" s="15" t="s">
        <v>4716</v>
      </c>
      <c r="C535" s="15" t="s">
        <v>5665</v>
      </c>
      <c r="D535" s="16" t="s">
        <v>5625</v>
      </c>
    </row>
    <row r="536" spans="1:4" x14ac:dyDescent="0.35">
      <c r="A536" s="11" t="s">
        <v>1826</v>
      </c>
      <c r="B536" s="12" t="s">
        <v>4713</v>
      </c>
      <c r="C536" s="12" t="s">
        <v>5666</v>
      </c>
      <c r="D536" s="13" t="s">
        <v>5667</v>
      </c>
    </row>
    <row r="537" spans="1:4" x14ac:dyDescent="0.35">
      <c r="A537" s="14" t="s">
        <v>1825</v>
      </c>
      <c r="B537" s="15" t="s">
        <v>4716</v>
      </c>
      <c r="C537" s="15" t="s">
        <v>4848</v>
      </c>
      <c r="D537" s="16" t="s">
        <v>5668</v>
      </c>
    </row>
    <row r="538" spans="1:4" x14ac:dyDescent="0.35">
      <c r="A538" s="11" t="s">
        <v>1824</v>
      </c>
      <c r="B538" s="12" t="s">
        <v>4713</v>
      </c>
      <c r="C538" s="12" t="s">
        <v>5669</v>
      </c>
      <c r="D538" s="13" t="s">
        <v>5670</v>
      </c>
    </row>
    <row r="539" spans="1:4" x14ac:dyDescent="0.35">
      <c r="A539" s="14" t="s">
        <v>1823</v>
      </c>
      <c r="B539" s="15" t="s">
        <v>4713</v>
      </c>
      <c r="C539" s="15" t="s">
        <v>5671</v>
      </c>
      <c r="D539" s="16" t="s">
        <v>5672</v>
      </c>
    </row>
    <row r="540" spans="1:4" x14ac:dyDescent="0.35">
      <c r="A540" s="11" t="s">
        <v>1822</v>
      </c>
      <c r="B540" s="12" t="s">
        <v>4713</v>
      </c>
      <c r="C540" s="12" t="s">
        <v>5673</v>
      </c>
      <c r="D540" s="13" t="s">
        <v>5661</v>
      </c>
    </row>
    <row r="541" spans="1:4" x14ac:dyDescent="0.35">
      <c r="A541" s="14" t="s">
        <v>1821</v>
      </c>
      <c r="B541" s="15" t="s">
        <v>4716</v>
      </c>
      <c r="C541" s="15" t="s">
        <v>5674</v>
      </c>
      <c r="D541" s="16" t="s">
        <v>4843</v>
      </c>
    </row>
    <row r="542" spans="1:4" x14ac:dyDescent="0.35">
      <c r="A542" s="11" t="s">
        <v>1820</v>
      </c>
      <c r="B542" s="12" t="s">
        <v>4716</v>
      </c>
      <c r="C542" s="12" t="s">
        <v>5675</v>
      </c>
      <c r="D542" s="13" t="s">
        <v>5676</v>
      </c>
    </row>
    <row r="543" spans="1:4" x14ac:dyDescent="0.35">
      <c r="A543" s="14" t="s">
        <v>1819</v>
      </c>
      <c r="B543" s="15" t="s">
        <v>4716</v>
      </c>
      <c r="C543" s="15" t="s">
        <v>5677</v>
      </c>
      <c r="D543" s="16" t="s">
        <v>5678</v>
      </c>
    </row>
    <row r="544" spans="1:4" x14ac:dyDescent="0.35">
      <c r="A544" s="11" t="s">
        <v>1818</v>
      </c>
      <c r="B544" s="12" t="s">
        <v>4713</v>
      </c>
      <c r="C544" s="12" t="s">
        <v>5679</v>
      </c>
      <c r="D544" s="13" t="s">
        <v>5148</v>
      </c>
    </row>
    <row r="545" spans="1:4" x14ac:dyDescent="0.35">
      <c r="A545" s="14" t="s">
        <v>1817</v>
      </c>
      <c r="B545" s="15" t="s">
        <v>4713</v>
      </c>
      <c r="C545" s="15" t="s">
        <v>5680</v>
      </c>
      <c r="D545" s="16" t="s">
        <v>5681</v>
      </c>
    </row>
    <row r="546" spans="1:4" x14ac:dyDescent="0.35">
      <c r="A546" s="11" t="s">
        <v>1816</v>
      </c>
      <c r="B546" s="12" t="s">
        <v>5590</v>
      </c>
      <c r="C546" s="12" t="s">
        <v>5682</v>
      </c>
      <c r="D546" s="13" t="s">
        <v>5683</v>
      </c>
    </row>
    <row r="547" spans="1:4" x14ac:dyDescent="0.35">
      <c r="A547" s="14" t="s">
        <v>1815</v>
      </c>
      <c r="B547" s="15" t="s">
        <v>4716</v>
      </c>
      <c r="C547" s="15" t="s">
        <v>5684</v>
      </c>
      <c r="D547" s="16" t="s">
        <v>5408</v>
      </c>
    </row>
    <row r="548" spans="1:4" x14ac:dyDescent="0.35">
      <c r="A548" s="11" t="s">
        <v>1814</v>
      </c>
      <c r="B548" s="12" t="s">
        <v>4713</v>
      </c>
      <c r="C548" s="12" t="s">
        <v>5685</v>
      </c>
      <c r="D548" s="13" t="s">
        <v>5686</v>
      </c>
    </row>
    <row r="549" spans="1:4" x14ac:dyDescent="0.35">
      <c r="A549" s="14" t="s">
        <v>1813</v>
      </c>
      <c r="B549" s="15" t="s">
        <v>4716</v>
      </c>
      <c r="C549" s="15" t="s">
        <v>5687</v>
      </c>
      <c r="D549" s="16" t="s">
        <v>5688</v>
      </c>
    </row>
    <row r="550" spans="1:4" x14ac:dyDescent="0.35">
      <c r="A550" s="11" t="s">
        <v>1812</v>
      </c>
      <c r="B550" s="12" t="s">
        <v>4716</v>
      </c>
      <c r="C550" s="12" t="s">
        <v>5689</v>
      </c>
      <c r="D550" s="13" t="s">
        <v>5690</v>
      </c>
    </row>
    <row r="551" spans="1:4" x14ac:dyDescent="0.35">
      <c r="A551" s="14" t="s">
        <v>1811</v>
      </c>
      <c r="B551" s="15" t="s">
        <v>4716</v>
      </c>
      <c r="C551" s="15" t="s">
        <v>5691</v>
      </c>
      <c r="D551" s="16" t="s">
        <v>5692</v>
      </c>
    </row>
    <row r="552" spans="1:4" x14ac:dyDescent="0.35">
      <c r="A552" s="11" t="s">
        <v>1810</v>
      </c>
      <c r="B552" s="12" t="s">
        <v>4713</v>
      </c>
      <c r="C552" s="12" t="s">
        <v>5693</v>
      </c>
      <c r="D552" s="13" t="s">
        <v>5694</v>
      </c>
    </row>
    <row r="553" spans="1:4" x14ac:dyDescent="0.35">
      <c r="A553" s="14" t="s">
        <v>1809</v>
      </c>
      <c r="B553" s="15" t="s">
        <v>4716</v>
      </c>
      <c r="C553" s="15" t="s">
        <v>5057</v>
      </c>
      <c r="D553" s="16" t="s">
        <v>5567</v>
      </c>
    </row>
    <row r="554" spans="1:4" x14ac:dyDescent="0.35">
      <c r="A554" s="11" t="s">
        <v>1808</v>
      </c>
      <c r="B554" s="12" t="s">
        <v>4716</v>
      </c>
      <c r="C554" s="12" t="s">
        <v>5695</v>
      </c>
      <c r="D554" s="13" t="s">
        <v>5696</v>
      </c>
    </row>
    <row r="555" spans="1:4" x14ac:dyDescent="0.35">
      <c r="A555" s="14" t="s">
        <v>1807</v>
      </c>
      <c r="B555" s="15" t="s">
        <v>4713</v>
      </c>
      <c r="C555" s="15" t="s">
        <v>5697</v>
      </c>
      <c r="D555" s="16" t="s">
        <v>5698</v>
      </c>
    </row>
    <row r="556" spans="1:4" x14ac:dyDescent="0.35">
      <c r="A556" s="11" t="s">
        <v>1806</v>
      </c>
      <c r="B556" s="12" t="s">
        <v>4716</v>
      </c>
      <c r="C556" s="12" t="s">
        <v>5699</v>
      </c>
      <c r="D556" s="13" t="s">
        <v>4908</v>
      </c>
    </row>
    <row r="557" spans="1:4" x14ac:dyDescent="0.35">
      <c r="A557" s="14" t="s">
        <v>1805</v>
      </c>
      <c r="B557" s="15" t="s">
        <v>4716</v>
      </c>
      <c r="C557" s="15" t="s">
        <v>5700</v>
      </c>
      <c r="D557" s="16" t="s">
        <v>5701</v>
      </c>
    </row>
    <row r="558" spans="1:4" x14ac:dyDescent="0.35">
      <c r="A558" s="11" t="s">
        <v>1804</v>
      </c>
      <c r="B558" s="12" t="s">
        <v>4713</v>
      </c>
      <c r="C558" s="12" t="s">
        <v>5702</v>
      </c>
      <c r="D558" s="13" t="s">
        <v>5703</v>
      </c>
    </row>
    <row r="559" spans="1:4" x14ac:dyDescent="0.35">
      <c r="A559" s="14" t="s">
        <v>1803</v>
      </c>
      <c r="B559" s="15" t="s">
        <v>4716</v>
      </c>
      <c r="C559" s="15" t="s">
        <v>5704</v>
      </c>
      <c r="D559" s="16" t="s">
        <v>4895</v>
      </c>
    </row>
    <row r="560" spans="1:4" x14ac:dyDescent="0.35">
      <c r="A560" s="11" t="s">
        <v>1802</v>
      </c>
      <c r="B560" s="12" t="s">
        <v>4713</v>
      </c>
      <c r="C560" s="12" t="s">
        <v>5705</v>
      </c>
      <c r="D560" s="13" t="s">
        <v>5706</v>
      </c>
    </row>
    <row r="561" spans="1:4" x14ac:dyDescent="0.35">
      <c r="A561" s="14" t="s">
        <v>1801</v>
      </c>
      <c r="B561" s="15" t="s">
        <v>4716</v>
      </c>
      <c r="C561" s="15" t="s">
        <v>5707</v>
      </c>
      <c r="D561" s="16" t="s">
        <v>5708</v>
      </c>
    </row>
    <row r="562" spans="1:4" x14ac:dyDescent="0.35">
      <c r="A562" s="11" t="s">
        <v>1800</v>
      </c>
      <c r="B562" s="12" t="s">
        <v>4713</v>
      </c>
      <c r="C562" s="12" t="s">
        <v>5709</v>
      </c>
      <c r="D562" s="13" t="s">
        <v>5710</v>
      </c>
    </row>
    <row r="563" spans="1:4" x14ac:dyDescent="0.35">
      <c r="A563" s="14" t="s">
        <v>1799</v>
      </c>
      <c r="B563" s="15" t="s">
        <v>4716</v>
      </c>
      <c r="C563" s="15" t="s">
        <v>5711</v>
      </c>
      <c r="D563" s="16" t="s">
        <v>5712</v>
      </c>
    </row>
    <row r="564" spans="1:4" x14ac:dyDescent="0.35">
      <c r="A564" s="11" t="s">
        <v>1798</v>
      </c>
      <c r="B564" s="12" t="s">
        <v>4716</v>
      </c>
      <c r="C564" s="12" t="s">
        <v>5713</v>
      </c>
      <c r="D564" s="13" t="s">
        <v>5714</v>
      </c>
    </row>
    <row r="565" spans="1:4" x14ac:dyDescent="0.35">
      <c r="A565" s="14" t="s">
        <v>1797</v>
      </c>
      <c r="B565" s="15" t="s">
        <v>4713</v>
      </c>
      <c r="C565" s="15" t="s">
        <v>5715</v>
      </c>
      <c r="D565" s="16" t="s">
        <v>5716</v>
      </c>
    </row>
    <row r="566" spans="1:4" x14ac:dyDescent="0.35">
      <c r="A566" s="11" t="s">
        <v>1796</v>
      </c>
      <c r="B566" s="12" t="s">
        <v>5590</v>
      </c>
      <c r="C566" s="12" t="s">
        <v>5717</v>
      </c>
      <c r="D566" s="13" t="s">
        <v>5661</v>
      </c>
    </row>
    <row r="567" spans="1:4" x14ac:dyDescent="0.35">
      <c r="A567" s="14" t="s">
        <v>1795</v>
      </c>
      <c r="B567" s="15" t="s">
        <v>4716</v>
      </c>
      <c r="C567" s="15" t="s">
        <v>5718</v>
      </c>
      <c r="D567" s="16" t="s">
        <v>5719</v>
      </c>
    </row>
    <row r="568" spans="1:4" x14ac:dyDescent="0.35">
      <c r="A568" s="11" t="s">
        <v>1794</v>
      </c>
      <c r="B568" s="12" t="s">
        <v>4713</v>
      </c>
      <c r="C568" s="12" t="s">
        <v>5720</v>
      </c>
      <c r="D568" s="13" t="s">
        <v>5721</v>
      </c>
    </row>
    <row r="569" spans="1:4" x14ac:dyDescent="0.35">
      <c r="A569" s="14" t="s">
        <v>1793</v>
      </c>
      <c r="B569" s="15" t="s">
        <v>4713</v>
      </c>
      <c r="C569" s="15" t="s">
        <v>5722</v>
      </c>
      <c r="D569" s="16" t="s">
        <v>5723</v>
      </c>
    </row>
    <row r="570" spans="1:4" x14ac:dyDescent="0.35">
      <c r="A570" s="11" t="s">
        <v>1792</v>
      </c>
      <c r="B570" s="12" t="s">
        <v>4713</v>
      </c>
      <c r="C570" s="12" t="s">
        <v>5724</v>
      </c>
      <c r="D570" s="13" t="s">
        <v>5725</v>
      </c>
    </row>
    <row r="571" spans="1:4" x14ac:dyDescent="0.35">
      <c r="A571" s="14" t="s">
        <v>1791</v>
      </c>
      <c r="B571" s="15" t="s">
        <v>4716</v>
      </c>
      <c r="C571" s="15" t="s">
        <v>5726</v>
      </c>
      <c r="D571" s="16" t="s">
        <v>5727</v>
      </c>
    </row>
    <row r="572" spans="1:4" x14ac:dyDescent="0.35">
      <c r="A572" s="11" t="s">
        <v>1790</v>
      </c>
      <c r="B572" s="12" t="s">
        <v>4716</v>
      </c>
      <c r="C572" s="12" t="s">
        <v>5728</v>
      </c>
      <c r="D572" s="13" t="s">
        <v>5729</v>
      </c>
    </row>
    <row r="573" spans="1:4" x14ac:dyDescent="0.35">
      <c r="A573" s="14" t="s">
        <v>1789</v>
      </c>
      <c r="B573" s="15" t="s">
        <v>4716</v>
      </c>
      <c r="C573" s="15" t="s">
        <v>5730</v>
      </c>
      <c r="D573" s="16" t="s">
        <v>5098</v>
      </c>
    </row>
    <row r="574" spans="1:4" x14ac:dyDescent="0.35">
      <c r="A574" s="11" t="s">
        <v>1788</v>
      </c>
      <c r="B574" s="12" t="s">
        <v>5590</v>
      </c>
      <c r="C574" s="12" t="s">
        <v>5731</v>
      </c>
      <c r="D574" s="13" t="s">
        <v>5732</v>
      </c>
    </row>
    <row r="575" spans="1:4" x14ac:dyDescent="0.35">
      <c r="A575" s="14" t="s">
        <v>1787</v>
      </c>
      <c r="B575" s="15" t="s">
        <v>4716</v>
      </c>
      <c r="C575" s="15" t="s">
        <v>5733</v>
      </c>
      <c r="D575" s="16" t="s">
        <v>5734</v>
      </c>
    </row>
    <row r="576" spans="1:4" x14ac:dyDescent="0.35">
      <c r="A576" s="11" t="s">
        <v>1786</v>
      </c>
      <c r="B576" s="12" t="s">
        <v>4716</v>
      </c>
      <c r="C576" s="12" t="s">
        <v>5735</v>
      </c>
      <c r="D576" s="13" t="s">
        <v>5736</v>
      </c>
    </row>
    <row r="577" spans="1:4" x14ac:dyDescent="0.35">
      <c r="A577" s="14" t="s">
        <v>1785</v>
      </c>
      <c r="B577" s="15" t="s">
        <v>4713</v>
      </c>
      <c r="C577" s="15" t="s">
        <v>5737</v>
      </c>
      <c r="D577" s="16" t="s">
        <v>5738</v>
      </c>
    </row>
    <row r="578" spans="1:4" x14ac:dyDescent="0.35">
      <c r="A578" s="11" t="s">
        <v>1784</v>
      </c>
      <c r="B578" s="12" t="s">
        <v>5590</v>
      </c>
      <c r="C578" s="12" t="s">
        <v>5739</v>
      </c>
      <c r="D578" s="13" t="s">
        <v>4950</v>
      </c>
    </row>
    <row r="579" spans="1:4" x14ac:dyDescent="0.35">
      <c r="A579" s="14" t="s">
        <v>1783</v>
      </c>
      <c r="B579" s="15" t="s">
        <v>4716</v>
      </c>
      <c r="C579" s="15" t="s">
        <v>5740</v>
      </c>
      <c r="D579" s="16" t="s">
        <v>5741</v>
      </c>
    </row>
    <row r="580" spans="1:4" x14ac:dyDescent="0.35">
      <c r="A580" s="11" t="s">
        <v>1782</v>
      </c>
      <c r="B580" s="12" t="s">
        <v>4713</v>
      </c>
      <c r="C580" s="12" t="s">
        <v>5742</v>
      </c>
      <c r="D580" s="13" t="s">
        <v>5743</v>
      </c>
    </row>
    <row r="581" spans="1:4" x14ac:dyDescent="0.35">
      <c r="A581" s="14" t="s">
        <v>1781</v>
      </c>
      <c r="B581" s="15" t="s">
        <v>4713</v>
      </c>
      <c r="C581" s="15" t="s">
        <v>5744</v>
      </c>
      <c r="D581" s="16" t="s">
        <v>5745</v>
      </c>
    </row>
    <row r="582" spans="1:4" x14ac:dyDescent="0.35">
      <c r="A582" s="11" t="s">
        <v>1780</v>
      </c>
      <c r="B582" s="12" t="s">
        <v>4716</v>
      </c>
      <c r="C582" s="12" t="s">
        <v>5746</v>
      </c>
      <c r="D582" s="13" t="s">
        <v>5747</v>
      </c>
    </row>
    <row r="583" spans="1:4" x14ac:dyDescent="0.35">
      <c r="A583" s="14" t="s">
        <v>1779</v>
      </c>
      <c r="B583" s="15" t="s">
        <v>4716</v>
      </c>
      <c r="C583" s="15" t="s">
        <v>5748</v>
      </c>
      <c r="D583" s="16" t="s">
        <v>4720</v>
      </c>
    </row>
    <row r="584" spans="1:4" x14ac:dyDescent="0.35">
      <c r="A584" s="11" t="s">
        <v>1778</v>
      </c>
      <c r="B584" s="12" t="s">
        <v>4713</v>
      </c>
      <c r="C584" s="12" t="s">
        <v>5749</v>
      </c>
      <c r="D584" s="13" t="s">
        <v>5750</v>
      </c>
    </row>
    <row r="585" spans="1:4" x14ac:dyDescent="0.35">
      <c r="A585" s="14" t="s">
        <v>1777</v>
      </c>
      <c r="B585" s="15" t="s">
        <v>4716</v>
      </c>
      <c r="C585" s="15" t="s">
        <v>5751</v>
      </c>
      <c r="D585" s="16" t="s">
        <v>5471</v>
      </c>
    </row>
    <row r="586" spans="1:4" x14ac:dyDescent="0.35">
      <c r="A586" s="11" t="s">
        <v>1776</v>
      </c>
      <c r="B586" s="12" t="s">
        <v>4713</v>
      </c>
      <c r="C586" s="12" t="s">
        <v>5752</v>
      </c>
      <c r="D586" s="13" t="s">
        <v>5753</v>
      </c>
    </row>
    <row r="587" spans="1:4" x14ac:dyDescent="0.35">
      <c r="A587" s="14" t="s">
        <v>1775</v>
      </c>
      <c r="B587" s="15" t="s">
        <v>4713</v>
      </c>
      <c r="C587" s="15" t="s">
        <v>5754</v>
      </c>
      <c r="D587" s="16" t="s">
        <v>5387</v>
      </c>
    </row>
    <row r="588" spans="1:4" x14ac:dyDescent="0.35">
      <c r="A588" s="11" t="s">
        <v>1774</v>
      </c>
      <c r="B588" s="12" t="s">
        <v>4713</v>
      </c>
      <c r="C588" s="12" t="s">
        <v>5755</v>
      </c>
      <c r="D588" s="13" t="s">
        <v>5756</v>
      </c>
    </row>
    <row r="589" spans="1:4" x14ac:dyDescent="0.35">
      <c r="A589" s="14" t="s">
        <v>1773</v>
      </c>
      <c r="B589" s="15" t="s">
        <v>4713</v>
      </c>
      <c r="C589" s="15" t="s">
        <v>5757</v>
      </c>
      <c r="D589" s="16" t="s">
        <v>5758</v>
      </c>
    </row>
    <row r="590" spans="1:4" x14ac:dyDescent="0.35">
      <c r="A590" s="11" t="s">
        <v>1772</v>
      </c>
      <c r="B590" s="12" t="s">
        <v>5590</v>
      </c>
      <c r="C590" s="12" t="s">
        <v>4866</v>
      </c>
      <c r="D590" s="13" t="s">
        <v>5759</v>
      </c>
    </row>
    <row r="591" spans="1:4" x14ac:dyDescent="0.35">
      <c r="A591" s="14" t="s">
        <v>1771</v>
      </c>
      <c r="B591" s="15" t="s">
        <v>4713</v>
      </c>
      <c r="C591" s="15" t="s">
        <v>5760</v>
      </c>
      <c r="D591" s="16" t="s">
        <v>5761</v>
      </c>
    </row>
    <row r="592" spans="1:4" x14ac:dyDescent="0.35">
      <c r="A592" s="11" t="s">
        <v>1770</v>
      </c>
      <c r="B592" s="12" t="s">
        <v>4716</v>
      </c>
      <c r="C592" s="12" t="s">
        <v>5762</v>
      </c>
      <c r="D592" s="13" t="s">
        <v>5202</v>
      </c>
    </row>
    <row r="593" spans="1:4" x14ac:dyDescent="0.35">
      <c r="A593" s="14" t="s">
        <v>1769</v>
      </c>
      <c r="B593" s="15" t="s">
        <v>4713</v>
      </c>
      <c r="C593" s="15" t="s">
        <v>4844</v>
      </c>
      <c r="D593" s="16" t="s">
        <v>5763</v>
      </c>
    </row>
    <row r="594" spans="1:4" x14ac:dyDescent="0.35">
      <c r="A594" s="11" t="s">
        <v>1768</v>
      </c>
      <c r="B594" s="12" t="s">
        <v>4713</v>
      </c>
      <c r="C594" s="12" t="s">
        <v>5764</v>
      </c>
      <c r="D594" s="13" t="s">
        <v>5765</v>
      </c>
    </row>
    <row r="595" spans="1:4" x14ac:dyDescent="0.35">
      <c r="A595" s="14" t="s">
        <v>1767</v>
      </c>
      <c r="B595" s="15" t="s">
        <v>5590</v>
      </c>
      <c r="C595" s="15" t="s">
        <v>5766</v>
      </c>
      <c r="D595" s="16" t="s">
        <v>5767</v>
      </c>
    </row>
    <row r="596" spans="1:4" x14ac:dyDescent="0.35">
      <c r="A596" s="11" t="s">
        <v>1766</v>
      </c>
      <c r="B596" s="12" t="s">
        <v>4713</v>
      </c>
      <c r="C596" s="12" t="s">
        <v>5768</v>
      </c>
      <c r="D596" s="13" t="s">
        <v>5769</v>
      </c>
    </row>
    <row r="597" spans="1:4" x14ac:dyDescent="0.35">
      <c r="A597" s="14" t="s">
        <v>1765</v>
      </c>
      <c r="B597" s="15" t="s">
        <v>4716</v>
      </c>
      <c r="C597" s="15" t="s">
        <v>5770</v>
      </c>
      <c r="D597" s="16" t="s">
        <v>5771</v>
      </c>
    </row>
    <row r="598" spans="1:4" x14ac:dyDescent="0.35">
      <c r="A598" s="11" t="s">
        <v>1764</v>
      </c>
      <c r="B598" s="12" t="s">
        <v>4716</v>
      </c>
      <c r="C598" s="12" t="s">
        <v>5772</v>
      </c>
      <c r="D598" s="13" t="s">
        <v>5773</v>
      </c>
    </row>
    <row r="599" spans="1:4" x14ac:dyDescent="0.35">
      <c r="A599" s="14" t="s">
        <v>1763</v>
      </c>
      <c r="B599" s="15" t="s">
        <v>4713</v>
      </c>
      <c r="C599" s="15" t="s">
        <v>5774</v>
      </c>
      <c r="D599" s="16" t="s">
        <v>5775</v>
      </c>
    </row>
    <row r="600" spans="1:4" x14ac:dyDescent="0.35">
      <c r="A600" s="11" t="s">
        <v>1762</v>
      </c>
      <c r="B600" s="12" t="s">
        <v>4713</v>
      </c>
      <c r="C600" s="12" t="s">
        <v>5776</v>
      </c>
      <c r="D600" s="13" t="s">
        <v>5777</v>
      </c>
    </row>
    <row r="601" spans="1:4" x14ac:dyDescent="0.35">
      <c r="A601" s="14" t="s">
        <v>1761</v>
      </c>
      <c r="B601" s="15" t="s">
        <v>4716</v>
      </c>
      <c r="C601" s="15" t="s">
        <v>5778</v>
      </c>
      <c r="D601" s="16" t="s">
        <v>5779</v>
      </c>
    </row>
    <row r="602" spans="1:4" x14ac:dyDescent="0.35">
      <c r="A602" s="11" t="s">
        <v>1760</v>
      </c>
      <c r="B602" s="12" t="s">
        <v>4713</v>
      </c>
      <c r="C602" s="12" t="s">
        <v>5780</v>
      </c>
      <c r="D602" s="13" t="s">
        <v>5781</v>
      </c>
    </row>
    <row r="603" spans="1:4" x14ac:dyDescent="0.35">
      <c r="A603" s="14" t="s">
        <v>1759</v>
      </c>
      <c r="B603" s="15" t="s">
        <v>5590</v>
      </c>
      <c r="C603" s="15" t="s">
        <v>5782</v>
      </c>
      <c r="D603" s="16" t="s">
        <v>5084</v>
      </c>
    </row>
    <row r="604" spans="1:4" x14ac:dyDescent="0.35">
      <c r="A604" s="11" t="s">
        <v>1758</v>
      </c>
      <c r="B604" s="12" t="s">
        <v>5590</v>
      </c>
      <c r="C604" s="12" t="s">
        <v>5783</v>
      </c>
      <c r="D604" s="13" t="s">
        <v>5784</v>
      </c>
    </row>
    <row r="605" spans="1:4" x14ac:dyDescent="0.35">
      <c r="A605" s="14" t="s">
        <v>1757</v>
      </c>
      <c r="B605" s="15" t="s">
        <v>4716</v>
      </c>
      <c r="C605" s="15" t="s">
        <v>5785</v>
      </c>
      <c r="D605" s="16" t="s">
        <v>5747</v>
      </c>
    </row>
    <row r="606" spans="1:4" x14ac:dyDescent="0.35">
      <c r="A606" s="11" t="s">
        <v>1756</v>
      </c>
      <c r="B606" s="12" t="s">
        <v>4716</v>
      </c>
      <c r="C606" s="12" t="s">
        <v>4936</v>
      </c>
      <c r="D606" s="13" t="s">
        <v>5786</v>
      </c>
    </row>
    <row r="607" spans="1:4" x14ac:dyDescent="0.35">
      <c r="A607" s="14" t="s">
        <v>1755</v>
      </c>
      <c r="B607" s="15" t="s">
        <v>4716</v>
      </c>
      <c r="C607" s="15" t="s">
        <v>5787</v>
      </c>
      <c r="D607" s="16" t="s">
        <v>5788</v>
      </c>
    </row>
    <row r="608" spans="1:4" x14ac:dyDescent="0.35">
      <c r="A608" s="11" t="s">
        <v>1754</v>
      </c>
      <c r="B608" s="12" t="s">
        <v>4716</v>
      </c>
      <c r="C608" s="12" t="s">
        <v>5789</v>
      </c>
      <c r="D608" s="13" t="s">
        <v>5790</v>
      </c>
    </row>
    <row r="609" spans="1:4" x14ac:dyDescent="0.35">
      <c r="A609" s="14" t="s">
        <v>1753</v>
      </c>
      <c r="B609" s="15" t="s">
        <v>4716</v>
      </c>
      <c r="C609" s="15" t="s">
        <v>5791</v>
      </c>
      <c r="D609" s="16" t="s">
        <v>5792</v>
      </c>
    </row>
    <row r="610" spans="1:4" x14ac:dyDescent="0.35">
      <c r="A610" s="11" t="s">
        <v>1752</v>
      </c>
      <c r="B610" s="12" t="s">
        <v>4716</v>
      </c>
      <c r="C610" s="12" t="s">
        <v>5793</v>
      </c>
      <c r="D610" s="13" t="s">
        <v>5794</v>
      </c>
    </row>
    <row r="611" spans="1:4" x14ac:dyDescent="0.35">
      <c r="A611" s="14" t="s">
        <v>1751</v>
      </c>
      <c r="B611" s="15" t="s">
        <v>5590</v>
      </c>
      <c r="C611" s="15" t="s">
        <v>5795</v>
      </c>
      <c r="D611" s="16" t="s">
        <v>5796</v>
      </c>
    </row>
    <row r="612" spans="1:4" x14ac:dyDescent="0.35">
      <c r="A612" s="11" t="s">
        <v>1750</v>
      </c>
      <c r="B612" s="12" t="s">
        <v>4716</v>
      </c>
      <c r="C612" s="12" t="s">
        <v>5797</v>
      </c>
      <c r="D612" s="13" t="s">
        <v>5798</v>
      </c>
    </row>
    <row r="613" spans="1:4" x14ac:dyDescent="0.35">
      <c r="A613" s="14" t="s">
        <v>1749</v>
      </c>
      <c r="B613" s="15" t="s">
        <v>4713</v>
      </c>
      <c r="C613" s="15" t="s">
        <v>5799</v>
      </c>
      <c r="D613" s="16" t="s">
        <v>5204</v>
      </c>
    </row>
    <row r="614" spans="1:4" x14ac:dyDescent="0.35">
      <c r="A614" s="11" t="s">
        <v>1748</v>
      </c>
      <c r="B614" s="12" t="s">
        <v>4713</v>
      </c>
      <c r="C614" s="12" t="s">
        <v>5800</v>
      </c>
      <c r="D614" s="13" t="s">
        <v>5801</v>
      </c>
    </row>
    <row r="615" spans="1:4" x14ac:dyDescent="0.35">
      <c r="A615" s="14" t="s">
        <v>1747</v>
      </c>
      <c r="B615" s="15" t="s">
        <v>4716</v>
      </c>
      <c r="C615" s="15" t="s">
        <v>5802</v>
      </c>
      <c r="D615" s="16" t="s">
        <v>5803</v>
      </c>
    </row>
    <row r="616" spans="1:4" x14ac:dyDescent="0.35">
      <c r="A616" s="11" t="s">
        <v>1746</v>
      </c>
      <c r="B616" s="12" t="s">
        <v>4713</v>
      </c>
      <c r="C616" s="12" t="s">
        <v>5804</v>
      </c>
      <c r="D616" s="13" t="s">
        <v>5805</v>
      </c>
    </row>
    <row r="617" spans="1:4" x14ac:dyDescent="0.35">
      <c r="A617" s="14" t="s">
        <v>1745</v>
      </c>
      <c r="B617" s="15" t="s">
        <v>4713</v>
      </c>
      <c r="C617" s="15" t="s">
        <v>4850</v>
      </c>
      <c r="D617" s="16" t="s">
        <v>5806</v>
      </c>
    </row>
    <row r="618" spans="1:4" x14ac:dyDescent="0.35">
      <c r="A618" s="11" t="s">
        <v>1744</v>
      </c>
      <c r="B618" s="12" t="s">
        <v>5590</v>
      </c>
      <c r="C618" s="12" t="s">
        <v>5242</v>
      </c>
      <c r="D618" s="13" t="s">
        <v>5076</v>
      </c>
    </row>
    <row r="619" spans="1:4" x14ac:dyDescent="0.35">
      <c r="A619" s="14" t="s">
        <v>1743</v>
      </c>
      <c r="B619" s="15" t="s">
        <v>4713</v>
      </c>
      <c r="C619" s="15" t="s">
        <v>5807</v>
      </c>
      <c r="D619" s="16" t="s">
        <v>5070</v>
      </c>
    </row>
    <row r="620" spans="1:4" x14ac:dyDescent="0.35">
      <c r="A620" s="11" t="s">
        <v>1742</v>
      </c>
      <c r="B620" s="12" t="s">
        <v>4713</v>
      </c>
      <c r="C620" s="12" t="s">
        <v>5808</v>
      </c>
      <c r="D620" s="13" t="s">
        <v>5164</v>
      </c>
    </row>
    <row r="621" spans="1:4" x14ac:dyDescent="0.35">
      <c r="A621" s="14" t="s">
        <v>1741</v>
      </c>
      <c r="B621" s="15" t="s">
        <v>4713</v>
      </c>
      <c r="C621" s="15" t="s">
        <v>5809</v>
      </c>
      <c r="D621" s="16" t="s">
        <v>5810</v>
      </c>
    </row>
    <row r="622" spans="1:4" x14ac:dyDescent="0.35">
      <c r="A622" s="11" t="s">
        <v>1740</v>
      </c>
      <c r="B622" s="12" t="s">
        <v>5590</v>
      </c>
      <c r="C622" s="12" t="s">
        <v>5811</v>
      </c>
      <c r="D622" s="13" t="s">
        <v>5812</v>
      </c>
    </row>
    <row r="623" spans="1:4" x14ac:dyDescent="0.35">
      <c r="A623" s="14" t="s">
        <v>1739</v>
      </c>
      <c r="B623" s="15" t="s">
        <v>4716</v>
      </c>
      <c r="C623" s="15" t="s">
        <v>5813</v>
      </c>
      <c r="D623" s="16" t="s">
        <v>5814</v>
      </c>
    </row>
    <row r="624" spans="1:4" x14ac:dyDescent="0.35">
      <c r="A624" s="11" t="s">
        <v>1738</v>
      </c>
      <c r="B624" s="12" t="s">
        <v>4713</v>
      </c>
      <c r="C624" s="12" t="s">
        <v>5815</v>
      </c>
      <c r="D624" s="13" t="s">
        <v>5816</v>
      </c>
    </row>
    <row r="625" spans="1:4" x14ac:dyDescent="0.35">
      <c r="A625" s="14" t="s">
        <v>1737</v>
      </c>
      <c r="B625" s="15" t="s">
        <v>4716</v>
      </c>
      <c r="C625" s="15" t="s">
        <v>5817</v>
      </c>
      <c r="D625" s="16" t="s">
        <v>5818</v>
      </c>
    </row>
    <row r="626" spans="1:4" x14ac:dyDescent="0.35">
      <c r="A626" s="11" t="s">
        <v>1736</v>
      </c>
      <c r="B626" s="12" t="s">
        <v>4716</v>
      </c>
      <c r="C626" s="12" t="s">
        <v>5819</v>
      </c>
      <c r="D626" s="13" t="s">
        <v>5820</v>
      </c>
    </row>
    <row r="627" spans="1:4" x14ac:dyDescent="0.35">
      <c r="A627" s="14" t="s">
        <v>1735</v>
      </c>
      <c r="B627" s="15" t="s">
        <v>4716</v>
      </c>
      <c r="C627" s="15" t="s">
        <v>5821</v>
      </c>
      <c r="D627" s="16" t="s">
        <v>5822</v>
      </c>
    </row>
    <row r="628" spans="1:4" x14ac:dyDescent="0.35">
      <c r="A628" s="11" t="s">
        <v>1734</v>
      </c>
      <c r="B628" s="12" t="s">
        <v>4716</v>
      </c>
      <c r="C628" s="12" t="s">
        <v>5823</v>
      </c>
      <c r="D628" s="13" t="s">
        <v>5824</v>
      </c>
    </row>
    <row r="629" spans="1:4" x14ac:dyDescent="0.35">
      <c r="A629" s="14" t="s">
        <v>1733</v>
      </c>
      <c r="B629" s="15" t="s">
        <v>5590</v>
      </c>
      <c r="C629" s="15" t="s">
        <v>5825</v>
      </c>
      <c r="D629" s="16" t="s">
        <v>5826</v>
      </c>
    </row>
    <row r="630" spans="1:4" x14ac:dyDescent="0.35">
      <c r="A630" s="11" t="s">
        <v>1732</v>
      </c>
      <c r="B630" s="12" t="s">
        <v>4716</v>
      </c>
      <c r="C630" s="12" t="s">
        <v>5827</v>
      </c>
      <c r="D630" s="13" t="s">
        <v>5828</v>
      </c>
    </row>
    <row r="631" spans="1:4" x14ac:dyDescent="0.35">
      <c r="A631" s="14" t="s">
        <v>1731</v>
      </c>
      <c r="B631" s="15" t="s">
        <v>4713</v>
      </c>
      <c r="C631" s="15" t="s">
        <v>5222</v>
      </c>
      <c r="D631" s="16" t="s">
        <v>5829</v>
      </c>
    </row>
    <row r="632" spans="1:4" x14ac:dyDescent="0.35">
      <c r="A632" s="11" t="s">
        <v>1730</v>
      </c>
      <c r="B632" s="12" t="s">
        <v>5590</v>
      </c>
      <c r="C632" s="12" t="s">
        <v>5830</v>
      </c>
      <c r="D632" s="13" t="s">
        <v>5831</v>
      </c>
    </row>
    <row r="633" spans="1:4" x14ac:dyDescent="0.35">
      <c r="A633" s="14" t="s">
        <v>1729</v>
      </c>
      <c r="B633" s="15" t="s">
        <v>4716</v>
      </c>
      <c r="C633" s="15" t="s">
        <v>5832</v>
      </c>
      <c r="D633" s="16" t="s">
        <v>5136</v>
      </c>
    </row>
    <row r="634" spans="1:4" x14ac:dyDescent="0.35">
      <c r="A634" s="11" t="s">
        <v>1728</v>
      </c>
      <c r="B634" s="12" t="s">
        <v>4716</v>
      </c>
      <c r="C634" s="12" t="s">
        <v>5833</v>
      </c>
      <c r="D634" s="13" t="s">
        <v>5471</v>
      </c>
    </row>
    <row r="635" spans="1:4" x14ac:dyDescent="0.35">
      <c r="A635" s="14" t="s">
        <v>1727</v>
      </c>
      <c r="B635" s="15" t="s">
        <v>5590</v>
      </c>
      <c r="C635" s="15" t="s">
        <v>5834</v>
      </c>
      <c r="D635" s="16" t="s">
        <v>5835</v>
      </c>
    </row>
    <row r="636" spans="1:4" x14ac:dyDescent="0.35">
      <c r="A636" s="11" t="s">
        <v>1726</v>
      </c>
      <c r="B636" s="12" t="s">
        <v>4716</v>
      </c>
      <c r="C636" s="12" t="s">
        <v>5327</v>
      </c>
      <c r="D636" s="13" t="s">
        <v>5836</v>
      </c>
    </row>
    <row r="637" spans="1:4" x14ac:dyDescent="0.35">
      <c r="A637" s="14" t="s">
        <v>1725</v>
      </c>
      <c r="B637" s="15" t="s">
        <v>5590</v>
      </c>
      <c r="C637" s="15" t="s">
        <v>5837</v>
      </c>
      <c r="D637" s="16" t="s">
        <v>5838</v>
      </c>
    </row>
    <row r="638" spans="1:4" x14ac:dyDescent="0.35">
      <c r="A638" s="11" t="s">
        <v>1724</v>
      </c>
      <c r="B638" s="12" t="s">
        <v>4713</v>
      </c>
      <c r="C638" s="12" t="s">
        <v>5839</v>
      </c>
      <c r="D638" s="13" t="s">
        <v>5180</v>
      </c>
    </row>
    <row r="639" spans="1:4" x14ac:dyDescent="0.35">
      <c r="A639" s="14" t="s">
        <v>1723</v>
      </c>
      <c r="B639" s="15" t="s">
        <v>4716</v>
      </c>
      <c r="C639" s="15" t="s">
        <v>5840</v>
      </c>
      <c r="D639" s="16" t="s">
        <v>4952</v>
      </c>
    </row>
    <row r="640" spans="1:4" x14ac:dyDescent="0.35">
      <c r="A640" s="11" t="s">
        <v>1722</v>
      </c>
      <c r="B640" s="12" t="s">
        <v>4713</v>
      </c>
      <c r="C640" s="12" t="s">
        <v>5841</v>
      </c>
      <c r="D640" s="13" t="s">
        <v>5842</v>
      </c>
    </row>
    <row r="641" spans="1:4" x14ac:dyDescent="0.35">
      <c r="A641" s="14" t="s">
        <v>1721</v>
      </c>
      <c r="B641" s="15" t="s">
        <v>5590</v>
      </c>
      <c r="C641" s="15" t="s">
        <v>4721</v>
      </c>
      <c r="D641" s="16" t="s">
        <v>5843</v>
      </c>
    </row>
    <row r="642" spans="1:4" x14ac:dyDescent="0.35">
      <c r="A642" s="11" t="s">
        <v>1720</v>
      </c>
      <c r="B642" s="12" t="s">
        <v>4716</v>
      </c>
      <c r="C642" s="12" t="s">
        <v>5844</v>
      </c>
      <c r="D642" s="13" t="s">
        <v>5845</v>
      </c>
    </row>
    <row r="643" spans="1:4" x14ac:dyDescent="0.35">
      <c r="A643" s="14" t="s">
        <v>1719</v>
      </c>
      <c r="B643" s="15" t="s">
        <v>4713</v>
      </c>
      <c r="C643" s="15" t="s">
        <v>4838</v>
      </c>
      <c r="D643" s="16" t="s">
        <v>5846</v>
      </c>
    </row>
    <row r="644" spans="1:4" x14ac:dyDescent="0.35">
      <c r="A644" s="11" t="s">
        <v>1718</v>
      </c>
      <c r="B644" s="12" t="s">
        <v>4716</v>
      </c>
      <c r="C644" s="12" t="s">
        <v>5847</v>
      </c>
      <c r="D644" s="13" t="s">
        <v>4728</v>
      </c>
    </row>
    <row r="645" spans="1:4" x14ac:dyDescent="0.35">
      <c r="A645" s="14" t="s">
        <v>1717</v>
      </c>
      <c r="B645" s="15" t="s">
        <v>4716</v>
      </c>
      <c r="C645" s="15" t="s">
        <v>5848</v>
      </c>
      <c r="D645" s="16" t="s">
        <v>5849</v>
      </c>
    </row>
    <row r="646" spans="1:4" x14ac:dyDescent="0.35">
      <c r="A646" s="11" t="s">
        <v>1716</v>
      </c>
      <c r="B646" s="12" t="s">
        <v>4713</v>
      </c>
      <c r="C646" s="12" t="s">
        <v>5850</v>
      </c>
      <c r="D646" s="13" t="s">
        <v>5447</v>
      </c>
    </row>
    <row r="647" spans="1:4" x14ac:dyDescent="0.35">
      <c r="A647" s="14" t="s">
        <v>1715</v>
      </c>
      <c r="B647" s="15" t="s">
        <v>4713</v>
      </c>
      <c r="C647" s="15" t="s">
        <v>5851</v>
      </c>
      <c r="D647" s="16" t="s">
        <v>5852</v>
      </c>
    </row>
    <row r="648" spans="1:4" x14ac:dyDescent="0.35">
      <c r="A648" s="11" t="s">
        <v>1714</v>
      </c>
      <c r="B648" s="12" t="s">
        <v>4713</v>
      </c>
      <c r="C648" s="12" t="s">
        <v>5853</v>
      </c>
      <c r="D648" s="13" t="s">
        <v>5854</v>
      </c>
    </row>
    <row r="649" spans="1:4" x14ac:dyDescent="0.35">
      <c r="A649" s="14" t="s">
        <v>1713</v>
      </c>
      <c r="B649" s="15" t="s">
        <v>4716</v>
      </c>
      <c r="C649" s="15" t="s">
        <v>5855</v>
      </c>
      <c r="D649" s="16" t="s">
        <v>5856</v>
      </c>
    </row>
    <row r="650" spans="1:4" x14ac:dyDescent="0.35">
      <c r="A650" s="11" t="s">
        <v>1712</v>
      </c>
      <c r="B650" s="12" t="s">
        <v>4716</v>
      </c>
      <c r="C650" s="12" t="s">
        <v>5857</v>
      </c>
      <c r="D650" s="13" t="s">
        <v>5449</v>
      </c>
    </row>
    <row r="651" spans="1:4" x14ac:dyDescent="0.35">
      <c r="A651" s="14" t="s">
        <v>1711</v>
      </c>
      <c r="B651" s="15" t="s">
        <v>4713</v>
      </c>
      <c r="C651" s="15" t="s">
        <v>5858</v>
      </c>
      <c r="D651" s="16" t="s">
        <v>5859</v>
      </c>
    </row>
    <row r="652" spans="1:4" x14ac:dyDescent="0.35">
      <c r="A652" s="11" t="s">
        <v>1710</v>
      </c>
      <c r="B652" s="12" t="s">
        <v>4716</v>
      </c>
      <c r="C652" s="12" t="s">
        <v>5860</v>
      </c>
      <c r="D652" s="13" t="s">
        <v>4738</v>
      </c>
    </row>
    <row r="653" spans="1:4" x14ac:dyDescent="0.35">
      <c r="A653" s="14" t="s">
        <v>1709</v>
      </c>
      <c r="B653" s="15" t="s">
        <v>4713</v>
      </c>
      <c r="C653" s="15" t="s">
        <v>5861</v>
      </c>
      <c r="D653" s="16" t="s">
        <v>5862</v>
      </c>
    </row>
    <row r="654" spans="1:4" x14ac:dyDescent="0.35">
      <c r="A654" s="11" t="s">
        <v>1708</v>
      </c>
      <c r="B654" s="12" t="s">
        <v>4716</v>
      </c>
      <c r="C654" s="12" t="s">
        <v>5863</v>
      </c>
      <c r="D654" s="13" t="s">
        <v>5864</v>
      </c>
    </row>
    <row r="655" spans="1:4" x14ac:dyDescent="0.35">
      <c r="A655" s="14" t="s">
        <v>1707</v>
      </c>
      <c r="B655" s="15" t="s">
        <v>4716</v>
      </c>
      <c r="C655" s="15" t="s">
        <v>5865</v>
      </c>
      <c r="D655" s="16" t="s">
        <v>4899</v>
      </c>
    </row>
    <row r="656" spans="1:4" x14ac:dyDescent="0.35">
      <c r="A656" s="11" t="s">
        <v>1706</v>
      </c>
      <c r="B656" s="12" t="s">
        <v>4716</v>
      </c>
      <c r="C656" s="12" t="s">
        <v>5866</v>
      </c>
      <c r="D656" s="13" t="s">
        <v>5867</v>
      </c>
    </row>
    <row r="657" spans="1:4" x14ac:dyDescent="0.35">
      <c r="A657" s="14" t="s">
        <v>1705</v>
      </c>
      <c r="B657" s="15" t="s">
        <v>4716</v>
      </c>
      <c r="C657" s="15" t="s">
        <v>5868</v>
      </c>
      <c r="D657" s="16" t="s">
        <v>5869</v>
      </c>
    </row>
    <row r="658" spans="1:4" x14ac:dyDescent="0.35">
      <c r="A658" s="11" t="s">
        <v>1704</v>
      </c>
      <c r="B658" s="12" t="s">
        <v>4713</v>
      </c>
      <c r="C658" s="12" t="s">
        <v>5870</v>
      </c>
      <c r="D658" s="13" t="s">
        <v>5871</v>
      </c>
    </row>
    <row r="659" spans="1:4" x14ac:dyDescent="0.35">
      <c r="A659" s="14" t="s">
        <v>1703</v>
      </c>
      <c r="B659" s="15" t="s">
        <v>4713</v>
      </c>
      <c r="C659" s="15" t="s">
        <v>5872</v>
      </c>
      <c r="D659" s="16" t="s">
        <v>5873</v>
      </c>
    </row>
    <row r="660" spans="1:4" x14ac:dyDescent="0.35">
      <c r="A660" s="11" t="s">
        <v>1702</v>
      </c>
      <c r="B660" s="12" t="s">
        <v>4713</v>
      </c>
      <c r="C660" s="12" t="s">
        <v>5874</v>
      </c>
      <c r="D660" s="13" t="s">
        <v>5875</v>
      </c>
    </row>
    <row r="661" spans="1:4" x14ac:dyDescent="0.35">
      <c r="A661" s="14" t="s">
        <v>1701</v>
      </c>
      <c r="B661" s="15" t="s">
        <v>4713</v>
      </c>
      <c r="C661" s="15" t="s">
        <v>5876</v>
      </c>
      <c r="D661" s="16" t="s">
        <v>5877</v>
      </c>
    </row>
    <row r="662" spans="1:4" x14ac:dyDescent="0.35">
      <c r="A662" s="11" t="s">
        <v>1700</v>
      </c>
      <c r="B662" s="12" t="s">
        <v>4716</v>
      </c>
      <c r="C662" s="12" t="s">
        <v>5878</v>
      </c>
      <c r="D662" s="13" t="s">
        <v>5879</v>
      </c>
    </row>
    <row r="663" spans="1:4" x14ac:dyDescent="0.35">
      <c r="A663" s="14" t="s">
        <v>1699</v>
      </c>
      <c r="B663" s="15" t="s">
        <v>4716</v>
      </c>
      <c r="C663" s="15" t="s">
        <v>5880</v>
      </c>
      <c r="D663" s="16" t="s">
        <v>5881</v>
      </c>
    </row>
    <row r="664" spans="1:4" x14ac:dyDescent="0.35">
      <c r="A664" s="11" t="s">
        <v>1698</v>
      </c>
      <c r="B664" s="12" t="s">
        <v>4716</v>
      </c>
      <c r="C664" s="12" t="s">
        <v>5882</v>
      </c>
      <c r="D664" s="13" t="s">
        <v>5883</v>
      </c>
    </row>
    <row r="665" spans="1:4" x14ac:dyDescent="0.35">
      <c r="A665" s="14" t="s">
        <v>1697</v>
      </c>
      <c r="B665" s="15" t="s">
        <v>4713</v>
      </c>
      <c r="C665" s="15" t="s">
        <v>5884</v>
      </c>
      <c r="D665" s="16" t="s">
        <v>5885</v>
      </c>
    </row>
    <row r="666" spans="1:4" x14ac:dyDescent="0.35">
      <c r="A666" s="11" t="s">
        <v>1696</v>
      </c>
      <c r="B666" s="12" t="s">
        <v>4713</v>
      </c>
      <c r="C666" s="12" t="s">
        <v>5886</v>
      </c>
      <c r="D666" s="13" t="s">
        <v>5887</v>
      </c>
    </row>
    <row r="667" spans="1:4" x14ac:dyDescent="0.35">
      <c r="A667" s="14" t="s">
        <v>1695</v>
      </c>
      <c r="B667" s="15" t="s">
        <v>4716</v>
      </c>
      <c r="C667" s="15" t="s">
        <v>5888</v>
      </c>
      <c r="D667" s="16" t="s">
        <v>5889</v>
      </c>
    </row>
    <row r="668" spans="1:4" x14ac:dyDescent="0.35">
      <c r="A668" s="11" t="s">
        <v>1694</v>
      </c>
      <c r="B668" s="12" t="s">
        <v>5590</v>
      </c>
      <c r="C668" s="12" t="s">
        <v>5890</v>
      </c>
      <c r="D668" s="13" t="s">
        <v>5710</v>
      </c>
    </row>
    <row r="669" spans="1:4" x14ac:dyDescent="0.35">
      <c r="A669" s="14" t="s">
        <v>1693</v>
      </c>
      <c r="B669" s="15" t="s">
        <v>5590</v>
      </c>
      <c r="C669" s="15" t="s">
        <v>5891</v>
      </c>
      <c r="D669" s="16" t="s">
        <v>5892</v>
      </c>
    </row>
    <row r="670" spans="1:4" x14ac:dyDescent="0.35">
      <c r="A670" s="11" t="s">
        <v>1692</v>
      </c>
      <c r="B670" s="12" t="s">
        <v>4716</v>
      </c>
      <c r="C670" s="12" t="s">
        <v>5893</v>
      </c>
      <c r="D670" s="13" t="s">
        <v>5068</v>
      </c>
    </row>
    <row r="671" spans="1:4" x14ac:dyDescent="0.35">
      <c r="A671" s="14" t="s">
        <v>1691</v>
      </c>
      <c r="B671" s="15" t="s">
        <v>5590</v>
      </c>
      <c r="C671" s="15" t="s">
        <v>5388</v>
      </c>
      <c r="D671" s="16" t="s">
        <v>4869</v>
      </c>
    </row>
    <row r="672" spans="1:4" x14ac:dyDescent="0.35">
      <c r="A672" s="11" t="s">
        <v>1690</v>
      </c>
      <c r="B672" s="12" t="s">
        <v>4716</v>
      </c>
      <c r="C672" s="12" t="s">
        <v>5894</v>
      </c>
      <c r="D672" s="13" t="s">
        <v>5895</v>
      </c>
    </row>
    <row r="673" spans="1:4" x14ac:dyDescent="0.35">
      <c r="A673" s="14" t="s">
        <v>1689</v>
      </c>
      <c r="B673" s="15" t="s">
        <v>4713</v>
      </c>
      <c r="C673" s="15" t="s">
        <v>5896</v>
      </c>
      <c r="D673" s="16" t="s">
        <v>5897</v>
      </c>
    </row>
    <row r="674" spans="1:4" x14ac:dyDescent="0.35">
      <c r="A674" s="11" t="s">
        <v>1688</v>
      </c>
      <c r="B674" s="12" t="s">
        <v>4713</v>
      </c>
      <c r="C674" s="12" t="s">
        <v>5898</v>
      </c>
      <c r="D674" s="13" t="s">
        <v>5899</v>
      </c>
    </row>
    <row r="675" spans="1:4" x14ac:dyDescent="0.35">
      <c r="A675" s="14" t="s">
        <v>1687</v>
      </c>
      <c r="B675" s="15" t="s">
        <v>4713</v>
      </c>
      <c r="C675" s="15" t="s">
        <v>5900</v>
      </c>
      <c r="D675" s="16" t="s">
        <v>5901</v>
      </c>
    </row>
    <row r="676" spans="1:4" x14ac:dyDescent="0.35">
      <c r="A676" s="11" t="s">
        <v>1686</v>
      </c>
      <c r="B676" s="12" t="s">
        <v>4713</v>
      </c>
      <c r="C676" s="12" t="s">
        <v>5902</v>
      </c>
      <c r="D676" s="13" t="s">
        <v>5903</v>
      </c>
    </row>
    <row r="677" spans="1:4" x14ac:dyDescent="0.35">
      <c r="A677" s="14" t="s">
        <v>1685</v>
      </c>
      <c r="B677" s="15" t="s">
        <v>4713</v>
      </c>
      <c r="C677" s="15" t="s">
        <v>5904</v>
      </c>
      <c r="D677" s="16" t="s">
        <v>5905</v>
      </c>
    </row>
    <row r="678" spans="1:4" x14ac:dyDescent="0.35">
      <c r="A678" s="11" t="s">
        <v>1684</v>
      </c>
      <c r="B678" s="12" t="s">
        <v>5590</v>
      </c>
      <c r="C678" s="12" t="s">
        <v>5906</v>
      </c>
      <c r="D678" s="13" t="s">
        <v>5907</v>
      </c>
    </row>
    <row r="679" spans="1:4" x14ac:dyDescent="0.35">
      <c r="A679" s="14" t="s">
        <v>1683</v>
      </c>
      <c r="B679" s="15" t="s">
        <v>4713</v>
      </c>
      <c r="C679" s="15" t="s">
        <v>5908</v>
      </c>
      <c r="D679" s="16" t="s">
        <v>5909</v>
      </c>
    </row>
    <row r="680" spans="1:4" x14ac:dyDescent="0.35">
      <c r="A680" s="11" t="s">
        <v>1682</v>
      </c>
      <c r="B680" s="12" t="s">
        <v>4716</v>
      </c>
      <c r="C680" s="12" t="s">
        <v>5910</v>
      </c>
      <c r="D680" s="13" t="s">
        <v>5911</v>
      </c>
    </row>
    <row r="681" spans="1:4" x14ac:dyDescent="0.35">
      <c r="A681" s="14" t="s">
        <v>1681</v>
      </c>
      <c r="B681" s="15" t="s">
        <v>4716</v>
      </c>
      <c r="C681" s="15" t="s">
        <v>5912</v>
      </c>
      <c r="D681" s="16" t="s">
        <v>5444</v>
      </c>
    </row>
    <row r="682" spans="1:4" x14ac:dyDescent="0.35">
      <c r="A682" s="11" t="s">
        <v>1680</v>
      </c>
      <c r="B682" s="12" t="s">
        <v>4713</v>
      </c>
      <c r="C682" s="12" t="s">
        <v>5913</v>
      </c>
      <c r="D682" s="13" t="s">
        <v>5914</v>
      </c>
    </row>
    <row r="683" spans="1:4" x14ac:dyDescent="0.35">
      <c r="A683" s="14" t="s">
        <v>1679</v>
      </c>
      <c r="B683" s="15" t="s">
        <v>5590</v>
      </c>
      <c r="C683" s="15" t="s">
        <v>5915</v>
      </c>
      <c r="D683" s="16" t="s">
        <v>5916</v>
      </c>
    </row>
    <row r="684" spans="1:4" x14ac:dyDescent="0.35">
      <c r="A684" s="11" t="s">
        <v>1678</v>
      </c>
      <c r="B684" s="12" t="s">
        <v>4713</v>
      </c>
      <c r="C684" s="12" t="s">
        <v>5917</v>
      </c>
      <c r="D684" s="13" t="s">
        <v>4903</v>
      </c>
    </row>
    <row r="685" spans="1:4" x14ac:dyDescent="0.35">
      <c r="A685" s="14" t="s">
        <v>1677</v>
      </c>
      <c r="B685" s="15" t="s">
        <v>4713</v>
      </c>
      <c r="C685" s="15" t="s">
        <v>5918</v>
      </c>
      <c r="D685" s="16" t="s">
        <v>5919</v>
      </c>
    </row>
    <row r="686" spans="1:4" x14ac:dyDescent="0.35">
      <c r="A686" s="11" t="s">
        <v>1676</v>
      </c>
      <c r="B686" s="12" t="s">
        <v>4716</v>
      </c>
      <c r="C686" s="12" t="s">
        <v>5920</v>
      </c>
      <c r="D686" s="13" t="s">
        <v>5921</v>
      </c>
    </row>
    <row r="687" spans="1:4" x14ac:dyDescent="0.35">
      <c r="A687" s="14" t="s">
        <v>1675</v>
      </c>
      <c r="B687" s="15" t="s">
        <v>4716</v>
      </c>
      <c r="C687" s="15" t="s">
        <v>5922</v>
      </c>
      <c r="D687" s="16" t="s">
        <v>5923</v>
      </c>
    </row>
    <row r="688" spans="1:4" x14ac:dyDescent="0.35">
      <c r="A688" s="11" t="s">
        <v>1674</v>
      </c>
      <c r="B688" s="12" t="s">
        <v>4713</v>
      </c>
      <c r="C688" s="12" t="s">
        <v>5924</v>
      </c>
      <c r="D688" s="13" t="s">
        <v>5925</v>
      </c>
    </row>
    <row r="689" spans="1:4" x14ac:dyDescent="0.35">
      <c r="A689" s="14" t="s">
        <v>1673</v>
      </c>
      <c r="B689" s="15" t="s">
        <v>4713</v>
      </c>
      <c r="C689" s="15" t="s">
        <v>5926</v>
      </c>
      <c r="D689" s="16" t="s">
        <v>5927</v>
      </c>
    </row>
    <row r="690" spans="1:4" x14ac:dyDescent="0.35">
      <c r="A690" s="11" t="s">
        <v>1672</v>
      </c>
      <c r="B690" s="12" t="s">
        <v>4713</v>
      </c>
      <c r="C690" s="12" t="s">
        <v>5928</v>
      </c>
      <c r="D690" s="13" t="s">
        <v>5929</v>
      </c>
    </row>
    <row r="691" spans="1:4" x14ac:dyDescent="0.35">
      <c r="A691" s="14" t="s">
        <v>1671</v>
      </c>
      <c r="B691" s="15" t="s">
        <v>4713</v>
      </c>
      <c r="C691" s="15" t="s">
        <v>5930</v>
      </c>
      <c r="D691" s="16" t="s">
        <v>5931</v>
      </c>
    </row>
    <row r="692" spans="1:4" x14ac:dyDescent="0.35">
      <c r="A692" s="11" t="s">
        <v>1670</v>
      </c>
      <c r="B692" s="12" t="s">
        <v>4713</v>
      </c>
      <c r="C692" s="12" t="s">
        <v>5932</v>
      </c>
      <c r="D692" s="13" t="s">
        <v>5933</v>
      </c>
    </row>
    <row r="693" spans="1:4" x14ac:dyDescent="0.35">
      <c r="A693" s="14" t="s">
        <v>1669</v>
      </c>
      <c r="B693" s="15" t="s">
        <v>4716</v>
      </c>
      <c r="C693" s="15" t="s">
        <v>5934</v>
      </c>
      <c r="D693" s="16" t="s">
        <v>5935</v>
      </c>
    </row>
    <row r="694" spans="1:4" x14ac:dyDescent="0.35">
      <c r="A694" s="11" t="s">
        <v>1668</v>
      </c>
      <c r="B694" s="12" t="s">
        <v>5590</v>
      </c>
      <c r="C694" s="12" t="s">
        <v>5936</v>
      </c>
      <c r="D694" s="13" t="s">
        <v>5937</v>
      </c>
    </row>
    <row r="695" spans="1:4" x14ac:dyDescent="0.35">
      <c r="A695" s="14" t="s">
        <v>1667</v>
      </c>
      <c r="B695" s="15" t="s">
        <v>4713</v>
      </c>
      <c r="C695" s="15" t="s">
        <v>5938</v>
      </c>
      <c r="D695" s="16" t="s">
        <v>5939</v>
      </c>
    </row>
    <row r="696" spans="1:4" x14ac:dyDescent="0.35">
      <c r="A696" s="11" t="s">
        <v>1666</v>
      </c>
      <c r="B696" s="12" t="s">
        <v>4716</v>
      </c>
      <c r="C696" s="12" t="s">
        <v>5940</v>
      </c>
      <c r="D696" s="13" t="s">
        <v>5941</v>
      </c>
    </row>
    <row r="697" spans="1:4" x14ac:dyDescent="0.35">
      <c r="A697" s="14" t="s">
        <v>1665</v>
      </c>
      <c r="B697" s="15" t="s">
        <v>4716</v>
      </c>
      <c r="C697" s="15" t="s">
        <v>5942</v>
      </c>
      <c r="D697" s="16" t="s">
        <v>5943</v>
      </c>
    </row>
    <row r="698" spans="1:4" x14ac:dyDescent="0.35">
      <c r="A698" s="11" t="s">
        <v>1664</v>
      </c>
      <c r="B698" s="12" t="s">
        <v>4716</v>
      </c>
      <c r="C698" s="12" t="s">
        <v>5944</v>
      </c>
      <c r="D698" s="13" t="s">
        <v>5945</v>
      </c>
    </row>
    <row r="699" spans="1:4" x14ac:dyDescent="0.35">
      <c r="A699" s="14" t="s">
        <v>1663</v>
      </c>
      <c r="B699" s="15" t="s">
        <v>4713</v>
      </c>
      <c r="C699" s="15" t="s">
        <v>5946</v>
      </c>
      <c r="D699" s="16" t="s">
        <v>4875</v>
      </c>
    </row>
    <row r="700" spans="1:4" x14ac:dyDescent="0.35">
      <c r="A700" s="11" t="s">
        <v>1662</v>
      </c>
      <c r="B700" s="12" t="s">
        <v>4713</v>
      </c>
      <c r="C700" s="12" t="s">
        <v>5947</v>
      </c>
      <c r="D700" s="13" t="s">
        <v>5948</v>
      </c>
    </row>
    <row r="701" spans="1:4" x14ac:dyDescent="0.35">
      <c r="A701" s="14" t="s">
        <v>1661</v>
      </c>
      <c r="B701" s="15" t="s">
        <v>4716</v>
      </c>
      <c r="C701" s="15" t="s">
        <v>5949</v>
      </c>
      <c r="D701" s="16" t="s">
        <v>5950</v>
      </c>
    </row>
    <row r="702" spans="1:4" x14ac:dyDescent="0.35">
      <c r="A702" s="11" t="s">
        <v>1660</v>
      </c>
      <c r="B702" s="12" t="s">
        <v>5590</v>
      </c>
      <c r="C702" s="12" t="s">
        <v>5951</v>
      </c>
      <c r="D702" s="13" t="s">
        <v>5952</v>
      </c>
    </row>
    <row r="703" spans="1:4" x14ac:dyDescent="0.35">
      <c r="A703" s="14" t="s">
        <v>1659</v>
      </c>
      <c r="B703" s="15" t="s">
        <v>4716</v>
      </c>
      <c r="C703" s="15" t="s">
        <v>5953</v>
      </c>
      <c r="D703" s="16" t="s">
        <v>5954</v>
      </c>
    </row>
    <row r="704" spans="1:4" x14ac:dyDescent="0.35">
      <c r="A704" s="11" t="s">
        <v>1658</v>
      </c>
      <c r="B704" s="12" t="s">
        <v>4716</v>
      </c>
      <c r="C704" s="12" t="s">
        <v>5955</v>
      </c>
      <c r="D704" s="13" t="s">
        <v>5956</v>
      </c>
    </row>
    <row r="705" spans="1:4" x14ac:dyDescent="0.35">
      <c r="A705" s="14" t="s">
        <v>1657</v>
      </c>
      <c r="B705" s="15" t="s">
        <v>4713</v>
      </c>
      <c r="C705" s="15" t="s">
        <v>5957</v>
      </c>
      <c r="D705" s="16" t="s">
        <v>4863</v>
      </c>
    </row>
    <row r="706" spans="1:4" x14ac:dyDescent="0.35">
      <c r="A706" s="11" t="s">
        <v>1656</v>
      </c>
      <c r="B706" s="12" t="s">
        <v>4713</v>
      </c>
      <c r="C706" s="12" t="s">
        <v>5958</v>
      </c>
      <c r="D706" s="13" t="s">
        <v>5959</v>
      </c>
    </row>
    <row r="707" spans="1:4" x14ac:dyDescent="0.35">
      <c r="A707" s="14" t="s">
        <v>1655</v>
      </c>
      <c r="B707" s="15" t="s">
        <v>4716</v>
      </c>
      <c r="C707" s="15" t="s">
        <v>5960</v>
      </c>
      <c r="D707" s="16" t="s">
        <v>5961</v>
      </c>
    </row>
    <row r="708" spans="1:4" x14ac:dyDescent="0.35">
      <c r="A708" s="11" t="s">
        <v>1654</v>
      </c>
      <c r="B708" s="12" t="s">
        <v>4713</v>
      </c>
      <c r="C708" s="12" t="s">
        <v>5962</v>
      </c>
      <c r="D708" s="13" t="s">
        <v>5490</v>
      </c>
    </row>
    <row r="709" spans="1:4" x14ac:dyDescent="0.35">
      <c r="A709" s="14" t="s">
        <v>1653</v>
      </c>
      <c r="B709" s="15" t="s">
        <v>5590</v>
      </c>
      <c r="C709" s="15" t="s">
        <v>5583</v>
      </c>
      <c r="D709" s="16" t="s">
        <v>5661</v>
      </c>
    </row>
    <row r="710" spans="1:4" x14ac:dyDescent="0.35">
      <c r="A710" s="11" t="s">
        <v>1652</v>
      </c>
      <c r="B710" s="12" t="s">
        <v>5590</v>
      </c>
      <c r="C710" s="12" t="s">
        <v>5963</v>
      </c>
      <c r="D710" s="13" t="s">
        <v>5964</v>
      </c>
    </row>
    <row r="711" spans="1:4" x14ac:dyDescent="0.35">
      <c r="A711" s="14" t="s">
        <v>1651</v>
      </c>
      <c r="B711" s="15" t="s">
        <v>4713</v>
      </c>
      <c r="C711" s="15" t="s">
        <v>5965</v>
      </c>
      <c r="D711" s="16" t="s">
        <v>5966</v>
      </c>
    </row>
    <row r="712" spans="1:4" x14ac:dyDescent="0.35">
      <c r="A712" s="11" t="s">
        <v>1650</v>
      </c>
      <c r="B712" s="12" t="s">
        <v>4713</v>
      </c>
      <c r="C712" s="12" t="s">
        <v>5967</v>
      </c>
      <c r="D712" s="13" t="s">
        <v>5968</v>
      </c>
    </row>
    <row r="713" spans="1:4" x14ac:dyDescent="0.35">
      <c r="A713" s="14" t="s">
        <v>1649</v>
      </c>
      <c r="B713" s="15" t="s">
        <v>4713</v>
      </c>
      <c r="C713" s="15" t="s">
        <v>5969</v>
      </c>
      <c r="D713" s="16" t="s">
        <v>5970</v>
      </c>
    </row>
    <row r="714" spans="1:4" x14ac:dyDescent="0.35">
      <c r="A714" s="11" t="s">
        <v>1648</v>
      </c>
      <c r="B714" s="12" t="s">
        <v>4716</v>
      </c>
      <c r="C714" s="12" t="s">
        <v>5971</v>
      </c>
      <c r="D714" s="13" t="s">
        <v>5972</v>
      </c>
    </row>
    <row r="715" spans="1:4" x14ac:dyDescent="0.35">
      <c r="A715" s="14" t="s">
        <v>1647</v>
      </c>
      <c r="B715" s="15" t="s">
        <v>5590</v>
      </c>
      <c r="C715" s="15" t="s">
        <v>5973</v>
      </c>
      <c r="D715" s="16" t="s">
        <v>5184</v>
      </c>
    </row>
    <row r="716" spans="1:4" x14ac:dyDescent="0.35">
      <c r="A716" s="11" t="s">
        <v>1646</v>
      </c>
      <c r="B716" s="12" t="s">
        <v>5590</v>
      </c>
      <c r="C716" s="12" t="s">
        <v>4838</v>
      </c>
      <c r="D716" s="13" t="s">
        <v>5974</v>
      </c>
    </row>
    <row r="717" spans="1:4" x14ac:dyDescent="0.35">
      <c r="A717" s="14" t="s">
        <v>1645</v>
      </c>
      <c r="B717" s="15" t="s">
        <v>4713</v>
      </c>
      <c r="C717" s="15" t="s">
        <v>5975</v>
      </c>
      <c r="D717" s="16" t="s">
        <v>5976</v>
      </c>
    </row>
    <row r="718" spans="1:4" x14ac:dyDescent="0.35">
      <c r="A718" s="11" t="s">
        <v>1644</v>
      </c>
      <c r="B718" s="12" t="s">
        <v>4713</v>
      </c>
      <c r="C718" s="12" t="s">
        <v>5977</v>
      </c>
      <c r="D718" s="13" t="s">
        <v>5978</v>
      </c>
    </row>
    <row r="719" spans="1:4" x14ac:dyDescent="0.35">
      <c r="A719" s="14" t="s">
        <v>1643</v>
      </c>
      <c r="B719" s="15" t="s">
        <v>4716</v>
      </c>
      <c r="C719" s="15" t="s">
        <v>5979</v>
      </c>
      <c r="D719" s="16" t="s">
        <v>5980</v>
      </c>
    </row>
    <row r="720" spans="1:4" x14ac:dyDescent="0.35">
      <c r="A720" s="11" t="s">
        <v>1642</v>
      </c>
      <c r="B720" s="12" t="s">
        <v>4716</v>
      </c>
      <c r="C720" s="12" t="s">
        <v>5981</v>
      </c>
      <c r="D720" s="13" t="s">
        <v>5982</v>
      </c>
    </row>
    <row r="721" spans="1:4" x14ac:dyDescent="0.35">
      <c r="A721" s="14" t="s">
        <v>1641</v>
      </c>
      <c r="B721" s="15" t="s">
        <v>4716</v>
      </c>
      <c r="C721" s="15" t="s">
        <v>5983</v>
      </c>
      <c r="D721" s="16" t="s">
        <v>5984</v>
      </c>
    </row>
    <row r="722" spans="1:4" x14ac:dyDescent="0.35">
      <c r="A722" s="11" t="s">
        <v>1640</v>
      </c>
      <c r="B722" s="12" t="s">
        <v>4713</v>
      </c>
      <c r="C722" s="12" t="s">
        <v>5985</v>
      </c>
      <c r="D722" s="13" t="s">
        <v>4773</v>
      </c>
    </row>
    <row r="723" spans="1:4" x14ac:dyDescent="0.35">
      <c r="A723" s="14" t="s">
        <v>1639</v>
      </c>
      <c r="B723" s="15" t="s">
        <v>4713</v>
      </c>
      <c r="C723" s="15" t="s">
        <v>5986</v>
      </c>
      <c r="D723" s="16" t="s">
        <v>5467</v>
      </c>
    </row>
    <row r="724" spans="1:4" x14ac:dyDescent="0.35">
      <c r="A724" s="11" t="s">
        <v>1638</v>
      </c>
      <c r="B724" s="12" t="s">
        <v>4713</v>
      </c>
      <c r="C724" s="12" t="s">
        <v>5987</v>
      </c>
      <c r="D724" s="13" t="s">
        <v>5988</v>
      </c>
    </row>
    <row r="725" spans="1:4" x14ac:dyDescent="0.35">
      <c r="A725" s="14" t="s">
        <v>1637</v>
      </c>
      <c r="B725" s="15" t="s">
        <v>5590</v>
      </c>
      <c r="C725" s="15" t="s">
        <v>5989</v>
      </c>
      <c r="D725" s="16" t="s">
        <v>5600</v>
      </c>
    </row>
    <row r="726" spans="1:4" x14ac:dyDescent="0.35">
      <c r="A726" s="11" t="s">
        <v>1636</v>
      </c>
      <c r="B726" s="12" t="s">
        <v>4716</v>
      </c>
      <c r="C726" s="12" t="s">
        <v>5990</v>
      </c>
      <c r="D726" s="13" t="s">
        <v>5991</v>
      </c>
    </row>
    <row r="727" spans="1:4" x14ac:dyDescent="0.35">
      <c r="A727" s="14" t="s">
        <v>1635</v>
      </c>
      <c r="B727" s="15" t="s">
        <v>4716</v>
      </c>
      <c r="C727" s="15" t="s">
        <v>4886</v>
      </c>
      <c r="D727" s="16" t="s">
        <v>5228</v>
      </c>
    </row>
    <row r="728" spans="1:4" x14ac:dyDescent="0.35">
      <c r="A728" s="11" t="s">
        <v>1634</v>
      </c>
      <c r="B728" s="12" t="s">
        <v>4716</v>
      </c>
      <c r="C728" s="12" t="s">
        <v>5992</v>
      </c>
      <c r="D728" s="13" t="s">
        <v>4754</v>
      </c>
    </row>
    <row r="729" spans="1:4" x14ac:dyDescent="0.35">
      <c r="A729" s="14" t="s">
        <v>1633</v>
      </c>
      <c r="B729" s="15" t="s">
        <v>4716</v>
      </c>
      <c r="C729" s="15" t="s">
        <v>5993</v>
      </c>
      <c r="D729" s="16" t="s">
        <v>5994</v>
      </c>
    </row>
    <row r="730" spans="1:4" x14ac:dyDescent="0.35">
      <c r="A730" s="11" t="s">
        <v>1632</v>
      </c>
      <c r="B730" s="12" t="s">
        <v>4716</v>
      </c>
      <c r="C730" s="12" t="s">
        <v>5981</v>
      </c>
      <c r="D730" s="13" t="s">
        <v>5995</v>
      </c>
    </row>
    <row r="731" spans="1:4" x14ac:dyDescent="0.35">
      <c r="A731" s="14" t="s">
        <v>1631</v>
      </c>
      <c r="B731" s="15" t="s">
        <v>4713</v>
      </c>
      <c r="C731" s="15" t="s">
        <v>5996</v>
      </c>
      <c r="D731" s="16" t="s">
        <v>5997</v>
      </c>
    </row>
    <row r="732" spans="1:4" x14ac:dyDescent="0.35">
      <c r="A732" s="11" t="s">
        <v>1630</v>
      </c>
      <c r="B732" s="12" t="s">
        <v>4713</v>
      </c>
      <c r="C732" s="12" t="s">
        <v>5998</v>
      </c>
      <c r="D732" s="13" t="s">
        <v>5058</v>
      </c>
    </row>
    <row r="733" spans="1:4" x14ac:dyDescent="0.35">
      <c r="A733" s="14" t="s">
        <v>1629</v>
      </c>
      <c r="B733" s="15" t="s">
        <v>4716</v>
      </c>
      <c r="C733" s="15" t="s">
        <v>5999</v>
      </c>
      <c r="D733" s="16" t="s">
        <v>6000</v>
      </c>
    </row>
    <row r="734" spans="1:4" x14ac:dyDescent="0.35">
      <c r="A734" s="11" t="s">
        <v>1628</v>
      </c>
      <c r="B734" s="12" t="s">
        <v>4713</v>
      </c>
      <c r="C734" s="12" t="s">
        <v>6001</v>
      </c>
      <c r="D734" s="13" t="s">
        <v>6002</v>
      </c>
    </row>
    <row r="735" spans="1:4" x14ac:dyDescent="0.35">
      <c r="A735" s="14" t="s">
        <v>1627</v>
      </c>
      <c r="B735" s="15" t="s">
        <v>4713</v>
      </c>
      <c r="C735" s="15" t="s">
        <v>4844</v>
      </c>
      <c r="D735" s="16" t="s">
        <v>6003</v>
      </c>
    </row>
    <row r="736" spans="1:4" x14ac:dyDescent="0.35">
      <c r="A736" s="11" t="s">
        <v>1626</v>
      </c>
      <c r="B736" s="12" t="s">
        <v>4713</v>
      </c>
      <c r="C736" s="12" t="s">
        <v>6004</v>
      </c>
      <c r="D736" s="13" t="s">
        <v>6005</v>
      </c>
    </row>
    <row r="737" spans="1:4" x14ac:dyDescent="0.35">
      <c r="A737" s="14" t="s">
        <v>1625</v>
      </c>
      <c r="B737" s="15" t="s">
        <v>4713</v>
      </c>
      <c r="C737" s="15" t="s">
        <v>6006</v>
      </c>
      <c r="D737" s="16" t="s">
        <v>6007</v>
      </c>
    </row>
    <row r="738" spans="1:4" x14ac:dyDescent="0.35">
      <c r="A738" s="11" t="s">
        <v>1624</v>
      </c>
      <c r="B738" s="12" t="s">
        <v>4716</v>
      </c>
      <c r="C738" s="12" t="s">
        <v>6008</v>
      </c>
      <c r="D738" s="13" t="s">
        <v>5276</v>
      </c>
    </row>
    <row r="739" spans="1:4" x14ac:dyDescent="0.35">
      <c r="A739" s="14" t="s">
        <v>1623</v>
      </c>
      <c r="B739" s="15" t="s">
        <v>4716</v>
      </c>
      <c r="C739" s="15" t="s">
        <v>6009</v>
      </c>
      <c r="D739" s="16" t="s">
        <v>6010</v>
      </c>
    </row>
    <row r="740" spans="1:4" x14ac:dyDescent="0.35">
      <c r="A740" s="11" t="s">
        <v>1622</v>
      </c>
      <c r="B740" s="12" t="s">
        <v>4716</v>
      </c>
      <c r="C740" s="12" t="s">
        <v>6011</v>
      </c>
      <c r="D740" s="13" t="s">
        <v>6012</v>
      </c>
    </row>
    <row r="741" spans="1:4" x14ac:dyDescent="0.35">
      <c r="A741" s="14" t="s">
        <v>1621</v>
      </c>
      <c r="B741" s="15" t="s">
        <v>5590</v>
      </c>
      <c r="C741" s="15" t="s">
        <v>6013</v>
      </c>
      <c r="D741" s="16" t="s">
        <v>6014</v>
      </c>
    </row>
    <row r="742" spans="1:4" x14ac:dyDescent="0.35">
      <c r="A742" s="11" t="s">
        <v>1620</v>
      </c>
      <c r="B742" s="12" t="s">
        <v>4716</v>
      </c>
      <c r="C742" s="12" t="s">
        <v>6015</v>
      </c>
      <c r="D742" s="13" t="s">
        <v>5140</v>
      </c>
    </row>
    <row r="743" spans="1:4" x14ac:dyDescent="0.35">
      <c r="A743" s="14" t="s">
        <v>1619</v>
      </c>
      <c r="B743" s="15" t="s">
        <v>4716</v>
      </c>
      <c r="C743" s="15" t="s">
        <v>6016</v>
      </c>
      <c r="D743" s="16" t="s">
        <v>6017</v>
      </c>
    </row>
    <row r="744" spans="1:4" x14ac:dyDescent="0.35">
      <c r="A744" s="11" t="s">
        <v>1618</v>
      </c>
      <c r="B744" s="12" t="s">
        <v>5590</v>
      </c>
      <c r="C744" s="12" t="s">
        <v>6018</v>
      </c>
      <c r="D744" s="13" t="s">
        <v>5536</v>
      </c>
    </row>
    <row r="745" spans="1:4" x14ac:dyDescent="0.35">
      <c r="A745" s="14" t="s">
        <v>1617</v>
      </c>
      <c r="B745" s="15" t="s">
        <v>5590</v>
      </c>
      <c r="C745" s="15" t="s">
        <v>4757</v>
      </c>
      <c r="D745" s="16" t="s">
        <v>6019</v>
      </c>
    </row>
    <row r="746" spans="1:4" x14ac:dyDescent="0.35">
      <c r="A746" s="11" t="s">
        <v>1616</v>
      </c>
      <c r="B746" s="12" t="s">
        <v>4713</v>
      </c>
      <c r="C746" s="12" t="s">
        <v>6020</v>
      </c>
      <c r="D746" s="13" t="s">
        <v>6021</v>
      </c>
    </row>
    <row r="747" spans="1:4" x14ac:dyDescent="0.35">
      <c r="A747" s="14" t="s">
        <v>1615</v>
      </c>
      <c r="B747" s="15" t="s">
        <v>4716</v>
      </c>
      <c r="C747" s="15" t="s">
        <v>6022</v>
      </c>
      <c r="D747" s="16" t="s">
        <v>6023</v>
      </c>
    </row>
    <row r="748" spans="1:4" x14ac:dyDescent="0.35">
      <c r="A748" s="11" t="s">
        <v>1614</v>
      </c>
      <c r="B748" s="12" t="s">
        <v>5590</v>
      </c>
      <c r="C748" s="12" t="s">
        <v>6024</v>
      </c>
      <c r="D748" s="13" t="s">
        <v>6025</v>
      </c>
    </row>
    <row r="749" spans="1:4" x14ac:dyDescent="0.35">
      <c r="A749" s="14" t="s">
        <v>1613</v>
      </c>
      <c r="B749" s="15" t="s">
        <v>4716</v>
      </c>
      <c r="C749" s="15" t="s">
        <v>6026</v>
      </c>
      <c r="D749" s="16" t="s">
        <v>5140</v>
      </c>
    </row>
    <row r="750" spans="1:4" x14ac:dyDescent="0.35">
      <c r="A750" s="11" t="s">
        <v>1612</v>
      </c>
      <c r="B750" s="12" t="s">
        <v>4716</v>
      </c>
      <c r="C750" s="12" t="s">
        <v>6027</v>
      </c>
      <c r="D750" s="13" t="s">
        <v>4843</v>
      </c>
    </row>
    <row r="751" spans="1:4" x14ac:dyDescent="0.35">
      <c r="A751" s="14" t="s">
        <v>1611</v>
      </c>
      <c r="B751" s="15" t="s">
        <v>4713</v>
      </c>
      <c r="C751" s="15" t="s">
        <v>6028</v>
      </c>
      <c r="D751" s="16" t="s">
        <v>4841</v>
      </c>
    </row>
    <row r="752" spans="1:4" x14ac:dyDescent="0.35">
      <c r="A752" s="11" t="s">
        <v>1610</v>
      </c>
      <c r="B752" s="12" t="s">
        <v>4716</v>
      </c>
      <c r="C752" s="12" t="s">
        <v>6029</v>
      </c>
      <c r="D752" s="13" t="s">
        <v>4877</v>
      </c>
    </row>
    <row r="753" spans="1:4" x14ac:dyDescent="0.35">
      <c r="A753" s="14" t="s">
        <v>1609</v>
      </c>
      <c r="B753" s="15" t="s">
        <v>4713</v>
      </c>
      <c r="C753" s="15" t="s">
        <v>6030</v>
      </c>
      <c r="D753" s="16" t="s">
        <v>6031</v>
      </c>
    </row>
    <row r="754" spans="1:4" x14ac:dyDescent="0.35">
      <c r="A754" s="11" t="s">
        <v>1608</v>
      </c>
      <c r="B754" s="12" t="s">
        <v>4713</v>
      </c>
      <c r="C754" s="12" t="s">
        <v>6032</v>
      </c>
      <c r="D754" s="13" t="s">
        <v>6033</v>
      </c>
    </row>
    <row r="755" spans="1:4" x14ac:dyDescent="0.35">
      <c r="A755" s="14" t="s">
        <v>1607</v>
      </c>
      <c r="B755" s="15" t="s">
        <v>4713</v>
      </c>
      <c r="C755" s="15" t="s">
        <v>6034</v>
      </c>
      <c r="D755" s="16" t="s">
        <v>6035</v>
      </c>
    </row>
    <row r="756" spans="1:4" x14ac:dyDescent="0.35">
      <c r="A756" s="11" t="s">
        <v>1606</v>
      </c>
      <c r="B756" s="12" t="s">
        <v>5590</v>
      </c>
      <c r="C756" s="12" t="s">
        <v>6036</v>
      </c>
      <c r="D756" s="13" t="s">
        <v>6037</v>
      </c>
    </row>
    <row r="757" spans="1:4" x14ac:dyDescent="0.35">
      <c r="A757" s="14" t="s">
        <v>1605</v>
      </c>
      <c r="B757" s="15" t="s">
        <v>4716</v>
      </c>
      <c r="C757" s="15" t="s">
        <v>6038</v>
      </c>
      <c r="D757" s="16" t="s">
        <v>6039</v>
      </c>
    </row>
    <row r="758" spans="1:4" x14ac:dyDescent="0.35">
      <c r="A758" s="11" t="s">
        <v>1604</v>
      </c>
      <c r="B758" s="12" t="s">
        <v>4716</v>
      </c>
      <c r="C758" s="12" t="s">
        <v>6040</v>
      </c>
      <c r="D758" s="13" t="s">
        <v>6041</v>
      </c>
    </row>
    <row r="759" spans="1:4" x14ac:dyDescent="0.35">
      <c r="A759" s="14" t="s">
        <v>1603</v>
      </c>
      <c r="B759" s="15" t="s">
        <v>4716</v>
      </c>
      <c r="C759" s="15" t="s">
        <v>6042</v>
      </c>
      <c r="D759" s="16" t="s">
        <v>5049</v>
      </c>
    </row>
    <row r="760" spans="1:4" x14ac:dyDescent="0.35">
      <c r="A760" s="11" t="s">
        <v>1602</v>
      </c>
      <c r="B760" s="12" t="s">
        <v>4716</v>
      </c>
      <c r="C760" s="12" t="s">
        <v>6043</v>
      </c>
      <c r="D760" s="13" t="s">
        <v>6044</v>
      </c>
    </row>
    <row r="761" spans="1:4" x14ac:dyDescent="0.35">
      <c r="A761" s="14" t="s">
        <v>1601</v>
      </c>
      <c r="B761" s="15" t="s">
        <v>4713</v>
      </c>
      <c r="C761" s="15" t="s">
        <v>6045</v>
      </c>
      <c r="D761" s="16" t="s">
        <v>6046</v>
      </c>
    </row>
    <row r="762" spans="1:4" x14ac:dyDescent="0.35">
      <c r="A762" s="11" t="s">
        <v>1600</v>
      </c>
      <c r="B762" s="12" t="s">
        <v>4713</v>
      </c>
      <c r="C762" s="12" t="s">
        <v>6047</v>
      </c>
      <c r="D762" s="13" t="s">
        <v>5600</v>
      </c>
    </row>
    <row r="763" spans="1:4" x14ac:dyDescent="0.35">
      <c r="A763" s="14" t="s">
        <v>1599</v>
      </c>
      <c r="B763" s="15" t="s">
        <v>4716</v>
      </c>
      <c r="C763" s="15" t="s">
        <v>6048</v>
      </c>
      <c r="D763" s="16" t="s">
        <v>5202</v>
      </c>
    </row>
    <row r="764" spans="1:4" x14ac:dyDescent="0.35">
      <c r="A764" s="11" t="s">
        <v>1598</v>
      </c>
      <c r="B764" s="12" t="s">
        <v>4713</v>
      </c>
      <c r="C764" s="12" t="s">
        <v>6049</v>
      </c>
      <c r="D764" s="13" t="s">
        <v>4781</v>
      </c>
    </row>
    <row r="765" spans="1:4" x14ac:dyDescent="0.35">
      <c r="A765" s="14" t="s">
        <v>1597</v>
      </c>
      <c r="B765" s="15" t="s">
        <v>4713</v>
      </c>
      <c r="C765" s="15" t="s">
        <v>6050</v>
      </c>
      <c r="D765" s="16" t="s">
        <v>6051</v>
      </c>
    </row>
    <row r="766" spans="1:4" x14ac:dyDescent="0.35">
      <c r="A766" s="11" t="s">
        <v>1596</v>
      </c>
      <c r="B766" s="12" t="s">
        <v>4713</v>
      </c>
      <c r="C766" s="12" t="s">
        <v>6052</v>
      </c>
      <c r="D766" s="13" t="s">
        <v>6053</v>
      </c>
    </row>
    <row r="767" spans="1:4" x14ac:dyDescent="0.35">
      <c r="A767" s="14" t="s">
        <v>1595</v>
      </c>
      <c r="B767" s="15" t="s">
        <v>4713</v>
      </c>
      <c r="C767" s="15" t="s">
        <v>6054</v>
      </c>
      <c r="D767" s="16" t="s">
        <v>6055</v>
      </c>
    </row>
    <row r="768" spans="1:4" x14ac:dyDescent="0.35">
      <c r="A768" s="11" t="s">
        <v>1594</v>
      </c>
      <c r="B768" s="12" t="s">
        <v>4713</v>
      </c>
      <c r="C768" s="12" t="s">
        <v>6056</v>
      </c>
      <c r="D768" s="13" t="s">
        <v>6057</v>
      </c>
    </row>
    <row r="769" spans="1:4" x14ac:dyDescent="0.35">
      <c r="A769" s="14" t="s">
        <v>1593</v>
      </c>
      <c r="B769" s="15" t="s">
        <v>4713</v>
      </c>
      <c r="C769" s="15" t="s">
        <v>6058</v>
      </c>
      <c r="D769" s="16" t="s">
        <v>6059</v>
      </c>
    </row>
    <row r="770" spans="1:4" x14ac:dyDescent="0.35">
      <c r="A770" s="11" t="s">
        <v>1592</v>
      </c>
      <c r="B770" s="12" t="s">
        <v>4713</v>
      </c>
      <c r="C770" s="12" t="s">
        <v>6060</v>
      </c>
      <c r="D770" s="13" t="s">
        <v>5281</v>
      </c>
    </row>
    <row r="771" spans="1:4" x14ac:dyDescent="0.35">
      <c r="A771" s="14" t="s">
        <v>1591</v>
      </c>
      <c r="B771" s="15" t="s">
        <v>4713</v>
      </c>
      <c r="C771" s="15" t="s">
        <v>6061</v>
      </c>
      <c r="D771" s="16" t="s">
        <v>6062</v>
      </c>
    </row>
    <row r="772" spans="1:4" x14ac:dyDescent="0.35">
      <c r="A772" s="11" t="s">
        <v>1590</v>
      </c>
      <c r="B772" s="12" t="s">
        <v>4716</v>
      </c>
      <c r="C772" s="12" t="s">
        <v>6063</v>
      </c>
      <c r="D772" s="13" t="s">
        <v>4718</v>
      </c>
    </row>
    <row r="773" spans="1:4" x14ac:dyDescent="0.35">
      <c r="A773" s="14" t="s">
        <v>1589</v>
      </c>
      <c r="B773" s="15" t="s">
        <v>4716</v>
      </c>
      <c r="C773" s="15" t="s">
        <v>6064</v>
      </c>
      <c r="D773" s="16" t="s">
        <v>5010</v>
      </c>
    </row>
    <row r="774" spans="1:4" x14ac:dyDescent="0.35">
      <c r="A774" s="11" t="s">
        <v>1588</v>
      </c>
      <c r="B774" s="12" t="s">
        <v>4716</v>
      </c>
      <c r="C774" s="12" t="s">
        <v>6065</v>
      </c>
      <c r="D774" s="13" t="s">
        <v>5029</v>
      </c>
    </row>
    <row r="775" spans="1:4" x14ac:dyDescent="0.35">
      <c r="A775" s="14" t="s">
        <v>1587</v>
      </c>
      <c r="B775" s="15" t="s">
        <v>4716</v>
      </c>
      <c r="C775" s="15" t="s">
        <v>6066</v>
      </c>
      <c r="D775" s="16" t="s">
        <v>5140</v>
      </c>
    </row>
    <row r="776" spans="1:4" x14ac:dyDescent="0.35">
      <c r="A776" s="11" t="s">
        <v>1586</v>
      </c>
      <c r="B776" s="12" t="s">
        <v>4716</v>
      </c>
      <c r="C776" s="12" t="s">
        <v>6067</v>
      </c>
      <c r="D776" s="13" t="s">
        <v>6068</v>
      </c>
    </row>
    <row r="777" spans="1:4" x14ac:dyDescent="0.35">
      <c r="A777" s="14" t="s">
        <v>1585</v>
      </c>
      <c r="B777" s="15" t="s">
        <v>5590</v>
      </c>
      <c r="C777" s="15" t="s">
        <v>6069</v>
      </c>
      <c r="D777" s="16" t="s">
        <v>6070</v>
      </c>
    </row>
    <row r="778" spans="1:4" x14ac:dyDescent="0.35">
      <c r="A778" s="11" t="s">
        <v>1584</v>
      </c>
      <c r="B778" s="12" t="s">
        <v>5590</v>
      </c>
      <c r="C778" s="12" t="s">
        <v>4848</v>
      </c>
      <c r="D778" s="13" t="s">
        <v>6071</v>
      </c>
    </row>
    <row r="779" spans="1:4" x14ac:dyDescent="0.35">
      <c r="A779" s="14" t="s">
        <v>1583</v>
      </c>
      <c r="B779" s="15" t="s">
        <v>4713</v>
      </c>
      <c r="C779" s="15" t="s">
        <v>6072</v>
      </c>
      <c r="D779" s="16" t="s">
        <v>6073</v>
      </c>
    </row>
    <row r="780" spans="1:4" x14ac:dyDescent="0.35">
      <c r="A780" s="11" t="s">
        <v>1582</v>
      </c>
      <c r="B780" s="12" t="s">
        <v>4716</v>
      </c>
      <c r="C780" s="12" t="s">
        <v>6074</v>
      </c>
      <c r="D780" s="13" t="s">
        <v>5105</v>
      </c>
    </row>
    <row r="781" spans="1:4" x14ac:dyDescent="0.35">
      <c r="A781" s="14" t="s">
        <v>1581</v>
      </c>
      <c r="B781" s="15" t="s">
        <v>4713</v>
      </c>
      <c r="C781" s="15" t="s">
        <v>6075</v>
      </c>
      <c r="D781" s="16" t="s">
        <v>5490</v>
      </c>
    </row>
    <row r="782" spans="1:4" x14ac:dyDescent="0.35">
      <c r="A782" s="11" t="s">
        <v>1580</v>
      </c>
      <c r="B782" s="12" t="s">
        <v>4716</v>
      </c>
      <c r="C782" s="12" t="s">
        <v>6076</v>
      </c>
      <c r="D782" s="13" t="s">
        <v>6077</v>
      </c>
    </row>
    <row r="783" spans="1:4" x14ac:dyDescent="0.35">
      <c r="A783" s="14" t="s">
        <v>1579</v>
      </c>
      <c r="B783" s="15" t="s">
        <v>4713</v>
      </c>
      <c r="C783" s="15" t="s">
        <v>5890</v>
      </c>
      <c r="D783" s="16" t="s">
        <v>6078</v>
      </c>
    </row>
    <row r="784" spans="1:4" x14ac:dyDescent="0.35">
      <c r="A784" s="11" t="s">
        <v>1578</v>
      </c>
      <c r="B784" s="12" t="s">
        <v>4713</v>
      </c>
      <c r="C784" s="12" t="s">
        <v>6079</v>
      </c>
      <c r="D784" s="13" t="s">
        <v>6080</v>
      </c>
    </row>
    <row r="785" spans="1:4" x14ac:dyDescent="0.35">
      <c r="A785" s="14" t="s">
        <v>1577</v>
      </c>
      <c r="B785" s="15" t="s">
        <v>4713</v>
      </c>
      <c r="C785" s="15" t="s">
        <v>6081</v>
      </c>
      <c r="D785" s="16" t="s">
        <v>6082</v>
      </c>
    </row>
    <row r="786" spans="1:4" x14ac:dyDescent="0.35">
      <c r="A786" s="11" t="s">
        <v>1576</v>
      </c>
      <c r="B786" s="12" t="s">
        <v>4713</v>
      </c>
      <c r="C786" s="12" t="s">
        <v>6083</v>
      </c>
      <c r="D786" s="13" t="s">
        <v>6084</v>
      </c>
    </row>
    <row r="787" spans="1:4" x14ac:dyDescent="0.35">
      <c r="A787" s="14" t="s">
        <v>1575</v>
      </c>
      <c r="B787" s="15" t="s">
        <v>4713</v>
      </c>
      <c r="C787" s="15" t="s">
        <v>6085</v>
      </c>
      <c r="D787" s="16" t="s">
        <v>6086</v>
      </c>
    </row>
    <row r="788" spans="1:4" x14ac:dyDescent="0.35">
      <c r="A788" s="11" t="s">
        <v>1574</v>
      </c>
      <c r="B788" s="12" t="s">
        <v>4713</v>
      </c>
      <c r="C788" s="12" t="s">
        <v>6087</v>
      </c>
      <c r="D788" s="13" t="s">
        <v>6088</v>
      </c>
    </row>
    <row r="789" spans="1:4" x14ac:dyDescent="0.35">
      <c r="A789" s="14" t="s">
        <v>1573</v>
      </c>
      <c r="B789" s="15" t="s">
        <v>4716</v>
      </c>
      <c r="C789" s="15" t="s">
        <v>4792</v>
      </c>
      <c r="D789" s="16" t="s">
        <v>6089</v>
      </c>
    </row>
    <row r="790" spans="1:4" x14ac:dyDescent="0.35">
      <c r="A790" s="11" t="s">
        <v>1572</v>
      </c>
      <c r="B790" s="12" t="s">
        <v>4716</v>
      </c>
      <c r="C790" s="12" t="s">
        <v>6090</v>
      </c>
      <c r="D790" s="13" t="s">
        <v>6091</v>
      </c>
    </row>
    <row r="791" spans="1:4" x14ac:dyDescent="0.35">
      <c r="A791" s="14" t="s">
        <v>1571</v>
      </c>
      <c r="B791" s="15" t="s">
        <v>4716</v>
      </c>
      <c r="C791" s="15" t="s">
        <v>6092</v>
      </c>
      <c r="D791" s="16" t="s">
        <v>6093</v>
      </c>
    </row>
    <row r="792" spans="1:4" x14ac:dyDescent="0.35">
      <c r="A792" s="11" t="s">
        <v>1570</v>
      </c>
      <c r="B792" s="12" t="s">
        <v>4713</v>
      </c>
      <c r="C792" s="12" t="s">
        <v>6094</v>
      </c>
      <c r="D792" s="13" t="s">
        <v>4901</v>
      </c>
    </row>
    <row r="793" spans="1:4" x14ac:dyDescent="0.35">
      <c r="A793" s="14" t="s">
        <v>1569</v>
      </c>
      <c r="B793" s="15" t="s">
        <v>4713</v>
      </c>
      <c r="C793" s="15" t="s">
        <v>6095</v>
      </c>
      <c r="D793" s="16" t="s">
        <v>6096</v>
      </c>
    </row>
    <row r="794" spans="1:4" x14ac:dyDescent="0.35">
      <c r="A794" s="11" t="s">
        <v>1568</v>
      </c>
      <c r="B794" s="12" t="s">
        <v>5590</v>
      </c>
      <c r="C794" s="12" t="s">
        <v>6097</v>
      </c>
      <c r="D794" s="13" t="s">
        <v>6098</v>
      </c>
    </row>
    <row r="795" spans="1:4" x14ac:dyDescent="0.35">
      <c r="A795" s="14" t="s">
        <v>1567</v>
      </c>
      <c r="B795" s="15" t="s">
        <v>4716</v>
      </c>
      <c r="C795" s="15" t="s">
        <v>6099</v>
      </c>
      <c r="D795" s="16" t="s">
        <v>6100</v>
      </c>
    </row>
    <row r="796" spans="1:4" x14ac:dyDescent="0.35">
      <c r="A796" s="11" t="s">
        <v>1566</v>
      </c>
      <c r="B796" s="12" t="s">
        <v>4713</v>
      </c>
      <c r="C796" s="12" t="s">
        <v>6101</v>
      </c>
      <c r="D796" s="13" t="s">
        <v>5076</v>
      </c>
    </row>
    <row r="797" spans="1:4" x14ac:dyDescent="0.35">
      <c r="A797" s="14" t="s">
        <v>1565</v>
      </c>
      <c r="B797" s="15" t="s">
        <v>5590</v>
      </c>
      <c r="C797" s="15" t="s">
        <v>6102</v>
      </c>
      <c r="D797" s="16" t="s">
        <v>6103</v>
      </c>
    </row>
    <row r="798" spans="1:4" x14ac:dyDescent="0.35">
      <c r="A798" s="11" t="s">
        <v>1564</v>
      </c>
      <c r="B798" s="12" t="s">
        <v>4713</v>
      </c>
      <c r="C798" s="12" t="s">
        <v>6104</v>
      </c>
      <c r="D798" s="13" t="s">
        <v>6105</v>
      </c>
    </row>
    <row r="799" spans="1:4" x14ac:dyDescent="0.35">
      <c r="A799" s="14" t="s">
        <v>1563</v>
      </c>
      <c r="B799" s="15" t="s">
        <v>5590</v>
      </c>
      <c r="C799" s="15" t="s">
        <v>6106</v>
      </c>
      <c r="D799" s="16" t="s">
        <v>6107</v>
      </c>
    </row>
    <row r="800" spans="1:4" x14ac:dyDescent="0.35">
      <c r="A800" s="11" t="s">
        <v>1562</v>
      </c>
      <c r="B800" s="12" t="s">
        <v>4713</v>
      </c>
      <c r="C800" s="12" t="s">
        <v>5599</v>
      </c>
      <c r="D800" s="13" t="s">
        <v>6108</v>
      </c>
    </row>
    <row r="801" spans="1:4" x14ac:dyDescent="0.35">
      <c r="A801" s="14" t="s">
        <v>1561</v>
      </c>
      <c r="B801" s="15" t="s">
        <v>4713</v>
      </c>
      <c r="C801" s="15" t="s">
        <v>6109</v>
      </c>
      <c r="D801" s="16" t="s">
        <v>6110</v>
      </c>
    </row>
    <row r="802" spans="1:4" x14ac:dyDescent="0.35">
      <c r="A802" s="11" t="s">
        <v>1560</v>
      </c>
      <c r="B802" s="12" t="s">
        <v>4713</v>
      </c>
      <c r="C802" s="12" t="s">
        <v>6111</v>
      </c>
      <c r="D802" s="13" t="s">
        <v>6112</v>
      </c>
    </row>
    <row r="803" spans="1:4" x14ac:dyDescent="0.35">
      <c r="A803" s="14" t="s">
        <v>1559</v>
      </c>
      <c r="B803" s="15" t="s">
        <v>5590</v>
      </c>
      <c r="C803" s="15" t="s">
        <v>6113</v>
      </c>
      <c r="D803" s="16" t="s">
        <v>6114</v>
      </c>
    </row>
    <row r="804" spans="1:4" x14ac:dyDescent="0.35">
      <c r="A804" s="11" t="s">
        <v>1558</v>
      </c>
      <c r="B804" s="12" t="s">
        <v>4713</v>
      </c>
      <c r="C804" s="12" t="s">
        <v>5222</v>
      </c>
      <c r="D804" s="13" t="s">
        <v>5525</v>
      </c>
    </row>
    <row r="805" spans="1:4" x14ac:dyDescent="0.35">
      <c r="A805" s="14" t="s">
        <v>1557</v>
      </c>
      <c r="B805" s="15" t="s">
        <v>4713</v>
      </c>
      <c r="C805" s="15" t="s">
        <v>6115</v>
      </c>
      <c r="D805" s="16" t="s">
        <v>5525</v>
      </c>
    </row>
    <row r="806" spans="1:4" x14ac:dyDescent="0.35">
      <c r="A806" s="11" t="s">
        <v>1556</v>
      </c>
      <c r="B806" s="12" t="s">
        <v>4716</v>
      </c>
      <c r="C806" s="12" t="s">
        <v>6116</v>
      </c>
      <c r="D806" s="13" t="s">
        <v>6117</v>
      </c>
    </row>
    <row r="807" spans="1:4" x14ac:dyDescent="0.35">
      <c r="A807" s="14" t="s">
        <v>1555</v>
      </c>
      <c r="B807" s="15" t="s">
        <v>4716</v>
      </c>
      <c r="C807" s="15" t="s">
        <v>6118</v>
      </c>
      <c r="D807" s="16" t="s">
        <v>4730</v>
      </c>
    </row>
    <row r="808" spans="1:4" x14ac:dyDescent="0.35">
      <c r="A808" s="11" t="s">
        <v>1554</v>
      </c>
      <c r="B808" s="12" t="s">
        <v>4716</v>
      </c>
      <c r="C808" s="12" t="s">
        <v>6119</v>
      </c>
      <c r="D808" s="13" t="s">
        <v>6120</v>
      </c>
    </row>
    <row r="809" spans="1:4" x14ac:dyDescent="0.35">
      <c r="A809" s="14" t="s">
        <v>1553</v>
      </c>
      <c r="B809" s="15" t="s">
        <v>4716</v>
      </c>
      <c r="C809" s="15" t="s">
        <v>6121</v>
      </c>
      <c r="D809" s="16" t="s">
        <v>6122</v>
      </c>
    </row>
    <row r="810" spans="1:4" x14ac:dyDescent="0.35">
      <c r="A810" s="11" t="s">
        <v>1552</v>
      </c>
      <c r="B810" s="12" t="s">
        <v>5590</v>
      </c>
      <c r="C810" s="12" t="s">
        <v>6123</v>
      </c>
      <c r="D810" s="13" t="s">
        <v>6124</v>
      </c>
    </row>
    <row r="811" spans="1:4" x14ac:dyDescent="0.35">
      <c r="A811" s="14" t="s">
        <v>1551</v>
      </c>
      <c r="B811" s="15" t="s">
        <v>4716</v>
      </c>
      <c r="C811" s="15" t="s">
        <v>6125</v>
      </c>
      <c r="D811" s="16" t="s">
        <v>6126</v>
      </c>
    </row>
    <row r="812" spans="1:4" x14ac:dyDescent="0.35">
      <c r="A812" s="11" t="s">
        <v>1550</v>
      </c>
      <c r="B812" s="12" t="s">
        <v>4716</v>
      </c>
      <c r="C812" s="12" t="s">
        <v>6127</v>
      </c>
      <c r="D812" s="13" t="s">
        <v>4952</v>
      </c>
    </row>
    <row r="813" spans="1:4" x14ac:dyDescent="0.35">
      <c r="A813" s="14" t="s">
        <v>1549</v>
      </c>
      <c r="B813" s="15" t="s">
        <v>4716</v>
      </c>
      <c r="C813" s="15" t="s">
        <v>5446</v>
      </c>
      <c r="D813" s="16" t="s">
        <v>6128</v>
      </c>
    </row>
    <row r="814" spans="1:4" x14ac:dyDescent="0.35">
      <c r="A814" s="11" t="s">
        <v>1548</v>
      </c>
      <c r="B814" s="12" t="s">
        <v>4716</v>
      </c>
      <c r="C814" s="12" t="s">
        <v>6129</v>
      </c>
      <c r="D814" s="13" t="s">
        <v>5747</v>
      </c>
    </row>
    <row r="815" spans="1:4" x14ac:dyDescent="0.35">
      <c r="A815" s="14" t="s">
        <v>1547</v>
      </c>
      <c r="B815" s="15" t="s">
        <v>4716</v>
      </c>
      <c r="C815" s="15" t="s">
        <v>6130</v>
      </c>
      <c r="D815" s="16" t="s">
        <v>6131</v>
      </c>
    </row>
    <row r="816" spans="1:4" x14ac:dyDescent="0.35">
      <c r="A816" s="11" t="s">
        <v>1546</v>
      </c>
      <c r="B816" s="12" t="s">
        <v>4716</v>
      </c>
      <c r="C816" s="12" t="s">
        <v>6132</v>
      </c>
      <c r="D816" s="13" t="s">
        <v>6133</v>
      </c>
    </row>
    <row r="817" spans="1:4" x14ac:dyDescent="0.35">
      <c r="A817" s="14" t="s">
        <v>1545</v>
      </c>
      <c r="B817" s="15" t="s">
        <v>4716</v>
      </c>
      <c r="C817" s="15" t="s">
        <v>6134</v>
      </c>
      <c r="D817" s="16" t="s">
        <v>6135</v>
      </c>
    </row>
    <row r="818" spans="1:4" x14ac:dyDescent="0.35">
      <c r="A818" s="11" t="s">
        <v>1544</v>
      </c>
      <c r="B818" s="12" t="s">
        <v>4716</v>
      </c>
      <c r="C818" s="12" t="s">
        <v>6136</v>
      </c>
      <c r="D818" s="13" t="s">
        <v>6137</v>
      </c>
    </row>
    <row r="819" spans="1:4" x14ac:dyDescent="0.35">
      <c r="A819" s="14" t="s">
        <v>1543</v>
      </c>
      <c r="B819" s="15" t="s">
        <v>4716</v>
      </c>
      <c r="C819" s="15" t="s">
        <v>5280</v>
      </c>
      <c r="D819" s="16" t="s">
        <v>5436</v>
      </c>
    </row>
    <row r="820" spans="1:4" x14ac:dyDescent="0.35">
      <c r="A820" s="11" t="s">
        <v>1542</v>
      </c>
      <c r="B820" s="12" t="s">
        <v>4716</v>
      </c>
      <c r="C820" s="12" t="s">
        <v>6138</v>
      </c>
      <c r="D820" s="13" t="s">
        <v>6139</v>
      </c>
    </row>
    <row r="821" spans="1:4" x14ac:dyDescent="0.35">
      <c r="A821" s="14" t="s">
        <v>1541</v>
      </c>
      <c r="B821" s="15" t="s">
        <v>4713</v>
      </c>
      <c r="C821" s="15" t="s">
        <v>6140</v>
      </c>
      <c r="D821" s="16" t="s">
        <v>5763</v>
      </c>
    </row>
    <row r="822" spans="1:4" x14ac:dyDescent="0.35">
      <c r="A822" s="11" t="s">
        <v>1540</v>
      </c>
      <c r="B822" s="12" t="s">
        <v>4716</v>
      </c>
      <c r="C822" s="12" t="s">
        <v>6141</v>
      </c>
      <c r="D822" s="13" t="s">
        <v>6142</v>
      </c>
    </row>
    <row r="823" spans="1:4" x14ac:dyDescent="0.35">
      <c r="A823" s="14" t="s">
        <v>1539</v>
      </c>
      <c r="B823" s="15" t="s">
        <v>4716</v>
      </c>
      <c r="C823" s="15" t="s">
        <v>6143</v>
      </c>
      <c r="D823" s="16" t="s">
        <v>6144</v>
      </c>
    </row>
    <row r="824" spans="1:4" x14ac:dyDescent="0.35">
      <c r="A824" s="11" t="s">
        <v>1538</v>
      </c>
      <c r="B824" s="12" t="s">
        <v>4716</v>
      </c>
      <c r="C824" s="12" t="s">
        <v>6145</v>
      </c>
      <c r="D824" s="13" t="s">
        <v>4793</v>
      </c>
    </row>
    <row r="825" spans="1:4" x14ac:dyDescent="0.35">
      <c r="A825" s="14" t="s">
        <v>1537</v>
      </c>
      <c r="B825" s="15" t="s">
        <v>4716</v>
      </c>
      <c r="C825" s="15" t="s">
        <v>5930</v>
      </c>
      <c r="D825" s="16" t="s">
        <v>6146</v>
      </c>
    </row>
    <row r="826" spans="1:4" x14ac:dyDescent="0.35">
      <c r="A826" s="11" t="s">
        <v>1536</v>
      </c>
      <c r="B826" s="12" t="s">
        <v>4716</v>
      </c>
      <c r="C826" s="12" t="s">
        <v>6147</v>
      </c>
      <c r="D826" s="13" t="s">
        <v>6148</v>
      </c>
    </row>
    <row r="827" spans="1:4" x14ac:dyDescent="0.35">
      <c r="A827" s="14" t="s">
        <v>1535</v>
      </c>
      <c r="B827" s="15" t="s">
        <v>4713</v>
      </c>
      <c r="C827" s="15" t="s">
        <v>6149</v>
      </c>
      <c r="D827" s="16" t="s">
        <v>6150</v>
      </c>
    </row>
    <row r="828" spans="1:4" x14ac:dyDescent="0.35">
      <c r="A828" s="11" t="s">
        <v>1534</v>
      </c>
      <c r="B828" s="12" t="s">
        <v>4713</v>
      </c>
      <c r="C828" s="12" t="s">
        <v>6151</v>
      </c>
      <c r="D828" s="13" t="s">
        <v>6152</v>
      </c>
    </row>
    <row r="829" spans="1:4" x14ac:dyDescent="0.35">
      <c r="A829" s="14" t="s">
        <v>1533</v>
      </c>
      <c r="B829" s="15" t="s">
        <v>5590</v>
      </c>
      <c r="C829" s="15" t="s">
        <v>5599</v>
      </c>
      <c r="D829" s="16" t="s">
        <v>6153</v>
      </c>
    </row>
    <row r="830" spans="1:4" x14ac:dyDescent="0.35">
      <c r="A830" s="11" t="s">
        <v>1532</v>
      </c>
      <c r="B830" s="12" t="s">
        <v>5590</v>
      </c>
      <c r="C830" s="12" t="s">
        <v>5628</v>
      </c>
      <c r="D830" s="13" t="s">
        <v>6154</v>
      </c>
    </row>
    <row r="831" spans="1:4" x14ac:dyDescent="0.35">
      <c r="A831" s="14" t="s">
        <v>1531</v>
      </c>
      <c r="B831" s="15" t="s">
        <v>5590</v>
      </c>
      <c r="C831" s="15" t="s">
        <v>6155</v>
      </c>
      <c r="D831" s="16" t="s">
        <v>6156</v>
      </c>
    </row>
    <row r="832" spans="1:4" x14ac:dyDescent="0.35">
      <c r="A832" s="11" t="s">
        <v>1530</v>
      </c>
      <c r="B832" s="12" t="s">
        <v>4716</v>
      </c>
      <c r="C832" s="12" t="s">
        <v>6157</v>
      </c>
      <c r="D832" s="13" t="s">
        <v>5010</v>
      </c>
    </row>
    <row r="833" spans="1:4" x14ac:dyDescent="0.35">
      <c r="A833" s="14" t="s">
        <v>1529</v>
      </c>
      <c r="B833" s="15" t="s">
        <v>4716</v>
      </c>
      <c r="C833" s="15" t="s">
        <v>6158</v>
      </c>
      <c r="D833" s="16" t="s">
        <v>6159</v>
      </c>
    </row>
    <row r="834" spans="1:4" x14ac:dyDescent="0.35">
      <c r="A834" s="11" t="s">
        <v>1528</v>
      </c>
      <c r="B834" s="12" t="s">
        <v>4716</v>
      </c>
      <c r="C834" s="12" t="s">
        <v>6160</v>
      </c>
      <c r="D834" s="13" t="s">
        <v>6161</v>
      </c>
    </row>
    <row r="835" spans="1:4" x14ac:dyDescent="0.35">
      <c r="A835" s="14" t="s">
        <v>1527</v>
      </c>
      <c r="B835" s="15" t="s">
        <v>5590</v>
      </c>
      <c r="C835" s="15" t="s">
        <v>6162</v>
      </c>
      <c r="D835" s="16" t="s">
        <v>5925</v>
      </c>
    </row>
    <row r="836" spans="1:4" x14ac:dyDescent="0.35">
      <c r="A836" s="11" t="s">
        <v>1526</v>
      </c>
      <c r="B836" s="12" t="s">
        <v>4713</v>
      </c>
      <c r="C836" s="12" t="s">
        <v>6163</v>
      </c>
      <c r="D836" s="13" t="s">
        <v>6164</v>
      </c>
    </row>
    <row r="837" spans="1:4" x14ac:dyDescent="0.35">
      <c r="A837" s="14" t="s">
        <v>1525</v>
      </c>
      <c r="B837" s="15" t="s">
        <v>4713</v>
      </c>
      <c r="C837" s="15" t="s">
        <v>5128</v>
      </c>
      <c r="D837" s="16" t="s">
        <v>6165</v>
      </c>
    </row>
    <row r="838" spans="1:4" x14ac:dyDescent="0.35">
      <c r="A838" s="11" t="s">
        <v>1524</v>
      </c>
      <c r="B838" s="12" t="s">
        <v>4713</v>
      </c>
      <c r="C838" s="12" t="s">
        <v>6166</v>
      </c>
      <c r="D838" s="13" t="s">
        <v>6167</v>
      </c>
    </row>
    <row r="839" spans="1:4" x14ac:dyDescent="0.35">
      <c r="A839" s="14" t="s">
        <v>1523</v>
      </c>
      <c r="B839" s="15" t="s">
        <v>4716</v>
      </c>
      <c r="C839" s="15" t="s">
        <v>5827</v>
      </c>
      <c r="D839" s="16" t="s">
        <v>5719</v>
      </c>
    </row>
    <row r="840" spans="1:4" x14ac:dyDescent="0.35">
      <c r="A840" s="11" t="s">
        <v>1522</v>
      </c>
      <c r="B840" s="12" t="s">
        <v>4713</v>
      </c>
      <c r="C840" s="12" t="s">
        <v>6168</v>
      </c>
      <c r="D840" s="13" t="s">
        <v>5148</v>
      </c>
    </row>
    <row r="841" spans="1:4" x14ac:dyDescent="0.35">
      <c r="A841" s="14" t="s">
        <v>1521</v>
      </c>
      <c r="B841" s="15" t="s">
        <v>4713</v>
      </c>
      <c r="C841" s="15" t="s">
        <v>6169</v>
      </c>
      <c r="D841" s="16" t="s">
        <v>6170</v>
      </c>
    </row>
    <row r="842" spans="1:4" x14ac:dyDescent="0.35">
      <c r="A842" s="11" t="s">
        <v>1520</v>
      </c>
      <c r="B842" s="12" t="s">
        <v>4713</v>
      </c>
      <c r="C842" s="12" t="s">
        <v>6171</v>
      </c>
      <c r="D842" s="13" t="s">
        <v>6172</v>
      </c>
    </row>
    <row r="843" spans="1:4" x14ac:dyDescent="0.35">
      <c r="A843" s="14" t="s">
        <v>1519</v>
      </c>
      <c r="B843" s="15" t="s">
        <v>4713</v>
      </c>
      <c r="C843" s="15" t="s">
        <v>6173</v>
      </c>
      <c r="D843" s="16" t="s">
        <v>6070</v>
      </c>
    </row>
    <row r="844" spans="1:4" x14ac:dyDescent="0.35">
      <c r="A844" s="11" t="s">
        <v>1518</v>
      </c>
      <c r="B844" s="12" t="s">
        <v>4713</v>
      </c>
      <c r="C844" s="12" t="s">
        <v>6174</v>
      </c>
      <c r="D844" s="13" t="s">
        <v>6175</v>
      </c>
    </row>
    <row r="845" spans="1:4" x14ac:dyDescent="0.35">
      <c r="A845" s="14" t="s">
        <v>1517</v>
      </c>
      <c r="B845" s="15" t="s">
        <v>4713</v>
      </c>
      <c r="C845" s="15" t="s">
        <v>4991</v>
      </c>
      <c r="D845" s="16" t="s">
        <v>5652</v>
      </c>
    </row>
    <row r="846" spans="1:4" x14ac:dyDescent="0.35">
      <c r="A846" s="11" t="s">
        <v>1516</v>
      </c>
      <c r="B846" s="12" t="s">
        <v>5590</v>
      </c>
      <c r="C846" s="12" t="s">
        <v>6176</v>
      </c>
      <c r="D846" s="13" t="s">
        <v>6177</v>
      </c>
    </row>
    <row r="847" spans="1:4" x14ac:dyDescent="0.35">
      <c r="A847" s="14" t="s">
        <v>1515</v>
      </c>
      <c r="B847" s="15" t="s">
        <v>4713</v>
      </c>
      <c r="C847" s="15" t="s">
        <v>6178</v>
      </c>
      <c r="D847" s="16" t="s">
        <v>6179</v>
      </c>
    </row>
    <row r="848" spans="1:4" x14ac:dyDescent="0.35">
      <c r="A848" s="11" t="s">
        <v>1514</v>
      </c>
      <c r="B848" s="12" t="s">
        <v>4713</v>
      </c>
      <c r="C848" s="12" t="s">
        <v>6180</v>
      </c>
      <c r="D848" s="13" t="s">
        <v>6181</v>
      </c>
    </row>
    <row r="849" spans="1:4" x14ac:dyDescent="0.35">
      <c r="A849" s="14" t="s">
        <v>1513</v>
      </c>
      <c r="B849" s="15" t="s">
        <v>4713</v>
      </c>
      <c r="C849" s="15" t="s">
        <v>6182</v>
      </c>
      <c r="D849" s="16" t="s">
        <v>6183</v>
      </c>
    </row>
    <row r="850" spans="1:4" x14ac:dyDescent="0.35">
      <c r="A850" s="11" t="s">
        <v>1512</v>
      </c>
      <c r="B850" s="12" t="s">
        <v>4716</v>
      </c>
      <c r="C850" s="12" t="s">
        <v>6184</v>
      </c>
      <c r="D850" s="13" t="s">
        <v>4815</v>
      </c>
    </row>
    <row r="851" spans="1:4" x14ac:dyDescent="0.35">
      <c r="A851" s="14" t="s">
        <v>1511</v>
      </c>
      <c r="B851" s="15" t="s">
        <v>4716</v>
      </c>
      <c r="C851" s="15" t="s">
        <v>6185</v>
      </c>
      <c r="D851" s="16" t="s">
        <v>4800</v>
      </c>
    </row>
    <row r="852" spans="1:4" x14ac:dyDescent="0.35">
      <c r="A852" s="11" t="s">
        <v>1510</v>
      </c>
      <c r="B852" s="12" t="s">
        <v>4713</v>
      </c>
      <c r="C852" s="12" t="s">
        <v>6186</v>
      </c>
      <c r="D852" s="13" t="s">
        <v>6187</v>
      </c>
    </row>
    <row r="853" spans="1:4" x14ac:dyDescent="0.35">
      <c r="A853" s="14" t="s">
        <v>1509</v>
      </c>
      <c r="B853" s="15" t="s">
        <v>5590</v>
      </c>
      <c r="C853" s="15" t="s">
        <v>6188</v>
      </c>
      <c r="D853" s="16" t="s">
        <v>5070</v>
      </c>
    </row>
    <row r="854" spans="1:4" x14ac:dyDescent="0.35">
      <c r="A854" s="11" t="s">
        <v>1508</v>
      </c>
      <c r="B854" s="12" t="s">
        <v>4716</v>
      </c>
      <c r="C854" s="12" t="s">
        <v>5050</v>
      </c>
      <c r="D854" s="13" t="s">
        <v>4867</v>
      </c>
    </row>
    <row r="855" spans="1:4" x14ac:dyDescent="0.35">
      <c r="A855" s="14" t="s">
        <v>1507</v>
      </c>
      <c r="B855" s="15" t="s">
        <v>4716</v>
      </c>
      <c r="C855" s="15" t="s">
        <v>6189</v>
      </c>
      <c r="D855" s="16" t="s">
        <v>6190</v>
      </c>
    </row>
    <row r="856" spans="1:4" x14ac:dyDescent="0.35">
      <c r="A856" s="11" t="s">
        <v>1506</v>
      </c>
      <c r="B856" s="12" t="s">
        <v>4716</v>
      </c>
      <c r="C856" s="12" t="s">
        <v>6191</v>
      </c>
      <c r="D856" s="13" t="s">
        <v>5144</v>
      </c>
    </row>
    <row r="857" spans="1:4" x14ac:dyDescent="0.35">
      <c r="A857" s="14" t="s">
        <v>1505</v>
      </c>
      <c r="B857" s="15" t="s">
        <v>4716</v>
      </c>
      <c r="C857" s="15" t="s">
        <v>6192</v>
      </c>
      <c r="D857" s="16" t="s">
        <v>6193</v>
      </c>
    </row>
    <row r="858" spans="1:4" x14ac:dyDescent="0.35">
      <c r="A858" s="11" t="s">
        <v>1504</v>
      </c>
      <c r="B858" s="12" t="s">
        <v>4713</v>
      </c>
      <c r="C858" s="12" t="s">
        <v>6194</v>
      </c>
      <c r="D858" s="13" t="s">
        <v>6195</v>
      </c>
    </row>
    <row r="859" spans="1:4" x14ac:dyDescent="0.35">
      <c r="A859" s="14" t="s">
        <v>1503</v>
      </c>
      <c r="B859" s="15" t="s">
        <v>4713</v>
      </c>
      <c r="C859" s="15" t="s">
        <v>6196</v>
      </c>
      <c r="D859" s="16" t="s">
        <v>5525</v>
      </c>
    </row>
    <row r="860" spans="1:4" x14ac:dyDescent="0.35">
      <c r="A860" s="11" t="s">
        <v>1502</v>
      </c>
      <c r="B860" s="12" t="s">
        <v>4713</v>
      </c>
      <c r="C860" s="12" t="s">
        <v>6197</v>
      </c>
      <c r="D860" s="13" t="s">
        <v>6198</v>
      </c>
    </row>
    <row r="861" spans="1:4" x14ac:dyDescent="0.35">
      <c r="A861" s="14" t="s">
        <v>1501</v>
      </c>
      <c r="B861" s="15" t="s">
        <v>4713</v>
      </c>
      <c r="C861" s="15" t="s">
        <v>6199</v>
      </c>
      <c r="D861" s="16" t="s">
        <v>6200</v>
      </c>
    </row>
    <row r="862" spans="1:4" x14ac:dyDescent="0.35">
      <c r="A862" s="11" t="s">
        <v>1500</v>
      </c>
      <c r="B862" s="12" t="s">
        <v>4716</v>
      </c>
      <c r="C862" s="12" t="s">
        <v>6201</v>
      </c>
      <c r="D862" s="13" t="s">
        <v>4815</v>
      </c>
    </row>
    <row r="863" spans="1:4" x14ac:dyDescent="0.35">
      <c r="A863" s="14" t="s">
        <v>1499</v>
      </c>
      <c r="B863" s="15" t="s">
        <v>4713</v>
      </c>
      <c r="C863" s="15" t="s">
        <v>6202</v>
      </c>
      <c r="D863" s="16" t="s">
        <v>5337</v>
      </c>
    </row>
    <row r="864" spans="1:4" x14ac:dyDescent="0.35">
      <c r="A864" s="11" t="s">
        <v>1498</v>
      </c>
      <c r="B864" s="12" t="s">
        <v>4716</v>
      </c>
      <c r="C864" s="12" t="s">
        <v>6203</v>
      </c>
      <c r="D864" s="13" t="s">
        <v>6204</v>
      </c>
    </row>
    <row r="865" spans="1:4" x14ac:dyDescent="0.35">
      <c r="A865" s="14" t="s">
        <v>1497</v>
      </c>
      <c r="B865" s="15" t="s">
        <v>4716</v>
      </c>
      <c r="C865" s="15" t="s">
        <v>6205</v>
      </c>
      <c r="D865" s="16" t="s">
        <v>6206</v>
      </c>
    </row>
    <row r="866" spans="1:4" x14ac:dyDescent="0.35">
      <c r="A866" s="11" t="s">
        <v>1496</v>
      </c>
      <c r="B866" s="12" t="s">
        <v>4716</v>
      </c>
      <c r="C866" s="12" t="s">
        <v>6207</v>
      </c>
      <c r="D866" s="13" t="s">
        <v>4845</v>
      </c>
    </row>
    <row r="867" spans="1:4" x14ac:dyDescent="0.35">
      <c r="A867" s="14" t="s">
        <v>1495</v>
      </c>
      <c r="B867" s="15" t="s">
        <v>5590</v>
      </c>
      <c r="C867" s="15" t="s">
        <v>6208</v>
      </c>
      <c r="D867" s="16" t="s">
        <v>6209</v>
      </c>
    </row>
    <row r="868" spans="1:4" x14ac:dyDescent="0.35">
      <c r="A868" s="11" t="s">
        <v>1494</v>
      </c>
      <c r="B868" s="12" t="s">
        <v>4716</v>
      </c>
      <c r="C868" s="12" t="s">
        <v>6210</v>
      </c>
      <c r="D868" s="13" t="s">
        <v>6211</v>
      </c>
    </row>
    <row r="869" spans="1:4" x14ac:dyDescent="0.35">
      <c r="A869" s="14" t="s">
        <v>1493</v>
      </c>
      <c r="B869" s="15" t="s">
        <v>4716</v>
      </c>
      <c r="C869" s="15" t="s">
        <v>6212</v>
      </c>
      <c r="D869" s="16" t="s">
        <v>4918</v>
      </c>
    </row>
    <row r="870" spans="1:4" x14ac:dyDescent="0.35">
      <c r="A870" s="11" t="s">
        <v>1492</v>
      </c>
      <c r="B870" s="12" t="s">
        <v>4716</v>
      </c>
      <c r="C870" s="12" t="s">
        <v>6213</v>
      </c>
      <c r="D870" s="13" t="s">
        <v>4738</v>
      </c>
    </row>
    <row r="871" spans="1:4" x14ac:dyDescent="0.35">
      <c r="A871" s="14" t="s">
        <v>1491</v>
      </c>
      <c r="B871" s="15" t="s">
        <v>4716</v>
      </c>
      <c r="C871" s="15" t="s">
        <v>6214</v>
      </c>
      <c r="D871" s="16" t="s">
        <v>6215</v>
      </c>
    </row>
    <row r="872" spans="1:4" x14ac:dyDescent="0.35">
      <c r="A872" s="11" t="s">
        <v>1490</v>
      </c>
      <c r="B872" s="12" t="s">
        <v>5590</v>
      </c>
      <c r="C872" s="12" t="s">
        <v>6216</v>
      </c>
      <c r="D872" s="13" t="s">
        <v>6217</v>
      </c>
    </row>
    <row r="873" spans="1:4" x14ac:dyDescent="0.35">
      <c r="A873" s="14" t="s">
        <v>1489</v>
      </c>
      <c r="B873" s="15" t="s">
        <v>4713</v>
      </c>
      <c r="C873" s="15" t="s">
        <v>6218</v>
      </c>
      <c r="D873" s="16" t="s">
        <v>6219</v>
      </c>
    </row>
    <row r="874" spans="1:4" x14ac:dyDescent="0.35">
      <c r="A874" s="11" t="s">
        <v>1488</v>
      </c>
      <c r="B874" s="12" t="s">
        <v>5590</v>
      </c>
      <c r="C874" s="12" t="s">
        <v>6220</v>
      </c>
      <c r="D874" s="13" t="s">
        <v>5490</v>
      </c>
    </row>
    <row r="875" spans="1:4" x14ac:dyDescent="0.35">
      <c r="A875" s="14" t="s">
        <v>1487</v>
      </c>
      <c r="B875" s="15" t="s">
        <v>4713</v>
      </c>
      <c r="C875" s="15" t="s">
        <v>6221</v>
      </c>
      <c r="D875" s="16" t="s">
        <v>6222</v>
      </c>
    </row>
    <row r="876" spans="1:4" x14ac:dyDescent="0.35">
      <c r="A876" s="11" t="s">
        <v>1486</v>
      </c>
      <c r="B876" s="12" t="s">
        <v>4713</v>
      </c>
      <c r="C876" s="12" t="s">
        <v>6223</v>
      </c>
      <c r="D876" s="13" t="s">
        <v>6224</v>
      </c>
    </row>
    <row r="877" spans="1:4" x14ac:dyDescent="0.35">
      <c r="A877" s="14" t="s">
        <v>1485</v>
      </c>
      <c r="B877" s="15" t="s">
        <v>4713</v>
      </c>
      <c r="C877" s="15" t="s">
        <v>6225</v>
      </c>
      <c r="D877" s="16" t="s">
        <v>6226</v>
      </c>
    </row>
    <row r="878" spans="1:4" x14ac:dyDescent="0.35">
      <c r="A878" s="11" t="s">
        <v>1484</v>
      </c>
      <c r="B878" s="12" t="s">
        <v>5590</v>
      </c>
      <c r="C878" s="12" t="s">
        <v>6227</v>
      </c>
      <c r="D878" s="13" t="s">
        <v>5862</v>
      </c>
    </row>
    <row r="879" spans="1:4" x14ac:dyDescent="0.35">
      <c r="A879" s="14" t="s">
        <v>1483</v>
      </c>
      <c r="B879" s="15" t="s">
        <v>5590</v>
      </c>
      <c r="C879" s="15" t="s">
        <v>6228</v>
      </c>
      <c r="D879" s="16" t="s">
        <v>6229</v>
      </c>
    </row>
    <row r="880" spans="1:4" x14ac:dyDescent="0.35">
      <c r="A880" s="11" t="s">
        <v>1482</v>
      </c>
      <c r="B880" s="12" t="s">
        <v>4713</v>
      </c>
      <c r="C880" s="12" t="s">
        <v>6230</v>
      </c>
      <c r="D880" s="13" t="s">
        <v>6231</v>
      </c>
    </row>
    <row r="881" spans="1:4" x14ac:dyDescent="0.35">
      <c r="A881" s="14" t="s">
        <v>1481</v>
      </c>
      <c r="B881" s="15" t="s">
        <v>4713</v>
      </c>
      <c r="C881" s="15" t="s">
        <v>6232</v>
      </c>
      <c r="D881" s="16" t="s">
        <v>6233</v>
      </c>
    </row>
    <row r="882" spans="1:4" x14ac:dyDescent="0.35">
      <c r="A882" s="11" t="s">
        <v>1480</v>
      </c>
      <c r="B882" s="12" t="s">
        <v>4713</v>
      </c>
      <c r="C882" s="12" t="s">
        <v>6234</v>
      </c>
      <c r="D882" s="13" t="s">
        <v>6235</v>
      </c>
    </row>
    <row r="883" spans="1:4" x14ac:dyDescent="0.35">
      <c r="A883" s="14" t="s">
        <v>1479</v>
      </c>
      <c r="B883" s="15" t="s">
        <v>4713</v>
      </c>
      <c r="C883" s="15" t="s">
        <v>6236</v>
      </c>
      <c r="D883" s="16" t="s">
        <v>5236</v>
      </c>
    </row>
    <row r="884" spans="1:4" x14ac:dyDescent="0.35">
      <c r="A884" s="11" t="s">
        <v>1478</v>
      </c>
      <c r="B884" s="12" t="s">
        <v>4713</v>
      </c>
      <c r="C884" s="12" t="s">
        <v>6237</v>
      </c>
      <c r="D884" s="13" t="s">
        <v>6238</v>
      </c>
    </row>
    <row r="885" spans="1:4" x14ac:dyDescent="0.35">
      <c r="A885" s="14" t="s">
        <v>1477</v>
      </c>
      <c r="B885" s="15" t="s">
        <v>4713</v>
      </c>
      <c r="C885" s="15" t="s">
        <v>6239</v>
      </c>
      <c r="D885" s="16" t="s">
        <v>6240</v>
      </c>
    </row>
    <row r="886" spans="1:4" x14ac:dyDescent="0.35">
      <c r="A886" s="11" t="s">
        <v>1476</v>
      </c>
      <c r="B886" s="12" t="s">
        <v>4713</v>
      </c>
      <c r="C886" s="12" t="s">
        <v>6241</v>
      </c>
      <c r="D886" s="13" t="s">
        <v>6242</v>
      </c>
    </row>
    <row r="887" spans="1:4" x14ac:dyDescent="0.35">
      <c r="A887" s="14" t="s">
        <v>1475</v>
      </c>
      <c r="B887" s="15" t="s">
        <v>4713</v>
      </c>
      <c r="C887" s="15" t="s">
        <v>6243</v>
      </c>
      <c r="D887" s="16" t="s">
        <v>6244</v>
      </c>
    </row>
    <row r="888" spans="1:4" x14ac:dyDescent="0.35">
      <c r="A888" s="11" t="s">
        <v>1474</v>
      </c>
      <c r="B888" s="12" t="s">
        <v>4713</v>
      </c>
      <c r="C888" s="12" t="s">
        <v>6245</v>
      </c>
      <c r="D888" s="13" t="s">
        <v>6246</v>
      </c>
    </row>
    <row r="889" spans="1:4" x14ac:dyDescent="0.35">
      <c r="A889" s="14" t="s">
        <v>1473</v>
      </c>
      <c r="B889" s="15" t="s">
        <v>5590</v>
      </c>
      <c r="C889" s="15" t="s">
        <v>6247</v>
      </c>
      <c r="D889" s="16" t="s">
        <v>6248</v>
      </c>
    </row>
    <row r="890" spans="1:4" x14ac:dyDescent="0.35">
      <c r="A890" s="11" t="s">
        <v>1472</v>
      </c>
      <c r="B890" s="12" t="s">
        <v>4716</v>
      </c>
      <c r="C890" s="12" t="s">
        <v>6249</v>
      </c>
      <c r="D890" s="13" t="s">
        <v>6250</v>
      </c>
    </row>
    <row r="891" spans="1:4" x14ac:dyDescent="0.35">
      <c r="A891" s="14" t="s">
        <v>1471</v>
      </c>
      <c r="B891" s="15" t="s">
        <v>4716</v>
      </c>
      <c r="C891" s="15" t="s">
        <v>6251</v>
      </c>
      <c r="D891" s="16" t="s">
        <v>5064</v>
      </c>
    </row>
    <row r="892" spans="1:4" x14ac:dyDescent="0.35">
      <c r="A892" s="11" t="s">
        <v>1470</v>
      </c>
      <c r="B892" s="12" t="s">
        <v>4716</v>
      </c>
      <c r="C892" s="12" t="s">
        <v>6252</v>
      </c>
      <c r="D892" s="13" t="s">
        <v>6253</v>
      </c>
    </row>
    <row r="893" spans="1:4" x14ac:dyDescent="0.35">
      <c r="A893" s="14" t="s">
        <v>1469</v>
      </c>
      <c r="B893" s="15" t="s">
        <v>4716</v>
      </c>
      <c r="C893" s="15" t="s">
        <v>6254</v>
      </c>
      <c r="D893" s="16" t="s">
        <v>6255</v>
      </c>
    </row>
    <row r="894" spans="1:4" x14ac:dyDescent="0.35">
      <c r="A894" s="11" t="s">
        <v>1468</v>
      </c>
      <c r="B894" s="12" t="s">
        <v>5590</v>
      </c>
      <c r="C894" s="12" t="s">
        <v>6256</v>
      </c>
      <c r="D894" s="13" t="s">
        <v>6257</v>
      </c>
    </row>
    <row r="895" spans="1:4" x14ac:dyDescent="0.35">
      <c r="A895" s="14" t="s">
        <v>1467</v>
      </c>
      <c r="B895" s="15" t="s">
        <v>4716</v>
      </c>
      <c r="C895" s="15" t="s">
        <v>6258</v>
      </c>
      <c r="D895" s="16" t="s">
        <v>4754</v>
      </c>
    </row>
    <row r="896" spans="1:4" x14ac:dyDescent="0.35">
      <c r="A896" s="11" t="s">
        <v>1466</v>
      </c>
      <c r="B896" s="12" t="s">
        <v>4716</v>
      </c>
      <c r="C896" s="12" t="s">
        <v>6259</v>
      </c>
      <c r="D896" s="13" t="s">
        <v>6260</v>
      </c>
    </row>
    <row r="897" spans="1:4" x14ac:dyDescent="0.35">
      <c r="A897" s="14" t="s">
        <v>1465</v>
      </c>
      <c r="B897" s="15" t="s">
        <v>4713</v>
      </c>
      <c r="C897" s="15" t="s">
        <v>6261</v>
      </c>
      <c r="D897" s="16" t="s">
        <v>6262</v>
      </c>
    </row>
    <row r="898" spans="1:4" x14ac:dyDescent="0.35">
      <c r="A898" s="11" t="s">
        <v>1464</v>
      </c>
      <c r="B898" s="12" t="s">
        <v>4713</v>
      </c>
      <c r="C898" s="12" t="s">
        <v>5649</v>
      </c>
      <c r="D898" s="13" t="s">
        <v>6263</v>
      </c>
    </row>
    <row r="899" spans="1:4" x14ac:dyDescent="0.35">
      <c r="A899" s="14" t="s">
        <v>1463</v>
      </c>
      <c r="B899" s="15" t="s">
        <v>4713</v>
      </c>
      <c r="C899" s="15" t="s">
        <v>6264</v>
      </c>
      <c r="D899" s="16" t="s">
        <v>6265</v>
      </c>
    </row>
    <row r="900" spans="1:4" x14ac:dyDescent="0.35">
      <c r="A900" s="11" t="s">
        <v>1462</v>
      </c>
      <c r="B900" s="12" t="s">
        <v>4716</v>
      </c>
      <c r="C900" s="12" t="s">
        <v>5096</v>
      </c>
      <c r="D900" s="13" t="s">
        <v>4793</v>
      </c>
    </row>
    <row r="901" spans="1:4" x14ac:dyDescent="0.35">
      <c r="A901" s="14" t="s">
        <v>1461</v>
      </c>
      <c r="B901" s="15" t="s">
        <v>5590</v>
      </c>
      <c r="C901" s="15" t="s">
        <v>5126</v>
      </c>
      <c r="D901" s="16" t="s">
        <v>6266</v>
      </c>
    </row>
    <row r="902" spans="1:4" x14ac:dyDescent="0.35">
      <c r="A902" s="11" t="s">
        <v>1460</v>
      </c>
      <c r="B902" s="12" t="s">
        <v>4713</v>
      </c>
      <c r="C902" s="12" t="s">
        <v>6267</v>
      </c>
      <c r="D902" s="13" t="s">
        <v>6268</v>
      </c>
    </row>
    <row r="903" spans="1:4" x14ac:dyDescent="0.35">
      <c r="A903" s="14" t="s">
        <v>1459</v>
      </c>
      <c r="B903" s="15" t="s">
        <v>4716</v>
      </c>
      <c r="C903" s="15" t="s">
        <v>6269</v>
      </c>
      <c r="D903" s="16" t="s">
        <v>5729</v>
      </c>
    </row>
    <row r="904" spans="1:4" x14ac:dyDescent="0.35">
      <c r="A904" s="11" t="s">
        <v>1458</v>
      </c>
      <c r="B904" s="12" t="s">
        <v>4713</v>
      </c>
      <c r="C904" s="12" t="s">
        <v>6270</v>
      </c>
      <c r="D904" s="13" t="s">
        <v>6271</v>
      </c>
    </row>
    <row r="905" spans="1:4" x14ac:dyDescent="0.35">
      <c r="A905" s="14" t="s">
        <v>1457</v>
      </c>
      <c r="B905" s="15" t="s">
        <v>4713</v>
      </c>
      <c r="C905" s="15" t="s">
        <v>6272</v>
      </c>
      <c r="D905" s="16" t="s">
        <v>6273</v>
      </c>
    </row>
    <row r="906" spans="1:4" x14ac:dyDescent="0.35">
      <c r="A906" s="11" t="s">
        <v>1456</v>
      </c>
      <c r="B906" s="12" t="s">
        <v>4716</v>
      </c>
      <c r="C906" s="12" t="s">
        <v>6274</v>
      </c>
      <c r="D906" s="13" t="s">
        <v>6275</v>
      </c>
    </row>
    <row r="907" spans="1:4" x14ac:dyDescent="0.35">
      <c r="A907" s="14" t="s">
        <v>1455</v>
      </c>
      <c r="B907" s="15" t="s">
        <v>4713</v>
      </c>
      <c r="C907" s="15" t="s">
        <v>6276</v>
      </c>
      <c r="D907" s="16" t="s">
        <v>6167</v>
      </c>
    </row>
    <row r="908" spans="1:4" x14ac:dyDescent="0.35">
      <c r="A908" s="11" t="s">
        <v>1454</v>
      </c>
      <c r="B908" s="12" t="s">
        <v>5590</v>
      </c>
      <c r="C908" s="12" t="s">
        <v>6277</v>
      </c>
      <c r="D908" s="13" t="s">
        <v>6278</v>
      </c>
    </row>
    <row r="909" spans="1:4" x14ac:dyDescent="0.35">
      <c r="A909" s="14" t="s">
        <v>1453</v>
      </c>
      <c r="B909" s="15" t="s">
        <v>4716</v>
      </c>
      <c r="C909" s="15" t="s">
        <v>6279</v>
      </c>
      <c r="D909" s="16" t="s">
        <v>6280</v>
      </c>
    </row>
    <row r="910" spans="1:4" x14ac:dyDescent="0.35">
      <c r="A910" s="11" t="s">
        <v>1452</v>
      </c>
      <c r="B910" s="12" t="s">
        <v>4716</v>
      </c>
      <c r="C910" s="12" t="s">
        <v>6281</v>
      </c>
      <c r="D910" s="13" t="s">
        <v>5306</v>
      </c>
    </row>
    <row r="911" spans="1:4" x14ac:dyDescent="0.35">
      <c r="A911" s="14" t="s">
        <v>1451</v>
      </c>
      <c r="B911" s="15" t="s">
        <v>4716</v>
      </c>
      <c r="C911" s="15" t="s">
        <v>6282</v>
      </c>
      <c r="D911" s="16" t="s">
        <v>6283</v>
      </c>
    </row>
    <row r="912" spans="1:4" x14ac:dyDescent="0.35">
      <c r="A912" s="11" t="s">
        <v>1450</v>
      </c>
      <c r="B912" s="12" t="s">
        <v>4716</v>
      </c>
      <c r="C912" s="12" t="s">
        <v>6284</v>
      </c>
      <c r="D912" s="13" t="s">
        <v>6285</v>
      </c>
    </row>
    <row r="913" spans="1:4" x14ac:dyDescent="0.35">
      <c r="A913" s="14" t="s">
        <v>1449</v>
      </c>
      <c r="B913" s="15" t="s">
        <v>4716</v>
      </c>
      <c r="C913" s="15" t="s">
        <v>6286</v>
      </c>
      <c r="D913" s="16" t="s">
        <v>5471</v>
      </c>
    </row>
    <row r="914" spans="1:4" x14ac:dyDescent="0.35">
      <c r="A914" s="11" t="s">
        <v>1448</v>
      </c>
      <c r="B914" s="12" t="s">
        <v>4716</v>
      </c>
      <c r="C914" s="12" t="s">
        <v>6287</v>
      </c>
      <c r="D914" s="13" t="s">
        <v>4877</v>
      </c>
    </row>
    <row r="915" spans="1:4" x14ac:dyDescent="0.35">
      <c r="A915" s="14" t="s">
        <v>1447</v>
      </c>
      <c r="B915" s="15" t="s">
        <v>4716</v>
      </c>
      <c r="C915" s="15" t="s">
        <v>4965</v>
      </c>
      <c r="D915" s="16" t="s">
        <v>6288</v>
      </c>
    </row>
    <row r="916" spans="1:4" x14ac:dyDescent="0.35">
      <c r="A916" s="11" t="s">
        <v>1446</v>
      </c>
      <c r="B916" s="12" t="s">
        <v>4716</v>
      </c>
      <c r="C916" s="12" t="s">
        <v>6289</v>
      </c>
      <c r="D916" s="13" t="s">
        <v>6290</v>
      </c>
    </row>
    <row r="917" spans="1:4" x14ac:dyDescent="0.35">
      <c r="A917" s="14" t="s">
        <v>1445</v>
      </c>
      <c r="B917" s="15" t="s">
        <v>4716</v>
      </c>
      <c r="C917" s="15" t="s">
        <v>5126</v>
      </c>
      <c r="D917" s="16" t="s">
        <v>6291</v>
      </c>
    </row>
    <row r="918" spans="1:4" x14ac:dyDescent="0.35">
      <c r="A918" s="11" t="s">
        <v>1444</v>
      </c>
      <c r="B918" s="12" t="s">
        <v>4713</v>
      </c>
      <c r="C918" s="12" t="s">
        <v>6292</v>
      </c>
      <c r="D918" s="13" t="s">
        <v>6293</v>
      </c>
    </row>
    <row r="919" spans="1:4" x14ac:dyDescent="0.35">
      <c r="A919" s="14" t="s">
        <v>1443</v>
      </c>
      <c r="B919" s="15" t="s">
        <v>4713</v>
      </c>
      <c r="C919" s="15" t="s">
        <v>6294</v>
      </c>
      <c r="D919" s="16" t="s">
        <v>5488</v>
      </c>
    </row>
    <row r="920" spans="1:4" x14ac:dyDescent="0.35">
      <c r="A920" s="11" t="s">
        <v>1442</v>
      </c>
      <c r="B920" s="12" t="s">
        <v>4713</v>
      </c>
      <c r="C920" s="12" t="s">
        <v>6295</v>
      </c>
      <c r="D920" s="13" t="s">
        <v>4807</v>
      </c>
    </row>
    <row r="921" spans="1:4" x14ac:dyDescent="0.35">
      <c r="A921" s="14" t="s">
        <v>1441</v>
      </c>
      <c r="B921" s="15" t="s">
        <v>4713</v>
      </c>
      <c r="C921" s="15" t="s">
        <v>6296</v>
      </c>
      <c r="D921" s="16" t="s">
        <v>6297</v>
      </c>
    </row>
    <row r="922" spans="1:4" x14ac:dyDescent="0.35">
      <c r="A922" s="11" t="s">
        <v>1440</v>
      </c>
      <c r="B922" s="12" t="s">
        <v>4713</v>
      </c>
      <c r="C922" s="12" t="s">
        <v>6298</v>
      </c>
      <c r="D922" s="13" t="s">
        <v>6299</v>
      </c>
    </row>
    <row r="923" spans="1:4" x14ac:dyDescent="0.35">
      <c r="A923" s="14" t="s">
        <v>1439</v>
      </c>
      <c r="B923" s="15" t="s">
        <v>4713</v>
      </c>
      <c r="C923" s="15" t="s">
        <v>6300</v>
      </c>
      <c r="D923" s="16" t="s">
        <v>6301</v>
      </c>
    </row>
    <row r="924" spans="1:4" x14ac:dyDescent="0.35">
      <c r="A924" s="11" t="s">
        <v>1438</v>
      </c>
      <c r="B924" s="12" t="s">
        <v>4713</v>
      </c>
      <c r="C924" s="12" t="s">
        <v>6302</v>
      </c>
      <c r="D924" s="13" t="s">
        <v>6303</v>
      </c>
    </row>
    <row r="925" spans="1:4" x14ac:dyDescent="0.35">
      <c r="A925" s="14" t="s">
        <v>1437</v>
      </c>
      <c r="B925" s="15" t="s">
        <v>4713</v>
      </c>
      <c r="C925" s="15" t="s">
        <v>6304</v>
      </c>
      <c r="D925" s="16" t="s">
        <v>6305</v>
      </c>
    </row>
    <row r="926" spans="1:4" x14ac:dyDescent="0.35">
      <c r="A926" s="11" t="s">
        <v>1436</v>
      </c>
      <c r="B926" s="12" t="s">
        <v>4713</v>
      </c>
      <c r="C926" s="12" t="s">
        <v>6306</v>
      </c>
      <c r="D926" s="13" t="s">
        <v>6307</v>
      </c>
    </row>
    <row r="927" spans="1:4" x14ac:dyDescent="0.35">
      <c r="A927" s="14" t="s">
        <v>1435</v>
      </c>
      <c r="B927" s="15" t="s">
        <v>4713</v>
      </c>
      <c r="C927" s="15" t="s">
        <v>6308</v>
      </c>
      <c r="D927" s="16" t="s">
        <v>6309</v>
      </c>
    </row>
    <row r="928" spans="1:4" x14ac:dyDescent="0.35">
      <c r="A928" s="11" t="s">
        <v>1434</v>
      </c>
      <c r="B928" s="12" t="s">
        <v>4713</v>
      </c>
      <c r="C928" s="12" t="s">
        <v>6310</v>
      </c>
      <c r="D928" s="13" t="s">
        <v>5937</v>
      </c>
    </row>
    <row r="929" spans="1:4" x14ac:dyDescent="0.35">
      <c r="A929" s="14" t="s">
        <v>1433</v>
      </c>
      <c r="B929" s="15" t="s">
        <v>4713</v>
      </c>
      <c r="C929" s="15" t="s">
        <v>6311</v>
      </c>
      <c r="D929" s="16" t="s">
        <v>6312</v>
      </c>
    </row>
    <row r="930" spans="1:4" x14ac:dyDescent="0.35">
      <c r="A930" s="11" t="s">
        <v>1432</v>
      </c>
      <c r="B930" s="12" t="s">
        <v>5590</v>
      </c>
      <c r="C930" s="12" t="s">
        <v>6313</v>
      </c>
      <c r="D930" s="13" t="s">
        <v>6314</v>
      </c>
    </row>
    <row r="931" spans="1:4" x14ac:dyDescent="0.35">
      <c r="A931" s="14" t="s">
        <v>1431</v>
      </c>
      <c r="B931" s="15" t="s">
        <v>4716</v>
      </c>
      <c r="C931" s="15" t="s">
        <v>6315</v>
      </c>
      <c r="D931" s="16" t="s">
        <v>6316</v>
      </c>
    </row>
    <row r="932" spans="1:4" x14ac:dyDescent="0.35">
      <c r="A932" s="11" t="s">
        <v>1430</v>
      </c>
      <c r="B932" s="12" t="s">
        <v>5590</v>
      </c>
      <c r="C932" s="12" t="s">
        <v>6317</v>
      </c>
      <c r="D932" s="13" t="s">
        <v>5939</v>
      </c>
    </row>
    <row r="933" spans="1:4" x14ac:dyDescent="0.35">
      <c r="A933" s="14" t="s">
        <v>1429</v>
      </c>
      <c r="B933" s="15" t="s">
        <v>4716</v>
      </c>
      <c r="C933" s="15" t="s">
        <v>6318</v>
      </c>
      <c r="D933" s="16" t="s">
        <v>5049</v>
      </c>
    </row>
    <row r="934" spans="1:4" x14ac:dyDescent="0.35">
      <c r="A934" s="11" t="s">
        <v>1428</v>
      </c>
      <c r="B934" s="12" t="s">
        <v>4716</v>
      </c>
      <c r="C934" s="12" t="s">
        <v>6319</v>
      </c>
      <c r="D934" s="13" t="s">
        <v>6320</v>
      </c>
    </row>
    <row r="935" spans="1:4" x14ac:dyDescent="0.35">
      <c r="A935" s="14" t="s">
        <v>1427</v>
      </c>
      <c r="B935" s="15" t="s">
        <v>4713</v>
      </c>
      <c r="C935" s="15" t="s">
        <v>4731</v>
      </c>
      <c r="D935" s="16" t="s">
        <v>6321</v>
      </c>
    </row>
    <row r="936" spans="1:4" x14ac:dyDescent="0.35">
      <c r="A936" s="11" t="s">
        <v>1426</v>
      </c>
      <c r="B936" s="12" t="s">
        <v>4716</v>
      </c>
      <c r="C936" s="12" t="s">
        <v>6322</v>
      </c>
      <c r="D936" s="13" t="s">
        <v>6323</v>
      </c>
    </row>
    <row r="937" spans="1:4" x14ac:dyDescent="0.35">
      <c r="A937" s="14" t="s">
        <v>1425</v>
      </c>
      <c r="B937" s="15" t="s">
        <v>4716</v>
      </c>
      <c r="C937" s="15" t="s">
        <v>6324</v>
      </c>
      <c r="D937" s="16" t="s">
        <v>4832</v>
      </c>
    </row>
    <row r="938" spans="1:4" x14ac:dyDescent="0.35">
      <c r="A938" s="11" t="s">
        <v>1424</v>
      </c>
      <c r="B938" s="12" t="s">
        <v>5590</v>
      </c>
      <c r="C938" s="12" t="s">
        <v>6292</v>
      </c>
      <c r="D938" s="13" t="s">
        <v>6325</v>
      </c>
    </row>
    <row r="939" spans="1:4" x14ac:dyDescent="0.35">
      <c r="A939" s="14" t="s">
        <v>1423</v>
      </c>
      <c r="B939" s="15" t="s">
        <v>4713</v>
      </c>
      <c r="C939" s="15" t="s">
        <v>6326</v>
      </c>
      <c r="D939" s="16" t="s">
        <v>6327</v>
      </c>
    </row>
    <row r="940" spans="1:4" x14ac:dyDescent="0.35">
      <c r="A940" s="11" t="s">
        <v>1422</v>
      </c>
      <c r="B940" s="12" t="s">
        <v>4716</v>
      </c>
      <c r="C940" s="12" t="s">
        <v>6328</v>
      </c>
      <c r="D940" s="13" t="s">
        <v>6329</v>
      </c>
    </row>
    <row r="941" spans="1:4" x14ac:dyDescent="0.35">
      <c r="A941" s="14" t="s">
        <v>1421</v>
      </c>
      <c r="B941" s="15" t="s">
        <v>4716</v>
      </c>
      <c r="C941" s="15" t="s">
        <v>6330</v>
      </c>
      <c r="D941" s="16" t="s">
        <v>5444</v>
      </c>
    </row>
    <row r="942" spans="1:4" x14ac:dyDescent="0.35">
      <c r="A942" s="11" t="s">
        <v>1420</v>
      </c>
      <c r="B942" s="12" t="s">
        <v>4713</v>
      </c>
      <c r="C942" s="12" t="s">
        <v>6331</v>
      </c>
      <c r="D942" s="13" t="s">
        <v>6332</v>
      </c>
    </row>
    <row r="943" spans="1:4" x14ac:dyDescent="0.35">
      <c r="A943" s="14" t="s">
        <v>1419</v>
      </c>
      <c r="B943" s="15" t="s">
        <v>4713</v>
      </c>
      <c r="C943" s="15" t="s">
        <v>6333</v>
      </c>
      <c r="D943" s="16" t="s">
        <v>6334</v>
      </c>
    </row>
    <row r="944" spans="1:4" x14ac:dyDescent="0.35">
      <c r="A944" s="11" t="s">
        <v>1418</v>
      </c>
      <c r="B944" s="12" t="s">
        <v>4713</v>
      </c>
      <c r="C944" s="12" t="s">
        <v>6335</v>
      </c>
      <c r="D944" s="13" t="s">
        <v>6336</v>
      </c>
    </row>
    <row r="945" spans="1:4" x14ac:dyDescent="0.35">
      <c r="A945" s="14" t="s">
        <v>1417</v>
      </c>
      <c r="B945" s="15" t="s">
        <v>4716</v>
      </c>
      <c r="C945" s="15" t="s">
        <v>5426</v>
      </c>
      <c r="D945" s="16" t="s">
        <v>6337</v>
      </c>
    </row>
    <row r="946" spans="1:4" x14ac:dyDescent="0.35">
      <c r="A946" s="11" t="s">
        <v>1416</v>
      </c>
      <c r="B946" s="12" t="s">
        <v>4713</v>
      </c>
      <c r="C946" s="12" t="s">
        <v>6338</v>
      </c>
      <c r="D946" s="13" t="s">
        <v>4885</v>
      </c>
    </row>
    <row r="947" spans="1:4" x14ac:dyDescent="0.35">
      <c r="A947" s="14" t="s">
        <v>1415</v>
      </c>
      <c r="B947" s="15" t="s">
        <v>4716</v>
      </c>
      <c r="C947" s="15" t="s">
        <v>6339</v>
      </c>
      <c r="D947" s="16" t="s">
        <v>4754</v>
      </c>
    </row>
    <row r="948" spans="1:4" x14ac:dyDescent="0.35">
      <c r="A948" s="11" t="s">
        <v>1414</v>
      </c>
      <c r="B948" s="12" t="s">
        <v>4716</v>
      </c>
      <c r="C948" s="12" t="s">
        <v>5782</v>
      </c>
      <c r="D948" s="13" t="s">
        <v>6340</v>
      </c>
    </row>
    <row r="949" spans="1:4" x14ac:dyDescent="0.35">
      <c r="A949" s="14" t="s">
        <v>1413</v>
      </c>
      <c r="B949" s="15" t="s">
        <v>4716</v>
      </c>
      <c r="C949" s="15" t="s">
        <v>6341</v>
      </c>
      <c r="D949" s="16" t="s">
        <v>4994</v>
      </c>
    </row>
    <row r="950" spans="1:4" x14ac:dyDescent="0.35">
      <c r="A950" s="11" t="s">
        <v>1412</v>
      </c>
      <c r="B950" s="12" t="s">
        <v>4716</v>
      </c>
      <c r="C950" s="12" t="s">
        <v>6342</v>
      </c>
      <c r="D950" s="13" t="s">
        <v>5136</v>
      </c>
    </row>
    <row r="951" spans="1:4" x14ac:dyDescent="0.35">
      <c r="A951" s="14" t="s">
        <v>1411</v>
      </c>
      <c r="B951" s="15" t="s">
        <v>4716</v>
      </c>
      <c r="C951" s="15" t="s">
        <v>6343</v>
      </c>
      <c r="D951" s="16" t="s">
        <v>5559</v>
      </c>
    </row>
    <row r="952" spans="1:4" x14ac:dyDescent="0.35">
      <c r="A952" s="11" t="s">
        <v>1410</v>
      </c>
      <c r="B952" s="12" t="s">
        <v>4713</v>
      </c>
      <c r="C952" s="12" t="s">
        <v>6344</v>
      </c>
      <c r="D952" s="13" t="s">
        <v>6345</v>
      </c>
    </row>
    <row r="953" spans="1:4" x14ac:dyDescent="0.35">
      <c r="A953" s="14" t="s">
        <v>1409</v>
      </c>
      <c r="B953" s="15" t="s">
        <v>4713</v>
      </c>
      <c r="C953" s="15" t="s">
        <v>5338</v>
      </c>
      <c r="D953" s="16" t="s">
        <v>6346</v>
      </c>
    </row>
    <row r="954" spans="1:4" x14ac:dyDescent="0.35">
      <c r="A954" s="11" t="s">
        <v>1408</v>
      </c>
      <c r="B954" s="12" t="s">
        <v>4713</v>
      </c>
      <c r="C954" s="12" t="s">
        <v>6347</v>
      </c>
      <c r="D954" s="13" t="s">
        <v>6348</v>
      </c>
    </row>
    <row r="955" spans="1:4" x14ac:dyDescent="0.35">
      <c r="A955" s="14" t="s">
        <v>1407</v>
      </c>
      <c r="B955" s="15" t="s">
        <v>4716</v>
      </c>
      <c r="C955" s="15" t="s">
        <v>6349</v>
      </c>
      <c r="D955" s="16" t="s">
        <v>6350</v>
      </c>
    </row>
    <row r="956" spans="1:4" x14ac:dyDescent="0.35">
      <c r="A956" s="11" t="s">
        <v>1406</v>
      </c>
      <c r="B956" s="12" t="s">
        <v>4716</v>
      </c>
      <c r="C956" s="12" t="s">
        <v>6351</v>
      </c>
      <c r="D956" s="13" t="s">
        <v>6352</v>
      </c>
    </row>
    <row r="957" spans="1:4" x14ac:dyDescent="0.35">
      <c r="A957" s="14" t="s">
        <v>1405</v>
      </c>
      <c r="B957" s="15" t="s">
        <v>5590</v>
      </c>
      <c r="C957" s="15" t="s">
        <v>6353</v>
      </c>
      <c r="D957" s="16" t="s">
        <v>6354</v>
      </c>
    </row>
    <row r="958" spans="1:4" x14ac:dyDescent="0.35">
      <c r="A958" s="11" t="s">
        <v>1404</v>
      </c>
      <c r="B958" s="12" t="s">
        <v>4716</v>
      </c>
      <c r="C958" s="12" t="s">
        <v>6254</v>
      </c>
      <c r="D958" s="13" t="s">
        <v>4994</v>
      </c>
    </row>
    <row r="959" spans="1:4" x14ac:dyDescent="0.35">
      <c r="A959" s="14" t="s">
        <v>1403</v>
      </c>
      <c r="B959" s="15" t="s">
        <v>4713</v>
      </c>
      <c r="C959" s="15" t="s">
        <v>6355</v>
      </c>
      <c r="D959" s="16" t="s">
        <v>6356</v>
      </c>
    </row>
    <row r="960" spans="1:4" x14ac:dyDescent="0.35">
      <c r="A960" s="11" t="s">
        <v>1402</v>
      </c>
      <c r="B960" s="12" t="s">
        <v>5590</v>
      </c>
      <c r="C960" s="12" t="s">
        <v>6357</v>
      </c>
      <c r="D960" s="13" t="s">
        <v>6358</v>
      </c>
    </row>
    <row r="961" spans="1:4" x14ac:dyDescent="0.35">
      <c r="A961" s="14" t="s">
        <v>1401</v>
      </c>
      <c r="B961" s="15" t="s">
        <v>4713</v>
      </c>
      <c r="C961" s="15" t="s">
        <v>6359</v>
      </c>
      <c r="D961" s="16" t="s">
        <v>6360</v>
      </c>
    </row>
    <row r="962" spans="1:4" x14ac:dyDescent="0.35">
      <c r="A962" s="11" t="s">
        <v>1400</v>
      </c>
      <c r="B962" s="12" t="s">
        <v>5590</v>
      </c>
      <c r="C962" s="12" t="s">
        <v>6361</v>
      </c>
      <c r="D962" s="13" t="s">
        <v>5451</v>
      </c>
    </row>
    <row r="963" spans="1:4" x14ac:dyDescent="0.35">
      <c r="A963" s="14" t="s">
        <v>1399</v>
      </c>
      <c r="B963" s="15" t="s">
        <v>4716</v>
      </c>
      <c r="C963" s="15" t="s">
        <v>5262</v>
      </c>
      <c r="D963" s="16" t="s">
        <v>6362</v>
      </c>
    </row>
    <row r="964" spans="1:4" x14ac:dyDescent="0.35">
      <c r="A964" s="11" t="s">
        <v>1398</v>
      </c>
      <c r="B964" s="12" t="s">
        <v>4713</v>
      </c>
      <c r="C964" s="12" t="s">
        <v>6363</v>
      </c>
      <c r="D964" s="13" t="s">
        <v>6364</v>
      </c>
    </row>
    <row r="965" spans="1:4" x14ac:dyDescent="0.35">
      <c r="A965" s="14" t="s">
        <v>1397</v>
      </c>
      <c r="B965" s="15" t="s">
        <v>5590</v>
      </c>
      <c r="C965" s="15" t="s">
        <v>6365</v>
      </c>
      <c r="D965" s="16" t="s">
        <v>6366</v>
      </c>
    </row>
    <row r="966" spans="1:4" x14ac:dyDescent="0.35">
      <c r="A966" s="11" t="s">
        <v>1396</v>
      </c>
      <c r="B966" s="12" t="s">
        <v>4713</v>
      </c>
      <c r="C966" s="12" t="s">
        <v>6367</v>
      </c>
      <c r="D966" s="13" t="s">
        <v>6368</v>
      </c>
    </row>
    <row r="967" spans="1:4" x14ac:dyDescent="0.35">
      <c r="A967" s="14" t="s">
        <v>1395</v>
      </c>
      <c r="B967" s="15" t="s">
        <v>4713</v>
      </c>
      <c r="C967" s="15" t="s">
        <v>6369</v>
      </c>
      <c r="D967" s="16" t="s">
        <v>6370</v>
      </c>
    </row>
    <row r="968" spans="1:4" x14ac:dyDescent="0.35">
      <c r="A968" s="11" t="s">
        <v>1394</v>
      </c>
      <c r="B968" s="12" t="s">
        <v>4713</v>
      </c>
      <c r="C968" s="12" t="s">
        <v>6371</v>
      </c>
      <c r="D968" s="13" t="s">
        <v>6372</v>
      </c>
    </row>
    <row r="969" spans="1:4" x14ac:dyDescent="0.35">
      <c r="A969" s="14" t="s">
        <v>1393</v>
      </c>
      <c r="B969" s="15" t="s">
        <v>4716</v>
      </c>
      <c r="C969" s="15" t="s">
        <v>6373</v>
      </c>
      <c r="D969" s="16" t="s">
        <v>4836</v>
      </c>
    </row>
    <row r="970" spans="1:4" x14ac:dyDescent="0.35">
      <c r="A970" s="11" t="s">
        <v>1392</v>
      </c>
      <c r="B970" s="12" t="s">
        <v>4713</v>
      </c>
      <c r="C970" s="12" t="s">
        <v>6374</v>
      </c>
      <c r="D970" s="13" t="s">
        <v>5810</v>
      </c>
    </row>
    <row r="971" spans="1:4" x14ac:dyDescent="0.35">
      <c r="A971" s="14" t="s">
        <v>1391</v>
      </c>
      <c r="B971" s="15" t="s">
        <v>4716</v>
      </c>
      <c r="C971" s="15" t="s">
        <v>6375</v>
      </c>
      <c r="D971" s="16" t="s">
        <v>6376</v>
      </c>
    </row>
    <row r="972" spans="1:4" x14ac:dyDescent="0.35">
      <c r="A972" s="11" t="s">
        <v>1390</v>
      </c>
      <c r="B972" s="12" t="s">
        <v>4713</v>
      </c>
      <c r="C972" s="12" t="s">
        <v>6377</v>
      </c>
      <c r="D972" s="13" t="s">
        <v>5467</v>
      </c>
    </row>
    <row r="973" spans="1:4" x14ac:dyDescent="0.35">
      <c r="A973" s="14" t="s">
        <v>1389</v>
      </c>
      <c r="B973" s="15" t="s">
        <v>4713</v>
      </c>
      <c r="C973" s="15" t="s">
        <v>6378</v>
      </c>
      <c r="D973" s="16" t="s">
        <v>6379</v>
      </c>
    </row>
    <row r="974" spans="1:4" x14ac:dyDescent="0.35">
      <c r="A974" s="11" t="s">
        <v>1388</v>
      </c>
      <c r="B974" s="12" t="s">
        <v>4716</v>
      </c>
      <c r="C974" s="12" t="s">
        <v>6380</v>
      </c>
      <c r="D974" s="13" t="s">
        <v>5014</v>
      </c>
    </row>
    <row r="975" spans="1:4" x14ac:dyDescent="0.35">
      <c r="A975" s="14" t="s">
        <v>1387</v>
      </c>
      <c r="B975" s="15" t="s">
        <v>5590</v>
      </c>
      <c r="C975" s="15" t="s">
        <v>6050</v>
      </c>
      <c r="D975" s="16" t="s">
        <v>6381</v>
      </c>
    </row>
    <row r="976" spans="1:4" x14ac:dyDescent="0.35">
      <c r="A976" s="11" t="s">
        <v>1386</v>
      </c>
      <c r="B976" s="12" t="s">
        <v>4716</v>
      </c>
      <c r="C976" s="12" t="s">
        <v>6382</v>
      </c>
      <c r="D976" s="13" t="s">
        <v>5941</v>
      </c>
    </row>
    <row r="977" spans="1:4" x14ac:dyDescent="0.35">
      <c r="A977" s="14" t="s">
        <v>1385</v>
      </c>
      <c r="B977" s="15" t="s">
        <v>5590</v>
      </c>
      <c r="C977" s="15" t="s">
        <v>6383</v>
      </c>
      <c r="D977" s="16" t="s">
        <v>6384</v>
      </c>
    </row>
    <row r="978" spans="1:4" x14ac:dyDescent="0.35">
      <c r="A978" s="11" t="s">
        <v>1384</v>
      </c>
      <c r="B978" s="12" t="s">
        <v>5590</v>
      </c>
      <c r="C978" s="12" t="s">
        <v>5583</v>
      </c>
      <c r="D978" s="13" t="s">
        <v>6385</v>
      </c>
    </row>
    <row r="979" spans="1:4" x14ac:dyDescent="0.35">
      <c r="A979" s="14" t="s">
        <v>1383</v>
      </c>
      <c r="B979" s="15" t="s">
        <v>4716</v>
      </c>
      <c r="C979" s="15" t="s">
        <v>6386</v>
      </c>
      <c r="D979" s="16" t="s">
        <v>5276</v>
      </c>
    </row>
    <row r="980" spans="1:4" x14ac:dyDescent="0.35">
      <c r="A980" s="11" t="s">
        <v>1382</v>
      </c>
      <c r="B980" s="12" t="s">
        <v>4716</v>
      </c>
      <c r="C980" s="12" t="s">
        <v>6387</v>
      </c>
      <c r="D980" s="13" t="s">
        <v>6388</v>
      </c>
    </row>
    <row r="981" spans="1:4" x14ac:dyDescent="0.35">
      <c r="A981" s="14" t="s">
        <v>1381</v>
      </c>
      <c r="B981" s="15" t="s">
        <v>4716</v>
      </c>
      <c r="C981" s="15" t="s">
        <v>6389</v>
      </c>
      <c r="D981" s="16" t="s">
        <v>5140</v>
      </c>
    </row>
    <row r="982" spans="1:4" x14ac:dyDescent="0.35">
      <c r="A982" s="11" t="s">
        <v>1380</v>
      </c>
      <c r="B982" s="12" t="s">
        <v>4716</v>
      </c>
      <c r="C982" s="12" t="s">
        <v>6390</v>
      </c>
      <c r="D982" s="13" t="s">
        <v>6391</v>
      </c>
    </row>
    <row r="983" spans="1:4" x14ac:dyDescent="0.35">
      <c r="A983" s="14" t="s">
        <v>1379</v>
      </c>
      <c r="B983" s="15" t="s">
        <v>4716</v>
      </c>
      <c r="C983" s="15" t="s">
        <v>6392</v>
      </c>
      <c r="D983" s="16" t="s">
        <v>6393</v>
      </c>
    </row>
    <row r="984" spans="1:4" x14ac:dyDescent="0.35">
      <c r="A984" s="11" t="s">
        <v>1378</v>
      </c>
      <c r="B984" s="12" t="s">
        <v>4716</v>
      </c>
      <c r="C984" s="12" t="s">
        <v>6394</v>
      </c>
      <c r="D984" s="13" t="s">
        <v>5150</v>
      </c>
    </row>
    <row r="985" spans="1:4" x14ac:dyDescent="0.35">
      <c r="A985" s="14" t="s">
        <v>1377</v>
      </c>
      <c r="B985" s="15" t="s">
        <v>5590</v>
      </c>
      <c r="C985" s="15" t="s">
        <v>6395</v>
      </c>
      <c r="D985" s="16" t="s">
        <v>6396</v>
      </c>
    </row>
    <row r="986" spans="1:4" x14ac:dyDescent="0.35">
      <c r="A986" s="11" t="s">
        <v>1376</v>
      </c>
      <c r="B986" s="12" t="s">
        <v>4716</v>
      </c>
      <c r="C986" s="12" t="s">
        <v>6397</v>
      </c>
      <c r="D986" s="13" t="s">
        <v>6398</v>
      </c>
    </row>
    <row r="987" spans="1:4" x14ac:dyDescent="0.35">
      <c r="A987" s="14" t="s">
        <v>1375</v>
      </c>
      <c r="B987" s="15" t="s">
        <v>4713</v>
      </c>
      <c r="C987" s="15" t="s">
        <v>6399</v>
      </c>
      <c r="D987" s="16" t="s">
        <v>6400</v>
      </c>
    </row>
    <row r="988" spans="1:4" x14ac:dyDescent="0.35">
      <c r="A988" s="11" t="s">
        <v>1374</v>
      </c>
      <c r="B988" s="12" t="s">
        <v>4713</v>
      </c>
      <c r="C988" s="12" t="s">
        <v>4991</v>
      </c>
      <c r="D988" s="13" t="s">
        <v>5191</v>
      </c>
    </row>
    <row r="989" spans="1:4" x14ac:dyDescent="0.35">
      <c r="A989" s="14" t="s">
        <v>1373</v>
      </c>
      <c r="B989" s="15" t="s">
        <v>5590</v>
      </c>
      <c r="C989" s="15" t="s">
        <v>6401</v>
      </c>
      <c r="D989" s="16" t="s">
        <v>6240</v>
      </c>
    </row>
    <row r="990" spans="1:4" x14ac:dyDescent="0.35">
      <c r="A990" s="11" t="s">
        <v>1372</v>
      </c>
      <c r="B990" s="12" t="s">
        <v>4713</v>
      </c>
      <c r="C990" s="12" t="s">
        <v>6402</v>
      </c>
      <c r="D990" s="13" t="s">
        <v>6403</v>
      </c>
    </row>
    <row r="991" spans="1:4" x14ac:dyDescent="0.35">
      <c r="A991" s="14" t="s">
        <v>1371</v>
      </c>
      <c r="B991" s="15" t="s">
        <v>4713</v>
      </c>
      <c r="C991" s="15" t="s">
        <v>6404</v>
      </c>
      <c r="D991" s="16" t="s">
        <v>4869</v>
      </c>
    </row>
    <row r="992" spans="1:4" x14ac:dyDescent="0.35">
      <c r="A992" s="11" t="s">
        <v>1370</v>
      </c>
      <c r="B992" s="12" t="s">
        <v>4713</v>
      </c>
      <c r="C992" s="12" t="s">
        <v>6405</v>
      </c>
      <c r="D992" s="13" t="s">
        <v>6406</v>
      </c>
    </row>
    <row r="993" spans="1:4" x14ac:dyDescent="0.35">
      <c r="A993" s="14" t="s">
        <v>1369</v>
      </c>
      <c r="B993" s="15" t="s">
        <v>4716</v>
      </c>
      <c r="C993" s="15" t="s">
        <v>4888</v>
      </c>
      <c r="D993" s="16" t="s">
        <v>6407</v>
      </c>
    </row>
    <row r="994" spans="1:4" x14ac:dyDescent="0.35">
      <c r="A994" s="11" t="s">
        <v>1368</v>
      </c>
      <c r="B994" s="12" t="s">
        <v>4716</v>
      </c>
      <c r="C994" s="12" t="s">
        <v>6408</v>
      </c>
      <c r="D994" s="13" t="s">
        <v>6409</v>
      </c>
    </row>
    <row r="995" spans="1:4" x14ac:dyDescent="0.35">
      <c r="A995" s="14" t="s">
        <v>1367</v>
      </c>
      <c r="B995" s="15" t="s">
        <v>4713</v>
      </c>
      <c r="C995" s="15" t="s">
        <v>6410</v>
      </c>
      <c r="D995" s="16" t="s">
        <v>6411</v>
      </c>
    </row>
    <row r="996" spans="1:4" x14ac:dyDescent="0.35">
      <c r="A996" s="11" t="s">
        <v>1366</v>
      </c>
      <c r="B996" s="12" t="s">
        <v>4716</v>
      </c>
      <c r="C996" s="12" t="s">
        <v>4796</v>
      </c>
      <c r="D996" s="13" t="s">
        <v>6412</v>
      </c>
    </row>
    <row r="997" spans="1:4" x14ac:dyDescent="0.35">
      <c r="A997" s="14" t="s">
        <v>1365</v>
      </c>
      <c r="B997" s="15" t="s">
        <v>5590</v>
      </c>
      <c r="C997" s="15" t="s">
        <v>6413</v>
      </c>
      <c r="D997" s="16" t="s">
        <v>6414</v>
      </c>
    </row>
    <row r="998" spans="1:4" x14ac:dyDescent="0.35">
      <c r="A998" s="11" t="s">
        <v>1364</v>
      </c>
      <c r="B998" s="12" t="s">
        <v>4716</v>
      </c>
      <c r="C998" s="12" t="s">
        <v>4763</v>
      </c>
      <c r="D998" s="13" t="s">
        <v>6415</v>
      </c>
    </row>
    <row r="999" spans="1:4" x14ac:dyDescent="0.35">
      <c r="A999" s="14" t="s">
        <v>1363</v>
      </c>
      <c r="B999" s="15" t="s">
        <v>5590</v>
      </c>
      <c r="C999" s="15" t="s">
        <v>6416</v>
      </c>
      <c r="D999" s="16" t="s">
        <v>5536</v>
      </c>
    </row>
    <row r="1000" spans="1:4" x14ac:dyDescent="0.35">
      <c r="A1000" s="11" t="s">
        <v>1362</v>
      </c>
      <c r="B1000" s="12" t="s">
        <v>4716</v>
      </c>
      <c r="C1000" s="12" t="s">
        <v>5697</v>
      </c>
      <c r="D1000" s="13" t="s">
        <v>6417</v>
      </c>
    </row>
    <row r="1001" spans="1:4" x14ac:dyDescent="0.35">
      <c r="A1001" s="14" t="s">
        <v>1361</v>
      </c>
      <c r="B1001" s="15" t="s">
        <v>5590</v>
      </c>
      <c r="C1001" s="15" t="s">
        <v>6418</v>
      </c>
      <c r="D1001" s="16" t="s">
        <v>6419</v>
      </c>
    </row>
    <row r="1002" spans="1:4" x14ac:dyDescent="0.35">
      <c r="A1002" s="11" t="s">
        <v>1360</v>
      </c>
      <c r="B1002" s="12" t="s">
        <v>4716</v>
      </c>
      <c r="C1002" s="12" t="s">
        <v>6420</v>
      </c>
      <c r="D1002" s="13" t="s">
        <v>4873</v>
      </c>
    </row>
    <row r="1003" spans="1:4" x14ac:dyDescent="0.35">
      <c r="A1003" s="14" t="s">
        <v>1359</v>
      </c>
      <c r="B1003" s="15" t="s">
        <v>5590</v>
      </c>
      <c r="C1003" s="15" t="s">
        <v>6421</v>
      </c>
      <c r="D1003" s="16" t="s">
        <v>6422</v>
      </c>
    </row>
    <row r="1004" spans="1:4" x14ac:dyDescent="0.35">
      <c r="A1004" s="11" t="s">
        <v>1358</v>
      </c>
      <c r="B1004" s="12" t="s">
        <v>4713</v>
      </c>
      <c r="C1004" s="12" t="s">
        <v>6423</v>
      </c>
      <c r="D1004" s="13" t="s">
        <v>6424</v>
      </c>
    </row>
    <row r="1005" spans="1:4" x14ac:dyDescent="0.35">
      <c r="A1005" s="14" t="s">
        <v>1357</v>
      </c>
      <c r="B1005" s="15" t="s">
        <v>4716</v>
      </c>
      <c r="C1005" s="15" t="s">
        <v>6425</v>
      </c>
      <c r="D1005" s="16" t="s">
        <v>6426</v>
      </c>
    </row>
    <row r="1006" spans="1:4" x14ac:dyDescent="0.35">
      <c r="A1006" s="11" t="s">
        <v>1356</v>
      </c>
      <c r="B1006" s="12" t="s">
        <v>4716</v>
      </c>
      <c r="C1006" s="12" t="s">
        <v>6427</v>
      </c>
      <c r="D1006" s="13" t="s">
        <v>4899</v>
      </c>
    </row>
    <row r="1007" spans="1:4" x14ac:dyDescent="0.35">
      <c r="A1007" s="14" t="s">
        <v>1355</v>
      </c>
      <c r="B1007" s="15" t="s">
        <v>4713</v>
      </c>
      <c r="C1007" s="15" t="s">
        <v>6428</v>
      </c>
      <c r="D1007" s="16" t="s">
        <v>6429</v>
      </c>
    </row>
    <row r="1008" spans="1:4" x14ac:dyDescent="0.35">
      <c r="A1008" s="11" t="s">
        <v>1354</v>
      </c>
      <c r="B1008" s="12" t="s">
        <v>4713</v>
      </c>
      <c r="C1008" s="12" t="s">
        <v>5205</v>
      </c>
      <c r="D1008" s="13" t="s">
        <v>6430</v>
      </c>
    </row>
    <row r="1009" spans="1:4" x14ac:dyDescent="0.35">
      <c r="A1009" s="14" t="s">
        <v>1353</v>
      </c>
      <c r="B1009" s="15" t="s">
        <v>4716</v>
      </c>
      <c r="C1009" s="15" t="s">
        <v>6431</v>
      </c>
      <c r="D1009" s="16" t="s">
        <v>6432</v>
      </c>
    </row>
    <row r="1010" spans="1:4" x14ac:dyDescent="0.35">
      <c r="A1010" s="11" t="s">
        <v>1352</v>
      </c>
      <c r="B1010" s="12" t="s">
        <v>4713</v>
      </c>
      <c r="C1010" s="12" t="s">
        <v>6433</v>
      </c>
      <c r="D1010" s="13" t="s">
        <v>5070</v>
      </c>
    </row>
    <row r="1011" spans="1:4" x14ac:dyDescent="0.35">
      <c r="A1011" s="14" t="s">
        <v>1351</v>
      </c>
      <c r="B1011" s="15" t="s">
        <v>4713</v>
      </c>
      <c r="C1011" s="15" t="s">
        <v>6434</v>
      </c>
      <c r="D1011" s="16" t="s">
        <v>6435</v>
      </c>
    </row>
    <row r="1012" spans="1:4" x14ac:dyDescent="0.35">
      <c r="A1012" s="11" t="s">
        <v>1350</v>
      </c>
      <c r="B1012" s="12" t="s">
        <v>4713</v>
      </c>
      <c r="C1012" s="12" t="s">
        <v>6436</v>
      </c>
      <c r="D1012" s="13" t="s">
        <v>5184</v>
      </c>
    </row>
    <row r="1013" spans="1:4" x14ac:dyDescent="0.35">
      <c r="A1013" s="14" t="s">
        <v>1349</v>
      </c>
      <c r="B1013" s="15" t="s">
        <v>4713</v>
      </c>
      <c r="C1013" s="15" t="s">
        <v>6437</v>
      </c>
      <c r="D1013" s="16" t="s">
        <v>6438</v>
      </c>
    </row>
    <row r="1014" spans="1:4" x14ac:dyDescent="0.35">
      <c r="A1014" s="11" t="s">
        <v>1348</v>
      </c>
      <c r="B1014" s="12" t="s">
        <v>4713</v>
      </c>
      <c r="C1014" s="12" t="s">
        <v>6439</v>
      </c>
      <c r="D1014" s="13" t="s">
        <v>6440</v>
      </c>
    </row>
    <row r="1015" spans="1:4" x14ac:dyDescent="0.35">
      <c r="A1015" s="14" t="s">
        <v>1347</v>
      </c>
      <c r="B1015" s="15" t="s">
        <v>4713</v>
      </c>
      <c r="C1015" s="15" t="s">
        <v>6441</v>
      </c>
      <c r="D1015" s="16" t="s">
        <v>5655</v>
      </c>
    </row>
    <row r="1016" spans="1:4" x14ac:dyDescent="0.35">
      <c r="A1016" s="11" t="s">
        <v>1346</v>
      </c>
      <c r="B1016" s="12" t="s">
        <v>4713</v>
      </c>
      <c r="C1016" s="12" t="s">
        <v>6442</v>
      </c>
      <c r="D1016" s="13" t="s">
        <v>5019</v>
      </c>
    </row>
    <row r="1017" spans="1:4" x14ac:dyDescent="0.35">
      <c r="A1017" s="14" t="s">
        <v>1345</v>
      </c>
      <c r="B1017" s="15" t="s">
        <v>4713</v>
      </c>
      <c r="C1017" s="15" t="s">
        <v>6443</v>
      </c>
      <c r="D1017" s="16" t="s">
        <v>6444</v>
      </c>
    </row>
    <row r="1018" spans="1:4" x14ac:dyDescent="0.35">
      <c r="A1018" s="11" t="s">
        <v>1344</v>
      </c>
      <c r="B1018" s="12" t="s">
        <v>5590</v>
      </c>
      <c r="C1018" s="12" t="s">
        <v>6445</v>
      </c>
      <c r="D1018" s="13" t="s">
        <v>6446</v>
      </c>
    </row>
    <row r="1019" spans="1:4" x14ac:dyDescent="0.35">
      <c r="A1019" s="14" t="s">
        <v>1343</v>
      </c>
      <c r="B1019" s="15" t="s">
        <v>5590</v>
      </c>
      <c r="C1019" s="15" t="s">
        <v>6447</v>
      </c>
      <c r="D1019" s="16" t="s">
        <v>6448</v>
      </c>
    </row>
    <row r="1020" spans="1:4" x14ac:dyDescent="0.35">
      <c r="A1020" s="11" t="s">
        <v>1342</v>
      </c>
      <c r="B1020" s="12" t="s">
        <v>4716</v>
      </c>
      <c r="C1020" s="12" t="s">
        <v>6449</v>
      </c>
      <c r="D1020" s="13" t="s">
        <v>4730</v>
      </c>
    </row>
    <row r="1021" spans="1:4" x14ac:dyDescent="0.35">
      <c r="A1021" s="14" t="s">
        <v>1341</v>
      </c>
      <c r="B1021" s="15" t="s">
        <v>4713</v>
      </c>
      <c r="C1021" s="15" t="s">
        <v>6450</v>
      </c>
      <c r="D1021" s="16" t="s">
        <v>6451</v>
      </c>
    </row>
    <row r="1022" spans="1:4" x14ac:dyDescent="0.35">
      <c r="A1022" s="11" t="s">
        <v>1340</v>
      </c>
      <c r="B1022" s="12" t="s">
        <v>4716</v>
      </c>
      <c r="C1022" s="12" t="s">
        <v>6452</v>
      </c>
      <c r="D1022" s="13" t="s">
        <v>6453</v>
      </c>
    </row>
    <row r="1023" spans="1:4" x14ac:dyDescent="0.35">
      <c r="A1023" s="14" t="s">
        <v>1339</v>
      </c>
      <c r="B1023" s="15" t="s">
        <v>4713</v>
      </c>
      <c r="C1023" s="15" t="s">
        <v>6454</v>
      </c>
      <c r="D1023" s="16" t="s">
        <v>6455</v>
      </c>
    </row>
    <row r="1024" spans="1:4" x14ac:dyDescent="0.35">
      <c r="A1024" s="11" t="s">
        <v>1338</v>
      </c>
      <c r="B1024" s="12" t="s">
        <v>4713</v>
      </c>
      <c r="C1024" s="12" t="s">
        <v>6456</v>
      </c>
      <c r="D1024" s="13" t="s">
        <v>6457</v>
      </c>
    </row>
    <row r="1025" spans="1:4" x14ac:dyDescent="0.35">
      <c r="A1025" s="14" t="s">
        <v>1337</v>
      </c>
      <c r="B1025" s="15" t="s">
        <v>4716</v>
      </c>
      <c r="C1025" s="15" t="s">
        <v>6458</v>
      </c>
      <c r="D1025" s="16" t="s">
        <v>6459</v>
      </c>
    </row>
    <row r="1026" spans="1:4" x14ac:dyDescent="0.35">
      <c r="A1026" s="11" t="s">
        <v>1336</v>
      </c>
      <c r="B1026" s="12" t="s">
        <v>4716</v>
      </c>
      <c r="C1026" s="12" t="s">
        <v>6460</v>
      </c>
      <c r="D1026" s="13" t="s">
        <v>4738</v>
      </c>
    </row>
    <row r="1027" spans="1:4" x14ac:dyDescent="0.35">
      <c r="A1027" s="14" t="s">
        <v>1335</v>
      </c>
      <c r="B1027" s="15" t="s">
        <v>4716</v>
      </c>
      <c r="C1027" s="15" t="s">
        <v>6461</v>
      </c>
      <c r="D1027" s="16" t="s">
        <v>6462</v>
      </c>
    </row>
    <row r="1028" spans="1:4" x14ac:dyDescent="0.35">
      <c r="A1028" s="11" t="s">
        <v>1334</v>
      </c>
      <c r="B1028" s="12" t="s">
        <v>4713</v>
      </c>
      <c r="C1028" s="12" t="s">
        <v>6463</v>
      </c>
      <c r="D1028" s="13" t="s">
        <v>6464</v>
      </c>
    </row>
    <row r="1029" spans="1:4" x14ac:dyDescent="0.35">
      <c r="A1029" s="14" t="s">
        <v>1333</v>
      </c>
      <c r="B1029" s="15" t="s">
        <v>4716</v>
      </c>
      <c r="C1029" s="15" t="s">
        <v>6465</v>
      </c>
      <c r="D1029" s="16" t="s">
        <v>6462</v>
      </c>
    </row>
    <row r="1030" spans="1:4" x14ac:dyDescent="0.35">
      <c r="A1030" s="11" t="s">
        <v>1332</v>
      </c>
      <c r="B1030" s="12" t="s">
        <v>4716</v>
      </c>
      <c r="C1030" s="12" t="s">
        <v>6466</v>
      </c>
      <c r="D1030" s="13" t="s">
        <v>4873</v>
      </c>
    </row>
    <row r="1031" spans="1:4" x14ac:dyDescent="0.35">
      <c r="A1031" s="14" t="s">
        <v>1331</v>
      </c>
      <c r="B1031" s="15" t="s">
        <v>4713</v>
      </c>
      <c r="C1031" s="15" t="s">
        <v>6467</v>
      </c>
      <c r="D1031" s="16" t="s">
        <v>6468</v>
      </c>
    </row>
    <row r="1032" spans="1:4" x14ac:dyDescent="0.35">
      <c r="A1032" s="11" t="s">
        <v>1330</v>
      </c>
      <c r="B1032" s="12" t="s">
        <v>4716</v>
      </c>
      <c r="C1032" s="12" t="s">
        <v>6469</v>
      </c>
      <c r="D1032" s="13" t="s">
        <v>6470</v>
      </c>
    </row>
    <row r="1033" spans="1:4" x14ac:dyDescent="0.35">
      <c r="A1033" s="14" t="s">
        <v>1329</v>
      </c>
      <c r="B1033" s="15" t="s">
        <v>4713</v>
      </c>
      <c r="C1033" s="15" t="s">
        <v>6471</v>
      </c>
      <c r="D1033" s="16" t="s">
        <v>6472</v>
      </c>
    </row>
    <row r="1034" spans="1:4" x14ac:dyDescent="0.35">
      <c r="A1034" s="11" t="s">
        <v>1328</v>
      </c>
      <c r="B1034" s="12" t="s">
        <v>4713</v>
      </c>
      <c r="C1034" s="12" t="s">
        <v>5880</v>
      </c>
      <c r="D1034" s="13" t="s">
        <v>6473</v>
      </c>
    </row>
    <row r="1035" spans="1:4" x14ac:dyDescent="0.35">
      <c r="A1035" s="14" t="s">
        <v>1327</v>
      </c>
      <c r="B1035" s="15" t="s">
        <v>4713</v>
      </c>
      <c r="C1035" s="15" t="s">
        <v>6474</v>
      </c>
      <c r="D1035" s="16" t="s">
        <v>5425</v>
      </c>
    </row>
    <row r="1036" spans="1:4" x14ac:dyDescent="0.35">
      <c r="A1036" s="11" t="s">
        <v>1326</v>
      </c>
      <c r="B1036" s="12" t="s">
        <v>4713</v>
      </c>
      <c r="C1036" s="12" t="s">
        <v>6475</v>
      </c>
      <c r="D1036" s="13" t="s">
        <v>6476</v>
      </c>
    </row>
    <row r="1037" spans="1:4" x14ac:dyDescent="0.35">
      <c r="A1037" s="14" t="s">
        <v>1325</v>
      </c>
      <c r="B1037" s="15" t="s">
        <v>4713</v>
      </c>
      <c r="C1037" s="15" t="s">
        <v>6477</v>
      </c>
      <c r="D1037" s="16" t="s">
        <v>5721</v>
      </c>
    </row>
    <row r="1038" spans="1:4" x14ac:dyDescent="0.35">
      <c r="A1038" s="11" t="s">
        <v>1324</v>
      </c>
      <c r="B1038" s="12" t="s">
        <v>4716</v>
      </c>
      <c r="C1038" s="12" t="s">
        <v>6478</v>
      </c>
      <c r="D1038" s="13" t="s">
        <v>4843</v>
      </c>
    </row>
    <row r="1039" spans="1:4" x14ac:dyDescent="0.35">
      <c r="A1039" s="14" t="s">
        <v>1323</v>
      </c>
      <c r="B1039" s="15" t="s">
        <v>4716</v>
      </c>
      <c r="C1039" s="15" t="s">
        <v>6479</v>
      </c>
      <c r="D1039" s="16" t="s">
        <v>6480</v>
      </c>
    </row>
    <row r="1040" spans="1:4" x14ac:dyDescent="0.35">
      <c r="A1040" s="11" t="s">
        <v>1322</v>
      </c>
      <c r="B1040" s="12" t="s">
        <v>4713</v>
      </c>
      <c r="C1040" s="12" t="s">
        <v>6481</v>
      </c>
      <c r="D1040" s="13" t="s">
        <v>6482</v>
      </c>
    </row>
    <row r="1041" spans="1:4" x14ac:dyDescent="0.35">
      <c r="A1041" s="14" t="s">
        <v>1321</v>
      </c>
      <c r="B1041" s="15" t="s">
        <v>4713</v>
      </c>
      <c r="C1041" s="15" t="s">
        <v>6483</v>
      </c>
      <c r="D1041" s="16" t="s">
        <v>6484</v>
      </c>
    </row>
    <row r="1042" spans="1:4" x14ac:dyDescent="0.35">
      <c r="A1042" s="11" t="s">
        <v>1320</v>
      </c>
      <c r="B1042" s="12" t="s">
        <v>4716</v>
      </c>
      <c r="C1042" s="12" t="s">
        <v>5930</v>
      </c>
      <c r="D1042" s="13" t="s">
        <v>5023</v>
      </c>
    </row>
    <row r="1043" spans="1:4" x14ac:dyDescent="0.35">
      <c r="A1043" s="14" t="s">
        <v>1319</v>
      </c>
      <c r="B1043" s="15" t="s">
        <v>4713</v>
      </c>
      <c r="C1043" s="15" t="s">
        <v>6485</v>
      </c>
      <c r="D1043" s="16" t="s">
        <v>6486</v>
      </c>
    </row>
    <row r="1044" spans="1:4" x14ac:dyDescent="0.35">
      <c r="A1044" s="11" t="s">
        <v>1318</v>
      </c>
      <c r="B1044" s="12" t="s">
        <v>4716</v>
      </c>
      <c r="C1044" s="12" t="s">
        <v>6487</v>
      </c>
      <c r="D1044" s="13" t="s">
        <v>6488</v>
      </c>
    </row>
    <row r="1045" spans="1:4" x14ac:dyDescent="0.35">
      <c r="A1045" s="14" t="s">
        <v>1317</v>
      </c>
      <c r="B1045" s="15" t="s">
        <v>4716</v>
      </c>
      <c r="C1045" s="15" t="s">
        <v>6489</v>
      </c>
      <c r="D1045" s="16" t="s">
        <v>6490</v>
      </c>
    </row>
    <row r="1046" spans="1:4" x14ac:dyDescent="0.35">
      <c r="A1046" s="11" t="s">
        <v>1316</v>
      </c>
      <c r="B1046" s="12" t="s">
        <v>5590</v>
      </c>
      <c r="C1046" s="12" t="s">
        <v>6491</v>
      </c>
      <c r="D1046" s="13" t="s">
        <v>6492</v>
      </c>
    </row>
    <row r="1047" spans="1:4" x14ac:dyDescent="0.35">
      <c r="A1047" s="14" t="s">
        <v>1315</v>
      </c>
      <c r="B1047" s="15" t="s">
        <v>4716</v>
      </c>
      <c r="C1047" s="15" t="s">
        <v>6493</v>
      </c>
      <c r="D1047" s="16" t="s">
        <v>6494</v>
      </c>
    </row>
    <row r="1048" spans="1:4" x14ac:dyDescent="0.35">
      <c r="A1048" s="11" t="s">
        <v>1314</v>
      </c>
      <c r="B1048" s="12" t="s">
        <v>4716</v>
      </c>
      <c r="C1048" s="12" t="s">
        <v>6495</v>
      </c>
      <c r="D1048" s="13" t="s">
        <v>6462</v>
      </c>
    </row>
    <row r="1049" spans="1:4" x14ac:dyDescent="0.35">
      <c r="A1049" s="14" t="s">
        <v>1313</v>
      </c>
      <c r="B1049" s="15" t="s">
        <v>4713</v>
      </c>
      <c r="C1049" s="15" t="s">
        <v>6496</v>
      </c>
      <c r="D1049" s="16" t="s">
        <v>6497</v>
      </c>
    </row>
    <row r="1050" spans="1:4" x14ac:dyDescent="0.35">
      <c r="A1050" s="11" t="s">
        <v>1312</v>
      </c>
      <c r="B1050" s="12" t="s">
        <v>4713</v>
      </c>
      <c r="C1050" s="12" t="s">
        <v>6498</v>
      </c>
      <c r="D1050" s="13" t="s">
        <v>6499</v>
      </c>
    </row>
    <row r="1051" spans="1:4" x14ac:dyDescent="0.35">
      <c r="A1051" s="14" t="s">
        <v>1311</v>
      </c>
      <c r="B1051" s="15" t="s">
        <v>4713</v>
      </c>
      <c r="C1051" s="15" t="s">
        <v>6500</v>
      </c>
      <c r="D1051" s="16" t="s">
        <v>5939</v>
      </c>
    </row>
    <row r="1052" spans="1:4" x14ac:dyDescent="0.35">
      <c r="A1052" s="11" t="s">
        <v>1310</v>
      </c>
      <c r="B1052" s="12" t="s">
        <v>5590</v>
      </c>
      <c r="C1052" s="12" t="s">
        <v>6501</v>
      </c>
      <c r="D1052" s="13" t="s">
        <v>6502</v>
      </c>
    </row>
    <row r="1053" spans="1:4" x14ac:dyDescent="0.35">
      <c r="A1053" s="14" t="s">
        <v>1309</v>
      </c>
      <c r="B1053" s="15" t="s">
        <v>4716</v>
      </c>
      <c r="C1053" s="15" t="s">
        <v>6503</v>
      </c>
      <c r="D1053" s="16" t="s">
        <v>6504</v>
      </c>
    </row>
    <row r="1054" spans="1:4" x14ac:dyDescent="0.35">
      <c r="A1054" s="11" t="s">
        <v>1308</v>
      </c>
      <c r="B1054" s="12" t="s">
        <v>4713</v>
      </c>
      <c r="C1054" s="12" t="s">
        <v>6505</v>
      </c>
      <c r="D1054" s="13" t="s">
        <v>6506</v>
      </c>
    </row>
    <row r="1055" spans="1:4" x14ac:dyDescent="0.35">
      <c r="A1055" s="14" t="s">
        <v>1307</v>
      </c>
      <c r="B1055" s="15" t="s">
        <v>4716</v>
      </c>
      <c r="C1055" s="15" t="s">
        <v>6507</v>
      </c>
      <c r="D1055" s="16" t="s">
        <v>6508</v>
      </c>
    </row>
    <row r="1056" spans="1:4" x14ac:dyDescent="0.35">
      <c r="A1056" s="11" t="s">
        <v>1306</v>
      </c>
      <c r="B1056" s="12" t="s">
        <v>5590</v>
      </c>
      <c r="C1056" s="12" t="s">
        <v>6509</v>
      </c>
      <c r="D1056" s="13" t="s">
        <v>5490</v>
      </c>
    </row>
    <row r="1057" spans="1:4" x14ac:dyDescent="0.35">
      <c r="A1057" s="14" t="s">
        <v>1305</v>
      </c>
      <c r="B1057" s="15" t="s">
        <v>4713</v>
      </c>
      <c r="C1057" s="15" t="s">
        <v>6510</v>
      </c>
      <c r="D1057" s="16" t="s">
        <v>6511</v>
      </c>
    </row>
    <row r="1058" spans="1:4" x14ac:dyDescent="0.35">
      <c r="A1058" s="11" t="s">
        <v>1304</v>
      </c>
      <c r="B1058" s="12" t="s">
        <v>5590</v>
      </c>
      <c r="C1058" s="12" t="s">
        <v>6404</v>
      </c>
      <c r="D1058" s="13" t="s">
        <v>6512</v>
      </c>
    </row>
    <row r="1059" spans="1:4" x14ac:dyDescent="0.35">
      <c r="A1059" s="14" t="s">
        <v>1303</v>
      </c>
      <c r="B1059" s="15" t="s">
        <v>4713</v>
      </c>
      <c r="C1059" s="15" t="s">
        <v>6513</v>
      </c>
      <c r="D1059" s="16" t="s">
        <v>6314</v>
      </c>
    </row>
    <row r="1060" spans="1:4" x14ac:dyDescent="0.35">
      <c r="A1060" s="11" t="s">
        <v>1302</v>
      </c>
      <c r="B1060" s="12" t="s">
        <v>4716</v>
      </c>
      <c r="C1060" s="12" t="s">
        <v>6514</v>
      </c>
      <c r="D1060" s="13" t="s">
        <v>5105</v>
      </c>
    </row>
    <row r="1061" spans="1:4" x14ac:dyDescent="0.35">
      <c r="A1061" s="14" t="s">
        <v>1301</v>
      </c>
      <c r="B1061" s="15" t="s">
        <v>4716</v>
      </c>
      <c r="C1061" s="15" t="s">
        <v>6515</v>
      </c>
      <c r="D1061" s="16" t="s">
        <v>6516</v>
      </c>
    </row>
    <row r="1062" spans="1:4" x14ac:dyDescent="0.35">
      <c r="A1062" s="11" t="s">
        <v>1300</v>
      </c>
      <c r="B1062" s="12" t="s">
        <v>4716</v>
      </c>
      <c r="C1062" s="12" t="s">
        <v>6517</v>
      </c>
      <c r="D1062" s="13" t="s">
        <v>6518</v>
      </c>
    </row>
    <row r="1063" spans="1:4" x14ac:dyDescent="0.35">
      <c r="A1063" s="14" t="s">
        <v>1299</v>
      </c>
      <c r="B1063" s="15" t="s">
        <v>4716</v>
      </c>
      <c r="C1063" s="15" t="s">
        <v>6056</v>
      </c>
      <c r="D1063" s="16" t="s">
        <v>6519</v>
      </c>
    </row>
    <row r="1064" spans="1:4" x14ac:dyDescent="0.35">
      <c r="A1064" s="11" t="s">
        <v>1298</v>
      </c>
      <c r="B1064" s="12" t="s">
        <v>4716</v>
      </c>
      <c r="C1064" s="12" t="s">
        <v>6520</v>
      </c>
      <c r="D1064" s="13" t="s">
        <v>6521</v>
      </c>
    </row>
    <row r="1065" spans="1:4" x14ac:dyDescent="0.35">
      <c r="A1065" s="14" t="s">
        <v>1297</v>
      </c>
      <c r="B1065" s="15" t="s">
        <v>4716</v>
      </c>
      <c r="C1065" s="15" t="s">
        <v>6522</v>
      </c>
      <c r="D1065" s="16" t="s">
        <v>6523</v>
      </c>
    </row>
    <row r="1066" spans="1:4" x14ac:dyDescent="0.35">
      <c r="A1066" s="11" t="s">
        <v>1296</v>
      </c>
      <c r="B1066" s="12" t="s">
        <v>4713</v>
      </c>
      <c r="C1066" s="12" t="s">
        <v>6524</v>
      </c>
      <c r="D1066" s="13" t="s">
        <v>6525</v>
      </c>
    </row>
    <row r="1067" spans="1:4" x14ac:dyDescent="0.35">
      <c r="A1067" s="14" t="s">
        <v>1295</v>
      </c>
      <c r="B1067" s="15" t="s">
        <v>4716</v>
      </c>
      <c r="C1067" s="15" t="s">
        <v>6526</v>
      </c>
      <c r="D1067" s="16" t="s">
        <v>6527</v>
      </c>
    </row>
    <row r="1068" spans="1:4" x14ac:dyDescent="0.35">
      <c r="A1068" s="11" t="s">
        <v>1294</v>
      </c>
      <c r="B1068" s="12" t="s">
        <v>4713</v>
      </c>
      <c r="C1068" s="12" t="s">
        <v>6528</v>
      </c>
      <c r="D1068" s="13" t="s">
        <v>6529</v>
      </c>
    </row>
    <row r="1069" spans="1:4" x14ac:dyDescent="0.35">
      <c r="A1069" s="14" t="s">
        <v>1293</v>
      </c>
      <c r="B1069" s="15" t="s">
        <v>4716</v>
      </c>
      <c r="C1069" s="15" t="s">
        <v>6530</v>
      </c>
      <c r="D1069" s="16" t="s">
        <v>4728</v>
      </c>
    </row>
    <row r="1070" spans="1:4" x14ac:dyDescent="0.35">
      <c r="A1070" s="11" t="s">
        <v>1292</v>
      </c>
      <c r="B1070" s="12" t="s">
        <v>4713</v>
      </c>
      <c r="C1070" s="12" t="s">
        <v>6067</v>
      </c>
      <c r="D1070" s="13" t="s">
        <v>6531</v>
      </c>
    </row>
    <row r="1071" spans="1:4" x14ac:dyDescent="0.35">
      <c r="A1071" s="14" t="s">
        <v>1291</v>
      </c>
      <c r="B1071" s="15" t="s">
        <v>4713</v>
      </c>
      <c r="C1071" s="15" t="s">
        <v>6532</v>
      </c>
      <c r="D1071" s="16" t="s">
        <v>6533</v>
      </c>
    </row>
    <row r="1072" spans="1:4" x14ac:dyDescent="0.35">
      <c r="A1072" s="11" t="s">
        <v>1290</v>
      </c>
      <c r="B1072" s="12" t="s">
        <v>4713</v>
      </c>
      <c r="C1072" s="12" t="s">
        <v>6534</v>
      </c>
      <c r="D1072" s="13" t="s">
        <v>5356</v>
      </c>
    </row>
    <row r="1073" spans="1:4" x14ac:dyDescent="0.35">
      <c r="A1073" s="14" t="s">
        <v>1289</v>
      </c>
      <c r="B1073" s="15" t="s">
        <v>5590</v>
      </c>
      <c r="C1073" s="15" t="s">
        <v>6535</v>
      </c>
      <c r="D1073" s="16" t="s">
        <v>6536</v>
      </c>
    </row>
    <row r="1074" spans="1:4" x14ac:dyDescent="0.35">
      <c r="A1074" s="11" t="s">
        <v>1288</v>
      </c>
      <c r="B1074" s="12" t="s">
        <v>4713</v>
      </c>
      <c r="C1074" s="12" t="s">
        <v>6537</v>
      </c>
      <c r="D1074" s="13" t="s">
        <v>6538</v>
      </c>
    </row>
    <row r="1075" spans="1:4" x14ac:dyDescent="0.35">
      <c r="A1075" s="14" t="s">
        <v>1287</v>
      </c>
      <c r="B1075" s="15" t="s">
        <v>4716</v>
      </c>
      <c r="C1075" s="15" t="s">
        <v>6539</v>
      </c>
      <c r="D1075" s="16" t="s">
        <v>4994</v>
      </c>
    </row>
    <row r="1076" spans="1:4" x14ac:dyDescent="0.35">
      <c r="A1076" s="11" t="s">
        <v>1286</v>
      </c>
      <c r="B1076" s="12" t="s">
        <v>4716</v>
      </c>
      <c r="C1076" s="12" t="s">
        <v>6540</v>
      </c>
      <c r="D1076" s="13" t="s">
        <v>5692</v>
      </c>
    </row>
    <row r="1077" spans="1:4" x14ac:dyDescent="0.35">
      <c r="A1077" s="14" t="s">
        <v>1285</v>
      </c>
      <c r="B1077" s="15" t="s">
        <v>4716</v>
      </c>
      <c r="C1077" s="15" t="s">
        <v>5619</v>
      </c>
      <c r="D1077" s="16" t="s">
        <v>6541</v>
      </c>
    </row>
    <row r="1078" spans="1:4" x14ac:dyDescent="0.35">
      <c r="A1078" s="11" t="s">
        <v>1284</v>
      </c>
      <c r="B1078" s="12" t="s">
        <v>4713</v>
      </c>
      <c r="C1078" s="12" t="s">
        <v>6542</v>
      </c>
      <c r="D1078" s="13" t="s">
        <v>6543</v>
      </c>
    </row>
    <row r="1079" spans="1:4" x14ac:dyDescent="0.35">
      <c r="A1079" s="14" t="s">
        <v>1283</v>
      </c>
      <c r="B1079" s="15" t="s">
        <v>4716</v>
      </c>
      <c r="C1079" s="15" t="s">
        <v>6544</v>
      </c>
      <c r="D1079" s="16" t="s">
        <v>5140</v>
      </c>
    </row>
    <row r="1080" spans="1:4" x14ac:dyDescent="0.35">
      <c r="A1080" s="11" t="s">
        <v>1282</v>
      </c>
      <c r="B1080" s="12" t="s">
        <v>4716</v>
      </c>
      <c r="C1080" s="12" t="s">
        <v>6545</v>
      </c>
      <c r="D1080" s="13" t="s">
        <v>6546</v>
      </c>
    </row>
    <row r="1081" spans="1:4" x14ac:dyDescent="0.35">
      <c r="A1081" s="14" t="s">
        <v>1281</v>
      </c>
      <c r="B1081" s="15" t="s">
        <v>4716</v>
      </c>
      <c r="C1081" s="15" t="s">
        <v>6547</v>
      </c>
      <c r="D1081" s="16" t="s">
        <v>6548</v>
      </c>
    </row>
    <row r="1082" spans="1:4" x14ac:dyDescent="0.35">
      <c r="A1082" s="11" t="s">
        <v>1280</v>
      </c>
      <c r="B1082" s="12" t="s">
        <v>4716</v>
      </c>
      <c r="C1082" s="12" t="s">
        <v>6549</v>
      </c>
      <c r="D1082" s="13" t="s">
        <v>6550</v>
      </c>
    </row>
    <row r="1083" spans="1:4" x14ac:dyDescent="0.35">
      <c r="A1083" s="14" t="s">
        <v>1279</v>
      </c>
      <c r="B1083" s="15" t="s">
        <v>5590</v>
      </c>
      <c r="C1083" s="15" t="s">
        <v>6551</v>
      </c>
      <c r="D1083" s="16" t="s">
        <v>6552</v>
      </c>
    </row>
    <row r="1084" spans="1:4" x14ac:dyDescent="0.35">
      <c r="A1084" s="11" t="s">
        <v>1278</v>
      </c>
      <c r="B1084" s="12" t="s">
        <v>5590</v>
      </c>
      <c r="C1084" s="12" t="s">
        <v>6553</v>
      </c>
      <c r="D1084" s="13" t="s">
        <v>6554</v>
      </c>
    </row>
    <row r="1085" spans="1:4" x14ac:dyDescent="0.35">
      <c r="A1085" s="14" t="s">
        <v>1277</v>
      </c>
      <c r="B1085" s="15" t="s">
        <v>4716</v>
      </c>
      <c r="C1085" s="15" t="s">
        <v>6555</v>
      </c>
      <c r="D1085" s="16" t="s">
        <v>6556</v>
      </c>
    </row>
    <row r="1086" spans="1:4" x14ac:dyDescent="0.35">
      <c r="A1086" s="11" t="s">
        <v>1276</v>
      </c>
      <c r="B1086" s="12" t="s">
        <v>4716</v>
      </c>
      <c r="C1086" s="12" t="s">
        <v>6557</v>
      </c>
      <c r="D1086" s="13" t="s">
        <v>5692</v>
      </c>
    </row>
    <row r="1087" spans="1:4" x14ac:dyDescent="0.35">
      <c r="A1087" s="14" t="s">
        <v>1275</v>
      </c>
      <c r="B1087" s="15" t="s">
        <v>4716</v>
      </c>
      <c r="C1087" s="15" t="s">
        <v>6558</v>
      </c>
      <c r="D1087" s="16" t="s">
        <v>5140</v>
      </c>
    </row>
    <row r="1088" spans="1:4" x14ac:dyDescent="0.35">
      <c r="A1088" s="11" t="s">
        <v>1274</v>
      </c>
      <c r="B1088" s="12" t="s">
        <v>4713</v>
      </c>
      <c r="C1088" s="12" t="s">
        <v>6559</v>
      </c>
      <c r="D1088" s="13" t="s">
        <v>6560</v>
      </c>
    </row>
    <row r="1089" spans="1:4" x14ac:dyDescent="0.35">
      <c r="A1089" s="14" t="s">
        <v>1273</v>
      </c>
      <c r="B1089" s="15" t="s">
        <v>4713</v>
      </c>
      <c r="C1089" s="15" t="s">
        <v>6561</v>
      </c>
      <c r="D1089" s="16" t="s">
        <v>6562</v>
      </c>
    </row>
    <row r="1090" spans="1:4" x14ac:dyDescent="0.35">
      <c r="A1090" s="11" t="s">
        <v>1272</v>
      </c>
      <c r="B1090" s="12" t="s">
        <v>5590</v>
      </c>
      <c r="C1090" s="12" t="s">
        <v>6563</v>
      </c>
      <c r="D1090" s="13" t="s">
        <v>6564</v>
      </c>
    </row>
    <row r="1091" spans="1:4" x14ac:dyDescent="0.35">
      <c r="A1091" s="14" t="s">
        <v>1271</v>
      </c>
      <c r="B1091" s="15" t="s">
        <v>4713</v>
      </c>
      <c r="C1091" s="15" t="s">
        <v>6565</v>
      </c>
      <c r="D1091" s="16" t="s">
        <v>6566</v>
      </c>
    </row>
    <row r="1092" spans="1:4" x14ac:dyDescent="0.35">
      <c r="A1092" s="11" t="s">
        <v>1270</v>
      </c>
      <c r="B1092" s="12" t="s">
        <v>4713</v>
      </c>
      <c r="C1092" s="12" t="s">
        <v>6479</v>
      </c>
      <c r="D1092" s="13" t="s">
        <v>6567</v>
      </c>
    </row>
    <row r="1093" spans="1:4" x14ac:dyDescent="0.35">
      <c r="A1093" s="14" t="s">
        <v>1269</v>
      </c>
      <c r="B1093" s="15" t="s">
        <v>4716</v>
      </c>
      <c r="C1093" s="15" t="s">
        <v>6568</v>
      </c>
      <c r="D1093" s="16" t="s">
        <v>6569</v>
      </c>
    </row>
    <row r="1094" spans="1:4" x14ac:dyDescent="0.35">
      <c r="A1094" s="11" t="s">
        <v>1268</v>
      </c>
      <c r="B1094" s="12" t="s">
        <v>4713</v>
      </c>
      <c r="C1094" s="12" t="s">
        <v>6570</v>
      </c>
      <c r="D1094" s="13" t="s">
        <v>6571</v>
      </c>
    </row>
    <row r="1095" spans="1:4" x14ac:dyDescent="0.35">
      <c r="A1095" s="14" t="s">
        <v>1267</v>
      </c>
      <c r="B1095" s="15" t="s">
        <v>4716</v>
      </c>
      <c r="C1095" s="15" t="s">
        <v>4838</v>
      </c>
      <c r="D1095" s="16" t="s">
        <v>6161</v>
      </c>
    </row>
    <row r="1096" spans="1:4" x14ac:dyDescent="0.35">
      <c r="A1096" s="11" t="s">
        <v>1266</v>
      </c>
      <c r="B1096" s="12" t="s">
        <v>4716</v>
      </c>
      <c r="C1096" s="12" t="s">
        <v>6572</v>
      </c>
      <c r="D1096" s="13" t="s">
        <v>5014</v>
      </c>
    </row>
    <row r="1097" spans="1:4" x14ac:dyDescent="0.35">
      <c r="A1097" s="14" t="s">
        <v>1265</v>
      </c>
      <c r="B1097" s="15" t="s">
        <v>5590</v>
      </c>
      <c r="C1097" s="15" t="s">
        <v>6573</v>
      </c>
      <c r="D1097" s="16" t="s">
        <v>6574</v>
      </c>
    </row>
    <row r="1098" spans="1:4" x14ac:dyDescent="0.35">
      <c r="A1098" s="11" t="s">
        <v>1264</v>
      </c>
      <c r="B1098" s="12" t="s">
        <v>4713</v>
      </c>
      <c r="C1098" s="12" t="s">
        <v>6575</v>
      </c>
      <c r="D1098" s="13" t="s">
        <v>6576</v>
      </c>
    </row>
    <row r="1099" spans="1:4" x14ac:dyDescent="0.35">
      <c r="A1099" s="14" t="s">
        <v>1263</v>
      </c>
      <c r="B1099" s="15" t="s">
        <v>4713</v>
      </c>
      <c r="C1099" s="15" t="s">
        <v>6577</v>
      </c>
      <c r="D1099" s="16" t="s">
        <v>5939</v>
      </c>
    </row>
    <row r="1100" spans="1:4" x14ac:dyDescent="0.35">
      <c r="A1100" s="11" t="s">
        <v>1262</v>
      </c>
      <c r="B1100" s="12" t="s">
        <v>4713</v>
      </c>
      <c r="C1100" s="12" t="s">
        <v>5195</v>
      </c>
      <c r="D1100" s="13" t="s">
        <v>6578</v>
      </c>
    </row>
    <row r="1101" spans="1:4" x14ac:dyDescent="0.35">
      <c r="A1101" s="14" t="s">
        <v>1261</v>
      </c>
      <c r="B1101" s="15" t="s">
        <v>4716</v>
      </c>
      <c r="C1101" s="15" t="s">
        <v>6579</v>
      </c>
      <c r="D1101" s="16" t="s">
        <v>6580</v>
      </c>
    </row>
    <row r="1102" spans="1:4" x14ac:dyDescent="0.35">
      <c r="A1102" s="11" t="s">
        <v>1260</v>
      </c>
      <c r="B1102" s="12" t="s">
        <v>5590</v>
      </c>
      <c r="C1102" s="12" t="s">
        <v>6581</v>
      </c>
      <c r="D1102" s="13" t="s">
        <v>5536</v>
      </c>
    </row>
    <row r="1103" spans="1:4" x14ac:dyDescent="0.35">
      <c r="A1103" s="14" t="s">
        <v>1259</v>
      </c>
      <c r="B1103" s="15" t="s">
        <v>4716</v>
      </c>
      <c r="C1103" s="15" t="s">
        <v>5579</v>
      </c>
      <c r="D1103" s="16" t="s">
        <v>4728</v>
      </c>
    </row>
    <row r="1104" spans="1:4" x14ac:dyDescent="0.35">
      <c r="A1104" s="11" t="s">
        <v>1258</v>
      </c>
      <c r="B1104" s="12" t="s">
        <v>4716</v>
      </c>
      <c r="C1104" s="12" t="s">
        <v>6582</v>
      </c>
      <c r="D1104" s="13" t="s">
        <v>6583</v>
      </c>
    </row>
    <row r="1105" spans="1:4" x14ac:dyDescent="0.35">
      <c r="A1105" s="14" t="s">
        <v>1257</v>
      </c>
      <c r="B1105" s="15" t="s">
        <v>4713</v>
      </c>
      <c r="C1105" s="15" t="s">
        <v>6584</v>
      </c>
      <c r="D1105" s="16" t="s">
        <v>6585</v>
      </c>
    </row>
    <row r="1106" spans="1:4" x14ac:dyDescent="0.35">
      <c r="A1106" s="11" t="s">
        <v>1256</v>
      </c>
      <c r="B1106" s="12" t="s">
        <v>4716</v>
      </c>
      <c r="C1106" s="12" t="s">
        <v>6586</v>
      </c>
      <c r="D1106" s="13" t="s">
        <v>6587</v>
      </c>
    </row>
    <row r="1107" spans="1:4" x14ac:dyDescent="0.35">
      <c r="A1107" s="14" t="s">
        <v>1255</v>
      </c>
      <c r="B1107" s="15" t="s">
        <v>4716</v>
      </c>
      <c r="C1107" s="15" t="s">
        <v>6588</v>
      </c>
      <c r="D1107" s="16" t="s">
        <v>4942</v>
      </c>
    </row>
    <row r="1108" spans="1:4" x14ac:dyDescent="0.35">
      <c r="A1108" s="11" t="s">
        <v>1254</v>
      </c>
      <c r="B1108" s="12" t="s">
        <v>4716</v>
      </c>
      <c r="C1108" s="12" t="s">
        <v>6589</v>
      </c>
      <c r="D1108" s="13" t="s">
        <v>5771</v>
      </c>
    </row>
    <row r="1109" spans="1:4" x14ac:dyDescent="0.35">
      <c r="A1109" s="14" t="s">
        <v>1253</v>
      </c>
      <c r="B1109" s="15" t="s">
        <v>4713</v>
      </c>
      <c r="C1109" s="15" t="s">
        <v>6590</v>
      </c>
      <c r="D1109" s="16" t="s">
        <v>6591</v>
      </c>
    </row>
    <row r="1110" spans="1:4" x14ac:dyDescent="0.35">
      <c r="A1110" s="11" t="s">
        <v>1252</v>
      </c>
      <c r="B1110" s="12" t="s">
        <v>5590</v>
      </c>
      <c r="C1110" s="12" t="s">
        <v>6592</v>
      </c>
      <c r="D1110" s="13" t="s">
        <v>6593</v>
      </c>
    </row>
    <row r="1111" spans="1:4" x14ac:dyDescent="0.35">
      <c r="A1111" s="14" t="s">
        <v>1251</v>
      </c>
      <c r="B1111" s="15" t="s">
        <v>5590</v>
      </c>
      <c r="C1111" s="15" t="s">
        <v>6594</v>
      </c>
      <c r="D1111" s="16" t="s">
        <v>6595</v>
      </c>
    </row>
    <row r="1112" spans="1:4" x14ac:dyDescent="0.35">
      <c r="A1112" s="11" t="s">
        <v>1250</v>
      </c>
      <c r="B1112" s="12" t="s">
        <v>4713</v>
      </c>
      <c r="C1112" s="12" t="s">
        <v>5446</v>
      </c>
      <c r="D1112" s="13" t="s">
        <v>4869</v>
      </c>
    </row>
    <row r="1113" spans="1:4" x14ac:dyDescent="0.35">
      <c r="A1113" s="14" t="s">
        <v>1249</v>
      </c>
      <c r="B1113" s="15" t="s">
        <v>5590</v>
      </c>
      <c r="C1113" s="15" t="s">
        <v>6596</v>
      </c>
      <c r="D1113" s="16" t="s">
        <v>6597</v>
      </c>
    </row>
    <row r="1114" spans="1:4" x14ac:dyDescent="0.35">
      <c r="A1114" s="11" t="s">
        <v>1248</v>
      </c>
      <c r="B1114" s="12" t="s">
        <v>4716</v>
      </c>
      <c r="C1114" s="12" t="s">
        <v>6598</v>
      </c>
      <c r="D1114" s="13" t="s">
        <v>4899</v>
      </c>
    </row>
    <row r="1115" spans="1:4" x14ac:dyDescent="0.35">
      <c r="A1115" s="14" t="s">
        <v>1247</v>
      </c>
      <c r="B1115" s="15" t="s">
        <v>4713</v>
      </c>
      <c r="C1115" s="15" t="s">
        <v>6599</v>
      </c>
      <c r="D1115" s="16" t="s">
        <v>6600</v>
      </c>
    </row>
    <row r="1116" spans="1:4" x14ac:dyDescent="0.35">
      <c r="A1116" s="11" t="s">
        <v>1246</v>
      </c>
      <c r="B1116" s="12" t="s">
        <v>4713</v>
      </c>
      <c r="C1116" s="12" t="s">
        <v>6601</v>
      </c>
      <c r="D1116" s="13" t="s">
        <v>6602</v>
      </c>
    </row>
    <row r="1117" spans="1:4" x14ac:dyDescent="0.35">
      <c r="A1117" s="14" t="s">
        <v>1245</v>
      </c>
      <c r="B1117" s="15" t="s">
        <v>4713</v>
      </c>
      <c r="C1117" s="15" t="s">
        <v>6603</v>
      </c>
      <c r="D1117" s="16" t="s">
        <v>6604</v>
      </c>
    </row>
    <row r="1118" spans="1:4" x14ac:dyDescent="0.35">
      <c r="A1118" s="11" t="s">
        <v>1244</v>
      </c>
      <c r="B1118" s="12" t="s">
        <v>4713</v>
      </c>
      <c r="C1118" s="12" t="s">
        <v>6605</v>
      </c>
      <c r="D1118" s="13" t="s">
        <v>6606</v>
      </c>
    </row>
    <row r="1119" spans="1:4" x14ac:dyDescent="0.35">
      <c r="A1119" s="14" t="s">
        <v>1243</v>
      </c>
      <c r="B1119" s="15" t="s">
        <v>4713</v>
      </c>
      <c r="C1119" s="15" t="s">
        <v>6607</v>
      </c>
      <c r="D1119" s="16" t="s">
        <v>5148</v>
      </c>
    </row>
    <row r="1120" spans="1:4" x14ac:dyDescent="0.35">
      <c r="A1120" s="11" t="s">
        <v>1242</v>
      </c>
      <c r="B1120" s="12" t="s">
        <v>4716</v>
      </c>
      <c r="C1120" s="12" t="s">
        <v>6608</v>
      </c>
      <c r="D1120" s="13" t="s">
        <v>6609</v>
      </c>
    </row>
    <row r="1121" spans="1:4" x14ac:dyDescent="0.35">
      <c r="A1121" s="14" t="s">
        <v>1241</v>
      </c>
      <c r="B1121" s="15" t="s">
        <v>4716</v>
      </c>
      <c r="C1121" s="15" t="s">
        <v>6610</v>
      </c>
      <c r="D1121" s="16" t="s">
        <v>6611</v>
      </c>
    </row>
    <row r="1122" spans="1:4" x14ac:dyDescent="0.35">
      <c r="A1122" s="11" t="s">
        <v>1240</v>
      </c>
      <c r="B1122" s="12" t="s">
        <v>4716</v>
      </c>
      <c r="C1122" s="12" t="s">
        <v>6612</v>
      </c>
      <c r="D1122" s="13" t="s">
        <v>6613</v>
      </c>
    </row>
    <row r="1123" spans="1:4" x14ac:dyDescent="0.35">
      <c r="A1123" s="14" t="s">
        <v>1239</v>
      </c>
      <c r="B1123" s="15" t="s">
        <v>4716</v>
      </c>
      <c r="C1123" s="15" t="s">
        <v>6614</v>
      </c>
      <c r="D1123" s="16" t="s">
        <v>6615</v>
      </c>
    </row>
    <row r="1124" spans="1:4" x14ac:dyDescent="0.35">
      <c r="A1124" s="11" t="s">
        <v>1238</v>
      </c>
      <c r="B1124" s="12" t="s">
        <v>4713</v>
      </c>
      <c r="C1124" s="12" t="s">
        <v>6616</v>
      </c>
      <c r="D1124" s="13" t="s">
        <v>6617</v>
      </c>
    </row>
    <row r="1125" spans="1:4" x14ac:dyDescent="0.35">
      <c r="A1125" s="14" t="s">
        <v>1237</v>
      </c>
      <c r="B1125" s="15" t="s">
        <v>4716</v>
      </c>
      <c r="C1125" s="15" t="s">
        <v>6618</v>
      </c>
      <c r="D1125" s="16" t="s">
        <v>5459</v>
      </c>
    </row>
    <row r="1126" spans="1:4" x14ac:dyDescent="0.35">
      <c r="A1126" s="11" t="s">
        <v>1236</v>
      </c>
      <c r="B1126" s="12" t="s">
        <v>5590</v>
      </c>
      <c r="C1126" s="12" t="s">
        <v>6619</v>
      </c>
      <c r="D1126" s="13" t="s">
        <v>6620</v>
      </c>
    </row>
    <row r="1127" spans="1:4" x14ac:dyDescent="0.35">
      <c r="A1127" s="14" t="s">
        <v>1235</v>
      </c>
      <c r="B1127" s="15" t="s">
        <v>4713</v>
      </c>
      <c r="C1127" s="15" t="s">
        <v>6621</v>
      </c>
      <c r="D1127" s="16" t="s">
        <v>6622</v>
      </c>
    </row>
    <row r="1128" spans="1:4" x14ac:dyDescent="0.35">
      <c r="A1128" s="11" t="s">
        <v>1234</v>
      </c>
      <c r="B1128" s="12" t="s">
        <v>4716</v>
      </c>
      <c r="C1128" s="12" t="s">
        <v>6623</v>
      </c>
      <c r="D1128" s="13" t="s">
        <v>5471</v>
      </c>
    </row>
    <row r="1129" spans="1:4" x14ac:dyDescent="0.35">
      <c r="A1129" s="14" t="s">
        <v>1233</v>
      </c>
      <c r="B1129" s="15" t="s">
        <v>4716</v>
      </c>
      <c r="C1129" s="15" t="s">
        <v>6624</v>
      </c>
      <c r="D1129" s="16" t="s">
        <v>4811</v>
      </c>
    </row>
    <row r="1130" spans="1:4" x14ac:dyDescent="0.35">
      <c r="A1130" s="11" t="s">
        <v>1232</v>
      </c>
      <c r="B1130" s="12" t="s">
        <v>4716</v>
      </c>
      <c r="C1130" s="12" t="s">
        <v>6625</v>
      </c>
      <c r="D1130" s="13" t="s">
        <v>6626</v>
      </c>
    </row>
    <row r="1131" spans="1:4" x14ac:dyDescent="0.35">
      <c r="A1131" s="14" t="s">
        <v>1231</v>
      </c>
      <c r="B1131" s="15" t="s">
        <v>4713</v>
      </c>
      <c r="C1131" s="15" t="s">
        <v>6627</v>
      </c>
      <c r="D1131" s="16" t="s">
        <v>5661</v>
      </c>
    </row>
    <row r="1132" spans="1:4" x14ac:dyDescent="0.35">
      <c r="A1132" s="11" t="s">
        <v>1230</v>
      </c>
      <c r="B1132" s="12" t="s">
        <v>5590</v>
      </c>
      <c r="C1132" s="12" t="s">
        <v>6628</v>
      </c>
      <c r="D1132" s="13" t="s">
        <v>6629</v>
      </c>
    </row>
    <row r="1133" spans="1:4" x14ac:dyDescent="0.35">
      <c r="A1133" s="14" t="s">
        <v>1229</v>
      </c>
      <c r="B1133" s="15" t="s">
        <v>4713</v>
      </c>
      <c r="C1133" s="15" t="s">
        <v>6630</v>
      </c>
      <c r="D1133" s="16" t="s">
        <v>6631</v>
      </c>
    </row>
    <row r="1134" spans="1:4" x14ac:dyDescent="0.35">
      <c r="A1134" s="11" t="s">
        <v>1228</v>
      </c>
      <c r="B1134" s="12" t="s">
        <v>4716</v>
      </c>
      <c r="C1134" s="12" t="s">
        <v>6632</v>
      </c>
      <c r="D1134" s="13" t="s">
        <v>6633</v>
      </c>
    </row>
    <row r="1135" spans="1:4" x14ac:dyDescent="0.35">
      <c r="A1135" s="14" t="s">
        <v>1227</v>
      </c>
      <c r="B1135" s="15" t="s">
        <v>4713</v>
      </c>
      <c r="C1135" s="15" t="s">
        <v>6634</v>
      </c>
      <c r="D1135" s="16" t="s">
        <v>5078</v>
      </c>
    </row>
    <row r="1136" spans="1:4" x14ac:dyDescent="0.35">
      <c r="A1136" s="11" t="s">
        <v>1226</v>
      </c>
      <c r="B1136" s="12" t="s">
        <v>4713</v>
      </c>
      <c r="C1136" s="12" t="s">
        <v>6635</v>
      </c>
      <c r="D1136" s="13" t="s">
        <v>4841</v>
      </c>
    </row>
    <row r="1137" spans="1:4" x14ac:dyDescent="0.35">
      <c r="A1137" s="14" t="s">
        <v>1225</v>
      </c>
      <c r="B1137" s="15" t="s">
        <v>4713</v>
      </c>
      <c r="C1137" s="15" t="s">
        <v>6636</v>
      </c>
      <c r="D1137" s="16" t="s">
        <v>6637</v>
      </c>
    </row>
    <row r="1138" spans="1:4" x14ac:dyDescent="0.35">
      <c r="A1138" s="11" t="s">
        <v>1224</v>
      </c>
      <c r="B1138" s="12" t="s">
        <v>4713</v>
      </c>
      <c r="C1138" s="12" t="s">
        <v>6638</v>
      </c>
      <c r="D1138" s="13" t="s">
        <v>6639</v>
      </c>
    </row>
    <row r="1139" spans="1:4" x14ac:dyDescent="0.35">
      <c r="A1139" s="14" t="s">
        <v>1223</v>
      </c>
      <c r="B1139" s="15" t="s">
        <v>4713</v>
      </c>
      <c r="C1139" s="15" t="s">
        <v>6640</v>
      </c>
      <c r="D1139" s="16" t="s">
        <v>6641</v>
      </c>
    </row>
    <row r="1140" spans="1:4" x14ac:dyDescent="0.35">
      <c r="A1140" s="11" t="s">
        <v>1222</v>
      </c>
      <c r="B1140" s="12" t="s">
        <v>4713</v>
      </c>
      <c r="C1140" s="12" t="s">
        <v>6642</v>
      </c>
      <c r="D1140" s="13" t="s">
        <v>6643</v>
      </c>
    </row>
    <row r="1141" spans="1:4" x14ac:dyDescent="0.35">
      <c r="A1141" s="14" t="s">
        <v>1221</v>
      </c>
      <c r="B1141" s="15" t="s">
        <v>4716</v>
      </c>
      <c r="C1141" s="15" t="s">
        <v>6644</v>
      </c>
      <c r="D1141" s="16" t="s">
        <v>4811</v>
      </c>
    </row>
    <row r="1142" spans="1:4" x14ac:dyDescent="0.35">
      <c r="A1142" s="11" t="s">
        <v>1220</v>
      </c>
      <c r="B1142" s="12" t="s">
        <v>4716</v>
      </c>
      <c r="C1142" s="12" t="s">
        <v>5128</v>
      </c>
      <c r="D1142" s="13" t="s">
        <v>4843</v>
      </c>
    </row>
    <row r="1143" spans="1:4" x14ac:dyDescent="0.35">
      <c r="A1143" s="14" t="s">
        <v>1219</v>
      </c>
      <c r="B1143" s="15" t="s">
        <v>4713</v>
      </c>
      <c r="C1143" s="15" t="s">
        <v>6645</v>
      </c>
      <c r="D1143" s="16" t="s">
        <v>5076</v>
      </c>
    </row>
    <row r="1144" spans="1:4" x14ac:dyDescent="0.35">
      <c r="A1144" s="11" t="s">
        <v>1218</v>
      </c>
      <c r="B1144" s="12" t="s">
        <v>4716</v>
      </c>
      <c r="C1144" s="12" t="s">
        <v>6646</v>
      </c>
      <c r="D1144" s="13" t="s">
        <v>6161</v>
      </c>
    </row>
    <row r="1145" spans="1:4" x14ac:dyDescent="0.35">
      <c r="A1145" s="14" t="s">
        <v>1217</v>
      </c>
      <c r="B1145" s="15" t="s">
        <v>4713</v>
      </c>
      <c r="C1145" s="15" t="s">
        <v>6647</v>
      </c>
      <c r="D1145" s="16" t="s">
        <v>6648</v>
      </c>
    </row>
    <row r="1146" spans="1:4" x14ac:dyDescent="0.35">
      <c r="A1146" s="11" t="s">
        <v>1216</v>
      </c>
      <c r="B1146" s="12" t="s">
        <v>4713</v>
      </c>
      <c r="C1146" s="12" t="s">
        <v>6649</v>
      </c>
      <c r="D1146" s="13" t="s">
        <v>4760</v>
      </c>
    </row>
    <row r="1147" spans="1:4" x14ac:dyDescent="0.35">
      <c r="A1147" s="14" t="s">
        <v>1215</v>
      </c>
      <c r="B1147" s="15" t="s">
        <v>4716</v>
      </c>
      <c r="C1147" s="15" t="s">
        <v>6650</v>
      </c>
      <c r="D1147" s="16" t="s">
        <v>6651</v>
      </c>
    </row>
    <row r="1148" spans="1:4" x14ac:dyDescent="0.35">
      <c r="A1148" s="11" t="s">
        <v>1214</v>
      </c>
      <c r="B1148" s="12" t="s">
        <v>4716</v>
      </c>
      <c r="C1148" s="12" t="s">
        <v>6652</v>
      </c>
      <c r="D1148" s="13" t="s">
        <v>6653</v>
      </c>
    </row>
    <row r="1149" spans="1:4" x14ac:dyDescent="0.35">
      <c r="A1149" s="14" t="s">
        <v>1213</v>
      </c>
      <c r="B1149" s="15" t="s">
        <v>4716</v>
      </c>
      <c r="C1149" s="15" t="s">
        <v>6654</v>
      </c>
      <c r="D1149" s="16" t="s">
        <v>4908</v>
      </c>
    </row>
    <row r="1150" spans="1:4" x14ac:dyDescent="0.35">
      <c r="A1150" s="11" t="s">
        <v>1212</v>
      </c>
      <c r="B1150" s="12" t="s">
        <v>4716</v>
      </c>
      <c r="C1150" s="12" t="s">
        <v>6655</v>
      </c>
      <c r="D1150" s="13" t="s">
        <v>5014</v>
      </c>
    </row>
    <row r="1151" spans="1:4" x14ac:dyDescent="0.35">
      <c r="A1151" s="14" t="s">
        <v>1211</v>
      </c>
      <c r="B1151" s="15" t="s">
        <v>4713</v>
      </c>
      <c r="C1151" s="15" t="s">
        <v>6656</v>
      </c>
      <c r="D1151" s="16" t="s">
        <v>6657</v>
      </c>
    </row>
    <row r="1152" spans="1:4" x14ac:dyDescent="0.35">
      <c r="A1152" s="11" t="s">
        <v>1210</v>
      </c>
      <c r="B1152" s="12" t="s">
        <v>4716</v>
      </c>
      <c r="C1152" s="12" t="s">
        <v>5649</v>
      </c>
      <c r="D1152" s="13" t="s">
        <v>6658</v>
      </c>
    </row>
    <row r="1153" spans="1:4" x14ac:dyDescent="0.35">
      <c r="A1153" s="14" t="s">
        <v>1209</v>
      </c>
      <c r="B1153" s="15" t="s">
        <v>4716</v>
      </c>
      <c r="C1153" s="15" t="s">
        <v>6659</v>
      </c>
      <c r="D1153" s="16" t="s">
        <v>6660</v>
      </c>
    </row>
    <row r="1154" spans="1:4" x14ac:dyDescent="0.35">
      <c r="A1154" s="11" t="s">
        <v>1208</v>
      </c>
      <c r="B1154" s="12" t="s">
        <v>4713</v>
      </c>
      <c r="C1154" s="12" t="s">
        <v>6661</v>
      </c>
      <c r="D1154" s="13" t="s">
        <v>5621</v>
      </c>
    </row>
    <row r="1155" spans="1:4" x14ac:dyDescent="0.35">
      <c r="A1155" s="14" t="s">
        <v>1207</v>
      </c>
      <c r="B1155" s="15" t="s">
        <v>4713</v>
      </c>
      <c r="C1155" s="15" t="s">
        <v>6662</v>
      </c>
      <c r="D1155" s="16" t="s">
        <v>6663</v>
      </c>
    </row>
    <row r="1156" spans="1:4" x14ac:dyDescent="0.35">
      <c r="A1156" s="11" t="s">
        <v>1206</v>
      </c>
      <c r="B1156" s="12" t="s">
        <v>4713</v>
      </c>
      <c r="C1156" s="12" t="s">
        <v>6664</v>
      </c>
      <c r="D1156" s="13" t="s">
        <v>6665</v>
      </c>
    </row>
    <row r="1157" spans="1:4" x14ac:dyDescent="0.35">
      <c r="A1157" s="14" t="s">
        <v>1205</v>
      </c>
      <c r="B1157" s="15" t="s">
        <v>4716</v>
      </c>
      <c r="C1157" s="15" t="s">
        <v>6666</v>
      </c>
      <c r="D1157" s="16" t="s">
        <v>6667</v>
      </c>
    </row>
    <row r="1158" spans="1:4" x14ac:dyDescent="0.35">
      <c r="A1158" s="11" t="s">
        <v>1204</v>
      </c>
      <c r="B1158" s="12" t="s">
        <v>4716</v>
      </c>
      <c r="C1158" s="12" t="s">
        <v>6668</v>
      </c>
      <c r="D1158" s="13" t="s">
        <v>6669</v>
      </c>
    </row>
    <row r="1159" spans="1:4" x14ac:dyDescent="0.35">
      <c r="A1159" s="14" t="s">
        <v>1203</v>
      </c>
      <c r="B1159" s="15" t="s">
        <v>4716</v>
      </c>
      <c r="C1159" s="15" t="s">
        <v>6670</v>
      </c>
      <c r="D1159" s="16" t="s">
        <v>6671</v>
      </c>
    </row>
    <row r="1160" spans="1:4" x14ac:dyDescent="0.35">
      <c r="A1160" s="11" t="s">
        <v>1202</v>
      </c>
      <c r="B1160" s="12" t="s">
        <v>4713</v>
      </c>
      <c r="C1160" s="12" t="s">
        <v>6672</v>
      </c>
      <c r="D1160" s="13" t="s">
        <v>6673</v>
      </c>
    </row>
    <row r="1161" spans="1:4" x14ac:dyDescent="0.35">
      <c r="A1161" s="14" t="s">
        <v>1201</v>
      </c>
      <c r="B1161" s="15" t="s">
        <v>4716</v>
      </c>
      <c r="C1161" s="15" t="s">
        <v>6674</v>
      </c>
      <c r="D1161" s="16" t="s">
        <v>6675</v>
      </c>
    </row>
    <row r="1162" spans="1:4" x14ac:dyDescent="0.35">
      <c r="A1162" s="11" t="s">
        <v>1200</v>
      </c>
      <c r="B1162" s="12" t="s">
        <v>4713</v>
      </c>
      <c r="C1162" s="12" t="s">
        <v>6676</v>
      </c>
      <c r="D1162" s="13" t="s">
        <v>6677</v>
      </c>
    </row>
    <row r="1163" spans="1:4" x14ac:dyDescent="0.35">
      <c r="A1163" s="14" t="s">
        <v>1199</v>
      </c>
      <c r="B1163" s="15" t="s">
        <v>4713</v>
      </c>
      <c r="C1163" s="15" t="s">
        <v>6678</v>
      </c>
      <c r="D1163" s="16" t="s">
        <v>6679</v>
      </c>
    </row>
    <row r="1164" spans="1:4" x14ac:dyDescent="0.35">
      <c r="A1164" s="11" t="s">
        <v>1198</v>
      </c>
      <c r="B1164" s="12" t="s">
        <v>4716</v>
      </c>
      <c r="C1164" s="12" t="s">
        <v>6680</v>
      </c>
      <c r="D1164" s="13" t="s">
        <v>6681</v>
      </c>
    </row>
    <row r="1165" spans="1:4" x14ac:dyDescent="0.35">
      <c r="A1165" s="14" t="s">
        <v>1197</v>
      </c>
      <c r="B1165" s="15" t="s">
        <v>4713</v>
      </c>
      <c r="C1165" s="15" t="s">
        <v>6682</v>
      </c>
      <c r="D1165" s="16" t="s">
        <v>6683</v>
      </c>
    </row>
    <row r="1166" spans="1:4" x14ac:dyDescent="0.35">
      <c r="A1166" s="11" t="s">
        <v>1196</v>
      </c>
      <c r="B1166" s="12" t="s">
        <v>4713</v>
      </c>
      <c r="C1166" s="12" t="s">
        <v>6684</v>
      </c>
      <c r="D1166" s="13" t="s">
        <v>6685</v>
      </c>
    </row>
    <row r="1167" spans="1:4" x14ac:dyDescent="0.35">
      <c r="A1167" s="14" t="s">
        <v>1195</v>
      </c>
      <c r="B1167" s="15" t="s">
        <v>4713</v>
      </c>
      <c r="C1167" s="15" t="s">
        <v>6686</v>
      </c>
      <c r="D1167" s="16" t="s">
        <v>5109</v>
      </c>
    </row>
    <row r="1168" spans="1:4" x14ac:dyDescent="0.35">
      <c r="A1168" s="11" t="s">
        <v>1194</v>
      </c>
      <c r="B1168" s="12" t="s">
        <v>4713</v>
      </c>
      <c r="C1168" s="12" t="s">
        <v>6687</v>
      </c>
      <c r="D1168" s="13" t="s">
        <v>4791</v>
      </c>
    </row>
    <row r="1169" spans="1:4" x14ac:dyDescent="0.35">
      <c r="A1169" s="14" t="s">
        <v>1193</v>
      </c>
      <c r="B1169" s="15" t="s">
        <v>5590</v>
      </c>
      <c r="C1169" s="15" t="s">
        <v>6688</v>
      </c>
      <c r="D1169" s="16" t="s">
        <v>6689</v>
      </c>
    </row>
    <row r="1170" spans="1:4" x14ac:dyDescent="0.35">
      <c r="A1170" s="11" t="s">
        <v>1192</v>
      </c>
      <c r="B1170" s="12" t="s">
        <v>4716</v>
      </c>
      <c r="C1170" s="12" t="s">
        <v>4796</v>
      </c>
      <c r="D1170" s="13" t="s">
        <v>6690</v>
      </c>
    </row>
    <row r="1171" spans="1:4" x14ac:dyDescent="0.35">
      <c r="A1171" s="14" t="s">
        <v>1191</v>
      </c>
      <c r="B1171" s="15" t="s">
        <v>4716</v>
      </c>
      <c r="C1171" s="15" t="s">
        <v>6691</v>
      </c>
      <c r="D1171" s="16" t="s">
        <v>6692</v>
      </c>
    </row>
    <row r="1172" spans="1:4" x14ac:dyDescent="0.35">
      <c r="A1172" s="11" t="s">
        <v>1190</v>
      </c>
      <c r="B1172" s="12" t="s">
        <v>5590</v>
      </c>
      <c r="C1172" s="12" t="s">
        <v>6408</v>
      </c>
      <c r="D1172" s="13" t="s">
        <v>6693</v>
      </c>
    </row>
    <row r="1173" spans="1:4" x14ac:dyDescent="0.35">
      <c r="A1173" s="14" t="s">
        <v>1189</v>
      </c>
      <c r="B1173" s="15" t="s">
        <v>4713</v>
      </c>
      <c r="C1173" s="15" t="s">
        <v>6694</v>
      </c>
      <c r="D1173" s="16" t="s">
        <v>6695</v>
      </c>
    </row>
    <row r="1174" spans="1:4" x14ac:dyDescent="0.35">
      <c r="A1174" s="11" t="s">
        <v>1188</v>
      </c>
      <c r="B1174" s="12" t="s">
        <v>4716</v>
      </c>
      <c r="C1174" s="12" t="s">
        <v>6696</v>
      </c>
      <c r="D1174" s="13" t="s">
        <v>6697</v>
      </c>
    </row>
    <row r="1175" spans="1:4" x14ac:dyDescent="0.35">
      <c r="A1175" s="14" t="s">
        <v>1187</v>
      </c>
      <c r="B1175" s="15" t="s">
        <v>5590</v>
      </c>
      <c r="C1175" s="15" t="s">
        <v>6698</v>
      </c>
      <c r="D1175" s="16" t="s">
        <v>6699</v>
      </c>
    </row>
    <row r="1176" spans="1:4" x14ac:dyDescent="0.35">
      <c r="A1176" s="11" t="s">
        <v>1186</v>
      </c>
      <c r="B1176" s="12" t="s">
        <v>4716</v>
      </c>
      <c r="C1176" s="12" t="s">
        <v>6700</v>
      </c>
      <c r="D1176" s="13" t="s">
        <v>6701</v>
      </c>
    </row>
    <row r="1177" spans="1:4" x14ac:dyDescent="0.35">
      <c r="A1177" s="14" t="s">
        <v>1185</v>
      </c>
      <c r="B1177" s="15" t="s">
        <v>4716</v>
      </c>
      <c r="C1177" s="15" t="s">
        <v>6702</v>
      </c>
      <c r="D1177" s="16" t="s">
        <v>6703</v>
      </c>
    </row>
    <row r="1178" spans="1:4" x14ac:dyDescent="0.35">
      <c r="A1178" s="11" t="s">
        <v>1184</v>
      </c>
      <c r="B1178" s="12" t="s">
        <v>4716</v>
      </c>
      <c r="C1178" s="12" t="s">
        <v>6704</v>
      </c>
      <c r="D1178" s="13" t="s">
        <v>6705</v>
      </c>
    </row>
    <row r="1179" spans="1:4" x14ac:dyDescent="0.35">
      <c r="A1179" s="14" t="s">
        <v>1183</v>
      </c>
      <c r="B1179" s="15" t="s">
        <v>4713</v>
      </c>
      <c r="C1179" s="15" t="s">
        <v>6706</v>
      </c>
      <c r="D1179" s="16" t="s">
        <v>6707</v>
      </c>
    </row>
    <row r="1180" spans="1:4" x14ac:dyDescent="0.35">
      <c r="A1180" s="11" t="s">
        <v>1182</v>
      </c>
      <c r="B1180" s="12" t="s">
        <v>4716</v>
      </c>
      <c r="C1180" s="12" t="s">
        <v>6708</v>
      </c>
      <c r="D1180" s="13" t="s">
        <v>4851</v>
      </c>
    </row>
    <row r="1181" spans="1:4" x14ac:dyDescent="0.35">
      <c r="A1181" s="14" t="s">
        <v>1181</v>
      </c>
      <c r="B1181" s="15" t="s">
        <v>4713</v>
      </c>
      <c r="C1181" s="15" t="s">
        <v>6709</v>
      </c>
      <c r="D1181" s="16" t="s">
        <v>5070</v>
      </c>
    </row>
    <row r="1182" spans="1:4" x14ac:dyDescent="0.35">
      <c r="A1182" s="11" t="s">
        <v>1180</v>
      </c>
      <c r="B1182" s="12" t="s">
        <v>4716</v>
      </c>
      <c r="C1182" s="12" t="s">
        <v>6710</v>
      </c>
      <c r="D1182" s="13" t="s">
        <v>4766</v>
      </c>
    </row>
    <row r="1183" spans="1:4" x14ac:dyDescent="0.35">
      <c r="A1183" s="14" t="s">
        <v>1179</v>
      </c>
      <c r="B1183" s="15" t="s">
        <v>4713</v>
      </c>
      <c r="C1183" s="15" t="s">
        <v>4794</v>
      </c>
      <c r="D1183" s="16" t="s">
        <v>6711</v>
      </c>
    </row>
    <row r="1184" spans="1:4" x14ac:dyDescent="0.35">
      <c r="A1184" s="11" t="s">
        <v>1178</v>
      </c>
      <c r="B1184" s="12" t="s">
        <v>4713</v>
      </c>
      <c r="C1184" s="12" t="s">
        <v>6712</v>
      </c>
      <c r="D1184" s="13" t="s">
        <v>6713</v>
      </c>
    </row>
    <row r="1185" spans="1:4" x14ac:dyDescent="0.35">
      <c r="A1185" s="14" t="s">
        <v>1177</v>
      </c>
      <c r="B1185" s="15" t="s">
        <v>5590</v>
      </c>
      <c r="C1185" s="15" t="s">
        <v>6714</v>
      </c>
      <c r="D1185" s="16" t="s">
        <v>6715</v>
      </c>
    </row>
    <row r="1186" spans="1:4" x14ac:dyDescent="0.35">
      <c r="A1186" s="11" t="s">
        <v>1176</v>
      </c>
      <c r="B1186" s="12" t="s">
        <v>4716</v>
      </c>
      <c r="C1186" s="12" t="s">
        <v>6716</v>
      </c>
      <c r="D1186" s="13" t="s">
        <v>6717</v>
      </c>
    </row>
    <row r="1187" spans="1:4" x14ac:dyDescent="0.35">
      <c r="A1187" s="14" t="s">
        <v>1175</v>
      </c>
      <c r="B1187" s="15" t="s">
        <v>4713</v>
      </c>
      <c r="C1187" s="15" t="s">
        <v>6718</v>
      </c>
      <c r="D1187" s="16" t="s">
        <v>4760</v>
      </c>
    </row>
    <row r="1188" spans="1:4" x14ac:dyDescent="0.35">
      <c r="A1188" s="11" t="s">
        <v>1174</v>
      </c>
      <c r="B1188" s="12" t="s">
        <v>4713</v>
      </c>
      <c r="C1188" s="12" t="s">
        <v>6719</v>
      </c>
      <c r="D1188" s="13" t="s">
        <v>6720</v>
      </c>
    </row>
    <row r="1189" spans="1:4" x14ac:dyDescent="0.35">
      <c r="A1189" s="14" t="s">
        <v>1173</v>
      </c>
      <c r="B1189" s="15" t="s">
        <v>4716</v>
      </c>
      <c r="C1189" s="15" t="s">
        <v>5229</v>
      </c>
      <c r="D1189" s="16" t="s">
        <v>6721</v>
      </c>
    </row>
    <row r="1190" spans="1:4" x14ac:dyDescent="0.35">
      <c r="A1190" s="11" t="s">
        <v>1172</v>
      </c>
      <c r="B1190" s="12" t="s">
        <v>4716</v>
      </c>
      <c r="C1190" s="12" t="s">
        <v>6722</v>
      </c>
      <c r="D1190" s="13" t="s">
        <v>6723</v>
      </c>
    </row>
    <row r="1191" spans="1:4" x14ac:dyDescent="0.35">
      <c r="A1191" s="14" t="s">
        <v>1171</v>
      </c>
      <c r="B1191" s="15" t="s">
        <v>4716</v>
      </c>
      <c r="C1191" s="15" t="s">
        <v>6724</v>
      </c>
      <c r="D1191" s="16" t="s">
        <v>6725</v>
      </c>
    </row>
    <row r="1192" spans="1:4" x14ac:dyDescent="0.35">
      <c r="A1192" s="11" t="s">
        <v>1170</v>
      </c>
      <c r="B1192" s="12" t="s">
        <v>4716</v>
      </c>
      <c r="C1192" s="12" t="s">
        <v>6726</v>
      </c>
      <c r="D1192" s="13" t="s">
        <v>6727</v>
      </c>
    </row>
    <row r="1193" spans="1:4" x14ac:dyDescent="0.35">
      <c r="A1193" s="14" t="s">
        <v>1169</v>
      </c>
      <c r="B1193" s="15" t="s">
        <v>4716</v>
      </c>
      <c r="C1193" s="15" t="s">
        <v>6728</v>
      </c>
      <c r="D1193" s="16" t="s">
        <v>5172</v>
      </c>
    </row>
    <row r="1194" spans="1:4" x14ac:dyDescent="0.35">
      <c r="A1194" s="11" t="s">
        <v>1168</v>
      </c>
      <c r="B1194" s="12" t="s">
        <v>4713</v>
      </c>
      <c r="C1194" s="12" t="s">
        <v>6729</v>
      </c>
      <c r="D1194" s="13" t="s">
        <v>5354</v>
      </c>
    </row>
    <row r="1195" spans="1:4" x14ac:dyDescent="0.35">
      <c r="A1195" s="14" t="s">
        <v>1167</v>
      </c>
      <c r="B1195" s="15" t="s">
        <v>4713</v>
      </c>
      <c r="C1195" s="15" t="s">
        <v>6730</v>
      </c>
      <c r="D1195" s="16" t="s">
        <v>4924</v>
      </c>
    </row>
    <row r="1196" spans="1:4" x14ac:dyDescent="0.35">
      <c r="A1196" s="11" t="s">
        <v>1166</v>
      </c>
      <c r="B1196" s="12" t="s">
        <v>4713</v>
      </c>
      <c r="C1196" s="12" t="s">
        <v>6731</v>
      </c>
      <c r="D1196" s="13" t="s">
        <v>6732</v>
      </c>
    </row>
    <row r="1197" spans="1:4" x14ac:dyDescent="0.35">
      <c r="A1197" s="14" t="s">
        <v>1165</v>
      </c>
      <c r="B1197" s="15" t="s">
        <v>4713</v>
      </c>
      <c r="C1197" s="15" t="s">
        <v>6733</v>
      </c>
      <c r="D1197" s="16" t="s">
        <v>6734</v>
      </c>
    </row>
    <row r="1198" spans="1:4" x14ac:dyDescent="0.35">
      <c r="A1198" s="11" t="s">
        <v>1164</v>
      </c>
      <c r="B1198" s="12" t="s">
        <v>4713</v>
      </c>
      <c r="C1198" s="12" t="s">
        <v>6735</v>
      </c>
      <c r="D1198" s="13" t="s">
        <v>6736</v>
      </c>
    </row>
    <row r="1199" spans="1:4" x14ac:dyDescent="0.35">
      <c r="A1199" s="14" t="s">
        <v>1163</v>
      </c>
      <c r="B1199" s="15" t="s">
        <v>4716</v>
      </c>
      <c r="C1199" s="15" t="s">
        <v>6737</v>
      </c>
      <c r="D1199" s="16" t="s">
        <v>6462</v>
      </c>
    </row>
    <row r="1200" spans="1:4" x14ac:dyDescent="0.35">
      <c r="A1200" s="11" t="s">
        <v>1162</v>
      </c>
      <c r="B1200" s="12" t="s">
        <v>4716</v>
      </c>
      <c r="C1200" s="12" t="s">
        <v>6738</v>
      </c>
      <c r="D1200" s="13" t="s">
        <v>6739</v>
      </c>
    </row>
    <row r="1201" spans="1:4" x14ac:dyDescent="0.35">
      <c r="A1201" s="14" t="s">
        <v>1161</v>
      </c>
      <c r="B1201" s="15" t="s">
        <v>5590</v>
      </c>
      <c r="C1201" s="15" t="s">
        <v>6740</v>
      </c>
      <c r="D1201" s="16" t="s">
        <v>6314</v>
      </c>
    </row>
    <row r="1202" spans="1:4" x14ac:dyDescent="0.35">
      <c r="A1202" s="11" t="s">
        <v>1160</v>
      </c>
      <c r="B1202" s="12" t="s">
        <v>4716</v>
      </c>
      <c r="C1202" s="12" t="s">
        <v>6166</v>
      </c>
      <c r="D1202" s="13" t="s">
        <v>4811</v>
      </c>
    </row>
    <row r="1203" spans="1:4" x14ac:dyDescent="0.35">
      <c r="A1203" s="14" t="s">
        <v>1159</v>
      </c>
      <c r="B1203" s="15" t="s">
        <v>5590</v>
      </c>
      <c r="C1203" s="15" t="s">
        <v>6741</v>
      </c>
      <c r="D1203" s="16" t="s">
        <v>6742</v>
      </c>
    </row>
    <row r="1204" spans="1:4" x14ac:dyDescent="0.35">
      <c r="A1204" s="11" t="s">
        <v>1158</v>
      </c>
      <c r="B1204" s="12" t="s">
        <v>4716</v>
      </c>
      <c r="C1204" s="12" t="s">
        <v>6743</v>
      </c>
      <c r="D1204" s="13" t="s">
        <v>6744</v>
      </c>
    </row>
    <row r="1205" spans="1:4" x14ac:dyDescent="0.35">
      <c r="A1205" s="14" t="s">
        <v>1157</v>
      </c>
      <c r="B1205" s="15" t="s">
        <v>4716</v>
      </c>
      <c r="C1205" s="15" t="s">
        <v>6745</v>
      </c>
      <c r="D1205" s="16" t="s">
        <v>5349</v>
      </c>
    </row>
    <row r="1206" spans="1:4" x14ac:dyDescent="0.35">
      <c r="A1206" s="11" t="s">
        <v>1156</v>
      </c>
      <c r="B1206" s="12" t="s">
        <v>5590</v>
      </c>
      <c r="C1206" s="12" t="s">
        <v>6746</v>
      </c>
      <c r="D1206" s="13" t="s">
        <v>6747</v>
      </c>
    </row>
    <row r="1207" spans="1:4" x14ac:dyDescent="0.35">
      <c r="A1207" s="14" t="s">
        <v>1155</v>
      </c>
      <c r="B1207" s="15" t="s">
        <v>4716</v>
      </c>
      <c r="C1207" s="15" t="s">
        <v>6748</v>
      </c>
      <c r="D1207" s="16" t="s">
        <v>6749</v>
      </c>
    </row>
    <row r="1208" spans="1:4" x14ac:dyDescent="0.35">
      <c r="A1208" s="11" t="s">
        <v>1154</v>
      </c>
      <c r="B1208" s="12" t="s">
        <v>5590</v>
      </c>
      <c r="C1208" s="12" t="s">
        <v>6750</v>
      </c>
      <c r="D1208" s="13" t="s">
        <v>6751</v>
      </c>
    </row>
    <row r="1209" spans="1:4" x14ac:dyDescent="0.35">
      <c r="A1209" s="14" t="s">
        <v>1153</v>
      </c>
      <c r="B1209" s="15" t="s">
        <v>4713</v>
      </c>
      <c r="C1209" s="15" t="s">
        <v>5718</v>
      </c>
      <c r="D1209" s="16" t="s">
        <v>6752</v>
      </c>
    </row>
    <row r="1210" spans="1:4" x14ac:dyDescent="0.35">
      <c r="A1210" s="11" t="s">
        <v>1152</v>
      </c>
      <c r="B1210" s="12" t="s">
        <v>4716</v>
      </c>
      <c r="C1210" s="12" t="s">
        <v>6753</v>
      </c>
      <c r="D1210" s="13" t="s">
        <v>6754</v>
      </c>
    </row>
    <row r="1211" spans="1:4" x14ac:dyDescent="0.35">
      <c r="A1211" s="14" t="s">
        <v>1151</v>
      </c>
      <c r="B1211" s="15" t="s">
        <v>4716</v>
      </c>
      <c r="C1211" s="15" t="s">
        <v>5825</v>
      </c>
      <c r="D1211" s="16" t="s">
        <v>5014</v>
      </c>
    </row>
    <row r="1212" spans="1:4" x14ac:dyDescent="0.35">
      <c r="A1212" s="11" t="s">
        <v>1150</v>
      </c>
      <c r="B1212" s="12" t="s">
        <v>4716</v>
      </c>
      <c r="C1212" s="12" t="s">
        <v>6755</v>
      </c>
      <c r="D1212" s="13" t="s">
        <v>6756</v>
      </c>
    </row>
    <row r="1213" spans="1:4" x14ac:dyDescent="0.35">
      <c r="A1213" s="14" t="s">
        <v>1149</v>
      </c>
      <c r="B1213" s="15" t="s">
        <v>4716</v>
      </c>
      <c r="C1213" s="15" t="s">
        <v>6757</v>
      </c>
      <c r="D1213" s="16" t="s">
        <v>5012</v>
      </c>
    </row>
    <row r="1214" spans="1:4" x14ac:dyDescent="0.35">
      <c r="A1214" s="11" t="s">
        <v>1148</v>
      </c>
      <c r="B1214" s="12" t="s">
        <v>5590</v>
      </c>
      <c r="C1214" s="12" t="s">
        <v>6758</v>
      </c>
      <c r="D1214" s="13" t="s">
        <v>5490</v>
      </c>
    </row>
    <row r="1215" spans="1:4" x14ac:dyDescent="0.35">
      <c r="A1215" s="14" t="s">
        <v>1147</v>
      </c>
      <c r="B1215" s="15" t="s">
        <v>4713</v>
      </c>
      <c r="C1215" s="15" t="s">
        <v>6759</v>
      </c>
      <c r="D1215" s="16" t="s">
        <v>5939</v>
      </c>
    </row>
    <row r="1216" spans="1:4" x14ac:dyDescent="0.35">
      <c r="A1216" s="11" t="s">
        <v>1146</v>
      </c>
      <c r="B1216" s="12" t="s">
        <v>4716</v>
      </c>
      <c r="C1216" s="12" t="s">
        <v>6760</v>
      </c>
      <c r="D1216" s="13" t="s">
        <v>6761</v>
      </c>
    </row>
    <row r="1217" spans="1:4" x14ac:dyDescent="0.35">
      <c r="A1217" s="14" t="s">
        <v>1145</v>
      </c>
      <c r="B1217" s="15" t="s">
        <v>4713</v>
      </c>
      <c r="C1217" s="15" t="s">
        <v>6762</v>
      </c>
      <c r="D1217" s="16" t="s">
        <v>6763</v>
      </c>
    </row>
    <row r="1218" spans="1:4" x14ac:dyDescent="0.35">
      <c r="A1218" s="11" t="s">
        <v>1144</v>
      </c>
      <c r="B1218" s="12" t="s">
        <v>4713</v>
      </c>
      <c r="C1218" s="12" t="s">
        <v>6028</v>
      </c>
      <c r="D1218" s="13" t="s">
        <v>5929</v>
      </c>
    </row>
    <row r="1219" spans="1:4" x14ac:dyDescent="0.35">
      <c r="A1219" s="14" t="s">
        <v>1143</v>
      </c>
      <c r="B1219" s="15" t="s">
        <v>4716</v>
      </c>
      <c r="C1219" s="15" t="s">
        <v>6764</v>
      </c>
      <c r="D1219" s="16" t="s">
        <v>6765</v>
      </c>
    </row>
    <row r="1220" spans="1:4" x14ac:dyDescent="0.35">
      <c r="A1220" s="11" t="s">
        <v>1142</v>
      </c>
      <c r="B1220" s="12" t="s">
        <v>4716</v>
      </c>
      <c r="C1220" s="12" t="s">
        <v>6766</v>
      </c>
      <c r="D1220" s="13" t="s">
        <v>4730</v>
      </c>
    </row>
    <row r="1221" spans="1:4" x14ac:dyDescent="0.35">
      <c r="A1221" s="14" t="s">
        <v>1141</v>
      </c>
      <c r="B1221" s="15" t="s">
        <v>4716</v>
      </c>
      <c r="C1221" s="15" t="s">
        <v>6767</v>
      </c>
      <c r="D1221" s="16" t="s">
        <v>6768</v>
      </c>
    </row>
    <row r="1222" spans="1:4" x14ac:dyDescent="0.35">
      <c r="A1222" s="11" t="s">
        <v>1140</v>
      </c>
      <c r="B1222" s="12" t="s">
        <v>4716</v>
      </c>
      <c r="C1222" s="12" t="s">
        <v>6769</v>
      </c>
      <c r="D1222" s="13" t="s">
        <v>6770</v>
      </c>
    </row>
    <row r="1223" spans="1:4" x14ac:dyDescent="0.35">
      <c r="A1223" s="14" t="s">
        <v>1139</v>
      </c>
      <c r="B1223" s="15" t="s">
        <v>4713</v>
      </c>
      <c r="C1223" s="15" t="s">
        <v>6771</v>
      </c>
      <c r="D1223" s="16" t="s">
        <v>6772</v>
      </c>
    </row>
    <row r="1224" spans="1:4" x14ac:dyDescent="0.35">
      <c r="A1224" s="11" t="s">
        <v>1138</v>
      </c>
      <c r="B1224" s="12" t="s">
        <v>4713</v>
      </c>
      <c r="C1224" s="12" t="s">
        <v>6773</v>
      </c>
      <c r="D1224" s="13" t="s">
        <v>6774</v>
      </c>
    </row>
    <row r="1225" spans="1:4" x14ac:dyDescent="0.35">
      <c r="A1225" s="14" t="s">
        <v>1137</v>
      </c>
      <c r="B1225" s="15" t="s">
        <v>4716</v>
      </c>
      <c r="C1225" s="15" t="s">
        <v>5280</v>
      </c>
      <c r="D1225" s="16" t="s">
        <v>6775</v>
      </c>
    </row>
    <row r="1226" spans="1:4" x14ac:dyDescent="0.35">
      <c r="A1226" s="11" t="s">
        <v>1136</v>
      </c>
      <c r="B1226" s="12" t="s">
        <v>4713</v>
      </c>
      <c r="C1226" s="12" t="s">
        <v>4814</v>
      </c>
      <c r="D1226" s="13" t="s">
        <v>6776</v>
      </c>
    </row>
    <row r="1227" spans="1:4" x14ac:dyDescent="0.35">
      <c r="A1227" s="14" t="s">
        <v>1135</v>
      </c>
      <c r="B1227" s="15" t="s">
        <v>4716</v>
      </c>
      <c r="C1227" s="15" t="s">
        <v>6777</v>
      </c>
      <c r="D1227" s="16" t="s">
        <v>6778</v>
      </c>
    </row>
    <row r="1228" spans="1:4" x14ac:dyDescent="0.35">
      <c r="A1228" s="11" t="s">
        <v>1134</v>
      </c>
      <c r="B1228" s="12" t="s">
        <v>4713</v>
      </c>
      <c r="C1228" s="12" t="s">
        <v>6779</v>
      </c>
      <c r="D1228" s="13" t="s">
        <v>6780</v>
      </c>
    </row>
    <row r="1229" spans="1:4" x14ac:dyDescent="0.35">
      <c r="A1229" s="14" t="s">
        <v>1133</v>
      </c>
      <c r="B1229" s="15" t="s">
        <v>4716</v>
      </c>
      <c r="C1229" s="15" t="s">
        <v>6781</v>
      </c>
      <c r="D1229" s="16" t="s">
        <v>6782</v>
      </c>
    </row>
    <row r="1230" spans="1:4" x14ac:dyDescent="0.35">
      <c r="A1230" s="11" t="s">
        <v>1132</v>
      </c>
      <c r="B1230" s="12" t="s">
        <v>4716</v>
      </c>
      <c r="C1230" s="12" t="s">
        <v>6783</v>
      </c>
      <c r="D1230" s="13" t="s">
        <v>5172</v>
      </c>
    </row>
    <row r="1231" spans="1:4" x14ac:dyDescent="0.35">
      <c r="A1231" s="14" t="s">
        <v>1131</v>
      </c>
      <c r="B1231" s="15" t="s">
        <v>4713</v>
      </c>
      <c r="C1231" s="15" t="s">
        <v>6784</v>
      </c>
      <c r="D1231" s="16" t="s">
        <v>6785</v>
      </c>
    </row>
    <row r="1232" spans="1:4" x14ac:dyDescent="0.35">
      <c r="A1232" s="11" t="s">
        <v>1130</v>
      </c>
      <c r="B1232" s="12" t="s">
        <v>4713</v>
      </c>
      <c r="C1232" s="12" t="s">
        <v>6786</v>
      </c>
      <c r="D1232" s="13" t="s">
        <v>6787</v>
      </c>
    </row>
    <row r="1233" spans="1:4" x14ac:dyDescent="0.35">
      <c r="A1233" s="14" t="s">
        <v>1129</v>
      </c>
      <c r="B1233" s="15" t="s">
        <v>4713</v>
      </c>
      <c r="C1233" s="15" t="s">
        <v>6788</v>
      </c>
      <c r="D1233" s="16" t="s">
        <v>6789</v>
      </c>
    </row>
    <row r="1234" spans="1:4" x14ac:dyDescent="0.35">
      <c r="A1234" s="11" t="s">
        <v>1128</v>
      </c>
      <c r="B1234" s="12" t="s">
        <v>4716</v>
      </c>
      <c r="C1234" s="12" t="s">
        <v>6790</v>
      </c>
      <c r="D1234" s="13" t="s">
        <v>6791</v>
      </c>
    </row>
    <row r="1235" spans="1:4" x14ac:dyDescent="0.35">
      <c r="A1235" s="14" t="s">
        <v>1127</v>
      </c>
      <c r="B1235" s="15" t="s">
        <v>4716</v>
      </c>
      <c r="C1235" s="15" t="s">
        <v>6450</v>
      </c>
      <c r="D1235" s="16" t="s">
        <v>6792</v>
      </c>
    </row>
    <row r="1236" spans="1:4" x14ac:dyDescent="0.35">
      <c r="A1236" s="11" t="s">
        <v>1126</v>
      </c>
      <c r="B1236" s="12" t="s">
        <v>5590</v>
      </c>
      <c r="C1236" s="12" t="s">
        <v>6793</v>
      </c>
      <c r="D1236" s="13" t="s">
        <v>6794</v>
      </c>
    </row>
    <row r="1237" spans="1:4" x14ac:dyDescent="0.35">
      <c r="A1237" s="14" t="s">
        <v>1125</v>
      </c>
      <c r="B1237" s="15" t="s">
        <v>5590</v>
      </c>
      <c r="C1237" s="15" t="s">
        <v>6795</v>
      </c>
      <c r="D1237" s="16" t="s">
        <v>6796</v>
      </c>
    </row>
    <row r="1238" spans="1:4" x14ac:dyDescent="0.35">
      <c r="A1238" s="11" t="s">
        <v>1124</v>
      </c>
      <c r="B1238" s="12" t="s">
        <v>4713</v>
      </c>
      <c r="C1238" s="12" t="s">
        <v>6797</v>
      </c>
      <c r="D1238" s="13" t="s">
        <v>6798</v>
      </c>
    </row>
    <row r="1239" spans="1:4" x14ac:dyDescent="0.35">
      <c r="A1239" s="14" t="s">
        <v>1123</v>
      </c>
      <c r="B1239" s="15" t="s">
        <v>4716</v>
      </c>
      <c r="C1239" s="15" t="s">
        <v>6799</v>
      </c>
      <c r="D1239" s="16" t="s">
        <v>5012</v>
      </c>
    </row>
    <row r="1240" spans="1:4" x14ac:dyDescent="0.35">
      <c r="A1240" s="11" t="s">
        <v>1122</v>
      </c>
      <c r="B1240" s="12" t="s">
        <v>4716</v>
      </c>
      <c r="C1240" s="12" t="s">
        <v>6800</v>
      </c>
      <c r="D1240" s="13" t="s">
        <v>6801</v>
      </c>
    </row>
    <row r="1241" spans="1:4" x14ac:dyDescent="0.35">
      <c r="A1241" s="14" t="s">
        <v>1121</v>
      </c>
      <c r="B1241" s="15" t="s">
        <v>4713</v>
      </c>
      <c r="C1241" s="15" t="s">
        <v>6802</v>
      </c>
      <c r="D1241" s="16" t="s">
        <v>6803</v>
      </c>
    </row>
    <row r="1242" spans="1:4" x14ac:dyDescent="0.35">
      <c r="A1242" s="11" t="s">
        <v>1120</v>
      </c>
      <c r="B1242" s="12" t="s">
        <v>4716</v>
      </c>
      <c r="C1242" s="12" t="s">
        <v>6804</v>
      </c>
      <c r="D1242" s="13" t="s">
        <v>6805</v>
      </c>
    </row>
    <row r="1243" spans="1:4" x14ac:dyDescent="0.35">
      <c r="A1243" s="14" t="s">
        <v>1119</v>
      </c>
      <c r="B1243" s="15" t="s">
        <v>5590</v>
      </c>
      <c r="C1243" s="15" t="s">
        <v>6286</v>
      </c>
      <c r="D1243" s="16" t="s">
        <v>6806</v>
      </c>
    </row>
    <row r="1244" spans="1:4" x14ac:dyDescent="0.35">
      <c r="A1244" s="11" t="s">
        <v>1118</v>
      </c>
      <c r="B1244" s="12" t="s">
        <v>4716</v>
      </c>
      <c r="C1244" s="12" t="s">
        <v>6807</v>
      </c>
      <c r="D1244" s="13" t="s">
        <v>6808</v>
      </c>
    </row>
    <row r="1245" spans="1:4" x14ac:dyDescent="0.35">
      <c r="A1245" s="14" t="s">
        <v>1117</v>
      </c>
      <c r="B1245" s="15" t="s">
        <v>4713</v>
      </c>
      <c r="C1245" s="15" t="s">
        <v>6809</v>
      </c>
      <c r="D1245" s="16" t="s">
        <v>6531</v>
      </c>
    </row>
    <row r="1246" spans="1:4" x14ac:dyDescent="0.35">
      <c r="A1246" s="11" t="s">
        <v>1116</v>
      </c>
      <c r="B1246" s="12" t="s">
        <v>4713</v>
      </c>
      <c r="C1246" s="12" t="s">
        <v>6743</v>
      </c>
      <c r="D1246" s="13" t="s">
        <v>6810</v>
      </c>
    </row>
    <row r="1247" spans="1:4" x14ac:dyDescent="0.35">
      <c r="A1247" s="14" t="s">
        <v>1115</v>
      </c>
      <c r="B1247" s="15" t="s">
        <v>4716</v>
      </c>
      <c r="C1247" s="15" t="s">
        <v>6811</v>
      </c>
      <c r="D1247" s="16" t="s">
        <v>6812</v>
      </c>
    </row>
    <row r="1248" spans="1:4" x14ac:dyDescent="0.35">
      <c r="A1248" s="11" t="s">
        <v>1114</v>
      </c>
      <c r="B1248" s="12" t="s">
        <v>4716</v>
      </c>
      <c r="C1248" s="12" t="s">
        <v>6813</v>
      </c>
      <c r="D1248" s="13" t="s">
        <v>6814</v>
      </c>
    </row>
    <row r="1249" spans="1:4" x14ac:dyDescent="0.35">
      <c r="A1249" s="14" t="s">
        <v>1113</v>
      </c>
      <c r="B1249" s="15" t="s">
        <v>4716</v>
      </c>
      <c r="C1249" s="15" t="s">
        <v>6815</v>
      </c>
      <c r="D1249" s="16" t="s">
        <v>5449</v>
      </c>
    </row>
    <row r="1250" spans="1:4" x14ac:dyDescent="0.35">
      <c r="A1250" s="11" t="s">
        <v>1112</v>
      </c>
      <c r="B1250" s="12" t="s">
        <v>4716</v>
      </c>
      <c r="C1250" s="12" t="s">
        <v>6816</v>
      </c>
      <c r="D1250" s="13" t="s">
        <v>4994</v>
      </c>
    </row>
    <row r="1251" spans="1:4" x14ac:dyDescent="0.35">
      <c r="A1251" s="14" t="s">
        <v>1111</v>
      </c>
      <c r="B1251" s="15" t="s">
        <v>4713</v>
      </c>
      <c r="C1251" s="15" t="s">
        <v>6817</v>
      </c>
      <c r="D1251" s="16" t="s">
        <v>6818</v>
      </c>
    </row>
    <row r="1252" spans="1:4" x14ac:dyDescent="0.35">
      <c r="A1252" s="11" t="s">
        <v>1110</v>
      </c>
      <c r="B1252" s="12" t="s">
        <v>4716</v>
      </c>
      <c r="C1252" s="12" t="s">
        <v>6819</v>
      </c>
      <c r="D1252" s="13" t="s">
        <v>6820</v>
      </c>
    </row>
    <row r="1253" spans="1:4" x14ac:dyDescent="0.35">
      <c r="A1253" s="14" t="s">
        <v>1109</v>
      </c>
      <c r="B1253" s="15" t="s">
        <v>4716</v>
      </c>
      <c r="C1253" s="15" t="s">
        <v>6821</v>
      </c>
      <c r="D1253" s="16" t="s">
        <v>5814</v>
      </c>
    </row>
    <row r="1254" spans="1:4" x14ac:dyDescent="0.35">
      <c r="A1254" s="11" t="s">
        <v>1108</v>
      </c>
      <c r="B1254" s="12" t="s">
        <v>4713</v>
      </c>
      <c r="C1254" s="12" t="s">
        <v>6822</v>
      </c>
      <c r="D1254" s="13" t="s">
        <v>6823</v>
      </c>
    </row>
    <row r="1255" spans="1:4" x14ac:dyDescent="0.35">
      <c r="A1255" s="14" t="s">
        <v>1107</v>
      </c>
      <c r="B1255" s="15" t="s">
        <v>5590</v>
      </c>
      <c r="C1255" s="15" t="s">
        <v>6824</v>
      </c>
      <c r="D1255" s="16" t="s">
        <v>4869</v>
      </c>
    </row>
    <row r="1256" spans="1:4" x14ac:dyDescent="0.35">
      <c r="A1256" s="11" t="s">
        <v>1106</v>
      </c>
      <c r="B1256" s="12" t="s">
        <v>4713</v>
      </c>
      <c r="C1256" s="12" t="s">
        <v>6825</v>
      </c>
      <c r="D1256" s="13" t="s">
        <v>6826</v>
      </c>
    </row>
    <row r="1257" spans="1:4" x14ac:dyDescent="0.35">
      <c r="A1257" s="14" t="s">
        <v>1105</v>
      </c>
      <c r="B1257" s="15" t="s">
        <v>4713</v>
      </c>
      <c r="C1257" s="15" t="s">
        <v>6827</v>
      </c>
      <c r="D1257" s="16" t="s">
        <v>6828</v>
      </c>
    </row>
    <row r="1258" spans="1:4" x14ac:dyDescent="0.35">
      <c r="A1258" s="11" t="s">
        <v>1104</v>
      </c>
      <c r="B1258" s="12" t="s">
        <v>4716</v>
      </c>
      <c r="C1258" s="12" t="s">
        <v>6829</v>
      </c>
      <c r="D1258" s="13" t="s">
        <v>5010</v>
      </c>
    </row>
    <row r="1259" spans="1:4" x14ac:dyDescent="0.35">
      <c r="A1259" s="14" t="s">
        <v>1103</v>
      </c>
      <c r="B1259" s="15" t="s">
        <v>4713</v>
      </c>
      <c r="C1259" s="15" t="s">
        <v>6830</v>
      </c>
      <c r="D1259" s="16" t="s">
        <v>6831</v>
      </c>
    </row>
    <row r="1260" spans="1:4" x14ac:dyDescent="0.35">
      <c r="A1260" s="11" t="s">
        <v>1102</v>
      </c>
      <c r="B1260" s="12" t="s">
        <v>4716</v>
      </c>
      <c r="C1260" s="12" t="s">
        <v>6832</v>
      </c>
      <c r="D1260" s="13" t="s">
        <v>6833</v>
      </c>
    </row>
    <row r="1261" spans="1:4" x14ac:dyDescent="0.35">
      <c r="A1261" s="14" t="s">
        <v>1101</v>
      </c>
      <c r="B1261" s="15" t="s">
        <v>4716</v>
      </c>
      <c r="C1261" s="15" t="s">
        <v>6418</v>
      </c>
      <c r="D1261" s="16" t="s">
        <v>6834</v>
      </c>
    </row>
    <row r="1262" spans="1:4" x14ac:dyDescent="0.35">
      <c r="A1262" s="11" t="s">
        <v>1100</v>
      </c>
      <c r="B1262" s="12" t="s">
        <v>4716</v>
      </c>
      <c r="C1262" s="12" t="s">
        <v>6835</v>
      </c>
      <c r="D1262" s="13" t="s">
        <v>5444</v>
      </c>
    </row>
    <row r="1263" spans="1:4" x14ac:dyDescent="0.35">
      <c r="A1263" s="14" t="s">
        <v>1099</v>
      </c>
      <c r="B1263" s="15" t="s">
        <v>4713</v>
      </c>
      <c r="C1263" s="15" t="s">
        <v>6836</v>
      </c>
      <c r="D1263" s="16" t="s">
        <v>6837</v>
      </c>
    </row>
    <row r="1264" spans="1:4" x14ac:dyDescent="0.35">
      <c r="A1264" s="11" t="s">
        <v>1098</v>
      </c>
      <c r="B1264" s="12" t="s">
        <v>4713</v>
      </c>
      <c r="C1264" s="12" t="s">
        <v>6838</v>
      </c>
      <c r="D1264" s="13" t="s">
        <v>6839</v>
      </c>
    </row>
    <row r="1265" spans="1:4" x14ac:dyDescent="0.35">
      <c r="A1265" s="14" t="s">
        <v>1097</v>
      </c>
      <c r="B1265" s="15" t="s">
        <v>4716</v>
      </c>
      <c r="C1265" s="15" t="s">
        <v>6840</v>
      </c>
      <c r="D1265" s="16" t="s">
        <v>6841</v>
      </c>
    </row>
    <row r="1266" spans="1:4" x14ac:dyDescent="0.35">
      <c r="A1266" s="11" t="s">
        <v>1096</v>
      </c>
      <c r="B1266" s="12" t="s">
        <v>4716</v>
      </c>
      <c r="C1266" s="12" t="s">
        <v>6842</v>
      </c>
      <c r="D1266" s="13" t="s">
        <v>6843</v>
      </c>
    </row>
    <row r="1267" spans="1:4" x14ac:dyDescent="0.35">
      <c r="A1267" s="14" t="s">
        <v>1095</v>
      </c>
      <c r="B1267" s="15" t="s">
        <v>4716</v>
      </c>
      <c r="C1267" s="15" t="s">
        <v>6844</v>
      </c>
      <c r="D1267" s="16" t="s">
        <v>5105</v>
      </c>
    </row>
    <row r="1268" spans="1:4" x14ac:dyDescent="0.35">
      <c r="A1268" s="11" t="s">
        <v>1094</v>
      </c>
      <c r="B1268" s="12" t="s">
        <v>4716</v>
      </c>
      <c r="C1268" s="12" t="s">
        <v>6845</v>
      </c>
      <c r="D1268" s="13" t="s">
        <v>6846</v>
      </c>
    </row>
    <row r="1269" spans="1:4" x14ac:dyDescent="0.35">
      <c r="A1269" s="14" t="s">
        <v>1093</v>
      </c>
      <c r="B1269" s="15" t="s">
        <v>4713</v>
      </c>
      <c r="C1269" s="15" t="s">
        <v>6847</v>
      </c>
      <c r="D1269" s="16" t="s">
        <v>6848</v>
      </c>
    </row>
    <row r="1270" spans="1:4" x14ac:dyDescent="0.35">
      <c r="A1270" s="11" t="s">
        <v>1092</v>
      </c>
      <c r="B1270" s="12" t="s">
        <v>4713</v>
      </c>
      <c r="C1270" s="12" t="s">
        <v>6849</v>
      </c>
      <c r="D1270" s="13" t="s">
        <v>6837</v>
      </c>
    </row>
    <row r="1271" spans="1:4" x14ac:dyDescent="0.35">
      <c r="A1271" s="14" t="s">
        <v>1091</v>
      </c>
      <c r="B1271" s="15" t="s">
        <v>4713</v>
      </c>
      <c r="C1271" s="15" t="s">
        <v>5075</v>
      </c>
      <c r="D1271" s="16" t="s">
        <v>6850</v>
      </c>
    </row>
    <row r="1272" spans="1:4" x14ac:dyDescent="0.35">
      <c r="A1272" s="11" t="s">
        <v>1090</v>
      </c>
      <c r="B1272" s="12" t="s">
        <v>4716</v>
      </c>
      <c r="C1272" s="12" t="s">
        <v>4991</v>
      </c>
      <c r="D1272" s="13" t="s">
        <v>6851</v>
      </c>
    </row>
    <row r="1273" spans="1:4" x14ac:dyDescent="0.35">
      <c r="A1273" s="14" t="s">
        <v>1089</v>
      </c>
      <c r="B1273" s="15" t="s">
        <v>4716</v>
      </c>
      <c r="C1273" s="15" t="s">
        <v>6852</v>
      </c>
      <c r="D1273" s="16" t="s">
        <v>6853</v>
      </c>
    </row>
    <row r="1274" spans="1:4" x14ac:dyDescent="0.35">
      <c r="A1274" s="11" t="s">
        <v>1088</v>
      </c>
      <c r="B1274" s="12" t="s">
        <v>4716</v>
      </c>
      <c r="C1274" s="12" t="s">
        <v>6854</v>
      </c>
      <c r="D1274" s="13" t="s">
        <v>6855</v>
      </c>
    </row>
    <row r="1275" spans="1:4" x14ac:dyDescent="0.35">
      <c r="A1275" s="14" t="s">
        <v>1087</v>
      </c>
      <c r="B1275" s="15" t="s">
        <v>4716</v>
      </c>
      <c r="C1275" s="15" t="s">
        <v>6856</v>
      </c>
      <c r="D1275" s="16" t="s">
        <v>6857</v>
      </c>
    </row>
    <row r="1276" spans="1:4" x14ac:dyDescent="0.35">
      <c r="A1276" s="11" t="s">
        <v>1086</v>
      </c>
      <c r="B1276" s="12" t="s">
        <v>4716</v>
      </c>
      <c r="C1276" s="12" t="s">
        <v>6858</v>
      </c>
      <c r="D1276" s="13" t="s">
        <v>4766</v>
      </c>
    </row>
    <row r="1277" spans="1:4" x14ac:dyDescent="0.35">
      <c r="A1277" s="14" t="s">
        <v>1085</v>
      </c>
      <c r="B1277" s="15" t="s">
        <v>4716</v>
      </c>
      <c r="C1277" s="15" t="s">
        <v>6387</v>
      </c>
      <c r="D1277" s="16" t="s">
        <v>6859</v>
      </c>
    </row>
    <row r="1278" spans="1:4" x14ac:dyDescent="0.35">
      <c r="A1278" s="11" t="s">
        <v>1084</v>
      </c>
      <c r="B1278" s="12" t="s">
        <v>4713</v>
      </c>
      <c r="C1278" s="12" t="s">
        <v>6860</v>
      </c>
      <c r="D1278" s="13" t="s">
        <v>6861</v>
      </c>
    </row>
    <row r="1279" spans="1:4" x14ac:dyDescent="0.35">
      <c r="A1279" s="14" t="s">
        <v>1083</v>
      </c>
      <c r="B1279" s="15" t="s">
        <v>4713</v>
      </c>
      <c r="C1279" s="15" t="s">
        <v>6862</v>
      </c>
      <c r="D1279" s="16" t="s">
        <v>6863</v>
      </c>
    </row>
    <row r="1280" spans="1:4" x14ac:dyDescent="0.35">
      <c r="A1280" s="11" t="s">
        <v>1082</v>
      </c>
      <c r="B1280" s="12" t="s">
        <v>4713</v>
      </c>
      <c r="C1280" s="12" t="s">
        <v>6864</v>
      </c>
      <c r="D1280" s="13" t="s">
        <v>6566</v>
      </c>
    </row>
    <row r="1281" spans="1:4" x14ac:dyDescent="0.35">
      <c r="A1281" s="14" t="s">
        <v>1081</v>
      </c>
      <c r="B1281" s="15" t="s">
        <v>4716</v>
      </c>
      <c r="C1281" s="15" t="s">
        <v>6865</v>
      </c>
      <c r="D1281" s="16" t="s">
        <v>6866</v>
      </c>
    </row>
    <row r="1282" spans="1:4" x14ac:dyDescent="0.35">
      <c r="A1282" s="11" t="s">
        <v>1080</v>
      </c>
      <c r="B1282" s="12" t="s">
        <v>4716</v>
      </c>
      <c r="C1282" s="12" t="s">
        <v>6867</v>
      </c>
      <c r="D1282" s="13" t="s">
        <v>5008</v>
      </c>
    </row>
    <row r="1283" spans="1:4" x14ac:dyDescent="0.35">
      <c r="A1283" s="14" t="s">
        <v>1079</v>
      </c>
      <c r="B1283" s="15" t="s">
        <v>4713</v>
      </c>
      <c r="C1283" s="15" t="s">
        <v>6868</v>
      </c>
      <c r="D1283" s="16" t="s">
        <v>6869</v>
      </c>
    </row>
    <row r="1284" spans="1:4" x14ac:dyDescent="0.35">
      <c r="A1284" s="11" t="s">
        <v>1078</v>
      </c>
      <c r="B1284" s="12" t="s">
        <v>4716</v>
      </c>
      <c r="C1284" s="12" t="s">
        <v>5173</v>
      </c>
      <c r="D1284" s="13" t="s">
        <v>5136</v>
      </c>
    </row>
    <row r="1285" spans="1:4" x14ac:dyDescent="0.35">
      <c r="A1285" s="14" t="s">
        <v>1077</v>
      </c>
      <c r="B1285" s="15" t="s">
        <v>4713</v>
      </c>
      <c r="C1285" s="15" t="s">
        <v>6870</v>
      </c>
      <c r="D1285" s="16" t="s">
        <v>6871</v>
      </c>
    </row>
    <row r="1286" spans="1:4" x14ac:dyDescent="0.35">
      <c r="A1286" s="11" t="s">
        <v>1076</v>
      </c>
      <c r="B1286" s="12" t="s">
        <v>4713</v>
      </c>
      <c r="C1286" s="12" t="s">
        <v>6872</v>
      </c>
      <c r="D1286" s="13" t="s">
        <v>6873</v>
      </c>
    </row>
    <row r="1287" spans="1:4" x14ac:dyDescent="0.35">
      <c r="A1287" s="14" t="s">
        <v>1075</v>
      </c>
      <c r="B1287" s="15" t="s">
        <v>4713</v>
      </c>
      <c r="C1287" s="15" t="s">
        <v>6874</v>
      </c>
      <c r="D1287" s="16" t="s">
        <v>6875</v>
      </c>
    </row>
    <row r="1288" spans="1:4" x14ac:dyDescent="0.35">
      <c r="A1288" s="11" t="s">
        <v>1074</v>
      </c>
      <c r="B1288" s="12" t="s">
        <v>4713</v>
      </c>
      <c r="C1288" s="12" t="s">
        <v>4739</v>
      </c>
      <c r="D1288" s="13" t="s">
        <v>6876</v>
      </c>
    </row>
    <row r="1289" spans="1:4" x14ac:dyDescent="0.35">
      <c r="A1289" s="14" t="s">
        <v>1073</v>
      </c>
      <c r="B1289" s="15" t="s">
        <v>4713</v>
      </c>
      <c r="C1289" s="15" t="s">
        <v>6877</v>
      </c>
      <c r="D1289" s="16" t="s">
        <v>5076</v>
      </c>
    </row>
    <row r="1290" spans="1:4" x14ac:dyDescent="0.35">
      <c r="A1290" s="11" t="s">
        <v>1072</v>
      </c>
      <c r="B1290" s="12" t="s">
        <v>4713</v>
      </c>
      <c r="C1290" s="12" t="s">
        <v>6878</v>
      </c>
      <c r="D1290" s="13" t="s">
        <v>6879</v>
      </c>
    </row>
    <row r="1291" spans="1:4" x14ac:dyDescent="0.35">
      <c r="A1291" s="14" t="s">
        <v>1071</v>
      </c>
      <c r="B1291" s="15" t="s">
        <v>4713</v>
      </c>
      <c r="C1291" s="15" t="s">
        <v>6880</v>
      </c>
      <c r="D1291" s="16" t="s">
        <v>6881</v>
      </c>
    </row>
    <row r="1292" spans="1:4" x14ac:dyDescent="0.35">
      <c r="A1292" s="11" t="s">
        <v>1070</v>
      </c>
      <c r="B1292" s="12" t="s">
        <v>4713</v>
      </c>
      <c r="C1292" s="12" t="s">
        <v>6882</v>
      </c>
      <c r="D1292" s="13" t="s">
        <v>4826</v>
      </c>
    </row>
    <row r="1293" spans="1:4" x14ac:dyDescent="0.35">
      <c r="A1293" s="14" t="s">
        <v>1069</v>
      </c>
      <c r="B1293" s="15" t="s">
        <v>4713</v>
      </c>
      <c r="C1293" s="15" t="s">
        <v>6883</v>
      </c>
      <c r="D1293" s="16" t="s">
        <v>6566</v>
      </c>
    </row>
    <row r="1294" spans="1:4" x14ac:dyDescent="0.35">
      <c r="A1294" s="11" t="s">
        <v>1068</v>
      </c>
      <c r="B1294" s="12" t="s">
        <v>4713</v>
      </c>
      <c r="C1294" s="12" t="s">
        <v>6884</v>
      </c>
      <c r="D1294" s="13" t="s">
        <v>6885</v>
      </c>
    </row>
    <row r="1295" spans="1:4" x14ac:dyDescent="0.35">
      <c r="A1295" s="14" t="s">
        <v>1067</v>
      </c>
      <c r="B1295" s="15" t="s">
        <v>4713</v>
      </c>
      <c r="C1295" s="15" t="s">
        <v>6886</v>
      </c>
      <c r="D1295" s="16" t="s">
        <v>6887</v>
      </c>
    </row>
    <row r="1296" spans="1:4" x14ac:dyDescent="0.35">
      <c r="A1296" s="11" t="s">
        <v>1066</v>
      </c>
      <c r="B1296" s="12" t="s">
        <v>4716</v>
      </c>
      <c r="C1296" s="12" t="s">
        <v>6888</v>
      </c>
      <c r="D1296" s="13" t="s">
        <v>6889</v>
      </c>
    </row>
    <row r="1297" spans="1:4" x14ac:dyDescent="0.35">
      <c r="A1297" s="14" t="s">
        <v>1065</v>
      </c>
      <c r="B1297" s="15" t="s">
        <v>4713</v>
      </c>
      <c r="C1297" s="15" t="s">
        <v>6890</v>
      </c>
      <c r="D1297" s="16" t="s">
        <v>6891</v>
      </c>
    </row>
    <row r="1298" spans="1:4" x14ac:dyDescent="0.35">
      <c r="A1298" s="11" t="s">
        <v>1064</v>
      </c>
      <c r="B1298" s="12" t="s">
        <v>4716</v>
      </c>
      <c r="C1298" s="12" t="s">
        <v>6892</v>
      </c>
      <c r="D1298" s="13" t="s">
        <v>6893</v>
      </c>
    </row>
    <row r="1299" spans="1:4" x14ac:dyDescent="0.35">
      <c r="A1299" s="14" t="s">
        <v>1063</v>
      </c>
      <c r="B1299" s="15" t="s">
        <v>5590</v>
      </c>
      <c r="C1299" s="15" t="s">
        <v>5847</v>
      </c>
      <c r="D1299" s="16" t="s">
        <v>6894</v>
      </c>
    </row>
    <row r="1300" spans="1:4" x14ac:dyDescent="0.35">
      <c r="A1300" s="11" t="s">
        <v>1062</v>
      </c>
      <c r="B1300" s="12" t="s">
        <v>4713</v>
      </c>
      <c r="C1300" s="12" t="s">
        <v>6565</v>
      </c>
      <c r="D1300" s="13" t="s">
        <v>6895</v>
      </c>
    </row>
    <row r="1301" spans="1:4" x14ac:dyDescent="0.35">
      <c r="A1301" s="14" t="s">
        <v>1061</v>
      </c>
      <c r="B1301" s="15" t="s">
        <v>4716</v>
      </c>
      <c r="C1301" s="15" t="s">
        <v>6896</v>
      </c>
      <c r="D1301" s="16" t="s">
        <v>4793</v>
      </c>
    </row>
    <row r="1302" spans="1:4" x14ac:dyDescent="0.35">
      <c r="A1302" s="11" t="s">
        <v>1060</v>
      </c>
      <c r="B1302" s="12" t="s">
        <v>4716</v>
      </c>
      <c r="C1302" s="12" t="s">
        <v>6897</v>
      </c>
      <c r="D1302" s="13" t="s">
        <v>6898</v>
      </c>
    </row>
    <row r="1303" spans="1:4" x14ac:dyDescent="0.35">
      <c r="A1303" s="14" t="s">
        <v>1059</v>
      </c>
      <c r="B1303" s="15" t="s">
        <v>4716</v>
      </c>
      <c r="C1303" s="15" t="s">
        <v>6899</v>
      </c>
      <c r="D1303" s="16" t="s">
        <v>6900</v>
      </c>
    </row>
    <row r="1304" spans="1:4" x14ac:dyDescent="0.35">
      <c r="A1304" s="11" t="s">
        <v>1058</v>
      </c>
      <c r="B1304" s="12" t="s">
        <v>4716</v>
      </c>
      <c r="C1304" s="12" t="s">
        <v>6901</v>
      </c>
      <c r="D1304" s="13" t="s">
        <v>6902</v>
      </c>
    </row>
    <row r="1305" spans="1:4" x14ac:dyDescent="0.35">
      <c r="A1305" s="14" t="s">
        <v>1057</v>
      </c>
      <c r="B1305" s="15" t="s">
        <v>4716</v>
      </c>
      <c r="C1305" s="15" t="s">
        <v>6903</v>
      </c>
      <c r="D1305" s="16" t="s">
        <v>5136</v>
      </c>
    </row>
    <row r="1306" spans="1:4" x14ac:dyDescent="0.35">
      <c r="A1306" s="11" t="s">
        <v>1056</v>
      </c>
      <c r="B1306" s="12" t="s">
        <v>4716</v>
      </c>
      <c r="C1306" s="12" t="s">
        <v>6904</v>
      </c>
      <c r="D1306" s="13" t="s">
        <v>5471</v>
      </c>
    </row>
    <row r="1307" spans="1:4" x14ac:dyDescent="0.35">
      <c r="A1307" s="14" t="s">
        <v>1055</v>
      </c>
      <c r="B1307" s="15" t="s">
        <v>4716</v>
      </c>
      <c r="C1307" s="15" t="s">
        <v>6905</v>
      </c>
      <c r="D1307" s="16" t="s">
        <v>6906</v>
      </c>
    </row>
    <row r="1308" spans="1:4" x14ac:dyDescent="0.35">
      <c r="A1308" s="11" t="s">
        <v>1054</v>
      </c>
      <c r="B1308" s="12" t="s">
        <v>4716</v>
      </c>
      <c r="C1308" s="12" t="s">
        <v>6907</v>
      </c>
      <c r="D1308" s="13" t="s">
        <v>6908</v>
      </c>
    </row>
    <row r="1309" spans="1:4" x14ac:dyDescent="0.35">
      <c r="A1309" s="14" t="s">
        <v>1053</v>
      </c>
      <c r="B1309" s="15" t="s">
        <v>4716</v>
      </c>
      <c r="C1309" s="15" t="s">
        <v>6909</v>
      </c>
      <c r="D1309" s="16" t="s">
        <v>6215</v>
      </c>
    </row>
    <row r="1310" spans="1:4" x14ac:dyDescent="0.35">
      <c r="A1310" s="11" t="s">
        <v>1052</v>
      </c>
      <c r="B1310" s="12" t="s">
        <v>4716</v>
      </c>
      <c r="C1310" s="12" t="s">
        <v>5315</v>
      </c>
      <c r="D1310" s="13" t="s">
        <v>6910</v>
      </c>
    </row>
    <row r="1311" spans="1:4" x14ac:dyDescent="0.35">
      <c r="A1311" s="14" t="s">
        <v>1051</v>
      </c>
      <c r="B1311" s="15" t="s">
        <v>4716</v>
      </c>
      <c r="C1311" s="15" t="s">
        <v>6911</v>
      </c>
      <c r="D1311" s="16" t="s">
        <v>6912</v>
      </c>
    </row>
    <row r="1312" spans="1:4" x14ac:dyDescent="0.35">
      <c r="A1312" s="11" t="s">
        <v>1050</v>
      </c>
      <c r="B1312" s="12" t="s">
        <v>4716</v>
      </c>
      <c r="C1312" s="12" t="s">
        <v>6913</v>
      </c>
      <c r="D1312" s="13" t="s">
        <v>6914</v>
      </c>
    </row>
    <row r="1313" spans="1:4" x14ac:dyDescent="0.35">
      <c r="A1313" s="14" t="s">
        <v>1049</v>
      </c>
      <c r="B1313" s="15" t="s">
        <v>4716</v>
      </c>
      <c r="C1313" s="15" t="s">
        <v>6915</v>
      </c>
      <c r="D1313" s="16" t="s">
        <v>5444</v>
      </c>
    </row>
    <row r="1314" spans="1:4" x14ac:dyDescent="0.35">
      <c r="A1314" s="11" t="s">
        <v>1048</v>
      </c>
      <c r="B1314" s="12" t="s">
        <v>4713</v>
      </c>
      <c r="C1314" s="12" t="s">
        <v>6916</v>
      </c>
      <c r="D1314" s="13" t="s">
        <v>6917</v>
      </c>
    </row>
    <row r="1315" spans="1:4" x14ac:dyDescent="0.35">
      <c r="A1315" s="14" t="s">
        <v>1047</v>
      </c>
      <c r="B1315" s="15" t="s">
        <v>4713</v>
      </c>
      <c r="C1315" s="15" t="s">
        <v>6918</v>
      </c>
      <c r="D1315" s="16" t="s">
        <v>5217</v>
      </c>
    </row>
    <row r="1316" spans="1:4" x14ac:dyDescent="0.35">
      <c r="A1316" s="11" t="s">
        <v>1046</v>
      </c>
      <c r="B1316" s="12" t="s">
        <v>4716</v>
      </c>
      <c r="C1316" s="12" t="s">
        <v>6919</v>
      </c>
      <c r="D1316" s="13" t="s">
        <v>6920</v>
      </c>
    </row>
    <row r="1317" spans="1:4" x14ac:dyDescent="0.35">
      <c r="A1317" s="14" t="s">
        <v>1045</v>
      </c>
      <c r="B1317" s="15" t="s">
        <v>4713</v>
      </c>
      <c r="C1317" s="15" t="s">
        <v>6921</v>
      </c>
      <c r="D1317" s="16" t="s">
        <v>5600</v>
      </c>
    </row>
    <row r="1318" spans="1:4" x14ac:dyDescent="0.35">
      <c r="A1318" s="11" t="s">
        <v>1044</v>
      </c>
      <c r="B1318" s="12" t="s">
        <v>4713</v>
      </c>
      <c r="C1318" s="12" t="s">
        <v>6922</v>
      </c>
      <c r="D1318" s="13" t="s">
        <v>6923</v>
      </c>
    </row>
    <row r="1319" spans="1:4" x14ac:dyDescent="0.35">
      <c r="A1319" s="14" t="s">
        <v>1043</v>
      </c>
      <c r="B1319" s="15" t="s">
        <v>4713</v>
      </c>
      <c r="C1319" s="15" t="s">
        <v>6924</v>
      </c>
      <c r="D1319" s="16" t="s">
        <v>6925</v>
      </c>
    </row>
    <row r="1320" spans="1:4" x14ac:dyDescent="0.35">
      <c r="A1320" s="11" t="s">
        <v>1042</v>
      </c>
      <c r="B1320" s="12" t="s">
        <v>4716</v>
      </c>
      <c r="C1320" s="12" t="s">
        <v>6926</v>
      </c>
      <c r="D1320" s="13" t="s">
        <v>6927</v>
      </c>
    </row>
    <row r="1321" spans="1:4" x14ac:dyDescent="0.35">
      <c r="A1321" s="14" t="s">
        <v>1041</v>
      </c>
      <c r="B1321" s="15" t="s">
        <v>4713</v>
      </c>
      <c r="C1321" s="15" t="s">
        <v>6928</v>
      </c>
      <c r="D1321" s="16" t="s">
        <v>4722</v>
      </c>
    </row>
    <row r="1322" spans="1:4" x14ac:dyDescent="0.35">
      <c r="A1322" s="11" t="s">
        <v>1040</v>
      </c>
      <c r="B1322" s="12" t="s">
        <v>4716</v>
      </c>
      <c r="C1322" s="12" t="s">
        <v>6929</v>
      </c>
      <c r="D1322" s="13" t="s">
        <v>6930</v>
      </c>
    </row>
    <row r="1323" spans="1:4" x14ac:dyDescent="0.35">
      <c r="A1323" s="14" t="s">
        <v>1039</v>
      </c>
      <c r="B1323" s="15" t="s">
        <v>4713</v>
      </c>
      <c r="C1323" s="15" t="s">
        <v>6931</v>
      </c>
      <c r="D1323" s="16" t="s">
        <v>6932</v>
      </c>
    </row>
    <row r="1324" spans="1:4" x14ac:dyDescent="0.35">
      <c r="A1324" s="11" t="s">
        <v>1038</v>
      </c>
      <c r="B1324" s="12" t="s">
        <v>4713</v>
      </c>
      <c r="C1324" s="12" t="s">
        <v>6933</v>
      </c>
      <c r="D1324" s="13" t="s">
        <v>6934</v>
      </c>
    </row>
    <row r="1325" spans="1:4" x14ac:dyDescent="0.35">
      <c r="A1325" s="14" t="s">
        <v>1037</v>
      </c>
      <c r="B1325" s="15" t="s">
        <v>4713</v>
      </c>
      <c r="C1325" s="15" t="s">
        <v>6935</v>
      </c>
      <c r="D1325" s="16" t="s">
        <v>6936</v>
      </c>
    </row>
    <row r="1326" spans="1:4" x14ac:dyDescent="0.35">
      <c r="A1326" s="11" t="s">
        <v>1036</v>
      </c>
      <c r="B1326" s="12" t="s">
        <v>4713</v>
      </c>
      <c r="C1326" s="12" t="s">
        <v>6937</v>
      </c>
      <c r="D1326" s="13" t="s">
        <v>4841</v>
      </c>
    </row>
    <row r="1327" spans="1:4" x14ac:dyDescent="0.35">
      <c r="A1327" s="14" t="s">
        <v>1035</v>
      </c>
      <c r="B1327" s="15" t="s">
        <v>4713</v>
      </c>
      <c r="C1327" s="15" t="s">
        <v>6938</v>
      </c>
      <c r="D1327" s="16" t="s">
        <v>6939</v>
      </c>
    </row>
    <row r="1328" spans="1:4" x14ac:dyDescent="0.35">
      <c r="A1328" s="11" t="s">
        <v>1034</v>
      </c>
      <c r="B1328" s="12" t="s">
        <v>4713</v>
      </c>
      <c r="C1328" s="12" t="s">
        <v>6940</v>
      </c>
      <c r="D1328" s="13" t="s">
        <v>5594</v>
      </c>
    </row>
    <row r="1329" spans="1:4" x14ac:dyDescent="0.35">
      <c r="A1329" s="14" t="s">
        <v>1033</v>
      </c>
      <c r="B1329" s="15" t="s">
        <v>4716</v>
      </c>
      <c r="C1329" s="15" t="s">
        <v>6941</v>
      </c>
      <c r="D1329" s="16" t="s">
        <v>6942</v>
      </c>
    </row>
    <row r="1330" spans="1:4" x14ac:dyDescent="0.35">
      <c r="A1330" s="11" t="s">
        <v>1032</v>
      </c>
      <c r="B1330" s="12" t="s">
        <v>5590</v>
      </c>
      <c r="C1330" s="12" t="s">
        <v>6943</v>
      </c>
      <c r="D1330" s="13" t="s">
        <v>6944</v>
      </c>
    </row>
    <row r="1331" spans="1:4" x14ac:dyDescent="0.35">
      <c r="A1331" s="14" t="s">
        <v>1031</v>
      </c>
      <c r="B1331" s="15" t="s">
        <v>4716</v>
      </c>
      <c r="C1331" s="15" t="s">
        <v>6945</v>
      </c>
      <c r="D1331" s="16" t="s">
        <v>5150</v>
      </c>
    </row>
    <row r="1332" spans="1:4" x14ac:dyDescent="0.35">
      <c r="A1332" s="11" t="s">
        <v>1030</v>
      </c>
      <c r="B1332" s="12" t="s">
        <v>4713</v>
      </c>
      <c r="C1332" s="12" t="s">
        <v>6946</v>
      </c>
      <c r="D1332" s="13" t="s">
        <v>5607</v>
      </c>
    </row>
    <row r="1333" spans="1:4" x14ac:dyDescent="0.35">
      <c r="A1333" s="14" t="s">
        <v>1029</v>
      </c>
      <c r="B1333" s="15" t="s">
        <v>4716</v>
      </c>
      <c r="C1333" s="15" t="s">
        <v>6947</v>
      </c>
      <c r="D1333" s="16" t="s">
        <v>6948</v>
      </c>
    </row>
    <row r="1334" spans="1:4" x14ac:dyDescent="0.35">
      <c r="A1334" s="11" t="s">
        <v>1028</v>
      </c>
      <c r="B1334" s="12" t="s">
        <v>5590</v>
      </c>
      <c r="C1334" s="12" t="s">
        <v>6949</v>
      </c>
      <c r="D1334" s="13" t="s">
        <v>6950</v>
      </c>
    </row>
    <row r="1335" spans="1:4" x14ac:dyDescent="0.35">
      <c r="A1335" s="14" t="s">
        <v>1027</v>
      </c>
      <c r="B1335" s="15" t="s">
        <v>4716</v>
      </c>
      <c r="C1335" s="15" t="s">
        <v>6951</v>
      </c>
      <c r="D1335" s="16" t="s">
        <v>6952</v>
      </c>
    </row>
    <row r="1336" spans="1:4" x14ac:dyDescent="0.35">
      <c r="A1336" s="11" t="s">
        <v>1026</v>
      </c>
      <c r="B1336" s="12" t="s">
        <v>4716</v>
      </c>
      <c r="C1336" s="12" t="s">
        <v>6953</v>
      </c>
      <c r="D1336" s="13" t="s">
        <v>6954</v>
      </c>
    </row>
    <row r="1337" spans="1:4" x14ac:dyDescent="0.35">
      <c r="A1337" s="14" t="s">
        <v>1025</v>
      </c>
      <c r="B1337" s="15" t="s">
        <v>4716</v>
      </c>
      <c r="C1337" s="15" t="s">
        <v>4725</v>
      </c>
      <c r="D1337" s="16" t="s">
        <v>6955</v>
      </c>
    </row>
    <row r="1338" spans="1:4" x14ac:dyDescent="0.35">
      <c r="A1338" s="11" t="s">
        <v>1024</v>
      </c>
      <c r="B1338" s="12" t="s">
        <v>4716</v>
      </c>
      <c r="C1338" s="12" t="s">
        <v>6956</v>
      </c>
      <c r="D1338" s="13" t="s">
        <v>6957</v>
      </c>
    </row>
    <row r="1339" spans="1:4" x14ac:dyDescent="0.35">
      <c r="A1339" s="14" t="s">
        <v>1023</v>
      </c>
      <c r="B1339" s="15" t="s">
        <v>5590</v>
      </c>
      <c r="C1339" s="15" t="s">
        <v>4844</v>
      </c>
      <c r="D1339" s="16" t="s">
        <v>5763</v>
      </c>
    </row>
    <row r="1340" spans="1:4" x14ac:dyDescent="0.35">
      <c r="A1340" s="11" t="s">
        <v>1022</v>
      </c>
      <c r="B1340" s="12" t="s">
        <v>4716</v>
      </c>
      <c r="C1340" s="12" t="s">
        <v>6958</v>
      </c>
      <c r="D1340" s="13" t="s">
        <v>5012</v>
      </c>
    </row>
    <row r="1341" spans="1:4" x14ac:dyDescent="0.35">
      <c r="A1341" s="14" t="s">
        <v>1021</v>
      </c>
      <c r="B1341" s="15" t="s">
        <v>4716</v>
      </c>
      <c r="C1341" s="15" t="s">
        <v>6959</v>
      </c>
      <c r="D1341" s="16" t="s">
        <v>6960</v>
      </c>
    </row>
    <row r="1342" spans="1:4" x14ac:dyDescent="0.35">
      <c r="A1342" s="11" t="s">
        <v>1020</v>
      </c>
      <c r="B1342" s="12" t="s">
        <v>5590</v>
      </c>
      <c r="C1342" s="12" t="s">
        <v>6961</v>
      </c>
      <c r="D1342" s="13" t="s">
        <v>6962</v>
      </c>
    </row>
    <row r="1343" spans="1:4" x14ac:dyDescent="0.35">
      <c r="A1343" s="14" t="s">
        <v>1019</v>
      </c>
      <c r="B1343" s="15" t="s">
        <v>4713</v>
      </c>
      <c r="C1343" s="15" t="s">
        <v>6963</v>
      </c>
      <c r="D1343" s="16" t="s">
        <v>6964</v>
      </c>
    </row>
    <row r="1344" spans="1:4" x14ac:dyDescent="0.35">
      <c r="A1344" s="11" t="s">
        <v>1018</v>
      </c>
      <c r="B1344" s="12" t="s">
        <v>5590</v>
      </c>
      <c r="C1344" s="12" t="s">
        <v>6965</v>
      </c>
      <c r="D1344" s="13" t="s">
        <v>6966</v>
      </c>
    </row>
    <row r="1345" spans="1:4" x14ac:dyDescent="0.35">
      <c r="A1345" s="14" t="s">
        <v>1017</v>
      </c>
      <c r="B1345" s="15" t="s">
        <v>4713</v>
      </c>
      <c r="C1345" s="15" t="s">
        <v>6967</v>
      </c>
      <c r="D1345" s="16" t="s">
        <v>5488</v>
      </c>
    </row>
    <row r="1346" spans="1:4" x14ac:dyDescent="0.35">
      <c r="A1346" s="11" t="s">
        <v>1016</v>
      </c>
      <c r="B1346" s="12" t="s">
        <v>4716</v>
      </c>
      <c r="C1346" s="12" t="s">
        <v>6968</v>
      </c>
      <c r="D1346" s="13" t="s">
        <v>4908</v>
      </c>
    </row>
    <row r="1347" spans="1:4" x14ac:dyDescent="0.35">
      <c r="A1347" s="14" t="s">
        <v>1015</v>
      </c>
      <c r="B1347" s="15" t="s">
        <v>4713</v>
      </c>
      <c r="C1347" s="15" t="s">
        <v>6969</v>
      </c>
      <c r="D1347" s="16" t="s">
        <v>6970</v>
      </c>
    </row>
    <row r="1348" spans="1:4" x14ac:dyDescent="0.35">
      <c r="A1348" s="11" t="s">
        <v>1014</v>
      </c>
      <c r="B1348" s="12" t="s">
        <v>4716</v>
      </c>
      <c r="C1348" s="12" t="s">
        <v>6971</v>
      </c>
      <c r="D1348" s="13" t="s">
        <v>5062</v>
      </c>
    </row>
    <row r="1349" spans="1:4" x14ac:dyDescent="0.35">
      <c r="A1349" s="14" t="s">
        <v>1013</v>
      </c>
      <c r="B1349" s="15" t="s">
        <v>4713</v>
      </c>
      <c r="C1349" s="15" t="s">
        <v>6972</v>
      </c>
      <c r="D1349" s="16" t="s">
        <v>6973</v>
      </c>
    </row>
    <row r="1350" spans="1:4" x14ac:dyDescent="0.35">
      <c r="A1350" s="11" t="s">
        <v>1012</v>
      </c>
      <c r="B1350" s="12" t="s">
        <v>5590</v>
      </c>
      <c r="C1350" s="12" t="s">
        <v>6974</v>
      </c>
      <c r="D1350" s="13" t="s">
        <v>5490</v>
      </c>
    </row>
    <row r="1351" spans="1:4" x14ac:dyDescent="0.35">
      <c r="A1351" s="14" t="s">
        <v>1011</v>
      </c>
      <c r="B1351" s="15" t="s">
        <v>4716</v>
      </c>
      <c r="C1351" s="15" t="s">
        <v>6975</v>
      </c>
      <c r="D1351" s="16" t="s">
        <v>6976</v>
      </c>
    </row>
    <row r="1352" spans="1:4" x14ac:dyDescent="0.35">
      <c r="A1352" s="11" t="s">
        <v>1010</v>
      </c>
      <c r="B1352" s="12" t="s">
        <v>4713</v>
      </c>
      <c r="C1352" s="12" t="s">
        <v>5280</v>
      </c>
      <c r="D1352" s="13" t="s">
        <v>6977</v>
      </c>
    </row>
    <row r="1353" spans="1:4" x14ac:dyDescent="0.35">
      <c r="A1353" s="14" t="s">
        <v>1009</v>
      </c>
      <c r="B1353" s="15" t="s">
        <v>4716</v>
      </c>
      <c r="C1353" s="15" t="s">
        <v>6978</v>
      </c>
      <c r="D1353" s="16" t="s">
        <v>5427</v>
      </c>
    </row>
    <row r="1354" spans="1:4" x14ac:dyDescent="0.35">
      <c r="A1354" s="11" t="s">
        <v>1008</v>
      </c>
      <c r="B1354" s="12" t="s">
        <v>4713</v>
      </c>
      <c r="C1354" s="12" t="s">
        <v>6979</v>
      </c>
      <c r="D1354" s="13" t="s">
        <v>6980</v>
      </c>
    </row>
    <row r="1355" spans="1:4" x14ac:dyDescent="0.35">
      <c r="A1355" s="14" t="s">
        <v>1007</v>
      </c>
      <c r="B1355" s="15" t="s">
        <v>4713</v>
      </c>
      <c r="C1355" s="15" t="s">
        <v>5361</v>
      </c>
      <c r="D1355" s="16" t="s">
        <v>6981</v>
      </c>
    </row>
    <row r="1356" spans="1:4" x14ac:dyDescent="0.35">
      <c r="A1356" s="11" t="s">
        <v>1006</v>
      </c>
      <c r="B1356" s="12" t="s">
        <v>4713</v>
      </c>
      <c r="C1356" s="12" t="s">
        <v>6704</v>
      </c>
      <c r="D1356" s="13" t="s">
        <v>6982</v>
      </c>
    </row>
    <row r="1357" spans="1:4" x14ac:dyDescent="0.35">
      <c r="A1357" s="14" t="s">
        <v>1005</v>
      </c>
      <c r="B1357" s="15" t="s">
        <v>4713</v>
      </c>
      <c r="C1357" s="15" t="s">
        <v>6983</v>
      </c>
      <c r="D1357" s="16" t="s">
        <v>6984</v>
      </c>
    </row>
    <row r="1358" spans="1:4" x14ac:dyDescent="0.35">
      <c r="A1358" s="11" t="s">
        <v>1004</v>
      </c>
      <c r="B1358" s="12" t="s">
        <v>4713</v>
      </c>
      <c r="C1358" s="12" t="s">
        <v>6985</v>
      </c>
      <c r="D1358" s="13" t="s">
        <v>6986</v>
      </c>
    </row>
    <row r="1359" spans="1:4" x14ac:dyDescent="0.35">
      <c r="A1359" s="14" t="s">
        <v>1003</v>
      </c>
      <c r="B1359" s="15" t="s">
        <v>4716</v>
      </c>
      <c r="C1359" s="15" t="s">
        <v>6987</v>
      </c>
      <c r="D1359" s="16" t="s">
        <v>5798</v>
      </c>
    </row>
    <row r="1360" spans="1:4" x14ac:dyDescent="0.35">
      <c r="A1360" s="11" t="s">
        <v>1002</v>
      </c>
      <c r="B1360" s="12" t="s">
        <v>4713</v>
      </c>
      <c r="C1360" s="12" t="s">
        <v>6988</v>
      </c>
      <c r="D1360" s="13" t="s">
        <v>6989</v>
      </c>
    </row>
    <row r="1361" spans="1:4" x14ac:dyDescent="0.35">
      <c r="A1361" s="14" t="s">
        <v>1001</v>
      </c>
      <c r="B1361" s="15" t="s">
        <v>4713</v>
      </c>
      <c r="C1361" s="15" t="s">
        <v>4971</v>
      </c>
      <c r="D1361" s="16" t="s">
        <v>6990</v>
      </c>
    </row>
    <row r="1362" spans="1:4" x14ac:dyDescent="0.35">
      <c r="A1362" s="11" t="s">
        <v>1000</v>
      </c>
      <c r="B1362" s="12" t="s">
        <v>4716</v>
      </c>
      <c r="C1362" s="12" t="s">
        <v>6991</v>
      </c>
      <c r="D1362" s="13" t="s">
        <v>6992</v>
      </c>
    </row>
    <row r="1363" spans="1:4" x14ac:dyDescent="0.35">
      <c r="A1363" s="14" t="s">
        <v>999</v>
      </c>
      <c r="B1363" s="15" t="s">
        <v>4716</v>
      </c>
      <c r="C1363" s="15" t="s">
        <v>6993</v>
      </c>
      <c r="D1363" s="16" t="s">
        <v>6994</v>
      </c>
    </row>
    <row r="1364" spans="1:4" x14ac:dyDescent="0.35">
      <c r="A1364" s="11" t="s">
        <v>998</v>
      </c>
      <c r="B1364" s="12" t="s">
        <v>4716</v>
      </c>
      <c r="C1364" s="12" t="s">
        <v>6134</v>
      </c>
      <c r="D1364" s="13" t="s">
        <v>6995</v>
      </c>
    </row>
    <row r="1365" spans="1:4" x14ac:dyDescent="0.35">
      <c r="A1365" s="14" t="s">
        <v>997</v>
      </c>
      <c r="B1365" s="15" t="s">
        <v>4713</v>
      </c>
      <c r="C1365" s="15" t="s">
        <v>6996</v>
      </c>
      <c r="D1365" s="16" t="s">
        <v>6997</v>
      </c>
    </row>
    <row r="1366" spans="1:4" x14ac:dyDescent="0.35">
      <c r="A1366" s="11" t="s">
        <v>996</v>
      </c>
      <c r="B1366" s="12" t="s">
        <v>4713</v>
      </c>
      <c r="C1366" s="12" t="s">
        <v>6998</v>
      </c>
      <c r="D1366" s="13" t="s">
        <v>4760</v>
      </c>
    </row>
    <row r="1367" spans="1:4" x14ac:dyDescent="0.35">
      <c r="A1367" s="14" t="s">
        <v>995</v>
      </c>
      <c r="B1367" s="15" t="s">
        <v>5590</v>
      </c>
      <c r="C1367" s="15" t="s">
        <v>6999</v>
      </c>
      <c r="D1367" s="16" t="s">
        <v>7000</v>
      </c>
    </row>
    <row r="1368" spans="1:4" x14ac:dyDescent="0.35">
      <c r="A1368" s="11" t="s">
        <v>994</v>
      </c>
      <c r="B1368" s="12" t="s">
        <v>4713</v>
      </c>
      <c r="C1368" s="12" t="s">
        <v>7001</v>
      </c>
      <c r="D1368" s="13" t="s">
        <v>7002</v>
      </c>
    </row>
    <row r="1369" spans="1:4" x14ac:dyDescent="0.35">
      <c r="A1369" s="14" t="s">
        <v>993</v>
      </c>
      <c r="B1369" s="15" t="s">
        <v>4716</v>
      </c>
      <c r="C1369" s="15" t="s">
        <v>7003</v>
      </c>
      <c r="D1369" s="16" t="s">
        <v>4908</v>
      </c>
    </row>
    <row r="1370" spans="1:4" x14ac:dyDescent="0.35">
      <c r="A1370" s="11" t="s">
        <v>992</v>
      </c>
      <c r="B1370" s="12" t="s">
        <v>4716</v>
      </c>
      <c r="C1370" s="12" t="s">
        <v>7004</v>
      </c>
      <c r="D1370" s="13" t="s">
        <v>7005</v>
      </c>
    </row>
    <row r="1371" spans="1:4" x14ac:dyDescent="0.35">
      <c r="A1371" s="14" t="s">
        <v>991</v>
      </c>
      <c r="B1371" s="15" t="s">
        <v>4716</v>
      </c>
      <c r="C1371" s="15" t="s">
        <v>7006</v>
      </c>
      <c r="D1371" s="16" t="s">
        <v>7007</v>
      </c>
    </row>
    <row r="1372" spans="1:4" x14ac:dyDescent="0.35">
      <c r="A1372" s="11" t="s">
        <v>990</v>
      </c>
      <c r="B1372" s="12" t="s">
        <v>4713</v>
      </c>
      <c r="C1372" s="12" t="s">
        <v>7008</v>
      </c>
      <c r="D1372" s="13" t="s">
        <v>7009</v>
      </c>
    </row>
    <row r="1373" spans="1:4" x14ac:dyDescent="0.35">
      <c r="A1373" s="14" t="s">
        <v>989</v>
      </c>
      <c r="B1373" s="15" t="s">
        <v>4713</v>
      </c>
      <c r="C1373" s="15" t="s">
        <v>7010</v>
      </c>
      <c r="D1373" s="16" t="s">
        <v>7011</v>
      </c>
    </row>
    <row r="1374" spans="1:4" x14ac:dyDescent="0.35">
      <c r="A1374" s="11" t="s">
        <v>988</v>
      </c>
      <c r="B1374" s="12" t="s">
        <v>4716</v>
      </c>
      <c r="C1374" s="12" t="s">
        <v>5057</v>
      </c>
      <c r="D1374" s="13" t="s">
        <v>7012</v>
      </c>
    </row>
    <row r="1375" spans="1:4" x14ac:dyDescent="0.35">
      <c r="A1375" s="14" t="s">
        <v>987</v>
      </c>
      <c r="B1375" s="15" t="s">
        <v>4716</v>
      </c>
      <c r="C1375" s="15" t="s">
        <v>7013</v>
      </c>
      <c r="D1375" s="16" t="s">
        <v>7014</v>
      </c>
    </row>
    <row r="1376" spans="1:4" x14ac:dyDescent="0.35">
      <c r="A1376" s="11" t="s">
        <v>986</v>
      </c>
      <c r="B1376" s="12" t="s">
        <v>5590</v>
      </c>
      <c r="C1376" s="12" t="s">
        <v>5697</v>
      </c>
      <c r="D1376" s="13" t="s">
        <v>7015</v>
      </c>
    </row>
    <row r="1377" spans="1:4" x14ac:dyDescent="0.35">
      <c r="A1377" s="14" t="s">
        <v>985</v>
      </c>
      <c r="B1377" s="15" t="s">
        <v>4716</v>
      </c>
      <c r="C1377" s="15" t="s">
        <v>7016</v>
      </c>
      <c r="D1377" s="16" t="s">
        <v>7017</v>
      </c>
    </row>
    <row r="1378" spans="1:4" x14ac:dyDescent="0.35">
      <c r="A1378" s="11" t="s">
        <v>984</v>
      </c>
      <c r="B1378" s="12" t="s">
        <v>4716</v>
      </c>
      <c r="C1378" s="12" t="s">
        <v>7018</v>
      </c>
      <c r="D1378" s="13" t="s">
        <v>5378</v>
      </c>
    </row>
    <row r="1379" spans="1:4" x14ac:dyDescent="0.35">
      <c r="A1379" s="14" t="s">
        <v>983</v>
      </c>
      <c r="B1379" s="15" t="s">
        <v>4713</v>
      </c>
      <c r="C1379" s="15" t="s">
        <v>7019</v>
      </c>
      <c r="D1379" s="16" t="s">
        <v>7020</v>
      </c>
    </row>
    <row r="1380" spans="1:4" x14ac:dyDescent="0.35">
      <c r="A1380" s="11" t="s">
        <v>982</v>
      </c>
      <c r="B1380" s="12" t="s">
        <v>4716</v>
      </c>
      <c r="C1380" s="12" t="s">
        <v>7021</v>
      </c>
      <c r="D1380" s="13" t="s">
        <v>4843</v>
      </c>
    </row>
    <row r="1381" spans="1:4" x14ac:dyDescent="0.35">
      <c r="A1381" s="14" t="s">
        <v>981</v>
      </c>
      <c r="B1381" s="15" t="s">
        <v>4716</v>
      </c>
      <c r="C1381" s="15" t="s">
        <v>7022</v>
      </c>
      <c r="D1381" s="16" t="s">
        <v>5111</v>
      </c>
    </row>
    <row r="1382" spans="1:4" x14ac:dyDescent="0.35">
      <c r="A1382" s="11" t="s">
        <v>980</v>
      </c>
      <c r="B1382" s="12" t="s">
        <v>4716</v>
      </c>
      <c r="C1382" s="12" t="s">
        <v>7023</v>
      </c>
      <c r="D1382" s="13" t="s">
        <v>7024</v>
      </c>
    </row>
    <row r="1383" spans="1:4" x14ac:dyDescent="0.35">
      <c r="A1383" s="14" t="s">
        <v>979</v>
      </c>
      <c r="B1383" s="15" t="s">
        <v>4713</v>
      </c>
      <c r="C1383" s="15" t="s">
        <v>7025</v>
      </c>
      <c r="D1383" s="16" t="s">
        <v>5661</v>
      </c>
    </row>
    <row r="1384" spans="1:4" x14ac:dyDescent="0.35">
      <c r="A1384" s="11" t="s">
        <v>978</v>
      </c>
      <c r="B1384" s="12" t="s">
        <v>4716</v>
      </c>
      <c r="C1384" s="12" t="s">
        <v>5851</v>
      </c>
      <c r="D1384" s="13" t="s">
        <v>7026</v>
      </c>
    </row>
    <row r="1385" spans="1:4" x14ac:dyDescent="0.35">
      <c r="A1385" s="14" t="s">
        <v>977</v>
      </c>
      <c r="B1385" s="15" t="s">
        <v>4716</v>
      </c>
      <c r="C1385" s="15" t="s">
        <v>7027</v>
      </c>
      <c r="D1385" s="16" t="s">
        <v>7028</v>
      </c>
    </row>
    <row r="1386" spans="1:4" x14ac:dyDescent="0.35">
      <c r="A1386" s="11" t="s">
        <v>976</v>
      </c>
      <c r="B1386" s="12" t="s">
        <v>4713</v>
      </c>
      <c r="C1386" s="12" t="s">
        <v>5242</v>
      </c>
      <c r="D1386" s="13" t="s">
        <v>7029</v>
      </c>
    </row>
    <row r="1387" spans="1:4" x14ac:dyDescent="0.35">
      <c r="A1387" s="14" t="s">
        <v>975</v>
      </c>
      <c r="B1387" s="15" t="s">
        <v>4716</v>
      </c>
      <c r="C1387" s="15" t="s">
        <v>7030</v>
      </c>
      <c r="D1387" s="16" t="s">
        <v>7031</v>
      </c>
    </row>
    <row r="1388" spans="1:4" x14ac:dyDescent="0.35">
      <c r="A1388" s="11" t="s">
        <v>974</v>
      </c>
      <c r="B1388" s="12" t="s">
        <v>4716</v>
      </c>
      <c r="C1388" s="12" t="s">
        <v>6423</v>
      </c>
      <c r="D1388" s="13" t="s">
        <v>7032</v>
      </c>
    </row>
    <row r="1389" spans="1:4" x14ac:dyDescent="0.35">
      <c r="A1389" s="14" t="s">
        <v>973</v>
      </c>
      <c r="B1389" s="15" t="s">
        <v>4713</v>
      </c>
      <c r="C1389" s="15" t="s">
        <v>7033</v>
      </c>
      <c r="D1389" s="16" t="s">
        <v>7034</v>
      </c>
    </row>
    <row r="1390" spans="1:4" x14ac:dyDescent="0.35">
      <c r="A1390" s="11" t="s">
        <v>972</v>
      </c>
      <c r="B1390" s="12" t="s">
        <v>4716</v>
      </c>
      <c r="C1390" s="12" t="s">
        <v>7035</v>
      </c>
      <c r="D1390" s="13" t="s">
        <v>4738</v>
      </c>
    </row>
    <row r="1391" spans="1:4" x14ac:dyDescent="0.35">
      <c r="A1391" s="14" t="s">
        <v>971</v>
      </c>
      <c r="B1391" s="15" t="s">
        <v>4716</v>
      </c>
      <c r="C1391" s="15" t="s">
        <v>7036</v>
      </c>
      <c r="D1391" s="16" t="s">
        <v>5558</v>
      </c>
    </row>
    <row r="1392" spans="1:4" x14ac:dyDescent="0.35">
      <c r="A1392" s="11" t="s">
        <v>970</v>
      </c>
      <c r="B1392" s="12" t="s">
        <v>4716</v>
      </c>
      <c r="C1392" s="12" t="s">
        <v>5533</v>
      </c>
      <c r="D1392" s="13" t="s">
        <v>7037</v>
      </c>
    </row>
    <row r="1393" spans="1:4" x14ac:dyDescent="0.35">
      <c r="A1393" s="14" t="s">
        <v>969</v>
      </c>
      <c r="B1393" s="15" t="s">
        <v>4716</v>
      </c>
      <c r="C1393" s="15" t="s">
        <v>7038</v>
      </c>
      <c r="D1393" s="16" t="s">
        <v>5010</v>
      </c>
    </row>
    <row r="1394" spans="1:4" x14ac:dyDescent="0.35">
      <c r="A1394" s="11" t="s">
        <v>968</v>
      </c>
      <c r="B1394" s="12" t="s">
        <v>4713</v>
      </c>
      <c r="C1394" s="12" t="s">
        <v>7039</v>
      </c>
      <c r="D1394" s="13" t="s">
        <v>7040</v>
      </c>
    </row>
    <row r="1395" spans="1:4" x14ac:dyDescent="0.35">
      <c r="A1395" s="14" t="s">
        <v>967</v>
      </c>
      <c r="B1395" s="15" t="s">
        <v>4713</v>
      </c>
      <c r="C1395" s="15" t="s">
        <v>7041</v>
      </c>
      <c r="D1395" s="16" t="s">
        <v>7042</v>
      </c>
    </row>
    <row r="1396" spans="1:4" x14ac:dyDescent="0.35">
      <c r="A1396" s="11" t="s">
        <v>966</v>
      </c>
      <c r="B1396" s="12" t="s">
        <v>4716</v>
      </c>
      <c r="C1396" s="12" t="s">
        <v>7043</v>
      </c>
      <c r="D1396" s="13" t="s">
        <v>4908</v>
      </c>
    </row>
    <row r="1397" spans="1:4" x14ac:dyDescent="0.35">
      <c r="A1397" s="14" t="s">
        <v>965</v>
      </c>
      <c r="B1397" s="15" t="s">
        <v>4716</v>
      </c>
      <c r="C1397" s="15" t="s">
        <v>7044</v>
      </c>
      <c r="D1397" s="16" t="s">
        <v>4908</v>
      </c>
    </row>
    <row r="1398" spans="1:4" x14ac:dyDescent="0.35">
      <c r="A1398" s="11" t="s">
        <v>964</v>
      </c>
      <c r="B1398" s="12" t="s">
        <v>4713</v>
      </c>
      <c r="C1398" s="12" t="s">
        <v>7045</v>
      </c>
      <c r="D1398" s="13" t="s">
        <v>7046</v>
      </c>
    </row>
    <row r="1399" spans="1:4" x14ac:dyDescent="0.35">
      <c r="A1399" s="14" t="s">
        <v>963</v>
      </c>
      <c r="B1399" s="15" t="s">
        <v>5590</v>
      </c>
      <c r="C1399" s="15" t="s">
        <v>7047</v>
      </c>
      <c r="D1399" s="16" t="s">
        <v>7048</v>
      </c>
    </row>
    <row r="1400" spans="1:4" x14ac:dyDescent="0.35">
      <c r="A1400" s="11" t="s">
        <v>962</v>
      </c>
      <c r="B1400" s="12" t="s">
        <v>4713</v>
      </c>
      <c r="C1400" s="12" t="s">
        <v>7049</v>
      </c>
      <c r="D1400" s="13" t="s">
        <v>5184</v>
      </c>
    </row>
    <row r="1401" spans="1:4" x14ac:dyDescent="0.35">
      <c r="A1401" s="14" t="s">
        <v>961</v>
      </c>
      <c r="B1401" s="15" t="s">
        <v>4713</v>
      </c>
      <c r="C1401" s="15" t="s">
        <v>7050</v>
      </c>
      <c r="D1401" s="16" t="s">
        <v>5997</v>
      </c>
    </row>
    <row r="1402" spans="1:4" x14ac:dyDescent="0.35">
      <c r="A1402" s="11" t="s">
        <v>960</v>
      </c>
      <c r="B1402" s="12" t="s">
        <v>4713</v>
      </c>
      <c r="C1402" s="12" t="s">
        <v>6735</v>
      </c>
      <c r="D1402" s="13" t="s">
        <v>7051</v>
      </c>
    </row>
    <row r="1403" spans="1:4" x14ac:dyDescent="0.35">
      <c r="A1403" s="14" t="s">
        <v>959</v>
      </c>
      <c r="B1403" s="15" t="s">
        <v>4713</v>
      </c>
      <c r="C1403" s="15" t="s">
        <v>7052</v>
      </c>
      <c r="D1403" s="16" t="s">
        <v>4826</v>
      </c>
    </row>
    <row r="1404" spans="1:4" x14ac:dyDescent="0.35">
      <c r="A1404" s="11" t="s">
        <v>958</v>
      </c>
      <c r="B1404" s="12" t="s">
        <v>4713</v>
      </c>
      <c r="C1404" s="12" t="s">
        <v>7053</v>
      </c>
      <c r="D1404" s="13" t="s">
        <v>7054</v>
      </c>
    </row>
    <row r="1405" spans="1:4" x14ac:dyDescent="0.35">
      <c r="A1405" s="14" t="s">
        <v>957</v>
      </c>
      <c r="B1405" s="15" t="s">
        <v>4713</v>
      </c>
      <c r="C1405" s="15" t="s">
        <v>7055</v>
      </c>
      <c r="D1405" s="16" t="s">
        <v>7056</v>
      </c>
    </row>
    <row r="1406" spans="1:4" x14ac:dyDescent="0.35">
      <c r="A1406" s="11" t="s">
        <v>956</v>
      </c>
      <c r="B1406" s="12" t="s">
        <v>4713</v>
      </c>
      <c r="C1406" s="12" t="s">
        <v>7057</v>
      </c>
      <c r="D1406" s="13" t="s">
        <v>7058</v>
      </c>
    </row>
    <row r="1407" spans="1:4" x14ac:dyDescent="0.35">
      <c r="A1407" s="14" t="s">
        <v>955</v>
      </c>
      <c r="B1407" s="15" t="s">
        <v>4716</v>
      </c>
      <c r="C1407" s="15" t="s">
        <v>7059</v>
      </c>
      <c r="D1407" s="16" t="s">
        <v>4766</v>
      </c>
    </row>
    <row r="1408" spans="1:4" x14ac:dyDescent="0.35">
      <c r="A1408" s="11" t="s">
        <v>954</v>
      </c>
      <c r="B1408" s="12" t="s">
        <v>4713</v>
      </c>
      <c r="C1408" s="12" t="s">
        <v>7060</v>
      </c>
      <c r="D1408" s="13" t="s">
        <v>5997</v>
      </c>
    </row>
    <row r="1409" spans="1:4" x14ac:dyDescent="0.35">
      <c r="A1409" s="14" t="s">
        <v>953</v>
      </c>
      <c r="B1409" s="15" t="s">
        <v>4716</v>
      </c>
      <c r="C1409" s="15" t="s">
        <v>7061</v>
      </c>
      <c r="D1409" s="16" t="s">
        <v>4802</v>
      </c>
    </row>
    <row r="1410" spans="1:4" x14ac:dyDescent="0.35">
      <c r="A1410" s="11" t="s">
        <v>952</v>
      </c>
      <c r="B1410" s="12" t="s">
        <v>4716</v>
      </c>
      <c r="C1410" s="12" t="s">
        <v>7062</v>
      </c>
      <c r="D1410" s="13" t="s">
        <v>4718</v>
      </c>
    </row>
    <row r="1411" spans="1:4" x14ac:dyDescent="0.35">
      <c r="A1411" s="14" t="s">
        <v>951</v>
      </c>
      <c r="B1411" s="15" t="s">
        <v>4716</v>
      </c>
      <c r="C1411" s="15" t="s">
        <v>7063</v>
      </c>
      <c r="D1411" s="16" t="s">
        <v>7064</v>
      </c>
    </row>
    <row r="1412" spans="1:4" x14ac:dyDescent="0.35">
      <c r="A1412" s="11" t="s">
        <v>950</v>
      </c>
      <c r="B1412" s="12" t="s">
        <v>4713</v>
      </c>
      <c r="C1412" s="12" t="s">
        <v>6596</v>
      </c>
      <c r="D1412" s="13" t="s">
        <v>7065</v>
      </c>
    </row>
    <row r="1413" spans="1:4" x14ac:dyDescent="0.35">
      <c r="A1413" s="14" t="s">
        <v>949</v>
      </c>
      <c r="B1413" s="15" t="s">
        <v>4713</v>
      </c>
      <c r="C1413" s="15" t="s">
        <v>7066</v>
      </c>
      <c r="D1413" s="16" t="s">
        <v>7067</v>
      </c>
    </row>
    <row r="1414" spans="1:4" x14ac:dyDescent="0.35">
      <c r="A1414" s="11" t="s">
        <v>948</v>
      </c>
      <c r="B1414" s="12" t="s">
        <v>4713</v>
      </c>
      <c r="C1414" s="12" t="s">
        <v>6781</v>
      </c>
      <c r="D1414" s="13" t="s">
        <v>7068</v>
      </c>
    </row>
    <row r="1415" spans="1:4" x14ac:dyDescent="0.35">
      <c r="A1415" s="14" t="s">
        <v>947</v>
      </c>
      <c r="B1415" s="15" t="s">
        <v>4716</v>
      </c>
      <c r="C1415" s="15" t="s">
        <v>7069</v>
      </c>
      <c r="D1415" s="16" t="s">
        <v>5014</v>
      </c>
    </row>
    <row r="1416" spans="1:4" x14ac:dyDescent="0.35">
      <c r="A1416" s="11" t="s">
        <v>946</v>
      </c>
      <c r="B1416" s="12" t="s">
        <v>4716</v>
      </c>
      <c r="C1416" s="12" t="s">
        <v>7070</v>
      </c>
      <c r="D1416" s="13" t="s">
        <v>7071</v>
      </c>
    </row>
    <row r="1417" spans="1:4" x14ac:dyDescent="0.35">
      <c r="A1417" s="14" t="s">
        <v>945</v>
      </c>
      <c r="B1417" s="15" t="s">
        <v>4716</v>
      </c>
      <c r="C1417" s="15" t="s">
        <v>7072</v>
      </c>
      <c r="D1417" s="16" t="s">
        <v>4877</v>
      </c>
    </row>
    <row r="1418" spans="1:4" x14ac:dyDescent="0.35">
      <c r="A1418" s="11" t="s">
        <v>944</v>
      </c>
      <c r="B1418" s="12" t="s">
        <v>4713</v>
      </c>
      <c r="C1418" s="12" t="s">
        <v>7073</v>
      </c>
      <c r="D1418" s="13" t="s">
        <v>7074</v>
      </c>
    </row>
    <row r="1419" spans="1:4" x14ac:dyDescent="0.35">
      <c r="A1419" s="14" t="s">
        <v>943</v>
      </c>
      <c r="B1419" s="15" t="s">
        <v>5590</v>
      </c>
      <c r="C1419" s="15" t="s">
        <v>7075</v>
      </c>
      <c r="D1419" s="16" t="s">
        <v>4924</v>
      </c>
    </row>
    <row r="1420" spans="1:4" x14ac:dyDescent="0.35">
      <c r="A1420" s="11" t="s">
        <v>942</v>
      </c>
      <c r="B1420" s="12" t="s">
        <v>4716</v>
      </c>
      <c r="C1420" s="12" t="s">
        <v>7076</v>
      </c>
      <c r="D1420" s="13" t="s">
        <v>5228</v>
      </c>
    </row>
    <row r="1421" spans="1:4" x14ac:dyDescent="0.35">
      <c r="A1421" s="14" t="s">
        <v>941</v>
      </c>
      <c r="B1421" s="15" t="s">
        <v>4716</v>
      </c>
      <c r="C1421" s="15" t="s">
        <v>7077</v>
      </c>
      <c r="D1421" s="16" t="s">
        <v>7078</v>
      </c>
    </row>
    <row r="1422" spans="1:4" x14ac:dyDescent="0.35">
      <c r="A1422" s="11" t="s">
        <v>940</v>
      </c>
      <c r="B1422" s="12" t="s">
        <v>4713</v>
      </c>
      <c r="C1422" s="12" t="s">
        <v>7079</v>
      </c>
      <c r="D1422" s="13" t="s">
        <v>7080</v>
      </c>
    </row>
    <row r="1423" spans="1:4" x14ac:dyDescent="0.35">
      <c r="A1423" s="14" t="s">
        <v>939</v>
      </c>
      <c r="B1423" s="15" t="s">
        <v>4716</v>
      </c>
      <c r="C1423" s="15" t="s">
        <v>7081</v>
      </c>
      <c r="D1423" s="16" t="s">
        <v>7082</v>
      </c>
    </row>
    <row r="1424" spans="1:4" x14ac:dyDescent="0.35">
      <c r="A1424" s="11" t="s">
        <v>938</v>
      </c>
      <c r="B1424" s="12" t="s">
        <v>4716</v>
      </c>
      <c r="C1424" s="12" t="s">
        <v>7083</v>
      </c>
      <c r="D1424" s="13" t="s">
        <v>7084</v>
      </c>
    </row>
    <row r="1425" spans="1:4" x14ac:dyDescent="0.35">
      <c r="A1425" s="14" t="s">
        <v>937</v>
      </c>
      <c r="B1425" s="15" t="s">
        <v>4713</v>
      </c>
      <c r="C1425" s="15" t="s">
        <v>7085</v>
      </c>
      <c r="D1425" s="16" t="s">
        <v>7086</v>
      </c>
    </row>
    <row r="1426" spans="1:4" x14ac:dyDescent="0.35">
      <c r="A1426" s="11" t="s">
        <v>936</v>
      </c>
      <c r="B1426" s="12" t="s">
        <v>4716</v>
      </c>
      <c r="C1426" s="12" t="s">
        <v>7087</v>
      </c>
      <c r="D1426" s="13" t="s">
        <v>7088</v>
      </c>
    </row>
    <row r="1427" spans="1:4" x14ac:dyDescent="0.35">
      <c r="A1427" s="14" t="s">
        <v>935</v>
      </c>
      <c r="B1427" s="15" t="s">
        <v>4716</v>
      </c>
      <c r="C1427" s="15" t="s">
        <v>7089</v>
      </c>
      <c r="D1427" s="16" t="s">
        <v>4728</v>
      </c>
    </row>
    <row r="1428" spans="1:4" x14ac:dyDescent="0.35">
      <c r="A1428" s="11" t="s">
        <v>934</v>
      </c>
      <c r="B1428" s="12" t="s">
        <v>4713</v>
      </c>
      <c r="C1428" s="12" t="s">
        <v>5264</v>
      </c>
      <c r="D1428" s="13" t="s">
        <v>7090</v>
      </c>
    </row>
    <row r="1429" spans="1:4" x14ac:dyDescent="0.35">
      <c r="A1429" s="14" t="s">
        <v>933</v>
      </c>
      <c r="B1429" s="15" t="s">
        <v>4713</v>
      </c>
      <c r="C1429" s="15" t="s">
        <v>7091</v>
      </c>
      <c r="D1429" s="16" t="s">
        <v>7092</v>
      </c>
    </row>
    <row r="1430" spans="1:4" x14ac:dyDescent="0.35">
      <c r="A1430" s="11" t="s">
        <v>932</v>
      </c>
      <c r="B1430" s="12" t="s">
        <v>4713</v>
      </c>
      <c r="C1430" s="12" t="s">
        <v>4838</v>
      </c>
      <c r="D1430" s="13" t="s">
        <v>5551</v>
      </c>
    </row>
    <row r="1431" spans="1:4" x14ac:dyDescent="0.35">
      <c r="A1431" s="14" t="s">
        <v>931</v>
      </c>
      <c r="B1431" s="15" t="s">
        <v>4716</v>
      </c>
      <c r="C1431" s="15" t="s">
        <v>7093</v>
      </c>
      <c r="D1431" s="16" t="s">
        <v>7094</v>
      </c>
    </row>
    <row r="1432" spans="1:4" x14ac:dyDescent="0.35">
      <c r="A1432" s="11" t="s">
        <v>930</v>
      </c>
      <c r="B1432" s="12" t="s">
        <v>5590</v>
      </c>
      <c r="C1432" s="12" t="s">
        <v>7095</v>
      </c>
      <c r="D1432" s="13" t="s">
        <v>7096</v>
      </c>
    </row>
    <row r="1433" spans="1:4" x14ac:dyDescent="0.35">
      <c r="A1433" s="14" t="s">
        <v>929</v>
      </c>
      <c r="B1433" s="15" t="s">
        <v>4713</v>
      </c>
      <c r="C1433" s="15" t="s">
        <v>7097</v>
      </c>
      <c r="D1433" s="16" t="s">
        <v>4760</v>
      </c>
    </row>
    <row r="1434" spans="1:4" x14ac:dyDescent="0.35">
      <c r="A1434" s="11" t="s">
        <v>928</v>
      </c>
      <c r="B1434" s="12" t="s">
        <v>4713</v>
      </c>
      <c r="C1434" s="12" t="s">
        <v>7098</v>
      </c>
      <c r="D1434" s="13" t="s">
        <v>7099</v>
      </c>
    </row>
    <row r="1435" spans="1:4" x14ac:dyDescent="0.35">
      <c r="A1435" s="14" t="s">
        <v>927</v>
      </c>
      <c r="B1435" s="15" t="s">
        <v>4713</v>
      </c>
      <c r="C1435" s="15" t="s">
        <v>7100</v>
      </c>
      <c r="D1435" s="16" t="s">
        <v>5351</v>
      </c>
    </row>
    <row r="1436" spans="1:4" x14ac:dyDescent="0.35">
      <c r="A1436" s="11" t="s">
        <v>926</v>
      </c>
      <c r="B1436" s="12" t="s">
        <v>4713</v>
      </c>
      <c r="C1436" s="12" t="s">
        <v>5288</v>
      </c>
      <c r="D1436" s="13" t="s">
        <v>7101</v>
      </c>
    </row>
    <row r="1437" spans="1:4" x14ac:dyDescent="0.35">
      <c r="A1437" s="14" t="s">
        <v>925</v>
      </c>
      <c r="B1437" s="15" t="s">
        <v>4716</v>
      </c>
      <c r="C1437" s="15" t="s">
        <v>7102</v>
      </c>
      <c r="D1437" s="16" t="s">
        <v>7103</v>
      </c>
    </row>
    <row r="1438" spans="1:4" x14ac:dyDescent="0.35">
      <c r="A1438" s="11" t="s">
        <v>924</v>
      </c>
      <c r="B1438" s="12" t="s">
        <v>4713</v>
      </c>
      <c r="C1438" s="12" t="s">
        <v>7104</v>
      </c>
      <c r="D1438" s="13" t="s">
        <v>6265</v>
      </c>
    </row>
    <row r="1439" spans="1:4" x14ac:dyDescent="0.35">
      <c r="A1439" s="14" t="s">
        <v>923</v>
      </c>
      <c r="B1439" s="15" t="s">
        <v>4713</v>
      </c>
      <c r="C1439" s="15" t="s">
        <v>7105</v>
      </c>
      <c r="D1439" s="16" t="s">
        <v>7106</v>
      </c>
    </row>
    <row r="1440" spans="1:4" x14ac:dyDescent="0.35">
      <c r="A1440" s="11" t="s">
        <v>922</v>
      </c>
      <c r="B1440" s="12" t="s">
        <v>4713</v>
      </c>
      <c r="C1440" s="12" t="s">
        <v>7107</v>
      </c>
      <c r="D1440" s="13" t="s">
        <v>6059</v>
      </c>
    </row>
    <row r="1441" spans="1:4" x14ac:dyDescent="0.35">
      <c r="A1441" s="14" t="s">
        <v>921</v>
      </c>
      <c r="B1441" s="15" t="s">
        <v>4713</v>
      </c>
      <c r="C1441" s="15" t="s">
        <v>7108</v>
      </c>
      <c r="D1441" s="16" t="s">
        <v>7109</v>
      </c>
    </row>
    <row r="1442" spans="1:4" x14ac:dyDescent="0.35">
      <c r="A1442" s="11" t="s">
        <v>920</v>
      </c>
      <c r="B1442" s="12" t="s">
        <v>4713</v>
      </c>
      <c r="C1442" s="12" t="s">
        <v>4991</v>
      </c>
      <c r="D1442" s="13" t="s">
        <v>7110</v>
      </c>
    </row>
    <row r="1443" spans="1:4" x14ac:dyDescent="0.35">
      <c r="A1443" s="14" t="s">
        <v>919</v>
      </c>
      <c r="B1443" s="15" t="s">
        <v>4716</v>
      </c>
      <c r="C1443" s="15" t="s">
        <v>7111</v>
      </c>
      <c r="D1443" s="16" t="s">
        <v>4877</v>
      </c>
    </row>
    <row r="1444" spans="1:4" x14ac:dyDescent="0.35">
      <c r="A1444" s="11" t="s">
        <v>918</v>
      </c>
      <c r="B1444" s="12" t="s">
        <v>4713</v>
      </c>
      <c r="C1444" s="12" t="s">
        <v>7112</v>
      </c>
      <c r="D1444" s="13" t="s">
        <v>5600</v>
      </c>
    </row>
    <row r="1445" spans="1:4" x14ac:dyDescent="0.35">
      <c r="A1445" s="14" t="s">
        <v>917</v>
      </c>
      <c r="B1445" s="15" t="s">
        <v>4713</v>
      </c>
      <c r="C1445" s="15" t="s">
        <v>4725</v>
      </c>
      <c r="D1445" s="16" t="s">
        <v>7113</v>
      </c>
    </row>
    <row r="1446" spans="1:4" x14ac:dyDescent="0.35">
      <c r="A1446" s="11" t="s">
        <v>916</v>
      </c>
      <c r="B1446" s="12" t="s">
        <v>4716</v>
      </c>
      <c r="C1446" s="12" t="s">
        <v>7114</v>
      </c>
      <c r="D1446" s="13" t="s">
        <v>7115</v>
      </c>
    </row>
    <row r="1447" spans="1:4" x14ac:dyDescent="0.35">
      <c r="A1447" s="14" t="s">
        <v>915</v>
      </c>
      <c r="B1447" s="15" t="s">
        <v>4713</v>
      </c>
      <c r="C1447" s="15" t="s">
        <v>4844</v>
      </c>
      <c r="D1447" s="16" t="s">
        <v>7116</v>
      </c>
    </row>
    <row r="1448" spans="1:4" x14ac:dyDescent="0.35">
      <c r="A1448" s="11" t="s">
        <v>914</v>
      </c>
      <c r="B1448" s="12" t="s">
        <v>4713</v>
      </c>
      <c r="C1448" s="12" t="s">
        <v>7117</v>
      </c>
      <c r="D1448" s="13" t="s">
        <v>6183</v>
      </c>
    </row>
    <row r="1449" spans="1:4" x14ac:dyDescent="0.35">
      <c r="A1449" s="14" t="s">
        <v>913</v>
      </c>
      <c r="B1449" s="15" t="s">
        <v>4713</v>
      </c>
      <c r="C1449" s="15" t="s">
        <v>7118</v>
      </c>
      <c r="D1449" s="16" t="s">
        <v>7119</v>
      </c>
    </row>
    <row r="1450" spans="1:4" x14ac:dyDescent="0.35">
      <c r="A1450" s="11" t="s">
        <v>912</v>
      </c>
      <c r="B1450" s="12" t="s">
        <v>4713</v>
      </c>
      <c r="C1450" s="12" t="s">
        <v>7120</v>
      </c>
      <c r="D1450" s="13" t="s">
        <v>7121</v>
      </c>
    </row>
    <row r="1451" spans="1:4" x14ac:dyDescent="0.35">
      <c r="A1451" s="14" t="s">
        <v>911</v>
      </c>
      <c r="B1451" s="15" t="s">
        <v>4713</v>
      </c>
      <c r="C1451" s="15" t="s">
        <v>7122</v>
      </c>
      <c r="D1451" s="16" t="s">
        <v>7123</v>
      </c>
    </row>
    <row r="1452" spans="1:4" x14ac:dyDescent="0.35">
      <c r="A1452" s="11" t="s">
        <v>910</v>
      </c>
      <c r="B1452" s="12" t="s">
        <v>4716</v>
      </c>
      <c r="C1452" s="12" t="s">
        <v>7124</v>
      </c>
      <c r="D1452" s="13" t="s">
        <v>7125</v>
      </c>
    </row>
    <row r="1453" spans="1:4" x14ac:dyDescent="0.35">
      <c r="A1453" s="14" t="s">
        <v>909</v>
      </c>
      <c r="B1453" s="15" t="s">
        <v>4716</v>
      </c>
      <c r="C1453" s="15" t="s">
        <v>7126</v>
      </c>
      <c r="D1453" s="16" t="s">
        <v>4766</v>
      </c>
    </row>
    <row r="1454" spans="1:4" x14ac:dyDescent="0.35">
      <c r="A1454" s="11" t="s">
        <v>908</v>
      </c>
      <c r="B1454" s="12" t="s">
        <v>4716</v>
      </c>
      <c r="C1454" s="12" t="s">
        <v>7127</v>
      </c>
      <c r="D1454" s="13" t="s">
        <v>6068</v>
      </c>
    </row>
    <row r="1455" spans="1:4" x14ac:dyDescent="0.35">
      <c r="A1455" s="14" t="s">
        <v>907</v>
      </c>
      <c r="B1455" s="15" t="s">
        <v>4716</v>
      </c>
      <c r="C1455" s="15" t="s">
        <v>7128</v>
      </c>
      <c r="D1455" s="16" t="s">
        <v>7129</v>
      </c>
    </row>
    <row r="1456" spans="1:4" x14ac:dyDescent="0.35">
      <c r="A1456" s="11" t="s">
        <v>906</v>
      </c>
      <c r="B1456" s="12" t="s">
        <v>4716</v>
      </c>
      <c r="C1456" s="12" t="s">
        <v>7130</v>
      </c>
      <c r="D1456" s="13" t="s">
        <v>7131</v>
      </c>
    </row>
    <row r="1457" spans="1:4" x14ac:dyDescent="0.35">
      <c r="A1457" s="14" t="s">
        <v>905</v>
      </c>
      <c r="B1457" s="15" t="s">
        <v>4716</v>
      </c>
      <c r="C1457" s="15" t="s">
        <v>5370</v>
      </c>
      <c r="D1457" s="16" t="s">
        <v>7132</v>
      </c>
    </row>
    <row r="1458" spans="1:4" x14ac:dyDescent="0.35">
      <c r="A1458" s="11" t="s">
        <v>904</v>
      </c>
      <c r="B1458" s="12" t="s">
        <v>4713</v>
      </c>
      <c r="C1458" s="12" t="s">
        <v>7133</v>
      </c>
      <c r="D1458" s="13" t="s">
        <v>7134</v>
      </c>
    </row>
    <row r="1459" spans="1:4" x14ac:dyDescent="0.35">
      <c r="A1459" s="14" t="s">
        <v>903</v>
      </c>
      <c r="B1459" s="15" t="s">
        <v>4713</v>
      </c>
      <c r="C1459" s="15" t="s">
        <v>7135</v>
      </c>
      <c r="D1459" s="16" t="s">
        <v>5184</v>
      </c>
    </row>
    <row r="1460" spans="1:4" x14ac:dyDescent="0.35">
      <c r="A1460" s="11" t="s">
        <v>902</v>
      </c>
      <c r="B1460" s="12" t="s">
        <v>4716</v>
      </c>
      <c r="C1460" s="12" t="s">
        <v>7136</v>
      </c>
      <c r="D1460" s="13" t="s">
        <v>7137</v>
      </c>
    </row>
    <row r="1461" spans="1:4" x14ac:dyDescent="0.35">
      <c r="A1461" s="14" t="s">
        <v>901</v>
      </c>
      <c r="B1461" s="15" t="s">
        <v>4716</v>
      </c>
      <c r="C1461" s="15" t="s">
        <v>6109</v>
      </c>
      <c r="D1461" s="16" t="s">
        <v>7138</v>
      </c>
    </row>
    <row r="1462" spans="1:4" x14ac:dyDescent="0.35">
      <c r="A1462" s="11" t="s">
        <v>900</v>
      </c>
      <c r="B1462" s="12" t="s">
        <v>4713</v>
      </c>
      <c r="C1462" s="12" t="s">
        <v>5258</v>
      </c>
      <c r="D1462" s="13" t="s">
        <v>5661</v>
      </c>
    </row>
    <row r="1463" spans="1:4" x14ac:dyDescent="0.35">
      <c r="A1463" s="14" t="s">
        <v>899</v>
      </c>
      <c r="B1463" s="15" t="s">
        <v>4713</v>
      </c>
      <c r="C1463" s="15" t="s">
        <v>5141</v>
      </c>
      <c r="D1463" s="16" t="s">
        <v>7139</v>
      </c>
    </row>
    <row r="1464" spans="1:4" x14ac:dyDescent="0.35">
      <c r="A1464" s="11" t="s">
        <v>898</v>
      </c>
      <c r="B1464" s="12" t="s">
        <v>4716</v>
      </c>
      <c r="C1464" s="12" t="s">
        <v>7140</v>
      </c>
      <c r="D1464" s="13" t="s">
        <v>5196</v>
      </c>
    </row>
    <row r="1465" spans="1:4" x14ac:dyDescent="0.35">
      <c r="A1465" s="14" t="s">
        <v>897</v>
      </c>
      <c r="B1465" s="15" t="s">
        <v>4716</v>
      </c>
      <c r="C1465" s="15" t="s">
        <v>7141</v>
      </c>
      <c r="D1465" s="16" t="s">
        <v>7142</v>
      </c>
    </row>
    <row r="1466" spans="1:4" x14ac:dyDescent="0.35">
      <c r="A1466" s="11" t="s">
        <v>896</v>
      </c>
      <c r="B1466" s="12" t="s">
        <v>4713</v>
      </c>
      <c r="C1466" s="12" t="s">
        <v>5222</v>
      </c>
      <c r="D1466" s="13" t="s">
        <v>7143</v>
      </c>
    </row>
    <row r="1467" spans="1:4" x14ac:dyDescent="0.35">
      <c r="A1467" s="14" t="s">
        <v>895</v>
      </c>
      <c r="B1467" s="15" t="s">
        <v>4716</v>
      </c>
      <c r="C1467" s="15" t="s">
        <v>5533</v>
      </c>
      <c r="D1467" s="16" t="s">
        <v>7144</v>
      </c>
    </row>
    <row r="1468" spans="1:4" x14ac:dyDescent="0.35">
      <c r="A1468" s="11" t="s">
        <v>894</v>
      </c>
      <c r="B1468" s="12" t="s">
        <v>4716</v>
      </c>
      <c r="C1468" s="12" t="s">
        <v>7145</v>
      </c>
      <c r="D1468" s="13" t="s">
        <v>7146</v>
      </c>
    </row>
    <row r="1469" spans="1:4" x14ac:dyDescent="0.35">
      <c r="A1469" s="14" t="s">
        <v>893</v>
      </c>
      <c r="B1469" s="15" t="s">
        <v>4716</v>
      </c>
      <c r="C1469" s="15" t="s">
        <v>7147</v>
      </c>
      <c r="D1469" s="16" t="s">
        <v>7148</v>
      </c>
    </row>
    <row r="1470" spans="1:4" x14ac:dyDescent="0.35">
      <c r="A1470" s="11" t="s">
        <v>892</v>
      </c>
      <c r="B1470" s="12" t="s">
        <v>4716</v>
      </c>
      <c r="C1470" s="12" t="s">
        <v>7149</v>
      </c>
      <c r="D1470" s="13" t="s">
        <v>5150</v>
      </c>
    </row>
    <row r="1471" spans="1:4" x14ac:dyDescent="0.35">
      <c r="A1471" s="14" t="s">
        <v>891</v>
      </c>
      <c r="B1471" s="15" t="s">
        <v>4713</v>
      </c>
      <c r="C1471" s="15" t="s">
        <v>7150</v>
      </c>
      <c r="D1471" s="16" t="s">
        <v>7151</v>
      </c>
    </row>
    <row r="1472" spans="1:4" x14ac:dyDescent="0.35">
      <c r="A1472" s="11" t="s">
        <v>890</v>
      </c>
      <c r="B1472" s="12" t="s">
        <v>4716</v>
      </c>
      <c r="C1472" s="12" t="s">
        <v>7152</v>
      </c>
      <c r="D1472" s="13" t="s">
        <v>7153</v>
      </c>
    </row>
    <row r="1473" spans="1:4" x14ac:dyDescent="0.35">
      <c r="A1473" s="14" t="s">
        <v>889</v>
      </c>
      <c r="B1473" s="15" t="s">
        <v>4713</v>
      </c>
      <c r="C1473" s="15" t="s">
        <v>7154</v>
      </c>
      <c r="D1473" s="16" t="s">
        <v>6110</v>
      </c>
    </row>
    <row r="1474" spans="1:4" x14ac:dyDescent="0.35">
      <c r="A1474" s="11" t="s">
        <v>888</v>
      </c>
      <c r="B1474" s="12" t="s">
        <v>4716</v>
      </c>
      <c r="C1474" s="12" t="s">
        <v>7155</v>
      </c>
      <c r="D1474" s="13" t="s">
        <v>5982</v>
      </c>
    </row>
    <row r="1475" spans="1:4" x14ac:dyDescent="0.35">
      <c r="A1475" s="14" t="s">
        <v>887</v>
      </c>
      <c r="B1475" s="15" t="s">
        <v>4716</v>
      </c>
      <c r="C1475" s="15" t="s">
        <v>7156</v>
      </c>
      <c r="D1475" s="16" t="s">
        <v>7157</v>
      </c>
    </row>
    <row r="1476" spans="1:4" x14ac:dyDescent="0.35">
      <c r="A1476" s="11" t="s">
        <v>886</v>
      </c>
      <c r="B1476" s="12" t="s">
        <v>4713</v>
      </c>
      <c r="C1476" s="12" t="s">
        <v>7158</v>
      </c>
      <c r="D1476" s="13" t="s">
        <v>7159</v>
      </c>
    </row>
    <row r="1477" spans="1:4" x14ac:dyDescent="0.35">
      <c r="A1477" s="14" t="s">
        <v>885</v>
      </c>
      <c r="B1477" s="15" t="s">
        <v>4716</v>
      </c>
      <c r="C1477" s="15" t="s">
        <v>7160</v>
      </c>
      <c r="D1477" s="16" t="s">
        <v>7161</v>
      </c>
    </row>
    <row r="1478" spans="1:4" x14ac:dyDescent="0.35">
      <c r="A1478" s="11" t="s">
        <v>884</v>
      </c>
      <c r="B1478" s="12" t="s">
        <v>4713</v>
      </c>
      <c r="C1478" s="12" t="s">
        <v>7162</v>
      </c>
      <c r="D1478" s="13" t="s">
        <v>6891</v>
      </c>
    </row>
    <row r="1479" spans="1:4" x14ac:dyDescent="0.35">
      <c r="A1479" s="14" t="s">
        <v>883</v>
      </c>
      <c r="B1479" s="15" t="s">
        <v>4716</v>
      </c>
      <c r="C1479" s="15" t="s">
        <v>7163</v>
      </c>
      <c r="D1479" s="16" t="s">
        <v>7164</v>
      </c>
    </row>
    <row r="1480" spans="1:4" x14ac:dyDescent="0.35">
      <c r="A1480" s="11" t="s">
        <v>882</v>
      </c>
      <c r="B1480" s="12" t="s">
        <v>4716</v>
      </c>
      <c r="C1480" s="12" t="s">
        <v>7165</v>
      </c>
      <c r="D1480" s="13" t="s">
        <v>7166</v>
      </c>
    </row>
    <row r="1481" spans="1:4" x14ac:dyDescent="0.35">
      <c r="A1481" s="14" t="s">
        <v>881</v>
      </c>
      <c r="B1481" s="15" t="s">
        <v>4713</v>
      </c>
      <c r="C1481" s="15" t="s">
        <v>7167</v>
      </c>
      <c r="D1481" s="16" t="s">
        <v>7168</v>
      </c>
    </row>
    <row r="1482" spans="1:4" x14ac:dyDescent="0.35">
      <c r="A1482" s="11" t="s">
        <v>880</v>
      </c>
      <c r="B1482" s="12" t="s">
        <v>4716</v>
      </c>
      <c r="C1482" s="12" t="s">
        <v>7169</v>
      </c>
      <c r="D1482" s="13" t="s">
        <v>5233</v>
      </c>
    </row>
    <row r="1483" spans="1:4" x14ac:dyDescent="0.35">
      <c r="A1483" s="14" t="s">
        <v>879</v>
      </c>
      <c r="B1483" s="15" t="s">
        <v>4713</v>
      </c>
      <c r="C1483" s="15" t="s">
        <v>6972</v>
      </c>
      <c r="D1483" s="16" t="s">
        <v>7170</v>
      </c>
    </row>
    <row r="1484" spans="1:4" x14ac:dyDescent="0.35">
      <c r="A1484" s="11" t="s">
        <v>878</v>
      </c>
      <c r="B1484" s="12" t="s">
        <v>4716</v>
      </c>
      <c r="C1484" s="12" t="s">
        <v>7171</v>
      </c>
      <c r="D1484" s="13" t="s">
        <v>7172</v>
      </c>
    </row>
    <row r="1485" spans="1:4" x14ac:dyDescent="0.35">
      <c r="A1485" s="14" t="s">
        <v>877</v>
      </c>
      <c r="B1485" s="15" t="s">
        <v>4713</v>
      </c>
      <c r="C1485" s="15" t="s">
        <v>7173</v>
      </c>
      <c r="D1485" s="16" t="s">
        <v>4836</v>
      </c>
    </row>
    <row r="1486" spans="1:4" x14ac:dyDescent="0.35">
      <c r="A1486" s="11" t="s">
        <v>876</v>
      </c>
      <c r="B1486" s="12" t="s">
        <v>4713</v>
      </c>
      <c r="C1486" s="12" t="s">
        <v>7174</v>
      </c>
      <c r="D1486" s="13" t="s">
        <v>6229</v>
      </c>
    </row>
    <row r="1487" spans="1:4" x14ac:dyDescent="0.35">
      <c r="A1487" s="14" t="s">
        <v>875</v>
      </c>
      <c r="B1487" s="15" t="s">
        <v>4713</v>
      </c>
      <c r="C1487" s="15" t="s">
        <v>7175</v>
      </c>
      <c r="D1487" s="16" t="s">
        <v>7176</v>
      </c>
    </row>
    <row r="1488" spans="1:4" x14ac:dyDescent="0.35">
      <c r="A1488" s="11" t="s">
        <v>874</v>
      </c>
      <c r="B1488" s="12" t="s">
        <v>4713</v>
      </c>
      <c r="C1488" s="12" t="s">
        <v>7177</v>
      </c>
      <c r="D1488" s="13" t="s">
        <v>7178</v>
      </c>
    </row>
    <row r="1489" spans="1:4" x14ac:dyDescent="0.35">
      <c r="A1489" s="14" t="s">
        <v>873</v>
      </c>
      <c r="B1489" s="15" t="s">
        <v>4716</v>
      </c>
      <c r="C1489" s="15" t="s">
        <v>6390</v>
      </c>
      <c r="D1489" s="16" t="s">
        <v>7179</v>
      </c>
    </row>
    <row r="1490" spans="1:4" x14ac:dyDescent="0.35">
      <c r="A1490" s="11" t="s">
        <v>872</v>
      </c>
      <c r="B1490" s="12" t="s">
        <v>4713</v>
      </c>
      <c r="C1490" s="12" t="s">
        <v>7180</v>
      </c>
      <c r="D1490" s="13" t="s">
        <v>7181</v>
      </c>
    </row>
    <row r="1491" spans="1:4" x14ac:dyDescent="0.35">
      <c r="A1491" s="14" t="s">
        <v>871</v>
      </c>
      <c r="B1491" s="15" t="s">
        <v>4713</v>
      </c>
      <c r="C1491" s="15" t="s">
        <v>7182</v>
      </c>
      <c r="D1491" s="16" t="s">
        <v>7183</v>
      </c>
    </row>
    <row r="1492" spans="1:4" x14ac:dyDescent="0.35">
      <c r="A1492" s="11" t="s">
        <v>870</v>
      </c>
      <c r="B1492" s="12" t="s">
        <v>4713</v>
      </c>
      <c r="C1492" s="12" t="s">
        <v>7184</v>
      </c>
      <c r="D1492" s="13" t="s">
        <v>7185</v>
      </c>
    </row>
    <row r="1493" spans="1:4" x14ac:dyDescent="0.35">
      <c r="A1493" s="14" t="s">
        <v>869</v>
      </c>
      <c r="B1493" s="15" t="s">
        <v>4716</v>
      </c>
      <c r="C1493" s="15" t="s">
        <v>7186</v>
      </c>
      <c r="D1493" s="16" t="s">
        <v>7187</v>
      </c>
    </row>
    <row r="1494" spans="1:4" x14ac:dyDescent="0.35">
      <c r="A1494" s="11" t="s">
        <v>868</v>
      </c>
      <c r="B1494" s="12" t="s">
        <v>4716</v>
      </c>
      <c r="C1494" s="12" t="s">
        <v>7188</v>
      </c>
      <c r="D1494" s="13" t="s">
        <v>7189</v>
      </c>
    </row>
    <row r="1495" spans="1:4" x14ac:dyDescent="0.35">
      <c r="A1495" s="14" t="s">
        <v>867</v>
      </c>
      <c r="B1495" s="15" t="s">
        <v>4713</v>
      </c>
      <c r="C1495" s="15" t="s">
        <v>7190</v>
      </c>
      <c r="D1495" s="16" t="s">
        <v>6944</v>
      </c>
    </row>
    <row r="1496" spans="1:4" x14ac:dyDescent="0.35">
      <c r="A1496" s="11" t="s">
        <v>866</v>
      </c>
      <c r="B1496" s="12" t="s">
        <v>4716</v>
      </c>
      <c r="C1496" s="12" t="s">
        <v>7191</v>
      </c>
      <c r="D1496" s="13" t="s">
        <v>7192</v>
      </c>
    </row>
    <row r="1497" spans="1:4" x14ac:dyDescent="0.35">
      <c r="A1497" s="14" t="s">
        <v>865</v>
      </c>
      <c r="B1497" s="15" t="s">
        <v>4716</v>
      </c>
      <c r="C1497" s="15" t="s">
        <v>7193</v>
      </c>
      <c r="D1497" s="16" t="s">
        <v>7194</v>
      </c>
    </row>
    <row r="1498" spans="1:4" x14ac:dyDescent="0.35">
      <c r="A1498" s="11" t="s">
        <v>864</v>
      </c>
      <c r="B1498" s="12" t="s">
        <v>4716</v>
      </c>
      <c r="C1498" s="12" t="s">
        <v>7195</v>
      </c>
      <c r="D1498" s="13" t="s">
        <v>7196</v>
      </c>
    </row>
    <row r="1499" spans="1:4" x14ac:dyDescent="0.35">
      <c r="A1499" s="14" t="s">
        <v>863</v>
      </c>
      <c r="B1499" s="15" t="s">
        <v>4716</v>
      </c>
      <c r="C1499" s="15" t="s">
        <v>7197</v>
      </c>
      <c r="D1499" s="16" t="s">
        <v>4908</v>
      </c>
    </row>
    <row r="1500" spans="1:4" x14ac:dyDescent="0.35">
      <c r="A1500" s="11" t="s">
        <v>862</v>
      </c>
      <c r="B1500" s="12" t="s">
        <v>4713</v>
      </c>
      <c r="C1500" s="12" t="s">
        <v>7198</v>
      </c>
      <c r="D1500" s="13" t="s">
        <v>7199</v>
      </c>
    </row>
    <row r="1501" spans="1:4" x14ac:dyDescent="0.35">
      <c r="A1501" s="14" t="s">
        <v>861</v>
      </c>
      <c r="B1501" s="15" t="s">
        <v>4713</v>
      </c>
      <c r="C1501" s="15" t="s">
        <v>7200</v>
      </c>
      <c r="D1501" s="16" t="s">
        <v>5903</v>
      </c>
    </row>
    <row r="1502" spans="1:4" x14ac:dyDescent="0.35">
      <c r="A1502" s="11" t="s">
        <v>860</v>
      </c>
      <c r="B1502" s="12" t="s">
        <v>5590</v>
      </c>
      <c r="C1502" s="12" t="s">
        <v>7201</v>
      </c>
      <c r="D1502" s="13" t="s">
        <v>7202</v>
      </c>
    </row>
    <row r="1503" spans="1:4" x14ac:dyDescent="0.35">
      <c r="A1503" s="14" t="s">
        <v>859</v>
      </c>
      <c r="B1503" s="15" t="s">
        <v>4713</v>
      </c>
      <c r="C1503" s="15" t="s">
        <v>7203</v>
      </c>
      <c r="D1503" s="16" t="s">
        <v>5877</v>
      </c>
    </row>
    <row r="1504" spans="1:4" x14ac:dyDescent="0.35">
      <c r="A1504" s="11" t="s">
        <v>858</v>
      </c>
      <c r="B1504" s="12" t="s">
        <v>4713</v>
      </c>
      <c r="C1504" s="12" t="s">
        <v>7204</v>
      </c>
      <c r="D1504" s="13" t="s">
        <v>7205</v>
      </c>
    </row>
    <row r="1505" spans="1:4" x14ac:dyDescent="0.35">
      <c r="A1505" s="14" t="s">
        <v>857</v>
      </c>
      <c r="B1505" s="15" t="s">
        <v>4716</v>
      </c>
      <c r="C1505" s="15" t="s">
        <v>6272</v>
      </c>
      <c r="D1505" s="16" t="s">
        <v>7206</v>
      </c>
    </row>
    <row r="1506" spans="1:4" x14ac:dyDescent="0.35">
      <c r="A1506" s="11" t="s">
        <v>856</v>
      </c>
      <c r="B1506" s="12" t="s">
        <v>4716</v>
      </c>
      <c r="C1506" s="12" t="s">
        <v>7207</v>
      </c>
      <c r="D1506" s="13" t="s">
        <v>7208</v>
      </c>
    </row>
    <row r="1507" spans="1:4" x14ac:dyDescent="0.35">
      <c r="A1507" s="14" t="s">
        <v>855</v>
      </c>
      <c r="B1507" s="15" t="s">
        <v>4713</v>
      </c>
      <c r="C1507" s="15" t="s">
        <v>7209</v>
      </c>
      <c r="D1507" s="16" t="s">
        <v>7210</v>
      </c>
    </row>
    <row r="1508" spans="1:4" x14ac:dyDescent="0.35">
      <c r="A1508" s="11" t="s">
        <v>854</v>
      </c>
      <c r="B1508" s="12" t="s">
        <v>4716</v>
      </c>
      <c r="C1508" s="12" t="s">
        <v>7211</v>
      </c>
      <c r="D1508" s="13" t="s">
        <v>7032</v>
      </c>
    </row>
    <row r="1509" spans="1:4" x14ac:dyDescent="0.35">
      <c r="A1509" s="14" t="s">
        <v>853</v>
      </c>
      <c r="B1509" s="15" t="s">
        <v>4716</v>
      </c>
      <c r="C1509" s="15" t="s">
        <v>6141</v>
      </c>
      <c r="D1509" s="16" t="s">
        <v>7212</v>
      </c>
    </row>
    <row r="1510" spans="1:4" x14ac:dyDescent="0.35">
      <c r="A1510" s="11" t="s">
        <v>852</v>
      </c>
      <c r="B1510" s="12" t="s">
        <v>4716</v>
      </c>
      <c r="C1510" s="12" t="s">
        <v>5034</v>
      </c>
      <c r="D1510" s="13" t="s">
        <v>5080</v>
      </c>
    </row>
    <row r="1511" spans="1:4" x14ac:dyDescent="0.35">
      <c r="A1511" s="14" t="s">
        <v>851</v>
      </c>
      <c r="B1511" s="15" t="s">
        <v>4713</v>
      </c>
      <c r="C1511" s="15" t="s">
        <v>7213</v>
      </c>
      <c r="D1511" s="16" t="s">
        <v>7214</v>
      </c>
    </row>
    <row r="1512" spans="1:4" x14ac:dyDescent="0.35">
      <c r="A1512" s="11" t="s">
        <v>850</v>
      </c>
      <c r="B1512" s="12" t="s">
        <v>4716</v>
      </c>
      <c r="C1512" s="12" t="s">
        <v>7215</v>
      </c>
      <c r="D1512" s="13" t="s">
        <v>5014</v>
      </c>
    </row>
    <row r="1513" spans="1:4" x14ac:dyDescent="0.35">
      <c r="A1513" s="14" t="s">
        <v>849</v>
      </c>
      <c r="B1513" s="15" t="s">
        <v>4716</v>
      </c>
      <c r="C1513" s="15" t="s">
        <v>7216</v>
      </c>
      <c r="D1513" s="16" t="s">
        <v>7217</v>
      </c>
    </row>
    <row r="1514" spans="1:4" x14ac:dyDescent="0.35">
      <c r="A1514" s="11" t="s">
        <v>848</v>
      </c>
      <c r="B1514" s="12" t="s">
        <v>4713</v>
      </c>
      <c r="C1514" s="12" t="s">
        <v>7218</v>
      </c>
      <c r="D1514" s="13" t="s">
        <v>7219</v>
      </c>
    </row>
    <row r="1515" spans="1:4" x14ac:dyDescent="0.35">
      <c r="A1515" s="14" t="s">
        <v>847</v>
      </c>
      <c r="B1515" s="15" t="s">
        <v>4716</v>
      </c>
      <c r="C1515" s="15" t="s">
        <v>7220</v>
      </c>
      <c r="D1515" s="16" t="s">
        <v>7221</v>
      </c>
    </row>
    <row r="1516" spans="1:4" x14ac:dyDescent="0.35">
      <c r="A1516" s="11" t="s">
        <v>846</v>
      </c>
      <c r="B1516" s="12" t="s">
        <v>4716</v>
      </c>
      <c r="C1516" s="12" t="s">
        <v>7222</v>
      </c>
      <c r="D1516" s="13" t="s">
        <v>5014</v>
      </c>
    </row>
    <row r="1517" spans="1:4" x14ac:dyDescent="0.35">
      <c r="A1517" s="14" t="s">
        <v>845</v>
      </c>
      <c r="B1517" s="15" t="s">
        <v>4716</v>
      </c>
      <c r="C1517" s="15" t="s">
        <v>7223</v>
      </c>
      <c r="D1517" s="16" t="s">
        <v>6721</v>
      </c>
    </row>
    <row r="1518" spans="1:4" x14ac:dyDescent="0.35">
      <c r="A1518" s="11" t="s">
        <v>844</v>
      </c>
      <c r="B1518" s="12" t="s">
        <v>4713</v>
      </c>
      <c r="C1518" s="12" t="s">
        <v>7224</v>
      </c>
      <c r="D1518" s="13" t="s">
        <v>7225</v>
      </c>
    </row>
    <row r="1519" spans="1:4" x14ac:dyDescent="0.35">
      <c r="A1519" s="14" t="s">
        <v>843</v>
      </c>
      <c r="B1519" s="15" t="s">
        <v>4713</v>
      </c>
      <c r="C1519" s="15" t="s">
        <v>7226</v>
      </c>
      <c r="D1519" s="16" t="s">
        <v>5536</v>
      </c>
    </row>
    <row r="1520" spans="1:4" x14ac:dyDescent="0.35">
      <c r="A1520" s="11" t="s">
        <v>842</v>
      </c>
      <c r="B1520" s="12" t="s">
        <v>4713</v>
      </c>
      <c r="C1520" s="12" t="s">
        <v>7227</v>
      </c>
      <c r="D1520" s="13" t="s">
        <v>7228</v>
      </c>
    </row>
    <row r="1521" spans="1:4" x14ac:dyDescent="0.35">
      <c r="A1521" s="14" t="s">
        <v>841</v>
      </c>
      <c r="B1521" s="15" t="s">
        <v>4713</v>
      </c>
      <c r="C1521" s="15" t="s">
        <v>7229</v>
      </c>
      <c r="D1521" s="16" t="s">
        <v>7230</v>
      </c>
    </row>
    <row r="1522" spans="1:4" x14ac:dyDescent="0.35">
      <c r="A1522" s="11" t="s">
        <v>840</v>
      </c>
      <c r="B1522" s="12" t="s">
        <v>4716</v>
      </c>
      <c r="C1522" s="12" t="s">
        <v>7231</v>
      </c>
      <c r="D1522" s="13" t="s">
        <v>7232</v>
      </c>
    </row>
    <row r="1523" spans="1:4" x14ac:dyDescent="0.35">
      <c r="A1523" s="14" t="s">
        <v>839</v>
      </c>
      <c r="B1523" s="15" t="s">
        <v>4713</v>
      </c>
      <c r="C1523" s="15" t="s">
        <v>7233</v>
      </c>
      <c r="D1523" s="16" t="s">
        <v>5862</v>
      </c>
    </row>
    <row r="1524" spans="1:4" x14ac:dyDescent="0.35">
      <c r="A1524" s="11" t="s">
        <v>838</v>
      </c>
      <c r="B1524" s="12" t="s">
        <v>4716</v>
      </c>
      <c r="C1524" s="12" t="s">
        <v>7234</v>
      </c>
      <c r="D1524" s="13" t="s">
        <v>7235</v>
      </c>
    </row>
    <row r="1525" spans="1:4" x14ac:dyDescent="0.35">
      <c r="A1525" s="14" t="s">
        <v>837</v>
      </c>
      <c r="B1525" s="15" t="s">
        <v>4716</v>
      </c>
      <c r="C1525" s="15" t="s">
        <v>7236</v>
      </c>
      <c r="D1525" s="16" t="s">
        <v>5150</v>
      </c>
    </row>
    <row r="1526" spans="1:4" x14ac:dyDescent="0.35">
      <c r="A1526" s="11" t="s">
        <v>836</v>
      </c>
      <c r="B1526" s="12" t="s">
        <v>4716</v>
      </c>
      <c r="C1526" s="12" t="s">
        <v>6227</v>
      </c>
      <c r="D1526" s="13" t="s">
        <v>7237</v>
      </c>
    </row>
    <row r="1527" spans="1:4" x14ac:dyDescent="0.35">
      <c r="A1527" s="14" t="s">
        <v>835</v>
      </c>
      <c r="B1527" s="15" t="s">
        <v>4713</v>
      </c>
      <c r="C1527" s="15" t="s">
        <v>7238</v>
      </c>
      <c r="D1527" s="16" t="s">
        <v>7239</v>
      </c>
    </row>
    <row r="1528" spans="1:4" x14ac:dyDescent="0.35">
      <c r="A1528" s="11" t="s">
        <v>834</v>
      </c>
      <c r="B1528" s="12" t="s">
        <v>4713</v>
      </c>
      <c r="C1528" s="12" t="s">
        <v>7240</v>
      </c>
      <c r="D1528" s="13" t="s">
        <v>7241</v>
      </c>
    </row>
    <row r="1529" spans="1:4" x14ac:dyDescent="0.35">
      <c r="A1529" s="14" t="s">
        <v>833</v>
      </c>
      <c r="B1529" s="15" t="s">
        <v>4716</v>
      </c>
      <c r="C1529" s="15" t="s">
        <v>7242</v>
      </c>
      <c r="D1529" s="16" t="s">
        <v>7243</v>
      </c>
    </row>
    <row r="1530" spans="1:4" x14ac:dyDescent="0.35">
      <c r="A1530" s="11" t="s">
        <v>832</v>
      </c>
      <c r="B1530" s="12" t="s">
        <v>4713</v>
      </c>
      <c r="C1530" s="12" t="s">
        <v>7244</v>
      </c>
      <c r="D1530" s="13" t="s">
        <v>7245</v>
      </c>
    </row>
    <row r="1531" spans="1:4" x14ac:dyDescent="0.35">
      <c r="A1531" s="14" t="s">
        <v>831</v>
      </c>
      <c r="B1531" s="15" t="s">
        <v>4713</v>
      </c>
      <c r="C1531" s="15" t="s">
        <v>5264</v>
      </c>
      <c r="D1531" s="16" t="s">
        <v>4875</v>
      </c>
    </row>
    <row r="1532" spans="1:4" x14ac:dyDescent="0.35">
      <c r="A1532" s="11" t="s">
        <v>830</v>
      </c>
      <c r="B1532" s="12" t="s">
        <v>4713</v>
      </c>
      <c r="C1532" s="12" t="s">
        <v>7246</v>
      </c>
      <c r="D1532" s="13" t="s">
        <v>7247</v>
      </c>
    </row>
    <row r="1533" spans="1:4" x14ac:dyDescent="0.35">
      <c r="A1533" s="14" t="s">
        <v>829</v>
      </c>
      <c r="B1533" s="15" t="s">
        <v>4716</v>
      </c>
      <c r="C1533" s="15" t="s">
        <v>7248</v>
      </c>
      <c r="D1533" s="16" t="s">
        <v>7249</v>
      </c>
    </row>
    <row r="1534" spans="1:4" x14ac:dyDescent="0.35">
      <c r="A1534" s="11" t="s">
        <v>828</v>
      </c>
      <c r="B1534" s="12" t="s">
        <v>4716</v>
      </c>
      <c r="C1534" s="12" t="s">
        <v>7250</v>
      </c>
      <c r="D1534" s="13" t="s">
        <v>5449</v>
      </c>
    </row>
    <row r="1535" spans="1:4" x14ac:dyDescent="0.35">
      <c r="A1535" s="14" t="s">
        <v>827</v>
      </c>
      <c r="B1535" s="15" t="s">
        <v>4713</v>
      </c>
      <c r="C1535" s="15" t="s">
        <v>7251</v>
      </c>
      <c r="D1535" s="16" t="s">
        <v>4885</v>
      </c>
    </row>
    <row r="1536" spans="1:4" x14ac:dyDescent="0.35">
      <c r="A1536" s="11" t="s">
        <v>826</v>
      </c>
      <c r="B1536" s="12" t="s">
        <v>4716</v>
      </c>
      <c r="C1536" s="12" t="s">
        <v>7252</v>
      </c>
      <c r="D1536" s="13" t="s">
        <v>4766</v>
      </c>
    </row>
    <row r="1537" spans="1:4" x14ac:dyDescent="0.35">
      <c r="A1537" s="14" t="s">
        <v>825</v>
      </c>
      <c r="B1537" s="15" t="s">
        <v>4716</v>
      </c>
      <c r="C1537" s="15" t="s">
        <v>7253</v>
      </c>
      <c r="D1537" s="16" t="s">
        <v>4811</v>
      </c>
    </row>
    <row r="1538" spans="1:4" x14ac:dyDescent="0.35">
      <c r="A1538" s="11" t="s">
        <v>824</v>
      </c>
      <c r="B1538" s="12" t="s">
        <v>4713</v>
      </c>
      <c r="C1538" s="12" t="s">
        <v>7254</v>
      </c>
      <c r="D1538" s="13" t="s">
        <v>7255</v>
      </c>
    </row>
    <row r="1539" spans="1:4" x14ac:dyDescent="0.35">
      <c r="A1539" s="14" t="s">
        <v>823</v>
      </c>
      <c r="B1539" s="15" t="s">
        <v>4716</v>
      </c>
      <c r="C1539" s="15" t="s">
        <v>7256</v>
      </c>
      <c r="D1539" s="16" t="s">
        <v>5140</v>
      </c>
    </row>
    <row r="1540" spans="1:4" x14ac:dyDescent="0.35">
      <c r="A1540" s="11" t="s">
        <v>822</v>
      </c>
      <c r="B1540" s="12" t="s">
        <v>4716</v>
      </c>
      <c r="C1540" s="12" t="s">
        <v>7257</v>
      </c>
      <c r="D1540" s="13" t="s">
        <v>7258</v>
      </c>
    </row>
    <row r="1541" spans="1:4" x14ac:dyDescent="0.35">
      <c r="A1541" s="14" t="s">
        <v>821</v>
      </c>
      <c r="B1541" s="15" t="s">
        <v>4713</v>
      </c>
      <c r="C1541" s="15" t="s">
        <v>7259</v>
      </c>
      <c r="D1541" s="16" t="s">
        <v>7260</v>
      </c>
    </row>
    <row r="1542" spans="1:4" x14ac:dyDescent="0.35">
      <c r="A1542" s="11" t="s">
        <v>820</v>
      </c>
      <c r="B1542" s="12" t="s">
        <v>4713</v>
      </c>
      <c r="C1542" s="12" t="s">
        <v>7261</v>
      </c>
      <c r="D1542" s="13" t="s">
        <v>7262</v>
      </c>
    </row>
    <row r="1543" spans="1:4" x14ac:dyDescent="0.35">
      <c r="A1543" s="14" t="s">
        <v>819</v>
      </c>
      <c r="B1543" s="15" t="s">
        <v>4716</v>
      </c>
      <c r="C1543" s="15" t="s">
        <v>7263</v>
      </c>
      <c r="D1543" s="16" t="s">
        <v>7264</v>
      </c>
    </row>
    <row r="1544" spans="1:4" x14ac:dyDescent="0.35">
      <c r="A1544" s="11" t="s">
        <v>818</v>
      </c>
      <c r="B1544" s="12" t="s">
        <v>4716</v>
      </c>
      <c r="C1544" s="12" t="s">
        <v>7265</v>
      </c>
      <c r="D1544" s="13" t="s">
        <v>4811</v>
      </c>
    </row>
    <row r="1545" spans="1:4" x14ac:dyDescent="0.35">
      <c r="A1545" s="14" t="s">
        <v>817</v>
      </c>
      <c r="B1545" s="15" t="s">
        <v>4716</v>
      </c>
      <c r="C1545" s="15" t="s">
        <v>7266</v>
      </c>
      <c r="D1545" s="16" t="s">
        <v>7267</v>
      </c>
    </row>
    <row r="1546" spans="1:4" x14ac:dyDescent="0.35">
      <c r="A1546" s="11" t="s">
        <v>816</v>
      </c>
      <c r="B1546" s="12" t="s">
        <v>4716</v>
      </c>
      <c r="C1546" s="12" t="s">
        <v>7268</v>
      </c>
      <c r="D1546" s="13" t="s">
        <v>7269</v>
      </c>
    </row>
    <row r="1547" spans="1:4" x14ac:dyDescent="0.35">
      <c r="A1547" s="14" t="s">
        <v>815</v>
      </c>
      <c r="B1547" s="15" t="s">
        <v>4713</v>
      </c>
      <c r="C1547" s="15" t="s">
        <v>7270</v>
      </c>
      <c r="D1547" s="16" t="s">
        <v>6110</v>
      </c>
    </row>
    <row r="1548" spans="1:4" x14ac:dyDescent="0.35">
      <c r="A1548" s="11" t="s">
        <v>814</v>
      </c>
      <c r="B1548" s="12" t="s">
        <v>4713</v>
      </c>
      <c r="C1548" s="12" t="s">
        <v>7271</v>
      </c>
      <c r="D1548" s="13" t="s">
        <v>7272</v>
      </c>
    </row>
    <row r="1549" spans="1:4" x14ac:dyDescent="0.35">
      <c r="A1549" s="14" t="s">
        <v>813</v>
      </c>
      <c r="B1549" s="15" t="s">
        <v>4713</v>
      </c>
      <c r="C1549" s="15" t="s">
        <v>7273</v>
      </c>
      <c r="D1549" s="16" t="s">
        <v>7274</v>
      </c>
    </row>
    <row r="1550" spans="1:4" x14ac:dyDescent="0.35">
      <c r="A1550" s="11" t="s">
        <v>812</v>
      </c>
      <c r="B1550" s="12" t="s">
        <v>4716</v>
      </c>
      <c r="C1550" s="12" t="s">
        <v>7275</v>
      </c>
      <c r="D1550" s="13" t="s">
        <v>7276</v>
      </c>
    </row>
    <row r="1551" spans="1:4" x14ac:dyDescent="0.35">
      <c r="A1551" s="14" t="s">
        <v>811</v>
      </c>
      <c r="B1551" s="15" t="s">
        <v>4713</v>
      </c>
      <c r="C1551" s="15" t="s">
        <v>7277</v>
      </c>
      <c r="D1551" s="16" t="s">
        <v>4770</v>
      </c>
    </row>
    <row r="1552" spans="1:4" x14ac:dyDescent="0.35">
      <c r="A1552" s="11" t="s">
        <v>810</v>
      </c>
      <c r="B1552" s="12" t="s">
        <v>4716</v>
      </c>
      <c r="C1552" s="12" t="s">
        <v>7278</v>
      </c>
      <c r="D1552" s="13" t="s">
        <v>7279</v>
      </c>
    </row>
    <row r="1553" spans="1:4" x14ac:dyDescent="0.35">
      <c r="A1553" s="14" t="s">
        <v>809</v>
      </c>
      <c r="B1553" s="15" t="s">
        <v>4716</v>
      </c>
      <c r="C1553" s="15" t="s">
        <v>6827</v>
      </c>
      <c r="D1553" s="16" t="s">
        <v>5558</v>
      </c>
    </row>
    <row r="1554" spans="1:4" x14ac:dyDescent="0.35">
      <c r="A1554" s="11" t="s">
        <v>808</v>
      </c>
      <c r="B1554" s="12" t="s">
        <v>4716</v>
      </c>
      <c r="C1554" s="12" t="s">
        <v>7280</v>
      </c>
      <c r="D1554" s="13" t="s">
        <v>7281</v>
      </c>
    </row>
    <row r="1555" spans="1:4" x14ac:dyDescent="0.35">
      <c r="A1555" s="14" t="s">
        <v>807</v>
      </c>
      <c r="B1555" s="15" t="s">
        <v>4713</v>
      </c>
      <c r="C1555" s="15" t="s">
        <v>7282</v>
      </c>
      <c r="D1555" s="16" t="s">
        <v>7283</v>
      </c>
    </row>
    <row r="1556" spans="1:4" x14ac:dyDescent="0.35">
      <c r="A1556" s="11" t="s">
        <v>806</v>
      </c>
      <c r="B1556" s="12" t="s">
        <v>4713</v>
      </c>
      <c r="C1556" s="12" t="s">
        <v>7284</v>
      </c>
      <c r="D1556" s="13" t="s">
        <v>5084</v>
      </c>
    </row>
    <row r="1557" spans="1:4" x14ac:dyDescent="0.35">
      <c r="A1557" s="14" t="s">
        <v>805</v>
      </c>
      <c r="B1557" s="15" t="s">
        <v>4716</v>
      </c>
      <c r="C1557" s="15" t="s">
        <v>6561</v>
      </c>
      <c r="D1557" s="16" t="s">
        <v>7285</v>
      </c>
    </row>
    <row r="1558" spans="1:4" x14ac:dyDescent="0.35">
      <c r="A1558" s="11" t="s">
        <v>804</v>
      </c>
      <c r="B1558" s="12" t="s">
        <v>4713</v>
      </c>
      <c r="C1558" s="12" t="s">
        <v>7286</v>
      </c>
      <c r="D1558" s="13" t="s">
        <v>7287</v>
      </c>
    </row>
    <row r="1559" spans="1:4" x14ac:dyDescent="0.35">
      <c r="A1559" s="14" t="s">
        <v>803</v>
      </c>
      <c r="B1559" s="15" t="s">
        <v>4713</v>
      </c>
      <c r="C1559" s="15" t="s">
        <v>7288</v>
      </c>
      <c r="D1559" s="16" t="s">
        <v>7054</v>
      </c>
    </row>
    <row r="1560" spans="1:4" x14ac:dyDescent="0.35">
      <c r="A1560" s="11" t="s">
        <v>802</v>
      </c>
      <c r="B1560" s="12" t="s">
        <v>4713</v>
      </c>
      <c r="C1560" s="12" t="s">
        <v>7289</v>
      </c>
      <c r="D1560" s="13" t="s">
        <v>7290</v>
      </c>
    </row>
    <row r="1561" spans="1:4" x14ac:dyDescent="0.35">
      <c r="A1561" s="14" t="s">
        <v>801</v>
      </c>
      <c r="B1561" s="15" t="s">
        <v>4713</v>
      </c>
      <c r="C1561" s="15" t="s">
        <v>7291</v>
      </c>
      <c r="D1561" s="16" t="s">
        <v>7292</v>
      </c>
    </row>
    <row r="1562" spans="1:4" x14ac:dyDescent="0.35">
      <c r="A1562" s="11" t="s">
        <v>800</v>
      </c>
      <c r="B1562" s="12" t="s">
        <v>4716</v>
      </c>
      <c r="C1562" s="12" t="s">
        <v>7293</v>
      </c>
      <c r="D1562" s="13" t="s">
        <v>7294</v>
      </c>
    </row>
    <row r="1563" spans="1:4" x14ac:dyDescent="0.35">
      <c r="A1563" s="14" t="s">
        <v>799</v>
      </c>
      <c r="B1563" s="15" t="s">
        <v>4716</v>
      </c>
      <c r="C1563" s="15" t="s">
        <v>7295</v>
      </c>
      <c r="D1563" s="16" t="s">
        <v>7296</v>
      </c>
    </row>
    <row r="1564" spans="1:4" x14ac:dyDescent="0.35">
      <c r="A1564" s="11" t="s">
        <v>798</v>
      </c>
      <c r="B1564" s="12" t="s">
        <v>4716</v>
      </c>
      <c r="C1564" s="12" t="s">
        <v>7297</v>
      </c>
      <c r="D1564" s="13" t="s">
        <v>7298</v>
      </c>
    </row>
    <row r="1565" spans="1:4" x14ac:dyDescent="0.35">
      <c r="A1565" s="14" t="s">
        <v>797</v>
      </c>
      <c r="B1565" s="15" t="s">
        <v>4716</v>
      </c>
      <c r="C1565" s="15" t="s">
        <v>5599</v>
      </c>
      <c r="D1565" s="16" t="s">
        <v>5008</v>
      </c>
    </row>
    <row r="1566" spans="1:4" x14ac:dyDescent="0.35">
      <c r="A1566" s="11" t="s">
        <v>796</v>
      </c>
      <c r="B1566" s="12" t="s">
        <v>4716</v>
      </c>
      <c r="C1566" s="12" t="s">
        <v>6241</v>
      </c>
      <c r="D1566" s="13" t="s">
        <v>7299</v>
      </c>
    </row>
    <row r="1567" spans="1:4" x14ac:dyDescent="0.35">
      <c r="A1567" s="14" t="s">
        <v>795</v>
      </c>
      <c r="B1567" s="15" t="s">
        <v>4713</v>
      </c>
      <c r="C1567" s="15" t="s">
        <v>7300</v>
      </c>
      <c r="D1567" s="16" t="s">
        <v>7301</v>
      </c>
    </row>
    <row r="1568" spans="1:4" x14ac:dyDescent="0.35">
      <c r="A1568" s="11" t="s">
        <v>794</v>
      </c>
      <c r="B1568" s="12" t="s">
        <v>4713</v>
      </c>
      <c r="C1568" s="12" t="s">
        <v>7302</v>
      </c>
      <c r="D1568" s="13" t="s">
        <v>5387</v>
      </c>
    </row>
    <row r="1569" spans="1:4" x14ac:dyDescent="0.35">
      <c r="A1569" s="14" t="s">
        <v>793</v>
      </c>
      <c r="B1569" s="15" t="s">
        <v>4716</v>
      </c>
      <c r="C1569" s="15" t="s">
        <v>5671</v>
      </c>
      <c r="D1569" s="16" t="s">
        <v>7303</v>
      </c>
    </row>
    <row r="1570" spans="1:4" x14ac:dyDescent="0.35">
      <c r="A1570" s="11" t="s">
        <v>792</v>
      </c>
      <c r="B1570" s="12" t="s">
        <v>4713</v>
      </c>
      <c r="C1570" s="12" t="s">
        <v>7304</v>
      </c>
      <c r="D1570" s="13" t="s">
        <v>7305</v>
      </c>
    </row>
    <row r="1571" spans="1:4" x14ac:dyDescent="0.35">
      <c r="A1571" s="14" t="s">
        <v>791</v>
      </c>
      <c r="B1571" s="15" t="s">
        <v>4716</v>
      </c>
      <c r="C1571" s="15" t="s">
        <v>7306</v>
      </c>
      <c r="D1571" s="16" t="s">
        <v>6494</v>
      </c>
    </row>
    <row r="1572" spans="1:4" x14ac:dyDescent="0.35">
      <c r="A1572" s="11" t="s">
        <v>790</v>
      </c>
      <c r="B1572" s="12" t="s">
        <v>4713</v>
      </c>
      <c r="C1572" s="12" t="s">
        <v>7307</v>
      </c>
      <c r="D1572" s="13" t="s">
        <v>6502</v>
      </c>
    </row>
    <row r="1573" spans="1:4" x14ac:dyDescent="0.35">
      <c r="A1573" s="14" t="s">
        <v>789</v>
      </c>
      <c r="B1573" s="15" t="s">
        <v>4716</v>
      </c>
      <c r="C1573" s="15" t="s">
        <v>5583</v>
      </c>
      <c r="D1573" s="16" t="s">
        <v>7308</v>
      </c>
    </row>
    <row r="1574" spans="1:4" x14ac:dyDescent="0.35">
      <c r="A1574" s="11" t="s">
        <v>788</v>
      </c>
      <c r="B1574" s="12" t="s">
        <v>4716</v>
      </c>
      <c r="C1574" s="12" t="s">
        <v>7309</v>
      </c>
      <c r="D1574" s="13" t="s">
        <v>7310</v>
      </c>
    </row>
    <row r="1575" spans="1:4" x14ac:dyDescent="0.35">
      <c r="A1575" s="14" t="s">
        <v>787</v>
      </c>
      <c r="B1575" s="15" t="s">
        <v>4716</v>
      </c>
      <c r="C1575" s="15" t="s">
        <v>7311</v>
      </c>
      <c r="D1575" s="16" t="s">
        <v>7312</v>
      </c>
    </row>
    <row r="1576" spans="1:4" x14ac:dyDescent="0.35">
      <c r="A1576" s="11" t="s">
        <v>786</v>
      </c>
      <c r="B1576" s="12" t="s">
        <v>4716</v>
      </c>
      <c r="C1576" s="12" t="s">
        <v>7313</v>
      </c>
      <c r="D1576" s="13" t="s">
        <v>4762</v>
      </c>
    </row>
    <row r="1577" spans="1:4" x14ac:dyDescent="0.35">
      <c r="A1577" s="14" t="s">
        <v>785</v>
      </c>
      <c r="B1577" s="15" t="s">
        <v>4713</v>
      </c>
      <c r="C1577" s="15" t="s">
        <v>5697</v>
      </c>
      <c r="D1577" s="16" t="s">
        <v>7314</v>
      </c>
    </row>
    <row r="1578" spans="1:4" x14ac:dyDescent="0.35">
      <c r="A1578" s="11" t="s">
        <v>784</v>
      </c>
      <c r="B1578" s="12" t="s">
        <v>4716</v>
      </c>
      <c r="C1578" s="12" t="s">
        <v>7315</v>
      </c>
      <c r="D1578" s="13" t="s">
        <v>7316</v>
      </c>
    </row>
    <row r="1579" spans="1:4" x14ac:dyDescent="0.35">
      <c r="A1579" s="14" t="s">
        <v>783</v>
      </c>
      <c r="B1579" s="15" t="s">
        <v>4716</v>
      </c>
      <c r="C1579" s="15" t="s">
        <v>7317</v>
      </c>
      <c r="D1579" s="16" t="s">
        <v>7318</v>
      </c>
    </row>
    <row r="1580" spans="1:4" x14ac:dyDescent="0.35">
      <c r="A1580" s="11" t="s">
        <v>782</v>
      </c>
      <c r="B1580" s="12" t="s">
        <v>4713</v>
      </c>
      <c r="C1580" s="12" t="s">
        <v>5868</v>
      </c>
      <c r="D1580" s="13" t="s">
        <v>7319</v>
      </c>
    </row>
    <row r="1581" spans="1:4" x14ac:dyDescent="0.35">
      <c r="A1581" s="14" t="s">
        <v>781</v>
      </c>
      <c r="B1581" s="15" t="s">
        <v>4716</v>
      </c>
      <c r="C1581" s="15" t="s">
        <v>7320</v>
      </c>
      <c r="D1581" s="16" t="s">
        <v>5010</v>
      </c>
    </row>
    <row r="1582" spans="1:4" x14ac:dyDescent="0.35">
      <c r="A1582" s="11" t="s">
        <v>780</v>
      </c>
      <c r="B1582" s="12" t="s">
        <v>4716</v>
      </c>
      <c r="C1582" s="12" t="s">
        <v>7321</v>
      </c>
      <c r="D1582" s="13" t="s">
        <v>7322</v>
      </c>
    </row>
    <row r="1583" spans="1:4" x14ac:dyDescent="0.35">
      <c r="A1583" s="14" t="s">
        <v>779</v>
      </c>
      <c r="B1583" s="15" t="s">
        <v>4716</v>
      </c>
      <c r="C1583" s="15" t="s">
        <v>5338</v>
      </c>
      <c r="D1583" s="16" t="s">
        <v>7323</v>
      </c>
    </row>
    <row r="1584" spans="1:4" x14ac:dyDescent="0.35">
      <c r="A1584" s="11" t="s">
        <v>778</v>
      </c>
      <c r="B1584" s="12" t="s">
        <v>5590</v>
      </c>
      <c r="C1584" s="12" t="s">
        <v>7324</v>
      </c>
      <c r="D1584" s="13" t="s">
        <v>7325</v>
      </c>
    </row>
    <row r="1585" spans="1:4" x14ac:dyDescent="0.35">
      <c r="A1585" s="14" t="s">
        <v>777</v>
      </c>
      <c r="B1585" s="15" t="s">
        <v>4713</v>
      </c>
      <c r="C1585" s="15" t="s">
        <v>7326</v>
      </c>
      <c r="D1585" s="16" t="s">
        <v>7327</v>
      </c>
    </row>
    <row r="1586" spans="1:4" x14ac:dyDescent="0.35">
      <c r="A1586" s="11" t="s">
        <v>776</v>
      </c>
      <c r="B1586" s="12" t="s">
        <v>5590</v>
      </c>
      <c r="C1586" s="12" t="s">
        <v>7328</v>
      </c>
      <c r="D1586" s="13" t="s">
        <v>7329</v>
      </c>
    </row>
    <row r="1587" spans="1:4" x14ac:dyDescent="0.35">
      <c r="A1587" s="14" t="s">
        <v>775</v>
      </c>
      <c r="B1587" s="15" t="s">
        <v>4713</v>
      </c>
      <c r="C1587" s="15" t="s">
        <v>7330</v>
      </c>
      <c r="D1587" s="16" t="s">
        <v>7331</v>
      </c>
    </row>
    <row r="1588" spans="1:4" x14ac:dyDescent="0.35">
      <c r="A1588" s="11" t="s">
        <v>774</v>
      </c>
      <c r="B1588" s="12" t="s">
        <v>4716</v>
      </c>
      <c r="C1588" s="12" t="s">
        <v>7332</v>
      </c>
      <c r="D1588" s="13" t="s">
        <v>7333</v>
      </c>
    </row>
    <row r="1589" spans="1:4" x14ac:dyDescent="0.35">
      <c r="A1589" s="14" t="s">
        <v>773</v>
      </c>
      <c r="B1589" s="15" t="s">
        <v>4716</v>
      </c>
      <c r="C1589" s="15" t="s">
        <v>7334</v>
      </c>
      <c r="D1589" s="16" t="s">
        <v>7335</v>
      </c>
    </row>
    <row r="1590" spans="1:4" x14ac:dyDescent="0.35">
      <c r="A1590" s="11" t="s">
        <v>772</v>
      </c>
      <c r="B1590" s="12" t="s">
        <v>4713</v>
      </c>
      <c r="C1590" s="12" t="s">
        <v>7336</v>
      </c>
      <c r="D1590" s="13" t="s">
        <v>7337</v>
      </c>
    </row>
    <row r="1591" spans="1:4" x14ac:dyDescent="0.35">
      <c r="A1591" s="14" t="s">
        <v>771</v>
      </c>
      <c r="B1591" s="15" t="s">
        <v>4716</v>
      </c>
      <c r="C1591" s="15" t="s">
        <v>5272</v>
      </c>
      <c r="D1591" s="16" t="s">
        <v>5471</v>
      </c>
    </row>
    <row r="1592" spans="1:4" x14ac:dyDescent="0.35">
      <c r="A1592" s="11" t="s">
        <v>770</v>
      </c>
      <c r="B1592" s="12" t="s">
        <v>4716</v>
      </c>
      <c r="C1592" s="12" t="s">
        <v>7338</v>
      </c>
      <c r="D1592" s="13" t="s">
        <v>5645</v>
      </c>
    </row>
    <row r="1593" spans="1:4" x14ac:dyDescent="0.35">
      <c r="A1593" s="14" t="s">
        <v>769</v>
      </c>
      <c r="B1593" s="15" t="s">
        <v>4716</v>
      </c>
      <c r="C1593" s="15" t="s">
        <v>7339</v>
      </c>
      <c r="D1593" s="16" t="s">
        <v>5125</v>
      </c>
    </row>
    <row r="1594" spans="1:4" x14ac:dyDescent="0.35">
      <c r="A1594" s="11" t="s">
        <v>768</v>
      </c>
      <c r="B1594" s="12" t="s">
        <v>5590</v>
      </c>
      <c r="C1594" s="12" t="s">
        <v>7340</v>
      </c>
      <c r="D1594" s="13" t="s">
        <v>5661</v>
      </c>
    </row>
    <row r="1595" spans="1:4" x14ac:dyDescent="0.35">
      <c r="A1595" s="14" t="s">
        <v>767</v>
      </c>
      <c r="B1595" s="15" t="s">
        <v>4716</v>
      </c>
      <c r="C1595" s="15" t="s">
        <v>7341</v>
      </c>
      <c r="D1595" s="16" t="s">
        <v>7342</v>
      </c>
    </row>
    <row r="1596" spans="1:4" x14ac:dyDescent="0.35">
      <c r="A1596" s="11" t="s">
        <v>766</v>
      </c>
      <c r="B1596" s="12" t="s">
        <v>4713</v>
      </c>
      <c r="C1596" s="12" t="s">
        <v>7343</v>
      </c>
      <c r="D1596" s="13" t="s">
        <v>5076</v>
      </c>
    </row>
    <row r="1597" spans="1:4" x14ac:dyDescent="0.35">
      <c r="A1597" s="14" t="s">
        <v>765</v>
      </c>
      <c r="B1597" s="15" t="s">
        <v>5590</v>
      </c>
      <c r="C1597" s="15" t="s">
        <v>7344</v>
      </c>
      <c r="D1597" s="16" t="s">
        <v>7345</v>
      </c>
    </row>
    <row r="1598" spans="1:4" x14ac:dyDescent="0.35">
      <c r="A1598" s="11" t="s">
        <v>764</v>
      </c>
      <c r="B1598" s="12" t="s">
        <v>4716</v>
      </c>
      <c r="C1598" s="12" t="s">
        <v>7346</v>
      </c>
      <c r="D1598" s="13" t="s">
        <v>7347</v>
      </c>
    </row>
    <row r="1599" spans="1:4" x14ac:dyDescent="0.35">
      <c r="A1599" s="14" t="s">
        <v>763</v>
      </c>
      <c r="B1599" s="15" t="s">
        <v>4716</v>
      </c>
      <c r="C1599" s="15" t="s">
        <v>7348</v>
      </c>
      <c r="D1599" s="16" t="s">
        <v>7349</v>
      </c>
    </row>
    <row r="1600" spans="1:4" x14ac:dyDescent="0.35">
      <c r="A1600" s="11" t="s">
        <v>762</v>
      </c>
      <c r="B1600" s="12" t="s">
        <v>4716</v>
      </c>
      <c r="C1600" s="12" t="s">
        <v>6310</v>
      </c>
      <c r="D1600" s="13" t="s">
        <v>7350</v>
      </c>
    </row>
    <row r="1601" spans="1:4" x14ac:dyDescent="0.35">
      <c r="A1601" s="14" t="s">
        <v>761</v>
      </c>
      <c r="B1601" s="15" t="s">
        <v>4716</v>
      </c>
      <c r="C1601" s="15" t="s">
        <v>7351</v>
      </c>
      <c r="D1601" s="16" t="s">
        <v>5436</v>
      </c>
    </row>
    <row r="1602" spans="1:4" x14ac:dyDescent="0.35">
      <c r="A1602" s="11" t="s">
        <v>760</v>
      </c>
      <c r="B1602" s="12" t="s">
        <v>4713</v>
      </c>
      <c r="C1602" s="12" t="s">
        <v>7352</v>
      </c>
      <c r="D1602" s="13" t="s">
        <v>7353</v>
      </c>
    </row>
    <row r="1603" spans="1:4" x14ac:dyDescent="0.35">
      <c r="A1603" s="14" t="s">
        <v>759</v>
      </c>
      <c r="B1603" s="15" t="s">
        <v>4716</v>
      </c>
      <c r="C1603" s="15" t="s">
        <v>7354</v>
      </c>
      <c r="D1603" s="16" t="s">
        <v>6226</v>
      </c>
    </row>
    <row r="1604" spans="1:4" x14ac:dyDescent="0.35">
      <c r="A1604" s="11" t="s">
        <v>758</v>
      </c>
      <c r="B1604" s="12" t="s">
        <v>4716</v>
      </c>
      <c r="C1604" s="12" t="s">
        <v>7355</v>
      </c>
      <c r="D1604" s="13" t="s">
        <v>4970</v>
      </c>
    </row>
    <row r="1605" spans="1:4" x14ac:dyDescent="0.35">
      <c r="A1605" s="14" t="s">
        <v>757</v>
      </c>
      <c r="B1605" s="15" t="s">
        <v>4716</v>
      </c>
      <c r="C1605" s="15" t="s">
        <v>6106</v>
      </c>
      <c r="D1605" s="16" t="s">
        <v>7356</v>
      </c>
    </row>
    <row r="1606" spans="1:4" x14ac:dyDescent="0.35">
      <c r="A1606" s="11" t="s">
        <v>756</v>
      </c>
      <c r="B1606" s="12" t="s">
        <v>5590</v>
      </c>
      <c r="C1606" s="12" t="s">
        <v>7357</v>
      </c>
      <c r="D1606" s="13" t="s">
        <v>6803</v>
      </c>
    </row>
    <row r="1607" spans="1:4" x14ac:dyDescent="0.35">
      <c r="A1607" s="14" t="s">
        <v>755</v>
      </c>
      <c r="B1607" s="15" t="s">
        <v>4716</v>
      </c>
      <c r="C1607" s="15" t="s">
        <v>7358</v>
      </c>
      <c r="D1607" s="16" t="s">
        <v>4895</v>
      </c>
    </row>
    <row r="1608" spans="1:4" x14ac:dyDescent="0.35">
      <c r="A1608" s="11" t="s">
        <v>754</v>
      </c>
      <c r="B1608" s="12" t="s">
        <v>4716</v>
      </c>
      <c r="C1608" s="12" t="s">
        <v>5599</v>
      </c>
      <c r="D1608" s="13" t="s">
        <v>7359</v>
      </c>
    </row>
    <row r="1609" spans="1:4" x14ac:dyDescent="0.35">
      <c r="A1609" s="14" t="s">
        <v>753</v>
      </c>
      <c r="B1609" s="15" t="s">
        <v>4713</v>
      </c>
      <c r="C1609" s="15" t="s">
        <v>7360</v>
      </c>
      <c r="D1609" s="16" t="s">
        <v>7361</v>
      </c>
    </row>
    <row r="1610" spans="1:4" x14ac:dyDescent="0.35">
      <c r="A1610" s="11" t="s">
        <v>752</v>
      </c>
      <c r="B1610" s="12" t="s">
        <v>4713</v>
      </c>
      <c r="C1610" s="12" t="s">
        <v>7362</v>
      </c>
      <c r="D1610" s="13" t="s">
        <v>5661</v>
      </c>
    </row>
    <row r="1611" spans="1:4" x14ac:dyDescent="0.35">
      <c r="A1611" s="14" t="s">
        <v>751</v>
      </c>
      <c r="B1611" s="15" t="s">
        <v>4713</v>
      </c>
      <c r="C1611" s="15" t="s">
        <v>7363</v>
      </c>
      <c r="D1611" s="16" t="s">
        <v>7364</v>
      </c>
    </row>
    <row r="1612" spans="1:4" x14ac:dyDescent="0.35">
      <c r="A1612" s="11" t="s">
        <v>750</v>
      </c>
      <c r="B1612" s="12" t="s">
        <v>4713</v>
      </c>
      <c r="C1612" s="12" t="s">
        <v>7365</v>
      </c>
      <c r="D1612" s="13" t="s">
        <v>7366</v>
      </c>
    </row>
    <row r="1613" spans="1:4" x14ac:dyDescent="0.35">
      <c r="A1613" s="14" t="s">
        <v>749</v>
      </c>
      <c r="B1613" s="15" t="s">
        <v>4713</v>
      </c>
      <c r="C1613" s="15" t="s">
        <v>7367</v>
      </c>
      <c r="D1613" s="16" t="s">
        <v>5447</v>
      </c>
    </row>
    <row r="1614" spans="1:4" x14ac:dyDescent="0.35">
      <c r="A1614" s="11" t="s">
        <v>748</v>
      </c>
      <c r="B1614" s="12" t="s">
        <v>4716</v>
      </c>
      <c r="C1614" s="12" t="s">
        <v>7368</v>
      </c>
      <c r="D1614" s="13" t="s">
        <v>7369</v>
      </c>
    </row>
    <row r="1615" spans="1:4" x14ac:dyDescent="0.35">
      <c r="A1615" s="14" t="s">
        <v>747</v>
      </c>
      <c r="B1615" s="15" t="s">
        <v>4713</v>
      </c>
      <c r="C1615" s="15" t="s">
        <v>7370</v>
      </c>
      <c r="D1615" s="16" t="s">
        <v>7371</v>
      </c>
    </row>
    <row r="1616" spans="1:4" x14ac:dyDescent="0.35">
      <c r="A1616" s="11" t="s">
        <v>746</v>
      </c>
      <c r="B1616" s="12" t="s">
        <v>4716</v>
      </c>
      <c r="C1616" s="12" t="s">
        <v>7372</v>
      </c>
      <c r="D1616" s="13" t="s">
        <v>5140</v>
      </c>
    </row>
    <row r="1617" spans="1:4" x14ac:dyDescent="0.35">
      <c r="A1617" s="14" t="s">
        <v>745</v>
      </c>
      <c r="B1617" s="15" t="s">
        <v>4713</v>
      </c>
      <c r="C1617" s="15" t="s">
        <v>7373</v>
      </c>
      <c r="D1617" s="16" t="s">
        <v>7374</v>
      </c>
    </row>
    <row r="1618" spans="1:4" x14ac:dyDescent="0.35">
      <c r="A1618" s="11" t="s">
        <v>744</v>
      </c>
      <c r="B1618" s="12" t="s">
        <v>4716</v>
      </c>
      <c r="C1618" s="12" t="s">
        <v>7375</v>
      </c>
      <c r="D1618" s="13" t="s">
        <v>7376</v>
      </c>
    </row>
    <row r="1619" spans="1:4" x14ac:dyDescent="0.35">
      <c r="A1619" s="14" t="s">
        <v>743</v>
      </c>
      <c r="B1619" s="15" t="s">
        <v>4713</v>
      </c>
      <c r="C1619" s="15" t="s">
        <v>7377</v>
      </c>
      <c r="D1619" s="16" t="s">
        <v>6419</v>
      </c>
    </row>
    <row r="1620" spans="1:4" x14ac:dyDescent="0.35">
      <c r="A1620" s="11" t="s">
        <v>742</v>
      </c>
      <c r="B1620" s="12" t="s">
        <v>4716</v>
      </c>
      <c r="C1620" s="12" t="s">
        <v>4814</v>
      </c>
      <c r="D1620" s="13" t="s">
        <v>7378</v>
      </c>
    </row>
    <row r="1621" spans="1:4" x14ac:dyDescent="0.35">
      <c r="A1621" s="14" t="s">
        <v>741</v>
      </c>
      <c r="B1621" s="15" t="s">
        <v>4713</v>
      </c>
      <c r="C1621" s="15" t="s">
        <v>7379</v>
      </c>
      <c r="D1621" s="16" t="s">
        <v>7380</v>
      </c>
    </row>
    <row r="1622" spans="1:4" x14ac:dyDescent="0.35">
      <c r="A1622" s="11" t="s">
        <v>740</v>
      </c>
      <c r="B1622" s="12" t="s">
        <v>4713</v>
      </c>
      <c r="C1622" s="12" t="s">
        <v>7381</v>
      </c>
      <c r="D1622" s="13" t="s">
        <v>7382</v>
      </c>
    </row>
    <row r="1623" spans="1:4" x14ac:dyDescent="0.35">
      <c r="A1623" s="14" t="s">
        <v>739</v>
      </c>
      <c r="B1623" s="15" t="s">
        <v>4716</v>
      </c>
      <c r="C1623" s="15" t="s">
        <v>7383</v>
      </c>
      <c r="D1623" s="16" t="s">
        <v>5064</v>
      </c>
    </row>
    <row r="1624" spans="1:4" x14ac:dyDescent="0.35">
      <c r="A1624" s="11" t="s">
        <v>738</v>
      </c>
      <c r="B1624" s="12" t="s">
        <v>4716</v>
      </c>
      <c r="C1624" s="12" t="s">
        <v>7384</v>
      </c>
      <c r="D1624" s="13" t="s">
        <v>5798</v>
      </c>
    </row>
    <row r="1625" spans="1:4" x14ac:dyDescent="0.35">
      <c r="A1625" s="14" t="s">
        <v>737</v>
      </c>
      <c r="B1625" s="15" t="s">
        <v>4713</v>
      </c>
      <c r="C1625" s="15" t="s">
        <v>7385</v>
      </c>
      <c r="D1625" s="16" t="s">
        <v>5490</v>
      </c>
    </row>
    <row r="1626" spans="1:4" x14ac:dyDescent="0.35">
      <c r="A1626" s="11" t="s">
        <v>736</v>
      </c>
      <c r="B1626" s="12" t="s">
        <v>4713</v>
      </c>
      <c r="C1626" s="12" t="s">
        <v>7386</v>
      </c>
      <c r="D1626" s="13" t="s">
        <v>4885</v>
      </c>
    </row>
    <row r="1627" spans="1:4" x14ac:dyDescent="0.35">
      <c r="A1627" s="14" t="s">
        <v>735</v>
      </c>
      <c r="B1627" s="15" t="s">
        <v>5590</v>
      </c>
      <c r="C1627" s="15" t="s">
        <v>6477</v>
      </c>
      <c r="D1627" s="16" t="s">
        <v>7387</v>
      </c>
    </row>
    <row r="1628" spans="1:4" x14ac:dyDescent="0.35">
      <c r="A1628" s="11" t="s">
        <v>734</v>
      </c>
      <c r="B1628" s="12" t="s">
        <v>4713</v>
      </c>
      <c r="C1628" s="12" t="s">
        <v>7388</v>
      </c>
      <c r="D1628" s="13" t="s">
        <v>7389</v>
      </c>
    </row>
    <row r="1629" spans="1:4" x14ac:dyDescent="0.35">
      <c r="A1629" s="14" t="s">
        <v>733</v>
      </c>
      <c r="B1629" s="15" t="s">
        <v>4716</v>
      </c>
      <c r="C1629" s="15" t="s">
        <v>7390</v>
      </c>
      <c r="D1629" s="16" t="s">
        <v>4877</v>
      </c>
    </row>
    <row r="1630" spans="1:4" x14ac:dyDescent="0.35">
      <c r="A1630" s="11" t="s">
        <v>732</v>
      </c>
      <c r="B1630" s="12" t="s">
        <v>4716</v>
      </c>
      <c r="C1630" s="12" t="s">
        <v>7391</v>
      </c>
      <c r="D1630" s="13" t="s">
        <v>7392</v>
      </c>
    </row>
    <row r="1631" spans="1:4" x14ac:dyDescent="0.35">
      <c r="A1631" s="14" t="s">
        <v>731</v>
      </c>
      <c r="B1631" s="15" t="s">
        <v>4713</v>
      </c>
      <c r="C1631" s="15" t="s">
        <v>7393</v>
      </c>
      <c r="D1631" s="16" t="s">
        <v>7394</v>
      </c>
    </row>
    <row r="1632" spans="1:4" x14ac:dyDescent="0.35">
      <c r="A1632" s="11" t="s">
        <v>730</v>
      </c>
      <c r="B1632" s="12" t="s">
        <v>4716</v>
      </c>
      <c r="C1632" s="12" t="s">
        <v>6467</v>
      </c>
      <c r="D1632" s="13" t="s">
        <v>5140</v>
      </c>
    </row>
    <row r="1633" spans="1:4" x14ac:dyDescent="0.35">
      <c r="A1633" s="14" t="s">
        <v>729</v>
      </c>
      <c r="B1633" s="15" t="s">
        <v>4716</v>
      </c>
      <c r="C1633" s="15" t="s">
        <v>7254</v>
      </c>
      <c r="D1633" s="16" t="s">
        <v>7395</v>
      </c>
    </row>
    <row r="1634" spans="1:4" x14ac:dyDescent="0.35">
      <c r="A1634" s="11" t="s">
        <v>728</v>
      </c>
      <c r="B1634" s="12" t="s">
        <v>4713</v>
      </c>
      <c r="C1634" s="12" t="s">
        <v>7396</v>
      </c>
      <c r="D1634" s="13" t="s">
        <v>6695</v>
      </c>
    </row>
    <row r="1635" spans="1:4" x14ac:dyDescent="0.35">
      <c r="A1635" s="14" t="s">
        <v>727</v>
      </c>
      <c r="B1635" s="15" t="s">
        <v>4716</v>
      </c>
      <c r="C1635" s="15" t="s">
        <v>7397</v>
      </c>
      <c r="D1635" s="16" t="s">
        <v>7398</v>
      </c>
    </row>
    <row r="1636" spans="1:4" x14ac:dyDescent="0.35">
      <c r="A1636" s="11" t="s">
        <v>726</v>
      </c>
      <c r="B1636" s="12" t="s">
        <v>4713</v>
      </c>
      <c r="C1636" s="12" t="s">
        <v>7399</v>
      </c>
      <c r="D1636" s="13" t="s">
        <v>7400</v>
      </c>
    </row>
    <row r="1637" spans="1:4" x14ac:dyDescent="0.35">
      <c r="A1637" s="14" t="s">
        <v>725</v>
      </c>
      <c r="B1637" s="15" t="s">
        <v>4713</v>
      </c>
      <c r="C1637" s="15" t="s">
        <v>7401</v>
      </c>
      <c r="D1637" s="16" t="s">
        <v>5594</v>
      </c>
    </row>
    <row r="1638" spans="1:4" x14ac:dyDescent="0.35">
      <c r="A1638" s="11" t="s">
        <v>724</v>
      </c>
      <c r="B1638" s="12" t="s">
        <v>4713</v>
      </c>
      <c r="C1638" s="12" t="s">
        <v>7402</v>
      </c>
      <c r="D1638" s="13" t="s">
        <v>7403</v>
      </c>
    </row>
    <row r="1639" spans="1:4" x14ac:dyDescent="0.35">
      <c r="A1639" s="14" t="s">
        <v>723</v>
      </c>
      <c r="B1639" s="15" t="s">
        <v>4713</v>
      </c>
      <c r="C1639" s="15" t="s">
        <v>6969</v>
      </c>
      <c r="D1639" s="16" t="s">
        <v>7404</v>
      </c>
    </row>
    <row r="1640" spans="1:4" x14ac:dyDescent="0.35">
      <c r="A1640" s="11" t="s">
        <v>722</v>
      </c>
      <c r="B1640" s="12" t="s">
        <v>4716</v>
      </c>
      <c r="C1640" s="12" t="s">
        <v>5171</v>
      </c>
      <c r="D1640" s="13" t="s">
        <v>7405</v>
      </c>
    </row>
    <row r="1641" spans="1:4" x14ac:dyDescent="0.35">
      <c r="A1641" s="14" t="s">
        <v>721</v>
      </c>
      <c r="B1641" s="15" t="s">
        <v>4713</v>
      </c>
      <c r="C1641" s="15" t="s">
        <v>7406</v>
      </c>
      <c r="D1641" s="16" t="s">
        <v>7407</v>
      </c>
    </row>
    <row r="1642" spans="1:4" x14ac:dyDescent="0.35">
      <c r="A1642" s="11" t="s">
        <v>720</v>
      </c>
      <c r="B1642" s="12" t="s">
        <v>4713</v>
      </c>
      <c r="C1642" s="12" t="s">
        <v>7408</v>
      </c>
      <c r="D1642" s="13" t="s">
        <v>7409</v>
      </c>
    </row>
    <row r="1643" spans="1:4" x14ac:dyDescent="0.35">
      <c r="A1643" s="14" t="s">
        <v>719</v>
      </c>
      <c r="B1643" s="15" t="s">
        <v>4713</v>
      </c>
      <c r="C1643" s="15" t="s">
        <v>5546</v>
      </c>
      <c r="D1643" s="16" t="s">
        <v>5551</v>
      </c>
    </row>
    <row r="1644" spans="1:4" x14ac:dyDescent="0.35">
      <c r="A1644" s="11" t="s">
        <v>718</v>
      </c>
      <c r="B1644" s="12" t="s">
        <v>4713</v>
      </c>
      <c r="C1644" s="12" t="s">
        <v>7410</v>
      </c>
      <c r="D1644" s="13" t="s">
        <v>5643</v>
      </c>
    </row>
    <row r="1645" spans="1:4" x14ac:dyDescent="0.35">
      <c r="A1645" s="14" t="s">
        <v>717</v>
      </c>
      <c r="B1645" s="15" t="s">
        <v>4716</v>
      </c>
      <c r="C1645" s="15" t="s">
        <v>5699</v>
      </c>
      <c r="D1645" s="16" t="s">
        <v>5041</v>
      </c>
    </row>
    <row r="1646" spans="1:4" x14ac:dyDescent="0.35">
      <c r="A1646" s="11" t="s">
        <v>716</v>
      </c>
      <c r="B1646" s="12" t="s">
        <v>4716</v>
      </c>
      <c r="C1646" s="12" t="s">
        <v>6090</v>
      </c>
      <c r="D1646" s="13" t="s">
        <v>7411</v>
      </c>
    </row>
    <row r="1647" spans="1:4" x14ac:dyDescent="0.35">
      <c r="A1647" s="14" t="s">
        <v>715</v>
      </c>
      <c r="B1647" s="15" t="s">
        <v>5590</v>
      </c>
      <c r="C1647" s="15" t="s">
        <v>7412</v>
      </c>
      <c r="D1647" s="16" t="s">
        <v>6818</v>
      </c>
    </row>
    <row r="1648" spans="1:4" x14ac:dyDescent="0.35">
      <c r="A1648" s="11" t="s">
        <v>714</v>
      </c>
      <c r="B1648" s="12" t="s">
        <v>4716</v>
      </c>
      <c r="C1648" s="12" t="s">
        <v>7413</v>
      </c>
      <c r="D1648" s="13" t="s">
        <v>5049</v>
      </c>
    </row>
    <row r="1649" spans="1:4" x14ac:dyDescent="0.35">
      <c r="A1649" s="14" t="s">
        <v>713</v>
      </c>
      <c r="B1649" s="15" t="s">
        <v>4716</v>
      </c>
      <c r="C1649" s="15" t="s">
        <v>7414</v>
      </c>
      <c r="D1649" s="16" t="s">
        <v>5172</v>
      </c>
    </row>
    <row r="1650" spans="1:4" x14ac:dyDescent="0.35">
      <c r="A1650" s="11" t="s">
        <v>712</v>
      </c>
      <c r="B1650" s="12" t="s">
        <v>4713</v>
      </c>
      <c r="C1650" s="12" t="s">
        <v>5171</v>
      </c>
      <c r="D1650" s="13" t="s">
        <v>7374</v>
      </c>
    </row>
    <row r="1651" spans="1:4" x14ac:dyDescent="0.35">
      <c r="A1651" s="14" t="s">
        <v>711</v>
      </c>
      <c r="B1651" s="15" t="s">
        <v>5590</v>
      </c>
      <c r="C1651" s="15" t="s">
        <v>7415</v>
      </c>
      <c r="D1651" s="16" t="s">
        <v>4903</v>
      </c>
    </row>
    <row r="1652" spans="1:4" x14ac:dyDescent="0.35">
      <c r="A1652" s="11" t="s">
        <v>710</v>
      </c>
      <c r="B1652" s="12" t="s">
        <v>4716</v>
      </c>
      <c r="C1652" s="12" t="s">
        <v>7416</v>
      </c>
      <c r="D1652" s="13" t="s">
        <v>7417</v>
      </c>
    </row>
    <row r="1653" spans="1:4" x14ac:dyDescent="0.35">
      <c r="A1653" s="14" t="s">
        <v>709</v>
      </c>
      <c r="B1653" s="15" t="s">
        <v>4713</v>
      </c>
      <c r="C1653" s="15" t="s">
        <v>7418</v>
      </c>
      <c r="D1653" s="16" t="s">
        <v>7419</v>
      </c>
    </row>
    <row r="1654" spans="1:4" x14ac:dyDescent="0.35">
      <c r="A1654" s="11" t="s">
        <v>708</v>
      </c>
      <c r="B1654" s="12" t="s">
        <v>4713</v>
      </c>
      <c r="C1654" s="12" t="s">
        <v>7420</v>
      </c>
      <c r="D1654" s="13" t="s">
        <v>5600</v>
      </c>
    </row>
    <row r="1655" spans="1:4" x14ac:dyDescent="0.35">
      <c r="A1655" s="14" t="s">
        <v>707</v>
      </c>
      <c r="B1655" s="15" t="s">
        <v>4716</v>
      </c>
      <c r="C1655" s="15" t="s">
        <v>7421</v>
      </c>
      <c r="D1655" s="16" t="s">
        <v>7422</v>
      </c>
    </row>
    <row r="1656" spans="1:4" x14ac:dyDescent="0.35">
      <c r="A1656" s="11" t="s">
        <v>706</v>
      </c>
      <c r="B1656" s="12" t="s">
        <v>4716</v>
      </c>
      <c r="C1656" s="12" t="s">
        <v>7423</v>
      </c>
      <c r="D1656" s="13" t="s">
        <v>7424</v>
      </c>
    </row>
    <row r="1657" spans="1:4" x14ac:dyDescent="0.35">
      <c r="A1657" s="14" t="s">
        <v>705</v>
      </c>
      <c r="B1657" s="15" t="s">
        <v>4716</v>
      </c>
      <c r="C1657" s="15" t="s">
        <v>7425</v>
      </c>
      <c r="D1657" s="16" t="s">
        <v>4997</v>
      </c>
    </row>
    <row r="1658" spans="1:4" x14ac:dyDescent="0.35">
      <c r="A1658" s="11" t="s">
        <v>704</v>
      </c>
      <c r="B1658" s="12" t="s">
        <v>4713</v>
      </c>
      <c r="C1658" s="12" t="s">
        <v>5969</v>
      </c>
      <c r="D1658" s="13" t="s">
        <v>7426</v>
      </c>
    </row>
    <row r="1659" spans="1:4" x14ac:dyDescent="0.35">
      <c r="A1659" s="14" t="s">
        <v>703</v>
      </c>
      <c r="B1659" s="15" t="s">
        <v>5590</v>
      </c>
      <c r="C1659" s="15" t="s">
        <v>7427</v>
      </c>
      <c r="D1659" s="16" t="s">
        <v>7428</v>
      </c>
    </row>
    <row r="1660" spans="1:4" x14ac:dyDescent="0.35">
      <c r="A1660" s="11" t="s">
        <v>702</v>
      </c>
      <c r="B1660" s="12" t="s">
        <v>4713</v>
      </c>
      <c r="C1660" s="12" t="s">
        <v>6296</v>
      </c>
      <c r="D1660" s="13" t="s">
        <v>4715</v>
      </c>
    </row>
    <row r="1661" spans="1:4" x14ac:dyDescent="0.35">
      <c r="A1661" s="14" t="s">
        <v>701</v>
      </c>
      <c r="B1661" s="15" t="s">
        <v>4716</v>
      </c>
      <c r="C1661" s="15" t="s">
        <v>7429</v>
      </c>
      <c r="D1661" s="16" t="s">
        <v>7430</v>
      </c>
    </row>
    <row r="1662" spans="1:4" x14ac:dyDescent="0.35">
      <c r="A1662" s="11" t="s">
        <v>700</v>
      </c>
      <c r="B1662" s="12" t="s">
        <v>5590</v>
      </c>
      <c r="C1662" s="12" t="s">
        <v>7431</v>
      </c>
      <c r="D1662" s="13" t="s">
        <v>7432</v>
      </c>
    </row>
    <row r="1663" spans="1:4" x14ac:dyDescent="0.35">
      <c r="A1663" s="14" t="s">
        <v>699</v>
      </c>
      <c r="B1663" s="15" t="s">
        <v>4716</v>
      </c>
      <c r="C1663" s="15" t="s">
        <v>7433</v>
      </c>
      <c r="D1663" s="16" t="s">
        <v>5150</v>
      </c>
    </row>
    <row r="1664" spans="1:4" x14ac:dyDescent="0.35">
      <c r="A1664" s="11" t="s">
        <v>698</v>
      </c>
      <c r="B1664" s="12" t="s">
        <v>4713</v>
      </c>
      <c r="C1664" s="12" t="s">
        <v>7434</v>
      </c>
      <c r="D1664" s="13" t="s">
        <v>7435</v>
      </c>
    </row>
    <row r="1665" spans="1:4" x14ac:dyDescent="0.35">
      <c r="A1665" s="14" t="s">
        <v>697</v>
      </c>
      <c r="B1665" s="15" t="s">
        <v>4716</v>
      </c>
      <c r="C1665" s="15" t="s">
        <v>7436</v>
      </c>
      <c r="D1665" s="16" t="s">
        <v>7437</v>
      </c>
    </row>
    <row r="1666" spans="1:4" x14ac:dyDescent="0.35">
      <c r="A1666" s="11" t="s">
        <v>696</v>
      </c>
      <c r="B1666" s="12" t="s">
        <v>4716</v>
      </c>
      <c r="C1666" s="12" t="s">
        <v>7438</v>
      </c>
      <c r="D1666" s="13" t="s">
        <v>7439</v>
      </c>
    </row>
    <row r="1667" spans="1:4" x14ac:dyDescent="0.35">
      <c r="A1667" s="14" t="s">
        <v>695</v>
      </c>
      <c r="B1667" s="15" t="s">
        <v>4716</v>
      </c>
      <c r="C1667" s="15" t="s">
        <v>4844</v>
      </c>
      <c r="D1667" s="16" t="s">
        <v>7440</v>
      </c>
    </row>
    <row r="1668" spans="1:4" x14ac:dyDescent="0.35">
      <c r="A1668" s="11" t="s">
        <v>694</v>
      </c>
      <c r="B1668" s="12" t="s">
        <v>4716</v>
      </c>
      <c r="C1668" s="12" t="s">
        <v>7441</v>
      </c>
      <c r="D1668" s="13" t="s">
        <v>4793</v>
      </c>
    </row>
    <row r="1669" spans="1:4" x14ac:dyDescent="0.35">
      <c r="A1669" s="14" t="s">
        <v>693</v>
      </c>
      <c r="B1669" s="15" t="s">
        <v>4716</v>
      </c>
      <c r="C1669" s="15" t="s">
        <v>7442</v>
      </c>
      <c r="D1669" s="16" t="s">
        <v>7443</v>
      </c>
    </row>
    <row r="1670" spans="1:4" x14ac:dyDescent="0.35">
      <c r="A1670" s="11" t="s">
        <v>692</v>
      </c>
      <c r="B1670" s="12" t="s">
        <v>4716</v>
      </c>
      <c r="C1670" s="12" t="s">
        <v>5478</v>
      </c>
      <c r="D1670" s="13" t="s">
        <v>5014</v>
      </c>
    </row>
    <row r="1671" spans="1:4" x14ac:dyDescent="0.35">
      <c r="A1671" s="14" t="s">
        <v>691</v>
      </c>
      <c r="B1671" s="15" t="s">
        <v>4716</v>
      </c>
      <c r="C1671" s="15" t="s">
        <v>7444</v>
      </c>
      <c r="D1671" s="16" t="s">
        <v>7445</v>
      </c>
    </row>
    <row r="1672" spans="1:4" x14ac:dyDescent="0.35">
      <c r="A1672" s="11" t="s">
        <v>690</v>
      </c>
      <c r="B1672" s="12" t="s">
        <v>4713</v>
      </c>
      <c r="C1672" s="12" t="s">
        <v>6735</v>
      </c>
      <c r="D1672" s="13" t="s">
        <v>7446</v>
      </c>
    </row>
    <row r="1673" spans="1:4" x14ac:dyDescent="0.35">
      <c r="A1673" s="14" t="s">
        <v>689</v>
      </c>
      <c r="B1673" s="15" t="s">
        <v>4716</v>
      </c>
      <c r="C1673" s="15" t="s">
        <v>7447</v>
      </c>
      <c r="D1673" s="16" t="s">
        <v>7269</v>
      </c>
    </row>
    <row r="1674" spans="1:4" x14ac:dyDescent="0.35">
      <c r="A1674" s="11" t="s">
        <v>688</v>
      </c>
      <c r="B1674" s="12" t="s">
        <v>4713</v>
      </c>
      <c r="C1674" s="12" t="s">
        <v>7448</v>
      </c>
      <c r="D1674" s="13" t="s">
        <v>7272</v>
      </c>
    </row>
    <row r="1675" spans="1:4" x14ac:dyDescent="0.35">
      <c r="A1675" s="14" t="s">
        <v>687</v>
      </c>
      <c r="B1675" s="15" t="s">
        <v>4713</v>
      </c>
      <c r="C1675" s="15" t="s">
        <v>7449</v>
      </c>
      <c r="D1675" s="16" t="s">
        <v>7074</v>
      </c>
    </row>
    <row r="1676" spans="1:4" x14ac:dyDescent="0.35">
      <c r="A1676" s="11" t="s">
        <v>686</v>
      </c>
      <c r="B1676" s="12" t="s">
        <v>4716</v>
      </c>
      <c r="C1676" s="12" t="s">
        <v>7450</v>
      </c>
      <c r="D1676" s="13" t="s">
        <v>7451</v>
      </c>
    </row>
    <row r="1677" spans="1:4" x14ac:dyDescent="0.35">
      <c r="A1677" s="14" t="s">
        <v>685</v>
      </c>
      <c r="B1677" s="15" t="s">
        <v>4713</v>
      </c>
      <c r="C1677" s="15" t="s">
        <v>7452</v>
      </c>
      <c r="D1677" s="16" t="s">
        <v>7453</v>
      </c>
    </row>
    <row r="1678" spans="1:4" x14ac:dyDescent="0.35">
      <c r="A1678" s="11" t="s">
        <v>684</v>
      </c>
      <c r="B1678" s="12" t="s">
        <v>4713</v>
      </c>
      <c r="C1678" s="12" t="s">
        <v>7454</v>
      </c>
      <c r="D1678" s="13" t="s">
        <v>7455</v>
      </c>
    </row>
    <row r="1679" spans="1:4" x14ac:dyDescent="0.35">
      <c r="A1679" s="14" t="s">
        <v>683</v>
      </c>
      <c r="B1679" s="15" t="s">
        <v>4716</v>
      </c>
      <c r="C1679" s="15" t="s">
        <v>7456</v>
      </c>
      <c r="D1679" s="16" t="s">
        <v>7457</v>
      </c>
    </row>
    <row r="1680" spans="1:4" x14ac:dyDescent="0.35">
      <c r="A1680" s="11" t="s">
        <v>682</v>
      </c>
      <c r="B1680" s="12" t="s">
        <v>4713</v>
      </c>
      <c r="C1680" s="12" t="s">
        <v>6686</v>
      </c>
      <c r="D1680" s="13" t="s">
        <v>7458</v>
      </c>
    </row>
    <row r="1681" spans="1:4" x14ac:dyDescent="0.35">
      <c r="A1681" s="14" t="s">
        <v>681</v>
      </c>
      <c r="B1681" s="15" t="s">
        <v>4713</v>
      </c>
      <c r="C1681" s="15" t="s">
        <v>7459</v>
      </c>
      <c r="D1681" s="16" t="s">
        <v>7460</v>
      </c>
    </row>
    <row r="1682" spans="1:4" x14ac:dyDescent="0.35">
      <c r="A1682" s="11" t="s">
        <v>680</v>
      </c>
      <c r="B1682" s="12" t="s">
        <v>4716</v>
      </c>
      <c r="C1682" s="12" t="s">
        <v>5724</v>
      </c>
      <c r="D1682" s="13" t="s">
        <v>7461</v>
      </c>
    </row>
    <row r="1683" spans="1:4" x14ac:dyDescent="0.35">
      <c r="A1683" s="14" t="s">
        <v>679</v>
      </c>
      <c r="B1683" s="15" t="s">
        <v>4716</v>
      </c>
      <c r="C1683" s="15" t="s">
        <v>7462</v>
      </c>
      <c r="D1683" s="16" t="s">
        <v>6721</v>
      </c>
    </row>
    <row r="1684" spans="1:4" x14ac:dyDescent="0.35">
      <c r="A1684" s="11" t="s">
        <v>678</v>
      </c>
      <c r="B1684" s="12" t="s">
        <v>4713</v>
      </c>
      <c r="C1684" s="12" t="s">
        <v>5359</v>
      </c>
      <c r="D1684" s="13" t="s">
        <v>7463</v>
      </c>
    </row>
    <row r="1685" spans="1:4" x14ac:dyDescent="0.35">
      <c r="A1685" s="14" t="s">
        <v>677</v>
      </c>
      <c r="B1685" s="15" t="s">
        <v>4716</v>
      </c>
      <c r="C1685" s="15" t="s">
        <v>6967</v>
      </c>
      <c r="D1685" s="16" t="s">
        <v>7464</v>
      </c>
    </row>
    <row r="1686" spans="1:4" x14ac:dyDescent="0.35">
      <c r="A1686" s="11" t="s">
        <v>676</v>
      </c>
      <c r="B1686" s="12" t="s">
        <v>4716</v>
      </c>
      <c r="C1686" s="12" t="s">
        <v>7465</v>
      </c>
      <c r="D1686" s="13" t="s">
        <v>6388</v>
      </c>
    </row>
    <row r="1687" spans="1:4" x14ac:dyDescent="0.35">
      <c r="A1687" s="14" t="s">
        <v>675</v>
      </c>
      <c r="B1687" s="15" t="s">
        <v>4716</v>
      </c>
      <c r="C1687" s="15" t="s">
        <v>5577</v>
      </c>
      <c r="D1687" s="16" t="s">
        <v>7466</v>
      </c>
    </row>
    <row r="1688" spans="1:4" x14ac:dyDescent="0.35">
      <c r="A1688" s="11" t="s">
        <v>674</v>
      </c>
      <c r="B1688" s="12" t="s">
        <v>4713</v>
      </c>
      <c r="C1688" s="12" t="s">
        <v>7467</v>
      </c>
      <c r="D1688" s="13" t="s">
        <v>7468</v>
      </c>
    </row>
    <row r="1689" spans="1:4" x14ac:dyDescent="0.35">
      <c r="A1689" s="14" t="s">
        <v>673</v>
      </c>
      <c r="B1689" s="15" t="s">
        <v>5590</v>
      </c>
      <c r="C1689" s="15" t="s">
        <v>7469</v>
      </c>
      <c r="D1689" s="16" t="s">
        <v>7470</v>
      </c>
    </row>
    <row r="1690" spans="1:4" x14ac:dyDescent="0.35">
      <c r="A1690" s="11" t="s">
        <v>672</v>
      </c>
      <c r="B1690" s="12" t="s">
        <v>4716</v>
      </c>
      <c r="C1690" s="12" t="s">
        <v>7471</v>
      </c>
      <c r="D1690" s="13" t="s">
        <v>6727</v>
      </c>
    </row>
    <row r="1691" spans="1:4" x14ac:dyDescent="0.35">
      <c r="A1691" s="14" t="s">
        <v>671</v>
      </c>
      <c r="B1691" s="15" t="s">
        <v>4713</v>
      </c>
      <c r="C1691" s="15" t="s">
        <v>7472</v>
      </c>
      <c r="D1691" s="16" t="s">
        <v>7473</v>
      </c>
    </row>
    <row r="1692" spans="1:4" x14ac:dyDescent="0.35">
      <c r="A1692" s="11" t="s">
        <v>670</v>
      </c>
      <c r="B1692" s="12" t="s">
        <v>4713</v>
      </c>
      <c r="C1692" s="12" t="s">
        <v>7474</v>
      </c>
      <c r="D1692" s="13" t="s">
        <v>7475</v>
      </c>
    </row>
    <row r="1693" spans="1:4" x14ac:dyDescent="0.35">
      <c r="A1693" s="14" t="s">
        <v>669</v>
      </c>
      <c r="B1693" s="15" t="s">
        <v>4716</v>
      </c>
      <c r="C1693" s="15" t="s">
        <v>7476</v>
      </c>
      <c r="D1693" s="16" t="s">
        <v>7477</v>
      </c>
    </row>
    <row r="1694" spans="1:4" x14ac:dyDescent="0.35">
      <c r="A1694" s="11" t="s">
        <v>668</v>
      </c>
      <c r="B1694" s="12" t="s">
        <v>4716</v>
      </c>
      <c r="C1694" s="12" t="s">
        <v>5596</v>
      </c>
      <c r="D1694" s="13" t="s">
        <v>7478</v>
      </c>
    </row>
    <row r="1695" spans="1:4" x14ac:dyDescent="0.35">
      <c r="A1695" s="14" t="s">
        <v>667</v>
      </c>
      <c r="B1695" s="15" t="s">
        <v>4713</v>
      </c>
      <c r="C1695" s="15" t="s">
        <v>7479</v>
      </c>
      <c r="D1695" s="16" t="s">
        <v>5781</v>
      </c>
    </row>
    <row r="1696" spans="1:4" x14ac:dyDescent="0.35">
      <c r="A1696" s="11" t="s">
        <v>666</v>
      </c>
      <c r="B1696" s="12" t="s">
        <v>4713</v>
      </c>
      <c r="C1696" s="12" t="s">
        <v>7480</v>
      </c>
      <c r="D1696" s="13" t="s">
        <v>7481</v>
      </c>
    </row>
    <row r="1697" spans="1:4" x14ac:dyDescent="0.35">
      <c r="A1697" s="14" t="s">
        <v>665</v>
      </c>
      <c r="B1697" s="15" t="s">
        <v>4713</v>
      </c>
      <c r="C1697" s="15" t="s">
        <v>7482</v>
      </c>
      <c r="D1697" s="16" t="s">
        <v>7483</v>
      </c>
    </row>
    <row r="1698" spans="1:4" x14ac:dyDescent="0.35">
      <c r="A1698" s="11" t="s">
        <v>664</v>
      </c>
      <c r="B1698" s="12" t="s">
        <v>4713</v>
      </c>
      <c r="C1698" s="12" t="s">
        <v>7021</v>
      </c>
      <c r="D1698" s="13" t="s">
        <v>7484</v>
      </c>
    </row>
    <row r="1699" spans="1:4" x14ac:dyDescent="0.35">
      <c r="A1699" s="14" t="s">
        <v>663</v>
      </c>
      <c r="B1699" s="15" t="s">
        <v>4713</v>
      </c>
      <c r="C1699" s="15" t="s">
        <v>7485</v>
      </c>
      <c r="D1699" s="16" t="s">
        <v>6497</v>
      </c>
    </row>
    <row r="1700" spans="1:4" x14ac:dyDescent="0.35">
      <c r="A1700" s="11" t="s">
        <v>662</v>
      </c>
      <c r="B1700" s="12" t="s">
        <v>4716</v>
      </c>
      <c r="C1700" s="12" t="s">
        <v>7486</v>
      </c>
      <c r="D1700" s="13" t="s">
        <v>4908</v>
      </c>
    </row>
    <row r="1701" spans="1:4" x14ac:dyDescent="0.35">
      <c r="A1701" s="14" t="s">
        <v>661</v>
      </c>
      <c r="B1701" s="15" t="s">
        <v>4713</v>
      </c>
      <c r="C1701" s="15" t="s">
        <v>7487</v>
      </c>
      <c r="D1701" s="16" t="s">
        <v>7488</v>
      </c>
    </row>
    <row r="1702" spans="1:4" x14ac:dyDescent="0.35">
      <c r="A1702" s="11" t="s">
        <v>660</v>
      </c>
      <c r="B1702" s="12" t="s">
        <v>4716</v>
      </c>
      <c r="C1702" s="12" t="s">
        <v>7489</v>
      </c>
      <c r="D1702" s="13" t="s">
        <v>4730</v>
      </c>
    </row>
    <row r="1703" spans="1:4" x14ac:dyDescent="0.35">
      <c r="A1703" s="14" t="s">
        <v>659</v>
      </c>
      <c r="B1703" s="15" t="s">
        <v>4716</v>
      </c>
      <c r="C1703" s="15" t="s">
        <v>7490</v>
      </c>
      <c r="D1703" s="16" t="s">
        <v>4867</v>
      </c>
    </row>
    <row r="1704" spans="1:4" x14ac:dyDescent="0.35">
      <c r="A1704" s="11" t="s">
        <v>658</v>
      </c>
      <c r="B1704" s="12" t="s">
        <v>4716</v>
      </c>
      <c r="C1704" s="12" t="s">
        <v>7491</v>
      </c>
      <c r="D1704" s="13" t="s">
        <v>5982</v>
      </c>
    </row>
    <row r="1705" spans="1:4" x14ac:dyDescent="0.35">
      <c r="A1705" s="14" t="s">
        <v>657</v>
      </c>
      <c r="B1705" s="15" t="s">
        <v>4713</v>
      </c>
      <c r="C1705" s="15" t="s">
        <v>7492</v>
      </c>
      <c r="D1705" s="16" t="s">
        <v>5084</v>
      </c>
    </row>
    <row r="1706" spans="1:4" x14ac:dyDescent="0.35">
      <c r="A1706" s="11" t="s">
        <v>656</v>
      </c>
      <c r="B1706" s="12" t="s">
        <v>4716</v>
      </c>
      <c r="C1706" s="12" t="s">
        <v>6060</v>
      </c>
      <c r="D1706" s="13" t="s">
        <v>7493</v>
      </c>
    </row>
    <row r="1707" spans="1:4" x14ac:dyDescent="0.35">
      <c r="A1707" s="14" t="s">
        <v>655</v>
      </c>
      <c r="B1707" s="15" t="s">
        <v>4713</v>
      </c>
      <c r="C1707" s="15" t="s">
        <v>7494</v>
      </c>
      <c r="D1707" s="16" t="s">
        <v>7495</v>
      </c>
    </row>
    <row r="1708" spans="1:4" x14ac:dyDescent="0.35">
      <c r="A1708" s="11" t="s">
        <v>654</v>
      </c>
      <c r="B1708" s="12" t="s">
        <v>4713</v>
      </c>
      <c r="C1708" s="12" t="s">
        <v>6642</v>
      </c>
      <c r="D1708" s="13" t="s">
        <v>5716</v>
      </c>
    </row>
    <row r="1709" spans="1:4" x14ac:dyDescent="0.35">
      <c r="A1709" s="14" t="s">
        <v>653</v>
      </c>
      <c r="B1709" s="15" t="s">
        <v>4716</v>
      </c>
      <c r="C1709" s="15" t="s">
        <v>7496</v>
      </c>
      <c r="D1709" s="16" t="s">
        <v>7497</v>
      </c>
    </row>
    <row r="1710" spans="1:4" x14ac:dyDescent="0.35">
      <c r="A1710" s="11" t="s">
        <v>652</v>
      </c>
      <c r="B1710" s="12" t="s">
        <v>4713</v>
      </c>
      <c r="C1710" s="12" t="s">
        <v>7021</v>
      </c>
      <c r="D1710" s="13" t="s">
        <v>6268</v>
      </c>
    </row>
    <row r="1711" spans="1:4" x14ac:dyDescent="0.35">
      <c r="A1711" s="14" t="s">
        <v>651</v>
      </c>
      <c r="B1711" s="15" t="s">
        <v>4713</v>
      </c>
      <c r="C1711" s="15" t="s">
        <v>7498</v>
      </c>
      <c r="D1711" s="16" t="s">
        <v>7499</v>
      </c>
    </row>
    <row r="1712" spans="1:4" x14ac:dyDescent="0.35">
      <c r="A1712" s="11" t="s">
        <v>650</v>
      </c>
      <c r="B1712" s="12" t="s">
        <v>4716</v>
      </c>
      <c r="C1712" s="12" t="s">
        <v>7500</v>
      </c>
      <c r="D1712" s="13" t="s">
        <v>7501</v>
      </c>
    </row>
    <row r="1713" spans="1:4" x14ac:dyDescent="0.35">
      <c r="A1713" s="14" t="s">
        <v>649</v>
      </c>
      <c r="B1713" s="15" t="s">
        <v>4713</v>
      </c>
      <c r="C1713" s="15" t="s">
        <v>7502</v>
      </c>
      <c r="D1713" s="16" t="s">
        <v>5346</v>
      </c>
    </row>
    <row r="1714" spans="1:4" x14ac:dyDescent="0.35">
      <c r="A1714" s="11" t="s">
        <v>648</v>
      </c>
      <c r="B1714" s="12" t="s">
        <v>4716</v>
      </c>
      <c r="C1714" s="12" t="s">
        <v>7503</v>
      </c>
      <c r="D1714" s="13" t="s">
        <v>5062</v>
      </c>
    </row>
    <row r="1715" spans="1:4" x14ac:dyDescent="0.35">
      <c r="A1715" s="14" t="s">
        <v>647</v>
      </c>
      <c r="B1715" s="15" t="s">
        <v>4713</v>
      </c>
      <c r="C1715" s="15" t="s">
        <v>7504</v>
      </c>
      <c r="D1715" s="16" t="s">
        <v>7505</v>
      </c>
    </row>
    <row r="1716" spans="1:4" x14ac:dyDescent="0.35">
      <c r="A1716" s="11" t="s">
        <v>646</v>
      </c>
      <c r="B1716" s="12" t="s">
        <v>4713</v>
      </c>
      <c r="C1716" s="12" t="s">
        <v>7506</v>
      </c>
      <c r="D1716" s="13" t="s">
        <v>7499</v>
      </c>
    </row>
    <row r="1717" spans="1:4" x14ac:dyDescent="0.35">
      <c r="A1717" s="14" t="s">
        <v>645</v>
      </c>
      <c r="B1717" s="15" t="s">
        <v>4716</v>
      </c>
      <c r="C1717" s="15" t="s">
        <v>7507</v>
      </c>
      <c r="D1717" s="16" t="s">
        <v>4899</v>
      </c>
    </row>
    <row r="1718" spans="1:4" x14ac:dyDescent="0.35">
      <c r="A1718" s="11" t="s">
        <v>644</v>
      </c>
      <c r="B1718" s="12" t="s">
        <v>4713</v>
      </c>
      <c r="C1718" s="12" t="s">
        <v>7508</v>
      </c>
      <c r="D1718" s="13" t="s">
        <v>7509</v>
      </c>
    </row>
    <row r="1719" spans="1:4" x14ac:dyDescent="0.35">
      <c r="A1719" s="14" t="s">
        <v>643</v>
      </c>
      <c r="B1719" s="15" t="s">
        <v>4713</v>
      </c>
      <c r="C1719" s="15" t="s">
        <v>7510</v>
      </c>
      <c r="D1719" s="16" t="s">
        <v>7511</v>
      </c>
    </row>
    <row r="1720" spans="1:4" x14ac:dyDescent="0.35">
      <c r="A1720" s="11" t="s">
        <v>642</v>
      </c>
      <c r="B1720" s="12" t="s">
        <v>4713</v>
      </c>
      <c r="C1720" s="12" t="s">
        <v>7512</v>
      </c>
      <c r="D1720" s="13" t="s">
        <v>7513</v>
      </c>
    </row>
    <row r="1721" spans="1:4" x14ac:dyDescent="0.35">
      <c r="A1721" s="14" t="s">
        <v>641</v>
      </c>
      <c r="B1721" s="15" t="s">
        <v>4713</v>
      </c>
      <c r="C1721" s="15" t="s">
        <v>5106</v>
      </c>
      <c r="D1721" s="16" t="s">
        <v>7514</v>
      </c>
    </row>
    <row r="1722" spans="1:4" x14ac:dyDescent="0.35">
      <c r="A1722" s="11" t="s">
        <v>640</v>
      </c>
      <c r="B1722" s="12" t="s">
        <v>4716</v>
      </c>
      <c r="C1722" s="12" t="s">
        <v>7515</v>
      </c>
      <c r="D1722" s="13" t="s">
        <v>4873</v>
      </c>
    </row>
    <row r="1723" spans="1:4" x14ac:dyDescent="0.35">
      <c r="A1723" s="14" t="s">
        <v>639</v>
      </c>
      <c r="B1723" s="15" t="s">
        <v>4716</v>
      </c>
      <c r="C1723" s="15" t="s">
        <v>7516</v>
      </c>
      <c r="D1723" s="16" t="s">
        <v>7517</v>
      </c>
    </row>
    <row r="1724" spans="1:4" x14ac:dyDescent="0.35">
      <c r="A1724" s="11" t="s">
        <v>638</v>
      </c>
      <c r="B1724" s="12" t="s">
        <v>4713</v>
      </c>
      <c r="C1724" s="12" t="s">
        <v>7518</v>
      </c>
      <c r="D1724" s="13" t="s">
        <v>7519</v>
      </c>
    </row>
    <row r="1725" spans="1:4" x14ac:dyDescent="0.35">
      <c r="A1725" s="14" t="s">
        <v>637</v>
      </c>
      <c r="B1725" s="15" t="s">
        <v>4716</v>
      </c>
      <c r="C1725" s="15" t="s">
        <v>7520</v>
      </c>
      <c r="D1725" s="16" t="s">
        <v>7521</v>
      </c>
    </row>
    <row r="1726" spans="1:4" x14ac:dyDescent="0.35">
      <c r="A1726" s="11" t="s">
        <v>636</v>
      </c>
      <c r="B1726" s="12" t="s">
        <v>4713</v>
      </c>
      <c r="C1726" s="12" t="s">
        <v>7120</v>
      </c>
      <c r="D1726" s="13" t="s">
        <v>7522</v>
      </c>
    </row>
    <row r="1727" spans="1:4" x14ac:dyDescent="0.35">
      <c r="A1727" s="14" t="s">
        <v>635</v>
      </c>
      <c r="B1727" s="15" t="s">
        <v>4713</v>
      </c>
      <c r="C1727" s="15" t="s">
        <v>7523</v>
      </c>
      <c r="D1727" s="16" t="s">
        <v>7524</v>
      </c>
    </row>
    <row r="1728" spans="1:4" x14ac:dyDescent="0.35">
      <c r="A1728" s="11" t="s">
        <v>634</v>
      </c>
      <c r="B1728" s="12" t="s">
        <v>4713</v>
      </c>
      <c r="C1728" s="12" t="s">
        <v>7525</v>
      </c>
      <c r="D1728" s="13" t="s">
        <v>7526</v>
      </c>
    </row>
    <row r="1729" spans="1:4" x14ac:dyDescent="0.35">
      <c r="A1729" s="14" t="s">
        <v>633</v>
      </c>
      <c r="B1729" s="15" t="s">
        <v>4716</v>
      </c>
      <c r="C1729" s="15" t="s">
        <v>5893</v>
      </c>
      <c r="D1729" s="16" t="s">
        <v>7527</v>
      </c>
    </row>
    <row r="1730" spans="1:4" x14ac:dyDescent="0.35">
      <c r="A1730" s="11" t="s">
        <v>632</v>
      </c>
      <c r="B1730" s="12" t="s">
        <v>4716</v>
      </c>
      <c r="C1730" s="12" t="s">
        <v>7528</v>
      </c>
      <c r="D1730" s="13" t="s">
        <v>7529</v>
      </c>
    </row>
    <row r="1731" spans="1:4" x14ac:dyDescent="0.35">
      <c r="A1731" s="14" t="s">
        <v>631</v>
      </c>
      <c r="B1731" s="15" t="s">
        <v>4716</v>
      </c>
      <c r="C1731" s="15" t="s">
        <v>7343</v>
      </c>
      <c r="D1731" s="16" t="s">
        <v>7530</v>
      </c>
    </row>
    <row r="1732" spans="1:4" x14ac:dyDescent="0.35">
      <c r="A1732" s="11" t="s">
        <v>630</v>
      </c>
      <c r="B1732" s="12" t="s">
        <v>4713</v>
      </c>
      <c r="C1732" s="12" t="s">
        <v>5762</v>
      </c>
      <c r="D1732" s="13" t="s">
        <v>7531</v>
      </c>
    </row>
    <row r="1733" spans="1:4" x14ac:dyDescent="0.35">
      <c r="A1733" s="14" t="s">
        <v>629</v>
      </c>
      <c r="B1733" s="15" t="s">
        <v>4713</v>
      </c>
      <c r="C1733" s="15" t="s">
        <v>7532</v>
      </c>
      <c r="D1733" s="16" t="s">
        <v>4875</v>
      </c>
    </row>
    <row r="1734" spans="1:4" x14ac:dyDescent="0.35">
      <c r="A1734" s="11" t="s">
        <v>628</v>
      </c>
      <c r="B1734" s="12" t="s">
        <v>4713</v>
      </c>
      <c r="C1734" s="12" t="s">
        <v>7533</v>
      </c>
      <c r="D1734" s="13" t="s">
        <v>7534</v>
      </c>
    </row>
    <row r="1735" spans="1:4" x14ac:dyDescent="0.35">
      <c r="A1735" s="14" t="s">
        <v>627</v>
      </c>
      <c r="B1735" s="15" t="s">
        <v>4713</v>
      </c>
      <c r="C1735" s="15" t="s">
        <v>7535</v>
      </c>
      <c r="D1735" s="16" t="s">
        <v>7536</v>
      </c>
    </row>
    <row r="1736" spans="1:4" x14ac:dyDescent="0.35">
      <c r="A1736" s="11" t="s">
        <v>626</v>
      </c>
      <c r="B1736" s="12" t="s">
        <v>5590</v>
      </c>
      <c r="C1736" s="12" t="s">
        <v>7537</v>
      </c>
      <c r="D1736" s="13" t="s">
        <v>7538</v>
      </c>
    </row>
    <row r="1737" spans="1:4" x14ac:dyDescent="0.35">
      <c r="A1737" s="14" t="s">
        <v>625</v>
      </c>
      <c r="B1737" s="15" t="s">
        <v>4713</v>
      </c>
      <c r="C1737" s="15" t="s">
        <v>7539</v>
      </c>
      <c r="D1737" s="16" t="s">
        <v>7540</v>
      </c>
    </row>
    <row r="1738" spans="1:4" x14ac:dyDescent="0.35">
      <c r="A1738" s="11" t="s">
        <v>624</v>
      </c>
      <c r="B1738" s="12" t="s">
        <v>4716</v>
      </c>
      <c r="C1738" s="12" t="s">
        <v>6272</v>
      </c>
      <c r="D1738" s="13" t="s">
        <v>7541</v>
      </c>
    </row>
    <row r="1739" spans="1:4" x14ac:dyDescent="0.35">
      <c r="A1739" s="14" t="s">
        <v>623</v>
      </c>
      <c r="B1739" s="15" t="s">
        <v>4716</v>
      </c>
      <c r="C1739" s="15" t="s">
        <v>7542</v>
      </c>
      <c r="D1739" s="16" t="s">
        <v>4815</v>
      </c>
    </row>
    <row r="1740" spans="1:4" x14ac:dyDescent="0.35">
      <c r="A1740" s="11" t="s">
        <v>621</v>
      </c>
      <c r="B1740" s="12" t="s">
        <v>4716</v>
      </c>
      <c r="C1740" s="12" t="s">
        <v>7543</v>
      </c>
      <c r="D1740" s="13" t="s">
        <v>7544</v>
      </c>
    </row>
    <row r="1741" spans="1:4" x14ac:dyDescent="0.35">
      <c r="A1741" s="14" t="s">
        <v>620</v>
      </c>
      <c r="B1741" s="15" t="s">
        <v>4713</v>
      </c>
      <c r="C1741" s="15" t="s">
        <v>7545</v>
      </c>
      <c r="D1741" s="16" t="s">
        <v>7546</v>
      </c>
    </row>
    <row r="1742" spans="1:4" x14ac:dyDescent="0.35">
      <c r="A1742" s="11" t="s">
        <v>619</v>
      </c>
      <c r="B1742" s="12" t="s">
        <v>4713</v>
      </c>
      <c r="C1742" s="12" t="s">
        <v>7547</v>
      </c>
      <c r="D1742" s="13" t="s">
        <v>7548</v>
      </c>
    </row>
    <row r="1743" spans="1:4" x14ac:dyDescent="0.35">
      <c r="A1743" s="14" t="s">
        <v>618</v>
      </c>
      <c r="B1743" s="15" t="s">
        <v>4713</v>
      </c>
      <c r="C1743" s="15" t="s">
        <v>7549</v>
      </c>
      <c r="D1743" s="16" t="s">
        <v>7550</v>
      </c>
    </row>
    <row r="1744" spans="1:4" x14ac:dyDescent="0.35">
      <c r="A1744" s="11" t="s">
        <v>617</v>
      </c>
      <c r="B1744" s="12" t="s">
        <v>4713</v>
      </c>
      <c r="C1744" s="12" t="s">
        <v>7551</v>
      </c>
      <c r="D1744" s="13" t="s">
        <v>7552</v>
      </c>
    </row>
    <row r="1745" spans="1:4" x14ac:dyDescent="0.35">
      <c r="A1745" s="14" t="s">
        <v>616</v>
      </c>
      <c r="B1745" s="15" t="s">
        <v>4713</v>
      </c>
      <c r="C1745" s="15" t="s">
        <v>7553</v>
      </c>
      <c r="D1745" s="16" t="s">
        <v>5661</v>
      </c>
    </row>
    <row r="1746" spans="1:4" x14ac:dyDescent="0.35">
      <c r="A1746" s="11" t="s">
        <v>615</v>
      </c>
      <c r="B1746" s="12" t="s">
        <v>4716</v>
      </c>
      <c r="C1746" s="12" t="s">
        <v>6009</v>
      </c>
      <c r="D1746" s="13" t="s">
        <v>7554</v>
      </c>
    </row>
    <row r="1747" spans="1:4" x14ac:dyDescent="0.35">
      <c r="A1747" s="14" t="s">
        <v>614</v>
      </c>
      <c r="B1747" s="15" t="s">
        <v>4713</v>
      </c>
      <c r="C1747" s="15" t="s">
        <v>7555</v>
      </c>
      <c r="D1747" s="16" t="s">
        <v>7239</v>
      </c>
    </row>
    <row r="1748" spans="1:4" x14ac:dyDescent="0.35">
      <c r="A1748" s="11" t="s">
        <v>613</v>
      </c>
      <c r="B1748" s="12" t="s">
        <v>4713</v>
      </c>
      <c r="C1748" s="12" t="s">
        <v>7556</v>
      </c>
      <c r="D1748" s="13" t="s">
        <v>7557</v>
      </c>
    </row>
    <row r="1749" spans="1:4" x14ac:dyDescent="0.35">
      <c r="A1749" s="14" t="s">
        <v>612</v>
      </c>
      <c r="B1749" s="15" t="s">
        <v>4716</v>
      </c>
      <c r="C1749" s="15" t="s">
        <v>7539</v>
      </c>
      <c r="D1749" s="16" t="s">
        <v>7558</v>
      </c>
    </row>
    <row r="1750" spans="1:4" x14ac:dyDescent="0.35">
      <c r="A1750" s="11" t="s">
        <v>611</v>
      </c>
      <c r="B1750" s="12" t="s">
        <v>4716</v>
      </c>
      <c r="C1750" s="12" t="s">
        <v>7559</v>
      </c>
      <c r="D1750" s="13" t="s">
        <v>6128</v>
      </c>
    </row>
    <row r="1751" spans="1:4" x14ac:dyDescent="0.35">
      <c r="A1751" s="14" t="s">
        <v>610</v>
      </c>
      <c r="B1751" s="15" t="s">
        <v>4716</v>
      </c>
      <c r="C1751" s="15" t="s">
        <v>6579</v>
      </c>
      <c r="D1751" s="16" t="s">
        <v>7560</v>
      </c>
    </row>
    <row r="1752" spans="1:4" x14ac:dyDescent="0.35">
      <c r="A1752" s="11" t="s">
        <v>609</v>
      </c>
      <c r="B1752" s="12" t="s">
        <v>5590</v>
      </c>
      <c r="C1752" s="12" t="s">
        <v>7561</v>
      </c>
      <c r="D1752" s="13" t="s">
        <v>7562</v>
      </c>
    </row>
    <row r="1753" spans="1:4" x14ac:dyDescent="0.35">
      <c r="A1753" s="14" t="s">
        <v>608</v>
      </c>
      <c r="B1753" s="15" t="s">
        <v>4716</v>
      </c>
      <c r="C1753" s="15" t="s">
        <v>7563</v>
      </c>
      <c r="D1753" s="16" t="s">
        <v>7359</v>
      </c>
    </row>
    <row r="1754" spans="1:4" x14ac:dyDescent="0.35">
      <c r="A1754" s="11" t="s">
        <v>607</v>
      </c>
      <c r="B1754" s="12" t="s">
        <v>4716</v>
      </c>
      <c r="C1754" s="12" t="s">
        <v>7564</v>
      </c>
      <c r="D1754" s="13" t="s">
        <v>7565</v>
      </c>
    </row>
    <row r="1755" spans="1:4" x14ac:dyDescent="0.35">
      <c r="A1755" s="14" t="s">
        <v>606</v>
      </c>
      <c r="B1755" s="15" t="s">
        <v>4716</v>
      </c>
      <c r="C1755" s="15" t="s">
        <v>5782</v>
      </c>
      <c r="D1755" s="16" t="s">
        <v>7566</v>
      </c>
    </row>
    <row r="1756" spans="1:4" x14ac:dyDescent="0.35">
      <c r="A1756" s="11" t="s">
        <v>605</v>
      </c>
      <c r="B1756" s="12" t="s">
        <v>4713</v>
      </c>
      <c r="C1756" s="12" t="s">
        <v>7567</v>
      </c>
      <c r="D1756" s="13" t="s">
        <v>7568</v>
      </c>
    </row>
    <row r="1757" spans="1:4" x14ac:dyDescent="0.35">
      <c r="A1757" s="14" t="s">
        <v>604</v>
      </c>
      <c r="B1757" s="15" t="s">
        <v>4713</v>
      </c>
      <c r="C1757" s="15" t="s">
        <v>7569</v>
      </c>
      <c r="D1757" s="16" t="s">
        <v>7570</v>
      </c>
    </row>
    <row r="1758" spans="1:4" x14ac:dyDescent="0.35">
      <c r="A1758" s="11" t="s">
        <v>603</v>
      </c>
      <c r="B1758" s="12" t="s">
        <v>4716</v>
      </c>
      <c r="C1758" s="12" t="s">
        <v>5171</v>
      </c>
      <c r="D1758" s="13" t="s">
        <v>7571</v>
      </c>
    </row>
    <row r="1759" spans="1:4" x14ac:dyDescent="0.35">
      <c r="A1759" s="14" t="s">
        <v>602</v>
      </c>
      <c r="B1759" s="15" t="s">
        <v>5590</v>
      </c>
      <c r="C1759" s="15" t="s">
        <v>7572</v>
      </c>
      <c r="D1759" s="16" t="s">
        <v>7573</v>
      </c>
    </row>
    <row r="1760" spans="1:4" x14ac:dyDescent="0.35">
      <c r="A1760" s="11" t="s">
        <v>601</v>
      </c>
      <c r="B1760" s="12" t="s">
        <v>4716</v>
      </c>
      <c r="C1760" s="12" t="s">
        <v>7574</v>
      </c>
      <c r="D1760" s="13" t="s">
        <v>7575</v>
      </c>
    </row>
    <row r="1761" spans="1:4" x14ac:dyDescent="0.35">
      <c r="A1761" s="14" t="s">
        <v>600</v>
      </c>
      <c r="B1761" s="15" t="s">
        <v>4716</v>
      </c>
      <c r="C1761" s="15" t="s">
        <v>7576</v>
      </c>
      <c r="D1761" s="16" t="s">
        <v>7577</v>
      </c>
    </row>
    <row r="1762" spans="1:4" x14ac:dyDescent="0.35">
      <c r="A1762" s="11" t="s">
        <v>599</v>
      </c>
      <c r="B1762" s="12" t="s">
        <v>4716</v>
      </c>
      <c r="C1762" s="12" t="s">
        <v>7578</v>
      </c>
      <c r="D1762" s="13" t="s">
        <v>7579</v>
      </c>
    </row>
    <row r="1763" spans="1:4" x14ac:dyDescent="0.35">
      <c r="A1763" s="14" t="s">
        <v>598</v>
      </c>
      <c r="B1763" s="15" t="s">
        <v>4713</v>
      </c>
      <c r="C1763" s="15" t="s">
        <v>7580</v>
      </c>
      <c r="D1763" s="16" t="s">
        <v>7581</v>
      </c>
    </row>
    <row r="1764" spans="1:4" x14ac:dyDescent="0.35">
      <c r="A1764" s="11" t="s">
        <v>597</v>
      </c>
      <c r="B1764" s="12" t="s">
        <v>4713</v>
      </c>
      <c r="C1764" s="12" t="s">
        <v>7582</v>
      </c>
      <c r="D1764" s="13" t="s">
        <v>7583</v>
      </c>
    </row>
    <row r="1765" spans="1:4" x14ac:dyDescent="0.35">
      <c r="A1765" s="14" t="s">
        <v>596</v>
      </c>
      <c r="B1765" s="15" t="s">
        <v>4713</v>
      </c>
      <c r="C1765" s="15" t="s">
        <v>5151</v>
      </c>
      <c r="D1765" s="16" t="s">
        <v>7584</v>
      </c>
    </row>
    <row r="1766" spans="1:4" x14ac:dyDescent="0.35">
      <c r="A1766" s="11" t="s">
        <v>595</v>
      </c>
      <c r="B1766" s="12" t="s">
        <v>4713</v>
      </c>
      <c r="C1766" s="12" t="s">
        <v>6676</v>
      </c>
      <c r="D1766" s="13" t="s">
        <v>7585</v>
      </c>
    </row>
    <row r="1767" spans="1:4" x14ac:dyDescent="0.35">
      <c r="A1767" s="14" t="s">
        <v>594</v>
      </c>
      <c r="B1767" s="15" t="s">
        <v>4716</v>
      </c>
      <c r="C1767" s="15" t="s">
        <v>7586</v>
      </c>
      <c r="D1767" s="16" t="s">
        <v>5029</v>
      </c>
    </row>
    <row r="1768" spans="1:4" x14ac:dyDescent="0.35">
      <c r="A1768" s="11" t="s">
        <v>593</v>
      </c>
      <c r="B1768" s="12" t="s">
        <v>4713</v>
      </c>
      <c r="C1768" s="12" t="s">
        <v>7587</v>
      </c>
      <c r="D1768" s="13" t="s">
        <v>6595</v>
      </c>
    </row>
    <row r="1769" spans="1:4" x14ac:dyDescent="0.35">
      <c r="A1769" s="14" t="s">
        <v>592</v>
      </c>
      <c r="B1769" s="15" t="s">
        <v>4713</v>
      </c>
      <c r="C1769" s="15" t="s">
        <v>7588</v>
      </c>
      <c r="D1769" s="16" t="s">
        <v>5076</v>
      </c>
    </row>
    <row r="1770" spans="1:4" x14ac:dyDescent="0.35">
      <c r="A1770" s="11" t="s">
        <v>591</v>
      </c>
      <c r="B1770" s="12" t="s">
        <v>4713</v>
      </c>
      <c r="C1770" s="12" t="s">
        <v>7589</v>
      </c>
      <c r="D1770" s="13" t="s">
        <v>5661</v>
      </c>
    </row>
    <row r="1771" spans="1:4" x14ac:dyDescent="0.35">
      <c r="A1771" s="14" t="s">
        <v>590</v>
      </c>
      <c r="B1771" s="15" t="s">
        <v>4713</v>
      </c>
      <c r="C1771" s="15" t="s">
        <v>7590</v>
      </c>
      <c r="D1771" s="16" t="s">
        <v>7591</v>
      </c>
    </row>
    <row r="1772" spans="1:4" x14ac:dyDescent="0.35">
      <c r="A1772" s="11" t="s">
        <v>589</v>
      </c>
      <c r="B1772" s="12" t="s">
        <v>4713</v>
      </c>
      <c r="C1772" s="12" t="s">
        <v>7592</v>
      </c>
      <c r="D1772" s="13" t="s">
        <v>7593</v>
      </c>
    </row>
    <row r="1773" spans="1:4" x14ac:dyDescent="0.35">
      <c r="A1773" s="14" t="s">
        <v>588</v>
      </c>
      <c r="B1773" s="15" t="s">
        <v>4713</v>
      </c>
      <c r="C1773" s="15" t="s">
        <v>7594</v>
      </c>
      <c r="D1773" s="16" t="s">
        <v>5610</v>
      </c>
    </row>
    <row r="1774" spans="1:4" x14ac:dyDescent="0.35">
      <c r="A1774" s="11" t="s">
        <v>587</v>
      </c>
      <c r="B1774" s="12" t="s">
        <v>4713</v>
      </c>
      <c r="C1774" s="12" t="s">
        <v>7595</v>
      </c>
      <c r="D1774" s="13" t="s">
        <v>7596</v>
      </c>
    </row>
    <row r="1775" spans="1:4" x14ac:dyDescent="0.35">
      <c r="A1775" s="14" t="s">
        <v>586</v>
      </c>
      <c r="B1775" s="15" t="s">
        <v>4716</v>
      </c>
      <c r="C1775" s="15" t="s">
        <v>7597</v>
      </c>
      <c r="D1775" s="16" t="s">
        <v>7598</v>
      </c>
    </row>
    <row r="1776" spans="1:4" x14ac:dyDescent="0.35">
      <c r="A1776" s="11" t="s">
        <v>585</v>
      </c>
      <c r="B1776" s="12" t="s">
        <v>4713</v>
      </c>
      <c r="C1776" s="12" t="s">
        <v>7599</v>
      </c>
      <c r="D1776" s="13" t="s">
        <v>6499</v>
      </c>
    </row>
    <row r="1777" spans="1:4" x14ac:dyDescent="0.35">
      <c r="A1777" s="14" t="s">
        <v>584</v>
      </c>
      <c r="B1777" s="15" t="s">
        <v>4713</v>
      </c>
      <c r="C1777" s="15" t="s">
        <v>7600</v>
      </c>
      <c r="D1777" s="16" t="s">
        <v>4903</v>
      </c>
    </row>
    <row r="1778" spans="1:4" x14ac:dyDescent="0.35">
      <c r="A1778" s="11" t="s">
        <v>583</v>
      </c>
      <c r="B1778" s="12" t="s">
        <v>4716</v>
      </c>
      <c r="C1778" s="12" t="s">
        <v>7601</v>
      </c>
      <c r="D1778" s="13" t="s">
        <v>7602</v>
      </c>
    </row>
    <row r="1779" spans="1:4" x14ac:dyDescent="0.35">
      <c r="A1779" s="14" t="s">
        <v>582</v>
      </c>
      <c r="B1779" s="15" t="s">
        <v>4713</v>
      </c>
      <c r="C1779" s="15" t="s">
        <v>6581</v>
      </c>
      <c r="D1779" s="16" t="s">
        <v>7603</v>
      </c>
    </row>
    <row r="1780" spans="1:4" x14ac:dyDescent="0.35">
      <c r="A1780" s="11" t="s">
        <v>581</v>
      </c>
      <c r="B1780" s="12" t="s">
        <v>4716</v>
      </c>
      <c r="C1780" s="12" t="s">
        <v>7604</v>
      </c>
      <c r="D1780" s="13" t="s">
        <v>7605</v>
      </c>
    </row>
    <row r="1781" spans="1:4" x14ac:dyDescent="0.35">
      <c r="A1781" s="14" t="s">
        <v>580</v>
      </c>
      <c r="B1781" s="15" t="s">
        <v>4713</v>
      </c>
      <c r="C1781" s="15" t="s">
        <v>7606</v>
      </c>
      <c r="D1781" s="16" t="s">
        <v>6103</v>
      </c>
    </row>
    <row r="1782" spans="1:4" x14ac:dyDescent="0.35">
      <c r="A1782" s="11" t="s">
        <v>579</v>
      </c>
      <c r="B1782" s="12" t="s">
        <v>4713</v>
      </c>
      <c r="C1782" s="12" t="s">
        <v>7607</v>
      </c>
      <c r="D1782" s="13" t="s">
        <v>6222</v>
      </c>
    </row>
    <row r="1783" spans="1:4" x14ac:dyDescent="0.35">
      <c r="A1783" s="14" t="s">
        <v>578</v>
      </c>
      <c r="B1783" s="15" t="s">
        <v>4716</v>
      </c>
      <c r="C1783" s="15" t="s">
        <v>7354</v>
      </c>
      <c r="D1783" s="16" t="s">
        <v>7608</v>
      </c>
    </row>
    <row r="1784" spans="1:4" x14ac:dyDescent="0.35">
      <c r="A1784" s="11" t="s">
        <v>577</v>
      </c>
      <c r="B1784" s="12" t="s">
        <v>4713</v>
      </c>
      <c r="C1784" s="12" t="s">
        <v>4765</v>
      </c>
      <c r="D1784" s="13" t="s">
        <v>7609</v>
      </c>
    </row>
    <row r="1785" spans="1:4" x14ac:dyDescent="0.35">
      <c r="A1785" s="14" t="s">
        <v>576</v>
      </c>
      <c r="B1785" s="15" t="s">
        <v>4716</v>
      </c>
      <c r="C1785" s="15" t="s">
        <v>5757</v>
      </c>
      <c r="D1785" s="16" t="s">
        <v>6089</v>
      </c>
    </row>
    <row r="1786" spans="1:4" x14ac:dyDescent="0.35">
      <c r="A1786" s="11" t="s">
        <v>575</v>
      </c>
      <c r="B1786" s="12" t="s">
        <v>4716</v>
      </c>
      <c r="C1786" s="12" t="s">
        <v>7610</v>
      </c>
      <c r="D1786" s="13" t="s">
        <v>7611</v>
      </c>
    </row>
    <row r="1787" spans="1:4" x14ac:dyDescent="0.35">
      <c r="A1787" s="14" t="s">
        <v>574</v>
      </c>
      <c r="B1787" s="15" t="s">
        <v>4716</v>
      </c>
      <c r="C1787" s="15" t="s">
        <v>7612</v>
      </c>
      <c r="D1787" s="16" t="s">
        <v>4754</v>
      </c>
    </row>
    <row r="1788" spans="1:4" x14ac:dyDescent="0.35">
      <c r="A1788" s="11" t="s">
        <v>573</v>
      </c>
      <c r="B1788" s="12" t="s">
        <v>4716</v>
      </c>
      <c r="C1788" s="12" t="s">
        <v>7613</v>
      </c>
      <c r="D1788" s="13" t="s">
        <v>7614</v>
      </c>
    </row>
    <row r="1789" spans="1:4" x14ac:dyDescent="0.35">
      <c r="A1789" s="14" t="s">
        <v>572</v>
      </c>
      <c r="B1789" s="15" t="s">
        <v>4716</v>
      </c>
      <c r="C1789" s="15" t="s">
        <v>6616</v>
      </c>
      <c r="D1789" s="16" t="s">
        <v>7615</v>
      </c>
    </row>
    <row r="1790" spans="1:4" x14ac:dyDescent="0.35">
      <c r="A1790" s="11" t="s">
        <v>571</v>
      </c>
      <c r="B1790" s="12" t="s">
        <v>4716</v>
      </c>
      <c r="C1790" s="12" t="s">
        <v>7616</v>
      </c>
      <c r="D1790" s="13" t="s">
        <v>4728</v>
      </c>
    </row>
    <row r="1791" spans="1:4" x14ac:dyDescent="0.35">
      <c r="A1791" s="14" t="s">
        <v>570</v>
      </c>
      <c r="B1791" s="15" t="s">
        <v>4716</v>
      </c>
      <c r="C1791" s="15" t="s">
        <v>7617</v>
      </c>
      <c r="D1791" s="16" t="s">
        <v>7618</v>
      </c>
    </row>
    <row r="1792" spans="1:4" x14ac:dyDescent="0.35">
      <c r="A1792" s="11" t="s">
        <v>569</v>
      </c>
      <c r="B1792" s="12" t="s">
        <v>4716</v>
      </c>
      <c r="C1792" s="12" t="s">
        <v>5464</v>
      </c>
      <c r="D1792" s="13" t="s">
        <v>7619</v>
      </c>
    </row>
    <row r="1793" spans="1:4" x14ac:dyDescent="0.35">
      <c r="A1793" s="14" t="s">
        <v>568</v>
      </c>
      <c r="B1793" s="15" t="s">
        <v>4713</v>
      </c>
      <c r="C1793" s="15" t="s">
        <v>7620</v>
      </c>
      <c r="D1793" s="16" t="s">
        <v>5084</v>
      </c>
    </row>
    <row r="1794" spans="1:4" x14ac:dyDescent="0.35">
      <c r="A1794" s="11" t="s">
        <v>567</v>
      </c>
      <c r="B1794" s="12" t="s">
        <v>4716</v>
      </c>
      <c r="C1794" s="12" t="s">
        <v>7621</v>
      </c>
      <c r="D1794" s="13" t="s">
        <v>5010</v>
      </c>
    </row>
    <row r="1795" spans="1:4" x14ac:dyDescent="0.35">
      <c r="A1795" s="14" t="s">
        <v>566</v>
      </c>
      <c r="B1795" s="15" t="s">
        <v>4713</v>
      </c>
      <c r="C1795" s="15" t="s">
        <v>7622</v>
      </c>
      <c r="D1795" s="16" t="s">
        <v>5877</v>
      </c>
    </row>
    <row r="1796" spans="1:4" x14ac:dyDescent="0.35">
      <c r="A1796" s="11" t="s">
        <v>565</v>
      </c>
      <c r="B1796" s="12" t="s">
        <v>4716</v>
      </c>
      <c r="C1796" s="12" t="s">
        <v>7098</v>
      </c>
      <c r="D1796" s="13" t="s">
        <v>4787</v>
      </c>
    </row>
    <row r="1797" spans="1:4" x14ac:dyDescent="0.35">
      <c r="A1797" s="14" t="s">
        <v>564</v>
      </c>
      <c r="B1797" s="15" t="s">
        <v>4713</v>
      </c>
      <c r="C1797" s="15" t="s">
        <v>7623</v>
      </c>
      <c r="D1797" s="16" t="s">
        <v>6637</v>
      </c>
    </row>
    <row r="1798" spans="1:4" x14ac:dyDescent="0.35">
      <c r="A1798" s="11" t="s">
        <v>563</v>
      </c>
      <c r="B1798" s="12" t="s">
        <v>4716</v>
      </c>
      <c r="C1798" s="12" t="s">
        <v>7624</v>
      </c>
      <c r="D1798" s="13" t="s">
        <v>7625</v>
      </c>
    </row>
    <row r="1799" spans="1:4" x14ac:dyDescent="0.35">
      <c r="A1799" s="14" t="s">
        <v>562</v>
      </c>
      <c r="B1799" s="15" t="s">
        <v>4713</v>
      </c>
      <c r="C1799" s="15" t="s">
        <v>7626</v>
      </c>
      <c r="D1799" s="16" t="s">
        <v>7627</v>
      </c>
    </row>
    <row r="1800" spans="1:4" x14ac:dyDescent="0.35">
      <c r="A1800" s="11" t="s">
        <v>561</v>
      </c>
      <c r="B1800" s="12" t="s">
        <v>4713</v>
      </c>
      <c r="C1800" s="12" t="s">
        <v>5709</v>
      </c>
      <c r="D1800" s="13" t="s">
        <v>7628</v>
      </c>
    </row>
    <row r="1801" spans="1:4" x14ac:dyDescent="0.35">
      <c r="A1801" s="14" t="s">
        <v>560</v>
      </c>
      <c r="B1801" s="15" t="s">
        <v>4716</v>
      </c>
      <c r="C1801" s="15" t="s">
        <v>7629</v>
      </c>
      <c r="D1801" s="16" t="s">
        <v>7630</v>
      </c>
    </row>
    <row r="1802" spans="1:4" x14ac:dyDescent="0.35">
      <c r="A1802" s="11" t="s">
        <v>559</v>
      </c>
      <c r="B1802" s="12" t="s">
        <v>4713</v>
      </c>
      <c r="C1802" s="12" t="s">
        <v>7631</v>
      </c>
      <c r="D1802" s="13" t="s">
        <v>7499</v>
      </c>
    </row>
    <row r="1803" spans="1:4" x14ac:dyDescent="0.35">
      <c r="A1803" s="14" t="s">
        <v>558</v>
      </c>
      <c r="B1803" s="15" t="s">
        <v>4716</v>
      </c>
      <c r="C1803" s="15" t="s">
        <v>7632</v>
      </c>
      <c r="D1803" s="16" t="s">
        <v>4843</v>
      </c>
    </row>
    <row r="1804" spans="1:4" x14ac:dyDescent="0.35">
      <c r="A1804" s="11" t="s">
        <v>557</v>
      </c>
      <c r="B1804" s="12" t="s">
        <v>4716</v>
      </c>
      <c r="C1804" s="12" t="s">
        <v>5101</v>
      </c>
      <c r="D1804" s="13" t="s">
        <v>5747</v>
      </c>
    </row>
    <row r="1805" spans="1:4" x14ac:dyDescent="0.35">
      <c r="A1805" s="14" t="s">
        <v>556</v>
      </c>
      <c r="B1805" s="15" t="s">
        <v>4716</v>
      </c>
      <c r="C1805" s="15" t="s">
        <v>4771</v>
      </c>
      <c r="D1805" s="16" t="s">
        <v>7633</v>
      </c>
    </row>
    <row r="1806" spans="1:4" x14ac:dyDescent="0.35">
      <c r="A1806" s="11" t="s">
        <v>555</v>
      </c>
      <c r="B1806" s="12" t="s">
        <v>4716</v>
      </c>
      <c r="C1806" s="12" t="s">
        <v>7634</v>
      </c>
      <c r="D1806" s="13" t="s">
        <v>7635</v>
      </c>
    </row>
    <row r="1807" spans="1:4" x14ac:dyDescent="0.35">
      <c r="A1807" s="14" t="s">
        <v>554</v>
      </c>
      <c r="B1807" s="15" t="s">
        <v>4713</v>
      </c>
      <c r="C1807" s="15" t="s">
        <v>7636</v>
      </c>
      <c r="D1807" s="16" t="s">
        <v>5536</v>
      </c>
    </row>
    <row r="1808" spans="1:4" x14ac:dyDescent="0.35">
      <c r="A1808" s="11" t="s">
        <v>553</v>
      </c>
      <c r="B1808" s="12" t="s">
        <v>4713</v>
      </c>
      <c r="C1808" s="12" t="s">
        <v>7637</v>
      </c>
      <c r="D1808" s="13" t="s">
        <v>7638</v>
      </c>
    </row>
    <row r="1809" spans="1:4" x14ac:dyDescent="0.35">
      <c r="A1809" s="14" t="s">
        <v>552</v>
      </c>
      <c r="B1809" s="15" t="s">
        <v>4713</v>
      </c>
      <c r="C1809" s="15" t="s">
        <v>7639</v>
      </c>
      <c r="D1809" s="16" t="s">
        <v>7640</v>
      </c>
    </row>
    <row r="1810" spans="1:4" x14ac:dyDescent="0.35">
      <c r="A1810" s="11" t="s">
        <v>551</v>
      </c>
      <c r="B1810" s="12" t="s">
        <v>4713</v>
      </c>
      <c r="C1810" s="12" t="s">
        <v>7641</v>
      </c>
      <c r="D1810" s="13" t="s">
        <v>5184</v>
      </c>
    </row>
    <row r="1811" spans="1:4" x14ac:dyDescent="0.35">
      <c r="A1811" s="14" t="s">
        <v>550</v>
      </c>
      <c r="B1811" s="15" t="s">
        <v>4713</v>
      </c>
      <c r="C1811" s="15" t="s">
        <v>7642</v>
      </c>
      <c r="D1811" s="16" t="s">
        <v>7548</v>
      </c>
    </row>
    <row r="1812" spans="1:4" x14ac:dyDescent="0.35">
      <c r="A1812" s="11" t="s">
        <v>549</v>
      </c>
      <c r="B1812" s="12" t="s">
        <v>4713</v>
      </c>
      <c r="C1812" s="12" t="s">
        <v>7643</v>
      </c>
      <c r="D1812" s="13" t="s">
        <v>7644</v>
      </c>
    </row>
    <row r="1813" spans="1:4" x14ac:dyDescent="0.35">
      <c r="A1813" s="14" t="s">
        <v>548</v>
      </c>
      <c r="B1813" s="15" t="s">
        <v>4713</v>
      </c>
      <c r="C1813" s="15" t="s">
        <v>7645</v>
      </c>
      <c r="D1813" s="16" t="s">
        <v>7646</v>
      </c>
    </row>
    <row r="1814" spans="1:4" x14ac:dyDescent="0.35">
      <c r="A1814" s="11" t="s">
        <v>547</v>
      </c>
      <c r="B1814" s="12" t="s">
        <v>4716</v>
      </c>
      <c r="C1814" s="12" t="s">
        <v>7647</v>
      </c>
      <c r="D1814" s="13" t="s">
        <v>7648</v>
      </c>
    </row>
    <row r="1815" spans="1:4" x14ac:dyDescent="0.35">
      <c r="A1815" s="14" t="s">
        <v>546</v>
      </c>
      <c r="B1815" s="15" t="s">
        <v>4713</v>
      </c>
      <c r="C1815" s="15" t="s">
        <v>7649</v>
      </c>
      <c r="D1815" s="16" t="s">
        <v>5536</v>
      </c>
    </row>
    <row r="1816" spans="1:4" x14ac:dyDescent="0.35">
      <c r="A1816" s="11" t="s">
        <v>545</v>
      </c>
      <c r="B1816" s="12" t="s">
        <v>4716</v>
      </c>
      <c r="C1816" s="12" t="s">
        <v>7650</v>
      </c>
      <c r="D1816" s="13" t="s">
        <v>6000</v>
      </c>
    </row>
    <row r="1817" spans="1:4" x14ac:dyDescent="0.35">
      <c r="A1817" s="14" t="s">
        <v>544</v>
      </c>
      <c r="B1817" s="15" t="s">
        <v>4716</v>
      </c>
      <c r="C1817" s="15" t="s">
        <v>7651</v>
      </c>
      <c r="D1817" s="16" t="s">
        <v>7652</v>
      </c>
    </row>
    <row r="1818" spans="1:4" x14ac:dyDescent="0.35">
      <c r="A1818" s="11" t="s">
        <v>543</v>
      </c>
      <c r="B1818" s="12" t="s">
        <v>4716</v>
      </c>
      <c r="C1818" s="12" t="s">
        <v>7653</v>
      </c>
      <c r="D1818" s="13" t="s">
        <v>7654</v>
      </c>
    </row>
    <row r="1819" spans="1:4" x14ac:dyDescent="0.35">
      <c r="A1819" s="14" t="s">
        <v>542</v>
      </c>
      <c r="B1819" s="15" t="s">
        <v>4716</v>
      </c>
      <c r="C1819" s="15" t="s">
        <v>7655</v>
      </c>
      <c r="D1819" s="16" t="s">
        <v>7172</v>
      </c>
    </row>
    <row r="1820" spans="1:4" x14ac:dyDescent="0.35">
      <c r="A1820" s="11" t="s">
        <v>541</v>
      </c>
      <c r="B1820" s="12" t="s">
        <v>4716</v>
      </c>
      <c r="C1820" s="12" t="s">
        <v>6466</v>
      </c>
      <c r="D1820" s="13" t="s">
        <v>5365</v>
      </c>
    </row>
    <row r="1821" spans="1:4" x14ac:dyDescent="0.35">
      <c r="A1821" s="14" t="s">
        <v>540</v>
      </c>
      <c r="B1821" s="15" t="s">
        <v>4716</v>
      </c>
      <c r="C1821" s="15" t="s">
        <v>7656</v>
      </c>
      <c r="D1821" s="16" t="s">
        <v>7657</v>
      </c>
    </row>
    <row r="1822" spans="1:4" x14ac:dyDescent="0.35">
      <c r="A1822" s="11" t="s">
        <v>539</v>
      </c>
      <c r="B1822" s="12" t="s">
        <v>4716</v>
      </c>
      <c r="C1822" s="12" t="s">
        <v>7658</v>
      </c>
      <c r="D1822" s="13" t="s">
        <v>4873</v>
      </c>
    </row>
    <row r="1823" spans="1:4" x14ac:dyDescent="0.35">
      <c r="A1823" s="14" t="s">
        <v>538</v>
      </c>
      <c r="B1823" s="15" t="s">
        <v>4716</v>
      </c>
      <c r="C1823" s="15" t="s">
        <v>7659</v>
      </c>
      <c r="D1823" s="16" t="s">
        <v>7660</v>
      </c>
    </row>
    <row r="1824" spans="1:4" x14ac:dyDescent="0.35">
      <c r="A1824" s="11" t="s">
        <v>537</v>
      </c>
      <c r="B1824" s="12" t="s">
        <v>4713</v>
      </c>
      <c r="C1824" s="12" t="s">
        <v>7661</v>
      </c>
      <c r="D1824" s="13" t="s">
        <v>7662</v>
      </c>
    </row>
    <row r="1825" spans="1:4" x14ac:dyDescent="0.35">
      <c r="A1825" s="14" t="s">
        <v>536</v>
      </c>
      <c r="B1825" s="15" t="s">
        <v>4716</v>
      </c>
      <c r="C1825" s="15" t="s">
        <v>6038</v>
      </c>
      <c r="D1825" s="16" t="s">
        <v>5559</v>
      </c>
    </row>
    <row r="1826" spans="1:4" x14ac:dyDescent="0.35">
      <c r="A1826" s="11" t="s">
        <v>535</v>
      </c>
      <c r="B1826" s="12" t="s">
        <v>4713</v>
      </c>
      <c r="C1826" s="12" t="s">
        <v>7663</v>
      </c>
      <c r="D1826" s="13" t="s">
        <v>7664</v>
      </c>
    </row>
    <row r="1827" spans="1:4" x14ac:dyDescent="0.35">
      <c r="A1827" s="14" t="s">
        <v>534</v>
      </c>
      <c r="B1827" s="15" t="s">
        <v>4713</v>
      </c>
      <c r="C1827" s="15" t="s">
        <v>7665</v>
      </c>
      <c r="D1827" s="16" t="s">
        <v>7666</v>
      </c>
    </row>
    <row r="1828" spans="1:4" x14ac:dyDescent="0.35">
      <c r="A1828" s="11" t="s">
        <v>533</v>
      </c>
      <c r="B1828" s="12" t="s">
        <v>4713</v>
      </c>
      <c r="C1828" s="12" t="s">
        <v>7667</v>
      </c>
      <c r="D1828" s="13" t="s">
        <v>7668</v>
      </c>
    </row>
    <row r="1829" spans="1:4" x14ac:dyDescent="0.35">
      <c r="A1829" s="14" t="s">
        <v>532</v>
      </c>
      <c r="B1829" s="15" t="s">
        <v>4713</v>
      </c>
      <c r="C1829" s="15" t="s">
        <v>7669</v>
      </c>
      <c r="D1829" s="16" t="s">
        <v>7519</v>
      </c>
    </row>
    <row r="1830" spans="1:4" x14ac:dyDescent="0.35">
      <c r="A1830" s="11" t="s">
        <v>531</v>
      </c>
      <c r="B1830" s="12" t="s">
        <v>4713</v>
      </c>
      <c r="C1830" s="12" t="s">
        <v>7670</v>
      </c>
      <c r="D1830" s="13" t="s">
        <v>5525</v>
      </c>
    </row>
    <row r="1831" spans="1:4" x14ac:dyDescent="0.35">
      <c r="A1831" s="14" t="s">
        <v>530</v>
      </c>
      <c r="B1831" s="15" t="s">
        <v>4716</v>
      </c>
      <c r="C1831" s="15" t="s">
        <v>5077</v>
      </c>
      <c r="D1831" s="16" t="s">
        <v>7671</v>
      </c>
    </row>
    <row r="1832" spans="1:4" x14ac:dyDescent="0.35">
      <c r="A1832" s="11" t="s">
        <v>529</v>
      </c>
      <c r="B1832" s="12" t="s">
        <v>4713</v>
      </c>
      <c r="C1832" s="12" t="s">
        <v>6467</v>
      </c>
      <c r="D1832" s="13" t="s">
        <v>5111</v>
      </c>
    </row>
    <row r="1833" spans="1:4" x14ac:dyDescent="0.35">
      <c r="A1833" s="14" t="s">
        <v>528</v>
      </c>
      <c r="B1833" s="15" t="s">
        <v>4713</v>
      </c>
      <c r="C1833" s="15" t="s">
        <v>5439</v>
      </c>
      <c r="D1833" s="16" t="s">
        <v>7435</v>
      </c>
    </row>
    <row r="1834" spans="1:4" x14ac:dyDescent="0.35">
      <c r="A1834" s="11" t="s">
        <v>527</v>
      </c>
      <c r="B1834" s="12" t="s">
        <v>4716</v>
      </c>
      <c r="C1834" s="12" t="s">
        <v>7672</v>
      </c>
      <c r="D1834" s="13" t="s">
        <v>7673</v>
      </c>
    </row>
    <row r="1835" spans="1:4" x14ac:dyDescent="0.35">
      <c r="A1835" s="14" t="s">
        <v>526</v>
      </c>
      <c r="B1835" s="15" t="s">
        <v>4713</v>
      </c>
      <c r="C1835" s="15" t="s">
        <v>7674</v>
      </c>
      <c r="D1835" s="16" t="s">
        <v>7675</v>
      </c>
    </row>
    <row r="1836" spans="1:4" x14ac:dyDescent="0.35">
      <c r="A1836" s="11" t="s">
        <v>524</v>
      </c>
      <c r="B1836" s="12" t="s">
        <v>5590</v>
      </c>
      <c r="C1836" s="12" t="s">
        <v>7676</v>
      </c>
      <c r="D1836" s="13" t="s">
        <v>6876</v>
      </c>
    </row>
    <row r="1837" spans="1:4" x14ac:dyDescent="0.35">
      <c r="A1837" s="14" t="s">
        <v>523</v>
      </c>
      <c r="B1837" s="15" t="s">
        <v>4716</v>
      </c>
      <c r="C1837" s="15" t="s">
        <v>7677</v>
      </c>
      <c r="D1837" s="16" t="s">
        <v>6000</v>
      </c>
    </row>
    <row r="1838" spans="1:4" x14ac:dyDescent="0.35">
      <c r="A1838" s="11" t="s">
        <v>522</v>
      </c>
      <c r="B1838" s="12" t="s">
        <v>4716</v>
      </c>
      <c r="C1838" s="12" t="s">
        <v>7678</v>
      </c>
      <c r="D1838" s="13" t="s">
        <v>7679</v>
      </c>
    </row>
    <row r="1839" spans="1:4" x14ac:dyDescent="0.35">
      <c r="A1839" s="14" t="s">
        <v>521</v>
      </c>
      <c r="B1839" s="15" t="s">
        <v>4716</v>
      </c>
      <c r="C1839" s="15" t="s">
        <v>7680</v>
      </c>
      <c r="D1839" s="16" t="s">
        <v>7681</v>
      </c>
    </row>
    <row r="1840" spans="1:4" x14ac:dyDescent="0.35">
      <c r="A1840" s="11" t="s">
        <v>520</v>
      </c>
      <c r="B1840" s="12" t="s">
        <v>4716</v>
      </c>
      <c r="C1840" s="12" t="s">
        <v>6698</v>
      </c>
      <c r="D1840" s="13" t="s">
        <v>7682</v>
      </c>
    </row>
    <row r="1841" spans="1:4" x14ac:dyDescent="0.35">
      <c r="A1841" s="14" t="s">
        <v>519</v>
      </c>
      <c r="B1841" s="15" t="s">
        <v>4716</v>
      </c>
      <c r="C1841" s="15" t="s">
        <v>6781</v>
      </c>
      <c r="D1841" s="16" t="s">
        <v>7683</v>
      </c>
    </row>
    <row r="1842" spans="1:4" x14ac:dyDescent="0.35">
      <c r="A1842" s="11" t="s">
        <v>518</v>
      </c>
      <c r="B1842" s="12" t="s">
        <v>4713</v>
      </c>
      <c r="C1842" s="12" t="s">
        <v>7684</v>
      </c>
      <c r="D1842" s="13" t="s">
        <v>4841</v>
      </c>
    </row>
    <row r="1843" spans="1:4" x14ac:dyDescent="0.35">
      <c r="A1843" s="14" t="s">
        <v>517</v>
      </c>
      <c r="B1843" s="15" t="s">
        <v>4713</v>
      </c>
      <c r="C1843" s="15" t="s">
        <v>7685</v>
      </c>
      <c r="D1843" s="16" t="s">
        <v>7686</v>
      </c>
    </row>
    <row r="1844" spans="1:4" x14ac:dyDescent="0.35">
      <c r="A1844" s="11" t="s">
        <v>516</v>
      </c>
      <c r="B1844" s="12" t="s">
        <v>4716</v>
      </c>
      <c r="C1844" s="12" t="s">
        <v>4844</v>
      </c>
      <c r="D1844" s="13" t="s">
        <v>7687</v>
      </c>
    </row>
    <row r="1845" spans="1:4" x14ac:dyDescent="0.35">
      <c r="A1845" s="14" t="s">
        <v>515</v>
      </c>
      <c r="B1845" s="15" t="s">
        <v>4716</v>
      </c>
      <c r="C1845" s="15" t="s">
        <v>7688</v>
      </c>
      <c r="D1845" s="16" t="s">
        <v>7689</v>
      </c>
    </row>
    <row r="1846" spans="1:4" x14ac:dyDescent="0.35">
      <c r="A1846" s="11" t="s">
        <v>514</v>
      </c>
      <c r="B1846" s="12" t="s">
        <v>4716</v>
      </c>
      <c r="C1846" s="12" t="s">
        <v>7690</v>
      </c>
      <c r="D1846" s="13" t="s">
        <v>4766</v>
      </c>
    </row>
    <row r="1847" spans="1:4" x14ac:dyDescent="0.35">
      <c r="A1847" s="14" t="s">
        <v>513</v>
      </c>
      <c r="B1847" s="15" t="s">
        <v>4716</v>
      </c>
      <c r="C1847" s="15" t="s">
        <v>7691</v>
      </c>
      <c r="D1847" s="16" t="s">
        <v>7692</v>
      </c>
    </row>
    <row r="1848" spans="1:4" x14ac:dyDescent="0.35">
      <c r="A1848" s="11" t="s">
        <v>512</v>
      </c>
      <c r="B1848" s="12" t="s">
        <v>4716</v>
      </c>
      <c r="C1848" s="12" t="s">
        <v>7693</v>
      </c>
      <c r="D1848" s="13" t="s">
        <v>7694</v>
      </c>
    </row>
    <row r="1849" spans="1:4" x14ac:dyDescent="0.35">
      <c r="A1849" s="14" t="s">
        <v>511</v>
      </c>
      <c r="B1849" s="15" t="s">
        <v>4716</v>
      </c>
      <c r="C1849" s="15" t="s">
        <v>7695</v>
      </c>
      <c r="D1849" s="16" t="s">
        <v>7696</v>
      </c>
    </row>
    <row r="1850" spans="1:4" x14ac:dyDescent="0.35">
      <c r="A1850" s="11" t="s">
        <v>510</v>
      </c>
      <c r="B1850" s="12" t="s">
        <v>4716</v>
      </c>
      <c r="C1850" s="12" t="s">
        <v>7697</v>
      </c>
      <c r="D1850" s="13" t="s">
        <v>7698</v>
      </c>
    </row>
    <row r="1851" spans="1:4" x14ac:dyDescent="0.35">
      <c r="A1851" s="14" t="s">
        <v>509</v>
      </c>
      <c r="B1851" s="15" t="s">
        <v>4716</v>
      </c>
      <c r="C1851" s="15" t="s">
        <v>7699</v>
      </c>
      <c r="D1851" s="16" t="s">
        <v>5276</v>
      </c>
    </row>
    <row r="1852" spans="1:4" x14ac:dyDescent="0.35">
      <c r="A1852" s="11" t="s">
        <v>508</v>
      </c>
      <c r="B1852" s="12" t="s">
        <v>4716</v>
      </c>
      <c r="C1852" s="12" t="s">
        <v>7700</v>
      </c>
      <c r="D1852" s="13" t="s">
        <v>4811</v>
      </c>
    </row>
    <row r="1853" spans="1:4" x14ac:dyDescent="0.35">
      <c r="A1853" s="14" t="s">
        <v>507</v>
      </c>
      <c r="B1853" s="15" t="s">
        <v>4716</v>
      </c>
      <c r="C1853" s="15" t="s">
        <v>7701</v>
      </c>
      <c r="D1853" s="16" t="s">
        <v>7702</v>
      </c>
    </row>
    <row r="1854" spans="1:4" x14ac:dyDescent="0.35">
      <c r="A1854" s="11" t="s">
        <v>505</v>
      </c>
      <c r="B1854" s="12" t="s">
        <v>4716</v>
      </c>
      <c r="C1854" s="12" t="s">
        <v>7703</v>
      </c>
      <c r="D1854" s="13" t="s">
        <v>4811</v>
      </c>
    </row>
    <row r="1855" spans="1:4" x14ac:dyDescent="0.35">
      <c r="A1855" s="14" t="s">
        <v>504</v>
      </c>
      <c r="B1855" s="15" t="s">
        <v>4713</v>
      </c>
      <c r="C1855" s="15" t="s">
        <v>7397</v>
      </c>
      <c r="D1855" s="16" t="s">
        <v>7704</v>
      </c>
    </row>
    <row r="1856" spans="1:4" x14ac:dyDescent="0.35">
      <c r="A1856" s="11" t="s">
        <v>503</v>
      </c>
      <c r="B1856" s="12" t="s">
        <v>4716</v>
      </c>
      <c r="C1856" s="12" t="s">
        <v>5928</v>
      </c>
      <c r="D1856" s="13" t="s">
        <v>6857</v>
      </c>
    </row>
    <row r="1857" spans="1:4" x14ac:dyDescent="0.35">
      <c r="A1857" s="14" t="s">
        <v>502</v>
      </c>
      <c r="B1857" s="15" t="s">
        <v>4716</v>
      </c>
      <c r="C1857" s="15" t="s">
        <v>7705</v>
      </c>
      <c r="D1857" s="16" t="s">
        <v>5471</v>
      </c>
    </row>
    <row r="1858" spans="1:4" x14ac:dyDescent="0.35">
      <c r="A1858" s="11" t="s">
        <v>501</v>
      </c>
      <c r="B1858" s="12" t="s">
        <v>4713</v>
      </c>
      <c r="C1858" s="12" t="s">
        <v>7706</v>
      </c>
      <c r="D1858" s="13" t="s">
        <v>7707</v>
      </c>
    </row>
    <row r="1859" spans="1:4" x14ac:dyDescent="0.35">
      <c r="A1859" s="14" t="s">
        <v>500</v>
      </c>
      <c r="B1859" s="15" t="s">
        <v>4716</v>
      </c>
      <c r="C1859" s="15" t="s">
        <v>7708</v>
      </c>
      <c r="D1859" s="16" t="s">
        <v>7709</v>
      </c>
    </row>
    <row r="1860" spans="1:4" x14ac:dyDescent="0.35">
      <c r="A1860" s="11" t="s">
        <v>499</v>
      </c>
      <c r="B1860" s="12" t="s">
        <v>4713</v>
      </c>
      <c r="C1860" s="12" t="s">
        <v>6557</v>
      </c>
      <c r="D1860" s="13" t="s">
        <v>6925</v>
      </c>
    </row>
    <row r="1861" spans="1:4" x14ac:dyDescent="0.35">
      <c r="A1861" s="14" t="s">
        <v>498</v>
      </c>
      <c r="B1861" s="15" t="s">
        <v>4713</v>
      </c>
      <c r="C1861" s="15" t="s">
        <v>6272</v>
      </c>
      <c r="D1861" s="16" t="s">
        <v>7710</v>
      </c>
    </row>
    <row r="1862" spans="1:4" x14ac:dyDescent="0.35">
      <c r="A1862" s="11" t="s">
        <v>497</v>
      </c>
      <c r="B1862" s="12" t="s">
        <v>4713</v>
      </c>
      <c r="C1862" s="12" t="s">
        <v>7711</v>
      </c>
      <c r="D1862" s="13" t="s">
        <v>7712</v>
      </c>
    </row>
    <row r="1863" spans="1:4" x14ac:dyDescent="0.35">
      <c r="A1863" s="14" t="s">
        <v>496</v>
      </c>
      <c r="B1863" s="15" t="s">
        <v>4713</v>
      </c>
      <c r="C1863" s="15" t="s">
        <v>5446</v>
      </c>
      <c r="D1863" s="16" t="s">
        <v>5661</v>
      </c>
    </row>
    <row r="1864" spans="1:4" x14ac:dyDescent="0.35">
      <c r="A1864" s="11" t="s">
        <v>495</v>
      </c>
      <c r="B1864" s="12" t="s">
        <v>4713</v>
      </c>
      <c r="C1864" s="12" t="s">
        <v>7713</v>
      </c>
      <c r="D1864" s="13" t="s">
        <v>7714</v>
      </c>
    </row>
    <row r="1865" spans="1:4" x14ac:dyDescent="0.35">
      <c r="A1865" s="14" t="s">
        <v>494</v>
      </c>
      <c r="B1865" s="15" t="s">
        <v>4713</v>
      </c>
      <c r="C1865" s="15" t="s">
        <v>7715</v>
      </c>
      <c r="D1865" s="16" t="s">
        <v>4822</v>
      </c>
    </row>
    <row r="1866" spans="1:4" x14ac:dyDescent="0.35">
      <c r="A1866" s="11" t="s">
        <v>493</v>
      </c>
      <c r="B1866" s="12" t="s">
        <v>4713</v>
      </c>
      <c r="C1866" s="12" t="s">
        <v>5533</v>
      </c>
      <c r="D1866" s="13" t="s">
        <v>7716</v>
      </c>
    </row>
    <row r="1867" spans="1:4" x14ac:dyDescent="0.35">
      <c r="A1867" s="14" t="s">
        <v>492</v>
      </c>
      <c r="B1867" s="15" t="s">
        <v>4716</v>
      </c>
      <c r="C1867" s="15" t="s">
        <v>7717</v>
      </c>
      <c r="D1867" s="16" t="s">
        <v>7718</v>
      </c>
    </row>
    <row r="1868" spans="1:4" x14ac:dyDescent="0.35">
      <c r="A1868" s="11" t="s">
        <v>491</v>
      </c>
      <c r="B1868" s="12" t="s">
        <v>4713</v>
      </c>
      <c r="C1868" s="12" t="s">
        <v>6134</v>
      </c>
      <c r="D1868" s="13" t="s">
        <v>6062</v>
      </c>
    </row>
    <row r="1869" spans="1:4" x14ac:dyDescent="0.35">
      <c r="A1869" s="14" t="s">
        <v>490</v>
      </c>
      <c r="B1869" s="15" t="s">
        <v>4716</v>
      </c>
      <c r="C1869" s="15" t="s">
        <v>5969</v>
      </c>
      <c r="D1869" s="16" t="s">
        <v>7719</v>
      </c>
    </row>
    <row r="1870" spans="1:4" x14ac:dyDescent="0.35">
      <c r="A1870" s="11" t="s">
        <v>489</v>
      </c>
      <c r="B1870" s="12" t="s">
        <v>4716</v>
      </c>
      <c r="C1870" s="12" t="s">
        <v>7720</v>
      </c>
      <c r="D1870" s="13" t="s">
        <v>5408</v>
      </c>
    </row>
    <row r="1871" spans="1:4" x14ac:dyDescent="0.35">
      <c r="A1871" s="14" t="s">
        <v>488</v>
      </c>
      <c r="B1871" s="15" t="s">
        <v>4716</v>
      </c>
      <c r="C1871" s="15" t="s">
        <v>5108</v>
      </c>
      <c r="D1871" s="16" t="s">
        <v>4962</v>
      </c>
    </row>
    <row r="1872" spans="1:4" x14ac:dyDescent="0.35">
      <c r="A1872" s="11" t="s">
        <v>487</v>
      </c>
      <c r="B1872" s="12" t="s">
        <v>4716</v>
      </c>
      <c r="C1872" s="12" t="s">
        <v>7721</v>
      </c>
      <c r="D1872" s="13" t="s">
        <v>7722</v>
      </c>
    </row>
    <row r="1873" spans="1:4" x14ac:dyDescent="0.35">
      <c r="A1873" s="14" t="s">
        <v>486</v>
      </c>
      <c r="B1873" s="15" t="s">
        <v>4716</v>
      </c>
      <c r="C1873" s="15" t="s">
        <v>7723</v>
      </c>
      <c r="D1873" s="16" t="s">
        <v>7724</v>
      </c>
    </row>
    <row r="1874" spans="1:4" x14ac:dyDescent="0.35">
      <c r="A1874" s="11" t="s">
        <v>485</v>
      </c>
      <c r="B1874" s="12" t="s">
        <v>4716</v>
      </c>
      <c r="C1874" s="12" t="s">
        <v>7725</v>
      </c>
      <c r="D1874" s="13" t="s">
        <v>7726</v>
      </c>
    </row>
    <row r="1875" spans="1:4" x14ac:dyDescent="0.35">
      <c r="A1875" s="14" t="s">
        <v>484</v>
      </c>
      <c r="B1875" s="15" t="s">
        <v>4716</v>
      </c>
      <c r="C1875" s="15" t="s">
        <v>7727</v>
      </c>
      <c r="D1875" s="16" t="s">
        <v>7728</v>
      </c>
    </row>
    <row r="1876" spans="1:4" x14ac:dyDescent="0.35">
      <c r="A1876" s="11" t="s">
        <v>483</v>
      </c>
      <c r="B1876" s="12" t="s">
        <v>4716</v>
      </c>
      <c r="C1876" s="12" t="s">
        <v>7729</v>
      </c>
      <c r="D1876" s="13" t="s">
        <v>7730</v>
      </c>
    </row>
    <row r="1877" spans="1:4" x14ac:dyDescent="0.35">
      <c r="A1877" s="14" t="s">
        <v>482</v>
      </c>
      <c r="B1877" s="15" t="s">
        <v>4713</v>
      </c>
      <c r="C1877" s="15" t="s">
        <v>6616</v>
      </c>
      <c r="D1877" s="16" t="s">
        <v>7731</v>
      </c>
    </row>
    <row r="1878" spans="1:4" x14ac:dyDescent="0.35">
      <c r="A1878" s="11" t="s">
        <v>481</v>
      </c>
      <c r="B1878" s="12" t="s">
        <v>4713</v>
      </c>
      <c r="C1878" s="12" t="s">
        <v>7732</v>
      </c>
      <c r="D1878" s="13" t="s">
        <v>5929</v>
      </c>
    </row>
    <row r="1879" spans="1:4" x14ac:dyDescent="0.35">
      <c r="A1879" s="14" t="s">
        <v>480</v>
      </c>
      <c r="B1879" s="15" t="s">
        <v>5590</v>
      </c>
      <c r="C1879" s="15" t="s">
        <v>7733</v>
      </c>
      <c r="D1879" s="16" t="s">
        <v>7734</v>
      </c>
    </row>
    <row r="1880" spans="1:4" x14ac:dyDescent="0.35">
      <c r="A1880" s="11" t="s">
        <v>479</v>
      </c>
      <c r="B1880" s="12" t="s">
        <v>4713</v>
      </c>
      <c r="C1880" s="12" t="s">
        <v>7735</v>
      </c>
      <c r="D1880" s="13" t="s">
        <v>7736</v>
      </c>
    </row>
    <row r="1881" spans="1:4" x14ac:dyDescent="0.35">
      <c r="A1881" s="14" t="s">
        <v>478</v>
      </c>
      <c r="B1881" s="15" t="s">
        <v>4713</v>
      </c>
      <c r="C1881" s="15" t="s">
        <v>7737</v>
      </c>
      <c r="D1881" s="16" t="s">
        <v>7738</v>
      </c>
    </row>
    <row r="1882" spans="1:4" x14ac:dyDescent="0.35">
      <c r="A1882" s="11" t="s">
        <v>477</v>
      </c>
      <c r="B1882" s="12" t="s">
        <v>4716</v>
      </c>
      <c r="C1882" s="12" t="s">
        <v>5726</v>
      </c>
      <c r="D1882" s="13" t="s">
        <v>7739</v>
      </c>
    </row>
    <row r="1883" spans="1:4" x14ac:dyDescent="0.35">
      <c r="A1883" s="14" t="s">
        <v>476</v>
      </c>
      <c r="B1883" s="15" t="s">
        <v>4713</v>
      </c>
      <c r="C1883" s="15" t="s">
        <v>7740</v>
      </c>
      <c r="D1883" s="16" t="s">
        <v>7731</v>
      </c>
    </row>
    <row r="1884" spans="1:4" x14ac:dyDescent="0.35">
      <c r="A1884" s="11" t="s">
        <v>475</v>
      </c>
      <c r="B1884" s="12" t="s">
        <v>4713</v>
      </c>
      <c r="C1884" s="12" t="s">
        <v>7741</v>
      </c>
      <c r="D1884" s="13" t="s">
        <v>7742</v>
      </c>
    </row>
    <row r="1885" spans="1:4" x14ac:dyDescent="0.35">
      <c r="A1885" s="14" t="s">
        <v>474</v>
      </c>
      <c r="B1885" s="15" t="s">
        <v>4713</v>
      </c>
      <c r="C1885" s="15" t="s">
        <v>7743</v>
      </c>
      <c r="D1885" s="16" t="s">
        <v>7744</v>
      </c>
    </row>
    <row r="1886" spans="1:4" x14ac:dyDescent="0.35">
      <c r="A1886" s="11" t="s">
        <v>473</v>
      </c>
      <c r="B1886" s="12" t="s">
        <v>4713</v>
      </c>
      <c r="C1886" s="12" t="s">
        <v>7745</v>
      </c>
      <c r="D1886" s="13" t="s">
        <v>7746</v>
      </c>
    </row>
    <row r="1887" spans="1:4" x14ac:dyDescent="0.35">
      <c r="A1887" s="14" t="s">
        <v>472</v>
      </c>
      <c r="B1887" s="15" t="s">
        <v>4713</v>
      </c>
      <c r="C1887" s="15" t="s">
        <v>7747</v>
      </c>
      <c r="D1887" s="16" t="s">
        <v>7748</v>
      </c>
    </row>
    <row r="1888" spans="1:4" x14ac:dyDescent="0.35">
      <c r="A1888" s="11" t="s">
        <v>471</v>
      </c>
      <c r="B1888" s="12" t="s">
        <v>4716</v>
      </c>
      <c r="C1888" s="12" t="s">
        <v>7749</v>
      </c>
      <c r="D1888" s="13" t="s">
        <v>7750</v>
      </c>
    </row>
    <row r="1889" spans="1:4" x14ac:dyDescent="0.35">
      <c r="A1889" s="14" t="s">
        <v>470</v>
      </c>
      <c r="B1889" s="15" t="s">
        <v>4716</v>
      </c>
      <c r="C1889" s="15" t="s">
        <v>7751</v>
      </c>
      <c r="D1889" s="16" t="s">
        <v>5444</v>
      </c>
    </row>
    <row r="1890" spans="1:4" x14ac:dyDescent="0.35">
      <c r="A1890" s="11" t="s">
        <v>469</v>
      </c>
      <c r="B1890" s="12" t="s">
        <v>4716</v>
      </c>
      <c r="C1890" s="12" t="s">
        <v>5752</v>
      </c>
      <c r="D1890" s="13" t="s">
        <v>7752</v>
      </c>
    </row>
    <row r="1891" spans="1:4" x14ac:dyDescent="0.35">
      <c r="A1891" s="14" t="s">
        <v>468</v>
      </c>
      <c r="B1891" s="15" t="s">
        <v>4713</v>
      </c>
      <c r="C1891" s="15" t="s">
        <v>7753</v>
      </c>
      <c r="D1891" s="16" t="s">
        <v>6695</v>
      </c>
    </row>
    <row r="1892" spans="1:4" x14ac:dyDescent="0.35">
      <c r="A1892" s="11" t="s">
        <v>467</v>
      </c>
      <c r="B1892" s="12" t="s">
        <v>4716</v>
      </c>
      <c r="C1892" s="12" t="s">
        <v>7754</v>
      </c>
      <c r="D1892" s="13" t="s">
        <v>4754</v>
      </c>
    </row>
    <row r="1893" spans="1:4" x14ac:dyDescent="0.35">
      <c r="A1893" s="14" t="s">
        <v>466</v>
      </c>
      <c r="B1893" s="15" t="s">
        <v>4716</v>
      </c>
      <c r="C1893" s="15" t="s">
        <v>7755</v>
      </c>
      <c r="D1893" s="16" t="s">
        <v>7756</v>
      </c>
    </row>
    <row r="1894" spans="1:4" x14ac:dyDescent="0.35">
      <c r="A1894" s="11" t="s">
        <v>465</v>
      </c>
      <c r="B1894" s="12" t="s">
        <v>4713</v>
      </c>
      <c r="C1894" s="12" t="s">
        <v>7757</v>
      </c>
      <c r="D1894" s="13" t="s">
        <v>7758</v>
      </c>
    </row>
    <row r="1895" spans="1:4" x14ac:dyDescent="0.35">
      <c r="A1895" s="14" t="s">
        <v>464</v>
      </c>
      <c r="B1895" s="15" t="s">
        <v>4716</v>
      </c>
      <c r="C1895" s="15" t="s">
        <v>7759</v>
      </c>
      <c r="D1895" s="16" t="s">
        <v>4942</v>
      </c>
    </row>
    <row r="1896" spans="1:4" x14ac:dyDescent="0.35">
      <c r="A1896" s="11" t="s">
        <v>463</v>
      </c>
      <c r="B1896" s="12" t="s">
        <v>4713</v>
      </c>
      <c r="C1896" s="12" t="s">
        <v>7760</v>
      </c>
      <c r="D1896" s="13" t="s">
        <v>7761</v>
      </c>
    </row>
    <row r="1897" spans="1:4" x14ac:dyDescent="0.35">
      <c r="A1897" s="14" t="s">
        <v>462</v>
      </c>
      <c r="B1897" s="15" t="s">
        <v>4716</v>
      </c>
      <c r="C1897" s="15" t="s">
        <v>5169</v>
      </c>
      <c r="D1897" s="16" t="s">
        <v>7762</v>
      </c>
    </row>
    <row r="1898" spans="1:4" x14ac:dyDescent="0.35">
      <c r="A1898" s="11" t="s">
        <v>461</v>
      </c>
      <c r="B1898" s="12" t="s">
        <v>4716</v>
      </c>
      <c r="C1898" s="12" t="s">
        <v>7763</v>
      </c>
      <c r="D1898" s="13" t="s">
        <v>5014</v>
      </c>
    </row>
    <row r="1899" spans="1:4" x14ac:dyDescent="0.35">
      <c r="A1899" s="14" t="s">
        <v>460</v>
      </c>
      <c r="B1899" s="15" t="s">
        <v>4716</v>
      </c>
      <c r="C1899" s="15" t="s">
        <v>4850</v>
      </c>
      <c r="D1899" s="16" t="s">
        <v>7764</v>
      </c>
    </row>
    <row r="1900" spans="1:4" x14ac:dyDescent="0.35">
      <c r="A1900" s="11" t="s">
        <v>459</v>
      </c>
      <c r="B1900" s="12" t="s">
        <v>4716</v>
      </c>
      <c r="C1900" s="12" t="s">
        <v>4907</v>
      </c>
      <c r="D1900" s="13" t="s">
        <v>5471</v>
      </c>
    </row>
    <row r="1901" spans="1:4" x14ac:dyDescent="0.35">
      <c r="A1901" s="14" t="s">
        <v>458</v>
      </c>
      <c r="B1901" s="15" t="s">
        <v>4713</v>
      </c>
      <c r="C1901" s="15" t="s">
        <v>7765</v>
      </c>
      <c r="D1901" s="16" t="s">
        <v>4903</v>
      </c>
    </row>
    <row r="1902" spans="1:4" x14ac:dyDescent="0.35">
      <c r="A1902" s="11" t="s">
        <v>457</v>
      </c>
      <c r="B1902" s="12" t="s">
        <v>4713</v>
      </c>
      <c r="C1902" s="12" t="s">
        <v>7601</v>
      </c>
      <c r="D1902" s="13" t="s">
        <v>7766</v>
      </c>
    </row>
    <row r="1903" spans="1:4" x14ac:dyDescent="0.35">
      <c r="A1903" s="14" t="s">
        <v>456</v>
      </c>
      <c r="B1903" s="15" t="s">
        <v>4713</v>
      </c>
      <c r="C1903" s="15" t="s">
        <v>7767</v>
      </c>
      <c r="D1903" s="16" t="s">
        <v>6637</v>
      </c>
    </row>
    <row r="1904" spans="1:4" x14ac:dyDescent="0.35">
      <c r="A1904" s="11" t="s">
        <v>455</v>
      </c>
      <c r="B1904" s="12" t="s">
        <v>4713</v>
      </c>
      <c r="C1904" s="12" t="s">
        <v>7768</v>
      </c>
      <c r="D1904" s="13" t="s">
        <v>5148</v>
      </c>
    </row>
    <row r="1905" spans="1:4" x14ac:dyDescent="0.35">
      <c r="A1905" s="14" t="s">
        <v>454</v>
      </c>
      <c r="B1905" s="15" t="s">
        <v>4713</v>
      </c>
      <c r="C1905" s="15" t="s">
        <v>7769</v>
      </c>
      <c r="D1905" s="16" t="s">
        <v>7770</v>
      </c>
    </row>
    <row r="1906" spans="1:4" x14ac:dyDescent="0.35">
      <c r="A1906" s="11" t="s">
        <v>453</v>
      </c>
      <c r="B1906" s="12" t="s">
        <v>4713</v>
      </c>
      <c r="C1906" s="12" t="s">
        <v>7771</v>
      </c>
      <c r="D1906" s="13" t="s">
        <v>7772</v>
      </c>
    </row>
    <row r="1907" spans="1:4" x14ac:dyDescent="0.35">
      <c r="A1907" s="14" t="s">
        <v>452</v>
      </c>
      <c r="B1907" s="15" t="s">
        <v>4716</v>
      </c>
      <c r="C1907" s="15" t="s">
        <v>7773</v>
      </c>
      <c r="D1907" s="16" t="s">
        <v>7774</v>
      </c>
    </row>
    <row r="1908" spans="1:4" x14ac:dyDescent="0.35">
      <c r="A1908" s="11" t="s">
        <v>451</v>
      </c>
      <c r="B1908" s="12" t="s">
        <v>4713</v>
      </c>
      <c r="C1908" s="12" t="s">
        <v>5262</v>
      </c>
      <c r="D1908" s="13" t="s">
        <v>7775</v>
      </c>
    </row>
    <row r="1909" spans="1:4" x14ac:dyDescent="0.35">
      <c r="A1909" s="14" t="s">
        <v>450</v>
      </c>
      <c r="B1909" s="15" t="s">
        <v>4713</v>
      </c>
      <c r="C1909" s="15" t="s">
        <v>7776</v>
      </c>
      <c r="D1909" s="16" t="s">
        <v>7777</v>
      </c>
    </row>
    <row r="1910" spans="1:4" x14ac:dyDescent="0.35">
      <c r="A1910" s="11" t="s">
        <v>449</v>
      </c>
      <c r="B1910" s="12" t="s">
        <v>4716</v>
      </c>
      <c r="C1910" s="12" t="s">
        <v>7778</v>
      </c>
      <c r="D1910" s="13" t="s">
        <v>7779</v>
      </c>
    </row>
    <row r="1911" spans="1:4" x14ac:dyDescent="0.35">
      <c r="A1911" s="14" t="s">
        <v>448</v>
      </c>
      <c r="B1911" s="15" t="s">
        <v>4716</v>
      </c>
      <c r="C1911" s="15" t="s">
        <v>5533</v>
      </c>
      <c r="D1911" s="16" t="s">
        <v>7780</v>
      </c>
    </row>
    <row r="1912" spans="1:4" x14ac:dyDescent="0.35">
      <c r="A1912" s="11" t="s">
        <v>447</v>
      </c>
      <c r="B1912" s="12" t="s">
        <v>4713</v>
      </c>
      <c r="C1912" s="12" t="s">
        <v>7781</v>
      </c>
      <c r="D1912" s="13" t="s">
        <v>7782</v>
      </c>
    </row>
    <row r="1913" spans="1:4" x14ac:dyDescent="0.35">
      <c r="A1913" s="14" t="s">
        <v>446</v>
      </c>
      <c r="B1913" s="15" t="s">
        <v>4716</v>
      </c>
      <c r="C1913" s="15" t="s">
        <v>5426</v>
      </c>
      <c r="D1913" s="16" t="s">
        <v>7783</v>
      </c>
    </row>
    <row r="1914" spans="1:4" x14ac:dyDescent="0.35">
      <c r="A1914" s="11" t="s">
        <v>445</v>
      </c>
      <c r="B1914" s="12" t="s">
        <v>4716</v>
      </c>
      <c r="C1914" s="12" t="s">
        <v>7784</v>
      </c>
      <c r="D1914" s="13" t="s">
        <v>7785</v>
      </c>
    </row>
    <row r="1915" spans="1:4" x14ac:dyDescent="0.35">
      <c r="A1915" s="14" t="s">
        <v>444</v>
      </c>
      <c r="B1915" s="15" t="s">
        <v>4716</v>
      </c>
      <c r="C1915" s="15" t="s">
        <v>5762</v>
      </c>
      <c r="D1915" s="16" t="s">
        <v>7786</v>
      </c>
    </row>
    <row r="1916" spans="1:4" x14ac:dyDescent="0.35">
      <c r="A1916" s="11" t="s">
        <v>443</v>
      </c>
      <c r="B1916" s="12" t="s">
        <v>4713</v>
      </c>
      <c r="C1916" s="12" t="s">
        <v>7787</v>
      </c>
      <c r="D1916" s="13" t="s">
        <v>7788</v>
      </c>
    </row>
    <row r="1917" spans="1:4" x14ac:dyDescent="0.35">
      <c r="A1917" s="14" t="s">
        <v>442</v>
      </c>
      <c r="B1917" s="15" t="s">
        <v>4716</v>
      </c>
      <c r="C1917" s="15" t="s">
        <v>7789</v>
      </c>
      <c r="D1917" s="16" t="s">
        <v>7790</v>
      </c>
    </row>
    <row r="1918" spans="1:4" x14ac:dyDescent="0.35">
      <c r="A1918" s="11" t="s">
        <v>441</v>
      </c>
      <c r="B1918" s="12" t="s">
        <v>4716</v>
      </c>
      <c r="C1918" s="12" t="s">
        <v>7791</v>
      </c>
      <c r="D1918" s="13" t="s">
        <v>5010</v>
      </c>
    </row>
    <row r="1919" spans="1:4" x14ac:dyDescent="0.35">
      <c r="A1919" s="14" t="s">
        <v>440</v>
      </c>
      <c r="B1919" s="15" t="s">
        <v>4716</v>
      </c>
      <c r="C1919" s="15" t="s">
        <v>7792</v>
      </c>
      <c r="D1919" s="16" t="s">
        <v>6954</v>
      </c>
    </row>
    <row r="1920" spans="1:4" x14ac:dyDescent="0.35">
      <c r="A1920" s="11" t="s">
        <v>439</v>
      </c>
      <c r="B1920" s="12" t="s">
        <v>4716</v>
      </c>
      <c r="C1920" s="12" t="s">
        <v>7793</v>
      </c>
      <c r="D1920" s="13" t="s">
        <v>7794</v>
      </c>
    </row>
    <row r="1921" spans="1:4" x14ac:dyDescent="0.35">
      <c r="A1921" s="14" t="s">
        <v>438</v>
      </c>
      <c r="B1921" s="15" t="s">
        <v>4716</v>
      </c>
      <c r="C1921" s="15" t="s">
        <v>7795</v>
      </c>
      <c r="D1921" s="16" t="s">
        <v>4935</v>
      </c>
    </row>
    <row r="1922" spans="1:4" x14ac:dyDescent="0.35">
      <c r="A1922" s="11" t="s">
        <v>437</v>
      </c>
      <c r="B1922" s="12" t="s">
        <v>5590</v>
      </c>
      <c r="C1922" s="12" t="s">
        <v>7796</v>
      </c>
      <c r="D1922" s="13" t="s">
        <v>7797</v>
      </c>
    </row>
    <row r="1923" spans="1:4" x14ac:dyDescent="0.35">
      <c r="A1923" s="14" t="s">
        <v>436</v>
      </c>
      <c r="B1923" s="15" t="s">
        <v>4716</v>
      </c>
      <c r="C1923" s="15" t="s">
        <v>7798</v>
      </c>
      <c r="D1923" s="16" t="s">
        <v>5010</v>
      </c>
    </row>
    <row r="1924" spans="1:4" x14ac:dyDescent="0.35">
      <c r="A1924" s="11" t="s">
        <v>435</v>
      </c>
      <c r="B1924" s="12" t="s">
        <v>4716</v>
      </c>
      <c r="C1924" s="12" t="s">
        <v>7799</v>
      </c>
      <c r="D1924" s="13" t="s">
        <v>6000</v>
      </c>
    </row>
    <row r="1925" spans="1:4" x14ac:dyDescent="0.35">
      <c r="A1925" s="14" t="s">
        <v>434</v>
      </c>
      <c r="B1925" s="15" t="s">
        <v>4716</v>
      </c>
      <c r="C1925" s="15" t="s">
        <v>7800</v>
      </c>
      <c r="D1925" s="16" t="s">
        <v>7801</v>
      </c>
    </row>
    <row r="1926" spans="1:4" x14ac:dyDescent="0.35">
      <c r="A1926" s="11" t="s">
        <v>433</v>
      </c>
      <c r="B1926" s="12" t="s">
        <v>4716</v>
      </c>
      <c r="C1926" s="12" t="s">
        <v>7802</v>
      </c>
      <c r="D1926" s="13" t="s">
        <v>4982</v>
      </c>
    </row>
    <row r="1927" spans="1:4" x14ac:dyDescent="0.35">
      <c r="A1927" s="14" t="s">
        <v>432</v>
      </c>
      <c r="B1927" s="15" t="s">
        <v>4713</v>
      </c>
      <c r="C1927" s="15" t="s">
        <v>6202</v>
      </c>
      <c r="D1927" s="16" t="s">
        <v>7803</v>
      </c>
    </row>
    <row r="1928" spans="1:4" x14ac:dyDescent="0.35">
      <c r="A1928" s="11" t="s">
        <v>431</v>
      </c>
      <c r="B1928" s="12" t="s">
        <v>4713</v>
      </c>
      <c r="C1928" s="12" t="s">
        <v>7804</v>
      </c>
      <c r="D1928" s="13" t="s">
        <v>7805</v>
      </c>
    </row>
    <row r="1929" spans="1:4" x14ac:dyDescent="0.35">
      <c r="A1929" s="14" t="s">
        <v>430</v>
      </c>
      <c r="B1929" s="15" t="s">
        <v>4716</v>
      </c>
      <c r="C1929" s="15" t="s">
        <v>7806</v>
      </c>
      <c r="D1929" s="16" t="s">
        <v>4843</v>
      </c>
    </row>
    <row r="1930" spans="1:4" x14ac:dyDescent="0.35">
      <c r="A1930" s="11" t="s">
        <v>429</v>
      </c>
      <c r="B1930" s="12" t="s">
        <v>4713</v>
      </c>
      <c r="C1930" s="12" t="s">
        <v>6565</v>
      </c>
      <c r="D1930" s="13" t="s">
        <v>7807</v>
      </c>
    </row>
    <row r="1931" spans="1:4" x14ac:dyDescent="0.35">
      <c r="A1931" s="14" t="s">
        <v>428</v>
      </c>
      <c r="B1931" s="15" t="s">
        <v>4713</v>
      </c>
      <c r="C1931" s="15" t="s">
        <v>5599</v>
      </c>
      <c r="D1931" s="16" t="s">
        <v>6631</v>
      </c>
    </row>
    <row r="1932" spans="1:4" x14ac:dyDescent="0.35">
      <c r="A1932" s="11" t="s">
        <v>427</v>
      </c>
      <c r="B1932" s="12" t="s">
        <v>4713</v>
      </c>
      <c r="C1932" s="12" t="s">
        <v>7808</v>
      </c>
      <c r="D1932" s="13" t="s">
        <v>7809</v>
      </c>
    </row>
    <row r="1933" spans="1:4" x14ac:dyDescent="0.35">
      <c r="A1933" s="14" t="s">
        <v>426</v>
      </c>
      <c r="B1933" s="15" t="s">
        <v>4713</v>
      </c>
      <c r="C1933" s="15" t="s">
        <v>7810</v>
      </c>
      <c r="D1933" s="16" t="s">
        <v>7811</v>
      </c>
    </row>
    <row r="1934" spans="1:4" x14ac:dyDescent="0.35">
      <c r="A1934" s="11" t="s">
        <v>425</v>
      </c>
      <c r="B1934" s="12" t="s">
        <v>4716</v>
      </c>
      <c r="C1934" s="12" t="s">
        <v>7812</v>
      </c>
      <c r="D1934" s="13" t="s">
        <v>4877</v>
      </c>
    </row>
    <row r="1935" spans="1:4" x14ac:dyDescent="0.35">
      <c r="A1935" s="14" t="s">
        <v>424</v>
      </c>
      <c r="B1935" s="15" t="s">
        <v>4713</v>
      </c>
      <c r="C1935" s="15" t="s">
        <v>7813</v>
      </c>
      <c r="D1935" s="16" t="s">
        <v>4903</v>
      </c>
    </row>
    <row r="1936" spans="1:4" x14ac:dyDescent="0.35">
      <c r="A1936" s="11" t="s">
        <v>423</v>
      </c>
      <c r="B1936" s="12" t="s">
        <v>4713</v>
      </c>
      <c r="C1936" s="12" t="s">
        <v>7814</v>
      </c>
      <c r="D1936" s="13" t="s">
        <v>7815</v>
      </c>
    </row>
    <row r="1937" spans="1:4" x14ac:dyDescent="0.35">
      <c r="A1937" s="14" t="s">
        <v>422</v>
      </c>
      <c r="B1937" s="15" t="s">
        <v>4716</v>
      </c>
      <c r="C1937" s="15" t="s">
        <v>7816</v>
      </c>
      <c r="D1937" s="16" t="s">
        <v>7817</v>
      </c>
    </row>
    <row r="1938" spans="1:4" x14ac:dyDescent="0.35">
      <c r="A1938" s="11" t="s">
        <v>421</v>
      </c>
      <c r="B1938" s="12" t="s">
        <v>5590</v>
      </c>
      <c r="C1938" s="12" t="s">
        <v>7818</v>
      </c>
      <c r="D1938" s="13" t="s">
        <v>7819</v>
      </c>
    </row>
    <row r="1939" spans="1:4" x14ac:dyDescent="0.35">
      <c r="A1939" s="14" t="s">
        <v>420</v>
      </c>
      <c r="B1939" s="15" t="s">
        <v>4716</v>
      </c>
      <c r="C1939" s="15" t="s">
        <v>7490</v>
      </c>
      <c r="D1939" s="16" t="s">
        <v>4738</v>
      </c>
    </row>
    <row r="1940" spans="1:4" x14ac:dyDescent="0.35">
      <c r="A1940" s="11" t="s">
        <v>419</v>
      </c>
      <c r="B1940" s="12" t="s">
        <v>4716</v>
      </c>
      <c r="C1940" s="12" t="s">
        <v>7820</v>
      </c>
      <c r="D1940" s="13" t="s">
        <v>7821</v>
      </c>
    </row>
    <row r="1941" spans="1:4" x14ac:dyDescent="0.35">
      <c r="A1941" s="14" t="s">
        <v>418</v>
      </c>
      <c r="B1941" s="15" t="s">
        <v>4716</v>
      </c>
      <c r="C1941" s="15" t="s">
        <v>7822</v>
      </c>
      <c r="D1941" s="16" t="s">
        <v>7823</v>
      </c>
    </row>
    <row r="1942" spans="1:4" x14ac:dyDescent="0.35">
      <c r="A1942" s="11" t="s">
        <v>417</v>
      </c>
      <c r="B1942" s="12" t="s">
        <v>4716</v>
      </c>
      <c r="C1942" s="12" t="s">
        <v>6141</v>
      </c>
      <c r="D1942" s="13" t="s">
        <v>7824</v>
      </c>
    </row>
    <row r="1943" spans="1:4" x14ac:dyDescent="0.35">
      <c r="A1943" s="14" t="s">
        <v>416</v>
      </c>
      <c r="B1943" s="15" t="s">
        <v>4716</v>
      </c>
      <c r="C1943" s="15" t="s">
        <v>7825</v>
      </c>
      <c r="D1943" s="16" t="s">
        <v>7826</v>
      </c>
    </row>
    <row r="1944" spans="1:4" x14ac:dyDescent="0.35">
      <c r="A1944" s="11" t="s">
        <v>415</v>
      </c>
      <c r="B1944" s="12" t="s">
        <v>4716</v>
      </c>
      <c r="C1944" s="12" t="s">
        <v>7827</v>
      </c>
      <c r="D1944" s="13" t="s">
        <v>5010</v>
      </c>
    </row>
    <row r="1945" spans="1:4" x14ac:dyDescent="0.35">
      <c r="A1945" s="14" t="s">
        <v>414</v>
      </c>
      <c r="B1945" s="15" t="s">
        <v>4716</v>
      </c>
      <c r="C1945" s="15" t="s">
        <v>6008</v>
      </c>
      <c r="D1945" s="16" t="s">
        <v>7828</v>
      </c>
    </row>
    <row r="1946" spans="1:4" x14ac:dyDescent="0.35">
      <c r="A1946" s="11" t="s">
        <v>413</v>
      </c>
      <c r="B1946" s="12" t="s">
        <v>4713</v>
      </c>
      <c r="C1946" s="12" t="s">
        <v>7829</v>
      </c>
      <c r="D1946" s="13" t="s">
        <v>4924</v>
      </c>
    </row>
    <row r="1947" spans="1:4" x14ac:dyDescent="0.35">
      <c r="A1947" s="14" t="s">
        <v>412</v>
      </c>
      <c r="B1947" s="15" t="s">
        <v>4716</v>
      </c>
      <c r="C1947" s="15" t="s">
        <v>7830</v>
      </c>
      <c r="D1947" s="16" t="s">
        <v>7730</v>
      </c>
    </row>
    <row r="1948" spans="1:4" x14ac:dyDescent="0.35">
      <c r="A1948" s="11" t="s">
        <v>411</v>
      </c>
      <c r="B1948" s="12" t="s">
        <v>4716</v>
      </c>
      <c r="C1948" s="12" t="s">
        <v>7831</v>
      </c>
      <c r="D1948" s="13" t="s">
        <v>7832</v>
      </c>
    </row>
    <row r="1949" spans="1:4" x14ac:dyDescent="0.35">
      <c r="A1949" s="14" t="s">
        <v>410</v>
      </c>
      <c r="B1949" s="15" t="s">
        <v>4716</v>
      </c>
      <c r="C1949" s="15" t="s">
        <v>7833</v>
      </c>
      <c r="D1949" s="16" t="s">
        <v>7834</v>
      </c>
    </row>
    <row r="1950" spans="1:4" x14ac:dyDescent="0.35">
      <c r="A1950" s="11" t="s">
        <v>409</v>
      </c>
      <c r="B1950" s="12" t="s">
        <v>4713</v>
      </c>
      <c r="C1950" s="12" t="s">
        <v>7835</v>
      </c>
      <c r="D1950" s="13" t="s">
        <v>7836</v>
      </c>
    </row>
    <row r="1951" spans="1:4" x14ac:dyDescent="0.35">
      <c r="A1951" s="14" t="s">
        <v>408</v>
      </c>
      <c r="B1951" s="15" t="s">
        <v>4716</v>
      </c>
      <c r="C1951" s="15" t="s">
        <v>5774</v>
      </c>
      <c r="D1951" s="16" t="s">
        <v>4982</v>
      </c>
    </row>
    <row r="1952" spans="1:4" x14ac:dyDescent="0.35">
      <c r="A1952" s="11" t="s">
        <v>407</v>
      </c>
      <c r="B1952" s="12" t="s">
        <v>4713</v>
      </c>
      <c r="C1952" s="12" t="s">
        <v>7837</v>
      </c>
      <c r="D1952" s="13" t="s">
        <v>7838</v>
      </c>
    </row>
    <row r="1953" spans="1:4" x14ac:dyDescent="0.35">
      <c r="A1953" s="14" t="s">
        <v>406</v>
      </c>
      <c r="B1953" s="15" t="s">
        <v>4716</v>
      </c>
      <c r="C1953" s="15" t="s">
        <v>7839</v>
      </c>
      <c r="D1953" s="16" t="s">
        <v>7840</v>
      </c>
    </row>
    <row r="1954" spans="1:4" x14ac:dyDescent="0.35">
      <c r="A1954" s="11" t="s">
        <v>405</v>
      </c>
      <c r="B1954" s="12" t="s">
        <v>4716</v>
      </c>
      <c r="C1954" s="12" t="s">
        <v>7841</v>
      </c>
      <c r="D1954" s="13" t="s">
        <v>7842</v>
      </c>
    </row>
    <row r="1955" spans="1:4" x14ac:dyDescent="0.35">
      <c r="A1955" s="14" t="s">
        <v>404</v>
      </c>
      <c r="B1955" s="15" t="s">
        <v>4713</v>
      </c>
      <c r="C1955" s="15" t="s">
        <v>7843</v>
      </c>
      <c r="D1955" s="16" t="s">
        <v>7844</v>
      </c>
    </row>
    <row r="1956" spans="1:4" x14ac:dyDescent="0.35">
      <c r="A1956" s="11" t="s">
        <v>403</v>
      </c>
      <c r="B1956" s="12" t="s">
        <v>4713</v>
      </c>
      <c r="C1956" s="12" t="s">
        <v>7845</v>
      </c>
      <c r="D1956" s="13" t="s">
        <v>7846</v>
      </c>
    </row>
    <row r="1957" spans="1:4" x14ac:dyDescent="0.35">
      <c r="A1957" s="14" t="s">
        <v>402</v>
      </c>
      <c r="B1957" s="15" t="s">
        <v>4713</v>
      </c>
      <c r="C1957" s="15" t="s">
        <v>7847</v>
      </c>
      <c r="D1957" s="16" t="s">
        <v>7848</v>
      </c>
    </row>
    <row r="1958" spans="1:4" x14ac:dyDescent="0.35">
      <c r="A1958" s="11" t="s">
        <v>401</v>
      </c>
      <c r="B1958" s="12" t="s">
        <v>4716</v>
      </c>
      <c r="C1958" s="12" t="s">
        <v>7849</v>
      </c>
      <c r="D1958" s="13" t="s">
        <v>7850</v>
      </c>
    </row>
    <row r="1959" spans="1:4" x14ac:dyDescent="0.35">
      <c r="A1959" s="14" t="s">
        <v>400</v>
      </c>
      <c r="B1959" s="15" t="s">
        <v>4713</v>
      </c>
      <c r="C1959" s="15" t="s">
        <v>5345</v>
      </c>
      <c r="D1959" s="16" t="s">
        <v>5536</v>
      </c>
    </row>
    <row r="1960" spans="1:4" x14ac:dyDescent="0.35">
      <c r="A1960" s="11" t="s">
        <v>399</v>
      </c>
      <c r="B1960" s="12" t="s">
        <v>4713</v>
      </c>
      <c r="C1960" s="12" t="s">
        <v>7851</v>
      </c>
      <c r="D1960" s="13" t="s">
        <v>4781</v>
      </c>
    </row>
    <row r="1961" spans="1:4" x14ac:dyDescent="0.35">
      <c r="A1961" s="14" t="s">
        <v>398</v>
      </c>
      <c r="B1961" s="15" t="s">
        <v>4713</v>
      </c>
      <c r="C1961" s="15" t="s">
        <v>5599</v>
      </c>
      <c r="D1961" s="16" t="s">
        <v>5148</v>
      </c>
    </row>
    <row r="1962" spans="1:4" x14ac:dyDescent="0.35">
      <c r="A1962" s="11" t="s">
        <v>397</v>
      </c>
      <c r="B1962" s="12" t="s">
        <v>4713</v>
      </c>
      <c r="C1962" s="12" t="s">
        <v>7852</v>
      </c>
      <c r="D1962" s="13" t="s">
        <v>7853</v>
      </c>
    </row>
    <row r="1963" spans="1:4" x14ac:dyDescent="0.35">
      <c r="A1963" s="14" t="s">
        <v>396</v>
      </c>
      <c r="B1963" s="15" t="s">
        <v>4716</v>
      </c>
      <c r="C1963" s="15" t="s">
        <v>7601</v>
      </c>
      <c r="D1963" s="16" t="s">
        <v>4718</v>
      </c>
    </row>
    <row r="1964" spans="1:4" x14ac:dyDescent="0.35">
      <c r="A1964" s="11" t="s">
        <v>395</v>
      </c>
      <c r="B1964" s="12" t="s">
        <v>4716</v>
      </c>
      <c r="C1964" s="12" t="s">
        <v>7854</v>
      </c>
      <c r="D1964" s="13" t="s">
        <v>7855</v>
      </c>
    </row>
    <row r="1965" spans="1:4" x14ac:dyDescent="0.35">
      <c r="A1965" s="14" t="s">
        <v>394</v>
      </c>
      <c r="B1965" s="15" t="s">
        <v>4716</v>
      </c>
      <c r="C1965" s="15" t="s">
        <v>5288</v>
      </c>
      <c r="D1965" s="16" t="s">
        <v>7856</v>
      </c>
    </row>
    <row r="1966" spans="1:4" x14ac:dyDescent="0.35">
      <c r="A1966" s="11" t="s">
        <v>393</v>
      </c>
      <c r="B1966" s="12" t="s">
        <v>4713</v>
      </c>
      <c r="C1966" s="12" t="s">
        <v>7857</v>
      </c>
      <c r="D1966" s="13" t="s">
        <v>7858</v>
      </c>
    </row>
    <row r="1967" spans="1:4" x14ac:dyDescent="0.35">
      <c r="A1967" s="14" t="s">
        <v>392</v>
      </c>
      <c r="B1967" s="15" t="s">
        <v>4716</v>
      </c>
      <c r="C1967" s="15" t="s">
        <v>4817</v>
      </c>
      <c r="D1967" s="16" t="s">
        <v>7859</v>
      </c>
    </row>
    <row r="1968" spans="1:4" x14ac:dyDescent="0.35">
      <c r="A1968" s="11" t="s">
        <v>391</v>
      </c>
      <c r="B1968" s="12" t="s">
        <v>4716</v>
      </c>
      <c r="C1968" s="12" t="s">
        <v>7860</v>
      </c>
      <c r="D1968" s="13" t="s">
        <v>7861</v>
      </c>
    </row>
    <row r="1969" spans="1:4" x14ac:dyDescent="0.35">
      <c r="A1969" s="14" t="s">
        <v>390</v>
      </c>
      <c r="B1969" s="15" t="s">
        <v>4716</v>
      </c>
      <c r="C1969" s="15" t="s">
        <v>6999</v>
      </c>
      <c r="D1969" s="16" t="s">
        <v>7862</v>
      </c>
    </row>
    <row r="1970" spans="1:4" x14ac:dyDescent="0.35">
      <c r="A1970" s="11" t="s">
        <v>389</v>
      </c>
      <c r="B1970" s="12" t="s">
        <v>4716</v>
      </c>
      <c r="C1970" s="12" t="s">
        <v>6608</v>
      </c>
      <c r="D1970" s="13" t="s">
        <v>7863</v>
      </c>
    </row>
    <row r="1971" spans="1:4" x14ac:dyDescent="0.35">
      <c r="A1971" s="14" t="s">
        <v>388</v>
      </c>
      <c r="B1971" s="15" t="s">
        <v>5590</v>
      </c>
      <c r="C1971" s="15" t="s">
        <v>7864</v>
      </c>
      <c r="D1971" s="16" t="s">
        <v>7865</v>
      </c>
    </row>
    <row r="1972" spans="1:4" x14ac:dyDescent="0.35">
      <c r="A1972" s="11" t="s">
        <v>387</v>
      </c>
      <c r="B1972" s="12" t="s">
        <v>4713</v>
      </c>
      <c r="C1972" s="12" t="s">
        <v>7866</v>
      </c>
      <c r="D1972" s="13" t="s">
        <v>7867</v>
      </c>
    </row>
    <row r="1973" spans="1:4" x14ac:dyDescent="0.35">
      <c r="A1973" s="14" t="s">
        <v>386</v>
      </c>
      <c r="B1973" s="15" t="s">
        <v>4716</v>
      </c>
      <c r="C1973" s="15" t="s">
        <v>7868</v>
      </c>
      <c r="D1973" s="16" t="s">
        <v>4867</v>
      </c>
    </row>
    <row r="1974" spans="1:4" x14ac:dyDescent="0.35">
      <c r="A1974" s="11" t="s">
        <v>385</v>
      </c>
      <c r="B1974" s="12" t="s">
        <v>4716</v>
      </c>
      <c r="C1974" s="12" t="s">
        <v>7869</v>
      </c>
      <c r="D1974" s="13" t="s">
        <v>7870</v>
      </c>
    </row>
    <row r="1975" spans="1:4" x14ac:dyDescent="0.35">
      <c r="A1975" s="14" t="s">
        <v>384</v>
      </c>
      <c r="B1975" s="15" t="s">
        <v>4713</v>
      </c>
      <c r="C1975" s="15" t="s">
        <v>7871</v>
      </c>
      <c r="D1975" s="16" t="s">
        <v>7872</v>
      </c>
    </row>
    <row r="1976" spans="1:4" x14ac:dyDescent="0.35">
      <c r="A1976" s="11" t="s">
        <v>383</v>
      </c>
      <c r="B1976" s="12" t="s">
        <v>4713</v>
      </c>
      <c r="C1976" s="12" t="s">
        <v>7873</v>
      </c>
      <c r="D1976" s="13" t="s">
        <v>7874</v>
      </c>
    </row>
    <row r="1977" spans="1:4" x14ac:dyDescent="0.35">
      <c r="A1977" s="14" t="s">
        <v>382</v>
      </c>
      <c r="B1977" s="15" t="s">
        <v>4713</v>
      </c>
      <c r="C1977" s="15" t="s">
        <v>7875</v>
      </c>
      <c r="D1977" s="16" t="s">
        <v>7876</v>
      </c>
    </row>
    <row r="1978" spans="1:4" x14ac:dyDescent="0.35">
      <c r="A1978" s="11" t="s">
        <v>381</v>
      </c>
      <c r="B1978" s="12" t="s">
        <v>4713</v>
      </c>
      <c r="C1978" s="12" t="s">
        <v>7877</v>
      </c>
      <c r="D1978" s="13" t="s">
        <v>4826</v>
      </c>
    </row>
    <row r="1979" spans="1:4" x14ac:dyDescent="0.35">
      <c r="A1979" s="14" t="s">
        <v>380</v>
      </c>
      <c r="B1979" s="15" t="s">
        <v>4713</v>
      </c>
      <c r="C1979" s="15" t="s">
        <v>5126</v>
      </c>
      <c r="D1979" s="16" t="s">
        <v>7878</v>
      </c>
    </row>
    <row r="1980" spans="1:4" x14ac:dyDescent="0.35">
      <c r="A1980" s="11" t="s">
        <v>379</v>
      </c>
      <c r="B1980" s="12" t="s">
        <v>4713</v>
      </c>
      <c r="C1980" s="12" t="s">
        <v>7879</v>
      </c>
      <c r="D1980" s="13" t="s">
        <v>7880</v>
      </c>
    </row>
    <row r="1981" spans="1:4" x14ac:dyDescent="0.35">
      <c r="A1981" s="14" t="s">
        <v>378</v>
      </c>
      <c r="B1981" s="15" t="s">
        <v>4713</v>
      </c>
      <c r="C1981" s="15" t="s">
        <v>7881</v>
      </c>
      <c r="D1981" s="16" t="s">
        <v>7882</v>
      </c>
    </row>
    <row r="1982" spans="1:4" x14ac:dyDescent="0.35">
      <c r="A1982" s="11" t="s">
        <v>377</v>
      </c>
      <c r="B1982" s="12" t="s">
        <v>4713</v>
      </c>
      <c r="C1982" s="12" t="s">
        <v>7883</v>
      </c>
      <c r="D1982" s="13" t="s">
        <v>7884</v>
      </c>
    </row>
    <row r="1983" spans="1:4" x14ac:dyDescent="0.35">
      <c r="A1983" s="14" t="s">
        <v>376</v>
      </c>
      <c r="B1983" s="15" t="s">
        <v>4713</v>
      </c>
      <c r="C1983" s="15" t="s">
        <v>7885</v>
      </c>
      <c r="D1983" s="16" t="s">
        <v>7886</v>
      </c>
    </row>
    <row r="1984" spans="1:4" x14ac:dyDescent="0.35">
      <c r="A1984" s="11" t="s">
        <v>375</v>
      </c>
      <c r="B1984" s="12" t="s">
        <v>4713</v>
      </c>
      <c r="C1984" s="12" t="s">
        <v>7887</v>
      </c>
      <c r="D1984" s="13" t="s">
        <v>7888</v>
      </c>
    </row>
    <row r="1985" spans="1:4" x14ac:dyDescent="0.35">
      <c r="A1985" s="14" t="s">
        <v>374</v>
      </c>
      <c r="B1985" s="15" t="s">
        <v>4716</v>
      </c>
      <c r="C1985" s="15" t="s">
        <v>7889</v>
      </c>
      <c r="D1985" s="16" t="s">
        <v>7890</v>
      </c>
    </row>
    <row r="1986" spans="1:4" x14ac:dyDescent="0.35">
      <c r="A1986" s="11" t="s">
        <v>373</v>
      </c>
      <c r="B1986" s="12" t="s">
        <v>4716</v>
      </c>
      <c r="C1986" s="12" t="s">
        <v>7891</v>
      </c>
      <c r="D1986" s="13" t="s">
        <v>6462</v>
      </c>
    </row>
    <row r="1987" spans="1:4" x14ac:dyDescent="0.35">
      <c r="A1987" s="14" t="s">
        <v>372</v>
      </c>
      <c r="B1987" s="15" t="s">
        <v>4716</v>
      </c>
      <c r="C1987" s="15" t="s">
        <v>7892</v>
      </c>
      <c r="D1987" s="16" t="s">
        <v>4754</v>
      </c>
    </row>
    <row r="1988" spans="1:4" x14ac:dyDescent="0.35">
      <c r="A1988" s="11" t="s">
        <v>371</v>
      </c>
      <c r="B1988" s="12" t="s">
        <v>5590</v>
      </c>
      <c r="C1988" s="12" t="s">
        <v>7893</v>
      </c>
      <c r="D1988" s="13" t="s">
        <v>5346</v>
      </c>
    </row>
    <row r="1989" spans="1:4" x14ac:dyDescent="0.35">
      <c r="A1989" s="14" t="s">
        <v>370</v>
      </c>
      <c r="B1989" s="15" t="s">
        <v>4716</v>
      </c>
      <c r="C1989" s="15" t="s">
        <v>7894</v>
      </c>
      <c r="D1989" s="16" t="s">
        <v>7895</v>
      </c>
    </row>
    <row r="1990" spans="1:4" x14ac:dyDescent="0.35">
      <c r="A1990" s="11" t="s">
        <v>369</v>
      </c>
      <c r="B1990" s="12" t="s">
        <v>4713</v>
      </c>
      <c r="C1990" s="12" t="s">
        <v>7896</v>
      </c>
      <c r="D1990" s="13" t="s">
        <v>4875</v>
      </c>
    </row>
    <row r="1991" spans="1:4" x14ac:dyDescent="0.35">
      <c r="A1991" s="14" t="s">
        <v>368</v>
      </c>
      <c r="B1991" s="15" t="s">
        <v>4716</v>
      </c>
      <c r="C1991" s="15" t="s">
        <v>7897</v>
      </c>
      <c r="D1991" s="16" t="s">
        <v>7898</v>
      </c>
    </row>
    <row r="1992" spans="1:4" x14ac:dyDescent="0.35">
      <c r="A1992" s="11" t="s">
        <v>367</v>
      </c>
      <c r="B1992" s="12" t="s">
        <v>4716</v>
      </c>
      <c r="C1992" s="12" t="s">
        <v>7899</v>
      </c>
      <c r="D1992" s="13" t="s">
        <v>7900</v>
      </c>
    </row>
    <row r="1993" spans="1:4" x14ac:dyDescent="0.35">
      <c r="A1993" s="14" t="s">
        <v>366</v>
      </c>
      <c r="B1993" s="15" t="s">
        <v>4716</v>
      </c>
      <c r="C1993" s="15" t="s">
        <v>7901</v>
      </c>
      <c r="D1993" s="16" t="s">
        <v>7902</v>
      </c>
    </row>
    <row r="1994" spans="1:4" x14ac:dyDescent="0.35">
      <c r="A1994" s="11" t="s">
        <v>365</v>
      </c>
      <c r="B1994" s="12" t="s">
        <v>4716</v>
      </c>
      <c r="C1994" s="12" t="s">
        <v>7903</v>
      </c>
      <c r="D1994" s="13" t="s">
        <v>7904</v>
      </c>
    </row>
    <row r="1995" spans="1:4" x14ac:dyDescent="0.35">
      <c r="A1995" s="14" t="s">
        <v>364</v>
      </c>
      <c r="B1995" s="15" t="s">
        <v>4713</v>
      </c>
      <c r="C1995" s="15" t="s">
        <v>7905</v>
      </c>
      <c r="D1995" s="16" t="s">
        <v>7241</v>
      </c>
    </row>
    <row r="1996" spans="1:4" x14ac:dyDescent="0.35">
      <c r="A1996" s="11" t="s">
        <v>363</v>
      </c>
      <c r="B1996" s="12" t="s">
        <v>4713</v>
      </c>
      <c r="C1996" s="12" t="s">
        <v>7906</v>
      </c>
      <c r="D1996" s="13" t="s">
        <v>7907</v>
      </c>
    </row>
    <row r="1997" spans="1:4" x14ac:dyDescent="0.35">
      <c r="A1997" s="14" t="s">
        <v>362</v>
      </c>
      <c r="B1997" s="15" t="s">
        <v>4713</v>
      </c>
      <c r="C1997" s="15" t="s">
        <v>5419</v>
      </c>
      <c r="D1997" s="16" t="s">
        <v>7908</v>
      </c>
    </row>
    <row r="1998" spans="1:4" x14ac:dyDescent="0.35">
      <c r="A1998" s="11" t="s">
        <v>361</v>
      </c>
      <c r="B1998" s="12" t="s">
        <v>4713</v>
      </c>
      <c r="C1998" s="12" t="s">
        <v>4898</v>
      </c>
      <c r="D1998" s="13" t="s">
        <v>5191</v>
      </c>
    </row>
    <row r="1999" spans="1:4" x14ac:dyDescent="0.35">
      <c r="A1999" s="14" t="s">
        <v>360</v>
      </c>
      <c r="B1999" s="15" t="s">
        <v>4713</v>
      </c>
      <c r="C1999" s="15" t="s">
        <v>7909</v>
      </c>
      <c r="D1999" s="16" t="s">
        <v>7910</v>
      </c>
    </row>
    <row r="2000" spans="1:4" x14ac:dyDescent="0.35">
      <c r="A2000" s="11" t="s">
        <v>359</v>
      </c>
      <c r="B2000" s="12" t="s">
        <v>4713</v>
      </c>
      <c r="C2000" s="12" t="s">
        <v>5262</v>
      </c>
      <c r="D2000" s="13" t="s">
        <v>5551</v>
      </c>
    </row>
    <row r="2001" spans="1:4" x14ac:dyDescent="0.35">
      <c r="A2001" s="14" t="s">
        <v>358</v>
      </c>
      <c r="B2001" s="15" t="s">
        <v>4713</v>
      </c>
      <c r="C2001" s="15" t="s">
        <v>7911</v>
      </c>
      <c r="D2001" s="16" t="s">
        <v>7912</v>
      </c>
    </row>
    <row r="2002" spans="1:4" x14ac:dyDescent="0.35">
      <c r="A2002" s="11" t="s">
        <v>357</v>
      </c>
      <c r="B2002" s="12" t="s">
        <v>4716</v>
      </c>
      <c r="C2002" s="12" t="s">
        <v>7913</v>
      </c>
      <c r="D2002" s="13" t="s">
        <v>7914</v>
      </c>
    </row>
    <row r="2003" spans="1:4" x14ac:dyDescent="0.35">
      <c r="A2003" s="14" t="s">
        <v>356</v>
      </c>
      <c r="B2003" s="15" t="s">
        <v>4713</v>
      </c>
      <c r="C2003" s="15" t="s">
        <v>7915</v>
      </c>
      <c r="D2003" s="16" t="s">
        <v>7916</v>
      </c>
    </row>
    <row r="2004" spans="1:4" x14ac:dyDescent="0.35">
      <c r="A2004" s="11" t="s">
        <v>355</v>
      </c>
      <c r="B2004" s="12" t="s">
        <v>4713</v>
      </c>
      <c r="C2004" s="12" t="s">
        <v>7917</v>
      </c>
      <c r="D2004" s="13" t="s">
        <v>5600</v>
      </c>
    </row>
    <row r="2005" spans="1:4" x14ac:dyDescent="0.35">
      <c r="A2005" s="14" t="s">
        <v>354</v>
      </c>
      <c r="B2005" s="15" t="s">
        <v>4713</v>
      </c>
      <c r="C2005" s="15" t="s">
        <v>7918</v>
      </c>
      <c r="D2005" s="16" t="s">
        <v>7919</v>
      </c>
    </row>
    <row r="2006" spans="1:4" x14ac:dyDescent="0.35">
      <c r="A2006" s="11" t="s">
        <v>353</v>
      </c>
      <c r="B2006" s="12" t="s">
        <v>4713</v>
      </c>
      <c r="C2006" s="12" t="s">
        <v>6882</v>
      </c>
      <c r="D2006" s="13" t="s">
        <v>7920</v>
      </c>
    </row>
    <row r="2007" spans="1:4" x14ac:dyDescent="0.35">
      <c r="A2007" s="14" t="s">
        <v>352</v>
      </c>
      <c r="B2007" s="15" t="s">
        <v>4713</v>
      </c>
      <c r="C2007" s="15" t="s">
        <v>7921</v>
      </c>
      <c r="D2007" s="16" t="s">
        <v>4841</v>
      </c>
    </row>
    <row r="2008" spans="1:4" x14ac:dyDescent="0.35">
      <c r="A2008" s="11" t="s">
        <v>351</v>
      </c>
      <c r="B2008" s="12" t="s">
        <v>5590</v>
      </c>
      <c r="C2008" s="12" t="s">
        <v>5464</v>
      </c>
      <c r="D2008" s="13" t="s">
        <v>7922</v>
      </c>
    </row>
    <row r="2009" spans="1:4" x14ac:dyDescent="0.35">
      <c r="A2009" s="14" t="s">
        <v>350</v>
      </c>
      <c r="B2009" s="15" t="s">
        <v>4713</v>
      </c>
      <c r="C2009" s="15" t="s">
        <v>7923</v>
      </c>
      <c r="D2009" s="16" t="s">
        <v>7924</v>
      </c>
    </row>
    <row r="2010" spans="1:4" x14ac:dyDescent="0.35">
      <c r="A2010" s="11" t="s">
        <v>349</v>
      </c>
      <c r="B2010" s="12" t="s">
        <v>4716</v>
      </c>
      <c r="C2010" s="12" t="s">
        <v>7925</v>
      </c>
      <c r="D2010" s="13" t="s">
        <v>7926</v>
      </c>
    </row>
    <row r="2011" spans="1:4" x14ac:dyDescent="0.35">
      <c r="A2011" s="14" t="s">
        <v>348</v>
      </c>
      <c r="B2011" s="15" t="s">
        <v>4716</v>
      </c>
      <c r="C2011" s="15" t="s">
        <v>7927</v>
      </c>
      <c r="D2011" s="16" t="s">
        <v>7928</v>
      </c>
    </row>
    <row r="2012" spans="1:4" x14ac:dyDescent="0.35">
      <c r="A2012" s="11" t="s">
        <v>347</v>
      </c>
      <c r="B2012" s="12" t="s">
        <v>4716</v>
      </c>
      <c r="C2012" s="12" t="s">
        <v>7929</v>
      </c>
      <c r="D2012" s="13" t="s">
        <v>5247</v>
      </c>
    </row>
    <row r="2013" spans="1:4" x14ac:dyDescent="0.35">
      <c r="A2013" s="14" t="s">
        <v>345</v>
      </c>
      <c r="B2013" s="15" t="s">
        <v>4716</v>
      </c>
      <c r="C2013" s="15" t="s">
        <v>7930</v>
      </c>
      <c r="D2013" s="16" t="s">
        <v>5105</v>
      </c>
    </row>
    <row r="2014" spans="1:4" x14ac:dyDescent="0.35">
      <c r="A2014" s="11" t="s">
        <v>344</v>
      </c>
      <c r="B2014" s="12" t="s">
        <v>4713</v>
      </c>
      <c r="C2014" s="12" t="s">
        <v>6466</v>
      </c>
      <c r="D2014" s="13" t="s">
        <v>7931</v>
      </c>
    </row>
    <row r="2015" spans="1:4" x14ac:dyDescent="0.35">
      <c r="A2015" s="14" t="s">
        <v>343</v>
      </c>
      <c r="B2015" s="15" t="s">
        <v>4716</v>
      </c>
      <c r="C2015" s="15" t="s">
        <v>7932</v>
      </c>
      <c r="D2015" s="16" t="s">
        <v>7933</v>
      </c>
    </row>
    <row r="2016" spans="1:4" x14ac:dyDescent="0.35">
      <c r="A2016" s="11" t="s">
        <v>342</v>
      </c>
      <c r="B2016" s="12" t="s">
        <v>4713</v>
      </c>
      <c r="C2016" s="12" t="s">
        <v>7934</v>
      </c>
      <c r="D2016" s="13" t="s">
        <v>7935</v>
      </c>
    </row>
    <row r="2017" spans="1:4" x14ac:dyDescent="0.35">
      <c r="A2017" s="14" t="s">
        <v>341</v>
      </c>
      <c r="B2017" s="15" t="s">
        <v>4716</v>
      </c>
      <c r="C2017" s="15" t="s">
        <v>7936</v>
      </c>
      <c r="D2017" s="16" t="s">
        <v>7834</v>
      </c>
    </row>
    <row r="2018" spans="1:4" x14ac:dyDescent="0.35">
      <c r="A2018" s="11" t="s">
        <v>340</v>
      </c>
      <c r="B2018" s="12" t="s">
        <v>4713</v>
      </c>
      <c r="C2018" s="12" t="s">
        <v>7937</v>
      </c>
      <c r="D2018" s="13" t="s">
        <v>7938</v>
      </c>
    </row>
    <row r="2019" spans="1:4" x14ac:dyDescent="0.35">
      <c r="A2019" s="14" t="s">
        <v>339</v>
      </c>
      <c r="B2019" s="15" t="s">
        <v>4713</v>
      </c>
      <c r="C2019" s="15" t="s">
        <v>7939</v>
      </c>
      <c r="D2019" s="16" t="s">
        <v>4841</v>
      </c>
    </row>
    <row r="2020" spans="1:4" x14ac:dyDescent="0.35">
      <c r="A2020" s="11" t="s">
        <v>338</v>
      </c>
      <c r="B2020" s="12" t="s">
        <v>4713</v>
      </c>
      <c r="C2020" s="12" t="s">
        <v>4835</v>
      </c>
      <c r="D2020" s="13" t="s">
        <v>7940</v>
      </c>
    </row>
    <row r="2021" spans="1:4" x14ac:dyDescent="0.35">
      <c r="A2021" s="14" t="s">
        <v>337</v>
      </c>
      <c r="B2021" s="15" t="s">
        <v>4716</v>
      </c>
      <c r="C2021" s="15" t="s">
        <v>7941</v>
      </c>
      <c r="D2021" s="16" t="s">
        <v>7942</v>
      </c>
    </row>
    <row r="2022" spans="1:4" x14ac:dyDescent="0.35">
      <c r="A2022" s="11" t="s">
        <v>336</v>
      </c>
      <c r="B2022" s="12" t="s">
        <v>4716</v>
      </c>
      <c r="C2022" s="12" t="s">
        <v>5141</v>
      </c>
      <c r="D2022" s="13" t="s">
        <v>7615</v>
      </c>
    </row>
    <row r="2023" spans="1:4" x14ac:dyDescent="0.35">
      <c r="A2023" s="14" t="s">
        <v>335</v>
      </c>
      <c r="B2023" s="15" t="s">
        <v>4713</v>
      </c>
      <c r="C2023" s="15" t="s">
        <v>7943</v>
      </c>
      <c r="D2023" s="16" t="s">
        <v>7944</v>
      </c>
    </row>
    <row r="2024" spans="1:4" x14ac:dyDescent="0.35">
      <c r="A2024" s="11" t="s">
        <v>334</v>
      </c>
      <c r="B2024" s="12" t="s">
        <v>4716</v>
      </c>
      <c r="C2024" s="12" t="s">
        <v>7945</v>
      </c>
      <c r="D2024" s="13" t="s">
        <v>7946</v>
      </c>
    </row>
    <row r="2025" spans="1:4" x14ac:dyDescent="0.35">
      <c r="A2025" s="14" t="s">
        <v>333</v>
      </c>
      <c r="B2025" s="15" t="s">
        <v>4713</v>
      </c>
      <c r="C2025" s="15" t="s">
        <v>7947</v>
      </c>
      <c r="D2025" s="16" t="s">
        <v>7948</v>
      </c>
    </row>
    <row r="2026" spans="1:4" x14ac:dyDescent="0.35">
      <c r="A2026" s="11" t="s">
        <v>332</v>
      </c>
      <c r="B2026" s="12" t="s">
        <v>4713</v>
      </c>
      <c r="C2026" s="12" t="s">
        <v>7949</v>
      </c>
      <c r="D2026" s="13" t="s">
        <v>7950</v>
      </c>
    </row>
    <row r="2027" spans="1:4" x14ac:dyDescent="0.35">
      <c r="A2027" s="14" t="s">
        <v>331</v>
      </c>
      <c r="B2027" s="15" t="s">
        <v>4716</v>
      </c>
      <c r="C2027" s="15" t="s">
        <v>7951</v>
      </c>
      <c r="D2027" s="16" t="s">
        <v>7952</v>
      </c>
    </row>
    <row r="2028" spans="1:4" x14ac:dyDescent="0.35">
      <c r="A2028" s="11" t="s">
        <v>330</v>
      </c>
      <c r="B2028" s="12" t="s">
        <v>4713</v>
      </c>
      <c r="C2028" s="12" t="s">
        <v>7307</v>
      </c>
      <c r="D2028" s="13" t="s">
        <v>7953</v>
      </c>
    </row>
    <row r="2029" spans="1:4" x14ac:dyDescent="0.35">
      <c r="A2029" s="14" t="s">
        <v>329</v>
      </c>
      <c r="B2029" s="15" t="s">
        <v>4716</v>
      </c>
      <c r="C2029" s="15" t="s">
        <v>7954</v>
      </c>
      <c r="D2029" s="16" t="s">
        <v>7955</v>
      </c>
    </row>
    <row r="2030" spans="1:4" x14ac:dyDescent="0.35">
      <c r="A2030" s="11" t="s">
        <v>328</v>
      </c>
      <c r="B2030" s="12" t="s">
        <v>4716</v>
      </c>
      <c r="C2030" s="12" t="s">
        <v>7956</v>
      </c>
      <c r="D2030" s="13" t="s">
        <v>4843</v>
      </c>
    </row>
    <row r="2031" spans="1:4" x14ac:dyDescent="0.35">
      <c r="A2031" s="14" t="s">
        <v>327</v>
      </c>
      <c r="B2031" s="15" t="s">
        <v>4713</v>
      </c>
      <c r="C2031" s="15" t="s">
        <v>7957</v>
      </c>
      <c r="D2031" s="16" t="s">
        <v>7958</v>
      </c>
    </row>
    <row r="2032" spans="1:4" x14ac:dyDescent="0.35">
      <c r="A2032" s="11" t="s">
        <v>326</v>
      </c>
      <c r="B2032" s="12" t="s">
        <v>4713</v>
      </c>
      <c r="C2032" s="12" t="s">
        <v>7959</v>
      </c>
      <c r="D2032" s="13" t="s">
        <v>7960</v>
      </c>
    </row>
    <row r="2033" spans="1:4" x14ac:dyDescent="0.35">
      <c r="A2033" s="14" t="s">
        <v>325</v>
      </c>
      <c r="B2033" s="15" t="s">
        <v>4716</v>
      </c>
      <c r="C2033" s="15" t="s">
        <v>5987</v>
      </c>
      <c r="D2033" s="16" t="s">
        <v>7961</v>
      </c>
    </row>
    <row r="2034" spans="1:4" x14ac:dyDescent="0.35">
      <c r="A2034" s="11" t="s">
        <v>324</v>
      </c>
      <c r="B2034" s="12" t="s">
        <v>4716</v>
      </c>
      <c r="C2034" s="12" t="s">
        <v>7962</v>
      </c>
      <c r="D2034" s="13" t="s">
        <v>7963</v>
      </c>
    </row>
    <row r="2035" spans="1:4" x14ac:dyDescent="0.35">
      <c r="A2035" s="14" t="s">
        <v>323</v>
      </c>
      <c r="B2035" s="15" t="s">
        <v>4716</v>
      </c>
      <c r="C2035" s="15" t="s">
        <v>7964</v>
      </c>
      <c r="D2035" s="16" t="s">
        <v>6412</v>
      </c>
    </row>
    <row r="2036" spans="1:4" x14ac:dyDescent="0.35">
      <c r="A2036" s="11" t="s">
        <v>322</v>
      </c>
      <c r="B2036" s="12" t="s">
        <v>4713</v>
      </c>
      <c r="C2036" s="12" t="s">
        <v>7965</v>
      </c>
      <c r="D2036" s="13" t="s">
        <v>7966</v>
      </c>
    </row>
    <row r="2037" spans="1:4" x14ac:dyDescent="0.35">
      <c r="A2037" s="14" t="s">
        <v>321</v>
      </c>
      <c r="B2037" s="15" t="s">
        <v>4713</v>
      </c>
      <c r="C2037" s="15" t="s">
        <v>7967</v>
      </c>
      <c r="D2037" s="16" t="s">
        <v>7968</v>
      </c>
    </row>
    <row r="2038" spans="1:4" x14ac:dyDescent="0.35">
      <c r="A2038" s="11" t="s">
        <v>320</v>
      </c>
      <c r="B2038" s="12" t="s">
        <v>4713</v>
      </c>
      <c r="C2038" s="12" t="s">
        <v>7969</v>
      </c>
      <c r="D2038" s="13" t="s">
        <v>7970</v>
      </c>
    </row>
    <row r="2039" spans="1:4" x14ac:dyDescent="0.35">
      <c r="A2039" s="14" t="s">
        <v>319</v>
      </c>
      <c r="B2039" s="15" t="s">
        <v>4713</v>
      </c>
      <c r="C2039" s="15" t="s">
        <v>7971</v>
      </c>
      <c r="D2039" s="16" t="s">
        <v>5180</v>
      </c>
    </row>
    <row r="2040" spans="1:4" x14ac:dyDescent="0.35">
      <c r="A2040" s="11" t="s">
        <v>318</v>
      </c>
      <c r="B2040" s="12" t="s">
        <v>4716</v>
      </c>
      <c r="C2040" s="12" t="s">
        <v>4840</v>
      </c>
      <c r="D2040" s="13" t="s">
        <v>7972</v>
      </c>
    </row>
    <row r="2041" spans="1:4" x14ac:dyDescent="0.35">
      <c r="A2041" s="14" t="s">
        <v>317</v>
      </c>
      <c r="B2041" s="15" t="s">
        <v>4713</v>
      </c>
      <c r="C2041" s="15" t="s">
        <v>7973</v>
      </c>
      <c r="D2041" s="16" t="s">
        <v>7974</v>
      </c>
    </row>
    <row r="2042" spans="1:4" x14ac:dyDescent="0.35">
      <c r="A2042" s="11" t="s">
        <v>316</v>
      </c>
      <c r="B2042" s="12" t="s">
        <v>4716</v>
      </c>
      <c r="C2042" s="12" t="s">
        <v>6272</v>
      </c>
      <c r="D2042" s="13" t="s">
        <v>6291</v>
      </c>
    </row>
    <row r="2043" spans="1:4" x14ac:dyDescent="0.35">
      <c r="A2043" s="14" t="s">
        <v>315</v>
      </c>
      <c r="B2043" s="15" t="s">
        <v>4716</v>
      </c>
      <c r="C2043" s="15" t="s">
        <v>7975</v>
      </c>
      <c r="D2043" s="16" t="s">
        <v>7976</v>
      </c>
    </row>
    <row r="2044" spans="1:4" x14ac:dyDescent="0.35">
      <c r="A2044" s="11" t="s">
        <v>314</v>
      </c>
      <c r="B2044" s="12" t="s">
        <v>4716</v>
      </c>
      <c r="C2044" s="12" t="s">
        <v>7977</v>
      </c>
      <c r="D2044" s="13" t="s">
        <v>7978</v>
      </c>
    </row>
    <row r="2045" spans="1:4" x14ac:dyDescent="0.35">
      <c r="A2045" s="14" t="s">
        <v>313</v>
      </c>
      <c r="B2045" s="15" t="s">
        <v>4713</v>
      </c>
      <c r="C2045" s="15" t="s">
        <v>7979</v>
      </c>
      <c r="D2045" s="16" t="s">
        <v>7980</v>
      </c>
    </row>
    <row r="2046" spans="1:4" x14ac:dyDescent="0.35">
      <c r="A2046" s="11" t="s">
        <v>312</v>
      </c>
      <c r="B2046" s="12" t="s">
        <v>4713</v>
      </c>
      <c r="C2046" s="12" t="s">
        <v>7981</v>
      </c>
      <c r="D2046" s="13" t="s">
        <v>7982</v>
      </c>
    </row>
    <row r="2047" spans="1:4" x14ac:dyDescent="0.35">
      <c r="A2047" s="14" t="s">
        <v>311</v>
      </c>
      <c r="B2047" s="15" t="s">
        <v>4713</v>
      </c>
      <c r="C2047" s="15" t="s">
        <v>7983</v>
      </c>
      <c r="D2047" s="16" t="s">
        <v>7984</v>
      </c>
    </row>
    <row r="2048" spans="1:4" x14ac:dyDescent="0.35">
      <c r="A2048" s="11" t="s">
        <v>310</v>
      </c>
      <c r="B2048" s="12" t="s">
        <v>4713</v>
      </c>
      <c r="C2048" s="12" t="s">
        <v>4848</v>
      </c>
      <c r="D2048" s="13" t="s">
        <v>4869</v>
      </c>
    </row>
    <row r="2049" spans="1:4" x14ac:dyDescent="0.35">
      <c r="A2049" s="14" t="s">
        <v>309</v>
      </c>
      <c r="B2049" s="15" t="s">
        <v>4713</v>
      </c>
      <c r="C2049" s="15" t="s">
        <v>7985</v>
      </c>
      <c r="D2049" s="16" t="s">
        <v>7986</v>
      </c>
    </row>
    <row r="2050" spans="1:4" x14ac:dyDescent="0.35">
      <c r="A2050" s="11" t="s">
        <v>308</v>
      </c>
      <c r="B2050" s="12" t="s">
        <v>4716</v>
      </c>
      <c r="C2050" s="12" t="s">
        <v>6616</v>
      </c>
      <c r="D2050" s="13" t="s">
        <v>7987</v>
      </c>
    </row>
    <row r="2051" spans="1:4" x14ac:dyDescent="0.35">
      <c r="A2051" s="14" t="s">
        <v>307</v>
      </c>
      <c r="B2051" s="15" t="s">
        <v>4716</v>
      </c>
      <c r="C2051" s="15" t="s">
        <v>7188</v>
      </c>
      <c r="D2051" s="16" t="s">
        <v>5729</v>
      </c>
    </row>
    <row r="2052" spans="1:4" x14ac:dyDescent="0.35">
      <c r="A2052" s="11" t="s">
        <v>306</v>
      </c>
      <c r="B2052" s="12" t="s">
        <v>4716</v>
      </c>
      <c r="C2052" s="12" t="s">
        <v>7988</v>
      </c>
      <c r="D2052" s="13" t="s">
        <v>7989</v>
      </c>
    </row>
    <row r="2053" spans="1:4" x14ac:dyDescent="0.35">
      <c r="A2053" s="14" t="s">
        <v>305</v>
      </c>
      <c r="B2053" s="15" t="s">
        <v>4713</v>
      </c>
      <c r="C2053" s="15" t="s">
        <v>5904</v>
      </c>
      <c r="D2053" s="16" t="s">
        <v>7990</v>
      </c>
    </row>
    <row r="2054" spans="1:4" x14ac:dyDescent="0.35">
      <c r="A2054" s="11" t="s">
        <v>304</v>
      </c>
      <c r="B2054" s="12" t="s">
        <v>4713</v>
      </c>
      <c r="C2054" s="12" t="s">
        <v>7991</v>
      </c>
      <c r="D2054" s="13" t="s">
        <v>7992</v>
      </c>
    </row>
    <row r="2055" spans="1:4" x14ac:dyDescent="0.35">
      <c r="A2055" s="14" t="s">
        <v>303</v>
      </c>
      <c r="B2055" s="15" t="s">
        <v>4713</v>
      </c>
      <c r="C2055" s="15" t="s">
        <v>7993</v>
      </c>
      <c r="D2055" s="16" t="s">
        <v>7994</v>
      </c>
    </row>
    <row r="2056" spans="1:4" x14ac:dyDescent="0.35">
      <c r="A2056" s="11" t="s">
        <v>302</v>
      </c>
      <c r="B2056" s="12" t="s">
        <v>4713</v>
      </c>
      <c r="C2056" s="12" t="s">
        <v>5596</v>
      </c>
      <c r="D2056" s="13" t="s">
        <v>7995</v>
      </c>
    </row>
    <row r="2057" spans="1:4" x14ac:dyDescent="0.35">
      <c r="A2057" s="14" t="s">
        <v>301</v>
      </c>
      <c r="B2057" s="15" t="s">
        <v>4716</v>
      </c>
      <c r="C2057" s="15" t="s">
        <v>7996</v>
      </c>
      <c r="D2057" s="16" t="s">
        <v>7997</v>
      </c>
    </row>
    <row r="2058" spans="1:4" x14ac:dyDescent="0.35">
      <c r="A2058" s="11" t="s">
        <v>300</v>
      </c>
      <c r="B2058" s="12" t="s">
        <v>4713</v>
      </c>
      <c r="C2058" s="12" t="s">
        <v>7998</v>
      </c>
      <c r="D2058" s="13" t="s">
        <v>7999</v>
      </c>
    </row>
    <row r="2059" spans="1:4" x14ac:dyDescent="0.35">
      <c r="A2059" s="14" t="s">
        <v>299</v>
      </c>
      <c r="B2059" s="15" t="s">
        <v>4716</v>
      </c>
      <c r="C2059" s="15" t="s">
        <v>8000</v>
      </c>
      <c r="D2059" s="16" t="s">
        <v>5692</v>
      </c>
    </row>
    <row r="2060" spans="1:4" x14ac:dyDescent="0.35">
      <c r="A2060" s="11" t="s">
        <v>298</v>
      </c>
      <c r="B2060" s="12" t="s">
        <v>4713</v>
      </c>
      <c r="C2060" s="12" t="s">
        <v>8001</v>
      </c>
      <c r="D2060" s="13" t="s">
        <v>8002</v>
      </c>
    </row>
    <row r="2061" spans="1:4" x14ac:dyDescent="0.35">
      <c r="A2061" s="14" t="s">
        <v>297</v>
      </c>
      <c r="B2061" s="15" t="s">
        <v>4716</v>
      </c>
      <c r="C2061" s="15" t="s">
        <v>8003</v>
      </c>
      <c r="D2061" s="16" t="s">
        <v>6285</v>
      </c>
    </row>
    <row r="2062" spans="1:4" x14ac:dyDescent="0.35">
      <c r="A2062" s="11" t="s">
        <v>296</v>
      </c>
      <c r="B2062" s="12" t="s">
        <v>4716</v>
      </c>
      <c r="C2062" s="12" t="s">
        <v>8004</v>
      </c>
      <c r="D2062" s="13" t="s">
        <v>8005</v>
      </c>
    </row>
    <row r="2063" spans="1:4" x14ac:dyDescent="0.35">
      <c r="A2063" s="14" t="s">
        <v>295</v>
      </c>
      <c r="B2063" s="15" t="s">
        <v>4716</v>
      </c>
      <c r="C2063" s="15" t="s">
        <v>8006</v>
      </c>
      <c r="D2063" s="16" t="s">
        <v>8007</v>
      </c>
    </row>
    <row r="2064" spans="1:4" x14ac:dyDescent="0.35">
      <c r="A2064" s="11" t="s">
        <v>294</v>
      </c>
      <c r="B2064" s="12" t="s">
        <v>4713</v>
      </c>
      <c r="C2064" s="12" t="s">
        <v>6985</v>
      </c>
      <c r="D2064" s="13" t="s">
        <v>8008</v>
      </c>
    </row>
    <row r="2065" spans="1:4" x14ac:dyDescent="0.35">
      <c r="A2065" s="14" t="s">
        <v>293</v>
      </c>
      <c r="B2065" s="15" t="s">
        <v>4713</v>
      </c>
      <c r="C2065" s="15" t="s">
        <v>5656</v>
      </c>
      <c r="D2065" s="16" t="s">
        <v>5180</v>
      </c>
    </row>
    <row r="2066" spans="1:4" x14ac:dyDescent="0.35">
      <c r="A2066" s="11" t="s">
        <v>292</v>
      </c>
      <c r="B2066" s="12" t="s">
        <v>4713</v>
      </c>
      <c r="C2066" s="12" t="s">
        <v>8009</v>
      </c>
      <c r="D2066" s="13" t="s">
        <v>8010</v>
      </c>
    </row>
    <row r="2067" spans="1:4" x14ac:dyDescent="0.35">
      <c r="A2067" s="14" t="s">
        <v>291</v>
      </c>
      <c r="B2067" s="15" t="s">
        <v>4713</v>
      </c>
      <c r="C2067" s="15" t="s">
        <v>6272</v>
      </c>
      <c r="D2067" s="16" t="s">
        <v>8011</v>
      </c>
    </row>
    <row r="2068" spans="1:4" x14ac:dyDescent="0.35">
      <c r="A2068" s="11" t="s">
        <v>289</v>
      </c>
      <c r="B2068" s="12" t="s">
        <v>4716</v>
      </c>
      <c r="C2068" s="12" t="s">
        <v>8012</v>
      </c>
      <c r="D2068" s="13" t="s">
        <v>7249</v>
      </c>
    </row>
    <row r="2069" spans="1:4" x14ac:dyDescent="0.35">
      <c r="A2069" s="14" t="s">
        <v>288</v>
      </c>
      <c r="B2069" s="15" t="s">
        <v>4716</v>
      </c>
      <c r="C2069" s="15" t="s">
        <v>8013</v>
      </c>
      <c r="D2069" s="16" t="s">
        <v>8014</v>
      </c>
    </row>
    <row r="2070" spans="1:4" x14ac:dyDescent="0.35">
      <c r="A2070" s="11" t="s">
        <v>287</v>
      </c>
      <c r="B2070" s="12" t="s">
        <v>4716</v>
      </c>
      <c r="C2070" s="12" t="s">
        <v>8015</v>
      </c>
      <c r="D2070" s="13" t="s">
        <v>8016</v>
      </c>
    </row>
    <row r="2071" spans="1:4" x14ac:dyDescent="0.35">
      <c r="A2071" s="14" t="s">
        <v>286</v>
      </c>
      <c r="B2071" s="15" t="s">
        <v>4713</v>
      </c>
      <c r="C2071" s="15" t="s">
        <v>8017</v>
      </c>
      <c r="D2071" s="16" t="s">
        <v>5076</v>
      </c>
    </row>
    <row r="2072" spans="1:4" x14ac:dyDescent="0.35">
      <c r="A2072" s="11" t="s">
        <v>285</v>
      </c>
      <c r="B2072" s="12" t="s">
        <v>4716</v>
      </c>
      <c r="C2072" s="12" t="s">
        <v>5096</v>
      </c>
      <c r="D2072" s="13" t="s">
        <v>5134</v>
      </c>
    </row>
    <row r="2073" spans="1:4" x14ac:dyDescent="0.35">
      <c r="A2073" s="14" t="s">
        <v>284</v>
      </c>
      <c r="B2073" s="15" t="s">
        <v>4713</v>
      </c>
      <c r="C2073" s="15" t="s">
        <v>8018</v>
      </c>
      <c r="D2073" s="16" t="s">
        <v>8019</v>
      </c>
    </row>
    <row r="2074" spans="1:4" x14ac:dyDescent="0.35">
      <c r="A2074" s="11" t="s">
        <v>283</v>
      </c>
      <c r="B2074" s="12" t="s">
        <v>4716</v>
      </c>
      <c r="C2074" s="12" t="s">
        <v>8020</v>
      </c>
      <c r="D2074" s="13" t="s">
        <v>8021</v>
      </c>
    </row>
    <row r="2075" spans="1:4" x14ac:dyDescent="0.35">
      <c r="A2075" s="14" t="s">
        <v>282</v>
      </c>
      <c r="B2075" s="15" t="s">
        <v>4713</v>
      </c>
      <c r="C2075" s="15" t="s">
        <v>8022</v>
      </c>
      <c r="D2075" s="16" t="s">
        <v>8023</v>
      </c>
    </row>
    <row r="2076" spans="1:4" x14ac:dyDescent="0.35">
      <c r="A2076" s="11" t="s">
        <v>281</v>
      </c>
      <c r="B2076" s="12" t="s">
        <v>4713</v>
      </c>
      <c r="C2076" s="12" t="s">
        <v>7818</v>
      </c>
      <c r="D2076" s="13" t="s">
        <v>8024</v>
      </c>
    </row>
    <row r="2077" spans="1:4" x14ac:dyDescent="0.35">
      <c r="A2077" s="14" t="s">
        <v>280</v>
      </c>
      <c r="B2077" s="15" t="s">
        <v>4716</v>
      </c>
      <c r="C2077" s="15" t="s">
        <v>8025</v>
      </c>
      <c r="D2077" s="16" t="s">
        <v>7530</v>
      </c>
    </row>
    <row r="2078" spans="1:4" x14ac:dyDescent="0.35">
      <c r="A2078" s="11" t="s">
        <v>279</v>
      </c>
      <c r="B2078" s="12" t="s">
        <v>4716</v>
      </c>
      <c r="C2078" s="12" t="s">
        <v>8026</v>
      </c>
      <c r="D2078" s="13" t="s">
        <v>4895</v>
      </c>
    </row>
    <row r="2079" spans="1:4" x14ac:dyDescent="0.35">
      <c r="A2079" s="14" t="s">
        <v>278</v>
      </c>
      <c r="B2079" s="15" t="s">
        <v>4716</v>
      </c>
      <c r="C2079" s="15" t="s">
        <v>8027</v>
      </c>
      <c r="D2079" s="16" t="s">
        <v>5856</v>
      </c>
    </row>
    <row r="2080" spans="1:4" x14ac:dyDescent="0.35">
      <c r="A2080" s="11" t="s">
        <v>277</v>
      </c>
      <c r="B2080" s="12" t="s">
        <v>4716</v>
      </c>
      <c r="C2080" s="12" t="s">
        <v>8028</v>
      </c>
      <c r="D2080" s="13" t="s">
        <v>5692</v>
      </c>
    </row>
    <row r="2081" spans="1:4" x14ac:dyDescent="0.35">
      <c r="A2081" s="14" t="s">
        <v>276</v>
      </c>
      <c r="B2081" s="15" t="s">
        <v>4713</v>
      </c>
      <c r="C2081" s="15" t="s">
        <v>6203</v>
      </c>
      <c r="D2081" s="16" t="s">
        <v>8029</v>
      </c>
    </row>
    <row r="2082" spans="1:4" x14ac:dyDescent="0.35">
      <c r="A2082" s="11" t="s">
        <v>275</v>
      </c>
      <c r="B2082" s="12" t="s">
        <v>4713</v>
      </c>
      <c r="C2082" s="12" t="s">
        <v>8030</v>
      </c>
      <c r="D2082" s="13" t="s">
        <v>6720</v>
      </c>
    </row>
    <row r="2083" spans="1:4" x14ac:dyDescent="0.35">
      <c r="A2083" s="14" t="s">
        <v>274</v>
      </c>
      <c r="B2083" s="15" t="s">
        <v>4713</v>
      </c>
      <c r="C2083" s="15" t="s">
        <v>8031</v>
      </c>
      <c r="D2083" s="16" t="s">
        <v>6566</v>
      </c>
    </row>
    <row r="2084" spans="1:4" x14ac:dyDescent="0.35">
      <c r="A2084" s="11" t="s">
        <v>273</v>
      </c>
      <c r="B2084" s="12" t="s">
        <v>4713</v>
      </c>
      <c r="C2084" s="12" t="s">
        <v>8032</v>
      </c>
      <c r="D2084" s="13" t="s">
        <v>8033</v>
      </c>
    </row>
    <row r="2085" spans="1:4" x14ac:dyDescent="0.35">
      <c r="A2085" s="14" t="s">
        <v>272</v>
      </c>
      <c r="B2085" s="15" t="s">
        <v>4713</v>
      </c>
      <c r="C2085" s="15" t="s">
        <v>8034</v>
      </c>
      <c r="D2085" s="16" t="s">
        <v>8035</v>
      </c>
    </row>
    <row r="2086" spans="1:4" x14ac:dyDescent="0.35">
      <c r="A2086" s="11" t="s">
        <v>271</v>
      </c>
      <c r="B2086" s="12" t="s">
        <v>4713</v>
      </c>
      <c r="C2086" s="12" t="s">
        <v>8036</v>
      </c>
      <c r="D2086" s="13" t="s">
        <v>8037</v>
      </c>
    </row>
    <row r="2087" spans="1:4" x14ac:dyDescent="0.35">
      <c r="A2087" s="14" t="s">
        <v>270</v>
      </c>
      <c r="B2087" s="15" t="s">
        <v>4716</v>
      </c>
      <c r="C2087" s="15" t="s">
        <v>8038</v>
      </c>
      <c r="D2087" s="16" t="s">
        <v>8039</v>
      </c>
    </row>
    <row r="2088" spans="1:4" x14ac:dyDescent="0.35">
      <c r="A2088" s="11" t="s">
        <v>269</v>
      </c>
      <c r="B2088" s="12" t="s">
        <v>4716</v>
      </c>
      <c r="C2088" s="12" t="s">
        <v>5096</v>
      </c>
      <c r="D2088" s="13" t="s">
        <v>5144</v>
      </c>
    </row>
    <row r="2089" spans="1:4" x14ac:dyDescent="0.35">
      <c r="A2089" s="14" t="s">
        <v>268</v>
      </c>
      <c r="B2089" s="15" t="s">
        <v>4713</v>
      </c>
      <c r="C2089" s="15" t="s">
        <v>8040</v>
      </c>
      <c r="D2089" s="16" t="s">
        <v>8041</v>
      </c>
    </row>
    <row r="2090" spans="1:4" x14ac:dyDescent="0.35">
      <c r="A2090" s="11" t="s">
        <v>267</v>
      </c>
      <c r="B2090" s="12" t="s">
        <v>4716</v>
      </c>
      <c r="C2090" s="12" t="s">
        <v>8042</v>
      </c>
      <c r="D2090" s="13" t="s">
        <v>7801</v>
      </c>
    </row>
    <row r="2091" spans="1:4" x14ac:dyDescent="0.35">
      <c r="A2091" s="14" t="s">
        <v>265</v>
      </c>
      <c r="B2091" s="15" t="s">
        <v>4716</v>
      </c>
      <c r="C2091" s="15" t="s">
        <v>8043</v>
      </c>
      <c r="D2091" s="16" t="s">
        <v>8044</v>
      </c>
    </row>
    <row r="2092" spans="1:4" x14ac:dyDescent="0.35">
      <c r="A2092" s="11" t="s">
        <v>264</v>
      </c>
      <c r="B2092" s="12" t="s">
        <v>4716</v>
      </c>
      <c r="C2092" s="12" t="s">
        <v>8045</v>
      </c>
      <c r="D2092" s="13" t="s">
        <v>8046</v>
      </c>
    </row>
    <row r="2093" spans="1:4" x14ac:dyDescent="0.35">
      <c r="A2093" s="14" t="s">
        <v>263</v>
      </c>
      <c r="B2093" s="15" t="s">
        <v>4716</v>
      </c>
      <c r="C2093" s="15" t="s">
        <v>8047</v>
      </c>
      <c r="D2093" s="16" t="s">
        <v>4988</v>
      </c>
    </row>
    <row r="2094" spans="1:4" x14ac:dyDescent="0.35">
      <c r="A2094" s="11" t="s">
        <v>262</v>
      </c>
      <c r="B2094" s="12" t="s">
        <v>4716</v>
      </c>
      <c r="C2094" s="12" t="s">
        <v>8048</v>
      </c>
      <c r="D2094" s="13" t="s">
        <v>4918</v>
      </c>
    </row>
    <row r="2095" spans="1:4" x14ac:dyDescent="0.35">
      <c r="A2095" s="14" t="s">
        <v>261</v>
      </c>
      <c r="B2095" s="15" t="s">
        <v>4713</v>
      </c>
      <c r="C2095" s="15" t="s">
        <v>8049</v>
      </c>
      <c r="D2095" s="16" t="s">
        <v>5536</v>
      </c>
    </row>
    <row r="2096" spans="1:4" x14ac:dyDescent="0.35">
      <c r="A2096" s="11" t="s">
        <v>260</v>
      </c>
      <c r="B2096" s="12" t="s">
        <v>4716</v>
      </c>
      <c r="C2096" s="12" t="s">
        <v>8050</v>
      </c>
      <c r="D2096" s="13" t="s">
        <v>8051</v>
      </c>
    </row>
    <row r="2097" spans="1:4" x14ac:dyDescent="0.35">
      <c r="A2097" s="14" t="s">
        <v>259</v>
      </c>
      <c r="B2097" s="15" t="s">
        <v>4716</v>
      </c>
      <c r="C2097" s="15" t="s">
        <v>8052</v>
      </c>
      <c r="D2097" s="16" t="s">
        <v>5982</v>
      </c>
    </row>
    <row r="2098" spans="1:4" x14ac:dyDescent="0.35">
      <c r="A2098" s="11" t="s">
        <v>258</v>
      </c>
      <c r="B2098" s="12" t="s">
        <v>4716</v>
      </c>
      <c r="C2098" s="12" t="s">
        <v>8053</v>
      </c>
      <c r="D2098" s="13" t="s">
        <v>8054</v>
      </c>
    </row>
    <row r="2099" spans="1:4" x14ac:dyDescent="0.35">
      <c r="A2099" s="14" t="s">
        <v>257</v>
      </c>
      <c r="B2099" s="15" t="s">
        <v>4713</v>
      </c>
      <c r="C2099" s="15" t="s">
        <v>8055</v>
      </c>
      <c r="D2099" s="16" t="s">
        <v>6229</v>
      </c>
    </row>
    <row r="2100" spans="1:4" x14ac:dyDescent="0.35">
      <c r="A2100" s="11" t="s">
        <v>256</v>
      </c>
      <c r="B2100" s="12" t="s">
        <v>4716</v>
      </c>
      <c r="C2100" s="12" t="s">
        <v>8056</v>
      </c>
      <c r="D2100" s="13" t="s">
        <v>5014</v>
      </c>
    </row>
    <row r="2101" spans="1:4" x14ac:dyDescent="0.35">
      <c r="A2101" s="14" t="s">
        <v>255</v>
      </c>
      <c r="B2101" s="15" t="s">
        <v>4713</v>
      </c>
      <c r="C2101" s="15" t="s">
        <v>8057</v>
      </c>
      <c r="D2101" s="16" t="s">
        <v>8058</v>
      </c>
    </row>
    <row r="2102" spans="1:4" x14ac:dyDescent="0.35">
      <c r="A2102" s="11" t="s">
        <v>254</v>
      </c>
      <c r="B2102" s="12" t="s">
        <v>4713</v>
      </c>
      <c r="C2102" s="12" t="s">
        <v>8059</v>
      </c>
      <c r="D2102" s="13" t="s">
        <v>8060</v>
      </c>
    </row>
    <row r="2103" spans="1:4" x14ac:dyDescent="0.35">
      <c r="A2103" s="14" t="s">
        <v>253</v>
      </c>
      <c r="B2103" s="15" t="s">
        <v>4716</v>
      </c>
      <c r="C2103" s="15" t="s">
        <v>7420</v>
      </c>
      <c r="D2103" s="16" t="s">
        <v>5798</v>
      </c>
    </row>
    <row r="2104" spans="1:4" x14ac:dyDescent="0.35">
      <c r="A2104" s="11" t="s">
        <v>252</v>
      </c>
      <c r="B2104" s="12" t="s">
        <v>4716</v>
      </c>
      <c r="C2104" s="12" t="s">
        <v>8061</v>
      </c>
      <c r="D2104" s="13" t="s">
        <v>8062</v>
      </c>
    </row>
    <row r="2105" spans="1:4" x14ac:dyDescent="0.35">
      <c r="A2105" s="14" t="s">
        <v>251</v>
      </c>
      <c r="B2105" s="15" t="s">
        <v>4716</v>
      </c>
      <c r="C2105" s="15" t="s">
        <v>4731</v>
      </c>
      <c r="D2105" s="16" t="s">
        <v>5377</v>
      </c>
    </row>
    <row r="2106" spans="1:4" x14ac:dyDescent="0.35">
      <c r="A2106" s="11" t="s">
        <v>250</v>
      </c>
      <c r="B2106" s="12" t="s">
        <v>4713</v>
      </c>
      <c r="C2106" s="12" t="s">
        <v>8063</v>
      </c>
      <c r="D2106" s="13" t="s">
        <v>8064</v>
      </c>
    </row>
    <row r="2107" spans="1:4" x14ac:dyDescent="0.35">
      <c r="A2107" s="14" t="s">
        <v>249</v>
      </c>
      <c r="B2107" s="15" t="s">
        <v>4713</v>
      </c>
      <c r="C2107" s="15" t="s">
        <v>8065</v>
      </c>
      <c r="D2107" s="16" t="s">
        <v>8066</v>
      </c>
    </row>
    <row r="2108" spans="1:4" x14ac:dyDescent="0.35">
      <c r="A2108" s="11" t="s">
        <v>248</v>
      </c>
      <c r="B2108" s="12" t="s">
        <v>4713</v>
      </c>
      <c r="C2108" s="12" t="s">
        <v>8067</v>
      </c>
      <c r="D2108" s="13" t="s">
        <v>8068</v>
      </c>
    </row>
    <row r="2109" spans="1:4" x14ac:dyDescent="0.35">
      <c r="A2109" s="14" t="s">
        <v>247</v>
      </c>
      <c r="B2109" s="15" t="s">
        <v>4713</v>
      </c>
      <c r="C2109" s="15" t="s">
        <v>8069</v>
      </c>
      <c r="D2109" s="16" t="s">
        <v>8070</v>
      </c>
    </row>
    <row r="2110" spans="1:4" x14ac:dyDescent="0.35">
      <c r="A2110" s="11" t="s">
        <v>246</v>
      </c>
      <c r="B2110" s="12" t="s">
        <v>4713</v>
      </c>
      <c r="C2110" s="12" t="s">
        <v>5564</v>
      </c>
      <c r="D2110" s="13" t="s">
        <v>8071</v>
      </c>
    </row>
    <row r="2111" spans="1:4" x14ac:dyDescent="0.35">
      <c r="A2111" s="14" t="s">
        <v>245</v>
      </c>
      <c r="B2111" s="15" t="s">
        <v>4713</v>
      </c>
      <c r="C2111" s="15" t="s">
        <v>8072</v>
      </c>
      <c r="D2111" s="16" t="s">
        <v>8073</v>
      </c>
    </row>
    <row r="2112" spans="1:4" x14ac:dyDescent="0.35">
      <c r="A2112" s="11" t="s">
        <v>244</v>
      </c>
      <c r="B2112" s="12" t="s">
        <v>4713</v>
      </c>
      <c r="C2112" s="12" t="s">
        <v>8074</v>
      </c>
      <c r="D2112" s="13" t="s">
        <v>8075</v>
      </c>
    </row>
    <row r="2113" spans="1:4" x14ac:dyDescent="0.35">
      <c r="A2113" s="14" t="s">
        <v>243</v>
      </c>
      <c r="B2113" s="15" t="s">
        <v>4713</v>
      </c>
      <c r="C2113" s="15" t="s">
        <v>8076</v>
      </c>
      <c r="D2113" s="16" t="s">
        <v>8077</v>
      </c>
    </row>
    <row r="2114" spans="1:4" x14ac:dyDescent="0.35">
      <c r="A2114" s="11" t="s">
        <v>242</v>
      </c>
      <c r="B2114" s="12" t="s">
        <v>4713</v>
      </c>
      <c r="C2114" s="12" t="s">
        <v>8078</v>
      </c>
      <c r="D2114" s="13" t="s">
        <v>6183</v>
      </c>
    </row>
    <row r="2115" spans="1:4" x14ac:dyDescent="0.35">
      <c r="A2115" s="14" t="s">
        <v>241</v>
      </c>
      <c r="B2115" s="15" t="s">
        <v>4713</v>
      </c>
      <c r="C2115" s="15" t="s">
        <v>8079</v>
      </c>
      <c r="D2115" s="16" t="s">
        <v>5351</v>
      </c>
    </row>
    <row r="2116" spans="1:4" x14ac:dyDescent="0.35">
      <c r="A2116" s="11" t="s">
        <v>240</v>
      </c>
      <c r="B2116" s="12" t="s">
        <v>4713</v>
      </c>
      <c r="C2116" s="12" t="s">
        <v>8080</v>
      </c>
      <c r="D2116" s="13" t="s">
        <v>5655</v>
      </c>
    </row>
    <row r="2117" spans="1:4" x14ac:dyDescent="0.35">
      <c r="A2117" s="14" t="s">
        <v>238</v>
      </c>
      <c r="B2117" s="15" t="s">
        <v>4713</v>
      </c>
      <c r="C2117" s="15" t="s">
        <v>8081</v>
      </c>
      <c r="D2117" s="16" t="s">
        <v>8082</v>
      </c>
    </row>
    <row r="2118" spans="1:4" x14ac:dyDescent="0.35">
      <c r="A2118" s="11" t="s">
        <v>236</v>
      </c>
      <c r="B2118" s="12" t="s">
        <v>4713</v>
      </c>
      <c r="C2118" s="12" t="s">
        <v>8083</v>
      </c>
      <c r="D2118" s="13" t="s">
        <v>8084</v>
      </c>
    </row>
    <row r="2119" spans="1:4" x14ac:dyDescent="0.35">
      <c r="A2119" s="14" t="s">
        <v>235</v>
      </c>
      <c r="B2119" s="15" t="s">
        <v>4716</v>
      </c>
      <c r="C2119" s="15" t="s">
        <v>8085</v>
      </c>
      <c r="D2119" s="16" t="s">
        <v>8086</v>
      </c>
    </row>
    <row r="2120" spans="1:4" x14ac:dyDescent="0.35">
      <c r="A2120" s="11" t="s">
        <v>234</v>
      </c>
      <c r="B2120" s="12" t="s">
        <v>4716</v>
      </c>
      <c r="C2120" s="12" t="s">
        <v>8087</v>
      </c>
      <c r="D2120" s="13" t="s">
        <v>5014</v>
      </c>
    </row>
    <row r="2121" spans="1:4" x14ac:dyDescent="0.35">
      <c r="A2121" s="14" t="s">
        <v>233</v>
      </c>
      <c r="B2121" s="15" t="s">
        <v>4713</v>
      </c>
      <c r="C2121" s="15" t="s">
        <v>8088</v>
      </c>
      <c r="D2121" s="16" t="s">
        <v>5621</v>
      </c>
    </row>
    <row r="2122" spans="1:4" x14ac:dyDescent="0.35">
      <c r="A2122" s="11" t="s">
        <v>232</v>
      </c>
      <c r="B2122" s="12" t="s">
        <v>4713</v>
      </c>
      <c r="C2122" s="12" t="s">
        <v>8089</v>
      </c>
      <c r="D2122" s="13" t="s">
        <v>8090</v>
      </c>
    </row>
    <row r="2123" spans="1:4" x14ac:dyDescent="0.35">
      <c r="A2123" s="14" t="s">
        <v>231</v>
      </c>
      <c r="B2123" s="15" t="s">
        <v>4713</v>
      </c>
      <c r="C2123" s="15" t="s">
        <v>8091</v>
      </c>
      <c r="D2123" s="16" t="s">
        <v>8092</v>
      </c>
    </row>
    <row r="2124" spans="1:4" x14ac:dyDescent="0.35">
      <c r="A2124" s="11" t="s">
        <v>230</v>
      </c>
      <c r="B2124" s="12" t="s">
        <v>4713</v>
      </c>
      <c r="C2124" s="12" t="s">
        <v>8093</v>
      </c>
      <c r="D2124" s="13" t="s">
        <v>8094</v>
      </c>
    </row>
    <row r="2125" spans="1:4" x14ac:dyDescent="0.35">
      <c r="A2125" s="14" t="s">
        <v>229</v>
      </c>
      <c r="B2125" s="15" t="s">
        <v>4713</v>
      </c>
      <c r="C2125" s="15" t="s">
        <v>6020</v>
      </c>
      <c r="D2125" s="16" t="s">
        <v>8095</v>
      </c>
    </row>
    <row r="2126" spans="1:4" x14ac:dyDescent="0.35">
      <c r="A2126" s="11" t="s">
        <v>228</v>
      </c>
      <c r="B2126" s="12" t="s">
        <v>4713</v>
      </c>
      <c r="C2126" s="12" t="s">
        <v>8096</v>
      </c>
      <c r="D2126" s="13" t="s">
        <v>8097</v>
      </c>
    </row>
    <row r="2127" spans="1:4" x14ac:dyDescent="0.35">
      <c r="A2127" s="14" t="s">
        <v>227</v>
      </c>
      <c r="B2127" s="15" t="s">
        <v>4713</v>
      </c>
      <c r="C2127" s="15" t="s">
        <v>8098</v>
      </c>
      <c r="D2127" s="16" t="s">
        <v>7994</v>
      </c>
    </row>
    <row r="2128" spans="1:4" x14ac:dyDescent="0.35">
      <c r="A2128" s="11" t="s">
        <v>226</v>
      </c>
      <c r="B2128" s="12" t="s">
        <v>4716</v>
      </c>
      <c r="C2128" s="12" t="s">
        <v>8099</v>
      </c>
      <c r="D2128" s="13" t="s">
        <v>8100</v>
      </c>
    </row>
    <row r="2129" spans="1:4" x14ac:dyDescent="0.35">
      <c r="A2129" s="14" t="s">
        <v>225</v>
      </c>
      <c r="B2129" s="15" t="s">
        <v>4713</v>
      </c>
      <c r="C2129" s="15" t="s">
        <v>8101</v>
      </c>
      <c r="D2129" s="16" t="s">
        <v>7499</v>
      </c>
    </row>
    <row r="2130" spans="1:4" x14ac:dyDescent="0.35">
      <c r="A2130" s="11" t="s">
        <v>224</v>
      </c>
      <c r="B2130" s="12" t="s">
        <v>4713</v>
      </c>
      <c r="C2130" s="12" t="s">
        <v>8102</v>
      </c>
      <c r="D2130" s="13" t="s">
        <v>8103</v>
      </c>
    </row>
    <row r="2131" spans="1:4" x14ac:dyDescent="0.35">
      <c r="A2131" s="14" t="s">
        <v>223</v>
      </c>
      <c r="B2131" s="15" t="s">
        <v>4713</v>
      </c>
      <c r="C2131" s="15" t="s">
        <v>6125</v>
      </c>
      <c r="D2131" s="16" t="s">
        <v>7327</v>
      </c>
    </row>
    <row r="2132" spans="1:4" x14ac:dyDescent="0.35">
      <c r="A2132" s="11" t="s">
        <v>222</v>
      </c>
      <c r="B2132" s="12" t="s">
        <v>4713</v>
      </c>
      <c r="C2132" s="12" t="s">
        <v>4792</v>
      </c>
      <c r="D2132" s="13" t="s">
        <v>8104</v>
      </c>
    </row>
    <row r="2133" spans="1:4" x14ac:dyDescent="0.35">
      <c r="A2133" s="14" t="s">
        <v>221</v>
      </c>
      <c r="B2133" s="15" t="s">
        <v>4716</v>
      </c>
      <c r="C2133" s="15" t="s">
        <v>8105</v>
      </c>
      <c r="D2133" s="16" t="s">
        <v>8106</v>
      </c>
    </row>
    <row r="2134" spans="1:4" x14ac:dyDescent="0.35">
      <c r="A2134" s="11" t="s">
        <v>220</v>
      </c>
      <c r="B2134" s="12" t="s">
        <v>4713</v>
      </c>
      <c r="C2134" s="12" t="s">
        <v>8107</v>
      </c>
      <c r="D2134" s="13" t="s">
        <v>7970</v>
      </c>
    </row>
    <row r="2135" spans="1:4" x14ac:dyDescent="0.35">
      <c r="A2135" s="14" t="s">
        <v>219</v>
      </c>
      <c r="B2135" s="15" t="s">
        <v>4716</v>
      </c>
      <c r="C2135" s="15" t="s">
        <v>8108</v>
      </c>
      <c r="D2135" s="16" t="s">
        <v>5202</v>
      </c>
    </row>
    <row r="2136" spans="1:4" x14ac:dyDescent="0.35">
      <c r="A2136" s="11" t="s">
        <v>218</v>
      </c>
      <c r="B2136" s="12" t="s">
        <v>4716</v>
      </c>
      <c r="C2136" s="12" t="s">
        <v>8109</v>
      </c>
      <c r="D2136" s="13" t="s">
        <v>8110</v>
      </c>
    </row>
    <row r="2137" spans="1:4" x14ac:dyDescent="0.35">
      <c r="A2137" s="14" t="s">
        <v>217</v>
      </c>
      <c r="B2137" s="15" t="s">
        <v>4716</v>
      </c>
      <c r="C2137" s="15" t="s">
        <v>7936</v>
      </c>
      <c r="D2137" s="16" t="s">
        <v>8111</v>
      </c>
    </row>
    <row r="2138" spans="1:4" x14ac:dyDescent="0.35">
      <c r="A2138" s="11" t="s">
        <v>216</v>
      </c>
      <c r="B2138" s="12" t="s">
        <v>4716</v>
      </c>
      <c r="C2138" s="12" t="s">
        <v>7324</v>
      </c>
      <c r="D2138" s="13" t="s">
        <v>8112</v>
      </c>
    </row>
    <row r="2139" spans="1:4" x14ac:dyDescent="0.35">
      <c r="A2139" s="14" t="s">
        <v>215</v>
      </c>
      <c r="B2139" s="15" t="s">
        <v>5590</v>
      </c>
      <c r="C2139" s="15" t="s">
        <v>8113</v>
      </c>
      <c r="D2139" s="16" t="s">
        <v>5536</v>
      </c>
    </row>
    <row r="2140" spans="1:4" x14ac:dyDescent="0.35">
      <c r="A2140" s="11" t="s">
        <v>214</v>
      </c>
      <c r="B2140" s="12" t="s">
        <v>4716</v>
      </c>
      <c r="C2140" s="12" t="s">
        <v>8114</v>
      </c>
      <c r="D2140" s="13" t="s">
        <v>8115</v>
      </c>
    </row>
    <row r="2141" spans="1:4" x14ac:dyDescent="0.35">
      <c r="A2141" s="14" t="s">
        <v>213</v>
      </c>
      <c r="B2141" s="15" t="s">
        <v>4716</v>
      </c>
      <c r="C2141" s="15" t="s">
        <v>8116</v>
      </c>
      <c r="D2141" s="16" t="s">
        <v>4899</v>
      </c>
    </row>
    <row r="2142" spans="1:4" x14ac:dyDescent="0.35">
      <c r="A2142" s="11" t="s">
        <v>212</v>
      </c>
      <c r="B2142" s="12" t="s">
        <v>4713</v>
      </c>
      <c r="C2142" s="12" t="s">
        <v>8117</v>
      </c>
      <c r="D2142" s="13" t="s">
        <v>4869</v>
      </c>
    </row>
    <row r="2143" spans="1:4" x14ac:dyDescent="0.35">
      <c r="A2143" s="14" t="s">
        <v>211</v>
      </c>
      <c r="B2143" s="15" t="s">
        <v>4713</v>
      </c>
      <c r="C2143" s="15" t="s">
        <v>8118</v>
      </c>
      <c r="D2143" s="16" t="s">
        <v>8119</v>
      </c>
    </row>
    <row r="2144" spans="1:4" x14ac:dyDescent="0.35">
      <c r="A2144" s="11" t="s">
        <v>210</v>
      </c>
      <c r="B2144" s="12" t="s">
        <v>4713</v>
      </c>
      <c r="C2144" s="12" t="s">
        <v>8120</v>
      </c>
      <c r="D2144" s="13" t="s">
        <v>8121</v>
      </c>
    </row>
    <row r="2145" spans="1:4" x14ac:dyDescent="0.35">
      <c r="A2145" s="14" t="s">
        <v>209</v>
      </c>
      <c r="B2145" s="15" t="s">
        <v>4713</v>
      </c>
      <c r="C2145" s="15" t="s">
        <v>8122</v>
      </c>
      <c r="D2145" s="16" t="s">
        <v>8123</v>
      </c>
    </row>
    <row r="2146" spans="1:4" x14ac:dyDescent="0.35">
      <c r="A2146" s="11" t="s">
        <v>208</v>
      </c>
      <c r="B2146" s="12" t="s">
        <v>4716</v>
      </c>
      <c r="C2146" s="12" t="s">
        <v>8124</v>
      </c>
      <c r="D2146" s="13" t="s">
        <v>8125</v>
      </c>
    </row>
    <row r="2147" spans="1:4" x14ac:dyDescent="0.35">
      <c r="A2147" s="14" t="s">
        <v>207</v>
      </c>
      <c r="B2147" s="15" t="s">
        <v>4716</v>
      </c>
      <c r="C2147" s="15" t="s">
        <v>8126</v>
      </c>
      <c r="D2147" s="16" t="s">
        <v>8127</v>
      </c>
    </row>
    <row r="2148" spans="1:4" x14ac:dyDescent="0.35">
      <c r="A2148" s="11" t="s">
        <v>206</v>
      </c>
      <c r="B2148" s="12" t="s">
        <v>4716</v>
      </c>
      <c r="C2148" s="12" t="s">
        <v>8128</v>
      </c>
      <c r="D2148" s="13" t="s">
        <v>8129</v>
      </c>
    </row>
    <row r="2149" spans="1:4" x14ac:dyDescent="0.35">
      <c r="A2149" s="14" t="s">
        <v>205</v>
      </c>
      <c r="B2149" s="15" t="s">
        <v>4716</v>
      </c>
      <c r="C2149" s="15" t="s">
        <v>8130</v>
      </c>
      <c r="D2149" s="16" t="s">
        <v>8131</v>
      </c>
    </row>
    <row r="2150" spans="1:4" x14ac:dyDescent="0.35">
      <c r="A2150" s="11" t="s">
        <v>204</v>
      </c>
      <c r="B2150" s="12" t="s">
        <v>4716</v>
      </c>
      <c r="C2150" s="12" t="s">
        <v>8132</v>
      </c>
      <c r="D2150" s="13" t="s">
        <v>4766</v>
      </c>
    </row>
    <row r="2151" spans="1:4" x14ac:dyDescent="0.35">
      <c r="A2151" s="14" t="s">
        <v>203</v>
      </c>
      <c r="B2151" s="15" t="s">
        <v>4716</v>
      </c>
      <c r="C2151" s="15" t="s">
        <v>7073</v>
      </c>
      <c r="D2151" s="16" t="s">
        <v>8133</v>
      </c>
    </row>
    <row r="2152" spans="1:4" x14ac:dyDescent="0.35">
      <c r="A2152" s="11" t="s">
        <v>202</v>
      </c>
      <c r="B2152" s="12" t="s">
        <v>4716</v>
      </c>
      <c r="C2152" s="12" t="s">
        <v>8134</v>
      </c>
      <c r="D2152" s="13" t="s">
        <v>8135</v>
      </c>
    </row>
    <row r="2153" spans="1:4" x14ac:dyDescent="0.35">
      <c r="A2153" s="14" t="s">
        <v>201</v>
      </c>
      <c r="B2153" s="15" t="s">
        <v>4716</v>
      </c>
      <c r="C2153" s="15" t="s">
        <v>8136</v>
      </c>
      <c r="D2153" s="16" t="s">
        <v>8137</v>
      </c>
    </row>
    <row r="2154" spans="1:4" x14ac:dyDescent="0.35">
      <c r="A2154" s="11" t="s">
        <v>200</v>
      </c>
      <c r="B2154" s="12" t="s">
        <v>4716</v>
      </c>
      <c r="C2154" s="12" t="s">
        <v>8138</v>
      </c>
      <c r="D2154" s="13" t="s">
        <v>8139</v>
      </c>
    </row>
    <row r="2155" spans="1:4" x14ac:dyDescent="0.35">
      <c r="A2155" s="14" t="s">
        <v>199</v>
      </c>
      <c r="B2155" s="15" t="s">
        <v>4716</v>
      </c>
      <c r="C2155" s="15" t="s">
        <v>8140</v>
      </c>
      <c r="D2155" s="16" t="s">
        <v>8141</v>
      </c>
    </row>
    <row r="2156" spans="1:4" x14ac:dyDescent="0.35">
      <c r="A2156" s="11" t="s">
        <v>198</v>
      </c>
      <c r="B2156" s="12" t="s">
        <v>4716</v>
      </c>
      <c r="C2156" s="12" t="s">
        <v>8088</v>
      </c>
      <c r="D2156" s="13" t="s">
        <v>8142</v>
      </c>
    </row>
    <row r="2157" spans="1:4" x14ac:dyDescent="0.35">
      <c r="A2157" s="14" t="s">
        <v>197</v>
      </c>
      <c r="B2157" s="15" t="s">
        <v>4716</v>
      </c>
      <c r="C2157" s="15" t="s">
        <v>8143</v>
      </c>
      <c r="D2157" s="16" t="s">
        <v>7780</v>
      </c>
    </row>
    <row r="2158" spans="1:4" x14ac:dyDescent="0.35">
      <c r="A2158" s="11" t="s">
        <v>196</v>
      </c>
      <c r="B2158" s="12" t="s">
        <v>4716</v>
      </c>
      <c r="C2158" s="12" t="s">
        <v>8144</v>
      </c>
      <c r="D2158" s="13" t="s">
        <v>4730</v>
      </c>
    </row>
    <row r="2159" spans="1:4" x14ac:dyDescent="0.35">
      <c r="A2159" s="14" t="s">
        <v>195</v>
      </c>
      <c r="B2159" s="15" t="s">
        <v>4713</v>
      </c>
      <c r="C2159" s="15" t="s">
        <v>8145</v>
      </c>
      <c r="D2159" s="16" t="s">
        <v>8146</v>
      </c>
    </row>
    <row r="2160" spans="1:4" x14ac:dyDescent="0.35">
      <c r="A2160" s="11" t="s">
        <v>194</v>
      </c>
      <c r="B2160" s="12" t="s">
        <v>4713</v>
      </c>
      <c r="C2160" s="12" t="s">
        <v>8147</v>
      </c>
      <c r="D2160" s="13" t="s">
        <v>7548</v>
      </c>
    </row>
    <row r="2161" spans="1:4" x14ac:dyDescent="0.35">
      <c r="A2161" s="14" t="s">
        <v>193</v>
      </c>
      <c r="B2161" s="15" t="s">
        <v>4713</v>
      </c>
      <c r="C2161" s="15" t="s">
        <v>8148</v>
      </c>
      <c r="D2161" s="16" t="s">
        <v>8149</v>
      </c>
    </row>
    <row r="2162" spans="1:4" x14ac:dyDescent="0.35">
      <c r="A2162" s="11" t="s">
        <v>192</v>
      </c>
      <c r="B2162" s="12" t="s">
        <v>4713</v>
      </c>
      <c r="C2162" s="12" t="s">
        <v>8150</v>
      </c>
      <c r="D2162" s="13" t="s">
        <v>6070</v>
      </c>
    </row>
    <row r="2163" spans="1:4" x14ac:dyDescent="0.35">
      <c r="A2163" s="14" t="s">
        <v>191</v>
      </c>
      <c r="B2163" s="15" t="s">
        <v>4713</v>
      </c>
      <c r="C2163" s="15" t="s">
        <v>8151</v>
      </c>
      <c r="D2163" s="16" t="s">
        <v>5070</v>
      </c>
    </row>
    <row r="2164" spans="1:4" x14ac:dyDescent="0.35">
      <c r="A2164" s="11" t="s">
        <v>189</v>
      </c>
      <c r="B2164" s="12" t="s">
        <v>5590</v>
      </c>
      <c r="C2164" s="12" t="s">
        <v>8152</v>
      </c>
      <c r="D2164" s="13" t="s">
        <v>8153</v>
      </c>
    </row>
    <row r="2165" spans="1:4" x14ac:dyDescent="0.35">
      <c r="A2165" s="14" t="s">
        <v>188</v>
      </c>
      <c r="B2165" s="15" t="s">
        <v>4713</v>
      </c>
      <c r="C2165" s="15" t="s">
        <v>4870</v>
      </c>
      <c r="D2165" s="16" t="s">
        <v>8154</v>
      </c>
    </row>
    <row r="2166" spans="1:4" x14ac:dyDescent="0.35">
      <c r="A2166" s="11" t="s">
        <v>187</v>
      </c>
      <c r="B2166" s="12" t="s">
        <v>4716</v>
      </c>
      <c r="C2166" s="12" t="s">
        <v>8155</v>
      </c>
      <c r="D2166" s="13" t="s">
        <v>6000</v>
      </c>
    </row>
    <row r="2167" spans="1:4" x14ac:dyDescent="0.35">
      <c r="A2167" s="14" t="s">
        <v>186</v>
      </c>
      <c r="B2167" s="15" t="s">
        <v>4716</v>
      </c>
      <c r="C2167" s="15" t="s">
        <v>8156</v>
      </c>
      <c r="D2167" s="16" t="s">
        <v>8157</v>
      </c>
    </row>
    <row r="2168" spans="1:4" x14ac:dyDescent="0.35">
      <c r="A2168" s="11" t="s">
        <v>185</v>
      </c>
      <c r="B2168" s="12" t="s">
        <v>4716</v>
      </c>
      <c r="C2168" s="12" t="s">
        <v>8158</v>
      </c>
      <c r="D2168" s="13" t="s">
        <v>8159</v>
      </c>
    </row>
    <row r="2169" spans="1:4" x14ac:dyDescent="0.35">
      <c r="A2169" s="14" t="s">
        <v>184</v>
      </c>
      <c r="B2169" s="15" t="s">
        <v>4716</v>
      </c>
      <c r="C2169" s="15" t="s">
        <v>8160</v>
      </c>
      <c r="D2169" s="16" t="s">
        <v>5747</v>
      </c>
    </row>
    <row r="2170" spans="1:4" x14ac:dyDescent="0.35">
      <c r="A2170" s="11" t="s">
        <v>183</v>
      </c>
      <c r="B2170" s="12" t="s">
        <v>4716</v>
      </c>
      <c r="C2170" s="12" t="s">
        <v>8161</v>
      </c>
      <c r="D2170" s="13" t="s">
        <v>8162</v>
      </c>
    </row>
    <row r="2171" spans="1:4" x14ac:dyDescent="0.35">
      <c r="A2171" s="14" t="s">
        <v>182</v>
      </c>
      <c r="B2171" s="15" t="s">
        <v>4716</v>
      </c>
      <c r="C2171" s="15" t="s">
        <v>8163</v>
      </c>
      <c r="D2171" s="16" t="s">
        <v>4994</v>
      </c>
    </row>
    <row r="2172" spans="1:4" x14ac:dyDescent="0.35">
      <c r="A2172" s="11" t="s">
        <v>181</v>
      </c>
      <c r="B2172" s="12" t="s">
        <v>4713</v>
      </c>
      <c r="C2172" s="12" t="s">
        <v>8164</v>
      </c>
      <c r="D2172" s="13" t="s">
        <v>6360</v>
      </c>
    </row>
    <row r="2173" spans="1:4" x14ac:dyDescent="0.35">
      <c r="A2173" s="14" t="s">
        <v>180</v>
      </c>
      <c r="B2173" s="15" t="s">
        <v>4716</v>
      </c>
      <c r="C2173" s="15" t="s">
        <v>7441</v>
      </c>
      <c r="D2173" s="16" t="s">
        <v>5008</v>
      </c>
    </row>
    <row r="2174" spans="1:4" x14ac:dyDescent="0.35">
      <c r="A2174" s="11" t="s">
        <v>179</v>
      </c>
      <c r="B2174" s="12" t="s">
        <v>4716</v>
      </c>
      <c r="C2174" s="12" t="s">
        <v>8165</v>
      </c>
      <c r="D2174" s="13" t="s">
        <v>8166</v>
      </c>
    </row>
    <row r="2175" spans="1:4" x14ac:dyDescent="0.35">
      <c r="A2175" s="14" t="s">
        <v>178</v>
      </c>
      <c r="B2175" s="15" t="s">
        <v>4713</v>
      </c>
      <c r="C2175" s="15" t="s">
        <v>6619</v>
      </c>
      <c r="D2175" s="16" t="s">
        <v>8167</v>
      </c>
    </row>
    <row r="2176" spans="1:4" x14ac:dyDescent="0.35">
      <c r="A2176" s="11" t="s">
        <v>177</v>
      </c>
      <c r="B2176" s="12" t="s">
        <v>4716</v>
      </c>
      <c r="C2176" s="12" t="s">
        <v>8168</v>
      </c>
      <c r="D2176" s="13" t="s">
        <v>8169</v>
      </c>
    </row>
    <row r="2177" spans="1:4" x14ac:dyDescent="0.35">
      <c r="A2177" s="14" t="s">
        <v>176</v>
      </c>
      <c r="B2177" s="15" t="s">
        <v>4713</v>
      </c>
      <c r="C2177" s="15" t="s">
        <v>5141</v>
      </c>
      <c r="D2177" s="16" t="s">
        <v>8170</v>
      </c>
    </row>
    <row r="2178" spans="1:4" x14ac:dyDescent="0.35">
      <c r="A2178" s="11" t="s">
        <v>175</v>
      </c>
      <c r="B2178" s="12" t="s">
        <v>4713</v>
      </c>
      <c r="C2178" s="12" t="s">
        <v>5126</v>
      </c>
      <c r="D2178" s="13" t="s">
        <v>8171</v>
      </c>
    </row>
    <row r="2179" spans="1:4" x14ac:dyDescent="0.35">
      <c r="A2179" s="14" t="s">
        <v>174</v>
      </c>
      <c r="B2179" s="15" t="s">
        <v>4713</v>
      </c>
      <c r="C2179" s="15" t="s">
        <v>5893</v>
      </c>
      <c r="D2179" s="16" t="s">
        <v>5371</v>
      </c>
    </row>
    <row r="2180" spans="1:4" x14ac:dyDescent="0.35">
      <c r="A2180" s="11" t="s">
        <v>173</v>
      </c>
      <c r="B2180" s="12" t="s">
        <v>4713</v>
      </c>
      <c r="C2180" s="12" t="s">
        <v>8172</v>
      </c>
      <c r="D2180" s="13" t="s">
        <v>8173</v>
      </c>
    </row>
    <row r="2181" spans="1:4" x14ac:dyDescent="0.35">
      <c r="A2181" s="14" t="s">
        <v>172</v>
      </c>
      <c r="B2181" s="15" t="s">
        <v>4713</v>
      </c>
      <c r="C2181" s="15" t="s">
        <v>6676</v>
      </c>
      <c r="D2181" s="16" t="s">
        <v>5333</v>
      </c>
    </row>
    <row r="2182" spans="1:4" x14ac:dyDescent="0.35">
      <c r="A2182" s="11" t="s">
        <v>171</v>
      </c>
      <c r="B2182" s="12" t="s">
        <v>4713</v>
      </c>
      <c r="C2182" s="12" t="s">
        <v>8174</v>
      </c>
      <c r="D2182" s="13" t="s">
        <v>8175</v>
      </c>
    </row>
    <row r="2183" spans="1:4" x14ac:dyDescent="0.35">
      <c r="A2183" s="14" t="s">
        <v>170</v>
      </c>
      <c r="B2183" s="15" t="s">
        <v>4713</v>
      </c>
      <c r="C2183" s="15" t="s">
        <v>8176</v>
      </c>
      <c r="D2183" s="16" t="s">
        <v>5367</v>
      </c>
    </row>
    <row r="2184" spans="1:4" x14ac:dyDescent="0.35">
      <c r="A2184" s="11" t="s">
        <v>169</v>
      </c>
      <c r="B2184" s="12" t="s">
        <v>4716</v>
      </c>
      <c r="C2184" s="12" t="s">
        <v>5426</v>
      </c>
      <c r="D2184" s="13" t="s">
        <v>7648</v>
      </c>
    </row>
    <row r="2185" spans="1:4" x14ac:dyDescent="0.35">
      <c r="A2185" s="14" t="s">
        <v>168</v>
      </c>
      <c r="B2185" s="15" t="s">
        <v>4716</v>
      </c>
      <c r="C2185" s="15" t="s">
        <v>8177</v>
      </c>
      <c r="D2185" s="16" t="s">
        <v>8178</v>
      </c>
    </row>
    <row r="2186" spans="1:4" x14ac:dyDescent="0.35">
      <c r="A2186" s="11" t="s">
        <v>167</v>
      </c>
      <c r="B2186" s="12" t="s">
        <v>4716</v>
      </c>
      <c r="C2186" s="12" t="s">
        <v>8179</v>
      </c>
      <c r="D2186" s="13" t="s">
        <v>5198</v>
      </c>
    </row>
    <row r="2187" spans="1:4" x14ac:dyDescent="0.35">
      <c r="A2187" s="14" t="s">
        <v>166</v>
      </c>
      <c r="B2187" s="15" t="s">
        <v>4716</v>
      </c>
      <c r="C2187" s="15" t="s">
        <v>5695</v>
      </c>
      <c r="D2187" s="16" t="s">
        <v>8180</v>
      </c>
    </row>
    <row r="2188" spans="1:4" x14ac:dyDescent="0.35">
      <c r="A2188" s="11" t="s">
        <v>165</v>
      </c>
      <c r="B2188" s="12" t="s">
        <v>4716</v>
      </c>
      <c r="C2188" s="12" t="s">
        <v>8181</v>
      </c>
      <c r="D2188" s="13" t="s">
        <v>4728</v>
      </c>
    </row>
    <row r="2189" spans="1:4" x14ac:dyDescent="0.35">
      <c r="A2189" s="14" t="s">
        <v>164</v>
      </c>
      <c r="B2189" s="15" t="s">
        <v>4716</v>
      </c>
      <c r="C2189" s="15" t="s">
        <v>8182</v>
      </c>
      <c r="D2189" s="16" t="s">
        <v>4877</v>
      </c>
    </row>
    <row r="2190" spans="1:4" x14ac:dyDescent="0.35">
      <c r="A2190" s="11" t="s">
        <v>163</v>
      </c>
      <c r="B2190" s="12" t="s">
        <v>4716</v>
      </c>
      <c r="C2190" s="12" t="s">
        <v>6958</v>
      </c>
      <c r="D2190" s="13" t="s">
        <v>8183</v>
      </c>
    </row>
    <row r="2191" spans="1:4" x14ac:dyDescent="0.35">
      <c r="A2191" s="14" t="s">
        <v>162</v>
      </c>
      <c r="B2191" s="15" t="s">
        <v>4716</v>
      </c>
      <c r="C2191" s="15" t="s">
        <v>8184</v>
      </c>
      <c r="D2191" s="16" t="s">
        <v>8185</v>
      </c>
    </row>
    <row r="2192" spans="1:4" x14ac:dyDescent="0.35">
      <c r="A2192" s="11" t="s">
        <v>161</v>
      </c>
      <c r="B2192" s="12" t="s">
        <v>4716</v>
      </c>
      <c r="C2192" s="12" t="s">
        <v>5123</v>
      </c>
      <c r="D2192" s="13" t="s">
        <v>8186</v>
      </c>
    </row>
    <row r="2193" spans="1:4" x14ac:dyDescent="0.35">
      <c r="A2193" s="14" t="s">
        <v>159</v>
      </c>
      <c r="B2193" s="15" t="s">
        <v>4716</v>
      </c>
      <c r="C2193" s="15" t="s">
        <v>8187</v>
      </c>
      <c r="D2193" s="16" t="s">
        <v>8188</v>
      </c>
    </row>
    <row r="2194" spans="1:4" x14ac:dyDescent="0.35">
      <c r="A2194" s="11" t="s">
        <v>157</v>
      </c>
      <c r="B2194" s="12" t="s">
        <v>4716</v>
      </c>
      <c r="C2194" s="12" t="s">
        <v>7551</v>
      </c>
      <c r="D2194" s="13" t="s">
        <v>8189</v>
      </c>
    </row>
    <row r="2195" spans="1:4" x14ac:dyDescent="0.35">
      <c r="A2195" s="14" t="s">
        <v>155</v>
      </c>
      <c r="B2195" s="15" t="s">
        <v>4716</v>
      </c>
      <c r="C2195" s="15" t="s">
        <v>5809</v>
      </c>
      <c r="D2195" s="16" t="s">
        <v>8190</v>
      </c>
    </row>
    <row r="2196" spans="1:4" x14ac:dyDescent="0.35">
      <c r="A2196" s="11" t="s">
        <v>153</v>
      </c>
      <c r="B2196" s="12" t="s">
        <v>4716</v>
      </c>
      <c r="C2196" s="12" t="s">
        <v>8191</v>
      </c>
      <c r="D2196" s="13" t="s">
        <v>8192</v>
      </c>
    </row>
    <row r="2197" spans="1:4" x14ac:dyDescent="0.35">
      <c r="A2197" s="14" t="s">
        <v>152</v>
      </c>
      <c r="B2197" s="15" t="s">
        <v>4716</v>
      </c>
      <c r="C2197" s="15" t="s">
        <v>5639</v>
      </c>
      <c r="D2197" s="16" t="s">
        <v>8193</v>
      </c>
    </row>
    <row r="2198" spans="1:4" x14ac:dyDescent="0.35">
      <c r="A2198" s="11" t="s">
        <v>151</v>
      </c>
      <c r="B2198" s="12" t="s">
        <v>4716</v>
      </c>
      <c r="C2198" s="12" t="s">
        <v>8194</v>
      </c>
      <c r="D2198" s="13" t="s">
        <v>8195</v>
      </c>
    </row>
    <row r="2199" spans="1:4" x14ac:dyDescent="0.35">
      <c r="A2199" s="14" t="s">
        <v>150</v>
      </c>
      <c r="B2199" s="15" t="s">
        <v>4716</v>
      </c>
      <c r="C2199" s="15" t="s">
        <v>8196</v>
      </c>
      <c r="D2199" s="16" t="s">
        <v>4811</v>
      </c>
    </row>
    <row r="2200" spans="1:4" x14ac:dyDescent="0.35">
      <c r="A2200" s="11" t="s">
        <v>149</v>
      </c>
      <c r="B2200" s="12" t="s">
        <v>4716</v>
      </c>
      <c r="C2200" s="12" t="s">
        <v>8197</v>
      </c>
      <c r="D2200" s="13" t="s">
        <v>8198</v>
      </c>
    </row>
    <row r="2201" spans="1:4" x14ac:dyDescent="0.35">
      <c r="A2201" s="14" t="s">
        <v>148</v>
      </c>
      <c r="B2201" s="15" t="s">
        <v>4716</v>
      </c>
      <c r="C2201" s="15" t="s">
        <v>8199</v>
      </c>
      <c r="D2201" s="16" t="s">
        <v>8200</v>
      </c>
    </row>
    <row r="2202" spans="1:4" x14ac:dyDescent="0.35">
      <c r="A2202" s="11" t="s">
        <v>147</v>
      </c>
      <c r="B2202" s="12" t="s">
        <v>4716</v>
      </c>
      <c r="C2202" s="12" t="s">
        <v>8201</v>
      </c>
      <c r="D2202" s="13" t="s">
        <v>8202</v>
      </c>
    </row>
    <row r="2203" spans="1:4" x14ac:dyDescent="0.35">
      <c r="A2203" s="14" t="s">
        <v>146</v>
      </c>
      <c r="B2203" s="15" t="s">
        <v>4716</v>
      </c>
      <c r="C2203" s="15" t="s">
        <v>8203</v>
      </c>
      <c r="D2203" s="16" t="s">
        <v>5062</v>
      </c>
    </row>
    <row r="2204" spans="1:4" x14ac:dyDescent="0.35">
      <c r="A2204" s="11" t="s">
        <v>145</v>
      </c>
      <c r="B2204" s="12" t="s">
        <v>4713</v>
      </c>
      <c r="C2204" s="12" t="s">
        <v>8204</v>
      </c>
      <c r="D2204" s="13" t="s">
        <v>8205</v>
      </c>
    </row>
    <row r="2205" spans="1:4" x14ac:dyDescent="0.35">
      <c r="A2205" s="14" t="s">
        <v>144</v>
      </c>
      <c r="B2205" s="15" t="s">
        <v>4713</v>
      </c>
      <c r="C2205" s="15" t="s">
        <v>8206</v>
      </c>
      <c r="D2205" s="16" t="s">
        <v>8207</v>
      </c>
    </row>
    <row r="2206" spans="1:4" x14ac:dyDescent="0.35">
      <c r="A2206" s="11" t="s">
        <v>143</v>
      </c>
      <c r="B2206" s="12" t="s">
        <v>4713</v>
      </c>
      <c r="C2206" s="12" t="s">
        <v>8208</v>
      </c>
      <c r="D2206" s="13" t="s">
        <v>8209</v>
      </c>
    </row>
    <row r="2207" spans="1:4" x14ac:dyDescent="0.35">
      <c r="A2207" s="14" t="s">
        <v>142</v>
      </c>
      <c r="B2207" s="15" t="s">
        <v>4716</v>
      </c>
      <c r="C2207" s="15" t="s">
        <v>8210</v>
      </c>
      <c r="D2207" s="16" t="s">
        <v>8211</v>
      </c>
    </row>
    <row r="2208" spans="1:4" x14ac:dyDescent="0.35">
      <c r="A2208" s="11" t="s">
        <v>141</v>
      </c>
      <c r="B2208" s="12" t="s">
        <v>4716</v>
      </c>
      <c r="C2208" s="12" t="s">
        <v>8212</v>
      </c>
      <c r="D2208" s="13" t="s">
        <v>7115</v>
      </c>
    </row>
    <row r="2209" spans="1:4" x14ac:dyDescent="0.35">
      <c r="A2209" s="14" t="s">
        <v>140</v>
      </c>
      <c r="B2209" s="15" t="s">
        <v>4713</v>
      </c>
      <c r="C2209" s="15" t="s">
        <v>8213</v>
      </c>
      <c r="D2209" s="16" t="s">
        <v>8214</v>
      </c>
    </row>
    <row r="2210" spans="1:4" x14ac:dyDescent="0.35">
      <c r="A2210" s="11" t="s">
        <v>139</v>
      </c>
      <c r="B2210" s="12" t="s">
        <v>4713</v>
      </c>
      <c r="C2210" s="12" t="s">
        <v>8215</v>
      </c>
      <c r="D2210" s="13" t="s">
        <v>8216</v>
      </c>
    </row>
    <row r="2211" spans="1:4" x14ac:dyDescent="0.35">
      <c r="A2211" s="14" t="s">
        <v>138</v>
      </c>
      <c r="B2211" s="15" t="s">
        <v>4713</v>
      </c>
      <c r="C2211" s="15" t="s">
        <v>8217</v>
      </c>
      <c r="D2211" s="16" t="s">
        <v>4748</v>
      </c>
    </row>
    <row r="2212" spans="1:4" x14ac:dyDescent="0.35">
      <c r="A2212" s="11" t="s">
        <v>137</v>
      </c>
      <c r="B2212" s="12" t="s">
        <v>4716</v>
      </c>
      <c r="C2212" s="12" t="s">
        <v>8218</v>
      </c>
      <c r="D2212" s="13" t="s">
        <v>7826</v>
      </c>
    </row>
    <row r="2213" spans="1:4" x14ac:dyDescent="0.35">
      <c r="A2213" s="14" t="s">
        <v>136</v>
      </c>
      <c r="B2213" s="15" t="s">
        <v>4716</v>
      </c>
      <c r="C2213" s="15" t="s">
        <v>7637</v>
      </c>
      <c r="D2213" s="16" t="s">
        <v>7115</v>
      </c>
    </row>
    <row r="2214" spans="1:4" x14ac:dyDescent="0.35">
      <c r="A2214" s="11" t="s">
        <v>135</v>
      </c>
      <c r="B2214" s="12" t="s">
        <v>4716</v>
      </c>
      <c r="C2214" s="12" t="s">
        <v>8219</v>
      </c>
      <c r="D2214" s="13" t="s">
        <v>5471</v>
      </c>
    </row>
    <row r="2215" spans="1:4" x14ac:dyDescent="0.35">
      <c r="A2215" s="14" t="s">
        <v>134</v>
      </c>
      <c r="B2215" s="15" t="s">
        <v>4713</v>
      </c>
      <c r="C2215" s="15" t="s">
        <v>8220</v>
      </c>
      <c r="D2215" s="16" t="s">
        <v>8221</v>
      </c>
    </row>
    <row r="2216" spans="1:4" x14ac:dyDescent="0.35">
      <c r="A2216" s="11" t="s">
        <v>133</v>
      </c>
      <c r="B2216" s="12" t="s">
        <v>4713</v>
      </c>
      <c r="C2216" s="12" t="s">
        <v>8222</v>
      </c>
      <c r="D2216" s="13" t="s">
        <v>5490</v>
      </c>
    </row>
    <row r="2217" spans="1:4" x14ac:dyDescent="0.35">
      <c r="A2217" s="14" t="s">
        <v>132</v>
      </c>
      <c r="B2217" s="15" t="s">
        <v>4716</v>
      </c>
      <c r="C2217" s="15" t="s">
        <v>6072</v>
      </c>
      <c r="D2217" s="16" t="s">
        <v>8223</v>
      </c>
    </row>
    <row r="2218" spans="1:4" x14ac:dyDescent="0.35">
      <c r="A2218" s="11" t="s">
        <v>131</v>
      </c>
      <c r="B2218" s="12" t="s">
        <v>4713</v>
      </c>
      <c r="C2218" s="12" t="s">
        <v>4838</v>
      </c>
      <c r="D2218" s="13" t="s">
        <v>8224</v>
      </c>
    </row>
    <row r="2219" spans="1:4" x14ac:dyDescent="0.35">
      <c r="A2219" s="14" t="s">
        <v>130</v>
      </c>
      <c r="B2219" s="15" t="s">
        <v>4713</v>
      </c>
      <c r="C2219" s="15" t="s">
        <v>8225</v>
      </c>
      <c r="D2219" s="16" t="s">
        <v>6021</v>
      </c>
    </row>
    <row r="2220" spans="1:4" x14ac:dyDescent="0.35">
      <c r="A2220" s="11" t="s">
        <v>129</v>
      </c>
      <c r="B2220" s="12" t="s">
        <v>4713</v>
      </c>
      <c r="C2220" s="12" t="s">
        <v>8226</v>
      </c>
      <c r="D2220" s="13" t="s">
        <v>5148</v>
      </c>
    </row>
    <row r="2221" spans="1:4" x14ac:dyDescent="0.35">
      <c r="A2221" s="14" t="s">
        <v>128</v>
      </c>
      <c r="B2221" s="15" t="s">
        <v>4713</v>
      </c>
      <c r="C2221" s="15" t="s">
        <v>8227</v>
      </c>
      <c r="D2221" s="16" t="s">
        <v>8228</v>
      </c>
    </row>
    <row r="2222" spans="1:4" x14ac:dyDescent="0.35">
      <c r="A2222" s="11" t="s">
        <v>127</v>
      </c>
      <c r="B2222" s="12" t="s">
        <v>4716</v>
      </c>
      <c r="C2222" s="12" t="s">
        <v>8229</v>
      </c>
      <c r="D2222" s="13" t="s">
        <v>4986</v>
      </c>
    </row>
    <row r="2223" spans="1:4" x14ac:dyDescent="0.35">
      <c r="A2223" s="14" t="s">
        <v>126</v>
      </c>
      <c r="B2223" s="15" t="s">
        <v>4716</v>
      </c>
      <c r="C2223" s="15" t="s">
        <v>8230</v>
      </c>
      <c r="D2223" s="16" t="s">
        <v>6508</v>
      </c>
    </row>
    <row r="2224" spans="1:4" x14ac:dyDescent="0.35">
      <c r="A2224" s="11" t="s">
        <v>125</v>
      </c>
      <c r="B2224" s="12" t="s">
        <v>4716</v>
      </c>
      <c r="C2224" s="12" t="s">
        <v>5583</v>
      </c>
      <c r="D2224" s="13" t="s">
        <v>5408</v>
      </c>
    </row>
    <row r="2225" spans="1:4" x14ac:dyDescent="0.35">
      <c r="A2225" s="14" t="s">
        <v>124</v>
      </c>
      <c r="B2225" s="15" t="s">
        <v>4716</v>
      </c>
      <c r="C2225" s="15" t="s">
        <v>8231</v>
      </c>
      <c r="D2225" s="16" t="s">
        <v>6508</v>
      </c>
    </row>
    <row r="2226" spans="1:4" x14ac:dyDescent="0.35">
      <c r="A2226" s="11" t="s">
        <v>123</v>
      </c>
      <c r="B2226" s="12" t="s">
        <v>4716</v>
      </c>
      <c r="C2226" s="12" t="s">
        <v>7641</v>
      </c>
      <c r="D2226" s="13" t="s">
        <v>8232</v>
      </c>
    </row>
    <row r="2227" spans="1:4" x14ac:dyDescent="0.35">
      <c r="A2227" s="14" t="s">
        <v>122</v>
      </c>
      <c r="B2227" s="15" t="s">
        <v>4713</v>
      </c>
      <c r="C2227" s="15" t="s">
        <v>6029</v>
      </c>
      <c r="D2227" s="16" t="s">
        <v>5184</v>
      </c>
    </row>
    <row r="2228" spans="1:4" x14ac:dyDescent="0.35">
      <c r="A2228" s="11" t="s">
        <v>121</v>
      </c>
      <c r="B2228" s="12" t="s">
        <v>4713</v>
      </c>
      <c r="C2228" s="12" t="s">
        <v>6996</v>
      </c>
      <c r="D2228" s="13" t="s">
        <v>6876</v>
      </c>
    </row>
    <row r="2229" spans="1:4" x14ac:dyDescent="0.35">
      <c r="A2229" s="14" t="s">
        <v>120</v>
      </c>
      <c r="B2229" s="15" t="s">
        <v>4713</v>
      </c>
      <c r="C2229" s="15" t="s">
        <v>8233</v>
      </c>
      <c r="D2229" s="16" t="s">
        <v>8234</v>
      </c>
    </row>
    <row r="2230" spans="1:4" x14ac:dyDescent="0.35">
      <c r="A2230" s="11" t="s">
        <v>119</v>
      </c>
      <c r="B2230" s="12" t="s">
        <v>4713</v>
      </c>
      <c r="C2230" s="12" t="s">
        <v>8235</v>
      </c>
      <c r="D2230" s="13" t="s">
        <v>8236</v>
      </c>
    </row>
    <row r="2231" spans="1:4" x14ac:dyDescent="0.35">
      <c r="A2231" s="14" t="s">
        <v>118</v>
      </c>
      <c r="B2231" s="15" t="s">
        <v>4716</v>
      </c>
      <c r="C2231" s="15" t="s">
        <v>8237</v>
      </c>
      <c r="D2231" s="16" t="s">
        <v>8238</v>
      </c>
    </row>
    <row r="2232" spans="1:4" x14ac:dyDescent="0.35">
      <c r="A2232" s="11" t="s">
        <v>117</v>
      </c>
      <c r="B2232" s="12" t="s">
        <v>4713</v>
      </c>
      <c r="C2232" s="12" t="s">
        <v>8239</v>
      </c>
      <c r="D2232" s="13" t="s">
        <v>8240</v>
      </c>
    </row>
    <row r="2233" spans="1:4" x14ac:dyDescent="0.35">
      <c r="A2233" s="14" t="s">
        <v>116</v>
      </c>
      <c r="B2233" s="15" t="s">
        <v>4713</v>
      </c>
      <c r="C2233" s="15" t="s">
        <v>8241</v>
      </c>
      <c r="D2233" s="16" t="s">
        <v>8242</v>
      </c>
    </row>
    <row r="2234" spans="1:4" x14ac:dyDescent="0.35">
      <c r="A2234" s="11" t="s">
        <v>115</v>
      </c>
      <c r="B2234" s="12" t="s">
        <v>4713</v>
      </c>
      <c r="C2234" s="12" t="s">
        <v>8243</v>
      </c>
      <c r="D2234" s="13" t="s">
        <v>8244</v>
      </c>
    </row>
    <row r="2235" spans="1:4" x14ac:dyDescent="0.35">
      <c r="A2235" s="14" t="s">
        <v>114</v>
      </c>
      <c r="B2235" s="15" t="s">
        <v>4716</v>
      </c>
      <c r="C2235" s="15" t="s">
        <v>6565</v>
      </c>
      <c r="D2235" s="16" t="s">
        <v>4728</v>
      </c>
    </row>
    <row r="2236" spans="1:4" x14ac:dyDescent="0.35">
      <c r="A2236" s="11" t="s">
        <v>113</v>
      </c>
      <c r="B2236" s="12" t="s">
        <v>4716</v>
      </c>
      <c r="C2236" s="12" t="s">
        <v>8245</v>
      </c>
      <c r="D2236" s="13" t="s">
        <v>4754</v>
      </c>
    </row>
    <row r="2237" spans="1:4" x14ac:dyDescent="0.35">
      <c r="A2237" s="14" t="s">
        <v>112</v>
      </c>
      <c r="B2237" s="15" t="s">
        <v>4716</v>
      </c>
      <c r="C2237" s="15" t="s">
        <v>8246</v>
      </c>
      <c r="D2237" s="16" t="s">
        <v>8247</v>
      </c>
    </row>
    <row r="2238" spans="1:4" x14ac:dyDescent="0.35">
      <c r="A2238" s="11" t="s">
        <v>111</v>
      </c>
      <c r="B2238" s="12" t="s">
        <v>4716</v>
      </c>
      <c r="C2238" s="12" t="s">
        <v>8248</v>
      </c>
      <c r="D2238" s="13" t="s">
        <v>7635</v>
      </c>
    </row>
    <row r="2239" spans="1:4" x14ac:dyDescent="0.35">
      <c r="A2239" s="14" t="s">
        <v>110</v>
      </c>
      <c r="B2239" s="15" t="s">
        <v>4716</v>
      </c>
      <c r="C2239" s="15" t="s">
        <v>8249</v>
      </c>
      <c r="D2239" s="16" t="s">
        <v>8250</v>
      </c>
    </row>
    <row r="2240" spans="1:4" x14ac:dyDescent="0.35">
      <c r="A2240" s="11" t="s">
        <v>109</v>
      </c>
      <c r="B2240" s="12" t="s">
        <v>4716</v>
      </c>
      <c r="C2240" s="12" t="s">
        <v>4844</v>
      </c>
      <c r="D2240" s="13" t="s">
        <v>8251</v>
      </c>
    </row>
    <row r="2241" spans="1:4" x14ac:dyDescent="0.35">
      <c r="A2241" s="14" t="s">
        <v>108</v>
      </c>
      <c r="B2241" s="15" t="s">
        <v>4713</v>
      </c>
      <c r="C2241" s="15" t="s">
        <v>8252</v>
      </c>
      <c r="D2241" s="16" t="s">
        <v>8253</v>
      </c>
    </row>
    <row r="2242" spans="1:4" x14ac:dyDescent="0.35">
      <c r="A2242" s="11" t="s">
        <v>107</v>
      </c>
      <c r="B2242" s="12" t="s">
        <v>4713</v>
      </c>
      <c r="C2242" s="12" t="s">
        <v>8254</v>
      </c>
      <c r="D2242" s="13" t="s">
        <v>4903</v>
      </c>
    </row>
    <row r="2243" spans="1:4" x14ac:dyDescent="0.35">
      <c r="A2243" s="14" t="s">
        <v>106</v>
      </c>
      <c r="B2243" s="15" t="s">
        <v>4713</v>
      </c>
      <c r="C2243" s="15" t="s">
        <v>8255</v>
      </c>
      <c r="D2243" s="16" t="s">
        <v>8256</v>
      </c>
    </row>
    <row r="2244" spans="1:4" x14ac:dyDescent="0.35">
      <c r="A2244" s="11" t="s">
        <v>105</v>
      </c>
      <c r="B2244" s="12" t="s">
        <v>4716</v>
      </c>
      <c r="C2244" s="12" t="s">
        <v>6296</v>
      </c>
      <c r="D2244" s="13" t="s">
        <v>5475</v>
      </c>
    </row>
    <row r="2245" spans="1:4" x14ac:dyDescent="0.35">
      <c r="A2245" s="14" t="s">
        <v>104</v>
      </c>
      <c r="B2245" s="15" t="s">
        <v>4716</v>
      </c>
      <c r="C2245" s="15" t="s">
        <v>8257</v>
      </c>
      <c r="D2245" s="16" t="s">
        <v>4908</v>
      </c>
    </row>
    <row r="2246" spans="1:4" x14ac:dyDescent="0.35">
      <c r="A2246" s="11" t="s">
        <v>103</v>
      </c>
      <c r="B2246" s="12" t="s">
        <v>4713</v>
      </c>
      <c r="C2246" s="12" t="s">
        <v>5893</v>
      </c>
      <c r="D2246" s="13" t="s">
        <v>7113</v>
      </c>
    </row>
    <row r="2247" spans="1:4" x14ac:dyDescent="0.35">
      <c r="A2247" s="14" t="s">
        <v>102</v>
      </c>
      <c r="B2247" s="15" t="s">
        <v>4713</v>
      </c>
      <c r="C2247" s="15" t="s">
        <v>8258</v>
      </c>
      <c r="D2247" s="16" t="s">
        <v>6082</v>
      </c>
    </row>
    <row r="2248" spans="1:4" x14ac:dyDescent="0.35">
      <c r="A2248" s="11" t="s">
        <v>101</v>
      </c>
      <c r="B2248" s="12" t="s">
        <v>4713</v>
      </c>
      <c r="C2248" s="12" t="s">
        <v>8259</v>
      </c>
      <c r="D2248" s="13" t="s">
        <v>4903</v>
      </c>
    </row>
    <row r="2249" spans="1:4" x14ac:dyDescent="0.35">
      <c r="A2249" s="14" t="s">
        <v>100</v>
      </c>
      <c r="B2249" s="15" t="s">
        <v>4716</v>
      </c>
      <c r="C2249" s="15" t="s">
        <v>8260</v>
      </c>
      <c r="D2249" s="16" t="s">
        <v>8261</v>
      </c>
    </row>
    <row r="2250" spans="1:4" x14ac:dyDescent="0.35">
      <c r="A2250" s="11" t="s">
        <v>99</v>
      </c>
      <c r="B2250" s="12" t="s">
        <v>4716</v>
      </c>
      <c r="C2250" s="12" t="s">
        <v>8262</v>
      </c>
      <c r="D2250" s="13" t="s">
        <v>5645</v>
      </c>
    </row>
    <row r="2251" spans="1:4" x14ac:dyDescent="0.35">
      <c r="A2251" s="14" t="s">
        <v>98</v>
      </c>
      <c r="B2251" s="15" t="s">
        <v>4713</v>
      </c>
      <c r="C2251" s="15" t="s">
        <v>8263</v>
      </c>
      <c r="D2251" s="16" t="s">
        <v>5763</v>
      </c>
    </row>
    <row r="2252" spans="1:4" x14ac:dyDescent="0.35">
      <c r="A2252" s="11" t="s">
        <v>97</v>
      </c>
      <c r="B2252" s="12" t="s">
        <v>4713</v>
      </c>
      <c r="C2252" s="12" t="s">
        <v>8264</v>
      </c>
      <c r="D2252" s="13" t="s">
        <v>4773</v>
      </c>
    </row>
    <row r="2253" spans="1:4" x14ac:dyDescent="0.35">
      <c r="A2253" s="14" t="s">
        <v>96</v>
      </c>
      <c r="B2253" s="15" t="s">
        <v>4716</v>
      </c>
      <c r="C2253" s="15" t="s">
        <v>8265</v>
      </c>
      <c r="D2253" s="16" t="s">
        <v>5471</v>
      </c>
    </row>
    <row r="2254" spans="1:4" x14ac:dyDescent="0.35">
      <c r="A2254" s="11" t="s">
        <v>95</v>
      </c>
      <c r="B2254" s="12" t="s">
        <v>4713</v>
      </c>
      <c r="C2254" s="12" t="s">
        <v>8266</v>
      </c>
      <c r="D2254" s="13" t="s">
        <v>8267</v>
      </c>
    </row>
    <row r="2255" spans="1:4" x14ac:dyDescent="0.35">
      <c r="A2255" s="14" t="s">
        <v>94</v>
      </c>
      <c r="B2255" s="15" t="s">
        <v>4713</v>
      </c>
      <c r="C2255" s="15" t="s">
        <v>8268</v>
      </c>
      <c r="D2255" s="16" t="s">
        <v>6499</v>
      </c>
    </row>
    <row r="2256" spans="1:4" x14ac:dyDescent="0.35">
      <c r="A2256" s="11" t="s">
        <v>93</v>
      </c>
      <c r="B2256" s="12" t="s">
        <v>4713</v>
      </c>
      <c r="C2256" s="12" t="s">
        <v>8269</v>
      </c>
      <c r="D2256" s="13" t="s">
        <v>8270</v>
      </c>
    </row>
    <row r="2257" spans="1:4" x14ac:dyDescent="0.35">
      <c r="A2257" s="14" t="s">
        <v>92</v>
      </c>
      <c r="B2257" s="15" t="s">
        <v>4716</v>
      </c>
      <c r="C2257" s="15" t="s">
        <v>4844</v>
      </c>
      <c r="D2257" s="16" t="s">
        <v>8271</v>
      </c>
    </row>
    <row r="2258" spans="1:4" x14ac:dyDescent="0.35">
      <c r="A2258" s="11" t="s">
        <v>91</v>
      </c>
      <c r="B2258" s="12" t="s">
        <v>4716</v>
      </c>
      <c r="C2258" s="12" t="s">
        <v>8272</v>
      </c>
      <c r="D2258" s="13" t="s">
        <v>8273</v>
      </c>
    </row>
    <row r="2259" spans="1:4" x14ac:dyDescent="0.35">
      <c r="A2259" s="14" t="s">
        <v>90</v>
      </c>
      <c r="B2259" s="15" t="s">
        <v>4716</v>
      </c>
      <c r="C2259" s="15" t="s">
        <v>8274</v>
      </c>
      <c r="D2259" s="16" t="s">
        <v>8275</v>
      </c>
    </row>
    <row r="2260" spans="1:4" x14ac:dyDescent="0.35">
      <c r="A2260" s="11" t="s">
        <v>89</v>
      </c>
      <c r="B2260" s="12" t="s">
        <v>4716</v>
      </c>
      <c r="C2260" s="12" t="s">
        <v>8276</v>
      </c>
      <c r="D2260" s="13" t="s">
        <v>8277</v>
      </c>
    </row>
    <row r="2261" spans="1:4" x14ac:dyDescent="0.35">
      <c r="A2261" s="14" t="s">
        <v>88</v>
      </c>
      <c r="B2261" s="15" t="s">
        <v>4716</v>
      </c>
      <c r="C2261" s="15" t="s">
        <v>8278</v>
      </c>
      <c r="D2261" s="16" t="s">
        <v>5150</v>
      </c>
    </row>
    <row r="2262" spans="1:4" x14ac:dyDescent="0.35">
      <c r="A2262" s="11" t="s">
        <v>87</v>
      </c>
      <c r="B2262" s="12" t="s">
        <v>4713</v>
      </c>
      <c r="C2262" s="12" t="s">
        <v>8279</v>
      </c>
      <c r="D2262" s="13" t="s">
        <v>4865</v>
      </c>
    </row>
    <row r="2263" spans="1:4" x14ac:dyDescent="0.35">
      <c r="A2263" s="14" t="s">
        <v>86</v>
      </c>
      <c r="B2263" s="15" t="s">
        <v>4716</v>
      </c>
      <c r="C2263" s="15" t="s">
        <v>8280</v>
      </c>
      <c r="D2263" s="16" t="s">
        <v>4843</v>
      </c>
    </row>
    <row r="2264" spans="1:4" x14ac:dyDescent="0.35">
      <c r="A2264" s="11" t="s">
        <v>85</v>
      </c>
      <c r="B2264" s="12" t="s">
        <v>4716</v>
      </c>
      <c r="C2264" s="12" t="s">
        <v>8281</v>
      </c>
      <c r="D2264" s="13" t="s">
        <v>5111</v>
      </c>
    </row>
    <row r="2265" spans="1:4" x14ac:dyDescent="0.35">
      <c r="A2265" s="14" t="s">
        <v>84</v>
      </c>
      <c r="B2265" s="15" t="s">
        <v>4716</v>
      </c>
      <c r="C2265" s="15" t="s">
        <v>8282</v>
      </c>
      <c r="D2265" s="16" t="s">
        <v>8283</v>
      </c>
    </row>
    <row r="2266" spans="1:4" x14ac:dyDescent="0.35">
      <c r="A2266" s="11" t="s">
        <v>83</v>
      </c>
      <c r="B2266" s="12" t="s">
        <v>4716</v>
      </c>
      <c r="C2266" s="12" t="s">
        <v>7410</v>
      </c>
      <c r="D2266" s="13" t="s">
        <v>5014</v>
      </c>
    </row>
    <row r="2267" spans="1:4" x14ac:dyDescent="0.35">
      <c r="A2267" s="14" t="s">
        <v>82</v>
      </c>
      <c r="B2267" s="15" t="s">
        <v>4713</v>
      </c>
      <c r="C2267" s="15" t="s">
        <v>8284</v>
      </c>
      <c r="D2267" s="16" t="s">
        <v>6641</v>
      </c>
    </row>
    <row r="2268" spans="1:4" x14ac:dyDescent="0.35">
      <c r="A2268" s="11" t="s">
        <v>81</v>
      </c>
      <c r="B2268" s="12" t="s">
        <v>4713</v>
      </c>
      <c r="C2268" s="12" t="s">
        <v>8285</v>
      </c>
      <c r="D2268" s="13" t="s">
        <v>5661</v>
      </c>
    </row>
    <row r="2269" spans="1:4" x14ac:dyDescent="0.35">
      <c r="A2269" s="14" t="s">
        <v>80</v>
      </c>
      <c r="B2269" s="15" t="s">
        <v>4713</v>
      </c>
      <c r="C2269" s="15" t="s">
        <v>8286</v>
      </c>
      <c r="D2269" s="16" t="s">
        <v>8287</v>
      </c>
    </row>
    <row r="2270" spans="1:4" x14ac:dyDescent="0.35">
      <c r="A2270" s="11" t="s">
        <v>79</v>
      </c>
      <c r="B2270" s="12" t="s">
        <v>4713</v>
      </c>
      <c r="C2270" s="12" t="s">
        <v>4971</v>
      </c>
      <c r="D2270" s="13" t="s">
        <v>8288</v>
      </c>
    </row>
    <row r="2271" spans="1:4" x14ac:dyDescent="0.35">
      <c r="A2271" s="14" t="s">
        <v>78</v>
      </c>
      <c r="B2271" s="15" t="s">
        <v>4713</v>
      </c>
      <c r="C2271" s="15" t="s">
        <v>5762</v>
      </c>
      <c r="D2271" s="16" t="s">
        <v>7119</v>
      </c>
    </row>
    <row r="2272" spans="1:4" x14ac:dyDescent="0.35">
      <c r="A2272" s="11" t="s">
        <v>77</v>
      </c>
      <c r="B2272" s="12" t="s">
        <v>4716</v>
      </c>
      <c r="C2272" s="12" t="s">
        <v>8289</v>
      </c>
      <c r="D2272" s="13" t="s">
        <v>8290</v>
      </c>
    </row>
    <row r="2273" spans="1:4" x14ac:dyDescent="0.35">
      <c r="A2273" s="14" t="s">
        <v>76</v>
      </c>
      <c r="B2273" s="15" t="s">
        <v>4713</v>
      </c>
      <c r="C2273" s="15" t="s">
        <v>8291</v>
      </c>
      <c r="D2273" s="16" t="s">
        <v>8292</v>
      </c>
    </row>
    <row r="2274" spans="1:4" x14ac:dyDescent="0.35">
      <c r="A2274" s="11" t="s">
        <v>75</v>
      </c>
      <c r="B2274" s="12" t="s">
        <v>4716</v>
      </c>
      <c r="C2274" s="12" t="s">
        <v>4848</v>
      </c>
      <c r="D2274" s="13" t="s">
        <v>8293</v>
      </c>
    </row>
    <row r="2275" spans="1:4" x14ac:dyDescent="0.35">
      <c r="A2275" s="14" t="s">
        <v>74</v>
      </c>
      <c r="B2275" s="15" t="s">
        <v>4713</v>
      </c>
      <c r="C2275" s="15" t="s">
        <v>8294</v>
      </c>
      <c r="D2275" s="16" t="s">
        <v>8173</v>
      </c>
    </row>
    <row r="2276" spans="1:4" x14ac:dyDescent="0.35">
      <c r="A2276" s="11" t="s">
        <v>73</v>
      </c>
      <c r="B2276" s="12" t="s">
        <v>4716</v>
      </c>
      <c r="C2276" s="12" t="s">
        <v>8295</v>
      </c>
      <c r="D2276" s="13" t="s">
        <v>5558</v>
      </c>
    </row>
    <row r="2277" spans="1:4" x14ac:dyDescent="0.35">
      <c r="A2277" s="14" t="s">
        <v>72</v>
      </c>
      <c r="B2277" s="15" t="s">
        <v>4716</v>
      </c>
      <c r="C2277" s="15" t="s">
        <v>8296</v>
      </c>
      <c r="D2277" s="16" t="s">
        <v>6462</v>
      </c>
    </row>
    <row r="2278" spans="1:4" x14ac:dyDescent="0.35">
      <c r="A2278" s="11" t="s">
        <v>71</v>
      </c>
      <c r="B2278" s="12" t="s">
        <v>4713</v>
      </c>
      <c r="C2278" s="12" t="s">
        <v>8297</v>
      </c>
      <c r="D2278" s="13" t="s">
        <v>8298</v>
      </c>
    </row>
    <row r="2279" spans="1:4" x14ac:dyDescent="0.35">
      <c r="A2279" s="14" t="s">
        <v>70</v>
      </c>
      <c r="B2279" s="15" t="s">
        <v>4716</v>
      </c>
      <c r="C2279" s="15" t="s">
        <v>8299</v>
      </c>
      <c r="D2279" s="16" t="s">
        <v>4918</v>
      </c>
    </row>
    <row r="2280" spans="1:4" x14ac:dyDescent="0.35">
      <c r="A2280" s="11" t="s">
        <v>69</v>
      </c>
      <c r="B2280" s="12" t="s">
        <v>4716</v>
      </c>
      <c r="C2280" s="12" t="s">
        <v>5057</v>
      </c>
      <c r="D2280" s="13" t="s">
        <v>8300</v>
      </c>
    </row>
    <row r="2281" spans="1:4" x14ac:dyDescent="0.35">
      <c r="A2281" s="14" t="s">
        <v>68</v>
      </c>
      <c r="B2281" s="15" t="s">
        <v>4716</v>
      </c>
      <c r="C2281" s="15" t="s">
        <v>8301</v>
      </c>
      <c r="D2281" s="16" t="s">
        <v>4867</v>
      </c>
    </row>
    <row r="2282" spans="1:4" x14ac:dyDescent="0.35">
      <c r="A2282" s="11" t="s">
        <v>67</v>
      </c>
      <c r="B2282" s="12" t="s">
        <v>4716</v>
      </c>
      <c r="C2282" s="12" t="s">
        <v>8302</v>
      </c>
      <c r="D2282" s="13" t="s">
        <v>8303</v>
      </c>
    </row>
    <row r="2283" spans="1:4" x14ac:dyDescent="0.35">
      <c r="A2283" s="14" t="s">
        <v>66</v>
      </c>
      <c r="B2283" s="15" t="s">
        <v>4713</v>
      </c>
      <c r="C2283" s="15" t="s">
        <v>4796</v>
      </c>
      <c r="D2283" s="16" t="s">
        <v>4875</v>
      </c>
    </row>
    <row r="2284" spans="1:4" x14ac:dyDescent="0.35">
      <c r="A2284" s="11" t="s">
        <v>65</v>
      </c>
      <c r="B2284" s="12" t="s">
        <v>4716</v>
      </c>
      <c r="C2284" s="12" t="s">
        <v>8304</v>
      </c>
      <c r="D2284" s="13" t="s">
        <v>4738</v>
      </c>
    </row>
    <row r="2285" spans="1:4" x14ac:dyDescent="0.35">
      <c r="A2285" s="14" t="s">
        <v>64</v>
      </c>
      <c r="B2285" s="15" t="s">
        <v>4713</v>
      </c>
      <c r="C2285" s="15" t="s">
        <v>8305</v>
      </c>
      <c r="D2285" s="16" t="s">
        <v>6307</v>
      </c>
    </row>
    <row r="2286" spans="1:4" x14ac:dyDescent="0.35">
      <c r="A2286" s="11" t="s">
        <v>63</v>
      </c>
      <c r="B2286" s="12" t="s">
        <v>4716</v>
      </c>
      <c r="C2286" s="12" t="s">
        <v>8306</v>
      </c>
      <c r="D2286" s="13" t="s">
        <v>8307</v>
      </c>
    </row>
    <row r="2287" spans="1:4" x14ac:dyDescent="0.35">
      <c r="A2287" s="14" t="s">
        <v>62</v>
      </c>
      <c r="B2287" s="15" t="s">
        <v>4713</v>
      </c>
      <c r="C2287" s="15" t="s">
        <v>8265</v>
      </c>
      <c r="D2287" s="16" t="s">
        <v>4891</v>
      </c>
    </row>
    <row r="2288" spans="1:4" x14ac:dyDescent="0.35">
      <c r="A2288" s="11" t="s">
        <v>61</v>
      </c>
      <c r="B2288" s="12" t="s">
        <v>4716</v>
      </c>
      <c r="C2288" s="12" t="s">
        <v>8308</v>
      </c>
      <c r="D2288" s="13" t="s">
        <v>8309</v>
      </c>
    </row>
    <row r="2289" spans="1:4" x14ac:dyDescent="0.35">
      <c r="A2289" s="14" t="s">
        <v>60</v>
      </c>
      <c r="B2289" s="15" t="s">
        <v>4713</v>
      </c>
      <c r="C2289" s="15" t="s">
        <v>8310</v>
      </c>
      <c r="D2289" s="16" t="s">
        <v>7123</v>
      </c>
    </row>
    <row r="2290" spans="1:4" x14ac:dyDescent="0.35">
      <c r="A2290" s="11" t="s">
        <v>59</v>
      </c>
      <c r="B2290" s="12" t="s">
        <v>4716</v>
      </c>
      <c r="C2290" s="12" t="s">
        <v>8311</v>
      </c>
      <c r="D2290" s="13" t="s">
        <v>8312</v>
      </c>
    </row>
    <row r="2291" spans="1:4" x14ac:dyDescent="0.35">
      <c r="A2291" s="14" t="s">
        <v>58</v>
      </c>
      <c r="B2291" s="15" t="s">
        <v>4716</v>
      </c>
      <c r="C2291" s="15" t="s">
        <v>8313</v>
      </c>
      <c r="D2291" s="16" t="s">
        <v>8314</v>
      </c>
    </row>
    <row r="2292" spans="1:4" x14ac:dyDescent="0.35">
      <c r="A2292" s="11" t="s">
        <v>57</v>
      </c>
      <c r="B2292" s="12" t="s">
        <v>4713</v>
      </c>
      <c r="C2292" s="12" t="s">
        <v>5057</v>
      </c>
      <c r="D2292" s="13" t="s">
        <v>5217</v>
      </c>
    </row>
    <row r="2293" spans="1:4" x14ac:dyDescent="0.35">
      <c r="A2293" s="14" t="s">
        <v>56</v>
      </c>
      <c r="B2293" s="15" t="s">
        <v>4716</v>
      </c>
      <c r="C2293" s="15" t="s">
        <v>8315</v>
      </c>
      <c r="D2293" s="16" t="s">
        <v>8316</v>
      </c>
    </row>
    <row r="2294" spans="1:4" x14ac:dyDescent="0.35">
      <c r="A2294" s="11" t="s">
        <v>55</v>
      </c>
      <c r="B2294" s="12" t="s">
        <v>4716</v>
      </c>
      <c r="C2294" s="12" t="s">
        <v>4880</v>
      </c>
      <c r="D2294" s="13" t="s">
        <v>4811</v>
      </c>
    </row>
    <row r="2295" spans="1:4" x14ac:dyDescent="0.35">
      <c r="A2295" s="14" t="s">
        <v>54</v>
      </c>
      <c r="B2295" s="15" t="s">
        <v>4713</v>
      </c>
      <c r="C2295" s="15" t="s">
        <v>8317</v>
      </c>
      <c r="D2295" s="16" t="s">
        <v>4891</v>
      </c>
    </row>
    <row r="2296" spans="1:4" x14ac:dyDescent="0.35">
      <c r="A2296" s="11" t="s">
        <v>53</v>
      </c>
      <c r="B2296" s="12" t="s">
        <v>4716</v>
      </c>
      <c r="C2296" s="12" t="s">
        <v>8318</v>
      </c>
      <c r="D2296" s="13" t="s">
        <v>5982</v>
      </c>
    </row>
    <row r="2297" spans="1:4" x14ac:dyDescent="0.35">
      <c r="A2297" s="14" t="s">
        <v>52</v>
      </c>
      <c r="B2297" s="15" t="s">
        <v>4716</v>
      </c>
      <c r="C2297" s="15" t="s">
        <v>8319</v>
      </c>
      <c r="D2297" s="16" t="s">
        <v>8320</v>
      </c>
    </row>
    <row r="2298" spans="1:4" x14ac:dyDescent="0.35">
      <c r="A2298" s="11" t="s">
        <v>51</v>
      </c>
      <c r="B2298" s="12" t="s">
        <v>4716</v>
      </c>
      <c r="C2298" s="12" t="s">
        <v>8321</v>
      </c>
      <c r="D2298" s="13" t="s">
        <v>8322</v>
      </c>
    </row>
    <row r="2299" spans="1:4" x14ac:dyDescent="0.35">
      <c r="A2299" s="14" t="s">
        <v>50</v>
      </c>
      <c r="B2299" s="15" t="s">
        <v>4713</v>
      </c>
      <c r="C2299" s="15" t="s">
        <v>8323</v>
      </c>
      <c r="D2299" s="16" t="s">
        <v>8324</v>
      </c>
    </row>
    <row r="2300" spans="1:4" x14ac:dyDescent="0.35">
      <c r="A2300" s="11" t="s">
        <v>49</v>
      </c>
      <c r="B2300" s="12" t="s">
        <v>4716</v>
      </c>
      <c r="C2300" s="12" t="s">
        <v>8325</v>
      </c>
      <c r="D2300" s="13" t="s">
        <v>8326</v>
      </c>
    </row>
    <row r="2301" spans="1:4" x14ac:dyDescent="0.35">
      <c r="A2301" s="14" t="s">
        <v>48</v>
      </c>
      <c r="B2301" s="15" t="s">
        <v>4716</v>
      </c>
      <c r="C2301" s="15" t="s">
        <v>8327</v>
      </c>
      <c r="D2301" s="16" t="s">
        <v>4873</v>
      </c>
    </row>
    <row r="2302" spans="1:4" x14ac:dyDescent="0.35">
      <c r="A2302" s="11" t="s">
        <v>47</v>
      </c>
      <c r="B2302" s="12" t="s">
        <v>4716</v>
      </c>
      <c r="C2302" s="12" t="s">
        <v>8328</v>
      </c>
      <c r="D2302" s="13" t="s">
        <v>8329</v>
      </c>
    </row>
    <row r="2303" spans="1:4" x14ac:dyDescent="0.35">
      <c r="A2303" s="14" t="s">
        <v>46</v>
      </c>
      <c r="B2303" s="15" t="s">
        <v>4716</v>
      </c>
      <c r="C2303" s="15" t="s">
        <v>5231</v>
      </c>
      <c r="D2303" s="16" t="s">
        <v>4738</v>
      </c>
    </row>
    <row r="2304" spans="1:4" x14ac:dyDescent="0.35">
      <c r="A2304" s="11" t="s">
        <v>45</v>
      </c>
      <c r="B2304" s="12" t="s">
        <v>4713</v>
      </c>
      <c r="C2304" s="12" t="s">
        <v>8330</v>
      </c>
      <c r="D2304" s="13" t="s">
        <v>8331</v>
      </c>
    </row>
    <row r="2305" spans="1:4" x14ac:dyDescent="0.35">
      <c r="A2305" s="14" t="s">
        <v>44</v>
      </c>
      <c r="B2305" s="15" t="s">
        <v>4716</v>
      </c>
      <c r="C2305" s="15" t="s">
        <v>8332</v>
      </c>
      <c r="D2305" s="16" t="s">
        <v>5558</v>
      </c>
    </row>
    <row r="2306" spans="1:4" x14ac:dyDescent="0.35">
      <c r="A2306" s="11" t="s">
        <v>43</v>
      </c>
      <c r="B2306" s="12" t="s">
        <v>4716</v>
      </c>
      <c r="C2306" s="12" t="s">
        <v>8333</v>
      </c>
      <c r="D2306" s="13" t="s">
        <v>8334</v>
      </c>
    </row>
    <row r="2307" spans="1:4" x14ac:dyDescent="0.35">
      <c r="A2307" s="14" t="s">
        <v>42</v>
      </c>
      <c r="B2307" s="15" t="s">
        <v>4716</v>
      </c>
      <c r="C2307" s="15" t="s">
        <v>8335</v>
      </c>
      <c r="D2307" s="16" t="s">
        <v>6609</v>
      </c>
    </row>
    <row r="2308" spans="1:4" x14ac:dyDescent="0.35">
      <c r="A2308" s="11" t="s">
        <v>41</v>
      </c>
      <c r="B2308" s="12" t="s">
        <v>4713</v>
      </c>
      <c r="C2308" s="12" t="s">
        <v>8336</v>
      </c>
      <c r="D2308" s="13" t="s">
        <v>5249</v>
      </c>
    </row>
    <row r="2309" spans="1:4" x14ac:dyDescent="0.35">
      <c r="A2309" s="14" t="s">
        <v>40</v>
      </c>
      <c r="B2309" s="15" t="s">
        <v>4713</v>
      </c>
      <c r="C2309" s="15" t="s">
        <v>8337</v>
      </c>
      <c r="D2309" s="16" t="s">
        <v>7534</v>
      </c>
    </row>
    <row r="2310" spans="1:4" x14ac:dyDescent="0.35">
      <c r="A2310" s="11" t="s">
        <v>39</v>
      </c>
      <c r="B2310" s="12" t="s">
        <v>4713</v>
      </c>
      <c r="C2310" s="12" t="s">
        <v>7677</v>
      </c>
      <c r="D2310" s="13" t="s">
        <v>7499</v>
      </c>
    </row>
    <row r="2311" spans="1:4" x14ac:dyDescent="0.35">
      <c r="A2311" s="14" t="s">
        <v>38</v>
      </c>
      <c r="B2311" s="15" t="s">
        <v>4716</v>
      </c>
      <c r="C2311" s="15" t="s">
        <v>4971</v>
      </c>
      <c r="D2311" s="16" t="s">
        <v>5014</v>
      </c>
    </row>
    <row r="2312" spans="1:4" x14ac:dyDescent="0.35">
      <c r="A2312" s="11" t="s">
        <v>37</v>
      </c>
      <c r="B2312" s="12" t="s">
        <v>5590</v>
      </c>
      <c r="C2312" s="12" t="s">
        <v>8338</v>
      </c>
      <c r="D2312" s="13" t="s">
        <v>5877</v>
      </c>
    </row>
    <row r="2313" spans="1:4" x14ac:dyDescent="0.35">
      <c r="A2313" s="14" t="s">
        <v>36</v>
      </c>
      <c r="B2313" s="15" t="s">
        <v>4713</v>
      </c>
      <c r="C2313" s="15" t="s">
        <v>8339</v>
      </c>
      <c r="D2313" s="16" t="s">
        <v>4826</v>
      </c>
    </row>
    <row r="2314" spans="1:4" x14ac:dyDescent="0.35">
      <c r="A2314" s="11" t="s">
        <v>35</v>
      </c>
      <c r="B2314" s="12" t="s">
        <v>4716</v>
      </c>
      <c r="C2314" s="12" t="s">
        <v>8340</v>
      </c>
      <c r="D2314" s="13" t="s">
        <v>4793</v>
      </c>
    </row>
    <row r="2315" spans="1:4" x14ac:dyDescent="0.35">
      <c r="A2315" s="14" t="s">
        <v>34</v>
      </c>
      <c r="B2315" s="15" t="s">
        <v>4713</v>
      </c>
      <c r="C2315" s="15" t="s">
        <v>8341</v>
      </c>
      <c r="D2315" s="16" t="s">
        <v>5451</v>
      </c>
    </row>
    <row r="2316" spans="1:4" x14ac:dyDescent="0.35">
      <c r="A2316" s="11" t="s">
        <v>33</v>
      </c>
      <c r="B2316" s="12" t="s">
        <v>4713</v>
      </c>
      <c r="C2316" s="12" t="s">
        <v>6216</v>
      </c>
      <c r="D2316" s="13" t="s">
        <v>8342</v>
      </c>
    </row>
    <row r="2317" spans="1:4" x14ac:dyDescent="0.35">
      <c r="A2317" s="14" t="s">
        <v>31</v>
      </c>
      <c r="B2317" s="15" t="s">
        <v>4716</v>
      </c>
      <c r="C2317" s="15" t="s">
        <v>5264</v>
      </c>
      <c r="D2317" s="16" t="s">
        <v>8343</v>
      </c>
    </row>
    <row r="2318" spans="1:4" x14ac:dyDescent="0.35">
      <c r="A2318" s="11" t="s">
        <v>30</v>
      </c>
      <c r="B2318" s="12" t="s">
        <v>4716</v>
      </c>
      <c r="C2318" s="12" t="s">
        <v>8344</v>
      </c>
      <c r="D2318" s="13" t="s">
        <v>6100</v>
      </c>
    </row>
    <row r="2319" spans="1:4" x14ac:dyDescent="0.35">
      <c r="A2319" s="14" t="s">
        <v>29</v>
      </c>
      <c r="B2319" s="15" t="s">
        <v>4713</v>
      </c>
      <c r="C2319" s="15" t="s">
        <v>7556</v>
      </c>
      <c r="D2319" s="16" t="s">
        <v>8345</v>
      </c>
    </row>
    <row r="2320" spans="1:4" x14ac:dyDescent="0.35">
      <c r="A2320" s="11" t="s">
        <v>28</v>
      </c>
      <c r="B2320" s="12" t="s">
        <v>4716</v>
      </c>
      <c r="C2320" s="12" t="s">
        <v>8346</v>
      </c>
      <c r="D2320" s="13" t="s">
        <v>8347</v>
      </c>
    </row>
    <row r="2321" spans="1:4" x14ac:dyDescent="0.35">
      <c r="A2321" s="14" t="s">
        <v>27</v>
      </c>
      <c r="B2321" s="15" t="s">
        <v>4713</v>
      </c>
      <c r="C2321" s="15" t="s">
        <v>8348</v>
      </c>
      <c r="D2321" s="16" t="s">
        <v>8349</v>
      </c>
    </row>
    <row r="2322" spans="1:4" x14ac:dyDescent="0.35">
      <c r="A2322" s="11" t="s">
        <v>26</v>
      </c>
      <c r="B2322" s="12" t="s">
        <v>4716</v>
      </c>
      <c r="C2322" s="12" t="s">
        <v>8350</v>
      </c>
      <c r="D2322" s="13" t="s">
        <v>4899</v>
      </c>
    </row>
    <row r="2323" spans="1:4" x14ac:dyDescent="0.35">
      <c r="A2323" s="14" t="s">
        <v>25</v>
      </c>
      <c r="B2323" s="15" t="s">
        <v>4713</v>
      </c>
      <c r="C2323" s="15" t="s">
        <v>8351</v>
      </c>
      <c r="D2323" s="16" t="s">
        <v>8352</v>
      </c>
    </row>
    <row r="2324" spans="1:4" x14ac:dyDescent="0.35">
      <c r="A2324" s="11" t="s">
        <v>24</v>
      </c>
      <c r="B2324" s="12" t="s">
        <v>4716</v>
      </c>
      <c r="C2324" s="12" t="s">
        <v>8353</v>
      </c>
      <c r="D2324" s="13" t="s">
        <v>5014</v>
      </c>
    </row>
    <row r="2325" spans="1:4" x14ac:dyDescent="0.35">
      <c r="A2325" s="14" t="s">
        <v>22</v>
      </c>
      <c r="B2325" s="15" t="s">
        <v>4713</v>
      </c>
      <c r="C2325" s="15" t="s">
        <v>8354</v>
      </c>
      <c r="D2325" s="16" t="s">
        <v>8355</v>
      </c>
    </row>
    <row r="2326" spans="1:4" x14ac:dyDescent="0.35">
      <c r="A2326" s="11" t="s">
        <v>21</v>
      </c>
      <c r="B2326" s="12" t="s">
        <v>4716</v>
      </c>
      <c r="C2326" s="12" t="s">
        <v>6036</v>
      </c>
      <c r="D2326" s="13" t="s">
        <v>8356</v>
      </c>
    </row>
    <row r="2327" spans="1:4" x14ac:dyDescent="0.35">
      <c r="A2327" s="14" t="s">
        <v>20</v>
      </c>
      <c r="B2327" s="15" t="s">
        <v>4716</v>
      </c>
      <c r="C2327" s="15" t="s">
        <v>8357</v>
      </c>
      <c r="D2327" s="16" t="s">
        <v>8358</v>
      </c>
    </row>
    <row r="2328" spans="1:4" x14ac:dyDescent="0.35">
      <c r="A2328" s="11" t="s">
        <v>19</v>
      </c>
      <c r="B2328" s="12" t="s">
        <v>4713</v>
      </c>
      <c r="C2328" s="12" t="s">
        <v>5357</v>
      </c>
      <c r="D2328" s="13" t="s">
        <v>6566</v>
      </c>
    </row>
    <row r="2329" spans="1:4" x14ac:dyDescent="0.35">
      <c r="A2329" s="14" t="s">
        <v>18</v>
      </c>
      <c r="B2329" s="15" t="s">
        <v>4713</v>
      </c>
      <c r="C2329" s="15" t="s">
        <v>8359</v>
      </c>
      <c r="D2329" s="16" t="s">
        <v>4760</v>
      </c>
    </row>
    <row r="2330" spans="1:4" x14ac:dyDescent="0.35">
      <c r="A2330" s="11" t="s">
        <v>17</v>
      </c>
      <c r="B2330" s="12" t="s">
        <v>4713</v>
      </c>
      <c r="C2330" s="12" t="s">
        <v>8360</v>
      </c>
      <c r="D2330" s="13" t="s">
        <v>8361</v>
      </c>
    </row>
    <row r="2331" spans="1:4" x14ac:dyDescent="0.35">
      <c r="A2331" s="14" t="s">
        <v>15</v>
      </c>
      <c r="B2331" s="15" t="s">
        <v>4713</v>
      </c>
      <c r="C2331" s="15" t="s">
        <v>8362</v>
      </c>
      <c r="D2331" s="16" t="s">
        <v>8363</v>
      </c>
    </row>
    <row r="2332" spans="1:4" x14ac:dyDescent="0.35">
      <c r="A2332" s="11" t="s">
        <v>14</v>
      </c>
      <c r="B2332" s="12" t="s">
        <v>4716</v>
      </c>
      <c r="C2332" s="12" t="s">
        <v>8364</v>
      </c>
      <c r="D2332" s="13" t="s">
        <v>5475</v>
      </c>
    </row>
    <row r="2333" spans="1:4" x14ac:dyDescent="0.35">
      <c r="A2333" s="14" t="s">
        <v>13</v>
      </c>
      <c r="B2333" s="15" t="s">
        <v>4716</v>
      </c>
      <c r="C2333" s="15" t="s">
        <v>8365</v>
      </c>
      <c r="D2333" s="16" t="s">
        <v>8366</v>
      </c>
    </row>
    <row r="2334" spans="1:4" x14ac:dyDescent="0.35">
      <c r="A2334" s="11" t="s">
        <v>12</v>
      </c>
      <c r="B2334" s="12" t="s">
        <v>4713</v>
      </c>
      <c r="C2334" s="12" t="s">
        <v>8367</v>
      </c>
      <c r="D2334" s="13" t="s">
        <v>7519</v>
      </c>
    </row>
    <row r="2335" spans="1:4" x14ac:dyDescent="0.35">
      <c r="A2335" s="14" t="s">
        <v>10</v>
      </c>
      <c r="B2335" s="15" t="s">
        <v>4716</v>
      </c>
      <c r="C2335" s="15" t="s">
        <v>8368</v>
      </c>
      <c r="D2335" s="16" t="s">
        <v>8369</v>
      </c>
    </row>
    <row r="2336" spans="1:4" x14ac:dyDescent="0.35">
      <c r="A2336" s="17" t="s">
        <v>6</v>
      </c>
      <c r="B2336" s="18" t="s">
        <v>4716</v>
      </c>
      <c r="C2336" s="18" t="s">
        <v>8370</v>
      </c>
      <c r="D2336" s="19" t="s">
        <v>8371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D145-B3BB-4345-975D-12E6D19534ED}">
  <dimension ref="A1:Q2336"/>
  <sheetViews>
    <sheetView tabSelected="1" topLeftCell="K1" workbookViewId="0">
      <selection activeCell="Q16" sqref="Q16"/>
    </sheetView>
  </sheetViews>
  <sheetFormatPr defaultRowHeight="14.5" x14ac:dyDescent="0.35"/>
  <cols>
    <col min="1" max="1" width="11.1796875" bestFit="1" customWidth="1"/>
    <col min="2" max="2" width="9.7265625" bestFit="1" customWidth="1"/>
    <col min="3" max="3" width="5.08984375" bestFit="1" customWidth="1"/>
    <col min="4" max="4" width="6.453125" bestFit="1" customWidth="1"/>
    <col min="5" max="5" width="11.453125" customWidth="1"/>
    <col min="6" max="6" width="14.26953125" bestFit="1" customWidth="1"/>
    <col min="7" max="7" width="12.7265625" bestFit="1" customWidth="1"/>
    <col min="8" max="8" width="23.6328125" bestFit="1" customWidth="1"/>
    <col min="10" max="10" width="12.26953125" bestFit="1" customWidth="1"/>
    <col min="11" max="11" width="13.7265625" bestFit="1" customWidth="1"/>
    <col min="12" max="12" width="11.36328125" bestFit="1" customWidth="1"/>
    <col min="14" max="14" width="10.90625" bestFit="1" customWidth="1"/>
  </cols>
  <sheetData>
    <row r="1" spans="1:17" x14ac:dyDescent="0.35">
      <c r="A1" t="s">
        <v>0</v>
      </c>
      <c r="B1" t="s">
        <v>4711</v>
      </c>
      <c r="C1" t="s">
        <v>2363</v>
      </c>
      <c r="D1" t="s">
        <v>2364</v>
      </c>
      <c r="E1" t="s">
        <v>2365</v>
      </c>
      <c r="F1" t="s">
        <v>2366</v>
      </c>
      <c r="G1" t="s">
        <v>2367</v>
      </c>
      <c r="H1" t="s">
        <v>8384</v>
      </c>
      <c r="I1" t="s">
        <v>8385</v>
      </c>
      <c r="J1" t="s">
        <v>8372</v>
      </c>
      <c r="K1" t="s">
        <v>8373</v>
      </c>
      <c r="L1" t="s">
        <v>8381</v>
      </c>
      <c r="M1" t="s">
        <v>8386</v>
      </c>
      <c r="N1" t="s">
        <v>3</v>
      </c>
      <c r="O1" t="s">
        <v>4</v>
      </c>
      <c r="P1" t="s">
        <v>5</v>
      </c>
      <c r="Q1" t="s">
        <v>8382</v>
      </c>
    </row>
    <row r="2" spans="1:17" x14ac:dyDescent="0.35">
      <c r="A2" t="str" cm="1">
        <f t="array" ref="A2:A2336">'Customer Names (2)'!A2:A2336</f>
        <v>Id1</v>
      </c>
      <c r="B2" t="str">
        <f>VLOOKUP(A2,'Customer Names (2)'!A:B, 2,FALSE)</f>
        <v>Ms</v>
      </c>
      <c r="C2">
        <f>VLOOKUP(A2,Medical_Examinations[],2,FALSE)</f>
        <v>47.41</v>
      </c>
      <c r="D2">
        <f>VLOOKUP(A2,Medical_Examinations[],3,FALSE)</f>
        <v>7.47</v>
      </c>
      <c r="E2" t="str">
        <f>VLOOKUP(A2,Medical_Examinations[],4,FALSE)</f>
        <v>No</v>
      </c>
      <c r="F2" t="str">
        <f>VLOOKUP(A2,Medical_Examinations[],5,FALSE)</f>
        <v>No</v>
      </c>
      <c r="G2" t="str">
        <f>VLOOKUP(A2,Medical_Examinations[],6,FALSE)</f>
        <v>No</v>
      </c>
      <c r="H2">
        <f>VLOOKUP(A2,Medical_Examinations[],7,FALSE)</f>
        <v>0</v>
      </c>
      <c r="I2" t="str">
        <f>VLOOKUP(A2,Medical_Examinations[],8,FALSE)</f>
        <v>Yes</v>
      </c>
      <c r="J2" t="str">
        <f>VLOOKUP(A2,Medical_Examinations[],9,FALSE)</f>
        <v>Obesity</v>
      </c>
      <c r="K2" t="str">
        <f>VLOOKUP(A2,Medical_Examinations[],10,FALSE)</f>
        <v>Diabetes</v>
      </c>
      <c r="M2">
        <f>VLOOKUP(A2,Hospitalisation_Details__2[],4,FALSE)</f>
        <v>63770.43</v>
      </c>
      <c r="N2" t="str">
        <f>VLOOKUP(A2,Hospitalisation_Details__2[],5,FALSE)</f>
        <v>tier - 1</v>
      </c>
      <c r="O2" t="str">
        <f>VLOOKUP(A2,Hospitalisation_Details__2[],6,FALSE)</f>
        <v>tier - 3</v>
      </c>
      <c r="P2" t="str">
        <f>VLOOKUP(A2,Hospitalisation_Details__2[],7,FALSE)</f>
        <v>R1013</v>
      </c>
    </row>
    <row r="3" spans="1:17" x14ac:dyDescent="0.35">
      <c r="A3" t="str">
        <v>Id2</v>
      </c>
      <c r="B3" t="str">
        <f>VLOOKUP(A3,'Customer Names (2)'!A:B, 2,FALSE)</f>
        <v>Mr</v>
      </c>
      <c r="C3">
        <f>VLOOKUP(A3,Medical_Examinations[],2,FALSE)</f>
        <v>30.36</v>
      </c>
      <c r="D3">
        <f>VLOOKUP(A3,Medical_Examinations[],3,FALSE)</f>
        <v>5.77</v>
      </c>
      <c r="E3" t="str">
        <f>VLOOKUP(A3,Medical_Examinations[],4,FALSE)</f>
        <v>No</v>
      </c>
      <c r="F3" t="str">
        <f>VLOOKUP(A3,Medical_Examinations[],5,FALSE)</f>
        <v>No</v>
      </c>
      <c r="G3" t="str">
        <f>VLOOKUP(A3,Medical_Examinations[],6,FALSE)</f>
        <v>No</v>
      </c>
      <c r="H3">
        <f>VLOOKUP(A3,Medical_Examinations[],7,FALSE)</f>
        <v>0</v>
      </c>
      <c r="I3" t="str">
        <f>VLOOKUP(A3,Medical_Examinations[],8,FALSE)</f>
        <v>Yes</v>
      </c>
      <c r="J3" t="str">
        <f>VLOOKUP(A3,Medical_Examinations[],9,FALSE)</f>
        <v>Obesity</v>
      </c>
      <c r="K3" t="str">
        <f>VLOOKUP(A3,Medical_Examinations[],10,FALSE)</f>
        <v>Prediabetes</v>
      </c>
      <c r="M3">
        <f>VLOOKUP(A3,Hospitalisation_Details__2[],4,FALSE)</f>
        <v>62592.87</v>
      </c>
      <c r="N3" t="str">
        <f>VLOOKUP(A3,Hospitalisation_Details__2[],5,FALSE)</f>
        <v>tier - 2</v>
      </c>
      <c r="O3" t="str">
        <f>VLOOKUP(A3,Hospitalisation_Details__2[],6,FALSE)</f>
        <v>tier - 3</v>
      </c>
      <c r="P3" t="str">
        <f>VLOOKUP(A3,Hospitalisation_Details__2[],7,FALSE)</f>
        <v>R1013</v>
      </c>
    </row>
    <row r="4" spans="1:17" x14ac:dyDescent="0.35">
      <c r="A4" t="str">
        <v>Id3</v>
      </c>
      <c r="B4" t="str">
        <f>VLOOKUP(A4,'Customer Names (2)'!A:B, 2,FALSE)</f>
        <v>Mr</v>
      </c>
      <c r="C4">
        <f>VLOOKUP(A4,Medical_Examinations[],2,FALSE)</f>
        <v>34.484999999999999</v>
      </c>
      <c r="D4">
        <f>VLOOKUP(A4,Medical_Examinations[],3,FALSE)</f>
        <v>11.87</v>
      </c>
      <c r="E4" t="str">
        <f>VLOOKUP(A4,Medical_Examinations[],4,FALSE)</f>
        <v>Yes</v>
      </c>
      <c r="F4" t="str">
        <f>VLOOKUP(A4,Medical_Examinations[],5,FALSE)</f>
        <v>No</v>
      </c>
      <c r="G4" t="str">
        <f>VLOOKUP(A4,Medical_Examinations[],6,FALSE)</f>
        <v>No</v>
      </c>
      <c r="H4">
        <f>VLOOKUP(A4,Medical_Examinations[],7,FALSE)</f>
        <v>2</v>
      </c>
      <c r="I4" t="str">
        <f>VLOOKUP(A4,Medical_Examinations[],8,FALSE)</f>
        <v>Yes</v>
      </c>
      <c r="J4" t="str">
        <f>VLOOKUP(A4,Medical_Examinations[],9,FALSE)</f>
        <v>Obesity</v>
      </c>
      <c r="K4" t="str">
        <f>VLOOKUP(A4,Medical_Examinations[],10,FALSE)</f>
        <v>Diabetes</v>
      </c>
      <c r="M4">
        <f>VLOOKUP(A4,Hospitalisation_Details__2[],4,FALSE)</f>
        <v>60021.4</v>
      </c>
      <c r="N4" t="str">
        <f>VLOOKUP(A4,Hospitalisation_Details__2[],5,FALSE)</f>
        <v>tier - 1</v>
      </c>
      <c r="O4" t="str">
        <f>VLOOKUP(A4,Hospitalisation_Details__2[],6,FALSE)</f>
        <v>tier - 1</v>
      </c>
      <c r="P4" t="str">
        <f>VLOOKUP(A4,Hospitalisation_Details__2[],7,FALSE)</f>
        <v>R1012</v>
      </c>
    </row>
    <row r="5" spans="1:17" x14ac:dyDescent="0.35">
      <c r="A5" t="str">
        <v>Id4</v>
      </c>
      <c r="B5" t="str">
        <f>VLOOKUP(A5,'Customer Names (2)'!A:B, 2,FALSE)</f>
        <v>Ms</v>
      </c>
      <c r="C5">
        <f>VLOOKUP(A5,Medical_Examinations[],2,FALSE)</f>
        <v>38.094999999999999</v>
      </c>
      <c r="D5">
        <f>VLOOKUP(A5,Medical_Examinations[],3,FALSE)</f>
        <v>6.05</v>
      </c>
      <c r="E5" t="str">
        <f>VLOOKUP(A5,Medical_Examinations[],4,FALSE)</f>
        <v>No</v>
      </c>
      <c r="F5" t="str">
        <f>VLOOKUP(A5,Medical_Examinations[],5,FALSE)</f>
        <v>No</v>
      </c>
      <c r="G5" t="str">
        <f>VLOOKUP(A5,Medical_Examinations[],6,FALSE)</f>
        <v>No</v>
      </c>
      <c r="H5">
        <f>VLOOKUP(A5,Medical_Examinations[],7,FALSE)</f>
        <v>0</v>
      </c>
      <c r="I5" t="str">
        <f>VLOOKUP(A5,Medical_Examinations[],8,FALSE)</f>
        <v>Yes</v>
      </c>
      <c r="J5" t="str">
        <f>VLOOKUP(A5,Medical_Examinations[],9,FALSE)</f>
        <v>Obesity</v>
      </c>
      <c r="K5" t="str">
        <f>VLOOKUP(A5,Medical_Examinations[],10,FALSE)</f>
        <v>Prediabetes</v>
      </c>
      <c r="M5">
        <f>VLOOKUP(A5,Hospitalisation_Details__2[],4,FALSE)</f>
        <v>58571.07</v>
      </c>
      <c r="N5" t="str">
        <f>VLOOKUP(A5,Hospitalisation_Details__2[],5,FALSE)</f>
        <v>tier - 1</v>
      </c>
      <c r="O5" t="str">
        <f>VLOOKUP(A5,Hospitalisation_Details__2[],6,FALSE)</f>
        <v>tier - 3</v>
      </c>
      <c r="P5" t="str">
        <f>VLOOKUP(A5,Hospitalisation_Details__2[],7,FALSE)</f>
        <v>R1024</v>
      </c>
    </row>
    <row r="6" spans="1:17" x14ac:dyDescent="0.35">
      <c r="A6" t="str">
        <v>Id5</v>
      </c>
      <c r="B6" t="str">
        <f>VLOOKUP(A6,'Customer Names (2)'!A:B, 2,FALSE)</f>
        <v>Ms</v>
      </c>
      <c r="C6">
        <f>VLOOKUP(A6,Medical_Examinations[],2,FALSE)</f>
        <v>35.53</v>
      </c>
      <c r="D6">
        <f>VLOOKUP(A6,Medical_Examinations[],3,FALSE)</f>
        <v>5.45</v>
      </c>
      <c r="E6" t="str">
        <f>VLOOKUP(A6,Medical_Examinations[],4,FALSE)</f>
        <v>No</v>
      </c>
      <c r="F6" t="str">
        <f>VLOOKUP(A6,Medical_Examinations[],5,FALSE)</f>
        <v>No</v>
      </c>
      <c r="G6" t="str">
        <f>VLOOKUP(A6,Medical_Examinations[],6,FALSE)</f>
        <v>No</v>
      </c>
      <c r="H6">
        <f>VLOOKUP(A6,Medical_Examinations[],7,FALSE)</f>
        <v>0</v>
      </c>
      <c r="I6" t="str">
        <f>VLOOKUP(A6,Medical_Examinations[],8,FALSE)</f>
        <v>Yes</v>
      </c>
      <c r="J6" t="str">
        <f>VLOOKUP(A6,Medical_Examinations[],9,FALSE)</f>
        <v>Obesity</v>
      </c>
      <c r="K6" t="str">
        <f>VLOOKUP(A6,Medical_Examinations[],10,FALSE)</f>
        <v>Normal</v>
      </c>
      <c r="M6">
        <f>VLOOKUP(A6,Hospitalisation_Details__2[],4,FALSE)</f>
        <v>55135.4</v>
      </c>
      <c r="N6" t="str">
        <f>VLOOKUP(A6,Hospitalisation_Details__2[],5,FALSE)</f>
        <v>tier - 1</v>
      </c>
      <c r="O6" t="str">
        <f>VLOOKUP(A6,Hospitalisation_Details__2[],6,FALSE)</f>
        <v>tier - 2</v>
      </c>
      <c r="P6" t="str">
        <f>VLOOKUP(A6,Hospitalisation_Details__2[],7,FALSE)</f>
        <v>R1012</v>
      </c>
    </row>
    <row r="7" spans="1:17" x14ac:dyDescent="0.35">
      <c r="A7" t="str">
        <v>Id6</v>
      </c>
      <c r="B7" t="str">
        <f>VLOOKUP(A7,'Customer Names (2)'!A:B, 2,FALSE)</f>
        <v>Mr</v>
      </c>
      <c r="C7">
        <f>VLOOKUP(A7,Medical_Examinations[],2,FALSE)</f>
        <v>32.799999999999997</v>
      </c>
      <c r="D7">
        <f>VLOOKUP(A7,Medical_Examinations[],3,FALSE)</f>
        <v>6.59</v>
      </c>
      <c r="E7" t="str">
        <f>VLOOKUP(A7,Medical_Examinations[],4,FALSE)</f>
        <v>No</v>
      </c>
      <c r="F7" t="str">
        <f>VLOOKUP(A7,Medical_Examinations[],5,FALSE)</f>
        <v>No</v>
      </c>
      <c r="G7" t="str">
        <f>VLOOKUP(A7,Medical_Examinations[],6,FALSE)</f>
        <v>No</v>
      </c>
      <c r="H7">
        <f>VLOOKUP(A7,Medical_Examinations[],7,FALSE)</f>
        <v>0</v>
      </c>
      <c r="I7" t="str">
        <f>VLOOKUP(A7,Medical_Examinations[],8,FALSE)</f>
        <v>Yes</v>
      </c>
      <c r="J7" t="str">
        <f>VLOOKUP(A7,Medical_Examinations[],9,FALSE)</f>
        <v>Obesity</v>
      </c>
      <c r="K7" t="str">
        <f>VLOOKUP(A7,Medical_Examinations[],10,FALSE)</f>
        <v>Diabetes</v>
      </c>
      <c r="M7">
        <f>VLOOKUP(A7,Hospitalisation_Details__2[],4,FALSE)</f>
        <v>52590.83</v>
      </c>
      <c r="N7" t="str">
        <f>VLOOKUP(A7,Hospitalisation_Details__2[],5,FALSE)</f>
        <v>tier - 1</v>
      </c>
      <c r="O7" t="str">
        <f>VLOOKUP(A7,Hospitalisation_Details__2[],6,FALSE)</f>
        <v>tier - 3</v>
      </c>
      <c r="P7" t="str">
        <f>VLOOKUP(A7,Hospitalisation_Details__2[],7,FALSE)</f>
        <v>R1011</v>
      </c>
    </row>
    <row r="8" spans="1:17" x14ac:dyDescent="0.35">
      <c r="A8" t="str">
        <v>Id7</v>
      </c>
      <c r="B8" t="str">
        <f>VLOOKUP(A8,'Customer Names (2)'!A:B, 2,FALSE)</f>
        <v>Mr</v>
      </c>
      <c r="C8">
        <f>VLOOKUP(A8,Medical_Examinations[],2,FALSE)</f>
        <v>36.4</v>
      </c>
      <c r="D8">
        <f>VLOOKUP(A8,Medical_Examinations[],3,FALSE)</f>
        <v>6.07</v>
      </c>
      <c r="E8" t="str">
        <f>VLOOKUP(A8,Medical_Examinations[],4,FALSE)</f>
        <v>No</v>
      </c>
      <c r="F8" t="str">
        <f>VLOOKUP(A8,Medical_Examinations[],5,FALSE)</f>
        <v>No</v>
      </c>
      <c r="G8" t="str">
        <f>VLOOKUP(A8,Medical_Examinations[],6,FALSE)</f>
        <v>No</v>
      </c>
      <c r="H8">
        <f>VLOOKUP(A8,Medical_Examinations[],7,FALSE)</f>
        <v>0</v>
      </c>
      <c r="I8" t="str">
        <f>VLOOKUP(A8,Medical_Examinations[],8,FALSE)</f>
        <v>Yes</v>
      </c>
      <c r="J8" t="str">
        <f>VLOOKUP(A8,Medical_Examinations[],9,FALSE)</f>
        <v>Obesity</v>
      </c>
      <c r="K8" t="str">
        <f>VLOOKUP(A8,Medical_Examinations[],10,FALSE)</f>
        <v>Prediabetes</v>
      </c>
      <c r="M8">
        <f>VLOOKUP(A8,Hospitalisation_Details__2[],4,FALSE)</f>
        <v>51194.559999999998</v>
      </c>
      <c r="N8" t="str">
        <f>VLOOKUP(A8,Hospitalisation_Details__2[],5,FALSE)</f>
        <v>tier - 1</v>
      </c>
      <c r="O8" t="str">
        <f>VLOOKUP(A8,Hospitalisation_Details__2[],6,FALSE)</f>
        <v>tier - 3</v>
      </c>
      <c r="P8" t="str">
        <f>VLOOKUP(A8,Hospitalisation_Details__2[],7,FALSE)</f>
        <v>R1011</v>
      </c>
    </row>
    <row r="9" spans="1:17" x14ac:dyDescent="0.35">
      <c r="A9" t="str">
        <v>Id8</v>
      </c>
      <c r="B9" t="str">
        <f>VLOOKUP(A9,'Customer Names (2)'!A:B, 2,FALSE)</f>
        <v>Mr</v>
      </c>
      <c r="C9">
        <f>VLOOKUP(A9,Medical_Examinations[],2,FALSE)</f>
        <v>36.96</v>
      </c>
      <c r="D9">
        <f>VLOOKUP(A9,Medical_Examinations[],3,FALSE)</f>
        <v>7.93</v>
      </c>
      <c r="E9" t="str">
        <f>VLOOKUP(A9,Medical_Examinations[],4,FALSE)</f>
        <v>No</v>
      </c>
      <c r="F9" t="str">
        <f>VLOOKUP(A9,Medical_Examinations[],5,FALSE)</f>
        <v>No</v>
      </c>
      <c r="G9" t="str">
        <f>VLOOKUP(A9,Medical_Examinations[],6,FALSE)</f>
        <v>No</v>
      </c>
      <c r="H9">
        <f>VLOOKUP(A9,Medical_Examinations[],7,FALSE)</f>
        <v>3</v>
      </c>
      <c r="I9" t="str">
        <f>VLOOKUP(A9,Medical_Examinations[],8,FALSE)</f>
        <v>Yes</v>
      </c>
      <c r="J9" t="str">
        <f>VLOOKUP(A9,Medical_Examinations[],9,FALSE)</f>
        <v>Obesity</v>
      </c>
      <c r="K9" t="str">
        <f>VLOOKUP(A9,Medical_Examinations[],10,FALSE)</f>
        <v>Diabetes</v>
      </c>
      <c r="M9">
        <f>VLOOKUP(A9,Hospitalisation_Details__2[],4,FALSE)</f>
        <v>49577.66</v>
      </c>
      <c r="N9" t="str">
        <f>VLOOKUP(A9,Hospitalisation_Details__2[],5,FALSE)</f>
        <v>tier - 2</v>
      </c>
      <c r="O9" t="str">
        <f>VLOOKUP(A9,Hospitalisation_Details__2[],6,FALSE)</f>
        <v>tier - 2</v>
      </c>
      <c r="P9" t="str">
        <f>VLOOKUP(A9,Hospitalisation_Details__2[],7,FALSE)</f>
        <v>R1013</v>
      </c>
    </row>
    <row r="10" spans="1:17" x14ac:dyDescent="0.35">
      <c r="A10" t="str">
        <v>Id9</v>
      </c>
      <c r="B10" t="str">
        <f>VLOOKUP(A10,'Customer Names (2)'!A:B, 2,FALSE)</f>
        <v>Mr</v>
      </c>
      <c r="C10">
        <f>VLOOKUP(A10,Medical_Examinations[],2,FALSE)</f>
        <v>41.14</v>
      </c>
      <c r="D10">
        <f>VLOOKUP(A10,Medical_Examinations[],3,FALSE)</f>
        <v>9.58</v>
      </c>
      <c r="E10" t="str">
        <f>VLOOKUP(A10,Medical_Examinations[],4,FALSE)</f>
        <v>Yes</v>
      </c>
      <c r="F10" t="str">
        <f>VLOOKUP(A10,Medical_Examinations[],5,FALSE)</f>
        <v>No</v>
      </c>
      <c r="G10" t="str">
        <f>VLOOKUP(A10,Medical_Examinations[],6,FALSE)</f>
        <v>Yes</v>
      </c>
      <c r="H10">
        <f>VLOOKUP(A10,Medical_Examinations[],7,FALSE)</f>
        <v>1</v>
      </c>
      <c r="I10" t="str">
        <f>VLOOKUP(A10,Medical_Examinations[],8,FALSE)</f>
        <v>Yes</v>
      </c>
      <c r="J10" t="str">
        <f>VLOOKUP(A10,Medical_Examinations[],9,FALSE)</f>
        <v>Obesity</v>
      </c>
      <c r="K10" t="str">
        <f>VLOOKUP(A10,Medical_Examinations[],10,FALSE)</f>
        <v>Diabetes</v>
      </c>
      <c r="M10">
        <f>VLOOKUP(A10,Hospitalisation_Details__2[],4,FALSE)</f>
        <v>48970.25</v>
      </c>
      <c r="N10" t="str">
        <f>VLOOKUP(A10,Hospitalisation_Details__2[],5,FALSE)</f>
        <v>tier - 1</v>
      </c>
      <c r="O10" t="str">
        <f>VLOOKUP(A10,Hospitalisation_Details__2[],6,FALSE)</f>
        <v>tier - 2</v>
      </c>
      <c r="P10" t="str">
        <f>VLOOKUP(A10,Hospitalisation_Details__2[],7,FALSE)</f>
        <v>R1013</v>
      </c>
    </row>
    <row r="11" spans="1:17" x14ac:dyDescent="0.35">
      <c r="A11" t="str">
        <v>Id10</v>
      </c>
      <c r="B11" t="str">
        <f>VLOOKUP(A11,'Customer Names (2)'!A:B, 2,FALSE)</f>
        <v>Ms</v>
      </c>
      <c r="C11">
        <f>VLOOKUP(A11,Medical_Examinations[],2,FALSE)</f>
        <v>38.06</v>
      </c>
      <c r="D11">
        <f>VLOOKUP(A11,Medical_Examinations[],3,FALSE)</f>
        <v>10.79</v>
      </c>
      <c r="E11" t="str">
        <f>VLOOKUP(A11,Medical_Examinations[],4,FALSE)</f>
        <v>No</v>
      </c>
      <c r="F11" t="str">
        <f>VLOOKUP(A11,Medical_Examinations[],5,FALSE)</f>
        <v>No</v>
      </c>
      <c r="G11" t="str">
        <f>VLOOKUP(A11,Medical_Examinations[],6,FALSE)</f>
        <v>No</v>
      </c>
      <c r="H11">
        <f>VLOOKUP(A11,Medical_Examinations[],7,FALSE)</f>
        <v>0</v>
      </c>
      <c r="I11" t="str">
        <f>VLOOKUP(A11,Medical_Examinations[],8,FALSE)</f>
        <v>Yes</v>
      </c>
      <c r="J11" t="str">
        <f>VLOOKUP(A11,Medical_Examinations[],9,FALSE)</f>
        <v>Obesity</v>
      </c>
      <c r="K11" t="str">
        <f>VLOOKUP(A11,Medical_Examinations[],10,FALSE)</f>
        <v>Diabetes</v>
      </c>
      <c r="M11">
        <f>VLOOKUP(A11,Hospitalisation_Details__2[],4,FALSE)</f>
        <v>48885.14</v>
      </c>
      <c r="N11" t="str">
        <f>VLOOKUP(A11,Hospitalisation_Details__2[],5,FALSE)</f>
        <v>tier - 1</v>
      </c>
      <c r="O11" t="str">
        <f>VLOOKUP(A11,Hospitalisation_Details__2[],6,FALSE)</f>
        <v>tier - 2</v>
      </c>
      <c r="P11" t="str">
        <f>VLOOKUP(A11,Hospitalisation_Details__2[],7,FALSE)</f>
        <v>R1013</v>
      </c>
    </row>
    <row r="12" spans="1:17" x14ac:dyDescent="0.35">
      <c r="A12" t="str">
        <v>Id11</v>
      </c>
      <c r="B12" t="str">
        <f>VLOOKUP(A12,'Customer Names (2)'!A:B, 2,FALSE)</f>
        <v>Ms</v>
      </c>
      <c r="C12">
        <f>VLOOKUP(A12,Medical_Examinations[],2,FALSE)</f>
        <v>37.700000000000003</v>
      </c>
      <c r="D12">
        <f>VLOOKUP(A12,Medical_Examinations[],3,FALSE)</f>
        <v>5.96</v>
      </c>
      <c r="E12" t="str">
        <f>VLOOKUP(A12,Medical_Examinations[],4,FALSE)</f>
        <v>Yes</v>
      </c>
      <c r="F12" t="str">
        <f>VLOOKUP(A12,Medical_Examinations[],5,FALSE)</f>
        <v>No</v>
      </c>
      <c r="G12" t="str">
        <f>VLOOKUP(A12,Medical_Examinations[],6,FALSE)</f>
        <v>No</v>
      </c>
      <c r="H12">
        <f>VLOOKUP(A12,Medical_Examinations[],7,FALSE)</f>
        <v>2</v>
      </c>
      <c r="I12" t="str">
        <f>VLOOKUP(A12,Medical_Examinations[],8,FALSE)</f>
        <v>Yes</v>
      </c>
      <c r="J12" t="str">
        <f>VLOOKUP(A12,Medical_Examinations[],9,FALSE)</f>
        <v>Obesity</v>
      </c>
      <c r="K12" t="str">
        <f>VLOOKUP(A12,Medical_Examinations[],10,FALSE)</f>
        <v>Prediabetes</v>
      </c>
      <c r="M12">
        <f>VLOOKUP(A12,Hospitalisation_Details__2[],4,FALSE)</f>
        <v>48824.45</v>
      </c>
      <c r="N12" t="str">
        <f>VLOOKUP(A12,Hospitalisation_Details__2[],5,FALSE)</f>
        <v>tier - 2</v>
      </c>
      <c r="O12" t="str">
        <f>VLOOKUP(A12,Hospitalisation_Details__2[],6,FALSE)</f>
        <v>tier - 1</v>
      </c>
      <c r="P12" t="str">
        <f>VLOOKUP(A12,Hospitalisation_Details__2[],7,FALSE)</f>
        <v>R1011</v>
      </c>
    </row>
    <row r="13" spans="1:17" x14ac:dyDescent="0.35">
      <c r="A13" t="str">
        <v>Id12</v>
      </c>
      <c r="B13" t="str">
        <f>VLOOKUP(A13,'Customer Names (2)'!A:B, 2,FALSE)</f>
        <v>Mr</v>
      </c>
      <c r="C13">
        <f>VLOOKUP(A13,Medical_Examinations[],2,FALSE)</f>
        <v>42.13</v>
      </c>
      <c r="D13">
        <f>VLOOKUP(A13,Medical_Examinations[],3,FALSE)</f>
        <v>11.9</v>
      </c>
      <c r="E13" t="str">
        <f>VLOOKUP(A13,Medical_Examinations[],4,FALSE)</f>
        <v>No</v>
      </c>
      <c r="F13" t="str">
        <f>VLOOKUP(A13,Medical_Examinations[],5,FALSE)</f>
        <v>No</v>
      </c>
      <c r="G13" t="str">
        <f>VLOOKUP(A13,Medical_Examinations[],6,FALSE)</f>
        <v>No</v>
      </c>
      <c r="H13">
        <f>VLOOKUP(A13,Medical_Examinations[],7,FALSE)</f>
        <v>0</v>
      </c>
      <c r="I13" t="str">
        <f>VLOOKUP(A13,Medical_Examinations[],8,FALSE)</f>
        <v>Yes</v>
      </c>
      <c r="J13" t="str">
        <f>VLOOKUP(A13,Medical_Examinations[],9,FALSE)</f>
        <v>Obesity</v>
      </c>
      <c r="K13" t="str">
        <f>VLOOKUP(A13,Medical_Examinations[],10,FALSE)</f>
        <v>Diabetes</v>
      </c>
      <c r="M13">
        <f>VLOOKUP(A13,Hospitalisation_Details__2[],4,FALSE)</f>
        <v>48675.519999999997</v>
      </c>
      <c r="N13" t="str">
        <f>VLOOKUP(A13,Hospitalisation_Details__2[],5,FALSE)</f>
        <v>tier - 1</v>
      </c>
      <c r="O13" t="str">
        <f>VLOOKUP(A13,Hospitalisation_Details__2[],6,FALSE)</f>
        <v>tier - 2</v>
      </c>
      <c r="P13" t="str">
        <f>VLOOKUP(A13,Hospitalisation_Details__2[],7,FALSE)</f>
        <v>R1013</v>
      </c>
    </row>
    <row r="14" spans="1:17" x14ac:dyDescent="0.35">
      <c r="A14" t="str">
        <v>Id13</v>
      </c>
      <c r="B14" t="str">
        <f>VLOOKUP(A14,'Customer Names (2)'!A:B, 2,FALSE)</f>
        <v>Mr</v>
      </c>
      <c r="C14">
        <f>VLOOKUP(A14,Medical_Examinations[],2,FALSE)</f>
        <v>40.92</v>
      </c>
      <c r="D14">
        <f>VLOOKUP(A14,Medical_Examinations[],3,FALSE)</f>
        <v>8.41</v>
      </c>
      <c r="E14" t="str">
        <f>VLOOKUP(A14,Medical_Examinations[],4,FALSE)</f>
        <v>No</v>
      </c>
      <c r="F14" t="str">
        <f>VLOOKUP(A14,Medical_Examinations[],5,FALSE)</f>
        <v>No</v>
      </c>
      <c r="G14" t="str">
        <f>VLOOKUP(A14,Medical_Examinations[],6,FALSE)</f>
        <v>No</v>
      </c>
      <c r="H14">
        <f>VLOOKUP(A14,Medical_Examinations[],7,FALSE)</f>
        <v>0</v>
      </c>
      <c r="I14" t="str">
        <f>VLOOKUP(A14,Medical_Examinations[],8,FALSE)</f>
        <v>Yes</v>
      </c>
      <c r="J14" t="str">
        <f>VLOOKUP(A14,Medical_Examinations[],9,FALSE)</f>
        <v>Obesity</v>
      </c>
      <c r="K14" t="str">
        <f>VLOOKUP(A14,Medical_Examinations[],10,FALSE)</f>
        <v>Diabetes</v>
      </c>
      <c r="M14">
        <f>VLOOKUP(A14,Hospitalisation_Details__2[],4,FALSE)</f>
        <v>48673.56</v>
      </c>
      <c r="N14" t="str">
        <f>VLOOKUP(A14,Hospitalisation_Details__2[],5,FALSE)</f>
        <v>tier - 1</v>
      </c>
      <c r="O14" t="str">
        <f>VLOOKUP(A14,Hospitalisation_Details__2[],6,FALSE)</f>
        <v>tier - 2</v>
      </c>
      <c r="P14" t="str">
        <f>VLOOKUP(A14,Hospitalisation_Details__2[],7,FALSE)</f>
        <v>R1013</v>
      </c>
    </row>
    <row r="15" spans="1:17" x14ac:dyDescent="0.35">
      <c r="A15" t="str">
        <v>Id14</v>
      </c>
      <c r="B15" t="str">
        <f>VLOOKUP(A15,'Customer Names (2)'!A:B, 2,FALSE)</f>
        <v>Mr</v>
      </c>
      <c r="C15">
        <f>VLOOKUP(A15,Medical_Examinations[],2,FALSE)</f>
        <v>40.564999999999998</v>
      </c>
      <c r="D15">
        <f>VLOOKUP(A15,Medical_Examinations[],3,FALSE)</f>
        <v>7.02</v>
      </c>
      <c r="E15" t="str">
        <f>VLOOKUP(A15,Medical_Examinations[],4,FALSE)</f>
        <v>No</v>
      </c>
      <c r="F15" t="str">
        <f>VLOOKUP(A15,Medical_Examinations[],5,FALSE)</f>
        <v>No</v>
      </c>
      <c r="G15" t="str">
        <f>VLOOKUP(A15,Medical_Examinations[],6,FALSE)</f>
        <v>No</v>
      </c>
      <c r="H15">
        <f>VLOOKUP(A15,Medical_Examinations[],7,FALSE)</f>
        <v>0</v>
      </c>
      <c r="I15" t="str">
        <f>VLOOKUP(A15,Medical_Examinations[],8,FALSE)</f>
        <v>Yes</v>
      </c>
      <c r="J15" t="str">
        <f>VLOOKUP(A15,Medical_Examinations[],9,FALSE)</f>
        <v>Obesity</v>
      </c>
      <c r="K15" t="str">
        <f>VLOOKUP(A15,Medical_Examinations[],10,FALSE)</f>
        <v>Diabetes</v>
      </c>
      <c r="M15">
        <f>VLOOKUP(A15,Hospitalisation_Details__2[],4,FALSE)</f>
        <v>48549.18</v>
      </c>
      <c r="N15" t="str">
        <f>VLOOKUP(A15,Hospitalisation_Details__2[],5,FALSE)</f>
        <v>tier - 1</v>
      </c>
      <c r="O15" t="str">
        <f>VLOOKUP(A15,Hospitalisation_Details__2[],6,FALSE)</f>
        <v>tier - 3</v>
      </c>
      <c r="P15" t="str">
        <f>VLOOKUP(A15,Hospitalisation_Details__2[],7,FALSE)</f>
        <v>R1016</v>
      </c>
    </row>
    <row r="16" spans="1:17" x14ac:dyDescent="0.35">
      <c r="A16" t="str">
        <v>Id15</v>
      </c>
      <c r="B16" t="str">
        <f>VLOOKUP(A16,'Customer Names (2)'!A:B, 2,FALSE)</f>
        <v>Ms</v>
      </c>
      <c r="C16">
        <f>VLOOKUP(A16,Medical_Examinations[],2,FALSE)</f>
        <v>36.384999999999998</v>
      </c>
      <c r="D16">
        <f>VLOOKUP(A16,Medical_Examinations[],3,FALSE)</f>
        <v>7.59</v>
      </c>
      <c r="E16" t="str">
        <f>VLOOKUP(A16,Medical_Examinations[],4,FALSE)</f>
        <v>Yes</v>
      </c>
      <c r="F16" t="str">
        <f>VLOOKUP(A16,Medical_Examinations[],5,FALSE)</f>
        <v>No</v>
      </c>
      <c r="G16" t="str">
        <f>VLOOKUP(A16,Medical_Examinations[],6,FALSE)</f>
        <v>No</v>
      </c>
      <c r="H16">
        <f>VLOOKUP(A16,Medical_Examinations[],7,FALSE)</f>
        <v>2</v>
      </c>
      <c r="I16" t="str">
        <f>VLOOKUP(A16,Medical_Examinations[],8,FALSE)</f>
        <v>Yes</v>
      </c>
      <c r="J16" t="str">
        <f>VLOOKUP(A16,Medical_Examinations[],9,FALSE)</f>
        <v>Obesity</v>
      </c>
      <c r="K16" t="str">
        <f>VLOOKUP(A16,Medical_Examinations[],10,FALSE)</f>
        <v>Diabetes</v>
      </c>
      <c r="M16">
        <f>VLOOKUP(A16,Hospitalisation_Details__2[],4,FALSE)</f>
        <v>48517.56</v>
      </c>
      <c r="N16" t="str">
        <f>VLOOKUP(A16,Hospitalisation_Details__2[],5,FALSE)</f>
        <v>tier - 1</v>
      </c>
      <c r="O16" t="str">
        <f>VLOOKUP(A16,Hospitalisation_Details__2[],6,FALSE)</f>
        <v>tier - 3</v>
      </c>
      <c r="P16" t="str">
        <f>VLOOKUP(A16,Hospitalisation_Details__2[],7,FALSE)</f>
        <v>R1024</v>
      </c>
    </row>
    <row r="17" spans="1:16" x14ac:dyDescent="0.35">
      <c r="A17" t="str">
        <v>Id16</v>
      </c>
      <c r="B17" t="str">
        <f>VLOOKUP(A17,'Customer Names (2)'!A:B, 2,FALSE)</f>
        <v>Mr</v>
      </c>
      <c r="C17">
        <f>VLOOKUP(A17,Medical_Examinations[],2,FALSE)</f>
        <v>39.9</v>
      </c>
      <c r="D17">
        <f>VLOOKUP(A17,Medical_Examinations[],3,FALSE)</f>
        <v>11.32</v>
      </c>
      <c r="E17" t="str">
        <f>VLOOKUP(A17,Medical_Examinations[],4,FALSE)</f>
        <v>No</v>
      </c>
      <c r="F17" t="str">
        <f>VLOOKUP(A17,Medical_Examinations[],5,FALSE)</f>
        <v>No</v>
      </c>
      <c r="G17" t="str">
        <f>VLOOKUP(A17,Medical_Examinations[],6,FALSE)</f>
        <v>No</v>
      </c>
      <c r="H17">
        <f>VLOOKUP(A17,Medical_Examinations[],7,FALSE)</f>
        <v>0</v>
      </c>
      <c r="I17" t="str">
        <f>VLOOKUP(A17,Medical_Examinations[],8,FALSE)</f>
        <v>Yes</v>
      </c>
      <c r="J17" t="str">
        <f>VLOOKUP(A17,Medical_Examinations[],9,FALSE)</f>
        <v>Obesity</v>
      </c>
      <c r="K17" t="str">
        <f>VLOOKUP(A17,Medical_Examinations[],10,FALSE)</f>
        <v>Diabetes</v>
      </c>
      <c r="M17">
        <f>VLOOKUP(A17,Hospitalisation_Details__2[],4,FALSE)</f>
        <v>48173.36</v>
      </c>
      <c r="N17" t="str">
        <f>VLOOKUP(A17,Hospitalisation_Details__2[],5,FALSE)</f>
        <v>tier - 1</v>
      </c>
      <c r="O17" t="str">
        <f>VLOOKUP(A17,Hospitalisation_Details__2[],6,FALSE)</f>
        <v>tier - 3</v>
      </c>
      <c r="P17" t="str">
        <f>VLOOKUP(A17,Hospitalisation_Details__2[],7,FALSE)</f>
        <v>R1011</v>
      </c>
    </row>
    <row r="18" spans="1:16" x14ac:dyDescent="0.35">
      <c r="A18" t="str">
        <v>Id17</v>
      </c>
      <c r="B18" t="str">
        <f>VLOOKUP(A18,'Customer Names (2)'!A:B, 2,FALSE)</f>
        <v>Ms</v>
      </c>
      <c r="C18">
        <f>VLOOKUP(A18,Medical_Examinations[],2,FALSE)</f>
        <v>33.799999999999997</v>
      </c>
      <c r="D18">
        <f>VLOOKUP(A18,Medical_Examinations[],3,FALSE)</f>
        <v>7.67</v>
      </c>
      <c r="E18" t="str">
        <f>VLOOKUP(A18,Medical_Examinations[],4,FALSE)</f>
        <v>No</v>
      </c>
      <c r="F18" t="str">
        <f>VLOOKUP(A18,Medical_Examinations[],5,FALSE)</f>
        <v>No</v>
      </c>
      <c r="G18" t="str">
        <f>VLOOKUP(A18,Medical_Examinations[],6,FALSE)</f>
        <v>No</v>
      </c>
      <c r="H18">
        <f>VLOOKUP(A18,Medical_Examinations[],7,FALSE)</f>
        <v>3</v>
      </c>
      <c r="I18" t="str">
        <f>VLOOKUP(A18,Medical_Examinations[],8,FALSE)</f>
        <v>Yes</v>
      </c>
      <c r="J18" t="str">
        <f>VLOOKUP(A18,Medical_Examinations[],9,FALSE)</f>
        <v>Obesity</v>
      </c>
      <c r="K18" t="str">
        <f>VLOOKUP(A18,Medical_Examinations[],10,FALSE)</f>
        <v>Diabetes</v>
      </c>
      <c r="M18">
        <f>VLOOKUP(A18,Hospitalisation_Details__2[],4,FALSE)</f>
        <v>47928.03</v>
      </c>
      <c r="N18" t="str">
        <f>VLOOKUP(A18,Hospitalisation_Details__2[],5,FALSE)</f>
        <v>tier - 2</v>
      </c>
      <c r="O18" t="str">
        <f>VLOOKUP(A18,Hospitalisation_Details__2[],6,FALSE)</f>
        <v>tier - 3</v>
      </c>
      <c r="P18" t="str">
        <f>VLOOKUP(A18,Hospitalisation_Details__2[],7,FALSE)</f>
        <v>R1011</v>
      </c>
    </row>
    <row r="19" spans="1:16" x14ac:dyDescent="0.35">
      <c r="A19" t="str">
        <v>Id18</v>
      </c>
      <c r="B19" t="str">
        <f>VLOOKUP(A19,'Customer Names (2)'!A:B, 2,FALSE)</f>
        <v>Ms</v>
      </c>
      <c r="C19">
        <f>VLOOKUP(A19,Medical_Examinations[],2,FALSE)</f>
        <v>36.765000000000001</v>
      </c>
      <c r="D19">
        <f>VLOOKUP(A19,Medical_Examinations[],3,FALSE)</f>
        <v>7.29</v>
      </c>
      <c r="E19" t="str">
        <f>VLOOKUP(A19,Medical_Examinations[],4,FALSE)</f>
        <v>Yes</v>
      </c>
      <c r="F19" t="str">
        <f>VLOOKUP(A19,Medical_Examinations[],5,FALSE)</f>
        <v>No</v>
      </c>
      <c r="G19" t="str">
        <f>VLOOKUP(A19,Medical_Examinations[],6,FALSE)</f>
        <v>Yes</v>
      </c>
      <c r="H19">
        <f>VLOOKUP(A19,Medical_Examinations[],7,FALSE)</f>
        <v>1</v>
      </c>
      <c r="I19" t="str">
        <f>VLOOKUP(A19,Medical_Examinations[],8,FALSE)</f>
        <v>Yes</v>
      </c>
      <c r="J19" t="str">
        <f>VLOOKUP(A19,Medical_Examinations[],9,FALSE)</f>
        <v>Obesity</v>
      </c>
      <c r="K19" t="str">
        <f>VLOOKUP(A19,Medical_Examinations[],10,FALSE)</f>
        <v>Diabetes</v>
      </c>
      <c r="M19">
        <f>VLOOKUP(A19,Hospitalisation_Details__2[],4,FALSE)</f>
        <v>47896.79</v>
      </c>
      <c r="N19" t="str">
        <f>VLOOKUP(A19,Hospitalisation_Details__2[],5,FALSE)</f>
        <v>tier - 1</v>
      </c>
      <c r="O19" t="str">
        <f>VLOOKUP(A19,Hospitalisation_Details__2[],6,FALSE)</f>
        <v>tier - 3</v>
      </c>
      <c r="P19" t="str">
        <f>VLOOKUP(A19,Hospitalisation_Details__2[],7,FALSE)</f>
        <v>R1024</v>
      </c>
    </row>
    <row r="20" spans="1:16" x14ac:dyDescent="0.35">
      <c r="A20" t="str">
        <v>Id19</v>
      </c>
      <c r="B20" t="str">
        <f>VLOOKUP(A20,'Customer Names (2)'!A:B, 2,FALSE)</f>
        <v>Mr</v>
      </c>
      <c r="C20">
        <f>VLOOKUP(A20,Medical_Examinations[],2,FALSE)</f>
        <v>36.954999999999998</v>
      </c>
      <c r="D20">
        <f>VLOOKUP(A20,Medical_Examinations[],3,FALSE)</f>
        <v>4.72</v>
      </c>
      <c r="E20" t="str">
        <f>VLOOKUP(A20,Medical_Examinations[],4,FALSE)</f>
        <v>Yes</v>
      </c>
      <c r="F20" t="str">
        <f>VLOOKUP(A20,Medical_Examinations[],5,FALSE)</f>
        <v>No</v>
      </c>
      <c r="G20" t="str">
        <f>VLOOKUP(A20,Medical_Examinations[],6,FALSE)</f>
        <v>No</v>
      </c>
      <c r="H20">
        <f>VLOOKUP(A20,Medical_Examinations[],7,FALSE)</f>
        <v>1</v>
      </c>
      <c r="I20" t="str">
        <f>VLOOKUP(A20,Medical_Examinations[],8,FALSE)</f>
        <v>Yes</v>
      </c>
      <c r="J20" t="str">
        <f>VLOOKUP(A20,Medical_Examinations[],9,FALSE)</f>
        <v>Obesity</v>
      </c>
      <c r="K20" t="str">
        <f>VLOOKUP(A20,Medical_Examinations[],10,FALSE)</f>
        <v>Normal</v>
      </c>
      <c r="M20">
        <f>VLOOKUP(A20,Hospitalisation_Details__2[],4,FALSE)</f>
        <v>47496.49</v>
      </c>
      <c r="N20" t="str">
        <f>VLOOKUP(A20,Hospitalisation_Details__2[],5,FALSE)</f>
        <v>tier - 1</v>
      </c>
      <c r="O20" t="str">
        <f>VLOOKUP(A20,Hospitalisation_Details__2[],6,FALSE)</f>
        <v>tier - 3</v>
      </c>
      <c r="P20" t="str">
        <f>VLOOKUP(A20,Hospitalisation_Details__2[],7,FALSE)</f>
        <v>R1012</v>
      </c>
    </row>
    <row r="21" spans="1:16" x14ac:dyDescent="0.35">
      <c r="A21" t="str">
        <v>Id20</v>
      </c>
      <c r="B21" t="str">
        <f>VLOOKUP(A21,'Customer Names (2)'!A:B, 2,FALSE)</f>
        <v>Mr</v>
      </c>
      <c r="C21">
        <f>VLOOKUP(A21,Medical_Examinations[],2,FALSE)</f>
        <v>42.9</v>
      </c>
      <c r="D21">
        <f>VLOOKUP(A21,Medical_Examinations[],3,FALSE)</f>
        <v>11.41</v>
      </c>
      <c r="E21" t="str">
        <f>VLOOKUP(A21,Medical_Examinations[],4,FALSE)</f>
        <v>No</v>
      </c>
      <c r="F21" t="str">
        <f>VLOOKUP(A21,Medical_Examinations[],5,FALSE)</f>
        <v>No</v>
      </c>
      <c r="G21" t="str">
        <f>VLOOKUP(A21,Medical_Examinations[],6,FALSE)</f>
        <v>No</v>
      </c>
      <c r="H21">
        <f>VLOOKUP(A21,Medical_Examinations[],7,FALSE)</f>
        <v>0</v>
      </c>
      <c r="I21" t="str">
        <f>VLOOKUP(A21,Medical_Examinations[],8,FALSE)</f>
        <v>Yes</v>
      </c>
      <c r="J21" t="str">
        <f>VLOOKUP(A21,Medical_Examinations[],9,FALSE)</f>
        <v>Obesity</v>
      </c>
      <c r="K21" t="str">
        <f>VLOOKUP(A21,Medical_Examinations[],10,FALSE)</f>
        <v>Diabetes</v>
      </c>
      <c r="M21">
        <f>VLOOKUP(A21,Hospitalisation_Details__2[],4,FALSE)</f>
        <v>47462.89</v>
      </c>
      <c r="N21" t="str">
        <f>VLOOKUP(A21,Hospitalisation_Details__2[],5,FALSE)</f>
        <v>tier - 1</v>
      </c>
      <c r="O21" t="str">
        <f>VLOOKUP(A21,Hospitalisation_Details__2[],6,FALSE)</f>
        <v>tier - 2</v>
      </c>
      <c r="P21" t="str">
        <f>VLOOKUP(A21,Hospitalisation_Details__2[],7,FALSE)</f>
        <v>R1013</v>
      </c>
    </row>
    <row r="22" spans="1:16" x14ac:dyDescent="0.35">
      <c r="A22" t="str">
        <v>Id21</v>
      </c>
      <c r="B22" t="str">
        <f>VLOOKUP(A22,'Customer Names (2)'!A:B, 2,FALSE)</f>
        <v>Mr</v>
      </c>
      <c r="C22">
        <f>VLOOKUP(A22,Medical_Examinations[],2,FALSE)</f>
        <v>36.299999999999997</v>
      </c>
      <c r="D22">
        <f>VLOOKUP(A22,Medical_Examinations[],3,FALSE)</f>
        <v>11.5</v>
      </c>
      <c r="E22" t="str">
        <f>VLOOKUP(A22,Medical_Examinations[],4,FALSE)</f>
        <v>Yes</v>
      </c>
      <c r="F22" t="str">
        <f>VLOOKUP(A22,Medical_Examinations[],5,FALSE)</f>
        <v>No</v>
      </c>
      <c r="G22" t="str">
        <f>VLOOKUP(A22,Medical_Examinations[],6,FALSE)</f>
        <v>No</v>
      </c>
      <c r="H22">
        <f>VLOOKUP(A22,Medical_Examinations[],7,FALSE)</f>
        <v>2</v>
      </c>
      <c r="I22" t="str">
        <f>VLOOKUP(A22,Medical_Examinations[],8,FALSE)</f>
        <v>Yes</v>
      </c>
      <c r="J22" t="str">
        <f>VLOOKUP(A22,Medical_Examinations[],9,FALSE)</f>
        <v>Obesity</v>
      </c>
      <c r="K22" t="str">
        <f>VLOOKUP(A22,Medical_Examinations[],10,FALSE)</f>
        <v>Diabetes</v>
      </c>
      <c r="M22">
        <f>VLOOKUP(A22,Hospitalisation_Details__2[],4,FALSE)</f>
        <v>47403.88</v>
      </c>
      <c r="N22" t="str">
        <f>VLOOKUP(A22,Hospitalisation_Details__2[],5,FALSE)</f>
        <v>tier - 1</v>
      </c>
      <c r="O22" t="str">
        <f>VLOOKUP(A22,Hospitalisation_Details__2[],6,FALSE)</f>
        <v>tier - 3</v>
      </c>
      <c r="P22" t="str">
        <f>VLOOKUP(A22,Hospitalisation_Details__2[],7,FALSE)</f>
        <v>R1011</v>
      </c>
    </row>
    <row r="23" spans="1:16" x14ac:dyDescent="0.35">
      <c r="A23" t="str">
        <v>Id22</v>
      </c>
      <c r="B23" t="str">
        <f>VLOOKUP(A23,'Customer Names (2)'!A:B, 2,FALSE)</f>
        <v>Ms</v>
      </c>
      <c r="C23">
        <f>VLOOKUP(A23,Medical_Examinations[],2,FALSE)</f>
        <v>32.200000000000003</v>
      </c>
      <c r="D23">
        <f>VLOOKUP(A23,Medical_Examinations[],3,FALSE)</f>
        <v>6.22</v>
      </c>
      <c r="E23" t="str">
        <f>VLOOKUP(A23,Medical_Examinations[],4,FALSE)</f>
        <v>Yes</v>
      </c>
      <c r="F23" t="str">
        <f>VLOOKUP(A23,Medical_Examinations[],5,FALSE)</f>
        <v>No</v>
      </c>
      <c r="G23" t="str">
        <f>VLOOKUP(A23,Medical_Examinations[],6,FALSE)</f>
        <v>No</v>
      </c>
      <c r="H23">
        <f>VLOOKUP(A23,Medical_Examinations[],7,FALSE)</f>
        <v>2</v>
      </c>
      <c r="I23" t="str">
        <f>VLOOKUP(A23,Medical_Examinations[],8,FALSE)</f>
        <v>Yes</v>
      </c>
      <c r="J23" t="str">
        <f>VLOOKUP(A23,Medical_Examinations[],9,FALSE)</f>
        <v>Obesity</v>
      </c>
      <c r="K23" t="str">
        <f>VLOOKUP(A23,Medical_Examinations[],10,FALSE)</f>
        <v>Prediabetes</v>
      </c>
      <c r="M23">
        <f>VLOOKUP(A23,Hospitalisation_Details__2[],4,FALSE)</f>
        <v>47305.31</v>
      </c>
      <c r="N23" t="str">
        <f>VLOOKUP(A23,Hospitalisation_Details__2[],5,FALSE)</f>
        <v>tier - 2</v>
      </c>
      <c r="O23" t="str">
        <f>VLOOKUP(A23,Hospitalisation_Details__2[],6,FALSE)</f>
        <v>tier - 1</v>
      </c>
      <c r="P23" t="str">
        <f>VLOOKUP(A23,Hospitalisation_Details__2[],7,FALSE)</f>
        <v>R1011</v>
      </c>
    </row>
    <row r="24" spans="1:16" x14ac:dyDescent="0.35">
      <c r="A24" t="str">
        <v>Id23</v>
      </c>
      <c r="B24" t="str">
        <f>VLOOKUP(A24,'Customer Names (2)'!A:B, 2,FALSE)</f>
        <v>Ms</v>
      </c>
      <c r="C24">
        <f>VLOOKUP(A24,Medical_Examinations[],2,FALSE)</f>
        <v>31.3</v>
      </c>
      <c r="D24">
        <f>VLOOKUP(A24,Medical_Examinations[],3,FALSE)</f>
        <v>11.38</v>
      </c>
      <c r="E24" t="str">
        <f>VLOOKUP(A24,Medical_Examinations[],4,FALSE)</f>
        <v>No</v>
      </c>
      <c r="F24" t="str">
        <f>VLOOKUP(A24,Medical_Examinations[],5,FALSE)</f>
        <v>No</v>
      </c>
      <c r="G24" t="str">
        <f>VLOOKUP(A24,Medical_Examinations[],6,FALSE)</f>
        <v>No</v>
      </c>
      <c r="H24">
        <f>VLOOKUP(A24,Medical_Examinations[],7,FALSE)</f>
        <v>3</v>
      </c>
      <c r="I24" t="str">
        <f>VLOOKUP(A24,Medical_Examinations[],8,FALSE)</f>
        <v>Yes</v>
      </c>
      <c r="J24" t="str">
        <f>VLOOKUP(A24,Medical_Examinations[],9,FALSE)</f>
        <v>Obesity</v>
      </c>
      <c r="K24" t="str">
        <f>VLOOKUP(A24,Medical_Examinations[],10,FALSE)</f>
        <v>Diabetes</v>
      </c>
      <c r="M24">
        <f>VLOOKUP(A24,Hospitalisation_Details__2[],4,FALSE)</f>
        <v>47291.06</v>
      </c>
      <c r="N24" t="str">
        <f>VLOOKUP(A24,Hospitalisation_Details__2[],5,FALSE)</f>
        <v>tier - 2</v>
      </c>
      <c r="O24" t="str">
        <f>VLOOKUP(A24,Hospitalisation_Details__2[],6,FALSE)</f>
        <v>tier - 1</v>
      </c>
      <c r="P24" t="str">
        <f>VLOOKUP(A24,Hospitalisation_Details__2[],7,FALSE)</f>
        <v>R1011</v>
      </c>
    </row>
    <row r="25" spans="1:16" x14ac:dyDescent="0.35">
      <c r="A25" t="str">
        <v>Id24</v>
      </c>
      <c r="B25" t="str">
        <f>VLOOKUP(A25,'Customer Names (2)'!A:B, 2,FALSE)</f>
        <v>Mr</v>
      </c>
      <c r="C25">
        <f>VLOOKUP(A25,Medical_Examinations[],2,FALSE)</f>
        <v>41.8</v>
      </c>
      <c r="D25">
        <f>VLOOKUP(A25,Medical_Examinations[],3,FALSE)</f>
        <v>7.89</v>
      </c>
      <c r="E25" t="str">
        <f>VLOOKUP(A25,Medical_Examinations[],4,FALSE)</f>
        <v>Yes</v>
      </c>
      <c r="F25" t="str">
        <f>VLOOKUP(A25,Medical_Examinations[],5,FALSE)</f>
        <v>No</v>
      </c>
      <c r="G25" t="str">
        <f>VLOOKUP(A25,Medical_Examinations[],6,FALSE)</f>
        <v>No</v>
      </c>
      <c r="H25">
        <f>VLOOKUP(A25,Medical_Examinations[],7,FALSE)</f>
        <v>2</v>
      </c>
      <c r="I25" t="str">
        <f>VLOOKUP(A25,Medical_Examinations[],8,FALSE)</f>
        <v>Yes</v>
      </c>
      <c r="J25" t="str">
        <f>VLOOKUP(A25,Medical_Examinations[],9,FALSE)</f>
        <v>Obesity</v>
      </c>
      <c r="K25" t="str">
        <f>VLOOKUP(A25,Medical_Examinations[],10,FALSE)</f>
        <v>Diabetes</v>
      </c>
      <c r="M25">
        <f>VLOOKUP(A25,Hospitalisation_Details__2[],4,FALSE)</f>
        <v>47269.85</v>
      </c>
      <c r="N25" t="str">
        <f>VLOOKUP(A25,Hospitalisation_Details__2[],5,FALSE)</f>
        <v>tier - 1</v>
      </c>
      <c r="O25" t="str">
        <f>VLOOKUP(A25,Hospitalisation_Details__2[],6,FALSE)</f>
        <v>tier - 2</v>
      </c>
      <c r="P25" t="str">
        <f>VLOOKUP(A25,Hospitalisation_Details__2[],7,FALSE)</f>
        <v>R1013</v>
      </c>
    </row>
    <row r="26" spans="1:16" x14ac:dyDescent="0.35">
      <c r="A26" t="str">
        <v>Id25</v>
      </c>
      <c r="B26" t="str">
        <f>VLOOKUP(A26,'Customer Names (2)'!A:B, 2,FALSE)</f>
        <v>Mr</v>
      </c>
      <c r="C26">
        <f>VLOOKUP(A26,Medical_Examinations[],2,FALSE)</f>
        <v>35.090000000000003</v>
      </c>
      <c r="D26">
        <f>VLOOKUP(A26,Medical_Examinations[],3,FALSE)</f>
        <v>4.38</v>
      </c>
      <c r="E26" t="str">
        <f>VLOOKUP(A26,Medical_Examinations[],4,FALSE)</f>
        <v>Yes</v>
      </c>
      <c r="F26" t="str">
        <f>VLOOKUP(A26,Medical_Examinations[],5,FALSE)</f>
        <v>No</v>
      </c>
      <c r="G26" t="str">
        <f>VLOOKUP(A26,Medical_Examinations[],6,FALSE)</f>
        <v>No</v>
      </c>
      <c r="H26">
        <f>VLOOKUP(A26,Medical_Examinations[],7,FALSE)</f>
        <v>2</v>
      </c>
      <c r="I26" t="str">
        <f>VLOOKUP(A26,Medical_Examinations[],8,FALSE)</f>
        <v>Yes</v>
      </c>
      <c r="J26" t="str">
        <f>VLOOKUP(A26,Medical_Examinations[],9,FALSE)</f>
        <v>Obesity</v>
      </c>
      <c r="K26" t="str">
        <f>VLOOKUP(A26,Medical_Examinations[],10,FALSE)</f>
        <v>Normal</v>
      </c>
      <c r="M26">
        <f>VLOOKUP(A26,Hospitalisation_Details__2[],4,FALSE)</f>
        <v>47055.53</v>
      </c>
      <c r="N26" t="str">
        <f>VLOOKUP(A26,Hospitalisation_Details__2[],5,FALSE)</f>
        <v>tier - 2</v>
      </c>
      <c r="O26" t="str">
        <f>VLOOKUP(A26,Hospitalisation_Details__2[],6,FALSE)</f>
        <v>tier - 1</v>
      </c>
      <c r="P26" t="str">
        <f>VLOOKUP(A26,Hospitalisation_Details__2[],7,FALSE)</f>
        <v>R1013</v>
      </c>
    </row>
    <row r="27" spans="1:16" x14ac:dyDescent="0.35">
      <c r="A27" t="str">
        <v>Id26</v>
      </c>
      <c r="B27" t="str">
        <f>VLOOKUP(A27,'Customer Names (2)'!A:B, 2,FALSE)</f>
        <v>Mr</v>
      </c>
      <c r="C27">
        <f>VLOOKUP(A27,Medical_Examinations[],2,FALSE)</f>
        <v>33.880000000000003</v>
      </c>
      <c r="D27">
        <f>VLOOKUP(A27,Medical_Examinations[],3,FALSE)</f>
        <v>7.01</v>
      </c>
      <c r="E27" t="str">
        <f>VLOOKUP(A27,Medical_Examinations[],4,FALSE)</f>
        <v>No</v>
      </c>
      <c r="F27" t="str">
        <f>VLOOKUP(A27,Medical_Examinations[],5,FALSE)</f>
        <v>No</v>
      </c>
      <c r="G27" t="str">
        <f>VLOOKUP(A27,Medical_Examinations[],6,FALSE)</f>
        <v>No</v>
      </c>
      <c r="H27">
        <f>VLOOKUP(A27,Medical_Examinations[],7,FALSE)</f>
        <v>3</v>
      </c>
      <c r="I27" t="str">
        <f>VLOOKUP(A27,Medical_Examinations[],8,FALSE)</f>
        <v>Yes</v>
      </c>
      <c r="J27" t="str">
        <f>VLOOKUP(A27,Medical_Examinations[],9,FALSE)</f>
        <v>Obesity</v>
      </c>
      <c r="K27" t="str">
        <f>VLOOKUP(A27,Medical_Examinations[],10,FALSE)</f>
        <v>Diabetes</v>
      </c>
      <c r="M27">
        <f>VLOOKUP(A27,Hospitalisation_Details__2[],4,FALSE)</f>
        <v>46889.26</v>
      </c>
      <c r="N27" t="str">
        <f>VLOOKUP(A27,Hospitalisation_Details__2[],5,FALSE)</f>
        <v>tier - 2</v>
      </c>
      <c r="O27" t="str">
        <f>VLOOKUP(A27,Hospitalisation_Details__2[],6,FALSE)</f>
        <v>tier - 3</v>
      </c>
      <c r="P27" t="str">
        <f>VLOOKUP(A27,Hospitalisation_Details__2[],7,FALSE)</f>
        <v>R1013</v>
      </c>
    </row>
    <row r="28" spans="1:16" x14ac:dyDescent="0.35">
      <c r="A28" t="str">
        <v>Id27</v>
      </c>
      <c r="B28" t="str">
        <f>VLOOKUP(A28,'Customer Names (2)'!A:B, 2,FALSE)</f>
        <v>Mr</v>
      </c>
      <c r="C28">
        <f>VLOOKUP(A28,Medical_Examinations[],2,FALSE)</f>
        <v>30.875</v>
      </c>
      <c r="D28">
        <f>VLOOKUP(A28,Medical_Examinations[],3,FALSE)</f>
        <v>11.88</v>
      </c>
      <c r="E28" t="str">
        <f>VLOOKUP(A28,Medical_Examinations[],4,FALSE)</f>
        <v>No</v>
      </c>
      <c r="F28" t="str">
        <f>VLOOKUP(A28,Medical_Examinations[],5,FALSE)</f>
        <v>No</v>
      </c>
      <c r="G28" t="str">
        <f>VLOOKUP(A28,Medical_Examinations[],6,FALSE)</f>
        <v>No</v>
      </c>
      <c r="H28">
        <f>VLOOKUP(A28,Medical_Examinations[],7,FALSE)</f>
        <v>0</v>
      </c>
      <c r="I28" t="str">
        <f>VLOOKUP(A28,Medical_Examinations[],8,FALSE)</f>
        <v>Yes</v>
      </c>
      <c r="J28" t="str">
        <f>VLOOKUP(A28,Medical_Examinations[],9,FALSE)</f>
        <v>Obesity</v>
      </c>
      <c r="K28" t="str">
        <f>VLOOKUP(A28,Medical_Examinations[],10,FALSE)</f>
        <v>Diabetes</v>
      </c>
      <c r="M28">
        <f>VLOOKUP(A28,Hospitalisation_Details__2[],4,FALSE)</f>
        <v>46718.16</v>
      </c>
      <c r="N28" t="str">
        <f>VLOOKUP(A28,Hospitalisation_Details__2[],5,FALSE)</f>
        <v>tier - 1</v>
      </c>
      <c r="O28" t="str">
        <f>VLOOKUP(A28,Hospitalisation_Details__2[],6,FALSE)</f>
        <v>tier - 1</v>
      </c>
      <c r="P28" t="str">
        <f>VLOOKUP(A28,Hospitalisation_Details__2[],7,FALSE)</f>
        <v>R1012</v>
      </c>
    </row>
    <row r="29" spans="1:16" x14ac:dyDescent="0.35">
      <c r="A29" t="str">
        <v>Id28</v>
      </c>
      <c r="B29" t="str">
        <f>VLOOKUP(A29,'Customer Names (2)'!A:B, 2,FALSE)</f>
        <v>Ms</v>
      </c>
      <c r="C29">
        <f>VLOOKUP(A29,Medical_Examinations[],2,FALSE)</f>
        <v>36.86</v>
      </c>
      <c r="D29">
        <f>VLOOKUP(A29,Medical_Examinations[],3,FALSE)</f>
        <v>5.19</v>
      </c>
      <c r="E29" t="str">
        <f>VLOOKUP(A29,Medical_Examinations[],4,FALSE)</f>
        <v>Yes</v>
      </c>
      <c r="F29" t="str">
        <f>VLOOKUP(A29,Medical_Examinations[],5,FALSE)</f>
        <v>No</v>
      </c>
      <c r="G29" t="str">
        <f>VLOOKUP(A29,Medical_Examinations[],6,FALSE)</f>
        <v>Yes</v>
      </c>
      <c r="H29">
        <f>VLOOKUP(A29,Medical_Examinations[],7,FALSE)</f>
        <v>1</v>
      </c>
      <c r="I29" t="str">
        <f>VLOOKUP(A29,Medical_Examinations[],8,FALSE)</f>
        <v>Yes</v>
      </c>
      <c r="J29" t="str">
        <f>VLOOKUP(A29,Medical_Examinations[],9,FALSE)</f>
        <v>Obesity</v>
      </c>
      <c r="K29" t="str">
        <f>VLOOKUP(A29,Medical_Examinations[],10,FALSE)</f>
        <v>Normal</v>
      </c>
      <c r="M29">
        <f>VLOOKUP(A29,Hospitalisation_Details__2[],4,FALSE)</f>
        <v>46661.440000000002</v>
      </c>
      <c r="N29" t="str">
        <f>VLOOKUP(A29,Hospitalisation_Details__2[],5,FALSE)</f>
        <v>tier - 1</v>
      </c>
      <c r="O29" t="str">
        <f>VLOOKUP(A29,Hospitalisation_Details__2[],6,FALSE)</f>
        <v>tier - 3</v>
      </c>
      <c r="P29" t="str">
        <f>VLOOKUP(A29,Hospitalisation_Details__2[],7,FALSE)</f>
        <v>R1012</v>
      </c>
    </row>
    <row r="30" spans="1:16" x14ac:dyDescent="0.35">
      <c r="A30" t="str">
        <v>Id29</v>
      </c>
      <c r="B30" t="str">
        <f>VLOOKUP(A30,'Customer Names (2)'!A:B, 2,FALSE)</f>
        <v>Mr</v>
      </c>
      <c r="C30">
        <f>VLOOKUP(A30,Medical_Examinations[],2,FALSE)</f>
        <v>35.86</v>
      </c>
      <c r="D30">
        <f>VLOOKUP(A30,Medical_Examinations[],3,FALSE)</f>
        <v>6.74</v>
      </c>
      <c r="E30" t="str">
        <f>VLOOKUP(A30,Medical_Examinations[],4,FALSE)</f>
        <v>Yes</v>
      </c>
      <c r="F30" t="str">
        <f>VLOOKUP(A30,Medical_Examinations[],5,FALSE)</f>
        <v>No</v>
      </c>
      <c r="G30" t="str">
        <f>VLOOKUP(A30,Medical_Examinations[],6,FALSE)</f>
        <v>No</v>
      </c>
      <c r="H30">
        <f>VLOOKUP(A30,Medical_Examinations[],7,FALSE)</f>
        <v>2</v>
      </c>
      <c r="I30" t="str">
        <f>VLOOKUP(A30,Medical_Examinations[],8,FALSE)</f>
        <v>Yes</v>
      </c>
      <c r="J30" t="str">
        <f>VLOOKUP(A30,Medical_Examinations[],9,FALSE)</f>
        <v>Obesity</v>
      </c>
      <c r="K30" t="str">
        <f>VLOOKUP(A30,Medical_Examinations[],10,FALSE)</f>
        <v>Diabetes</v>
      </c>
      <c r="M30">
        <f>VLOOKUP(A30,Hospitalisation_Details__2[],4,FALSE)</f>
        <v>46599.11</v>
      </c>
      <c r="N30" t="str">
        <f>VLOOKUP(A30,Hospitalisation_Details__2[],5,FALSE)</f>
        <v>tier - 1</v>
      </c>
      <c r="O30" t="str">
        <f>VLOOKUP(A30,Hospitalisation_Details__2[],6,FALSE)</f>
        <v>tier - 1</v>
      </c>
      <c r="P30" t="str">
        <f>VLOOKUP(A30,Hospitalisation_Details__2[],7,FALSE)</f>
        <v>R1013</v>
      </c>
    </row>
    <row r="31" spans="1:16" x14ac:dyDescent="0.35">
      <c r="A31" t="str">
        <v>Id30</v>
      </c>
      <c r="B31" t="str">
        <f>VLOOKUP(A31,'Customer Names (2)'!A:B, 2,FALSE)</f>
        <v>Ms</v>
      </c>
      <c r="C31">
        <f>VLOOKUP(A31,Medical_Examinations[],2,FALSE)</f>
        <v>37.049999999999997</v>
      </c>
      <c r="D31">
        <f>VLOOKUP(A31,Medical_Examinations[],3,FALSE)</f>
        <v>8.44</v>
      </c>
      <c r="E31" t="str">
        <f>VLOOKUP(A31,Medical_Examinations[],4,FALSE)</f>
        <v>No</v>
      </c>
      <c r="F31" t="str">
        <f>VLOOKUP(A31,Medical_Examinations[],5,FALSE)</f>
        <v>No</v>
      </c>
      <c r="G31" t="str">
        <f>VLOOKUP(A31,Medical_Examinations[],6,FALSE)</f>
        <v>No</v>
      </c>
      <c r="H31">
        <f>VLOOKUP(A31,Medical_Examinations[],7,FALSE)</f>
        <v>0</v>
      </c>
      <c r="I31" t="str">
        <f>VLOOKUP(A31,Medical_Examinations[],8,FALSE)</f>
        <v>Yes</v>
      </c>
      <c r="J31" t="str">
        <f>VLOOKUP(A31,Medical_Examinations[],9,FALSE)</f>
        <v>Obesity</v>
      </c>
      <c r="K31" t="str">
        <f>VLOOKUP(A31,Medical_Examinations[],10,FALSE)</f>
        <v>Diabetes</v>
      </c>
      <c r="M31">
        <f>VLOOKUP(A31,Hospitalisation_Details__2[],4,FALSE)</f>
        <v>46255.11</v>
      </c>
      <c r="N31" t="str">
        <f>VLOOKUP(A31,Hospitalisation_Details__2[],5,FALSE)</f>
        <v>tier - 1</v>
      </c>
      <c r="O31" t="str">
        <f>VLOOKUP(A31,Hospitalisation_Details__2[],6,FALSE)</f>
        <v>tier - 3</v>
      </c>
      <c r="P31" t="str">
        <f>VLOOKUP(A31,Hospitalisation_Details__2[],7,FALSE)</f>
        <v>R1024</v>
      </c>
    </row>
    <row r="32" spans="1:16" x14ac:dyDescent="0.35">
      <c r="A32" t="str">
        <v>Id31</v>
      </c>
      <c r="B32" t="str">
        <f>VLOOKUP(A32,'Customer Names (2)'!A:B, 2,FALSE)</f>
        <v>Ms</v>
      </c>
      <c r="C32">
        <f>VLOOKUP(A32,Medical_Examinations[],2,FALSE)</f>
        <v>43.89</v>
      </c>
      <c r="D32">
        <f>VLOOKUP(A32,Medical_Examinations[],3,FALSE)</f>
        <v>8.7100000000000009</v>
      </c>
      <c r="E32" t="str">
        <f>VLOOKUP(A32,Medical_Examinations[],4,FALSE)</f>
        <v>No</v>
      </c>
      <c r="F32" t="str">
        <f>VLOOKUP(A32,Medical_Examinations[],5,FALSE)</f>
        <v>No</v>
      </c>
      <c r="G32" t="str">
        <f>VLOOKUP(A32,Medical_Examinations[],6,FALSE)</f>
        <v>No</v>
      </c>
      <c r="H32">
        <f>VLOOKUP(A32,Medical_Examinations[],7,FALSE)</f>
        <v>0</v>
      </c>
      <c r="I32" t="str">
        <f>VLOOKUP(A32,Medical_Examinations[],8,FALSE)</f>
        <v>Yes</v>
      </c>
      <c r="J32" t="str">
        <f>VLOOKUP(A32,Medical_Examinations[],9,FALSE)</f>
        <v>Obesity</v>
      </c>
      <c r="K32" t="str">
        <f>VLOOKUP(A32,Medical_Examinations[],10,FALSE)</f>
        <v>Diabetes</v>
      </c>
      <c r="M32">
        <f>VLOOKUP(A32,Hospitalisation_Details__2[],4,FALSE)</f>
        <v>46200.99</v>
      </c>
      <c r="N32" t="str">
        <f>VLOOKUP(A32,Hospitalisation_Details__2[],5,FALSE)</f>
        <v>tier - 1</v>
      </c>
      <c r="O32" t="str">
        <f>VLOOKUP(A32,Hospitalisation_Details__2[],6,FALSE)</f>
        <v>tier - 1</v>
      </c>
      <c r="P32" t="str">
        <f>VLOOKUP(A32,Hospitalisation_Details__2[],7,FALSE)</f>
        <v>R1013</v>
      </c>
    </row>
    <row r="33" spans="1:16" x14ac:dyDescent="0.35">
      <c r="A33" t="str">
        <v>Id32</v>
      </c>
      <c r="B33" t="str">
        <f>VLOOKUP(A33,'Customer Names (2)'!A:B, 2,FALSE)</f>
        <v>Mr</v>
      </c>
      <c r="C33">
        <f>VLOOKUP(A33,Medical_Examinations[],2,FALSE)</f>
        <v>42.35</v>
      </c>
      <c r="D33">
        <f>VLOOKUP(A33,Medical_Examinations[],3,FALSE)</f>
        <v>5.08</v>
      </c>
      <c r="E33" t="str">
        <f>VLOOKUP(A33,Medical_Examinations[],4,FALSE)</f>
        <v>Yes</v>
      </c>
      <c r="F33" t="str">
        <f>VLOOKUP(A33,Medical_Examinations[],5,FALSE)</f>
        <v>No</v>
      </c>
      <c r="G33" t="str">
        <f>VLOOKUP(A33,Medical_Examinations[],6,FALSE)</f>
        <v>No</v>
      </c>
      <c r="H33">
        <f>VLOOKUP(A33,Medical_Examinations[],7,FALSE)</f>
        <v>0</v>
      </c>
      <c r="I33" t="str">
        <f>VLOOKUP(A33,Medical_Examinations[],8,FALSE)</f>
        <v>Yes</v>
      </c>
      <c r="J33" t="str">
        <f>VLOOKUP(A33,Medical_Examinations[],9,FALSE)</f>
        <v>Obesity</v>
      </c>
      <c r="K33" t="str">
        <f>VLOOKUP(A33,Medical_Examinations[],10,FALSE)</f>
        <v>Normal</v>
      </c>
      <c r="M33">
        <f>VLOOKUP(A33,Hospitalisation_Details__2[],4,FALSE)</f>
        <v>46151.12</v>
      </c>
      <c r="N33" t="str">
        <f>VLOOKUP(A33,Hospitalisation_Details__2[],5,FALSE)</f>
        <v>tier - 1</v>
      </c>
      <c r="O33" t="str">
        <f>VLOOKUP(A33,Hospitalisation_Details__2[],6,FALSE)</f>
        <v>tier - 3</v>
      </c>
      <c r="P33" t="str">
        <f>VLOOKUP(A33,Hospitalisation_Details__2[],7,FALSE)</f>
        <v>R1013</v>
      </c>
    </row>
    <row r="34" spans="1:16" x14ac:dyDescent="0.35">
      <c r="A34" t="str">
        <v>Id33</v>
      </c>
      <c r="B34" t="str">
        <f>VLOOKUP(A34,'Customer Names (2)'!A:B, 2,FALSE)</f>
        <v>Mr</v>
      </c>
      <c r="C34">
        <f>VLOOKUP(A34,Medical_Examinations[],2,FALSE)</f>
        <v>31.35</v>
      </c>
      <c r="D34">
        <f>VLOOKUP(A34,Medical_Examinations[],3,FALSE)</f>
        <v>6.86</v>
      </c>
      <c r="E34" t="str">
        <f>VLOOKUP(A34,Medical_Examinations[],4,FALSE)</f>
        <v>No</v>
      </c>
      <c r="F34" t="str">
        <f>VLOOKUP(A34,Medical_Examinations[],5,FALSE)</f>
        <v>No</v>
      </c>
      <c r="G34" t="str">
        <f>VLOOKUP(A34,Medical_Examinations[],6,FALSE)</f>
        <v>No</v>
      </c>
      <c r="H34">
        <f>VLOOKUP(A34,Medical_Examinations[],7,FALSE)</f>
        <v>0</v>
      </c>
      <c r="I34" t="str">
        <f>VLOOKUP(A34,Medical_Examinations[],8,FALSE)</f>
        <v>Yes</v>
      </c>
      <c r="J34" t="str">
        <f>VLOOKUP(A34,Medical_Examinations[],9,FALSE)</f>
        <v>Obesity</v>
      </c>
      <c r="K34" t="str">
        <f>VLOOKUP(A34,Medical_Examinations[],10,FALSE)</f>
        <v>Diabetes</v>
      </c>
      <c r="M34">
        <f>VLOOKUP(A34,Hospitalisation_Details__2[],4,FALSE)</f>
        <v>46130.53</v>
      </c>
      <c r="N34" t="str">
        <f>VLOOKUP(A34,Hospitalisation_Details__2[],5,FALSE)</f>
        <v>tier - 1</v>
      </c>
      <c r="O34" t="str">
        <f>VLOOKUP(A34,Hospitalisation_Details__2[],6,FALSE)</f>
        <v>tier - 1</v>
      </c>
      <c r="P34" t="str">
        <f>VLOOKUP(A34,Hospitalisation_Details__2[],7,FALSE)</f>
        <v>R1012</v>
      </c>
    </row>
    <row r="35" spans="1:16" x14ac:dyDescent="0.35">
      <c r="A35" t="str">
        <v>Id34</v>
      </c>
      <c r="B35" t="str">
        <f>VLOOKUP(A35,'Customer Names (2)'!A:B, 2,FALSE)</f>
        <v>Ms</v>
      </c>
      <c r="C35">
        <f>VLOOKUP(A35,Medical_Examinations[],2,FALSE)</f>
        <v>47.6</v>
      </c>
      <c r="D35">
        <f>VLOOKUP(A35,Medical_Examinations[],3,FALSE)</f>
        <v>5.95</v>
      </c>
      <c r="E35" t="str">
        <f>VLOOKUP(A35,Medical_Examinations[],4,FALSE)</f>
        <v>Yes</v>
      </c>
      <c r="F35" t="str">
        <f>VLOOKUP(A35,Medical_Examinations[],5,FALSE)</f>
        <v>No</v>
      </c>
      <c r="G35" t="str">
        <f>VLOOKUP(A35,Medical_Examinations[],6,FALSE)</f>
        <v>No</v>
      </c>
      <c r="H35">
        <f>VLOOKUP(A35,Medical_Examinations[],7,FALSE)</f>
        <v>0</v>
      </c>
      <c r="I35" t="str">
        <f>VLOOKUP(A35,Medical_Examinations[],8,FALSE)</f>
        <v>Yes</v>
      </c>
      <c r="J35" t="str">
        <f>VLOOKUP(A35,Medical_Examinations[],9,FALSE)</f>
        <v>Obesity</v>
      </c>
      <c r="K35" t="str">
        <f>VLOOKUP(A35,Medical_Examinations[],10,FALSE)</f>
        <v>Prediabetes</v>
      </c>
      <c r="M35">
        <f>VLOOKUP(A35,Hospitalisation_Details__2[],4,FALSE)</f>
        <v>46113.51</v>
      </c>
      <c r="N35" t="str">
        <f>VLOOKUP(A35,Hospitalisation_Details__2[],5,FALSE)</f>
        <v>tier - 2</v>
      </c>
      <c r="O35" t="str">
        <f>VLOOKUP(A35,Hospitalisation_Details__2[],6,FALSE)</f>
        <v>tier - 3</v>
      </c>
      <c r="P35" t="str">
        <f>VLOOKUP(A35,Hospitalisation_Details__2[],7,FALSE)</f>
        <v>R1011</v>
      </c>
    </row>
    <row r="36" spans="1:16" x14ac:dyDescent="0.35">
      <c r="A36" t="str">
        <v>Id35</v>
      </c>
      <c r="B36" t="str">
        <f>VLOOKUP(A36,'Customer Names (2)'!A:B, 2,FALSE)</f>
        <v>Ms</v>
      </c>
      <c r="C36">
        <f>VLOOKUP(A36,Medical_Examinations[],2,FALSE)</f>
        <v>46.2</v>
      </c>
      <c r="D36">
        <f>VLOOKUP(A36,Medical_Examinations[],3,FALSE)</f>
        <v>6.09</v>
      </c>
      <c r="E36" t="str">
        <f>VLOOKUP(A36,Medical_Examinations[],4,FALSE)</f>
        <v>No</v>
      </c>
      <c r="F36" t="str">
        <f>VLOOKUP(A36,Medical_Examinations[],5,FALSE)</f>
        <v>No</v>
      </c>
      <c r="G36" t="str">
        <f>VLOOKUP(A36,Medical_Examinations[],6,FALSE)</f>
        <v>Yes</v>
      </c>
      <c r="H36">
        <f>VLOOKUP(A36,Medical_Examinations[],7,FALSE)</f>
        <v>1</v>
      </c>
      <c r="I36" t="str">
        <f>VLOOKUP(A36,Medical_Examinations[],8,FALSE)</f>
        <v>Yes</v>
      </c>
      <c r="J36" t="str">
        <f>VLOOKUP(A36,Medical_Examinations[],9,FALSE)</f>
        <v>Obesity</v>
      </c>
      <c r="K36" t="str">
        <f>VLOOKUP(A36,Medical_Examinations[],10,FALSE)</f>
        <v>Prediabetes</v>
      </c>
      <c r="M36">
        <f>VLOOKUP(A36,Hospitalisation_Details__2[],4,FALSE)</f>
        <v>45863.21</v>
      </c>
      <c r="N36" t="str">
        <f>VLOOKUP(A36,Hospitalisation_Details__2[],5,FALSE)</f>
        <v>tier - 2</v>
      </c>
      <c r="O36" t="str">
        <f>VLOOKUP(A36,Hospitalisation_Details__2[],6,FALSE)</f>
        <v>tier - 1</v>
      </c>
      <c r="P36" t="str">
        <f>VLOOKUP(A36,Hospitalisation_Details__2[],7,FALSE)</f>
        <v>R1013</v>
      </c>
    </row>
    <row r="37" spans="1:16" x14ac:dyDescent="0.35">
      <c r="A37" t="str">
        <v>Id36</v>
      </c>
      <c r="B37" t="str">
        <f>VLOOKUP(A37,'Customer Names (2)'!A:B, 2,FALSE)</f>
        <v>Mr</v>
      </c>
      <c r="C37">
        <f>VLOOKUP(A37,Medical_Examinations[],2,FALSE)</f>
        <v>32.015000000000001</v>
      </c>
      <c r="D37">
        <f>VLOOKUP(A37,Medical_Examinations[],3,FALSE)</f>
        <v>11.75</v>
      </c>
      <c r="E37" t="str">
        <f>VLOOKUP(A37,Medical_Examinations[],4,FALSE)</f>
        <v>No</v>
      </c>
      <c r="F37" t="str">
        <f>VLOOKUP(A37,Medical_Examinations[],5,FALSE)</f>
        <v>No</v>
      </c>
      <c r="G37" t="str">
        <f>VLOOKUP(A37,Medical_Examinations[],6,FALSE)</f>
        <v>No</v>
      </c>
      <c r="H37">
        <f>VLOOKUP(A37,Medical_Examinations[],7,FALSE)</f>
        <v>0</v>
      </c>
      <c r="I37" t="str">
        <f>VLOOKUP(A37,Medical_Examinations[],8,FALSE)</f>
        <v>Yes</v>
      </c>
      <c r="J37" t="str">
        <f>VLOOKUP(A37,Medical_Examinations[],9,FALSE)</f>
        <v>Obesity</v>
      </c>
      <c r="K37" t="str">
        <f>VLOOKUP(A37,Medical_Examinations[],10,FALSE)</f>
        <v>Diabetes</v>
      </c>
      <c r="M37">
        <f>VLOOKUP(A37,Hospitalisation_Details__2[],4,FALSE)</f>
        <v>45710.21</v>
      </c>
      <c r="N37" t="str">
        <f>VLOOKUP(A37,Hospitalisation_Details__2[],5,FALSE)</f>
        <v>tier - 2</v>
      </c>
      <c r="O37" t="str">
        <f>VLOOKUP(A37,Hospitalisation_Details__2[],6,FALSE)</f>
        <v>tier - 2</v>
      </c>
      <c r="P37" t="str">
        <f>VLOOKUP(A37,Hospitalisation_Details__2[],7,FALSE)</f>
        <v>R1016</v>
      </c>
    </row>
    <row r="38" spans="1:16" x14ac:dyDescent="0.35">
      <c r="A38" t="str">
        <v>Id37</v>
      </c>
      <c r="B38" t="str">
        <f>VLOOKUP(A38,'Customer Names (2)'!A:B, 2,FALSE)</f>
        <v>Mr</v>
      </c>
      <c r="C38">
        <f>VLOOKUP(A38,Medical_Examinations[],2,FALSE)</f>
        <v>40.564999999999998</v>
      </c>
      <c r="D38">
        <f>VLOOKUP(A38,Medical_Examinations[],3,FALSE)</f>
        <v>7.37</v>
      </c>
      <c r="E38" t="str">
        <f>VLOOKUP(A38,Medical_Examinations[],4,FALSE)</f>
        <v>No</v>
      </c>
      <c r="F38" t="str">
        <f>VLOOKUP(A38,Medical_Examinations[],5,FALSE)</f>
        <v>No</v>
      </c>
      <c r="G38" t="str">
        <f>VLOOKUP(A38,Medical_Examinations[],6,FALSE)</f>
        <v>No</v>
      </c>
      <c r="H38">
        <f>VLOOKUP(A38,Medical_Examinations[],7,FALSE)</f>
        <v>0</v>
      </c>
      <c r="I38" t="str">
        <f>VLOOKUP(A38,Medical_Examinations[],8,FALSE)</f>
        <v>Yes</v>
      </c>
      <c r="J38" t="str">
        <f>VLOOKUP(A38,Medical_Examinations[],9,FALSE)</f>
        <v>Obesity</v>
      </c>
      <c r="K38" t="str">
        <f>VLOOKUP(A38,Medical_Examinations[],10,FALSE)</f>
        <v>Diabetes</v>
      </c>
      <c r="M38">
        <f>VLOOKUP(A38,Hospitalisation_Details__2[],4,FALSE)</f>
        <v>45702.02</v>
      </c>
      <c r="N38" t="str">
        <f>VLOOKUP(A38,Hospitalisation_Details__2[],5,FALSE)</f>
        <v>tier - 2</v>
      </c>
      <c r="O38" t="str">
        <f>VLOOKUP(A38,Hospitalisation_Details__2[],6,FALSE)</f>
        <v>tier - 2</v>
      </c>
      <c r="P38" t="str">
        <f>VLOOKUP(A38,Hospitalisation_Details__2[],7,FALSE)</f>
        <v>R1012</v>
      </c>
    </row>
    <row r="39" spans="1:16" x14ac:dyDescent="0.35">
      <c r="A39" t="str">
        <v>Id38</v>
      </c>
      <c r="B39" t="str">
        <f>VLOOKUP(A39,'Customer Names (2)'!A:B, 2,FALSE)</f>
        <v>Ms</v>
      </c>
      <c r="C39">
        <f>VLOOKUP(A39,Medical_Examinations[],2,FALSE)</f>
        <v>32.450000000000003</v>
      </c>
      <c r="D39">
        <f>VLOOKUP(A39,Medical_Examinations[],3,FALSE)</f>
        <v>11.91</v>
      </c>
      <c r="E39" t="str">
        <f>VLOOKUP(A39,Medical_Examinations[],4,FALSE)</f>
        <v>No</v>
      </c>
      <c r="F39" t="str">
        <f>VLOOKUP(A39,Medical_Examinations[],5,FALSE)</f>
        <v>No</v>
      </c>
      <c r="G39" t="str">
        <f>VLOOKUP(A39,Medical_Examinations[],6,FALSE)</f>
        <v>No</v>
      </c>
      <c r="H39">
        <f>VLOOKUP(A39,Medical_Examinations[],7,FALSE)</f>
        <v>0</v>
      </c>
      <c r="I39" t="str">
        <f>VLOOKUP(A39,Medical_Examinations[],8,FALSE)</f>
        <v>Yes</v>
      </c>
      <c r="J39" t="str">
        <f>VLOOKUP(A39,Medical_Examinations[],9,FALSE)</f>
        <v>Obesity</v>
      </c>
      <c r="K39" t="str">
        <f>VLOOKUP(A39,Medical_Examinations[],10,FALSE)</f>
        <v>Diabetes</v>
      </c>
      <c r="M39">
        <f>VLOOKUP(A39,Hospitalisation_Details__2[],4,FALSE)</f>
        <v>45008.959999999999</v>
      </c>
      <c r="N39" t="str">
        <f>VLOOKUP(A39,Hospitalisation_Details__2[],5,FALSE)</f>
        <v>tier - 2</v>
      </c>
      <c r="O39" t="str">
        <f>VLOOKUP(A39,Hospitalisation_Details__2[],6,FALSE)</f>
        <v>tier - 2</v>
      </c>
      <c r="P39" t="str">
        <f>VLOOKUP(A39,Hospitalisation_Details__2[],7,FALSE)</f>
        <v>R1013</v>
      </c>
    </row>
    <row r="40" spans="1:16" x14ac:dyDescent="0.35">
      <c r="A40" t="str">
        <v>Id39</v>
      </c>
      <c r="B40" t="str">
        <f>VLOOKUP(A40,'Customer Names (2)'!A:B, 2,FALSE)</f>
        <v>Ms</v>
      </c>
      <c r="C40">
        <f>VLOOKUP(A40,Medical_Examinations[],2,FALSE)</f>
        <v>34.96</v>
      </c>
      <c r="D40">
        <f>VLOOKUP(A40,Medical_Examinations[],3,FALSE)</f>
        <v>6.52</v>
      </c>
      <c r="E40" t="str">
        <f>VLOOKUP(A40,Medical_Examinations[],4,FALSE)</f>
        <v>No</v>
      </c>
      <c r="F40" t="str">
        <f>VLOOKUP(A40,Medical_Examinations[],5,FALSE)</f>
        <v>No</v>
      </c>
      <c r="G40" t="str">
        <f>VLOOKUP(A40,Medical_Examinations[],6,FALSE)</f>
        <v>No</v>
      </c>
      <c r="H40">
        <f>VLOOKUP(A40,Medical_Examinations[],7,FALSE)</f>
        <v>0</v>
      </c>
      <c r="I40" t="str">
        <f>VLOOKUP(A40,Medical_Examinations[],8,FALSE)</f>
        <v>Yes</v>
      </c>
      <c r="J40" t="str">
        <f>VLOOKUP(A40,Medical_Examinations[],9,FALSE)</f>
        <v>Obesity</v>
      </c>
      <c r="K40" t="str">
        <f>VLOOKUP(A40,Medical_Examinations[],10,FALSE)</f>
        <v>Diabetes</v>
      </c>
      <c r="M40">
        <f>VLOOKUP(A40,Hospitalisation_Details__2[],4,FALSE)</f>
        <v>44641.2</v>
      </c>
      <c r="N40" t="str">
        <f>VLOOKUP(A40,Hospitalisation_Details__2[],5,FALSE)</f>
        <v>tier - 2</v>
      </c>
      <c r="O40" t="str">
        <f>VLOOKUP(A40,Hospitalisation_Details__2[],6,FALSE)</f>
        <v>tier - 3</v>
      </c>
      <c r="P40" t="str">
        <f>VLOOKUP(A40,Hospitalisation_Details__2[],7,FALSE)</f>
        <v>R1024</v>
      </c>
    </row>
    <row r="41" spans="1:16" x14ac:dyDescent="0.35">
      <c r="A41" t="str">
        <v>Id40</v>
      </c>
      <c r="B41" t="str">
        <f>VLOOKUP(A41,'Customer Names (2)'!A:B, 2,FALSE)</f>
        <v>Mr</v>
      </c>
      <c r="C41">
        <f>VLOOKUP(A41,Medical_Examinations[],2,FALSE)</f>
        <v>35.5</v>
      </c>
      <c r="D41">
        <f>VLOOKUP(A41,Medical_Examinations[],3,FALSE)</f>
        <v>5.14</v>
      </c>
      <c r="E41" t="str">
        <f>VLOOKUP(A41,Medical_Examinations[],4,FALSE)</f>
        <v>No</v>
      </c>
      <c r="F41" t="str">
        <f>VLOOKUP(A41,Medical_Examinations[],5,FALSE)</f>
        <v>No</v>
      </c>
      <c r="G41" t="str">
        <f>VLOOKUP(A41,Medical_Examinations[],6,FALSE)</f>
        <v>Yes</v>
      </c>
      <c r="H41">
        <f>VLOOKUP(A41,Medical_Examinations[],7,FALSE)</f>
        <v>1</v>
      </c>
      <c r="I41" t="str">
        <f>VLOOKUP(A41,Medical_Examinations[],8,FALSE)</f>
        <v>Yes</v>
      </c>
      <c r="J41" t="str">
        <f>VLOOKUP(A41,Medical_Examinations[],9,FALSE)</f>
        <v>Obesity</v>
      </c>
      <c r="K41" t="str">
        <f>VLOOKUP(A41,Medical_Examinations[],10,FALSE)</f>
        <v>Normal</v>
      </c>
      <c r="M41">
        <f>VLOOKUP(A41,Hospitalisation_Details__2[],4,FALSE)</f>
        <v>44585.46</v>
      </c>
      <c r="N41" t="str">
        <f>VLOOKUP(A41,Hospitalisation_Details__2[],5,FALSE)</f>
        <v>tier - 2</v>
      </c>
      <c r="O41" t="str">
        <f>VLOOKUP(A41,Hospitalisation_Details__2[],6,FALSE)</f>
        <v>tier - 2</v>
      </c>
      <c r="P41" t="str">
        <f>VLOOKUP(A41,Hospitalisation_Details__2[],7,FALSE)</f>
        <v>R1011</v>
      </c>
    </row>
    <row r="42" spans="1:16" x14ac:dyDescent="0.35">
      <c r="A42" t="str">
        <v>Id41</v>
      </c>
      <c r="B42" t="str">
        <f>VLOOKUP(A42,'Customer Names (2)'!A:B, 2,FALSE)</f>
        <v>Mr</v>
      </c>
      <c r="C42">
        <f>VLOOKUP(A42,Medical_Examinations[],2,FALSE)</f>
        <v>52.58</v>
      </c>
      <c r="D42">
        <f>VLOOKUP(A42,Medical_Examinations[],3,FALSE)</f>
        <v>4.1900000000000004</v>
      </c>
      <c r="E42" t="str">
        <f>VLOOKUP(A42,Medical_Examinations[],4,FALSE)</f>
        <v>No</v>
      </c>
      <c r="F42" t="str">
        <f>VLOOKUP(A42,Medical_Examinations[],5,FALSE)</f>
        <v>yes</v>
      </c>
      <c r="G42" t="str">
        <f>VLOOKUP(A42,Medical_Examinations[],6,FALSE)</f>
        <v>No</v>
      </c>
      <c r="H42">
        <f>VLOOKUP(A42,Medical_Examinations[],7,FALSE)</f>
        <v>1</v>
      </c>
      <c r="I42" t="str">
        <f>VLOOKUP(A42,Medical_Examinations[],8,FALSE)</f>
        <v>Yes</v>
      </c>
      <c r="J42" t="str">
        <f>VLOOKUP(A42,Medical_Examinations[],9,FALSE)</f>
        <v>Obesity</v>
      </c>
      <c r="K42" t="str">
        <f>VLOOKUP(A42,Medical_Examinations[],10,FALSE)</f>
        <v>Normal</v>
      </c>
      <c r="M42">
        <f>VLOOKUP(A42,Hospitalisation_Details__2[],4,FALSE)</f>
        <v>44501.4</v>
      </c>
      <c r="N42" t="str">
        <f>VLOOKUP(A42,Hospitalisation_Details__2[],5,FALSE)</f>
        <v>tier - 2</v>
      </c>
      <c r="O42" t="str">
        <f>VLOOKUP(A42,Hospitalisation_Details__2[],6,FALSE)</f>
        <v>tier - 3</v>
      </c>
      <c r="P42" t="str">
        <f>VLOOKUP(A42,Hospitalisation_Details__2[],7,FALSE)</f>
        <v>R1013</v>
      </c>
    </row>
    <row r="43" spans="1:16" x14ac:dyDescent="0.35">
      <c r="A43" t="str">
        <v>Id42</v>
      </c>
      <c r="B43" t="str">
        <f>VLOOKUP(A43,'Customer Names (2)'!A:B, 2,FALSE)</f>
        <v>Ms</v>
      </c>
      <c r="C43">
        <f>VLOOKUP(A43,Medical_Examinations[],2,FALSE)</f>
        <v>35.200000000000003</v>
      </c>
      <c r="D43">
        <f>VLOOKUP(A43,Medical_Examinations[],3,FALSE)</f>
        <v>11.68</v>
      </c>
      <c r="E43" t="str">
        <f>VLOOKUP(A43,Medical_Examinations[],4,FALSE)</f>
        <v>Yes</v>
      </c>
      <c r="F43" t="str">
        <f>VLOOKUP(A43,Medical_Examinations[],5,FALSE)</f>
        <v>No</v>
      </c>
      <c r="G43" t="str">
        <f>VLOOKUP(A43,Medical_Examinations[],6,FALSE)</f>
        <v>No</v>
      </c>
      <c r="H43">
        <f>VLOOKUP(A43,Medical_Examinations[],7,FALSE)</f>
        <v>0</v>
      </c>
      <c r="I43" t="str">
        <f>VLOOKUP(A43,Medical_Examinations[],8,FALSE)</f>
        <v>Yes</v>
      </c>
      <c r="J43" t="str">
        <f>VLOOKUP(A43,Medical_Examinations[],9,FALSE)</f>
        <v>Obesity</v>
      </c>
      <c r="K43" t="str">
        <f>VLOOKUP(A43,Medical_Examinations[],10,FALSE)</f>
        <v>Diabetes</v>
      </c>
      <c r="M43">
        <f>VLOOKUP(A43,Hospitalisation_Details__2[],4,FALSE)</f>
        <v>44423.8</v>
      </c>
      <c r="N43" t="str">
        <f>VLOOKUP(A43,Hospitalisation_Details__2[],5,FALSE)</f>
        <v>tier - 2</v>
      </c>
      <c r="O43" t="str">
        <f>VLOOKUP(A43,Hospitalisation_Details__2[],6,FALSE)</f>
        <v>tier - 3</v>
      </c>
      <c r="P43" t="str">
        <f>VLOOKUP(A43,Hospitalisation_Details__2[],7,FALSE)</f>
        <v>R1013</v>
      </c>
    </row>
    <row r="44" spans="1:16" x14ac:dyDescent="0.35">
      <c r="A44" t="str">
        <v>Id43</v>
      </c>
      <c r="B44" t="str">
        <f>VLOOKUP(A44,'Customer Names (2)'!A:B, 2,FALSE)</f>
        <v>Ms</v>
      </c>
      <c r="C44">
        <f>VLOOKUP(A44,Medical_Examinations[],2,FALSE)</f>
        <v>38.06</v>
      </c>
      <c r="D44">
        <f>VLOOKUP(A44,Medical_Examinations[],3,FALSE)</f>
        <v>6.98</v>
      </c>
      <c r="E44" t="str">
        <f>VLOOKUP(A44,Medical_Examinations[],4,FALSE)</f>
        <v>No</v>
      </c>
      <c r="F44" t="str">
        <f>VLOOKUP(A44,Medical_Examinations[],5,FALSE)</f>
        <v>No</v>
      </c>
      <c r="G44" t="str">
        <f>VLOOKUP(A44,Medical_Examinations[],6,FALSE)</f>
        <v>No</v>
      </c>
      <c r="H44">
        <f>VLOOKUP(A44,Medical_Examinations[],7,FALSE)</f>
        <v>0</v>
      </c>
      <c r="I44" t="str">
        <f>VLOOKUP(A44,Medical_Examinations[],8,FALSE)</f>
        <v>Yes</v>
      </c>
      <c r="J44" t="str">
        <f>VLOOKUP(A44,Medical_Examinations[],9,FALSE)</f>
        <v>Obesity</v>
      </c>
      <c r="K44" t="str">
        <f>VLOOKUP(A44,Medical_Examinations[],10,FALSE)</f>
        <v>Diabetes</v>
      </c>
      <c r="M44">
        <f>VLOOKUP(A44,Hospitalisation_Details__2[],4,FALSE)</f>
        <v>44400.41</v>
      </c>
      <c r="N44" t="str">
        <f>VLOOKUP(A44,Hospitalisation_Details__2[],5,FALSE)</f>
        <v>tier - 2</v>
      </c>
      <c r="O44" t="str">
        <f>VLOOKUP(A44,Hospitalisation_Details__2[],6,FALSE)</f>
        <v>tier - 2</v>
      </c>
      <c r="P44" t="str">
        <f>VLOOKUP(A44,Hospitalisation_Details__2[],7,FALSE)</f>
        <v>R1013</v>
      </c>
    </row>
    <row r="45" spans="1:16" x14ac:dyDescent="0.35">
      <c r="A45" t="str">
        <v>Id44</v>
      </c>
      <c r="B45" t="str">
        <f>VLOOKUP(A45,'Customer Names (2)'!A:B, 2,FALSE)</f>
        <v>Mr</v>
      </c>
      <c r="C45">
        <f>VLOOKUP(A45,Medical_Examinations[],2,FALSE)</f>
        <v>34.21</v>
      </c>
      <c r="D45">
        <f>VLOOKUP(A45,Medical_Examinations[],3,FALSE)</f>
        <v>8.34</v>
      </c>
      <c r="E45" t="str">
        <f>VLOOKUP(A45,Medical_Examinations[],4,FALSE)</f>
        <v>No</v>
      </c>
      <c r="F45" t="str">
        <f>VLOOKUP(A45,Medical_Examinations[],5,FALSE)</f>
        <v>No</v>
      </c>
      <c r="G45" t="str">
        <f>VLOOKUP(A45,Medical_Examinations[],6,FALSE)</f>
        <v>No</v>
      </c>
      <c r="H45">
        <f>VLOOKUP(A45,Medical_Examinations[],7,FALSE)</f>
        <v>0</v>
      </c>
      <c r="I45" t="str">
        <f>VLOOKUP(A45,Medical_Examinations[],8,FALSE)</f>
        <v>Yes</v>
      </c>
      <c r="J45" t="str">
        <f>VLOOKUP(A45,Medical_Examinations[],9,FALSE)</f>
        <v>Obesity</v>
      </c>
      <c r="K45" t="str">
        <f>VLOOKUP(A45,Medical_Examinations[],10,FALSE)</f>
        <v>Diabetes</v>
      </c>
      <c r="M45">
        <f>VLOOKUP(A45,Hospitalisation_Details__2[],4,FALSE)</f>
        <v>44260.75</v>
      </c>
      <c r="N45" t="str">
        <f>VLOOKUP(A45,Hospitalisation_Details__2[],5,FALSE)</f>
        <v>tier - 2</v>
      </c>
      <c r="O45" t="str">
        <f>VLOOKUP(A45,Hospitalisation_Details__2[],6,FALSE)</f>
        <v>tier - 1</v>
      </c>
      <c r="P45" t="str">
        <f>VLOOKUP(A45,Hospitalisation_Details__2[],7,FALSE)</f>
        <v>R1013</v>
      </c>
    </row>
    <row r="46" spans="1:16" x14ac:dyDescent="0.35">
      <c r="A46" t="str">
        <v>Id45</v>
      </c>
      <c r="B46" t="str">
        <f>VLOOKUP(A46,'Customer Names (2)'!A:B, 2,FALSE)</f>
        <v>Mr</v>
      </c>
      <c r="C46">
        <f>VLOOKUP(A46,Medical_Examinations[],2,FALSE)</f>
        <v>38.94</v>
      </c>
      <c r="D46">
        <f>VLOOKUP(A46,Medical_Examinations[],3,FALSE)</f>
        <v>8.49</v>
      </c>
      <c r="E46" t="str">
        <f>VLOOKUP(A46,Medical_Examinations[],4,FALSE)</f>
        <v>Yes</v>
      </c>
      <c r="F46" t="str">
        <f>VLOOKUP(A46,Medical_Examinations[],5,FALSE)</f>
        <v>No</v>
      </c>
      <c r="G46" t="str">
        <f>VLOOKUP(A46,Medical_Examinations[],6,FALSE)</f>
        <v>No</v>
      </c>
      <c r="H46">
        <f>VLOOKUP(A46,Medical_Examinations[],7,FALSE)</f>
        <v>1</v>
      </c>
      <c r="I46" t="str">
        <f>VLOOKUP(A46,Medical_Examinations[],8,FALSE)</f>
        <v>Yes</v>
      </c>
      <c r="J46" t="str">
        <f>VLOOKUP(A46,Medical_Examinations[],9,FALSE)</f>
        <v>Obesity</v>
      </c>
      <c r="K46" t="str">
        <f>VLOOKUP(A46,Medical_Examinations[],10,FALSE)</f>
        <v>Diabetes</v>
      </c>
      <c r="M46">
        <f>VLOOKUP(A46,Hospitalisation_Details__2[],4,FALSE)</f>
        <v>44202.65</v>
      </c>
      <c r="N46" t="str">
        <f>VLOOKUP(A46,Hospitalisation_Details__2[],5,FALSE)</f>
        <v>tier - 2</v>
      </c>
      <c r="O46" t="str">
        <f>VLOOKUP(A46,Hospitalisation_Details__2[],6,FALSE)</f>
        <v>tier - 2</v>
      </c>
      <c r="P46" t="str">
        <f>VLOOKUP(A46,Hospitalisation_Details__2[],7,FALSE)</f>
        <v>R1013</v>
      </c>
    </row>
    <row r="47" spans="1:16" x14ac:dyDescent="0.35">
      <c r="A47" t="str">
        <v>Id46</v>
      </c>
      <c r="B47" t="str">
        <f>VLOOKUP(A47,'Customer Names (2)'!A:B, 2,FALSE)</f>
        <v>Ms</v>
      </c>
      <c r="C47">
        <f>VLOOKUP(A47,Medical_Examinations[],2,FALSE)</f>
        <v>30.21</v>
      </c>
      <c r="D47">
        <f>VLOOKUP(A47,Medical_Examinations[],3,FALSE)</f>
        <v>5.34</v>
      </c>
      <c r="E47" t="str">
        <f>VLOOKUP(A47,Medical_Examinations[],4,FALSE)</f>
        <v>Yes</v>
      </c>
      <c r="F47" t="str">
        <f>VLOOKUP(A47,Medical_Examinations[],5,FALSE)</f>
        <v>No</v>
      </c>
      <c r="G47" t="str">
        <f>VLOOKUP(A47,Medical_Examinations[],6,FALSE)</f>
        <v>No</v>
      </c>
      <c r="H47">
        <f>VLOOKUP(A47,Medical_Examinations[],7,FALSE)</f>
        <v>1</v>
      </c>
      <c r="I47" t="str">
        <f>VLOOKUP(A47,Medical_Examinations[],8,FALSE)</f>
        <v>Yes</v>
      </c>
      <c r="J47" t="str">
        <f>VLOOKUP(A47,Medical_Examinations[],9,FALSE)</f>
        <v>Obesity</v>
      </c>
      <c r="K47" t="str">
        <f>VLOOKUP(A47,Medical_Examinations[],10,FALSE)</f>
        <v>Normal</v>
      </c>
      <c r="M47">
        <f>VLOOKUP(A47,Hospitalisation_Details__2[],4,FALSE)</f>
        <v>43943.88</v>
      </c>
      <c r="N47" t="str">
        <f>VLOOKUP(A47,Hospitalisation_Details__2[],5,FALSE)</f>
        <v>tier - 2</v>
      </c>
      <c r="O47" t="str">
        <f>VLOOKUP(A47,Hospitalisation_Details__2[],6,FALSE)</f>
        <v>tier - 1</v>
      </c>
      <c r="P47" t="str">
        <f>VLOOKUP(A47,Hospitalisation_Details__2[],7,FALSE)</f>
        <v>R1012</v>
      </c>
    </row>
    <row r="48" spans="1:16" x14ac:dyDescent="0.35">
      <c r="A48" t="str">
        <v>Id47</v>
      </c>
      <c r="B48" t="str">
        <f>VLOOKUP(A48,'Customer Names (2)'!A:B, 2,FALSE)</f>
        <v>Mr</v>
      </c>
      <c r="C48">
        <f>VLOOKUP(A48,Medical_Examinations[],2,FALSE)</f>
        <v>33.630000000000003</v>
      </c>
      <c r="D48">
        <f>VLOOKUP(A48,Medical_Examinations[],3,FALSE)</f>
        <v>4.43</v>
      </c>
      <c r="E48" t="str">
        <f>VLOOKUP(A48,Medical_Examinations[],4,FALSE)</f>
        <v>Yes</v>
      </c>
      <c r="F48" t="str">
        <f>VLOOKUP(A48,Medical_Examinations[],5,FALSE)</f>
        <v>No</v>
      </c>
      <c r="G48" t="str">
        <f>VLOOKUP(A48,Medical_Examinations[],6,FALSE)</f>
        <v>No</v>
      </c>
      <c r="H48">
        <f>VLOOKUP(A48,Medical_Examinations[],7,FALSE)</f>
        <v>2</v>
      </c>
      <c r="I48" t="str">
        <f>VLOOKUP(A48,Medical_Examinations[],8,FALSE)</f>
        <v>Yes</v>
      </c>
      <c r="J48" t="str">
        <f>VLOOKUP(A48,Medical_Examinations[],9,FALSE)</f>
        <v>Obesity</v>
      </c>
      <c r="K48" t="str">
        <f>VLOOKUP(A48,Medical_Examinations[],10,FALSE)</f>
        <v>Normal</v>
      </c>
      <c r="M48">
        <f>VLOOKUP(A48,Hospitalisation_Details__2[],4,FALSE)</f>
        <v>43921.18</v>
      </c>
      <c r="N48" t="str">
        <f>VLOOKUP(A48,Hospitalisation_Details__2[],5,FALSE)</f>
        <v>tier - 2</v>
      </c>
      <c r="O48" t="str">
        <f>VLOOKUP(A48,Hospitalisation_Details__2[],6,FALSE)</f>
        <v>tier - 2</v>
      </c>
      <c r="P48" t="str">
        <f>VLOOKUP(A48,Hospitalisation_Details__2[],7,FALSE)</f>
        <v>R1012</v>
      </c>
    </row>
    <row r="49" spans="1:16" x14ac:dyDescent="0.35">
      <c r="A49" t="str">
        <v>Id48</v>
      </c>
      <c r="B49" t="str">
        <f>VLOOKUP(A49,'Customer Names (2)'!A:B, 2,FALSE)</f>
        <v>Ms</v>
      </c>
      <c r="C49">
        <f>VLOOKUP(A49,Medical_Examinations[],2,FALSE)</f>
        <v>40.369999999999997</v>
      </c>
      <c r="D49">
        <f>VLOOKUP(A49,Medical_Examinations[],3,FALSE)</f>
        <v>4.47</v>
      </c>
      <c r="E49" t="str">
        <f>VLOOKUP(A49,Medical_Examinations[],4,FALSE)</f>
        <v>No</v>
      </c>
      <c r="F49" t="str">
        <f>VLOOKUP(A49,Medical_Examinations[],5,FALSE)</f>
        <v>No</v>
      </c>
      <c r="G49" t="str">
        <f>VLOOKUP(A49,Medical_Examinations[],6,FALSE)</f>
        <v>No</v>
      </c>
      <c r="H49">
        <f>VLOOKUP(A49,Medical_Examinations[],7,FALSE)</f>
        <v>0</v>
      </c>
      <c r="I49" t="str">
        <f>VLOOKUP(A49,Medical_Examinations[],8,FALSE)</f>
        <v>Yes</v>
      </c>
      <c r="J49" t="str">
        <f>VLOOKUP(A49,Medical_Examinations[],9,FALSE)</f>
        <v>Obesity</v>
      </c>
      <c r="K49" t="str">
        <f>VLOOKUP(A49,Medical_Examinations[],10,FALSE)</f>
        <v>Normal</v>
      </c>
      <c r="M49">
        <f>VLOOKUP(A49,Hospitalisation_Details__2[],4,FALSE)</f>
        <v>43896.38</v>
      </c>
      <c r="N49" t="str">
        <f>VLOOKUP(A49,Hospitalisation_Details__2[],5,FALSE)</f>
        <v>tier - 2</v>
      </c>
      <c r="O49" t="str">
        <f>VLOOKUP(A49,Hospitalisation_Details__2[],6,FALSE)</f>
        <v>tier - 1</v>
      </c>
      <c r="P49" t="str">
        <f>VLOOKUP(A49,Hospitalisation_Details__2[],7,FALSE)</f>
        <v>R1013</v>
      </c>
    </row>
    <row r="50" spans="1:16" x14ac:dyDescent="0.35">
      <c r="A50" t="str">
        <v>Id49</v>
      </c>
      <c r="B50" t="str">
        <f>VLOOKUP(A50,'Customer Names (2)'!A:B, 2,FALSE)</f>
        <v>Mr</v>
      </c>
      <c r="C50">
        <f>VLOOKUP(A50,Medical_Examinations[],2,FALSE)</f>
        <v>53.09</v>
      </c>
      <c r="D50">
        <f>VLOOKUP(A50,Medical_Examinations[],3,FALSE)</f>
        <v>4.82</v>
      </c>
      <c r="E50" t="str">
        <f>VLOOKUP(A50,Medical_Examinations[],4,FALSE)</f>
        <v>Yes</v>
      </c>
      <c r="F50" t="str">
        <f>VLOOKUP(A50,Medical_Examinations[],5,FALSE)</f>
        <v>No</v>
      </c>
      <c r="G50" t="str">
        <f>VLOOKUP(A50,Medical_Examinations[],6,FALSE)</f>
        <v>No</v>
      </c>
      <c r="H50">
        <f>VLOOKUP(A50,Medical_Examinations[],7,FALSE)</f>
        <v>2</v>
      </c>
      <c r="I50" t="str">
        <f>VLOOKUP(A50,Medical_Examinations[],8,FALSE)</f>
        <v>Yes</v>
      </c>
      <c r="J50" t="str">
        <f>VLOOKUP(A50,Medical_Examinations[],9,FALSE)</f>
        <v>Obesity</v>
      </c>
      <c r="K50" t="str">
        <f>VLOOKUP(A50,Medical_Examinations[],10,FALSE)</f>
        <v>Normal</v>
      </c>
      <c r="M50">
        <f>VLOOKUP(A50,Hospitalisation_Details__2[],4,FALSE)</f>
        <v>43817.45</v>
      </c>
      <c r="N50" t="str">
        <f>VLOOKUP(A50,Hospitalisation_Details__2[],5,FALSE)</f>
        <v>tier - 2</v>
      </c>
      <c r="O50" t="str">
        <f>VLOOKUP(A50,Hospitalisation_Details__2[],6,FALSE)</f>
        <v>tier - 3</v>
      </c>
      <c r="P50" t="str">
        <f>VLOOKUP(A50,Hospitalisation_Details__2[],7,FALSE)</f>
        <v>R1012</v>
      </c>
    </row>
    <row r="51" spans="1:16" x14ac:dyDescent="0.35">
      <c r="A51" t="str">
        <v>Id50</v>
      </c>
      <c r="B51" t="str">
        <f>VLOOKUP(A51,'Customer Names (2)'!A:B, 2,FALSE)</f>
        <v>Mr</v>
      </c>
      <c r="C51">
        <f>VLOOKUP(A51,Medical_Examinations[],2,FALSE)</f>
        <v>31.79</v>
      </c>
      <c r="D51">
        <f>VLOOKUP(A51,Medical_Examinations[],3,FALSE)</f>
        <v>5.51</v>
      </c>
      <c r="E51" t="str">
        <f>VLOOKUP(A51,Medical_Examinations[],4,FALSE)</f>
        <v>Yes</v>
      </c>
      <c r="F51" t="str">
        <f>VLOOKUP(A51,Medical_Examinations[],5,FALSE)</f>
        <v>No</v>
      </c>
      <c r="G51" t="str">
        <f>VLOOKUP(A51,Medical_Examinations[],6,FALSE)</f>
        <v>No</v>
      </c>
      <c r="H51">
        <f>VLOOKUP(A51,Medical_Examinations[],7,FALSE)</f>
        <v>2</v>
      </c>
      <c r="I51" t="str">
        <f>VLOOKUP(A51,Medical_Examinations[],8,FALSE)</f>
        <v>Yes</v>
      </c>
      <c r="J51" t="str">
        <f>VLOOKUP(A51,Medical_Examinations[],9,FALSE)</f>
        <v>Obesity</v>
      </c>
      <c r="K51" t="str">
        <f>VLOOKUP(A51,Medical_Examinations[],10,FALSE)</f>
        <v>Normal</v>
      </c>
      <c r="M51">
        <f>VLOOKUP(A51,Hospitalisation_Details__2[],4,FALSE)</f>
        <v>43813.87</v>
      </c>
      <c r="N51" t="str">
        <f>VLOOKUP(A51,Hospitalisation_Details__2[],5,FALSE)</f>
        <v>tier - 2</v>
      </c>
      <c r="O51" t="str">
        <f>VLOOKUP(A51,Hospitalisation_Details__2[],6,FALSE)</f>
        <v>tier - 2</v>
      </c>
      <c r="P51" t="str">
        <f>VLOOKUP(A51,Hospitalisation_Details__2[],7,FALSE)</f>
        <v>R1013</v>
      </c>
    </row>
    <row r="52" spans="1:16" x14ac:dyDescent="0.35">
      <c r="A52" t="str">
        <v>Id51</v>
      </c>
      <c r="B52" t="str">
        <f>VLOOKUP(A52,'Customer Names (2)'!A:B, 2,FALSE)</f>
        <v>Mr</v>
      </c>
      <c r="C52">
        <f>VLOOKUP(A52,Medical_Examinations[],2,FALSE)</f>
        <v>41.895000000000003</v>
      </c>
      <c r="D52">
        <f>VLOOKUP(A52,Medical_Examinations[],3,FALSE)</f>
        <v>10.87</v>
      </c>
      <c r="E52" t="str">
        <f>VLOOKUP(A52,Medical_Examinations[],4,FALSE)</f>
        <v>Yes</v>
      </c>
      <c r="F52" t="str">
        <f>VLOOKUP(A52,Medical_Examinations[],5,FALSE)</f>
        <v>No</v>
      </c>
      <c r="G52" t="str">
        <f>VLOOKUP(A52,Medical_Examinations[],6,FALSE)</f>
        <v>No</v>
      </c>
      <c r="H52">
        <f>VLOOKUP(A52,Medical_Examinations[],7,FALSE)</f>
        <v>1</v>
      </c>
      <c r="I52" t="str">
        <f>VLOOKUP(A52,Medical_Examinations[],8,FALSE)</f>
        <v>Yes</v>
      </c>
      <c r="J52" t="str">
        <f>VLOOKUP(A52,Medical_Examinations[],9,FALSE)</f>
        <v>Obesity</v>
      </c>
      <c r="K52" t="str">
        <f>VLOOKUP(A52,Medical_Examinations[],10,FALSE)</f>
        <v>Diabetes</v>
      </c>
      <c r="M52">
        <f>VLOOKUP(A52,Hospitalisation_Details__2[],4,FALSE)</f>
        <v>43753.34</v>
      </c>
      <c r="N52" t="str">
        <f>VLOOKUP(A52,Hospitalisation_Details__2[],5,FALSE)</f>
        <v>tier - 2</v>
      </c>
      <c r="O52" t="str">
        <f>VLOOKUP(A52,Hospitalisation_Details__2[],6,FALSE)</f>
        <v>tier - 1</v>
      </c>
      <c r="P52" t="str">
        <f>VLOOKUP(A52,Hospitalisation_Details__2[],7,FALSE)</f>
        <v>R1015</v>
      </c>
    </row>
    <row r="53" spans="1:16" x14ac:dyDescent="0.35">
      <c r="A53" t="str">
        <v>Id52</v>
      </c>
      <c r="B53" t="str">
        <f>VLOOKUP(A53,'Customer Names (2)'!A:B, 2,FALSE)</f>
        <v>Ms</v>
      </c>
      <c r="C53">
        <f>VLOOKUP(A53,Medical_Examinations[],2,FALSE)</f>
        <v>31.16</v>
      </c>
      <c r="D53">
        <f>VLOOKUP(A53,Medical_Examinations[],3,FALSE)</f>
        <v>9.34</v>
      </c>
      <c r="E53" t="str">
        <f>VLOOKUP(A53,Medical_Examinations[],4,FALSE)</f>
        <v>No</v>
      </c>
      <c r="F53" t="str">
        <f>VLOOKUP(A53,Medical_Examinations[],5,FALSE)</f>
        <v>No</v>
      </c>
      <c r="G53" t="str">
        <f>VLOOKUP(A53,Medical_Examinations[],6,FALSE)</f>
        <v>No</v>
      </c>
      <c r="H53">
        <f>VLOOKUP(A53,Medical_Examinations[],7,FALSE)</f>
        <v>0</v>
      </c>
      <c r="I53" t="str">
        <f>VLOOKUP(A53,Medical_Examinations[],8,FALSE)</f>
        <v>Yes</v>
      </c>
      <c r="J53" t="str">
        <f>VLOOKUP(A53,Medical_Examinations[],9,FALSE)</f>
        <v>Obesity</v>
      </c>
      <c r="K53" t="str">
        <f>VLOOKUP(A53,Medical_Examinations[],10,FALSE)</f>
        <v>Diabetes</v>
      </c>
      <c r="M53">
        <f>VLOOKUP(A53,Hospitalisation_Details__2[],4,FALSE)</f>
        <v>43578.94</v>
      </c>
      <c r="N53" t="str">
        <f>VLOOKUP(A53,Hospitalisation_Details__2[],5,FALSE)</f>
        <v>tier - 2</v>
      </c>
      <c r="O53" t="str">
        <f>VLOOKUP(A53,Hospitalisation_Details__2[],6,FALSE)</f>
        <v>tier - 2</v>
      </c>
      <c r="P53" t="str">
        <f>VLOOKUP(A53,Hospitalisation_Details__2[],7,FALSE)</f>
        <v>R1012</v>
      </c>
    </row>
    <row r="54" spans="1:16" x14ac:dyDescent="0.35">
      <c r="A54" t="str">
        <v>Id53</v>
      </c>
      <c r="B54" t="str">
        <f>VLOOKUP(A54,'Customer Names (2)'!A:B, 2,FALSE)</f>
        <v>Mr</v>
      </c>
      <c r="C54">
        <f>VLOOKUP(A54,Medical_Examinations[],2,FALSE)</f>
        <v>34.104999999999997</v>
      </c>
      <c r="D54">
        <f>VLOOKUP(A54,Medical_Examinations[],3,FALSE)</f>
        <v>5.03</v>
      </c>
      <c r="E54" t="str">
        <f>VLOOKUP(A54,Medical_Examinations[],4,FALSE)</f>
        <v>Yes</v>
      </c>
      <c r="F54" t="str">
        <f>VLOOKUP(A54,Medical_Examinations[],5,FALSE)</f>
        <v>No</v>
      </c>
      <c r="G54" t="str">
        <f>VLOOKUP(A54,Medical_Examinations[],6,FALSE)</f>
        <v>Yes</v>
      </c>
      <c r="H54">
        <f>VLOOKUP(A54,Medical_Examinations[],7,FALSE)</f>
        <v>1</v>
      </c>
      <c r="I54" t="str">
        <f>VLOOKUP(A54,Medical_Examinations[],8,FALSE)</f>
        <v>Yes</v>
      </c>
      <c r="J54" t="str">
        <f>VLOOKUP(A54,Medical_Examinations[],9,FALSE)</f>
        <v>Obesity</v>
      </c>
      <c r="K54" t="str">
        <f>VLOOKUP(A54,Medical_Examinations[],10,FALSE)</f>
        <v>Normal</v>
      </c>
      <c r="M54">
        <f>VLOOKUP(A54,Hospitalisation_Details__2[],4,FALSE)</f>
        <v>43254.42</v>
      </c>
      <c r="N54" t="str">
        <f>VLOOKUP(A54,Hospitalisation_Details__2[],5,FALSE)</f>
        <v>tier - 2</v>
      </c>
      <c r="O54" t="str">
        <f>VLOOKUP(A54,Hospitalisation_Details__2[],6,FALSE)</f>
        <v>tier - 2</v>
      </c>
      <c r="P54" t="str">
        <f>VLOOKUP(A54,Hospitalisation_Details__2[],7,FALSE)</f>
        <v>R1016</v>
      </c>
    </row>
    <row r="55" spans="1:16" x14ac:dyDescent="0.35">
      <c r="A55" t="str">
        <v>Id54</v>
      </c>
      <c r="B55" t="str">
        <f>VLOOKUP(A55,'Customer Names (2)'!A:B, 2,FALSE)</f>
        <v>Mr</v>
      </c>
      <c r="C55">
        <f>VLOOKUP(A55,Medical_Examinations[],2,FALSE)</f>
        <v>51.93</v>
      </c>
      <c r="D55">
        <f>VLOOKUP(A55,Medical_Examinations[],3,FALSE)</f>
        <v>11.05</v>
      </c>
      <c r="E55" t="str">
        <f>VLOOKUP(A55,Medical_Examinations[],4,FALSE)</f>
        <v>No</v>
      </c>
      <c r="F55" t="str">
        <f>VLOOKUP(A55,Medical_Examinations[],5,FALSE)</f>
        <v>No</v>
      </c>
      <c r="G55" t="str">
        <f>VLOOKUP(A55,Medical_Examinations[],6,FALSE)</f>
        <v>No</v>
      </c>
      <c r="H55">
        <f>VLOOKUP(A55,Medical_Examinations[],7,FALSE)</f>
        <v>0</v>
      </c>
      <c r="I55" t="str">
        <f>VLOOKUP(A55,Medical_Examinations[],8,FALSE)</f>
        <v>Yes</v>
      </c>
      <c r="J55" t="str">
        <f>VLOOKUP(A55,Medical_Examinations[],9,FALSE)</f>
        <v>Obesity</v>
      </c>
      <c r="K55" t="str">
        <f>VLOOKUP(A55,Medical_Examinations[],10,FALSE)</f>
        <v>Diabetes</v>
      </c>
      <c r="M55">
        <f>VLOOKUP(A55,Hospitalisation_Details__2[],4,FALSE)</f>
        <v>43073.760000000002</v>
      </c>
      <c r="N55" t="str">
        <f>VLOOKUP(A55,Hospitalisation_Details__2[],5,FALSE)</f>
        <v>tier - 2</v>
      </c>
      <c r="O55" t="str">
        <f>VLOOKUP(A55,Hospitalisation_Details__2[],6,FALSE)</f>
        <v>tier - 2</v>
      </c>
      <c r="P55" t="str">
        <f>VLOOKUP(A55,Hospitalisation_Details__2[],7,FALSE)</f>
        <v>R1011</v>
      </c>
    </row>
    <row r="56" spans="1:16" x14ac:dyDescent="0.35">
      <c r="A56" t="str">
        <v>Id55</v>
      </c>
      <c r="B56" t="str">
        <f>VLOOKUP(A56,'Customer Names (2)'!A:B, 2,FALSE)</f>
        <v>Ms</v>
      </c>
      <c r="C56">
        <f>VLOOKUP(A56,Medical_Examinations[],2,FALSE)</f>
        <v>38.950000000000003</v>
      </c>
      <c r="D56">
        <f>VLOOKUP(A56,Medical_Examinations[],3,FALSE)</f>
        <v>11.95</v>
      </c>
      <c r="E56" t="str">
        <f>VLOOKUP(A56,Medical_Examinations[],4,FALSE)</f>
        <v>No</v>
      </c>
      <c r="F56" t="str">
        <f>VLOOKUP(A56,Medical_Examinations[],5,FALSE)</f>
        <v>No</v>
      </c>
      <c r="G56" t="str">
        <f>VLOOKUP(A56,Medical_Examinations[],6,FALSE)</f>
        <v>No</v>
      </c>
      <c r="H56">
        <f>VLOOKUP(A56,Medical_Examinations[],7,FALSE)</f>
        <v>0</v>
      </c>
      <c r="I56" t="str">
        <f>VLOOKUP(A56,Medical_Examinations[],8,FALSE)</f>
        <v>Yes</v>
      </c>
      <c r="J56" t="str">
        <f>VLOOKUP(A56,Medical_Examinations[],9,FALSE)</f>
        <v>Obesity</v>
      </c>
      <c r="K56" t="str">
        <f>VLOOKUP(A56,Medical_Examinations[],10,FALSE)</f>
        <v>Diabetes</v>
      </c>
      <c r="M56">
        <f>VLOOKUP(A56,Hospitalisation_Details__2[],4,FALSE)</f>
        <v>42983.46</v>
      </c>
      <c r="N56" t="str">
        <f>VLOOKUP(A56,Hospitalisation_Details__2[],5,FALSE)</f>
        <v>tier - 1</v>
      </c>
      <c r="O56" t="str">
        <f>VLOOKUP(A56,Hospitalisation_Details__2[],6,FALSE)</f>
        <v>tier - 2</v>
      </c>
      <c r="P56" t="str">
        <f>VLOOKUP(A56,Hospitalisation_Details__2[],7,FALSE)</f>
        <v>R1012</v>
      </c>
    </row>
    <row r="57" spans="1:16" x14ac:dyDescent="0.35">
      <c r="A57" t="str">
        <v>Id56</v>
      </c>
      <c r="B57" t="str">
        <f>VLOOKUP(A57,'Customer Names (2)'!A:B, 2,FALSE)</f>
        <v>Ms</v>
      </c>
      <c r="C57">
        <f>VLOOKUP(A57,Medical_Examinations[],2,FALSE)</f>
        <v>36.630000000000003</v>
      </c>
      <c r="D57">
        <f>VLOOKUP(A57,Medical_Examinations[],3,FALSE)</f>
        <v>7.72</v>
      </c>
      <c r="E57" t="str">
        <f>VLOOKUP(A57,Medical_Examinations[],4,FALSE)</f>
        <v>Yes</v>
      </c>
      <c r="F57" t="str">
        <f>VLOOKUP(A57,Medical_Examinations[],5,FALSE)</f>
        <v>No</v>
      </c>
      <c r="G57" t="str">
        <f>VLOOKUP(A57,Medical_Examinations[],6,FALSE)</f>
        <v>No</v>
      </c>
      <c r="H57">
        <f>VLOOKUP(A57,Medical_Examinations[],7,FALSE)</f>
        <v>1</v>
      </c>
      <c r="I57" t="str">
        <f>VLOOKUP(A57,Medical_Examinations[],8,FALSE)</f>
        <v>Yes</v>
      </c>
      <c r="J57" t="str">
        <f>VLOOKUP(A57,Medical_Examinations[],9,FALSE)</f>
        <v>Obesity</v>
      </c>
      <c r="K57" t="str">
        <f>VLOOKUP(A57,Medical_Examinations[],10,FALSE)</f>
        <v>Diabetes</v>
      </c>
      <c r="M57">
        <f>VLOOKUP(A57,Hospitalisation_Details__2[],4,FALSE)</f>
        <v>42969.85</v>
      </c>
      <c r="N57" t="str">
        <f>VLOOKUP(A57,Hospitalisation_Details__2[],5,FALSE)</f>
        <v>tier - 1</v>
      </c>
      <c r="O57" t="str">
        <f>VLOOKUP(A57,Hospitalisation_Details__2[],6,FALSE)</f>
        <v>tier - 3</v>
      </c>
      <c r="P57" t="str">
        <f>VLOOKUP(A57,Hospitalisation_Details__2[],7,FALSE)</f>
        <v>R1013</v>
      </c>
    </row>
    <row r="58" spans="1:16" x14ac:dyDescent="0.35">
      <c r="A58" t="str">
        <v>Id57</v>
      </c>
      <c r="B58" t="str">
        <f>VLOOKUP(A58,'Customer Names (2)'!A:B, 2,FALSE)</f>
        <v>Mr</v>
      </c>
      <c r="C58">
        <f>VLOOKUP(A58,Medical_Examinations[],2,FALSE)</f>
        <v>34.200000000000003</v>
      </c>
      <c r="D58">
        <f>VLOOKUP(A58,Medical_Examinations[],3,FALSE)</f>
        <v>5.75</v>
      </c>
      <c r="E58" t="str">
        <f>VLOOKUP(A58,Medical_Examinations[],4,FALSE)</f>
        <v>No</v>
      </c>
      <c r="F58" t="str">
        <f>VLOOKUP(A58,Medical_Examinations[],5,FALSE)</f>
        <v>No</v>
      </c>
      <c r="G58" t="str">
        <f>VLOOKUP(A58,Medical_Examinations[],6,FALSE)</f>
        <v>No</v>
      </c>
      <c r="H58">
        <f>VLOOKUP(A58,Medical_Examinations[],7,FALSE)</f>
        <v>2</v>
      </c>
      <c r="I58" t="str">
        <f>VLOOKUP(A58,Medical_Examinations[],8,FALSE)</f>
        <v>Yes</v>
      </c>
      <c r="J58" t="str">
        <f>VLOOKUP(A58,Medical_Examinations[],9,FALSE)</f>
        <v>Obesity</v>
      </c>
      <c r="K58" t="str">
        <f>VLOOKUP(A58,Medical_Examinations[],10,FALSE)</f>
        <v>Prediabetes</v>
      </c>
      <c r="M58">
        <f>VLOOKUP(A58,Hospitalisation_Details__2[],4,FALSE)</f>
        <v>42856.84</v>
      </c>
      <c r="N58" t="str">
        <f>VLOOKUP(A58,Hospitalisation_Details__2[],5,FALSE)</f>
        <v>tier - 1</v>
      </c>
      <c r="O58" t="str">
        <f>VLOOKUP(A58,Hospitalisation_Details__2[],6,FALSE)</f>
        <v>tier - 1</v>
      </c>
      <c r="P58" t="str">
        <f>VLOOKUP(A58,Hospitalisation_Details__2[],7,FALSE)</f>
        <v>R1011</v>
      </c>
    </row>
    <row r="59" spans="1:16" x14ac:dyDescent="0.35">
      <c r="A59" t="str">
        <v>Id58</v>
      </c>
      <c r="B59" t="str">
        <f>VLOOKUP(A59,'Customer Names (2)'!A:B, 2,FALSE)</f>
        <v>Ms</v>
      </c>
      <c r="C59">
        <f>VLOOKUP(A59,Medical_Examinations[],2,FALSE)</f>
        <v>50.63</v>
      </c>
      <c r="D59">
        <f>VLOOKUP(A59,Medical_Examinations[],3,FALSE)</f>
        <v>11.89</v>
      </c>
      <c r="E59" t="str">
        <f>VLOOKUP(A59,Medical_Examinations[],4,FALSE)</f>
        <v>No</v>
      </c>
      <c r="F59" t="str">
        <f>VLOOKUP(A59,Medical_Examinations[],5,FALSE)</f>
        <v>No</v>
      </c>
      <c r="G59" t="str">
        <f>VLOOKUP(A59,Medical_Examinations[],6,FALSE)</f>
        <v>No</v>
      </c>
      <c r="H59">
        <f>VLOOKUP(A59,Medical_Examinations[],7,FALSE)</f>
        <v>0</v>
      </c>
      <c r="I59" t="str">
        <f>VLOOKUP(A59,Medical_Examinations[],8,FALSE)</f>
        <v>Yes</v>
      </c>
      <c r="J59" t="str">
        <f>VLOOKUP(A59,Medical_Examinations[],9,FALSE)</f>
        <v>Obesity</v>
      </c>
      <c r="K59" t="str">
        <f>VLOOKUP(A59,Medical_Examinations[],10,FALSE)</f>
        <v>Diabetes</v>
      </c>
      <c r="M59">
        <f>VLOOKUP(A59,Hospitalisation_Details__2[],4,FALSE)</f>
        <v>42764.12</v>
      </c>
      <c r="N59" t="str">
        <f>VLOOKUP(A59,Hospitalisation_Details__2[],5,FALSE)</f>
        <v>tier - 1</v>
      </c>
      <c r="O59" t="str">
        <f>VLOOKUP(A59,Hospitalisation_Details__2[],6,FALSE)</f>
        <v>tier - 2</v>
      </c>
      <c r="P59" t="str">
        <f>VLOOKUP(A59,Hospitalisation_Details__2[],7,FALSE)</f>
        <v>R1011</v>
      </c>
    </row>
    <row r="60" spans="1:16" x14ac:dyDescent="0.35">
      <c r="A60" t="str">
        <v>Id59</v>
      </c>
      <c r="B60" t="str">
        <f>VLOOKUP(A60,'Customer Names (2)'!A:B, 2,FALSE)</f>
        <v>Mr</v>
      </c>
      <c r="C60">
        <f>VLOOKUP(A60,Medical_Examinations[],2,FALSE)</f>
        <v>36.479999999999997</v>
      </c>
      <c r="D60">
        <f>VLOOKUP(A60,Medical_Examinations[],3,FALSE)</f>
        <v>6.2</v>
      </c>
      <c r="E60" t="str">
        <f>VLOOKUP(A60,Medical_Examinations[],4,FALSE)</f>
        <v>No</v>
      </c>
      <c r="F60" t="str">
        <f>VLOOKUP(A60,Medical_Examinations[],5,FALSE)</f>
        <v>No</v>
      </c>
      <c r="G60" t="str">
        <f>VLOOKUP(A60,Medical_Examinations[],6,FALSE)</f>
        <v>No</v>
      </c>
      <c r="H60">
        <f>VLOOKUP(A60,Medical_Examinations[],7,FALSE)</f>
        <v>0</v>
      </c>
      <c r="I60" t="str">
        <f>VLOOKUP(A60,Medical_Examinations[],8,FALSE)</f>
        <v>Yes</v>
      </c>
      <c r="J60" t="str">
        <f>VLOOKUP(A60,Medical_Examinations[],9,FALSE)</f>
        <v>Obesity</v>
      </c>
      <c r="K60" t="str">
        <f>VLOOKUP(A60,Medical_Examinations[],10,FALSE)</f>
        <v>Prediabetes</v>
      </c>
      <c r="M60">
        <f>VLOOKUP(A60,Hospitalisation_Details__2[],4,FALSE)</f>
        <v>42760.5</v>
      </c>
      <c r="N60" t="str">
        <f>VLOOKUP(A60,Hospitalisation_Details__2[],5,FALSE)</f>
        <v>tier - 1</v>
      </c>
      <c r="O60" t="str">
        <f>VLOOKUP(A60,Hospitalisation_Details__2[],6,FALSE)</f>
        <v>tier - 2</v>
      </c>
      <c r="P60" t="str">
        <f>VLOOKUP(A60,Hospitalisation_Details__2[],7,FALSE)</f>
        <v>R1012</v>
      </c>
    </row>
    <row r="61" spans="1:16" x14ac:dyDescent="0.35">
      <c r="A61" t="str">
        <v>Id60</v>
      </c>
      <c r="B61" t="str">
        <f>VLOOKUP(A61,'Customer Names (2)'!A:B, 2,FALSE)</f>
        <v>Ms</v>
      </c>
      <c r="C61">
        <f>VLOOKUP(A61,Medical_Examinations[],2,FALSE)</f>
        <v>54.82</v>
      </c>
      <c r="D61">
        <f>VLOOKUP(A61,Medical_Examinations[],3,FALSE)</f>
        <v>10.61</v>
      </c>
      <c r="E61" t="str">
        <f>VLOOKUP(A61,Medical_Examinations[],4,FALSE)</f>
        <v>No</v>
      </c>
      <c r="F61" t="str">
        <f>VLOOKUP(A61,Medical_Examinations[],5,FALSE)</f>
        <v>No</v>
      </c>
      <c r="G61" t="str">
        <f>VLOOKUP(A61,Medical_Examinations[],6,FALSE)</f>
        <v>No</v>
      </c>
      <c r="H61">
        <f>VLOOKUP(A61,Medical_Examinations[],7,FALSE)</f>
        <v>0</v>
      </c>
      <c r="I61" t="str">
        <f>VLOOKUP(A61,Medical_Examinations[],8,FALSE)</f>
        <v>Yes</v>
      </c>
      <c r="J61" t="str">
        <f>VLOOKUP(A61,Medical_Examinations[],9,FALSE)</f>
        <v>Obesity</v>
      </c>
      <c r="K61" t="str">
        <f>VLOOKUP(A61,Medical_Examinations[],10,FALSE)</f>
        <v>Diabetes</v>
      </c>
      <c r="M61">
        <f>VLOOKUP(A61,Hospitalisation_Details__2[],4,FALSE)</f>
        <v>42644.2</v>
      </c>
      <c r="N61" t="str">
        <f>VLOOKUP(A61,Hospitalisation_Details__2[],5,FALSE)</f>
        <v>tier - 1</v>
      </c>
      <c r="O61" t="str">
        <f>VLOOKUP(A61,Hospitalisation_Details__2[],6,FALSE)</f>
        <v>tier - 3</v>
      </c>
      <c r="P61" t="str">
        <f>VLOOKUP(A61,Hospitalisation_Details__2[],7,FALSE)</f>
        <v>R1011</v>
      </c>
    </row>
    <row r="62" spans="1:16" x14ac:dyDescent="0.35">
      <c r="A62" t="str">
        <v>Id61</v>
      </c>
      <c r="B62" t="str">
        <f>VLOOKUP(A62,'Customer Names (2)'!A:B, 2,FALSE)</f>
        <v>Mr</v>
      </c>
      <c r="C62">
        <f>VLOOKUP(A62,Medical_Examinations[],2,FALSE)</f>
        <v>38.06</v>
      </c>
      <c r="D62">
        <f>VLOOKUP(A62,Medical_Examinations[],3,FALSE)</f>
        <v>6.04</v>
      </c>
      <c r="E62" t="str">
        <f>VLOOKUP(A62,Medical_Examinations[],4,FALSE)</f>
        <v>No</v>
      </c>
      <c r="F62" t="str">
        <f>VLOOKUP(A62,Medical_Examinations[],5,FALSE)</f>
        <v>No</v>
      </c>
      <c r="G62" t="str">
        <f>VLOOKUP(A62,Medical_Examinations[],6,FALSE)</f>
        <v>Yes</v>
      </c>
      <c r="H62">
        <f>VLOOKUP(A62,Medical_Examinations[],7,FALSE)</f>
        <v>1</v>
      </c>
      <c r="I62" t="str">
        <f>VLOOKUP(A62,Medical_Examinations[],8,FALSE)</f>
        <v>Yes</v>
      </c>
      <c r="J62" t="str">
        <f>VLOOKUP(A62,Medical_Examinations[],9,FALSE)</f>
        <v>Obesity</v>
      </c>
      <c r="K62" t="str">
        <f>VLOOKUP(A62,Medical_Examinations[],10,FALSE)</f>
        <v>Prediabetes</v>
      </c>
      <c r="M62">
        <f>VLOOKUP(A62,Hospitalisation_Details__2[],4,FALSE)</f>
        <v>42560.43</v>
      </c>
      <c r="N62" t="str">
        <f>VLOOKUP(A62,Hospitalisation_Details__2[],5,FALSE)</f>
        <v>tier - 1</v>
      </c>
      <c r="O62" t="str">
        <f>VLOOKUP(A62,Hospitalisation_Details__2[],6,FALSE)</f>
        <v>tier - 3</v>
      </c>
      <c r="P62" t="str">
        <f>VLOOKUP(A62,Hospitalisation_Details__2[],7,FALSE)</f>
        <v>R1013</v>
      </c>
    </row>
    <row r="63" spans="1:16" x14ac:dyDescent="0.35">
      <c r="A63" t="str">
        <v>Id62</v>
      </c>
      <c r="B63" t="str">
        <f>VLOOKUP(A63,'Customer Names (2)'!A:B, 2,FALSE)</f>
        <v>Ms</v>
      </c>
      <c r="C63">
        <f>VLOOKUP(A63,Medical_Examinations[],2,FALSE)</f>
        <v>51.48</v>
      </c>
      <c r="D63">
        <f>VLOOKUP(A63,Medical_Examinations[],3,FALSE)</f>
        <v>9.33</v>
      </c>
      <c r="E63" t="str">
        <f>VLOOKUP(A63,Medical_Examinations[],4,FALSE)</f>
        <v>Yes</v>
      </c>
      <c r="F63" t="str">
        <f>VLOOKUP(A63,Medical_Examinations[],5,FALSE)</f>
        <v>No</v>
      </c>
      <c r="G63" t="str">
        <f>VLOOKUP(A63,Medical_Examinations[],6,FALSE)</f>
        <v>No</v>
      </c>
      <c r="H63">
        <f>VLOOKUP(A63,Medical_Examinations[],7,FALSE)</f>
        <v>0</v>
      </c>
      <c r="I63" t="str">
        <f>VLOOKUP(A63,Medical_Examinations[],8,FALSE)</f>
        <v>Yes</v>
      </c>
      <c r="J63" t="str">
        <f>VLOOKUP(A63,Medical_Examinations[],9,FALSE)</f>
        <v>Obesity</v>
      </c>
      <c r="K63" t="str">
        <f>VLOOKUP(A63,Medical_Examinations[],10,FALSE)</f>
        <v>Diabetes</v>
      </c>
      <c r="M63">
        <f>VLOOKUP(A63,Hospitalisation_Details__2[],4,FALSE)</f>
        <v>42538.720000000001</v>
      </c>
      <c r="N63" t="str">
        <f>VLOOKUP(A63,Hospitalisation_Details__2[],5,FALSE)</f>
        <v>tier - 1</v>
      </c>
      <c r="O63" t="str">
        <f>VLOOKUP(A63,Hospitalisation_Details__2[],6,FALSE)</f>
        <v>tier - 3</v>
      </c>
      <c r="P63" t="str">
        <f>VLOOKUP(A63,Hospitalisation_Details__2[],7,FALSE)</f>
        <v>R1011</v>
      </c>
    </row>
    <row r="64" spans="1:16" x14ac:dyDescent="0.35">
      <c r="A64" t="str">
        <v>Id63</v>
      </c>
      <c r="B64" t="str">
        <f>VLOOKUP(A64,'Customer Names (2)'!A:B, 2,FALSE)</f>
        <v>Ms</v>
      </c>
      <c r="C64">
        <f>VLOOKUP(A64,Medical_Examinations[],2,FALSE)</f>
        <v>52.06</v>
      </c>
      <c r="D64">
        <f>VLOOKUP(A64,Medical_Examinations[],3,FALSE)</f>
        <v>11.47</v>
      </c>
      <c r="E64" t="str">
        <f>VLOOKUP(A64,Medical_Examinations[],4,FALSE)</f>
        <v>No</v>
      </c>
      <c r="F64" t="str">
        <f>VLOOKUP(A64,Medical_Examinations[],5,FALSE)</f>
        <v>No</v>
      </c>
      <c r="G64" t="str">
        <f>VLOOKUP(A64,Medical_Examinations[],6,FALSE)</f>
        <v>No</v>
      </c>
      <c r="H64">
        <f>VLOOKUP(A64,Medical_Examinations[],7,FALSE)</f>
        <v>0</v>
      </c>
      <c r="I64" t="str">
        <f>VLOOKUP(A64,Medical_Examinations[],8,FALSE)</f>
        <v>Yes</v>
      </c>
      <c r="J64" t="str">
        <f>VLOOKUP(A64,Medical_Examinations[],9,FALSE)</f>
        <v>Obesity</v>
      </c>
      <c r="K64" t="str">
        <f>VLOOKUP(A64,Medical_Examinations[],10,FALSE)</f>
        <v>Diabetes</v>
      </c>
      <c r="M64">
        <f>VLOOKUP(A64,Hospitalisation_Details__2[],4,FALSE)</f>
        <v>42478.6</v>
      </c>
      <c r="N64" t="str">
        <f>VLOOKUP(A64,Hospitalisation_Details__2[],5,FALSE)</f>
        <v>tier - 1</v>
      </c>
      <c r="O64" t="str">
        <f>VLOOKUP(A64,Hospitalisation_Details__2[],6,FALSE)</f>
        <v>tier - 2</v>
      </c>
      <c r="P64" t="str">
        <f>VLOOKUP(A64,Hospitalisation_Details__2[],7,FALSE)</f>
        <v>R1011</v>
      </c>
    </row>
    <row r="65" spans="1:16" x14ac:dyDescent="0.35">
      <c r="A65" t="str">
        <v>Id64</v>
      </c>
      <c r="B65" t="str">
        <f>VLOOKUP(A65,'Customer Names (2)'!A:B, 2,FALSE)</f>
        <v>Mr</v>
      </c>
      <c r="C65">
        <f>VLOOKUP(A65,Medical_Examinations[],2,FALSE)</f>
        <v>30.684999999999999</v>
      </c>
      <c r="D65">
        <f>VLOOKUP(A65,Medical_Examinations[],3,FALSE)</f>
        <v>7.02</v>
      </c>
      <c r="E65" t="str">
        <f>VLOOKUP(A65,Medical_Examinations[],4,FALSE)</f>
        <v>Yes</v>
      </c>
      <c r="F65" t="str">
        <f>VLOOKUP(A65,Medical_Examinations[],5,FALSE)</f>
        <v>No</v>
      </c>
      <c r="G65" t="str">
        <f>VLOOKUP(A65,Medical_Examinations[],6,FALSE)</f>
        <v>No</v>
      </c>
      <c r="H65">
        <f>VLOOKUP(A65,Medical_Examinations[],7,FALSE)</f>
        <v>0</v>
      </c>
      <c r="I65" t="str">
        <f>VLOOKUP(A65,Medical_Examinations[],8,FALSE)</f>
        <v>Yes</v>
      </c>
      <c r="J65" t="str">
        <f>VLOOKUP(A65,Medical_Examinations[],9,FALSE)</f>
        <v>Obesity</v>
      </c>
      <c r="K65" t="str">
        <f>VLOOKUP(A65,Medical_Examinations[],10,FALSE)</f>
        <v>Diabetes</v>
      </c>
      <c r="M65">
        <f>VLOOKUP(A65,Hospitalisation_Details__2[],4,FALSE)</f>
        <v>42303.69</v>
      </c>
      <c r="N65" t="str">
        <f>VLOOKUP(A65,Hospitalisation_Details__2[],5,FALSE)</f>
        <v>tier - 1</v>
      </c>
      <c r="O65" t="str">
        <f>VLOOKUP(A65,Hospitalisation_Details__2[],6,FALSE)</f>
        <v>tier - 2</v>
      </c>
      <c r="P65" t="str">
        <f>VLOOKUP(A65,Hospitalisation_Details__2[],7,FALSE)</f>
        <v>R1016</v>
      </c>
    </row>
    <row r="66" spans="1:16" x14ac:dyDescent="0.35">
      <c r="A66" t="str">
        <v>Id65</v>
      </c>
      <c r="B66" t="str">
        <f>VLOOKUP(A66,'Customer Names (2)'!A:B, 2,FALSE)</f>
        <v>Mr</v>
      </c>
      <c r="C66">
        <f>VLOOKUP(A66,Medical_Examinations[],2,FALSE)</f>
        <v>36.08</v>
      </c>
      <c r="D66">
        <f>VLOOKUP(A66,Medical_Examinations[],3,FALSE)</f>
        <v>8.8000000000000007</v>
      </c>
      <c r="E66" t="str">
        <f>VLOOKUP(A66,Medical_Examinations[],4,FALSE)</f>
        <v>Yes</v>
      </c>
      <c r="F66" t="str">
        <f>VLOOKUP(A66,Medical_Examinations[],5,FALSE)</f>
        <v>No</v>
      </c>
      <c r="G66" t="str">
        <f>VLOOKUP(A66,Medical_Examinations[],6,FALSE)</f>
        <v>No</v>
      </c>
      <c r="H66">
        <f>VLOOKUP(A66,Medical_Examinations[],7,FALSE)</f>
        <v>1</v>
      </c>
      <c r="I66" t="str">
        <f>VLOOKUP(A66,Medical_Examinations[],8,FALSE)</f>
        <v>Yes</v>
      </c>
      <c r="J66" t="str">
        <f>VLOOKUP(A66,Medical_Examinations[],9,FALSE)</f>
        <v>Obesity</v>
      </c>
      <c r="K66" t="str">
        <f>VLOOKUP(A66,Medical_Examinations[],10,FALSE)</f>
        <v>Diabetes</v>
      </c>
      <c r="M66">
        <f>VLOOKUP(A66,Hospitalisation_Details__2[],4,FALSE)</f>
        <v>42211.14</v>
      </c>
      <c r="N66" t="str">
        <f>VLOOKUP(A66,Hospitalisation_Details__2[],5,FALSE)</f>
        <v>tier - 1</v>
      </c>
      <c r="O66" t="str">
        <f>VLOOKUP(A66,Hospitalisation_Details__2[],6,FALSE)</f>
        <v>tier - 3</v>
      </c>
      <c r="P66" t="str">
        <f>VLOOKUP(A66,Hospitalisation_Details__2[],7,FALSE)</f>
        <v>R1013</v>
      </c>
    </row>
    <row r="67" spans="1:16" x14ac:dyDescent="0.35">
      <c r="A67" t="str">
        <v>Id66</v>
      </c>
      <c r="B67" t="str">
        <f>VLOOKUP(A67,'Customer Names (2)'!A:B, 2,FALSE)</f>
        <v>Ms</v>
      </c>
      <c r="C67">
        <f>VLOOKUP(A67,Medical_Examinations[],2,FALSE)</f>
        <v>54.99</v>
      </c>
      <c r="D67">
        <f>VLOOKUP(A67,Medical_Examinations[],3,FALSE)</f>
        <v>8.68</v>
      </c>
      <c r="E67" t="str">
        <f>VLOOKUP(A67,Medical_Examinations[],4,FALSE)</f>
        <v>No</v>
      </c>
      <c r="F67" t="str">
        <f>VLOOKUP(A67,Medical_Examinations[],5,FALSE)</f>
        <v>No</v>
      </c>
      <c r="G67" t="str">
        <f>VLOOKUP(A67,Medical_Examinations[],6,FALSE)</f>
        <v>No</v>
      </c>
      <c r="H67">
        <f>VLOOKUP(A67,Medical_Examinations[],7,FALSE)</f>
        <v>2</v>
      </c>
      <c r="I67" t="str">
        <f>VLOOKUP(A67,Medical_Examinations[],8,FALSE)</f>
        <v>Yes</v>
      </c>
      <c r="J67" t="str">
        <f>VLOOKUP(A67,Medical_Examinations[],9,FALSE)</f>
        <v>Obesity</v>
      </c>
      <c r="K67" t="str">
        <f>VLOOKUP(A67,Medical_Examinations[],10,FALSE)</f>
        <v>Diabetes</v>
      </c>
      <c r="M67">
        <f>VLOOKUP(A67,Hospitalisation_Details__2[],4,FALSE)</f>
        <v>42188.15</v>
      </c>
      <c r="N67" t="str">
        <f>VLOOKUP(A67,Hospitalisation_Details__2[],5,FALSE)</f>
        <v>tier - 1</v>
      </c>
      <c r="O67" t="str">
        <f>VLOOKUP(A67,Hospitalisation_Details__2[],6,FALSE)</f>
        <v>tier - 1</v>
      </c>
      <c r="P67" t="str">
        <f>VLOOKUP(A67,Hospitalisation_Details__2[],7,FALSE)</f>
        <v>R1011</v>
      </c>
    </row>
    <row r="68" spans="1:16" x14ac:dyDescent="0.35">
      <c r="A68" t="str">
        <v>Id67</v>
      </c>
      <c r="B68" t="str">
        <f>VLOOKUP(A68,'Customer Names (2)'!A:B, 2,FALSE)</f>
        <v>Mr</v>
      </c>
      <c r="C68">
        <f>VLOOKUP(A68,Medical_Examinations[],2,FALSE)</f>
        <v>35.97</v>
      </c>
      <c r="D68">
        <f>VLOOKUP(A68,Medical_Examinations[],3,FALSE)</f>
        <v>6.12</v>
      </c>
      <c r="E68" t="str">
        <f>VLOOKUP(A68,Medical_Examinations[],4,FALSE)</f>
        <v>No</v>
      </c>
      <c r="F68" t="str">
        <f>VLOOKUP(A68,Medical_Examinations[],5,FALSE)</f>
        <v>No</v>
      </c>
      <c r="G68" t="str">
        <f>VLOOKUP(A68,Medical_Examinations[],6,FALSE)</f>
        <v>Yes</v>
      </c>
      <c r="H68">
        <f>VLOOKUP(A68,Medical_Examinations[],7,FALSE)</f>
        <v>1</v>
      </c>
      <c r="I68" t="str">
        <f>VLOOKUP(A68,Medical_Examinations[],8,FALSE)</f>
        <v>Yes</v>
      </c>
      <c r="J68" t="str">
        <f>VLOOKUP(A68,Medical_Examinations[],9,FALSE)</f>
        <v>Obesity</v>
      </c>
      <c r="K68" t="str">
        <f>VLOOKUP(A68,Medical_Examinations[],10,FALSE)</f>
        <v>Prediabetes</v>
      </c>
      <c r="M68">
        <f>VLOOKUP(A68,Hospitalisation_Details__2[],4,FALSE)</f>
        <v>42124.52</v>
      </c>
      <c r="N68" t="str">
        <f>VLOOKUP(A68,Hospitalisation_Details__2[],5,FALSE)</f>
        <v>tier - 1</v>
      </c>
      <c r="O68" t="str">
        <f>VLOOKUP(A68,Hospitalisation_Details__2[],6,FALSE)</f>
        <v>tier - 1</v>
      </c>
      <c r="P68" t="str">
        <f>VLOOKUP(A68,Hospitalisation_Details__2[],7,FALSE)</f>
        <v>R1013</v>
      </c>
    </row>
    <row r="69" spans="1:16" x14ac:dyDescent="0.35">
      <c r="A69" t="str">
        <v>Id68</v>
      </c>
      <c r="B69" t="str">
        <f>VLOOKUP(A69,'Customer Names (2)'!A:B, 2,FALSE)</f>
        <v>Mr</v>
      </c>
      <c r="C69">
        <f>VLOOKUP(A69,Medical_Examinations[],2,FALSE)</f>
        <v>45.54</v>
      </c>
      <c r="D69">
        <f>VLOOKUP(A69,Medical_Examinations[],3,FALSE)</f>
        <v>5.4</v>
      </c>
      <c r="E69" t="str">
        <f>VLOOKUP(A69,Medical_Examinations[],4,FALSE)</f>
        <v>Yes</v>
      </c>
      <c r="F69" t="str">
        <f>VLOOKUP(A69,Medical_Examinations[],5,FALSE)</f>
        <v>No</v>
      </c>
      <c r="G69" t="str">
        <f>VLOOKUP(A69,Medical_Examinations[],6,FALSE)</f>
        <v>Yes</v>
      </c>
      <c r="H69">
        <f>VLOOKUP(A69,Medical_Examinations[],7,FALSE)</f>
        <v>1</v>
      </c>
      <c r="I69" t="str">
        <f>VLOOKUP(A69,Medical_Examinations[],8,FALSE)</f>
        <v>Yes</v>
      </c>
      <c r="J69" t="str">
        <f>VLOOKUP(A69,Medical_Examinations[],9,FALSE)</f>
        <v>Obesity</v>
      </c>
      <c r="K69" t="str">
        <f>VLOOKUP(A69,Medical_Examinations[],10,FALSE)</f>
        <v>Normal</v>
      </c>
      <c r="M69">
        <f>VLOOKUP(A69,Hospitalisation_Details__2[],4,FALSE)</f>
        <v>42112.24</v>
      </c>
      <c r="N69" t="str">
        <f>VLOOKUP(A69,Hospitalisation_Details__2[],5,FALSE)</f>
        <v>tier - 1</v>
      </c>
      <c r="O69" t="str">
        <f>VLOOKUP(A69,Hospitalisation_Details__2[],6,FALSE)</f>
        <v>tier - 3</v>
      </c>
      <c r="P69" t="str">
        <f>VLOOKUP(A69,Hospitalisation_Details__2[],7,FALSE)</f>
        <v>R1013</v>
      </c>
    </row>
    <row r="70" spans="1:16" x14ac:dyDescent="0.35">
      <c r="A70" t="str">
        <v>Id69</v>
      </c>
      <c r="B70" t="str">
        <f>VLOOKUP(A70,'Customer Names (2)'!A:B, 2,FALSE)</f>
        <v>Ms</v>
      </c>
      <c r="C70">
        <f>VLOOKUP(A70,Medical_Examinations[],2,FALSE)</f>
        <v>35.53</v>
      </c>
      <c r="D70">
        <f>VLOOKUP(A70,Medical_Examinations[],3,FALSE)</f>
        <v>4.3600000000000003</v>
      </c>
      <c r="E70" t="str">
        <f>VLOOKUP(A70,Medical_Examinations[],4,FALSE)</f>
        <v>Yes</v>
      </c>
      <c r="F70" t="str">
        <f>VLOOKUP(A70,Medical_Examinations[],5,FALSE)</f>
        <v>No</v>
      </c>
      <c r="G70" t="str">
        <f>VLOOKUP(A70,Medical_Examinations[],6,FALSE)</f>
        <v>No</v>
      </c>
      <c r="H70">
        <f>VLOOKUP(A70,Medical_Examinations[],7,FALSE)</f>
        <v>0</v>
      </c>
      <c r="I70" t="str">
        <f>VLOOKUP(A70,Medical_Examinations[],8,FALSE)</f>
        <v>Yes</v>
      </c>
      <c r="J70" t="str">
        <f>VLOOKUP(A70,Medical_Examinations[],9,FALSE)</f>
        <v>Obesity</v>
      </c>
      <c r="K70" t="str">
        <f>VLOOKUP(A70,Medical_Examinations[],10,FALSE)</f>
        <v>Normal</v>
      </c>
      <c r="M70">
        <f>VLOOKUP(A70,Hospitalisation_Details__2[],4,FALSE)</f>
        <v>42111.66</v>
      </c>
      <c r="N70" t="str">
        <f>VLOOKUP(A70,Hospitalisation_Details__2[],5,FALSE)</f>
        <v>tier - 1</v>
      </c>
      <c r="O70" t="str">
        <f>VLOOKUP(A70,Hospitalisation_Details__2[],6,FALSE)</f>
        <v>tier - 1</v>
      </c>
      <c r="P70" t="str">
        <f>VLOOKUP(A70,Hospitalisation_Details__2[],7,FALSE)</f>
        <v>R1024</v>
      </c>
    </row>
    <row r="71" spans="1:16" x14ac:dyDescent="0.35">
      <c r="A71" t="str">
        <v>Id70</v>
      </c>
      <c r="B71" t="str">
        <f>VLOOKUP(A71,'Customer Names (2)'!A:B, 2,FALSE)</f>
        <v>Mr</v>
      </c>
      <c r="C71">
        <f>VLOOKUP(A71,Medical_Examinations[],2,FALSE)</f>
        <v>30.8</v>
      </c>
      <c r="D71">
        <f>VLOOKUP(A71,Medical_Examinations[],3,FALSE)</f>
        <v>9.77</v>
      </c>
      <c r="E71" t="str">
        <f>VLOOKUP(A71,Medical_Examinations[],4,FALSE)</f>
        <v>No</v>
      </c>
      <c r="F71" t="str">
        <f>VLOOKUP(A71,Medical_Examinations[],5,FALSE)</f>
        <v>No</v>
      </c>
      <c r="G71" t="str">
        <f>VLOOKUP(A71,Medical_Examinations[],6,FALSE)</f>
        <v>No</v>
      </c>
      <c r="H71">
        <f>VLOOKUP(A71,Medical_Examinations[],7,FALSE)</f>
        <v>0</v>
      </c>
      <c r="I71" t="str">
        <f>VLOOKUP(A71,Medical_Examinations[],8,FALSE)</f>
        <v>Yes</v>
      </c>
      <c r="J71" t="str">
        <f>VLOOKUP(A71,Medical_Examinations[],9,FALSE)</f>
        <v>Obesity</v>
      </c>
      <c r="K71" t="str">
        <f>VLOOKUP(A71,Medical_Examinations[],10,FALSE)</f>
        <v>Diabetes</v>
      </c>
      <c r="M71">
        <f>VLOOKUP(A71,Hospitalisation_Details__2[],4,FALSE)</f>
        <v>41999.519999999997</v>
      </c>
      <c r="N71" t="str">
        <f>VLOOKUP(A71,Hospitalisation_Details__2[],5,FALSE)</f>
        <v>tier - 1</v>
      </c>
      <c r="O71" t="str">
        <f>VLOOKUP(A71,Hospitalisation_Details__2[],6,FALSE)</f>
        <v>tier - 3</v>
      </c>
      <c r="P71" t="str">
        <f>VLOOKUP(A71,Hospitalisation_Details__2[],7,FALSE)</f>
        <v>R1013</v>
      </c>
    </row>
    <row r="72" spans="1:16" x14ac:dyDescent="0.35">
      <c r="A72" t="str">
        <v>Id71</v>
      </c>
      <c r="B72" t="str">
        <f>VLOOKUP(A72,'Customer Names (2)'!A:B, 2,FALSE)</f>
        <v>Mr</v>
      </c>
      <c r="C72">
        <f>VLOOKUP(A72,Medical_Examinations[],2,FALSE)</f>
        <v>38.39</v>
      </c>
      <c r="D72">
        <f>VLOOKUP(A72,Medical_Examinations[],3,FALSE)</f>
        <v>4.25</v>
      </c>
      <c r="E72" t="str">
        <f>VLOOKUP(A72,Medical_Examinations[],4,FALSE)</f>
        <v>No</v>
      </c>
      <c r="F72" t="str">
        <f>VLOOKUP(A72,Medical_Examinations[],5,FALSE)</f>
        <v>No</v>
      </c>
      <c r="G72" t="str">
        <f>VLOOKUP(A72,Medical_Examinations[],6,FALSE)</f>
        <v>No</v>
      </c>
      <c r="H72">
        <f>VLOOKUP(A72,Medical_Examinations[],7,FALSE)</f>
        <v>1</v>
      </c>
      <c r="I72" t="str">
        <f>VLOOKUP(A72,Medical_Examinations[],8,FALSE)</f>
        <v>Yes</v>
      </c>
      <c r="J72" t="str">
        <f>VLOOKUP(A72,Medical_Examinations[],9,FALSE)</f>
        <v>Obesity</v>
      </c>
      <c r="K72" t="str">
        <f>VLOOKUP(A72,Medical_Examinations[],10,FALSE)</f>
        <v>Normal</v>
      </c>
      <c r="M72">
        <f>VLOOKUP(A72,Hospitalisation_Details__2[],4,FALSE)</f>
        <v>41949.24</v>
      </c>
      <c r="N72" t="str">
        <f>VLOOKUP(A72,Hospitalisation_Details__2[],5,FALSE)</f>
        <v>tier - 1</v>
      </c>
      <c r="O72" t="str">
        <f>VLOOKUP(A72,Hospitalisation_Details__2[],6,FALSE)</f>
        <v>tier - 1</v>
      </c>
      <c r="P72" t="str">
        <f>VLOOKUP(A72,Hospitalisation_Details__2[],7,FALSE)</f>
        <v>R1013</v>
      </c>
    </row>
    <row r="73" spans="1:16" x14ac:dyDescent="0.35">
      <c r="A73" t="str">
        <v>Id72</v>
      </c>
      <c r="B73" t="str">
        <f>VLOOKUP(A73,'Customer Names (2)'!A:B, 2,FALSE)</f>
        <v>Mr</v>
      </c>
      <c r="C73">
        <f>VLOOKUP(A73,Medical_Examinations[],2,FALSE)</f>
        <v>32.299999999999997</v>
      </c>
      <c r="D73">
        <f>VLOOKUP(A73,Medical_Examinations[],3,FALSE)</f>
        <v>4.76</v>
      </c>
      <c r="E73" t="str">
        <f>VLOOKUP(A73,Medical_Examinations[],4,FALSE)</f>
        <v>No</v>
      </c>
      <c r="F73" t="str">
        <f>VLOOKUP(A73,Medical_Examinations[],5,FALSE)</f>
        <v>No</v>
      </c>
      <c r="G73" t="str">
        <f>VLOOKUP(A73,Medical_Examinations[],6,FALSE)</f>
        <v>No</v>
      </c>
      <c r="H73">
        <f>VLOOKUP(A73,Medical_Examinations[],7,FALSE)</f>
        <v>2</v>
      </c>
      <c r="I73" t="str">
        <f>VLOOKUP(A73,Medical_Examinations[],8,FALSE)</f>
        <v>Yes</v>
      </c>
      <c r="J73" t="str">
        <f>VLOOKUP(A73,Medical_Examinations[],9,FALSE)</f>
        <v>Obesity</v>
      </c>
      <c r="K73" t="str">
        <f>VLOOKUP(A73,Medical_Examinations[],10,FALSE)</f>
        <v>Normal</v>
      </c>
      <c r="M73">
        <f>VLOOKUP(A73,Hospitalisation_Details__2[],4,FALSE)</f>
        <v>41919.1</v>
      </c>
      <c r="N73" t="str">
        <f>VLOOKUP(A73,Hospitalisation_Details__2[],5,FALSE)</f>
        <v>tier - 1</v>
      </c>
      <c r="O73" t="str">
        <f>VLOOKUP(A73,Hospitalisation_Details__2[],6,FALSE)</f>
        <v>tier - 1</v>
      </c>
      <c r="P73" t="str">
        <f>VLOOKUP(A73,Hospitalisation_Details__2[],7,FALSE)</f>
        <v>R1016</v>
      </c>
    </row>
    <row r="74" spans="1:16" x14ac:dyDescent="0.35">
      <c r="A74" t="str">
        <v>Id73</v>
      </c>
      <c r="B74" t="str">
        <f>VLOOKUP(A74,'Customer Names (2)'!A:B, 2,FALSE)</f>
        <v>Ms</v>
      </c>
      <c r="C74">
        <f>VLOOKUP(A74,Medical_Examinations[],2,FALSE)</f>
        <v>48.8</v>
      </c>
      <c r="D74">
        <f>VLOOKUP(A74,Medical_Examinations[],3,FALSE)</f>
        <v>6.22</v>
      </c>
      <c r="E74" t="str">
        <f>VLOOKUP(A74,Medical_Examinations[],4,FALSE)</f>
        <v>Yes</v>
      </c>
      <c r="F74" t="str">
        <f>VLOOKUP(A74,Medical_Examinations[],5,FALSE)</f>
        <v>No</v>
      </c>
      <c r="G74" t="str">
        <f>VLOOKUP(A74,Medical_Examinations[],6,FALSE)</f>
        <v>No</v>
      </c>
      <c r="H74">
        <f>VLOOKUP(A74,Medical_Examinations[],7,FALSE)</f>
        <v>2</v>
      </c>
      <c r="I74" t="str">
        <f>VLOOKUP(A74,Medical_Examinations[],8,FALSE)</f>
        <v>Yes</v>
      </c>
      <c r="J74" t="str">
        <f>VLOOKUP(A74,Medical_Examinations[],9,FALSE)</f>
        <v>Obesity</v>
      </c>
      <c r="K74" t="str">
        <f>VLOOKUP(A74,Medical_Examinations[],10,FALSE)</f>
        <v>Prediabetes</v>
      </c>
      <c r="M74">
        <f>VLOOKUP(A74,Hospitalisation_Details__2[],4,FALSE)</f>
        <v>41886.54</v>
      </c>
      <c r="N74" t="str">
        <f>VLOOKUP(A74,Hospitalisation_Details__2[],5,FALSE)</f>
        <v>tier - 1</v>
      </c>
      <c r="O74" t="str">
        <f>VLOOKUP(A74,Hospitalisation_Details__2[],6,FALSE)</f>
        <v>tier - 3</v>
      </c>
      <c r="P74" t="str">
        <f>VLOOKUP(A74,Hospitalisation_Details__2[],7,FALSE)</f>
        <v>R1011</v>
      </c>
    </row>
    <row r="75" spans="1:16" x14ac:dyDescent="0.35">
      <c r="A75" t="str">
        <v>Id74</v>
      </c>
      <c r="B75" t="str">
        <f>VLOOKUP(A75,'Customer Names (2)'!A:B, 2,FALSE)</f>
        <v>Ms</v>
      </c>
      <c r="C75">
        <f>VLOOKUP(A75,Medical_Examinations[],2,FALSE)</f>
        <v>45.5</v>
      </c>
      <c r="D75">
        <f>VLOOKUP(A75,Medical_Examinations[],3,FALSE)</f>
        <v>7.96</v>
      </c>
      <c r="E75" t="str">
        <f>VLOOKUP(A75,Medical_Examinations[],4,FALSE)</f>
        <v>No</v>
      </c>
      <c r="F75" t="str">
        <f>VLOOKUP(A75,Medical_Examinations[],5,FALSE)</f>
        <v>No</v>
      </c>
      <c r="G75" t="str">
        <f>VLOOKUP(A75,Medical_Examinations[],6,FALSE)</f>
        <v>No</v>
      </c>
      <c r="H75">
        <f>VLOOKUP(A75,Medical_Examinations[],7,FALSE)</f>
        <v>0</v>
      </c>
      <c r="I75" t="str">
        <f>VLOOKUP(A75,Medical_Examinations[],8,FALSE)</f>
        <v>Yes</v>
      </c>
      <c r="J75" t="str">
        <f>VLOOKUP(A75,Medical_Examinations[],9,FALSE)</f>
        <v>Obesity</v>
      </c>
      <c r="K75" t="str">
        <f>VLOOKUP(A75,Medical_Examinations[],10,FALSE)</f>
        <v>Diabetes</v>
      </c>
      <c r="M75">
        <f>VLOOKUP(A75,Hospitalisation_Details__2[],4,FALSE)</f>
        <v>41794.629999999997</v>
      </c>
      <c r="N75" t="str">
        <f>VLOOKUP(A75,Hospitalisation_Details__2[],5,FALSE)</f>
        <v>tier - 1</v>
      </c>
      <c r="O75" t="str">
        <f>VLOOKUP(A75,Hospitalisation_Details__2[],6,FALSE)</f>
        <v>tier - 3</v>
      </c>
      <c r="P75" t="str">
        <f>VLOOKUP(A75,Hospitalisation_Details__2[],7,FALSE)</f>
        <v>R1011</v>
      </c>
    </row>
    <row r="76" spans="1:16" x14ac:dyDescent="0.35">
      <c r="A76" t="str">
        <v>Id75</v>
      </c>
      <c r="B76" t="str">
        <f>VLOOKUP(A76,'Customer Names (2)'!A:B, 2,FALSE)</f>
        <v>Ms</v>
      </c>
      <c r="C76">
        <f>VLOOKUP(A76,Medical_Examinations[],2,FALSE)</f>
        <v>53.61</v>
      </c>
      <c r="D76">
        <f>VLOOKUP(A76,Medical_Examinations[],3,FALSE)</f>
        <v>10.92</v>
      </c>
      <c r="E76" t="str">
        <f>VLOOKUP(A76,Medical_Examinations[],4,FALSE)</f>
        <v>Yes</v>
      </c>
      <c r="F76" t="str">
        <f>VLOOKUP(A76,Medical_Examinations[],5,FALSE)</f>
        <v>No</v>
      </c>
      <c r="G76" t="str">
        <f>VLOOKUP(A76,Medical_Examinations[],6,FALSE)</f>
        <v>No</v>
      </c>
      <c r="H76">
        <f>VLOOKUP(A76,Medical_Examinations[],7,FALSE)</f>
        <v>1</v>
      </c>
      <c r="I76" t="str">
        <f>VLOOKUP(A76,Medical_Examinations[],8,FALSE)</f>
        <v>Yes</v>
      </c>
      <c r="J76" t="str">
        <f>VLOOKUP(A76,Medical_Examinations[],9,FALSE)</f>
        <v>Obesity</v>
      </c>
      <c r="K76" t="str">
        <f>VLOOKUP(A76,Medical_Examinations[],10,FALSE)</f>
        <v>Diabetes</v>
      </c>
      <c r="M76">
        <f>VLOOKUP(A76,Hospitalisation_Details__2[],4,FALSE)</f>
        <v>41681.86</v>
      </c>
      <c r="N76" t="str">
        <f>VLOOKUP(A76,Hospitalisation_Details__2[],5,FALSE)</f>
        <v>tier - 1</v>
      </c>
      <c r="O76" t="str">
        <f>VLOOKUP(A76,Hospitalisation_Details__2[],6,FALSE)</f>
        <v>tier - 1</v>
      </c>
      <c r="P76" t="str">
        <f>VLOOKUP(A76,Hospitalisation_Details__2[],7,FALSE)</f>
        <v>R1011</v>
      </c>
    </row>
    <row r="77" spans="1:16" x14ac:dyDescent="0.35">
      <c r="A77" t="str">
        <v>Id76</v>
      </c>
      <c r="B77" t="str">
        <f>VLOOKUP(A77,'Customer Names (2)'!A:B, 2,FALSE)</f>
        <v>Mr</v>
      </c>
      <c r="C77">
        <f>VLOOKUP(A77,Medical_Examinations[],2,FALSE)</f>
        <v>36.19</v>
      </c>
      <c r="D77">
        <f>VLOOKUP(A77,Medical_Examinations[],3,FALSE)</f>
        <v>11.51</v>
      </c>
      <c r="E77" t="str">
        <f>VLOOKUP(A77,Medical_Examinations[],4,FALSE)</f>
        <v>Yes</v>
      </c>
      <c r="F77" t="str">
        <f>VLOOKUP(A77,Medical_Examinations[],5,FALSE)</f>
        <v>No</v>
      </c>
      <c r="G77" t="str">
        <f>VLOOKUP(A77,Medical_Examinations[],6,FALSE)</f>
        <v>No</v>
      </c>
      <c r="H77">
        <f>VLOOKUP(A77,Medical_Examinations[],7,FALSE)</f>
        <v>1</v>
      </c>
      <c r="I77" t="str">
        <f>VLOOKUP(A77,Medical_Examinations[],8,FALSE)</f>
        <v>Yes</v>
      </c>
      <c r="J77" t="str">
        <f>VLOOKUP(A77,Medical_Examinations[],9,FALSE)</f>
        <v>Obesity</v>
      </c>
      <c r="K77" t="str">
        <f>VLOOKUP(A77,Medical_Examinations[],10,FALSE)</f>
        <v>Diabetes</v>
      </c>
      <c r="M77">
        <f>VLOOKUP(A77,Hospitalisation_Details__2[],4,FALSE)</f>
        <v>41676.080000000002</v>
      </c>
      <c r="N77" t="str">
        <f>VLOOKUP(A77,Hospitalisation_Details__2[],5,FALSE)</f>
        <v>tier - 1</v>
      </c>
      <c r="O77" t="str">
        <f>VLOOKUP(A77,Hospitalisation_Details__2[],6,FALSE)</f>
        <v>tier - 2</v>
      </c>
      <c r="P77" t="str">
        <f>VLOOKUP(A77,Hospitalisation_Details__2[],7,FALSE)</f>
        <v>R1013</v>
      </c>
    </row>
    <row r="78" spans="1:16" x14ac:dyDescent="0.35">
      <c r="A78" t="str">
        <v>Id77</v>
      </c>
      <c r="B78" t="str">
        <f>VLOOKUP(A78,'Customer Names (2)'!A:B, 2,FALSE)</f>
        <v>Ms</v>
      </c>
      <c r="C78">
        <f>VLOOKUP(A78,Medical_Examinations[],2,FALSE)</f>
        <v>34.6</v>
      </c>
      <c r="D78">
        <f>VLOOKUP(A78,Medical_Examinations[],3,FALSE)</f>
        <v>5.99</v>
      </c>
      <c r="E78" t="str">
        <f>VLOOKUP(A78,Medical_Examinations[],4,FALSE)</f>
        <v>Yes</v>
      </c>
      <c r="F78" t="str">
        <f>VLOOKUP(A78,Medical_Examinations[],5,FALSE)</f>
        <v>No</v>
      </c>
      <c r="G78" t="str">
        <f>VLOOKUP(A78,Medical_Examinations[],6,FALSE)</f>
        <v>No</v>
      </c>
      <c r="H78">
        <f>VLOOKUP(A78,Medical_Examinations[],7,FALSE)</f>
        <v>0</v>
      </c>
      <c r="I78" t="str">
        <f>VLOOKUP(A78,Medical_Examinations[],8,FALSE)</f>
        <v>Yes</v>
      </c>
      <c r="J78" t="str">
        <f>VLOOKUP(A78,Medical_Examinations[],9,FALSE)</f>
        <v>Obesity</v>
      </c>
      <c r="K78" t="str">
        <f>VLOOKUP(A78,Medical_Examinations[],10,FALSE)</f>
        <v>Prediabetes</v>
      </c>
      <c r="M78">
        <f>VLOOKUP(A78,Hospitalisation_Details__2[],4,FALSE)</f>
        <v>41661.599999999999</v>
      </c>
      <c r="N78" t="str">
        <f>VLOOKUP(A78,Hospitalisation_Details__2[],5,FALSE)</f>
        <v>tier - 1</v>
      </c>
      <c r="O78" t="str">
        <f>VLOOKUP(A78,Hospitalisation_Details__2[],6,FALSE)</f>
        <v>tier - 3</v>
      </c>
      <c r="P78" t="str">
        <f>VLOOKUP(A78,Hospitalisation_Details__2[],7,FALSE)</f>
        <v>R1011</v>
      </c>
    </row>
    <row r="79" spans="1:16" x14ac:dyDescent="0.35">
      <c r="A79" t="str">
        <v>Id78</v>
      </c>
      <c r="B79" t="str">
        <f>VLOOKUP(A79,'Customer Names (2)'!A:B, 2,FALSE)</f>
        <v>Ms</v>
      </c>
      <c r="C79">
        <f>VLOOKUP(A79,Medical_Examinations[],2,FALSE)</f>
        <v>54.12</v>
      </c>
      <c r="D79">
        <f>VLOOKUP(A79,Medical_Examinations[],3,FALSE)</f>
        <v>11.57</v>
      </c>
      <c r="E79" t="str">
        <f>VLOOKUP(A79,Medical_Examinations[],4,FALSE)</f>
        <v>No</v>
      </c>
      <c r="F79" t="str">
        <f>VLOOKUP(A79,Medical_Examinations[],5,FALSE)</f>
        <v>No</v>
      </c>
      <c r="G79" t="str">
        <f>VLOOKUP(A79,Medical_Examinations[],6,FALSE)</f>
        <v>No</v>
      </c>
      <c r="H79">
        <f>VLOOKUP(A79,Medical_Examinations[],7,FALSE)</f>
        <v>0</v>
      </c>
      <c r="I79" t="str">
        <f>VLOOKUP(A79,Medical_Examinations[],8,FALSE)</f>
        <v>Yes</v>
      </c>
      <c r="J79" t="str">
        <f>VLOOKUP(A79,Medical_Examinations[],9,FALSE)</f>
        <v>Obesity</v>
      </c>
      <c r="K79" t="str">
        <f>VLOOKUP(A79,Medical_Examinations[],10,FALSE)</f>
        <v>Diabetes</v>
      </c>
      <c r="M79">
        <f>VLOOKUP(A79,Hospitalisation_Details__2[],4,FALSE)</f>
        <v>41636.199999999997</v>
      </c>
      <c r="N79" t="str">
        <f>VLOOKUP(A79,Hospitalisation_Details__2[],5,FALSE)</f>
        <v>tier - 1</v>
      </c>
      <c r="O79" t="str">
        <f>VLOOKUP(A79,Hospitalisation_Details__2[],6,FALSE)</f>
        <v>tier - 1</v>
      </c>
      <c r="P79" t="str">
        <f>VLOOKUP(A79,Hospitalisation_Details__2[],7,FALSE)</f>
        <v>R1011</v>
      </c>
    </row>
    <row r="80" spans="1:16" x14ac:dyDescent="0.35">
      <c r="A80" t="str">
        <v>Id79</v>
      </c>
      <c r="B80" t="str">
        <f>VLOOKUP(A80,'Customer Names (2)'!A:B, 2,FALSE)</f>
        <v>Mr</v>
      </c>
      <c r="C80">
        <f>VLOOKUP(A80,Medical_Examinations[],2,FALSE)</f>
        <v>48.82</v>
      </c>
      <c r="D80">
        <f>VLOOKUP(A80,Medical_Examinations[],3,FALSE)</f>
        <v>6.67</v>
      </c>
      <c r="E80" t="str">
        <f>VLOOKUP(A80,Medical_Examinations[],4,FALSE)</f>
        <v>Yes</v>
      </c>
      <c r="F80" t="str">
        <f>VLOOKUP(A80,Medical_Examinations[],5,FALSE)</f>
        <v>No</v>
      </c>
      <c r="G80" t="str">
        <f>VLOOKUP(A80,Medical_Examinations[],6,FALSE)</f>
        <v>No</v>
      </c>
      <c r="H80">
        <f>VLOOKUP(A80,Medical_Examinations[],7,FALSE)</f>
        <v>0</v>
      </c>
      <c r="I80" t="str">
        <f>VLOOKUP(A80,Medical_Examinations[],8,FALSE)</f>
        <v>Yes</v>
      </c>
      <c r="J80" t="str">
        <f>VLOOKUP(A80,Medical_Examinations[],9,FALSE)</f>
        <v>Obesity</v>
      </c>
      <c r="K80" t="str">
        <f>VLOOKUP(A80,Medical_Examinations[],10,FALSE)</f>
        <v>Diabetes</v>
      </c>
      <c r="M80">
        <f>VLOOKUP(A80,Hospitalisation_Details__2[],4,FALSE)</f>
        <v>41505.15</v>
      </c>
      <c r="N80" t="str">
        <f>VLOOKUP(A80,Hospitalisation_Details__2[],5,FALSE)</f>
        <v>tier - 1</v>
      </c>
      <c r="O80" t="str">
        <f>VLOOKUP(A80,Hospitalisation_Details__2[],6,FALSE)</f>
        <v>tier - 2</v>
      </c>
      <c r="P80" t="str">
        <f>VLOOKUP(A80,Hospitalisation_Details__2[],7,FALSE)</f>
        <v>R1011</v>
      </c>
    </row>
    <row r="81" spans="1:16" x14ac:dyDescent="0.35">
      <c r="A81" t="str">
        <v>Id80</v>
      </c>
      <c r="B81" t="str">
        <f>VLOOKUP(A81,'Customer Names (2)'!A:B, 2,FALSE)</f>
        <v>Ms</v>
      </c>
      <c r="C81">
        <f>VLOOKUP(A81,Medical_Examinations[],2,FALSE)</f>
        <v>51.01</v>
      </c>
      <c r="D81">
        <f>VLOOKUP(A81,Medical_Examinations[],3,FALSE)</f>
        <v>9.1999999999999993</v>
      </c>
      <c r="E81" t="str">
        <f>VLOOKUP(A81,Medical_Examinations[],4,FALSE)</f>
        <v>No</v>
      </c>
      <c r="F81" t="str">
        <f>VLOOKUP(A81,Medical_Examinations[],5,FALSE)</f>
        <v>No</v>
      </c>
      <c r="G81" t="str">
        <f>VLOOKUP(A81,Medical_Examinations[],6,FALSE)</f>
        <v>No</v>
      </c>
      <c r="H81">
        <f>VLOOKUP(A81,Medical_Examinations[],7,FALSE)</f>
        <v>0</v>
      </c>
      <c r="I81" t="str">
        <f>VLOOKUP(A81,Medical_Examinations[],8,FALSE)</f>
        <v>Yes</v>
      </c>
      <c r="J81" t="str">
        <f>VLOOKUP(A81,Medical_Examinations[],9,FALSE)</f>
        <v>Obesity</v>
      </c>
      <c r="K81" t="str">
        <f>VLOOKUP(A81,Medical_Examinations[],10,FALSE)</f>
        <v>Diabetes</v>
      </c>
      <c r="M81">
        <f>VLOOKUP(A81,Hospitalisation_Details__2[],4,FALSE)</f>
        <v>41351.879999999997</v>
      </c>
      <c r="N81" t="str">
        <f>VLOOKUP(A81,Hospitalisation_Details__2[],5,FALSE)</f>
        <v>tier - 1</v>
      </c>
      <c r="O81" t="str">
        <f>VLOOKUP(A81,Hospitalisation_Details__2[],6,FALSE)</f>
        <v>tier - 2</v>
      </c>
      <c r="P81" t="str">
        <f>VLOOKUP(A81,Hospitalisation_Details__2[],7,FALSE)</f>
        <v>R1011</v>
      </c>
    </row>
    <row r="82" spans="1:16" x14ac:dyDescent="0.35">
      <c r="A82" t="str">
        <v>Id81</v>
      </c>
      <c r="B82" t="str">
        <f>VLOOKUP(A82,'Customer Names (2)'!A:B, 2,FALSE)</f>
        <v>Ms</v>
      </c>
      <c r="C82">
        <f>VLOOKUP(A82,Medical_Examinations[],2,FALSE)</f>
        <v>45.65</v>
      </c>
      <c r="D82">
        <f>VLOOKUP(A82,Medical_Examinations[],3,FALSE)</f>
        <v>5.1100000000000003</v>
      </c>
      <c r="E82" t="str">
        <f>VLOOKUP(A82,Medical_Examinations[],4,FALSE)</f>
        <v>Yes</v>
      </c>
      <c r="F82" t="str">
        <f>VLOOKUP(A82,Medical_Examinations[],5,FALSE)</f>
        <v>No</v>
      </c>
      <c r="G82" t="str">
        <f>VLOOKUP(A82,Medical_Examinations[],6,FALSE)</f>
        <v>No</v>
      </c>
      <c r="H82">
        <f>VLOOKUP(A82,Medical_Examinations[],7,FALSE)</f>
        <v>1</v>
      </c>
      <c r="I82" t="str">
        <f>VLOOKUP(A82,Medical_Examinations[],8,FALSE)</f>
        <v>Yes</v>
      </c>
      <c r="J82" t="str">
        <f>VLOOKUP(A82,Medical_Examinations[],9,FALSE)</f>
        <v>Obesity</v>
      </c>
      <c r="K82" t="str">
        <f>VLOOKUP(A82,Medical_Examinations[],10,FALSE)</f>
        <v>Normal</v>
      </c>
      <c r="M82">
        <f>VLOOKUP(A82,Hospitalisation_Details__2[],4,FALSE)</f>
        <v>41331.79</v>
      </c>
      <c r="N82" t="str">
        <f>VLOOKUP(A82,Hospitalisation_Details__2[],5,FALSE)</f>
        <v>tier - 1</v>
      </c>
      <c r="O82" t="str">
        <f>VLOOKUP(A82,Hospitalisation_Details__2[],6,FALSE)</f>
        <v>tier - 2</v>
      </c>
      <c r="P82" t="str">
        <f>VLOOKUP(A82,Hospitalisation_Details__2[],7,FALSE)</f>
        <v>R1011</v>
      </c>
    </row>
    <row r="83" spans="1:16" x14ac:dyDescent="0.35">
      <c r="A83" t="str">
        <v>Id82</v>
      </c>
      <c r="B83" t="str">
        <f>VLOOKUP(A83,'Customer Names (2)'!A:B, 2,FALSE)</f>
        <v>Mr</v>
      </c>
      <c r="C83">
        <f>VLOOKUP(A83,Medical_Examinations[],2,FALSE)</f>
        <v>52.9</v>
      </c>
      <c r="D83">
        <f>VLOOKUP(A83,Medical_Examinations[],3,FALSE)</f>
        <v>5.34</v>
      </c>
      <c r="E83" t="str">
        <f>VLOOKUP(A83,Medical_Examinations[],4,FALSE)</f>
        <v>No</v>
      </c>
      <c r="F83" t="str">
        <f>VLOOKUP(A83,Medical_Examinations[],5,FALSE)</f>
        <v>No</v>
      </c>
      <c r="G83" t="str">
        <f>VLOOKUP(A83,Medical_Examinations[],6,FALSE)</f>
        <v>No</v>
      </c>
      <c r="H83">
        <f>VLOOKUP(A83,Medical_Examinations[],7,FALSE)</f>
        <v>0</v>
      </c>
      <c r="I83" t="str">
        <f>VLOOKUP(A83,Medical_Examinations[],8,FALSE)</f>
        <v>Yes</v>
      </c>
      <c r="J83" t="str">
        <f>VLOOKUP(A83,Medical_Examinations[],9,FALSE)</f>
        <v>Obesity</v>
      </c>
      <c r="K83" t="str">
        <f>VLOOKUP(A83,Medical_Examinations[],10,FALSE)</f>
        <v>Normal</v>
      </c>
      <c r="M83">
        <f>VLOOKUP(A83,Hospitalisation_Details__2[],4,FALSE)</f>
        <v>41271.5</v>
      </c>
      <c r="N83" t="str">
        <f>VLOOKUP(A83,Hospitalisation_Details__2[],5,FALSE)</f>
        <v>tier - 1</v>
      </c>
      <c r="O83" t="str">
        <f>VLOOKUP(A83,Hospitalisation_Details__2[],6,FALSE)</f>
        <v>tier - 2</v>
      </c>
      <c r="P83" t="str">
        <f>VLOOKUP(A83,Hospitalisation_Details__2[],7,FALSE)</f>
        <v>R1011</v>
      </c>
    </row>
    <row r="84" spans="1:16" x14ac:dyDescent="0.35">
      <c r="A84" t="str">
        <v>Id83</v>
      </c>
      <c r="B84" t="str">
        <f>VLOOKUP(A84,'Customer Names (2)'!A:B, 2,FALSE)</f>
        <v>Ms</v>
      </c>
      <c r="C84">
        <f>VLOOKUP(A84,Medical_Examinations[],2,FALSE)</f>
        <v>45.41</v>
      </c>
      <c r="D84">
        <f>VLOOKUP(A84,Medical_Examinations[],3,FALSE)</f>
        <v>4.03</v>
      </c>
      <c r="E84" t="str">
        <f>VLOOKUP(A84,Medical_Examinations[],4,FALSE)</f>
        <v>Yes</v>
      </c>
      <c r="F84" t="str">
        <f>VLOOKUP(A84,Medical_Examinations[],5,FALSE)</f>
        <v>No</v>
      </c>
      <c r="G84" t="str">
        <f>VLOOKUP(A84,Medical_Examinations[],6,FALSE)</f>
        <v>No</v>
      </c>
      <c r="H84">
        <f>VLOOKUP(A84,Medical_Examinations[],7,FALSE)</f>
        <v>1</v>
      </c>
      <c r="I84" t="str">
        <f>VLOOKUP(A84,Medical_Examinations[],8,FALSE)</f>
        <v>Yes</v>
      </c>
      <c r="J84" t="str">
        <f>VLOOKUP(A84,Medical_Examinations[],9,FALSE)</f>
        <v>Obesity</v>
      </c>
      <c r="K84" t="str">
        <f>VLOOKUP(A84,Medical_Examinations[],10,FALSE)</f>
        <v>Normal</v>
      </c>
      <c r="M84">
        <f>VLOOKUP(A84,Hospitalisation_Details__2[],4,FALSE)</f>
        <v>41250.39</v>
      </c>
      <c r="N84" t="str">
        <f>VLOOKUP(A84,Hospitalisation_Details__2[],5,FALSE)</f>
        <v>tier - 1</v>
      </c>
      <c r="O84" t="str">
        <f>VLOOKUP(A84,Hospitalisation_Details__2[],6,FALSE)</f>
        <v>tier - 3</v>
      </c>
      <c r="P84" t="str">
        <f>VLOOKUP(A84,Hospitalisation_Details__2[],7,FALSE)</f>
        <v>R1011</v>
      </c>
    </row>
    <row r="85" spans="1:16" x14ac:dyDescent="0.35">
      <c r="A85" t="str">
        <v>Id84</v>
      </c>
      <c r="B85" t="str">
        <f>VLOOKUP(A85,'Customer Names (2)'!A:B, 2,FALSE)</f>
        <v>Mr</v>
      </c>
      <c r="C85">
        <f>VLOOKUP(A85,Medical_Examinations[],2,FALSE)</f>
        <v>49.41</v>
      </c>
      <c r="D85">
        <f>VLOOKUP(A85,Medical_Examinations[],3,FALSE)</f>
        <v>4.2300000000000004</v>
      </c>
      <c r="E85" t="str">
        <f>VLOOKUP(A85,Medical_Examinations[],4,FALSE)</f>
        <v>Yes</v>
      </c>
      <c r="F85" t="str">
        <f>VLOOKUP(A85,Medical_Examinations[],5,FALSE)</f>
        <v>No</v>
      </c>
      <c r="G85" t="str">
        <f>VLOOKUP(A85,Medical_Examinations[],6,FALSE)</f>
        <v>Yes</v>
      </c>
      <c r="H85">
        <f>VLOOKUP(A85,Medical_Examinations[],7,FALSE)</f>
        <v>1</v>
      </c>
      <c r="I85" t="str">
        <f>VLOOKUP(A85,Medical_Examinations[],8,FALSE)</f>
        <v>Yes</v>
      </c>
      <c r="J85" t="str">
        <f>VLOOKUP(A85,Medical_Examinations[],9,FALSE)</f>
        <v>Obesity</v>
      </c>
      <c r="K85" t="str">
        <f>VLOOKUP(A85,Medical_Examinations[],10,FALSE)</f>
        <v>Normal</v>
      </c>
      <c r="M85">
        <f>VLOOKUP(A85,Hospitalisation_Details__2[],4,FALSE)</f>
        <v>41191.57</v>
      </c>
      <c r="N85" t="str">
        <f>VLOOKUP(A85,Hospitalisation_Details__2[],5,FALSE)</f>
        <v>tier - 1</v>
      </c>
      <c r="O85" t="str">
        <f>VLOOKUP(A85,Hospitalisation_Details__2[],6,FALSE)</f>
        <v>tier - 2</v>
      </c>
      <c r="P85" t="str">
        <f>VLOOKUP(A85,Hospitalisation_Details__2[],7,FALSE)</f>
        <v>R1011</v>
      </c>
    </row>
    <row r="86" spans="1:16" x14ac:dyDescent="0.35">
      <c r="A86" t="str">
        <v>Id85</v>
      </c>
      <c r="B86" t="str">
        <f>VLOOKUP(A86,'Customer Names (2)'!A:B, 2,FALSE)</f>
        <v>Mr</v>
      </c>
      <c r="C86">
        <f>VLOOKUP(A86,Medical_Examinations[],2,FALSE)</f>
        <v>31.824999999999999</v>
      </c>
      <c r="D86">
        <f>VLOOKUP(A86,Medical_Examinations[],3,FALSE)</f>
        <v>4.0599999999999996</v>
      </c>
      <c r="E86" t="str">
        <f>VLOOKUP(A86,Medical_Examinations[],4,FALSE)</f>
        <v>No</v>
      </c>
      <c r="F86" t="str">
        <f>VLOOKUP(A86,Medical_Examinations[],5,FALSE)</f>
        <v>No</v>
      </c>
      <c r="G86" t="str">
        <f>VLOOKUP(A86,Medical_Examinations[],6,FALSE)</f>
        <v>No</v>
      </c>
      <c r="H86">
        <f>VLOOKUP(A86,Medical_Examinations[],7,FALSE)</f>
        <v>2</v>
      </c>
      <c r="I86" t="str">
        <f>VLOOKUP(A86,Medical_Examinations[],8,FALSE)</f>
        <v>Yes</v>
      </c>
      <c r="J86" t="str">
        <f>VLOOKUP(A86,Medical_Examinations[],9,FALSE)</f>
        <v>Obesity</v>
      </c>
      <c r="K86" t="str">
        <f>VLOOKUP(A86,Medical_Examinations[],10,FALSE)</f>
        <v>Normal</v>
      </c>
      <c r="M86">
        <f>VLOOKUP(A86,Hospitalisation_Details__2[],4,FALSE)</f>
        <v>41097.160000000003</v>
      </c>
      <c r="N86" t="str">
        <f>VLOOKUP(A86,Hospitalisation_Details__2[],5,FALSE)</f>
        <v>tier - 1</v>
      </c>
      <c r="O86" t="str">
        <f>VLOOKUP(A86,Hospitalisation_Details__2[],6,FALSE)</f>
        <v>tier - 3</v>
      </c>
      <c r="P86" t="str">
        <f>VLOOKUP(A86,Hospitalisation_Details__2[],7,FALSE)</f>
        <v>R1016</v>
      </c>
    </row>
    <row r="87" spans="1:16" x14ac:dyDescent="0.35">
      <c r="A87" t="str">
        <v>Id86</v>
      </c>
      <c r="B87" t="str">
        <f>VLOOKUP(A87,'Customer Names (2)'!A:B, 2,FALSE)</f>
        <v>Mr</v>
      </c>
      <c r="C87">
        <f>VLOOKUP(A87,Medical_Examinations[],2,FALSE)</f>
        <v>51.28</v>
      </c>
      <c r="D87">
        <f>VLOOKUP(A87,Medical_Examinations[],3,FALSE)</f>
        <v>4.68</v>
      </c>
      <c r="E87" t="str">
        <f>VLOOKUP(A87,Medical_Examinations[],4,FALSE)</f>
        <v>No</v>
      </c>
      <c r="F87" t="str">
        <f>VLOOKUP(A87,Medical_Examinations[],5,FALSE)</f>
        <v>No</v>
      </c>
      <c r="G87" t="str">
        <f>VLOOKUP(A87,Medical_Examinations[],6,FALSE)</f>
        <v>No</v>
      </c>
      <c r="H87">
        <f>VLOOKUP(A87,Medical_Examinations[],7,FALSE)</f>
        <v>2</v>
      </c>
      <c r="I87" t="str">
        <f>VLOOKUP(A87,Medical_Examinations[],8,FALSE)</f>
        <v>Yes</v>
      </c>
      <c r="J87" t="str">
        <f>VLOOKUP(A87,Medical_Examinations[],9,FALSE)</f>
        <v>Obesity</v>
      </c>
      <c r="K87" t="str">
        <f>VLOOKUP(A87,Medical_Examinations[],10,FALSE)</f>
        <v>Normal</v>
      </c>
      <c r="M87">
        <f>VLOOKUP(A87,Hospitalisation_Details__2[],4,FALSE)</f>
        <v>41055.29</v>
      </c>
      <c r="N87" t="str">
        <f>VLOOKUP(A87,Hospitalisation_Details__2[],5,FALSE)</f>
        <v>tier - 1</v>
      </c>
      <c r="O87" t="str">
        <f>VLOOKUP(A87,Hospitalisation_Details__2[],6,FALSE)</f>
        <v>tier - 2</v>
      </c>
      <c r="P87" t="str">
        <f>VLOOKUP(A87,Hospitalisation_Details__2[],7,FALSE)</f>
        <v>R1011</v>
      </c>
    </row>
    <row r="88" spans="1:16" x14ac:dyDescent="0.35">
      <c r="A88" t="str">
        <v>Id87</v>
      </c>
      <c r="B88" t="str">
        <f>VLOOKUP(A88,'Customer Names (2)'!A:B, 2,FALSE)</f>
        <v>Mr</v>
      </c>
      <c r="C88">
        <f>VLOOKUP(A88,Medical_Examinations[],2,FALSE)</f>
        <v>34.96</v>
      </c>
      <c r="D88">
        <f>VLOOKUP(A88,Medical_Examinations[],3,FALSE)</f>
        <v>4.34</v>
      </c>
      <c r="E88" t="str">
        <f>VLOOKUP(A88,Medical_Examinations[],4,FALSE)</f>
        <v>No</v>
      </c>
      <c r="F88" t="str">
        <f>VLOOKUP(A88,Medical_Examinations[],5,FALSE)</f>
        <v>No</v>
      </c>
      <c r="G88" t="str">
        <f>VLOOKUP(A88,Medical_Examinations[],6,FALSE)</f>
        <v>Yes</v>
      </c>
      <c r="H88">
        <f>VLOOKUP(A88,Medical_Examinations[],7,FALSE)</f>
        <v>1</v>
      </c>
      <c r="I88" t="str">
        <f>VLOOKUP(A88,Medical_Examinations[],8,FALSE)</f>
        <v>Yes</v>
      </c>
      <c r="J88" t="str">
        <f>VLOOKUP(A88,Medical_Examinations[],9,FALSE)</f>
        <v>Obesity</v>
      </c>
      <c r="K88" t="str">
        <f>VLOOKUP(A88,Medical_Examinations[],10,FALSE)</f>
        <v>Normal</v>
      </c>
      <c r="M88">
        <f>VLOOKUP(A88,Hospitalisation_Details__2[],4,FALSE)</f>
        <v>41034.22</v>
      </c>
      <c r="N88" t="str">
        <f>VLOOKUP(A88,Hospitalisation_Details__2[],5,FALSE)</f>
        <v>tier - 1</v>
      </c>
      <c r="O88" t="str">
        <f>VLOOKUP(A88,Hospitalisation_Details__2[],6,FALSE)</f>
        <v>tier - 3</v>
      </c>
      <c r="P88" t="str">
        <f>VLOOKUP(A88,Hospitalisation_Details__2[],7,FALSE)</f>
        <v>R1017</v>
      </c>
    </row>
    <row r="89" spans="1:16" x14ac:dyDescent="0.35">
      <c r="A89" t="str">
        <v>Id88</v>
      </c>
      <c r="B89" t="str">
        <f>VLOOKUP(A89,'Customer Names (2)'!A:B, 2,FALSE)</f>
        <v>Ms</v>
      </c>
      <c r="C89">
        <f>VLOOKUP(A89,Medical_Examinations[],2,FALSE)</f>
        <v>33.11</v>
      </c>
      <c r="D89">
        <f>VLOOKUP(A89,Medical_Examinations[],3,FALSE)</f>
        <v>10.51</v>
      </c>
      <c r="E89" t="str">
        <f>VLOOKUP(A89,Medical_Examinations[],4,FALSE)</f>
        <v>No</v>
      </c>
      <c r="F89" t="str">
        <f>VLOOKUP(A89,Medical_Examinations[],5,FALSE)</f>
        <v>No</v>
      </c>
      <c r="G89" t="str">
        <f>VLOOKUP(A89,Medical_Examinations[],6,FALSE)</f>
        <v>No</v>
      </c>
      <c r="H89">
        <f>VLOOKUP(A89,Medical_Examinations[],7,FALSE)</f>
        <v>0</v>
      </c>
      <c r="I89" t="str">
        <f>VLOOKUP(A89,Medical_Examinations[],8,FALSE)</f>
        <v>Yes</v>
      </c>
      <c r="J89" t="str">
        <f>VLOOKUP(A89,Medical_Examinations[],9,FALSE)</f>
        <v>Obesity</v>
      </c>
      <c r="K89" t="str">
        <f>VLOOKUP(A89,Medical_Examinations[],10,FALSE)</f>
        <v>Diabetes</v>
      </c>
      <c r="M89">
        <f>VLOOKUP(A89,Hospitalisation_Details__2[],4,FALSE)</f>
        <v>40974.160000000003</v>
      </c>
      <c r="N89" t="str">
        <f>VLOOKUP(A89,Hospitalisation_Details__2[],5,FALSE)</f>
        <v>tier - 1</v>
      </c>
      <c r="O89" t="str">
        <f>VLOOKUP(A89,Hospitalisation_Details__2[],6,FALSE)</f>
        <v>tier - 2</v>
      </c>
      <c r="P89" t="str">
        <f>VLOOKUP(A89,Hospitalisation_Details__2[],7,FALSE)</f>
        <v>R1013</v>
      </c>
    </row>
    <row r="90" spans="1:16" x14ac:dyDescent="0.35">
      <c r="A90" t="str">
        <v>Id89</v>
      </c>
      <c r="B90" t="str">
        <f>VLOOKUP(A90,'Customer Names (2)'!A:B, 2,FALSE)</f>
        <v>Ms</v>
      </c>
      <c r="C90">
        <f>VLOOKUP(A90,Medical_Examinations[],2,FALSE)</f>
        <v>54.74</v>
      </c>
      <c r="D90">
        <f>VLOOKUP(A90,Medical_Examinations[],3,FALSE)</f>
        <v>5.84</v>
      </c>
      <c r="E90" t="str">
        <f>VLOOKUP(A90,Medical_Examinations[],4,FALSE)</f>
        <v>Yes</v>
      </c>
      <c r="F90" t="str">
        <f>VLOOKUP(A90,Medical_Examinations[],5,FALSE)</f>
        <v>No</v>
      </c>
      <c r="G90" t="str">
        <f>VLOOKUP(A90,Medical_Examinations[],6,FALSE)</f>
        <v>Yes</v>
      </c>
      <c r="H90">
        <f>VLOOKUP(A90,Medical_Examinations[],7,FALSE)</f>
        <v>1</v>
      </c>
      <c r="I90" t="str">
        <f>VLOOKUP(A90,Medical_Examinations[],8,FALSE)</f>
        <v>Yes</v>
      </c>
      <c r="J90" t="str">
        <f>VLOOKUP(A90,Medical_Examinations[],9,FALSE)</f>
        <v>Obesity</v>
      </c>
      <c r="K90" t="str">
        <f>VLOOKUP(A90,Medical_Examinations[],10,FALSE)</f>
        <v>Prediabetes</v>
      </c>
      <c r="M90">
        <f>VLOOKUP(A90,Hospitalisation_Details__2[],4,FALSE)</f>
        <v>40961.29</v>
      </c>
      <c r="N90" t="str">
        <f>VLOOKUP(A90,Hospitalisation_Details__2[],5,FALSE)</f>
        <v>tier - 1</v>
      </c>
      <c r="O90" t="str">
        <f>VLOOKUP(A90,Hospitalisation_Details__2[],6,FALSE)</f>
        <v>tier - 2</v>
      </c>
      <c r="P90" t="str">
        <f>VLOOKUP(A90,Hospitalisation_Details__2[],7,FALSE)</f>
        <v>R1011</v>
      </c>
    </row>
    <row r="91" spans="1:16" x14ac:dyDescent="0.35">
      <c r="A91" t="str">
        <v>Id90</v>
      </c>
      <c r="B91" t="str">
        <f>VLOOKUP(A91,'Customer Names (2)'!A:B, 2,FALSE)</f>
        <v>Ms</v>
      </c>
      <c r="C91">
        <f>VLOOKUP(A91,Medical_Examinations[],2,FALSE)</f>
        <v>32.56</v>
      </c>
      <c r="D91">
        <f>VLOOKUP(A91,Medical_Examinations[],3,FALSE)</f>
        <v>5.41</v>
      </c>
      <c r="E91" t="str">
        <f>VLOOKUP(A91,Medical_Examinations[],4,FALSE)</f>
        <v>No</v>
      </c>
      <c r="F91" t="str">
        <f>VLOOKUP(A91,Medical_Examinations[],5,FALSE)</f>
        <v>No</v>
      </c>
      <c r="G91" t="str">
        <f>VLOOKUP(A91,Medical_Examinations[],6,FALSE)</f>
        <v>Yes</v>
      </c>
      <c r="H91">
        <f>VLOOKUP(A91,Medical_Examinations[],7,FALSE)</f>
        <v>1</v>
      </c>
      <c r="I91" t="str">
        <f>VLOOKUP(A91,Medical_Examinations[],8,FALSE)</f>
        <v>Yes</v>
      </c>
      <c r="J91" t="str">
        <f>VLOOKUP(A91,Medical_Examinations[],9,FALSE)</f>
        <v>Obesity</v>
      </c>
      <c r="K91" t="str">
        <f>VLOOKUP(A91,Medical_Examinations[],10,FALSE)</f>
        <v>Normal</v>
      </c>
      <c r="M91">
        <f>VLOOKUP(A91,Hospitalisation_Details__2[],4,FALSE)</f>
        <v>40941.29</v>
      </c>
      <c r="N91" t="str">
        <f>VLOOKUP(A91,Hospitalisation_Details__2[],5,FALSE)</f>
        <v>tier - 1</v>
      </c>
      <c r="O91" t="str">
        <f>VLOOKUP(A91,Hospitalisation_Details__2[],6,FALSE)</f>
        <v>tier - 2</v>
      </c>
      <c r="P91" t="str">
        <f>VLOOKUP(A91,Hospitalisation_Details__2[],7,FALSE)</f>
        <v>R1013</v>
      </c>
    </row>
    <row r="92" spans="1:16" x14ac:dyDescent="0.35">
      <c r="A92" t="str">
        <v>Id91</v>
      </c>
      <c r="B92" t="str">
        <f>VLOOKUP(A92,'Customer Names (2)'!A:B, 2,FALSE)</f>
        <v>Ms</v>
      </c>
      <c r="C92">
        <f>VLOOKUP(A92,Medical_Examinations[],2,FALSE)</f>
        <v>39.049999999999997</v>
      </c>
      <c r="D92">
        <f>VLOOKUP(A92,Medical_Examinations[],3,FALSE)</f>
        <v>6.06</v>
      </c>
      <c r="E92" t="str">
        <f>VLOOKUP(A92,Medical_Examinations[],4,FALSE)</f>
        <v>No</v>
      </c>
      <c r="F92" t="str">
        <f>VLOOKUP(A92,Medical_Examinations[],5,FALSE)</f>
        <v>No</v>
      </c>
      <c r="G92" t="str">
        <f>VLOOKUP(A92,Medical_Examinations[],6,FALSE)</f>
        <v>No</v>
      </c>
      <c r="H92">
        <f>VLOOKUP(A92,Medical_Examinations[],7,FALSE)</f>
        <v>1</v>
      </c>
      <c r="I92" t="str">
        <f>VLOOKUP(A92,Medical_Examinations[],8,FALSE)</f>
        <v>Yes</v>
      </c>
      <c r="J92" t="str">
        <f>VLOOKUP(A92,Medical_Examinations[],9,FALSE)</f>
        <v>Obesity</v>
      </c>
      <c r="K92" t="str">
        <f>VLOOKUP(A92,Medical_Examinations[],10,FALSE)</f>
        <v>Prediabetes</v>
      </c>
      <c r="M92">
        <f>VLOOKUP(A92,Hospitalisation_Details__2[],4,FALSE)</f>
        <v>40932.43</v>
      </c>
      <c r="N92" t="str">
        <f>VLOOKUP(A92,Hospitalisation_Details__2[],5,FALSE)</f>
        <v>tier - 1</v>
      </c>
      <c r="O92" t="str">
        <f>VLOOKUP(A92,Hospitalisation_Details__2[],6,FALSE)</f>
        <v>tier - 2</v>
      </c>
      <c r="P92" t="str">
        <f>VLOOKUP(A92,Hospitalisation_Details__2[],7,FALSE)</f>
        <v>R1013</v>
      </c>
    </row>
    <row r="93" spans="1:16" x14ac:dyDescent="0.35">
      <c r="A93" t="str">
        <v>Id92</v>
      </c>
      <c r="B93" t="str">
        <f>VLOOKUP(A93,'Customer Names (2)'!A:B, 2,FALSE)</f>
        <v>Ms</v>
      </c>
      <c r="C93">
        <f>VLOOKUP(A93,Medical_Examinations[],2,FALSE)</f>
        <v>42.75</v>
      </c>
      <c r="D93">
        <f>VLOOKUP(A93,Medical_Examinations[],3,FALSE)</f>
        <v>4.22</v>
      </c>
      <c r="E93" t="str">
        <f>VLOOKUP(A93,Medical_Examinations[],4,FALSE)</f>
        <v>No</v>
      </c>
      <c r="F93" t="str">
        <f>VLOOKUP(A93,Medical_Examinations[],5,FALSE)</f>
        <v>No</v>
      </c>
      <c r="G93" t="str">
        <f>VLOOKUP(A93,Medical_Examinations[],6,FALSE)</f>
        <v>No</v>
      </c>
      <c r="H93">
        <f>VLOOKUP(A93,Medical_Examinations[],7,FALSE)</f>
        <v>0</v>
      </c>
      <c r="I93" t="str">
        <f>VLOOKUP(A93,Medical_Examinations[],8,FALSE)</f>
        <v>Yes</v>
      </c>
      <c r="J93" t="str">
        <f>VLOOKUP(A93,Medical_Examinations[],9,FALSE)</f>
        <v>Obesity</v>
      </c>
      <c r="K93" t="str">
        <f>VLOOKUP(A93,Medical_Examinations[],10,FALSE)</f>
        <v>Normal</v>
      </c>
      <c r="M93">
        <f>VLOOKUP(A93,Hospitalisation_Details__2[],4,FALSE)</f>
        <v>40904.199999999997</v>
      </c>
      <c r="N93" t="str">
        <f>VLOOKUP(A93,Hospitalisation_Details__2[],5,FALSE)</f>
        <v>tier - 1</v>
      </c>
      <c r="O93" t="str">
        <f>VLOOKUP(A93,Hospitalisation_Details__2[],6,FALSE)</f>
        <v>tier - 1</v>
      </c>
      <c r="P93" t="str">
        <f>VLOOKUP(A93,Hospitalisation_Details__2[],7,FALSE)</f>
        <v>R1024</v>
      </c>
    </row>
    <row r="94" spans="1:16" x14ac:dyDescent="0.35">
      <c r="A94" t="str">
        <v>Id93</v>
      </c>
      <c r="B94" t="str">
        <f>VLOOKUP(A94,'Customer Names (2)'!A:B, 2,FALSE)</f>
        <v>Mr</v>
      </c>
      <c r="C94">
        <f>VLOOKUP(A94,Medical_Examinations[],2,FALSE)</f>
        <v>50.58</v>
      </c>
      <c r="D94">
        <f>VLOOKUP(A94,Medical_Examinations[],3,FALSE)</f>
        <v>5.12</v>
      </c>
      <c r="E94" t="str">
        <f>VLOOKUP(A94,Medical_Examinations[],4,FALSE)</f>
        <v>No</v>
      </c>
      <c r="F94" t="str">
        <f>VLOOKUP(A94,Medical_Examinations[],5,FALSE)</f>
        <v>No</v>
      </c>
      <c r="G94" t="str">
        <f>VLOOKUP(A94,Medical_Examinations[],6,FALSE)</f>
        <v>No</v>
      </c>
      <c r="H94">
        <f>VLOOKUP(A94,Medical_Examinations[],7,FALSE)</f>
        <v>2</v>
      </c>
      <c r="I94" t="str">
        <f>VLOOKUP(A94,Medical_Examinations[],8,FALSE)</f>
        <v>Yes</v>
      </c>
      <c r="J94" t="str">
        <f>VLOOKUP(A94,Medical_Examinations[],9,FALSE)</f>
        <v>Obesity</v>
      </c>
      <c r="K94" t="str">
        <f>VLOOKUP(A94,Medical_Examinations[],10,FALSE)</f>
        <v>Normal</v>
      </c>
      <c r="M94">
        <f>VLOOKUP(A94,Hospitalisation_Details__2[],4,FALSE)</f>
        <v>40817.85</v>
      </c>
      <c r="N94" t="str">
        <f>VLOOKUP(A94,Hospitalisation_Details__2[],5,FALSE)</f>
        <v>tier - 1</v>
      </c>
      <c r="O94" t="str">
        <f>VLOOKUP(A94,Hospitalisation_Details__2[],6,FALSE)</f>
        <v>tier - 3</v>
      </c>
      <c r="P94" t="str">
        <f>VLOOKUP(A94,Hospitalisation_Details__2[],7,FALSE)</f>
        <v>R1011</v>
      </c>
    </row>
    <row r="95" spans="1:16" x14ac:dyDescent="0.35">
      <c r="A95" t="str">
        <v>Id94</v>
      </c>
      <c r="B95" t="str">
        <f>VLOOKUP(A95,'Customer Names (2)'!A:B, 2,FALSE)</f>
        <v>Mr</v>
      </c>
      <c r="C95">
        <f>VLOOKUP(A95,Medical_Examinations[],2,FALSE)</f>
        <v>30.495000000000001</v>
      </c>
      <c r="D95">
        <f>VLOOKUP(A95,Medical_Examinations[],3,FALSE)</f>
        <v>4.57</v>
      </c>
      <c r="E95" t="str">
        <f>VLOOKUP(A95,Medical_Examinations[],4,FALSE)</f>
        <v>Yes</v>
      </c>
      <c r="F95" t="str">
        <f>VLOOKUP(A95,Medical_Examinations[],5,FALSE)</f>
        <v>No</v>
      </c>
      <c r="G95" t="str">
        <f>VLOOKUP(A95,Medical_Examinations[],6,FALSE)</f>
        <v>No</v>
      </c>
      <c r="H95">
        <f>VLOOKUP(A95,Medical_Examinations[],7,FALSE)</f>
        <v>0</v>
      </c>
      <c r="I95" t="str">
        <f>VLOOKUP(A95,Medical_Examinations[],8,FALSE)</f>
        <v>Yes</v>
      </c>
      <c r="J95" t="str">
        <f>VLOOKUP(A95,Medical_Examinations[],9,FALSE)</f>
        <v>Obesity</v>
      </c>
      <c r="K95" t="str">
        <f>VLOOKUP(A95,Medical_Examinations[],10,FALSE)</f>
        <v>Normal</v>
      </c>
      <c r="M95">
        <f>VLOOKUP(A95,Hospitalisation_Details__2[],4,FALSE)</f>
        <v>40720.550000000003</v>
      </c>
      <c r="N95" t="str">
        <f>VLOOKUP(A95,Hospitalisation_Details__2[],5,FALSE)</f>
        <v>tier - 1</v>
      </c>
      <c r="O95" t="str">
        <f>VLOOKUP(A95,Hospitalisation_Details__2[],6,FALSE)</f>
        <v>tier - 3</v>
      </c>
      <c r="P95" t="str">
        <f>VLOOKUP(A95,Hospitalisation_Details__2[],7,FALSE)</f>
        <v>R1012</v>
      </c>
    </row>
    <row r="96" spans="1:16" x14ac:dyDescent="0.35">
      <c r="A96" t="str">
        <v>Id95</v>
      </c>
      <c r="B96" t="str">
        <f>VLOOKUP(A96,'Customer Names (2)'!A:B, 2,FALSE)</f>
        <v>Ms</v>
      </c>
      <c r="C96">
        <f>VLOOKUP(A96,Medical_Examinations[],2,FALSE)</f>
        <v>48.31</v>
      </c>
      <c r="D96">
        <f>VLOOKUP(A96,Medical_Examinations[],3,FALSE)</f>
        <v>9.58</v>
      </c>
      <c r="E96" t="str">
        <f>VLOOKUP(A96,Medical_Examinations[],4,FALSE)</f>
        <v>Yes</v>
      </c>
      <c r="F96" t="str">
        <f>VLOOKUP(A96,Medical_Examinations[],5,FALSE)</f>
        <v>No</v>
      </c>
      <c r="G96" t="str">
        <f>VLOOKUP(A96,Medical_Examinations[],6,FALSE)</f>
        <v>No</v>
      </c>
      <c r="H96">
        <f>VLOOKUP(A96,Medical_Examinations[],7,FALSE)</f>
        <v>2</v>
      </c>
      <c r="I96" t="str">
        <f>VLOOKUP(A96,Medical_Examinations[],8,FALSE)</f>
        <v>Yes</v>
      </c>
      <c r="J96" t="str">
        <f>VLOOKUP(A96,Medical_Examinations[],9,FALSE)</f>
        <v>Obesity</v>
      </c>
      <c r="K96" t="str">
        <f>VLOOKUP(A96,Medical_Examinations[],10,FALSE)</f>
        <v>Diabetes</v>
      </c>
      <c r="M96">
        <f>VLOOKUP(A96,Hospitalisation_Details__2[],4,FALSE)</f>
        <v>40692.910000000003</v>
      </c>
      <c r="N96" t="str">
        <f>VLOOKUP(A96,Hospitalisation_Details__2[],5,FALSE)</f>
        <v>tier - 1</v>
      </c>
      <c r="O96" t="str">
        <f>VLOOKUP(A96,Hospitalisation_Details__2[],6,FALSE)</f>
        <v>tier - 1</v>
      </c>
      <c r="P96" t="str">
        <f>VLOOKUP(A96,Hospitalisation_Details__2[],7,FALSE)</f>
        <v>R1011</v>
      </c>
    </row>
    <row r="97" spans="1:16" x14ac:dyDescent="0.35">
      <c r="A97" t="str">
        <v>Id96</v>
      </c>
      <c r="B97" t="str">
        <f>VLOOKUP(A97,'Customer Names (2)'!A:B, 2,FALSE)</f>
        <v>Mr</v>
      </c>
      <c r="C97">
        <f>VLOOKUP(A97,Medical_Examinations[],2,FALSE)</f>
        <v>48.99</v>
      </c>
      <c r="D97">
        <f>VLOOKUP(A97,Medical_Examinations[],3,FALSE)</f>
        <v>9.7799999999999994</v>
      </c>
      <c r="E97" t="str">
        <f>VLOOKUP(A97,Medical_Examinations[],4,FALSE)</f>
        <v>Yes</v>
      </c>
      <c r="F97" t="str">
        <f>VLOOKUP(A97,Medical_Examinations[],5,FALSE)</f>
        <v>No</v>
      </c>
      <c r="G97" t="str">
        <f>VLOOKUP(A97,Medical_Examinations[],6,FALSE)</f>
        <v>No</v>
      </c>
      <c r="H97">
        <f>VLOOKUP(A97,Medical_Examinations[],7,FALSE)</f>
        <v>1</v>
      </c>
      <c r="I97" t="str">
        <f>VLOOKUP(A97,Medical_Examinations[],8,FALSE)</f>
        <v>Yes</v>
      </c>
      <c r="J97" t="str">
        <f>VLOOKUP(A97,Medical_Examinations[],9,FALSE)</f>
        <v>Obesity</v>
      </c>
      <c r="K97" t="str">
        <f>VLOOKUP(A97,Medical_Examinations[],10,FALSE)</f>
        <v>Diabetes</v>
      </c>
      <c r="M97">
        <f>VLOOKUP(A97,Hospitalisation_Details__2[],4,FALSE)</f>
        <v>40590.550000000003</v>
      </c>
      <c r="N97" t="str">
        <f>VLOOKUP(A97,Hospitalisation_Details__2[],5,FALSE)</f>
        <v>tier - 1</v>
      </c>
      <c r="O97" t="str">
        <f>VLOOKUP(A97,Hospitalisation_Details__2[],6,FALSE)</f>
        <v>tier - 3</v>
      </c>
      <c r="P97" t="str">
        <f>VLOOKUP(A97,Hospitalisation_Details__2[],7,FALSE)</f>
        <v>R1012</v>
      </c>
    </row>
    <row r="98" spans="1:16" x14ac:dyDescent="0.35">
      <c r="A98" t="str">
        <v>Id97</v>
      </c>
      <c r="B98" t="str">
        <f>VLOOKUP(A98,'Customer Names (2)'!A:B, 2,FALSE)</f>
        <v>Ms</v>
      </c>
      <c r="C98">
        <f>VLOOKUP(A98,Medical_Examinations[],2,FALSE)</f>
        <v>38.39</v>
      </c>
      <c r="D98">
        <f>VLOOKUP(A98,Medical_Examinations[],3,FALSE)</f>
        <v>4.1100000000000003</v>
      </c>
      <c r="E98" t="str">
        <f>VLOOKUP(A98,Medical_Examinations[],4,FALSE)</f>
        <v>Yes</v>
      </c>
      <c r="F98" t="str">
        <f>VLOOKUP(A98,Medical_Examinations[],5,FALSE)</f>
        <v>No</v>
      </c>
      <c r="G98" t="str">
        <f>VLOOKUP(A98,Medical_Examinations[],6,FALSE)</f>
        <v>No</v>
      </c>
      <c r="H98">
        <f>VLOOKUP(A98,Medical_Examinations[],7,FALSE)</f>
        <v>0</v>
      </c>
      <c r="I98" t="str">
        <f>VLOOKUP(A98,Medical_Examinations[],8,FALSE)</f>
        <v>Yes</v>
      </c>
      <c r="J98" t="str">
        <f>VLOOKUP(A98,Medical_Examinations[],9,FALSE)</f>
        <v>Obesity</v>
      </c>
      <c r="K98" t="str">
        <f>VLOOKUP(A98,Medical_Examinations[],10,FALSE)</f>
        <v>Normal</v>
      </c>
      <c r="M98">
        <f>VLOOKUP(A98,Hospitalisation_Details__2[],4,FALSE)</f>
        <v>40419.019999999997</v>
      </c>
      <c r="N98" t="str">
        <f>VLOOKUP(A98,Hospitalisation_Details__2[],5,FALSE)</f>
        <v>tier - 1</v>
      </c>
      <c r="O98" t="str">
        <f>VLOOKUP(A98,Hospitalisation_Details__2[],6,FALSE)</f>
        <v>tier - 2</v>
      </c>
      <c r="P98" t="str">
        <f>VLOOKUP(A98,Hospitalisation_Details__2[],7,FALSE)</f>
        <v>R1013</v>
      </c>
    </row>
    <row r="99" spans="1:16" x14ac:dyDescent="0.35">
      <c r="A99" t="str">
        <v>Id98</v>
      </c>
      <c r="B99" t="str">
        <f>VLOOKUP(A99,'Customer Names (2)'!A:B, 2,FALSE)</f>
        <v>Ms</v>
      </c>
      <c r="C99">
        <f>VLOOKUP(A99,Medical_Examinations[],2,FALSE)</f>
        <v>44.34</v>
      </c>
      <c r="D99">
        <f>VLOOKUP(A99,Medical_Examinations[],3,FALSE)</f>
        <v>4.0199999999999996</v>
      </c>
      <c r="E99" t="str">
        <f>VLOOKUP(A99,Medical_Examinations[],4,FALSE)</f>
        <v>Yes</v>
      </c>
      <c r="F99" t="str">
        <f>VLOOKUP(A99,Medical_Examinations[],5,FALSE)</f>
        <v>No</v>
      </c>
      <c r="G99" t="str">
        <f>VLOOKUP(A99,Medical_Examinations[],6,FALSE)</f>
        <v>No</v>
      </c>
      <c r="H99">
        <f>VLOOKUP(A99,Medical_Examinations[],7,FALSE)</f>
        <v>2</v>
      </c>
      <c r="I99" t="str">
        <f>VLOOKUP(A99,Medical_Examinations[],8,FALSE)</f>
        <v>Yes</v>
      </c>
      <c r="J99" t="str">
        <f>VLOOKUP(A99,Medical_Examinations[],9,FALSE)</f>
        <v>Obesity</v>
      </c>
      <c r="K99" t="str">
        <f>VLOOKUP(A99,Medical_Examinations[],10,FALSE)</f>
        <v>Normal</v>
      </c>
      <c r="M99">
        <f>VLOOKUP(A99,Hospitalisation_Details__2[],4,FALSE)</f>
        <v>40373.74</v>
      </c>
      <c r="N99" t="str">
        <f>VLOOKUP(A99,Hospitalisation_Details__2[],5,FALSE)</f>
        <v>tier - 1</v>
      </c>
      <c r="O99" t="str">
        <f>VLOOKUP(A99,Hospitalisation_Details__2[],6,FALSE)</f>
        <v>tier - 3</v>
      </c>
      <c r="P99" t="str">
        <f>VLOOKUP(A99,Hospitalisation_Details__2[],7,FALSE)</f>
        <v>R1011</v>
      </c>
    </row>
    <row r="100" spans="1:16" x14ac:dyDescent="0.35">
      <c r="A100" t="str">
        <v>Id99</v>
      </c>
      <c r="B100" t="str">
        <f>VLOOKUP(A100,'Customer Names (2)'!A:B, 2,FALSE)</f>
        <v>Mr</v>
      </c>
      <c r="C100">
        <f>VLOOKUP(A100,Medical_Examinations[],2,FALSE)</f>
        <v>41.51</v>
      </c>
      <c r="D100">
        <f>VLOOKUP(A100,Medical_Examinations[],3,FALSE)</f>
        <v>6.92</v>
      </c>
      <c r="E100" t="str">
        <f>VLOOKUP(A100,Medical_Examinations[],4,FALSE)</f>
        <v>No</v>
      </c>
      <c r="F100" t="str">
        <f>VLOOKUP(A100,Medical_Examinations[],5,FALSE)</f>
        <v>No</v>
      </c>
      <c r="G100" t="str">
        <f>VLOOKUP(A100,Medical_Examinations[],6,FALSE)</f>
        <v>No</v>
      </c>
      <c r="H100">
        <f>VLOOKUP(A100,Medical_Examinations[],7,FALSE)</f>
        <v>0</v>
      </c>
      <c r="I100" t="str">
        <f>VLOOKUP(A100,Medical_Examinations[],8,FALSE)</f>
        <v>Yes</v>
      </c>
      <c r="J100" t="str">
        <f>VLOOKUP(A100,Medical_Examinations[],9,FALSE)</f>
        <v>Obesity</v>
      </c>
      <c r="K100" t="str">
        <f>VLOOKUP(A100,Medical_Examinations[],10,FALSE)</f>
        <v>Diabetes</v>
      </c>
      <c r="M100">
        <f>VLOOKUP(A100,Hospitalisation_Details__2[],4,FALSE)</f>
        <v>40309.93</v>
      </c>
      <c r="N100" t="str">
        <f>VLOOKUP(A100,Hospitalisation_Details__2[],5,FALSE)</f>
        <v>tier - 1</v>
      </c>
      <c r="O100" t="str">
        <f>VLOOKUP(A100,Hospitalisation_Details__2[],6,FALSE)</f>
        <v>tier - 3</v>
      </c>
      <c r="P100" t="str">
        <f>VLOOKUP(A100,Hospitalisation_Details__2[],7,FALSE)</f>
        <v>R1011</v>
      </c>
    </row>
    <row r="101" spans="1:16" x14ac:dyDescent="0.35">
      <c r="A101" t="str">
        <v>Id100</v>
      </c>
      <c r="B101" t="str">
        <f>VLOOKUP(A101,'Customer Names (2)'!A:B, 2,FALSE)</f>
        <v>Mr</v>
      </c>
      <c r="C101">
        <f>VLOOKUP(A101,Medical_Examinations[],2,FALSE)</f>
        <v>48.2</v>
      </c>
      <c r="D101">
        <f>VLOOKUP(A101,Medical_Examinations[],3,FALSE)</f>
        <v>4.84</v>
      </c>
      <c r="E101" t="str">
        <f>VLOOKUP(A101,Medical_Examinations[],4,FALSE)</f>
        <v>No</v>
      </c>
      <c r="F101" t="str">
        <f>VLOOKUP(A101,Medical_Examinations[],5,FALSE)</f>
        <v>No</v>
      </c>
      <c r="G101" t="str">
        <f>VLOOKUP(A101,Medical_Examinations[],6,FALSE)</f>
        <v>No</v>
      </c>
      <c r="H101">
        <f>VLOOKUP(A101,Medical_Examinations[],7,FALSE)</f>
        <v>0</v>
      </c>
      <c r="I101" t="str">
        <f>VLOOKUP(A101,Medical_Examinations[],8,FALSE)</f>
        <v>Yes</v>
      </c>
      <c r="J101" t="str">
        <f>VLOOKUP(A101,Medical_Examinations[],9,FALSE)</f>
        <v>Obesity</v>
      </c>
      <c r="K101" t="str">
        <f>VLOOKUP(A101,Medical_Examinations[],10,FALSE)</f>
        <v>Normal</v>
      </c>
      <c r="M101">
        <f>VLOOKUP(A101,Hospitalisation_Details__2[],4,FALSE)</f>
        <v>40284.379999999997</v>
      </c>
      <c r="N101" t="str">
        <f>VLOOKUP(A101,Hospitalisation_Details__2[],5,FALSE)</f>
        <v>tier - 1</v>
      </c>
      <c r="O101" t="str">
        <f>VLOOKUP(A101,Hospitalisation_Details__2[],6,FALSE)</f>
        <v>tier - 3</v>
      </c>
      <c r="P101" t="str">
        <f>VLOOKUP(A101,Hospitalisation_Details__2[],7,FALSE)</f>
        <v>R1012</v>
      </c>
    </row>
    <row r="102" spans="1:16" x14ac:dyDescent="0.35">
      <c r="A102" t="str">
        <v>Id101</v>
      </c>
      <c r="B102" t="str">
        <f>VLOOKUP(A102,'Customer Names (2)'!A:B, 2,FALSE)</f>
        <v>Mr</v>
      </c>
      <c r="C102">
        <f>VLOOKUP(A102,Medical_Examinations[],2,FALSE)</f>
        <v>35.75</v>
      </c>
      <c r="D102">
        <f>VLOOKUP(A102,Medical_Examinations[],3,FALSE)</f>
        <v>8</v>
      </c>
      <c r="E102" t="str">
        <f>VLOOKUP(A102,Medical_Examinations[],4,FALSE)</f>
        <v>Yes</v>
      </c>
      <c r="F102" t="str">
        <f>VLOOKUP(A102,Medical_Examinations[],5,FALSE)</f>
        <v>No</v>
      </c>
      <c r="G102" t="str">
        <f>VLOOKUP(A102,Medical_Examinations[],6,FALSE)</f>
        <v>No</v>
      </c>
      <c r="H102">
        <f>VLOOKUP(A102,Medical_Examinations[],7,FALSE)</f>
        <v>0</v>
      </c>
      <c r="I102" t="str">
        <f>VLOOKUP(A102,Medical_Examinations[],8,FALSE)</f>
        <v>Yes</v>
      </c>
      <c r="J102" t="str">
        <f>VLOOKUP(A102,Medical_Examinations[],9,FALSE)</f>
        <v>Obesity</v>
      </c>
      <c r="K102" t="str">
        <f>VLOOKUP(A102,Medical_Examinations[],10,FALSE)</f>
        <v>Diabetes</v>
      </c>
      <c r="M102">
        <f>VLOOKUP(A102,Hospitalisation_Details__2[],4,FALSE)</f>
        <v>40273.65</v>
      </c>
      <c r="N102" t="str">
        <f>VLOOKUP(A102,Hospitalisation_Details__2[],5,FALSE)</f>
        <v>tier - 1</v>
      </c>
      <c r="O102" t="str">
        <f>VLOOKUP(A102,Hospitalisation_Details__2[],6,FALSE)</f>
        <v>tier - 3</v>
      </c>
      <c r="P102" t="str">
        <f>VLOOKUP(A102,Hospitalisation_Details__2[],7,FALSE)</f>
        <v>R1013</v>
      </c>
    </row>
    <row r="103" spans="1:16" x14ac:dyDescent="0.35">
      <c r="A103" t="str">
        <v>Id102</v>
      </c>
      <c r="B103" t="str">
        <f>VLOOKUP(A103,'Customer Names (2)'!A:B, 2,FALSE)</f>
        <v>Ms</v>
      </c>
      <c r="C103">
        <f>VLOOKUP(A103,Medical_Examinations[],2,FALSE)</f>
        <v>53.81</v>
      </c>
      <c r="D103">
        <f>VLOOKUP(A103,Medical_Examinations[],3,FALSE)</f>
        <v>8.77</v>
      </c>
      <c r="E103" t="str">
        <f>VLOOKUP(A103,Medical_Examinations[],4,FALSE)</f>
        <v>Yes</v>
      </c>
      <c r="F103" t="str">
        <f>VLOOKUP(A103,Medical_Examinations[],5,FALSE)</f>
        <v>No</v>
      </c>
      <c r="G103" t="str">
        <f>VLOOKUP(A103,Medical_Examinations[],6,FALSE)</f>
        <v>No</v>
      </c>
      <c r="H103">
        <f>VLOOKUP(A103,Medical_Examinations[],7,FALSE)</f>
        <v>0</v>
      </c>
      <c r="I103" t="str">
        <f>VLOOKUP(A103,Medical_Examinations[],8,FALSE)</f>
        <v>Yes</v>
      </c>
      <c r="J103" t="str">
        <f>VLOOKUP(A103,Medical_Examinations[],9,FALSE)</f>
        <v>Obesity</v>
      </c>
      <c r="K103" t="str">
        <f>VLOOKUP(A103,Medical_Examinations[],10,FALSE)</f>
        <v>Diabetes</v>
      </c>
      <c r="M103">
        <f>VLOOKUP(A103,Hospitalisation_Details__2[],4,FALSE)</f>
        <v>40208.559999999998</v>
      </c>
      <c r="N103" t="str">
        <f>VLOOKUP(A103,Hospitalisation_Details__2[],5,FALSE)</f>
        <v>tier - 1</v>
      </c>
      <c r="O103" t="str">
        <f>VLOOKUP(A103,Hospitalisation_Details__2[],6,FALSE)</f>
        <v>tier - 2</v>
      </c>
      <c r="P103" t="str">
        <f>VLOOKUP(A103,Hospitalisation_Details__2[],7,FALSE)</f>
        <v>R1011</v>
      </c>
    </row>
    <row r="104" spans="1:16" x14ac:dyDescent="0.35">
      <c r="A104" t="str">
        <v>Id103</v>
      </c>
      <c r="B104" t="str">
        <f>VLOOKUP(A104,'Customer Names (2)'!A:B, 2,FALSE)</f>
        <v>Mr</v>
      </c>
      <c r="C104">
        <f>VLOOKUP(A104,Medical_Examinations[],2,FALSE)</f>
        <v>49.48</v>
      </c>
      <c r="D104">
        <f>VLOOKUP(A104,Medical_Examinations[],3,FALSE)</f>
        <v>4.96</v>
      </c>
      <c r="E104" t="str">
        <f>VLOOKUP(A104,Medical_Examinations[],4,FALSE)</f>
        <v>No</v>
      </c>
      <c r="F104" t="str">
        <f>VLOOKUP(A104,Medical_Examinations[],5,FALSE)</f>
        <v>No</v>
      </c>
      <c r="G104" t="str">
        <f>VLOOKUP(A104,Medical_Examinations[],6,FALSE)</f>
        <v>Yes</v>
      </c>
      <c r="H104">
        <f>VLOOKUP(A104,Medical_Examinations[],7,FALSE)</f>
        <v>1</v>
      </c>
      <c r="I104" t="str">
        <f>VLOOKUP(A104,Medical_Examinations[],8,FALSE)</f>
        <v>Yes</v>
      </c>
      <c r="J104" t="str">
        <f>VLOOKUP(A104,Medical_Examinations[],9,FALSE)</f>
        <v>Obesity</v>
      </c>
      <c r="K104" t="str">
        <f>VLOOKUP(A104,Medical_Examinations[],10,FALSE)</f>
        <v>Normal</v>
      </c>
      <c r="M104">
        <f>VLOOKUP(A104,Hospitalisation_Details__2[],4,FALSE)</f>
        <v>40204.83</v>
      </c>
      <c r="N104" t="str">
        <f>VLOOKUP(A104,Hospitalisation_Details__2[],5,FALSE)</f>
        <v>tier - 1</v>
      </c>
      <c r="O104" t="str">
        <f>VLOOKUP(A104,Hospitalisation_Details__2[],6,FALSE)</f>
        <v>tier - 3</v>
      </c>
      <c r="P104" t="str">
        <f>VLOOKUP(A104,Hospitalisation_Details__2[],7,FALSE)</f>
        <v>R1012</v>
      </c>
    </row>
    <row r="105" spans="1:16" x14ac:dyDescent="0.35">
      <c r="A105" t="str">
        <v>Id104</v>
      </c>
      <c r="B105" t="str">
        <f>VLOOKUP(A105,'Customer Names (2)'!A:B, 2,FALSE)</f>
        <v>Mr</v>
      </c>
      <c r="C105">
        <f>VLOOKUP(A105,Medical_Examinations[],2,FALSE)</f>
        <v>34.1</v>
      </c>
      <c r="D105">
        <f>VLOOKUP(A105,Medical_Examinations[],3,FALSE)</f>
        <v>4.43</v>
      </c>
      <c r="E105" t="str">
        <f>VLOOKUP(A105,Medical_Examinations[],4,FALSE)</f>
        <v>Yes</v>
      </c>
      <c r="F105" t="str">
        <f>VLOOKUP(A105,Medical_Examinations[],5,FALSE)</f>
        <v>No</v>
      </c>
      <c r="G105" t="str">
        <f>VLOOKUP(A105,Medical_Examinations[],6,FALSE)</f>
        <v>No</v>
      </c>
      <c r="H105">
        <f>VLOOKUP(A105,Medical_Examinations[],7,FALSE)</f>
        <v>0</v>
      </c>
      <c r="I105" t="str">
        <f>VLOOKUP(A105,Medical_Examinations[],8,FALSE)</f>
        <v>Yes</v>
      </c>
      <c r="J105" t="str">
        <f>VLOOKUP(A105,Medical_Examinations[],9,FALSE)</f>
        <v>Obesity</v>
      </c>
      <c r="K105" t="str">
        <f>VLOOKUP(A105,Medical_Examinations[],10,FALSE)</f>
        <v>Normal</v>
      </c>
      <c r="M105">
        <f>VLOOKUP(A105,Hospitalisation_Details__2[],4,FALSE)</f>
        <v>40182.25</v>
      </c>
      <c r="N105" t="str">
        <f>VLOOKUP(A105,Hospitalisation_Details__2[],5,FALSE)</f>
        <v>tier - 1</v>
      </c>
      <c r="O105" t="str">
        <f>VLOOKUP(A105,Hospitalisation_Details__2[],6,FALSE)</f>
        <v>tier - 2</v>
      </c>
      <c r="P105" t="str">
        <f>VLOOKUP(A105,Hospitalisation_Details__2[],7,FALSE)</f>
        <v>R1011</v>
      </c>
    </row>
    <row r="106" spans="1:16" x14ac:dyDescent="0.35">
      <c r="A106" t="str">
        <v>Id105</v>
      </c>
      <c r="B106" t="str">
        <f>VLOOKUP(A106,'Customer Names (2)'!A:B, 2,FALSE)</f>
        <v>Mr</v>
      </c>
      <c r="C106">
        <f>VLOOKUP(A106,Medical_Examinations[],2,FALSE)</f>
        <v>35.299999999999997</v>
      </c>
      <c r="D106">
        <f>VLOOKUP(A106,Medical_Examinations[],3,FALSE)</f>
        <v>5.82</v>
      </c>
      <c r="E106" t="str">
        <f>VLOOKUP(A106,Medical_Examinations[],4,FALSE)</f>
        <v>Yes</v>
      </c>
      <c r="F106" t="str">
        <f>VLOOKUP(A106,Medical_Examinations[],5,FALSE)</f>
        <v>No</v>
      </c>
      <c r="G106" t="str">
        <f>VLOOKUP(A106,Medical_Examinations[],6,FALSE)</f>
        <v>Yes</v>
      </c>
      <c r="H106">
        <f>VLOOKUP(A106,Medical_Examinations[],7,FALSE)</f>
        <v>1</v>
      </c>
      <c r="I106" t="str">
        <f>VLOOKUP(A106,Medical_Examinations[],8,FALSE)</f>
        <v>Yes</v>
      </c>
      <c r="J106" t="str">
        <f>VLOOKUP(A106,Medical_Examinations[],9,FALSE)</f>
        <v>Obesity</v>
      </c>
      <c r="K106" t="str">
        <f>VLOOKUP(A106,Medical_Examinations[],10,FALSE)</f>
        <v>Prediabetes</v>
      </c>
      <c r="M106">
        <f>VLOOKUP(A106,Hospitalisation_Details__2[],4,FALSE)</f>
        <v>40103.89</v>
      </c>
      <c r="N106" t="str">
        <f>VLOOKUP(A106,Hospitalisation_Details__2[],5,FALSE)</f>
        <v>tier - 1</v>
      </c>
      <c r="O106" t="str">
        <f>VLOOKUP(A106,Hospitalisation_Details__2[],6,FALSE)</f>
        <v>tier - 2</v>
      </c>
      <c r="P106" t="str">
        <f>VLOOKUP(A106,Hospitalisation_Details__2[],7,FALSE)</f>
        <v>R1011</v>
      </c>
    </row>
    <row r="107" spans="1:16" x14ac:dyDescent="0.35">
      <c r="A107" t="str">
        <v>Id106</v>
      </c>
      <c r="B107" t="str">
        <f>VLOOKUP(A107,'Customer Names (2)'!A:B, 2,FALSE)</f>
        <v>Mr</v>
      </c>
      <c r="C107">
        <f>VLOOKUP(A107,Medical_Examinations[],2,FALSE)</f>
        <v>43.83</v>
      </c>
      <c r="D107">
        <f>VLOOKUP(A107,Medical_Examinations[],3,FALSE)</f>
        <v>6.03</v>
      </c>
      <c r="E107" t="str">
        <f>VLOOKUP(A107,Medical_Examinations[],4,FALSE)</f>
        <v>Yes</v>
      </c>
      <c r="F107" t="str">
        <f>VLOOKUP(A107,Medical_Examinations[],5,FALSE)</f>
        <v>No</v>
      </c>
      <c r="G107" t="str">
        <f>VLOOKUP(A107,Medical_Examinations[],6,FALSE)</f>
        <v>No</v>
      </c>
      <c r="H107">
        <f>VLOOKUP(A107,Medical_Examinations[],7,FALSE)</f>
        <v>2</v>
      </c>
      <c r="I107" t="str">
        <f>VLOOKUP(A107,Medical_Examinations[],8,FALSE)</f>
        <v>Yes</v>
      </c>
      <c r="J107" t="str">
        <f>VLOOKUP(A107,Medical_Examinations[],9,FALSE)</f>
        <v>Obesity</v>
      </c>
      <c r="K107" t="str">
        <f>VLOOKUP(A107,Medical_Examinations[],10,FALSE)</f>
        <v>Prediabetes</v>
      </c>
      <c r="M107">
        <f>VLOOKUP(A107,Hospitalisation_Details__2[],4,FALSE)</f>
        <v>40069.440000000002</v>
      </c>
      <c r="N107" t="str">
        <f>VLOOKUP(A107,Hospitalisation_Details__2[],5,FALSE)</f>
        <v>tier - 1</v>
      </c>
      <c r="O107" t="str">
        <f>VLOOKUP(A107,Hospitalisation_Details__2[],6,FALSE)</f>
        <v>tier - 3</v>
      </c>
      <c r="P107" t="str">
        <f>VLOOKUP(A107,Hospitalisation_Details__2[],7,FALSE)</f>
        <v>R1011</v>
      </c>
    </row>
    <row r="108" spans="1:16" x14ac:dyDescent="0.35">
      <c r="A108" t="str">
        <v>Id107</v>
      </c>
      <c r="B108" t="str">
        <f>VLOOKUP(A108,'Customer Names (2)'!A:B, 2,FALSE)</f>
        <v>Mr</v>
      </c>
      <c r="C108">
        <f>VLOOKUP(A108,Medical_Examinations[],2,FALSE)</f>
        <v>50.07</v>
      </c>
      <c r="D108">
        <f>VLOOKUP(A108,Medical_Examinations[],3,FALSE)</f>
        <v>9.27</v>
      </c>
      <c r="E108" t="str">
        <f>VLOOKUP(A108,Medical_Examinations[],4,FALSE)</f>
        <v>No</v>
      </c>
      <c r="F108" t="str">
        <f>VLOOKUP(A108,Medical_Examinations[],5,FALSE)</f>
        <v>No</v>
      </c>
      <c r="G108" t="str">
        <f>VLOOKUP(A108,Medical_Examinations[],6,FALSE)</f>
        <v>No</v>
      </c>
      <c r="H108">
        <f>VLOOKUP(A108,Medical_Examinations[],7,FALSE)</f>
        <v>0</v>
      </c>
      <c r="I108" t="str">
        <f>VLOOKUP(A108,Medical_Examinations[],8,FALSE)</f>
        <v>Yes</v>
      </c>
      <c r="J108" t="str">
        <f>VLOOKUP(A108,Medical_Examinations[],9,FALSE)</f>
        <v>Obesity</v>
      </c>
      <c r="K108" t="str">
        <f>VLOOKUP(A108,Medical_Examinations[],10,FALSE)</f>
        <v>Diabetes</v>
      </c>
      <c r="M108">
        <f>VLOOKUP(A108,Hospitalisation_Details__2[],4,FALSE)</f>
        <v>40054.730000000003</v>
      </c>
      <c r="N108" t="str">
        <f>VLOOKUP(A108,Hospitalisation_Details__2[],5,FALSE)</f>
        <v>tier - 1</v>
      </c>
      <c r="O108" t="str">
        <f>VLOOKUP(A108,Hospitalisation_Details__2[],6,FALSE)</f>
        <v>tier - 3</v>
      </c>
      <c r="P108" t="str">
        <f>VLOOKUP(A108,Hospitalisation_Details__2[],7,FALSE)</f>
        <v>R1011</v>
      </c>
    </row>
    <row r="109" spans="1:16" x14ac:dyDescent="0.35">
      <c r="A109" t="str">
        <v>Id108</v>
      </c>
      <c r="B109" t="str">
        <f>VLOOKUP(A109,'Customer Names (2)'!A:B, 2,FALSE)</f>
        <v>Ms</v>
      </c>
      <c r="C109">
        <f>VLOOKUP(A109,Medical_Examinations[],2,FALSE)</f>
        <v>32.774999999999999</v>
      </c>
      <c r="D109">
        <f>VLOOKUP(A109,Medical_Examinations[],3,FALSE)</f>
        <v>5.53</v>
      </c>
      <c r="E109" t="str">
        <f>VLOOKUP(A109,Medical_Examinations[],4,FALSE)</f>
        <v>No</v>
      </c>
      <c r="F109" t="str">
        <f>VLOOKUP(A109,Medical_Examinations[],5,FALSE)</f>
        <v>No</v>
      </c>
      <c r="G109" t="str">
        <f>VLOOKUP(A109,Medical_Examinations[],6,FALSE)</f>
        <v>No</v>
      </c>
      <c r="H109">
        <f>VLOOKUP(A109,Medical_Examinations[],7,FALSE)</f>
        <v>0</v>
      </c>
      <c r="I109" t="str">
        <f>VLOOKUP(A109,Medical_Examinations[],8,FALSE)</f>
        <v>Yes</v>
      </c>
      <c r="J109" t="str">
        <f>VLOOKUP(A109,Medical_Examinations[],9,FALSE)</f>
        <v>Obesity</v>
      </c>
      <c r="K109" t="str">
        <f>VLOOKUP(A109,Medical_Examinations[],10,FALSE)</f>
        <v>Normal</v>
      </c>
      <c r="M109">
        <f>VLOOKUP(A109,Hospitalisation_Details__2[],4,FALSE)</f>
        <v>40003.33</v>
      </c>
      <c r="N109" t="str">
        <f>VLOOKUP(A109,Hospitalisation_Details__2[],5,FALSE)</f>
        <v>tier - 1</v>
      </c>
      <c r="O109" t="str">
        <f>VLOOKUP(A109,Hospitalisation_Details__2[],6,FALSE)</f>
        <v>tier - 1</v>
      </c>
      <c r="P109" t="str">
        <f>VLOOKUP(A109,Hospitalisation_Details__2[],7,FALSE)</f>
        <v>R1012</v>
      </c>
    </row>
    <row r="110" spans="1:16" x14ac:dyDescent="0.35">
      <c r="A110" t="str">
        <v>Id109</v>
      </c>
      <c r="B110" t="str">
        <f>VLOOKUP(A110,'Customer Names (2)'!A:B, 2,FALSE)</f>
        <v>Ms</v>
      </c>
      <c r="C110">
        <f>VLOOKUP(A110,Medical_Examinations[],2,FALSE)</f>
        <v>34.104999999999997</v>
      </c>
      <c r="D110">
        <f>VLOOKUP(A110,Medical_Examinations[],3,FALSE)</f>
        <v>5.07</v>
      </c>
      <c r="E110" t="str">
        <f>VLOOKUP(A110,Medical_Examinations[],4,FALSE)</f>
        <v>No</v>
      </c>
      <c r="F110" t="str">
        <f>VLOOKUP(A110,Medical_Examinations[],5,FALSE)</f>
        <v>No</v>
      </c>
      <c r="G110" t="str">
        <f>VLOOKUP(A110,Medical_Examinations[],6,FALSE)</f>
        <v>No</v>
      </c>
      <c r="H110">
        <f>VLOOKUP(A110,Medical_Examinations[],7,FALSE)</f>
        <v>1</v>
      </c>
      <c r="I110" t="str">
        <f>VLOOKUP(A110,Medical_Examinations[],8,FALSE)</f>
        <v>Yes</v>
      </c>
      <c r="J110" t="str">
        <f>VLOOKUP(A110,Medical_Examinations[],9,FALSE)</f>
        <v>Obesity</v>
      </c>
      <c r="K110" t="str">
        <f>VLOOKUP(A110,Medical_Examinations[],10,FALSE)</f>
        <v>Normal</v>
      </c>
      <c r="M110">
        <f>VLOOKUP(A110,Hospitalisation_Details__2[],4,FALSE)</f>
        <v>39983.43</v>
      </c>
      <c r="N110" t="str">
        <f>VLOOKUP(A110,Hospitalisation_Details__2[],5,FALSE)</f>
        <v>tier - 2</v>
      </c>
      <c r="O110" t="str">
        <f>VLOOKUP(A110,Hospitalisation_Details__2[],6,FALSE)</f>
        <v>tier - 3</v>
      </c>
      <c r="P110" t="str">
        <f>VLOOKUP(A110,Hospitalisation_Details__2[],7,FALSE)</f>
        <v>R1012</v>
      </c>
    </row>
    <row r="111" spans="1:16" x14ac:dyDescent="0.35">
      <c r="A111" t="str">
        <v>Id110</v>
      </c>
      <c r="B111" t="str">
        <f>VLOOKUP(A111,'Customer Names (2)'!A:B, 2,FALSE)</f>
        <v>Mr</v>
      </c>
      <c r="C111">
        <f>VLOOKUP(A111,Medical_Examinations[],2,FALSE)</f>
        <v>48.93</v>
      </c>
      <c r="D111">
        <f>VLOOKUP(A111,Medical_Examinations[],3,FALSE)</f>
        <v>11.17</v>
      </c>
      <c r="E111" t="str">
        <f>VLOOKUP(A111,Medical_Examinations[],4,FALSE)</f>
        <v>Yes</v>
      </c>
      <c r="F111" t="str">
        <f>VLOOKUP(A111,Medical_Examinations[],5,FALSE)</f>
        <v>No</v>
      </c>
      <c r="G111" t="str">
        <f>VLOOKUP(A111,Medical_Examinations[],6,FALSE)</f>
        <v>No</v>
      </c>
      <c r="H111">
        <f>VLOOKUP(A111,Medical_Examinations[],7,FALSE)</f>
        <v>1</v>
      </c>
      <c r="I111" t="str">
        <f>VLOOKUP(A111,Medical_Examinations[],8,FALSE)</f>
        <v>Yes</v>
      </c>
      <c r="J111" t="str">
        <f>VLOOKUP(A111,Medical_Examinations[],9,FALSE)</f>
        <v>Obesity</v>
      </c>
      <c r="K111" t="str">
        <f>VLOOKUP(A111,Medical_Examinations[],10,FALSE)</f>
        <v>Diabetes</v>
      </c>
      <c r="M111">
        <f>VLOOKUP(A111,Hospitalisation_Details__2[],4,FALSE)</f>
        <v>39963.120000000003</v>
      </c>
      <c r="N111" t="str">
        <f>VLOOKUP(A111,Hospitalisation_Details__2[],5,FALSE)</f>
        <v>tier - 2</v>
      </c>
      <c r="O111" t="str">
        <f>VLOOKUP(A111,Hospitalisation_Details__2[],6,FALSE)</f>
        <v>tier - 2</v>
      </c>
      <c r="P111" t="str">
        <f>VLOOKUP(A111,Hospitalisation_Details__2[],7,FALSE)</f>
        <v>R1011</v>
      </c>
    </row>
    <row r="112" spans="1:16" x14ac:dyDescent="0.35">
      <c r="A112" t="str">
        <v>Id111</v>
      </c>
      <c r="B112" t="str">
        <f>VLOOKUP(A112,'Customer Names (2)'!A:B, 2,FALSE)</f>
        <v>Mr</v>
      </c>
      <c r="C112">
        <f>VLOOKUP(A112,Medical_Examinations[],2,FALSE)</f>
        <v>37.07</v>
      </c>
      <c r="D112">
        <f>VLOOKUP(A112,Medical_Examinations[],3,FALSE)</f>
        <v>6.14</v>
      </c>
      <c r="E112" t="str">
        <f>VLOOKUP(A112,Medical_Examinations[],4,FALSE)</f>
        <v>Yes</v>
      </c>
      <c r="F112" t="str">
        <f>VLOOKUP(A112,Medical_Examinations[],5,FALSE)</f>
        <v>No</v>
      </c>
      <c r="G112" t="str">
        <f>VLOOKUP(A112,Medical_Examinations[],6,FALSE)</f>
        <v>No</v>
      </c>
      <c r="H112">
        <f>VLOOKUP(A112,Medical_Examinations[],7,FALSE)</f>
        <v>0</v>
      </c>
      <c r="I112" t="str">
        <f>VLOOKUP(A112,Medical_Examinations[],8,FALSE)</f>
        <v>Yes</v>
      </c>
      <c r="J112" t="str">
        <f>VLOOKUP(A112,Medical_Examinations[],9,FALSE)</f>
        <v>Obesity</v>
      </c>
      <c r="K112" t="str">
        <f>VLOOKUP(A112,Medical_Examinations[],10,FALSE)</f>
        <v>Prediabetes</v>
      </c>
      <c r="M112">
        <f>VLOOKUP(A112,Hospitalisation_Details__2[],4,FALSE)</f>
        <v>39871.699999999997</v>
      </c>
      <c r="N112" t="str">
        <f>VLOOKUP(A112,Hospitalisation_Details__2[],5,FALSE)</f>
        <v>tier - 1</v>
      </c>
      <c r="O112" t="str">
        <f>VLOOKUP(A112,Hospitalisation_Details__2[],6,FALSE)</f>
        <v>tier - 2</v>
      </c>
      <c r="P112" t="str">
        <f>VLOOKUP(A112,Hospitalisation_Details__2[],7,FALSE)</f>
        <v>R1013</v>
      </c>
    </row>
    <row r="113" spans="1:16" x14ac:dyDescent="0.35">
      <c r="A113" t="str">
        <v>Id112</v>
      </c>
      <c r="B113" t="str">
        <f>VLOOKUP(A113,'Customer Names (2)'!A:B, 2,FALSE)</f>
        <v>Ms</v>
      </c>
      <c r="C113">
        <f>VLOOKUP(A113,Medical_Examinations[],2,FALSE)</f>
        <v>51.51</v>
      </c>
      <c r="D113">
        <f>VLOOKUP(A113,Medical_Examinations[],3,FALSE)</f>
        <v>6.26</v>
      </c>
      <c r="E113" t="str">
        <f>VLOOKUP(A113,Medical_Examinations[],4,FALSE)</f>
        <v>Yes</v>
      </c>
      <c r="F113" t="str">
        <f>VLOOKUP(A113,Medical_Examinations[],5,FALSE)</f>
        <v>No</v>
      </c>
      <c r="G113" t="str">
        <f>VLOOKUP(A113,Medical_Examinations[],6,FALSE)</f>
        <v>Yes</v>
      </c>
      <c r="H113">
        <f>VLOOKUP(A113,Medical_Examinations[],7,FALSE)</f>
        <v>1</v>
      </c>
      <c r="I113" t="str">
        <f>VLOOKUP(A113,Medical_Examinations[],8,FALSE)</f>
        <v>Yes</v>
      </c>
      <c r="J113" t="str">
        <f>VLOOKUP(A113,Medical_Examinations[],9,FALSE)</f>
        <v>Obesity</v>
      </c>
      <c r="K113" t="str">
        <f>VLOOKUP(A113,Medical_Examinations[],10,FALSE)</f>
        <v>Prediabetes</v>
      </c>
      <c r="M113">
        <f>VLOOKUP(A113,Hospitalisation_Details__2[],4,FALSE)</f>
        <v>39865.699999999997</v>
      </c>
      <c r="N113" t="str">
        <f>VLOOKUP(A113,Hospitalisation_Details__2[],5,FALSE)</f>
        <v>tier - 2</v>
      </c>
      <c r="O113" t="str">
        <f>VLOOKUP(A113,Hospitalisation_Details__2[],6,FALSE)</f>
        <v>tier - 2</v>
      </c>
      <c r="P113" t="str">
        <f>VLOOKUP(A113,Hospitalisation_Details__2[],7,FALSE)</f>
        <v>R1011</v>
      </c>
    </row>
    <row r="114" spans="1:16" x14ac:dyDescent="0.35">
      <c r="A114" t="str">
        <v>Id113</v>
      </c>
      <c r="B114" t="str">
        <f>VLOOKUP(A114,'Customer Names (2)'!A:B, 2,FALSE)</f>
        <v>Ms</v>
      </c>
      <c r="C114">
        <f>VLOOKUP(A114,Medical_Examinations[],2,FALSE)</f>
        <v>34.799999999999997</v>
      </c>
      <c r="D114">
        <f>VLOOKUP(A114,Medical_Examinations[],3,FALSE)</f>
        <v>4.72</v>
      </c>
      <c r="E114" t="str">
        <f>VLOOKUP(A114,Medical_Examinations[],4,FALSE)</f>
        <v>Yes</v>
      </c>
      <c r="F114" t="str">
        <f>VLOOKUP(A114,Medical_Examinations[],5,FALSE)</f>
        <v>No</v>
      </c>
      <c r="G114" t="str">
        <f>VLOOKUP(A114,Medical_Examinations[],6,FALSE)</f>
        <v>No</v>
      </c>
      <c r="H114">
        <f>VLOOKUP(A114,Medical_Examinations[],7,FALSE)</f>
        <v>0</v>
      </c>
      <c r="I114" t="str">
        <f>VLOOKUP(A114,Medical_Examinations[],8,FALSE)</f>
        <v>Yes</v>
      </c>
      <c r="J114" t="str">
        <f>VLOOKUP(A114,Medical_Examinations[],9,FALSE)</f>
        <v>Obesity</v>
      </c>
      <c r="K114" t="str">
        <f>VLOOKUP(A114,Medical_Examinations[],10,FALSE)</f>
        <v>Normal</v>
      </c>
      <c r="M114">
        <f>VLOOKUP(A114,Hospitalisation_Details__2[],4,FALSE)</f>
        <v>39836.519999999997</v>
      </c>
      <c r="N114" t="str">
        <f>VLOOKUP(A114,Hospitalisation_Details__2[],5,FALSE)</f>
        <v>tier - 2</v>
      </c>
      <c r="O114" t="str">
        <f>VLOOKUP(A114,Hospitalisation_Details__2[],6,FALSE)</f>
        <v>tier - 1</v>
      </c>
      <c r="P114" t="str">
        <f>VLOOKUP(A114,Hospitalisation_Details__2[],7,FALSE)</f>
        <v>R1011</v>
      </c>
    </row>
    <row r="115" spans="1:16" x14ac:dyDescent="0.35">
      <c r="A115" t="str">
        <v>Id114</v>
      </c>
      <c r="B115" t="str">
        <f>VLOOKUP(A115,'Customer Names (2)'!A:B, 2,FALSE)</f>
        <v>Mr</v>
      </c>
      <c r="C115">
        <f>VLOOKUP(A115,Medical_Examinations[],2,FALSE)</f>
        <v>36.67</v>
      </c>
      <c r="D115">
        <f>VLOOKUP(A115,Medical_Examinations[],3,FALSE)</f>
        <v>5.18</v>
      </c>
      <c r="E115" t="str">
        <f>VLOOKUP(A115,Medical_Examinations[],4,FALSE)</f>
        <v>No</v>
      </c>
      <c r="F115" t="str">
        <f>VLOOKUP(A115,Medical_Examinations[],5,FALSE)</f>
        <v>No</v>
      </c>
      <c r="G115" t="str">
        <f>VLOOKUP(A115,Medical_Examinations[],6,FALSE)</f>
        <v>No</v>
      </c>
      <c r="H115">
        <f>VLOOKUP(A115,Medical_Examinations[],7,FALSE)</f>
        <v>1</v>
      </c>
      <c r="I115" t="str">
        <f>VLOOKUP(A115,Medical_Examinations[],8,FALSE)</f>
        <v>Yes</v>
      </c>
      <c r="J115" t="str">
        <f>VLOOKUP(A115,Medical_Examinations[],9,FALSE)</f>
        <v>Obesity</v>
      </c>
      <c r="K115" t="str">
        <f>VLOOKUP(A115,Medical_Examinations[],10,FALSE)</f>
        <v>Normal</v>
      </c>
      <c r="M115">
        <f>VLOOKUP(A115,Hospitalisation_Details__2[],4,FALSE)</f>
        <v>39774.28</v>
      </c>
      <c r="N115" t="str">
        <f>VLOOKUP(A115,Hospitalisation_Details__2[],5,FALSE)</f>
        <v>tier - 1</v>
      </c>
      <c r="O115" t="str">
        <f>VLOOKUP(A115,Hospitalisation_Details__2[],6,FALSE)</f>
        <v>tier - 1</v>
      </c>
      <c r="P115" t="str">
        <f>VLOOKUP(A115,Hospitalisation_Details__2[],7,FALSE)</f>
        <v>R1014</v>
      </c>
    </row>
    <row r="116" spans="1:16" x14ac:dyDescent="0.35">
      <c r="A116" t="str">
        <v>Id115</v>
      </c>
      <c r="B116" t="str">
        <f>VLOOKUP(A116,'Customer Names (2)'!A:B, 2,FALSE)</f>
        <v>Mr</v>
      </c>
      <c r="C116">
        <f>VLOOKUP(A116,Medical_Examinations[],2,FALSE)</f>
        <v>30.9</v>
      </c>
      <c r="D116">
        <f>VLOOKUP(A116,Medical_Examinations[],3,FALSE)</f>
        <v>9.4</v>
      </c>
      <c r="E116" t="str">
        <f>VLOOKUP(A116,Medical_Examinations[],4,FALSE)</f>
        <v>No</v>
      </c>
      <c r="F116" t="str">
        <f>VLOOKUP(A116,Medical_Examinations[],5,FALSE)</f>
        <v>No</v>
      </c>
      <c r="G116" t="str">
        <f>VLOOKUP(A116,Medical_Examinations[],6,FALSE)</f>
        <v>No</v>
      </c>
      <c r="H116">
        <f>VLOOKUP(A116,Medical_Examinations[],7,FALSE)</f>
        <v>2</v>
      </c>
      <c r="I116" t="str">
        <f>VLOOKUP(A116,Medical_Examinations[],8,FALSE)</f>
        <v>Yes</v>
      </c>
      <c r="J116" t="str">
        <f>VLOOKUP(A116,Medical_Examinations[],9,FALSE)</f>
        <v>Obesity</v>
      </c>
      <c r="K116" t="str">
        <f>VLOOKUP(A116,Medical_Examinations[],10,FALSE)</f>
        <v>Diabetes</v>
      </c>
      <c r="M116">
        <f>VLOOKUP(A116,Hospitalisation_Details__2[],4,FALSE)</f>
        <v>39727.61</v>
      </c>
      <c r="N116" t="str">
        <f>VLOOKUP(A116,Hospitalisation_Details__2[],5,FALSE)</f>
        <v>tier - 1</v>
      </c>
      <c r="O116" t="str">
        <f>VLOOKUP(A116,Hospitalisation_Details__2[],6,FALSE)</f>
        <v>tier - 2</v>
      </c>
      <c r="P116" t="str">
        <f>VLOOKUP(A116,Hospitalisation_Details__2[],7,FALSE)</f>
        <v>R1011</v>
      </c>
    </row>
    <row r="117" spans="1:16" x14ac:dyDescent="0.35">
      <c r="A117" t="str">
        <v>Id116</v>
      </c>
      <c r="B117" t="str">
        <f>VLOOKUP(A117,'Customer Names (2)'!A:B, 2,FALSE)</f>
        <v>Ms</v>
      </c>
      <c r="C117">
        <f>VLOOKUP(A117,Medical_Examinations[],2,FALSE)</f>
        <v>30.495000000000001</v>
      </c>
      <c r="D117">
        <f>VLOOKUP(A117,Medical_Examinations[],3,FALSE)</f>
        <v>6.29</v>
      </c>
      <c r="E117" t="str">
        <f>VLOOKUP(A117,Medical_Examinations[],4,FALSE)</f>
        <v>No</v>
      </c>
      <c r="F117" t="str">
        <f>VLOOKUP(A117,Medical_Examinations[],5,FALSE)</f>
        <v>No</v>
      </c>
      <c r="G117" t="str">
        <f>VLOOKUP(A117,Medical_Examinations[],6,FALSE)</f>
        <v>No</v>
      </c>
      <c r="H117">
        <f>VLOOKUP(A117,Medical_Examinations[],7,FALSE)</f>
        <v>0</v>
      </c>
      <c r="I117" t="str">
        <f>VLOOKUP(A117,Medical_Examinations[],8,FALSE)</f>
        <v>Yes</v>
      </c>
      <c r="J117" t="str">
        <f>VLOOKUP(A117,Medical_Examinations[],9,FALSE)</f>
        <v>Obesity</v>
      </c>
      <c r="K117" t="str">
        <f>VLOOKUP(A117,Medical_Examinations[],10,FALSE)</f>
        <v>Prediabetes</v>
      </c>
      <c r="M117">
        <f>VLOOKUP(A117,Hospitalisation_Details__2[],4,FALSE)</f>
        <v>39725.519999999997</v>
      </c>
      <c r="N117" t="str">
        <f>VLOOKUP(A117,Hospitalisation_Details__2[],5,FALSE)</f>
        <v>tier - 2</v>
      </c>
      <c r="O117" t="str">
        <f>VLOOKUP(A117,Hospitalisation_Details__2[],6,FALSE)</f>
        <v>tier - 1</v>
      </c>
      <c r="P117" t="str">
        <f>VLOOKUP(A117,Hospitalisation_Details__2[],7,FALSE)</f>
        <v>R1012</v>
      </c>
    </row>
    <row r="118" spans="1:16" x14ac:dyDescent="0.35">
      <c r="A118" t="str">
        <v>Id117</v>
      </c>
      <c r="B118" t="str">
        <f>VLOOKUP(A118,'Customer Names (2)'!A:B, 2,FALSE)</f>
        <v>Mr</v>
      </c>
      <c r="C118">
        <f>VLOOKUP(A118,Medical_Examinations[],2,FALSE)</f>
        <v>44.88</v>
      </c>
      <c r="D118">
        <f>VLOOKUP(A118,Medical_Examinations[],3,FALSE)</f>
        <v>6.04</v>
      </c>
      <c r="E118" t="str">
        <f>VLOOKUP(A118,Medical_Examinations[],4,FALSE)</f>
        <v>No</v>
      </c>
      <c r="F118" t="str">
        <f>VLOOKUP(A118,Medical_Examinations[],5,FALSE)</f>
        <v>No</v>
      </c>
      <c r="G118" t="str">
        <f>VLOOKUP(A118,Medical_Examinations[],6,FALSE)</f>
        <v>Yes</v>
      </c>
      <c r="H118">
        <f>VLOOKUP(A118,Medical_Examinations[],7,FALSE)</f>
        <v>1</v>
      </c>
      <c r="I118" t="str">
        <f>VLOOKUP(A118,Medical_Examinations[],8,FALSE)</f>
        <v>Yes</v>
      </c>
      <c r="J118" t="str">
        <f>VLOOKUP(A118,Medical_Examinations[],9,FALSE)</f>
        <v>Obesity</v>
      </c>
      <c r="K118" t="str">
        <f>VLOOKUP(A118,Medical_Examinations[],10,FALSE)</f>
        <v>Prediabetes</v>
      </c>
      <c r="M118">
        <f>VLOOKUP(A118,Hospitalisation_Details__2[],4,FALSE)</f>
        <v>39722.75</v>
      </c>
      <c r="N118" t="str">
        <f>VLOOKUP(A118,Hospitalisation_Details__2[],5,FALSE)</f>
        <v>tier - 1</v>
      </c>
      <c r="O118" t="str">
        <f>VLOOKUP(A118,Hospitalisation_Details__2[],6,FALSE)</f>
        <v>tier - 1</v>
      </c>
      <c r="P118" t="str">
        <f>VLOOKUP(A118,Hospitalisation_Details__2[],7,FALSE)</f>
        <v>R1013</v>
      </c>
    </row>
    <row r="119" spans="1:16" x14ac:dyDescent="0.35">
      <c r="A119" t="str">
        <v>Id118</v>
      </c>
      <c r="B119" t="str">
        <f>VLOOKUP(A119,'Customer Names (2)'!A:B, 2,FALSE)</f>
        <v>Mr</v>
      </c>
      <c r="C119">
        <f>VLOOKUP(A119,Medical_Examinations[],2,FALSE)</f>
        <v>44.32</v>
      </c>
      <c r="D119">
        <f>VLOOKUP(A119,Medical_Examinations[],3,FALSE)</f>
        <v>10.55</v>
      </c>
      <c r="E119" t="str">
        <f>VLOOKUP(A119,Medical_Examinations[],4,FALSE)</f>
        <v>No</v>
      </c>
      <c r="F119" t="str">
        <f>VLOOKUP(A119,Medical_Examinations[],5,FALSE)</f>
        <v>No</v>
      </c>
      <c r="G119" t="str">
        <f>VLOOKUP(A119,Medical_Examinations[],6,FALSE)</f>
        <v>No</v>
      </c>
      <c r="H119">
        <f>VLOOKUP(A119,Medical_Examinations[],7,FALSE)</f>
        <v>0</v>
      </c>
      <c r="I119" t="str">
        <f>VLOOKUP(A119,Medical_Examinations[],8,FALSE)</f>
        <v>Yes</v>
      </c>
      <c r="J119" t="str">
        <f>VLOOKUP(A119,Medical_Examinations[],9,FALSE)</f>
        <v>Obesity</v>
      </c>
      <c r="K119" t="str">
        <f>VLOOKUP(A119,Medical_Examinations[],10,FALSE)</f>
        <v>Diabetes</v>
      </c>
      <c r="M119">
        <f>VLOOKUP(A119,Hospitalisation_Details__2[],4,FALSE)</f>
        <v>39721.93</v>
      </c>
      <c r="N119" t="str">
        <f>VLOOKUP(A119,Hospitalisation_Details__2[],5,FALSE)</f>
        <v>tier - 2</v>
      </c>
      <c r="O119" t="str">
        <f>VLOOKUP(A119,Hospitalisation_Details__2[],6,FALSE)</f>
        <v>tier - 2</v>
      </c>
      <c r="P119" t="str">
        <f>VLOOKUP(A119,Hospitalisation_Details__2[],7,FALSE)</f>
        <v>R1011</v>
      </c>
    </row>
    <row r="120" spans="1:16" x14ac:dyDescent="0.35">
      <c r="A120" t="str">
        <v>Id119</v>
      </c>
      <c r="B120" t="str">
        <f>VLOOKUP(A120,'Customer Names (2)'!A:B, 2,FALSE)</f>
        <v>Mr</v>
      </c>
      <c r="C120">
        <f>VLOOKUP(A120,Medical_Examinations[],2,FALSE)</f>
        <v>46.39</v>
      </c>
      <c r="D120">
        <f>VLOOKUP(A120,Medical_Examinations[],3,FALSE)</f>
        <v>5.09</v>
      </c>
      <c r="E120" t="str">
        <f>VLOOKUP(A120,Medical_Examinations[],4,FALSE)</f>
        <v>No</v>
      </c>
      <c r="F120" t="str">
        <f>VLOOKUP(A120,Medical_Examinations[],5,FALSE)</f>
        <v>No</v>
      </c>
      <c r="G120" t="str">
        <f>VLOOKUP(A120,Medical_Examinations[],6,FALSE)</f>
        <v>No</v>
      </c>
      <c r="H120">
        <f>VLOOKUP(A120,Medical_Examinations[],7,FALSE)</f>
        <v>0</v>
      </c>
      <c r="I120" t="str">
        <f>VLOOKUP(A120,Medical_Examinations[],8,FALSE)</f>
        <v>Yes</v>
      </c>
      <c r="J120" t="str">
        <f>VLOOKUP(A120,Medical_Examinations[],9,FALSE)</f>
        <v>Obesity</v>
      </c>
      <c r="K120" t="str">
        <f>VLOOKUP(A120,Medical_Examinations[],10,FALSE)</f>
        <v>Normal</v>
      </c>
      <c r="M120">
        <f>VLOOKUP(A120,Hospitalisation_Details__2[],4,FALSE)</f>
        <v>39670.44</v>
      </c>
      <c r="N120" t="str">
        <f>VLOOKUP(A120,Hospitalisation_Details__2[],5,FALSE)</f>
        <v>tier - 2</v>
      </c>
      <c r="O120" t="str">
        <f>VLOOKUP(A120,Hospitalisation_Details__2[],6,FALSE)</f>
        <v>tier - 1</v>
      </c>
      <c r="P120" t="str">
        <f>VLOOKUP(A120,Hospitalisation_Details__2[],7,FALSE)</f>
        <v>R1012</v>
      </c>
    </row>
    <row r="121" spans="1:16" x14ac:dyDescent="0.35">
      <c r="A121" t="str">
        <v>Id120</v>
      </c>
      <c r="B121" t="str">
        <f>VLOOKUP(A121,'Customer Names (2)'!A:B, 2,FALSE)</f>
        <v>Mr</v>
      </c>
      <c r="C121">
        <f>VLOOKUP(A121,Medical_Examinations[],2,FALSE)</f>
        <v>42.13</v>
      </c>
      <c r="D121">
        <f>VLOOKUP(A121,Medical_Examinations[],3,FALSE)</f>
        <v>5.2</v>
      </c>
      <c r="E121" t="str">
        <f>VLOOKUP(A121,Medical_Examinations[],4,FALSE)</f>
        <v>Yes</v>
      </c>
      <c r="F121" t="str">
        <f>VLOOKUP(A121,Medical_Examinations[],5,FALSE)</f>
        <v>No</v>
      </c>
      <c r="G121" t="str">
        <f>VLOOKUP(A121,Medical_Examinations[],6,FALSE)</f>
        <v>No</v>
      </c>
      <c r="H121">
        <f>VLOOKUP(A121,Medical_Examinations[],7,FALSE)</f>
        <v>1</v>
      </c>
      <c r="I121" t="str">
        <f>VLOOKUP(A121,Medical_Examinations[],8,FALSE)</f>
        <v>Yes</v>
      </c>
      <c r="J121" t="str">
        <f>VLOOKUP(A121,Medical_Examinations[],9,FALSE)</f>
        <v>Obesity</v>
      </c>
      <c r="K121" t="str">
        <f>VLOOKUP(A121,Medical_Examinations[],10,FALSE)</f>
        <v>Normal</v>
      </c>
      <c r="M121">
        <f>VLOOKUP(A121,Hospitalisation_Details__2[],4,FALSE)</f>
        <v>39611.760000000002</v>
      </c>
      <c r="N121" t="str">
        <f>VLOOKUP(A121,Hospitalisation_Details__2[],5,FALSE)</f>
        <v>tier - 1</v>
      </c>
      <c r="O121" t="str">
        <f>VLOOKUP(A121,Hospitalisation_Details__2[],6,FALSE)</f>
        <v>tier - 3</v>
      </c>
      <c r="P121" t="str">
        <f>VLOOKUP(A121,Hospitalisation_Details__2[],7,FALSE)</f>
        <v>R1013</v>
      </c>
    </row>
    <row r="122" spans="1:16" x14ac:dyDescent="0.35">
      <c r="A122" t="str">
        <v>Id121</v>
      </c>
      <c r="B122" t="str">
        <f>VLOOKUP(A122,'Customer Names (2)'!A:B, 2,FALSE)</f>
        <v>Mr</v>
      </c>
      <c r="C122">
        <f>VLOOKUP(A122,Medical_Examinations[],2,FALSE)</f>
        <v>30.78</v>
      </c>
      <c r="D122">
        <f>VLOOKUP(A122,Medical_Examinations[],3,FALSE)</f>
        <v>8.4499999999999993</v>
      </c>
      <c r="E122" t="str">
        <f>VLOOKUP(A122,Medical_Examinations[],4,FALSE)</f>
        <v>Yes</v>
      </c>
      <c r="F122" t="str">
        <f>VLOOKUP(A122,Medical_Examinations[],5,FALSE)</f>
        <v>No</v>
      </c>
      <c r="G122" t="str">
        <f>VLOOKUP(A122,Medical_Examinations[],6,FALSE)</f>
        <v>No</v>
      </c>
      <c r="H122">
        <f>VLOOKUP(A122,Medical_Examinations[],7,FALSE)</f>
        <v>0</v>
      </c>
      <c r="I122" t="str">
        <f>VLOOKUP(A122,Medical_Examinations[],8,FALSE)</f>
        <v>Yes</v>
      </c>
      <c r="J122" t="str">
        <f>VLOOKUP(A122,Medical_Examinations[],9,FALSE)</f>
        <v>Obesity</v>
      </c>
      <c r="K122" t="str">
        <f>VLOOKUP(A122,Medical_Examinations[],10,FALSE)</f>
        <v>Diabetes</v>
      </c>
      <c r="M122">
        <f>VLOOKUP(A122,Hospitalisation_Details__2[],4,FALSE)</f>
        <v>39597.410000000003</v>
      </c>
      <c r="N122" t="str">
        <f>VLOOKUP(A122,Hospitalisation_Details__2[],5,FALSE)</f>
        <v>tier - 1</v>
      </c>
      <c r="O122" t="str">
        <f>VLOOKUP(A122,Hospitalisation_Details__2[],6,FALSE)</f>
        <v>tier - 2</v>
      </c>
      <c r="P122" t="str">
        <f>VLOOKUP(A122,Hospitalisation_Details__2[],7,FALSE)</f>
        <v>R1017</v>
      </c>
    </row>
    <row r="123" spans="1:16" x14ac:dyDescent="0.35">
      <c r="A123" t="str">
        <v>Id122</v>
      </c>
      <c r="B123" t="str">
        <f>VLOOKUP(A123,'Customer Names (2)'!A:B, 2,FALSE)</f>
        <v>Mr</v>
      </c>
      <c r="C123">
        <f>VLOOKUP(A123,Medical_Examinations[],2,FALSE)</f>
        <v>31.35</v>
      </c>
      <c r="D123">
        <f>VLOOKUP(A123,Medical_Examinations[],3,FALSE)</f>
        <v>9.5399999999999991</v>
      </c>
      <c r="E123" t="str">
        <f>VLOOKUP(A123,Medical_Examinations[],4,FALSE)</f>
        <v>No</v>
      </c>
      <c r="F123" t="str">
        <f>VLOOKUP(A123,Medical_Examinations[],5,FALSE)</f>
        <v>No</v>
      </c>
      <c r="G123" t="str">
        <f>VLOOKUP(A123,Medical_Examinations[],6,FALSE)</f>
        <v>No</v>
      </c>
      <c r="H123">
        <f>VLOOKUP(A123,Medical_Examinations[],7,FALSE)</f>
        <v>0</v>
      </c>
      <c r="I123" t="str">
        <f>VLOOKUP(A123,Medical_Examinations[],8,FALSE)</f>
        <v>Yes</v>
      </c>
      <c r="J123" t="str">
        <f>VLOOKUP(A123,Medical_Examinations[],9,FALSE)</f>
        <v>Obesity</v>
      </c>
      <c r="K123" t="str">
        <f>VLOOKUP(A123,Medical_Examinations[],10,FALSE)</f>
        <v>Diabetes</v>
      </c>
      <c r="M123">
        <f>VLOOKUP(A123,Hospitalisation_Details__2[],4,FALSE)</f>
        <v>39556.49</v>
      </c>
      <c r="N123" t="str">
        <f>VLOOKUP(A123,Hospitalisation_Details__2[],5,FALSE)</f>
        <v>tier - 1</v>
      </c>
      <c r="O123" t="str">
        <f>VLOOKUP(A123,Hospitalisation_Details__2[],6,FALSE)</f>
        <v>tier - 2</v>
      </c>
      <c r="P123" t="str">
        <f>VLOOKUP(A123,Hospitalisation_Details__2[],7,FALSE)</f>
        <v>R1015</v>
      </c>
    </row>
    <row r="124" spans="1:16" x14ac:dyDescent="0.35">
      <c r="A124" t="str">
        <v>Id123</v>
      </c>
      <c r="B124" t="str">
        <f>VLOOKUP(A124,'Customer Names (2)'!A:B, 2,FALSE)</f>
        <v>Ms</v>
      </c>
      <c r="C124">
        <f>VLOOKUP(A124,Medical_Examinations[],2,FALSE)</f>
        <v>41.46</v>
      </c>
      <c r="D124">
        <f>VLOOKUP(A124,Medical_Examinations[],3,FALSE)</f>
        <v>4.99</v>
      </c>
      <c r="E124" t="str">
        <f>VLOOKUP(A124,Medical_Examinations[],4,FALSE)</f>
        <v>Yes</v>
      </c>
      <c r="F124" t="str">
        <f>VLOOKUP(A124,Medical_Examinations[],5,FALSE)</f>
        <v>No</v>
      </c>
      <c r="G124" t="str">
        <f>VLOOKUP(A124,Medical_Examinations[],6,FALSE)</f>
        <v>No</v>
      </c>
      <c r="H124">
        <f>VLOOKUP(A124,Medical_Examinations[],7,FALSE)</f>
        <v>2</v>
      </c>
      <c r="I124" t="str">
        <f>VLOOKUP(A124,Medical_Examinations[],8,FALSE)</f>
        <v>Yes</v>
      </c>
      <c r="J124" t="str">
        <f>VLOOKUP(A124,Medical_Examinations[],9,FALSE)</f>
        <v>Obesity</v>
      </c>
      <c r="K124" t="str">
        <f>VLOOKUP(A124,Medical_Examinations[],10,FALSE)</f>
        <v>Normal</v>
      </c>
      <c r="M124">
        <f>VLOOKUP(A124,Hospitalisation_Details__2[],4,FALSE)</f>
        <v>39396.86</v>
      </c>
      <c r="N124" t="str">
        <f>VLOOKUP(A124,Hospitalisation_Details__2[],5,FALSE)</f>
        <v>tier - 2</v>
      </c>
      <c r="O124" t="str">
        <f>VLOOKUP(A124,Hospitalisation_Details__2[],6,FALSE)</f>
        <v>tier - 2</v>
      </c>
      <c r="P124" t="str">
        <f>VLOOKUP(A124,Hospitalisation_Details__2[],7,FALSE)</f>
        <v>R1011</v>
      </c>
    </row>
    <row r="125" spans="1:16" x14ac:dyDescent="0.35">
      <c r="A125" t="str">
        <v>Id124</v>
      </c>
      <c r="B125" t="str">
        <f>VLOOKUP(A125,'Customer Names (2)'!A:B, 2,FALSE)</f>
        <v>Mr</v>
      </c>
      <c r="C125">
        <f>VLOOKUP(A125,Medical_Examinations[],2,FALSE)</f>
        <v>48</v>
      </c>
      <c r="D125">
        <f>VLOOKUP(A125,Medical_Examinations[],3,FALSE)</f>
        <v>10.54</v>
      </c>
      <c r="E125" t="str">
        <f>VLOOKUP(A125,Medical_Examinations[],4,FALSE)</f>
        <v>No</v>
      </c>
      <c r="F125" t="str">
        <f>VLOOKUP(A125,Medical_Examinations[],5,FALSE)</f>
        <v>No</v>
      </c>
      <c r="G125" t="str">
        <f>VLOOKUP(A125,Medical_Examinations[],6,FALSE)</f>
        <v>No</v>
      </c>
      <c r="H125">
        <f>VLOOKUP(A125,Medical_Examinations[],7,FALSE)</f>
        <v>0</v>
      </c>
      <c r="I125" t="str">
        <f>VLOOKUP(A125,Medical_Examinations[],8,FALSE)</f>
        <v>Yes</v>
      </c>
      <c r="J125" t="str">
        <f>VLOOKUP(A125,Medical_Examinations[],9,FALSE)</f>
        <v>Obesity</v>
      </c>
      <c r="K125" t="str">
        <f>VLOOKUP(A125,Medical_Examinations[],10,FALSE)</f>
        <v>Diabetes</v>
      </c>
      <c r="M125">
        <f>VLOOKUP(A125,Hospitalisation_Details__2[],4,FALSE)</f>
        <v>39352.6</v>
      </c>
      <c r="N125" t="str">
        <f>VLOOKUP(A125,Hospitalisation_Details__2[],5,FALSE)</f>
        <v>tier - 2</v>
      </c>
      <c r="O125" t="str">
        <f>VLOOKUP(A125,Hospitalisation_Details__2[],6,FALSE)</f>
        <v>tier - 3</v>
      </c>
      <c r="P125" t="str">
        <f>VLOOKUP(A125,Hospitalisation_Details__2[],7,FALSE)</f>
        <v>R1011</v>
      </c>
    </row>
    <row r="126" spans="1:16" x14ac:dyDescent="0.35">
      <c r="A126" t="str">
        <v>Id125</v>
      </c>
      <c r="B126" t="str">
        <f>VLOOKUP(A126,'Customer Names (2)'!A:B, 2,FALSE)</f>
        <v>Ms</v>
      </c>
      <c r="C126">
        <f>VLOOKUP(A126,Medical_Examinations[],2,FALSE)</f>
        <v>49.13</v>
      </c>
      <c r="D126">
        <f>VLOOKUP(A126,Medical_Examinations[],3,FALSE)</f>
        <v>4.54</v>
      </c>
      <c r="E126" t="str">
        <f>VLOOKUP(A126,Medical_Examinations[],4,FALSE)</f>
        <v>No</v>
      </c>
      <c r="F126" t="str">
        <f>VLOOKUP(A126,Medical_Examinations[],5,FALSE)</f>
        <v>No</v>
      </c>
      <c r="G126" t="str">
        <f>VLOOKUP(A126,Medical_Examinations[],6,FALSE)</f>
        <v>No</v>
      </c>
      <c r="H126">
        <f>VLOOKUP(A126,Medical_Examinations[],7,FALSE)</f>
        <v>0</v>
      </c>
      <c r="I126" t="str">
        <f>VLOOKUP(A126,Medical_Examinations[],8,FALSE)</f>
        <v>Yes</v>
      </c>
      <c r="J126" t="str">
        <f>VLOOKUP(A126,Medical_Examinations[],9,FALSE)</f>
        <v>Obesity</v>
      </c>
      <c r="K126" t="str">
        <f>VLOOKUP(A126,Medical_Examinations[],10,FALSE)</f>
        <v>Normal</v>
      </c>
      <c r="M126">
        <f>VLOOKUP(A126,Hospitalisation_Details__2[],4,FALSE)</f>
        <v>39315.279999999999</v>
      </c>
      <c r="N126" t="str">
        <f>VLOOKUP(A126,Hospitalisation_Details__2[],5,FALSE)</f>
        <v>tier - 2</v>
      </c>
      <c r="O126" t="str">
        <f>VLOOKUP(A126,Hospitalisation_Details__2[],6,FALSE)</f>
        <v>tier - 3</v>
      </c>
      <c r="P126" t="str">
        <f>VLOOKUP(A126,Hospitalisation_Details__2[],7,FALSE)</f>
        <v>R1011</v>
      </c>
    </row>
    <row r="127" spans="1:16" x14ac:dyDescent="0.35">
      <c r="A127" t="str">
        <v>Id126</v>
      </c>
      <c r="B127" t="str">
        <f>VLOOKUP(A127,'Customer Names (2)'!A:B, 2,FALSE)</f>
        <v>Mr</v>
      </c>
      <c r="C127">
        <f>VLOOKUP(A127,Medical_Examinations[],2,FALSE)</f>
        <v>37.799999999999997</v>
      </c>
      <c r="D127">
        <f>VLOOKUP(A127,Medical_Examinations[],3,FALSE)</f>
        <v>6.29</v>
      </c>
      <c r="E127" t="str">
        <f>VLOOKUP(A127,Medical_Examinations[],4,FALSE)</f>
        <v>No</v>
      </c>
      <c r="F127" t="str">
        <f>VLOOKUP(A127,Medical_Examinations[],5,FALSE)</f>
        <v>No</v>
      </c>
      <c r="G127" t="str">
        <f>VLOOKUP(A127,Medical_Examinations[],6,FALSE)</f>
        <v>No</v>
      </c>
      <c r="H127">
        <f>VLOOKUP(A127,Medical_Examinations[],7,FALSE)</f>
        <v>1</v>
      </c>
      <c r="I127" t="str">
        <f>VLOOKUP(A127,Medical_Examinations[],8,FALSE)</f>
        <v>Yes</v>
      </c>
      <c r="J127" t="str">
        <f>VLOOKUP(A127,Medical_Examinations[],9,FALSE)</f>
        <v>Obesity</v>
      </c>
      <c r="K127" t="str">
        <f>VLOOKUP(A127,Medical_Examinations[],10,FALSE)</f>
        <v>Prediabetes</v>
      </c>
      <c r="M127">
        <f>VLOOKUP(A127,Hospitalisation_Details__2[],4,FALSE)</f>
        <v>39241.440000000002</v>
      </c>
      <c r="N127" t="str">
        <f>VLOOKUP(A127,Hospitalisation_Details__2[],5,FALSE)</f>
        <v>tier - 1</v>
      </c>
      <c r="O127" t="str">
        <f>VLOOKUP(A127,Hospitalisation_Details__2[],6,FALSE)</f>
        <v>tier - 3</v>
      </c>
      <c r="P127" t="str">
        <f>VLOOKUP(A127,Hospitalisation_Details__2[],7,FALSE)</f>
        <v>R1011</v>
      </c>
    </row>
    <row r="128" spans="1:16" x14ac:dyDescent="0.35">
      <c r="A128" t="str">
        <v>Id127</v>
      </c>
      <c r="B128" t="str">
        <f>VLOOKUP(A128,'Customer Names (2)'!A:B, 2,FALSE)</f>
        <v>Mr</v>
      </c>
      <c r="C128">
        <f>VLOOKUP(A128,Medical_Examinations[],2,FALSE)</f>
        <v>38.299999999999997</v>
      </c>
      <c r="D128">
        <f>VLOOKUP(A128,Medical_Examinations[],3,FALSE)</f>
        <v>9.51</v>
      </c>
      <c r="E128" t="str">
        <f>VLOOKUP(A128,Medical_Examinations[],4,FALSE)</f>
        <v>No</v>
      </c>
      <c r="F128" t="str">
        <f>VLOOKUP(A128,Medical_Examinations[],5,FALSE)</f>
        <v>No</v>
      </c>
      <c r="G128" t="str">
        <f>VLOOKUP(A128,Medical_Examinations[],6,FALSE)</f>
        <v>No</v>
      </c>
      <c r="H128">
        <f>VLOOKUP(A128,Medical_Examinations[],7,FALSE)</f>
        <v>0</v>
      </c>
      <c r="I128" t="str">
        <f>VLOOKUP(A128,Medical_Examinations[],8,FALSE)</f>
        <v>Yes</v>
      </c>
      <c r="J128" t="str">
        <f>VLOOKUP(A128,Medical_Examinations[],9,FALSE)</f>
        <v>Obesity</v>
      </c>
      <c r="K128" t="str">
        <f>VLOOKUP(A128,Medical_Examinations[],10,FALSE)</f>
        <v>Diabetes</v>
      </c>
      <c r="M128">
        <f>VLOOKUP(A128,Hospitalisation_Details__2[],4,FALSE)</f>
        <v>39221.120000000003</v>
      </c>
      <c r="N128" t="str">
        <f>VLOOKUP(A128,Hospitalisation_Details__2[],5,FALSE)</f>
        <v>tier - 2</v>
      </c>
      <c r="O128" t="str">
        <f>VLOOKUP(A128,Hospitalisation_Details__2[],6,FALSE)</f>
        <v>tier - 1</v>
      </c>
      <c r="P128" t="str">
        <f>VLOOKUP(A128,Hospitalisation_Details__2[],7,FALSE)</f>
        <v>R1011</v>
      </c>
    </row>
    <row r="129" spans="1:16" x14ac:dyDescent="0.35">
      <c r="A129" t="str">
        <v>Id128</v>
      </c>
      <c r="B129" t="str">
        <f>VLOOKUP(A129,'Customer Names (2)'!A:B, 2,FALSE)</f>
        <v>Mr</v>
      </c>
      <c r="C129">
        <f>VLOOKUP(A129,Medical_Examinations[],2,FALSE)</f>
        <v>32.774999999999999</v>
      </c>
      <c r="D129">
        <f>VLOOKUP(A129,Medical_Examinations[],3,FALSE)</f>
        <v>4.72</v>
      </c>
      <c r="E129" t="str">
        <f>VLOOKUP(A129,Medical_Examinations[],4,FALSE)</f>
        <v>No</v>
      </c>
      <c r="F129" t="str">
        <f>VLOOKUP(A129,Medical_Examinations[],5,FALSE)</f>
        <v>No</v>
      </c>
      <c r="G129" t="str">
        <f>VLOOKUP(A129,Medical_Examinations[],6,FALSE)</f>
        <v>No</v>
      </c>
      <c r="H129">
        <f>VLOOKUP(A129,Medical_Examinations[],7,FALSE)</f>
        <v>0</v>
      </c>
      <c r="I129" t="str">
        <f>VLOOKUP(A129,Medical_Examinations[],8,FALSE)</f>
        <v>Yes</v>
      </c>
      <c r="J129" t="str">
        <f>VLOOKUP(A129,Medical_Examinations[],9,FALSE)</f>
        <v>Obesity</v>
      </c>
      <c r="K129" t="str">
        <f>VLOOKUP(A129,Medical_Examinations[],10,FALSE)</f>
        <v>Normal</v>
      </c>
      <c r="M129">
        <f>VLOOKUP(A129,Hospitalisation_Details__2[],4,FALSE)</f>
        <v>39125.33</v>
      </c>
      <c r="N129" t="str">
        <f>VLOOKUP(A129,Hospitalisation_Details__2[],5,FALSE)</f>
        <v>tier - 1</v>
      </c>
      <c r="O129" t="str">
        <f>VLOOKUP(A129,Hospitalisation_Details__2[],6,FALSE)</f>
        <v>tier - 1</v>
      </c>
      <c r="P129" t="str">
        <f>VLOOKUP(A129,Hospitalisation_Details__2[],7,FALSE)</f>
        <v>R1016</v>
      </c>
    </row>
    <row r="130" spans="1:16" x14ac:dyDescent="0.35">
      <c r="A130" t="str">
        <v>Id129</v>
      </c>
      <c r="B130" t="str">
        <f>VLOOKUP(A130,'Customer Names (2)'!A:B, 2,FALSE)</f>
        <v>Mr</v>
      </c>
      <c r="C130">
        <f>VLOOKUP(A130,Medical_Examinations[],2,FALSE)</f>
        <v>34.200000000000003</v>
      </c>
      <c r="D130">
        <f>VLOOKUP(A130,Medical_Examinations[],3,FALSE)</f>
        <v>5.91</v>
      </c>
      <c r="E130" t="str">
        <f>VLOOKUP(A130,Medical_Examinations[],4,FALSE)</f>
        <v>Yes</v>
      </c>
      <c r="F130" t="str">
        <f>VLOOKUP(A130,Medical_Examinations[],5,FALSE)</f>
        <v>No</v>
      </c>
      <c r="G130" t="str">
        <f>VLOOKUP(A130,Medical_Examinations[],6,FALSE)</f>
        <v>No</v>
      </c>
      <c r="H130">
        <f>VLOOKUP(A130,Medical_Examinations[],7,FALSE)</f>
        <v>0</v>
      </c>
      <c r="I130" t="str">
        <f>VLOOKUP(A130,Medical_Examinations[],8,FALSE)</f>
        <v>Yes</v>
      </c>
      <c r="J130" t="str">
        <f>VLOOKUP(A130,Medical_Examinations[],9,FALSE)</f>
        <v>Obesity</v>
      </c>
      <c r="K130" t="str">
        <f>VLOOKUP(A130,Medical_Examinations[],10,FALSE)</f>
        <v>Prediabetes</v>
      </c>
      <c r="M130">
        <f>VLOOKUP(A130,Hospitalisation_Details__2[],4,FALSE)</f>
        <v>39047.29</v>
      </c>
      <c r="N130" t="str">
        <f>VLOOKUP(A130,Hospitalisation_Details__2[],5,FALSE)</f>
        <v>tier - 1</v>
      </c>
      <c r="O130" t="str">
        <f>VLOOKUP(A130,Hospitalisation_Details__2[],6,FALSE)</f>
        <v>tier - 3</v>
      </c>
      <c r="P130" t="str">
        <f>VLOOKUP(A130,Hospitalisation_Details__2[],7,FALSE)</f>
        <v>R1017</v>
      </c>
    </row>
    <row r="131" spans="1:16" x14ac:dyDescent="0.35">
      <c r="A131" t="str">
        <v>Id130</v>
      </c>
      <c r="B131" t="str">
        <f>VLOOKUP(A131,'Customer Names (2)'!A:B, 2,FALSE)</f>
        <v>Mr</v>
      </c>
      <c r="C131">
        <f>VLOOKUP(A131,Medical_Examinations[],2,FALSE)</f>
        <v>30.2</v>
      </c>
      <c r="D131">
        <f>VLOOKUP(A131,Medical_Examinations[],3,FALSE)</f>
        <v>9.58</v>
      </c>
      <c r="E131" t="str">
        <f>VLOOKUP(A131,Medical_Examinations[],4,FALSE)</f>
        <v>No</v>
      </c>
      <c r="F131" t="str">
        <f>VLOOKUP(A131,Medical_Examinations[],5,FALSE)</f>
        <v>No</v>
      </c>
      <c r="G131" t="str">
        <f>VLOOKUP(A131,Medical_Examinations[],6,FALSE)</f>
        <v>No</v>
      </c>
      <c r="H131">
        <f>VLOOKUP(A131,Medical_Examinations[],7,FALSE)</f>
        <v>0</v>
      </c>
      <c r="I131" t="str">
        <f>VLOOKUP(A131,Medical_Examinations[],8,FALSE)</f>
        <v>Yes</v>
      </c>
      <c r="J131" t="str">
        <f>VLOOKUP(A131,Medical_Examinations[],9,FALSE)</f>
        <v>Obesity</v>
      </c>
      <c r="K131" t="str">
        <f>VLOOKUP(A131,Medical_Examinations[],10,FALSE)</f>
        <v>Diabetes</v>
      </c>
      <c r="M131">
        <f>VLOOKUP(A131,Hospitalisation_Details__2[],4,FALSE)</f>
        <v>38998.550000000003</v>
      </c>
      <c r="N131" t="str">
        <f>VLOOKUP(A131,Hospitalisation_Details__2[],5,FALSE)</f>
        <v>tier - 1</v>
      </c>
      <c r="O131" t="str">
        <f>VLOOKUP(A131,Hospitalisation_Details__2[],6,FALSE)</f>
        <v>tier - 1</v>
      </c>
      <c r="P131" t="str">
        <f>VLOOKUP(A131,Hospitalisation_Details__2[],7,FALSE)</f>
        <v>R1011</v>
      </c>
    </row>
    <row r="132" spans="1:16" x14ac:dyDescent="0.35">
      <c r="A132" t="str">
        <v>Id131</v>
      </c>
      <c r="B132" t="str">
        <f>VLOOKUP(A132,'Customer Names (2)'!A:B, 2,FALSE)</f>
        <v>Mr</v>
      </c>
      <c r="C132">
        <f>VLOOKUP(A132,Medical_Examinations[],2,FALSE)</f>
        <v>48.32</v>
      </c>
      <c r="D132">
        <f>VLOOKUP(A132,Medical_Examinations[],3,FALSE)</f>
        <v>5.77</v>
      </c>
      <c r="E132" t="str">
        <f>VLOOKUP(A132,Medical_Examinations[],4,FALSE)</f>
        <v>No</v>
      </c>
      <c r="F132" t="str">
        <f>VLOOKUP(A132,Medical_Examinations[],5,FALSE)</f>
        <v>No</v>
      </c>
      <c r="G132" t="str">
        <f>VLOOKUP(A132,Medical_Examinations[],6,FALSE)</f>
        <v>No</v>
      </c>
      <c r="H132">
        <f>VLOOKUP(A132,Medical_Examinations[],7,FALSE)</f>
        <v>0</v>
      </c>
      <c r="I132" t="str">
        <f>VLOOKUP(A132,Medical_Examinations[],8,FALSE)</f>
        <v>Yes</v>
      </c>
      <c r="J132" t="str">
        <f>VLOOKUP(A132,Medical_Examinations[],9,FALSE)</f>
        <v>Obesity</v>
      </c>
      <c r="K132" t="str">
        <f>VLOOKUP(A132,Medical_Examinations[],10,FALSE)</f>
        <v>Prediabetes</v>
      </c>
      <c r="M132">
        <f>VLOOKUP(A132,Hospitalisation_Details__2[],4,FALSE)</f>
        <v>38947.43</v>
      </c>
      <c r="N132" t="str">
        <f>VLOOKUP(A132,Hospitalisation_Details__2[],5,FALSE)</f>
        <v>tier - 2</v>
      </c>
      <c r="O132" t="str">
        <f>VLOOKUP(A132,Hospitalisation_Details__2[],6,FALSE)</f>
        <v>tier - 3</v>
      </c>
      <c r="P132" t="str">
        <f>VLOOKUP(A132,Hospitalisation_Details__2[],7,FALSE)</f>
        <v>R1011</v>
      </c>
    </row>
    <row r="133" spans="1:16" x14ac:dyDescent="0.35">
      <c r="A133" t="str">
        <v>Id132</v>
      </c>
      <c r="B133" t="str">
        <f>VLOOKUP(A133,'Customer Names (2)'!A:B, 2,FALSE)</f>
        <v>Ms</v>
      </c>
      <c r="C133">
        <f>VLOOKUP(A133,Medical_Examinations[],2,FALSE)</f>
        <v>44.86</v>
      </c>
      <c r="D133">
        <f>VLOOKUP(A133,Medical_Examinations[],3,FALSE)</f>
        <v>4.38</v>
      </c>
      <c r="E133" t="str">
        <f>VLOOKUP(A133,Medical_Examinations[],4,FALSE)</f>
        <v>Yes</v>
      </c>
      <c r="F133" t="str">
        <f>VLOOKUP(A133,Medical_Examinations[],5,FALSE)</f>
        <v>No</v>
      </c>
      <c r="G133" t="str">
        <f>VLOOKUP(A133,Medical_Examinations[],6,FALSE)</f>
        <v>No</v>
      </c>
      <c r="H133">
        <f>VLOOKUP(A133,Medical_Examinations[],7,FALSE)</f>
        <v>0</v>
      </c>
      <c r="I133" t="str">
        <f>VLOOKUP(A133,Medical_Examinations[],8,FALSE)</f>
        <v>Yes</v>
      </c>
      <c r="J133" t="str">
        <f>VLOOKUP(A133,Medical_Examinations[],9,FALSE)</f>
        <v>Obesity</v>
      </c>
      <c r="K133" t="str">
        <f>VLOOKUP(A133,Medical_Examinations[],10,FALSE)</f>
        <v>Normal</v>
      </c>
      <c r="M133">
        <f>VLOOKUP(A133,Hospitalisation_Details__2[],4,FALSE)</f>
        <v>38932.559999999998</v>
      </c>
      <c r="N133" t="str">
        <f>VLOOKUP(A133,Hospitalisation_Details__2[],5,FALSE)</f>
        <v>tier - 2</v>
      </c>
      <c r="O133" t="str">
        <f>VLOOKUP(A133,Hospitalisation_Details__2[],6,FALSE)</f>
        <v>tier - 3</v>
      </c>
      <c r="P133" t="str">
        <f>VLOOKUP(A133,Hospitalisation_Details__2[],7,FALSE)</f>
        <v>R1011</v>
      </c>
    </row>
    <row r="134" spans="1:16" x14ac:dyDescent="0.35">
      <c r="A134" t="str">
        <v>Id133</v>
      </c>
      <c r="B134" t="str">
        <f>VLOOKUP(A134,'Customer Names (2)'!A:B, 2,FALSE)</f>
        <v>Mr</v>
      </c>
      <c r="C134">
        <f>VLOOKUP(A134,Medical_Examinations[],2,FALSE)</f>
        <v>52.15</v>
      </c>
      <c r="D134">
        <f>VLOOKUP(A134,Medical_Examinations[],3,FALSE)</f>
        <v>5.65</v>
      </c>
      <c r="E134" t="str">
        <f>VLOOKUP(A134,Medical_Examinations[],4,FALSE)</f>
        <v>No</v>
      </c>
      <c r="F134" t="str">
        <f>VLOOKUP(A134,Medical_Examinations[],5,FALSE)</f>
        <v>No</v>
      </c>
      <c r="G134" t="str">
        <f>VLOOKUP(A134,Medical_Examinations[],6,FALSE)</f>
        <v>No</v>
      </c>
      <c r="H134">
        <f>VLOOKUP(A134,Medical_Examinations[],7,FALSE)</f>
        <v>1</v>
      </c>
      <c r="I134" t="str">
        <f>VLOOKUP(A134,Medical_Examinations[],8,FALSE)</f>
        <v>Yes</v>
      </c>
      <c r="J134" t="str">
        <f>VLOOKUP(A134,Medical_Examinations[],9,FALSE)</f>
        <v>Obesity</v>
      </c>
      <c r="K134" t="str">
        <f>VLOOKUP(A134,Medical_Examinations[],10,FALSE)</f>
        <v>Normal</v>
      </c>
      <c r="M134">
        <f>VLOOKUP(A134,Hospitalisation_Details__2[],4,FALSE)</f>
        <v>38924.04</v>
      </c>
      <c r="N134" t="str">
        <f>VLOOKUP(A134,Hospitalisation_Details__2[],5,FALSE)</f>
        <v>tier - 2</v>
      </c>
      <c r="O134" t="str">
        <f>VLOOKUP(A134,Hospitalisation_Details__2[],6,FALSE)</f>
        <v>tier - 2</v>
      </c>
      <c r="P134" t="str">
        <f>VLOOKUP(A134,Hospitalisation_Details__2[],7,FALSE)</f>
        <v>R1011</v>
      </c>
    </row>
    <row r="135" spans="1:16" x14ac:dyDescent="0.35">
      <c r="A135" t="str">
        <v>Id134</v>
      </c>
      <c r="B135" t="str">
        <f>VLOOKUP(A135,'Customer Names (2)'!A:B, 2,FALSE)</f>
        <v>Mr</v>
      </c>
      <c r="C135">
        <f>VLOOKUP(A135,Medical_Examinations[],2,FALSE)</f>
        <v>41.12</v>
      </c>
      <c r="D135">
        <f>VLOOKUP(A135,Medical_Examinations[],3,FALSE)</f>
        <v>7.54</v>
      </c>
      <c r="E135" t="str">
        <f>VLOOKUP(A135,Medical_Examinations[],4,FALSE)</f>
        <v>Yes</v>
      </c>
      <c r="F135" t="str">
        <f>VLOOKUP(A135,Medical_Examinations[],5,FALSE)</f>
        <v>No</v>
      </c>
      <c r="G135" t="str">
        <f>VLOOKUP(A135,Medical_Examinations[],6,FALSE)</f>
        <v>No</v>
      </c>
      <c r="H135">
        <f>VLOOKUP(A135,Medical_Examinations[],7,FALSE)</f>
        <v>0</v>
      </c>
      <c r="I135" t="str">
        <f>VLOOKUP(A135,Medical_Examinations[],8,FALSE)</f>
        <v>Yes</v>
      </c>
      <c r="J135" t="str">
        <f>VLOOKUP(A135,Medical_Examinations[],9,FALSE)</f>
        <v>Obesity</v>
      </c>
      <c r="K135" t="str">
        <f>VLOOKUP(A135,Medical_Examinations[],10,FALSE)</f>
        <v>Diabetes</v>
      </c>
      <c r="M135">
        <f>VLOOKUP(A135,Hospitalisation_Details__2[],4,FALSE)</f>
        <v>38893.360000000001</v>
      </c>
      <c r="N135" t="str">
        <f>VLOOKUP(A135,Hospitalisation_Details__2[],5,FALSE)</f>
        <v>tier - 1</v>
      </c>
      <c r="O135" t="str">
        <f>VLOOKUP(A135,Hospitalisation_Details__2[],6,FALSE)</f>
        <v>tier - 2</v>
      </c>
      <c r="P135" t="str">
        <f>VLOOKUP(A135,Hospitalisation_Details__2[],7,FALSE)</f>
        <v>R1011</v>
      </c>
    </row>
    <row r="136" spans="1:16" x14ac:dyDescent="0.35">
      <c r="A136" t="str">
        <v>Id135</v>
      </c>
      <c r="B136" t="str">
        <f>VLOOKUP(A136,'Customer Names (2)'!A:B, 2,FALSE)</f>
        <v>Ms</v>
      </c>
      <c r="C136">
        <f>VLOOKUP(A136,Medical_Examinations[],2,FALSE)</f>
        <v>38.39</v>
      </c>
      <c r="D136">
        <f>VLOOKUP(A136,Medical_Examinations[],3,FALSE)</f>
        <v>5.1100000000000003</v>
      </c>
      <c r="E136" t="str">
        <f>VLOOKUP(A136,Medical_Examinations[],4,FALSE)</f>
        <v>Yes</v>
      </c>
      <c r="F136" t="str">
        <f>VLOOKUP(A136,Medical_Examinations[],5,FALSE)</f>
        <v>No</v>
      </c>
      <c r="G136" t="str">
        <f>VLOOKUP(A136,Medical_Examinations[],6,FALSE)</f>
        <v>No</v>
      </c>
      <c r="H136">
        <f>VLOOKUP(A136,Medical_Examinations[],7,FALSE)</f>
        <v>1</v>
      </c>
      <c r="I136" t="str">
        <f>VLOOKUP(A136,Medical_Examinations[],8,FALSE)</f>
        <v>Yes</v>
      </c>
      <c r="J136" t="str">
        <f>VLOOKUP(A136,Medical_Examinations[],9,FALSE)</f>
        <v>Obesity</v>
      </c>
      <c r="K136" t="str">
        <f>VLOOKUP(A136,Medical_Examinations[],10,FALSE)</f>
        <v>Normal</v>
      </c>
      <c r="M136">
        <f>VLOOKUP(A136,Hospitalisation_Details__2[],4,FALSE)</f>
        <v>38869.25</v>
      </c>
      <c r="N136" t="str">
        <f>VLOOKUP(A136,Hospitalisation_Details__2[],5,FALSE)</f>
        <v>tier - 2</v>
      </c>
      <c r="O136" t="str">
        <f>VLOOKUP(A136,Hospitalisation_Details__2[],6,FALSE)</f>
        <v>tier - 2</v>
      </c>
      <c r="P136" t="str">
        <f>VLOOKUP(A136,Hospitalisation_Details__2[],7,FALSE)</f>
        <v>R1011</v>
      </c>
    </row>
    <row r="137" spans="1:16" x14ac:dyDescent="0.35">
      <c r="A137" t="str">
        <v>Id136</v>
      </c>
      <c r="B137" t="str">
        <f>VLOOKUP(A137,'Customer Names (2)'!A:B, 2,FALSE)</f>
        <v>Ms</v>
      </c>
      <c r="C137">
        <f>VLOOKUP(A137,Medical_Examinations[],2,FALSE)</f>
        <v>46.85</v>
      </c>
      <c r="D137">
        <f>VLOOKUP(A137,Medical_Examinations[],3,FALSE)</f>
        <v>4.25</v>
      </c>
      <c r="E137" t="str">
        <f>VLOOKUP(A137,Medical_Examinations[],4,FALSE)</f>
        <v>No</v>
      </c>
      <c r="F137" t="str">
        <f>VLOOKUP(A137,Medical_Examinations[],5,FALSE)</f>
        <v>No</v>
      </c>
      <c r="G137" t="str">
        <f>VLOOKUP(A137,Medical_Examinations[],6,FALSE)</f>
        <v>Yes</v>
      </c>
      <c r="H137">
        <f>VLOOKUP(A137,Medical_Examinations[],7,FALSE)</f>
        <v>1</v>
      </c>
      <c r="I137" t="str">
        <f>VLOOKUP(A137,Medical_Examinations[],8,FALSE)</f>
        <v>Yes</v>
      </c>
      <c r="J137" t="str">
        <f>VLOOKUP(A137,Medical_Examinations[],9,FALSE)</f>
        <v>Obesity</v>
      </c>
      <c r="K137" t="str">
        <f>VLOOKUP(A137,Medical_Examinations[],10,FALSE)</f>
        <v>Normal</v>
      </c>
      <c r="M137">
        <f>VLOOKUP(A137,Hospitalisation_Details__2[],4,FALSE)</f>
        <v>38836.980000000003</v>
      </c>
      <c r="N137" t="str">
        <f>VLOOKUP(A137,Hospitalisation_Details__2[],5,FALSE)</f>
        <v>tier - 2</v>
      </c>
      <c r="O137" t="str">
        <f>VLOOKUP(A137,Hospitalisation_Details__2[],6,FALSE)</f>
        <v>tier - 1</v>
      </c>
      <c r="P137" t="str">
        <f>VLOOKUP(A137,Hospitalisation_Details__2[],7,FALSE)</f>
        <v>R1011</v>
      </c>
    </row>
    <row r="138" spans="1:16" x14ac:dyDescent="0.35">
      <c r="A138" t="str">
        <v>Id137</v>
      </c>
      <c r="B138" t="str">
        <f>VLOOKUP(A138,'Customer Names (2)'!A:B, 2,FALSE)</f>
        <v>Ms</v>
      </c>
      <c r="C138">
        <f>VLOOKUP(A138,Medical_Examinations[],2,FALSE)</f>
        <v>42.24</v>
      </c>
      <c r="D138">
        <f>VLOOKUP(A138,Medical_Examinations[],3,FALSE)</f>
        <v>5.55</v>
      </c>
      <c r="E138" t="str">
        <f>VLOOKUP(A138,Medical_Examinations[],4,FALSE)</f>
        <v>No</v>
      </c>
      <c r="F138" t="str">
        <f>VLOOKUP(A138,Medical_Examinations[],5,FALSE)</f>
        <v>yes</v>
      </c>
      <c r="G138" t="str">
        <f>VLOOKUP(A138,Medical_Examinations[],6,FALSE)</f>
        <v>No</v>
      </c>
      <c r="H138">
        <f>VLOOKUP(A138,Medical_Examinations[],7,FALSE)</f>
        <v>1</v>
      </c>
      <c r="I138" t="str">
        <f>VLOOKUP(A138,Medical_Examinations[],8,FALSE)</f>
        <v>Yes</v>
      </c>
      <c r="J138" t="str">
        <f>VLOOKUP(A138,Medical_Examinations[],9,FALSE)</f>
        <v>Obesity</v>
      </c>
      <c r="K138" t="str">
        <f>VLOOKUP(A138,Medical_Examinations[],10,FALSE)</f>
        <v>Normal</v>
      </c>
      <c r="M138">
        <f>VLOOKUP(A138,Hospitalisation_Details__2[],4,FALSE)</f>
        <v>38792.69</v>
      </c>
      <c r="N138" t="str">
        <f>VLOOKUP(A138,Hospitalisation_Details__2[],5,FALSE)</f>
        <v>tier - 2</v>
      </c>
      <c r="O138" t="str">
        <f>VLOOKUP(A138,Hospitalisation_Details__2[],6,FALSE)</f>
        <v>tier - 2</v>
      </c>
      <c r="P138" t="str">
        <f>VLOOKUP(A138,Hospitalisation_Details__2[],7,FALSE)</f>
        <v>R1013</v>
      </c>
    </row>
    <row r="139" spans="1:16" x14ac:dyDescent="0.35">
      <c r="A139" t="str">
        <v>Id138</v>
      </c>
      <c r="B139" t="str">
        <f>VLOOKUP(A139,'Customer Names (2)'!A:B, 2,FALSE)</f>
        <v>Mr</v>
      </c>
      <c r="C139">
        <f>VLOOKUP(A139,Medical_Examinations[],2,FALSE)</f>
        <v>34.39</v>
      </c>
      <c r="D139">
        <f>VLOOKUP(A139,Medical_Examinations[],3,FALSE)</f>
        <v>5.78</v>
      </c>
      <c r="E139" t="str">
        <f>VLOOKUP(A139,Medical_Examinations[],4,FALSE)</f>
        <v>No</v>
      </c>
      <c r="F139" t="str">
        <f>VLOOKUP(A139,Medical_Examinations[],5,FALSE)</f>
        <v>No</v>
      </c>
      <c r="G139" t="str">
        <f>VLOOKUP(A139,Medical_Examinations[],6,FALSE)</f>
        <v>No</v>
      </c>
      <c r="H139">
        <f>VLOOKUP(A139,Medical_Examinations[],7,FALSE)</f>
        <v>0</v>
      </c>
      <c r="I139" t="str">
        <f>VLOOKUP(A139,Medical_Examinations[],8,FALSE)</f>
        <v>Yes</v>
      </c>
      <c r="J139" t="str">
        <f>VLOOKUP(A139,Medical_Examinations[],9,FALSE)</f>
        <v>Obesity</v>
      </c>
      <c r="K139" t="str">
        <f>VLOOKUP(A139,Medical_Examinations[],10,FALSE)</f>
        <v>Prediabetes</v>
      </c>
      <c r="M139">
        <f>VLOOKUP(A139,Hospitalisation_Details__2[],4,FALSE)</f>
        <v>38746.36</v>
      </c>
      <c r="N139" t="str">
        <f>VLOOKUP(A139,Hospitalisation_Details__2[],5,FALSE)</f>
        <v>tier - 1</v>
      </c>
      <c r="O139" t="str">
        <f>VLOOKUP(A139,Hospitalisation_Details__2[],6,FALSE)</f>
        <v>tier - 2</v>
      </c>
      <c r="P139" t="str">
        <f>VLOOKUP(A139,Hospitalisation_Details__2[],7,FALSE)</f>
        <v>R1012</v>
      </c>
    </row>
    <row r="140" spans="1:16" x14ac:dyDescent="0.35">
      <c r="A140" t="str">
        <v>Id139</v>
      </c>
      <c r="B140" t="str">
        <f>VLOOKUP(A140,'Customer Names (2)'!A:B, 2,FALSE)</f>
        <v>Mr</v>
      </c>
      <c r="C140">
        <f>VLOOKUP(A140,Medical_Examinations[],2,FALSE)</f>
        <v>42.89</v>
      </c>
      <c r="D140">
        <f>VLOOKUP(A140,Medical_Examinations[],3,FALSE)</f>
        <v>5.28</v>
      </c>
      <c r="E140" t="str">
        <f>VLOOKUP(A140,Medical_Examinations[],4,FALSE)</f>
        <v>Yes</v>
      </c>
      <c r="F140" t="str">
        <f>VLOOKUP(A140,Medical_Examinations[],5,FALSE)</f>
        <v>No</v>
      </c>
      <c r="G140" t="str">
        <f>VLOOKUP(A140,Medical_Examinations[],6,FALSE)</f>
        <v>No</v>
      </c>
      <c r="H140">
        <f>VLOOKUP(A140,Medical_Examinations[],7,FALSE)</f>
        <v>0</v>
      </c>
      <c r="I140" t="str">
        <f>VLOOKUP(A140,Medical_Examinations[],8,FALSE)</f>
        <v>Yes</v>
      </c>
      <c r="J140" t="str">
        <f>VLOOKUP(A140,Medical_Examinations[],9,FALSE)</f>
        <v>Obesity</v>
      </c>
      <c r="K140" t="str">
        <f>VLOOKUP(A140,Medical_Examinations[],10,FALSE)</f>
        <v>Normal</v>
      </c>
      <c r="M140">
        <f>VLOOKUP(A140,Hospitalisation_Details__2[],4,FALSE)</f>
        <v>38740.120000000003</v>
      </c>
      <c r="N140" t="str">
        <f>VLOOKUP(A140,Hospitalisation_Details__2[],5,FALSE)</f>
        <v>tier - 2</v>
      </c>
      <c r="O140" t="str">
        <f>VLOOKUP(A140,Hospitalisation_Details__2[],6,FALSE)</f>
        <v>tier - 2</v>
      </c>
      <c r="P140" t="str">
        <f>VLOOKUP(A140,Hospitalisation_Details__2[],7,FALSE)</f>
        <v>R1012</v>
      </c>
    </row>
    <row r="141" spans="1:16" x14ac:dyDescent="0.35">
      <c r="A141" t="str">
        <v>Id140</v>
      </c>
      <c r="B141" t="str">
        <f>VLOOKUP(A141,'Customer Names (2)'!A:B, 2,FALSE)</f>
        <v>Mr</v>
      </c>
      <c r="C141">
        <f>VLOOKUP(A141,Medical_Examinations[],2,FALSE)</f>
        <v>36.299999999999997</v>
      </c>
      <c r="D141">
        <f>VLOOKUP(A141,Medical_Examinations[],3,FALSE)</f>
        <v>5.39</v>
      </c>
      <c r="E141" t="str">
        <f>VLOOKUP(A141,Medical_Examinations[],4,FALSE)</f>
        <v>No</v>
      </c>
      <c r="F141" t="str">
        <f>VLOOKUP(A141,Medical_Examinations[],5,FALSE)</f>
        <v>No</v>
      </c>
      <c r="G141" t="str">
        <f>VLOOKUP(A141,Medical_Examinations[],6,FALSE)</f>
        <v>No</v>
      </c>
      <c r="H141">
        <f>VLOOKUP(A141,Medical_Examinations[],7,FALSE)</f>
        <v>0</v>
      </c>
      <c r="I141" t="str">
        <f>VLOOKUP(A141,Medical_Examinations[],8,FALSE)</f>
        <v>Yes</v>
      </c>
      <c r="J141" t="str">
        <f>VLOOKUP(A141,Medical_Examinations[],9,FALSE)</f>
        <v>Obesity</v>
      </c>
      <c r="K141" t="str">
        <f>VLOOKUP(A141,Medical_Examinations[],10,FALSE)</f>
        <v>Normal</v>
      </c>
      <c r="M141">
        <f>VLOOKUP(A141,Hospitalisation_Details__2[],4,FALSE)</f>
        <v>38711</v>
      </c>
      <c r="N141" t="str">
        <f>VLOOKUP(A141,Hospitalisation_Details__2[],5,FALSE)</f>
        <v>tier - 2</v>
      </c>
      <c r="O141" t="str">
        <f>VLOOKUP(A141,Hospitalisation_Details__2[],6,FALSE)</f>
        <v>tier - 2</v>
      </c>
      <c r="P141" t="str">
        <f>VLOOKUP(A141,Hospitalisation_Details__2[],7,FALSE)</f>
        <v>R1011</v>
      </c>
    </row>
    <row r="142" spans="1:16" x14ac:dyDescent="0.35">
      <c r="A142" t="str">
        <v>Id141</v>
      </c>
      <c r="B142" t="str">
        <f>VLOOKUP(A142,'Customer Names (2)'!A:B, 2,FALSE)</f>
        <v>Mr</v>
      </c>
      <c r="C142">
        <f>VLOOKUP(A142,Medical_Examinations[],2,FALSE)</f>
        <v>35.200000000000003</v>
      </c>
      <c r="D142">
        <f>VLOOKUP(A142,Medical_Examinations[],3,FALSE)</f>
        <v>8.01</v>
      </c>
      <c r="E142" t="str">
        <f>VLOOKUP(A142,Medical_Examinations[],4,FALSE)</f>
        <v>Yes</v>
      </c>
      <c r="F142" t="str">
        <f>VLOOKUP(A142,Medical_Examinations[],5,FALSE)</f>
        <v>No</v>
      </c>
      <c r="G142" t="str">
        <f>VLOOKUP(A142,Medical_Examinations[],6,FALSE)</f>
        <v>No</v>
      </c>
      <c r="H142">
        <f>VLOOKUP(A142,Medical_Examinations[],7,FALSE)</f>
        <v>1</v>
      </c>
      <c r="I142" t="str">
        <f>VLOOKUP(A142,Medical_Examinations[],8,FALSE)</f>
        <v>Yes</v>
      </c>
      <c r="J142" t="str">
        <f>VLOOKUP(A142,Medical_Examinations[],9,FALSE)</f>
        <v>Obesity</v>
      </c>
      <c r="K142" t="str">
        <f>VLOOKUP(A142,Medical_Examinations[],10,FALSE)</f>
        <v>Diabetes</v>
      </c>
      <c r="M142">
        <f>VLOOKUP(A142,Hospitalisation_Details__2[],4,FALSE)</f>
        <v>38709.18</v>
      </c>
      <c r="N142" t="str">
        <f>VLOOKUP(A142,Hospitalisation_Details__2[],5,FALSE)</f>
        <v>tier - 1</v>
      </c>
      <c r="O142" t="str">
        <f>VLOOKUP(A142,Hospitalisation_Details__2[],6,FALSE)</f>
        <v>tier - 3</v>
      </c>
      <c r="P142" t="str">
        <f>VLOOKUP(A142,Hospitalisation_Details__2[],7,FALSE)</f>
        <v>R1013</v>
      </c>
    </row>
    <row r="143" spans="1:16" x14ac:dyDescent="0.35">
      <c r="A143" t="str">
        <v>Id142</v>
      </c>
      <c r="B143" t="str">
        <f>VLOOKUP(A143,'Customer Names (2)'!A:B, 2,FALSE)</f>
        <v>Mr</v>
      </c>
      <c r="C143">
        <f>VLOOKUP(A143,Medical_Examinations[],2,FALSE)</f>
        <v>53.62</v>
      </c>
      <c r="D143">
        <f>VLOOKUP(A143,Medical_Examinations[],3,FALSE)</f>
        <v>5.21</v>
      </c>
      <c r="E143" t="str">
        <f>VLOOKUP(A143,Medical_Examinations[],4,FALSE)</f>
        <v>No</v>
      </c>
      <c r="F143" t="str">
        <f>VLOOKUP(A143,Medical_Examinations[],5,FALSE)</f>
        <v>No</v>
      </c>
      <c r="G143" t="str">
        <f>VLOOKUP(A143,Medical_Examinations[],6,FALSE)</f>
        <v>No</v>
      </c>
      <c r="H143">
        <f>VLOOKUP(A143,Medical_Examinations[],7,FALSE)</f>
        <v>0</v>
      </c>
      <c r="I143" t="str">
        <f>VLOOKUP(A143,Medical_Examinations[],8,FALSE)</f>
        <v>Yes</v>
      </c>
      <c r="J143" t="str">
        <f>VLOOKUP(A143,Medical_Examinations[],9,FALSE)</f>
        <v>Obesity</v>
      </c>
      <c r="K143" t="str">
        <f>VLOOKUP(A143,Medical_Examinations[],10,FALSE)</f>
        <v>Normal</v>
      </c>
      <c r="M143">
        <f>VLOOKUP(A143,Hospitalisation_Details__2[],4,FALSE)</f>
        <v>38652.089999999997</v>
      </c>
      <c r="N143" t="str">
        <f>VLOOKUP(A143,Hospitalisation_Details__2[],5,FALSE)</f>
        <v>tier - 2</v>
      </c>
      <c r="O143" t="str">
        <f>VLOOKUP(A143,Hospitalisation_Details__2[],6,FALSE)</f>
        <v>tier - 2</v>
      </c>
      <c r="P143" t="str">
        <f>VLOOKUP(A143,Hospitalisation_Details__2[],7,FALSE)</f>
        <v>R1011</v>
      </c>
    </row>
    <row r="144" spans="1:16" x14ac:dyDescent="0.35">
      <c r="A144" t="str">
        <v>Id143</v>
      </c>
      <c r="B144" t="str">
        <f>VLOOKUP(A144,'Customer Names (2)'!A:B, 2,FALSE)</f>
        <v>Ms</v>
      </c>
      <c r="C144">
        <f>VLOOKUP(A144,Medical_Examinations[],2,FALSE)</f>
        <v>36.67</v>
      </c>
      <c r="D144">
        <f>VLOOKUP(A144,Medical_Examinations[],3,FALSE)</f>
        <v>6.27</v>
      </c>
      <c r="E144" t="str">
        <f>VLOOKUP(A144,Medical_Examinations[],4,FALSE)</f>
        <v>No</v>
      </c>
      <c r="F144" t="str">
        <f>VLOOKUP(A144,Medical_Examinations[],5,FALSE)</f>
        <v>No</v>
      </c>
      <c r="G144" t="str">
        <f>VLOOKUP(A144,Medical_Examinations[],6,FALSE)</f>
        <v>No</v>
      </c>
      <c r="H144">
        <f>VLOOKUP(A144,Medical_Examinations[],7,FALSE)</f>
        <v>0</v>
      </c>
      <c r="I144" t="str">
        <f>VLOOKUP(A144,Medical_Examinations[],8,FALSE)</f>
        <v>Yes</v>
      </c>
      <c r="J144" t="str">
        <f>VLOOKUP(A144,Medical_Examinations[],9,FALSE)</f>
        <v>Obesity</v>
      </c>
      <c r="K144" t="str">
        <f>VLOOKUP(A144,Medical_Examinations[],10,FALSE)</f>
        <v>Prediabetes</v>
      </c>
      <c r="M144">
        <f>VLOOKUP(A144,Hospitalisation_Details__2[],4,FALSE)</f>
        <v>38511.629999999997</v>
      </c>
      <c r="N144" t="str">
        <f>VLOOKUP(A144,Hospitalisation_Details__2[],5,FALSE)</f>
        <v>tier - 2</v>
      </c>
      <c r="O144" t="str">
        <f>VLOOKUP(A144,Hospitalisation_Details__2[],6,FALSE)</f>
        <v>tier - 2</v>
      </c>
      <c r="P144" t="str">
        <f>VLOOKUP(A144,Hospitalisation_Details__2[],7,FALSE)</f>
        <v>R1024</v>
      </c>
    </row>
    <row r="145" spans="1:16" x14ac:dyDescent="0.35">
      <c r="A145" t="str">
        <v>Id144</v>
      </c>
      <c r="B145" t="str">
        <f>VLOOKUP(A145,'Customer Names (2)'!A:B, 2,FALSE)</f>
        <v>Mr</v>
      </c>
      <c r="C145">
        <f>VLOOKUP(A145,Medical_Examinations[],2,FALSE)</f>
        <v>33.4</v>
      </c>
      <c r="D145">
        <f>VLOOKUP(A145,Medical_Examinations[],3,FALSE)</f>
        <v>10.73</v>
      </c>
      <c r="E145" t="str">
        <f>VLOOKUP(A145,Medical_Examinations[],4,FALSE)</f>
        <v>Yes</v>
      </c>
      <c r="F145" t="str">
        <f>VLOOKUP(A145,Medical_Examinations[],5,FALSE)</f>
        <v>No</v>
      </c>
      <c r="G145" t="str">
        <f>VLOOKUP(A145,Medical_Examinations[],6,FALSE)</f>
        <v>No</v>
      </c>
      <c r="H145">
        <f>VLOOKUP(A145,Medical_Examinations[],7,FALSE)</f>
        <v>1</v>
      </c>
      <c r="I145" t="str">
        <f>VLOOKUP(A145,Medical_Examinations[],8,FALSE)</f>
        <v>Yes</v>
      </c>
      <c r="J145" t="str">
        <f>VLOOKUP(A145,Medical_Examinations[],9,FALSE)</f>
        <v>Obesity</v>
      </c>
      <c r="K145" t="str">
        <f>VLOOKUP(A145,Medical_Examinations[],10,FALSE)</f>
        <v>Diabetes</v>
      </c>
      <c r="M145">
        <f>VLOOKUP(A145,Hospitalisation_Details__2[],4,FALSE)</f>
        <v>38415.47</v>
      </c>
      <c r="N145" t="str">
        <f>VLOOKUP(A145,Hospitalisation_Details__2[],5,FALSE)</f>
        <v>tier - 1</v>
      </c>
      <c r="O145" t="str">
        <f>VLOOKUP(A145,Hospitalisation_Details__2[],6,FALSE)</f>
        <v>tier - 2</v>
      </c>
      <c r="P145" t="str">
        <f>VLOOKUP(A145,Hospitalisation_Details__2[],7,FALSE)</f>
        <v>R1011</v>
      </c>
    </row>
    <row r="146" spans="1:16" x14ac:dyDescent="0.35">
      <c r="A146" t="str">
        <v>Id145</v>
      </c>
      <c r="B146" t="str">
        <f>VLOOKUP(A146,'Customer Names (2)'!A:B, 2,FALSE)</f>
        <v>Mr</v>
      </c>
      <c r="C146">
        <f>VLOOKUP(A146,Medical_Examinations[],2,FALSE)</f>
        <v>42.71</v>
      </c>
      <c r="D146">
        <f>VLOOKUP(A146,Medical_Examinations[],3,FALSE)</f>
        <v>10.52</v>
      </c>
      <c r="E146" t="str">
        <f>VLOOKUP(A146,Medical_Examinations[],4,FALSE)</f>
        <v>No</v>
      </c>
      <c r="F146" t="str">
        <f>VLOOKUP(A146,Medical_Examinations[],5,FALSE)</f>
        <v>No</v>
      </c>
      <c r="G146" t="str">
        <f>VLOOKUP(A146,Medical_Examinations[],6,FALSE)</f>
        <v>No</v>
      </c>
      <c r="H146">
        <f>VLOOKUP(A146,Medical_Examinations[],7,FALSE)</f>
        <v>0</v>
      </c>
      <c r="I146" t="str">
        <f>VLOOKUP(A146,Medical_Examinations[],8,FALSE)</f>
        <v>Yes</v>
      </c>
      <c r="J146" t="str">
        <f>VLOOKUP(A146,Medical_Examinations[],9,FALSE)</f>
        <v>Obesity</v>
      </c>
      <c r="K146" t="str">
        <f>VLOOKUP(A146,Medical_Examinations[],10,FALSE)</f>
        <v>Diabetes</v>
      </c>
      <c r="M146">
        <f>VLOOKUP(A146,Hospitalisation_Details__2[],4,FALSE)</f>
        <v>38405.26</v>
      </c>
      <c r="N146" t="str">
        <f>VLOOKUP(A146,Hospitalisation_Details__2[],5,FALSE)</f>
        <v>tier - 2</v>
      </c>
      <c r="O146" t="str">
        <f>VLOOKUP(A146,Hospitalisation_Details__2[],6,FALSE)</f>
        <v>tier - 1</v>
      </c>
      <c r="P146" t="str">
        <f>VLOOKUP(A146,Hospitalisation_Details__2[],7,FALSE)</f>
        <v>R1011</v>
      </c>
    </row>
    <row r="147" spans="1:16" x14ac:dyDescent="0.35">
      <c r="A147" t="str">
        <v>Id146</v>
      </c>
      <c r="B147" t="str">
        <f>VLOOKUP(A147,'Customer Names (2)'!A:B, 2,FALSE)</f>
        <v>Ms</v>
      </c>
      <c r="C147">
        <f>VLOOKUP(A147,Medical_Examinations[],2,FALSE)</f>
        <v>41.52</v>
      </c>
      <c r="D147">
        <f>VLOOKUP(A147,Medical_Examinations[],3,FALSE)</f>
        <v>11.82</v>
      </c>
      <c r="E147" t="str">
        <f>VLOOKUP(A147,Medical_Examinations[],4,FALSE)</f>
        <v>Yes</v>
      </c>
      <c r="F147" t="str">
        <f>VLOOKUP(A147,Medical_Examinations[],5,FALSE)</f>
        <v>No</v>
      </c>
      <c r="G147" t="str">
        <f>VLOOKUP(A147,Medical_Examinations[],6,FALSE)</f>
        <v>No</v>
      </c>
      <c r="H147">
        <f>VLOOKUP(A147,Medical_Examinations[],7,FALSE)</f>
        <v>2</v>
      </c>
      <c r="I147" t="str">
        <f>VLOOKUP(A147,Medical_Examinations[],8,FALSE)</f>
        <v>Yes</v>
      </c>
      <c r="J147" t="str">
        <f>VLOOKUP(A147,Medical_Examinations[],9,FALSE)</f>
        <v>Obesity</v>
      </c>
      <c r="K147" t="str">
        <f>VLOOKUP(A147,Medical_Examinations[],10,FALSE)</f>
        <v>Diabetes</v>
      </c>
      <c r="M147">
        <f>VLOOKUP(A147,Hospitalisation_Details__2[],4,FALSE)</f>
        <v>38389.79</v>
      </c>
      <c r="N147" t="str">
        <f>VLOOKUP(A147,Hospitalisation_Details__2[],5,FALSE)</f>
        <v>tier - 2</v>
      </c>
      <c r="O147" t="str">
        <f>VLOOKUP(A147,Hospitalisation_Details__2[],6,FALSE)</f>
        <v>tier - 3</v>
      </c>
      <c r="P147" t="str">
        <f>VLOOKUP(A147,Hospitalisation_Details__2[],7,FALSE)</f>
        <v>R1011</v>
      </c>
    </row>
    <row r="148" spans="1:16" x14ac:dyDescent="0.35">
      <c r="A148" t="str">
        <v>Id147</v>
      </c>
      <c r="B148" t="str">
        <f>VLOOKUP(A148,'Customer Names (2)'!A:B, 2,FALSE)</f>
        <v>Mr</v>
      </c>
      <c r="C148">
        <f>VLOOKUP(A148,Medical_Examinations[],2,FALSE)</f>
        <v>39.4</v>
      </c>
      <c r="D148">
        <f>VLOOKUP(A148,Medical_Examinations[],3,FALSE)</f>
        <v>6.76</v>
      </c>
      <c r="E148" t="str">
        <f>VLOOKUP(A148,Medical_Examinations[],4,FALSE)</f>
        <v>No</v>
      </c>
      <c r="F148" t="str">
        <f>VLOOKUP(A148,Medical_Examinations[],5,FALSE)</f>
        <v>No</v>
      </c>
      <c r="G148" t="str">
        <f>VLOOKUP(A148,Medical_Examinations[],6,FALSE)</f>
        <v>No</v>
      </c>
      <c r="H148">
        <f>VLOOKUP(A148,Medical_Examinations[],7,FALSE)</f>
        <v>0</v>
      </c>
      <c r="I148" t="str">
        <f>VLOOKUP(A148,Medical_Examinations[],8,FALSE)</f>
        <v>Yes</v>
      </c>
      <c r="J148" t="str">
        <f>VLOOKUP(A148,Medical_Examinations[],9,FALSE)</f>
        <v>Obesity</v>
      </c>
      <c r="K148" t="str">
        <f>VLOOKUP(A148,Medical_Examinations[],10,FALSE)</f>
        <v>Diabetes</v>
      </c>
      <c r="M148">
        <f>VLOOKUP(A148,Hospitalisation_Details__2[],4,FALSE)</f>
        <v>38344.57</v>
      </c>
      <c r="N148" t="str">
        <f>VLOOKUP(A148,Hospitalisation_Details__2[],5,FALSE)</f>
        <v>tier - 1</v>
      </c>
      <c r="O148" t="str">
        <f>VLOOKUP(A148,Hospitalisation_Details__2[],6,FALSE)</f>
        <v>tier - 3</v>
      </c>
      <c r="P148" t="str">
        <f>VLOOKUP(A148,Hospitalisation_Details__2[],7,FALSE)</f>
        <v>R1011</v>
      </c>
    </row>
    <row r="149" spans="1:16" x14ac:dyDescent="0.35">
      <c r="A149" t="str">
        <v>Id148</v>
      </c>
      <c r="B149" t="str">
        <f>VLOOKUP(A149,'Customer Names (2)'!A:B, 2,FALSE)</f>
        <v>Mr</v>
      </c>
      <c r="C149">
        <f>VLOOKUP(A149,Medical_Examinations[],2,FALSE)</f>
        <v>46.45</v>
      </c>
      <c r="D149">
        <f>VLOOKUP(A149,Medical_Examinations[],3,FALSE)</f>
        <v>5.62</v>
      </c>
      <c r="E149" t="str">
        <f>VLOOKUP(A149,Medical_Examinations[],4,FALSE)</f>
        <v>No</v>
      </c>
      <c r="F149" t="str">
        <f>VLOOKUP(A149,Medical_Examinations[],5,FALSE)</f>
        <v>No</v>
      </c>
      <c r="G149" t="str">
        <f>VLOOKUP(A149,Medical_Examinations[],6,FALSE)</f>
        <v>No</v>
      </c>
      <c r="H149">
        <f>VLOOKUP(A149,Medical_Examinations[],7,FALSE)</f>
        <v>0</v>
      </c>
      <c r="I149" t="str">
        <f>VLOOKUP(A149,Medical_Examinations[],8,FALSE)</f>
        <v>Yes</v>
      </c>
      <c r="J149" t="str">
        <f>VLOOKUP(A149,Medical_Examinations[],9,FALSE)</f>
        <v>Obesity</v>
      </c>
      <c r="K149" t="str">
        <f>VLOOKUP(A149,Medical_Examinations[],10,FALSE)</f>
        <v>Normal</v>
      </c>
      <c r="M149">
        <f>VLOOKUP(A149,Hospitalisation_Details__2[],4,FALSE)</f>
        <v>38313.129999999997</v>
      </c>
      <c r="N149" t="str">
        <f>VLOOKUP(A149,Hospitalisation_Details__2[],5,FALSE)</f>
        <v>tier - 1</v>
      </c>
      <c r="O149" t="str">
        <f>VLOOKUP(A149,Hospitalisation_Details__2[],6,FALSE)</f>
        <v>tier - 3</v>
      </c>
      <c r="P149" t="str">
        <f>VLOOKUP(A149,Hospitalisation_Details__2[],7,FALSE)</f>
        <v>R1011</v>
      </c>
    </row>
    <row r="150" spans="1:16" x14ac:dyDescent="0.35">
      <c r="A150" t="str">
        <v>Id149</v>
      </c>
      <c r="B150" t="str">
        <f>VLOOKUP(A150,'Customer Names (2)'!A:B, 2,FALSE)</f>
        <v>Mr</v>
      </c>
      <c r="C150">
        <f>VLOOKUP(A150,Medical_Examinations[],2,FALSE)</f>
        <v>35.75</v>
      </c>
      <c r="D150">
        <f>VLOOKUP(A150,Medical_Examinations[],3,FALSE)</f>
        <v>4.1900000000000004</v>
      </c>
      <c r="E150" t="str">
        <f>VLOOKUP(A150,Medical_Examinations[],4,FALSE)</f>
        <v>No</v>
      </c>
      <c r="F150" t="str">
        <f>VLOOKUP(A150,Medical_Examinations[],5,FALSE)</f>
        <v>No</v>
      </c>
      <c r="G150" t="str">
        <f>VLOOKUP(A150,Medical_Examinations[],6,FALSE)</f>
        <v>No</v>
      </c>
      <c r="H150">
        <f>VLOOKUP(A150,Medical_Examinations[],7,FALSE)</f>
        <v>0</v>
      </c>
      <c r="I150" t="str">
        <f>VLOOKUP(A150,Medical_Examinations[],8,FALSE)</f>
        <v>Yes</v>
      </c>
      <c r="J150" t="str">
        <f>VLOOKUP(A150,Medical_Examinations[],9,FALSE)</f>
        <v>Obesity</v>
      </c>
      <c r="K150" t="str">
        <f>VLOOKUP(A150,Medical_Examinations[],10,FALSE)</f>
        <v>Normal</v>
      </c>
      <c r="M150">
        <f>VLOOKUP(A150,Hospitalisation_Details__2[],4,FALSE)</f>
        <v>38282.75</v>
      </c>
      <c r="N150" t="str">
        <f>VLOOKUP(A150,Hospitalisation_Details__2[],5,FALSE)</f>
        <v>tier - 1</v>
      </c>
      <c r="O150" t="str">
        <f>VLOOKUP(A150,Hospitalisation_Details__2[],6,FALSE)</f>
        <v>tier - 2</v>
      </c>
      <c r="P150" t="str">
        <f>VLOOKUP(A150,Hospitalisation_Details__2[],7,FALSE)</f>
        <v>R1013</v>
      </c>
    </row>
    <row r="151" spans="1:16" x14ac:dyDescent="0.35">
      <c r="A151" t="str">
        <v>Id150</v>
      </c>
      <c r="B151" t="str">
        <f>VLOOKUP(A151,'Customer Names (2)'!A:B, 2,FALSE)</f>
        <v>Mr</v>
      </c>
      <c r="C151">
        <f>VLOOKUP(A151,Medical_Examinations[],2,FALSE)</f>
        <v>26.07</v>
      </c>
      <c r="D151">
        <f>VLOOKUP(A151,Medical_Examinations[],3,FALSE)</f>
        <v>5.32</v>
      </c>
      <c r="E151" t="str">
        <f>VLOOKUP(A151,Medical_Examinations[],4,FALSE)</f>
        <v>No</v>
      </c>
      <c r="F151" t="str">
        <f>VLOOKUP(A151,Medical_Examinations[],5,FALSE)</f>
        <v>No</v>
      </c>
      <c r="G151" t="str">
        <f>VLOOKUP(A151,Medical_Examinations[],6,FALSE)</f>
        <v>No</v>
      </c>
      <c r="H151">
        <f>VLOOKUP(A151,Medical_Examinations[],7,FALSE)</f>
        <v>0</v>
      </c>
      <c r="I151" t="str">
        <f>VLOOKUP(A151,Medical_Examinations[],8,FALSE)</f>
        <v>Yes</v>
      </c>
      <c r="J151" t="str">
        <f>VLOOKUP(A151,Medical_Examinations[],9,FALSE)</f>
        <v>Overweight</v>
      </c>
      <c r="K151" t="str">
        <f>VLOOKUP(A151,Medical_Examinations[],10,FALSE)</f>
        <v>Normal</v>
      </c>
      <c r="M151">
        <f>VLOOKUP(A151,Hospitalisation_Details__2[],4,FALSE)</f>
        <v>38245.589999999997</v>
      </c>
      <c r="N151" t="str">
        <f>VLOOKUP(A151,Hospitalisation_Details__2[],5,FALSE)</f>
        <v>tier - 1</v>
      </c>
      <c r="O151" t="str">
        <f>VLOOKUP(A151,Hospitalisation_Details__2[],6,FALSE)</f>
        <v>tier - 2</v>
      </c>
      <c r="P151" t="str">
        <f>VLOOKUP(A151,Hospitalisation_Details__2[],7,FALSE)</f>
        <v>R1013</v>
      </c>
    </row>
    <row r="152" spans="1:16" x14ac:dyDescent="0.35">
      <c r="A152" t="str">
        <v>Id151</v>
      </c>
      <c r="B152" t="str">
        <f>VLOOKUP(A152,'Customer Names (2)'!A:B, 2,FALSE)</f>
        <v>Ms</v>
      </c>
      <c r="C152">
        <f>VLOOKUP(A152,Medical_Examinations[],2,FALSE)</f>
        <v>36.54</v>
      </c>
      <c r="D152">
        <f>VLOOKUP(A152,Medical_Examinations[],3,FALSE)</f>
        <v>4.46</v>
      </c>
      <c r="E152" t="str">
        <f>VLOOKUP(A152,Medical_Examinations[],4,FALSE)</f>
        <v>Yes</v>
      </c>
      <c r="F152" t="str">
        <f>VLOOKUP(A152,Medical_Examinations[],5,FALSE)</f>
        <v>No</v>
      </c>
      <c r="G152" t="str">
        <f>VLOOKUP(A152,Medical_Examinations[],6,FALSE)</f>
        <v>No</v>
      </c>
      <c r="H152">
        <f>VLOOKUP(A152,Medical_Examinations[],7,FALSE)</f>
        <v>1</v>
      </c>
      <c r="I152" t="str">
        <f>VLOOKUP(A152,Medical_Examinations[],8,FALSE)</f>
        <v>Yes</v>
      </c>
      <c r="J152" t="str">
        <f>VLOOKUP(A152,Medical_Examinations[],9,FALSE)</f>
        <v>Obesity</v>
      </c>
      <c r="K152" t="str">
        <f>VLOOKUP(A152,Medical_Examinations[],10,FALSE)</f>
        <v>Normal</v>
      </c>
      <c r="M152">
        <f>VLOOKUP(A152,Hospitalisation_Details__2[],4,FALSE)</f>
        <v>38241.74</v>
      </c>
      <c r="N152" t="str">
        <f>VLOOKUP(A152,Hospitalisation_Details__2[],5,FALSE)</f>
        <v>tier - 2</v>
      </c>
      <c r="O152" t="str">
        <f>VLOOKUP(A152,Hospitalisation_Details__2[],6,FALSE)</f>
        <v>tier - 3</v>
      </c>
      <c r="P152" t="str">
        <f>VLOOKUP(A152,Hospitalisation_Details__2[],7,FALSE)</f>
        <v>R1011</v>
      </c>
    </row>
    <row r="153" spans="1:16" x14ac:dyDescent="0.35">
      <c r="A153" t="str">
        <v>Id152</v>
      </c>
      <c r="B153" t="str">
        <f>VLOOKUP(A153,'Customer Names (2)'!A:B, 2,FALSE)</f>
        <v>Mr</v>
      </c>
      <c r="C153">
        <f>VLOOKUP(A153,Medical_Examinations[],2,FALSE)</f>
        <v>51.64</v>
      </c>
      <c r="D153">
        <f>VLOOKUP(A153,Medical_Examinations[],3,FALSE)</f>
        <v>5.65</v>
      </c>
      <c r="E153" t="str">
        <f>VLOOKUP(A153,Medical_Examinations[],4,FALSE)</f>
        <v>No</v>
      </c>
      <c r="F153" t="str">
        <f>VLOOKUP(A153,Medical_Examinations[],5,FALSE)</f>
        <v>No</v>
      </c>
      <c r="G153" t="str">
        <f>VLOOKUP(A153,Medical_Examinations[],6,FALSE)</f>
        <v>No</v>
      </c>
      <c r="H153">
        <f>VLOOKUP(A153,Medical_Examinations[],7,FALSE)</f>
        <v>0</v>
      </c>
      <c r="I153" t="str">
        <f>VLOOKUP(A153,Medical_Examinations[],8,FALSE)</f>
        <v>Yes</v>
      </c>
      <c r="J153" t="str">
        <f>VLOOKUP(A153,Medical_Examinations[],9,FALSE)</f>
        <v>Obesity</v>
      </c>
      <c r="K153" t="str">
        <f>VLOOKUP(A153,Medical_Examinations[],10,FALSE)</f>
        <v>Normal</v>
      </c>
      <c r="M153">
        <f>VLOOKUP(A153,Hospitalisation_Details__2[],4,FALSE)</f>
        <v>38237.339999999997</v>
      </c>
      <c r="N153" t="str">
        <f>VLOOKUP(A153,Hospitalisation_Details__2[],5,FALSE)</f>
        <v>tier - 2</v>
      </c>
      <c r="O153" t="str">
        <f>VLOOKUP(A153,Hospitalisation_Details__2[],6,FALSE)</f>
        <v>tier - 3</v>
      </c>
      <c r="P153" t="str">
        <f>VLOOKUP(A153,Hospitalisation_Details__2[],7,FALSE)</f>
        <v>R1011</v>
      </c>
    </row>
    <row r="154" spans="1:16" x14ac:dyDescent="0.35">
      <c r="A154" t="str">
        <v>Id153</v>
      </c>
      <c r="B154" t="str">
        <f>VLOOKUP(A154,'Customer Names (2)'!A:B, 2,FALSE)</f>
        <v>Mr</v>
      </c>
      <c r="C154">
        <f>VLOOKUP(A154,Medical_Examinations[],2,FALSE)</f>
        <v>42.83</v>
      </c>
      <c r="D154">
        <f>VLOOKUP(A154,Medical_Examinations[],3,FALSE)</f>
        <v>6.04</v>
      </c>
      <c r="E154" t="str">
        <f>VLOOKUP(A154,Medical_Examinations[],4,FALSE)</f>
        <v>No</v>
      </c>
      <c r="F154" t="str">
        <f>VLOOKUP(A154,Medical_Examinations[],5,FALSE)</f>
        <v>No</v>
      </c>
      <c r="G154" t="str">
        <f>VLOOKUP(A154,Medical_Examinations[],6,FALSE)</f>
        <v>No</v>
      </c>
      <c r="H154">
        <f>VLOOKUP(A154,Medical_Examinations[],7,FALSE)</f>
        <v>2</v>
      </c>
      <c r="I154" t="str">
        <f>VLOOKUP(A154,Medical_Examinations[],8,FALSE)</f>
        <v>Yes</v>
      </c>
      <c r="J154" t="str">
        <f>VLOOKUP(A154,Medical_Examinations[],9,FALSE)</f>
        <v>Obesity</v>
      </c>
      <c r="K154" t="str">
        <f>VLOOKUP(A154,Medical_Examinations[],10,FALSE)</f>
        <v>Prediabetes</v>
      </c>
      <c r="M154">
        <f>VLOOKUP(A154,Hospitalisation_Details__2[],4,FALSE)</f>
        <v>38189.1</v>
      </c>
      <c r="N154" t="str">
        <f>VLOOKUP(A154,Hospitalisation_Details__2[],5,FALSE)</f>
        <v>tier - 2</v>
      </c>
      <c r="O154" t="str">
        <f>VLOOKUP(A154,Hospitalisation_Details__2[],6,FALSE)</f>
        <v>tier - 2</v>
      </c>
      <c r="P154" t="str">
        <f>VLOOKUP(A154,Hospitalisation_Details__2[],7,FALSE)</f>
        <v>R1011</v>
      </c>
    </row>
    <row r="155" spans="1:16" x14ac:dyDescent="0.35">
      <c r="A155" t="str">
        <v>Id154</v>
      </c>
      <c r="B155" t="str">
        <f>VLOOKUP(A155,'Customer Names (2)'!A:B, 2,FALSE)</f>
        <v>Mr</v>
      </c>
      <c r="C155">
        <f>VLOOKUP(A155,Medical_Examinations[],2,FALSE)</f>
        <v>40.15</v>
      </c>
      <c r="D155">
        <f>VLOOKUP(A155,Medical_Examinations[],3,FALSE)</f>
        <v>5.76</v>
      </c>
      <c r="E155" t="str">
        <f>VLOOKUP(A155,Medical_Examinations[],4,FALSE)</f>
        <v>No</v>
      </c>
      <c r="F155" t="str">
        <f>VLOOKUP(A155,Medical_Examinations[],5,FALSE)</f>
        <v>No</v>
      </c>
      <c r="G155" t="str">
        <f>VLOOKUP(A155,Medical_Examinations[],6,FALSE)</f>
        <v>No</v>
      </c>
      <c r="H155">
        <f>VLOOKUP(A155,Medical_Examinations[],7,FALSE)</f>
        <v>1</v>
      </c>
      <c r="I155" t="str">
        <f>VLOOKUP(A155,Medical_Examinations[],8,FALSE)</f>
        <v>Yes</v>
      </c>
      <c r="J155" t="str">
        <f>VLOOKUP(A155,Medical_Examinations[],9,FALSE)</f>
        <v>Obesity</v>
      </c>
      <c r="K155" t="str">
        <f>VLOOKUP(A155,Medical_Examinations[],10,FALSE)</f>
        <v>Prediabetes</v>
      </c>
      <c r="M155">
        <f>VLOOKUP(A155,Hospitalisation_Details__2[],4,FALSE)</f>
        <v>38126.25</v>
      </c>
      <c r="N155" t="str">
        <f>VLOOKUP(A155,Hospitalisation_Details__2[],5,FALSE)</f>
        <v>tier - 1</v>
      </c>
      <c r="O155" t="str">
        <f>VLOOKUP(A155,Hospitalisation_Details__2[],6,FALSE)</f>
        <v>tier - 3</v>
      </c>
      <c r="P155" t="str">
        <f>VLOOKUP(A155,Hospitalisation_Details__2[],7,FALSE)</f>
        <v>R1013</v>
      </c>
    </row>
    <row r="156" spans="1:16" x14ac:dyDescent="0.35">
      <c r="A156" t="str">
        <v>Id155</v>
      </c>
      <c r="B156" t="str">
        <f>VLOOKUP(A156,'Customer Names (2)'!A:B, 2,FALSE)</f>
        <v>Mr</v>
      </c>
      <c r="C156">
        <f>VLOOKUP(A156,Medical_Examinations[],2,FALSE)</f>
        <v>27.8</v>
      </c>
      <c r="D156">
        <f>VLOOKUP(A156,Medical_Examinations[],3,FALSE)</f>
        <v>4.3600000000000003</v>
      </c>
      <c r="E156" t="str">
        <f>VLOOKUP(A156,Medical_Examinations[],4,FALSE)</f>
        <v>No</v>
      </c>
      <c r="F156" t="str">
        <f>VLOOKUP(A156,Medical_Examinations[],5,FALSE)</f>
        <v>No</v>
      </c>
      <c r="G156" t="str">
        <f>VLOOKUP(A156,Medical_Examinations[],6,FALSE)</f>
        <v>Yes</v>
      </c>
      <c r="H156">
        <f>VLOOKUP(A156,Medical_Examinations[],7,FALSE)</f>
        <v>1</v>
      </c>
      <c r="I156" t="str">
        <f>VLOOKUP(A156,Medical_Examinations[],8,FALSE)</f>
        <v>Yes</v>
      </c>
      <c r="J156" t="str">
        <f>VLOOKUP(A156,Medical_Examinations[],9,FALSE)</f>
        <v>Overweight</v>
      </c>
      <c r="K156" t="str">
        <f>VLOOKUP(A156,Medical_Examinations[],10,FALSE)</f>
        <v>Normal</v>
      </c>
      <c r="M156">
        <f>VLOOKUP(A156,Hospitalisation_Details__2[],4,FALSE)</f>
        <v>37829.72</v>
      </c>
      <c r="N156" t="str">
        <f>VLOOKUP(A156,Hospitalisation_Details__2[],5,FALSE)</f>
        <v>tier - 1</v>
      </c>
      <c r="O156" t="str">
        <f>VLOOKUP(A156,Hospitalisation_Details__2[],6,FALSE)</f>
        <v>tier - 2</v>
      </c>
      <c r="P156" t="str">
        <f>VLOOKUP(A156,Hospitalisation_Details__2[],7,FALSE)</f>
        <v>R1011</v>
      </c>
    </row>
    <row r="157" spans="1:16" x14ac:dyDescent="0.35">
      <c r="A157" t="str">
        <v>Id156</v>
      </c>
      <c r="B157" t="str">
        <f>VLOOKUP(A157,'Customer Names (2)'!A:B, 2,FALSE)</f>
        <v>Mr</v>
      </c>
      <c r="C157">
        <f>VLOOKUP(A157,Medical_Examinations[],2,FALSE)</f>
        <v>45.81</v>
      </c>
      <c r="D157">
        <f>VLOOKUP(A157,Medical_Examinations[],3,FALSE)</f>
        <v>4.76</v>
      </c>
      <c r="E157" t="str">
        <f>VLOOKUP(A157,Medical_Examinations[],4,FALSE)</f>
        <v>Yes</v>
      </c>
      <c r="F157" t="str">
        <f>VLOOKUP(A157,Medical_Examinations[],5,FALSE)</f>
        <v>No</v>
      </c>
      <c r="G157" t="str">
        <f>VLOOKUP(A157,Medical_Examinations[],6,FALSE)</f>
        <v>Yes</v>
      </c>
      <c r="H157">
        <f>VLOOKUP(A157,Medical_Examinations[],7,FALSE)</f>
        <v>1</v>
      </c>
      <c r="I157" t="str">
        <f>VLOOKUP(A157,Medical_Examinations[],8,FALSE)</f>
        <v>Yes</v>
      </c>
      <c r="J157" t="str">
        <f>VLOOKUP(A157,Medical_Examinations[],9,FALSE)</f>
        <v>Obesity</v>
      </c>
      <c r="K157" t="str">
        <f>VLOOKUP(A157,Medical_Examinations[],10,FALSE)</f>
        <v>Normal</v>
      </c>
      <c r="M157">
        <f>VLOOKUP(A157,Hospitalisation_Details__2[],4,FALSE)</f>
        <v>37800.980000000003</v>
      </c>
      <c r="N157" t="str">
        <f>VLOOKUP(A157,Hospitalisation_Details__2[],5,FALSE)</f>
        <v>tier - 2</v>
      </c>
      <c r="O157" t="str">
        <f>VLOOKUP(A157,Hospitalisation_Details__2[],6,FALSE)</f>
        <v>tier - 2</v>
      </c>
      <c r="P157" t="str">
        <f>VLOOKUP(A157,Hospitalisation_Details__2[],7,FALSE)</f>
        <v>R1011</v>
      </c>
    </row>
    <row r="158" spans="1:16" x14ac:dyDescent="0.35">
      <c r="A158" t="str">
        <v>Id157</v>
      </c>
      <c r="B158" t="str">
        <f>VLOOKUP(A158,'Customer Names (2)'!A:B, 2,FALSE)</f>
        <v>Mr</v>
      </c>
      <c r="C158">
        <f>VLOOKUP(A158,Medical_Examinations[],2,FALSE)</f>
        <v>34.43</v>
      </c>
      <c r="D158">
        <f>VLOOKUP(A158,Medical_Examinations[],3,FALSE)</f>
        <v>10.82</v>
      </c>
      <c r="E158" t="str">
        <f>VLOOKUP(A158,Medical_Examinations[],4,FALSE)</f>
        <v>Yes</v>
      </c>
      <c r="F158" t="str">
        <f>VLOOKUP(A158,Medical_Examinations[],5,FALSE)</f>
        <v>No</v>
      </c>
      <c r="G158" t="str">
        <f>VLOOKUP(A158,Medical_Examinations[],6,FALSE)</f>
        <v>No</v>
      </c>
      <c r="H158">
        <f>VLOOKUP(A158,Medical_Examinations[],7,FALSE)</f>
        <v>1</v>
      </c>
      <c r="I158" t="str">
        <f>VLOOKUP(A158,Medical_Examinations[],8,FALSE)</f>
        <v>Yes</v>
      </c>
      <c r="J158" t="str">
        <f>VLOOKUP(A158,Medical_Examinations[],9,FALSE)</f>
        <v>Obesity</v>
      </c>
      <c r="K158" t="str">
        <f>VLOOKUP(A158,Medical_Examinations[],10,FALSE)</f>
        <v>Diabetes</v>
      </c>
      <c r="M158">
        <f>VLOOKUP(A158,Hospitalisation_Details__2[],4,FALSE)</f>
        <v>37742.58</v>
      </c>
      <c r="N158" t="str">
        <f>VLOOKUP(A158,Hospitalisation_Details__2[],5,FALSE)</f>
        <v>tier - 1</v>
      </c>
      <c r="O158" t="str">
        <f>VLOOKUP(A158,Hospitalisation_Details__2[],6,FALSE)</f>
        <v>tier - 1</v>
      </c>
      <c r="P158" t="str">
        <f>VLOOKUP(A158,Hospitalisation_Details__2[],7,FALSE)</f>
        <v>R1013</v>
      </c>
    </row>
    <row r="159" spans="1:16" x14ac:dyDescent="0.35">
      <c r="A159" t="str">
        <v>Id158</v>
      </c>
      <c r="B159" t="str">
        <f>VLOOKUP(A159,'Customer Names (2)'!A:B, 2,FALSE)</f>
        <v>Ms</v>
      </c>
      <c r="C159">
        <f>VLOOKUP(A159,Medical_Examinations[],2,FALSE)</f>
        <v>41.33</v>
      </c>
      <c r="D159">
        <f>VLOOKUP(A159,Medical_Examinations[],3,FALSE)</f>
        <v>4.01</v>
      </c>
      <c r="E159" t="str">
        <f>VLOOKUP(A159,Medical_Examinations[],4,FALSE)</f>
        <v>Yes</v>
      </c>
      <c r="F159" t="str">
        <f>VLOOKUP(A159,Medical_Examinations[],5,FALSE)</f>
        <v>No</v>
      </c>
      <c r="G159" t="str">
        <f>VLOOKUP(A159,Medical_Examinations[],6,FALSE)</f>
        <v>No</v>
      </c>
      <c r="H159">
        <f>VLOOKUP(A159,Medical_Examinations[],7,FALSE)</f>
        <v>0</v>
      </c>
      <c r="I159" t="str">
        <f>VLOOKUP(A159,Medical_Examinations[],8,FALSE)</f>
        <v>Yes</v>
      </c>
      <c r="J159" t="str">
        <f>VLOOKUP(A159,Medical_Examinations[],9,FALSE)</f>
        <v>Obesity</v>
      </c>
      <c r="K159" t="str">
        <f>VLOOKUP(A159,Medical_Examinations[],10,FALSE)</f>
        <v>Normal</v>
      </c>
      <c r="M159">
        <f>VLOOKUP(A159,Hospitalisation_Details__2[],4,FALSE)</f>
        <v>37735.199999999997</v>
      </c>
      <c r="N159" t="str">
        <f>VLOOKUP(A159,Hospitalisation_Details__2[],5,FALSE)</f>
        <v>tier - 2</v>
      </c>
      <c r="O159" t="str">
        <f>VLOOKUP(A159,Hospitalisation_Details__2[],6,FALSE)</f>
        <v>tier - 2</v>
      </c>
      <c r="P159" t="str">
        <f>VLOOKUP(A159,Hospitalisation_Details__2[],7,FALSE)</f>
        <v>R1011</v>
      </c>
    </row>
    <row r="160" spans="1:16" x14ac:dyDescent="0.35">
      <c r="A160" t="str">
        <v>Id159</v>
      </c>
      <c r="B160" t="str">
        <f>VLOOKUP(A160,'Customer Names (2)'!A:B, 2,FALSE)</f>
        <v>Ms</v>
      </c>
      <c r="C160">
        <f>VLOOKUP(A160,Medical_Examinations[],2,FALSE)</f>
        <v>31.92</v>
      </c>
      <c r="D160">
        <f>VLOOKUP(A160,Medical_Examinations[],3,FALSE)</f>
        <v>5.12</v>
      </c>
      <c r="E160" t="str">
        <f>VLOOKUP(A160,Medical_Examinations[],4,FALSE)</f>
        <v>Yes</v>
      </c>
      <c r="F160" t="str">
        <f>VLOOKUP(A160,Medical_Examinations[],5,FALSE)</f>
        <v>No</v>
      </c>
      <c r="G160" t="str">
        <f>VLOOKUP(A160,Medical_Examinations[],6,FALSE)</f>
        <v>No</v>
      </c>
      <c r="H160">
        <f>VLOOKUP(A160,Medical_Examinations[],7,FALSE)</f>
        <v>1</v>
      </c>
      <c r="I160" t="str">
        <f>VLOOKUP(A160,Medical_Examinations[],8,FALSE)</f>
        <v>Yes</v>
      </c>
      <c r="J160" t="str">
        <f>VLOOKUP(A160,Medical_Examinations[],9,FALSE)</f>
        <v>Obesity</v>
      </c>
      <c r="K160" t="str">
        <f>VLOOKUP(A160,Medical_Examinations[],10,FALSE)</f>
        <v>Normal</v>
      </c>
      <c r="M160">
        <f>VLOOKUP(A160,Hospitalisation_Details__2[],4,FALSE)</f>
        <v>37701.879999999997</v>
      </c>
      <c r="N160" t="str">
        <f>VLOOKUP(A160,Hospitalisation_Details__2[],5,FALSE)</f>
        <v>tier - 2</v>
      </c>
      <c r="O160" t="str">
        <f>VLOOKUP(A160,Hospitalisation_Details__2[],6,FALSE)</f>
        <v>tier - 3</v>
      </c>
      <c r="P160" t="str">
        <f>VLOOKUP(A160,Hospitalisation_Details__2[],7,FALSE)</f>
        <v>R1023</v>
      </c>
    </row>
    <row r="161" spans="1:16" x14ac:dyDescent="0.35">
      <c r="A161" t="str">
        <v>Id160</v>
      </c>
      <c r="B161" t="str">
        <f>VLOOKUP(A161,'Customer Names (2)'!A:B, 2,FALSE)</f>
        <v>Mr</v>
      </c>
      <c r="C161">
        <f>VLOOKUP(A161,Medical_Examinations[],2,FALSE)</f>
        <v>39.799999999999997</v>
      </c>
      <c r="D161">
        <f>VLOOKUP(A161,Medical_Examinations[],3,FALSE)</f>
        <v>10.54</v>
      </c>
      <c r="E161" t="str">
        <f>VLOOKUP(A161,Medical_Examinations[],4,FALSE)</f>
        <v>Yes</v>
      </c>
      <c r="F161" t="str">
        <f>VLOOKUP(A161,Medical_Examinations[],5,FALSE)</f>
        <v>No</v>
      </c>
      <c r="G161" t="str">
        <f>VLOOKUP(A161,Medical_Examinations[],6,FALSE)</f>
        <v>No</v>
      </c>
      <c r="H161">
        <f>VLOOKUP(A161,Medical_Examinations[],7,FALSE)</f>
        <v>2</v>
      </c>
      <c r="I161" t="str">
        <f>VLOOKUP(A161,Medical_Examinations[],8,FALSE)</f>
        <v>Yes</v>
      </c>
      <c r="J161" t="str">
        <f>VLOOKUP(A161,Medical_Examinations[],9,FALSE)</f>
        <v>Obesity</v>
      </c>
      <c r="K161" t="str">
        <f>VLOOKUP(A161,Medical_Examinations[],10,FALSE)</f>
        <v>Diabetes</v>
      </c>
      <c r="M161">
        <f>VLOOKUP(A161,Hospitalisation_Details__2[],4,FALSE)</f>
        <v>37675.06</v>
      </c>
      <c r="N161" t="str">
        <f>VLOOKUP(A161,Hospitalisation_Details__2[],5,FALSE)</f>
        <v>tier - 2</v>
      </c>
      <c r="O161" t="str">
        <f>VLOOKUP(A161,Hospitalisation_Details__2[],6,FALSE)</f>
        <v>tier - 3</v>
      </c>
      <c r="P161" t="str">
        <f>VLOOKUP(A161,Hospitalisation_Details__2[],7,FALSE)</f>
        <v>R1011</v>
      </c>
    </row>
    <row r="162" spans="1:16" x14ac:dyDescent="0.35">
      <c r="A162" t="str">
        <v>Id161</v>
      </c>
      <c r="B162" t="str">
        <f>VLOOKUP(A162,'Customer Names (2)'!A:B, 2,FALSE)</f>
        <v>Mr</v>
      </c>
      <c r="C162">
        <f>VLOOKUP(A162,Medical_Examinations[],2,FALSE)</f>
        <v>42.82</v>
      </c>
      <c r="D162">
        <f>VLOOKUP(A162,Medical_Examinations[],3,FALSE)</f>
        <v>4.21</v>
      </c>
      <c r="E162" t="str">
        <f>VLOOKUP(A162,Medical_Examinations[],4,FALSE)</f>
        <v>No</v>
      </c>
      <c r="F162" t="str">
        <f>VLOOKUP(A162,Medical_Examinations[],5,FALSE)</f>
        <v>No</v>
      </c>
      <c r="G162" t="str">
        <f>VLOOKUP(A162,Medical_Examinations[],6,FALSE)</f>
        <v>No</v>
      </c>
      <c r="H162">
        <f>VLOOKUP(A162,Medical_Examinations[],7,FALSE)</f>
        <v>0</v>
      </c>
      <c r="I162" t="str">
        <f>VLOOKUP(A162,Medical_Examinations[],8,FALSE)</f>
        <v>Yes</v>
      </c>
      <c r="J162" t="str">
        <f>VLOOKUP(A162,Medical_Examinations[],9,FALSE)</f>
        <v>Obesity</v>
      </c>
      <c r="K162" t="str">
        <f>VLOOKUP(A162,Medical_Examinations[],10,FALSE)</f>
        <v>Normal</v>
      </c>
      <c r="M162">
        <f>VLOOKUP(A162,Hospitalisation_Details__2[],4,FALSE)</f>
        <v>37650.74</v>
      </c>
      <c r="N162" t="str">
        <f>VLOOKUP(A162,Hospitalisation_Details__2[],5,FALSE)</f>
        <v>tier - 2</v>
      </c>
      <c r="O162" t="str">
        <f>VLOOKUP(A162,Hospitalisation_Details__2[],6,FALSE)</f>
        <v>tier - 2</v>
      </c>
      <c r="P162" t="str">
        <f>VLOOKUP(A162,Hospitalisation_Details__2[],7,FALSE)</f>
        <v>R1012</v>
      </c>
    </row>
    <row r="163" spans="1:16" x14ac:dyDescent="0.35">
      <c r="A163" t="str">
        <v>Id162</v>
      </c>
      <c r="B163" t="str">
        <f>VLOOKUP(A163,'Customer Names (2)'!A:B, 2,FALSE)</f>
        <v>Mr</v>
      </c>
      <c r="C163">
        <f>VLOOKUP(A163,Medical_Examinations[],2,FALSE)</f>
        <v>33.630000000000003</v>
      </c>
      <c r="D163">
        <f>VLOOKUP(A163,Medical_Examinations[],3,FALSE)</f>
        <v>5.42</v>
      </c>
      <c r="E163" t="str">
        <f>VLOOKUP(A163,Medical_Examinations[],4,FALSE)</f>
        <v>No</v>
      </c>
      <c r="F163" t="str">
        <f>VLOOKUP(A163,Medical_Examinations[],5,FALSE)</f>
        <v>No</v>
      </c>
      <c r="G163" t="str">
        <f>VLOOKUP(A163,Medical_Examinations[],6,FALSE)</f>
        <v>No</v>
      </c>
      <c r="H163">
        <f>VLOOKUP(A163,Medical_Examinations[],7,FALSE)</f>
        <v>0</v>
      </c>
      <c r="I163" t="str">
        <f>VLOOKUP(A163,Medical_Examinations[],8,FALSE)</f>
        <v>Yes</v>
      </c>
      <c r="J163" t="str">
        <f>VLOOKUP(A163,Medical_Examinations[],9,FALSE)</f>
        <v>Obesity</v>
      </c>
      <c r="K163" t="str">
        <f>VLOOKUP(A163,Medical_Examinations[],10,FALSE)</f>
        <v>Normal</v>
      </c>
      <c r="M163">
        <f>VLOOKUP(A163,Hospitalisation_Details__2[],4,FALSE)</f>
        <v>37607.53</v>
      </c>
      <c r="N163" t="str">
        <f>VLOOKUP(A163,Hospitalisation_Details__2[],5,FALSE)</f>
        <v>tier - 1</v>
      </c>
      <c r="O163" t="str">
        <f>VLOOKUP(A163,Hospitalisation_Details__2[],6,FALSE)</f>
        <v>tier - 2</v>
      </c>
      <c r="P163" t="str">
        <f>VLOOKUP(A163,Hospitalisation_Details__2[],7,FALSE)</f>
        <v>R1019</v>
      </c>
    </row>
    <row r="164" spans="1:16" x14ac:dyDescent="0.35">
      <c r="A164" t="str">
        <v>Id163</v>
      </c>
      <c r="B164" t="str">
        <f>VLOOKUP(A164,'Customer Names (2)'!A:B, 2,FALSE)</f>
        <v>Mr</v>
      </c>
      <c r="C164">
        <f>VLOOKUP(A164,Medical_Examinations[],2,FALSE)</f>
        <v>37.07</v>
      </c>
      <c r="D164">
        <f>VLOOKUP(A164,Medical_Examinations[],3,FALSE)</f>
        <v>4.28</v>
      </c>
      <c r="E164" t="str">
        <f>VLOOKUP(A164,Medical_Examinations[],4,FALSE)</f>
        <v>No</v>
      </c>
      <c r="F164" t="str">
        <f>VLOOKUP(A164,Medical_Examinations[],5,FALSE)</f>
        <v>yes</v>
      </c>
      <c r="G164" t="str">
        <f>VLOOKUP(A164,Medical_Examinations[],6,FALSE)</f>
        <v>No</v>
      </c>
      <c r="H164">
        <f>VLOOKUP(A164,Medical_Examinations[],7,FALSE)</f>
        <v>1</v>
      </c>
      <c r="I164" t="str">
        <f>VLOOKUP(A164,Medical_Examinations[],8,FALSE)</f>
        <v>Yes</v>
      </c>
      <c r="J164" t="str">
        <f>VLOOKUP(A164,Medical_Examinations[],9,FALSE)</f>
        <v>Obesity</v>
      </c>
      <c r="K164" t="str">
        <f>VLOOKUP(A164,Medical_Examinations[],10,FALSE)</f>
        <v>Normal</v>
      </c>
      <c r="M164">
        <f>VLOOKUP(A164,Hospitalisation_Details__2[],4,FALSE)</f>
        <v>37484.449999999997</v>
      </c>
      <c r="N164" t="str">
        <f>VLOOKUP(A164,Hospitalisation_Details__2[],5,FALSE)</f>
        <v>tier - 1</v>
      </c>
      <c r="O164" t="str">
        <f>VLOOKUP(A164,Hospitalisation_Details__2[],6,FALSE)</f>
        <v>tier - 1</v>
      </c>
      <c r="P164" t="str">
        <f>VLOOKUP(A164,Hospitalisation_Details__2[],7,FALSE)</f>
        <v>R1013</v>
      </c>
    </row>
    <row r="165" spans="1:16" x14ac:dyDescent="0.35">
      <c r="A165" t="str">
        <v>Id164</v>
      </c>
      <c r="B165" t="str">
        <f>VLOOKUP(A165,'Customer Names (2)'!A:B, 2,FALSE)</f>
        <v>Mr</v>
      </c>
      <c r="C165">
        <f>VLOOKUP(A165,Medical_Examinations[],2,FALSE)</f>
        <v>35.625</v>
      </c>
      <c r="D165">
        <f>VLOOKUP(A165,Medical_Examinations[],3,FALSE)</f>
        <v>8.9</v>
      </c>
      <c r="E165" t="str">
        <f>VLOOKUP(A165,Medical_Examinations[],4,FALSE)</f>
        <v>No</v>
      </c>
      <c r="F165" t="str">
        <f>VLOOKUP(A165,Medical_Examinations[],5,FALSE)</f>
        <v>No</v>
      </c>
      <c r="G165" t="str">
        <f>VLOOKUP(A165,Medical_Examinations[],6,FALSE)</f>
        <v>No</v>
      </c>
      <c r="H165">
        <f>VLOOKUP(A165,Medical_Examinations[],7,FALSE)</f>
        <v>0</v>
      </c>
      <c r="I165" t="str">
        <f>VLOOKUP(A165,Medical_Examinations[],8,FALSE)</f>
        <v>Yes</v>
      </c>
      <c r="J165" t="str">
        <f>VLOOKUP(A165,Medical_Examinations[],9,FALSE)</f>
        <v>Obesity</v>
      </c>
      <c r="K165" t="str">
        <f>VLOOKUP(A165,Medical_Examinations[],10,FALSE)</f>
        <v>Diabetes</v>
      </c>
      <c r="M165">
        <f>VLOOKUP(A165,Hospitalisation_Details__2[],4,FALSE)</f>
        <v>37465.339999999997</v>
      </c>
      <c r="N165" t="str">
        <f>VLOOKUP(A165,Hospitalisation_Details__2[],5,FALSE)</f>
        <v>tier - 1</v>
      </c>
      <c r="O165" t="str">
        <f>VLOOKUP(A165,Hospitalisation_Details__2[],6,FALSE)</f>
        <v>tier - 2</v>
      </c>
      <c r="P165" t="str">
        <f>VLOOKUP(A165,Hospitalisation_Details__2[],7,FALSE)</f>
        <v>R1012</v>
      </c>
    </row>
    <row r="166" spans="1:16" x14ac:dyDescent="0.35">
      <c r="A166" t="str">
        <v>Id165</v>
      </c>
      <c r="B166" t="str">
        <f>VLOOKUP(A166,'Customer Names (2)'!A:B, 2,FALSE)</f>
        <v>Ms</v>
      </c>
      <c r="C166">
        <f>VLOOKUP(A166,Medical_Examinations[],2,FALSE)</f>
        <v>42.69</v>
      </c>
      <c r="D166">
        <f>VLOOKUP(A166,Medical_Examinations[],3,FALSE)</f>
        <v>4.8899999999999997</v>
      </c>
      <c r="E166" t="str">
        <f>VLOOKUP(A166,Medical_Examinations[],4,FALSE)</f>
        <v>No</v>
      </c>
      <c r="F166" t="str">
        <f>VLOOKUP(A166,Medical_Examinations[],5,FALSE)</f>
        <v>No</v>
      </c>
      <c r="G166" t="str">
        <f>VLOOKUP(A166,Medical_Examinations[],6,FALSE)</f>
        <v>Yes</v>
      </c>
      <c r="H166">
        <f>VLOOKUP(A166,Medical_Examinations[],7,FALSE)</f>
        <v>1</v>
      </c>
      <c r="I166" t="str">
        <f>VLOOKUP(A166,Medical_Examinations[],8,FALSE)</f>
        <v>Yes</v>
      </c>
      <c r="J166" t="str">
        <f>VLOOKUP(A166,Medical_Examinations[],9,FALSE)</f>
        <v>Obesity</v>
      </c>
      <c r="K166" t="str">
        <f>VLOOKUP(A166,Medical_Examinations[],10,FALSE)</f>
        <v>Normal</v>
      </c>
      <c r="M166">
        <f>VLOOKUP(A166,Hospitalisation_Details__2[],4,FALSE)</f>
        <v>37425.94</v>
      </c>
      <c r="N166" t="str">
        <f>VLOOKUP(A166,Hospitalisation_Details__2[],5,FALSE)</f>
        <v>tier - 2</v>
      </c>
      <c r="O166" t="str">
        <f>VLOOKUP(A166,Hospitalisation_Details__2[],6,FALSE)</f>
        <v>tier - 1</v>
      </c>
      <c r="P166" t="str">
        <f>VLOOKUP(A166,Hospitalisation_Details__2[],7,FALSE)</f>
        <v>R1011</v>
      </c>
    </row>
    <row r="167" spans="1:16" x14ac:dyDescent="0.35">
      <c r="A167" t="str">
        <v>Id166</v>
      </c>
      <c r="B167" t="str">
        <f>VLOOKUP(A167,'Customer Names (2)'!A:B, 2,FALSE)</f>
        <v>Mr</v>
      </c>
      <c r="C167">
        <f>VLOOKUP(A167,Medical_Examinations[],2,FALSE)</f>
        <v>37.869999999999997</v>
      </c>
      <c r="D167">
        <f>VLOOKUP(A167,Medical_Examinations[],3,FALSE)</f>
        <v>4.29</v>
      </c>
      <c r="E167" t="str">
        <f>VLOOKUP(A167,Medical_Examinations[],4,FALSE)</f>
        <v>Yes</v>
      </c>
      <c r="F167" t="str">
        <f>VLOOKUP(A167,Medical_Examinations[],5,FALSE)</f>
        <v>No</v>
      </c>
      <c r="G167" t="str">
        <f>VLOOKUP(A167,Medical_Examinations[],6,FALSE)</f>
        <v>Yes</v>
      </c>
      <c r="H167">
        <f>VLOOKUP(A167,Medical_Examinations[],7,FALSE)</f>
        <v>1</v>
      </c>
      <c r="I167" t="str">
        <f>VLOOKUP(A167,Medical_Examinations[],8,FALSE)</f>
        <v>Yes</v>
      </c>
      <c r="J167" t="str">
        <f>VLOOKUP(A167,Medical_Examinations[],9,FALSE)</f>
        <v>Obesity</v>
      </c>
      <c r="K167" t="str">
        <f>VLOOKUP(A167,Medical_Examinations[],10,FALSE)</f>
        <v>Normal</v>
      </c>
      <c r="M167">
        <f>VLOOKUP(A167,Hospitalisation_Details__2[],4,FALSE)</f>
        <v>37277.269999999997</v>
      </c>
      <c r="N167" t="str">
        <f>VLOOKUP(A167,Hospitalisation_Details__2[],5,FALSE)</f>
        <v>tier - 1</v>
      </c>
      <c r="O167" t="str">
        <f>VLOOKUP(A167,Hospitalisation_Details__2[],6,FALSE)</f>
        <v>tier - 3</v>
      </c>
      <c r="P167" t="str">
        <f>VLOOKUP(A167,Hospitalisation_Details__2[],7,FALSE)</f>
        <v>R1011</v>
      </c>
    </row>
    <row r="168" spans="1:16" x14ac:dyDescent="0.35">
      <c r="A168" t="str">
        <v>Id167</v>
      </c>
      <c r="B168" t="str">
        <f>VLOOKUP(A168,'Customer Names (2)'!A:B, 2,FALSE)</f>
        <v>Ms</v>
      </c>
      <c r="C168">
        <f>VLOOKUP(A168,Medical_Examinations[],2,FALSE)</f>
        <v>40.61</v>
      </c>
      <c r="D168">
        <f>VLOOKUP(A168,Medical_Examinations[],3,FALSE)</f>
        <v>8</v>
      </c>
      <c r="E168" t="str">
        <f>VLOOKUP(A168,Medical_Examinations[],4,FALSE)</f>
        <v>Yes</v>
      </c>
      <c r="F168" t="str">
        <f>VLOOKUP(A168,Medical_Examinations[],5,FALSE)</f>
        <v>No</v>
      </c>
      <c r="G168" t="str">
        <f>VLOOKUP(A168,Medical_Examinations[],6,FALSE)</f>
        <v>No</v>
      </c>
      <c r="H168">
        <f>VLOOKUP(A168,Medical_Examinations[],7,FALSE)</f>
        <v>1</v>
      </c>
      <c r="I168" t="str">
        <f>VLOOKUP(A168,Medical_Examinations[],8,FALSE)</f>
        <v>Yes</v>
      </c>
      <c r="J168" t="str">
        <f>VLOOKUP(A168,Medical_Examinations[],9,FALSE)</f>
        <v>Obesity</v>
      </c>
      <c r="K168" t="str">
        <f>VLOOKUP(A168,Medical_Examinations[],10,FALSE)</f>
        <v>Diabetes</v>
      </c>
      <c r="M168">
        <f>VLOOKUP(A168,Hospitalisation_Details__2[],4,FALSE)</f>
        <v>37272.339999999997</v>
      </c>
      <c r="N168" t="str">
        <f>VLOOKUP(A168,Hospitalisation_Details__2[],5,FALSE)</f>
        <v>tier - 2</v>
      </c>
      <c r="O168" t="str">
        <f>VLOOKUP(A168,Hospitalisation_Details__2[],6,FALSE)</f>
        <v>tier - 3</v>
      </c>
      <c r="P168" t="str">
        <f>VLOOKUP(A168,Hospitalisation_Details__2[],7,FALSE)</f>
        <v>R1011</v>
      </c>
    </row>
    <row r="169" spans="1:16" x14ac:dyDescent="0.35">
      <c r="A169" t="str">
        <v>Id168</v>
      </c>
      <c r="B169" t="str">
        <f>VLOOKUP(A169,'Customer Names (2)'!A:B, 2,FALSE)</f>
        <v>Ms</v>
      </c>
      <c r="C169">
        <f>VLOOKUP(A169,Medical_Examinations[],2,FALSE)</f>
        <v>30.78</v>
      </c>
      <c r="D169">
        <f>VLOOKUP(A169,Medical_Examinations[],3,FALSE)</f>
        <v>4.67</v>
      </c>
      <c r="E169" t="str">
        <f>VLOOKUP(A169,Medical_Examinations[],4,FALSE)</f>
        <v>Yes</v>
      </c>
      <c r="F169" t="str">
        <f>VLOOKUP(A169,Medical_Examinations[],5,FALSE)</f>
        <v>No</v>
      </c>
      <c r="G169" t="str">
        <f>VLOOKUP(A169,Medical_Examinations[],6,FALSE)</f>
        <v>No</v>
      </c>
      <c r="H169">
        <f>VLOOKUP(A169,Medical_Examinations[],7,FALSE)</f>
        <v>0</v>
      </c>
      <c r="I169" t="str">
        <f>VLOOKUP(A169,Medical_Examinations[],8,FALSE)</f>
        <v>Yes</v>
      </c>
      <c r="J169" t="str">
        <f>VLOOKUP(A169,Medical_Examinations[],9,FALSE)</f>
        <v>Obesity</v>
      </c>
      <c r="K169" t="str">
        <f>VLOOKUP(A169,Medical_Examinations[],10,FALSE)</f>
        <v>Normal</v>
      </c>
      <c r="M169">
        <f>VLOOKUP(A169,Hospitalisation_Details__2[],4,FALSE)</f>
        <v>37270.15</v>
      </c>
      <c r="N169" t="str">
        <f>VLOOKUP(A169,Hospitalisation_Details__2[],5,FALSE)</f>
        <v>tier - 2</v>
      </c>
      <c r="O169" t="str">
        <f>VLOOKUP(A169,Hospitalisation_Details__2[],6,FALSE)</f>
        <v>tier - 1</v>
      </c>
      <c r="P169" t="str">
        <f>VLOOKUP(A169,Hospitalisation_Details__2[],7,FALSE)</f>
        <v>R1024</v>
      </c>
    </row>
    <row r="170" spans="1:16" x14ac:dyDescent="0.35">
      <c r="A170" t="str">
        <v>Id169</v>
      </c>
      <c r="B170" t="str">
        <f>VLOOKUP(A170,'Customer Names (2)'!A:B, 2,FALSE)</f>
        <v>Mr</v>
      </c>
      <c r="C170">
        <f>VLOOKUP(A170,Medical_Examinations[],2,FALSE)</f>
        <v>49.49</v>
      </c>
      <c r="D170">
        <f>VLOOKUP(A170,Medical_Examinations[],3,FALSE)</f>
        <v>4.5</v>
      </c>
      <c r="E170" t="str">
        <f>VLOOKUP(A170,Medical_Examinations[],4,FALSE)</f>
        <v>No</v>
      </c>
      <c r="F170" t="str">
        <f>VLOOKUP(A170,Medical_Examinations[],5,FALSE)</f>
        <v>No</v>
      </c>
      <c r="G170" t="str">
        <f>VLOOKUP(A170,Medical_Examinations[],6,FALSE)</f>
        <v>No</v>
      </c>
      <c r="H170">
        <f>VLOOKUP(A170,Medical_Examinations[],7,FALSE)</f>
        <v>0</v>
      </c>
      <c r="I170" t="str">
        <f>VLOOKUP(A170,Medical_Examinations[],8,FALSE)</f>
        <v>Yes</v>
      </c>
      <c r="J170" t="str">
        <f>VLOOKUP(A170,Medical_Examinations[],9,FALSE)</f>
        <v>Obesity</v>
      </c>
      <c r="K170" t="str">
        <f>VLOOKUP(A170,Medical_Examinations[],10,FALSE)</f>
        <v>Normal</v>
      </c>
      <c r="M170">
        <f>VLOOKUP(A170,Hospitalisation_Details__2[],4,FALSE)</f>
        <v>37251.22</v>
      </c>
      <c r="N170" t="str">
        <f>VLOOKUP(A170,Hospitalisation_Details__2[],5,FALSE)</f>
        <v>tier - 2</v>
      </c>
      <c r="O170" t="str">
        <f>VLOOKUP(A170,Hospitalisation_Details__2[],6,FALSE)</f>
        <v>tier - 2</v>
      </c>
      <c r="P170" t="str">
        <f>VLOOKUP(A170,Hospitalisation_Details__2[],7,FALSE)</f>
        <v>R1011</v>
      </c>
    </row>
    <row r="171" spans="1:16" x14ac:dyDescent="0.35">
      <c r="A171" t="str">
        <v>Id170</v>
      </c>
      <c r="B171" t="str">
        <f>VLOOKUP(A171,'Customer Names (2)'!A:B, 2,FALSE)</f>
        <v>Mr</v>
      </c>
      <c r="C171">
        <f>VLOOKUP(A171,Medical_Examinations[],2,FALSE)</f>
        <v>37.619999999999997</v>
      </c>
      <c r="D171">
        <f>VLOOKUP(A171,Medical_Examinations[],3,FALSE)</f>
        <v>6.32</v>
      </c>
      <c r="E171" t="str">
        <f>VLOOKUP(A171,Medical_Examinations[],4,FALSE)</f>
        <v>Yes</v>
      </c>
      <c r="F171" t="str">
        <f>VLOOKUP(A171,Medical_Examinations[],5,FALSE)</f>
        <v>yes</v>
      </c>
      <c r="G171" t="str">
        <f>VLOOKUP(A171,Medical_Examinations[],6,FALSE)</f>
        <v>No</v>
      </c>
      <c r="H171">
        <f>VLOOKUP(A171,Medical_Examinations[],7,FALSE)</f>
        <v>2</v>
      </c>
      <c r="I171" t="str">
        <f>VLOOKUP(A171,Medical_Examinations[],8,FALSE)</f>
        <v>Yes</v>
      </c>
      <c r="J171" t="str">
        <f>VLOOKUP(A171,Medical_Examinations[],9,FALSE)</f>
        <v>Obesity</v>
      </c>
      <c r="K171" t="str">
        <f>VLOOKUP(A171,Medical_Examinations[],10,FALSE)</f>
        <v>Prediabetes</v>
      </c>
      <c r="M171">
        <f>VLOOKUP(A171,Hospitalisation_Details__2[],4,FALSE)</f>
        <v>37165.160000000003</v>
      </c>
      <c r="N171" t="str">
        <f>VLOOKUP(A171,Hospitalisation_Details__2[],5,FALSE)</f>
        <v>tier - 1</v>
      </c>
      <c r="O171" t="str">
        <f>VLOOKUP(A171,Hospitalisation_Details__2[],6,FALSE)</f>
        <v>tier - 3</v>
      </c>
      <c r="P171" t="str">
        <f>VLOOKUP(A171,Hospitalisation_Details__2[],7,FALSE)</f>
        <v>?</v>
      </c>
    </row>
    <row r="172" spans="1:16" x14ac:dyDescent="0.35">
      <c r="A172" t="str">
        <v>Id171</v>
      </c>
      <c r="B172" t="str">
        <f>VLOOKUP(A172,'Customer Names (2)'!A:B, 2,FALSE)</f>
        <v>Ms</v>
      </c>
      <c r="C172">
        <f>VLOOKUP(A172,Medical_Examinations[],2,FALSE)</f>
        <v>36.08</v>
      </c>
      <c r="D172">
        <f>VLOOKUP(A172,Medical_Examinations[],3,FALSE)</f>
        <v>6.1</v>
      </c>
      <c r="E172" t="str">
        <f>VLOOKUP(A172,Medical_Examinations[],4,FALSE)</f>
        <v>Yes</v>
      </c>
      <c r="F172" t="str">
        <f>VLOOKUP(A172,Medical_Examinations[],5,FALSE)</f>
        <v>No</v>
      </c>
      <c r="G172" t="str">
        <f>VLOOKUP(A172,Medical_Examinations[],6,FALSE)</f>
        <v>No</v>
      </c>
      <c r="H172">
        <f>VLOOKUP(A172,Medical_Examinations[],7,FALSE)</f>
        <v>1</v>
      </c>
      <c r="I172" t="str">
        <f>VLOOKUP(A172,Medical_Examinations[],8,FALSE)</f>
        <v>Yes</v>
      </c>
      <c r="J172" t="str">
        <f>VLOOKUP(A172,Medical_Examinations[],9,FALSE)</f>
        <v>Obesity</v>
      </c>
      <c r="K172" t="str">
        <f>VLOOKUP(A172,Medical_Examinations[],10,FALSE)</f>
        <v>Prediabetes</v>
      </c>
      <c r="M172">
        <f>VLOOKUP(A172,Hospitalisation_Details__2[],4,FALSE)</f>
        <v>37133.9</v>
      </c>
      <c r="N172" t="str">
        <f>VLOOKUP(A172,Hospitalisation_Details__2[],5,FALSE)</f>
        <v>tier - 2</v>
      </c>
      <c r="O172" t="str">
        <f>VLOOKUP(A172,Hospitalisation_Details__2[],6,FALSE)</f>
        <v>tier - 2</v>
      </c>
      <c r="P172" t="str">
        <f>VLOOKUP(A172,Hospitalisation_Details__2[],7,FALSE)</f>
        <v>R1013</v>
      </c>
    </row>
    <row r="173" spans="1:16" x14ac:dyDescent="0.35">
      <c r="A173" t="str">
        <v>Id172</v>
      </c>
      <c r="B173" t="str">
        <f>VLOOKUP(A173,'Customer Names (2)'!A:B, 2,FALSE)</f>
        <v>Ms</v>
      </c>
      <c r="C173">
        <f>VLOOKUP(A173,Medical_Examinations[],2,FALSE)</f>
        <v>33.5</v>
      </c>
      <c r="D173">
        <f>VLOOKUP(A173,Medical_Examinations[],3,FALSE)</f>
        <v>5.4</v>
      </c>
      <c r="E173" t="str">
        <f>VLOOKUP(A173,Medical_Examinations[],4,FALSE)</f>
        <v>No</v>
      </c>
      <c r="F173" t="str">
        <f>VLOOKUP(A173,Medical_Examinations[],5,FALSE)</f>
        <v>No</v>
      </c>
      <c r="G173" t="str">
        <f>VLOOKUP(A173,Medical_Examinations[],6,FALSE)</f>
        <v>No</v>
      </c>
      <c r="H173">
        <f>VLOOKUP(A173,Medical_Examinations[],7,FALSE)</f>
        <v>0</v>
      </c>
      <c r="I173" t="str">
        <f>VLOOKUP(A173,Medical_Examinations[],8,FALSE)</f>
        <v>Yes</v>
      </c>
      <c r="J173" t="str">
        <f>VLOOKUP(A173,Medical_Examinations[],9,FALSE)</f>
        <v>Obesity</v>
      </c>
      <c r="K173" t="str">
        <f>VLOOKUP(A173,Medical_Examinations[],10,FALSE)</f>
        <v>Normal</v>
      </c>
      <c r="M173">
        <f>VLOOKUP(A173,Hospitalisation_Details__2[],4,FALSE)</f>
        <v>37079.370000000003</v>
      </c>
      <c r="N173" t="str">
        <f>VLOOKUP(A173,Hospitalisation_Details__2[],5,FALSE)</f>
        <v>tier - 2</v>
      </c>
      <c r="O173" t="str">
        <f>VLOOKUP(A173,Hospitalisation_Details__2[],6,FALSE)</f>
        <v>tier - 3</v>
      </c>
      <c r="P173" t="str">
        <f>VLOOKUP(A173,Hospitalisation_Details__2[],7,FALSE)</f>
        <v>R1011</v>
      </c>
    </row>
    <row r="174" spans="1:16" x14ac:dyDescent="0.35">
      <c r="A174" t="str">
        <v>Id173</v>
      </c>
      <c r="B174" t="str">
        <f>VLOOKUP(A174,'Customer Names (2)'!A:B, 2,FALSE)</f>
        <v>Mr</v>
      </c>
      <c r="C174">
        <f>VLOOKUP(A174,Medical_Examinations[],2,FALSE)</f>
        <v>47.46</v>
      </c>
      <c r="D174">
        <f>VLOOKUP(A174,Medical_Examinations[],3,FALSE)</f>
        <v>6.24</v>
      </c>
      <c r="E174" t="str">
        <f>VLOOKUP(A174,Medical_Examinations[],4,FALSE)</f>
        <v>Yes</v>
      </c>
      <c r="F174" t="str">
        <f>VLOOKUP(A174,Medical_Examinations[],5,FALSE)</f>
        <v>No</v>
      </c>
      <c r="G174" t="str">
        <f>VLOOKUP(A174,Medical_Examinations[],6,FALSE)</f>
        <v>No</v>
      </c>
      <c r="H174">
        <f>VLOOKUP(A174,Medical_Examinations[],7,FALSE)</f>
        <v>1</v>
      </c>
      <c r="I174" t="str">
        <f>VLOOKUP(A174,Medical_Examinations[],8,FALSE)</f>
        <v>Yes</v>
      </c>
      <c r="J174" t="str">
        <f>VLOOKUP(A174,Medical_Examinations[],9,FALSE)</f>
        <v>Obesity</v>
      </c>
      <c r="K174" t="str">
        <f>VLOOKUP(A174,Medical_Examinations[],10,FALSE)</f>
        <v>Prediabetes</v>
      </c>
      <c r="M174">
        <f>VLOOKUP(A174,Hospitalisation_Details__2[],4,FALSE)</f>
        <v>37076.370000000003</v>
      </c>
      <c r="N174" t="str">
        <f>VLOOKUP(A174,Hospitalisation_Details__2[],5,FALSE)</f>
        <v>tier - 2</v>
      </c>
      <c r="O174" t="str">
        <f>VLOOKUP(A174,Hospitalisation_Details__2[],6,FALSE)</f>
        <v>tier - 1</v>
      </c>
      <c r="P174" t="str">
        <f>VLOOKUP(A174,Hospitalisation_Details__2[],7,FALSE)</f>
        <v>R1011</v>
      </c>
    </row>
    <row r="175" spans="1:16" x14ac:dyDescent="0.35">
      <c r="A175" t="str">
        <v>Id174</v>
      </c>
      <c r="B175" t="str">
        <f>VLOOKUP(A175,'Customer Names (2)'!A:B, 2,FALSE)</f>
        <v>Ms</v>
      </c>
      <c r="C175">
        <f>VLOOKUP(A175,Medical_Examinations[],2,FALSE)</f>
        <v>49.24</v>
      </c>
      <c r="D175">
        <f>VLOOKUP(A175,Medical_Examinations[],3,FALSE)</f>
        <v>4.45</v>
      </c>
      <c r="E175" t="str">
        <f>VLOOKUP(A175,Medical_Examinations[],4,FALSE)</f>
        <v>No</v>
      </c>
      <c r="F175" t="str">
        <f>VLOOKUP(A175,Medical_Examinations[],5,FALSE)</f>
        <v>No</v>
      </c>
      <c r="G175" t="str">
        <f>VLOOKUP(A175,Medical_Examinations[],6,FALSE)</f>
        <v>No</v>
      </c>
      <c r="H175">
        <f>VLOOKUP(A175,Medical_Examinations[],7,FALSE)</f>
        <v>0</v>
      </c>
      <c r="I175" t="str">
        <f>VLOOKUP(A175,Medical_Examinations[],8,FALSE)</f>
        <v>Yes</v>
      </c>
      <c r="J175" t="str">
        <f>VLOOKUP(A175,Medical_Examinations[],9,FALSE)</f>
        <v>Obesity</v>
      </c>
      <c r="K175" t="str">
        <f>VLOOKUP(A175,Medical_Examinations[],10,FALSE)</f>
        <v>Normal</v>
      </c>
      <c r="M175">
        <f>VLOOKUP(A175,Hospitalisation_Details__2[],4,FALSE)</f>
        <v>37040.879999999997</v>
      </c>
      <c r="N175" t="str">
        <f>VLOOKUP(A175,Hospitalisation_Details__2[],5,FALSE)</f>
        <v>tier - 2</v>
      </c>
      <c r="O175" t="str">
        <f>VLOOKUP(A175,Hospitalisation_Details__2[],6,FALSE)</f>
        <v>tier - 2</v>
      </c>
      <c r="P175" t="str">
        <f>VLOOKUP(A175,Hospitalisation_Details__2[],7,FALSE)</f>
        <v>R1011</v>
      </c>
    </row>
    <row r="176" spans="1:16" x14ac:dyDescent="0.35">
      <c r="A176" t="str">
        <v>Id175</v>
      </c>
      <c r="B176" t="str">
        <f>VLOOKUP(A176,'Customer Names (2)'!A:B, 2,FALSE)</f>
        <v>Mr</v>
      </c>
      <c r="C176">
        <f>VLOOKUP(A176,Medical_Examinations[],2,FALSE)</f>
        <v>54.4</v>
      </c>
      <c r="D176">
        <f>VLOOKUP(A176,Medical_Examinations[],3,FALSE)</f>
        <v>5.22</v>
      </c>
      <c r="E176" t="str">
        <f>VLOOKUP(A176,Medical_Examinations[],4,FALSE)</f>
        <v>No</v>
      </c>
      <c r="F176" t="str">
        <f>VLOOKUP(A176,Medical_Examinations[],5,FALSE)</f>
        <v>No</v>
      </c>
      <c r="G176" t="str">
        <f>VLOOKUP(A176,Medical_Examinations[],6,FALSE)</f>
        <v>No</v>
      </c>
      <c r="H176">
        <f>VLOOKUP(A176,Medical_Examinations[],7,FALSE)</f>
        <v>1</v>
      </c>
      <c r="I176" t="str">
        <f>VLOOKUP(A176,Medical_Examinations[],8,FALSE)</f>
        <v>Yes</v>
      </c>
      <c r="J176" t="str">
        <f>VLOOKUP(A176,Medical_Examinations[],9,FALSE)</f>
        <v>Obesity</v>
      </c>
      <c r="K176" t="str">
        <f>VLOOKUP(A176,Medical_Examinations[],10,FALSE)</f>
        <v>Normal</v>
      </c>
      <c r="M176">
        <f>VLOOKUP(A176,Hospitalisation_Details__2[],4,FALSE)</f>
        <v>36976.449999999997</v>
      </c>
      <c r="N176" t="str">
        <f>VLOOKUP(A176,Hospitalisation_Details__2[],5,FALSE)</f>
        <v>tier - 2</v>
      </c>
      <c r="O176" t="str">
        <f>VLOOKUP(A176,Hospitalisation_Details__2[],6,FALSE)</f>
        <v>tier - 3</v>
      </c>
      <c r="P176" t="str">
        <f>VLOOKUP(A176,Hospitalisation_Details__2[],7,FALSE)</f>
        <v>R1011</v>
      </c>
    </row>
    <row r="177" spans="1:16" x14ac:dyDescent="0.35">
      <c r="A177" t="str">
        <v>Id176</v>
      </c>
      <c r="B177" t="str">
        <f>VLOOKUP(A177,'Customer Names (2)'!A:B, 2,FALSE)</f>
        <v>Mr</v>
      </c>
      <c r="C177">
        <f>VLOOKUP(A177,Medical_Examinations[],2,FALSE)</f>
        <v>35.53</v>
      </c>
      <c r="D177">
        <f>VLOOKUP(A177,Medical_Examinations[],3,FALSE)</f>
        <v>4.6100000000000003</v>
      </c>
      <c r="E177" t="str">
        <f>VLOOKUP(A177,Medical_Examinations[],4,FALSE)</f>
        <v>No</v>
      </c>
      <c r="F177" t="str">
        <f>VLOOKUP(A177,Medical_Examinations[],5,FALSE)</f>
        <v>No</v>
      </c>
      <c r="G177" t="str">
        <f>VLOOKUP(A177,Medical_Examinations[],6,FALSE)</f>
        <v>No</v>
      </c>
      <c r="H177">
        <f>VLOOKUP(A177,Medical_Examinations[],7,FALSE)</f>
        <v>1</v>
      </c>
      <c r="I177" t="str">
        <f>VLOOKUP(A177,Medical_Examinations[],8,FALSE)</f>
        <v>Yes</v>
      </c>
      <c r="J177" t="str">
        <f>VLOOKUP(A177,Medical_Examinations[],9,FALSE)</f>
        <v>Obesity</v>
      </c>
      <c r="K177" t="str">
        <f>VLOOKUP(A177,Medical_Examinations[],10,FALSE)</f>
        <v>Normal</v>
      </c>
      <c r="M177">
        <f>VLOOKUP(A177,Hospitalisation_Details__2[],4,FALSE)</f>
        <v>36950.26</v>
      </c>
      <c r="N177" t="str">
        <f>VLOOKUP(A177,Hospitalisation_Details__2[],5,FALSE)</f>
        <v>tier - 1</v>
      </c>
      <c r="O177" t="str">
        <f>VLOOKUP(A177,Hospitalisation_Details__2[],6,FALSE)</f>
        <v>tier - 1</v>
      </c>
      <c r="P177" t="str">
        <f>VLOOKUP(A177,Hospitalisation_Details__2[],7,FALSE)</f>
        <v>R1013</v>
      </c>
    </row>
    <row r="178" spans="1:16" x14ac:dyDescent="0.35">
      <c r="A178" t="str">
        <v>Id177</v>
      </c>
      <c r="B178" t="str">
        <f>VLOOKUP(A178,'Customer Names (2)'!A:B, 2,FALSE)</f>
        <v>Ms</v>
      </c>
      <c r="C178">
        <f>VLOOKUP(A178,Medical_Examinations[],2,FALSE)</f>
        <v>39.729999999999997</v>
      </c>
      <c r="D178">
        <f>VLOOKUP(A178,Medical_Examinations[],3,FALSE)</f>
        <v>6.24</v>
      </c>
      <c r="E178" t="str">
        <f>VLOOKUP(A178,Medical_Examinations[],4,FALSE)</f>
        <v>No</v>
      </c>
      <c r="F178" t="str">
        <f>VLOOKUP(A178,Medical_Examinations[],5,FALSE)</f>
        <v>No</v>
      </c>
      <c r="G178" t="str">
        <f>VLOOKUP(A178,Medical_Examinations[],6,FALSE)</f>
        <v>No</v>
      </c>
      <c r="H178">
        <f>VLOOKUP(A178,Medical_Examinations[],7,FALSE)</f>
        <v>0</v>
      </c>
      <c r="I178" t="str">
        <f>VLOOKUP(A178,Medical_Examinations[],8,FALSE)</f>
        <v>Yes</v>
      </c>
      <c r="J178" t="str">
        <f>VLOOKUP(A178,Medical_Examinations[],9,FALSE)</f>
        <v>Obesity</v>
      </c>
      <c r="K178" t="str">
        <f>VLOOKUP(A178,Medical_Examinations[],10,FALSE)</f>
        <v>Prediabetes</v>
      </c>
      <c r="M178">
        <f>VLOOKUP(A178,Hospitalisation_Details__2[],4,FALSE)</f>
        <v>36935.64</v>
      </c>
      <c r="N178" t="str">
        <f>VLOOKUP(A178,Hospitalisation_Details__2[],5,FALSE)</f>
        <v>tier - 2</v>
      </c>
      <c r="O178" t="str">
        <f>VLOOKUP(A178,Hospitalisation_Details__2[],6,FALSE)</f>
        <v>tier - 1</v>
      </c>
      <c r="P178" t="str">
        <f>VLOOKUP(A178,Hospitalisation_Details__2[],7,FALSE)</f>
        <v>R1011</v>
      </c>
    </row>
    <row r="179" spans="1:16" x14ac:dyDescent="0.35">
      <c r="A179" t="str">
        <v>Id178</v>
      </c>
      <c r="B179" t="str">
        <f>VLOOKUP(A179,'Customer Names (2)'!A:B, 2,FALSE)</f>
        <v>Ms</v>
      </c>
      <c r="C179">
        <f>VLOOKUP(A179,Medical_Examinations[],2,FALSE)</f>
        <v>35.68</v>
      </c>
      <c r="D179">
        <f>VLOOKUP(A179,Medical_Examinations[],3,FALSE)</f>
        <v>10.039999999999999</v>
      </c>
      <c r="E179" t="str">
        <f>VLOOKUP(A179,Medical_Examinations[],4,FALSE)</f>
        <v>No</v>
      </c>
      <c r="F179" t="str">
        <f>VLOOKUP(A179,Medical_Examinations[],5,FALSE)</f>
        <v>No</v>
      </c>
      <c r="G179" t="str">
        <f>VLOOKUP(A179,Medical_Examinations[],6,FALSE)</f>
        <v>No</v>
      </c>
      <c r="H179">
        <f>VLOOKUP(A179,Medical_Examinations[],7,FALSE)</f>
        <v>0</v>
      </c>
      <c r="I179" t="str">
        <f>VLOOKUP(A179,Medical_Examinations[],8,FALSE)</f>
        <v>Yes</v>
      </c>
      <c r="J179" t="str">
        <f>VLOOKUP(A179,Medical_Examinations[],9,FALSE)</f>
        <v>Obesity</v>
      </c>
      <c r="K179" t="str">
        <f>VLOOKUP(A179,Medical_Examinations[],10,FALSE)</f>
        <v>Diabetes</v>
      </c>
      <c r="M179">
        <f>VLOOKUP(A179,Hospitalisation_Details__2[],4,FALSE)</f>
        <v>36922.61</v>
      </c>
      <c r="N179" t="str">
        <f>VLOOKUP(A179,Hospitalisation_Details__2[],5,FALSE)</f>
        <v>tier - 2</v>
      </c>
      <c r="O179" t="str">
        <f>VLOOKUP(A179,Hospitalisation_Details__2[],6,FALSE)</f>
        <v>tier - 1</v>
      </c>
      <c r="P179" t="str">
        <f>VLOOKUP(A179,Hospitalisation_Details__2[],7,FALSE)</f>
        <v>R1011</v>
      </c>
    </row>
    <row r="180" spans="1:16" x14ac:dyDescent="0.35">
      <c r="A180" t="str">
        <v>Id179</v>
      </c>
      <c r="B180" t="str">
        <f>VLOOKUP(A180,'Customer Names (2)'!A:B, 2,FALSE)</f>
        <v>Ms</v>
      </c>
      <c r="C180">
        <f>VLOOKUP(A180,Medical_Examinations[],2,FALSE)</f>
        <v>48.86</v>
      </c>
      <c r="D180">
        <f>VLOOKUP(A180,Medical_Examinations[],3,FALSE)</f>
        <v>6.09</v>
      </c>
      <c r="E180" t="str">
        <f>VLOOKUP(A180,Medical_Examinations[],4,FALSE)</f>
        <v>No</v>
      </c>
      <c r="F180" t="str">
        <f>VLOOKUP(A180,Medical_Examinations[],5,FALSE)</f>
        <v>No</v>
      </c>
      <c r="G180" t="str">
        <f>VLOOKUP(A180,Medical_Examinations[],6,FALSE)</f>
        <v>No</v>
      </c>
      <c r="H180">
        <f>VLOOKUP(A180,Medical_Examinations[],7,FALSE)</f>
        <v>0</v>
      </c>
      <c r="I180" t="str">
        <f>VLOOKUP(A180,Medical_Examinations[],8,FALSE)</f>
        <v>Yes</v>
      </c>
      <c r="J180" t="str">
        <f>VLOOKUP(A180,Medical_Examinations[],9,FALSE)</f>
        <v>Obesity</v>
      </c>
      <c r="K180" t="str">
        <f>VLOOKUP(A180,Medical_Examinations[],10,FALSE)</f>
        <v>Prediabetes</v>
      </c>
      <c r="M180">
        <f>VLOOKUP(A180,Hospitalisation_Details__2[],4,FALSE)</f>
        <v>36911.99</v>
      </c>
      <c r="N180" t="str">
        <f>VLOOKUP(A180,Hospitalisation_Details__2[],5,FALSE)</f>
        <v>tier - 2</v>
      </c>
      <c r="O180" t="str">
        <f>VLOOKUP(A180,Hospitalisation_Details__2[],6,FALSE)</f>
        <v>tier - 2</v>
      </c>
      <c r="P180" t="str">
        <f>VLOOKUP(A180,Hospitalisation_Details__2[],7,FALSE)</f>
        <v>R1011</v>
      </c>
    </row>
    <row r="181" spans="1:16" x14ac:dyDescent="0.35">
      <c r="A181" t="str">
        <v>Id180</v>
      </c>
      <c r="B181" t="str">
        <f>VLOOKUP(A181,'Customer Names (2)'!A:B, 2,FALSE)</f>
        <v>Ms</v>
      </c>
      <c r="C181">
        <f>VLOOKUP(A181,Medical_Examinations[],2,FALSE)</f>
        <v>34.799999999999997</v>
      </c>
      <c r="D181">
        <f>VLOOKUP(A181,Medical_Examinations[],3,FALSE)</f>
        <v>11.4</v>
      </c>
      <c r="E181" t="str">
        <f>VLOOKUP(A181,Medical_Examinations[],4,FALSE)</f>
        <v>Yes</v>
      </c>
      <c r="F181" t="str">
        <f>VLOOKUP(A181,Medical_Examinations[],5,FALSE)</f>
        <v>No</v>
      </c>
      <c r="G181" t="str">
        <f>VLOOKUP(A181,Medical_Examinations[],6,FALSE)</f>
        <v>Yes</v>
      </c>
      <c r="H181">
        <f>VLOOKUP(A181,Medical_Examinations[],7,FALSE)</f>
        <v>1</v>
      </c>
      <c r="I181" t="str">
        <f>VLOOKUP(A181,Medical_Examinations[],8,FALSE)</f>
        <v>No</v>
      </c>
      <c r="J181" t="str">
        <f>VLOOKUP(A181,Medical_Examinations[],9,FALSE)</f>
        <v>Obesity</v>
      </c>
      <c r="K181" t="str">
        <f>VLOOKUP(A181,Medical_Examinations[],10,FALSE)</f>
        <v>Diabetes</v>
      </c>
      <c r="M181">
        <f>VLOOKUP(A181,Hospitalisation_Details__2[],4,FALSE)</f>
        <v>36910.61</v>
      </c>
      <c r="N181" t="str">
        <f>VLOOKUP(A181,Hospitalisation_Details__2[],5,FALSE)</f>
        <v>tier - 2</v>
      </c>
      <c r="O181" t="str">
        <f>VLOOKUP(A181,Hospitalisation_Details__2[],6,FALSE)</f>
        <v>tier - 2</v>
      </c>
      <c r="P181" t="str">
        <f>VLOOKUP(A181,Hospitalisation_Details__2[],7,FALSE)</f>
        <v>R1011</v>
      </c>
    </row>
    <row r="182" spans="1:16" x14ac:dyDescent="0.35">
      <c r="A182" t="str">
        <v>Id181</v>
      </c>
      <c r="B182" t="str">
        <f>VLOOKUP(A182,'Customer Names (2)'!A:B, 2,FALSE)</f>
        <v>Ms</v>
      </c>
      <c r="C182">
        <f>VLOOKUP(A182,Medical_Examinations[],2,FALSE)</f>
        <v>32.49</v>
      </c>
      <c r="D182">
        <f>VLOOKUP(A182,Medical_Examinations[],3,FALSE)</f>
        <v>4.29</v>
      </c>
      <c r="E182" t="str">
        <f>VLOOKUP(A182,Medical_Examinations[],4,FALSE)</f>
        <v>No</v>
      </c>
      <c r="F182" t="str">
        <f>VLOOKUP(A182,Medical_Examinations[],5,FALSE)</f>
        <v>No</v>
      </c>
      <c r="G182" t="str">
        <f>VLOOKUP(A182,Medical_Examinations[],6,FALSE)</f>
        <v>Yes</v>
      </c>
      <c r="H182">
        <f>VLOOKUP(A182,Medical_Examinations[],7,FALSE)</f>
        <v>1</v>
      </c>
      <c r="I182" t="str">
        <f>VLOOKUP(A182,Medical_Examinations[],8,FALSE)</f>
        <v>Yes</v>
      </c>
      <c r="J182" t="str">
        <f>VLOOKUP(A182,Medical_Examinations[],9,FALSE)</f>
        <v>Obesity</v>
      </c>
      <c r="K182" t="str">
        <f>VLOOKUP(A182,Medical_Examinations[],10,FALSE)</f>
        <v>Normal</v>
      </c>
      <c r="M182">
        <f>VLOOKUP(A182,Hospitalisation_Details__2[],4,FALSE)</f>
        <v>36898.730000000003</v>
      </c>
      <c r="N182" t="str">
        <f>VLOOKUP(A182,Hospitalisation_Details__2[],5,FALSE)</f>
        <v>tier - 2</v>
      </c>
      <c r="O182" t="str">
        <f>VLOOKUP(A182,Hospitalisation_Details__2[],6,FALSE)</f>
        <v>tier - 1</v>
      </c>
      <c r="P182" t="str">
        <f>VLOOKUP(A182,Hospitalisation_Details__2[],7,FALSE)</f>
        <v>R1012</v>
      </c>
    </row>
    <row r="183" spans="1:16" x14ac:dyDescent="0.35">
      <c r="A183" t="str">
        <v>Id182</v>
      </c>
      <c r="B183" t="str">
        <f>VLOOKUP(A183,'Customer Names (2)'!A:B, 2,FALSE)</f>
        <v>Mr</v>
      </c>
      <c r="C183">
        <f>VLOOKUP(A183,Medical_Examinations[],2,FALSE)</f>
        <v>39</v>
      </c>
      <c r="D183">
        <f>VLOOKUP(A183,Medical_Examinations[],3,FALSE)</f>
        <v>5.7</v>
      </c>
      <c r="E183" t="str">
        <f>VLOOKUP(A183,Medical_Examinations[],4,FALSE)</f>
        <v>No</v>
      </c>
      <c r="F183" t="str">
        <f>VLOOKUP(A183,Medical_Examinations[],5,FALSE)</f>
        <v>No</v>
      </c>
      <c r="G183" t="str">
        <f>VLOOKUP(A183,Medical_Examinations[],6,FALSE)</f>
        <v>No</v>
      </c>
      <c r="H183">
        <f>VLOOKUP(A183,Medical_Examinations[],7,FALSE)</f>
        <v>2</v>
      </c>
      <c r="I183" t="str">
        <f>VLOOKUP(A183,Medical_Examinations[],8,FALSE)</f>
        <v>Yes</v>
      </c>
      <c r="J183" t="str">
        <f>VLOOKUP(A183,Medical_Examinations[],9,FALSE)</f>
        <v>Obesity</v>
      </c>
      <c r="K183" t="str">
        <f>VLOOKUP(A183,Medical_Examinations[],10,FALSE)</f>
        <v>Prediabetes</v>
      </c>
      <c r="M183">
        <f>VLOOKUP(A183,Hospitalisation_Details__2[],4,FALSE)</f>
        <v>36889.99</v>
      </c>
      <c r="N183" t="str">
        <f>VLOOKUP(A183,Hospitalisation_Details__2[],5,FALSE)</f>
        <v>tier - 1</v>
      </c>
      <c r="O183" t="str">
        <f>VLOOKUP(A183,Hospitalisation_Details__2[],6,FALSE)</f>
        <v>tier - 3</v>
      </c>
      <c r="P183" t="str">
        <f>VLOOKUP(A183,Hospitalisation_Details__2[],7,FALSE)</f>
        <v>R1011</v>
      </c>
    </row>
    <row r="184" spans="1:16" x14ac:dyDescent="0.35">
      <c r="A184" t="str">
        <v>Id183</v>
      </c>
      <c r="B184" t="str">
        <f>VLOOKUP(A184,'Customer Names (2)'!A:B, 2,FALSE)</f>
        <v>Mr</v>
      </c>
      <c r="C184">
        <f>VLOOKUP(A184,Medical_Examinations[],2,FALSE)</f>
        <v>35.299999999999997</v>
      </c>
      <c r="D184">
        <f>VLOOKUP(A184,Medical_Examinations[],3,FALSE)</f>
        <v>6.09</v>
      </c>
      <c r="E184" t="str">
        <f>VLOOKUP(A184,Medical_Examinations[],4,FALSE)</f>
        <v>No</v>
      </c>
      <c r="F184" t="str">
        <f>VLOOKUP(A184,Medical_Examinations[],5,FALSE)</f>
        <v>No</v>
      </c>
      <c r="G184" t="str">
        <f>VLOOKUP(A184,Medical_Examinations[],6,FALSE)</f>
        <v>No</v>
      </c>
      <c r="H184">
        <f>VLOOKUP(A184,Medical_Examinations[],7,FALSE)</f>
        <v>1</v>
      </c>
      <c r="I184" t="str">
        <f>VLOOKUP(A184,Medical_Examinations[],8,FALSE)</f>
        <v>Yes</v>
      </c>
      <c r="J184" t="str">
        <f>VLOOKUP(A184,Medical_Examinations[],9,FALSE)</f>
        <v>Obesity</v>
      </c>
      <c r="K184" t="str">
        <f>VLOOKUP(A184,Medical_Examinations[],10,FALSE)</f>
        <v>Prediabetes</v>
      </c>
      <c r="M184">
        <f>VLOOKUP(A184,Hospitalisation_Details__2[],4,FALSE)</f>
        <v>36837.47</v>
      </c>
      <c r="N184" t="str">
        <f>VLOOKUP(A184,Hospitalisation_Details__2[],5,FALSE)</f>
        <v>tier - 2</v>
      </c>
      <c r="O184" t="str">
        <f>VLOOKUP(A184,Hospitalisation_Details__2[],6,FALSE)</f>
        <v>tier - 3</v>
      </c>
      <c r="P184" t="str">
        <f>VLOOKUP(A184,Hospitalisation_Details__2[],7,FALSE)</f>
        <v>R1011</v>
      </c>
    </row>
    <row r="185" spans="1:16" x14ac:dyDescent="0.35">
      <c r="A185" t="str">
        <v>Id184</v>
      </c>
      <c r="B185" t="str">
        <f>VLOOKUP(A185,'Customer Names (2)'!A:B, 2,FALSE)</f>
        <v>Mr</v>
      </c>
      <c r="C185">
        <f>VLOOKUP(A185,Medical_Examinations[],2,FALSE)</f>
        <v>33.42</v>
      </c>
      <c r="D185">
        <f>VLOOKUP(A185,Medical_Examinations[],3,FALSE)</f>
        <v>10.67</v>
      </c>
      <c r="E185" t="str">
        <f>VLOOKUP(A185,Medical_Examinations[],4,FALSE)</f>
        <v>No</v>
      </c>
      <c r="F185" t="str">
        <f>VLOOKUP(A185,Medical_Examinations[],5,FALSE)</f>
        <v>No</v>
      </c>
      <c r="G185" t="str">
        <f>VLOOKUP(A185,Medical_Examinations[],6,FALSE)</f>
        <v>No</v>
      </c>
      <c r="H185">
        <f>VLOOKUP(A185,Medical_Examinations[],7,FALSE)</f>
        <v>0</v>
      </c>
      <c r="I185" t="str">
        <f>VLOOKUP(A185,Medical_Examinations[],8,FALSE)</f>
        <v>Yes</v>
      </c>
      <c r="J185" t="str">
        <f>VLOOKUP(A185,Medical_Examinations[],9,FALSE)</f>
        <v>Obesity</v>
      </c>
      <c r="K185" t="str">
        <f>VLOOKUP(A185,Medical_Examinations[],10,FALSE)</f>
        <v>Diabetes</v>
      </c>
      <c r="M185">
        <f>VLOOKUP(A185,Hospitalisation_Details__2[],4,FALSE)</f>
        <v>36795.29</v>
      </c>
      <c r="N185" t="str">
        <f>VLOOKUP(A185,Hospitalisation_Details__2[],5,FALSE)</f>
        <v>tier - 2</v>
      </c>
      <c r="O185" t="str">
        <f>VLOOKUP(A185,Hospitalisation_Details__2[],6,FALSE)</f>
        <v>tier - 1</v>
      </c>
      <c r="P185" t="str">
        <f>VLOOKUP(A185,Hospitalisation_Details__2[],7,FALSE)</f>
        <v>R1011</v>
      </c>
    </row>
    <row r="186" spans="1:16" x14ac:dyDescent="0.35">
      <c r="A186" t="str">
        <v>Id185</v>
      </c>
      <c r="B186" t="str">
        <f>VLOOKUP(A186,'Customer Names (2)'!A:B, 2,FALSE)</f>
        <v>Mr</v>
      </c>
      <c r="C186">
        <f>VLOOKUP(A186,Medical_Examinations[],2,FALSE)</f>
        <v>37.18</v>
      </c>
      <c r="D186">
        <f>VLOOKUP(A186,Medical_Examinations[],3,FALSE)</f>
        <v>6.75</v>
      </c>
      <c r="E186" t="str">
        <f>VLOOKUP(A186,Medical_Examinations[],4,FALSE)</f>
        <v>Yes</v>
      </c>
      <c r="F186" t="str">
        <f>VLOOKUP(A186,Medical_Examinations[],5,FALSE)</f>
        <v>No</v>
      </c>
      <c r="G186" t="str">
        <f>VLOOKUP(A186,Medical_Examinations[],6,FALSE)</f>
        <v>No</v>
      </c>
      <c r="H186">
        <f>VLOOKUP(A186,Medical_Examinations[],7,FALSE)</f>
        <v>2</v>
      </c>
      <c r="I186" t="str">
        <f>VLOOKUP(A186,Medical_Examinations[],8,FALSE)</f>
        <v>Yes</v>
      </c>
      <c r="J186" t="str">
        <f>VLOOKUP(A186,Medical_Examinations[],9,FALSE)</f>
        <v>Obesity</v>
      </c>
      <c r="K186" t="str">
        <f>VLOOKUP(A186,Medical_Examinations[],10,FALSE)</f>
        <v>Diabetes</v>
      </c>
      <c r="M186">
        <f>VLOOKUP(A186,Hospitalisation_Details__2[],4,FALSE)</f>
        <v>36786.370000000003</v>
      </c>
      <c r="N186" t="str">
        <f>VLOOKUP(A186,Hospitalisation_Details__2[],5,FALSE)</f>
        <v>tier - 1</v>
      </c>
      <c r="O186" t="str">
        <f>VLOOKUP(A186,Hospitalisation_Details__2[],6,FALSE)</f>
        <v>tier - 1</v>
      </c>
      <c r="P186" t="str">
        <f>VLOOKUP(A186,Hospitalisation_Details__2[],7,FALSE)</f>
        <v>R1011</v>
      </c>
    </row>
    <row r="187" spans="1:16" x14ac:dyDescent="0.35">
      <c r="A187" t="str">
        <v>Id186</v>
      </c>
      <c r="B187" t="str">
        <f>VLOOKUP(A187,'Customer Names (2)'!A:B, 2,FALSE)</f>
        <v>Ms</v>
      </c>
      <c r="C187">
        <f>VLOOKUP(A187,Medical_Examinations[],2,FALSE)</f>
        <v>33.33</v>
      </c>
      <c r="D187">
        <f>VLOOKUP(A187,Medical_Examinations[],3,FALSE)</f>
        <v>9.26</v>
      </c>
      <c r="E187" t="str">
        <f>VLOOKUP(A187,Medical_Examinations[],4,FALSE)</f>
        <v>Yes</v>
      </c>
      <c r="F187" t="str">
        <f>VLOOKUP(A187,Medical_Examinations[],5,FALSE)</f>
        <v>No</v>
      </c>
      <c r="G187" t="str">
        <f>VLOOKUP(A187,Medical_Examinations[],6,FALSE)</f>
        <v>No</v>
      </c>
      <c r="H187">
        <f>VLOOKUP(A187,Medical_Examinations[],7,FALSE)</f>
        <v>2</v>
      </c>
      <c r="I187" t="str">
        <f>VLOOKUP(A187,Medical_Examinations[],8,FALSE)</f>
        <v>No</v>
      </c>
      <c r="J187" t="str">
        <f>VLOOKUP(A187,Medical_Examinations[],9,FALSE)</f>
        <v>Obesity</v>
      </c>
      <c r="K187" t="str">
        <f>VLOOKUP(A187,Medical_Examinations[],10,FALSE)</f>
        <v>Diabetes</v>
      </c>
      <c r="M187">
        <f>VLOOKUP(A187,Hospitalisation_Details__2[],4,FALSE)</f>
        <v>36580.28</v>
      </c>
      <c r="N187" t="str">
        <f>VLOOKUP(A187,Hospitalisation_Details__2[],5,FALSE)</f>
        <v>tier - 2</v>
      </c>
      <c r="O187" t="str">
        <f>VLOOKUP(A187,Hospitalisation_Details__2[],6,FALSE)</f>
        <v>tier - 2</v>
      </c>
      <c r="P187" t="str">
        <f>VLOOKUP(A187,Hospitalisation_Details__2[],7,FALSE)</f>
        <v>R1013</v>
      </c>
    </row>
    <row r="188" spans="1:16" x14ac:dyDescent="0.35">
      <c r="A188" t="str">
        <v>Id187</v>
      </c>
      <c r="B188" t="str">
        <f>VLOOKUP(A188,'Customer Names (2)'!A:B, 2,FALSE)</f>
        <v>Mr</v>
      </c>
      <c r="C188">
        <f>VLOOKUP(A188,Medical_Examinations[],2,FALSE)</f>
        <v>53.21</v>
      </c>
      <c r="D188">
        <f>VLOOKUP(A188,Medical_Examinations[],3,FALSE)</f>
        <v>4.2699999999999996</v>
      </c>
      <c r="E188" t="str">
        <f>VLOOKUP(A188,Medical_Examinations[],4,FALSE)</f>
        <v>No</v>
      </c>
      <c r="F188" t="str">
        <f>VLOOKUP(A188,Medical_Examinations[],5,FALSE)</f>
        <v>No</v>
      </c>
      <c r="G188" t="str">
        <f>VLOOKUP(A188,Medical_Examinations[],6,FALSE)</f>
        <v>No</v>
      </c>
      <c r="H188">
        <f>VLOOKUP(A188,Medical_Examinations[],7,FALSE)</f>
        <v>1</v>
      </c>
      <c r="I188" t="str">
        <f>VLOOKUP(A188,Medical_Examinations[],8,FALSE)</f>
        <v>Yes</v>
      </c>
      <c r="J188" t="str">
        <f>VLOOKUP(A188,Medical_Examinations[],9,FALSE)</f>
        <v>Obesity</v>
      </c>
      <c r="K188" t="str">
        <f>VLOOKUP(A188,Medical_Examinations[],10,FALSE)</f>
        <v>Normal</v>
      </c>
      <c r="M188">
        <f>VLOOKUP(A188,Hospitalisation_Details__2[],4,FALSE)</f>
        <v>36572.800000000003</v>
      </c>
      <c r="N188" t="str">
        <f>VLOOKUP(A188,Hospitalisation_Details__2[],5,FALSE)</f>
        <v>tier - 1</v>
      </c>
      <c r="O188" t="str">
        <f>VLOOKUP(A188,Hospitalisation_Details__2[],6,FALSE)</f>
        <v>tier - 2</v>
      </c>
      <c r="P188" t="str">
        <f>VLOOKUP(A188,Hospitalisation_Details__2[],7,FALSE)</f>
        <v>R1011</v>
      </c>
    </row>
    <row r="189" spans="1:16" x14ac:dyDescent="0.35">
      <c r="A189" t="str">
        <v>Id188</v>
      </c>
      <c r="B189" t="str">
        <f>VLOOKUP(A189,'Customer Names (2)'!A:B, 2,FALSE)</f>
        <v>Mr</v>
      </c>
      <c r="C189">
        <f>VLOOKUP(A189,Medical_Examinations[],2,FALSE)</f>
        <v>38.729999999999997</v>
      </c>
      <c r="D189">
        <f>VLOOKUP(A189,Medical_Examinations[],3,FALSE)</f>
        <v>11.51</v>
      </c>
      <c r="E189" t="str">
        <f>VLOOKUP(A189,Medical_Examinations[],4,FALSE)</f>
        <v>No</v>
      </c>
      <c r="F189" t="str">
        <f>VLOOKUP(A189,Medical_Examinations[],5,FALSE)</f>
        <v>No</v>
      </c>
      <c r="G189" t="str">
        <f>VLOOKUP(A189,Medical_Examinations[],6,FALSE)</f>
        <v>No</v>
      </c>
      <c r="H189">
        <f>VLOOKUP(A189,Medical_Examinations[],7,FALSE)</f>
        <v>2</v>
      </c>
      <c r="I189" t="str">
        <f>VLOOKUP(A189,Medical_Examinations[],8,FALSE)</f>
        <v>Yes</v>
      </c>
      <c r="J189" t="str">
        <f>VLOOKUP(A189,Medical_Examinations[],9,FALSE)</f>
        <v>Obesity</v>
      </c>
      <c r="K189" t="str">
        <f>VLOOKUP(A189,Medical_Examinations[],10,FALSE)</f>
        <v>Diabetes</v>
      </c>
      <c r="M189">
        <f>VLOOKUP(A189,Hospitalisation_Details__2[],4,FALSE)</f>
        <v>36541.550000000003</v>
      </c>
      <c r="N189" t="str">
        <f>VLOOKUP(A189,Hospitalisation_Details__2[],5,FALSE)</f>
        <v>tier - 2</v>
      </c>
      <c r="O189" t="str">
        <f>VLOOKUP(A189,Hospitalisation_Details__2[],6,FALSE)</f>
        <v>tier - 3</v>
      </c>
      <c r="P189" t="str">
        <f>VLOOKUP(A189,Hospitalisation_Details__2[],7,FALSE)</f>
        <v>R1011</v>
      </c>
    </row>
    <row r="190" spans="1:16" x14ac:dyDescent="0.35">
      <c r="A190" t="str">
        <v>Id189</v>
      </c>
      <c r="B190" t="str">
        <f>VLOOKUP(A190,'Customer Names (2)'!A:B, 2,FALSE)</f>
        <v>Ms</v>
      </c>
      <c r="C190">
        <f>VLOOKUP(A190,Medical_Examinations[],2,FALSE)</f>
        <v>29.73</v>
      </c>
      <c r="D190">
        <f>VLOOKUP(A190,Medical_Examinations[],3,FALSE)</f>
        <v>7.22</v>
      </c>
      <c r="E190" t="str">
        <f>VLOOKUP(A190,Medical_Examinations[],4,FALSE)</f>
        <v>No</v>
      </c>
      <c r="F190" t="str">
        <f>VLOOKUP(A190,Medical_Examinations[],5,FALSE)</f>
        <v>No</v>
      </c>
      <c r="G190" t="str">
        <f>VLOOKUP(A190,Medical_Examinations[],6,FALSE)</f>
        <v>No</v>
      </c>
      <c r="H190">
        <f>VLOOKUP(A190,Medical_Examinations[],7,FALSE)</f>
        <v>0</v>
      </c>
      <c r="I190" t="str">
        <f>VLOOKUP(A190,Medical_Examinations[],8,FALSE)</f>
        <v>Yes</v>
      </c>
      <c r="J190" t="str">
        <f>VLOOKUP(A190,Medical_Examinations[],9,FALSE)</f>
        <v>Overweight</v>
      </c>
      <c r="K190" t="str">
        <f>VLOOKUP(A190,Medical_Examinations[],10,FALSE)</f>
        <v>Diabetes</v>
      </c>
      <c r="M190">
        <f>VLOOKUP(A190,Hospitalisation_Details__2[],4,FALSE)</f>
        <v>36445.550000000003</v>
      </c>
      <c r="N190" t="str">
        <f>VLOOKUP(A190,Hospitalisation_Details__2[],5,FALSE)</f>
        <v>tier - 2</v>
      </c>
      <c r="O190" t="str">
        <f>VLOOKUP(A190,Hospitalisation_Details__2[],6,FALSE)</f>
        <v>tier - 2</v>
      </c>
      <c r="P190" t="str">
        <f>VLOOKUP(A190,Hospitalisation_Details__2[],7,FALSE)</f>
        <v>R1011</v>
      </c>
    </row>
    <row r="191" spans="1:16" x14ac:dyDescent="0.35">
      <c r="A191" t="str">
        <v>Id190</v>
      </c>
      <c r="B191" t="str">
        <f>VLOOKUP(A191,'Customer Names (2)'!A:B, 2,FALSE)</f>
        <v>Ms</v>
      </c>
      <c r="C191">
        <f>VLOOKUP(A191,Medical_Examinations[],2,FALSE)</f>
        <v>34.700000000000003</v>
      </c>
      <c r="D191">
        <f>VLOOKUP(A191,Medical_Examinations[],3,FALSE)</f>
        <v>4.37</v>
      </c>
      <c r="E191" t="str">
        <f>VLOOKUP(A191,Medical_Examinations[],4,FALSE)</f>
        <v>No</v>
      </c>
      <c r="F191" t="str">
        <f>VLOOKUP(A191,Medical_Examinations[],5,FALSE)</f>
        <v>No</v>
      </c>
      <c r="G191" t="str">
        <f>VLOOKUP(A191,Medical_Examinations[],6,FALSE)</f>
        <v>Yes</v>
      </c>
      <c r="H191">
        <f>VLOOKUP(A191,Medical_Examinations[],7,FALSE)</f>
        <v>1</v>
      </c>
      <c r="I191" t="str">
        <f>VLOOKUP(A191,Medical_Examinations[],8,FALSE)</f>
        <v>Yes</v>
      </c>
      <c r="J191" t="str">
        <f>VLOOKUP(A191,Medical_Examinations[],9,FALSE)</f>
        <v>Obesity</v>
      </c>
      <c r="K191" t="str">
        <f>VLOOKUP(A191,Medical_Examinations[],10,FALSE)</f>
        <v>Normal</v>
      </c>
      <c r="M191">
        <f>VLOOKUP(A191,Hospitalisation_Details__2[],4,FALSE)</f>
        <v>36397.58</v>
      </c>
      <c r="N191" t="str">
        <f>VLOOKUP(A191,Hospitalisation_Details__2[],5,FALSE)</f>
        <v>tier - 2</v>
      </c>
      <c r="O191" t="str">
        <f>VLOOKUP(A191,Hospitalisation_Details__2[],6,FALSE)</f>
        <v>tier - 3</v>
      </c>
      <c r="P191" t="str">
        <f>VLOOKUP(A191,Hospitalisation_Details__2[],7,FALSE)</f>
        <v>R1011</v>
      </c>
    </row>
    <row r="192" spans="1:16" x14ac:dyDescent="0.35">
      <c r="A192" t="str">
        <v>Id191</v>
      </c>
      <c r="B192" t="str">
        <f>VLOOKUP(A192,'Customer Names (2)'!A:B, 2,FALSE)</f>
        <v>Mr</v>
      </c>
      <c r="C192">
        <f>VLOOKUP(A192,Medical_Examinations[],2,FALSE)</f>
        <v>38.28</v>
      </c>
      <c r="D192">
        <f>VLOOKUP(A192,Medical_Examinations[],3,FALSE)</f>
        <v>11.56</v>
      </c>
      <c r="E192" t="str">
        <f>VLOOKUP(A192,Medical_Examinations[],4,FALSE)</f>
        <v>Yes</v>
      </c>
      <c r="F192" t="str">
        <f>VLOOKUP(A192,Medical_Examinations[],5,FALSE)</f>
        <v>No</v>
      </c>
      <c r="G192" t="str">
        <f>VLOOKUP(A192,Medical_Examinations[],6,FALSE)</f>
        <v>No</v>
      </c>
      <c r="H192">
        <f>VLOOKUP(A192,Medical_Examinations[],7,FALSE)</f>
        <v>1</v>
      </c>
      <c r="I192" t="str">
        <f>VLOOKUP(A192,Medical_Examinations[],8,FALSE)</f>
        <v>Yes</v>
      </c>
      <c r="J192" t="str">
        <f>VLOOKUP(A192,Medical_Examinations[],9,FALSE)</f>
        <v>Obesity</v>
      </c>
      <c r="K192" t="str">
        <f>VLOOKUP(A192,Medical_Examinations[],10,FALSE)</f>
        <v>Diabetes</v>
      </c>
      <c r="M192">
        <f>VLOOKUP(A192,Hospitalisation_Details__2[],4,FALSE)</f>
        <v>36350.71</v>
      </c>
      <c r="N192" t="str">
        <f>VLOOKUP(A192,Hospitalisation_Details__2[],5,FALSE)</f>
        <v>tier - 1</v>
      </c>
      <c r="O192" t="str">
        <f>VLOOKUP(A192,Hospitalisation_Details__2[],6,FALSE)</f>
        <v>tier - 2</v>
      </c>
      <c r="P192" t="str">
        <f>VLOOKUP(A192,Hospitalisation_Details__2[],7,FALSE)</f>
        <v>R1011</v>
      </c>
    </row>
    <row r="193" spans="1:16" x14ac:dyDescent="0.35">
      <c r="A193" t="str">
        <v>Id192</v>
      </c>
      <c r="B193" t="str">
        <f>VLOOKUP(A193,'Customer Names (2)'!A:B, 2,FALSE)</f>
        <v>Mr</v>
      </c>
      <c r="C193">
        <f>VLOOKUP(A193,Medical_Examinations[],2,FALSE)</f>
        <v>33.57</v>
      </c>
      <c r="D193">
        <f>VLOOKUP(A193,Medical_Examinations[],3,FALSE)</f>
        <v>8.82</v>
      </c>
      <c r="E193" t="str">
        <f>VLOOKUP(A193,Medical_Examinations[],4,FALSE)</f>
        <v>Yes</v>
      </c>
      <c r="F193" t="str">
        <f>VLOOKUP(A193,Medical_Examinations[],5,FALSE)</f>
        <v>No</v>
      </c>
      <c r="G193" t="str">
        <f>VLOOKUP(A193,Medical_Examinations[],6,FALSE)</f>
        <v>No</v>
      </c>
      <c r="H193">
        <f>VLOOKUP(A193,Medical_Examinations[],7,FALSE)</f>
        <v>0</v>
      </c>
      <c r="I193" t="str">
        <f>VLOOKUP(A193,Medical_Examinations[],8,FALSE)</f>
        <v>Yes</v>
      </c>
      <c r="J193" t="str">
        <f>VLOOKUP(A193,Medical_Examinations[],9,FALSE)</f>
        <v>Obesity</v>
      </c>
      <c r="K193" t="str">
        <f>VLOOKUP(A193,Medical_Examinations[],10,FALSE)</f>
        <v>Diabetes</v>
      </c>
      <c r="M193">
        <f>VLOOKUP(A193,Hospitalisation_Details__2[],4,FALSE)</f>
        <v>36332.449999999997</v>
      </c>
      <c r="N193" t="str">
        <f>VLOOKUP(A193,Hospitalisation_Details__2[],5,FALSE)</f>
        <v>tier - 1</v>
      </c>
      <c r="O193" t="str">
        <f>VLOOKUP(A193,Hospitalisation_Details__2[],6,FALSE)</f>
        <v>tier - 3</v>
      </c>
      <c r="P193" t="str">
        <f>VLOOKUP(A193,Hospitalisation_Details__2[],7,FALSE)</f>
        <v>R1011</v>
      </c>
    </row>
    <row r="194" spans="1:16" x14ac:dyDescent="0.35">
      <c r="A194" t="str">
        <v>Id193</v>
      </c>
      <c r="B194" t="str">
        <f>VLOOKUP(A194,'Customer Names (2)'!A:B, 2,FALSE)</f>
        <v>Ms</v>
      </c>
      <c r="C194">
        <f>VLOOKUP(A194,Medical_Examinations[],2,FALSE)</f>
        <v>52.06</v>
      </c>
      <c r="D194">
        <f>VLOOKUP(A194,Medical_Examinations[],3,FALSE)</f>
        <v>4.6900000000000004</v>
      </c>
      <c r="E194" t="str">
        <f>VLOOKUP(A194,Medical_Examinations[],4,FALSE)</f>
        <v>No</v>
      </c>
      <c r="F194" t="str">
        <f>VLOOKUP(A194,Medical_Examinations[],5,FALSE)</f>
        <v>No</v>
      </c>
      <c r="G194" t="str">
        <f>VLOOKUP(A194,Medical_Examinations[],6,FALSE)</f>
        <v>No</v>
      </c>
      <c r="H194">
        <f>VLOOKUP(A194,Medical_Examinations[],7,FALSE)</f>
        <v>1</v>
      </c>
      <c r="I194" t="str">
        <f>VLOOKUP(A194,Medical_Examinations[],8,FALSE)</f>
        <v>Yes</v>
      </c>
      <c r="J194" t="str">
        <f>VLOOKUP(A194,Medical_Examinations[],9,FALSE)</f>
        <v>Obesity</v>
      </c>
      <c r="K194" t="str">
        <f>VLOOKUP(A194,Medical_Examinations[],10,FALSE)</f>
        <v>Normal</v>
      </c>
      <c r="M194">
        <f>VLOOKUP(A194,Hospitalisation_Details__2[],4,FALSE)</f>
        <v>36314.050000000003</v>
      </c>
      <c r="N194" t="str">
        <f>VLOOKUP(A194,Hospitalisation_Details__2[],5,FALSE)</f>
        <v>tier - 2</v>
      </c>
      <c r="O194" t="str">
        <f>VLOOKUP(A194,Hospitalisation_Details__2[],6,FALSE)</f>
        <v>tier - 2</v>
      </c>
      <c r="P194" t="str">
        <f>VLOOKUP(A194,Hospitalisation_Details__2[],7,FALSE)</f>
        <v>R1011</v>
      </c>
    </row>
    <row r="195" spans="1:16" x14ac:dyDescent="0.35">
      <c r="A195" t="str">
        <v>Id194</v>
      </c>
      <c r="B195" t="str">
        <f>VLOOKUP(A195,'Customer Names (2)'!A:B, 2,FALSE)</f>
        <v>Mr</v>
      </c>
      <c r="C195">
        <f>VLOOKUP(A195,Medical_Examinations[],2,FALSE)</f>
        <v>38.17</v>
      </c>
      <c r="D195">
        <f>VLOOKUP(A195,Medical_Examinations[],3,FALSE)</f>
        <v>4.53</v>
      </c>
      <c r="E195" t="str">
        <f>VLOOKUP(A195,Medical_Examinations[],4,FALSE)</f>
        <v>No</v>
      </c>
      <c r="F195" t="str">
        <f>VLOOKUP(A195,Medical_Examinations[],5,FALSE)</f>
        <v>yes</v>
      </c>
      <c r="G195" t="str">
        <f>VLOOKUP(A195,Medical_Examinations[],6,FALSE)</f>
        <v>No</v>
      </c>
      <c r="H195">
        <f>VLOOKUP(A195,Medical_Examinations[],7,FALSE)</f>
        <v>1</v>
      </c>
      <c r="I195" t="str">
        <f>VLOOKUP(A195,Medical_Examinations[],8,FALSE)</f>
        <v>Yes</v>
      </c>
      <c r="J195" t="str">
        <f>VLOOKUP(A195,Medical_Examinations[],9,FALSE)</f>
        <v>Obesity</v>
      </c>
      <c r="K195" t="str">
        <f>VLOOKUP(A195,Medical_Examinations[],10,FALSE)</f>
        <v>Normal</v>
      </c>
      <c r="M195">
        <f>VLOOKUP(A195,Hospitalisation_Details__2[],4,FALSE)</f>
        <v>36307.800000000003</v>
      </c>
      <c r="N195" t="str">
        <f>VLOOKUP(A195,Hospitalisation_Details__2[],5,FALSE)</f>
        <v>tier - 1</v>
      </c>
      <c r="O195" t="str">
        <f>VLOOKUP(A195,Hospitalisation_Details__2[],6,FALSE)</f>
        <v>tier - 2</v>
      </c>
      <c r="P195" t="str">
        <f>VLOOKUP(A195,Hospitalisation_Details__2[],7,FALSE)</f>
        <v>R1013</v>
      </c>
    </row>
    <row r="196" spans="1:16" x14ac:dyDescent="0.35">
      <c r="A196" t="str">
        <v>Id195</v>
      </c>
      <c r="B196" t="str">
        <f>VLOOKUP(A196,'Customer Names (2)'!A:B, 2,FALSE)</f>
        <v>Mr</v>
      </c>
      <c r="C196">
        <f>VLOOKUP(A196,Medical_Examinations[],2,FALSE)</f>
        <v>36.954999999999998</v>
      </c>
      <c r="D196">
        <f>VLOOKUP(A196,Medical_Examinations[],3,FALSE)</f>
        <v>5.84</v>
      </c>
      <c r="E196" t="str">
        <f>VLOOKUP(A196,Medical_Examinations[],4,FALSE)</f>
        <v>No</v>
      </c>
      <c r="F196" t="str">
        <f>VLOOKUP(A196,Medical_Examinations[],5,FALSE)</f>
        <v>No</v>
      </c>
      <c r="G196" t="str">
        <f>VLOOKUP(A196,Medical_Examinations[],6,FALSE)</f>
        <v>Yes</v>
      </c>
      <c r="H196">
        <f>VLOOKUP(A196,Medical_Examinations[],7,FALSE)</f>
        <v>1</v>
      </c>
      <c r="I196" t="str">
        <f>VLOOKUP(A196,Medical_Examinations[],8,FALSE)</f>
        <v>Yes</v>
      </c>
      <c r="J196" t="str">
        <f>VLOOKUP(A196,Medical_Examinations[],9,FALSE)</f>
        <v>Obesity</v>
      </c>
      <c r="K196" t="str">
        <f>VLOOKUP(A196,Medical_Examinations[],10,FALSE)</f>
        <v>Prediabetes</v>
      </c>
      <c r="M196">
        <f>VLOOKUP(A196,Hospitalisation_Details__2[],4,FALSE)</f>
        <v>36219.410000000003</v>
      </c>
      <c r="N196" t="str">
        <f>VLOOKUP(A196,Hospitalisation_Details__2[],5,FALSE)</f>
        <v>tier - 1</v>
      </c>
      <c r="O196" t="str">
        <f>VLOOKUP(A196,Hospitalisation_Details__2[],6,FALSE)</f>
        <v>tier - 1</v>
      </c>
      <c r="P196" t="str">
        <f>VLOOKUP(A196,Hospitalisation_Details__2[],7,FALSE)</f>
        <v>R1012</v>
      </c>
    </row>
    <row r="197" spans="1:16" x14ac:dyDescent="0.35">
      <c r="A197" t="str">
        <v>Id196</v>
      </c>
      <c r="B197" t="str">
        <f>VLOOKUP(A197,'Customer Names (2)'!A:B, 2,FALSE)</f>
        <v>Mr</v>
      </c>
      <c r="C197">
        <f>VLOOKUP(A197,Medical_Examinations[],2,FALSE)</f>
        <v>34.4</v>
      </c>
      <c r="D197">
        <f>VLOOKUP(A197,Medical_Examinations[],3,FALSE)</f>
        <v>4.9000000000000004</v>
      </c>
      <c r="E197" t="str">
        <f>VLOOKUP(A197,Medical_Examinations[],4,FALSE)</f>
        <v>No</v>
      </c>
      <c r="F197" t="str">
        <f>VLOOKUP(A197,Medical_Examinations[],5,FALSE)</f>
        <v>No</v>
      </c>
      <c r="G197" t="str">
        <f>VLOOKUP(A197,Medical_Examinations[],6,FALSE)</f>
        <v>Yes</v>
      </c>
      <c r="H197">
        <f>VLOOKUP(A197,Medical_Examinations[],7,FALSE)</f>
        <v>1</v>
      </c>
      <c r="I197" t="str">
        <f>VLOOKUP(A197,Medical_Examinations[],8,FALSE)</f>
        <v>Yes</v>
      </c>
      <c r="J197" t="str">
        <f>VLOOKUP(A197,Medical_Examinations[],9,FALSE)</f>
        <v>Obesity</v>
      </c>
      <c r="K197" t="str">
        <f>VLOOKUP(A197,Medical_Examinations[],10,FALSE)</f>
        <v>Normal</v>
      </c>
      <c r="M197">
        <f>VLOOKUP(A197,Hospitalisation_Details__2[],4,FALSE)</f>
        <v>36197.699999999997</v>
      </c>
      <c r="N197" t="str">
        <f>VLOOKUP(A197,Hospitalisation_Details__2[],5,FALSE)</f>
        <v>tier - 1</v>
      </c>
      <c r="O197" t="str">
        <f>VLOOKUP(A197,Hospitalisation_Details__2[],6,FALSE)</f>
        <v>tier - 3</v>
      </c>
      <c r="P197" t="str">
        <f>VLOOKUP(A197,Hospitalisation_Details__2[],7,FALSE)</f>
        <v>R1011</v>
      </c>
    </row>
    <row r="198" spans="1:16" x14ac:dyDescent="0.35">
      <c r="A198" t="str">
        <v>Id197</v>
      </c>
      <c r="B198" t="str">
        <f>VLOOKUP(A198,'Customer Names (2)'!A:B, 2,FALSE)</f>
        <v>Mr</v>
      </c>
      <c r="C198">
        <f>VLOOKUP(A198,Medical_Examinations[],2,FALSE)</f>
        <v>31.73</v>
      </c>
      <c r="D198">
        <f>VLOOKUP(A198,Medical_Examinations[],3,FALSE)</f>
        <v>4.3</v>
      </c>
      <c r="E198" t="str">
        <f>VLOOKUP(A198,Medical_Examinations[],4,FALSE)</f>
        <v>No</v>
      </c>
      <c r="F198" t="str">
        <f>VLOOKUP(A198,Medical_Examinations[],5,FALSE)</f>
        <v>No</v>
      </c>
      <c r="G198" t="str">
        <f>VLOOKUP(A198,Medical_Examinations[],6,FALSE)</f>
        <v>No</v>
      </c>
      <c r="H198">
        <f>VLOOKUP(A198,Medical_Examinations[],7,FALSE)</f>
        <v>0</v>
      </c>
      <c r="I198" t="str">
        <f>VLOOKUP(A198,Medical_Examinations[],8,FALSE)</f>
        <v>Yes</v>
      </c>
      <c r="J198" t="str">
        <f>VLOOKUP(A198,Medical_Examinations[],9,FALSE)</f>
        <v>Obesity</v>
      </c>
      <c r="K198" t="str">
        <f>VLOOKUP(A198,Medical_Examinations[],10,FALSE)</f>
        <v>Normal</v>
      </c>
      <c r="M198">
        <f>VLOOKUP(A198,Hospitalisation_Details__2[],4,FALSE)</f>
        <v>36189.1</v>
      </c>
      <c r="N198" t="str">
        <f>VLOOKUP(A198,Hospitalisation_Details__2[],5,FALSE)</f>
        <v>tier - 1</v>
      </c>
      <c r="O198" t="str">
        <f>VLOOKUP(A198,Hospitalisation_Details__2[],6,FALSE)</f>
        <v>tier - 3</v>
      </c>
      <c r="P198" t="str">
        <f>VLOOKUP(A198,Hospitalisation_Details__2[],7,FALSE)</f>
        <v>R1016</v>
      </c>
    </row>
    <row r="199" spans="1:16" x14ac:dyDescent="0.35">
      <c r="A199" t="str">
        <v>Id198</v>
      </c>
      <c r="B199" t="str">
        <f>VLOOKUP(A199,'Customer Names (2)'!A:B, 2,FALSE)</f>
        <v>Mr</v>
      </c>
      <c r="C199">
        <f>VLOOKUP(A199,Medical_Examinations[],2,FALSE)</f>
        <v>36.64</v>
      </c>
      <c r="D199">
        <f>VLOOKUP(A199,Medical_Examinations[],3,FALSE)</f>
        <v>11.34</v>
      </c>
      <c r="E199" t="str">
        <f>VLOOKUP(A199,Medical_Examinations[],4,FALSE)</f>
        <v>No</v>
      </c>
      <c r="F199" t="str">
        <f>VLOOKUP(A199,Medical_Examinations[],5,FALSE)</f>
        <v>No</v>
      </c>
      <c r="G199" t="str">
        <f>VLOOKUP(A199,Medical_Examinations[],6,FALSE)</f>
        <v>No</v>
      </c>
      <c r="H199">
        <f>VLOOKUP(A199,Medical_Examinations[],7,FALSE)</f>
        <v>0</v>
      </c>
      <c r="I199" t="str">
        <f>VLOOKUP(A199,Medical_Examinations[],8,FALSE)</f>
        <v>Yes</v>
      </c>
      <c r="J199" t="str">
        <f>VLOOKUP(A199,Medical_Examinations[],9,FALSE)</f>
        <v>Obesity</v>
      </c>
      <c r="K199" t="str">
        <f>VLOOKUP(A199,Medical_Examinations[],10,FALSE)</f>
        <v>Diabetes</v>
      </c>
      <c r="M199">
        <f>VLOOKUP(A199,Hospitalisation_Details__2[],4,FALSE)</f>
        <v>36182.870000000003</v>
      </c>
      <c r="N199" t="str">
        <f>VLOOKUP(A199,Hospitalisation_Details__2[],5,FALSE)</f>
        <v>tier - 2</v>
      </c>
      <c r="O199" t="str">
        <f>VLOOKUP(A199,Hospitalisation_Details__2[],6,FALSE)</f>
        <v>tier - 3</v>
      </c>
      <c r="P199" t="str">
        <f>VLOOKUP(A199,Hospitalisation_Details__2[],7,FALSE)</f>
        <v>R1012</v>
      </c>
    </row>
    <row r="200" spans="1:16" x14ac:dyDescent="0.35">
      <c r="A200" t="str">
        <v>Id199</v>
      </c>
      <c r="B200" t="str">
        <f>VLOOKUP(A200,'Customer Names (2)'!A:B, 2,FALSE)</f>
        <v>Ms</v>
      </c>
      <c r="C200">
        <f>VLOOKUP(A200,Medical_Examinations[],2,FALSE)</f>
        <v>36.85</v>
      </c>
      <c r="D200">
        <f>VLOOKUP(A200,Medical_Examinations[],3,FALSE)</f>
        <v>5.88</v>
      </c>
      <c r="E200" t="str">
        <f>VLOOKUP(A200,Medical_Examinations[],4,FALSE)</f>
        <v>No</v>
      </c>
      <c r="F200" t="str">
        <f>VLOOKUP(A200,Medical_Examinations[],5,FALSE)</f>
        <v>yes</v>
      </c>
      <c r="G200" t="str">
        <f>VLOOKUP(A200,Medical_Examinations[],6,FALSE)</f>
        <v>No</v>
      </c>
      <c r="H200">
        <f>VLOOKUP(A200,Medical_Examinations[],7,FALSE)</f>
        <v>1</v>
      </c>
      <c r="I200" t="str">
        <f>VLOOKUP(A200,Medical_Examinations[],8,FALSE)</f>
        <v>Yes</v>
      </c>
      <c r="J200" t="str">
        <f>VLOOKUP(A200,Medical_Examinations[],9,FALSE)</f>
        <v>Obesity</v>
      </c>
      <c r="K200" t="str">
        <f>VLOOKUP(A200,Medical_Examinations[],10,FALSE)</f>
        <v>Prediabetes</v>
      </c>
      <c r="M200">
        <f>VLOOKUP(A200,Hospitalisation_Details__2[],4,FALSE)</f>
        <v>36149.480000000003</v>
      </c>
      <c r="N200" t="str">
        <f>VLOOKUP(A200,Hospitalisation_Details__2[],5,FALSE)</f>
        <v>tier - 2</v>
      </c>
      <c r="O200" t="str">
        <f>VLOOKUP(A200,Hospitalisation_Details__2[],6,FALSE)</f>
        <v>tier - 2</v>
      </c>
      <c r="P200" t="str">
        <f>VLOOKUP(A200,Hospitalisation_Details__2[],7,FALSE)</f>
        <v>R1013</v>
      </c>
    </row>
    <row r="201" spans="1:16" x14ac:dyDescent="0.35">
      <c r="A201" t="str">
        <v>Id200</v>
      </c>
      <c r="B201" t="str">
        <f>VLOOKUP(A201,'Customer Names (2)'!A:B, 2,FALSE)</f>
        <v>Mr</v>
      </c>
      <c r="C201">
        <f>VLOOKUP(A201,Medical_Examinations[],2,FALSE)</f>
        <v>33.33</v>
      </c>
      <c r="D201">
        <f>VLOOKUP(A201,Medical_Examinations[],3,FALSE)</f>
        <v>5.01</v>
      </c>
      <c r="E201" t="str">
        <f>VLOOKUP(A201,Medical_Examinations[],4,FALSE)</f>
        <v>Yes</v>
      </c>
      <c r="F201" t="str">
        <f>VLOOKUP(A201,Medical_Examinations[],5,FALSE)</f>
        <v>No</v>
      </c>
      <c r="G201" t="str">
        <f>VLOOKUP(A201,Medical_Examinations[],6,FALSE)</f>
        <v>Yes</v>
      </c>
      <c r="H201">
        <f>VLOOKUP(A201,Medical_Examinations[],7,FALSE)</f>
        <v>1</v>
      </c>
      <c r="I201" t="str">
        <f>VLOOKUP(A201,Medical_Examinations[],8,FALSE)</f>
        <v>Yes</v>
      </c>
      <c r="J201" t="str">
        <f>VLOOKUP(A201,Medical_Examinations[],9,FALSE)</f>
        <v>Obesity</v>
      </c>
      <c r="K201" t="str">
        <f>VLOOKUP(A201,Medical_Examinations[],10,FALSE)</f>
        <v>Normal</v>
      </c>
      <c r="M201">
        <f>VLOOKUP(A201,Hospitalisation_Details__2[],4,FALSE)</f>
        <v>36124.57</v>
      </c>
      <c r="N201" t="str">
        <f>VLOOKUP(A201,Hospitalisation_Details__2[],5,FALSE)</f>
        <v>tier - 1</v>
      </c>
      <c r="O201" t="str">
        <f>VLOOKUP(A201,Hospitalisation_Details__2[],6,FALSE)</f>
        <v>tier - 3</v>
      </c>
      <c r="P201" t="str">
        <f>VLOOKUP(A201,Hospitalisation_Details__2[],7,FALSE)</f>
        <v>R1013</v>
      </c>
    </row>
    <row r="202" spans="1:16" x14ac:dyDescent="0.35">
      <c r="A202" t="str">
        <v>Id201</v>
      </c>
      <c r="B202" t="str">
        <f>VLOOKUP(A202,'Customer Names (2)'!A:B, 2,FALSE)</f>
        <v>Mr</v>
      </c>
      <c r="C202">
        <f>VLOOKUP(A202,Medical_Examinations[],2,FALSE)</f>
        <v>39.14</v>
      </c>
      <c r="D202">
        <f>VLOOKUP(A202,Medical_Examinations[],3,FALSE)</f>
        <v>4.4000000000000004</v>
      </c>
      <c r="E202" t="str">
        <f>VLOOKUP(A202,Medical_Examinations[],4,FALSE)</f>
        <v>No</v>
      </c>
      <c r="F202" t="str">
        <f>VLOOKUP(A202,Medical_Examinations[],5,FALSE)</f>
        <v>No</v>
      </c>
      <c r="G202" t="str">
        <f>VLOOKUP(A202,Medical_Examinations[],6,FALSE)</f>
        <v>Yes</v>
      </c>
      <c r="H202">
        <f>VLOOKUP(A202,Medical_Examinations[],7,FALSE)</f>
        <v>1</v>
      </c>
      <c r="I202" t="str">
        <f>VLOOKUP(A202,Medical_Examinations[],8,FALSE)</f>
        <v>Yes</v>
      </c>
      <c r="J202" t="str">
        <f>VLOOKUP(A202,Medical_Examinations[],9,FALSE)</f>
        <v>Obesity</v>
      </c>
      <c r="K202" t="str">
        <f>VLOOKUP(A202,Medical_Examinations[],10,FALSE)</f>
        <v>Normal</v>
      </c>
      <c r="M202">
        <f>VLOOKUP(A202,Hospitalisation_Details__2[],4,FALSE)</f>
        <v>36090.49</v>
      </c>
      <c r="N202" t="str">
        <f>VLOOKUP(A202,Hospitalisation_Details__2[],5,FALSE)</f>
        <v>tier - 2</v>
      </c>
      <c r="O202" t="str">
        <f>VLOOKUP(A202,Hospitalisation_Details__2[],6,FALSE)</f>
        <v>tier - 2</v>
      </c>
      <c r="P202" t="str">
        <f>VLOOKUP(A202,Hospitalisation_Details__2[],7,FALSE)</f>
        <v>R1011</v>
      </c>
    </row>
    <row r="203" spans="1:16" x14ac:dyDescent="0.35">
      <c r="A203" t="str">
        <v>Id202</v>
      </c>
      <c r="B203" t="str">
        <f>VLOOKUP(A203,'Customer Names (2)'!A:B, 2,FALSE)</f>
        <v>Mr</v>
      </c>
      <c r="C203">
        <f>VLOOKUP(A203,Medical_Examinations[],2,FALSE)</f>
        <v>32.9</v>
      </c>
      <c r="D203">
        <f>VLOOKUP(A203,Medical_Examinations[],3,FALSE)</f>
        <v>6.26</v>
      </c>
      <c r="E203" t="str">
        <f>VLOOKUP(A203,Medical_Examinations[],4,FALSE)</f>
        <v>Yes</v>
      </c>
      <c r="F203" t="str">
        <f>VLOOKUP(A203,Medical_Examinations[],5,FALSE)</f>
        <v>No</v>
      </c>
      <c r="G203" t="str">
        <f>VLOOKUP(A203,Medical_Examinations[],6,FALSE)</f>
        <v>No</v>
      </c>
      <c r="H203">
        <f>VLOOKUP(A203,Medical_Examinations[],7,FALSE)</f>
        <v>0</v>
      </c>
      <c r="I203" t="str">
        <f>VLOOKUP(A203,Medical_Examinations[],8,FALSE)</f>
        <v>Yes</v>
      </c>
      <c r="J203" t="str">
        <f>VLOOKUP(A203,Medical_Examinations[],9,FALSE)</f>
        <v>Obesity</v>
      </c>
      <c r="K203" t="str">
        <f>VLOOKUP(A203,Medical_Examinations[],10,FALSE)</f>
        <v>Prediabetes</v>
      </c>
      <c r="M203">
        <f>VLOOKUP(A203,Hospitalisation_Details__2[],4,FALSE)</f>
        <v>36085.22</v>
      </c>
      <c r="N203" t="str">
        <f>VLOOKUP(A203,Hospitalisation_Details__2[],5,FALSE)</f>
        <v>tier - 1</v>
      </c>
      <c r="O203" t="str">
        <f>VLOOKUP(A203,Hospitalisation_Details__2[],6,FALSE)</f>
        <v>tier - 1</v>
      </c>
      <c r="P203" t="str">
        <f>VLOOKUP(A203,Hospitalisation_Details__2[],7,FALSE)</f>
        <v>R1011</v>
      </c>
    </row>
    <row r="204" spans="1:16" x14ac:dyDescent="0.35">
      <c r="A204" t="str">
        <v>Id203</v>
      </c>
      <c r="B204" t="str">
        <f>VLOOKUP(A204,'Customer Names (2)'!A:B, 2,FALSE)</f>
        <v>Mr</v>
      </c>
      <c r="C204">
        <f>VLOOKUP(A204,Medical_Examinations[],2,FALSE)</f>
        <v>29.78</v>
      </c>
      <c r="D204">
        <f>VLOOKUP(A204,Medical_Examinations[],3,FALSE)</f>
        <v>10.27</v>
      </c>
      <c r="E204" t="str">
        <f>VLOOKUP(A204,Medical_Examinations[],4,FALSE)</f>
        <v>Yes</v>
      </c>
      <c r="F204" t="str">
        <f>VLOOKUP(A204,Medical_Examinations[],5,FALSE)</f>
        <v>No</v>
      </c>
      <c r="G204" t="str">
        <f>VLOOKUP(A204,Medical_Examinations[],6,FALSE)</f>
        <v>Yes</v>
      </c>
      <c r="H204">
        <f>VLOOKUP(A204,Medical_Examinations[],7,FALSE)</f>
        <v>1</v>
      </c>
      <c r="I204" t="str">
        <f>VLOOKUP(A204,Medical_Examinations[],8,FALSE)</f>
        <v>Yes</v>
      </c>
      <c r="J204" t="str">
        <f>VLOOKUP(A204,Medical_Examinations[],9,FALSE)</f>
        <v>Overweight</v>
      </c>
      <c r="K204" t="str">
        <f>VLOOKUP(A204,Medical_Examinations[],10,FALSE)</f>
        <v>Diabetes</v>
      </c>
      <c r="M204">
        <f>VLOOKUP(A204,Hospitalisation_Details__2[],4,FALSE)</f>
        <v>36074.339999999997</v>
      </c>
      <c r="N204" t="str">
        <f>VLOOKUP(A204,Hospitalisation_Details__2[],5,FALSE)</f>
        <v>tier - 2</v>
      </c>
      <c r="O204" t="str">
        <f>VLOOKUP(A204,Hospitalisation_Details__2[],6,FALSE)</f>
        <v>tier - 1</v>
      </c>
      <c r="P204" t="str">
        <f>VLOOKUP(A204,Hospitalisation_Details__2[],7,FALSE)</f>
        <v>R1011</v>
      </c>
    </row>
    <row r="205" spans="1:16" x14ac:dyDescent="0.35">
      <c r="A205" t="str">
        <v>Id204</v>
      </c>
      <c r="B205" t="str">
        <f>VLOOKUP(A205,'Customer Names (2)'!A:B, 2,FALSE)</f>
        <v>Ms</v>
      </c>
      <c r="C205">
        <f>VLOOKUP(A205,Medical_Examinations[],2,FALSE)</f>
        <v>32.78</v>
      </c>
      <c r="D205">
        <f>VLOOKUP(A205,Medical_Examinations[],3,FALSE)</f>
        <v>5.27</v>
      </c>
      <c r="E205" t="str">
        <f>VLOOKUP(A205,Medical_Examinations[],4,FALSE)</f>
        <v>No</v>
      </c>
      <c r="F205" t="str">
        <f>VLOOKUP(A205,Medical_Examinations[],5,FALSE)</f>
        <v>No</v>
      </c>
      <c r="G205" t="str">
        <f>VLOOKUP(A205,Medical_Examinations[],6,FALSE)</f>
        <v>No</v>
      </c>
      <c r="H205">
        <f>VLOOKUP(A205,Medical_Examinations[],7,FALSE)</f>
        <v>0</v>
      </c>
      <c r="I205" t="str">
        <f>VLOOKUP(A205,Medical_Examinations[],8,FALSE)</f>
        <v>Yes</v>
      </c>
      <c r="J205" t="str">
        <f>VLOOKUP(A205,Medical_Examinations[],9,FALSE)</f>
        <v>Obesity</v>
      </c>
      <c r="K205" t="str">
        <f>VLOOKUP(A205,Medical_Examinations[],10,FALSE)</f>
        <v>Normal</v>
      </c>
      <c r="M205">
        <f>VLOOKUP(A205,Hospitalisation_Details__2[],4,FALSE)</f>
        <v>36021.01</v>
      </c>
      <c r="N205" t="str">
        <f>VLOOKUP(A205,Hospitalisation_Details__2[],5,FALSE)</f>
        <v>tier - 2</v>
      </c>
      <c r="O205" t="str">
        <f>VLOOKUP(A205,Hospitalisation_Details__2[],6,FALSE)</f>
        <v>tier - 3</v>
      </c>
      <c r="P205" t="str">
        <f>VLOOKUP(A205,Hospitalisation_Details__2[],7,FALSE)</f>
        <v>R1013</v>
      </c>
    </row>
    <row r="206" spans="1:16" x14ac:dyDescent="0.35">
      <c r="A206" t="str">
        <v>Id205</v>
      </c>
      <c r="B206" t="str">
        <f>VLOOKUP(A206,'Customer Names (2)'!A:B, 2,FALSE)</f>
        <v>Mr</v>
      </c>
      <c r="C206">
        <f>VLOOKUP(A206,Medical_Examinations[],2,FALSE)</f>
        <v>41.65</v>
      </c>
      <c r="D206">
        <f>VLOOKUP(A206,Medical_Examinations[],3,FALSE)</f>
        <v>10.73</v>
      </c>
      <c r="E206" t="str">
        <f>VLOOKUP(A206,Medical_Examinations[],4,FALSE)</f>
        <v>Yes</v>
      </c>
      <c r="F206" t="str">
        <f>VLOOKUP(A206,Medical_Examinations[],5,FALSE)</f>
        <v>No</v>
      </c>
      <c r="G206" t="str">
        <f>VLOOKUP(A206,Medical_Examinations[],6,FALSE)</f>
        <v>No</v>
      </c>
      <c r="H206">
        <f>VLOOKUP(A206,Medical_Examinations[],7,FALSE)</f>
        <v>0</v>
      </c>
      <c r="I206" t="str">
        <f>VLOOKUP(A206,Medical_Examinations[],8,FALSE)</f>
        <v>Yes</v>
      </c>
      <c r="J206" t="str">
        <f>VLOOKUP(A206,Medical_Examinations[],9,FALSE)</f>
        <v>Obesity</v>
      </c>
      <c r="K206" t="str">
        <f>VLOOKUP(A206,Medical_Examinations[],10,FALSE)</f>
        <v>Diabetes</v>
      </c>
      <c r="M206">
        <f>VLOOKUP(A206,Hospitalisation_Details__2[],4,FALSE)</f>
        <v>35952.65</v>
      </c>
      <c r="N206" t="str">
        <f>VLOOKUP(A206,Hospitalisation_Details__2[],5,FALSE)</f>
        <v>tier - 1</v>
      </c>
      <c r="O206" t="str">
        <f>VLOOKUP(A206,Hospitalisation_Details__2[],6,FALSE)</f>
        <v>tier - 3</v>
      </c>
      <c r="P206" t="str">
        <f>VLOOKUP(A206,Hospitalisation_Details__2[],7,FALSE)</f>
        <v>R1011</v>
      </c>
    </row>
    <row r="207" spans="1:16" x14ac:dyDescent="0.35">
      <c r="A207" t="str">
        <v>Id206</v>
      </c>
      <c r="B207" t="str">
        <f>VLOOKUP(A207,'Customer Names (2)'!A:B, 2,FALSE)</f>
        <v>Ms</v>
      </c>
      <c r="C207">
        <f>VLOOKUP(A207,Medical_Examinations[],2,FALSE)</f>
        <v>50.79</v>
      </c>
      <c r="D207">
        <f>VLOOKUP(A207,Medical_Examinations[],3,FALSE)</f>
        <v>4.45</v>
      </c>
      <c r="E207" t="str">
        <f>VLOOKUP(A207,Medical_Examinations[],4,FALSE)</f>
        <v>No</v>
      </c>
      <c r="F207" t="str">
        <f>VLOOKUP(A207,Medical_Examinations[],5,FALSE)</f>
        <v>No</v>
      </c>
      <c r="G207" t="str">
        <f>VLOOKUP(A207,Medical_Examinations[],6,FALSE)</f>
        <v>No</v>
      </c>
      <c r="H207">
        <f>VLOOKUP(A207,Medical_Examinations[],7,FALSE)</f>
        <v>1</v>
      </c>
      <c r="I207" t="str">
        <f>VLOOKUP(A207,Medical_Examinations[],8,FALSE)</f>
        <v>Yes</v>
      </c>
      <c r="J207" t="str">
        <f>VLOOKUP(A207,Medical_Examinations[],9,FALSE)</f>
        <v>Obesity</v>
      </c>
      <c r="K207" t="str">
        <f>VLOOKUP(A207,Medical_Examinations[],10,FALSE)</f>
        <v>Normal</v>
      </c>
      <c r="M207">
        <f>VLOOKUP(A207,Hospitalisation_Details__2[],4,FALSE)</f>
        <v>35883.269999999997</v>
      </c>
      <c r="N207" t="str">
        <f>VLOOKUP(A207,Hospitalisation_Details__2[],5,FALSE)</f>
        <v>tier - 2</v>
      </c>
      <c r="O207" t="str">
        <f>VLOOKUP(A207,Hospitalisation_Details__2[],6,FALSE)</f>
        <v>tier - 1</v>
      </c>
      <c r="P207" t="str">
        <f>VLOOKUP(A207,Hospitalisation_Details__2[],7,FALSE)</f>
        <v>R1011</v>
      </c>
    </row>
    <row r="208" spans="1:16" x14ac:dyDescent="0.35">
      <c r="A208" t="str">
        <v>Id207</v>
      </c>
      <c r="B208" t="str">
        <f>VLOOKUP(A208,'Customer Names (2)'!A:B, 2,FALSE)</f>
        <v>Ms</v>
      </c>
      <c r="C208">
        <f>VLOOKUP(A208,Medical_Examinations[],2,FALSE)</f>
        <v>35.43</v>
      </c>
      <c r="D208">
        <f>VLOOKUP(A208,Medical_Examinations[],3,FALSE)</f>
        <v>5.25</v>
      </c>
      <c r="E208" t="str">
        <f>VLOOKUP(A208,Medical_Examinations[],4,FALSE)</f>
        <v>Yes</v>
      </c>
      <c r="F208" t="str">
        <f>VLOOKUP(A208,Medical_Examinations[],5,FALSE)</f>
        <v>No</v>
      </c>
      <c r="G208" t="str">
        <f>VLOOKUP(A208,Medical_Examinations[],6,FALSE)</f>
        <v>No</v>
      </c>
      <c r="H208">
        <f>VLOOKUP(A208,Medical_Examinations[],7,FALSE)</f>
        <v>0</v>
      </c>
      <c r="I208" t="str">
        <f>VLOOKUP(A208,Medical_Examinations[],8,FALSE)</f>
        <v>Yes</v>
      </c>
      <c r="J208" t="str">
        <f>VLOOKUP(A208,Medical_Examinations[],9,FALSE)</f>
        <v>Obesity</v>
      </c>
      <c r="K208" t="str">
        <f>VLOOKUP(A208,Medical_Examinations[],10,FALSE)</f>
        <v>Normal</v>
      </c>
      <c r="M208">
        <f>VLOOKUP(A208,Hospitalisation_Details__2[],4,FALSE)</f>
        <v>35733.96</v>
      </c>
      <c r="N208" t="str">
        <f>VLOOKUP(A208,Hospitalisation_Details__2[],5,FALSE)</f>
        <v>tier - 2</v>
      </c>
      <c r="O208" t="str">
        <f>VLOOKUP(A208,Hospitalisation_Details__2[],6,FALSE)</f>
        <v>tier - 2</v>
      </c>
      <c r="P208" t="str">
        <f>VLOOKUP(A208,Hospitalisation_Details__2[],7,FALSE)</f>
        <v>R1011</v>
      </c>
    </row>
    <row r="209" spans="1:16" x14ac:dyDescent="0.35">
      <c r="A209" t="str">
        <v>Id208</v>
      </c>
      <c r="B209" t="str">
        <f>VLOOKUP(A209,'Customer Names (2)'!A:B, 2,FALSE)</f>
        <v>Mr</v>
      </c>
      <c r="C209">
        <f>VLOOKUP(A209,Medical_Examinations[],2,FALSE)</f>
        <v>35.25</v>
      </c>
      <c r="D209">
        <f>VLOOKUP(A209,Medical_Examinations[],3,FALSE)</f>
        <v>9.51</v>
      </c>
      <c r="E209" t="str">
        <f>VLOOKUP(A209,Medical_Examinations[],4,FALSE)</f>
        <v>No</v>
      </c>
      <c r="F209" t="str">
        <f>VLOOKUP(A209,Medical_Examinations[],5,FALSE)</f>
        <v>No</v>
      </c>
      <c r="G209" t="str">
        <f>VLOOKUP(A209,Medical_Examinations[],6,FALSE)</f>
        <v>No</v>
      </c>
      <c r="H209">
        <f>VLOOKUP(A209,Medical_Examinations[],7,FALSE)</f>
        <v>0</v>
      </c>
      <c r="I209" t="str">
        <f>VLOOKUP(A209,Medical_Examinations[],8,FALSE)</f>
        <v>Yes</v>
      </c>
      <c r="J209" t="str">
        <f>VLOOKUP(A209,Medical_Examinations[],9,FALSE)</f>
        <v>Obesity</v>
      </c>
      <c r="K209" t="str">
        <f>VLOOKUP(A209,Medical_Examinations[],10,FALSE)</f>
        <v>Diabetes</v>
      </c>
      <c r="M209">
        <f>VLOOKUP(A209,Hospitalisation_Details__2[],4,FALSE)</f>
        <v>35711.39</v>
      </c>
      <c r="N209" t="str">
        <f>VLOOKUP(A209,Hospitalisation_Details__2[],5,FALSE)</f>
        <v>tier - 2</v>
      </c>
      <c r="O209" t="str">
        <f>VLOOKUP(A209,Hospitalisation_Details__2[],6,FALSE)</f>
        <v>tier - 3</v>
      </c>
      <c r="P209" t="str">
        <f>VLOOKUP(A209,Hospitalisation_Details__2[],7,FALSE)</f>
        <v>R1012</v>
      </c>
    </row>
    <row r="210" spans="1:16" x14ac:dyDescent="0.35">
      <c r="A210" t="str">
        <v>Id209</v>
      </c>
      <c r="B210" t="str">
        <f>VLOOKUP(A210,'Customer Names (2)'!A:B, 2,FALSE)</f>
        <v>Ms</v>
      </c>
      <c r="C210">
        <f>VLOOKUP(A210,Medical_Examinations[],2,FALSE)</f>
        <v>36.85</v>
      </c>
      <c r="D210">
        <f>VLOOKUP(A210,Medical_Examinations[],3,FALSE)</f>
        <v>11.12</v>
      </c>
      <c r="E210" t="str">
        <f>VLOOKUP(A210,Medical_Examinations[],4,FALSE)</f>
        <v>No</v>
      </c>
      <c r="F210" t="str">
        <f>VLOOKUP(A210,Medical_Examinations[],5,FALSE)</f>
        <v>No</v>
      </c>
      <c r="G210" t="str">
        <f>VLOOKUP(A210,Medical_Examinations[],6,FALSE)</f>
        <v>No</v>
      </c>
      <c r="H210">
        <f>VLOOKUP(A210,Medical_Examinations[],7,FALSE)</f>
        <v>0</v>
      </c>
      <c r="I210" t="str">
        <f>VLOOKUP(A210,Medical_Examinations[],8,FALSE)</f>
        <v>Yes</v>
      </c>
      <c r="J210" t="str">
        <f>VLOOKUP(A210,Medical_Examinations[],9,FALSE)</f>
        <v>Obesity</v>
      </c>
      <c r="K210" t="str">
        <f>VLOOKUP(A210,Medical_Examinations[],10,FALSE)</f>
        <v>Diabetes</v>
      </c>
      <c r="M210">
        <f>VLOOKUP(A210,Hospitalisation_Details__2[],4,FALSE)</f>
        <v>35701.9</v>
      </c>
      <c r="N210" t="str">
        <f>VLOOKUP(A210,Hospitalisation_Details__2[],5,FALSE)</f>
        <v>tier - 2</v>
      </c>
      <c r="O210" t="str">
        <f>VLOOKUP(A210,Hospitalisation_Details__2[],6,FALSE)</f>
        <v>tier - 1</v>
      </c>
      <c r="P210" t="str">
        <f>VLOOKUP(A210,Hospitalisation_Details__2[],7,FALSE)</f>
        <v>R1011</v>
      </c>
    </row>
    <row r="211" spans="1:16" x14ac:dyDescent="0.35">
      <c r="A211" t="str">
        <v>Id210</v>
      </c>
      <c r="B211" t="str">
        <f>VLOOKUP(A211,'Customer Names (2)'!A:B, 2,FALSE)</f>
        <v>Ms</v>
      </c>
      <c r="C211">
        <f>VLOOKUP(A211,Medical_Examinations[],2,FALSE)</f>
        <v>31.02</v>
      </c>
      <c r="D211">
        <f>VLOOKUP(A211,Medical_Examinations[],3,FALSE)</f>
        <v>4.5599999999999996</v>
      </c>
      <c r="E211" t="str">
        <f>VLOOKUP(A211,Medical_Examinations[],4,FALSE)</f>
        <v>No</v>
      </c>
      <c r="F211" t="str">
        <f>VLOOKUP(A211,Medical_Examinations[],5,FALSE)</f>
        <v>yes</v>
      </c>
      <c r="G211" t="str">
        <f>VLOOKUP(A211,Medical_Examinations[],6,FALSE)</f>
        <v>No</v>
      </c>
      <c r="H211">
        <f>VLOOKUP(A211,Medical_Examinations[],7,FALSE)</f>
        <v>1</v>
      </c>
      <c r="I211" t="str">
        <f>VLOOKUP(A211,Medical_Examinations[],8,FALSE)</f>
        <v>Yes</v>
      </c>
      <c r="J211" t="str">
        <f>VLOOKUP(A211,Medical_Examinations[],9,FALSE)</f>
        <v>Obesity</v>
      </c>
      <c r="K211" t="str">
        <f>VLOOKUP(A211,Medical_Examinations[],10,FALSE)</f>
        <v>Normal</v>
      </c>
      <c r="M211">
        <f>VLOOKUP(A211,Hospitalisation_Details__2[],4,FALSE)</f>
        <v>35595.589999999997</v>
      </c>
      <c r="N211" t="str">
        <f>VLOOKUP(A211,Hospitalisation_Details__2[],5,FALSE)</f>
        <v>tier - 2</v>
      </c>
      <c r="O211" t="str">
        <f>VLOOKUP(A211,Hospitalisation_Details__2[],6,FALSE)</f>
        <v>tier - 3</v>
      </c>
      <c r="P211" t="str">
        <f>VLOOKUP(A211,Hospitalisation_Details__2[],7,FALSE)</f>
        <v>R1013</v>
      </c>
    </row>
    <row r="212" spans="1:16" x14ac:dyDescent="0.35">
      <c r="A212" t="str">
        <v>Id211</v>
      </c>
      <c r="B212" t="str">
        <f>VLOOKUP(A212,'Customer Names (2)'!A:B, 2,FALSE)</f>
        <v>Mr</v>
      </c>
      <c r="C212">
        <f>VLOOKUP(A212,Medical_Examinations[],2,FALSE)</f>
        <v>35.6</v>
      </c>
      <c r="D212">
        <f>VLOOKUP(A212,Medical_Examinations[],3,FALSE)</f>
        <v>4.0199999999999996</v>
      </c>
      <c r="E212" t="str">
        <f>VLOOKUP(A212,Medical_Examinations[],4,FALSE)</f>
        <v>Yes</v>
      </c>
      <c r="F212" t="str">
        <f>VLOOKUP(A212,Medical_Examinations[],5,FALSE)</f>
        <v>yes</v>
      </c>
      <c r="G212" t="str">
        <f>VLOOKUP(A212,Medical_Examinations[],6,FALSE)</f>
        <v>No</v>
      </c>
      <c r="H212">
        <f>VLOOKUP(A212,Medical_Examinations[],7,FALSE)</f>
        <v>2</v>
      </c>
      <c r="I212" t="str">
        <f>VLOOKUP(A212,Medical_Examinations[],8,FALSE)</f>
        <v>Yes</v>
      </c>
      <c r="J212" t="str">
        <f>VLOOKUP(A212,Medical_Examinations[],9,FALSE)</f>
        <v>Obesity</v>
      </c>
      <c r="K212" t="str">
        <f>VLOOKUP(A212,Medical_Examinations[],10,FALSE)</f>
        <v>Normal</v>
      </c>
      <c r="M212">
        <f>VLOOKUP(A212,Hospitalisation_Details__2[],4,FALSE)</f>
        <v>35585.58</v>
      </c>
      <c r="N212" t="str">
        <f>VLOOKUP(A212,Hospitalisation_Details__2[],5,FALSE)</f>
        <v>tier - 2</v>
      </c>
      <c r="O212" t="str">
        <f>VLOOKUP(A212,Hospitalisation_Details__2[],6,FALSE)</f>
        <v>tier - 3</v>
      </c>
      <c r="P212" t="str">
        <f>VLOOKUP(A212,Hospitalisation_Details__2[],7,FALSE)</f>
        <v>R1011</v>
      </c>
    </row>
    <row r="213" spans="1:16" x14ac:dyDescent="0.35">
      <c r="A213" t="str">
        <v>Id212</v>
      </c>
      <c r="B213" t="str">
        <f>VLOOKUP(A213,'Customer Names (2)'!A:B, 2,FALSE)</f>
        <v>Mr</v>
      </c>
      <c r="C213">
        <f>VLOOKUP(A213,Medical_Examinations[],2,FALSE)</f>
        <v>34.39</v>
      </c>
      <c r="D213">
        <f>VLOOKUP(A213,Medical_Examinations[],3,FALSE)</f>
        <v>8.7200000000000006</v>
      </c>
      <c r="E213" t="str">
        <f>VLOOKUP(A213,Medical_Examinations[],4,FALSE)</f>
        <v>No</v>
      </c>
      <c r="F213" t="str">
        <f>VLOOKUP(A213,Medical_Examinations[],5,FALSE)</f>
        <v>No</v>
      </c>
      <c r="G213" t="str">
        <f>VLOOKUP(A213,Medical_Examinations[],6,FALSE)</f>
        <v>No</v>
      </c>
      <c r="H213">
        <f>VLOOKUP(A213,Medical_Examinations[],7,FALSE)</f>
        <v>0</v>
      </c>
      <c r="I213" t="str">
        <f>VLOOKUP(A213,Medical_Examinations[],8,FALSE)</f>
        <v>Yes</v>
      </c>
      <c r="J213" t="str">
        <f>VLOOKUP(A213,Medical_Examinations[],9,FALSE)</f>
        <v>Obesity</v>
      </c>
      <c r="K213" t="str">
        <f>VLOOKUP(A213,Medical_Examinations[],10,FALSE)</f>
        <v>Diabetes</v>
      </c>
      <c r="M213">
        <f>VLOOKUP(A213,Hospitalisation_Details__2[],4,FALSE)</f>
        <v>35583.17</v>
      </c>
      <c r="N213" t="str">
        <f>VLOOKUP(A213,Hospitalisation_Details__2[],5,FALSE)</f>
        <v>tier - 1</v>
      </c>
      <c r="O213" t="str">
        <f>VLOOKUP(A213,Hospitalisation_Details__2[],6,FALSE)</f>
        <v>tier - 3</v>
      </c>
      <c r="P213" t="str">
        <f>VLOOKUP(A213,Hospitalisation_Details__2[],7,FALSE)</f>
        <v>R1011</v>
      </c>
    </row>
    <row r="214" spans="1:16" x14ac:dyDescent="0.35">
      <c r="A214" t="str">
        <v>Id213</v>
      </c>
      <c r="B214" t="str">
        <f>VLOOKUP(A214,'Customer Names (2)'!A:B, 2,FALSE)</f>
        <v>Mr</v>
      </c>
      <c r="C214">
        <f>VLOOKUP(A214,Medical_Examinations[],2,FALSE)</f>
        <v>29.06</v>
      </c>
      <c r="D214">
        <f>VLOOKUP(A214,Medical_Examinations[],3,FALSE)</f>
        <v>6.25</v>
      </c>
      <c r="E214" t="str">
        <f>VLOOKUP(A214,Medical_Examinations[],4,FALSE)</f>
        <v>Yes</v>
      </c>
      <c r="F214" t="str">
        <f>VLOOKUP(A214,Medical_Examinations[],5,FALSE)</f>
        <v>No</v>
      </c>
      <c r="G214" t="str">
        <f>VLOOKUP(A214,Medical_Examinations[],6,FALSE)</f>
        <v>No</v>
      </c>
      <c r="H214">
        <f>VLOOKUP(A214,Medical_Examinations[],7,FALSE)</f>
        <v>1</v>
      </c>
      <c r="I214" t="str">
        <f>VLOOKUP(A214,Medical_Examinations[],8,FALSE)</f>
        <v>Yes</v>
      </c>
      <c r="J214" t="str">
        <f>VLOOKUP(A214,Medical_Examinations[],9,FALSE)</f>
        <v>Overweight</v>
      </c>
      <c r="K214" t="str">
        <f>VLOOKUP(A214,Medical_Examinations[],10,FALSE)</f>
        <v>Prediabetes</v>
      </c>
      <c r="M214">
        <f>VLOOKUP(A214,Hospitalisation_Details__2[],4,FALSE)</f>
        <v>35573.26</v>
      </c>
      <c r="N214" t="str">
        <f>VLOOKUP(A214,Hospitalisation_Details__2[],5,FALSE)</f>
        <v>tier - 2</v>
      </c>
      <c r="O214" t="str">
        <f>VLOOKUP(A214,Hospitalisation_Details__2[],6,FALSE)</f>
        <v>tier - 1</v>
      </c>
      <c r="P214" t="str">
        <f>VLOOKUP(A214,Hospitalisation_Details__2[],7,FALSE)</f>
        <v>R1011</v>
      </c>
    </row>
    <row r="215" spans="1:16" x14ac:dyDescent="0.35">
      <c r="A215" t="str">
        <v>Id214</v>
      </c>
      <c r="B215" t="str">
        <f>VLOOKUP(A215,'Customer Names (2)'!A:B, 2,FALSE)</f>
        <v>Mr</v>
      </c>
      <c r="C215">
        <f>VLOOKUP(A215,Medical_Examinations[],2,FALSE)</f>
        <v>35.799999999999997</v>
      </c>
      <c r="D215">
        <f>VLOOKUP(A215,Medical_Examinations[],3,FALSE)</f>
        <v>7.32</v>
      </c>
      <c r="E215" t="str">
        <f>VLOOKUP(A215,Medical_Examinations[],4,FALSE)</f>
        <v>No</v>
      </c>
      <c r="F215" t="str">
        <f>VLOOKUP(A215,Medical_Examinations[],5,FALSE)</f>
        <v>No</v>
      </c>
      <c r="G215" t="str">
        <f>VLOOKUP(A215,Medical_Examinations[],6,FALSE)</f>
        <v>No</v>
      </c>
      <c r="H215">
        <f>VLOOKUP(A215,Medical_Examinations[],7,FALSE)</f>
        <v>2</v>
      </c>
      <c r="I215" t="str">
        <f>VLOOKUP(A215,Medical_Examinations[],8,FALSE)</f>
        <v>Yes</v>
      </c>
      <c r="J215" t="str">
        <f>VLOOKUP(A215,Medical_Examinations[],9,FALSE)</f>
        <v>Obesity</v>
      </c>
      <c r="K215" t="str">
        <f>VLOOKUP(A215,Medical_Examinations[],10,FALSE)</f>
        <v>Diabetes</v>
      </c>
      <c r="M215">
        <f>VLOOKUP(A215,Hospitalisation_Details__2[],4,FALSE)</f>
        <v>35547.72</v>
      </c>
      <c r="N215" t="str">
        <f>VLOOKUP(A215,Hospitalisation_Details__2[],5,FALSE)</f>
        <v>tier - 1</v>
      </c>
      <c r="O215" t="str">
        <f>VLOOKUP(A215,Hospitalisation_Details__2[],6,FALSE)</f>
        <v>tier - 1</v>
      </c>
      <c r="P215" t="str">
        <f>VLOOKUP(A215,Hospitalisation_Details__2[],7,FALSE)</f>
        <v>R1011</v>
      </c>
    </row>
    <row r="216" spans="1:16" x14ac:dyDescent="0.35">
      <c r="A216" t="str">
        <v>Id215</v>
      </c>
      <c r="B216" t="str">
        <f>VLOOKUP(A216,'Customer Names (2)'!A:B, 2,FALSE)</f>
        <v>Ms</v>
      </c>
      <c r="C216">
        <f>VLOOKUP(A216,Medical_Examinations[],2,FALSE)</f>
        <v>49.8</v>
      </c>
      <c r="D216">
        <f>VLOOKUP(A216,Medical_Examinations[],3,FALSE)</f>
        <v>4.24</v>
      </c>
      <c r="E216" t="str">
        <f>VLOOKUP(A216,Medical_Examinations[],4,FALSE)</f>
        <v>No</v>
      </c>
      <c r="F216" t="str">
        <f>VLOOKUP(A216,Medical_Examinations[],5,FALSE)</f>
        <v>No</v>
      </c>
      <c r="G216" t="str">
        <f>VLOOKUP(A216,Medical_Examinations[],6,FALSE)</f>
        <v>No</v>
      </c>
      <c r="H216">
        <f>VLOOKUP(A216,Medical_Examinations[],7,FALSE)</f>
        <v>1</v>
      </c>
      <c r="I216" t="str">
        <f>VLOOKUP(A216,Medical_Examinations[],8,FALSE)</f>
        <v>Yes</v>
      </c>
      <c r="J216" t="str">
        <f>VLOOKUP(A216,Medical_Examinations[],9,FALSE)</f>
        <v>Obesity</v>
      </c>
      <c r="K216" t="str">
        <f>VLOOKUP(A216,Medical_Examinations[],10,FALSE)</f>
        <v>Normal</v>
      </c>
      <c r="M216">
        <f>VLOOKUP(A216,Hospitalisation_Details__2[],4,FALSE)</f>
        <v>35547.47</v>
      </c>
      <c r="N216" t="str">
        <f>VLOOKUP(A216,Hospitalisation_Details__2[],5,FALSE)</f>
        <v>tier - 2</v>
      </c>
      <c r="O216" t="str">
        <f>VLOOKUP(A216,Hospitalisation_Details__2[],6,FALSE)</f>
        <v>tier - 3</v>
      </c>
      <c r="P216" t="str">
        <f>VLOOKUP(A216,Hospitalisation_Details__2[],7,FALSE)</f>
        <v>R1011</v>
      </c>
    </row>
    <row r="217" spans="1:16" x14ac:dyDescent="0.35">
      <c r="A217" t="str">
        <v>Id216</v>
      </c>
      <c r="B217" t="str">
        <f>VLOOKUP(A217,'Customer Names (2)'!A:B, 2,FALSE)</f>
        <v>Mr</v>
      </c>
      <c r="C217">
        <f>VLOOKUP(A217,Medical_Examinations[],2,FALSE)</f>
        <v>35.71</v>
      </c>
      <c r="D217">
        <f>VLOOKUP(A217,Medical_Examinations[],3,FALSE)</f>
        <v>6.84</v>
      </c>
      <c r="E217" t="str">
        <f>VLOOKUP(A217,Medical_Examinations[],4,FALSE)</f>
        <v>No</v>
      </c>
      <c r="F217" t="str">
        <f>VLOOKUP(A217,Medical_Examinations[],5,FALSE)</f>
        <v>No</v>
      </c>
      <c r="G217" t="str">
        <f>VLOOKUP(A217,Medical_Examinations[],6,FALSE)</f>
        <v>No</v>
      </c>
      <c r="H217">
        <f>VLOOKUP(A217,Medical_Examinations[],7,FALSE)</f>
        <v>2</v>
      </c>
      <c r="I217" t="str">
        <f>VLOOKUP(A217,Medical_Examinations[],8,FALSE)</f>
        <v>Yes</v>
      </c>
      <c r="J217" t="str">
        <f>VLOOKUP(A217,Medical_Examinations[],9,FALSE)</f>
        <v>Obesity</v>
      </c>
      <c r="K217" t="str">
        <f>VLOOKUP(A217,Medical_Examinations[],10,FALSE)</f>
        <v>Diabetes</v>
      </c>
      <c r="M217">
        <f>VLOOKUP(A217,Hospitalisation_Details__2[],4,FALSE)</f>
        <v>35517.19</v>
      </c>
      <c r="N217" t="str">
        <f>VLOOKUP(A217,Hospitalisation_Details__2[],5,FALSE)</f>
        <v>tier - 2</v>
      </c>
      <c r="O217" t="str">
        <f>VLOOKUP(A217,Hospitalisation_Details__2[],6,FALSE)</f>
        <v>tier - 2</v>
      </c>
      <c r="P217" t="str">
        <f>VLOOKUP(A217,Hospitalisation_Details__2[],7,FALSE)</f>
        <v>R1011</v>
      </c>
    </row>
    <row r="218" spans="1:16" x14ac:dyDescent="0.35">
      <c r="A218" t="str">
        <v>Id217</v>
      </c>
      <c r="B218" t="str">
        <f>VLOOKUP(A218,'Customer Names (2)'!A:B, 2,FALSE)</f>
        <v>Mr</v>
      </c>
      <c r="C218">
        <f>VLOOKUP(A218,Medical_Examinations[],2,FALSE)</f>
        <v>30.8</v>
      </c>
      <c r="D218">
        <f>VLOOKUP(A218,Medical_Examinations[],3,FALSE)</f>
        <v>5.23</v>
      </c>
      <c r="E218" t="str">
        <f>VLOOKUP(A218,Medical_Examinations[],4,FALSE)</f>
        <v>Yes</v>
      </c>
      <c r="F218" t="str">
        <f>VLOOKUP(A218,Medical_Examinations[],5,FALSE)</f>
        <v>No</v>
      </c>
      <c r="G218" t="str">
        <f>VLOOKUP(A218,Medical_Examinations[],6,FALSE)</f>
        <v>No</v>
      </c>
      <c r="H218">
        <f>VLOOKUP(A218,Medical_Examinations[],7,FALSE)</f>
        <v>1</v>
      </c>
      <c r="I218" t="str">
        <f>VLOOKUP(A218,Medical_Examinations[],8,FALSE)</f>
        <v>Yes</v>
      </c>
      <c r="J218" t="str">
        <f>VLOOKUP(A218,Medical_Examinations[],9,FALSE)</f>
        <v>Obesity</v>
      </c>
      <c r="K218" t="str">
        <f>VLOOKUP(A218,Medical_Examinations[],10,FALSE)</f>
        <v>Normal</v>
      </c>
      <c r="M218">
        <f>VLOOKUP(A218,Hospitalisation_Details__2[],4,FALSE)</f>
        <v>35491.64</v>
      </c>
      <c r="N218" t="str">
        <f>VLOOKUP(A218,Hospitalisation_Details__2[],5,FALSE)</f>
        <v>tier - 1</v>
      </c>
      <c r="O218" t="str">
        <f>VLOOKUP(A218,Hospitalisation_Details__2[],6,FALSE)</f>
        <v>tier - 2</v>
      </c>
      <c r="P218" t="str">
        <f>VLOOKUP(A218,Hospitalisation_Details__2[],7,FALSE)</f>
        <v>R1011</v>
      </c>
    </row>
    <row r="219" spans="1:16" x14ac:dyDescent="0.35">
      <c r="A219" t="str">
        <v>Id218</v>
      </c>
      <c r="B219" t="str">
        <f>VLOOKUP(A219,'Customer Names (2)'!A:B, 2,FALSE)</f>
        <v>Mr</v>
      </c>
      <c r="C219">
        <f>VLOOKUP(A219,Medical_Examinations[],2,FALSE)</f>
        <v>33.69</v>
      </c>
      <c r="D219">
        <f>VLOOKUP(A219,Medical_Examinations[],3,FALSE)</f>
        <v>9.68</v>
      </c>
      <c r="E219" t="str">
        <f>VLOOKUP(A219,Medical_Examinations[],4,FALSE)</f>
        <v>No</v>
      </c>
      <c r="F219" t="str">
        <f>VLOOKUP(A219,Medical_Examinations[],5,FALSE)</f>
        <v>No</v>
      </c>
      <c r="G219" t="str">
        <f>VLOOKUP(A219,Medical_Examinations[],6,FALSE)</f>
        <v>No</v>
      </c>
      <c r="H219">
        <f>VLOOKUP(A219,Medical_Examinations[],7,FALSE)</f>
        <v>0</v>
      </c>
      <c r="I219" t="str">
        <f>VLOOKUP(A219,Medical_Examinations[],8,FALSE)</f>
        <v>Yes</v>
      </c>
      <c r="J219" t="str">
        <f>VLOOKUP(A219,Medical_Examinations[],9,FALSE)</f>
        <v>Obesity</v>
      </c>
      <c r="K219" t="str">
        <f>VLOOKUP(A219,Medical_Examinations[],10,FALSE)</f>
        <v>Diabetes</v>
      </c>
      <c r="M219">
        <f>VLOOKUP(A219,Hospitalisation_Details__2[],4,FALSE)</f>
        <v>35345.730000000003</v>
      </c>
      <c r="N219" t="str">
        <f>VLOOKUP(A219,Hospitalisation_Details__2[],5,FALSE)</f>
        <v>tier - 2</v>
      </c>
      <c r="O219" t="str">
        <f>VLOOKUP(A219,Hospitalisation_Details__2[],6,FALSE)</f>
        <v>tier - 3</v>
      </c>
      <c r="P219" t="str">
        <f>VLOOKUP(A219,Hospitalisation_Details__2[],7,FALSE)</f>
        <v>R1011</v>
      </c>
    </row>
    <row r="220" spans="1:16" x14ac:dyDescent="0.35">
      <c r="A220" t="str">
        <v>Id219</v>
      </c>
      <c r="B220" t="str">
        <f>VLOOKUP(A220,'Customer Names (2)'!A:B, 2,FALSE)</f>
        <v>Mr</v>
      </c>
      <c r="C220">
        <f>VLOOKUP(A220,Medical_Examinations[],2,FALSE)</f>
        <v>42.27</v>
      </c>
      <c r="D220">
        <f>VLOOKUP(A220,Medical_Examinations[],3,FALSE)</f>
        <v>6.05</v>
      </c>
      <c r="E220" t="str">
        <f>VLOOKUP(A220,Medical_Examinations[],4,FALSE)</f>
        <v>Yes</v>
      </c>
      <c r="F220" t="str">
        <f>VLOOKUP(A220,Medical_Examinations[],5,FALSE)</f>
        <v>No</v>
      </c>
      <c r="G220" t="str">
        <f>VLOOKUP(A220,Medical_Examinations[],6,FALSE)</f>
        <v>No</v>
      </c>
      <c r="H220">
        <f>VLOOKUP(A220,Medical_Examinations[],7,FALSE)</f>
        <v>1</v>
      </c>
      <c r="I220" t="str">
        <f>VLOOKUP(A220,Medical_Examinations[],8,FALSE)</f>
        <v>Yes</v>
      </c>
      <c r="J220" t="str">
        <f>VLOOKUP(A220,Medical_Examinations[],9,FALSE)</f>
        <v>Obesity</v>
      </c>
      <c r="K220" t="str">
        <f>VLOOKUP(A220,Medical_Examinations[],10,FALSE)</f>
        <v>Prediabetes</v>
      </c>
      <c r="M220">
        <f>VLOOKUP(A220,Hospitalisation_Details__2[],4,FALSE)</f>
        <v>35315.96</v>
      </c>
      <c r="N220" t="str">
        <f>VLOOKUP(A220,Hospitalisation_Details__2[],5,FALSE)</f>
        <v>tier - 2</v>
      </c>
      <c r="O220" t="str">
        <f>VLOOKUP(A220,Hospitalisation_Details__2[],6,FALSE)</f>
        <v>tier - 1</v>
      </c>
      <c r="P220" t="str">
        <f>VLOOKUP(A220,Hospitalisation_Details__2[],7,FALSE)</f>
        <v>R1011</v>
      </c>
    </row>
    <row r="221" spans="1:16" x14ac:dyDescent="0.35">
      <c r="A221" t="str">
        <v>Id220</v>
      </c>
      <c r="B221" t="str">
        <f>VLOOKUP(A221,'Customer Names (2)'!A:B, 2,FALSE)</f>
        <v>Mr</v>
      </c>
      <c r="C221">
        <f>VLOOKUP(A221,Medical_Examinations[],2,FALSE)</f>
        <v>53.25</v>
      </c>
      <c r="D221">
        <f>VLOOKUP(A221,Medical_Examinations[],3,FALSE)</f>
        <v>6.11</v>
      </c>
      <c r="E221" t="str">
        <f>VLOOKUP(A221,Medical_Examinations[],4,FALSE)</f>
        <v>Yes</v>
      </c>
      <c r="F221" t="str">
        <f>VLOOKUP(A221,Medical_Examinations[],5,FALSE)</f>
        <v>No</v>
      </c>
      <c r="G221" t="str">
        <f>VLOOKUP(A221,Medical_Examinations[],6,FALSE)</f>
        <v>Yes</v>
      </c>
      <c r="H221">
        <f>VLOOKUP(A221,Medical_Examinations[],7,FALSE)</f>
        <v>1</v>
      </c>
      <c r="I221" t="str">
        <f>VLOOKUP(A221,Medical_Examinations[],8,FALSE)</f>
        <v>Yes</v>
      </c>
      <c r="J221" t="str">
        <f>VLOOKUP(A221,Medical_Examinations[],9,FALSE)</f>
        <v>Obesity</v>
      </c>
      <c r="K221" t="str">
        <f>VLOOKUP(A221,Medical_Examinations[],10,FALSE)</f>
        <v>Prediabetes</v>
      </c>
      <c r="M221">
        <f>VLOOKUP(A221,Hospitalisation_Details__2[],4,FALSE)</f>
        <v>35302.089999999997</v>
      </c>
      <c r="N221" t="str">
        <f>VLOOKUP(A221,Hospitalisation_Details__2[],5,FALSE)</f>
        <v>tier - 1</v>
      </c>
      <c r="O221" t="str">
        <f>VLOOKUP(A221,Hospitalisation_Details__2[],6,FALSE)</f>
        <v>tier - 2</v>
      </c>
      <c r="P221" t="str">
        <f>VLOOKUP(A221,Hospitalisation_Details__2[],7,FALSE)</f>
        <v>R1011</v>
      </c>
    </row>
    <row r="222" spans="1:16" x14ac:dyDescent="0.35">
      <c r="A222" t="str">
        <v>Id221</v>
      </c>
      <c r="B222" t="str">
        <f>VLOOKUP(A222,'Customer Names (2)'!A:B, 2,FALSE)</f>
        <v>Ms</v>
      </c>
      <c r="C222">
        <f>VLOOKUP(A222,Medical_Examinations[],2,FALSE)</f>
        <v>26.8</v>
      </c>
      <c r="D222">
        <f>VLOOKUP(A222,Medical_Examinations[],3,FALSE)</f>
        <v>10.93</v>
      </c>
      <c r="E222" t="str">
        <f>VLOOKUP(A222,Medical_Examinations[],4,FALSE)</f>
        <v>Yes</v>
      </c>
      <c r="F222" t="str">
        <f>VLOOKUP(A222,Medical_Examinations[],5,FALSE)</f>
        <v>No</v>
      </c>
      <c r="G222" t="str">
        <f>VLOOKUP(A222,Medical_Examinations[],6,FALSE)</f>
        <v>No</v>
      </c>
      <c r="H222">
        <f>VLOOKUP(A222,Medical_Examinations[],7,FALSE)</f>
        <v>0</v>
      </c>
      <c r="I222" t="str">
        <f>VLOOKUP(A222,Medical_Examinations[],8,FALSE)</f>
        <v>No</v>
      </c>
      <c r="J222" t="str">
        <f>VLOOKUP(A222,Medical_Examinations[],9,FALSE)</f>
        <v>Overweight</v>
      </c>
      <c r="K222" t="str">
        <f>VLOOKUP(A222,Medical_Examinations[],10,FALSE)</f>
        <v>Diabetes</v>
      </c>
      <c r="M222">
        <f>VLOOKUP(A222,Hospitalisation_Details__2[],4,FALSE)</f>
        <v>35160.129999999997</v>
      </c>
      <c r="N222" t="str">
        <f>VLOOKUP(A222,Hospitalisation_Details__2[],5,FALSE)</f>
        <v>tier - 2</v>
      </c>
      <c r="O222" t="str">
        <f>VLOOKUP(A222,Hospitalisation_Details__2[],6,FALSE)</f>
        <v>tier - 2</v>
      </c>
      <c r="P222" t="str">
        <f>VLOOKUP(A222,Hospitalisation_Details__2[],7,FALSE)</f>
        <v>R1011</v>
      </c>
    </row>
    <row r="223" spans="1:16" x14ac:dyDescent="0.35">
      <c r="A223" t="str">
        <v>Id222</v>
      </c>
      <c r="B223" t="str">
        <f>VLOOKUP(A223,'Customer Names (2)'!A:B, 2,FALSE)</f>
        <v>Mr</v>
      </c>
      <c r="C223">
        <f>VLOOKUP(A223,Medical_Examinations[],2,FALSE)</f>
        <v>28.5</v>
      </c>
      <c r="D223">
        <f>VLOOKUP(A223,Medical_Examinations[],3,FALSE)</f>
        <v>5.12</v>
      </c>
      <c r="E223" t="str">
        <f>VLOOKUP(A223,Medical_Examinations[],4,FALSE)</f>
        <v>No</v>
      </c>
      <c r="F223" t="str">
        <f>VLOOKUP(A223,Medical_Examinations[],5,FALSE)</f>
        <v>No</v>
      </c>
      <c r="G223" t="str">
        <f>VLOOKUP(A223,Medical_Examinations[],6,FALSE)</f>
        <v>No</v>
      </c>
      <c r="H223">
        <f>VLOOKUP(A223,Medical_Examinations[],7,FALSE)</f>
        <v>1</v>
      </c>
      <c r="I223" t="str">
        <f>VLOOKUP(A223,Medical_Examinations[],8,FALSE)</f>
        <v>Yes</v>
      </c>
      <c r="J223" t="str">
        <f>VLOOKUP(A223,Medical_Examinations[],9,FALSE)</f>
        <v>Overweight</v>
      </c>
      <c r="K223" t="str">
        <f>VLOOKUP(A223,Medical_Examinations[],10,FALSE)</f>
        <v>Normal</v>
      </c>
      <c r="M223">
        <f>VLOOKUP(A223,Hospitalisation_Details__2[],4,FALSE)</f>
        <v>35147.53</v>
      </c>
      <c r="N223" t="str">
        <f>VLOOKUP(A223,Hospitalisation_Details__2[],5,FALSE)</f>
        <v>tier - 1</v>
      </c>
      <c r="O223" t="str">
        <f>VLOOKUP(A223,Hospitalisation_Details__2[],6,FALSE)</f>
        <v>tier - 1</v>
      </c>
      <c r="P223" t="str">
        <f>VLOOKUP(A223,Hospitalisation_Details__2[],7,FALSE)</f>
        <v>R1016</v>
      </c>
    </row>
    <row r="224" spans="1:16" x14ac:dyDescent="0.35">
      <c r="A224" t="str">
        <v>Id223</v>
      </c>
      <c r="B224" t="str">
        <f>VLOOKUP(A224,'Customer Names (2)'!A:B, 2,FALSE)</f>
        <v>Mr</v>
      </c>
      <c r="C224">
        <f>VLOOKUP(A224,Medical_Examinations[],2,FALSE)</f>
        <v>22.895</v>
      </c>
      <c r="D224">
        <f>VLOOKUP(A224,Medical_Examinations[],3,FALSE)</f>
        <v>5.72</v>
      </c>
      <c r="E224" t="str">
        <f>VLOOKUP(A224,Medical_Examinations[],4,FALSE)</f>
        <v>No</v>
      </c>
      <c r="F224" t="str">
        <f>VLOOKUP(A224,Medical_Examinations[],5,FALSE)</f>
        <v>No</v>
      </c>
      <c r="G224" t="str">
        <f>VLOOKUP(A224,Medical_Examinations[],6,FALSE)</f>
        <v>No</v>
      </c>
      <c r="H224">
        <f>VLOOKUP(A224,Medical_Examinations[],7,FALSE)</f>
        <v>0</v>
      </c>
      <c r="I224" t="str">
        <f>VLOOKUP(A224,Medical_Examinations[],8,FALSE)</f>
        <v>Yes</v>
      </c>
      <c r="J224" t="str">
        <f>VLOOKUP(A224,Medical_Examinations[],9,FALSE)</f>
        <v>Normal Weight</v>
      </c>
      <c r="K224" t="str">
        <f>VLOOKUP(A224,Medical_Examinations[],10,FALSE)</f>
        <v>Prediabetes</v>
      </c>
      <c r="M224">
        <f>VLOOKUP(A224,Hospitalisation_Details__2[],4,FALSE)</f>
        <v>35069.370000000003</v>
      </c>
      <c r="N224" t="str">
        <f>VLOOKUP(A224,Hospitalisation_Details__2[],5,FALSE)</f>
        <v>tier - 1</v>
      </c>
      <c r="O224" t="str">
        <f>VLOOKUP(A224,Hospitalisation_Details__2[],6,FALSE)</f>
        <v>tier - 1</v>
      </c>
      <c r="P224" t="str">
        <f>VLOOKUP(A224,Hospitalisation_Details__2[],7,FALSE)</f>
        <v>R1017</v>
      </c>
    </row>
    <row r="225" spans="1:16" x14ac:dyDescent="0.35">
      <c r="A225" t="str">
        <v>Id224</v>
      </c>
      <c r="B225" t="str">
        <f>VLOOKUP(A225,'Customer Names (2)'!A:B, 2,FALSE)</f>
        <v>Ms</v>
      </c>
      <c r="C225">
        <f>VLOOKUP(A225,Medical_Examinations[],2,FALSE)</f>
        <v>34.06</v>
      </c>
      <c r="D225">
        <f>VLOOKUP(A225,Medical_Examinations[],3,FALSE)</f>
        <v>11.83</v>
      </c>
      <c r="E225" t="str">
        <f>VLOOKUP(A225,Medical_Examinations[],4,FALSE)</f>
        <v>Yes</v>
      </c>
      <c r="F225" t="str">
        <f>VLOOKUP(A225,Medical_Examinations[],5,FALSE)</f>
        <v>No</v>
      </c>
      <c r="G225" t="str">
        <f>VLOOKUP(A225,Medical_Examinations[],6,FALSE)</f>
        <v>No</v>
      </c>
      <c r="H225">
        <f>VLOOKUP(A225,Medical_Examinations[],7,FALSE)</f>
        <v>1</v>
      </c>
      <c r="I225" t="str">
        <f>VLOOKUP(A225,Medical_Examinations[],8,FALSE)</f>
        <v>Yes</v>
      </c>
      <c r="J225" t="str">
        <f>VLOOKUP(A225,Medical_Examinations[],9,FALSE)</f>
        <v>Obesity</v>
      </c>
      <c r="K225" t="str">
        <f>VLOOKUP(A225,Medical_Examinations[],10,FALSE)</f>
        <v>Diabetes</v>
      </c>
      <c r="M225">
        <f>VLOOKUP(A225,Hospitalisation_Details__2[],4,FALSE)</f>
        <v>35050.620000000003</v>
      </c>
      <c r="N225" t="str">
        <f>VLOOKUP(A225,Hospitalisation_Details__2[],5,FALSE)</f>
        <v>tier - 2</v>
      </c>
      <c r="O225" t="str">
        <f>VLOOKUP(A225,Hospitalisation_Details__2[],6,FALSE)</f>
        <v>tier - 1</v>
      </c>
      <c r="P225" t="str">
        <f>VLOOKUP(A225,Hospitalisation_Details__2[],7,FALSE)</f>
        <v>R1011</v>
      </c>
    </row>
    <row r="226" spans="1:16" x14ac:dyDescent="0.35">
      <c r="A226" t="str">
        <v>Id225</v>
      </c>
      <c r="B226" t="str">
        <f>VLOOKUP(A226,'Customer Names (2)'!A:B, 2,FALSE)</f>
        <v>Ms</v>
      </c>
      <c r="C226">
        <f>VLOOKUP(A226,Medical_Examinations[],2,FALSE)</f>
        <v>36.409999999999997</v>
      </c>
      <c r="D226">
        <f>VLOOKUP(A226,Medical_Examinations[],3,FALSE)</f>
        <v>4.55</v>
      </c>
      <c r="E226" t="str">
        <f>VLOOKUP(A226,Medical_Examinations[],4,FALSE)</f>
        <v>No</v>
      </c>
      <c r="F226" t="str">
        <f>VLOOKUP(A226,Medical_Examinations[],5,FALSE)</f>
        <v>No</v>
      </c>
      <c r="G226" t="str">
        <f>VLOOKUP(A226,Medical_Examinations[],6,FALSE)</f>
        <v>No</v>
      </c>
      <c r="H226">
        <f>VLOOKUP(A226,Medical_Examinations[],7,FALSE)</f>
        <v>0</v>
      </c>
      <c r="I226" t="str">
        <f>VLOOKUP(A226,Medical_Examinations[],8,FALSE)</f>
        <v>Yes</v>
      </c>
      <c r="J226" t="str">
        <f>VLOOKUP(A226,Medical_Examinations[],9,FALSE)</f>
        <v>Obesity</v>
      </c>
      <c r="K226" t="str">
        <f>VLOOKUP(A226,Medical_Examinations[],10,FALSE)</f>
        <v>Normal</v>
      </c>
      <c r="M226">
        <f>VLOOKUP(A226,Hospitalisation_Details__2[],4,FALSE)</f>
        <v>35000.730000000003</v>
      </c>
      <c r="N226" t="str">
        <f>VLOOKUP(A226,Hospitalisation_Details__2[],5,FALSE)</f>
        <v>tier - 2</v>
      </c>
      <c r="O226" t="str">
        <f>VLOOKUP(A226,Hospitalisation_Details__2[],6,FALSE)</f>
        <v>tier - 3</v>
      </c>
      <c r="P226" t="str">
        <f>VLOOKUP(A226,Hospitalisation_Details__2[],7,FALSE)</f>
        <v>R1011</v>
      </c>
    </row>
    <row r="227" spans="1:16" x14ac:dyDescent="0.35">
      <c r="A227" t="str">
        <v>Id226</v>
      </c>
      <c r="B227" t="str">
        <f>VLOOKUP(A227,'Customer Names (2)'!A:B, 2,FALSE)</f>
        <v>Mr</v>
      </c>
      <c r="C227">
        <f>VLOOKUP(A227,Medical_Examinations[],2,FALSE)</f>
        <v>52.3</v>
      </c>
      <c r="D227">
        <f>VLOOKUP(A227,Medical_Examinations[],3,FALSE)</f>
        <v>4.87</v>
      </c>
      <c r="E227" t="str">
        <f>VLOOKUP(A227,Medical_Examinations[],4,FALSE)</f>
        <v>Yes</v>
      </c>
      <c r="F227" t="str">
        <f>VLOOKUP(A227,Medical_Examinations[],5,FALSE)</f>
        <v>No</v>
      </c>
      <c r="G227" t="str">
        <f>VLOOKUP(A227,Medical_Examinations[],6,FALSE)</f>
        <v>Yes</v>
      </c>
      <c r="H227">
        <f>VLOOKUP(A227,Medical_Examinations[],7,FALSE)</f>
        <v>1</v>
      </c>
      <c r="I227" t="str">
        <f>VLOOKUP(A227,Medical_Examinations[],8,FALSE)</f>
        <v>Yes</v>
      </c>
      <c r="J227" t="str">
        <f>VLOOKUP(A227,Medical_Examinations[],9,FALSE)</f>
        <v>Obesity</v>
      </c>
      <c r="K227" t="str">
        <f>VLOOKUP(A227,Medical_Examinations[],10,FALSE)</f>
        <v>Normal</v>
      </c>
      <c r="M227">
        <f>VLOOKUP(A227,Hospitalisation_Details__2[],4,FALSE)</f>
        <v>34979.86</v>
      </c>
      <c r="N227" t="str">
        <f>VLOOKUP(A227,Hospitalisation_Details__2[],5,FALSE)</f>
        <v>tier - 2</v>
      </c>
      <c r="O227" t="str">
        <f>VLOOKUP(A227,Hospitalisation_Details__2[],6,FALSE)</f>
        <v>tier - 2</v>
      </c>
      <c r="P227" t="str">
        <f>VLOOKUP(A227,Hospitalisation_Details__2[],7,FALSE)</f>
        <v>R1011</v>
      </c>
    </row>
    <row r="228" spans="1:16" x14ac:dyDescent="0.35">
      <c r="A228" t="str">
        <v>Id227</v>
      </c>
      <c r="B228" t="str">
        <f>VLOOKUP(A228,'Customer Names (2)'!A:B, 2,FALSE)</f>
        <v>Ms</v>
      </c>
      <c r="C228">
        <f>VLOOKUP(A228,Medical_Examinations[],2,FALSE)</f>
        <v>52.66</v>
      </c>
      <c r="D228">
        <f>VLOOKUP(A228,Medical_Examinations[],3,FALSE)</f>
        <v>4.45</v>
      </c>
      <c r="E228" t="str">
        <f>VLOOKUP(A228,Medical_Examinations[],4,FALSE)</f>
        <v>No</v>
      </c>
      <c r="F228" t="str">
        <f>VLOOKUP(A228,Medical_Examinations[],5,FALSE)</f>
        <v>No</v>
      </c>
      <c r="G228" t="str">
        <f>VLOOKUP(A228,Medical_Examinations[],6,FALSE)</f>
        <v>No</v>
      </c>
      <c r="H228">
        <f>VLOOKUP(A228,Medical_Examinations[],7,FALSE)</f>
        <v>1</v>
      </c>
      <c r="I228" t="str">
        <f>VLOOKUP(A228,Medical_Examinations[],8,FALSE)</f>
        <v>Yes</v>
      </c>
      <c r="J228" t="str">
        <f>VLOOKUP(A228,Medical_Examinations[],9,FALSE)</f>
        <v>Obesity</v>
      </c>
      <c r="K228" t="str">
        <f>VLOOKUP(A228,Medical_Examinations[],10,FALSE)</f>
        <v>Normal</v>
      </c>
      <c r="M228">
        <f>VLOOKUP(A228,Hospitalisation_Details__2[],4,FALSE)</f>
        <v>34976.42</v>
      </c>
      <c r="N228" t="str">
        <f>VLOOKUP(A228,Hospitalisation_Details__2[],5,FALSE)</f>
        <v>tier - 2</v>
      </c>
      <c r="O228" t="str">
        <f>VLOOKUP(A228,Hospitalisation_Details__2[],6,FALSE)</f>
        <v>tier - 1</v>
      </c>
      <c r="P228" t="str">
        <f>VLOOKUP(A228,Hospitalisation_Details__2[],7,FALSE)</f>
        <v>R1011</v>
      </c>
    </row>
    <row r="229" spans="1:16" x14ac:dyDescent="0.35">
      <c r="A229" t="str">
        <v>Id228</v>
      </c>
      <c r="B229" t="str">
        <f>VLOOKUP(A229,'Customer Names (2)'!A:B, 2,FALSE)</f>
        <v>Mr</v>
      </c>
      <c r="C229">
        <f>VLOOKUP(A229,Medical_Examinations[],2,FALSE)</f>
        <v>29.57</v>
      </c>
      <c r="D229">
        <f>VLOOKUP(A229,Medical_Examinations[],3,FALSE)</f>
        <v>9.42</v>
      </c>
      <c r="E229" t="str">
        <f>VLOOKUP(A229,Medical_Examinations[],4,FALSE)</f>
        <v>Yes</v>
      </c>
      <c r="F229" t="str">
        <f>VLOOKUP(A229,Medical_Examinations[],5,FALSE)</f>
        <v>No</v>
      </c>
      <c r="G229" t="str">
        <f>VLOOKUP(A229,Medical_Examinations[],6,FALSE)</f>
        <v>No</v>
      </c>
      <c r="H229">
        <f>VLOOKUP(A229,Medical_Examinations[],7,FALSE)</f>
        <v>0</v>
      </c>
      <c r="I229" t="str">
        <f>VLOOKUP(A229,Medical_Examinations[],8,FALSE)</f>
        <v>Yes</v>
      </c>
      <c r="J229" t="str">
        <f>VLOOKUP(A229,Medical_Examinations[],9,FALSE)</f>
        <v>Overweight</v>
      </c>
      <c r="K229" t="str">
        <f>VLOOKUP(A229,Medical_Examinations[],10,FALSE)</f>
        <v>Diabetes</v>
      </c>
      <c r="M229">
        <f>VLOOKUP(A229,Hospitalisation_Details__2[],4,FALSE)</f>
        <v>34975.68</v>
      </c>
      <c r="N229" t="str">
        <f>VLOOKUP(A229,Hospitalisation_Details__2[],5,FALSE)</f>
        <v>tier - 2</v>
      </c>
      <c r="O229" t="str">
        <f>VLOOKUP(A229,Hospitalisation_Details__2[],6,FALSE)</f>
        <v>tier - 2</v>
      </c>
      <c r="P229" t="str">
        <f>VLOOKUP(A229,Hospitalisation_Details__2[],7,FALSE)</f>
        <v>R1011</v>
      </c>
    </row>
    <row r="230" spans="1:16" x14ac:dyDescent="0.35">
      <c r="A230" t="str">
        <v>Id229</v>
      </c>
      <c r="B230" t="str">
        <f>VLOOKUP(A230,'Customer Names (2)'!A:B, 2,FALSE)</f>
        <v>Ms</v>
      </c>
      <c r="C230">
        <f>VLOOKUP(A230,Medical_Examinations[],2,FALSE)</f>
        <v>36.99</v>
      </c>
      <c r="D230">
        <f>VLOOKUP(A230,Medical_Examinations[],3,FALSE)</f>
        <v>5.37</v>
      </c>
      <c r="E230" t="str">
        <f>VLOOKUP(A230,Medical_Examinations[],4,FALSE)</f>
        <v>Yes</v>
      </c>
      <c r="F230" t="str">
        <f>VLOOKUP(A230,Medical_Examinations[],5,FALSE)</f>
        <v>No</v>
      </c>
      <c r="G230" t="str">
        <f>VLOOKUP(A230,Medical_Examinations[],6,FALSE)</f>
        <v>Yes</v>
      </c>
      <c r="H230">
        <f>VLOOKUP(A230,Medical_Examinations[],7,FALSE)</f>
        <v>1</v>
      </c>
      <c r="I230" t="str">
        <f>VLOOKUP(A230,Medical_Examinations[],8,FALSE)</f>
        <v>Yes</v>
      </c>
      <c r="J230" t="str">
        <f>VLOOKUP(A230,Medical_Examinations[],9,FALSE)</f>
        <v>Obesity</v>
      </c>
      <c r="K230" t="str">
        <f>VLOOKUP(A230,Medical_Examinations[],10,FALSE)</f>
        <v>Normal</v>
      </c>
      <c r="M230">
        <f>VLOOKUP(A230,Hospitalisation_Details__2[],4,FALSE)</f>
        <v>34940.61</v>
      </c>
      <c r="N230" t="str">
        <f>VLOOKUP(A230,Hospitalisation_Details__2[],5,FALSE)</f>
        <v>tier - 2</v>
      </c>
      <c r="O230" t="str">
        <f>VLOOKUP(A230,Hospitalisation_Details__2[],6,FALSE)</f>
        <v>tier - 3</v>
      </c>
      <c r="P230" t="str">
        <f>VLOOKUP(A230,Hospitalisation_Details__2[],7,FALSE)</f>
        <v>R1011</v>
      </c>
    </row>
    <row r="231" spans="1:16" x14ac:dyDescent="0.35">
      <c r="A231" t="str">
        <v>Id230</v>
      </c>
      <c r="B231" t="str">
        <f>VLOOKUP(A231,'Customer Names (2)'!A:B, 2,FALSE)</f>
        <v>Ms</v>
      </c>
      <c r="C231">
        <f>VLOOKUP(A231,Medical_Examinations[],2,FALSE)</f>
        <v>31.4</v>
      </c>
      <c r="D231">
        <f>VLOOKUP(A231,Medical_Examinations[],3,FALSE)</f>
        <v>4.5999999999999996</v>
      </c>
      <c r="E231" t="str">
        <f>VLOOKUP(A231,Medical_Examinations[],4,FALSE)</f>
        <v>Yes</v>
      </c>
      <c r="F231" t="str">
        <f>VLOOKUP(A231,Medical_Examinations[],5,FALSE)</f>
        <v>No</v>
      </c>
      <c r="G231" t="str">
        <f>VLOOKUP(A231,Medical_Examinations[],6,FALSE)</f>
        <v>No</v>
      </c>
      <c r="H231">
        <f>VLOOKUP(A231,Medical_Examinations[],7,FALSE)</f>
        <v>1</v>
      </c>
      <c r="I231" t="str">
        <f>VLOOKUP(A231,Medical_Examinations[],8,FALSE)</f>
        <v>Yes</v>
      </c>
      <c r="J231" t="str">
        <f>VLOOKUP(A231,Medical_Examinations[],9,FALSE)</f>
        <v>Obesity</v>
      </c>
      <c r="K231" t="str">
        <f>VLOOKUP(A231,Medical_Examinations[],10,FALSE)</f>
        <v>Normal</v>
      </c>
      <c r="M231">
        <f>VLOOKUP(A231,Hospitalisation_Details__2[],4,FALSE)</f>
        <v>34838.870000000003</v>
      </c>
      <c r="N231" t="str">
        <f>VLOOKUP(A231,Hospitalisation_Details__2[],5,FALSE)</f>
        <v>tier - 2</v>
      </c>
      <c r="O231" t="str">
        <f>VLOOKUP(A231,Hospitalisation_Details__2[],6,FALSE)</f>
        <v>tier - 3</v>
      </c>
      <c r="P231" t="str">
        <f>VLOOKUP(A231,Hospitalisation_Details__2[],7,FALSE)</f>
        <v>R1011</v>
      </c>
    </row>
    <row r="232" spans="1:16" x14ac:dyDescent="0.35">
      <c r="A232" t="str">
        <v>Id231</v>
      </c>
      <c r="B232" t="str">
        <f>VLOOKUP(A232,'Customer Names (2)'!A:B, 2,FALSE)</f>
        <v>Mr</v>
      </c>
      <c r="C232">
        <f>VLOOKUP(A232,Medical_Examinations[],2,FALSE)</f>
        <v>34.9</v>
      </c>
      <c r="D232">
        <f>VLOOKUP(A232,Medical_Examinations[],3,FALSE)</f>
        <v>6.22</v>
      </c>
      <c r="E232" t="str">
        <f>VLOOKUP(A232,Medical_Examinations[],4,FALSE)</f>
        <v>No</v>
      </c>
      <c r="F232" t="str">
        <f>VLOOKUP(A232,Medical_Examinations[],5,FALSE)</f>
        <v>No</v>
      </c>
      <c r="G232" t="str">
        <f>VLOOKUP(A232,Medical_Examinations[],6,FALSE)</f>
        <v>Yes</v>
      </c>
      <c r="H232">
        <f>VLOOKUP(A232,Medical_Examinations[],7,FALSE)</f>
        <v>1</v>
      </c>
      <c r="I232" t="str">
        <f>VLOOKUP(A232,Medical_Examinations[],8,FALSE)</f>
        <v>Yes</v>
      </c>
      <c r="J232" t="str">
        <f>VLOOKUP(A232,Medical_Examinations[],9,FALSE)</f>
        <v>Obesity</v>
      </c>
      <c r="K232" t="str">
        <f>VLOOKUP(A232,Medical_Examinations[],10,FALSE)</f>
        <v>Prediabetes</v>
      </c>
      <c r="M232">
        <f>VLOOKUP(A232,Hospitalisation_Details__2[],4,FALSE)</f>
        <v>34828.65</v>
      </c>
      <c r="N232" t="str">
        <f>VLOOKUP(A232,Hospitalisation_Details__2[],5,FALSE)</f>
        <v>tier - 1</v>
      </c>
      <c r="O232" t="str">
        <f>VLOOKUP(A232,Hospitalisation_Details__2[],6,FALSE)</f>
        <v>tier - 3</v>
      </c>
      <c r="P232" t="str">
        <f>VLOOKUP(A232,Hospitalisation_Details__2[],7,FALSE)</f>
        <v>R1011</v>
      </c>
    </row>
    <row r="233" spans="1:16" x14ac:dyDescent="0.35">
      <c r="A233" t="str">
        <v>Id232</v>
      </c>
      <c r="B233" t="str">
        <f>VLOOKUP(A233,'Customer Names (2)'!A:B, 2,FALSE)</f>
        <v>Mr</v>
      </c>
      <c r="C233">
        <f>VLOOKUP(A233,Medical_Examinations[],2,FALSE)</f>
        <v>31.13</v>
      </c>
      <c r="D233">
        <f>VLOOKUP(A233,Medical_Examinations[],3,FALSE)</f>
        <v>4.5199999999999996</v>
      </c>
      <c r="E233" t="str">
        <f>VLOOKUP(A233,Medical_Examinations[],4,FALSE)</f>
        <v>Yes</v>
      </c>
      <c r="F233" t="str">
        <f>VLOOKUP(A233,Medical_Examinations[],5,FALSE)</f>
        <v>No</v>
      </c>
      <c r="G233" t="str">
        <f>VLOOKUP(A233,Medical_Examinations[],6,FALSE)</f>
        <v>No</v>
      </c>
      <c r="H233">
        <f>VLOOKUP(A233,Medical_Examinations[],7,FALSE)</f>
        <v>1</v>
      </c>
      <c r="I233" t="str">
        <f>VLOOKUP(A233,Medical_Examinations[],8,FALSE)</f>
        <v>Yes</v>
      </c>
      <c r="J233" t="str">
        <f>VLOOKUP(A233,Medical_Examinations[],9,FALSE)</f>
        <v>Obesity</v>
      </c>
      <c r="K233" t="str">
        <f>VLOOKUP(A233,Medical_Examinations[],10,FALSE)</f>
        <v>Normal</v>
      </c>
      <c r="M233">
        <f>VLOOKUP(A233,Hospitalisation_Details__2[],4,FALSE)</f>
        <v>34806.47</v>
      </c>
      <c r="N233" t="str">
        <f>VLOOKUP(A233,Hospitalisation_Details__2[],5,FALSE)</f>
        <v>tier - 1</v>
      </c>
      <c r="O233" t="str">
        <f>VLOOKUP(A233,Hospitalisation_Details__2[],6,FALSE)</f>
        <v>tier - 2</v>
      </c>
      <c r="P233" t="str">
        <f>VLOOKUP(A233,Hospitalisation_Details__2[],7,FALSE)</f>
        <v>R1013</v>
      </c>
    </row>
    <row r="234" spans="1:16" x14ac:dyDescent="0.35">
      <c r="A234" t="str">
        <v>Id233</v>
      </c>
      <c r="B234" t="str">
        <f>VLOOKUP(A234,'Customer Names (2)'!A:B, 2,FALSE)</f>
        <v>Mr</v>
      </c>
      <c r="C234">
        <f>VLOOKUP(A234,Medical_Examinations[],2,FALSE)</f>
        <v>34.799999999999997</v>
      </c>
      <c r="D234">
        <f>VLOOKUP(A234,Medical_Examinations[],3,FALSE)</f>
        <v>6.18</v>
      </c>
      <c r="E234" t="str">
        <f>VLOOKUP(A234,Medical_Examinations[],4,FALSE)</f>
        <v>No</v>
      </c>
      <c r="F234" t="str">
        <f>VLOOKUP(A234,Medical_Examinations[],5,FALSE)</f>
        <v>No</v>
      </c>
      <c r="G234" t="str">
        <f>VLOOKUP(A234,Medical_Examinations[],6,FALSE)</f>
        <v>Yes</v>
      </c>
      <c r="H234">
        <f>VLOOKUP(A234,Medical_Examinations[],7,FALSE)</f>
        <v>1</v>
      </c>
      <c r="I234" t="str">
        <f>VLOOKUP(A234,Medical_Examinations[],8,FALSE)</f>
        <v>Yes</v>
      </c>
      <c r="J234" t="str">
        <f>VLOOKUP(A234,Medical_Examinations[],9,FALSE)</f>
        <v>Obesity</v>
      </c>
      <c r="K234" t="str">
        <f>VLOOKUP(A234,Medical_Examinations[],10,FALSE)</f>
        <v>Prediabetes</v>
      </c>
      <c r="M234">
        <f>VLOOKUP(A234,Hospitalisation_Details__2[],4,FALSE)</f>
        <v>34779.620000000003</v>
      </c>
      <c r="N234" t="str">
        <f>VLOOKUP(A234,Hospitalisation_Details__2[],5,FALSE)</f>
        <v>tier - 1</v>
      </c>
      <c r="O234" t="str">
        <f>VLOOKUP(A234,Hospitalisation_Details__2[],6,FALSE)</f>
        <v>tier - 2</v>
      </c>
      <c r="P234" t="str">
        <f>VLOOKUP(A234,Hospitalisation_Details__2[],7,FALSE)</f>
        <v>R1011</v>
      </c>
    </row>
    <row r="235" spans="1:16" x14ac:dyDescent="0.35">
      <c r="A235" t="str">
        <v>Id234</v>
      </c>
      <c r="B235" t="str">
        <f>VLOOKUP(A235,'Customer Names (2)'!A:B, 2,FALSE)</f>
        <v>Mr</v>
      </c>
      <c r="C235">
        <f>VLOOKUP(A235,Medical_Examinations[],2,FALSE)</f>
        <v>31.68</v>
      </c>
      <c r="D235">
        <f>VLOOKUP(A235,Medical_Examinations[],3,FALSE)</f>
        <v>4.4000000000000004</v>
      </c>
      <c r="E235" t="str">
        <f>VLOOKUP(A235,Medical_Examinations[],4,FALSE)</f>
        <v>No</v>
      </c>
      <c r="F235" t="str">
        <f>VLOOKUP(A235,Medical_Examinations[],5,FALSE)</f>
        <v>No</v>
      </c>
      <c r="G235" t="str">
        <f>VLOOKUP(A235,Medical_Examinations[],6,FALSE)</f>
        <v>No</v>
      </c>
      <c r="H235">
        <f>VLOOKUP(A235,Medical_Examinations[],7,FALSE)</f>
        <v>0</v>
      </c>
      <c r="I235" t="str">
        <f>VLOOKUP(A235,Medical_Examinations[],8,FALSE)</f>
        <v>Yes</v>
      </c>
      <c r="J235" t="str">
        <f>VLOOKUP(A235,Medical_Examinations[],9,FALSE)</f>
        <v>Obesity</v>
      </c>
      <c r="K235" t="str">
        <f>VLOOKUP(A235,Medical_Examinations[],10,FALSE)</f>
        <v>Normal</v>
      </c>
      <c r="M235">
        <f>VLOOKUP(A235,Hospitalisation_Details__2[],4,FALSE)</f>
        <v>34672.15</v>
      </c>
      <c r="N235" t="str">
        <f>VLOOKUP(A235,Hospitalisation_Details__2[],5,FALSE)</f>
        <v>tier - 1</v>
      </c>
      <c r="O235" t="str">
        <f>VLOOKUP(A235,Hospitalisation_Details__2[],6,FALSE)</f>
        <v>tier - 3</v>
      </c>
      <c r="P235" t="str">
        <f>VLOOKUP(A235,Hospitalisation_Details__2[],7,FALSE)</f>
        <v>R1013</v>
      </c>
    </row>
    <row r="236" spans="1:16" x14ac:dyDescent="0.35">
      <c r="A236" t="str">
        <v>Id235</v>
      </c>
      <c r="B236" t="str">
        <f>VLOOKUP(A236,'Customer Names (2)'!A:B, 2,FALSE)</f>
        <v>Mr</v>
      </c>
      <c r="C236">
        <f>VLOOKUP(A236,Medical_Examinations[],2,FALSE)</f>
        <v>33.534999999999997</v>
      </c>
      <c r="D236">
        <f>VLOOKUP(A236,Medical_Examinations[],3,FALSE)</f>
        <v>6.23</v>
      </c>
      <c r="E236" t="str">
        <f>VLOOKUP(A236,Medical_Examinations[],4,FALSE)</f>
        <v>No</v>
      </c>
      <c r="F236" t="str">
        <f>VLOOKUP(A236,Medical_Examinations[],5,FALSE)</f>
        <v>yes</v>
      </c>
      <c r="G236" t="str">
        <f>VLOOKUP(A236,Medical_Examinations[],6,FALSE)</f>
        <v>No</v>
      </c>
      <c r="H236">
        <f>VLOOKUP(A236,Medical_Examinations[],7,FALSE)</f>
        <v>1</v>
      </c>
      <c r="I236" t="str">
        <f>VLOOKUP(A236,Medical_Examinations[],8,FALSE)</f>
        <v>Yes</v>
      </c>
      <c r="J236" t="str">
        <f>VLOOKUP(A236,Medical_Examinations[],9,FALSE)</f>
        <v>Obesity</v>
      </c>
      <c r="K236" t="str">
        <f>VLOOKUP(A236,Medical_Examinations[],10,FALSE)</f>
        <v>Prediabetes</v>
      </c>
      <c r="M236">
        <f>VLOOKUP(A236,Hospitalisation_Details__2[],4,FALSE)</f>
        <v>34617.839999999997</v>
      </c>
      <c r="N236" t="str">
        <f>VLOOKUP(A236,Hospitalisation_Details__2[],5,FALSE)</f>
        <v>tier - 1</v>
      </c>
      <c r="O236" t="str">
        <f>VLOOKUP(A236,Hospitalisation_Details__2[],6,FALSE)</f>
        <v>tier - 3</v>
      </c>
      <c r="P236" t="str">
        <f>VLOOKUP(A236,Hospitalisation_Details__2[],7,FALSE)</f>
        <v>R1016</v>
      </c>
    </row>
    <row r="237" spans="1:16" x14ac:dyDescent="0.35">
      <c r="A237" t="str">
        <v>Id236</v>
      </c>
      <c r="B237" t="str">
        <f>VLOOKUP(A237,'Customer Names (2)'!A:B, 2,FALSE)</f>
        <v>Ms</v>
      </c>
      <c r="C237">
        <f>VLOOKUP(A237,Medical_Examinations[],2,FALSE)</f>
        <v>31.92</v>
      </c>
      <c r="D237">
        <f>VLOOKUP(A237,Medical_Examinations[],3,FALSE)</f>
        <v>5.33</v>
      </c>
      <c r="E237" t="str">
        <f>VLOOKUP(A237,Medical_Examinations[],4,FALSE)</f>
        <v>Yes</v>
      </c>
      <c r="F237" t="str">
        <f>VLOOKUP(A237,Medical_Examinations[],5,FALSE)</f>
        <v>No</v>
      </c>
      <c r="G237" t="str">
        <f>VLOOKUP(A237,Medical_Examinations[],6,FALSE)</f>
        <v>No</v>
      </c>
      <c r="H237">
        <f>VLOOKUP(A237,Medical_Examinations[],7,FALSE)</f>
        <v>0</v>
      </c>
      <c r="I237" t="str">
        <f>VLOOKUP(A237,Medical_Examinations[],8,FALSE)</f>
        <v>Yes</v>
      </c>
      <c r="J237" t="str">
        <f>VLOOKUP(A237,Medical_Examinations[],9,FALSE)</f>
        <v>Obesity</v>
      </c>
      <c r="K237" t="str">
        <f>VLOOKUP(A237,Medical_Examinations[],10,FALSE)</f>
        <v>Normal</v>
      </c>
      <c r="M237">
        <f>VLOOKUP(A237,Hospitalisation_Details__2[],4,FALSE)</f>
        <v>34543.39</v>
      </c>
      <c r="N237" t="str">
        <f>VLOOKUP(A237,Hospitalisation_Details__2[],5,FALSE)</f>
        <v>tier - 2</v>
      </c>
      <c r="O237" t="str">
        <f>VLOOKUP(A237,Hospitalisation_Details__2[],6,FALSE)</f>
        <v>tier - 3</v>
      </c>
      <c r="P237" t="str">
        <f>VLOOKUP(A237,Hospitalisation_Details__2[],7,FALSE)</f>
        <v>R1011</v>
      </c>
    </row>
    <row r="238" spans="1:16" x14ac:dyDescent="0.35">
      <c r="A238" t="str">
        <v>Id237</v>
      </c>
      <c r="B238" t="str">
        <f>VLOOKUP(A238,'Customer Names (2)'!A:B, 2,FALSE)</f>
        <v>Mr</v>
      </c>
      <c r="C238">
        <f>VLOOKUP(A238,Medical_Examinations[],2,FALSE)</f>
        <v>32.700000000000003</v>
      </c>
      <c r="D238">
        <f>VLOOKUP(A238,Medical_Examinations[],3,FALSE)</f>
        <v>4.09</v>
      </c>
      <c r="E238" t="str">
        <f>VLOOKUP(A238,Medical_Examinations[],4,FALSE)</f>
        <v>No</v>
      </c>
      <c r="F238" t="str">
        <f>VLOOKUP(A238,Medical_Examinations[],5,FALSE)</f>
        <v>No</v>
      </c>
      <c r="G238" t="str">
        <f>VLOOKUP(A238,Medical_Examinations[],6,FALSE)</f>
        <v>No</v>
      </c>
      <c r="H238">
        <f>VLOOKUP(A238,Medical_Examinations[],7,FALSE)</f>
        <v>1</v>
      </c>
      <c r="I238" t="str">
        <f>VLOOKUP(A238,Medical_Examinations[],8,FALSE)</f>
        <v>Yes</v>
      </c>
      <c r="J238" t="str">
        <f>VLOOKUP(A238,Medical_Examinations[],9,FALSE)</f>
        <v>Obesity</v>
      </c>
      <c r="K238" t="str">
        <f>VLOOKUP(A238,Medical_Examinations[],10,FALSE)</f>
        <v>Normal</v>
      </c>
      <c r="M238">
        <f>VLOOKUP(A238,Hospitalisation_Details__2[],4,FALSE)</f>
        <v>34472.839999999997</v>
      </c>
      <c r="N238" t="str">
        <f>VLOOKUP(A238,Hospitalisation_Details__2[],5,FALSE)</f>
        <v>tier - 1</v>
      </c>
      <c r="O238" t="str">
        <f>VLOOKUP(A238,Hospitalisation_Details__2[],6,FALSE)</f>
        <v>tier - 3</v>
      </c>
      <c r="P238" t="str">
        <f>VLOOKUP(A238,Hospitalisation_Details__2[],7,FALSE)</f>
        <v>R1011</v>
      </c>
    </row>
    <row r="239" spans="1:16" x14ac:dyDescent="0.35">
      <c r="A239" t="str">
        <v>Id238</v>
      </c>
      <c r="B239" t="str">
        <f>VLOOKUP(A239,'Customer Names (2)'!A:B, 2,FALSE)</f>
        <v>Mr</v>
      </c>
      <c r="C239">
        <f>VLOOKUP(A239,Medical_Examinations[],2,FALSE)</f>
        <v>41.25</v>
      </c>
      <c r="D239">
        <f>VLOOKUP(A239,Medical_Examinations[],3,FALSE)</f>
        <v>5.19</v>
      </c>
      <c r="E239" t="str">
        <f>VLOOKUP(A239,Medical_Examinations[],4,FALSE)</f>
        <v>No</v>
      </c>
      <c r="F239" t="str">
        <f>VLOOKUP(A239,Medical_Examinations[],5,FALSE)</f>
        <v>No</v>
      </c>
      <c r="G239" t="str">
        <f>VLOOKUP(A239,Medical_Examinations[],6,FALSE)</f>
        <v>No</v>
      </c>
      <c r="H239">
        <f>VLOOKUP(A239,Medical_Examinations[],7,FALSE)</f>
        <v>0</v>
      </c>
      <c r="I239" t="str">
        <f>VLOOKUP(A239,Medical_Examinations[],8,FALSE)</f>
        <v>Yes</v>
      </c>
      <c r="J239" t="str">
        <f>VLOOKUP(A239,Medical_Examinations[],9,FALSE)</f>
        <v>Obesity</v>
      </c>
      <c r="K239" t="str">
        <f>VLOOKUP(A239,Medical_Examinations[],10,FALSE)</f>
        <v>Normal</v>
      </c>
      <c r="M239">
        <f>VLOOKUP(A239,Hospitalisation_Details__2[],4,FALSE)</f>
        <v>34456.269999999997</v>
      </c>
      <c r="N239" t="str">
        <f>VLOOKUP(A239,Hospitalisation_Details__2[],5,FALSE)</f>
        <v>tier - 1</v>
      </c>
      <c r="O239" t="str">
        <f>VLOOKUP(A239,Hospitalisation_Details__2[],6,FALSE)</f>
        <v>tier - 2</v>
      </c>
      <c r="P239" t="str">
        <f>VLOOKUP(A239,Hospitalisation_Details__2[],7,FALSE)</f>
        <v>R1011</v>
      </c>
    </row>
    <row r="240" spans="1:16" x14ac:dyDescent="0.35">
      <c r="A240" t="str">
        <v>Id239</v>
      </c>
      <c r="B240" t="str">
        <f>VLOOKUP(A240,'Customer Names (2)'!A:B, 2,FALSE)</f>
        <v>Ms</v>
      </c>
      <c r="C240">
        <f>VLOOKUP(A240,Medical_Examinations[],2,FALSE)</f>
        <v>33.11</v>
      </c>
      <c r="D240">
        <f>VLOOKUP(A240,Medical_Examinations[],3,FALSE)</f>
        <v>4.12</v>
      </c>
      <c r="E240" t="str">
        <f>VLOOKUP(A240,Medical_Examinations[],4,FALSE)</f>
        <v>No</v>
      </c>
      <c r="F240" t="str">
        <f>VLOOKUP(A240,Medical_Examinations[],5,FALSE)</f>
        <v>No</v>
      </c>
      <c r="G240" t="str">
        <f>VLOOKUP(A240,Medical_Examinations[],6,FALSE)</f>
        <v>Yes</v>
      </c>
      <c r="H240">
        <f>VLOOKUP(A240,Medical_Examinations[],7,FALSE)</f>
        <v>1</v>
      </c>
      <c r="I240" t="str">
        <f>VLOOKUP(A240,Medical_Examinations[],8,FALSE)</f>
        <v>Yes</v>
      </c>
      <c r="J240" t="str">
        <f>VLOOKUP(A240,Medical_Examinations[],9,FALSE)</f>
        <v>Obesity</v>
      </c>
      <c r="K240" t="str">
        <f>VLOOKUP(A240,Medical_Examinations[],10,FALSE)</f>
        <v>Normal</v>
      </c>
      <c r="M240">
        <f>VLOOKUP(A240,Hospitalisation_Details__2[],4,FALSE)</f>
        <v>34439.86</v>
      </c>
      <c r="N240" t="str">
        <f>VLOOKUP(A240,Hospitalisation_Details__2[],5,FALSE)</f>
        <v>tier - 2</v>
      </c>
      <c r="O240" t="str">
        <f>VLOOKUP(A240,Hospitalisation_Details__2[],6,FALSE)</f>
        <v>tier - 1</v>
      </c>
      <c r="P240" t="str">
        <f>VLOOKUP(A240,Hospitalisation_Details__2[],7,FALSE)</f>
        <v>R1013</v>
      </c>
    </row>
    <row r="241" spans="1:16" x14ac:dyDescent="0.35">
      <c r="A241" t="str">
        <v>Id240</v>
      </c>
      <c r="B241" t="str">
        <f>VLOOKUP(A241,'Customer Names (2)'!A:B, 2,FALSE)</f>
        <v>Ms</v>
      </c>
      <c r="C241">
        <f>VLOOKUP(A241,Medical_Examinations[],2,FALSE)</f>
        <v>36.159999999999997</v>
      </c>
      <c r="D241">
        <f>VLOOKUP(A241,Medical_Examinations[],3,FALSE)</f>
        <v>5.0999999999999996</v>
      </c>
      <c r="E241" t="str">
        <f>VLOOKUP(A241,Medical_Examinations[],4,FALSE)</f>
        <v>No</v>
      </c>
      <c r="F241" t="str">
        <f>VLOOKUP(A241,Medical_Examinations[],5,FALSE)</f>
        <v>No</v>
      </c>
      <c r="G241" t="str">
        <f>VLOOKUP(A241,Medical_Examinations[],6,FALSE)</f>
        <v>No</v>
      </c>
      <c r="H241">
        <f>VLOOKUP(A241,Medical_Examinations[],7,FALSE)</f>
        <v>1</v>
      </c>
      <c r="I241" t="str">
        <f>VLOOKUP(A241,Medical_Examinations[],8,FALSE)</f>
        <v>Yes</v>
      </c>
      <c r="J241" t="str">
        <f>VLOOKUP(A241,Medical_Examinations[],9,FALSE)</f>
        <v>Obesity</v>
      </c>
      <c r="K241" t="str">
        <f>VLOOKUP(A241,Medical_Examinations[],10,FALSE)</f>
        <v>Normal</v>
      </c>
      <c r="M241">
        <f>VLOOKUP(A241,Hospitalisation_Details__2[],4,FALSE)</f>
        <v>34402.22</v>
      </c>
      <c r="N241" t="str">
        <f>VLOOKUP(A241,Hospitalisation_Details__2[],5,FALSE)</f>
        <v>tier - 2</v>
      </c>
      <c r="O241" t="str">
        <f>VLOOKUP(A241,Hospitalisation_Details__2[],6,FALSE)</f>
        <v>tier - 3</v>
      </c>
      <c r="P241" t="str">
        <f>VLOOKUP(A241,Hospitalisation_Details__2[],7,FALSE)</f>
        <v>R1011</v>
      </c>
    </row>
    <row r="242" spans="1:16" x14ac:dyDescent="0.35">
      <c r="A242" t="str">
        <v>Id241</v>
      </c>
      <c r="B242" t="str">
        <f>VLOOKUP(A242,'Customer Names (2)'!A:B, 2,FALSE)</f>
        <v>Mr</v>
      </c>
      <c r="C242">
        <f>VLOOKUP(A242,Medical_Examinations[],2,FALSE)</f>
        <v>33.72</v>
      </c>
      <c r="D242">
        <f>VLOOKUP(A242,Medical_Examinations[],3,FALSE)</f>
        <v>6.21</v>
      </c>
      <c r="E242" t="str">
        <f>VLOOKUP(A242,Medical_Examinations[],4,FALSE)</f>
        <v>Yes</v>
      </c>
      <c r="F242" t="str">
        <f>VLOOKUP(A242,Medical_Examinations[],5,FALSE)</f>
        <v>No</v>
      </c>
      <c r="G242" t="str">
        <f>VLOOKUP(A242,Medical_Examinations[],6,FALSE)</f>
        <v>Yes</v>
      </c>
      <c r="H242">
        <f>VLOOKUP(A242,Medical_Examinations[],7,FALSE)</f>
        <v>1</v>
      </c>
      <c r="I242" t="str">
        <f>VLOOKUP(A242,Medical_Examinations[],8,FALSE)</f>
        <v>Yes</v>
      </c>
      <c r="J242" t="str">
        <f>VLOOKUP(A242,Medical_Examinations[],9,FALSE)</f>
        <v>Obesity</v>
      </c>
      <c r="K242" t="str">
        <f>VLOOKUP(A242,Medical_Examinations[],10,FALSE)</f>
        <v>Prediabetes</v>
      </c>
      <c r="M242">
        <f>VLOOKUP(A242,Hospitalisation_Details__2[],4,FALSE)</f>
        <v>34307.22</v>
      </c>
      <c r="N242" t="str">
        <f>VLOOKUP(A242,Hospitalisation_Details__2[],5,FALSE)</f>
        <v>tier - 2</v>
      </c>
      <c r="O242" t="str">
        <f>VLOOKUP(A242,Hospitalisation_Details__2[],6,FALSE)</f>
        <v>tier - 2</v>
      </c>
      <c r="P242" t="str">
        <f>VLOOKUP(A242,Hospitalisation_Details__2[],7,FALSE)</f>
        <v>R1012</v>
      </c>
    </row>
    <row r="243" spans="1:16" x14ac:dyDescent="0.35">
      <c r="A243" t="str">
        <v>Id242</v>
      </c>
      <c r="B243" t="str">
        <f>VLOOKUP(A243,'Customer Names (2)'!A:B, 2,FALSE)</f>
        <v>Mr</v>
      </c>
      <c r="C243">
        <f>VLOOKUP(A243,Medical_Examinations[],2,FALSE)</f>
        <v>37.74</v>
      </c>
      <c r="D243">
        <f>VLOOKUP(A243,Medical_Examinations[],3,FALSE)</f>
        <v>9.5299999999999994</v>
      </c>
      <c r="E243" t="str">
        <f>VLOOKUP(A243,Medical_Examinations[],4,FALSE)</f>
        <v>Yes</v>
      </c>
      <c r="F243" t="str">
        <f>VLOOKUP(A243,Medical_Examinations[],5,FALSE)</f>
        <v>No</v>
      </c>
      <c r="G243" t="str">
        <f>VLOOKUP(A243,Medical_Examinations[],6,FALSE)</f>
        <v>No</v>
      </c>
      <c r="H243">
        <f>VLOOKUP(A243,Medical_Examinations[],7,FALSE)</f>
        <v>1</v>
      </c>
      <c r="I243" t="str">
        <f>VLOOKUP(A243,Medical_Examinations[],8,FALSE)</f>
        <v>Yes</v>
      </c>
      <c r="J243" t="str">
        <f>VLOOKUP(A243,Medical_Examinations[],9,FALSE)</f>
        <v>Obesity</v>
      </c>
      <c r="K243" t="str">
        <f>VLOOKUP(A243,Medical_Examinations[],10,FALSE)</f>
        <v>Diabetes</v>
      </c>
      <c r="M243">
        <f>VLOOKUP(A243,Hospitalisation_Details__2[],4,FALSE)</f>
        <v>34293.120000000003</v>
      </c>
      <c r="N243" t="str">
        <f>VLOOKUP(A243,Hospitalisation_Details__2[],5,FALSE)</f>
        <v>tier - 1</v>
      </c>
      <c r="O243" t="str">
        <f>VLOOKUP(A243,Hospitalisation_Details__2[],6,FALSE)</f>
        <v>tier - 2</v>
      </c>
      <c r="P243" t="str">
        <f>VLOOKUP(A243,Hospitalisation_Details__2[],7,FALSE)</f>
        <v>R1011</v>
      </c>
    </row>
    <row r="244" spans="1:16" x14ac:dyDescent="0.35">
      <c r="A244" t="str">
        <v>Id243</v>
      </c>
      <c r="B244" t="str">
        <f>VLOOKUP(A244,'Customer Names (2)'!A:B, 2,FALSE)</f>
        <v>Mr</v>
      </c>
      <c r="C244">
        <f>VLOOKUP(A244,Medical_Examinations[],2,FALSE)</f>
        <v>48.75</v>
      </c>
      <c r="D244">
        <f>VLOOKUP(A244,Medical_Examinations[],3,FALSE)</f>
        <v>4.6399999999999997</v>
      </c>
      <c r="E244" t="str">
        <f>VLOOKUP(A244,Medical_Examinations[],4,FALSE)</f>
        <v>Yes</v>
      </c>
      <c r="F244" t="str">
        <f>VLOOKUP(A244,Medical_Examinations[],5,FALSE)</f>
        <v>No</v>
      </c>
      <c r="G244" t="str">
        <f>VLOOKUP(A244,Medical_Examinations[],6,FALSE)</f>
        <v>No</v>
      </c>
      <c r="H244">
        <f>VLOOKUP(A244,Medical_Examinations[],7,FALSE)</f>
        <v>1</v>
      </c>
      <c r="I244" t="str">
        <f>VLOOKUP(A244,Medical_Examinations[],8,FALSE)</f>
        <v>Yes</v>
      </c>
      <c r="J244" t="str">
        <f>VLOOKUP(A244,Medical_Examinations[],9,FALSE)</f>
        <v>Obesity</v>
      </c>
      <c r="K244" t="str">
        <f>VLOOKUP(A244,Medical_Examinations[],10,FALSE)</f>
        <v>Normal</v>
      </c>
      <c r="M244">
        <f>VLOOKUP(A244,Hospitalisation_Details__2[],4,FALSE)</f>
        <v>34289.43</v>
      </c>
      <c r="N244" t="str">
        <f>VLOOKUP(A244,Hospitalisation_Details__2[],5,FALSE)</f>
        <v>tier - 1</v>
      </c>
      <c r="O244" t="str">
        <f>VLOOKUP(A244,Hospitalisation_Details__2[],6,FALSE)</f>
        <v>tier - 1</v>
      </c>
      <c r="P244" t="str">
        <f>VLOOKUP(A244,Hospitalisation_Details__2[],7,FALSE)</f>
        <v>R1011</v>
      </c>
    </row>
    <row r="245" spans="1:16" x14ac:dyDescent="0.35">
      <c r="A245" t="str">
        <v>Id244</v>
      </c>
      <c r="B245" t="str">
        <f>VLOOKUP(A245,'Customer Names (2)'!A:B, 2,FALSE)</f>
        <v>Mr</v>
      </c>
      <c r="C245">
        <f>VLOOKUP(A245,Medical_Examinations[],2,FALSE)</f>
        <v>31.065000000000001</v>
      </c>
      <c r="D245">
        <f>VLOOKUP(A245,Medical_Examinations[],3,FALSE)</f>
        <v>5.05</v>
      </c>
      <c r="E245" t="str">
        <f>VLOOKUP(A245,Medical_Examinations[],4,FALSE)</f>
        <v>No</v>
      </c>
      <c r="F245" t="str">
        <f>VLOOKUP(A245,Medical_Examinations[],5,FALSE)</f>
        <v>No</v>
      </c>
      <c r="G245" t="str">
        <f>VLOOKUP(A245,Medical_Examinations[],6,FALSE)</f>
        <v>No</v>
      </c>
      <c r="H245">
        <f>VLOOKUP(A245,Medical_Examinations[],7,FALSE)</f>
        <v>1</v>
      </c>
      <c r="I245" t="str">
        <f>VLOOKUP(A245,Medical_Examinations[],8,FALSE)</f>
        <v>Yes</v>
      </c>
      <c r="J245" t="str">
        <f>VLOOKUP(A245,Medical_Examinations[],9,FALSE)</f>
        <v>Obesity</v>
      </c>
      <c r="K245" t="str">
        <f>VLOOKUP(A245,Medical_Examinations[],10,FALSE)</f>
        <v>Normal</v>
      </c>
      <c r="M245">
        <f>VLOOKUP(A245,Hospitalisation_Details__2[],4,FALSE)</f>
        <v>34254.050000000003</v>
      </c>
      <c r="N245" t="str">
        <f>VLOOKUP(A245,Hospitalisation_Details__2[],5,FALSE)</f>
        <v>tier - 1</v>
      </c>
      <c r="O245" t="str">
        <f>VLOOKUP(A245,Hospitalisation_Details__2[],6,FALSE)</f>
        <v>tier - 3</v>
      </c>
      <c r="P245" t="str">
        <f>VLOOKUP(A245,Hospitalisation_Details__2[],7,FALSE)</f>
        <v>R1019</v>
      </c>
    </row>
    <row r="246" spans="1:16" x14ac:dyDescent="0.35">
      <c r="A246" t="str">
        <v>Id245</v>
      </c>
      <c r="B246" t="str">
        <f>VLOOKUP(A246,'Customer Names (2)'!A:B, 2,FALSE)</f>
        <v>Mr</v>
      </c>
      <c r="C246">
        <f>VLOOKUP(A246,Medical_Examinations[],2,FALSE)</f>
        <v>23.55</v>
      </c>
      <c r="D246">
        <f>VLOOKUP(A246,Medical_Examinations[],3,FALSE)</f>
        <v>10.38</v>
      </c>
      <c r="E246" t="str">
        <f>VLOOKUP(A246,Medical_Examinations[],4,FALSE)</f>
        <v>No</v>
      </c>
      <c r="F246" t="str">
        <f>VLOOKUP(A246,Medical_Examinations[],5,FALSE)</f>
        <v>No</v>
      </c>
      <c r="G246" t="str">
        <f>VLOOKUP(A246,Medical_Examinations[],6,FALSE)</f>
        <v>No</v>
      </c>
      <c r="H246">
        <f>VLOOKUP(A246,Medical_Examinations[],7,FALSE)</f>
        <v>0</v>
      </c>
      <c r="I246" t="str">
        <f>VLOOKUP(A246,Medical_Examinations[],8,FALSE)</f>
        <v>Yes</v>
      </c>
      <c r="J246" t="str">
        <f>VLOOKUP(A246,Medical_Examinations[],9,FALSE)</f>
        <v>Normal Weight</v>
      </c>
      <c r="K246" t="str">
        <f>VLOOKUP(A246,Medical_Examinations[],10,FALSE)</f>
        <v>Diabetes</v>
      </c>
      <c r="M246">
        <f>VLOOKUP(A246,Hospitalisation_Details__2[],4,FALSE)</f>
        <v>34218.019999999997</v>
      </c>
      <c r="N246" t="str">
        <f>VLOOKUP(A246,Hospitalisation_Details__2[],5,FALSE)</f>
        <v>tier - 1</v>
      </c>
      <c r="O246" t="str">
        <f>VLOOKUP(A246,Hospitalisation_Details__2[],6,FALSE)</f>
        <v>tier - 1</v>
      </c>
      <c r="P246" t="str">
        <f>VLOOKUP(A246,Hospitalisation_Details__2[],7,FALSE)</f>
        <v>R1011</v>
      </c>
    </row>
    <row r="247" spans="1:16" x14ac:dyDescent="0.35">
      <c r="A247" t="str">
        <v>Id246</v>
      </c>
      <c r="B247" t="str">
        <f>VLOOKUP(A247,'Customer Names (2)'!A:B, 2,FALSE)</f>
        <v>Mr</v>
      </c>
      <c r="C247">
        <f>VLOOKUP(A247,Medical_Examinations[],2,FALSE)</f>
        <v>30.18</v>
      </c>
      <c r="D247">
        <f>VLOOKUP(A247,Medical_Examinations[],3,FALSE)</f>
        <v>8.31</v>
      </c>
      <c r="E247" t="str">
        <f>VLOOKUP(A247,Medical_Examinations[],4,FALSE)</f>
        <v>Yes</v>
      </c>
      <c r="F247" t="str">
        <f>VLOOKUP(A247,Medical_Examinations[],5,FALSE)</f>
        <v>No</v>
      </c>
      <c r="G247" t="str">
        <f>VLOOKUP(A247,Medical_Examinations[],6,FALSE)</f>
        <v>No</v>
      </c>
      <c r="H247">
        <f>VLOOKUP(A247,Medical_Examinations[],7,FALSE)</f>
        <v>1</v>
      </c>
      <c r="I247" t="str">
        <f>VLOOKUP(A247,Medical_Examinations[],8,FALSE)</f>
        <v>Yes</v>
      </c>
      <c r="J247" t="str">
        <f>VLOOKUP(A247,Medical_Examinations[],9,FALSE)</f>
        <v>Obesity</v>
      </c>
      <c r="K247" t="str">
        <f>VLOOKUP(A247,Medical_Examinations[],10,FALSE)</f>
        <v>Diabetes</v>
      </c>
      <c r="M247">
        <f>VLOOKUP(A247,Hospitalisation_Details__2[],4,FALSE)</f>
        <v>34210.33</v>
      </c>
      <c r="N247" t="str">
        <f>VLOOKUP(A247,Hospitalisation_Details__2[],5,FALSE)</f>
        <v>tier - 2</v>
      </c>
      <c r="O247" t="str">
        <f>VLOOKUP(A247,Hospitalisation_Details__2[],6,FALSE)</f>
        <v>tier - 1</v>
      </c>
      <c r="P247" t="str">
        <f>VLOOKUP(A247,Hospitalisation_Details__2[],7,FALSE)</f>
        <v>R1012</v>
      </c>
    </row>
    <row r="248" spans="1:16" x14ac:dyDescent="0.35">
      <c r="A248" t="str">
        <v>Id247</v>
      </c>
      <c r="B248" t="str">
        <f>VLOOKUP(A248,'Customer Names (2)'!A:B, 2,FALSE)</f>
        <v>Ms</v>
      </c>
      <c r="C248">
        <f>VLOOKUP(A248,Medical_Examinations[],2,FALSE)</f>
        <v>29.94</v>
      </c>
      <c r="D248">
        <f>VLOOKUP(A248,Medical_Examinations[],3,FALSE)</f>
        <v>7.59</v>
      </c>
      <c r="E248" t="str">
        <f>VLOOKUP(A248,Medical_Examinations[],4,FALSE)</f>
        <v>No</v>
      </c>
      <c r="F248" t="str">
        <f>VLOOKUP(A248,Medical_Examinations[],5,FALSE)</f>
        <v>No</v>
      </c>
      <c r="G248" t="str">
        <f>VLOOKUP(A248,Medical_Examinations[],6,FALSE)</f>
        <v>No</v>
      </c>
      <c r="H248">
        <f>VLOOKUP(A248,Medical_Examinations[],7,FALSE)</f>
        <v>0</v>
      </c>
      <c r="I248" t="str">
        <f>VLOOKUP(A248,Medical_Examinations[],8,FALSE)</f>
        <v>Yes</v>
      </c>
      <c r="J248" t="str">
        <f>VLOOKUP(A248,Medical_Examinations[],9,FALSE)</f>
        <v>Overweight</v>
      </c>
      <c r="K248" t="str">
        <f>VLOOKUP(A248,Medical_Examinations[],10,FALSE)</f>
        <v>Diabetes</v>
      </c>
      <c r="M248">
        <f>VLOOKUP(A248,Hospitalisation_Details__2[],4,FALSE)</f>
        <v>34205.07</v>
      </c>
      <c r="N248" t="str">
        <f>VLOOKUP(A248,Hospitalisation_Details__2[],5,FALSE)</f>
        <v>tier - 2</v>
      </c>
      <c r="O248" t="str">
        <f>VLOOKUP(A248,Hospitalisation_Details__2[],6,FALSE)</f>
        <v>tier - 2</v>
      </c>
      <c r="P248" t="str">
        <f>VLOOKUP(A248,Hospitalisation_Details__2[],7,FALSE)</f>
        <v>R1011</v>
      </c>
    </row>
    <row r="249" spans="1:16" x14ac:dyDescent="0.35">
      <c r="A249" t="str">
        <v>Id248</v>
      </c>
      <c r="B249" t="str">
        <f>VLOOKUP(A249,'Customer Names (2)'!A:B, 2,FALSE)</f>
        <v>Ms</v>
      </c>
      <c r="C249">
        <f>VLOOKUP(A249,Medical_Examinations[],2,FALSE)</f>
        <v>31.4</v>
      </c>
      <c r="D249">
        <f>VLOOKUP(A249,Medical_Examinations[],3,FALSE)</f>
        <v>5.49</v>
      </c>
      <c r="E249" t="str">
        <f>VLOOKUP(A249,Medical_Examinations[],4,FALSE)</f>
        <v>No</v>
      </c>
      <c r="F249" t="str">
        <f>VLOOKUP(A249,Medical_Examinations[],5,FALSE)</f>
        <v>No</v>
      </c>
      <c r="G249" t="str">
        <f>VLOOKUP(A249,Medical_Examinations[],6,FALSE)</f>
        <v>No</v>
      </c>
      <c r="H249">
        <f>VLOOKUP(A249,Medical_Examinations[],7,FALSE)</f>
        <v>0</v>
      </c>
      <c r="I249" t="str">
        <f>VLOOKUP(A249,Medical_Examinations[],8,FALSE)</f>
        <v>Yes</v>
      </c>
      <c r="J249" t="str">
        <f>VLOOKUP(A249,Medical_Examinations[],9,FALSE)</f>
        <v>Obesity</v>
      </c>
      <c r="K249" t="str">
        <f>VLOOKUP(A249,Medical_Examinations[],10,FALSE)</f>
        <v>Normal</v>
      </c>
      <c r="M249">
        <f>VLOOKUP(A249,Hospitalisation_Details__2[],4,FALSE)</f>
        <v>34166.269999999997</v>
      </c>
      <c r="N249" t="str">
        <f>VLOOKUP(A249,Hospitalisation_Details__2[],5,FALSE)</f>
        <v>tier - 2</v>
      </c>
      <c r="O249" t="str">
        <f>VLOOKUP(A249,Hospitalisation_Details__2[],6,FALSE)</f>
        <v>tier - 3</v>
      </c>
      <c r="P249" t="str">
        <f>VLOOKUP(A249,Hospitalisation_Details__2[],7,FALSE)</f>
        <v>R1011</v>
      </c>
    </row>
    <row r="250" spans="1:16" x14ac:dyDescent="0.35">
      <c r="A250" t="str">
        <v>Id249</v>
      </c>
      <c r="B250" t="str">
        <f>VLOOKUP(A250,'Customer Names (2)'!A:B, 2,FALSE)</f>
        <v>Ms</v>
      </c>
      <c r="C250">
        <f>VLOOKUP(A250,Medical_Examinations[],2,FALSE)</f>
        <v>53.06</v>
      </c>
      <c r="D250">
        <f>VLOOKUP(A250,Medical_Examinations[],3,FALSE)</f>
        <v>11.68</v>
      </c>
      <c r="E250" t="str">
        <f>VLOOKUP(A250,Medical_Examinations[],4,FALSE)</f>
        <v>No</v>
      </c>
      <c r="F250" t="str">
        <f>VLOOKUP(A250,Medical_Examinations[],5,FALSE)</f>
        <v>No</v>
      </c>
      <c r="G250" t="str">
        <f>VLOOKUP(A250,Medical_Examinations[],6,FALSE)</f>
        <v>No</v>
      </c>
      <c r="H250">
        <f>VLOOKUP(A250,Medical_Examinations[],7,FALSE)</f>
        <v>0</v>
      </c>
      <c r="I250" t="str">
        <f>VLOOKUP(A250,Medical_Examinations[],8,FALSE)</f>
        <v>Yes</v>
      </c>
      <c r="J250" t="str">
        <f>VLOOKUP(A250,Medical_Examinations[],9,FALSE)</f>
        <v>Obesity</v>
      </c>
      <c r="K250" t="str">
        <f>VLOOKUP(A250,Medical_Examinations[],10,FALSE)</f>
        <v>Diabetes</v>
      </c>
      <c r="M250">
        <f>VLOOKUP(A250,Hospitalisation_Details__2[],4,FALSE)</f>
        <v>34084.68</v>
      </c>
      <c r="N250" t="str">
        <f>VLOOKUP(A250,Hospitalisation_Details__2[],5,FALSE)</f>
        <v>tier - 2</v>
      </c>
      <c r="O250" t="str">
        <f>VLOOKUP(A250,Hospitalisation_Details__2[],6,FALSE)</f>
        <v>tier - 3</v>
      </c>
      <c r="P250" t="str">
        <f>VLOOKUP(A250,Hospitalisation_Details__2[],7,FALSE)</f>
        <v>R1011</v>
      </c>
    </row>
    <row r="251" spans="1:16" x14ac:dyDescent="0.35">
      <c r="A251" t="str">
        <v>Id250</v>
      </c>
      <c r="B251" t="str">
        <f>VLOOKUP(A251,'Customer Names (2)'!A:B, 2,FALSE)</f>
        <v>Ms</v>
      </c>
      <c r="C251">
        <f>VLOOKUP(A251,Medical_Examinations[],2,FALSE)</f>
        <v>30.25</v>
      </c>
      <c r="D251">
        <f>VLOOKUP(A251,Medical_Examinations[],3,FALSE)</f>
        <v>4.1900000000000004</v>
      </c>
      <c r="E251" t="str">
        <f>VLOOKUP(A251,Medical_Examinations[],4,FALSE)</f>
        <v>No</v>
      </c>
      <c r="F251" t="str">
        <f>VLOOKUP(A251,Medical_Examinations[],5,FALSE)</f>
        <v>No</v>
      </c>
      <c r="G251" t="str">
        <f>VLOOKUP(A251,Medical_Examinations[],6,FALSE)</f>
        <v>No</v>
      </c>
      <c r="H251">
        <f>VLOOKUP(A251,Medical_Examinations[],7,FALSE)</f>
        <v>2</v>
      </c>
      <c r="I251" t="str">
        <f>VLOOKUP(A251,Medical_Examinations[],8,FALSE)</f>
        <v>Yes</v>
      </c>
      <c r="J251" t="str">
        <f>VLOOKUP(A251,Medical_Examinations[],9,FALSE)</f>
        <v>Obesity</v>
      </c>
      <c r="K251" t="str">
        <f>VLOOKUP(A251,Medical_Examinations[],10,FALSE)</f>
        <v>Normal</v>
      </c>
      <c r="M251">
        <f>VLOOKUP(A251,Hospitalisation_Details__2[],4,FALSE)</f>
        <v>34053.360000000001</v>
      </c>
      <c r="N251" t="str">
        <f>VLOOKUP(A251,Hospitalisation_Details__2[],5,FALSE)</f>
        <v>tier - 2</v>
      </c>
      <c r="O251" t="str">
        <f>VLOOKUP(A251,Hospitalisation_Details__2[],6,FALSE)</f>
        <v>tier - 2</v>
      </c>
      <c r="P251" t="str">
        <f>VLOOKUP(A251,Hospitalisation_Details__2[],7,FALSE)</f>
        <v>R1011</v>
      </c>
    </row>
    <row r="252" spans="1:16" x14ac:dyDescent="0.35">
      <c r="A252" t="str">
        <v>Id251</v>
      </c>
      <c r="B252" t="str">
        <f>VLOOKUP(A252,'Customer Names (2)'!A:B, 2,FALSE)</f>
        <v>Ms</v>
      </c>
      <c r="C252">
        <f>VLOOKUP(A252,Medical_Examinations[],2,FALSE)</f>
        <v>46.68</v>
      </c>
      <c r="D252">
        <f>VLOOKUP(A252,Medical_Examinations[],3,FALSE)</f>
        <v>4.01</v>
      </c>
      <c r="E252" t="str">
        <f>VLOOKUP(A252,Medical_Examinations[],4,FALSE)</f>
        <v>No</v>
      </c>
      <c r="F252" t="str">
        <f>VLOOKUP(A252,Medical_Examinations[],5,FALSE)</f>
        <v>No</v>
      </c>
      <c r="G252" t="str">
        <f>VLOOKUP(A252,Medical_Examinations[],6,FALSE)</f>
        <v>No</v>
      </c>
      <c r="H252">
        <f>VLOOKUP(A252,Medical_Examinations[],7,FALSE)</f>
        <v>0</v>
      </c>
      <c r="I252" t="str">
        <f>VLOOKUP(A252,Medical_Examinations[],8,FALSE)</f>
        <v>Yes</v>
      </c>
      <c r="J252" t="str">
        <f>VLOOKUP(A252,Medical_Examinations[],9,FALSE)</f>
        <v>Obesity</v>
      </c>
      <c r="K252" t="str">
        <f>VLOOKUP(A252,Medical_Examinations[],10,FALSE)</f>
        <v>Normal</v>
      </c>
      <c r="M252">
        <f>VLOOKUP(A252,Hospitalisation_Details__2[],4,FALSE)</f>
        <v>33975.47</v>
      </c>
      <c r="N252" t="str">
        <f>VLOOKUP(A252,Hospitalisation_Details__2[],5,FALSE)</f>
        <v>tier - 2</v>
      </c>
      <c r="O252" t="str">
        <f>VLOOKUP(A252,Hospitalisation_Details__2[],6,FALSE)</f>
        <v>tier - 2</v>
      </c>
      <c r="P252" t="str">
        <f>VLOOKUP(A252,Hospitalisation_Details__2[],7,FALSE)</f>
        <v>R1011</v>
      </c>
    </row>
    <row r="253" spans="1:16" x14ac:dyDescent="0.35">
      <c r="A253" t="str">
        <v>Id252</v>
      </c>
      <c r="B253" t="str">
        <f>VLOOKUP(A253,'Customer Names (2)'!A:B, 2,FALSE)</f>
        <v>Ms</v>
      </c>
      <c r="C253">
        <f>VLOOKUP(A253,Medical_Examinations[],2,FALSE)</f>
        <v>30.4</v>
      </c>
      <c r="D253">
        <f>VLOOKUP(A253,Medical_Examinations[],3,FALSE)</f>
        <v>5.91</v>
      </c>
      <c r="E253" t="str">
        <f>VLOOKUP(A253,Medical_Examinations[],4,FALSE)</f>
        <v>No</v>
      </c>
      <c r="F253" t="str">
        <f>VLOOKUP(A253,Medical_Examinations[],5,FALSE)</f>
        <v>yes</v>
      </c>
      <c r="G253" t="str">
        <f>VLOOKUP(A253,Medical_Examinations[],6,FALSE)</f>
        <v>No</v>
      </c>
      <c r="H253">
        <f>VLOOKUP(A253,Medical_Examinations[],7,FALSE)</f>
        <v>2</v>
      </c>
      <c r="I253" t="str">
        <f>VLOOKUP(A253,Medical_Examinations[],8,FALSE)</f>
        <v>Yes</v>
      </c>
      <c r="J253" t="str">
        <f>VLOOKUP(A253,Medical_Examinations[],9,FALSE)</f>
        <v>Obesity</v>
      </c>
      <c r="K253" t="str">
        <f>VLOOKUP(A253,Medical_Examinations[],10,FALSE)</f>
        <v>Prediabetes</v>
      </c>
      <c r="M253">
        <f>VLOOKUP(A253,Hospitalisation_Details__2[],4,FALSE)</f>
        <v>33907.550000000003</v>
      </c>
      <c r="N253" t="str">
        <f>VLOOKUP(A253,Hospitalisation_Details__2[],5,FALSE)</f>
        <v>tier - 2</v>
      </c>
      <c r="O253" t="str">
        <f>VLOOKUP(A253,Hospitalisation_Details__2[],6,FALSE)</f>
        <v>tier - 2</v>
      </c>
      <c r="P253" t="str">
        <f>VLOOKUP(A253,Hospitalisation_Details__2[],7,FALSE)</f>
        <v>R1012</v>
      </c>
    </row>
    <row r="254" spans="1:16" x14ac:dyDescent="0.35">
      <c r="A254" t="str">
        <v>Id253</v>
      </c>
      <c r="B254" t="str">
        <f>VLOOKUP(A254,'Customer Names (2)'!A:B, 2,FALSE)</f>
        <v>Ms</v>
      </c>
      <c r="C254">
        <f>VLOOKUP(A254,Medical_Examinations[],2,FALSE)</f>
        <v>30.2</v>
      </c>
      <c r="D254">
        <f>VLOOKUP(A254,Medical_Examinations[],3,FALSE)</f>
        <v>4.47</v>
      </c>
      <c r="E254" t="str">
        <f>VLOOKUP(A254,Medical_Examinations[],4,FALSE)</f>
        <v>Yes</v>
      </c>
      <c r="F254" t="str">
        <f>VLOOKUP(A254,Medical_Examinations[],5,FALSE)</f>
        <v>No</v>
      </c>
      <c r="G254" t="str">
        <f>VLOOKUP(A254,Medical_Examinations[],6,FALSE)</f>
        <v>Yes</v>
      </c>
      <c r="H254">
        <f>VLOOKUP(A254,Medical_Examinations[],7,FALSE)</f>
        <v>1</v>
      </c>
      <c r="I254" t="str">
        <f>VLOOKUP(A254,Medical_Examinations[],8,FALSE)</f>
        <v>Yes</v>
      </c>
      <c r="J254" t="str">
        <f>VLOOKUP(A254,Medical_Examinations[],9,FALSE)</f>
        <v>Obesity</v>
      </c>
      <c r="K254" t="str">
        <f>VLOOKUP(A254,Medical_Examinations[],10,FALSE)</f>
        <v>Normal</v>
      </c>
      <c r="M254">
        <f>VLOOKUP(A254,Hospitalisation_Details__2[],4,FALSE)</f>
        <v>33900.65</v>
      </c>
      <c r="N254" t="str">
        <f>VLOOKUP(A254,Hospitalisation_Details__2[],5,FALSE)</f>
        <v>tier - 2</v>
      </c>
      <c r="O254" t="str">
        <f>VLOOKUP(A254,Hospitalisation_Details__2[],6,FALSE)</f>
        <v>tier - 3</v>
      </c>
      <c r="P254" t="str">
        <f>VLOOKUP(A254,Hospitalisation_Details__2[],7,FALSE)</f>
        <v>R1011</v>
      </c>
    </row>
    <row r="255" spans="1:16" x14ac:dyDescent="0.35">
      <c r="A255" t="str">
        <v>Id254</v>
      </c>
      <c r="B255" t="str">
        <f>VLOOKUP(A255,'Customer Names (2)'!A:B, 2,FALSE)</f>
        <v>Mr</v>
      </c>
      <c r="C255">
        <f>VLOOKUP(A255,Medical_Examinations[],2,FALSE)</f>
        <v>51.18</v>
      </c>
      <c r="D255">
        <f>VLOOKUP(A255,Medical_Examinations[],3,FALSE)</f>
        <v>4.5599999999999996</v>
      </c>
      <c r="E255" t="str">
        <f>VLOOKUP(A255,Medical_Examinations[],4,FALSE)</f>
        <v>Yes</v>
      </c>
      <c r="F255" t="str">
        <f>VLOOKUP(A255,Medical_Examinations[],5,FALSE)</f>
        <v>yes</v>
      </c>
      <c r="G255" t="str">
        <f>VLOOKUP(A255,Medical_Examinations[],6,FALSE)</f>
        <v>No</v>
      </c>
      <c r="H255">
        <f>VLOOKUP(A255,Medical_Examinations[],7,FALSE)</f>
        <v>2</v>
      </c>
      <c r="I255" t="str">
        <f>VLOOKUP(A255,Medical_Examinations[],8,FALSE)</f>
        <v>Yes</v>
      </c>
      <c r="J255" t="str">
        <f>VLOOKUP(A255,Medical_Examinations[],9,FALSE)</f>
        <v>Obesity</v>
      </c>
      <c r="K255" t="str">
        <f>VLOOKUP(A255,Medical_Examinations[],10,FALSE)</f>
        <v>Normal</v>
      </c>
      <c r="M255">
        <f>VLOOKUP(A255,Hospitalisation_Details__2[],4,FALSE)</f>
        <v>33829.39</v>
      </c>
      <c r="N255" t="str">
        <f>VLOOKUP(A255,Hospitalisation_Details__2[],5,FALSE)</f>
        <v>tier - 2</v>
      </c>
      <c r="O255" t="str">
        <f>VLOOKUP(A255,Hospitalisation_Details__2[],6,FALSE)</f>
        <v>tier - 3</v>
      </c>
      <c r="P255" t="str">
        <f>VLOOKUP(A255,Hospitalisation_Details__2[],7,FALSE)</f>
        <v>R1011</v>
      </c>
    </row>
    <row r="256" spans="1:16" x14ac:dyDescent="0.35">
      <c r="A256" t="str">
        <v>Id255</v>
      </c>
      <c r="B256" t="str">
        <f>VLOOKUP(A256,'Customer Names (2)'!A:B, 2,FALSE)</f>
        <v>Mr</v>
      </c>
      <c r="C256">
        <f>VLOOKUP(A256,Medical_Examinations[],2,FALSE)</f>
        <v>22.18</v>
      </c>
      <c r="D256">
        <f>VLOOKUP(A256,Medical_Examinations[],3,FALSE)</f>
        <v>9.9</v>
      </c>
      <c r="E256" t="str">
        <f>VLOOKUP(A256,Medical_Examinations[],4,FALSE)</f>
        <v>No</v>
      </c>
      <c r="F256" t="str">
        <f>VLOOKUP(A256,Medical_Examinations[],5,FALSE)</f>
        <v>No</v>
      </c>
      <c r="G256" t="str">
        <f>VLOOKUP(A256,Medical_Examinations[],6,FALSE)</f>
        <v>No</v>
      </c>
      <c r="H256">
        <f>VLOOKUP(A256,Medical_Examinations[],7,FALSE)</f>
        <v>0</v>
      </c>
      <c r="I256" t="str">
        <f>VLOOKUP(A256,Medical_Examinations[],8,FALSE)</f>
        <v>Yes</v>
      </c>
      <c r="J256" t="str">
        <f>VLOOKUP(A256,Medical_Examinations[],9,FALSE)</f>
        <v>Normal Weight</v>
      </c>
      <c r="K256" t="str">
        <f>VLOOKUP(A256,Medical_Examinations[],10,FALSE)</f>
        <v>Diabetes</v>
      </c>
      <c r="M256">
        <f>VLOOKUP(A256,Hospitalisation_Details__2[],4,FALSE)</f>
        <v>33753.32</v>
      </c>
      <c r="N256" t="str">
        <f>VLOOKUP(A256,Hospitalisation_Details__2[],5,FALSE)</f>
        <v>tier - 1</v>
      </c>
      <c r="O256" t="str">
        <f>VLOOKUP(A256,Hospitalisation_Details__2[],6,FALSE)</f>
        <v>tier - 3</v>
      </c>
      <c r="P256" t="str">
        <f>VLOOKUP(A256,Hospitalisation_Details__2[],7,FALSE)</f>
        <v>R1011</v>
      </c>
    </row>
    <row r="257" spans="1:16" x14ac:dyDescent="0.35">
      <c r="A257" t="str">
        <v>Id256</v>
      </c>
      <c r="B257" t="str">
        <f>VLOOKUP(A257,'Customer Names (2)'!A:B, 2,FALSE)</f>
        <v>Mr</v>
      </c>
      <c r="C257">
        <f>VLOOKUP(A257,Medical_Examinations[],2,FALSE)</f>
        <v>31.92</v>
      </c>
      <c r="D257">
        <f>VLOOKUP(A257,Medical_Examinations[],3,FALSE)</f>
        <v>5.1100000000000003</v>
      </c>
      <c r="E257" t="str">
        <f>VLOOKUP(A257,Medical_Examinations[],4,FALSE)</f>
        <v>No</v>
      </c>
      <c r="F257" t="str">
        <f>VLOOKUP(A257,Medical_Examinations[],5,FALSE)</f>
        <v>No</v>
      </c>
      <c r="G257" t="str">
        <f>VLOOKUP(A257,Medical_Examinations[],6,FALSE)</f>
        <v>Yes</v>
      </c>
      <c r="H257">
        <f>VLOOKUP(A257,Medical_Examinations[],7,FALSE)</f>
        <v>1</v>
      </c>
      <c r="I257" t="str">
        <f>VLOOKUP(A257,Medical_Examinations[],8,FALSE)</f>
        <v>Yes</v>
      </c>
      <c r="J257" t="str">
        <f>VLOOKUP(A257,Medical_Examinations[],9,FALSE)</f>
        <v>Obesity</v>
      </c>
      <c r="K257" t="str">
        <f>VLOOKUP(A257,Medical_Examinations[],10,FALSE)</f>
        <v>Normal</v>
      </c>
      <c r="M257">
        <f>VLOOKUP(A257,Hospitalisation_Details__2[],4,FALSE)</f>
        <v>33750.29</v>
      </c>
      <c r="N257" t="str">
        <f>VLOOKUP(A257,Hospitalisation_Details__2[],5,FALSE)</f>
        <v>tier - 1</v>
      </c>
      <c r="O257" t="str">
        <f>VLOOKUP(A257,Hospitalisation_Details__2[],6,FALSE)</f>
        <v>tier - 3</v>
      </c>
      <c r="P257" t="str">
        <f>VLOOKUP(A257,Hospitalisation_Details__2[],7,FALSE)</f>
        <v>R1012</v>
      </c>
    </row>
    <row r="258" spans="1:16" x14ac:dyDescent="0.35">
      <c r="A258" t="str">
        <v>Id257</v>
      </c>
      <c r="B258" t="str">
        <f>VLOOKUP(A258,'Customer Names (2)'!A:B, 2,FALSE)</f>
        <v>Mr</v>
      </c>
      <c r="C258">
        <f>VLOOKUP(A258,Medical_Examinations[],2,FALSE)</f>
        <v>31.73</v>
      </c>
      <c r="D258">
        <f>VLOOKUP(A258,Medical_Examinations[],3,FALSE)</f>
        <v>5.73</v>
      </c>
      <c r="E258" t="str">
        <f>VLOOKUP(A258,Medical_Examinations[],4,FALSE)</f>
        <v>No</v>
      </c>
      <c r="F258" t="str">
        <f>VLOOKUP(A258,Medical_Examinations[],5,FALSE)</f>
        <v>yes</v>
      </c>
      <c r="G258" t="str">
        <f>VLOOKUP(A258,Medical_Examinations[],6,FALSE)</f>
        <v>No</v>
      </c>
      <c r="H258">
        <f>VLOOKUP(A258,Medical_Examinations[],7,FALSE)</f>
        <v>1</v>
      </c>
      <c r="I258" t="str">
        <f>VLOOKUP(A258,Medical_Examinations[],8,FALSE)</f>
        <v>Yes</v>
      </c>
      <c r="J258" t="str">
        <f>VLOOKUP(A258,Medical_Examinations[],9,FALSE)</f>
        <v>Obesity</v>
      </c>
      <c r="K258" t="str">
        <f>VLOOKUP(A258,Medical_Examinations[],10,FALSE)</f>
        <v>Prediabetes</v>
      </c>
      <c r="M258">
        <f>VLOOKUP(A258,Hospitalisation_Details__2[],4,FALSE)</f>
        <v>33732.69</v>
      </c>
      <c r="N258" t="str">
        <f>VLOOKUP(A258,Hospitalisation_Details__2[],5,FALSE)</f>
        <v>tier - 1</v>
      </c>
      <c r="O258" t="str">
        <f>VLOOKUP(A258,Hospitalisation_Details__2[],6,FALSE)</f>
        <v>tier - 1</v>
      </c>
      <c r="P258" t="str">
        <f>VLOOKUP(A258,Hospitalisation_Details__2[],7,FALSE)</f>
        <v>R1017</v>
      </c>
    </row>
    <row r="259" spans="1:16" x14ac:dyDescent="0.35">
      <c r="A259" t="str">
        <v>Id258</v>
      </c>
      <c r="B259" t="str">
        <f>VLOOKUP(A259,'Customer Names (2)'!A:B, 2,FALSE)</f>
        <v>Mr</v>
      </c>
      <c r="C259">
        <f>VLOOKUP(A259,Medical_Examinations[],2,FALSE)</f>
        <v>45.52</v>
      </c>
      <c r="D259">
        <f>VLOOKUP(A259,Medical_Examinations[],3,FALSE)</f>
        <v>6.04</v>
      </c>
      <c r="E259" t="str">
        <f>VLOOKUP(A259,Medical_Examinations[],4,FALSE)</f>
        <v>No</v>
      </c>
      <c r="F259" t="str">
        <f>VLOOKUP(A259,Medical_Examinations[],5,FALSE)</f>
        <v>No</v>
      </c>
      <c r="G259" t="str">
        <f>VLOOKUP(A259,Medical_Examinations[],6,FALSE)</f>
        <v>Yes</v>
      </c>
      <c r="H259">
        <f>VLOOKUP(A259,Medical_Examinations[],7,FALSE)</f>
        <v>1</v>
      </c>
      <c r="I259" t="str">
        <f>VLOOKUP(A259,Medical_Examinations[],8,FALSE)</f>
        <v>Yes</v>
      </c>
      <c r="J259" t="str">
        <f>VLOOKUP(A259,Medical_Examinations[],9,FALSE)</f>
        <v>Obesity</v>
      </c>
      <c r="K259" t="str">
        <f>VLOOKUP(A259,Medical_Examinations[],10,FALSE)</f>
        <v>Prediabetes</v>
      </c>
      <c r="M259">
        <f>VLOOKUP(A259,Hospitalisation_Details__2[],4,FALSE)</f>
        <v>33707.550000000003</v>
      </c>
      <c r="N259" t="str">
        <f>VLOOKUP(A259,Hospitalisation_Details__2[],5,FALSE)</f>
        <v>tier - 2</v>
      </c>
      <c r="O259" t="str">
        <f>VLOOKUP(A259,Hospitalisation_Details__2[],6,FALSE)</f>
        <v>tier - 2</v>
      </c>
      <c r="P259" t="str">
        <f>VLOOKUP(A259,Hospitalisation_Details__2[],7,FALSE)</f>
        <v>R1011</v>
      </c>
    </row>
    <row r="260" spans="1:16" x14ac:dyDescent="0.35">
      <c r="A260" t="str">
        <v>Id259</v>
      </c>
      <c r="B260" t="str">
        <f>VLOOKUP(A260,'Customer Names (2)'!A:B, 2,FALSE)</f>
        <v>Mr</v>
      </c>
      <c r="C260">
        <f>VLOOKUP(A260,Medical_Examinations[],2,FALSE)</f>
        <v>52.81</v>
      </c>
      <c r="D260">
        <f>VLOOKUP(A260,Medical_Examinations[],3,FALSE)</f>
        <v>5.19</v>
      </c>
      <c r="E260" t="str">
        <f>VLOOKUP(A260,Medical_Examinations[],4,FALSE)</f>
        <v>No</v>
      </c>
      <c r="F260" t="str">
        <f>VLOOKUP(A260,Medical_Examinations[],5,FALSE)</f>
        <v>No</v>
      </c>
      <c r="G260" t="str">
        <f>VLOOKUP(A260,Medical_Examinations[],6,FALSE)</f>
        <v>Yes</v>
      </c>
      <c r="H260">
        <f>VLOOKUP(A260,Medical_Examinations[],7,FALSE)</f>
        <v>1</v>
      </c>
      <c r="I260" t="str">
        <f>VLOOKUP(A260,Medical_Examinations[],8,FALSE)</f>
        <v>Yes</v>
      </c>
      <c r="J260" t="str">
        <f>VLOOKUP(A260,Medical_Examinations[],9,FALSE)</f>
        <v>Obesity</v>
      </c>
      <c r="K260" t="str">
        <f>VLOOKUP(A260,Medical_Examinations[],10,FALSE)</f>
        <v>Normal</v>
      </c>
      <c r="M260">
        <f>VLOOKUP(A260,Hospitalisation_Details__2[],4,FALSE)</f>
        <v>33611.71</v>
      </c>
      <c r="N260" t="str">
        <f>VLOOKUP(A260,Hospitalisation_Details__2[],5,FALSE)</f>
        <v>tier - 1</v>
      </c>
      <c r="O260" t="str">
        <f>VLOOKUP(A260,Hospitalisation_Details__2[],6,FALSE)</f>
        <v>tier - 2</v>
      </c>
      <c r="P260" t="str">
        <f>VLOOKUP(A260,Hospitalisation_Details__2[],7,FALSE)</f>
        <v>R1011</v>
      </c>
    </row>
    <row r="261" spans="1:16" x14ac:dyDescent="0.35">
      <c r="A261" t="str">
        <v>Id260</v>
      </c>
      <c r="B261" t="str">
        <f>VLOOKUP(A261,'Customer Names (2)'!A:B, 2,FALSE)</f>
        <v>Ms</v>
      </c>
      <c r="C261">
        <f>VLOOKUP(A261,Medical_Examinations[],2,FALSE)</f>
        <v>33.58</v>
      </c>
      <c r="D261">
        <f>VLOOKUP(A261,Medical_Examinations[],3,FALSE)</f>
        <v>5.56</v>
      </c>
      <c r="E261" t="str">
        <f>VLOOKUP(A261,Medical_Examinations[],4,FALSE)</f>
        <v>No</v>
      </c>
      <c r="F261" t="str">
        <f>VLOOKUP(A261,Medical_Examinations[],5,FALSE)</f>
        <v>No</v>
      </c>
      <c r="G261" t="str">
        <f>VLOOKUP(A261,Medical_Examinations[],6,FALSE)</f>
        <v>No</v>
      </c>
      <c r="H261">
        <f>VLOOKUP(A261,Medical_Examinations[],7,FALSE)</f>
        <v>1</v>
      </c>
      <c r="I261" t="str">
        <f>VLOOKUP(A261,Medical_Examinations[],8,FALSE)</f>
        <v>Yes</v>
      </c>
      <c r="J261" t="str">
        <f>VLOOKUP(A261,Medical_Examinations[],9,FALSE)</f>
        <v>Obesity</v>
      </c>
      <c r="K261" t="str">
        <f>VLOOKUP(A261,Medical_Examinations[],10,FALSE)</f>
        <v>Normal</v>
      </c>
      <c r="M261">
        <f>VLOOKUP(A261,Hospitalisation_Details__2[],4,FALSE)</f>
        <v>33527.1</v>
      </c>
      <c r="N261" t="str">
        <f>VLOOKUP(A261,Hospitalisation_Details__2[],5,FALSE)</f>
        <v>tier - 2</v>
      </c>
      <c r="O261" t="str">
        <f>VLOOKUP(A261,Hospitalisation_Details__2[],6,FALSE)</f>
        <v>tier - 3</v>
      </c>
      <c r="P261" t="str">
        <f>VLOOKUP(A261,Hospitalisation_Details__2[],7,FALSE)</f>
        <v>R1011</v>
      </c>
    </row>
    <row r="262" spans="1:16" x14ac:dyDescent="0.35">
      <c r="A262" t="str">
        <v>Id261</v>
      </c>
      <c r="B262" t="str">
        <f>VLOOKUP(A262,'Customer Names (2)'!A:B, 2,FALSE)</f>
        <v>Mr</v>
      </c>
      <c r="C262">
        <f>VLOOKUP(A262,Medical_Examinations[],2,FALSE)</f>
        <v>30.684999999999999</v>
      </c>
      <c r="D262">
        <f>VLOOKUP(A262,Medical_Examinations[],3,FALSE)</f>
        <v>8.23</v>
      </c>
      <c r="E262" t="str">
        <f>VLOOKUP(A262,Medical_Examinations[],4,FALSE)</f>
        <v>No</v>
      </c>
      <c r="F262" t="str">
        <f>VLOOKUP(A262,Medical_Examinations[],5,FALSE)</f>
        <v>No</v>
      </c>
      <c r="G262" t="str">
        <f>VLOOKUP(A262,Medical_Examinations[],6,FALSE)</f>
        <v>No</v>
      </c>
      <c r="H262">
        <f>VLOOKUP(A262,Medical_Examinations[],7,FALSE)</f>
        <v>0</v>
      </c>
      <c r="I262" t="str">
        <f>VLOOKUP(A262,Medical_Examinations[],8,FALSE)</f>
        <v>Yes</v>
      </c>
      <c r="J262" t="str">
        <f>VLOOKUP(A262,Medical_Examinations[],9,FALSE)</f>
        <v>Obesity</v>
      </c>
      <c r="K262" t="str">
        <f>VLOOKUP(A262,Medical_Examinations[],10,FALSE)</f>
        <v>Diabetes</v>
      </c>
      <c r="M262">
        <f>VLOOKUP(A262,Hospitalisation_Details__2[],4,FALSE)</f>
        <v>33475.82</v>
      </c>
      <c r="N262" t="str">
        <f>VLOOKUP(A262,Hospitalisation_Details__2[],5,FALSE)</f>
        <v>tier - 1</v>
      </c>
      <c r="O262" t="str">
        <f>VLOOKUP(A262,Hospitalisation_Details__2[],6,FALSE)</f>
        <v>tier - 1</v>
      </c>
      <c r="P262" t="str">
        <f>VLOOKUP(A262,Hospitalisation_Details__2[],7,FALSE)</f>
        <v>R1018</v>
      </c>
    </row>
    <row r="263" spans="1:16" x14ac:dyDescent="0.35">
      <c r="A263" t="str">
        <v>Id262</v>
      </c>
      <c r="B263" t="str">
        <f>VLOOKUP(A263,'Customer Names (2)'!A:B, 2,FALSE)</f>
        <v>Ms</v>
      </c>
      <c r="C263">
        <f>VLOOKUP(A263,Medical_Examinations[],2,FALSE)</f>
        <v>37.524999999999999</v>
      </c>
      <c r="D263">
        <f>VLOOKUP(A263,Medical_Examinations[],3,FALSE)</f>
        <v>9.0299999999999994</v>
      </c>
      <c r="E263" t="str">
        <f>VLOOKUP(A263,Medical_Examinations[],4,FALSE)</f>
        <v>Yes</v>
      </c>
      <c r="F263" t="str">
        <f>VLOOKUP(A263,Medical_Examinations[],5,FALSE)</f>
        <v>No</v>
      </c>
      <c r="G263" t="str">
        <f>VLOOKUP(A263,Medical_Examinations[],6,FALSE)</f>
        <v>No</v>
      </c>
      <c r="H263">
        <f>VLOOKUP(A263,Medical_Examinations[],7,FALSE)</f>
        <v>2</v>
      </c>
      <c r="I263" t="str">
        <f>VLOOKUP(A263,Medical_Examinations[],8,FALSE)</f>
        <v>No</v>
      </c>
      <c r="J263" t="str">
        <f>VLOOKUP(A263,Medical_Examinations[],9,FALSE)</f>
        <v>Obesity</v>
      </c>
      <c r="K263" t="str">
        <f>VLOOKUP(A263,Medical_Examinations[],10,FALSE)</f>
        <v>Diabetes</v>
      </c>
      <c r="M263">
        <f>VLOOKUP(A263,Hospitalisation_Details__2[],4,FALSE)</f>
        <v>33471.97</v>
      </c>
      <c r="N263" t="str">
        <f>VLOOKUP(A263,Hospitalisation_Details__2[],5,FALSE)</f>
        <v>tier - 2</v>
      </c>
      <c r="O263" t="str">
        <f>VLOOKUP(A263,Hospitalisation_Details__2[],6,FALSE)</f>
        <v>tier - 2</v>
      </c>
      <c r="P263" t="str">
        <f>VLOOKUP(A263,Hospitalisation_Details__2[],7,FALSE)</f>
        <v>R1012</v>
      </c>
    </row>
    <row r="264" spans="1:16" x14ac:dyDescent="0.35">
      <c r="A264" t="str">
        <v>Id263</v>
      </c>
      <c r="B264" t="str">
        <f>VLOOKUP(A264,'Customer Names (2)'!A:B, 2,FALSE)</f>
        <v>Mr</v>
      </c>
      <c r="C264">
        <f>VLOOKUP(A264,Medical_Examinations[],2,FALSE)</f>
        <v>34.5</v>
      </c>
      <c r="D264">
        <f>VLOOKUP(A264,Medical_Examinations[],3,FALSE)</f>
        <v>4.07</v>
      </c>
      <c r="E264" t="str">
        <f>VLOOKUP(A264,Medical_Examinations[],4,FALSE)</f>
        <v>Yes</v>
      </c>
      <c r="F264" t="str">
        <f>VLOOKUP(A264,Medical_Examinations[],5,FALSE)</f>
        <v>No</v>
      </c>
      <c r="G264" t="str">
        <f>VLOOKUP(A264,Medical_Examinations[],6,FALSE)</f>
        <v>No</v>
      </c>
      <c r="H264">
        <f>VLOOKUP(A264,Medical_Examinations[],7,FALSE)</f>
        <v>0</v>
      </c>
      <c r="I264" t="str">
        <f>VLOOKUP(A264,Medical_Examinations[],8,FALSE)</f>
        <v>Yes</v>
      </c>
      <c r="J264" t="str">
        <f>VLOOKUP(A264,Medical_Examinations[],9,FALSE)</f>
        <v>Obesity</v>
      </c>
      <c r="K264" t="str">
        <f>VLOOKUP(A264,Medical_Examinations[],10,FALSE)</f>
        <v>Normal</v>
      </c>
      <c r="M264">
        <f>VLOOKUP(A264,Hospitalisation_Details__2[],4,FALSE)</f>
        <v>33450.99</v>
      </c>
      <c r="N264" t="str">
        <f>VLOOKUP(A264,Hospitalisation_Details__2[],5,FALSE)</f>
        <v>tier - 2</v>
      </c>
      <c r="O264" t="str">
        <f>VLOOKUP(A264,Hospitalisation_Details__2[],6,FALSE)</f>
        <v>tier - 2</v>
      </c>
      <c r="P264" t="str">
        <f>VLOOKUP(A264,Hospitalisation_Details__2[],7,FALSE)</f>
        <v>R1011</v>
      </c>
    </row>
    <row r="265" spans="1:16" x14ac:dyDescent="0.35">
      <c r="A265" t="str">
        <v>Id264</v>
      </c>
      <c r="B265" t="str">
        <f>VLOOKUP(A265,'Customer Names (2)'!A:B, 2,FALSE)</f>
        <v>Ms</v>
      </c>
      <c r="C265">
        <f>VLOOKUP(A265,Medical_Examinations[],2,FALSE)</f>
        <v>28.16</v>
      </c>
      <c r="D265">
        <f>VLOOKUP(A265,Medical_Examinations[],3,FALSE)</f>
        <v>5.77</v>
      </c>
      <c r="E265" t="str">
        <f>VLOOKUP(A265,Medical_Examinations[],4,FALSE)</f>
        <v>No</v>
      </c>
      <c r="F265" t="str">
        <f>VLOOKUP(A265,Medical_Examinations[],5,FALSE)</f>
        <v>No</v>
      </c>
      <c r="G265" t="str">
        <f>VLOOKUP(A265,Medical_Examinations[],6,FALSE)</f>
        <v>No</v>
      </c>
      <c r="H265">
        <f>VLOOKUP(A265,Medical_Examinations[],7,FALSE)</f>
        <v>2</v>
      </c>
      <c r="I265" t="str">
        <f>VLOOKUP(A265,Medical_Examinations[],8,FALSE)</f>
        <v>Yes</v>
      </c>
      <c r="J265" t="str">
        <f>VLOOKUP(A265,Medical_Examinations[],9,FALSE)</f>
        <v>Overweight</v>
      </c>
      <c r="K265" t="str">
        <f>VLOOKUP(A265,Medical_Examinations[],10,FALSE)</f>
        <v>Prediabetes</v>
      </c>
      <c r="M265">
        <f>VLOOKUP(A265,Hospitalisation_Details__2[],4,FALSE)</f>
        <v>33344.449999999997</v>
      </c>
      <c r="N265" t="str">
        <f>VLOOKUP(A265,Hospitalisation_Details__2[],5,FALSE)</f>
        <v>tier - 2</v>
      </c>
      <c r="O265" t="str">
        <f>VLOOKUP(A265,Hospitalisation_Details__2[],6,FALSE)</f>
        <v>tier - 3</v>
      </c>
      <c r="P265" t="str">
        <f>VLOOKUP(A265,Hospitalisation_Details__2[],7,FALSE)</f>
        <v>R1011</v>
      </c>
    </row>
    <row r="266" spans="1:16" x14ac:dyDescent="0.35">
      <c r="A266" t="str">
        <v>Id265</v>
      </c>
      <c r="B266" t="str">
        <f>VLOOKUP(A266,'Customer Names (2)'!A:B, 2,FALSE)</f>
        <v>Ms</v>
      </c>
      <c r="C266">
        <f>VLOOKUP(A266,Medical_Examinations[],2,FALSE)</f>
        <v>30.02</v>
      </c>
      <c r="D266">
        <f>VLOOKUP(A266,Medical_Examinations[],3,FALSE)</f>
        <v>5.98</v>
      </c>
      <c r="E266" t="str">
        <f>VLOOKUP(A266,Medical_Examinations[],4,FALSE)</f>
        <v>No</v>
      </c>
      <c r="F266" t="str">
        <f>VLOOKUP(A266,Medical_Examinations[],5,FALSE)</f>
        <v>No</v>
      </c>
      <c r="G266" t="str">
        <f>VLOOKUP(A266,Medical_Examinations[],6,FALSE)</f>
        <v>Yes</v>
      </c>
      <c r="H266">
        <f>VLOOKUP(A266,Medical_Examinations[],7,FALSE)</f>
        <v>1</v>
      </c>
      <c r="I266" t="str">
        <f>VLOOKUP(A266,Medical_Examinations[],8,FALSE)</f>
        <v>Yes</v>
      </c>
      <c r="J266" t="str">
        <f>VLOOKUP(A266,Medical_Examinations[],9,FALSE)</f>
        <v>Obesity</v>
      </c>
      <c r="K266" t="str">
        <f>VLOOKUP(A266,Medical_Examinations[],10,FALSE)</f>
        <v>Prediabetes</v>
      </c>
      <c r="M266">
        <f>VLOOKUP(A266,Hospitalisation_Details__2[],4,FALSE)</f>
        <v>33307.550000000003</v>
      </c>
      <c r="N266" t="str">
        <f>VLOOKUP(A266,Hospitalisation_Details__2[],5,FALSE)</f>
        <v>tier - 2</v>
      </c>
      <c r="O266" t="str">
        <f>VLOOKUP(A266,Hospitalisation_Details__2[],6,FALSE)</f>
        <v>tier - 3</v>
      </c>
      <c r="P266" t="str">
        <f>VLOOKUP(A266,Hospitalisation_Details__2[],7,FALSE)</f>
        <v>R1012</v>
      </c>
    </row>
    <row r="267" spans="1:16" x14ac:dyDescent="0.35">
      <c r="A267" t="str">
        <v>Id266</v>
      </c>
      <c r="B267" t="str">
        <f>VLOOKUP(A267,'Customer Names (2)'!A:B, 2,FALSE)</f>
        <v>Mr</v>
      </c>
      <c r="C267">
        <f>VLOOKUP(A267,Medical_Examinations[],2,FALSE)</f>
        <v>37.82</v>
      </c>
      <c r="D267">
        <f>VLOOKUP(A267,Medical_Examinations[],3,FALSE)</f>
        <v>6.01</v>
      </c>
      <c r="E267" t="str">
        <f>VLOOKUP(A267,Medical_Examinations[],4,FALSE)</f>
        <v>No</v>
      </c>
      <c r="F267" t="str">
        <f>VLOOKUP(A267,Medical_Examinations[],5,FALSE)</f>
        <v>No</v>
      </c>
      <c r="G267" t="str">
        <f>VLOOKUP(A267,Medical_Examinations[],6,FALSE)</f>
        <v>No</v>
      </c>
      <c r="H267">
        <f>VLOOKUP(A267,Medical_Examinations[],7,FALSE)</f>
        <v>0</v>
      </c>
      <c r="I267" t="str">
        <f>VLOOKUP(A267,Medical_Examinations[],8,FALSE)</f>
        <v>Yes</v>
      </c>
      <c r="J267" t="str">
        <f>VLOOKUP(A267,Medical_Examinations[],9,FALSE)</f>
        <v>Obesity</v>
      </c>
      <c r="K267" t="str">
        <f>VLOOKUP(A267,Medical_Examinations[],10,FALSE)</f>
        <v>Prediabetes</v>
      </c>
      <c r="M267">
        <f>VLOOKUP(A267,Hospitalisation_Details__2[],4,FALSE)</f>
        <v>33292.83</v>
      </c>
      <c r="N267" t="str">
        <f>VLOOKUP(A267,Hospitalisation_Details__2[],5,FALSE)</f>
        <v>tier - 2</v>
      </c>
      <c r="O267" t="str">
        <f>VLOOKUP(A267,Hospitalisation_Details__2[],6,FALSE)</f>
        <v>tier - 1</v>
      </c>
      <c r="P267" t="str">
        <f>VLOOKUP(A267,Hospitalisation_Details__2[],7,FALSE)</f>
        <v>R1011</v>
      </c>
    </row>
    <row r="268" spans="1:16" x14ac:dyDescent="0.35">
      <c r="A268" t="str">
        <v>Id267</v>
      </c>
      <c r="B268" t="str">
        <f>VLOOKUP(A268,'Customer Names (2)'!A:B, 2,FALSE)</f>
        <v>Ms</v>
      </c>
      <c r="C268">
        <f>VLOOKUP(A268,Medical_Examinations[],2,FALSE)</f>
        <v>33.14</v>
      </c>
      <c r="D268">
        <f>VLOOKUP(A268,Medical_Examinations[],3,FALSE)</f>
        <v>5.67</v>
      </c>
      <c r="E268" t="str">
        <f>VLOOKUP(A268,Medical_Examinations[],4,FALSE)</f>
        <v>Yes</v>
      </c>
      <c r="F268" t="str">
        <f>VLOOKUP(A268,Medical_Examinations[],5,FALSE)</f>
        <v>No</v>
      </c>
      <c r="G268" t="str">
        <f>VLOOKUP(A268,Medical_Examinations[],6,FALSE)</f>
        <v>No</v>
      </c>
      <c r="H268">
        <f>VLOOKUP(A268,Medical_Examinations[],7,FALSE)</f>
        <v>0</v>
      </c>
      <c r="I268" t="str">
        <f>VLOOKUP(A268,Medical_Examinations[],8,FALSE)</f>
        <v>Yes</v>
      </c>
      <c r="J268" t="str">
        <f>VLOOKUP(A268,Medical_Examinations[],9,FALSE)</f>
        <v>Obesity</v>
      </c>
      <c r="K268" t="str">
        <f>VLOOKUP(A268,Medical_Examinations[],10,FALSE)</f>
        <v>Normal</v>
      </c>
      <c r="M268">
        <f>VLOOKUP(A268,Hospitalisation_Details__2[],4,FALSE)</f>
        <v>33121</v>
      </c>
      <c r="N268" t="str">
        <f>VLOOKUP(A268,Hospitalisation_Details__2[],5,FALSE)</f>
        <v>tier - 2</v>
      </c>
      <c r="O268" t="str">
        <f>VLOOKUP(A268,Hospitalisation_Details__2[],6,FALSE)</f>
        <v>tier - 1</v>
      </c>
      <c r="P268" t="str">
        <f>VLOOKUP(A268,Hospitalisation_Details__2[],7,FALSE)</f>
        <v>R1011</v>
      </c>
    </row>
    <row r="269" spans="1:16" x14ac:dyDescent="0.35">
      <c r="A269" t="str">
        <v>Id268</v>
      </c>
      <c r="B269" t="str">
        <f>VLOOKUP(A269,'Customer Names (2)'!A:B, 2,FALSE)</f>
        <v>Ms</v>
      </c>
      <c r="C269">
        <f>VLOOKUP(A269,Medical_Examinations[],2,FALSE)</f>
        <v>25.14</v>
      </c>
      <c r="D269">
        <f>VLOOKUP(A269,Medical_Examinations[],3,FALSE)</f>
        <v>6.02</v>
      </c>
      <c r="E269" t="str">
        <f>VLOOKUP(A269,Medical_Examinations[],4,FALSE)</f>
        <v>Yes</v>
      </c>
      <c r="F269" t="str">
        <f>VLOOKUP(A269,Medical_Examinations[],5,FALSE)</f>
        <v>No</v>
      </c>
      <c r="G269" t="str">
        <f>VLOOKUP(A269,Medical_Examinations[],6,FALSE)</f>
        <v>Yes</v>
      </c>
      <c r="H269">
        <f>VLOOKUP(A269,Medical_Examinations[],7,FALSE)</f>
        <v>1</v>
      </c>
      <c r="I269" t="str">
        <f>VLOOKUP(A269,Medical_Examinations[],8,FALSE)</f>
        <v>Yes</v>
      </c>
      <c r="J269" t="str">
        <f>VLOOKUP(A269,Medical_Examinations[],9,FALSE)</f>
        <v>Overweight</v>
      </c>
      <c r="K269" t="str">
        <f>VLOOKUP(A269,Medical_Examinations[],10,FALSE)</f>
        <v>Prediabetes</v>
      </c>
      <c r="M269">
        <f>VLOOKUP(A269,Hospitalisation_Details__2[],4,FALSE)</f>
        <v>33090.660000000003</v>
      </c>
      <c r="N269" t="str">
        <f>VLOOKUP(A269,Hospitalisation_Details__2[],5,FALSE)</f>
        <v>tier - 2</v>
      </c>
      <c r="O269" t="str">
        <f>VLOOKUP(A269,Hospitalisation_Details__2[],6,FALSE)</f>
        <v>tier - 2</v>
      </c>
      <c r="P269" t="str">
        <f>VLOOKUP(A269,Hospitalisation_Details__2[],7,FALSE)</f>
        <v>R1011</v>
      </c>
    </row>
    <row r="270" spans="1:16" x14ac:dyDescent="0.35">
      <c r="A270" t="str">
        <v>Id269</v>
      </c>
      <c r="B270" t="str">
        <f>VLOOKUP(A270,'Customer Names (2)'!A:B, 2,FALSE)</f>
        <v>Mr</v>
      </c>
      <c r="C270">
        <f>VLOOKUP(A270,Medical_Examinations[],2,FALSE)</f>
        <v>20.18</v>
      </c>
      <c r="D270">
        <f>VLOOKUP(A270,Medical_Examinations[],3,FALSE)</f>
        <v>11.19</v>
      </c>
      <c r="E270" t="str">
        <f>VLOOKUP(A270,Medical_Examinations[],4,FALSE)</f>
        <v>No</v>
      </c>
      <c r="F270" t="str">
        <f>VLOOKUP(A270,Medical_Examinations[],5,FALSE)</f>
        <v>No</v>
      </c>
      <c r="G270" t="str">
        <f>VLOOKUP(A270,Medical_Examinations[],6,FALSE)</f>
        <v>No</v>
      </c>
      <c r="H270">
        <f>VLOOKUP(A270,Medical_Examinations[],7,FALSE)</f>
        <v>0</v>
      </c>
      <c r="I270" t="str">
        <f>VLOOKUP(A270,Medical_Examinations[],8,FALSE)</f>
        <v>Yes</v>
      </c>
      <c r="J270" t="str">
        <f>VLOOKUP(A270,Medical_Examinations[],9,FALSE)</f>
        <v>Normal Weight</v>
      </c>
      <c r="K270" t="str">
        <f>VLOOKUP(A270,Medical_Examinations[],10,FALSE)</f>
        <v>Diabetes</v>
      </c>
      <c r="M270">
        <f>VLOOKUP(A270,Hospitalisation_Details__2[],4,FALSE)</f>
        <v>33074.94</v>
      </c>
      <c r="N270" t="str">
        <f>VLOOKUP(A270,Hospitalisation_Details__2[],5,FALSE)</f>
        <v>tier - 1</v>
      </c>
      <c r="O270" t="str">
        <f>VLOOKUP(A270,Hospitalisation_Details__2[],6,FALSE)</f>
        <v>tier - 2</v>
      </c>
      <c r="P270" t="str">
        <f>VLOOKUP(A270,Hospitalisation_Details__2[],7,FALSE)</f>
        <v>R1011</v>
      </c>
    </row>
    <row r="271" spans="1:16" x14ac:dyDescent="0.35">
      <c r="A271" t="str">
        <v>Id270</v>
      </c>
      <c r="B271" t="str">
        <f>VLOOKUP(A271,'Customer Names (2)'!A:B, 2,FALSE)</f>
        <v>Mr</v>
      </c>
      <c r="C271">
        <f>VLOOKUP(A271,Medical_Examinations[],2,FALSE)</f>
        <v>44.36</v>
      </c>
      <c r="D271">
        <f>VLOOKUP(A271,Medical_Examinations[],3,FALSE)</f>
        <v>5.1100000000000003</v>
      </c>
      <c r="E271" t="str">
        <f>VLOOKUP(A271,Medical_Examinations[],4,FALSE)</f>
        <v>No</v>
      </c>
      <c r="F271" t="str">
        <f>VLOOKUP(A271,Medical_Examinations[],5,FALSE)</f>
        <v>No</v>
      </c>
      <c r="G271" t="str">
        <f>VLOOKUP(A271,Medical_Examinations[],6,FALSE)</f>
        <v>No</v>
      </c>
      <c r="H271">
        <f>VLOOKUP(A271,Medical_Examinations[],7,FALSE)</f>
        <v>0</v>
      </c>
      <c r="I271" t="str">
        <f>VLOOKUP(A271,Medical_Examinations[],8,FALSE)</f>
        <v>Yes</v>
      </c>
      <c r="J271" t="str">
        <f>VLOOKUP(A271,Medical_Examinations[],9,FALSE)</f>
        <v>Obesity</v>
      </c>
      <c r="K271" t="str">
        <f>VLOOKUP(A271,Medical_Examinations[],10,FALSE)</f>
        <v>Normal</v>
      </c>
      <c r="M271">
        <f>VLOOKUP(A271,Hospitalisation_Details__2[],4,FALSE)</f>
        <v>33057.230000000003</v>
      </c>
      <c r="N271" t="str">
        <f>VLOOKUP(A271,Hospitalisation_Details__2[],5,FALSE)</f>
        <v>tier - 1</v>
      </c>
      <c r="O271" t="str">
        <f>VLOOKUP(A271,Hospitalisation_Details__2[],6,FALSE)</f>
        <v>tier - 2</v>
      </c>
      <c r="P271" t="str">
        <f>VLOOKUP(A271,Hospitalisation_Details__2[],7,FALSE)</f>
        <v>R1011</v>
      </c>
    </row>
    <row r="272" spans="1:16" x14ac:dyDescent="0.35">
      <c r="A272" t="str">
        <v>Id271</v>
      </c>
      <c r="B272" t="str">
        <f>VLOOKUP(A272,'Customer Names (2)'!A:B, 2,FALSE)</f>
        <v>Mr</v>
      </c>
      <c r="C272">
        <f>VLOOKUP(A272,Medical_Examinations[],2,FALSE)</f>
        <v>23.82</v>
      </c>
      <c r="D272">
        <f>VLOOKUP(A272,Medical_Examinations[],3,FALSE)</f>
        <v>10.85</v>
      </c>
      <c r="E272" t="str">
        <f>VLOOKUP(A272,Medical_Examinations[],4,FALSE)</f>
        <v>Yes</v>
      </c>
      <c r="F272" t="str">
        <f>VLOOKUP(A272,Medical_Examinations[],5,FALSE)</f>
        <v>No</v>
      </c>
      <c r="G272" t="str">
        <f>VLOOKUP(A272,Medical_Examinations[],6,FALSE)</f>
        <v>No</v>
      </c>
      <c r="H272">
        <f>VLOOKUP(A272,Medical_Examinations[],7,FALSE)</f>
        <v>0</v>
      </c>
      <c r="I272" t="str">
        <f>VLOOKUP(A272,Medical_Examinations[],8,FALSE)</f>
        <v>Yes</v>
      </c>
      <c r="J272" t="str">
        <f>VLOOKUP(A272,Medical_Examinations[],9,FALSE)</f>
        <v>Normal Weight</v>
      </c>
      <c r="K272" t="str">
        <f>VLOOKUP(A272,Medical_Examinations[],10,FALSE)</f>
        <v>Diabetes</v>
      </c>
      <c r="M272">
        <f>VLOOKUP(A272,Hospitalisation_Details__2[],4,FALSE)</f>
        <v>33025.32</v>
      </c>
      <c r="N272" t="str">
        <f>VLOOKUP(A272,Hospitalisation_Details__2[],5,FALSE)</f>
        <v>tier - 2</v>
      </c>
      <c r="O272" t="str">
        <f>VLOOKUP(A272,Hospitalisation_Details__2[],6,FALSE)</f>
        <v>tier - 3</v>
      </c>
      <c r="P272" t="str">
        <f>VLOOKUP(A272,Hospitalisation_Details__2[],7,FALSE)</f>
        <v>R1011</v>
      </c>
    </row>
    <row r="273" spans="1:16" x14ac:dyDescent="0.35">
      <c r="A273" t="str">
        <v>Id272</v>
      </c>
      <c r="B273" t="str">
        <f>VLOOKUP(A273,'Customer Names (2)'!A:B, 2,FALSE)</f>
        <v>Mr</v>
      </c>
      <c r="C273">
        <f>VLOOKUP(A273,Medical_Examinations[],2,FALSE)</f>
        <v>45</v>
      </c>
      <c r="D273">
        <f>VLOOKUP(A273,Medical_Examinations[],3,FALSE)</f>
        <v>5.24</v>
      </c>
      <c r="E273" t="str">
        <f>VLOOKUP(A273,Medical_Examinations[],4,FALSE)</f>
        <v>Yes</v>
      </c>
      <c r="F273" t="str">
        <f>VLOOKUP(A273,Medical_Examinations[],5,FALSE)</f>
        <v>No</v>
      </c>
      <c r="G273" t="str">
        <f>VLOOKUP(A273,Medical_Examinations[],6,FALSE)</f>
        <v>No</v>
      </c>
      <c r="H273">
        <f>VLOOKUP(A273,Medical_Examinations[],7,FALSE)</f>
        <v>1</v>
      </c>
      <c r="I273" t="str">
        <f>VLOOKUP(A273,Medical_Examinations[],8,FALSE)</f>
        <v>Yes</v>
      </c>
      <c r="J273" t="str">
        <f>VLOOKUP(A273,Medical_Examinations[],9,FALSE)</f>
        <v>Obesity</v>
      </c>
      <c r="K273" t="str">
        <f>VLOOKUP(A273,Medical_Examinations[],10,FALSE)</f>
        <v>Normal</v>
      </c>
      <c r="M273">
        <f>VLOOKUP(A273,Hospitalisation_Details__2[],4,FALSE)</f>
        <v>33017.46</v>
      </c>
      <c r="N273" t="str">
        <f>VLOOKUP(A273,Hospitalisation_Details__2[],5,FALSE)</f>
        <v>tier - 1</v>
      </c>
      <c r="O273" t="str">
        <f>VLOOKUP(A273,Hospitalisation_Details__2[],6,FALSE)</f>
        <v>tier - 1</v>
      </c>
      <c r="P273" t="str">
        <f>VLOOKUP(A273,Hospitalisation_Details__2[],7,FALSE)</f>
        <v>R1011</v>
      </c>
    </row>
    <row r="274" spans="1:16" x14ac:dyDescent="0.35">
      <c r="A274" t="str">
        <v>Id273</v>
      </c>
      <c r="B274" t="str">
        <f>VLOOKUP(A274,'Customer Names (2)'!A:B, 2,FALSE)</f>
        <v>Mr</v>
      </c>
      <c r="C274">
        <f>VLOOKUP(A274,Medical_Examinations[],2,FALSE)</f>
        <v>26.62</v>
      </c>
      <c r="D274">
        <f>VLOOKUP(A274,Medical_Examinations[],3,FALSE)</f>
        <v>10.08</v>
      </c>
      <c r="E274" t="str">
        <f>VLOOKUP(A274,Medical_Examinations[],4,FALSE)</f>
        <v>No</v>
      </c>
      <c r="F274" t="str">
        <f>VLOOKUP(A274,Medical_Examinations[],5,FALSE)</f>
        <v>No</v>
      </c>
      <c r="G274" t="str">
        <f>VLOOKUP(A274,Medical_Examinations[],6,FALSE)</f>
        <v>No</v>
      </c>
      <c r="H274">
        <f>VLOOKUP(A274,Medical_Examinations[],7,FALSE)</f>
        <v>0</v>
      </c>
      <c r="I274" t="str">
        <f>VLOOKUP(A274,Medical_Examinations[],8,FALSE)</f>
        <v>Yes</v>
      </c>
      <c r="J274" t="str">
        <f>VLOOKUP(A274,Medical_Examinations[],9,FALSE)</f>
        <v>Overweight</v>
      </c>
      <c r="K274" t="str">
        <f>VLOOKUP(A274,Medical_Examinations[],10,FALSE)</f>
        <v>Diabetes</v>
      </c>
      <c r="M274">
        <f>VLOOKUP(A274,Hospitalisation_Details__2[],4,FALSE)</f>
        <v>32947.629999999997</v>
      </c>
      <c r="N274" t="str">
        <f>VLOOKUP(A274,Hospitalisation_Details__2[],5,FALSE)</f>
        <v>tier - 2</v>
      </c>
      <c r="O274" t="str">
        <f>VLOOKUP(A274,Hospitalisation_Details__2[],6,FALSE)</f>
        <v>tier - 1</v>
      </c>
      <c r="P274" t="str">
        <f>VLOOKUP(A274,Hospitalisation_Details__2[],7,FALSE)</f>
        <v>R1011</v>
      </c>
    </row>
    <row r="275" spans="1:16" x14ac:dyDescent="0.35">
      <c r="A275" t="str">
        <v>Id274</v>
      </c>
      <c r="B275" t="str">
        <f>VLOOKUP(A275,'Customer Names (2)'!A:B, 2,FALSE)</f>
        <v>Mr</v>
      </c>
      <c r="C275">
        <f>VLOOKUP(A275,Medical_Examinations[],2,FALSE)</f>
        <v>32.67</v>
      </c>
      <c r="D275">
        <f>VLOOKUP(A275,Medical_Examinations[],3,FALSE)</f>
        <v>10.97</v>
      </c>
      <c r="E275" t="str">
        <f>VLOOKUP(A275,Medical_Examinations[],4,FALSE)</f>
        <v>Yes</v>
      </c>
      <c r="F275" t="str">
        <f>VLOOKUP(A275,Medical_Examinations[],5,FALSE)</f>
        <v>No</v>
      </c>
      <c r="G275" t="str">
        <f>VLOOKUP(A275,Medical_Examinations[],6,FALSE)</f>
        <v>No</v>
      </c>
      <c r="H275">
        <f>VLOOKUP(A275,Medical_Examinations[],7,FALSE)</f>
        <v>0</v>
      </c>
      <c r="I275" t="str">
        <f>VLOOKUP(A275,Medical_Examinations[],8,FALSE)</f>
        <v>Yes</v>
      </c>
      <c r="J275" t="str">
        <f>VLOOKUP(A275,Medical_Examinations[],9,FALSE)</f>
        <v>Obesity</v>
      </c>
      <c r="K275" t="str">
        <f>VLOOKUP(A275,Medical_Examinations[],10,FALSE)</f>
        <v>Diabetes</v>
      </c>
      <c r="M275">
        <f>VLOOKUP(A275,Hospitalisation_Details__2[],4,FALSE)</f>
        <v>32906.69</v>
      </c>
      <c r="N275" t="str">
        <f>VLOOKUP(A275,Hospitalisation_Details__2[],5,FALSE)</f>
        <v>tier - 2</v>
      </c>
      <c r="O275" t="str">
        <f>VLOOKUP(A275,Hospitalisation_Details__2[],6,FALSE)</f>
        <v>tier - 3</v>
      </c>
      <c r="P275" t="str">
        <f>VLOOKUP(A275,Hospitalisation_Details__2[],7,FALSE)</f>
        <v>R1011</v>
      </c>
    </row>
    <row r="276" spans="1:16" x14ac:dyDescent="0.35">
      <c r="A276" t="str">
        <v>Id275</v>
      </c>
      <c r="B276" t="str">
        <f>VLOOKUP(A276,'Customer Names (2)'!A:B, 2,FALSE)</f>
        <v>Mr</v>
      </c>
      <c r="C276">
        <f>VLOOKUP(A276,Medical_Examinations[],2,FALSE)</f>
        <v>44.44</v>
      </c>
      <c r="D276">
        <f>VLOOKUP(A276,Medical_Examinations[],3,FALSE)</f>
        <v>4.9000000000000004</v>
      </c>
      <c r="E276" t="str">
        <f>VLOOKUP(A276,Medical_Examinations[],4,FALSE)</f>
        <v>Yes</v>
      </c>
      <c r="F276" t="str">
        <f>VLOOKUP(A276,Medical_Examinations[],5,FALSE)</f>
        <v>No</v>
      </c>
      <c r="G276" t="str">
        <f>VLOOKUP(A276,Medical_Examinations[],6,FALSE)</f>
        <v>No</v>
      </c>
      <c r="H276">
        <f>VLOOKUP(A276,Medical_Examinations[],7,FALSE)</f>
        <v>1</v>
      </c>
      <c r="I276" t="str">
        <f>VLOOKUP(A276,Medical_Examinations[],8,FALSE)</f>
        <v>Yes</v>
      </c>
      <c r="J276" t="str">
        <f>VLOOKUP(A276,Medical_Examinations[],9,FALSE)</f>
        <v>Obesity</v>
      </c>
      <c r="K276" t="str">
        <f>VLOOKUP(A276,Medical_Examinations[],10,FALSE)</f>
        <v>Normal</v>
      </c>
      <c r="M276">
        <f>VLOOKUP(A276,Hospitalisation_Details__2[],4,FALSE)</f>
        <v>32827.51</v>
      </c>
      <c r="N276" t="str">
        <f>VLOOKUP(A276,Hospitalisation_Details__2[],5,FALSE)</f>
        <v>tier - 1</v>
      </c>
      <c r="O276" t="str">
        <f>VLOOKUP(A276,Hospitalisation_Details__2[],6,FALSE)</f>
        <v>tier - 2</v>
      </c>
      <c r="P276" t="str">
        <f>VLOOKUP(A276,Hospitalisation_Details__2[],7,FALSE)</f>
        <v>R1011</v>
      </c>
    </row>
    <row r="277" spans="1:16" x14ac:dyDescent="0.35">
      <c r="A277" t="str">
        <v>Id276</v>
      </c>
      <c r="B277" t="str">
        <f>VLOOKUP(A277,'Customer Names (2)'!A:B, 2,FALSE)</f>
        <v>Mr</v>
      </c>
      <c r="C277">
        <f>VLOOKUP(A277,Medical_Examinations[],2,FALSE)</f>
        <v>28.31</v>
      </c>
      <c r="D277">
        <f>VLOOKUP(A277,Medical_Examinations[],3,FALSE)</f>
        <v>5.33</v>
      </c>
      <c r="E277" t="str">
        <f>VLOOKUP(A277,Medical_Examinations[],4,FALSE)</f>
        <v>No</v>
      </c>
      <c r="F277" t="str">
        <f>VLOOKUP(A277,Medical_Examinations[],5,FALSE)</f>
        <v>No</v>
      </c>
      <c r="G277" t="str">
        <f>VLOOKUP(A277,Medical_Examinations[],6,FALSE)</f>
        <v>No</v>
      </c>
      <c r="H277">
        <f>VLOOKUP(A277,Medical_Examinations[],7,FALSE)</f>
        <v>0</v>
      </c>
      <c r="I277" t="str">
        <f>VLOOKUP(A277,Medical_Examinations[],8,FALSE)</f>
        <v>Yes</v>
      </c>
      <c r="J277" t="str">
        <f>VLOOKUP(A277,Medical_Examinations[],9,FALSE)</f>
        <v>Overweight</v>
      </c>
      <c r="K277" t="str">
        <f>VLOOKUP(A277,Medical_Examinations[],10,FALSE)</f>
        <v>Normal</v>
      </c>
      <c r="M277">
        <f>VLOOKUP(A277,Hospitalisation_Details__2[],4,FALSE)</f>
        <v>32787.46</v>
      </c>
      <c r="N277" t="str">
        <f>VLOOKUP(A277,Hospitalisation_Details__2[],5,FALSE)</f>
        <v>tier - 1</v>
      </c>
      <c r="O277" t="str">
        <f>VLOOKUP(A277,Hospitalisation_Details__2[],6,FALSE)</f>
        <v>tier - 3</v>
      </c>
      <c r="P277" t="str">
        <f>VLOOKUP(A277,Hospitalisation_Details__2[],7,FALSE)</f>
        <v>R1012</v>
      </c>
    </row>
    <row r="278" spans="1:16" x14ac:dyDescent="0.35">
      <c r="A278" t="str">
        <v>Id277</v>
      </c>
      <c r="B278" t="str">
        <f>VLOOKUP(A278,'Customer Names (2)'!A:B, 2,FALSE)</f>
        <v>Mr</v>
      </c>
      <c r="C278">
        <f>VLOOKUP(A278,Medical_Examinations[],2,FALSE)</f>
        <v>25.05</v>
      </c>
      <c r="D278">
        <f>VLOOKUP(A278,Medical_Examinations[],3,FALSE)</f>
        <v>4.6100000000000003</v>
      </c>
      <c r="E278" t="str">
        <f>VLOOKUP(A278,Medical_Examinations[],4,FALSE)</f>
        <v>No</v>
      </c>
      <c r="F278" t="str">
        <f>VLOOKUP(A278,Medical_Examinations[],5,FALSE)</f>
        <v>No</v>
      </c>
      <c r="G278" t="str">
        <f>VLOOKUP(A278,Medical_Examinations[],6,FALSE)</f>
        <v>No</v>
      </c>
      <c r="H278">
        <f>VLOOKUP(A278,Medical_Examinations[],7,FALSE)</f>
        <v>2</v>
      </c>
      <c r="I278" t="str">
        <f>VLOOKUP(A278,Medical_Examinations[],8,FALSE)</f>
        <v>Yes</v>
      </c>
      <c r="J278" t="str">
        <f>VLOOKUP(A278,Medical_Examinations[],9,FALSE)</f>
        <v>Overweight</v>
      </c>
      <c r="K278" t="str">
        <f>VLOOKUP(A278,Medical_Examinations[],10,FALSE)</f>
        <v>Normal</v>
      </c>
      <c r="M278">
        <f>VLOOKUP(A278,Hospitalisation_Details__2[],4,FALSE)</f>
        <v>32765.33</v>
      </c>
      <c r="N278" t="str">
        <f>VLOOKUP(A278,Hospitalisation_Details__2[],5,FALSE)</f>
        <v>tier - 2</v>
      </c>
      <c r="O278" t="str">
        <f>VLOOKUP(A278,Hospitalisation_Details__2[],6,FALSE)</f>
        <v>tier - 2</v>
      </c>
      <c r="P278" t="str">
        <f>VLOOKUP(A278,Hospitalisation_Details__2[],7,FALSE)</f>
        <v>R1012</v>
      </c>
    </row>
    <row r="279" spans="1:16" x14ac:dyDescent="0.35">
      <c r="A279" t="str">
        <v>Id278</v>
      </c>
      <c r="B279" t="str">
        <f>VLOOKUP(A279,'Customer Names (2)'!A:B, 2,FALSE)</f>
        <v>Mr</v>
      </c>
      <c r="C279">
        <f>VLOOKUP(A279,Medical_Examinations[],2,FALSE)</f>
        <v>28.34</v>
      </c>
      <c r="D279">
        <f>VLOOKUP(A279,Medical_Examinations[],3,FALSE)</f>
        <v>8.18</v>
      </c>
      <c r="E279" t="str">
        <f>VLOOKUP(A279,Medical_Examinations[],4,FALSE)</f>
        <v>No</v>
      </c>
      <c r="F279" t="str">
        <f>VLOOKUP(A279,Medical_Examinations[],5,FALSE)</f>
        <v>No</v>
      </c>
      <c r="G279" t="str">
        <f>VLOOKUP(A279,Medical_Examinations[],6,FALSE)</f>
        <v>No</v>
      </c>
      <c r="H279">
        <f>VLOOKUP(A279,Medical_Examinations[],7,FALSE)</f>
        <v>0</v>
      </c>
      <c r="I279" t="str">
        <f>VLOOKUP(A279,Medical_Examinations[],8,FALSE)</f>
        <v>Yes</v>
      </c>
      <c r="J279" t="str">
        <f>VLOOKUP(A279,Medical_Examinations[],9,FALSE)</f>
        <v>Overweight</v>
      </c>
      <c r="K279" t="str">
        <f>VLOOKUP(A279,Medical_Examinations[],10,FALSE)</f>
        <v>Diabetes</v>
      </c>
      <c r="M279">
        <f>VLOOKUP(A279,Hospitalisation_Details__2[],4,FALSE)</f>
        <v>32760.48</v>
      </c>
      <c r="N279" t="str">
        <f>VLOOKUP(A279,Hospitalisation_Details__2[],5,FALSE)</f>
        <v>tier - 1</v>
      </c>
      <c r="O279" t="str">
        <f>VLOOKUP(A279,Hospitalisation_Details__2[],6,FALSE)</f>
        <v>tier - 1</v>
      </c>
      <c r="P279" t="str">
        <f>VLOOKUP(A279,Hospitalisation_Details__2[],7,FALSE)</f>
        <v>R1011</v>
      </c>
    </row>
    <row r="280" spans="1:16" x14ac:dyDescent="0.35">
      <c r="A280" t="str">
        <v>Id279</v>
      </c>
      <c r="B280" t="str">
        <f>VLOOKUP(A280,'Customer Names (2)'!A:B, 2,FALSE)</f>
        <v>Ms</v>
      </c>
      <c r="C280">
        <f>VLOOKUP(A280,Medical_Examinations[],2,FALSE)</f>
        <v>17.765000000000001</v>
      </c>
      <c r="D280">
        <f>VLOOKUP(A280,Medical_Examinations[],3,FALSE)</f>
        <v>5.62</v>
      </c>
      <c r="E280" t="str">
        <f>VLOOKUP(A280,Medical_Examinations[],4,FALSE)</f>
        <v>No</v>
      </c>
      <c r="F280" t="str">
        <f>VLOOKUP(A280,Medical_Examinations[],5,FALSE)</f>
        <v>No</v>
      </c>
      <c r="G280" t="str">
        <f>VLOOKUP(A280,Medical_Examinations[],6,FALSE)</f>
        <v>No</v>
      </c>
      <c r="H280">
        <f>VLOOKUP(A280,Medical_Examinations[],7,FALSE)</f>
        <v>0</v>
      </c>
      <c r="I280" t="str">
        <f>VLOOKUP(A280,Medical_Examinations[],8,FALSE)</f>
        <v>Yes</v>
      </c>
      <c r="J280" t="str">
        <f>VLOOKUP(A280,Medical_Examinations[],9,FALSE)</f>
        <v>Underweight</v>
      </c>
      <c r="K280" t="str">
        <f>VLOOKUP(A280,Medical_Examinations[],10,FALSE)</f>
        <v>Normal</v>
      </c>
      <c r="M280">
        <f>VLOOKUP(A280,Hospitalisation_Details__2[],4,FALSE)</f>
        <v>32734.19</v>
      </c>
      <c r="N280" t="str">
        <f>VLOOKUP(A280,Hospitalisation_Details__2[],5,FALSE)</f>
        <v>tier - 2</v>
      </c>
      <c r="O280" t="str">
        <f>VLOOKUP(A280,Hospitalisation_Details__2[],6,FALSE)</f>
        <v>tier - 1</v>
      </c>
      <c r="P280" t="str">
        <f>VLOOKUP(A280,Hospitalisation_Details__2[],7,FALSE)</f>
        <v>R1012</v>
      </c>
    </row>
    <row r="281" spans="1:16" x14ac:dyDescent="0.35">
      <c r="A281" t="str">
        <v>Id280</v>
      </c>
      <c r="B281" t="str">
        <f>VLOOKUP(A281,'Customer Names (2)'!A:B, 2,FALSE)</f>
        <v>Mr</v>
      </c>
      <c r="C281">
        <f>VLOOKUP(A281,Medical_Examinations[],2,FALSE)</f>
        <v>36.119999999999997</v>
      </c>
      <c r="D281">
        <f>VLOOKUP(A281,Medical_Examinations[],3,FALSE)</f>
        <v>5.82</v>
      </c>
      <c r="E281" t="str">
        <f>VLOOKUP(A281,Medical_Examinations[],4,FALSE)</f>
        <v>No</v>
      </c>
      <c r="F281" t="str">
        <f>VLOOKUP(A281,Medical_Examinations[],5,FALSE)</f>
        <v>No</v>
      </c>
      <c r="G281" t="str">
        <f>VLOOKUP(A281,Medical_Examinations[],6,FALSE)</f>
        <v>No</v>
      </c>
      <c r="H281">
        <f>VLOOKUP(A281,Medical_Examinations[],7,FALSE)</f>
        <v>0</v>
      </c>
      <c r="I281" t="str">
        <f>VLOOKUP(A281,Medical_Examinations[],8,FALSE)</f>
        <v>Yes</v>
      </c>
      <c r="J281" t="str">
        <f>VLOOKUP(A281,Medical_Examinations[],9,FALSE)</f>
        <v>Obesity</v>
      </c>
      <c r="K281" t="str">
        <f>VLOOKUP(A281,Medical_Examinations[],10,FALSE)</f>
        <v>Prediabetes</v>
      </c>
      <c r="M281">
        <f>VLOOKUP(A281,Hospitalisation_Details__2[],4,FALSE)</f>
        <v>32716.2</v>
      </c>
      <c r="N281" t="str">
        <f>VLOOKUP(A281,Hospitalisation_Details__2[],5,FALSE)</f>
        <v>tier - 1</v>
      </c>
      <c r="O281" t="str">
        <f>VLOOKUP(A281,Hospitalisation_Details__2[],6,FALSE)</f>
        <v>tier - 2</v>
      </c>
      <c r="P281" t="str">
        <f>VLOOKUP(A281,Hospitalisation_Details__2[],7,FALSE)</f>
        <v>R1011</v>
      </c>
    </row>
    <row r="282" spans="1:16" x14ac:dyDescent="0.35">
      <c r="A282" t="str">
        <v>Id281</v>
      </c>
      <c r="B282" t="str">
        <f>VLOOKUP(A282,'Customer Names (2)'!A:B, 2,FALSE)</f>
        <v>Ms</v>
      </c>
      <c r="C282">
        <f>VLOOKUP(A282,Medical_Examinations[],2,FALSE)</f>
        <v>23.19</v>
      </c>
      <c r="D282">
        <f>VLOOKUP(A282,Medical_Examinations[],3,FALSE)</f>
        <v>7.66</v>
      </c>
      <c r="E282" t="str">
        <f>VLOOKUP(A282,Medical_Examinations[],4,FALSE)</f>
        <v>No</v>
      </c>
      <c r="F282" t="str">
        <f>VLOOKUP(A282,Medical_Examinations[],5,FALSE)</f>
        <v>No</v>
      </c>
      <c r="G282" t="str">
        <f>VLOOKUP(A282,Medical_Examinations[],6,FALSE)</f>
        <v>No</v>
      </c>
      <c r="H282">
        <f>VLOOKUP(A282,Medical_Examinations[],7,FALSE)</f>
        <v>0</v>
      </c>
      <c r="I282" t="str">
        <f>VLOOKUP(A282,Medical_Examinations[],8,FALSE)</f>
        <v>Yes</v>
      </c>
      <c r="J282" t="str">
        <f>VLOOKUP(A282,Medical_Examinations[],9,FALSE)</f>
        <v>Normal Weight</v>
      </c>
      <c r="K282" t="str">
        <f>VLOOKUP(A282,Medical_Examinations[],10,FALSE)</f>
        <v>Diabetes</v>
      </c>
      <c r="M282">
        <f>VLOOKUP(A282,Hospitalisation_Details__2[],4,FALSE)</f>
        <v>32686.080000000002</v>
      </c>
      <c r="N282" t="str">
        <f>VLOOKUP(A282,Hospitalisation_Details__2[],5,FALSE)</f>
        <v>tier - 2</v>
      </c>
      <c r="O282" t="str">
        <f>VLOOKUP(A282,Hospitalisation_Details__2[],6,FALSE)</f>
        <v>tier - 3</v>
      </c>
      <c r="P282" t="str">
        <f>VLOOKUP(A282,Hospitalisation_Details__2[],7,FALSE)</f>
        <v>R1011</v>
      </c>
    </row>
    <row r="283" spans="1:16" x14ac:dyDescent="0.35">
      <c r="A283" t="str">
        <v>Id282</v>
      </c>
      <c r="B283" t="str">
        <f>VLOOKUP(A283,'Customer Names (2)'!A:B, 2,FALSE)</f>
        <v>Mr</v>
      </c>
      <c r="C283">
        <f>VLOOKUP(A283,Medical_Examinations[],2,FALSE)</f>
        <v>35.99</v>
      </c>
      <c r="D283">
        <f>VLOOKUP(A283,Medical_Examinations[],3,FALSE)</f>
        <v>4.2300000000000004</v>
      </c>
      <c r="E283" t="str">
        <f>VLOOKUP(A283,Medical_Examinations[],4,FALSE)</f>
        <v>No</v>
      </c>
      <c r="F283" t="str">
        <f>VLOOKUP(A283,Medical_Examinations[],5,FALSE)</f>
        <v>No</v>
      </c>
      <c r="G283" t="str">
        <f>VLOOKUP(A283,Medical_Examinations[],6,FALSE)</f>
        <v>No</v>
      </c>
      <c r="H283">
        <f>VLOOKUP(A283,Medical_Examinations[],7,FALSE)</f>
        <v>0</v>
      </c>
      <c r="I283" t="str">
        <f>VLOOKUP(A283,Medical_Examinations[],8,FALSE)</f>
        <v>Yes</v>
      </c>
      <c r="J283" t="str">
        <f>VLOOKUP(A283,Medical_Examinations[],9,FALSE)</f>
        <v>Obesity</v>
      </c>
      <c r="K283" t="str">
        <f>VLOOKUP(A283,Medical_Examinations[],10,FALSE)</f>
        <v>Normal</v>
      </c>
      <c r="M283">
        <f>VLOOKUP(A283,Hospitalisation_Details__2[],4,FALSE)</f>
        <v>32672.11</v>
      </c>
      <c r="N283" t="str">
        <f>VLOOKUP(A283,Hospitalisation_Details__2[],5,FALSE)</f>
        <v>tier - 1</v>
      </c>
      <c r="O283" t="str">
        <f>VLOOKUP(A283,Hospitalisation_Details__2[],6,FALSE)</f>
        <v>tier - 1</v>
      </c>
      <c r="P283" t="str">
        <f>VLOOKUP(A283,Hospitalisation_Details__2[],7,FALSE)</f>
        <v>R1011</v>
      </c>
    </row>
    <row r="284" spans="1:16" x14ac:dyDescent="0.35">
      <c r="A284" t="str">
        <v>Id283</v>
      </c>
      <c r="B284" t="str">
        <f>VLOOKUP(A284,'Customer Names (2)'!A:B, 2,FALSE)</f>
        <v>Mr</v>
      </c>
      <c r="C284">
        <f>VLOOKUP(A284,Medical_Examinations[],2,FALSE)</f>
        <v>30.25</v>
      </c>
      <c r="D284">
        <f>VLOOKUP(A284,Medical_Examinations[],3,FALSE)</f>
        <v>5.58</v>
      </c>
      <c r="E284" t="str">
        <f>VLOOKUP(A284,Medical_Examinations[],4,FALSE)</f>
        <v>No</v>
      </c>
      <c r="F284" t="str">
        <f>VLOOKUP(A284,Medical_Examinations[],5,FALSE)</f>
        <v>No</v>
      </c>
      <c r="G284" t="str">
        <f>VLOOKUP(A284,Medical_Examinations[],6,FALSE)</f>
        <v>Yes</v>
      </c>
      <c r="H284">
        <f>VLOOKUP(A284,Medical_Examinations[],7,FALSE)</f>
        <v>1</v>
      </c>
      <c r="I284" t="str">
        <f>VLOOKUP(A284,Medical_Examinations[],8,FALSE)</f>
        <v>Yes</v>
      </c>
      <c r="J284" t="str">
        <f>VLOOKUP(A284,Medical_Examinations[],9,FALSE)</f>
        <v>Obesity</v>
      </c>
      <c r="K284" t="str">
        <f>VLOOKUP(A284,Medical_Examinations[],10,FALSE)</f>
        <v>Normal</v>
      </c>
      <c r="M284">
        <f>VLOOKUP(A284,Hospitalisation_Details__2[],4,FALSE)</f>
        <v>32548.34</v>
      </c>
      <c r="N284" t="str">
        <f>VLOOKUP(A284,Hospitalisation_Details__2[],5,FALSE)</f>
        <v>tier - 1</v>
      </c>
      <c r="O284" t="str">
        <f>VLOOKUP(A284,Hospitalisation_Details__2[],6,FALSE)</f>
        <v>tier - 2</v>
      </c>
      <c r="P284" t="str">
        <f>VLOOKUP(A284,Hospitalisation_Details__2[],7,FALSE)</f>
        <v>R1013</v>
      </c>
    </row>
    <row r="285" spans="1:16" x14ac:dyDescent="0.35">
      <c r="A285" t="str">
        <v>Id284</v>
      </c>
      <c r="B285" t="str">
        <f>VLOOKUP(A285,'Customer Names (2)'!A:B, 2,FALSE)</f>
        <v>Mr</v>
      </c>
      <c r="C285">
        <f>VLOOKUP(A285,Medical_Examinations[],2,FALSE)</f>
        <v>26.24</v>
      </c>
      <c r="D285">
        <f>VLOOKUP(A285,Medical_Examinations[],3,FALSE)</f>
        <v>6.26</v>
      </c>
      <c r="E285" t="str">
        <f>VLOOKUP(A285,Medical_Examinations[],4,FALSE)</f>
        <v>Yes</v>
      </c>
      <c r="F285" t="str">
        <f>VLOOKUP(A285,Medical_Examinations[],5,FALSE)</f>
        <v>No</v>
      </c>
      <c r="G285" t="str">
        <f>VLOOKUP(A285,Medical_Examinations[],6,FALSE)</f>
        <v>No</v>
      </c>
      <c r="H285">
        <f>VLOOKUP(A285,Medical_Examinations[],7,FALSE)</f>
        <v>0</v>
      </c>
      <c r="I285" t="str">
        <f>VLOOKUP(A285,Medical_Examinations[],8,FALSE)</f>
        <v>Yes</v>
      </c>
      <c r="J285" t="str">
        <f>VLOOKUP(A285,Medical_Examinations[],9,FALSE)</f>
        <v>Overweight</v>
      </c>
      <c r="K285" t="str">
        <f>VLOOKUP(A285,Medical_Examinations[],10,FALSE)</f>
        <v>Prediabetes</v>
      </c>
      <c r="M285">
        <f>VLOOKUP(A285,Hospitalisation_Details__2[],4,FALSE)</f>
        <v>32485.46</v>
      </c>
      <c r="N285" t="str">
        <f>VLOOKUP(A285,Hospitalisation_Details__2[],5,FALSE)</f>
        <v>tier - 2</v>
      </c>
      <c r="O285" t="str">
        <f>VLOOKUP(A285,Hospitalisation_Details__2[],6,FALSE)</f>
        <v>tier - 1</v>
      </c>
      <c r="P285" t="str">
        <f>VLOOKUP(A285,Hospitalisation_Details__2[],7,FALSE)</f>
        <v>R1011</v>
      </c>
    </row>
    <row r="286" spans="1:16" x14ac:dyDescent="0.35">
      <c r="A286" t="str">
        <v>Id285</v>
      </c>
      <c r="B286" t="str">
        <f>VLOOKUP(A286,'Customer Names (2)'!A:B, 2,FALSE)</f>
        <v>Mr</v>
      </c>
      <c r="C286">
        <f>VLOOKUP(A286,Medical_Examinations[],2,FALSE)</f>
        <v>31.36</v>
      </c>
      <c r="D286">
        <f>VLOOKUP(A286,Medical_Examinations[],3,FALSE)</f>
        <v>10.6</v>
      </c>
      <c r="E286" t="str">
        <f>VLOOKUP(A286,Medical_Examinations[],4,FALSE)</f>
        <v>Yes</v>
      </c>
      <c r="F286" t="str">
        <f>VLOOKUP(A286,Medical_Examinations[],5,FALSE)</f>
        <v>No</v>
      </c>
      <c r="G286" t="str">
        <f>VLOOKUP(A286,Medical_Examinations[],6,FALSE)</f>
        <v>No</v>
      </c>
      <c r="H286">
        <f>VLOOKUP(A286,Medical_Examinations[],7,FALSE)</f>
        <v>0</v>
      </c>
      <c r="I286" t="str">
        <f>VLOOKUP(A286,Medical_Examinations[],8,FALSE)</f>
        <v>Yes</v>
      </c>
      <c r="J286" t="str">
        <f>VLOOKUP(A286,Medical_Examinations[],9,FALSE)</f>
        <v>Obesity</v>
      </c>
      <c r="K286" t="str">
        <f>VLOOKUP(A286,Medical_Examinations[],10,FALSE)</f>
        <v>Diabetes</v>
      </c>
      <c r="M286">
        <f>VLOOKUP(A286,Hospitalisation_Details__2[],4,FALSE)</f>
        <v>32462.35</v>
      </c>
      <c r="N286" t="str">
        <f>VLOOKUP(A286,Hospitalisation_Details__2[],5,FALSE)</f>
        <v>tier - 2</v>
      </c>
      <c r="O286" t="str">
        <f>VLOOKUP(A286,Hospitalisation_Details__2[],6,FALSE)</f>
        <v>tier - 2</v>
      </c>
      <c r="P286" t="str">
        <f>VLOOKUP(A286,Hospitalisation_Details__2[],7,FALSE)</f>
        <v>R1011</v>
      </c>
    </row>
    <row r="287" spans="1:16" x14ac:dyDescent="0.35">
      <c r="A287" t="str">
        <v>Id286</v>
      </c>
      <c r="B287" t="str">
        <f>VLOOKUP(A287,'Customer Names (2)'!A:B, 2,FALSE)</f>
        <v>Ms</v>
      </c>
      <c r="C287">
        <f>VLOOKUP(A287,Medical_Examinations[],2,FALSE)</f>
        <v>25.69</v>
      </c>
      <c r="D287">
        <f>VLOOKUP(A287,Medical_Examinations[],3,FALSE)</f>
        <v>4.78</v>
      </c>
      <c r="E287" t="str">
        <f>VLOOKUP(A287,Medical_Examinations[],4,FALSE)</f>
        <v>Yes</v>
      </c>
      <c r="F287" t="str">
        <f>VLOOKUP(A287,Medical_Examinations[],5,FALSE)</f>
        <v>No</v>
      </c>
      <c r="G287" t="str">
        <f>VLOOKUP(A287,Medical_Examinations[],6,FALSE)</f>
        <v>No</v>
      </c>
      <c r="H287">
        <f>VLOOKUP(A287,Medical_Examinations[],7,FALSE)</f>
        <v>0</v>
      </c>
      <c r="I287" t="str">
        <f>VLOOKUP(A287,Medical_Examinations[],8,FALSE)</f>
        <v>Yes</v>
      </c>
      <c r="J287" t="str">
        <f>VLOOKUP(A287,Medical_Examinations[],9,FALSE)</f>
        <v>Overweight</v>
      </c>
      <c r="K287" t="str">
        <f>VLOOKUP(A287,Medical_Examinations[],10,FALSE)</f>
        <v>Normal</v>
      </c>
      <c r="M287">
        <f>VLOOKUP(A287,Hospitalisation_Details__2[],4,FALSE)</f>
        <v>32430.22</v>
      </c>
      <c r="N287" t="str">
        <f>VLOOKUP(A287,Hospitalisation_Details__2[],5,FALSE)</f>
        <v>tier - 2</v>
      </c>
      <c r="O287" t="str">
        <f>VLOOKUP(A287,Hospitalisation_Details__2[],6,FALSE)</f>
        <v>tier - 3</v>
      </c>
      <c r="P287" t="str">
        <f>VLOOKUP(A287,Hospitalisation_Details__2[],7,FALSE)</f>
        <v>R1011</v>
      </c>
    </row>
    <row r="288" spans="1:16" x14ac:dyDescent="0.35">
      <c r="A288" t="str">
        <v>Id287</v>
      </c>
      <c r="B288" t="str">
        <f>VLOOKUP(A288,'Customer Names (2)'!A:B, 2,FALSE)</f>
        <v>Ms</v>
      </c>
      <c r="C288">
        <f>VLOOKUP(A288,Medical_Examinations[],2,FALSE)</f>
        <v>25.46</v>
      </c>
      <c r="D288">
        <f>VLOOKUP(A288,Medical_Examinations[],3,FALSE)</f>
        <v>6.03</v>
      </c>
      <c r="E288" t="str">
        <f>VLOOKUP(A288,Medical_Examinations[],4,FALSE)</f>
        <v>No</v>
      </c>
      <c r="F288" t="str">
        <f>VLOOKUP(A288,Medical_Examinations[],5,FALSE)</f>
        <v>No</v>
      </c>
      <c r="G288" t="str">
        <f>VLOOKUP(A288,Medical_Examinations[],6,FALSE)</f>
        <v>No</v>
      </c>
      <c r="H288">
        <f>VLOOKUP(A288,Medical_Examinations[],7,FALSE)</f>
        <v>2</v>
      </c>
      <c r="I288" t="str">
        <f>VLOOKUP(A288,Medical_Examinations[],8,FALSE)</f>
        <v>Yes</v>
      </c>
      <c r="J288" t="str">
        <f>VLOOKUP(A288,Medical_Examinations[],9,FALSE)</f>
        <v>Overweight</v>
      </c>
      <c r="K288" t="str">
        <f>VLOOKUP(A288,Medical_Examinations[],10,FALSE)</f>
        <v>Prediabetes</v>
      </c>
      <c r="M288">
        <f>VLOOKUP(A288,Hospitalisation_Details__2[],4,FALSE)</f>
        <v>32428.63</v>
      </c>
      <c r="N288" t="str">
        <f>VLOOKUP(A288,Hospitalisation_Details__2[],5,FALSE)</f>
        <v>tier - 2</v>
      </c>
      <c r="O288" t="str">
        <f>VLOOKUP(A288,Hospitalisation_Details__2[],6,FALSE)</f>
        <v>tier - 2</v>
      </c>
      <c r="P288" t="str">
        <f>VLOOKUP(A288,Hospitalisation_Details__2[],7,FALSE)</f>
        <v>R1011</v>
      </c>
    </row>
    <row r="289" spans="1:16" x14ac:dyDescent="0.35">
      <c r="A289" t="str">
        <v>Id288</v>
      </c>
      <c r="B289" t="str">
        <f>VLOOKUP(A289,'Customer Names (2)'!A:B, 2,FALSE)</f>
        <v>Mr</v>
      </c>
      <c r="C289">
        <f>VLOOKUP(A289,Medical_Examinations[],2,FALSE)</f>
        <v>31.83</v>
      </c>
      <c r="D289">
        <f>VLOOKUP(A289,Medical_Examinations[],3,FALSE)</f>
        <v>11.55</v>
      </c>
      <c r="E289" t="str">
        <f>VLOOKUP(A289,Medical_Examinations[],4,FALSE)</f>
        <v>Yes</v>
      </c>
      <c r="F289" t="str">
        <f>VLOOKUP(A289,Medical_Examinations[],5,FALSE)</f>
        <v>No</v>
      </c>
      <c r="G289" t="str">
        <f>VLOOKUP(A289,Medical_Examinations[],6,FALSE)</f>
        <v>No</v>
      </c>
      <c r="H289">
        <f>VLOOKUP(A289,Medical_Examinations[],7,FALSE)</f>
        <v>1</v>
      </c>
      <c r="I289" t="str">
        <f>VLOOKUP(A289,Medical_Examinations[],8,FALSE)</f>
        <v>Yes</v>
      </c>
      <c r="J289" t="str">
        <f>VLOOKUP(A289,Medical_Examinations[],9,FALSE)</f>
        <v>Obesity</v>
      </c>
      <c r="K289" t="str">
        <f>VLOOKUP(A289,Medical_Examinations[],10,FALSE)</f>
        <v>Diabetes</v>
      </c>
      <c r="M289">
        <f>VLOOKUP(A289,Hospitalisation_Details__2[],4,FALSE)</f>
        <v>32288.49</v>
      </c>
      <c r="N289" t="str">
        <f>VLOOKUP(A289,Hospitalisation_Details__2[],5,FALSE)</f>
        <v>tier - 2</v>
      </c>
      <c r="O289" t="str">
        <f>VLOOKUP(A289,Hospitalisation_Details__2[],6,FALSE)</f>
        <v>tier - 2</v>
      </c>
      <c r="P289" t="str">
        <f>VLOOKUP(A289,Hospitalisation_Details__2[],7,FALSE)</f>
        <v>R1011</v>
      </c>
    </row>
    <row r="290" spans="1:16" x14ac:dyDescent="0.35">
      <c r="A290" t="str">
        <v>Id289</v>
      </c>
      <c r="B290" t="str">
        <f>VLOOKUP(A290,'Customer Names (2)'!A:B, 2,FALSE)</f>
        <v>Mr</v>
      </c>
      <c r="C290">
        <f>VLOOKUP(A290,Medical_Examinations[],2,FALSE)</f>
        <v>24.43</v>
      </c>
      <c r="D290">
        <f>VLOOKUP(A290,Medical_Examinations[],3,FALSE)</f>
        <v>7.59</v>
      </c>
      <c r="E290" t="str">
        <f>VLOOKUP(A290,Medical_Examinations[],4,FALSE)</f>
        <v>Yes</v>
      </c>
      <c r="F290" t="str">
        <f>VLOOKUP(A290,Medical_Examinations[],5,FALSE)</f>
        <v>No</v>
      </c>
      <c r="G290" t="str">
        <f>VLOOKUP(A290,Medical_Examinations[],6,FALSE)</f>
        <v>No</v>
      </c>
      <c r="H290">
        <f>VLOOKUP(A290,Medical_Examinations[],7,FALSE)</f>
        <v>1</v>
      </c>
      <c r="I290" t="str">
        <f>VLOOKUP(A290,Medical_Examinations[],8,FALSE)</f>
        <v>Yes</v>
      </c>
      <c r="J290" t="str">
        <f>VLOOKUP(A290,Medical_Examinations[],9,FALSE)</f>
        <v>Normal Weight</v>
      </c>
      <c r="K290" t="str">
        <f>VLOOKUP(A290,Medical_Examinations[],10,FALSE)</f>
        <v>Diabetes</v>
      </c>
      <c r="M290">
        <f>VLOOKUP(A290,Hospitalisation_Details__2[],4,FALSE)</f>
        <v>32259.96</v>
      </c>
      <c r="N290" t="str">
        <f>VLOOKUP(A290,Hospitalisation_Details__2[],5,FALSE)</f>
        <v>tier - 2</v>
      </c>
      <c r="O290" t="str">
        <f>VLOOKUP(A290,Hospitalisation_Details__2[],6,FALSE)</f>
        <v>tier - 3</v>
      </c>
      <c r="P290" t="str">
        <f>VLOOKUP(A290,Hospitalisation_Details__2[],7,FALSE)</f>
        <v>R1012</v>
      </c>
    </row>
    <row r="291" spans="1:16" x14ac:dyDescent="0.35">
      <c r="A291" t="str">
        <v>Id290</v>
      </c>
      <c r="B291" t="str">
        <f>VLOOKUP(A291,'Customer Names (2)'!A:B, 2,FALSE)</f>
        <v>Mr</v>
      </c>
      <c r="C291">
        <f>VLOOKUP(A291,Medical_Examinations[],2,FALSE)</f>
        <v>41.9</v>
      </c>
      <c r="D291">
        <f>VLOOKUP(A291,Medical_Examinations[],3,FALSE)</f>
        <v>4.26</v>
      </c>
      <c r="E291" t="str">
        <f>VLOOKUP(A291,Medical_Examinations[],4,FALSE)</f>
        <v>No</v>
      </c>
      <c r="F291" t="str">
        <f>VLOOKUP(A291,Medical_Examinations[],5,FALSE)</f>
        <v>No</v>
      </c>
      <c r="G291" t="str">
        <f>VLOOKUP(A291,Medical_Examinations[],6,FALSE)</f>
        <v>No</v>
      </c>
      <c r="H291">
        <f>VLOOKUP(A291,Medical_Examinations[],7,FALSE)</f>
        <v>0</v>
      </c>
      <c r="I291" t="str">
        <f>VLOOKUP(A291,Medical_Examinations[],8,FALSE)</f>
        <v>Yes</v>
      </c>
      <c r="J291" t="str">
        <f>VLOOKUP(A291,Medical_Examinations[],9,FALSE)</f>
        <v>Obesity</v>
      </c>
      <c r="K291" t="str">
        <f>VLOOKUP(A291,Medical_Examinations[],10,FALSE)</f>
        <v>Normal</v>
      </c>
      <c r="M291">
        <f>VLOOKUP(A291,Hospitalisation_Details__2[],4,FALSE)</f>
        <v>32222.81</v>
      </c>
      <c r="N291" t="str">
        <f>VLOOKUP(A291,Hospitalisation_Details__2[],5,FALSE)</f>
        <v>tier - 2</v>
      </c>
      <c r="O291" t="str">
        <f>VLOOKUP(A291,Hospitalisation_Details__2[],6,FALSE)</f>
        <v>tier - 1</v>
      </c>
      <c r="P291" t="str">
        <f>VLOOKUP(A291,Hospitalisation_Details__2[],7,FALSE)</f>
        <v>R1011</v>
      </c>
    </row>
    <row r="292" spans="1:16" x14ac:dyDescent="0.35">
      <c r="A292" t="str">
        <v>Id291</v>
      </c>
      <c r="B292" t="str">
        <f>VLOOKUP(A292,'Customer Names (2)'!A:B, 2,FALSE)</f>
        <v>Mr</v>
      </c>
      <c r="C292">
        <f>VLOOKUP(A292,Medical_Examinations[],2,FALSE)</f>
        <v>22.88</v>
      </c>
      <c r="D292">
        <f>VLOOKUP(A292,Medical_Examinations[],3,FALSE)</f>
        <v>5.9</v>
      </c>
      <c r="E292" t="str">
        <f>VLOOKUP(A292,Medical_Examinations[],4,FALSE)</f>
        <v>Yes</v>
      </c>
      <c r="F292" t="str">
        <f>VLOOKUP(A292,Medical_Examinations[],5,FALSE)</f>
        <v>No</v>
      </c>
      <c r="G292" t="str">
        <f>VLOOKUP(A292,Medical_Examinations[],6,FALSE)</f>
        <v>Yes</v>
      </c>
      <c r="H292">
        <f>VLOOKUP(A292,Medical_Examinations[],7,FALSE)</f>
        <v>1</v>
      </c>
      <c r="I292" t="str">
        <f>VLOOKUP(A292,Medical_Examinations[],8,FALSE)</f>
        <v>Yes</v>
      </c>
      <c r="J292" t="str">
        <f>VLOOKUP(A292,Medical_Examinations[],9,FALSE)</f>
        <v>Normal Weight</v>
      </c>
      <c r="K292" t="str">
        <f>VLOOKUP(A292,Medical_Examinations[],10,FALSE)</f>
        <v>Prediabetes</v>
      </c>
      <c r="M292">
        <f>VLOOKUP(A292,Hospitalisation_Details__2[],4,FALSE)</f>
        <v>32192.76</v>
      </c>
      <c r="N292" t="str">
        <f>VLOOKUP(A292,Hospitalisation_Details__2[],5,FALSE)</f>
        <v>tier - 1</v>
      </c>
      <c r="O292" t="str">
        <f>VLOOKUP(A292,Hospitalisation_Details__2[],6,FALSE)</f>
        <v>tier - 2</v>
      </c>
      <c r="P292" t="str">
        <f>VLOOKUP(A292,Hospitalisation_Details__2[],7,FALSE)</f>
        <v>R1011</v>
      </c>
    </row>
    <row r="293" spans="1:16" x14ac:dyDescent="0.35">
      <c r="A293" t="str">
        <v>Id292</v>
      </c>
      <c r="B293" t="str">
        <f>VLOOKUP(A293,'Customer Names (2)'!A:B, 2,FALSE)</f>
        <v>Mr</v>
      </c>
      <c r="C293">
        <f>VLOOKUP(A293,Medical_Examinations[],2,FALSE)</f>
        <v>29.734999999999999</v>
      </c>
      <c r="D293">
        <f>VLOOKUP(A293,Medical_Examinations[],3,FALSE)</f>
        <v>7.79</v>
      </c>
      <c r="E293" t="str">
        <f>VLOOKUP(A293,Medical_Examinations[],4,FALSE)</f>
        <v>No</v>
      </c>
      <c r="F293" t="str">
        <f>VLOOKUP(A293,Medical_Examinations[],5,FALSE)</f>
        <v>No</v>
      </c>
      <c r="G293" t="str">
        <f>VLOOKUP(A293,Medical_Examinations[],6,FALSE)</f>
        <v>No</v>
      </c>
      <c r="H293">
        <f>VLOOKUP(A293,Medical_Examinations[],7,FALSE)</f>
        <v>0</v>
      </c>
      <c r="I293" t="str">
        <f>VLOOKUP(A293,Medical_Examinations[],8,FALSE)</f>
        <v>No</v>
      </c>
      <c r="J293" t="str">
        <f>VLOOKUP(A293,Medical_Examinations[],9,FALSE)</f>
        <v>Overweight</v>
      </c>
      <c r="K293" t="str">
        <f>VLOOKUP(A293,Medical_Examinations[],10,FALSE)</f>
        <v>Diabetes</v>
      </c>
      <c r="M293">
        <f>VLOOKUP(A293,Hospitalisation_Details__2[],4,FALSE)</f>
        <v>32108.66</v>
      </c>
      <c r="N293" t="str">
        <f>VLOOKUP(A293,Hospitalisation_Details__2[],5,FALSE)</f>
        <v>tier - 1</v>
      </c>
      <c r="O293" t="str">
        <f>VLOOKUP(A293,Hospitalisation_Details__2[],6,FALSE)</f>
        <v>tier - 3</v>
      </c>
      <c r="P293" t="str">
        <f>VLOOKUP(A293,Hospitalisation_Details__2[],7,FALSE)</f>
        <v>R1017</v>
      </c>
    </row>
    <row r="294" spans="1:16" x14ac:dyDescent="0.35">
      <c r="A294" t="str">
        <v>Id293</v>
      </c>
      <c r="B294" t="str">
        <f>VLOOKUP(A294,'Customer Names (2)'!A:B, 2,FALSE)</f>
        <v>Mr</v>
      </c>
      <c r="C294">
        <f>VLOOKUP(A294,Medical_Examinations[],2,FALSE)</f>
        <v>40.74</v>
      </c>
      <c r="D294">
        <f>VLOOKUP(A294,Medical_Examinations[],3,FALSE)</f>
        <v>5.28</v>
      </c>
      <c r="E294" t="str">
        <f>VLOOKUP(A294,Medical_Examinations[],4,FALSE)</f>
        <v>No</v>
      </c>
      <c r="F294" t="str">
        <f>VLOOKUP(A294,Medical_Examinations[],5,FALSE)</f>
        <v>No</v>
      </c>
      <c r="G294" t="str">
        <f>VLOOKUP(A294,Medical_Examinations[],6,FALSE)</f>
        <v>Yes</v>
      </c>
      <c r="H294">
        <f>VLOOKUP(A294,Medical_Examinations[],7,FALSE)</f>
        <v>1</v>
      </c>
      <c r="I294" t="str">
        <f>VLOOKUP(A294,Medical_Examinations[],8,FALSE)</f>
        <v>Yes</v>
      </c>
      <c r="J294" t="str">
        <f>VLOOKUP(A294,Medical_Examinations[],9,FALSE)</f>
        <v>Obesity</v>
      </c>
      <c r="K294" t="str">
        <f>VLOOKUP(A294,Medical_Examinations[],10,FALSE)</f>
        <v>Normal</v>
      </c>
      <c r="M294">
        <f>VLOOKUP(A294,Hospitalisation_Details__2[],4,FALSE)</f>
        <v>32086.21</v>
      </c>
      <c r="N294" t="str">
        <f>VLOOKUP(A294,Hospitalisation_Details__2[],5,FALSE)</f>
        <v>tier - 1</v>
      </c>
      <c r="O294" t="str">
        <f>VLOOKUP(A294,Hospitalisation_Details__2[],6,FALSE)</f>
        <v>tier - 3</v>
      </c>
      <c r="P294" t="str">
        <f>VLOOKUP(A294,Hospitalisation_Details__2[],7,FALSE)</f>
        <v>R1011</v>
      </c>
    </row>
    <row r="295" spans="1:16" x14ac:dyDescent="0.35">
      <c r="A295" t="str">
        <v>Id294</v>
      </c>
      <c r="B295" t="str">
        <f>VLOOKUP(A295,'Customer Names (2)'!A:B, 2,FALSE)</f>
        <v>Ms</v>
      </c>
      <c r="C295">
        <f>VLOOKUP(A295,Medical_Examinations[],2,FALSE)</f>
        <v>24.14</v>
      </c>
      <c r="D295">
        <f>VLOOKUP(A295,Medical_Examinations[],3,FALSE)</f>
        <v>5.87</v>
      </c>
      <c r="E295" t="str">
        <f>VLOOKUP(A295,Medical_Examinations[],4,FALSE)</f>
        <v>No</v>
      </c>
      <c r="F295" t="str">
        <f>VLOOKUP(A295,Medical_Examinations[],5,FALSE)</f>
        <v>No</v>
      </c>
      <c r="G295" t="str">
        <f>VLOOKUP(A295,Medical_Examinations[],6,FALSE)</f>
        <v>No</v>
      </c>
      <c r="H295">
        <f>VLOOKUP(A295,Medical_Examinations[],7,FALSE)</f>
        <v>2</v>
      </c>
      <c r="I295" t="str">
        <f>VLOOKUP(A295,Medical_Examinations[],8,FALSE)</f>
        <v>Yes</v>
      </c>
      <c r="J295" t="str">
        <f>VLOOKUP(A295,Medical_Examinations[],9,FALSE)</f>
        <v>Normal Weight</v>
      </c>
      <c r="K295" t="str">
        <f>VLOOKUP(A295,Medical_Examinations[],10,FALSE)</f>
        <v>Prediabetes</v>
      </c>
      <c r="M295">
        <f>VLOOKUP(A295,Hospitalisation_Details__2[],4,FALSE)</f>
        <v>31980.89</v>
      </c>
      <c r="N295" t="str">
        <f>VLOOKUP(A295,Hospitalisation_Details__2[],5,FALSE)</f>
        <v>tier - 2</v>
      </c>
      <c r="O295" t="str">
        <f>VLOOKUP(A295,Hospitalisation_Details__2[],6,FALSE)</f>
        <v>tier - 1</v>
      </c>
      <c r="P295" t="str">
        <f>VLOOKUP(A295,Hospitalisation_Details__2[],7,FALSE)</f>
        <v>R1011</v>
      </c>
    </row>
    <row r="296" spans="1:16" x14ac:dyDescent="0.35">
      <c r="A296" t="str">
        <v>Id295</v>
      </c>
      <c r="B296" t="str">
        <f>VLOOKUP(A296,'Customer Names (2)'!A:B, 2,FALSE)</f>
        <v>Mr</v>
      </c>
      <c r="C296">
        <f>VLOOKUP(A296,Medical_Examinations[],2,FALSE)</f>
        <v>25.15</v>
      </c>
      <c r="D296">
        <f>VLOOKUP(A296,Medical_Examinations[],3,FALSE)</f>
        <v>9.08</v>
      </c>
      <c r="E296" t="str">
        <f>VLOOKUP(A296,Medical_Examinations[],4,FALSE)</f>
        <v>Yes</v>
      </c>
      <c r="F296" t="str">
        <f>VLOOKUP(A296,Medical_Examinations[],5,FALSE)</f>
        <v>No</v>
      </c>
      <c r="G296" t="str">
        <f>VLOOKUP(A296,Medical_Examinations[],6,FALSE)</f>
        <v>No</v>
      </c>
      <c r="H296">
        <f>VLOOKUP(A296,Medical_Examinations[],7,FALSE)</f>
        <v>1</v>
      </c>
      <c r="I296" t="str">
        <f>VLOOKUP(A296,Medical_Examinations[],8,FALSE)</f>
        <v>Yes</v>
      </c>
      <c r="J296" t="str">
        <f>VLOOKUP(A296,Medical_Examinations[],9,FALSE)</f>
        <v>Overweight</v>
      </c>
      <c r="K296" t="str">
        <f>VLOOKUP(A296,Medical_Examinations[],10,FALSE)</f>
        <v>Diabetes</v>
      </c>
      <c r="M296">
        <f>VLOOKUP(A296,Hospitalisation_Details__2[],4,FALSE)</f>
        <v>31897.1</v>
      </c>
      <c r="N296" t="str">
        <f>VLOOKUP(A296,Hospitalisation_Details__2[],5,FALSE)</f>
        <v>tier - 2</v>
      </c>
      <c r="O296" t="str">
        <f>VLOOKUP(A296,Hospitalisation_Details__2[],6,FALSE)</f>
        <v>tier - 3</v>
      </c>
      <c r="P296" t="str">
        <f>VLOOKUP(A296,Hospitalisation_Details__2[],7,FALSE)</f>
        <v>R1011</v>
      </c>
    </row>
    <row r="297" spans="1:16" x14ac:dyDescent="0.35">
      <c r="A297" t="str">
        <v>Id296</v>
      </c>
      <c r="B297" t="str">
        <f>VLOOKUP(A297,'Customer Names (2)'!A:B, 2,FALSE)</f>
        <v>Mr</v>
      </c>
      <c r="C297">
        <f>VLOOKUP(A297,Medical_Examinations[],2,FALSE)</f>
        <v>28.71</v>
      </c>
      <c r="D297">
        <f>VLOOKUP(A297,Medical_Examinations[],3,FALSE)</f>
        <v>5.2</v>
      </c>
      <c r="E297" t="str">
        <f>VLOOKUP(A297,Medical_Examinations[],4,FALSE)</f>
        <v>No</v>
      </c>
      <c r="F297" t="str">
        <f>VLOOKUP(A297,Medical_Examinations[],5,FALSE)</f>
        <v>No</v>
      </c>
      <c r="G297" t="str">
        <f>VLOOKUP(A297,Medical_Examinations[],6,FALSE)</f>
        <v>No</v>
      </c>
      <c r="H297">
        <f>VLOOKUP(A297,Medical_Examinations[],7,FALSE)</f>
        <v>1</v>
      </c>
      <c r="I297" t="str">
        <f>VLOOKUP(A297,Medical_Examinations[],8,FALSE)</f>
        <v>Yes</v>
      </c>
      <c r="J297" t="str">
        <f>VLOOKUP(A297,Medical_Examinations[],9,FALSE)</f>
        <v>Overweight</v>
      </c>
      <c r="K297" t="str">
        <f>VLOOKUP(A297,Medical_Examinations[],10,FALSE)</f>
        <v>Normal</v>
      </c>
      <c r="M297">
        <f>VLOOKUP(A297,Hospitalisation_Details__2[],4,FALSE)</f>
        <v>31743.919999999998</v>
      </c>
      <c r="N297" t="str">
        <f>VLOOKUP(A297,Hospitalisation_Details__2[],5,FALSE)</f>
        <v>tier - 2</v>
      </c>
      <c r="O297" t="str">
        <f>VLOOKUP(A297,Hospitalisation_Details__2[],6,FALSE)</f>
        <v>tier - 1</v>
      </c>
      <c r="P297" t="str">
        <f>VLOOKUP(A297,Hospitalisation_Details__2[],7,FALSE)</f>
        <v>R1011</v>
      </c>
    </row>
    <row r="298" spans="1:16" x14ac:dyDescent="0.35">
      <c r="A298" t="str">
        <v>Id297</v>
      </c>
      <c r="B298" t="str">
        <f>VLOOKUP(A298,'Customer Names (2)'!A:B, 2,FALSE)</f>
        <v>Mr</v>
      </c>
      <c r="C298">
        <f>VLOOKUP(A298,Medical_Examinations[],2,FALSE)</f>
        <v>23</v>
      </c>
      <c r="D298">
        <f>VLOOKUP(A298,Medical_Examinations[],3,FALSE)</f>
        <v>5.48</v>
      </c>
      <c r="E298" t="str">
        <f>VLOOKUP(A298,Medical_Examinations[],4,FALSE)</f>
        <v>No</v>
      </c>
      <c r="F298" t="str">
        <f>VLOOKUP(A298,Medical_Examinations[],5,FALSE)</f>
        <v>No</v>
      </c>
      <c r="G298" t="str">
        <f>VLOOKUP(A298,Medical_Examinations[],6,FALSE)</f>
        <v>No</v>
      </c>
      <c r="H298">
        <f>VLOOKUP(A298,Medical_Examinations[],7,FALSE)</f>
        <v>0</v>
      </c>
      <c r="I298" t="str">
        <f>VLOOKUP(A298,Medical_Examinations[],8,FALSE)</f>
        <v>Yes</v>
      </c>
      <c r="J298" t="str">
        <f>VLOOKUP(A298,Medical_Examinations[],9,FALSE)</f>
        <v>Normal Weight</v>
      </c>
      <c r="K298" t="str">
        <f>VLOOKUP(A298,Medical_Examinations[],10,FALSE)</f>
        <v>Normal</v>
      </c>
      <c r="M298">
        <f>VLOOKUP(A298,Hospitalisation_Details__2[],4,FALSE)</f>
        <v>31736.7</v>
      </c>
      <c r="N298" t="str">
        <f>VLOOKUP(A298,Hospitalisation_Details__2[],5,FALSE)</f>
        <v>tier - 2</v>
      </c>
      <c r="O298" t="str">
        <f>VLOOKUP(A298,Hospitalisation_Details__2[],6,FALSE)</f>
        <v>tier - 2</v>
      </c>
      <c r="P298" t="str">
        <f>VLOOKUP(A298,Hospitalisation_Details__2[],7,FALSE)</f>
        <v>R1012</v>
      </c>
    </row>
    <row r="299" spans="1:16" x14ac:dyDescent="0.35">
      <c r="A299" t="str">
        <v>Id298</v>
      </c>
      <c r="B299" t="str">
        <f>VLOOKUP(A299,'Customer Names (2)'!A:B, 2,FALSE)</f>
        <v>Ms</v>
      </c>
      <c r="C299">
        <f>VLOOKUP(A299,Medical_Examinations[],2,FALSE)</f>
        <v>36.86</v>
      </c>
      <c r="D299">
        <f>VLOOKUP(A299,Medical_Examinations[],3,FALSE)</f>
        <v>11.95</v>
      </c>
      <c r="E299" t="str">
        <f>VLOOKUP(A299,Medical_Examinations[],4,FALSE)</f>
        <v>No</v>
      </c>
      <c r="F299" t="str">
        <f>VLOOKUP(A299,Medical_Examinations[],5,FALSE)</f>
        <v>No</v>
      </c>
      <c r="G299" t="str">
        <f>VLOOKUP(A299,Medical_Examinations[],6,FALSE)</f>
        <v>No</v>
      </c>
      <c r="H299">
        <f>VLOOKUP(A299,Medical_Examinations[],7,FALSE)</f>
        <v>0</v>
      </c>
      <c r="I299" t="str">
        <f>VLOOKUP(A299,Medical_Examinations[],8,FALSE)</f>
        <v>No</v>
      </c>
      <c r="J299" t="str">
        <f>VLOOKUP(A299,Medical_Examinations[],9,FALSE)</f>
        <v>Obesity</v>
      </c>
      <c r="K299" t="str">
        <f>VLOOKUP(A299,Medical_Examinations[],10,FALSE)</f>
        <v>Diabetes</v>
      </c>
      <c r="M299">
        <f>VLOOKUP(A299,Hospitalisation_Details__2[],4,FALSE)</f>
        <v>31620</v>
      </c>
      <c r="N299" t="str">
        <f>VLOOKUP(A299,Hospitalisation_Details__2[],5,FALSE)</f>
        <v>tier - 2</v>
      </c>
      <c r="O299" t="str">
        <f>VLOOKUP(A299,Hospitalisation_Details__2[],6,FALSE)</f>
        <v>tier - 1</v>
      </c>
      <c r="P299" t="str">
        <f>VLOOKUP(A299,Hospitalisation_Details__2[],7,FALSE)</f>
        <v>R1024</v>
      </c>
    </row>
    <row r="300" spans="1:16" x14ac:dyDescent="0.35">
      <c r="A300" t="str">
        <v>Id299</v>
      </c>
      <c r="B300" t="str">
        <f>VLOOKUP(A300,'Customer Names (2)'!A:B, 2,FALSE)</f>
        <v>Mr</v>
      </c>
      <c r="C300">
        <f>VLOOKUP(A300,Medical_Examinations[],2,FALSE)</f>
        <v>24.25</v>
      </c>
      <c r="D300">
        <f>VLOOKUP(A300,Medical_Examinations[],3,FALSE)</f>
        <v>8.6999999999999993</v>
      </c>
      <c r="E300" t="str">
        <f>VLOOKUP(A300,Medical_Examinations[],4,FALSE)</f>
        <v>Yes</v>
      </c>
      <c r="F300" t="str">
        <f>VLOOKUP(A300,Medical_Examinations[],5,FALSE)</f>
        <v>No</v>
      </c>
      <c r="G300" t="str">
        <f>VLOOKUP(A300,Medical_Examinations[],6,FALSE)</f>
        <v>No</v>
      </c>
      <c r="H300">
        <f>VLOOKUP(A300,Medical_Examinations[],7,FALSE)</f>
        <v>1</v>
      </c>
      <c r="I300" t="str">
        <f>VLOOKUP(A300,Medical_Examinations[],8,FALSE)</f>
        <v>Yes</v>
      </c>
      <c r="J300" t="str">
        <f>VLOOKUP(A300,Medical_Examinations[],9,FALSE)</f>
        <v>Normal Weight</v>
      </c>
      <c r="K300" t="str">
        <f>VLOOKUP(A300,Medical_Examinations[],10,FALSE)</f>
        <v>Diabetes</v>
      </c>
      <c r="M300">
        <f>VLOOKUP(A300,Hospitalisation_Details__2[],4,FALSE)</f>
        <v>31591.82</v>
      </c>
      <c r="N300" t="str">
        <f>VLOOKUP(A300,Hospitalisation_Details__2[],5,FALSE)</f>
        <v>tier - 2</v>
      </c>
      <c r="O300" t="str">
        <f>VLOOKUP(A300,Hospitalisation_Details__2[],6,FALSE)</f>
        <v>tier - 1</v>
      </c>
      <c r="P300" t="str">
        <f>VLOOKUP(A300,Hospitalisation_Details__2[],7,FALSE)</f>
        <v>R1011</v>
      </c>
    </row>
    <row r="301" spans="1:16" x14ac:dyDescent="0.35">
      <c r="A301" t="str">
        <v>Id300</v>
      </c>
      <c r="B301" t="str">
        <f>VLOOKUP(A301,'Customer Names (2)'!A:B, 2,FALSE)</f>
        <v>Ms</v>
      </c>
      <c r="C301">
        <f>VLOOKUP(A301,Medical_Examinations[],2,FALSE)</f>
        <v>23.85</v>
      </c>
      <c r="D301">
        <f>VLOOKUP(A301,Medical_Examinations[],3,FALSE)</f>
        <v>7.84</v>
      </c>
      <c r="E301" t="str">
        <f>VLOOKUP(A301,Medical_Examinations[],4,FALSE)</f>
        <v>No</v>
      </c>
      <c r="F301" t="str">
        <f>VLOOKUP(A301,Medical_Examinations[],5,FALSE)</f>
        <v>No</v>
      </c>
      <c r="G301" t="str">
        <f>VLOOKUP(A301,Medical_Examinations[],6,FALSE)</f>
        <v>No</v>
      </c>
      <c r="H301">
        <f>VLOOKUP(A301,Medical_Examinations[],7,FALSE)</f>
        <v>0</v>
      </c>
      <c r="I301" t="str">
        <f>VLOOKUP(A301,Medical_Examinations[],8,FALSE)</f>
        <v>Yes</v>
      </c>
      <c r="J301" t="str">
        <f>VLOOKUP(A301,Medical_Examinations[],9,FALSE)</f>
        <v>Normal Weight</v>
      </c>
      <c r="K301" t="str">
        <f>VLOOKUP(A301,Medical_Examinations[],10,FALSE)</f>
        <v>Diabetes</v>
      </c>
      <c r="M301">
        <f>VLOOKUP(A301,Hospitalisation_Details__2[],4,FALSE)</f>
        <v>31368.81</v>
      </c>
      <c r="N301" t="str">
        <f>VLOOKUP(A301,Hospitalisation_Details__2[],5,FALSE)</f>
        <v>tier - 2</v>
      </c>
      <c r="O301" t="str">
        <f>VLOOKUP(A301,Hospitalisation_Details__2[],6,FALSE)</f>
        <v>tier - 3</v>
      </c>
      <c r="P301" t="str">
        <f>VLOOKUP(A301,Hospitalisation_Details__2[],7,FALSE)</f>
        <v>R1011</v>
      </c>
    </row>
    <row r="302" spans="1:16" x14ac:dyDescent="0.35">
      <c r="A302" t="str">
        <v>Id301</v>
      </c>
      <c r="B302" t="str">
        <f>VLOOKUP(A302,'Customer Names (2)'!A:B, 2,FALSE)</f>
        <v>Mr</v>
      </c>
      <c r="C302">
        <f>VLOOKUP(A302,Medical_Examinations[],2,FALSE)</f>
        <v>40.020000000000003</v>
      </c>
      <c r="D302">
        <f>VLOOKUP(A302,Medical_Examinations[],3,FALSE)</f>
        <v>5.19</v>
      </c>
      <c r="E302" t="str">
        <f>VLOOKUP(A302,Medical_Examinations[],4,FALSE)</f>
        <v>Yes</v>
      </c>
      <c r="F302" t="str">
        <f>VLOOKUP(A302,Medical_Examinations[],5,FALSE)</f>
        <v>No</v>
      </c>
      <c r="G302" t="str">
        <f>VLOOKUP(A302,Medical_Examinations[],6,FALSE)</f>
        <v>No</v>
      </c>
      <c r="H302">
        <f>VLOOKUP(A302,Medical_Examinations[],7,FALSE)</f>
        <v>1</v>
      </c>
      <c r="I302" t="str">
        <f>VLOOKUP(A302,Medical_Examinations[],8,FALSE)</f>
        <v>Yes</v>
      </c>
      <c r="J302" t="str">
        <f>VLOOKUP(A302,Medical_Examinations[],9,FALSE)</f>
        <v>Obesity</v>
      </c>
      <c r="K302" t="str">
        <f>VLOOKUP(A302,Medical_Examinations[],10,FALSE)</f>
        <v>Normal</v>
      </c>
      <c r="M302">
        <f>VLOOKUP(A302,Hospitalisation_Details__2[],4,FALSE)</f>
        <v>31328.27</v>
      </c>
      <c r="N302" t="str">
        <f>VLOOKUP(A302,Hospitalisation_Details__2[],5,FALSE)</f>
        <v>tier - 2</v>
      </c>
      <c r="O302" t="str">
        <f>VLOOKUP(A302,Hospitalisation_Details__2[],6,FALSE)</f>
        <v>tier - 2</v>
      </c>
      <c r="P302" t="str">
        <f>VLOOKUP(A302,Hospitalisation_Details__2[],7,FALSE)</f>
        <v>R1011</v>
      </c>
    </row>
    <row r="303" spans="1:16" x14ac:dyDescent="0.35">
      <c r="A303" t="str">
        <v>Id302</v>
      </c>
      <c r="B303" t="str">
        <f>VLOOKUP(A303,'Customer Names (2)'!A:B, 2,FALSE)</f>
        <v>Ms</v>
      </c>
      <c r="C303">
        <f>VLOOKUP(A303,Medical_Examinations[],2,FALSE)</f>
        <v>19.170000000000002</v>
      </c>
      <c r="D303">
        <f>VLOOKUP(A303,Medical_Examinations[],3,FALSE)</f>
        <v>8.41</v>
      </c>
      <c r="E303" t="str">
        <f>VLOOKUP(A303,Medical_Examinations[],4,FALSE)</f>
        <v>No</v>
      </c>
      <c r="F303" t="str">
        <f>VLOOKUP(A303,Medical_Examinations[],5,FALSE)</f>
        <v>No</v>
      </c>
      <c r="G303" t="str">
        <f>VLOOKUP(A303,Medical_Examinations[],6,FALSE)</f>
        <v>No</v>
      </c>
      <c r="H303">
        <f>VLOOKUP(A303,Medical_Examinations[],7,FALSE)</f>
        <v>0</v>
      </c>
      <c r="I303" t="str">
        <f>VLOOKUP(A303,Medical_Examinations[],8,FALSE)</f>
        <v>Yes</v>
      </c>
      <c r="J303" t="str">
        <f>VLOOKUP(A303,Medical_Examinations[],9,FALSE)</f>
        <v>Normal Weight</v>
      </c>
      <c r="K303" t="str">
        <f>VLOOKUP(A303,Medical_Examinations[],10,FALSE)</f>
        <v>Diabetes</v>
      </c>
      <c r="M303">
        <f>VLOOKUP(A303,Hospitalisation_Details__2[],4,FALSE)</f>
        <v>31322.53</v>
      </c>
      <c r="N303" t="str">
        <f>VLOOKUP(A303,Hospitalisation_Details__2[],5,FALSE)</f>
        <v>tier - 2</v>
      </c>
      <c r="O303" t="str">
        <f>VLOOKUP(A303,Hospitalisation_Details__2[],6,FALSE)</f>
        <v>tier - 1</v>
      </c>
      <c r="P303" t="str">
        <f>VLOOKUP(A303,Hospitalisation_Details__2[],7,FALSE)</f>
        <v>R1011</v>
      </c>
    </row>
    <row r="304" spans="1:16" x14ac:dyDescent="0.35">
      <c r="A304" t="str">
        <v>Id303</v>
      </c>
      <c r="B304" t="str">
        <f>VLOOKUP(A304,'Customer Names (2)'!A:B, 2,FALSE)</f>
        <v>Mr</v>
      </c>
      <c r="C304">
        <f>VLOOKUP(A304,Medical_Examinations[],2,FALSE)</f>
        <v>43.53</v>
      </c>
      <c r="D304">
        <f>VLOOKUP(A304,Medical_Examinations[],3,FALSE)</f>
        <v>5.86</v>
      </c>
      <c r="E304" t="str">
        <f>VLOOKUP(A304,Medical_Examinations[],4,FALSE)</f>
        <v>Yes</v>
      </c>
      <c r="F304" t="str">
        <f>VLOOKUP(A304,Medical_Examinations[],5,FALSE)</f>
        <v>yes</v>
      </c>
      <c r="G304" t="str">
        <f>VLOOKUP(A304,Medical_Examinations[],6,FALSE)</f>
        <v>No</v>
      </c>
      <c r="H304">
        <f>VLOOKUP(A304,Medical_Examinations[],7,FALSE)</f>
        <v>2</v>
      </c>
      <c r="I304" t="str">
        <f>VLOOKUP(A304,Medical_Examinations[],8,FALSE)</f>
        <v>Yes</v>
      </c>
      <c r="J304" t="str">
        <f>VLOOKUP(A304,Medical_Examinations[],9,FALSE)</f>
        <v>Obesity</v>
      </c>
      <c r="K304" t="str">
        <f>VLOOKUP(A304,Medical_Examinations[],10,FALSE)</f>
        <v>Prediabetes</v>
      </c>
      <c r="M304">
        <f>VLOOKUP(A304,Hospitalisation_Details__2[],4,FALSE)</f>
        <v>31234.560000000001</v>
      </c>
      <c r="N304" t="str">
        <f>VLOOKUP(A304,Hospitalisation_Details__2[],5,FALSE)</f>
        <v>tier - 1</v>
      </c>
      <c r="O304" t="str">
        <f>VLOOKUP(A304,Hospitalisation_Details__2[],6,FALSE)</f>
        <v>tier - 1</v>
      </c>
      <c r="P304" t="str">
        <f>VLOOKUP(A304,Hospitalisation_Details__2[],7,FALSE)</f>
        <v>R1011</v>
      </c>
    </row>
    <row r="305" spans="1:16" x14ac:dyDescent="0.35">
      <c r="A305" t="str">
        <v>Id304</v>
      </c>
      <c r="B305" t="str">
        <f>VLOOKUP(A305,'Customer Names (2)'!A:B, 2,FALSE)</f>
        <v>Ms</v>
      </c>
      <c r="C305">
        <f>VLOOKUP(A305,Medical_Examinations[],2,FALSE)</f>
        <v>46.06</v>
      </c>
      <c r="D305">
        <f>VLOOKUP(A305,Medical_Examinations[],3,FALSE)</f>
        <v>4.18</v>
      </c>
      <c r="E305" t="str">
        <f>VLOOKUP(A305,Medical_Examinations[],4,FALSE)</f>
        <v>No</v>
      </c>
      <c r="F305" t="str">
        <f>VLOOKUP(A305,Medical_Examinations[],5,FALSE)</f>
        <v>yes</v>
      </c>
      <c r="G305" t="str">
        <f>VLOOKUP(A305,Medical_Examinations[],6,FALSE)</f>
        <v>No</v>
      </c>
      <c r="H305">
        <f>VLOOKUP(A305,Medical_Examinations[],7,FALSE)</f>
        <v>1</v>
      </c>
      <c r="I305" t="str">
        <f>VLOOKUP(A305,Medical_Examinations[],8,FALSE)</f>
        <v>Yes</v>
      </c>
      <c r="J305" t="str">
        <f>VLOOKUP(A305,Medical_Examinations[],9,FALSE)</f>
        <v>Obesity</v>
      </c>
      <c r="K305" t="str">
        <f>VLOOKUP(A305,Medical_Examinations[],10,FALSE)</f>
        <v>Normal</v>
      </c>
      <c r="M305">
        <f>VLOOKUP(A305,Hospitalisation_Details__2[],4,FALSE)</f>
        <v>31196.61</v>
      </c>
      <c r="N305" t="str">
        <f>VLOOKUP(A305,Hospitalisation_Details__2[],5,FALSE)</f>
        <v>tier - 2</v>
      </c>
      <c r="O305" t="str">
        <f>VLOOKUP(A305,Hospitalisation_Details__2[],6,FALSE)</f>
        <v>tier - 1</v>
      </c>
      <c r="P305" t="str">
        <f>VLOOKUP(A305,Hospitalisation_Details__2[],7,FALSE)</f>
        <v>R1011</v>
      </c>
    </row>
    <row r="306" spans="1:16" x14ac:dyDescent="0.35">
      <c r="A306" t="str">
        <v>Id305</v>
      </c>
      <c r="B306" t="str">
        <f>VLOOKUP(A306,'Customer Names (2)'!A:B, 2,FALSE)</f>
        <v>Ms</v>
      </c>
      <c r="C306">
        <f>VLOOKUP(A306,Medical_Examinations[],2,FALSE)</f>
        <v>29.92</v>
      </c>
      <c r="D306">
        <f>VLOOKUP(A306,Medical_Examinations[],3,FALSE)</f>
        <v>11.99</v>
      </c>
      <c r="E306" t="str">
        <f>VLOOKUP(A306,Medical_Examinations[],4,FALSE)</f>
        <v>Yes</v>
      </c>
      <c r="F306" t="str">
        <f>VLOOKUP(A306,Medical_Examinations[],5,FALSE)</f>
        <v>No</v>
      </c>
      <c r="G306" t="str">
        <f>VLOOKUP(A306,Medical_Examinations[],6,FALSE)</f>
        <v>No</v>
      </c>
      <c r="H306">
        <f>VLOOKUP(A306,Medical_Examinations[],7,FALSE)</f>
        <v>2</v>
      </c>
      <c r="I306" t="str">
        <f>VLOOKUP(A306,Medical_Examinations[],8,FALSE)</f>
        <v>Yes</v>
      </c>
      <c r="J306" t="str">
        <f>VLOOKUP(A306,Medical_Examinations[],9,FALSE)</f>
        <v>Overweight</v>
      </c>
      <c r="K306" t="str">
        <f>VLOOKUP(A306,Medical_Examinations[],10,FALSE)</f>
        <v>Diabetes</v>
      </c>
      <c r="M306">
        <f>VLOOKUP(A306,Hospitalisation_Details__2[],4,FALSE)</f>
        <v>30942.19</v>
      </c>
      <c r="N306" t="str">
        <f>VLOOKUP(A306,Hospitalisation_Details__2[],5,FALSE)</f>
        <v>tier - 2</v>
      </c>
      <c r="O306" t="str">
        <f>VLOOKUP(A306,Hospitalisation_Details__2[],6,FALSE)</f>
        <v>tier - 2</v>
      </c>
      <c r="P306" t="str">
        <f>VLOOKUP(A306,Hospitalisation_Details__2[],7,FALSE)</f>
        <v>R1013</v>
      </c>
    </row>
    <row r="307" spans="1:16" x14ac:dyDescent="0.35">
      <c r="A307" t="str">
        <v>Id306</v>
      </c>
      <c r="B307" t="str">
        <f>VLOOKUP(A307,'Customer Names (2)'!A:B, 2,FALSE)</f>
        <v>Ms</v>
      </c>
      <c r="C307">
        <f>VLOOKUP(A307,Medical_Examinations[],2,FALSE)</f>
        <v>28.46</v>
      </c>
      <c r="D307">
        <f>VLOOKUP(A307,Medical_Examinations[],3,FALSE)</f>
        <v>4.8499999999999996</v>
      </c>
      <c r="E307" t="str">
        <f>VLOOKUP(A307,Medical_Examinations[],4,FALSE)</f>
        <v>Yes</v>
      </c>
      <c r="F307" t="str">
        <f>VLOOKUP(A307,Medical_Examinations[],5,FALSE)</f>
        <v>No</v>
      </c>
      <c r="G307" t="str">
        <f>VLOOKUP(A307,Medical_Examinations[],6,FALSE)</f>
        <v>No</v>
      </c>
      <c r="H307">
        <f>VLOOKUP(A307,Medical_Examinations[],7,FALSE)</f>
        <v>1</v>
      </c>
      <c r="I307" t="str">
        <f>VLOOKUP(A307,Medical_Examinations[],8,FALSE)</f>
        <v>Yes</v>
      </c>
      <c r="J307" t="str">
        <f>VLOOKUP(A307,Medical_Examinations[],9,FALSE)</f>
        <v>Overweight</v>
      </c>
      <c r="K307" t="str">
        <f>VLOOKUP(A307,Medical_Examinations[],10,FALSE)</f>
        <v>Normal</v>
      </c>
      <c r="M307">
        <f>VLOOKUP(A307,Hospitalisation_Details__2[],4,FALSE)</f>
        <v>30763.01</v>
      </c>
      <c r="N307" t="str">
        <f>VLOOKUP(A307,Hospitalisation_Details__2[],5,FALSE)</f>
        <v>tier - 2</v>
      </c>
      <c r="O307" t="str">
        <f>VLOOKUP(A307,Hospitalisation_Details__2[],6,FALSE)</f>
        <v>tier - 1</v>
      </c>
      <c r="P307" t="str">
        <f>VLOOKUP(A307,Hospitalisation_Details__2[],7,FALSE)</f>
        <v>R1011</v>
      </c>
    </row>
    <row r="308" spans="1:16" x14ac:dyDescent="0.35">
      <c r="A308" t="str">
        <v>Id307</v>
      </c>
      <c r="B308" t="str">
        <f>VLOOKUP(A308,'Customer Names (2)'!A:B, 2,FALSE)</f>
        <v>Ms</v>
      </c>
      <c r="C308">
        <f>VLOOKUP(A308,Medical_Examinations[],2,FALSE)</f>
        <v>24.56</v>
      </c>
      <c r="D308">
        <f>VLOOKUP(A308,Medical_Examinations[],3,FALSE)</f>
        <v>6.18</v>
      </c>
      <c r="E308" t="str">
        <f>VLOOKUP(A308,Medical_Examinations[],4,FALSE)</f>
        <v>Yes</v>
      </c>
      <c r="F308" t="str">
        <f>VLOOKUP(A308,Medical_Examinations[],5,FALSE)</f>
        <v>No</v>
      </c>
      <c r="G308" t="str">
        <f>VLOOKUP(A308,Medical_Examinations[],6,FALSE)</f>
        <v>Yes</v>
      </c>
      <c r="H308">
        <f>VLOOKUP(A308,Medical_Examinations[],7,FALSE)</f>
        <v>1</v>
      </c>
      <c r="I308" t="str">
        <f>VLOOKUP(A308,Medical_Examinations[],8,FALSE)</f>
        <v>Yes</v>
      </c>
      <c r="J308" t="str">
        <f>VLOOKUP(A308,Medical_Examinations[],9,FALSE)</f>
        <v>Normal Weight</v>
      </c>
      <c r="K308" t="str">
        <f>VLOOKUP(A308,Medical_Examinations[],10,FALSE)</f>
        <v>Prediabetes</v>
      </c>
      <c r="M308">
        <f>VLOOKUP(A308,Hospitalisation_Details__2[],4,FALSE)</f>
        <v>30724.44</v>
      </c>
      <c r="N308" t="str">
        <f>VLOOKUP(A308,Hospitalisation_Details__2[],5,FALSE)</f>
        <v>tier - 2</v>
      </c>
      <c r="O308" t="str">
        <f>VLOOKUP(A308,Hospitalisation_Details__2[],6,FALSE)</f>
        <v>tier - 3</v>
      </c>
      <c r="P308" t="str">
        <f>VLOOKUP(A308,Hospitalisation_Details__2[],7,FALSE)</f>
        <v>R1011</v>
      </c>
    </row>
    <row r="309" spans="1:16" x14ac:dyDescent="0.35">
      <c r="A309" t="str">
        <v>Id308</v>
      </c>
      <c r="B309" t="str">
        <f>VLOOKUP(A309,'Customer Names (2)'!A:B, 2,FALSE)</f>
        <v>Mr</v>
      </c>
      <c r="C309">
        <f>VLOOKUP(A309,Medical_Examinations[],2,FALSE)</f>
        <v>41.19</v>
      </c>
      <c r="D309">
        <f>VLOOKUP(A309,Medical_Examinations[],3,FALSE)</f>
        <v>6.37</v>
      </c>
      <c r="E309" t="str">
        <f>VLOOKUP(A309,Medical_Examinations[],4,FALSE)</f>
        <v>No</v>
      </c>
      <c r="F309" t="str">
        <f>VLOOKUP(A309,Medical_Examinations[],5,FALSE)</f>
        <v>No</v>
      </c>
      <c r="G309" t="str">
        <f>VLOOKUP(A309,Medical_Examinations[],6,FALSE)</f>
        <v>No</v>
      </c>
      <c r="H309">
        <f>VLOOKUP(A309,Medical_Examinations[],7,FALSE)</f>
        <v>0</v>
      </c>
      <c r="I309" t="str">
        <f>VLOOKUP(A309,Medical_Examinations[],8,FALSE)</f>
        <v>Yes</v>
      </c>
      <c r="J309" t="str">
        <f>VLOOKUP(A309,Medical_Examinations[],9,FALSE)</f>
        <v>Obesity</v>
      </c>
      <c r="K309" t="str">
        <f>VLOOKUP(A309,Medical_Examinations[],10,FALSE)</f>
        <v>Prediabetes</v>
      </c>
      <c r="M309">
        <f>VLOOKUP(A309,Hospitalisation_Details__2[],4,FALSE)</f>
        <v>30697.71</v>
      </c>
      <c r="N309" t="str">
        <f>VLOOKUP(A309,Hospitalisation_Details__2[],5,FALSE)</f>
        <v>tier - 1</v>
      </c>
      <c r="O309" t="str">
        <f>VLOOKUP(A309,Hospitalisation_Details__2[],6,FALSE)</f>
        <v>tier - 2</v>
      </c>
      <c r="P309" t="str">
        <f>VLOOKUP(A309,Hospitalisation_Details__2[],7,FALSE)</f>
        <v>R1011</v>
      </c>
    </row>
    <row r="310" spans="1:16" x14ac:dyDescent="0.35">
      <c r="A310" t="str">
        <v>Id309</v>
      </c>
      <c r="B310" t="str">
        <f>VLOOKUP(A310,'Customer Names (2)'!A:B, 2,FALSE)</f>
        <v>Ms</v>
      </c>
      <c r="C310">
        <f>VLOOKUP(A310,Medical_Examinations[],2,FALSE)</f>
        <v>18.63</v>
      </c>
      <c r="D310">
        <f>VLOOKUP(A310,Medical_Examinations[],3,FALSE)</f>
        <v>9.81</v>
      </c>
      <c r="E310" t="str">
        <f>VLOOKUP(A310,Medical_Examinations[],4,FALSE)</f>
        <v>Yes</v>
      </c>
      <c r="F310" t="str">
        <f>VLOOKUP(A310,Medical_Examinations[],5,FALSE)</f>
        <v>No</v>
      </c>
      <c r="G310" t="str">
        <f>VLOOKUP(A310,Medical_Examinations[],6,FALSE)</f>
        <v>No</v>
      </c>
      <c r="H310">
        <f>VLOOKUP(A310,Medical_Examinations[],7,FALSE)</f>
        <v>2</v>
      </c>
      <c r="I310" t="str">
        <f>VLOOKUP(A310,Medical_Examinations[],8,FALSE)</f>
        <v>Yes</v>
      </c>
      <c r="J310" t="str">
        <f>VLOOKUP(A310,Medical_Examinations[],9,FALSE)</f>
        <v>Normal Weight</v>
      </c>
      <c r="K310" t="str">
        <f>VLOOKUP(A310,Medical_Examinations[],10,FALSE)</f>
        <v>Diabetes</v>
      </c>
      <c r="M310">
        <f>VLOOKUP(A310,Hospitalisation_Details__2[],4,FALSE)</f>
        <v>30625.65</v>
      </c>
      <c r="N310" t="str">
        <f>VLOOKUP(A310,Hospitalisation_Details__2[],5,FALSE)</f>
        <v>tier - 2</v>
      </c>
      <c r="O310" t="str">
        <f>VLOOKUP(A310,Hospitalisation_Details__2[],6,FALSE)</f>
        <v>tier - 3</v>
      </c>
      <c r="P310" t="str">
        <f>VLOOKUP(A310,Hospitalisation_Details__2[],7,FALSE)</f>
        <v>R1011</v>
      </c>
    </row>
    <row r="311" spans="1:16" x14ac:dyDescent="0.35">
      <c r="A311" t="str">
        <v>Id310</v>
      </c>
      <c r="B311" t="str">
        <f>VLOOKUP(A311,'Customer Names (2)'!A:B, 2,FALSE)</f>
        <v>Ms</v>
      </c>
      <c r="C311">
        <f>VLOOKUP(A311,Medical_Examinations[],2,FALSE)</f>
        <v>26.26</v>
      </c>
      <c r="D311">
        <f>VLOOKUP(A311,Medical_Examinations[],3,FALSE)</f>
        <v>11.8</v>
      </c>
      <c r="E311" t="str">
        <f>VLOOKUP(A311,Medical_Examinations[],4,FALSE)</f>
        <v>Yes</v>
      </c>
      <c r="F311" t="str">
        <f>VLOOKUP(A311,Medical_Examinations[],5,FALSE)</f>
        <v>No</v>
      </c>
      <c r="G311" t="str">
        <f>VLOOKUP(A311,Medical_Examinations[],6,FALSE)</f>
        <v>No</v>
      </c>
      <c r="H311">
        <f>VLOOKUP(A311,Medical_Examinations[],7,FALSE)</f>
        <v>1</v>
      </c>
      <c r="I311" t="str">
        <f>VLOOKUP(A311,Medical_Examinations[],8,FALSE)</f>
        <v>Yes</v>
      </c>
      <c r="J311" t="str">
        <f>VLOOKUP(A311,Medical_Examinations[],9,FALSE)</f>
        <v>Overweight</v>
      </c>
      <c r="K311" t="str">
        <f>VLOOKUP(A311,Medical_Examinations[],10,FALSE)</f>
        <v>Diabetes</v>
      </c>
      <c r="M311">
        <f>VLOOKUP(A311,Hospitalisation_Details__2[],4,FALSE)</f>
        <v>30530.5</v>
      </c>
      <c r="N311" t="str">
        <f>VLOOKUP(A311,Hospitalisation_Details__2[],5,FALSE)</f>
        <v>tier - 2</v>
      </c>
      <c r="O311" t="str">
        <f>VLOOKUP(A311,Hospitalisation_Details__2[],6,FALSE)</f>
        <v>tier - 1</v>
      </c>
      <c r="P311" t="str">
        <f>VLOOKUP(A311,Hospitalisation_Details__2[],7,FALSE)</f>
        <v>R1011</v>
      </c>
    </row>
    <row r="312" spans="1:16" x14ac:dyDescent="0.35">
      <c r="A312" t="str">
        <v>Id311</v>
      </c>
      <c r="B312" t="str">
        <f>VLOOKUP(A312,'Customer Names (2)'!A:B, 2,FALSE)</f>
        <v>Mr</v>
      </c>
      <c r="C312">
        <f>VLOOKUP(A312,Medical_Examinations[],2,FALSE)</f>
        <v>22.37</v>
      </c>
      <c r="D312">
        <f>VLOOKUP(A312,Medical_Examinations[],3,FALSE)</f>
        <v>5.86</v>
      </c>
      <c r="E312" t="str">
        <f>VLOOKUP(A312,Medical_Examinations[],4,FALSE)</f>
        <v>Yes</v>
      </c>
      <c r="F312" t="str">
        <f>VLOOKUP(A312,Medical_Examinations[],5,FALSE)</f>
        <v>No</v>
      </c>
      <c r="G312" t="str">
        <f>VLOOKUP(A312,Medical_Examinations[],6,FALSE)</f>
        <v>Yes</v>
      </c>
      <c r="H312">
        <f>VLOOKUP(A312,Medical_Examinations[],7,FALSE)</f>
        <v>1</v>
      </c>
      <c r="I312" t="str">
        <f>VLOOKUP(A312,Medical_Examinations[],8,FALSE)</f>
        <v>Yes</v>
      </c>
      <c r="J312" t="str">
        <f>VLOOKUP(A312,Medical_Examinations[],9,FALSE)</f>
        <v>Normal Weight</v>
      </c>
      <c r="K312" t="str">
        <f>VLOOKUP(A312,Medical_Examinations[],10,FALSE)</f>
        <v>Prediabetes</v>
      </c>
      <c r="M312">
        <f>VLOOKUP(A312,Hospitalisation_Details__2[],4,FALSE)</f>
        <v>30457.37</v>
      </c>
      <c r="N312" t="str">
        <f>VLOOKUP(A312,Hospitalisation_Details__2[],5,FALSE)</f>
        <v>tier - 2</v>
      </c>
      <c r="O312" t="str">
        <f>VLOOKUP(A312,Hospitalisation_Details__2[],6,FALSE)</f>
        <v>tier - 1</v>
      </c>
      <c r="P312" t="str">
        <f>VLOOKUP(A312,Hospitalisation_Details__2[],7,FALSE)</f>
        <v>R1012</v>
      </c>
    </row>
    <row r="313" spans="1:16" x14ac:dyDescent="0.35">
      <c r="A313" t="str">
        <v>Id312</v>
      </c>
      <c r="B313" t="str">
        <f>VLOOKUP(A313,'Customer Names (2)'!A:B, 2,FALSE)</f>
        <v>Mr</v>
      </c>
      <c r="C313">
        <f>VLOOKUP(A313,Medical_Examinations[],2,FALSE)</f>
        <v>39.619999999999997</v>
      </c>
      <c r="D313">
        <f>VLOOKUP(A313,Medical_Examinations[],3,FALSE)</f>
        <v>4.28</v>
      </c>
      <c r="E313" t="str">
        <f>VLOOKUP(A313,Medical_Examinations[],4,FALSE)</f>
        <v>No</v>
      </c>
      <c r="F313" t="str">
        <f>VLOOKUP(A313,Medical_Examinations[],5,FALSE)</f>
        <v>No</v>
      </c>
      <c r="G313" t="str">
        <f>VLOOKUP(A313,Medical_Examinations[],6,FALSE)</f>
        <v>No</v>
      </c>
      <c r="H313">
        <f>VLOOKUP(A313,Medical_Examinations[],7,FALSE)</f>
        <v>1</v>
      </c>
      <c r="I313" t="str">
        <f>VLOOKUP(A313,Medical_Examinations[],8,FALSE)</f>
        <v>Yes</v>
      </c>
      <c r="J313" t="str">
        <f>VLOOKUP(A313,Medical_Examinations[],9,FALSE)</f>
        <v>Obesity</v>
      </c>
      <c r="K313" t="str">
        <f>VLOOKUP(A313,Medical_Examinations[],10,FALSE)</f>
        <v>Normal</v>
      </c>
      <c r="M313">
        <f>VLOOKUP(A313,Hospitalisation_Details__2[],4,FALSE)</f>
        <v>30422.03</v>
      </c>
      <c r="N313" t="str">
        <f>VLOOKUP(A313,Hospitalisation_Details__2[],5,FALSE)</f>
        <v>tier - 2</v>
      </c>
      <c r="O313" t="str">
        <f>VLOOKUP(A313,Hospitalisation_Details__2[],6,FALSE)</f>
        <v>tier - 3</v>
      </c>
      <c r="P313" t="str">
        <f>VLOOKUP(A313,Hospitalisation_Details__2[],7,FALSE)</f>
        <v>R1011</v>
      </c>
    </row>
    <row r="314" spans="1:16" x14ac:dyDescent="0.35">
      <c r="A314" t="str">
        <v>Id313</v>
      </c>
      <c r="B314" t="str">
        <f>VLOOKUP(A314,'Customer Names (2)'!A:B, 2,FALSE)</f>
        <v>Mr</v>
      </c>
      <c r="C314">
        <f>VLOOKUP(A314,Medical_Examinations[],2,FALSE)</f>
        <v>18.329999999999998</v>
      </c>
      <c r="D314">
        <f>VLOOKUP(A314,Medical_Examinations[],3,FALSE)</f>
        <v>4.16</v>
      </c>
      <c r="E314" t="str">
        <f>VLOOKUP(A314,Medical_Examinations[],4,FALSE)</f>
        <v>Yes</v>
      </c>
      <c r="F314" t="str">
        <f>VLOOKUP(A314,Medical_Examinations[],5,FALSE)</f>
        <v>No</v>
      </c>
      <c r="G314" t="str">
        <f>VLOOKUP(A314,Medical_Examinations[],6,FALSE)</f>
        <v>No</v>
      </c>
      <c r="H314">
        <f>VLOOKUP(A314,Medical_Examinations[],7,FALSE)</f>
        <v>0</v>
      </c>
      <c r="I314" t="str">
        <f>VLOOKUP(A314,Medical_Examinations[],8,FALSE)</f>
        <v>Yes</v>
      </c>
      <c r="J314" t="str">
        <f>VLOOKUP(A314,Medical_Examinations[],9,FALSE)</f>
        <v>Underweight</v>
      </c>
      <c r="K314" t="str">
        <f>VLOOKUP(A314,Medical_Examinations[],10,FALSE)</f>
        <v>Normal</v>
      </c>
      <c r="M314">
        <f>VLOOKUP(A314,Hospitalisation_Details__2[],4,FALSE)</f>
        <v>30409.53</v>
      </c>
      <c r="N314" t="str">
        <f>VLOOKUP(A314,Hospitalisation_Details__2[],5,FALSE)</f>
        <v>tier - 2</v>
      </c>
      <c r="O314" t="str">
        <f>VLOOKUP(A314,Hospitalisation_Details__2[],6,FALSE)</f>
        <v>tier - 3</v>
      </c>
      <c r="P314" t="str">
        <f>VLOOKUP(A314,Hospitalisation_Details__2[],7,FALSE)</f>
        <v>R1012</v>
      </c>
    </row>
    <row r="315" spans="1:16" x14ac:dyDescent="0.35">
      <c r="A315" t="str">
        <v>Id314</v>
      </c>
      <c r="B315" t="str">
        <f>VLOOKUP(A315,'Customer Names (2)'!A:B, 2,FALSE)</f>
        <v>Ms</v>
      </c>
      <c r="C315">
        <f>VLOOKUP(A315,Medical_Examinations[],2,FALSE)</f>
        <v>17.11</v>
      </c>
      <c r="D315">
        <f>VLOOKUP(A315,Medical_Examinations[],3,FALSE)</f>
        <v>4.9800000000000004</v>
      </c>
      <c r="E315" t="str">
        <f>VLOOKUP(A315,Medical_Examinations[],4,FALSE)</f>
        <v>Yes</v>
      </c>
      <c r="F315" t="str">
        <f>VLOOKUP(A315,Medical_Examinations[],5,FALSE)</f>
        <v>No</v>
      </c>
      <c r="G315" t="str">
        <f>VLOOKUP(A315,Medical_Examinations[],6,FALSE)</f>
        <v>Yes</v>
      </c>
      <c r="H315">
        <f>VLOOKUP(A315,Medical_Examinations[],7,FALSE)</f>
        <v>1</v>
      </c>
      <c r="I315" t="str">
        <f>VLOOKUP(A315,Medical_Examinations[],8,FALSE)</f>
        <v>Yes</v>
      </c>
      <c r="J315" t="str">
        <f>VLOOKUP(A315,Medical_Examinations[],9,FALSE)</f>
        <v>Underweight</v>
      </c>
      <c r="K315" t="str">
        <f>VLOOKUP(A315,Medical_Examinations[],10,FALSE)</f>
        <v>Normal</v>
      </c>
      <c r="M315">
        <f>VLOOKUP(A315,Hospitalisation_Details__2[],4,FALSE)</f>
        <v>30366.93</v>
      </c>
      <c r="N315" t="str">
        <f>VLOOKUP(A315,Hospitalisation_Details__2[],5,FALSE)</f>
        <v>tier - 2</v>
      </c>
      <c r="O315" t="str">
        <f>VLOOKUP(A315,Hospitalisation_Details__2[],6,FALSE)</f>
        <v>tier - 2</v>
      </c>
      <c r="P315" t="str">
        <f>VLOOKUP(A315,Hospitalisation_Details__2[],7,FALSE)</f>
        <v>R1011</v>
      </c>
    </row>
    <row r="316" spans="1:16" x14ac:dyDescent="0.35">
      <c r="A316" t="str">
        <v>Id315</v>
      </c>
      <c r="B316" t="str">
        <f>VLOOKUP(A316,'Customer Names (2)'!A:B, 2,FALSE)</f>
        <v>Ms</v>
      </c>
      <c r="C316">
        <f>VLOOKUP(A316,Medical_Examinations[],2,FALSE)</f>
        <v>43.5</v>
      </c>
      <c r="D316">
        <f>VLOOKUP(A316,Medical_Examinations[],3,FALSE)</f>
        <v>6.38</v>
      </c>
      <c r="E316" t="str">
        <f>VLOOKUP(A316,Medical_Examinations[],4,FALSE)</f>
        <v>No</v>
      </c>
      <c r="F316" t="str">
        <f>VLOOKUP(A316,Medical_Examinations[],5,FALSE)</f>
        <v>yes</v>
      </c>
      <c r="G316" t="str">
        <f>VLOOKUP(A316,Medical_Examinations[],6,FALSE)</f>
        <v>No</v>
      </c>
      <c r="H316">
        <f>VLOOKUP(A316,Medical_Examinations[],7,FALSE)</f>
        <v>1</v>
      </c>
      <c r="I316" t="str">
        <f>VLOOKUP(A316,Medical_Examinations[],8,FALSE)</f>
        <v>Yes</v>
      </c>
      <c r="J316" t="str">
        <f>VLOOKUP(A316,Medical_Examinations[],9,FALSE)</f>
        <v>Obesity</v>
      </c>
      <c r="K316" t="str">
        <f>VLOOKUP(A316,Medical_Examinations[],10,FALSE)</f>
        <v>Prediabetes</v>
      </c>
      <c r="M316">
        <f>VLOOKUP(A316,Hospitalisation_Details__2[],4,FALSE)</f>
        <v>30328.27</v>
      </c>
      <c r="N316" t="str">
        <f>VLOOKUP(A316,Hospitalisation_Details__2[],5,FALSE)</f>
        <v>tier - 2</v>
      </c>
      <c r="O316" t="str">
        <f>VLOOKUP(A316,Hospitalisation_Details__2[],6,FALSE)</f>
        <v>tier - 2</v>
      </c>
      <c r="P316" t="str">
        <f>VLOOKUP(A316,Hospitalisation_Details__2[],7,FALSE)</f>
        <v>R1011</v>
      </c>
    </row>
    <row r="317" spans="1:16" x14ac:dyDescent="0.35">
      <c r="A317" t="str">
        <v>Id316</v>
      </c>
      <c r="B317" t="str">
        <f>VLOOKUP(A317,'Customer Names (2)'!A:B, 2,FALSE)</f>
        <v>Mr</v>
      </c>
      <c r="C317">
        <f>VLOOKUP(A317,Medical_Examinations[],2,FALSE)</f>
        <v>25.364999999999998</v>
      </c>
      <c r="D317">
        <f>VLOOKUP(A317,Medical_Examinations[],3,FALSE)</f>
        <v>5.19</v>
      </c>
      <c r="E317" t="str">
        <f>VLOOKUP(A317,Medical_Examinations[],4,FALSE)</f>
        <v>No</v>
      </c>
      <c r="F317" t="str">
        <f>VLOOKUP(A317,Medical_Examinations[],5,FALSE)</f>
        <v>No</v>
      </c>
      <c r="G317" t="str">
        <f>VLOOKUP(A317,Medical_Examinations[],6,FALSE)</f>
        <v>No</v>
      </c>
      <c r="H317">
        <f>VLOOKUP(A317,Medical_Examinations[],7,FALSE)</f>
        <v>2</v>
      </c>
      <c r="I317" t="str">
        <f>VLOOKUP(A317,Medical_Examinations[],8,FALSE)</f>
        <v>No</v>
      </c>
      <c r="J317" t="str">
        <f>VLOOKUP(A317,Medical_Examinations[],9,FALSE)</f>
        <v>Overweight</v>
      </c>
      <c r="K317" t="str">
        <f>VLOOKUP(A317,Medical_Examinations[],10,FALSE)</f>
        <v>Normal</v>
      </c>
      <c r="M317">
        <f>VLOOKUP(A317,Hospitalisation_Details__2[],4,FALSE)</f>
        <v>30284.639999999999</v>
      </c>
      <c r="N317" t="str">
        <f>VLOOKUP(A317,Hospitalisation_Details__2[],5,FALSE)</f>
        <v>tier - 1</v>
      </c>
      <c r="O317" t="str">
        <f>VLOOKUP(A317,Hospitalisation_Details__2[],6,FALSE)</f>
        <v>tier - 1</v>
      </c>
      <c r="P317" t="str">
        <f>VLOOKUP(A317,Hospitalisation_Details__2[],7,FALSE)</f>
        <v>R1012</v>
      </c>
    </row>
    <row r="318" spans="1:16" x14ac:dyDescent="0.35">
      <c r="A318" t="str">
        <v>Id317</v>
      </c>
      <c r="B318" t="str">
        <f>VLOOKUP(A318,'Customer Names (2)'!A:B, 2,FALSE)</f>
        <v>Mr</v>
      </c>
      <c r="C318">
        <f>VLOOKUP(A318,Medical_Examinations[],2,FALSE)</f>
        <v>28.594999999999999</v>
      </c>
      <c r="D318">
        <f>VLOOKUP(A318,Medical_Examinations[],3,FALSE)</f>
        <v>10.210000000000001</v>
      </c>
      <c r="E318" t="str">
        <f>VLOOKUP(A318,Medical_Examinations[],4,FALSE)</f>
        <v>No</v>
      </c>
      <c r="F318" t="str">
        <f>VLOOKUP(A318,Medical_Examinations[],5,FALSE)</f>
        <v>No</v>
      </c>
      <c r="G318" t="str">
        <f>VLOOKUP(A318,Medical_Examinations[],6,FALSE)</f>
        <v>No</v>
      </c>
      <c r="H318">
        <f>VLOOKUP(A318,Medical_Examinations[],7,FALSE)</f>
        <v>0</v>
      </c>
      <c r="I318" t="str">
        <f>VLOOKUP(A318,Medical_Examinations[],8,FALSE)</f>
        <v>No</v>
      </c>
      <c r="J318" t="str">
        <f>VLOOKUP(A318,Medical_Examinations[],9,FALSE)</f>
        <v>Overweight</v>
      </c>
      <c r="K318" t="str">
        <f>VLOOKUP(A318,Medical_Examinations[],10,FALSE)</f>
        <v>Diabetes</v>
      </c>
      <c r="M318">
        <f>VLOOKUP(A318,Hospitalisation_Details__2[],4,FALSE)</f>
        <v>30260</v>
      </c>
      <c r="N318" t="str">
        <f>VLOOKUP(A318,Hospitalisation_Details__2[],5,FALSE)</f>
        <v>tier - 1</v>
      </c>
      <c r="O318" t="str">
        <f>VLOOKUP(A318,Hospitalisation_Details__2[],6,FALSE)</f>
        <v>tier - 1</v>
      </c>
      <c r="P318" t="str">
        <f>VLOOKUP(A318,Hospitalisation_Details__2[],7,FALSE)</f>
        <v>R1014</v>
      </c>
    </row>
    <row r="319" spans="1:16" x14ac:dyDescent="0.35">
      <c r="A319" t="str">
        <v>Id318</v>
      </c>
      <c r="B319" t="str">
        <f>VLOOKUP(A319,'Customer Names (2)'!A:B, 2,FALSE)</f>
        <v>Mr</v>
      </c>
      <c r="C319">
        <f>VLOOKUP(A319,Medical_Examinations[],2,FALSE)</f>
        <v>29.83</v>
      </c>
      <c r="D319">
        <f>VLOOKUP(A319,Medical_Examinations[],3,FALSE)</f>
        <v>9.6999999999999993</v>
      </c>
      <c r="E319" t="str">
        <f>VLOOKUP(A319,Medical_Examinations[],4,FALSE)</f>
        <v>Yes</v>
      </c>
      <c r="F319" t="str">
        <f>VLOOKUP(A319,Medical_Examinations[],5,FALSE)</f>
        <v>No</v>
      </c>
      <c r="G319" t="str">
        <f>VLOOKUP(A319,Medical_Examinations[],6,FALSE)</f>
        <v>Yes</v>
      </c>
      <c r="H319">
        <f>VLOOKUP(A319,Medical_Examinations[],7,FALSE)</f>
        <v>1</v>
      </c>
      <c r="I319" t="str">
        <f>VLOOKUP(A319,Medical_Examinations[],8,FALSE)</f>
        <v>Yes</v>
      </c>
      <c r="J319" t="str">
        <f>VLOOKUP(A319,Medical_Examinations[],9,FALSE)</f>
        <v>Overweight</v>
      </c>
      <c r="K319" t="str">
        <f>VLOOKUP(A319,Medical_Examinations[],10,FALSE)</f>
        <v>Diabetes</v>
      </c>
      <c r="M319">
        <f>VLOOKUP(A319,Hospitalisation_Details__2[],4,FALSE)</f>
        <v>30184.94</v>
      </c>
      <c r="N319" t="str">
        <f>VLOOKUP(A319,Hospitalisation_Details__2[],5,FALSE)</f>
        <v>tier - 1</v>
      </c>
      <c r="O319" t="str">
        <f>VLOOKUP(A319,Hospitalisation_Details__2[],6,FALSE)</f>
        <v>tier - 1</v>
      </c>
      <c r="P319" t="str">
        <f>VLOOKUP(A319,Hospitalisation_Details__2[],7,FALSE)</f>
        <v>R1014</v>
      </c>
    </row>
    <row r="320" spans="1:16" x14ac:dyDescent="0.35">
      <c r="A320" t="str">
        <v>Id319</v>
      </c>
      <c r="B320" t="str">
        <f>VLOOKUP(A320,'Customer Names (2)'!A:B, 2,FALSE)</f>
        <v>Mr</v>
      </c>
      <c r="C320">
        <f>VLOOKUP(A320,Medical_Examinations[],2,FALSE)</f>
        <v>24.7</v>
      </c>
      <c r="D320">
        <f>VLOOKUP(A320,Medical_Examinations[],3,FALSE)</f>
        <v>10.25</v>
      </c>
      <c r="E320" t="str">
        <f>VLOOKUP(A320,Medical_Examinations[],4,FALSE)</f>
        <v>No</v>
      </c>
      <c r="F320" t="str">
        <f>VLOOKUP(A320,Medical_Examinations[],5,FALSE)</f>
        <v>No</v>
      </c>
      <c r="G320" t="str">
        <f>VLOOKUP(A320,Medical_Examinations[],6,FALSE)</f>
        <v>No</v>
      </c>
      <c r="H320">
        <f>VLOOKUP(A320,Medical_Examinations[],7,FALSE)</f>
        <v>3</v>
      </c>
      <c r="I320" t="str">
        <f>VLOOKUP(A320,Medical_Examinations[],8,FALSE)</f>
        <v>No</v>
      </c>
      <c r="J320" t="str">
        <f>VLOOKUP(A320,Medical_Examinations[],9,FALSE)</f>
        <v>Normal Weight</v>
      </c>
      <c r="K320" t="str">
        <f>VLOOKUP(A320,Medical_Examinations[],10,FALSE)</f>
        <v>Diabetes</v>
      </c>
      <c r="M320">
        <f>VLOOKUP(A320,Hospitalisation_Details__2[],4,FALSE)</f>
        <v>30166.62</v>
      </c>
      <c r="N320" t="str">
        <f>VLOOKUP(A320,Hospitalisation_Details__2[],5,FALSE)</f>
        <v>tier - 1</v>
      </c>
      <c r="O320" t="str">
        <f>VLOOKUP(A320,Hospitalisation_Details__2[],6,FALSE)</f>
        <v>tier - 3</v>
      </c>
      <c r="P320" t="str">
        <f>VLOOKUP(A320,Hospitalisation_Details__2[],7,FALSE)</f>
        <v>R1012</v>
      </c>
    </row>
    <row r="321" spans="1:16" x14ac:dyDescent="0.35">
      <c r="A321" t="str">
        <v>Id320</v>
      </c>
      <c r="B321" t="str">
        <f>VLOOKUP(A321,'Customer Names (2)'!A:B, 2,FALSE)</f>
        <v>Ms</v>
      </c>
      <c r="C321">
        <f>VLOOKUP(A321,Medical_Examinations[],2,FALSE)</f>
        <v>17.940000000000001</v>
      </c>
      <c r="D321">
        <f>VLOOKUP(A321,Medical_Examinations[],3,FALSE)</f>
        <v>9.77</v>
      </c>
      <c r="E321" t="str">
        <f>VLOOKUP(A321,Medical_Examinations[],4,FALSE)</f>
        <v>No</v>
      </c>
      <c r="F321" t="str">
        <f>VLOOKUP(A321,Medical_Examinations[],5,FALSE)</f>
        <v>No</v>
      </c>
      <c r="G321" t="str">
        <f>VLOOKUP(A321,Medical_Examinations[],6,FALSE)</f>
        <v>No</v>
      </c>
      <c r="H321">
        <f>VLOOKUP(A321,Medical_Examinations[],7,FALSE)</f>
        <v>0</v>
      </c>
      <c r="I321" t="str">
        <f>VLOOKUP(A321,Medical_Examinations[],8,FALSE)</f>
        <v>Yes</v>
      </c>
      <c r="J321" t="str">
        <f>VLOOKUP(A321,Medical_Examinations[],9,FALSE)</f>
        <v>Underweight</v>
      </c>
      <c r="K321" t="str">
        <f>VLOOKUP(A321,Medical_Examinations[],10,FALSE)</f>
        <v>Diabetes</v>
      </c>
      <c r="M321">
        <f>VLOOKUP(A321,Hospitalisation_Details__2[],4,FALSE)</f>
        <v>30134.75</v>
      </c>
      <c r="N321" t="str">
        <f>VLOOKUP(A321,Hospitalisation_Details__2[],5,FALSE)</f>
        <v>tier - 2</v>
      </c>
      <c r="O321" t="str">
        <f>VLOOKUP(A321,Hospitalisation_Details__2[],6,FALSE)</f>
        <v>tier - 3</v>
      </c>
      <c r="P321" t="str">
        <f>VLOOKUP(A321,Hospitalisation_Details__2[],7,FALSE)</f>
        <v>R1011</v>
      </c>
    </row>
    <row r="322" spans="1:16" x14ac:dyDescent="0.35">
      <c r="A322" t="str">
        <v>Id321</v>
      </c>
      <c r="B322" t="str">
        <f>VLOOKUP(A322,'Customer Names (2)'!A:B, 2,FALSE)</f>
        <v>Ms</v>
      </c>
      <c r="C322">
        <f>VLOOKUP(A322,Medical_Examinations[],2,FALSE)</f>
        <v>21.08</v>
      </c>
      <c r="D322">
        <f>VLOOKUP(A322,Medical_Examinations[],3,FALSE)</f>
        <v>4.83</v>
      </c>
      <c r="E322" t="str">
        <f>VLOOKUP(A322,Medical_Examinations[],4,FALSE)</f>
        <v>No</v>
      </c>
      <c r="F322" t="str">
        <f>VLOOKUP(A322,Medical_Examinations[],5,FALSE)</f>
        <v>No</v>
      </c>
      <c r="G322" t="str">
        <f>VLOOKUP(A322,Medical_Examinations[],6,FALSE)</f>
        <v>Yes</v>
      </c>
      <c r="H322">
        <f>VLOOKUP(A322,Medical_Examinations[],7,FALSE)</f>
        <v>1</v>
      </c>
      <c r="I322" t="str">
        <f>VLOOKUP(A322,Medical_Examinations[],8,FALSE)</f>
        <v>Yes</v>
      </c>
      <c r="J322" t="str">
        <f>VLOOKUP(A322,Medical_Examinations[],9,FALSE)</f>
        <v>Normal Weight</v>
      </c>
      <c r="K322" t="str">
        <f>VLOOKUP(A322,Medical_Examinations[],10,FALSE)</f>
        <v>Normal</v>
      </c>
      <c r="M322">
        <f>VLOOKUP(A322,Hospitalisation_Details__2[],4,FALSE)</f>
        <v>30095.97</v>
      </c>
      <c r="N322" t="str">
        <f>VLOOKUP(A322,Hospitalisation_Details__2[],5,FALSE)</f>
        <v>tier - 2</v>
      </c>
      <c r="O322" t="str">
        <f>VLOOKUP(A322,Hospitalisation_Details__2[],6,FALSE)</f>
        <v>tier - 3</v>
      </c>
      <c r="P322" t="str">
        <f>VLOOKUP(A322,Hospitalisation_Details__2[],7,FALSE)</f>
        <v>R1011</v>
      </c>
    </row>
    <row r="323" spans="1:16" x14ac:dyDescent="0.35">
      <c r="A323" t="str">
        <v>Id322</v>
      </c>
      <c r="B323" t="str">
        <f>VLOOKUP(A323,'Customer Names (2)'!A:B, 2,FALSE)</f>
        <v>Mr</v>
      </c>
      <c r="C323">
        <f>VLOOKUP(A323,Medical_Examinations[],2,FALSE)</f>
        <v>37.715000000000003</v>
      </c>
      <c r="D323">
        <f>VLOOKUP(A323,Medical_Examinations[],3,FALSE)</f>
        <v>10.86</v>
      </c>
      <c r="E323" t="str">
        <f>VLOOKUP(A323,Medical_Examinations[],4,FALSE)</f>
        <v>Yes</v>
      </c>
      <c r="F323" t="str">
        <f>VLOOKUP(A323,Medical_Examinations[],5,FALSE)</f>
        <v>No</v>
      </c>
      <c r="G323" t="str">
        <f>VLOOKUP(A323,Medical_Examinations[],6,FALSE)</f>
        <v>No</v>
      </c>
      <c r="H323">
        <f>VLOOKUP(A323,Medical_Examinations[],7,FALSE)</f>
        <v>0</v>
      </c>
      <c r="I323" t="str">
        <f>VLOOKUP(A323,Medical_Examinations[],8,FALSE)</f>
        <v>No</v>
      </c>
      <c r="J323" t="str">
        <f>VLOOKUP(A323,Medical_Examinations[],9,FALSE)</f>
        <v>Obesity</v>
      </c>
      <c r="K323" t="str">
        <f>VLOOKUP(A323,Medical_Examinations[],10,FALSE)</f>
        <v>Diabetes</v>
      </c>
      <c r="M323">
        <f>VLOOKUP(A323,Hospitalisation_Details__2[],4,FALSE)</f>
        <v>30063.58</v>
      </c>
      <c r="N323" t="str">
        <f>VLOOKUP(A323,Hospitalisation_Details__2[],5,FALSE)</f>
        <v>tier - 1</v>
      </c>
      <c r="O323" t="str">
        <f>VLOOKUP(A323,Hospitalisation_Details__2[],6,FALSE)</f>
        <v>tier - 1</v>
      </c>
      <c r="P323" t="str">
        <f>VLOOKUP(A323,Hospitalisation_Details__2[],7,FALSE)</f>
        <v>R1012</v>
      </c>
    </row>
    <row r="324" spans="1:16" x14ac:dyDescent="0.35">
      <c r="A324" t="str">
        <v>Id323</v>
      </c>
      <c r="B324" t="str">
        <f>VLOOKUP(A324,'Customer Names (2)'!A:B, 2,FALSE)</f>
        <v>Mr</v>
      </c>
      <c r="C324">
        <f>VLOOKUP(A324,Medical_Examinations[],2,FALSE)</f>
        <v>22.39</v>
      </c>
      <c r="D324">
        <f>VLOOKUP(A324,Medical_Examinations[],3,FALSE)</f>
        <v>9.5299999999999994</v>
      </c>
      <c r="E324" t="str">
        <f>VLOOKUP(A324,Medical_Examinations[],4,FALSE)</f>
        <v>Yes</v>
      </c>
      <c r="F324" t="str">
        <f>VLOOKUP(A324,Medical_Examinations[],5,FALSE)</f>
        <v>No</v>
      </c>
      <c r="G324" t="str">
        <f>VLOOKUP(A324,Medical_Examinations[],6,FALSE)</f>
        <v>No</v>
      </c>
      <c r="H324">
        <f>VLOOKUP(A324,Medical_Examinations[],7,FALSE)</f>
        <v>0</v>
      </c>
      <c r="I324" t="str">
        <f>VLOOKUP(A324,Medical_Examinations[],8,FALSE)</f>
        <v>Yes</v>
      </c>
      <c r="J324" t="str">
        <f>VLOOKUP(A324,Medical_Examinations[],9,FALSE)</f>
        <v>Normal Weight</v>
      </c>
      <c r="K324" t="str">
        <f>VLOOKUP(A324,Medical_Examinations[],10,FALSE)</f>
        <v>Diabetes</v>
      </c>
      <c r="M324">
        <f>VLOOKUP(A324,Hospitalisation_Details__2[],4,FALSE)</f>
        <v>30026.87</v>
      </c>
      <c r="N324" t="str">
        <f>VLOOKUP(A324,Hospitalisation_Details__2[],5,FALSE)</f>
        <v>tier - 2</v>
      </c>
      <c r="O324" t="str">
        <f>VLOOKUP(A324,Hospitalisation_Details__2[],6,FALSE)</f>
        <v>tier - 3</v>
      </c>
      <c r="P324" t="str">
        <f>VLOOKUP(A324,Hospitalisation_Details__2[],7,FALSE)</f>
        <v>R1012</v>
      </c>
    </row>
    <row r="325" spans="1:16" x14ac:dyDescent="0.35">
      <c r="A325" t="str">
        <v>Id324</v>
      </c>
      <c r="B325" t="str">
        <f>VLOOKUP(A325,'Customer Names (2)'!A:B, 2,FALSE)</f>
        <v>Mr</v>
      </c>
      <c r="C325">
        <f>VLOOKUP(A325,Medical_Examinations[],2,FALSE)</f>
        <v>28.78</v>
      </c>
      <c r="D325">
        <f>VLOOKUP(A325,Medical_Examinations[],3,FALSE)</f>
        <v>5.68</v>
      </c>
      <c r="E325" t="str">
        <f>VLOOKUP(A325,Medical_Examinations[],4,FALSE)</f>
        <v>No</v>
      </c>
      <c r="F325" t="str">
        <f>VLOOKUP(A325,Medical_Examinations[],5,FALSE)</f>
        <v>No</v>
      </c>
      <c r="G325" t="str">
        <f>VLOOKUP(A325,Medical_Examinations[],6,FALSE)</f>
        <v>No</v>
      </c>
      <c r="H325">
        <f>VLOOKUP(A325,Medical_Examinations[],7,FALSE)</f>
        <v>0</v>
      </c>
      <c r="I325" t="str">
        <f>VLOOKUP(A325,Medical_Examinations[],8,FALSE)</f>
        <v>Yes</v>
      </c>
      <c r="J325" t="str">
        <f>VLOOKUP(A325,Medical_Examinations[],9,FALSE)</f>
        <v>Overweight</v>
      </c>
      <c r="K325" t="str">
        <f>VLOOKUP(A325,Medical_Examinations[],10,FALSE)</f>
        <v>Normal</v>
      </c>
      <c r="M325">
        <f>VLOOKUP(A325,Hospitalisation_Details__2[],4,FALSE)</f>
        <v>29969.67</v>
      </c>
      <c r="N325" t="str">
        <f>VLOOKUP(A325,Hospitalisation_Details__2[],5,FALSE)</f>
        <v>tier - 1</v>
      </c>
      <c r="O325" t="str">
        <f>VLOOKUP(A325,Hospitalisation_Details__2[],6,FALSE)</f>
        <v>tier - 1</v>
      </c>
      <c r="P325" t="str">
        <f>VLOOKUP(A325,Hospitalisation_Details__2[],7,FALSE)</f>
        <v>R1011</v>
      </c>
    </row>
    <row r="326" spans="1:16" x14ac:dyDescent="0.35">
      <c r="A326" t="str">
        <v>Id325</v>
      </c>
      <c r="B326" t="str">
        <f>VLOOKUP(A326,'Customer Names (2)'!A:B, 2,FALSE)</f>
        <v>Ms</v>
      </c>
      <c r="C326">
        <f>VLOOKUP(A326,Medical_Examinations[],2,FALSE)</f>
        <v>18.329999999999998</v>
      </c>
      <c r="D326">
        <f>VLOOKUP(A326,Medical_Examinations[],3,FALSE)</f>
        <v>5.57</v>
      </c>
      <c r="E326" t="str">
        <f>VLOOKUP(A326,Medical_Examinations[],4,FALSE)</f>
        <v>Yes</v>
      </c>
      <c r="F326" t="str">
        <f>VLOOKUP(A326,Medical_Examinations[],5,FALSE)</f>
        <v>No</v>
      </c>
      <c r="G326" t="str">
        <f>VLOOKUP(A326,Medical_Examinations[],6,FALSE)</f>
        <v>No</v>
      </c>
      <c r="H326">
        <f>VLOOKUP(A326,Medical_Examinations[],7,FALSE)</f>
        <v>0</v>
      </c>
      <c r="I326" t="str">
        <f>VLOOKUP(A326,Medical_Examinations[],8,FALSE)</f>
        <v>Yes</v>
      </c>
      <c r="J326" t="str">
        <f>VLOOKUP(A326,Medical_Examinations[],9,FALSE)</f>
        <v>Underweight</v>
      </c>
      <c r="K326" t="str">
        <f>VLOOKUP(A326,Medical_Examinations[],10,FALSE)</f>
        <v>Normal</v>
      </c>
      <c r="M326">
        <f>VLOOKUP(A326,Hospitalisation_Details__2[],4,FALSE)</f>
        <v>29933.75</v>
      </c>
      <c r="N326" t="str">
        <f>VLOOKUP(A326,Hospitalisation_Details__2[],5,FALSE)</f>
        <v>tier - 1</v>
      </c>
      <c r="O326" t="str">
        <f>VLOOKUP(A326,Hospitalisation_Details__2[],6,FALSE)</f>
        <v>tier - 1</v>
      </c>
      <c r="P326" t="str">
        <f>VLOOKUP(A326,Hospitalisation_Details__2[],7,FALSE)</f>
        <v>R1011</v>
      </c>
    </row>
    <row r="327" spans="1:16" x14ac:dyDescent="0.35">
      <c r="A327" t="str">
        <v>Id326</v>
      </c>
      <c r="B327" t="str">
        <f>VLOOKUP(A327,'Customer Names (2)'!A:B, 2,FALSE)</f>
        <v>Mr</v>
      </c>
      <c r="C327">
        <f>VLOOKUP(A327,Medical_Examinations[],2,FALSE)</f>
        <v>26.39</v>
      </c>
      <c r="D327">
        <f>VLOOKUP(A327,Medical_Examinations[],3,FALSE)</f>
        <v>4.58</v>
      </c>
      <c r="E327" t="str">
        <f>VLOOKUP(A327,Medical_Examinations[],4,FALSE)</f>
        <v>Yes</v>
      </c>
      <c r="F327" t="str">
        <f>VLOOKUP(A327,Medical_Examinations[],5,FALSE)</f>
        <v>No</v>
      </c>
      <c r="G327" t="str">
        <f>VLOOKUP(A327,Medical_Examinations[],6,FALSE)</f>
        <v>No</v>
      </c>
      <c r="H327">
        <f>VLOOKUP(A327,Medical_Examinations[],7,FALSE)</f>
        <v>1</v>
      </c>
      <c r="I327" t="str">
        <f>VLOOKUP(A327,Medical_Examinations[],8,FALSE)</f>
        <v>Yes</v>
      </c>
      <c r="J327" t="str">
        <f>VLOOKUP(A327,Medical_Examinations[],9,FALSE)</f>
        <v>Overweight</v>
      </c>
      <c r="K327" t="str">
        <f>VLOOKUP(A327,Medical_Examinations[],10,FALSE)</f>
        <v>Normal</v>
      </c>
      <c r="M327">
        <f>VLOOKUP(A327,Hospitalisation_Details__2[],4,FALSE)</f>
        <v>29929.56</v>
      </c>
      <c r="N327" t="str">
        <f>VLOOKUP(A327,Hospitalisation_Details__2[],5,FALSE)</f>
        <v>tier - 1</v>
      </c>
      <c r="O327" t="str">
        <f>VLOOKUP(A327,Hospitalisation_Details__2[],6,FALSE)</f>
        <v>tier - 1</v>
      </c>
      <c r="P327" t="str">
        <f>VLOOKUP(A327,Hospitalisation_Details__2[],7,FALSE)</f>
        <v>R1011</v>
      </c>
    </row>
    <row r="328" spans="1:16" x14ac:dyDescent="0.35">
      <c r="A328" t="str">
        <v>Id327</v>
      </c>
      <c r="B328" t="str">
        <f>VLOOKUP(A328,'Customer Names (2)'!A:B, 2,FALSE)</f>
        <v>Mr</v>
      </c>
      <c r="C328">
        <f>VLOOKUP(A328,Medical_Examinations[],2,FALSE)</f>
        <v>19.260000000000002</v>
      </c>
      <c r="D328">
        <f>VLOOKUP(A328,Medical_Examinations[],3,FALSE)</f>
        <v>8.9600000000000009</v>
      </c>
      <c r="E328" t="str">
        <f>VLOOKUP(A328,Medical_Examinations[],4,FALSE)</f>
        <v>Yes</v>
      </c>
      <c r="F328" t="str">
        <f>VLOOKUP(A328,Medical_Examinations[],5,FALSE)</f>
        <v>No</v>
      </c>
      <c r="G328" t="str">
        <f>VLOOKUP(A328,Medical_Examinations[],6,FALSE)</f>
        <v>No</v>
      </c>
      <c r="H328">
        <f>VLOOKUP(A328,Medical_Examinations[],7,FALSE)</f>
        <v>1</v>
      </c>
      <c r="I328" t="str">
        <f>VLOOKUP(A328,Medical_Examinations[],8,FALSE)</f>
        <v>Yes</v>
      </c>
      <c r="J328" t="str">
        <f>VLOOKUP(A328,Medical_Examinations[],9,FALSE)</f>
        <v>Normal Weight</v>
      </c>
      <c r="K328" t="str">
        <f>VLOOKUP(A328,Medical_Examinations[],10,FALSE)</f>
        <v>Diabetes</v>
      </c>
      <c r="M328">
        <f>VLOOKUP(A328,Hospitalisation_Details__2[],4,FALSE)</f>
        <v>29899.25</v>
      </c>
      <c r="N328" t="str">
        <f>VLOOKUP(A328,Hospitalisation_Details__2[],5,FALSE)</f>
        <v>tier - 1</v>
      </c>
      <c r="O328" t="str">
        <f>VLOOKUP(A328,Hospitalisation_Details__2[],6,FALSE)</f>
        <v>tier - 3</v>
      </c>
      <c r="P328" t="str">
        <f>VLOOKUP(A328,Hospitalisation_Details__2[],7,FALSE)</f>
        <v>R1011</v>
      </c>
    </row>
    <row r="329" spans="1:16" x14ac:dyDescent="0.35">
      <c r="A329" t="str">
        <v>Id328</v>
      </c>
      <c r="B329" t="str">
        <f>VLOOKUP(A329,'Customer Names (2)'!A:B, 2,FALSE)</f>
        <v>Mr</v>
      </c>
      <c r="C329">
        <f>VLOOKUP(A329,Medical_Examinations[],2,FALSE)</f>
        <v>26.92</v>
      </c>
      <c r="D329">
        <f>VLOOKUP(A329,Medical_Examinations[],3,FALSE)</f>
        <v>6.09</v>
      </c>
      <c r="E329" t="str">
        <f>VLOOKUP(A329,Medical_Examinations[],4,FALSE)</f>
        <v>No</v>
      </c>
      <c r="F329" t="str">
        <f>VLOOKUP(A329,Medical_Examinations[],5,FALSE)</f>
        <v>No</v>
      </c>
      <c r="G329" t="str">
        <f>VLOOKUP(A329,Medical_Examinations[],6,FALSE)</f>
        <v>No</v>
      </c>
      <c r="H329">
        <f>VLOOKUP(A329,Medical_Examinations[],7,FALSE)</f>
        <v>0</v>
      </c>
      <c r="I329" t="str">
        <f>VLOOKUP(A329,Medical_Examinations[],8,FALSE)</f>
        <v>Yes</v>
      </c>
      <c r="J329" t="str">
        <f>VLOOKUP(A329,Medical_Examinations[],9,FALSE)</f>
        <v>Overweight</v>
      </c>
      <c r="K329" t="str">
        <f>VLOOKUP(A329,Medical_Examinations[],10,FALSE)</f>
        <v>Prediabetes</v>
      </c>
      <c r="M329">
        <f>VLOOKUP(A329,Hospitalisation_Details__2[],4,FALSE)</f>
        <v>29852.48</v>
      </c>
      <c r="N329" t="str">
        <f>VLOOKUP(A329,Hospitalisation_Details__2[],5,FALSE)</f>
        <v>tier - 1</v>
      </c>
      <c r="O329" t="str">
        <f>VLOOKUP(A329,Hospitalisation_Details__2[],6,FALSE)</f>
        <v>tier - 3</v>
      </c>
      <c r="P329" t="str">
        <f>VLOOKUP(A329,Hospitalisation_Details__2[],7,FALSE)</f>
        <v>R1011</v>
      </c>
    </row>
    <row r="330" spans="1:16" x14ac:dyDescent="0.35">
      <c r="A330" t="str">
        <v>Id329</v>
      </c>
      <c r="B330" t="str">
        <f>VLOOKUP(A330,'Customer Names (2)'!A:B, 2,FALSE)</f>
        <v>Mr</v>
      </c>
      <c r="C330">
        <f>VLOOKUP(A330,Medical_Examinations[],2,FALSE)</f>
        <v>19.73</v>
      </c>
      <c r="D330">
        <f>VLOOKUP(A330,Medical_Examinations[],3,FALSE)</f>
        <v>4.3600000000000003</v>
      </c>
      <c r="E330" t="str">
        <f>VLOOKUP(A330,Medical_Examinations[],4,FALSE)</f>
        <v>No</v>
      </c>
      <c r="F330" t="str">
        <f>VLOOKUP(A330,Medical_Examinations[],5,FALSE)</f>
        <v>No</v>
      </c>
      <c r="G330" t="str">
        <f>VLOOKUP(A330,Medical_Examinations[],6,FALSE)</f>
        <v>No</v>
      </c>
      <c r="H330">
        <f>VLOOKUP(A330,Medical_Examinations[],7,FALSE)</f>
        <v>0</v>
      </c>
      <c r="I330" t="str">
        <f>VLOOKUP(A330,Medical_Examinations[],8,FALSE)</f>
        <v>Yes</v>
      </c>
      <c r="J330" t="str">
        <f>VLOOKUP(A330,Medical_Examinations[],9,FALSE)</f>
        <v>Normal Weight</v>
      </c>
      <c r="K330" t="str">
        <f>VLOOKUP(A330,Medical_Examinations[],10,FALSE)</f>
        <v>Normal</v>
      </c>
      <c r="M330">
        <f>VLOOKUP(A330,Hospitalisation_Details__2[],4,FALSE)</f>
        <v>29818.76</v>
      </c>
      <c r="N330" t="str">
        <f>VLOOKUP(A330,Hospitalisation_Details__2[],5,FALSE)</f>
        <v>tier - 1</v>
      </c>
      <c r="O330" t="str">
        <f>VLOOKUP(A330,Hospitalisation_Details__2[],6,FALSE)</f>
        <v>tier - 1</v>
      </c>
      <c r="P330" t="str">
        <f>VLOOKUP(A330,Hospitalisation_Details__2[],7,FALSE)</f>
        <v>R1012</v>
      </c>
    </row>
    <row r="331" spans="1:16" x14ac:dyDescent="0.35">
      <c r="A331" t="str">
        <v>Id330</v>
      </c>
      <c r="B331" t="str">
        <f>VLOOKUP(A331,'Customer Names (2)'!A:B, 2,FALSE)</f>
        <v>Mr</v>
      </c>
      <c r="C331">
        <f>VLOOKUP(A331,Medical_Examinations[],2,FALSE)</f>
        <v>23.56</v>
      </c>
      <c r="D331">
        <f>VLOOKUP(A331,Medical_Examinations[],3,FALSE)</f>
        <v>11.74</v>
      </c>
      <c r="E331" t="str">
        <f>VLOOKUP(A331,Medical_Examinations[],4,FALSE)</f>
        <v>Yes</v>
      </c>
      <c r="F331" t="str">
        <f>VLOOKUP(A331,Medical_Examinations[],5,FALSE)</f>
        <v>No</v>
      </c>
      <c r="G331" t="str">
        <f>VLOOKUP(A331,Medical_Examinations[],6,FALSE)</f>
        <v>No</v>
      </c>
      <c r="H331">
        <f>VLOOKUP(A331,Medical_Examinations[],7,FALSE)</f>
        <v>0</v>
      </c>
      <c r="I331" t="str">
        <f>VLOOKUP(A331,Medical_Examinations[],8,FALSE)</f>
        <v>Yes</v>
      </c>
      <c r="J331" t="str">
        <f>VLOOKUP(A331,Medical_Examinations[],9,FALSE)</f>
        <v>Normal Weight</v>
      </c>
      <c r="K331" t="str">
        <f>VLOOKUP(A331,Medical_Examinations[],10,FALSE)</f>
        <v>Diabetes</v>
      </c>
      <c r="M331">
        <f>VLOOKUP(A331,Hospitalisation_Details__2[],4,FALSE)</f>
        <v>29816.639999999999</v>
      </c>
      <c r="N331" t="str">
        <f>VLOOKUP(A331,Hospitalisation_Details__2[],5,FALSE)</f>
        <v>tier - 1</v>
      </c>
      <c r="O331" t="str">
        <f>VLOOKUP(A331,Hospitalisation_Details__2[],6,FALSE)</f>
        <v>tier - 2</v>
      </c>
      <c r="P331" t="str">
        <f>VLOOKUP(A331,Hospitalisation_Details__2[],7,FALSE)</f>
        <v>R1011</v>
      </c>
    </row>
    <row r="332" spans="1:16" x14ac:dyDescent="0.35">
      <c r="A332" t="str">
        <v>Id331</v>
      </c>
      <c r="B332" t="str">
        <f>VLOOKUP(A332,'Customer Names (2)'!A:B, 2,FALSE)</f>
        <v>Mr</v>
      </c>
      <c r="C332">
        <f>VLOOKUP(A332,Medical_Examinations[],2,FALSE)</f>
        <v>37.67</v>
      </c>
      <c r="D332">
        <f>VLOOKUP(A332,Medical_Examinations[],3,FALSE)</f>
        <v>5.89</v>
      </c>
      <c r="E332" t="str">
        <f>VLOOKUP(A332,Medical_Examinations[],4,FALSE)</f>
        <v>No</v>
      </c>
      <c r="F332" t="str">
        <f>VLOOKUP(A332,Medical_Examinations[],5,FALSE)</f>
        <v>No</v>
      </c>
      <c r="G332" t="str">
        <f>VLOOKUP(A332,Medical_Examinations[],6,FALSE)</f>
        <v>No</v>
      </c>
      <c r="H332">
        <f>VLOOKUP(A332,Medical_Examinations[],7,FALSE)</f>
        <v>1</v>
      </c>
      <c r="I332" t="str">
        <f>VLOOKUP(A332,Medical_Examinations[],8,FALSE)</f>
        <v>Yes</v>
      </c>
      <c r="J332" t="str">
        <f>VLOOKUP(A332,Medical_Examinations[],9,FALSE)</f>
        <v>Obesity</v>
      </c>
      <c r="K332" t="str">
        <f>VLOOKUP(A332,Medical_Examinations[],10,FALSE)</f>
        <v>Prediabetes</v>
      </c>
      <c r="M332">
        <f>VLOOKUP(A332,Hospitalisation_Details__2[],4,FALSE)</f>
        <v>29760.6</v>
      </c>
      <c r="N332" t="str">
        <f>VLOOKUP(A332,Hospitalisation_Details__2[],5,FALSE)</f>
        <v>tier - 1</v>
      </c>
      <c r="O332" t="str">
        <f>VLOOKUP(A332,Hospitalisation_Details__2[],6,FALSE)</f>
        <v>tier - 2</v>
      </c>
      <c r="P332" t="str">
        <f>VLOOKUP(A332,Hospitalisation_Details__2[],7,FALSE)</f>
        <v>R1011</v>
      </c>
    </row>
    <row r="333" spans="1:16" x14ac:dyDescent="0.35">
      <c r="A333" t="str">
        <v>Id332</v>
      </c>
      <c r="B333" t="str">
        <f>VLOOKUP(A333,'Customer Names (2)'!A:B, 2,FALSE)</f>
        <v>Mr</v>
      </c>
      <c r="C333">
        <f>VLOOKUP(A333,Medical_Examinations[],2,FALSE)</f>
        <v>18.73</v>
      </c>
      <c r="D333">
        <f>VLOOKUP(A333,Medical_Examinations[],3,FALSE)</f>
        <v>10.64</v>
      </c>
      <c r="E333" t="str">
        <f>VLOOKUP(A333,Medical_Examinations[],4,FALSE)</f>
        <v>No</v>
      </c>
      <c r="F333" t="str">
        <f>VLOOKUP(A333,Medical_Examinations[],5,FALSE)</f>
        <v>No</v>
      </c>
      <c r="G333" t="str">
        <f>VLOOKUP(A333,Medical_Examinations[],6,FALSE)</f>
        <v>No</v>
      </c>
      <c r="H333">
        <f>VLOOKUP(A333,Medical_Examinations[],7,FALSE)</f>
        <v>2</v>
      </c>
      <c r="I333" t="str">
        <f>VLOOKUP(A333,Medical_Examinations[],8,FALSE)</f>
        <v>Yes</v>
      </c>
      <c r="J333" t="str">
        <f>VLOOKUP(A333,Medical_Examinations[],9,FALSE)</f>
        <v>Normal Weight</v>
      </c>
      <c r="K333" t="str">
        <f>VLOOKUP(A333,Medical_Examinations[],10,FALSE)</f>
        <v>Diabetes</v>
      </c>
      <c r="M333">
        <f>VLOOKUP(A333,Hospitalisation_Details__2[],4,FALSE)</f>
        <v>29757.69</v>
      </c>
      <c r="N333" t="str">
        <f>VLOOKUP(A333,Hospitalisation_Details__2[],5,FALSE)</f>
        <v>tier - 1</v>
      </c>
      <c r="O333" t="str">
        <f>VLOOKUP(A333,Hospitalisation_Details__2[],6,FALSE)</f>
        <v>tier - 3</v>
      </c>
      <c r="P333" t="str">
        <f>VLOOKUP(A333,Hospitalisation_Details__2[],7,FALSE)</f>
        <v>R1011</v>
      </c>
    </row>
    <row r="334" spans="1:16" x14ac:dyDescent="0.35">
      <c r="A334" t="str">
        <v>Id333</v>
      </c>
      <c r="B334" t="str">
        <f>VLOOKUP(A334,'Customer Names (2)'!A:B, 2,FALSE)</f>
        <v>Ms</v>
      </c>
      <c r="C334">
        <f>VLOOKUP(A334,Medical_Examinations[],2,FALSE)</f>
        <v>33.090000000000003</v>
      </c>
      <c r="D334">
        <f>VLOOKUP(A334,Medical_Examinations[],3,FALSE)</f>
        <v>6.06</v>
      </c>
      <c r="E334" t="str">
        <f>VLOOKUP(A334,Medical_Examinations[],4,FALSE)</f>
        <v>No</v>
      </c>
      <c r="F334" t="str">
        <f>VLOOKUP(A334,Medical_Examinations[],5,FALSE)</f>
        <v>No</v>
      </c>
      <c r="G334" t="str">
        <f>VLOOKUP(A334,Medical_Examinations[],6,FALSE)</f>
        <v>Yes</v>
      </c>
      <c r="H334">
        <f>VLOOKUP(A334,Medical_Examinations[],7,FALSE)</f>
        <v>1</v>
      </c>
      <c r="I334" t="str">
        <f>VLOOKUP(A334,Medical_Examinations[],8,FALSE)</f>
        <v>Yes</v>
      </c>
      <c r="J334" t="str">
        <f>VLOOKUP(A334,Medical_Examinations[],9,FALSE)</f>
        <v>Obesity</v>
      </c>
      <c r="K334" t="str">
        <f>VLOOKUP(A334,Medical_Examinations[],10,FALSE)</f>
        <v>Prediabetes</v>
      </c>
      <c r="M334">
        <f>VLOOKUP(A334,Hospitalisation_Details__2[],4,FALSE)</f>
        <v>29622.69</v>
      </c>
      <c r="N334" t="str">
        <f>VLOOKUP(A334,Hospitalisation_Details__2[],5,FALSE)</f>
        <v>tier - 1</v>
      </c>
      <c r="O334" t="str">
        <f>VLOOKUP(A334,Hospitalisation_Details__2[],6,FALSE)</f>
        <v>tier - 1</v>
      </c>
      <c r="P334" t="str">
        <f>VLOOKUP(A334,Hospitalisation_Details__2[],7,FALSE)</f>
        <v>R1011</v>
      </c>
    </row>
    <row r="335" spans="1:16" x14ac:dyDescent="0.35">
      <c r="A335" t="str">
        <v>Id334</v>
      </c>
      <c r="B335" t="str">
        <f>VLOOKUP(A335,'Customer Names (2)'!A:B, 2,FALSE)</f>
        <v>Mr</v>
      </c>
      <c r="C335">
        <f>VLOOKUP(A335,Medical_Examinations[],2,FALSE)</f>
        <v>18.329999999999998</v>
      </c>
      <c r="D335">
        <f>VLOOKUP(A335,Medical_Examinations[],3,FALSE)</f>
        <v>7.46</v>
      </c>
      <c r="E335" t="str">
        <f>VLOOKUP(A335,Medical_Examinations[],4,FALSE)</f>
        <v>Yes</v>
      </c>
      <c r="F335" t="str">
        <f>VLOOKUP(A335,Medical_Examinations[],5,FALSE)</f>
        <v>No</v>
      </c>
      <c r="G335" t="str">
        <f>VLOOKUP(A335,Medical_Examinations[],6,FALSE)</f>
        <v>No</v>
      </c>
      <c r="H335">
        <f>VLOOKUP(A335,Medical_Examinations[],7,FALSE)</f>
        <v>1</v>
      </c>
      <c r="I335" t="str">
        <f>VLOOKUP(A335,Medical_Examinations[],8,FALSE)</f>
        <v>Yes</v>
      </c>
      <c r="J335" t="str">
        <f>VLOOKUP(A335,Medical_Examinations[],9,FALSE)</f>
        <v>Underweight</v>
      </c>
      <c r="K335" t="str">
        <f>VLOOKUP(A335,Medical_Examinations[],10,FALSE)</f>
        <v>Diabetes</v>
      </c>
      <c r="M335">
        <f>VLOOKUP(A335,Hospitalisation_Details__2[],4,FALSE)</f>
        <v>29583.8</v>
      </c>
      <c r="N335" t="str">
        <f>VLOOKUP(A335,Hospitalisation_Details__2[],5,FALSE)</f>
        <v>tier - 1</v>
      </c>
      <c r="O335" t="str">
        <f>VLOOKUP(A335,Hospitalisation_Details__2[],6,FALSE)</f>
        <v>tier - 1</v>
      </c>
      <c r="P335" t="str">
        <f>VLOOKUP(A335,Hospitalisation_Details__2[],7,FALSE)</f>
        <v>R1011</v>
      </c>
    </row>
    <row r="336" spans="1:16" x14ac:dyDescent="0.35">
      <c r="A336" t="str">
        <v>Id335</v>
      </c>
      <c r="B336" t="str">
        <f>VLOOKUP(A336,'Customer Names (2)'!A:B, 2,FALSE)</f>
        <v>Ms</v>
      </c>
      <c r="C336">
        <f>VLOOKUP(A336,Medical_Examinations[],2,FALSE)</f>
        <v>27.74</v>
      </c>
      <c r="D336">
        <f>VLOOKUP(A336,Medical_Examinations[],3,FALSE)</f>
        <v>4.68</v>
      </c>
      <c r="E336" t="str">
        <f>VLOOKUP(A336,Medical_Examinations[],4,FALSE)</f>
        <v>Yes</v>
      </c>
      <c r="F336" t="str">
        <f>VLOOKUP(A336,Medical_Examinations[],5,FALSE)</f>
        <v>No</v>
      </c>
      <c r="G336" t="str">
        <f>VLOOKUP(A336,Medical_Examinations[],6,FALSE)</f>
        <v>No</v>
      </c>
      <c r="H336">
        <f>VLOOKUP(A336,Medical_Examinations[],7,FALSE)</f>
        <v>2</v>
      </c>
      <c r="I336" t="str">
        <f>VLOOKUP(A336,Medical_Examinations[],8,FALSE)</f>
        <v>Yes</v>
      </c>
      <c r="J336" t="str">
        <f>VLOOKUP(A336,Medical_Examinations[],9,FALSE)</f>
        <v>Overweight</v>
      </c>
      <c r="K336" t="str">
        <f>VLOOKUP(A336,Medical_Examinations[],10,FALSE)</f>
        <v>Normal</v>
      </c>
      <c r="M336">
        <f>VLOOKUP(A336,Hospitalisation_Details__2[],4,FALSE)</f>
        <v>29523.17</v>
      </c>
      <c r="N336" t="str">
        <f>VLOOKUP(A336,Hospitalisation_Details__2[],5,FALSE)</f>
        <v>tier - 1</v>
      </c>
      <c r="O336" t="str">
        <f>VLOOKUP(A336,Hospitalisation_Details__2[],6,FALSE)</f>
        <v>tier - 2</v>
      </c>
      <c r="P336" t="str">
        <f>VLOOKUP(A336,Hospitalisation_Details__2[],7,FALSE)</f>
        <v>R1024</v>
      </c>
    </row>
    <row r="337" spans="1:16" x14ac:dyDescent="0.35">
      <c r="A337" t="str">
        <v>Id336</v>
      </c>
      <c r="B337" t="str">
        <f>VLOOKUP(A337,'Customer Names (2)'!A:B, 2,FALSE)</f>
        <v>Mr</v>
      </c>
      <c r="C337">
        <f>VLOOKUP(A337,Medical_Examinations[],2,FALSE)</f>
        <v>24.2</v>
      </c>
      <c r="D337">
        <f>VLOOKUP(A337,Medical_Examinations[],3,FALSE)</f>
        <v>6.15</v>
      </c>
      <c r="E337" t="str">
        <f>VLOOKUP(A337,Medical_Examinations[],4,FALSE)</f>
        <v>No</v>
      </c>
      <c r="F337" t="str">
        <f>VLOOKUP(A337,Medical_Examinations[],5,FALSE)</f>
        <v>No</v>
      </c>
      <c r="G337" t="str">
        <f>VLOOKUP(A337,Medical_Examinations[],6,FALSE)</f>
        <v>No</v>
      </c>
      <c r="H337">
        <f>VLOOKUP(A337,Medical_Examinations[],7,FALSE)</f>
        <v>1</v>
      </c>
      <c r="I337" t="str">
        <f>VLOOKUP(A337,Medical_Examinations[],8,FALSE)</f>
        <v>Yes</v>
      </c>
      <c r="J337" t="str">
        <f>VLOOKUP(A337,Medical_Examinations[],9,FALSE)</f>
        <v>Normal Weight</v>
      </c>
      <c r="K337" t="str">
        <f>VLOOKUP(A337,Medical_Examinations[],10,FALSE)</f>
        <v>Prediabetes</v>
      </c>
      <c r="M337">
        <f>VLOOKUP(A337,Hospitalisation_Details__2[],4,FALSE)</f>
        <v>29443.59</v>
      </c>
      <c r="N337" t="str">
        <f>VLOOKUP(A337,Hospitalisation_Details__2[],5,FALSE)</f>
        <v>tier - 1</v>
      </c>
      <c r="O337" t="str">
        <f>VLOOKUP(A337,Hospitalisation_Details__2[],6,FALSE)</f>
        <v>tier - 1</v>
      </c>
      <c r="P337" t="str">
        <f>VLOOKUP(A337,Hospitalisation_Details__2[],7,FALSE)</f>
        <v>R1011</v>
      </c>
    </row>
    <row r="338" spans="1:16" x14ac:dyDescent="0.35">
      <c r="A338" t="str">
        <v>Id337</v>
      </c>
      <c r="B338" t="str">
        <f>VLOOKUP(A338,'Customer Names (2)'!A:B, 2,FALSE)</f>
        <v>Ms</v>
      </c>
      <c r="C338">
        <f>VLOOKUP(A338,Medical_Examinations[],2,FALSE)</f>
        <v>22.03</v>
      </c>
      <c r="D338">
        <f>VLOOKUP(A338,Medical_Examinations[],3,FALSE)</f>
        <v>4.28</v>
      </c>
      <c r="E338" t="str">
        <f>VLOOKUP(A338,Medical_Examinations[],4,FALSE)</f>
        <v>Yes</v>
      </c>
      <c r="F338" t="str">
        <f>VLOOKUP(A338,Medical_Examinations[],5,FALSE)</f>
        <v>No</v>
      </c>
      <c r="G338" t="str">
        <f>VLOOKUP(A338,Medical_Examinations[],6,FALSE)</f>
        <v>No</v>
      </c>
      <c r="H338">
        <f>VLOOKUP(A338,Medical_Examinations[],7,FALSE)</f>
        <v>0</v>
      </c>
      <c r="I338" t="str">
        <f>VLOOKUP(A338,Medical_Examinations[],8,FALSE)</f>
        <v>Yes</v>
      </c>
      <c r="J338" t="str">
        <f>VLOOKUP(A338,Medical_Examinations[],9,FALSE)</f>
        <v>Normal Weight</v>
      </c>
      <c r="K338" t="str">
        <f>VLOOKUP(A338,Medical_Examinations[],10,FALSE)</f>
        <v>Normal</v>
      </c>
      <c r="M338">
        <f>VLOOKUP(A338,Hospitalisation_Details__2[],4,FALSE)</f>
        <v>29352.560000000001</v>
      </c>
      <c r="N338" t="str">
        <f>VLOOKUP(A338,Hospitalisation_Details__2[],5,FALSE)</f>
        <v>tier - 1</v>
      </c>
      <c r="O338" t="str">
        <f>VLOOKUP(A338,Hospitalisation_Details__2[],6,FALSE)</f>
        <v>tier - 1</v>
      </c>
      <c r="P338" t="str">
        <f>VLOOKUP(A338,Hospitalisation_Details__2[],7,FALSE)</f>
        <v>R1011</v>
      </c>
    </row>
    <row r="339" spans="1:16" x14ac:dyDescent="0.35">
      <c r="A339" t="str">
        <v>Id338</v>
      </c>
      <c r="B339" t="str">
        <f>VLOOKUP(A339,'Customer Names (2)'!A:B, 2,FALSE)</f>
        <v>Ms</v>
      </c>
      <c r="C339">
        <f>VLOOKUP(A339,Medical_Examinations[],2,FALSE)</f>
        <v>26.885000000000002</v>
      </c>
      <c r="D339">
        <f>VLOOKUP(A339,Medical_Examinations[],3,FALSE)</f>
        <v>9.86</v>
      </c>
      <c r="E339" t="str">
        <f>VLOOKUP(A339,Medical_Examinations[],4,FALSE)</f>
        <v>No</v>
      </c>
      <c r="F339" t="str">
        <f>VLOOKUP(A339,Medical_Examinations[],5,FALSE)</f>
        <v>No</v>
      </c>
      <c r="G339" t="str">
        <f>VLOOKUP(A339,Medical_Examinations[],6,FALSE)</f>
        <v>No</v>
      </c>
      <c r="H339">
        <f>VLOOKUP(A339,Medical_Examinations[],7,FALSE)</f>
        <v>3</v>
      </c>
      <c r="I339" t="str">
        <f>VLOOKUP(A339,Medical_Examinations[],8,FALSE)</f>
        <v>Yes</v>
      </c>
      <c r="J339" t="str">
        <f>VLOOKUP(A339,Medical_Examinations[],9,FALSE)</f>
        <v>Overweight</v>
      </c>
      <c r="K339" t="str">
        <f>VLOOKUP(A339,Medical_Examinations[],10,FALSE)</f>
        <v>Diabetes</v>
      </c>
      <c r="M339">
        <f>VLOOKUP(A339,Hospitalisation_Details__2[],4,FALSE)</f>
        <v>29330.98</v>
      </c>
      <c r="N339" t="str">
        <f>VLOOKUP(A339,Hospitalisation_Details__2[],5,FALSE)</f>
        <v>tier - 1</v>
      </c>
      <c r="O339" t="str">
        <f>VLOOKUP(A339,Hospitalisation_Details__2[],6,FALSE)</f>
        <v>tier - 2</v>
      </c>
      <c r="P339" t="str">
        <f>VLOOKUP(A339,Hospitalisation_Details__2[],7,FALSE)</f>
        <v>R1012</v>
      </c>
    </row>
    <row r="340" spans="1:16" x14ac:dyDescent="0.35">
      <c r="A340" t="str">
        <v>Id339</v>
      </c>
      <c r="B340" t="str">
        <f>VLOOKUP(A340,'Customer Names (2)'!A:B, 2,FALSE)</f>
        <v>Mr</v>
      </c>
      <c r="C340">
        <f>VLOOKUP(A340,Medical_Examinations[],2,FALSE)</f>
        <v>16.36</v>
      </c>
      <c r="D340">
        <f>VLOOKUP(A340,Medical_Examinations[],3,FALSE)</f>
        <v>11.19</v>
      </c>
      <c r="E340" t="str">
        <f>VLOOKUP(A340,Medical_Examinations[],4,FALSE)</f>
        <v>No</v>
      </c>
      <c r="F340" t="str">
        <f>VLOOKUP(A340,Medical_Examinations[],5,FALSE)</f>
        <v>No</v>
      </c>
      <c r="G340" t="str">
        <f>VLOOKUP(A340,Medical_Examinations[],6,FALSE)</f>
        <v>No</v>
      </c>
      <c r="H340">
        <f>VLOOKUP(A340,Medical_Examinations[],7,FALSE)</f>
        <v>0</v>
      </c>
      <c r="I340" t="str">
        <f>VLOOKUP(A340,Medical_Examinations[],8,FALSE)</f>
        <v>Yes</v>
      </c>
      <c r="J340" t="str">
        <f>VLOOKUP(A340,Medical_Examinations[],9,FALSE)</f>
        <v>Underweight</v>
      </c>
      <c r="K340" t="str">
        <f>VLOOKUP(A340,Medical_Examinations[],10,FALSE)</f>
        <v>Diabetes</v>
      </c>
      <c r="M340">
        <f>VLOOKUP(A340,Hospitalisation_Details__2[],4,FALSE)</f>
        <v>29227.599999999999</v>
      </c>
      <c r="N340" t="str">
        <f>VLOOKUP(A340,Hospitalisation_Details__2[],5,FALSE)</f>
        <v>tier - 1</v>
      </c>
      <c r="O340" t="str">
        <f>VLOOKUP(A340,Hospitalisation_Details__2[],6,FALSE)</f>
        <v>tier - 3</v>
      </c>
      <c r="P340" t="str">
        <f>VLOOKUP(A340,Hospitalisation_Details__2[],7,FALSE)</f>
        <v>R1012</v>
      </c>
    </row>
    <row r="341" spans="1:16" x14ac:dyDescent="0.35">
      <c r="A341" t="str">
        <v>Id340</v>
      </c>
      <c r="B341" t="str">
        <f>VLOOKUP(A341,'Customer Names (2)'!A:B, 2,FALSE)</f>
        <v>Ms</v>
      </c>
      <c r="C341">
        <f>VLOOKUP(A341,Medical_Examinations[],2,FALSE)</f>
        <v>32.299999999999997</v>
      </c>
      <c r="D341">
        <f>VLOOKUP(A341,Medical_Examinations[],3,FALSE)</f>
        <v>4.8899999999999997</v>
      </c>
      <c r="E341" t="str">
        <f>VLOOKUP(A341,Medical_Examinations[],4,FALSE)</f>
        <v>Yes</v>
      </c>
      <c r="F341" t="str">
        <f>VLOOKUP(A341,Medical_Examinations[],5,FALSE)</f>
        <v>No</v>
      </c>
      <c r="G341" t="str">
        <f>VLOOKUP(A341,Medical_Examinations[],6,FALSE)</f>
        <v>Yes</v>
      </c>
      <c r="H341">
        <f>VLOOKUP(A341,Medical_Examinations[],7,FALSE)</f>
        <v>1</v>
      </c>
      <c r="I341" t="str">
        <f>VLOOKUP(A341,Medical_Examinations[],8,FALSE)</f>
        <v>No</v>
      </c>
      <c r="J341" t="str">
        <f>VLOOKUP(A341,Medical_Examinations[],9,FALSE)</f>
        <v>Obesity</v>
      </c>
      <c r="K341" t="str">
        <f>VLOOKUP(A341,Medical_Examinations[],10,FALSE)</f>
        <v>Normal</v>
      </c>
      <c r="M341">
        <f>VLOOKUP(A341,Hospitalisation_Details__2[],4,FALSE)</f>
        <v>29186.48</v>
      </c>
      <c r="N341" t="str">
        <f>VLOOKUP(A341,Hospitalisation_Details__2[],5,FALSE)</f>
        <v>tier - 1</v>
      </c>
      <c r="O341" t="str">
        <f>VLOOKUP(A341,Hospitalisation_Details__2[],6,FALSE)</f>
        <v>tier - 3</v>
      </c>
      <c r="P341" t="str">
        <f>VLOOKUP(A341,Hospitalisation_Details__2[],7,FALSE)</f>
        <v>R1024</v>
      </c>
    </row>
    <row r="342" spans="1:16" x14ac:dyDescent="0.35">
      <c r="A342" t="str">
        <v>Id341</v>
      </c>
      <c r="B342" t="str">
        <f>VLOOKUP(A342,'Customer Names (2)'!A:B, 2,FALSE)</f>
        <v>Ms</v>
      </c>
      <c r="C342">
        <f>VLOOKUP(A342,Medical_Examinations[],2,FALSE)</f>
        <v>16.05</v>
      </c>
      <c r="D342">
        <f>VLOOKUP(A342,Medical_Examinations[],3,FALSE)</f>
        <v>4.3499999999999996</v>
      </c>
      <c r="E342" t="str">
        <f>VLOOKUP(A342,Medical_Examinations[],4,FALSE)</f>
        <v>Yes</v>
      </c>
      <c r="F342" t="str">
        <f>VLOOKUP(A342,Medical_Examinations[],5,FALSE)</f>
        <v>No</v>
      </c>
      <c r="G342" t="str">
        <f>VLOOKUP(A342,Medical_Examinations[],6,FALSE)</f>
        <v>No</v>
      </c>
      <c r="H342">
        <f>VLOOKUP(A342,Medical_Examinations[],7,FALSE)</f>
        <v>0</v>
      </c>
      <c r="I342" t="str">
        <f>VLOOKUP(A342,Medical_Examinations[],8,FALSE)</f>
        <v>Yes</v>
      </c>
      <c r="J342" t="str">
        <f>VLOOKUP(A342,Medical_Examinations[],9,FALSE)</f>
        <v>Underweight</v>
      </c>
      <c r="K342" t="str">
        <f>VLOOKUP(A342,Medical_Examinations[],10,FALSE)</f>
        <v>Normal</v>
      </c>
      <c r="M342">
        <f>VLOOKUP(A342,Hospitalisation_Details__2[],4,FALSE)</f>
        <v>29160.39</v>
      </c>
      <c r="N342" t="str">
        <f>VLOOKUP(A342,Hospitalisation_Details__2[],5,FALSE)</f>
        <v>tier - 1</v>
      </c>
      <c r="O342" t="str">
        <f>VLOOKUP(A342,Hospitalisation_Details__2[],6,FALSE)</f>
        <v>tier - 2</v>
      </c>
      <c r="P342" t="str">
        <f>VLOOKUP(A342,Hospitalisation_Details__2[],7,FALSE)</f>
        <v>R1011</v>
      </c>
    </row>
    <row r="343" spans="1:16" x14ac:dyDescent="0.35">
      <c r="A343" t="str">
        <v>Id342</v>
      </c>
      <c r="B343" t="str">
        <f>VLOOKUP(A343,'Customer Names (2)'!A:B, 2,FALSE)</f>
        <v>Ms</v>
      </c>
      <c r="C343">
        <f>VLOOKUP(A343,Medical_Examinations[],2,FALSE)</f>
        <v>29.07</v>
      </c>
      <c r="D343">
        <f>VLOOKUP(A343,Medical_Examinations[],3,FALSE)</f>
        <v>8.66</v>
      </c>
      <c r="E343" t="str">
        <f>VLOOKUP(A343,Medical_Examinations[],4,FALSE)</f>
        <v>Yes</v>
      </c>
      <c r="F343" t="str">
        <f>VLOOKUP(A343,Medical_Examinations[],5,FALSE)</f>
        <v>No</v>
      </c>
      <c r="G343" t="str">
        <f>VLOOKUP(A343,Medical_Examinations[],6,FALSE)</f>
        <v>No</v>
      </c>
      <c r="H343">
        <f>VLOOKUP(A343,Medical_Examinations[],7,FALSE)</f>
        <v>2</v>
      </c>
      <c r="I343" t="str">
        <f>VLOOKUP(A343,Medical_Examinations[],8,FALSE)</f>
        <v>Yes</v>
      </c>
      <c r="J343" t="str">
        <f>VLOOKUP(A343,Medical_Examinations[],9,FALSE)</f>
        <v>Overweight</v>
      </c>
      <c r="K343" t="str">
        <f>VLOOKUP(A343,Medical_Examinations[],10,FALSE)</f>
        <v>Diabetes</v>
      </c>
      <c r="M343">
        <f>VLOOKUP(A343,Hospitalisation_Details__2[],4,FALSE)</f>
        <v>29141.360000000001</v>
      </c>
      <c r="N343" t="str">
        <f>VLOOKUP(A343,Hospitalisation_Details__2[],5,FALSE)</f>
        <v>tier - 1</v>
      </c>
      <c r="O343" t="str">
        <f>VLOOKUP(A343,Hospitalisation_Details__2[],6,FALSE)</f>
        <v>tier - 3</v>
      </c>
      <c r="P343" t="str">
        <f>VLOOKUP(A343,Hospitalisation_Details__2[],7,FALSE)</f>
        <v>R1012</v>
      </c>
    </row>
    <row r="344" spans="1:16" x14ac:dyDescent="0.35">
      <c r="A344" t="str">
        <v>Id343</v>
      </c>
      <c r="B344" t="str">
        <f>VLOOKUP(A344,'Customer Names (2)'!A:B, 2,FALSE)</f>
        <v>Ms</v>
      </c>
      <c r="C344">
        <f>VLOOKUP(A344,Medical_Examinations[],2,FALSE)</f>
        <v>17.43</v>
      </c>
      <c r="D344">
        <f>VLOOKUP(A344,Medical_Examinations[],3,FALSE)</f>
        <v>8.64</v>
      </c>
      <c r="E344" t="str">
        <f>VLOOKUP(A344,Medical_Examinations[],4,FALSE)</f>
        <v>No</v>
      </c>
      <c r="F344" t="str">
        <f>VLOOKUP(A344,Medical_Examinations[],5,FALSE)</f>
        <v>No</v>
      </c>
      <c r="G344" t="str">
        <f>VLOOKUP(A344,Medical_Examinations[],6,FALSE)</f>
        <v>No</v>
      </c>
      <c r="H344">
        <f>VLOOKUP(A344,Medical_Examinations[],7,FALSE)</f>
        <v>0</v>
      </c>
      <c r="I344" t="str">
        <f>VLOOKUP(A344,Medical_Examinations[],8,FALSE)</f>
        <v>Yes</v>
      </c>
      <c r="J344" t="str">
        <f>VLOOKUP(A344,Medical_Examinations[],9,FALSE)</f>
        <v>Underweight</v>
      </c>
      <c r="K344" t="str">
        <f>VLOOKUP(A344,Medical_Examinations[],10,FALSE)</f>
        <v>Diabetes</v>
      </c>
      <c r="M344">
        <f>VLOOKUP(A344,Hospitalisation_Details__2[],4,FALSE)</f>
        <v>29114.77</v>
      </c>
      <c r="N344" t="str">
        <f>VLOOKUP(A344,Hospitalisation_Details__2[],5,FALSE)</f>
        <v>tier - 1</v>
      </c>
      <c r="O344" t="str">
        <f>VLOOKUP(A344,Hospitalisation_Details__2[],6,FALSE)</f>
        <v>tier - 1</v>
      </c>
      <c r="P344" t="str">
        <f>VLOOKUP(A344,Hospitalisation_Details__2[],7,FALSE)</f>
        <v>R1011</v>
      </c>
    </row>
    <row r="345" spans="1:16" x14ac:dyDescent="0.35">
      <c r="A345" t="str">
        <v>Id344</v>
      </c>
      <c r="B345" t="str">
        <f>VLOOKUP(A345,'Customer Names (2)'!A:B, 2,FALSE)</f>
        <v>Mr</v>
      </c>
      <c r="C345">
        <f>VLOOKUP(A345,Medical_Examinations[],2,FALSE)</f>
        <v>19.329999999999998</v>
      </c>
      <c r="D345">
        <f>VLOOKUP(A345,Medical_Examinations[],3,FALSE)</f>
        <v>4.2699999999999996</v>
      </c>
      <c r="E345" t="str">
        <f>VLOOKUP(A345,Medical_Examinations[],4,FALSE)</f>
        <v>No</v>
      </c>
      <c r="F345" t="str">
        <f>VLOOKUP(A345,Medical_Examinations[],5,FALSE)</f>
        <v>No</v>
      </c>
      <c r="G345" t="str">
        <f>VLOOKUP(A345,Medical_Examinations[],6,FALSE)</f>
        <v>No</v>
      </c>
      <c r="H345">
        <f>VLOOKUP(A345,Medical_Examinations[],7,FALSE)</f>
        <v>0</v>
      </c>
      <c r="I345" t="str">
        <f>VLOOKUP(A345,Medical_Examinations[],8,FALSE)</f>
        <v>Yes</v>
      </c>
      <c r="J345" t="str">
        <f>VLOOKUP(A345,Medical_Examinations[],9,FALSE)</f>
        <v>Normal Weight</v>
      </c>
      <c r="K345" t="str">
        <f>VLOOKUP(A345,Medical_Examinations[],10,FALSE)</f>
        <v>Normal</v>
      </c>
      <c r="M345">
        <f>VLOOKUP(A345,Hospitalisation_Details__2[],4,FALSE)</f>
        <v>29114.21</v>
      </c>
      <c r="N345" t="str">
        <f>VLOOKUP(A345,Hospitalisation_Details__2[],5,FALSE)</f>
        <v>tier - 1</v>
      </c>
      <c r="O345" t="str">
        <f>VLOOKUP(A345,Hospitalisation_Details__2[],6,FALSE)</f>
        <v>tier - 3</v>
      </c>
      <c r="P345" t="str">
        <f>VLOOKUP(A345,Hospitalisation_Details__2[],7,FALSE)</f>
        <v>R1011</v>
      </c>
    </row>
    <row r="346" spans="1:16" x14ac:dyDescent="0.35">
      <c r="A346" t="str">
        <v>Id345</v>
      </c>
      <c r="B346" t="str">
        <f>VLOOKUP(A346,'Customer Names (2)'!A:B, 2,FALSE)</f>
        <v>Ms</v>
      </c>
      <c r="C346">
        <f>VLOOKUP(A346,Medical_Examinations[],2,FALSE)</f>
        <v>30.52</v>
      </c>
      <c r="D346">
        <f>VLOOKUP(A346,Medical_Examinations[],3,FALSE)</f>
        <v>4.21</v>
      </c>
      <c r="E346" t="str">
        <f>VLOOKUP(A346,Medical_Examinations[],4,FALSE)</f>
        <v>No</v>
      </c>
      <c r="F346" t="str">
        <f>VLOOKUP(A346,Medical_Examinations[],5,FALSE)</f>
        <v>No</v>
      </c>
      <c r="G346" t="str">
        <f>VLOOKUP(A346,Medical_Examinations[],6,FALSE)</f>
        <v>No</v>
      </c>
      <c r="H346">
        <f>VLOOKUP(A346,Medical_Examinations[],7,FALSE)</f>
        <v>1</v>
      </c>
      <c r="I346" t="str">
        <f>VLOOKUP(A346,Medical_Examinations[],8,FALSE)</f>
        <v>Yes</v>
      </c>
      <c r="J346" t="str">
        <f>VLOOKUP(A346,Medical_Examinations[],9,FALSE)</f>
        <v>Obesity</v>
      </c>
      <c r="K346" t="str">
        <f>VLOOKUP(A346,Medical_Examinations[],10,FALSE)</f>
        <v>Normal</v>
      </c>
      <c r="M346">
        <f>VLOOKUP(A346,Hospitalisation_Details__2[],4,FALSE)</f>
        <v>29007.82</v>
      </c>
      <c r="N346" t="str">
        <f>VLOOKUP(A346,Hospitalisation_Details__2[],5,FALSE)</f>
        <v>tier - 1</v>
      </c>
      <c r="O346" t="str">
        <f>VLOOKUP(A346,Hospitalisation_Details__2[],6,FALSE)</f>
        <v>tier - 3</v>
      </c>
      <c r="P346" t="str">
        <f>VLOOKUP(A346,Hospitalisation_Details__2[],7,FALSE)</f>
        <v>R1011</v>
      </c>
    </row>
    <row r="347" spans="1:16" x14ac:dyDescent="0.35">
      <c r="A347" t="str">
        <v>Id346</v>
      </c>
      <c r="B347" t="str">
        <f>VLOOKUP(A347,'Customer Names (2)'!A:B, 2,FALSE)</f>
        <v>Mr</v>
      </c>
      <c r="C347">
        <f>VLOOKUP(A347,Medical_Examinations[],2,FALSE)</f>
        <v>39.21</v>
      </c>
      <c r="D347">
        <f>VLOOKUP(A347,Medical_Examinations[],3,FALSE)</f>
        <v>5.04</v>
      </c>
      <c r="E347" t="str">
        <f>VLOOKUP(A347,Medical_Examinations[],4,FALSE)</f>
        <v>No</v>
      </c>
      <c r="F347" t="str">
        <f>VLOOKUP(A347,Medical_Examinations[],5,FALSE)</f>
        <v>No</v>
      </c>
      <c r="G347" t="str">
        <f>VLOOKUP(A347,Medical_Examinations[],6,FALSE)</f>
        <v>Yes</v>
      </c>
      <c r="H347">
        <f>VLOOKUP(A347,Medical_Examinations[],7,FALSE)</f>
        <v>1</v>
      </c>
      <c r="I347" t="str">
        <f>VLOOKUP(A347,Medical_Examinations[],8,FALSE)</f>
        <v>Yes</v>
      </c>
      <c r="J347" t="str">
        <f>VLOOKUP(A347,Medical_Examinations[],9,FALSE)</f>
        <v>Obesity</v>
      </c>
      <c r="K347" t="str">
        <f>VLOOKUP(A347,Medical_Examinations[],10,FALSE)</f>
        <v>Normal</v>
      </c>
      <c r="M347">
        <f>VLOOKUP(A347,Hospitalisation_Details__2[],4,FALSE)</f>
        <v>28998.68</v>
      </c>
      <c r="N347" t="str">
        <f>VLOOKUP(A347,Hospitalisation_Details__2[],5,FALSE)</f>
        <v>tier - 1</v>
      </c>
      <c r="O347" t="str">
        <f>VLOOKUP(A347,Hospitalisation_Details__2[],6,FALSE)</f>
        <v>tier - 3</v>
      </c>
      <c r="P347" t="str">
        <f>VLOOKUP(A347,Hospitalisation_Details__2[],7,FALSE)</f>
        <v>R1011</v>
      </c>
    </row>
    <row r="348" spans="1:16" x14ac:dyDescent="0.35">
      <c r="A348" t="str">
        <v>Id347</v>
      </c>
      <c r="B348" t="str">
        <f>VLOOKUP(A348,'Customer Names (2)'!A:B, 2,FALSE)</f>
        <v>Ms</v>
      </c>
      <c r="C348">
        <f>VLOOKUP(A348,Medical_Examinations[],2,FALSE)</f>
        <v>26.98</v>
      </c>
      <c r="D348">
        <f>VLOOKUP(A348,Medical_Examinations[],3,FALSE)</f>
        <v>5.21</v>
      </c>
      <c r="E348" t="str">
        <f>VLOOKUP(A348,Medical_Examinations[],4,FALSE)</f>
        <v>Yes</v>
      </c>
      <c r="F348" t="str">
        <f>VLOOKUP(A348,Medical_Examinations[],5,FALSE)</f>
        <v>No</v>
      </c>
      <c r="G348" t="str">
        <f>VLOOKUP(A348,Medical_Examinations[],6,FALSE)</f>
        <v>No</v>
      </c>
      <c r="H348">
        <f>VLOOKUP(A348,Medical_Examinations[],7,FALSE)</f>
        <v>2</v>
      </c>
      <c r="I348" t="str">
        <f>VLOOKUP(A348,Medical_Examinations[],8,FALSE)</f>
        <v>Yes</v>
      </c>
      <c r="J348" t="str">
        <f>VLOOKUP(A348,Medical_Examinations[],9,FALSE)</f>
        <v>Overweight</v>
      </c>
      <c r="K348" t="str">
        <f>VLOOKUP(A348,Medical_Examinations[],10,FALSE)</f>
        <v>Normal</v>
      </c>
      <c r="M348">
        <f>VLOOKUP(A348,Hospitalisation_Details__2[],4,FALSE)</f>
        <v>28950.47</v>
      </c>
      <c r="N348" t="str">
        <f>VLOOKUP(A348,Hospitalisation_Details__2[],5,FALSE)</f>
        <v>tier - 1</v>
      </c>
      <c r="O348" t="str">
        <f>VLOOKUP(A348,Hospitalisation_Details__2[],6,FALSE)</f>
        <v>tier - 1</v>
      </c>
      <c r="P348" t="str">
        <f>VLOOKUP(A348,Hospitalisation_Details__2[],7,FALSE)</f>
        <v>R1012</v>
      </c>
    </row>
    <row r="349" spans="1:16" x14ac:dyDescent="0.35">
      <c r="A349" t="str">
        <v>Id348</v>
      </c>
      <c r="B349" t="str">
        <f>VLOOKUP(A349,'Customer Names (2)'!A:B, 2,FALSE)</f>
        <v>Ms</v>
      </c>
      <c r="C349">
        <f>VLOOKUP(A349,Medical_Examinations[],2,FALSE)</f>
        <v>25.84</v>
      </c>
      <c r="D349">
        <f>VLOOKUP(A349,Medical_Examinations[],3,FALSE)</f>
        <v>8.83</v>
      </c>
      <c r="E349" t="str">
        <f>VLOOKUP(A349,Medical_Examinations[],4,FALSE)</f>
        <v>No</v>
      </c>
      <c r="F349" t="str">
        <f>VLOOKUP(A349,Medical_Examinations[],5,FALSE)</f>
        <v>No</v>
      </c>
      <c r="G349" t="str">
        <f>VLOOKUP(A349,Medical_Examinations[],6,FALSE)</f>
        <v>No</v>
      </c>
      <c r="H349">
        <f>VLOOKUP(A349,Medical_Examinations[],7,FALSE)</f>
        <v>0</v>
      </c>
      <c r="I349" t="str">
        <f>VLOOKUP(A349,Medical_Examinations[],8,FALSE)</f>
        <v>No</v>
      </c>
      <c r="J349" t="str">
        <f>VLOOKUP(A349,Medical_Examinations[],9,FALSE)</f>
        <v>Overweight</v>
      </c>
      <c r="K349" t="str">
        <f>VLOOKUP(A349,Medical_Examinations[],10,FALSE)</f>
        <v>Diabetes</v>
      </c>
      <c r="M349">
        <f>VLOOKUP(A349,Hospitalisation_Details__2[],4,FALSE)</f>
        <v>28923.14</v>
      </c>
      <c r="N349" t="str">
        <f>VLOOKUP(A349,Hospitalisation_Details__2[],5,FALSE)</f>
        <v>tier - 1</v>
      </c>
      <c r="O349" t="str">
        <f>VLOOKUP(A349,Hospitalisation_Details__2[],6,FALSE)</f>
        <v>tier - 1</v>
      </c>
      <c r="P349" t="str">
        <f>VLOOKUP(A349,Hospitalisation_Details__2[],7,FALSE)</f>
        <v>R1012</v>
      </c>
    </row>
    <row r="350" spans="1:16" x14ac:dyDescent="0.35">
      <c r="A350" t="str">
        <v>Id349</v>
      </c>
      <c r="B350" t="str">
        <f>VLOOKUP(A350,'Customer Names (2)'!A:B, 2,FALSE)</f>
        <v>Mr</v>
      </c>
      <c r="C350">
        <f>VLOOKUP(A350,Medical_Examinations[],2,FALSE)</f>
        <v>28.31</v>
      </c>
      <c r="D350">
        <f>VLOOKUP(A350,Medical_Examinations[],3,FALSE)</f>
        <v>8.4700000000000006</v>
      </c>
      <c r="E350" t="str">
        <f>VLOOKUP(A350,Medical_Examinations[],4,FALSE)</f>
        <v>Yes</v>
      </c>
      <c r="F350" t="str">
        <f>VLOOKUP(A350,Medical_Examinations[],5,FALSE)</f>
        <v>No</v>
      </c>
      <c r="G350" t="str">
        <f>VLOOKUP(A350,Medical_Examinations[],6,FALSE)</f>
        <v>No</v>
      </c>
      <c r="H350">
        <f>VLOOKUP(A350,Medical_Examinations[],7,FALSE)</f>
        <v>2</v>
      </c>
      <c r="I350" t="str">
        <f>VLOOKUP(A350,Medical_Examinations[],8,FALSE)</f>
        <v>Yes</v>
      </c>
      <c r="J350" t="str">
        <f>VLOOKUP(A350,Medical_Examinations[],9,FALSE)</f>
        <v>Overweight</v>
      </c>
      <c r="K350" t="str">
        <f>VLOOKUP(A350,Medical_Examinations[],10,FALSE)</f>
        <v>Diabetes</v>
      </c>
      <c r="M350">
        <f>VLOOKUP(A350,Hospitalisation_Details__2[],4,FALSE)</f>
        <v>28868.66</v>
      </c>
      <c r="N350" t="str">
        <f>VLOOKUP(A350,Hospitalisation_Details__2[],5,FALSE)</f>
        <v>tier - 1</v>
      </c>
      <c r="O350" t="str">
        <f>VLOOKUP(A350,Hospitalisation_Details__2[],6,FALSE)</f>
        <v>tier - 2</v>
      </c>
      <c r="P350" t="str">
        <f>VLOOKUP(A350,Hospitalisation_Details__2[],7,FALSE)</f>
        <v>R1012</v>
      </c>
    </row>
    <row r="351" spans="1:16" x14ac:dyDescent="0.35">
      <c r="A351" t="str">
        <v>Id350</v>
      </c>
      <c r="B351" t="str">
        <f>VLOOKUP(A351,'Customer Names (2)'!A:B, 2,FALSE)</f>
        <v>Ms</v>
      </c>
      <c r="C351">
        <f>VLOOKUP(A351,Medical_Examinations[],2,FALSE)</f>
        <v>23.94</v>
      </c>
      <c r="D351">
        <f>VLOOKUP(A351,Medical_Examinations[],3,FALSE)</f>
        <v>4.2</v>
      </c>
      <c r="E351" t="str">
        <f>VLOOKUP(A351,Medical_Examinations[],4,FALSE)</f>
        <v>No</v>
      </c>
      <c r="F351" t="str">
        <f>VLOOKUP(A351,Medical_Examinations[],5,FALSE)</f>
        <v>No</v>
      </c>
      <c r="G351" t="str">
        <f>VLOOKUP(A351,Medical_Examinations[],6,FALSE)</f>
        <v>No</v>
      </c>
      <c r="H351">
        <f>VLOOKUP(A351,Medical_Examinations[],7,FALSE)</f>
        <v>0</v>
      </c>
      <c r="I351" t="str">
        <f>VLOOKUP(A351,Medical_Examinations[],8,FALSE)</f>
        <v>Yes</v>
      </c>
      <c r="J351" t="str">
        <f>VLOOKUP(A351,Medical_Examinations[],9,FALSE)</f>
        <v>Normal Weight</v>
      </c>
      <c r="K351" t="str">
        <f>VLOOKUP(A351,Medical_Examinations[],10,FALSE)</f>
        <v>Normal</v>
      </c>
      <c r="M351">
        <f>VLOOKUP(A351,Hospitalisation_Details__2[],4,FALSE)</f>
        <v>28716.14</v>
      </c>
      <c r="N351" t="str">
        <f>VLOOKUP(A351,Hospitalisation_Details__2[],5,FALSE)</f>
        <v>tier - 1</v>
      </c>
      <c r="O351" t="str">
        <f>VLOOKUP(A351,Hospitalisation_Details__2[],6,FALSE)</f>
        <v>tier - 3</v>
      </c>
      <c r="P351" t="str">
        <f>VLOOKUP(A351,Hospitalisation_Details__2[],7,FALSE)</f>
        <v>R1011</v>
      </c>
    </row>
    <row r="352" spans="1:16" x14ac:dyDescent="0.35">
      <c r="A352" t="str">
        <v>Id351</v>
      </c>
      <c r="B352" t="str">
        <f>VLOOKUP(A352,'Customer Names (2)'!A:B, 2,FALSE)</f>
        <v>Mr</v>
      </c>
      <c r="C352">
        <f>VLOOKUP(A352,Medical_Examinations[],2,FALSE)</f>
        <v>20.03</v>
      </c>
      <c r="D352">
        <f>VLOOKUP(A352,Medical_Examinations[],3,FALSE)</f>
        <v>6.14</v>
      </c>
      <c r="E352" t="str">
        <f>VLOOKUP(A352,Medical_Examinations[],4,FALSE)</f>
        <v>Yes</v>
      </c>
      <c r="F352" t="str">
        <f>VLOOKUP(A352,Medical_Examinations[],5,FALSE)</f>
        <v>No</v>
      </c>
      <c r="G352" t="str">
        <f>VLOOKUP(A352,Medical_Examinations[],6,FALSE)</f>
        <v>No</v>
      </c>
      <c r="H352">
        <f>VLOOKUP(A352,Medical_Examinations[],7,FALSE)</f>
        <v>0</v>
      </c>
      <c r="I352" t="str">
        <f>VLOOKUP(A352,Medical_Examinations[],8,FALSE)</f>
        <v>Yes</v>
      </c>
      <c r="J352" t="str">
        <f>VLOOKUP(A352,Medical_Examinations[],9,FALSE)</f>
        <v>Normal Weight</v>
      </c>
      <c r="K352" t="str">
        <f>VLOOKUP(A352,Medical_Examinations[],10,FALSE)</f>
        <v>Prediabetes</v>
      </c>
      <c r="M352">
        <f>VLOOKUP(A352,Hospitalisation_Details__2[],4,FALSE)</f>
        <v>28542.86</v>
      </c>
      <c r="N352" t="str">
        <f>VLOOKUP(A352,Hospitalisation_Details__2[],5,FALSE)</f>
        <v>tier - 1</v>
      </c>
      <c r="O352" t="str">
        <f>VLOOKUP(A352,Hospitalisation_Details__2[],6,FALSE)</f>
        <v>tier - 3</v>
      </c>
      <c r="P352" t="str">
        <f>VLOOKUP(A352,Hospitalisation_Details__2[],7,FALSE)</f>
        <v>R1011</v>
      </c>
    </row>
    <row r="353" spans="1:16" x14ac:dyDescent="0.35">
      <c r="A353" t="str">
        <v>Id352</v>
      </c>
      <c r="B353" t="str">
        <f>VLOOKUP(A353,'Customer Names (2)'!A:B, 2,FALSE)</f>
        <v>Ms</v>
      </c>
      <c r="C353">
        <f>VLOOKUP(A353,Medical_Examinations[],2,FALSE)</f>
        <v>41.42</v>
      </c>
      <c r="D353">
        <f>VLOOKUP(A353,Medical_Examinations[],3,FALSE)</f>
        <v>6.07</v>
      </c>
      <c r="E353" t="str">
        <f>VLOOKUP(A353,Medical_Examinations[],4,FALSE)</f>
        <v>No</v>
      </c>
      <c r="F353" t="str">
        <f>VLOOKUP(A353,Medical_Examinations[],5,FALSE)</f>
        <v>No</v>
      </c>
      <c r="G353" t="str">
        <f>VLOOKUP(A353,Medical_Examinations[],6,FALSE)</f>
        <v>No</v>
      </c>
      <c r="H353">
        <f>VLOOKUP(A353,Medical_Examinations[],7,FALSE)</f>
        <v>0</v>
      </c>
      <c r="I353" t="str">
        <f>VLOOKUP(A353,Medical_Examinations[],8,FALSE)</f>
        <v>No</v>
      </c>
      <c r="J353" t="str">
        <f>VLOOKUP(A353,Medical_Examinations[],9,FALSE)</f>
        <v>Obesity</v>
      </c>
      <c r="K353" t="str">
        <f>VLOOKUP(A353,Medical_Examinations[],10,FALSE)</f>
        <v>Prediabetes</v>
      </c>
      <c r="M353">
        <f>VLOOKUP(A353,Hospitalisation_Details__2[],4,FALSE)</f>
        <v>28476.73</v>
      </c>
      <c r="N353" t="str">
        <f>VLOOKUP(A353,Hospitalisation_Details__2[],5,FALSE)</f>
        <v>tier - 1</v>
      </c>
      <c r="O353" t="str">
        <f>VLOOKUP(A353,Hospitalisation_Details__2[],6,FALSE)</f>
        <v>tier - 2</v>
      </c>
      <c r="P353" t="str">
        <f>VLOOKUP(A353,Hospitalisation_Details__2[],7,FALSE)</f>
        <v>R1012</v>
      </c>
    </row>
    <row r="354" spans="1:16" x14ac:dyDescent="0.35">
      <c r="A354" t="str">
        <v>Id353</v>
      </c>
      <c r="B354" t="str">
        <f>VLOOKUP(A354,'Customer Names (2)'!A:B, 2,FALSE)</f>
        <v>Mr</v>
      </c>
      <c r="C354">
        <f>VLOOKUP(A354,Medical_Examinations[],2,FALSE)</f>
        <v>36.67</v>
      </c>
      <c r="D354">
        <f>VLOOKUP(A354,Medical_Examinations[],3,FALSE)</f>
        <v>10.210000000000001</v>
      </c>
      <c r="E354" t="str">
        <f>VLOOKUP(A354,Medical_Examinations[],4,FALSE)</f>
        <v>No</v>
      </c>
      <c r="F354" t="str">
        <f>VLOOKUP(A354,Medical_Examinations[],5,FALSE)</f>
        <v>No</v>
      </c>
      <c r="G354" t="str">
        <f>VLOOKUP(A354,Medical_Examinations[],6,FALSE)</f>
        <v>No</v>
      </c>
      <c r="H354">
        <f>VLOOKUP(A354,Medical_Examinations[],7,FALSE)</f>
        <v>0</v>
      </c>
      <c r="I354" t="str">
        <f>VLOOKUP(A354,Medical_Examinations[],8,FALSE)</f>
        <v>No</v>
      </c>
      <c r="J354" t="str">
        <f>VLOOKUP(A354,Medical_Examinations[],9,FALSE)</f>
        <v>Obesity</v>
      </c>
      <c r="K354" t="str">
        <f>VLOOKUP(A354,Medical_Examinations[],10,FALSE)</f>
        <v>Diabetes</v>
      </c>
      <c r="M354">
        <f>VLOOKUP(A354,Hospitalisation_Details__2[],4,FALSE)</f>
        <v>28468.92</v>
      </c>
      <c r="N354" t="str">
        <f>VLOOKUP(A354,Hospitalisation_Details__2[],5,FALSE)</f>
        <v>tier - 1</v>
      </c>
      <c r="O354" t="str">
        <f>VLOOKUP(A354,Hospitalisation_Details__2[],6,FALSE)</f>
        <v>tier - 1</v>
      </c>
      <c r="P354" t="str">
        <f>VLOOKUP(A354,Hospitalisation_Details__2[],7,FALSE)</f>
        <v>R1012</v>
      </c>
    </row>
    <row r="355" spans="1:16" x14ac:dyDescent="0.35">
      <c r="A355" t="str">
        <v>Id354</v>
      </c>
      <c r="B355" t="str">
        <f>VLOOKUP(A355,'Customer Names (2)'!A:B, 2,FALSE)</f>
        <v>Ms</v>
      </c>
      <c r="C355">
        <f>VLOOKUP(A355,Medical_Examinations[],2,FALSE)</f>
        <v>27.645</v>
      </c>
      <c r="D355">
        <f>VLOOKUP(A355,Medical_Examinations[],3,FALSE)</f>
        <v>4.6900000000000004</v>
      </c>
      <c r="E355" t="str">
        <f>VLOOKUP(A355,Medical_Examinations[],4,FALSE)</f>
        <v>No</v>
      </c>
      <c r="F355" t="str">
        <f>VLOOKUP(A355,Medical_Examinations[],5,FALSE)</f>
        <v>No</v>
      </c>
      <c r="G355" t="str">
        <f>VLOOKUP(A355,Medical_Examinations[],6,FALSE)</f>
        <v>No</v>
      </c>
      <c r="H355">
        <f>VLOOKUP(A355,Medical_Examinations[],7,FALSE)</f>
        <v>0</v>
      </c>
      <c r="I355" t="str">
        <f>VLOOKUP(A355,Medical_Examinations[],8,FALSE)</f>
        <v>No</v>
      </c>
      <c r="J355" t="str">
        <f>VLOOKUP(A355,Medical_Examinations[],9,FALSE)</f>
        <v>Overweight</v>
      </c>
      <c r="K355" t="str">
        <f>VLOOKUP(A355,Medical_Examinations[],10,FALSE)</f>
        <v>Normal</v>
      </c>
      <c r="M355">
        <f>VLOOKUP(A355,Hospitalisation_Details__2[],4,FALSE)</f>
        <v>28340.19</v>
      </c>
      <c r="N355" t="str">
        <f>VLOOKUP(A355,Hospitalisation_Details__2[],5,FALSE)</f>
        <v>tier - 1</v>
      </c>
      <c r="O355" t="str">
        <f>VLOOKUP(A355,Hospitalisation_Details__2[],6,FALSE)</f>
        <v>tier - 2</v>
      </c>
      <c r="P355" t="str">
        <f>VLOOKUP(A355,Hospitalisation_Details__2[],7,FALSE)</f>
        <v>R1012</v>
      </c>
    </row>
    <row r="356" spans="1:16" x14ac:dyDescent="0.35">
      <c r="A356" t="str">
        <v>Id355</v>
      </c>
      <c r="B356" t="str">
        <f>VLOOKUP(A356,'Customer Names (2)'!A:B, 2,FALSE)</f>
        <v>Ms</v>
      </c>
      <c r="C356">
        <f>VLOOKUP(A356,Medical_Examinations[],2,FALSE)</f>
        <v>22.72</v>
      </c>
      <c r="D356">
        <f>VLOOKUP(A356,Medical_Examinations[],3,FALSE)</f>
        <v>5.71</v>
      </c>
      <c r="E356" t="str">
        <f>VLOOKUP(A356,Medical_Examinations[],4,FALSE)</f>
        <v>No</v>
      </c>
      <c r="F356" t="str">
        <f>VLOOKUP(A356,Medical_Examinations[],5,FALSE)</f>
        <v>No</v>
      </c>
      <c r="G356" t="str">
        <f>VLOOKUP(A356,Medical_Examinations[],6,FALSE)</f>
        <v>No</v>
      </c>
      <c r="H356">
        <f>VLOOKUP(A356,Medical_Examinations[],7,FALSE)</f>
        <v>0</v>
      </c>
      <c r="I356" t="str">
        <f>VLOOKUP(A356,Medical_Examinations[],8,FALSE)</f>
        <v>Yes</v>
      </c>
      <c r="J356" t="str">
        <f>VLOOKUP(A356,Medical_Examinations[],9,FALSE)</f>
        <v>Normal Weight</v>
      </c>
      <c r="K356" t="str">
        <f>VLOOKUP(A356,Medical_Examinations[],10,FALSE)</f>
        <v>Prediabetes</v>
      </c>
      <c r="M356">
        <f>VLOOKUP(A356,Hospitalisation_Details__2[],4,FALSE)</f>
        <v>28302.33</v>
      </c>
      <c r="N356" t="str">
        <f>VLOOKUP(A356,Hospitalisation_Details__2[],5,FALSE)</f>
        <v>tier - 1</v>
      </c>
      <c r="O356" t="str">
        <f>VLOOKUP(A356,Hospitalisation_Details__2[],6,FALSE)</f>
        <v>tier - 2</v>
      </c>
      <c r="P356" t="str">
        <f>VLOOKUP(A356,Hospitalisation_Details__2[],7,FALSE)</f>
        <v>R1011</v>
      </c>
    </row>
    <row r="357" spans="1:16" x14ac:dyDescent="0.35">
      <c r="A357" t="str">
        <v>Id356</v>
      </c>
      <c r="B357" t="str">
        <f>VLOOKUP(A357,'Customer Names (2)'!A:B, 2,FALSE)</f>
        <v>Ms</v>
      </c>
      <c r="C357">
        <f>VLOOKUP(A357,Medical_Examinations[],2,FALSE)</f>
        <v>36.520000000000003</v>
      </c>
      <c r="D357">
        <f>VLOOKUP(A357,Medical_Examinations[],3,FALSE)</f>
        <v>9.07</v>
      </c>
      <c r="E357" t="str">
        <f>VLOOKUP(A357,Medical_Examinations[],4,FALSE)</f>
        <v>Yes</v>
      </c>
      <c r="F357" t="str">
        <f>VLOOKUP(A357,Medical_Examinations[],5,FALSE)</f>
        <v>No</v>
      </c>
      <c r="G357" t="str">
        <f>VLOOKUP(A357,Medical_Examinations[],6,FALSE)</f>
        <v>Yes</v>
      </c>
      <c r="H357">
        <f>VLOOKUP(A357,Medical_Examinations[],7,FALSE)</f>
        <v>1</v>
      </c>
      <c r="I357" t="str">
        <f>VLOOKUP(A357,Medical_Examinations[],8,FALSE)</f>
        <v>No</v>
      </c>
      <c r="J357" t="str">
        <f>VLOOKUP(A357,Medical_Examinations[],9,FALSE)</f>
        <v>Obesity</v>
      </c>
      <c r="K357" t="str">
        <f>VLOOKUP(A357,Medical_Examinations[],10,FALSE)</f>
        <v>Diabetes</v>
      </c>
      <c r="M357">
        <f>VLOOKUP(A357,Hospitalisation_Details__2[],4,FALSE)</f>
        <v>28287.9</v>
      </c>
      <c r="N357" t="str">
        <f>VLOOKUP(A357,Hospitalisation_Details__2[],5,FALSE)</f>
        <v>tier - 1</v>
      </c>
      <c r="O357" t="str">
        <f>VLOOKUP(A357,Hospitalisation_Details__2[],6,FALSE)</f>
        <v>tier - 1</v>
      </c>
      <c r="P357" t="str">
        <f>VLOOKUP(A357,Hospitalisation_Details__2[],7,FALSE)</f>
        <v>R1013</v>
      </c>
    </row>
    <row r="358" spans="1:16" x14ac:dyDescent="0.35">
      <c r="A358" t="str">
        <v>Id357</v>
      </c>
      <c r="B358" t="str">
        <f>VLOOKUP(A358,'Customer Names (2)'!A:B, 2,FALSE)</f>
        <v>Mr</v>
      </c>
      <c r="C358">
        <f>VLOOKUP(A358,Medical_Examinations[],2,FALSE)</f>
        <v>33.96</v>
      </c>
      <c r="D358">
        <f>VLOOKUP(A358,Medical_Examinations[],3,FALSE)</f>
        <v>4.99</v>
      </c>
      <c r="E358" t="str">
        <f>VLOOKUP(A358,Medical_Examinations[],4,FALSE)</f>
        <v>No</v>
      </c>
      <c r="F358" t="str">
        <f>VLOOKUP(A358,Medical_Examinations[],5,FALSE)</f>
        <v>No</v>
      </c>
      <c r="G358" t="str">
        <f>VLOOKUP(A358,Medical_Examinations[],6,FALSE)</f>
        <v>No</v>
      </c>
      <c r="H358">
        <f>VLOOKUP(A358,Medical_Examinations[],7,FALSE)</f>
        <v>0</v>
      </c>
      <c r="I358" t="str">
        <f>VLOOKUP(A358,Medical_Examinations[],8,FALSE)</f>
        <v>Yes</v>
      </c>
      <c r="J358" t="str">
        <f>VLOOKUP(A358,Medical_Examinations[],9,FALSE)</f>
        <v>Obesity</v>
      </c>
      <c r="K358" t="str">
        <f>VLOOKUP(A358,Medical_Examinations[],10,FALSE)</f>
        <v>Normal</v>
      </c>
      <c r="M358">
        <f>VLOOKUP(A358,Hospitalisation_Details__2[],4,FALSE)</f>
        <v>28245.34</v>
      </c>
      <c r="N358" t="str">
        <f>VLOOKUP(A358,Hospitalisation_Details__2[],5,FALSE)</f>
        <v>tier - 1</v>
      </c>
      <c r="O358" t="str">
        <f>VLOOKUP(A358,Hospitalisation_Details__2[],6,FALSE)</f>
        <v>tier - 3</v>
      </c>
      <c r="P358" t="str">
        <f>VLOOKUP(A358,Hospitalisation_Details__2[],7,FALSE)</f>
        <v>R1011</v>
      </c>
    </row>
    <row r="359" spans="1:16" x14ac:dyDescent="0.35">
      <c r="A359" t="str">
        <v>Id358</v>
      </c>
      <c r="B359" t="str">
        <f>VLOOKUP(A359,'Customer Names (2)'!A:B, 2,FALSE)</f>
        <v>Mr</v>
      </c>
      <c r="C359">
        <f>VLOOKUP(A359,Medical_Examinations[],2,FALSE)</f>
        <v>26.695</v>
      </c>
      <c r="D359">
        <f>VLOOKUP(A359,Medical_Examinations[],3,FALSE)</f>
        <v>8.31</v>
      </c>
      <c r="E359" t="str">
        <f>VLOOKUP(A359,Medical_Examinations[],4,FALSE)</f>
        <v>No</v>
      </c>
      <c r="F359" t="str">
        <f>VLOOKUP(A359,Medical_Examinations[],5,FALSE)</f>
        <v>No</v>
      </c>
      <c r="G359" t="str">
        <f>VLOOKUP(A359,Medical_Examinations[],6,FALSE)</f>
        <v>No</v>
      </c>
      <c r="H359">
        <f>VLOOKUP(A359,Medical_Examinations[],7,FALSE)</f>
        <v>0</v>
      </c>
      <c r="I359" t="str">
        <f>VLOOKUP(A359,Medical_Examinations[],8,FALSE)</f>
        <v>Yes</v>
      </c>
      <c r="J359" t="str">
        <f>VLOOKUP(A359,Medical_Examinations[],9,FALSE)</f>
        <v>Overweight</v>
      </c>
      <c r="K359" t="str">
        <f>VLOOKUP(A359,Medical_Examinations[],10,FALSE)</f>
        <v>Diabetes</v>
      </c>
      <c r="M359">
        <f>VLOOKUP(A359,Hospitalisation_Details__2[],4,FALSE)</f>
        <v>28101.33</v>
      </c>
      <c r="N359" t="str">
        <f>VLOOKUP(A359,Hospitalisation_Details__2[],5,FALSE)</f>
        <v>tier - 1</v>
      </c>
      <c r="O359" t="str">
        <f>VLOOKUP(A359,Hospitalisation_Details__2[],6,FALSE)</f>
        <v>tier - 2</v>
      </c>
      <c r="P359" t="str">
        <f>VLOOKUP(A359,Hospitalisation_Details__2[],7,FALSE)</f>
        <v>R1019</v>
      </c>
    </row>
    <row r="360" spans="1:16" x14ac:dyDescent="0.35">
      <c r="A360" t="str">
        <v>Id359</v>
      </c>
      <c r="B360" t="str">
        <f>VLOOKUP(A360,'Customer Names (2)'!A:B, 2,FALSE)</f>
        <v>Mr</v>
      </c>
      <c r="C360">
        <f>VLOOKUP(A360,Medical_Examinations[],2,FALSE)</f>
        <v>18.45</v>
      </c>
      <c r="D360">
        <f>VLOOKUP(A360,Medical_Examinations[],3,FALSE)</f>
        <v>5.07</v>
      </c>
      <c r="E360" t="str">
        <f>VLOOKUP(A360,Medical_Examinations[],4,FALSE)</f>
        <v>Yes</v>
      </c>
      <c r="F360" t="str">
        <f>VLOOKUP(A360,Medical_Examinations[],5,FALSE)</f>
        <v>No</v>
      </c>
      <c r="G360" t="str">
        <f>VLOOKUP(A360,Medical_Examinations[],6,FALSE)</f>
        <v>No</v>
      </c>
      <c r="H360">
        <f>VLOOKUP(A360,Medical_Examinations[],7,FALSE)</f>
        <v>0</v>
      </c>
      <c r="I360" t="str">
        <f>VLOOKUP(A360,Medical_Examinations[],8,FALSE)</f>
        <v>Yes</v>
      </c>
      <c r="J360" t="str">
        <f>VLOOKUP(A360,Medical_Examinations[],9,FALSE)</f>
        <v>Underweight</v>
      </c>
      <c r="K360" t="str">
        <f>VLOOKUP(A360,Medical_Examinations[],10,FALSE)</f>
        <v>Normal</v>
      </c>
      <c r="M360">
        <f>VLOOKUP(A360,Hospitalisation_Details__2[],4,FALSE)</f>
        <v>28006.94</v>
      </c>
      <c r="N360" t="str">
        <f>VLOOKUP(A360,Hospitalisation_Details__2[],5,FALSE)</f>
        <v>tier - 1</v>
      </c>
      <c r="O360" t="str">
        <f>VLOOKUP(A360,Hospitalisation_Details__2[],6,FALSE)</f>
        <v>tier - 2</v>
      </c>
      <c r="P360" t="str">
        <f>VLOOKUP(A360,Hospitalisation_Details__2[],7,FALSE)</f>
        <v>R1011</v>
      </c>
    </row>
    <row r="361" spans="1:16" x14ac:dyDescent="0.35">
      <c r="A361" t="str">
        <v>Id360</v>
      </c>
      <c r="B361" t="str">
        <f>VLOOKUP(A361,'Customer Names (2)'!A:B, 2,FALSE)</f>
        <v>Mr</v>
      </c>
      <c r="C361">
        <f>VLOOKUP(A361,Medical_Examinations[],2,FALSE)</f>
        <v>33.18</v>
      </c>
      <c r="D361">
        <f>VLOOKUP(A361,Medical_Examinations[],3,FALSE)</f>
        <v>4.79</v>
      </c>
      <c r="E361" t="str">
        <f>VLOOKUP(A361,Medical_Examinations[],4,FALSE)</f>
        <v>No</v>
      </c>
      <c r="F361" t="str">
        <f>VLOOKUP(A361,Medical_Examinations[],5,FALSE)</f>
        <v>No</v>
      </c>
      <c r="G361" t="str">
        <f>VLOOKUP(A361,Medical_Examinations[],6,FALSE)</f>
        <v>No</v>
      </c>
      <c r="H361">
        <f>VLOOKUP(A361,Medical_Examinations[],7,FALSE)</f>
        <v>0</v>
      </c>
      <c r="I361" t="str">
        <f>VLOOKUP(A361,Medical_Examinations[],8,FALSE)</f>
        <v>Yes</v>
      </c>
      <c r="J361" t="str">
        <f>VLOOKUP(A361,Medical_Examinations[],9,FALSE)</f>
        <v>Obesity</v>
      </c>
      <c r="K361" t="str">
        <f>VLOOKUP(A361,Medical_Examinations[],10,FALSE)</f>
        <v>Normal</v>
      </c>
      <c r="M361">
        <f>VLOOKUP(A361,Hospitalisation_Details__2[],4,FALSE)</f>
        <v>27980.77</v>
      </c>
      <c r="N361" t="str">
        <f>VLOOKUP(A361,Hospitalisation_Details__2[],5,FALSE)</f>
        <v>tier - 1</v>
      </c>
      <c r="O361" t="str">
        <f>VLOOKUP(A361,Hospitalisation_Details__2[],6,FALSE)</f>
        <v>tier - 1</v>
      </c>
      <c r="P361" t="str">
        <f>VLOOKUP(A361,Hospitalisation_Details__2[],7,FALSE)</f>
        <v>R1011</v>
      </c>
    </row>
    <row r="362" spans="1:16" x14ac:dyDescent="0.35">
      <c r="A362" t="str">
        <v>Id361</v>
      </c>
      <c r="B362" t="str">
        <f>VLOOKUP(A362,'Customer Names (2)'!A:B, 2,FALSE)</f>
        <v>Mr</v>
      </c>
      <c r="C362">
        <f>VLOOKUP(A362,Medical_Examinations[],2,FALSE)</f>
        <v>36.1</v>
      </c>
      <c r="D362">
        <f>VLOOKUP(A362,Medical_Examinations[],3,FALSE)</f>
        <v>11.39</v>
      </c>
      <c r="E362" t="str">
        <f>VLOOKUP(A362,Medical_Examinations[],4,FALSE)</f>
        <v>Yes</v>
      </c>
      <c r="F362" t="str">
        <f>VLOOKUP(A362,Medical_Examinations[],5,FALSE)</f>
        <v>No</v>
      </c>
      <c r="G362" t="str">
        <f>VLOOKUP(A362,Medical_Examinations[],6,FALSE)</f>
        <v>No</v>
      </c>
      <c r="H362">
        <f>VLOOKUP(A362,Medical_Examinations[],7,FALSE)</f>
        <v>2</v>
      </c>
      <c r="I362" t="str">
        <f>VLOOKUP(A362,Medical_Examinations[],8,FALSE)</f>
        <v>No</v>
      </c>
      <c r="J362" t="str">
        <f>VLOOKUP(A362,Medical_Examinations[],9,FALSE)</f>
        <v>Obesity</v>
      </c>
      <c r="K362" t="str">
        <f>VLOOKUP(A362,Medical_Examinations[],10,FALSE)</f>
        <v>Diabetes</v>
      </c>
      <c r="M362">
        <f>VLOOKUP(A362,Hospitalisation_Details__2[],4,FALSE)</f>
        <v>27941.29</v>
      </c>
      <c r="N362" t="str">
        <f>VLOOKUP(A362,Hospitalisation_Details__2[],5,FALSE)</f>
        <v>tier - 1</v>
      </c>
      <c r="O362" t="str">
        <f>VLOOKUP(A362,Hospitalisation_Details__2[],6,FALSE)</f>
        <v>tier - 3</v>
      </c>
      <c r="P362" t="str">
        <f>VLOOKUP(A362,Hospitalisation_Details__2[],7,FALSE)</f>
        <v>R1011</v>
      </c>
    </row>
    <row r="363" spans="1:16" x14ac:dyDescent="0.35">
      <c r="A363" t="str">
        <v>Id362</v>
      </c>
      <c r="B363" t="str">
        <f>VLOOKUP(A363,'Customer Names (2)'!A:B, 2,FALSE)</f>
        <v>Mr</v>
      </c>
      <c r="C363">
        <f>VLOOKUP(A363,Medical_Examinations[],2,FALSE)</f>
        <v>22.77</v>
      </c>
      <c r="D363">
        <f>VLOOKUP(A363,Medical_Examinations[],3,FALSE)</f>
        <v>6</v>
      </c>
      <c r="E363" t="str">
        <f>VLOOKUP(A363,Medical_Examinations[],4,FALSE)</f>
        <v>No</v>
      </c>
      <c r="F363" t="str">
        <f>VLOOKUP(A363,Medical_Examinations[],5,FALSE)</f>
        <v>No</v>
      </c>
      <c r="G363" t="str">
        <f>VLOOKUP(A363,Medical_Examinations[],6,FALSE)</f>
        <v>No</v>
      </c>
      <c r="H363">
        <f>VLOOKUP(A363,Medical_Examinations[],7,FALSE)</f>
        <v>0</v>
      </c>
      <c r="I363" t="str">
        <f>VLOOKUP(A363,Medical_Examinations[],8,FALSE)</f>
        <v>Yes</v>
      </c>
      <c r="J363" t="str">
        <f>VLOOKUP(A363,Medical_Examinations[],9,FALSE)</f>
        <v>Normal Weight</v>
      </c>
      <c r="K363" t="str">
        <f>VLOOKUP(A363,Medical_Examinations[],10,FALSE)</f>
        <v>Prediabetes</v>
      </c>
      <c r="M363">
        <f>VLOOKUP(A363,Hospitalisation_Details__2[],4,FALSE)</f>
        <v>27931.11</v>
      </c>
      <c r="N363" t="str">
        <f>VLOOKUP(A363,Hospitalisation_Details__2[],5,FALSE)</f>
        <v>tier - 1</v>
      </c>
      <c r="O363" t="str">
        <f>VLOOKUP(A363,Hospitalisation_Details__2[],6,FALSE)</f>
        <v>tier - 3</v>
      </c>
      <c r="P363" t="str">
        <f>VLOOKUP(A363,Hospitalisation_Details__2[],7,FALSE)</f>
        <v>R1011</v>
      </c>
    </row>
    <row r="364" spans="1:16" x14ac:dyDescent="0.35">
      <c r="A364" t="str">
        <v>Id363</v>
      </c>
      <c r="B364" t="str">
        <f>VLOOKUP(A364,'Customer Names (2)'!A:B, 2,FALSE)</f>
        <v>Mr</v>
      </c>
      <c r="C364">
        <f>VLOOKUP(A364,Medical_Examinations[],2,FALSE)</f>
        <v>21.24</v>
      </c>
      <c r="D364">
        <f>VLOOKUP(A364,Medical_Examinations[],3,FALSE)</f>
        <v>5.13</v>
      </c>
      <c r="E364" t="str">
        <f>VLOOKUP(A364,Medical_Examinations[],4,FALSE)</f>
        <v>No</v>
      </c>
      <c r="F364" t="str">
        <f>VLOOKUP(A364,Medical_Examinations[],5,FALSE)</f>
        <v>No</v>
      </c>
      <c r="G364" t="str">
        <f>VLOOKUP(A364,Medical_Examinations[],6,FALSE)</f>
        <v>No</v>
      </c>
      <c r="H364">
        <f>VLOOKUP(A364,Medical_Examinations[],7,FALSE)</f>
        <v>0</v>
      </c>
      <c r="I364" t="str">
        <f>VLOOKUP(A364,Medical_Examinations[],8,FALSE)</f>
        <v>Yes</v>
      </c>
      <c r="J364" t="str">
        <f>VLOOKUP(A364,Medical_Examinations[],9,FALSE)</f>
        <v>Normal Weight</v>
      </c>
      <c r="K364" t="str">
        <f>VLOOKUP(A364,Medical_Examinations[],10,FALSE)</f>
        <v>Normal</v>
      </c>
      <c r="M364">
        <f>VLOOKUP(A364,Hospitalisation_Details__2[],4,FALSE)</f>
        <v>27925.86</v>
      </c>
      <c r="N364" t="str">
        <f>VLOOKUP(A364,Hospitalisation_Details__2[],5,FALSE)</f>
        <v>tier - 1</v>
      </c>
      <c r="O364" t="str">
        <f>VLOOKUP(A364,Hospitalisation_Details__2[],6,FALSE)</f>
        <v>tier - 2</v>
      </c>
      <c r="P364" t="str">
        <f>VLOOKUP(A364,Hospitalisation_Details__2[],7,FALSE)</f>
        <v>R1011</v>
      </c>
    </row>
    <row r="365" spans="1:16" x14ac:dyDescent="0.35">
      <c r="A365" t="str">
        <v>Id364</v>
      </c>
      <c r="B365" t="str">
        <f>VLOOKUP(A365,'Customer Names (2)'!A:B, 2,FALSE)</f>
        <v>Ms</v>
      </c>
      <c r="C365">
        <f>VLOOKUP(A365,Medical_Examinations[],2,FALSE)</f>
        <v>17.600000000000001</v>
      </c>
      <c r="D365">
        <f>VLOOKUP(A365,Medical_Examinations[],3,FALSE)</f>
        <v>5.26</v>
      </c>
      <c r="E365" t="str">
        <f>VLOOKUP(A365,Medical_Examinations[],4,FALSE)</f>
        <v>Yes</v>
      </c>
      <c r="F365" t="str">
        <f>VLOOKUP(A365,Medical_Examinations[],5,FALSE)</f>
        <v>No</v>
      </c>
      <c r="G365" t="str">
        <f>VLOOKUP(A365,Medical_Examinations[],6,FALSE)</f>
        <v>No</v>
      </c>
      <c r="H365">
        <f>VLOOKUP(A365,Medical_Examinations[],7,FALSE)</f>
        <v>0</v>
      </c>
      <c r="I365" t="str">
        <f>VLOOKUP(A365,Medical_Examinations[],8,FALSE)</f>
        <v>Yes</v>
      </c>
      <c r="J365" t="str">
        <f>VLOOKUP(A365,Medical_Examinations[],9,FALSE)</f>
        <v>Underweight</v>
      </c>
      <c r="K365" t="str">
        <f>VLOOKUP(A365,Medical_Examinations[],10,FALSE)</f>
        <v>Normal</v>
      </c>
      <c r="M365">
        <f>VLOOKUP(A365,Hospitalisation_Details__2[],4,FALSE)</f>
        <v>27849.94</v>
      </c>
      <c r="N365" t="str">
        <f>VLOOKUP(A365,Hospitalisation_Details__2[],5,FALSE)</f>
        <v>tier - 1</v>
      </c>
      <c r="O365" t="str">
        <f>VLOOKUP(A365,Hospitalisation_Details__2[],6,FALSE)</f>
        <v>tier - 1</v>
      </c>
      <c r="P365" t="str">
        <f>VLOOKUP(A365,Hospitalisation_Details__2[],7,FALSE)</f>
        <v>R1011</v>
      </c>
    </row>
    <row r="366" spans="1:16" x14ac:dyDescent="0.35">
      <c r="A366" t="str">
        <v>Id365</v>
      </c>
      <c r="B366" t="str">
        <f>VLOOKUP(A366,'Customer Names (2)'!A:B, 2,FALSE)</f>
        <v>Ms</v>
      </c>
      <c r="C366">
        <f>VLOOKUP(A366,Medical_Examinations[],2,FALSE)</f>
        <v>26.29</v>
      </c>
      <c r="D366">
        <f>VLOOKUP(A366,Medical_Examinations[],3,FALSE)</f>
        <v>6.84</v>
      </c>
      <c r="E366" t="str">
        <f>VLOOKUP(A366,Medical_Examinations[],4,FALSE)</f>
        <v>No</v>
      </c>
      <c r="F366" t="str">
        <f>VLOOKUP(A366,Medical_Examinations[],5,FALSE)</f>
        <v>No</v>
      </c>
      <c r="G366" t="str">
        <f>VLOOKUP(A366,Medical_Examinations[],6,FALSE)</f>
        <v>No</v>
      </c>
      <c r="H366">
        <f>VLOOKUP(A366,Medical_Examinations[],7,FALSE)</f>
        <v>0</v>
      </c>
      <c r="I366" t="str">
        <f>VLOOKUP(A366,Medical_Examinations[],8,FALSE)</f>
        <v>Yes</v>
      </c>
      <c r="J366" t="str">
        <f>VLOOKUP(A366,Medical_Examinations[],9,FALSE)</f>
        <v>Overweight</v>
      </c>
      <c r="K366" t="str">
        <f>VLOOKUP(A366,Medical_Examinations[],10,FALSE)</f>
        <v>Diabetes</v>
      </c>
      <c r="M366">
        <f>VLOOKUP(A366,Hospitalisation_Details__2[],4,FALSE)</f>
        <v>27808.73</v>
      </c>
      <c r="N366" t="str">
        <f>VLOOKUP(A366,Hospitalisation_Details__2[],5,FALSE)</f>
        <v>tier - 1</v>
      </c>
      <c r="O366" t="str">
        <f>VLOOKUP(A366,Hospitalisation_Details__2[],6,FALSE)</f>
        <v>tier - 1</v>
      </c>
      <c r="P366" t="str">
        <f>VLOOKUP(A366,Hospitalisation_Details__2[],7,FALSE)</f>
        <v>R1013</v>
      </c>
    </row>
    <row r="367" spans="1:16" x14ac:dyDescent="0.35">
      <c r="A367" t="str">
        <v>Id366</v>
      </c>
      <c r="B367" t="str">
        <f>VLOOKUP(A367,'Customer Names (2)'!A:B, 2,FALSE)</f>
        <v>Mr</v>
      </c>
      <c r="C367">
        <f>VLOOKUP(A367,Medical_Examinations[],2,FALSE)</f>
        <v>35.31</v>
      </c>
      <c r="D367">
        <f>VLOOKUP(A367,Medical_Examinations[],3,FALSE)</f>
        <v>9.0399999999999991</v>
      </c>
      <c r="E367" t="str">
        <f>VLOOKUP(A367,Medical_Examinations[],4,FALSE)</f>
        <v>No</v>
      </c>
      <c r="F367" t="str">
        <f>VLOOKUP(A367,Medical_Examinations[],5,FALSE)</f>
        <v>No</v>
      </c>
      <c r="G367" t="str">
        <f>VLOOKUP(A367,Medical_Examinations[],6,FALSE)</f>
        <v>No</v>
      </c>
      <c r="H367">
        <f>VLOOKUP(A367,Medical_Examinations[],7,FALSE)</f>
        <v>0</v>
      </c>
      <c r="I367" t="str">
        <f>VLOOKUP(A367,Medical_Examinations[],8,FALSE)</f>
        <v>No</v>
      </c>
      <c r="J367" t="str">
        <f>VLOOKUP(A367,Medical_Examinations[],9,FALSE)</f>
        <v>Obesity</v>
      </c>
      <c r="K367" t="str">
        <f>VLOOKUP(A367,Medical_Examinations[],10,FALSE)</f>
        <v>Diabetes</v>
      </c>
      <c r="M367">
        <f>VLOOKUP(A367,Hospitalisation_Details__2[],4,FALSE)</f>
        <v>27724.29</v>
      </c>
      <c r="N367" t="str">
        <f>VLOOKUP(A367,Hospitalisation_Details__2[],5,FALSE)</f>
        <v>tier - 1</v>
      </c>
      <c r="O367" t="str">
        <f>VLOOKUP(A367,Hospitalisation_Details__2[],6,FALSE)</f>
        <v>tier - 3</v>
      </c>
      <c r="P367" t="str">
        <f>VLOOKUP(A367,Hospitalisation_Details__2[],7,FALSE)</f>
        <v>R1013</v>
      </c>
    </row>
    <row r="368" spans="1:16" x14ac:dyDescent="0.35">
      <c r="A368" t="str">
        <v>Id367</v>
      </c>
      <c r="B368" t="str">
        <f>VLOOKUP(A368,'Customer Names (2)'!A:B, 2,FALSE)</f>
        <v>Mr</v>
      </c>
      <c r="C368">
        <f>VLOOKUP(A368,Medical_Examinations[],2,FALSE)</f>
        <v>27.04</v>
      </c>
      <c r="D368">
        <f>VLOOKUP(A368,Medical_Examinations[],3,FALSE)</f>
        <v>4.0999999999999996</v>
      </c>
      <c r="E368" t="str">
        <f>VLOOKUP(A368,Medical_Examinations[],4,FALSE)</f>
        <v>No</v>
      </c>
      <c r="F368" t="str">
        <f>VLOOKUP(A368,Medical_Examinations[],5,FALSE)</f>
        <v>No</v>
      </c>
      <c r="G368" t="str">
        <f>VLOOKUP(A368,Medical_Examinations[],6,FALSE)</f>
        <v>No</v>
      </c>
      <c r="H368">
        <f>VLOOKUP(A368,Medical_Examinations[],7,FALSE)</f>
        <v>1</v>
      </c>
      <c r="I368" t="str">
        <f>VLOOKUP(A368,Medical_Examinations[],8,FALSE)</f>
        <v>Yes</v>
      </c>
      <c r="J368" t="str">
        <f>VLOOKUP(A368,Medical_Examinations[],9,FALSE)</f>
        <v>Overweight</v>
      </c>
      <c r="K368" t="str">
        <f>VLOOKUP(A368,Medical_Examinations[],10,FALSE)</f>
        <v>Normal</v>
      </c>
      <c r="M368">
        <f>VLOOKUP(A368,Hospitalisation_Details__2[],4,FALSE)</f>
        <v>27696.11</v>
      </c>
      <c r="N368" t="str">
        <f>VLOOKUP(A368,Hospitalisation_Details__2[],5,FALSE)</f>
        <v>tier - 1</v>
      </c>
      <c r="O368" t="str">
        <f>VLOOKUP(A368,Hospitalisation_Details__2[],6,FALSE)</f>
        <v>tier - 2</v>
      </c>
      <c r="P368" t="str">
        <f>VLOOKUP(A368,Hospitalisation_Details__2[],7,FALSE)</f>
        <v>R1011</v>
      </c>
    </row>
    <row r="369" spans="1:16" x14ac:dyDescent="0.35">
      <c r="A369" t="str">
        <v>Id368</v>
      </c>
      <c r="B369" t="str">
        <f>VLOOKUP(A369,'Customer Names (2)'!A:B, 2,FALSE)</f>
        <v>Ms</v>
      </c>
      <c r="C369">
        <f>VLOOKUP(A369,Medical_Examinations[],2,FALSE)</f>
        <v>30.23</v>
      </c>
      <c r="D369">
        <f>VLOOKUP(A369,Medical_Examinations[],3,FALSE)</f>
        <v>4.2300000000000004</v>
      </c>
      <c r="E369" t="str">
        <f>VLOOKUP(A369,Medical_Examinations[],4,FALSE)</f>
        <v>Yes</v>
      </c>
      <c r="F369" t="str">
        <f>VLOOKUP(A369,Medical_Examinations[],5,FALSE)</f>
        <v>No</v>
      </c>
      <c r="G369" t="str">
        <f>VLOOKUP(A369,Medical_Examinations[],6,FALSE)</f>
        <v>Yes</v>
      </c>
      <c r="H369">
        <f>VLOOKUP(A369,Medical_Examinations[],7,FALSE)</f>
        <v>1</v>
      </c>
      <c r="I369" t="str">
        <f>VLOOKUP(A369,Medical_Examinations[],8,FALSE)</f>
        <v>Yes</v>
      </c>
      <c r="J369" t="str">
        <f>VLOOKUP(A369,Medical_Examinations[],9,FALSE)</f>
        <v>Obesity</v>
      </c>
      <c r="K369" t="str">
        <f>VLOOKUP(A369,Medical_Examinations[],10,FALSE)</f>
        <v>Normal</v>
      </c>
      <c r="M369">
        <f>VLOOKUP(A369,Hospitalisation_Details__2[],4,FALSE)</f>
        <v>27625.17</v>
      </c>
      <c r="N369" t="str">
        <f>VLOOKUP(A369,Hospitalisation_Details__2[],5,FALSE)</f>
        <v>tier - 1</v>
      </c>
      <c r="O369" t="str">
        <f>VLOOKUP(A369,Hospitalisation_Details__2[],6,FALSE)</f>
        <v>tier - 1</v>
      </c>
      <c r="P369" t="str">
        <f>VLOOKUP(A369,Hospitalisation_Details__2[],7,FALSE)</f>
        <v>R1011</v>
      </c>
    </row>
    <row r="370" spans="1:16" x14ac:dyDescent="0.35">
      <c r="A370" t="str">
        <v>Id369</v>
      </c>
      <c r="B370" t="str">
        <f>VLOOKUP(A370,'Customer Names (2)'!A:B, 2,FALSE)</f>
        <v>Mr</v>
      </c>
      <c r="C370">
        <f>VLOOKUP(A370,Medical_Examinations[],2,FALSE)</f>
        <v>30.6</v>
      </c>
      <c r="D370">
        <f>VLOOKUP(A370,Medical_Examinations[],3,FALSE)</f>
        <v>6.48</v>
      </c>
      <c r="E370" t="str">
        <f>VLOOKUP(A370,Medical_Examinations[],4,FALSE)</f>
        <v>Yes</v>
      </c>
      <c r="F370" t="str">
        <f>VLOOKUP(A370,Medical_Examinations[],5,FALSE)</f>
        <v>No</v>
      </c>
      <c r="G370" t="str">
        <f>VLOOKUP(A370,Medical_Examinations[],6,FALSE)</f>
        <v>Yes</v>
      </c>
      <c r="H370">
        <f>VLOOKUP(A370,Medical_Examinations[],7,FALSE)</f>
        <v>1</v>
      </c>
      <c r="I370" t="str">
        <f>VLOOKUP(A370,Medical_Examinations[],8,FALSE)</f>
        <v>Yes</v>
      </c>
      <c r="J370" t="str">
        <f>VLOOKUP(A370,Medical_Examinations[],9,FALSE)</f>
        <v>Obesity</v>
      </c>
      <c r="K370" t="str">
        <f>VLOOKUP(A370,Medical_Examinations[],10,FALSE)</f>
        <v>Prediabetes</v>
      </c>
      <c r="M370">
        <f>VLOOKUP(A370,Hospitalisation_Details__2[],4,FALSE)</f>
        <v>27619.360000000001</v>
      </c>
      <c r="N370" t="str">
        <f>VLOOKUP(A370,Hospitalisation_Details__2[],5,FALSE)</f>
        <v>tier - 2</v>
      </c>
      <c r="O370" t="str">
        <f>VLOOKUP(A370,Hospitalisation_Details__2[],6,FALSE)</f>
        <v>tier - 3</v>
      </c>
      <c r="P370" t="str">
        <f>VLOOKUP(A370,Hospitalisation_Details__2[],7,FALSE)</f>
        <v>R1011</v>
      </c>
    </row>
    <row r="371" spans="1:16" x14ac:dyDescent="0.35">
      <c r="A371" t="str">
        <v>Id370</v>
      </c>
      <c r="B371" t="str">
        <f>VLOOKUP(A371,'Customer Names (2)'!A:B, 2,FALSE)</f>
        <v>Mr</v>
      </c>
      <c r="C371">
        <f>VLOOKUP(A371,Medical_Examinations[],2,FALSE)</f>
        <v>26.8</v>
      </c>
      <c r="D371">
        <f>VLOOKUP(A371,Medical_Examinations[],3,FALSE)</f>
        <v>5.53</v>
      </c>
      <c r="E371" t="str">
        <f>VLOOKUP(A371,Medical_Examinations[],4,FALSE)</f>
        <v>No</v>
      </c>
      <c r="F371" t="str">
        <f>VLOOKUP(A371,Medical_Examinations[],5,FALSE)</f>
        <v>No</v>
      </c>
      <c r="G371" t="str">
        <f>VLOOKUP(A371,Medical_Examinations[],6,FALSE)</f>
        <v>No</v>
      </c>
      <c r="H371">
        <f>VLOOKUP(A371,Medical_Examinations[],7,FALSE)</f>
        <v>1</v>
      </c>
      <c r="I371" t="str">
        <f>VLOOKUP(A371,Medical_Examinations[],8,FALSE)</f>
        <v>Yes</v>
      </c>
      <c r="J371" t="str">
        <f>VLOOKUP(A371,Medical_Examinations[],9,FALSE)</f>
        <v>Overweight</v>
      </c>
      <c r="K371" t="str">
        <f>VLOOKUP(A371,Medical_Examinations[],10,FALSE)</f>
        <v>Normal</v>
      </c>
      <c r="M371">
        <f>VLOOKUP(A371,Hospitalisation_Details__2[],4,FALSE)</f>
        <v>27614.71</v>
      </c>
      <c r="N371" t="str">
        <f>VLOOKUP(A371,Hospitalisation_Details__2[],5,FALSE)</f>
        <v>tier - 2</v>
      </c>
      <c r="O371" t="str">
        <f>VLOOKUP(A371,Hospitalisation_Details__2[],6,FALSE)</f>
        <v>tier - 3</v>
      </c>
      <c r="P371" t="str">
        <f>VLOOKUP(A371,Hospitalisation_Details__2[],7,FALSE)</f>
        <v>R1011</v>
      </c>
    </row>
    <row r="372" spans="1:16" x14ac:dyDescent="0.35">
      <c r="A372" t="str">
        <v>Id371</v>
      </c>
      <c r="B372" t="str">
        <f>VLOOKUP(A372,'Customer Names (2)'!A:B, 2,FALSE)</f>
        <v>Ms</v>
      </c>
      <c r="C372">
        <f>VLOOKUP(A372,Medical_Examinations[],2,FALSE)</f>
        <v>16.86</v>
      </c>
      <c r="D372">
        <f>VLOOKUP(A372,Medical_Examinations[],3,FALSE)</f>
        <v>4.07</v>
      </c>
      <c r="E372" t="str">
        <f>VLOOKUP(A372,Medical_Examinations[],4,FALSE)</f>
        <v>Yes</v>
      </c>
      <c r="F372" t="str">
        <f>VLOOKUP(A372,Medical_Examinations[],5,FALSE)</f>
        <v>No</v>
      </c>
      <c r="G372" t="str">
        <f>VLOOKUP(A372,Medical_Examinations[],6,FALSE)</f>
        <v>No</v>
      </c>
      <c r="H372">
        <f>VLOOKUP(A372,Medical_Examinations[],7,FALSE)</f>
        <v>0</v>
      </c>
      <c r="I372" t="str">
        <f>VLOOKUP(A372,Medical_Examinations[],8,FALSE)</f>
        <v>Yes</v>
      </c>
      <c r="J372" t="str">
        <f>VLOOKUP(A372,Medical_Examinations[],9,FALSE)</f>
        <v>Underweight</v>
      </c>
      <c r="K372" t="str">
        <f>VLOOKUP(A372,Medical_Examinations[],10,FALSE)</f>
        <v>Normal</v>
      </c>
      <c r="M372">
        <f>VLOOKUP(A372,Hospitalisation_Details__2[],4,FALSE)</f>
        <v>27598.93</v>
      </c>
      <c r="N372" t="str">
        <f>VLOOKUP(A372,Hospitalisation_Details__2[],5,FALSE)</f>
        <v>tier - 2</v>
      </c>
      <c r="O372" t="str">
        <f>VLOOKUP(A372,Hospitalisation_Details__2[],6,FALSE)</f>
        <v>tier - 1</v>
      </c>
      <c r="P372" t="str">
        <f>VLOOKUP(A372,Hospitalisation_Details__2[],7,FALSE)</f>
        <v>R1011</v>
      </c>
    </row>
    <row r="373" spans="1:16" x14ac:dyDescent="0.35">
      <c r="A373" t="str">
        <v>Id372</v>
      </c>
      <c r="B373" t="str">
        <f>VLOOKUP(A373,'Customer Names (2)'!A:B, 2,FALSE)</f>
        <v>Mr</v>
      </c>
      <c r="C373">
        <f>VLOOKUP(A373,Medical_Examinations[],2,FALSE)</f>
        <v>16.3</v>
      </c>
      <c r="D373">
        <f>VLOOKUP(A373,Medical_Examinations[],3,FALSE)</f>
        <v>5.51</v>
      </c>
      <c r="E373" t="str">
        <f>VLOOKUP(A373,Medical_Examinations[],4,FALSE)</f>
        <v>No</v>
      </c>
      <c r="F373" t="str">
        <f>VLOOKUP(A373,Medical_Examinations[],5,FALSE)</f>
        <v>No</v>
      </c>
      <c r="G373" t="str">
        <f>VLOOKUP(A373,Medical_Examinations[],6,FALSE)</f>
        <v>No</v>
      </c>
      <c r="H373">
        <f>VLOOKUP(A373,Medical_Examinations[],7,FALSE)</f>
        <v>1</v>
      </c>
      <c r="I373" t="str">
        <f>VLOOKUP(A373,Medical_Examinations[],8,FALSE)</f>
        <v>Yes</v>
      </c>
      <c r="J373" t="str">
        <f>VLOOKUP(A373,Medical_Examinations[],9,FALSE)</f>
        <v>Underweight</v>
      </c>
      <c r="K373" t="str">
        <f>VLOOKUP(A373,Medical_Examinations[],10,FALSE)</f>
        <v>Normal</v>
      </c>
      <c r="M373">
        <f>VLOOKUP(A373,Hospitalisation_Details__2[],4,FALSE)</f>
        <v>27534.53</v>
      </c>
      <c r="N373" t="str">
        <f>VLOOKUP(A373,Hospitalisation_Details__2[],5,FALSE)</f>
        <v>tier - 2</v>
      </c>
      <c r="O373" t="str">
        <f>VLOOKUP(A373,Hospitalisation_Details__2[],6,FALSE)</f>
        <v>tier - 2</v>
      </c>
      <c r="P373" t="str">
        <f>VLOOKUP(A373,Hospitalisation_Details__2[],7,FALSE)</f>
        <v>R1011</v>
      </c>
    </row>
    <row r="374" spans="1:16" x14ac:dyDescent="0.35">
      <c r="A374" t="str">
        <v>Id373</v>
      </c>
      <c r="B374" t="str">
        <f>VLOOKUP(A374,'Customer Names (2)'!A:B, 2,FALSE)</f>
        <v>Ms</v>
      </c>
      <c r="C374">
        <f>VLOOKUP(A374,Medical_Examinations[],2,FALSE)</f>
        <v>29.81</v>
      </c>
      <c r="D374">
        <f>VLOOKUP(A374,Medical_Examinations[],3,FALSE)</f>
        <v>11.66</v>
      </c>
      <c r="E374" t="str">
        <f>VLOOKUP(A374,Medical_Examinations[],4,FALSE)</f>
        <v>No</v>
      </c>
      <c r="F374" t="str">
        <f>VLOOKUP(A374,Medical_Examinations[],5,FALSE)</f>
        <v>No</v>
      </c>
      <c r="G374" t="str">
        <f>VLOOKUP(A374,Medical_Examinations[],6,FALSE)</f>
        <v>No</v>
      </c>
      <c r="H374">
        <f>VLOOKUP(A374,Medical_Examinations[],7,FALSE)</f>
        <v>0</v>
      </c>
      <c r="I374" t="str">
        <f>VLOOKUP(A374,Medical_Examinations[],8,FALSE)</f>
        <v>Yes</v>
      </c>
      <c r="J374" t="str">
        <f>VLOOKUP(A374,Medical_Examinations[],9,FALSE)</f>
        <v>Overweight</v>
      </c>
      <c r="K374" t="str">
        <f>VLOOKUP(A374,Medical_Examinations[],10,FALSE)</f>
        <v>Diabetes</v>
      </c>
      <c r="M374">
        <f>VLOOKUP(A374,Hospitalisation_Details__2[],4,FALSE)</f>
        <v>27533.91</v>
      </c>
      <c r="N374" t="str">
        <f>VLOOKUP(A374,Hospitalisation_Details__2[],5,FALSE)</f>
        <v>tier - 2</v>
      </c>
      <c r="O374" t="str">
        <f>VLOOKUP(A374,Hospitalisation_Details__2[],6,FALSE)</f>
        <v>tier - 3</v>
      </c>
      <c r="P374" t="str">
        <f>VLOOKUP(A374,Hospitalisation_Details__2[],7,FALSE)</f>
        <v>R1013</v>
      </c>
    </row>
    <row r="375" spans="1:16" x14ac:dyDescent="0.35">
      <c r="A375" t="str">
        <v>Id374</v>
      </c>
      <c r="B375" t="str">
        <f>VLOOKUP(A375,'Customer Names (2)'!A:B, 2,FALSE)</f>
        <v>Ms</v>
      </c>
      <c r="C375">
        <f>VLOOKUP(A375,Medical_Examinations[],2,FALSE)</f>
        <v>16.329999999999998</v>
      </c>
      <c r="D375">
        <f>VLOOKUP(A375,Medical_Examinations[],3,FALSE)</f>
        <v>7.26</v>
      </c>
      <c r="E375" t="str">
        <f>VLOOKUP(A375,Medical_Examinations[],4,FALSE)</f>
        <v>Yes</v>
      </c>
      <c r="F375" t="str">
        <f>VLOOKUP(A375,Medical_Examinations[],5,FALSE)</f>
        <v>No</v>
      </c>
      <c r="G375" t="str">
        <f>VLOOKUP(A375,Medical_Examinations[],6,FALSE)</f>
        <v>No</v>
      </c>
      <c r="H375">
        <f>VLOOKUP(A375,Medical_Examinations[],7,FALSE)</f>
        <v>0</v>
      </c>
      <c r="I375" t="str">
        <f>VLOOKUP(A375,Medical_Examinations[],8,FALSE)</f>
        <v>Yes</v>
      </c>
      <c r="J375" t="str">
        <f>VLOOKUP(A375,Medical_Examinations[],9,FALSE)</f>
        <v>Underweight</v>
      </c>
      <c r="K375" t="str">
        <f>VLOOKUP(A375,Medical_Examinations[],10,FALSE)</f>
        <v>Diabetes</v>
      </c>
      <c r="M375">
        <f>VLOOKUP(A375,Hospitalisation_Details__2[],4,FALSE)</f>
        <v>27495.59</v>
      </c>
      <c r="N375" t="str">
        <f>VLOOKUP(A375,Hospitalisation_Details__2[],5,FALSE)</f>
        <v>tier - 2</v>
      </c>
      <c r="O375" t="str">
        <f>VLOOKUP(A375,Hospitalisation_Details__2[],6,FALSE)</f>
        <v>tier - 1</v>
      </c>
      <c r="P375" t="str">
        <f>VLOOKUP(A375,Hospitalisation_Details__2[],7,FALSE)</f>
        <v>R1011</v>
      </c>
    </row>
    <row r="376" spans="1:16" x14ac:dyDescent="0.35">
      <c r="A376" t="str">
        <v>Id375</v>
      </c>
      <c r="B376" t="str">
        <f>VLOOKUP(A376,'Customer Names (2)'!A:B, 2,FALSE)</f>
        <v>Ms</v>
      </c>
      <c r="C376">
        <f>VLOOKUP(A376,Medical_Examinations[],2,FALSE)</f>
        <v>16.37</v>
      </c>
      <c r="D376">
        <f>VLOOKUP(A376,Medical_Examinations[],3,FALSE)</f>
        <v>4.79</v>
      </c>
      <c r="E376" t="str">
        <f>VLOOKUP(A376,Medical_Examinations[],4,FALSE)</f>
        <v>Yes</v>
      </c>
      <c r="F376" t="str">
        <f>VLOOKUP(A376,Medical_Examinations[],5,FALSE)</f>
        <v>No</v>
      </c>
      <c r="G376" t="str">
        <f>VLOOKUP(A376,Medical_Examinations[],6,FALSE)</f>
        <v>No</v>
      </c>
      <c r="H376">
        <f>VLOOKUP(A376,Medical_Examinations[],7,FALSE)</f>
        <v>0</v>
      </c>
      <c r="I376" t="str">
        <f>VLOOKUP(A376,Medical_Examinations[],8,FALSE)</f>
        <v>Yes</v>
      </c>
      <c r="J376" t="str">
        <f>VLOOKUP(A376,Medical_Examinations[],9,FALSE)</f>
        <v>Underweight</v>
      </c>
      <c r="K376" t="str">
        <f>VLOOKUP(A376,Medical_Examinations[],10,FALSE)</f>
        <v>Normal</v>
      </c>
      <c r="M376">
        <f>VLOOKUP(A376,Hospitalisation_Details__2[],4,FALSE)</f>
        <v>27432.73</v>
      </c>
      <c r="N376" t="str">
        <f>VLOOKUP(A376,Hospitalisation_Details__2[],5,FALSE)</f>
        <v>tier - 2</v>
      </c>
      <c r="O376" t="str">
        <f>VLOOKUP(A376,Hospitalisation_Details__2[],6,FALSE)</f>
        <v>tier - 1</v>
      </c>
      <c r="P376" t="str">
        <f>VLOOKUP(A376,Hospitalisation_Details__2[],7,FALSE)</f>
        <v>R1011</v>
      </c>
    </row>
    <row r="377" spans="1:16" x14ac:dyDescent="0.35">
      <c r="A377" t="str">
        <v>Id376</v>
      </c>
      <c r="B377" t="str">
        <f>VLOOKUP(A377,'Customer Names (2)'!A:B, 2,FALSE)</f>
        <v>Mr</v>
      </c>
      <c r="C377">
        <f>VLOOKUP(A377,Medical_Examinations[],2,FALSE)</f>
        <v>22.42</v>
      </c>
      <c r="D377">
        <f>VLOOKUP(A377,Medical_Examinations[],3,FALSE)</f>
        <v>4.68</v>
      </c>
      <c r="E377" t="str">
        <f>VLOOKUP(A377,Medical_Examinations[],4,FALSE)</f>
        <v>Yes</v>
      </c>
      <c r="F377" t="str">
        <f>VLOOKUP(A377,Medical_Examinations[],5,FALSE)</f>
        <v>No</v>
      </c>
      <c r="G377" t="str">
        <f>VLOOKUP(A377,Medical_Examinations[],6,FALSE)</f>
        <v>No</v>
      </c>
      <c r="H377">
        <f>VLOOKUP(A377,Medical_Examinations[],7,FALSE)</f>
        <v>1</v>
      </c>
      <c r="I377" t="str">
        <f>VLOOKUP(A377,Medical_Examinations[],8,FALSE)</f>
        <v>No</v>
      </c>
      <c r="J377" t="str">
        <f>VLOOKUP(A377,Medical_Examinations[],9,FALSE)</f>
        <v>Normal Weight</v>
      </c>
      <c r="K377" t="str">
        <f>VLOOKUP(A377,Medical_Examinations[],10,FALSE)</f>
        <v>Normal</v>
      </c>
      <c r="M377">
        <f>VLOOKUP(A377,Hospitalisation_Details__2[],4,FALSE)</f>
        <v>27375.9</v>
      </c>
      <c r="N377" t="str">
        <f>VLOOKUP(A377,Hospitalisation_Details__2[],5,FALSE)</f>
        <v>tier - 2</v>
      </c>
      <c r="O377" t="str">
        <f>VLOOKUP(A377,Hospitalisation_Details__2[],6,FALSE)</f>
        <v>tier - 3</v>
      </c>
      <c r="P377" t="str">
        <f>VLOOKUP(A377,Hospitalisation_Details__2[],7,FALSE)</f>
        <v>R1015</v>
      </c>
    </row>
    <row r="378" spans="1:16" x14ac:dyDescent="0.35">
      <c r="A378" t="str">
        <v>Id377</v>
      </c>
      <c r="B378" t="str">
        <f>VLOOKUP(A378,'Customer Names (2)'!A:B, 2,FALSE)</f>
        <v>Mr</v>
      </c>
      <c r="C378">
        <f>VLOOKUP(A378,Medical_Examinations[],2,FALSE)</f>
        <v>31.35</v>
      </c>
      <c r="D378">
        <f>VLOOKUP(A378,Medical_Examinations[],3,FALSE)</f>
        <v>4.33</v>
      </c>
      <c r="E378" t="str">
        <f>VLOOKUP(A378,Medical_Examinations[],4,FALSE)</f>
        <v>Yes</v>
      </c>
      <c r="F378" t="str">
        <f>VLOOKUP(A378,Medical_Examinations[],5,FALSE)</f>
        <v>No</v>
      </c>
      <c r="G378" t="str">
        <f>VLOOKUP(A378,Medical_Examinations[],6,FALSE)</f>
        <v>Yes</v>
      </c>
      <c r="H378">
        <f>VLOOKUP(A378,Medical_Examinations[],7,FALSE)</f>
        <v>1</v>
      </c>
      <c r="I378" t="str">
        <f>VLOOKUP(A378,Medical_Examinations[],8,FALSE)</f>
        <v>No</v>
      </c>
      <c r="J378" t="str">
        <f>VLOOKUP(A378,Medical_Examinations[],9,FALSE)</f>
        <v>Obesity</v>
      </c>
      <c r="K378" t="str">
        <f>VLOOKUP(A378,Medical_Examinations[],10,FALSE)</f>
        <v>Normal</v>
      </c>
      <c r="M378">
        <f>VLOOKUP(A378,Hospitalisation_Details__2[],4,FALSE)</f>
        <v>27346.04</v>
      </c>
      <c r="N378" t="str">
        <f>VLOOKUP(A378,Hospitalisation_Details__2[],5,FALSE)</f>
        <v>tier - 2</v>
      </c>
      <c r="O378" t="str">
        <f>VLOOKUP(A378,Hospitalisation_Details__2[],6,FALSE)</f>
        <v>tier - 2</v>
      </c>
      <c r="P378" t="str">
        <f>VLOOKUP(A378,Hospitalisation_Details__2[],7,FALSE)</f>
        <v>R1013</v>
      </c>
    </row>
    <row r="379" spans="1:16" x14ac:dyDescent="0.35">
      <c r="A379" t="str">
        <v>Id378</v>
      </c>
      <c r="B379" t="str">
        <f>VLOOKUP(A379,'Customer Names (2)'!A:B, 2,FALSE)</f>
        <v>Ms</v>
      </c>
      <c r="C379">
        <f>VLOOKUP(A379,Medical_Examinations[],2,FALSE)</f>
        <v>31.9</v>
      </c>
      <c r="D379">
        <f>VLOOKUP(A379,Medical_Examinations[],3,FALSE)</f>
        <v>11.89</v>
      </c>
      <c r="E379" t="str">
        <f>VLOOKUP(A379,Medical_Examinations[],4,FALSE)</f>
        <v>No</v>
      </c>
      <c r="F379" t="str">
        <f>VLOOKUP(A379,Medical_Examinations[],5,FALSE)</f>
        <v>No</v>
      </c>
      <c r="G379" t="str">
        <f>VLOOKUP(A379,Medical_Examinations[],6,FALSE)</f>
        <v>No</v>
      </c>
      <c r="H379">
        <f>VLOOKUP(A379,Medical_Examinations[],7,FALSE)</f>
        <v>0</v>
      </c>
      <c r="I379" t="str">
        <f>VLOOKUP(A379,Medical_Examinations[],8,FALSE)</f>
        <v>No</v>
      </c>
      <c r="J379" t="str">
        <f>VLOOKUP(A379,Medical_Examinations[],9,FALSE)</f>
        <v>Obesity</v>
      </c>
      <c r="K379" t="str">
        <f>VLOOKUP(A379,Medical_Examinations[],10,FALSE)</f>
        <v>Diabetes</v>
      </c>
      <c r="M379">
        <f>VLOOKUP(A379,Hospitalisation_Details__2[],4,FALSE)</f>
        <v>27322.73</v>
      </c>
      <c r="N379" t="str">
        <f>VLOOKUP(A379,Hospitalisation_Details__2[],5,FALSE)</f>
        <v>tier - 2</v>
      </c>
      <c r="O379" t="str">
        <f>VLOOKUP(A379,Hospitalisation_Details__2[],6,FALSE)</f>
        <v>tier - 2</v>
      </c>
      <c r="P379" t="str">
        <f>VLOOKUP(A379,Hospitalisation_Details__2[],7,FALSE)</f>
        <v>R1013</v>
      </c>
    </row>
    <row r="380" spans="1:16" x14ac:dyDescent="0.35">
      <c r="A380" t="str">
        <v>Id379</v>
      </c>
      <c r="B380" t="str">
        <f>VLOOKUP(A380,'Customer Names (2)'!A:B, 2,FALSE)</f>
        <v>Ms</v>
      </c>
      <c r="C380">
        <f>VLOOKUP(A380,Medical_Examinations[],2,FALSE)</f>
        <v>30.6</v>
      </c>
      <c r="D380">
        <f>VLOOKUP(A380,Medical_Examinations[],3,FALSE)</f>
        <v>5.24</v>
      </c>
      <c r="E380" t="str">
        <f>VLOOKUP(A380,Medical_Examinations[],4,FALSE)</f>
        <v>No</v>
      </c>
      <c r="F380" t="str">
        <f>VLOOKUP(A380,Medical_Examinations[],5,FALSE)</f>
        <v>No</v>
      </c>
      <c r="G380" t="str">
        <f>VLOOKUP(A380,Medical_Examinations[],6,FALSE)</f>
        <v>No</v>
      </c>
      <c r="H380">
        <f>VLOOKUP(A380,Medical_Examinations[],7,FALSE)</f>
        <v>0</v>
      </c>
      <c r="I380" t="str">
        <f>VLOOKUP(A380,Medical_Examinations[],8,FALSE)</f>
        <v>Yes</v>
      </c>
      <c r="J380" t="str">
        <f>VLOOKUP(A380,Medical_Examinations[],9,FALSE)</f>
        <v>Obesity</v>
      </c>
      <c r="K380" t="str">
        <f>VLOOKUP(A380,Medical_Examinations[],10,FALSE)</f>
        <v>Normal</v>
      </c>
      <c r="M380">
        <f>VLOOKUP(A380,Hospitalisation_Details__2[],4,FALSE)</f>
        <v>27236.959999999999</v>
      </c>
      <c r="N380" t="str">
        <f>VLOOKUP(A380,Hospitalisation_Details__2[],5,FALSE)</f>
        <v>tier - 2</v>
      </c>
      <c r="O380" t="str">
        <f>VLOOKUP(A380,Hospitalisation_Details__2[],6,FALSE)</f>
        <v>tier - 1</v>
      </c>
      <c r="P380" t="str">
        <f>VLOOKUP(A380,Hospitalisation_Details__2[],7,FALSE)</f>
        <v>R1011</v>
      </c>
    </row>
    <row r="381" spans="1:16" x14ac:dyDescent="0.35">
      <c r="A381" t="str">
        <v>Id380</v>
      </c>
      <c r="B381" t="str">
        <f>VLOOKUP(A381,'Customer Names (2)'!A:B, 2,FALSE)</f>
        <v>Mr</v>
      </c>
      <c r="C381">
        <f>VLOOKUP(A381,Medical_Examinations[],2,FALSE)</f>
        <v>28.975000000000001</v>
      </c>
      <c r="D381">
        <f>VLOOKUP(A381,Medical_Examinations[],3,FALSE)</f>
        <v>7.63</v>
      </c>
      <c r="E381" t="str">
        <f>VLOOKUP(A381,Medical_Examinations[],4,FALSE)</f>
        <v>No</v>
      </c>
      <c r="F381" t="str">
        <f>VLOOKUP(A381,Medical_Examinations[],5,FALSE)</f>
        <v>No</v>
      </c>
      <c r="G381" t="str">
        <f>VLOOKUP(A381,Medical_Examinations[],6,FALSE)</f>
        <v>No</v>
      </c>
      <c r="H381">
        <f>VLOOKUP(A381,Medical_Examinations[],7,FALSE)</f>
        <v>0</v>
      </c>
      <c r="I381" t="str">
        <f>VLOOKUP(A381,Medical_Examinations[],8,FALSE)</f>
        <v>Yes</v>
      </c>
      <c r="J381" t="str">
        <f>VLOOKUP(A381,Medical_Examinations[],9,FALSE)</f>
        <v>Overweight</v>
      </c>
      <c r="K381" t="str">
        <f>VLOOKUP(A381,Medical_Examinations[],10,FALSE)</f>
        <v>Diabetes</v>
      </c>
      <c r="M381">
        <f>VLOOKUP(A381,Hospitalisation_Details__2[],4,FALSE)</f>
        <v>27218.44</v>
      </c>
      <c r="N381" t="str">
        <f>VLOOKUP(A381,Hospitalisation_Details__2[],5,FALSE)</f>
        <v>tier - 2</v>
      </c>
      <c r="O381" t="str">
        <f>VLOOKUP(A381,Hospitalisation_Details__2[],6,FALSE)</f>
        <v>tier - 1</v>
      </c>
      <c r="P381" t="str">
        <f>VLOOKUP(A381,Hospitalisation_Details__2[],7,FALSE)</f>
        <v>R1017</v>
      </c>
    </row>
    <row r="382" spans="1:16" x14ac:dyDescent="0.35">
      <c r="A382" t="str">
        <v>Id381</v>
      </c>
      <c r="B382" t="str">
        <f>VLOOKUP(A382,'Customer Names (2)'!A:B, 2,FALSE)</f>
        <v>Ms</v>
      </c>
      <c r="C382">
        <f>VLOOKUP(A382,Medical_Examinations[],2,FALSE)</f>
        <v>24.86</v>
      </c>
      <c r="D382">
        <f>VLOOKUP(A382,Medical_Examinations[],3,FALSE)</f>
        <v>8.92</v>
      </c>
      <c r="E382" t="str">
        <f>VLOOKUP(A382,Medical_Examinations[],4,FALSE)</f>
        <v>Yes</v>
      </c>
      <c r="F382" t="str">
        <f>VLOOKUP(A382,Medical_Examinations[],5,FALSE)</f>
        <v>No</v>
      </c>
      <c r="G382" t="str">
        <f>VLOOKUP(A382,Medical_Examinations[],6,FALSE)</f>
        <v>No</v>
      </c>
      <c r="H382">
        <f>VLOOKUP(A382,Medical_Examinations[],7,FALSE)</f>
        <v>2</v>
      </c>
      <c r="I382" t="str">
        <f>VLOOKUP(A382,Medical_Examinations[],8,FALSE)</f>
        <v>No</v>
      </c>
      <c r="J382" t="str">
        <f>VLOOKUP(A382,Medical_Examinations[],9,FALSE)</f>
        <v>Normal Weight</v>
      </c>
      <c r="K382" t="str">
        <f>VLOOKUP(A382,Medical_Examinations[],10,FALSE)</f>
        <v>Diabetes</v>
      </c>
      <c r="M382">
        <f>VLOOKUP(A382,Hospitalisation_Details__2[],4,FALSE)</f>
        <v>27117.99</v>
      </c>
      <c r="N382" t="str">
        <f>VLOOKUP(A382,Hospitalisation_Details__2[],5,FALSE)</f>
        <v>tier - 2</v>
      </c>
      <c r="O382" t="str">
        <f>VLOOKUP(A382,Hospitalisation_Details__2[],6,FALSE)</f>
        <v>tier - 2</v>
      </c>
      <c r="P382" t="str">
        <f>VLOOKUP(A382,Hospitalisation_Details__2[],7,FALSE)</f>
        <v>R1013</v>
      </c>
    </row>
    <row r="383" spans="1:16" x14ac:dyDescent="0.35">
      <c r="A383" t="str">
        <v>Id382</v>
      </c>
      <c r="B383" t="str">
        <f>VLOOKUP(A383,'Customer Names (2)'!A:B, 2,FALSE)</f>
        <v>Mr</v>
      </c>
      <c r="C383">
        <f>VLOOKUP(A383,Medical_Examinations[],2,FALSE)</f>
        <v>19.54</v>
      </c>
      <c r="D383">
        <f>VLOOKUP(A383,Medical_Examinations[],3,FALSE)</f>
        <v>5.37</v>
      </c>
      <c r="E383" t="str">
        <f>VLOOKUP(A383,Medical_Examinations[],4,FALSE)</f>
        <v>No</v>
      </c>
      <c r="F383" t="str">
        <f>VLOOKUP(A383,Medical_Examinations[],5,FALSE)</f>
        <v>No</v>
      </c>
      <c r="G383" t="str">
        <f>VLOOKUP(A383,Medical_Examinations[],6,FALSE)</f>
        <v>No</v>
      </c>
      <c r="H383">
        <f>VLOOKUP(A383,Medical_Examinations[],7,FALSE)</f>
        <v>0</v>
      </c>
      <c r="I383" t="str">
        <f>VLOOKUP(A383,Medical_Examinations[],8,FALSE)</f>
        <v>Yes</v>
      </c>
      <c r="J383" t="str">
        <f>VLOOKUP(A383,Medical_Examinations[],9,FALSE)</f>
        <v>Normal Weight</v>
      </c>
      <c r="K383" t="str">
        <f>VLOOKUP(A383,Medical_Examinations[],10,FALSE)</f>
        <v>Normal</v>
      </c>
      <c r="M383">
        <f>VLOOKUP(A383,Hospitalisation_Details__2[],4,FALSE)</f>
        <v>27092.38</v>
      </c>
      <c r="N383" t="str">
        <f>VLOOKUP(A383,Hospitalisation_Details__2[],5,FALSE)</f>
        <v>tier - 2</v>
      </c>
      <c r="O383" t="str">
        <f>VLOOKUP(A383,Hospitalisation_Details__2[],6,FALSE)</f>
        <v>tier - 3</v>
      </c>
      <c r="P383" t="str">
        <f>VLOOKUP(A383,Hospitalisation_Details__2[],7,FALSE)</f>
        <v>R1011</v>
      </c>
    </row>
    <row r="384" spans="1:16" x14ac:dyDescent="0.35">
      <c r="A384" t="str">
        <v>Id383</v>
      </c>
      <c r="B384" t="str">
        <f>VLOOKUP(A384,'Customer Names (2)'!A:B, 2,FALSE)</f>
        <v>Mr</v>
      </c>
      <c r="C384">
        <f>VLOOKUP(A384,Medical_Examinations[],2,FALSE)</f>
        <v>26.74</v>
      </c>
      <c r="D384">
        <f>VLOOKUP(A384,Medical_Examinations[],3,FALSE)</f>
        <v>4.3099999999999996</v>
      </c>
      <c r="E384" t="str">
        <f>VLOOKUP(A384,Medical_Examinations[],4,FALSE)</f>
        <v>No</v>
      </c>
      <c r="F384" t="str">
        <f>VLOOKUP(A384,Medical_Examinations[],5,FALSE)</f>
        <v>No</v>
      </c>
      <c r="G384" t="str">
        <f>VLOOKUP(A384,Medical_Examinations[],6,FALSE)</f>
        <v>No</v>
      </c>
      <c r="H384">
        <f>VLOOKUP(A384,Medical_Examinations[],7,FALSE)</f>
        <v>0</v>
      </c>
      <c r="I384" t="str">
        <f>VLOOKUP(A384,Medical_Examinations[],8,FALSE)</f>
        <v>Yes</v>
      </c>
      <c r="J384" t="str">
        <f>VLOOKUP(A384,Medical_Examinations[],9,FALSE)</f>
        <v>Overweight</v>
      </c>
      <c r="K384" t="str">
        <f>VLOOKUP(A384,Medical_Examinations[],10,FALSE)</f>
        <v>Normal</v>
      </c>
      <c r="M384">
        <f>VLOOKUP(A384,Hospitalisation_Details__2[],4,FALSE)</f>
        <v>27080.639999999999</v>
      </c>
      <c r="N384" t="str">
        <f>VLOOKUP(A384,Hospitalisation_Details__2[],5,FALSE)</f>
        <v>tier - 2</v>
      </c>
      <c r="O384" t="str">
        <f>VLOOKUP(A384,Hospitalisation_Details__2[],6,FALSE)</f>
        <v>tier - 2</v>
      </c>
      <c r="P384" t="str">
        <f>VLOOKUP(A384,Hospitalisation_Details__2[],7,FALSE)</f>
        <v>R1011</v>
      </c>
    </row>
    <row r="385" spans="1:16" x14ac:dyDescent="0.35">
      <c r="A385" t="str">
        <v>Id384</v>
      </c>
      <c r="B385" t="str">
        <f>VLOOKUP(A385,'Customer Names (2)'!A:B, 2,FALSE)</f>
        <v>Ms</v>
      </c>
      <c r="C385">
        <f>VLOOKUP(A385,Medical_Examinations[],2,FALSE)</f>
        <v>22.99</v>
      </c>
      <c r="D385">
        <f>VLOOKUP(A385,Medical_Examinations[],3,FALSE)</f>
        <v>10.46</v>
      </c>
      <c r="E385" t="str">
        <f>VLOOKUP(A385,Medical_Examinations[],4,FALSE)</f>
        <v>No</v>
      </c>
      <c r="F385" t="str">
        <f>VLOOKUP(A385,Medical_Examinations[],5,FALSE)</f>
        <v>No</v>
      </c>
      <c r="G385" t="str">
        <f>VLOOKUP(A385,Medical_Examinations[],6,FALSE)</f>
        <v>No</v>
      </c>
      <c r="H385">
        <f>VLOOKUP(A385,Medical_Examinations[],7,FALSE)</f>
        <v>3</v>
      </c>
      <c r="I385" t="str">
        <f>VLOOKUP(A385,Medical_Examinations[],8,FALSE)</f>
        <v>Yes</v>
      </c>
      <c r="J385" t="str">
        <f>VLOOKUP(A385,Medical_Examinations[],9,FALSE)</f>
        <v>Normal Weight</v>
      </c>
      <c r="K385" t="str">
        <f>VLOOKUP(A385,Medical_Examinations[],10,FALSE)</f>
        <v>Diabetes</v>
      </c>
      <c r="M385">
        <f>VLOOKUP(A385,Hospitalisation_Details__2[],4,FALSE)</f>
        <v>27037.91</v>
      </c>
      <c r="N385" t="str">
        <f>VLOOKUP(A385,Hospitalisation_Details__2[],5,FALSE)</f>
        <v>tier - 2</v>
      </c>
      <c r="O385" t="str">
        <f>VLOOKUP(A385,Hospitalisation_Details__2[],6,FALSE)</f>
        <v>tier - 2</v>
      </c>
      <c r="P385" t="str">
        <f>VLOOKUP(A385,Hospitalisation_Details__2[],7,FALSE)</f>
        <v>R1013</v>
      </c>
    </row>
    <row r="386" spans="1:16" x14ac:dyDescent="0.35">
      <c r="A386" t="str">
        <v>Id385</v>
      </c>
      <c r="B386" t="str">
        <f>VLOOKUP(A386,'Customer Names (2)'!A:B, 2,FALSE)</f>
        <v>Mr</v>
      </c>
      <c r="C386">
        <f>VLOOKUP(A386,Medical_Examinations[],2,FALSE)</f>
        <v>31.46</v>
      </c>
      <c r="D386">
        <f>VLOOKUP(A386,Medical_Examinations[],3,FALSE)</f>
        <v>7.39</v>
      </c>
      <c r="E386" t="str">
        <f>VLOOKUP(A386,Medical_Examinations[],4,FALSE)</f>
        <v>No</v>
      </c>
      <c r="F386" t="str">
        <f>VLOOKUP(A386,Medical_Examinations[],5,FALSE)</f>
        <v>No</v>
      </c>
      <c r="G386" t="str">
        <f>VLOOKUP(A386,Medical_Examinations[],6,FALSE)</f>
        <v>No</v>
      </c>
      <c r="H386">
        <f>VLOOKUP(A386,Medical_Examinations[],7,FALSE)</f>
        <v>0</v>
      </c>
      <c r="I386" t="str">
        <f>VLOOKUP(A386,Medical_Examinations[],8,FALSE)</f>
        <v>No</v>
      </c>
      <c r="J386" t="str">
        <f>VLOOKUP(A386,Medical_Examinations[],9,FALSE)</f>
        <v>Obesity</v>
      </c>
      <c r="K386" t="str">
        <f>VLOOKUP(A386,Medical_Examinations[],10,FALSE)</f>
        <v>Diabetes</v>
      </c>
      <c r="M386">
        <f>VLOOKUP(A386,Hospitalisation_Details__2[],4,FALSE)</f>
        <v>27000.98</v>
      </c>
      <c r="N386" t="str">
        <f>VLOOKUP(A386,Hospitalisation_Details__2[],5,FALSE)</f>
        <v>tier - 2</v>
      </c>
      <c r="O386" t="str">
        <f>VLOOKUP(A386,Hospitalisation_Details__2[],6,FALSE)</f>
        <v>tier - 2</v>
      </c>
      <c r="P386" t="str">
        <f>VLOOKUP(A386,Hospitalisation_Details__2[],7,FALSE)</f>
        <v>R1013</v>
      </c>
    </row>
    <row r="387" spans="1:16" x14ac:dyDescent="0.35">
      <c r="A387" t="str">
        <v>Id386</v>
      </c>
      <c r="B387" t="str">
        <f>VLOOKUP(A387,'Customer Names (2)'!A:B, 2,FALSE)</f>
        <v>Mr</v>
      </c>
      <c r="C387">
        <f>VLOOKUP(A387,Medical_Examinations[],2,FALSE)</f>
        <v>30.86</v>
      </c>
      <c r="D387">
        <f>VLOOKUP(A387,Medical_Examinations[],3,FALSE)</f>
        <v>6.18</v>
      </c>
      <c r="E387" t="str">
        <f>VLOOKUP(A387,Medical_Examinations[],4,FALSE)</f>
        <v>No</v>
      </c>
      <c r="F387" t="str">
        <f>VLOOKUP(A387,Medical_Examinations[],5,FALSE)</f>
        <v>yes</v>
      </c>
      <c r="G387" t="str">
        <f>VLOOKUP(A387,Medical_Examinations[],6,FALSE)</f>
        <v>No</v>
      </c>
      <c r="H387">
        <f>VLOOKUP(A387,Medical_Examinations[],7,FALSE)</f>
        <v>2</v>
      </c>
      <c r="I387" t="str">
        <f>VLOOKUP(A387,Medical_Examinations[],8,FALSE)</f>
        <v>Yes</v>
      </c>
      <c r="J387" t="str">
        <f>VLOOKUP(A387,Medical_Examinations[],9,FALSE)</f>
        <v>Obesity</v>
      </c>
      <c r="K387" t="str">
        <f>VLOOKUP(A387,Medical_Examinations[],10,FALSE)</f>
        <v>Prediabetes</v>
      </c>
      <c r="M387">
        <f>VLOOKUP(A387,Hospitalisation_Details__2[],4,FALSE)</f>
        <v>26936.98</v>
      </c>
      <c r="N387" t="str">
        <f>VLOOKUP(A387,Hospitalisation_Details__2[],5,FALSE)</f>
        <v>tier - 2</v>
      </c>
      <c r="O387" t="str">
        <f>VLOOKUP(A387,Hospitalisation_Details__2[],6,FALSE)</f>
        <v>tier - 3</v>
      </c>
      <c r="P387" t="str">
        <f>VLOOKUP(A387,Hospitalisation_Details__2[],7,FALSE)</f>
        <v>R1011</v>
      </c>
    </row>
    <row r="388" spans="1:16" x14ac:dyDescent="0.35">
      <c r="A388" t="str">
        <v>Id387</v>
      </c>
      <c r="B388" t="str">
        <f>VLOOKUP(A388,'Customer Names (2)'!A:B, 2,FALSE)</f>
        <v>Ms</v>
      </c>
      <c r="C388">
        <f>VLOOKUP(A388,Medical_Examinations[],2,FALSE)</f>
        <v>31.96</v>
      </c>
      <c r="D388">
        <f>VLOOKUP(A388,Medical_Examinations[],3,FALSE)</f>
        <v>8.86</v>
      </c>
      <c r="E388" t="str">
        <f>VLOOKUP(A388,Medical_Examinations[],4,FALSE)</f>
        <v>No</v>
      </c>
      <c r="F388" t="str">
        <f>VLOOKUP(A388,Medical_Examinations[],5,FALSE)</f>
        <v>No</v>
      </c>
      <c r="G388" t="str">
        <f>VLOOKUP(A388,Medical_Examinations[],6,FALSE)</f>
        <v>No</v>
      </c>
      <c r="H388">
        <f>VLOOKUP(A388,Medical_Examinations[],7,FALSE)</f>
        <v>0</v>
      </c>
      <c r="I388" t="str">
        <f>VLOOKUP(A388,Medical_Examinations[],8,FALSE)</f>
        <v>Yes</v>
      </c>
      <c r="J388" t="str">
        <f>VLOOKUP(A388,Medical_Examinations[],9,FALSE)</f>
        <v>Obesity</v>
      </c>
      <c r="K388" t="str">
        <f>VLOOKUP(A388,Medical_Examinations[],10,FALSE)</f>
        <v>Diabetes</v>
      </c>
      <c r="M388">
        <f>VLOOKUP(A388,Hospitalisation_Details__2[],4,FALSE)</f>
        <v>26927.69</v>
      </c>
      <c r="N388" t="str">
        <f>VLOOKUP(A388,Hospitalisation_Details__2[],5,FALSE)</f>
        <v>tier - 2</v>
      </c>
      <c r="O388" t="str">
        <f>VLOOKUP(A388,Hospitalisation_Details__2[],6,FALSE)</f>
        <v>tier - 2</v>
      </c>
      <c r="P388" t="str">
        <f>VLOOKUP(A388,Hospitalisation_Details__2[],7,FALSE)</f>
        <v>R1011</v>
      </c>
    </row>
    <row r="389" spans="1:16" x14ac:dyDescent="0.35">
      <c r="A389" t="str">
        <v>Id388</v>
      </c>
      <c r="B389" t="str">
        <f>VLOOKUP(A389,'Customer Names (2)'!A:B, 2,FALSE)</f>
        <v>Mr</v>
      </c>
      <c r="C389">
        <f>VLOOKUP(A389,Medical_Examinations[],2,FALSE)</f>
        <v>23.76</v>
      </c>
      <c r="D389">
        <f>VLOOKUP(A389,Medical_Examinations[],3,FALSE)</f>
        <v>10.96</v>
      </c>
      <c r="E389" t="str">
        <f>VLOOKUP(A389,Medical_Examinations[],4,FALSE)</f>
        <v>No</v>
      </c>
      <c r="F389" t="str">
        <f>VLOOKUP(A389,Medical_Examinations[],5,FALSE)</f>
        <v>No</v>
      </c>
      <c r="G389" t="str">
        <f>VLOOKUP(A389,Medical_Examinations[],6,FALSE)</f>
        <v>No</v>
      </c>
      <c r="H389">
        <f>VLOOKUP(A389,Medical_Examinations[],7,FALSE)</f>
        <v>3</v>
      </c>
      <c r="I389" t="str">
        <f>VLOOKUP(A389,Medical_Examinations[],8,FALSE)</f>
        <v>Yes</v>
      </c>
      <c r="J389" t="str">
        <f>VLOOKUP(A389,Medical_Examinations[],9,FALSE)</f>
        <v>Normal Weight</v>
      </c>
      <c r="K389" t="str">
        <f>VLOOKUP(A389,Medical_Examinations[],10,FALSE)</f>
        <v>Diabetes</v>
      </c>
      <c r="M389">
        <f>VLOOKUP(A389,Hospitalisation_Details__2[],4,FALSE)</f>
        <v>26926.51</v>
      </c>
      <c r="N389" t="str">
        <f>VLOOKUP(A389,Hospitalisation_Details__2[],5,FALSE)</f>
        <v>tier - 2</v>
      </c>
      <c r="O389" t="str">
        <f>VLOOKUP(A389,Hospitalisation_Details__2[],6,FALSE)</f>
        <v>tier - 1</v>
      </c>
      <c r="P389" t="str">
        <f>VLOOKUP(A389,Hospitalisation_Details__2[],7,FALSE)</f>
        <v>R1013</v>
      </c>
    </row>
    <row r="390" spans="1:16" x14ac:dyDescent="0.35">
      <c r="A390" t="str">
        <v>Id389</v>
      </c>
      <c r="B390" t="str">
        <f>VLOOKUP(A390,'Customer Names (2)'!A:B, 2,FALSE)</f>
        <v>Ms</v>
      </c>
      <c r="C390">
        <f>VLOOKUP(A390,Medical_Examinations[],2,FALSE)</f>
        <v>19.38</v>
      </c>
      <c r="D390">
        <f>VLOOKUP(A390,Medical_Examinations[],3,FALSE)</f>
        <v>6.28</v>
      </c>
      <c r="E390" t="str">
        <f>VLOOKUP(A390,Medical_Examinations[],4,FALSE)</f>
        <v>No</v>
      </c>
      <c r="F390" t="str">
        <f>VLOOKUP(A390,Medical_Examinations[],5,FALSE)</f>
        <v>No</v>
      </c>
      <c r="G390" t="str">
        <f>VLOOKUP(A390,Medical_Examinations[],6,FALSE)</f>
        <v>No</v>
      </c>
      <c r="H390">
        <f>VLOOKUP(A390,Medical_Examinations[],7,FALSE)</f>
        <v>0</v>
      </c>
      <c r="I390" t="str">
        <f>VLOOKUP(A390,Medical_Examinations[],8,FALSE)</f>
        <v>Yes</v>
      </c>
      <c r="J390" t="str">
        <f>VLOOKUP(A390,Medical_Examinations[],9,FALSE)</f>
        <v>Normal Weight</v>
      </c>
      <c r="K390" t="str">
        <f>VLOOKUP(A390,Medical_Examinations[],10,FALSE)</f>
        <v>Prediabetes</v>
      </c>
      <c r="M390">
        <f>VLOOKUP(A390,Hospitalisation_Details__2[],4,FALSE)</f>
        <v>26912.560000000001</v>
      </c>
      <c r="N390" t="str">
        <f>VLOOKUP(A390,Hospitalisation_Details__2[],5,FALSE)</f>
        <v>tier - 2</v>
      </c>
      <c r="O390" t="str">
        <f>VLOOKUP(A390,Hospitalisation_Details__2[],6,FALSE)</f>
        <v>tier - 2</v>
      </c>
      <c r="P390" t="str">
        <f>VLOOKUP(A390,Hospitalisation_Details__2[],7,FALSE)</f>
        <v>R1011</v>
      </c>
    </row>
    <row r="391" spans="1:16" x14ac:dyDescent="0.35">
      <c r="A391" t="str">
        <v>Id390</v>
      </c>
      <c r="B391" t="str">
        <f>VLOOKUP(A391,'Customer Names (2)'!A:B, 2,FALSE)</f>
        <v>Ms</v>
      </c>
      <c r="C391">
        <f>VLOOKUP(A391,Medical_Examinations[],2,FALSE)</f>
        <v>16.21</v>
      </c>
      <c r="D391">
        <f>VLOOKUP(A391,Medical_Examinations[],3,FALSE)</f>
        <v>6.29</v>
      </c>
      <c r="E391" t="str">
        <f>VLOOKUP(A391,Medical_Examinations[],4,FALSE)</f>
        <v>Yes</v>
      </c>
      <c r="F391" t="str">
        <f>VLOOKUP(A391,Medical_Examinations[],5,FALSE)</f>
        <v>No</v>
      </c>
      <c r="G391" t="str">
        <f>VLOOKUP(A391,Medical_Examinations[],6,FALSE)</f>
        <v>No</v>
      </c>
      <c r="H391">
        <f>VLOOKUP(A391,Medical_Examinations[],7,FALSE)</f>
        <v>1</v>
      </c>
      <c r="I391" t="str">
        <f>VLOOKUP(A391,Medical_Examinations[],8,FALSE)</f>
        <v>Yes</v>
      </c>
      <c r="J391" t="str">
        <f>VLOOKUP(A391,Medical_Examinations[],9,FALSE)</f>
        <v>Underweight</v>
      </c>
      <c r="K391" t="str">
        <f>VLOOKUP(A391,Medical_Examinations[],10,FALSE)</f>
        <v>Prediabetes</v>
      </c>
      <c r="M391">
        <f>VLOOKUP(A391,Hospitalisation_Details__2[],4,FALSE)</f>
        <v>26607.89</v>
      </c>
      <c r="N391" t="str">
        <f>VLOOKUP(A391,Hospitalisation_Details__2[],5,FALSE)</f>
        <v>tier - 2</v>
      </c>
      <c r="O391" t="str">
        <f>VLOOKUP(A391,Hospitalisation_Details__2[],6,FALSE)</f>
        <v>tier - 1</v>
      </c>
      <c r="P391" t="str">
        <f>VLOOKUP(A391,Hospitalisation_Details__2[],7,FALSE)</f>
        <v>R1011</v>
      </c>
    </row>
    <row r="392" spans="1:16" x14ac:dyDescent="0.35">
      <c r="A392" t="str">
        <v>Id391</v>
      </c>
      <c r="B392" t="str">
        <f>VLOOKUP(A392,'Customer Names (2)'!A:B, 2,FALSE)</f>
        <v>Mr</v>
      </c>
      <c r="C392">
        <f>VLOOKUP(A392,Medical_Examinations[],2,FALSE)</f>
        <v>32.54</v>
      </c>
      <c r="D392">
        <f>VLOOKUP(A392,Medical_Examinations[],3,FALSE)</f>
        <v>4.0199999999999996</v>
      </c>
      <c r="E392" t="str">
        <f>VLOOKUP(A392,Medical_Examinations[],4,FALSE)</f>
        <v>No</v>
      </c>
      <c r="F392" t="str">
        <f>VLOOKUP(A392,Medical_Examinations[],5,FALSE)</f>
        <v>yes</v>
      </c>
      <c r="G392" t="str">
        <f>VLOOKUP(A392,Medical_Examinations[],6,FALSE)</f>
        <v>No</v>
      </c>
      <c r="H392">
        <f>VLOOKUP(A392,Medical_Examinations[],7,FALSE)</f>
        <v>1</v>
      </c>
      <c r="I392" t="str">
        <f>VLOOKUP(A392,Medical_Examinations[],8,FALSE)</f>
        <v>Yes</v>
      </c>
      <c r="J392" t="str">
        <f>VLOOKUP(A392,Medical_Examinations[],9,FALSE)</f>
        <v>Obesity</v>
      </c>
      <c r="K392" t="str">
        <f>VLOOKUP(A392,Medical_Examinations[],10,FALSE)</f>
        <v>Normal</v>
      </c>
      <c r="M392">
        <f>VLOOKUP(A392,Hospitalisation_Details__2[],4,FALSE)</f>
        <v>26479.4</v>
      </c>
      <c r="N392" t="str">
        <f>VLOOKUP(A392,Hospitalisation_Details__2[],5,FALSE)</f>
        <v>tier - 2</v>
      </c>
      <c r="O392" t="str">
        <f>VLOOKUP(A392,Hospitalisation_Details__2[],6,FALSE)</f>
        <v>tier - 2</v>
      </c>
      <c r="P392" t="str">
        <f>VLOOKUP(A392,Hospitalisation_Details__2[],7,FALSE)</f>
        <v>R1011</v>
      </c>
    </row>
    <row r="393" spans="1:16" x14ac:dyDescent="0.35">
      <c r="A393" t="str">
        <v>Id392</v>
      </c>
      <c r="B393" t="str">
        <f>VLOOKUP(A393,'Customer Names (2)'!A:B, 2,FALSE)</f>
        <v>Mr</v>
      </c>
      <c r="C393">
        <f>VLOOKUP(A393,Medical_Examinations[],2,FALSE)</f>
        <v>36.765000000000001</v>
      </c>
      <c r="D393">
        <f>VLOOKUP(A393,Medical_Examinations[],3,FALSE)</f>
        <v>11.95</v>
      </c>
      <c r="E393" t="str">
        <f>VLOOKUP(A393,Medical_Examinations[],4,FALSE)</f>
        <v>Yes</v>
      </c>
      <c r="F393" t="str">
        <f>VLOOKUP(A393,Medical_Examinations[],5,FALSE)</f>
        <v>No</v>
      </c>
      <c r="G393" t="str">
        <f>VLOOKUP(A393,Medical_Examinations[],6,FALSE)</f>
        <v>No</v>
      </c>
      <c r="H393">
        <f>VLOOKUP(A393,Medical_Examinations[],7,FALSE)</f>
        <v>2</v>
      </c>
      <c r="I393" t="str">
        <f>VLOOKUP(A393,Medical_Examinations[],8,FALSE)</f>
        <v>No</v>
      </c>
      <c r="J393" t="str">
        <f>VLOOKUP(A393,Medical_Examinations[],9,FALSE)</f>
        <v>Obesity</v>
      </c>
      <c r="K393" t="str">
        <f>VLOOKUP(A393,Medical_Examinations[],10,FALSE)</f>
        <v>Diabetes</v>
      </c>
      <c r="M393">
        <f>VLOOKUP(A393,Hospitalisation_Details__2[],4,FALSE)</f>
        <v>26467.1</v>
      </c>
      <c r="N393" t="str">
        <f>VLOOKUP(A393,Hospitalisation_Details__2[],5,FALSE)</f>
        <v>tier - 2</v>
      </c>
      <c r="O393" t="str">
        <f>VLOOKUP(A393,Hospitalisation_Details__2[],6,FALSE)</f>
        <v>tier - 3</v>
      </c>
      <c r="P393" t="str">
        <f>VLOOKUP(A393,Hospitalisation_Details__2[],7,FALSE)</f>
        <v>R1012</v>
      </c>
    </row>
    <row r="394" spans="1:16" x14ac:dyDescent="0.35">
      <c r="A394" t="str">
        <v>Id393</v>
      </c>
      <c r="B394" t="str">
        <f>VLOOKUP(A394,'Customer Names (2)'!A:B, 2,FALSE)</f>
        <v>Ms</v>
      </c>
      <c r="C394">
        <f>VLOOKUP(A394,Medical_Examinations[],2,FALSE)</f>
        <v>35.909999999999997</v>
      </c>
      <c r="D394">
        <f>VLOOKUP(A394,Medical_Examinations[],3,FALSE)</f>
        <v>8.7100000000000009</v>
      </c>
      <c r="E394" t="str">
        <f>VLOOKUP(A394,Medical_Examinations[],4,FALSE)</f>
        <v>No</v>
      </c>
      <c r="F394" t="str">
        <f>VLOOKUP(A394,Medical_Examinations[],5,FALSE)</f>
        <v>No</v>
      </c>
      <c r="G394" t="str">
        <f>VLOOKUP(A394,Medical_Examinations[],6,FALSE)</f>
        <v>No</v>
      </c>
      <c r="H394">
        <f>VLOOKUP(A394,Medical_Examinations[],7,FALSE)</f>
        <v>0</v>
      </c>
      <c r="I394" t="str">
        <f>VLOOKUP(A394,Medical_Examinations[],8,FALSE)</f>
        <v>No</v>
      </c>
      <c r="J394" t="str">
        <f>VLOOKUP(A394,Medical_Examinations[],9,FALSE)</f>
        <v>Obesity</v>
      </c>
      <c r="K394" t="str">
        <f>VLOOKUP(A394,Medical_Examinations[],10,FALSE)</f>
        <v>Diabetes</v>
      </c>
      <c r="M394">
        <f>VLOOKUP(A394,Hospitalisation_Details__2[],4,FALSE)</f>
        <v>26392.26</v>
      </c>
      <c r="N394" t="str">
        <f>VLOOKUP(A394,Hospitalisation_Details__2[],5,FALSE)</f>
        <v>tier - 2</v>
      </c>
      <c r="O394" t="str">
        <f>VLOOKUP(A394,Hospitalisation_Details__2[],6,FALSE)</f>
        <v>tier - 2</v>
      </c>
      <c r="P394" t="str">
        <f>VLOOKUP(A394,Hospitalisation_Details__2[],7,FALSE)</f>
        <v>R1024</v>
      </c>
    </row>
    <row r="395" spans="1:16" x14ac:dyDescent="0.35">
      <c r="A395" t="str">
        <v>Id394</v>
      </c>
      <c r="B395" t="str">
        <f>VLOOKUP(A395,'Customer Names (2)'!A:B, 2,FALSE)</f>
        <v>Mr</v>
      </c>
      <c r="C395">
        <f>VLOOKUP(A395,Medical_Examinations[],2,FALSE)</f>
        <v>32.06</v>
      </c>
      <c r="D395">
        <f>VLOOKUP(A395,Medical_Examinations[],3,FALSE)</f>
        <v>4.67</v>
      </c>
      <c r="E395" t="str">
        <f>VLOOKUP(A395,Medical_Examinations[],4,FALSE)</f>
        <v>No</v>
      </c>
      <c r="F395" t="str">
        <f>VLOOKUP(A395,Medical_Examinations[],5,FALSE)</f>
        <v>yes</v>
      </c>
      <c r="G395" t="str">
        <f>VLOOKUP(A395,Medical_Examinations[],6,FALSE)</f>
        <v>No</v>
      </c>
      <c r="H395">
        <f>VLOOKUP(A395,Medical_Examinations[],7,FALSE)</f>
        <v>1</v>
      </c>
      <c r="I395" t="str">
        <f>VLOOKUP(A395,Medical_Examinations[],8,FALSE)</f>
        <v>Yes</v>
      </c>
      <c r="J395" t="str">
        <f>VLOOKUP(A395,Medical_Examinations[],9,FALSE)</f>
        <v>Obesity</v>
      </c>
      <c r="K395" t="str">
        <f>VLOOKUP(A395,Medical_Examinations[],10,FALSE)</f>
        <v>Normal</v>
      </c>
      <c r="M395">
        <f>VLOOKUP(A395,Hospitalisation_Details__2[],4,FALSE)</f>
        <v>26316.59</v>
      </c>
      <c r="N395" t="str">
        <f>VLOOKUP(A395,Hospitalisation_Details__2[],5,FALSE)</f>
        <v>tier - 2</v>
      </c>
      <c r="O395" t="str">
        <f>VLOOKUP(A395,Hospitalisation_Details__2[],6,FALSE)</f>
        <v>tier - 3</v>
      </c>
      <c r="P395" t="str">
        <f>VLOOKUP(A395,Hospitalisation_Details__2[],7,FALSE)</f>
        <v>R1011</v>
      </c>
    </row>
    <row r="396" spans="1:16" x14ac:dyDescent="0.35">
      <c r="A396" t="str">
        <v>Id395</v>
      </c>
      <c r="B396" t="str">
        <f>VLOOKUP(A396,'Customer Names (2)'!A:B, 2,FALSE)</f>
        <v>Ms</v>
      </c>
      <c r="C396">
        <f>VLOOKUP(A396,Medical_Examinations[],2,FALSE)</f>
        <v>24.1</v>
      </c>
      <c r="D396">
        <f>VLOOKUP(A396,Medical_Examinations[],3,FALSE)</f>
        <v>11.14</v>
      </c>
      <c r="E396" t="str">
        <f>VLOOKUP(A396,Medical_Examinations[],4,FALSE)</f>
        <v>Yes</v>
      </c>
      <c r="F396" t="str">
        <f>VLOOKUP(A396,Medical_Examinations[],5,FALSE)</f>
        <v>No</v>
      </c>
      <c r="G396" t="str">
        <f>VLOOKUP(A396,Medical_Examinations[],6,FALSE)</f>
        <v>No</v>
      </c>
      <c r="H396">
        <f>VLOOKUP(A396,Medical_Examinations[],7,FALSE)</f>
        <v>1</v>
      </c>
      <c r="I396" t="str">
        <f>VLOOKUP(A396,Medical_Examinations[],8,FALSE)</f>
        <v>No</v>
      </c>
      <c r="J396" t="str">
        <f>VLOOKUP(A396,Medical_Examinations[],9,FALSE)</f>
        <v>Normal Weight</v>
      </c>
      <c r="K396" t="str">
        <f>VLOOKUP(A396,Medical_Examinations[],10,FALSE)</f>
        <v>Diabetes</v>
      </c>
      <c r="M396">
        <f>VLOOKUP(A396,Hospitalisation_Details__2[],4,FALSE)</f>
        <v>26236.58</v>
      </c>
      <c r="N396" t="str">
        <f>VLOOKUP(A396,Hospitalisation_Details__2[],5,FALSE)</f>
        <v>tier - 2</v>
      </c>
      <c r="O396" t="str">
        <f>VLOOKUP(A396,Hospitalisation_Details__2[],6,FALSE)</f>
        <v>tier - 1</v>
      </c>
      <c r="P396" t="str">
        <f>VLOOKUP(A396,Hospitalisation_Details__2[],7,FALSE)</f>
        <v>R1011</v>
      </c>
    </row>
    <row r="397" spans="1:16" x14ac:dyDescent="0.35">
      <c r="A397" t="str">
        <v>Id396</v>
      </c>
      <c r="B397" t="str">
        <f>VLOOKUP(A397,'Customer Names (2)'!A:B, 2,FALSE)</f>
        <v>Ms</v>
      </c>
      <c r="C397">
        <f>VLOOKUP(A397,Medical_Examinations[],2,FALSE)</f>
        <v>27.1</v>
      </c>
      <c r="D397">
        <f>VLOOKUP(A397,Medical_Examinations[],3,FALSE)</f>
        <v>9.0500000000000007</v>
      </c>
      <c r="E397" t="str">
        <f>VLOOKUP(A397,Medical_Examinations[],4,FALSE)</f>
        <v>No</v>
      </c>
      <c r="F397" t="str">
        <f>VLOOKUP(A397,Medical_Examinations[],5,FALSE)</f>
        <v>No</v>
      </c>
      <c r="G397" t="str">
        <f>VLOOKUP(A397,Medical_Examinations[],6,FALSE)</f>
        <v>No</v>
      </c>
      <c r="H397">
        <f>VLOOKUP(A397,Medical_Examinations[],7,FALSE)</f>
        <v>2</v>
      </c>
      <c r="I397" t="str">
        <f>VLOOKUP(A397,Medical_Examinations[],8,FALSE)</f>
        <v>No</v>
      </c>
      <c r="J397" t="str">
        <f>VLOOKUP(A397,Medical_Examinations[],9,FALSE)</f>
        <v>Overweight</v>
      </c>
      <c r="K397" t="str">
        <f>VLOOKUP(A397,Medical_Examinations[],10,FALSE)</f>
        <v>Diabetes</v>
      </c>
      <c r="M397">
        <f>VLOOKUP(A397,Hospitalisation_Details__2[],4,FALSE)</f>
        <v>26140.36</v>
      </c>
      <c r="N397" t="str">
        <f>VLOOKUP(A397,Hospitalisation_Details__2[],5,FALSE)</f>
        <v>tier - 2</v>
      </c>
      <c r="O397" t="str">
        <f>VLOOKUP(A397,Hospitalisation_Details__2[],6,FALSE)</f>
        <v>tier - 3</v>
      </c>
      <c r="P397" t="str">
        <f>VLOOKUP(A397,Hospitalisation_Details__2[],7,FALSE)</f>
        <v>R1011</v>
      </c>
    </row>
    <row r="398" spans="1:16" x14ac:dyDescent="0.35">
      <c r="A398" t="str">
        <v>Id397</v>
      </c>
      <c r="B398" t="str">
        <f>VLOOKUP(A398,'Customer Names (2)'!A:B, 2,FALSE)</f>
        <v>Ms</v>
      </c>
      <c r="C398">
        <f>VLOOKUP(A398,Medical_Examinations[],2,FALSE)</f>
        <v>24.42</v>
      </c>
      <c r="D398">
        <f>VLOOKUP(A398,Medical_Examinations[],3,FALSE)</f>
        <v>11.31</v>
      </c>
      <c r="E398" t="str">
        <f>VLOOKUP(A398,Medical_Examinations[],4,FALSE)</f>
        <v>No</v>
      </c>
      <c r="F398" t="str">
        <f>VLOOKUP(A398,Medical_Examinations[],5,FALSE)</f>
        <v>No</v>
      </c>
      <c r="G398" t="str">
        <f>VLOOKUP(A398,Medical_Examinations[],6,FALSE)</f>
        <v>No</v>
      </c>
      <c r="H398">
        <f>VLOOKUP(A398,Medical_Examinations[],7,FALSE)</f>
        <v>0</v>
      </c>
      <c r="I398" t="str">
        <f>VLOOKUP(A398,Medical_Examinations[],8,FALSE)</f>
        <v>Yes</v>
      </c>
      <c r="J398" t="str">
        <f>VLOOKUP(A398,Medical_Examinations[],9,FALSE)</f>
        <v>Normal Weight</v>
      </c>
      <c r="K398" t="str">
        <f>VLOOKUP(A398,Medical_Examinations[],10,FALSE)</f>
        <v>Diabetes</v>
      </c>
      <c r="M398">
        <f>VLOOKUP(A398,Hospitalisation_Details__2[],4,FALSE)</f>
        <v>26125.67</v>
      </c>
      <c r="N398" t="str">
        <f>VLOOKUP(A398,Hospitalisation_Details__2[],5,FALSE)</f>
        <v>tier - 2</v>
      </c>
      <c r="O398" t="str">
        <f>VLOOKUP(A398,Hospitalisation_Details__2[],6,FALSE)</f>
        <v>tier - 1</v>
      </c>
      <c r="P398" t="str">
        <f>VLOOKUP(A398,Hospitalisation_Details__2[],7,FALSE)</f>
        <v>R1013</v>
      </c>
    </row>
    <row r="399" spans="1:16" x14ac:dyDescent="0.35">
      <c r="A399" t="str">
        <v>Id398</v>
      </c>
      <c r="B399" t="str">
        <f>VLOOKUP(A399,'Customer Names (2)'!A:B, 2,FALSE)</f>
        <v>Mr</v>
      </c>
      <c r="C399">
        <f>VLOOKUP(A399,Medical_Examinations[],2,FALSE)</f>
        <v>26.695</v>
      </c>
      <c r="D399">
        <f>VLOOKUP(A399,Medical_Examinations[],3,FALSE)</f>
        <v>4.68</v>
      </c>
      <c r="E399" t="str">
        <f>VLOOKUP(A399,Medical_Examinations[],4,FALSE)</f>
        <v>Yes</v>
      </c>
      <c r="F399" t="str">
        <f>VLOOKUP(A399,Medical_Examinations[],5,FALSE)</f>
        <v>No</v>
      </c>
      <c r="G399" t="str">
        <f>VLOOKUP(A399,Medical_Examinations[],6,FALSE)</f>
        <v>No</v>
      </c>
      <c r="H399">
        <f>VLOOKUP(A399,Medical_Examinations[],7,FALSE)</f>
        <v>2</v>
      </c>
      <c r="I399" t="str">
        <f>VLOOKUP(A399,Medical_Examinations[],8,FALSE)</f>
        <v>Yes</v>
      </c>
      <c r="J399" t="str">
        <f>VLOOKUP(A399,Medical_Examinations[],9,FALSE)</f>
        <v>Overweight</v>
      </c>
      <c r="K399" t="str">
        <f>VLOOKUP(A399,Medical_Examinations[],10,FALSE)</f>
        <v>Normal</v>
      </c>
      <c r="M399">
        <f>VLOOKUP(A399,Hospitalisation_Details__2[],4,FALSE)</f>
        <v>26109.33</v>
      </c>
      <c r="N399" t="str">
        <f>VLOOKUP(A399,Hospitalisation_Details__2[],5,FALSE)</f>
        <v>tier - 2</v>
      </c>
      <c r="O399" t="str">
        <f>VLOOKUP(A399,Hospitalisation_Details__2[],6,FALSE)</f>
        <v>tier - 3</v>
      </c>
      <c r="P399" t="str">
        <f>VLOOKUP(A399,Hospitalisation_Details__2[],7,FALSE)</f>
        <v>R1012</v>
      </c>
    </row>
    <row r="400" spans="1:16" x14ac:dyDescent="0.35">
      <c r="A400" t="str">
        <v>Id399</v>
      </c>
      <c r="B400" t="str">
        <f>VLOOKUP(A400,'Customer Names (2)'!A:B, 2,FALSE)</f>
        <v>Ms</v>
      </c>
      <c r="C400">
        <f>VLOOKUP(A400,Medical_Examinations[],2,FALSE)</f>
        <v>27.79</v>
      </c>
      <c r="D400">
        <f>VLOOKUP(A400,Medical_Examinations[],3,FALSE)</f>
        <v>6.05</v>
      </c>
      <c r="E400" t="str">
        <f>VLOOKUP(A400,Medical_Examinations[],4,FALSE)</f>
        <v>Yes</v>
      </c>
      <c r="F400" t="str">
        <f>VLOOKUP(A400,Medical_Examinations[],5,FALSE)</f>
        <v>yes</v>
      </c>
      <c r="G400" t="str">
        <f>VLOOKUP(A400,Medical_Examinations[],6,FALSE)</f>
        <v>No</v>
      </c>
      <c r="H400">
        <f>VLOOKUP(A400,Medical_Examinations[],7,FALSE)</f>
        <v>1</v>
      </c>
      <c r="I400" t="str">
        <f>VLOOKUP(A400,Medical_Examinations[],8,FALSE)</f>
        <v>Yes</v>
      </c>
      <c r="J400" t="str">
        <f>VLOOKUP(A400,Medical_Examinations[],9,FALSE)</f>
        <v>Overweight</v>
      </c>
      <c r="K400" t="str">
        <f>VLOOKUP(A400,Medical_Examinations[],10,FALSE)</f>
        <v>Prediabetes</v>
      </c>
      <c r="M400">
        <f>VLOOKUP(A400,Hospitalisation_Details__2[],4,FALSE)</f>
        <v>26026.97</v>
      </c>
      <c r="N400" t="str">
        <f>VLOOKUP(A400,Hospitalisation_Details__2[],5,FALSE)</f>
        <v>tier - 2</v>
      </c>
      <c r="O400" t="str">
        <f>VLOOKUP(A400,Hospitalisation_Details__2[],6,FALSE)</f>
        <v>tier - 3</v>
      </c>
      <c r="P400" t="str">
        <f>VLOOKUP(A400,Hospitalisation_Details__2[],7,FALSE)</f>
        <v>R1011</v>
      </c>
    </row>
    <row r="401" spans="1:16" x14ac:dyDescent="0.35">
      <c r="A401" t="str">
        <v>Id400</v>
      </c>
      <c r="B401" t="str">
        <f>VLOOKUP(A401,'Customer Names (2)'!A:B, 2,FALSE)</f>
        <v>Ms</v>
      </c>
      <c r="C401">
        <f>VLOOKUP(A401,Medical_Examinations[],2,FALSE)</f>
        <v>32.68</v>
      </c>
      <c r="D401">
        <f>VLOOKUP(A401,Medical_Examinations[],3,FALSE)</f>
        <v>4.68</v>
      </c>
      <c r="E401" t="str">
        <f>VLOOKUP(A401,Medical_Examinations[],4,FALSE)</f>
        <v>Yes</v>
      </c>
      <c r="F401" t="str">
        <f>VLOOKUP(A401,Medical_Examinations[],5,FALSE)</f>
        <v>No</v>
      </c>
      <c r="G401" t="str">
        <f>VLOOKUP(A401,Medical_Examinations[],6,FALSE)</f>
        <v>No</v>
      </c>
      <c r="H401">
        <f>VLOOKUP(A401,Medical_Examinations[],7,FALSE)</f>
        <v>0</v>
      </c>
      <c r="I401" t="str">
        <f>VLOOKUP(A401,Medical_Examinations[],8,FALSE)</f>
        <v>No</v>
      </c>
      <c r="J401" t="str">
        <f>VLOOKUP(A401,Medical_Examinations[],9,FALSE)</f>
        <v>Obesity</v>
      </c>
      <c r="K401" t="str">
        <f>VLOOKUP(A401,Medical_Examinations[],10,FALSE)</f>
        <v>Normal</v>
      </c>
      <c r="M401">
        <f>VLOOKUP(A401,Hospitalisation_Details__2[],4,FALSE)</f>
        <v>26018.95</v>
      </c>
      <c r="N401" t="str">
        <f>VLOOKUP(A401,Hospitalisation_Details__2[],5,FALSE)</f>
        <v>tier - 2</v>
      </c>
      <c r="O401" t="str">
        <f>VLOOKUP(A401,Hospitalisation_Details__2[],6,FALSE)</f>
        <v>tier - 2</v>
      </c>
      <c r="P401" t="str">
        <f>VLOOKUP(A401,Hospitalisation_Details__2[],7,FALSE)</f>
        <v>R1012</v>
      </c>
    </row>
    <row r="402" spans="1:16" x14ac:dyDescent="0.35">
      <c r="A402" t="str">
        <v>Id401</v>
      </c>
      <c r="B402" t="str">
        <f>VLOOKUP(A402,'Customer Names (2)'!A:B, 2,FALSE)</f>
        <v>Mr</v>
      </c>
      <c r="C402">
        <f>VLOOKUP(A402,Medical_Examinations[],2,FALSE)</f>
        <v>26.4</v>
      </c>
      <c r="D402">
        <f>VLOOKUP(A402,Medical_Examinations[],3,FALSE)</f>
        <v>9.5</v>
      </c>
      <c r="E402" t="str">
        <f>VLOOKUP(A402,Medical_Examinations[],4,FALSE)</f>
        <v>Yes</v>
      </c>
      <c r="F402" t="str">
        <f>VLOOKUP(A402,Medical_Examinations[],5,FALSE)</f>
        <v>No</v>
      </c>
      <c r="G402" t="str">
        <f>VLOOKUP(A402,Medical_Examinations[],6,FALSE)</f>
        <v>No</v>
      </c>
      <c r="H402">
        <f>VLOOKUP(A402,Medical_Examinations[],7,FALSE)</f>
        <v>2</v>
      </c>
      <c r="I402" t="str">
        <f>VLOOKUP(A402,Medical_Examinations[],8,FALSE)</f>
        <v>No</v>
      </c>
      <c r="J402" t="str">
        <f>VLOOKUP(A402,Medical_Examinations[],9,FALSE)</f>
        <v>Overweight</v>
      </c>
      <c r="K402" t="str">
        <f>VLOOKUP(A402,Medical_Examinations[],10,FALSE)</f>
        <v>Diabetes</v>
      </c>
      <c r="M402">
        <f>VLOOKUP(A402,Hospitalisation_Details__2[],4,FALSE)</f>
        <v>25992.82</v>
      </c>
      <c r="N402" t="str">
        <f>VLOOKUP(A402,Hospitalisation_Details__2[],5,FALSE)</f>
        <v>tier - 2</v>
      </c>
      <c r="O402" t="str">
        <f>VLOOKUP(A402,Hospitalisation_Details__2[],6,FALSE)</f>
        <v>tier - 2</v>
      </c>
      <c r="P402" t="str">
        <f>VLOOKUP(A402,Hospitalisation_Details__2[],7,FALSE)</f>
        <v>R1013</v>
      </c>
    </row>
    <row r="403" spans="1:16" x14ac:dyDescent="0.35">
      <c r="A403" t="str">
        <v>Id402</v>
      </c>
      <c r="B403" t="str">
        <f>VLOOKUP(A403,'Customer Names (2)'!A:B, 2,FALSE)</f>
        <v>Ms</v>
      </c>
      <c r="C403">
        <f>VLOOKUP(A403,Medical_Examinations[],2,FALSE)</f>
        <v>23.655000000000001</v>
      </c>
      <c r="D403">
        <f>VLOOKUP(A403,Medical_Examinations[],3,FALSE)</f>
        <v>10.84</v>
      </c>
      <c r="E403" t="str">
        <f>VLOOKUP(A403,Medical_Examinations[],4,FALSE)</f>
        <v>Yes</v>
      </c>
      <c r="F403" t="str">
        <f>VLOOKUP(A403,Medical_Examinations[],5,FALSE)</f>
        <v>No</v>
      </c>
      <c r="G403" t="str">
        <f>VLOOKUP(A403,Medical_Examinations[],6,FALSE)</f>
        <v>Yes</v>
      </c>
      <c r="H403">
        <f>VLOOKUP(A403,Medical_Examinations[],7,FALSE)</f>
        <v>1</v>
      </c>
      <c r="I403" t="str">
        <f>VLOOKUP(A403,Medical_Examinations[],8,FALSE)</f>
        <v>Yes</v>
      </c>
      <c r="J403" t="str">
        <f>VLOOKUP(A403,Medical_Examinations[],9,FALSE)</f>
        <v>Normal Weight</v>
      </c>
      <c r="K403" t="str">
        <f>VLOOKUP(A403,Medical_Examinations[],10,FALSE)</f>
        <v>Diabetes</v>
      </c>
      <c r="M403">
        <f>VLOOKUP(A403,Hospitalisation_Details__2[],4,FALSE)</f>
        <v>25678.78</v>
      </c>
      <c r="N403" t="str">
        <f>VLOOKUP(A403,Hospitalisation_Details__2[],5,FALSE)</f>
        <v>tier - 2</v>
      </c>
      <c r="O403" t="str">
        <f>VLOOKUP(A403,Hospitalisation_Details__2[],6,FALSE)</f>
        <v>tier - 3</v>
      </c>
      <c r="P403" t="str">
        <f>VLOOKUP(A403,Hospitalisation_Details__2[],7,FALSE)</f>
        <v>R1012</v>
      </c>
    </row>
    <row r="404" spans="1:16" x14ac:dyDescent="0.35">
      <c r="A404" t="str">
        <v>Id403</v>
      </c>
      <c r="B404" t="str">
        <f>VLOOKUP(A404,'Customer Names (2)'!A:B, 2,FALSE)</f>
        <v>Ms</v>
      </c>
      <c r="C404">
        <f>VLOOKUP(A404,Medical_Examinations[],2,FALSE)</f>
        <v>27.36</v>
      </c>
      <c r="D404">
        <f>VLOOKUP(A404,Medical_Examinations[],3,FALSE)</f>
        <v>5.88</v>
      </c>
      <c r="E404" t="str">
        <f>VLOOKUP(A404,Medical_Examinations[],4,FALSE)</f>
        <v>No</v>
      </c>
      <c r="F404" t="str">
        <f>VLOOKUP(A404,Medical_Examinations[],5,FALSE)</f>
        <v>No</v>
      </c>
      <c r="G404" t="str">
        <f>VLOOKUP(A404,Medical_Examinations[],6,FALSE)</f>
        <v>No</v>
      </c>
      <c r="H404">
        <f>VLOOKUP(A404,Medical_Examinations[],7,FALSE)</f>
        <v>2</v>
      </c>
      <c r="I404" t="str">
        <f>VLOOKUP(A404,Medical_Examinations[],8,FALSE)</f>
        <v>No</v>
      </c>
      <c r="J404" t="str">
        <f>VLOOKUP(A404,Medical_Examinations[],9,FALSE)</f>
        <v>Overweight</v>
      </c>
      <c r="K404" t="str">
        <f>VLOOKUP(A404,Medical_Examinations[],10,FALSE)</f>
        <v>Prediabetes</v>
      </c>
      <c r="M404">
        <f>VLOOKUP(A404,Hospitalisation_Details__2[],4,FALSE)</f>
        <v>25656.58</v>
      </c>
      <c r="N404" t="str">
        <f>VLOOKUP(A404,Hospitalisation_Details__2[],5,FALSE)</f>
        <v>tier - 2</v>
      </c>
      <c r="O404" t="str">
        <f>VLOOKUP(A404,Hospitalisation_Details__2[],6,FALSE)</f>
        <v>tier - 3</v>
      </c>
      <c r="P404" t="str">
        <f>VLOOKUP(A404,Hospitalisation_Details__2[],7,FALSE)</f>
        <v>R1024</v>
      </c>
    </row>
    <row r="405" spans="1:16" x14ac:dyDescent="0.35">
      <c r="A405" t="str">
        <v>Id404</v>
      </c>
      <c r="B405" t="str">
        <f>VLOOKUP(A405,'Customer Names (2)'!A:B, 2,FALSE)</f>
        <v>Mr</v>
      </c>
      <c r="C405">
        <f>VLOOKUP(A405,Medical_Examinations[],2,FALSE)</f>
        <v>27.82</v>
      </c>
      <c r="D405">
        <f>VLOOKUP(A405,Medical_Examinations[],3,FALSE)</f>
        <v>5.24</v>
      </c>
      <c r="E405" t="str">
        <f>VLOOKUP(A405,Medical_Examinations[],4,FALSE)</f>
        <v>Yes</v>
      </c>
      <c r="F405" t="str">
        <f>VLOOKUP(A405,Medical_Examinations[],5,FALSE)</f>
        <v>No</v>
      </c>
      <c r="G405" t="str">
        <f>VLOOKUP(A405,Medical_Examinations[],6,FALSE)</f>
        <v>No</v>
      </c>
      <c r="H405">
        <f>VLOOKUP(A405,Medical_Examinations[],7,FALSE)</f>
        <v>0</v>
      </c>
      <c r="I405" t="str">
        <f>VLOOKUP(A405,Medical_Examinations[],8,FALSE)</f>
        <v>Yes</v>
      </c>
      <c r="J405" t="str">
        <f>VLOOKUP(A405,Medical_Examinations[],9,FALSE)</f>
        <v>Overweight</v>
      </c>
      <c r="K405" t="str">
        <f>VLOOKUP(A405,Medical_Examinations[],10,FALSE)</f>
        <v>Normal</v>
      </c>
      <c r="M405">
        <f>VLOOKUP(A405,Hospitalisation_Details__2[],4,FALSE)</f>
        <v>25648.98</v>
      </c>
      <c r="N405" t="str">
        <f>VLOOKUP(A405,Hospitalisation_Details__2[],5,FALSE)</f>
        <v>tier - 2</v>
      </c>
      <c r="O405" t="str">
        <f>VLOOKUP(A405,Hospitalisation_Details__2[],6,FALSE)</f>
        <v>tier - 1</v>
      </c>
      <c r="P405" t="str">
        <f>VLOOKUP(A405,Hospitalisation_Details__2[],7,FALSE)</f>
        <v>R1011</v>
      </c>
    </row>
    <row r="406" spans="1:16" x14ac:dyDescent="0.35">
      <c r="A406" t="str">
        <v>Id405</v>
      </c>
      <c r="B406" t="str">
        <f>VLOOKUP(A406,'Customer Names (2)'!A:B, 2,FALSE)</f>
        <v>Mr</v>
      </c>
      <c r="C406">
        <f>VLOOKUP(A406,Medical_Examinations[],2,FALSE)</f>
        <v>25.46</v>
      </c>
      <c r="D406">
        <f>VLOOKUP(A406,Medical_Examinations[],3,FALSE)</f>
        <v>11.75</v>
      </c>
      <c r="E406" t="str">
        <f>VLOOKUP(A406,Medical_Examinations[],4,FALSE)</f>
        <v>No</v>
      </c>
      <c r="F406" t="str">
        <f>VLOOKUP(A406,Medical_Examinations[],5,FALSE)</f>
        <v>No</v>
      </c>
      <c r="G406" t="str">
        <f>VLOOKUP(A406,Medical_Examinations[],6,FALSE)</f>
        <v>No</v>
      </c>
      <c r="H406">
        <f>VLOOKUP(A406,Medical_Examinations[],7,FALSE)</f>
        <v>0</v>
      </c>
      <c r="I406" t="str">
        <f>VLOOKUP(A406,Medical_Examinations[],8,FALSE)</f>
        <v>No</v>
      </c>
      <c r="J406" t="str">
        <f>VLOOKUP(A406,Medical_Examinations[],9,FALSE)</f>
        <v>Overweight</v>
      </c>
      <c r="K406" t="str">
        <f>VLOOKUP(A406,Medical_Examinations[],10,FALSE)</f>
        <v>Diabetes</v>
      </c>
      <c r="M406">
        <f>VLOOKUP(A406,Hospitalisation_Details__2[],4,FALSE)</f>
        <v>25517.11</v>
      </c>
      <c r="N406" t="str">
        <f>VLOOKUP(A406,Hospitalisation_Details__2[],5,FALSE)</f>
        <v>tier - 2</v>
      </c>
      <c r="O406" t="str">
        <f>VLOOKUP(A406,Hospitalisation_Details__2[],6,FALSE)</f>
        <v>tier - 3</v>
      </c>
      <c r="P406" t="str">
        <f>VLOOKUP(A406,Hospitalisation_Details__2[],7,FALSE)</f>
        <v>R1017</v>
      </c>
    </row>
    <row r="407" spans="1:16" x14ac:dyDescent="0.35">
      <c r="A407" t="str">
        <v>Id406</v>
      </c>
      <c r="B407" t="str">
        <f>VLOOKUP(A407,'Customer Names (2)'!A:B, 2,FALSE)</f>
        <v>Mr</v>
      </c>
      <c r="C407">
        <f>VLOOKUP(A407,Medical_Examinations[],2,FALSE)</f>
        <v>25.1</v>
      </c>
      <c r="D407">
        <f>VLOOKUP(A407,Medical_Examinations[],3,FALSE)</f>
        <v>6.97</v>
      </c>
      <c r="E407" t="str">
        <f>VLOOKUP(A407,Medical_Examinations[],4,FALSE)</f>
        <v>No</v>
      </c>
      <c r="F407" t="str">
        <f>VLOOKUP(A407,Medical_Examinations[],5,FALSE)</f>
        <v>No</v>
      </c>
      <c r="G407" t="str">
        <f>VLOOKUP(A407,Medical_Examinations[],6,FALSE)</f>
        <v>No</v>
      </c>
      <c r="H407">
        <f>VLOOKUP(A407,Medical_Examinations[],7,FALSE)</f>
        <v>0</v>
      </c>
      <c r="I407" t="str">
        <f>VLOOKUP(A407,Medical_Examinations[],8,FALSE)</f>
        <v>Yes</v>
      </c>
      <c r="J407" t="str">
        <f>VLOOKUP(A407,Medical_Examinations[],9,FALSE)</f>
        <v>Overweight</v>
      </c>
      <c r="K407" t="str">
        <f>VLOOKUP(A407,Medical_Examinations[],10,FALSE)</f>
        <v>Diabetes</v>
      </c>
      <c r="M407">
        <f>VLOOKUP(A407,Hospitalisation_Details__2[],4,FALSE)</f>
        <v>25382.3</v>
      </c>
      <c r="N407" t="str">
        <f>VLOOKUP(A407,Hospitalisation_Details__2[],5,FALSE)</f>
        <v>tier - 2</v>
      </c>
      <c r="O407" t="str">
        <f>VLOOKUP(A407,Hospitalisation_Details__2[],6,FALSE)</f>
        <v>tier - 2</v>
      </c>
      <c r="P407" t="str">
        <f>VLOOKUP(A407,Hospitalisation_Details__2[],7,FALSE)</f>
        <v>R1011</v>
      </c>
    </row>
    <row r="408" spans="1:16" x14ac:dyDescent="0.35">
      <c r="A408" t="str">
        <v>Id407</v>
      </c>
      <c r="B408" t="str">
        <f>VLOOKUP(A408,'Customer Names (2)'!A:B, 2,FALSE)</f>
        <v>Mr</v>
      </c>
      <c r="C408">
        <f>VLOOKUP(A408,Medical_Examinations[],2,FALSE)</f>
        <v>32.11</v>
      </c>
      <c r="D408">
        <f>VLOOKUP(A408,Medical_Examinations[],3,FALSE)</f>
        <v>4.76</v>
      </c>
      <c r="E408" t="str">
        <f>VLOOKUP(A408,Medical_Examinations[],4,FALSE)</f>
        <v>No</v>
      </c>
      <c r="F408" t="str">
        <f>VLOOKUP(A408,Medical_Examinations[],5,FALSE)</f>
        <v>No</v>
      </c>
      <c r="G408" t="str">
        <f>VLOOKUP(A408,Medical_Examinations[],6,FALSE)</f>
        <v>No</v>
      </c>
      <c r="H408">
        <f>VLOOKUP(A408,Medical_Examinations[],7,FALSE)</f>
        <v>2</v>
      </c>
      <c r="I408" t="str">
        <f>VLOOKUP(A408,Medical_Examinations[],8,FALSE)</f>
        <v>No</v>
      </c>
      <c r="J408" t="str">
        <f>VLOOKUP(A408,Medical_Examinations[],9,FALSE)</f>
        <v>Obesity</v>
      </c>
      <c r="K408" t="str">
        <f>VLOOKUP(A408,Medical_Examinations[],10,FALSE)</f>
        <v>Normal</v>
      </c>
      <c r="M408">
        <f>VLOOKUP(A408,Hospitalisation_Details__2[],4,FALSE)</f>
        <v>25333.33</v>
      </c>
      <c r="N408" t="str">
        <f>VLOOKUP(A408,Hospitalisation_Details__2[],5,FALSE)</f>
        <v>tier - 2</v>
      </c>
      <c r="O408" t="str">
        <f>VLOOKUP(A408,Hospitalisation_Details__2[],6,FALSE)</f>
        <v>tier - 2</v>
      </c>
      <c r="P408" t="str">
        <f>VLOOKUP(A408,Hospitalisation_Details__2[],7,FALSE)</f>
        <v>R1017</v>
      </c>
    </row>
    <row r="409" spans="1:16" x14ac:dyDescent="0.35">
      <c r="A409" t="str">
        <v>Id408</v>
      </c>
      <c r="B409" t="str">
        <f>VLOOKUP(A409,'Customer Names (2)'!A:B, 2,FALSE)</f>
        <v>Mr</v>
      </c>
      <c r="C409">
        <f>VLOOKUP(A409,Medical_Examinations[],2,FALSE)</f>
        <v>29.8</v>
      </c>
      <c r="D409">
        <f>VLOOKUP(A409,Medical_Examinations[],3,FALSE)</f>
        <v>8.24</v>
      </c>
      <c r="E409" t="str">
        <f>VLOOKUP(A409,Medical_Examinations[],4,FALSE)</f>
        <v>Yes</v>
      </c>
      <c r="F409" t="str">
        <f>VLOOKUP(A409,Medical_Examinations[],5,FALSE)</f>
        <v>No</v>
      </c>
      <c r="G409" t="str">
        <f>VLOOKUP(A409,Medical_Examinations[],6,FALSE)</f>
        <v>No</v>
      </c>
      <c r="H409">
        <f>VLOOKUP(A409,Medical_Examinations[],7,FALSE)</f>
        <v>1</v>
      </c>
      <c r="I409" t="str">
        <f>VLOOKUP(A409,Medical_Examinations[],8,FALSE)</f>
        <v>Yes</v>
      </c>
      <c r="J409" t="str">
        <f>VLOOKUP(A409,Medical_Examinations[],9,FALSE)</f>
        <v>Overweight</v>
      </c>
      <c r="K409" t="str">
        <f>VLOOKUP(A409,Medical_Examinations[],10,FALSE)</f>
        <v>Diabetes</v>
      </c>
      <c r="M409">
        <f>VLOOKUP(A409,Hospitalisation_Details__2[],4,FALSE)</f>
        <v>25309.49</v>
      </c>
      <c r="N409" t="str">
        <f>VLOOKUP(A409,Hospitalisation_Details__2[],5,FALSE)</f>
        <v>tier - 2</v>
      </c>
      <c r="O409" t="str">
        <f>VLOOKUP(A409,Hospitalisation_Details__2[],6,FALSE)</f>
        <v>tier - 1</v>
      </c>
      <c r="P409" t="str">
        <f>VLOOKUP(A409,Hospitalisation_Details__2[],7,FALSE)</f>
        <v>R1011</v>
      </c>
    </row>
    <row r="410" spans="1:16" x14ac:dyDescent="0.35">
      <c r="A410" t="str">
        <v>Id409</v>
      </c>
      <c r="B410" t="str">
        <f>VLOOKUP(A410,'Customer Names (2)'!A:B, 2,FALSE)</f>
        <v>Mr</v>
      </c>
      <c r="C410">
        <f>VLOOKUP(A410,Medical_Examinations[],2,FALSE)</f>
        <v>24.01</v>
      </c>
      <c r="D410">
        <f>VLOOKUP(A410,Medical_Examinations[],3,FALSE)</f>
        <v>4.76</v>
      </c>
      <c r="E410" t="str">
        <f>VLOOKUP(A410,Medical_Examinations[],4,FALSE)</f>
        <v>No</v>
      </c>
      <c r="F410" t="str">
        <f>VLOOKUP(A410,Medical_Examinations[],5,FALSE)</f>
        <v>No</v>
      </c>
      <c r="G410" t="str">
        <f>VLOOKUP(A410,Medical_Examinations[],6,FALSE)</f>
        <v>No</v>
      </c>
      <c r="H410">
        <f>VLOOKUP(A410,Medical_Examinations[],7,FALSE)</f>
        <v>1</v>
      </c>
      <c r="I410" t="str">
        <f>VLOOKUP(A410,Medical_Examinations[],8,FALSE)</f>
        <v>Yes</v>
      </c>
      <c r="J410" t="str">
        <f>VLOOKUP(A410,Medical_Examinations[],9,FALSE)</f>
        <v>Normal Weight</v>
      </c>
      <c r="K410" t="str">
        <f>VLOOKUP(A410,Medical_Examinations[],10,FALSE)</f>
        <v>Normal</v>
      </c>
      <c r="M410">
        <f>VLOOKUP(A410,Hospitalisation_Details__2[],4,FALSE)</f>
        <v>25127.22</v>
      </c>
      <c r="N410" t="str">
        <f>VLOOKUP(A410,Hospitalisation_Details__2[],5,FALSE)</f>
        <v>tier - 2</v>
      </c>
      <c r="O410" t="str">
        <f>VLOOKUP(A410,Hospitalisation_Details__2[],6,FALSE)</f>
        <v>tier - 3</v>
      </c>
      <c r="P410" t="str">
        <f>VLOOKUP(A410,Hospitalisation_Details__2[],7,FALSE)</f>
        <v>R1011</v>
      </c>
    </row>
    <row r="411" spans="1:16" x14ac:dyDescent="0.35">
      <c r="A411" t="str">
        <v>Id410</v>
      </c>
      <c r="B411" t="str">
        <f>VLOOKUP(A411,'Customer Names (2)'!A:B, 2,FALSE)</f>
        <v>Ms</v>
      </c>
      <c r="C411">
        <f>VLOOKUP(A411,Medical_Examinations[],2,FALSE)</f>
        <v>23.21</v>
      </c>
      <c r="D411">
        <f>VLOOKUP(A411,Medical_Examinations[],3,FALSE)</f>
        <v>6.03</v>
      </c>
      <c r="E411" t="str">
        <f>VLOOKUP(A411,Medical_Examinations[],4,FALSE)</f>
        <v>No</v>
      </c>
      <c r="F411" t="str">
        <f>VLOOKUP(A411,Medical_Examinations[],5,FALSE)</f>
        <v>No</v>
      </c>
      <c r="G411" t="str">
        <f>VLOOKUP(A411,Medical_Examinations[],6,FALSE)</f>
        <v>No</v>
      </c>
      <c r="H411">
        <f>VLOOKUP(A411,Medical_Examinations[],7,FALSE)</f>
        <v>1</v>
      </c>
      <c r="I411" t="str">
        <f>VLOOKUP(A411,Medical_Examinations[],8,FALSE)</f>
        <v>No</v>
      </c>
      <c r="J411" t="str">
        <f>VLOOKUP(A411,Medical_Examinations[],9,FALSE)</f>
        <v>Normal Weight</v>
      </c>
      <c r="K411" t="str">
        <f>VLOOKUP(A411,Medical_Examinations[],10,FALSE)</f>
        <v>Prediabetes</v>
      </c>
      <c r="M411">
        <f>VLOOKUP(A411,Hospitalisation_Details__2[],4,FALSE)</f>
        <v>25081.77</v>
      </c>
      <c r="N411" t="str">
        <f>VLOOKUP(A411,Hospitalisation_Details__2[],5,FALSE)</f>
        <v>tier - 2</v>
      </c>
      <c r="O411" t="str">
        <f>VLOOKUP(A411,Hospitalisation_Details__2[],6,FALSE)</f>
        <v>tier - 2</v>
      </c>
      <c r="P411" t="str">
        <f>VLOOKUP(A411,Hospitalisation_Details__2[],7,FALSE)</f>
        <v>R1013</v>
      </c>
    </row>
    <row r="412" spans="1:16" x14ac:dyDescent="0.35">
      <c r="A412" t="str">
        <v>Id411</v>
      </c>
      <c r="B412" t="str">
        <f>VLOOKUP(A412,'Customer Names (2)'!A:B, 2,FALSE)</f>
        <v>Ms</v>
      </c>
      <c r="C412">
        <f>VLOOKUP(A412,Medical_Examinations[],2,FALSE)</f>
        <v>21.2</v>
      </c>
      <c r="D412">
        <f>VLOOKUP(A412,Medical_Examinations[],3,FALSE)</f>
        <v>4.07</v>
      </c>
      <c r="E412" t="str">
        <f>VLOOKUP(A412,Medical_Examinations[],4,FALSE)</f>
        <v>Yes</v>
      </c>
      <c r="F412" t="str">
        <f>VLOOKUP(A412,Medical_Examinations[],5,FALSE)</f>
        <v>No</v>
      </c>
      <c r="G412" t="str">
        <f>VLOOKUP(A412,Medical_Examinations[],6,FALSE)</f>
        <v>No</v>
      </c>
      <c r="H412">
        <f>VLOOKUP(A412,Medical_Examinations[],7,FALSE)</f>
        <v>1</v>
      </c>
      <c r="I412" t="str">
        <f>VLOOKUP(A412,Medical_Examinations[],8,FALSE)</f>
        <v>Yes</v>
      </c>
      <c r="J412" t="str">
        <f>VLOOKUP(A412,Medical_Examinations[],9,FALSE)</f>
        <v>Normal Weight</v>
      </c>
      <c r="K412" t="str">
        <f>VLOOKUP(A412,Medical_Examinations[],10,FALSE)</f>
        <v>Normal</v>
      </c>
      <c r="M412">
        <f>VLOOKUP(A412,Hospitalisation_Details__2[],4,FALSE)</f>
        <v>25075.97</v>
      </c>
      <c r="N412" t="str">
        <f>VLOOKUP(A412,Hospitalisation_Details__2[],5,FALSE)</f>
        <v>tier - 2</v>
      </c>
      <c r="O412" t="str">
        <f>VLOOKUP(A412,Hospitalisation_Details__2[],6,FALSE)</f>
        <v>tier - 2</v>
      </c>
      <c r="P412" t="str">
        <f>VLOOKUP(A412,Hospitalisation_Details__2[],7,FALSE)</f>
        <v>R1011</v>
      </c>
    </row>
    <row r="413" spans="1:16" x14ac:dyDescent="0.35">
      <c r="A413" t="str">
        <v>Id412</v>
      </c>
      <c r="B413" t="str">
        <f>VLOOKUP(A413,'Customer Names (2)'!A:B, 2,FALSE)</f>
        <v>Mr</v>
      </c>
      <c r="C413">
        <f>VLOOKUP(A413,Medical_Examinations[],2,FALSE)</f>
        <v>28.215</v>
      </c>
      <c r="D413">
        <f>VLOOKUP(A413,Medical_Examinations[],3,FALSE)</f>
        <v>8.26</v>
      </c>
      <c r="E413" t="str">
        <f>VLOOKUP(A413,Medical_Examinations[],4,FALSE)</f>
        <v>Yes</v>
      </c>
      <c r="F413" t="str">
        <f>VLOOKUP(A413,Medical_Examinations[],5,FALSE)</f>
        <v>No</v>
      </c>
      <c r="G413" t="str">
        <f>VLOOKUP(A413,Medical_Examinations[],6,FALSE)</f>
        <v>No</v>
      </c>
      <c r="H413">
        <f>VLOOKUP(A413,Medical_Examinations[],7,FALSE)</f>
        <v>1</v>
      </c>
      <c r="I413" t="str">
        <f>VLOOKUP(A413,Medical_Examinations[],8,FALSE)</f>
        <v>Yes</v>
      </c>
      <c r="J413" t="str">
        <f>VLOOKUP(A413,Medical_Examinations[],9,FALSE)</f>
        <v>Overweight</v>
      </c>
      <c r="K413" t="str">
        <f>VLOOKUP(A413,Medical_Examinations[],10,FALSE)</f>
        <v>Diabetes</v>
      </c>
      <c r="M413">
        <f>VLOOKUP(A413,Hospitalisation_Details__2[],4,FALSE)</f>
        <v>24915.22</v>
      </c>
      <c r="N413" t="str">
        <f>VLOOKUP(A413,Hospitalisation_Details__2[],5,FALSE)</f>
        <v>tier - 2</v>
      </c>
      <c r="O413" t="str">
        <f>VLOOKUP(A413,Hospitalisation_Details__2[],6,FALSE)</f>
        <v>tier - 3</v>
      </c>
      <c r="P413" t="str">
        <f>VLOOKUP(A413,Hospitalisation_Details__2[],7,FALSE)</f>
        <v>R1012</v>
      </c>
    </row>
    <row r="414" spans="1:16" x14ac:dyDescent="0.35">
      <c r="A414" t="str">
        <v>Id413</v>
      </c>
      <c r="B414" t="str">
        <f>VLOOKUP(A414,'Customer Names (2)'!A:B, 2,FALSE)</f>
        <v>Ms</v>
      </c>
      <c r="C414">
        <f>VLOOKUP(A414,Medical_Examinations[],2,FALSE)</f>
        <v>38.094999999999999</v>
      </c>
      <c r="D414">
        <f>VLOOKUP(A414,Medical_Examinations[],3,FALSE)</f>
        <v>4.76</v>
      </c>
      <c r="E414" t="str">
        <f>VLOOKUP(A414,Medical_Examinations[],4,FALSE)</f>
        <v>No</v>
      </c>
      <c r="F414" t="str">
        <f>VLOOKUP(A414,Medical_Examinations[],5,FALSE)</f>
        <v>No</v>
      </c>
      <c r="G414" t="str">
        <f>VLOOKUP(A414,Medical_Examinations[],6,FALSE)</f>
        <v>No</v>
      </c>
      <c r="H414">
        <f>VLOOKUP(A414,Medical_Examinations[],7,FALSE)</f>
        <v>1</v>
      </c>
      <c r="I414" t="str">
        <f>VLOOKUP(A414,Medical_Examinations[],8,FALSE)</f>
        <v>No</v>
      </c>
      <c r="J414" t="str">
        <f>VLOOKUP(A414,Medical_Examinations[],9,FALSE)</f>
        <v>Obesity</v>
      </c>
      <c r="K414" t="str">
        <f>VLOOKUP(A414,Medical_Examinations[],10,FALSE)</f>
        <v>Normal</v>
      </c>
      <c r="M414">
        <f>VLOOKUP(A414,Hospitalisation_Details__2[],4,FALSE)</f>
        <v>24915.05</v>
      </c>
      <c r="N414" t="str">
        <f>VLOOKUP(A414,Hospitalisation_Details__2[],5,FALSE)</f>
        <v>tier - 2</v>
      </c>
      <c r="O414" t="str">
        <f>VLOOKUP(A414,Hospitalisation_Details__2[],6,FALSE)</f>
        <v>tier - 1</v>
      </c>
      <c r="P414" t="str">
        <f>VLOOKUP(A414,Hospitalisation_Details__2[],7,FALSE)</f>
        <v>R1024</v>
      </c>
    </row>
    <row r="415" spans="1:16" x14ac:dyDescent="0.35">
      <c r="A415" t="str">
        <v>Id414</v>
      </c>
      <c r="B415" t="str">
        <f>VLOOKUP(A415,'Customer Names (2)'!A:B, 2,FALSE)</f>
        <v>Ms</v>
      </c>
      <c r="C415">
        <f>VLOOKUP(A415,Medical_Examinations[],2,FALSE)</f>
        <v>22.61</v>
      </c>
      <c r="D415">
        <f>VLOOKUP(A415,Medical_Examinations[],3,FALSE)</f>
        <v>6.13</v>
      </c>
      <c r="E415" t="str">
        <f>VLOOKUP(A415,Medical_Examinations[],4,FALSE)</f>
        <v>Yes</v>
      </c>
      <c r="F415" t="str">
        <f>VLOOKUP(A415,Medical_Examinations[],5,FALSE)</f>
        <v>No</v>
      </c>
      <c r="G415" t="str">
        <f>VLOOKUP(A415,Medical_Examinations[],6,FALSE)</f>
        <v>Yes</v>
      </c>
      <c r="H415">
        <f>VLOOKUP(A415,Medical_Examinations[],7,FALSE)</f>
        <v>1</v>
      </c>
      <c r="I415" t="str">
        <f>VLOOKUP(A415,Medical_Examinations[],8,FALSE)</f>
        <v>Yes</v>
      </c>
      <c r="J415" t="str">
        <f>VLOOKUP(A415,Medical_Examinations[],9,FALSE)</f>
        <v>Normal Weight</v>
      </c>
      <c r="K415" t="str">
        <f>VLOOKUP(A415,Medical_Examinations[],10,FALSE)</f>
        <v>Prediabetes</v>
      </c>
      <c r="M415">
        <f>VLOOKUP(A415,Hospitalisation_Details__2[],4,FALSE)</f>
        <v>24873.38</v>
      </c>
      <c r="N415" t="str">
        <f>VLOOKUP(A415,Hospitalisation_Details__2[],5,FALSE)</f>
        <v>tier - 2</v>
      </c>
      <c r="O415" t="str">
        <f>VLOOKUP(A415,Hospitalisation_Details__2[],6,FALSE)</f>
        <v>tier - 1</v>
      </c>
      <c r="P415" t="str">
        <f>VLOOKUP(A415,Hospitalisation_Details__2[],7,FALSE)</f>
        <v>R1024</v>
      </c>
    </row>
    <row r="416" spans="1:16" x14ac:dyDescent="0.35">
      <c r="A416" t="str">
        <v>Id415</v>
      </c>
      <c r="B416" t="str">
        <f>VLOOKUP(A416,'Customer Names (2)'!A:B, 2,FALSE)</f>
        <v>Mr</v>
      </c>
      <c r="C416">
        <f>VLOOKUP(A416,Medical_Examinations[],2,FALSE)</f>
        <v>24.32</v>
      </c>
      <c r="D416">
        <f>VLOOKUP(A416,Medical_Examinations[],3,FALSE)</f>
        <v>10.47</v>
      </c>
      <c r="E416" t="str">
        <f>VLOOKUP(A416,Medical_Examinations[],4,FALSE)</f>
        <v>Yes</v>
      </c>
      <c r="F416" t="str">
        <f>VLOOKUP(A416,Medical_Examinations[],5,FALSE)</f>
        <v>No</v>
      </c>
      <c r="G416" t="str">
        <f>VLOOKUP(A416,Medical_Examinations[],6,FALSE)</f>
        <v>No</v>
      </c>
      <c r="H416">
        <f>VLOOKUP(A416,Medical_Examinations[],7,FALSE)</f>
        <v>2</v>
      </c>
      <c r="I416" t="str">
        <f>VLOOKUP(A416,Medical_Examinations[],8,FALSE)</f>
        <v>Yes</v>
      </c>
      <c r="J416" t="str">
        <f>VLOOKUP(A416,Medical_Examinations[],9,FALSE)</f>
        <v>Normal Weight</v>
      </c>
      <c r="K416" t="str">
        <f>VLOOKUP(A416,Medical_Examinations[],10,FALSE)</f>
        <v>Diabetes</v>
      </c>
      <c r="M416">
        <f>VLOOKUP(A416,Hospitalisation_Details__2[],4,FALSE)</f>
        <v>24869.84</v>
      </c>
      <c r="N416" t="str">
        <f>VLOOKUP(A416,Hospitalisation_Details__2[],5,FALSE)</f>
        <v>tier - 2</v>
      </c>
      <c r="O416" t="str">
        <f>VLOOKUP(A416,Hospitalisation_Details__2[],6,FALSE)</f>
        <v>tier - 2</v>
      </c>
      <c r="P416" t="str">
        <f>VLOOKUP(A416,Hospitalisation_Details__2[],7,FALSE)</f>
        <v>R1016</v>
      </c>
    </row>
    <row r="417" spans="1:16" x14ac:dyDescent="0.35">
      <c r="A417" t="str">
        <v>Id416</v>
      </c>
      <c r="B417" t="str">
        <f>VLOOKUP(A417,'Customer Names (2)'!A:B, 2,FALSE)</f>
        <v>Mr</v>
      </c>
      <c r="C417">
        <f>VLOOKUP(A417,Medical_Examinations[],2,FALSE)</f>
        <v>20.96</v>
      </c>
      <c r="D417">
        <f>VLOOKUP(A417,Medical_Examinations[],3,FALSE)</f>
        <v>4.04</v>
      </c>
      <c r="E417" t="str">
        <f>VLOOKUP(A417,Medical_Examinations[],4,FALSE)</f>
        <v>Yes</v>
      </c>
      <c r="F417" t="str">
        <f>VLOOKUP(A417,Medical_Examinations[],5,FALSE)</f>
        <v>No</v>
      </c>
      <c r="G417" t="str">
        <f>VLOOKUP(A417,Medical_Examinations[],6,FALSE)</f>
        <v>No</v>
      </c>
      <c r="H417">
        <f>VLOOKUP(A417,Medical_Examinations[],7,FALSE)</f>
        <v>1</v>
      </c>
      <c r="I417" t="str">
        <f>VLOOKUP(A417,Medical_Examinations[],8,FALSE)</f>
        <v>Yes</v>
      </c>
      <c r="J417" t="str">
        <f>VLOOKUP(A417,Medical_Examinations[],9,FALSE)</f>
        <v>Normal Weight</v>
      </c>
      <c r="K417" t="str">
        <f>VLOOKUP(A417,Medical_Examinations[],10,FALSE)</f>
        <v>Normal</v>
      </c>
      <c r="M417">
        <f>VLOOKUP(A417,Hospitalisation_Details__2[],4,FALSE)</f>
        <v>24863.25</v>
      </c>
      <c r="N417" t="str">
        <f>VLOOKUP(A417,Hospitalisation_Details__2[],5,FALSE)</f>
        <v>tier - 2</v>
      </c>
      <c r="O417" t="str">
        <f>VLOOKUP(A417,Hospitalisation_Details__2[],6,FALSE)</f>
        <v>tier - 3</v>
      </c>
      <c r="P417" t="str">
        <f>VLOOKUP(A417,Hospitalisation_Details__2[],7,FALSE)</f>
        <v>R1011</v>
      </c>
    </row>
    <row r="418" spans="1:16" x14ac:dyDescent="0.35">
      <c r="A418" t="str">
        <v>Id417</v>
      </c>
      <c r="B418" t="str">
        <f>VLOOKUP(A418,'Customer Names (2)'!A:B, 2,FALSE)</f>
        <v>Ms</v>
      </c>
      <c r="C418">
        <f>VLOOKUP(A418,Medical_Examinations[],2,FALSE)</f>
        <v>19.68</v>
      </c>
      <c r="D418">
        <f>VLOOKUP(A418,Medical_Examinations[],3,FALSE)</f>
        <v>5.74</v>
      </c>
      <c r="E418" t="str">
        <f>VLOOKUP(A418,Medical_Examinations[],4,FALSE)</f>
        <v>No</v>
      </c>
      <c r="F418" t="str">
        <f>VLOOKUP(A418,Medical_Examinations[],5,FALSE)</f>
        <v>No</v>
      </c>
      <c r="G418" t="str">
        <f>VLOOKUP(A418,Medical_Examinations[],6,FALSE)</f>
        <v>No</v>
      </c>
      <c r="H418">
        <f>VLOOKUP(A418,Medical_Examinations[],7,FALSE)</f>
        <v>0</v>
      </c>
      <c r="I418" t="str">
        <f>VLOOKUP(A418,Medical_Examinations[],8,FALSE)</f>
        <v>Yes</v>
      </c>
      <c r="J418" t="str">
        <f>VLOOKUP(A418,Medical_Examinations[],9,FALSE)</f>
        <v>Normal Weight</v>
      </c>
      <c r="K418" t="str">
        <f>VLOOKUP(A418,Medical_Examinations[],10,FALSE)</f>
        <v>Prediabetes</v>
      </c>
      <c r="M418">
        <f>VLOOKUP(A418,Hospitalisation_Details__2[],4,FALSE)</f>
        <v>24817.25</v>
      </c>
      <c r="N418" t="str">
        <f>VLOOKUP(A418,Hospitalisation_Details__2[],5,FALSE)</f>
        <v>tier - 2</v>
      </c>
      <c r="O418" t="str">
        <f>VLOOKUP(A418,Hospitalisation_Details__2[],6,FALSE)</f>
        <v>tier - 2</v>
      </c>
      <c r="P418" t="str">
        <f>VLOOKUP(A418,Hospitalisation_Details__2[],7,FALSE)</f>
        <v>R1011</v>
      </c>
    </row>
    <row r="419" spans="1:16" x14ac:dyDescent="0.35">
      <c r="A419" t="str">
        <v>Id418</v>
      </c>
      <c r="B419" t="str">
        <f>VLOOKUP(A419,'Customer Names (2)'!A:B, 2,FALSE)</f>
        <v>Ms</v>
      </c>
      <c r="C419">
        <f>VLOOKUP(A419,Medical_Examinations[],2,FALSE)</f>
        <v>18.100000000000001</v>
      </c>
      <c r="D419">
        <f>VLOOKUP(A419,Medical_Examinations[],3,FALSE)</f>
        <v>6.33</v>
      </c>
      <c r="E419" t="str">
        <f>VLOOKUP(A419,Medical_Examinations[],4,FALSE)</f>
        <v>No</v>
      </c>
      <c r="F419" t="str">
        <f>VLOOKUP(A419,Medical_Examinations[],5,FALSE)</f>
        <v>No</v>
      </c>
      <c r="G419" t="str">
        <f>VLOOKUP(A419,Medical_Examinations[],6,FALSE)</f>
        <v>No</v>
      </c>
      <c r="H419">
        <f>VLOOKUP(A419,Medical_Examinations[],7,FALSE)</f>
        <v>1</v>
      </c>
      <c r="I419" t="str">
        <f>VLOOKUP(A419,Medical_Examinations[],8,FALSE)</f>
        <v>Yes</v>
      </c>
      <c r="J419" t="str">
        <f>VLOOKUP(A419,Medical_Examinations[],9,FALSE)</f>
        <v>Underweight</v>
      </c>
      <c r="K419" t="str">
        <f>VLOOKUP(A419,Medical_Examinations[],10,FALSE)</f>
        <v>Prediabetes</v>
      </c>
      <c r="M419">
        <f>VLOOKUP(A419,Hospitalisation_Details__2[],4,FALSE)</f>
        <v>24795.040000000001</v>
      </c>
      <c r="N419" t="str">
        <f>VLOOKUP(A419,Hospitalisation_Details__2[],5,FALSE)</f>
        <v>tier - 2</v>
      </c>
      <c r="O419" t="str">
        <f>VLOOKUP(A419,Hospitalisation_Details__2[],6,FALSE)</f>
        <v>tier - 3</v>
      </c>
      <c r="P419" t="str">
        <f>VLOOKUP(A419,Hospitalisation_Details__2[],7,FALSE)</f>
        <v>R1011</v>
      </c>
    </row>
    <row r="420" spans="1:16" x14ac:dyDescent="0.35">
      <c r="A420" t="str">
        <v>Id419</v>
      </c>
      <c r="B420" t="str">
        <f>VLOOKUP(A420,'Customer Names (2)'!A:B, 2,FALSE)</f>
        <v>Ms</v>
      </c>
      <c r="C420">
        <f>VLOOKUP(A420,Medical_Examinations[],2,FALSE)</f>
        <v>29.64</v>
      </c>
      <c r="D420">
        <f>VLOOKUP(A420,Medical_Examinations[],3,FALSE)</f>
        <v>4.28</v>
      </c>
      <c r="E420" t="str">
        <f>VLOOKUP(A420,Medical_Examinations[],4,FALSE)</f>
        <v>Yes</v>
      </c>
      <c r="F420" t="str">
        <f>VLOOKUP(A420,Medical_Examinations[],5,FALSE)</f>
        <v>No</v>
      </c>
      <c r="G420" t="str">
        <f>VLOOKUP(A420,Medical_Examinations[],6,FALSE)</f>
        <v>No</v>
      </c>
      <c r="H420">
        <f>VLOOKUP(A420,Medical_Examinations[],7,FALSE)</f>
        <v>0</v>
      </c>
      <c r="I420" t="str">
        <f>VLOOKUP(A420,Medical_Examinations[],8,FALSE)</f>
        <v>No</v>
      </c>
      <c r="J420" t="str">
        <f>VLOOKUP(A420,Medical_Examinations[],9,FALSE)</f>
        <v>Overweight</v>
      </c>
      <c r="K420" t="str">
        <f>VLOOKUP(A420,Medical_Examinations[],10,FALSE)</f>
        <v>Normal</v>
      </c>
      <c r="M420">
        <f>VLOOKUP(A420,Hospitalisation_Details__2[],4,FALSE)</f>
        <v>24671.66</v>
      </c>
      <c r="N420" t="str">
        <f>VLOOKUP(A420,Hospitalisation_Details__2[],5,FALSE)</f>
        <v>tier - 2</v>
      </c>
      <c r="O420" t="str">
        <f>VLOOKUP(A420,Hospitalisation_Details__2[],6,FALSE)</f>
        <v>tier - 1</v>
      </c>
      <c r="P420" t="str">
        <f>VLOOKUP(A420,Hospitalisation_Details__2[],7,FALSE)</f>
        <v>R1024</v>
      </c>
    </row>
    <row r="421" spans="1:16" x14ac:dyDescent="0.35">
      <c r="A421" t="str">
        <v>Id420</v>
      </c>
      <c r="B421" t="str">
        <f>VLOOKUP(A421,'Customer Names (2)'!A:B, 2,FALSE)</f>
        <v>Ms</v>
      </c>
      <c r="C421">
        <f>VLOOKUP(A421,Medical_Examinations[],2,FALSE)</f>
        <v>25.3</v>
      </c>
      <c r="D421">
        <f>VLOOKUP(A421,Medical_Examinations[],3,FALSE)</f>
        <v>9.4700000000000006</v>
      </c>
      <c r="E421" t="str">
        <f>VLOOKUP(A421,Medical_Examinations[],4,FALSE)</f>
        <v>Yes</v>
      </c>
      <c r="F421" t="str">
        <f>VLOOKUP(A421,Medical_Examinations[],5,FALSE)</f>
        <v>No</v>
      </c>
      <c r="G421" t="str">
        <f>VLOOKUP(A421,Medical_Examinations[],6,FALSE)</f>
        <v>No</v>
      </c>
      <c r="H421">
        <f>VLOOKUP(A421,Medical_Examinations[],7,FALSE)</f>
        <v>2</v>
      </c>
      <c r="I421" t="str">
        <f>VLOOKUP(A421,Medical_Examinations[],8,FALSE)</f>
        <v>Yes</v>
      </c>
      <c r="J421" t="str">
        <f>VLOOKUP(A421,Medical_Examinations[],9,FALSE)</f>
        <v>Overweight</v>
      </c>
      <c r="K421" t="str">
        <f>VLOOKUP(A421,Medical_Examinations[],10,FALSE)</f>
        <v>Diabetes</v>
      </c>
      <c r="M421">
        <f>VLOOKUP(A421,Hospitalisation_Details__2[],4,FALSE)</f>
        <v>24667.42</v>
      </c>
      <c r="N421" t="str">
        <f>VLOOKUP(A421,Hospitalisation_Details__2[],5,FALSE)</f>
        <v>tier - 2</v>
      </c>
      <c r="O421" t="str">
        <f>VLOOKUP(A421,Hospitalisation_Details__2[],6,FALSE)</f>
        <v>tier - 3</v>
      </c>
      <c r="P421" t="str">
        <f>VLOOKUP(A421,Hospitalisation_Details__2[],7,FALSE)</f>
        <v>R1013</v>
      </c>
    </row>
    <row r="422" spans="1:16" x14ac:dyDescent="0.35">
      <c r="A422" t="str">
        <v>Id421</v>
      </c>
      <c r="B422" t="str">
        <f>VLOOKUP(A422,'Customer Names (2)'!A:B, 2,FALSE)</f>
        <v>Mr</v>
      </c>
      <c r="C422">
        <f>VLOOKUP(A422,Medical_Examinations[],2,FALSE)</f>
        <v>27.6</v>
      </c>
      <c r="D422">
        <f>VLOOKUP(A422,Medical_Examinations[],3,FALSE)</f>
        <v>4.8499999999999996</v>
      </c>
      <c r="E422" t="str">
        <f>VLOOKUP(A422,Medical_Examinations[],4,FALSE)</f>
        <v>Yes</v>
      </c>
      <c r="F422" t="str">
        <f>VLOOKUP(A422,Medical_Examinations[],5,FALSE)</f>
        <v>No</v>
      </c>
      <c r="G422" t="str">
        <f>VLOOKUP(A422,Medical_Examinations[],6,FALSE)</f>
        <v>No</v>
      </c>
      <c r="H422">
        <f>VLOOKUP(A422,Medical_Examinations[],7,FALSE)</f>
        <v>0</v>
      </c>
      <c r="I422" t="str">
        <f>VLOOKUP(A422,Medical_Examinations[],8,FALSE)</f>
        <v>No</v>
      </c>
      <c r="J422" t="str">
        <f>VLOOKUP(A422,Medical_Examinations[],9,FALSE)</f>
        <v>Overweight</v>
      </c>
      <c r="K422" t="str">
        <f>VLOOKUP(A422,Medical_Examinations[],10,FALSE)</f>
        <v>Normal</v>
      </c>
      <c r="M422">
        <f>VLOOKUP(A422,Hospitalisation_Details__2[],4,FALSE)</f>
        <v>24603.05</v>
      </c>
      <c r="N422" t="str">
        <f>VLOOKUP(A422,Hospitalisation_Details__2[],5,FALSE)</f>
        <v>tier - 2</v>
      </c>
      <c r="O422" t="str">
        <f>VLOOKUP(A422,Hospitalisation_Details__2[],6,FALSE)</f>
        <v>tier - 2</v>
      </c>
      <c r="P422" t="str">
        <f>VLOOKUP(A422,Hospitalisation_Details__2[],7,FALSE)</f>
        <v>R1011</v>
      </c>
    </row>
    <row r="423" spans="1:16" x14ac:dyDescent="0.35">
      <c r="A423" t="str">
        <v>Id422</v>
      </c>
      <c r="B423" t="str">
        <f>VLOOKUP(A423,'Customer Names (2)'!A:B, 2,FALSE)</f>
        <v>Ms</v>
      </c>
      <c r="C423">
        <f>VLOOKUP(A423,Medical_Examinations[],2,FALSE)</f>
        <v>27.645</v>
      </c>
      <c r="D423">
        <f>VLOOKUP(A423,Medical_Examinations[],3,FALSE)</f>
        <v>11.03</v>
      </c>
      <c r="E423" t="str">
        <f>VLOOKUP(A423,Medical_Examinations[],4,FALSE)</f>
        <v>Yes</v>
      </c>
      <c r="F423" t="str">
        <f>VLOOKUP(A423,Medical_Examinations[],5,FALSE)</f>
        <v>No</v>
      </c>
      <c r="G423" t="str">
        <f>VLOOKUP(A423,Medical_Examinations[],6,FALSE)</f>
        <v>No</v>
      </c>
      <c r="H423">
        <f>VLOOKUP(A423,Medical_Examinations[],7,FALSE)</f>
        <v>1</v>
      </c>
      <c r="I423" t="str">
        <f>VLOOKUP(A423,Medical_Examinations[],8,FALSE)</f>
        <v>Yes</v>
      </c>
      <c r="J423" t="str">
        <f>VLOOKUP(A423,Medical_Examinations[],9,FALSE)</f>
        <v>Overweight</v>
      </c>
      <c r="K423" t="str">
        <f>VLOOKUP(A423,Medical_Examinations[],10,FALSE)</f>
        <v>Diabetes</v>
      </c>
      <c r="M423">
        <f>VLOOKUP(A423,Hospitalisation_Details__2[],4,FALSE)</f>
        <v>24535.7</v>
      </c>
      <c r="N423" t="str">
        <f>VLOOKUP(A423,Hospitalisation_Details__2[],5,FALSE)</f>
        <v>tier - 2</v>
      </c>
      <c r="O423" t="str">
        <f>VLOOKUP(A423,Hospitalisation_Details__2[],6,FALSE)</f>
        <v>tier - 2</v>
      </c>
      <c r="P423" t="str">
        <f>VLOOKUP(A423,Hospitalisation_Details__2[],7,FALSE)</f>
        <v>R1012</v>
      </c>
    </row>
    <row r="424" spans="1:16" x14ac:dyDescent="0.35">
      <c r="A424" t="str">
        <v>Id423</v>
      </c>
      <c r="B424" t="str">
        <f>VLOOKUP(A424,'Customer Names (2)'!A:B, 2,FALSE)</f>
        <v>Ms</v>
      </c>
      <c r="C424">
        <f>VLOOKUP(A424,Medical_Examinations[],2,FALSE)</f>
        <v>27.6</v>
      </c>
      <c r="D424">
        <f>VLOOKUP(A424,Medical_Examinations[],3,FALSE)</f>
        <v>5.22</v>
      </c>
      <c r="E424" t="str">
        <f>VLOOKUP(A424,Medical_Examinations[],4,FALSE)</f>
        <v>No</v>
      </c>
      <c r="F424" t="str">
        <f>VLOOKUP(A424,Medical_Examinations[],5,FALSE)</f>
        <v>No</v>
      </c>
      <c r="G424" t="str">
        <f>VLOOKUP(A424,Medical_Examinations[],6,FALSE)</f>
        <v>No</v>
      </c>
      <c r="H424">
        <f>VLOOKUP(A424,Medical_Examinations[],7,FALSE)</f>
        <v>2</v>
      </c>
      <c r="I424" t="str">
        <f>VLOOKUP(A424,Medical_Examinations[],8,FALSE)</f>
        <v>Yes</v>
      </c>
      <c r="J424" t="str">
        <f>VLOOKUP(A424,Medical_Examinations[],9,FALSE)</f>
        <v>Overweight</v>
      </c>
      <c r="K424" t="str">
        <f>VLOOKUP(A424,Medical_Examinations[],10,FALSE)</f>
        <v>Normal</v>
      </c>
      <c r="M424">
        <f>VLOOKUP(A424,Hospitalisation_Details__2[],4,FALSE)</f>
        <v>24520.26</v>
      </c>
      <c r="N424" t="str">
        <f>VLOOKUP(A424,Hospitalisation_Details__2[],5,FALSE)</f>
        <v>tier - 2</v>
      </c>
      <c r="O424" t="str">
        <f>VLOOKUP(A424,Hospitalisation_Details__2[],6,FALSE)</f>
        <v>tier - 3</v>
      </c>
      <c r="P424" t="str">
        <f>VLOOKUP(A424,Hospitalisation_Details__2[],7,FALSE)</f>
        <v>R1011</v>
      </c>
    </row>
    <row r="425" spans="1:16" x14ac:dyDescent="0.35">
      <c r="A425" t="str">
        <v>Id424</v>
      </c>
      <c r="B425" t="str">
        <f>VLOOKUP(A425,'Customer Names (2)'!A:B, 2,FALSE)</f>
        <v>Ms</v>
      </c>
      <c r="C425">
        <f>VLOOKUP(A425,Medical_Examinations[],2,FALSE)</f>
        <v>25.08</v>
      </c>
      <c r="D425">
        <f>VLOOKUP(A425,Medical_Examinations[],3,FALSE)</f>
        <v>9.52</v>
      </c>
      <c r="E425" t="str">
        <f>VLOOKUP(A425,Medical_Examinations[],4,FALSE)</f>
        <v>Yes</v>
      </c>
      <c r="F425" t="str">
        <f>VLOOKUP(A425,Medical_Examinations[],5,FALSE)</f>
        <v>No</v>
      </c>
      <c r="G425" t="str">
        <f>VLOOKUP(A425,Medical_Examinations[],6,FALSE)</f>
        <v>No</v>
      </c>
      <c r="H425">
        <f>VLOOKUP(A425,Medical_Examinations[],7,FALSE)</f>
        <v>2</v>
      </c>
      <c r="I425" t="str">
        <f>VLOOKUP(A425,Medical_Examinations[],8,FALSE)</f>
        <v>No</v>
      </c>
      <c r="J425" t="str">
        <f>VLOOKUP(A425,Medical_Examinations[],9,FALSE)</f>
        <v>Overweight</v>
      </c>
      <c r="K425" t="str">
        <f>VLOOKUP(A425,Medical_Examinations[],10,FALSE)</f>
        <v>Diabetes</v>
      </c>
      <c r="M425">
        <f>VLOOKUP(A425,Hospitalisation_Details__2[],4,FALSE)</f>
        <v>24513.09</v>
      </c>
      <c r="N425" t="str">
        <f>VLOOKUP(A425,Hospitalisation_Details__2[],5,FALSE)</f>
        <v>tier - 2</v>
      </c>
      <c r="O425" t="str">
        <f>VLOOKUP(A425,Hospitalisation_Details__2[],6,FALSE)</f>
        <v>tier - 2</v>
      </c>
      <c r="P425" t="str">
        <f>VLOOKUP(A425,Hospitalisation_Details__2[],7,FALSE)</f>
        <v>R1013</v>
      </c>
    </row>
    <row r="426" spans="1:16" x14ac:dyDescent="0.35">
      <c r="A426" t="str">
        <v>Id425</v>
      </c>
      <c r="B426" t="str">
        <f>VLOOKUP(A426,'Customer Names (2)'!A:B, 2,FALSE)</f>
        <v>Mr</v>
      </c>
      <c r="C426">
        <f>VLOOKUP(A426,Medical_Examinations[],2,FALSE)</f>
        <v>30.02</v>
      </c>
      <c r="D426">
        <f>VLOOKUP(A426,Medical_Examinations[],3,FALSE)</f>
        <v>11.09</v>
      </c>
      <c r="E426" t="str">
        <f>VLOOKUP(A426,Medical_Examinations[],4,FALSE)</f>
        <v>No</v>
      </c>
      <c r="F426" t="str">
        <f>VLOOKUP(A426,Medical_Examinations[],5,FALSE)</f>
        <v>No</v>
      </c>
      <c r="G426" t="str">
        <f>VLOOKUP(A426,Medical_Examinations[],6,FALSE)</f>
        <v>No</v>
      </c>
      <c r="H426">
        <f>VLOOKUP(A426,Medical_Examinations[],7,FALSE)</f>
        <v>0</v>
      </c>
      <c r="I426" t="str">
        <f>VLOOKUP(A426,Medical_Examinations[],8,FALSE)</f>
        <v>No</v>
      </c>
      <c r="J426" t="str">
        <f>VLOOKUP(A426,Medical_Examinations[],9,FALSE)</f>
        <v>Obesity</v>
      </c>
      <c r="K426" t="str">
        <f>VLOOKUP(A426,Medical_Examinations[],10,FALSE)</f>
        <v>Diabetes</v>
      </c>
      <c r="M426">
        <f>VLOOKUP(A426,Hospitalisation_Details__2[],4,FALSE)</f>
        <v>24476.48</v>
      </c>
      <c r="N426" t="str">
        <f>VLOOKUP(A426,Hospitalisation_Details__2[],5,FALSE)</f>
        <v>tier - 2</v>
      </c>
      <c r="O426" t="str">
        <f>VLOOKUP(A426,Hospitalisation_Details__2[],6,FALSE)</f>
        <v>tier - 2</v>
      </c>
      <c r="P426" t="str">
        <f>VLOOKUP(A426,Hospitalisation_Details__2[],7,FALSE)</f>
        <v>R1012</v>
      </c>
    </row>
    <row r="427" spans="1:16" x14ac:dyDescent="0.35">
      <c r="A427" t="str">
        <v>Id426</v>
      </c>
      <c r="B427" t="str">
        <f>VLOOKUP(A427,'Customer Names (2)'!A:B, 2,FALSE)</f>
        <v>Mr</v>
      </c>
      <c r="C427">
        <f>VLOOKUP(A427,Medical_Examinations[],2,FALSE)</f>
        <v>27.36</v>
      </c>
      <c r="D427">
        <f>VLOOKUP(A427,Medical_Examinations[],3,FALSE)</f>
        <v>9.4499999999999993</v>
      </c>
      <c r="E427" t="str">
        <f>VLOOKUP(A427,Medical_Examinations[],4,FALSE)</f>
        <v>Yes</v>
      </c>
      <c r="F427" t="str">
        <f>VLOOKUP(A427,Medical_Examinations[],5,FALSE)</f>
        <v>No</v>
      </c>
      <c r="G427" t="str">
        <f>VLOOKUP(A427,Medical_Examinations[],6,FALSE)</f>
        <v>No</v>
      </c>
      <c r="H427">
        <f>VLOOKUP(A427,Medical_Examinations[],7,FALSE)</f>
        <v>2</v>
      </c>
      <c r="I427" t="str">
        <f>VLOOKUP(A427,Medical_Examinations[],8,FALSE)</f>
        <v>Yes</v>
      </c>
      <c r="J427" t="str">
        <f>VLOOKUP(A427,Medical_Examinations[],9,FALSE)</f>
        <v>Overweight</v>
      </c>
      <c r="K427" t="str">
        <f>VLOOKUP(A427,Medical_Examinations[],10,FALSE)</f>
        <v>Diabetes</v>
      </c>
      <c r="M427">
        <f>VLOOKUP(A427,Hospitalisation_Details__2[],4,FALSE)</f>
        <v>24393.62</v>
      </c>
      <c r="N427" t="str">
        <f>VLOOKUP(A427,Hospitalisation_Details__2[],5,FALSE)</f>
        <v>tier - 2</v>
      </c>
      <c r="O427" t="str">
        <f>VLOOKUP(A427,Hospitalisation_Details__2[],6,FALSE)</f>
        <v>tier - 3</v>
      </c>
      <c r="P427" t="str">
        <f>VLOOKUP(A427,Hospitalisation_Details__2[],7,FALSE)</f>
        <v>R1012</v>
      </c>
    </row>
    <row r="428" spans="1:16" x14ac:dyDescent="0.35">
      <c r="A428" t="str">
        <v>Id427</v>
      </c>
      <c r="B428" t="str">
        <f>VLOOKUP(A428,'Customer Names (2)'!A:B, 2,FALSE)</f>
        <v>Ms</v>
      </c>
      <c r="C428">
        <f>VLOOKUP(A428,Medical_Examinations[],2,FALSE)</f>
        <v>22.2</v>
      </c>
      <c r="D428">
        <f>VLOOKUP(A428,Medical_Examinations[],3,FALSE)</f>
        <v>5.51</v>
      </c>
      <c r="E428" t="str">
        <f>VLOOKUP(A428,Medical_Examinations[],4,FALSE)</f>
        <v>No</v>
      </c>
      <c r="F428" t="str">
        <f>VLOOKUP(A428,Medical_Examinations[],5,FALSE)</f>
        <v>No</v>
      </c>
      <c r="G428" t="str">
        <f>VLOOKUP(A428,Medical_Examinations[],6,FALSE)</f>
        <v>No</v>
      </c>
      <c r="H428">
        <f>VLOOKUP(A428,Medical_Examinations[],7,FALSE)</f>
        <v>0</v>
      </c>
      <c r="I428" t="str">
        <f>VLOOKUP(A428,Medical_Examinations[],8,FALSE)</f>
        <v>Yes</v>
      </c>
      <c r="J428" t="str">
        <f>VLOOKUP(A428,Medical_Examinations[],9,FALSE)</f>
        <v>Normal Weight</v>
      </c>
      <c r="K428" t="str">
        <f>VLOOKUP(A428,Medical_Examinations[],10,FALSE)</f>
        <v>Normal</v>
      </c>
      <c r="M428">
        <f>VLOOKUP(A428,Hospitalisation_Details__2[],4,FALSE)</f>
        <v>24387.74</v>
      </c>
      <c r="N428" t="str">
        <f>VLOOKUP(A428,Hospitalisation_Details__2[],5,FALSE)</f>
        <v>tier - 2</v>
      </c>
      <c r="O428" t="str">
        <f>VLOOKUP(A428,Hospitalisation_Details__2[],6,FALSE)</f>
        <v>tier - 1</v>
      </c>
      <c r="P428" t="str">
        <f>VLOOKUP(A428,Hospitalisation_Details__2[],7,FALSE)</f>
        <v>R1011</v>
      </c>
    </row>
    <row r="429" spans="1:16" x14ac:dyDescent="0.35">
      <c r="A429" t="str">
        <v>Id428</v>
      </c>
      <c r="B429" t="str">
        <f>VLOOKUP(A429,'Customer Names (2)'!A:B, 2,FALSE)</f>
        <v>Ms</v>
      </c>
      <c r="C429">
        <f>VLOOKUP(A429,Medical_Examinations[],2,FALSE)</f>
        <v>25.71</v>
      </c>
      <c r="D429">
        <f>VLOOKUP(A429,Medical_Examinations[],3,FALSE)</f>
        <v>4.18</v>
      </c>
      <c r="E429" t="str">
        <f>VLOOKUP(A429,Medical_Examinations[],4,FALSE)</f>
        <v>No</v>
      </c>
      <c r="F429" t="str">
        <f>VLOOKUP(A429,Medical_Examinations[],5,FALSE)</f>
        <v>yes</v>
      </c>
      <c r="G429" t="str">
        <f>VLOOKUP(A429,Medical_Examinations[],6,FALSE)</f>
        <v>No</v>
      </c>
      <c r="H429">
        <f>VLOOKUP(A429,Medical_Examinations[],7,FALSE)</f>
        <v>1</v>
      </c>
      <c r="I429" t="str">
        <f>VLOOKUP(A429,Medical_Examinations[],8,FALSE)</f>
        <v>Yes</v>
      </c>
      <c r="J429" t="str">
        <f>VLOOKUP(A429,Medical_Examinations[],9,FALSE)</f>
        <v>Overweight</v>
      </c>
      <c r="K429" t="str">
        <f>VLOOKUP(A429,Medical_Examinations[],10,FALSE)</f>
        <v>Normal</v>
      </c>
      <c r="M429">
        <f>VLOOKUP(A429,Hospitalisation_Details__2[],4,FALSE)</f>
        <v>24294.02</v>
      </c>
      <c r="N429" t="str">
        <f>VLOOKUP(A429,Hospitalisation_Details__2[],5,FALSE)</f>
        <v>tier - 2</v>
      </c>
      <c r="O429" t="str">
        <f>VLOOKUP(A429,Hospitalisation_Details__2[],6,FALSE)</f>
        <v>tier - 1</v>
      </c>
      <c r="P429" t="str">
        <f>VLOOKUP(A429,Hospitalisation_Details__2[],7,FALSE)</f>
        <v>R1011</v>
      </c>
    </row>
    <row r="430" spans="1:16" x14ac:dyDescent="0.35">
      <c r="A430" t="str">
        <v>Id429</v>
      </c>
      <c r="B430" t="str">
        <f>VLOOKUP(A430,'Customer Names (2)'!A:B, 2,FALSE)</f>
        <v>Ms</v>
      </c>
      <c r="C430">
        <f>VLOOKUP(A430,Medical_Examinations[],2,FALSE)</f>
        <v>41.91</v>
      </c>
      <c r="D430">
        <f>VLOOKUP(A430,Medical_Examinations[],3,FALSE)</f>
        <v>5.98</v>
      </c>
      <c r="E430" t="str">
        <f>VLOOKUP(A430,Medical_Examinations[],4,FALSE)</f>
        <v>Yes</v>
      </c>
      <c r="F430" t="str">
        <f>VLOOKUP(A430,Medical_Examinations[],5,FALSE)</f>
        <v>No</v>
      </c>
      <c r="G430" t="str">
        <f>VLOOKUP(A430,Medical_Examinations[],6,FALSE)</f>
        <v>No</v>
      </c>
      <c r="H430">
        <f>VLOOKUP(A430,Medical_Examinations[],7,FALSE)</f>
        <v>1</v>
      </c>
      <c r="I430" t="str">
        <f>VLOOKUP(A430,Medical_Examinations[],8,FALSE)</f>
        <v>No</v>
      </c>
      <c r="J430" t="str">
        <f>VLOOKUP(A430,Medical_Examinations[],9,FALSE)</f>
        <v>Obesity</v>
      </c>
      <c r="K430" t="str">
        <f>VLOOKUP(A430,Medical_Examinations[],10,FALSE)</f>
        <v>Prediabetes</v>
      </c>
      <c r="M430">
        <f>VLOOKUP(A430,Hospitalisation_Details__2[],4,FALSE)</f>
        <v>24227.34</v>
      </c>
      <c r="N430" t="str">
        <f>VLOOKUP(A430,Hospitalisation_Details__2[],5,FALSE)</f>
        <v>tier - 2</v>
      </c>
      <c r="O430" t="str">
        <f>VLOOKUP(A430,Hospitalisation_Details__2[],6,FALSE)</f>
        <v>tier - 1</v>
      </c>
      <c r="P430" t="str">
        <f>VLOOKUP(A430,Hospitalisation_Details__2[],7,FALSE)</f>
        <v>R1013</v>
      </c>
    </row>
    <row r="431" spans="1:16" x14ac:dyDescent="0.35">
      <c r="A431" t="str">
        <v>Id430</v>
      </c>
      <c r="B431" t="str">
        <f>VLOOKUP(A431,'Customer Names (2)'!A:B, 2,FALSE)</f>
        <v>Ms</v>
      </c>
      <c r="C431">
        <f>VLOOKUP(A431,Medical_Examinations[],2,FALSE)</f>
        <v>25.85</v>
      </c>
      <c r="D431">
        <f>VLOOKUP(A431,Medical_Examinations[],3,FALSE)</f>
        <v>10.16</v>
      </c>
      <c r="E431" t="str">
        <f>VLOOKUP(A431,Medical_Examinations[],4,FALSE)</f>
        <v>No</v>
      </c>
      <c r="F431" t="str">
        <f>VLOOKUP(A431,Medical_Examinations[],5,FALSE)</f>
        <v>No</v>
      </c>
      <c r="G431" t="str">
        <f>VLOOKUP(A431,Medical_Examinations[],6,FALSE)</f>
        <v>No</v>
      </c>
      <c r="H431">
        <f>VLOOKUP(A431,Medical_Examinations[],7,FALSE)</f>
        <v>0</v>
      </c>
      <c r="I431" t="str">
        <f>VLOOKUP(A431,Medical_Examinations[],8,FALSE)</f>
        <v>Yes</v>
      </c>
      <c r="J431" t="str">
        <f>VLOOKUP(A431,Medical_Examinations[],9,FALSE)</f>
        <v>Overweight</v>
      </c>
      <c r="K431" t="str">
        <f>VLOOKUP(A431,Medical_Examinations[],10,FALSE)</f>
        <v>Diabetes</v>
      </c>
      <c r="M431">
        <f>VLOOKUP(A431,Hospitalisation_Details__2[],4,FALSE)</f>
        <v>24180.93</v>
      </c>
      <c r="N431" t="str">
        <f>VLOOKUP(A431,Hospitalisation_Details__2[],5,FALSE)</f>
        <v>tier - 2</v>
      </c>
      <c r="O431" t="str">
        <f>VLOOKUP(A431,Hospitalisation_Details__2[],6,FALSE)</f>
        <v>tier - 1</v>
      </c>
      <c r="P431" t="str">
        <f>VLOOKUP(A431,Hospitalisation_Details__2[],7,FALSE)</f>
        <v>R1013</v>
      </c>
    </row>
    <row r="432" spans="1:16" x14ac:dyDescent="0.35">
      <c r="A432" t="str">
        <v>Id431</v>
      </c>
      <c r="B432" t="str">
        <f>VLOOKUP(A432,'Customer Names (2)'!A:B, 2,FALSE)</f>
        <v>Ms</v>
      </c>
      <c r="C432">
        <f>VLOOKUP(A432,Medical_Examinations[],2,FALSE)</f>
        <v>23.844999999999999</v>
      </c>
      <c r="D432">
        <f>VLOOKUP(A432,Medical_Examinations[],3,FALSE)</f>
        <v>11.71</v>
      </c>
      <c r="E432" t="str">
        <f>VLOOKUP(A432,Medical_Examinations[],4,FALSE)</f>
        <v>No</v>
      </c>
      <c r="F432" t="str">
        <f>VLOOKUP(A432,Medical_Examinations[],5,FALSE)</f>
        <v>No</v>
      </c>
      <c r="G432" t="str">
        <f>VLOOKUP(A432,Medical_Examinations[],6,FALSE)</f>
        <v>No</v>
      </c>
      <c r="H432">
        <f>VLOOKUP(A432,Medical_Examinations[],7,FALSE)</f>
        <v>2</v>
      </c>
      <c r="I432" t="str">
        <f>VLOOKUP(A432,Medical_Examinations[],8,FALSE)</f>
        <v>Yes</v>
      </c>
      <c r="J432" t="str">
        <f>VLOOKUP(A432,Medical_Examinations[],9,FALSE)</f>
        <v>Normal Weight</v>
      </c>
      <c r="K432" t="str">
        <f>VLOOKUP(A432,Medical_Examinations[],10,FALSE)</f>
        <v>Diabetes</v>
      </c>
      <c r="M432">
        <f>VLOOKUP(A432,Hospitalisation_Details__2[],4,FALSE)</f>
        <v>24106.91</v>
      </c>
      <c r="N432" t="str">
        <f>VLOOKUP(A432,Hospitalisation_Details__2[],5,FALSE)</f>
        <v>tier - 2</v>
      </c>
      <c r="O432" t="str">
        <f>VLOOKUP(A432,Hospitalisation_Details__2[],6,FALSE)</f>
        <v>tier - 2</v>
      </c>
      <c r="P432" t="str">
        <f>VLOOKUP(A432,Hospitalisation_Details__2[],7,FALSE)</f>
        <v>R1024</v>
      </c>
    </row>
    <row r="433" spans="1:16" x14ac:dyDescent="0.35">
      <c r="A433" t="str">
        <v>Id432</v>
      </c>
      <c r="B433" t="str">
        <f>VLOOKUP(A433,'Customer Names (2)'!A:B, 2,FALSE)</f>
        <v>Ms</v>
      </c>
      <c r="C433">
        <f>VLOOKUP(A433,Medical_Examinations[],2,FALSE)</f>
        <v>30.59</v>
      </c>
      <c r="D433">
        <f>VLOOKUP(A433,Medical_Examinations[],3,FALSE)</f>
        <v>5.23</v>
      </c>
      <c r="E433" t="str">
        <f>VLOOKUP(A433,Medical_Examinations[],4,FALSE)</f>
        <v>No</v>
      </c>
      <c r="F433" t="str">
        <f>VLOOKUP(A433,Medical_Examinations[],5,FALSE)</f>
        <v>No</v>
      </c>
      <c r="G433" t="str">
        <f>VLOOKUP(A433,Medical_Examinations[],6,FALSE)</f>
        <v>Yes</v>
      </c>
      <c r="H433">
        <f>VLOOKUP(A433,Medical_Examinations[],7,FALSE)</f>
        <v>1</v>
      </c>
      <c r="I433" t="str">
        <f>VLOOKUP(A433,Medical_Examinations[],8,FALSE)</f>
        <v>No</v>
      </c>
      <c r="J433" t="str">
        <f>VLOOKUP(A433,Medical_Examinations[],9,FALSE)</f>
        <v>Obesity</v>
      </c>
      <c r="K433" t="str">
        <f>VLOOKUP(A433,Medical_Examinations[],10,FALSE)</f>
        <v>Normal</v>
      </c>
      <c r="M433">
        <f>VLOOKUP(A433,Hospitalisation_Details__2[],4,FALSE)</f>
        <v>24059.68</v>
      </c>
      <c r="N433" t="str">
        <f>VLOOKUP(A433,Hospitalisation_Details__2[],5,FALSE)</f>
        <v>tier - 2</v>
      </c>
      <c r="O433" t="str">
        <f>VLOOKUP(A433,Hospitalisation_Details__2[],6,FALSE)</f>
        <v>tier - 2</v>
      </c>
      <c r="P433" t="str">
        <f>VLOOKUP(A433,Hospitalisation_Details__2[],7,FALSE)</f>
        <v>R1012</v>
      </c>
    </row>
    <row r="434" spans="1:16" x14ac:dyDescent="0.35">
      <c r="A434" t="str">
        <v>Id433</v>
      </c>
      <c r="B434" t="str">
        <f>VLOOKUP(A434,'Customer Names (2)'!A:B, 2,FALSE)</f>
        <v>Mr</v>
      </c>
      <c r="C434">
        <f>VLOOKUP(A434,Medical_Examinations[],2,FALSE)</f>
        <v>24.795000000000002</v>
      </c>
      <c r="D434">
        <f>VLOOKUP(A434,Medical_Examinations[],3,FALSE)</f>
        <v>6.85</v>
      </c>
      <c r="E434" t="str">
        <f>VLOOKUP(A434,Medical_Examinations[],4,FALSE)</f>
        <v>No</v>
      </c>
      <c r="F434" t="str">
        <f>VLOOKUP(A434,Medical_Examinations[],5,FALSE)</f>
        <v>No</v>
      </c>
      <c r="G434" t="str">
        <f>VLOOKUP(A434,Medical_Examinations[],6,FALSE)</f>
        <v>No</v>
      </c>
      <c r="H434">
        <f>VLOOKUP(A434,Medical_Examinations[],7,FALSE)</f>
        <v>0</v>
      </c>
      <c r="I434" t="str">
        <f>VLOOKUP(A434,Medical_Examinations[],8,FALSE)</f>
        <v>Yes</v>
      </c>
      <c r="J434" t="str">
        <f>VLOOKUP(A434,Medical_Examinations[],9,FALSE)</f>
        <v>Normal Weight</v>
      </c>
      <c r="K434" t="str">
        <f>VLOOKUP(A434,Medical_Examinations[],10,FALSE)</f>
        <v>Diabetes</v>
      </c>
      <c r="M434">
        <f>VLOOKUP(A434,Hospitalisation_Details__2[],4,FALSE)</f>
        <v>23967.38</v>
      </c>
      <c r="N434" t="str">
        <f>VLOOKUP(A434,Hospitalisation_Details__2[],5,FALSE)</f>
        <v>tier - 2</v>
      </c>
      <c r="O434" t="str">
        <f>VLOOKUP(A434,Hospitalisation_Details__2[],6,FALSE)</f>
        <v>tier - 2</v>
      </c>
      <c r="P434" t="str">
        <f>VLOOKUP(A434,Hospitalisation_Details__2[],7,FALSE)</f>
        <v>R1012</v>
      </c>
    </row>
    <row r="435" spans="1:16" x14ac:dyDescent="0.35">
      <c r="A435" t="str">
        <v>Id434</v>
      </c>
      <c r="B435" t="str">
        <f>VLOOKUP(A435,'Customer Names (2)'!A:B, 2,FALSE)</f>
        <v>Ms</v>
      </c>
      <c r="C435">
        <f>VLOOKUP(A435,Medical_Examinations[],2,FALSE)</f>
        <v>24.13</v>
      </c>
      <c r="D435">
        <f>VLOOKUP(A435,Medical_Examinations[],3,FALSE)</f>
        <v>7.05</v>
      </c>
      <c r="E435" t="str">
        <f>VLOOKUP(A435,Medical_Examinations[],4,FALSE)</f>
        <v>Yes</v>
      </c>
      <c r="F435" t="str">
        <f>VLOOKUP(A435,Medical_Examinations[],5,FALSE)</f>
        <v>No</v>
      </c>
      <c r="G435" t="str">
        <f>VLOOKUP(A435,Medical_Examinations[],6,FALSE)</f>
        <v>No</v>
      </c>
      <c r="H435">
        <f>VLOOKUP(A435,Medical_Examinations[],7,FALSE)</f>
        <v>2</v>
      </c>
      <c r="I435" t="str">
        <f>VLOOKUP(A435,Medical_Examinations[],8,FALSE)</f>
        <v>Yes</v>
      </c>
      <c r="J435" t="str">
        <f>VLOOKUP(A435,Medical_Examinations[],9,FALSE)</f>
        <v>Normal Weight</v>
      </c>
      <c r="K435" t="str">
        <f>VLOOKUP(A435,Medical_Examinations[],10,FALSE)</f>
        <v>Diabetes</v>
      </c>
      <c r="M435">
        <f>VLOOKUP(A435,Hospitalisation_Details__2[],4,FALSE)</f>
        <v>23887.66</v>
      </c>
      <c r="N435" t="str">
        <f>VLOOKUP(A435,Hospitalisation_Details__2[],5,FALSE)</f>
        <v>tier - 2</v>
      </c>
      <c r="O435" t="str">
        <f>VLOOKUP(A435,Hospitalisation_Details__2[],6,FALSE)</f>
        <v>tier - 3</v>
      </c>
      <c r="P435" t="str">
        <f>VLOOKUP(A435,Hospitalisation_Details__2[],7,FALSE)</f>
        <v>R1012</v>
      </c>
    </row>
    <row r="436" spans="1:16" x14ac:dyDescent="0.35">
      <c r="A436" t="str">
        <v>Id435</v>
      </c>
      <c r="B436" t="str">
        <f>VLOOKUP(A436,'Customer Names (2)'!A:B, 2,FALSE)</f>
        <v>Mr</v>
      </c>
      <c r="C436">
        <f>VLOOKUP(A436,Medical_Examinations[],2,FALSE)</f>
        <v>25.84</v>
      </c>
      <c r="D436">
        <f>VLOOKUP(A436,Medical_Examinations[],3,FALSE)</f>
        <v>11.64</v>
      </c>
      <c r="E436" t="str">
        <f>VLOOKUP(A436,Medical_Examinations[],4,FALSE)</f>
        <v>No</v>
      </c>
      <c r="F436" t="str">
        <f>VLOOKUP(A436,Medical_Examinations[],5,FALSE)</f>
        <v>No</v>
      </c>
      <c r="G436" t="str">
        <f>VLOOKUP(A436,Medical_Examinations[],6,FALSE)</f>
        <v>No</v>
      </c>
      <c r="H436">
        <f>VLOOKUP(A436,Medical_Examinations[],7,FALSE)</f>
        <v>2</v>
      </c>
      <c r="I436" t="str">
        <f>VLOOKUP(A436,Medical_Examinations[],8,FALSE)</f>
        <v>Yes</v>
      </c>
      <c r="J436" t="str">
        <f>VLOOKUP(A436,Medical_Examinations[],9,FALSE)</f>
        <v>Overweight</v>
      </c>
      <c r="K436" t="str">
        <f>VLOOKUP(A436,Medical_Examinations[],10,FALSE)</f>
        <v>Diabetes</v>
      </c>
      <c r="M436">
        <f>VLOOKUP(A436,Hospitalisation_Details__2[],4,FALSE)</f>
        <v>23807.24</v>
      </c>
      <c r="N436" t="str">
        <f>VLOOKUP(A436,Hospitalisation_Details__2[],5,FALSE)</f>
        <v>tier - 2</v>
      </c>
      <c r="O436" t="str">
        <f>VLOOKUP(A436,Hospitalisation_Details__2[],6,FALSE)</f>
        <v>tier - 3</v>
      </c>
      <c r="P436" t="str">
        <f>VLOOKUP(A436,Hospitalisation_Details__2[],7,FALSE)</f>
        <v>R1012</v>
      </c>
    </row>
    <row r="437" spans="1:16" x14ac:dyDescent="0.35">
      <c r="A437" t="str">
        <v>Id436</v>
      </c>
      <c r="B437" t="str">
        <f>VLOOKUP(A437,'Customer Names (2)'!A:B, 2,FALSE)</f>
        <v>Mr</v>
      </c>
      <c r="C437">
        <f>VLOOKUP(A437,Medical_Examinations[],2,FALSE)</f>
        <v>28</v>
      </c>
      <c r="D437">
        <f>VLOOKUP(A437,Medical_Examinations[],3,FALSE)</f>
        <v>10.52</v>
      </c>
      <c r="E437" t="str">
        <f>VLOOKUP(A437,Medical_Examinations[],4,FALSE)</f>
        <v>No</v>
      </c>
      <c r="F437" t="str">
        <f>VLOOKUP(A437,Medical_Examinations[],5,FALSE)</f>
        <v>No</v>
      </c>
      <c r="G437" t="str">
        <f>VLOOKUP(A437,Medical_Examinations[],6,FALSE)</f>
        <v>No</v>
      </c>
      <c r="H437">
        <f>VLOOKUP(A437,Medical_Examinations[],7,FALSE)</f>
        <v>0</v>
      </c>
      <c r="I437" t="str">
        <f>VLOOKUP(A437,Medical_Examinations[],8,FALSE)</f>
        <v>Yes</v>
      </c>
      <c r="J437" t="str">
        <f>VLOOKUP(A437,Medical_Examinations[],9,FALSE)</f>
        <v>Overweight</v>
      </c>
      <c r="K437" t="str">
        <f>VLOOKUP(A437,Medical_Examinations[],10,FALSE)</f>
        <v>Diabetes</v>
      </c>
      <c r="M437">
        <f>VLOOKUP(A437,Hospitalisation_Details__2[],4,FALSE)</f>
        <v>23568.27</v>
      </c>
      <c r="N437" t="str">
        <f>VLOOKUP(A437,Hospitalisation_Details__2[],5,FALSE)</f>
        <v>tier - 2</v>
      </c>
      <c r="O437" t="str">
        <f>VLOOKUP(A437,Hospitalisation_Details__2[],6,FALSE)</f>
        <v>tier - 2</v>
      </c>
      <c r="P437" t="str">
        <f>VLOOKUP(A437,Hospitalisation_Details__2[],7,FALSE)</f>
        <v>R1011</v>
      </c>
    </row>
    <row r="438" spans="1:16" x14ac:dyDescent="0.35">
      <c r="A438" t="str">
        <v>Id437</v>
      </c>
      <c r="B438" t="str">
        <f>VLOOKUP(A438,'Customer Names (2)'!A:B, 2,FALSE)</f>
        <v>Mr</v>
      </c>
      <c r="C438">
        <f>VLOOKUP(A438,Medical_Examinations[],2,FALSE)</f>
        <v>34.1</v>
      </c>
      <c r="D438">
        <f>VLOOKUP(A438,Medical_Examinations[],3,FALSE)</f>
        <v>4.01</v>
      </c>
      <c r="E438" t="str">
        <f>VLOOKUP(A438,Medical_Examinations[],4,FALSE)</f>
        <v>Yes</v>
      </c>
      <c r="F438" t="str">
        <f>VLOOKUP(A438,Medical_Examinations[],5,FALSE)</f>
        <v>No</v>
      </c>
      <c r="G438" t="str">
        <f>VLOOKUP(A438,Medical_Examinations[],6,FALSE)</f>
        <v>Yes</v>
      </c>
      <c r="H438">
        <f>VLOOKUP(A438,Medical_Examinations[],7,FALSE)</f>
        <v>1</v>
      </c>
      <c r="I438" t="str">
        <f>VLOOKUP(A438,Medical_Examinations[],8,FALSE)</f>
        <v>No</v>
      </c>
      <c r="J438" t="str">
        <f>VLOOKUP(A438,Medical_Examinations[],9,FALSE)</f>
        <v>Obesity</v>
      </c>
      <c r="K438" t="str">
        <f>VLOOKUP(A438,Medical_Examinations[],10,FALSE)</f>
        <v>Normal</v>
      </c>
      <c r="M438">
        <f>VLOOKUP(A438,Hospitalisation_Details__2[],4,FALSE)</f>
        <v>23563.02</v>
      </c>
      <c r="N438" t="str">
        <f>VLOOKUP(A438,Hospitalisation_Details__2[],5,FALSE)</f>
        <v>tier - 2</v>
      </c>
      <c r="O438" t="str">
        <f>VLOOKUP(A438,Hospitalisation_Details__2[],6,FALSE)</f>
        <v>tier - 2</v>
      </c>
      <c r="P438" t="str">
        <f>VLOOKUP(A438,Hospitalisation_Details__2[],7,FALSE)</f>
        <v>R1013</v>
      </c>
    </row>
    <row r="439" spans="1:16" x14ac:dyDescent="0.35">
      <c r="A439" t="str">
        <v>Id438</v>
      </c>
      <c r="B439" t="str">
        <f>VLOOKUP(A439,'Customer Names (2)'!A:B, 2,FALSE)</f>
        <v>Ms</v>
      </c>
      <c r="C439">
        <f>VLOOKUP(A439,Medical_Examinations[],2,FALSE)</f>
        <v>26.125</v>
      </c>
      <c r="D439">
        <f>VLOOKUP(A439,Medical_Examinations[],3,FALSE)</f>
        <v>8.56</v>
      </c>
      <c r="E439" t="str">
        <f>VLOOKUP(A439,Medical_Examinations[],4,FALSE)</f>
        <v>Yes</v>
      </c>
      <c r="F439" t="str">
        <f>VLOOKUP(A439,Medical_Examinations[],5,FALSE)</f>
        <v>No</v>
      </c>
      <c r="G439" t="str">
        <f>VLOOKUP(A439,Medical_Examinations[],6,FALSE)</f>
        <v>No</v>
      </c>
      <c r="H439">
        <f>VLOOKUP(A439,Medical_Examinations[],7,FALSE)</f>
        <v>1</v>
      </c>
      <c r="I439" t="str">
        <f>VLOOKUP(A439,Medical_Examinations[],8,FALSE)</f>
        <v>Yes</v>
      </c>
      <c r="J439" t="str">
        <f>VLOOKUP(A439,Medical_Examinations[],9,FALSE)</f>
        <v>Overweight</v>
      </c>
      <c r="K439" t="str">
        <f>VLOOKUP(A439,Medical_Examinations[],10,FALSE)</f>
        <v>Diabetes</v>
      </c>
      <c r="M439">
        <f>VLOOKUP(A439,Hospitalisation_Details__2[],4,FALSE)</f>
        <v>23401.31</v>
      </c>
      <c r="N439" t="str">
        <f>VLOOKUP(A439,Hospitalisation_Details__2[],5,FALSE)</f>
        <v>tier - 2</v>
      </c>
      <c r="O439" t="str">
        <f>VLOOKUP(A439,Hospitalisation_Details__2[],6,FALSE)</f>
        <v>tier - 3</v>
      </c>
      <c r="P439" t="str">
        <f>VLOOKUP(A439,Hospitalisation_Details__2[],7,FALSE)</f>
        <v>R1024</v>
      </c>
    </row>
    <row r="440" spans="1:16" x14ac:dyDescent="0.35">
      <c r="A440" t="str">
        <v>Id439</v>
      </c>
      <c r="B440" t="str">
        <f>VLOOKUP(A440,'Customer Names (2)'!A:B, 2,FALSE)</f>
        <v>Mr</v>
      </c>
      <c r="C440">
        <f>VLOOKUP(A440,Medical_Examinations[],2,FALSE)</f>
        <v>25.6</v>
      </c>
      <c r="D440">
        <f>VLOOKUP(A440,Medical_Examinations[],3,FALSE)</f>
        <v>10.5</v>
      </c>
      <c r="E440" t="str">
        <f>VLOOKUP(A440,Medical_Examinations[],4,FALSE)</f>
        <v>No</v>
      </c>
      <c r="F440" t="str">
        <f>VLOOKUP(A440,Medical_Examinations[],5,FALSE)</f>
        <v>No</v>
      </c>
      <c r="G440" t="str">
        <f>VLOOKUP(A440,Medical_Examinations[],6,FALSE)</f>
        <v>No</v>
      </c>
      <c r="H440">
        <f>VLOOKUP(A440,Medical_Examinations[],7,FALSE)</f>
        <v>2</v>
      </c>
      <c r="I440" t="str">
        <f>VLOOKUP(A440,Medical_Examinations[],8,FALSE)</f>
        <v>Yes</v>
      </c>
      <c r="J440" t="str">
        <f>VLOOKUP(A440,Medical_Examinations[],9,FALSE)</f>
        <v>Overweight</v>
      </c>
      <c r="K440" t="str">
        <f>VLOOKUP(A440,Medical_Examinations[],10,FALSE)</f>
        <v>Diabetes</v>
      </c>
      <c r="M440">
        <f>VLOOKUP(A440,Hospitalisation_Details__2[],4,FALSE)</f>
        <v>23306.55</v>
      </c>
      <c r="N440" t="str">
        <f>VLOOKUP(A440,Hospitalisation_Details__2[],5,FALSE)</f>
        <v>tier - 2</v>
      </c>
      <c r="O440" t="str">
        <f>VLOOKUP(A440,Hospitalisation_Details__2[],6,FALSE)</f>
        <v>tier - 2</v>
      </c>
      <c r="P440" t="str">
        <f>VLOOKUP(A440,Hospitalisation_Details__2[],7,FALSE)</f>
        <v>R1011</v>
      </c>
    </row>
    <row r="441" spans="1:16" x14ac:dyDescent="0.35">
      <c r="A441" t="str">
        <v>Id440</v>
      </c>
      <c r="B441" t="str">
        <f>VLOOKUP(A441,'Customer Names (2)'!A:B, 2,FALSE)</f>
        <v>Ms</v>
      </c>
      <c r="C441">
        <f>VLOOKUP(A441,Medical_Examinations[],2,FALSE)</f>
        <v>24.32</v>
      </c>
      <c r="D441">
        <f>VLOOKUP(A441,Medical_Examinations[],3,FALSE)</f>
        <v>6.39</v>
      </c>
      <c r="E441" t="str">
        <f>VLOOKUP(A441,Medical_Examinations[],4,FALSE)</f>
        <v>No</v>
      </c>
      <c r="F441" t="str">
        <f>VLOOKUP(A441,Medical_Examinations[],5,FALSE)</f>
        <v>No</v>
      </c>
      <c r="G441" t="str">
        <f>VLOOKUP(A441,Medical_Examinations[],6,FALSE)</f>
        <v>No</v>
      </c>
      <c r="H441">
        <f>VLOOKUP(A441,Medical_Examinations[],7,FALSE)</f>
        <v>0</v>
      </c>
      <c r="I441" t="str">
        <f>VLOOKUP(A441,Medical_Examinations[],8,FALSE)</f>
        <v>No</v>
      </c>
      <c r="J441" t="str">
        <f>VLOOKUP(A441,Medical_Examinations[],9,FALSE)</f>
        <v>Normal Weight</v>
      </c>
      <c r="K441" t="str">
        <f>VLOOKUP(A441,Medical_Examinations[],10,FALSE)</f>
        <v>Prediabetes</v>
      </c>
      <c r="M441">
        <f>VLOOKUP(A441,Hospitalisation_Details__2[],4,FALSE)</f>
        <v>23288.93</v>
      </c>
      <c r="N441" t="str">
        <f>VLOOKUP(A441,Hospitalisation_Details__2[],5,FALSE)</f>
        <v>tier - 2</v>
      </c>
      <c r="O441" t="str">
        <f>VLOOKUP(A441,Hospitalisation_Details__2[],6,FALSE)</f>
        <v>tier - 3</v>
      </c>
      <c r="P441" t="str">
        <f>VLOOKUP(A441,Hospitalisation_Details__2[],7,FALSE)</f>
        <v>R1024</v>
      </c>
    </row>
    <row r="442" spans="1:16" x14ac:dyDescent="0.35">
      <c r="A442" t="str">
        <v>Id441</v>
      </c>
      <c r="B442" t="str">
        <f>VLOOKUP(A442,'Customer Names (2)'!A:B, 2,FALSE)</f>
        <v>Ms</v>
      </c>
      <c r="C442">
        <f>VLOOKUP(A442,Medical_Examinations[],2,FALSE)</f>
        <v>22.88</v>
      </c>
      <c r="D442">
        <f>VLOOKUP(A442,Medical_Examinations[],3,FALSE)</f>
        <v>5.71</v>
      </c>
      <c r="E442" t="str">
        <f>VLOOKUP(A442,Medical_Examinations[],4,FALSE)</f>
        <v>Yes</v>
      </c>
      <c r="F442" t="str">
        <f>VLOOKUP(A442,Medical_Examinations[],5,FALSE)</f>
        <v>No</v>
      </c>
      <c r="G442" t="str">
        <f>VLOOKUP(A442,Medical_Examinations[],6,FALSE)</f>
        <v>Yes</v>
      </c>
      <c r="H442">
        <f>VLOOKUP(A442,Medical_Examinations[],7,FALSE)</f>
        <v>1</v>
      </c>
      <c r="I442" t="str">
        <f>VLOOKUP(A442,Medical_Examinations[],8,FALSE)</f>
        <v>Yes</v>
      </c>
      <c r="J442" t="str">
        <f>VLOOKUP(A442,Medical_Examinations[],9,FALSE)</f>
        <v>Normal Weight</v>
      </c>
      <c r="K442" t="str">
        <f>VLOOKUP(A442,Medical_Examinations[],10,FALSE)</f>
        <v>Prediabetes</v>
      </c>
      <c r="M442">
        <f>VLOOKUP(A442,Hospitalisation_Details__2[],4,FALSE)</f>
        <v>23244.79</v>
      </c>
      <c r="N442" t="str">
        <f>VLOOKUP(A442,Hospitalisation_Details__2[],5,FALSE)</f>
        <v>tier - 2</v>
      </c>
      <c r="O442" t="str">
        <f>VLOOKUP(A442,Hospitalisation_Details__2[],6,FALSE)</f>
        <v>tier - 3</v>
      </c>
      <c r="P442" t="str">
        <f>VLOOKUP(A442,Hospitalisation_Details__2[],7,FALSE)</f>
        <v>R1013</v>
      </c>
    </row>
    <row r="443" spans="1:16" x14ac:dyDescent="0.35">
      <c r="A443" t="str">
        <v>Id442</v>
      </c>
      <c r="B443" t="str">
        <f>VLOOKUP(A443,'Customer Names (2)'!A:B, 2,FALSE)</f>
        <v>Mr</v>
      </c>
      <c r="C443">
        <f>VLOOKUP(A443,Medical_Examinations[],2,FALSE)</f>
        <v>24.984999999999999</v>
      </c>
      <c r="D443">
        <f>VLOOKUP(A443,Medical_Examinations[],3,FALSE)</f>
        <v>4.43</v>
      </c>
      <c r="E443" t="str">
        <f>VLOOKUP(A443,Medical_Examinations[],4,FALSE)</f>
        <v>Yes</v>
      </c>
      <c r="F443" t="str">
        <f>VLOOKUP(A443,Medical_Examinations[],5,FALSE)</f>
        <v>No</v>
      </c>
      <c r="G443" t="str">
        <f>VLOOKUP(A443,Medical_Examinations[],6,FALSE)</f>
        <v>Yes</v>
      </c>
      <c r="H443">
        <f>VLOOKUP(A443,Medical_Examinations[],7,FALSE)</f>
        <v>1</v>
      </c>
      <c r="I443" t="str">
        <f>VLOOKUP(A443,Medical_Examinations[],8,FALSE)</f>
        <v>No</v>
      </c>
      <c r="J443" t="str">
        <f>VLOOKUP(A443,Medical_Examinations[],9,FALSE)</f>
        <v>Normal Weight</v>
      </c>
      <c r="K443" t="str">
        <f>VLOOKUP(A443,Medical_Examinations[],10,FALSE)</f>
        <v>Normal</v>
      </c>
      <c r="M443">
        <f>VLOOKUP(A443,Hospitalisation_Details__2[],4,FALSE)</f>
        <v>23241.47</v>
      </c>
      <c r="N443" t="str">
        <f>VLOOKUP(A443,Hospitalisation_Details__2[],5,FALSE)</f>
        <v>tier - 2</v>
      </c>
      <c r="O443" t="str">
        <f>VLOOKUP(A443,Hospitalisation_Details__2[],6,FALSE)</f>
        <v>tier - 3</v>
      </c>
      <c r="P443" t="str">
        <f>VLOOKUP(A443,Hospitalisation_Details__2[],7,FALSE)</f>
        <v>R1018</v>
      </c>
    </row>
    <row r="444" spans="1:16" x14ac:dyDescent="0.35">
      <c r="A444" t="str">
        <v>Id443</v>
      </c>
      <c r="B444" t="str">
        <f>VLOOKUP(A444,'Customer Names (2)'!A:B, 2,FALSE)</f>
        <v>Mr</v>
      </c>
      <c r="C444">
        <f>VLOOKUP(A444,Medical_Examinations[],2,FALSE)</f>
        <v>33.1</v>
      </c>
      <c r="D444">
        <f>VLOOKUP(A444,Medical_Examinations[],3,FALSE)</f>
        <v>5.52</v>
      </c>
      <c r="E444" t="str">
        <f>VLOOKUP(A444,Medical_Examinations[],4,FALSE)</f>
        <v>No</v>
      </c>
      <c r="F444" t="str">
        <f>VLOOKUP(A444,Medical_Examinations[],5,FALSE)</f>
        <v>No</v>
      </c>
      <c r="G444" t="str">
        <f>VLOOKUP(A444,Medical_Examinations[],6,FALSE)</f>
        <v>Yes</v>
      </c>
      <c r="H444">
        <f>VLOOKUP(A444,Medical_Examinations[],7,FALSE)</f>
        <v>1</v>
      </c>
      <c r="I444" t="str">
        <f>VLOOKUP(A444,Medical_Examinations[],8,FALSE)</f>
        <v>No</v>
      </c>
      <c r="J444" t="str">
        <f>VLOOKUP(A444,Medical_Examinations[],9,FALSE)</f>
        <v>Obesity</v>
      </c>
      <c r="K444" t="str">
        <f>VLOOKUP(A444,Medical_Examinations[],10,FALSE)</f>
        <v>Normal</v>
      </c>
      <c r="M444">
        <f>VLOOKUP(A444,Hospitalisation_Details__2[],4,FALSE)</f>
        <v>23082.959999999999</v>
      </c>
      <c r="N444" t="str">
        <f>VLOOKUP(A444,Hospitalisation_Details__2[],5,FALSE)</f>
        <v>tier - 2</v>
      </c>
      <c r="O444" t="str">
        <f>VLOOKUP(A444,Hospitalisation_Details__2[],6,FALSE)</f>
        <v>tier - 2</v>
      </c>
      <c r="P444" t="str">
        <f>VLOOKUP(A444,Hospitalisation_Details__2[],7,FALSE)</f>
        <v>R1011</v>
      </c>
    </row>
    <row r="445" spans="1:16" x14ac:dyDescent="0.35">
      <c r="A445" t="str">
        <v>Id444</v>
      </c>
      <c r="B445" t="str">
        <f>VLOOKUP(A445,'Customer Names (2)'!A:B, 2,FALSE)</f>
        <v>Ms</v>
      </c>
      <c r="C445">
        <f>VLOOKUP(A445,Medical_Examinations[],2,FALSE)</f>
        <v>27.83</v>
      </c>
      <c r="D445">
        <f>VLOOKUP(A445,Medical_Examinations[],3,FALSE)</f>
        <v>9.1999999999999993</v>
      </c>
      <c r="E445" t="str">
        <f>VLOOKUP(A445,Medical_Examinations[],4,FALSE)</f>
        <v>Yes</v>
      </c>
      <c r="F445" t="str">
        <f>VLOOKUP(A445,Medical_Examinations[],5,FALSE)</f>
        <v>No</v>
      </c>
      <c r="G445" t="str">
        <f>VLOOKUP(A445,Medical_Examinations[],6,FALSE)</f>
        <v>No</v>
      </c>
      <c r="H445">
        <f>VLOOKUP(A445,Medical_Examinations[],7,FALSE)</f>
        <v>1</v>
      </c>
      <c r="I445" t="str">
        <f>VLOOKUP(A445,Medical_Examinations[],8,FALSE)</f>
        <v>Yes</v>
      </c>
      <c r="J445" t="str">
        <f>VLOOKUP(A445,Medical_Examinations[],9,FALSE)</f>
        <v>Overweight</v>
      </c>
      <c r="K445" t="str">
        <f>VLOOKUP(A445,Medical_Examinations[],10,FALSE)</f>
        <v>Diabetes</v>
      </c>
      <c r="M445">
        <f>VLOOKUP(A445,Hospitalisation_Details__2[],4,FALSE)</f>
        <v>23065.42</v>
      </c>
      <c r="N445" t="str">
        <f>VLOOKUP(A445,Hospitalisation_Details__2[],5,FALSE)</f>
        <v>tier - 2</v>
      </c>
      <c r="O445" t="str">
        <f>VLOOKUP(A445,Hospitalisation_Details__2[],6,FALSE)</f>
        <v>tier - 2</v>
      </c>
      <c r="P445" t="str">
        <f>VLOOKUP(A445,Hospitalisation_Details__2[],7,FALSE)</f>
        <v>R1013</v>
      </c>
    </row>
    <row r="446" spans="1:16" x14ac:dyDescent="0.35">
      <c r="A446" t="str">
        <v>Id445</v>
      </c>
      <c r="B446" t="str">
        <f>VLOOKUP(A446,'Customer Names (2)'!A:B, 2,FALSE)</f>
        <v>Ms</v>
      </c>
      <c r="C446">
        <f>VLOOKUP(A446,Medical_Examinations[],2,FALSE)</f>
        <v>30.875</v>
      </c>
      <c r="D446">
        <f>VLOOKUP(A446,Medical_Examinations[],3,FALSE)</f>
        <v>10.97</v>
      </c>
      <c r="E446" t="str">
        <f>VLOOKUP(A446,Medical_Examinations[],4,FALSE)</f>
        <v>Yes</v>
      </c>
      <c r="F446" t="str">
        <f>VLOOKUP(A446,Medical_Examinations[],5,FALSE)</f>
        <v>No</v>
      </c>
      <c r="G446" t="str">
        <f>VLOOKUP(A446,Medical_Examinations[],6,FALSE)</f>
        <v>No</v>
      </c>
      <c r="H446">
        <f>VLOOKUP(A446,Medical_Examinations[],7,FALSE)</f>
        <v>2</v>
      </c>
      <c r="I446" t="str">
        <f>VLOOKUP(A446,Medical_Examinations[],8,FALSE)</f>
        <v>No</v>
      </c>
      <c r="J446" t="str">
        <f>VLOOKUP(A446,Medical_Examinations[],9,FALSE)</f>
        <v>Obesity</v>
      </c>
      <c r="K446" t="str">
        <f>VLOOKUP(A446,Medical_Examinations[],10,FALSE)</f>
        <v>Diabetes</v>
      </c>
      <c r="M446">
        <f>VLOOKUP(A446,Hospitalisation_Details__2[],4,FALSE)</f>
        <v>23045.57</v>
      </c>
      <c r="N446" t="str">
        <f>VLOOKUP(A446,Hospitalisation_Details__2[],5,FALSE)</f>
        <v>tier - 2</v>
      </c>
      <c r="O446" t="str">
        <f>VLOOKUP(A446,Hospitalisation_Details__2[],6,FALSE)</f>
        <v>tier - 2</v>
      </c>
      <c r="P446" t="str">
        <f>VLOOKUP(A446,Hospitalisation_Details__2[],7,FALSE)</f>
        <v>R1024</v>
      </c>
    </row>
    <row r="447" spans="1:16" x14ac:dyDescent="0.35">
      <c r="A447" t="str">
        <v>Id446</v>
      </c>
      <c r="B447" t="str">
        <f>VLOOKUP(A447,'Customer Names (2)'!A:B, 2,FALSE)</f>
        <v>Mr</v>
      </c>
      <c r="C447">
        <f>VLOOKUP(A447,Medical_Examinations[],2,FALSE)</f>
        <v>27.265000000000001</v>
      </c>
      <c r="D447">
        <f>VLOOKUP(A447,Medical_Examinations[],3,FALSE)</f>
        <v>4.25</v>
      </c>
      <c r="E447" t="str">
        <f>VLOOKUP(A447,Medical_Examinations[],4,FALSE)</f>
        <v>No</v>
      </c>
      <c r="F447" t="str">
        <f>VLOOKUP(A447,Medical_Examinations[],5,FALSE)</f>
        <v>No</v>
      </c>
      <c r="G447" t="str">
        <f>VLOOKUP(A447,Medical_Examinations[],6,FALSE)</f>
        <v>Yes</v>
      </c>
      <c r="H447">
        <f>VLOOKUP(A447,Medical_Examinations[],7,FALSE)</f>
        <v>1</v>
      </c>
      <c r="I447" t="str">
        <f>VLOOKUP(A447,Medical_Examinations[],8,FALSE)</f>
        <v>No</v>
      </c>
      <c r="J447" t="str">
        <f>VLOOKUP(A447,Medical_Examinations[],9,FALSE)</f>
        <v>Overweight</v>
      </c>
      <c r="K447" t="str">
        <f>VLOOKUP(A447,Medical_Examinations[],10,FALSE)</f>
        <v>Normal</v>
      </c>
      <c r="M447">
        <f>VLOOKUP(A447,Hospitalisation_Details__2[],4,FALSE)</f>
        <v>22493.66</v>
      </c>
      <c r="N447" t="str">
        <f>VLOOKUP(A447,Hospitalisation_Details__2[],5,FALSE)</f>
        <v>tier - 2</v>
      </c>
      <c r="O447" t="str">
        <f>VLOOKUP(A447,Hospitalisation_Details__2[],6,FALSE)</f>
        <v>tier - 1</v>
      </c>
      <c r="P447" t="str">
        <f>VLOOKUP(A447,Hospitalisation_Details__2[],7,FALSE)</f>
        <v>R1012</v>
      </c>
    </row>
    <row r="448" spans="1:16" x14ac:dyDescent="0.35">
      <c r="A448" t="str">
        <v>Id447</v>
      </c>
      <c r="B448" t="str">
        <f>VLOOKUP(A448,'Customer Names (2)'!A:B, 2,FALSE)</f>
        <v>Ms</v>
      </c>
      <c r="C448">
        <f>VLOOKUP(A448,Medical_Examinations[],2,FALSE)</f>
        <v>26.7</v>
      </c>
      <c r="D448">
        <f>VLOOKUP(A448,Medical_Examinations[],3,FALSE)</f>
        <v>5.23</v>
      </c>
      <c r="E448" t="str">
        <f>VLOOKUP(A448,Medical_Examinations[],4,FALSE)</f>
        <v>No</v>
      </c>
      <c r="F448" t="str">
        <f>VLOOKUP(A448,Medical_Examinations[],5,FALSE)</f>
        <v>No</v>
      </c>
      <c r="G448" t="str">
        <f>VLOOKUP(A448,Medical_Examinations[],6,FALSE)</f>
        <v>Yes</v>
      </c>
      <c r="H448">
        <f>VLOOKUP(A448,Medical_Examinations[],7,FALSE)</f>
        <v>1</v>
      </c>
      <c r="I448" t="str">
        <f>VLOOKUP(A448,Medical_Examinations[],8,FALSE)</f>
        <v>Yes</v>
      </c>
      <c r="J448" t="str">
        <f>VLOOKUP(A448,Medical_Examinations[],9,FALSE)</f>
        <v>Overweight</v>
      </c>
      <c r="K448" t="str">
        <f>VLOOKUP(A448,Medical_Examinations[],10,FALSE)</f>
        <v>Normal</v>
      </c>
      <c r="M448">
        <f>VLOOKUP(A448,Hospitalisation_Details__2[],4,FALSE)</f>
        <v>22478.6</v>
      </c>
      <c r="N448" t="str">
        <f>VLOOKUP(A448,Hospitalisation_Details__2[],5,FALSE)</f>
        <v>tier - 3</v>
      </c>
      <c r="O448" t="str">
        <f>VLOOKUP(A448,Hospitalisation_Details__2[],6,FALSE)</f>
        <v>tier - 2</v>
      </c>
      <c r="P448" t="str">
        <f>VLOOKUP(A448,Hospitalisation_Details__2[],7,FALSE)</f>
        <v>R1011</v>
      </c>
    </row>
    <row r="449" spans="1:16" x14ac:dyDescent="0.35">
      <c r="A449" t="str">
        <v>Id448</v>
      </c>
      <c r="B449" t="str">
        <f>VLOOKUP(A449,'Customer Names (2)'!A:B, 2,FALSE)</f>
        <v>Mr</v>
      </c>
      <c r="C449">
        <f>VLOOKUP(A449,Medical_Examinations[],2,FALSE)</f>
        <v>29.925000000000001</v>
      </c>
      <c r="D449">
        <f>VLOOKUP(A449,Medical_Examinations[],3,FALSE)</f>
        <v>5.96</v>
      </c>
      <c r="E449" t="str">
        <f>VLOOKUP(A449,Medical_Examinations[],4,FALSE)</f>
        <v>Yes</v>
      </c>
      <c r="F449" t="str">
        <f>VLOOKUP(A449,Medical_Examinations[],5,FALSE)</f>
        <v>No</v>
      </c>
      <c r="G449" t="str">
        <f>VLOOKUP(A449,Medical_Examinations[],6,FALSE)</f>
        <v>Yes</v>
      </c>
      <c r="H449">
        <f>VLOOKUP(A449,Medical_Examinations[],7,FALSE)</f>
        <v>1</v>
      </c>
      <c r="I449" t="str">
        <f>VLOOKUP(A449,Medical_Examinations[],8,FALSE)</f>
        <v>Yes</v>
      </c>
      <c r="J449" t="str">
        <f>VLOOKUP(A449,Medical_Examinations[],9,FALSE)</f>
        <v>Overweight</v>
      </c>
      <c r="K449" t="str">
        <f>VLOOKUP(A449,Medical_Examinations[],10,FALSE)</f>
        <v>Prediabetes</v>
      </c>
      <c r="M449">
        <f>VLOOKUP(A449,Hospitalisation_Details__2[],4,FALSE)</f>
        <v>22462.04</v>
      </c>
      <c r="N449" t="str">
        <f>VLOOKUP(A449,Hospitalisation_Details__2[],5,FALSE)</f>
        <v>tier - 3</v>
      </c>
      <c r="O449" t="str">
        <f>VLOOKUP(A449,Hospitalisation_Details__2[],6,FALSE)</f>
        <v>tier - 1</v>
      </c>
      <c r="P449" t="str">
        <f>VLOOKUP(A449,Hospitalisation_Details__2[],7,FALSE)</f>
        <v>R1019</v>
      </c>
    </row>
    <row r="450" spans="1:16" x14ac:dyDescent="0.35">
      <c r="A450" t="str">
        <v>Id449</v>
      </c>
      <c r="B450" t="str">
        <f>VLOOKUP(A450,'Customer Names (2)'!A:B, 2,FALSE)</f>
        <v>Mr</v>
      </c>
      <c r="C450">
        <f>VLOOKUP(A450,Medical_Examinations[],2,FALSE)</f>
        <v>19.95</v>
      </c>
      <c r="D450">
        <f>VLOOKUP(A450,Medical_Examinations[],3,FALSE)</f>
        <v>4.29</v>
      </c>
      <c r="E450" t="str">
        <f>VLOOKUP(A450,Medical_Examinations[],4,FALSE)</f>
        <v>Yes</v>
      </c>
      <c r="F450" t="str">
        <f>VLOOKUP(A450,Medical_Examinations[],5,FALSE)</f>
        <v>No</v>
      </c>
      <c r="G450" t="str">
        <f>VLOOKUP(A450,Medical_Examinations[],6,FALSE)</f>
        <v>No</v>
      </c>
      <c r="H450">
        <f>VLOOKUP(A450,Medical_Examinations[],7,FALSE)</f>
        <v>2</v>
      </c>
      <c r="I450" t="str">
        <f>VLOOKUP(A450,Medical_Examinations[],8,FALSE)</f>
        <v>Yes</v>
      </c>
      <c r="J450" t="str">
        <f>VLOOKUP(A450,Medical_Examinations[],9,FALSE)</f>
        <v>Normal Weight</v>
      </c>
      <c r="K450" t="str">
        <f>VLOOKUP(A450,Medical_Examinations[],10,FALSE)</f>
        <v>Normal</v>
      </c>
      <c r="M450">
        <f>VLOOKUP(A450,Hospitalisation_Details__2[],4,FALSE)</f>
        <v>22412.65</v>
      </c>
      <c r="N450" t="str">
        <f>VLOOKUP(A450,Hospitalisation_Details__2[],5,FALSE)</f>
        <v>tier - 3</v>
      </c>
      <c r="O450" t="str">
        <f>VLOOKUP(A450,Hospitalisation_Details__2[],6,FALSE)</f>
        <v>tier - 3</v>
      </c>
      <c r="P450" t="str">
        <f>VLOOKUP(A450,Hospitalisation_Details__2[],7,FALSE)</f>
        <v>R1014</v>
      </c>
    </row>
    <row r="451" spans="1:16" x14ac:dyDescent="0.35">
      <c r="A451" t="str">
        <v>Id450</v>
      </c>
      <c r="B451" t="str">
        <f>VLOOKUP(A451,'Customer Names (2)'!A:B, 2,FALSE)</f>
        <v>Ms</v>
      </c>
      <c r="C451">
        <f>VLOOKUP(A451,Medical_Examinations[],2,FALSE)</f>
        <v>24.225000000000001</v>
      </c>
      <c r="D451">
        <f>VLOOKUP(A451,Medical_Examinations[],3,FALSE)</f>
        <v>4.09</v>
      </c>
      <c r="E451" t="str">
        <f>VLOOKUP(A451,Medical_Examinations[],4,FALSE)</f>
        <v>No</v>
      </c>
      <c r="F451" t="str">
        <f>VLOOKUP(A451,Medical_Examinations[],5,FALSE)</f>
        <v>No</v>
      </c>
      <c r="G451" t="str">
        <f>VLOOKUP(A451,Medical_Examinations[],6,FALSE)</f>
        <v>No</v>
      </c>
      <c r="H451">
        <f>VLOOKUP(A451,Medical_Examinations[],7,FALSE)</f>
        <v>0</v>
      </c>
      <c r="I451" t="str">
        <f>VLOOKUP(A451,Medical_Examinations[],8,FALSE)</f>
        <v>No</v>
      </c>
      <c r="J451" t="str">
        <f>VLOOKUP(A451,Medical_Examinations[],9,FALSE)</f>
        <v>Normal Weight</v>
      </c>
      <c r="K451" t="str">
        <f>VLOOKUP(A451,Medical_Examinations[],10,FALSE)</f>
        <v>Normal</v>
      </c>
      <c r="M451">
        <f>VLOOKUP(A451,Hospitalisation_Details__2[],4,FALSE)</f>
        <v>22395.74</v>
      </c>
      <c r="N451" t="str">
        <f>VLOOKUP(A451,Hospitalisation_Details__2[],5,FALSE)</f>
        <v>tier - 3</v>
      </c>
      <c r="O451" t="str">
        <f>VLOOKUP(A451,Hospitalisation_Details__2[],6,FALSE)</f>
        <v>tier - 2</v>
      </c>
      <c r="P451" t="str">
        <f>VLOOKUP(A451,Hospitalisation_Details__2[],7,FALSE)</f>
        <v>R1024</v>
      </c>
    </row>
    <row r="452" spans="1:16" x14ac:dyDescent="0.35">
      <c r="A452" t="str">
        <v>Id451</v>
      </c>
      <c r="B452" t="str">
        <f>VLOOKUP(A452,'Customer Names (2)'!A:B, 2,FALSE)</f>
        <v>Ms</v>
      </c>
      <c r="C452">
        <f>VLOOKUP(A452,Medical_Examinations[],2,FALSE)</f>
        <v>28.12</v>
      </c>
      <c r="D452">
        <f>VLOOKUP(A452,Medical_Examinations[],3,FALSE)</f>
        <v>4.88</v>
      </c>
      <c r="E452" t="str">
        <f>VLOOKUP(A452,Medical_Examinations[],4,FALSE)</f>
        <v>No</v>
      </c>
      <c r="F452" t="str">
        <f>VLOOKUP(A452,Medical_Examinations[],5,FALSE)</f>
        <v>No</v>
      </c>
      <c r="G452" t="str">
        <f>VLOOKUP(A452,Medical_Examinations[],6,FALSE)</f>
        <v>No</v>
      </c>
      <c r="H452">
        <f>VLOOKUP(A452,Medical_Examinations[],7,FALSE)</f>
        <v>0</v>
      </c>
      <c r="I452" t="str">
        <f>VLOOKUP(A452,Medical_Examinations[],8,FALSE)</f>
        <v>Yes</v>
      </c>
      <c r="J452" t="str">
        <f>VLOOKUP(A452,Medical_Examinations[],9,FALSE)</f>
        <v>Overweight</v>
      </c>
      <c r="K452" t="str">
        <f>VLOOKUP(A452,Medical_Examinations[],10,FALSE)</f>
        <v>Normal</v>
      </c>
      <c r="M452">
        <f>VLOOKUP(A452,Hospitalisation_Details__2[],4,FALSE)</f>
        <v>22331.57</v>
      </c>
      <c r="N452" t="str">
        <f>VLOOKUP(A452,Hospitalisation_Details__2[],5,FALSE)</f>
        <v>tier - 2</v>
      </c>
      <c r="O452" t="str">
        <f>VLOOKUP(A452,Hospitalisation_Details__2[],6,FALSE)</f>
        <v>tier - 3</v>
      </c>
      <c r="P452" t="str">
        <f>VLOOKUP(A452,Hospitalisation_Details__2[],7,FALSE)</f>
        <v>R1024</v>
      </c>
    </row>
    <row r="453" spans="1:16" x14ac:dyDescent="0.35">
      <c r="A453" t="str">
        <v>Id452</v>
      </c>
      <c r="B453" t="str">
        <f>VLOOKUP(A453,'Customer Names (2)'!A:B, 2,FALSE)</f>
        <v>Mr</v>
      </c>
      <c r="C453">
        <f>VLOOKUP(A453,Medical_Examinations[],2,FALSE)</f>
        <v>23.21</v>
      </c>
      <c r="D453">
        <f>VLOOKUP(A453,Medical_Examinations[],3,FALSE)</f>
        <v>6.76</v>
      </c>
      <c r="E453" t="str">
        <f>VLOOKUP(A453,Medical_Examinations[],4,FALSE)</f>
        <v>No</v>
      </c>
      <c r="F453" t="str">
        <f>VLOOKUP(A453,Medical_Examinations[],5,FALSE)</f>
        <v>No</v>
      </c>
      <c r="G453" t="str">
        <f>VLOOKUP(A453,Medical_Examinations[],6,FALSE)</f>
        <v>No</v>
      </c>
      <c r="H453">
        <f>VLOOKUP(A453,Medical_Examinations[],7,FALSE)</f>
        <v>0</v>
      </c>
      <c r="I453" t="str">
        <f>VLOOKUP(A453,Medical_Examinations[],8,FALSE)</f>
        <v>Yes</v>
      </c>
      <c r="J453" t="str">
        <f>VLOOKUP(A453,Medical_Examinations[],9,FALSE)</f>
        <v>Normal Weight</v>
      </c>
      <c r="K453" t="str">
        <f>VLOOKUP(A453,Medical_Examinations[],10,FALSE)</f>
        <v>Diabetes</v>
      </c>
      <c r="M453">
        <f>VLOOKUP(A453,Hospitalisation_Details__2[],4,FALSE)</f>
        <v>22218.11</v>
      </c>
      <c r="N453" t="str">
        <f>VLOOKUP(A453,Hospitalisation_Details__2[],5,FALSE)</f>
        <v>tier - 2</v>
      </c>
      <c r="O453" t="str">
        <f>VLOOKUP(A453,Hospitalisation_Details__2[],6,FALSE)</f>
        <v>tier - 3</v>
      </c>
      <c r="P453" t="str">
        <f>VLOOKUP(A453,Hospitalisation_Details__2[],7,FALSE)</f>
        <v>R1013</v>
      </c>
    </row>
    <row r="454" spans="1:16" x14ac:dyDescent="0.35">
      <c r="A454" t="str">
        <v>Id453</v>
      </c>
      <c r="B454" t="str">
        <f>VLOOKUP(A454,'Customer Names (2)'!A:B, 2,FALSE)</f>
        <v>Ms</v>
      </c>
      <c r="C454">
        <f>VLOOKUP(A454,Medical_Examinations[],2,FALSE)</f>
        <v>23.98</v>
      </c>
      <c r="D454">
        <f>VLOOKUP(A454,Medical_Examinations[],3,FALSE)</f>
        <v>10.67</v>
      </c>
      <c r="E454" t="str">
        <f>VLOOKUP(A454,Medical_Examinations[],4,FALSE)</f>
        <v>No</v>
      </c>
      <c r="F454" t="str">
        <f>VLOOKUP(A454,Medical_Examinations[],5,FALSE)</f>
        <v>No</v>
      </c>
      <c r="G454" t="str">
        <f>VLOOKUP(A454,Medical_Examinations[],6,FALSE)</f>
        <v>No</v>
      </c>
      <c r="H454">
        <f>VLOOKUP(A454,Medical_Examinations[],7,FALSE)</f>
        <v>0</v>
      </c>
      <c r="I454" t="str">
        <f>VLOOKUP(A454,Medical_Examinations[],8,FALSE)</f>
        <v>No</v>
      </c>
      <c r="J454" t="str">
        <f>VLOOKUP(A454,Medical_Examinations[],9,FALSE)</f>
        <v>Normal Weight</v>
      </c>
      <c r="K454" t="str">
        <f>VLOOKUP(A454,Medical_Examinations[],10,FALSE)</f>
        <v>Diabetes</v>
      </c>
      <c r="M454">
        <f>VLOOKUP(A454,Hospitalisation_Details__2[],4,FALSE)</f>
        <v>22192.44</v>
      </c>
      <c r="N454" t="str">
        <f>VLOOKUP(A454,Hospitalisation_Details__2[],5,FALSE)</f>
        <v>tier - 3</v>
      </c>
      <c r="O454" t="str">
        <f>VLOOKUP(A454,Hospitalisation_Details__2[],6,FALSE)</f>
        <v>tier - 1</v>
      </c>
      <c r="P454" t="str">
        <f>VLOOKUP(A454,Hospitalisation_Details__2[],7,FALSE)</f>
        <v>R1013</v>
      </c>
    </row>
    <row r="455" spans="1:16" x14ac:dyDescent="0.35">
      <c r="A455" t="str">
        <v>Id454</v>
      </c>
      <c r="B455" t="str">
        <f>VLOOKUP(A455,'Customer Names (2)'!A:B, 2,FALSE)</f>
        <v>Mr</v>
      </c>
      <c r="C455">
        <f>VLOOKUP(A455,Medical_Examinations[],2,FALSE)</f>
        <v>30</v>
      </c>
      <c r="D455">
        <f>VLOOKUP(A455,Medical_Examinations[],3,FALSE)</f>
        <v>6.21</v>
      </c>
      <c r="E455" t="str">
        <f>VLOOKUP(A455,Medical_Examinations[],4,FALSE)</f>
        <v>No</v>
      </c>
      <c r="F455" t="str">
        <f>VLOOKUP(A455,Medical_Examinations[],5,FALSE)</f>
        <v>No</v>
      </c>
      <c r="G455" t="str">
        <f>VLOOKUP(A455,Medical_Examinations[],6,FALSE)</f>
        <v>No</v>
      </c>
      <c r="H455">
        <f>VLOOKUP(A455,Medical_Examinations[],7,FALSE)</f>
        <v>0</v>
      </c>
      <c r="I455" t="str">
        <f>VLOOKUP(A455,Medical_Examinations[],8,FALSE)</f>
        <v>Yes</v>
      </c>
      <c r="J455" t="str">
        <f>VLOOKUP(A455,Medical_Examinations[],9,FALSE)</f>
        <v>Obesity</v>
      </c>
      <c r="K455" t="str">
        <f>VLOOKUP(A455,Medical_Examinations[],10,FALSE)</f>
        <v>Prediabetes</v>
      </c>
      <c r="M455">
        <f>VLOOKUP(A455,Hospitalisation_Details__2[],4,FALSE)</f>
        <v>22144.03</v>
      </c>
      <c r="N455" t="str">
        <f>VLOOKUP(A455,Hospitalisation_Details__2[],5,FALSE)</f>
        <v>tier - 2</v>
      </c>
      <c r="O455" t="str">
        <f>VLOOKUP(A455,Hospitalisation_Details__2[],6,FALSE)</f>
        <v>tier - 2</v>
      </c>
      <c r="P455" t="str">
        <f>VLOOKUP(A455,Hospitalisation_Details__2[],7,FALSE)</f>
        <v>R1011</v>
      </c>
    </row>
    <row r="456" spans="1:16" x14ac:dyDescent="0.35">
      <c r="A456" t="str">
        <v>Id455</v>
      </c>
      <c r="B456" t="str">
        <f>VLOOKUP(A456,'Customer Names (2)'!A:B, 2,FALSE)</f>
        <v>Mr</v>
      </c>
      <c r="C456">
        <f>VLOOKUP(A456,Medical_Examinations[],2,FALSE)</f>
        <v>17.350000000000001</v>
      </c>
      <c r="D456">
        <f>VLOOKUP(A456,Medical_Examinations[],3,FALSE)</f>
        <v>5.03</v>
      </c>
      <c r="E456" t="str">
        <f>VLOOKUP(A456,Medical_Examinations[],4,FALSE)</f>
        <v>Yes</v>
      </c>
      <c r="F456" t="str">
        <f>VLOOKUP(A456,Medical_Examinations[],5,FALSE)</f>
        <v>No</v>
      </c>
      <c r="G456" t="str">
        <f>VLOOKUP(A456,Medical_Examinations[],6,FALSE)</f>
        <v>No</v>
      </c>
      <c r="H456">
        <f>VLOOKUP(A456,Medical_Examinations[],7,FALSE)</f>
        <v>0</v>
      </c>
      <c r="I456" t="str">
        <f>VLOOKUP(A456,Medical_Examinations[],8,FALSE)</f>
        <v>Yes</v>
      </c>
      <c r="J456" t="str">
        <f>VLOOKUP(A456,Medical_Examinations[],9,FALSE)</f>
        <v>Underweight</v>
      </c>
      <c r="K456" t="str">
        <f>VLOOKUP(A456,Medical_Examinations[],10,FALSE)</f>
        <v>Normal</v>
      </c>
      <c r="M456">
        <f>VLOOKUP(A456,Hospitalisation_Details__2[],4,FALSE)</f>
        <v>22097.62</v>
      </c>
      <c r="N456" t="str">
        <f>VLOOKUP(A456,Hospitalisation_Details__2[],5,FALSE)</f>
        <v>tier - 3</v>
      </c>
      <c r="O456" t="str">
        <f>VLOOKUP(A456,Hospitalisation_Details__2[],6,FALSE)</f>
        <v>tier - 1</v>
      </c>
      <c r="P456" t="str">
        <f>VLOOKUP(A456,Hospitalisation_Details__2[],7,FALSE)</f>
        <v>R1011</v>
      </c>
    </row>
    <row r="457" spans="1:16" x14ac:dyDescent="0.35">
      <c r="A457" t="str">
        <v>Id456</v>
      </c>
      <c r="B457" t="str">
        <f>VLOOKUP(A457,'Customer Names (2)'!A:B, 2,FALSE)</f>
        <v>Mr</v>
      </c>
      <c r="C457">
        <f>VLOOKUP(A457,Medical_Examinations[],2,FALSE)</f>
        <v>22.704999999999998</v>
      </c>
      <c r="D457">
        <f>VLOOKUP(A457,Medical_Examinations[],3,FALSE)</f>
        <v>5.27</v>
      </c>
      <c r="E457" t="str">
        <f>VLOOKUP(A457,Medical_Examinations[],4,FALSE)</f>
        <v>No</v>
      </c>
      <c r="F457" t="str">
        <f>VLOOKUP(A457,Medical_Examinations[],5,FALSE)</f>
        <v>No</v>
      </c>
      <c r="G457" t="str">
        <f>VLOOKUP(A457,Medical_Examinations[],6,FALSE)</f>
        <v>No</v>
      </c>
      <c r="H457">
        <f>VLOOKUP(A457,Medical_Examinations[],7,FALSE)</f>
        <v>0</v>
      </c>
      <c r="I457" t="str">
        <f>VLOOKUP(A457,Medical_Examinations[],8,FALSE)</f>
        <v>No</v>
      </c>
      <c r="J457" t="str">
        <f>VLOOKUP(A457,Medical_Examinations[],9,FALSE)</f>
        <v>Normal Weight</v>
      </c>
      <c r="K457" t="str">
        <f>VLOOKUP(A457,Medical_Examinations[],10,FALSE)</f>
        <v>Normal</v>
      </c>
      <c r="M457">
        <f>VLOOKUP(A457,Hospitalisation_Details__2[],4,FALSE)</f>
        <v>21984.47</v>
      </c>
      <c r="N457" t="str">
        <f>VLOOKUP(A457,Hospitalisation_Details__2[],5,FALSE)</f>
        <v>tier - 3</v>
      </c>
      <c r="O457" t="str">
        <f>VLOOKUP(A457,Hospitalisation_Details__2[],6,FALSE)</f>
        <v>tier - 1</v>
      </c>
      <c r="P457" t="str">
        <f>VLOOKUP(A457,Hospitalisation_Details__2[],7,FALSE)</f>
        <v>R1012</v>
      </c>
    </row>
    <row r="458" spans="1:16" x14ac:dyDescent="0.35">
      <c r="A458" t="str">
        <v>Id457</v>
      </c>
      <c r="B458" t="str">
        <f>VLOOKUP(A458,'Customer Names (2)'!A:B, 2,FALSE)</f>
        <v>Mr</v>
      </c>
      <c r="C458">
        <f>VLOOKUP(A458,Medical_Examinations[],2,FALSE)</f>
        <v>25.41</v>
      </c>
      <c r="D458">
        <f>VLOOKUP(A458,Medical_Examinations[],3,FALSE)</f>
        <v>10.53</v>
      </c>
      <c r="E458" t="str">
        <f>VLOOKUP(A458,Medical_Examinations[],4,FALSE)</f>
        <v>Yes</v>
      </c>
      <c r="F458" t="str">
        <f>VLOOKUP(A458,Medical_Examinations[],5,FALSE)</f>
        <v>No</v>
      </c>
      <c r="G458" t="str">
        <f>VLOOKUP(A458,Medical_Examinations[],6,FALSE)</f>
        <v>No</v>
      </c>
      <c r="H458">
        <f>VLOOKUP(A458,Medical_Examinations[],7,FALSE)</f>
        <v>1</v>
      </c>
      <c r="I458" t="str">
        <f>VLOOKUP(A458,Medical_Examinations[],8,FALSE)</f>
        <v>Yes</v>
      </c>
      <c r="J458" t="str">
        <f>VLOOKUP(A458,Medical_Examinations[],9,FALSE)</f>
        <v>Overweight</v>
      </c>
      <c r="K458" t="str">
        <f>VLOOKUP(A458,Medical_Examinations[],10,FALSE)</f>
        <v>Diabetes</v>
      </c>
      <c r="M458">
        <f>VLOOKUP(A458,Hospitalisation_Details__2[],4,FALSE)</f>
        <v>21978.68</v>
      </c>
      <c r="N458" t="str">
        <f>VLOOKUP(A458,Hospitalisation_Details__2[],5,FALSE)</f>
        <v>tier - 3</v>
      </c>
      <c r="O458" t="str">
        <f>VLOOKUP(A458,Hospitalisation_Details__2[],6,FALSE)</f>
        <v>tier - 3</v>
      </c>
      <c r="P458" t="str">
        <f>VLOOKUP(A458,Hospitalisation_Details__2[],7,FALSE)</f>
        <v>R1013</v>
      </c>
    </row>
    <row r="459" spans="1:16" x14ac:dyDescent="0.35">
      <c r="A459" t="str">
        <v>Id458</v>
      </c>
      <c r="B459" t="str">
        <f>VLOOKUP(A459,'Customer Names (2)'!A:B, 2,FALSE)</f>
        <v>Mr</v>
      </c>
      <c r="C459">
        <f>VLOOKUP(A459,Medical_Examinations[],2,FALSE)</f>
        <v>18.23</v>
      </c>
      <c r="D459">
        <f>VLOOKUP(A459,Medical_Examinations[],3,FALSE)</f>
        <v>5.78</v>
      </c>
      <c r="E459" t="str">
        <f>VLOOKUP(A459,Medical_Examinations[],4,FALSE)</f>
        <v>No</v>
      </c>
      <c r="F459" t="str">
        <f>VLOOKUP(A459,Medical_Examinations[],5,FALSE)</f>
        <v>No</v>
      </c>
      <c r="G459" t="str">
        <f>VLOOKUP(A459,Medical_Examinations[],6,FALSE)</f>
        <v>Yes</v>
      </c>
      <c r="H459">
        <f>VLOOKUP(A459,Medical_Examinations[],7,FALSE)</f>
        <v>1</v>
      </c>
      <c r="I459" t="str">
        <f>VLOOKUP(A459,Medical_Examinations[],8,FALSE)</f>
        <v>Yes</v>
      </c>
      <c r="J459" t="str">
        <f>VLOOKUP(A459,Medical_Examinations[],9,FALSE)</f>
        <v>Underweight</v>
      </c>
      <c r="K459" t="str">
        <f>VLOOKUP(A459,Medical_Examinations[],10,FALSE)</f>
        <v>Prediabetes</v>
      </c>
      <c r="M459">
        <f>VLOOKUP(A459,Hospitalisation_Details__2[],4,FALSE)</f>
        <v>21882.400000000001</v>
      </c>
      <c r="N459" t="str">
        <f>VLOOKUP(A459,Hospitalisation_Details__2[],5,FALSE)</f>
        <v>tier - 2</v>
      </c>
      <c r="O459" t="str">
        <f>VLOOKUP(A459,Hospitalisation_Details__2[],6,FALSE)</f>
        <v>tier - 1</v>
      </c>
      <c r="P459" t="str">
        <f>VLOOKUP(A459,Hospitalisation_Details__2[],7,FALSE)</f>
        <v>R1011</v>
      </c>
    </row>
    <row r="460" spans="1:16" x14ac:dyDescent="0.35">
      <c r="A460" t="str">
        <v>Id459</v>
      </c>
      <c r="B460" t="str">
        <f>VLOOKUP(A460,'Customer Names (2)'!A:B, 2,FALSE)</f>
        <v>Ms</v>
      </c>
      <c r="C460">
        <f>VLOOKUP(A460,Medical_Examinations[],2,FALSE)</f>
        <v>24.7</v>
      </c>
      <c r="D460">
        <f>VLOOKUP(A460,Medical_Examinations[],3,FALSE)</f>
        <v>4.3600000000000003</v>
      </c>
      <c r="E460" t="str">
        <f>VLOOKUP(A460,Medical_Examinations[],4,FALSE)</f>
        <v>No</v>
      </c>
      <c r="F460" t="str">
        <f>VLOOKUP(A460,Medical_Examinations[],5,FALSE)</f>
        <v>No</v>
      </c>
      <c r="G460" t="str">
        <f>VLOOKUP(A460,Medical_Examinations[],6,FALSE)</f>
        <v>Yes</v>
      </c>
      <c r="H460">
        <f>VLOOKUP(A460,Medical_Examinations[],7,FALSE)</f>
        <v>1</v>
      </c>
      <c r="I460" t="str">
        <f>VLOOKUP(A460,Medical_Examinations[],8,FALSE)</f>
        <v>Yes</v>
      </c>
      <c r="J460" t="str">
        <f>VLOOKUP(A460,Medical_Examinations[],9,FALSE)</f>
        <v>Normal Weight</v>
      </c>
      <c r="K460" t="str">
        <f>VLOOKUP(A460,Medical_Examinations[],10,FALSE)</f>
        <v>Normal</v>
      </c>
      <c r="M460">
        <f>VLOOKUP(A460,Hospitalisation_Details__2[],4,FALSE)</f>
        <v>21880.82</v>
      </c>
      <c r="N460" t="str">
        <f>VLOOKUP(A460,Hospitalisation_Details__2[],5,FALSE)</f>
        <v>tier - 3</v>
      </c>
      <c r="O460" t="str">
        <f>VLOOKUP(A460,Hospitalisation_Details__2[],6,FALSE)</f>
        <v>tier - 1</v>
      </c>
      <c r="P460" t="str">
        <f>VLOOKUP(A460,Hospitalisation_Details__2[],7,FALSE)</f>
        <v>R1012</v>
      </c>
    </row>
    <row r="461" spans="1:16" x14ac:dyDescent="0.35">
      <c r="A461" t="str">
        <v>Id460</v>
      </c>
      <c r="B461" t="str">
        <f>VLOOKUP(A461,'Customer Names (2)'!A:B, 2,FALSE)</f>
        <v>Mr</v>
      </c>
      <c r="C461">
        <f>VLOOKUP(A461,Medical_Examinations[],2,FALSE)</f>
        <v>37.4</v>
      </c>
      <c r="D461">
        <f>VLOOKUP(A461,Medical_Examinations[],3,FALSE)</f>
        <v>9.7200000000000006</v>
      </c>
      <c r="E461" t="str">
        <f>VLOOKUP(A461,Medical_Examinations[],4,FALSE)</f>
        <v>Yes</v>
      </c>
      <c r="F461" t="str">
        <f>VLOOKUP(A461,Medical_Examinations[],5,FALSE)</f>
        <v>No</v>
      </c>
      <c r="G461" t="str">
        <f>VLOOKUP(A461,Medical_Examinations[],6,FALSE)</f>
        <v>Yes</v>
      </c>
      <c r="H461">
        <f>VLOOKUP(A461,Medical_Examinations[],7,FALSE)</f>
        <v>1</v>
      </c>
      <c r="I461" t="str">
        <f>VLOOKUP(A461,Medical_Examinations[],8,FALSE)</f>
        <v>No</v>
      </c>
      <c r="J461" t="str">
        <f>VLOOKUP(A461,Medical_Examinations[],9,FALSE)</f>
        <v>Obesity</v>
      </c>
      <c r="K461" t="str">
        <f>VLOOKUP(A461,Medical_Examinations[],10,FALSE)</f>
        <v>Diabetes</v>
      </c>
      <c r="M461">
        <f>VLOOKUP(A461,Hospitalisation_Details__2[],4,FALSE)</f>
        <v>21797</v>
      </c>
      <c r="N461" t="str">
        <f>VLOOKUP(A461,Hospitalisation_Details__2[],5,FALSE)</f>
        <v>tier - 3</v>
      </c>
      <c r="O461" t="str">
        <f>VLOOKUP(A461,Hospitalisation_Details__2[],6,FALSE)</f>
        <v>tier - 1</v>
      </c>
      <c r="P461" t="str">
        <f>VLOOKUP(A461,Hospitalisation_Details__2[],7,FALSE)</f>
        <v>R1011</v>
      </c>
    </row>
    <row r="462" spans="1:16" x14ac:dyDescent="0.35">
      <c r="A462" t="str">
        <v>Id461</v>
      </c>
      <c r="B462" t="str">
        <f>VLOOKUP(A462,'Customer Names (2)'!A:B, 2,FALSE)</f>
        <v>Ms</v>
      </c>
      <c r="C462">
        <f>VLOOKUP(A462,Medical_Examinations[],2,FALSE)</f>
        <v>26.885000000000002</v>
      </c>
      <c r="D462">
        <f>VLOOKUP(A462,Medical_Examinations[],3,FALSE)</f>
        <v>5.18</v>
      </c>
      <c r="E462" t="str">
        <f>VLOOKUP(A462,Medical_Examinations[],4,FALSE)</f>
        <v>No</v>
      </c>
      <c r="F462" t="str">
        <f>VLOOKUP(A462,Medical_Examinations[],5,FALSE)</f>
        <v>No</v>
      </c>
      <c r="G462" t="str">
        <f>VLOOKUP(A462,Medical_Examinations[],6,FALSE)</f>
        <v>Yes</v>
      </c>
      <c r="H462">
        <f>VLOOKUP(A462,Medical_Examinations[],7,FALSE)</f>
        <v>1</v>
      </c>
      <c r="I462" t="str">
        <f>VLOOKUP(A462,Medical_Examinations[],8,FALSE)</f>
        <v>Yes</v>
      </c>
      <c r="J462" t="str">
        <f>VLOOKUP(A462,Medical_Examinations[],9,FALSE)</f>
        <v>Overweight</v>
      </c>
      <c r="K462" t="str">
        <f>VLOOKUP(A462,Medical_Examinations[],10,FALSE)</f>
        <v>Normal</v>
      </c>
      <c r="M462">
        <f>VLOOKUP(A462,Hospitalisation_Details__2[],4,FALSE)</f>
        <v>21774.32</v>
      </c>
      <c r="N462" t="str">
        <f>VLOOKUP(A462,Hospitalisation_Details__2[],5,FALSE)</f>
        <v>tier - 3</v>
      </c>
      <c r="O462" t="str">
        <f>VLOOKUP(A462,Hospitalisation_Details__2[],6,FALSE)</f>
        <v>tier - 2</v>
      </c>
      <c r="P462" t="str">
        <f>VLOOKUP(A462,Hospitalisation_Details__2[],7,FALSE)</f>
        <v>R1012</v>
      </c>
    </row>
    <row r="463" spans="1:16" x14ac:dyDescent="0.35">
      <c r="A463" t="str">
        <v>Id462</v>
      </c>
      <c r="B463" t="str">
        <f>VLOOKUP(A463,'Customer Names (2)'!A:B, 2,FALSE)</f>
        <v>Ms</v>
      </c>
      <c r="C463">
        <f>VLOOKUP(A463,Medical_Examinations[],2,FALSE)</f>
        <v>25.27</v>
      </c>
      <c r="D463">
        <f>VLOOKUP(A463,Medical_Examinations[],3,FALSE)</f>
        <v>5.29</v>
      </c>
      <c r="E463" t="str">
        <f>VLOOKUP(A463,Medical_Examinations[],4,FALSE)</f>
        <v>No</v>
      </c>
      <c r="F463" t="str">
        <f>VLOOKUP(A463,Medical_Examinations[],5,FALSE)</f>
        <v>No</v>
      </c>
      <c r="G463" t="str">
        <f>VLOOKUP(A463,Medical_Examinations[],6,FALSE)</f>
        <v>Yes</v>
      </c>
      <c r="H463">
        <f>VLOOKUP(A463,Medical_Examinations[],7,FALSE)</f>
        <v>1</v>
      </c>
      <c r="I463" t="str">
        <f>VLOOKUP(A463,Medical_Examinations[],8,FALSE)</f>
        <v>Yes</v>
      </c>
      <c r="J463" t="str">
        <f>VLOOKUP(A463,Medical_Examinations[],9,FALSE)</f>
        <v>Overweight</v>
      </c>
      <c r="K463" t="str">
        <f>VLOOKUP(A463,Medical_Examinations[],10,FALSE)</f>
        <v>Normal</v>
      </c>
      <c r="M463">
        <f>VLOOKUP(A463,Hospitalisation_Details__2[],4,FALSE)</f>
        <v>21771.34</v>
      </c>
      <c r="N463" t="str">
        <f>VLOOKUP(A463,Hospitalisation_Details__2[],5,FALSE)</f>
        <v>tier - 3</v>
      </c>
      <c r="O463" t="str">
        <f>VLOOKUP(A463,Hospitalisation_Details__2[],6,FALSE)</f>
        <v>tier - 1</v>
      </c>
      <c r="P463" t="str">
        <f>VLOOKUP(A463,Hospitalisation_Details__2[],7,FALSE)</f>
        <v>R1024</v>
      </c>
    </row>
    <row r="464" spans="1:16" x14ac:dyDescent="0.35">
      <c r="A464" t="str">
        <v>Id463</v>
      </c>
      <c r="B464" t="str">
        <f>VLOOKUP(A464,'Customer Names (2)'!A:B, 2,FALSE)</f>
        <v>Ms</v>
      </c>
      <c r="C464">
        <f>VLOOKUP(A464,Medical_Examinations[],2,FALSE)</f>
        <v>23.655000000000001</v>
      </c>
      <c r="D464">
        <f>VLOOKUP(A464,Medical_Examinations[],3,FALSE)</f>
        <v>4.8600000000000003</v>
      </c>
      <c r="E464" t="str">
        <f>VLOOKUP(A464,Medical_Examinations[],4,FALSE)</f>
        <v>Yes</v>
      </c>
      <c r="F464" t="str">
        <f>VLOOKUP(A464,Medical_Examinations[],5,FALSE)</f>
        <v>No</v>
      </c>
      <c r="G464" t="str">
        <f>VLOOKUP(A464,Medical_Examinations[],6,FALSE)</f>
        <v>No</v>
      </c>
      <c r="H464">
        <f>VLOOKUP(A464,Medical_Examinations[],7,FALSE)</f>
        <v>0</v>
      </c>
      <c r="I464" t="str">
        <f>VLOOKUP(A464,Medical_Examinations[],8,FALSE)</f>
        <v>Yes</v>
      </c>
      <c r="J464" t="str">
        <f>VLOOKUP(A464,Medical_Examinations[],9,FALSE)</f>
        <v>Normal Weight</v>
      </c>
      <c r="K464" t="str">
        <f>VLOOKUP(A464,Medical_Examinations[],10,FALSE)</f>
        <v>Normal</v>
      </c>
      <c r="M464">
        <f>VLOOKUP(A464,Hospitalisation_Details__2[],4,FALSE)</f>
        <v>21677.279999999999</v>
      </c>
      <c r="N464" t="str">
        <f>VLOOKUP(A464,Hospitalisation_Details__2[],5,FALSE)</f>
        <v>tier - 3</v>
      </c>
      <c r="O464" t="str">
        <f>VLOOKUP(A464,Hospitalisation_Details__2[],6,FALSE)</f>
        <v>tier - 1</v>
      </c>
      <c r="P464" t="str">
        <f>VLOOKUP(A464,Hospitalisation_Details__2[],7,FALSE)</f>
        <v>R1012</v>
      </c>
    </row>
    <row r="465" spans="1:16" x14ac:dyDescent="0.35">
      <c r="A465" t="str">
        <v>Id464</v>
      </c>
      <c r="B465" t="str">
        <f>VLOOKUP(A465,'Customer Names (2)'!A:B, 2,FALSE)</f>
        <v>Mr</v>
      </c>
      <c r="C465">
        <f>VLOOKUP(A465,Medical_Examinations[],2,FALSE)</f>
        <v>55.05</v>
      </c>
      <c r="D465">
        <f>VLOOKUP(A465,Medical_Examinations[],3,FALSE)</f>
        <v>7.66</v>
      </c>
      <c r="E465" t="str">
        <f>VLOOKUP(A465,Medical_Examinations[],4,FALSE)</f>
        <v>No</v>
      </c>
      <c r="F465" t="str">
        <f>VLOOKUP(A465,Medical_Examinations[],5,FALSE)</f>
        <v>No</v>
      </c>
      <c r="G465" t="str">
        <f>VLOOKUP(A465,Medical_Examinations[],6,FALSE)</f>
        <v>No</v>
      </c>
      <c r="H465">
        <f>VLOOKUP(A465,Medical_Examinations[],7,FALSE)</f>
        <v>0</v>
      </c>
      <c r="I465" t="str">
        <f>VLOOKUP(A465,Medical_Examinations[],8,FALSE)</f>
        <v>No</v>
      </c>
      <c r="J465" t="str">
        <f>VLOOKUP(A465,Medical_Examinations[],9,FALSE)</f>
        <v>Obesity</v>
      </c>
      <c r="K465" t="str">
        <f>VLOOKUP(A465,Medical_Examinations[],10,FALSE)</f>
        <v>Diabetes</v>
      </c>
      <c r="M465">
        <f>VLOOKUP(A465,Hospitalisation_Details__2[],4,FALSE)</f>
        <v>21661.16</v>
      </c>
      <c r="N465" t="str">
        <f>VLOOKUP(A465,Hospitalisation_Details__2[],5,FALSE)</f>
        <v>tier - 2</v>
      </c>
      <c r="O465" t="str">
        <f>VLOOKUP(A465,Hospitalisation_Details__2[],6,FALSE)</f>
        <v>tier - 2</v>
      </c>
      <c r="P465" t="str">
        <f>VLOOKUP(A465,Hospitalisation_Details__2[],7,FALSE)</f>
        <v>R1012</v>
      </c>
    </row>
    <row r="466" spans="1:16" x14ac:dyDescent="0.35">
      <c r="A466" t="str">
        <v>Id465</v>
      </c>
      <c r="B466" t="str">
        <f>VLOOKUP(A466,'Customer Names (2)'!A:B, 2,FALSE)</f>
        <v>Ms</v>
      </c>
      <c r="C466">
        <f>VLOOKUP(A466,Medical_Examinations[],2,FALSE)</f>
        <v>24.89</v>
      </c>
      <c r="D466">
        <f>VLOOKUP(A466,Medical_Examinations[],3,FALSE)</f>
        <v>6.1</v>
      </c>
      <c r="E466" t="str">
        <f>VLOOKUP(A466,Medical_Examinations[],4,FALSE)</f>
        <v>Yes</v>
      </c>
      <c r="F466" t="str">
        <f>VLOOKUP(A466,Medical_Examinations[],5,FALSE)</f>
        <v>No</v>
      </c>
      <c r="G466" t="str">
        <f>VLOOKUP(A466,Medical_Examinations[],6,FALSE)</f>
        <v>Yes</v>
      </c>
      <c r="H466">
        <f>VLOOKUP(A466,Medical_Examinations[],7,FALSE)</f>
        <v>1</v>
      </c>
      <c r="I466" t="str">
        <f>VLOOKUP(A466,Medical_Examinations[],8,FALSE)</f>
        <v>Yes</v>
      </c>
      <c r="J466" t="str">
        <f>VLOOKUP(A466,Medical_Examinations[],9,FALSE)</f>
        <v>Normal Weight</v>
      </c>
      <c r="K466" t="str">
        <f>VLOOKUP(A466,Medical_Examinations[],10,FALSE)</f>
        <v>Prediabetes</v>
      </c>
      <c r="M466">
        <f>VLOOKUP(A466,Hospitalisation_Details__2[],4,FALSE)</f>
        <v>21659.93</v>
      </c>
      <c r="N466" t="str">
        <f>VLOOKUP(A466,Hospitalisation_Details__2[],5,FALSE)</f>
        <v>tier - 3</v>
      </c>
      <c r="O466" t="str">
        <f>VLOOKUP(A466,Hospitalisation_Details__2[],6,FALSE)</f>
        <v>tier - 3</v>
      </c>
      <c r="P466" t="str">
        <f>VLOOKUP(A466,Hospitalisation_Details__2[],7,FALSE)</f>
        <v>R1024</v>
      </c>
    </row>
    <row r="467" spans="1:16" x14ac:dyDescent="0.35">
      <c r="A467" t="str">
        <v>Id466</v>
      </c>
      <c r="B467" t="str">
        <f>VLOOKUP(A467,'Customer Names (2)'!A:B, 2,FALSE)</f>
        <v>Mr</v>
      </c>
      <c r="C467">
        <f>VLOOKUP(A467,Medical_Examinations[],2,FALSE)</f>
        <v>18.715</v>
      </c>
      <c r="D467">
        <f>VLOOKUP(A467,Medical_Examinations[],3,FALSE)</f>
        <v>4.4400000000000004</v>
      </c>
      <c r="E467" t="str">
        <f>VLOOKUP(A467,Medical_Examinations[],4,FALSE)</f>
        <v>No</v>
      </c>
      <c r="F467" t="str">
        <f>VLOOKUP(A467,Medical_Examinations[],5,FALSE)</f>
        <v>No</v>
      </c>
      <c r="G467" t="str">
        <f>VLOOKUP(A467,Medical_Examinations[],6,FALSE)</f>
        <v>No</v>
      </c>
      <c r="H467">
        <f>VLOOKUP(A467,Medical_Examinations[],7,FALSE)</f>
        <v>0</v>
      </c>
      <c r="I467" t="str">
        <f>VLOOKUP(A467,Medical_Examinations[],8,FALSE)</f>
        <v>No</v>
      </c>
      <c r="J467" t="str">
        <f>VLOOKUP(A467,Medical_Examinations[],9,FALSE)</f>
        <v>Normal Weight</v>
      </c>
      <c r="K467" t="str">
        <f>VLOOKUP(A467,Medical_Examinations[],10,FALSE)</f>
        <v>Normal</v>
      </c>
      <c r="M467">
        <f>VLOOKUP(A467,Hospitalisation_Details__2[],4,FALSE)</f>
        <v>21595.38</v>
      </c>
      <c r="N467" t="str">
        <f>VLOOKUP(A467,Hospitalisation_Details__2[],5,FALSE)</f>
        <v>tier - 2</v>
      </c>
      <c r="O467" t="str">
        <f>VLOOKUP(A467,Hospitalisation_Details__2[],6,FALSE)</f>
        <v>tier - 3</v>
      </c>
      <c r="P467" t="str">
        <f>VLOOKUP(A467,Hospitalisation_Details__2[],7,FALSE)</f>
        <v>R1012</v>
      </c>
    </row>
    <row r="468" spans="1:16" x14ac:dyDescent="0.35">
      <c r="A468" t="str">
        <v>Id467</v>
      </c>
      <c r="B468" t="str">
        <f>VLOOKUP(A468,'Customer Names (2)'!A:B, 2,FALSE)</f>
        <v>Mr</v>
      </c>
      <c r="C468">
        <f>VLOOKUP(A468,Medical_Examinations[],2,FALSE)</f>
        <v>28.12</v>
      </c>
      <c r="D468">
        <f>VLOOKUP(A468,Medical_Examinations[],3,FALSE)</f>
        <v>6.15</v>
      </c>
      <c r="E468" t="str">
        <f>VLOOKUP(A468,Medical_Examinations[],4,FALSE)</f>
        <v>No</v>
      </c>
      <c r="F468" t="str">
        <f>VLOOKUP(A468,Medical_Examinations[],5,FALSE)</f>
        <v>No</v>
      </c>
      <c r="G468" t="str">
        <f>VLOOKUP(A468,Medical_Examinations[],6,FALSE)</f>
        <v>No</v>
      </c>
      <c r="H468">
        <f>VLOOKUP(A468,Medical_Examinations[],7,FALSE)</f>
        <v>0</v>
      </c>
      <c r="I468" t="str">
        <f>VLOOKUP(A468,Medical_Examinations[],8,FALSE)</f>
        <v>Yes</v>
      </c>
      <c r="J468" t="str">
        <f>VLOOKUP(A468,Medical_Examinations[],9,FALSE)</f>
        <v>Overweight</v>
      </c>
      <c r="K468" t="str">
        <f>VLOOKUP(A468,Medical_Examinations[],10,FALSE)</f>
        <v>Prediabetes</v>
      </c>
      <c r="M468">
        <f>VLOOKUP(A468,Hospitalisation_Details__2[],4,FALSE)</f>
        <v>21472.48</v>
      </c>
      <c r="N468" t="str">
        <f>VLOOKUP(A468,Hospitalisation_Details__2[],5,FALSE)</f>
        <v>tier - 2</v>
      </c>
      <c r="O468" t="str">
        <f>VLOOKUP(A468,Hospitalisation_Details__2[],6,FALSE)</f>
        <v>tier - 2</v>
      </c>
      <c r="P468" t="str">
        <f>VLOOKUP(A468,Hospitalisation_Details__2[],7,FALSE)</f>
        <v>R1012</v>
      </c>
    </row>
    <row r="469" spans="1:16" x14ac:dyDescent="0.35">
      <c r="A469" t="str">
        <v>Id468</v>
      </c>
      <c r="B469" t="str">
        <f>VLOOKUP(A469,'Customer Names (2)'!A:B, 2,FALSE)</f>
        <v>Ms</v>
      </c>
      <c r="C469">
        <f>VLOOKUP(A469,Medical_Examinations[],2,FALSE)</f>
        <v>26.6</v>
      </c>
      <c r="D469">
        <f>VLOOKUP(A469,Medical_Examinations[],3,FALSE)</f>
        <v>4.53</v>
      </c>
      <c r="E469" t="str">
        <f>VLOOKUP(A469,Medical_Examinations[],4,FALSE)</f>
        <v>No</v>
      </c>
      <c r="F469" t="str">
        <f>VLOOKUP(A469,Medical_Examinations[],5,FALSE)</f>
        <v>No</v>
      </c>
      <c r="G469" t="str">
        <f>VLOOKUP(A469,Medical_Examinations[],6,FALSE)</f>
        <v>No</v>
      </c>
      <c r="H469">
        <f>VLOOKUP(A469,Medical_Examinations[],7,FALSE)</f>
        <v>0</v>
      </c>
      <c r="I469" t="str">
        <f>VLOOKUP(A469,Medical_Examinations[],8,FALSE)</f>
        <v>Yes</v>
      </c>
      <c r="J469" t="str">
        <f>VLOOKUP(A469,Medical_Examinations[],9,FALSE)</f>
        <v>Overweight</v>
      </c>
      <c r="K469" t="str">
        <f>VLOOKUP(A469,Medical_Examinations[],10,FALSE)</f>
        <v>Normal</v>
      </c>
      <c r="M469">
        <f>VLOOKUP(A469,Hospitalisation_Details__2[],4,FALSE)</f>
        <v>21348.71</v>
      </c>
      <c r="N469" t="str">
        <f>VLOOKUP(A469,Hospitalisation_Details__2[],5,FALSE)</f>
        <v>tier - 2</v>
      </c>
      <c r="O469" t="str">
        <f>VLOOKUP(A469,Hospitalisation_Details__2[],6,FALSE)</f>
        <v>tier - 1</v>
      </c>
      <c r="P469" t="str">
        <f>VLOOKUP(A469,Hospitalisation_Details__2[],7,FALSE)</f>
        <v>R1012</v>
      </c>
    </row>
    <row r="470" spans="1:16" x14ac:dyDescent="0.35">
      <c r="A470" t="str">
        <v>Id469</v>
      </c>
      <c r="B470" t="str">
        <f>VLOOKUP(A470,'Customer Names (2)'!A:B, 2,FALSE)</f>
        <v>Ms</v>
      </c>
      <c r="C470">
        <f>VLOOKUP(A470,Medical_Examinations[],2,FALSE)</f>
        <v>30.114999999999998</v>
      </c>
      <c r="D470">
        <f>VLOOKUP(A470,Medical_Examinations[],3,FALSE)</f>
        <v>5.48</v>
      </c>
      <c r="E470" t="str">
        <f>VLOOKUP(A470,Medical_Examinations[],4,FALSE)</f>
        <v>No</v>
      </c>
      <c r="F470" t="str">
        <f>VLOOKUP(A470,Medical_Examinations[],5,FALSE)</f>
        <v>yes</v>
      </c>
      <c r="G470" t="str">
        <f>VLOOKUP(A470,Medical_Examinations[],6,FALSE)</f>
        <v>No</v>
      </c>
      <c r="H470">
        <f>VLOOKUP(A470,Medical_Examinations[],7,FALSE)</f>
        <v>1</v>
      </c>
      <c r="I470" t="str">
        <f>VLOOKUP(A470,Medical_Examinations[],8,FALSE)</f>
        <v>No</v>
      </c>
      <c r="J470" t="str">
        <f>VLOOKUP(A470,Medical_Examinations[],9,FALSE)</f>
        <v>Obesity</v>
      </c>
      <c r="K470" t="str">
        <f>VLOOKUP(A470,Medical_Examinations[],10,FALSE)</f>
        <v>Normal</v>
      </c>
      <c r="M470">
        <f>VLOOKUP(A470,Hospitalisation_Details__2[],4,FALSE)</f>
        <v>21344.85</v>
      </c>
      <c r="N470" t="str">
        <f>VLOOKUP(A470,Hospitalisation_Details__2[],5,FALSE)</f>
        <v>tier - 3</v>
      </c>
      <c r="O470" t="str">
        <f>VLOOKUP(A470,Hospitalisation_Details__2[],6,FALSE)</f>
        <v>tier - 1</v>
      </c>
      <c r="P470" t="str">
        <f>VLOOKUP(A470,Hospitalisation_Details__2[],7,FALSE)</f>
        <v>R1024</v>
      </c>
    </row>
    <row r="471" spans="1:16" x14ac:dyDescent="0.35">
      <c r="A471" t="str">
        <v>Id470</v>
      </c>
      <c r="B471" t="str">
        <f>VLOOKUP(A471,'Customer Names (2)'!A:B, 2,FALSE)</f>
        <v>Mr</v>
      </c>
      <c r="C471">
        <f>VLOOKUP(A471,Medical_Examinations[],2,FALSE)</f>
        <v>24.605</v>
      </c>
      <c r="D471">
        <f>VLOOKUP(A471,Medical_Examinations[],3,FALSE)</f>
        <v>5.48</v>
      </c>
      <c r="E471" t="str">
        <f>VLOOKUP(A471,Medical_Examinations[],4,FALSE)</f>
        <v>No</v>
      </c>
      <c r="F471" t="str">
        <f>VLOOKUP(A471,Medical_Examinations[],5,FALSE)</f>
        <v>No</v>
      </c>
      <c r="G471" t="str">
        <f>VLOOKUP(A471,Medical_Examinations[],6,FALSE)</f>
        <v>No</v>
      </c>
      <c r="H471">
        <f>VLOOKUP(A471,Medical_Examinations[],7,FALSE)</f>
        <v>0</v>
      </c>
      <c r="I471" t="str">
        <f>VLOOKUP(A471,Medical_Examinations[],8,FALSE)</f>
        <v>Yes</v>
      </c>
      <c r="J471" t="str">
        <f>VLOOKUP(A471,Medical_Examinations[],9,FALSE)</f>
        <v>Normal Weight</v>
      </c>
      <c r="K471" t="str">
        <f>VLOOKUP(A471,Medical_Examinations[],10,FALSE)</f>
        <v>Normal</v>
      </c>
      <c r="M471">
        <f>VLOOKUP(A471,Hospitalisation_Details__2[],4,FALSE)</f>
        <v>21259.38</v>
      </c>
      <c r="N471" t="str">
        <f>VLOOKUP(A471,Hospitalisation_Details__2[],5,FALSE)</f>
        <v>tier - 3</v>
      </c>
      <c r="O471" t="str">
        <f>VLOOKUP(A471,Hospitalisation_Details__2[],6,FALSE)</f>
        <v>tier - 3</v>
      </c>
      <c r="P471" t="str">
        <f>VLOOKUP(A471,Hospitalisation_Details__2[],7,FALSE)</f>
        <v>R1019</v>
      </c>
    </row>
    <row r="472" spans="1:16" x14ac:dyDescent="0.35">
      <c r="A472" t="str">
        <v>Id471</v>
      </c>
      <c r="B472" t="str">
        <f>VLOOKUP(A472,'Customer Names (2)'!A:B, 2,FALSE)</f>
        <v>Mr</v>
      </c>
      <c r="C472">
        <f>VLOOKUP(A472,Medical_Examinations[],2,FALSE)</f>
        <v>29.6</v>
      </c>
      <c r="D472">
        <f>VLOOKUP(A472,Medical_Examinations[],3,FALSE)</f>
        <v>8.1</v>
      </c>
      <c r="E472" t="str">
        <f>VLOOKUP(A472,Medical_Examinations[],4,FALSE)</f>
        <v>No</v>
      </c>
      <c r="F472" t="str">
        <f>VLOOKUP(A472,Medical_Examinations[],5,FALSE)</f>
        <v>No</v>
      </c>
      <c r="G472" t="str">
        <f>VLOOKUP(A472,Medical_Examinations[],6,FALSE)</f>
        <v>No</v>
      </c>
      <c r="H472">
        <f>VLOOKUP(A472,Medical_Examinations[],7,FALSE)</f>
        <v>0</v>
      </c>
      <c r="I472" t="str">
        <f>VLOOKUP(A472,Medical_Examinations[],8,FALSE)</f>
        <v>No</v>
      </c>
      <c r="J472" t="str">
        <f>VLOOKUP(A472,Medical_Examinations[],9,FALSE)</f>
        <v>Overweight</v>
      </c>
      <c r="K472" t="str">
        <f>VLOOKUP(A472,Medical_Examinations[],10,FALSE)</f>
        <v>Diabetes</v>
      </c>
      <c r="M472">
        <f>VLOOKUP(A472,Hospitalisation_Details__2[],4,FALSE)</f>
        <v>21232.18</v>
      </c>
      <c r="N472" t="str">
        <f>VLOOKUP(A472,Hospitalisation_Details__2[],5,FALSE)</f>
        <v>tier - 3</v>
      </c>
      <c r="O472" t="str">
        <f>VLOOKUP(A472,Hospitalisation_Details__2[],6,FALSE)</f>
        <v>tier - 2</v>
      </c>
      <c r="P472" t="str">
        <f>VLOOKUP(A472,Hospitalisation_Details__2[],7,FALSE)</f>
        <v>R1011</v>
      </c>
    </row>
    <row r="473" spans="1:16" x14ac:dyDescent="0.35">
      <c r="A473" t="str">
        <v>Id472</v>
      </c>
      <c r="B473" t="str">
        <f>VLOOKUP(A473,'Customer Names (2)'!A:B, 2,FALSE)</f>
        <v>Mr</v>
      </c>
      <c r="C473">
        <f>VLOOKUP(A473,Medical_Examinations[],2,FALSE)</f>
        <v>24.42</v>
      </c>
      <c r="D473">
        <f>VLOOKUP(A473,Medical_Examinations[],3,FALSE)</f>
        <v>7.16</v>
      </c>
      <c r="E473" t="str">
        <f>VLOOKUP(A473,Medical_Examinations[],4,FALSE)</f>
        <v>No</v>
      </c>
      <c r="F473" t="str">
        <f>VLOOKUP(A473,Medical_Examinations[],5,FALSE)</f>
        <v>No</v>
      </c>
      <c r="G473" t="str">
        <f>VLOOKUP(A473,Medical_Examinations[],6,FALSE)</f>
        <v>No</v>
      </c>
      <c r="H473">
        <f>VLOOKUP(A473,Medical_Examinations[],7,FALSE)</f>
        <v>0</v>
      </c>
      <c r="I473" t="str">
        <f>VLOOKUP(A473,Medical_Examinations[],8,FALSE)</f>
        <v>Yes</v>
      </c>
      <c r="J473" t="str">
        <f>VLOOKUP(A473,Medical_Examinations[],9,FALSE)</f>
        <v>Normal Weight</v>
      </c>
      <c r="K473" t="str">
        <f>VLOOKUP(A473,Medical_Examinations[],10,FALSE)</f>
        <v>Diabetes</v>
      </c>
      <c r="M473">
        <f>VLOOKUP(A473,Hospitalisation_Details__2[],4,FALSE)</f>
        <v>21223.68</v>
      </c>
      <c r="N473" t="str">
        <f>VLOOKUP(A473,Hospitalisation_Details__2[],5,FALSE)</f>
        <v>tier - 3</v>
      </c>
      <c r="O473" t="str">
        <f>VLOOKUP(A473,Hospitalisation_Details__2[],6,FALSE)</f>
        <v>tier - 2</v>
      </c>
      <c r="P473" t="str">
        <f>VLOOKUP(A473,Hospitalisation_Details__2[],7,FALSE)</f>
        <v>R1013</v>
      </c>
    </row>
    <row r="474" spans="1:16" x14ac:dyDescent="0.35">
      <c r="A474" t="str">
        <v>Id473</v>
      </c>
      <c r="B474" t="str">
        <f>VLOOKUP(A474,'Customer Names (2)'!A:B, 2,FALSE)</f>
        <v>Mr</v>
      </c>
      <c r="C474">
        <f>VLOOKUP(A474,Medical_Examinations[],2,FALSE)</f>
        <v>20.9</v>
      </c>
      <c r="D474">
        <f>VLOOKUP(A474,Medical_Examinations[],3,FALSE)</f>
        <v>4.55</v>
      </c>
      <c r="E474" t="str">
        <f>VLOOKUP(A474,Medical_Examinations[],4,FALSE)</f>
        <v>Yes</v>
      </c>
      <c r="F474" t="str">
        <f>VLOOKUP(A474,Medical_Examinations[],5,FALSE)</f>
        <v>No</v>
      </c>
      <c r="G474" t="str">
        <f>VLOOKUP(A474,Medical_Examinations[],6,FALSE)</f>
        <v>Yes</v>
      </c>
      <c r="H474">
        <f>VLOOKUP(A474,Medical_Examinations[],7,FALSE)</f>
        <v>1</v>
      </c>
      <c r="I474" t="str">
        <f>VLOOKUP(A474,Medical_Examinations[],8,FALSE)</f>
        <v>Yes</v>
      </c>
      <c r="J474" t="str">
        <f>VLOOKUP(A474,Medical_Examinations[],9,FALSE)</f>
        <v>Normal Weight</v>
      </c>
      <c r="K474" t="str">
        <f>VLOOKUP(A474,Medical_Examinations[],10,FALSE)</f>
        <v>Normal</v>
      </c>
      <c r="M474">
        <f>VLOOKUP(A474,Hospitalisation_Details__2[],4,FALSE)</f>
        <v>21195.82</v>
      </c>
      <c r="N474" t="str">
        <f>VLOOKUP(A474,Hospitalisation_Details__2[],5,FALSE)</f>
        <v>tier - 3</v>
      </c>
      <c r="O474" t="str">
        <f>VLOOKUP(A474,Hospitalisation_Details__2[],6,FALSE)</f>
        <v>tier - 1</v>
      </c>
      <c r="P474" t="str">
        <f>VLOOKUP(A474,Hospitalisation_Details__2[],7,FALSE)</f>
        <v>R1013</v>
      </c>
    </row>
    <row r="475" spans="1:16" x14ac:dyDescent="0.35">
      <c r="A475" t="str">
        <v>Id474</v>
      </c>
      <c r="B475" t="str">
        <f>VLOOKUP(A475,'Customer Names (2)'!A:B, 2,FALSE)</f>
        <v>Mr</v>
      </c>
      <c r="C475">
        <f>VLOOKUP(A475,Medical_Examinations[],2,FALSE)</f>
        <v>22.895</v>
      </c>
      <c r="D475">
        <f>VLOOKUP(A475,Medical_Examinations[],3,FALSE)</f>
        <v>6.03</v>
      </c>
      <c r="E475" t="str">
        <f>VLOOKUP(A475,Medical_Examinations[],4,FALSE)</f>
        <v>No</v>
      </c>
      <c r="F475" t="str">
        <f>VLOOKUP(A475,Medical_Examinations[],5,FALSE)</f>
        <v>No</v>
      </c>
      <c r="G475" t="str">
        <f>VLOOKUP(A475,Medical_Examinations[],6,FALSE)</f>
        <v>No</v>
      </c>
      <c r="H475">
        <f>VLOOKUP(A475,Medical_Examinations[],7,FALSE)</f>
        <v>0</v>
      </c>
      <c r="I475" t="str">
        <f>VLOOKUP(A475,Medical_Examinations[],8,FALSE)</f>
        <v>Yes</v>
      </c>
      <c r="J475" t="str">
        <f>VLOOKUP(A475,Medical_Examinations[],9,FALSE)</f>
        <v>Normal Weight</v>
      </c>
      <c r="K475" t="str">
        <f>VLOOKUP(A475,Medical_Examinations[],10,FALSE)</f>
        <v>Prediabetes</v>
      </c>
      <c r="M475">
        <f>VLOOKUP(A475,Hospitalisation_Details__2[],4,FALSE)</f>
        <v>21098.55</v>
      </c>
      <c r="N475" t="str">
        <f>VLOOKUP(A475,Hospitalisation_Details__2[],5,FALSE)</f>
        <v>tier - 3</v>
      </c>
      <c r="O475" t="str">
        <f>VLOOKUP(A475,Hospitalisation_Details__2[],6,FALSE)</f>
        <v>tier - 3</v>
      </c>
      <c r="P475" t="str">
        <f>VLOOKUP(A475,Hospitalisation_Details__2[],7,FALSE)</f>
        <v>R1012</v>
      </c>
    </row>
    <row r="476" spans="1:16" x14ac:dyDescent="0.35">
      <c r="A476" t="str">
        <v>Id475</v>
      </c>
      <c r="B476" t="str">
        <f>VLOOKUP(A476,'Customer Names (2)'!A:B, 2,FALSE)</f>
        <v>Mr</v>
      </c>
      <c r="C476">
        <f>VLOOKUP(A476,Medical_Examinations[],2,FALSE)</f>
        <v>28.3</v>
      </c>
      <c r="D476">
        <f>VLOOKUP(A476,Medical_Examinations[],3,FALSE)</f>
        <v>5.47</v>
      </c>
      <c r="E476" t="str">
        <f>VLOOKUP(A476,Medical_Examinations[],4,FALSE)</f>
        <v>Yes</v>
      </c>
      <c r="F476" t="str">
        <f>VLOOKUP(A476,Medical_Examinations[],5,FALSE)</f>
        <v>No</v>
      </c>
      <c r="G476" t="str">
        <f>VLOOKUP(A476,Medical_Examinations[],6,FALSE)</f>
        <v>Yes</v>
      </c>
      <c r="H476">
        <f>VLOOKUP(A476,Medical_Examinations[],7,FALSE)</f>
        <v>1</v>
      </c>
      <c r="I476" t="str">
        <f>VLOOKUP(A476,Medical_Examinations[],8,FALSE)</f>
        <v>Yes</v>
      </c>
      <c r="J476" t="str">
        <f>VLOOKUP(A476,Medical_Examinations[],9,FALSE)</f>
        <v>Overweight</v>
      </c>
      <c r="K476" t="str">
        <f>VLOOKUP(A476,Medical_Examinations[],10,FALSE)</f>
        <v>Normal</v>
      </c>
      <c r="M476">
        <f>VLOOKUP(A476,Hospitalisation_Details__2[],4,FALSE)</f>
        <v>21082.16</v>
      </c>
      <c r="N476" t="str">
        <f>VLOOKUP(A476,Hospitalisation_Details__2[],5,FALSE)</f>
        <v>tier - 3</v>
      </c>
      <c r="O476" t="str">
        <f>VLOOKUP(A476,Hospitalisation_Details__2[],6,FALSE)</f>
        <v>tier - 2</v>
      </c>
      <c r="P476" t="str">
        <f>VLOOKUP(A476,Hospitalisation_Details__2[],7,FALSE)</f>
        <v>R1011</v>
      </c>
    </row>
    <row r="477" spans="1:16" x14ac:dyDescent="0.35">
      <c r="A477" t="str">
        <v>Id476</v>
      </c>
      <c r="B477" t="str">
        <f>VLOOKUP(A477,'Customer Names (2)'!A:B, 2,FALSE)</f>
        <v>Mr</v>
      </c>
      <c r="C477">
        <f>VLOOKUP(A477,Medical_Examinations[],2,FALSE)</f>
        <v>54.3</v>
      </c>
      <c r="D477">
        <f>VLOOKUP(A477,Medical_Examinations[],3,FALSE)</f>
        <v>4.1500000000000004</v>
      </c>
      <c r="E477" t="str">
        <f>VLOOKUP(A477,Medical_Examinations[],4,FALSE)</f>
        <v>Yes</v>
      </c>
      <c r="F477" t="str">
        <f>VLOOKUP(A477,Medical_Examinations[],5,FALSE)</f>
        <v>No</v>
      </c>
      <c r="G477" t="str">
        <f>VLOOKUP(A477,Medical_Examinations[],6,FALSE)</f>
        <v>No</v>
      </c>
      <c r="H477">
        <f>VLOOKUP(A477,Medical_Examinations[],7,FALSE)</f>
        <v>1</v>
      </c>
      <c r="I477" t="str">
        <f>VLOOKUP(A477,Medical_Examinations[],8,FALSE)</f>
        <v>No</v>
      </c>
      <c r="J477" t="str">
        <f>VLOOKUP(A477,Medical_Examinations[],9,FALSE)</f>
        <v>Obesity</v>
      </c>
      <c r="K477" t="str">
        <f>VLOOKUP(A477,Medical_Examinations[],10,FALSE)</f>
        <v>Normal</v>
      </c>
      <c r="M477">
        <f>VLOOKUP(A477,Hospitalisation_Details__2[],4,FALSE)</f>
        <v>20893.060000000001</v>
      </c>
      <c r="N477" t="str">
        <f>VLOOKUP(A477,Hospitalisation_Details__2[],5,FALSE)</f>
        <v>tier - 2</v>
      </c>
      <c r="O477" t="str">
        <f>VLOOKUP(A477,Hospitalisation_Details__2[],6,FALSE)</f>
        <v>tier - 3</v>
      </c>
      <c r="P477" t="str">
        <f>VLOOKUP(A477,Hospitalisation_Details__2[],7,FALSE)</f>
        <v>R1012</v>
      </c>
    </row>
    <row r="478" spans="1:16" x14ac:dyDescent="0.35">
      <c r="A478" t="str">
        <v>Id477</v>
      </c>
      <c r="B478" t="str">
        <f>VLOOKUP(A478,'Customer Names (2)'!A:B, 2,FALSE)</f>
        <v>Ms</v>
      </c>
      <c r="C478">
        <f>VLOOKUP(A478,Medical_Examinations[],2,FALSE)</f>
        <v>33.344999999999999</v>
      </c>
      <c r="D478">
        <f>VLOOKUP(A478,Medical_Examinations[],3,FALSE)</f>
        <v>11.32</v>
      </c>
      <c r="E478" t="str">
        <f>VLOOKUP(A478,Medical_Examinations[],4,FALSE)</f>
        <v>Yes</v>
      </c>
      <c r="F478" t="str">
        <f>VLOOKUP(A478,Medical_Examinations[],5,FALSE)</f>
        <v>No</v>
      </c>
      <c r="G478" t="str">
        <f>VLOOKUP(A478,Medical_Examinations[],6,FALSE)</f>
        <v>No</v>
      </c>
      <c r="H478">
        <f>VLOOKUP(A478,Medical_Examinations[],7,FALSE)</f>
        <v>1</v>
      </c>
      <c r="I478" t="str">
        <f>VLOOKUP(A478,Medical_Examinations[],8,FALSE)</f>
        <v>No</v>
      </c>
      <c r="J478" t="str">
        <f>VLOOKUP(A478,Medical_Examinations[],9,FALSE)</f>
        <v>Obesity</v>
      </c>
      <c r="K478" t="str">
        <f>VLOOKUP(A478,Medical_Examinations[],10,FALSE)</f>
        <v>Diabetes</v>
      </c>
      <c r="M478">
        <f>VLOOKUP(A478,Hospitalisation_Details__2[],4,FALSE)</f>
        <v>20878.78</v>
      </c>
      <c r="N478" t="str">
        <f>VLOOKUP(A478,Hospitalisation_Details__2[],5,FALSE)</f>
        <v>tier - 2</v>
      </c>
      <c r="O478" t="str">
        <f>VLOOKUP(A478,Hospitalisation_Details__2[],6,FALSE)</f>
        <v>tier - 1</v>
      </c>
      <c r="P478" t="str">
        <f>VLOOKUP(A478,Hospitalisation_Details__2[],7,FALSE)</f>
        <v>R1024</v>
      </c>
    </row>
    <row r="479" spans="1:16" x14ac:dyDescent="0.35">
      <c r="A479" t="str">
        <v>Id478</v>
      </c>
      <c r="B479" t="str">
        <f>VLOOKUP(A479,'Customer Names (2)'!A:B, 2,FALSE)</f>
        <v>Mr</v>
      </c>
      <c r="C479">
        <f>VLOOKUP(A479,Medical_Examinations[],2,FALSE)</f>
        <v>33</v>
      </c>
      <c r="D479">
        <f>VLOOKUP(A479,Medical_Examinations[],3,FALSE)</f>
        <v>9.51</v>
      </c>
      <c r="E479" t="str">
        <f>VLOOKUP(A479,Medical_Examinations[],4,FALSE)</f>
        <v>Yes</v>
      </c>
      <c r="F479" t="str">
        <f>VLOOKUP(A479,Medical_Examinations[],5,FALSE)</f>
        <v>No</v>
      </c>
      <c r="G479" t="str">
        <f>VLOOKUP(A479,Medical_Examinations[],6,FALSE)</f>
        <v>No</v>
      </c>
      <c r="H479">
        <f>VLOOKUP(A479,Medical_Examinations[],7,FALSE)</f>
        <v>0</v>
      </c>
      <c r="I479" t="str">
        <f>VLOOKUP(A479,Medical_Examinations[],8,FALSE)</f>
        <v>No</v>
      </c>
      <c r="J479" t="str">
        <f>VLOOKUP(A479,Medical_Examinations[],9,FALSE)</f>
        <v>Obesity</v>
      </c>
      <c r="K479" t="str">
        <f>VLOOKUP(A479,Medical_Examinations[],10,FALSE)</f>
        <v>Diabetes</v>
      </c>
      <c r="M479">
        <f>VLOOKUP(A479,Hospitalisation_Details__2[],4,FALSE)</f>
        <v>20781.490000000002</v>
      </c>
      <c r="N479" t="str">
        <f>VLOOKUP(A479,Hospitalisation_Details__2[],5,FALSE)</f>
        <v>tier - 2</v>
      </c>
      <c r="O479" t="str">
        <f>VLOOKUP(A479,Hospitalisation_Details__2[],6,FALSE)</f>
        <v>tier - 3</v>
      </c>
      <c r="P479" t="str">
        <f>VLOOKUP(A479,Hospitalisation_Details__2[],7,FALSE)</f>
        <v>R1013</v>
      </c>
    </row>
    <row r="480" spans="1:16" x14ac:dyDescent="0.35">
      <c r="A480" t="str">
        <v>Id479</v>
      </c>
      <c r="B480" t="str">
        <f>VLOOKUP(A480,'Customer Names (2)'!A:B, 2,FALSE)</f>
        <v>Mr</v>
      </c>
      <c r="C480">
        <f>VLOOKUP(A480,Medical_Examinations[],2,FALSE)</f>
        <v>28.024999999999999</v>
      </c>
      <c r="D480">
        <f>VLOOKUP(A480,Medical_Examinations[],3,FALSE)</f>
        <v>7.67</v>
      </c>
      <c r="E480" t="str">
        <f>VLOOKUP(A480,Medical_Examinations[],4,FALSE)</f>
        <v>Yes</v>
      </c>
      <c r="F480" t="str">
        <f>VLOOKUP(A480,Medical_Examinations[],5,FALSE)</f>
        <v>No</v>
      </c>
      <c r="G480" t="str">
        <f>VLOOKUP(A480,Medical_Examinations[],6,FALSE)</f>
        <v>No</v>
      </c>
      <c r="H480">
        <f>VLOOKUP(A480,Medical_Examinations[],7,FALSE)</f>
        <v>1</v>
      </c>
      <c r="I480" t="str">
        <f>VLOOKUP(A480,Medical_Examinations[],8,FALSE)</f>
        <v>Yes</v>
      </c>
      <c r="J480" t="str">
        <f>VLOOKUP(A480,Medical_Examinations[],9,FALSE)</f>
        <v>Overweight</v>
      </c>
      <c r="K480" t="str">
        <f>VLOOKUP(A480,Medical_Examinations[],10,FALSE)</f>
        <v>Diabetes</v>
      </c>
      <c r="M480">
        <f>VLOOKUP(A480,Hospitalisation_Details__2[],4,FALSE)</f>
        <v>20773.63</v>
      </c>
      <c r="N480" t="str">
        <f>VLOOKUP(A480,Hospitalisation_Details__2[],5,FALSE)</f>
        <v>tier - 2</v>
      </c>
      <c r="O480" t="str">
        <f>VLOOKUP(A480,Hospitalisation_Details__2[],6,FALSE)</f>
        <v>tier - 3</v>
      </c>
      <c r="P480" t="str">
        <f>VLOOKUP(A480,Hospitalisation_Details__2[],7,FALSE)</f>
        <v>R1017</v>
      </c>
    </row>
    <row r="481" spans="1:16" x14ac:dyDescent="0.35">
      <c r="A481" t="str">
        <v>Id480</v>
      </c>
      <c r="B481" t="str">
        <f>VLOOKUP(A481,'Customer Names (2)'!A:B, 2,FALSE)</f>
        <v>Mr</v>
      </c>
      <c r="C481">
        <f>VLOOKUP(A481,Medical_Examinations[],2,FALSE)</f>
        <v>28.69</v>
      </c>
      <c r="D481">
        <f>VLOOKUP(A481,Medical_Examinations[],3,FALSE)</f>
        <v>6.23</v>
      </c>
      <c r="E481" t="str">
        <f>VLOOKUP(A481,Medical_Examinations[],4,FALSE)</f>
        <v>No</v>
      </c>
      <c r="F481" t="str">
        <f>VLOOKUP(A481,Medical_Examinations[],5,FALSE)</f>
        <v>No</v>
      </c>
      <c r="G481" t="str">
        <f>VLOOKUP(A481,Medical_Examinations[],6,FALSE)</f>
        <v>No</v>
      </c>
      <c r="H481">
        <f>VLOOKUP(A481,Medical_Examinations[],7,FALSE)</f>
        <v>1</v>
      </c>
      <c r="I481" t="str">
        <f>VLOOKUP(A481,Medical_Examinations[],8,FALSE)</f>
        <v>Yes</v>
      </c>
      <c r="J481" t="str">
        <f>VLOOKUP(A481,Medical_Examinations[],9,FALSE)</f>
        <v>Overweight</v>
      </c>
      <c r="K481" t="str">
        <f>VLOOKUP(A481,Medical_Examinations[],10,FALSE)</f>
        <v>Prediabetes</v>
      </c>
      <c r="M481">
        <f>VLOOKUP(A481,Hospitalisation_Details__2[],4,FALSE)</f>
        <v>20745.990000000002</v>
      </c>
      <c r="N481" t="str">
        <f>VLOOKUP(A481,Hospitalisation_Details__2[],5,FALSE)</f>
        <v>tier - 3</v>
      </c>
      <c r="O481" t="str">
        <f>VLOOKUP(A481,Hospitalisation_Details__2[],6,FALSE)</f>
        <v>tier - 1</v>
      </c>
      <c r="P481" t="str">
        <f>VLOOKUP(A481,Hospitalisation_Details__2[],7,FALSE)</f>
        <v>R1012</v>
      </c>
    </row>
    <row r="482" spans="1:16" x14ac:dyDescent="0.35">
      <c r="A482" t="str">
        <v>Id481</v>
      </c>
      <c r="B482" t="str">
        <f>VLOOKUP(A482,'Customer Names (2)'!A:B, 2,FALSE)</f>
        <v>Mr</v>
      </c>
      <c r="C482">
        <f>VLOOKUP(A482,Medical_Examinations[],2,FALSE)</f>
        <v>40.28</v>
      </c>
      <c r="D482">
        <f>VLOOKUP(A482,Medical_Examinations[],3,FALSE)</f>
        <v>8.9</v>
      </c>
      <c r="E482" t="str">
        <f>VLOOKUP(A482,Medical_Examinations[],4,FALSE)</f>
        <v>No</v>
      </c>
      <c r="F482" t="str">
        <f>VLOOKUP(A482,Medical_Examinations[],5,FALSE)</f>
        <v>No</v>
      </c>
      <c r="G482" t="str">
        <f>VLOOKUP(A482,Medical_Examinations[],6,FALSE)</f>
        <v>No</v>
      </c>
      <c r="H482">
        <f>VLOOKUP(A482,Medical_Examinations[],7,FALSE)</f>
        <v>0</v>
      </c>
      <c r="I482" t="str">
        <f>VLOOKUP(A482,Medical_Examinations[],8,FALSE)</f>
        <v>No</v>
      </c>
      <c r="J482" t="str">
        <f>VLOOKUP(A482,Medical_Examinations[],9,FALSE)</f>
        <v>Obesity</v>
      </c>
      <c r="K482" t="str">
        <f>VLOOKUP(A482,Medical_Examinations[],10,FALSE)</f>
        <v>Diabetes</v>
      </c>
      <c r="M482">
        <f>VLOOKUP(A482,Hospitalisation_Details__2[],4,FALSE)</f>
        <v>20709.02</v>
      </c>
      <c r="N482" t="str">
        <f>VLOOKUP(A482,Hospitalisation_Details__2[],5,FALSE)</f>
        <v>tier - 3</v>
      </c>
      <c r="O482" t="str">
        <f>VLOOKUP(A482,Hospitalisation_Details__2[],6,FALSE)</f>
        <v>tier - 2</v>
      </c>
      <c r="P482" t="str">
        <f>VLOOKUP(A482,Hospitalisation_Details__2[],7,FALSE)</f>
        <v>R1019</v>
      </c>
    </row>
    <row r="483" spans="1:16" x14ac:dyDescent="0.35">
      <c r="A483" t="str">
        <v>Id482</v>
      </c>
      <c r="B483" t="str">
        <f>VLOOKUP(A483,'Customer Names (2)'!A:B, 2,FALSE)</f>
        <v>Mr</v>
      </c>
      <c r="C483">
        <f>VLOOKUP(A483,Medical_Examinations[],2,FALSE)</f>
        <v>37.299999999999997</v>
      </c>
      <c r="D483">
        <f>VLOOKUP(A483,Medical_Examinations[],3,FALSE)</f>
        <v>7.79</v>
      </c>
      <c r="E483" t="str">
        <f>VLOOKUP(A483,Medical_Examinations[],4,FALSE)</f>
        <v>Yes</v>
      </c>
      <c r="F483" t="str">
        <f>VLOOKUP(A483,Medical_Examinations[],5,FALSE)</f>
        <v>No</v>
      </c>
      <c r="G483" t="str">
        <f>VLOOKUP(A483,Medical_Examinations[],6,FALSE)</f>
        <v>No</v>
      </c>
      <c r="H483">
        <f>VLOOKUP(A483,Medical_Examinations[],7,FALSE)</f>
        <v>0</v>
      </c>
      <c r="I483" t="str">
        <f>VLOOKUP(A483,Medical_Examinations[],8,FALSE)</f>
        <v>No</v>
      </c>
      <c r="J483" t="str">
        <f>VLOOKUP(A483,Medical_Examinations[],9,FALSE)</f>
        <v>Obesity</v>
      </c>
      <c r="K483" t="str">
        <f>VLOOKUP(A483,Medical_Examinations[],10,FALSE)</f>
        <v>Diabetes</v>
      </c>
      <c r="M483">
        <f>VLOOKUP(A483,Hospitalisation_Details__2[],4,FALSE)</f>
        <v>20630.28</v>
      </c>
      <c r="N483" t="str">
        <f>VLOOKUP(A483,Hospitalisation_Details__2[],5,FALSE)</f>
        <v>tier - 2</v>
      </c>
      <c r="O483" t="str">
        <f>VLOOKUP(A483,Hospitalisation_Details__2[],6,FALSE)</f>
        <v>tier - 3</v>
      </c>
      <c r="P483" t="str">
        <f>VLOOKUP(A483,Hospitalisation_Details__2[],7,FALSE)</f>
        <v>R1011</v>
      </c>
    </row>
    <row r="484" spans="1:16" x14ac:dyDescent="0.35">
      <c r="A484" t="str">
        <v>Id483</v>
      </c>
      <c r="B484" t="str">
        <f>VLOOKUP(A484,'Customer Names (2)'!A:B, 2,FALSE)</f>
        <v>Ms</v>
      </c>
      <c r="C484">
        <f>VLOOKUP(A484,Medical_Examinations[],2,FALSE)</f>
        <v>54.47</v>
      </c>
      <c r="D484">
        <f>VLOOKUP(A484,Medical_Examinations[],3,FALSE)</f>
        <v>4.49</v>
      </c>
      <c r="E484" t="str">
        <f>VLOOKUP(A484,Medical_Examinations[],4,FALSE)</f>
        <v>Yes</v>
      </c>
      <c r="F484" t="str">
        <f>VLOOKUP(A484,Medical_Examinations[],5,FALSE)</f>
        <v>No</v>
      </c>
      <c r="G484" t="str">
        <f>VLOOKUP(A484,Medical_Examinations[],6,FALSE)</f>
        <v>No</v>
      </c>
      <c r="H484">
        <f>VLOOKUP(A484,Medical_Examinations[],7,FALSE)</f>
        <v>2</v>
      </c>
      <c r="I484" t="str">
        <f>VLOOKUP(A484,Medical_Examinations[],8,FALSE)</f>
        <v>No</v>
      </c>
      <c r="J484" t="str">
        <f>VLOOKUP(A484,Medical_Examinations[],9,FALSE)</f>
        <v>Obesity</v>
      </c>
      <c r="K484" t="str">
        <f>VLOOKUP(A484,Medical_Examinations[],10,FALSE)</f>
        <v>Normal</v>
      </c>
      <c r="M484">
        <f>VLOOKUP(A484,Hospitalisation_Details__2[],4,FALSE)</f>
        <v>20568.32</v>
      </c>
      <c r="N484" t="str">
        <f>VLOOKUP(A484,Hospitalisation_Details__2[],5,FALSE)</f>
        <v>tier - 3</v>
      </c>
      <c r="O484" t="str">
        <f>VLOOKUP(A484,Hospitalisation_Details__2[],6,FALSE)</f>
        <v>tier - 2</v>
      </c>
      <c r="P484" t="str">
        <f>VLOOKUP(A484,Hospitalisation_Details__2[],7,FALSE)</f>
        <v>R1012</v>
      </c>
    </row>
    <row r="485" spans="1:16" x14ac:dyDescent="0.35">
      <c r="A485" t="str">
        <v>Id484</v>
      </c>
      <c r="B485" t="str">
        <f>VLOOKUP(A485,'Customer Names (2)'!A:B, 2,FALSE)</f>
        <v>Ms</v>
      </c>
      <c r="C485">
        <f>VLOOKUP(A485,Medical_Examinations[],2,FALSE)</f>
        <v>38.06</v>
      </c>
      <c r="D485">
        <f>VLOOKUP(A485,Medical_Examinations[],3,FALSE)</f>
        <v>5.24</v>
      </c>
      <c r="E485" t="str">
        <f>VLOOKUP(A485,Medical_Examinations[],4,FALSE)</f>
        <v>Yes</v>
      </c>
      <c r="F485" t="str">
        <f>VLOOKUP(A485,Medical_Examinations[],5,FALSE)</f>
        <v>No</v>
      </c>
      <c r="G485" t="str">
        <f>VLOOKUP(A485,Medical_Examinations[],6,FALSE)</f>
        <v>Yes</v>
      </c>
      <c r="H485">
        <f>VLOOKUP(A485,Medical_Examinations[],7,FALSE)</f>
        <v>1</v>
      </c>
      <c r="I485" t="str">
        <f>VLOOKUP(A485,Medical_Examinations[],8,FALSE)</f>
        <v>No</v>
      </c>
      <c r="J485" t="str">
        <f>VLOOKUP(A485,Medical_Examinations[],9,FALSE)</f>
        <v>Obesity</v>
      </c>
      <c r="K485" t="str">
        <f>VLOOKUP(A485,Medical_Examinations[],10,FALSE)</f>
        <v>Normal</v>
      </c>
      <c r="M485">
        <f>VLOOKUP(A485,Hospitalisation_Details__2[],4,FALSE)</f>
        <v>20463</v>
      </c>
      <c r="N485" t="str">
        <f>VLOOKUP(A485,Hospitalisation_Details__2[],5,FALSE)</f>
        <v>tier - 2</v>
      </c>
      <c r="O485" t="str">
        <f>VLOOKUP(A485,Hospitalisation_Details__2[],6,FALSE)</f>
        <v>tier - 2</v>
      </c>
      <c r="P485" t="str">
        <f>VLOOKUP(A485,Hospitalisation_Details__2[],7,FALSE)</f>
        <v>R1013</v>
      </c>
    </row>
    <row r="486" spans="1:16" x14ac:dyDescent="0.35">
      <c r="A486" t="str">
        <v>Id485</v>
      </c>
      <c r="B486" t="str">
        <f>VLOOKUP(A486,'Customer Names (2)'!A:B, 2,FALSE)</f>
        <v>Mr</v>
      </c>
      <c r="C486">
        <f>VLOOKUP(A486,Medical_Examinations[],2,FALSE)</f>
        <v>51.47</v>
      </c>
      <c r="D486">
        <f>VLOOKUP(A486,Medical_Examinations[],3,FALSE)</f>
        <v>9.6</v>
      </c>
      <c r="E486" t="str">
        <f>VLOOKUP(A486,Medical_Examinations[],4,FALSE)</f>
        <v>No</v>
      </c>
      <c r="F486" t="str">
        <f>VLOOKUP(A486,Medical_Examinations[],5,FALSE)</f>
        <v>No</v>
      </c>
      <c r="G486" t="str">
        <f>VLOOKUP(A486,Medical_Examinations[],6,FALSE)</f>
        <v>No</v>
      </c>
      <c r="H486">
        <f>VLOOKUP(A486,Medical_Examinations[],7,FALSE)</f>
        <v>0</v>
      </c>
      <c r="I486" t="str">
        <f>VLOOKUP(A486,Medical_Examinations[],8,FALSE)</f>
        <v>No</v>
      </c>
      <c r="J486" t="str">
        <f>VLOOKUP(A486,Medical_Examinations[],9,FALSE)</f>
        <v>Obesity</v>
      </c>
      <c r="K486" t="str">
        <f>VLOOKUP(A486,Medical_Examinations[],10,FALSE)</f>
        <v>Diabetes</v>
      </c>
      <c r="M486">
        <f>VLOOKUP(A486,Hospitalisation_Details__2[],4,FALSE)</f>
        <v>20446.849999999999</v>
      </c>
      <c r="N486" t="str">
        <f>VLOOKUP(A486,Hospitalisation_Details__2[],5,FALSE)</f>
        <v>tier - 2</v>
      </c>
      <c r="O486" t="str">
        <f>VLOOKUP(A486,Hospitalisation_Details__2[],6,FALSE)</f>
        <v>tier - 1</v>
      </c>
      <c r="P486" t="str">
        <f>VLOOKUP(A486,Hospitalisation_Details__2[],7,FALSE)</f>
        <v>R1012</v>
      </c>
    </row>
    <row r="487" spans="1:16" x14ac:dyDescent="0.35">
      <c r="A487" t="str">
        <v>Id486</v>
      </c>
      <c r="B487" t="str">
        <f>VLOOKUP(A487,'Customer Names (2)'!A:B, 2,FALSE)</f>
        <v>Mr</v>
      </c>
      <c r="C487">
        <f>VLOOKUP(A487,Medical_Examinations[],2,FALSE)</f>
        <v>29.8</v>
      </c>
      <c r="D487">
        <f>VLOOKUP(A487,Medical_Examinations[],3,FALSE)</f>
        <v>5.78</v>
      </c>
      <c r="E487" t="str">
        <f>VLOOKUP(A487,Medical_Examinations[],4,FALSE)</f>
        <v>Yes</v>
      </c>
      <c r="F487" t="str">
        <f>VLOOKUP(A487,Medical_Examinations[],5,FALSE)</f>
        <v>No</v>
      </c>
      <c r="G487" t="str">
        <f>VLOOKUP(A487,Medical_Examinations[],6,FALSE)</f>
        <v>No</v>
      </c>
      <c r="H487">
        <f>VLOOKUP(A487,Medical_Examinations[],7,FALSE)</f>
        <v>0</v>
      </c>
      <c r="I487" t="str">
        <f>VLOOKUP(A487,Medical_Examinations[],8,FALSE)</f>
        <v>No</v>
      </c>
      <c r="J487" t="str">
        <f>VLOOKUP(A487,Medical_Examinations[],9,FALSE)</f>
        <v>Overweight</v>
      </c>
      <c r="K487" t="str">
        <f>VLOOKUP(A487,Medical_Examinations[],10,FALSE)</f>
        <v>Prediabetes</v>
      </c>
      <c r="M487">
        <f>VLOOKUP(A487,Hospitalisation_Details__2[],4,FALSE)</f>
        <v>20420.599999999999</v>
      </c>
      <c r="N487" t="str">
        <f>VLOOKUP(A487,Hospitalisation_Details__2[],5,FALSE)</f>
        <v>tier - 3</v>
      </c>
      <c r="O487" t="str">
        <f>VLOOKUP(A487,Hospitalisation_Details__2[],6,FALSE)</f>
        <v>tier - 2</v>
      </c>
      <c r="P487" t="str">
        <f>VLOOKUP(A487,Hospitalisation_Details__2[],7,FALSE)</f>
        <v>R1011</v>
      </c>
    </row>
    <row r="488" spans="1:16" x14ac:dyDescent="0.35">
      <c r="A488" t="str">
        <v>Id487</v>
      </c>
      <c r="B488" t="str">
        <f>VLOOKUP(A488,'Customer Names (2)'!A:B, 2,FALSE)</f>
        <v>Mrs</v>
      </c>
      <c r="C488">
        <f>VLOOKUP(A488,Medical_Examinations[],2,FALSE)</f>
        <v>49.77</v>
      </c>
      <c r="D488">
        <f>VLOOKUP(A488,Medical_Examinations[],3,FALSE)</f>
        <v>7.02</v>
      </c>
      <c r="E488" t="str">
        <f>VLOOKUP(A488,Medical_Examinations[],4,FALSE)</f>
        <v>No</v>
      </c>
      <c r="F488" t="str">
        <f>VLOOKUP(A488,Medical_Examinations[],5,FALSE)</f>
        <v>No</v>
      </c>
      <c r="G488" t="str">
        <f>VLOOKUP(A488,Medical_Examinations[],6,FALSE)</f>
        <v>No</v>
      </c>
      <c r="H488">
        <f>VLOOKUP(A488,Medical_Examinations[],7,FALSE)</f>
        <v>0</v>
      </c>
      <c r="I488" t="str">
        <f>VLOOKUP(A488,Medical_Examinations[],8,FALSE)</f>
        <v>No</v>
      </c>
      <c r="J488" t="str">
        <f>VLOOKUP(A488,Medical_Examinations[],9,FALSE)</f>
        <v>Obesity</v>
      </c>
      <c r="K488" t="str">
        <f>VLOOKUP(A488,Medical_Examinations[],10,FALSE)</f>
        <v>Diabetes</v>
      </c>
      <c r="M488">
        <f>VLOOKUP(A488,Hospitalisation_Details__2[],4,FALSE)</f>
        <v>20354.5</v>
      </c>
      <c r="N488" t="str">
        <f>VLOOKUP(A488,Hospitalisation_Details__2[],5,FALSE)</f>
        <v>tier - 3</v>
      </c>
      <c r="O488" t="str">
        <f>VLOOKUP(A488,Hospitalisation_Details__2[],6,FALSE)</f>
        <v>tier - 2</v>
      </c>
      <c r="P488" t="str">
        <f>VLOOKUP(A488,Hospitalisation_Details__2[],7,FALSE)</f>
        <v>R1026</v>
      </c>
    </row>
    <row r="489" spans="1:16" x14ac:dyDescent="0.35">
      <c r="A489" t="str">
        <v>Id488</v>
      </c>
      <c r="B489" t="str">
        <f>VLOOKUP(A489,'Customer Names (2)'!A:B, 2,FALSE)</f>
        <v>Ms</v>
      </c>
      <c r="C489">
        <f>VLOOKUP(A489,Medical_Examinations[],2,FALSE)</f>
        <v>25.555</v>
      </c>
      <c r="D489">
        <f>VLOOKUP(A489,Medical_Examinations[],3,FALSE)</f>
        <v>4.09</v>
      </c>
      <c r="E489" t="str">
        <f>VLOOKUP(A489,Medical_Examinations[],4,FALSE)</f>
        <v>Yes</v>
      </c>
      <c r="F489" t="str">
        <f>VLOOKUP(A489,Medical_Examinations[],5,FALSE)</f>
        <v>No</v>
      </c>
      <c r="G489" t="str">
        <f>VLOOKUP(A489,Medical_Examinations[],6,FALSE)</f>
        <v>No</v>
      </c>
      <c r="H489">
        <f>VLOOKUP(A489,Medical_Examinations[],7,FALSE)</f>
        <v>0</v>
      </c>
      <c r="I489" t="str">
        <f>VLOOKUP(A489,Medical_Examinations[],8,FALSE)</f>
        <v>Yes</v>
      </c>
      <c r="J489" t="str">
        <f>VLOOKUP(A489,Medical_Examinations[],9,FALSE)</f>
        <v>Overweight</v>
      </c>
      <c r="K489" t="str">
        <f>VLOOKUP(A489,Medical_Examinations[],10,FALSE)</f>
        <v>Normal</v>
      </c>
      <c r="M489">
        <f>VLOOKUP(A489,Hospitalisation_Details__2[],4,FALSE)</f>
        <v>20296.86</v>
      </c>
      <c r="N489" t="str">
        <f>VLOOKUP(A489,Hospitalisation_Details__2[],5,FALSE)</f>
        <v>tier - 3</v>
      </c>
      <c r="O489" t="str">
        <f>VLOOKUP(A489,Hospitalisation_Details__2[],6,FALSE)</f>
        <v>tier - 1</v>
      </c>
      <c r="P489" t="str">
        <f>VLOOKUP(A489,Hospitalisation_Details__2[],7,FALSE)</f>
        <v>R1024</v>
      </c>
    </row>
    <row r="490" spans="1:16" x14ac:dyDescent="0.35">
      <c r="A490" t="str">
        <v>Id489</v>
      </c>
      <c r="B490" t="str">
        <f>VLOOKUP(A490,'Customer Names (2)'!A:B, 2,FALSE)</f>
        <v>Mr</v>
      </c>
      <c r="C490">
        <f>VLOOKUP(A490,Medical_Examinations[],2,FALSE)</f>
        <v>29.64</v>
      </c>
      <c r="D490">
        <f>VLOOKUP(A490,Medical_Examinations[],3,FALSE)</f>
        <v>4.93</v>
      </c>
      <c r="E490" t="str">
        <f>VLOOKUP(A490,Medical_Examinations[],4,FALSE)</f>
        <v>No</v>
      </c>
      <c r="F490" t="str">
        <f>VLOOKUP(A490,Medical_Examinations[],5,FALSE)</f>
        <v>No</v>
      </c>
      <c r="G490" t="str">
        <f>VLOOKUP(A490,Medical_Examinations[],6,FALSE)</f>
        <v>Yes</v>
      </c>
      <c r="H490">
        <f>VLOOKUP(A490,Medical_Examinations[],7,FALSE)</f>
        <v>1</v>
      </c>
      <c r="I490" t="str">
        <f>VLOOKUP(A490,Medical_Examinations[],8,FALSE)</f>
        <v>No</v>
      </c>
      <c r="J490" t="str">
        <f>VLOOKUP(A490,Medical_Examinations[],9,FALSE)</f>
        <v>Overweight</v>
      </c>
      <c r="K490" t="str">
        <f>VLOOKUP(A490,Medical_Examinations[],10,FALSE)</f>
        <v>Normal</v>
      </c>
      <c r="M490">
        <f>VLOOKUP(A490,Hospitalisation_Details__2[],4,FALSE)</f>
        <v>20277.810000000001</v>
      </c>
      <c r="N490" t="str">
        <f>VLOOKUP(A490,Hospitalisation_Details__2[],5,FALSE)</f>
        <v>tier - 3</v>
      </c>
      <c r="O490" t="str">
        <f>VLOOKUP(A490,Hospitalisation_Details__2[],6,FALSE)</f>
        <v>tier - 3</v>
      </c>
      <c r="P490" t="str">
        <f>VLOOKUP(A490,Hospitalisation_Details__2[],7,FALSE)</f>
        <v>R1016</v>
      </c>
    </row>
    <row r="491" spans="1:16" x14ac:dyDescent="0.35">
      <c r="A491" t="str">
        <v>Id490</v>
      </c>
      <c r="B491" t="str">
        <f>VLOOKUP(A491,'Customer Names (2)'!A:B, 2,FALSE)</f>
        <v>Mr</v>
      </c>
      <c r="C491">
        <f>VLOOKUP(A491,Medical_Examinations[],2,FALSE)</f>
        <v>53.93</v>
      </c>
      <c r="D491">
        <f>VLOOKUP(A491,Medical_Examinations[],3,FALSE)</f>
        <v>5.34</v>
      </c>
      <c r="E491" t="str">
        <f>VLOOKUP(A491,Medical_Examinations[],4,FALSE)</f>
        <v>Yes</v>
      </c>
      <c r="F491" t="str">
        <f>VLOOKUP(A491,Medical_Examinations[],5,FALSE)</f>
        <v>No</v>
      </c>
      <c r="G491" t="str">
        <f>VLOOKUP(A491,Medical_Examinations[],6,FALSE)</f>
        <v>No</v>
      </c>
      <c r="H491">
        <f>VLOOKUP(A491,Medical_Examinations[],7,FALSE)</f>
        <v>2</v>
      </c>
      <c r="I491" t="str">
        <f>VLOOKUP(A491,Medical_Examinations[],8,FALSE)</f>
        <v>No</v>
      </c>
      <c r="J491" t="str">
        <f>VLOOKUP(A491,Medical_Examinations[],9,FALSE)</f>
        <v>Obesity</v>
      </c>
      <c r="K491" t="str">
        <f>VLOOKUP(A491,Medical_Examinations[],10,FALSE)</f>
        <v>Normal</v>
      </c>
      <c r="M491">
        <f>VLOOKUP(A491,Hospitalisation_Details__2[],4,FALSE)</f>
        <v>20253.84</v>
      </c>
      <c r="N491" t="str">
        <f>VLOOKUP(A491,Hospitalisation_Details__2[],5,FALSE)</f>
        <v>tier - 2</v>
      </c>
      <c r="O491" t="str">
        <f>VLOOKUP(A491,Hospitalisation_Details__2[],6,FALSE)</f>
        <v>tier - 3</v>
      </c>
      <c r="P491" t="str">
        <f>VLOOKUP(A491,Hospitalisation_Details__2[],7,FALSE)</f>
        <v>R1012</v>
      </c>
    </row>
    <row r="492" spans="1:16" x14ac:dyDescent="0.35">
      <c r="A492" t="str">
        <v>Id491</v>
      </c>
      <c r="B492" t="str">
        <f>VLOOKUP(A492,'Customer Names (2)'!A:B, 2,FALSE)</f>
        <v>Ms</v>
      </c>
      <c r="C492">
        <f>VLOOKUP(A492,Medical_Examinations[],2,FALSE)</f>
        <v>28.024999999999999</v>
      </c>
      <c r="D492">
        <f>VLOOKUP(A492,Medical_Examinations[],3,FALSE)</f>
        <v>5.65</v>
      </c>
      <c r="E492" t="str">
        <f>VLOOKUP(A492,Medical_Examinations[],4,FALSE)</f>
        <v>No</v>
      </c>
      <c r="F492" t="str">
        <f>VLOOKUP(A492,Medical_Examinations[],5,FALSE)</f>
        <v>No</v>
      </c>
      <c r="G492" t="str">
        <f>VLOOKUP(A492,Medical_Examinations[],6,FALSE)</f>
        <v>No</v>
      </c>
      <c r="H492">
        <f>VLOOKUP(A492,Medical_Examinations[],7,FALSE)</f>
        <v>1</v>
      </c>
      <c r="I492" t="str">
        <f>VLOOKUP(A492,Medical_Examinations[],8,FALSE)</f>
        <v>Yes</v>
      </c>
      <c r="J492" t="str">
        <f>VLOOKUP(A492,Medical_Examinations[],9,FALSE)</f>
        <v>Overweight</v>
      </c>
      <c r="K492" t="str">
        <f>VLOOKUP(A492,Medical_Examinations[],10,FALSE)</f>
        <v>Normal</v>
      </c>
      <c r="M492">
        <f>VLOOKUP(A492,Hospitalisation_Details__2[],4,FALSE)</f>
        <v>20234.849999999999</v>
      </c>
      <c r="N492" t="str">
        <f>VLOOKUP(A492,Hospitalisation_Details__2[],5,FALSE)</f>
        <v>tier - 2</v>
      </c>
      <c r="O492" t="str">
        <f>VLOOKUP(A492,Hospitalisation_Details__2[],6,FALSE)</f>
        <v>tier - 3</v>
      </c>
      <c r="P492" t="str">
        <f>VLOOKUP(A492,Hospitalisation_Details__2[],7,FALSE)</f>
        <v>R1012</v>
      </c>
    </row>
    <row r="493" spans="1:16" x14ac:dyDescent="0.35">
      <c r="A493" t="str">
        <v>Id492</v>
      </c>
      <c r="B493" t="str">
        <f>VLOOKUP(A493,'Customer Names (2)'!A:B, 2,FALSE)</f>
        <v>Ms</v>
      </c>
      <c r="C493">
        <f>VLOOKUP(A493,Medical_Examinations[],2,FALSE)</f>
        <v>27.5</v>
      </c>
      <c r="D493">
        <f>VLOOKUP(A493,Medical_Examinations[],3,FALSE)</f>
        <v>4.49</v>
      </c>
      <c r="E493" t="str">
        <f>VLOOKUP(A493,Medical_Examinations[],4,FALSE)</f>
        <v>No</v>
      </c>
      <c r="F493" t="str">
        <f>VLOOKUP(A493,Medical_Examinations[],5,FALSE)</f>
        <v>No</v>
      </c>
      <c r="G493" t="str">
        <f>VLOOKUP(A493,Medical_Examinations[],6,FALSE)</f>
        <v>No</v>
      </c>
      <c r="H493">
        <f>VLOOKUP(A493,Medical_Examinations[],7,FALSE)</f>
        <v>0</v>
      </c>
      <c r="I493" t="str">
        <f>VLOOKUP(A493,Medical_Examinations[],8,FALSE)</f>
        <v>No</v>
      </c>
      <c r="J493" t="str">
        <f>VLOOKUP(A493,Medical_Examinations[],9,FALSE)</f>
        <v>Overweight</v>
      </c>
      <c r="K493" t="str">
        <f>VLOOKUP(A493,Medical_Examinations[],10,FALSE)</f>
        <v>Normal</v>
      </c>
      <c r="M493">
        <f>VLOOKUP(A493,Hospitalisation_Details__2[],4,FALSE)</f>
        <v>20177.669999999998</v>
      </c>
      <c r="N493" t="str">
        <f>VLOOKUP(A493,Hospitalisation_Details__2[],5,FALSE)</f>
        <v>tier - 2</v>
      </c>
      <c r="O493" t="str">
        <f>VLOOKUP(A493,Hospitalisation_Details__2[],6,FALSE)</f>
        <v>tier - 1</v>
      </c>
      <c r="P493" t="str">
        <f>VLOOKUP(A493,Hospitalisation_Details__2[],7,FALSE)</f>
        <v>R1011</v>
      </c>
    </row>
    <row r="494" spans="1:16" x14ac:dyDescent="0.35">
      <c r="A494" t="str">
        <v>Id493</v>
      </c>
      <c r="B494" t="str">
        <f>VLOOKUP(A494,'Customer Names (2)'!A:B, 2,FALSE)</f>
        <v>Ms</v>
      </c>
      <c r="C494">
        <f>VLOOKUP(A494,Medical_Examinations[],2,FALSE)</f>
        <v>21.8</v>
      </c>
      <c r="D494">
        <f>VLOOKUP(A494,Medical_Examinations[],3,FALSE)</f>
        <v>10.55</v>
      </c>
      <c r="E494" t="str">
        <f>VLOOKUP(A494,Medical_Examinations[],4,FALSE)</f>
        <v>No</v>
      </c>
      <c r="F494" t="str">
        <f>VLOOKUP(A494,Medical_Examinations[],5,FALSE)</f>
        <v>No</v>
      </c>
      <c r="G494" t="str">
        <f>VLOOKUP(A494,Medical_Examinations[],6,FALSE)</f>
        <v>No</v>
      </c>
      <c r="H494">
        <f>VLOOKUP(A494,Medical_Examinations[],7,FALSE)</f>
        <v>0</v>
      </c>
      <c r="I494" t="str">
        <f>VLOOKUP(A494,Medical_Examinations[],8,FALSE)</f>
        <v>Yes</v>
      </c>
      <c r="J494" t="str">
        <f>VLOOKUP(A494,Medical_Examinations[],9,FALSE)</f>
        <v>Normal Weight</v>
      </c>
      <c r="K494" t="str">
        <f>VLOOKUP(A494,Medical_Examinations[],10,FALSE)</f>
        <v>Diabetes</v>
      </c>
      <c r="M494">
        <f>VLOOKUP(A494,Hospitalisation_Details__2[],4,FALSE)</f>
        <v>20167.34</v>
      </c>
      <c r="N494" t="str">
        <f>VLOOKUP(A494,Hospitalisation_Details__2[],5,FALSE)</f>
        <v>tier - 3</v>
      </c>
      <c r="O494" t="str">
        <f>VLOOKUP(A494,Hospitalisation_Details__2[],6,FALSE)</f>
        <v>tier - 3</v>
      </c>
      <c r="P494" t="str">
        <f>VLOOKUP(A494,Hospitalisation_Details__2[],7,FALSE)</f>
        <v>R1011</v>
      </c>
    </row>
    <row r="495" spans="1:16" x14ac:dyDescent="0.35">
      <c r="A495" t="str">
        <v>Id494</v>
      </c>
      <c r="B495" t="str">
        <f>VLOOKUP(A495,'Customer Names (2)'!A:B, 2,FALSE)</f>
        <v>Mr</v>
      </c>
      <c r="C495">
        <f>VLOOKUP(A495,Medical_Examinations[],2,FALSE)</f>
        <v>26.41</v>
      </c>
      <c r="D495">
        <f>VLOOKUP(A495,Medical_Examinations[],3,FALSE)</f>
        <v>4.92</v>
      </c>
      <c r="E495" t="str">
        <f>VLOOKUP(A495,Medical_Examinations[],4,FALSE)</f>
        <v>Yes</v>
      </c>
      <c r="F495" t="str">
        <f>VLOOKUP(A495,Medical_Examinations[],5,FALSE)</f>
        <v>No</v>
      </c>
      <c r="G495" t="str">
        <f>VLOOKUP(A495,Medical_Examinations[],6,FALSE)</f>
        <v>Yes</v>
      </c>
      <c r="H495">
        <f>VLOOKUP(A495,Medical_Examinations[],7,FALSE)</f>
        <v>1</v>
      </c>
      <c r="I495" t="str">
        <f>VLOOKUP(A495,Medical_Examinations[],8,FALSE)</f>
        <v>Yes</v>
      </c>
      <c r="J495" t="str">
        <f>VLOOKUP(A495,Medical_Examinations[],9,FALSE)</f>
        <v>Overweight</v>
      </c>
      <c r="K495" t="str">
        <f>VLOOKUP(A495,Medical_Examinations[],10,FALSE)</f>
        <v>Normal</v>
      </c>
      <c r="M495">
        <f>VLOOKUP(A495,Hospitalisation_Details__2[],4,FALSE)</f>
        <v>20149.32</v>
      </c>
      <c r="N495" t="str">
        <f>VLOOKUP(A495,Hospitalisation_Details__2[],5,FALSE)</f>
        <v>tier - 2</v>
      </c>
      <c r="O495" t="str">
        <f>VLOOKUP(A495,Hospitalisation_Details__2[],6,FALSE)</f>
        <v>tier - 1</v>
      </c>
      <c r="P495" t="str">
        <f>VLOOKUP(A495,Hospitalisation_Details__2[],7,FALSE)</f>
        <v>R1016</v>
      </c>
    </row>
    <row r="496" spans="1:16" x14ac:dyDescent="0.35">
      <c r="A496" t="str">
        <v>Id495</v>
      </c>
      <c r="B496" t="str">
        <f>VLOOKUP(A496,'Customer Names (2)'!A:B, 2,FALSE)</f>
        <v>Mr</v>
      </c>
      <c r="C496">
        <f>VLOOKUP(A496,Medical_Examinations[],2,FALSE)</f>
        <v>27.835000000000001</v>
      </c>
      <c r="D496">
        <f>VLOOKUP(A496,Medical_Examinations[],3,FALSE)</f>
        <v>5.9</v>
      </c>
      <c r="E496" t="str">
        <f>VLOOKUP(A496,Medical_Examinations[],4,FALSE)</f>
        <v>Yes</v>
      </c>
      <c r="F496" t="str">
        <f>VLOOKUP(A496,Medical_Examinations[],5,FALSE)</f>
        <v>No</v>
      </c>
      <c r="G496" t="str">
        <f>VLOOKUP(A496,Medical_Examinations[],6,FALSE)</f>
        <v>No</v>
      </c>
      <c r="H496">
        <f>VLOOKUP(A496,Medical_Examinations[],7,FALSE)</f>
        <v>1</v>
      </c>
      <c r="I496" t="str">
        <f>VLOOKUP(A496,Medical_Examinations[],8,FALSE)</f>
        <v>Yes</v>
      </c>
      <c r="J496" t="str">
        <f>VLOOKUP(A496,Medical_Examinations[],9,FALSE)</f>
        <v>Overweight</v>
      </c>
      <c r="K496" t="str">
        <f>VLOOKUP(A496,Medical_Examinations[],10,FALSE)</f>
        <v>Prediabetes</v>
      </c>
      <c r="M496">
        <f>VLOOKUP(A496,Hospitalisation_Details__2[],4,FALSE)</f>
        <v>20009.63</v>
      </c>
      <c r="N496" t="str">
        <f>VLOOKUP(A496,Hospitalisation_Details__2[],5,FALSE)</f>
        <v>tier - 2</v>
      </c>
      <c r="O496" t="str">
        <f>VLOOKUP(A496,Hospitalisation_Details__2[],6,FALSE)</f>
        <v>tier - 1</v>
      </c>
      <c r="P496" t="str">
        <f>VLOOKUP(A496,Hospitalisation_Details__2[],7,FALSE)</f>
        <v>R1012</v>
      </c>
    </row>
    <row r="497" spans="1:16" x14ac:dyDescent="0.35">
      <c r="A497" t="str">
        <v>Id496</v>
      </c>
      <c r="B497" t="str">
        <f>VLOOKUP(A497,'Customer Names (2)'!A:B, 2,FALSE)</f>
        <v>Mrs</v>
      </c>
      <c r="C497">
        <f>VLOOKUP(A497,Medical_Examinations[],2,FALSE)</f>
        <v>51.74</v>
      </c>
      <c r="D497">
        <f>VLOOKUP(A497,Medical_Examinations[],3,FALSE)</f>
        <v>4.9800000000000004</v>
      </c>
      <c r="E497" t="str">
        <f>VLOOKUP(A497,Medical_Examinations[],4,FALSE)</f>
        <v>Yes</v>
      </c>
      <c r="F497" t="str">
        <f>VLOOKUP(A497,Medical_Examinations[],5,FALSE)</f>
        <v>No</v>
      </c>
      <c r="G497" t="str">
        <f>VLOOKUP(A497,Medical_Examinations[],6,FALSE)</f>
        <v>No</v>
      </c>
      <c r="H497">
        <f>VLOOKUP(A497,Medical_Examinations[],7,FALSE)</f>
        <v>2</v>
      </c>
      <c r="I497" t="str">
        <f>VLOOKUP(A497,Medical_Examinations[],8,FALSE)</f>
        <v>No</v>
      </c>
      <c r="J497" t="str">
        <f>VLOOKUP(A497,Medical_Examinations[],9,FALSE)</f>
        <v>Obesity</v>
      </c>
      <c r="K497" t="str">
        <f>VLOOKUP(A497,Medical_Examinations[],10,FALSE)</f>
        <v>Normal</v>
      </c>
      <c r="M497">
        <f>VLOOKUP(A497,Hospitalisation_Details__2[],4,FALSE)</f>
        <v>19995.29</v>
      </c>
      <c r="N497" t="str">
        <f>VLOOKUP(A497,Hospitalisation_Details__2[],5,FALSE)</f>
        <v>tier - 1</v>
      </c>
      <c r="O497" t="str">
        <f>VLOOKUP(A497,Hospitalisation_Details__2[],6,FALSE)</f>
        <v>tier - 3</v>
      </c>
      <c r="P497" t="str">
        <f>VLOOKUP(A497,Hospitalisation_Details__2[],7,FALSE)</f>
        <v>R1026</v>
      </c>
    </row>
    <row r="498" spans="1:16" x14ac:dyDescent="0.35">
      <c r="A498" t="str">
        <v>Id497</v>
      </c>
      <c r="B498" t="str">
        <f>VLOOKUP(A498,'Customer Names (2)'!A:B, 2,FALSE)</f>
        <v>Ms</v>
      </c>
      <c r="C498">
        <f>VLOOKUP(A498,Medical_Examinations[],2,FALSE)</f>
        <v>23.37</v>
      </c>
      <c r="D498">
        <f>VLOOKUP(A498,Medical_Examinations[],3,FALSE)</f>
        <v>5.8</v>
      </c>
      <c r="E498" t="str">
        <f>VLOOKUP(A498,Medical_Examinations[],4,FALSE)</f>
        <v>No</v>
      </c>
      <c r="F498" t="str">
        <f>VLOOKUP(A498,Medical_Examinations[],5,FALSE)</f>
        <v>No</v>
      </c>
      <c r="G498" t="str">
        <f>VLOOKUP(A498,Medical_Examinations[],6,FALSE)</f>
        <v>No</v>
      </c>
      <c r="H498">
        <f>VLOOKUP(A498,Medical_Examinations[],7,FALSE)</f>
        <v>0</v>
      </c>
      <c r="I498" t="str">
        <f>VLOOKUP(A498,Medical_Examinations[],8,FALSE)</f>
        <v>Yes</v>
      </c>
      <c r="J498" t="str">
        <f>VLOOKUP(A498,Medical_Examinations[],9,FALSE)</f>
        <v>Normal Weight</v>
      </c>
      <c r="K498" t="str">
        <f>VLOOKUP(A498,Medical_Examinations[],10,FALSE)</f>
        <v>Prediabetes</v>
      </c>
      <c r="M498">
        <f>VLOOKUP(A498,Hospitalisation_Details__2[],4,FALSE)</f>
        <v>19964.75</v>
      </c>
      <c r="N498" t="str">
        <f>VLOOKUP(A498,Hospitalisation_Details__2[],5,FALSE)</f>
        <v>tier - 1</v>
      </c>
      <c r="O498" t="str">
        <f>VLOOKUP(A498,Hospitalisation_Details__2[],6,FALSE)</f>
        <v>tier - 2</v>
      </c>
      <c r="P498" t="str">
        <f>VLOOKUP(A498,Hospitalisation_Details__2[],7,FALSE)</f>
        <v>R1024</v>
      </c>
    </row>
    <row r="499" spans="1:16" x14ac:dyDescent="0.35">
      <c r="A499" t="str">
        <v>Id498</v>
      </c>
      <c r="B499" t="str">
        <f>VLOOKUP(A499,'Customer Names (2)'!A:B, 2,FALSE)</f>
        <v>Mr</v>
      </c>
      <c r="C499">
        <f>VLOOKUP(A499,Medical_Examinations[],2,FALSE)</f>
        <v>29.7</v>
      </c>
      <c r="D499">
        <f>VLOOKUP(A499,Medical_Examinations[],3,FALSE)</f>
        <v>6.21</v>
      </c>
      <c r="E499" t="str">
        <f>VLOOKUP(A499,Medical_Examinations[],4,FALSE)</f>
        <v>Yes</v>
      </c>
      <c r="F499" t="str">
        <f>VLOOKUP(A499,Medical_Examinations[],5,FALSE)</f>
        <v>No</v>
      </c>
      <c r="G499" t="str">
        <f>VLOOKUP(A499,Medical_Examinations[],6,FALSE)</f>
        <v>Yes</v>
      </c>
      <c r="H499">
        <f>VLOOKUP(A499,Medical_Examinations[],7,FALSE)</f>
        <v>1</v>
      </c>
      <c r="I499" t="str">
        <f>VLOOKUP(A499,Medical_Examinations[],8,FALSE)</f>
        <v>Yes</v>
      </c>
      <c r="J499" t="str">
        <f>VLOOKUP(A499,Medical_Examinations[],9,FALSE)</f>
        <v>Overweight</v>
      </c>
      <c r="K499" t="str">
        <f>VLOOKUP(A499,Medical_Examinations[],10,FALSE)</f>
        <v>Prediabetes</v>
      </c>
      <c r="M499">
        <f>VLOOKUP(A499,Hospitalisation_Details__2[],4,FALSE)</f>
        <v>19933.46</v>
      </c>
      <c r="N499" t="str">
        <f>VLOOKUP(A499,Hospitalisation_Details__2[],5,FALSE)</f>
        <v>tier - 1</v>
      </c>
      <c r="O499" t="str">
        <f>VLOOKUP(A499,Hospitalisation_Details__2[],6,FALSE)</f>
        <v>tier - 3</v>
      </c>
      <c r="P499" t="str">
        <f>VLOOKUP(A499,Hospitalisation_Details__2[],7,FALSE)</f>
        <v>R1011</v>
      </c>
    </row>
    <row r="500" spans="1:16" x14ac:dyDescent="0.35">
      <c r="A500" t="str">
        <v>Id499</v>
      </c>
      <c r="B500" t="str">
        <f>VLOOKUP(A500,'Customer Names (2)'!A:B, 2,FALSE)</f>
        <v>Ms</v>
      </c>
      <c r="C500">
        <f>VLOOKUP(A500,Medical_Examinations[],2,FALSE)</f>
        <v>20.045000000000002</v>
      </c>
      <c r="D500">
        <f>VLOOKUP(A500,Medical_Examinations[],3,FALSE)</f>
        <v>6.17</v>
      </c>
      <c r="E500" t="str">
        <f>VLOOKUP(A500,Medical_Examinations[],4,FALSE)</f>
        <v>No</v>
      </c>
      <c r="F500" t="str">
        <f>VLOOKUP(A500,Medical_Examinations[],5,FALSE)</f>
        <v>No</v>
      </c>
      <c r="G500" t="str">
        <f>VLOOKUP(A500,Medical_Examinations[],6,FALSE)</f>
        <v>Yes</v>
      </c>
      <c r="H500">
        <f>VLOOKUP(A500,Medical_Examinations[],7,FALSE)</f>
        <v>1</v>
      </c>
      <c r="I500" t="str">
        <f>VLOOKUP(A500,Medical_Examinations[],8,FALSE)</f>
        <v>Yes</v>
      </c>
      <c r="J500" t="str">
        <f>VLOOKUP(A500,Medical_Examinations[],9,FALSE)</f>
        <v>Normal Weight</v>
      </c>
      <c r="K500" t="str">
        <f>VLOOKUP(A500,Medical_Examinations[],10,FALSE)</f>
        <v>Prediabetes</v>
      </c>
      <c r="M500">
        <f>VLOOKUP(A500,Hospitalisation_Details__2[],4,FALSE)</f>
        <v>19798.05</v>
      </c>
      <c r="N500" t="str">
        <f>VLOOKUP(A500,Hospitalisation_Details__2[],5,FALSE)</f>
        <v>tier - 1</v>
      </c>
      <c r="O500" t="str">
        <f>VLOOKUP(A500,Hospitalisation_Details__2[],6,FALSE)</f>
        <v>tier - 1</v>
      </c>
      <c r="P500" t="str">
        <f>VLOOKUP(A500,Hospitalisation_Details__2[],7,FALSE)</f>
        <v>R1024</v>
      </c>
    </row>
    <row r="501" spans="1:16" x14ac:dyDescent="0.35">
      <c r="A501" t="str">
        <v>Id500</v>
      </c>
      <c r="B501" t="str">
        <f>VLOOKUP(A501,'Customer Names (2)'!A:B, 2,FALSE)</f>
        <v>Ms</v>
      </c>
      <c r="C501">
        <f>VLOOKUP(A501,Medical_Examinations[],2,FALSE)</f>
        <v>27.83</v>
      </c>
      <c r="D501">
        <f>VLOOKUP(A501,Medical_Examinations[],3,FALSE)</f>
        <v>5.36</v>
      </c>
      <c r="E501" t="str">
        <f>VLOOKUP(A501,Medical_Examinations[],4,FALSE)</f>
        <v>No</v>
      </c>
      <c r="F501" t="str">
        <f>VLOOKUP(A501,Medical_Examinations[],5,FALSE)</f>
        <v>No</v>
      </c>
      <c r="G501" t="str">
        <f>VLOOKUP(A501,Medical_Examinations[],6,FALSE)</f>
        <v>No</v>
      </c>
      <c r="H501">
        <f>VLOOKUP(A501,Medical_Examinations[],7,FALSE)</f>
        <v>2</v>
      </c>
      <c r="I501" t="str">
        <f>VLOOKUP(A501,Medical_Examinations[],8,FALSE)</f>
        <v>No</v>
      </c>
      <c r="J501" t="str">
        <f>VLOOKUP(A501,Medical_Examinations[],9,FALSE)</f>
        <v>Overweight</v>
      </c>
      <c r="K501" t="str">
        <f>VLOOKUP(A501,Medical_Examinations[],10,FALSE)</f>
        <v>Normal</v>
      </c>
      <c r="M501">
        <f>VLOOKUP(A501,Hospitalisation_Details__2[],4,FALSE)</f>
        <v>19749.38</v>
      </c>
      <c r="N501" t="str">
        <f>VLOOKUP(A501,Hospitalisation_Details__2[],5,FALSE)</f>
        <v>tier - 1</v>
      </c>
      <c r="O501" t="str">
        <f>VLOOKUP(A501,Hospitalisation_Details__2[],6,FALSE)</f>
        <v>tier - 3</v>
      </c>
      <c r="P501" t="str">
        <f>VLOOKUP(A501,Hospitalisation_Details__2[],7,FALSE)</f>
        <v>R1013</v>
      </c>
    </row>
    <row r="502" spans="1:16" x14ac:dyDescent="0.35">
      <c r="A502" t="str">
        <v>Id501</v>
      </c>
      <c r="B502" t="str">
        <f>VLOOKUP(A502,'Customer Names (2)'!A:B, 2,FALSE)</f>
        <v>Mr</v>
      </c>
      <c r="C502">
        <f>VLOOKUP(A502,Medical_Examinations[],2,FALSE)</f>
        <v>28.93</v>
      </c>
      <c r="D502">
        <f>VLOOKUP(A502,Medical_Examinations[],3,FALSE)</f>
        <v>5.2</v>
      </c>
      <c r="E502" t="str">
        <f>VLOOKUP(A502,Medical_Examinations[],4,FALSE)</f>
        <v>No</v>
      </c>
      <c r="F502" t="str">
        <f>VLOOKUP(A502,Medical_Examinations[],5,FALSE)</f>
        <v>No</v>
      </c>
      <c r="G502" t="str">
        <f>VLOOKUP(A502,Medical_Examinations[],6,FALSE)</f>
        <v>No</v>
      </c>
      <c r="H502">
        <f>VLOOKUP(A502,Medical_Examinations[],7,FALSE)</f>
        <v>0</v>
      </c>
      <c r="I502" t="str">
        <f>VLOOKUP(A502,Medical_Examinations[],8,FALSE)</f>
        <v>Yes</v>
      </c>
      <c r="J502" t="str">
        <f>VLOOKUP(A502,Medical_Examinations[],9,FALSE)</f>
        <v>Overweight</v>
      </c>
      <c r="K502" t="str">
        <f>VLOOKUP(A502,Medical_Examinations[],10,FALSE)</f>
        <v>Normal</v>
      </c>
      <c r="M502">
        <f>VLOOKUP(A502,Hospitalisation_Details__2[],4,FALSE)</f>
        <v>19719.689999999999</v>
      </c>
      <c r="N502" t="str">
        <f>VLOOKUP(A502,Hospitalisation_Details__2[],5,FALSE)</f>
        <v>tier - 1</v>
      </c>
      <c r="O502" t="str">
        <f>VLOOKUP(A502,Hospitalisation_Details__2[],6,FALSE)</f>
        <v>tier - 2</v>
      </c>
      <c r="P502" t="str">
        <f>VLOOKUP(A502,Hospitalisation_Details__2[],7,FALSE)</f>
        <v>R1013</v>
      </c>
    </row>
    <row r="503" spans="1:16" x14ac:dyDescent="0.35">
      <c r="A503" t="str">
        <v>Id502</v>
      </c>
      <c r="B503" t="str">
        <f>VLOOKUP(A503,'Customer Names (2)'!A:B, 2,FALSE)</f>
        <v>Mr</v>
      </c>
      <c r="C503">
        <f>VLOOKUP(A503,Medical_Examinations[],2,FALSE)</f>
        <v>33.82</v>
      </c>
      <c r="D503">
        <f>VLOOKUP(A503,Medical_Examinations[],3,FALSE)</f>
        <v>5.42</v>
      </c>
      <c r="E503" t="str">
        <f>VLOOKUP(A503,Medical_Examinations[],4,FALSE)</f>
        <v>No</v>
      </c>
      <c r="F503" t="str">
        <f>VLOOKUP(A503,Medical_Examinations[],5,FALSE)</f>
        <v>No</v>
      </c>
      <c r="G503" t="str">
        <f>VLOOKUP(A503,Medical_Examinations[],6,FALSE)</f>
        <v>No</v>
      </c>
      <c r="H503">
        <f>VLOOKUP(A503,Medical_Examinations[],7,FALSE)</f>
        <v>0</v>
      </c>
      <c r="I503" t="str">
        <f>VLOOKUP(A503,Medical_Examinations[],8,FALSE)</f>
        <v>No</v>
      </c>
      <c r="J503" t="str">
        <f>VLOOKUP(A503,Medical_Examinations[],9,FALSE)</f>
        <v>Obesity</v>
      </c>
      <c r="K503" t="str">
        <f>VLOOKUP(A503,Medical_Examinations[],10,FALSE)</f>
        <v>Normal</v>
      </c>
      <c r="M503">
        <f>VLOOKUP(A503,Hospitalisation_Details__2[],4,FALSE)</f>
        <v>19673.34</v>
      </c>
      <c r="N503" t="str">
        <f>VLOOKUP(A503,Hospitalisation_Details__2[],5,FALSE)</f>
        <v>tier - 1</v>
      </c>
      <c r="O503" t="str">
        <f>VLOOKUP(A503,Hospitalisation_Details__2[],6,FALSE)</f>
        <v>tier - 2</v>
      </c>
      <c r="P503" t="str">
        <f>VLOOKUP(A503,Hospitalisation_Details__2[],7,FALSE)</f>
        <v>R1012</v>
      </c>
    </row>
    <row r="504" spans="1:16" x14ac:dyDescent="0.35">
      <c r="A504" t="str">
        <v>Id503</v>
      </c>
      <c r="B504" t="str">
        <f>VLOOKUP(A504,'Customer Names (2)'!A:B, 2,FALSE)</f>
        <v>Ms</v>
      </c>
      <c r="C504">
        <f>VLOOKUP(A504,Medical_Examinations[],2,FALSE)</f>
        <v>20.234999999999999</v>
      </c>
      <c r="D504">
        <f>VLOOKUP(A504,Medical_Examinations[],3,FALSE)</f>
        <v>6.84</v>
      </c>
      <c r="E504" t="str">
        <f>VLOOKUP(A504,Medical_Examinations[],4,FALSE)</f>
        <v>No</v>
      </c>
      <c r="F504" t="str">
        <f>VLOOKUP(A504,Medical_Examinations[],5,FALSE)</f>
        <v>No</v>
      </c>
      <c r="G504" t="str">
        <f>VLOOKUP(A504,Medical_Examinations[],6,FALSE)</f>
        <v>No</v>
      </c>
      <c r="H504">
        <f>VLOOKUP(A504,Medical_Examinations[],7,FALSE)</f>
        <v>0</v>
      </c>
      <c r="I504" t="str">
        <f>VLOOKUP(A504,Medical_Examinations[],8,FALSE)</f>
        <v>Yes</v>
      </c>
      <c r="J504" t="str">
        <f>VLOOKUP(A504,Medical_Examinations[],9,FALSE)</f>
        <v>Normal Weight</v>
      </c>
      <c r="K504" t="str">
        <f>VLOOKUP(A504,Medical_Examinations[],10,FALSE)</f>
        <v>Diabetes</v>
      </c>
      <c r="M504">
        <f>VLOOKUP(A504,Hospitalisation_Details__2[],4,FALSE)</f>
        <v>19594.810000000001</v>
      </c>
      <c r="N504" t="str">
        <f>VLOOKUP(A504,Hospitalisation_Details__2[],5,FALSE)</f>
        <v>tier - 1</v>
      </c>
      <c r="O504" t="str">
        <f>VLOOKUP(A504,Hospitalisation_Details__2[],6,FALSE)</f>
        <v>tier - 1</v>
      </c>
      <c r="P504" t="str">
        <f>VLOOKUP(A504,Hospitalisation_Details__2[],7,FALSE)</f>
        <v>R1024</v>
      </c>
    </row>
    <row r="505" spans="1:16" x14ac:dyDescent="0.35">
      <c r="A505" t="str">
        <v>Id504</v>
      </c>
      <c r="B505" t="str">
        <f>VLOOKUP(A505,'Customer Names (2)'!A:B, 2,FALSE)</f>
        <v>Ms</v>
      </c>
      <c r="C505">
        <f>VLOOKUP(A505,Medical_Examinations[],2,FALSE)</f>
        <v>49.2</v>
      </c>
      <c r="D505">
        <f>VLOOKUP(A505,Medical_Examinations[],3,FALSE)</f>
        <v>10.9</v>
      </c>
      <c r="E505" t="str">
        <f>VLOOKUP(A505,Medical_Examinations[],4,FALSE)</f>
        <v>Yes</v>
      </c>
      <c r="F505" t="str">
        <f>VLOOKUP(A505,Medical_Examinations[],5,FALSE)</f>
        <v>No</v>
      </c>
      <c r="G505" t="str">
        <f>VLOOKUP(A505,Medical_Examinations[],6,FALSE)</f>
        <v>Yes</v>
      </c>
      <c r="H505">
        <f>VLOOKUP(A505,Medical_Examinations[],7,FALSE)</f>
        <v>1</v>
      </c>
      <c r="I505" t="str">
        <f>VLOOKUP(A505,Medical_Examinations[],8,FALSE)</f>
        <v>No</v>
      </c>
      <c r="J505" t="str">
        <f>VLOOKUP(A505,Medical_Examinations[],9,FALSE)</f>
        <v>Obesity</v>
      </c>
      <c r="K505" t="str">
        <f>VLOOKUP(A505,Medical_Examinations[],10,FALSE)</f>
        <v>Diabetes</v>
      </c>
      <c r="M505">
        <f>VLOOKUP(A505,Hospitalisation_Details__2[],4,FALSE)</f>
        <v>19551.34</v>
      </c>
      <c r="N505" t="str">
        <f>VLOOKUP(A505,Hospitalisation_Details__2[],5,FALSE)</f>
        <v>tier - 1</v>
      </c>
      <c r="O505" t="str">
        <f>VLOOKUP(A505,Hospitalisation_Details__2[],6,FALSE)</f>
        <v>tier - 3</v>
      </c>
      <c r="P505" t="str">
        <f>VLOOKUP(A505,Hospitalisation_Details__2[],7,FALSE)</f>
        <v>R1012</v>
      </c>
    </row>
    <row r="506" spans="1:16" x14ac:dyDescent="0.35">
      <c r="A506" t="str">
        <v>Id505</v>
      </c>
      <c r="B506" t="str">
        <f>VLOOKUP(A506,'Customer Names (2)'!A:B, 2,FALSE)</f>
        <v>Ms</v>
      </c>
      <c r="C506">
        <f>VLOOKUP(A506,Medical_Examinations[],2,FALSE)</f>
        <v>26.4</v>
      </c>
      <c r="D506">
        <f>VLOOKUP(A506,Medical_Examinations[],3,FALSE)</f>
        <v>4.87</v>
      </c>
      <c r="E506" t="str">
        <f>VLOOKUP(A506,Medical_Examinations[],4,FALSE)</f>
        <v>Yes</v>
      </c>
      <c r="F506" t="str">
        <f>VLOOKUP(A506,Medical_Examinations[],5,FALSE)</f>
        <v>No</v>
      </c>
      <c r="G506" t="str">
        <f>VLOOKUP(A506,Medical_Examinations[],6,FALSE)</f>
        <v>No</v>
      </c>
      <c r="H506">
        <f>VLOOKUP(A506,Medical_Examinations[],7,FALSE)</f>
        <v>0</v>
      </c>
      <c r="I506" t="str">
        <f>VLOOKUP(A506,Medical_Examinations[],8,FALSE)</f>
        <v>Yes</v>
      </c>
      <c r="J506" t="str">
        <f>VLOOKUP(A506,Medical_Examinations[],9,FALSE)</f>
        <v>Overweight</v>
      </c>
      <c r="K506" t="str">
        <f>VLOOKUP(A506,Medical_Examinations[],10,FALSE)</f>
        <v>Normal</v>
      </c>
      <c r="M506">
        <f>VLOOKUP(A506,Hospitalisation_Details__2[],4,FALSE)</f>
        <v>19539.240000000002</v>
      </c>
      <c r="N506" t="str">
        <f>VLOOKUP(A506,Hospitalisation_Details__2[],5,FALSE)</f>
        <v>tier - 1</v>
      </c>
      <c r="O506" t="str">
        <f>VLOOKUP(A506,Hospitalisation_Details__2[],6,FALSE)</f>
        <v>tier - 1</v>
      </c>
      <c r="P506" t="str">
        <f>VLOOKUP(A506,Hospitalisation_Details__2[],7,FALSE)</f>
        <v>R1013</v>
      </c>
    </row>
    <row r="507" spans="1:16" x14ac:dyDescent="0.35">
      <c r="A507" t="str">
        <v>Id506</v>
      </c>
      <c r="B507" t="str">
        <f>VLOOKUP(A507,'Customer Names (2)'!A:B, 2,FALSE)</f>
        <v>Ms</v>
      </c>
      <c r="C507">
        <f>VLOOKUP(A507,Medical_Examinations[],2,FALSE)</f>
        <v>28.38</v>
      </c>
      <c r="D507">
        <f>VLOOKUP(A507,Medical_Examinations[],3,FALSE)</f>
        <v>6.07</v>
      </c>
      <c r="E507" t="str">
        <f>VLOOKUP(A507,Medical_Examinations[],4,FALSE)</f>
        <v>No</v>
      </c>
      <c r="F507" t="str">
        <f>VLOOKUP(A507,Medical_Examinations[],5,FALSE)</f>
        <v>No</v>
      </c>
      <c r="G507" t="str">
        <f>VLOOKUP(A507,Medical_Examinations[],6,FALSE)</f>
        <v>No</v>
      </c>
      <c r="H507">
        <f>VLOOKUP(A507,Medical_Examinations[],7,FALSE)</f>
        <v>1</v>
      </c>
      <c r="I507" t="str">
        <f>VLOOKUP(A507,Medical_Examinations[],8,FALSE)</f>
        <v>Yes</v>
      </c>
      <c r="J507" t="str">
        <f>VLOOKUP(A507,Medical_Examinations[],9,FALSE)</f>
        <v>Overweight</v>
      </c>
      <c r="K507" t="str">
        <f>VLOOKUP(A507,Medical_Examinations[],10,FALSE)</f>
        <v>Prediabetes</v>
      </c>
      <c r="M507">
        <f>VLOOKUP(A507,Hospitalisation_Details__2[],4,FALSE)</f>
        <v>19521.97</v>
      </c>
      <c r="N507" t="str">
        <f>VLOOKUP(A507,Hospitalisation_Details__2[],5,FALSE)</f>
        <v>tier - 1</v>
      </c>
      <c r="O507" t="str">
        <f>VLOOKUP(A507,Hospitalisation_Details__2[],6,FALSE)</f>
        <v>tier - 2</v>
      </c>
      <c r="P507" t="str">
        <f>VLOOKUP(A507,Hospitalisation_Details__2[],7,FALSE)</f>
        <v>R1013</v>
      </c>
    </row>
    <row r="508" spans="1:16" x14ac:dyDescent="0.35">
      <c r="A508" t="str">
        <v>Id507</v>
      </c>
      <c r="B508" t="str">
        <f>VLOOKUP(A508,'Customer Names (2)'!A:B, 2,FALSE)</f>
        <v>Mr</v>
      </c>
      <c r="C508">
        <f>VLOOKUP(A508,Medical_Examinations[],2,FALSE)</f>
        <v>24.64</v>
      </c>
      <c r="D508">
        <f>VLOOKUP(A508,Medical_Examinations[],3,FALSE)</f>
        <v>4.33</v>
      </c>
      <c r="E508" t="str">
        <f>VLOOKUP(A508,Medical_Examinations[],4,FALSE)</f>
        <v>No</v>
      </c>
      <c r="F508" t="str">
        <f>VLOOKUP(A508,Medical_Examinations[],5,FALSE)</f>
        <v>No</v>
      </c>
      <c r="G508" t="str">
        <f>VLOOKUP(A508,Medical_Examinations[],6,FALSE)</f>
        <v>No</v>
      </c>
      <c r="H508">
        <f>VLOOKUP(A508,Medical_Examinations[],7,FALSE)</f>
        <v>0</v>
      </c>
      <c r="I508" t="str">
        <f>VLOOKUP(A508,Medical_Examinations[],8,FALSE)</f>
        <v>Yes</v>
      </c>
      <c r="J508" t="str">
        <f>VLOOKUP(A508,Medical_Examinations[],9,FALSE)</f>
        <v>Normal Weight</v>
      </c>
      <c r="K508" t="str">
        <f>VLOOKUP(A508,Medical_Examinations[],10,FALSE)</f>
        <v>Normal</v>
      </c>
      <c r="M508">
        <f>VLOOKUP(A508,Hospitalisation_Details__2[],4,FALSE)</f>
        <v>19515.54</v>
      </c>
      <c r="N508" t="str">
        <f>VLOOKUP(A508,Hospitalisation_Details__2[],5,FALSE)</f>
        <v>tier - 1</v>
      </c>
      <c r="O508" t="str">
        <f>VLOOKUP(A508,Hospitalisation_Details__2[],6,FALSE)</f>
        <v>tier - 1</v>
      </c>
      <c r="P508" t="str">
        <f>VLOOKUP(A508,Hospitalisation_Details__2[],7,FALSE)</f>
        <v>R1013</v>
      </c>
    </row>
    <row r="509" spans="1:16" x14ac:dyDescent="0.35">
      <c r="A509" t="str">
        <v>Id508</v>
      </c>
      <c r="B509" t="str">
        <f>VLOOKUP(A509,'Customer Names (2)'!A:B, 2,FALSE)</f>
        <v>Mr</v>
      </c>
      <c r="C509">
        <f>VLOOKUP(A509,Medical_Examinations[],2,FALSE)</f>
        <v>39.71</v>
      </c>
      <c r="D509">
        <f>VLOOKUP(A509,Medical_Examinations[],3,FALSE)</f>
        <v>5.83</v>
      </c>
      <c r="E509" t="str">
        <f>VLOOKUP(A509,Medical_Examinations[],4,FALSE)</f>
        <v>No</v>
      </c>
      <c r="F509" t="str">
        <f>VLOOKUP(A509,Medical_Examinations[],5,FALSE)</f>
        <v>No</v>
      </c>
      <c r="G509" t="str">
        <f>VLOOKUP(A509,Medical_Examinations[],6,FALSE)</f>
        <v>No</v>
      </c>
      <c r="H509">
        <f>VLOOKUP(A509,Medical_Examinations[],7,FALSE)</f>
        <v>1</v>
      </c>
      <c r="I509" t="str">
        <f>VLOOKUP(A509,Medical_Examinations[],8,FALSE)</f>
        <v>No</v>
      </c>
      <c r="J509" t="str">
        <f>VLOOKUP(A509,Medical_Examinations[],9,FALSE)</f>
        <v>Obesity</v>
      </c>
      <c r="K509" t="str">
        <f>VLOOKUP(A509,Medical_Examinations[],10,FALSE)</f>
        <v>Prediabetes</v>
      </c>
      <c r="M509">
        <f>VLOOKUP(A509,Hospitalisation_Details__2[],4,FALSE)</f>
        <v>19496.72</v>
      </c>
      <c r="N509" t="str">
        <f>VLOOKUP(A509,Hospitalisation_Details__2[],5,FALSE)</f>
        <v>tier - 1</v>
      </c>
      <c r="O509" t="str">
        <f>VLOOKUP(A509,Hospitalisation_Details__2[],6,FALSE)</f>
        <v>tier - 3</v>
      </c>
      <c r="P509" t="str">
        <f>VLOOKUP(A509,Hospitalisation_Details__2[],7,FALSE)</f>
        <v>R1019</v>
      </c>
    </row>
    <row r="510" spans="1:16" x14ac:dyDescent="0.35">
      <c r="A510" t="str">
        <v>Id509</v>
      </c>
      <c r="B510" t="str">
        <f>VLOOKUP(A510,'Customer Names (2)'!A:B, 2,FALSE)</f>
        <v>Ms</v>
      </c>
      <c r="C510">
        <f>VLOOKUP(A510,Medical_Examinations[],2,FALSE)</f>
        <v>22.22</v>
      </c>
      <c r="D510">
        <f>VLOOKUP(A510,Medical_Examinations[],3,FALSE)</f>
        <v>5.5</v>
      </c>
      <c r="E510" t="str">
        <f>VLOOKUP(A510,Medical_Examinations[],4,FALSE)</f>
        <v>No</v>
      </c>
      <c r="F510" t="str">
        <f>VLOOKUP(A510,Medical_Examinations[],5,FALSE)</f>
        <v>No</v>
      </c>
      <c r="G510" t="str">
        <f>VLOOKUP(A510,Medical_Examinations[],6,FALSE)</f>
        <v>No</v>
      </c>
      <c r="H510">
        <f>VLOOKUP(A510,Medical_Examinations[],7,FALSE)</f>
        <v>0</v>
      </c>
      <c r="I510" t="str">
        <f>VLOOKUP(A510,Medical_Examinations[],8,FALSE)</f>
        <v>Yes</v>
      </c>
      <c r="J510" t="str">
        <f>VLOOKUP(A510,Medical_Examinations[],9,FALSE)</f>
        <v>Normal Weight</v>
      </c>
      <c r="K510" t="str">
        <f>VLOOKUP(A510,Medical_Examinations[],10,FALSE)</f>
        <v>Normal</v>
      </c>
      <c r="M510">
        <f>VLOOKUP(A510,Hospitalisation_Details__2[],4,FALSE)</f>
        <v>19444.27</v>
      </c>
      <c r="N510" t="str">
        <f>VLOOKUP(A510,Hospitalisation_Details__2[],5,FALSE)</f>
        <v>tier - 1</v>
      </c>
      <c r="O510" t="str">
        <f>VLOOKUP(A510,Hospitalisation_Details__2[],6,FALSE)</f>
        <v>tier - 1</v>
      </c>
      <c r="P510" t="str">
        <f>VLOOKUP(A510,Hospitalisation_Details__2[],7,FALSE)</f>
        <v>R1013</v>
      </c>
    </row>
    <row r="511" spans="1:16" x14ac:dyDescent="0.35">
      <c r="A511" t="str">
        <v>Id510</v>
      </c>
      <c r="B511" t="str">
        <f>VLOOKUP(A511,'Customer Names (2)'!A:B, 2,FALSE)</f>
        <v>Mr</v>
      </c>
      <c r="C511">
        <f>VLOOKUP(A511,Medical_Examinations[],2,FALSE)</f>
        <v>33.344999999999999</v>
      </c>
      <c r="D511">
        <f>VLOOKUP(A511,Medical_Examinations[],3,FALSE)</f>
        <v>4.79</v>
      </c>
      <c r="E511" t="str">
        <f>VLOOKUP(A511,Medical_Examinations[],4,FALSE)</f>
        <v>No</v>
      </c>
      <c r="F511" t="str">
        <f>VLOOKUP(A511,Medical_Examinations[],5,FALSE)</f>
        <v>No</v>
      </c>
      <c r="G511" t="str">
        <f>VLOOKUP(A511,Medical_Examinations[],6,FALSE)</f>
        <v>Yes</v>
      </c>
      <c r="H511">
        <f>VLOOKUP(A511,Medical_Examinations[],7,FALSE)</f>
        <v>1</v>
      </c>
      <c r="I511" t="str">
        <f>VLOOKUP(A511,Medical_Examinations[],8,FALSE)</f>
        <v>No</v>
      </c>
      <c r="J511" t="str">
        <f>VLOOKUP(A511,Medical_Examinations[],9,FALSE)</f>
        <v>Obesity</v>
      </c>
      <c r="K511" t="str">
        <f>VLOOKUP(A511,Medical_Examinations[],10,FALSE)</f>
        <v>Normal</v>
      </c>
      <c r="M511">
        <f>VLOOKUP(A511,Hospitalisation_Details__2[],4,FALSE)</f>
        <v>19442.349999999999</v>
      </c>
      <c r="N511" t="str">
        <f>VLOOKUP(A511,Hospitalisation_Details__2[],5,FALSE)</f>
        <v>tier - 1</v>
      </c>
      <c r="O511" t="str">
        <f>VLOOKUP(A511,Hospitalisation_Details__2[],6,FALSE)</f>
        <v>tier - 3</v>
      </c>
      <c r="P511" t="str">
        <f>VLOOKUP(A511,Hospitalisation_Details__2[],7,FALSE)</f>
        <v>R1012</v>
      </c>
    </row>
    <row r="512" spans="1:16" x14ac:dyDescent="0.35">
      <c r="A512" t="str">
        <v>Id511</v>
      </c>
      <c r="B512" t="str">
        <f>VLOOKUP(A512,'Customer Names (2)'!A:B, 2,FALSE)</f>
        <v>Mr</v>
      </c>
      <c r="C512">
        <f>VLOOKUP(A512,Medical_Examinations[],2,FALSE)</f>
        <v>24.42</v>
      </c>
      <c r="D512">
        <f>VLOOKUP(A512,Medical_Examinations[],3,FALSE)</f>
        <v>5.81</v>
      </c>
      <c r="E512" t="str">
        <f>VLOOKUP(A512,Medical_Examinations[],4,FALSE)</f>
        <v>No</v>
      </c>
      <c r="F512" t="str">
        <f>VLOOKUP(A512,Medical_Examinations[],5,FALSE)</f>
        <v>No</v>
      </c>
      <c r="G512" t="str">
        <f>VLOOKUP(A512,Medical_Examinations[],6,FALSE)</f>
        <v>No</v>
      </c>
      <c r="H512">
        <f>VLOOKUP(A512,Medical_Examinations[],7,FALSE)</f>
        <v>1</v>
      </c>
      <c r="I512" t="str">
        <f>VLOOKUP(A512,Medical_Examinations[],8,FALSE)</f>
        <v>Yes</v>
      </c>
      <c r="J512" t="str">
        <f>VLOOKUP(A512,Medical_Examinations[],9,FALSE)</f>
        <v>Normal Weight</v>
      </c>
      <c r="K512" t="str">
        <f>VLOOKUP(A512,Medical_Examinations[],10,FALSE)</f>
        <v>Prediabetes</v>
      </c>
      <c r="M512">
        <f>VLOOKUP(A512,Hospitalisation_Details__2[],4,FALSE)</f>
        <v>19362</v>
      </c>
      <c r="N512" t="str">
        <f>VLOOKUP(A512,Hospitalisation_Details__2[],5,FALSE)</f>
        <v>tier - 1</v>
      </c>
      <c r="O512" t="str">
        <f>VLOOKUP(A512,Hospitalisation_Details__2[],6,FALSE)</f>
        <v>tier - 3</v>
      </c>
      <c r="P512" t="str">
        <f>VLOOKUP(A512,Hospitalisation_Details__2[],7,FALSE)</f>
        <v>R1013</v>
      </c>
    </row>
    <row r="513" spans="1:16" x14ac:dyDescent="0.35">
      <c r="A513" t="str">
        <v>Id512</v>
      </c>
      <c r="B513" t="str">
        <f>VLOOKUP(A513,'Customer Names (2)'!A:B, 2,FALSE)</f>
        <v>Mr</v>
      </c>
      <c r="C513">
        <f>VLOOKUP(A513,Medical_Examinations[],2,FALSE)</f>
        <v>29.81</v>
      </c>
      <c r="D513">
        <f>VLOOKUP(A513,Medical_Examinations[],3,FALSE)</f>
        <v>5.58</v>
      </c>
      <c r="E513" t="str">
        <f>VLOOKUP(A513,Medical_Examinations[],4,FALSE)</f>
        <v>No</v>
      </c>
      <c r="F513" t="str">
        <f>VLOOKUP(A513,Medical_Examinations[],5,FALSE)</f>
        <v>No</v>
      </c>
      <c r="G513" t="str">
        <f>VLOOKUP(A513,Medical_Examinations[],6,FALSE)</f>
        <v>No</v>
      </c>
      <c r="H513">
        <f>VLOOKUP(A513,Medical_Examinations[],7,FALSE)</f>
        <v>0</v>
      </c>
      <c r="I513" t="str">
        <f>VLOOKUP(A513,Medical_Examinations[],8,FALSE)</f>
        <v>Yes</v>
      </c>
      <c r="J513" t="str">
        <f>VLOOKUP(A513,Medical_Examinations[],9,FALSE)</f>
        <v>Overweight</v>
      </c>
      <c r="K513" t="str">
        <f>VLOOKUP(A513,Medical_Examinations[],10,FALSE)</f>
        <v>Normal</v>
      </c>
      <c r="M513">
        <f>VLOOKUP(A513,Hospitalisation_Details__2[],4,FALSE)</f>
        <v>19350.37</v>
      </c>
      <c r="N513" t="str">
        <f>VLOOKUP(A513,Hospitalisation_Details__2[],5,FALSE)</f>
        <v>tier - 1</v>
      </c>
      <c r="O513" t="str">
        <f>VLOOKUP(A513,Hospitalisation_Details__2[],6,FALSE)</f>
        <v>tier - 3</v>
      </c>
      <c r="P513" t="str">
        <f>VLOOKUP(A513,Hospitalisation_Details__2[],7,FALSE)</f>
        <v>R1013</v>
      </c>
    </row>
    <row r="514" spans="1:16" x14ac:dyDescent="0.35">
      <c r="A514" t="str">
        <v>Id513</v>
      </c>
      <c r="B514" t="str">
        <f>VLOOKUP(A514,'Customer Names (2)'!A:B, 2,FALSE)</f>
        <v>Mr</v>
      </c>
      <c r="C514">
        <f>VLOOKUP(A514,Medical_Examinations[],2,FALSE)</f>
        <v>51.18</v>
      </c>
      <c r="D514">
        <f>VLOOKUP(A514,Medical_Examinations[],3,FALSE)</f>
        <v>4.4000000000000004</v>
      </c>
      <c r="E514" t="str">
        <f>VLOOKUP(A514,Medical_Examinations[],4,FALSE)</f>
        <v>Yes</v>
      </c>
      <c r="F514" t="str">
        <f>VLOOKUP(A514,Medical_Examinations[],5,FALSE)</f>
        <v>No</v>
      </c>
      <c r="G514" t="str">
        <f>VLOOKUP(A514,Medical_Examinations[],6,FALSE)</f>
        <v>No</v>
      </c>
      <c r="H514">
        <f>VLOOKUP(A514,Medical_Examinations[],7,FALSE)</f>
        <v>2</v>
      </c>
      <c r="I514" t="str">
        <f>VLOOKUP(A514,Medical_Examinations[],8,FALSE)</f>
        <v>No</v>
      </c>
      <c r="J514" t="str">
        <f>VLOOKUP(A514,Medical_Examinations[],9,FALSE)</f>
        <v>Obesity</v>
      </c>
      <c r="K514" t="str">
        <f>VLOOKUP(A514,Medical_Examinations[],10,FALSE)</f>
        <v>Normal</v>
      </c>
      <c r="M514">
        <f>VLOOKUP(A514,Hospitalisation_Details__2[],4,FALSE)</f>
        <v>19321.060000000001</v>
      </c>
      <c r="N514" t="str">
        <f>VLOOKUP(A514,Hospitalisation_Details__2[],5,FALSE)</f>
        <v>tier - 1</v>
      </c>
      <c r="O514" t="str">
        <f>VLOOKUP(A514,Hospitalisation_Details__2[],6,FALSE)</f>
        <v>tier - 1</v>
      </c>
      <c r="P514" t="str">
        <f>VLOOKUP(A514,Hospitalisation_Details__2[],7,FALSE)</f>
        <v>R1012</v>
      </c>
    </row>
    <row r="515" spans="1:16" x14ac:dyDescent="0.35">
      <c r="A515" t="str">
        <v>Id514</v>
      </c>
      <c r="B515" t="str">
        <f>VLOOKUP(A515,'Customer Names (2)'!A:B, 2,FALSE)</f>
        <v>Ms</v>
      </c>
      <c r="C515">
        <f>VLOOKUP(A515,Medical_Examinations[],2,FALSE)</f>
        <v>51.37</v>
      </c>
      <c r="D515">
        <f>VLOOKUP(A515,Medical_Examinations[],3,FALSE)</f>
        <v>8.18</v>
      </c>
      <c r="E515" t="str">
        <f>VLOOKUP(A515,Medical_Examinations[],4,FALSE)</f>
        <v>Yes</v>
      </c>
      <c r="F515" t="str">
        <f>VLOOKUP(A515,Medical_Examinations[],5,FALSE)</f>
        <v>No</v>
      </c>
      <c r="G515" t="str">
        <f>VLOOKUP(A515,Medical_Examinations[],6,FALSE)</f>
        <v>No</v>
      </c>
      <c r="H515">
        <f>VLOOKUP(A515,Medical_Examinations[],7,FALSE)</f>
        <v>0</v>
      </c>
      <c r="I515" t="str">
        <f>VLOOKUP(A515,Medical_Examinations[],8,FALSE)</f>
        <v>No</v>
      </c>
      <c r="J515" t="str">
        <f>VLOOKUP(A515,Medical_Examinations[],9,FALSE)</f>
        <v>Obesity</v>
      </c>
      <c r="K515" t="str">
        <f>VLOOKUP(A515,Medical_Examinations[],10,FALSE)</f>
        <v>Diabetes</v>
      </c>
      <c r="M515">
        <f>VLOOKUP(A515,Hospitalisation_Details__2[],4,FALSE)</f>
        <v>19259.96</v>
      </c>
      <c r="N515" t="str">
        <f>VLOOKUP(A515,Hospitalisation_Details__2[],5,FALSE)</f>
        <v>tier - 1</v>
      </c>
      <c r="O515" t="str">
        <f>VLOOKUP(A515,Hospitalisation_Details__2[],6,FALSE)</f>
        <v>tier - 1</v>
      </c>
      <c r="P515" t="str">
        <f>VLOOKUP(A515,Hospitalisation_Details__2[],7,FALSE)</f>
        <v>R1012</v>
      </c>
    </row>
    <row r="516" spans="1:16" x14ac:dyDescent="0.35">
      <c r="A516" t="str">
        <v>Id515</v>
      </c>
      <c r="B516" t="str">
        <f>VLOOKUP(A516,'Customer Names (2)'!A:B, 2,FALSE)</f>
        <v>Mr</v>
      </c>
      <c r="C516">
        <f>VLOOKUP(A516,Medical_Examinations[],2,FALSE)</f>
        <v>36.19</v>
      </c>
      <c r="D516">
        <f>VLOOKUP(A516,Medical_Examinations[],3,FALSE)</f>
        <v>5.52</v>
      </c>
      <c r="E516" t="str">
        <f>VLOOKUP(A516,Medical_Examinations[],4,FALSE)</f>
        <v>Yes</v>
      </c>
      <c r="F516" t="str">
        <f>VLOOKUP(A516,Medical_Examinations[],5,FALSE)</f>
        <v>No</v>
      </c>
      <c r="G516" t="str">
        <f>VLOOKUP(A516,Medical_Examinations[],6,FALSE)</f>
        <v>No</v>
      </c>
      <c r="H516">
        <f>VLOOKUP(A516,Medical_Examinations[],7,FALSE)</f>
        <v>0</v>
      </c>
      <c r="I516" t="str">
        <f>VLOOKUP(A516,Medical_Examinations[],8,FALSE)</f>
        <v>No</v>
      </c>
      <c r="J516" t="str">
        <f>VLOOKUP(A516,Medical_Examinations[],9,FALSE)</f>
        <v>Obesity</v>
      </c>
      <c r="K516" t="str">
        <f>VLOOKUP(A516,Medical_Examinations[],10,FALSE)</f>
        <v>Normal</v>
      </c>
      <c r="M516">
        <f>VLOOKUP(A516,Hospitalisation_Details__2[],4,FALSE)</f>
        <v>19214.71</v>
      </c>
      <c r="N516" t="str">
        <f>VLOOKUP(A516,Hospitalisation_Details__2[],5,FALSE)</f>
        <v>tier - 1</v>
      </c>
      <c r="O516" t="str">
        <f>VLOOKUP(A516,Hospitalisation_Details__2[],6,FALSE)</f>
        <v>tier - 3</v>
      </c>
      <c r="P516" t="str">
        <f>VLOOKUP(A516,Hospitalisation_Details__2[],7,FALSE)</f>
        <v>R1013</v>
      </c>
    </row>
    <row r="517" spans="1:16" x14ac:dyDescent="0.35">
      <c r="A517" t="str">
        <v>Id516</v>
      </c>
      <c r="B517" t="str">
        <f>VLOOKUP(A517,'Customer Names (2)'!A:B, 2,FALSE)</f>
        <v>Mr</v>
      </c>
      <c r="C517">
        <f>VLOOKUP(A517,Medical_Examinations[],2,FALSE)</f>
        <v>25.9</v>
      </c>
      <c r="D517">
        <f>VLOOKUP(A517,Medical_Examinations[],3,FALSE)</f>
        <v>4.84</v>
      </c>
      <c r="E517" t="str">
        <f>VLOOKUP(A517,Medical_Examinations[],4,FALSE)</f>
        <v>No</v>
      </c>
      <c r="F517" t="str">
        <f>VLOOKUP(A517,Medical_Examinations[],5,FALSE)</f>
        <v>No</v>
      </c>
      <c r="G517" t="str">
        <f>VLOOKUP(A517,Medical_Examinations[],6,FALSE)</f>
        <v>No</v>
      </c>
      <c r="H517">
        <f>VLOOKUP(A517,Medical_Examinations[],7,FALSE)</f>
        <v>0</v>
      </c>
      <c r="I517" t="str">
        <f>VLOOKUP(A517,Medical_Examinations[],8,FALSE)</f>
        <v>Yes</v>
      </c>
      <c r="J517" t="str">
        <f>VLOOKUP(A517,Medical_Examinations[],9,FALSE)</f>
        <v>Overweight</v>
      </c>
      <c r="K517" t="str">
        <f>VLOOKUP(A517,Medical_Examinations[],10,FALSE)</f>
        <v>Normal</v>
      </c>
      <c r="M517">
        <f>VLOOKUP(A517,Hospitalisation_Details__2[],4,FALSE)</f>
        <v>19199.939999999999</v>
      </c>
      <c r="N517" t="str">
        <f>VLOOKUP(A517,Hospitalisation_Details__2[],5,FALSE)</f>
        <v>tier - 1</v>
      </c>
      <c r="O517" t="str">
        <f>VLOOKUP(A517,Hospitalisation_Details__2[],6,FALSE)</f>
        <v>tier - 3</v>
      </c>
      <c r="P517" t="str">
        <f>VLOOKUP(A517,Hospitalisation_Details__2[],7,FALSE)</f>
        <v>R1011</v>
      </c>
    </row>
    <row r="518" spans="1:16" x14ac:dyDescent="0.35">
      <c r="A518" t="str">
        <v>Id517</v>
      </c>
      <c r="B518" t="str">
        <f>VLOOKUP(A518,'Customer Names (2)'!A:B, 2,FALSE)</f>
        <v>Ms</v>
      </c>
      <c r="C518">
        <f>VLOOKUP(A518,Medical_Examinations[],2,FALSE)</f>
        <v>35.72</v>
      </c>
      <c r="D518">
        <f>VLOOKUP(A518,Medical_Examinations[],3,FALSE)</f>
        <v>4.08</v>
      </c>
      <c r="E518" t="str">
        <f>VLOOKUP(A518,Medical_Examinations[],4,FALSE)</f>
        <v>No</v>
      </c>
      <c r="F518" t="str">
        <f>VLOOKUP(A518,Medical_Examinations[],5,FALSE)</f>
        <v>No</v>
      </c>
      <c r="G518" t="str">
        <f>VLOOKUP(A518,Medical_Examinations[],6,FALSE)</f>
        <v>Yes</v>
      </c>
      <c r="H518">
        <f>VLOOKUP(A518,Medical_Examinations[],7,FALSE)</f>
        <v>1</v>
      </c>
      <c r="I518" t="str">
        <f>VLOOKUP(A518,Medical_Examinations[],8,FALSE)</f>
        <v>No</v>
      </c>
      <c r="J518" t="str">
        <f>VLOOKUP(A518,Medical_Examinations[],9,FALSE)</f>
        <v>Obesity</v>
      </c>
      <c r="K518" t="str">
        <f>VLOOKUP(A518,Medical_Examinations[],10,FALSE)</f>
        <v>Normal</v>
      </c>
      <c r="M518">
        <f>VLOOKUP(A518,Hospitalisation_Details__2[],4,FALSE)</f>
        <v>19144.580000000002</v>
      </c>
      <c r="N518" t="str">
        <f>VLOOKUP(A518,Hospitalisation_Details__2[],5,FALSE)</f>
        <v>tier - 1</v>
      </c>
      <c r="O518" t="str">
        <f>VLOOKUP(A518,Hospitalisation_Details__2[],6,FALSE)</f>
        <v>tier - 1</v>
      </c>
      <c r="P518" t="str">
        <f>VLOOKUP(A518,Hospitalisation_Details__2[],7,FALSE)</f>
        <v>R1024</v>
      </c>
    </row>
    <row r="519" spans="1:16" x14ac:dyDescent="0.35">
      <c r="A519" t="str">
        <v>Id518</v>
      </c>
      <c r="B519" t="str">
        <f>VLOOKUP(A519,'Customer Names (2)'!A:B, 2,FALSE)</f>
        <v>Ms</v>
      </c>
      <c r="C519">
        <f>VLOOKUP(A519,Medical_Examinations[],2,FALSE)</f>
        <v>27.94</v>
      </c>
      <c r="D519">
        <f>VLOOKUP(A519,Medical_Examinations[],3,FALSE)</f>
        <v>4.4800000000000004</v>
      </c>
      <c r="E519" t="str">
        <f>VLOOKUP(A519,Medical_Examinations[],4,FALSE)</f>
        <v>No</v>
      </c>
      <c r="F519" t="str">
        <f>VLOOKUP(A519,Medical_Examinations[],5,FALSE)</f>
        <v>No</v>
      </c>
      <c r="G519" t="str">
        <f>VLOOKUP(A519,Medical_Examinations[],6,FALSE)</f>
        <v>Yes</v>
      </c>
      <c r="H519">
        <f>VLOOKUP(A519,Medical_Examinations[],7,FALSE)</f>
        <v>1</v>
      </c>
      <c r="I519" t="str">
        <f>VLOOKUP(A519,Medical_Examinations[],8,FALSE)</f>
        <v>Yes</v>
      </c>
      <c r="J519" t="str">
        <f>VLOOKUP(A519,Medical_Examinations[],9,FALSE)</f>
        <v>Overweight</v>
      </c>
      <c r="K519" t="str">
        <f>VLOOKUP(A519,Medical_Examinations[],10,FALSE)</f>
        <v>Normal</v>
      </c>
      <c r="M519">
        <f>VLOOKUP(A519,Hospitalisation_Details__2[],4,FALSE)</f>
        <v>19107.78</v>
      </c>
      <c r="N519" t="str">
        <f>VLOOKUP(A519,Hospitalisation_Details__2[],5,FALSE)</f>
        <v>tier - 1</v>
      </c>
      <c r="O519" t="str">
        <f>VLOOKUP(A519,Hospitalisation_Details__2[],6,FALSE)</f>
        <v>tier - 2</v>
      </c>
      <c r="P519" t="str">
        <f>VLOOKUP(A519,Hospitalisation_Details__2[],7,FALSE)</f>
        <v>R1013</v>
      </c>
    </row>
    <row r="520" spans="1:16" x14ac:dyDescent="0.35">
      <c r="A520" t="str">
        <v>Id519</v>
      </c>
      <c r="B520" t="str">
        <f>VLOOKUP(A520,'Customer Names (2)'!A:B, 2,FALSE)</f>
        <v>Mr</v>
      </c>
      <c r="C520">
        <f>VLOOKUP(A520,Medical_Examinations[],2,FALSE)</f>
        <v>27.1</v>
      </c>
      <c r="D520">
        <f>VLOOKUP(A520,Medical_Examinations[],3,FALSE)</f>
        <v>5.73</v>
      </c>
      <c r="E520" t="str">
        <f>VLOOKUP(A520,Medical_Examinations[],4,FALSE)</f>
        <v>No</v>
      </c>
      <c r="F520" t="str">
        <f>VLOOKUP(A520,Medical_Examinations[],5,FALSE)</f>
        <v>No</v>
      </c>
      <c r="G520" t="str">
        <f>VLOOKUP(A520,Medical_Examinations[],6,FALSE)</f>
        <v>No</v>
      </c>
      <c r="H520">
        <f>VLOOKUP(A520,Medical_Examinations[],7,FALSE)</f>
        <v>0</v>
      </c>
      <c r="I520" t="str">
        <f>VLOOKUP(A520,Medical_Examinations[],8,FALSE)</f>
        <v>Yes</v>
      </c>
      <c r="J520" t="str">
        <f>VLOOKUP(A520,Medical_Examinations[],9,FALSE)</f>
        <v>Overweight</v>
      </c>
      <c r="K520" t="str">
        <f>VLOOKUP(A520,Medical_Examinations[],10,FALSE)</f>
        <v>Prediabetes</v>
      </c>
      <c r="M520">
        <f>VLOOKUP(A520,Hospitalisation_Details__2[],4,FALSE)</f>
        <v>19040.88</v>
      </c>
      <c r="N520" t="str">
        <f>VLOOKUP(A520,Hospitalisation_Details__2[],5,FALSE)</f>
        <v>tier - 1</v>
      </c>
      <c r="O520" t="str">
        <f>VLOOKUP(A520,Hospitalisation_Details__2[],6,FALSE)</f>
        <v>tier - 3</v>
      </c>
      <c r="P520" t="str">
        <f>VLOOKUP(A520,Hospitalisation_Details__2[],7,FALSE)</f>
        <v>R1011</v>
      </c>
    </row>
    <row r="521" spans="1:16" x14ac:dyDescent="0.35">
      <c r="A521" t="str">
        <v>Id520</v>
      </c>
      <c r="B521" t="str">
        <f>VLOOKUP(A521,'Customer Names (2)'!A:B, 2,FALSE)</f>
        <v>Ms</v>
      </c>
      <c r="C521">
        <f>VLOOKUP(A521,Medical_Examinations[],2,FALSE)</f>
        <v>18.3</v>
      </c>
      <c r="D521">
        <f>VLOOKUP(A521,Medical_Examinations[],3,FALSE)</f>
        <v>5.46</v>
      </c>
      <c r="E521" t="str">
        <f>VLOOKUP(A521,Medical_Examinations[],4,FALSE)</f>
        <v>Yes</v>
      </c>
      <c r="F521" t="str">
        <f>VLOOKUP(A521,Medical_Examinations[],5,FALSE)</f>
        <v>No</v>
      </c>
      <c r="G521" t="str">
        <f>VLOOKUP(A521,Medical_Examinations[],6,FALSE)</f>
        <v>Yes</v>
      </c>
      <c r="H521">
        <f>VLOOKUP(A521,Medical_Examinations[],7,FALSE)</f>
        <v>1</v>
      </c>
      <c r="I521" t="str">
        <f>VLOOKUP(A521,Medical_Examinations[],8,FALSE)</f>
        <v>Yes</v>
      </c>
      <c r="J521" t="str">
        <f>VLOOKUP(A521,Medical_Examinations[],9,FALSE)</f>
        <v>Underweight</v>
      </c>
      <c r="K521" t="str">
        <f>VLOOKUP(A521,Medical_Examinations[],10,FALSE)</f>
        <v>Normal</v>
      </c>
      <c r="M521">
        <f>VLOOKUP(A521,Hospitalisation_Details__2[],4,FALSE)</f>
        <v>19023.259999999998</v>
      </c>
      <c r="N521" t="str">
        <f>VLOOKUP(A521,Hospitalisation_Details__2[],5,FALSE)</f>
        <v>tier - 1</v>
      </c>
      <c r="O521" t="str">
        <f>VLOOKUP(A521,Hospitalisation_Details__2[],6,FALSE)</f>
        <v>tier - 3</v>
      </c>
      <c r="P521" t="str">
        <f>VLOOKUP(A521,Hospitalisation_Details__2[],7,FALSE)</f>
        <v>R1011</v>
      </c>
    </row>
    <row r="522" spans="1:16" x14ac:dyDescent="0.35">
      <c r="A522" t="str">
        <v>Id521</v>
      </c>
      <c r="B522" t="str">
        <f>VLOOKUP(A522,'Customer Names (2)'!A:B, 2,FALSE)</f>
        <v>Mr</v>
      </c>
      <c r="C522">
        <f>VLOOKUP(A522,Medical_Examinations[],2,FALSE)</f>
        <v>25.3</v>
      </c>
      <c r="D522">
        <f>VLOOKUP(A522,Medical_Examinations[],3,FALSE)</f>
        <v>5.0199999999999996</v>
      </c>
      <c r="E522" t="str">
        <f>VLOOKUP(A522,Medical_Examinations[],4,FALSE)</f>
        <v>Yes</v>
      </c>
      <c r="F522" t="str">
        <f>VLOOKUP(A522,Medical_Examinations[],5,FALSE)</f>
        <v>No</v>
      </c>
      <c r="G522" t="str">
        <f>VLOOKUP(A522,Medical_Examinations[],6,FALSE)</f>
        <v>No</v>
      </c>
      <c r="H522">
        <f>VLOOKUP(A522,Medical_Examinations[],7,FALSE)</f>
        <v>1</v>
      </c>
      <c r="I522" t="str">
        <f>VLOOKUP(A522,Medical_Examinations[],8,FALSE)</f>
        <v>Yes</v>
      </c>
      <c r="J522" t="str">
        <f>VLOOKUP(A522,Medical_Examinations[],9,FALSE)</f>
        <v>Overweight</v>
      </c>
      <c r="K522" t="str">
        <f>VLOOKUP(A522,Medical_Examinations[],10,FALSE)</f>
        <v>Normal</v>
      </c>
      <c r="M522">
        <f>VLOOKUP(A522,Hospitalisation_Details__2[],4,FALSE)</f>
        <v>18972.5</v>
      </c>
      <c r="N522" t="str">
        <f>VLOOKUP(A522,Hospitalisation_Details__2[],5,FALSE)</f>
        <v>tier - 1</v>
      </c>
      <c r="O522" t="str">
        <f>VLOOKUP(A522,Hospitalisation_Details__2[],6,FALSE)</f>
        <v>tier - 3</v>
      </c>
      <c r="P522" t="str">
        <f>VLOOKUP(A522,Hospitalisation_Details__2[],7,FALSE)</f>
        <v>R1013</v>
      </c>
    </row>
    <row r="523" spans="1:16" x14ac:dyDescent="0.35">
      <c r="A523" t="str">
        <v>Id522</v>
      </c>
      <c r="B523" t="str">
        <f>VLOOKUP(A523,'Customer Names (2)'!A:B, 2,FALSE)</f>
        <v>Mr</v>
      </c>
      <c r="C523">
        <f>VLOOKUP(A523,Medical_Examinations[],2,FALSE)</f>
        <v>38.83</v>
      </c>
      <c r="D523">
        <f>VLOOKUP(A523,Medical_Examinations[],3,FALSE)</f>
        <v>6.36</v>
      </c>
      <c r="E523" t="str">
        <f>VLOOKUP(A523,Medical_Examinations[],4,FALSE)</f>
        <v>No</v>
      </c>
      <c r="F523" t="str">
        <f>VLOOKUP(A523,Medical_Examinations[],5,FALSE)</f>
        <v>No</v>
      </c>
      <c r="G523" t="str">
        <f>VLOOKUP(A523,Medical_Examinations[],6,FALSE)</f>
        <v>No</v>
      </c>
      <c r="H523">
        <f>VLOOKUP(A523,Medical_Examinations[],7,FALSE)</f>
        <v>1</v>
      </c>
      <c r="I523" t="str">
        <f>VLOOKUP(A523,Medical_Examinations[],8,FALSE)</f>
        <v>No</v>
      </c>
      <c r="J523" t="str">
        <f>VLOOKUP(A523,Medical_Examinations[],9,FALSE)</f>
        <v>Obesity</v>
      </c>
      <c r="K523" t="str">
        <f>VLOOKUP(A523,Medical_Examinations[],10,FALSE)</f>
        <v>Prediabetes</v>
      </c>
      <c r="M523">
        <f>VLOOKUP(A523,Hospitalisation_Details__2[],4,FALSE)</f>
        <v>18963.169999999998</v>
      </c>
      <c r="N523" t="str">
        <f>VLOOKUP(A523,Hospitalisation_Details__2[],5,FALSE)</f>
        <v>tier - 1</v>
      </c>
      <c r="O523" t="str">
        <f>VLOOKUP(A523,Hospitalisation_Details__2[],6,FALSE)</f>
        <v>tier - 1</v>
      </c>
      <c r="P523" t="str">
        <f>VLOOKUP(A523,Hospitalisation_Details__2[],7,FALSE)</f>
        <v>R1013</v>
      </c>
    </row>
    <row r="524" spans="1:16" x14ac:dyDescent="0.35">
      <c r="A524" t="str">
        <v>Id523</v>
      </c>
      <c r="B524" t="str">
        <f>VLOOKUP(A524,'Customer Names (2)'!A:B, 2,FALSE)</f>
        <v>Ms</v>
      </c>
      <c r="C524">
        <f>VLOOKUP(A524,Medical_Examinations[],2,FALSE)</f>
        <v>27.6</v>
      </c>
      <c r="D524">
        <f>VLOOKUP(A524,Medical_Examinations[],3,FALSE)</f>
        <v>5.36</v>
      </c>
      <c r="E524" t="str">
        <f>VLOOKUP(A524,Medical_Examinations[],4,FALSE)</f>
        <v>No</v>
      </c>
      <c r="F524" t="str">
        <f>VLOOKUP(A524,Medical_Examinations[],5,FALSE)</f>
        <v>No</v>
      </c>
      <c r="G524" t="str">
        <f>VLOOKUP(A524,Medical_Examinations[],6,FALSE)</f>
        <v>No</v>
      </c>
      <c r="H524">
        <f>VLOOKUP(A524,Medical_Examinations[],7,FALSE)</f>
        <v>1</v>
      </c>
      <c r="I524" t="str">
        <f>VLOOKUP(A524,Medical_Examinations[],8,FALSE)</f>
        <v>No</v>
      </c>
      <c r="J524" t="str">
        <f>VLOOKUP(A524,Medical_Examinations[],9,FALSE)</f>
        <v>Overweight</v>
      </c>
      <c r="K524" t="str">
        <f>VLOOKUP(A524,Medical_Examinations[],10,FALSE)</f>
        <v>Normal</v>
      </c>
      <c r="M524">
        <f>VLOOKUP(A524,Hospitalisation_Details__2[],4,FALSE)</f>
        <v>18955.22</v>
      </c>
      <c r="N524" t="str">
        <f>VLOOKUP(A524,Hospitalisation_Details__2[],5,FALSE)</f>
        <v>tier - 1</v>
      </c>
      <c r="O524" t="str">
        <f>VLOOKUP(A524,Hospitalisation_Details__2[],6,FALSE)</f>
        <v>tier - 3</v>
      </c>
      <c r="P524" t="str">
        <f>VLOOKUP(A524,Hospitalisation_Details__2[],7,FALSE)</f>
        <v>R1011</v>
      </c>
    </row>
    <row r="525" spans="1:16" x14ac:dyDescent="0.35">
      <c r="A525" t="str">
        <v>Id524</v>
      </c>
      <c r="B525" t="str">
        <f>VLOOKUP(A525,'Customer Names (2)'!A:B, 2,FALSE)</f>
        <v>Mrs</v>
      </c>
      <c r="C525">
        <f>VLOOKUP(A525,Medical_Examinations[],2,FALSE)</f>
        <v>46.4</v>
      </c>
      <c r="D525">
        <f>VLOOKUP(A525,Medical_Examinations[],3,FALSE)</f>
        <v>8.3699999999999992</v>
      </c>
      <c r="E525" t="str">
        <f>VLOOKUP(A525,Medical_Examinations[],4,FALSE)</f>
        <v>Yes</v>
      </c>
      <c r="F525" t="str">
        <f>VLOOKUP(A525,Medical_Examinations[],5,FALSE)</f>
        <v>No</v>
      </c>
      <c r="G525" t="str">
        <f>VLOOKUP(A525,Medical_Examinations[],6,FALSE)</f>
        <v>Yes</v>
      </c>
      <c r="H525">
        <f>VLOOKUP(A525,Medical_Examinations[],7,FALSE)</f>
        <v>1</v>
      </c>
      <c r="I525" t="str">
        <f>VLOOKUP(A525,Medical_Examinations[],8,FALSE)</f>
        <v>No</v>
      </c>
      <c r="J525" t="str">
        <f>VLOOKUP(A525,Medical_Examinations[],9,FALSE)</f>
        <v>Obesity</v>
      </c>
      <c r="K525" t="str">
        <f>VLOOKUP(A525,Medical_Examinations[],10,FALSE)</f>
        <v>Diabetes</v>
      </c>
      <c r="M525">
        <f>VLOOKUP(A525,Hospitalisation_Details__2[],4,FALSE)</f>
        <v>18954.560000000001</v>
      </c>
      <c r="N525" t="str">
        <f>VLOOKUP(A525,Hospitalisation_Details__2[],5,FALSE)</f>
        <v>tier - 1</v>
      </c>
      <c r="O525" t="str">
        <f>VLOOKUP(A525,Hospitalisation_Details__2[],6,FALSE)</f>
        <v>tier - 1</v>
      </c>
      <c r="P525" t="str">
        <f>VLOOKUP(A525,Hospitalisation_Details__2[],7,FALSE)</f>
        <v>R1026</v>
      </c>
    </row>
    <row r="526" spans="1:16" x14ac:dyDescent="0.35">
      <c r="A526" t="str">
        <v>Id525</v>
      </c>
      <c r="B526" t="str">
        <f>VLOOKUP(A526,'Customer Names (2)'!A:B, 2,FALSE)</f>
        <v>Ms</v>
      </c>
      <c r="C526">
        <f>VLOOKUP(A526,Medical_Examinations[],2,FALSE)</f>
        <v>51.92</v>
      </c>
      <c r="D526">
        <f>VLOOKUP(A526,Medical_Examinations[],3,FALSE)</f>
        <v>5.18</v>
      </c>
      <c r="E526" t="str">
        <f>VLOOKUP(A526,Medical_Examinations[],4,FALSE)</f>
        <v>Yes</v>
      </c>
      <c r="F526" t="str">
        <f>VLOOKUP(A526,Medical_Examinations[],5,FALSE)</f>
        <v>No</v>
      </c>
      <c r="G526" t="str">
        <f>VLOOKUP(A526,Medical_Examinations[],6,FALSE)</f>
        <v>Yes</v>
      </c>
      <c r="H526">
        <f>VLOOKUP(A526,Medical_Examinations[],7,FALSE)</f>
        <v>1</v>
      </c>
      <c r="I526" t="str">
        <f>VLOOKUP(A526,Medical_Examinations[],8,FALSE)</f>
        <v>No</v>
      </c>
      <c r="J526" t="str">
        <f>VLOOKUP(A526,Medical_Examinations[],9,FALSE)</f>
        <v>Obesity</v>
      </c>
      <c r="K526" t="str">
        <f>VLOOKUP(A526,Medical_Examinations[],10,FALSE)</f>
        <v>Normal</v>
      </c>
      <c r="M526">
        <f>VLOOKUP(A526,Hospitalisation_Details__2[],4,FALSE)</f>
        <v>18932.810000000001</v>
      </c>
      <c r="N526" t="str">
        <f>VLOOKUP(A526,Hospitalisation_Details__2[],5,FALSE)</f>
        <v>tier - 1</v>
      </c>
      <c r="O526" t="str">
        <f>VLOOKUP(A526,Hospitalisation_Details__2[],6,FALSE)</f>
        <v>tier - 3</v>
      </c>
      <c r="P526" t="str">
        <f>VLOOKUP(A526,Hospitalisation_Details__2[],7,FALSE)</f>
        <v>R1012</v>
      </c>
    </row>
    <row r="527" spans="1:16" x14ac:dyDescent="0.35">
      <c r="A527" t="str">
        <v>Id526</v>
      </c>
      <c r="B527" t="str">
        <f>VLOOKUP(A527,'Customer Names (2)'!A:B, 2,FALSE)</f>
        <v>Ms</v>
      </c>
      <c r="C527">
        <f>VLOOKUP(A527,Medical_Examinations[],2,FALSE)</f>
        <v>32.395000000000003</v>
      </c>
      <c r="D527">
        <f>VLOOKUP(A527,Medical_Examinations[],3,FALSE)</f>
        <v>5.68</v>
      </c>
      <c r="E527" t="str">
        <f>VLOOKUP(A527,Medical_Examinations[],4,FALSE)</f>
        <v>Yes</v>
      </c>
      <c r="F527" t="str">
        <f>VLOOKUP(A527,Medical_Examinations[],5,FALSE)</f>
        <v>No</v>
      </c>
      <c r="G527" t="str">
        <f>VLOOKUP(A527,Medical_Examinations[],6,FALSE)</f>
        <v>No</v>
      </c>
      <c r="H527">
        <f>VLOOKUP(A527,Medical_Examinations[],7,FALSE)</f>
        <v>1</v>
      </c>
      <c r="I527" t="str">
        <f>VLOOKUP(A527,Medical_Examinations[],8,FALSE)</f>
        <v>No</v>
      </c>
      <c r="J527" t="str">
        <f>VLOOKUP(A527,Medical_Examinations[],9,FALSE)</f>
        <v>Obesity</v>
      </c>
      <c r="K527" t="str">
        <f>VLOOKUP(A527,Medical_Examinations[],10,FALSE)</f>
        <v>Normal</v>
      </c>
      <c r="M527">
        <f>VLOOKUP(A527,Hospitalisation_Details__2[],4,FALSE)</f>
        <v>18903.490000000002</v>
      </c>
      <c r="N527" t="str">
        <f>VLOOKUP(A527,Hospitalisation_Details__2[],5,FALSE)</f>
        <v>tier - 1</v>
      </c>
      <c r="O527" t="str">
        <f>VLOOKUP(A527,Hospitalisation_Details__2[],6,FALSE)</f>
        <v>tier - 2</v>
      </c>
      <c r="P527" t="str">
        <f>VLOOKUP(A527,Hospitalisation_Details__2[],7,FALSE)</f>
        <v>R1024</v>
      </c>
    </row>
    <row r="528" spans="1:16" x14ac:dyDescent="0.35">
      <c r="A528" t="str">
        <v>Id527</v>
      </c>
      <c r="B528" t="str">
        <f>VLOOKUP(A528,'Customer Names (2)'!A:B, 2,FALSE)</f>
        <v>Mrs</v>
      </c>
      <c r="C528">
        <f>VLOOKUP(A528,Medical_Examinations[],2,FALSE)</f>
        <v>46.19</v>
      </c>
      <c r="D528">
        <f>VLOOKUP(A528,Medical_Examinations[],3,FALSE)</f>
        <v>7.31</v>
      </c>
      <c r="E528" t="str">
        <f>VLOOKUP(A528,Medical_Examinations[],4,FALSE)</f>
        <v>Yes</v>
      </c>
      <c r="F528" t="str">
        <f>VLOOKUP(A528,Medical_Examinations[],5,FALSE)</f>
        <v>No</v>
      </c>
      <c r="G528" t="str">
        <f>VLOOKUP(A528,Medical_Examinations[],6,FALSE)</f>
        <v>Yes</v>
      </c>
      <c r="H528">
        <f>VLOOKUP(A528,Medical_Examinations[],7,FALSE)</f>
        <v>1</v>
      </c>
      <c r="I528" t="str">
        <f>VLOOKUP(A528,Medical_Examinations[],8,FALSE)</f>
        <v>No</v>
      </c>
      <c r="J528" t="str">
        <f>VLOOKUP(A528,Medical_Examinations[],9,FALSE)</f>
        <v>Obesity</v>
      </c>
      <c r="K528" t="str">
        <f>VLOOKUP(A528,Medical_Examinations[],10,FALSE)</f>
        <v>Diabetes</v>
      </c>
      <c r="M528">
        <f>VLOOKUP(A528,Hospitalisation_Details__2[],4,FALSE)</f>
        <v>18883.330000000002</v>
      </c>
      <c r="N528" t="str">
        <f>VLOOKUP(A528,Hospitalisation_Details__2[],5,FALSE)</f>
        <v>tier - 1</v>
      </c>
      <c r="O528" t="str">
        <f>VLOOKUP(A528,Hospitalisation_Details__2[],6,FALSE)</f>
        <v>tier - 1</v>
      </c>
      <c r="P528" t="str">
        <f>VLOOKUP(A528,Hospitalisation_Details__2[],7,FALSE)</f>
        <v>R1026</v>
      </c>
    </row>
    <row r="529" spans="1:16" x14ac:dyDescent="0.35">
      <c r="A529" t="str">
        <v>Id528</v>
      </c>
      <c r="B529" t="str">
        <f>VLOOKUP(A529,'Customer Names (2)'!A:B, 2,FALSE)</f>
        <v>Ms</v>
      </c>
      <c r="C529">
        <f>VLOOKUP(A529,Medical_Examinations[],2,FALSE)</f>
        <v>27.93</v>
      </c>
      <c r="D529">
        <f>VLOOKUP(A529,Medical_Examinations[],3,FALSE)</f>
        <v>4.67</v>
      </c>
      <c r="E529" t="str">
        <f>VLOOKUP(A529,Medical_Examinations[],4,FALSE)</f>
        <v>No</v>
      </c>
      <c r="F529" t="str">
        <f>VLOOKUP(A529,Medical_Examinations[],5,FALSE)</f>
        <v>No</v>
      </c>
      <c r="G529" t="str">
        <f>VLOOKUP(A529,Medical_Examinations[],6,FALSE)</f>
        <v>Yes</v>
      </c>
      <c r="H529">
        <f>VLOOKUP(A529,Medical_Examinations[],7,FALSE)</f>
        <v>1</v>
      </c>
      <c r="I529" t="str">
        <f>VLOOKUP(A529,Medical_Examinations[],8,FALSE)</f>
        <v>No</v>
      </c>
      <c r="J529" t="str">
        <f>VLOOKUP(A529,Medical_Examinations[],9,FALSE)</f>
        <v>Overweight</v>
      </c>
      <c r="K529" t="str">
        <f>VLOOKUP(A529,Medical_Examinations[],10,FALSE)</f>
        <v>Normal</v>
      </c>
      <c r="M529">
        <f>VLOOKUP(A529,Hospitalisation_Details__2[],4,FALSE)</f>
        <v>18838.7</v>
      </c>
      <c r="N529" t="str">
        <f>VLOOKUP(A529,Hospitalisation_Details__2[],5,FALSE)</f>
        <v>tier - 1</v>
      </c>
      <c r="O529" t="str">
        <f>VLOOKUP(A529,Hospitalisation_Details__2[],6,FALSE)</f>
        <v>tier - 3</v>
      </c>
      <c r="P529" t="str">
        <f>VLOOKUP(A529,Hospitalisation_Details__2[],7,FALSE)</f>
        <v>R1012</v>
      </c>
    </row>
    <row r="530" spans="1:16" x14ac:dyDescent="0.35">
      <c r="A530" t="str">
        <v>Id529</v>
      </c>
      <c r="B530" t="str">
        <f>VLOOKUP(A530,'Customer Names (2)'!A:B, 2,FALSE)</f>
        <v>Mr</v>
      </c>
      <c r="C530">
        <f>VLOOKUP(A530,Medical_Examinations[],2,FALSE)</f>
        <v>45.62</v>
      </c>
      <c r="D530">
        <f>VLOOKUP(A530,Medical_Examinations[],3,FALSE)</f>
        <v>6.87</v>
      </c>
      <c r="E530" t="str">
        <f>VLOOKUP(A530,Medical_Examinations[],4,FALSE)</f>
        <v>No</v>
      </c>
      <c r="F530" t="str">
        <f>VLOOKUP(A530,Medical_Examinations[],5,FALSE)</f>
        <v>No</v>
      </c>
      <c r="G530" t="str">
        <f>VLOOKUP(A530,Medical_Examinations[],6,FALSE)</f>
        <v>No</v>
      </c>
      <c r="H530">
        <f>VLOOKUP(A530,Medical_Examinations[],7,FALSE)</f>
        <v>0</v>
      </c>
      <c r="I530" t="str">
        <f>VLOOKUP(A530,Medical_Examinations[],8,FALSE)</f>
        <v>No</v>
      </c>
      <c r="J530" t="str">
        <f>VLOOKUP(A530,Medical_Examinations[],9,FALSE)</f>
        <v>Obesity</v>
      </c>
      <c r="K530" t="str">
        <f>VLOOKUP(A530,Medical_Examinations[],10,FALSE)</f>
        <v>Diabetes</v>
      </c>
      <c r="M530">
        <f>VLOOKUP(A530,Hospitalisation_Details__2[],4,FALSE)</f>
        <v>18815.53</v>
      </c>
      <c r="N530" t="str">
        <f>VLOOKUP(A530,Hospitalisation_Details__2[],5,FALSE)</f>
        <v>tier - 1</v>
      </c>
      <c r="O530" t="str">
        <f>VLOOKUP(A530,Hospitalisation_Details__2[],6,FALSE)</f>
        <v>tier - 1</v>
      </c>
      <c r="P530" t="str">
        <f>VLOOKUP(A530,Hospitalisation_Details__2[],7,FALSE)</f>
        <v>R1023</v>
      </c>
    </row>
    <row r="531" spans="1:16" x14ac:dyDescent="0.35">
      <c r="A531" t="str">
        <v>Id530</v>
      </c>
      <c r="B531" t="str">
        <f>VLOOKUP(A531,'Customer Names (2)'!A:B, 2,FALSE)</f>
        <v>Mr</v>
      </c>
      <c r="C531">
        <f>VLOOKUP(A531,Medical_Examinations[],2,FALSE)</f>
        <v>35.31</v>
      </c>
      <c r="D531">
        <f>VLOOKUP(A531,Medical_Examinations[],3,FALSE)</f>
        <v>5.87</v>
      </c>
      <c r="E531" t="str">
        <f>VLOOKUP(A531,Medical_Examinations[],4,FALSE)</f>
        <v>No</v>
      </c>
      <c r="F531" t="str">
        <f>VLOOKUP(A531,Medical_Examinations[],5,FALSE)</f>
        <v>No</v>
      </c>
      <c r="G531" t="str">
        <f>VLOOKUP(A531,Medical_Examinations[],6,FALSE)</f>
        <v>Yes</v>
      </c>
      <c r="H531">
        <f>VLOOKUP(A531,Medical_Examinations[],7,FALSE)</f>
        <v>1</v>
      </c>
      <c r="I531" t="str">
        <f>VLOOKUP(A531,Medical_Examinations[],8,FALSE)</f>
        <v>No</v>
      </c>
      <c r="J531" t="str">
        <f>VLOOKUP(A531,Medical_Examinations[],9,FALSE)</f>
        <v>Obesity</v>
      </c>
      <c r="K531" t="str">
        <f>VLOOKUP(A531,Medical_Examinations[],10,FALSE)</f>
        <v>Prediabetes</v>
      </c>
      <c r="M531">
        <f>VLOOKUP(A531,Hospitalisation_Details__2[],4,FALSE)</f>
        <v>18806.150000000001</v>
      </c>
      <c r="N531" t="str">
        <f>VLOOKUP(A531,Hospitalisation_Details__2[],5,FALSE)</f>
        <v>tier - 1</v>
      </c>
      <c r="O531" t="str">
        <f>VLOOKUP(A531,Hospitalisation_Details__2[],6,FALSE)</f>
        <v>tier - 2</v>
      </c>
      <c r="P531" t="str">
        <f>VLOOKUP(A531,Hospitalisation_Details__2[],7,FALSE)</f>
        <v>R1013</v>
      </c>
    </row>
    <row r="532" spans="1:16" x14ac:dyDescent="0.35">
      <c r="A532" t="str">
        <v>Id531</v>
      </c>
      <c r="B532" t="str">
        <f>VLOOKUP(A532,'Customer Names (2)'!A:B, 2,FALSE)</f>
        <v>Ms</v>
      </c>
      <c r="C532">
        <f>VLOOKUP(A532,Medical_Examinations[],2,FALSE)</f>
        <v>30.4</v>
      </c>
      <c r="D532">
        <f>VLOOKUP(A532,Medical_Examinations[],3,FALSE)</f>
        <v>4.07</v>
      </c>
      <c r="E532" t="str">
        <f>VLOOKUP(A532,Medical_Examinations[],4,FALSE)</f>
        <v>Yes</v>
      </c>
      <c r="F532" t="str">
        <f>VLOOKUP(A532,Medical_Examinations[],5,FALSE)</f>
        <v>No</v>
      </c>
      <c r="G532" t="str">
        <f>VLOOKUP(A532,Medical_Examinations[],6,FALSE)</f>
        <v>No</v>
      </c>
      <c r="H532">
        <f>VLOOKUP(A532,Medical_Examinations[],7,FALSE)</f>
        <v>1</v>
      </c>
      <c r="I532" t="str">
        <f>VLOOKUP(A532,Medical_Examinations[],8,FALSE)</f>
        <v>No</v>
      </c>
      <c r="J532" t="str">
        <f>VLOOKUP(A532,Medical_Examinations[],9,FALSE)</f>
        <v>Obesity</v>
      </c>
      <c r="K532" t="str">
        <f>VLOOKUP(A532,Medical_Examinations[],10,FALSE)</f>
        <v>Normal</v>
      </c>
      <c r="M532">
        <f>VLOOKUP(A532,Hospitalisation_Details__2[],4,FALSE)</f>
        <v>18804.75</v>
      </c>
      <c r="N532" t="str">
        <f>VLOOKUP(A532,Hospitalisation_Details__2[],5,FALSE)</f>
        <v>tier - 1</v>
      </c>
      <c r="O532" t="str">
        <f>VLOOKUP(A532,Hospitalisation_Details__2[],6,FALSE)</f>
        <v>tier - 1</v>
      </c>
      <c r="P532" t="str">
        <f>VLOOKUP(A532,Hospitalisation_Details__2[],7,FALSE)</f>
        <v>R1012</v>
      </c>
    </row>
    <row r="533" spans="1:16" x14ac:dyDescent="0.35">
      <c r="A533" t="str">
        <v>Id532</v>
      </c>
      <c r="B533" t="str">
        <f>VLOOKUP(A533,'Customer Names (2)'!A:B, 2,FALSE)</f>
        <v>Mr</v>
      </c>
      <c r="C533">
        <f>VLOOKUP(A533,Medical_Examinations[],2,FALSE)</f>
        <v>20.13</v>
      </c>
      <c r="D533">
        <f>VLOOKUP(A533,Medical_Examinations[],3,FALSE)</f>
        <v>6.47</v>
      </c>
      <c r="E533" t="str">
        <f>VLOOKUP(A533,Medical_Examinations[],4,FALSE)</f>
        <v>No</v>
      </c>
      <c r="F533" t="str">
        <f>VLOOKUP(A533,Medical_Examinations[],5,FALSE)</f>
        <v>No</v>
      </c>
      <c r="G533" t="str">
        <f>VLOOKUP(A533,Medical_Examinations[],6,FALSE)</f>
        <v>Yes</v>
      </c>
      <c r="H533">
        <f>VLOOKUP(A533,Medical_Examinations[],7,FALSE)</f>
        <v>1</v>
      </c>
      <c r="I533" t="str">
        <f>VLOOKUP(A533,Medical_Examinations[],8,FALSE)</f>
        <v>Yes</v>
      </c>
      <c r="J533" t="str">
        <f>VLOOKUP(A533,Medical_Examinations[],9,FALSE)</f>
        <v>Normal Weight</v>
      </c>
      <c r="K533" t="str">
        <f>VLOOKUP(A533,Medical_Examinations[],10,FALSE)</f>
        <v>Prediabetes</v>
      </c>
      <c r="M533">
        <f>VLOOKUP(A533,Hospitalisation_Details__2[],4,FALSE)</f>
        <v>18767.740000000002</v>
      </c>
      <c r="N533" t="str">
        <f>VLOOKUP(A533,Hospitalisation_Details__2[],5,FALSE)</f>
        <v>tier - 1</v>
      </c>
      <c r="O533" t="str">
        <f>VLOOKUP(A533,Hospitalisation_Details__2[],6,FALSE)</f>
        <v>tier - 1</v>
      </c>
      <c r="P533" t="str">
        <f>VLOOKUP(A533,Hospitalisation_Details__2[],7,FALSE)</f>
        <v>R1013</v>
      </c>
    </row>
    <row r="534" spans="1:16" x14ac:dyDescent="0.35">
      <c r="A534" t="str">
        <v>Id533</v>
      </c>
      <c r="B534" t="str">
        <f>VLOOKUP(A534,'Customer Names (2)'!A:B, 2,FALSE)</f>
        <v>Ms</v>
      </c>
      <c r="C534">
        <f>VLOOKUP(A534,Medical_Examinations[],2,FALSE)</f>
        <v>23.655000000000001</v>
      </c>
      <c r="D534">
        <f>VLOOKUP(A534,Medical_Examinations[],3,FALSE)</f>
        <v>5.14</v>
      </c>
      <c r="E534" t="str">
        <f>VLOOKUP(A534,Medical_Examinations[],4,FALSE)</f>
        <v>No</v>
      </c>
      <c r="F534" t="str">
        <f>VLOOKUP(A534,Medical_Examinations[],5,FALSE)</f>
        <v>No</v>
      </c>
      <c r="G534" t="str">
        <f>VLOOKUP(A534,Medical_Examinations[],6,FALSE)</f>
        <v>No</v>
      </c>
      <c r="H534">
        <f>VLOOKUP(A534,Medical_Examinations[],7,FALSE)</f>
        <v>1</v>
      </c>
      <c r="I534" t="str">
        <f>VLOOKUP(A534,Medical_Examinations[],8,FALSE)</f>
        <v>Yes</v>
      </c>
      <c r="J534" t="str">
        <f>VLOOKUP(A534,Medical_Examinations[],9,FALSE)</f>
        <v>Normal Weight</v>
      </c>
      <c r="K534" t="str">
        <f>VLOOKUP(A534,Medical_Examinations[],10,FALSE)</f>
        <v>Normal</v>
      </c>
      <c r="M534">
        <f>VLOOKUP(A534,Hospitalisation_Details__2[],4,FALSE)</f>
        <v>18765.88</v>
      </c>
      <c r="N534" t="str">
        <f>VLOOKUP(A534,Hospitalisation_Details__2[],5,FALSE)</f>
        <v>tier - 1</v>
      </c>
      <c r="O534" t="str">
        <f>VLOOKUP(A534,Hospitalisation_Details__2[],6,FALSE)</f>
        <v>tier - 2</v>
      </c>
      <c r="P534" t="str">
        <f>VLOOKUP(A534,Hospitalisation_Details__2[],7,FALSE)</f>
        <v>R1012</v>
      </c>
    </row>
    <row r="535" spans="1:16" x14ac:dyDescent="0.35">
      <c r="A535" t="str">
        <v>Id534</v>
      </c>
      <c r="B535" t="str">
        <f>VLOOKUP(A535,'Customer Names (2)'!A:B, 2,FALSE)</f>
        <v>Mr</v>
      </c>
      <c r="C535">
        <f>VLOOKUP(A535,Medical_Examinations[],2,FALSE)</f>
        <v>49.05</v>
      </c>
      <c r="D535">
        <f>VLOOKUP(A535,Medical_Examinations[],3,FALSE)</f>
        <v>9.77</v>
      </c>
      <c r="E535" t="str">
        <f>VLOOKUP(A535,Medical_Examinations[],4,FALSE)</f>
        <v>Yes</v>
      </c>
      <c r="F535" t="str">
        <f>VLOOKUP(A535,Medical_Examinations[],5,FALSE)</f>
        <v>No</v>
      </c>
      <c r="G535" t="str">
        <f>VLOOKUP(A535,Medical_Examinations[],6,FALSE)</f>
        <v>No</v>
      </c>
      <c r="H535">
        <f>VLOOKUP(A535,Medical_Examinations[],7,FALSE)</f>
        <v>0</v>
      </c>
      <c r="I535" t="str">
        <f>VLOOKUP(A535,Medical_Examinations[],8,FALSE)</f>
        <v>No</v>
      </c>
      <c r="J535" t="str">
        <f>VLOOKUP(A535,Medical_Examinations[],9,FALSE)</f>
        <v>Obesity</v>
      </c>
      <c r="K535" t="str">
        <f>VLOOKUP(A535,Medical_Examinations[],10,FALSE)</f>
        <v>Diabetes</v>
      </c>
      <c r="M535">
        <f>VLOOKUP(A535,Hospitalisation_Details__2[],4,FALSE)</f>
        <v>18694.689999999999</v>
      </c>
      <c r="N535" t="str">
        <f>VLOOKUP(A535,Hospitalisation_Details__2[],5,FALSE)</f>
        <v>tier - 1</v>
      </c>
      <c r="O535" t="str">
        <f>VLOOKUP(A535,Hospitalisation_Details__2[],6,FALSE)</f>
        <v>tier - 1</v>
      </c>
      <c r="P535" t="str">
        <f>VLOOKUP(A535,Hospitalisation_Details__2[],7,FALSE)</f>
        <v>R1023</v>
      </c>
    </row>
    <row r="536" spans="1:16" x14ac:dyDescent="0.35">
      <c r="A536" t="str">
        <v>Id535</v>
      </c>
      <c r="B536" t="str">
        <f>VLOOKUP(A536,'Customer Names (2)'!A:B, 2,FALSE)</f>
        <v>Ms</v>
      </c>
      <c r="C536">
        <f>VLOOKUP(A536,Medical_Examinations[],2,FALSE)</f>
        <v>51.94</v>
      </c>
      <c r="D536">
        <f>VLOOKUP(A536,Medical_Examinations[],3,FALSE)</f>
        <v>8.8000000000000007</v>
      </c>
      <c r="E536" t="str">
        <f>VLOOKUP(A536,Medical_Examinations[],4,FALSE)</f>
        <v>Yes</v>
      </c>
      <c r="F536" t="str">
        <f>VLOOKUP(A536,Medical_Examinations[],5,FALSE)</f>
        <v>No</v>
      </c>
      <c r="G536" t="str">
        <f>VLOOKUP(A536,Medical_Examinations[],6,FALSE)</f>
        <v>No</v>
      </c>
      <c r="H536">
        <f>VLOOKUP(A536,Medical_Examinations[],7,FALSE)</f>
        <v>2</v>
      </c>
      <c r="I536" t="str">
        <f>VLOOKUP(A536,Medical_Examinations[],8,FALSE)</f>
        <v>No</v>
      </c>
      <c r="J536" t="str">
        <f>VLOOKUP(A536,Medical_Examinations[],9,FALSE)</f>
        <v>Obesity</v>
      </c>
      <c r="K536" t="str">
        <f>VLOOKUP(A536,Medical_Examinations[],10,FALSE)</f>
        <v>Diabetes</v>
      </c>
      <c r="M536">
        <f>VLOOKUP(A536,Hospitalisation_Details__2[],4,FALSE)</f>
        <v>18682.740000000002</v>
      </c>
      <c r="N536" t="str">
        <f>VLOOKUP(A536,Hospitalisation_Details__2[],5,FALSE)</f>
        <v>tier - 1</v>
      </c>
      <c r="O536" t="str">
        <f>VLOOKUP(A536,Hospitalisation_Details__2[],6,FALSE)</f>
        <v>tier - 3</v>
      </c>
      <c r="P536" t="str">
        <f>VLOOKUP(A536,Hospitalisation_Details__2[],7,FALSE)</f>
        <v>R1012</v>
      </c>
    </row>
    <row r="537" spans="1:16" x14ac:dyDescent="0.35">
      <c r="A537" t="str">
        <v>Id536</v>
      </c>
      <c r="B537" t="str">
        <f>VLOOKUP(A537,'Customer Names (2)'!A:B, 2,FALSE)</f>
        <v>Mr</v>
      </c>
      <c r="C537">
        <f>VLOOKUP(A537,Medical_Examinations[],2,FALSE)</f>
        <v>29.83</v>
      </c>
      <c r="D537">
        <f>VLOOKUP(A537,Medical_Examinations[],3,FALSE)</f>
        <v>5.84</v>
      </c>
      <c r="E537" t="str">
        <f>VLOOKUP(A537,Medical_Examinations[],4,FALSE)</f>
        <v>No</v>
      </c>
      <c r="F537" t="str">
        <f>VLOOKUP(A537,Medical_Examinations[],5,FALSE)</f>
        <v>No</v>
      </c>
      <c r="G537" t="str">
        <f>VLOOKUP(A537,Medical_Examinations[],6,FALSE)</f>
        <v>No</v>
      </c>
      <c r="H537">
        <f>VLOOKUP(A537,Medical_Examinations[],7,FALSE)</f>
        <v>1</v>
      </c>
      <c r="I537" t="str">
        <f>VLOOKUP(A537,Medical_Examinations[],8,FALSE)</f>
        <v>Yes</v>
      </c>
      <c r="J537" t="str">
        <f>VLOOKUP(A537,Medical_Examinations[],9,FALSE)</f>
        <v>Overweight</v>
      </c>
      <c r="K537" t="str">
        <f>VLOOKUP(A537,Medical_Examinations[],10,FALSE)</f>
        <v>Prediabetes</v>
      </c>
      <c r="M537">
        <f>VLOOKUP(A537,Hospitalisation_Details__2[],4,FALSE)</f>
        <v>18648.419999999998</v>
      </c>
      <c r="N537" t="str">
        <f>VLOOKUP(A537,Hospitalisation_Details__2[],5,FALSE)</f>
        <v>tier - 1</v>
      </c>
      <c r="O537" t="str">
        <f>VLOOKUP(A537,Hospitalisation_Details__2[],6,FALSE)</f>
        <v>tier - 1</v>
      </c>
      <c r="P537" t="str">
        <f>VLOOKUP(A537,Hospitalisation_Details__2[],7,FALSE)</f>
        <v>R1019</v>
      </c>
    </row>
    <row r="538" spans="1:16" x14ac:dyDescent="0.35">
      <c r="A538" t="str">
        <v>Id537</v>
      </c>
      <c r="B538" t="str">
        <f>VLOOKUP(A538,'Customer Names (2)'!A:B, 2,FALSE)</f>
        <v>Ms</v>
      </c>
      <c r="C538">
        <f>VLOOKUP(A538,Medical_Examinations[],2,FALSE)</f>
        <v>22.6</v>
      </c>
      <c r="D538">
        <f>VLOOKUP(A538,Medical_Examinations[],3,FALSE)</f>
        <v>10.43</v>
      </c>
      <c r="E538" t="str">
        <f>VLOOKUP(A538,Medical_Examinations[],4,FALSE)</f>
        <v>Yes</v>
      </c>
      <c r="F538" t="str">
        <f>VLOOKUP(A538,Medical_Examinations[],5,FALSE)</f>
        <v>No</v>
      </c>
      <c r="G538" t="str">
        <f>VLOOKUP(A538,Medical_Examinations[],6,FALSE)</f>
        <v>No</v>
      </c>
      <c r="H538">
        <f>VLOOKUP(A538,Medical_Examinations[],7,FALSE)</f>
        <v>1</v>
      </c>
      <c r="I538" t="str">
        <f>VLOOKUP(A538,Medical_Examinations[],8,FALSE)</f>
        <v>Yes</v>
      </c>
      <c r="J538" t="str">
        <f>VLOOKUP(A538,Medical_Examinations[],9,FALSE)</f>
        <v>Normal Weight</v>
      </c>
      <c r="K538" t="str">
        <f>VLOOKUP(A538,Medical_Examinations[],10,FALSE)</f>
        <v>Diabetes</v>
      </c>
      <c r="M538">
        <f>VLOOKUP(A538,Hospitalisation_Details__2[],4,FALSE)</f>
        <v>18608.259999999998</v>
      </c>
      <c r="N538" t="str">
        <f>VLOOKUP(A538,Hospitalisation_Details__2[],5,FALSE)</f>
        <v>tier - 1</v>
      </c>
      <c r="O538" t="str">
        <f>VLOOKUP(A538,Hospitalisation_Details__2[],6,FALSE)</f>
        <v>tier - 3</v>
      </c>
      <c r="P538" t="str">
        <f>VLOOKUP(A538,Hospitalisation_Details__2[],7,FALSE)</f>
        <v>R1011</v>
      </c>
    </row>
    <row r="539" spans="1:16" x14ac:dyDescent="0.35">
      <c r="A539" t="str">
        <v>Id538</v>
      </c>
      <c r="B539" t="str">
        <f>VLOOKUP(A539,'Customer Names (2)'!A:B, 2,FALSE)</f>
        <v>Ms</v>
      </c>
      <c r="C539">
        <f>VLOOKUP(A539,Medical_Examinations[],2,FALSE)</f>
        <v>46.69</v>
      </c>
      <c r="D539">
        <f>VLOOKUP(A539,Medical_Examinations[],3,FALSE)</f>
        <v>4.25</v>
      </c>
      <c r="E539" t="str">
        <f>VLOOKUP(A539,Medical_Examinations[],4,FALSE)</f>
        <v>Yes</v>
      </c>
      <c r="F539" t="str">
        <f>VLOOKUP(A539,Medical_Examinations[],5,FALSE)</f>
        <v>No</v>
      </c>
      <c r="G539" t="str">
        <f>VLOOKUP(A539,Medical_Examinations[],6,FALSE)</f>
        <v>No</v>
      </c>
      <c r="H539">
        <f>VLOOKUP(A539,Medical_Examinations[],7,FALSE)</f>
        <v>1</v>
      </c>
      <c r="I539" t="str">
        <f>VLOOKUP(A539,Medical_Examinations[],8,FALSE)</f>
        <v>No</v>
      </c>
      <c r="J539" t="str">
        <f>VLOOKUP(A539,Medical_Examinations[],9,FALSE)</f>
        <v>Obesity</v>
      </c>
      <c r="K539" t="str">
        <f>VLOOKUP(A539,Medical_Examinations[],10,FALSE)</f>
        <v>Normal</v>
      </c>
      <c r="M539">
        <f>VLOOKUP(A539,Hospitalisation_Details__2[],4,FALSE)</f>
        <v>18443.11</v>
      </c>
      <c r="N539" t="str">
        <f>VLOOKUP(A539,Hospitalisation_Details__2[],5,FALSE)</f>
        <v>tier - 1</v>
      </c>
      <c r="O539" t="str">
        <f>VLOOKUP(A539,Hospitalisation_Details__2[],6,FALSE)</f>
        <v>tier - 2</v>
      </c>
      <c r="P539" t="str">
        <f>VLOOKUP(A539,Hospitalisation_Details__2[],7,FALSE)</f>
        <v>R1012</v>
      </c>
    </row>
    <row r="540" spans="1:16" x14ac:dyDescent="0.35">
      <c r="A540" t="str">
        <v>Id539</v>
      </c>
      <c r="B540" t="str">
        <f>VLOOKUP(A540,'Customer Names (2)'!A:B, 2,FALSE)</f>
        <v>Ms</v>
      </c>
      <c r="C540">
        <f>VLOOKUP(A540,Medical_Examinations[],2,FALSE)</f>
        <v>28.49</v>
      </c>
      <c r="D540">
        <f>VLOOKUP(A540,Medical_Examinations[],3,FALSE)</f>
        <v>4.8899999999999997</v>
      </c>
      <c r="E540" t="str">
        <f>VLOOKUP(A540,Medical_Examinations[],4,FALSE)</f>
        <v>No</v>
      </c>
      <c r="F540" t="str">
        <f>VLOOKUP(A540,Medical_Examinations[],5,FALSE)</f>
        <v>No</v>
      </c>
      <c r="G540" t="str">
        <f>VLOOKUP(A540,Medical_Examinations[],6,FALSE)</f>
        <v>No</v>
      </c>
      <c r="H540">
        <f>VLOOKUP(A540,Medical_Examinations[],7,FALSE)</f>
        <v>0</v>
      </c>
      <c r="I540" t="str">
        <f>VLOOKUP(A540,Medical_Examinations[],8,FALSE)</f>
        <v>Yes</v>
      </c>
      <c r="J540" t="str">
        <f>VLOOKUP(A540,Medical_Examinations[],9,FALSE)</f>
        <v>Overweight</v>
      </c>
      <c r="K540" t="str">
        <f>VLOOKUP(A540,Medical_Examinations[],10,FALSE)</f>
        <v>Normal</v>
      </c>
      <c r="M540">
        <f>VLOOKUP(A540,Hospitalisation_Details__2[],4,FALSE)</f>
        <v>18328.240000000002</v>
      </c>
      <c r="N540" t="str">
        <f>VLOOKUP(A540,Hospitalisation_Details__2[],5,FALSE)</f>
        <v>tier - 1</v>
      </c>
      <c r="O540" t="str">
        <f>VLOOKUP(A540,Hospitalisation_Details__2[],6,FALSE)</f>
        <v>tier - 2</v>
      </c>
      <c r="P540" t="str">
        <f>VLOOKUP(A540,Hospitalisation_Details__2[],7,FALSE)</f>
        <v>R1013</v>
      </c>
    </row>
    <row r="541" spans="1:16" x14ac:dyDescent="0.35">
      <c r="A541" t="str">
        <v>Id540</v>
      </c>
      <c r="B541" t="str">
        <f>VLOOKUP(A541,'Customer Names (2)'!A:B, 2,FALSE)</f>
        <v>Mr</v>
      </c>
      <c r="C541">
        <f>VLOOKUP(A541,Medical_Examinations[],2,FALSE)</f>
        <v>28.5</v>
      </c>
      <c r="D541">
        <f>VLOOKUP(A541,Medical_Examinations[],3,FALSE)</f>
        <v>5.55</v>
      </c>
      <c r="E541" t="str">
        <f>VLOOKUP(A541,Medical_Examinations[],4,FALSE)</f>
        <v>Yes</v>
      </c>
      <c r="F541" t="str">
        <f>VLOOKUP(A541,Medical_Examinations[],5,FALSE)</f>
        <v>No</v>
      </c>
      <c r="G541" t="str">
        <f>VLOOKUP(A541,Medical_Examinations[],6,FALSE)</f>
        <v>No</v>
      </c>
      <c r="H541">
        <f>VLOOKUP(A541,Medical_Examinations[],7,FALSE)</f>
        <v>1</v>
      </c>
      <c r="I541" t="str">
        <f>VLOOKUP(A541,Medical_Examinations[],8,FALSE)</f>
        <v>Yes</v>
      </c>
      <c r="J541" t="str">
        <f>VLOOKUP(A541,Medical_Examinations[],9,FALSE)</f>
        <v>Overweight</v>
      </c>
      <c r="K541" t="str">
        <f>VLOOKUP(A541,Medical_Examinations[],10,FALSE)</f>
        <v>Normal</v>
      </c>
      <c r="M541">
        <f>VLOOKUP(A541,Hospitalisation_Details__2[],4,FALSE)</f>
        <v>18310.740000000002</v>
      </c>
      <c r="N541" t="str">
        <f>VLOOKUP(A541,Hospitalisation_Details__2[],5,FALSE)</f>
        <v>tier - 1</v>
      </c>
      <c r="O541" t="str">
        <f>VLOOKUP(A541,Hospitalisation_Details__2[],6,FALSE)</f>
        <v>tier - 3</v>
      </c>
      <c r="P541" t="str">
        <f>VLOOKUP(A541,Hospitalisation_Details__2[],7,FALSE)</f>
        <v>R1012</v>
      </c>
    </row>
    <row r="542" spans="1:16" x14ac:dyDescent="0.35">
      <c r="A542" t="str">
        <v>Id541</v>
      </c>
      <c r="B542" t="str">
        <f>VLOOKUP(A542,'Customer Names (2)'!A:B, 2,FALSE)</f>
        <v>Mr</v>
      </c>
      <c r="C542">
        <f>VLOOKUP(A542,Medical_Examinations[],2,FALSE)</f>
        <v>24.4</v>
      </c>
      <c r="D542">
        <f>VLOOKUP(A542,Medical_Examinations[],3,FALSE)</f>
        <v>4.5199999999999996</v>
      </c>
      <c r="E542" t="str">
        <f>VLOOKUP(A542,Medical_Examinations[],4,FALSE)</f>
        <v>No</v>
      </c>
      <c r="F542" t="str">
        <f>VLOOKUP(A542,Medical_Examinations[],5,FALSE)</f>
        <v>No</v>
      </c>
      <c r="G542" t="str">
        <f>VLOOKUP(A542,Medical_Examinations[],6,FALSE)</f>
        <v>No</v>
      </c>
      <c r="H542">
        <f>VLOOKUP(A542,Medical_Examinations[],7,FALSE)</f>
        <v>1</v>
      </c>
      <c r="I542" t="str">
        <f>VLOOKUP(A542,Medical_Examinations[],8,FALSE)</f>
        <v>Yes</v>
      </c>
      <c r="J542" t="str">
        <f>VLOOKUP(A542,Medical_Examinations[],9,FALSE)</f>
        <v>Normal Weight</v>
      </c>
      <c r="K542" t="str">
        <f>VLOOKUP(A542,Medical_Examinations[],10,FALSE)</f>
        <v>Normal</v>
      </c>
      <c r="M542">
        <f>VLOOKUP(A542,Hospitalisation_Details__2[],4,FALSE)</f>
        <v>18259.22</v>
      </c>
      <c r="N542" t="str">
        <f>VLOOKUP(A542,Hospitalisation_Details__2[],5,FALSE)</f>
        <v>tier - 1</v>
      </c>
      <c r="O542" t="str">
        <f>VLOOKUP(A542,Hospitalisation_Details__2[],6,FALSE)</f>
        <v>tier - 3</v>
      </c>
      <c r="P542" t="str">
        <f>VLOOKUP(A542,Hospitalisation_Details__2[],7,FALSE)</f>
        <v>R1011</v>
      </c>
    </row>
    <row r="543" spans="1:16" x14ac:dyDescent="0.35">
      <c r="A543" t="str">
        <v>Id542</v>
      </c>
      <c r="B543" t="str">
        <f>VLOOKUP(A543,'Customer Names (2)'!A:B, 2,FALSE)</f>
        <v>Mr</v>
      </c>
      <c r="C543">
        <f>VLOOKUP(A543,Medical_Examinations[],2,FALSE)</f>
        <v>29.15</v>
      </c>
      <c r="D543">
        <f>VLOOKUP(A543,Medical_Examinations[],3,FALSE)</f>
        <v>4.45</v>
      </c>
      <c r="E543" t="str">
        <f>VLOOKUP(A543,Medical_Examinations[],4,FALSE)</f>
        <v>Yes</v>
      </c>
      <c r="F543" t="str">
        <f>VLOOKUP(A543,Medical_Examinations[],5,FALSE)</f>
        <v>No</v>
      </c>
      <c r="G543" t="str">
        <f>VLOOKUP(A543,Medical_Examinations[],6,FALSE)</f>
        <v>No</v>
      </c>
      <c r="H543">
        <f>VLOOKUP(A543,Medical_Examinations[],7,FALSE)</f>
        <v>1</v>
      </c>
      <c r="I543" t="str">
        <f>VLOOKUP(A543,Medical_Examinations[],8,FALSE)</f>
        <v>Yes</v>
      </c>
      <c r="J543" t="str">
        <f>VLOOKUP(A543,Medical_Examinations[],9,FALSE)</f>
        <v>Overweight</v>
      </c>
      <c r="K543" t="str">
        <f>VLOOKUP(A543,Medical_Examinations[],10,FALSE)</f>
        <v>Normal</v>
      </c>
      <c r="M543">
        <f>VLOOKUP(A543,Hospitalisation_Details__2[],4,FALSE)</f>
        <v>18246.5</v>
      </c>
      <c r="N543" t="str">
        <f>VLOOKUP(A543,Hospitalisation_Details__2[],5,FALSE)</f>
        <v>tier - 1</v>
      </c>
      <c r="O543" t="str">
        <f>VLOOKUP(A543,Hospitalisation_Details__2[],6,FALSE)</f>
        <v>tier - 1</v>
      </c>
      <c r="P543" t="str">
        <f>VLOOKUP(A543,Hospitalisation_Details__2[],7,FALSE)</f>
        <v>R1013</v>
      </c>
    </row>
    <row r="544" spans="1:16" x14ac:dyDescent="0.35">
      <c r="A544" t="str">
        <v>Id543</v>
      </c>
      <c r="B544" t="str">
        <f>VLOOKUP(A544,'Customer Names (2)'!A:B, 2,FALSE)</f>
        <v>Ms</v>
      </c>
      <c r="C544">
        <f>VLOOKUP(A544,Medical_Examinations[],2,FALSE)</f>
        <v>27.28</v>
      </c>
      <c r="D544">
        <f>VLOOKUP(A544,Medical_Examinations[],3,FALSE)</f>
        <v>4.72</v>
      </c>
      <c r="E544" t="str">
        <f>VLOOKUP(A544,Medical_Examinations[],4,FALSE)</f>
        <v>No</v>
      </c>
      <c r="F544" t="str">
        <f>VLOOKUP(A544,Medical_Examinations[],5,FALSE)</f>
        <v>yes</v>
      </c>
      <c r="G544" t="str">
        <f>VLOOKUP(A544,Medical_Examinations[],6,FALSE)</f>
        <v>No</v>
      </c>
      <c r="H544">
        <f>VLOOKUP(A544,Medical_Examinations[],7,FALSE)</f>
        <v>1</v>
      </c>
      <c r="I544" t="str">
        <f>VLOOKUP(A544,Medical_Examinations[],8,FALSE)</f>
        <v>Yes</v>
      </c>
      <c r="J544" t="str">
        <f>VLOOKUP(A544,Medical_Examinations[],9,FALSE)</f>
        <v>Overweight</v>
      </c>
      <c r="K544" t="str">
        <f>VLOOKUP(A544,Medical_Examinations[],10,FALSE)</f>
        <v>Normal</v>
      </c>
      <c r="M544">
        <f>VLOOKUP(A544,Hospitalisation_Details__2[],4,FALSE)</f>
        <v>18223.45</v>
      </c>
      <c r="N544" t="str">
        <f>VLOOKUP(A544,Hospitalisation_Details__2[],5,FALSE)</f>
        <v>tier - 1</v>
      </c>
      <c r="O544" t="str">
        <f>VLOOKUP(A544,Hospitalisation_Details__2[],6,FALSE)</f>
        <v>tier - 3</v>
      </c>
      <c r="P544" t="str">
        <f>VLOOKUP(A544,Hospitalisation_Details__2[],7,FALSE)</f>
        <v>R1013</v>
      </c>
    </row>
    <row r="545" spans="1:16" x14ac:dyDescent="0.35">
      <c r="A545" t="str">
        <v>Id544</v>
      </c>
      <c r="B545" t="str">
        <f>VLOOKUP(A545,'Customer Names (2)'!A:B, 2,FALSE)</f>
        <v>Ms</v>
      </c>
      <c r="C545">
        <f>VLOOKUP(A545,Medical_Examinations[],2,FALSE)</f>
        <v>32.229999999999997</v>
      </c>
      <c r="D545">
        <f>VLOOKUP(A545,Medical_Examinations[],3,FALSE)</f>
        <v>4.6500000000000004</v>
      </c>
      <c r="E545" t="str">
        <f>VLOOKUP(A545,Medical_Examinations[],4,FALSE)</f>
        <v>Yes</v>
      </c>
      <c r="F545" t="str">
        <f>VLOOKUP(A545,Medical_Examinations[],5,FALSE)</f>
        <v>No</v>
      </c>
      <c r="G545" t="str">
        <f>VLOOKUP(A545,Medical_Examinations[],6,FALSE)</f>
        <v>Yes</v>
      </c>
      <c r="H545">
        <f>VLOOKUP(A545,Medical_Examinations[],7,FALSE)</f>
        <v>1</v>
      </c>
      <c r="I545" t="str">
        <f>VLOOKUP(A545,Medical_Examinations[],8,FALSE)</f>
        <v>No</v>
      </c>
      <c r="J545" t="str">
        <f>VLOOKUP(A545,Medical_Examinations[],9,FALSE)</f>
        <v>Obesity</v>
      </c>
      <c r="K545" t="str">
        <f>VLOOKUP(A545,Medical_Examinations[],10,FALSE)</f>
        <v>Normal</v>
      </c>
      <c r="M545">
        <f>VLOOKUP(A545,Hospitalisation_Details__2[],4,FALSE)</f>
        <v>18218.16</v>
      </c>
      <c r="N545" t="str">
        <f>VLOOKUP(A545,Hospitalisation_Details__2[],5,FALSE)</f>
        <v>tier - 1</v>
      </c>
      <c r="O545" t="str">
        <f>VLOOKUP(A545,Hospitalisation_Details__2[],6,FALSE)</f>
        <v>tier - 1</v>
      </c>
      <c r="P545" t="str">
        <f>VLOOKUP(A545,Hospitalisation_Details__2[],7,FALSE)</f>
        <v>R1013</v>
      </c>
    </row>
    <row r="546" spans="1:16" x14ac:dyDescent="0.35">
      <c r="A546" t="str">
        <v>Id545</v>
      </c>
      <c r="B546" t="str">
        <f>VLOOKUP(A546,'Customer Names (2)'!A:B, 2,FALSE)</f>
        <v>Mrs</v>
      </c>
      <c r="C546">
        <f>VLOOKUP(A546,Medical_Examinations[],2,FALSE)</f>
        <v>44.2</v>
      </c>
      <c r="D546">
        <f>VLOOKUP(A546,Medical_Examinations[],3,FALSE)</f>
        <v>11.34</v>
      </c>
      <c r="E546" t="str">
        <f>VLOOKUP(A546,Medical_Examinations[],4,FALSE)</f>
        <v>Yes</v>
      </c>
      <c r="F546" t="str">
        <f>VLOOKUP(A546,Medical_Examinations[],5,FALSE)</f>
        <v>No</v>
      </c>
      <c r="G546" t="str">
        <f>VLOOKUP(A546,Medical_Examinations[],6,FALSE)</f>
        <v>Yes</v>
      </c>
      <c r="H546">
        <f>VLOOKUP(A546,Medical_Examinations[],7,FALSE)</f>
        <v>1</v>
      </c>
      <c r="I546" t="str">
        <f>VLOOKUP(A546,Medical_Examinations[],8,FALSE)</f>
        <v>No</v>
      </c>
      <c r="J546" t="str">
        <f>VLOOKUP(A546,Medical_Examinations[],9,FALSE)</f>
        <v>Obesity</v>
      </c>
      <c r="K546" t="str">
        <f>VLOOKUP(A546,Medical_Examinations[],10,FALSE)</f>
        <v>Diabetes</v>
      </c>
      <c r="M546">
        <f>VLOOKUP(A546,Hospitalisation_Details__2[],4,FALSE)</f>
        <v>18208.34</v>
      </c>
      <c r="N546" t="str">
        <f>VLOOKUP(A546,Hospitalisation_Details__2[],5,FALSE)</f>
        <v>tier - 1</v>
      </c>
      <c r="O546" t="str">
        <f>VLOOKUP(A546,Hospitalisation_Details__2[],6,FALSE)</f>
        <v>tier - 2</v>
      </c>
      <c r="P546" t="str">
        <f>VLOOKUP(A546,Hospitalisation_Details__2[],7,FALSE)</f>
        <v>R1026</v>
      </c>
    </row>
    <row r="547" spans="1:16" x14ac:dyDescent="0.35">
      <c r="A547" t="str">
        <v>Id546</v>
      </c>
      <c r="B547" t="str">
        <f>VLOOKUP(A547,'Customer Names (2)'!A:B, 2,FALSE)</f>
        <v>Mr</v>
      </c>
      <c r="C547">
        <f>VLOOKUP(A547,Medical_Examinations[],2,FALSE)</f>
        <v>29.734999999999999</v>
      </c>
      <c r="D547">
        <f>VLOOKUP(A547,Medical_Examinations[],3,FALSE)</f>
        <v>4.53</v>
      </c>
      <c r="E547" t="str">
        <f>VLOOKUP(A547,Medical_Examinations[],4,FALSE)</f>
        <v>No</v>
      </c>
      <c r="F547" t="str">
        <f>VLOOKUP(A547,Medical_Examinations[],5,FALSE)</f>
        <v>No</v>
      </c>
      <c r="G547" t="str">
        <f>VLOOKUP(A547,Medical_Examinations[],6,FALSE)</f>
        <v>Yes</v>
      </c>
      <c r="H547">
        <f>VLOOKUP(A547,Medical_Examinations[],7,FALSE)</f>
        <v>1</v>
      </c>
      <c r="I547" t="str">
        <f>VLOOKUP(A547,Medical_Examinations[],8,FALSE)</f>
        <v>No</v>
      </c>
      <c r="J547" t="str">
        <f>VLOOKUP(A547,Medical_Examinations[],9,FALSE)</f>
        <v>Overweight</v>
      </c>
      <c r="K547" t="str">
        <f>VLOOKUP(A547,Medical_Examinations[],10,FALSE)</f>
        <v>Normal</v>
      </c>
      <c r="M547">
        <f>VLOOKUP(A547,Hospitalisation_Details__2[],4,FALSE)</f>
        <v>18157.88</v>
      </c>
      <c r="N547" t="str">
        <f>VLOOKUP(A547,Hospitalisation_Details__2[],5,FALSE)</f>
        <v>tier - 1</v>
      </c>
      <c r="O547" t="str">
        <f>VLOOKUP(A547,Hospitalisation_Details__2[],6,FALSE)</f>
        <v>tier - 1</v>
      </c>
      <c r="P547" t="str">
        <f>VLOOKUP(A547,Hospitalisation_Details__2[],7,FALSE)</f>
        <v>R1012</v>
      </c>
    </row>
    <row r="548" spans="1:16" x14ac:dyDescent="0.35">
      <c r="A548" t="str">
        <v>Id547</v>
      </c>
      <c r="B548" t="str">
        <f>VLOOKUP(A548,'Customer Names (2)'!A:B, 2,FALSE)</f>
        <v>Ms</v>
      </c>
      <c r="C548">
        <f>VLOOKUP(A548,Medical_Examinations[],2,FALSE)</f>
        <v>28.31</v>
      </c>
      <c r="D548">
        <f>VLOOKUP(A548,Medical_Examinations[],3,FALSE)</f>
        <v>6.35</v>
      </c>
      <c r="E548" t="str">
        <f>VLOOKUP(A548,Medical_Examinations[],4,FALSE)</f>
        <v>No</v>
      </c>
      <c r="F548" t="str">
        <f>VLOOKUP(A548,Medical_Examinations[],5,FALSE)</f>
        <v>No</v>
      </c>
      <c r="G548" t="str">
        <f>VLOOKUP(A548,Medical_Examinations[],6,FALSE)</f>
        <v>No</v>
      </c>
      <c r="H548">
        <f>VLOOKUP(A548,Medical_Examinations[],7,FALSE)</f>
        <v>0</v>
      </c>
      <c r="I548" t="str">
        <f>VLOOKUP(A548,Medical_Examinations[],8,FALSE)</f>
        <v>Yes</v>
      </c>
      <c r="J548" t="str">
        <f>VLOOKUP(A548,Medical_Examinations[],9,FALSE)</f>
        <v>Overweight</v>
      </c>
      <c r="K548" t="str">
        <f>VLOOKUP(A548,Medical_Examinations[],10,FALSE)</f>
        <v>Prediabetes</v>
      </c>
      <c r="M548">
        <f>VLOOKUP(A548,Hospitalisation_Details__2[],4,FALSE)</f>
        <v>18033.97</v>
      </c>
      <c r="N548" t="str">
        <f>VLOOKUP(A548,Hospitalisation_Details__2[],5,FALSE)</f>
        <v>tier - 1</v>
      </c>
      <c r="O548" t="str">
        <f>VLOOKUP(A548,Hospitalisation_Details__2[],6,FALSE)</f>
        <v>tier - 1</v>
      </c>
      <c r="P548" t="str">
        <f>VLOOKUP(A548,Hospitalisation_Details__2[],7,FALSE)</f>
        <v>R1012</v>
      </c>
    </row>
    <row r="549" spans="1:16" x14ac:dyDescent="0.35">
      <c r="A549" t="str">
        <v>Id548</v>
      </c>
      <c r="B549" t="str">
        <f>VLOOKUP(A549,'Customer Names (2)'!A:B, 2,FALSE)</f>
        <v>Mr</v>
      </c>
      <c r="C549">
        <f>VLOOKUP(A549,Medical_Examinations[],2,FALSE)</f>
        <v>46.62</v>
      </c>
      <c r="D549">
        <f>VLOOKUP(A549,Medical_Examinations[],3,FALSE)</f>
        <v>8.51</v>
      </c>
      <c r="E549" t="str">
        <f>VLOOKUP(A549,Medical_Examinations[],4,FALSE)</f>
        <v>No</v>
      </c>
      <c r="F549" t="str">
        <f>VLOOKUP(A549,Medical_Examinations[],5,FALSE)</f>
        <v>No</v>
      </c>
      <c r="G549" t="str">
        <f>VLOOKUP(A549,Medical_Examinations[],6,FALSE)</f>
        <v>No</v>
      </c>
      <c r="H549">
        <f>VLOOKUP(A549,Medical_Examinations[],7,FALSE)</f>
        <v>0</v>
      </c>
      <c r="I549" t="str">
        <f>VLOOKUP(A549,Medical_Examinations[],8,FALSE)</f>
        <v>No</v>
      </c>
      <c r="J549" t="str">
        <f>VLOOKUP(A549,Medical_Examinations[],9,FALSE)</f>
        <v>Obesity</v>
      </c>
      <c r="K549" t="str">
        <f>VLOOKUP(A549,Medical_Examinations[],10,FALSE)</f>
        <v>Diabetes</v>
      </c>
      <c r="M549">
        <f>VLOOKUP(A549,Hospitalisation_Details__2[],4,FALSE)</f>
        <v>18031.189999999999</v>
      </c>
      <c r="N549" t="str">
        <f>VLOOKUP(A549,Hospitalisation_Details__2[],5,FALSE)</f>
        <v>tier - 1</v>
      </c>
      <c r="O549" t="str">
        <f>VLOOKUP(A549,Hospitalisation_Details__2[],6,FALSE)</f>
        <v>tier - 2</v>
      </c>
      <c r="P549" t="str">
        <f>VLOOKUP(A549,Hospitalisation_Details__2[],7,FALSE)</f>
        <v>R1012</v>
      </c>
    </row>
    <row r="550" spans="1:16" x14ac:dyDescent="0.35">
      <c r="A550" t="str">
        <v>Id549</v>
      </c>
      <c r="B550" t="str">
        <f>VLOOKUP(A550,'Customer Names (2)'!A:B, 2,FALSE)</f>
        <v>Mr</v>
      </c>
      <c r="C550">
        <f>VLOOKUP(A550,Medical_Examinations[],2,FALSE)</f>
        <v>51.75</v>
      </c>
      <c r="D550">
        <f>VLOOKUP(A550,Medical_Examinations[],3,FALSE)</f>
        <v>8.59</v>
      </c>
      <c r="E550" t="str">
        <f>VLOOKUP(A550,Medical_Examinations[],4,FALSE)</f>
        <v>Yes</v>
      </c>
      <c r="F550" t="str">
        <f>VLOOKUP(A550,Medical_Examinations[],5,FALSE)</f>
        <v>No</v>
      </c>
      <c r="G550" t="str">
        <f>VLOOKUP(A550,Medical_Examinations[],6,FALSE)</f>
        <v>No</v>
      </c>
      <c r="H550">
        <f>VLOOKUP(A550,Medical_Examinations[],7,FALSE)</f>
        <v>1</v>
      </c>
      <c r="I550" t="str">
        <f>VLOOKUP(A550,Medical_Examinations[],8,FALSE)</f>
        <v>No</v>
      </c>
      <c r="J550" t="str">
        <f>VLOOKUP(A550,Medical_Examinations[],9,FALSE)</f>
        <v>Obesity</v>
      </c>
      <c r="K550" t="str">
        <f>VLOOKUP(A550,Medical_Examinations[],10,FALSE)</f>
        <v>Diabetes</v>
      </c>
      <c r="M550">
        <f>VLOOKUP(A550,Hospitalisation_Details__2[],4,FALSE)</f>
        <v>18031.16</v>
      </c>
      <c r="N550" t="str">
        <f>VLOOKUP(A550,Hospitalisation_Details__2[],5,FALSE)</f>
        <v>tier - 1</v>
      </c>
      <c r="O550" t="str">
        <f>VLOOKUP(A550,Hospitalisation_Details__2[],6,FALSE)</f>
        <v>tier - 3</v>
      </c>
      <c r="P550" t="str">
        <f>VLOOKUP(A550,Hospitalisation_Details__2[],7,FALSE)</f>
        <v>R1023</v>
      </c>
    </row>
    <row r="551" spans="1:16" x14ac:dyDescent="0.35">
      <c r="A551" t="str">
        <v>Id550</v>
      </c>
      <c r="B551" t="str">
        <f>VLOOKUP(A551,'Customer Names (2)'!A:B, 2,FALSE)</f>
        <v>Mr</v>
      </c>
      <c r="C551">
        <f>VLOOKUP(A551,Medical_Examinations[],2,FALSE)</f>
        <v>25.7</v>
      </c>
      <c r="D551">
        <f>VLOOKUP(A551,Medical_Examinations[],3,FALSE)</f>
        <v>4.13</v>
      </c>
      <c r="E551" t="str">
        <f>VLOOKUP(A551,Medical_Examinations[],4,FALSE)</f>
        <v>Yes</v>
      </c>
      <c r="F551" t="str">
        <f>VLOOKUP(A551,Medical_Examinations[],5,FALSE)</f>
        <v>No</v>
      </c>
      <c r="G551" t="str">
        <f>VLOOKUP(A551,Medical_Examinations[],6,FALSE)</f>
        <v>No</v>
      </c>
      <c r="H551">
        <f>VLOOKUP(A551,Medical_Examinations[],7,FALSE)</f>
        <v>0</v>
      </c>
      <c r="I551" t="str">
        <f>VLOOKUP(A551,Medical_Examinations[],8,FALSE)</f>
        <v>Yes</v>
      </c>
      <c r="J551" t="str">
        <f>VLOOKUP(A551,Medical_Examinations[],9,FALSE)</f>
        <v>Overweight</v>
      </c>
      <c r="K551" t="str">
        <f>VLOOKUP(A551,Medical_Examinations[],10,FALSE)</f>
        <v>Normal</v>
      </c>
      <c r="M551">
        <f>VLOOKUP(A551,Hospitalisation_Details__2[],4,FALSE)</f>
        <v>17942.11</v>
      </c>
      <c r="N551" t="str">
        <f>VLOOKUP(A551,Hospitalisation_Details__2[],5,FALSE)</f>
        <v>tier - 1</v>
      </c>
      <c r="O551" t="str">
        <f>VLOOKUP(A551,Hospitalisation_Details__2[],6,FALSE)</f>
        <v>tier - 2</v>
      </c>
      <c r="P551" t="str">
        <f>VLOOKUP(A551,Hospitalisation_Details__2[],7,FALSE)</f>
        <v>R1011</v>
      </c>
    </row>
    <row r="552" spans="1:16" x14ac:dyDescent="0.35">
      <c r="A552" t="str">
        <v>Id551</v>
      </c>
      <c r="B552" t="str">
        <f>VLOOKUP(A552,'Customer Names (2)'!A:B, 2,FALSE)</f>
        <v>Ms</v>
      </c>
      <c r="C552">
        <f>VLOOKUP(A552,Medical_Examinations[],2,FALSE)</f>
        <v>31.79</v>
      </c>
      <c r="D552">
        <f>VLOOKUP(A552,Medical_Examinations[],3,FALSE)</f>
        <v>4.55</v>
      </c>
      <c r="E552" t="str">
        <f>VLOOKUP(A552,Medical_Examinations[],4,FALSE)</f>
        <v>No</v>
      </c>
      <c r="F552" t="str">
        <f>VLOOKUP(A552,Medical_Examinations[],5,FALSE)</f>
        <v>No</v>
      </c>
      <c r="G552" t="str">
        <f>VLOOKUP(A552,Medical_Examinations[],6,FALSE)</f>
        <v>No</v>
      </c>
      <c r="H552">
        <f>VLOOKUP(A552,Medical_Examinations[],7,FALSE)</f>
        <v>0</v>
      </c>
      <c r="I552" t="str">
        <f>VLOOKUP(A552,Medical_Examinations[],8,FALSE)</f>
        <v>No</v>
      </c>
      <c r="J552" t="str">
        <f>VLOOKUP(A552,Medical_Examinations[],9,FALSE)</f>
        <v>Obesity</v>
      </c>
      <c r="K552" t="str">
        <f>VLOOKUP(A552,Medical_Examinations[],10,FALSE)</f>
        <v>Normal</v>
      </c>
      <c r="M552">
        <f>VLOOKUP(A552,Hospitalisation_Details__2[],4,FALSE)</f>
        <v>17929.3</v>
      </c>
      <c r="N552" t="str">
        <f>VLOOKUP(A552,Hospitalisation_Details__2[],5,FALSE)</f>
        <v>tier - 1</v>
      </c>
      <c r="O552" t="str">
        <f>VLOOKUP(A552,Hospitalisation_Details__2[],6,FALSE)</f>
        <v>tier - 2</v>
      </c>
      <c r="P552" t="str">
        <f>VLOOKUP(A552,Hospitalisation_Details__2[],7,FALSE)</f>
        <v>R1013</v>
      </c>
    </row>
    <row r="553" spans="1:16" x14ac:dyDescent="0.35">
      <c r="A553" t="str">
        <v>Id552</v>
      </c>
      <c r="B553" t="str">
        <f>VLOOKUP(A553,'Customer Names (2)'!A:B, 2,FALSE)</f>
        <v>Mr</v>
      </c>
      <c r="C553">
        <f>VLOOKUP(A553,Medical_Examinations[],2,FALSE)</f>
        <v>24.795000000000002</v>
      </c>
      <c r="D553">
        <f>VLOOKUP(A553,Medical_Examinations[],3,FALSE)</f>
        <v>4.5199999999999996</v>
      </c>
      <c r="E553" t="str">
        <f>VLOOKUP(A553,Medical_Examinations[],4,FALSE)</f>
        <v>No</v>
      </c>
      <c r="F553" t="str">
        <f>VLOOKUP(A553,Medical_Examinations[],5,FALSE)</f>
        <v>No</v>
      </c>
      <c r="G553" t="str">
        <f>VLOOKUP(A553,Medical_Examinations[],6,FALSE)</f>
        <v>No</v>
      </c>
      <c r="H553">
        <f>VLOOKUP(A553,Medical_Examinations[],7,FALSE)</f>
        <v>0</v>
      </c>
      <c r="I553" t="str">
        <f>VLOOKUP(A553,Medical_Examinations[],8,FALSE)</f>
        <v>Yes</v>
      </c>
      <c r="J553" t="str">
        <f>VLOOKUP(A553,Medical_Examinations[],9,FALSE)</f>
        <v>Normal Weight</v>
      </c>
      <c r="K553" t="str">
        <f>VLOOKUP(A553,Medical_Examinations[],10,FALSE)</f>
        <v>Normal</v>
      </c>
      <c r="M553">
        <f>VLOOKUP(A553,Hospitalisation_Details__2[],4,FALSE)</f>
        <v>17904.53</v>
      </c>
      <c r="N553" t="str">
        <f>VLOOKUP(A553,Hospitalisation_Details__2[],5,FALSE)</f>
        <v>tier - 1</v>
      </c>
      <c r="O553" t="str">
        <f>VLOOKUP(A553,Hospitalisation_Details__2[],6,FALSE)</f>
        <v>tier - 2</v>
      </c>
      <c r="P553" t="str">
        <f>VLOOKUP(A553,Hospitalisation_Details__2[],7,FALSE)</f>
        <v>R1017</v>
      </c>
    </row>
    <row r="554" spans="1:16" x14ac:dyDescent="0.35">
      <c r="A554" t="str">
        <v>Id553</v>
      </c>
      <c r="B554" t="str">
        <f>VLOOKUP(A554,'Customer Names (2)'!A:B, 2,FALSE)</f>
        <v>Mr</v>
      </c>
      <c r="C554">
        <f>VLOOKUP(A554,Medical_Examinations[],2,FALSE)</f>
        <v>53.98</v>
      </c>
      <c r="D554">
        <f>VLOOKUP(A554,Medical_Examinations[],3,FALSE)</f>
        <v>5.07</v>
      </c>
      <c r="E554" t="str">
        <f>VLOOKUP(A554,Medical_Examinations[],4,FALSE)</f>
        <v>No</v>
      </c>
      <c r="F554" t="str">
        <f>VLOOKUP(A554,Medical_Examinations[],5,FALSE)</f>
        <v>No</v>
      </c>
      <c r="G554" t="str">
        <f>VLOOKUP(A554,Medical_Examinations[],6,FALSE)</f>
        <v>Yes</v>
      </c>
      <c r="H554">
        <f>VLOOKUP(A554,Medical_Examinations[],7,FALSE)</f>
        <v>1</v>
      </c>
      <c r="I554" t="str">
        <f>VLOOKUP(A554,Medical_Examinations[],8,FALSE)</f>
        <v>No</v>
      </c>
      <c r="J554" t="str">
        <f>VLOOKUP(A554,Medical_Examinations[],9,FALSE)</f>
        <v>Obesity</v>
      </c>
      <c r="K554" t="str">
        <f>VLOOKUP(A554,Medical_Examinations[],10,FALSE)</f>
        <v>Normal</v>
      </c>
      <c r="M554">
        <f>VLOOKUP(A554,Hospitalisation_Details__2[],4,FALSE)</f>
        <v>17882.669999999998</v>
      </c>
      <c r="N554" t="str">
        <f>VLOOKUP(A554,Hospitalisation_Details__2[],5,FALSE)</f>
        <v>tier - 1</v>
      </c>
      <c r="O554" t="str">
        <f>VLOOKUP(A554,Hospitalisation_Details__2[],6,FALSE)</f>
        <v>tier - 3</v>
      </c>
      <c r="P554" t="str">
        <f>VLOOKUP(A554,Hospitalisation_Details__2[],7,FALSE)</f>
        <v>R1012</v>
      </c>
    </row>
    <row r="555" spans="1:16" x14ac:dyDescent="0.35">
      <c r="A555" t="str">
        <v>Id554</v>
      </c>
      <c r="B555" t="str">
        <f>VLOOKUP(A555,'Customer Names (2)'!A:B, 2,FALSE)</f>
        <v>Ms</v>
      </c>
      <c r="C555">
        <f>VLOOKUP(A555,Medical_Examinations[],2,FALSE)</f>
        <v>41.325000000000003</v>
      </c>
      <c r="D555">
        <f>VLOOKUP(A555,Medical_Examinations[],3,FALSE)</f>
        <v>4.04</v>
      </c>
      <c r="E555" t="str">
        <f>VLOOKUP(A555,Medical_Examinations[],4,FALSE)</f>
        <v>Yes</v>
      </c>
      <c r="F555" t="str">
        <f>VLOOKUP(A555,Medical_Examinations[],5,FALSE)</f>
        <v>No</v>
      </c>
      <c r="G555" t="str">
        <f>VLOOKUP(A555,Medical_Examinations[],6,FALSE)</f>
        <v>Yes</v>
      </c>
      <c r="H555">
        <f>VLOOKUP(A555,Medical_Examinations[],7,FALSE)</f>
        <v>1</v>
      </c>
      <c r="I555" t="str">
        <f>VLOOKUP(A555,Medical_Examinations[],8,FALSE)</f>
        <v>No</v>
      </c>
      <c r="J555" t="str">
        <f>VLOOKUP(A555,Medical_Examinations[],9,FALSE)</f>
        <v>Obesity</v>
      </c>
      <c r="K555" t="str">
        <f>VLOOKUP(A555,Medical_Examinations[],10,FALSE)</f>
        <v>Normal</v>
      </c>
      <c r="M555">
        <f>VLOOKUP(A555,Hospitalisation_Details__2[],4,FALSE)</f>
        <v>17878.900000000001</v>
      </c>
      <c r="N555" t="str">
        <f>VLOOKUP(A555,Hospitalisation_Details__2[],5,FALSE)</f>
        <v>tier - 1</v>
      </c>
      <c r="O555" t="str">
        <f>VLOOKUP(A555,Hospitalisation_Details__2[],6,FALSE)</f>
        <v>tier - 2</v>
      </c>
      <c r="P555" t="str">
        <f>VLOOKUP(A555,Hospitalisation_Details__2[],7,FALSE)</f>
        <v>R1024</v>
      </c>
    </row>
    <row r="556" spans="1:16" x14ac:dyDescent="0.35">
      <c r="A556" t="str">
        <v>Id555</v>
      </c>
      <c r="B556" t="str">
        <f>VLOOKUP(A556,'Customer Names (2)'!A:B, 2,FALSE)</f>
        <v>Mr</v>
      </c>
      <c r="C556">
        <f>VLOOKUP(A556,Medical_Examinations[],2,FALSE)</f>
        <v>51.65</v>
      </c>
      <c r="D556">
        <f>VLOOKUP(A556,Medical_Examinations[],3,FALSE)</f>
        <v>5.3</v>
      </c>
      <c r="E556" t="str">
        <f>VLOOKUP(A556,Medical_Examinations[],4,FALSE)</f>
        <v>Yes</v>
      </c>
      <c r="F556" t="str">
        <f>VLOOKUP(A556,Medical_Examinations[],5,FALSE)</f>
        <v>No</v>
      </c>
      <c r="G556" t="str">
        <f>VLOOKUP(A556,Medical_Examinations[],6,FALSE)</f>
        <v>No</v>
      </c>
      <c r="H556">
        <f>VLOOKUP(A556,Medical_Examinations[],7,FALSE)</f>
        <v>0</v>
      </c>
      <c r="I556" t="str">
        <f>VLOOKUP(A556,Medical_Examinations[],8,FALSE)</f>
        <v>No</v>
      </c>
      <c r="J556" t="str">
        <f>VLOOKUP(A556,Medical_Examinations[],9,FALSE)</f>
        <v>Obesity</v>
      </c>
      <c r="K556" t="str">
        <f>VLOOKUP(A556,Medical_Examinations[],10,FALSE)</f>
        <v>Normal</v>
      </c>
      <c r="M556">
        <f>VLOOKUP(A556,Hospitalisation_Details__2[],4,FALSE)</f>
        <v>17862.919999999998</v>
      </c>
      <c r="N556" t="str">
        <f>VLOOKUP(A556,Hospitalisation_Details__2[],5,FALSE)</f>
        <v>tier - 1</v>
      </c>
      <c r="O556" t="str">
        <f>VLOOKUP(A556,Hospitalisation_Details__2[],6,FALSE)</f>
        <v>tier - 2</v>
      </c>
      <c r="P556" t="str">
        <f>VLOOKUP(A556,Hospitalisation_Details__2[],7,FALSE)</f>
        <v>R1012</v>
      </c>
    </row>
    <row r="557" spans="1:16" x14ac:dyDescent="0.35">
      <c r="A557" t="str">
        <v>Id556</v>
      </c>
      <c r="B557" t="str">
        <f>VLOOKUP(A557,'Customer Names (2)'!A:B, 2,FALSE)</f>
        <v>Mr</v>
      </c>
      <c r="C557">
        <f>VLOOKUP(A557,Medical_Examinations[],2,FALSE)</f>
        <v>44.52</v>
      </c>
      <c r="D557">
        <f>VLOOKUP(A557,Medical_Examinations[],3,FALSE)</f>
        <v>8.64</v>
      </c>
      <c r="E557" t="str">
        <f>VLOOKUP(A557,Medical_Examinations[],4,FALSE)</f>
        <v>Yes</v>
      </c>
      <c r="F557" t="str">
        <f>VLOOKUP(A557,Medical_Examinations[],5,FALSE)</f>
        <v>No</v>
      </c>
      <c r="G557" t="str">
        <f>VLOOKUP(A557,Medical_Examinations[],6,FALSE)</f>
        <v>Yes</v>
      </c>
      <c r="H557">
        <f>VLOOKUP(A557,Medical_Examinations[],7,FALSE)</f>
        <v>1</v>
      </c>
      <c r="I557" t="str">
        <f>VLOOKUP(A557,Medical_Examinations[],8,FALSE)</f>
        <v>No</v>
      </c>
      <c r="J557" t="str">
        <f>VLOOKUP(A557,Medical_Examinations[],9,FALSE)</f>
        <v>Obesity</v>
      </c>
      <c r="K557" t="str">
        <f>VLOOKUP(A557,Medical_Examinations[],10,FALSE)</f>
        <v>Diabetes</v>
      </c>
      <c r="M557">
        <f>VLOOKUP(A557,Hospitalisation_Details__2[],4,FALSE)</f>
        <v>17832.599999999999</v>
      </c>
      <c r="N557" t="str">
        <f>VLOOKUP(A557,Hospitalisation_Details__2[],5,FALSE)</f>
        <v>tier - 1</v>
      </c>
      <c r="O557" t="str">
        <f>VLOOKUP(A557,Hospitalisation_Details__2[],6,FALSE)</f>
        <v>tier - 2</v>
      </c>
      <c r="P557" t="str">
        <f>VLOOKUP(A557,Hospitalisation_Details__2[],7,FALSE)</f>
        <v>R1012</v>
      </c>
    </row>
    <row r="558" spans="1:16" x14ac:dyDescent="0.35">
      <c r="A558" t="str">
        <v>Id557</v>
      </c>
      <c r="B558" t="str">
        <f>VLOOKUP(A558,'Customer Names (2)'!A:B, 2,FALSE)</f>
        <v>Ms</v>
      </c>
      <c r="C558">
        <f>VLOOKUP(A558,Medical_Examinations[],2,FALSE)</f>
        <v>53.29</v>
      </c>
      <c r="D558">
        <f>VLOOKUP(A558,Medical_Examinations[],3,FALSE)</f>
        <v>4.03</v>
      </c>
      <c r="E558" t="str">
        <f>VLOOKUP(A558,Medical_Examinations[],4,FALSE)</f>
        <v>No</v>
      </c>
      <c r="F558" t="str">
        <f>VLOOKUP(A558,Medical_Examinations[],5,FALSE)</f>
        <v>No</v>
      </c>
      <c r="G558" t="str">
        <f>VLOOKUP(A558,Medical_Examinations[],6,FALSE)</f>
        <v>Yes</v>
      </c>
      <c r="H558">
        <f>VLOOKUP(A558,Medical_Examinations[],7,FALSE)</f>
        <v>1</v>
      </c>
      <c r="I558" t="str">
        <f>VLOOKUP(A558,Medical_Examinations[],8,FALSE)</f>
        <v>No</v>
      </c>
      <c r="J558" t="str">
        <f>VLOOKUP(A558,Medical_Examinations[],9,FALSE)</f>
        <v>Obesity</v>
      </c>
      <c r="K558" t="str">
        <f>VLOOKUP(A558,Medical_Examinations[],10,FALSE)</f>
        <v>Normal</v>
      </c>
      <c r="M558">
        <f>VLOOKUP(A558,Hospitalisation_Details__2[],4,FALSE)</f>
        <v>17779.939999999999</v>
      </c>
      <c r="N558" t="str">
        <f>VLOOKUP(A558,Hospitalisation_Details__2[],5,FALSE)</f>
        <v>tier - 1</v>
      </c>
      <c r="O558" t="str">
        <f>VLOOKUP(A558,Hospitalisation_Details__2[],6,FALSE)</f>
        <v>tier - 2</v>
      </c>
      <c r="P558" t="str">
        <f>VLOOKUP(A558,Hospitalisation_Details__2[],7,FALSE)</f>
        <v>R1012</v>
      </c>
    </row>
    <row r="559" spans="1:16" x14ac:dyDescent="0.35">
      <c r="A559" t="str">
        <v>Id558</v>
      </c>
      <c r="B559" t="str">
        <f>VLOOKUP(A559,'Customer Names (2)'!A:B, 2,FALSE)</f>
        <v>Mr</v>
      </c>
      <c r="C559">
        <f>VLOOKUP(A559,Medical_Examinations[],2,FALSE)</f>
        <v>46.63</v>
      </c>
      <c r="D559">
        <f>VLOOKUP(A559,Medical_Examinations[],3,FALSE)</f>
        <v>4.26</v>
      </c>
      <c r="E559" t="str">
        <f>VLOOKUP(A559,Medical_Examinations[],4,FALSE)</f>
        <v>Yes</v>
      </c>
      <c r="F559" t="str">
        <f>VLOOKUP(A559,Medical_Examinations[],5,FALSE)</f>
        <v>No</v>
      </c>
      <c r="G559" t="str">
        <f>VLOOKUP(A559,Medical_Examinations[],6,FALSE)</f>
        <v>No</v>
      </c>
      <c r="H559">
        <f>VLOOKUP(A559,Medical_Examinations[],7,FALSE)</f>
        <v>2</v>
      </c>
      <c r="I559" t="str">
        <f>VLOOKUP(A559,Medical_Examinations[],8,FALSE)</f>
        <v>No</v>
      </c>
      <c r="J559" t="str">
        <f>VLOOKUP(A559,Medical_Examinations[],9,FALSE)</f>
        <v>Obesity</v>
      </c>
      <c r="K559" t="str">
        <f>VLOOKUP(A559,Medical_Examinations[],10,FALSE)</f>
        <v>Normal</v>
      </c>
      <c r="M559">
        <f>VLOOKUP(A559,Hospitalisation_Details__2[],4,FALSE)</f>
        <v>17777.73</v>
      </c>
      <c r="N559" t="str">
        <f>VLOOKUP(A559,Hospitalisation_Details__2[],5,FALSE)</f>
        <v>tier - 1</v>
      </c>
      <c r="O559" t="str">
        <f>VLOOKUP(A559,Hospitalisation_Details__2[],6,FALSE)</f>
        <v>tier - 3</v>
      </c>
      <c r="P559" t="str">
        <f>VLOOKUP(A559,Hospitalisation_Details__2[],7,FALSE)</f>
        <v>R1012</v>
      </c>
    </row>
    <row r="560" spans="1:16" x14ac:dyDescent="0.35">
      <c r="A560" t="str">
        <v>Id559</v>
      </c>
      <c r="B560" t="str">
        <f>VLOOKUP(A560,'Customer Names (2)'!A:B, 2,FALSE)</f>
        <v>Ms</v>
      </c>
      <c r="C560">
        <f>VLOOKUP(A560,Medical_Examinations[],2,FALSE)</f>
        <v>28.88</v>
      </c>
      <c r="D560">
        <f>VLOOKUP(A560,Medical_Examinations[],3,FALSE)</f>
        <v>5.35</v>
      </c>
      <c r="E560" t="str">
        <f>VLOOKUP(A560,Medical_Examinations[],4,FALSE)</f>
        <v>No</v>
      </c>
      <c r="F560" t="str">
        <f>VLOOKUP(A560,Medical_Examinations[],5,FALSE)</f>
        <v>No</v>
      </c>
      <c r="G560" t="str">
        <f>VLOOKUP(A560,Medical_Examinations[],6,FALSE)</f>
        <v>Yes</v>
      </c>
      <c r="H560">
        <f>VLOOKUP(A560,Medical_Examinations[],7,FALSE)</f>
        <v>1</v>
      </c>
      <c r="I560" t="str">
        <f>VLOOKUP(A560,Medical_Examinations[],8,FALSE)</f>
        <v>Yes</v>
      </c>
      <c r="J560" t="str">
        <f>VLOOKUP(A560,Medical_Examinations[],9,FALSE)</f>
        <v>Overweight</v>
      </c>
      <c r="K560" t="str">
        <f>VLOOKUP(A560,Medical_Examinations[],10,FALSE)</f>
        <v>Normal</v>
      </c>
      <c r="M560">
        <f>VLOOKUP(A560,Hospitalisation_Details__2[],4,FALSE)</f>
        <v>17748.509999999998</v>
      </c>
      <c r="N560" t="str">
        <f>VLOOKUP(A560,Hospitalisation_Details__2[],5,FALSE)</f>
        <v>tier - 1</v>
      </c>
      <c r="O560" t="str">
        <f>VLOOKUP(A560,Hospitalisation_Details__2[],6,FALSE)</f>
        <v>tier - 1</v>
      </c>
      <c r="P560" t="str">
        <f>VLOOKUP(A560,Hospitalisation_Details__2[],7,FALSE)</f>
        <v>R1012</v>
      </c>
    </row>
    <row r="561" spans="1:16" x14ac:dyDescent="0.35">
      <c r="A561" t="str">
        <v>Id560</v>
      </c>
      <c r="B561" t="str">
        <f>VLOOKUP(A561,'Customer Names (2)'!A:B, 2,FALSE)</f>
        <v>Mr</v>
      </c>
      <c r="C561">
        <f>VLOOKUP(A561,Medical_Examinations[],2,FALSE)</f>
        <v>23.98</v>
      </c>
      <c r="D561">
        <f>VLOOKUP(A561,Medical_Examinations[],3,FALSE)</f>
        <v>4.9000000000000004</v>
      </c>
      <c r="E561" t="str">
        <f>VLOOKUP(A561,Medical_Examinations[],4,FALSE)</f>
        <v>No</v>
      </c>
      <c r="F561" t="str">
        <f>VLOOKUP(A561,Medical_Examinations[],5,FALSE)</f>
        <v>No</v>
      </c>
      <c r="G561" t="str">
        <f>VLOOKUP(A561,Medical_Examinations[],6,FALSE)</f>
        <v>No</v>
      </c>
      <c r="H561">
        <f>VLOOKUP(A561,Medical_Examinations[],7,FALSE)</f>
        <v>0</v>
      </c>
      <c r="I561" t="str">
        <f>VLOOKUP(A561,Medical_Examinations[],8,FALSE)</f>
        <v>No</v>
      </c>
      <c r="J561" t="str">
        <f>VLOOKUP(A561,Medical_Examinations[],9,FALSE)</f>
        <v>Normal Weight</v>
      </c>
      <c r="K561" t="str">
        <f>VLOOKUP(A561,Medical_Examinations[],10,FALSE)</f>
        <v>Normal</v>
      </c>
      <c r="M561">
        <f>VLOOKUP(A561,Hospitalisation_Details__2[],4,FALSE)</f>
        <v>17663.14</v>
      </c>
      <c r="N561" t="str">
        <f>VLOOKUP(A561,Hospitalisation_Details__2[],5,FALSE)</f>
        <v>tier - 1</v>
      </c>
      <c r="O561" t="str">
        <f>VLOOKUP(A561,Hospitalisation_Details__2[],6,FALSE)</f>
        <v>tier - 3</v>
      </c>
      <c r="P561" t="str">
        <f>VLOOKUP(A561,Hospitalisation_Details__2[],7,FALSE)</f>
        <v>R1013</v>
      </c>
    </row>
    <row r="562" spans="1:16" x14ac:dyDescent="0.35">
      <c r="A562" t="str">
        <v>Id561</v>
      </c>
      <c r="B562" t="str">
        <f>VLOOKUP(A562,'Customer Names (2)'!A:B, 2,FALSE)</f>
        <v>Ms</v>
      </c>
      <c r="C562">
        <f>VLOOKUP(A562,Medical_Examinations[],2,FALSE)</f>
        <v>23.65</v>
      </c>
      <c r="D562">
        <f>VLOOKUP(A562,Medical_Examinations[],3,FALSE)</f>
        <v>4.5</v>
      </c>
      <c r="E562" t="str">
        <f>VLOOKUP(A562,Medical_Examinations[],4,FALSE)</f>
        <v>No</v>
      </c>
      <c r="F562" t="str">
        <f>VLOOKUP(A562,Medical_Examinations[],5,FALSE)</f>
        <v>No</v>
      </c>
      <c r="G562" t="str">
        <f>VLOOKUP(A562,Medical_Examinations[],6,FALSE)</f>
        <v>No</v>
      </c>
      <c r="H562">
        <f>VLOOKUP(A562,Medical_Examinations[],7,FALSE)</f>
        <v>0</v>
      </c>
      <c r="I562" t="str">
        <f>VLOOKUP(A562,Medical_Examinations[],8,FALSE)</f>
        <v>No</v>
      </c>
      <c r="J562" t="str">
        <f>VLOOKUP(A562,Medical_Examinations[],9,FALSE)</f>
        <v>Normal Weight</v>
      </c>
      <c r="K562" t="str">
        <f>VLOOKUP(A562,Medical_Examinations[],10,FALSE)</f>
        <v>Normal</v>
      </c>
      <c r="M562">
        <f>VLOOKUP(A562,Hospitalisation_Details__2[],4,FALSE)</f>
        <v>17626.240000000002</v>
      </c>
      <c r="N562" t="str">
        <f>VLOOKUP(A562,Hospitalisation_Details__2[],5,FALSE)</f>
        <v>tier - 1</v>
      </c>
      <c r="O562" t="str">
        <f>VLOOKUP(A562,Hospitalisation_Details__2[],6,FALSE)</f>
        <v>tier - 3</v>
      </c>
      <c r="P562" t="str">
        <f>VLOOKUP(A562,Hospitalisation_Details__2[],7,FALSE)</f>
        <v>R1013</v>
      </c>
    </row>
    <row r="563" spans="1:16" x14ac:dyDescent="0.35">
      <c r="A563" t="str">
        <v>Id562</v>
      </c>
      <c r="B563" t="str">
        <f>VLOOKUP(A563,'Customer Names (2)'!A:B, 2,FALSE)</f>
        <v>Mr</v>
      </c>
      <c r="C563">
        <f>VLOOKUP(A563,Medical_Examinations[],2,FALSE)</f>
        <v>49.09</v>
      </c>
      <c r="D563">
        <f>VLOOKUP(A563,Medical_Examinations[],3,FALSE)</f>
        <v>8.3800000000000008</v>
      </c>
      <c r="E563" t="str">
        <f>VLOOKUP(A563,Medical_Examinations[],4,FALSE)</f>
        <v>Yes</v>
      </c>
      <c r="F563" t="str">
        <f>VLOOKUP(A563,Medical_Examinations[],5,FALSE)</f>
        <v>No</v>
      </c>
      <c r="G563" t="str">
        <f>VLOOKUP(A563,Medical_Examinations[],6,FALSE)</f>
        <v>No</v>
      </c>
      <c r="H563">
        <f>VLOOKUP(A563,Medical_Examinations[],7,FALSE)</f>
        <v>2</v>
      </c>
      <c r="I563" t="str">
        <f>VLOOKUP(A563,Medical_Examinations[],8,FALSE)</f>
        <v>No</v>
      </c>
      <c r="J563" t="str">
        <f>VLOOKUP(A563,Medical_Examinations[],9,FALSE)</f>
        <v>Obesity</v>
      </c>
      <c r="K563" t="str">
        <f>VLOOKUP(A563,Medical_Examinations[],10,FALSE)</f>
        <v>Diabetes</v>
      </c>
      <c r="M563">
        <f>VLOOKUP(A563,Hospitalisation_Details__2[],4,FALSE)</f>
        <v>17584.72</v>
      </c>
      <c r="N563" t="str">
        <f>VLOOKUP(A563,Hospitalisation_Details__2[],5,FALSE)</f>
        <v>tier - 1</v>
      </c>
      <c r="O563" t="str">
        <f>VLOOKUP(A563,Hospitalisation_Details__2[],6,FALSE)</f>
        <v>tier - 3</v>
      </c>
      <c r="P563" t="str">
        <f>VLOOKUP(A563,Hospitalisation_Details__2[],7,FALSE)</f>
        <v>R1012</v>
      </c>
    </row>
    <row r="564" spans="1:16" x14ac:dyDescent="0.35">
      <c r="A564" t="str">
        <v>Id563</v>
      </c>
      <c r="B564" t="str">
        <f>VLOOKUP(A564,'Customer Names (2)'!A:B, 2,FALSE)</f>
        <v>Mr</v>
      </c>
      <c r="C564">
        <f>VLOOKUP(A564,Medical_Examinations[],2,FALSE)</f>
        <v>28.024999999999999</v>
      </c>
      <c r="D564">
        <f>VLOOKUP(A564,Medical_Examinations[],3,FALSE)</f>
        <v>7.03</v>
      </c>
      <c r="E564" t="str">
        <f>VLOOKUP(A564,Medical_Examinations[],4,FALSE)</f>
        <v>No</v>
      </c>
      <c r="F564" t="str">
        <f>VLOOKUP(A564,Medical_Examinations[],5,FALSE)</f>
        <v>No</v>
      </c>
      <c r="G564" t="str">
        <f>VLOOKUP(A564,Medical_Examinations[],6,FALSE)</f>
        <v>No</v>
      </c>
      <c r="H564">
        <f>VLOOKUP(A564,Medical_Examinations[],7,FALSE)</f>
        <v>0</v>
      </c>
      <c r="I564" t="str">
        <f>VLOOKUP(A564,Medical_Examinations[],8,FALSE)</f>
        <v>Yes</v>
      </c>
      <c r="J564" t="str">
        <f>VLOOKUP(A564,Medical_Examinations[],9,FALSE)</f>
        <v>Overweight</v>
      </c>
      <c r="K564" t="str">
        <f>VLOOKUP(A564,Medical_Examinations[],10,FALSE)</f>
        <v>Diabetes</v>
      </c>
      <c r="M564">
        <f>VLOOKUP(A564,Hospitalisation_Details__2[],4,FALSE)</f>
        <v>17560.38</v>
      </c>
      <c r="N564" t="str">
        <f>VLOOKUP(A564,Hospitalisation_Details__2[],5,FALSE)</f>
        <v>tier - 1</v>
      </c>
      <c r="O564" t="str">
        <f>VLOOKUP(A564,Hospitalisation_Details__2[],6,FALSE)</f>
        <v>tier - 1</v>
      </c>
      <c r="P564" t="str">
        <f>VLOOKUP(A564,Hospitalisation_Details__2[],7,FALSE)</f>
        <v>R1012</v>
      </c>
    </row>
    <row r="565" spans="1:16" x14ac:dyDescent="0.35">
      <c r="A565" t="str">
        <v>Id564</v>
      </c>
      <c r="B565" t="str">
        <f>VLOOKUP(A565,'Customer Names (2)'!A:B, 2,FALSE)</f>
        <v>Ms</v>
      </c>
      <c r="C565">
        <f>VLOOKUP(A565,Medical_Examinations[],2,FALSE)</f>
        <v>43.32</v>
      </c>
      <c r="D565">
        <f>VLOOKUP(A565,Medical_Examinations[],3,FALSE)</f>
        <v>8.75</v>
      </c>
      <c r="E565" t="str">
        <f>VLOOKUP(A565,Medical_Examinations[],4,FALSE)</f>
        <v>Yes</v>
      </c>
      <c r="F565" t="str">
        <f>VLOOKUP(A565,Medical_Examinations[],5,FALSE)</f>
        <v>No</v>
      </c>
      <c r="G565" t="str">
        <f>VLOOKUP(A565,Medical_Examinations[],6,FALSE)</f>
        <v>Yes</v>
      </c>
      <c r="H565">
        <f>VLOOKUP(A565,Medical_Examinations[],7,FALSE)</f>
        <v>1</v>
      </c>
      <c r="I565" t="str">
        <f>VLOOKUP(A565,Medical_Examinations[],8,FALSE)</f>
        <v>No</v>
      </c>
      <c r="J565" t="str">
        <f>VLOOKUP(A565,Medical_Examinations[],9,FALSE)</f>
        <v>Obesity</v>
      </c>
      <c r="K565" t="str">
        <f>VLOOKUP(A565,Medical_Examinations[],10,FALSE)</f>
        <v>Diabetes</v>
      </c>
      <c r="M565">
        <f>VLOOKUP(A565,Hospitalisation_Details__2[],4,FALSE)</f>
        <v>17556.88</v>
      </c>
      <c r="N565" t="str">
        <f>VLOOKUP(A565,Hospitalisation_Details__2[],5,FALSE)</f>
        <v>tier - 1</v>
      </c>
      <c r="O565" t="str">
        <f>VLOOKUP(A565,Hospitalisation_Details__2[],6,FALSE)</f>
        <v>tier - 2</v>
      </c>
      <c r="P565" t="str">
        <f>VLOOKUP(A565,Hospitalisation_Details__2[],7,FALSE)</f>
        <v>R1012</v>
      </c>
    </row>
    <row r="566" spans="1:16" x14ac:dyDescent="0.35">
      <c r="A566" t="str">
        <v>Id565</v>
      </c>
      <c r="B566" t="str">
        <f>VLOOKUP(A566,'Customer Names (2)'!A:B, 2,FALSE)</f>
        <v>Mrs</v>
      </c>
      <c r="C566">
        <f>VLOOKUP(A566,Medical_Examinations[],2,FALSE)</f>
        <v>45.92</v>
      </c>
      <c r="D566">
        <f>VLOOKUP(A566,Medical_Examinations[],3,FALSE)</f>
        <v>9.51</v>
      </c>
      <c r="E566" t="str">
        <f>VLOOKUP(A566,Medical_Examinations[],4,FALSE)</f>
        <v>No</v>
      </c>
      <c r="F566" t="str">
        <f>VLOOKUP(A566,Medical_Examinations[],5,FALSE)</f>
        <v>No</v>
      </c>
      <c r="G566" t="str">
        <f>VLOOKUP(A566,Medical_Examinations[],6,FALSE)</f>
        <v>No</v>
      </c>
      <c r="H566">
        <f>VLOOKUP(A566,Medical_Examinations[],7,FALSE)</f>
        <v>0</v>
      </c>
      <c r="I566" t="str">
        <f>VLOOKUP(A566,Medical_Examinations[],8,FALSE)</f>
        <v>No</v>
      </c>
      <c r="J566" t="str">
        <f>VLOOKUP(A566,Medical_Examinations[],9,FALSE)</f>
        <v>Obesity</v>
      </c>
      <c r="K566" t="str">
        <f>VLOOKUP(A566,Medical_Examinations[],10,FALSE)</f>
        <v>Diabetes</v>
      </c>
      <c r="M566">
        <f>VLOOKUP(A566,Hospitalisation_Details__2[],4,FALSE)</f>
        <v>17507.47</v>
      </c>
      <c r="N566" t="str">
        <f>VLOOKUP(A566,Hospitalisation_Details__2[],5,FALSE)</f>
        <v>tier - 1</v>
      </c>
      <c r="O566" t="str">
        <f>VLOOKUP(A566,Hospitalisation_Details__2[],6,FALSE)</f>
        <v>tier - 1</v>
      </c>
      <c r="P566" t="str">
        <f>VLOOKUP(A566,Hospitalisation_Details__2[],7,FALSE)</f>
        <v>R1026</v>
      </c>
    </row>
    <row r="567" spans="1:16" x14ac:dyDescent="0.35">
      <c r="A567" t="str">
        <v>Id566</v>
      </c>
      <c r="B567" t="str">
        <f>VLOOKUP(A567,'Customer Names (2)'!A:B, 2,FALSE)</f>
        <v>Mr</v>
      </c>
      <c r="C567">
        <f>VLOOKUP(A567,Medical_Examinations[],2,FALSE)</f>
        <v>44.03</v>
      </c>
      <c r="D567">
        <f>VLOOKUP(A567,Medical_Examinations[],3,FALSE)</f>
        <v>9.36</v>
      </c>
      <c r="E567" t="str">
        <f>VLOOKUP(A567,Medical_Examinations[],4,FALSE)</f>
        <v>No</v>
      </c>
      <c r="F567" t="str">
        <f>VLOOKUP(A567,Medical_Examinations[],5,FALSE)</f>
        <v>No</v>
      </c>
      <c r="G567" t="str">
        <f>VLOOKUP(A567,Medical_Examinations[],6,FALSE)</f>
        <v>No</v>
      </c>
      <c r="H567">
        <f>VLOOKUP(A567,Medical_Examinations[],7,FALSE)</f>
        <v>0</v>
      </c>
      <c r="I567" t="str">
        <f>VLOOKUP(A567,Medical_Examinations[],8,FALSE)</f>
        <v>No</v>
      </c>
      <c r="J567" t="str">
        <f>VLOOKUP(A567,Medical_Examinations[],9,FALSE)</f>
        <v>Obesity</v>
      </c>
      <c r="K567" t="str">
        <f>VLOOKUP(A567,Medical_Examinations[],10,FALSE)</f>
        <v>Diabetes</v>
      </c>
      <c r="M567">
        <f>VLOOKUP(A567,Hospitalisation_Details__2[],4,FALSE)</f>
        <v>17505.650000000001</v>
      </c>
      <c r="N567" t="str">
        <f>VLOOKUP(A567,Hospitalisation_Details__2[],5,FALSE)</f>
        <v>tier - 1</v>
      </c>
      <c r="O567" t="str">
        <f>VLOOKUP(A567,Hospitalisation_Details__2[],6,FALSE)</f>
        <v>tier - 2</v>
      </c>
      <c r="P567" t="str">
        <f>VLOOKUP(A567,Hospitalisation_Details__2[],7,FALSE)</f>
        <v>R1023</v>
      </c>
    </row>
    <row r="568" spans="1:16" x14ac:dyDescent="0.35">
      <c r="A568" t="str">
        <v>Id567</v>
      </c>
      <c r="B568" t="str">
        <f>VLOOKUP(A568,'Customer Names (2)'!A:B, 2,FALSE)</f>
        <v>Ms</v>
      </c>
      <c r="C568">
        <f>VLOOKUP(A568,Medical_Examinations[],2,FALSE)</f>
        <v>24.6</v>
      </c>
      <c r="D568">
        <f>VLOOKUP(A568,Medical_Examinations[],3,FALSE)</f>
        <v>4.8099999999999996</v>
      </c>
      <c r="E568" t="str">
        <f>VLOOKUP(A568,Medical_Examinations[],4,FALSE)</f>
        <v>No</v>
      </c>
      <c r="F568" t="str">
        <f>VLOOKUP(A568,Medical_Examinations[],5,FALSE)</f>
        <v>No</v>
      </c>
      <c r="G568" t="str">
        <f>VLOOKUP(A568,Medical_Examinations[],6,FALSE)</f>
        <v>No</v>
      </c>
      <c r="H568">
        <f>VLOOKUP(A568,Medical_Examinations[],7,FALSE)</f>
        <v>0</v>
      </c>
      <c r="I568" t="str">
        <f>VLOOKUP(A568,Medical_Examinations[],8,FALSE)</f>
        <v>Yes</v>
      </c>
      <c r="J568" t="str">
        <f>VLOOKUP(A568,Medical_Examinations[],9,FALSE)</f>
        <v>Normal Weight</v>
      </c>
      <c r="K568" t="str">
        <f>VLOOKUP(A568,Medical_Examinations[],10,FALSE)</f>
        <v>Normal</v>
      </c>
      <c r="M568">
        <f>VLOOKUP(A568,Hospitalisation_Details__2[],4,FALSE)</f>
        <v>17496.310000000001</v>
      </c>
      <c r="N568" t="str">
        <f>VLOOKUP(A568,Hospitalisation_Details__2[],5,FALSE)</f>
        <v>tier - 1</v>
      </c>
      <c r="O568" t="str">
        <f>VLOOKUP(A568,Hospitalisation_Details__2[],6,FALSE)</f>
        <v>tier - 2</v>
      </c>
      <c r="P568" t="str">
        <f>VLOOKUP(A568,Hospitalisation_Details__2[],7,FALSE)</f>
        <v>R1011</v>
      </c>
    </row>
    <row r="569" spans="1:16" x14ac:dyDescent="0.35">
      <c r="A569" t="str">
        <v>Id568</v>
      </c>
      <c r="B569" t="str">
        <f>VLOOKUP(A569,'Customer Names (2)'!A:B, 2,FALSE)</f>
        <v>Ms</v>
      </c>
      <c r="C569">
        <f>VLOOKUP(A569,Medical_Examinations[],2,FALSE)</f>
        <v>49.15</v>
      </c>
      <c r="D569">
        <f>VLOOKUP(A569,Medical_Examinations[],3,FALSE)</f>
        <v>8.08</v>
      </c>
      <c r="E569" t="str">
        <f>VLOOKUP(A569,Medical_Examinations[],4,FALSE)</f>
        <v>No</v>
      </c>
      <c r="F569" t="str">
        <f>VLOOKUP(A569,Medical_Examinations[],5,FALSE)</f>
        <v>No</v>
      </c>
      <c r="G569" t="str">
        <f>VLOOKUP(A569,Medical_Examinations[],6,FALSE)</f>
        <v>No</v>
      </c>
      <c r="H569">
        <f>VLOOKUP(A569,Medical_Examinations[],7,FALSE)</f>
        <v>0</v>
      </c>
      <c r="I569" t="str">
        <f>VLOOKUP(A569,Medical_Examinations[],8,FALSE)</f>
        <v>No</v>
      </c>
      <c r="J569" t="str">
        <f>VLOOKUP(A569,Medical_Examinations[],9,FALSE)</f>
        <v>Obesity</v>
      </c>
      <c r="K569" t="str">
        <f>VLOOKUP(A569,Medical_Examinations[],10,FALSE)</f>
        <v>Diabetes</v>
      </c>
      <c r="M569">
        <f>VLOOKUP(A569,Hospitalisation_Details__2[],4,FALSE)</f>
        <v>17479.53</v>
      </c>
      <c r="N569" t="str">
        <f>VLOOKUP(A569,Hospitalisation_Details__2[],5,FALSE)</f>
        <v>tier - 1</v>
      </c>
      <c r="O569" t="str">
        <f>VLOOKUP(A569,Hospitalisation_Details__2[],6,FALSE)</f>
        <v>tier - 1</v>
      </c>
      <c r="P569" t="str">
        <f>VLOOKUP(A569,Hospitalisation_Details__2[],7,FALSE)</f>
        <v>R1012</v>
      </c>
    </row>
    <row r="570" spans="1:16" x14ac:dyDescent="0.35">
      <c r="A570" t="str">
        <v>Id569</v>
      </c>
      <c r="B570" t="str">
        <f>VLOOKUP(A570,'Customer Names (2)'!A:B, 2,FALSE)</f>
        <v>Ms</v>
      </c>
      <c r="C570">
        <f>VLOOKUP(A570,Medical_Examinations[],2,FALSE)</f>
        <v>28.31</v>
      </c>
      <c r="D570">
        <f>VLOOKUP(A570,Medical_Examinations[],3,FALSE)</f>
        <v>6.29</v>
      </c>
      <c r="E570" t="str">
        <f>VLOOKUP(A570,Medical_Examinations[],4,FALSE)</f>
        <v>No</v>
      </c>
      <c r="F570" t="str">
        <f>VLOOKUP(A570,Medical_Examinations[],5,FALSE)</f>
        <v>No</v>
      </c>
      <c r="G570" t="str">
        <f>VLOOKUP(A570,Medical_Examinations[],6,FALSE)</f>
        <v>Yes</v>
      </c>
      <c r="H570">
        <f>VLOOKUP(A570,Medical_Examinations[],7,FALSE)</f>
        <v>1</v>
      </c>
      <c r="I570" t="str">
        <f>VLOOKUP(A570,Medical_Examinations[],8,FALSE)</f>
        <v>Yes</v>
      </c>
      <c r="J570" t="str">
        <f>VLOOKUP(A570,Medical_Examinations[],9,FALSE)</f>
        <v>Overweight</v>
      </c>
      <c r="K570" t="str">
        <f>VLOOKUP(A570,Medical_Examinations[],10,FALSE)</f>
        <v>Prediabetes</v>
      </c>
      <c r="M570">
        <f>VLOOKUP(A570,Hospitalisation_Details__2[],4,FALSE)</f>
        <v>17468.98</v>
      </c>
      <c r="N570" t="str">
        <f>VLOOKUP(A570,Hospitalisation_Details__2[],5,FALSE)</f>
        <v>tier - 2</v>
      </c>
      <c r="O570" t="str">
        <f>VLOOKUP(A570,Hospitalisation_Details__2[],6,FALSE)</f>
        <v>tier - 1</v>
      </c>
      <c r="P570" t="str">
        <f>VLOOKUP(A570,Hospitalisation_Details__2[],7,FALSE)</f>
        <v>R1012</v>
      </c>
    </row>
    <row r="571" spans="1:16" x14ac:dyDescent="0.35">
      <c r="A571" t="str">
        <v>Id570</v>
      </c>
      <c r="B571" t="str">
        <f>VLOOKUP(A571,'Customer Names (2)'!A:B, 2,FALSE)</f>
        <v>Mr</v>
      </c>
      <c r="C571">
        <f>VLOOKUP(A571,Medical_Examinations[],2,FALSE)</f>
        <v>22.99</v>
      </c>
      <c r="D571">
        <f>VLOOKUP(A571,Medical_Examinations[],3,FALSE)</f>
        <v>6.29</v>
      </c>
      <c r="E571" t="str">
        <f>VLOOKUP(A571,Medical_Examinations[],4,FALSE)</f>
        <v>No</v>
      </c>
      <c r="F571" t="str">
        <f>VLOOKUP(A571,Medical_Examinations[],5,FALSE)</f>
        <v>No</v>
      </c>
      <c r="G571" t="str">
        <f>VLOOKUP(A571,Medical_Examinations[],6,FALSE)</f>
        <v>No</v>
      </c>
      <c r="H571">
        <f>VLOOKUP(A571,Medical_Examinations[],7,FALSE)</f>
        <v>1</v>
      </c>
      <c r="I571" t="str">
        <f>VLOOKUP(A571,Medical_Examinations[],8,FALSE)</f>
        <v>Yes</v>
      </c>
      <c r="J571" t="str">
        <f>VLOOKUP(A571,Medical_Examinations[],9,FALSE)</f>
        <v>Normal Weight</v>
      </c>
      <c r="K571" t="str">
        <f>VLOOKUP(A571,Medical_Examinations[],10,FALSE)</f>
        <v>Prediabetes</v>
      </c>
      <c r="M571">
        <f>VLOOKUP(A571,Hospitalisation_Details__2[],4,FALSE)</f>
        <v>17361.77</v>
      </c>
      <c r="N571" t="str">
        <f>VLOOKUP(A571,Hospitalisation_Details__2[],5,FALSE)</f>
        <v>tier - 2</v>
      </c>
      <c r="O571" t="str">
        <f>VLOOKUP(A571,Hospitalisation_Details__2[],6,FALSE)</f>
        <v>tier - 1</v>
      </c>
      <c r="P571" t="str">
        <f>VLOOKUP(A571,Hospitalisation_Details__2[],7,FALSE)</f>
        <v>R1012</v>
      </c>
    </row>
    <row r="572" spans="1:16" x14ac:dyDescent="0.35">
      <c r="A572" t="str">
        <v>Id571</v>
      </c>
      <c r="B572" t="str">
        <f>VLOOKUP(A572,'Customer Names (2)'!A:B, 2,FALSE)</f>
        <v>Mr</v>
      </c>
      <c r="C572">
        <f>VLOOKUP(A572,Medical_Examinations[],2,FALSE)</f>
        <v>29.07</v>
      </c>
      <c r="D572">
        <f>VLOOKUP(A572,Medical_Examinations[],3,FALSE)</f>
        <v>5.12</v>
      </c>
      <c r="E572" t="str">
        <f>VLOOKUP(A572,Medical_Examinations[],4,FALSE)</f>
        <v>No</v>
      </c>
      <c r="F572" t="str">
        <f>VLOOKUP(A572,Medical_Examinations[],5,FALSE)</f>
        <v>No</v>
      </c>
      <c r="G572" t="str">
        <f>VLOOKUP(A572,Medical_Examinations[],6,FALSE)</f>
        <v>Yes</v>
      </c>
      <c r="H572">
        <f>VLOOKUP(A572,Medical_Examinations[],7,FALSE)</f>
        <v>1</v>
      </c>
      <c r="I572" t="str">
        <f>VLOOKUP(A572,Medical_Examinations[],8,FALSE)</f>
        <v>Yes</v>
      </c>
      <c r="J572" t="str">
        <f>VLOOKUP(A572,Medical_Examinations[],9,FALSE)</f>
        <v>Overweight</v>
      </c>
      <c r="K572" t="str">
        <f>VLOOKUP(A572,Medical_Examinations[],10,FALSE)</f>
        <v>Normal</v>
      </c>
      <c r="M572">
        <f>VLOOKUP(A572,Hospitalisation_Details__2[],4,FALSE)</f>
        <v>17352.68</v>
      </c>
      <c r="N572" t="str">
        <f>VLOOKUP(A572,Hospitalisation_Details__2[],5,FALSE)</f>
        <v>tier - 2</v>
      </c>
      <c r="O572" t="str">
        <f>VLOOKUP(A572,Hospitalisation_Details__2[],6,FALSE)</f>
        <v>tier - 3</v>
      </c>
      <c r="P572" t="str">
        <f>VLOOKUP(A572,Hospitalisation_Details__2[],7,FALSE)</f>
        <v>R1012</v>
      </c>
    </row>
    <row r="573" spans="1:16" x14ac:dyDescent="0.35">
      <c r="A573" t="str">
        <v>Id572</v>
      </c>
      <c r="B573" t="str">
        <f>VLOOKUP(A573,'Customer Names (2)'!A:B, 2,FALSE)</f>
        <v>Mr</v>
      </c>
      <c r="C573">
        <f>VLOOKUP(A573,Medical_Examinations[],2,FALSE)</f>
        <v>42.02</v>
      </c>
      <c r="D573">
        <f>VLOOKUP(A573,Medical_Examinations[],3,FALSE)</f>
        <v>9.9499999999999993</v>
      </c>
      <c r="E573" t="str">
        <f>VLOOKUP(A573,Medical_Examinations[],4,FALSE)</f>
        <v>Yes</v>
      </c>
      <c r="F573" t="str">
        <f>VLOOKUP(A573,Medical_Examinations[],5,FALSE)</f>
        <v>No</v>
      </c>
      <c r="G573" t="str">
        <f>VLOOKUP(A573,Medical_Examinations[],6,FALSE)</f>
        <v>Yes</v>
      </c>
      <c r="H573">
        <f>VLOOKUP(A573,Medical_Examinations[],7,FALSE)</f>
        <v>1</v>
      </c>
      <c r="I573" t="str">
        <f>VLOOKUP(A573,Medical_Examinations[],8,FALSE)</f>
        <v>No</v>
      </c>
      <c r="J573" t="str">
        <f>VLOOKUP(A573,Medical_Examinations[],9,FALSE)</f>
        <v>Obesity</v>
      </c>
      <c r="K573" t="str">
        <f>VLOOKUP(A573,Medical_Examinations[],10,FALSE)</f>
        <v>Diabetes</v>
      </c>
      <c r="M573">
        <f>VLOOKUP(A573,Hospitalisation_Details__2[],4,FALSE)</f>
        <v>17337.580000000002</v>
      </c>
      <c r="N573" t="str">
        <f>VLOOKUP(A573,Hospitalisation_Details__2[],5,FALSE)</f>
        <v>tier - 2</v>
      </c>
      <c r="O573" t="str">
        <f>VLOOKUP(A573,Hospitalisation_Details__2[],6,FALSE)</f>
        <v>tier - 3</v>
      </c>
      <c r="P573" t="str">
        <f>VLOOKUP(A573,Hospitalisation_Details__2[],7,FALSE)</f>
        <v>R1023</v>
      </c>
    </row>
    <row r="574" spans="1:16" x14ac:dyDescent="0.35">
      <c r="A574" t="str">
        <v>Id573</v>
      </c>
      <c r="B574" t="str">
        <f>VLOOKUP(A574,'Customer Names (2)'!A:B, 2,FALSE)</f>
        <v>Mrs</v>
      </c>
      <c r="C574">
        <f>VLOOKUP(A574,Medical_Examinations[],2,FALSE)</f>
        <v>49.07</v>
      </c>
      <c r="D574">
        <f>VLOOKUP(A574,Medical_Examinations[],3,FALSE)</f>
        <v>9.08</v>
      </c>
      <c r="E574" t="str">
        <f>VLOOKUP(A574,Medical_Examinations[],4,FALSE)</f>
        <v>Yes</v>
      </c>
      <c r="F574" t="str">
        <f>VLOOKUP(A574,Medical_Examinations[],5,FALSE)</f>
        <v>No</v>
      </c>
      <c r="G574" t="str">
        <f>VLOOKUP(A574,Medical_Examinations[],6,FALSE)</f>
        <v>No</v>
      </c>
      <c r="H574">
        <f>VLOOKUP(A574,Medical_Examinations[],7,FALSE)</f>
        <v>1</v>
      </c>
      <c r="I574" t="str">
        <f>VLOOKUP(A574,Medical_Examinations[],8,FALSE)</f>
        <v>No</v>
      </c>
      <c r="J574" t="str">
        <f>VLOOKUP(A574,Medical_Examinations[],9,FALSE)</f>
        <v>Obesity</v>
      </c>
      <c r="K574" t="str">
        <f>VLOOKUP(A574,Medical_Examinations[],10,FALSE)</f>
        <v>Diabetes</v>
      </c>
      <c r="M574">
        <f>VLOOKUP(A574,Hospitalisation_Details__2[],4,FALSE)</f>
        <v>17253.43</v>
      </c>
      <c r="N574" t="str">
        <f>VLOOKUP(A574,Hospitalisation_Details__2[],5,FALSE)</f>
        <v>tier - 2</v>
      </c>
      <c r="O574" t="str">
        <f>VLOOKUP(A574,Hospitalisation_Details__2[],6,FALSE)</f>
        <v>tier - 3</v>
      </c>
      <c r="P574" t="str">
        <f>VLOOKUP(A574,Hospitalisation_Details__2[],7,FALSE)</f>
        <v>R1026</v>
      </c>
    </row>
    <row r="575" spans="1:16" x14ac:dyDescent="0.35">
      <c r="A575" t="str">
        <v>Id574</v>
      </c>
      <c r="B575" t="str">
        <f>VLOOKUP(A575,'Customer Names (2)'!A:B, 2,FALSE)</f>
        <v>Mr</v>
      </c>
      <c r="C575">
        <f>VLOOKUP(A575,Medical_Examinations[],2,FALSE)</f>
        <v>19.8</v>
      </c>
      <c r="D575">
        <f>VLOOKUP(A575,Medical_Examinations[],3,FALSE)</f>
        <v>4.82</v>
      </c>
      <c r="E575" t="str">
        <f>VLOOKUP(A575,Medical_Examinations[],4,FALSE)</f>
        <v>No</v>
      </c>
      <c r="F575" t="str">
        <f>VLOOKUP(A575,Medical_Examinations[],5,FALSE)</f>
        <v>No</v>
      </c>
      <c r="G575" t="str">
        <f>VLOOKUP(A575,Medical_Examinations[],6,FALSE)</f>
        <v>No</v>
      </c>
      <c r="H575">
        <f>VLOOKUP(A575,Medical_Examinations[],7,FALSE)</f>
        <v>0</v>
      </c>
      <c r="I575" t="str">
        <f>VLOOKUP(A575,Medical_Examinations[],8,FALSE)</f>
        <v>Yes</v>
      </c>
      <c r="J575" t="str">
        <f>VLOOKUP(A575,Medical_Examinations[],9,FALSE)</f>
        <v>Normal Weight</v>
      </c>
      <c r="K575" t="str">
        <f>VLOOKUP(A575,Medical_Examinations[],10,FALSE)</f>
        <v>Normal</v>
      </c>
      <c r="M575">
        <f>VLOOKUP(A575,Hospitalisation_Details__2[],4,FALSE)</f>
        <v>17179.52</v>
      </c>
      <c r="N575" t="str">
        <f>VLOOKUP(A575,Hospitalisation_Details__2[],5,FALSE)</f>
        <v>tier - 2</v>
      </c>
      <c r="O575" t="str">
        <f>VLOOKUP(A575,Hospitalisation_Details__2[],6,FALSE)</f>
        <v>tier - 1</v>
      </c>
      <c r="P575" t="str">
        <f>VLOOKUP(A575,Hospitalisation_Details__2[],7,FALSE)</f>
        <v>R1013</v>
      </c>
    </row>
    <row r="576" spans="1:16" x14ac:dyDescent="0.35">
      <c r="A576" t="str">
        <v>Id575</v>
      </c>
      <c r="B576" t="str">
        <f>VLOOKUP(A576,'Customer Names (2)'!A:B, 2,FALSE)</f>
        <v>Mr</v>
      </c>
      <c r="C576">
        <f>VLOOKUP(A576,Medical_Examinations[],2,FALSE)</f>
        <v>27.36</v>
      </c>
      <c r="D576">
        <f>VLOOKUP(A576,Medical_Examinations[],3,FALSE)</f>
        <v>4.6500000000000004</v>
      </c>
      <c r="E576" t="str">
        <f>VLOOKUP(A576,Medical_Examinations[],4,FALSE)</f>
        <v>No</v>
      </c>
      <c r="F576" t="str">
        <f>VLOOKUP(A576,Medical_Examinations[],5,FALSE)</f>
        <v>yes</v>
      </c>
      <c r="G576" t="str">
        <f>VLOOKUP(A576,Medical_Examinations[],6,FALSE)</f>
        <v>No</v>
      </c>
      <c r="H576">
        <f>VLOOKUP(A576,Medical_Examinations[],7,FALSE)</f>
        <v>1</v>
      </c>
      <c r="I576" t="str">
        <f>VLOOKUP(A576,Medical_Examinations[],8,FALSE)</f>
        <v>Yes</v>
      </c>
      <c r="J576" t="str">
        <f>VLOOKUP(A576,Medical_Examinations[],9,FALSE)</f>
        <v>Overweight</v>
      </c>
      <c r="K576" t="str">
        <f>VLOOKUP(A576,Medical_Examinations[],10,FALSE)</f>
        <v>Normal</v>
      </c>
      <c r="M576">
        <f>VLOOKUP(A576,Hospitalisation_Details__2[],4,FALSE)</f>
        <v>17178.68</v>
      </c>
      <c r="N576" t="str">
        <f>VLOOKUP(A576,Hospitalisation_Details__2[],5,FALSE)</f>
        <v>tier - 2</v>
      </c>
      <c r="O576" t="str">
        <f>VLOOKUP(A576,Hospitalisation_Details__2[],6,FALSE)</f>
        <v>tier - 2</v>
      </c>
      <c r="P576" t="str">
        <f>VLOOKUP(A576,Hospitalisation_Details__2[],7,FALSE)</f>
        <v>R1019</v>
      </c>
    </row>
    <row r="577" spans="1:16" x14ac:dyDescent="0.35">
      <c r="A577" t="str">
        <v>Id576</v>
      </c>
      <c r="B577" t="str">
        <f>VLOOKUP(A577,'Customer Names (2)'!A:B, 2,FALSE)</f>
        <v>Ms</v>
      </c>
      <c r="C577">
        <f>VLOOKUP(A577,Medical_Examinations[],2,FALSE)</f>
        <v>42.95</v>
      </c>
      <c r="D577">
        <f>VLOOKUP(A577,Medical_Examinations[],3,FALSE)</f>
        <v>5.16</v>
      </c>
      <c r="E577" t="str">
        <f>VLOOKUP(A577,Medical_Examinations[],4,FALSE)</f>
        <v>Yes</v>
      </c>
      <c r="F577" t="str">
        <f>VLOOKUP(A577,Medical_Examinations[],5,FALSE)</f>
        <v>No</v>
      </c>
      <c r="G577" t="str">
        <f>VLOOKUP(A577,Medical_Examinations[],6,FALSE)</f>
        <v>No</v>
      </c>
      <c r="H577">
        <f>VLOOKUP(A577,Medical_Examinations[],7,FALSE)</f>
        <v>1</v>
      </c>
      <c r="I577" t="str">
        <f>VLOOKUP(A577,Medical_Examinations[],8,FALSE)</f>
        <v>No</v>
      </c>
      <c r="J577" t="str">
        <f>VLOOKUP(A577,Medical_Examinations[],9,FALSE)</f>
        <v>Obesity</v>
      </c>
      <c r="K577" t="str">
        <f>VLOOKUP(A577,Medical_Examinations[],10,FALSE)</f>
        <v>Normal</v>
      </c>
      <c r="M577">
        <f>VLOOKUP(A577,Hospitalisation_Details__2[],4,FALSE)</f>
        <v>17174.52</v>
      </c>
      <c r="N577" t="str">
        <f>VLOOKUP(A577,Hospitalisation_Details__2[],5,FALSE)</f>
        <v>tier - 2</v>
      </c>
      <c r="O577" t="str">
        <f>VLOOKUP(A577,Hospitalisation_Details__2[],6,FALSE)</f>
        <v>tier - 2</v>
      </c>
      <c r="P577" t="str">
        <f>VLOOKUP(A577,Hospitalisation_Details__2[],7,FALSE)</f>
        <v>R1012</v>
      </c>
    </row>
    <row r="578" spans="1:16" x14ac:dyDescent="0.35">
      <c r="A578" t="str">
        <v>Id577</v>
      </c>
      <c r="B578" t="str">
        <f>VLOOKUP(A578,'Customer Names (2)'!A:B, 2,FALSE)</f>
        <v>Mrs</v>
      </c>
      <c r="C578">
        <f>VLOOKUP(A578,Medical_Examinations[],2,FALSE)</f>
        <v>42.66</v>
      </c>
      <c r="D578">
        <f>VLOOKUP(A578,Medical_Examinations[],3,FALSE)</f>
        <v>10.44</v>
      </c>
      <c r="E578" t="str">
        <f>VLOOKUP(A578,Medical_Examinations[],4,FALSE)</f>
        <v>No</v>
      </c>
      <c r="F578" t="str">
        <f>VLOOKUP(A578,Medical_Examinations[],5,FALSE)</f>
        <v>No</v>
      </c>
      <c r="G578" t="str">
        <f>VLOOKUP(A578,Medical_Examinations[],6,FALSE)</f>
        <v>No</v>
      </c>
      <c r="H578">
        <f>VLOOKUP(A578,Medical_Examinations[],7,FALSE)</f>
        <v>0</v>
      </c>
      <c r="I578" t="str">
        <f>VLOOKUP(A578,Medical_Examinations[],8,FALSE)</f>
        <v>No</v>
      </c>
      <c r="J578" t="str">
        <f>VLOOKUP(A578,Medical_Examinations[],9,FALSE)</f>
        <v>Obesity</v>
      </c>
      <c r="K578" t="str">
        <f>VLOOKUP(A578,Medical_Examinations[],10,FALSE)</f>
        <v>Diabetes</v>
      </c>
      <c r="M578">
        <f>VLOOKUP(A578,Hospitalisation_Details__2[],4,FALSE)</f>
        <v>17172.27</v>
      </c>
      <c r="N578" t="str">
        <f>VLOOKUP(A578,Hospitalisation_Details__2[],5,FALSE)</f>
        <v>tier - 2</v>
      </c>
      <c r="O578" t="str">
        <f>VLOOKUP(A578,Hospitalisation_Details__2[],6,FALSE)</f>
        <v>tier - 2</v>
      </c>
      <c r="P578" t="str">
        <f>VLOOKUP(A578,Hospitalisation_Details__2[],7,FALSE)</f>
        <v>R1026</v>
      </c>
    </row>
    <row r="579" spans="1:16" x14ac:dyDescent="0.35">
      <c r="A579" t="str">
        <v>Id578</v>
      </c>
      <c r="B579" t="str">
        <f>VLOOKUP(A579,'Customer Names (2)'!A:B, 2,FALSE)</f>
        <v>Mr</v>
      </c>
      <c r="C579">
        <f>VLOOKUP(A579,Medical_Examinations[],2,FALSE)</f>
        <v>33.630000000000003</v>
      </c>
      <c r="D579">
        <f>VLOOKUP(A579,Medical_Examinations[],3,FALSE)</f>
        <v>5.69</v>
      </c>
      <c r="E579" t="str">
        <f>VLOOKUP(A579,Medical_Examinations[],4,FALSE)</f>
        <v>No</v>
      </c>
      <c r="F579" t="str">
        <f>VLOOKUP(A579,Medical_Examinations[],5,FALSE)</f>
        <v>No</v>
      </c>
      <c r="G579" t="str">
        <f>VLOOKUP(A579,Medical_Examinations[],6,FALSE)</f>
        <v>No</v>
      </c>
      <c r="H579">
        <f>VLOOKUP(A579,Medical_Examinations[],7,FALSE)</f>
        <v>1</v>
      </c>
      <c r="I579" t="str">
        <f>VLOOKUP(A579,Medical_Examinations[],8,FALSE)</f>
        <v>No</v>
      </c>
      <c r="J579" t="str">
        <f>VLOOKUP(A579,Medical_Examinations[],9,FALSE)</f>
        <v>Obesity</v>
      </c>
      <c r="K579" t="str">
        <f>VLOOKUP(A579,Medical_Examinations[],10,FALSE)</f>
        <v>Normal</v>
      </c>
      <c r="M579">
        <f>VLOOKUP(A579,Hospitalisation_Details__2[],4,FALSE)</f>
        <v>17128.43</v>
      </c>
      <c r="N579" t="str">
        <f>VLOOKUP(A579,Hospitalisation_Details__2[],5,FALSE)</f>
        <v>tier - 2</v>
      </c>
      <c r="O579" t="str">
        <f>VLOOKUP(A579,Hospitalisation_Details__2[],6,FALSE)</f>
        <v>tier - 3</v>
      </c>
      <c r="P579" t="str">
        <f>VLOOKUP(A579,Hospitalisation_Details__2[],7,FALSE)</f>
        <v>R1016</v>
      </c>
    </row>
    <row r="580" spans="1:16" x14ac:dyDescent="0.35">
      <c r="A580" t="str">
        <v>Id579</v>
      </c>
      <c r="B580" t="str">
        <f>VLOOKUP(A580,'Customer Names (2)'!A:B, 2,FALSE)</f>
        <v>Ms</v>
      </c>
      <c r="C580">
        <f>VLOOKUP(A580,Medical_Examinations[],2,FALSE)</f>
        <v>26.84</v>
      </c>
      <c r="D580">
        <f>VLOOKUP(A580,Medical_Examinations[],3,FALSE)</f>
        <v>6.5</v>
      </c>
      <c r="E580" t="str">
        <f>VLOOKUP(A580,Medical_Examinations[],4,FALSE)</f>
        <v>No</v>
      </c>
      <c r="F580" t="str">
        <f>VLOOKUP(A580,Medical_Examinations[],5,FALSE)</f>
        <v>No</v>
      </c>
      <c r="G580" t="str">
        <f>VLOOKUP(A580,Medical_Examinations[],6,FALSE)</f>
        <v>No</v>
      </c>
      <c r="H580">
        <f>VLOOKUP(A580,Medical_Examinations[],7,FALSE)</f>
        <v>0</v>
      </c>
      <c r="I580" t="str">
        <f>VLOOKUP(A580,Medical_Examinations[],8,FALSE)</f>
        <v>Yes</v>
      </c>
      <c r="J580" t="str">
        <f>VLOOKUP(A580,Medical_Examinations[],9,FALSE)</f>
        <v>Overweight</v>
      </c>
      <c r="K580" t="str">
        <f>VLOOKUP(A580,Medical_Examinations[],10,FALSE)</f>
        <v>Diabetes</v>
      </c>
      <c r="M580">
        <f>VLOOKUP(A580,Hospitalisation_Details__2[],4,FALSE)</f>
        <v>17085.27</v>
      </c>
      <c r="N580" t="str">
        <f>VLOOKUP(A580,Hospitalisation_Details__2[],5,FALSE)</f>
        <v>tier - 2</v>
      </c>
      <c r="O580" t="str">
        <f>VLOOKUP(A580,Hospitalisation_Details__2[],6,FALSE)</f>
        <v>tier - 3</v>
      </c>
      <c r="P580" t="str">
        <f>VLOOKUP(A580,Hospitalisation_Details__2[],7,FALSE)</f>
        <v>R1013</v>
      </c>
    </row>
    <row r="581" spans="1:16" x14ac:dyDescent="0.35">
      <c r="A581" t="str">
        <v>Id580</v>
      </c>
      <c r="B581" t="str">
        <f>VLOOKUP(A581,'Customer Names (2)'!A:B, 2,FALSE)</f>
        <v>Ms</v>
      </c>
      <c r="C581">
        <f>VLOOKUP(A581,Medical_Examinations[],2,FALSE)</f>
        <v>28.3</v>
      </c>
      <c r="D581">
        <f>VLOOKUP(A581,Medical_Examinations[],3,FALSE)</f>
        <v>5.73</v>
      </c>
      <c r="E581" t="str">
        <f>VLOOKUP(A581,Medical_Examinations[],4,FALSE)</f>
        <v>No</v>
      </c>
      <c r="F581" t="str">
        <f>VLOOKUP(A581,Medical_Examinations[],5,FALSE)</f>
        <v>No</v>
      </c>
      <c r="G581" t="str">
        <f>VLOOKUP(A581,Medical_Examinations[],6,FALSE)</f>
        <v>Yes</v>
      </c>
      <c r="H581">
        <f>VLOOKUP(A581,Medical_Examinations[],7,FALSE)</f>
        <v>1</v>
      </c>
      <c r="I581" t="str">
        <f>VLOOKUP(A581,Medical_Examinations[],8,FALSE)</f>
        <v>Yes</v>
      </c>
      <c r="J581" t="str">
        <f>VLOOKUP(A581,Medical_Examinations[],9,FALSE)</f>
        <v>Overweight</v>
      </c>
      <c r="K581" t="str">
        <f>VLOOKUP(A581,Medical_Examinations[],10,FALSE)</f>
        <v>Prediabetes</v>
      </c>
      <c r="M581">
        <f>VLOOKUP(A581,Hospitalisation_Details__2[],4,FALSE)</f>
        <v>17081.080000000002</v>
      </c>
      <c r="N581" t="str">
        <f>VLOOKUP(A581,Hospitalisation_Details__2[],5,FALSE)</f>
        <v>tier - 2</v>
      </c>
      <c r="O581" t="str">
        <f>VLOOKUP(A581,Hospitalisation_Details__2[],6,FALSE)</f>
        <v>tier - 2</v>
      </c>
      <c r="P581" t="str">
        <f>VLOOKUP(A581,Hospitalisation_Details__2[],7,FALSE)</f>
        <v>R1011</v>
      </c>
    </row>
    <row r="582" spans="1:16" x14ac:dyDescent="0.35">
      <c r="A582" t="str">
        <v>Id581</v>
      </c>
      <c r="B582" t="str">
        <f>VLOOKUP(A582,'Customer Names (2)'!A:B, 2,FALSE)</f>
        <v>Mr</v>
      </c>
      <c r="C582">
        <f>VLOOKUP(A582,Medical_Examinations[],2,FALSE)</f>
        <v>27.06</v>
      </c>
      <c r="D582">
        <f>VLOOKUP(A582,Medical_Examinations[],3,FALSE)</f>
        <v>5.74</v>
      </c>
      <c r="E582" t="str">
        <f>VLOOKUP(A582,Medical_Examinations[],4,FALSE)</f>
        <v>Yes</v>
      </c>
      <c r="F582" t="str">
        <f>VLOOKUP(A582,Medical_Examinations[],5,FALSE)</f>
        <v>No</v>
      </c>
      <c r="G582" t="str">
        <f>VLOOKUP(A582,Medical_Examinations[],6,FALSE)</f>
        <v>No</v>
      </c>
      <c r="H582">
        <f>VLOOKUP(A582,Medical_Examinations[],7,FALSE)</f>
        <v>0</v>
      </c>
      <c r="I582" t="str">
        <f>VLOOKUP(A582,Medical_Examinations[],8,FALSE)</f>
        <v>Yes</v>
      </c>
      <c r="J582" t="str">
        <f>VLOOKUP(A582,Medical_Examinations[],9,FALSE)</f>
        <v>Overweight</v>
      </c>
      <c r="K582" t="str">
        <f>VLOOKUP(A582,Medical_Examinations[],10,FALSE)</f>
        <v>Prediabetes</v>
      </c>
      <c r="M582">
        <f>VLOOKUP(A582,Hospitalisation_Details__2[],4,FALSE)</f>
        <v>17043.34</v>
      </c>
      <c r="N582" t="str">
        <f>VLOOKUP(A582,Hospitalisation_Details__2[],5,FALSE)</f>
        <v>tier - 2</v>
      </c>
      <c r="O582" t="str">
        <f>VLOOKUP(A582,Hospitalisation_Details__2[],6,FALSE)</f>
        <v>tier - 3</v>
      </c>
      <c r="P582" t="str">
        <f>VLOOKUP(A582,Hospitalisation_Details__2[],7,FALSE)</f>
        <v>R1013</v>
      </c>
    </row>
    <row r="583" spans="1:16" x14ac:dyDescent="0.35">
      <c r="A583" t="str">
        <v>Id582</v>
      </c>
      <c r="B583" t="str">
        <f>VLOOKUP(A583,'Customer Names (2)'!A:B, 2,FALSE)</f>
        <v>Mr</v>
      </c>
      <c r="C583">
        <f>VLOOKUP(A583,Medical_Examinations[],2,FALSE)</f>
        <v>47.13</v>
      </c>
      <c r="D583">
        <f>VLOOKUP(A583,Medical_Examinations[],3,FALSE)</f>
        <v>8.6999999999999993</v>
      </c>
      <c r="E583" t="str">
        <f>VLOOKUP(A583,Medical_Examinations[],4,FALSE)</f>
        <v>No</v>
      </c>
      <c r="F583" t="str">
        <f>VLOOKUP(A583,Medical_Examinations[],5,FALSE)</f>
        <v>No</v>
      </c>
      <c r="G583" t="str">
        <f>VLOOKUP(A583,Medical_Examinations[],6,FALSE)</f>
        <v>No</v>
      </c>
      <c r="H583">
        <f>VLOOKUP(A583,Medical_Examinations[],7,FALSE)</f>
        <v>0</v>
      </c>
      <c r="I583" t="str">
        <f>VLOOKUP(A583,Medical_Examinations[],8,FALSE)</f>
        <v>No</v>
      </c>
      <c r="J583" t="str">
        <f>VLOOKUP(A583,Medical_Examinations[],9,FALSE)</f>
        <v>Obesity</v>
      </c>
      <c r="K583" t="str">
        <f>VLOOKUP(A583,Medical_Examinations[],10,FALSE)</f>
        <v>Diabetes</v>
      </c>
      <c r="M583">
        <f>VLOOKUP(A583,Hospitalisation_Details__2[],4,FALSE)</f>
        <v>17016.009999999998</v>
      </c>
      <c r="N583" t="str">
        <f>VLOOKUP(A583,Hospitalisation_Details__2[],5,FALSE)</f>
        <v>tier - 2</v>
      </c>
      <c r="O583" t="str">
        <f>VLOOKUP(A583,Hospitalisation_Details__2[],6,FALSE)</f>
        <v>tier - 2</v>
      </c>
      <c r="P583" t="str">
        <f>VLOOKUP(A583,Hospitalisation_Details__2[],7,FALSE)</f>
        <v>R1023</v>
      </c>
    </row>
    <row r="584" spans="1:16" x14ac:dyDescent="0.35">
      <c r="A584" t="str">
        <v>Id583</v>
      </c>
      <c r="B584" t="str">
        <f>VLOOKUP(A584,'Customer Names (2)'!A:B, 2,FALSE)</f>
        <v>Ms</v>
      </c>
      <c r="C584">
        <f>VLOOKUP(A584,Medical_Examinations[],2,FALSE)</f>
        <v>51.72</v>
      </c>
      <c r="D584">
        <f>VLOOKUP(A584,Medical_Examinations[],3,FALSE)</f>
        <v>5.09</v>
      </c>
      <c r="E584" t="str">
        <f>VLOOKUP(A584,Medical_Examinations[],4,FALSE)</f>
        <v>No</v>
      </c>
      <c r="F584" t="str">
        <f>VLOOKUP(A584,Medical_Examinations[],5,FALSE)</f>
        <v>No</v>
      </c>
      <c r="G584" t="str">
        <f>VLOOKUP(A584,Medical_Examinations[],6,FALSE)</f>
        <v>No</v>
      </c>
      <c r="H584">
        <f>VLOOKUP(A584,Medical_Examinations[],7,FALSE)</f>
        <v>0</v>
      </c>
      <c r="I584" t="str">
        <f>VLOOKUP(A584,Medical_Examinations[],8,FALSE)</f>
        <v>No</v>
      </c>
      <c r="J584" t="str">
        <f>VLOOKUP(A584,Medical_Examinations[],9,FALSE)</f>
        <v>Obesity</v>
      </c>
      <c r="K584" t="str">
        <f>VLOOKUP(A584,Medical_Examinations[],10,FALSE)</f>
        <v>Normal</v>
      </c>
      <c r="M584">
        <f>VLOOKUP(A584,Hospitalisation_Details__2[],4,FALSE)</f>
        <v>16990.55</v>
      </c>
      <c r="N584" t="str">
        <f>VLOOKUP(A584,Hospitalisation_Details__2[],5,FALSE)</f>
        <v>tier - 2</v>
      </c>
      <c r="O584" t="str">
        <f>VLOOKUP(A584,Hospitalisation_Details__2[],6,FALSE)</f>
        <v>tier - 3</v>
      </c>
      <c r="P584" t="str">
        <f>VLOOKUP(A584,Hospitalisation_Details__2[],7,FALSE)</f>
        <v>R1012</v>
      </c>
    </row>
    <row r="585" spans="1:16" x14ac:dyDescent="0.35">
      <c r="A585" t="str">
        <v>Id584</v>
      </c>
      <c r="B585" t="str">
        <f>VLOOKUP(A585,'Customer Names (2)'!A:B, 2,FALSE)</f>
        <v>Mr</v>
      </c>
      <c r="C585">
        <f>VLOOKUP(A585,Medical_Examinations[],2,FALSE)</f>
        <v>48.59</v>
      </c>
      <c r="D585">
        <f>VLOOKUP(A585,Medical_Examinations[],3,FALSE)</f>
        <v>5.57</v>
      </c>
      <c r="E585" t="str">
        <f>VLOOKUP(A585,Medical_Examinations[],4,FALSE)</f>
        <v>No</v>
      </c>
      <c r="F585" t="str">
        <f>VLOOKUP(A585,Medical_Examinations[],5,FALSE)</f>
        <v>No</v>
      </c>
      <c r="G585" t="str">
        <f>VLOOKUP(A585,Medical_Examinations[],6,FALSE)</f>
        <v>No</v>
      </c>
      <c r="H585">
        <f>VLOOKUP(A585,Medical_Examinations[],7,FALSE)</f>
        <v>0</v>
      </c>
      <c r="I585" t="str">
        <f>VLOOKUP(A585,Medical_Examinations[],8,FALSE)</f>
        <v>No</v>
      </c>
      <c r="J585" t="str">
        <f>VLOOKUP(A585,Medical_Examinations[],9,FALSE)</f>
        <v>Obesity</v>
      </c>
      <c r="K585" t="str">
        <f>VLOOKUP(A585,Medical_Examinations[],10,FALSE)</f>
        <v>Normal</v>
      </c>
      <c r="M585">
        <f>VLOOKUP(A585,Hospitalisation_Details__2[],4,FALSE)</f>
        <v>16921.09</v>
      </c>
      <c r="N585" t="str">
        <f>VLOOKUP(A585,Hospitalisation_Details__2[],5,FALSE)</f>
        <v>tier - 2</v>
      </c>
      <c r="O585" t="str">
        <f>VLOOKUP(A585,Hospitalisation_Details__2[],6,FALSE)</f>
        <v>tier - 3</v>
      </c>
      <c r="P585" t="str">
        <f>VLOOKUP(A585,Hospitalisation_Details__2[],7,FALSE)</f>
        <v>R1023</v>
      </c>
    </row>
    <row r="586" spans="1:16" x14ac:dyDescent="0.35">
      <c r="A586" t="str">
        <v>Id585</v>
      </c>
      <c r="B586" t="str">
        <f>VLOOKUP(A586,'Customer Names (2)'!A:B, 2,FALSE)</f>
        <v>Ms</v>
      </c>
      <c r="C586">
        <f>VLOOKUP(A586,Medical_Examinations[],2,FALSE)</f>
        <v>45.18</v>
      </c>
      <c r="D586">
        <f>VLOOKUP(A586,Medical_Examinations[],3,FALSE)</f>
        <v>10.87</v>
      </c>
      <c r="E586" t="str">
        <f>VLOOKUP(A586,Medical_Examinations[],4,FALSE)</f>
        <v>No</v>
      </c>
      <c r="F586" t="str">
        <f>VLOOKUP(A586,Medical_Examinations[],5,FALSE)</f>
        <v>No</v>
      </c>
      <c r="G586" t="str">
        <f>VLOOKUP(A586,Medical_Examinations[],6,FALSE)</f>
        <v>No</v>
      </c>
      <c r="H586">
        <f>VLOOKUP(A586,Medical_Examinations[],7,FALSE)</f>
        <v>0</v>
      </c>
      <c r="I586" t="str">
        <f>VLOOKUP(A586,Medical_Examinations[],8,FALSE)</f>
        <v>No</v>
      </c>
      <c r="J586" t="str">
        <f>VLOOKUP(A586,Medical_Examinations[],9,FALSE)</f>
        <v>Obesity</v>
      </c>
      <c r="K586" t="str">
        <f>VLOOKUP(A586,Medical_Examinations[],10,FALSE)</f>
        <v>Diabetes</v>
      </c>
      <c r="M586">
        <f>VLOOKUP(A586,Hospitalisation_Details__2[],4,FALSE)</f>
        <v>16903.5</v>
      </c>
      <c r="N586" t="str">
        <f>VLOOKUP(A586,Hospitalisation_Details__2[],5,FALSE)</f>
        <v>tier - 2</v>
      </c>
      <c r="O586" t="str">
        <f>VLOOKUP(A586,Hospitalisation_Details__2[],6,FALSE)</f>
        <v>tier - 3</v>
      </c>
      <c r="P586" t="str">
        <f>VLOOKUP(A586,Hospitalisation_Details__2[],7,FALSE)</f>
        <v>R1012</v>
      </c>
    </row>
    <row r="587" spans="1:16" x14ac:dyDescent="0.35">
      <c r="A587" t="str">
        <v>Id586</v>
      </c>
      <c r="B587" t="str">
        <f>VLOOKUP(A587,'Customer Names (2)'!A:B, 2,FALSE)</f>
        <v>Ms</v>
      </c>
      <c r="C587">
        <f>VLOOKUP(A587,Medical_Examinations[],2,FALSE)</f>
        <v>27.9</v>
      </c>
      <c r="D587">
        <f>VLOOKUP(A587,Medical_Examinations[],3,FALSE)</f>
        <v>6.02</v>
      </c>
      <c r="E587" t="str">
        <f>VLOOKUP(A587,Medical_Examinations[],4,FALSE)</f>
        <v>No</v>
      </c>
      <c r="F587" t="str">
        <f>VLOOKUP(A587,Medical_Examinations[],5,FALSE)</f>
        <v>No</v>
      </c>
      <c r="G587" t="str">
        <f>VLOOKUP(A587,Medical_Examinations[],6,FALSE)</f>
        <v>Yes</v>
      </c>
      <c r="H587">
        <f>VLOOKUP(A587,Medical_Examinations[],7,FALSE)</f>
        <v>1</v>
      </c>
      <c r="I587" t="str">
        <f>VLOOKUP(A587,Medical_Examinations[],8,FALSE)</f>
        <v>Yes</v>
      </c>
      <c r="J587" t="str">
        <f>VLOOKUP(A587,Medical_Examinations[],9,FALSE)</f>
        <v>Overweight</v>
      </c>
      <c r="K587" t="str">
        <f>VLOOKUP(A587,Medical_Examinations[],10,FALSE)</f>
        <v>Prediabetes</v>
      </c>
      <c r="M587">
        <f>VLOOKUP(A587,Hospitalisation_Details__2[],4,FALSE)</f>
        <v>16884.919999999998</v>
      </c>
      <c r="N587" t="str">
        <f>VLOOKUP(A587,Hospitalisation_Details__2[],5,FALSE)</f>
        <v>tier - 2</v>
      </c>
      <c r="O587" t="str">
        <f>VLOOKUP(A587,Hospitalisation_Details__2[],6,FALSE)</f>
        <v>tier - 2</v>
      </c>
      <c r="P587" t="str">
        <f>VLOOKUP(A587,Hospitalisation_Details__2[],7,FALSE)</f>
        <v>R1011</v>
      </c>
    </row>
    <row r="588" spans="1:16" x14ac:dyDescent="0.35">
      <c r="A588" t="str">
        <v>Id587</v>
      </c>
      <c r="B588" t="str">
        <f>VLOOKUP(A588,'Customer Names (2)'!A:B, 2,FALSE)</f>
        <v>Ms</v>
      </c>
      <c r="C588">
        <f>VLOOKUP(A588,Medical_Examinations[],2,FALSE)</f>
        <v>51.33</v>
      </c>
      <c r="D588">
        <f>VLOOKUP(A588,Medical_Examinations[],3,FALSE)</f>
        <v>7</v>
      </c>
      <c r="E588" t="str">
        <f>VLOOKUP(A588,Medical_Examinations[],4,FALSE)</f>
        <v>No</v>
      </c>
      <c r="F588" t="str">
        <f>VLOOKUP(A588,Medical_Examinations[],5,FALSE)</f>
        <v>No</v>
      </c>
      <c r="G588" t="str">
        <f>VLOOKUP(A588,Medical_Examinations[],6,FALSE)</f>
        <v>No</v>
      </c>
      <c r="H588">
        <f>VLOOKUP(A588,Medical_Examinations[],7,FALSE)</f>
        <v>0</v>
      </c>
      <c r="I588" t="str">
        <f>VLOOKUP(A588,Medical_Examinations[],8,FALSE)</f>
        <v>No</v>
      </c>
      <c r="J588" t="str">
        <f>VLOOKUP(A588,Medical_Examinations[],9,FALSE)</f>
        <v>Obesity</v>
      </c>
      <c r="K588" t="str">
        <f>VLOOKUP(A588,Medical_Examinations[],10,FALSE)</f>
        <v>Diabetes</v>
      </c>
      <c r="M588">
        <f>VLOOKUP(A588,Hospitalisation_Details__2[],4,FALSE)</f>
        <v>16841.32</v>
      </c>
      <c r="N588" t="str">
        <f>VLOOKUP(A588,Hospitalisation_Details__2[],5,FALSE)</f>
        <v>tier - 2</v>
      </c>
      <c r="O588" t="str">
        <f>VLOOKUP(A588,Hospitalisation_Details__2[],6,FALSE)</f>
        <v>tier - 3</v>
      </c>
      <c r="P588" t="str">
        <f>VLOOKUP(A588,Hospitalisation_Details__2[],7,FALSE)</f>
        <v>R1011</v>
      </c>
    </row>
    <row r="589" spans="1:16" x14ac:dyDescent="0.35">
      <c r="A589" t="str">
        <v>Id588</v>
      </c>
      <c r="B589" t="str">
        <f>VLOOKUP(A589,'Customer Names (2)'!A:B, 2,FALSE)</f>
        <v>Ms</v>
      </c>
      <c r="C589">
        <f>VLOOKUP(A589,Medical_Examinations[],2,FALSE)</f>
        <v>30.59</v>
      </c>
      <c r="D589">
        <f>VLOOKUP(A589,Medical_Examinations[],3,FALSE)</f>
        <v>5.56</v>
      </c>
      <c r="E589" t="str">
        <f>VLOOKUP(A589,Medical_Examinations[],4,FALSE)</f>
        <v>Yes</v>
      </c>
      <c r="F589" t="str">
        <f>VLOOKUP(A589,Medical_Examinations[],5,FALSE)</f>
        <v>No</v>
      </c>
      <c r="G589" t="str">
        <f>VLOOKUP(A589,Medical_Examinations[],6,FALSE)</f>
        <v>No</v>
      </c>
      <c r="H589">
        <f>VLOOKUP(A589,Medical_Examinations[],7,FALSE)</f>
        <v>1</v>
      </c>
      <c r="I589" t="str">
        <f>VLOOKUP(A589,Medical_Examinations[],8,FALSE)</f>
        <v>No</v>
      </c>
      <c r="J589" t="str">
        <f>VLOOKUP(A589,Medical_Examinations[],9,FALSE)</f>
        <v>Obesity</v>
      </c>
      <c r="K589" t="str">
        <f>VLOOKUP(A589,Medical_Examinations[],10,FALSE)</f>
        <v>Normal</v>
      </c>
      <c r="M589">
        <f>VLOOKUP(A589,Hospitalisation_Details__2[],4,FALSE)</f>
        <v>16796.41</v>
      </c>
      <c r="N589" t="str">
        <f>VLOOKUP(A589,Hospitalisation_Details__2[],5,FALSE)</f>
        <v>tier - 2</v>
      </c>
      <c r="O589" t="str">
        <f>VLOOKUP(A589,Hospitalisation_Details__2[],6,FALSE)</f>
        <v>tier - 3</v>
      </c>
      <c r="P589" t="str">
        <f>VLOOKUP(A589,Hospitalisation_Details__2[],7,FALSE)</f>
        <v>R1024</v>
      </c>
    </row>
    <row r="590" spans="1:16" x14ac:dyDescent="0.35">
      <c r="A590" t="str">
        <v>Id589</v>
      </c>
      <c r="B590" t="str">
        <f>VLOOKUP(A590,'Customer Names (2)'!A:B, 2,FALSE)</f>
        <v>Mrs</v>
      </c>
      <c r="C590">
        <f>VLOOKUP(A590,Medical_Examinations[],2,FALSE)</f>
        <v>39.229999999999997</v>
      </c>
      <c r="D590">
        <f>VLOOKUP(A590,Medical_Examinations[],3,FALSE)</f>
        <v>8.4499999999999993</v>
      </c>
      <c r="E590" t="str">
        <f>VLOOKUP(A590,Medical_Examinations[],4,FALSE)</f>
        <v>No</v>
      </c>
      <c r="F590" t="str">
        <f>VLOOKUP(A590,Medical_Examinations[],5,FALSE)</f>
        <v>No</v>
      </c>
      <c r="G590" t="str">
        <f>VLOOKUP(A590,Medical_Examinations[],6,FALSE)</f>
        <v>No</v>
      </c>
      <c r="H590">
        <f>VLOOKUP(A590,Medical_Examinations[],7,FALSE)</f>
        <v>0</v>
      </c>
      <c r="I590" t="str">
        <f>VLOOKUP(A590,Medical_Examinations[],8,FALSE)</f>
        <v>No</v>
      </c>
      <c r="J590" t="str">
        <f>VLOOKUP(A590,Medical_Examinations[],9,FALSE)</f>
        <v>Obesity</v>
      </c>
      <c r="K590" t="str">
        <f>VLOOKUP(A590,Medical_Examinations[],10,FALSE)</f>
        <v>Diabetes</v>
      </c>
      <c r="M590">
        <f>VLOOKUP(A590,Hospitalisation_Details__2[],4,FALSE)</f>
        <v>16779.400000000001</v>
      </c>
      <c r="N590" t="str">
        <f>VLOOKUP(A590,Hospitalisation_Details__2[],5,FALSE)</f>
        <v>tier - 2</v>
      </c>
      <c r="O590" t="str">
        <f>VLOOKUP(A590,Hospitalisation_Details__2[],6,FALSE)</f>
        <v>tier - 2</v>
      </c>
      <c r="P590" t="str">
        <f>VLOOKUP(A590,Hospitalisation_Details__2[],7,FALSE)</f>
        <v>R1026</v>
      </c>
    </row>
    <row r="591" spans="1:16" x14ac:dyDescent="0.35">
      <c r="A591" t="str">
        <v>Id590</v>
      </c>
      <c r="B591" t="str">
        <f>VLOOKUP(A591,'Customer Names (2)'!A:B, 2,FALSE)</f>
        <v>Ms</v>
      </c>
      <c r="C591">
        <f>VLOOKUP(A591,Medical_Examinations[],2,FALSE)</f>
        <v>19.094999999999999</v>
      </c>
      <c r="D591">
        <f>VLOOKUP(A591,Medical_Examinations[],3,FALSE)</f>
        <v>6.19</v>
      </c>
      <c r="E591" t="str">
        <f>VLOOKUP(A591,Medical_Examinations[],4,FALSE)</f>
        <v>No</v>
      </c>
      <c r="F591" t="str">
        <f>VLOOKUP(A591,Medical_Examinations[],5,FALSE)</f>
        <v>No</v>
      </c>
      <c r="G591" t="str">
        <f>VLOOKUP(A591,Medical_Examinations[],6,FALSE)</f>
        <v>No</v>
      </c>
      <c r="H591">
        <f>VLOOKUP(A591,Medical_Examinations[],7,FALSE)</f>
        <v>0</v>
      </c>
      <c r="I591" t="str">
        <f>VLOOKUP(A591,Medical_Examinations[],8,FALSE)</f>
        <v>Yes</v>
      </c>
      <c r="J591" t="str">
        <f>VLOOKUP(A591,Medical_Examinations[],9,FALSE)</f>
        <v>Normal Weight</v>
      </c>
      <c r="K591" t="str">
        <f>VLOOKUP(A591,Medical_Examinations[],10,FALSE)</f>
        <v>Prediabetes</v>
      </c>
      <c r="M591">
        <f>VLOOKUP(A591,Hospitalisation_Details__2[],4,FALSE)</f>
        <v>16776.3</v>
      </c>
      <c r="N591" t="str">
        <f>VLOOKUP(A591,Hospitalisation_Details__2[],5,FALSE)</f>
        <v>tier - 2</v>
      </c>
      <c r="O591" t="str">
        <f>VLOOKUP(A591,Hospitalisation_Details__2[],6,FALSE)</f>
        <v>tier - 2</v>
      </c>
      <c r="P591" t="str">
        <f>VLOOKUP(A591,Hospitalisation_Details__2[],7,FALSE)</f>
        <v>R1024</v>
      </c>
    </row>
    <row r="592" spans="1:16" x14ac:dyDescent="0.35">
      <c r="A592" t="str">
        <v>Id591</v>
      </c>
      <c r="B592" t="str">
        <f>VLOOKUP(A592,'Customer Names (2)'!A:B, 2,FALSE)</f>
        <v>Mr</v>
      </c>
      <c r="C592">
        <f>VLOOKUP(A592,Medical_Examinations[],2,FALSE)</f>
        <v>49.72</v>
      </c>
      <c r="D592">
        <f>VLOOKUP(A592,Medical_Examinations[],3,FALSE)</f>
        <v>7.71</v>
      </c>
      <c r="E592" t="str">
        <f>VLOOKUP(A592,Medical_Examinations[],4,FALSE)</f>
        <v>No</v>
      </c>
      <c r="F592" t="str">
        <f>VLOOKUP(A592,Medical_Examinations[],5,FALSE)</f>
        <v>No</v>
      </c>
      <c r="G592" t="str">
        <f>VLOOKUP(A592,Medical_Examinations[],6,FALSE)</f>
        <v>No</v>
      </c>
      <c r="H592">
        <f>VLOOKUP(A592,Medical_Examinations[],7,FALSE)</f>
        <v>0</v>
      </c>
      <c r="I592" t="str">
        <f>VLOOKUP(A592,Medical_Examinations[],8,FALSE)</f>
        <v>No</v>
      </c>
      <c r="J592" t="str">
        <f>VLOOKUP(A592,Medical_Examinations[],9,FALSE)</f>
        <v>Obesity</v>
      </c>
      <c r="K592" t="str">
        <f>VLOOKUP(A592,Medical_Examinations[],10,FALSE)</f>
        <v>Diabetes</v>
      </c>
      <c r="M592">
        <f>VLOOKUP(A592,Hospitalisation_Details__2[],4,FALSE)</f>
        <v>16770.990000000002</v>
      </c>
      <c r="N592" t="str">
        <f>VLOOKUP(A592,Hospitalisation_Details__2[],5,FALSE)</f>
        <v>tier - 2</v>
      </c>
      <c r="O592" t="str">
        <f>VLOOKUP(A592,Hospitalisation_Details__2[],6,FALSE)</f>
        <v>tier - 1</v>
      </c>
      <c r="P592" t="str">
        <f>VLOOKUP(A592,Hospitalisation_Details__2[],7,FALSE)</f>
        <v>R1012</v>
      </c>
    </row>
    <row r="593" spans="1:16" x14ac:dyDescent="0.35">
      <c r="A593" t="str">
        <v>Id592</v>
      </c>
      <c r="B593" t="str">
        <f>VLOOKUP(A593,'Customer Names (2)'!A:B, 2,FALSE)</f>
        <v>Ms</v>
      </c>
      <c r="C593">
        <f>VLOOKUP(A593,Medical_Examinations[],2,FALSE)</f>
        <v>21.754999999999999</v>
      </c>
      <c r="D593">
        <f>VLOOKUP(A593,Medical_Examinations[],3,FALSE)</f>
        <v>4.63</v>
      </c>
      <c r="E593" t="str">
        <f>VLOOKUP(A593,Medical_Examinations[],4,FALSE)</f>
        <v>No</v>
      </c>
      <c r="F593" t="str">
        <f>VLOOKUP(A593,Medical_Examinations[],5,FALSE)</f>
        <v>No</v>
      </c>
      <c r="G593" t="str">
        <f>VLOOKUP(A593,Medical_Examinations[],6,FALSE)</f>
        <v>Yes</v>
      </c>
      <c r="H593">
        <f>VLOOKUP(A593,Medical_Examinations[],7,FALSE)</f>
        <v>1</v>
      </c>
      <c r="I593" t="str">
        <f>VLOOKUP(A593,Medical_Examinations[],8,FALSE)</f>
        <v>Yes</v>
      </c>
      <c r="J593" t="str">
        <f>VLOOKUP(A593,Medical_Examinations[],9,FALSE)</f>
        <v>Normal Weight</v>
      </c>
      <c r="K593" t="str">
        <f>VLOOKUP(A593,Medical_Examinations[],10,FALSE)</f>
        <v>Normal</v>
      </c>
      <c r="M593">
        <f>VLOOKUP(A593,Hospitalisation_Details__2[],4,FALSE)</f>
        <v>16657.72</v>
      </c>
      <c r="N593" t="str">
        <f>VLOOKUP(A593,Hospitalisation_Details__2[],5,FALSE)</f>
        <v>tier - 2</v>
      </c>
      <c r="O593" t="str">
        <f>VLOOKUP(A593,Hospitalisation_Details__2[],6,FALSE)</f>
        <v>tier - 1</v>
      </c>
      <c r="P593" t="str">
        <f>VLOOKUP(A593,Hospitalisation_Details__2[],7,FALSE)</f>
        <v>R1024</v>
      </c>
    </row>
    <row r="594" spans="1:16" x14ac:dyDescent="0.35">
      <c r="A594" t="str">
        <v>Id593</v>
      </c>
      <c r="B594" t="str">
        <f>VLOOKUP(A594,'Customer Names (2)'!A:B, 2,FALSE)</f>
        <v>Ms</v>
      </c>
      <c r="C594">
        <f>VLOOKUP(A594,Medical_Examinations[],2,FALSE)</f>
        <v>48.39</v>
      </c>
      <c r="D594">
        <f>VLOOKUP(A594,Medical_Examinations[],3,FALSE)</f>
        <v>4.6100000000000003</v>
      </c>
      <c r="E594" t="str">
        <f>VLOOKUP(A594,Medical_Examinations[],4,FALSE)</f>
        <v>No</v>
      </c>
      <c r="F594" t="str">
        <f>VLOOKUP(A594,Medical_Examinations[],5,FALSE)</f>
        <v>No</v>
      </c>
      <c r="G594" t="str">
        <f>VLOOKUP(A594,Medical_Examinations[],6,FALSE)</f>
        <v>No</v>
      </c>
      <c r="H594">
        <f>VLOOKUP(A594,Medical_Examinations[],7,FALSE)</f>
        <v>0</v>
      </c>
      <c r="I594" t="str">
        <f>VLOOKUP(A594,Medical_Examinations[],8,FALSE)</f>
        <v>No</v>
      </c>
      <c r="J594" t="str">
        <f>VLOOKUP(A594,Medical_Examinations[],9,FALSE)</f>
        <v>Obesity</v>
      </c>
      <c r="K594" t="str">
        <f>VLOOKUP(A594,Medical_Examinations[],10,FALSE)</f>
        <v>Normal</v>
      </c>
      <c r="M594">
        <f>VLOOKUP(A594,Hospitalisation_Details__2[],4,FALSE)</f>
        <v>16631.61</v>
      </c>
      <c r="N594" t="str">
        <f>VLOOKUP(A594,Hospitalisation_Details__2[],5,FALSE)</f>
        <v>tier - 2</v>
      </c>
      <c r="O594" t="str">
        <f>VLOOKUP(A594,Hospitalisation_Details__2[],6,FALSE)</f>
        <v>tier - 1</v>
      </c>
      <c r="P594" t="str">
        <f>VLOOKUP(A594,Hospitalisation_Details__2[],7,FALSE)</f>
        <v>R1012</v>
      </c>
    </row>
    <row r="595" spans="1:16" x14ac:dyDescent="0.35">
      <c r="A595" t="str">
        <v>Id594</v>
      </c>
      <c r="B595" t="str">
        <f>VLOOKUP(A595,'Customer Names (2)'!A:B, 2,FALSE)</f>
        <v>Mrs</v>
      </c>
      <c r="C595">
        <f>VLOOKUP(A595,Medical_Examinations[],2,FALSE)</f>
        <v>47.15</v>
      </c>
      <c r="D595">
        <f>VLOOKUP(A595,Medical_Examinations[],3,FALSE)</f>
        <v>9.5299999999999994</v>
      </c>
      <c r="E595" t="str">
        <f>VLOOKUP(A595,Medical_Examinations[],4,FALSE)</f>
        <v>Yes</v>
      </c>
      <c r="F595" t="str">
        <f>VLOOKUP(A595,Medical_Examinations[],5,FALSE)</f>
        <v>No</v>
      </c>
      <c r="G595" t="str">
        <f>VLOOKUP(A595,Medical_Examinations[],6,FALSE)</f>
        <v>No</v>
      </c>
      <c r="H595">
        <f>VLOOKUP(A595,Medical_Examinations[],7,FALSE)</f>
        <v>1</v>
      </c>
      <c r="I595" t="str">
        <f>VLOOKUP(A595,Medical_Examinations[],8,FALSE)</f>
        <v>No</v>
      </c>
      <c r="J595" t="str">
        <f>VLOOKUP(A595,Medical_Examinations[],9,FALSE)</f>
        <v>Obesity</v>
      </c>
      <c r="K595" t="str">
        <f>VLOOKUP(A595,Medical_Examinations[],10,FALSE)</f>
        <v>Diabetes</v>
      </c>
      <c r="M595">
        <f>VLOOKUP(A595,Hospitalisation_Details__2[],4,FALSE)</f>
        <v>16602.18</v>
      </c>
      <c r="N595" t="str">
        <f>VLOOKUP(A595,Hospitalisation_Details__2[],5,FALSE)</f>
        <v>tier - 2</v>
      </c>
      <c r="O595" t="str">
        <f>VLOOKUP(A595,Hospitalisation_Details__2[],6,FALSE)</f>
        <v>tier - 1</v>
      </c>
      <c r="P595" t="str">
        <f>VLOOKUP(A595,Hospitalisation_Details__2[],7,FALSE)</f>
        <v>R1026</v>
      </c>
    </row>
    <row r="596" spans="1:16" x14ac:dyDescent="0.35">
      <c r="A596" t="str">
        <v>Id595</v>
      </c>
      <c r="B596" t="str">
        <f>VLOOKUP(A596,'Customer Names (2)'!A:B, 2,FALSE)</f>
        <v>Ms</v>
      </c>
      <c r="C596">
        <f>VLOOKUP(A596,Medical_Examinations[],2,FALSE)</f>
        <v>47.59</v>
      </c>
      <c r="D596">
        <f>VLOOKUP(A596,Medical_Examinations[],3,FALSE)</f>
        <v>11.43</v>
      </c>
      <c r="E596" t="str">
        <f>VLOOKUP(A596,Medical_Examinations[],4,FALSE)</f>
        <v>Yes</v>
      </c>
      <c r="F596" t="str">
        <f>VLOOKUP(A596,Medical_Examinations[],5,FALSE)</f>
        <v>No</v>
      </c>
      <c r="G596" t="str">
        <f>VLOOKUP(A596,Medical_Examinations[],6,FALSE)</f>
        <v>No</v>
      </c>
      <c r="H596">
        <f>VLOOKUP(A596,Medical_Examinations[],7,FALSE)</f>
        <v>2</v>
      </c>
      <c r="I596" t="str">
        <f>VLOOKUP(A596,Medical_Examinations[],8,FALSE)</f>
        <v>No</v>
      </c>
      <c r="J596" t="str">
        <f>VLOOKUP(A596,Medical_Examinations[],9,FALSE)</f>
        <v>Obesity</v>
      </c>
      <c r="K596" t="str">
        <f>VLOOKUP(A596,Medical_Examinations[],10,FALSE)</f>
        <v>Diabetes</v>
      </c>
      <c r="M596">
        <f>VLOOKUP(A596,Hospitalisation_Details__2[],4,FALSE)</f>
        <v>16600.16</v>
      </c>
      <c r="N596" t="str">
        <f>VLOOKUP(A596,Hospitalisation_Details__2[],5,FALSE)</f>
        <v>tier - 2</v>
      </c>
      <c r="O596" t="str">
        <f>VLOOKUP(A596,Hospitalisation_Details__2[],6,FALSE)</f>
        <v>tier - 2</v>
      </c>
      <c r="P596" t="str">
        <f>VLOOKUP(A596,Hospitalisation_Details__2[],7,FALSE)</f>
        <v>R1011</v>
      </c>
    </row>
    <row r="597" spans="1:16" x14ac:dyDescent="0.35">
      <c r="A597" t="str">
        <v>Id596</v>
      </c>
      <c r="B597" t="str">
        <f>VLOOKUP(A597,'Customer Names (2)'!A:B, 2,FALSE)</f>
        <v>Mr</v>
      </c>
      <c r="C597">
        <f>VLOOKUP(A597,Medical_Examinations[],2,FALSE)</f>
        <v>39.81</v>
      </c>
      <c r="D597">
        <f>VLOOKUP(A597,Medical_Examinations[],3,FALSE)</f>
        <v>7.65</v>
      </c>
      <c r="E597" t="str">
        <f>VLOOKUP(A597,Medical_Examinations[],4,FALSE)</f>
        <v>Yes</v>
      </c>
      <c r="F597" t="str">
        <f>VLOOKUP(A597,Medical_Examinations[],5,FALSE)</f>
        <v>No</v>
      </c>
      <c r="G597" t="str">
        <f>VLOOKUP(A597,Medical_Examinations[],6,FALSE)</f>
        <v>Yes</v>
      </c>
      <c r="H597">
        <f>VLOOKUP(A597,Medical_Examinations[],7,FALSE)</f>
        <v>1</v>
      </c>
      <c r="I597" t="str">
        <f>VLOOKUP(A597,Medical_Examinations[],8,FALSE)</f>
        <v>No</v>
      </c>
      <c r="J597" t="str">
        <f>VLOOKUP(A597,Medical_Examinations[],9,FALSE)</f>
        <v>Obesity</v>
      </c>
      <c r="K597" t="str">
        <f>VLOOKUP(A597,Medical_Examinations[],10,FALSE)</f>
        <v>Diabetes</v>
      </c>
      <c r="M597">
        <f>VLOOKUP(A597,Hospitalisation_Details__2[],4,FALSE)</f>
        <v>16587.96</v>
      </c>
      <c r="N597" t="str">
        <f>VLOOKUP(A597,Hospitalisation_Details__2[],5,FALSE)</f>
        <v>tier - 2</v>
      </c>
      <c r="O597" t="str">
        <f>VLOOKUP(A597,Hospitalisation_Details__2[],6,FALSE)</f>
        <v>tier - 2</v>
      </c>
      <c r="P597" t="str">
        <f>VLOOKUP(A597,Hospitalisation_Details__2[],7,FALSE)</f>
        <v>R1023</v>
      </c>
    </row>
    <row r="598" spans="1:16" x14ac:dyDescent="0.35">
      <c r="A598" t="str">
        <v>Id597</v>
      </c>
      <c r="B598" t="str">
        <f>VLOOKUP(A598,'Customer Names (2)'!A:B, 2,FALSE)</f>
        <v>Mr</v>
      </c>
      <c r="C598">
        <f>VLOOKUP(A598,Medical_Examinations[],2,FALSE)</f>
        <v>31.02</v>
      </c>
      <c r="D598">
        <f>VLOOKUP(A598,Medical_Examinations[],3,FALSE)</f>
        <v>5.87</v>
      </c>
      <c r="E598" t="str">
        <f>VLOOKUP(A598,Medical_Examinations[],4,FALSE)</f>
        <v>Yes</v>
      </c>
      <c r="F598" t="str">
        <f>VLOOKUP(A598,Medical_Examinations[],5,FALSE)</f>
        <v>No</v>
      </c>
      <c r="G598" t="str">
        <f>VLOOKUP(A598,Medical_Examinations[],6,FALSE)</f>
        <v>No</v>
      </c>
      <c r="H598">
        <f>VLOOKUP(A598,Medical_Examinations[],7,FALSE)</f>
        <v>0</v>
      </c>
      <c r="I598" t="str">
        <f>VLOOKUP(A598,Medical_Examinations[],8,FALSE)</f>
        <v>No</v>
      </c>
      <c r="J598" t="str">
        <f>VLOOKUP(A598,Medical_Examinations[],9,FALSE)</f>
        <v>Obesity</v>
      </c>
      <c r="K598" t="str">
        <f>VLOOKUP(A598,Medical_Examinations[],10,FALSE)</f>
        <v>Prediabetes</v>
      </c>
      <c r="M598">
        <f>VLOOKUP(A598,Hospitalisation_Details__2[],4,FALSE)</f>
        <v>16586.5</v>
      </c>
      <c r="N598" t="str">
        <f>VLOOKUP(A598,Hospitalisation_Details__2[],5,FALSE)</f>
        <v>tier - 2</v>
      </c>
      <c r="O598" t="str">
        <f>VLOOKUP(A598,Hospitalisation_Details__2[],6,FALSE)</f>
        <v>tier - 1</v>
      </c>
      <c r="P598" t="str">
        <f>VLOOKUP(A598,Hospitalisation_Details__2[],7,FALSE)</f>
        <v>R1013</v>
      </c>
    </row>
    <row r="599" spans="1:16" x14ac:dyDescent="0.35">
      <c r="A599" t="str">
        <v>Id598</v>
      </c>
      <c r="B599" t="str">
        <f>VLOOKUP(A599,'Customer Names (2)'!A:B, 2,FALSE)</f>
        <v>Ms</v>
      </c>
      <c r="C599">
        <f>VLOOKUP(A599,Medical_Examinations[],2,FALSE)</f>
        <v>24.75</v>
      </c>
      <c r="D599">
        <f>VLOOKUP(A599,Medical_Examinations[],3,FALSE)</f>
        <v>4.3600000000000003</v>
      </c>
      <c r="E599" t="str">
        <f>VLOOKUP(A599,Medical_Examinations[],4,FALSE)</f>
        <v>Yes</v>
      </c>
      <c r="F599" t="str">
        <f>VLOOKUP(A599,Medical_Examinations[],5,FALSE)</f>
        <v>No</v>
      </c>
      <c r="G599" t="str">
        <f>VLOOKUP(A599,Medical_Examinations[],6,FALSE)</f>
        <v>No</v>
      </c>
      <c r="H599">
        <f>VLOOKUP(A599,Medical_Examinations[],7,FALSE)</f>
        <v>1</v>
      </c>
      <c r="I599" t="str">
        <f>VLOOKUP(A599,Medical_Examinations[],8,FALSE)</f>
        <v>Yes</v>
      </c>
      <c r="J599" t="str">
        <f>VLOOKUP(A599,Medical_Examinations[],9,FALSE)</f>
        <v>Normal Weight</v>
      </c>
      <c r="K599" t="str">
        <f>VLOOKUP(A599,Medical_Examinations[],10,FALSE)</f>
        <v>Normal</v>
      </c>
      <c r="M599">
        <f>VLOOKUP(A599,Hospitalisation_Details__2[],4,FALSE)</f>
        <v>16577.78</v>
      </c>
      <c r="N599" t="str">
        <f>VLOOKUP(A599,Hospitalisation_Details__2[],5,FALSE)</f>
        <v>tier - 2</v>
      </c>
      <c r="O599" t="str">
        <f>VLOOKUP(A599,Hospitalisation_Details__2[],6,FALSE)</f>
        <v>tier - 1</v>
      </c>
      <c r="P599" t="str">
        <f>VLOOKUP(A599,Hospitalisation_Details__2[],7,FALSE)</f>
        <v>R1013</v>
      </c>
    </row>
    <row r="600" spans="1:16" x14ac:dyDescent="0.35">
      <c r="A600" t="str">
        <v>Id599</v>
      </c>
      <c r="B600" t="str">
        <f>VLOOKUP(A600,'Customer Names (2)'!A:B, 2,FALSE)</f>
        <v>Ms</v>
      </c>
      <c r="C600">
        <f>VLOOKUP(A600,Medical_Examinations[],2,FALSE)</f>
        <v>30.114999999999998</v>
      </c>
      <c r="D600">
        <f>VLOOKUP(A600,Medical_Examinations[],3,FALSE)</f>
        <v>10.119999999999999</v>
      </c>
      <c r="E600" t="str">
        <f>VLOOKUP(A600,Medical_Examinations[],4,FALSE)</f>
        <v>No</v>
      </c>
      <c r="F600" t="str">
        <f>VLOOKUP(A600,Medical_Examinations[],5,FALSE)</f>
        <v>No</v>
      </c>
      <c r="G600" t="str">
        <f>VLOOKUP(A600,Medical_Examinations[],6,FALSE)</f>
        <v>No</v>
      </c>
      <c r="H600">
        <f>VLOOKUP(A600,Medical_Examinations[],7,FALSE)</f>
        <v>3</v>
      </c>
      <c r="I600" t="str">
        <f>VLOOKUP(A600,Medical_Examinations[],8,FALSE)</f>
        <v>No</v>
      </c>
      <c r="J600" t="str">
        <f>VLOOKUP(A600,Medical_Examinations[],9,FALSE)</f>
        <v>Obesity</v>
      </c>
      <c r="K600" t="str">
        <f>VLOOKUP(A600,Medical_Examinations[],10,FALSE)</f>
        <v>Diabetes</v>
      </c>
      <c r="M600">
        <f>VLOOKUP(A600,Hospitalisation_Details__2[],4,FALSE)</f>
        <v>16455.71</v>
      </c>
      <c r="N600" t="str">
        <f>VLOOKUP(A600,Hospitalisation_Details__2[],5,FALSE)</f>
        <v>tier - 2</v>
      </c>
      <c r="O600" t="str">
        <f>VLOOKUP(A600,Hospitalisation_Details__2[],6,FALSE)</f>
        <v>tier - 2</v>
      </c>
      <c r="P600" t="str">
        <f>VLOOKUP(A600,Hospitalisation_Details__2[],7,FALSE)</f>
        <v>R1012</v>
      </c>
    </row>
    <row r="601" spans="1:16" x14ac:dyDescent="0.35">
      <c r="A601" t="str">
        <v>Id600</v>
      </c>
      <c r="B601" t="str">
        <f>VLOOKUP(A601,'Customer Names (2)'!A:B, 2,FALSE)</f>
        <v>Mr</v>
      </c>
      <c r="C601">
        <f>VLOOKUP(A601,Medical_Examinations[],2,FALSE)</f>
        <v>26.03</v>
      </c>
      <c r="D601">
        <f>VLOOKUP(A601,Medical_Examinations[],3,FALSE)</f>
        <v>4.01</v>
      </c>
      <c r="E601" t="str">
        <f>VLOOKUP(A601,Medical_Examinations[],4,FALSE)</f>
        <v>No</v>
      </c>
      <c r="F601" t="str">
        <f>VLOOKUP(A601,Medical_Examinations[],5,FALSE)</f>
        <v>No</v>
      </c>
      <c r="G601" t="str">
        <f>VLOOKUP(A601,Medical_Examinations[],6,FALSE)</f>
        <v>Yes</v>
      </c>
      <c r="H601">
        <f>VLOOKUP(A601,Medical_Examinations[],7,FALSE)</f>
        <v>1</v>
      </c>
      <c r="I601" t="str">
        <f>VLOOKUP(A601,Medical_Examinations[],8,FALSE)</f>
        <v>Yes</v>
      </c>
      <c r="J601" t="str">
        <f>VLOOKUP(A601,Medical_Examinations[],9,FALSE)</f>
        <v>Overweight</v>
      </c>
      <c r="K601" t="str">
        <f>VLOOKUP(A601,Medical_Examinations[],10,FALSE)</f>
        <v>Normal</v>
      </c>
      <c r="M601">
        <f>VLOOKUP(A601,Hospitalisation_Details__2[],4,FALSE)</f>
        <v>16450.89</v>
      </c>
      <c r="N601" t="str">
        <f>VLOOKUP(A601,Hospitalisation_Details__2[],5,FALSE)</f>
        <v>tier - 2</v>
      </c>
      <c r="O601" t="str">
        <f>VLOOKUP(A601,Hospitalisation_Details__2[],6,FALSE)</f>
        <v>tier - 1</v>
      </c>
      <c r="P601" t="str">
        <f>VLOOKUP(A601,Hospitalisation_Details__2[],7,FALSE)</f>
        <v>R1012</v>
      </c>
    </row>
    <row r="602" spans="1:16" x14ac:dyDescent="0.35">
      <c r="A602" t="str">
        <v>Id601</v>
      </c>
      <c r="B602" t="str">
        <f>VLOOKUP(A602,'Customer Names (2)'!A:B, 2,FALSE)</f>
        <v>Ms</v>
      </c>
      <c r="C602">
        <f>VLOOKUP(A602,Medical_Examinations[],2,FALSE)</f>
        <v>20.045000000000002</v>
      </c>
      <c r="D602">
        <f>VLOOKUP(A602,Medical_Examinations[],3,FALSE)</f>
        <v>4.7699999999999996</v>
      </c>
      <c r="E602" t="str">
        <f>VLOOKUP(A602,Medical_Examinations[],4,FALSE)</f>
        <v>Yes</v>
      </c>
      <c r="F602" t="str">
        <f>VLOOKUP(A602,Medical_Examinations[],5,FALSE)</f>
        <v>No</v>
      </c>
      <c r="G602" t="str">
        <f>VLOOKUP(A602,Medical_Examinations[],6,FALSE)</f>
        <v>No</v>
      </c>
      <c r="H602">
        <f>VLOOKUP(A602,Medical_Examinations[],7,FALSE)</f>
        <v>1</v>
      </c>
      <c r="I602" t="str">
        <f>VLOOKUP(A602,Medical_Examinations[],8,FALSE)</f>
        <v>Yes</v>
      </c>
      <c r="J602" t="str">
        <f>VLOOKUP(A602,Medical_Examinations[],9,FALSE)</f>
        <v>Normal Weight</v>
      </c>
      <c r="K602" t="str">
        <f>VLOOKUP(A602,Medical_Examinations[],10,FALSE)</f>
        <v>Normal</v>
      </c>
      <c r="M602">
        <f>VLOOKUP(A602,Hospitalisation_Details__2[],4,FALSE)</f>
        <v>16420.490000000002</v>
      </c>
      <c r="N602" t="str">
        <f>VLOOKUP(A602,Hospitalisation_Details__2[],5,FALSE)</f>
        <v>tier - 2</v>
      </c>
      <c r="O602" t="str">
        <f>VLOOKUP(A602,Hospitalisation_Details__2[],6,FALSE)</f>
        <v>tier - 3</v>
      </c>
      <c r="P602" t="str">
        <f>VLOOKUP(A602,Hospitalisation_Details__2[],7,FALSE)</f>
        <v>R1012</v>
      </c>
    </row>
    <row r="603" spans="1:16" x14ac:dyDescent="0.35">
      <c r="A603" t="str">
        <v>Id602</v>
      </c>
      <c r="B603" t="str">
        <f>VLOOKUP(A603,'Customer Names (2)'!A:B, 2,FALSE)</f>
        <v>Mrs</v>
      </c>
      <c r="C603">
        <f>VLOOKUP(A603,Medical_Examinations[],2,FALSE)</f>
        <v>40.24</v>
      </c>
      <c r="D603">
        <f>VLOOKUP(A603,Medical_Examinations[],3,FALSE)</f>
        <v>6.83</v>
      </c>
      <c r="E603" t="str">
        <f>VLOOKUP(A603,Medical_Examinations[],4,FALSE)</f>
        <v>No</v>
      </c>
      <c r="F603" t="str">
        <f>VLOOKUP(A603,Medical_Examinations[],5,FALSE)</f>
        <v>No</v>
      </c>
      <c r="G603" t="str">
        <f>VLOOKUP(A603,Medical_Examinations[],6,FALSE)</f>
        <v>No</v>
      </c>
      <c r="H603">
        <f>VLOOKUP(A603,Medical_Examinations[],7,FALSE)</f>
        <v>0</v>
      </c>
      <c r="I603" t="str">
        <f>VLOOKUP(A603,Medical_Examinations[],8,FALSE)</f>
        <v>No</v>
      </c>
      <c r="J603" t="str">
        <f>VLOOKUP(A603,Medical_Examinations[],9,FALSE)</f>
        <v>Obesity</v>
      </c>
      <c r="K603" t="str">
        <f>VLOOKUP(A603,Medical_Examinations[],10,FALSE)</f>
        <v>Diabetes</v>
      </c>
      <c r="M603">
        <f>VLOOKUP(A603,Hospitalisation_Details__2[],4,FALSE)</f>
        <v>16351.42</v>
      </c>
      <c r="N603" t="str">
        <f>VLOOKUP(A603,Hospitalisation_Details__2[],5,FALSE)</f>
        <v>tier - 2</v>
      </c>
      <c r="O603" t="str">
        <f>VLOOKUP(A603,Hospitalisation_Details__2[],6,FALSE)</f>
        <v>tier - 3</v>
      </c>
      <c r="P603" t="str">
        <f>VLOOKUP(A603,Hospitalisation_Details__2[],7,FALSE)</f>
        <v>R1026</v>
      </c>
    </row>
    <row r="604" spans="1:16" x14ac:dyDescent="0.35">
      <c r="A604" t="str">
        <v>Id603</v>
      </c>
      <c r="B604" t="str">
        <f>VLOOKUP(A604,'Customer Names (2)'!A:B, 2,FALSE)</f>
        <v>Mrs</v>
      </c>
      <c r="C604">
        <f>VLOOKUP(A604,Medical_Examinations[],2,FALSE)</f>
        <v>43.15</v>
      </c>
      <c r="D604">
        <f>VLOOKUP(A604,Medical_Examinations[],3,FALSE)</f>
        <v>6.14</v>
      </c>
      <c r="E604" t="str">
        <f>VLOOKUP(A604,Medical_Examinations[],4,FALSE)</f>
        <v>Yes</v>
      </c>
      <c r="F604" t="str">
        <f>VLOOKUP(A604,Medical_Examinations[],5,FALSE)</f>
        <v>No</v>
      </c>
      <c r="G604" t="str">
        <f>VLOOKUP(A604,Medical_Examinations[],6,FALSE)</f>
        <v>Yes</v>
      </c>
      <c r="H604">
        <f>VLOOKUP(A604,Medical_Examinations[],7,FALSE)</f>
        <v>1</v>
      </c>
      <c r="I604" t="str">
        <f>VLOOKUP(A604,Medical_Examinations[],8,FALSE)</f>
        <v>No</v>
      </c>
      <c r="J604" t="str">
        <f>VLOOKUP(A604,Medical_Examinations[],9,FALSE)</f>
        <v>Obesity</v>
      </c>
      <c r="K604" t="str">
        <f>VLOOKUP(A604,Medical_Examinations[],10,FALSE)</f>
        <v>Prediabetes</v>
      </c>
      <c r="M604">
        <f>VLOOKUP(A604,Hospitalisation_Details__2[],4,FALSE)</f>
        <v>16311.05</v>
      </c>
      <c r="N604" t="str">
        <f>VLOOKUP(A604,Hospitalisation_Details__2[],5,FALSE)</f>
        <v>tier - 2</v>
      </c>
      <c r="O604" t="str">
        <f>VLOOKUP(A604,Hospitalisation_Details__2[],6,FALSE)</f>
        <v>tier - 3</v>
      </c>
      <c r="P604" t="str">
        <f>VLOOKUP(A604,Hospitalisation_Details__2[],7,FALSE)</f>
        <v>R1026</v>
      </c>
    </row>
    <row r="605" spans="1:16" x14ac:dyDescent="0.35">
      <c r="A605" t="str">
        <v>Id604</v>
      </c>
      <c r="B605" t="str">
        <f>VLOOKUP(A605,'Customer Names (2)'!A:B, 2,FALSE)</f>
        <v>Mr</v>
      </c>
      <c r="C605">
        <f>VLOOKUP(A605,Medical_Examinations[],2,FALSE)</f>
        <v>27.7</v>
      </c>
      <c r="D605">
        <f>VLOOKUP(A605,Medical_Examinations[],3,FALSE)</f>
        <v>5.6</v>
      </c>
      <c r="E605" t="str">
        <f>VLOOKUP(A605,Medical_Examinations[],4,FALSE)</f>
        <v>No</v>
      </c>
      <c r="F605" t="str">
        <f>VLOOKUP(A605,Medical_Examinations[],5,FALSE)</f>
        <v>No</v>
      </c>
      <c r="G605" t="str">
        <f>VLOOKUP(A605,Medical_Examinations[],6,FALSE)</f>
        <v>Yes</v>
      </c>
      <c r="H605">
        <f>VLOOKUP(A605,Medical_Examinations[],7,FALSE)</f>
        <v>1</v>
      </c>
      <c r="I605" t="str">
        <f>VLOOKUP(A605,Medical_Examinations[],8,FALSE)</f>
        <v>Yes</v>
      </c>
      <c r="J605" t="str">
        <f>VLOOKUP(A605,Medical_Examinations[],9,FALSE)</f>
        <v>Overweight</v>
      </c>
      <c r="K605" t="str">
        <f>VLOOKUP(A605,Medical_Examinations[],10,FALSE)</f>
        <v>Normal</v>
      </c>
      <c r="M605">
        <f>VLOOKUP(A605,Hospitalisation_Details__2[],4,FALSE)</f>
        <v>16297.85</v>
      </c>
      <c r="N605" t="str">
        <f>VLOOKUP(A605,Hospitalisation_Details__2[],5,FALSE)</f>
        <v>tier - 2</v>
      </c>
      <c r="O605" t="str">
        <f>VLOOKUP(A605,Hospitalisation_Details__2[],6,FALSE)</f>
        <v>tier - 3</v>
      </c>
      <c r="P605" t="str">
        <f>VLOOKUP(A605,Hospitalisation_Details__2[],7,FALSE)</f>
        <v>R1011</v>
      </c>
    </row>
    <row r="606" spans="1:16" x14ac:dyDescent="0.35">
      <c r="A606" t="str">
        <v>Id605</v>
      </c>
      <c r="B606" t="str">
        <f>VLOOKUP(A606,'Customer Names (2)'!A:B, 2,FALSE)</f>
        <v>Mr</v>
      </c>
      <c r="C606">
        <f>VLOOKUP(A606,Medical_Examinations[],2,FALSE)</f>
        <v>45.68</v>
      </c>
      <c r="D606">
        <f>VLOOKUP(A606,Medical_Examinations[],3,FALSE)</f>
        <v>4.8</v>
      </c>
      <c r="E606" t="str">
        <f>VLOOKUP(A606,Medical_Examinations[],4,FALSE)</f>
        <v>No</v>
      </c>
      <c r="F606" t="str">
        <f>VLOOKUP(A606,Medical_Examinations[],5,FALSE)</f>
        <v>No</v>
      </c>
      <c r="G606" t="str">
        <f>VLOOKUP(A606,Medical_Examinations[],6,FALSE)</f>
        <v>No</v>
      </c>
      <c r="H606">
        <f>VLOOKUP(A606,Medical_Examinations[],7,FALSE)</f>
        <v>2</v>
      </c>
      <c r="I606" t="str">
        <f>VLOOKUP(A606,Medical_Examinations[],8,FALSE)</f>
        <v>No</v>
      </c>
      <c r="J606" t="str">
        <f>VLOOKUP(A606,Medical_Examinations[],9,FALSE)</f>
        <v>Obesity</v>
      </c>
      <c r="K606" t="str">
        <f>VLOOKUP(A606,Medical_Examinations[],10,FALSE)</f>
        <v>Normal</v>
      </c>
      <c r="M606">
        <f>VLOOKUP(A606,Hospitalisation_Details__2[],4,FALSE)</f>
        <v>16267.32</v>
      </c>
      <c r="N606" t="str">
        <f>VLOOKUP(A606,Hospitalisation_Details__2[],5,FALSE)</f>
        <v>tier - 2</v>
      </c>
      <c r="O606" t="str">
        <f>VLOOKUP(A606,Hospitalisation_Details__2[],6,FALSE)</f>
        <v>tier - 2</v>
      </c>
      <c r="P606" t="str">
        <f>VLOOKUP(A606,Hospitalisation_Details__2[],7,FALSE)</f>
        <v>R1023</v>
      </c>
    </row>
    <row r="607" spans="1:16" x14ac:dyDescent="0.35">
      <c r="A607" t="str">
        <v>Id606</v>
      </c>
      <c r="B607" t="str">
        <f>VLOOKUP(A607,'Customer Names (2)'!A:B, 2,FALSE)</f>
        <v>Mr</v>
      </c>
      <c r="C607">
        <f>VLOOKUP(A607,Medical_Examinations[],2,FALSE)</f>
        <v>27.3</v>
      </c>
      <c r="D607">
        <f>VLOOKUP(A607,Medical_Examinations[],3,FALSE)</f>
        <v>11.89</v>
      </c>
      <c r="E607" t="str">
        <f>VLOOKUP(A607,Medical_Examinations[],4,FALSE)</f>
        <v>No</v>
      </c>
      <c r="F607" t="str">
        <f>VLOOKUP(A607,Medical_Examinations[],5,FALSE)</f>
        <v>No</v>
      </c>
      <c r="G607" t="str">
        <f>VLOOKUP(A607,Medical_Examinations[],6,FALSE)</f>
        <v>No</v>
      </c>
      <c r="H607">
        <f>VLOOKUP(A607,Medical_Examinations[],7,FALSE)</f>
        <v>0</v>
      </c>
      <c r="I607" t="str">
        <f>VLOOKUP(A607,Medical_Examinations[],8,FALSE)</f>
        <v>Yes</v>
      </c>
      <c r="J607" t="str">
        <f>VLOOKUP(A607,Medical_Examinations[],9,FALSE)</f>
        <v>Overweight</v>
      </c>
      <c r="K607" t="str">
        <f>VLOOKUP(A607,Medical_Examinations[],10,FALSE)</f>
        <v>Diabetes</v>
      </c>
      <c r="M607">
        <f>VLOOKUP(A607,Hospitalisation_Details__2[],4,FALSE)</f>
        <v>16232.85</v>
      </c>
      <c r="N607" t="str">
        <f>VLOOKUP(A607,Hospitalisation_Details__2[],5,FALSE)</f>
        <v>tier - 2</v>
      </c>
      <c r="O607" t="str">
        <f>VLOOKUP(A607,Hospitalisation_Details__2[],6,FALSE)</f>
        <v>tier - 1</v>
      </c>
      <c r="P607" t="str">
        <f>VLOOKUP(A607,Hospitalisation_Details__2[],7,FALSE)</f>
        <v>R1011</v>
      </c>
    </row>
    <row r="608" spans="1:16" x14ac:dyDescent="0.35">
      <c r="A608" t="str">
        <v>Id607</v>
      </c>
      <c r="B608" t="str">
        <f>VLOOKUP(A608,'Customer Names (2)'!A:B, 2,FALSE)</f>
        <v>Mr</v>
      </c>
      <c r="C608">
        <f>VLOOKUP(A608,Medical_Examinations[],2,FALSE)</f>
        <v>54.45</v>
      </c>
      <c r="D608">
        <f>VLOOKUP(A608,Medical_Examinations[],3,FALSE)</f>
        <v>4.7300000000000004</v>
      </c>
      <c r="E608" t="str">
        <f>VLOOKUP(A608,Medical_Examinations[],4,FALSE)</f>
        <v>Yes</v>
      </c>
      <c r="F608" t="str">
        <f>VLOOKUP(A608,Medical_Examinations[],5,FALSE)</f>
        <v>No</v>
      </c>
      <c r="G608" t="str">
        <f>VLOOKUP(A608,Medical_Examinations[],6,FALSE)</f>
        <v>No</v>
      </c>
      <c r="H608">
        <f>VLOOKUP(A608,Medical_Examinations[],7,FALSE)</f>
        <v>1</v>
      </c>
      <c r="I608" t="str">
        <f>VLOOKUP(A608,Medical_Examinations[],8,FALSE)</f>
        <v>No</v>
      </c>
      <c r="J608" t="str">
        <f>VLOOKUP(A608,Medical_Examinations[],9,FALSE)</f>
        <v>Obesity</v>
      </c>
      <c r="K608" t="str">
        <f>VLOOKUP(A608,Medical_Examinations[],10,FALSE)</f>
        <v>Normal</v>
      </c>
      <c r="M608">
        <f>VLOOKUP(A608,Hospitalisation_Details__2[],4,FALSE)</f>
        <v>16205.88</v>
      </c>
      <c r="N608" t="str">
        <f>VLOOKUP(A608,Hospitalisation_Details__2[],5,FALSE)</f>
        <v>tier - 2</v>
      </c>
      <c r="O608" t="str">
        <f>VLOOKUP(A608,Hospitalisation_Details__2[],6,FALSE)</f>
        <v>tier - 1</v>
      </c>
      <c r="P608" t="str">
        <f>VLOOKUP(A608,Hospitalisation_Details__2[],7,FALSE)</f>
        <v>R1012</v>
      </c>
    </row>
    <row r="609" spans="1:16" x14ac:dyDescent="0.35">
      <c r="A609" t="str">
        <v>Id608</v>
      </c>
      <c r="B609" t="str">
        <f>VLOOKUP(A609,'Customer Names (2)'!A:B, 2,FALSE)</f>
        <v>Mr</v>
      </c>
      <c r="C609">
        <f>VLOOKUP(A609,Medical_Examinations[],2,FALSE)</f>
        <v>54.43</v>
      </c>
      <c r="D609">
        <f>VLOOKUP(A609,Medical_Examinations[],3,FALSE)</f>
        <v>4.6100000000000003</v>
      </c>
      <c r="E609" t="str">
        <f>VLOOKUP(A609,Medical_Examinations[],4,FALSE)</f>
        <v>Yes</v>
      </c>
      <c r="F609" t="str">
        <f>VLOOKUP(A609,Medical_Examinations[],5,FALSE)</f>
        <v>No</v>
      </c>
      <c r="G609" t="str">
        <f>VLOOKUP(A609,Medical_Examinations[],6,FALSE)</f>
        <v>No</v>
      </c>
      <c r="H609">
        <f>VLOOKUP(A609,Medical_Examinations[],7,FALSE)</f>
        <v>1</v>
      </c>
      <c r="I609" t="str">
        <f>VLOOKUP(A609,Medical_Examinations[],8,FALSE)</f>
        <v>No</v>
      </c>
      <c r="J609" t="str">
        <f>VLOOKUP(A609,Medical_Examinations[],9,FALSE)</f>
        <v>Obesity</v>
      </c>
      <c r="K609" t="str">
        <f>VLOOKUP(A609,Medical_Examinations[],10,FALSE)</f>
        <v>Normal</v>
      </c>
      <c r="M609">
        <f>VLOOKUP(A609,Hospitalisation_Details__2[],4,FALSE)</f>
        <v>16199.1</v>
      </c>
      <c r="N609" t="str">
        <f>VLOOKUP(A609,Hospitalisation_Details__2[],5,FALSE)</f>
        <v>tier - 2</v>
      </c>
      <c r="O609" t="str">
        <f>VLOOKUP(A609,Hospitalisation_Details__2[],6,FALSE)</f>
        <v>tier - 2</v>
      </c>
      <c r="P609" t="str">
        <f>VLOOKUP(A609,Hospitalisation_Details__2[],7,FALSE)</f>
        <v>R1012</v>
      </c>
    </row>
    <row r="610" spans="1:16" x14ac:dyDescent="0.35">
      <c r="A610" t="str">
        <v>Id609</v>
      </c>
      <c r="B610" t="str">
        <f>VLOOKUP(A610,'Customer Names (2)'!A:B, 2,FALSE)</f>
        <v>Mr</v>
      </c>
      <c r="C610">
        <f>VLOOKUP(A610,Medical_Examinations[],2,FALSE)</f>
        <v>48.01</v>
      </c>
      <c r="D610">
        <f>VLOOKUP(A610,Medical_Examinations[],3,FALSE)</f>
        <v>7.3</v>
      </c>
      <c r="E610" t="str">
        <f>VLOOKUP(A610,Medical_Examinations[],4,FALSE)</f>
        <v>No</v>
      </c>
      <c r="F610" t="str">
        <f>VLOOKUP(A610,Medical_Examinations[],5,FALSE)</f>
        <v>No</v>
      </c>
      <c r="G610" t="str">
        <f>VLOOKUP(A610,Medical_Examinations[],6,FALSE)</f>
        <v>No</v>
      </c>
      <c r="H610">
        <f>VLOOKUP(A610,Medical_Examinations[],7,FALSE)</f>
        <v>0</v>
      </c>
      <c r="I610" t="str">
        <f>VLOOKUP(A610,Medical_Examinations[],8,FALSE)</f>
        <v>No</v>
      </c>
      <c r="J610" t="str">
        <f>VLOOKUP(A610,Medical_Examinations[],9,FALSE)</f>
        <v>Obesity</v>
      </c>
      <c r="K610" t="str">
        <f>VLOOKUP(A610,Medical_Examinations[],10,FALSE)</f>
        <v>Diabetes</v>
      </c>
      <c r="M610">
        <f>VLOOKUP(A610,Hospitalisation_Details__2[],4,FALSE)</f>
        <v>16190.97</v>
      </c>
      <c r="N610" t="str">
        <f>VLOOKUP(A610,Hospitalisation_Details__2[],5,FALSE)</f>
        <v>tier - 2</v>
      </c>
      <c r="O610" t="str">
        <f>VLOOKUP(A610,Hospitalisation_Details__2[],6,FALSE)</f>
        <v>tier - 3</v>
      </c>
      <c r="P610" t="str">
        <f>VLOOKUP(A610,Hospitalisation_Details__2[],7,FALSE)</f>
        <v>R1012</v>
      </c>
    </row>
    <row r="611" spans="1:16" x14ac:dyDescent="0.35">
      <c r="A611" t="str">
        <v>Id610</v>
      </c>
      <c r="B611" t="str">
        <f>VLOOKUP(A611,'Customer Names (2)'!A:B, 2,FALSE)</f>
        <v>Mrs</v>
      </c>
      <c r="C611">
        <f>VLOOKUP(A611,Medical_Examinations[],2,FALSE)</f>
        <v>48.32</v>
      </c>
      <c r="D611">
        <f>VLOOKUP(A611,Medical_Examinations[],3,FALSE)</f>
        <v>5.88</v>
      </c>
      <c r="E611" t="str">
        <f>VLOOKUP(A611,Medical_Examinations[],4,FALSE)</f>
        <v>No</v>
      </c>
      <c r="F611" t="str">
        <f>VLOOKUP(A611,Medical_Examinations[],5,FALSE)</f>
        <v>No</v>
      </c>
      <c r="G611" t="str">
        <f>VLOOKUP(A611,Medical_Examinations[],6,FALSE)</f>
        <v>No</v>
      </c>
      <c r="H611">
        <f>VLOOKUP(A611,Medical_Examinations[],7,FALSE)</f>
        <v>0</v>
      </c>
      <c r="I611" t="str">
        <f>VLOOKUP(A611,Medical_Examinations[],8,FALSE)</f>
        <v>No</v>
      </c>
      <c r="J611" t="str">
        <f>VLOOKUP(A611,Medical_Examinations[],9,FALSE)</f>
        <v>Obesity</v>
      </c>
      <c r="K611" t="str">
        <f>VLOOKUP(A611,Medical_Examinations[],10,FALSE)</f>
        <v>Prediabetes</v>
      </c>
      <c r="M611">
        <f>VLOOKUP(A611,Hospitalisation_Details__2[],4,FALSE)</f>
        <v>16152.04</v>
      </c>
      <c r="N611" t="str">
        <f>VLOOKUP(A611,Hospitalisation_Details__2[],5,FALSE)</f>
        <v>tier - 2</v>
      </c>
      <c r="O611" t="str">
        <f>VLOOKUP(A611,Hospitalisation_Details__2[],6,FALSE)</f>
        <v>tier - 1</v>
      </c>
      <c r="P611" t="str">
        <f>VLOOKUP(A611,Hospitalisation_Details__2[],7,FALSE)</f>
        <v>R1026</v>
      </c>
    </row>
    <row r="612" spans="1:16" x14ac:dyDescent="0.35">
      <c r="A612" t="str">
        <v>Id611</v>
      </c>
      <c r="B612" t="str">
        <f>VLOOKUP(A612,'Customer Names (2)'!A:B, 2,FALSE)</f>
        <v>Mr</v>
      </c>
      <c r="C612">
        <f>VLOOKUP(A612,Medical_Examinations[],2,FALSE)</f>
        <v>22.895</v>
      </c>
      <c r="D612">
        <f>VLOOKUP(A612,Medical_Examinations[],3,FALSE)</f>
        <v>4.0599999999999996</v>
      </c>
      <c r="E612" t="str">
        <f>VLOOKUP(A612,Medical_Examinations[],4,FALSE)</f>
        <v>No</v>
      </c>
      <c r="F612" t="str">
        <f>VLOOKUP(A612,Medical_Examinations[],5,FALSE)</f>
        <v>No</v>
      </c>
      <c r="G612" t="str">
        <f>VLOOKUP(A612,Medical_Examinations[],6,FALSE)</f>
        <v>Yes</v>
      </c>
      <c r="H612">
        <f>VLOOKUP(A612,Medical_Examinations[],7,FALSE)</f>
        <v>1</v>
      </c>
      <c r="I612" t="str">
        <f>VLOOKUP(A612,Medical_Examinations[],8,FALSE)</f>
        <v>Yes</v>
      </c>
      <c r="J612" t="str">
        <f>VLOOKUP(A612,Medical_Examinations[],9,FALSE)</f>
        <v>Normal Weight</v>
      </c>
      <c r="K612" t="str">
        <f>VLOOKUP(A612,Medical_Examinations[],10,FALSE)</f>
        <v>Normal</v>
      </c>
      <c r="M612">
        <f>VLOOKUP(A612,Hospitalisation_Details__2[],4,FALSE)</f>
        <v>16138.76</v>
      </c>
      <c r="N612" t="str">
        <f>VLOOKUP(A612,Hospitalisation_Details__2[],5,FALSE)</f>
        <v>tier - 2</v>
      </c>
      <c r="O612" t="str">
        <f>VLOOKUP(A612,Hospitalisation_Details__2[],6,FALSE)</f>
        <v>tier - 3</v>
      </c>
      <c r="P612" t="str">
        <f>VLOOKUP(A612,Hospitalisation_Details__2[],7,FALSE)</f>
        <v>R1017</v>
      </c>
    </row>
    <row r="613" spans="1:16" x14ac:dyDescent="0.35">
      <c r="A613" t="str">
        <v>Id612</v>
      </c>
      <c r="B613" t="str">
        <f>VLOOKUP(A613,'Customer Names (2)'!A:B, 2,FALSE)</f>
        <v>Ms</v>
      </c>
      <c r="C613">
        <f>VLOOKUP(A613,Medical_Examinations[],2,FALSE)</f>
        <v>54.85</v>
      </c>
      <c r="D613">
        <f>VLOOKUP(A613,Medical_Examinations[],3,FALSE)</f>
        <v>4.9000000000000004</v>
      </c>
      <c r="E613" t="str">
        <f>VLOOKUP(A613,Medical_Examinations[],4,FALSE)</f>
        <v>No</v>
      </c>
      <c r="F613" t="str">
        <f>VLOOKUP(A613,Medical_Examinations[],5,FALSE)</f>
        <v>No</v>
      </c>
      <c r="G613" t="str">
        <f>VLOOKUP(A613,Medical_Examinations[],6,FALSE)</f>
        <v>No</v>
      </c>
      <c r="H613">
        <f>VLOOKUP(A613,Medical_Examinations[],7,FALSE)</f>
        <v>1</v>
      </c>
      <c r="I613" t="str">
        <f>VLOOKUP(A613,Medical_Examinations[],8,FALSE)</f>
        <v>No</v>
      </c>
      <c r="J613" t="str">
        <f>VLOOKUP(A613,Medical_Examinations[],9,FALSE)</f>
        <v>Obesity</v>
      </c>
      <c r="K613" t="str">
        <f>VLOOKUP(A613,Medical_Examinations[],10,FALSE)</f>
        <v>Normal</v>
      </c>
      <c r="M613">
        <f>VLOOKUP(A613,Hospitalisation_Details__2[],4,FALSE)</f>
        <v>16122.65</v>
      </c>
      <c r="N613" t="str">
        <f>VLOOKUP(A613,Hospitalisation_Details__2[],5,FALSE)</f>
        <v>tier - 2</v>
      </c>
      <c r="O613" t="str">
        <f>VLOOKUP(A613,Hospitalisation_Details__2[],6,FALSE)</f>
        <v>tier - 1</v>
      </c>
      <c r="P613" t="str">
        <f>VLOOKUP(A613,Hospitalisation_Details__2[],7,FALSE)</f>
        <v>R1011</v>
      </c>
    </row>
    <row r="614" spans="1:16" x14ac:dyDescent="0.35">
      <c r="A614" t="str">
        <v>Id613</v>
      </c>
      <c r="B614" t="str">
        <f>VLOOKUP(A614,'Customer Names (2)'!A:B, 2,FALSE)</f>
        <v>Ms</v>
      </c>
      <c r="C614">
        <f>VLOOKUP(A614,Medical_Examinations[],2,FALSE)</f>
        <v>21.85</v>
      </c>
      <c r="D614">
        <f>VLOOKUP(A614,Medical_Examinations[],3,FALSE)</f>
        <v>5.52</v>
      </c>
      <c r="E614" t="str">
        <f>VLOOKUP(A614,Medical_Examinations[],4,FALSE)</f>
        <v>No</v>
      </c>
      <c r="F614" t="str">
        <f>VLOOKUP(A614,Medical_Examinations[],5,FALSE)</f>
        <v>No</v>
      </c>
      <c r="G614" t="str">
        <f>VLOOKUP(A614,Medical_Examinations[],6,FALSE)</f>
        <v>Yes</v>
      </c>
      <c r="H614">
        <f>VLOOKUP(A614,Medical_Examinations[],7,FALSE)</f>
        <v>1</v>
      </c>
      <c r="I614" t="str">
        <f>VLOOKUP(A614,Medical_Examinations[],8,FALSE)</f>
        <v>Yes</v>
      </c>
      <c r="J614" t="str">
        <f>VLOOKUP(A614,Medical_Examinations[],9,FALSE)</f>
        <v>Normal Weight</v>
      </c>
      <c r="K614" t="str">
        <f>VLOOKUP(A614,Medical_Examinations[],10,FALSE)</f>
        <v>Normal</v>
      </c>
      <c r="M614">
        <f>VLOOKUP(A614,Hospitalisation_Details__2[],4,FALSE)</f>
        <v>16115.3</v>
      </c>
      <c r="N614" t="str">
        <f>VLOOKUP(A614,Hospitalisation_Details__2[],5,FALSE)</f>
        <v>tier - 2</v>
      </c>
      <c r="O614" t="str">
        <f>VLOOKUP(A614,Hospitalisation_Details__2[],6,FALSE)</f>
        <v>tier - 1</v>
      </c>
      <c r="P614" t="str">
        <f>VLOOKUP(A614,Hospitalisation_Details__2[],7,FALSE)</f>
        <v>R1024</v>
      </c>
    </row>
    <row r="615" spans="1:16" x14ac:dyDescent="0.35">
      <c r="A615" t="str">
        <v>Id614</v>
      </c>
      <c r="B615" t="str">
        <f>VLOOKUP(A615,'Customer Names (2)'!A:B, 2,FALSE)</f>
        <v>Mr</v>
      </c>
      <c r="C615">
        <f>VLOOKUP(A615,Medical_Examinations[],2,FALSE)</f>
        <v>51.86</v>
      </c>
      <c r="D615">
        <f>VLOOKUP(A615,Medical_Examinations[],3,FALSE)</f>
        <v>5.2</v>
      </c>
      <c r="E615" t="str">
        <f>VLOOKUP(A615,Medical_Examinations[],4,FALSE)</f>
        <v>Yes</v>
      </c>
      <c r="F615" t="str">
        <f>VLOOKUP(A615,Medical_Examinations[],5,FALSE)</f>
        <v>No</v>
      </c>
      <c r="G615" t="str">
        <f>VLOOKUP(A615,Medical_Examinations[],6,FALSE)</f>
        <v>No</v>
      </c>
      <c r="H615">
        <f>VLOOKUP(A615,Medical_Examinations[],7,FALSE)</f>
        <v>0</v>
      </c>
      <c r="I615" t="str">
        <f>VLOOKUP(A615,Medical_Examinations[],8,FALSE)</f>
        <v>No</v>
      </c>
      <c r="J615" t="str">
        <f>VLOOKUP(A615,Medical_Examinations[],9,FALSE)</f>
        <v>Obesity</v>
      </c>
      <c r="K615" t="str">
        <f>VLOOKUP(A615,Medical_Examinations[],10,FALSE)</f>
        <v>Normal</v>
      </c>
      <c r="M615">
        <f>VLOOKUP(A615,Hospitalisation_Details__2[],4,FALSE)</f>
        <v>16097.94</v>
      </c>
      <c r="N615" t="str">
        <f>VLOOKUP(A615,Hospitalisation_Details__2[],5,FALSE)</f>
        <v>tier - 2</v>
      </c>
      <c r="O615" t="str">
        <f>VLOOKUP(A615,Hospitalisation_Details__2[],6,FALSE)</f>
        <v>tier - 3</v>
      </c>
      <c r="P615" t="str">
        <f>VLOOKUP(A615,Hospitalisation_Details__2[],7,FALSE)</f>
        <v>R1012</v>
      </c>
    </row>
    <row r="616" spans="1:16" x14ac:dyDescent="0.35">
      <c r="A616" t="str">
        <v>Id615</v>
      </c>
      <c r="B616" t="str">
        <f>VLOOKUP(A616,'Customer Names (2)'!A:B, 2,FALSE)</f>
        <v>Ms</v>
      </c>
      <c r="C616">
        <f>VLOOKUP(A616,Medical_Examinations[],2,FALSE)</f>
        <v>39.049999999999997</v>
      </c>
      <c r="D616">
        <f>VLOOKUP(A616,Medical_Examinations[],3,FALSE)</f>
        <v>7.59</v>
      </c>
      <c r="E616" t="str">
        <f>VLOOKUP(A616,Medical_Examinations[],4,FALSE)</f>
        <v>No</v>
      </c>
      <c r="F616" t="str">
        <f>VLOOKUP(A616,Medical_Examinations[],5,FALSE)</f>
        <v>No</v>
      </c>
      <c r="G616" t="str">
        <f>VLOOKUP(A616,Medical_Examinations[],6,FALSE)</f>
        <v>No</v>
      </c>
      <c r="H616">
        <f>VLOOKUP(A616,Medical_Examinations[],7,FALSE)</f>
        <v>3</v>
      </c>
      <c r="I616" t="str">
        <f>VLOOKUP(A616,Medical_Examinations[],8,FALSE)</f>
        <v>No</v>
      </c>
      <c r="J616" t="str">
        <f>VLOOKUP(A616,Medical_Examinations[],9,FALSE)</f>
        <v>Obesity</v>
      </c>
      <c r="K616" t="str">
        <f>VLOOKUP(A616,Medical_Examinations[],10,FALSE)</f>
        <v>Diabetes</v>
      </c>
      <c r="M616">
        <f>VLOOKUP(A616,Hospitalisation_Details__2[],4,FALSE)</f>
        <v>16085.13</v>
      </c>
      <c r="N616" t="str">
        <f>VLOOKUP(A616,Hospitalisation_Details__2[],5,FALSE)</f>
        <v>tier - 2</v>
      </c>
      <c r="O616" t="str">
        <f>VLOOKUP(A616,Hospitalisation_Details__2[],6,FALSE)</f>
        <v>tier - 2</v>
      </c>
      <c r="P616" t="str">
        <f>VLOOKUP(A616,Hospitalisation_Details__2[],7,FALSE)</f>
        <v>R1013</v>
      </c>
    </row>
    <row r="617" spans="1:16" x14ac:dyDescent="0.35">
      <c r="A617" t="str">
        <v>Id616</v>
      </c>
      <c r="B617" t="str">
        <f>VLOOKUP(A617,'Customer Names (2)'!A:B, 2,FALSE)</f>
        <v>Ms</v>
      </c>
      <c r="C617">
        <f>VLOOKUP(A617,Medical_Examinations[],2,FALSE)</f>
        <v>31.824999999999999</v>
      </c>
      <c r="D617">
        <f>VLOOKUP(A617,Medical_Examinations[],3,FALSE)</f>
        <v>8.2799999999999994</v>
      </c>
      <c r="E617" t="str">
        <f>VLOOKUP(A617,Medical_Examinations[],4,FALSE)</f>
        <v>No</v>
      </c>
      <c r="F617" t="str">
        <f>VLOOKUP(A617,Medical_Examinations[],5,FALSE)</f>
        <v>No</v>
      </c>
      <c r="G617" t="str">
        <f>VLOOKUP(A617,Medical_Examinations[],6,FALSE)</f>
        <v>No</v>
      </c>
      <c r="H617">
        <f>VLOOKUP(A617,Medical_Examinations[],7,FALSE)</f>
        <v>3</v>
      </c>
      <c r="I617" t="str">
        <f>VLOOKUP(A617,Medical_Examinations[],8,FALSE)</f>
        <v>No</v>
      </c>
      <c r="J617" t="str">
        <f>VLOOKUP(A617,Medical_Examinations[],9,FALSE)</f>
        <v>Obesity</v>
      </c>
      <c r="K617" t="str">
        <f>VLOOKUP(A617,Medical_Examinations[],10,FALSE)</f>
        <v>Diabetes</v>
      </c>
      <c r="M617">
        <f>VLOOKUP(A617,Hospitalisation_Details__2[],4,FALSE)</f>
        <v>16069.08</v>
      </c>
      <c r="N617" t="str">
        <f>VLOOKUP(A617,Hospitalisation_Details__2[],5,FALSE)</f>
        <v>tier - 2</v>
      </c>
      <c r="O617" t="str">
        <f>VLOOKUP(A617,Hospitalisation_Details__2[],6,FALSE)</f>
        <v>tier - 2</v>
      </c>
      <c r="P617" t="str">
        <f>VLOOKUP(A617,Hospitalisation_Details__2[],7,FALSE)</f>
        <v>R1024</v>
      </c>
    </row>
    <row r="618" spans="1:16" x14ac:dyDescent="0.35">
      <c r="A618" t="str">
        <v>Id617</v>
      </c>
      <c r="B618" t="str">
        <f>VLOOKUP(A618,'Customer Names (2)'!A:B, 2,FALSE)</f>
        <v>Mrs</v>
      </c>
      <c r="C618">
        <f>VLOOKUP(A618,Medical_Examinations[],2,FALSE)</f>
        <v>46.43</v>
      </c>
      <c r="D618">
        <f>VLOOKUP(A618,Medical_Examinations[],3,FALSE)</f>
        <v>6.72</v>
      </c>
      <c r="E618" t="str">
        <f>VLOOKUP(A618,Medical_Examinations[],4,FALSE)</f>
        <v>No</v>
      </c>
      <c r="F618" t="str">
        <f>VLOOKUP(A618,Medical_Examinations[],5,FALSE)</f>
        <v>No</v>
      </c>
      <c r="G618" t="str">
        <f>VLOOKUP(A618,Medical_Examinations[],6,FALSE)</f>
        <v>No</v>
      </c>
      <c r="H618">
        <f>VLOOKUP(A618,Medical_Examinations[],7,FALSE)</f>
        <v>0</v>
      </c>
      <c r="I618" t="str">
        <f>VLOOKUP(A618,Medical_Examinations[],8,FALSE)</f>
        <v>No</v>
      </c>
      <c r="J618" t="str">
        <f>VLOOKUP(A618,Medical_Examinations[],9,FALSE)</f>
        <v>Obesity</v>
      </c>
      <c r="K618" t="str">
        <f>VLOOKUP(A618,Medical_Examinations[],10,FALSE)</f>
        <v>Diabetes</v>
      </c>
      <c r="M618">
        <f>VLOOKUP(A618,Hospitalisation_Details__2[],4,FALSE)</f>
        <v>16062.89</v>
      </c>
      <c r="N618" t="str">
        <f>VLOOKUP(A618,Hospitalisation_Details__2[],5,FALSE)</f>
        <v>tier - 2</v>
      </c>
      <c r="O618" t="str">
        <f>VLOOKUP(A618,Hospitalisation_Details__2[],6,FALSE)</f>
        <v>tier - 2</v>
      </c>
      <c r="P618" t="str">
        <f>VLOOKUP(A618,Hospitalisation_Details__2[],7,FALSE)</f>
        <v>R1026</v>
      </c>
    </row>
    <row r="619" spans="1:16" x14ac:dyDescent="0.35">
      <c r="A619" t="str">
        <v>Id618</v>
      </c>
      <c r="B619" t="str">
        <f>VLOOKUP(A619,'Customer Names (2)'!A:B, 2,FALSE)</f>
        <v>Ms</v>
      </c>
      <c r="C619">
        <f>VLOOKUP(A619,Medical_Examinations[],2,FALSE)</f>
        <v>53.63</v>
      </c>
      <c r="D619">
        <f>VLOOKUP(A619,Medical_Examinations[],3,FALSE)</f>
        <v>5.47</v>
      </c>
      <c r="E619" t="str">
        <f>VLOOKUP(A619,Medical_Examinations[],4,FALSE)</f>
        <v>Yes</v>
      </c>
      <c r="F619" t="str">
        <f>VLOOKUP(A619,Medical_Examinations[],5,FALSE)</f>
        <v>No</v>
      </c>
      <c r="G619" t="str">
        <f>VLOOKUP(A619,Medical_Examinations[],6,FALSE)</f>
        <v>No</v>
      </c>
      <c r="H619">
        <f>VLOOKUP(A619,Medical_Examinations[],7,FALSE)</f>
        <v>1</v>
      </c>
      <c r="I619" t="str">
        <f>VLOOKUP(A619,Medical_Examinations[],8,FALSE)</f>
        <v>No</v>
      </c>
      <c r="J619" t="str">
        <f>VLOOKUP(A619,Medical_Examinations[],9,FALSE)</f>
        <v>Obesity</v>
      </c>
      <c r="K619" t="str">
        <f>VLOOKUP(A619,Medical_Examinations[],10,FALSE)</f>
        <v>Normal</v>
      </c>
      <c r="M619">
        <f>VLOOKUP(A619,Hospitalisation_Details__2[],4,FALSE)</f>
        <v>16059.06</v>
      </c>
      <c r="N619" t="str">
        <f>VLOOKUP(A619,Hospitalisation_Details__2[],5,FALSE)</f>
        <v>tier - 2</v>
      </c>
      <c r="O619" t="str">
        <f>VLOOKUP(A619,Hospitalisation_Details__2[],6,FALSE)</f>
        <v>tier - 3</v>
      </c>
      <c r="P619" t="str">
        <f>VLOOKUP(A619,Hospitalisation_Details__2[],7,FALSE)</f>
        <v>R1012</v>
      </c>
    </row>
    <row r="620" spans="1:16" x14ac:dyDescent="0.35">
      <c r="A620" t="str">
        <v>Id619</v>
      </c>
      <c r="B620" t="str">
        <f>VLOOKUP(A620,'Customer Names (2)'!A:B, 2,FALSE)</f>
        <v>Ms</v>
      </c>
      <c r="C620">
        <f>VLOOKUP(A620,Medical_Examinations[],2,FALSE)</f>
        <v>48.7</v>
      </c>
      <c r="D620">
        <f>VLOOKUP(A620,Medical_Examinations[],3,FALSE)</f>
        <v>4.71</v>
      </c>
      <c r="E620" t="str">
        <f>VLOOKUP(A620,Medical_Examinations[],4,FALSE)</f>
        <v>No</v>
      </c>
      <c r="F620" t="str">
        <f>VLOOKUP(A620,Medical_Examinations[],5,FALSE)</f>
        <v>No</v>
      </c>
      <c r="G620" t="str">
        <f>VLOOKUP(A620,Medical_Examinations[],6,FALSE)</f>
        <v>No</v>
      </c>
      <c r="H620">
        <f>VLOOKUP(A620,Medical_Examinations[],7,FALSE)</f>
        <v>0</v>
      </c>
      <c r="I620" t="str">
        <f>VLOOKUP(A620,Medical_Examinations[],8,FALSE)</f>
        <v>No</v>
      </c>
      <c r="J620" t="str">
        <f>VLOOKUP(A620,Medical_Examinations[],9,FALSE)</f>
        <v>Obesity</v>
      </c>
      <c r="K620" t="str">
        <f>VLOOKUP(A620,Medical_Examinations[],10,FALSE)</f>
        <v>Normal</v>
      </c>
      <c r="M620">
        <f>VLOOKUP(A620,Hospitalisation_Details__2[],4,FALSE)</f>
        <v>15966.19</v>
      </c>
      <c r="N620" t="str">
        <f>VLOOKUP(A620,Hospitalisation_Details__2[],5,FALSE)</f>
        <v>tier - 2</v>
      </c>
      <c r="O620" t="str">
        <f>VLOOKUP(A620,Hospitalisation_Details__2[],6,FALSE)</f>
        <v>tier - 2</v>
      </c>
      <c r="P620" t="str">
        <f>VLOOKUP(A620,Hospitalisation_Details__2[],7,FALSE)</f>
        <v>R1012</v>
      </c>
    </row>
    <row r="621" spans="1:16" x14ac:dyDescent="0.35">
      <c r="A621" t="str">
        <v>Id620</v>
      </c>
      <c r="B621" t="str">
        <f>VLOOKUP(A621,'Customer Names (2)'!A:B, 2,FALSE)</f>
        <v>Ms</v>
      </c>
      <c r="C621">
        <f>VLOOKUP(A621,Medical_Examinations[],2,FALSE)</f>
        <v>48.81</v>
      </c>
      <c r="D621">
        <f>VLOOKUP(A621,Medical_Examinations[],3,FALSE)</f>
        <v>5.49</v>
      </c>
      <c r="E621" t="str">
        <f>VLOOKUP(A621,Medical_Examinations[],4,FALSE)</f>
        <v>No</v>
      </c>
      <c r="F621" t="str">
        <f>VLOOKUP(A621,Medical_Examinations[],5,FALSE)</f>
        <v>No</v>
      </c>
      <c r="G621" t="str">
        <f>VLOOKUP(A621,Medical_Examinations[],6,FALSE)</f>
        <v>No</v>
      </c>
      <c r="H621">
        <f>VLOOKUP(A621,Medical_Examinations[],7,FALSE)</f>
        <v>0</v>
      </c>
      <c r="I621" t="str">
        <f>VLOOKUP(A621,Medical_Examinations[],8,FALSE)</f>
        <v>No</v>
      </c>
      <c r="J621" t="str">
        <f>VLOOKUP(A621,Medical_Examinations[],9,FALSE)</f>
        <v>Obesity</v>
      </c>
      <c r="K621" t="str">
        <f>VLOOKUP(A621,Medical_Examinations[],10,FALSE)</f>
        <v>Normal</v>
      </c>
      <c r="M621">
        <f>VLOOKUP(A621,Hospitalisation_Details__2[],4,FALSE)</f>
        <v>15965.29</v>
      </c>
      <c r="N621" t="str">
        <f>VLOOKUP(A621,Hospitalisation_Details__2[],5,FALSE)</f>
        <v>tier - 2</v>
      </c>
      <c r="O621" t="str">
        <f>VLOOKUP(A621,Hospitalisation_Details__2[],6,FALSE)</f>
        <v>tier - 1</v>
      </c>
      <c r="P621" t="str">
        <f>VLOOKUP(A621,Hospitalisation_Details__2[],7,FALSE)</f>
        <v>R1012</v>
      </c>
    </row>
    <row r="622" spans="1:16" x14ac:dyDescent="0.35">
      <c r="A622" t="str">
        <v>Id621</v>
      </c>
      <c r="B622" t="str">
        <f>VLOOKUP(A622,'Customer Names (2)'!A:B, 2,FALSE)</f>
        <v>Mrs</v>
      </c>
      <c r="C622">
        <f>VLOOKUP(A622,Medical_Examinations[],2,FALSE)</f>
        <v>47.53</v>
      </c>
      <c r="D622">
        <f>VLOOKUP(A622,Medical_Examinations[],3,FALSE)</f>
        <v>4.72</v>
      </c>
      <c r="E622" t="str">
        <f>VLOOKUP(A622,Medical_Examinations[],4,FALSE)</f>
        <v>No</v>
      </c>
      <c r="F622" t="str">
        <f>VLOOKUP(A622,Medical_Examinations[],5,FALSE)</f>
        <v>No</v>
      </c>
      <c r="G622" t="str">
        <f>VLOOKUP(A622,Medical_Examinations[],6,FALSE)</f>
        <v>No</v>
      </c>
      <c r="H622">
        <f>VLOOKUP(A622,Medical_Examinations[],7,FALSE)</f>
        <v>0</v>
      </c>
      <c r="I622" t="str">
        <f>VLOOKUP(A622,Medical_Examinations[],8,FALSE)</f>
        <v>No</v>
      </c>
      <c r="J622" t="str">
        <f>VLOOKUP(A622,Medical_Examinations[],9,FALSE)</f>
        <v>Obesity</v>
      </c>
      <c r="K622" t="str">
        <f>VLOOKUP(A622,Medical_Examinations[],10,FALSE)</f>
        <v>Normal</v>
      </c>
      <c r="M622">
        <f>VLOOKUP(A622,Hospitalisation_Details__2[],4,FALSE)</f>
        <v>15922.29</v>
      </c>
      <c r="N622" t="str">
        <f>VLOOKUP(A622,Hospitalisation_Details__2[],5,FALSE)</f>
        <v>tier - 2</v>
      </c>
      <c r="O622" t="str">
        <f>VLOOKUP(A622,Hospitalisation_Details__2[],6,FALSE)</f>
        <v>tier - 3</v>
      </c>
      <c r="P622" t="str">
        <f>VLOOKUP(A622,Hospitalisation_Details__2[],7,FALSE)</f>
        <v>R1026</v>
      </c>
    </row>
    <row r="623" spans="1:16" x14ac:dyDescent="0.35">
      <c r="A623" t="str">
        <v>Id622</v>
      </c>
      <c r="B623" t="str">
        <f>VLOOKUP(A623,'Customer Names (2)'!A:B, 2,FALSE)</f>
        <v>Mr</v>
      </c>
      <c r="C623">
        <f>VLOOKUP(A623,Medical_Examinations[],2,FALSE)</f>
        <v>36.85</v>
      </c>
      <c r="D623">
        <f>VLOOKUP(A623,Medical_Examinations[],3,FALSE)</f>
        <v>6.7</v>
      </c>
      <c r="E623" t="str">
        <f>VLOOKUP(A623,Medical_Examinations[],4,FALSE)</f>
        <v>No</v>
      </c>
      <c r="F623" t="str">
        <f>VLOOKUP(A623,Medical_Examinations[],5,FALSE)</f>
        <v>No</v>
      </c>
      <c r="G623" t="str">
        <f>VLOOKUP(A623,Medical_Examinations[],6,FALSE)</f>
        <v>No</v>
      </c>
      <c r="H623">
        <f>VLOOKUP(A623,Medical_Examinations[],7,FALSE)</f>
        <v>0</v>
      </c>
      <c r="I623" t="str">
        <f>VLOOKUP(A623,Medical_Examinations[],8,FALSE)</f>
        <v>No</v>
      </c>
      <c r="J623" t="str">
        <f>VLOOKUP(A623,Medical_Examinations[],9,FALSE)</f>
        <v>Obesity</v>
      </c>
      <c r="K623" t="str">
        <f>VLOOKUP(A623,Medical_Examinations[],10,FALSE)</f>
        <v>Diabetes</v>
      </c>
      <c r="M623">
        <f>VLOOKUP(A623,Hospitalisation_Details__2[],4,FALSE)</f>
        <v>15840.81</v>
      </c>
      <c r="N623" t="str">
        <f>VLOOKUP(A623,Hospitalisation_Details__2[],5,FALSE)</f>
        <v>tier - 2</v>
      </c>
      <c r="O623" t="str">
        <f>VLOOKUP(A623,Hospitalisation_Details__2[],6,FALSE)</f>
        <v>tier - 1</v>
      </c>
      <c r="P623" t="str">
        <f>VLOOKUP(A623,Hospitalisation_Details__2[],7,FALSE)</f>
        <v>R1022</v>
      </c>
    </row>
    <row r="624" spans="1:16" x14ac:dyDescent="0.35">
      <c r="A624" t="str">
        <v>Id623</v>
      </c>
      <c r="B624" t="str">
        <f>VLOOKUP(A624,'Customer Names (2)'!A:B, 2,FALSE)</f>
        <v>Ms</v>
      </c>
      <c r="C624">
        <f>VLOOKUP(A624,Medical_Examinations[],2,FALSE)</f>
        <v>29.3</v>
      </c>
      <c r="D624">
        <f>VLOOKUP(A624,Medical_Examinations[],3,FALSE)</f>
        <v>5.5</v>
      </c>
      <c r="E624" t="str">
        <f>VLOOKUP(A624,Medical_Examinations[],4,FALSE)</f>
        <v>No</v>
      </c>
      <c r="F624" t="str">
        <f>VLOOKUP(A624,Medical_Examinations[],5,FALSE)</f>
        <v>No</v>
      </c>
      <c r="G624" t="str">
        <f>VLOOKUP(A624,Medical_Examinations[],6,FALSE)</f>
        <v>No</v>
      </c>
      <c r="H624">
        <f>VLOOKUP(A624,Medical_Examinations[],7,FALSE)</f>
        <v>0</v>
      </c>
      <c r="I624" t="str">
        <f>VLOOKUP(A624,Medical_Examinations[],8,FALSE)</f>
        <v>No</v>
      </c>
      <c r="J624" t="str">
        <f>VLOOKUP(A624,Medical_Examinations[],9,FALSE)</f>
        <v>Overweight</v>
      </c>
      <c r="K624" t="str">
        <f>VLOOKUP(A624,Medical_Examinations[],10,FALSE)</f>
        <v>Normal</v>
      </c>
      <c r="M624">
        <f>VLOOKUP(A624,Hospitalisation_Details__2[],4,FALSE)</f>
        <v>15828.82</v>
      </c>
      <c r="N624" t="str">
        <f>VLOOKUP(A624,Hospitalisation_Details__2[],5,FALSE)</f>
        <v>tier - 2</v>
      </c>
      <c r="O624" t="str">
        <f>VLOOKUP(A624,Hospitalisation_Details__2[],6,FALSE)</f>
        <v>tier - 3</v>
      </c>
      <c r="P624" t="str">
        <f>VLOOKUP(A624,Hospitalisation_Details__2[],7,FALSE)</f>
        <v>R1011</v>
      </c>
    </row>
    <row r="625" spans="1:16" x14ac:dyDescent="0.35">
      <c r="A625" t="str">
        <v>Id624</v>
      </c>
      <c r="B625" t="str">
        <f>VLOOKUP(A625,'Customer Names (2)'!A:B, 2,FALSE)</f>
        <v>Mr</v>
      </c>
      <c r="C625">
        <f>VLOOKUP(A625,Medical_Examinations[],2,FALSE)</f>
        <v>19.3</v>
      </c>
      <c r="D625">
        <f>VLOOKUP(A625,Medical_Examinations[],3,FALSE)</f>
        <v>4.46</v>
      </c>
      <c r="E625" t="str">
        <f>VLOOKUP(A625,Medical_Examinations[],4,FALSE)</f>
        <v>No</v>
      </c>
      <c r="F625" t="str">
        <f>VLOOKUP(A625,Medical_Examinations[],5,FALSE)</f>
        <v>No</v>
      </c>
      <c r="G625" t="str">
        <f>VLOOKUP(A625,Medical_Examinations[],6,FALSE)</f>
        <v>No</v>
      </c>
      <c r="H625">
        <f>VLOOKUP(A625,Medical_Examinations[],7,FALSE)</f>
        <v>1</v>
      </c>
      <c r="I625" t="str">
        <f>VLOOKUP(A625,Medical_Examinations[],8,FALSE)</f>
        <v>Yes</v>
      </c>
      <c r="J625" t="str">
        <f>VLOOKUP(A625,Medical_Examinations[],9,FALSE)</f>
        <v>Normal Weight</v>
      </c>
      <c r="K625" t="str">
        <f>VLOOKUP(A625,Medical_Examinations[],10,FALSE)</f>
        <v>Normal</v>
      </c>
      <c r="M625">
        <f>VLOOKUP(A625,Hospitalisation_Details__2[],4,FALSE)</f>
        <v>15820.7</v>
      </c>
      <c r="N625" t="str">
        <f>VLOOKUP(A625,Hospitalisation_Details__2[],5,FALSE)</f>
        <v>tier - 2</v>
      </c>
      <c r="O625" t="str">
        <f>VLOOKUP(A625,Hospitalisation_Details__2[],6,FALSE)</f>
        <v>tier - 3</v>
      </c>
      <c r="P625" t="str">
        <f>VLOOKUP(A625,Hospitalisation_Details__2[],7,FALSE)</f>
        <v>R1011</v>
      </c>
    </row>
    <row r="626" spans="1:16" x14ac:dyDescent="0.35">
      <c r="A626" t="str">
        <v>Id625</v>
      </c>
      <c r="B626" t="str">
        <f>VLOOKUP(A626,'Customer Names (2)'!A:B, 2,FALSE)</f>
        <v>Mr</v>
      </c>
      <c r="C626">
        <f>VLOOKUP(A626,Medical_Examinations[],2,FALSE)</f>
        <v>24.13</v>
      </c>
      <c r="D626">
        <f>VLOOKUP(A626,Medical_Examinations[],3,FALSE)</f>
        <v>5.29</v>
      </c>
      <c r="E626" t="str">
        <f>VLOOKUP(A626,Medical_Examinations[],4,FALSE)</f>
        <v>Yes</v>
      </c>
      <c r="F626" t="str">
        <f>VLOOKUP(A626,Medical_Examinations[],5,FALSE)</f>
        <v>No</v>
      </c>
      <c r="G626" t="str">
        <f>VLOOKUP(A626,Medical_Examinations[],6,FALSE)</f>
        <v>Yes</v>
      </c>
      <c r="H626">
        <f>VLOOKUP(A626,Medical_Examinations[],7,FALSE)</f>
        <v>1</v>
      </c>
      <c r="I626" t="str">
        <f>VLOOKUP(A626,Medical_Examinations[],8,FALSE)</f>
        <v>Yes</v>
      </c>
      <c r="J626" t="str">
        <f>VLOOKUP(A626,Medical_Examinations[],9,FALSE)</f>
        <v>Normal Weight</v>
      </c>
      <c r="K626" t="str">
        <f>VLOOKUP(A626,Medical_Examinations[],10,FALSE)</f>
        <v>Normal</v>
      </c>
      <c r="M626">
        <f>VLOOKUP(A626,Hospitalisation_Details__2[],4,FALSE)</f>
        <v>15817.99</v>
      </c>
      <c r="N626" t="str">
        <f>VLOOKUP(A626,Hospitalisation_Details__2[],5,FALSE)</f>
        <v>tier - 2</v>
      </c>
      <c r="O626" t="str">
        <f>VLOOKUP(A626,Hospitalisation_Details__2[],6,FALSE)</f>
        <v>tier - 2</v>
      </c>
      <c r="P626" t="str">
        <f>VLOOKUP(A626,Hospitalisation_Details__2[],7,FALSE)</f>
        <v>R1012</v>
      </c>
    </row>
    <row r="627" spans="1:16" x14ac:dyDescent="0.35">
      <c r="A627" t="str">
        <v>Id626</v>
      </c>
      <c r="B627" t="str">
        <f>VLOOKUP(A627,'Customer Names (2)'!A:B, 2,FALSE)</f>
        <v>Mr</v>
      </c>
      <c r="C627">
        <f>VLOOKUP(A627,Medical_Examinations[],2,FALSE)</f>
        <v>46.7</v>
      </c>
      <c r="D627">
        <f>VLOOKUP(A627,Medical_Examinations[],3,FALSE)</f>
        <v>10.99</v>
      </c>
      <c r="E627" t="str">
        <f>VLOOKUP(A627,Medical_Examinations[],4,FALSE)</f>
        <v>No</v>
      </c>
      <c r="F627" t="str">
        <f>VLOOKUP(A627,Medical_Examinations[],5,FALSE)</f>
        <v>No</v>
      </c>
      <c r="G627" t="str">
        <f>VLOOKUP(A627,Medical_Examinations[],6,FALSE)</f>
        <v>No</v>
      </c>
      <c r="H627">
        <f>VLOOKUP(A627,Medical_Examinations[],7,FALSE)</f>
        <v>0</v>
      </c>
      <c r="I627" t="str">
        <f>VLOOKUP(A627,Medical_Examinations[],8,FALSE)</f>
        <v>No</v>
      </c>
      <c r="J627" t="str">
        <f>VLOOKUP(A627,Medical_Examinations[],9,FALSE)</f>
        <v>Obesity</v>
      </c>
      <c r="K627" t="str">
        <f>VLOOKUP(A627,Medical_Examinations[],10,FALSE)</f>
        <v>Diabetes</v>
      </c>
      <c r="M627">
        <f>VLOOKUP(A627,Hospitalisation_Details__2[],4,FALSE)</f>
        <v>15746.62</v>
      </c>
      <c r="N627" t="str">
        <f>VLOOKUP(A627,Hospitalisation_Details__2[],5,FALSE)</f>
        <v>tier - 2</v>
      </c>
      <c r="O627" t="str">
        <f>VLOOKUP(A627,Hospitalisation_Details__2[],6,FALSE)</f>
        <v>tier - 1</v>
      </c>
      <c r="P627" t="str">
        <f>VLOOKUP(A627,Hospitalisation_Details__2[],7,FALSE)</f>
        <v>R1012</v>
      </c>
    </row>
    <row r="628" spans="1:16" x14ac:dyDescent="0.35">
      <c r="A628" t="str">
        <v>Id627</v>
      </c>
      <c r="B628" t="str">
        <f>VLOOKUP(A628,'Customer Names (2)'!A:B, 2,FALSE)</f>
        <v>Mr</v>
      </c>
      <c r="C628">
        <f>VLOOKUP(A628,Medical_Examinations[],2,FALSE)</f>
        <v>45.27</v>
      </c>
      <c r="D628">
        <f>VLOOKUP(A628,Medical_Examinations[],3,FALSE)</f>
        <v>5.2</v>
      </c>
      <c r="E628" t="str">
        <f>VLOOKUP(A628,Medical_Examinations[],4,FALSE)</f>
        <v>Yes</v>
      </c>
      <c r="F628" t="str">
        <f>VLOOKUP(A628,Medical_Examinations[],5,FALSE)</f>
        <v>No</v>
      </c>
      <c r="G628" t="str">
        <f>VLOOKUP(A628,Medical_Examinations[],6,FALSE)</f>
        <v>No</v>
      </c>
      <c r="H628">
        <f>VLOOKUP(A628,Medical_Examinations[],7,FALSE)</f>
        <v>0</v>
      </c>
      <c r="I628" t="str">
        <f>VLOOKUP(A628,Medical_Examinations[],8,FALSE)</f>
        <v>No</v>
      </c>
      <c r="J628" t="str">
        <f>VLOOKUP(A628,Medical_Examinations[],9,FALSE)</f>
        <v>Obesity</v>
      </c>
      <c r="K628" t="str">
        <f>VLOOKUP(A628,Medical_Examinations[],10,FALSE)</f>
        <v>Normal</v>
      </c>
      <c r="M628">
        <f>VLOOKUP(A628,Hospitalisation_Details__2[],4,FALSE)</f>
        <v>15698.86</v>
      </c>
      <c r="N628" t="str">
        <f>VLOOKUP(A628,Hospitalisation_Details__2[],5,FALSE)</f>
        <v>tier - 2</v>
      </c>
      <c r="O628" t="str">
        <f>VLOOKUP(A628,Hospitalisation_Details__2[],6,FALSE)</f>
        <v>tier - 2</v>
      </c>
      <c r="P628" t="str">
        <f>VLOOKUP(A628,Hospitalisation_Details__2[],7,FALSE)</f>
        <v>R1012</v>
      </c>
    </row>
    <row r="629" spans="1:16" x14ac:dyDescent="0.35">
      <c r="A629" t="str">
        <v>Id628</v>
      </c>
      <c r="B629" t="str">
        <f>VLOOKUP(A629,'Customer Names (2)'!A:B, 2,FALSE)</f>
        <v>Mrs</v>
      </c>
      <c r="C629">
        <f>VLOOKUP(A629,Medical_Examinations[],2,FALSE)</f>
        <v>44.29</v>
      </c>
      <c r="D629">
        <f>VLOOKUP(A629,Medical_Examinations[],3,FALSE)</f>
        <v>9.66</v>
      </c>
      <c r="E629" t="str">
        <f>VLOOKUP(A629,Medical_Examinations[],4,FALSE)</f>
        <v>No</v>
      </c>
      <c r="F629" t="str">
        <f>VLOOKUP(A629,Medical_Examinations[],5,FALSE)</f>
        <v>No</v>
      </c>
      <c r="G629" t="str">
        <f>VLOOKUP(A629,Medical_Examinations[],6,FALSE)</f>
        <v>No</v>
      </c>
      <c r="H629">
        <f>VLOOKUP(A629,Medical_Examinations[],7,FALSE)</f>
        <v>2</v>
      </c>
      <c r="I629" t="str">
        <f>VLOOKUP(A629,Medical_Examinations[],8,FALSE)</f>
        <v>No</v>
      </c>
      <c r="J629" t="str">
        <f>VLOOKUP(A629,Medical_Examinations[],9,FALSE)</f>
        <v>Obesity</v>
      </c>
      <c r="K629" t="str">
        <f>VLOOKUP(A629,Medical_Examinations[],10,FALSE)</f>
        <v>Diabetes</v>
      </c>
      <c r="M629">
        <f>VLOOKUP(A629,Hospitalisation_Details__2[],4,FALSE)</f>
        <v>15670.3</v>
      </c>
      <c r="N629" t="str">
        <f>VLOOKUP(A629,Hospitalisation_Details__2[],5,FALSE)</f>
        <v>tier - 2</v>
      </c>
      <c r="O629" t="str">
        <f>VLOOKUP(A629,Hospitalisation_Details__2[],6,FALSE)</f>
        <v>tier - 2</v>
      </c>
      <c r="P629" t="str">
        <f>VLOOKUP(A629,Hospitalisation_Details__2[],7,FALSE)</f>
        <v>R1026</v>
      </c>
    </row>
    <row r="630" spans="1:16" x14ac:dyDescent="0.35">
      <c r="A630" t="str">
        <v>Id629</v>
      </c>
      <c r="B630" t="str">
        <f>VLOOKUP(A630,'Customer Names (2)'!A:B, 2,FALSE)</f>
        <v>Mr</v>
      </c>
      <c r="C630">
        <f>VLOOKUP(A630,Medical_Examinations[],2,FALSE)</f>
        <v>54.59</v>
      </c>
      <c r="D630">
        <f>VLOOKUP(A630,Medical_Examinations[],3,FALSE)</f>
        <v>4.22</v>
      </c>
      <c r="E630" t="str">
        <f>VLOOKUP(A630,Medical_Examinations[],4,FALSE)</f>
        <v>Yes</v>
      </c>
      <c r="F630" t="str">
        <f>VLOOKUP(A630,Medical_Examinations[],5,FALSE)</f>
        <v>No</v>
      </c>
      <c r="G630" t="str">
        <f>VLOOKUP(A630,Medical_Examinations[],6,FALSE)</f>
        <v>No</v>
      </c>
      <c r="H630">
        <f>VLOOKUP(A630,Medical_Examinations[],7,FALSE)</f>
        <v>1</v>
      </c>
      <c r="I630" t="str">
        <f>VLOOKUP(A630,Medical_Examinations[],8,FALSE)</f>
        <v>No</v>
      </c>
      <c r="J630" t="str">
        <f>VLOOKUP(A630,Medical_Examinations[],9,FALSE)</f>
        <v>Obesity</v>
      </c>
      <c r="K630" t="str">
        <f>VLOOKUP(A630,Medical_Examinations[],10,FALSE)</f>
        <v>Normal</v>
      </c>
      <c r="M630">
        <f>VLOOKUP(A630,Hospitalisation_Details__2[],4,FALSE)</f>
        <v>15646.28</v>
      </c>
      <c r="N630" t="str">
        <f>VLOOKUP(A630,Hospitalisation_Details__2[],5,FALSE)</f>
        <v>tier - 2</v>
      </c>
      <c r="O630" t="str">
        <f>VLOOKUP(A630,Hospitalisation_Details__2[],6,FALSE)</f>
        <v>tier - 2</v>
      </c>
      <c r="P630" t="str">
        <f>VLOOKUP(A630,Hospitalisation_Details__2[],7,FALSE)</f>
        <v>R1011</v>
      </c>
    </row>
    <row r="631" spans="1:16" x14ac:dyDescent="0.35">
      <c r="A631" t="str">
        <v>Id630</v>
      </c>
      <c r="B631" t="str">
        <f>VLOOKUP(A631,'Customer Names (2)'!A:B, 2,FALSE)</f>
        <v>Ms</v>
      </c>
      <c r="C631">
        <f>VLOOKUP(A631,Medical_Examinations[],2,FALSE)</f>
        <v>32.965000000000003</v>
      </c>
      <c r="D631">
        <f>VLOOKUP(A631,Medical_Examinations[],3,FALSE)</f>
        <v>11.78</v>
      </c>
      <c r="E631" t="str">
        <f>VLOOKUP(A631,Medical_Examinations[],4,FALSE)</f>
        <v>No</v>
      </c>
      <c r="F631" t="str">
        <f>VLOOKUP(A631,Medical_Examinations[],5,FALSE)</f>
        <v>No</v>
      </c>
      <c r="G631" t="str">
        <f>VLOOKUP(A631,Medical_Examinations[],6,FALSE)</f>
        <v>No</v>
      </c>
      <c r="H631">
        <f>VLOOKUP(A631,Medical_Examinations[],7,FALSE)</f>
        <v>0</v>
      </c>
      <c r="I631" t="str">
        <f>VLOOKUP(A631,Medical_Examinations[],8,FALSE)</f>
        <v>No</v>
      </c>
      <c r="J631" t="str">
        <f>VLOOKUP(A631,Medical_Examinations[],9,FALSE)</f>
        <v>Obesity</v>
      </c>
      <c r="K631" t="str">
        <f>VLOOKUP(A631,Medical_Examinations[],10,FALSE)</f>
        <v>Diabetes</v>
      </c>
      <c r="M631">
        <f>VLOOKUP(A631,Hospitalisation_Details__2[],4,FALSE)</f>
        <v>15612.19</v>
      </c>
      <c r="N631" t="str">
        <f>VLOOKUP(A631,Hospitalisation_Details__2[],5,FALSE)</f>
        <v>tier - 2</v>
      </c>
      <c r="O631" t="str">
        <f>VLOOKUP(A631,Hospitalisation_Details__2[],6,FALSE)</f>
        <v>tier - 2</v>
      </c>
      <c r="P631" t="str">
        <f>VLOOKUP(A631,Hospitalisation_Details__2[],7,FALSE)</f>
        <v>R1012</v>
      </c>
    </row>
    <row r="632" spans="1:16" x14ac:dyDescent="0.35">
      <c r="A632" t="str">
        <v>Id631</v>
      </c>
      <c r="B632" t="str">
        <f>VLOOKUP(A632,'Customer Names (2)'!A:B, 2,FALSE)</f>
        <v>Mrs</v>
      </c>
      <c r="C632">
        <f>VLOOKUP(A632,Medical_Examinations[],2,FALSE)</f>
        <v>38.049999999999997</v>
      </c>
      <c r="D632">
        <f>VLOOKUP(A632,Medical_Examinations[],3,FALSE)</f>
        <v>9.6199999999999992</v>
      </c>
      <c r="E632" t="str">
        <f>VLOOKUP(A632,Medical_Examinations[],4,FALSE)</f>
        <v>No</v>
      </c>
      <c r="F632" t="str">
        <f>VLOOKUP(A632,Medical_Examinations[],5,FALSE)</f>
        <v>No</v>
      </c>
      <c r="G632" t="str">
        <f>VLOOKUP(A632,Medical_Examinations[],6,FALSE)</f>
        <v>No</v>
      </c>
      <c r="H632">
        <f>VLOOKUP(A632,Medical_Examinations[],7,FALSE)</f>
        <v>0</v>
      </c>
      <c r="I632" t="str">
        <f>VLOOKUP(A632,Medical_Examinations[],8,FALSE)</f>
        <v>No</v>
      </c>
      <c r="J632" t="str">
        <f>VLOOKUP(A632,Medical_Examinations[],9,FALSE)</f>
        <v>Obesity</v>
      </c>
      <c r="K632" t="str">
        <f>VLOOKUP(A632,Medical_Examinations[],10,FALSE)</f>
        <v>Diabetes</v>
      </c>
      <c r="M632">
        <f>VLOOKUP(A632,Hospitalisation_Details__2[],4,FALSE)</f>
        <v>15608.58</v>
      </c>
      <c r="N632" t="str">
        <f>VLOOKUP(A632,Hospitalisation_Details__2[],5,FALSE)</f>
        <v>tier - 2</v>
      </c>
      <c r="O632" t="str">
        <f>VLOOKUP(A632,Hospitalisation_Details__2[],6,FALSE)</f>
        <v>tier - 2</v>
      </c>
      <c r="P632" t="str">
        <f>VLOOKUP(A632,Hospitalisation_Details__2[],7,FALSE)</f>
        <v>R1026</v>
      </c>
    </row>
    <row r="633" spans="1:16" x14ac:dyDescent="0.35">
      <c r="A633" t="str">
        <v>Id632</v>
      </c>
      <c r="B633" t="str">
        <f>VLOOKUP(A633,'Customer Names (2)'!A:B, 2,FALSE)</f>
        <v>Mr</v>
      </c>
      <c r="C633">
        <f>VLOOKUP(A633,Medical_Examinations[],2,FALSE)</f>
        <v>46.14</v>
      </c>
      <c r="D633">
        <f>VLOOKUP(A633,Medical_Examinations[],3,FALSE)</f>
        <v>10.78</v>
      </c>
      <c r="E633" t="str">
        <f>VLOOKUP(A633,Medical_Examinations[],4,FALSE)</f>
        <v>No</v>
      </c>
      <c r="F633" t="str">
        <f>VLOOKUP(A633,Medical_Examinations[],5,FALSE)</f>
        <v>No</v>
      </c>
      <c r="G633" t="str">
        <f>VLOOKUP(A633,Medical_Examinations[],6,FALSE)</f>
        <v>No</v>
      </c>
      <c r="H633">
        <f>VLOOKUP(A633,Medical_Examinations[],7,FALSE)</f>
        <v>0</v>
      </c>
      <c r="I633" t="str">
        <f>VLOOKUP(A633,Medical_Examinations[],8,FALSE)</f>
        <v>No</v>
      </c>
      <c r="J633" t="str">
        <f>VLOOKUP(A633,Medical_Examinations[],9,FALSE)</f>
        <v>Obesity</v>
      </c>
      <c r="K633" t="str">
        <f>VLOOKUP(A633,Medical_Examinations[],10,FALSE)</f>
        <v>Diabetes</v>
      </c>
      <c r="M633">
        <f>VLOOKUP(A633,Hospitalisation_Details__2[],4,FALSE)</f>
        <v>15556.67</v>
      </c>
      <c r="N633" t="str">
        <f>VLOOKUP(A633,Hospitalisation_Details__2[],5,FALSE)</f>
        <v>tier - 2</v>
      </c>
      <c r="O633" t="str">
        <f>VLOOKUP(A633,Hospitalisation_Details__2[],6,FALSE)</f>
        <v>tier - 2</v>
      </c>
      <c r="P633" t="str">
        <f>VLOOKUP(A633,Hospitalisation_Details__2[],7,FALSE)</f>
        <v>R1012</v>
      </c>
    </row>
    <row r="634" spans="1:16" x14ac:dyDescent="0.35">
      <c r="A634" t="str">
        <v>Id633</v>
      </c>
      <c r="B634" t="str">
        <f>VLOOKUP(A634,'Customer Names (2)'!A:B, 2,FALSE)</f>
        <v>Mr</v>
      </c>
      <c r="C634">
        <f>VLOOKUP(A634,Medical_Examinations[],2,FALSE)</f>
        <v>41.325000000000003</v>
      </c>
      <c r="D634">
        <f>VLOOKUP(A634,Medical_Examinations[],3,FALSE)</f>
        <v>5.1100000000000003</v>
      </c>
      <c r="E634" t="str">
        <f>VLOOKUP(A634,Medical_Examinations[],4,FALSE)</f>
        <v>Yes</v>
      </c>
      <c r="F634" t="str">
        <f>VLOOKUP(A634,Medical_Examinations[],5,FALSE)</f>
        <v>No</v>
      </c>
      <c r="G634" t="str">
        <f>VLOOKUP(A634,Medical_Examinations[],6,FALSE)</f>
        <v>No</v>
      </c>
      <c r="H634">
        <f>VLOOKUP(A634,Medical_Examinations[],7,FALSE)</f>
        <v>2</v>
      </c>
      <c r="I634" t="str">
        <f>VLOOKUP(A634,Medical_Examinations[],8,FALSE)</f>
        <v>No</v>
      </c>
      <c r="J634" t="str">
        <f>VLOOKUP(A634,Medical_Examinations[],9,FALSE)</f>
        <v>Obesity</v>
      </c>
      <c r="K634" t="str">
        <f>VLOOKUP(A634,Medical_Examinations[],10,FALSE)</f>
        <v>Normal</v>
      </c>
      <c r="M634">
        <f>VLOOKUP(A634,Hospitalisation_Details__2[],4,FALSE)</f>
        <v>15555.19</v>
      </c>
      <c r="N634" t="str">
        <f>VLOOKUP(A634,Hospitalisation_Details__2[],5,FALSE)</f>
        <v>tier - 2</v>
      </c>
      <c r="O634" t="str">
        <f>VLOOKUP(A634,Hospitalisation_Details__2[],6,FALSE)</f>
        <v>tier - 3</v>
      </c>
      <c r="P634" t="str">
        <f>VLOOKUP(A634,Hospitalisation_Details__2[],7,FALSE)</f>
        <v>R1012</v>
      </c>
    </row>
    <row r="635" spans="1:16" x14ac:dyDescent="0.35">
      <c r="A635" t="str">
        <v>Id634</v>
      </c>
      <c r="B635" t="str">
        <f>VLOOKUP(A635,'Customer Names (2)'!A:B, 2,FALSE)</f>
        <v>Mrs</v>
      </c>
      <c r="C635">
        <f>VLOOKUP(A635,Medical_Examinations[],2,FALSE)</f>
        <v>44.64</v>
      </c>
      <c r="D635">
        <f>VLOOKUP(A635,Medical_Examinations[],3,FALSE)</f>
        <v>7.18</v>
      </c>
      <c r="E635" t="str">
        <f>VLOOKUP(A635,Medical_Examinations[],4,FALSE)</f>
        <v>No</v>
      </c>
      <c r="F635" t="str">
        <f>VLOOKUP(A635,Medical_Examinations[],5,FALSE)</f>
        <v>No</v>
      </c>
      <c r="G635" t="str">
        <f>VLOOKUP(A635,Medical_Examinations[],6,FALSE)</f>
        <v>No</v>
      </c>
      <c r="H635">
        <f>VLOOKUP(A635,Medical_Examinations[],7,FALSE)</f>
        <v>0</v>
      </c>
      <c r="I635" t="str">
        <f>VLOOKUP(A635,Medical_Examinations[],8,FALSE)</f>
        <v>No</v>
      </c>
      <c r="J635" t="str">
        <f>VLOOKUP(A635,Medical_Examinations[],9,FALSE)</f>
        <v>Obesity</v>
      </c>
      <c r="K635" t="str">
        <f>VLOOKUP(A635,Medical_Examinations[],10,FALSE)</f>
        <v>Diabetes</v>
      </c>
      <c r="M635">
        <f>VLOOKUP(A635,Hospitalisation_Details__2[],4,FALSE)</f>
        <v>15532.16</v>
      </c>
      <c r="N635" t="str">
        <f>VLOOKUP(A635,Hospitalisation_Details__2[],5,FALSE)</f>
        <v>tier - 2</v>
      </c>
      <c r="O635" t="str">
        <f>VLOOKUP(A635,Hospitalisation_Details__2[],6,FALSE)</f>
        <v>tier - 2</v>
      </c>
      <c r="P635" t="str">
        <f>VLOOKUP(A635,Hospitalisation_Details__2[],7,FALSE)</f>
        <v>R1026</v>
      </c>
    </row>
    <row r="636" spans="1:16" x14ac:dyDescent="0.35">
      <c r="A636" t="str">
        <v>Id635</v>
      </c>
      <c r="B636" t="str">
        <f>VLOOKUP(A636,'Customer Names (2)'!A:B, 2,FALSE)</f>
        <v>Mr</v>
      </c>
      <c r="C636">
        <f>VLOOKUP(A636,Medical_Examinations[],2,FALSE)</f>
        <v>25.175000000000001</v>
      </c>
      <c r="D636">
        <f>VLOOKUP(A636,Medical_Examinations[],3,FALSE)</f>
        <v>4.96</v>
      </c>
      <c r="E636" t="str">
        <f>VLOOKUP(A636,Medical_Examinations[],4,FALSE)</f>
        <v>No</v>
      </c>
      <c r="F636" t="str">
        <f>VLOOKUP(A636,Medical_Examinations[],5,FALSE)</f>
        <v>yes</v>
      </c>
      <c r="G636" t="str">
        <f>VLOOKUP(A636,Medical_Examinations[],6,FALSE)</f>
        <v>No</v>
      </c>
      <c r="H636">
        <f>VLOOKUP(A636,Medical_Examinations[],7,FALSE)</f>
        <v>1</v>
      </c>
      <c r="I636" t="str">
        <f>VLOOKUP(A636,Medical_Examinations[],8,FALSE)</f>
        <v>No</v>
      </c>
      <c r="J636" t="str">
        <f>VLOOKUP(A636,Medical_Examinations[],9,FALSE)</f>
        <v>Overweight</v>
      </c>
      <c r="K636" t="str">
        <f>VLOOKUP(A636,Medical_Examinations[],10,FALSE)</f>
        <v>Normal</v>
      </c>
      <c r="M636">
        <f>VLOOKUP(A636,Hospitalisation_Details__2[],4,FALSE)</f>
        <v>15518.18</v>
      </c>
      <c r="N636" t="str">
        <f>VLOOKUP(A636,Hospitalisation_Details__2[],5,FALSE)</f>
        <v>tier - 2</v>
      </c>
      <c r="O636" t="str">
        <f>VLOOKUP(A636,Hospitalisation_Details__2[],6,FALSE)</f>
        <v>tier - 3</v>
      </c>
      <c r="P636" t="str">
        <f>VLOOKUP(A636,Hospitalisation_Details__2[],7,FALSE)</f>
        <v>R1015</v>
      </c>
    </row>
    <row r="637" spans="1:16" x14ac:dyDescent="0.35">
      <c r="A637" t="str">
        <v>Id636</v>
      </c>
      <c r="B637" t="str">
        <f>VLOOKUP(A637,'Customer Names (2)'!A:B, 2,FALSE)</f>
        <v>Mrs</v>
      </c>
      <c r="C637">
        <f>VLOOKUP(A637,Medical_Examinations[],2,FALSE)</f>
        <v>43.11</v>
      </c>
      <c r="D637">
        <f>VLOOKUP(A637,Medical_Examinations[],3,FALSE)</f>
        <v>4.67</v>
      </c>
      <c r="E637" t="str">
        <f>VLOOKUP(A637,Medical_Examinations[],4,FALSE)</f>
        <v>Yes</v>
      </c>
      <c r="F637" t="str">
        <f>VLOOKUP(A637,Medical_Examinations[],5,FALSE)</f>
        <v>No</v>
      </c>
      <c r="G637" t="str">
        <f>VLOOKUP(A637,Medical_Examinations[],6,FALSE)</f>
        <v>No</v>
      </c>
      <c r="H637">
        <f>VLOOKUP(A637,Medical_Examinations[],7,FALSE)</f>
        <v>0</v>
      </c>
      <c r="I637" t="str">
        <f>VLOOKUP(A637,Medical_Examinations[],8,FALSE)</f>
        <v>No</v>
      </c>
      <c r="J637" t="str">
        <f>VLOOKUP(A637,Medical_Examinations[],9,FALSE)</f>
        <v>Obesity</v>
      </c>
      <c r="K637" t="str">
        <f>VLOOKUP(A637,Medical_Examinations[],10,FALSE)</f>
        <v>Normal</v>
      </c>
      <c r="M637">
        <f>VLOOKUP(A637,Hospitalisation_Details__2[],4,FALSE)</f>
        <v>15450.48</v>
      </c>
      <c r="N637" t="str">
        <f>VLOOKUP(A637,Hospitalisation_Details__2[],5,FALSE)</f>
        <v>tier - 2</v>
      </c>
      <c r="O637" t="str">
        <f>VLOOKUP(A637,Hospitalisation_Details__2[],6,FALSE)</f>
        <v>tier - 1</v>
      </c>
      <c r="P637" t="str">
        <f>VLOOKUP(A637,Hospitalisation_Details__2[],7,FALSE)</f>
        <v>R1026</v>
      </c>
    </row>
    <row r="638" spans="1:16" x14ac:dyDescent="0.35">
      <c r="A638" t="str">
        <v>Id637</v>
      </c>
      <c r="B638" t="str">
        <f>VLOOKUP(A638,'Customer Names (2)'!A:B, 2,FALSE)</f>
        <v>Ms</v>
      </c>
      <c r="C638">
        <f>VLOOKUP(A638,Medical_Examinations[],2,FALSE)</f>
        <v>53.32</v>
      </c>
      <c r="D638">
        <f>VLOOKUP(A638,Medical_Examinations[],3,FALSE)</f>
        <v>5.0599999999999996</v>
      </c>
      <c r="E638" t="str">
        <f>VLOOKUP(A638,Medical_Examinations[],4,FALSE)</f>
        <v>No</v>
      </c>
      <c r="F638" t="str">
        <f>VLOOKUP(A638,Medical_Examinations[],5,FALSE)</f>
        <v>No</v>
      </c>
      <c r="G638" t="str">
        <f>VLOOKUP(A638,Medical_Examinations[],6,FALSE)</f>
        <v>No</v>
      </c>
      <c r="H638">
        <f>VLOOKUP(A638,Medical_Examinations[],7,FALSE)</f>
        <v>0</v>
      </c>
      <c r="I638" t="str">
        <f>VLOOKUP(A638,Medical_Examinations[],8,FALSE)</f>
        <v>No</v>
      </c>
      <c r="J638" t="str">
        <f>VLOOKUP(A638,Medical_Examinations[],9,FALSE)</f>
        <v>Obesity</v>
      </c>
      <c r="K638" t="str">
        <f>VLOOKUP(A638,Medical_Examinations[],10,FALSE)</f>
        <v>Normal</v>
      </c>
      <c r="M638">
        <f>VLOOKUP(A638,Hospitalisation_Details__2[],4,FALSE)</f>
        <v>15440.2</v>
      </c>
      <c r="N638" t="str">
        <f>VLOOKUP(A638,Hospitalisation_Details__2[],5,FALSE)</f>
        <v>tier - 2</v>
      </c>
      <c r="O638" t="str">
        <f>VLOOKUP(A638,Hospitalisation_Details__2[],6,FALSE)</f>
        <v>tier - 1</v>
      </c>
      <c r="P638" t="str">
        <f>VLOOKUP(A638,Hospitalisation_Details__2[],7,FALSE)</f>
        <v>R1012</v>
      </c>
    </row>
    <row r="639" spans="1:16" x14ac:dyDescent="0.35">
      <c r="A639" t="str">
        <v>Id638</v>
      </c>
      <c r="B639" t="str">
        <f>VLOOKUP(A639,'Customer Names (2)'!A:B, 2,FALSE)</f>
        <v>Mr</v>
      </c>
      <c r="C639">
        <f>VLOOKUP(A639,Medical_Examinations[],2,FALSE)</f>
        <v>38.04</v>
      </c>
      <c r="D639">
        <f>VLOOKUP(A639,Medical_Examinations[],3,FALSE)</f>
        <v>5.0199999999999996</v>
      </c>
      <c r="E639" t="str">
        <f>VLOOKUP(A639,Medical_Examinations[],4,FALSE)</f>
        <v>Yes</v>
      </c>
      <c r="F639" t="str">
        <f>VLOOKUP(A639,Medical_Examinations[],5,FALSE)</f>
        <v>No</v>
      </c>
      <c r="G639" t="str">
        <f>VLOOKUP(A639,Medical_Examinations[],6,FALSE)</f>
        <v>No</v>
      </c>
      <c r="H639">
        <f>VLOOKUP(A639,Medical_Examinations[],7,FALSE)</f>
        <v>1</v>
      </c>
      <c r="I639" t="str">
        <f>VLOOKUP(A639,Medical_Examinations[],8,FALSE)</f>
        <v>No</v>
      </c>
      <c r="J639" t="str">
        <f>VLOOKUP(A639,Medical_Examinations[],9,FALSE)</f>
        <v>Obesity</v>
      </c>
      <c r="K639" t="str">
        <f>VLOOKUP(A639,Medical_Examinations[],10,FALSE)</f>
        <v>Normal</v>
      </c>
      <c r="M639">
        <f>VLOOKUP(A639,Hospitalisation_Details__2[],4,FALSE)</f>
        <v>15377.77</v>
      </c>
      <c r="N639" t="str">
        <f>VLOOKUP(A639,Hospitalisation_Details__2[],5,FALSE)</f>
        <v>tier - 2</v>
      </c>
      <c r="O639" t="str">
        <f>VLOOKUP(A639,Hospitalisation_Details__2[],6,FALSE)</f>
        <v>tier - 2</v>
      </c>
      <c r="P639" t="str">
        <f>VLOOKUP(A639,Hospitalisation_Details__2[],7,FALSE)</f>
        <v>R1012</v>
      </c>
    </row>
    <row r="640" spans="1:16" x14ac:dyDescent="0.35">
      <c r="A640" t="str">
        <v>Id639</v>
      </c>
      <c r="B640" t="str">
        <f>VLOOKUP(A640,'Customer Names (2)'!A:B, 2,FALSE)</f>
        <v>Ms</v>
      </c>
      <c r="C640">
        <f>VLOOKUP(A640,Medical_Examinations[],2,FALSE)</f>
        <v>37.9</v>
      </c>
      <c r="D640">
        <f>VLOOKUP(A640,Medical_Examinations[],3,FALSE)</f>
        <v>7.76</v>
      </c>
      <c r="E640" t="str">
        <f>VLOOKUP(A640,Medical_Examinations[],4,FALSE)</f>
        <v>No</v>
      </c>
      <c r="F640" t="str">
        <f>VLOOKUP(A640,Medical_Examinations[],5,FALSE)</f>
        <v>No</v>
      </c>
      <c r="G640" t="str">
        <f>VLOOKUP(A640,Medical_Examinations[],6,FALSE)</f>
        <v>No</v>
      </c>
      <c r="H640">
        <f>VLOOKUP(A640,Medical_Examinations[],7,FALSE)</f>
        <v>0</v>
      </c>
      <c r="I640" t="str">
        <f>VLOOKUP(A640,Medical_Examinations[],8,FALSE)</f>
        <v>No</v>
      </c>
      <c r="J640" t="str">
        <f>VLOOKUP(A640,Medical_Examinations[],9,FALSE)</f>
        <v>Obesity</v>
      </c>
      <c r="K640" t="str">
        <f>VLOOKUP(A640,Medical_Examinations[],10,FALSE)</f>
        <v>Diabetes</v>
      </c>
      <c r="M640">
        <f>VLOOKUP(A640,Hospitalisation_Details__2[],4,FALSE)</f>
        <v>15368.22</v>
      </c>
      <c r="N640" t="str">
        <f>VLOOKUP(A640,Hospitalisation_Details__2[],5,FALSE)</f>
        <v>tier - 2</v>
      </c>
      <c r="O640" t="str">
        <f>VLOOKUP(A640,Hospitalisation_Details__2[],6,FALSE)</f>
        <v>tier - 2</v>
      </c>
      <c r="P640" t="str">
        <f>VLOOKUP(A640,Hospitalisation_Details__2[],7,FALSE)</f>
        <v>R1011</v>
      </c>
    </row>
    <row r="641" spans="1:16" x14ac:dyDescent="0.35">
      <c r="A641" t="str">
        <v>Id640</v>
      </c>
      <c r="B641" t="str">
        <f>VLOOKUP(A641,'Customer Names (2)'!A:B, 2,FALSE)</f>
        <v>Mrs</v>
      </c>
      <c r="C641">
        <f>VLOOKUP(A641,Medical_Examinations[],2,FALSE)</f>
        <v>39.6</v>
      </c>
      <c r="D641">
        <f>VLOOKUP(A641,Medical_Examinations[],3,FALSE)</f>
        <v>9.32</v>
      </c>
      <c r="E641" t="str">
        <f>VLOOKUP(A641,Medical_Examinations[],4,FALSE)</f>
        <v>No</v>
      </c>
      <c r="F641" t="str">
        <f>VLOOKUP(A641,Medical_Examinations[],5,FALSE)</f>
        <v>No</v>
      </c>
      <c r="G641" t="str">
        <f>VLOOKUP(A641,Medical_Examinations[],6,FALSE)</f>
        <v>No</v>
      </c>
      <c r="H641">
        <f>VLOOKUP(A641,Medical_Examinations[],7,FALSE)</f>
        <v>0</v>
      </c>
      <c r="I641" t="str">
        <f>VLOOKUP(A641,Medical_Examinations[],8,FALSE)</f>
        <v>No</v>
      </c>
      <c r="J641" t="str">
        <f>VLOOKUP(A641,Medical_Examinations[],9,FALSE)</f>
        <v>Obesity</v>
      </c>
      <c r="K641" t="str">
        <f>VLOOKUP(A641,Medical_Examinations[],10,FALSE)</f>
        <v>Diabetes</v>
      </c>
      <c r="M641">
        <f>VLOOKUP(A641,Hospitalisation_Details__2[],4,FALSE)</f>
        <v>15363.77</v>
      </c>
      <c r="N641" t="str">
        <f>VLOOKUP(A641,Hospitalisation_Details__2[],5,FALSE)</f>
        <v>tier - 2</v>
      </c>
      <c r="O641" t="str">
        <f>VLOOKUP(A641,Hospitalisation_Details__2[],6,FALSE)</f>
        <v>tier - 1</v>
      </c>
      <c r="P641" t="str">
        <f>VLOOKUP(A641,Hospitalisation_Details__2[],7,FALSE)</f>
        <v>R1026</v>
      </c>
    </row>
    <row r="642" spans="1:16" x14ac:dyDescent="0.35">
      <c r="A642" t="str">
        <v>Id641</v>
      </c>
      <c r="B642" t="str">
        <f>VLOOKUP(A642,'Customer Names (2)'!A:B, 2,FALSE)</f>
        <v>Mr</v>
      </c>
      <c r="C642">
        <f>VLOOKUP(A642,Medical_Examinations[],2,FALSE)</f>
        <v>50.92</v>
      </c>
      <c r="D642">
        <f>VLOOKUP(A642,Medical_Examinations[],3,FALSE)</f>
        <v>5.31</v>
      </c>
      <c r="E642" t="str">
        <f>VLOOKUP(A642,Medical_Examinations[],4,FALSE)</f>
        <v>Yes</v>
      </c>
      <c r="F642" t="str">
        <f>VLOOKUP(A642,Medical_Examinations[],5,FALSE)</f>
        <v>No</v>
      </c>
      <c r="G642" t="str">
        <f>VLOOKUP(A642,Medical_Examinations[],6,FALSE)</f>
        <v>No</v>
      </c>
      <c r="H642">
        <f>VLOOKUP(A642,Medical_Examinations[],7,FALSE)</f>
        <v>1</v>
      </c>
      <c r="I642" t="str">
        <f>VLOOKUP(A642,Medical_Examinations[],8,FALSE)</f>
        <v>No</v>
      </c>
      <c r="J642" t="str">
        <f>VLOOKUP(A642,Medical_Examinations[],9,FALSE)</f>
        <v>Obesity</v>
      </c>
      <c r="K642" t="str">
        <f>VLOOKUP(A642,Medical_Examinations[],10,FALSE)</f>
        <v>Normal</v>
      </c>
      <c r="M642">
        <f>VLOOKUP(A642,Hospitalisation_Details__2[],4,FALSE)</f>
        <v>15361.5</v>
      </c>
      <c r="N642" t="str">
        <f>VLOOKUP(A642,Hospitalisation_Details__2[],5,FALSE)</f>
        <v>tier - 2</v>
      </c>
      <c r="O642" t="str">
        <f>VLOOKUP(A642,Hospitalisation_Details__2[],6,FALSE)</f>
        <v>tier - 3</v>
      </c>
      <c r="P642" t="str">
        <f>VLOOKUP(A642,Hospitalisation_Details__2[],7,FALSE)</f>
        <v>R1023</v>
      </c>
    </row>
    <row r="643" spans="1:16" x14ac:dyDescent="0.35">
      <c r="A643" t="str">
        <v>Id642</v>
      </c>
      <c r="B643" t="str">
        <f>VLOOKUP(A643,'Customer Names (2)'!A:B, 2,FALSE)</f>
        <v>Ms</v>
      </c>
      <c r="C643">
        <f>VLOOKUP(A643,Medical_Examinations[],2,FALSE)</f>
        <v>21.85</v>
      </c>
      <c r="D643">
        <f>VLOOKUP(A643,Medical_Examinations[],3,FALSE)</f>
        <v>5.56</v>
      </c>
      <c r="E643" t="str">
        <f>VLOOKUP(A643,Medical_Examinations[],4,FALSE)</f>
        <v>Yes</v>
      </c>
      <c r="F643" t="str">
        <f>VLOOKUP(A643,Medical_Examinations[],5,FALSE)</f>
        <v>No</v>
      </c>
      <c r="G643" t="str">
        <f>VLOOKUP(A643,Medical_Examinations[],6,FALSE)</f>
        <v>No</v>
      </c>
      <c r="H643">
        <f>VLOOKUP(A643,Medical_Examinations[],7,FALSE)</f>
        <v>0</v>
      </c>
      <c r="I643" t="str">
        <f>VLOOKUP(A643,Medical_Examinations[],8,FALSE)</f>
        <v>Yes</v>
      </c>
      <c r="J643" t="str">
        <f>VLOOKUP(A643,Medical_Examinations[],9,FALSE)</f>
        <v>Normal Weight</v>
      </c>
      <c r="K643" t="str">
        <f>VLOOKUP(A643,Medical_Examinations[],10,FALSE)</f>
        <v>Normal</v>
      </c>
      <c r="M643">
        <f>VLOOKUP(A643,Hospitalisation_Details__2[],4,FALSE)</f>
        <v>15359.1</v>
      </c>
      <c r="N643" t="str">
        <f>VLOOKUP(A643,Hospitalisation_Details__2[],5,FALSE)</f>
        <v>tier - 2</v>
      </c>
      <c r="O643" t="str">
        <f>VLOOKUP(A643,Hospitalisation_Details__2[],6,FALSE)</f>
        <v>tier - 3</v>
      </c>
      <c r="P643" t="str">
        <f>VLOOKUP(A643,Hospitalisation_Details__2[],7,FALSE)</f>
        <v>R1024</v>
      </c>
    </row>
    <row r="644" spans="1:16" x14ac:dyDescent="0.35">
      <c r="A644" t="str">
        <v>Id643</v>
      </c>
      <c r="B644" t="str">
        <f>VLOOKUP(A644,'Customer Names (2)'!A:B, 2,FALSE)</f>
        <v>Mr</v>
      </c>
      <c r="C644">
        <f>VLOOKUP(A644,Medical_Examinations[],2,FALSE)</f>
        <v>36.08</v>
      </c>
      <c r="D644">
        <f>VLOOKUP(A644,Medical_Examinations[],3,FALSE)</f>
        <v>7.11</v>
      </c>
      <c r="E644" t="str">
        <f>VLOOKUP(A644,Medical_Examinations[],4,FALSE)</f>
        <v>Yes</v>
      </c>
      <c r="F644" t="str">
        <f>VLOOKUP(A644,Medical_Examinations[],5,FALSE)</f>
        <v>No</v>
      </c>
      <c r="G644" t="str">
        <f>VLOOKUP(A644,Medical_Examinations[],6,FALSE)</f>
        <v>Yes</v>
      </c>
      <c r="H644">
        <f>VLOOKUP(A644,Medical_Examinations[],7,FALSE)</f>
        <v>1</v>
      </c>
      <c r="I644" t="str">
        <f>VLOOKUP(A644,Medical_Examinations[],8,FALSE)</f>
        <v>No</v>
      </c>
      <c r="J644" t="str">
        <f>VLOOKUP(A644,Medical_Examinations[],9,FALSE)</f>
        <v>Obesity</v>
      </c>
      <c r="K644" t="str">
        <f>VLOOKUP(A644,Medical_Examinations[],10,FALSE)</f>
        <v>Diabetes</v>
      </c>
      <c r="M644">
        <f>VLOOKUP(A644,Hospitalisation_Details__2[],4,FALSE)</f>
        <v>15322.77</v>
      </c>
      <c r="N644" t="str">
        <f>VLOOKUP(A644,Hospitalisation_Details__2[],5,FALSE)</f>
        <v>tier - 2</v>
      </c>
      <c r="O644" t="str">
        <f>VLOOKUP(A644,Hospitalisation_Details__2[],6,FALSE)</f>
        <v>tier - 3</v>
      </c>
      <c r="P644" t="str">
        <f>VLOOKUP(A644,Hospitalisation_Details__2[],7,FALSE)</f>
        <v>R1021</v>
      </c>
    </row>
    <row r="645" spans="1:16" x14ac:dyDescent="0.35">
      <c r="A645" t="str">
        <v>Id644</v>
      </c>
      <c r="B645" t="str">
        <f>VLOOKUP(A645,'Customer Names (2)'!A:B, 2,FALSE)</f>
        <v>Mr</v>
      </c>
      <c r="C645">
        <f>VLOOKUP(A645,Medical_Examinations[],2,FALSE)</f>
        <v>40.44</v>
      </c>
      <c r="D645">
        <f>VLOOKUP(A645,Medical_Examinations[],3,FALSE)</f>
        <v>5.13</v>
      </c>
      <c r="E645" t="str">
        <f>VLOOKUP(A645,Medical_Examinations[],4,FALSE)</f>
        <v>Yes</v>
      </c>
      <c r="F645" t="str">
        <f>VLOOKUP(A645,Medical_Examinations[],5,FALSE)</f>
        <v>No</v>
      </c>
      <c r="G645" t="str">
        <f>VLOOKUP(A645,Medical_Examinations[],6,FALSE)</f>
        <v>Yes</v>
      </c>
      <c r="H645">
        <f>VLOOKUP(A645,Medical_Examinations[],7,FALSE)</f>
        <v>1</v>
      </c>
      <c r="I645" t="str">
        <f>VLOOKUP(A645,Medical_Examinations[],8,FALSE)</f>
        <v>No</v>
      </c>
      <c r="J645" t="str">
        <f>VLOOKUP(A645,Medical_Examinations[],9,FALSE)</f>
        <v>Obesity</v>
      </c>
      <c r="K645" t="str">
        <f>VLOOKUP(A645,Medical_Examinations[],10,FALSE)</f>
        <v>Normal</v>
      </c>
      <c r="M645">
        <f>VLOOKUP(A645,Hospitalisation_Details__2[],4,FALSE)</f>
        <v>15260.52</v>
      </c>
      <c r="N645" t="str">
        <f>VLOOKUP(A645,Hospitalisation_Details__2[],5,FALSE)</f>
        <v>tier - 2</v>
      </c>
      <c r="O645" t="str">
        <f>VLOOKUP(A645,Hospitalisation_Details__2[],6,FALSE)</f>
        <v>tier - 2</v>
      </c>
      <c r="P645" t="str">
        <f>VLOOKUP(A645,Hospitalisation_Details__2[],7,FALSE)</f>
        <v>R1023</v>
      </c>
    </row>
    <row r="646" spans="1:16" x14ac:dyDescent="0.35">
      <c r="A646" t="str">
        <v>Id645</v>
      </c>
      <c r="B646" t="str">
        <f>VLOOKUP(A646,'Customer Names (2)'!A:B, 2,FALSE)</f>
        <v>Ms</v>
      </c>
      <c r="C646">
        <f>VLOOKUP(A646,Medical_Examinations[],2,FALSE)</f>
        <v>38.094999999999999</v>
      </c>
      <c r="D646">
        <f>VLOOKUP(A646,Medical_Examinations[],3,FALSE)</f>
        <v>10.199999999999999</v>
      </c>
      <c r="E646" t="str">
        <f>VLOOKUP(A646,Medical_Examinations[],4,FALSE)</f>
        <v>No</v>
      </c>
      <c r="F646" t="str">
        <f>VLOOKUP(A646,Medical_Examinations[],5,FALSE)</f>
        <v>No</v>
      </c>
      <c r="G646" t="str">
        <f>VLOOKUP(A646,Medical_Examinations[],6,FALSE)</f>
        <v>No</v>
      </c>
      <c r="H646">
        <f>VLOOKUP(A646,Medical_Examinations[],7,FALSE)</f>
        <v>0</v>
      </c>
      <c r="I646" t="str">
        <f>VLOOKUP(A646,Medical_Examinations[],8,FALSE)</f>
        <v>No</v>
      </c>
      <c r="J646" t="str">
        <f>VLOOKUP(A646,Medical_Examinations[],9,FALSE)</f>
        <v>Obesity</v>
      </c>
      <c r="K646" t="str">
        <f>VLOOKUP(A646,Medical_Examinations[],10,FALSE)</f>
        <v>Diabetes</v>
      </c>
      <c r="M646">
        <f>VLOOKUP(A646,Hospitalisation_Details__2[],4,FALSE)</f>
        <v>15230.32</v>
      </c>
      <c r="N646" t="str">
        <f>VLOOKUP(A646,Hospitalisation_Details__2[],5,FALSE)</f>
        <v>tier - 2</v>
      </c>
      <c r="O646" t="str">
        <f>VLOOKUP(A646,Hospitalisation_Details__2[],6,FALSE)</f>
        <v>tier - 2</v>
      </c>
      <c r="P646" t="str">
        <f>VLOOKUP(A646,Hospitalisation_Details__2[],7,FALSE)</f>
        <v>R1024</v>
      </c>
    </row>
    <row r="647" spans="1:16" x14ac:dyDescent="0.35">
      <c r="A647" t="str">
        <v>Id646</v>
      </c>
      <c r="B647" t="str">
        <f>VLOOKUP(A647,'Customer Names (2)'!A:B, 2,FALSE)</f>
        <v>Ms</v>
      </c>
      <c r="C647">
        <f>VLOOKUP(A647,Medical_Examinations[],2,FALSE)</f>
        <v>44.95</v>
      </c>
      <c r="D647">
        <f>VLOOKUP(A647,Medical_Examinations[],3,FALSE)</f>
        <v>10.4</v>
      </c>
      <c r="E647" t="str">
        <f>VLOOKUP(A647,Medical_Examinations[],4,FALSE)</f>
        <v>No</v>
      </c>
      <c r="F647" t="str">
        <f>VLOOKUP(A647,Medical_Examinations[],5,FALSE)</f>
        <v>No</v>
      </c>
      <c r="G647" t="str">
        <f>VLOOKUP(A647,Medical_Examinations[],6,FALSE)</f>
        <v>No</v>
      </c>
      <c r="H647">
        <f>VLOOKUP(A647,Medical_Examinations[],7,FALSE)</f>
        <v>0</v>
      </c>
      <c r="I647" t="str">
        <f>VLOOKUP(A647,Medical_Examinations[],8,FALSE)</f>
        <v>No</v>
      </c>
      <c r="J647" t="str">
        <f>VLOOKUP(A647,Medical_Examinations[],9,FALSE)</f>
        <v>Obesity</v>
      </c>
      <c r="K647" t="str">
        <f>VLOOKUP(A647,Medical_Examinations[],10,FALSE)</f>
        <v>Diabetes</v>
      </c>
      <c r="M647">
        <f>VLOOKUP(A647,Hospitalisation_Details__2[],4,FALSE)</f>
        <v>15207.92</v>
      </c>
      <c r="N647" t="str">
        <f>VLOOKUP(A647,Hospitalisation_Details__2[],5,FALSE)</f>
        <v>tier - 2</v>
      </c>
      <c r="O647" t="str">
        <f>VLOOKUP(A647,Hospitalisation_Details__2[],6,FALSE)</f>
        <v>tier - 1</v>
      </c>
      <c r="P647" t="str">
        <f>VLOOKUP(A647,Hospitalisation_Details__2[],7,FALSE)</f>
        <v>R1012</v>
      </c>
    </row>
    <row r="648" spans="1:16" x14ac:dyDescent="0.35">
      <c r="A648" t="str">
        <v>Id647</v>
      </c>
      <c r="B648" t="str">
        <f>VLOOKUP(A648,'Customer Names (2)'!A:B, 2,FALSE)</f>
        <v>Ms</v>
      </c>
      <c r="C648">
        <f>VLOOKUP(A648,Medical_Examinations[],2,FALSE)</f>
        <v>35.54</v>
      </c>
      <c r="D648">
        <f>VLOOKUP(A648,Medical_Examinations[],3,FALSE)</f>
        <v>10.67</v>
      </c>
      <c r="E648" t="str">
        <f>VLOOKUP(A648,Medical_Examinations[],4,FALSE)</f>
        <v>No</v>
      </c>
      <c r="F648" t="str">
        <f>VLOOKUP(A648,Medical_Examinations[],5,FALSE)</f>
        <v>No</v>
      </c>
      <c r="G648" t="str">
        <f>VLOOKUP(A648,Medical_Examinations[],6,FALSE)</f>
        <v>No</v>
      </c>
      <c r="H648">
        <f>VLOOKUP(A648,Medical_Examinations[],7,FALSE)</f>
        <v>0</v>
      </c>
      <c r="I648" t="str">
        <f>VLOOKUP(A648,Medical_Examinations[],8,FALSE)</f>
        <v>No</v>
      </c>
      <c r="J648" t="str">
        <f>VLOOKUP(A648,Medical_Examinations[],9,FALSE)</f>
        <v>Obesity</v>
      </c>
      <c r="K648" t="str">
        <f>VLOOKUP(A648,Medical_Examinations[],10,FALSE)</f>
        <v>Diabetes</v>
      </c>
      <c r="M648">
        <f>VLOOKUP(A648,Hospitalisation_Details__2[],4,FALSE)</f>
        <v>15174.81</v>
      </c>
      <c r="N648" t="str">
        <f>VLOOKUP(A648,Hospitalisation_Details__2[],5,FALSE)</f>
        <v>tier - 2</v>
      </c>
      <c r="O648" t="str">
        <f>VLOOKUP(A648,Hospitalisation_Details__2[],6,FALSE)</f>
        <v>tier - 1</v>
      </c>
      <c r="P648" t="str">
        <f>VLOOKUP(A648,Hospitalisation_Details__2[],7,FALSE)</f>
        <v>R1012</v>
      </c>
    </row>
    <row r="649" spans="1:16" x14ac:dyDescent="0.35">
      <c r="A649" t="str">
        <v>Id648</v>
      </c>
      <c r="B649" t="str">
        <f>VLOOKUP(A649,'Customer Names (2)'!A:B, 2,FALSE)</f>
        <v>Mr</v>
      </c>
      <c r="C649">
        <f>VLOOKUP(A649,Medical_Examinations[],2,FALSE)</f>
        <v>39.799999999999997</v>
      </c>
      <c r="D649">
        <f>VLOOKUP(A649,Medical_Examinations[],3,FALSE)</f>
        <v>4.6500000000000004</v>
      </c>
      <c r="E649" t="str">
        <f>VLOOKUP(A649,Medical_Examinations[],4,FALSE)</f>
        <v>Yes</v>
      </c>
      <c r="F649" t="str">
        <f>VLOOKUP(A649,Medical_Examinations[],5,FALSE)</f>
        <v>No</v>
      </c>
      <c r="G649" t="str">
        <f>VLOOKUP(A649,Medical_Examinations[],6,FALSE)</f>
        <v>No</v>
      </c>
      <c r="H649">
        <f>VLOOKUP(A649,Medical_Examinations[],7,FALSE)</f>
        <v>2</v>
      </c>
      <c r="I649" t="str">
        <f>VLOOKUP(A649,Medical_Examinations[],8,FALSE)</f>
        <v>No</v>
      </c>
      <c r="J649" t="str">
        <f>VLOOKUP(A649,Medical_Examinations[],9,FALSE)</f>
        <v>Obesity</v>
      </c>
      <c r="K649" t="str">
        <f>VLOOKUP(A649,Medical_Examinations[],10,FALSE)</f>
        <v>Normal</v>
      </c>
      <c r="M649">
        <f>VLOOKUP(A649,Hospitalisation_Details__2[],4,FALSE)</f>
        <v>15170.07</v>
      </c>
      <c r="N649" t="str">
        <f>VLOOKUP(A649,Hospitalisation_Details__2[],5,FALSE)</f>
        <v>tier - 2</v>
      </c>
      <c r="O649" t="str">
        <f>VLOOKUP(A649,Hospitalisation_Details__2[],6,FALSE)</f>
        <v>tier - 3</v>
      </c>
      <c r="P649" t="str">
        <f>VLOOKUP(A649,Hospitalisation_Details__2[],7,FALSE)</f>
        <v>R1011</v>
      </c>
    </row>
    <row r="650" spans="1:16" x14ac:dyDescent="0.35">
      <c r="A650" t="str">
        <v>Id649</v>
      </c>
      <c r="B650" t="str">
        <f>VLOOKUP(A650,'Customer Names (2)'!A:B, 2,FALSE)</f>
        <v>Mr</v>
      </c>
      <c r="C650">
        <f>VLOOKUP(A650,Medical_Examinations[],2,FALSE)</f>
        <v>33.659999999999997</v>
      </c>
      <c r="D650">
        <f>VLOOKUP(A650,Medical_Examinations[],3,FALSE)</f>
        <v>5.65</v>
      </c>
      <c r="E650" t="str">
        <f>VLOOKUP(A650,Medical_Examinations[],4,FALSE)</f>
        <v>Yes</v>
      </c>
      <c r="F650" t="str">
        <f>VLOOKUP(A650,Medical_Examinations[],5,FALSE)</f>
        <v>No</v>
      </c>
      <c r="G650" t="str">
        <f>VLOOKUP(A650,Medical_Examinations[],6,FALSE)</f>
        <v>No</v>
      </c>
      <c r="H650">
        <f>VLOOKUP(A650,Medical_Examinations[],7,FALSE)</f>
        <v>2</v>
      </c>
      <c r="I650" t="str">
        <f>VLOOKUP(A650,Medical_Examinations[],8,FALSE)</f>
        <v>No</v>
      </c>
      <c r="J650" t="str">
        <f>VLOOKUP(A650,Medical_Examinations[],9,FALSE)</f>
        <v>Obesity</v>
      </c>
      <c r="K650" t="str">
        <f>VLOOKUP(A650,Medical_Examinations[],10,FALSE)</f>
        <v>Normal</v>
      </c>
      <c r="M650">
        <f>VLOOKUP(A650,Hospitalisation_Details__2[],4,FALSE)</f>
        <v>15161.53</v>
      </c>
      <c r="N650" t="str">
        <f>VLOOKUP(A650,Hospitalisation_Details__2[],5,FALSE)</f>
        <v>tier - 2</v>
      </c>
      <c r="O650" t="str">
        <f>VLOOKUP(A650,Hospitalisation_Details__2[],6,FALSE)</f>
        <v>tier - 1</v>
      </c>
      <c r="P650" t="str">
        <f>VLOOKUP(A650,Hospitalisation_Details__2[],7,FALSE)</f>
        <v>R1013</v>
      </c>
    </row>
    <row r="651" spans="1:16" x14ac:dyDescent="0.35">
      <c r="A651" t="str">
        <v>Id650</v>
      </c>
      <c r="B651" t="str">
        <f>VLOOKUP(A651,'Customer Names (2)'!A:B, 2,FALSE)</f>
        <v>Ms</v>
      </c>
      <c r="C651">
        <f>VLOOKUP(A651,Medical_Examinations[],2,FALSE)</f>
        <v>35.5</v>
      </c>
      <c r="D651">
        <f>VLOOKUP(A651,Medical_Examinations[],3,FALSE)</f>
        <v>11.97</v>
      </c>
      <c r="E651" t="str">
        <f>VLOOKUP(A651,Medical_Examinations[],4,FALSE)</f>
        <v>No</v>
      </c>
      <c r="F651" t="str">
        <f>VLOOKUP(A651,Medical_Examinations[],5,FALSE)</f>
        <v>No</v>
      </c>
      <c r="G651" t="str">
        <f>VLOOKUP(A651,Medical_Examinations[],6,FALSE)</f>
        <v>No</v>
      </c>
      <c r="H651">
        <f>VLOOKUP(A651,Medical_Examinations[],7,FALSE)</f>
        <v>0</v>
      </c>
      <c r="I651" t="str">
        <f>VLOOKUP(A651,Medical_Examinations[],8,FALSE)</f>
        <v>No</v>
      </c>
      <c r="J651" t="str">
        <f>VLOOKUP(A651,Medical_Examinations[],9,FALSE)</f>
        <v>Obesity</v>
      </c>
      <c r="K651" t="str">
        <f>VLOOKUP(A651,Medical_Examinations[],10,FALSE)</f>
        <v>Diabetes</v>
      </c>
      <c r="M651">
        <f>VLOOKUP(A651,Hospitalisation_Details__2[],4,FALSE)</f>
        <v>15161.25</v>
      </c>
      <c r="N651" t="str">
        <f>VLOOKUP(A651,Hospitalisation_Details__2[],5,FALSE)</f>
        <v>tier - 2</v>
      </c>
      <c r="O651" t="str">
        <f>VLOOKUP(A651,Hospitalisation_Details__2[],6,FALSE)</f>
        <v>tier - 2</v>
      </c>
      <c r="P651" t="str">
        <f>VLOOKUP(A651,Hospitalisation_Details__2[],7,FALSE)</f>
        <v>R1012</v>
      </c>
    </row>
    <row r="652" spans="1:16" x14ac:dyDescent="0.35">
      <c r="A652" t="str">
        <v>Id651</v>
      </c>
      <c r="B652" t="str">
        <f>VLOOKUP(A652,'Customer Names (2)'!A:B, 2,FALSE)</f>
        <v>Mr</v>
      </c>
      <c r="C652">
        <f>VLOOKUP(A652,Medical_Examinations[],2,FALSE)</f>
        <v>41.63</v>
      </c>
      <c r="D652">
        <f>VLOOKUP(A652,Medical_Examinations[],3,FALSE)</f>
        <v>6.71</v>
      </c>
      <c r="E652" t="str">
        <f>VLOOKUP(A652,Medical_Examinations[],4,FALSE)</f>
        <v>No</v>
      </c>
      <c r="F652" t="str">
        <f>VLOOKUP(A652,Medical_Examinations[],5,FALSE)</f>
        <v>No</v>
      </c>
      <c r="G652" t="str">
        <f>VLOOKUP(A652,Medical_Examinations[],6,FALSE)</f>
        <v>No</v>
      </c>
      <c r="H652">
        <f>VLOOKUP(A652,Medical_Examinations[],7,FALSE)</f>
        <v>0</v>
      </c>
      <c r="I652" t="str">
        <f>VLOOKUP(A652,Medical_Examinations[],8,FALSE)</f>
        <v>No</v>
      </c>
      <c r="J652" t="str">
        <f>VLOOKUP(A652,Medical_Examinations[],9,FALSE)</f>
        <v>Obesity</v>
      </c>
      <c r="K652" t="str">
        <f>VLOOKUP(A652,Medical_Examinations[],10,FALSE)</f>
        <v>Diabetes</v>
      </c>
      <c r="M652">
        <f>VLOOKUP(A652,Hospitalisation_Details__2[],4,FALSE)</f>
        <v>15150.44</v>
      </c>
      <c r="N652" t="str">
        <f>VLOOKUP(A652,Hospitalisation_Details__2[],5,FALSE)</f>
        <v>tier - 2</v>
      </c>
      <c r="O652" t="str">
        <f>VLOOKUP(A652,Hospitalisation_Details__2[],6,FALSE)</f>
        <v>tier - 1</v>
      </c>
      <c r="P652" t="str">
        <f>VLOOKUP(A652,Hospitalisation_Details__2[],7,FALSE)</f>
        <v>R1023</v>
      </c>
    </row>
    <row r="653" spans="1:16" x14ac:dyDescent="0.35">
      <c r="A653" t="str">
        <v>Id652</v>
      </c>
      <c r="B653" t="str">
        <f>VLOOKUP(A653,'Customer Names (2)'!A:B, 2,FALSE)</f>
        <v>Ms</v>
      </c>
      <c r="C653">
        <f>VLOOKUP(A653,Medical_Examinations[],2,FALSE)</f>
        <v>46.49</v>
      </c>
      <c r="D653">
        <f>VLOOKUP(A653,Medical_Examinations[],3,FALSE)</f>
        <v>11.92</v>
      </c>
      <c r="E653" t="str">
        <f>VLOOKUP(A653,Medical_Examinations[],4,FALSE)</f>
        <v>No</v>
      </c>
      <c r="F653" t="str">
        <f>VLOOKUP(A653,Medical_Examinations[],5,FALSE)</f>
        <v>No</v>
      </c>
      <c r="G653" t="str">
        <f>VLOOKUP(A653,Medical_Examinations[],6,FALSE)</f>
        <v>No</v>
      </c>
      <c r="H653">
        <f>VLOOKUP(A653,Medical_Examinations[],7,FALSE)</f>
        <v>0</v>
      </c>
      <c r="I653" t="str">
        <f>VLOOKUP(A653,Medical_Examinations[],8,FALSE)</f>
        <v>No</v>
      </c>
      <c r="J653" t="str">
        <f>VLOOKUP(A653,Medical_Examinations[],9,FALSE)</f>
        <v>Obesity</v>
      </c>
      <c r="K653" t="str">
        <f>VLOOKUP(A653,Medical_Examinations[],10,FALSE)</f>
        <v>Diabetes</v>
      </c>
      <c r="M653">
        <f>VLOOKUP(A653,Hospitalisation_Details__2[],4,FALSE)</f>
        <v>15123.19</v>
      </c>
      <c r="N653" t="str">
        <f>VLOOKUP(A653,Hospitalisation_Details__2[],5,FALSE)</f>
        <v>tier - 2</v>
      </c>
      <c r="O653" t="str">
        <f>VLOOKUP(A653,Hospitalisation_Details__2[],6,FALSE)</f>
        <v>tier - 1</v>
      </c>
      <c r="P653" t="str">
        <f>VLOOKUP(A653,Hospitalisation_Details__2[],7,FALSE)</f>
        <v>R1011</v>
      </c>
    </row>
    <row r="654" spans="1:16" x14ac:dyDescent="0.35">
      <c r="A654" t="str">
        <v>Id653</v>
      </c>
      <c r="B654" t="str">
        <f>VLOOKUP(A654,'Customer Names (2)'!A:B, 2,FALSE)</f>
        <v>Mr</v>
      </c>
      <c r="C654">
        <f>VLOOKUP(A654,Medical_Examinations[],2,FALSE)</f>
        <v>43.29</v>
      </c>
      <c r="D654">
        <f>VLOOKUP(A654,Medical_Examinations[],3,FALSE)</f>
        <v>5.35</v>
      </c>
      <c r="E654" t="str">
        <f>VLOOKUP(A654,Medical_Examinations[],4,FALSE)</f>
        <v>No</v>
      </c>
      <c r="F654" t="str">
        <f>VLOOKUP(A654,Medical_Examinations[],5,FALSE)</f>
        <v>No</v>
      </c>
      <c r="G654" t="str">
        <f>VLOOKUP(A654,Medical_Examinations[],6,FALSE)</f>
        <v>No</v>
      </c>
      <c r="H654">
        <f>VLOOKUP(A654,Medical_Examinations[],7,FALSE)</f>
        <v>2</v>
      </c>
      <c r="I654" t="str">
        <f>VLOOKUP(A654,Medical_Examinations[],8,FALSE)</f>
        <v>No</v>
      </c>
      <c r="J654" t="str">
        <f>VLOOKUP(A654,Medical_Examinations[],9,FALSE)</f>
        <v>Obesity</v>
      </c>
      <c r="K654" t="str">
        <f>VLOOKUP(A654,Medical_Examinations[],10,FALSE)</f>
        <v>Normal</v>
      </c>
      <c r="M654">
        <f>VLOOKUP(A654,Hospitalisation_Details__2[],4,FALSE)</f>
        <v>15103.69</v>
      </c>
      <c r="N654" t="str">
        <f>VLOOKUP(A654,Hospitalisation_Details__2[],5,FALSE)</f>
        <v>tier - 2</v>
      </c>
      <c r="O654" t="str">
        <f>VLOOKUP(A654,Hospitalisation_Details__2[],6,FALSE)</f>
        <v>tier - 1</v>
      </c>
      <c r="P654" t="str">
        <f>VLOOKUP(A654,Hospitalisation_Details__2[],7,FALSE)</f>
        <v>R1012</v>
      </c>
    </row>
    <row r="655" spans="1:16" x14ac:dyDescent="0.35">
      <c r="A655" t="str">
        <v>Id654</v>
      </c>
      <c r="B655" t="str">
        <f>VLOOKUP(A655,'Customer Names (2)'!A:B, 2,FALSE)</f>
        <v>Mr</v>
      </c>
      <c r="C655">
        <f>VLOOKUP(A655,Medical_Examinations[],2,FALSE)</f>
        <v>43.08</v>
      </c>
      <c r="D655">
        <f>VLOOKUP(A655,Medical_Examinations[],3,FALSE)</f>
        <v>8.9600000000000009</v>
      </c>
      <c r="E655" t="str">
        <f>VLOOKUP(A655,Medical_Examinations[],4,FALSE)</f>
        <v>Yes</v>
      </c>
      <c r="F655" t="str">
        <f>VLOOKUP(A655,Medical_Examinations[],5,FALSE)</f>
        <v>No</v>
      </c>
      <c r="G655" t="str">
        <f>VLOOKUP(A655,Medical_Examinations[],6,FALSE)</f>
        <v>No</v>
      </c>
      <c r="H655">
        <f>VLOOKUP(A655,Medical_Examinations[],7,FALSE)</f>
        <v>1</v>
      </c>
      <c r="I655" t="str">
        <f>VLOOKUP(A655,Medical_Examinations[],8,FALSE)</f>
        <v>No</v>
      </c>
      <c r="J655" t="str">
        <f>VLOOKUP(A655,Medical_Examinations[],9,FALSE)</f>
        <v>Obesity</v>
      </c>
      <c r="K655" t="str">
        <f>VLOOKUP(A655,Medical_Examinations[],10,FALSE)</f>
        <v>Diabetes</v>
      </c>
      <c r="M655">
        <f>VLOOKUP(A655,Hospitalisation_Details__2[],4,FALSE)</f>
        <v>15090.35</v>
      </c>
      <c r="N655" t="str">
        <f>VLOOKUP(A655,Hospitalisation_Details__2[],5,FALSE)</f>
        <v>tier - 2</v>
      </c>
      <c r="O655" t="str">
        <f>VLOOKUP(A655,Hospitalisation_Details__2[],6,FALSE)</f>
        <v>tier - 1</v>
      </c>
      <c r="P655" t="str">
        <f>VLOOKUP(A655,Hospitalisation_Details__2[],7,FALSE)</f>
        <v>R1023</v>
      </c>
    </row>
    <row r="656" spans="1:16" x14ac:dyDescent="0.35">
      <c r="A656" t="str">
        <v>Id655</v>
      </c>
      <c r="B656" t="str">
        <f>VLOOKUP(A656,'Customer Names (2)'!A:B, 2,FALSE)</f>
        <v>Mr</v>
      </c>
      <c r="C656">
        <f>VLOOKUP(A656,Medical_Examinations[],2,FALSE)</f>
        <v>39.07</v>
      </c>
      <c r="D656">
        <f>VLOOKUP(A656,Medical_Examinations[],3,FALSE)</f>
        <v>11.93</v>
      </c>
      <c r="E656" t="str">
        <f>VLOOKUP(A656,Medical_Examinations[],4,FALSE)</f>
        <v>No</v>
      </c>
      <c r="F656" t="str">
        <f>VLOOKUP(A656,Medical_Examinations[],5,FALSE)</f>
        <v>No</v>
      </c>
      <c r="G656" t="str">
        <f>VLOOKUP(A656,Medical_Examinations[],6,FALSE)</f>
        <v>No</v>
      </c>
      <c r="H656">
        <f>VLOOKUP(A656,Medical_Examinations[],7,FALSE)</f>
        <v>0</v>
      </c>
      <c r="I656" t="str">
        <f>VLOOKUP(A656,Medical_Examinations[],8,FALSE)</f>
        <v>No</v>
      </c>
      <c r="J656" t="str">
        <f>VLOOKUP(A656,Medical_Examinations[],9,FALSE)</f>
        <v>Obesity</v>
      </c>
      <c r="K656" t="str">
        <f>VLOOKUP(A656,Medical_Examinations[],10,FALSE)</f>
        <v>Diabetes</v>
      </c>
      <c r="M656">
        <f>VLOOKUP(A656,Hospitalisation_Details__2[],4,FALSE)</f>
        <v>15052.68</v>
      </c>
      <c r="N656" t="str">
        <f>VLOOKUP(A656,Hospitalisation_Details__2[],5,FALSE)</f>
        <v>tier - 2</v>
      </c>
      <c r="O656" t="str">
        <f>VLOOKUP(A656,Hospitalisation_Details__2[],6,FALSE)</f>
        <v>tier - 2</v>
      </c>
      <c r="P656" t="str">
        <f>VLOOKUP(A656,Hospitalisation_Details__2[],7,FALSE)</f>
        <v>R1022</v>
      </c>
    </row>
    <row r="657" spans="1:16" x14ac:dyDescent="0.35">
      <c r="A657" t="str">
        <v>Id656</v>
      </c>
      <c r="B657" t="str">
        <f>VLOOKUP(A657,'Customer Names (2)'!A:B, 2,FALSE)</f>
        <v>Mr</v>
      </c>
      <c r="C657">
        <f>VLOOKUP(A657,Medical_Examinations[],2,FALSE)</f>
        <v>41.3</v>
      </c>
      <c r="D657">
        <f>VLOOKUP(A657,Medical_Examinations[],3,FALSE)</f>
        <v>9.59</v>
      </c>
      <c r="E657" t="str">
        <f>VLOOKUP(A657,Medical_Examinations[],4,FALSE)</f>
        <v>No</v>
      </c>
      <c r="F657" t="str">
        <f>VLOOKUP(A657,Medical_Examinations[],5,FALSE)</f>
        <v>No</v>
      </c>
      <c r="G657" t="str">
        <f>VLOOKUP(A657,Medical_Examinations[],6,FALSE)</f>
        <v>No</v>
      </c>
      <c r="H657">
        <f>VLOOKUP(A657,Medical_Examinations[],7,FALSE)</f>
        <v>0</v>
      </c>
      <c r="I657" t="str">
        <f>VLOOKUP(A657,Medical_Examinations[],8,FALSE)</f>
        <v>No</v>
      </c>
      <c r="J657" t="str">
        <f>VLOOKUP(A657,Medical_Examinations[],9,FALSE)</f>
        <v>Obesity</v>
      </c>
      <c r="K657" t="str">
        <f>VLOOKUP(A657,Medical_Examinations[],10,FALSE)</f>
        <v>Diabetes</v>
      </c>
      <c r="M657">
        <f>VLOOKUP(A657,Hospitalisation_Details__2[],4,FALSE)</f>
        <v>15038.51</v>
      </c>
      <c r="N657" t="str">
        <f>VLOOKUP(A657,Hospitalisation_Details__2[],5,FALSE)</f>
        <v>tier - 2</v>
      </c>
      <c r="O657" t="str">
        <f>VLOOKUP(A657,Hospitalisation_Details__2[],6,FALSE)</f>
        <v>tier - 3</v>
      </c>
      <c r="P657" t="str">
        <f>VLOOKUP(A657,Hospitalisation_Details__2[],7,FALSE)</f>
        <v>R1023</v>
      </c>
    </row>
    <row r="658" spans="1:16" x14ac:dyDescent="0.35">
      <c r="A658" t="str">
        <v>Id657</v>
      </c>
      <c r="B658" t="str">
        <f>VLOOKUP(A658,'Customer Names (2)'!A:B, 2,FALSE)</f>
        <v>Ms</v>
      </c>
      <c r="C658">
        <f>VLOOKUP(A658,Medical_Examinations[],2,FALSE)</f>
        <v>42.95</v>
      </c>
      <c r="D658">
        <f>VLOOKUP(A658,Medical_Examinations[],3,FALSE)</f>
        <v>11.88</v>
      </c>
      <c r="E658" t="str">
        <f>VLOOKUP(A658,Medical_Examinations[],4,FALSE)</f>
        <v>Yes</v>
      </c>
      <c r="F658" t="str">
        <f>VLOOKUP(A658,Medical_Examinations[],5,FALSE)</f>
        <v>No</v>
      </c>
      <c r="G658" t="str">
        <f>VLOOKUP(A658,Medical_Examinations[],6,FALSE)</f>
        <v>No</v>
      </c>
      <c r="H658">
        <f>VLOOKUP(A658,Medical_Examinations[],7,FALSE)</f>
        <v>2</v>
      </c>
      <c r="I658" t="str">
        <f>VLOOKUP(A658,Medical_Examinations[],8,FALSE)</f>
        <v>No</v>
      </c>
      <c r="J658" t="str">
        <f>VLOOKUP(A658,Medical_Examinations[],9,FALSE)</f>
        <v>Obesity</v>
      </c>
      <c r="K658" t="str">
        <f>VLOOKUP(A658,Medical_Examinations[],10,FALSE)</f>
        <v>Diabetes</v>
      </c>
      <c r="M658">
        <f>VLOOKUP(A658,Hospitalisation_Details__2[],4,FALSE)</f>
        <v>15026.3</v>
      </c>
      <c r="N658" t="str">
        <f>VLOOKUP(A658,Hospitalisation_Details__2[],5,FALSE)</f>
        <v>tier - 2</v>
      </c>
      <c r="O658" t="str">
        <f>VLOOKUP(A658,Hospitalisation_Details__2[],6,FALSE)</f>
        <v>tier - 3</v>
      </c>
      <c r="P658" t="str">
        <f>VLOOKUP(A658,Hospitalisation_Details__2[],7,FALSE)</f>
        <v>R1011</v>
      </c>
    </row>
    <row r="659" spans="1:16" x14ac:dyDescent="0.35">
      <c r="A659" t="str">
        <v>Id658</v>
      </c>
      <c r="B659" t="str">
        <f>VLOOKUP(A659,'Customer Names (2)'!A:B, 2,FALSE)</f>
        <v>Ms</v>
      </c>
      <c r="C659">
        <f>VLOOKUP(A659,Medical_Examinations[],2,FALSE)</f>
        <v>46.96</v>
      </c>
      <c r="D659">
        <f>VLOOKUP(A659,Medical_Examinations[],3,FALSE)</f>
        <v>4.6399999999999997</v>
      </c>
      <c r="E659" t="str">
        <f>VLOOKUP(A659,Medical_Examinations[],4,FALSE)</f>
        <v>No</v>
      </c>
      <c r="F659" t="str">
        <f>VLOOKUP(A659,Medical_Examinations[],5,FALSE)</f>
        <v>No</v>
      </c>
      <c r="G659" t="str">
        <f>VLOOKUP(A659,Medical_Examinations[],6,FALSE)</f>
        <v>Yes</v>
      </c>
      <c r="H659">
        <f>VLOOKUP(A659,Medical_Examinations[],7,FALSE)</f>
        <v>1</v>
      </c>
      <c r="I659" t="str">
        <f>VLOOKUP(A659,Medical_Examinations[],8,FALSE)</f>
        <v>No</v>
      </c>
      <c r="J659" t="str">
        <f>VLOOKUP(A659,Medical_Examinations[],9,FALSE)</f>
        <v>Obesity</v>
      </c>
      <c r="K659" t="str">
        <f>VLOOKUP(A659,Medical_Examinations[],10,FALSE)</f>
        <v>Normal</v>
      </c>
      <c r="M659">
        <f>VLOOKUP(A659,Hospitalisation_Details__2[],4,FALSE)</f>
        <v>15025.76</v>
      </c>
      <c r="N659" t="str">
        <f>VLOOKUP(A659,Hospitalisation_Details__2[],5,FALSE)</f>
        <v>tier - 2</v>
      </c>
      <c r="O659" t="str">
        <f>VLOOKUP(A659,Hospitalisation_Details__2[],6,FALSE)</f>
        <v>tier - 1</v>
      </c>
      <c r="P659" t="str">
        <f>VLOOKUP(A659,Hospitalisation_Details__2[],7,FALSE)</f>
        <v>R1011</v>
      </c>
    </row>
    <row r="660" spans="1:16" x14ac:dyDescent="0.35">
      <c r="A660" t="str">
        <v>Id659</v>
      </c>
      <c r="B660" t="str">
        <f>VLOOKUP(A660,'Customer Names (2)'!A:B, 2,FALSE)</f>
        <v>Ms</v>
      </c>
      <c r="C660">
        <f>VLOOKUP(A660,Medical_Examinations[],2,FALSE)</f>
        <v>30.495000000000001</v>
      </c>
      <c r="D660">
        <f>VLOOKUP(A660,Medical_Examinations[],3,FALSE)</f>
        <v>9.5299999999999994</v>
      </c>
      <c r="E660" t="str">
        <f>VLOOKUP(A660,Medical_Examinations[],4,FALSE)</f>
        <v>No</v>
      </c>
      <c r="F660" t="str">
        <f>VLOOKUP(A660,Medical_Examinations[],5,FALSE)</f>
        <v>No</v>
      </c>
      <c r="G660" t="str">
        <f>VLOOKUP(A660,Medical_Examinations[],6,FALSE)</f>
        <v>No</v>
      </c>
      <c r="H660">
        <f>VLOOKUP(A660,Medical_Examinations[],7,FALSE)</f>
        <v>0</v>
      </c>
      <c r="I660" t="str">
        <f>VLOOKUP(A660,Medical_Examinations[],8,FALSE)</f>
        <v>No</v>
      </c>
      <c r="J660" t="str">
        <f>VLOOKUP(A660,Medical_Examinations[],9,FALSE)</f>
        <v>Obesity</v>
      </c>
      <c r="K660" t="str">
        <f>VLOOKUP(A660,Medical_Examinations[],10,FALSE)</f>
        <v>Diabetes</v>
      </c>
      <c r="M660">
        <f>VLOOKUP(A660,Hospitalisation_Details__2[],4,FALSE)</f>
        <v>15019.76</v>
      </c>
      <c r="N660" t="str">
        <f>VLOOKUP(A660,Hospitalisation_Details__2[],5,FALSE)</f>
        <v>tier - 2</v>
      </c>
      <c r="O660" t="str">
        <f>VLOOKUP(A660,Hospitalisation_Details__2[],6,FALSE)</f>
        <v>tier - 2</v>
      </c>
      <c r="P660" t="str">
        <f>VLOOKUP(A660,Hospitalisation_Details__2[],7,FALSE)</f>
        <v>R1012</v>
      </c>
    </row>
    <row r="661" spans="1:16" x14ac:dyDescent="0.35">
      <c r="A661" t="str">
        <v>Id660</v>
      </c>
      <c r="B661" t="str">
        <f>VLOOKUP(A661,'Customer Names (2)'!A:B, 2,FALSE)</f>
        <v>Ms</v>
      </c>
      <c r="C661">
        <f>VLOOKUP(A661,Medical_Examinations[],2,FALSE)</f>
        <v>17.954999999999998</v>
      </c>
      <c r="D661">
        <f>VLOOKUP(A661,Medical_Examinations[],3,FALSE)</f>
        <v>5.29</v>
      </c>
      <c r="E661" t="str">
        <f>VLOOKUP(A661,Medical_Examinations[],4,FALSE)</f>
        <v>Yes</v>
      </c>
      <c r="F661" t="str">
        <f>VLOOKUP(A661,Medical_Examinations[],5,FALSE)</f>
        <v>No</v>
      </c>
      <c r="G661" t="str">
        <f>VLOOKUP(A661,Medical_Examinations[],6,FALSE)</f>
        <v>No</v>
      </c>
      <c r="H661">
        <f>VLOOKUP(A661,Medical_Examinations[],7,FALSE)</f>
        <v>1</v>
      </c>
      <c r="I661" t="str">
        <f>VLOOKUP(A661,Medical_Examinations[],8,FALSE)</f>
        <v>Yes</v>
      </c>
      <c r="J661" t="str">
        <f>VLOOKUP(A661,Medical_Examinations[],9,FALSE)</f>
        <v>Underweight</v>
      </c>
      <c r="K661" t="str">
        <f>VLOOKUP(A661,Medical_Examinations[],10,FALSE)</f>
        <v>Normal</v>
      </c>
      <c r="M661">
        <f>VLOOKUP(A661,Hospitalisation_Details__2[],4,FALSE)</f>
        <v>15006.58</v>
      </c>
      <c r="N661" t="str">
        <f>VLOOKUP(A661,Hospitalisation_Details__2[],5,FALSE)</f>
        <v>tier - 2</v>
      </c>
      <c r="O661" t="str">
        <f>VLOOKUP(A661,Hospitalisation_Details__2[],6,FALSE)</f>
        <v>tier - 2</v>
      </c>
      <c r="P661" t="str">
        <f>VLOOKUP(A661,Hospitalisation_Details__2[],7,FALSE)</f>
        <v>R1024</v>
      </c>
    </row>
    <row r="662" spans="1:16" x14ac:dyDescent="0.35">
      <c r="A662" t="str">
        <v>Id661</v>
      </c>
      <c r="B662" t="str">
        <f>VLOOKUP(A662,'Customer Names (2)'!A:B, 2,FALSE)</f>
        <v>Mr</v>
      </c>
      <c r="C662">
        <f>VLOOKUP(A662,Medical_Examinations[],2,FALSE)</f>
        <v>25.6</v>
      </c>
      <c r="D662">
        <f>VLOOKUP(A662,Medical_Examinations[],3,FALSE)</f>
        <v>10.95</v>
      </c>
      <c r="E662" t="str">
        <f>VLOOKUP(A662,Medical_Examinations[],4,FALSE)</f>
        <v>No</v>
      </c>
      <c r="F662" t="str">
        <f>VLOOKUP(A662,Medical_Examinations[],5,FALSE)</f>
        <v>No</v>
      </c>
      <c r="G662" t="str">
        <f>VLOOKUP(A662,Medical_Examinations[],6,FALSE)</f>
        <v>No</v>
      </c>
      <c r="H662">
        <f>VLOOKUP(A662,Medical_Examinations[],7,FALSE)</f>
        <v>3</v>
      </c>
      <c r="I662" t="str">
        <f>VLOOKUP(A662,Medical_Examinations[],8,FALSE)</f>
        <v>No</v>
      </c>
      <c r="J662" t="str">
        <f>VLOOKUP(A662,Medical_Examinations[],9,FALSE)</f>
        <v>Overweight</v>
      </c>
      <c r="K662" t="str">
        <f>VLOOKUP(A662,Medical_Examinations[],10,FALSE)</f>
        <v>Diabetes</v>
      </c>
      <c r="M662">
        <f>VLOOKUP(A662,Hospitalisation_Details__2[],4,FALSE)</f>
        <v>14988.43</v>
      </c>
      <c r="N662" t="str">
        <f>VLOOKUP(A662,Hospitalisation_Details__2[],5,FALSE)</f>
        <v>tier - 2</v>
      </c>
      <c r="O662" t="str">
        <f>VLOOKUP(A662,Hospitalisation_Details__2[],6,FALSE)</f>
        <v>tier - 3</v>
      </c>
      <c r="P662" t="str">
        <f>VLOOKUP(A662,Hospitalisation_Details__2[],7,FALSE)</f>
        <v>R1011</v>
      </c>
    </row>
    <row r="663" spans="1:16" x14ac:dyDescent="0.35">
      <c r="A663" t="str">
        <v>Id662</v>
      </c>
      <c r="B663" t="str">
        <f>VLOOKUP(A663,'Customer Names (2)'!A:B, 2,FALSE)</f>
        <v>Mr</v>
      </c>
      <c r="C663">
        <f>VLOOKUP(A663,Medical_Examinations[],2,FALSE)</f>
        <v>34.21</v>
      </c>
      <c r="D663">
        <f>VLOOKUP(A663,Medical_Examinations[],3,FALSE)</f>
        <v>9.17</v>
      </c>
      <c r="E663" t="str">
        <f>VLOOKUP(A663,Medical_Examinations[],4,FALSE)</f>
        <v>No</v>
      </c>
      <c r="F663" t="str">
        <f>VLOOKUP(A663,Medical_Examinations[],5,FALSE)</f>
        <v>No</v>
      </c>
      <c r="G663" t="str">
        <f>VLOOKUP(A663,Medical_Examinations[],6,FALSE)</f>
        <v>No</v>
      </c>
      <c r="H663">
        <f>VLOOKUP(A663,Medical_Examinations[],7,FALSE)</f>
        <v>0</v>
      </c>
      <c r="I663" t="str">
        <f>VLOOKUP(A663,Medical_Examinations[],8,FALSE)</f>
        <v>No</v>
      </c>
      <c r="J663" t="str">
        <f>VLOOKUP(A663,Medical_Examinations[],9,FALSE)</f>
        <v>Obesity</v>
      </c>
      <c r="K663" t="str">
        <f>VLOOKUP(A663,Medical_Examinations[],10,FALSE)</f>
        <v>Diabetes</v>
      </c>
      <c r="M663">
        <f>VLOOKUP(A663,Hospitalisation_Details__2[],4,FALSE)</f>
        <v>14945.34</v>
      </c>
      <c r="N663" t="str">
        <f>VLOOKUP(A663,Hospitalisation_Details__2[],5,FALSE)</f>
        <v>tier - 2</v>
      </c>
      <c r="O663" t="str">
        <f>VLOOKUP(A663,Hospitalisation_Details__2[],6,FALSE)</f>
        <v>tier - 1</v>
      </c>
      <c r="P663" t="str">
        <f>VLOOKUP(A663,Hospitalisation_Details__2[],7,FALSE)</f>
        <v>R1021</v>
      </c>
    </row>
    <row r="664" spans="1:16" x14ac:dyDescent="0.35">
      <c r="A664" t="str">
        <v>Id663</v>
      </c>
      <c r="B664" t="str">
        <f>VLOOKUP(A664,'Customer Names (2)'!A:B, 2,FALSE)</f>
        <v>Mr</v>
      </c>
      <c r="C664">
        <f>VLOOKUP(A664,Medical_Examinations[],2,FALSE)</f>
        <v>39.74</v>
      </c>
      <c r="D664">
        <f>VLOOKUP(A664,Medical_Examinations[],3,FALSE)</f>
        <v>7.39</v>
      </c>
      <c r="E664" t="str">
        <f>VLOOKUP(A664,Medical_Examinations[],4,FALSE)</f>
        <v>No</v>
      </c>
      <c r="F664" t="str">
        <f>VLOOKUP(A664,Medical_Examinations[],5,FALSE)</f>
        <v>No</v>
      </c>
      <c r="G664" t="str">
        <f>VLOOKUP(A664,Medical_Examinations[],6,FALSE)</f>
        <v>No</v>
      </c>
      <c r="H664">
        <f>VLOOKUP(A664,Medical_Examinations[],7,FALSE)</f>
        <v>0</v>
      </c>
      <c r="I664" t="str">
        <f>VLOOKUP(A664,Medical_Examinations[],8,FALSE)</f>
        <v>No</v>
      </c>
      <c r="J664" t="str">
        <f>VLOOKUP(A664,Medical_Examinations[],9,FALSE)</f>
        <v>Obesity</v>
      </c>
      <c r="K664" t="str">
        <f>VLOOKUP(A664,Medical_Examinations[],10,FALSE)</f>
        <v>Diabetes</v>
      </c>
      <c r="M664">
        <f>VLOOKUP(A664,Hospitalisation_Details__2[],4,FALSE)</f>
        <v>14926.97</v>
      </c>
      <c r="N664" t="str">
        <f>VLOOKUP(A664,Hospitalisation_Details__2[],5,FALSE)</f>
        <v>tier - 2</v>
      </c>
      <c r="O664" t="str">
        <f>VLOOKUP(A664,Hospitalisation_Details__2[],6,FALSE)</f>
        <v>tier - 2</v>
      </c>
      <c r="P664" t="str">
        <f>VLOOKUP(A664,Hospitalisation_Details__2[],7,FALSE)</f>
        <v>R1012</v>
      </c>
    </row>
    <row r="665" spans="1:16" x14ac:dyDescent="0.35">
      <c r="A665" t="str">
        <v>Id664</v>
      </c>
      <c r="B665" t="str">
        <f>VLOOKUP(A665,'Customer Names (2)'!A:B, 2,FALSE)</f>
        <v>Ms</v>
      </c>
      <c r="C665">
        <f>VLOOKUP(A665,Medical_Examinations[],2,FALSE)</f>
        <v>49.53</v>
      </c>
      <c r="D665">
        <f>VLOOKUP(A665,Medical_Examinations[],3,FALSE)</f>
        <v>9.1300000000000008</v>
      </c>
      <c r="E665" t="str">
        <f>VLOOKUP(A665,Medical_Examinations[],4,FALSE)</f>
        <v>Yes</v>
      </c>
      <c r="F665" t="str">
        <f>VLOOKUP(A665,Medical_Examinations[],5,FALSE)</f>
        <v>No</v>
      </c>
      <c r="G665" t="str">
        <f>VLOOKUP(A665,Medical_Examinations[],6,FALSE)</f>
        <v>No</v>
      </c>
      <c r="H665">
        <f>VLOOKUP(A665,Medical_Examinations[],7,FALSE)</f>
        <v>0</v>
      </c>
      <c r="I665" t="str">
        <f>VLOOKUP(A665,Medical_Examinations[],8,FALSE)</f>
        <v>No</v>
      </c>
      <c r="J665" t="str">
        <f>VLOOKUP(A665,Medical_Examinations[],9,FALSE)</f>
        <v>Obesity</v>
      </c>
      <c r="K665" t="str">
        <f>VLOOKUP(A665,Medical_Examinations[],10,FALSE)</f>
        <v>Diabetes</v>
      </c>
      <c r="M665">
        <f>VLOOKUP(A665,Hospitalisation_Details__2[],4,FALSE)</f>
        <v>14908.27</v>
      </c>
      <c r="N665" t="str">
        <f>VLOOKUP(A665,Hospitalisation_Details__2[],5,FALSE)</f>
        <v>tier - 2</v>
      </c>
      <c r="O665" t="str">
        <f>VLOOKUP(A665,Hospitalisation_Details__2[],6,FALSE)</f>
        <v>tier - 1</v>
      </c>
      <c r="P665" t="str">
        <f>VLOOKUP(A665,Hospitalisation_Details__2[],7,FALSE)</f>
        <v>R1011</v>
      </c>
    </row>
    <row r="666" spans="1:16" x14ac:dyDescent="0.35">
      <c r="A666" t="str">
        <v>Id665</v>
      </c>
      <c r="B666" t="str">
        <f>VLOOKUP(A666,'Customer Names (2)'!A:B, 2,FALSE)</f>
        <v>Ms</v>
      </c>
      <c r="C666">
        <f>VLOOKUP(A666,Medical_Examinations[],2,FALSE)</f>
        <v>39.33</v>
      </c>
      <c r="D666">
        <f>VLOOKUP(A666,Medical_Examinations[],3,FALSE)</f>
        <v>10.4</v>
      </c>
      <c r="E666" t="str">
        <f>VLOOKUP(A666,Medical_Examinations[],4,FALSE)</f>
        <v>No</v>
      </c>
      <c r="F666" t="str">
        <f>VLOOKUP(A666,Medical_Examinations[],5,FALSE)</f>
        <v>No</v>
      </c>
      <c r="G666" t="str">
        <f>VLOOKUP(A666,Medical_Examinations[],6,FALSE)</f>
        <v>No</v>
      </c>
      <c r="H666">
        <f>VLOOKUP(A666,Medical_Examinations[],7,FALSE)</f>
        <v>3</v>
      </c>
      <c r="I666" t="str">
        <f>VLOOKUP(A666,Medical_Examinations[],8,FALSE)</f>
        <v>No</v>
      </c>
      <c r="J666" t="str">
        <f>VLOOKUP(A666,Medical_Examinations[],9,FALSE)</f>
        <v>Obesity</v>
      </c>
      <c r="K666" t="str">
        <f>VLOOKUP(A666,Medical_Examinations[],10,FALSE)</f>
        <v>Diabetes</v>
      </c>
      <c r="M666">
        <f>VLOOKUP(A666,Hospitalisation_Details__2[],4,FALSE)</f>
        <v>14901.52</v>
      </c>
      <c r="N666" t="str">
        <f>VLOOKUP(A666,Hospitalisation_Details__2[],5,FALSE)</f>
        <v>tier - 2</v>
      </c>
      <c r="O666" t="str">
        <f>VLOOKUP(A666,Hospitalisation_Details__2[],6,FALSE)</f>
        <v>tier - 2</v>
      </c>
      <c r="P666" t="str">
        <f>VLOOKUP(A666,Hospitalisation_Details__2[],7,FALSE)</f>
        <v>R1024</v>
      </c>
    </row>
    <row r="667" spans="1:16" x14ac:dyDescent="0.35">
      <c r="A667" t="str">
        <v>Id666</v>
      </c>
      <c r="B667" t="str">
        <f>VLOOKUP(A667,'Customer Names (2)'!A:B, 2,FALSE)</f>
        <v>Mr</v>
      </c>
      <c r="C667">
        <f>VLOOKUP(A667,Medical_Examinations[],2,FALSE)</f>
        <v>39.979999999999997</v>
      </c>
      <c r="D667">
        <f>VLOOKUP(A667,Medical_Examinations[],3,FALSE)</f>
        <v>9.4600000000000009</v>
      </c>
      <c r="E667" t="str">
        <f>VLOOKUP(A667,Medical_Examinations[],4,FALSE)</f>
        <v>Yes</v>
      </c>
      <c r="F667" t="str">
        <f>VLOOKUP(A667,Medical_Examinations[],5,FALSE)</f>
        <v>No</v>
      </c>
      <c r="G667" t="str">
        <f>VLOOKUP(A667,Medical_Examinations[],6,FALSE)</f>
        <v>No</v>
      </c>
      <c r="H667">
        <f>VLOOKUP(A667,Medical_Examinations[],7,FALSE)</f>
        <v>2</v>
      </c>
      <c r="I667" t="str">
        <f>VLOOKUP(A667,Medical_Examinations[],8,FALSE)</f>
        <v>No</v>
      </c>
      <c r="J667" t="str">
        <f>VLOOKUP(A667,Medical_Examinations[],9,FALSE)</f>
        <v>Obesity</v>
      </c>
      <c r="K667" t="str">
        <f>VLOOKUP(A667,Medical_Examinations[],10,FALSE)</f>
        <v>Diabetes</v>
      </c>
      <c r="M667">
        <f>VLOOKUP(A667,Hospitalisation_Details__2[],4,FALSE)</f>
        <v>14847.63</v>
      </c>
      <c r="N667" t="str">
        <f>VLOOKUP(A667,Hospitalisation_Details__2[],5,FALSE)</f>
        <v>tier - 2</v>
      </c>
      <c r="O667" t="str">
        <f>VLOOKUP(A667,Hospitalisation_Details__2[],6,FALSE)</f>
        <v>tier - 2</v>
      </c>
      <c r="P667" t="str">
        <f>VLOOKUP(A667,Hospitalisation_Details__2[],7,FALSE)</f>
        <v>R1023</v>
      </c>
    </row>
    <row r="668" spans="1:16" x14ac:dyDescent="0.35">
      <c r="A668" t="str">
        <v>Id667</v>
      </c>
      <c r="B668" t="str">
        <f>VLOOKUP(A668,'Customer Names (2)'!A:B, 2,FALSE)</f>
        <v>Mrs</v>
      </c>
      <c r="C668">
        <f>VLOOKUP(A668,Medical_Examinations[],2,FALSE)</f>
        <v>46.51</v>
      </c>
      <c r="D668">
        <f>VLOOKUP(A668,Medical_Examinations[],3,FALSE)</f>
        <v>8.69</v>
      </c>
      <c r="E668" t="str">
        <f>VLOOKUP(A668,Medical_Examinations[],4,FALSE)</f>
        <v>Yes</v>
      </c>
      <c r="F668" t="str">
        <f>VLOOKUP(A668,Medical_Examinations[],5,FALSE)</f>
        <v>No</v>
      </c>
      <c r="G668" t="str">
        <f>VLOOKUP(A668,Medical_Examinations[],6,FALSE)</f>
        <v>No</v>
      </c>
      <c r="H668">
        <f>VLOOKUP(A668,Medical_Examinations[],7,FALSE)</f>
        <v>0</v>
      </c>
      <c r="I668" t="str">
        <f>VLOOKUP(A668,Medical_Examinations[],8,FALSE)</f>
        <v>No</v>
      </c>
      <c r="J668" t="str">
        <f>VLOOKUP(A668,Medical_Examinations[],9,FALSE)</f>
        <v>Obesity</v>
      </c>
      <c r="K668" t="str">
        <f>VLOOKUP(A668,Medical_Examinations[],10,FALSE)</f>
        <v>Diabetes</v>
      </c>
      <c r="M668">
        <f>VLOOKUP(A668,Hospitalisation_Details__2[],4,FALSE)</f>
        <v>14843.96</v>
      </c>
      <c r="N668" t="str">
        <f>VLOOKUP(A668,Hospitalisation_Details__2[],5,FALSE)</f>
        <v>tier - 2</v>
      </c>
      <c r="O668" t="str">
        <f>VLOOKUP(A668,Hospitalisation_Details__2[],6,FALSE)</f>
        <v>tier - 3</v>
      </c>
      <c r="P668" t="str">
        <f>VLOOKUP(A668,Hospitalisation_Details__2[],7,FALSE)</f>
        <v>R1026</v>
      </c>
    </row>
    <row r="669" spans="1:16" x14ac:dyDescent="0.35">
      <c r="A669" t="str">
        <v>Id668</v>
      </c>
      <c r="B669" t="str">
        <f>VLOOKUP(A669,'Customer Names (2)'!A:B, 2,FALSE)</f>
        <v>Mrs</v>
      </c>
      <c r="C669">
        <f>VLOOKUP(A669,Medical_Examinations[],2,FALSE)</f>
        <v>43.58</v>
      </c>
      <c r="D669">
        <f>VLOOKUP(A669,Medical_Examinations[],3,FALSE)</f>
        <v>4.2300000000000004</v>
      </c>
      <c r="E669" t="str">
        <f>VLOOKUP(A669,Medical_Examinations[],4,FALSE)</f>
        <v>No</v>
      </c>
      <c r="F669" t="str">
        <f>VLOOKUP(A669,Medical_Examinations[],5,FALSE)</f>
        <v>No</v>
      </c>
      <c r="G669" t="str">
        <f>VLOOKUP(A669,Medical_Examinations[],6,FALSE)</f>
        <v>Yes</v>
      </c>
      <c r="H669">
        <f>VLOOKUP(A669,Medical_Examinations[],7,FALSE)</f>
        <v>1</v>
      </c>
      <c r="I669" t="str">
        <f>VLOOKUP(A669,Medical_Examinations[],8,FALSE)</f>
        <v>No</v>
      </c>
      <c r="J669" t="str">
        <f>VLOOKUP(A669,Medical_Examinations[],9,FALSE)</f>
        <v>Obesity</v>
      </c>
      <c r="K669" t="str">
        <f>VLOOKUP(A669,Medical_Examinations[],10,FALSE)</f>
        <v>Normal</v>
      </c>
      <c r="M669">
        <f>VLOOKUP(A669,Hospitalisation_Details__2[],4,FALSE)</f>
        <v>14839.34</v>
      </c>
      <c r="N669" t="str">
        <f>VLOOKUP(A669,Hospitalisation_Details__2[],5,FALSE)</f>
        <v>tier - 2</v>
      </c>
      <c r="O669" t="str">
        <f>VLOOKUP(A669,Hospitalisation_Details__2[],6,FALSE)</f>
        <v>tier - 3</v>
      </c>
      <c r="P669" t="str">
        <f>VLOOKUP(A669,Hospitalisation_Details__2[],7,FALSE)</f>
        <v>R1026</v>
      </c>
    </row>
    <row r="670" spans="1:16" x14ac:dyDescent="0.35">
      <c r="A670" t="str">
        <v>Id669</v>
      </c>
      <c r="B670" t="str">
        <f>VLOOKUP(A670,'Customer Names (2)'!A:B, 2,FALSE)</f>
        <v>Mr</v>
      </c>
      <c r="C670">
        <f>VLOOKUP(A670,Medical_Examinations[],2,FALSE)</f>
        <v>42.28</v>
      </c>
      <c r="D670">
        <f>VLOOKUP(A670,Medical_Examinations[],3,FALSE)</f>
        <v>9.16</v>
      </c>
      <c r="E670" t="str">
        <f>VLOOKUP(A670,Medical_Examinations[],4,FALSE)</f>
        <v>Yes</v>
      </c>
      <c r="F670" t="str">
        <f>VLOOKUP(A670,Medical_Examinations[],5,FALSE)</f>
        <v>No</v>
      </c>
      <c r="G670" t="str">
        <f>VLOOKUP(A670,Medical_Examinations[],6,FALSE)</f>
        <v>No</v>
      </c>
      <c r="H670">
        <f>VLOOKUP(A670,Medical_Examinations[],7,FALSE)</f>
        <v>1</v>
      </c>
      <c r="I670" t="str">
        <f>VLOOKUP(A670,Medical_Examinations[],8,FALSE)</f>
        <v>No</v>
      </c>
      <c r="J670" t="str">
        <f>VLOOKUP(A670,Medical_Examinations[],9,FALSE)</f>
        <v>Obesity</v>
      </c>
      <c r="K670" t="str">
        <f>VLOOKUP(A670,Medical_Examinations[],10,FALSE)</f>
        <v>Diabetes</v>
      </c>
      <c r="M670">
        <f>VLOOKUP(A670,Hospitalisation_Details__2[],4,FALSE)</f>
        <v>14819</v>
      </c>
      <c r="N670" t="str">
        <f>VLOOKUP(A670,Hospitalisation_Details__2[],5,FALSE)</f>
        <v>tier - 2</v>
      </c>
      <c r="O670" t="str">
        <f>VLOOKUP(A670,Hospitalisation_Details__2[],6,FALSE)</f>
        <v>tier - 3</v>
      </c>
      <c r="P670" t="str">
        <f>VLOOKUP(A670,Hospitalisation_Details__2[],7,FALSE)</f>
        <v>R1023</v>
      </c>
    </row>
    <row r="671" spans="1:16" x14ac:dyDescent="0.35">
      <c r="A671" t="str">
        <v>Id670</v>
      </c>
      <c r="B671" t="str">
        <f>VLOOKUP(A671,'Customer Names (2)'!A:B, 2,FALSE)</f>
        <v>Mrs</v>
      </c>
      <c r="C671">
        <f>VLOOKUP(A671,Medical_Examinations[],2,FALSE)</f>
        <v>35.520000000000003</v>
      </c>
      <c r="D671">
        <f>VLOOKUP(A671,Medical_Examinations[],3,FALSE)</f>
        <v>8.26</v>
      </c>
      <c r="E671" t="str">
        <f>VLOOKUP(A671,Medical_Examinations[],4,FALSE)</f>
        <v>No</v>
      </c>
      <c r="F671" t="str">
        <f>VLOOKUP(A671,Medical_Examinations[],5,FALSE)</f>
        <v>No</v>
      </c>
      <c r="G671" t="str">
        <f>VLOOKUP(A671,Medical_Examinations[],6,FALSE)</f>
        <v>No</v>
      </c>
      <c r="H671">
        <f>VLOOKUP(A671,Medical_Examinations[],7,FALSE)</f>
        <v>0</v>
      </c>
      <c r="I671" t="str">
        <f>VLOOKUP(A671,Medical_Examinations[],8,FALSE)</f>
        <v>No</v>
      </c>
      <c r="J671" t="str">
        <f>VLOOKUP(A671,Medical_Examinations[],9,FALSE)</f>
        <v>Obesity</v>
      </c>
      <c r="K671" t="str">
        <f>VLOOKUP(A671,Medical_Examinations[],10,FALSE)</f>
        <v>Diabetes</v>
      </c>
      <c r="M671">
        <f>VLOOKUP(A671,Hospitalisation_Details__2[],4,FALSE)</f>
        <v>14750.42</v>
      </c>
      <c r="N671" t="str">
        <f>VLOOKUP(A671,Hospitalisation_Details__2[],5,FALSE)</f>
        <v>tier - 2</v>
      </c>
      <c r="O671" t="str">
        <f>VLOOKUP(A671,Hospitalisation_Details__2[],6,FALSE)</f>
        <v>tier - 2</v>
      </c>
      <c r="P671" t="str">
        <f>VLOOKUP(A671,Hospitalisation_Details__2[],7,FALSE)</f>
        <v>R1026</v>
      </c>
    </row>
    <row r="672" spans="1:16" x14ac:dyDescent="0.35">
      <c r="A672" t="str">
        <v>Id671</v>
      </c>
      <c r="B672" t="str">
        <f>VLOOKUP(A672,'Customer Names (2)'!A:B, 2,FALSE)</f>
        <v>Mr</v>
      </c>
      <c r="C672">
        <f>VLOOKUP(A672,Medical_Examinations[],2,FALSE)</f>
        <v>33.6</v>
      </c>
      <c r="D672">
        <f>VLOOKUP(A672,Medical_Examinations[],3,FALSE)</f>
        <v>11.25</v>
      </c>
      <c r="E672" t="str">
        <f>VLOOKUP(A672,Medical_Examinations[],4,FALSE)</f>
        <v>No</v>
      </c>
      <c r="F672" t="str">
        <f>VLOOKUP(A672,Medical_Examinations[],5,FALSE)</f>
        <v>No</v>
      </c>
      <c r="G672" t="str">
        <f>VLOOKUP(A672,Medical_Examinations[],6,FALSE)</f>
        <v>No</v>
      </c>
      <c r="H672">
        <f>VLOOKUP(A672,Medical_Examinations[],7,FALSE)</f>
        <v>0</v>
      </c>
      <c r="I672" t="str">
        <f>VLOOKUP(A672,Medical_Examinations[],8,FALSE)</f>
        <v>No</v>
      </c>
      <c r="J672" t="str">
        <f>VLOOKUP(A672,Medical_Examinations[],9,FALSE)</f>
        <v>Obesity</v>
      </c>
      <c r="K672" t="str">
        <f>VLOOKUP(A672,Medical_Examinations[],10,FALSE)</f>
        <v>Diabetes</v>
      </c>
      <c r="M672">
        <f>VLOOKUP(A672,Hospitalisation_Details__2[],4,FALSE)</f>
        <v>14738.43</v>
      </c>
      <c r="N672" t="str">
        <f>VLOOKUP(A672,Hospitalisation_Details__2[],5,FALSE)</f>
        <v>tier - 2</v>
      </c>
      <c r="O672" t="str">
        <f>VLOOKUP(A672,Hospitalisation_Details__2[],6,FALSE)</f>
        <v>tier - 3</v>
      </c>
      <c r="P672" t="str">
        <f>VLOOKUP(A672,Hospitalisation_Details__2[],7,FALSE)</f>
        <v>R1021</v>
      </c>
    </row>
    <row r="673" spans="1:16" x14ac:dyDescent="0.35">
      <c r="A673" t="str">
        <v>Id672</v>
      </c>
      <c r="B673" t="str">
        <f>VLOOKUP(A673,'Customer Names (2)'!A:B, 2,FALSE)</f>
        <v>Ms</v>
      </c>
      <c r="C673">
        <f>VLOOKUP(A673,Medical_Examinations[],2,FALSE)</f>
        <v>22.42</v>
      </c>
      <c r="D673">
        <f>VLOOKUP(A673,Medical_Examinations[],3,FALSE)</f>
        <v>6.74</v>
      </c>
      <c r="E673" t="str">
        <f>VLOOKUP(A673,Medical_Examinations[],4,FALSE)</f>
        <v>No</v>
      </c>
      <c r="F673" t="str">
        <f>VLOOKUP(A673,Medical_Examinations[],5,FALSE)</f>
        <v>No</v>
      </c>
      <c r="G673" t="str">
        <f>VLOOKUP(A673,Medical_Examinations[],6,FALSE)</f>
        <v>No</v>
      </c>
      <c r="H673">
        <f>VLOOKUP(A673,Medical_Examinations[],7,FALSE)</f>
        <v>0</v>
      </c>
      <c r="I673" t="str">
        <f>VLOOKUP(A673,Medical_Examinations[],8,FALSE)</f>
        <v>Yes</v>
      </c>
      <c r="J673" t="str">
        <f>VLOOKUP(A673,Medical_Examinations[],9,FALSE)</f>
        <v>Normal Weight</v>
      </c>
      <c r="K673" t="str">
        <f>VLOOKUP(A673,Medical_Examinations[],10,FALSE)</f>
        <v>Diabetes</v>
      </c>
      <c r="M673">
        <f>VLOOKUP(A673,Hospitalisation_Details__2[],4,FALSE)</f>
        <v>14711.74</v>
      </c>
      <c r="N673" t="str">
        <f>VLOOKUP(A673,Hospitalisation_Details__2[],5,FALSE)</f>
        <v>tier - 2</v>
      </c>
      <c r="O673" t="str">
        <f>VLOOKUP(A673,Hospitalisation_Details__2[],6,FALSE)</f>
        <v>tier - 2</v>
      </c>
      <c r="P673" t="str">
        <f>VLOOKUP(A673,Hospitalisation_Details__2[],7,FALSE)</f>
        <v>R1012</v>
      </c>
    </row>
    <row r="674" spans="1:16" x14ac:dyDescent="0.35">
      <c r="A674" t="str">
        <v>Id673</v>
      </c>
      <c r="B674" t="str">
        <f>VLOOKUP(A674,'Customer Names (2)'!A:B, 2,FALSE)</f>
        <v>Ms</v>
      </c>
      <c r="C674">
        <f>VLOOKUP(A674,Medical_Examinations[],2,FALSE)</f>
        <v>46.86</v>
      </c>
      <c r="D674">
        <f>VLOOKUP(A674,Medical_Examinations[],3,FALSE)</f>
        <v>4.87</v>
      </c>
      <c r="E674" t="str">
        <f>VLOOKUP(A674,Medical_Examinations[],4,FALSE)</f>
        <v>No</v>
      </c>
      <c r="F674" t="str">
        <f>VLOOKUP(A674,Medical_Examinations[],5,FALSE)</f>
        <v>No</v>
      </c>
      <c r="G674" t="str">
        <f>VLOOKUP(A674,Medical_Examinations[],6,FALSE)</f>
        <v>No</v>
      </c>
      <c r="H674">
        <f>VLOOKUP(A674,Medical_Examinations[],7,FALSE)</f>
        <v>0</v>
      </c>
      <c r="I674" t="str">
        <f>VLOOKUP(A674,Medical_Examinations[],8,FALSE)</f>
        <v>No</v>
      </c>
      <c r="J674" t="str">
        <f>VLOOKUP(A674,Medical_Examinations[],9,FALSE)</f>
        <v>Obesity</v>
      </c>
      <c r="K674" t="str">
        <f>VLOOKUP(A674,Medical_Examinations[],10,FALSE)</f>
        <v>Normal</v>
      </c>
      <c r="M674">
        <f>VLOOKUP(A674,Hospitalisation_Details__2[],4,FALSE)</f>
        <v>14696.77</v>
      </c>
      <c r="N674" t="str">
        <f>VLOOKUP(A674,Hospitalisation_Details__2[],5,FALSE)</f>
        <v>tier - 2</v>
      </c>
      <c r="O674" t="str">
        <f>VLOOKUP(A674,Hospitalisation_Details__2[],6,FALSE)</f>
        <v>tier - 2</v>
      </c>
      <c r="P674" t="str">
        <f>VLOOKUP(A674,Hospitalisation_Details__2[],7,FALSE)</f>
        <v>R1011</v>
      </c>
    </row>
    <row r="675" spans="1:16" x14ac:dyDescent="0.35">
      <c r="A675" t="str">
        <v>Id674</v>
      </c>
      <c r="B675" t="str">
        <f>VLOOKUP(A675,'Customer Names (2)'!A:B, 2,FALSE)</f>
        <v>Ms</v>
      </c>
      <c r="C675">
        <f>VLOOKUP(A675,Medical_Examinations[],2,FALSE)</f>
        <v>32.965000000000003</v>
      </c>
      <c r="D675">
        <f>VLOOKUP(A675,Medical_Examinations[],3,FALSE)</f>
        <v>6.68</v>
      </c>
      <c r="E675" t="str">
        <f>VLOOKUP(A675,Medical_Examinations[],4,FALSE)</f>
        <v>No</v>
      </c>
      <c r="F675" t="str">
        <f>VLOOKUP(A675,Medical_Examinations[],5,FALSE)</f>
        <v>No</v>
      </c>
      <c r="G675" t="str">
        <f>VLOOKUP(A675,Medical_Examinations[],6,FALSE)</f>
        <v>No</v>
      </c>
      <c r="H675">
        <f>VLOOKUP(A675,Medical_Examinations[],7,FALSE)</f>
        <v>3</v>
      </c>
      <c r="I675" t="str">
        <f>VLOOKUP(A675,Medical_Examinations[],8,FALSE)</f>
        <v>No</v>
      </c>
      <c r="J675" t="str">
        <f>VLOOKUP(A675,Medical_Examinations[],9,FALSE)</f>
        <v>Obesity</v>
      </c>
      <c r="K675" t="str">
        <f>VLOOKUP(A675,Medical_Examinations[],10,FALSE)</f>
        <v>Diabetes</v>
      </c>
      <c r="M675">
        <f>VLOOKUP(A675,Hospitalisation_Details__2[],4,FALSE)</f>
        <v>14692.67</v>
      </c>
      <c r="N675" t="str">
        <f>VLOOKUP(A675,Hospitalisation_Details__2[],5,FALSE)</f>
        <v>tier - 2</v>
      </c>
      <c r="O675" t="str">
        <f>VLOOKUP(A675,Hospitalisation_Details__2[],6,FALSE)</f>
        <v>tier - 1</v>
      </c>
      <c r="P675" t="str">
        <f>VLOOKUP(A675,Hospitalisation_Details__2[],7,FALSE)</f>
        <v>R1012</v>
      </c>
    </row>
    <row r="676" spans="1:16" x14ac:dyDescent="0.35">
      <c r="A676" t="str">
        <v>Id675</v>
      </c>
      <c r="B676" t="str">
        <f>VLOOKUP(A676,'Customer Names (2)'!A:B, 2,FALSE)</f>
        <v>Ms</v>
      </c>
      <c r="C676">
        <f>VLOOKUP(A676,Medical_Examinations[],2,FALSE)</f>
        <v>39.340000000000003</v>
      </c>
      <c r="D676">
        <f>VLOOKUP(A676,Medical_Examinations[],3,FALSE)</f>
        <v>5.0199999999999996</v>
      </c>
      <c r="E676" t="str">
        <f>VLOOKUP(A676,Medical_Examinations[],4,FALSE)</f>
        <v>Yes</v>
      </c>
      <c r="F676" t="str">
        <f>VLOOKUP(A676,Medical_Examinations[],5,FALSE)</f>
        <v>No</v>
      </c>
      <c r="G676" t="str">
        <f>VLOOKUP(A676,Medical_Examinations[],6,FALSE)</f>
        <v>Yes</v>
      </c>
      <c r="H676">
        <f>VLOOKUP(A676,Medical_Examinations[],7,FALSE)</f>
        <v>1</v>
      </c>
      <c r="I676" t="str">
        <f>VLOOKUP(A676,Medical_Examinations[],8,FALSE)</f>
        <v>No</v>
      </c>
      <c r="J676" t="str">
        <f>VLOOKUP(A676,Medical_Examinations[],9,FALSE)</f>
        <v>Obesity</v>
      </c>
      <c r="K676" t="str">
        <f>VLOOKUP(A676,Medical_Examinations[],10,FALSE)</f>
        <v>Normal</v>
      </c>
      <c r="M676">
        <f>VLOOKUP(A676,Hospitalisation_Details__2[],4,FALSE)</f>
        <v>14665.75</v>
      </c>
      <c r="N676" t="str">
        <f>VLOOKUP(A676,Hospitalisation_Details__2[],5,FALSE)</f>
        <v>tier - 2</v>
      </c>
      <c r="O676" t="str">
        <f>VLOOKUP(A676,Hospitalisation_Details__2[],6,FALSE)</f>
        <v>tier - 1</v>
      </c>
      <c r="P676" t="str">
        <f>VLOOKUP(A676,Hospitalisation_Details__2[],7,FALSE)</f>
        <v>R1012</v>
      </c>
    </row>
    <row r="677" spans="1:16" x14ac:dyDescent="0.35">
      <c r="A677" t="str">
        <v>Id676</v>
      </c>
      <c r="B677" t="str">
        <f>VLOOKUP(A677,'Customer Names (2)'!A:B, 2,FALSE)</f>
        <v>Ms</v>
      </c>
      <c r="C677">
        <f>VLOOKUP(A677,Medical_Examinations[],2,FALSE)</f>
        <v>47</v>
      </c>
      <c r="D677">
        <f>VLOOKUP(A677,Medical_Examinations[],3,FALSE)</f>
        <v>10.64</v>
      </c>
      <c r="E677" t="str">
        <f>VLOOKUP(A677,Medical_Examinations[],4,FALSE)</f>
        <v>Yes</v>
      </c>
      <c r="F677" t="str">
        <f>VLOOKUP(A677,Medical_Examinations[],5,FALSE)</f>
        <v>No</v>
      </c>
      <c r="G677" t="str">
        <f>VLOOKUP(A677,Medical_Examinations[],6,FALSE)</f>
        <v>No</v>
      </c>
      <c r="H677">
        <f>VLOOKUP(A677,Medical_Examinations[],7,FALSE)</f>
        <v>0</v>
      </c>
      <c r="I677" t="str">
        <f>VLOOKUP(A677,Medical_Examinations[],8,FALSE)</f>
        <v>No</v>
      </c>
      <c r="J677" t="str">
        <f>VLOOKUP(A677,Medical_Examinations[],9,FALSE)</f>
        <v>Obesity</v>
      </c>
      <c r="K677" t="str">
        <f>VLOOKUP(A677,Medical_Examinations[],10,FALSE)</f>
        <v>Diabetes</v>
      </c>
      <c r="M677">
        <f>VLOOKUP(A677,Hospitalisation_Details__2[],4,FALSE)</f>
        <v>14657.2</v>
      </c>
      <c r="N677" t="str">
        <f>VLOOKUP(A677,Hospitalisation_Details__2[],5,FALSE)</f>
        <v>tier - 2</v>
      </c>
      <c r="O677" t="str">
        <f>VLOOKUP(A677,Hospitalisation_Details__2[],6,FALSE)</f>
        <v>tier - 1</v>
      </c>
      <c r="P677" t="str">
        <f>VLOOKUP(A677,Hospitalisation_Details__2[],7,FALSE)</f>
        <v>R1012</v>
      </c>
    </row>
    <row r="678" spans="1:16" x14ac:dyDescent="0.35">
      <c r="A678" t="str">
        <v>Id677</v>
      </c>
      <c r="B678" t="str">
        <f>VLOOKUP(A678,'Customer Names (2)'!A:B, 2,FALSE)</f>
        <v>Mrs</v>
      </c>
      <c r="C678">
        <f>VLOOKUP(A678,Medical_Examinations[],2,FALSE)</f>
        <v>36.71</v>
      </c>
      <c r="D678">
        <f>VLOOKUP(A678,Medical_Examinations[],3,FALSE)</f>
        <v>8.74</v>
      </c>
      <c r="E678" t="str">
        <f>VLOOKUP(A678,Medical_Examinations[],4,FALSE)</f>
        <v>Yes</v>
      </c>
      <c r="F678" t="str">
        <f>VLOOKUP(A678,Medical_Examinations[],5,FALSE)</f>
        <v>No</v>
      </c>
      <c r="G678" t="str">
        <f>VLOOKUP(A678,Medical_Examinations[],6,FALSE)</f>
        <v>No</v>
      </c>
      <c r="H678">
        <f>VLOOKUP(A678,Medical_Examinations[],7,FALSE)</f>
        <v>0</v>
      </c>
      <c r="I678" t="str">
        <f>VLOOKUP(A678,Medical_Examinations[],8,FALSE)</f>
        <v>No</v>
      </c>
      <c r="J678" t="str">
        <f>VLOOKUP(A678,Medical_Examinations[],9,FALSE)</f>
        <v>Obesity</v>
      </c>
      <c r="K678" t="str">
        <f>VLOOKUP(A678,Medical_Examinations[],10,FALSE)</f>
        <v>Diabetes</v>
      </c>
      <c r="M678">
        <f>VLOOKUP(A678,Hospitalisation_Details__2[],4,FALSE)</f>
        <v>14640.35</v>
      </c>
      <c r="N678" t="str">
        <f>VLOOKUP(A678,Hospitalisation_Details__2[],5,FALSE)</f>
        <v>tier - 2</v>
      </c>
      <c r="O678" t="str">
        <f>VLOOKUP(A678,Hospitalisation_Details__2[],6,FALSE)</f>
        <v>tier - 3</v>
      </c>
      <c r="P678" t="str">
        <f>VLOOKUP(A678,Hospitalisation_Details__2[],7,FALSE)</f>
        <v>R1026</v>
      </c>
    </row>
    <row r="679" spans="1:16" x14ac:dyDescent="0.35">
      <c r="A679" t="str">
        <v>Id678</v>
      </c>
      <c r="B679" t="str">
        <f>VLOOKUP(A679,'Customer Names (2)'!A:B, 2,FALSE)</f>
        <v>Ms</v>
      </c>
      <c r="C679">
        <f>VLOOKUP(A679,Medical_Examinations[],2,FALSE)</f>
        <v>53.48</v>
      </c>
      <c r="D679">
        <f>VLOOKUP(A679,Medical_Examinations[],3,FALSE)</f>
        <v>5.64</v>
      </c>
      <c r="E679" t="str">
        <f>VLOOKUP(A679,Medical_Examinations[],4,FALSE)</f>
        <v>No</v>
      </c>
      <c r="F679" t="str">
        <f>VLOOKUP(A679,Medical_Examinations[],5,FALSE)</f>
        <v>No</v>
      </c>
      <c r="G679" t="str">
        <f>VLOOKUP(A679,Medical_Examinations[],6,FALSE)</f>
        <v>No</v>
      </c>
      <c r="H679">
        <f>VLOOKUP(A679,Medical_Examinations[],7,FALSE)</f>
        <v>0</v>
      </c>
      <c r="I679" t="str">
        <f>VLOOKUP(A679,Medical_Examinations[],8,FALSE)</f>
        <v>No</v>
      </c>
      <c r="J679" t="str">
        <f>VLOOKUP(A679,Medical_Examinations[],9,FALSE)</f>
        <v>Obesity</v>
      </c>
      <c r="K679" t="str">
        <f>VLOOKUP(A679,Medical_Examinations[],10,FALSE)</f>
        <v>Normal</v>
      </c>
      <c r="M679">
        <f>VLOOKUP(A679,Hospitalisation_Details__2[],4,FALSE)</f>
        <v>14630.52</v>
      </c>
      <c r="N679" t="str">
        <f>VLOOKUP(A679,Hospitalisation_Details__2[],5,FALSE)</f>
        <v>tier - 2</v>
      </c>
      <c r="O679" t="str">
        <f>VLOOKUP(A679,Hospitalisation_Details__2[],6,FALSE)</f>
        <v>tier - 3</v>
      </c>
      <c r="P679" t="str">
        <f>VLOOKUP(A679,Hospitalisation_Details__2[],7,FALSE)</f>
        <v>R1011</v>
      </c>
    </row>
    <row r="680" spans="1:16" x14ac:dyDescent="0.35">
      <c r="A680" t="str">
        <v>Id679</v>
      </c>
      <c r="B680" t="str">
        <f>VLOOKUP(A680,'Customer Names (2)'!A:B, 2,FALSE)</f>
        <v>Mr</v>
      </c>
      <c r="C680">
        <f>VLOOKUP(A680,Medical_Examinations[],2,FALSE)</f>
        <v>35.5</v>
      </c>
      <c r="D680">
        <f>VLOOKUP(A680,Medical_Examinations[],3,FALSE)</f>
        <v>10.37</v>
      </c>
      <c r="E680" t="str">
        <f>VLOOKUP(A680,Medical_Examinations[],4,FALSE)</f>
        <v>No</v>
      </c>
      <c r="F680" t="str">
        <f>VLOOKUP(A680,Medical_Examinations[],5,FALSE)</f>
        <v>No</v>
      </c>
      <c r="G680" t="str">
        <f>VLOOKUP(A680,Medical_Examinations[],6,FALSE)</f>
        <v>No</v>
      </c>
      <c r="H680">
        <f>VLOOKUP(A680,Medical_Examinations[],7,FALSE)</f>
        <v>0</v>
      </c>
      <c r="I680" t="str">
        <f>VLOOKUP(A680,Medical_Examinations[],8,FALSE)</f>
        <v>No</v>
      </c>
      <c r="J680" t="str">
        <f>VLOOKUP(A680,Medical_Examinations[],9,FALSE)</f>
        <v>Obesity</v>
      </c>
      <c r="K680" t="str">
        <f>VLOOKUP(A680,Medical_Examinations[],10,FALSE)</f>
        <v>Diabetes</v>
      </c>
      <c r="M680">
        <f>VLOOKUP(A680,Hospitalisation_Details__2[],4,FALSE)</f>
        <v>14612.33</v>
      </c>
      <c r="N680" t="str">
        <f>VLOOKUP(A680,Hospitalisation_Details__2[],5,FALSE)</f>
        <v>tier - 2</v>
      </c>
      <c r="O680" t="str">
        <f>VLOOKUP(A680,Hospitalisation_Details__2[],6,FALSE)</f>
        <v>tier - 3</v>
      </c>
      <c r="P680" t="str">
        <f>VLOOKUP(A680,Hospitalisation_Details__2[],7,FALSE)</f>
        <v>R1021</v>
      </c>
    </row>
    <row r="681" spans="1:16" x14ac:dyDescent="0.35">
      <c r="A681" t="str">
        <v>Id680</v>
      </c>
      <c r="B681" t="str">
        <f>VLOOKUP(A681,'Customer Names (2)'!A:B, 2,FALSE)</f>
        <v>Mr</v>
      </c>
      <c r="C681">
        <f>VLOOKUP(A681,Medical_Examinations[],2,FALSE)</f>
        <v>36.979999999999997</v>
      </c>
      <c r="D681">
        <f>VLOOKUP(A681,Medical_Examinations[],3,FALSE)</f>
        <v>9.56</v>
      </c>
      <c r="E681" t="str">
        <f>VLOOKUP(A681,Medical_Examinations[],4,FALSE)</f>
        <v>Yes</v>
      </c>
      <c r="F681" t="str">
        <f>VLOOKUP(A681,Medical_Examinations[],5,FALSE)</f>
        <v>No</v>
      </c>
      <c r="G681" t="str">
        <f>VLOOKUP(A681,Medical_Examinations[],6,FALSE)</f>
        <v>No</v>
      </c>
      <c r="H681">
        <f>VLOOKUP(A681,Medical_Examinations[],7,FALSE)</f>
        <v>0</v>
      </c>
      <c r="I681" t="str">
        <f>VLOOKUP(A681,Medical_Examinations[],8,FALSE)</f>
        <v>No</v>
      </c>
      <c r="J681" t="str">
        <f>VLOOKUP(A681,Medical_Examinations[],9,FALSE)</f>
        <v>Obesity</v>
      </c>
      <c r="K681" t="str">
        <f>VLOOKUP(A681,Medical_Examinations[],10,FALSE)</f>
        <v>Diabetes</v>
      </c>
      <c r="M681">
        <f>VLOOKUP(A681,Hospitalisation_Details__2[],4,FALSE)</f>
        <v>14600.62</v>
      </c>
      <c r="N681" t="str">
        <f>VLOOKUP(A681,Hospitalisation_Details__2[],5,FALSE)</f>
        <v>tier - 2</v>
      </c>
      <c r="O681" t="str">
        <f>VLOOKUP(A681,Hospitalisation_Details__2[],6,FALSE)</f>
        <v>tier - 3</v>
      </c>
      <c r="P681" t="str">
        <f>VLOOKUP(A681,Hospitalisation_Details__2[],7,FALSE)</f>
        <v>R1022</v>
      </c>
    </row>
    <row r="682" spans="1:16" x14ac:dyDescent="0.35">
      <c r="A682" t="str">
        <v>Id681</v>
      </c>
      <c r="B682" t="str">
        <f>VLOOKUP(A682,'Customer Names (2)'!A:B, 2,FALSE)</f>
        <v>Ms</v>
      </c>
      <c r="C682">
        <f>VLOOKUP(A682,Medical_Examinations[],2,FALSE)</f>
        <v>32.395000000000003</v>
      </c>
      <c r="D682">
        <f>VLOOKUP(A682,Medical_Examinations[],3,FALSE)</f>
        <v>8.23</v>
      </c>
      <c r="E682" t="str">
        <f>VLOOKUP(A682,Medical_Examinations[],4,FALSE)</f>
        <v>Yes</v>
      </c>
      <c r="F682" t="str">
        <f>VLOOKUP(A682,Medical_Examinations[],5,FALSE)</f>
        <v>No</v>
      </c>
      <c r="G682" t="str">
        <f>VLOOKUP(A682,Medical_Examinations[],6,FALSE)</f>
        <v>Yes</v>
      </c>
      <c r="H682">
        <f>VLOOKUP(A682,Medical_Examinations[],7,FALSE)</f>
        <v>1</v>
      </c>
      <c r="I682" t="str">
        <f>VLOOKUP(A682,Medical_Examinations[],8,FALSE)</f>
        <v>No</v>
      </c>
      <c r="J682" t="str">
        <f>VLOOKUP(A682,Medical_Examinations[],9,FALSE)</f>
        <v>Obesity</v>
      </c>
      <c r="K682" t="str">
        <f>VLOOKUP(A682,Medical_Examinations[],10,FALSE)</f>
        <v>Diabetes</v>
      </c>
      <c r="M682">
        <f>VLOOKUP(A682,Hospitalisation_Details__2[],4,FALSE)</f>
        <v>14590.63</v>
      </c>
      <c r="N682" t="str">
        <f>VLOOKUP(A682,Hospitalisation_Details__2[],5,FALSE)</f>
        <v>tier - 2</v>
      </c>
      <c r="O682" t="str">
        <f>VLOOKUP(A682,Hospitalisation_Details__2[],6,FALSE)</f>
        <v>tier - 1</v>
      </c>
      <c r="P682" t="str">
        <f>VLOOKUP(A682,Hospitalisation_Details__2[],7,FALSE)</f>
        <v>R1024</v>
      </c>
    </row>
    <row r="683" spans="1:16" x14ac:dyDescent="0.35">
      <c r="A683" t="str">
        <v>Id682</v>
      </c>
      <c r="B683" t="str">
        <f>VLOOKUP(A683,'Customer Names (2)'!A:B, 2,FALSE)</f>
        <v>Mrs</v>
      </c>
      <c r="C683">
        <f>VLOOKUP(A683,Medical_Examinations[],2,FALSE)</f>
        <v>32.729999999999997</v>
      </c>
      <c r="D683">
        <f>VLOOKUP(A683,Medical_Examinations[],3,FALSE)</f>
        <v>7.03</v>
      </c>
      <c r="E683" t="str">
        <f>VLOOKUP(A683,Medical_Examinations[],4,FALSE)</f>
        <v>No</v>
      </c>
      <c r="F683" t="str">
        <f>VLOOKUP(A683,Medical_Examinations[],5,FALSE)</f>
        <v>No</v>
      </c>
      <c r="G683" t="str">
        <f>VLOOKUP(A683,Medical_Examinations[],6,FALSE)</f>
        <v>No</v>
      </c>
      <c r="H683">
        <f>VLOOKUP(A683,Medical_Examinations[],7,FALSE)</f>
        <v>0</v>
      </c>
      <c r="I683" t="str">
        <f>VLOOKUP(A683,Medical_Examinations[],8,FALSE)</f>
        <v>No</v>
      </c>
      <c r="J683" t="str">
        <f>VLOOKUP(A683,Medical_Examinations[],9,FALSE)</f>
        <v>Obesity</v>
      </c>
      <c r="K683" t="str">
        <f>VLOOKUP(A683,Medical_Examinations[],10,FALSE)</f>
        <v>Diabetes</v>
      </c>
      <c r="M683">
        <f>VLOOKUP(A683,Hospitalisation_Details__2[],4,FALSE)</f>
        <v>14574.64</v>
      </c>
      <c r="N683" t="str">
        <f>VLOOKUP(A683,Hospitalisation_Details__2[],5,FALSE)</f>
        <v>tier - 2</v>
      </c>
      <c r="O683" t="str">
        <f>VLOOKUP(A683,Hospitalisation_Details__2[],6,FALSE)</f>
        <v>tier - 1</v>
      </c>
      <c r="P683" t="str">
        <f>VLOOKUP(A683,Hospitalisation_Details__2[],7,FALSE)</f>
        <v>R1025</v>
      </c>
    </row>
    <row r="684" spans="1:16" x14ac:dyDescent="0.35">
      <c r="A684" t="str">
        <v>Id683</v>
      </c>
      <c r="B684" t="str">
        <f>VLOOKUP(A684,'Customer Names (2)'!A:B, 2,FALSE)</f>
        <v>Ms</v>
      </c>
      <c r="C684">
        <f>VLOOKUP(A684,Medical_Examinations[],2,FALSE)</f>
        <v>20.52</v>
      </c>
      <c r="D684">
        <f>VLOOKUP(A684,Medical_Examinations[],3,FALSE)</f>
        <v>5.45</v>
      </c>
      <c r="E684" t="str">
        <f>VLOOKUP(A684,Medical_Examinations[],4,FALSE)</f>
        <v>No</v>
      </c>
      <c r="F684" t="str">
        <f>VLOOKUP(A684,Medical_Examinations[],5,FALSE)</f>
        <v>No</v>
      </c>
      <c r="G684" t="str">
        <f>VLOOKUP(A684,Medical_Examinations[],6,FALSE)</f>
        <v>No</v>
      </c>
      <c r="H684">
        <f>VLOOKUP(A684,Medical_Examinations[],7,FALSE)</f>
        <v>1</v>
      </c>
      <c r="I684" t="str">
        <f>VLOOKUP(A684,Medical_Examinations[],8,FALSE)</f>
        <v>Yes</v>
      </c>
      <c r="J684" t="str">
        <f>VLOOKUP(A684,Medical_Examinations[],9,FALSE)</f>
        <v>Normal Weight</v>
      </c>
      <c r="K684" t="str">
        <f>VLOOKUP(A684,Medical_Examinations[],10,FALSE)</f>
        <v>Normal</v>
      </c>
      <c r="M684">
        <f>VLOOKUP(A684,Hospitalisation_Details__2[],4,FALSE)</f>
        <v>14571.89</v>
      </c>
      <c r="N684" t="str">
        <f>VLOOKUP(A684,Hospitalisation_Details__2[],5,FALSE)</f>
        <v>tier - 2</v>
      </c>
      <c r="O684" t="str">
        <f>VLOOKUP(A684,Hospitalisation_Details__2[],6,FALSE)</f>
        <v>tier - 1</v>
      </c>
      <c r="P684" t="str">
        <f>VLOOKUP(A684,Hospitalisation_Details__2[],7,FALSE)</f>
        <v>R1024</v>
      </c>
    </row>
    <row r="685" spans="1:16" x14ac:dyDescent="0.35">
      <c r="A685" t="str">
        <v>Id684</v>
      </c>
      <c r="B685" t="str">
        <f>VLOOKUP(A685,'Customer Names (2)'!A:B, 2,FALSE)</f>
        <v>Ms</v>
      </c>
      <c r="C685">
        <f>VLOOKUP(A685,Medical_Examinations[],2,FALSE)</f>
        <v>51.72</v>
      </c>
      <c r="D685">
        <f>VLOOKUP(A685,Medical_Examinations[],3,FALSE)</f>
        <v>5.76</v>
      </c>
      <c r="E685" t="str">
        <f>VLOOKUP(A685,Medical_Examinations[],4,FALSE)</f>
        <v>No</v>
      </c>
      <c r="F685" t="str">
        <f>VLOOKUP(A685,Medical_Examinations[],5,FALSE)</f>
        <v>No</v>
      </c>
      <c r="G685" t="str">
        <f>VLOOKUP(A685,Medical_Examinations[],6,FALSE)</f>
        <v>No</v>
      </c>
      <c r="H685">
        <f>VLOOKUP(A685,Medical_Examinations[],7,FALSE)</f>
        <v>0</v>
      </c>
      <c r="I685" t="str">
        <f>VLOOKUP(A685,Medical_Examinations[],8,FALSE)</f>
        <v>No</v>
      </c>
      <c r="J685" t="str">
        <f>VLOOKUP(A685,Medical_Examinations[],9,FALSE)</f>
        <v>Obesity</v>
      </c>
      <c r="K685" t="str">
        <f>VLOOKUP(A685,Medical_Examinations[],10,FALSE)</f>
        <v>Prediabetes</v>
      </c>
      <c r="M685">
        <f>VLOOKUP(A685,Hospitalisation_Details__2[],4,FALSE)</f>
        <v>14547.26</v>
      </c>
      <c r="N685" t="str">
        <f>VLOOKUP(A685,Hospitalisation_Details__2[],5,FALSE)</f>
        <v>tier - 2</v>
      </c>
      <c r="O685" t="str">
        <f>VLOOKUP(A685,Hospitalisation_Details__2[],6,FALSE)</f>
        <v>tier - 3</v>
      </c>
      <c r="P685" t="str">
        <f>VLOOKUP(A685,Hospitalisation_Details__2[],7,FALSE)</f>
        <v>R1011</v>
      </c>
    </row>
    <row r="686" spans="1:16" x14ac:dyDescent="0.35">
      <c r="A686" t="str">
        <v>Id685</v>
      </c>
      <c r="B686" t="str">
        <f>VLOOKUP(A686,'Customer Names (2)'!A:B, 2,FALSE)</f>
        <v>Mr</v>
      </c>
      <c r="C686">
        <f>VLOOKUP(A686,Medical_Examinations[],2,FALSE)</f>
        <v>50.2</v>
      </c>
      <c r="D686">
        <f>VLOOKUP(A686,Medical_Examinations[],3,FALSE)</f>
        <v>5.4</v>
      </c>
      <c r="E686" t="str">
        <f>VLOOKUP(A686,Medical_Examinations[],4,FALSE)</f>
        <v>No</v>
      </c>
      <c r="F686" t="str">
        <f>VLOOKUP(A686,Medical_Examinations[],5,FALSE)</f>
        <v>No</v>
      </c>
      <c r="G686" t="str">
        <f>VLOOKUP(A686,Medical_Examinations[],6,FALSE)</f>
        <v>No</v>
      </c>
      <c r="H686">
        <f>VLOOKUP(A686,Medical_Examinations[],7,FALSE)</f>
        <v>0</v>
      </c>
      <c r="I686" t="str">
        <f>VLOOKUP(A686,Medical_Examinations[],8,FALSE)</f>
        <v>No</v>
      </c>
      <c r="J686" t="str">
        <f>VLOOKUP(A686,Medical_Examinations[],9,FALSE)</f>
        <v>Obesity</v>
      </c>
      <c r="K686" t="str">
        <f>VLOOKUP(A686,Medical_Examinations[],10,FALSE)</f>
        <v>Normal</v>
      </c>
      <c r="M686">
        <f>VLOOKUP(A686,Hospitalisation_Details__2[],4,FALSE)</f>
        <v>14507.46</v>
      </c>
      <c r="N686" t="str">
        <f>VLOOKUP(A686,Hospitalisation_Details__2[],5,FALSE)</f>
        <v>tier - 2</v>
      </c>
      <c r="O686" t="str">
        <f>VLOOKUP(A686,Hospitalisation_Details__2[],6,FALSE)</f>
        <v>tier - 3</v>
      </c>
      <c r="P686" t="str">
        <f>VLOOKUP(A686,Hospitalisation_Details__2[],7,FALSE)</f>
        <v>R1012</v>
      </c>
    </row>
    <row r="687" spans="1:16" x14ac:dyDescent="0.35">
      <c r="A687" t="str">
        <v>Id686</v>
      </c>
      <c r="B687" t="str">
        <f>VLOOKUP(A687,'Customer Names (2)'!A:B, 2,FALSE)</f>
        <v>Mr</v>
      </c>
      <c r="C687">
        <f>VLOOKUP(A687,Medical_Examinations[],2,FALSE)</f>
        <v>25.52</v>
      </c>
      <c r="D687">
        <f>VLOOKUP(A687,Medical_Examinations[],3,FALSE)</f>
        <v>6.35</v>
      </c>
      <c r="E687" t="str">
        <f>VLOOKUP(A687,Medical_Examinations[],4,FALSE)</f>
        <v>No</v>
      </c>
      <c r="F687" t="str">
        <f>VLOOKUP(A687,Medical_Examinations[],5,FALSE)</f>
        <v>No</v>
      </c>
      <c r="G687" t="str">
        <f>VLOOKUP(A687,Medical_Examinations[],6,FALSE)</f>
        <v>Yes</v>
      </c>
      <c r="H687">
        <f>VLOOKUP(A687,Medical_Examinations[],7,FALSE)</f>
        <v>1</v>
      </c>
      <c r="I687" t="str">
        <f>VLOOKUP(A687,Medical_Examinations[],8,FALSE)</f>
        <v>No</v>
      </c>
      <c r="J687" t="str">
        <f>VLOOKUP(A687,Medical_Examinations[],9,FALSE)</f>
        <v>Overweight</v>
      </c>
      <c r="K687" t="str">
        <f>VLOOKUP(A687,Medical_Examinations[],10,FALSE)</f>
        <v>Prediabetes</v>
      </c>
      <c r="M687">
        <f>VLOOKUP(A687,Hospitalisation_Details__2[],4,FALSE)</f>
        <v>14478.33</v>
      </c>
      <c r="N687" t="str">
        <f>VLOOKUP(A687,Hospitalisation_Details__2[],5,FALSE)</f>
        <v>tier - 2</v>
      </c>
      <c r="O687" t="str">
        <f>VLOOKUP(A687,Hospitalisation_Details__2[],6,FALSE)</f>
        <v>tier - 2</v>
      </c>
      <c r="P687" t="str">
        <f>VLOOKUP(A687,Hospitalisation_Details__2[],7,FALSE)</f>
        <v>R1013</v>
      </c>
    </row>
    <row r="688" spans="1:16" x14ac:dyDescent="0.35">
      <c r="A688" t="str">
        <v>Id687</v>
      </c>
      <c r="B688" t="str">
        <f>VLOOKUP(A688,'Customer Names (2)'!A:B, 2,FALSE)</f>
        <v>Ms</v>
      </c>
      <c r="C688">
        <f>VLOOKUP(A688,Medical_Examinations[],2,FALSE)</f>
        <v>35.200000000000003</v>
      </c>
      <c r="D688">
        <f>VLOOKUP(A688,Medical_Examinations[],3,FALSE)</f>
        <v>6.26</v>
      </c>
      <c r="E688" t="str">
        <f>VLOOKUP(A688,Medical_Examinations[],4,FALSE)</f>
        <v>Yes</v>
      </c>
      <c r="F688" t="str">
        <f>VLOOKUP(A688,Medical_Examinations[],5,FALSE)</f>
        <v>No</v>
      </c>
      <c r="G688" t="str">
        <f>VLOOKUP(A688,Medical_Examinations[],6,FALSE)</f>
        <v>No</v>
      </c>
      <c r="H688">
        <f>VLOOKUP(A688,Medical_Examinations[],7,FALSE)</f>
        <v>2</v>
      </c>
      <c r="I688" t="str">
        <f>VLOOKUP(A688,Medical_Examinations[],8,FALSE)</f>
        <v>No</v>
      </c>
      <c r="J688" t="str">
        <f>VLOOKUP(A688,Medical_Examinations[],9,FALSE)</f>
        <v>Obesity</v>
      </c>
      <c r="K688" t="str">
        <f>VLOOKUP(A688,Medical_Examinations[],10,FALSE)</f>
        <v>Prediabetes</v>
      </c>
      <c r="M688">
        <f>VLOOKUP(A688,Hospitalisation_Details__2[],4,FALSE)</f>
        <v>14474.68</v>
      </c>
      <c r="N688" t="str">
        <f>VLOOKUP(A688,Hospitalisation_Details__2[],5,FALSE)</f>
        <v>tier - 2</v>
      </c>
      <c r="O688" t="str">
        <f>VLOOKUP(A688,Hospitalisation_Details__2[],6,FALSE)</f>
        <v>tier - 2</v>
      </c>
      <c r="P688" t="str">
        <f>VLOOKUP(A688,Hospitalisation_Details__2[],7,FALSE)</f>
        <v>R1013</v>
      </c>
    </row>
    <row r="689" spans="1:16" x14ac:dyDescent="0.35">
      <c r="A689" t="str">
        <v>Id688</v>
      </c>
      <c r="B689" t="str">
        <f>VLOOKUP(A689,'Customer Names (2)'!A:B, 2,FALSE)</f>
        <v>Ms</v>
      </c>
      <c r="C689">
        <f>VLOOKUP(A689,Medical_Examinations[],2,FALSE)</f>
        <v>41.26</v>
      </c>
      <c r="D689">
        <f>VLOOKUP(A689,Medical_Examinations[],3,FALSE)</f>
        <v>5.97</v>
      </c>
      <c r="E689" t="str">
        <f>VLOOKUP(A689,Medical_Examinations[],4,FALSE)</f>
        <v>Yes</v>
      </c>
      <c r="F689" t="str">
        <f>VLOOKUP(A689,Medical_Examinations[],5,FALSE)</f>
        <v>No</v>
      </c>
      <c r="G689" t="str">
        <f>VLOOKUP(A689,Medical_Examinations[],6,FALSE)</f>
        <v>No</v>
      </c>
      <c r="H689">
        <f>VLOOKUP(A689,Medical_Examinations[],7,FALSE)</f>
        <v>0</v>
      </c>
      <c r="I689" t="str">
        <f>VLOOKUP(A689,Medical_Examinations[],8,FALSE)</f>
        <v>No</v>
      </c>
      <c r="J689" t="str">
        <f>VLOOKUP(A689,Medical_Examinations[],9,FALSE)</f>
        <v>Obesity</v>
      </c>
      <c r="K689" t="str">
        <f>VLOOKUP(A689,Medical_Examinations[],10,FALSE)</f>
        <v>Prediabetes</v>
      </c>
      <c r="M689">
        <f>VLOOKUP(A689,Hospitalisation_Details__2[],4,FALSE)</f>
        <v>14470.01</v>
      </c>
      <c r="N689" t="str">
        <f>VLOOKUP(A689,Hospitalisation_Details__2[],5,FALSE)</f>
        <v>tier - 2</v>
      </c>
      <c r="O689" t="str">
        <f>VLOOKUP(A689,Hospitalisation_Details__2[],6,FALSE)</f>
        <v>tier - 3</v>
      </c>
      <c r="P689" t="str">
        <f>VLOOKUP(A689,Hospitalisation_Details__2[],7,FALSE)</f>
        <v>R1012</v>
      </c>
    </row>
    <row r="690" spans="1:16" x14ac:dyDescent="0.35">
      <c r="A690" t="str">
        <v>Id689</v>
      </c>
      <c r="B690" t="str">
        <f>VLOOKUP(A690,'Customer Names (2)'!A:B, 2,FALSE)</f>
        <v>Ms</v>
      </c>
      <c r="C690">
        <f>VLOOKUP(A690,Medical_Examinations[],2,FALSE)</f>
        <v>17.195</v>
      </c>
      <c r="D690">
        <f>VLOOKUP(A690,Medical_Examinations[],3,FALSE)</f>
        <v>5.29</v>
      </c>
      <c r="E690" t="str">
        <f>VLOOKUP(A690,Medical_Examinations[],4,FALSE)</f>
        <v>Yes</v>
      </c>
      <c r="F690" t="str">
        <f>VLOOKUP(A690,Medical_Examinations[],5,FALSE)</f>
        <v>No</v>
      </c>
      <c r="G690" t="str">
        <f>VLOOKUP(A690,Medical_Examinations[],6,FALSE)</f>
        <v>No</v>
      </c>
      <c r="H690">
        <f>VLOOKUP(A690,Medical_Examinations[],7,FALSE)</f>
        <v>0</v>
      </c>
      <c r="I690" t="str">
        <f>VLOOKUP(A690,Medical_Examinations[],8,FALSE)</f>
        <v>Yes</v>
      </c>
      <c r="J690" t="str">
        <f>VLOOKUP(A690,Medical_Examinations[],9,FALSE)</f>
        <v>Underweight</v>
      </c>
      <c r="K690" t="str">
        <f>VLOOKUP(A690,Medical_Examinations[],10,FALSE)</f>
        <v>Normal</v>
      </c>
      <c r="M690">
        <f>VLOOKUP(A690,Hospitalisation_Details__2[],4,FALSE)</f>
        <v>14455.64</v>
      </c>
      <c r="N690" t="str">
        <f>VLOOKUP(A690,Hospitalisation_Details__2[],5,FALSE)</f>
        <v>tier - 2</v>
      </c>
      <c r="O690" t="str">
        <f>VLOOKUP(A690,Hospitalisation_Details__2[],6,FALSE)</f>
        <v>tier - 3</v>
      </c>
      <c r="P690" t="str">
        <f>VLOOKUP(A690,Hospitalisation_Details__2[],7,FALSE)</f>
        <v>R1024</v>
      </c>
    </row>
    <row r="691" spans="1:16" x14ac:dyDescent="0.35">
      <c r="A691" t="str">
        <v>Id690</v>
      </c>
      <c r="B691" t="str">
        <f>VLOOKUP(A691,'Customer Names (2)'!A:B, 2,FALSE)</f>
        <v>Ms</v>
      </c>
      <c r="C691">
        <f>VLOOKUP(A691,Medical_Examinations[],2,FALSE)</f>
        <v>23.085000000000001</v>
      </c>
      <c r="D691">
        <f>VLOOKUP(A691,Medical_Examinations[],3,FALSE)</f>
        <v>4.2699999999999996</v>
      </c>
      <c r="E691" t="str">
        <f>VLOOKUP(A691,Medical_Examinations[],4,FALSE)</f>
        <v>Yes</v>
      </c>
      <c r="F691" t="str">
        <f>VLOOKUP(A691,Medical_Examinations[],5,FALSE)</f>
        <v>No</v>
      </c>
      <c r="G691" t="str">
        <f>VLOOKUP(A691,Medical_Examinations[],6,FALSE)</f>
        <v>No</v>
      </c>
      <c r="H691">
        <f>VLOOKUP(A691,Medical_Examinations[],7,FALSE)</f>
        <v>2</v>
      </c>
      <c r="I691" t="str">
        <f>VLOOKUP(A691,Medical_Examinations[],8,FALSE)</f>
        <v>No</v>
      </c>
      <c r="J691" t="str">
        <f>VLOOKUP(A691,Medical_Examinations[],9,FALSE)</f>
        <v>Normal Weight</v>
      </c>
      <c r="K691" t="str">
        <f>VLOOKUP(A691,Medical_Examinations[],10,FALSE)</f>
        <v>Normal</v>
      </c>
      <c r="M691">
        <f>VLOOKUP(A691,Hospitalisation_Details__2[],4,FALSE)</f>
        <v>14451.84</v>
      </c>
      <c r="N691" t="str">
        <f>VLOOKUP(A691,Hospitalisation_Details__2[],5,FALSE)</f>
        <v>tier - 2</v>
      </c>
      <c r="O691" t="str">
        <f>VLOOKUP(A691,Hospitalisation_Details__2[],6,FALSE)</f>
        <v>tier - 3</v>
      </c>
      <c r="P691" t="str">
        <f>VLOOKUP(A691,Hospitalisation_Details__2[],7,FALSE)</f>
        <v>R1023</v>
      </c>
    </row>
    <row r="692" spans="1:16" x14ac:dyDescent="0.35">
      <c r="A692" t="str">
        <v>Id691</v>
      </c>
      <c r="B692" t="str">
        <f>VLOOKUP(A692,'Customer Names (2)'!A:B, 2,FALSE)</f>
        <v>Ms</v>
      </c>
      <c r="C692">
        <f>VLOOKUP(A692,Medical_Examinations[],2,FALSE)</f>
        <v>21.66</v>
      </c>
      <c r="D692">
        <f>VLOOKUP(A692,Medical_Examinations[],3,FALSE)</f>
        <v>5.2</v>
      </c>
      <c r="E692" t="str">
        <f>VLOOKUP(A692,Medical_Examinations[],4,FALSE)</f>
        <v>Yes</v>
      </c>
      <c r="F692" t="str">
        <f>VLOOKUP(A692,Medical_Examinations[],5,FALSE)</f>
        <v>No</v>
      </c>
      <c r="G692" t="str">
        <f>VLOOKUP(A692,Medical_Examinations[],6,FALSE)</f>
        <v>No</v>
      </c>
      <c r="H692">
        <f>VLOOKUP(A692,Medical_Examinations[],7,FALSE)</f>
        <v>2</v>
      </c>
      <c r="I692" t="str">
        <f>VLOOKUP(A692,Medical_Examinations[],8,FALSE)</f>
        <v>No</v>
      </c>
      <c r="J692" t="str">
        <f>VLOOKUP(A692,Medical_Examinations[],9,FALSE)</f>
        <v>Normal Weight</v>
      </c>
      <c r="K692" t="str">
        <f>VLOOKUP(A692,Medical_Examinations[],10,FALSE)</f>
        <v>Normal</v>
      </c>
      <c r="M692">
        <f>VLOOKUP(A692,Hospitalisation_Details__2[],4,FALSE)</f>
        <v>14449.85</v>
      </c>
      <c r="N692" t="str">
        <f>VLOOKUP(A692,Hospitalisation_Details__2[],5,FALSE)</f>
        <v>tier - 2</v>
      </c>
      <c r="O692" t="str">
        <f>VLOOKUP(A692,Hospitalisation_Details__2[],6,FALSE)</f>
        <v>tier - 1</v>
      </c>
      <c r="P692" t="str">
        <f>VLOOKUP(A692,Hospitalisation_Details__2[],7,FALSE)</f>
        <v>R1024</v>
      </c>
    </row>
    <row r="693" spans="1:16" x14ac:dyDescent="0.35">
      <c r="A693" t="str">
        <v>Id692</v>
      </c>
      <c r="B693" t="str">
        <f>VLOOKUP(A693,'Customer Names (2)'!A:B, 2,FALSE)</f>
        <v>Mr</v>
      </c>
      <c r="C693">
        <f>VLOOKUP(A693,Medical_Examinations[],2,FALSE)</f>
        <v>36.47</v>
      </c>
      <c r="D693">
        <f>VLOOKUP(A693,Medical_Examinations[],3,FALSE)</f>
        <v>8.23</v>
      </c>
      <c r="E693" t="str">
        <f>VLOOKUP(A693,Medical_Examinations[],4,FALSE)</f>
        <v>Yes</v>
      </c>
      <c r="F693" t="str">
        <f>VLOOKUP(A693,Medical_Examinations[],5,FALSE)</f>
        <v>No</v>
      </c>
      <c r="G693" t="str">
        <f>VLOOKUP(A693,Medical_Examinations[],6,FALSE)</f>
        <v>No</v>
      </c>
      <c r="H693">
        <f>VLOOKUP(A693,Medical_Examinations[],7,FALSE)</f>
        <v>0</v>
      </c>
      <c r="I693" t="str">
        <f>VLOOKUP(A693,Medical_Examinations[],8,FALSE)</f>
        <v>No</v>
      </c>
      <c r="J693" t="str">
        <f>VLOOKUP(A693,Medical_Examinations[],9,FALSE)</f>
        <v>Obesity</v>
      </c>
      <c r="K693" t="str">
        <f>VLOOKUP(A693,Medical_Examinations[],10,FALSE)</f>
        <v>Diabetes</v>
      </c>
      <c r="M693">
        <f>VLOOKUP(A693,Hospitalisation_Details__2[],4,FALSE)</f>
        <v>14427.63</v>
      </c>
      <c r="N693" t="str">
        <f>VLOOKUP(A693,Hospitalisation_Details__2[],5,FALSE)</f>
        <v>tier - 2</v>
      </c>
      <c r="O693" t="str">
        <f>VLOOKUP(A693,Hospitalisation_Details__2[],6,FALSE)</f>
        <v>tier - 2</v>
      </c>
      <c r="P693" t="str">
        <f>VLOOKUP(A693,Hospitalisation_Details__2[],7,FALSE)</f>
        <v>R1021</v>
      </c>
    </row>
    <row r="694" spans="1:16" x14ac:dyDescent="0.35">
      <c r="A694" t="str">
        <v>Id693</v>
      </c>
      <c r="B694" t="str">
        <f>VLOOKUP(A694,'Customer Names (2)'!A:B, 2,FALSE)</f>
        <v>Mrs</v>
      </c>
      <c r="C694">
        <f>VLOOKUP(A694,Medical_Examinations[],2,FALSE)</f>
        <v>36.08</v>
      </c>
      <c r="D694">
        <f>VLOOKUP(A694,Medical_Examinations[],3,FALSE)</f>
        <v>10.33</v>
      </c>
      <c r="E694" t="str">
        <f>VLOOKUP(A694,Medical_Examinations[],4,FALSE)</f>
        <v>Yes</v>
      </c>
      <c r="F694" t="str">
        <f>VLOOKUP(A694,Medical_Examinations[],5,FALSE)</f>
        <v>No</v>
      </c>
      <c r="G694" t="str">
        <f>VLOOKUP(A694,Medical_Examinations[],6,FALSE)</f>
        <v>No</v>
      </c>
      <c r="H694">
        <f>VLOOKUP(A694,Medical_Examinations[],7,FALSE)</f>
        <v>0</v>
      </c>
      <c r="I694" t="str">
        <f>VLOOKUP(A694,Medical_Examinations[],8,FALSE)</f>
        <v>No</v>
      </c>
      <c r="J694" t="str">
        <f>VLOOKUP(A694,Medical_Examinations[],9,FALSE)</f>
        <v>Obesity</v>
      </c>
      <c r="K694" t="str">
        <f>VLOOKUP(A694,Medical_Examinations[],10,FALSE)</f>
        <v>Diabetes</v>
      </c>
      <c r="M694">
        <f>VLOOKUP(A694,Hospitalisation_Details__2[],4,FALSE)</f>
        <v>14426.66</v>
      </c>
      <c r="N694" t="str">
        <f>VLOOKUP(A694,Hospitalisation_Details__2[],5,FALSE)</f>
        <v>tier - 2</v>
      </c>
      <c r="O694" t="str">
        <f>VLOOKUP(A694,Hospitalisation_Details__2[],6,FALSE)</f>
        <v>tier - 2</v>
      </c>
      <c r="P694" t="str">
        <f>VLOOKUP(A694,Hospitalisation_Details__2[],7,FALSE)</f>
        <v>R1026</v>
      </c>
    </row>
    <row r="695" spans="1:16" x14ac:dyDescent="0.35">
      <c r="A695" t="str">
        <v>Id694</v>
      </c>
      <c r="B695" t="str">
        <f>VLOOKUP(A695,'Customer Names (2)'!A:B, 2,FALSE)</f>
        <v>Ms</v>
      </c>
      <c r="C695">
        <f>VLOOKUP(A695,Medical_Examinations[],2,FALSE)</f>
        <v>23.18</v>
      </c>
      <c r="D695">
        <f>VLOOKUP(A695,Medical_Examinations[],3,FALSE)</f>
        <v>6.13</v>
      </c>
      <c r="E695" t="str">
        <f>VLOOKUP(A695,Medical_Examinations[],4,FALSE)</f>
        <v>No</v>
      </c>
      <c r="F695" t="str">
        <f>VLOOKUP(A695,Medical_Examinations[],5,FALSE)</f>
        <v>No</v>
      </c>
      <c r="G695" t="str">
        <f>VLOOKUP(A695,Medical_Examinations[],6,FALSE)</f>
        <v>No</v>
      </c>
      <c r="H695">
        <f>VLOOKUP(A695,Medical_Examinations[],7,FALSE)</f>
        <v>0</v>
      </c>
      <c r="I695" t="str">
        <f>VLOOKUP(A695,Medical_Examinations[],8,FALSE)</f>
        <v>No</v>
      </c>
      <c r="J695" t="str">
        <f>VLOOKUP(A695,Medical_Examinations[],9,FALSE)</f>
        <v>Normal Weight</v>
      </c>
      <c r="K695" t="str">
        <f>VLOOKUP(A695,Medical_Examinations[],10,FALSE)</f>
        <v>Prediabetes</v>
      </c>
      <c r="M695">
        <f>VLOOKUP(A695,Hospitalisation_Details__2[],4,FALSE)</f>
        <v>14426.07</v>
      </c>
      <c r="N695" t="str">
        <f>VLOOKUP(A695,Hospitalisation_Details__2[],5,FALSE)</f>
        <v>tier - 2</v>
      </c>
      <c r="O695" t="str">
        <f>VLOOKUP(A695,Hospitalisation_Details__2[],6,FALSE)</f>
        <v>tier - 1</v>
      </c>
      <c r="P695" t="str">
        <f>VLOOKUP(A695,Hospitalisation_Details__2[],7,FALSE)</f>
        <v>R1012</v>
      </c>
    </row>
    <row r="696" spans="1:16" x14ac:dyDescent="0.35">
      <c r="A696" t="str">
        <v>Id695</v>
      </c>
      <c r="B696" t="str">
        <f>VLOOKUP(A696,'Customer Names (2)'!A:B, 2,FALSE)</f>
        <v>Mr</v>
      </c>
      <c r="C696">
        <f>VLOOKUP(A696,Medical_Examinations[],2,FALSE)</f>
        <v>39.159999999999997</v>
      </c>
      <c r="D696">
        <f>VLOOKUP(A696,Medical_Examinations[],3,FALSE)</f>
        <v>8.08</v>
      </c>
      <c r="E696" t="str">
        <f>VLOOKUP(A696,Medical_Examinations[],4,FALSE)</f>
        <v>No</v>
      </c>
      <c r="F696" t="str">
        <f>VLOOKUP(A696,Medical_Examinations[],5,FALSE)</f>
        <v>No</v>
      </c>
      <c r="G696" t="str">
        <f>VLOOKUP(A696,Medical_Examinations[],6,FALSE)</f>
        <v>No</v>
      </c>
      <c r="H696">
        <f>VLOOKUP(A696,Medical_Examinations[],7,FALSE)</f>
        <v>3</v>
      </c>
      <c r="I696" t="str">
        <f>VLOOKUP(A696,Medical_Examinations[],8,FALSE)</f>
        <v>No</v>
      </c>
      <c r="J696" t="str">
        <f>VLOOKUP(A696,Medical_Examinations[],9,FALSE)</f>
        <v>Obesity</v>
      </c>
      <c r="K696" t="str">
        <f>VLOOKUP(A696,Medical_Examinations[],10,FALSE)</f>
        <v>Diabetes</v>
      </c>
      <c r="M696">
        <f>VLOOKUP(A696,Hospitalisation_Details__2[],4,FALSE)</f>
        <v>14418.28</v>
      </c>
      <c r="N696" t="str">
        <f>VLOOKUP(A696,Hospitalisation_Details__2[],5,FALSE)</f>
        <v>tier - 2</v>
      </c>
      <c r="O696" t="str">
        <f>VLOOKUP(A696,Hospitalisation_Details__2[],6,FALSE)</f>
        <v>tier - 3</v>
      </c>
      <c r="P696" t="str">
        <f>VLOOKUP(A696,Hospitalisation_Details__2[],7,FALSE)</f>
        <v>R1013</v>
      </c>
    </row>
    <row r="697" spans="1:16" x14ac:dyDescent="0.35">
      <c r="A697" t="str">
        <v>Id696</v>
      </c>
      <c r="B697" t="str">
        <f>VLOOKUP(A697,'Customer Names (2)'!A:B, 2,FALSE)</f>
        <v>Mr</v>
      </c>
      <c r="C697">
        <f>VLOOKUP(A697,Medical_Examinations[],2,FALSE)</f>
        <v>38.19</v>
      </c>
      <c r="D697">
        <f>VLOOKUP(A697,Medical_Examinations[],3,FALSE)</f>
        <v>10.49</v>
      </c>
      <c r="E697" t="str">
        <f>VLOOKUP(A697,Medical_Examinations[],4,FALSE)</f>
        <v>No</v>
      </c>
      <c r="F697" t="str">
        <f>VLOOKUP(A697,Medical_Examinations[],5,FALSE)</f>
        <v>No</v>
      </c>
      <c r="G697" t="str">
        <f>VLOOKUP(A697,Medical_Examinations[],6,FALSE)</f>
        <v>No</v>
      </c>
      <c r="H697">
        <f>VLOOKUP(A697,Medical_Examinations[],7,FALSE)</f>
        <v>3</v>
      </c>
      <c r="I697" t="str">
        <f>VLOOKUP(A697,Medical_Examinations[],8,FALSE)</f>
        <v>No</v>
      </c>
      <c r="J697" t="str">
        <f>VLOOKUP(A697,Medical_Examinations[],9,FALSE)</f>
        <v>Obesity</v>
      </c>
      <c r="K697" t="str">
        <f>VLOOKUP(A697,Medical_Examinations[],10,FALSE)</f>
        <v>Diabetes</v>
      </c>
      <c r="M697">
        <f>VLOOKUP(A697,Hospitalisation_Details__2[],4,FALSE)</f>
        <v>14410.93</v>
      </c>
      <c r="N697" t="str">
        <f>VLOOKUP(A697,Hospitalisation_Details__2[],5,FALSE)</f>
        <v>tier - 2</v>
      </c>
      <c r="O697" t="str">
        <f>VLOOKUP(A697,Hospitalisation_Details__2[],6,FALSE)</f>
        <v>tier - 2</v>
      </c>
      <c r="P697" t="str">
        <f>VLOOKUP(A697,Hospitalisation_Details__2[],7,FALSE)</f>
        <v>R1016</v>
      </c>
    </row>
    <row r="698" spans="1:16" x14ac:dyDescent="0.35">
      <c r="A698" t="str">
        <v>Id697</v>
      </c>
      <c r="B698" t="str">
        <f>VLOOKUP(A698,'Customer Names (2)'!A:B, 2,FALSE)</f>
        <v>Mr</v>
      </c>
      <c r="C698">
        <f>VLOOKUP(A698,Medical_Examinations[],2,FALSE)</f>
        <v>26.41</v>
      </c>
      <c r="D698">
        <f>VLOOKUP(A698,Medical_Examinations[],3,FALSE)</f>
        <v>8.11</v>
      </c>
      <c r="E698" t="str">
        <f>VLOOKUP(A698,Medical_Examinations[],4,FALSE)</f>
        <v>No</v>
      </c>
      <c r="F698" t="str">
        <f>VLOOKUP(A698,Medical_Examinations[],5,FALSE)</f>
        <v>No</v>
      </c>
      <c r="G698" t="str">
        <f>VLOOKUP(A698,Medical_Examinations[],6,FALSE)</f>
        <v>No</v>
      </c>
      <c r="H698">
        <f>VLOOKUP(A698,Medical_Examinations[],7,FALSE)</f>
        <v>3</v>
      </c>
      <c r="I698" t="str">
        <f>VLOOKUP(A698,Medical_Examinations[],8,FALSE)</f>
        <v>No</v>
      </c>
      <c r="J698" t="str">
        <f>VLOOKUP(A698,Medical_Examinations[],9,FALSE)</f>
        <v>Overweight</v>
      </c>
      <c r="K698" t="str">
        <f>VLOOKUP(A698,Medical_Examinations[],10,FALSE)</f>
        <v>Diabetes</v>
      </c>
      <c r="M698">
        <f>VLOOKUP(A698,Hospitalisation_Details__2[],4,FALSE)</f>
        <v>14394.56</v>
      </c>
      <c r="N698" t="str">
        <f>VLOOKUP(A698,Hospitalisation_Details__2[],5,FALSE)</f>
        <v>tier - 2</v>
      </c>
      <c r="O698" t="str">
        <f>VLOOKUP(A698,Hospitalisation_Details__2[],6,FALSE)</f>
        <v>tier - 1</v>
      </c>
      <c r="P698" t="str">
        <f>VLOOKUP(A698,Hospitalisation_Details__2[],7,FALSE)</f>
        <v>R1018</v>
      </c>
    </row>
    <row r="699" spans="1:16" x14ac:dyDescent="0.35">
      <c r="A699" t="str">
        <v>Id698</v>
      </c>
      <c r="B699" t="str">
        <f>VLOOKUP(A699,'Customer Names (2)'!A:B, 2,FALSE)</f>
        <v>Ms</v>
      </c>
      <c r="C699">
        <f>VLOOKUP(A699,Medical_Examinations[],2,FALSE)</f>
        <v>28.785</v>
      </c>
      <c r="D699">
        <f>VLOOKUP(A699,Medical_Examinations[],3,FALSE)</f>
        <v>6.6</v>
      </c>
      <c r="E699" t="str">
        <f>VLOOKUP(A699,Medical_Examinations[],4,FALSE)</f>
        <v>No</v>
      </c>
      <c r="F699" t="str">
        <f>VLOOKUP(A699,Medical_Examinations[],5,FALSE)</f>
        <v>No</v>
      </c>
      <c r="G699" t="str">
        <f>VLOOKUP(A699,Medical_Examinations[],6,FALSE)</f>
        <v>No</v>
      </c>
      <c r="H699">
        <f>VLOOKUP(A699,Medical_Examinations[],7,FALSE)</f>
        <v>0</v>
      </c>
      <c r="I699" t="str">
        <f>VLOOKUP(A699,Medical_Examinations[],8,FALSE)</f>
        <v>No</v>
      </c>
      <c r="J699" t="str">
        <f>VLOOKUP(A699,Medical_Examinations[],9,FALSE)</f>
        <v>Overweight</v>
      </c>
      <c r="K699" t="str">
        <f>VLOOKUP(A699,Medical_Examinations[],10,FALSE)</f>
        <v>Diabetes</v>
      </c>
      <c r="M699">
        <f>VLOOKUP(A699,Hospitalisation_Details__2[],4,FALSE)</f>
        <v>14394.4</v>
      </c>
      <c r="N699" t="str">
        <f>VLOOKUP(A699,Hospitalisation_Details__2[],5,FALSE)</f>
        <v>tier - 2</v>
      </c>
      <c r="O699" t="str">
        <f>VLOOKUP(A699,Hospitalisation_Details__2[],6,FALSE)</f>
        <v>tier - 3</v>
      </c>
      <c r="P699" t="str">
        <f>VLOOKUP(A699,Hospitalisation_Details__2[],7,FALSE)</f>
        <v>R1024</v>
      </c>
    </row>
    <row r="700" spans="1:16" x14ac:dyDescent="0.35">
      <c r="A700" t="str">
        <v>Id699</v>
      </c>
      <c r="B700" t="str">
        <f>VLOOKUP(A700,'Customer Names (2)'!A:B, 2,FALSE)</f>
        <v>Ms</v>
      </c>
      <c r="C700">
        <f>VLOOKUP(A700,Medical_Examinations[],2,FALSE)</f>
        <v>26.695</v>
      </c>
      <c r="D700">
        <f>VLOOKUP(A700,Medical_Examinations[],3,FALSE)</f>
        <v>10.14</v>
      </c>
      <c r="E700" t="str">
        <f>VLOOKUP(A700,Medical_Examinations[],4,FALSE)</f>
        <v>Yes</v>
      </c>
      <c r="F700" t="str">
        <f>VLOOKUP(A700,Medical_Examinations[],5,FALSE)</f>
        <v>No</v>
      </c>
      <c r="G700" t="str">
        <f>VLOOKUP(A700,Medical_Examinations[],6,FALSE)</f>
        <v>Yes</v>
      </c>
      <c r="H700">
        <f>VLOOKUP(A700,Medical_Examinations[],7,FALSE)</f>
        <v>1</v>
      </c>
      <c r="I700" t="str">
        <f>VLOOKUP(A700,Medical_Examinations[],8,FALSE)</f>
        <v>No</v>
      </c>
      <c r="J700" t="str">
        <f>VLOOKUP(A700,Medical_Examinations[],9,FALSE)</f>
        <v>Overweight</v>
      </c>
      <c r="K700" t="str">
        <f>VLOOKUP(A700,Medical_Examinations[],10,FALSE)</f>
        <v>Diabetes</v>
      </c>
      <c r="M700">
        <f>VLOOKUP(A700,Hospitalisation_Details__2[],4,FALSE)</f>
        <v>14382.71</v>
      </c>
      <c r="N700" t="str">
        <f>VLOOKUP(A700,Hospitalisation_Details__2[],5,FALSE)</f>
        <v>tier - 2</v>
      </c>
      <c r="O700" t="str">
        <f>VLOOKUP(A700,Hospitalisation_Details__2[],6,FALSE)</f>
        <v>tier - 2</v>
      </c>
      <c r="P700" t="str">
        <f>VLOOKUP(A700,Hospitalisation_Details__2[],7,FALSE)</f>
        <v>R1012</v>
      </c>
    </row>
    <row r="701" spans="1:16" x14ac:dyDescent="0.35">
      <c r="A701" t="str">
        <v>Id700</v>
      </c>
      <c r="B701" t="str">
        <f>VLOOKUP(A701,'Customer Names (2)'!A:B, 2,FALSE)</f>
        <v>Mr</v>
      </c>
      <c r="C701">
        <f>VLOOKUP(A701,Medical_Examinations[],2,FALSE)</f>
        <v>32.799999999999997</v>
      </c>
      <c r="D701">
        <f>VLOOKUP(A701,Medical_Examinations[],3,FALSE)</f>
        <v>6.06</v>
      </c>
      <c r="E701" t="str">
        <f>VLOOKUP(A701,Medical_Examinations[],4,FALSE)</f>
        <v>Yes</v>
      </c>
      <c r="F701" t="str">
        <f>VLOOKUP(A701,Medical_Examinations[],5,FALSE)</f>
        <v>No</v>
      </c>
      <c r="G701" t="str">
        <f>VLOOKUP(A701,Medical_Examinations[],6,FALSE)</f>
        <v>No</v>
      </c>
      <c r="H701">
        <f>VLOOKUP(A701,Medical_Examinations[],7,FALSE)</f>
        <v>1</v>
      </c>
      <c r="I701" t="str">
        <f>VLOOKUP(A701,Medical_Examinations[],8,FALSE)</f>
        <v>No</v>
      </c>
      <c r="J701" t="str">
        <f>VLOOKUP(A701,Medical_Examinations[],9,FALSE)</f>
        <v>Obesity</v>
      </c>
      <c r="K701" t="str">
        <f>VLOOKUP(A701,Medical_Examinations[],10,FALSE)</f>
        <v>Prediabetes</v>
      </c>
      <c r="M701">
        <f>VLOOKUP(A701,Hospitalisation_Details__2[],4,FALSE)</f>
        <v>14358.36</v>
      </c>
      <c r="N701" t="str">
        <f>VLOOKUP(A701,Hospitalisation_Details__2[],5,FALSE)</f>
        <v>tier - 2</v>
      </c>
      <c r="O701" t="str">
        <f>VLOOKUP(A701,Hospitalisation_Details__2[],6,FALSE)</f>
        <v>tier - 2</v>
      </c>
      <c r="P701" t="str">
        <f>VLOOKUP(A701,Hospitalisation_Details__2[],7,FALSE)</f>
        <v>R1011</v>
      </c>
    </row>
    <row r="702" spans="1:16" x14ac:dyDescent="0.35">
      <c r="A702" t="str">
        <v>Id701</v>
      </c>
      <c r="B702" t="str">
        <f>VLOOKUP(A702,'Customer Names (2)'!A:B, 2,FALSE)</f>
        <v>Mrs</v>
      </c>
      <c r="C702">
        <f>VLOOKUP(A702,Medical_Examinations[],2,FALSE)</f>
        <v>35.869999999999997</v>
      </c>
      <c r="D702">
        <f>VLOOKUP(A702,Medical_Examinations[],3,FALSE)</f>
        <v>9.91</v>
      </c>
      <c r="E702" t="str">
        <f>VLOOKUP(A702,Medical_Examinations[],4,FALSE)</f>
        <v>Yes</v>
      </c>
      <c r="F702" t="str">
        <f>VLOOKUP(A702,Medical_Examinations[],5,FALSE)</f>
        <v>No</v>
      </c>
      <c r="G702" t="str">
        <f>VLOOKUP(A702,Medical_Examinations[],6,FALSE)</f>
        <v>No</v>
      </c>
      <c r="H702">
        <f>VLOOKUP(A702,Medical_Examinations[],7,FALSE)</f>
        <v>0</v>
      </c>
      <c r="I702" t="str">
        <f>VLOOKUP(A702,Medical_Examinations[],8,FALSE)</f>
        <v>No</v>
      </c>
      <c r="J702" t="str">
        <f>VLOOKUP(A702,Medical_Examinations[],9,FALSE)</f>
        <v>Obesity</v>
      </c>
      <c r="K702" t="str">
        <f>VLOOKUP(A702,Medical_Examinations[],10,FALSE)</f>
        <v>Diabetes</v>
      </c>
      <c r="M702">
        <f>VLOOKUP(A702,Hospitalisation_Details__2[],4,FALSE)</f>
        <v>14355.43</v>
      </c>
      <c r="N702" t="str">
        <f>VLOOKUP(A702,Hospitalisation_Details__2[],5,FALSE)</f>
        <v>tier - 2</v>
      </c>
      <c r="O702" t="str">
        <f>VLOOKUP(A702,Hospitalisation_Details__2[],6,FALSE)</f>
        <v>tier - 1</v>
      </c>
      <c r="P702" t="str">
        <f>VLOOKUP(A702,Hospitalisation_Details__2[],7,FALSE)</f>
        <v>R1026</v>
      </c>
    </row>
    <row r="703" spans="1:16" x14ac:dyDescent="0.35">
      <c r="A703" t="str">
        <v>Id702</v>
      </c>
      <c r="B703" t="str">
        <f>VLOOKUP(A703,'Customer Names (2)'!A:B, 2,FALSE)</f>
        <v>Mr</v>
      </c>
      <c r="C703">
        <f>VLOOKUP(A703,Medical_Examinations[],2,FALSE)</f>
        <v>21.66</v>
      </c>
      <c r="D703">
        <f>VLOOKUP(A703,Medical_Examinations[],3,FALSE)</f>
        <v>4.1399999999999997</v>
      </c>
      <c r="E703" t="str">
        <f>VLOOKUP(A703,Medical_Examinations[],4,FALSE)</f>
        <v>Yes</v>
      </c>
      <c r="F703" t="str">
        <f>VLOOKUP(A703,Medical_Examinations[],5,FALSE)</f>
        <v>No</v>
      </c>
      <c r="G703" t="str">
        <f>VLOOKUP(A703,Medical_Examinations[],6,FALSE)</f>
        <v>No</v>
      </c>
      <c r="H703">
        <f>VLOOKUP(A703,Medical_Examinations[],7,FALSE)</f>
        <v>2</v>
      </c>
      <c r="I703" t="str">
        <f>VLOOKUP(A703,Medical_Examinations[],8,FALSE)</f>
        <v>No</v>
      </c>
      <c r="J703" t="str">
        <f>VLOOKUP(A703,Medical_Examinations[],9,FALSE)</f>
        <v>Normal Weight</v>
      </c>
      <c r="K703" t="str">
        <f>VLOOKUP(A703,Medical_Examinations[],10,FALSE)</f>
        <v>Normal</v>
      </c>
      <c r="M703">
        <f>VLOOKUP(A703,Hospitalisation_Details__2[],4,FALSE)</f>
        <v>14349.85</v>
      </c>
      <c r="N703" t="str">
        <f>VLOOKUP(A703,Hospitalisation_Details__2[],5,FALSE)</f>
        <v>tier - 2</v>
      </c>
      <c r="O703" t="str">
        <f>VLOOKUP(A703,Hospitalisation_Details__2[],6,FALSE)</f>
        <v>tier - 2</v>
      </c>
      <c r="P703" t="str">
        <f>VLOOKUP(A703,Hospitalisation_Details__2[],7,FALSE)</f>
        <v>R1012</v>
      </c>
    </row>
    <row r="704" spans="1:16" x14ac:dyDescent="0.35">
      <c r="A704" t="str">
        <v>Id703</v>
      </c>
      <c r="B704" t="str">
        <f>VLOOKUP(A704,'Customer Names (2)'!A:B, 2,FALSE)</f>
        <v>Mr</v>
      </c>
      <c r="C704">
        <f>VLOOKUP(A704,Medical_Examinations[],2,FALSE)</f>
        <v>37.72</v>
      </c>
      <c r="D704">
        <f>VLOOKUP(A704,Medical_Examinations[],3,FALSE)</f>
        <v>4.38</v>
      </c>
      <c r="E704" t="str">
        <f>VLOOKUP(A704,Medical_Examinations[],4,FALSE)</f>
        <v>Yes</v>
      </c>
      <c r="F704" t="str">
        <f>VLOOKUP(A704,Medical_Examinations[],5,FALSE)</f>
        <v>No</v>
      </c>
      <c r="G704" t="str">
        <f>VLOOKUP(A704,Medical_Examinations[],6,FALSE)</f>
        <v>Yes</v>
      </c>
      <c r="H704">
        <f>VLOOKUP(A704,Medical_Examinations[],7,FALSE)</f>
        <v>1</v>
      </c>
      <c r="I704" t="str">
        <f>VLOOKUP(A704,Medical_Examinations[],8,FALSE)</f>
        <v>No</v>
      </c>
      <c r="J704" t="str">
        <f>VLOOKUP(A704,Medical_Examinations[],9,FALSE)</f>
        <v>Obesity</v>
      </c>
      <c r="K704" t="str">
        <f>VLOOKUP(A704,Medical_Examinations[],10,FALSE)</f>
        <v>Normal</v>
      </c>
      <c r="M704">
        <f>VLOOKUP(A704,Hospitalisation_Details__2[],4,FALSE)</f>
        <v>14337.91</v>
      </c>
      <c r="N704" t="str">
        <f>VLOOKUP(A704,Hospitalisation_Details__2[],5,FALSE)</f>
        <v>tier - 2</v>
      </c>
      <c r="O704" t="str">
        <f>VLOOKUP(A704,Hospitalisation_Details__2[],6,FALSE)</f>
        <v>tier - 3</v>
      </c>
      <c r="P704" t="str">
        <f>VLOOKUP(A704,Hospitalisation_Details__2[],7,FALSE)</f>
        <v>R1022</v>
      </c>
    </row>
    <row r="705" spans="1:16" x14ac:dyDescent="0.35">
      <c r="A705" t="str">
        <v>Id704</v>
      </c>
      <c r="B705" t="str">
        <f>VLOOKUP(A705,'Customer Names (2)'!A:B, 2,FALSE)</f>
        <v>Ms</v>
      </c>
      <c r="C705">
        <f>VLOOKUP(A705,Medical_Examinations[],2,FALSE)</f>
        <v>39.700000000000003</v>
      </c>
      <c r="D705">
        <f>VLOOKUP(A705,Medical_Examinations[],3,FALSE)</f>
        <v>9.83</v>
      </c>
      <c r="E705" t="str">
        <f>VLOOKUP(A705,Medical_Examinations[],4,FALSE)</f>
        <v>No</v>
      </c>
      <c r="F705" t="str">
        <f>VLOOKUP(A705,Medical_Examinations[],5,FALSE)</f>
        <v>No</v>
      </c>
      <c r="G705" t="str">
        <f>VLOOKUP(A705,Medical_Examinations[],6,FALSE)</f>
        <v>No</v>
      </c>
      <c r="H705">
        <f>VLOOKUP(A705,Medical_Examinations[],7,FALSE)</f>
        <v>3</v>
      </c>
      <c r="I705" t="str">
        <f>VLOOKUP(A705,Medical_Examinations[],8,FALSE)</f>
        <v>No</v>
      </c>
      <c r="J705" t="str">
        <f>VLOOKUP(A705,Medical_Examinations[],9,FALSE)</f>
        <v>Obesity</v>
      </c>
      <c r="K705" t="str">
        <f>VLOOKUP(A705,Medical_Examinations[],10,FALSE)</f>
        <v>Diabetes</v>
      </c>
      <c r="M705">
        <f>VLOOKUP(A705,Hospitalisation_Details__2[],4,FALSE)</f>
        <v>14319.03</v>
      </c>
      <c r="N705" t="str">
        <f>VLOOKUP(A705,Hospitalisation_Details__2[],5,FALSE)</f>
        <v>tier - 2</v>
      </c>
      <c r="O705" t="str">
        <f>VLOOKUP(A705,Hospitalisation_Details__2[],6,FALSE)</f>
        <v>tier - 2</v>
      </c>
      <c r="P705" t="str">
        <f>VLOOKUP(A705,Hospitalisation_Details__2[],7,FALSE)</f>
        <v>R1011</v>
      </c>
    </row>
    <row r="706" spans="1:16" x14ac:dyDescent="0.35">
      <c r="A706" t="str">
        <v>Id705</v>
      </c>
      <c r="B706" t="str">
        <f>VLOOKUP(A706,'Customer Names (2)'!A:B, 2,FALSE)</f>
        <v>Ms</v>
      </c>
      <c r="C706">
        <f>VLOOKUP(A706,Medical_Examinations[],2,FALSE)</f>
        <v>35.97</v>
      </c>
      <c r="D706">
        <f>VLOOKUP(A706,Medical_Examinations[],3,FALSE)</f>
        <v>11.08</v>
      </c>
      <c r="E706" t="str">
        <f>VLOOKUP(A706,Medical_Examinations[],4,FALSE)</f>
        <v>No</v>
      </c>
      <c r="F706" t="str">
        <f>VLOOKUP(A706,Medical_Examinations[],5,FALSE)</f>
        <v>No</v>
      </c>
      <c r="G706" t="str">
        <f>VLOOKUP(A706,Medical_Examinations[],6,FALSE)</f>
        <v>No</v>
      </c>
      <c r="H706">
        <f>VLOOKUP(A706,Medical_Examinations[],7,FALSE)</f>
        <v>3</v>
      </c>
      <c r="I706" t="str">
        <f>VLOOKUP(A706,Medical_Examinations[],8,FALSE)</f>
        <v>No</v>
      </c>
      <c r="J706" t="str">
        <f>VLOOKUP(A706,Medical_Examinations[],9,FALSE)</f>
        <v>Obesity</v>
      </c>
      <c r="K706" t="str">
        <f>VLOOKUP(A706,Medical_Examinations[],10,FALSE)</f>
        <v>Diabetes</v>
      </c>
      <c r="M706">
        <f>VLOOKUP(A706,Hospitalisation_Details__2[],4,FALSE)</f>
        <v>14313.85</v>
      </c>
      <c r="N706" t="str">
        <f>VLOOKUP(A706,Hospitalisation_Details__2[],5,FALSE)</f>
        <v>tier - 2</v>
      </c>
      <c r="O706" t="str">
        <f>VLOOKUP(A706,Hospitalisation_Details__2[],6,FALSE)</f>
        <v>tier - 3</v>
      </c>
      <c r="P706" t="str">
        <f>VLOOKUP(A706,Hospitalisation_Details__2[],7,FALSE)</f>
        <v>R1013</v>
      </c>
    </row>
    <row r="707" spans="1:16" x14ac:dyDescent="0.35">
      <c r="A707" t="str">
        <v>Id706</v>
      </c>
      <c r="B707" t="str">
        <f>VLOOKUP(A707,'Customer Names (2)'!A:B, 2,FALSE)</f>
        <v>Mr</v>
      </c>
      <c r="C707">
        <f>VLOOKUP(A707,Medical_Examinations[],2,FALSE)</f>
        <v>37.85</v>
      </c>
      <c r="D707">
        <f>VLOOKUP(A707,Medical_Examinations[],3,FALSE)</f>
        <v>11.01</v>
      </c>
      <c r="E707" t="str">
        <f>VLOOKUP(A707,Medical_Examinations[],4,FALSE)</f>
        <v>No</v>
      </c>
      <c r="F707" t="str">
        <f>VLOOKUP(A707,Medical_Examinations[],5,FALSE)</f>
        <v>No</v>
      </c>
      <c r="G707" t="str">
        <f>VLOOKUP(A707,Medical_Examinations[],6,FALSE)</f>
        <v>No</v>
      </c>
      <c r="H707">
        <f>VLOOKUP(A707,Medical_Examinations[],7,FALSE)</f>
        <v>0</v>
      </c>
      <c r="I707" t="str">
        <f>VLOOKUP(A707,Medical_Examinations[],8,FALSE)</f>
        <v>No</v>
      </c>
      <c r="J707" t="str">
        <f>VLOOKUP(A707,Medical_Examinations[],9,FALSE)</f>
        <v>Obesity</v>
      </c>
      <c r="K707" t="str">
        <f>VLOOKUP(A707,Medical_Examinations[],10,FALSE)</f>
        <v>Diabetes</v>
      </c>
      <c r="M707">
        <f>VLOOKUP(A707,Hospitalisation_Details__2[],4,FALSE)</f>
        <v>14285.9</v>
      </c>
      <c r="N707" t="str">
        <f>VLOOKUP(A707,Hospitalisation_Details__2[],5,FALSE)</f>
        <v>tier - 2</v>
      </c>
      <c r="O707" t="str">
        <f>VLOOKUP(A707,Hospitalisation_Details__2[],6,FALSE)</f>
        <v>tier - 3</v>
      </c>
      <c r="P707" t="str">
        <f>VLOOKUP(A707,Hospitalisation_Details__2[],7,FALSE)</f>
        <v>R1012</v>
      </c>
    </row>
    <row r="708" spans="1:16" x14ac:dyDescent="0.35">
      <c r="A708" t="str">
        <v>Id707</v>
      </c>
      <c r="B708" t="str">
        <f>VLOOKUP(A708,'Customer Names (2)'!A:B, 2,FALSE)</f>
        <v>Ms</v>
      </c>
      <c r="C708">
        <f>VLOOKUP(A708,Medical_Examinations[],2,FALSE)</f>
        <v>21.66</v>
      </c>
      <c r="D708">
        <f>VLOOKUP(A708,Medical_Examinations[],3,FALSE)</f>
        <v>4.37</v>
      </c>
      <c r="E708" t="str">
        <f>VLOOKUP(A708,Medical_Examinations[],4,FALSE)</f>
        <v>No</v>
      </c>
      <c r="F708" t="str">
        <f>VLOOKUP(A708,Medical_Examinations[],5,FALSE)</f>
        <v>yes</v>
      </c>
      <c r="G708" t="str">
        <f>VLOOKUP(A708,Medical_Examinations[],6,FALSE)</f>
        <v>No</v>
      </c>
      <c r="H708">
        <f>VLOOKUP(A708,Medical_Examinations[],7,FALSE)</f>
        <v>1</v>
      </c>
      <c r="I708" t="str">
        <f>VLOOKUP(A708,Medical_Examinations[],8,FALSE)</f>
        <v>Yes</v>
      </c>
      <c r="J708" t="str">
        <f>VLOOKUP(A708,Medical_Examinations[],9,FALSE)</f>
        <v>Normal Weight</v>
      </c>
      <c r="K708" t="str">
        <f>VLOOKUP(A708,Medical_Examinations[],10,FALSE)</f>
        <v>Normal</v>
      </c>
      <c r="M708">
        <f>VLOOKUP(A708,Hospitalisation_Details__2[],4,FALSE)</f>
        <v>14283.46</v>
      </c>
      <c r="N708" t="str">
        <f>VLOOKUP(A708,Hospitalisation_Details__2[],5,FALSE)</f>
        <v>tier - 2</v>
      </c>
      <c r="O708" t="str">
        <f>VLOOKUP(A708,Hospitalisation_Details__2[],6,FALSE)</f>
        <v>tier - 2</v>
      </c>
      <c r="P708" t="str">
        <f>VLOOKUP(A708,Hospitalisation_Details__2[],7,FALSE)</f>
        <v>R1024</v>
      </c>
    </row>
    <row r="709" spans="1:16" x14ac:dyDescent="0.35">
      <c r="A709" t="str">
        <v>Id708</v>
      </c>
      <c r="B709" t="str">
        <f>VLOOKUP(A709,'Customer Names (2)'!A:B, 2,FALSE)</f>
        <v>Mrs</v>
      </c>
      <c r="C709">
        <f>VLOOKUP(A709,Medical_Examinations[],2,FALSE)</f>
        <v>39.369999999999997</v>
      </c>
      <c r="D709">
        <f>VLOOKUP(A709,Medical_Examinations[],3,FALSE)</f>
        <v>5.91</v>
      </c>
      <c r="E709" t="str">
        <f>VLOOKUP(A709,Medical_Examinations[],4,FALSE)</f>
        <v>No</v>
      </c>
      <c r="F709" t="str">
        <f>VLOOKUP(A709,Medical_Examinations[],5,FALSE)</f>
        <v>No</v>
      </c>
      <c r="G709" t="str">
        <f>VLOOKUP(A709,Medical_Examinations[],6,FALSE)</f>
        <v>No</v>
      </c>
      <c r="H709">
        <f>VLOOKUP(A709,Medical_Examinations[],7,FALSE)</f>
        <v>2</v>
      </c>
      <c r="I709" t="str">
        <f>VLOOKUP(A709,Medical_Examinations[],8,FALSE)</f>
        <v>No</v>
      </c>
      <c r="J709" t="str">
        <f>VLOOKUP(A709,Medical_Examinations[],9,FALSE)</f>
        <v>Obesity</v>
      </c>
      <c r="K709" t="str">
        <f>VLOOKUP(A709,Medical_Examinations[],10,FALSE)</f>
        <v>Prediabetes</v>
      </c>
      <c r="M709">
        <f>VLOOKUP(A709,Hospitalisation_Details__2[],4,FALSE)</f>
        <v>14258.33</v>
      </c>
      <c r="N709" t="str">
        <f>VLOOKUP(A709,Hospitalisation_Details__2[],5,FALSE)</f>
        <v>tier - 2</v>
      </c>
      <c r="O709" t="str">
        <f>VLOOKUP(A709,Hospitalisation_Details__2[],6,FALSE)</f>
        <v>tier - 2</v>
      </c>
      <c r="P709" t="str">
        <f>VLOOKUP(A709,Hospitalisation_Details__2[],7,FALSE)</f>
        <v>R1026</v>
      </c>
    </row>
    <row r="710" spans="1:16" x14ac:dyDescent="0.35">
      <c r="A710" t="str">
        <v>Id709</v>
      </c>
      <c r="B710" t="str">
        <f>VLOOKUP(A710,'Customer Names (2)'!A:B, 2,FALSE)</f>
        <v>Mrs</v>
      </c>
      <c r="C710">
        <f>VLOOKUP(A710,Medical_Examinations[],2,FALSE)</f>
        <v>40.880000000000003</v>
      </c>
      <c r="D710">
        <f>VLOOKUP(A710,Medical_Examinations[],3,FALSE)</f>
        <v>7.65</v>
      </c>
      <c r="E710" t="str">
        <f>VLOOKUP(A710,Medical_Examinations[],4,FALSE)</f>
        <v>No</v>
      </c>
      <c r="F710" t="str">
        <f>VLOOKUP(A710,Medical_Examinations[],5,FALSE)</f>
        <v>No</v>
      </c>
      <c r="G710" t="str">
        <f>VLOOKUP(A710,Medical_Examinations[],6,FALSE)</f>
        <v>No</v>
      </c>
      <c r="H710">
        <f>VLOOKUP(A710,Medical_Examinations[],7,FALSE)</f>
        <v>0</v>
      </c>
      <c r="I710" t="str">
        <f>VLOOKUP(A710,Medical_Examinations[],8,FALSE)</f>
        <v>No</v>
      </c>
      <c r="J710" t="str">
        <f>VLOOKUP(A710,Medical_Examinations[],9,FALSE)</f>
        <v>Obesity</v>
      </c>
      <c r="K710" t="str">
        <f>VLOOKUP(A710,Medical_Examinations[],10,FALSE)</f>
        <v>Diabetes</v>
      </c>
      <c r="M710">
        <f>VLOOKUP(A710,Hospitalisation_Details__2[],4,FALSE)</f>
        <v>14256.79</v>
      </c>
      <c r="N710" t="str">
        <f>VLOOKUP(A710,Hospitalisation_Details__2[],5,FALSE)</f>
        <v>tier - 2</v>
      </c>
      <c r="O710" t="str">
        <f>VLOOKUP(A710,Hospitalisation_Details__2[],6,FALSE)</f>
        <v>tier - 2</v>
      </c>
      <c r="P710" t="str">
        <f>VLOOKUP(A710,Hospitalisation_Details__2[],7,FALSE)</f>
        <v>R1026</v>
      </c>
    </row>
    <row r="711" spans="1:16" x14ac:dyDescent="0.35">
      <c r="A711" t="str">
        <v>Id710</v>
      </c>
      <c r="B711" t="str">
        <f>VLOOKUP(A711,'Customer Names (2)'!A:B, 2,FALSE)</f>
        <v>Ms</v>
      </c>
      <c r="C711">
        <f>VLOOKUP(A711,Medical_Examinations[],2,FALSE)</f>
        <v>26.22</v>
      </c>
      <c r="D711">
        <f>VLOOKUP(A711,Medical_Examinations[],3,FALSE)</f>
        <v>5.37</v>
      </c>
      <c r="E711" t="str">
        <f>VLOOKUP(A711,Medical_Examinations[],4,FALSE)</f>
        <v>Yes</v>
      </c>
      <c r="F711" t="str">
        <f>VLOOKUP(A711,Medical_Examinations[],5,FALSE)</f>
        <v>No</v>
      </c>
      <c r="G711" t="str">
        <f>VLOOKUP(A711,Medical_Examinations[],6,FALSE)</f>
        <v>No</v>
      </c>
      <c r="H711">
        <f>VLOOKUP(A711,Medical_Examinations[],7,FALSE)</f>
        <v>2</v>
      </c>
      <c r="I711" t="str">
        <f>VLOOKUP(A711,Medical_Examinations[],8,FALSE)</f>
        <v>No</v>
      </c>
      <c r="J711" t="str">
        <f>VLOOKUP(A711,Medical_Examinations[],9,FALSE)</f>
        <v>Overweight</v>
      </c>
      <c r="K711" t="str">
        <f>VLOOKUP(A711,Medical_Examinations[],10,FALSE)</f>
        <v>Normal</v>
      </c>
      <c r="M711">
        <f>VLOOKUP(A711,Hospitalisation_Details__2[],4,FALSE)</f>
        <v>14256.19</v>
      </c>
      <c r="N711" t="str">
        <f>VLOOKUP(A711,Hospitalisation_Details__2[],5,FALSE)</f>
        <v>tier - 2</v>
      </c>
      <c r="O711" t="str">
        <f>VLOOKUP(A711,Hospitalisation_Details__2[],6,FALSE)</f>
        <v>tier - 3</v>
      </c>
      <c r="P711" t="str">
        <f>VLOOKUP(A711,Hospitalisation_Details__2[],7,FALSE)</f>
        <v>R1012</v>
      </c>
    </row>
    <row r="712" spans="1:16" x14ac:dyDescent="0.35">
      <c r="A712" t="str">
        <v>Id711</v>
      </c>
      <c r="B712" t="str">
        <f>VLOOKUP(A712,'Customer Names (2)'!A:B, 2,FALSE)</f>
        <v>Ms</v>
      </c>
      <c r="C712">
        <f>VLOOKUP(A712,Medical_Examinations[],2,FALSE)</f>
        <v>25.08</v>
      </c>
      <c r="D712">
        <f>VLOOKUP(A712,Medical_Examinations[],3,FALSE)</f>
        <v>5.75</v>
      </c>
      <c r="E712" t="str">
        <f>VLOOKUP(A712,Medical_Examinations[],4,FALSE)</f>
        <v>Yes</v>
      </c>
      <c r="F712" t="str">
        <f>VLOOKUP(A712,Medical_Examinations[],5,FALSE)</f>
        <v>No</v>
      </c>
      <c r="G712" t="str">
        <f>VLOOKUP(A712,Medical_Examinations[],6,FALSE)</f>
        <v>No</v>
      </c>
      <c r="H712">
        <f>VLOOKUP(A712,Medical_Examinations[],7,FALSE)</f>
        <v>2</v>
      </c>
      <c r="I712" t="str">
        <f>VLOOKUP(A712,Medical_Examinations[],8,FALSE)</f>
        <v>No</v>
      </c>
      <c r="J712" t="str">
        <f>VLOOKUP(A712,Medical_Examinations[],9,FALSE)</f>
        <v>Overweight</v>
      </c>
      <c r="K712" t="str">
        <f>VLOOKUP(A712,Medical_Examinations[],10,FALSE)</f>
        <v>Prediabetes</v>
      </c>
      <c r="M712">
        <f>VLOOKUP(A712,Hospitalisation_Details__2[],4,FALSE)</f>
        <v>14254.61</v>
      </c>
      <c r="N712" t="str">
        <f>VLOOKUP(A712,Hospitalisation_Details__2[],5,FALSE)</f>
        <v>tier - 2</v>
      </c>
      <c r="O712" t="str">
        <f>VLOOKUP(A712,Hospitalisation_Details__2[],6,FALSE)</f>
        <v>tier - 1</v>
      </c>
      <c r="P712" t="str">
        <f>VLOOKUP(A712,Hospitalisation_Details__2[],7,FALSE)</f>
        <v>R1012</v>
      </c>
    </row>
    <row r="713" spans="1:16" x14ac:dyDescent="0.35">
      <c r="A713" t="str">
        <v>Id712</v>
      </c>
      <c r="B713" t="str">
        <f>VLOOKUP(A713,'Customer Names (2)'!A:B, 2,FALSE)</f>
        <v>Ms</v>
      </c>
      <c r="C713">
        <f>VLOOKUP(A713,Medical_Examinations[],2,FALSE)</f>
        <v>39.1</v>
      </c>
      <c r="D713">
        <f>VLOOKUP(A713,Medical_Examinations[],3,FALSE)</f>
        <v>6.79</v>
      </c>
      <c r="E713" t="str">
        <f>VLOOKUP(A713,Medical_Examinations[],4,FALSE)</f>
        <v>Yes</v>
      </c>
      <c r="F713" t="str">
        <f>VLOOKUP(A713,Medical_Examinations[],5,FALSE)</f>
        <v>No</v>
      </c>
      <c r="G713" t="str">
        <f>VLOOKUP(A713,Medical_Examinations[],6,FALSE)</f>
        <v>No</v>
      </c>
      <c r="H713">
        <f>VLOOKUP(A713,Medical_Examinations[],7,FALSE)</f>
        <v>2</v>
      </c>
      <c r="I713" t="str">
        <f>VLOOKUP(A713,Medical_Examinations[],8,FALSE)</f>
        <v>No</v>
      </c>
      <c r="J713" t="str">
        <f>VLOOKUP(A713,Medical_Examinations[],9,FALSE)</f>
        <v>Obesity</v>
      </c>
      <c r="K713" t="str">
        <f>VLOOKUP(A713,Medical_Examinations[],10,FALSE)</f>
        <v>Diabetes</v>
      </c>
      <c r="M713">
        <f>VLOOKUP(A713,Hospitalisation_Details__2[],4,FALSE)</f>
        <v>14235.07</v>
      </c>
      <c r="N713" t="str">
        <f>VLOOKUP(A713,Hospitalisation_Details__2[],5,FALSE)</f>
        <v>tier - 2</v>
      </c>
      <c r="O713" t="str">
        <f>VLOOKUP(A713,Hospitalisation_Details__2[],6,FALSE)</f>
        <v>tier - 1</v>
      </c>
      <c r="P713" t="str">
        <f>VLOOKUP(A713,Hospitalisation_Details__2[],7,FALSE)</f>
        <v>R1011</v>
      </c>
    </row>
    <row r="714" spans="1:16" x14ac:dyDescent="0.35">
      <c r="A714" t="str">
        <v>Id713</v>
      </c>
      <c r="B714" t="str">
        <f>VLOOKUP(A714,'Customer Names (2)'!A:B, 2,FALSE)</f>
        <v>Mr</v>
      </c>
      <c r="C714">
        <f>VLOOKUP(A714,Medical_Examinations[],2,FALSE)</f>
        <v>37.905000000000001</v>
      </c>
      <c r="D714">
        <f>VLOOKUP(A714,Medical_Examinations[],3,FALSE)</f>
        <v>7.03</v>
      </c>
      <c r="E714" t="str">
        <f>VLOOKUP(A714,Medical_Examinations[],4,FALSE)</f>
        <v>No</v>
      </c>
      <c r="F714" t="str">
        <f>VLOOKUP(A714,Medical_Examinations[],5,FALSE)</f>
        <v>No</v>
      </c>
      <c r="G714" t="str">
        <f>VLOOKUP(A714,Medical_Examinations[],6,FALSE)</f>
        <v>No</v>
      </c>
      <c r="H714">
        <f>VLOOKUP(A714,Medical_Examinations[],7,FALSE)</f>
        <v>3</v>
      </c>
      <c r="I714" t="str">
        <f>VLOOKUP(A714,Medical_Examinations[],8,FALSE)</f>
        <v>No</v>
      </c>
      <c r="J714" t="str">
        <f>VLOOKUP(A714,Medical_Examinations[],9,FALSE)</f>
        <v>Obesity</v>
      </c>
      <c r="K714" t="str">
        <f>VLOOKUP(A714,Medical_Examinations[],10,FALSE)</f>
        <v>Diabetes</v>
      </c>
      <c r="M714">
        <f>VLOOKUP(A714,Hospitalisation_Details__2[],4,FALSE)</f>
        <v>14210.54</v>
      </c>
      <c r="N714" t="str">
        <f>VLOOKUP(A714,Hospitalisation_Details__2[],5,FALSE)</f>
        <v>tier - 2</v>
      </c>
      <c r="O714" t="str">
        <f>VLOOKUP(A714,Hospitalisation_Details__2[],6,FALSE)</f>
        <v>tier - 2</v>
      </c>
      <c r="P714" t="str">
        <f>VLOOKUP(A714,Hospitalisation_Details__2[],7,FALSE)</f>
        <v>R1012</v>
      </c>
    </row>
    <row r="715" spans="1:16" x14ac:dyDescent="0.35">
      <c r="A715" t="str">
        <v>Id714</v>
      </c>
      <c r="B715" t="str">
        <f>VLOOKUP(A715,'Customer Names (2)'!A:B, 2,FALSE)</f>
        <v>Mrs</v>
      </c>
      <c r="C715">
        <f>VLOOKUP(A715,Medical_Examinations[],2,FALSE)</f>
        <v>43.35</v>
      </c>
      <c r="D715">
        <f>VLOOKUP(A715,Medical_Examinations[],3,FALSE)</f>
        <v>5.41</v>
      </c>
      <c r="E715" t="str">
        <f>VLOOKUP(A715,Medical_Examinations[],4,FALSE)</f>
        <v>Yes</v>
      </c>
      <c r="F715" t="str">
        <f>VLOOKUP(A715,Medical_Examinations[],5,FALSE)</f>
        <v>No</v>
      </c>
      <c r="G715" t="str">
        <f>VLOOKUP(A715,Medical_Examinations[],6,FALSE)</f>
        <v>Yes</v>
      </c>
      <c r="H715">
        <f>VLOOKUP(A715,Medical_Examinations[],7,FALSE)</f>
        <v>1</v>
      </c>
      <c r="I715" t="str">
        <f>VLOOKUP(A715,Medical_Examinations[],8,FALSE)</f>
        <v>No</v>
      </c>
      <c r="J715" t="str">
        <f>VLOOKUP(A715,Medical_Examinations[],9,FALSE)</f>
        <v>Obesity</v>
      </c>
      <c r="K715" t="str">
        <f>VLOOKUP(A715,Medical_Examinations[],10,FALSE)</f>
        <v>Normal</v>
      </c>
      <c r="M715">
        <f>VLOOKUP(A715,Hospitalisation_Details__2[],4,FALSE)</f>
        <v>14209.4</v>
      </c>
      <c r="N715" t="str">
        <f>VLOOKUP(A715,Hospitalisation_Details__2[],5,FALSE)</f>
        <v>tier - 2</v>
      </c>
      <c r="O715" t="str">
        <f>VLOOKUP(A715,Hospitalisation_Details__2[],6,FALSE)</f>
        <v>tier - 1</v>
      </c>
      <c r="P715" t="str">
        <f>VLOOKUP(A715,Hospitalisation_Details__2[],7,FALSE)</f>
        <v>R1026</v>
      </c>
    </row>
    <row r="716" spans="1:16" x14ac:dyDescent="0.35">
      <c r="A716" t="str">
        <v>Id715</v>
      </c>
      <c r="B716" t="str">
        <f>VLOOKUP(A716,'Customer Names (2)'!A:B, 2,FALSE)</f>
        <v>Mrs</v>
      </c>
      <c r="C716">
        <f>VLOOKUP(A716,Medical_Examinations[],2,FALSE)</f>
        <v>36.15</v>
      </c>
      <c r="D716">
        <f>VLOOKUP(A716,Medical_Examinations[],3,FALSE)</f>
        <v>8.0500000000000007</v>
      </c>
      <c r="E716" t="str">
        <f>VLOOKUP(A716,Medical_Examinations[],4,FALSE)</f>
        <v>No</v>
      </c>
      <c r="F716" t="str">
        <f>VLOOKUP(A716,Medical_Examinations[],5,FALSE)</f>
        <v>No</v>
      </c>
      <c r="G716" t="str">
        <f>VLOOKUP(A716,Medical_Examinations[],6,FALSE)</f>
        <v>No</v>
      </c>
      <c r="H716">
        <f>VLOOKUP(A716,Medical_Examinations[],7,FALSE)</f>
        <v>0</v>
      </c>
      <c r="I716" t="str">
        <f>VLOOKUP(A716,Medical_Examinations[],8,FALSE)</f>
        <v>No</v>
      </c>
      <c r="J716" t="str">
        <f>VLOOKUP(A716,Medical_Examinations[],9,FALSE)</f>
        <v>Obesity</v>
      </c>
      <c r="K716" t="str">
        <f>VLOOKUP(A716,Medical_Examinations[],10,FALSE)</f>
        <v>Diabetes</v>
      </c>
      <c r="M716">
        <f>VLOOKUP(A716,Hospitalisation_Details__2[],4,FALSE)</f>
        <v>14193.55</v>
      </c>
      <c r="N716" t="str">
        <f>VLOOKUP(A716,Hospitalisation_Details__2[],5,FALSE)</f>
        <v>tier - 2</v>
      </c>
      <c r="O716" t="str">
        <f>VLOOKUP(A716,Hospitalisation_Details__2[],6,FALSE)</f>
        <v>tier - 1</v>
      </c>
      <c r="P716" t="str">
        <f>VLOOKUP(A716,Hospitalisation_Details__2[],7,FALSE)</f>
        <v>R1026</v>
      </c>
    </row>
    <row r="717" spans="1:16" x14ac:dyDescent="0.35">
      <c r="A717" t="str">
        <v>Id716</v>
      </c>
      <c r="B717" t="str">
        <f>VLOOKUP(A717,'Customer Names (2)'!A:B, 2,FALSE)</f>
        <v>Ms</v>
      </c>
      <c r="C717">
        <f>VLOOKUP(A717,Medical_Examinations[],2,FALSE)</f>
        <v>44.98</v>
      </c>
      <c r="D717">
        <f>VLOOKUP(A717,Medical_Examinations[],3,FALSE)</f>
        <v>5.94</v>
      </c>
      <c r="E717" t="str">
        <f>VLOOKUP(A717,Medical_Examinations[],4,FALSE)</f>
        <v>No</v>
      </c>
      <c r="F717" t="str">
        <f>VLOOKUP(A717,Medical_Examinations[],5,FALSE)</f>
        <v>No</v>
      </c>
      <c r="G717" t="str">
        <f>VLOOKUP(A717,Medical_Examinations[],6,FALSE)</f>
        <v>No</v>
      </c>
      <c r="H717">
        <f>VLOOKUP(A717,Medical_Examinations[],7,FALSE)</f>
        <v>1</v>
      </c>
      <c r="I717" t="str">
        <f>VLOOKUP(A717,Medical_Examinations[],8,FALSE)</f>
        <v>No</v>
      </c>
      <c r="J717" t="str">
        <f>VLOOKUP(A717,Medical_Examinations[],9,FALSE)</f>
        <v>Obesity</v>
      </c>
      <c r="K717" t="str">
        <f>VLOOKUP(A717,Medical_Examinations[],10,FALSE)</f>
        <v>Prediabetes</v>
      </c>
      <c r="M717">
        <f>VLOOKUP(A717,Hospitalisation_Details__2[],4,FALSE)</f>
        <v>14152.46</v>
      </c>
      <c r="N717" t="str">
        <f>VLOOKUP(A717,Hospitalisation_Details__2[],5,FALSE)</f>
        <v>tier - 2</v>
      </c>
      <c r="O717" t="str">
        <f>VLOOKUP(A717,Hospitalisation_Details__2[],6,FALSE)</f>
        <v>tier - 1</v>
      </c>
      <c r="P717" t="str">
        <f>VLOOKUP(A717,Hospitalisation_Details__2[],7,FALSE)</f>
        <v>R1012</v>
      </c>
    </row>
    <row r="718" spans="1:16" x14ac:dyDescent="0.35">
      <c r="A718" t="str">
        <v>Id717</v>
      </c>
      <c r="B718" t="str">
        <f>VLOOKUP(A718,'Customer Names (2)'!A:B, 2,FALSE)</f>
        <v>Ms</v>
      </c>
      <c r="C718">
        <f>VLOOKUP(A718,Medical_Examinations[],2,FALSE)</f>
        <v>38.28</v>
      </c>
      <c r="D718">
        <f>VLOOKUP(A718,Medical_Examinations[],3,FALSE)</f>
        <v>5.51</v>
      </c>
      <c r="E718" t="str">
        <f>VLOOKUP(A718,Medical_Examinations[],4,FALSE)</f>
        <v>No</v>
      </c>
      <c r="F718" t="str">
        <f>VLOOKUP(A718,Medical_Examinations[],5,FALSE)</f>
        <v>yes</v>
      </c>
      <c r="G718" t="str">
        <f>VLOOKUP(A718,Medical_Examinations[],6,FALSE)</f>
        <v>No</v>
      </c>
      <c r="H718">
        <f>VLOOKUP(A718,Medical_Examinations[],7,FALSE)</f>
        <v>1</v>
      </c>
      <c r="I718" t="str">
        <f>VLOOKUP(A718,Medical_Examinations[],8,FALSE)</f>
        <v>No</v>
      </c>
      <c r="J718" t="str">
        <f>VLOOKUP(A718,Medical_Examinations[],9,FALSE)</f>
        <v>Obesity</v>
      </c>
      <c r="K718" t="str">
        <f>VLOOKUP(A718,Medical_Examinations[],10,FALSE)</f>
        <v>Normal</v>
      </c>
      <c r="M718">
        <f>VLOOKUP(A718,Hospitalisation_Details__2[],4,FALSE)</f>
        <v>14133.04</v>
      </c>
      <c r="N718" t="str">
        <f>VLOOKUP(A718,Hospitalisation_Details__2[],5,FALSE)</f>
        <v>tier - 2</v>
      </c>
      <c r="O718" t="str">
        <f>VLOOKUP(A718,Hospitalisation_Details__2[],6,FALSE)</f>
        <v>tier - 3</v>
      </c>
      <c r="P718" t="str">
        <f>VLOOKUP(A718,Hospitalisation_Details__2[],7,FALSE)</f>
        <v>R1013</v>
      </c>
    </row>
    <row r="719" spans="1:16" x14ac:dyDescent="0.35">
      <c r="A719" t="str">
        <v>Id718</v>
      </c>
      <c r="B719" t="str">
        <f>VLOOKUP(A719,'Customer Names (2)'!A:B, 2,FALSE)</f>
        <v>Mr</v>
      </c>
      <c r="C719">
        <f>VLOOKUP(A719,Medical_Examinations[],2,FALSE)</f>
        <v>32.299999999999997</v>
      </c>
      <c r="D719">
        <f>VLOOKUP(A719,Medical_Examinations[],3,FALSE)</f>
        <v>6.55</v>
      </c>
      <c r="E719" t="str">
        <f>VLOOKUP(A719,Medical_Examinations[],4,FALSE)</f>
        <v>Yes</v>
      </c>
      <c r="F719" t="str">
        <f>VLOOKUP(A719,Medical_Examinations[],5,FALSE)</f>
        <v>No</v>
      </c>
      <c r="G719" t="str">
        <f>VLOOKUP(A719,Medical_Examinations[],6,FALSE)</f>
        <v>No</v>
      </c>
      <c r="H719">
        <f>VLOOKUP(A719,Medical_Examinations[],7,FALSE)</f>
        <v>2</v>
      </c>
      <c r="I719" t="str">
        <f>VLOOKUP(A719,Medical_Examinations[],8,FALSE)</f>
        <v>No</v>
      </c>
      <c r="J719" t="str">
        <f>VLOOKUP(A719,Medical_Examinations[],9,FALSE)</f>
        <v>Obesity</v>
      </c>
      <c r="K719" t="str">
        <f>VLOOKUP(A719,Medical_Examinations[],10,FALSE)</f>
        <v>Diabetes</v>
      </c>
      <c r="M719">
        <f>VLOOKUP(A719,Hospitalisation_Details__2[],4,FALSE)</f>
        <v>14119.62</v>
      </c>
      <c r="N719" t="str">
        <f>VLOOKUP(A719,Hospitalisation_Details__2[],5,FALSE)</f>
        <v>tier - 2</v>
      </c>
      <c r="O719" t="str">
        <f>VLOOKUP(A719,Hospitalisation_Details__2[],6,FALSE)</f>
        <v>tier - 1</v>
      </c>
      <c r="P719" t="str">
        <f>VLOOKUP(A719,Hospitalisation_Details__2[],7,FALSE)</f>
        <v>R1012</v>
      </c>
    </row>
    <row r="720" spans="1:16" x14ac:dyDescent="0.35">
      <c r="A720" t="str">
        <v>Id719</v>
      </c>
      <c r="B720" t="str">
        <f>VLOOKUP(A720,'Customer Names (2)'!A:B, 2,FALSE)</f>
        <v>Mr</v>
      </c>
      <c r="C720">
        <f>VLOOKUP(A720,Medical_Examinations[],2,FALSE)</f>
        <v>39.51</v>
      </c>
      <c r="D720">
        <f>VLOOKUP(A720,Medical_Examinations[],3,FALSE)</f>
        <v>5.79</v>
      </c>
      <c r="E720" t="str">
        <f>VLOOKUP(A720,Medical_Examinations[],4,FALSE)</f>
        <v>Yes</v>
      </c>
      <c r="F720" t="str">
        <f>VLOOKUP(A720,Medical_Examinations[],5,FALSE)</f>
        <v>No</v>
      </c>
      <c r="G720" t="str">
        <f>VLOOKUP(A720,Medical_Examinations[],6,FALSE)</f>
        <v>No</v>
      </c>
      <c r="H720">
        <f>VLOOKUP(A720,Medical_Examinations[],7,FALSE)</f>
        <v>0</v>
      </c>
      <c r="I720" t="str">
        <f>VLOOKUP(A720,Medical_Examinations[],8,FALSE)</f>
        <v>No</v>
      </c>
      <c r="J720" t="str">
        <f>VLOOKUP(A720,Medical_Examinations[],9,FALSE)</f>
        <v>Obesity</v>
      </c>
      <c r="K720" t="str">
        <f>VLOOKUP(A720,Medical_Examinations[],10,FALSE)</f>
        <v>Prediabetes</v>
      </c>
      <c r="M720">
        <f>VLOOKUP(A720,Hospitalisation_Details__2[],4,FALSE)</f>
        <v>14098.07</v>
      </c>
      <c r="N720" t="str">
        <f>VLOOKUP(A720,Hospitalisation_Details__2[],5,FALSE)</f>
        <v>tier - 2</v>
      </c>
      <c r="O720" t="str">
        <f>VLOOKUP(A720,Hospitalisation_Details__2[],6,FALSE)</f>
        <v>tier - 3</v>
      </c>
      <c r="P720" t="str">
        <f>VLOOKUP(A720,Hospitalisation_Details__2[],7,FALSE)</f>
        <v>R1023</v>
      </c>
    </row>
    <row r="721" spans="1:16" x14ac:dyDescent="0.35">
      <c r="A721" t="str">
        <v>Id720</v>
      </c>
      <c r="B721" t="str">
        <f>VLOOKUP(A721,'Customer Names (2)'!A:B, 2,FALSE)</f>
        <v>Mr</v>
      </c>
      <c r="C721">
        <f>VLOOKUP(A721,Medical_Examinations[],2,FALSE)</f>
        <v>50.46</v>
      </c>
      <c r="D721">
        <f>VLOOKUP(A721,Medical_Examinations[],3,FALSE)</f>
        <v>4.5599999999999996</v>
      </c>
      <c r="E721" t="str">
        <f>VLOOKUP(A721,Medical_Examinations[],4,FALSE)</f>
        <v>No</v>
      </c>
      <c r="F721" t="str">
        <f>VLOOKUP(A721,Medical_Examinations[],5,FALSE)</f>
        <v>No</v>
      </c>
      <c r="G721" t="str">
        <f>VLOOKUP(A721,Medical_Examinations[],6,FALSE)</f>
        <v>No</v>
      </c>
      <c r="H721">
        <f>VLOOKUP(A721,Medical_Examinations[],7,FALSE)</f>
        <v>0</v>
      </c>
      <c r="I721" t="str">
        <f>VLOOKUP(A721,Medical_Examinations[],8,FALSE)</f>
        <v>No</v>
      </c>
      <c r="J721" t="str">
        <f>VLOOKUP(A721,Medical_Examinations[],9,FALSE)</f>
        <v>Obesity</v>
      </c>
      <c r="K721" t="str">
        <f>VLOOKUP(A721,Medical_Examinations[],10,FALSE)</f>
        <v>Normal</v>
      </c>
      <c r="M721">
        <f>VLOOKUP(A721,Hospitalisation_Details__2[],4,FALSE)</f>
        <v>14081.93</v>
      </c>
      <c r="N721" t="str">
        <f>VLOOKUP(A721,Hospitalisation_Details__2[],5,FALSE)</f>
        <v>tier - 2</v>
      </c>
      <c r="O721" t="str">
        <f>VLOOKUP(A721,Hospitalisation_Details__2[],6,FALSE)</f>
        <v>tier - 3</v>
      </c>
      <c r="P721" t="str">
        <f>VLOOKUP(A721,Hospitalisation_Details__2[],7,FALSE)</f>
        <v>R1012</v>
      </c>
    </row>
    <row r="722" spans="1:16" x14ac:dyDescent="0.35">
      <c r="A722" t="str">
        <v>Id721</v>
      </c>
      <c r="B722" t="str">
        <f>VLOOKUP(A722,'Customer Names (2)'!A:B, 2,FALSE)</f>
        <v>Ms</v>
      </c>
      <c r="C722">
        <f>VLOOKUP(A722,Medical_Examinations[],2,FALSE)</f>
        <v>31.73</v>
      </c>
      <c r="D722">
        <f>VLOOKUP(A722,Medical_Examinations[],3,FALSE)</f>
        <v>7</v>
      </c>
      <c r="E722" t="str">
        <f>VLOOKUP(A722,Medical_Examinations[],4,FALSE)</f>
        <v>No</v>
      </c>
      <c r="F722" t="str">
        <f>VLOOKUP(A722,Medical_Examinations[],5,FALSE)</f>
        <v>No</v>
      </c>
      <c r="G722" t="str">
        <f>VLOOKUP(A722,Medical_Examinations[],6,FALSE)</f>
        <v>No</v>
      </c>
      <c r="H722">
        <f>VLOOKUP(A722,Medical_Examinations[],7,FALSE)</f>
        <v>0</v>
      </c>
      <c r="I722" t="str">
        <f>VLOOKUP(A722,Medical_Examinations[],8,FALSE)</f>
        <v>No</v>
      </c>
      <c r="J722" t="str">
        <f>VLOOKUP(A722,Medical_Examinations[],9,FALSE)</f>
        <v>Obesity</v>
      </c>
      <c r="K722" t="str">
        <f>VLOOKUP(A722,Medical_Examinations[],10,FALSE)</f>
        <v>Diabetes</v>
      </c>
      <c r="M722">
        <f>VLOOKUP(A722,Hospitalisation_Details__2[],4,FALSE)</f>
        <v>14043.48</v>
      </c>
      <c r="N722" t="str">
        <f>VLOOKUP(A722,Hospitalisation_Details__2[],5,FALSE)</f>
        <v>tier - 2</v>
      </c>
      <c r="O722" t="str">
        <f>VLOOKUP(A722,Hospitalisation_Details__2[],6,FALSE)</f>
        <v>tier - 3</v>
      </c>
      <c r="P722" t="str">
        <f>VLOOKUP(A722,Hospitalisation_Details__2[],7,FALSE)</f>
        <v>R1024</v>
      </c>
    </row>
    <row r="723" spans="1:16" x14ac:dyDescent="0.35">
      <c r="A723" t="str">
        <v>Id722</v>
      </c>
      <c r="B723" t="str">
        <f>VLOOKUP(A723,'Customer Names (2)'!A:B, 2,FALSE)</f>
        <v>Ms</v>
      </c>
      <c r="C723">
        <f>VLOOKUP(A723,Medical_Examinations[],2,FALSE)</f>
        <v>32.1</v>
      </c>
      <c r="D723">
        <f>VLOOKUP(A723,Medical_Examinations[],3,FALSE)</f>
        <v>6.57</v>
      </c>
      <c r="E723" t="str">
        <f>VLOOKUP(A723,Medical_Examinations[],4,FALSE)</f>
        <v>Yes</v>
      </c>
      <c r="F723" t="str">
        <f>VLOOKUP(A723,Medical_Examinations[],5,FALSE)</f>
        <v>No</v>
      </c>
      <c r="G723" t="str">
        <f>VLOOKUP(A723,Medical_Examinations[],6,FALSE)</f>
        <v>Yes</v>
      </c>
      <c r="H723">
        <f>VLOOKUP(A723,Medical_Examinations[],7,FALSE)</f>
        <v>1</v>
      </c>
      <c r="I723" t="str">
        <f>VLOOKUP(A723,Medical_Examinations[],8,FALSE)</f>
        <v>No</v>
      </c>
      <c r="J723" t="str">
        <f>VLOOKUP(A723,Medical_Examinations[],9,FALSE)</f>
        <v>Obesity</v>
      </c>
      <c r="K723" t="str">
        <f>VLOOKUP(A723,Medical_Examinations[],10,FALSE)</f>
        <v>Diabetes</v>
      </c>
      <c r="M723">
        <f>VLOOKUP(A723,Hospitalisation_Details__2[],4,FALSE)</f>
        <v>14007.22</v>
      </c>
      <c r="N723" t="str">
        <f>VLOOKUP(A723,Hospitalisation_Details__2[],5,FALSE)</f>
        <v>tier - 2</v>
      </c>
      <c r="O723" t="str">
        <f>VLOOKUP(A723,Hospitalisation_Details__2[],6,FALSE)</f>
        <v>tier - 3</v>
      </c>
      <c r="P723" t="str">
        <f>VLOOKUP(A723,Hospitalisation_Details__2[],7,FALSE)</f>
        <v>R1011</v>
      </c>
    </row>
    <row r="724" spans="1:16" x14ac:dyDescent="0.35">
      <c r="A724" t="str">
        <v>Id723</v>
      </c>
      <c r="B724" t="str">
        <f>VLOOKUP(A724,'Customer Names (2)'!A:B, 2,FALSE)</f>
        <v>Ms</v>
      </c>
      <c r="C724">
        <f>VLOOKUP(A724,Medical_Examinations[],2,FALSE)</f>
        <v>27.83</v>
      </c>
      <c r="D724">
        <f>VLOOKUP(A724,Medical_Examinations[],3,FALSE)</f>
        <v>11.61</v>
      </c>
      <c r="E724" t="str">
        <f>VLOOKUP(A724,Medical_Examinations[],4,FALSE)</f>
        <v>Yes</v>
      </c>
      <c r="F724" t="str">
        <f>VLOOKUP(A724,Medical_Examinations[],5,FALSE)</f>
        <v>No</v>
      </c>
      <c r="G724" t="str">
        <f>VLOOKUP(A724,Medical_Examinations[],6,FALSE)</f>
        <v>Yes</v>
      </c>
      <c r="H724">
        <f>VLOOKUP(A724,Medical_Examinations[],7,FALSE)</f>
        <v>1</v>
      </c>
      <c r="I724" t="str">
        <f>VLOOKUP(A724,Medical_Examinations[],8,FALSE)</f>
        <v>No</v>
      </c>
      <c r="J724" t="str">
        <f>VLOOKUP(A724,Medical_Examinations[],9,FALSE)</f>
        <v>Overweight</v>
      </c>
      <c r="K724" t="str">
        <f>VLOOKUP(A724,Medical_Examinations[],10,FALSE)</f>
        <v>Diabetes</v>
      </c>
      <c r="M724">
        <f>VLOOKUP(A724,Hospitalisation_Details__2[],4,FALSE)</f>
        <v>14001.29</v>
      </c>
      <c r="N724" t="str">
        <f>VLOOKUP(A724,Hospitalisation_Details__2[],5,FALSE)</f>
        <v>tier - 2</v>
      </c>
      <c r="O724" t="str">
        <f>VLOOKUP(A724,Hospitalisation_Details__2[],6,FALSE)</f>
        <v>tier - 2</v>
      </c>
      <c r="P724" t="str">
        <f>VLOOKUP(A724,Hospitalisation_Details__2[],7,FALSE)</f>
        <v>R1013</v>
      </c>
    </row>
    <row r="725" spans="1:16" x14ac:dyDescent="0.35">
      <c r="A725" t="str">
        <v>Id724</v>
      </c>
      <c r="B725" t="str">
        <f>VLOOKUP(A725,'Customer Names (2)'!A:B, 2,FALSE)</f>
        <v>Mrs</v>
      </c>
      <c r="C725">
        <f>VLOOKUP(A725,Medical_Examinations[],2,FALSE)</f>
        <v>27.72</v>
      </c>
      <c r="D725">
        <f>VLOOKUP(A725,Medical_Examinations[],3,FALSE)</f>
        <v>8.16</v>
      </c>
      <c r="E725" t="str">
        <f>VLOOKUP(A725,Medical_Examinations[],4,FALSE)</f>
        <v>Yes</v>
      </c>
      <c r="F725" t="str">
        <f>VLOOKUP(A725,Medical_Examinations[],5,FALSE)</f>
        <v>No</v>
      </c>
      <c r="G725" t="str">
        <f>VLOOKUP(A725,Medical_Examinations[],6,FALSE)</f>
        <v>Yes</v>
      </c>
      <c r="H725">
        <f>VLOOKUP(A725,Medical_Examinations[],7,FALSE)</f>
        <v>1</v>
      </c>
      <c r="I725" t="str">
        <f>VLOOKUP(A725,Medical_Examinations[],8,FALSE)</f>
        <v>No</v>
      </c>
      <c r="J725" t="str">
        <f>VLOOKUP(A725,Medical_Examinations[],9,FALSE)</f>
        <v>Overweight</v>
      </c>
      <c r="K725" t="str">
        <f>VLOOKUP(A725,Medical_Examinations[],10,FALSE)</f>
        <v>Diabetes</v>
      </c>
      <c r="M725">
        <f>VLOOKUP(A725,Hospitalisation_Details__2[],4,FALSE)</f>
        <v>14001.13</v>
      </c>
      <c r="N725" t="str">
        <f>VLOOKUP(A725,Hospitalisation_Details__2[],5,FALSE)</f>
        <v>tier - 2</v>
      </c>
      <c r="O725" t="str">
        <f>VLOOKUP(A725,Hospitalisation_Details__2[],6,FALSE)</f>
        <v>tier - 1</v>
      </c>
      <c r="P725" t="str">
        <f>VLOOKUP(A725,Hospitalisation_Details__2[],7,FALSE)</f>
        <v>R1013</v>
      </c>
    </row>
    <row r="726" spans="1:16" x14ac:dyDescent="0.35">
      <c r="A726" t="str">
        <v>Id725</v>
      </c>
      <c r="B726" t="str">
        <f>VLOOKUP(A726,'Customer Names (2)'!A:B, 2,FALSE)</f>
        <v>Mr</v>
      </c>
      <c r="C726">
        <f>VLOOKUP(A726,Medical_Examinations[],2,FALSE)</f>
        <v>36.765000000000001</v>
      </c>
      <c r="D726">
        <f>VLOOKUP(A726,Medical_Examinations[],3,FALSE)</f>
        <v>4.4800000000000004</v>
      </c>
      <c r="E726" t="str">
        <f>VLOOKUP(A726,Medical_Examinations[],4,FALSE)</f>
        <v>Yes</v>
      </c>
      <c r="F726" t="str">
        <f>VLOOKUP(A726,Medical_Examinations[],5,FALSE)</f>
        <v>No</v>
      </c>
      <c r="G726" t="str">
        <f>VLOOKUP(A726,Medical_Examinations[],6,FALSE)</f>
        <v>No</v>
      </c>
      <c r="H726">
        <f>VLOOKUP(A726,Medical_Examinations[],7,FALSE)</f>
        <v>2</v>
      </c>
      <c r="I726" t="str">
        <f>VLOOKUP(A726,Medical_Examinations[],8,FALSE)</f>
        <v>No</v>
      </c>
      <c r="J726" t="str">
        <f>VLOOKUP(A726,Medical_Examinations[],9,FALSE)</f>
        <v>Obesity</v>
      </c>
      <c r="K726" t="str">
        <f>VLOOKUP(A726,Medical_Examinations[],10,FALSE)</f>
        <v>Normal</v>
      </c>
      <c r="M726">
        <f>VLOOKUP(A726,Hospitalisation_Details__2[],4,FALSE)</f>
        <v>13981.85</v>
      </c>
      <c r="N726" t="str">
        <f>VLOOKUP(A726,Hospitalisation_Details__2[],5,FALSE)</f>
        <v>tier - 2</v>
      </c>
      <c r="O726" t="str">
        <f>VLOOKUP(A726,Hospitalisation_Details__2[],6,FALSE)</f>
        <v>tier - 1</v>
      </c>
      <c r="P726" t="str">
        <f>VLOOKUP(A726,Hospitalisation_Details__2[],7,FALSE)</f>
        <v>R1016</v>
      </c>
    </row>
    <row r="727" spans="1:16" x14ac:dyDescent="0.35">
      <c r="A727" t="str">
        <v>Id726</v>
      </c>
      <c r="B727" t="str">
        <f>VLOOKUP(A727,'Customer Names (2)'!A:B, 2,FALSE)</f>
        <v>Mr</v>
      </c>
      <c r="C727">
        <f>VLOOKUP(A727,Medical_Examinations[],2,FALSE)</f>
        <v>48.36</v>
      </c>
      <c r="D727">
        <f>VLOOKUP(A727,Medical_Examinations[],3,FALSE)</f>
        <v>4.08</v>
      </c>
      <c r="E727" t="str">
        <f>VLOOKUP(A727,Medical_Examinations[],4,FALSE)</f>
        <v>No</v>
      </c>
      <c r="F727" t="str">
        <f>VLOOKUP(A727,Medical_Examinations[],5,FALSE)</f>
        <v>No</v>
      </c>
      <c r="G727" t="str">
        <f>VLOOKUP(A727,Medical_Examinations[],6,FALSE)</f>
        <v>No</v>
      </c>
      <c r="H727">
        <f>VLOOKUP(A727,Medical_Examinations[],7,FALSE)</f>
        <v>0</v>
      </c>
      <c r="I727" t="str">
        <f>VLOOKUP(A727,Medical_Examinations[],8,FALSE)</f>
        <v>No</v>
      </c>
      <c r="J727" t="str">
        <f>VLOOKUP(A727,Medical_Examinations[],9,FALSE)</f>
        <v>Obesity</v>
      </c>
      <c r="K727" t="str">
        <f>VLOOKUP(A727,Medical_Examinations[],10,FALSE)</f>
        <v>Normal</v>
      </c>
      <c r="M727">
        <f>VLOOKUP(A727,Hospitalisation_Details__2[],4,FALSE)</f>
        <v>13979.45</v>
      </c>
      <c r="N727" t="str">
        <f>VLOOKUP(A727,Hospitalisation_Details__2[],5,FALSE)</f>
        <v>tier - 2</v>
      </c>
      <c r="O727" t="str">
        <f>VLOOKUP(A727,Hospitalisation_Details__2[],6,FALSE)</f>
        <v>tier - 1</v>
      </c>
      <c r="P727" t="str">
        <f>VLOOKUP(A727,Hospitalisation_Details__2[],7,FALSE)</f>
        <v>R1023</v>
      </c>
    </row>
    <row r="728" spans="1:16" x14ac:dyDescent="0.35">
      <c r="A728" t="str">
        <v>Id727</v>
      </c>
      <c r="B728" t="str">
        <f>VLOOKUP(A728,'Customer Names (2)'!A:B, 2,FALSE)</f>
        <v>Mr</v>
      </c>
      <c r="C728">
        <f>VLOOKUP(A728,Medical_Examinations[],2,FALSE)</f>
        <v>31.445</v>
      </c>
      <c r="D728">
        <f>VLOOKUP(A728,Medical_Examinations[],3,FALSE)</f>
        <v>4.4000000000000004</v>
      </c>
      <c r="E728" t="str">
        <f>VLOOKUP(A728,Medical_Examinations[],4,FALSE)</f>
        <v>Yes</v>
      </c>
      <c r="F728" t="str">
        <f>VLOOKUP(A728,Medical_Examinations[],5,FALSE)</f>
        <v>No</v>
      </c>
      <c r="G728" t="str">
        <f>VLOOKUP(A728,Medical_Examinations[],6,FALSE)</f>
        <v>No</v>
      </c>
      <c r="H728">
        <f>VLOOKUP(A728,Medical_Examinations[],7,FALSE)</f>
        <v>2</v>
      </c>
      <c r="I728" t="str">
        <f>VLOOKUP(A728,Medical_Examinations[],8,FALSE)</f>
        <v>No</v>
      </c>
      <c r="J728" t="str">
        <f>VLOOKUP(A728,Medical_Examinations[],9,FALSE)</f>
        <v>Obesity</v>
      </c>
      <c r="K728" t="str">
        <f>VLOOKUP(A728,Medical_Examinations[],10,FALSE)</f>
        <v>Normal</v>
      </c>
      <c r="M728">
        <f>VLOOKUP(A728,Hospitalisation_Details__2[],4,FALSE)</f>
        <v>13974.46</v>
      </c>
      <c r="N728" t="str">
        <f>VLOOKUP(A728,Hospitalisation_Details__2[],5,FALSE)</f>
        <v>tier - 2</v>
      </c>
      <c r="O728" t="str">
        <f>VLOOKUP(A728,Hospitalisation_Details__2[],6,FALSE)</f>
        <v>tier - 2</v>
      </c>
      <c r="P728" t="str">
        <f>VLOOKUP(A728,Hospitalisation_Details__2[],7,FALSE)</f>
        <v>R1019</v>
      </c>
    </row>
    <row r="729" spans="1:16" x14ac:dyDescent="0.35">
      <c r="A729" t="str">
        <v>Id728</v>
      </c>
      <c r="B729" t="str">
        <f>VLOOKUP(A729,'Customer Names (2)'!A:B, 2,FALSE)</f>
        <v>Mr</v>
      </c>
      <c r="C729">
        <f>VLOOKUP(A729,Medical_Examinations[],2,FALSE)</f>
        <v>27.55</v>
      </c>
      <c r="D729">
        <f>VLOOKUP(A729,Medical_Examinations[],3,FALSE)</f>
        <v>9.02</v>
      </c>
      <c r="E729" t="str">
        <f>VLOOKUP(A729,Medical_Examinations[],4,FALSE)</f>
        <v>No</v>
      </c>
      <c r="F729" t="str">
        <f>VLOOKUP(A729,Medical_Examinations[],5,FALSE)</f>
        <v>No</v>
      </c>
      <c r="G729" t="str">
        <f>VLOOKUP(A729,Medical_Examinations[],6,FALSE)</f>
        <v>No</v>
      </c>
      <c r="H729">
        <f>VLOOKUP(A729,Medical_Examinations[],7,FALSE)</f>
        <v>0</v>
      </c>
      <c r="I729" t="str">
        <f>VLOOKUP(A729,Medical_Examinations[],8,FALSE)</f>
        <v>No</v>
      </c>
      <c r="J729" t="str">
        <f>VLOOKUP(A729,Medical_Examinations[],9,FALSE)</f>
        <v>Overweight</v>
      </c>
      <c r="K729" t="str">
        <f>VLOOKUP(A729,Medical_Examinations[],10,FALSE)</f>
        <v>Diabetes</v>
      </c>
      <c r="M729">
        <f>VLOOKUP(A729,Hospitalisation_Details__2[],4,FALSE)</f>
        <v>13937.67</v>
      </c>
      <c r="N729" t="str">
        <f>VLOOKUP(A729,Hospitalisation_Details__2[],5,FALSE)</f>
        <v>tier - 2</v>
      </c>
      <c r="O729" t="str">
        <f>VLOOKUP(A729,Hospitalisation_Details__2[],6,FALSE)</f>
        <v>tier - 1</v>
      </c>
      <c r="P729" t="str">
        <f>VLOOKUP(A729,Hospitalisation_Details__2[],7,FALSE)</f>
        <v>R1012</v>
      </c>
    </row>
    <row r="730" spans="1:16" x14ac:dyDescent="0.35">
      <c r="A730" t="str">
        <v>Id729</v>
      </c>
      <c r="B730" t="str">
        <f>VLOOKUP(A730,'Customer Names (2)'!A:B, 2,FALSE)</f>
        <v>Mr</v>
      </c>
      <c r="C730">
        <f>VLOOKUP(A730,Medical_Examinations[],2,FALSE)</f>
        <v>33.11</v>
      </c>
      <c r="D730">
        <f>VLOOKUP(A730,Medical_Examinations[],3,FALSE)</f>
        <v>8.06</v>
      </c>
      <c r="E730" t="str">
        <f>VLOOKUP(A730,Medical_Examinations[],4,FALSE)</f>
        <v>No</v>
      </c>
      <c r="F730" t="str">
        <f>VLOOKUP(A730,Medical_Examinations[],5,FALSE)</f>
        <v>No</v>
      </c>
      <c r="G730" t="str">
        <f>VLOOKUP(A730,Medical_Examinations[],6,FALSE)</f>
        <v>No</v>
      </c>
      <c r="H730">
        <f>VLOOKUP(A730,Medical_Examinations[],7,FALSE)</f>
        <v>0</v>
      </c>
      <c r="I730" t="str">
        <f>VLOOKUP(A730,Medical_Examinations[],8,FALSE)</f>
        <v>No</v>
      </c>
      <c r="J730" t="str">
        <f>VLOOKUP(A730,Medical_Examinations[],9,FALSE)</f>
        <v>Obesity</v>
      </c>
      <c r="K730" t="str">
        <f>VLOOKUP(A730,Medical_Examinations[],10,FALSE)</f>
        <v>Diabetes</v>
      </c>
      <c r="M730">
        <f>VLOOKUP(A730,Hospitalisation_Details__2[],4,FALSE)</f>
        <v>13919.82</v>
      </c>
      <c r="N730" t="str">
        <f>VLOOKUP(A730,Hospitalisation_Details__2[],5,FALSE)</f>
        <v>tier - 2</v>
      </c>
      <c r="O730" t="str">
        <f>VLOOKUP(A730,Hospitalisation_Details__2[],6,FALSE)</f>
        <v>tier - 2</v>
      </c>
      <c r="P730" t="str">
        <f>VLOOKUP(A730,Hospitalisation_Details__2[],7,FALSE)</f>
        <v>R1013</v>
      </c>
    </row>
    <row r="731" spans="1:16" x14ac:dyDescent="0.35">
      <c r="A731" t="str">
        <v>Id730</v>
      </c>
      <c r="B731" t="str">
        <f>VLOOKUP(A731,'Customer Names (2)'!A:B, 2,FALSE)</f>
        <v>Ms</v>
      </c>
      <c r="C731">
        <f>VLOOKUP(A731,Medical_Examinations[],2,FALSE)</f>
        <v>36.85</v>
      </c>
      <c r="D731">
        <f>VLOOKUP(A731,Medical_Examinations[],3,FALSE)</f>
        <v>6.21</v>
      </c>
      <c r="E731" t="str">
        <f>VLOOKUP(A731,Medical_Examinations[],4,FALSE)</f>
        <v>Yes</v>
      </c>
      <c r="F731" t="str">
        <f>VLOOKUP(A731,Medical_Examinations[],5,FALSE)</f>
        <v>No</v>
      </c>
      <c r="G731" t="str">
        <f>VLOOKUP(A731,Medical_Examinations[],6,FALSE)</f>
        <v>No</v>
      </c>
      <c r="H731">
        <f>VLOOKUP(A731,Medical_Examinations[],7,FALSE)</f>
        <v>2</v>
      </c>
      <c r="I731" t="str">
        <f>VLOOKUP(A731,Medical_Examinations[],8,FALSE)</f>
        <v>No</v>
      </c>
      <c r="J731" t="str">
        <f>VLOOKUP(A731,Medical_Examinations[],9,FALSE)</f>
        <v>Obesity</v>
      </c>
      <c r="K731" t="str">
        <f>VLOOKUP(A731,Medical_Examinations[],10,FALSE)</f>
        <v>Prediabetes</v>
      </c>
      <c r="M731">
        <f>VLOOKUP(A731,Hospitalisation_Details__2[],4,FALSE)</f>
        <v>13887.97</v>
      </c>
      <c r="N731" t="str">
        <f>VLOOKUP(A731,Hospitalisation_Details__2[],5,FALSE)</f>
        <v>tier - 2</v>
      </c>
      <c r="O731" t="str">
        <f>VLOOKUP(A731,Hospitalisation_Details__2[],6,FALSE)</f>
        <v>tier - 2</v>
      </c>
      <c r="P731" t="str">
        <f>VLOOKUP(A731,Hospitalisation_Details__2[],7,FALSE)</f>
        <v>R1013</v>
      </c>
    </row>
    <row r="732" spans="1:16" x14ac:dyDescent="0.35">
      <c r="A732" t="str">
        <v>Id731</v>
      </c>
      <c r="B732" t="str">
        <f>VLOOKUP(A732,'Customer Names (2)'!A:B, 2,FALSE)</f>
        <v>Ms</v>
      </c>
      <c r="C732">
        <f>VLOOKUP(A732,Medical_Examinations[],2,FALSE)</f>
        <v>36.299999999999997</v>
      </c>
      <c r="D732">
        <f>VLOOKUP(A732,Medical_Examinations[],3,FALSE)</f>
        <v>5.79</v>
      </c>
      <c r="E732" t="str">
        <f>VLOOKUP(A732,Medical_Examinations[],4,FALSE)</f>
        <v>Yes</v>
      </c>
      <c r="F732" t="str">
        <f>VLOOKUP(A732,Medical_Examinations[],5,FALSE)</f>
        <v>No</v>
      </c>
      <c r="G732" t="str">
        <f>VLOOKUP(A732,Medical_Examinations[],6,FALSE)</f>
        <v>No</v>
      </c>
      <c r="H732">
        <f>VLOOKUP(A732,Medical_Examinations[],7,FALSE)</f>
        <v>2</v>
      </c>
      <c r="I732" t="str">
        <f>VLOOKUP(A732,Medical_Examinations[],8,FALSE)</f>
        <v>No</v>
      </c>
      <c r="J732" t="str">
        <f>VLOOKUP(A732,Medical_Examinations[],9,FALSE)</f>
        <v>Obesity</v>
      </c>
      <c r="K732" t="str">
        <f>VLOOKUP(A732,Medical_Examinations[],10,FALSE)</f>
        <v>Prediabetes</v>
      </c>
      <c r="M732">
        <f>VLOOKUP(A732,Hospitalisation_Details__2[],4,FALSE)</f>
        <v>13887.2</v>
      </c>
      <c r="N732" t="str">
        <f>VLOOKUP(A732,Hospitalisation_Details__2[],5,FALSE)</f>
        <v>tier - 2</v>
      </c>
      <c r="O732" t="str">
        <f>VLOOKUP(A732,Hospitalisation_Details__2[],6,FALSE)</f>
        <v>tier - 3</v>
      </c>
      <c r="P732" t="str">
        <f>VLOOKUP(A732,Hospitalisation_Details__2[],7,FALSE)</f>
        <v>R1013</v>
      </c>
    </row>
    <row r="733" spans="1:16" x14ac:dyDescent="0.35">
      <c r="A733" t="str">
        <v>Id732</v>
      </c>
      <c r="B733" t="str">
        <f>VLOOKUP(A733,'Customer Names (2)'!A:B, 2,FALSE)</f>
        <v>Mr</v>
      </c>
      <c r="C733">
        <f>VLOOKUP(A733,Medical_Examinations[],2,FALSE)</f>
        <v>45.34</v>
      </c>
      <c r="D733">
        <f>VLOOKUP(A733,Medical_Examinations[],3,FALSE)</f>
        <v>5.69</v>
      </c>
      <c r="E733" t="str">
        <f>VLOOKUP(A733,Medical_Examinations[],4,FALSE)</f>
        <v>Yes</v>
      </c>
      <c r="F733" t="str">
        <f>VLOOKUP(A733,Medical_Examinations[],5,FALSE)</f>
        <v>No</v>
      </c>
      <c r="G733" t="str">
        <f>VLOOKUP(A733,Medical_Examinations[],6,FALSE)</f>
        <v>No</v>
      </c>
      <c r="H733">
        <f>VLOOKUP(A733,Medical_Examinations[],7,FALSE)</f>
        <v>0</v>
      </c>
      <c r="I733" t="str">
        <f>VLOOKUP(A733,Medical_Examinations[],8,FALSE)</f>
        <v>No</v>
      </c>
      <c r="J733" t="str">
        <f>VLOOKUP(A733,Medical_Examinations[],9,FALSE)</f>
        <v>Obesity</v>
      </c>
      <c r="K733" t="str">
        <f>VLOOKUP(A733,Medical_Examinations[],10,FALSE)</f>
        <v>Normal</v>
      </c>
      <c r="M733">
        <f>VLOOKUP(A733,Hospitalisation_Details__2[],4,FALSE)</f>
        <v>13886.4</v>
      </c>
      <c r="N733" t="str">
        <f>VLOOKUP(A733,Hospitalisation_Details__2[],5,FALSE)</f>
        <v>tier - 2</v>
      </c>
      <c r="O733" t="str">
        <f>VLOOKUP(A733,Hospitalisation_Details__2[],6,FALSE)</f>
        <v>tier - 2</v>
      </c>
      <c r="P733" t="str">
        <f>VLOOKUP(A733,Hospitalisation_Details__2[],7,FALSE)</f>
        <v>R1012</v>
      </c>
    </row>
    <row r="734" spans="1:16" x14ac:dyDescent="0.35">
      <c r="A734" t="str">
        <v>Id733</v>
      </c>
      <c r="B734" t="str">
        <f>VLOOKUP(A734,'Customer Names (2)'!A:B, 2,FALSE)</f>
        <v>Ms</v>
      </c>
      <c r="C734">
        <f>VLOOKUP(A734,Medical_Examinations[],2,FALSE)</f>
        <v>31.8</v>
      </c>
      <c r="D734">
        <f>VLOOKUP(A734,Medical_Examinations[],3,FALSE)</f>
        <v>5.36</v>
      </c>
      <c r="E734" t="str">
        <f>VLOOKUP(A734,Medical_Examinations[],4,FALSE)</f>
        <v>Yes</v>
      </c>
      <c r="F734" t="str">
        <f>VLOOKUP(A734,Medical_Examinations[],5,FALSE)</f>
        <v>No</v>
      </c>
      <c r="G734" t="str">
        <f>VLOOKUP(A734,Medical_Examinations[],6,FALSE)</f>
        <v>No</v>
      </c>
      <c r="H734">
        <f>VLOOKUP(A734,Medical_Examinations[],7,FALSE)</f>
        <v>2</v>
      </c>
      <c r="I734" t="str">
        <f>VLOOKUP(A734,Medical_Examinations[],8,FALSE)</f>
        <v>No</v>
      </c>
      <c r="J734" t="str">
        <f>VLOOKUP(A734,Medical_Examinations[],9,FALSE)</f>
        <v>Obesity</v>
      </c>
      <c r="K734" t="str">
        <f>VLOOKUP(A734,Medical_Examinations[],10,FALSE)</f>
        <v>Normal</v>
      </c>
      <c r="M734">
        <f>VLOOKUP(A734,Hospitalisation_Details__2[],4,FALSE)</f>
        <v>13880.95</v>
      </c>
      <c r="N734" t="str">
        <f>VLOOKUP(A734,Hospitalisation_Details__2[],5,FALSE)</f>
        <v>tier - 2</v>
      </c>
      <c r="O734" t="str">
        <f>VLOOKUP(A734,Hospitalisation_Details__2[],6,FALSE)</f>
        <v>tier - 2</v>
      </c>
      <c r="P734" t="str">
        <f>VLOOKUP(A734,Hospitalisation_Details__2[],7,FALSE)</f>
        <v>R1011</v>
      </c>
    </row>
    <row r="735" spans="1:16" x14ac:dyDescent="0.35">
      <c r="A735" t="str">
        <v>Id734</v>
      </c>
      <c r="B735" t="str">
        <f>VLOOKUP(A735,'Customer Names (2)'!A:B, 2,FALSE)</f>
        <v>Ms</v>
      </c>
      <c r="C735">
        <f>VLOOKUP(A735,Medical_Examinations[],2,FALSE)</f>
        <v>41.02</v>
      </c>
      <c r="D735">
        <f>VLOOKUP(A735,Medical_Examinations[],3,FALSE)</f>
        <v>11.37</v>
      </c>
      <c r="E735" t="str">
        <f>VLOOKUP(A735,Medical_Examinations[],4,FALSE)</f>
        <v>No</v>
      </c>
      <c r="F735" t="str">
        <f>VLOOKUP(A735,Medical_Examinations[],5,FALSE)</f>
        <v>No</v>
      </c>
      <c r="G735" t="str">
        <f>VLOOKUP(A735,Medical_Examinations[],6,FALSE)</f>
        <v>No</v>
      </c>
      <c r="H735">
        <f>VLOOKUP(A735,Medical_Examinations[],7,FALSE)</f>
        <v>0</v>
      </c>
      <c r="I735" t="str">
        <f>VLOOKUP(A735,Medical_Examinations[],8,FALSE)</f>
        <v>No</v>
      </c>
      <c r="J735" t="str">
        <f>VLOOKUP(A735,Medical_Examinations[],9,FALSE)</f>
        <v>Obesity</v>
      </c>
      <c r="K735" t="str">
        <f>VLOOKUP(A735,Medical_Examinations[],10,FALSE)</f>
        <v>Diabetes</v>
      </c>
      <c r="M735">
        <f>VLOOKUP(A735,Hospitalisation_Details__2[],4,FALSE)</f>
        <v>13874.89</v>
      </c>
      <c r="N735" t="str">
        <f>VLOOKUP(A735,Hospitalisation_Details__2[],5,FALSE)</f>
        <v>tier - 2</v>
      </c>
      <c r="O735" t="str">
        <f>VLOOKUP(A735,Hospitalisation_Details__2[],6,FALSE)</f>
        <v>tier - 1</v>
      </c>
      <c r="P735" t="str">
        <f>VLOOKUP(A735,Hospitalisation_Details__2[],7,FALSE)</f>
        <v>R1012</v>
      </c>
    </row>
    <row r="736" spans="1:16" x14ac:dyDescent="0.35">
      <c r="A736" t="str">
        <v>Id735</v>
      </c>
      <c r="B736" t="str">
        <f>VLOOKUP(A736,'Customer Names (2)'!A:B, 2,FALSE)</f>
        <v>Ms</v>
      </c>
      <c r="C736">
        <f>VLOOKUP(A736,Medical_Examinations[],2,FALSE)</f>
        <v>32.68</v>
      </c>
      <c r="D736">
        <f>VLOOKUP(A736,Medical_Examinations[],3,FALSE)</f>
        <v>11.87</v>
      </c>
      <c r="E736" t="str">
        <f>VLOOKUP(A736,Medical_Examinations[],4,FALSE)</f>
        <v>No</v>
      </c>
      <c r="F736" t="str">
        <f>VLOOKUP(A736,Medical_Examinations[],5,FALSE)</f>
        <v>No</v>
      </c>
      <c r="G736" t="str">
        <f>VLOOKUP(A736,Medical_Examinations[],6,FALSE)</f>
        <v>No</v>
      </c>
      <c r="H736">
        <f>VLOOKUP(A736,Medical_Examinations[],7,FALSE)</f>
        <v>0</v>
      </c>
      <c r="I736" t="str">
        <f>VLOOKUP(A736,Medical_Examinations[],8,FALSE)</f>
        <v>No</v>
      </c>
      <c r="J736" t="str">
        <f>VLOOKUP(A736,Medical_Examinations[],9,FALSE)</f>
        <v>Obesity</v>
      </c>
      <c r="K736" t="str">
        <f>VLOOKUP(A736,Medical_Examinations[],10,FALSE)</f>
        <v>Diabetes</v>
      </c>
      <c r="M736">
        <f>VLOOKUP(A736,Hospitalisation_Details__2[],4,FALSE)</f>
        <v>13844.8</v>
      </c>
      <c r="N736" t="str">
        <f>VLOOKUP(A736,Hospitalisation_Details__2[],5,FALSE)</f>
        <v>tier - 2</v>
      </c>
      <c r="O736" t="str">
        <f>VLOOKUP(A736,Hospitalisation_Details__2[],6,FALSE)</f>
        <v>tier - 2</v>
      </c>
      <c r="P736" t="str">
        <f>VLOOKUP(A736,Hospitalisation_Details__2[],7,FALSE)</f>
        <v>R1012</v>
      </c>
    </row>
    <row r="737" spans="1:16" x14ac:dyDescent="0.35">
      <c r="A737" t="str">
        <v>Id736</v>
      </c>
      <c r="B737" t="str">
        <f>VLOOKUP(A737,'Customer Names (2)'!A:B, 2,FALSE)</f>
        <v>Ms</v>
      </c>
      <c r="C737">
        <f>VLOOKUP(A737,Medical_Examinations[],2,FALSE)</f>
        <v>21.7</v>
      </c>
      <c r="D737">
        <f>VLOOKUP(A737,Medical_Examinations[],3,FALSE)</f>
        <v>4.9000000000000004</v>
      </c>
      <c r="E737" t="str">
        <f>VLOOKUP(A737,Medical_Examinations[],4,FALSE)</f>
        <v>No</v>
      </c>
      <c r="F737" t="str">
        <f>VLOOKUP(A737,Medical_Examinations[],5,FALSE)</f>
        <v>No</v>
      </c>
      <c r="G737" t="str">
        <f>VLOOKUP(A737,Medical_Examinations[],6,FALSE)</f>
        <v>Yes</v>
      </c>
      <c r="H737">
        <f>VLOOKUP(A737,Medical_Examinations[],7,FALSE)</f>
        <v>1</v>
      </c>
      <c r="I737" t="str">
        <f>VLOOKUP(A737,Medical_Examinations[],8,FALSE)</f>
        <v>Yes</v>
      </c>
      <c r="J737" t="str">
        <f>VLOOKUP(A737,Medical_Examinations[],9,FALSE)</f>
        <v>Normal Weight</v>
      </c>
      <c r="K737" t="str">
        <f>VLOOKUP(A737,Medical_Examinations[],10,FALSE)</f>
        <v>Normal</v>
      </c>
      <c r="M737">
        <f>VLOOKUP(A737,Hospitalisation_Details__2[],4,FALSE)</f>
        <v>13844.51</v>
      </c>
      <c r="N737" t="str">
        <f>VLOOKUP(A737,Hospitalisation_Details__2[],5,FALSE)</f>
        <v>tier - 2</v>
      </c>
      <c r="O737" t="str">
        <f>VLOOKUP(A737,Hospitalisation_Details__2[],6,FALSE)</f>
        <v>tier - 1</v>
      </c>
      <c r="P737" t="str">
        <f>VLOOKUP(A737,Hospitalisation_Details__2[],7,FALSE)</f>
        <v>R1011</v>
      </c>
    </row>
    <row r="738" spans="1:16" x14ac:dyDescent="0.35">
      <c r="A738" t="str">
        <v>Id737</v>
      </c>
      <c r="B738" t="str">
        <f>VLOOKUP(A738,'Customer Names (2)'!A:B, 2,FALSE)</f>
        <v>Mr</v>
      </c>
      <c r="C738">
        <f>VLOOKUP(A738,Medical_Examinations[],2,FALSE)</f>
        <v>40.479999999999997</v>
      </c>
      <c r="D738">
        <f>VLOOKUP(A738,Medical_Examinations[],3,FALSE)</f>
        <v>6.7</v>
      </c>
      <c r="E738" t="str">
        <f>VLOOKUP(A738,Medical_Examinations[],4,FALSE)</f>
        <v>No</v>
      </c>
      <c r="F738" t="str">
        <f>VLOOKUP(A738,Medical_Examinations[],5,FALSE)</f>
        <v>No</v>
      </c>
      <c r="G738" t="str">
        <f>VLOOKUP(A738,Medical_Examinations[],6,FALSE)</f>
        <v>No</v>
      </c>
      <c r="H738">
        <f>VLOOKUP(A738,Medical_Examinations[],7,FALSE)</f>
        <v>3</v>
      </c>
      <c r="I738" t="str">
        <f>VLOOKUP(A738,Medical_Examinations[],8,FALSE)</f>
        <v>No</v>
      </c>
      <c r="J738" t="str">
        <f>VLOOKUP(A738,Medical_Examinations[],9,FALSE)</f>
        <v>Obesity</v>
      </c>
      <c r="K738" t="str">
        <f>VLOOKUP(A738,Medical_Examinations[],10,FALSE)</f>
        <v>Diabetes</v>
      </c>
      <c r="M738">
        <f>VLOOKUP(A738,Hospitalisation_Details__2[],4,FALSE)</f>
        <v>13831.12</v>
      </c>
      <c r="N738" t="str">
        <f>VLOOKUP(A738,Hospitalisation_Details__2[],5,FALSE)</f>
        <v>tier - 3</v>
      </c>
      <c r="O738" t="str">
        <f>VLOOKUP(A738,Hospitalisation_Details__2[],6,FALSE)</f>
        <v>tier - 1</v>
      </c>
      <c r="P738" t="str">
        <f>VLOOKUP(A738,Hospitalisation_Details__2[],7,FALSE)</f>
        <v>R1013</v>
      </c>
    </row>
    <row r="739" spans="1:16" x14ac:dyDescent="0.35">
      <c r="A739" t="str">
        <v>Id738</v>
      </c>
      <c r="B739" t="str">
        <f>VLOOKUP(A739,'Customer Names (2)'!A:B, 2,FALSE)</f>
        <v>Mr</v>
      </c>
      <c r="C739">
        <f>VLOOKUP(A739,Medical_Examinations[],2,FALSE)</f>
        <v>34.5</v>
      </c>
      <c r="D739">
        <f>VLOOKUP(A739,Medical_Examinations[],3,FALSE)</f>
        <v>10.3</v>
      </c>
      <c r="E739" t="str">
        <f>VLOOKUP(A739,Medical_Examinations[],4,FALSE)</f>
        <v>No</v>
      </c>
      <c r="F739" t="str">
        <f>VLOOKUP(A739,Medical_Examinations[],5,FALSE)</f>
        <v>No</v>
      </c>
      <c r="G739" t="str">
        <f>VLOOKUP(A739,Medical_Examinations[],6,FALSE)</f>
        <v>No</v>
      </c>
      <c r="H739">
        <f>VLOOKUP(A739,Medical_Examinations[],7,FALSE)</f>
        <v>3</v>
      </c>
      <c r="I739" t="str">
        <f>VLOOKUP(A739,Medical_Examinations[],8,FALSE)</f>
        <v>No</v>
      </c>
      <c r="J739" t="str">
        <f>VLOOKUP(A739,Medical_Examinations[],9,FALSE)</f>
        <v>Obesity</v>
      </c>
      <c r="K739" t="str">
        <f>VLOOKUP(A739,Medical_Examinations[],10,FALSE)</f>
        <v>Diabetes</v>
      </c>
      <c r="M739">
        <f>VLOOKUP(A739,Hospitalisation_Details__2[],4,FALSE)</f>
        <v>13822.8</v>
      </c>
      <c r="N739" t="str">
        <f>VLOOKUP(A739,Hospitalisation_Details__2[],5,FALSE)</f>
        <v>tier - 3</v>
      </c>
      <c r="O739" t="str">
        <f>VLOOKUP(A739,Hospitalisation_Details__2[],6,FALSE)</f>
        <v>tier - 3</v>
      </c>
      <c r="P739" t="str">
        <f>VLOOKUP(A739,Hospitalisation_Details__2[],7,FALSE)</f>
        <v>R1011</v>
      </c>
    </row>
    <row r="740" spans="1:16" x14ac:dyDescent="0.35">
      <c r="A740" t="str">
        <v>Id739</v>
      </c>
      <c r="B740" t="str">
        <f>VLOOKUP(A740,'Customer Names (2)'!A:B, 2,FALSE)</f>
        <v>Mr</v>
      </c>
      <c r="C740">
        <f>VLOOKUP(A740,Medical_Examinations[],2,FALSE)</f>
        <v>45.9</v>
      </c>
      <c r="D740">
        <f>VLOOKUP(A740,Medical_Examinations[],3,FALSE)</f>
        <v>11.14</v>
      </c>
      <c r="E740" t="str">
        <f>VLOOKUP(A740,Medical_Examinations[],4,FALSE)</f>
        <v>Yes</v>
      </c>
      <c r="F740" t="str">
        <f>VLOOKUP(A740,Medical_Examinations[],5,FALSE)</f>
        <v>No</v>
      </c>
      <c r="G740" t="str">
        <f>VLOOKUP(A740,Medical_Examinations[],6,FALSE)</f>
        <v>No</v>
      </c>
      <c r="H740">
        <f>VLOOKUP(A740,Medical_Examinations[],7,FALSE)</f>
        <v>1</v>
      </c>
      <c r="I740" t="str">
        <f>VLOOKUP(A740,Medical_Examinations[],8,FALSE)</f>
        <v>No</v>
      </c>
      <c r="J740" t="str">
        <f>VLOOKUP(A740,Medical_Examinations[],9,FALSE)</f>
        <v>Obesity</v>
      </c>
      <c r="K740" t="str">
        <f>VLOOKUP(A740,Medical_Examinations[],10,FALSE)</f>
        <v>Diabetes</v>
      </c>
      <c r="M740">
        <f>VLOOKUP(A740,Hospitalisation_Details__2[],4,FALSE)</f>
        <v>13819.49</v>
      </c>
      <c r="N740" t="str">
        <f>VLOOKUP(A740,Hospitalisation_Details__2[],5,FALSE)</f>
        <v>tier - 3</v>
      </c>
      <c r="O740" t="str">
        <f>VLOOKUP(A740,Hospitalisation_Details__2[],6,FALSE)</f>
        <v>tier - 2</v>
      </c>
      <c r="P740" t="str">
        <f>VLOOKUP(A740,Hospitalisation_Details__2[],7,FALSE)</f>
        <v>R1012</v>
      </c>
    </row>
    <row r="741" spans="1:16" x14ac:dyDescent="0.35">
      <c r="A741" t="str">
        <v>Id740</v>
      </c>
      <c r="B741" t="str">
        <f>VLOOKUP(A741,'Customer Names (2)'!A:B, 2,FALSE)</f>
        <v>Mrs</v>
      </c>
      <c r="C741">
        <f>VLOOKUP(A741,Medical_Examinations[],2,FALSE)</f>
        <v>33.479999999999997</v>
      </c>
      <c r="D741">
        <f>VLOOKUP(A741,Medical_Examinations[],3,FALSE)</f>
        <v>4.74</v>
      </c>
      <c r="E741" t="str">
        <f>VLOOKUP(A741,Medical_Examinations[],4,FALSE)</f>
        <v>Yes</v>
      </c>
      <c r="F741" t="str">
        <f>VLOOKUP(A741,Medical_Examinations[],5,FALSE)</f>
        <v>No</v>
      </c>
      <c r="G741" t="str">
        <f>VLOOKUP(A741,Medical_Examinations[],6,FALSE)</f>
        <v>No</v>
      </c>
      <c r="H741">
        <f>VLOOKUP(A741,Medical_Examinations[],7,FALSE)</f>
        <v>2</v>
      </c>
      <c r="I741" t="str">
        <f>VLOOKUP(A741,Medical_Examinations[],8,FALSE)</f>
        <v>No</v>
      </c>
      <c r="J741" t="str">
        <f>VLOOKUP(A741,Medical_Examinations[],9,FALSE)</f>
        <v>Obesity</v>
      </c>
      <c r="K741" t="str">
        <f>VLOOKUP(A741,Medical_Examinations[],10,FALSE)</f>
        <v>Normal</v>
      </c>
      <c r="M741">
        <f>VLOOKUP(A741,Hospitalisation_Details__2[],4,FALSE)</f>
        <v>13801.61</v>
      </c>
      <c r="N741" t="str">
        <f>VLOOKUP(A741,Hospitalisation_Details__2[],5,FALSE)</f>
        <v>tier - 3</v>
      </c>
      <c r="O741" t="str">
        <f>VLOOKUP(A741,Hospitalisation_Details__2[],6,FALSE)</f>
        <v>tier - 3</v>
      </c>
      <c r="P741" t="str">
        <f>VLOOKUP(A741,Hospitalisation_Details__2[],7,FALSE)</f>
        <v>R1026</v>
      </c>
    </row>
    <row r="742" spans="1:16" x14ac:dyDescent="0.35">
      <c r="A742" t="str">
        <v>Id741</v>
      </c>
      <c r="B742" t="str">
        <f>VLOOKUP(A742,'Customer Names (2)'!A:B, 2,FALSE)</f>
        <v>Mr</v>
      </c>
      <c r="C742">
        <f>VLOOKUP(A742,Medical_Examinations[],2,FALSE)</f>
        <v>28.31</v>
      </c>
      <c r="D742">
        <f>VLOOKUP(A742,Medical_Examinations[],3,FALSE)</f>
        <v>5.96</v>
      </c>
      <c r="E742" t="str">
        <f>VLOOKUP(A742,Medical_Examinations[],4,FALSE)</f>
        <v>Yes</v>
      </c>
      <c r="F742" t="str">
        <f>VLOOKUP(A742,Medical_Examinations[],5,FALSE)</f>
        <v>No</v>
      </c>
      <c r="G742" t="str">
        <f>VLOOKUP(A742,Medical_Examinations[],6,FALSE)</f>
        <v>No</v>
      </c>
      <c r="H742">
        <f>VLOOKUP(A742,Medical_Examinations[],7,FALSE)</f>
        <v>2</v>
      </c>
      <c r="I742" t="str">
        <f>VLOOKUP(A742,Medical_Examinations[],8,FALSE)</f>
        <v>No</v>
      </c>
      <c r="J742" t="str">
        <f>VLOOKUP(A742,Medical_Examinations[],9,FALSE)</f>
        <v>Overweight</v>
      </c>
      <c r="K742" t="str">
        <f>VLOOKUP(A742,Medical_Examinations[],10,FALSE)</f>
        <v>Prediabetes</v>
      </c>
      <c r="M742">
        <f>VLOOKUP(A742,Hospitalisation_Details__2[],4,FALSE)</f>
        <v>13770.1</v>
      </c>
      <c r="N742" t="str">
        <f>VLOOKUP(A742,Hospitalisation_Details__2[],5,FALSE)</f>
        <v>tier - 3</v>
      </c>
      <c r="O742" t="str">
        <f>VLOOKUP(A742,Hospitalisation_Details__2[],6,FALSE)</f>
        <v>tier - 1</v>
      </c>
      <c r="P742" t="str">
        <f>VLOOKUP(A742,Hospitalisation_Details__2[],7,FALSE)</f>
        <v>R1012</v>
      </c>
    </row>
    <row r="743" spans="1:16" x14ac:dyDescent="0.35">
      <c r="A743" t="str">
        <v>Id742</v>
      </c>
      <c r="B743" t="str">
        <f>VLOOKUP(A743,'Customer Names (2)'!A:B, 2,FALSE)</f>
        <v>Mr</v>
      </c>
      <c r="C743">
        <f>VLOOKUP(A743,Medical_Examinations[],2,FALSE)</f>
        <v>21.565000000000001</v>
      </c>
      <c r="D743">
        <f>VLOOKUP(A743,Medical_Examinations[],3,FALSE)</f>
        <v>4.95</v>
      </c>
      <c r="E743" t="str">
        <f>VLOOKUP(A743,Medical_Examinations[],4,FALSE)</f>
        <v>No</v>
      </c>
      <c r="F743" t="str">
        <f>VLOOKUP(A743,Medical_Examinations[],5,FALSE)</f>
        <v>yes</v>
      </c>
      <c r="G743" t="str">
        <f>VLOOKUP(A743,Medical_Examinations[],6,FALSE)</f>
        <v>No</v>
      </c>
      <c r="H743">
        <f>VLOOKUP(A743,Medical_Examinations[],7,FALSE)</f>
        <v>1</v>
      </c>
      <c r="I743" t="str">
        <f>VLOOKUP(A743,Medical_Examinations[],8,FALSE)</f>
        <v>Yes</v>
      </c>
      <c r="J743" t="str">
        <f>VLOOKUP(A743,Medical_Examinations[],9,FALSE)</f>
        <v>Normal Weight</v>
      </c>
      <c r="K743" t="str">
        <f>VLOOKUP(A743,Medical_Examinations[],10,FALSE)</f>
        <v>Normal</v>
      </c>
      <c r="M743">
        <f>VLOOKUP(A743,Hospitalisation_Details__2[],4,FALSE)</f>
        <v>13747.87</v>
      </c>
      <c r="N743" t="str">
        <f>VLOOKUP(A743,Hospitalisation_Details__2[],5,FALSE)</f>
        <v>tier - 3</v>
      </c>
      <c r="O743" t="str">
        <f>VLOOKUP(A743,Hospitalisation_Details__2[],6,FALSE)</f>
        <v>tier - 2</v>
      </c>
      <c r="P743" t="str">
        <f>VLOOKUP(A743,Hospitalisation_Details__2[],7,FALSE)</f>
        <v>R1018</v>
      </c>
    </row>
    <row r="744" spans="1:16" x14ac:dyDescent="0.35">
      <c r="A744" t="str">
        <v>Id743</v>
      </c>
      <c r="B744" t="str">
        <f>VLOOKUP(A744,'Customer Names (2)'!A:B, 2,FALSE)</f>
        <v>Mrs</v>
      </c>
      <c r="C744">
        <f>VLOOKUP(A744,Medical_Examinations[],2,FALSE)</f>
        <v>35.590000000000003</v>
      </c>
      <c r="D744">
        <f>VLOOKUP(A744,Medical_Examinations[],3,FALSE)</f>
        <v>5.21</v>
      </c>
      <c r="E744" t="str">
        <f>VLOOKUP(A744,Medical_Examinations[],4,FALSE)</f>
        <v>Yes</v>
      </c>
      <c r="F744" t="str">
        <f>VLOOKUP(A744,Medical_Examinations[],5,FALSE)</f>
        <v>No</v>
      </c>
      <c r="G744" t="str">
        <f>VLOOKUP(A744,Medical_Examinations[],6,FALSE)</f>
        <v>Yes</v>
      </c>
      <c r="H744">
        <f>VLOOKUP(A744,Medical_Examinations[],7,FALSE)</f>
        <v>1</v>
      </c>
      <c r="I744" t="str">
        <f>VLOOKUP(A744,Medical_Examinations[],8,FALSE)</f>
        <v>No</v>
      </c>
      <c r="J744" t="str">
        <f>VLOOKUP(A744,Medical_Examinations[],9,FALSE)</f>
        <v>Obesity</v>
      </c>
      <c r="K744" t="str">
        <f>VLOOKUP(A744,Medical_Examinations[],10,FALSE)</f>
        <v>Normal</v>
      </c>
      <c r="M744">
        <f>VLOOKUP(A744,Hospitalisation_Details__2[],4,FALSE)</f>
        <v>13746.74</v>
      </c>
      <c r="N744" t="str">
        <f>VLOOKUP(A744,Hospitalisation_Details__2[],5,FALSE)</f>
        <v>tier - 3</v>
      </c>
      <c r="O744" t="str">
        <f>VLOOKUP(A744,Hospitalisation_Details__2[],6,FALSE)</f>
        <v>tier - 2</v>
      </c>
      <c r="P744" t="str">
        <f>VLOOKUP(A744,Hospitalisation_Details__2[],7,FALSE)</f>
        <v>R1026</v>
      </c>
    </row>
    <row r="745" spans="1:16" x14ac:dyDescent="0.35">
      <c r="A745" t="str">
        <v>Id744</v>
      </c>
      <c r="B745" t="str">
        <f>VLOOKUP(A745,'Customer Names (2)'!A:B, 2,FALSE)</f>
        <v>Mrs</v>
      </c>
      <c r="C745">
        <f>VLOOKUP(A745,Medical_Examinations[],2,FALSE)</f>
        <v>43.44</v>
      </c>
      <c r="D745">
        <f>VLOOKUP(A745,Medical_Examinations[],3,FALSE)</f>
        <v>4.8600000000000003</v>
      </c>
      <c r="E745" t="str">
        <f>VLOOKUP(A745,Medical_Examinations[],4,FALSE)</f>
        <v>Yes</v>
      </c>
      <c r="F745" t="str">
        <f>VLOOKUP(A745,Medical_Examinations[],5,FALSE)</f>
        <v>No</v>
      </c>
      <c r="G745" t="str">
        <f>VLOOKUP(A745,Medical_Examinations[],6,FALSE)</f>
        <v>No</v>
      </c>
      <c r="H745">
        <f>VLOOKUP(A745,Medical_Examinations[],7,FALSE)</f>
        <v>0</v>
      </c>
      <c r="I745" t="str">
        <f>VLOOKUP(A745,Medical_Examinations[],8,FALSE)</f>
        <v>No</v>
      </c>
      <c r="J745" t="str">
        <f>VLOOKUP(A745,Medical_Examinations[],9,FALSE)</f>
        <v>Obesity</v>
      </c>
      <c r="K745" t="str">
        <f>VLOOKUP(A745,Medical_Examinations[],10,FALSE)</f>
        <v>Normal</v>
      </c>
      <c r="M745">
        <f>VLOOKUP(A745,Hospitalisation_Details__2[],4,FALSE)</f>
        <v>13726.21</v>
      </c>
      <c r="N745" t="str">
        <f>VLOOKUP(A745,Hospitalisation_Details__2[],5,FALSE)</f>
        <v>tier - 3</v>
      </c>
      <c r="O745" t="str">
        <f>VLOOKUP(A745,Hospitalisation_Details__2[],6,FALSE)</f>
        <v>tier - 3</v>
      </c>
      <c r="P745" t="str">
        <f>VLOOKUP(A745,Hospitalisation_Details__2[],7,FALSE)</f>
        <v>R1026</v>
      </c>
    </row>
    <row r="746" spans="1:16" x14ac:dyDescent="0.35">
      <c r="A746" t="str">
        <v>Id745</v>
      </c>
      <c r="B746" t="str">
        <f>VLOOKUP(A746,'Customer Names (2)'!A:B, 2,FALSE)</f>
        <v>Ms</v>
      </c>
      <c r="C746">
        <f>VLOOKUP(A746,Medical_Examinations[],2,FALSE)</f>
        <v>21.754999999999999</v>
      </c>
      <c r="D746">
        <f>VLOOKUP(A746,Medical_Examinations[],3,FALSE)</f>
        <v>7.79</v>
      </c>
      <c r="E746" t="str">
        <f>VLOOKUP(A746,Medical_Examinations[],4,FALSE)</f>
        <v>Yes</v>
      </c>
      <c r="F746" t="str">
        <f>VLOOKUP(A746,Medical_Examinations[],5,FALSE)</f>
        <v>No</v>
      </c>
      <c r="G746" t="str">
        <f>VLOOKUP(A746,Medical_Examinations[],6,FALSE)</f>
        <v>No</v>
      </c>
      <c r="H746">
        <f>VLOOKUP(A746,Medical_Examinations[],7,FALSE)</f>
        <v>0</v>
      </c>
      <c r="I746" t="str">
        <f>VLOOKUP(A746,Medical_Examinations[],8,FALSE)</f>
        <v>No</v>
      </c>
      <c r="J746" t="str">
        <f>VLOOKUP(A746,Medical_Examinations[],9,FALSE)</f>
        <v>Normal Weight</v>
      </c>
      <c r="K746" t="str">
        <f>VLOOKUP(A746,Medical_Examinations[],10,FALSE)</f>
        <v>Diabetes</v>
      </c>
      <c r="M746">
        <f>VLOOKUP(A746,Hospitalisation_Details__2[],4,FALSE)</f>
        <v>13725.47</v>
      </c>
      <c r="N746" t="str">
        <f>VLOOKUP(A746,Hospitalisation_Details__2[],5,FALSE)</f>
        <v>tier - 3</v>
      </c>
      <c r="O746" t="str">
        <f>VLOOKUP(A746,Hospitalisation_Details__2[],6,FALSE)</f>
        <v>tier - 2</v>
      </c>
      <c r="P746" t="str">
        <f>VLOOKUP(A746,Hospitalisation_Details__2[],7,FALSE)</f>
        <v>R1024</v>
      </c>
    </row>
    <row r="747" spans="1:16" x14ac:dyDescent="0.35">
      <c r="A747" t="str">
        <v>Id746</v>
      </c>
      <c r="B747" t="str">
        <f>VLOOKUP(A747,'Customer Names (2)'!A:B, 2,FALSE)</f>
        <v>Mr</v>
      </c>
      <c r="C747">
        <f>VLOOKUP(A747,Medical_Examinations[],2,FALSE)</f>
        <v>44.55</v>
      </c>
      <c r="D747">
        <f>VLOOKUP(A747,Medical_Examinations[],3,FALSE)</f>
        <v>7.12</v>
      </c>
      <c r="E747" t="str">
        <f>VLOOKUP(A747,Medical_Examinations[],4,FALSE)</f>
        <v>Yes</v>
      </c>
      <c r="F747" t="str">
        <f>VLOOKUP(A747,Medical_Examinations[],5,FALSE)</f>
        <v>No</v>
      </c>
      <c r="G747" t="str">
        <f>VLOOKUP(A747,Medical_Examinations[],6,FALSE)</f>
        <v>No</v>
      </c>
      <c r="H747">
        <f>VLOOKUP(A747,Medical_Examinations[],7,FALSE)</f>
        <v>1</v>
      </c>
      <c r="I747" t="str">
        <f>VLOOKUP(A747,Medical_Examinations[],8,FALSE)</f>
        <v>No</v>
      </c>
      <c r="J747" t="str">
        <f>VLOOKUP(A747,Medical_Examinations[],9,FALSE)</f>
        <v>Obesity</v>
      </c>
      <c r="K747" t="str">
        <f>VLOOKUP(A747,Medical_Examinations[],10,FALSE)</f>
        <v>Diabetes</v>
      </c>
      <c r="M747">
        <f>VLOOKUP(A747,Hospitalisation_Details__2[],4,FALSE)</f>
        <v>13714.55</v>
      </c>
      <c r="N747" t="str">
        <f>VLOOKUP(A747,Hospitalisation_Details__2[],5,FALSE)</f>
        <v>tier - 3</v>
      </c>
      <c r="O747" t="str">
        <f>VLOOKUP(A747,Hospitalisation_Details__2[],6,FALSE)</f>
        <v>tier - 2</v>
      </c>
      <c r="P747" t="str">
        <f>VLOOKUP(A747,Hospitalisation_Details__2[],7,FALSE)</f>
        <v>R1023</v>
      </c>
    </row>
    <row r="748" spans="1:16" x14ac:dyDescent="0.35">
      <c r="A748" t="str">
        <v>Id747</v>
      </c>
      <c r="B748" t="str">
        <f>VLOOKUP(A748,'Customer Names (2)'!A:B, 2,FALSE)</f>
        <v>Mrs</v>
      </c>
      <c r="C748">
        <f>VLOOKUP(A748,Medical_Examinations[],2,FALSE)</f>
        <v>43.32</v>
      </c>
      <c r="D748">
        <f>VLOOKUP(A748,Medical_Examinations[],3,FALSE)</f>
        <v>4.67</v>
      </c>
      <c r="E748" t="str">
        <f>VLOOKUP(A748,Medical_Examinations[],4,FALSE)</f>
        <v>Yes</v>
      </c>
      <c r="F748" t="str">
        <f>VLOOKUP(A748,Medical_Examinations[],5,FALSE)</f>
        <v>No</v>
      </c>
      <c r="G748" t="str">
        <f>VLOOKUP(A748,Medical_Examinations[],6,FALSE)</f>
        <v>No</v>
      </c>
      <c r="H748">
        <f>VLOOKUP(A748,Medical_Examinations[],7,FALSE)</f>
        <v>0</v>
      </c>
      <c r="I748" t="str">
        <f>VLOOKUP(A748,Medical_Examinations[],8,FALSE)</f>
        <v>No</v>
      </c>
      <c r="J748" t="str">
        <f>VLOOKUP(A748,Medical_Examinations[],9,FALSE)</f>
        <v>Obesity</v>
      </c>
      <c r="K748" t="str">
        <f>VLOOKUP(A748,Medical_Examinations[],10,FALSE)</f>
        <v>Normal</v>
      </c>
      <c r="M748">
        <f>VLOOKUP(A748,Hospitalisation_Details__2[],4,FALSE)</f>
        <v>13685.51</v>
      </c>
      <c r="N748" t="str">
        <f>VLOOKUP(A748,Hospitalisation_Details__2[],5,FALSE)</f>
        <v>tier - 3</v>
      </c>
      <c r="O748" t="str">
        <f>VLOOKUP(A748,Hospitalisation_Details__2[],6,FALSE)</f>
        <v>tier - 1</v>
      </c>
      <c r="P748" t="str">
        <f>VLOOKUP(A748,Hospitalisation_Details__2[],7,FALSE)</f>
        <v>R1026</v>
      </c>
    </row>
    <row r="749" spans="1:16" x14ac:dyDescent="0.35">
      <c r="A749" t="str">
        <v>Id748</v>
      </c>
      <c r="B749" t="str">
        <f>VLOOKUP(A749,'Customer Names (2)'!A:B, 2,FALSE)</f>
        <v>Mr</v>
      </c>
      <c r="C749">
        <f>VLOOKUP(A749,Medical_Examinations[],2,FALSE)</f>
        <v>31.23</v>
      </c>
      <c r="D749">
        <f>VLOOKUP(A749,Medical_Examinations[],3,FALSE)</f>
        <v>9.1199999999999992</v>
      </c>
      <c r="E749" t="str">
        <f>VLOOKUP(A749,Medical_Examinations[],4,FALSE)</f>
        <v>Yes</v>
      </c>
      <c r="F749" t="str">
        <f>VLOOKUP(A749,Medical_Examinations[],5,FALSE)</f>
        <v>No</v>
      </c>
      <c r="G749" t="str">
        <f>VLOOKUP(A749,Medical_Examinations[],6,FALSE)</f>
        <v>Yes</v>
      </c>
      <c r="H749">
        <f>VLOOKUP(A749,Medical_Examinations[],7,FALSE)</f>
        <v>1</v>
      </c>
      <c r="I749" t="str">
        <f>VLOOKUP(A749,Medical_Examinations[],8,FALSE)</f>
        <v>No</v>
      </c>
      <c r="J749" t="str">
        <f>VLOOKUP(A749,Medical_Examinations[],9,FALSE)</f>
        <v>Obesity</v>
      </c>
      <c r="K749" t="str">
        <f>VLOOKUP(A749,Medical_Examinations[],10,FALSE)</f>
        <v>Diabetes</v>
      </c>
      <c r="M749">
        <f>VLOOKUP(A749,Hospitalisation_Details__2[],4,FALSE)</f>
        <v>13677.68</v>
      </c>
      <c r="N749" t="str">
        <f>VLOOKUP(A749,Hospitalisation_Details__2[],5,FALSE)</f>
        <v>tier - 3</v>
      </c>
      <c r="O749" t="str">
        <f>VLOOKUP(A749,Hospitalisation_Details__2[],6,FALSE)</f>
        <v>tier - 2</v>
      </c>
      <c r="P749" t="str">
        <f>VLOOKUP(A749,Hospitalisation_Details__2[],7,FALSE)</f>
        <v>R1021</v>
      </c>
    </row>
    <row r="750" spans="1:16" x14ac:dyDescent="0.35">
      <c r="A750" t="str">
        <v>Id749</v>
      </c>
      <c r="B750" t="str">
        <f>VLOOKUP(A750,'Customer Names (2)'!A:B, 2,FALSE)</f>
        <v>Mr</v>
      </c>
      <c r="C750">
        <f>VLOOKUP(A750,Medical_Examinations[],2,FALSE)</f>
        <v>42.81</v>
      </c>
      <c r="D750">
        <f>VLOOKUP(A750,Medical_Examinations[],3,FALSE)</f>
        <v>4.1500000000000004</v>
      </c>
      <c r="E750" t="str">
        <f>VLOOKUP(A750,Medical_Examinations[],4,FALSE)</f>
        <v>No</v>
      </c>
      <c r="F750" t="str">
        <f>VLOOKUP(A750,Medical_Examinations[],5,FALSE)</f>
        <v>No</v>
      </c>
      <c r="G750" t="str">
        <f>VLOOKUP(A750,Medical_Examinations[],6,FALSE)</f>
        <v>No</v>
      </c>
      <c r="H750">
        <f>VLOOKUP(A750,Medical_Examinations[],7,FALSE)</f>
        <v>1</v>
      </c>
      <c r="I750" t="str">
        <f>VLOOKUP(A750,Medical_Examinations[],8,FALSE)</f>
        <v>No</v>
      </c>
      <c r="J750" t="str">
        <f>VLOOKUP(A750,Medical_Examinations[],9,FALSE)</f>
        <v>Obesity</v>
      </c>
      <c r="K750" t="str">
        <f>VLOOKUP(A750,Medical_Examinations[],10,FALSE)</f>
        <v>Normal</v>
      </c>
      <c r="M750">
        <f>VLOOKUP(A750,Hospitalisation_Details__2[],4,FALSE)</f>
        <v>13638.06</v>
      </c>
      <c r="N750" t="str">
        <f>VLOOKUP(A750,Hospitalisation_Details__2[],5,FALSE)</f>
        <v>tier - 3</v>
      </c>
      <c r="O750" t="str">
        <f>VLOOKUP(A750,Hospitalisation_Details__2[],6,FALSE)</f>
        <v>tier - 3</v>
      </c>
      <c r="P750" t="str">
        <f>VLOOKUP(A750,Hospitalisation_Details__2[],7,FALSE)</f>
        <v>R1023</v>
      </c>
    </row>
    <row r="751" spans="1:16" x14ac:dyDescent="0.35">
      <c r="A751" t="str">
        <v>Id750</v>
      </c>
      <c r="B751" t="str">
        <f>VLOOKUP(A751,'Customer Names (2)'!A:B, 2,FALSE)</f>
        <v>Ms</v>
      </c>
      <c r="C751">
        <f>VLOOKUP(A751,Medical_Examinations[],2,FALSE)</f>
        <v>35.909999999999997</v>
      </c>
      <c r="D751">
        <f>VLOOKUP(A751,Medical_Examinations[],3,FALSE)</f>
        <v>6.72</v>
      </c>
      <c r="E751" t="str">
        <f>VLOOKUP(A751,Medical_Examinations[],4,FALSE)</f>
        <v>Yes</v>
      </c>
      <c r="F751" t="str">
        <f>VLOOKUP(A751,Medical_Examinations[],5,FALSE)</f>
        <v>No</v>
      </c>
      <c r="G751" t="str">
        <f>VLOOKUP(A751,Medical_Examinations[],6,FALSE)</f>
        <v>No</v>
      </c>
      <c r="H751">
        <f>VLOOKUP(A751,Medical_Examinations[],7,FALSE)</f>
        <v>2</v>
      </c>
      <c r="I751" t="str">
        <f>VLOOKUP(A751,Medical_Examinations[],8,FALSE)</f>
        <v>No</v>
      </c>
      <c r="J751" t="str">
        <f>VLOOKUP(A751,Medical_Examinations[],9,FALSE)</f>
        <v>Obesity</v>
      </c>
      <c r="K751" t="str">
        <f>VLOOKUP(A751,Medical_Examinations[],10,FALSE)</f>
        <v>Diabetes</v>
      </c>
      <c r="M751">
        <f>VLOOKUP(A751,Hospitalisation_Details__2[],4,FALSE)</f>
        <v>13635.64</v>
      </c>
      <c r="N751" t="str">
        <f>VLOOKUP(A751,Hospitalisation_Details__2[],5,FALSE)</f>
        <v>tier - 3</v>
      </c>
      <c r="O751" t="str">
        <f>VLOOKUP(A751,Hospitalisation_Details__2[],6,FALSE)</f>
        <v>tier - 3</v>
      </c>
      <c r="P751" t="str">
        <f>VLOOKUP(A751,Hospitalisation_Details__2[],7,FALSE)</f>
        <v>R1024</v>
      </c>
    </row>
    <row r="752" spans="1:16" x14ac:dyDescent="0.35">
      <c r="A752" t="str">
        <v>Id751</v>
      </c>
      <c r="B752" t="str">
        <f>VLOOKUP(A752,'Customer Names (2)'!A:B, 2,FALSE)</f>
        <v>Mr</v>
      </c>
      <c r="C752">
        <f>VLOOKUP(A752,Medical_Examinations[],2,FALSE)</f>
        <v>36.65</v>
      </c>
      <c r="D752">
        <f>VLOOKUP(A752,Medical_Examinations[],3,FALSE)</f>
        <v>5.01</v>
      </c>
      <c r="E752" t="str">
        <f>VLOOKUP(A752,Medical_Examinations[],4,FALSE)</f>
        <v>Yes</v>
      </c>
      <c r="F752" t="str">
        <f>VLOOKUP(A752,Medical_Examinations[],5,FALSE)</f>
        <v>No</v>
      </c>
      <c r="G752" t="str">
        <f>VLOOKUP(A752,Medical_Examinations[],6,FALSE)</f>
        <v>Yes</v>
      </c>
      <c r="H752">
        <f>VLOOKUP(A752,Medical_Examinations[],7,FALSE)</f>
        <v>1</v>
      </c>
      <c r="I752" t="str">
        <f>VLOOKUP(A752,Medical_Examinations[],8,FALSE)</f>
        <v>No</v>
      </c>
      <c r="J752" t="str">
        <f>VLOOKUP(A752,Medical_Examinations[],9,FALSE)</f>
        <v>Obesity</v>
      </c>
      <c r="K752" t="str">
        <f>VLOOKUP(A752,Medical_Examinations[],10,FALSE)</f>
        <v>Normal</v>
      </c>
      <c r="M752">
        <f>VLOOKUP(A752,Hospitalisation_Details__2[],4,FALSE)</f>
        <v>13622.01</v>
      </c>
      <c r="N752" t="str">
        <f>VLOOKUP(A752,Hospitalisation_Details__2[],5,FALSE)</f>
        <v>tier - 3</v>
      </c>
      <c r="O752" t="str">
        <f>VLOOKUP(A752,Hospitalisation_Details__2[],6,FALSE)</f>
        <v>tier - 3</v>
      </c>
      <c r="P752" t="str">
        <f>VLOOKUP(A752,Hospitalisation_Details__2[],7,FALSE)</f>
        <v>R1012</v>
      </c>
    </row>
    <row r="753" spans="1:16" x14ac:dyDescent="0.35">
      <c r="A753" t="str">
        <v>Id752</v>
      </c>
      <c r="B753" t="str">
        <f>VLOOKUP(A753,'Customer Names (2)'!A:B, 2,FALSE)</f>
        <v>Ms</v>
      </c>
      <c r="C753">
        <f>VLOOKUP(A753,Medical_Examinations[],2,FALSE)</f>
        <v>22.04</v>
      </c>
      <c r="D753">
        <f>VLOOKUP(A753,Medical_Examinations[],3,FALSE)</f>
        <v>10.9</v>
      </c>
      <c r="E753" t="str">
        <f>VLOOKUP(A753,Medical_Examinations[],4,FALSE)</f>
        <v>Yes</v>
      </c>
      <c r="F753" t="str">
        <f>VLOOKUP(A753,Medical_Examinations[],5,FALSE)</f>
        <v>No</v>
      </c>
      <c r="G753" t="str">
        <f>VLOOKUP(A753,Medical_Examinations[],6,FALSE)</f>
        <v>No</v>
      </c>
      <c r="H753">
        <f>VLOOKUP(A753,Medical_Examinations[],7,FALSE)</f>
        <v>2</v>
      </c>
      <c r="I753" t="str">
        <f>VLOOKUP(A753,Medical_Examinations[],8,FALSE)</f>
        <v>No</v>
      </c>
      <c r="J753" t="str">
        <f>VLOOKUP(A753,Medical_Examinations[],9,FALSE)</f>
        <v>Normal Weight</v>
      </c>
      <c r="K753" t="str">
        <f>VLOOKUP(A753,Medical_Examinations[],10,FALSE)</f>
        <v>Diabetes</v>
      </c>
      <c r="M753">
        <f>VLOOKUP(A753,Hospitalisation_Details__2[],4,FALSE)</f>
        <v>13616.36</v>
      </c>
      <c r="N753" t="str">
        <f>VLOOKUP(A753,Hospitalisation_Details__2[],5,FALSE)</f>
        <v>tier - 3</v>
      </c>
      <c r="O753" t="str">
        <f>VLOOKUP(A753,Hospitalisation_Details__2[],6,FALSE)</f>
        <v>tier - 3</v>
      </c>
      <c r="P753" t="str">
        <f>VLOOKUP(A753,Hospitalisation_Details__2[],7,FALSE)</f>
        <v>R1024</v>
      </c>
    </row>
    <row r="754" spans="1:16" x14ac:dyDescent="0.35">
      <c r="A754" t="str">
        <v>Id753</v>
      </c>
      <c r="B754" t="str">
        <f>VLOOKUP(A754,'Customer Names (2)'!A:B, 2,FALSE)</f>
        <v>Ms</v>
      </c>
      <c r="C754">
        <f>VLOOKUP(A754,Medical_Examinations[],2,FALSE)</f>
        <v>31.824999999999999</v>
      </c>
      <c r="D754">
        <f>VLOOKUP(A754,Medical_Examinations[],3,FALSE)</f>
        <v>5.52</v>
      </c>
      <c r="E754" t="str">
        <f>VLOOKUP(A754,Medical_Examinations[],4,FALSE)</f>
        <v>Yes</v>
      </c>
      <c r="F754" t="str">
        <f>VLOOKUP(A754,Medical_Examinations[],5,FALSE)</f>
        <v>No</v>
      </c>
      <c r="G754" t="str">
        <f>VLOOKUP(A754,Medical_Examinations[],6,FALSE)</f>
        <v>No</v>
      </c>
      <c r="H754">
        <f>VLOOKUP(A754,Medical_Examinations[],7,FALSE)</f>
        <v>1</v>
      </c>
      <c r="I754" t="str">
        <f>VLOOKUP(A754,Medical_Examinations[],8,FALSE)</f>
        <v>No</v>
      </c>
      <c r="J754" t="str">
        <f>VLOOKUP(A754,Medical_Examinations[],9,FALSE)</f>
        <v>Obesity</v>
      </c>
      <c r="K754" t="str">
        <f>VLOOKUP(A754,Medical_Examinations[],10,FALSE)</f>
        <v>Normal</v>
      </c>
      <c r="M754">
        <f>VLOOKUP(A754,Hospitalisation_Details__2[],4,FALSE)</f>
        <v>13607.37</v>
      </c>
      <c r="N754" t="str">
        <f>VLOOKUP(A754,Hospitalisation_Details__2[],5,FALSE)</f>
        <v>tier - 3</v>
      </c>
      <c r="O754" t="str">
        <f>VLOOKUP(A754,Hospitalisation_Details__2[],6,FALSE)</f>
        <v>tier - 1</v>
      </c>
      <c r="P754" t="str">
        <f>VLOOKUP(A754,Hospitalisation_Details__2[],7,FALSE)</f>
        <v>R1024</v>
      </c>
    </row>
    <row r="755" spans="1:16" x14ac:dyDescent="0.35">
      <c r="A755" t="str">
        <v>Id754</v>
      </c>
      <c r="B755" t="str">
        <f>VLOOKUP(A755,'Customer Names (2)'!A:B, 2,FALSE)</f>
        <v>Ms</v>
      </c>
      <c r="C755">
        <f>VLOOKUP(A755,Medical_Examinations[],2,FALSE)</f>
        <v>53.58</v>
      </c>
      <c r="D755">
        <f>VLOOKUP(A755,Medical_Examinations[],3,FALSE)</f>
        <v>4.55</v>
      </c>
      <c r="E755" t="str">
        <f>VLOOKUP(A755,Medical_Examinations[],4,FALSE)</f>
        <v>No</v>
      </c>
      <c r="F755" t="str">
        <f>VLOOKUP(A755,Medical_Examinations[],5,FALSE)</f>
        <v>No</v>
      </c>
      <c r="G755" t="str">
        <f>VLOOKUP(A755,Medical_Examinations[],6,FALSE)</f>
        <v>No</v>
      </c>
      <c r="H755">
        <f>VLOOKUP(A755,Medical_Examinations[],7,FALSE)</f>
        <v>1</v>
      </c>
      <c r="I755" t="str">
        <f>VLOOKUP(A755,Medical_Examinations[],8,FALSE)</f>
        <v>No</v>
      </c>
      <c r="J755" t="str">
        <f>VLOOKUP(A755,Medical_Examinations[],9,FALSE)</f>
        <v>Obesity</v>
      </c>
      <c r="K755" t="str">
        <f>VLOOKUP(A755,Medical_Examinations[],10,FALSE)</f>
        <v>Normal</v>
      </c>
      <c r="M755">
        <f>VLOOKUP(A755,Hospitalisation_Details__2[],4,FALSE)</f>
        <v>13588.17</v>
      </c>
      <c r="N755" t="str">
        <f>VLOOKUP(A755,Hospitalisation_Details__2[],5,FALSE)</f>
        <v>tier - 3</v>
      </c>
      <c r="O755" t="str">
        <f>VLOOKUP(A755,Hospitalisation_Details__2[],6,FALSE)</f>
        <v>tier - 1</v>
      </c>
      <c r="P755" t="str">
        <f>VLOOKUP(A755,Hospitalisation_Details__2[],7,FALSE)</f>
        <v>R1012</v>
      </c>
    </row>
    <row r="756" spans="1:16" x14ac:dyDescent="0.35">
      <c r="A756" t="str">
        <v>Id755</v>
      </c>
      <c r="B756" t="str">
        <f>VLOOKUP(A756,'Customer Names (2)'!A:B, 2,FALSE)</f>
        <v>Mrs</v>
      </c>
      <c r="C756">
        <f>VLOOKUP(A756,Medical_Examinations[],2,FALSE)</f>
        <v>34.299999999999997</v>
      </c>
      <c r="D756">
        <f>VLOOKUP(A756,Medical_Examinations[],3,FALSE)</f>
        <v>11.76</v>
      </c>
      <c r="E756" t="str">
        <f>VLOOKUP(A756,Medical_Examinations[],4,FALSE)</f>
        <v>No</v>
      </c>
      <c r="F756" t="str">
        <f>VLOOKUP(A756,Medical_Examinations[],5,FALSE)</f>
        <v>No</v>
      </c>
      <c r="G756" t="str">
        <f>VLOOKUP(A756,Medical_Examinations[],6,FALSE)</f>
        <v>No</v>
      </c>
      <c r="H756">
        <f>VLOOKUP(A756,Medical_Examinations[],7,FALSE)</f>
        <v>0</v>
      </c>
      <c r="I756" t="str">
        <f>VLOOKUP(A756,Medical_Examinations[],8,FALSE)</f>
        <v>No</v>
      </c>
      <c r="J756" t="str">
        <f>VLOOKUP(A756,Medical_Examinations[],9,FALSE)</f>
        <v>Obesity</v>
      </c>
      <c r="K756" t="str">
        <f>VLOOKUP(A756,Medical_Examinations[],10,FALSE)</f>
        <v>Diabetes</v>
      </c>
      <c r="M756">
        <f>VLOOKUP(A756,Hospitalisation_Details__2[],4,FALSE)</f>
        <v>13566.04</v>
      </c>
      <c r="N756" t="str">
        <f>VLOOKUP(A756,Hospitalisation_Details__2[],5,FALSE)</f>
        <v>tier - 3</v>
      </c>
      <c r="O756" t="str">
        <f>VLOOKUP(A756,Hospitalisation_Details__2[],6,FALSE)</f>
        <v>tier - 3</v>
      </c>
      <c r="P756" t="str">
        <f>VLOOKUP(A756,Hospitalisation_Details__2[],7,FALSE)</f>
        <v>R1026</v>
      </c>
    </row>
    <row r="757" spans="1:16" x14ac:dyDescent="0.35">
      <c r="A757" t="str">
        <v>Id756</v>
      </c>
      <c r="B757" t="str">
        <f>VLOOKUP(A757,'Customer Names (2)'!A:B, 2,FALSE)</f>
        <v>Mr</v>
      </c>
      <c r="C757">
        <f>VLOOKUP(A757,Medical_Examinations[],2,FALSE)</f>
        <v>32.11</v>
      </c>
      <c r="D757">
        <f>VLOOKUP(A757,Medical_Examinations[],3,FALSE)</f>
        <v>7.06</v>
      </c>
      <c r="E757" t="str">
        <f>VLOOKUP(A757,Medical_Examinations[],4,FALSE)</f>
        <v>No</v>
      </c>
      <c r="F757" t="str">
        <f>VLOOKUP(A757,Medical_Examinations[],5,FALSE)</f>
        <v>No</v>
      </c>
      <c r="G757" t="str">
        <f>VLOOKUP(A757,Medical_Examinations[],6,FALSE)</f>
        <v>No</v>
      </c>
      <c r="H757">
        <f>VLOOKUP(A757,Medical_Examinations[],7,FALSE)</f>
        <v>0</v>
      </c>
      <c r="I757" t="str">
        <f>VLOOKUP(A757,Medical_Examinations[],8,FALSE)</f>
        <v>No</v>
      </c>
      <c r="J757" t="str">
        <f>VLOOKUP(A757,Medical_Examinations[],9,FALSE)</f>
        <v>Obesity</v>
      </c>
      <c r="K757" t="str">
        <f>VLOOKUP(A757,Medical_Examinations[],10,FALSE)</f>
        <v>Diabetes</v>
      </c>
      <c r="M757">
        <f>VLOOKUP(A757,Hospitalisation_Details__2[],4,FALSE)</f>
        <v>13555</v>
      </c>
      <c r="N757" t="str">
        <f>VLOOKUP(A757,Hospitalisation_Details__2[],5,FALSE)</f>
        <v>tier - 3</v>
      </c>
      <c r="O757" t="str">
        <f>VLOOKUP(A757,Hospitalisation_Details__2[],6,FALSE)</f>
        <v>tier - 3</v>
      </c>
      <c r="P757" t="str">
        <f>VLOOKUP(A757,Hospitalisation_Details__2[],7,FALSE)</f>
        <v>R1017</v>
      </c>
    </row>
    <row r="758" spans="1:16" x14ac:dyDescent="0.35">
      <c r="A758" t="str">
        <v>Id757</v>
      </c>
      <c r="B758" t="str">
        <f>VLOOKUP(A758,'Customer Names (2)'!A:B, 2,FALSE)</f>
        <v>Mr</v>
      </c>
      <c r="C758">
        <f>VLOOKUP(A758,Medical_Examinations[],2,FALSE)</f>
        <v>31.78</v>
      </c>
      <c r="D758">
        <f>VLOOKUP(A758,Medical_Examinations[],3,FALSE)</f>
        <v>11.35</v>
      </c>
      <c r="E758" t="str">
        <f>VLOOKUP(A758,Medical_Examinations[],4,FALSE)</f>
        <v>Yes</v>
      </c>
      <c r="F758" t="str">
        <f>VLOOKUP(A758,Medical_Examinations[],5,FALSE)</f>
        <v>No</v>
      </c>
      <c r="G758" t="str">
        <f>VLOOKUP(A758,Medical_Examinations[],6,FALSE)</f>
        <v>Yes</v>
      </c>
      <c r="H758">
        <f>VLOOKUP(A758,Medical_Examinations[],7,FALSE)</f>
        <v>1</v>
      </c>
      <c r="I758" t="str">
        <f>VLOOKUP(A758,Medical_Examinations[],8,FALSE)</f>
        <v>No</v>
      </c>
      <c r="J758" t="str">
        <f>VLOOKUP(A758,Medical_Examinations[],9,FALSE)</f>
        <v>Obesity</v>
      </c>
      <c r="K758" t="str">
        <f>VLOOKUP(A758,Medical_Examinations[],10,FALSE)</f>
        <v>Diabetes</v>
      </c>
      <c r="M758">
        <f>VLOOKUP(A758,Hospitalisation_Details__2[],4,FALSE)</f>
        <v>13511.28</v>
      </c>
      <c r="N758" t="str">
        <f>VLOOKUP(A758,Hospitalisation_Details__2[],5,FALSE)</f>
        <v>tier - 3</v>
      </c>
      <c r="O758" t="str">
        <f>VLOOKUP(A758,Hospitalisation_Details__2[],6,FALSE)</f>
        <v>tier - 1</v>
      </c>
      <c r="P758" t="str">
        <f>VLOOKUP(A758,Hospitalisation_Details__2[],7,FALSE)</f>
        <v>R1012</v>
      </c>
    </row>
    <row r="759" spans="1:16" x14ac:dyDescent="0.35">
      <c r="A759" t="str">
        <v>Id758</v>
      </c>
      <c r="B759" t="str">
        <f>VLOOKUP(A759,'Customer Names (2)'!A:B, 2,FALSE)</f>
        <v>Mr</v>
      </c>
      <c r="C759">
        <f>VLOOKUP(A759,Medical_Examinations[],2,FALSE)</f>
        <v>46.89</v>
      </c>
      <c r="D759">
        <f>VLOOKUP(A759,Medical_Examinations[],3,FALSE)</f>
        <v>5.52</v>
      </c>
      <c r="E759" t="str">
        <f>VLOOKUP(A759,Medical_Examinations[],4,FALSE)</f>
        <v>No</v>
      </c>
      <c r="F759" t="str">
        <f>VLOOKUP(A759,Medical_Examinations[],5,FALSE)</f>
        <v>No</v>
      </c>
      <c r="G759" t="str">
        <f>VLOOKUP(A759,Medical_Examinations[],6,FALSE)</f>
        <v>No</v>
      </c>
      <c r="H759">
        <f>VLOOKUP(A759,Medical_Examinations[],7,FALSE)</f>
        <v>0</v>
      </c>
      <c r="I759" t="str">
        <f>VLOOKUP(A759,Medical_Examinations[],8,FALSE)</f>
        <v>No</v>
      </c>
      <c r="J759" t="str">
        <f>VLOOKUP(A759,Medical_Examinations[],9,FALSE)</f>
        <v>Obesity</v>
      </c>
      <c r="K759" t="str">
        <f>VLOOKUP(A759,Medical_Examinations[],10,FALSE)</f>
        <v>Normal</v>
      </c>
      <c r="M759">
        <f>VLOOKUP(A759,Hospitalisation_Details__2[],4,FALSE)</f>
        <v>13480.83</v>
      </c>
      <c r="N759" t="str">
        <f>VLOOKUP(A759,Hospitalisation_Details__2[],5,FALSE)</f>
        <v>tier - 3</v>
      </c>
      <c r="O759" t="str">
        <f>VLOOKUP(A759,Hospitalisation_Details__2[],6,FALSE)</f>
        <v>tier - 2</v>
      </c>
      <c r="P759" t="str">
        <f>VLOOKUP(A759,Hospitalisation_Details__2[],7,FALSE)</f>
        <v>R1023</v>
      </c>
    </row>
    <row r="760" spans="1:16" x14ac:dyDescent="0.35">
      <c r="A760" t="str">
        <v>Id759</v>
      </c>
      <c r="B760" t="str">
        <f>VLOOKUP(A760,'Customer Names (2)'!A:B, 2,FALSE)</f>
        <v>Mr</v>
      </c>
      <c r="C760">
        <f>VLOOKUP(A760,Medical_Examinations[],2,FALSE)</f>
        <v>39.35</v>
      </c>
      <c r="D760">
        <f>VLOOKUP(A760,Medical_Examinations[],3,FALSE)</f>
        <v>7.86</v>
      </c>
      <c r="E760" t="str">
        <f>VLOOKUP(A760,Medical_Examinations[],4,FALSE)</f>
        <v>Yes</v>
      </c>
      <c r="F760" t="str">
        <f>VLOOKUP(A760,Medical_Examinations[],5,FALSE)</f>
        <v>No</v>
      </c>
      <c r="G760" t="str">
        <f>VLOOKUP(A760,Medical_Examinations[],6,FALSE)</f>
        <v>No</v>
      </c>
      <c r="H760">
        <f>VLOOKUP(A760,Medical_Examinations[],7,FALSE)</f>
        <v>1</v>
      </c>
      <c r="I760" t="str">
        <f>VLOOKUP(A760,Medical_Examinations[],8,FALSE)</f>
        <v>No</v>
      </c>
      <c r="J760" t="str">
        <f>VLOOKUP(A760,Medical_Examinations[],9,FALSE)</f>
        <v>Obesity</v>
      </c>
      <c r="K760" t="str">
        <f>VLOOKUP(A760,Medical_Examinations[],10,FALSE)</f>
        <v>Diabetes</v>
      </c>
      <c r="M760">
        <f>VLOOKUP(A760,Hospitalisation_Details__2[],4,FALSE)</f>
        <v>13472.19</v>
      </c>
      <c r="N760" t="str">
        <f>VLOOKUP(A760,Hospitalisation_Details__2[],5,FALSE)</f>
        <v>tier - 3</v>
      </c>
      <c r="O760" t="str">
        <f>VLOOKUP(A760,Hospitalisation_Details__2[],6,FALSE)</f>
        <v>tier - 2</v>
      </c>
      <c r="P760" t="str">
        <f>VLOOKUP(A760,Hospitalisation_Details__2[],7,FALSE)</f>
        <v>R1012</v>
      </c>
    </row>
    <row r="761" spans="1:16" x14ac:dyDescent="0.35">
      <c r="A761" t="str">
        <v>Id760</v>
      </c>
      <c r="B761" t="str">
        <f>VLOOKUP(A761,'Customer Names (2)'!A:B, 2,FALSE)</f>
        <v>Ms</v>
      </c>
      <c r="C761">
        <f>VLOOKUP(A761,Medical_Examinations[],2,FALSE)</f>
        <v>39.200000000000003</v>
      </c>
      <c r="D761">
        <f>VLOOKUP(A761,Medical_Examinations[],3,FALSE)</f>
        <v>11.38</v>
      </c>
      <c r="E761" t="str">
        <f>VLOOKUP(A761,Medical_Examinations[],4,FALSE)</f>
        <v>No</v>
      </c>
      <c r="F761" t="str">
        <f>VLOOKUP(A761,Medical_Examinations[],5,FALSE)</f>
        <v>No</v>
      </c>
      <c r="G761" t="str">
        <f>VLOOKUP(A761,Medical_Examinations[],6,FALSE)</f>
        <v>No</v>
      </c>
      <c r="H761">
        <f>VLOOKUP(A761,Medical_Examinations[],7,FALSE)</f>
        <v>0</v>
      </c>
      <c r="I761" t="str">
        <f>VLOOKUP(A761,Medical_Examinations[],8,FALSE)</f>
        <v>No</v>
      </c>
      <c r="J761" t="str">
        <f>VLOOKUP(A761,Medical_Examinations[],9,FALSE)</f>
        <v>Obesity</v>
      </c>
      <c r="K761" t="str">
        <f>VLOOKUP(A761,Medical_Examinations[],10,FALSE)</f>
        <v>Diabetes</v>
      </c>
      <c r="M761">
        <f>VLOOKUP(A761,Hospitalisation_Details__2[],4,FALSE)</f>
        <v>13470.86</v>
      </c>
      <c r="N761" t="str">
        <f>VLOOKUP(A761,Hospitalisation_Details__2[],5,FALSE)</f>
        <v>tier - 3</v>
      </c>
      <c r="O761" t="str">
        <f>VLOOKUP(A761,Hospitalisation_Details__2[],6,FALSE)</f>
        <v>tier - 3</v>
      </c>
      <c r="P761" t="str">
        <f>VLOOKUP(A761,Hospitalisation_Details__2[],7,FALSE)</f>
        <v>R1011</v>
      </c>
    </row>
    <row r="762" spans="1:16" x14ac:dyDescent="0.35">
      <c r="A762" t="str">
        <v>Id761</v>
      </c>
      <c r="B762" t="str">
        <f>VLOOKUP(A762,'Customer Names (2)'!A:B, 2,FALSE)</f>
        <v>Ms</v>
      </c>
      <c r="C762">
        <f>VLOOKUP(A762,Medical_Examinations[],2,FALSE)</f>
        <v>39.159999999999997</v>
      </c>
      <c r="D762">
        <f>VLOOKUP(A762,Medical_Examinations[],3,FALSE)</f>
        <v>10.48</v>
      </c>
      <c r="E762" t="str">
        <f>VLOOKUP(A762,Medical_Examinations[],4,FALSE)</f>
        <v>No</v>
      </c>
      <c r="F762" t="str">
        <f>VLOOKUP(A762,Medical_Examinations[],5,FALSE)</f>
        <v>No</v>
      </c>
      <c r="G762" t="str">
        <f>VLOOKUP(A762,Medical_Examinations[],6,FALSE)</f>
        <v>No</v>
      </c>
      <c r="H762">
        <f>VLOOKUP(A762,Medical_Examinations[],7,FALSE)</f>
        <v>0</v>
      </c>
      <c r="I762" t="str">
        <f>VLOOKUP(A762,Medical_Examinations[],8,FALSE)</f>
        <v>No</v>
      </c>
      <c r="J762" t="str">
        <f>VLOOKUP(A762,Medical_Examinations[],9,FALSE)</f>
        <v>Obesity</v>
      </c>
      <c r="K762" t="str">
        <f>VLOOKUP(A762,Medical_Examinations[],10,FALSE)</f>
        <v>Diabetes</v>
      </c>
      <c r="M762">
        <f>VLOOKUP(A762,Hospitalisation_Details__2[],4,FALSE)</f>
        <v>13470.8</v>
      </c>
      <c r="N762" t="str">
        <f>VLOOKUP(A762,Hospitalisation_Details__2[],5,FALSE)</f>
        <v>tier - 3</v>
      </c>
      <c r="O762" t="str">
        <f>VLOOKUP(A762,Hospitalisation_Details__2[],6,FALSE)</f>
        <v>tier - 2</v>
      </c>
      <c r="P762" t="str">
        <f>VLOOKUP(A762,Hospitalisation_Details__2[],7,FALSE)</f>
        <v>R1013</v>
      </c>
    </row>
    <row r="763" spans="1:16" x14ac:dyDescent="0.35">
      <c r="A763" t="str">
        <v>Id762</v>
      </c>
      <c r="B763" t="str">
        <f>VLOOKUP(A763,'Customer Names (2)'!A:B, 2,FALSE)</f>
        <v>Mr</v>
      </c>
      <c r="C763">
        <f>VLOOKUP(A763,Medical_Examinations[],2,FALSE)</f>
        <v>44.1</v>
      </c>
      <c r="D763">
        <f>VLOOKUP(A763,Medical_Examinations[],3,FALSE)</f>
        <v>5.04</v>
      </c>
      <c r="E763" t="str">
        <f>VLOOKUP(A763,Medical_Examinations[],4,FALSE)</f>
        <v>Yes</v>
      </c>
      <c r="F763" t="str">
        <f>VLOOKUP(A763,Medical_Examinations[],5,FALSE)</f>
        <v>No</v>
      </c>
      <c r="G763" t="str">
        <f>VLOOKUP(A763,Medical_Examinations[],6,FALSE)</f>
        <v>No</v>
      </c>
      <c r="H763">
        <f>VLOOKUP(A763,Medical_Examinations[],7,FALSE)</f>
        <v>0</v>
      </c>
      <c r="I763" t="str">
        <f>VLOOKUP(A763,Medical_Examinations[],8,FALSE)</f>
        <v>No</v>
      </c>
      <c r="J763" t="str">
        <f>VLOOKUP(A763,Medical_Examinations[],9,FALSE)</f>
        <v>Obesity</v>
      </c>
      <c r="K763" t="str">
        <f>VLOOKUP(A763,Medical_Examinations[],10,FALSE)</f>
        <v>Normal</v>
      </c>
      <c r="M763">
        <f>VLOOKUP(A763,Hospitalisation_Details__2[],4,FALSE)</f>
        <v>13465.8</v>
      </c>
      <c r="N763" t="str">
        <f>VLOOKUP(A763,Hospitalisation_Details__2[],5,FALSE)</f>
        <v>tier - 3</v>
      </c>
      <c r="O763" t="str">
        <f>VLOOKUP(A763,Hospitalisation_Details__2[],6,FALSE)</f>
        <v>tier - 1</v>
      </c>
      <c r="P763" t="str">
        <f>VLOOKUP(A763,Hospitalisation_Details__2[],7,FALSE)</f>
        <v>R1012</v>
      </c>
    </row>
    <row r="764" spans="1:16" x14ac:dyDescent="0.35">
      <c r="A764" t="str">
        <v>Id763</v>
      </c>
      <c r="B764" t="str">
        <f>VLOOKUP(A764,'Customer Names (2)'!A:B, 2,FALSE)</f>
        <v>Ms</v>
      </c>
      <c r="C764">
        <f>VLOOKUP(A764,Medical_Examinations[],2,FALSE)</f>
        <v>33.200000000000003</v>
      </c>
      <c r="D764">
        <f>VLOOKUP(A764,Medical_Examinations[],3,FALSE)</f>
        <v>9.06</v>
      </c>
      <c r="E764" t="str">
        <f>VLOOKUP(A764,Medical_Examinations[],4,FALSE)</f>
        <v>No</v>
      </c>
      <c r="F764" t="str">
        <f>VLOOKUP(A764,Medical_Examinations[],5,FALSE)</f>
        <v>No</v>
      </c>
      <c r="G764" t="str">
        <f>VLOOKUP(A764,Medical_Examinations[],6,FALSE)</f>
        <v>No</v>
      </c>
      <c r="H764">
        <f>VLOOKUP(A764,Medical_Examinations[],7,FALSE)</f>
        <v>0</v>
      </c>
      <c r="I764" t="str">
        <f>VLOOKUP(A764,Medical_Examinations[],8,FALSE)</f>
        <v>No</v>
      </c>
      <c r="J764" t="str">
        <f>VLOOKUP(A764,Medical_Examinations[],9,FALSE)</f>
        <v>Obesity</v>
      </c>
      <c r="K764" t="str">
        <f>VLOOKUP(A764,Medical_Examinations[],10,FALSE)</f>
        <v>Diabetes</v>
      </c>
      <c r="M764">
        <f>VLOOKUP(A764,Hospitalisation_Details__2[],4,FALSE)</f>
        <v>13462.52</v>
      </c>
      <c r="N764" t="str">
        <f>VLOOKUP(A764,Hospitalisation_Details__2[],5,FALSE)</f>
        <v>tier - 3</v>
      </c>
      <c r="O764" t="str">
        <f>VLOOKUP(A764,Hospitalisation_Details__2[],6,FALSE)</f>
        <v>tier - 2</v>
      </c>
      <c r="P764" t="str">
        <f>VLOOKUP(A764,Hospitalisation_Details__2[],7,FALSE)</f>
        <v>R1011</v>
      </c>
    </row>
    <row r="765" spans="1:16" x14ac:dyDescent="0.35">
      <c r="A765" t="str">
        <v>Id764</v>
      </c>
      <c r="B765" t="str">
        <f>VLOOKUP(A765,'Customer Names (2)'!A:B, 2,FALSE)</f>
        <v>Ms</v>
      </c>
      <c r="C765">
        <f>VLOOKUP(A765,Medical_Examinations[],2,FALSE)</f>
        <v>29.92</v>
      </c>
      <c r="D765">
        <f>VLOOKUP(A765,Medical_Examinations[],3,FALSE)</f>
        <v>11.07</v>
      </c>
      <c r="E765" t="str">
        <f>VLOOKUP(A765,Medical_Examinations[],4,FALSE)</f>
        <v>No</v>
      </c>
      <c r="F765" t="str">
        <f>VLOOKUP(A765,Medical_Examinations[],5,FALSE)</f>
        <v>No</v>
      </c>
      <c r="G765" t="str">
        <f>VLOOKUP(A765,Medical_Examinations[],6,FALSE)</f>
        <v>No</v>
      </c>
      <c r="H765">
        <f>VLOOKUP(A765,Medical_Examinations[],7,FALSE)</f>
        <v>0</v>
      </c>
      <c r="I765" t="str">
        <f>VLOOKUP(A765,Medical_Examinations[],8,FALSE)</f>
        <v>No</v>
      </c>
      <c r="J765" t="str">
        <f>VLOOKUP(A765,Medical_Examinations[],9,FALSE)</f>
        <v>Overweight</v>
      </c>
      <c r="K765" t="str">
        <f>VLOOKUP(A765,Medical_Examinations[],10,FALSE)</f>
        <v>Diabetes</v>
      </c>
      <c r="M765">
        <f>VLOOKUP(A765,Hospitalisation_Details__2[],4,FALSE)</f>
        <v>13457.96</v>
      </c>
      <c r="N765" t="str">
        <f>VLOOKUP(A765,Hospitalisation_Details__2[],5,FALSE)</f>
        <v>tier - 3</v>
      </c>
      <c r="O765" t="str">
        <f>VLOOKUP(A765,Hospitalisation_Details__2[],6,FALSE)</f>
        <v>tier - 1</v>
      </c>
      <c r="P765" t="str">
        <f>VLOOKUP(A765,Hospitalisation_Details__2[],7,FALSE)</f>
        <v>R1013</v>
      </c>
    </row>
    <row r="766" spans="1:16" x14ac:dyDescent="0.35">
      <c r="A766" t="str">
        <v>Id765</v>
      </c>
      <c r="B766" t="str">
        <f>VLOOKUP(A766,'Customer Names (2)'!A:B, 2,FALSE)</f>
        <v>Ms</v>
      </c>
      <c r="C766">
        <f>VLOOKUP(A766,Medical_Examinations[],2,FALSE)</f>
        <v>25</v>
      </c>
      <c r="D766">
        <f>VLOOKUP(A766,Medical_Examinations[],3,FALSE)</f>
        <v>10.45</v>
      </c>
      <c r="E766" t="str">
        <f>VLOOKUP(A766,Medical_Examinations[],4,FALSE)</f>
        <v>No</v>
      </c>
      <c r="F766" t="str">
        <f>VLOOKUP(A766,Medical_Examinations[],5,FALSE)</f>
        <v>No</v>
      </c>
      <c r="G766" t="str">
        <f>VLOOKUP(A766,Medical_Examinations[],6,FALSE)</f>
        <v>No</v>
      </c>
      <c r="H766">
        <f>VLOOKUP(A766,Medical_Examinations[],7,FALSE)</f>
        <v>0</v>
      </c>
      <c r="I766" t="str">
        <f>VLOOKUP(A766,Medical_Examinations[],8,FALSE)</f>
        <v>No</v>
      </c>
      <c r="J766" t="str">
        <f>VLOOKUP(A766,Medical_Examinations[],9,FALSE)</f>
        <v>Overweight</v>
      </c>
      <c r="K766" t="str">
        <f>VLOOKUP(A766,Medical_Examinations[],10,FALSE)</f>
        <v>Diabetes</v>
      </c>
      <c r="M766">
        <f>VLOOKUP(A766,Hospitalisation_Details__2[],4,FALSE)</f>
        <v>13451.12</v>
      </c>
      <c r="N766" t="str">
        <f>VLOOKUP(A766,Hospitalisation_Details__2[],5,FALSE)</f>
        <v>tier - 3</v>
      </c>
      <c r="O766" t="str">
        <f>VLOOKUP(A766,Hospitalisation_Details__2[],6,FALSE)</f>
        <v>tier - 1</v>
      </c>
      <c r="P766" t="str">
        <f>VLOOKUP(A766,Hospitalisation_Details__2[],7,FALSE)</f>
        <v>R1011</v>
      </c>
    </row>
    <row r="767" spans="1:16" x14ac:dyDescent="0.35">
      <c r="A767" t="str">
        <v>Id766</v>
      </c>
      <c r="B767" t="str">
        <f>VLOOKUP(A767,'Customer Names (2)'!A:B, 2,FALSE)</f>
        <v>Ms</v>
      </c>
      <c r="C767">
        <f>VLOOKUP(A767,Medical_Examinations[],2,FALSE)</f>
        <v>38.869999999999997</v>
      </c>
      <c r="D767">
        <f>VLOOKUP(A767,Medical_Examinations[],3,FALSE)</f>
        <v>8.6300000000000008</v>
      </c>
      <c r="E767" t="str">
        <f>VLOOKUP(A767,Medical_Examinations[],4,FALSE)</f>
        <v>Yes</v>
      </c>
      <c r="F767" t="str">
        <f>VLOOKUP(A767,Medical_Examinations[],5,FALSE)</f>
        <v>No</v>
      </c>
      <c r="G767" t="str">
        <f>VLOOKUP(A767,Medical_Examinations[],6,FALSE)</f>
        <v>No</v>
      </c>
      <c r="H767">
        <f>VLOOKUP(A767,Medical_Examinations[],7,FALSE)</f>
        <v>1</v>
      </c>
      <c r="I767" t="str">
        <f>VLOOKUP(A767,Medical_Examinations[],8,FALSE)</f>
        <v>No</v>
      </c>
      <c r="J767" t="str">
        <f>VLOOKUP(A767,Medical_Examinations[],9,FALSE)</f>
        <v>Obesity</v>
      </c>
      <c r="K767" t="str">
        <f>VLOOKUP(A767,Medical_Examinations[],10,FALSE)</f>
        <v>Diabetes</v>
      </c>
      <c r="M767">
        <f>VLOOKUP(A767,Hospitalisation_Details__2[],4,FALSE)</f>
        <v>13440.7</v>
      </c>
      <c r="N767" t="str">
        <f>VLOOKUP(A767,Hospitalisation_Details__2[],5,FALSE)</f>
        <v>tier - 3</v>
      </c>
      <c r="O767" t="str">
        <f>VLOOKUP(A767,Hospitalisation_Details__2[],6,FALSE)</f>
        <v>tier - 2</v>
      </c>
      <c r="P767" t="str">
        <f>VLOOKUP(A767,Hospitalisation_Details__2[],7,FALSE)</f>
        <v>R1012</v>
      </c>
    </row>
    <row r="768" spans="1:16" x14ac:dyDescent="0.35">
      <c r="A768" t="str">
        <v>Id767</v>
      </c>
      <c r="B768" t="str">
        <f>VLOOKUP(A768,'Customer Names (2)'!A:B, 2,FALSE)</f>
        <v>Ms</v>
      </c>
      <c r="C768">
        <f>VLOOKUP(A768,Medical_Examinations[],2,FALSE)</f>
        <v>32.299999999999997</v>
      </c>
      <c r="D768">
        <f>VLOOKUP(A768,Medical_Examinations[],3,FALSE)</f>
        <v>5.28</v>
      </c>
      <c r="E768" t="str">
        <f>VLOOKUP(A768,Medical_Examinations[],4,FALSE)</f>
        <v>Yes</v>
      </c>
      <c r="F768" t="str">
        <f>VLOOKUP(A768,Medical_Examinations[],5,FALSE)</f>
        <v>No</v>
      </c>
      <c r="G768" t="str">
        <f>VLOOKUP(A768,Medical_Examinations[],6,FALSE)</f>
        <v>No</v>
      </c>
      <c r="H768">
        <f>VLOOKUP(A768,Medical_Examinations[],7,FALSE)</f>
        <v>2</v>
      </c>
      <c r="I768" t="str">
        <f>VLOOKUP(A768,Medical_Examinations[],8,FALSE)</f>
        <v>No</v>
      </c>
      <c r="J768" t="str">
        <f>VLOOKUP(A768,Medical_Examinations[],9,FALSE)</f>
        <v>Obesity</v>
      </c>
      <c r="K768" t="str">
        <f>VLOOKUP(A768,Medical_Examinations[],10,FALSE)</f>
        <v>Normal</v>
      </c>
      <c r="M768">
        <f>VLOOKUP(A768,Hospitalisation_Details__2[],4,FALSE)</f>
        <v>13430.27</v>
      </c>
      <c r="N768" t="str">
        <f>VLOOKUP(A768,Hospitalisation_Details__2[],5,FALSE)</f>
        <v>tier - 3</v>
      </c>
      <c r="O768" t="str">
        <f>VLOOKUP(A768,Hospitalisation_Details__2[],6,FALSE)</f>
        <v>tier - 3</v>
      </c>
      <c r="P768" t="str">
        <f>VLOOKUP(A768,Hospitalisation_Details__2[],7,FALSE)</f>
        <v>R1024</v>
      </c>
    </row>
    <row r="769" spans="1:16" x14ac:dyDescent="0.35">
      <c r="A769" t="str">
        <v>Id768</v>
      </c>
      <c r="B769" t="str">
        <f>VLOOKUP(A769,'Customer Names (2)'!A:B, 2,FALSE)</f>
        <v>Ms</v>
      </c>
      <c r="C769">
        <f>VLOOKUP(A769,Medical_Examinations[],2,FALSE)</f>
        <v>31.16</v>
      </c>
      <c r="D769">
        <f>VLOOKUP(A769,Medical_Examinations[],3,FALSE)</f>
        <v>7.49</v>
      </c>
      <c r="E769" t="str">
        <f>VLOOKUP(A769,Medical_Examinations[],4,FALSE)</f>
        <v>Yes</v>
      </c>
      <c r="F769" t="str">
        <f>VLOOKUP(A769,Medical_Examinations[],5,FALSE)</f>
        <v>No</v>
      </c>
      <c r="G769" t="str">
        <f>VLOOKUP(A769,Medical_Examinations[],6,FALSE)</f>
        <v>No</v>
      </c>
      <c r="H769">
        <f>VLOOKUP(A769,Medical_Examinations[],7,FALSE)</f>
        <v>2</v>
      </c>
      <c r="I769" t="str">
        <f>VLOOKUP(A769,Medical_Examinations[],8,FALSE)</f>
        <v>No</v>
      </c>
      <c r="J769" t="str">
        <f>VLOOKUP(A769,Medical_Examinations[],9,FALSE)</f>
        <v>Obesity</v>
      </c>
      <c r="K769" t="str">
        <f>VLOOKUP(A769,Medical_Examinations[],10,FALSE)</f>
        <v>Diabetes</v>
      </c>
      <c r="M769">
        <f>VLOOKUP(A769,Hospitalisation_Details__2[],4,FALSE)</f>
        <v>13429.04</v>
      </c>
      <c r="N769" t="str">
        <f>VLOOKUP(A769,Hospitalisation_Details__2[],5,FALSE)</f>
        <v>tier - 3</v>
      </c>
      <c r="O769" t="str">
        <f>VLOOKUP(A769,Hospitalisation_Details__2[],6,FALSE)</f>
        <v>tier - 3</v>
      </c>
      <c r="P769" t="str">
        <f>VLOOKUP(A769,Hospitalisation_Details__2[],7,FALSE)</f>
        <v>R1012</v>
      </c>
    </row>
    <row r="770" spans="1:16" x14ac:dyDescent="0.35">
      <c r="A770" t="str">
        <v>Id769</v>
      </c>
      <c r="B770" t="str">
        <f>VLOOKUP(A770,'Customer Names (2)'!A:B, 2,FALSE)</f>
        <v>Ms</v>
      </c>
      <c r="C770">
        <f>VLOOKUP(A770,Medical_Examinations[],2,FALSE)</f>
        <v>54.59</v>
      </c>
      <c r="D770">
        <f>VLOOKUP(A770,Medical_Examinations[],3,FALSE)</f>
        <v>4.2699999999999996</v>
      </c>
      <c r="E770" t="str">
        <f>VLOOKUP(A770,Medical_Examinations[],4,FALSE)</f>
        <v>No</v>
      </c>
      <c r="F770" t="str">
        <f>VLOOKUP(A770,Medical_Examinations[],5,FALSE)</f>
        <v>No</v>
      </c>
      <c r="G770" t="str">
        <f>VLOOKUP(A770,Medical_Examinations[],6,FALSE)</f>
        <v>No</v>
      </c>
      <c r="H770">
        <f>VLOOKUP(A770,Medical_Examinations[],7,FALSE)</f>
        <v>0</v>
      </c>
      <c r="I770" t="str">
        <f>VLOOKUP(A770,Medical_Examinations[],8,FALSE)</f>
        <v>No</v>
      </c>
      <c r="J770" t="str">
        <f>VLOOKUP(A770,Medical_Examinations[],9,FALSE)</f>
        <v>Obesity</v>
      </c>
      <c r="K770" t="str">
        <f>VLOOKUP(A770,Medical_Examinations[],10,FALSE)</f>
        <v>Normal</v>
      </c>
      <c r="M770">
        <f>VLOOKUP(A770,Hospitalisation_Details__2[],4,FALSE)</f>
        <v>13417.05</v>
      </c>
      <c r="N770" t="str">
        <f>VLOOKUP(A770,Hospitalisation_Details__2[],5,FALSE)</f>
        <v>tier - 3</v>
      </c>
      <c r="O770" t="str">
        <f>VLOOKUP(A770,Hospitalisation_Details__2[],6,FALSE)</f>
        <v>tier - 3</v>
      </c>
      <c r="P770" t="str">
        <f>VLOOKUP(A770,Hospitalisation_Details__2[],7,FALSE)</f>
        <v>R1012</v>
      </c>
    </row>
    <row r="771" spans="1:16" x14ac:dyDescent="0.35">
      <c r="A771" t="str">
        <v>Id770</v>
      </c>
      <c r="B771" t="str">
        <f>VLOOKUP(A771,'Customer Names (2)'!A:B, 2,FALSE)</f>
        <v>Ms</v>
      </c>
      <c r="C771">
        <f>VLOOKUP(A771,Medical_Examinations[],2,FALSE)</f>
        <v>21.09</v>
      </c>
      <c r="D771">
        <f>VLOOKUP(A771,Medical_Examinations[],3,FALSE)</f>
        <v>9.2200000000000006</v>
      </c>
      <c r="E771" t="str">
        <f>VLOOKUP(A771,Medical_Examinations[],4,FALSE)</f>
        <v>Yes</v>
      </c>
      <c r="F771" t="str">
        <f>VLOOKUP(A771,Medical_Examinations[],5,FALSE)</f>
        <v>No</v>
      </c>
      <c r="G771" t="str">
        <f>VLOOKUP(A771,Medical_Examinations[],6,FALSE)</f>
        <v>No</v>
      </c>
      <c r="H771">
        <f>VLOOKUP(A771,Medical_Examinations[],7,FALSE)</f>
        <v>2</v>
      </c>
      <c r="I771" t="str">
        <f>VLOOKUP(A771,Medical_Examinations[],8,FALSE)</f>
        <v>No</v>
      </c>
      <c r="J771" t="str">
        <f>VLOOKUP(A771,Medical_Examinations[],9,FALSE)</f>
        <v>Normal Weight</v>
      </c>
      <c r="K771" t="str">
        <f>VLOOKUP(A771,Medical_Examinations[],10,FALSE)</f>
        <v>Diabetes</v>
      </c>
      <c r="M771">
        <f>VLOOKUP(A771,Hospitalisation_Details__2[],4,FALSE)</f>
        <v>13415.04</v>
      </c>
      <c r="N771" t="str">
        <f>VLOOKUP(A771,Hospitalisation_Details__2[],5,FALSE)</f>
        <v>tier - 3</v>
      </c>
      <c r="O771" t="str">
        <f>VLOOKUP(A771,Hospitalisation_Details__2[],6,FALSE)</f>
        <v>tier - 2</v>
      </c>
      <c r="P771" t="str">
        <f>VLOOKUP(A771,Hospitalisation_Details__2[],7,FALSE)</f>
        <v>R1012</v>
      </c>
    </row>
    <row r="772" spans="1:16" x14ac:dyDescent="0.35">
      <c r="A772" t="str">
        <v>Id771</v>
      </c>
      <c r="B772" t="str">
        <f>VLOOKUP(A772,'Customer Names (2)'!A:B, 2,FALSE)</f>
        <v>Mr</v>
      </c>
      <c r="C772">
        <f>VLOOKUP(A772,Medical_Examinations[],2,FALSE)</f>
        <v>52.41</v>
      </c>
      <c r="D772">
        <f>VLOOKUP(A772,Medical_Examinations[],3,FALSE)</f>
        <v>5.99</v>
      </c>
      <c r="E772" t="str">
        <f>VLOOKUP(A772,Medical_Examinations[],4,FALSE)</f>
        <v>No</v>
      </c>
      <c r="F772" t="str">
        <f>VLOOKUP(A772,Medical_Examinations[],5,FALSE)</f>
        <v>No</v>
      </c>
      <c r="G772" t="str">
        <f>VLOOKUP(A772,Medical_Examinations[],6,FALSE)</f>
        <v>No</v>
      </c>
      <c r="H772">
        <f>VLOOKUP(A772,Medical_Examinations[],7,FALSE)</f>
        <v>1</v>
      </c>
      <c r="I772" t="str">
        <f>VLOOKUP(A772,Medical_Examinations[],8,FALSE)</f>
        <v>No</v>
      </c>
      <c r="J772" t="str">
        <f>VLOOKUP(A772,Medical_Examinations[],9,FALSE)</f>
        <v>Obesity</v>
      </c>
      <c r="K772" t="str">
        <f>VLOOKUP(A772,Medical_Examinations[],10,FALSE)</f>
        <v>Prediabetes</v>
      </c>
      <c r="M772">
        <f>VLOOKUP(A772,Hospitalisation_Details__2[],4,FALSE)</f>
        <v>13412.97</v>
      </c>
      <c r="N772" t="str">
        <f>VLOOKUP(A772,Hospitalisation_Details__2[],5,FALSE)</f>
        <v>tier - 3</v>
      </c>
      <c r="O772" t="str">
        <f>VLOOKUP(A772,Hospitalisation_Details__2[],6,FALSE)</f>
        <v>tier - 3</v>
      </c>
      <c r="P772" t="str">
        <f>VLOOKUP(A772,Hospitalisation_Details__2[],7,FALSE)</f>
        <v>R1023</v>
      </c>
    </row>
    <row r="773" spans="1:16" x14ac:dyDescent="0.35">
      <c r="A773" t="str">
        <v>Id772</v>
      </c>
      <c r="B773" t="str">
        <f>VLOOKUP(A773,'Customer Names (2)'!A:B, 2,FALSE)</f>
        <v>Mr</v>
      </c>
      <c r="C773">
        <f>VLOOKUP(A773,Medical_Examinations[],2,FALSE)</f>
        <v>41.47</v>
      </c>
      <c r="D773">
        <f>VLOOKUP(A773,Medical_Examinations[],3,FALSE)</f>
        <v>5.86</v>
      </c>
      <c r="E773" t="str">
        <f>VLOOKUP(A773,Medical_Examinations[],4,FALSE)</f>
        <v>Yes</v>
      </c>
      <c r="F773" t="str">
        <f>VLOOKUP(A773,Medical_Examinations[],5,FALSE)</f>
        <v>No</v>
      </c>
      <c r="G773" t="str">
        <f>VLOOKUP(A773,Medical_Examinations[],6,FALSE)</f>
        <v>No</v>
      </c>
      <c r="H773">
        <f>VLOOKUP(A773,Medical_Examinations[],7,FALSE)</f>
        <v>2</v>
      </c>
      <c r="I773" t="str">
        <f>VLOOKUP(A773,Medical_Examinations[],8,FALSE)</f>
        <v>No</v>
      </c>
      <c r="J773" t="str">
        <f>VLOOKUP(A773,Medical_Examinations[],9,FALSE)</f>
        <v>Obesity</v>
      </c>
      <c r="K773" t="str">
        <f>VLOOKUP(A773,Medical_Examinations[],10,FALSE)</f>
        <v>Prediabetes</v>
      </c>
      <c r="M773">
        <f>VLOOKUP(A773,Hospitalisation_Details__2[],4,FALSE)</f>
        <v>13405.39</v>
      </c>
      <c r="N773" t="str">
        <f>VLOOKUP(A773,Hospitalisation_Details__2[],5,FALSE)</f>
        <v>tier - 3</v>
      </c>
      <c r="O773" t="str">
        <f>VLOOKUP(A773,Hospitalisation_Details__2[],6,FALSE)</f>
        <v>tier - 3</v>
      </c>
      <c r="P773" t="str">
        <f>VLOOKUP(A773,Hospitalisation_Details__2[],7,FALSE)</f>
        <v>R1013</v>
      </c>
    </row>
    <row r="774" spans="1:16" x14ac:dyDescent="0.35">
      <c r="A774" t="str">
        <v>Id773</v>
      </c>
      <c r="B774" t="str">
        <f>VLOOKUP(A774,'Customer Names (2)'!A:B, 2,FALSE)</f>
        <v>Mr</v>
      </c>
      <c r="C774">
        <f>VLOOKUP(A774,Medical_Examinations[],2,FALSE)</f>
        <v>33.1</v>
      </c>
      <c r="D774">
        <f>VLOOKUP(A774,Medical_Examinations[],3,FALSE)</f>
        <v>5.19</v>
      </c>
      <c r="E774" t="str">
        <f>VLOOKUP(A774,Medical_Examinations[],4,FALSE)</f>
        <v>Yes</v>
      </c>
      <c r="F774" t="str">
        <f>VLOOKUP(A774,Medical_Examinations[],5,FALSE)</f>
        <v>No</v>
      </c>
      <c r="G774" t="str">
        <f>VLOOKUP(A774,Medical_Examinations[],6,FALSE)</f>
        <v>No</v>
      </c>
      <c r="H774">
        <f>VLOOKUP(A774,Medical_Examinations[],7,FALSE)</f>
        <v>2</v>
      </c>
      <c r="I774" t="str">
        <f>VLOOKUP(A774,Medical_Examinations[],8,FALSE)</f>
        <v>No</v>
      </c>
      <c r="J774" t="str">
        <f>VLOOKUP(A774,Medical_Examinations[],9,FALSE)</f>
        <v>Obesity</v>
      </c>
      <c r="K774" t="str">
        <f>VLOOKUP(A774,Medical_Examinations[],10,FALSE)</f>
        <v>Normal</v>
      </c>
      <c r="M774">
        <f>VLOOKUP(A774,Hospitalisation_Details__2[],4,FALSE)</f>
        <v>13393.76</v>
      </c>
      <c r="N774" t="str">
        <f>VLOOKUP(A774,Hospitalisation_Details__2[],5,FALSE)</f>
        <v>tier - 3</v>
      </c>
      <c r="O774" t="str">
        <f>VLOOKUP(A774,Hospitalisation_Details__2[],6,FALSE)</f>
        <v>tier - 1</v>
      </c>
      <c r="P774" t="str">
        <f>VLOOKUP(A774,Hospitalisation_Details__2[],7,FALSE)</f>
        <v>R1011</v>
      </c>
    </row>
    <row r="775" spans="1:16" x14ac:dyDescent="0.35">
      <c r="A775" t="str">
        <v>Id774</v>
      </c>
      <c r="B775" t="str">
        <f>VLOOKUP(A775,'Customer Names (2)'!A:B, 2,FALSE)</f>
        <v>Mr</v>
      </c>
      <c r="C775">
        <f>VLOOKUP(A775,Medical_Examinations[],2,FALSE)</f>
        <v>30.8</v>
      </c>
      <c r="D775">
        <f>VLOOKUP(A775,Medical_Examinations[],3,FALSE)</f>
        <v>4.37</v>
      </c>
      <c r="E775" t="str">
        <f>VLOOKUP(A775,Medical_Examinations[],4,FALSE)</f>
        <v>Yes</v>
      </c>
      <c r="F775" t="str">
        <f>VLOOKUP(A775,Medical_Examinations[],5,FALSE)</f>
        <v>No</v>
      </c>
      <c r="G775" t="str">
        <f>VLOOKUP(A775,Medical_Examinations[],6,FALSE)</f>
        <v>No</v>
      </c>
      <c r="H775">
        <f>VLOOKUP(A775,Medical_Examinations[],7,FALSE)</f>
        <v>2</v>
      </c>
      <c r="I775" t="str">
        <f>VLOOKUP(A775,Medical_Examinations[],8,FALSE)</f>
        <v>No</v>
      </c>
      <c r="J775" t="str">
        <f>VLOOKUP(A775,Medical_Examinations[],9,FALSE)</f>
        <v>Obesity</v>
      </c>
      <c r="K775" t="str">
        <f>VLOOKUP(A775,Medical_Examinations[],10,FALSE)</f>
        <v>Normal</v>
      </c>
      <c r="M775">
        <f>VLOOKUP(A775,Hospitalisation_Details__2[],4,FALSE)</f>
        <v>13390.56</v>
      </c>
      <c r="N775" t="str">
        <f>VLOOKUP(A775,Hospitalisation_Details__2[],5,FALSE)</f>
        <v>tier - 3</v>
      </c>
      <c r="O775" t="str">
        <f>VLOOKUP(A775,Hospitalisation_Details__2[],6,FALSE)</f>
        <v>tier - 3</v>
      </c>
      <c r="P775" t="str">
        <f>VLOOKUP(A775,Hospitalisation_Details__2[],7,FALSE)</f>
        <v>R1011</v>
      </c>
    </row>
    <row r="776" spans="1:16" x14ac:dyDescent="0.35">
      <c r="A776" t="str">
        <v>Id775</v>
      </c>
      <c r="B776" t="str">
        <f>VLOOKUP(A776,'Customer Names (2)'!A:B, 2,FALSE)</f>
        <v>Mr</v>
      </c>
      <c r="C776">
        <f>VLOOKUP(A776,Medical_Examinations[],2,FALSE)</f>
        <v>42.06</v>
      </c>
      <c r="D776">
        <f>VLOOKUP(A776,Medical_Examinations[],3,FALSE)</f>
        <v>5.32</v>
      </c>
      <c r="E776" t="str">
        <f>VLOOKUP(A776,Medical_Examinations[],4,FALSE)</f>
        <v>No</v>
      </c>
      <c r="F776" t="str">
        <f>VLOOKUP(A776,Medical_Examinations[],5,FALSE)</f>
        <v>No</v>
      </c>
      <c r="G776" t="str">
        <f>VLOOKUP(A776,Medical_Examinations[],6,FALSE)</f>
        <v>No</v>
      </c>
      <c r="H776">
        <f>VLOOKUP(A776,Medical_Examinations[],7,FALSE)</f>
        <v>1</v>
      </c>
      <c r="I776" t="str">
        <f>VLOOKUP(A776,Medical_Examinations[],8,FALSE)</f>
        <v>No</v>
      </c>
      <c r="J776" t="str">
        <f>VLOOKUP(A776,Medical_Examinations[],9,FALSE)</f>
        <v>Obesity</v>
      </c>
      <c r="K776" t="str">
        <f>VLOOKUP(A776,Medical_Examinations[],10,FALSE)</f>
        <v>Normal</v>
      </c>
      <c r="M776">
        <f>VLOOKUP(A776,Hospitalisation_Details__2[],4,FALSE)</f>
        <v>13383.67</v>
      </c>
      <c r="N776" t="str">
        <f>VLOOKUP(A776,Hospitalisation_Details__2[],5,FALSE)</f>
        <v>tier - 3</v>
      </c>
      <c r="O776" t="str">
        <f>VLOOKUP(A776,Hospitalisation_Details__2[],6,FALSE)</f>
        <v>tier - 2</v>
      </c>
      <c r="P776" t="str">
        <f>VLOOKUP(A776,Hospitalisation_Details__2[],7,FALSE)</f>
        <v>R1023</v>
      </c>
    </row>
    <row r="777" spans="1:16" x14ac:dyDescent="0.35">
      <c r="A777" t="str">
        <v>Id776</v>
      </c>
      <c r="B777" t="str">
        <f>VLOOKUP(A777,'Customer Names (2)'!A:B, 2,FALSE)</f>
        <v>Mrs</v>
      </c>
      <c r="C777">
        <f>VLOOKUP(A777,Medical_Examinations[],2,FALSE)</f>
        <v>39.270000000000003</v>
      </c>
      <c r="D777">
        <f>VLOOKUP(A777,Medical_Examinations[],3,FALSE)</f>
        <v>5.64</v>
      </c>
      <c r="E777" t="str">
        <f>VLOOKUP(A777,Medical_Examinations[],4,FALSE)</f>
        <v>No</v>
      </c>
      <c r="F777" t="str">
        <f>VLOOKUP(A777,Medical_Examinations[],5,FALSE)</f>
        <v>No</v>
      </c>
      <c r="G777" t="str">
        <f>VLOOKUP(A777,Medical_Examinations[],6,FALSE)</f>
        <v>Yes</v>
      </c>
      <c r="H777">
        <f>VLOOKUP(A777,Medical_Examinations[],7,FALSE)</f>
        <v>1</v>
      </c>
      <c r="I777" t="str">
        <f>VLOOKUP(A777,Medical_Examinations[],8,FALSE)</f>
        <v>No</v>
      </c>
      <c r="J777" t="str">
        <f>VLOOKUP(A777,Medical_Examinations[],9,FALSE)</f>
        <v>Obesity</v>
      </c>
      <c r="K777" t="str">
        <f>VLOOKUP(A777,Medical_Examinations[],10,FALSE)</f>
        <v>Normal</v>
      </c>
      <c r="M777">
        <f>VLOOKUP(A777,Hospitalisation_Details__2[],4,FALSE)</f>
        <v>13377.41</v>
      </c>
      <c r="N777" t="str">
        <f>VLOOKUP(A777,Hospitalisation_Details__2[],5,FALSE)</f>
        <v>tier - 3</v>
      </c>
      <c r="O777" t="str">
        <f>VLOOKUP(A777,Hospitalisation_Details__2[],6,FALSE)</f>
        <v>tier - 3</v>
      </c>
      <c r="P777" t="str">
        <f>VLOOKUP(A777,Hospitalisation_Details__2[],7,FALSE)</f>
        <v>R1026</v>
      </c>
    </row>
    <row r="778" spans="1:16" x14ac:dyDescent="0.35">
      <c r="A778" t="str">
        <v>Id777</v>
      </c>
      <c r="B778" t="str">
        <f>VLOOKUP(A778,'Customer Names (2)'!A:B, 2,FALSE)</f>
        <v>Mrs</v>
      </c>
      <c r="C778">
        <f>VLOOKUP(A778,Medical_Examinations[],2,FALSE)</f>
        <v>30.71</v>
      </c>
      <c r="D778">
        <f>VLOOKUP(A778,Medical_Examinations[],3,FALSE)</f>
        <v>5.59</v>
      </c>
      <c r="E778" t="str">
        <f>VLOOKUP(A778,Medical_Examinations[],4,FALSE)</f>
        <v>Yes</v>
      </c>
      <c r="F778" t="str">
        <f>VLOOKUP(A778,Medical_Examinations[],5,FALSE)</f>
        <v>No</v>
      </c>
      <c r="G778" t="str">
        <f>VLOOKUP(A778,Medical_Examinations[],6,FALSE)</f>
        <v>No</v>
      </c>
      <c r="H778">
        <f>VLOOKUP(A778,Medical_Examinations[],7,FALSE)</f>
        <v>1</v>
      </c>
      <c r="I778" t="str">
        <f>VLOOKUP(A778,Medical_Examinations[],8,FALSE)</f>
        <v>No</v>
      </c>
      <c r="J778" t="str">
        <f>VLOOKUP(A778,Medical_Examinations[],9,FALSE)</f>
        <v>Obesity</v>
      </c>
      <c r="K778" t="str">
        <f>VLOOKUP(A778,Medical_Examinations[],10,FALSE)</f>
        <v>Normal</v>
      </c>
      <c r="M778">
        <f>VLOOKUP(A778,Hospitalisation_Details__2[],4,FALSE)</f>
        <v>13375.76</v>
      </c>
      <c r="N778" t="str">
        <f>VLOOKUP(A778,Hospitalisation_Details__2[],5,FALSE)</f>
        <v>tier - 3</v>
      </c>
      <c r="O778" t="str">
        <f>VLOOKUP(A778,Hospitalisation_Details__2[],6,FALSE)</f>
        <v>tier - 2</v>
      </c>
      <c r="P778" t="str">
        <f>VLOOKUP(A778,Hospitalisation_Details__2[],7,FALSE)</f>
        <v>R1025</v>
      </c>
    </row>
    <row r="779" spans="1:16" x14ac:dyDescent="0.35">
      <c r="A779" t="str">
        <v>Id778</v>
      </c>
      <c r="B779" t="str">
        <f>VLOOKUP(A779,'Customer Names (2)'!A:B, 2,FALSE)</f>
        <v>Ms</v>
      </c>
      <c r="C779">
        <f>VLOOKUP(A779,Medical_Examinations[],2,FALSE)</f>
        <v>47.19</v>
      </c>
      <c r="D779">
        <f>VLOOKUP(A779,Medical_Examinations[],3,FALSE)</f>
        <v>5.29</v>
      </c>
      <c r="E779" t="str">
        <f>VLOOKUP(A779,Medical_Examinations[],4,FALSE)</f>
        <v>No</v>
      </c>
      <c r="F779" t="str">
        <f>VLOOKUP(A779,Medical_Examinations[],5,FALSE)</f>
        <v>No</v>
      </c>
      <c r="G779" t="str">
        <f>VLOOKUP(A779,Medical_Examinations[],6,FALSE)</f>
        <v>No</v>
      </c>
      <c r="H779">
        <f>VLOOKUP(A779,Medical_Examinations[],7,FALSE)</f>
        <v>0</v>
      </c>
      <c r="I779" t="str">
        <f>VLOOKUP(A779,Medical_Examinations[],8,FALSE)</f>
        <v>No</v>
      </c>
      <c r="J779" t="str">
        <f>VLOOKUP(A779,Medical_Examinations[],9,FALSE)</f>
        <v>Obesity</v>
      </c>
      <c r="K779" t="str">
        <f>VLOOKUP(A779,Medical_Examinations[],10,FALSE)</f>
        <v>Normal</v>
      </c>
      <c r="M779">
        <f>VLOOKUP(A779,Hospitalisation_Details__2[],4,FALSE)</f>
        <v>13360.94</v>
      </c>
      <c r="N779" t="str">
        <f>VLOOKUP(A779,Hospitalisation_Details__2[],5,FALSE)</f>
        <v>tier - 3</v>
      </c>
      <c r="O779" t="str">
        <f>VLOOKUP(A779,Hospitalisation_Details__2[],6,FALSE)</f>
        <v>tier - 1</v>
      </c>
      <c r="P779" t="str">
        <f>VLOOKUP(A779,Hospitalisation_Details__2[],7,FALSE)</f>
        <v>R1012</v>
      </c>
    </row>
    <row r="780" spans="1:16" x14ac:dyDescent="0.35">
      <c r="A780" t="str">
        <v>Id779</v>
      </c>
      <c r="B780" t="str">
        <f>VLOOKUP(A780,'Customer Names (2)'!A:B, 2,FALSE)</f>
        <v>Mr</v>
      </c>
      <c r="C780">
        <f>VLOOKUP(A780,Medical_Examinations[],2,FALSE)</f>
        <v>30.02</v>
      </c>
      <c r="D780">
        <f>VLOOKUP(A780,Medical_Examinations[],3,FALSE)</f>
        <v>6.65</v>
      </c>
      <c r="E780" t="str">
        <f>VLOOKUP(A780,Medical_Examinations[],4,FALSE)</f>
        <v>No</v>
      </c>
      <c r="F780" t="str">
        <f>VLOOKUP(A780,Medical_Examinations[],5,FALSE)</f>
        <v>No</v>
      </c>
      <c r="G780" t="str">
        <f>VLOOKUP(A780,Medical_Examinations[],6,FALSE)</f>
        <v>No</v>
      </c>
      <c r="H780">
        <f>VLOOKUP(A780,Medical_Examinations[],7,FALSE)</f>
        <v>0</v>
      </c>
      <c r="I780" t="str">
        <f>VLOOKUP(A780,Medical_Examinations[],8,FALSE)</f>
        <v>No</v>
      </c>
      <c r="J780" t="str">
        <f>VLOOKUP(A780,Medical_Examinations[],9,FALSE)</f>
        <v>Obesity</v>
      </c>
      <c r="K780" t="str">
        <f>VLOOKUP(A780,Medical_Examinations[],10,FALSE)</f>
        <v>Diabetes</v>
      </c>
      <c r="M780">
        <f>VLOOKUP(A780,Hospitalisation_Details__2[],4,FALSE)</f>
        <v>13352.1</v>
      </c>
      <c r="N780" t="str">
        <f>VLOOKUP(A780,Hospitalisation_Details__2[],5,FALSE)</f>
        <v>tier - 3</v>
      </c>
      <c r="O780" t="str">
        <f>VLOOKUP(A780,Hospitalisation_Details__2[],6,FALSE)</f>
        <v>tier - 1</v>
      </c>
      <c r="P780" t="str">
        <f>VLOOKUP(A780,Hospitalisation_Details__2[],7,FALSE)</f>
        <v>R1012</v>
      </c>
    </row>
    <row r="781" spans="1:16" x14ac:dyDescent="0.35">
      <c r="A781" t="str">
        <v>Id780</v>
      </c>
      <c r="B781" t="str">
        <f>VLOOKUP(A781,'Customer Names (2)'!A:B, 2,FALSE)</f>
        <v>Ms</v>
      </c>
      <c r="C781">
        <f>VLOOKUP(A781,Medical_Examinations[],2,FALSE)</f>
        <v>37.909999999999997</v>
      </c>
      <c r="D781">
        <f>VLOOKUP(A781,Medical_Examinations[],3,FALSE)</f>
        <v>5.68</v>
      </c>
      <c r="E781" t="str">
        <f>VLOOKUP(A781,Medical_Examinations[],4,FALSE)</f>
        <v>Yes</v>
      </c>
      <c r="F781" t="str">
        <f>VLOOKUP(A781,Medical_Examinations[],5,FALSE)</f>
        <v>No</v>
      </c>
      <c r="G781" t="str">
        <f>VLOOKUP(A781,Medical_Examinations[],6,FALSE)</f>
        <v>No</v>
      </c>
      <c r="H781">
        <f>VLOOKUP(A781,Medical_Examinations[],7,FALSE)</f>
        <v>0</v>
      </c>
      <c r="I781" t="str">
        <f>VLOOKUP(A781,Medical_Examinations[],8,FALSE)</f>
        <v>No</v>
      </c>
      <c r="J781" t="str">
        <f>VLOOKUP(A781,Medical_Examinations[],9,FALSE)</f>
        <v>Obesity</v>
      </c>
      <c r="K781" t="str">
        <f>VLOOKUP(A781,Medical_Examinations[],10,FALSE)</f>
        <v>Normal</v>
      </c>
      <c r="M781">
        <f>VLOOKUP(A781,Hospitalisation_Details__2[],4,FALSE)</f>
        <v>13333.71</v>
      </c>
      <c r="N781" t="str">
        <f>VLOOKUP(A781,Hospitalisation_Details__2[],5,FALSE)</f>
        <v>tier - 3</v>
      </c>
      <c r="O781" t="str">
        <f>VLOOKUP(A781,Hospitalisation_Details__2[],6,FALSE)</f>
        <v>tier - 2</v>
      </c>
      <c r="P781" t="str">
        <f>VLOOKUP(A781,Hospitalisation_Details__2[],7,FALSE)</f>
        <v>R1012</v>
      </c>
    </row>
    <row r="782" spans="1:16" x14ac:dyDescent="0.35">
      <c r="A782" t="str">
        <v>Id781</v>
      </c>
      <c r="B782" t="str">
        <f>VLOOKUP(A782,'Customer Names (2)'!A:B, 2,FALSE)</f>
        <v>Mr</v>
      </c>
      <c r="C782">
        <f>VLOOKUP(A782,Medical_Examinations[],2,FALSE)</f>
        <v>54.61</v>
      </c>
      <c r="D782">
        <f>VLOOKUP(A782,Medical_Examinations[],3,FALSE)</f>
        <v>4.49</v>
      </c>
      <c r="E782" t="str">
        <f>VLOOKUP(A782,Medical_Examinations[],4,FALSE)</f>
        <v>No</v>
      </c>
      <c r="F782" t="str">
        <f>VLOOKUP(A782,Medical_Examinations[],5,FALSE)</f>
        <v>No</v>
      </c>
      <c r="G782" t="str">
        <f>VLOOKUP(A782,Medical_Examinations[],6,FALSE)</f>
        <v>No</v>
      </c>
      <c r="H782">
        <f>VLOOKUP(A782,Medical_Examinations[],7,FALSE)</f>
        <v>0</v>
      </c>
      <c r="I782" t="str">
        <f>VLOOKUP(A782,Medical_Examinations[],8,FALSE)</f>
        <v>No</v>
      </c>
      <c r="J782" t="str">
        <f>VLOOKUP(A782,Medical_Examinations[],9,FALSE)</f>
        <v>Obesity</v>
      </c>
      <c r="K782" t="str">
        <f>VLOOKUP(A782,Medical_Examinations[],10,FALSE)</f>
        <v>Normal</v>
      </c>
      <c r="M782">
        <f>VLOOKUP(A782,Hospitalisation_Details__2[],4,FALSE)</f>
        <v>13292.52</v>
      </c>
      <c r="N782" t="str">
        <f>VLOOKUP(A782,Hospitalisation_Details__2[],5,FALSE)</f>
        <v>tier - 3</v>
      </c>
      <c r="O782" t="str">
        <f>VLOOKUP(A782,Hospitalisation_Details__2[],6,FALSE)</f>
        <v>tier - 3</v>
      </c>
      <c r="P782" t="str">
        <f>VLOOKUP(A782,Hospitalisation_Details__2[],7,FALSE)</f>
        <v>R1012</v>
      </c>
    </row>
    <row r="783" spans="1:16" x14ac:dyDescent="0.35">
      <c r="A783" t="str">
        <v>Id782</v>
      </c>
      <c r="B783" t="str">
        <f>VLOOKUP(A783,'Customer Names (2)'!A:B, 2,FALSE)</f>
        <v>Ms</v>
      </c>
      <c r="C783">
        <f>VLOOKUP(A783,Medical_Examinations[],2,FALSE)</f>
        <v>36.005000000000003</v>
      </c>
      <c r="D783">
        <f>VLOOKUP(A783,Medical_Examinations[],3,FALSE)</f>
        <v>6.9</v>
      </c>
      <c r="E783" t="str">
        <f>VLOOKUP(A783,Medical_Examinations[],4,FALSE)</f>
        <v>No</v>
      </c>
      <c r="F783" t="str">
        <f>VLOOKUP(A783,Medical_Examinations[],5,FALSE)</f>
        <v>No</v>
      </c>
      <c r="G783" t="str">
        <f>VLOOKUP(A783,Medical_Examinations[],6,FALSE)</f>
        <v>No</v>
      </c>
      <c r="H783">
        <f>VLOOKUP(A783,Medical_Examinations[],7,FALSE)</f>
        <v>0</v>
      </c>
      <c r="I783" t="str">
        <f>VLOOKUP(A783,Medical_Examinations[],8,FALSE)</f>
        <v>No</v>
      </c>
      <c r="J783" t="str">
        <f>VLOOKUP(A783,Medical_Examinations[],9,FALSE)</f>
        <v>Obesity</v>
      </c>
      <c r="K783" t="str">
        <f>VLOOKUP(A783,Medical_Examinations[],10,FALSE)</f>
        <v>Diabetes</v>
      </c>
      <c r="M783">
        <f>VLOOKUP(A783,Hospitalisation_Details__2[],4,FALSE)</f>
        <v>13228.85</v>
      </c>
      <c r="N783" t="str">
        <f>VLOOKUP(A783,Hospitalisation_Details__2[],5,FALSE)</f>
        <v>tier - 3</v>
      </c>
      <c r="O783" t="str">
        <f>VLOOKUP(A783,Hospitalisation_Details__2[],6,FALSE)</f>
        <v>tier - 3</v>
      </c>
      <c r="P783" t="str">
        <f>VLOOKUP(A783,Hospitalisation_Details__2[],7,FALSE)</f>
        <v>R1023</v>
      </c>
    </row>
    <row r="784" spans="1:16" x14ac:dyDescent="0.35">
      <c r="A784" t="str">
        <v>Id783</v>
      </c>
      <c r="B784" t="str">
        <f>VLOOKUP(A784,'Customer Names (2)'!A:B, 2,FALSE)</f>
        <v>Ms</v>
      </c>
      <c r="C784">
        <f>VLOOKUP(A784,Medical_Examinations[],2,FALSE)</f>
        <v>28.7</v>
      </c>
      <c r="D784">
        <f>VLOOKUP(A784,Medical_Examinations[],3,FALSE)</f>
        <v>11.52</v>
      </c>
      <c r="E784" t="str">
        <f>VLOOKUP(A784,Medical_Examinations[],4,FALSE)</f>
        <v>No</v>
      </c>
      <c r="F784" t="str">
        <f>VLOOKUP(A784,Medical_Examinations[],5,FALSE)</f>
        <v>No</v>
      </c>
      <c r="G784" t="str">
        <f>VLOOKUP(A784,Medical_Examinations[],6,FALSE)</f>
        <v>No</v>
      </c>
      <c r="H784">
        <f>VLOOKUP(A784,Medical_Examinations[],7,FALSE)</f>
        <v>0</v>
      </c>
      <c r="I784" t="str">
        <f>VLOOKUP(A784,Medical_Examinations[],8,FALSE)</f>
        <v>No</v>
      </c>
      <c r="J784" t="str">
        <f>VLOOKUP(A784,Medical_Examinations[],9,FALSE)</f>
        <v>Overweight</v>
      </c>
      <c r="K784" t="str">
        <f>VLOOKUP(A784,Medical_Examinations[],10,FALSE)</f>
        <v>Diabetes</v>
      </c>
      <c r="M784">
        <f>VLOOKUP(A784,Hospitalisation_Details__2[],4,FALSE)</f>
        <v>13224.69</v>
      </c>
      <c r="N784" t="str">
        <f>VLOOKUP(A784,Hospitalisation_Details__2[],5,FALSE)</f>
        <v>tier - 3</v>
      </c>
      <c r="O784" t="str">
        <f>VLOOKUP(A784,Hospitalisation_Details__2[],6,FALSE)</f>
        <v>tier - 2</v>
      </c>
      <c r="P784" t="str">
        <f>VLOOKUP(A784,Hospitalisation_Details__2[],7,FALSE)</f>
        <v>R1011</v>
      </c>
    </row>
    <row r="785" spans="1:16" x14ac:dyDescent="0.35">
      <c r="A785" t="str">
        <v>Id784</v>
      </c>
      <c r="B785" t="str">
        <f>VLOOKUP(A785,'Customer Names (2)'!A:B, 2,FALSE)</f>
        <v>Ms</v>
      </c>
      <c r="C785">
        <f>VLOOKUP(A785,Medical_Examinations[],2,FALSE)</f>
        <v>34.295000000000002</v>
      </c>
      <c r="D785">
        <f>VLOOKUP(A785,Medical_Examinations[],3,FALSE)</f>
        <v>11.24</v>
      </c>
      <c r="E785" t="str">
        <f>VLOOKUP(A785,Medical_Examinations[],4,FALSE)</f>
        <v>No</v>
      </c>
      <c r="F785" t="str">
        <f>VLOOKUP(A785,Medical_Examinations[],5,FALSE)</f>
        <v>No</v>
      </c>
      <c r="G785" t="str">
        <f>VLOOKUP(A785,Medical_Examinations[],6,FALSE)</f>
        <v>No</v>
      </c>
      <c r="H785">
        <f>VLOOKUP(A785,Medical_Examinations[],7,FALSE)</f>
        <v>0</v>
      </c>
      <c r="I785" t="str">
        <f>VLOOKUP(A785,Medical_Examinations[],8,FALSE)</f>
        <v>No</v>
      </c>
      <c r="J785" t="str">
        <f>VLOOKUP(A785,Medical_Examinations[],9,FALSE)</f>
        <v>Obesity</v>
      </c>
      <c r="K785" t="str">
        <f>VLOOKUP(A785,Medical_Examinations[],10,FALSE)</f>
        <v>Diabetes</v>
      </c>
      <c r="M785">
        <f>VLOOKUP(A785,Hospitalisation_Details__2[],4,FALSE)</f>
        <v>13224.06</v>
      </c>
      <c r="N785" t="str">
        <f>VLOOKUP(A785,Hospitalisation_Details__2[],5,FALSE)</f>
        <v>tier - 3</v>
      </c>
      <c r="O785" t="str">
        <f>VLOOKUP(A785,Hospitalisation_Details__2[],6,FALSE)</f>
        <v>tier - 3</v>
      </c>
      <c r="P785" t="str">
        <f>VLOOKUP(A785,Hospitalisation_Details__2[],7,FALSE)</f>
        <v>R1024</v>
      </c>
    </row>
    <row r="786" spans="1:16" x14ac:dyDescent="0.35">
      <c r="A786" t="str">
        <v>Id785</v>
      </c>
      <c r="B786" t="str">
        <f>VLOOKUP(A786,'Customer Names (2)'!A:B, 2,FALSE)</f>
        <v>Ms</v>
      </c>
      <c r="C786">
        <f>VLOOKUP(A786,Medical_Examinations[],2,FALSE)</f>
        <v>27.55</v>
      </c>
      <c r="D786">
        <f>VLOOKUP(A786,Medical_Examinations[],3,FALSE)</f>
        <v>10.98</v>
      </c>
      <c r="E786" t="str">
        <f>VLOOKUP(A786,Medical_Examinations[],4,FALSE)</f>
        <v>No</v>
      </c>
      <c r="F786" t="str">
        <f>VLOOKUP(A786,Medical_Examinations[],5,FALSE)</f>
        <v>No</v>
      </c>
      <c r="G786" t="str">
        <f>VLOOKUP(A786,Medical_Examinations[],6,FALSE)</f>
        <v>No</v>
      </c>
      <c r="H786">
        <f>VLOOKUP(A786,Medical_Examinations[],7,FALSE)</f>
        <v>0</v>
      </c>
      <c r="I786" t="str">
        <f>VLOOKUP(A786,Medical_Examinations[],8,FALSE)</f>
        <v>No</v>
      </c>
      <c r="J786" t="str">
        <f>VLOOKUP(A786,Medical_Examinations[],9,FALSE)</f>
        <v>Overweight</v>
      </c>
      <c r="K786" t="str">
        <f>VLOOKUP(A786,Medical_Examinations[],10,FALSE)</f>
        <v>Diabetes</v>
      </c>
      <c r="M786">
        <f>VLOOKUP(A786,Hospitalisation_Details__2[],4,FALSE)</f>
        <v>13217.09</v>
      </c>
      <c r="N786" t="str">
        <f>VLOOKUP(A786,Hospitalisation_Details__2[],5,FALSE)</f>
        <v>tier - 3</v>
      </c>
      <c r="O786" t="str">
        <f>VLOOKUP(A786,Hospitalisation_Details__2[],6,FALSE)</f>
        <v>tier - 1</v>
      </c>
      <c r="P786" t="str">
        <f>VLOOKUP(A786,Hospitalisation_Details__2[],7,FALSE)</f>
        <v>R1024</v>
      </c>
    </row>
    <row r="787" spans="1:16" x14ac:dyDescent="0.35">
      <c r="A787" t="str">
        <v>Id786</v>
      </c>
      <c r="B787" t="str">
        <f>VLOOKUP(A787,'Customer Names (2)'!A:B, 2,FALSE)</f>
        <v>Ms</v>
      </c>
      <c r="C787">
        <f>VLOOKUP(A787,Medical_Examinations[],2,FALSE)</f>
        <v>40.700000000000003</v>
      </c>
      <c r="D787">
        <f>VLOOKUP(A787,Medical_Examinations[],3,FALSE)</f>
        <v>5.42</v>
      </c>
      <c r="E787" t="str">
        <f>VLOOKUP(A787,Medical_Examinations[],4,FALSE)</f>
        <v>No</v>
      </c>
      <c r="F787" t="str">
        <f>VLOOKUP(A787,Medical_Examinations[],5,FALSE)</f>
        <v>No</v>
      </c>
      <c r="G787" t="str">
        <f>VLOOKUP(A787,Medical_Examinations[],6,FALSE)</f>
        <v>No</v>
      </c>
      <c r="H787">
        <f>VLOOKUP(A787,Medical_Examinations[],7,FALSE)</f>
        <v>0</v>
      </c>
      <c r="I787" t="str">
        <f>VLOOKUP(A787,Medical_Examinations[],8,FALSE)</f>
        <v>No</v>
      </c>
      <c r="J787" t="str">
        <f>VLOOKUP(A787,Medical_Examinations[],9,FALSE)</f>
        <v>Obesity</v>
      </c>
      <c r="K787" t="str">
        <f>VLOOKUP(A787,Medical_Examinations[],10,FALSE)</f>
        <v>Normal</v>
      </c>
      <c r="M787">
        <f>VLOOKUP(A787,Hospitalisation_Details__2[],4,FALSE)</f>
        <v>13214.43</v>
      </c>
      <c r="N787" t="str">
        <f>VLOOKUP(A787,Hospitalisation_Details__2[],5,FALSE)</f>
        <v>tier - 3</v>
      </c>
      <c r="O787" t="str">
        <f>VLOOKUP(A787,Hospitalisation_Details__2[],6,FALSE)</f>
        <v>tier - 2</v>
      </c>
      <c r="P787" t="str">
        <f>VLOOKUP(A787,Hospitalisation_Details__2[],7,FALSE)</f>
        <v>R1012</v>
      </c>
    </row>
    <row r="788" spans="1:16" x14ac:dyDescent="0.35">
      <c r="A788" t="str">
        <v>Id787</v>
      </c>
      <c r="B788" t="str">
        <f>VLOOKUP(A788,'Customer Names (2)'!A:B, 2,FALSE)</f>
        <v>Ms</v>
      </c>
      <c r="C788">
        <f>VLOOKUP(A788,Medical_Examinations[],2,FALSE)</f>
        <v>18.335000000000001</v>
      </c>
      <c r="D788">
        <f>VLOOKUP(A788,Medical_Examinations[],3,FALSE)</f>
        <v>10.97</v>
      </c>
      <c r="E788" t="str">
        <f>VLOOKUP(A788,Medical_Examinations[],4,FALSE)</f>
        <v>No</v>
      </c>
      <c r="F788" t="str">
        <f>VLOOKUP(A788,Medical_Examinations[],5,FALSE)</f>
        <v>No</v>
      </c>
      <c r="G788" t="str">
        <f>VLOOKUP(A788,Medical_Examinations[],6,FALSE)</f>
        <v>No</v>
      </c>
      <c r="H788">
        <f>VLOOKUP(A788,Medical_Examinations[],7,FALSE)</f>
        <v>0</v>
      </c>
      <c r="I788" t="str">
        <f>VLOOKUP(A788,Medical_Examinations[],8,FALSE)</f>
        <v>No</v>
      </c>
      <c r="J788" t="str">
        <f>VLOOKUP(A788,Medical_Examinations[],9,FALSE)</f>
        <v>Underweight</v>
      </c>
      <c r="K788" t="str">
        <f>VLOOKUP(A788,Medical_Examinations[],10,FALSE)</f>
        <v>Diabetes</v>
      </c>
      <c r="M788">
        <f>VLOOKUP(A788,Hospitalisation_Details__2[],4,FALSE)</f>
        <v>13204.29</v>
      </c>
      <c r="N788" t="str">
        <f>VLOOKUP(A788,Hospitalisation_Details__2[],5,FALSE)</f>
        <v>tier - 3</v>
      </c>
      <c r="O788" t="str">
        <f>VLOOKUP(A788,Hospitalisation_Details__2[],6,FALSE)</f>
        <v>tier - 1</v>
      </c>
      <c r="P788" t="str">
        <f>VLOOKUP(A788,Hospitalisation_Details__2[],7,FALSE)</f>
        <v>R1024</v>
      </c>
    </row>
    <row r="789" spans="1:16" x14ac:dyDescent="0.35">
      <c r="A789" t="str">
        <v>Id788</v>
      </c>
      <c r="B789" t="str">
        <f>VLOOKUP(A789,'Customer Names (2)'!A:B, 2,FALSE)</f>
        <v>Mr</v>
      </c>
      <c r="C789">
        <f>VLOOKUP(A789,Medical_Examinations[],2,FALSE)</f>
        <v>33.914999999999999</v>
      </c>
      <c r="D789">
        <f>VLOOKUP(A789,Medical_Examinations[],3,FALSE)</f>
        <v>9.56</v>
      </c>
      <c r="E789" t="str">
        <f>VLOOKUP(A789,Medical_Examinations[],4,FALSE)</f>
        <v>Yes</v>
      </c>
      <c r="F789" t="str">
        <f>VLOOKUP(A789,Medical_Examinations[],5,FALSE)</f>
        <v>No</v>
      </c>
      <c r="G789" t="str">
        <f>VLOOKUP(A789,Medical_Examinations[],6,FALSE)</f>
        <v>No</v>
      </c>
      <c r="H789">
        <f>VLOOKUP(A789,Medical_Examinations[],7,FALSE)</f>
        <v>2</v>
      </c>
      <c r="I789" t="str">
        <f>VLOOKUP(A789,Medical_Examinations[],8,FALSE)</f>
        <v>No</v>
      </c>
      <c r="J789" t="str">
        <f>VLOOKUP(A789,Medical_Examinations[],9,FALSE)</f>
        <v>Obesity</v>
      </c>
      <c r="K789" t="str">
        <f>VLOOKUP(A789,Medical_Examinations[],10,FALSE)</f>
        <v>Diabetes</v>
      </c>
      <c r="M789">
        <f>VLOOKUP(A789,Hospitalisation_Details__2[],4,FALSE)</f>
        <v>13143.86</v>
      </c>
      <c r="N789" t="str">
        <f>VLOOKUP(A789,Hospitalisation_Details__2[],5,FALSE)</f>
        <v>tier - 3</v>
      </c>
      <c r="O789" t="str">
        <f>VLOOKUP(A789,Hospitalisation_Details__2[],6,FALSE)</f>
        <v>tier - 2</v>
      </c>
      <c r="P789" t="str">
        <f>VLOOKUP(A789,Hospitalisation_Details__2[],7,FALSE)</f>
        <v>R1016</v>
      </c>
    </row>
    <row r="790" spans="1:16" x14ac:dyDescent="0.35">
      <c r="A790" t="str">
        <v>Id789</v>
      </c>
      <c r="B790" t="str">
        <f>VLOOKUP(A790,'Customer Names (2)'!A:B, 2,FALSE)</f>
        <v>Mr</v>
      </c>
      <c r="C790">
        <f>VLOOKUP(A790,Medical_Examinations[],2,FALSE)</f>
        <v>33.534999999999997</v>
      </c>
      <c r="D790">
        <f>VLOOKUP(A790,Medical_Examinations[],3,FALSE)</f>
        <v>9.4</v>
      </c>
      <c r="E790" t="str">
        <f>VLOOKUP(A790,Medical_Examinations[],4,FALSE)</f>
        <v>Yes</v>
      </c>
      <c r="F790" t="str">
        <f>VLOOKUP(A790,Medical_Examinations[],5,FALSE)</f>
        <v>No</v>
      </c>
      <c r="G790" t="str">
        <f>VLOOKUP(A790,Medical_Examinations[],6,FALSE)</f>
        <v>No</v>
      </c>
      <c r="H790">
        <f>VLOOKUP(A790,Medical_Examinations[],7,FALSE)</f>
        <v>2</v>
      </c>
      <c r="I790" t="str">
        <f>VLOOKUP(A790,Medical_Examinations[],8,FALSE)</f>
        <v>No</v>
      </c>
      <c r="J790" t="str">
        <f>VLOOKUP(A790,Medical_Examinations[],9,FALSE)</f>
        <v>Obesity</v>
      </c>
      <c r="K790" t="str">
        <f>VLOOKUP(A790,Medical_Examinations[],10,FALSE)</f>
        <v>Diabetes</v>
      </c>
      <c r="M790">
        <f>VLOOKUP(A790,Hospitalisation_Details__2[],4,FALSE)</f>
        <v>13143.34</v>
      </c>
      <c r="N790" t="str">
        <f>VLOOKUP(A790,Hospitalisation_Details__2[],5,FALSE)</f>
        <v>tier - 3</v>
      </c>
      <c r="O790" t="str">
        <f>VLOOKUP(A790,Hospitalisation_Details__2[],6,FALSE)</f>
        <v>tier - 2</v>
      </c>
      <c r="P790" t="str">
        <f>VLOOKUP(A790,Hospitalisation_Details__2[],7,FALSE)</f>
        <v>R1020</v>
      </c>
    </row>
    <row r="791" spans="1:16" x14ac:dyDescent="0.35">
      <c r="A791" t="str">
        <v>Id790</v>
      </c>
      <c r="B791" t="str">
        <f>VLOOKUP(A791,'Customer Names (2)'!A:B, 2,FALSE)</f>
        <v>Mr</v>
      </c>
      <c r="C791">
        <f>VLOOKUP(A791,Medical_Examinations[],2,FALSE)</f>
        <v>23.655000000000001</v>
      </c>
      <c r="D791">
        <f>VLOOKUP(A791,Medical_Examinations[],3,FALSE)</f>
        <v>8.48</v>
      </c>
      <c r="E791" t="str">
        <f>VLOOKUP(A791,Medical_Examinations[],4,FALSE)</f>
        <v>Yes</v>
      </c>
      <c r="F791" t="str">
        <f>VLOOKUP(A791,Medical_Examinations[],5,FALSE)</f>
        <v>No</v>
      </c>
      <c r="G791" t="str">
        <f>VLOOKUP(A791,Medical_Examinations[],6,FALSE)</f>
        <v>No</v>
      </c>
      <c r="H791">
        <f>VLOOKUP(A791,Medical_Examinations[],7,FALSE)</f>
        <v>2</v>
      </c>
      <c r="I791" t="str">
        <f>VLOOKUP(A791,Medical_Examinations[],8,FALSE)</f>
        <v>No</v>
      </c>
      <c r="J791" t="str">
        <f>VLOOKUP(A791,Medical_Examinations[],9,FALSE)</f>
        <v>Normal Weight</v>
      </c>
      <c r="K791" t="str">
        <f>VLOOKUP(A791,Medical_Examinations[],10,FALSE)</f>
        <v>Diabetes</v>
      </c>
      <c r="M791">
        <f>VLOOKUP(A791,Hospitalisation_Details__2[],4,FALSE)</f>
        <v>13129.6</v>
      </c>
      <c r="N791" t="str">
        <f>VLOOKUP(A791,Hospitalisation_Details__2[],5,FALSE)</f>
        <v>tier - 3</v>
      </c>
      <c r="O791" t="str">
        <f>VLOOKUP(A791,Hospitalisation_Details__2[],6,FALSE)</f>
        <v>tier - 2</v>
      </c>
      <c r="P791" t="str">
        <f>VLOOKUP(A791,Hospitalisation_Details__2[],7,FALSE)</f>
        <v>R1017</v>
      </c>
    </row>
    <row r="792" spans="1:16" x14ac:dyDescent="0.35">
      <c r="A792" t="str">
        <v>Id791</v>
      </c>
      <c r="B792" t="str">
        <f>VLOOKUP(A792,'Customer Names (2)'!A:B, 2,FALSE)</f>
        <v>Ms</v>
      </c>
      <c r="C792">
        <f>VLOOKUP(A792,Medical_Examinations[],2,FALSE)</f>
        <v>28</v>
      </c>
      <c r="D792">
        <f>VLOOKUP(A792,Medical_Examinations[],3,FALSE)</f>
        <v>5.57</v>
      </c>
      <c r="E792" t="str">
        <f>VLOOKUP(A792,Medical_Examinations[],4,FALSE)</f>
        <v>No</v>
      </c>
      <c r="F792" t="str">
        <f>VLOOKUP(A792,Medical_Examinations[],5,FALSE)</f>
        <v>No</v>
      </c>
      <c r="G792" t="str">
        <f>VLOOKUP(A792,Medical_Examinations[],6,FALSE)</f>
        <v>No</v>
      </c>
      <c r="H792">
        <f>VLOOKUP(A792,Medical_Examinations[],7,FALSE)</f>
        <v>0</v>
      </c>
      <c r="I792" t="str">
        <f>VLOOKUP(A792,Medical_Examinations[],8,FALSE)</f>
        <v>No</v>
      </c>
      <c r="J792" t="str">
        <f>VLOOKUP(A792,Medical_Examinations[],9,FALSE)</f>
        <v>Overweight</v>
      </c>
      <c r="K792" t="str">
        <f>VLOOKUP(A792,Medical_Examinations[],10,FALSE)</f>
        <v>Normal</v>
      </c>
      <c r="M792">
        <f>VLOOKUP(A792,Hospitalisation_Details__2[],4,FALSE)</f>
        <v>13126.68</v>
      </c>
      <c r="N792" t="str">
        <f>VLOOKUP(A792,Hospitalisation_Details__2[],5,FALSE)</f>
        <v>tier - 3</v>
      </c>
      <c r="O792" t="str">
        <f>VLOOKUP(A792,Hospitalisation_Details__2[],6,FALSE)</f>
        <v>tier - 3</v>
      </c>
      <c r="P792" t="str">
        <f>VLOOKUP(A792,Hospitalisation_Details__2[],7,FALSE)</f>
        <v>R1011</v>
      </c>
    </row>
    <row r="793" spans="1:16" x14ac:dyDescent="0.35">
      <c r="A793" t="str">
        <v>Id792</v>
      </c>
      <c r="B793" t="str">
        <f>VLOOKUP(A793,'Customer Names (2)'!A:B, 2,FALSE)</f>
        <v>Ms</v>
      </c>
      <c r="C793">
        <f>VLOOKUP(A793,Medical_Examinations[],2,FALSE)</f>
        <v>30.23</v>
      </c>
      <c r="D793">
        <f>VLOOKUP(A793,Medical_Examinations[],3,FALSE)</f>
        <v>6.94</v>
      </c>
      <c r="E793" t="str">
        <f>VLOOKUP(A793,Medical_Examinations[],4,FALSE)</f>
        <v>Yes</v>
      </c>
      <c r="F793" t="str">
        <f>VLOOKUP(A793,Medical_Examinations[],5,FALSE)</f>
        <v>No</v>
      </c>
      <c r="G793" t="str">
        <f>VLOOKUP(A793,Medical_Examinations[],6,FALSE)</f>
        <v>Yes</v>
      </c>
      <c r="H793">
        <f>VLOOKUP(A793,Medical_Examinations[],7,FALSE)</f>
        <v>1</v>
      </c>
      <c r="I793" t="str">
        <f>VLOOKUP(A793,Medical_Examinations[],8,FALSE)</f>
        <v>No</v>
      </c>
      <c r="J793" t="str">
        <f>VLOOKUP(A793,Medical_Examinations[],9,FALSE)</f>
        <v>Obesity</v>
      </c>
      <c r="K793" t="str">
        <f>VLOOKUP(A793,Medical_Examinations[],10,FALSE)</f>
        <v>Diabetes</v>
      </c>
      <c r="M793">
        <f>VLOOKUP(A793,Hospitalisation_Details__2[],4,FALSE)</f>
        <v>13116.84</v>
      </c>
      <c r="N793" t="str">
        <f>VLOOKUP(A793,Hospitalisation_Details__2[],5,FALSE)</f>
        <v>tier - 3</v>
      </c>
      <c r="O793" t="str">
        <f>VLOOKUP(A793,Hospitalisation_Details__2[],6,FALSE)</f>
        <v>tier - 1</v>
      </c>
      <c r="P793" t="str">
        <f>VLOOKUP(A793,Hospitalisation_Details__2[],7,FALSE)</f>
        <v>R1012</v>
      </c>
    </row>
    <row r="794" spans="1:16" x14ac:dyDescent="0.35">
      <c r="A794" t="str">
        <v>Id793</v>
      </c>
      <c r="B794" t="str">
        <f>VLOOKUP(A794,'Customer Names (2)'!A:B, 2,FALSE)</f>
        <v>Mrs</v>
      </c>
      <c r="C794">
        <f>VLOOKUP(A794,Medical_Examinations[],2,FALSE)</f>
        <v>51.14</v>
      </c>
      <c r="D794">
        <f>VLOOKUP(A794,Medical_Examinations[],3,FALSE)</f>
        <v>4.05</v>
      </c>
      <c r="E794" t="str">
        <f>VLOOKUP(A794,Medical_Examinations[],4,FALSE)</f>
        <v>No</v>
      </c>
      <c r="F794" t="str">
        <f>VLOOKUP(A794,Medical_Examinations[],5,FALSE)</f>
        <v>No</v>
      </c>
      <c r="G794" t="str">
        <f>VLOOKUP(A794,Medical_Examinations[],6,FALSE)</f>
        <v>No</v>
      </c>
      <c r="H794">
        <f>VLOOKUP(A794,Medical_Examinations[],7,FALSE)</f>
        <v>1</v>
      </c>
      <c r="I794" t="str">
        <f>VLOOKUP(A794,Medical_Examinations[],8,FALSE)</f>
        <v>No</v>
      </c>
      <c r="J794" t="str">
        <f>VLOOKUP(A794,Medical_Examinations[],9,FALSE)</f>
        <v>Obesity</v>
      </c>
      <c r="K794" t="str">
        <f>VLOOKUP(A794,Medical_Examinations[],10,FALSE)</f>
        <v>Normal</v>
      </c>
      <c r="M794">
        <f>VLOOKUP(A794,Hospitalisation_Details__2[],4,FALSE)</f>
        <v>13113.51</v>
      </c>
      <c r="N794" t="str">
        <f>VLOOKUP(A794,Hospitalisation_Details__2[],5,FALSE)</f>
        <v>tier - 3</v>
      </c>
      <c r="O794" t="str">
        <f>VLOOKUP(A794,Hospitalisation_Details__2[],6,FALSE)</f>
        <v>tier - 2</v>
      </c>
      <c r="P794" t="str">
        <f>VLOOKUP(A794,Hospitalisation_Details__2[],7,FALSE)</f>
        <v>R1026</v>
      </c>
    </row>
    <row r="795" spans="1:16" x14ac:dyDescent="0.35">
      <c r="A795" t="str">
        <v>Id794</v>
      </c>
      <c r="B795" t="str">
        <f>VLOOKUP(A795,'Customer Names (2)'!A:B, 2,FALSE)</f>
        <v>Mr</v>
      </c>
      <c r="C795">
        <f>VLOOKUP(A795,Medical_Examinations[],2,FALSE)</f>
        <v>24.32</v>
      </c>
      <c r="D795">
        <f>VLOOKUP(A795,Medical_Examinations[],3,FALSE)</f>
        <v>10.220000000000001</v>
      </c>
      <c r="E795" t="str">
        <f>VLOOKUP(A795,Medical_Examinations[],4,FALSE)</f>
        <v>No</v>
      </c>
      <c r="F795" t="str">
        <f>VLOOKUP(A795,Medical_Examinations[],5,FALSE)</f>
        <v>No</v>
      </c>
      <c r="G795" t="str">
        <f>VLOOKUP(A795,Medical_Examinations[],6,FALSE)</f>
        <v>No</v>
      </c>
      <c r="H795">
        <f>VLOOKUP(A795,Medical_Examinations[],7,FALSE)</f>
        <v>0</v>
      </c>
      <c r="I795" t="str">
        <f>VLOOKUP(A795,Medical_Examinations[],8,FALSE)</f>
        <v>No</v>
      </c>
      <c r="J795" t="str">
        <f>VLOOKUP(A795,Medical_Examinations[],9,FALSE)</f>
        <v>Normal Weight</v>
      </c>
      <c r="K795" t="str">
        <f>VLOOKUP(A795,Medical_Examinations[],10,FALSE)</f>
        <v>Diabetes</v>
      </c>
      <c r="M795">
        <f>VLOOKUP(A795,Hospitalisation_Details__2[],4,FALSE)</f>
        <v>13112.6</v>
      </c>
      <c r="N795" t="str">
        <f>VLOOKUP(A795,Hospitalisation_Details__2[],5,FALSE)</f>
        <v>tier - 3</v>
      </c>
      <c r="O795" t="str">
        <f>VLOOKUP(A795,Hospitalisation_Details__2[],6,FALSE)</f>
        <v>tier - 3</v>
      </c>
      <c r="P795" t="str">
        <f>VLOOKUP(A795,Hospitalisation_Details__2[],7,FALSE)</f>
        <v>R1012</v>
      </c>
    </row>
    <row r="796" spans="1:16" x14ac:dyDescent="0.35">
      <c r="A796" t="str">
        <v>Id795</v>
      </c>
      <c r="B796" t="str">
        <f>VLOOKUP(A796,'Customer Names (2)'!A:B, 2,FALSE)</f>
        <v>Ms</v>
      </c>
      <c r="C796">
        <f>VLOOKUP(A796,Medical_Examinations[],2,FALSE)</f>
        <v>38.06</v>
      </c>
      <c r="D796">
        <f>VLOOKUP(A796,Medical_Examinations[],3,FALSE)</f>
        <v>9.24</v>
      </c>
      <c r="E796" t="str">
        <f>VLOOKUP(A796,Medical_Examinations[],4,FALSE)</f>
        <v>No</v>
      </c>
      <c r="F796" t="str">
        <f>VLOOKUP(A796,Medical_Examinations[],5,FALSE)</f>
        <v>No</v>
      </c>
      <c r="G796" t="str">
        <f>VLOOKUP(A796,Medical_Examinations[],6,FALSE)</f>
        <v>No</v>
      </c>
      <c r="H796">
        <f>VLOOKUP(A796,Medical_Examinations[],7,FALSE)</f>
        <v>0</v>
      </c>
      <c r="I796" t="str">
        <f>VLOOKUP(A796,Medical_Examinations[],8,FALSE)</f>
        <v>No</v>
      </c>
      <c r="J796" t="str">
        <f>VLOOKUP(A796,Medical_Examinations[],9,FALSE)</f>
        <v>Obesity</v>
      </c>
      <c r="K796" t="str">
        <f>VLOOKUP(A796,Medical_Examinations[],10,FALSE)</f>
        <v>Diabetes</v>
      </c>
      <c r="M796">
        <f>VLOOKUP(A796,Hospitalisation_Details__2[],4,FALSE)</f>
        <v>13110.79</v>
      </c>
      <c r="N796" t="str">
        <f>VLOOKUP(A796,Hospitalisation_Details__2[],5,FALSE)</f>
        <v>tier - 3</v>
      </c>
      <c r="O796" t="str">
        <f>VLOOKUP(A796,Hospitalisation_Details__2[],6,FALSE)</f>
        <v>tier - 2</v>
      </c>
      <c r="P796" t="str">
        <f>VLOOKUP(A796,Hospitalisation_Details__2[],7,FALSE)</f>
        <v>R1011</v>
      </c>
    </row>
    <row r="797" spans="1:16" x14ac:dyDescent="0.35">
      <c r="A797" t="str">
        <v>Id796</v>
      </c>
      <c r="B797" t="str">
        <f>VLOOKUP(A797,'Customer Names (2)'!A:B, 2,FALSE)</f>
        <v>Mrs</v>
      </c>
      <c r="C797">
        <f>VLOOKUP(A797,Medical_Examinations[],2,FALSE)</f>
        <v>37.700000000000003</v>
      </c>
      <c r="D797">
        <f>VLOOKUP(A797,Medical_Examinations[],3,FALSE)</f>
        <v>8.6</v>
      </c>
      <c r="E797" t="str">
        <f>VLOOKUP(A797,Medical_Examinations[],4,FALSE)</f>
        <v>No</v>
      </c>
      <c r="F797" t="str">
        <f>VLOOKUP(A797,Medical_Examinations[],5,FALSE)</f>
        <v>No</v>
      </c>
      <c r="G797" t="str">
        <f>VLOOKUP(A797,Medical_Examinations[],6,FALSE)</f>
        <v>No</v>
      </c>
      <c r="H797">
        <f>VLOOKUP(A797,Medical_Examinations[],7,FALSE)</f>
        <v>0</v>
      </c>
      <c r="I797" t="str">
        <f>VLOOKUP(A797,Medical_Examinations[],8,FALSE)</f>
        <v>No</v>
      </c>
      <c r="J797" t="str">
        <f>VLOOKUP(A797,Medical_Examinations[],9,FALSE)</f>
        <v>Obesity</v>
      </c>
      <c r="K797" t="str">
        <f>VLOOKUP(A797,Medical_Examinations[],10,FALSE)</f>
        <v>Diabetes</v>
      </c>
      <c r="M797">
        <f>VLOOKUP(A797,Hospitalisation_Details__2[],4,FALSE)</f>
        <v>13101.74</v>
      </c>
      <c r="N797" t="str">
        <f>VLOOKUP(A797,Hospitalisation_Details__2[],5,FALSE)</f>
        <v>tier - 3</v>
      </c>
      <c r="O797" t="str">
        <f>VLOOKUP(A797,Hospitalisation_Details__2[],6,FALSE)</f>
        <v>tier - 2</v>
      </c>
      <c r="P797" t="str">
        <f>VLOOKUP(A797,Hospitalisation_Details__2[],7,FALSE)</f>
        <v>R1026</v>
      </c>
    </row>
    <row r="798" spans="1:16" x14ac:dyDescent="0.35">
      <c r="A798" t="str">
        <v>Id797</v>
      </c>
      <c r="B798" t="str">
        <f>VLOOKUP(A798,'Customer Names (2)'!A:B, 2,FALSE)</f>
        <v>Ms</v>
      </c>
      <c r="C798">
        <f>VLOOKUP(A798,Medical_Examinations[],2,FALSE)</f>
        <v>44</v>
      </c>
      <c r="D798">
        <f>VLOOKUP(A798,Medical_Examinations[],3,FALSE)</f>
        <v>9.32</v>
      </c>
      <c r="E798" t="str">
        <f>VLOOKUP(A798,Medical_Examinations[],4,FALSE)</f>
        <v>Yes</v>
      </c>
      <c r="F798" t="str">
        <f>VLOOKUP(A798,Medical_Examinations[],5,FALSE)</f>
        <v>No</v>
      </c>
      <c r="G798" t="str">
        <f>VLOOKUP(A798,Medical_Examinations[],6,FALSE)</f>
        <v>No</v>
      </c>
      <c r="H798">
        <f>VLOOKUP(A798,Medical_Examinations[],7,FALSE)</f>
        <v>2</v>
      </c>
      <c r="I798" t="str">
        <f>VLOOKUP(A798,Medical_Examinations[],8,FALSE)</f>
        <v>No</v>
      </c>
      <c r="J798" t="str">
        <f>VLOOKUP(A798,Medical_Examinations[],9,FALSE)</f>
        <v>Obesity</v>
      </c>
      <c r="K798" t="str">
        <f>VLOOKUP(A798,Medical_Examinations[],10,FALSE)</f>
        <v>Diabetes</v>
      </c>
      <c r="M798">
        <f>VLOOKUP(A798,Hospitalisation_Details__2[],4,FALSE)</f>
        <v>13063.88</v>
      </c>
      <c r="N798" t="str">
        <f>VLOOKUP(A798,Hospitalisation_Details__2[],5,FALSE)</f>
        <v>tier - 3</v>
      </c>
      <c r="O798" t="str">
        <f>VLOOKUP(A798,Hospitalisation_Details__2[],6,FALSE)</f>
        <v>tier - 2</v>
      </c>
      <c r="P798" t="str">
        <f>VLOOKUP(A798,Hospitalisation_Details__2[],7,FALSE)</f>
        <v>R1011</v>
      </c>
    </row>
    <row r="799" spans="1:16" x14ac:dyDescent="0.35">
      <c r="A799" t="str">
        <v>Id798</v>
      </c>
      <c r="B799" t="str">
        <f>VLOOKUP(A799,'Customer Names (2)'!A:B, 2,FALSE)</f>
        <v>Mrs</v>
      </c>
      <c r="C799">
        <f>VLOOKUP(A799,Medical_Examinations[],2,FALSE)</f>
        <v>41.45</v>
      </c>
      <c r="D799">
        <f>VLOOKUP(A799,Medical_Examinations[],3,FALSE)</f>
        <v>6.12</v>
      </c>
      <c r="E799" t="str">
        <f>VLOOKUP(A799,Medical_Examinations[],4,FALSE)</f>
        <v>Yes</v>
      </c>
      <c r="F799" t="str">
        <f>VLOOKUP(A799,Medical_Examinations[],5,FALSE)</f>
        <v>No</v>
      </c>
      <c r="G799" t="str">
        <f>VLOOKUP(A799,Medical_Examinations[],6,FALSE)</f>
        <v>No</v>
      </c>
      <c r="H799">
        <f>VLOOKUP(A799,Medical_Examinations[],7,FALSE)</f>
        <v>0</v>
      </c>
      <c r="I799" t="str">
        <f>VLOOKUP(A799,Medical_Examinations[],8,FALSE)</f>
        <v>No</v>
      </c>
      <c r="J799" t="str">
        <f>VLOOKUP(A799,Medical_Examinations[],9,FALSE)</f>
        <v>Obesity</v>
      </c>
      <c r="K799" t="str">
        <f>VLOOKUP(A799,Medical_Examinations[],10,FALSE)</f>
        <v>Prediabetes</v>
      </c>
      <c r="M799">
        <f>VLOOKUP(A799,Hospitalisation_Details__2[],4,FALSE)</f>
        <v>13051.22</v>
      </c>
      <c r="N799" t="str">
        <f>VLOOKUP(A799,Hospitalisation_Details__2[],5,FALSE)</f>
        <v>tier - 3</v>
      </c>
      <c r="O799" t="str">
        <f>VLOOKUP(A799,Hospitalisation_Details__2[],6,FALSE)</f>
        <v>tier - 1</v>
      </c>
      <c r="P799" t="str">
        <f>VLOOKUP(A799,Hospitalisation_Details__2[],7,FALSE)</f>
        <v>R1026</v>
      </c>
    </row>
    <row r="800" spans="1:16" x14ac:dyDescent="0.35">
      <c r="A800" t="str">
        <v>Id799</v>
      </c>
      <c r="B800" t="str">
        <f>VLOOKUP(A800,'Customer Names (2)'!A:B, 2,FALSE)</f>
        <v>Ms</v>
      </c>
      <c r="C800">
        <f>VLOOKUP(A800,Medical_Examinations[],2,FALSE)</f>
        <v>25.364999999999998</v>
      </c>
      <c r="D800">
        <f>VLOOKUP(A800,Medical_Examinations[],3,FALSE)</f>
        <v>9.19</v>
      </c>
      <c r="E800" t="str">
        <f>VLOOKUP(A800,Medical_Examinations[],4,FALSE)</f>
        <v>Yes</v>
      </c>
      <c r="F800" t="str">
        <f>VLOOKUP(A800,Medical_Examinations[],5,FALSE)</f>
        <v>No</v>
      </c>
      <c r="G800" t="str">
        <f>VLOOKUP(A800,Medical_Examinations[],6,FALSE)</f>
        <v>No</v>
      </c>
      <c r="H800">
        <f>VLOOKUP(A800,Medical_Examinations[],7,FALSE)</f>
        <v>0</v>
      </c>
      <c r="I800" t="str">
        <f>VLOOKUP(A800,Medical_Examinations[],8,FALSE)</f>
        <v>No</v>
      </c>
      <c r="J800" t="str">
        <f>VLOOKUP(A800,Medical_Examinations[],9,FALSE)</f>
        <v>Overweight</v>
      </c>
      <c r="K800" t="str">
        <f>VLOOKUP(A800,Medical_Examinations[],10,FALSE)</f>
        <v>Diabetes</v>
      </c>
      <c r="M800">
        <f>VLOOKUP(A800,Hospitalisation_Details__2[],4,FALSE)</f>
        <v>13047.33</v>
      </c>
      <c r="N800" t="str">
        <f>VLOOKUP(A800,Hospitalisation_Details__2[],5,FALSE)</f>
        <v>tier - 3</v>
      </c>
      <c r="O800" t="str">
        <f>VLOOKUP(A800,Hospitalisation_Details__2[],6,FALSE)</f>
        <v>tier - 3</v>
      </c>
      <c r="P800" t="str">
        <f>VLOOKUP(A800,Hospitalisation_Details__2[],7,FALSE)</f>
        <v>R1024</v>
      </c>
    </row>
    <row r="801" spans="1:16" x14ac:dyDescent="0.35">
      <c r="A801" t="str">
        <v>Id800</v>
      </c>
      <c r="B801" t="str">
        <f>VLOOKUP(A801,'Customer Names (2)'!A:B, 2,FALSE)</f>
        <v>Ms</v>
      </c>
      <c r="C801">
        <f>VLOOKUP(A801,Medical_Examinations[],2,FALSE)</f>
        <v>34.56</v>
      </c>
      <c r="D801">
        <f>VLOOKUP(A801,Medical_Examinations[],3,FALSE)</f>
        <v>5.84</v>
      </c>
      <c r="E801" t="str">
        <f>VLOOKUP(A801,Medical_Examinations[],4,FALSE)</f>
        <v>Yes</v>
      </c>
      <c r="F801" t="str">
        <f>VLOOKUP(A801,Medical_Examinations[],5,FALSE)</f>
        <v>No</v>
      </c>
      <c r="G801" t="str">
        <f>VLOOKUP(A801,Medical_Examinations[],6,FALSE)</f>
        <v>Yes</v>
      </c>
      <c r="H801">
        <f>VLOOKUP(A801,Medical_Examinations[],7,FALSE)</f>
        <v>1</v>
      </c>
      <c r="I801" t="str">
        <f>VLOOKUP(A801,Medical_Examinations[],8,FALSE)</f>
        <v>No</v>
      </c>
      <c r="J801" t="str">
        <f>VLOOKUP(A801,Medical_Examinations[],9,FALSE)</f>
        <v>Obesity</v>
      </c>
      <c r="K801" t="str">
        <f>VLOOKUP(A801,Medical_Examinations[],10,FALSE)</f>
        <v>Prediabetes</v>
      </c>
      <c r="M801">
        <f>VLOOKUP(A801,Hospitalisation_Details__2[],4,FALSE)</f>
        <v>13044.41</v>
      </c>
      <c r="N801" t="str">
        <f>VLOOKUP(A801,Hospitalisation_Details__2[],5,FALSE)</f>
        <v>tier - 3</v>
      </c>
      <c r="O801" t="str">
        <f>VLOOKUP(A801,Hospitalisation_Details__2[],6,FALSE)</f>
        <v>tier - 1</v>
      </c>
      <c r="P801" t="str">
        <f>VLOOKUP(A801,Hospitalisation_Details__2[],7,FALSE)</f>
        <v>R1012</v>
      </c>
    </row>
    <row r="802" spans="1:16" x14ac:dyDescent="0.35">
      <c r="A802" t="str">
        <v>Id801</v>
      </c>
      <c r="B802" t="str">
        <f>VLOOKUP(A802,'Customer Names (2)'!A:B, 2,FALSE)</f>
        <v>Ms</v>
      </c>
      <c r="C802">
        <f>VLOOKUP(A802,Medical_Examinations[],2,FALSE)</f>
        <v>28.2</v>
      </c>
      <c r="D802">
        <f>VLOOKUP(A802,Medical_Examinations[],3,FALSE)</f>
        <v>7.19</v>
      </c>
      <c r="E802" t="str">
        <f>VLOOKUP(A802,Medical_Examinations[],4,FALSE)</f>
        <v>Yes</v>
      </c>
      <c r="F802" t="str">
        <f>VLOOKUP(A802,Medical_Examinations[],5,FALSE)</f>
        <v>No</v>
      </c>
      <c r="G802" t="str">
        <f>VLOOKUP(A802,Medical_Examinations[],6,FALSE)</f>
        <v>No</v>
      </c>
      <c r="H802">
        <f>VLOOKUP(A802,Medical_Examinations[],7,FALSE)</f>
        <v>2</v>
      </c>
      <c r="I802" t="str">
        <f>VLOOKUP(A802,Medical_Examinations[],8,FALSE)</f>
        <v>No</v>
      </c>
      <c r="J802" t="str">
        <f>VLOOKUP(A802,Medical_Examinations[],9,FALSE)</f>
        <v>Overweight</v>
      </c>
      <c r="K802" t="str">
        <f>VLOOKUP(A802,Medical_Examinations[],10,FALSE)</f>
        <v>Diabetes</v>
      </c>
      <c r="M802">
        <f>VLOOKUP(A802,Hospitalisation_Details__2[],4,FALSE)</f>
        <v>13041.92</v>
      </c>
      <c r="N802" t="str">
        <f>VLOOKUP(A802,Hospitalisation_Details__2[],5,FALSE)</f>
        <v>tier - 3</v>
      </c>
      <c r="O802" t="str">
        <f>VLOOKUP(A802,Hospitalisation_Details__2[],6,FALSE)</f>
        <v>tier - 1</v>
      </c>
      <c r="P802" t="str">
        <f>VLOOKUP(A802,Hospitalisation_Details__2[],7,FALSE)</f>
        <v>R1011</v>
      </c>
    </row>
    <row r="803" spans="1:16" x14ac:dyDescent="0.35">
      <c r="A803" t="str">
        <v>Id802</v>
      </c>
      <c r="B803" t="str">
        <f>VLOOKUP(A803,'Customer Names (2)'!A:B, 2,FALSE)</f>
        <v>Mrs</v>
      </c>
      <c r="C803">
        <f>VLOOKUP(A803,Medical_Examinations[],2,FALSE)</f>
        <v>30.43</v>
      </c>
      <c r="D803">
        <f>VLOOKUP(A803,Medical_Examinations[],3,FALSE)</f>
        <v>9.39</v>
      </c>
      <c r="E803" t="str">
        <f>VLOOKUP(A803,Medical_Examinations[],4,FALSE)</f>
        <v>No</v>
      </c>
      <c r="F803" t="str">
        <f>VLOOKUP(A803,Medical_Examinations[],5,FALSE)</f>
        <v>No</v>
      </c>
      <c r="G803" t="str">
        <f>VLOOKUP(A803,Medical_Examinations[],6,FALSE)</f>
        <v>No</v>
      </c>
      <c r="H803">
        <f>VLOOKUP(A803,Medical_Examinations[],7,FALSE)</f>
        <v>0</v>
      </c>
      <c r="I803" t="str">
        <f>VLOOKUP(A803,Medical_Examinations[],8,FALSE)</f>
        <v>No</v>
      </c>
      <c r="J803" t="str">
        <f>VLOOKUP(A803,Medical_Examinations[],9,FALSE)</f>
        <v>Obesity</v>
      </c>
      <c r="K803" t="str">
        <f>VLOOKUP(A803,Medical_Examinations[],10,FALSE)</f>
        <v>Diabetes</v>
      </c>
      <c r="M803">
        <f>VLOOKUP(A803,Hospitalisation_Details__2[],4,FALSE)</f>
        <v>13023.93</v>
      </c>
      <c r="N803" t="str">
        <f>VLOOKUP(A803,Hospitalisation_Details__2[],5,FALSE)</f>
        <v>tier - 3</v>
      </c>
      <c r="O803" t="str">
        <f>VLOOKUP(A803,Hospitalisation_Details__2[],6,FALSE)</f>
        <v>tier - 2</v>
      </c>
      <c r="P803" t="str">
        <f>VLOOKUP(A803,Hospitalisation_Details__2[],7,FALSE)</f>
        <v>R1025</v>
      </c>
    </row>
    <row r="804" spans="1:16" x14ac:dyDescent="0.35">
      <c r="A804" t="str">
        <v>Id803</v>
      </c>
      <c r="B804" t="str">
        <f>VLOOKUP(A804,'Customer Names (2)'!A:B, 2,FALSE)</f>
        <v>Ms</v>
      </c>
      <c r="C804">
        <f>VLOOKUP(A804,Medical_Examinations[],2,FALSE)</f>
        <v>32.395000000000003</v>
      </c>
      <c r="D804">
        <f>VLOOKUP(A804,Medical_Examinations[],3,FALSE)</f>
        <v>4.2699999999999996</v>
      </c>
      <c r="E804" t="str">
        <f>VLOOKUP(A804,Medical_Examinations[],4,FALSE)</f>
        <v>Yes</v>
      </c>
      <c r="F804" t="str">
        <f>VLOOKUP(A804,Medical_Examinations[],5,FALSE)</f>
        <v>No</v>
      </c>
      <c r="G804" t="str">
        <f>VLOOKUP(A804,Medical_Examinations[],6,FALSE)</f>
        <v>No</v>
      </c>
      <c r="H804">
        <f>VLOOKUP(A804,Medical_Examinations[],7,FALSE)</f>
        <v>1</v>
      </c>
      <c r="I804" t="str">
        <f>VLOOKUP(A804,Medical_Examinations[],8,FALSE)</f>
        <v>No</v>
      </c>
      <c r="J804" t="str">
        <f>VLOOKUP(A804,Medical_Examinations[],9,FALSE)</f>
        <v>Obesity</v>
      </c>
      <c r="K804" t="str">
        <f>VLOOKUP(A804,Medical_Examinations[],10,FALSE)</f>
        <v>Normal</v>
      </c>
      <c r="M804">
        <f>VLOOKUP(A804,Hospitalisation_Details__2[],4,FALSE)</f>
        <v>13019.16</v>
      </c>
      <c r="N804" t="str">
        <f>VLOOKUP(A804,Hospitalisation_Details__2[],5,FALSE)</f>
        <v>tier - 3</v>
      </c>
      <c r="O804" t="str">
        <f>VLOOKUP(A804,Hospitalisation_Details__2[],6,FALSE)</f>
        <v>tier - 1</v>
      </c>
      <c r="P804" t="str">
        <f>VLOOKUP(A804,Hospitalisation_Details__2[],7,FALSE)</f>
        <v>R1024</v>
      </c>
    </row>
    <row r="805" spans="1:16" x14ac:dyDescent="0.35">
      <c r="A805" t="str">
        <v>Id804</v>
      </c>
      <c r="B805" t="str">
        <f>VLOOKUP(A805,'Customer Names (2)'!A:B, 2,FALSE)</f>
        <v>Ms</v>
      </c>
      <c r="C805">
        <f>VLOOKUP(A805,Medical_Examinations[],2,FALSE)</f>
        <v>24.035</v>
      </c>
      <c r="D805">
        <f>VLOOKUP(A805,Medical_Examinations[],3,FALSE)</f>
        <v>11.71</v>
      </c>
      <c r="E805" t="str">
        <f>VLOOKUP(A805,Medical_Examinations[],4,FALSE)</f>
        <v>No</v>
      </c>
      <c r="F805" t="str">
        <f>VLOOKUP(A805,Medical_Examinations[],5,FALSE)</f>
        <v>No</v>
      </c>
      <c r="G805" t="str">
        <f>VLOOKUP(A805,Medical_Examinations[],6,FALSE)</f>
        <v>No</v>
      </c>
      <c r="H805">
        <f>VLOOKUP(A805,Medical_Examinations[],7,FALSE)</f>
        <v>0</v>
      </c>
      <c r="I805" t="str">
        <f>VLOOKUP(A805,Medical_Examinations[],8,FALSE)</f>
        <v>No</v>
      </c>
      <c r="J805" t="str">
        <f>VLOOKUP(A805,Medical_Examinations[],9,FALSE)</f>
        <v>Normal Weight</v>
      </c>
      <c r="K805" t="str">
        <f>VLOOKUP(A805,Medical_Examinations[],10,FALSE)</f>
        <v>Diabetes</v>
      </c>
      <c r="M805">
        <f>VLOOKUP(A805,Hospitalisation_Details__2[],4,FALSE)</f>
        <v>13012.21</v>
      </c>
      <c r="N805" t="str">
        <f>VLOOKUP(A805,Hospitalisation_Details__2[],5,FALSE)</f>
        <v>tier - 3</v>
      </c>
      <c r="O805" t="str">
        <f>VLOOKUP(A805,Hospitalisation_Details__2[],6,FALSE)</f>
        <v>tier - 1</v>
      </c>
      <c r="P805" t="str">
        <f>VLOOKUP(A805,Hospitalisation_Details__2[],7,FALSE)</f>
        <v>R1012</v>
      </c>
    </row>
    <row r="806" spans="1:16" x14ac:dyDescent="0.35">
      <c r="A806" t="str">
        <v>Id805</v>
      </c>
      <c r="B806" t="str">
        <f>VLOOKUP(A806,'Customer Names (2)'!A:B, 2,FALSE)</f>
        <v>Mr</v>
      </c>
      <c r="C806">
        <f>VLOOKUP(A806,Medical_Examinations[],2,FALSE)</f>
        <v>37.119999999999997</v>
      </c>
      <c r="D806">
        <f>VLOOKUP(A806,Medical_Examinations[],3,FALSE)</f>
        <v>5.29</v>
      </c>
      <c r="E806" t="str">
        <f>VLOOKUP(A806,Medical_Examinations[],4,FALSE)</f>
        <v>No</v>
      </c>
      <c r="F806" t="str">
        <f>VLOOKUP(A806,Medical_Examinations[],5,FALSE)</f>
        <v>No</v>
      </c>
      <c r="G806" t="str">
        <f>VLOOKUP(A806,Medical_Examinations[],6,FALSE)</f>
        <v>No</v>
      </c>
      <c r="H806">
        <f>VLOOKUP(A806,Medical_Examinations[],7,FALSE)</f>
        <v>2</v>
      </c>
      <c r="I806" t="str">
        <f>VLOOKUP(A806,Medical_Examinations[],8,FALSE)</f>
        <v>No</v>
      </c>
      <c r="J806" t="str">
        <f>VLOOKUP(A806,Medical_Examinations[],9,FALSE)</f>
        <v>Obesity</v>
      </c>
      <c r="K806" t="str">
        <f>VLOOKUP(A806,Medical_Examinations[],10,FALSE)</f>
        <v>Normal</v>
      </c>
      <c r="M806">
        <f>VLOOKUP(A806,Hospitalisation_Details__2[],4,FALSE)</f>
        <v>13010.86</v>
      </c>
      <c r="N806" t="str">
        <f>VLOOKUP(A806,Hospitalisation_Details__2[],5,FALSE)</f>
        <v>tier - 3</v>
      </c>
      <c r="O806" t="str">
        <f>VLOOKUP(A806,Hospitalisation_Details__2[],6,FALSE)</f>
        <v>tier - 2</v>
      </c>
      <c r="P806" t="str">
        <f>VLOOKUP(A806,Hospitalisation_Details__2[],7,FALSE)</f>
        <v>R1012</v>
      </c>
    </row>
    <row r="807" spans="1:16" x14ac:dyDescent="0.35">
      <c r="A807" t="str">
        <v>Id806</v>
      </c>
      <c r="B807" t="str">
        <f>VLOOKUP(A807,'Customer Names (2)'!A:B, 2,FALSE)</f>
        <v>Mr</v>
      </c>
      <c r="C807">
        <f>VLOOKUP(A807,Medical_Examinations[],2,FALSE)</f>
        <v>34.840000000000003</v>
      </c>
      <c r="D807">
        <f>VLOOKUP(A807,Medical_Examinations[],3,FALSE)</f>
        <v>6</v>
      </c>
      <c r="E807" t="str">
        <f>VLOOKUP(A807,Medical_Examinations[],4,FALSE)</f>
        <v>Yes</v>
      </c>
      <c r="F807" t="str">
        <f>VLOOKUP(A807,Medical_Examinations[],5,FALSE)</f>
        <v>No</v>
      </c>
      <c r="G807" t="str">
        <f>VLOOKUP(A807,Medical_Examinations[],6,FALSE)</f>
        <v>Yes</v>
      </c>
      <c r="H807">
        <f>VLOOKUP(A807,Medical_Examinations[],7,FALSE)</f>
        <v>1</v>
      </c>
      <c r="I807" t="str">
        <f>VLOOKUP(A807,Medical_Examinations[],8,FALSE)</f>
        <v>No</v>
      </c>
      <c r="J807" t="str">
        <f>VLOOKUP(A807,Medical_Examinations[],9,FALSE)</f>
        <v>Obesity</v>
      </c>
      <c r="K807" t="str">
        <f>VLOOKUP(A807,Medical_Examinations[],10,FALSE)</f>
        <v>Prediabetes</v>
      </c>
      <c r="M807">
        <f>VLOOKUP(A807,Hospitalisation_Details__2[],4,FALSE)</f>
        <v>13008.07</v>
      </c>
      <c r="N807" t="str">
        <f>VLOOKUP(A807,Hospitalisation_Details__2[],5,FALSE)</f>
        <v>tier - 3</v>
      </c>
      <c r="O807" t="str">
        <f>VLOOKUP(A807,Hospitalisation_Details__2[],6,FALSE)</f>
        <v>tier - 3</v>
      </c>
      <c r="P807" t="str">
        <f>VLOOKUP(A807,Hospitalisation_Details__2[],7,FALSE)</f>
        <v>R1012</v>
      </c>
    </row>
    <row r="808" spans="1:16" x14ac:dyDescent="0.35">
      <c r="A808" t="str">
        <v>Id807</v>
      </c>
      <c r="B808" t="str">
        <f>VLOOKUP(A808,'Customer Names (2)'!A:B, 2,FALSE)</f>
        <v>Mr</v>
      </c>
      <c r="C808">
        <f>VLOOKUP(A808,Medical_Examinations[],2,FALSE)</f>
        <v>29.53</v>
      </c>
      <c r="D808">
        <f>VLOOKUP(A808,Medical_Examinations[],3,FALSE)</f>
        <v>10.64</v>
      </c>
      <c r="E808" t="str">
        <f>VLOOKUP(A808,Medical_Examinations[],4,FALSE)</f>
        <v>No</v>
      </c>
      <c r="F808" t="str">
        <f>VLOOKUP(A808,Medical_Examinations[],5,FALSE)</f>
        <v>No</v>
      </c>
      <c r="G808" t="str">
        <f>VLOOKUP(A808,Medical_Examinations[],6,FALSE)</f>
        <v>No</v>
      </c>
      <c r="H808">
        <f>VLOOKUP(A808,Medical_Examinations[],7,FALSE)</f>
        <v>0</v>
      </c>
      <c r="I808" t="str">
        <f>VLOOKUP(A808,Medical_Examinations[],8,FALSE)</f>
        <v>No</v>
      </c>
      <c r="J808" t="str">
        <f>VLOOKUP(A808,Medical_Examinations[],9,FALSE)</f>
        <v>Overweight</v>
      </c>
      <c r="K808" t="str">
        <f>VLOOKUP(A808,Medical_Examinations[],10,FALSE)</f>
        <v>Diabetes</v>
      </c>
      <c r="M808">
        <f>VLOOKUP(A808,Hospitalisation_Details__2[],4,FALSE)</f>
        <v>13004.95</v>
      </c>
      <c r="N808" t="str">
        <f>VLOOKUP(A808,Hospitalisation_Details__2[],5,FALSE)</f>
        <v>tier - 3</v>
      </c>
      <c r="O808" t="str">
        <f>VLOOKUP(A808,Hospitalisation_Details__2[],6,FALSE)</f>
        <v>tier - 1</v>
      </c>
      <c r="P808" t="str">
        <f>VLOOKUP(A808,Hospitalisation_Details__2[],7,FALSE)</f>
        <v>R1012</v>
      </c>
    </row>
    <row r="809" spans="1:16" x14ac:dyDescent="0.35">
      <c r="A809" t="str">
        <v>Id808</v>
      </c>
      <c r="B809" t="str">
        <f>VLOOKUP(A809,'Customer Names (2)'!A:B, 2,FALSE)</f>
        <v>Mr</v>
      </c>
      <c r="C809">
        <f>VLOOKUP(A809,Medical_Examinations[],2,FALSE)</f>
        <v>42.51</v>
      </c>
      <c r="D809">
        <f>VLOOKUP(A809,Medical_Examinations[],3,FALSE)</f>
        <v>8.2100000000000009</v>
      </c>
      <c r="E809" t="str">
        <f>VLOOKUP(A809,Medical_Examinations[],4,FALSE)</f>
        <v>Yes</v>
      </c>
      <c r="F809" t="str">
        <f>VLOOKUP(A809,Medical_Examinations[],5,FALSE)</f>
        <v>No</v>
      </c>
      <c r="G809" t="str">
        <f>VLOOKUP(A809,Medical_Examinations[],6,FALSE)</f>
        <v>No</v>
      </c>
      <c r="H809">
        <f>VLOOKUP(A809,Medical_Examinations[],7,FALSE)</f>
        <v>0</v>
      </c>
      <c r="I809" t="str">
        <f>VLOOKUP(A809,Medical_Examinations[],8,FALSE)</f>
        <v>No</v>
      </c>
      <c r="J809" t="str">
        <f>VLOOKUP(A809,Medical_Examinations[],9,FALSE)</f>
        <v>Obesity</v>
      </c>
      <c r="K809" t="str">
        <f>VLOOKUP(A809,Medical_Examinations[],10,FALSE)</f>
        <v>Diabetes</v>
      </c>
      <c r="M809">
        <f>VLOOKUP(A809,Hospitalisation_Details__2[],4,FALSE)</f>
        <v>13002.91</v>
      </c>
      <c r="N809" t="str">
        <f>VLOOKUP(A809,Hospitalisation_Details__2[],5,FALSE)</f>
        <v>tier - 3</v>
      </c>
      <c r="O809" t="str">
        <f>VLOOKUP(A809,Hospitalisation_Details__2[],6,FALSE)</f>
        <v>tier - 1</v>
      </c>
      <c r="P809" t="str">
        <f>VLOOKUP(A809,Hospitalisation_Details__2[],7,FALSE)</f>
        <v>R1012</v>
      </c>
    </row>
    <row r="810" spans="1:16" x14ac:dyDescent="0.35">
      <c r="A810" t="str">
        <v>Id809</v>
      </c>
      <c r="B810" t="str">
        <f>VLOOKUP(A810,'Customer Names (2)'!A:B, 2,FALSE)</f>
        <v>Mrs</v>
      </c>
      <c r="C810">
        <f>VLOOKUP(A810,Medical_Examinations[],2,FALSE)</f>
        <v>38.14</v>
      </c>
      <c r="D810">
        <f>VLOOKUP(A810,Medical_Examinations[],3,FALSE)</f>
        <v>5.58</v>
      </c>
      <c r="E810" t="str">
        <f>VLOOKUP(A810,Medical_Examinations[],4,FALSE)</f>
        <v>No</v>
      </c>
      <c r="F810" t="str">
        <f>VLOOKUP(A810,Medical_Examinations[],5,FALSE)</f>
        <v>No</v>
      </c>
      <c r="G810" t="str">
        <f>VLOOKUP(A810,Medical_Examinations[],6,FALSE)</f>
        <v>Yes</v>
      </c>
      <c r="H810">
        <f>VLOOKUP(A810,Medical_Examinations[],7,FALSE)</f>
        <v>1</v>
      </c>
      <c r="I810" t="str">
        <f>VLOOKUP(A810,Medical_Examinations[],8,FALSE)</f>
        <v>No</v>
      </c>
      <c r="J810" t="str">
        <f>VLOOKUP(A810,Medical_Examinations[],9,FALSE)</f>
        <v>Obesity</v>
      </c>
      <c r="K810" t="str">
        <f>VLOOKUP(A810,Medical_Examinations[],10,FALSE)</f>
        <v>Normal</v>
      </c>
      <c r="M810">
        <f>VLOOKUP(A810,Hospitalisation_Details__2[],4,FALSE)</f>
        <v>12994.12</v>
      </c>
      <c r="N810" t="str">
        <f>VLOOKUP(A810,Hospitalisation_Details__2[],5,FALSE)</f>
        <v>tier - 3</v>
      </c>
      <c r="O810" t="str">
        <f>VLOOKUP(A810,Hospitalisation_Details__2[],6,FALSE)</f>
        <v>tier - 2</v>
      </c>
      <c r="P810" t="str">
        <f>VLOOKUP(A810,Hospitalisation_Details__2[],7,FALSE)</f>
        <v>R1026</v>
      </c>
    </row>
    <row r="811" spans="1:16" x14ac:dyDescent="0.35">
      <c r="A811" t="str">
        <v>Id810</v>
      </c>
      <c r="B811" t="str">
        <f>VLOOKUP(A811,'Customer Names (2)'!A:B, 2,FALSE)</f>
        <v>Mr</v>
      </c>
      <c r="C811">
        <f>VLOOKUP(A811,Medical_Examinations[],2,FALSE)</f>
        <v>39.93</v>
      </c>
      <c r="D811">
        <f>VLOOKUP(A811,Medical_Examinations[],3,FALSE)</f>
        <v>8.75</v>
      </c>
      <c r="E811" t="str">
        <f>VLOOKUP(A811,Medical_Examinations[],4,FALSE)</f>
        <v>No</v>
      </c>
      <c r="F811" t="str">
        <f>VLOOKUP(A811,Medical_Examinations[],5,FALSE)</f>
        <v>No</v>
      </c>
      <c r="G811" t="str">
        <f>VLOOKUP(A811,Medical_Examinations[],6,FALSE)</f>
        <v>No</v>
      </c>
      <c r="H811">
        <f>VLOOKUP(A811,Medical_Examinations[],7,FALSE)</f>
        <v>0</v>
      </c>
      <c r="I811" t="str">
        <f>VLOOKUP(A811,Medical_Examinations[],8,FALSE)</f>
        <v>No</v>
      </c>
      <c r="J811" t="str">
        <f>VLOOKUP(A811,Medical_Examinations[],9,FALSE)</f>
        <v>Obesity</v>
      </c>
      <c r="K811" t="str">
        <f>VLOOKUP(A811,Medical_Examinations[],10,FALSE)</f>
        <v>Diabetes</v>
      </c>
      <c r="M811">
        <f>VLOOKUP(A811,Hospitalisation_Details__2[],4,FALSE)</f>
        <v>12982.87</v>
      </c>
      <c r="N811" t="str">
        <f>VLOOKUP(A811,Hospitalisation_Details__2[],5,FALSE)</f>
        <v>tier - 3</v>
      </c>
      <c r="O811" t="str">
        <f>VLOOKUP(A811,Hospitalisation_Details__2[],6,FALSE)</f>
        <v>tier - 1</v>
      </c>
      <c r="P811" t="str">
        <f>VLOOKUP(A811,Hospitalisation_Details__2[],7,FALSE)</f>
        <v>R1013</v>
      </c>
    </row>
    <row r="812" spans="1:16" x14ac:dyDescent="0.35">
      <c r="A812" t="str">
        <v>Id811</v>
      </c>
      <c r="B812" t="str">
        <f>VLOOKUP(A812,'Customer Names (2)'!A:B, 2,FALSE)</f>
        <v>Mr</v>
      </c>
      <c r="C812">
        <f>VLOOKUP(A812,Medical_Examinations[],2,FALSE)</f>
        <v>38.83</v>
      </c>
      <c r="D812">
        <f>VLOOKUP(A812,Medical_Examinations[],3,FALSE)</f>
        <v>11.86</v>
      </c>
      <c r="E812" t="str">
        <f>VLOOKUP(A812,Medical_Examinations[],4,FALSE)</f>
        <v>No</v>
      </c>
      <c r="F812" t="str">
        <f>VLOOKUP(A812,Medical_Examinations[],5,FALSE)</f>
        <v>No</v>
      </c>
      <c r="G812" t="str">
        <f>VLOOKUP(A812,Medical_Examinations[],6,FALSE)</f>
        <v>No</v>
      </c>
      <c r="H812">
        <f>VLOOKUP(A812,Medical_Examinations[],7,FALSE)</f>
        <v>0</v>
      </c>
      <c r="I812" t="str">
        <f>VLOOKUP(A812,Medical_Examinations[],8,FALSE)</f>
        <v>No</v>
      </c>
      <c r="J812" t="str">
        <f>VLOOKUP(A812,Medical_Examinations[],9,FALSE)</f>
        <v>Obesity</v>
      </c>
      <c r="K812" t="str">
        <f>VLOOKUP(A812,Medical_Examinations[],10,FALSE)</f>
        <v>Diabetes</v>
      </c>
      <c r="M812">
        <f>VLOOKUP(A812,Hospitalisation_Details__2[],4,FALSE)</f>
        <v>12981.35</v>
      </c>
      <c r="N812" t="str">
        <f>VLOOKUP(A812,Hospitalisation_Details__2[],5,FALSE)</f>
        <v>tier - 3</v>
      </c>
      <c r="O812" t="str">
        <f>VLOOKUP(A812,Hospitalisation_Details__2[],6,FALSE)</f>
        <v>tier - 3</v>
      </c>
      <c r="P812" t="str">
        <f>VLOOKUP(A812,Hospitalisation_Details__2[],7,FALSE)</f>
        <v>R1013</v>
      </c>
    </row>
    <row r="813" spans="1:16" x14ac:dyDescent="0.35">
      <c r="A813" t="str">
        <v>Id812</v>
      </c>
      <c r="B813" t="str">
        <f>VLOOKUP(A813,'Customer Names (2)'!A:B, 2,FALSE)</f>
        <v>Mr</v>
      </c>
      <c r="C813">
        <f>VLOOKUP(A813,Medical_Examinations[],2,FALSE)</f>
        <v>37.4</v>
      </c>
      <c r="D813">
        <f>VLOOKUP(A813,Medical_Examinations[],3,FALSE)</f>
        <v>11.46</v>
      </c>
      <c r="E813" t="str">
        <f>VLOOKUP(A813,Medical_Examinations[],4,FALSE)</f>
        <v>No</v>
      </c>
      <c r="F813" t="str">
        <f>VLOOKUP(A813,Medical_Examinations[],5,FALSE)</f>
        <v>No</v>
      </c>
      <c r="G813" t="str">
        <f>VLOOKUP(A813,Medical_Examinations[],6,FALSE)</f>
        <v>No</v>
      </c>
      <c r="H813">
        <f>VLOOKUP(A813,Medical_Examinations[],7,FALSE)</f>
        <v>0</v>
      </c>
      <c r="I813" t="str">
        <f>VLOOKUP(A813,Medical_Examinations[],8,FALSE)</f>
        <v>No</v>
      </c>
      <c r="J813" t="str">
        <f>VLOOKUP(A813,Medical_Examinations[],9,FALSE)</f>
        <v>Obesity</v>
      </c>
      <c r="K813" t="str">
        <f>VLOOKUP(A813,Medical_Examinations[],10,FALSE)</f>
        <v>Diabetes</v>
      </c>
      <c r="M813">
        <f>VLOOKUP(A813,Hospitalisation_Details__2[],4,FALSE)</f>
        <v>12979.36</v>
      </c>
      <c r="N813" t="str">
        <f>VLOOKUP(A813,Hospitalisation_Details__2[],5,FALSE)</f>
        <v>tier - 3</v>
      </c>
      <c r="O813" t="str">
        <f>VLOOKUP(A813,Hospitalisation_Details__2[],6,FALSE)</f>
        <v>tier - 1</v>
      </c>
      <c r="P813" t="str">
        <f>VLOOKUP(A813,Hospitalisation_Details__2[],7,FALSE)</f>
        <v>R1011</v>
      </c>
    </row>
    <row r="814" spans="1:16" x14ac:dyDescent="0.35">
      <c r="A814" t="str">
        <v>Id813</v>
      </c>
      <c r="B814" t="str">
        <f>VLOOKUP(A814,'Customer Names (2)'!A:B, 2,FALSE)</f>
        <v>Mr</v>
      </c>
      <c r="C814">
        <f>VLOOKUP(A814,Medical_Examinations[],2,FALSE)</f>
        <v>21.4</v>
      </c>
      <c r="D814">
        <f>VLOOKUP(A814,Medical_Examinations[],3,FALSE)</f>
        <v>9.0299999999999994</v>
      </c>
      <c r="E814" t="str">
        <f>VLOOKUP(A814,Medical_Examinations[],4,FALSE)</f>
        <v>No</v>
      </c>
      <c r="F814" t="str">
        <f>VLOOKUP(A814,Medical_Examinations[],5,FALSE)</f>
        <v>No</v>
      </c>
      <c r="G814" t="str">
        <f>VLOOKUP(A814,Medical_Examinations[],6,FALSE)</f>
        <v>No</v>
      </c>
      <c r="H814">
        <f>VLOOKUP(A814,Medical_Examinations[],7,FALSE)</f>
        <v>0</v>
      </c>
      <c r="I814" t="str">
        <f>VLOOKUP(A814,Medical_Examinations[],8,FALSE)</f>
        <v>No</v>
      </c>
      <c r="J814" t="str">
        <f>VLOOKUP(A814,Medical_Examinations[],9,FALSE)</f>
        <v>Normal Weight</v>
      </c>
      <c r="K814" t="str">
        <f>VLOOKUP(A814,Medical_Examinations[],10,FALSE)</f>
        <v>Diabetes</v>
      </c>
      <c r="M814">
        <f>VLOOKUP(A814,Hospitalisation_Details__2[],4,FALSE)</f>
        <v>12957.12</v>
      </c>
      <c r="N814" t="str">
        <f>VLOOKUP(A814,Hospitalisation_Details__2[],5,FALSE)</f>
        <v>tier - 3</v>
      </c>
      <c r="O814" t="str">
        <f>VLOOKUP(A814,Hospitalisation_Details__2[],6,FALSE)</f>
        <v>tier - 1</v>
      </c>
      <c r="P814" t="str">
        <f>VLOOKUP(A814,Hospitalisation_Details__2[],7,FALSE)</f>
        <v>R1011</v>
      </c>
    </row>
    <row r="815" spans="1:16" x14ac:dyDescent="0.35">
      <c r="A815" t="str">
        <v>Id814</v>
      </c>
      <c r="B815" t="str">
        <f>VLOOKUP(A815,'Customer Names (2)'!A:B, 2,FALSE)</f>
        <v>Mr</v>
      </c>
      <c r="C815">
        <f>VLOOKUP(A815,Medical_Examinations[],2,FALSE)</f>
        <v>38.380000000000003</v>
      </c>
      <c r="D815">
        <f>VLOOKUP(A815,Medical_Examinations[],3,FALSE)</f>
        <v>8.26</v>
      </c>
      <c r="E815" t="str">
        <f>VLOOKUP(A815,Medical_Examinations[],4,FALSE)</f>
        <v>Yes</v>
      </c>
      <c r="F815" t="str">
        <f>VLOOKUP(A815,Medical_Examinations[],5,FALSE)</f>
        <v>No</v>
      </c>
      <c r="G815" t="str">
        <f>VLOOKUP(A815,Medical_Examinations[],6,FALSE)</f>
        <v>No</v>
      </c>
      <c r="H815">
        <f>VLOOKUP(A815,Medical_Examinations[],7,FALSE)</f>
        <v>2</v>
      </c>
      <c r="I815" t="str">
        <f>VLOOKUP(A815,Medical_Examinations[],8,FALSE)</f>
        <v>No</v>
      </c>
      <c r="J815" t="str">
        <f>VLOOKUP(A815,Medical_Examinations[],9,FALSE)</f>
        <v>Obesity</v>
      </c>
      <c r="K815" t="str">
        <f>VLOOKUP(A815,Medical_Examinations[],10,FALSE)</f>
        <v>Diabetes</v>
      </c>
      <c r="M815">
        <f>VLOOKUP(A815,Hospitalisation_Details__2[],4,FALSE)</f>
        <v>12950.07</v>
      </c>
      <c r="N815" t="str">
        <f>VLOOKUP(A815,Hospitalisation_Details__2[],5,FALSE)</f>
        <v>tier - 3</v>
      </c>
      <c r="O815" t="str">
        <f>VLOOKUP(A815,Hospitalisation_Details__2[],6,FALSE)</f>
        <v>tier - 1</v>
      </c>
      <c r="P815" t="str">
        <f>VLOOKUP(A815,Hospitalisation_Details__2[],7,FALSE)</f>
        <v>R1012</v>
      </c>
    </row>
    <row r="816" spans="1:16" x14ac:dyDescent="0.35">
      <c r="A816" t="str">
        <v>Id815</v>
      </c>
      <c r="B816" t="str">
        <f>VLOOKUP(A816,'Customer Names (2)'!A:B, 2,FALSE)</f>
        <v>Mr</v>
      </c>
      <c r="C816">
        <f>VLOOKUP(A816,Medical_Examinations[],2,FALSE)</f>
        <v>33.659999999999997</v>
      </c>
      <c r="D816">
        <f>VLOOKUP(A816,Medical_Examinations[],3,FALSE)</f>
        <v>5.42</v>
      </c>
      <c r="E816" t="str">
        <f>VLOOKUP(A816,Medical_Examinations[],4,FALSE)</f>
        <v>Yes</v>
      </c>
      <c r="F816" t="str">
        <f>VLOOKUP(A816,Medical_Examinations[],5,FALSE)</f>
        <v>No</v>
      </c>
      <c r="G816" t="str">
        <f>VLOOKUP(A816,Medical_Examinations[],6,FALSE)</f>
        <v>No</v>
      </c>
      <c r="H816">
        <f>VLOOKUP(A816,Medical_Examinations[],7,FALSE)</f>
        <v>2</v>
      </c>
      <c r="I816" t="str">
        <f>VLOOKUP(A816,Medical_Examinations[],8,FALSE)</f>
        <v>No</v>
      </c>
      <c r="J816" t="str">
        <f>VLOOKUP(A816,Medical_Examinations[],9,FALSE)</f>
        <v>Obesity</v>
      </c>
      <c r="K816" t="str">
        <f>VLOOKUP(A816,Medical_Examinations[],10,FALSE)</f>
        <v>Normal</v>
      </c>
      <c r="M816">
        <f>VLOOKUP(A816,Hospitalisation_Details__2[],4,FALSE)</f>
        <v>12949.16</v>
      </c>
      <c r="N816" t="str">
        <f>VLOOKUP(A816,Hospitalisation_Details__2[],5,FALSE)</f>
        <v>tier - 3</v>
      </c>
      <c r="O816" t="str">
        <f>VLOOKUP(A816,Hospitalisation_Details__2[],6,FALSE)</f>
        <v>tier - 3</v>
      </c>
      <c r="P816" t="str">
        <f>VLOOKUP(A816,Hospitalisation_Details__2[],7,FALSE)</f>
        <v>R1013</v>
      </c>
    </row>
    <row r="817" spans="1:16" x14ac:dyDescent="0.35">
      <c r="A817" t="str">
        <v>Id816</v>
      </c>
      <c r="B817" t="str">
        <f>VLOOKUP(A817,'Customer Names (2)'!A:B, 2,FALSE)</f>
        <v>Mr</v>
      </c>
      <c r="C817">
        <f>VLOOKUP(A817,Medical_Examinations[],2,FALSE)</f>
        <v>31.79</v>
      </c>
      <c r="D817">
        <f>VLOOKUP(A817,Medical_Examinations[],3,FALSE)</f>
        <v>11.33</v>
      </c>
      <c r="E817" t="str">
        <f>VLOOKUP(A817,Medical_Examinations[],4,FALSE)</f>
        <v>Yes</v>
      </c>
      <c r="F817" t="str">
        <f>VLOOKUP(A817,Medical_Examinations[],5,FALSE)</f>
        <v>No</v>
      </c>
      <c r="G817" t="str">
        <f>VLOOKUP(A817,Medical_Examinations[],6,FALSE)</f>
        <v>Yes</v>
      </c>
      <c r="H817">
        <f>VLOOKUP(A817,Medical_Examinations[],7,FALSE)</f>
        <v>1</v>
      </c>
      <c r="I817" t="str">
        <f>VLOOKUP(A817,Medical_Examinations[],8,FALSE)</f>
        <v>No</v>
      </c>
      <c r="J817" t="str">
        <f>VLOOKUP(A817,Medical_Examinations[],9,FALSE)</f>
        <v>Obesity</v>
      </c>
      <c r="K817" t="str">
        <f>VLOOKUP(A817,Medical_Examinations[],10,FALSE)</f>
        <v>Diabetes</v>
      </c>
      <c r="M817">
        <f>VLOOKUP(A817,Hospitalisation_Details__2[],4,FALSE)</f>
        <v>12928.79</v>
      </c>
      <c r="N817" t="str">
        <f>VLOOKUP(A817,Hospitalisation_Details__2[],5,FALSE)</f>
        <v>tier - 3</v>
      </c>
      <c r="O817" t="str">
        <f>VLOOKUP(A817,Hospitalisation_Details__2[],6,FALSE)</f>
        <v>tier - 2</v>
      </c>
      <c r="P817" t="str">
        <f>VLOOKUP(A817,Hospitalisation_Details__2[],7,FALSE)</f>
        <v>R1013</v>
      </c>
    </row>
    <row r="818" spans="1:16" x14ac:dyDescent="0.35">
      <c r="A818" t="str">
        <v>Id817</v>
      </c>
      <c r="B818" t="str">
        <f>VLOOKUP(A818,'Customer Names (2)'!A:B, 2,FALSE)</f>
        <v>Mr</v>
      </c>
      <c r="C818">
        <f>VLOOKUP(A818,Medical_Examinations[],2,FALSE)</f>
        <v>29.7</v>
      </c>
      <c r="D818">
        <f>VLOOKUP(A818,Medical_Examinations[],3,FALSE)</f>
        <v>7.69</v>
      </c>
      <c r="E818" t="str">
        <f>VLOOKUP(A818,Medical_Examinations[],4,FALSE)</f>
        <v>Yes</v>
      </c>
      <c r="F818" t="str">
        <f>VLOOKUP(A818,Medical_Examinations[],5,FALSE)</f>
        <v>No</v>
      </c>
      <c r="G818" t="str">
        <f>VLOOKUP(A818,Medical_Examinations[],6,FALSE)</f>
        <v>Yes</v>
      </c>
      <c r="H818">
        <f>VLOOKUP(A818,Medical_Examinations[],7,FALSE)</f>
        <v>1</v>
      </c>
      <c r="I818" t="str">
        <f>VLOOKUP(A818,Medical_Examinations[],8,FALSE)</f>
        <v>No</v>
      </c>
      <c r="J818" t="str">
        <f>VLOOKUP(A818,Medical_Examinations[],9,FALSE)</f>
        <v>Overweight</v>
      </c>
      <c r="K818" t="str">
        <f>VLOOKUP(A818,Medical_Examinations[],10,FALSE)</f>
        <v>Diabetes</v>
      </c>
      <c r="M818">
        <f>VLOOKUP(A818,Hospitalisation_Details__2[],4,FALSE)</f>
        <v>12925.89</v>
      </c>
      <c r="N818" t="str">
        <f>VLOOKUP(A818,Hospitalisation_Details__2[],5,FALSE)</f>
        <v>tier - 3</v>
      </c>
      <c r="O818" t="str">
        <f>VLOOKUP(A818,Hospitalisation_Details__2[],6,FALSE)</f>
        <v>tier - 2</v>
      </c>
      <c r="P818" t="str">
        <f>VLOOKUP(A818,Hospitalisation_Details__2[],7,FALSE)</f>
        <v>R1013</v>
      </c>
    </row>
    <row r="819" spans="1:16" x14ac:dyDescent="0.35">
      <c r="A819" t="str">
        <v>Id818</v>
      </c>
      <c r="B819" t="str">
        <f>VLOOKUP(A819,'Customer Names (2)'!A:B, 2,FALSE)</f>
        <v>Mr</v>
      </c>
      <c r="C819">
        <f>VLOOKUP(A819,Medical_Examinations[],2,FALSE)</f>
        <v>25.46</v>
      </c>
      <c r="D819">
        <f>VLOOKUP(A819,Medical_Examinations[],3,FALSE)</f>
        <v>8.77</v>
      </c>
      <c r="E819" t="str">
        <f>VLOOKUP(A819,Medical_Examinations[],4,FALSE)</f>
        <v>Yes</v>
      </c>
      <c r="F819" t="str">
        <f>VLOOKUP(A819,Medical_Examinations[],5,FALSE)</f>
        <v>No</v>
      </c>
      <c r="G819" t="str">
        <f>VLOOKUP(A819,Medical_Examinations[],6,FALSE)</f>
        <v>Yes</v>
      </c>
      <c r="H819">
        <f>VLOOKUP(A819,Medical_Examinations[],7,FALSE)</f>
        <v>1</v>
      </c>
      <c r="I819" t="str">
        <f>VLOOKUP(A819,Medical_Examinations[],8,FALSE)</f>
        <v>No</v>
      </c>
      <c r="J819" t="str">
        <f>VLOOKUP(A819,Medical_Examinations[],9,FALSE)</f>
        <v>Overweight</v>
      </c>
      <c r="K819" t="str">
        <f>VLOOKUP(A819,Medical_Examinations[],10,FALSE)</f>
        <v>Diabetes</v>
      </c>
      <c r="M819">
        <f>VLOOKUP(A819,Hospitalisation_Details__2[],4,FALSE)</f>
        <v>12913.99</v>
      </c>
      <c r="N819" t="str">
        <f>VLOOKUP(A819,Hospitalisation_Details__2[],5,FALSE)</f>
        <v>tier - 3</v>
      </c>
      <c r="O819" t="str">
        <f>VLOOKUP(A819,Hospitalisation_Details__2[],6,FALSE)</f>
        <v>tier - 2</v>
      </c>
      <c r="P819" t="str">
        <f>VLOOKUP(A819,Hospitalisation_Details__2[],7,FALSE)</f>
        <v>R1016</v>
      </c>
    </row>
    <row r="820" spans="1:16" x14ac:dyDescent="0.35">
      <c r="A820" t="str">
        <v>Id819</v>
      </c>
      <c r="B820" t="str">
        <f>VLOOKUP(A820,'Customer Names (2)'!A:B, 2,FALSE)</f>
        <v>Mr</v>
      </c>
      <c r="C820">
        <f>VLOOKUP(A820,Medical_Examinations[],2,FALSE)</f>
        <v>39.14</v>
      </c>
      <c r="D820">
        <f>VLOOKUP(A820,Medical_Examinations[],3,FALSE)</f>
        <v>4.91</v>
      </c>
      <c r="E820" t="str">
        <f>VLOOKUP(A820,Medical_Examinations[],4,FALSE)</f>
        <v>No</v>
      </c>
      <c r="F820" t="str">
        <f>VLOOKUP(A820,Medical_Examinations[],5,FALSE)</f>
        <v>yes</v>
      </c>
      <c r="G820" t="str">
        <f>VLOOKUP(A820,Medical_Examinations[],6,FALSE)</f>
        <v>No</v>
      </c>
      <c r="H820">
        <f>VLOOKUP(A820,Medical_Examinations[],7,FALSE)</f>
        <v>1</v>
      </c>
      <c r="I820" t="str">
        <f>VLOOKUP(A820,Medical_Examinations[],8,FALSE)</f>
        <v>No</v>
      </c>
      <c r="J820" t="str">
        <f>VLOOKUP(A820,Medical_Examinations[],9,FALSE)</f>
        <v>Obesity</v>
      </c>
      <c r="K820" t="str">
        <f>VLOOKUP(A820,Medical_Examinations[],10,FALSE)</f>
        <v>Normal</v>
      </c>
      <c r="M820">
        <f>VLOOKUP(A820,Hospitalisation_Details__2[],4,FALSE)</f>
        <v>12890.06</v>
      </c>
      <c r="N820" t="str">
        <f>VLOOKUP(A820,Hospitalisation_Details__2[],5,FALSE)</f>
        <v>tier - 3</v>
      </c>
      <c r="O820" t="str">
        <f>VLOOKUP(A820,Hospitalisation_Details__2[],6,FALSE)</f>
        <v>tier - 1</v>
      </c>
      <c r="P820" t="str">
        <f>VLOOKUP(A820,Hospitalisation_Details__2[],7,FALSE)</f>
        <v>R1019</v>
      </c>
    </row>
    <row r="821" spans="1:16" x14ac:dyDescent="0.35">
      <c r="A821" t="str">
        <v>Id820</v>
      </c>
      <c r="B821" t="str">
        <f>VLOOKUP(A821,'Customer Names (2)'!A:B, 2,FALSE)</f>
        <v>Ms</v>
      </c>
      <c r="C821">
        <f>VLOOKUP(A821,Medical_Examinations[],2,FALSE)</f>
        <v>41.2</v>
      </c>
      <c r="D821">
        <f>VLOOKUP(A821,Medical_Examinations[],3,FALSE)</f>
        <v>4.95</v>
      </c>
      <c r="E821" t="str">
        <f>VLOOKUP(A821,Medical_Examinations[],4,FALSE)</f>
        <v>No</v>
      </c>
      <c r="F821" t="str">
        <f>VLOOKUP(A821,Medical_Examinations[],5,FALSE)</f>
        <v>No</v>
      </c>
      <c r="G821" t="str">
        <f>VLOOKUP(A821,Medical_Examinations[],6,FALSE)</f>
        <v>No</v>
      </c>
      <c r="H821">
        <f>VLOOKUP(A821,Medical_Examinations[],7,FALSE)</f>
        <v>1</v>
      </c>
      <c r="I821" t="str">
        <f>VLOOKUP(A821,Medical_Examinations[],8,FALSE)</f>
        <v>No</v>
      </c>
      <c r="J821" t="str">
        <f>VLOOKUP(A821,Medical_Examinations[],9,FALSE)</f>
        <v>Obesity</v>
      </c>
      <c r="K821" t="str">
        <f>VLOOKUP(A821,Medical_Examinations[],10,FALSE)</f>
        <v>Normal</v>
      </c>
      <c r="M821">
        <f>VLOOKUP(A821,Hospitalisation_Details__2[],4,FALSE)</f>
        <v>12870.31</v>
      </c>
      <c r="N821" t="str">
        <f>VLOOKUP(A821,Hospitalisation_Details__2[],5,FALSE)</f>
        <v>tier - 3</v>
      </c>
      <c r="O821" t="str">
        <f>VLOOKUP(A821,Hospitalisation_Details__2[],6,FALSE)</f>
        <v>tier - 3</v>
      </c>
      <c r="P821" t="str">
        <f>VLOOKUP(A821,Hospitalisation_Details__2[],7,FALSE)</f>
        <v>R1012</v>
      </c>
    </row>
    <row r="822" spans="1:16" x14ac:dyDescent="0.35">
      <c r="A822" t="str">
        <v>Id821</v>
      </c>
      <c r="B822" t="str">
        <f>VLOOKUP(A822,'Customer Names (2)'!A:B, 2,FALSE)</f>
        <v>Mr</v>
      </c>
      <c r="C822">
        <f>VLOOKUP(A822,Medical_Examinations[],2,FALSE)</f>
        <v>28.81</v>
      </c>
      <c r="D822">
        <f>VLOOKUP(A822,Medical_Examinations[],3,FALSE)</f>
        <v>10.8</v>
      </c>
      <c r="E822" t="str">
        <f>VLOOKUP(A822,Medical_Examinations[],4,FALSE)</f>
        <v>Yes</v>
      </c>
      <c r="F822" t="str">
        <f>VLOOKUP(A822,Medical_Examinations[],5,FALSE)</f>
        <v>No</v>
      </c>
      <c r="G822" t="str">
        <f>VLOOKUP(A822,Medical_Examinations[],6,FALSE)</f>
        <v>Yes</v>
      </c>
      <c r="H822">
        <f>VLOOKUP(A822,Medical_Examinations[],7,FALSE)</f>
        <v>1</v>
      </c>
      <c r="I822" t="str">
        <f>VLOOKUP(A822,Medical_Examinations[],8,FALSE)</f>
        <v>No</v>
      </c>
      <c r="J822" t="str">
        <f>VLOOKUP(A822,Medical_Examinations[],9,FALSE)</f>
        <v>Overweight</v>
      </c>
      <c r="K822" t="str">
        <f>VLOOKUP(A822,Medical_Examinations[],10,FALSE)</f>
        <v>Diabetes</v>
      </c>
      <c r="M822">
        <f>VLOOKUP(A822,Hospitalisation_Details__2[],4,FALSE)</f>
        <v>12856.84</v>
      </c>
      <c r="N822" t="str">
        <f>VLOOKUP(A822,Hospitalisation_Details__2[],5,FALSE)</f>
        <v>tier - 3</v>
      </c>
      <c r="O822" t="str">
        <f>VLOOKUP(A822,Hospitalisation_Details__2[],6,FALSE)</f>
        <v>tier - 3</v>
      </c>
      <c r="P822" t="str">
        <f>VLOOKUP(A822,Hospitalisation_Details__2[],7,FALSE)</f>
        <v>R1021</v>
      </c>
    </row>
    <row r="823" spans="1:16" x14ac:dyDescent="0.35">
      <c r="A823" t="str">
        <v>Id822</v>
      </c>
      <c r="B823" t="str">
        <f>VLOOKUP(A823,'Customer Names (2)'!A:B, 2,FALSE)</f>
        <v>Mr</v>
      </c>
      <c r="C823">
        <f>VLOOKUP(A823,Medical_Examinations[],2,FALSE)</f>
        <v>37.409999999999997</v>
      </c>
      <c r="D823">
        <f>VLOOKUP(A823,Medical_Examinations[],3,FALSE)</f>
        <v>7.21</v>
      </c>
      <c r="E823" t="str">
        <f>VLOOKUP(A823,Medical_Examinations[],4,FALSE)</f>
        <v>No</v>
      </c>
      <c r="F823" t="str">
        <f>VLOOKUP(A823,Medical_Examinations[],5,FALSE)</f>
        <v>No</v>
      </c>
      <c r="G823" t="str">
        <f>VLOOKUP(A823,Medical_Examinations[],6,FALSE)</f>
        <v>No</v>
      </c>
      <c r="H823">
        <f>VLOOKUP(A823,Medical_Examinations[],7,FALSE)</f>
        <v>2</v>
      </c>
      <c r="I823" t="str">
        <f>VLOOKUP(A823,Medical_Examinations[],8,FALSE)</f>
        <v>No</v>
      </c>
      <c r="J823" t="str">
        <f>VLOOKUP(A823,Medical_Examinations[],9,FALSE)</f>
        <v>Obesity</v>
      </c>
      <c r="K823" t="str">
        <f>VLOOKUP(A823,Medical_Examinations[],10,FALSE)</f>
        <v>Diabetes</v>
      </c>
      <c r="M823">
        <f>VLOOKUP(A823,Hospitalisation_Details__2[],4,FALSE)</f>
        <v>12852.37</v>
      </c>
      <c r="N823" t="str">
        <f>VLOOKUP(A823,Hospitalisation_Details__2[],5,FALSE)</f>
        <v>tier - 3</v>
      </c>
      <c r="O823" t="str">
        <f>VLOOKUP(A823,Hospitalisation_Details__2[],6,FALSE)</f>
        <v>tier - 1</v>
      </c>
      <c r="P823" t="str">
        <f>VLOOKUP(A823,Hospitalisation_Details__2[],7,FALSE)</f>
        <v>R1012</v>
      </c>
    </row>
    <row r="824" spans="1:16" x14ac:dyDescent="0.35">
      <c r="A824" t="str">
        <v>Id823</v>
      </c>
      <c r="B824" t="str">
        <f>VLOOKUP(A824,'Customer Names (2)'!A:B, 2,FALSE)</f>
        <v>Mr</v>
      </c>
      <c r="C824">
        <f>VLOOKUP(A824,Medical_Examinations[],2,FALSE)</f>
        <v>52.54</v>
      </c>
      <c r="D824">
        <f>VLOOKUP(A824,Medical_Examinations[],3,FALSE)</f>
        <v>5.12</v>
      </c>
      <c r="E824" t="str">
        <f>VLOOKUP(A824,Medical_Examinations[],4,FALSE)</f>
        <v>No</v>
      </c>
      <c r="F824" t="str">
        <f>VLOOKUP(A824,Medical_Examinations[],5,FALSE)</f>
        <v>No</v>
      </c>
      <c r="G824" t="str">
        <f>VLOOKUP(A824,Medical_Examinations[],6,FALSE)</f>
        <v>Yes</v>
      </c>
      <c r="H824">
        <f>VLOOKUP(A824,Medical_Examinations[],7,FALSE)</f>
        <v>1</v>
      </c>
      <c r="I824" t="str">
        <f>VLOOKUP(A824,Medical_Examinations[],8,FALSE)</f>
        <v>No</v>
      </c>
      <c r="J824" t="str">
        <f>VLOOKUP(A824,Medical_Examinations[],9,FALSE)</f>
        <v>Obesity</v>
      </c>
      <c r="K824" t="str">
        <f>VLOOKUP(A824,Medical_Examinations[],10,FALSE)</f>
        <v>Normal</v>
      </c>
      <c r="M824">
        <f>VLOOKUP(A824,Hospitalisation_Details__2[],4,FALSE)</f>
        <v>12847.24</v>
      </c>
      <c r="N824" t="str">
        <f>VLOOKUP(A824,Hospitalisation_Details__2[],5,FALSE)</f>
        <v>tier - 3</v>
      </c>
      <c r="O824" t="str">
        <f>VLOOKUP(A824,Hospitalisation_Details__2[],6,FALSE)</f>
        <v>tier - 2</v>
      </c>
      <c r="P824" t="str">
        <f>VLOOKUP(A824,Hospitalisation_Details__2[],7,FALSE)</f>
        <v>R1012</v>
      </c>
    </row>
    <row r="825" spans="1:16" x14ac:dyDescent="0.35">
      <c r="A825" t="str">
        <v>Id824</v>
      </c>
      <c r="B825" t="str">
        <f>VLOOKUP(A825,'Customer Names (2)'!A:B, 2,FALSE)</f>
        <v>Mr</v>
      </c>
      <c r="C825">
        <f>VLOOKUP(A825,Medical_Examinations[],2,FALSE)</f>
        <v>17.29</v>
      </c>
      <c r="D825">
        <f>VLOOKUP(A825,Medical_Examinations[],3,FALSE)</f>
        <v>4.62</v>
      </c>
      <c r="E825" t="str">
        <f>VLOOKUP(A825,Medical_Examinations[],4,FALSE)</f>
        <v>No</v>
      </c>
      <c r="F825" t="str">
        <f>VLOOKUP(A825,Medical_Examinations[],5,FALSE)</f>
        <v>yes</v>
      </c>
      <c r="G825" t="str">
        <f>VLOOKUP(A825,Medical_Examinations[],6,FALSE)</f>
        <v>No</v>
      </c>
      <c r="H825">
        <f>VLOOKUP(A825,Medical_Examinations[],7,FALSE)</f>
        <v>1</v>
      </c>
      <c r="I825" t="str">
        <f>VLOOKUP(A825,Medical_Examinations[],8,FALSE)</f>
        <v>Yes</v>
      </c>
      <c r="J825" t="str">
        <f>VLOOKUP(A825,Medical_Examinations[],9,FALSE)</f>
        <v>Underweight</v>
      </c>
      <c r="K825" t="str">
        <f>VLOOKUP(A825,Medical_Examinations[],10,FALSE)</f>
        <v>Normal</v>
      </c>
      <c r="M825">
        <f>VLOOKUP(A825,Hospitalisation_Details__2[],4,FALSE)</f>
        <v>12829.46</v>
      </c>
      <c r="N825" t="str">
        <f>VLOOKUP(A825,Hospitalisation_Details__2[],5,FALSE)</f>
        <v>tier - 3</v>
      </c>
      <c r="O825" t="str">
        <f>VLOOKUP(A825,Hospitalisation_Details__2[],6,FALSE)</f>
        <v>tier - 3</v>
      </c>
      <c r="P825" t="str">
        <f>VLOOKUP(A825,Hospitalisation_Details__2[],7,FALSE)</f>
        <v>R1016</v>
      </c>
    </row>
    <row r="826" spans="1:16" x14ac:dyDescent="0.35">
      <c r="A826" t="str">
        <v>Id825</v>
      </c>
      <c r="B826" t="str">
        <f>VLOOKUP(A826,'Customer Names (2)'!A:B, 2,FALSE)</f>
        <v>Mr</v>
      </c>
      <c r="C826">
        <f>VLOOKUP(A826,Medical_Examinations[],2,FALSE)</f>
        <v>31.74</v>
      </c>
      <c r="D826">
        <f>VLOOKUP(A826,Medical_Examinations[],3,FALSE)</f>
        <v>7.68</v>
      </c>
      <c r="E826" t="str">
        <f>VLOOKUP(A826,Medical_Examinations[],4,FALSE)</f>
        <v>Yes</v>
      </c>
      <c r="F826" t="str">
        <f>VLOOKUP(A826,Medical_Examinations[],5,FALSE)</f>
        <v>No</v>
      </c>
      <c r="G826" t="str">
        <f>VLOOKUP(A826,Medical_Examinations[],6,FALSE)</f>
        <v>No</v>
      </c>
      <c r="H826">
        <f>VLOOKUP(A826,Medical_Examinations[],7,FALSE)</f>
        <v>0</v>
      </c>
      <c r="I826" t="str">
        <f>VLOOKUP(A826,Medical_Examinations[],8,FALSE)</f>
        <v>No</v>
      </c>
      <c r="J826" t="str">
        <f>VLOOKUP(A826,Medical_Examinations[],9,FALSE)</f>
        <v>Obesity</v>
      </c>
      <c r="K826" t="str">
        <f>VLOOKUP(A826,Medical_Examinations[],10,FALSE)</f>
        <v>Diabetes</v>
      </c>
      <c r="M826">
        <f>VLOOKUP(A826,Hospitalisation_Details__2[],4,FALSE)</f>
        <v>12823.25</v>
      </c>
      <c r="N826" t="str">
        <f>VLOOKUP(A826,Hospitalisation_Details__2[],5,FALSE)</f>
        <v>tier - 3</v>
      </c>
      <c r="O826" t="str">
        <f>VLOOKUP(A826,Hospitalisation_Details__2[],6,FALSE)</f>
        <v>tier - 3</v>
      </c>
      <c r="P826" t="str">
        <f>VLOOKUP(A826,Hospitalisation_Details__2[],7,FALSE)</f>
        <v>R1021</v>
      </c>
    </row>
    <row r="827" spans="1:16" x14ac:dyDescent="0.35">
      <c r="A827" t="str">
        <v>Id826</v>
      </c>
      <c r="B827" t="str">
        <f>VLOOKUP(A827,'Customer Names (2)'!A:B, 2,FALSE)</f>
        <v>Ms</v>
      </c>
      <c r="C827">
        <f>VLOOKUP(A827,Medical_Examinations[],2,FALSE)</f>
        <v>26.504999999999999</v>
      </c>
      <c r="D827">
        <f>VLOOKUP(A827,Medical_Examinations[],3,FALSE)</f>
        <v>6.79</v>
      </c>
      <c r="E827" t="str">
        <f>VLOOKUP(A827,Medical_Examinations[],4,FALSE)</f>
        <v>Yes</v>
      </c>
      <c r="F827" t="str">
        <f>VLOOKUP(A827,Medical_Examinations[],5,FALSE)</f>
        <v>No</v>
      </c>
      <c r="G827" t="str">
        <f>VLOOKUP(A827,Medical_Examinations[],6,FALSE)</f>
        <v>Yes</v>
      </c>
      <c r="H827">
        <f>VLOOKUP(A827,Medical_Examinations[],7,FALSE)</f>
        <v>1</v>
      </c>
      <c r="I827" t="str">
        <f>VLOOKUP(A827,Medical_Examinations[],8,FALSE)</f>
        <v>No</v>
      </c>
      <c r="J827" t="str">
        <f>VLOOKUP(A827,Medical_Examinations[],9,FALSE)</f>
        <v>Overweight</v>
      </c>
      <c r="K827" t="str">
        <f>VLOOKUP(A827,Medical_Examinations[],10,FALSE)</f>
        <v>Diabetes</v>
      </c>
      <c r="M827">
        <f>VLOOKUP(A827,Hospitalisation_Details__2[],4,FALSE)</f>
        <v>12815.44</v>
      </c>
      <c r="N827" t="str">
        <f>VLOOKUP(A827,Hospitalisation_Details__2[],5,FALSE)</f>
        <v>tier - 3</v>
      </c>
      <c r="O827" t="str">
        <f>VLOOKUP(A827,Hospitalisation_Details__2[],6,FALSE)</f>
        <v>tier - 3</v>
      </c>
      <c r="P827" t="str">
        <f>VLOOKUP(A827,Hospitalisation_Details__2[],7,FALSE)</f>
        <v>R1024</v>
      </c>
    </row>
    <row r="828" spans="1:16" x14ac:dyDescent="0.35">
      <c r="A828" t="str">
        <v>Id827</v>
      </c>
      <c r="B828" t="str">
        <f>VLOOKUP(A828,'Customer Names (2)'!A:B, 2,FALSE)</f>
        <v>Ms</v>
      </c>
      <c r="C828">
        <f>VLOOKUP(A828,Medical_Examinations[],2,FALSE)</f>
        <v>36.479999999999997</v>
      </c>
      <c r="D828">
        <f>VLOOKUP(A828,Medical_Examinations[],3,FALSE)</f>
        <v>11.09</v>
      </c>
      <c r="E828" t="str">
        <f>VLOOKUP(A828,Medical_Examinations[],4,FALSE)</f>
        <v>No</v>
      </c>
      <c r="F828" t="str">
        <f>VLOOKUP(A828,Medical_Examinations[],5,FALSE)</f>
        <v>No</v>
      </c>
      <c r="G828" t="str">
        <f>VLOOKUP(A828,Medical_Examinations[],6,FALSE)</f>
        <v>No</v>
      </c>
      <c r="H828">
        <f>VLOOKUP(A828,Medical_Examinations[],7,FALSE)</f>
        <v>0</v>
      </c>
      <c r="I828" t="str">
        <f>VLOOKUP(A828,Medical_Examinations[],8,FALSE)</f>
        <v>No</v>
      </c>
      <c r="J828" t="str">
        <f>VLOOKUP(A828,Medical_Examinations[],9,FALSE)</f>
        <v>Obesity</v>
      </c>
      <c r="K828" t="str">
        <f>VLOOKUP(A828,Medical_Examinations[],10,FALSE)</f>
        <v>Diabetes</v>
      </c>
      <c r="M828">
        <f>VLOOKUP(A828,Hospitalisation_Details__2[],4,FALSE)</f>
        <v>12797.21</v>
      </c>
      <c r="N828" t="str">
        <f>VLOOKUP(A828,Hospitalisation_Details__2[],5,FALSE)</f>
        <v>tier - 3</v>
      </c>
      <c r="O828" t="str">
        <f>VLOOKUP(A828,Hospitalisation_Details__2[],6,FALSE)</f>
        <v>tier - 1</v>
      </c>
      <c r="P828" t="str">
        <f>VLOOKUP(A828,Hospitalisation_Details__2[],7,FALSE)</f>
        <v>R1024</v>
      </c>
    </row>
    <row r="829" spans="1:16" x14ac:dyDescent="0.35">
      <c r="A829" t="str">
        <v>Id828</v>
      </c>
      <c r="B829" t="str">
        <f>VLOOKUP(A829,'Customer Names (2)'!A:B, 2,FALSE)</f>
        <v>Mrs</v>
      </c>
      <c r="C829">
        <f>VLOOKUP(A829,Medical_Examinations[],2,FALSE)</f>
        <v>39.159999999999997</v>
      </c>
      <c r="D829">
        <f>VLOOKUP(A829,Medical_Examinations[],3,FALSE)</f>
        <v>5.24</v>
      </c>
      <c r="E829" t="str">
        <f>VLOOKUP(A829,Medical_Examinations[],4,FALSE)</f>
        <v>Yes</v>
      </c>
      <c r="F829" t="str">
        <f>VLOOKUP(A829,Medical_Examinations[],5,FALSE)</f>
        <v>No</v>
      </c>
      <c r="G829" t="str">
        <f>VLOOKUP(A829,Medical_Examinations[],6,FALSE)</f>
        <v>Yes</v>
      </c>
      <c r="H829">
        <f>VLOOKUP(A829,Medical_Examinations[],7,FALSE)</f>
        <v>1</v>
      </c>
      <c r="I829" t="str">
        <f>VLOOKUP(A829,Medical_Examinations[],8,FALSE)</f>
        <v>No</v>
      </c>
      <c r="J829" t="str">
        <f>VLOOKUP(A829,Medical_Examinations[],9,FALSE)</f>
        <v>Obesity</v>
      </c>
      <c r="K829" t="str">
        <f>VLOOKUP(A829,Medical_Examinations[],10,FALSE)</f>
        <v>Normal</v>
      </c>
      <c r="M829">
        <f>VLOOKUP(A829,Hospitalisation_Details__2[],4,FALSE)</f>
        <v>12788.18</v>
      </c>
      <c r="N829" t="str">
        <f>VLOOKUP(A829,Hospitalisation_Details__2[],5,FALSE)</f>
        <v>tier - 3</v>
      </c>
      <c r="O829" t="str">
        <f>VLOOKUP(A829,Hospitalisation_Details__2[],6,FALSE)</f>
        <v>tier - 1</v>
      </c>
      <c r="P829" t="str">
        <f>VLOOKUP(A829,Hospitalisation_Details__2[],7,FALSE)</f>
        <v>R1026</v>
      </c>
    </row>
    <row r="830" spans="1:16" x14ac:dyDescent="0.35">
      <c r="A830" t="str">
        <v>Id829</v>
      </c>
      <c r="B830" t="str">
        <f>VLOOKUP(A830,'Customer Names (2)'!A:B, 2,FALSE)</f>
        <v>Mrs</v>
      </c>
      <c r="C830">
        <f>VLOOKUP(A830,Medical_Examinations[],2,FALSE)</f>
        <v>28.22</v>
      </c>
      <c r="D830">
        <f>VLOOKUP(A830,Medical_Examinations[],3,FALSE)</f>
        <v>7.51</v>
      </c>
      <c r="E830" t="str">
        <f>VLOOKUP(A830,Medical_Examinations[],4,FALSE)</f>
        <v>Yes</v>
      </c>
      <c r="F830" t="str">
        <f>VLOOKUP(A830,Medical_Examinations[],5,FALSE)</f>
        <v>No</v>
      </c>
      <c r="G830" t="str">
        <f>VLOOKUP(A830,Medical_Examinations[],6,FALSE)</f>
        <v>Yes</v>
      </c>
      <c r="H830">
        <f>VLOOKUP(A830,Medical_Examinations[],7,FALSE)</f>
        <v>1</v>
      </c>
      <c r="I830" t="str">
        <f>VLOOKUP(A830,Medical_Examinations[],8,FALSE)</f>
        <v>No</v>
      </c>
      <c r="J830" t="str">
        <f>VLOOKUP(A830,Medical_Examinations[],9,FALSE)</f>
        <v>Overweight</v>
      </c>
      <c r="K830" t="str">
        <f>VLOOKUP(A830,Medical_Examinations[],10,FALSE)</f>
        <v>Diabetes</v>
      </c>
      <c r="M830">
        <f>VLOOKUP(A830,Hospitalisation_Details__2[],4,FALSE)</f>
        <v>12788.03</v>
      </c>
      <c r="N830" t="str">
        <f>VLOOKUP(A830,Hospitalisation_Details__2[],5,FALSE)</f>
        <v>tier - 3</v>
      </c>
      <c r="O830" t="str">
        <f>VLOOKUP(A830,Hospitalisation_Details__2[],6,FALSE)</f>
        <v>tier - 3</v>
      </c>
      <c r="P830" t="str">
        <f>VLOOKUP(A830,Hospitalisation_Details__2[],7,FALSE)</f>
        <v>R1025</v>
      </c>
    </row>
    <row r="831" spans="1:16" x14ac:dyDescent="0.35">
      <c r="A831" t="str">
        <v>Id830</v>
      </c>
      <c r="B831" t="str">
        <f>VLOOKUP(A831,'Customer Names (2)'!A:B, 2,FALSE)</f>
        <v>Mrs</v>
      </c>
      <c r="C831">
        <f>VLOOKUP(A831,Medical_Examinations[],2,FALSE)</f>
        <v>35</v>
      </c>
      <c r="D831">
        <f>VLOOKUP(A831,Medical_Examinations[],3,FALSE)</f>
        <v>4.13</v>
      </c>
      <c r="E831" t="str">
        <f>VLOOKUP(A831,Medical_Examinations[],4,FALSE)</f>
        <v>No</v>
      </c>
      <c r="F831" t="str">
        <f>VLOOKUP(A831,Medical_Examinations[],5,FALSE)</f>
        <v>No</v>
      </c>
      <c r="G831" t="str">
        <f>VLOOKUP(A831,Medical_Examinations[],6,FALSE)</f>
        <v>No</v>
      </c>
      <c r="H831">
        <f>VLOOKUP(A831,Medical_Examinations[],7,FALSE)</f>
        <v>2</v>
      </c>
      <c r="I831" t="str">
        <f>VLOOKUP(A831,Medical_Examinations[],8,FALSE)</f>
        <v>No</v>
      </c>
      <c r="J831" t="str">
        <f>VLOOKUP(A831,Medical_Examinations[],9,FALSE)</f>
        <v>Obesity</v>
      </c>
      <c r="K831" t="str">
        <f>VLOOKUP(A831,Medical_Examinations[],10,FALSE)</f>
        <v>Normal</v>
      </c>
      <c r="M831">
        <f>VLOOKUP(A831,Hospitalisation_Details__2[],4,FALSE)</f>
        <v>12776.05</v>
      </c>
      <c r="N831" t="str">
        <f>VLOOKUP(A831,Hospitalisation_Details__2[],5,FALSE)</f>
        <v>tier - 3</v>
      </c>
      <c r="O831" t="str">
        <f>VLOOKUP(A831,Hospitalisation_Details__2[],6,FALSE)</f>
        <v>tier - 3</v>
      </c>
      <c r="P831" t="str">
        <f>VLOOKUP(A831,Hospitalisation_Details__2[],7,FALSE)</f>
        <v>R1026</v>
      </c>
    </row>
    <row r="832" spans="1:16" x14ac:dyDescent="0.35">
      <c r="A832" t="str">
        <v>Id831</v>
      </c>
      <c r="B832" t="str">
        <f>VLOOKUP(A832,'Customer Names (2)'!A:B, 2,FALSE)</f>
        <v>Mr</v>
      </c>
      <c r="C832">
        <f>VLOOKUP(A832,Medical_Examinations[],2,FALSE)</f>
        <v>36.24</v>
      </c>
      <c r="D832">
        <f>VLOOKUP(A832,Medical_Examinations[],3,FALSE)</f>
        <v>8.3800000000000008</v>
      </c>
      <c r="E832" t="str">
        <f>VLOOKUP(A832,Medical_Examinations[],4,FALSE)</f>
        <v>Yes</v>
      </c>
      <c r="F832" t="str">
        <f>VLOOKUP(A832,Medical_Examinations[],5,FALSE)</f>
        <v>No</v>
      </c>
      <c r="G832" t="str">
        <f>VLOOKUP(A832,Medical_Examinations[],6,FALSE)</f>
        <v>No</v>
      </c>
      <c r="H832">
        <f>VLOOKUP(A832,Medical_Examinations[],7,FALSE)</f>
        <v>1</v>
      </c>
      <c r="I832" t="str">
        <f>VLOOKUP(A832,Medical_Examinations[],8,FALSE)</f>
        <v>No</v>
      </c>
      <c r="J832" t="str">
        <f>VLOOKUP(A832,Medical_Examinations[],9,FALSE)</f>
        <v>Obesity</v>
      </c>
      <c r="K832" t="str">
        <f>VLOOKUP(A832,Medical_Examinations[],10,FALSE)</f>
        <v>Diabetes</v>
      </c>
      <c r="M832">
        <f>VLOOKUP(A832,Hospitalisation_Details__2[],4,FALSE)</f>
        <v>12770.27</v>
      </c>
      <c r="N832" t="str">
        <f>VLOOKUP(A832,Hospitalisation_Details__2[],5,FALSE)</f>
        <v>tier - 3</v>
      </c>
      <c r="O832" t="str">
        <f>VLOOKUP(A832,Hospitalisation_Details__2[],6,FALSE)</f>
        <v>tier - 3</v>
      </c>
      <c r="P832" t="str">
        <f>VLOOKUP(A832,Hospitalisation_Details__2[],7,FALSE)</f>
        <v>R1021</v>
      </c>
    </row>
    <row r="833" spans="1:16" x14ac:dyDescent="0.35">
      <c r="A833" t="str">
        <v>Id832</v>
      </c>
      <c r="B833" t="str">
        <f>VLOOKUP(A833,'Customer Names (2)'!A:B, 2,FALSE)</f>
        <v>Mr</v>
      </c>
      <c r="C833">
        <f>VLOOKUP(A833,Medical_Examinations[],2,FALSE)</f>
        <v>36.954999999999998</v>
      </c>
      <c r="D833">
        <f>VLOOKUP(A833,Medical_Examinations[],3,FALSE)</f>
        <v>8.07</v>
      </c>
      <c r="E833" t="str">
        <f>VLOOKUP(A833,Medical_Examinations[],4,FALSE)</f>
        <v>No</v>
      </c>
      <c r="F833" t="str">
        <f>VLOOKUP(A833,Medical_Examinations[],5,FALSE)</f>
        <v>No</v>
      </c>
      <c r="G833" t="str">
        <f>VLOOKUP(A833,Medical_Examinations[],6,FALSE)</f>
        <v>No</v>
      </c>
      <c r="H833">
        <f>VLOOKUP(A833,Medical_Examinations[],7,FALSE)</f>
        <v>0</v>
      </c>
      <c r="I833" t="str">
        <f>VLOOKUP(A833,Medical_Examinations[],8,FALSE)</f>
        <v>No</v>
      </c>
      <c r="J833" t="str">
        <f>VLOOKUP(A833,Medical_Examinations[],9,FALSE)</f>
        <v>Obesity</v>
      </c>
      <c r="K833" t="str">
        <f>VLOOKUP(A833,Medical_Examinations[],10,FALSE)</f>
        <v>Diabetes</v>
      </c>
      <c r="M833">
        <f>VLOOKUP(A833,Hospitalisation_Details__2[],4,FALSE)</f>
        <v>12741.17</v>
      </c>
      <c r="N833" t="str">
        <f>VLOOKUP(A833,Hospitalisation_Details__2[],5,FALSE)</f>
        <v>tier - 3</v>
      </c>
      <c r="O833" t="str">
        <f>VLOOKUP(A833,Hospitalisation_Details__2[],6,FALSE)</f>
        <v>tier - 1</v>
      </c>
      <c r="P833" t="str">
        <f>VLOOKUP(A833,Hospitalisation_Details__2[],7,FALSE)</f>
        <v>R1017</v>
      </c>
    </row>
    <row r="834" spans="1:16" x14ac:dyDescent="0.35">
      <c r="A834" t="str">
        <v>Id833</v>
      </c>
      <c r="B834" t="str">
        <f>VLOOKUP(A834,'Customer Names (2)'!A:B, 2,FALSE)</f>
        <v>Mr</v>
      </c>
      <c r="C834">
        <f>VLOOKUP(A834,Medical_Examinations[],2,FALSE)</f>
        <v>29.64</v>
      </c>
      <c r="D834">
        <f>VLOOKUP(A834,Medical_Examinations[],3,FALSE)</f>
        <v>8.9499999999999993</v>
      </c>
      <c r="E834" t="str">
        <f>VLOOKUP(A834,Medical_Examinations[],4,FALSE)</f>
        <v>No</v>
      </c>
      <c r="F834" t="str">
        <f>VLOOKUP(A834,Medical_Examinations[],5,FALSE)</f>
        <v>No</v>
      </c>
      <c r="G834" t="str">
        <f>VLOOKUP(A834,Medical_Examinations[],6,FALSE)</f>
        <v>No</v>
      </c>
      <c r="H834">
        <f>VLOOKUP(A834,Medical_Examinations[],7,FALSE)</f>
        <v>0</v>
      </c>
      <c r="I834" t="str">
        <f>VLOOKUP(A834,Medical_Examinations[],8,FALSE)</f>
        <v>No</v>
      </c>
      <c r="J834" t="str">
        <f>VLOOKUP(A834,Medical_Examinations[],9,FALSE)</f>
        <v>Overweight</v>
      </c>
      <c r="K834" t="str">
        <f>VLOOKUP(A834,Medical_Examinations[],10,FALSE)</f>
        <v>Diabetes</v>
      </c>
      <c r="M834">
        <f>VLOOKUP(A834,Hospitalisation_Details__2[],4,FALSE)</f>
        <v>12731</v>
      </c>
      <c r="N834" t="str">
        <f>VLOOKUP(A834,Hospitalisation_Details__2[],5,FALSE)</f>
        <v>tier - 3</v>
      </c>
      <c r="O834" t="str">
        <f>VLOOKUP(A834,Hospitalisation_Details__2[],6,FALSE)</f>
        <v>tier - 3</v>
      </c>
      <c r="P834" t="str">
        <f>VLOOKUP(A834,Hospitalisation_Details__2[],7,FALSE)</f>
        <v>R1016</v>
      </c>
    </row>
    <row r="835" spans="1:16" x14ac:dyDescent="0.35">
      <c r="A835" t="str">
        <v>Id834</v>
      </c>
      <c r="B835" t="str">
        <f>VLOOKUP(A835,'Customer Names (2)'!A:B, 2,FALSE)</f>
        <v>Mrs</v>
      </c>
      <c r="C835">
        <f>VLOOKUP(A835,Medical_Examinations[],2,FALSE)</f>
        <v>42.74</v>
      </c>
      <c r="D835">
        <f>VLOOKUP(A835,Medical_Examinations[],3,FALSE)</f>
        <v>6.31</v>
      </c>
      <c r="E835" t="str">
        <f>VLOOKUP(A835,Medical_Examinations[],4,FALSE)</f>
        <v>Yes</v>
      </c>
      <c r="F835" t="str">
        <f>VLOOKUP(A835,Medical_Examinations[],5,FALSE)</f>
        <v>No</v>
      </c>
      <c r="G835" t="str">
        <f>VLOOKUP(A835,Medical_Examinations[],6,FALSE)</f>
        <v>No</v>
      </c>
      <c r="H835">
        <f>VLOOKUP(A835,Medical_Examinations[],7,FALSE)</f>
        <v>1</v>
      </c>
      <c r="I835" t="str">
        <f>VLOOKUP(A835,Medical_Examinations[],8,FALSE)</f>
        <v>No</v>
      </c>
      <c r="J835" t="str">
        <f>VLOOKUP(A835,Medical_Examinations[],9,FALSE)</f>
        <v>Obesity</v>
      </c>
      <c r="K835" t="str">
        <f>VLOOKUP(A835,Medical_Examinations[],10,FALSE)</f>
        <v>Prediabetes</v>
      </c>
      <c r="M835">
        <f>VLOOKUP(A835,Hospitalisation_Details__2[],4,FALSE)</f>
        <v>12718.21</v>
      </c>
      <c r="N835" t="str">
        <f>VLOOKUP(A835,Hospitalisation_Details__2[],5,FALSE)</f>
        <v>tier - 3</v>
      </c>
      <c r="O835" t="str">
        <f>VLOOKUP(A835,Hospitalisation_Details__2[],6,FALSE)</f>
        <v>tier - 1</v>
      </c>
      <c r="P835" t="str">
        <f>VLOOKUP(A835,Hospitalisation_Details__2[],7,FALSE)</f>
        <v>R1026</v>
      </c>
    </row>
    <row r="836" spans="1:16" x14ac:dyDescent="0.35">
      <c r="A836" t="str">
        <v>Id835</v>
      </c>
      <c r="B836" t="str">
        <f>VLOOKUP(A836,'Customer Names (2)'!A:B, 2,FALSE)</f>
        <v>Ms</v>
      </c>
      <c r="C836">
        <f>VLOOKUP(A836,Medical_Examinations[],2,FALSE)</f>
        <v>36.130000000000003</v>
      </c>
      <c r="D836">
        <f>VLOOKUP(A836,Medical_Examinations[],3,FALSE)</f>
        <v>7.19</v>
      </c>
      <c r="E836" t="str">
        <f>VLOOKUP(A836,Medical_Examinations[],4,FALSE)</f>
        <v>Yes</v>
      </c>
      <c r="F836" t="str">
        <f>VLOOKUP(A836,Medical_Examinations[],5,FALSE)</f>
        <v>No</v>
      </c>
      <c r="G836" t="str">
        <f>VLOOKUP(A836,Medical_Examinations[],6,FALSE)</f>
        <v>No</v>
      </c>
      <c r="H836">
        <f>VLOOKUP(A836,Medical_Examinations[],7,FALSE)</f>
        <v>2</v>
      </c>
      <c r="I836" t="str">
        <f>VLOOKUP(A836,Medical_Examinations[],8,FALSE)</f>
        <v>No</v>
      </c>
      <c r="J836" t="str">
        <f>VLOOKUP(A836,Medical_Examinations[],9,FALSE)</f>
        <v>Obesity</v>
      </c>
      <c r="K836" t="str">
        <f>VLOOKUP(A836,Medical_Examinations[],10,FALSE)</f>
        <v>Diabetes</v>
      </c>
      <c r="M836">
        <f>VLOOKUP(A836,Hospitalisation_Details__2[],4,FALSE)</f>
        <v>12713</v>
      </c>
      <c r="N836" t="str">
        <f>VLOOKUP(A836,Hospitalisation_Details__2[],5,FALSE)</f>
        <v>tier - 3</v>
      </c>
      <c r="O836" t="str">
        <f>VLOOKUP(A836,Hospitalisation_Details__2[],6,FALSE)</f>
        <v>tier - 1</v>
      </c>
      <c r="P836" t="str">
        <f>VLOOKUP(A836,Hospitalisation_Details__2[],7,FALSE)</f>
        <v>R1011</v>
      </c>
    </row>
    <row r="837" spans="1:16" x14ac:dyDescent="0.35">
      <c r="A837" t="str">
        <v>Id836</v>
      </c>
      <c r="B837" t="str">
        <f>VLOOKUP(A837,'Customer Names (2)'!A:B, 2,FALSE)</f>
        <v>Ms</v>
      </c>
      <c r="C837">
        <f>VLOOKUP(A837,Medical_Examinations[],2,FALSE)</f>
        <v>31.55</v>
      </c>
      <c r="D837">
        <f>VLOOKUP(A837,Medical_Examinations[],3,FALSE)</f>
        <v>6.11</v>
      </c>
      <c r="E837" t="str">
        <f>VLOOKUP(A837,Medical_Examinations[],4,FALSE)</f>
        <v>Yes</v>
      </c>
      <c r="F837" t="str">
        <f>VLOOKUP(A837,Medical_Examinations[],5,FALSE)</f>
        <v>No</v>
      </c>
      <c r="G837" t="str">
        <f>VLOOKUP(A837,Medical_Examinations[],6,FALSE)</f>
        <v>No</v>
      </c>
      <c r="H837">
        <f>VLOOKUP(A837,Medical_Examinations[],7,FALSE)</f>
        <v>1</v>
      </c>
      <c r="I837" t="str">
        <f>VLOOKUP(A837,Medical_Examinations[],8,FALSE)</f>
        <v>No</v>
      </c>
      <c r="J837" t="str">
        <f>VLOOKUP(A837,Medical_Examinations[],9,FALSE)</f>
        <v>Obesity</v>
      </c>
      <c r="K837" t="str">
        <f>VLOOKUP(A837,Medical_Examinations[],10,FALSE)</f>
        <v>Prediabetes</v>
      </c>
      <c r="M837">
        <f>VLOOKUP(A837,Hospitalisation_Details__2[],4,FALSE)</f>
        <v>12700.63</v>
      </c>
      <c r="N837" t="str">
        <f>VLOOKUP(A837,Hospitalisation_Details__2[],5,FALSE)</f>
        <v>tier - 3</v>
      </c>
      <c r="O837" t="str">
        <f>VLOOKUP(A837,Hospitalisation_Details__2[],6,FALSE)</f>
        <v>tier - 3</v>
      </c>
      <c r="P837" t="str">
        <f>VLOOKUP(A837,Hospitalisation_Details__2[],7,FALSE)</f>
        <v>R1011</v>
      </c>
    </row>
    <row r="838" spans="1:16" x14ac:dyDescent="0.35">
      <c r="A838" t="str">
        <v>Id837</v>
      </c>
      <c r="B838" t="str">
        <f>VLOOKUP(A838,'Customer Names (2)'!A:B, 2,FALSE)</f>
        <v>Ms</v>
      </c>
      <c r="C838">
        <f>VLOOKUP(A838,Medical_Examinations[],2,FALSE)</f>
        <v>52.75</v>
      </c>
      <c r="D838">
        <f>VLOOKUP(A838,Medical_Examinations[],3,FALSE)</f>
        <v>6.02</v>
      </c>
      <c r="E838" t="str">
        <f>VLOOKUP(A838,Medical_Examinations[],4,FALSE)</f>
        <v>No</v>
      </c>
      <c r="F838" t="str">
        <f>VLOOKUP(A838,Medical_Examinations[],5,FALSE)</f>
        <v>No</v>
      </c>
      <c r="G838" t="str">
        <f>VLOOKUP(A838,Medical_Examinations[],6,FALSE)</f>
        <v>No</v>
      </c>
      <c r="H838">
        <f>VLOOKUP(A838,Medical_Examinations[],7,FALSE)</f>
        <v>1</v>
      </c>
      <c r="I838" t="str">
        <f>VLOOKUP(A838,Medical_Examinations[],8,FALSE)</f>
        <v>No</v>
      </c>
      <c r="J838" t="str">
        <f>VLOOKUP(A838,Medical_Examinations[],9,FALSE)</f>
        <v>Obesity</v>
      </c>
      <c r="K838" t="str">
        <f>VLOOKUP(A838,Medical_Examinations[],10,FALSE)</f>
        <v>Prediabetes</v>
      </c>
      <c r="M838">
        <f>VLOOKUP(A838,Hospitalisation_Details__2[],4,FALSE)</f>
        <v>12699.56</v>
      </c>
      <c r="N838" t="str">
        <f>VLOOKUP(A838,Hospitalisation_Details__2[],5,FALSE)</f>
        <v>tier - 3</v>
      </c>
      <c r="O838" t="str">
        <f>VLOOKUP(A838,Hospitalisation_Details__2[],6,FALSE)</f>
        <v>tier - 2</v>
      </c>
      <c r="P838" t="str">
        <f>VLOOKUP(A838,Hospitalisation_Details__2[],7,FALSE)</f>
        <v>R1011</v>
      </c>
    </row>
    <row r="839" spans="1:16" x14ac:dyDescent="0.35">
      <c r="A839" t="str">
        <v>Id838</v>
      </c>
      <c r="B839" t="str">
        <f>VLOOKUP(A839,'Customer Names (2)'!A:B, 2,FALSE)</f>
        <v>Mr</v>
      </c>
      <c r="C839">
        <f>VLOOKUP(A839,Medical_Examinations[],2,FALSE)</f>
        <v>36.67</v>
      </c>
      <c r="D839">
        <f>VLOOKUP(A839,Medical_Examinations[],3,FALSE)</f>
        <v>11.86</v>
      </c>
      <c r="E839" t="str">
        <f>VLOOKUP(A839,Medical_Examinations[],4,FALSE)</f>
        <v>No</v>
      </c>
      <c r="F839" t="str">
        <f>VLOOKUP(A839,Medical_Examinations[],5,FALSE)</f>
        <v>No</v>
      </c>
      <c r="G839" t="str">
        <f>VLOOKUP(A839,Medical_Examinations[],6,FALSE)</f>
        <v>No</v>
      </c>
      <c r="H839">
        <f>VLOOKUP(A839,Medical_Examinations[],7,FALSE)</f>
        <v>0</v>
      </c>
      <c r="I839" t="str">
        <f>VLOOKUP(A839,Medical_Examinations[],8,FALSE)</f>
        <v>No</v>
      </c>
      <c r="J839" t="str">
        <f>VLOOKUP(A839,Medical_Examinations[],9,FALSE)</f>
        <v>Obesity</v>
      </c>
      <c r="K839" t="str">
        <f>VLOOKUP(A839,Medical_Examinations[],10,FALSE)</f>
        <v>Diabetes</v>
      </c>
      <c r="M839">
        <f>VLOOKUP(A839,Hospitalisation_Details__2[],4,FALSE)</f>
        <v>12697.48</v>
      </c>
      <c r="N839" t="str">
        <f>VLOOKUP(A839,Hospitalisation_Details__2[],5,FALSE)</f>
        <v>tier - 3</v>
      </c>
      <c r="O839" t="str">
        <f>VLOOKUP(A839,Hospitalisation_Details__2[],6,FALSE)</f>
        <v>tier - 3</v>
      </c>
      <c r="P839" t="str">
        <f>VLOOKUP(A839,Hospitalisation_Details__2[],7,FALSE)</f>
        <v>R1021</v>
      </c>
    </row>
    <row r="840" spans="1:16" x14ac:dyDescent="0.35">
      <c r="A840" t="str">
        <v>Id839</v>
      </c>
      <c r="B840" t="str">
        <f>VLOOKUP(A840,'Customer Names (2)'!A:B, 2,FALSE)</f>
        <v>Ms</v>
      </c>
      <c r="C840">
        <f>VLOOKUP(A840,Medical_Examinations[],2,FALSE)</f>
        <v>38.06</v>
      </c>
      <c r="D840">
        <f>VLOOKUP(A840,Medical_Examinations[],3,FALSE)</f>
        <v>8.25</v>
      </c>
      <c r="E840" t="str">
        <f>VLOOKUP(A840,Medical_Examinations[],4,FALSE)</f>
        <v>No</v>
      </c>
      <c r="F840" t="str">
        <f>VLOOKUP(A840,Medical_Examinations[],5,FALSE)</f>
        <v>No</v>
      </c>
      <c r="G840" t="str">
        <f>VLOOKUP(A840,Medical_Examinations[],6,FALSE)</f>
        <v>No</v>
      </c>
      <c r="H840">
        <f>VLOOKUP(A840,Medical_Examinations[],7,FALSE)</f>
        <v>0</v>
      </c>
      <c r="I840" t="str">
        <f>VLOOKUP(A840,Medical_Examinations[],8,FALSE)</f>
        <v>No</v>
      </c>
      <c r="J840" t="str">
        <f>VLOOKUP(A840,Medical_Examinations[],9,FALSE)</f>
        <v>Obesity</v>
      </c>
      <c r="K840" t="str">
        <f>VLOOKUP(A840,Medical_Examinations[],10,FALSE)</f>
        <v>Diabetes</v>
      </c>
      <c r="M840">
        <f>VLOOKUP(A840,Hospitalisation_Details__2[],4,FALSE)</f>
        <v>12648.7</v>
      </c>
      <c r="N840" t="str">
        <f>VLOOKUP(A840,Hospitalisation_Details__2[],5,FALSE)</f>
        <v>tier - 3</v>
      </c>
      <c r="O840" t="str">
        <f>VLOOKUP(A840,Hospitalisation_Details__2[],6,FALSE)</f>
        <v>tier - 2</v>
      </c>
      <c r="P840" t="str">
        <f>VLOOKUP(A840,Hospitalisation_Details__2[],7,FALSE)</f>
        <v>R1013</v>
      </c>
    </row>
    <row r="841" spans="1:16" x14ac:dyDescent="0.35">
      <c r="A841" t="str">
        <v>Id840</v>
      </c>
      <c r="B841" t="str">
        <f>VLOOKUP(A841,'Customer Names (2)'!A:B, 2,FALSE)</f>
        <v>Ms</v>
      </c>
      <c r="C841">
        <f>VLOOKUP(A841,Medical_Examinations[],2,FALSE)</f>
        <v>38</v>
      </c>
      <c r="D841">
        <f>VLOOKUP(A841,Medical_Examinations[],3,FALSE)</f>
        <v>8.1300000000000008</v>
      </c>
      <c r="E841" t="str">
        <f>VLOOKUP(A841,Medical_Examinations[],4,FALSE)</f>
        <v>No</v>
      </c>
      <c r="F841" t="str">
        <f>VLOOKUP(A841,Medical_Examinations[],5,FALSE)</f>
        <v>No</v>
      </c>
      <c r="G841" t="str">
        <f>VLOOKUP(A841,Medical_Examinations[],6,FALSE)</f>
        <v>No</v>
      </c>
      <c r="H841">
        <f>VLOOKUP(A841,Medical_Examinations[],7,FALSE)</f>
        <v>0</v>
      </c>
      <c r="I841" t="str">
        <f>VLOOKUP(A841,Medical_Examinations[],8,FALSE)</f>
        <v>No</v>
      </c>
      <c r="J841" t="str">
        <f>VLOOKUP(A841,Medical_Examinations[],9,FALSE)</f>
        <v>Obesity</v>
      </c>
      <c r="K841" t="str">
        <f>VLOOKUP(A841,Medical_Examinations[],10,FALSE)</f>
        <v>Diabetes</v>
      </c>
      <c r="M841">
        <f>VLOOKUP(A841,Hospitalisation_Details__2[],4,FALSE)</f>
        <v>12646.21</v>
      </c>
      <c r="N841" t="str">
        <f>VLOOKUP(A841,Hospitalisation_Details__2[],5,FALSE)</f>
        <v>tier - 3</v>
      </c>
      <c r="O841" t="str">
        <f>VLOOKUP(A841,Hospitalisation_Details__2[],6,FALSE)</f>
        <v>tier - 2</v>
      </c>
      <c r="P841" t="str">
        <f>VLOOKUP(A841,Hospitalisation_Details__2[],7,FALSE)</f>
        <v>R1011</v>
      </c>
    </row>
    <row r="842" spans="1:16" x14ac:dyDescent="0.35">
      <c r="A842" t="str">
        <v>Id841</v>
      </c>
      <c r="B842" t="str">
        <f>VLOOKUP(A842,'Customer Names (2)'!A:B, 2,FALSE)</f>
        <v>Ms</v>
      </c>
      <c r="C842">
        <f>VLOOKUP(A842,Medical_Examinations[],2,FALSE)</f>
        <v>35.1</v>
      </c>
      <c r="D842">
        <f>VLOOKUP(A842,Medical_Examinations[],3,FALSE)</f>
        <v>10.1</v>
      </c>
      <c r="E842" t="str">
        <f>VLOOKUP(A842,Medical_Examinations[],4,FALSE)</f>
        <v>No</v>
      </c>
      <c r="F842" t="str">
        <f>VLOOKUP(A842,Medical_Examinations[],5,FALSE)</f>
        <v>No</v>
      </c>
      <c r="G842" t="str">
        <f>VLOOKUP(A842,Medical_Examinations[],6,FALSE)</f>
        <v>No</v>
      </c>
      <c r="H842">
        <f>VLOOKUP(A842,Medical_Examinations[],7,FALSE)</f>
        <v>0</v>
      </c>
      <c r="I842" t="str">
        <f>VLOOKUP(A842,Medical_Examinations[],8,FALSE)</f>
        <v>No</v>
      </c>
      <c r="J842" t="str">
        <f>VLOOKUP(A842,Medical_Examinations[],9,FALSE)</f>
        <v>Obesity</v>
      </c>
      <c r="K842" t="str">
        <f>VLOOKUP(A842,Medical_Examinations[],10,FALSE)</f>
        <v>Diabetes</v>
      </c>
      <c r="M842">
        <f>VLOOKUP(A842,Hospitalisation_Details__2[],4,FALSE)</f>
        <v>12644.59</v>
      </c>
      <c r="N842" t="str">
        <f>VLOOKUP(A842,Hospitalisation_Details__2[],5,FALSE)</f>
        <v>tier - 3</v>
      </c>
      <c r="O842" t="str">
        <f>VLOOKUP(A842,Hospitalisation_Details__2[],6,FALSE)</f>
        <v>tier - 2</v>
      </c>
      <c r="P842" t="str">
        <f>VLOOKUP(A842,Hospitalisation_Details__2[],7,FALSE)</f>
        <v>R1011</v>
      </c>
    </row>
    <row r="843" spans="1:16" x14ac:dyDescent="0.35">
      <c r="A843" t="str">
        <v>Id842</v>
      </c>
      <c r="B843" t="str">
        <f>VLOOKUP(A843,'Customer Names (2)'!A:B, 2,FALSE)</f>
        <v>Ms</v>
      </c>
      <c r="C843">
        <f>VLOOKUP(A843,Medical_Examinations[],2,FALSE)</f>
        <v>33.82</v>
      </c>
      <c r="D843">
        <f>VLOOKUP(A843,Medical_Examinations[],3,FALSE)</f>
        <v>5.89</v>
      </c>
      <c r="E843" t="str">
        <f>VLOOKUP(A843,Medical_Examinations[],4,FALSE)</f>
        <v>Yes</v>
      </c>
      <c r="F843" t="str">
        <f>VLOOKUP(A843,Medical_Examinations[],5,FALSE)</f>
        <v>No</v>
      </c>
      <c r="G843" t="str">
        <f>VLOOKUP(A843,Medical_Examinations[],6,FALSE)</f>
        <v>No</v>
      </c>
      <c r="H843">
        <f>VLOOKUP(A843,Medical_Examinations[],7,FALSE)</f>
        <v>2</v>
      </c>
      <c r="I843" t="str">
        <f>VLOOKUP(A843,Medical_Examinations[],8,FALSE)</f>
        <v>No</v>
      </c>
      <c r="J843" t="str">
        <f>VLOOKUP(A843,Medical_Examinations[],9,FALSE)</f>
        <v>Obesity</v>
      </c>
      <c r="K843" t="str">
        <f>VLOOKUP(A843,Medical_Examinations[],10,FALSE)</f>
        <v>Prediabetes</v>
      </c>
      <c r="M843">
        <f>VLOOKUP(A843,Hospitalisation_Details__2[],4,FALSE)</f>
        <v>12643.38</v>
      </c>
      <c r="N843" t="str">
        <f>VLOOKUP(A843,Hospitalisation_Details__2[],5,FALSE)</f>
        <v>tier - 3</v>
      </c>
      <c r="O843" t="str">
        <f>VLOOKUP(A843,Hospitalisation_Details__2[],6,FALSE)</f>
        <v>tier - 1</v>
      </c>
      <c r="P843" t="str">
        <f>VLOOKUP(A843,Hospitalisation_Details__2[],7,FALSE)</f>
        <v>R1012</v>
      </c>
    </row>
    <row r="844" spans="1:16" x14ac:dyDescent="0.35">
      <c r="A844" t="str">
        <v>Id843</v>
      </c>
      <c r="B844" t="str">
        <f>VLOOKUP(A844,'Customer Names (2)'!A:B, 2,FALSE)</f>
        <v>Ms</v>
      </c>
      <c r="C844">
        <f>VLOOKUP(A844,Medical_Examinations[],2,FALSE)</f>
        <v>37.43</v>
      </c>
      <c r="D844">
        <f>VLOOKUP(A844,Medical_Examinations[],3,FALSE)</f>
        <v>4.97</v>
      </c>
      <c r="E844" t="str">
        <f>VLOOKUP(A844,Medical_Examinations[],4,FALSE)</f>
        <v>No</v>
      </c>
      <c r="F844" t="str">
        <f>VLOOKUP(A844,Medical_Examinations[],5,FALSE)</f>
        <v>No</v>
      </c>
      <c r="G844" t="str">
        <f>VLOOKUP(A844,Medical_Examinations[],6,FALSE)</f>
        <v>No</v>
      </c>
      <c r="H844">
        <f>VLOOKUP(A844,Medical_Examinations[],7,FALSE)</f>
        <v>2</v>
      </c>
      <c r="I844" t="str">
        <f>VLOOKUP(A844,Medical_Examinations[],8,FALSE)</f>
        <v>No</v>
      </c>
      <c r="J844" t="str">
        <f>VLOOKUP(A844,Medical_Examinations[],9,FALSE)</f>
        <v>Obesity</v>
      </c>
      <c r="K844" t="str">
        <f>VLOOKUP(A844,Medical_Examinations[],10,FALSE)</f>
        <v>Normal</v>
      </c>
      <c r="M844">
        <f>VLOOKUP(A844,Hospitalisation_Details__2[],4,FALSE)</f>
        <v>12640.24</v>
      </c>
      <c r="N844" t="str">
        <f>VLOOKUP(A844,Hospitalisation_Details__2[],5,FALSE)</f>
        <v>tier - 3</v>
      </c>
      <c r="O844" t="str">
        <f>VLOOKUP(A844,Hospitalisation_Details__2[],6,FALSE)</f>
        <v>tier - 1</v>
      </c>
      <c r="P844" t="str">
        <f>VLOOKUP(A844,Hospitalisation_Details__2[],7,FALSE)</f>
        <v>R1011</v>
      </c>
    </row>
    <row r="845" spans="1:16" x14ac:dyDescent="0.35">
      <c r="A845" t="str">
        <v>Id844</v>
      </c>
      <c r="B845" t="str">
        <f>VLOOKUP(A845,'Customer Names (2)'!A:B, 2,FALSE)</f>
        <v>Ms</v>
      </c>
      <c r="C845">
        <f>VLOOKUP(A845,Medical_Examinations[],2,FALSE)</f>
        <v>30.5</v>
      </c>
      <c r="D845">
        <f>VLOOKUP(A845,Medical_Examinations[],3,FALSE)</f>
        <v>9.9</v>
      </c>
      <c r="E845" t="str">
        <f>VLOOKUP(A845,Medical_Examinations[],4,FALSE)</f>
        <v>No</v>
      </c>
      <c r="F845" t="str">
        <f>VLOOKUP(A845,Medical_Examinations[],5,FALSE)</f>
        <v>No</v>
      </c>
      <c r="G845" t="str">
        <f>VLOOKUP(A845,Medical_Examinations[],6,FALSE)</f>
        <v>No</v>
      </c>
      <c r="H845">
        <f>VLOOKUP(A845,Medical_Examinations[],7,FALSE)</f>
        <v>0</v>
      </c>
      <c r="I845" t="str">
        <f>VLOOKUP(A845,Medical_Examinations[],8,FALSE)</f>
        <v>No</v>
      </c>
      <c r="J845" t="str">
        <f>VLOOKUP(A845,Medical_Examinations[],9,FALSE)</f>
        <v>Obesity</v>
      </c>
      <c r="K845" t="str">
        <f>VLOOKUP(A845,Medical_Examinations[],10,FALSE)</f>
        <v>Diabetes</v>
      </c>
      <c r="M845">
        <f>VLOOKUP(A845,Hospitalisation_Details__2[],4,FALSE)</f>
        <v>12638.2</v>
      </c>
      <c r="N845" t="str">
        <f>VLOOKUP(A845,Hospitalisation_Details__2[],5,FALSE)</f>
        <v>tier - 3</v>
      </c>
      <c r="O845" t="str">
        <f>VLOOKUP(A845,Hospitalisation_Details__2[],6,FALSE)</f>
        <v>tier - 1</v>
      </c>
      <c r="P845" t="str">
        <f>VLOOKUP(A845,Hospitalisation_Details__2[],7,FALSE)</f>
        <v>R1011</v>
      </c>
    </row>
    <row r="846" spans="1:16" x14ac:dyDescent="0.35">
      <c r="A846" t="str">
        <v>Id845</v>
      </c>
      <c r="B846" t="str">
        <f>VLOOKUP(A846,'Customer Names (2)'!A:B, 2,FALSE)</f>
        <v>Mrs</v>
      </c>
      <c r="C846">
        <f>VLOOKUP(A846,Medical_Examinations[],2,FALSE)</f>
        <v>24.53</v>
      </c>
      <c r="D846">
        <f>VLOOKUP(A846,Medical_Examinations[],3,FALSE)</f>
        <v>9.0500000000000007</v>
      </c>
      <c r="E846" t="str">
        <f>VLOOKUP(A846,Medical_Examinations[],4,FALSE)</f>
        <v>No</v>
      </c>
      <c r="F846" t="str">
        <f>VLOOKUP(A846,Medical_Examinations[],5,FALSE)</f>
        <v>No</v>
      </c>
      <c r="G846" t="str">
        <f>VLOOKUP(A846,Medical_Examinations[],6,FALSE)</f>
        <v>No</v>
      </c>
      <c r="H846">
        <f>VLOOKUP(A846,Medical_Examinations[],7,FALSE)</f>
        <v>0</v>
      </c>
      <c r="I846" t="str">
        <f>VLOOKUP(A846,Medical_Examinations[],8,FALSE)</f>
        <v>No</v>
      </c>
      <c r="J846" t="str">
        <f>VLOOKUP(A846,Medical_Examinations[],9,FALSE)</f>
        <v>Normal Weight</v>
      </c>
      <c r="K846" t="str">
        <f>VLOOKUP(A846,Medical_Examinations[],10,FALSE)</f>
        <v>Diabetes</v>
      </c>
      <c r="M846">
        <f>VLOOKUP(A846,Hospitalisation_Details__2[],4,FALSE)</f>
        <v>12629.9</v>
      </c>
      <c r="N846" t="str">
        <f>VLOOKUP(A846,Hospitalisation_Details__2[],5,FALSE)</f>
        <v>tier - 3</v>
      </c>
      <c r="O846" t="str">
        <f>VLOOKUP(A846,Hospitalisation_Details__2[],6,FALSE)</f>
        <v>tier - 3</v>
      </c>
      <c r="P846" t="str">
        <f>VLOOKUP(A846,Hospitalisation_Details__2[],7,FALSE)</f>
        <v>R1013</v>
      </c>
    </row>
    <row r="847" spans="1:16" x14ac:dyDescent="0.35">
      <c r="A847" t="str">
        <v>Id846</v>
      </c>
      <c r="B847" t="str">
        <f>VLOOKUP(A847,'Customer Names (2)'!A:B, 2,FALSE)</f>
        <v>Ms</v>
      </c>
      <c r="C847">
        <f>VLOOKUP(A847,Medical_Examinations[],2,FALSE)</f>
        <v>25.74</v>
      </c>
      <c r="D847">
        <f>VLOOKUP(A847,Medical_Examinations[],3,FALSE)</f>
        <v>10.93</v>
      </c>
      <c r="E847" t="str">
        <f>VLOOKUP(A847,Medical_Examinations[],4,FALSE)</f>
        <v>No</v>
      </c>
      <c r="F847" t="str">
        <f>VLOOKUP(A847,Medical_Examinations[],5,FALSE)</f>
        <v>No</v>
      </c>
      <c r="G847" t="str">
        <f>VLOOKUP(A847,Medical_Examinations[],6,FALSE)</f>
        <v>No</v>
      </c>
      <c r="H847">
        <f>VLOOKUP(A847,Medical_Examinations[],7,FALSE)</f>
        <v>0</v>
      </c>
      <c r="I847" t="str">
        <f>VLOOKUP(A847,Medical_Examinations[],8,FALSE)</f>
        <v>No</v>
      </c>
      <c r="J847" t="str">
        <f>VLOOKUP(A847,Medical_Examinations[],9,FALSE)</f>
        <v>Overweight</v>
      </c>
      <c r="K847" t="str">
        <f>VLOOKUP(A847,Medical_Examinations[],10,FALSE)</f>
        <v>Diabetes</v>
      </c>
      <c r="M847">
        <f>VLOOKUP(A847,Hospitalisation_Details__2[],4,FALSE)</f>
        <v>12629.17</v>
      </c>
      <c r="N847" t="str">
        <f>VLOOKUP(A847,Hospitalisation_Details__2[],5,FALSE)</f>
        <v>tier - 3</v>
      </c>
      <c r="O847" t="str">
        <f>VLOOKUP(A847,Hospitalisation_Details__2[],6,FALSE)</f>
        <v>tier - 1</v>
      </c>
      <c r="P847" t="str">
        <f>VLOOKUP(A847,Hospitalisation_Details__2[],7,FALSE)</f>
        <v>R1013</v>
      </c>
    </row>
    <row r="848" spans="1:16" x14ac:dyDescent="0.35">
      <c r="A848" t="str">
        <v>Id847</v>
      </c>
      <c r="B848" t="str">
        <f>VLOOKUP(A848,'Customer Names (2)'!A:B, 2,FALSE)</f>
        <v>Ms</v>
      </c>
      <c r="C848">
        <f>VLOOKUP(A848,Medical_Examinations[],2,FALSE)</f>
        <v>34.08</v>
      </c>
      <c r="D848">
        <f>VLOOKUP(A848,Medical_Examinations[],3,FALSE)</f>
        <v>7.58</v>
      </c>
      <c r="E848" t="str">
        <f>VLOOKUP(A848,Medical_Examinations[],4,FALSE)</f>
        <v>Yes</v>
      </c>
      <c r="F848" t="str">
        <f>VLOOKUP(A848,Medical_Examinations[],5,FALSE)</f>
        <v>No</v>
      </c>
      <c r="G848" t="str">
        <f>VLOOKUP(A848,Medical_Examinations[],6,FALSE)</f>
        <v>No</v>
      </c>
      <c r="H848">
        <f>VLOOKUP(A848,Medical_Examinations[],7,FALSE)</f>
        <v>2</v>
      </c>
      <c r="I848" t="str">
        <f>VLOOKUP(A848,Medical_Examinations[],8,FALSE)</f>
        <v>No</v>
      </c>
      <c r="J848" t="str">
        <f>VLOOKUP(A848,Medical_Examinations[],9,FALSE)</f>
        <v>Obesity</v>
      </c>
      <c r="K848" t="str">
        <f>VLOOKUP(A848,Medical_Examinations[],10,FALSE)</f>
        <v>Diabetes</v>
      </c>
      <c r="M848">
        <f>VLOOKUP(A848,Hospitalisation_Details__2[],4,FALSE)</f>
        <v>12624.74</v>
      </c>
      <c r="N848" t="str">
        <f>VLOOKUP(A848,Hospitalisation_Details__2[],5,FALSE)</f>
        <v>tier - 3</v>
      </c>
      <c r="O848" t="str">
        <f>VLOOKUP(A848,Hospitalisation_Details__2[],6,FALSE)</f>
        <v>tier - 1</v>
      </c>
      <c r="P848" t="str">
        <f>VLOOKUP(A848,Hospitalisation_Details__2[],7,FALSE)</f>
        <v>R1012</v>
      </c>
    </row>
    <row r="849" spans="1:16" x14ac:dyDescent="0.35">
      <c r="A849" t="str">
        <v>Id848</v>
      </c>
      <c r="B849" t="str">
        <f>VLOOKUP(A849,'Customer Names (2)'!A:B, 2,FALSE)</f>
        <v>Ms</v>
      </c>
      <c r="C849">
        <f>VLOOKUP(A849,Medical_Examinations[],2,FALSE)</f>
        <v>31.35</v>
      </c>
      <c r="D849">
        <f>VLOOKUP(A849,Medical_Examinations[],3,FALSE)</f>
        <v>11</v>
      </c>
      <c r="E849" t="str">
        <f>VLOOKUP(A849,Medical_Examinations[],4,FALSE)</f>
        <v>Yes</v>
      </c>
      <c r="F849" t="str">
        <f>VLOOKUP(A849,Medical_Examinations[],5,FALSE)</f>
        <v>No</v>
      </c>
      <c r="G849" t="str">
        <f>VLOOKUP(A849,Medical_Examinations[],6,FALSE)</f>
        <v>Yes</v>
      </c>
      <c r="H849">
        <f>VLOOKUP(A849,Medical_Examinations[],7,FALSE)</f>
        <v>1</v>
      </c>
      <c r="I849" t="str">
        <f>VLOOKUP(A849,Medical_Examinations[],8,FALSE)</f>
        <v>No</v>
      </c>
      <c r="J849" t="str">
        <f>VLOOKUP(A849,Medical_Examinations[],9,FALSE)</f>
        <v>Obesity</v>
      </c>
      <c r="K849" t="str">
        <f>VLOOKUP(A849,Medical_Examinations[],10,FALSE)</f>
        <v>Diabetes</v>
      </c>
      <c r="M849">
        <f>VLOOKUP(A849,Hospitalisation_Details__2[],4,FALSE)</f>
        <v>12622.18</v>
      </c>
      <c r="N849" t="str">
        <f>VLOOKUP(A849,Hospitalisation_Details__2[],5,FALSE)</f>
        <v>tier - 3</v>
      </c>
      <c r="O849" t="str">
        <f>VLOOKUP(A849,Hospitalisation_Details__2[],6,FALSE)</f>
        <v>tier - 1</v>
      </c>
      <c r="P849" t="str">
        <f>VLOOKUP(A849,Hospitalisation_Details__2[],7,FALSE)</f>
        <v>R1012</v>
      </c>
    </row>
    <row r="850" spans="1:16" x14ac:dyDescent="0.35">
      <c r="A850" t="str">
        <v>Id849</v>
      </c>
      <c r="B850" t="str">
        <f>VLOOKUP(A850,'Customer Names (2)'!A:B, 2,FALSE)</f>
        <v>Mr</v>
      </c>
      <c r="C850">
        <f>VLOOKUP(A850,Medical_Examinations[],2,FALSE)</f>
        <v>26.79</v>
      </c>
      <c r="D850">
        <f>VLOOKUP(A850,Medical_Examinations[],3,FALSE)</f>
        <v>5.0599999999999996</v>
      </c>
      <c r="E850" t="str">
        <f>VLOOKUP(A850,Medical_Examinations[],4,FALSE)</f>
        <v>No</v>
      </c>
      <c r="F850" t="str">
        <f>VLOOKUP(A850,Medical_Examinations[],5,FALSE)</f>
        <v>No</v>
      </c>
      <c r="G850" t="str">
        <f>VLOOKUP(A850,Medical_Examinations[],6,FALSE)</f>
        <v>No</v>
      </c>
      <c r="H850">
        <f>VLOOKUP(A850,Medical_Examinations[],7,FALSE)</f>
        <v>1</v>
      </c>
      <c r="I850" t="str">
        <f>VLOOKUP(A850,Medical_Examinations[],8,FALSE)</f>
        <v>No</v>
      </c>
      <c r="J850" t="str">
        <f>VLOOKUP(A850,Medical_Examinations[],9,FALSE)</f>
        <v>Overweight</v>
      </c>
      <c r="K850" t="str">
        <f>VLOOKUP(A850,Medical_Examinations[],10,FALSE)</f>
        <v>Normal</v>
      </c>
      <c r="M850">
        <f>VLOOKUP(A850,Hospitalisation_Details__2[],4,FALSE)</f>
        <v>12609.89</v>
      </c>
      <c r="N850" t="str">
        <f>VLOOKUP(A850,Hospitalisation_Details__2[],5,FALSE)</f>
        <v>tier - 3</v>
      </c>
      <c r="O850" t="str">
        <f>VLOOKUP(A850,Hospitalisation_Details__2[],6,FALSE)</f>
        <v>tier - 3</v>
      </c>
      <c r="P850" t="str">
        <f>VLOOKUP(A850,Hospitalisation_Details__2[],7,FALSE)</f>
        <v>R1012</v>
      </c>
    </row>
    <row r="851" spans="1:16" x14ac:dyDescent="0.35">
      <c r="A851" t="str">
        <v>Id850</v>
      </c>
      <c r="B851" t="str">
        <f>VLOOKUP(A851,'Customer Names (2)'!A:B, 2,FALSE)</f>
        <v>Mr</v>
      </c>
      <c r="C851">
        <f>VLOOKUP(A851,Medical_Examinations[],2,FALSE)</f>
        <v>42.78</v>
      </c>
      <c r="D851">
        <f>VLOOKUP(A851,Medical_Examinations[],3,FALSE)</f>
        <v>6.11</v>
      </c>
      <c r="E851" t="str">
        <f>VLOOKUP(A851,Medical_Examinations[],4,FALSE)</f>
        <v>Yes</v>
      </c>
      <c r="F851" t="str">
        <f>VLOOKUP(A851,Medical_Examinations[],5,FALSE)</f>
        <v>No</v>
      </c>
      <c r="G851" t="str">
        <f>VLOOKUP(A851,Medical_Examinations[],6,FALSE)</f>
        <v>No</v>
      </c>
      <c r="H851">
        <f>VLOOKUP(A851,Medical_Examinations[],7,FALSE)</f>
        <v>1</v>
      </c>
      <c r="I851" t="str">
        <f>VLOOKUP(A851,Medical_Examinations[],8,FALSE)</f>
        <v>No</v>
      </c>
      <c r="J851" t="str">
        <f>VLOOKUP(A851,Medical_Examinations[],9,FALSE)</f>
        <v>Obesity</v>
      </c>
      <c r="K851" t="str">
        <f>VLOOKUP(A851,Medical_Examinations[],10,FALSE)</f>
        <v>Prediabetes</v>
      </c>
      <c r="M851">
        <f>VLOOKUP(A851,Hospitalisation_Details__2[],4,FALSE)</f>
        <v>12600.46</v>
      </c>
      <c r="N851" t="str">
        <f>VLOOKUP(A851,Hospitalisation_Details__2[],5,FALSE)</f>
        <v>tier - 3</v>
      </c>
      <c r="O851" t="str">
        <f>VLOOKUP(A851,Hospitalisation_Details__2[],6,FALSE)</f>
        <v>tier - 1</v>
      </c>
      <c r="P851" t="str">
        <f>VLOOKUP(A851,Hospitalisation_Details__2[],7,FALSE)</f>
        <v>R1023</v>
      </c>
    </row>
    <row r="852" spans="1:16" x14ac:dyDescent="0.35">
      <c r="A852" t="str">
        <v>Id851</v>
      </c>
      <c r="B852" t="str">
        <f>VLOOKUP(A852,'Customer Names (2)'!A:B, 2,FALSE)</f>
        <v>Ms</v>
      </c>
      <c r="C852">
        <f>VLOOKUP(A852,Medical_Examinations[],2,FALSE)</f>
        <v>46.75</v>
      </c>
      <c r="D852">
        <f>VLOOKUP(A852,Medical_Examinations[],3,FALSE)</f>
        <v>6.66</v>
      </c>
      <c r="E852" t="str">
        <f>VLOOKUP(A852,Medical_Examinations[],4,FALSE)</f>
        <v>Yes</v>
      </c>
      <c r="F852" t="str">
        <f>VLOOKUP(A852,Medical_Examinations[],5,FALSE)</f>
        <v>No</v>
      </c>
      <c r="G852" t="str">
        <f>VLOOKUP(A852,Medical_Examinations[],6,FALSE)</f>
        <v>No</v>
      </c>
      <c r="H852">
        <f>VLOOKUP(A852,Medical_Examinations[],7,FALSE)</f>
        <v>2</v>
      </c>
      <c r="I852" t="str">
        <f>VLOOKUP(A852,Medical_Examinations[],8,FALSE)</f>
        <v>No</v>
      </c>
      <c r="J852" t="str">
        <f>VLOOKUP(A852,Medical_Examinations[],9,FALSE)</f>
        <v>Obesity</v>
      </c>
      <c r="K852" t="str">
        <f>VLOOKUP(A852,Medical_Examinations[],10,FALSE)</f>
        <v>Diabetes</v>
      </c>
      <c r="M852">
        <f>VLOOKUP(A852,Hospitalisation_Details__2[],4,FALSE)</f>
        <v>12592.53</v>
      </c>
      <c r="N852" t="str">
        <f>VLOOKUP(A852,Hospitalisation_Details__2[],5,FALSE)</f>
        <v>tier - 3</v>
      </c>
      <c r="O852" t="str">
        <f>VLOOKUP(A852,Hospitalisation_Details__2[],6,FALSE)</f>
        <v>tier - 2</v>
      </c>
      <c r="P852" t="str">
        <f>VLOOKUP(A852,Hospitalisation_Details__2[],7,FALSE)</f>
        <v>R1013</v>
      </c>
    </row>
    <row r="853" spans="1:16" x14ac:dyDescent="0.35">
      <c r="A853" t="str">
        <v>Id852</v>
      </c>
      <c r="B853" t="str">
        <f>VLOOKUP(A853,'Customer Names (2)'!A:B, 2,FALSE)</f>
        <v>Mrs</v>
      </c>
      <c r="C853">
        <f>VLOOKUP(A853,Medical_Examinations[],2,FALSE)</f>
        <v>32.15</v>
      </c>
      <c r="D853">
        <f>VLOOKUP(A853,Medical_Examinations[],3,FALSE)</f>
        <v>4.0199999999999996</v>
      </c>
      <c r="E853" t="str">
        <f>VLOOKUP(A853,Medical_Examinations[],4,FALSE)</f>
        <v>Yes</v>
      </c>
      <c r="F853" t="str">
        <f>VLOOKUP(A853,Medical_Examinations[],5,FALSE)</f>
        <v>No</v>
      </c>
      <c r="G853" t="str">
        <f>VLOOKUP(A853,Medical_Examinations[],6,FALSE)</f>
        <v>Yes</v>
      </c>
      <c r="H853">
        <f>VLOOKUP(A853,Medical_Examinations[],7,FALSE)</f>
        <v>1</v>
      </c>
      <c r="I853" t="str">
        <f>VLOOKUP(A853,Medical_Examinations[],8,FALSE)</f>
        <v>No</v>
      </c>
      <c r="J853" t="str">
        <f>VLOOKUP(A853,Medical_Examinations[],9,FALSE)</f>
        <v>Obesity</v>
      </c>
      <c r="K853" t="str">
        <f>VLOOKUP(A853,Medical_Examinations[],10,FALSE)</f>
        <v>Normal</v>
      </c>
      <c r="M853">
        <f>VLOOKUP(A853,Hospitalisation_Details__2[],4,FALSE)</f>
        <v>12579.92</v>
      </c>
      <c r="N853" t="str">
        <f>VLOOKUP(A853,Hospitalisation_Details__2[],5,FALSE)</f>
        <v>tier - 3</v>
      </c>
      <c r="O853" t="str">
        <f>VLOOKUP(A853,Hospitalisation_Details__2[],6,FALSE)</f>
        <v>tier - 1</v>
      </c>
      <c r="P853" t="str">
        <f>VLOOKUP(A853,Hospitalisation_Details__2[],7,FALSE)</f>
        <v>R1025</v>
      </c>
    </row>
    <row r="854" spans="1:16" x14ac:dyDescent="0.35">
      <c r="A854" t="str">
        <v>Id853</v>
      </c>
      <c r="B854" t="str">
        <f>VLOOKUP(A854,'Customer Names (2)'!A:B, 2,FALSE)</f>
        <v>Mr</v>
      </c>
      <c r="C854">
        <f>VLOOKUP(A854,Medical_Examinations[],2,FALSE)</f>
        <v>43.4</v>
      </c>
      <c r="D854">
        <f>VLOOKUP(A854,Medical_Examinations[],3,FALSE)</f>
        <v>8.81</v>
      </c>
      <c r="E854" t="str">
        <f>VLOOKUP(A854,Medical_Examinations[],4,FALSE)</f>
        <v>Yes</v>
      </c>
      <c r="F854" t="str">
        <f>VLOOKUP(A854,Medical_Examinations[],5,FALSE)</f>
        <v>No</v>
      </c>
      <c r="G854" t="str">
        <f>VLOOKUP(A854,Medical_Examinations[],6,FALSE)</f>
        <v>No</v>
      </c>
      <c r="H854">
        <f>VLOOKUP(A854,Medical_Examinations[],7,FALSE)</f>
        <v>2</v>
      </c>
      <c r="I854" t="str">
        <f>VLOOKUP(A854,Medical_Examinations[],8,FALSE)</f>
        <v>No</v>
      </c>
      <c r="J854" t="str">
        <f>VLOOKUP(A854,Medical_Examinations[],9,FALSE)</f>
        <v>Obesity</v>
      </c>
      <c r="K854" t="str">
        <f>VLOOKUP(A854,Medical_Examinations[],10,FALSE)</f>
        <v>Diabetes</v>
      </c>
      <c r="M854">
        <f>VLOOKUP(A854,Hospitalisation_Details__2[],4,FALSE)</f>
        <v>12574.05</v>
      </c>
      <c r="N854" t="str">
        <f>VLOOKUP(A854,Hospitalisation_Details__2[],5,FALSE)</f>
        <v>tier - 3</v>
      </c>
      <c r="O854" t="str">
        <f>VLOOKUP(A854,Hospitalisation_Details__2[],6,FALSE)</f>
        <v>tier - 1</v>
      </c>
      <c r="P854" t="str">
        <f>VLOOKUP(A854,Hospitalisation_Details__2[],7,FALSE)</f>
        <v>R1011</v>
      </c>
    </row>
    <row r="855" spans="1:16" x14ac:dyDescent="0.35">
      <c r="A855" t="str">
        <v>Id854</v>
      </c>
      <c r="B855" t="str">
        <f>VLOOKUP(A855,'Customer Names (2)'!A:B, 2,FALSE)</f>
        <v>Mr</v>
      </c>
      <c r="C855">
        <f>VLOOKUP(A855,Medical_Examinations[],2,FALSE)</f>
        <v>31.57</v>
      </c>
      <c r="D855">
        <f>VLOOKUP(A855,Medical_Examinations[],3,FALSE)</f>
        <v>7.92</v>
      </c>
      <c r="E855" t="str">
        <f>VLOOKUP(A855,Medical_Examinations[],4,FALSE)</f>
        <v>Yes</v>
      </c>
      <c r="F855" t="str">
        <f>VLOOKUP(A855,Medical_Examinations[],5,FALSE)</f>
        <v>No</v>
      </c>
      <c r="G855" t="str">
        <f>VLOOKUP(A855,Medical_Examinations[],6,FALSE)</f>
        <v>No</v>
      </c>
      <c r="H855">
        <f>VLOOKUP(A855,Medical_Examinations[],7,FALSE)</f>
        <v>2</v>
      </c>
      <c r="I855" t="str">
        <f>VLOOKUP(A855,Medical_Examinations[],8,FALSE)</f>
        <v>No</v>
      </c>
      <c r="J855" t="str">
        <f>VLOOKUP(A855,Medical_Examinations[],9,FALSE)</f>
        <v>Obesity</v>
      </c>
      <c r="K855" t="str">
        <f>VLOOKUP(A855,Medical_Examinations[],10,FALSE)</f>
        <v>Diabetes</v>
      </c>
      <c r="M855">
        <f>VLOOKUP(A855,Hospitalisation_Details__2[],4,FALSE)</f>
        <v>12557.61</v>
      </c>
      <c r="N855" t="str">
        <f>VLOOKUP(A855,Hospitalisation_Details__2[],5,FALSE)</f>
        <v>tier - 3</v>
      </c>
      <c r="O855" t="str">
        <f>VLOOKUP(A855,Hospitalisation_Details__2[],6,FALSE)</f>
        <v>tier - 3</v>
      </c>
      <c r="P855" t="str">
        <f>VLOOKUP(A855,Hospitalisation_Details__2[],7,FALSE)</f>
        <v>R1013</v>
      </c>
    </row>
    <row r="856" spans="1:16" x14ac:dyDescent="0.35">
      <c r="A856" t="str">
        <v>Id855</v>
      </c>
      <c r="B856" t="str">
        <f>VLOOKUP(A856,'Customer Names (2)'!A:B, 2,FALSE)</f>
        <v>Mr</v>
      </c>
      <c r="C856">
        <f>VLOOKUP(A856,Medical_Examinations[],2,FALSE)</f>
        <v>24.32</v>
      </c>
      <c r="D856">
        <f>VLOOKUP(A856,Medical_Examinations[],3,FALSE)</f>
        <v>7.48</v>
      </c>
      <c r="E856" t="str">
        <f>VLOOKUP(A856,Medical_Examinations[],4,FALSE)</f>
        <v>No</v>
      </c>
      <c r="F856" t="str">
        <f>VLOOKUP(A856,Medical_Examinations[],5,FALSE)</f>
        <v>No</v>
      </c>
      <c r="G856" t="str">
        <f>VLOOKUP(A856,Medical_Examinations[],6,FALSE)</f>
        <v>No</v>
      </c>
      <c r="H856">
        <f>VLOOKUP(A856,Medical_Examinations[],7,FALSE)</f>
        <v>0</v>
      </c>
      <c r="I856" t="str">
        <f>VLOOKUP(A856,Medical_Examinations[],8,FALSE)</f>
        <v>No</v>
      </c>
      <c r="J856" t="str">
        <f>VLOOKUP(A856,Medical_Examinations[],9,FALSE)</f>
        <v>Normal Weight</v>
      </c>
      <c r="K856" t="str">
        <f>VLOOKUP(A856,Medical_Examinations[],10,FALSE)</f>
        <v>Diabetes</v>
      </c>
      <c r="M856">
        <f>VLOOKUP(A856,Hospitalisation_Details__2[],4,FALSE)</f>
        <v>12523.6</v>
      </c>
      <c r="N856" t="str">
        <f>VLOOKUP(A856,Hospitalisation_Details__2[],5,FALSE)</f>
        <v>tier - 3</v>
      </c>
      <c r="O856" t="str">
        <f>VLOOKUP(A856,Hospitalisation_Details__2[],6,FALSE)</f>
        <v>tier - 3</v>
      </c>
      <c r="P856" t="str">
        <f>VLOOKUP(A856,Hospitalisation_Details__2[],7,FALSE)</f>
        <v>R1012</v>
      </c>
    </row>
    <row r="857" spans="1:16" x14ac:dyDescent="0.35">
      <c r="A857" t="str">
        <v>Id856</v>
      </c>
      <c r="B857" t="str">
        <f>VLOOKUP(A857,'Customer Names (2)'!A:B, 2,FALSE)</f>
        <v>Mr</v>
      </c>
      <c r="C857">
        <f>VLOOKUP(A857,Medical_Examinations[],2,FALSE)</f>
        <v>31.07</v>
      </c>
      <c r="D857">
        <f>VLOOKUP(A857,Medical_Examinations[],3,FALSE)</f>
        <v>4.62</v>
      </c>
      <c r="E857" t="str">
        <f>VLOOKUP(A857,Medical_Examinations[],4,FALSE)</f>
        <v>Yes</v>
      </c>
      <c r="F857" t="str">
        <f>VLOOKUP(A857,Medical_Examinations[],5,FALSE)</f>
        <v>No</v>
      </c>
      <c r="G857" t="str">
        <f>VLOOKUP(A857,Medical_Examinations[],6,FALSE)</f>
        <v>No</v>
      </c>
      <c r="H857">
        <f>VLOOKUP(A857,Medical_Examinations[],7,FALSE)</f>
        <v>2</v>
      </c>
      <c r="I857" t="str">
        <f>VLOOKUP(A857,Medical_Examinations[],8,FALSE)</f>
        <v>No</v>
      </c>
      <c r="J857" t="str">
        <f>VLOOKUP(A857,Medical_Examinations[],9,FALSE)</f>
        <v>Obesity</v>
      </c>
      <c r="K857" t="str">
        <f>VLOOKUP(A857,Medical_Examinations[],10,FALSE)</f>
        <v>Normal</v>
      </c>
      <c r="M857">
        <f>VLOOKUP(A857,Hospitalisation_Details__2[],4,FALSE)</f>
        <v>12499.88</v>
      </c>
      <c r="N857" t="str">
        <f>VLOOKUP(A857,Hospitalisation_Details__2[],5,FALSE)</f>
        <v>tier - 3</v>
      </c>
      <c r="O857" t="str">
        <f>VLOOKUP(A857,Hospitalisation_Details__2[],6,FALSE)</f>
        <v>tier - 2</v>
      </c>
      <c r="P857" t="str">
        <f>VLOOKUP(A857,Hospitalisation_Details__2[],7,FALSE)</f>
        <v>R1012</v>
      </c>
    </row>
    <row r="858" spans="1:16" x14ac:dyDescent="0.35">
      <c r="A858" t="str">
        <v>Id857</v>
      </c>
      <c r="B858" t="str">
        <f>VLOOKUP(A858,'Customer Names (2)'!A:B, 2,FALSE)</f>
        <v>Ms</v>
      </c>
      <c r="C858">
        <f>VLOOKUP(A858,Medical_Examinations[],2,FALSE)</f>
        <v>35.814999999999998</v>
      </c>
      <c r="D858">
        <f>VLOOKUP(A858,Medical_Examinations[],3,FALSE)</f>
        <v>8.4700000000000006</v>
      </c>
      <c r="E858" t="str">
        <f>VLOOKUP(A858,Medical_Examinations[],4,FALSE)</f>
        <v>No</v>
      </c>
      <c r="F858" t="str">
        <f>VLOOKUP(A858,Medical_Examinations[],5,FALSE)</f>
        <v>No</v>
      </c>
      <c r="G858" t="str">
        <f>VLOOKUP(A858,Medical_Examinations[],6,FALSE)</f>
        <v>No</v>
      </c>
      <c r="H858">
        <f>VLOOKUP(A858,Medical_Examinations[],7,FALSE)</f>
        <v>0</v>
      </c>
      <c r="I858" t="str">
        <f>VLOOKUP(A858,Medical_Examinations[],8,FALSE)</f>
        <v>No</v>
      </c>
      <c r="J858" t="str">
        <f>VLOOKUP(A858,Medical_Examinations[],9,FALSE)</f>
        <v>Obesity</v>
      </c>
      <c r="K858" t="str">
        <f>VLOOKUP(A858,Medical_Examinations[],10,FALSE)</f>
        <v>Diabetes</v>
      </c>
      <c r="M858">
        <f>VLOOKUP(A858,Hospitalisation_Details__2[],4,FALSE)</f>
        <v>12495.29</v>
      </c>
      <c r="N858" t="str">
        <f>VLOOKUP(A858,Hospitalisation_Details__2[],5,FALSE)</f>
        <v>tier - 3</v>
      </c>
      <c r="O858" t="str">
        <f>VLOOKUP(A858,Hospitalisation_Details__2[],6,FALSE)</f>
        <v>tier - 3</v>
      </c>
      <c r="P858" t="str">
        <f>VLOOKUP(A858,Hospitalisation_Details__2[],7,FALSE)</f>
        <v>R1012</v>
      </c>
    </row>
    <row r="859" spans="1:16" x14ac:dyDescent="0.35">
      <c r="A859" t="str">
        <v>Id858</v>
      </c>
      <c r="B859" t="str">
        <f>VLOOKUP(A859,'Customer Names (2)'!A:B, 2,FALSE)</f>
        <v>Ms</v>
      </c>
      <c r="C859">
        <f>VLOOKUP(A859,Medical_Examinations[],2,FALSE)</f>
        <v>40.81</v>
      </c>
      <c r="D859">
        <f>VLOOKUP(A859,Medical_Examinations[],3,FALSE)</f>
        <v>10.58</v>
      </c>
      <c r="E859" t="str">
        <f>VLOOKUP(A859,Medical_Examinations[],4,FALSE)</f>
        <v>Yes</v>
      </c>
      <c r="F859" t="str">
        <f>VLOOKUP(A859,Medical_Examinations[],5,FALSE)</f>
        <v>No</v>
      </c>
      <c r="G859" t="str">
        <f>VLOOKUP(A859,Medical_Examinations[],6,FALSE)</f>
        <v>No</v>
      </c>
      <c r="H859">
        <f>VLOOKUP(A859,Medical_Examinations[],7,FALSE)</f>
        <v>0</v>
      </c>
      <c r="I859" t="str">
        <f>VLOOKUP(A859,Medical_Examinations[],8,FALSE)</f>
        <v>No</v>
      </c>
      <c r="J859" t="str">
        <f>VLOOKUP(A859,Medical_Examinations[],9,FALSE)</f>
        <v>Obesity</v>
      </c>
      <c r="K859" t="str">
        <f>VLOOKUP(A859,Medical_Examinations[],10,FALSE)</f>
        <v>Diabetes</v>
      </c>
      <c r="M859">
        <f>VLOOKUP(A859,Hospitalisation_Details__2[],4,FALSE)</f>
        <v>12485.8</v>
      </c>
      <c r="N859" t="str">
        <f>VLOOKUP(A859,Hospitalisation_Details__2[],5,FALSE)</f>
        <v>tier - 3</v>
      </c>
      <c r="O859" t="str">
        <f>VLOOKUP(A859,Hospitalisation_Details__2[],6,FALSE)</f>
        <v>tier - 3</v>
      </c>
      <c r="P859" t="str">
        <f>VLOOKUP(A859,Hospitalisation_Details__2[],7,FALSE)</f>
        <v>R1013</v>
      </c>
    </row>
    <row r="860" spans="1:16" x14ac:dyDescent="0.35">
      <c r="A860" t="str">
        <v>Id859</v>
      </c>
      <c r="B860" t="str">
        <f>VLOOKUP(A860,'Customer Names (2)'!A:B, 2,FALSE)</f>
        <v>Ms</v>
      </c>
      <c r="C860">
        <f>VLOOKUP(A860,Medical_Examinations[],2,FALSE)</f>
        <v>24.605</v>
      </c>
      <c r="D860">
        <f>VLOOKUP(A860,Medical_Examinations[],3,FALSE)</f>
        <v>7.48</v>
      </c>
      <c r="E860" t="str">
        <f>VLOOKUP(A860,Medical_Examinations[],4,FALSE)</f>
        <v>No</v>
      </c>
      <c r="F860" t="str">
        <f>VLOOKUP(A860,Medical_Examinations[],5,FALSE)</f>
        <v>No</v>
      </c>
      <c r="G860" t="str">
        <f>VLOOKUP(A860,Medical_Examinations[],6,FALSE)</f>
        <v>No</v>
      </c>
      <c r="H860">
        <f>VLOOKUP(A860,Medical_Examinations[],7,FALSE)</f>
        <v>0</v>
      </c>
      <c r="I860" t="str">
        <f>VLOOKUP(A860,Medical_Examinations[],8,FALSE)</f>
        <v>No</v>
      </c>
      <c r="J860" t="str">
        <f>VLOOKUP(A860,Medical_Examinations[],9,FALSE)</f>
        <v>Normal Weight</v>
      </c>
      <c r="K860" t="str">
        <f>VLOOKUP(A860,Medical_Examinations[],10,FALSE)</f>
        <v>Diabetes</v>
      </c>
      <c r="M860">
        <f>VLOOKUP(A860,Hospitalisation_Details__2[],4,FALSE)</f>
        <v>12479.71</v>
      </c>
      <c r="N860" t="str">
        <f>VLOOKUP(A860,Hospitalisation_Details__2[],5,FALSE)</f>
        <v>tier - 3</v>
      </c>
      <c r="O860" t="str">
        <f>VLOOKUP(A860,Hospitalisation_Details__2[],6,FALSE)</f>
        <v>tier - 3</v>
      </c>
      <c r="P860" t="str">
        <f>VLOOKUP(A860,Hospitalisation_Details__2[],7,FALSE)</f>
        <v>R1012</v>
      </c>
    </row>
    <row r="861" spans="1:16" x14ac:dyDescent="0.35">
      <c r="A861" t="str">
        <v>Id860</v>
      </c>
      <c r="B861" t="str">
        <f>VLOOKUP(A861,'Customer Names (2)'!A:B, 2,FALSE)</f>
        <v>Ms</v>
      </c>
      <c r="C861">
        <f>VLOOKUP(A861,Medical_Examinations[],2,FALSE)</f>
        <v>21.47</v>
      </c>
      <c r="D861">
        <f>VLOOKUP(A861,Medical_Examinations[],3,FALSE)</f>
        <v>7.82</v>
      </c>
      <c r="E861" t="str">
        <f>VLOOKUP(A861,Medical_Examinations[],4,FALSE)</f>
        <v>No</v>
      </c>
      <c r="F861" t="str">
        <f>VLOOKUP(A861,Medical_Examinations[],5,FALSE)</f>
        <v>No</v>
      </c>
      <c r="G861" t="str">
        <f>VLOOKUP(A861,Medical_Examinations[],6,FALSE)</f>
        <v>No</v>
      </c>
      <c r="H861">
        <f>VLOOKUP(A861,Medical_Examinations[],7,FALSE)</f>
        <v>0</v>
      </c>
      <c r="I861" t="str">
        <f>VLOOKUP(A861,Medical_Examinations[],8,FALSE)</f>
        <v>No</v>
      </c>
      <c r="J861" t="str">
        <f>VLOOKUP(A861,Medical_Examinations[],9,FALSE)</f>
        <v>Normal Weight</v>
      </c>
      <c r="K861" t="str">
        <f>VLOOKUP(A861,Medical_Examinations[],10,FALSE)</f>
        <v>Diabetes</v>
      </c>
      <c r="M861">
        <f>VLOOKUP(A861,Hospitalisation_Details__2[],4,FALSE)</f>
        <v>12475.35</v>
      </c>
      <c r="N861" t="str">
        <f>VLOOKUP(A861,Hospitalisation_Details__2[],5,FALSE)</f>
        <v>tier - 3</v>
      </c>
      <c r="O861" t="str">
        <f>VLOOKUP(A861,Hospitalisation_Details__2[],6,FALSE)</f>
        <v>tier - 1</v>
      </c>
      <c r="P861" t="str">
        <f>VLOOKUP(A861,Hospitalisation_Details__2[],7,FALSE)</f>
        <v>R1012</v>
      </c>
    </row>
    <row r="862" spans="1:16" x14ac:dyDescent="0.35">
      <c r="A862" t="str">
        <v>Id861</v>
      </c>
      <c r="B862" t="str">
        <f>VLOOKUP(A862,'Customer Names (2)'!A:B, 2,FALSE)</f>
        <v>Mr</v>
      </c>
      <c r="C862">
        <f>VLOOKUP(A862,Medical_Examinations[],2,FALSE)</f>
        <v>52.89</v>
      </c>
      <c r="D862">
        <f>VLOOKUP(A862,Medical_Examinations[],3,FALSE)</f>
        <v>4.96</v>
      </c>
      <c r="E862" t="str">
        <f>VLOOKUP(A862,Medical_Examinations[],4,FALSE)</f>
        <v>Yes</v>
      </c>
      <c r="F862" t="str">
        <f>VLOOKUP(A862,Medical_Examinations[],5,FALSE)</f>
        <v>No</v>
      </c>
      <c r="G862" t="str">
        <f>VLOOKUP(A862,Medical_Examinations[],6,FALSE)</f>
        <v>No</v>
      </c>
      <c r="H862">
        <f>VLOOKUP(A862,Medical_Examinations[],7,FALSE)</f>
        <v>1</v>
      </c>
      <c r="I862" t="str">
        <f>VLOOKUP(A862,Medical_Examinations[],8,FALSE)</f>
        <v>No</v>
      </c>
      <c r="J862" t="str">
        <f>VLOOKUP(A862,Medical_Examinations[],9,FALSE)</f>
        <v>Obesity</v>
      </c>
      <c r="K862" t="str">
        <f>VLOOKUP(A862,Medical_Examinations[],10,FALSE)</f>
        <v>Normal</v>
      </c>
      <c r="M862">
        <f>VLOOKUP(A862,Hospitalisation_Details__2[],4,FALSE)</f>
        <v>12452.25</v>
      </c>
      <c r="N862" t="str">
        <f>VLOOKUP(A862,Hospitalisation_Details__2[],5,FALSE)</f>
        <v>tier - 3</v>
      </c>
      <c r="O862" t="str">
        <f>VLOOKUP(A862,Hospitalisation_Details__2[],6,FALSE)</f>
        <v>tier - 3</v>
      </c>
      <c r="P862" t="str">
        <f>VLOOKUP(A862,Hospitalisation_Details__2[],7,FALSE)</f>
        <v>R1012</v>
      </c>
    </row>
    <row r="863" spans="1:16" x14ac:dyDescent="0.35">
      <c r="A863" t="str">
        <v>Id862</v>
      </c>
      <c r="B863" t="str">
        <f>VLOOKUP(A863,'Customer Names (2)'!A:B, 2,FALSE)</f>
        <v>Ms</v>
      </c>
      <c r="C863">
        <f>VLOOKUP(A863,Medical_Examinations[],2,FALSE)</f>
        <v>32.965000000000003</v>
      </c>
      <c r="D863">
        <f>VLOOKUP(A863,Medical_Examinations[],3,FALSE)</f>
        <v>6.15</v>
      </c>
      <c r="E863" t="str">
        <f>VLOOKUP(A863,Medical_Examinations[],4,FALSE)</f>
        <v>Yes</v>
      </c>
      <c r="F863" t="str">
        <f>VLOOKUP(A863,Medical_Examinations[],5,FALSE)</f>
        <v>No</v>
      </c>
      <c r="G863" t="str">
        <f>VLOOKUP(A863,Medical_Examinations[],6,FALSE)</f>
        <v>No</v>
      </c>
      <c r="H863">
        <f>VLOOKUP(A863,Medical_Examinations[],7,FALSE)</f>
        <v>1</v>
      </c>
      <c r="I863" t="str">
        <f>VLOOKUP(A863,Medical_Examinations[],8,FALSE)</f>
        <v>No</v>
      </c>
      <c r="J863" t="str">
        <f>VLOOKUP(A863,Medical_Examinations[],9,FALSE)</f>
        <v>Obesity</v>
      </c>
      <c r="K863" t="str">
        <f>VLOOKUP(A863,Medical_Examinations[],10,FALSE)</f>
        <v>Prediabetes</v>
      </c>
      <c r="M863">
        <f>VLOOKUP(A863,Hospitalisation_Details__2[],4,FALSE)</f>
        <v>12430.95</v>
      </c>
      <c r="N863" t="str">
        <f>VLOOKUP(A863,Hospitalisation_Details__2[],5,FALSE)</f>
        <v>tier - 3</v>
      </c>
      <c r="O863" t="str">
        <f>VLOOKUP(A863,Hospitalisation_Details__2[],6,FALSE)</f>
        <v>tier - 3</v>
      </c>
      <c r="P863" t="str">
        <f>VLOOKUP(A863,Hospitalisation_Details__2[],7,FALSE)</f>
        <v>R1024</v>
      </c>
    </row>
    <row r="864" spans="1:16" x14ac:dyDescent="0.35">
      <c r="A864" t="str">
        <v>Id863</v>
      </c>
      <c r="B864" t="str">
        <f>VLOOKUP(A864,'Customer Names (2)'!A:B, 2,FALSE)</f>
        <v>Mr</v>
      </c>
      <c r="C864">
        <f>VLOOKUP(A864,Medical_Examinations[],2,FALSE)</f>
        <v>36.799999999999997</v>
      </c>
      <c r="D864">
        <f>VLOOKUP(A864,Medical_Examinations[],3,FALSE)</f>
        <v>4.62</v>
      </c>
      <c r="E864" t="str">
        <f>VLOOKUP(A864,Medical_Examinations[],4,FALSE)</f>
        <v>No</v>
      </c>
      <c r="F864" t="str">
        <f>VLOOKUP(A864,Medical_Examinations[],5,FALSE)</f>
        <v>No</v>
      </c>
      <c r="G864" t="str">
        <f>VLOOKUP(A864,Medical_Examinations[],6,FALSE)</f>
        <v>Yes</v>
      </c>
      <c r="H864">
        <f>VLOOKUP(A864,Medical_Examinations[],7,FALSE)</f>
        <v>1</v>
      </c>
      <c r="I864" t="str">
        <f>VLOOKUP(A864,Medical_Examinations[],8,FALSE)</f>
        <v>No</v>
      </c>
      <c r="J864" t="str">
        <f>VLOOKUP(A864,Medical_Examinations[],9,FALSE)</f>
        <v>Obesity</v>
      </c>
      <c r="K864" t="str">
        <f>VLOOKUP(A864,Medical_Examinations[],10,FALSE)</f>
        <v>Normal</v>
      </c>
      <c r="M864">
        <f>VLOOKUP(A864,Hospitalisation_Details__2[],4,FALSE)</f>
        <v>12408.29</v>
      </c>
      <c r="N864" t="str">
        <f>VLOOKUP(A864,Hospitalisation_Details__2[],5,FALSE)</f>
        <v>tier - 3</v>
      </c>
      <c r="O864" t="str">
        <f>VLOOKUP(A864,Hospitalisation_Details__2[],6,FALSE)</f>
        <v>tier - 1</v>
      </c>
      <c r="P864" t="str">
        <f>VLOOKUP(A864,Hospitalisation_Details__2[],7,FALSE)</f>
        <v>R1022</v>
      </c>
    </row>
    <row r="865" spans="1:16" x14ac:dyDescent="0.35">
      <c r="A865" t="str">
        <v>Id864</v>
      </c>
      <c r="B865" t="str">
        <f>VLOOKUP(A865,'Customer Names (2)'!A:B, 2,FALSE)</f>
        <v>Mr</v>
      </c>
      <c r="C865">
        <f>VLOOKUP(A865,Medical_Examinations[],2,FALSE)</f>
        <v>34.299999999999997</v>
      </c>
      <c r="D865">
        <f>VLOOKUP(A865,Medical_Examinations[],3,FALSE)</f>
        <v>4.87</v>
      </c>
      <c r="E865" t="str">
        <f>VLOOKUP(A865,Medical_Examinations[],4,FALSE)</f>
        <v>No</v>
      </c>
      <c r="F865" t="str">
        <f>VLOOKUP(A865,Medical_Examinations[],5,FALSE)</f>
        <v>No</v>
      </c>
      <c r="G865" t="str">
        <f>VLOOKUP(A865,Medical_Examinations[],6,FALSE)</f>
        <v>No</v>
      </c>
      <c r="H865">
        <f>VLOOKUP(A865,Medical_Examinations[],7,FALSE)</f>
        <v>2</v>
      </c>
      <c r="I865" t="str">
        <f>VLOOKUP(A865,Medical_Examinations[],8,FALSE)</f>
        <v>No</v>
      </c>
      <c r="J865" t="str">
        <f>VLOOKUP(A865,Medical_Examinations[],9,FALSE)</f>
        <v>Obesity</v>
      </c>
      <c r="K865" t="str">
        <f>VLOOKUP(A865,Medical_Examinations[],10,FALSE)</f>
        <v>Normal</v>
      </c>
      <c r="M865">
        <f>VLOOKUP(A865,Hospitalisation_Details__2[],4,FALSE)</f>
        <v>12407.3</v>
      </c>
      <c r="N865" t="str">
        <f>VLOOKUP(A865,Hospitalisation_Details__2[],5,FALSE)</f>
        <v>tier - 3</v>
      </c>
      <c r="O865" t="str">
        <f>VLOOKUP(A865,Hospitalisation_Details__2[],6,FALSE)</f>
        <v>tier - 2</v>
      </c>
      <c r="P865" t="str">
        <f>VLOOKUP(A865,Hospitalisation_Details__2[],7,FALSE)</f>
        <v>R1021</v>
      </c>
    </row>
    <row r="866" spans="1:16" x14ac:dyDescent="0.35">
      <c r="A866" t="str">
        <v>Id865</v>
      </c>
      <c r="B866" t="str">
        <f>VLOOKUP(A866,'Customer Names (2)'!A:B, 2,FALSE)</f>
        <v>Mr</v>
      </c>
      <c r="C866">
        <f>VLOOKUP(A866,Medical_Examinations[],2,FALSE)</f>
        <v>35.244999999999997</v>
      </c>
      <c r="D866">
        <f>VLOOKUP(A866,Medical_Examinations[],3,FALSE)</f>
        <v>4.63</v>
      </c>
      <c r="E866" t="str">
        <f>VLOOKUP(A866,Medical_Examinations[],4,FALSE)</f>
        <v>No</v>
      </c>
      <c r="F866" t="str">
        <f>VLOOKUP(A866,Medical_Examinations[],5,FALSE)</f>
        <v>No</v>
      </c>
      <c r="G866" t="str">
        <f>VLOOKUP(A866,Medical_Examinations[],6,FALSE)</f>
        <v>No</v>
      </c>
      <c r="H866">
        <f>VLOOKUP(A866,Medical_Examinations[],7,FALSE)</f>
        <v>0</v>
      </c>
      <c r="I866" t="str">
        <f>VLOOKUP(A866,Medical_Examinations[],8,FALSE)</f>
        <v>No</v>
      </c>
      <c r="J866" t="str">
        <f>VLOOKUP(A866,Medical_Examinations[],9,FALSE)</f>
        <v>Obesity</v>
      </c>
      <c r="K866" t="str">
        <f>VLOOKUP(A866,Medical_Examinations[],10,FALSE)</f>
        <v>Normal</v>
      </c>
      <c r="M866">
        <f>VLOOKUP(A866,Hospitalisation_Details__2[],4,FALSE)</f>
        <v>12404.88</v>
      </c>
      <c r="N866" t="str">
        <f>VLOOKUP(A866,Hospitalisation_Details__2[],5,FALSE)</f>
        <v>tier - 3</v>
      </c>
      <c r="O866" t="str">
        <f>VLOOKUP(A866,Hospitalisation_Details__2[],6,FALSE)</f>
        <v>tier - 3</v>
      </c>
      <c r="P866" t="str">
        <f>VLOOKUP(A866,Hospitalisation_Details__2[],7,FALSE)</f>
        <v>R1016</v>
      </c>
    </row>
    <row r="867" spans="1:16" x14ac:dyDescent="0.35">
      <c r="A867" t="str">
        <v>Id866</v>
      </c>
      <c r="B867" t="str">
        <f>VLOOKUP(A867,'Customer Names (2)'!A:B, 2,FALSE)</f>
        <v>Mrs</v>
      </c>
      <c r="C867">
        <f>VLOOKUP(A867,Medical_Examinations[],2,FALSE)</f>
        <v>26.23</v>
      </c>
      <c r="D867">
        <f>VLOOKUP(A867,Medical_Examinations[],3,FALSE)</f>
        <v>11.93</v>
      </c>
      <c r="E867" t="str">
        <f>VLOOKUP(A867,Medical_Examinations[],4,FALSE)</f>
        <v>No</v>
      </c>
      <c r="F867" t="str">
        <f>VLOOKUP(A867,Medical_Examinations[],5,FALSE)</f>
        <v>No</v>
      </c>
      <c r="G867" t="str">
        <f>VLOOKUP(A867,Medical_Examinations[],6,FALSE)</f>
        <v>No</v>
      </c>
      <c r="H867">
        <f>VLOOKUP(A867,Medical_Examinations[],7,FALSE)</f>
        <v>0</v>
      </c>
      <c r="I867" t="str">
        <f>VLOOKUP(A867,Medical_Examinations[],8,FALSE)</f>
        <v>No</v>
      </c>
      <c r="J867" t="str">
        <f>VLOOKUP(A867,Medical_Examinations[],9,FALSE)</f>
        <v>Overweight</v>
      </c>
      <c r="K867" t="str">
        <f>VLOOKUP(A867,Medical_Examinations[],10,FALSE)</f>
        <v>Diabetes</v>
      </c>
      <c r="M867">
        <f>VLOOKUP(A867,Hospitalisation_Details__2[],4,FALSE)</f>
        <v>12369.89</v>
      </c>
      <c r="N867" t="str">
        <f>VLOOKUP(A867,Hospitalisation_Details__2[],5,FALSE)</f>
        <v>tier - 3</v>
      </c>
      <c r="O867" t="str">
        <f>VLOOKUP(A867,Hospitalisation_Details__2[],6,FALSE)</f>
        <v>tier - 2</v>
      </c>
      <c r="P867" t="str">
        <f>VLOOKUP(A867,Hospitalisation_Details__2[],7,FALSE)</f>
        <v>R1024</v>
      </c>
    </row>
    <row r="868" spans="1:16" x14ac:dyDescent="0.35">
      <c r="A868" t="str">
        <v>Id867</v>
      </c>
      <c r="B868" t="str">
        <f>VLOOKUP(A868,'Customer Names (2)'!A:B, 2,FALSE)</f>
        <v>Mr</v>
      </c>
      <c r="C868">
        <f>VLOOKUP(A868,Medical_Examinations[],2,FALSE)</f>
        <v>36.1</v>
      </c>
      <c r="D868">
        <f>VLOOKUP(A868,Medical_Examinations[],3,FALSE)</f>
        <v>5.65</v>
      </c>
      <c r="E868" t="str">
        <f>VLOOKUP(A868,Medical_Examinations[],4,FALSE)</f>
        <v>Yes</v>
      </c>
      <c r="F868" t="str">
        <f>VLOOKUP(A868,Medical_Examinations[],5,FALSE)</f>
        <v>No</v>
      </c>
      <c r="G868" t="str">
        <f>VLOOKUP(A868,Medical_Examinations[],6,FALSE)</f>
        <v>No</v>
      </c>
      <c r="H868">
        <f>VLOOKUP(A868,Medical_Examinations[],7,FALSE)</f>
        <v>2</v>
      </c>
      <c r="I868" t="str">
        <f>VLOOKUP(A868,Medical_Examinations[],8,FALSE)</f>
        <v>No</v>
      </c>
      <c r="J868" t="str">
        <f>VLOOKUP(A868,Medical_Examinations[],9,FALSE)</f>
        <v>Obesity</v>
      </c>
      <c r="K868" t="str">
        <f>VLOOKUP(A868,Medical_Examinations[],10,FALSE)</f>
        <v>Normal</v>
      </c>
      <c r="M868">
        <f>VLOOKUP(A868,Hospitalisation_Details__2[],4,FALSE)</f>
        <v>12363.55</v>
      </c>
      <c r="N868" t="str">
        <f>VLOOKUP(A868,Hospitalisation_Details__2[],5,FALSE)</f>
        <v>tier - 3</v>
      </c>
      <c r="O868" t="str">
        <f>VLOOKUP(A868,Hospitalisation_Details__2[],6,FALSE)</f>
        <v>tier - 3</v>
      </c>
      <c r="P868" t="str">
        <f>VLOOKUP(A868,Hospitalisation_Details__2[],7,FALSE)</f>
        <v>R1011</v>
      </c>
    </row>
    <row r="869" spans="1:16" x14ac:dyDescent="0.35">
      <c r="A869" t="str">
        <v>Id868</v>
      </c>
      <c r="B869" t="str">
        <f>VLOOKUP(A869,'Customer Names (2)'!A:B, 2,FALSE)</f>
        <v>Mr</v>
      </c>
      <c r="C869">
        <f>VLOOKUP(A869,Medical_Examinations[],2,FALSE)</f>
        <v>37.1</v>
      </c>
      <c r="D869">
        <f>VLOOKUP(A869,Medical_Examinations[],3,FALSE)</f>
        <v>11.21</v>
      </c>
      <c r="E869" t="str">
        <f>VLOOKUP(A869,Medical_Examinations[],4,FALSE)</f>
        <v>Yes</v>
      </c>
      <c r="F869" t="str">
        <f>VLOOKUP(A869,Medical_Examinations[],5,FALSE)</f>
        <v>No</v>
      </c>
      <c r="G869" t="str">
        <f>VLOOKUP(A869,Medical_Examinations[],6,FALSE)</f>
        <v>Yes</v>
      </c>
      <c r="H869">
        <f>VLOOKUP(A869,Medical_Examinations[],7,FALSE)</f>
        <v>1</v>
      </c>
      <c r="I869" t="str">
        <f>VLOOKUP(A869,Medical_Examinations[],8,FALSE)</f>
        <v>No</v>
      </c>
      <c r="J869" t="str">
        <f>VLOOKUP(A869,Medical_Examinations[],9,FALSE)</f>
        <v>Obesity</v>
      </c>
      <c r="K869" t="str">
        <f>VLOOKUP(A869,Medical_Examinations[],10,FALSE)</f>
        <v>Diabetes</v>
      </c>
      <c r="M869">
        <f>VLOOKUP(A869,Hospitalisation_Details__2[],4,FALSE)</f>
        <v>12347.17</v>
      </c>
      <c r="N869" t="str">
        <f>VLOOKUP(A869,Hospitalisation_Details__2[],5,FALSE)</f>
        <v>tier - 3</v>
      </c>
      <c r="O869" t="str">
        <f>VLOOKUP(A869,Hospitalisation_Details__2[],6,FALSE)</f>
        <v>tier - 3</v>
      </c>
      <c r="P869" t="str">
        <f>VLOOKUP(A869,Hospitalisation_Details__2[],7,FALSE)</f>
        <v>R1011</v>
      </c>
    </row>
    <row r="870" spans="1:16" x14ac:dyDescent="0.35">
      <c r="A870" t="str">
        <v>Id869</v>
      </c>
      <c r="B870" t="str">
        <f>VLOOKUP(A870,'Customer Names (2)'!A:B, 2,FALSE)</f>
        <v>Mr</v>
      </c>
      <c r="C870">
        <f>VLOOKUP(A870,Medical_Examinations[],2,FALSE)</f>
        <v>27.5</v>
      </c>
      <c r="D870">
        <f>VLOOKUP(A870,Medical_Examinations[],3,FALSE)</f>
        <v>10.62</v>
      </c>
      <c r="E870" t="str">
        <f>VLOOKUP(A870,Medical_Examinations[],4,FALSE)</f>
        <v>Yes</v>
      </c>
      <c r="F870" t="str">
        <f>VLOOKUP(A870,Medical_Examinations[],5,FALSE)</f>
        <v>No</v>
      </c>
      <c r="G870" t="str">
        <f>VLOOKUP(A870,Medical_Examinations[],6,FALSE)</f>
        <v>Yes</v>
      </c>
      <c r="H870">
        <f>VLOOKUP(A870,Medical_Examinations[],7,FALSE)</f>
        <v>1</v>
      </c>
      <c r="I870" t="str">
        <f>VLOOKUP(A870,Medical_Examinations[],8,FALSE)</f>
        <v>No</v>
      </c>
      <c r="J870" t="str">
        <f>VLOOKUP(A870,Medical_Examinations[],9,FALSE)</f>
        <v>Overweight</v>
      </c>
      <c r="K870" t="str">
        <f>VLOOKUP(A870,Medical_Examinations[],10,FALSE)</f>
        <v>Diabetes</v>
      </c>
      <c r="M870">
        <f>VLOOKUP(A870,Hospitalisation_Details__2[],4,FALSE)</f>
        <v>12333.83</v>
      </c>
      <c r="N870" t="str">
        <f>VLOOKUP(A870,Hospitalisation_Details__2[],5,FALSE)</f>
        <v>tier - 3</v>
      </c>
      <c r="O870" t="str">
        <f>VLOOKUP(A870,Hospitalisation_Details__2[],6,FALSE)</f>
        <v>tier - 2</v>
      </c>
      <c r="P870" t="str">
        <f>VLOOKUP(A870,Hospitalisation_Details__2[],7,FALSE)</f>
        <v>R1011</v>
      </c>
    </row>
    <row r="871" spans="1:16" x14ac:dyDescent="0.35">
      <c r="A871" t="str">
        <v>Id870</v>
      </c>
      <c r="B871" t="str">
        <f>VLOOKUP(A871,'Customer Names (2)'!A:B, 2,FALSE)</f>
        <v>Mr</v>
      </c>
      <c r="C871">
        <f>VLOOKUP(A871,Medical_Examinations[],2,FALSE)</f>
        <v>24.7</v>
      </c>
      <c r="D871">
        <f>VLOOKUP(A871,Medical_Examinations[],3,FALSE)</f>
        <v>10.7</v>
      </c>
      <c r="E871" t="str">
        <f>VLOOKUP(A871,Medical_Examinations[],4,FALSE)</f>
        <v>Yes</v>
      </c>
      <c r="F871" t="str">
        <f>VLOOKUP(A871,Medical_Examinations[],5,FALSE)</f>
        <v>No</v>
      </c>
      <c r="G871" t="str">
        <f>VLOOKUP(A871,Medical_Examinations[],6,FALSE)</f>
        <v>Yes</v>
      </c>
      <c r="H871">
        <f>VLOOKUP(A871,Medical_Examinations[],7,FALSE)</f>
        <v>1</v>
      </c>
      <c r="I871" t="str">
        <f>VLOOKUP(A871,Medical_Examinations[],8,FALSE)</f>
        <v>No</v>
      </c>
      <c r="J871" t="str">
        <f>VLOOKUP(A871,Medical_Examinations[],9,FALSE)</f>
        <v>Normal Weight</v>
      </c>
      <c r="K871" t="str">
        <f>VLOOKUP(A871,Medical_Examinations[],10,FALSE)</f>
        <v>Diabetes</v>
      </c>
      <c r="M871">
        <f>VLOOKUP(A871,Hospitalisation_Details__2[],4,FALSE)</f>
        <v>12323.94</v>
      </c>
      <c r="N871" t="str">
        <f>VLOOKUP(A871,Hospitalisation_Details__2[],5,FALSE)</f>
        <v>tier - 3</v>
      </c>
      <c r="O871" t="str">
        <f>VLOOKUP(A871,Hospitalisation_Details__2[],6,FALSE)</f>
        <v>tier - 3</v>
      </c>
      <c r="P871" t="str">
        <f>VLOOKUP(A871,Hospitalisation_Details__2[],7,FALSE)</f>
        <v>R1017</v>
      </c>
    </row>
    <row r="872" spans="1:16" x14ac:dyDescent="0.35">
      <c r="A872" t="str">
        <v>Id871</v>
      </c>
      <c r="B872" t="str">
        <f>VLOOKUP(A872,'Customer Names (2)'!A:B, 2,FALSE)</f>
        <v>Mrs</v>
      </c>
      <c r="C872">
        <f>VLOOKUP(A872,Medical_Examinations[],2,FALSE)</f>
        <v>26.78</v>
      </c>
      <c r="D872">
        <f>VLOOKUP(A872,Medical_Examinations[],3,FALSE)</f>
        <v>10.02</v>
      </c>
      <c r="E872" t="str">
        <f>VLOOKUP(A872,Medical_Examinations[],4,FALSE)</f>
        <v>Yes</v>
      </c>
      <c r="F872" t="str">
        <f>VLOOKUP(A872,Medical_Examinations[],5,FALSE)</f>
        <v>No</v>
      </c>
      <c r="G872" t="str">
        <f>VLOOKUP(A872,Medical_Examinations[],6,FALSE)</f>
        <v>Yes</v>
      </c>
      <c r="H872">
        <f>VLOOKUP(A872,Medical_Examinations[],7,FALSE)</f>
        <v>1</v>
      </c>
      <c r="I872" t="str">
        <f>VLOOKUP(A872,Medical_Examinations[],8,FALSE)</f>
        <v>No</v>
      </c>
      <c r="J872" t="str">
        <f>VLOOKUP(A872,Medical_Examinations[],9,FALSE)</f>
        <v>Overweight</v>
      </c>
      <c r="K872" t="str">
        <f>VLOOKUP(A872,Medical_Examinations[],10,FALSE)</f>
        <v>Diabetes</v>
      </c>
      <c r="M872">
        <f>VLOOKUP(A872,Hospitalisation_Details__2[],4,FALSE)</f>
        <v>12299.59</v>
      </c>
      <c r="N872" t="str">
        <f>VLOOKUP(A872,Hospitalisation_Details__2[],5,FALSE)</f>
        <v>tier - 3</v>
      </c>
      <c r="O872" t="str">
        <f>VLOOKUP(A872,Hospitalisation_Details__2[],6,FALSE)</f>
        <v>tier - 1</v>
      </c>
      <c r="P872" t="str">
        <f>VLOOKUP(A872,Hospitalisation_Details__2[],7,FALSE)</f>
        <v>R1025</v>
      </c>
    </row>
    <row r="873" spans="1:16" x14ac:dyDescent="0.35">
      <c r="A873" t="str">
        <v>Id872</v>
      </c>
      <c r="B873" t="str">
        <f>VLOOKUP(A873,'Customer Names (2)'!A:B, 2,FALSE)</f>
        <v>Ms</v>
      </c>
      <c r="C873">
        <f>VLOOKUP(A873,Medical_Examinations[],2,FALSE)</f>
        <v>45.8</v>
      </c>
      <c r="D873">
        <f>VLOOKUP(A873,Medical_Examinations[],3,FALSE)</f>
        <v>4.8499999999999996</v>
      </c>
      <c r="E873" t="str">
        <f>VLOOKUP(A873,Medical_Examinations[],4,FALSE)</f>
        <v>No</v>
      </c>
      <c r="F873" t="str">
        <f>VLOOKUP(A873,Medical_Examinations[],5,FALSE)</f>
        <v>No</v>
      </c>
      <c r="G873" t="str">
        <f>VLOOKUP(A873,Medical_Examinations[],6,FALSE)</f>
        <v>No</v>
      </c>
      <c r="H873">
        <f>VLOOKUP(A873,Medical_Examinations[],7,FALSE)</f>
        <v>0</v>
      </c>
      <c r="I873" t="str">
        <f>VLOOKUP(A873,Medical_Examinations[],8,FALSE)</f>
        <v>No</v>
      </c>
      <c r="J873" t="str">
        <f>VLOOKUP(A873,Medical_Examinations[],9,FALSE)</f>
        <v>Obesity</v>
      </c>
      <c r="K873" t="str">
        <f>VLOOKUP(A873,Medical_Examinations[],10,FALSE)</f>
        <v>Normal</v>
      </c>
      <c r="M873">
        <f>VLOOKUP(A873,Hospitalisation_Details__2[],4,FALSE)</f>
        <v>12282.38</v>
      </c>
      <c r="N873" t="str">
        <f>VLOOKUP(A873,Hospitalisation_Details__2[],5,FALSE)</f>
        <v>tier - 3</v>
      </c>
      <c r="O873" t="str">
        <f>VLOOKUP(A873,Hospitalisation_Details__2[],6,FALSE)</f>
        <v>tier - 1</v>
      </c>
      <c r="P873" t="str">
        <f>VLOOKUP(A873,Hospitalisation_Details__2[],7,FALSE)</f>
        <v>R1011</v>
      </c>
    </row>
    <row r="874" spans="1:16" x14ac:dyDescent="0.35">
      <c r="A874" t="str">
        <v>Id873</v>
      </c>
      <c r="B874" t="str">
        <f>VLOOKUP(A874,'Customer Names (2)'!A:B, 2,FALSE)</f>
        <v>Mrs</v>
      </c>
      <c r="C874">
        <f>VLOOKUP(A874,Medical_Examinations[],2,FALSE)</f>
        <v>29</v>
      </c>
      <c r="D874">
        <f>VLOOKUP(A874,Medical_Examinations[],3,FALSE)</f>
        <v>4.3899999999999997</v>
      </c>
      <c r="E874" t="str">
        <f>VLOOKUP(A874,Medical_Examinations[],4,FALSE)</f>
        <v>Yes</v>
      </c>
      <c r="F874" t="str">
        <f>VLOOKUP(A874,Medical_Examinations[],5,FALSE)</f>
        <v>No</v>
      </c>
      <c r="G874" t="str">
        <f>VLOOKUP(A874,Medical_Examinations[],6,FALSE)</f>
        <v>No</v>
      </c>
      <c r="H874">
        <f>VLOOKUP(A874,Medical_Examinations[],7,FALSE)</f>
        <v>2</v>
      </c>
      <c r="I874" t="str">
        <f>VLOOKUP(A874,Medical_Examinations[],8,FALSE)</f>
        <v>No</v>
      </c>
      <c r="J874" t="str">
        <f>VLOOKUP(A874,Medical_Examinations[],9,FALSE)</f>
        <v>Overweight</v>
      </c>
      <c r="K874" t="str">
        <f>VLOOKUP(A874,Medical_Examinations[],10,FALSE)</f>
        <v>Normal</v>
      </c>
      <c r="M874">
        <f>VLOOKUP(A874,Hospitalisation_Details__2[],4,FALSE)</f>
        <v>12282.03</v>
      </c>
      <c r="N874" t="str">
        <f>VLOOKUP(A874,Hospitalisation_Details__2[],5,FALSE)</f>
        <v>tier - 3</v>
      </c>
      <c r="O874" t="str">
        <f>VLOOKUP(A874,Hospitalisation_Details__2[],6,FALSE)</f>
        <v>tier - 1</v>
      </c>
      <c r="P874" t="str">
        <f>VLOOKUP(A874,Hospitalisation_Details__2[],7,FALSE)</f>
        <v>R1025</v>
      </c>
    </row>
    <row r="875" spans="1:16" x14ac:dyDescent="0.35">
      <c r="A875" t="str">
        <v>Id874</v>
      </c>
      <c r="B875" t="str">
        <f>VLOOKUP(A875,'Customer Names (2)'!A:B, 2,FALSE)</f>
        <v>Ms</v>
      </c>
      <c r="C875">
        <f>VLOOKUP(A875,Medical_Examinations[],2,FALSE)</f>
        <v>33.534999999999997</v>
      </c>
      <c r="D875">
        <f>VLOOKUP(A875,Medical_Examinations[],3,FALSE)</f>
        <v>8.24</v>
      </c>
      <c r="E875" t="str">
        <f>VLOOKUP(A875,Medical_Examinations[],4,FALSE)</f>
        <v>Yes</v>
      </c>
      <c r="F875" t="str">
        <f>VLOOKUP(A875,Medical_Examinations[],5,FALSE)</f>
        <v>No</v>
      </c>
      <c r="G875" t="str">
        <f>VLOOKUP(A875,Medical_Examinations[],6,FALSE)</f>
        <v>No</v>
      </c>
      <c r="H875">
        <f>VLOOKUP(A875,Medical_Examinations[],7,FALSE)</f>
        <v>0</v>
      </c>
      <c r="I875" t="str">
        <f>VLOOKUP(A875,Medical_Examinations[],8,FALSE)</f>
        <v>No</v>
      </c>
      <c r="J875" t="str">
        <f>VLOOKUP(A875,Medical_Examinations[],9,FALSE)</f>
        <v>Obesity</v>
      </c>
      <c r="K875" t="str">
        <f>VLOOKUP(A875,Medical_Examinations[],10,FALSE)</f>
        <v>Diabetes</v>
      </c>
      <c r="M875">
        <f>VLOOKUP(A875,Hospitalisation_Details__2[],4,FALSE)</f>
        <v>12269.69</v>
      </c>
      <c r="N875" t="str">
        <f>VLOOKUP(A875,Hospitalisation_Details__2[],5,FALSE)</f>
        <v>tier - 3</v>
      </c>
      <c r="O875" t="str">
        <f>VLOOKUP(A875,Hospitalisation_Details__2[],6,FALSE)</f>
        <v>tier - 2</v>
      </c>
      <c r="P875" t="str">
        <f>VLOOKUP(A875,Hospitalisation_Details__2[],7,FALSE)</f>
        <v>R1012</v>
      </c>
    </row>
    <row r="876" spans="1:16" x14ac:dyDescent="0.35">
      <c r="A876" t="str">
        <v>Id875</v>
      </c>
      <c r="B876" t="str">
        <f>VLOOKUP(A876,'Customer Names (2)'!A:B, 2,FALSE)</f>
        <v>Ms</v>
      </c>
      <c r="C876">
        <f>VLOOKUP(A876,Medical_Examinations[],2,FALSE)</f>
        <v>32.774999999999999</v>
      </c>
      <c r="D876">
        <f>VLOOKUP(A876,Medical_Examinations[],3,FALSE)</f>
        <v>9.77</v>
      </c>
      <c r="E876" t="str">
        <f>VLOOKUP(A876,Medical_Examinations[],4,FALSE)</f>
        <v>Yes</v>
      </c>
      <c r="F876" t="str">
        <f>VLOOKUP(A876,Medical_Examinations[],5,FALSE)</f>
        <v>No</v>
      </c>
      <c r="G876" t="str">
        <f>VLOOKUP(A876,Medical_Examinations[],6,FALSE)</f>
        <v>No</v>
      </c>
      <c r="H876">
        <f>VLOOKUP(A876,Medical_Examinations[],7,FALSE)</f>
        <v>0</v>
      </c>
      <c r="I876" t="str">
        <f>VLOOKUP(A876,Medical_Examinations[],8,FALSE)</f>
        <v>No</v>
      </c>
      <c r="J876" t="str">
        <f>VLOOKUP(A876,Medical_Examinations[],9,FALSE)</f>
        <v>Obesity</v>
      </c>
      <c r="K876" t="str">
        <f>VLOOKUP(A876,Medical_Examinations[],10,FALSE)</f>
        <v>Diabetes</v>
      </c>
      <c r="M876">
        <f>VLOOKUP(A876,Hospitalisation_Details__2[],4,FALSE)</f>
        <v>12268.63</v>
      </c>
      <c r="N876" t="str">
        <f>VLOOKUP(A876,Hospitalisation_Details__2[],5,FALSE)</f>
        <v>tier - 3</v>
      </c>
      <c r="O876" t="str">
        <f>VLOOKUP(A876,Hospitalisation_Details__2[],6,FALSE)</f>
        <v>tier - 1</v>
      </c>
      <c r="P876" t="str">
        <f>VLOOKUP(A876,Hospitalisation_Details__2[],7,FALSE)</f>
        <v>R1012</v>
      </c>
    </row>
    <row r="877" spans="1:16" x14ac:dyDescent="0.35">
      <c r="A877" t="str">
        <v>Id876</v>
      </c>
      <c r="B877" t="str">
        <f>VLOOKUP(A877,'Customer Names (2)'!A:B, 2,FALSE)</f>
        <v>Ms</v>
      </c>
      <c r="C877">
        <f>VLOOKUP(A877,Medical_Examinations[],2,FALSE)</f>
        <v>37.51</v>
      </c>
      <c r="D877">
        <f>VLOOKUP(A877,Medical_Examinations[],3,FALSE)</f>
        <v>5.5</v>
      </c>
      <c r="E877" t="str">
        <f>VLOOKUP(A877,Medical_Examinations[],4,FALSE)</f>
        <v>Yes</v>
      </c>
      <c r="F877" t="str">
        <f>VLOOKUP(A877,Medical_Examinations[],5,FALSE)</f>
        <v>No</v>
      </c>
      <c r="G877" t="str">
        <f>VLOOKUP(A877,Medical_Examinations[],6,FALSE)</f>
        <v>No</v>
      </c>
      <c r="H877">
        <f>VLOOKUP(A877,Medical_Examinations[],7,FALSE)</f>
        <v>2</v>
      </c>
      <c r="I877" t="str">
        <f>VLOOKUP(A877,Medical_Examinations[],8,FALSE)</f>
        <v>No</v>
      </c>
      <c r="J877" t="str">
        <f>VLOOKUP(A877,Medical_Examinations[],9,FALSE)</f>
        <v>Obesity</v>
      </c>
      <c r="K877" t="str">
        <f>VLOOKUP(A877,Medical_Examinations[],10,FALSE)</f>
        <v>Normal</v>
      </c>
      <c r="M877">
        <f>VLOOKUP(A877,Hospitalisation_Details__2[],4,FALSE)</f>
        <v>12265.51</v>
      </c>
      <c r="N877" t="str">
        <f>VLOOKUP(A877,Hospitalisation_Details__2[],5,FALSE)</f>
        <v>tier - 3</v>
      </c>
      <c r="O877" t="str">
        <f>VLOOKUP(A877,Hospitalisation_Details__2[],6,FALSE)</f>
        <v>tier - 3</v>
      </c>
      <c r="P877" t="str">
        <f>VLOOKUP(A877,Hospitalisation_Details__2[],7,FALSE)</f>
        <v>R1013</v>
      </c>
    </row>
    <row r="878" spans="1:16" x14ac:dyDescent="0.35">
      <c r="A878" t="str">
        <v>Id877</v>
      </c>
      <c r="B878" t="str">
        <f>VLOOKUP(A878,'Customer Names (2)'!A:B, 2,FALSE)</f>
        <v>Mrs</v>
      </c>
      <c r="C878">
        <f>VLOOKUP(A878,Medical_Examinations[],2,FALSE)</f>
        <v>39.86</v>
      </c>
      <c r="D878">
        <f>VLOOKUP(A878,Medical_Examinations[],3,FALSE)</f>
        <v>11.84</v>
      </c>
      <c r="E878" t="str">
        <f>VLOOKUP(A878,Medical_Examinations[],4,FALSE)</f>
        <v>Yes</v>
      </c>
      <c r="F878" t="str">
        <f>VLOOKUP(A878,Medical_Examinations[],5,FALSE)</f>
        <v>No</v>
      </c>
      <c r="G878" t="str">
        <f>VLOOKUP(A878,Medical_Examinations[],6,FALSE)</f>
        <v>No</v>
      </c>
      <c r="H878">
        <f>VLOOKUP(A878,Medical_Examinations[],7,FALSE)</f>
        <v>1</v>
      </c>
      <c r="I878" t="str">
        <f>VLOOKUP(A878,Medical_Examinations[],8,FALSE)</f>
        <v>No</v>
      </c>
      <c r="J878" t="str">
        <f>VLOOKUP(A878,Medical_Examinations[],9,FALSE)</f>
        <v>Obesity</v>
      </c>
      <c r="K878" t="str">
        <f>VLOOKUP(A878,Medical_Examinations[],10,FALSE)</f>
        <v>Diabetes</v>
      </c>
      <c r="M878">
        <f>VLOOKUP(A878,Hospitalisation_Details__2[],4,FALSE)</f>
        <v>12255.04</v>
      </c>
      <c r="N878" t="str">
        <f>VLOOKUP(A878,Hospitalisation_Details__2[],5,FALSE)</f>
        <v>tier - 3</v>
      </c>
      <c r="O878" t="str">
        <f>VLOOKUP(A878,Hospitalisation_Details__2[],6,FALSE)</f>
        <v>tier - 2</v>
      </c>
      <c r="P878" t="str">
        <f>VLOOKUP(A878,Hospitalisation_Details__2[],7,FALSE)</f>
        <v>R1026</v>
      </c>
    </row>
    <row r="879" spans="1:16" x14ac:dyDescent="0.35">
      <c r="A879" t="str">
        <v>Id878</v>
      </c>
      <c r="B879" t="str">
        <f>VLOOKUP(A879,'Customer Names (2)'!A:B, 2,FALSE)</f>
        <v>Mrs</v>
      </c>
      <c r="C879">
        <f>VLOOKUP(A879,Medical_Examinations[],2,FALSE)</f>
        <v>42.13</v>
      </c>
      <c r="D879">
        <f>VLOOKUP(A879,Medical_Examinations[],3,FALSE)</f>
        <v>4.66</v>
      </c>
      <c r="E879" t="str">
        <f>VLOOKUP(A879,Medical_Examinations[],4,FALSE)</f>
        <v>No</v>
      </c>
      <c r="F879" t="str">
        <f>VLOOKUP(A879,Medical_Examinations[],5,FALSE)</f>
        <v>No</v>
      </c>
      <c r="G879" t="str">
        <f>VLOOKUP(A879,Medical_Examinations[],6,FALSE)</f>
        <v>No</v>
      </c>
      <c r="H879">
        <f>VLOOKUP(A879,Medical_Examinations[],7,FALSE)</f>
        <v>0</v>
      </c>
      <c r="I879" t="str">
        <f>VLOOKUP(A879,Medical_Examinations[],8,FALSE)</f>
        <v>No</v>
      </c>
      <c r="J879" t="str">
        <f>VLOOKUP(A879,Medical_Examinations[],9,FALSE)</f>
        <v>Obesity</v>
      </c>
      <c r="K879" t="str">
        <f>VLOOKUP(A879,Medical_Examinations[],10,FALSE)</f>
        <v>Normal</v>
      </c>
      <c r="M879">
        <f>VLOOKUP(A879,Hospitalisation_Details__2[],4,FALSE)</f>
        <v>12254.44</v>
      </c>
      <c r="N879" t="str">
        <f>VLOOKUP(A879,Hospitalisation_Details__2[],5,FALSE)</f>
        <v>tier - 3</v>
      </c>
      <c r="O879" t="str">
        <f>VLOOKUP(A879,Hospitalisation_Details__2[],6,FALSE)</f>
        <v>tier - 3</v>
      </c>
      <c r="P879" t="str">
        <f>VLOOKUP(A879,Hospitalisation_Details__2[],7,FALSE)</f>
        <v>R1026</v>
      </c>
    </row>
    <row r="880" spans="1:16" x14ac:dyDescent="0.35">
      <c r="A880" t="str">
        <v>Id879</v>
      </c>
      <c r="B880" t="str">
        <f>VLOOKUP(A880,'Customer Names (2)'!A:B, 2,FALSE)</f>
        <v>Ms</v>
      </c>
      <c r="C880">
        <f>VLOOKUP(A880,Medical_Examinations[],2,FALSE)</f>
        <v>35.99</v>
      </c>
      <c r="D880">
        <f>VLOOKUP(A880,Medical_Examinations[],3,FALSE)</f>
        <v>11.11</v>
      </c>
      <c r="E880" t="str">
        <f>VLOOKUP(A880,Medical_Examinations[],4,FALSE)</f>
        <v>No</v>
      </c>
      <c r="F880" t="str">
        <f>VLOOKUP(A880,Medical_Examinations[],5,FALSE)</f>
        <v>No</v>
      </c>
      <c r="G880" t="str">
        <f>VLOOKUP(A880,Medical_Examinations[],6,FALSE)</f>
        <v>No</v>
      </c>
      <c r="H880">
        <f>VLOOKUP(A880,Medical_Examinations[],7,FALSE)</f>
        <v>0</v>
      </c>
      <c r="I880" t="str">
        <f>VLOOKUP(A880,Medical_Examinations[],8,FALSE)</f>
        <v>No</v>
      </c>
      <c r="J880" t="str">
        <f>VLOOKUP(A880,Medical_Examinations[],9,FALSE)</f>
        <v>Obesity</v>
      </c>
      <c r="K880" t="str">
        <f>VLOOKUP(A880,Medical_Examinations[],10,FALSE)</f>
        <v>Diabetes</v>
      </c>
      <c r="M880">
        <f>VLOOKUP(A880,Hospitalisation_Details__2[],4,FALSE)</f>
        <v>12245.17</v>
      </c>
      <c r="N880" t="str">
        <f>VLOOKUP(A880,Hospitalisation_Details__2[],5,FALSE)</f>
        <v>tier - 3</v>
      </c>
      <c r="O880" t="str">
        <f>VLOOKUP(A880,Hospitalisation_Details__2[],6,FALSE)</f>
        <v>tier - 1</v>
      </c>
      <c r="P880" t="str">
        <f>VLOOKUP(A880,Hospitalisation_Details__2[],7,FALSE)</f>
        <v>R1012</v>
      </c>
    </row>
    <row r="881" spans="1:16" x14ac:dyDescent="0.35">
      <c r="A881" t="str">
        <v>Id880</v>
      </c>
      <c r="B881" t="str">
        <f>VLOOKUP(A881,'Customer Names (2)'!A:B, 2,FALSE)</f>
        <v>Ms</v>
      </c>
      <c r="C881">
        <f>VLOOKUP(A881,Medical_Examinations[],2,FALSE)</f>
        <v>35.200000000000003</v>
      </c>
      <c r="D881">
        <f>VLOOKUP(A881,Medical_Examinations[],3,FALSE)</f>
        <v>7.72</v>
      </c>
      <c r="E881" t="str">
        <f>VLOOKUP(A881,Medical_Examinations[],4,FALSE)</f>
        <v>Yes</v>
      </c>
      <c r="F881" t="str">
        <f>VLOOKUP(A881,Medical_Examinations[],5,FALSE)</f>
        <v>No</v>
      </c>
      <c r="G881" t="str">
        <f>VLOOKUP(A881,Medical_Examinations[],6,FALSE)</f>
        <v>Yes</v>
      </c>
      <c r="H881">
        <f>VLOOKUP(A881,Medical_Examinations[],7,FALSE)</f>
        <v>1</v>
      </c>
      <c r="I881" t="str">
        <f>VLOOKUP(A881,Medical_Examinations[],8,FALSE)</f>
        <v>No</v>
      </c>
      <c r="J881" t="str">
        <f>VLOOKUP(A881,Medical_Examinations[],9,FALSE)</f>
        <v>Obesity</v>
      </c>
      <c r="K881" t="str">
        <f>VLOOKUP(A881,Medical_Examinations[],10,FALSE)</f>
        <v>Diabetes</v>
      </c>
      <c r="M881">
        <f>VLOOKUP(A881,Hospitalisation_Details__2[],4,FALSE)</f>
        <v>12244.53</v>
      </c>
      <c r="N881" t="str">
        <f>VLOOKUP(A881,Hospitalisation_Details__2[],5,FALSE)</f>
        <v>tier - 3</v>
      </c>
      <c r="O881" t="str">
        <f>VLOOKUP(A881,Hospitalisation_Details__2[],6,FALSE)</f>
        <v>tier - 1</v>
      </c>
      <c r="P881" t="str">
        <f>VLOOKUP(A881,Hospitalisation_Details__2[],7,FALSE)</f>
        <v>R1013</v>
      </c>
    </row>
    <row r="882" spans="1:16" x14ac:dyDescent="0.35">
      <c r="A882" t="str">
        <v>Id881</v>
      </c>
      <c r="B882" t="str">
        <f>VLOOKUP(A882,'Customer Names (2)'!A:B, 2,FALSE)</f>
        <v>Ms</v>
      </c>
      <c r="C882">
        <f>VLOOKUP(A882,Medical_Examinations[],2,FALSE)</f>
        <v>29.91</v>
      </c>
      <c r="D882">
        <f>VLOOKUP(A882,Medical_Examinations[],3,FALSE)</f>
        <v>5.55</v>
      </c>
      <c r="E882" t="str">
        <f>VLOOKUP(A882,Medical_Examinations[],4,FALSE)</f>
        <v>Yes</v>
      </c>
      <c r="F882" t="str">
        <f>VLOOKUP(A882,Medical_Examinations[],5,FALSE)</f>
        <v>No</v>
      </c>
      <c r="G882" t="str">
        <f>VLOOKUP(A882,Medical_Examinations[],6,FALSE)</f>
        <v>No</v>
      </c>
      <c r="H882">
        <f>VLOOKUP(A882,Medical_Examinations[],7,FALSE)</f>
        <v>2</v>
      </c>
      <c r="I882" t="str">
        <f>VLOOKUP(A882,Medical_Examinations[],8,FALSE)</f>
        <v>No</v>
      </c>
      <c r="J882" t="str">
        <f>VLOOKUP(A882,Medical_Examinations[],9,FALSE)</f>
        <v>Overweight</v>
      </c>
      <c r="K882" t="str">
        <f>VLOOKUP(A882,Medical_Examinations[],10,FALSE)</f>
        <v>Normal</v>
      </c>
      <c r="M882">
        <f>VLOOKUP(A882,Hospitalisation_Details__2[],4,FALSE)</f>
        <v>12237.73</v>
      </c>
      <c r="N882" t="str">
        <f>VLOOKUP(A882,Hospitalisation_Details__2[],5,FALSE)</f>
        <v>tier - 3</v>
      </c>
      <c r="O882" t="str">
        <f>VLOOKUP(A882,Hospitalisation_Details__2[],6,FALSE)</f>
        <v>tier - 3</v>
      </c>
      <c r="P882" t="str">
        <f>VLOOKUP(A882,Hospitalisation_Details__2[],7,FALSE)</f>
        <v>R1012</v>
      </c>
    </row>
    <row r="883" spans="1:16" x14ac:dyDescent="0.35">
      <c r="A883" t="str">
        <v>Id882</v>
      </c>
      <c r="B883" t="str">
        <f>VLOOKUP(A883,'Customer Names (2)'!A:B, 2,FALSE)</f>
        <v>Ms</v>
      </c>
      <c r="C883">
        <f>VLOOKUP(A883,Medical_Examinations[],2,FALSE)</f>
        <v>36.479999999999997</v>
      </c>
      <c r="D883">
        <f>VLOOKUP(A883,Medical_Examinations[],3,FALSE)</f>
        <v>5.05</v>
      </c>
      <c r="E883" t="str">
        <f>VLOOKUP(A883,Medical_Examinations[],4,FALSE)</f>
        <v>Yes</v>
      </c>
      <c r="F883" t="str">
        <f>VLOOKUP(A883,Medical_Examinations[],5,FALSE)</f>
        <v>No</v>
      </c>
      <c r="G883" t="str">
        <f>VLOOKUP(A883,Medical_Examinations[],6,FALSE)</f>
        <v>No</v>
      </c>
      <c r="H883">
        <f>VLOOKUP(A883,Medical_Examinations[],7,FALSE)</f>
        <v>1</v>
      </c>
      <c r="I883" t="str">
        <f>VLOOKUP(A883,Medical_Examinations[],8,FALSE)</f>
        <v>No</v>
      </c>
      <c r="J883" t="str">
        <f>VLOOKUP(A883,Medical_Examinations[],9,FALSE)</f>
        <v>Obesity</v>
      </c>
      <c r="K883" t="str">
        <f>VLOOKUP(A883,Medical_Examinations[],10,FALSE)</f>
        <v>Normal</v>
      </c>
      <c r="M883">
        <f>VLOOKUP(A883,Hospitalisation_Details__2[],4,FALSE)</f>
        <v>12235.84</v>
      </c>
      <c r="N883" t="str">
        <f>VLOOKUP(A883,Hospitalisation_Details__2[],5,FALSE)</f>
        <v>tier - 3</v>
      </c>
      <c r="O883" t="str">
        <f>VLOOKUP(A883,Hospitalisation_Details__2[],6,FALSE)</f>
        <v>tier - 3</v>
      </c>
      <c r="P883" t="str">
        <f>VLOOKUP(A883,Hospitalisation_Details__2[],7,FALSE)</f>
        <v>R1012</v>
      </c>
    </row>
    <row r="884" spans="1:16" x14ac:dyDescent="0.35">
      <c r="A884" t="str">
        <v>Id883</v>
      </c>
      <c r="B884" t="str">
        <f>VLOOKUP(A884,'Customer Names (2)'!A:B, 2,FALSE)</f>
        <v>Ms</v>
      </c>
      <c r="C884">
        <f>VLOOKUP(A884,Medical_Examinations[],2,FALSE)</f>
        <v>27.5</v>
      </c>
      <c r="D884">
        <f>VLOOKUP(A884,Medical_Examinations[],3,FALSE)</f>
        <v>8.69</v>
      </c>
      <c r="E884" t="str">
        <f>VLOOKUP(A884,Medical_Examinations[],4,FALSE)</f>
        <v>Yes</v>
      </c>
      <c r="F884" t="str">
        <f>VLOOKUP(A884,Medical_Examinations[],5,FALSE)</f>
        <v>No</v>
      </c>
      <c r="G884" t="str">
        <f>VLOOKUP(A884,Medical_Examinations[],6,FALSE)</f>
        <v>Yes</v>
      </c>
      <c r="H884">
        <f>VLOOKUP(A884,Medical_Examinations[],7,FALSE)</f>
        <v>1</v>
      </c>
      <c r="I884" t="str">
        <f>VLOOKUP(A884,Medical_Examinations[],8,FALSE)</f>
        <v>No</v>
      </c>
      <c r="J884" t="str">
        <f>VLOOKUP(A884,Medical_Examinations[],9,FALSE)</f>
        <v>Overweight</v>
      </c>
      <c r="K884" t="str">
        <f>VLOOKUP(A884,Medical_Examinations[],10,FALSE)</f>
        <v>Diabetes</v>
      </c>
      <c r="M884">
        <f>VLOOKUP(A884,Hospitalisation_Details__2[],4,FALSE)</f>
        <v>12233.83</v>
      </c>
      <c r="N884" t="str">
        <f>VLOOKUP(A884,Hospitalisation_Details__2[],5,FALSE)</f>
        <v>tier - 3</v>
      </c>
      <c r="O884" t="str">
        <f>VLOOKUP(A884,Hospitalisation_Details__2[],6,FALSE)</f>
        <v>tier - 1</v>
      </c>
      <c r="P884" t="str">
        <f>VLOOKUP(A884,Hospitalisation_Details__2[],7,FALSE)</f>
        <v>R1011</v>
      </c>
    </row>
    <row r="885" spans="1:16" x14ac:dyDescent="0.35">
      <c r="A885" t="str">
        <v>Id884</v>
      </c>
      <c r="B885" t="str">
        <f>VLOOKUP(A885,'Customer Names (2)'!A:B, 2,FALSE)</f>
        <v>Ms</v>
      </c>
      <c r="C885">
        <f>VLOOKUP(A885,Medical_Examinations[],2,FALSE)</f>
        <v>33.44</v>
      </c>
      <c r="D885">
        <f>VLOOKUP(A885,Medical_Examinations[],3,FALSE)</f>
        <v>5.9</v>
      </c>
      <c r="E885" t="str">
        <f>VLOOKUP(A885,Medical_Examinations[],4,FALSE)</f>
        <v>Yes</v>
      </c>
      <c r="F885" t="str">
        <f>VLOOKUP(A885,Medical_Examinations[],5,FALSE)</f>
        <v>No</v>
      </c>
      <c r="G885" t="str">
        <f>VLOOKUP(A885,Medical_Examinations[],6,FALSE)</f>
        <v>No</v>
      </c>
      <c r="H885">
        <f>VLOOKUP(A885,Medical_Examinations[],7,FALSE)</f>
        <v>1</v>
      </c>
      <c r="I885" t="str">
        <f>VLOOKUP(A885,Medical_Examinations[],8,FALSE)</f>
        <v>No</v>
      </c>
      <c r="J885" t="str">
        <f>VLOOKUP(A885,Medical_Examinations[],9,FALSE)</f>
        <v>Obesity</v>
      </c>
      <c r="K885" t="str">
        <f>VLOOKUP(A885,Medical_Examinations[],10,FALSE)</f>
        <v>Prediabetes</v>
      </c>
      <c r="M885">
        <f>VLOOKUP(A885,Hospitalisation_Details__2[],4,FALSE)</f>
        <v>12231.61</v>
      </c>
      <c r="N885" t="str">
        <f>VLOOKUP(A885,Hospitalisation_Details__2[],5,FALSE)</f>
        <v>tier - 3</v>
      </c>
      <c r="O885" t="str">
        <f>VLOOKUP(A885,Hospitalisation_Details__2[],6,FALSE)</f>
        <v>tier - 3</v>
      </c>
      <c r="P885" t="str">
        <f>VLOOKUP(A885,Hospitalisation_Details__2[],7,FALSE)</f>
        <v>R1012</v>
      </c>
    </row>
    <row r="886" spans="1:16" x14ac:dyDescent="0.35">
      <c r="A886" t="str">
        <v>Id885</v>
      </c>
      <c r="B886" t="str">
        <f>VLOOKUP(A886,'Customer Names (2)'!A:B, 2,FALSE)</f>
        <v>Ms</v>
      </c>
      <c r="C886">
        <f>VLOOKUP(A886,Medical_Examinations[],2,FALSE)</f>
        <v>28.215</v>
      </c>
      <c r="D886">
        <f>VLOOKUP(A886,Medical_Examinations[],3,FALSE)</f>
        <v>6.29</v>
      </c>
      <c r="E886" t="str">
        <f>VLOOKUP(A886,Medical_Examinations[],4,FALSE)</f>
        <v>Yes</v>
      </c>
      <c r="F886" t="str">
        <f>VLOOKUP(A886,Medical_Examinations[],5,FALSE)</f>
        <v>No</v>
      </c>
      <c r="G886" t="str">
        <f>VLOOKUP(A886,Medical_Examinations[],6,FALSE)</f>
        <v>No</v>
      </c>
      <c r="H886">
        <f>VLOOKUP(A886,Medical_Examinations[],7,FALSE)</f>
        <v>1</v>
      </c>
      <c r="I886" t="str">
        <f>VLOOKUP(A886,Medical_Examinations[],8,FALSE)</f>
        <v>No</v>
      </c>
      <c r="J886" t="str">
        <f>VLOOKUP(A886,Medical_Examinations[],9,FALSE)</f>
        <v>Overweight</v>
      </c>
      <c r="K886" t="str">
        <f>VLOOKUP(A886,Medical_Examinations[],10,FALSE)</f>
        <v>Prediabetes</v>
      </c>
      <c r="M886">
        <f>VLOOKUP(A886,Hospitalisation_Details__2[],4,FALSE)</f>
        <v>12224.35</v>
      </c>
      <c r="N886" t="str">
        <f>VLOOKUP(A886,Hospitalisation_Details__2[],5,FALSE)</f>
        <v>tier - 3</v>
      </c>
      <c r="O886" t="str">
        <f>VLOOKUP(A886,Hospitalisation_Details__2[],6,FALSE)</f>
        <v>tier - 1</v>
      </c>
      <c r="P886" t="str">
        <f>VLOOKUP(A886,Hospitalisation_Details__2[],7,FALSE)</f>
        <v>R1012</v>
      </c>
    </row>
    <row r="887" spans="1:16" x14ac:dyDescent="0.35">
      <c r="A887" t="str">
        <v>Id886</v>
      </c>
      <c r="B887" t="str">
        <f>VLOOKUP(A887,'Customer Names (2)'!A:B, 2,FALSE)</f>
        <v>Ms</v>
      </c>
      <c r="C887">
        <f>VLOOKUP(A887,Medical_Examinations[],2,FALSE)</f>
        <v>27.17</v>
      </c>
      <c r="D887">
        <f>VLOOKUP(A887,Medical_Examinations[],3,FALSE)</f>
        <v>5.84</v>
      </c>
      <c r="E887" t="str">
        <f>VLOOKUP(A887,Medical_Examinations[],4,FALSE)</f>
        <v>Yes</v>
      </c>
      <c r="F887" t="str">
        <f>VLOOKUP(A887,Medical_Examinations[],5,FALSE)</f>
        <v>No</v>
      </c>
      <c r="G887" t="str">
        <f>VLOOKUP(A887,Medical_Examinations[],6,FALSE)</f>
        <v>No</v>
      </c>
      <c r="H887">
        <f>VLOOKUP(A887,Medical_Examinations[],7,FALSE)</f>
        <v>1</v>
      </c>
      <c r="I887" t="str">
        <f>VLOOKUP(A887,Medical_Examinations[],8,FALSE)</f>
        <v>No</v>
      </c>
      <c r="J887" t="str">
        <f>VLOOKUP(A887,Medical_Examinations[],9,FALSE)</f>
        <v>Overweight</v>
      </c>
      <c r="K887" t="str">
        <f>VLOOKUP(A887,Medical_Examinations[],10,FALSE)</f>
        <v>Prediabetes</v>
      </c>
      <c r="M887">
        <f>VLOOKUP(A887,Hospitalisation_Details__2[],4,FALSE)</f>
        <v>12222.9</v>
      </c>
      <c r="N887" t="str">
        <f>VLOOKUP(A887,Hospitalisation_Details__2[],5,FALSE)</f>
        <v>tier - 3</v>
      </c>
      <c r="O887" t="str">
        <f>VLOOKUP(A887,Hospitalisation_Details__2[],6,FALSE)</f>
        <v>tier - 2</v>
      </c>
      <c r="P887" t="str">
        <f>VLOOKUP(A887,Hospitalisation_Details__2[],7,FALSE)</f>
        <v>R1012</v>
      </c>
    </row>
    <row r="888" spans="1:16" x14ac:dyDescent="0.35">
      <c r="A888" t="str">
        <v>Id887</v>
      </c>
      <c r="B888" t="str">
        <f>VLOOKUP(A888,'Customer Names (2)'!A:B, 2,FALSE)</f>
        <v>Ms</v>
      </c>
      <c r="C888">
        <f>VLOOKUP(A888,Medical_Examinations[],2,FALSE)</f>
        <v>35.380000000000003</v>
      </c>
      <c r="D888">
        <f>VLOOKUP(A888,Medical_Examinations[],3,FALSE)</f>
        <v>6.12</v>
      </c>
      <c r="E888" t="str">
        <f>VLOOKUP(A888,Medical_Examinations[],4,FALSE)</f>
        <v>No</v>
      </c>
      <c r="F888" t="str">
        <f>VLOOKUP(A888,Medical_Examinations[],5,FALSE)</f>
        <v>No</v>
      </c>
      <c r="G888" t="str">
        <f>VLOOKUP(A888,Medical_Examinations[],6,FALSE)</f>
        <v>No</v>
      </c>
      <c r="H888">
        <f>VLOOKUP(A888,Medical_Examinations[],7,FALSE)</f>
        <v>0</v>
      </c>
      <c r="I888" t="str">
        <f>VLOOKUP(A888,Medical_Examinations[],8,FALSE)</f>
        <v>No</v>
      </c>
      <c r="J888" t="str">
        <f>VLOOKUP(A888,Medical_Examinations[],9,FALSE)</f>
        <v>Obesity</v>
      </c>
      <c r="K888" t="str">
        <f>VLOOKUP(A888,Medical_Examinations[],10,FALSE)</f>
        <v>Prediabetes</v>
      </c>
      <c r="M888">
        <f>VLOOKUP(A888,Hospitalisation_Details__2[],4,FALSE)</f>
        <v>12218.7</v>
      </c>
      <c r="N888" t="str">
        <f>VLOOKUP(A888,Hospitalisation_Details__2[],5,FALSE)</f>
        <v>tier - 3</v>
      </c>
      <c r="O888" t="str">
        <f>VLOOKUP(A888,Hospitalisation_Details__2[],6,FALSE)</f>
        <v>tier - 1</v>
      </c>
      <c r="P888" t="str">
        <f>VLOOKUP(A888,Hospitalisation_Details__2[],7,FALSE)</f>
        <v>R1012</v>
      </c>
    </row>
    <row r="889" spans="1:16" x14ac:dyDescent="0.35">
      <c r="A889" t="str">
        <v>Id888</v>
      </c>
      <c r="B889" t="str">
        <f>VLOOKUP(A889,'Customer Names (2)'!A:B, 2,FALSE)</f>
        <v>Mrs</v>
      </c>
      <c r="C889">
        <f>VLOOKUP(A889,Medical_Examinations[],2,FALSE)</f>
        <v>43.48</v>
      </c>
      <c r="D889">
        <f>VLOOKUP(A889,Medical_Examinations[],3,FALSE)</f>
        <v>6.24</v>
      </c>
      <c r="E889" t="str">
        <f>VLOOKUP(A889,Medical_Examinations[],4,FALSE)</f>
        <v>No</v>
      </c>
      <c r="F889" t="str">
        <f>VLOOKUP(A889,Medical_Examinations[],5,FALSE)</f>
        <v>No</v>
      </c>
      <c r="G889" t="str">
        <f>VLOOKUP(A889,Medical_Examinations[],6,FALSE)</f>
        <v>No</v>
      </c>
      <c r="H889">
        <f>VLOOKUP(A889,Medical_Examinations[],7,FALSE)</f>
        <v>0</v>
      </c>
      <c r="I889" t="str">
        <f>VLOOKUP(A889,Medical_Examinations[],8,FALSE)</f>
        <v>No</v>
      </c>
      <c r="J889" t="str">
        <f>VLOOKUP(A889,Medical_Examinations[],9,FALSE)</f>
        <v>Obesity</v>
      </c>
      <c r="K889" t="str">
        <f>VLOOKUP(A889,Medical_Examinations[],10,FALSE)</f>
        <v>Prediabetes</v>
      </c>
      <c r="M889">
        <f>VLOOKUP(A889,Hospitalisation_Details__2[],4,FALSE)</f>
        <v>12198.64</v>
      </c>
      <c r="N889" t="str">
        <f>VLOOKUP(A889,Hospitalisation_Details__2[],5,FALSE)</f>
        <v>tier - 3</v>
      </c>
      <c r="O889" t="str">
        <f>VLOOKUP(A889,Hospitalisation_Details__2[],6,FALSE)</f>
        <v>tier - 3</v>
      </c>
      <c r="P889" t="str">
        <f>VLOOKUP(A889,Hospitalisation_Details__2[],7,FALSE)</f>
        <v>R1026</v>
      </c>
    </row>
    <row r="890" spans="1:16" x14ac:dyDescent="0.35">
      <c r="A890" t="str">
        <v>Id889</v>
      </c>
      <c r="B890" t="str">
        <f>VLOOKUP(A890,'Customer Names (2)'!A:B, 2,FALSE)</f>
        <v>Mr</v>
      </c>
      <c r="C890">
        <f>VLOOKUP(A890,Medical_Examinations[],2,FALSE)</f>
        <v>41.73</v>
      </c>
      <c r="D890">
        <f>VLOOKUP(A890,Medical_Examinations[],3,FALSE)</f>
        <v>6.25</v>
      </c>
      <c r="E890" t="str">
        <f>VLOOKUP(A890,Medical_Examinations[],4,FALSE)</f>
        <v>No</v>
      </c>
      <c r="F890" t="str">
        <f>VLOOKUP(A890,Medical_Examinations[],5,FALSE)</f>
        <v>No</v>
      </c>
      <c r="G890" t="str">
        <f>VLOOKUP(A890,Medical_Examinations[],6,FALSE)</f>
        <v>No</v>
      </c>
      <c r="H890">
        <f>VLOOKUP(A890,Medical_Examinations[],7,FALSE)</f>
        <v>1</v>
      </c>
      <c r="I890" t="str">
        <f>VLOOKUP(A890,Medical_Examinations[],8,FALSE)</f>
        <v>No</v>
      </c>
      <c r="J890" t="str">
        <f>VLOOKUP(A890,Medical_Examinations[],9,FALSE)</f>
        <v>Obesity</v>
      </c>
      <c r="K890" t="str">
        <f>VLOOKUP(A890,Medical_Examinations[],10,FALSE)</f>
        <v>Prediabetes</v>
      </c>
      <c r="M890">
        <f>VLOOKUP(A890,Hospitalisation_Details__2[],4,FALSE)</f>
        <v>12148.2</v>
      </c>
      <c r="N890" t="str">
        <f>VLOOKUP(A890,Hospitalisation_Details__2[],5,FALSE)</f>
        <v>tier - 3</v>
      </c>
      <c r="O890" t="str">
        <f>VLOOKUP(A890,Hospitalisation_Details__2[],6,FALSE)</f>
        <v>tier - 3</v>
      </c>
      <c r="P890" t="str">
        <f>VLOOKUP(A890,Hospitalisation_Details__2[],7,FALSE)</f>
        <v>R1012</v>
      </c>
    </row>
    <row r="891" spans="1:16" x14ac:dyDescent="0.35">
      <c r="A891" t="str">
        <v>Id890</v>
      </c>
      <c r="B891" t="str">
        <f>VLOOKUP(A891,'Customer Names (2)'!A:B, 2,FALSE)</f>
        <v>Mr</v>
      </c>
      <c r="C891">
        <f>VLOOKUP(A891,Medical_Examinations[],2,FALSE)</f>
        <v>28.9</v>
      </c>
      <c r="D891">
        <f>VLOOKUP(A891,Medical_Examinations[],3,FALSE)</f>
        <v>11.96</v>
      </c>
      <c r="E891" t="str">
        <f>VLOOKUP(A891,Medical_Examinations[],4,FALSE)</f>
        <v>No</v>
      </c>
      <c r="F891" t="str">
        <f>VLOOKUP(A891,Medical_Examinations[],5,FALSE)</f>
        <v>No</v>
      </c>
      <c r="G891" t="str">
        <f>VLOOKUP(A891,Medical_Examinations[],6,FALSE)</f>
        <v>No</v>
      </c>
      <c r="H891">
        <f>VLOOKUP(A891,Medical_Examinations[],7,FALSE)</f>
        <v>0</v>
      </c>
      <c r="I891" t="str">
        <f>VLOOKUP(A891,Medical_Examinations[],8,FALSE)</f>
        <v>No</v>
      </c>
      <c r="J891" t="str">
        <f>VLOOKUP(A891,Medical_Examinations[],9,FALSE)</f>
        <v>Overweight</v>
      </c>
      <c r="K891" t="str">
        <f>VLOOKUP(A891,Medical_Examinations[],10,FALSE)</f>
        <v>Diabetes</v>
      </c>
      <c r="M891">
        <f>VLOOKUP(A891,Hospitalisation_Details__2[],4,FALSE)</f>
        <v>12146.97</v>
      </c>
      <c r="N891" t="str">
        <f>VLOOKUP(A891,Hospitalisation_Details__2[],5,FALSE)</f>
        <v>tier - 3</v>
      </c>
      <c r="O891" t="str">
        <f>VLOOKUP(A891,Hospitalisation_Details__2[],6,FALSE)</f>
        <v>tier - 3</v>
      </c>
      <c r="P891" t="str">
        <f>VLOOKUP(A891,Hospitalisation_Details__2[],7,FALSE)</f>
        <v>R1011</v>
      </c>
    </row>
    <row r="892" spans="1:16" x14ac:dyDescent="0.35">
      <c r="A892" t="str">
        <v>Id891</v>
      </c>
      <c r="B892" t="str">
        <f>VLOOKUP(A892,'Customer Names (2)'!A:B, 2,FALSE)</f>
        <v>Mr</v>
      </c>
      <c r="C892">
        <f>VLOOKUP(A892,Medical_Examinations[],2,FALSE)</f>
        <v>25.74</v>
      </c>
      <c r="D892">
        <f>VLOOKUP(A892,Medical_Examinations[],3,FALSE)</f>
        <v>7.69</v>
      </c>
      <c r="E892" t="str">
        <f>VLOOKUP(A892,Medical_Examinations[],4,FALSE)</f>
        <v>No</v>
      </c>
      <c r="F892" t="str">
        <f>VLOOKUP(A892,Medical_Examinations[],5,FALSE)</f>
        <v>No</v>
      </c>
      <c r="G892" t="str">
        <f>VLOOKUP(A892,Medical_Examinations[],6,FALSE)</f>
        <v>No</v>
      </c>
      <c r="H892">
        <f>VLOOKUP(A892,Medical_Examinations[],7,FALSE)</f>
        <v>0</v>
      </c>
      <c r="I892" t="str">
        <f>VLOOKUP(A892,Medical_Examinations[],8,FALSE)</f>
        <v>No</v>
      </c>
      <c r="J892" t="str">
        <f>VLOOKUP(A892,Medical_Examinations[],9,FALSE)</f>
        <v>Overweight</v>
      </c>
      <c r="K892" t="str">
        <f>VLOOKUP(A892,Medical_Examinations[],10,FALSE)</f>
        <v>Diabetes</v>
      </c>
      <c r="M892">
        <f>VLOOKUP(A892,Hospitalisation_Details__2[],4,FALSE)</f>
        <v>12142.58</v>
      </c>
      <c r="N892" t="str">
        <f>VLOOKUP(A892,Hospitalisation_Details__2[],5,FALSE)</f>
        <v>tier - 3</v>
      </c>
      <c r="O892" t="str">
        <f>VLOOKUP(A892,Hospitalisation_Details__2[],6,FALSE)</f>
        <v>tier - 2</v>
      </c>
      <c r="P892" t="str">
        <f>VLOOKUP(A892,Hospitalisation_Details__2[],7,FALSE)</f>
        <v>R1013</v>
      </c>
    </row>
    <row r="893" spans="1:16" x14ac:dyDescent="0.35">
      <c r="A893" t="str">
        <v>Id892</v>
      </c>
      <c r="B893" t="str">
        <f>VLOOKUP(A893,'Customer Names (2)'!A:B, 2,FALSE)</f>
        <v>Mr</v>
      </c>
      <c r="C893">
        <f>VLOOKUP(A893,Medical_Examinations[],2,FALSE)</f>
        <v>36.06</v>
      </c>
      <c r="D893">
        <f>VLOOKUP(A893,Medical_Examinations[],3,FALSE)</f>
        <v>8.83</v>
      </c>
      <c r="E893" t="str">
        <f>VLOOKUP(A893,Medical_Examinations[],4,FALSE)</f>
        <v>No</v>
      </c>
      <c r="F893" t="str">
        <f>VLOOKUP(A893,Medical_Examinations[],5,FALSE)</f>
        <v>No</v>
      </c>
      <c r="G893" t="str">
        <f>VLOOKUP(A893,Medical_Examinations[],6,FALSE)</f>
        <v>No</v>
      </c>
      <c r="H893">
        <f>VLOOKUP(A893,Medical_Examinations[],7,FALSE)</f>
        <v>0</v>
      </c>
      <c r="I893" t="str">
        <f>VLOOKUP(A893,Medical_Examinations[],8,FALSE)</f>
        <v>No</v>
      </c>
      <c r="J893" t="str">
        <f>VLOOKUP(A893,Medical_Examinations[],9,FALSE)</f>
        <v>Obesity</v>
      </c>
      <c r="K893" t="str">
        <f>VLOOKUP(A893,Medical_Examinations[],10,FALSE)</f>
        <v>Diabetes</v>
      </c>
      <c r="M893">
        <f>VLOOKUP(A893,Hospitalisation_Details__2[],4,FALSE)</f>
        <v>12137.6</v>
      </c>
      <c r="N893" t="str">
        <f>VLOOKUP(A893,Hospitalisation_Details__2[],5,FALSE)</f>
        <v>tier - 3</v>
      </c>
      <c r="O893" t="str">
        <f>VLOOKUP(A893,Hospitalisation_Details__2[],6,FALSE)</f>
        <v>tier - 3</v>
      </c>
      <c r="P893" t="str">
        <f>VLOOKUP(A893,Hospitalisation_Details__2[],7,FALSE)</f>
        <v>R1012</v>
      </c>
    </row>
    <row r="894" spans="1:16" x14ac:dyDescent="0.35">
      <c r="A894" t="str">
        <v>Id893</v>
      </c>
      <c r="B894" t="str">
        <f>VLOOKUP(A894,'Customer Names (2)'!A:B, 2,FALSE)</f>
        <v>Mrs</v>
      </c>
      <c r="C894">
        <f>VLOOKUP(A894,Medical_Examinations[],2,FALSE)</f>
        <v>43.28</v>
      </c>
      <c r="D894">
        <f>VLOOKUP(A894,Medical_Examinations[],3,FALSE)</f>
        <v>4.41</v>
      </c>
      <c r="E894" t="str">
        <f>VLOOKUP(A894,Medical_Examinations[],4,FALSE)</f>
        <v>No</v>
      </c>
      <c r="F894" t="str">
        <f>VLOOKUP(A894,Medical_Examinations[],5,FALSE)</f>
        <v>No</v>
      </c>
      <c r="G894" t="str">
        <f>VLOOKUP(A894,Medical_Examinations[],6,FALSE)</f>
        <v>No</v>
      </c>
      <c r="H894">
        <f>VLOOKUP(A894,Medical_Examinations[],7,FALSE)</f>
        <v>0</v>
      </c>
      <c r="I894" t="str">
        <f>VLOOKUP(A894,Medical_Examinations[],8,FALSE)</f>
        <v>No</v>
      </c>
      <c r="J894" t="str">
        <f>VLOOKUP(A894,Medical_Examinations[],9,FALSE)</f>
        <v>Obesity</v>
      </c>
      <c r="K894" t="str">
        <f>VLOOKUP(A894,Medical_Examinations[],10,FALSE)</f>
        <v>Normal</v>
      </c>
      <c r="M894">
        <f>VLOOKUP(A894,Hospitalisation_Details__2[],4,FALSE)</f>
        <v>12130.8</v>
      </c>
      <c r="N894" t="str">
        <f>VLOOKUP(A894,Hospitalisation_Details__2[],5,FALSE)</f>
        <v>tier - 3</v>
      </c>
      <c r="O894" t="str">
        <f>VLOOKUP(A894,Hospitalisation_Details__2[],6,FALSE)</f>
        <v>tier - 3</v>
      </c>
      <c r="P894" t="str">
        <f>VLOOKUP(A894,Hospitalisation_Details__2[],7,FALSE)</f>
        <v>R1026</v>
      </c>
    </row>
    <row r="895" spans="1:16" x14ac:dyDescent="0.35">
      <c r="A895" t="str">
        <v>Id894</v>
      </c>
      <c r="B895" t="str">
        <f>VLOOKUP(A895,'Customer Names (2)'!A:B, 2,FALSE)</f>
        <v>Mr</v>
      </c>
      <c r="C895">
        <f>VLOOKUP(A895,Medical_Examinations[],2,FALSE)</f>
        <v>28.785</v>
      </c>
      <c r="D895">
        <f>VLOOKUP(A895,Medical_Examinations[],3,FALSE)</f>
        <v>9.1</v>
      </c>
      <c r="E895" t="str">
        <f>VLOOKUP(A895,Medical_Examinations[],4,FALSE)</f>
        <v>Yes</v>
      </c>
      <c r="F895" t="str">
        <f>VLOOKUP(A895,Medical_Examinations[],5,FALSE)</f>
        <v>No</v>
      </c>
      <c r="G895" t="str">
        <f>VLOOKUP(A895,Medical_Examinations[],6,FALSE)</f>
        <v>Yes</v>
      </c>
      <c r="H895">
        <f>VLOOKUP(A895,Medical_Examinations[],7,FALSE)</f>
        <v>1</v>
      </c>
      <c r="I895" t="str">
        <f>VLOOKUP(A895,Medical_Examinations[],8,FALSE)</f>
        <v>No</v>
      </c>
      <c r="J895" t="str">
        <f>VLOOKUP(A895,Medical_Examinations[],9,FALSE)</f>
        <v>Overweight</v>
      </c>
      <c r="K895" t="str">
        <f>VLOOKUP(A895,Medical_Examinations[],10,FALSE)</f>
        <v>Diabetes</v>
      </c>
      <c r="M895">
        <f>VLOOKUP(A895,Hospitalisation_Details__2[],4,FALSE)</f>
        <v>12129.61</v>
      </c>
      <c r="N895" t="str">
        <f>VLOOKUP(A895,Hospitalisation_Details__2[],5,FALSE)</f>
        <v>tier - 3</v>
      </c>
      <c r="O895" t="str">
        <f>VLOOKUP(A895,Hospitalisation_Details__2[],6,FALSE)</f>
        <v>tier - 1</v>
      </c>
      <c r="P895" t="str">
        <f>VLOOKUP(A895,Hospitalisation_Details__2[],7,FALSE)</f>
        <v>R1012</v>
      </c>
    </row>
    <row r="896" spans="1:16" x14ac:dyDescent="0.35">
      <c r="A896" t="str">
        <v>Id895</v>
      </c>
      <c r="B896" t="str">
        <f>VLOOKUP(A896,'Customer Names (2)'!A:B, 2,FALSE)</f>
        <v>Mr</v>
      </c>
      <c r="C896">
        <f>VLOOKUP(A896,Medical_Examinations[],2,FALSE)</f>
        <v>25.46</v>
      </c>
      <c r="D896">
        <f>VLOOKUP(A896,Medical_Examinations[],3,FALSE)</f>
        <v>11.52</v>
      </c>
      <c r="E896" t="str">
        <f>VLOOKUP(A896,Medical_Examinations[],4,FALSE)</f>
        <v>Yes</v>
      </c>
      <c r="F896" t="str">
        <f>VLOOKUP(A896,Medical_Examinations[],5,FALSE)</f>
        <v>No</v>
      </c>
      <c r="G896" t="str">
        <f>VLOOKUP(A896,Medical_Examinations[],6,FALSE)</f>
        <v>Yes</v>
      </c>
      <c r="H896">
        <f>VLOOKUP(A896,Medical_Examinations[],7,FALSE)</f>
        <v>1</v>
      </c>
      <c r="I896" t="str">
        <f>VLOOKUP(A896,Medical_Examinations[],8,FALSE)</f>
        <v>No</v>
      </c>
      <c r="J896" t="str">
        <f>VLOOKUP(A896,Medical_Examinations[],9,FALSE)</f>
        <v>Overweight</v>
      </c>
      <c r="K896" t="str">
        <f>VLOOKUP(A896,Medical_Examinations[],10,FALSE)</f>
        <v>Diabetes</v>
      </c>
      <c r="M896">
        <f>VLOOKUP(A896,Hospitalisation_Details__2[],4,FALSE)</f>
        <v>12124.99</v>
      </c>
      <c r="N896" t="str">
        <f>VLOOKUP(A896,Hospitalisation_Details__2[],5,FALSE)</f>
        <v>tier - 3</v>
      </c>
      <c r="O896" t="str">
        <f>VLOOKUP(A896,Hospitalisation_Details__2[],6,FALSE)</f>
        <v>tier - 1</v>
      </c>
      <c r="P896" t="str">
        <f>VLOOKUP(A896,Hospitalisation_Details__2[],7,FALSE)</f>
        <v>R1012</v>
      </c>
    </row>
    <row r="897" spans="1:16" x14ac:dyDescent="0.35">
      <c r="A897" t="str">
        <v>Id896</v>
      </c>
      <c r="B897" t="str">
        <f>VLOOKUP(A897,'Customer Names (2)'!A:B, 2,FALSE)</f>
        <v>Ms</v>
      </c>
      <c r="C897">
        <f>VLOOKUP(A897,Medical_Examinations[],2,FALSE)</f>
        <v>30.8</v>
      </c>
      <c r="D897">
        <f>VLOOKUP(A897,Medical_Examinations[],3,FALSE)</f>
        <v>10.95</v>
      </c>
      <c r="E897" t="str">
        <f>VLOOKUP(A897,Medical_Examinations[],4,FALSE)</f>
        <v>No</v>
      </c>
      <c r="F897" t="str">
        <f>VLOOKUP(A897,Medical_Examinations[],5,FALSE)</f>
        <v>No</v>
      </c>
      <c r="G897" t="str">
        <f>VLOOKUP(A897,Medical_Examinations[],6,FALSE)</f>
        <v>No</v>
      </c>
      <c r="H897">
        <f>VLOOKUP(A897,Medical_Examinations[],7,FALSE)</f>
        <v>0</v>
      </c>
      <c r="I897" t="str">
        <f>VLOOKUP(A897,Medical_Examinations[],8,FALSE)</f>
        <v>No</v>
      </c>
      <c r="J897" t="str">
        <f>VLOOKUP(A897,Medical_Examinations[],9,FALSE)</f>
        <v>Obesity</v>
      </c>
      <c r="K897" t="str">
        <f>VLOOKUP(A897,Medical_Examinations[],10,FALSE)</f>
        <v>Diabetes</v>
      </c>
      <c r="M897">
        <f>VLOOKUP(A897,Hospitalisation_Details__2[],4,FALSE)</f>
        <v>12105.32</v>
      </c>
      <c r="N897" t="str">
        <f>VLOOKUP(A897,Hospitalisation_Details__2[],5,FALSE)</f>
        <v>tier - 3</v>
      </c>
      <c r="O897" t="str">
        <f>VLOOKUP(A897,Hospitalisation_Details__2[],6,FALSE)</f>
        <v>tier - 3</v>
      </c>
      <c r="P897" t="str">
        <f>VLOOKUP(A897,Hospitalisation_Details__2[],7,FALSE)</f>
        <v>R1011</v>
      </c>
    </row>
    <row r="898" spans="1:16" x14ac:dyDescent="0.35">
      <c r="A898" t="str">
        <v>Id897</v>
      </c>
      <c r="B898" t="str">
        <f>VLOOKUP(A898,'Customer Names (2)'!A:B, 2,FALSE)</f>
        <v>Ms</v>
      </c>
      <c r="C898">
        <f>VLOOKUP(A898,Medical_Examinations[],2,FALSE)</f>
        <v>28.88</v>
      </c>
      <c r="D898">
        <f>VLOOKUP(A898,Medical_Examinations[],3,FALSE)</f>
        <v>11.5</v>
      </c>
      <c r="E898" t="str">
        <f>VLOOKUP(A898,Medical_Examinations[],4,FALSE)</f>
        <v>No</v>
      </c>
      <c r="F898" t="str">
        <f>VLOOKUP(A898,Medical_Examinations[],5,FALSE)</f>
        <v>No</v>
      </c>
      <c r="G898" t="str">
        <f>VLOOKUP(A898,Medical_Examinations[],6,FALSE)</f>
        <v>No</v>
      </c>
      <c r="H898">
        <f>VLOOKUP(A898,Medical_Examinations[],7,FALSE)</f>
        <v>0</v>
      </c>
      <c r="I898" t="str">
        <f>VLOOKUP(A898,Medical_Examinations[],8,FALSE)</f>
        <v>No</v>
      </c>
      <c r="J898" t="str">
        <f>VLOOKUP(A898,Medical_Examinations[],9,FALSE)</f>
        <v>Overweight</v>
      </c>
      <c r="K898" t="str">
        <f>VLOOKUP(A898,Medical_Examinations[],10,FALSE)</f>
        <v>Diabetes</v>
      </c>
      <c r="M898">
        <f>VLOOKUP(A898,Hospitalisation_Details__2[],4,FALSE)</f>
        <v>12096.65</v>
      </c>
      <c r="N898" t="str">
        <f>VLOOKUP(A898,Hospitalisation_Details__2[],5,FALSE)</f>
        <v>tier - 3</v>
      </c>
      <c r="O898" t="str">
        <f>VLOOKUP(A898,Hospitalisation_Details__2[],6,FALSE)</f>
        <v>tier - 1</v>
      </c>
      <c r="P898" t="str">
        <f>VLOOKUP(A898,Hospitalisation_Details__2[],7,FALSE)</f>
        <v>R1024</v>
      </c>
    </row>
    <row r="899" spans="1:16" x14ac:dyDescent="0.35">
      <c r="A899" t="str">
        <v>Id898</v>
      </c>
      <c r="B899" t="str">
        <f>VLOOKUP(A899,'Customer Names (2)'!A:B, 2,FALSE)</f>
        <v>Ms</v>
      </c>
      <c r="C899">
        <f>VLOOKUP(A899,Medical_Examinations[],2,FALSE)</f>
        <v>23</v>
      </c>
      <c r="D899">
        <f>VLOOKUP(A899,Medical_Examinations[],3,FALSE)</f>
        <v>9.8800000000000008</v>
      </c>
      <c r="E899" t="str">
        <f>VLOOKUP(A899,Medical_Examinations[],4,FALSE)</f>
        <v>No</v>
      </c>
      <c r="F899" t="str">
        <f>VLOOKUP(A899,Medical_Examinations[],5,FALSE)</f>
        <v>No</v>
      </c>
      <c r="G899" t="str">
        <f>VLOOKUP(A899,Medical_Examinations[],6,FALSE)</f>
        <v>No</v>
      </c>
      <c r="H899">
        <f>VLOOKUP(A899,Medical_Examinations[],7,FALSE)</f>
        <v>0</v>
      </c>
      <c r="I899" t="str">
        <f>VLOOKUP(A899,Medical_Examinations[],8,FALSE)</f>
        <v>No</v>
      </c>
      <c r="J899" t="str">
        <f>VLOOKUP(A899,Medical_Examinations[],9,FALSE)</f>
        <v>Normal Weight</v>
      </c>
      <c r="K899" t="str">
        <f>VLOOKUP(A899,Medical_Examinations[],10,FALSE)</f>
        <v>Diabetes</v>
      </c>
      <c r="M899">
        <f>VLOOKUP(A899,Hospitalisation_Details__2[],4,FALSE)</f>
        <v>12094.48</v>
      </c>
      <c r="N899" t="str">
        <f>VLOOKUP(A899,Hospitalisation_Details__2[],5,FALSE)</f>
        <v>tier - 3</v>
      </c>
      <c r="O899" t="str">
        <f>VLOOKUP(A899,Hospitalisation_Details__2[],6,FALSE)</f>
        <v>tier - 3</v>
      </c>
      <c r="P899" t="str">
        <f>VLOOKUP(A899,Hospitalisation_Details__2[],7,FALSE)</f>
        <v>R1011</v>
      </c>
    </row>
    <row r="900" spans="1:16" x14ac:dyDescent="0.35">
      <c r="A900" t="str">
        <v>Id899</v>
      </c>
      <c r="B900" t="str">
        <f>VLOOKUP(A900,'Customer Names (2)'!A:B, 2,FALSE)</f>
        <v>Mr</v>
      </c>
      <c r="C900">
        <f>VLOOKUP(A900,Medical_Examinations[],2,FALSE)</f>
        <v>38.25</v>
      </c>
      <c r="D900">
        <f>VLOOKUP(A900,Medical_Examinations[],3,FALSE)</f>
        <v>6.2</v>
      </c>
      <c r="E900" t="str">
        <f>VLOOKUP(A900,Medical_Examinations[],4,FALSE)</f>
        <v>No</v>
      </c>
      <c r="F900" t="str">
        <f>VLOOKUP(A900,Medical_Examinations[],5,FALSE)</f>
        <v>No</v>
      </c>
      <c r="G900" t="str">
        <f>VLOOKUP(A900,Medical_Examinations[],6,FALSE)</f>
        <v>No</v>
      </c>
      <c r="H900">
        <f>VLOOKUP(A900,Medical_Examinations[],7,FALSE)</f>
        <v>1</v>
      </c>
      <c r="I900" t="str">
        <f>VLOOKUP(A900,Medical_Examinations[],8,FALSE)</f>
        <v>No</v>
      </c>
      <c r="J900" t="str">
        <f>VLOOKUP(A900,Medical_Examinations[],9,FALSE)</f>
        <v>Obesity</v>
      </c>
      <c r="K900" t="str">
        <f>VLOOKUP(A900,Medical_Examinations[],10,FALSE)</f>
        <v>Prediabetes</v>
      </c>
      <c r="M900">
        <f>VLOOKUP(A900,Hospitalisation_Details__2[],4,FALSE)</f>
        <v>12091.34</v>
      </c>
      <c r="N900" t="str">
        <f>VLOOKUP(A900,Hospitalisation_Details__2[],5,FALSE)</f>
        <v>tier - 3</v>
      </c>
      <c r="O900" t="str">
        <f>VLOOKUP(A900,Hospitalisation_Details__2[],6,FALSE)</f>
        <v>tier - 2</v>
      </c>
      <c r="P900" t="str">
        <f>VLOOKUP(A900,Hospitalisation_Details__2[],7,FALSE)</f>
        <v>R1022</v>
      </c>
    </row>
    <row r="901" spans="1:16" x14ac:dyDescent="0.35">
      <c r="A901" t="str">
        <v>Id900</v>
      </c>
      <c r="B901" t="str">
        <f>VLOOKUP(A901,'Customer Names (2)'!A:B, 2,FALSE)</f>
        <v>Mrs</v>
      </c>
      <c r="C901">
        <f>VLOOKUP(A901,Medical_Examinations[],2,FALSE)</f>
        <v>39.25</v>
      </c>
      <c r="D901">
        <f>VLOOKUP(A901,Medical_Examinations[],3,FALSE)</f>
        <v>8.41</v>
      </c>
      <c r="E901" t="str">
        <f>VLOOKUP(A901,Medical_Examinations[],4,FALSE)</f>
        <v>Yes</v>
      </c>
      <c r="F901" t="str">
        <f>VLOOKUP(A901,Medical_Examinations[],5,FALSE)</f>
        <v>No</v>
      </c>
      <c r="G901" t="str">
        <f>VLOOKUP(A901,Medical_Examinations[],6,FALSE)</f>
        <v>No</v>
      </c>
      <c r="H901">
        <f>VLOOKUP(A901,Medical_Examinations[],7,FALSE)</f>
        <v>1</v>
      </c>
      <c r="I901" t="str">
        <f>VLOOKUP(A901,Medical_Examinations[],8,FALSE)</f>
        <v>No</v>
      </c>
      <c r="J901" t="str">
        <f>VLOOKUP(A901,Medical_Examinations[],9,FALSE)</f>
        <v>Obesity</v>
      </c>
      <c r="K901" t="str">
        <f>VLOOKUP(A901,Medical_Examinations[],10,FALSE)</f>
        <v>Diabetes</v>
      </c>
      <c r="M901">
        <f>VLOOKUP(A901,Hospitalisation_Details__2[],4,FALSE)</f>
        <v>12048.13</v>
      </c>
      <c r="N901" t="str">
        <f>VLOOKUP(A901,Hospitalisation_Details__2[],5,FALSE)</f>
        <v>tier - 3</v>
      </c>
      <c r="O901" t="str">
        <f>VLOOKUP(A901,Hospitalisation_Details__2[],6,FALSE)</f>
        <v>tier - 2</v>
      </c>
      <c r="P901" t="str">
        <f>VLOOKUP(A901,Hospitalisation_Details__2[],7,FALSE)</f>
        <v>R1026</v>
      </c>
    </row>
    <row r="902" spans="1:16" x14ac:dyDescent="0.35">
      <c r="A902" t="str">
        <v>Id901</v>
      </c>
      <c r="B902" t="str">
        <f>VLOOKUP(A902,'Customer Names (2)'!A:B, 2,FALSE)</f>
        <v>Ms</v>
      </c>
      <c r="C902">
        <f>VLOOKUP(A902,Medical_Examinations[],2,FALSE)</f>
        <v>26.6</v>
      </c>
      <c r="D902">
        <f>VLOOKUP(A902,Medical_Examinations[],3,FALSE)</f>
        <v>5.07</v>
      </c>
      <c r="E902" t="str">
        <f>VLOOKUP(A902,Medical_Examinations[],4,FALSE)</f>
        <v>Yes</v>
      </c>
      <c r="F902" t="str">
        <f>VLOOKUP(A902,Medical_Examinations[],5,FALSE)</f>
        <v>No</v>
      </c>
      <c r="G902" t="str">
        <f>VLOOKUP(A902,Medical_Examinations[],6,FALSE)</f>
        <v>No</v>
      </c>
      <c r="H902">
        <f>VLOOKUP(A902,Medical_Examinations[],7,FALSE)</f>
        <v>2</v>
      </c>
      <c r="I902" t="str">
        <f>VLOOKUP(A902,Medical_Examinations[],8,FALSE)</f>
        <v>No</v>
      </c>
      <c r="J902" t="str">
        <f>VLOOKUP(A902,Medical_Examinations[],9,FALSE)</f>
        <v>Overweight</v>
      </c>
      <c r="K902" t="str">
        <f>VLOOKUP(A902,Medical_Examinations[],10,FALSE)</f>
        <v>Normal</v>
      </c>
      <c r="M902">
        <f>VLOOKUP(A902,Hospitalisation_Details__2[],4,FALSE)</f>
        <v>12044.34</v>
      </c>
      <c r="N902" t="str">
        <f>VLOOKUP(A902,Hospitalisation_Details__2[],5,FALSE)</f>
        <v>tier - 3</v>
      </c>
      <c r="O902" t="str">
        <f>VLOOKUP(A902,Hospitalisation_Details__2[],6,FALSE)</f>
        <v>tier - 1</v>
      </c>
      <c r="P902" t="str">
        <f>VLOOKUP(A902,Hospitalisation_Details__2[],7,FALSE)</f>
        <v>R1012</v>
      </c>
    </row>
    <row r="903" spans="1:16" x14ac:dyDescent="0.35">
      <c r="A903" t="str">
        <v>Id902</v>
      </c>
      <c r="B903" t="str">
        <f>VLOOKUP(A903,'Customer Names (2)'!A:B, 2,FALSE)</f>
        <v>Mr</v>
      </c>
      <c r="C903">
        <f>VLOOKUP(A903,Medical_Examinations[],2,FALSE)</f>
        <v>35.700000000000003</v>
      </c>
      <c r="D903">
        <f>VLOOKUP(A903,Medical_Examinations[],3,FALSE)</f>
        <v>4.0599999999999996</v>
      </c>
      <c r="E903" t="str">
        <f>VLOOKUP(A903,Medical_Examinations[],4,FALSE)</f>
        <v>No</v>
      </c>
      <c r="F903" t="str">
        <f>VLOOKUP(A903,Medical_Examinations[],5,FALSE)</f>
        <v>No</v>
      </c>
      <c r="G903" t="str">
        <f>VLOOKUP(A903,Medical_Examinations[],6,FALSE)</f>
        <v>Yes</v>
      </c>
      <c r="H903">
        <f>VLOOKUP(A903,Medical_Examinations[],7,FALSE)</f>
        <v>1</v>
      </c>
      <c r="I903" t="str">
        <f>VLOOKUP(A903,Medical_Examinations[],8,FALSE)</f>
        <v>No</v>
      </c>
      <c r="J903" t="str">
        <f>VLOOKUP(A903,Medical_Examinations[],9,FALSE)</f>
        <v>Obesity</v>
      </c>
      <c r="K903" t="str">
        <f>VLOOKUP(A903,Medical_Examinations[],10,FALSE)</f>
        <v>Normal</v>
      </c>
      <c r="M903">
        <f>VLOOKUP(A903,Hospitalisation_Details__2[],4,FALSE)</f>
        <v>12035.18</v>
      </c>
      <c r="N903" t="str">
        <f>VLOOKUP(A903,Hospitalisation_Details__2[],5,FALSE)</f>
        <v>tier - 3</v>
      </c>
      <c r="O903" t="str">
        <f>VLOOKUP(A903,Hospitalisation_Details__2[],6,FALSE)</f>
        <v>tier - 3</v>
      </c>
      <c r="P903" t="str">
        <f>VLOOKUP(A903,Hospitalisation_Details__2[],7,FALSE)</f>
        <v>R1021</v>
      </c>
    </row>
    <row r="904" spans="1:16" x14ac:dyDescent="0.35">
      <c r="A904" t="str">
        <v>Id903</v>
      </c>
      <c r="B904" t="str">
        <f>VLOOKUP(A904,'Customer Names (2)'!A:B, 2,FALSE)</f>
        <v>Ms</v>
      </c>
      <c r="C904">
        <f>VLOOKUP(A904,Medical_Examinations[],2,FALSE)</f>
        <v>20.100000000000001</v>
      </c>
      <c r="D904">
        <f>VLOOKUP(A904,Medical_Examinations[],3,FALSE)</f>
        <v>10.52</v>
      </c>
      <c r="E904" t="str">
        <f>VLOOKUP(A904,Medical_Examinations[],4,FALSE)</f>
        <v>No</v>
      </c>
      <c r="F904" t="str">
        <f>VLOOKUP(A904,Medical_Examinations[],5,FALSE)</f>
        <v>No</v>
      </c>
      <c r="G904" t="str">
        <f>VLOOKUP(A904,Medical_Examinations[],6,FALSE)</f>
        <v>No</v>
      </c>
      <c r="H904">
        <f>VLOOKUP(A904,Medical_Examinations[],7,FALSE)</f>
        <v>0</v>
      </c>
      <c r="I904" t="str">
        <f>VLOOKUP(A904,Medical_Examinations[],8,FALSE)</f>
        <v>No</v>
      </c>
      <c r="J904" t="str">
        <f>VLOOKUP(A904,Medical_Examinations[],9,FALSE)</f>
        <v>Normal Weight</v>
      </c>
      <c r="K904" t="str">
        <f>VLOOKUP(A904,Medical_Examinations[],10,FALSE)</f>
        <v>Diabetes</v>
      </c>
      <c r="M904">
        <f>VLOOKUP(A904,Hospitalisation_Details__2[],4,FALSE)</f>
        <v>12032.33</v>
      </c>
      <c r="N904" t="str">
        <f>VLOOKUP(A904,Hospitalisation_Details__2[],5,FALSE)</f>
        <v>tier - 3</v>
      </c>
      <c r="O904" t="str">
        <f>VLOOKUP(A904,Hospitalisation_Details__2[],6,FALSE)</f>
        <v>tier - 1</v>
      </c>
      <c r="P904" t="str">
        <f>VLOOKUP(A904,Hospitalisation_Details__2[],7,FALSE)</f>
        <v>R1011</v>
      </c>
    </row>
    <row r="905" spans="1:16" x14ac:dyDescent="0.35">
      <c r="A905" t="str">
        <v>Id904</v>
      </c>
      <c r="B905" t="str">
        <f>VLOOKUP(A905,'Customer Names (2)'!A:B, 2,FALSE)</f>
        <v>Ms</v>
      </c>
      <c r="C905">
        <f>VLOOKUP(A905,Medical_Examinations[],2,FALSE)</f>
        <v>22.23</v>
      </c>
      <c r="D905">
        <f>VLOOKUP(A905,Medical_Examinations[],3,FALSE)</f>
        <v>9.65</v>
      </c>
      <c r="E905" t="str">
        <f>VLOOKUP(A905,Medical_Examinations[],4,FALSE)</f>
        <v>No</v>
      </c>
      <c r="F905" t="str">
        <f>VLOOKUP(A905,Medical_Examinations[],5,FALSE)</f>
        <v>No</v>
      </c>
      <c r="G905" t="str">
        <f>VLOOKUP(A905,Medical_Examinations[],6,FALSE)</f>
        <v>No</v>
      </c>
      <c r="H905">
        <f>VLOOKUP(A905,Medical_Examinations[],7,FALSE)</f>
        <v>0</v>
      </c>
      <c r="I905" t="str">
        <f>VLOOKUP(A905,Medical_Examinations[],8,FALSE)</f>
        <v>No</v>
      </c>
      <c r="J905" t="str">
        <f>VLOOKUP(A905,Medical_Examinations[],9,FALSE)</f>
        <v>Normal Weight</v>
      </c>
      <c r="K905" t="str">
        <f>VLOOKUP(A905,Medical_Examinations[],10,FALSE)</f>
        <v>Diabetes</v>
      </c>
      <c r="M905">
        <f>VLOOKUP(A905,Hospitalisation_Details__2[],4,FALSE)</f>
        <v>12029.29</v>
      </c>
      <c r="N905" t="str">
        <f>VLOOKUP(A905,Hospitalisation_Details__2[],5,FALSE)</f>
        <v>tier - 3</v>
      </c>
      <c r="O905" t="str">
        <f>VLOOKUP(A905,Hospitalisation_Details__2[],6,FALSE)</f>
        <v>tier - 2</v>
      </c>
      <c r="P905" t="str">
        <f>VLOOKUP(A905,Hospitalisation_Details__2[],7,FALSE)</f>
        <v>R1024</v>
      </c>
    </row>
    <row r="906" spans="1:16" x14ac:dyDescent="0.35">
      <c r="A906" t="str">
        <v>Id905</v>
      </c>
      <c r="B906" t="str">
        <f>VLOOKUP(A906,'Customer Names (2)'!A:B, 2,FALSE)</f>
        <v>Mr</v>
      </c>
      <c r="C906">
        <f>VLOOKUP(A906,Medical_Examinations[],2,FALSE)</f>
        <v>36.47</v>
      </c>
      <c r="D906">
        <f>VLOOKUP(A906,Medical_Examinations[],3,FALSE)</f>
        <v>6.21</v>
      </c>
      <c r="E906" t="str">
        <f>VLOOKUP(A906,Medical_Examinations[],4,FALSE)</f>
        <v>No</v>
      </c>
      <c r="F906" t="str">
        <f>VLOOKUP(A906,Medical_Examinations[],5,FALSE)</f>
        <v>No</v>
      </c>
      <c r="G906" t="str">
        <f>VLOOKUP(A906,Medical_Examinations[],6,FALSE)</f>
        <v>No</v>
      </c>
      <c r="H906">
        <f>VLOOKUP(A906,Medical_Examinations[],7,FALSE)</f>
        <v>0</v>
      </c>
      <c r="I906" t="str">
        <f>VLOOKUP(A906,Medical_Examinations[],8,FALSE)</f>
        <v>No</v>
      </c>
      <c r="J906" t="str">
        <f>VLOOKUP(A906,Medical_Examinations[],9,FALSE)</f>
        <v>Obesity</v>
      </c>
      <c r="K906" t="str">
        <f>VLOOKUP(A906,Medical_Examinations[],10,FALSE)</f>
        <v>Prediabetes</v>
      </c>
      <c r="M906">
        <f>VLOOKUP(A906,Hospitalisation_Details__2[],4,FALSE)</f>
        <v>12001.29</v>
      </c>
      <c r="N906" t="str">
        <f>VLOOKUP(A906,Hospitalisation_Details__2[],5,FALSE)</f>
        <v>tier - 3</v>
      </c>
      <c r="O906" t="str">
        <f>VLOOKUP(A906,Hospitalisation_Details__2[],6,FALSE)</f>
        <v>tier - 3</v>
      </c>
      <c r="P906" t="str">
        <f>VLOOKUP(A906,Hospitalisation_Details__2[],7,FALSE)</f>
        <v>R1021</v>
      </c>
    </row>
    <row r="907" spans="1:16" x14ac:dyDescent="0.35">
      <c r="A907" t="str">
        <v>Id906</v>
      </c>
      <c r="B907" t="str">
        <f>VLOOKUP(A907,'Customer Names (2)'!A:B, 2,FALSE)</f>
        <v>Ms</v>
      </c>
      <c r="C907">
        <f>VLOOKUP(A907,Medical_Examinations[],2,FALSE)</f>
        <v>49.64</v>
      </c>
      <c r="D907">
        <f>VLOOKUP(A907,Medical_Examinations[],3,FALSE)</f>
        <v>4.76</v>
      </c>
      <c r="E907" t="str">
        <f>VLOOKUP(A907,Medical_Examinations[],4,FALSE)</f>
        <v>No</v>
      </c>
      <c r="F907" t="str">
        <f>VLOOKUP(A907,Medical_Examinations[],5,FALSE)</f>
        <v>No</v>
      </c>
      <c r="G907" t="str">
        <f>VLOOKUP(A907,Medical_Examinations[],6,FALSE)</f>
        <v>Yes</v>
      </c>
      <c r="H907">
        <f>VLOOKUP(A907,Medical_Examinations[],7,FALSE)</f>
        <v>1</v>
      </c>
      <c r="I907" t="str">
        <f>VLOOKUP(A907,Medical_Examinations[],8,FALSE)</f>
        <v>No</v>
      </c>
      <c r="J907" t="str">
        <f>VLOOKUP(A907,Medical_Examinations[],9,FALSE)</f>
        <v>Obesity</v>
      </c>
      <c r="K907" t="str">
        <f>VLOOKUP(A907,Medical_Examinations[],10,FALSE)</f>
        <v>Normal</v>
      </c>
      <c r="M907">
        <f>VLOOKUP(A907,Hospitalisation_Details__2[],4,FALSE)</f>
        <v>11994.89</v>
      </c>
      <c r="N907" t="str">
        <f>VLOOKUP(A907,Hospitalisation_Details__2[],5,FALSE)</f>
        <v>tier - 3</v>
      </c>
      <c r="O907" t="str">
        <f>VLOOKUP(A907,Hospitalisation_Details__2[],6,FALSE)</f>
        <v>tier - 2</v>
      </c>
      <c r="P907" t="str">
        <f>VLOOKUP(A907,Hospitalisation_Details__2[],7,FALSE)</f>
        <v>R1012</v>
      </c>
    </row>
    <row r="908" spans="1:16" x14ac:dyDescent="0.35">
      <c r="A908" t="str">
        <v>Id907</v>
      </c>
      <c r="B908" t="str">
        <f>VLOOKUP(A908,'Customer Names (2)'!A:B, 2,FALSE)</f>
        <v>Mrs</v>
      </c>
      <c r="C908">
        <f>VLOOKUP(A908,Medical_Examinations[],2,FALSE)</f>
        <v>36.799999999999997</v>
      </c>
      <c r="D908">
        <f>VLOOKUP(A908,Medical_Examinations[],3,FALSE)</f>
        <v>5.73</v>
      </c>
      <c r="E908" t="str">
        <f>VLOOKUP(A908,Medical_Examinations[],4,FALSE)</f>
        <v>Yes</v>
      </c>
      <c r="F908" t="str">
        <f>VLOOKUP(A908,Medical_Examinations[],5,FALSE)</f>
        <v>No</v>
      </c>
      <c r="G908" t="str">
        <f>VLOOKUP(A908,Medical_Examinations[],6,FALSE)</f>
        <v>Yes</v>
      </c>
      <c r="H908">
        <f>VLOOKUP(A908,Medical_Examinations[],7,FALSE)</f>
        <v>1</v>
      </c>
      <c r="I908" t="str">
        <f>VLOOKUP(A908,Medical_Examinations[],8,FALSE)</f>
        <v>No</v>
      </c>
      <c r="J908" t="str">
        <f>VLOOKUP(A908,Medical_Examinations[],9,FALSE)</f>
        <v>Obesity</v>
      </c>
      <c r="K908" t="str">
        <f>VLOOKUP(A908,Medical_Examinations[],10,FALSE)</f>
        <v>Prediabetes</v>
      </c>
      <c r="M908">
        <f>VLOOKUP(A908,Hospitalisation_Details__2[],4,FALSE)</f>
        <v>11987.68</v>
      </c>
      <c r="N908" t="str">
        <f>VLOOKUP(A908,Hospitalisation_Details__2[],5,FALSE)</f>
        <v>tier - 3</v>
      </c>
      <c r="O908" t="str">
        <f>VLOOKUP(A908,Hospitalisation_Details__2[],6,FALSE)</f>
        <v>tier - 2</v>
      </c>
      <c r="P908" t="str">
        <f>VLOOKUP(A908,Hospitalisation_Details__2[],7,FALSE)</f>
        <v>R1026</v>
      </c>
    </row>
    <row r="909" spans="1:16" x14ac:dyDescent="0.35">
      <c r="A909" t="str">
        <v>Id908</v>
      </c>
      <c r="B909" t="str">
        <f>VLOOKUP(A909,'Customer Names (2)'!A:B, 2,FALSE)</f>
        <v>Mr</v>
      </c>
      <c r="C909">
        <f>VLOOKUP(A909,Medical_Examinations[],2,FALSE)</f>
        <v>33.880000000000003</v>
      </c>
      <c r="D909">
        <f>VLOOKUP(A909,Medical_Examinations[],3,FALSE)</f>
        <v>10.78</v>
      </c>
      <c r="E909" t="str">
        <f>VLOOKUP(A909,Medical_Examinations[],4,FALSE)</f>
        <v>Yes</v>
      </c>
      <c r="F909" t="str">
        <f>VLOOKUP(A909,Medical_Examinations[],5,FALSE)</f>
        <v>No</v>
      </c>
      <c r="G909" t="str">
        <f>VLOOKUP(A909,Medical_Examinations[],6,FALSE)</f>
        <v>No</v>
      </c>
      <c r="H909">
        <f>VLOOKUP(A909,Medical_Examinations[],7,FALSE)</f>
        <v>0</v>
      </c>
      <c r="I909" t="str">
        <f>VLOOKUP(A909,Medical_Examinations[],8,FALSE)</f>
        <v>No</v>
      </c>
      <c r="J909" t="str">
        <f>VLOOKUP(A909,Medical_Examinations[],9,FALSE)</f>
        <v>Obesity</v>
      </c>
      <c r="K909" t="str">
        <f>VLOOKUP(A909,Medical_Examinations[],10,FALSE)</f>
        <v>Diabetes</v>
      </c>
      <c r="M909">
        <f>VLOOKUP(A909,Hospitalisation_Details__2[],4,FALSE)</f>
        <v>11987.17</v>
      </c>
      <c r="N909" t="str">
        <f>VLOOKUP(A909,Hospitalisation_Details__2[],5,FALSE)</f>
        <v>tier - 3</v>
      </c>
      <c r="O909" t="str">
        <f>VLOOKUP(A909,Hospitalisation_Details__2[],6,FALSE)</f>
        <v>tier - 3</v>
      </c>
      <c r="P909" t="str">
        <f>VLOOKUP(A909,Hospitalisation_Details__2[],7,FALSE)</f>
        <v>R1013</v>
      </c>
    </row>
    <row r="910" spans="1:16" x14ac:dyDescent="0.35">
      <c r="A910" t="str">
        <v>Id909</v>
      </c>
      <c r="B910" t="str">
        <f>VLOOKUP(A910,'Customer Names (2)'!A:B, 2,FALSE)</f>
        <v>Mr</v>
      </c>
      <c r="C910">
        <f>VLOOKUP(A910,Medical_Examinations[],2,FALSE)</f>
        <v>32.01</v>
      </c>
      <c r="D910">
        <f>VLOOKUP(A910,Medical_Examinations[],3,FALSE)</f>
        <v>5.08</v>
      </c>
      <c r="E910" t="str">
        <f>VLOOKUP(A910,Medical_Examinations[],4,FALSE)</f>
        <v>Yes</v>
      </c>
      <c r="F910" t="str">
        <f>VLOOKUP(A910,Medical_Examinations[],5,FALSE)</f>
        <v>No</v>
      </c>
      <c r="G910" t="str">
        <f>VLOOKUP(A910,Medical_Examinations[],6,FALSE)</f>
        <v>No</v>
      </c>
      <c r="H910">
        <f>VLOOKUP(A910,Medical_Examinations[],7,FALSE)</f>
        <v>1</v>
      </c>
      <c r="I910" t="str">
        <f>VLOOKUP(A910,Medical_Examinations[],8,FALSE)</f>
        <v>No</v>
      </c>
      <c r="J910" t="str">
        <f>VLOOKUP(A910,Medical_Examinations[],9,FALSE)</f>
        <v>Obesity</v>
      </c>
      <c r="K910" t="str">
        <f>VLOOKUP(A910,Medical_Examinations[],10,FALSE)</f>
        <v>Normal</v>
      </c>
      <c r="M910">
        <f>VLOOKUP(A910,Hospitalisation_Details__2[],4,FALSE)</f>
        <v>11946.63</v>
      </c>
      <c r="N910" t="str">
        <f>VLOOKUP(A910,Hospitalisation_Details__2[],5,FALSE)</f>
        <v>tier - 3</v>
      </c>
      <c r="O910" t="str">
        <f>VLOOKUP(A910,Hospitalisation_Details__2[],6,FALSE)</f>
        <v>tier - 2</v>
      </c>
      <c r="P910" t="str">
        <f>VLOOKUP(A910,Hospitalisation_Details__2[],7,FALSE)</f>
        <v>R1013</v>
      </c>
    </row>
    <row r="911" spans="1:16" x14ac:dyDescent="0.35">
      <c r="A911" t="str">
        <v>Id910</v>
      </c>
      <c r="B911" t="str">
        <f>VLOOKUP(A911,'Customer Names (2)'!A:B, 2,FALSE)</f>
        <v>Mr</v>
      </c>
      <c r="C911">
        <f>VLOOKUP(A911,Medical_Examinations[],2,FALSE)</f>
        <v>33.630000000000003</v>
      </c>
      <c r="D911">
        <f>VLOOKUP(A911,Medical_Examinations[],3,FALSE)</f>
        <v>11.39</v>
      </c>
      <c r="E911" t="str">
        <f>VLOOKUP(A911,Medical_Examinations[],4,FALSE)</f>
        <v>No</v>
      </c>
      <c r="F911" t="str">
        <f>VLOOKUP(A911,Medical_Examinations[],5,FALSE)</f>
        <v>No</v>
      </c>
      <c r="G911" t="str">
        <f>VLOOKUP(A911,Medical_Examinations[],6,FALSE)</f>
        <v>No</v>
      </c>
      <c r="H911">
        <f>VLOOKUP(A911,Medical_Examinations[],7,FALSE)</f>
        <v>0</v>
      </c>
      <c r="I911" t="str">
        <f>VLOOKUP(A911,Medical_Examinations[],8,FALSE)</f>
        <v>No</v>
      </c>
      <c r="J911" t="str">
        <f>VLOOKUP(A911,Medical_Examinations[],9,FALSE)</f>
        <v>Obesity</v>
      </c>
      <c r="K911" t="str">
        <f>VLOOKUP(A911,Medical_Examinations[],10,FALSE)</f>
        <v>Diabetes</v>
      </c>
      <c r="M911">
        <f>VLOOKUP(A911,Hospitalisation_Details__2[],4,FALSE)</f>
        <v>11945.13</v>
      </c>
      <c r="N911" t="str">
        <f>VLOOKUP(A911,Hospitalisation_Details__2[],5,FALSE)</f>
        <v>tier - 3</v>
      </c>
      <c r="O911" t="str">
        <f>VLOOKUP(A911,Hospitalisation_Details__2[],6,FALSE)</f>
        <v>tier - 2</v>
      </c>
      <c r="P911" t="str">
        <f>VLOOKUP(A911,Hospitalisation_Details__2[],7,FALSE)</f>
        <v>R1012</v>
      </c>
    </row>
    <row r="912" spans="1:16" x14ac:dyDescent="0.35">
      <c r="A912" t="str">
        <v>Id911</v>
      </c>
      <c r="B912" t="str">
        <f>VLOOKUP(A912,'Customer Names (2)'!A:B, 2,FALSE)</f>
        <v>Mr</v>
      </c>
      <c r="C912">
        <f>VLOOKUP(A912,Medical_Examinations[],2,FALSE)</f>
        <v>34.865000000000002</v>
      </c>
      <c r="D912">
        <f>VLOOKUP(A912,Medical_Examinations[],3,FALSE)</f>
        <v>5.35</v>
      </c>
      <c r="E912" t="str">
        <f>VLOOKUP(A912,Medical_Examinations[],4,FALSE)</f>
        <v>Yes</v>
      </c>
      <c r="F912" t="str">
        <f>VLOOKUP(A912,Medical_Examinations[],5,FALSE)</f>
        <v>No</v>
      </c>
      <c r="G912" t="str">
        <f>VLOOKUP(A912,Medical_Examinations[],6,FALSE)</f>
        <v>No</v>
      </c>
      <c r="H912">
        <f>VLOOKUP(A912,Medical_Examinations[],7,FALSE)</f>
        <v>1</v>
      </c>
      <c r="I912" t="str">
        <f>VLOOKUP(A912,Medical_Examinations[],8,FALSE)</f>
        <v>No</v>
      </c>
      <c r="J912" t="str">
        <f>VLOOKUP(A912,Medical_Examinations[],9,FALSE)</f>
        <v>Obesity</v>
      </c>
      <c r="K912" t="str">
        <f>VLOOKUP(A912,Medical_Examinations[],10,FALSE)</f>
        <v>Normal</v>
      </c>
      <c r="M912">
        <f>VLOOKUP(A912,Hospitalisation_Details__2[],4,FALSE)</f>
        <v>11944.59</v>
      </c>
      <c r="N912" t="str">
        <f>VLOOKUP(A912,Hospitalisation_Details__2[],5,FALSE)</f>
        <v>tier - 3</v>
      </c>
      <c r="O912" t="str">
        <f>VLOOKUP(A912,Hospitalisation_Details__2[],6,FALSE)</f>
        <v>tier - 2</v>
      </c>
      <c r="P912" t="str">
        <f>VLOOKUP(A912,Hospitalisation_Details__2[],7,FALSE)</f>
        <v>R1016</v>
      </c>
    </row>
    <row r="913" spans="1:16" x14ac:dyDescent="0.35">
      <c r="A913" t="str">
        <v>Id912</v>
      </c>
      <c r="B913" t="str">
        <f>VLOOKUP(A913,'Customer Names (2)'!A:B, 2,FALSE)</f>
        <v>Mr</v>
      </c>
      <c r="C913">
        <f>VLOOKUP(A913,Medical_Examinations[],2,FALSE)</f>
        <v>43.11</v>
      </c>
      <c r="D913">
        <f>VLOOKUP(A913,Medical_Examinations[],3,FALSE)</f>
        <v>5.6</v>
      </c>
      <c r="E913" t="str">
        <f>VLOOKUP(A913,Medical_Examinations[],4,FALSE)</f>
        <v>No</v>
      </c>
      <c r="F913" t="str">
        <f>VLOOKUP(A913,Medical_Examinations[],5,FALSE)</f>
        <v>No</v>
      </c>
      <c r="G913" t="str">
        <f>VLOOKUP(A913,Medical_Examinations[],6,FALSE)</f>
        <v>No</v>
      </c>
      <c r="H913">
        <f>VLOOKUP(A913,Medical_Examinations[],7,FALSE)</f>
        <v>0</v>
      </c>
      <c r="I913" t="str">
        <f>VLOOKUP(A913,Medical_Examinations[],8,FALSE)</f>
        <v>No</v>
      </c>
      <c r="J913" t="str">
        <f>VLOOKUP(A913,Medical_Examinations[],9,FALSE)</f>
        <v>Obesity</v>
      </c>
      <c r="K913" t="str">
        <f>VLOOKUP(A913,Medical_Examinations[],10,FALSE)</f>
        <v>Normal</v>
      </c>
      <c r="M913">
        <f>VLOOKUP(A913,Hospitalisation_Details__2[],4,FALSE)</f>
        <v>11941.83</v>
      </c>
      <c r="N913" t="str">
        <f>VLOOKUP(A913,Hospitalisation_Details__2[],5,FALSE)</f>
        <v>tier - 3</v>
      </c>
      <c r="O913" t="str">
        <f>VLOOKUP(A913,Hospitalisation_Details__2[],6,FALSE)</f>
        <v>tier - 1</v>
      </c>
      <c r="P913" t="str">
        <f>VLOOKUP(A913,Hospitalisation_Details__2[],7,FALSE)</f>
        <v>R1023</v>
      </c>
    </row>
    <row r="914" spans="1:16" x14ac:dyDescent="0.35">
      <c r="A914" t="str">
        <v>Id913</v>
      </c>
      <c r="B914" t="str">
        <f>VLOOKUP(A914,'Customer Names (2)'!A:B, 2,FALSE)</f>
        <v>Mr</v>
      </c>
      <c r="C914">
        <f>VLOOKUP(A914,Medical_Examinations[],2,FALSE)</f>
        <v>30.305</v>
      </c>
      <c r="D914">
        <f>VLOOKUP(A914,Medical_Examinations[],3,FALSE)</f>
        <v>4.2699999999999996</v>
      </c>
      <c r="E914" t="str">
        <f>VLOOKUP(A914,Medical_Examinations[],4,FALSE)</f>
        <v>Yes</v>
      </c>
      <c r="F914" t="str">
        <f>VLOOKUP(A914,Medical_Examinations[],5,FALSE)</f>
        <v>No</v>
      </c>
      <c r="G914" t="str">
        <f>VLOOKUP(A914,Medical_Examinations[],6,FALSE)</f>
        <v>No</v>
      </c>
      <c r="H914">
        <f>VLOOKUP(A914,Medical_Examinations[],7,FALSE)</f>
        <v>1</v>
      </c>
      <c r="I914" t="str">
        <f>VLOOKUP(A914,Medical_Examinations[],8,FALSE)</f>
        <v>No</v>
      </c>
      <c r="J914" t="str">
        <f>VLOOKUP(A914,Medical_Examinations[],9,FALSE)</f>
        <v>Obesity</v>
      </c>
      <c r="K914" t="str">
        <f>VLOOKUP(A914,Medical_Examinations[],10,FALSE)</f>
        <v>Normal</v>
      </c>
      <c r="M914">
        <f>VLOOKUP(A914,Hospitalisation_Details__2[],4,FALSE)</f>
        <v>11938.26</v>
      </c>
      <c r="N914" t="str">
        <f>VLOOKUP(A914,Hospitalisation_Details__2[],5,FALSE)</f>
        <v>tier - 3</v>
      </c>
      <c r="O914" t="str">
        <f>VLOOKUP(A914,Hospitalisation_Details__2[],6,FALSE)</f>
        <v>tier - 3</v>
      </c>
      <c r="P914" t="str">
        <f>VLOOKUP(A914,Hospitalisation_Details__2[],7,FALSE)</f>
        <v>R1019</v>
      </c>
    </row>
    <row r="915" spans="1:16" x14ac:dyDescent="0.35">
      <c r="A915" t="str">
        <v>Id914</v>
      </c>
      <c r="B915" t="str">
        <f>VLOOKUP(A915,'Customer Names (2)'!A:B, 2,FALSE)</f>
        <v>Mr</v>
      </c>
      <c r="C915">
        <f>VLOOKUP(A915,Medical_Examinations[],2,FALSE)</f>
        <v>25.175000000000001</v>
      </c>
      <c r="D915">
        <f>VLOOKUP(A915,Medical_Examinations[],3,FALSE)</f>
        <v>5.57</v>
      </c>
      <c r="E915" t="str">
        <f>VLOOKUP(A915,Medical_Examinations[],4,FALSE)</f>
        <v>Yes</v>
      </c>
      <c r="F915" t="str">
        <f>VLOOKUP(A915,Medical_Examinations[],5,FALSE)</f>
        <v>No</v>
      </c>
      <c r="G915" t="str">
        <f>VLOOKUP(A915,Medical_Examinations[],6,FALSE)</f>
        <v>No</v>
      </c>
      <c r="H915">
        <f>VLOOKUP(A915,Medical_Examinations[],7,FALSE)</f>
        <v>1</v>
      </c>
      <c r="I915" t="str">
        <f>VLOOKUP(A915,Medical_Examinations[],8,FALSE)</f>
        <v>No</v>
      </c>
      <c r="J915" t="str">
        <f>VLOOKUP(A915,Medical_Examinations[],9,FALSE)</f>
        <v>Overweight</v>
      </c>
      <c r="K915" t="str">
        <f>VLOOKUP(A915,Medical_Examinations[],10,FALSE)</f>
        <v>Normal</v>
      </c>
      <c r="M915">
        <f>VLOOKUP(A915,Hospitalisation_Details__2[],4,FALSE)</f>
        <v>11931.13</v>
      </c>
      <c r="N915" t="str">
        <f>VLOOKUP(A915,Hospitalisation_Details__2[],5,FALSE)</f>
        <v>tier - 3</v>
      </c>
      <c r="O915" t="str">
        <f>VLOOKUP(A915,Hospitalisation_Details__2[],6,FALSE)</f>
        <v>tier - 1</v>
      </c>
      <c r="P915" t="str">
        <f>VLOOKUP(A915,Hospitalisation_Details__2[],7,FALSE)</f>
        <v>R1019</v>
      </c>
    </row>
    <row r="916" spans="1:16" x14ac:dyDescent="0.35">
      <c r="A916" t="str">
        <v>Id915</v>
      </c>
      <c r="B916" t="str">
        <f>VLOOKUP(A916,'Customer Names (2)'!A:B, 2,FALSE)</f>
        <v>Mr</v>
      </c>
      <c r="C916">
        <f>VLOOKUP(A916,Medical_Examinations[],2,FALSE)</f>
        <v>26.8</v>
      </c>
      <c r="D916">
        <f>VLOOKUP(A916,Medical_Examinations[],3,FALSE)</f>
        <v>5.68</v>
      </c>
      <c r="E916" t="str">
        <f>VLOOKUP(A916,Medical_Examinations[],4,FALSE)</f>
        <v>Yes</v>
      </c>
      <c r="F916" t="str">
        <f>VLOOKUP(A916,Medical_Examinations[],5,FALSE)</f>
        <v>No</v>
      </c>
      <c r="G916" t="str">
        <f>VLOOKUP(A916,Medical_Examinations[],6,FALSE)</f>
        <v>No</v>
      </c>
      <c r="H916">
        <f>VLOOKUP(A916,Medical_Examinations[],7,FALSE)</f>
        <v>1</v>
      </c>
      <c r="I916" t="str">
        <f>VLOOKUP(A916,Medical_Examinations[],8,FALSE)</f>
        <v>No</v>
      </c>
      <c r="J916" t="str">
        <f>VLOOKUP(A916,Medical_Examinations[],9,FALSE)</f>
        <v>Overweight</v>
      </c>
      <c r="K916" t="str">
        <f>VLOOKUP(A916,Medical_Examinations[],10,FALSE)</f>
        <v>Normal</v>
      </c>
      <c r="M916">
        <f>VLOOKUP(A916,Hospitalisation_Details__2[],4,FALSE)</f>
        <v>11918.2</v>
      </c>
      <c r="N916" t="str">
        <f>VLOOKUP(A916,Hospitalisation_Details__2[],5,FALSE)</f>
        <v>tier - 3</v>
      </c>
      <c r="O916" t="str">
        <f>VLOOKUP(A916,Hospitalisation_Details__2[],6,FALSE)</f>
        <v>tier - 1</v>
      </c>
      <c r="P916" t="str">
        <f>VLOOKUP(A916,Hospitalisation_Details__2[],7,FALSE)</f>
        <v>R1021</v>
      </c>
    </row>
    <row r="917" spans="1:16" x14ac:dyDescent="0.35">
      <c r="A917" t="str">
        <v>Id916</v>
      </c>
      <c r="B917" t="str">
        <f>VLOOKUP(A917,'Customer Names (2)'!A:B, 2,FALSE)</f>
        <v>Mr</v>
      </c>
      <c r="C917">
        <f>VLOOKUP(A917,Medical_Examinations[],2,FALSE)</f>
        <v>21.78</v>
      </c>
      <c r="D917">
        <f>VLOOKUP(A917,Medical_Examinations[],3,FALSE)</f>
        <v>5.3</v>
      </c>
      <c r="E917" t="str">
        <f>VLOOKUP(A917,Medical_Examinations[],4,FALSE)</f>
        <v>No</v>
      </c>
      <c r="F917" t="str">
        <f>VLOOKUP(A917,Medical_Examinations[],5,FALSE)</f>
        <v>yes</v>
      </c>
      <c r="G917" t="str">
        <f>VLOOKUP(A917,Medical_Examinations[],6,FALSE)</f>
        <v>No</v>
      </c>
      <c r="H917">
        <f>VLOOKUP(A917,Medical_Examinations[],7,FALSE)</f>
        <v>1</v>
      </c>
      <c r="I917" t="str">
        <f>VLOOKUP(A917,Medical_Examinations[],8,FALSE)</f>
        <v>No</v>
      </c>
      <c r="J917" t="str">
        <f>VLOOKUP(A917,Medical_Examinations[],9,FALSE)</f>
        <v>Normal Weight</v>
      </c>
      <c r="K917" t="str">
        <f>VLOOKUP(A917,Medical_Examinations[],10,FALSE)</f>
        <v>Normal</v>
      </c>
      <c r="M917">
        <f>VLOOKUP(A917,Hospitalisation_Details__2[],4,FALSE)</f>
        <v>11884.05</v>
      </c>
      <c r="N917" t="str">
        <f>VLOOKUP(A917,Hospitalisation_Details__2[],5,FALSE)</f>
        <v>tier - 3</v>
      </c>
      <c r="O917" t="str">
        <f>VLOOKUP(A917,Hospitalisation_Details__2[],6,FALSE)</f>
        <v>tier - 3</v>
      </c>
      <c r="P917" t="str">
        <f>VLOOKUP(A917,Hospitalisation_Details__2[],7,FALSE)</f>
        <v>R1013</v>
      </c>
    </row>
    <row r="918" spans="1:16" x14ac:dyDescent="0.35">
      <c r="A918" t="str">
        <v>Id917</v>
      </c>
      <c r="B918" t="str">
        <f>VLOOKUP(A918,'Customer Names (2)'!A:B, 2,FALSE)</f>
        <v>Ms</v>
      </c>
      <c r="C918">
        <f>VLOOKUP(A918,Medical_Examinations[],2,FALSE)</f>
        <v>30.14</v>
      </c>
      <c r="D918">
        <f>VLOOKUP(A918,Medical_Examinations[],3,FALSE)</f>
        <v>9.4499999999999993</v>
      </c>
      <c r="E918" t="str">
        <f>VLOOKUP(A918,Medical_Examinations[],4,FALSE)</f>
        <v>Yes</v>
      </c>
      <c r="F918" t="str">
        <f>VLOOKUP(A918,Medical_Examinations[],5,FALSE)</f>
        <v>No</v>
      </c>
      <c r="G918" t="str">
        <f>VLOOKUP(A918,Medical_Examinations[],6,FALSE)</f>
        <v>No</v>
      </c>
      <c r="H918">
        <f>VLOOKUP(A918,Medical_Examinations[],7,FALSE)</f>
        <v>0</v>
      </c>
      <c r="I918" t="str">
        <f>VLOOKUP(A918,Medical_Examinations[],8,FALSE)</f>
        <v>No</v>
      </c>
      <c r="J918" t="str">
        <f>VLOOKUP(A918,Medical_Examinations[],9,FALSE)</f>
        <v>Obesity</v>
      </c>
      <c r="K918" t="str">
        <f>VLOOKUP(A918,Medical_Examinations[],10,FALSE)</f>
        <v>Diabetes</v>
      </c>
      <c r="M918">
        <f>VLOOKUP(A918,Hospitalisation_Details__2[],4,FALSE)</f>
        <v>11881.97</v>
      </c>
      <c r="N918" t="str">
        <f>VLOOKUP(A918,Hospitalisation_Details__2[],5,FALSE)</f>
        <v>tier - 3</v>
      </c>
      <c r="O918" t="str">
        <f>VLOOKUP(A918,Hospitalisation_Details__2[],6,FALSE)</f>
        <v>tier - 1</v>
      </c>
      <c r="P918" t="str">
        <f>VLOOKUP(A918,Hospitalisation_Details__2[],7,FALSE)</f>
        <v>R1013</v>
      </c>
    </row>
    <row r="919" spans="1:16" x14ac:dyDescent="0.35">
      <c r="A919" t="str">
        <v>Id918</v>
      </c>
      <c r="B919" t="str">
        <f>VLOOKUP(A919,'Customer Names (2)'!A:B, 2,FALSE)</f>
        <v>Ms</v>
      </c>
      <c r="C919">
        <f>VLOOKUP(A919,Medical_Examinations[],2,FALSE)</f>
        <v>29.7</v>
      </c>
      <c r="D919">
        <f>VLOOKUP(A919,Medical_Examinations[],3,FALSE)</f>
        <v>6.79</v>
      </c>
      <c r="E919" t="str">
        <f>VLOOKUP(A919,Medical_Examinations[],4,FALSE)</f>
        <v>Yes</v>
      </c>
      <c r="F919" t="str">
        <f>VLOOKUP(A919,Medical_Examinations[],5,FALSE)</f>
        <v>No</v>
      </c>
      <c r="G919" t="str">
        <f>VLOOKUP(A919,Medical_Examinations[],6,FALSE)</f>
        <v>No</v>
      </c>
      <c r="H919">
        <f>VLOOKUP(A919,Medical_Examinations[],7,FALSE)</f>
        <v>0</v>
      </c>
      <c r="I919" t="str">
        <f>VLOOKUP(A919,Medical_Examinations[],8,FALSE)</f>
        <v>No</v>
      </c>
      <c r="J919" t="str">
        <f>VLOOKUP(A919,Medical_Examinations[],9,FALSE)</f>
        <v>Overweight</v>
      </c>
      <c r="K919" t="str">
        <f>VLOOKUP(A919,Medical_Examinations[],10,FALSE)</f>
        <v>Diabetes</v>
      </c>
      <c r="M919">
        <f>VLOOKUP(A919,Hospitalisation_Details__2[],4,FALSE)</f>
        <v>11881.36</v>
      </c>
      <c r="N919" t="str">
        <f>VLOOKUP(A919,Hospitalisation_Details__2[],5,FALSE)</f>
        <v>tier - 3</v>
      </c>
      <c r="O919" t="str">
        <f>VLOOKUP(A919,Hospitalisation_Details__2[],6,FALSE)</f>
        <v>tier - 2</v>
      </c>
      <c r="P919" t="str">
        <f>VLOOKUP(A919,Hospitalisation_Details__2[],7,FALSE)</f>
        <v>R1011</v>
      </c>
    </row>
    <row r="920" spans="1:16" x14ac:dyDescent="0.35">
      <c r="A920" t="str">
        <v>Id919</v>
      </c>
      <c r="B920" t="str">
        <f>VLOOKUP(A920,'Customer Names (2)'!A:B, 2,FALSE)</f>
        <v>Ms</v>
      </c>
      <c r="C920">
        <f>VLOOKUP(A920,Medical_Examinations[],2,FALSE)</f>
        <v>32.395000000000003</v>
      </c>
      <c r="D920">
        <f>VLOOKUP(A920,Medical_Examinations[],3,FALSE)</f>
        <v>11.1</v>
      </c>
      <c r="E920" t="str">
        <f>VLOOKUP(A920,Medical_Examinations[],4,FALSE)</f>
        <v>Yes</v>
      </c>
      <c r="F920" t="str">
        <f>VLOOKUP(A920,Medical_Examinations[],5,FALSE)</f>
        <v>No</v>
      </c>
      <c r="G920" t="str">
        <f>VLOOKUP(A920,Medical_Examinations[],6,FALSE)</f>
        <v>No</v>
      </c>
      <c r="H920">
        <f>VLOOKUP(A920,Medical_Examinations[],7,FALSE)</f>
        <v>0</v>
      </c>
      <c r="I920" t="str">
        <f>VLOOKUP(A920,Medical_Examinations[],8,FALSE)</f>
        <v>No</v>
      </c>
      <c r="J920" t="str">
        <f>VLOOKUP(A920,Medical_Examinations[],9,FALSE)</f>
        <v>Obesity</v>
      </c>
      <c r="K920" t="str">
        <f>VLOOKUP(A920,Medical_Examinations[],10,FALSE)</f>
        <v>Diabetes</v>
      </c>
      <c r="M920">
        <f>VLOOKUP(A920,Hospitalisation_Details__2[],4,FALSE)</f>
        <v>11879.1</v>
      </c>
      <c r="N920" t="str">
        <f>VLOOKUP(A920,Hospitalisation_Details__2[],5,FALSE)</f>
        <v>tier - 3</v>
      </c>
      <c r="O920" t="str">
        <f>VLOOKUP(A920,Hospitalisation_Details__2[],6,FALSE)</f>
        <v>tier - 3</v>
      </c>
      <c r="P920" t="str">
        <f>VLOOKUP(A920,Hospitalisation_Details__2[],7,FALSE)</f>
        <v>R1024</v>
      </c>
    </row>
    <row r="921" spans="1:16" x14ac:dyDescent="0.35">
      <c r="A921" t="str">
        <v>Id920</v>
      </c>
      <c r="B921" t="str">
        <f>VLOOKUP(A921,'Customer Names (2)'!A:B, 2,FALSE)</f>
        <v>Ms</v>
      </c>
      <c r="C921">
        <f>VLOOKUP(A921,Medical_Examinations[],2,FALSE)</f>
        <v>36.64</v>
      </c>
      <c r="D921">
        <f>VLOOKUP(A921,Medical_Examinations[],3,FALSE)</f>
        <v>7.26</v>
      </c>
      <c r="E921" t="str">
        <f>VLOOKUP(A921,Medical_Examinations[],4,FALSE)</f>
        <v>No</v>
      </c>
      <c r="F921" t="str">
        <f>VLOOKUP(A921,Medical_Examinations[],5,FALSE)</f>
        <v>No</v>
      </c>
      <c r="G921" t="str">
        <f>VLOOKUP(A921,Medical_Examinations[],6,FALSE)</f>
        <v>No</v>
      </c>
      <c r="H921">
        <f>VLOOKUP(A921,Medical_Examinations[],7,FALSE)</f>
        <v>0</v>
      </c>
      <c r="I921" t="str">
        <f>VLOOKUP(A921,Medical_Examinations[],8,FALSE)</f>
        <v>No</v>
      </c>
      <c r="J921" t="str">
        <f>VLOOKUP(A921,Medical_Examinations[],9,FALSE)</f>
        <v>Obesity</v>
      </c>
      <c r="K921" t="str">
        <f>VLOOKUP(A921,Medical_Examinations[],10,FALSE)</f>
        <v>Diabetes</v>
      </c>
      <c r="M921">
        <f>VLOOKUP(A921,Hospitalisation_Details__2[],4,FALSE)</f>
        <v>11858.56</v>
      </c>
      <c r="N921" t="str">
        <f>VLOOKUP(A921,Hospitalisation_Details__2[],5,FALSE)</f>
        <v>tier - 3</v>
      </c>
      <c r="O921" t="str">
        <f>VLOOKUP(A921,Hospitalisation_Details__2[],6,FALSE)</f>
        <v>tier - 3</v>
      </c>
      <c r="P921" t="str">
        <f>VLOOKUP(A921,Hospitalisation_Details__2[],7,FALSE)</f>
        <v>R1011</v>
      </c>
    </row>
    <row r="922" spans="1:16" x14ac:dyDescent="0.35">
      <c r="A922" t="str">
        <v>Id921</v>
      </c>
      <c r="B922" t="str">
        <f>VLOOKUP(A922,'Customer Names (2)'!A:B, 2,FALSE)</f>
        <v>Ms</v>
      </c>
      <c r="C922">
        <f>VLOOKUP(A922,Medical_Examinations[],2,FALSE)</f>
        <v>39.049999999999997</v>
      </c>
      <c r="D922">
        <f>VLOOKUP(A922,Medical_Examinations[],3,FALSE)</f>
        <v>5.27</v>
      </c>
      <c r="E922" t="str">
        <f>VLOOKUP(A922,Medical_Examinations[],4,FALSE)</f>
        <v>Yes</v>
      </c>
      <c r="F922" t="str">
        <f>VLOOKUP(A922,Medical_Examinations[],5,FALSE)</f>
        <v>No</v>
      </c>
      <c r="G922" t="str">
        <f>VLOOKUP(A922,Medical_Examinations[],6,FALSE)</f>
        <v>No</v>
      </c>
      <c r="H922">
        <f>VLOOKUP(A922,Medical_Examinations[],7,FALSE)</f>
        <v>1</v>
      </c>
      <c r="I922" t="str">
        <f>VLOOKUP(A922,Medical_Examinations[],8,FALSE)</f>
        <v>No</v>
      </c>
      <c r="J922" t="str">
        <f>VLOOKUP(A922,Medical_Examinations[],9,FALSE)</f>
        <v>Obesity</v>
      </c>
      <c r="K922" t="str">
        <f>VLOOKUP(A922,Medical_Examinations[],10,FALSE)</f>
        <v>Normal</v>
      </c>
      <c r="M922">
        <f>VLOOKUP(A922,Hospitalisation_Details__2[],4,FALSE)</f>
        <v>11856.41</v>
      </c>
      <c r="N922" t="str">
        <f>VLOOKUP(A922,Hospitalisation_Details__2[],5,FALSE)</f>
        <v>tier - 3</v>
      </c>
      <c r="O922" t="str">
        <f>VLOOKUP(A922,Hospitalisation_Details__2[],6,FALSE)</f>
        <v>tier - 2</v>
      </c>
      <c r="P922" t="str">
        <f>VLOOKUP(A922,Hospitalisation_Details__2[],7,FALSE)</f>
        <v>R1013</v>
      </c>
    </row>
    <row r="923" spans="1:16" x14ac:dyDescent="0.35">
      <c r="A923" t="str">
        <v>Id922</v>
      </c>
      <c r="B923" t="str">
        <f>VLOOKUP(A923,'Customer Names (2)'!A:B, 2,FALSE)</f>
        <v>Ms</v>
      </c>
      <c r="C923">
        <f>VLOOKUP(A923,Medical_Examinations[],2,FALSE)</f>
        <v>33.1</v>
      </c>
      <c r="D923">
        <f>VLOOKUP(A923,Medical_Examinations[],3,FALSE)</f>
        <v>5.46</v>
      </c>
      <c r="E923" t="str">
        <f>VLOOKUP(A923,Medical_Examinations[],4,FALSE)</f>
        <v>Yes</v>
      </c>
      <c r="F923" t="str">
        <f>VLOOKUP(A923,Medical_Examinations[],5,FALSE)</f>
        <v>No</v>
      </c>
      <c r="G923" t="str">
        <f>VLOOKUP(A923,Medical_Examinations[],6,FALSE)</f>
        <v>No</v>
      </c>
      <c r="H923">
        <f>VLOOKUP(A923,Medical_Examinations[],7,FALSE)</f>
        <v>1</v>
      </c>
      <c r="I923" t="str">
        <f>VLOOKUP(A923,Medical_Examinations[],8,FALSE)</f>
        <v>No</v>
      </c>
      <c r="J923" t="str">
        <f>VLOOKUP(A923,Medical_Examinations[],9,FALSE)</f>
        <v>Obesity</v>
      </c>
      <c r="K923" t="str">
        <f>VLOOKUP(A923,Medical_Examinations[],10,FALSE)</f>
        <v>Normal</v>
      </c>
      <c r="M923">
        <f>VLOOKUP(A923,Hospitalisation_Details__2[],4,FALSE)</f>
        <v>11848.14</v>
      </c>
      <c r="N923" t="str">
        <f>VLOOKUP(A923,Hospitalisation_Details__2[],5,FALSE)</f>
        <v>tier - 3</v>
      </c>
      <c r="O923" t="str">
        <f>VLOOKUP(A923,Hospitalisation_Details__2[],6,FALSE)</f>
        <v>tier - 2</v>
      </c>
      <c r="P923" t="str">
        <f>VLOOKUP(A923,Hospitalisation_Details__2[],7,FALSE)</f>
        <v>R1011</v>
      </c>
    </row>
    <row r="924" spans="1:16" x14ac:dyDescent="0.35">
      <c r="A924" t="str">
        <v>Id923</v>
      </c>
      <c r="B924" t="str">
        <f>VLOOKUP(A924,'Customer Names (2)'!A:B, 2,FALSE)</f>
        <v>Ms</v>
      </c>
      <c r="C924">
        <f>VLOOKUP(A924,Medical_Examinations[],2,FALSE)</f>
        <v>31.824999999999999</v>
      </c>
      <c r="D924">
        <f>VLOOKUP(A924,Medical_Examinations[],3,FALSE)</f>
        <v>8.1300000000000008</v>
      </c>
      <c r="E924" t="str">
        <f>VLOOKUP(A924,Medical_Examinations[],4,FALSE)</f>
        <v>No</v>
      </c>
      <c r="F924" t="str">
        <f>VLOOKUP(A924,Medical_Examinations[],5,FALSE)</f>
        <v>No</v>
      </c>
      <c r="G924" t="str">
        <f>VLOOKUP(A924,Medical_Examinations[],6,FALSE)</f>
        <v>No</v>
      </c>
      <c r="H924">
        <f>VLOOKUP(A924,Medical_Examinations[],7,FALSE)</f>
        <v>0</v>
      </c>
      <c r="I924" t="str">
        <f>VLOOKUP(A924,Medical_Examinations[],8,FALSE)</f>
        <v>No</v>
      </c>
      <c r="J924" t="str">
        <f>VLOOKUP(A924,Medical_Examinations[],9,FALSE)</f>
        <v>Obesity</v>
      </c>
      <c r="K924" t="str">
        <f>VLOOKUP(A924,Medical_Examinations[],10,FALSE)</f>
        <v>Diabetes</v>
      </c>
      <c r="M924">
        <f>VLOOKUP(A924,Hospitalisation_Details__2[],4,FALSE)</f>
        <v>11842.62</v>
      </c>
      <c r="N924" t="str">
        <f>VLOOKUP(A924,Hospitalisation_Details__2[],5,FALSE)</f>
        <v>tier - 3</v>
      </c>
      <c r="O924" t="str">
        <f>VLOOKUP(A924,Hospitalisation_Details__2[],6,FALSE)</f>
        <v>tier - 3</v>
      </c>
      <c r="P924" t="str">
        <f>VLOOKUP(A924,Hospitalisation_Details__2[],7,FALSE)</f>
        <v>R1012</v>
      </c>
    </row>
    <row r="925" spans="1:16" x14ac:dyDescent="0.35">
      <c r="A925" t="str">
        <v>Id924</v>
      </c>
      <c r="B925" t="str">
        <f>VLOOKUP(A925,'Customer Names (2)'!A:B, 2,FALSE)</f>
        <v>Ms</v>
      </c>
      <c r="C925">
        <f>VLOOKUP(A925,Medical_Examinations[],2,FALSE)</f>
        <v>29</v>
      </c>
      <c r="D925">
        <f>VLOOKUP(A925,Medical_Examinations[],3,FALSE)</f>
        <v>4.25</v>
      </c>
      <c r="E925" t="str">
        <f>VLOOKUP(A925,Medical_Examinations[],4,FALSE)</f>
        <v>Yes</v>
      </c>
      <c r="F925" t="str">
        <f>VLOOKUP(A925,Medical_Examinations[],5,FALSE)</f>
        <v>No</v>
      </c>
      <c r="G925" t="str">
        <f>VLOOKUP(A925,Medical_Examinations[],6,FALSE)</f>
        <v>No</v>
      </c>
      <c r="H925">
        <f>VLOOKUP(A925,Medical_Examinations[],7,FALSE)</f>
        <v>1</v>
      </c>
      <c r="I925" t="str">
        <f>VLOOKUP(A925,Medical_Examinations[],8,FALSE)</f>
        <v>No</v>
      </c>
      <c r="J925" t="str">
        <f>VLOOKUP(A925,Medical_Examinations[],9,FALSE)</f>
        <v>Overweight</v>
      </c>
      <c r="K925" t="str">
        <f>VLOOKUP(A925,Medical_Examinations[],10,FALSE)</f>
        <v>Normal</v>
      </c>
      <c r="M925">
        <f>VLOOKUP(A925,Hospitalisation_Details__2[],4,FALSE)</f>
        <v>11842.44</v>
      </c>
      <c r="N925" t="str">
        <f>VLOOKUP(A925,Hospitalisation_Details__2[],5,FALSE)</f>
        <v>tier - 3</v>
      </c>
      <c r="O925" t="str">
        <f>VLOOKUP(A925,Hospitalisation_Details__2[],6,FALSE)</f>
        <v>tier - 2</v>
      </c>
      <c r="P925" t="str">
        <f>VLOOKUP(A925,Hospitalisation_Details__2[],7,FALSE)</f>
        <v>R1011</v>
      </c>
    </row>
    <row r="926" spans="1:16" x14ac:dyDescent="0.35">
      <c r="A926" t="str">
        <v>Id925</v>
      </c>
      <c r="B926" t="str">
        <f>VLOOKUP(A926,'Customer Names (2)'!A:B, 2,FALSE)</f>
        <v>Ms</v>
      </c>
      <c r="C926">
        <f>VLOOKUP(A926,Medical_Examinations[],2,FALSE)</f>
        <v>30.495000000000001</v>
      </c>
      <c r="D926">
        <f>VLOOKUP(A926,Medical_Examinations[],3,FALSE)</f>
        <v>8.68</v>
      </c>
      <c r="E926" t="str">
        <f>VLOOKUP(A926,Medical_Examinations[],4,FALSE)</f>
        <v>No</v>
      </c>
      <c r="F926" t="str">
        <f>VLOOKUP(A926,Medical_Examinations[],5,FALSE)</f>
        <v>No</v>
      </c>
      <c r="G926" t="str">
        <f>VLOOKUP(A926,Medical_Examinations[],6,FALSE)</f>
        <v>No</v>
      </c>
      <c r="H926">
        <f>VLOOKUP(A926,Medical_Examinations[],7,FALSE)</f>
        <v>0</v>
      </c>
      <c r="I926" t="str">
        <f>VLOOKUP(A926,Medical_Examinations[],8,FALSE)</f>
        <v>No</v>
      </c>
      <c r="J926" t="str">
        <f>VLOOKUP(A926,Medical_Examinations[],9,FALSE)</f>
        <v>Obesity</v>
      </c>
      <c r="K926" t="str">
        <f>VLOOKUP(A926,Medical_Examinations[],10,FALSE)</f>
        <v>Diabetes</v>
      </c>
      <c r="M926">
        <f>VLOOKUP(A926,Hospitalisation_Details__2[],4,FALSE)</f>
        <v>11840.78</v>
      </c>
      <c r="N926" t="str">
        <f>VLOOKUP(A926,Hospitalisation_Details__2[],5,FALSE)</f>
        <v>tier - 3</v>
      </c>
      <c r="O926" t="str">
        <f>VLOOKUP(A926,Hospitalisation_Details__2[],6,FALSE)</f>
        <v>tier - 2</v>
      </c>
      <c r="P926" t="str">
        <f>VLOOKUP(A926,Hospitalisation_Details__2[],7,FALSE)</f>
        <v>R1012</v>
      </c>
    </row>
    <row r="927" spans="1:16" x14ac:dyDescent="0.35">
      <c r="A927" t="str">
        <v>Id926</v>
      </c>
      <c r="B927" t="str">
        <f>VLOOKUP(A927,'Customer Names (2)'!A:B, 2,FALSE)</f>
        <v>Ms</v>
      </c>
      <c r="C927">
        <f>VLOOKUP(A927,Medical_Examinations[],2,FALSE)</f>
        <v>25.2</v>
      </c>
      <c r="D927">
        <f>VLOOKUP(A927,Medical_Examinations[],3,FALSE)</f>
        <v>6.25</v>
      </c>
      <c r="E927" t="str">
        <f>VLOOKUP(A927,Medical_Examinations[],4,FALSE)</f>
        <v>Yes</v>
      </c>
      <c r="F927" t="str">
        <f>VLOOKUP(A927,Medical_Examinations[],5,FALSE)</f>
        <v>No</v>
      </c>
      <c r="G927" t="str">
        <f>VLOOKUP(A927,Medical_Examinations[],6,FALSE)</f>
        <v>No</v>
      </c>
      <c r="H927">
        <f>VLOOKUP(A927,Medical_Examinations[],7,FALSE)</f>
        <v>1</v>
      </c>
      <c r="I927" t="str">
        <f>VLOOKUP(A927,Medical_Examinations[],8,FALSE)</f>
        <v>No</v>
      </c>
      <c r="J927" t="str">
        <f>VLOOKUP(A927,Medical_Examinations[],9,FALSE)</f>
        <v>Overweight</v>
      </c>
      <c r="K927" t="str">
        <f>VLOOKUP(A927,Medical_Examinations[],10,FALSE)</f>
        <v>Prediabetes</v>
      </c>
      <c r="M927">
        <f>VLOOKUP(A927,Hospitalisation_Details__2[],4,FALSE)</f>
        <v>11837.16</v>
      </c>
      <c r="N927" t="str">
        <f>VLOOKUP(A927,Hospitalisation_Details__2[],5,FALSE)</f>
        <v>tier - 3</v>
      </c>
      <c r="O927" t="str">
        <f>VLOOKUP(A927,Hospitalisation_Details__2[],6,FALSE)</f>
        <v>tier - 3</v>
      </c>
      <c r="P927" t="str">
        <f>VLOOKUP(A927,Hospitalisation_Details__2[],7,FALSE)</f>
        <v>R1011</v>
      </c>
    </row>
    <row r="928" spans="1:16" x14ac:dyDescent="0.35">
      <c r="A928" t="str">
        <v>Id927</v>
      </c>
      <c r="B928" t="str">
        <f>VLOOKUP(A928,'Customer Names (2)'!A:B, 2,FALSE)</f>
        <v>Ms</v>
      </c>
      <c r="C928">
        <f>VLOOKUP(A928,Medical_Examinations[],2,FALSE)</f>
        <v>22.77</v>
      </c>
      <c r="D928">
        <f>VLOOKUP(A928,Medical_Examinations[],3,FALSE)</f>
        <v>4.47</v>
      </c>
      <c r="E928" t="str">
        <f>VLOOKUP(A928,Medical_Examinations[],4,FALSE)</f>
        <v>Yes</v>
      </c>
      <c r="F928" t="str">
        <f>VLOOKUP(A928,Medical_Examinations[],5,FALSE)</f>
        <v>No</v>
      </c>
      <c r="G928" t="str">
        <f>VLOOKUP(A928,Medical_Examinations[],6,FALSE)</f>
        <v>No</v>
      </c>
      <c r="H928">
        <f>VLOOKUP(A928,Medical_Examinations[],7,FALSE)</f>
        <v>1</v>
      </c>
      <c r="I928" t="str">
        <f>VLOOKUP(A928,Medical_Examinations[],8,FALSE)</f>
        <v>No</v>
      </c>
      <c r="J928" t="str">
        <f>VLOOKUP(A928,Medical_Examinations[],9,FALSE)</f>
        <v>Normal Weight</v>
      </c>
      <c r="K928" t="str">
        <f>VLOOKUP(A928,Medical_Examinations[],10,FALSE)</f>
        <v>Normal</v>
      </c>
      <c r="M928">
        <f>VLOOKUP(A928,Hospitalisation_Details__2[],4,FALSE)</f>
        <v>11833.78</v>
      </c>
      <c r="N928" t="str">
        <f>VLOOKUP(A928,Hospitalisation_Details__2[],5,FALSE)</f>
        <v>tier - 3</v>
      </c>
      <c r="O928" t="str">
        <f>VLOOKUP(A928,Hospitalisation_Details__2[],6,FALSE)</f>
        <v>tier - 3</v>
      </c>
      <c r="P928" t="str">
        <f>VLOOKUP(A928,Hospitalisation_Details__2[],7,FALSE)</f>
        <v>R1013</v>
      </c>
    </row>
    <row r="929" spans="1:16" x14ac:dyDescent="0.35">
      <c r="A929" t="str">
        <v>Id928</v>
      </c>
      <c r="B929" t="str">
        <f>VLOOKUP(A929,'Customer Names (2)'!A:B, 2,FALSE)</f>
        <v>Ms</v>
      </c>
      <c r="C929">
        <f>VLOOKUP(A929,Medical_Examinations[],2,FALSE)</f>
        <v>23.18</v>
      </c>
      <c r="D929">
        <f>VLOOKUP(A929,Medical_Examinations[],3,FALSE)</f>
        <v>8.31</v>
      </c>
      <c r="E929" t="str">
        <f>VLOOKUP(A929,Medical_Examinations[],4,FALSE)</f>
        <v>No</v>
      </c>
      <c r="F929" t="str">
        <f>VLOOKUP(A929,Medical_Examinations[],5,FALSE)</f>
        <v>No</v>
      </c>
      <c r="G929" t="str">
        <f>VLOOKUP(A929,Medical_Examinations[],6,FALSE)</f>
        <v>No</v>
      </c>
      <c r="H929">
        <f>VLOOKUP(A929,Medical_Examinations[],7,FALSE)</f>
        <v>0</v>
      </c>
      <c r="I929" t="str">
        <f>VLOOKUP(A929,Medical_Examinations[],8,FALSE)</f>
        <v>No</v>
      </c>
      <c r="J929" t="str">
        <f>VLOOKUP(A929,Medical_Examinations[],9,FALSE)</f>
        <v>Normal Weight</v>
      </c>
      <c r="K929" t="str">
        <f>VLOOKUP(A929,Medical_Examinations[],10,FALSE)</f>
        <v>Diabetes</v>
      </c>
      <c r="M929">
        <f>VLOOKUP(A929,Hospitalisation_Details__2[],4,FALSE)</f>
        <v>11830.61</v>
      </c>
      <c r="N929" t="str">
        <f>VLOOKUP(A929,Hospitalisation_Details__2[],5,FALSE)</f>
        <v>tier - 3</v>
      </c>
      <c r="O929" t="str">
        <f>VLOOKUP(A929,Hospitalisation_Details__2[],6,FALSE)</f>
        <v>tier - 1</v>
      </c>
      <c r="P929" t="str">
        <f>VLOOKUP(A929,Hospitalisation_Details__2[],7,FALSE)</f>
        <v>R1012</v>
      </c>
    </row>
    <row r="930" spans="1:16" x14ac:dyDescent="0.35">
      <c r="A930" t="str">
        <v>Id929</v>
      </c>
      <c r="B930" t="str">
        <f>VLOOKUP(A930,'Customer Names (2)'!A:B, 2,FALSE)</f>
        <v>Mrs</v>
      </c>
      <c r="C930">
        <f>VLOOKUP(A930,Medical_Examinations[],2,FALSE)</f>
        <v>35.409999999999997</v>
      </c>
      <c r="D930">
        <f>VLOOKUP(A930,Medical_Examinations[],3,FALSE)</f>
        <v>5.68</v>
      </c>
      <c r="E930" t="str">
        <f>VLOOKUP(A930,Medical_Examinations[],4,FALSE)</f>
        <v>No</v>
      </c>
      <c r="F930" t="str">
        <f>VLOOKUP(A930,Medical_Examinations[],5,FALSE)</f>
        <v>No</v>
      </c>
      <c r="G930" t="str">
        <f>VLOOKUP(A930,Medical_Examinations[],6,FALSE)</f>
        <v>No</v>
      </c>
      <c r="H930">
        <f>VLOOKUP(A930,Medical_Examinations[],7,FALSE)</f>
        <v>0</v>
      </c>
      <c r="I930" t="str">
        <f>VLOOKUP(A930,Medical_Examinations[],8,FALSE)</f>
        <v>No</v>
      </c>
      <c r="J930" t="str">
        <f>VLOOKUP(A930,Medical_Examinations[],9,FALSE)</f>
        <v>Obesity</v>
      </c>
      <c r="K930" t="str">
        <f>VLOOKUP(A930,Medical_Examinations[],10,FALSE)</f>
        <v>Normal</v>
      </c>
      <c r="M930">
        <f>VLOOKUP(A930,Hospitalisation_Details__2[],4,FALSE)</f>
        <v>11773.06</v>
      </c>
      <c r="N930" t="str">
        <f>VLOOKUP(A930,Hospitalisation_Details__2[],5,FALSE)</f>
        <v>tier - 3</v>
      </c>
      <c r="O930" t="str">
        <f>VLOOKUP(A930,Hospitalisation_Details__2[],6,FALSE)</f>
        <v>tier - 3</v>
      </c>
      <c r="P930" t="str">
        <f>VLOOKUP(A930,Hospitalisation_Details__2[],7,FALSE)</f>
        <v>R1026</v>
      </c>
    </row>
    <row r="931" spans="1:16" x14ac:dyDescent="0.35">
      <c r="A931" t="str">
        <v>Id930</v>
      </c>
      <c r="B931" t="str">
        <f>VLOOKUP(A931,'Customer Names (2)'!A:B, 2,FALSE)</f>
        <v>Mr</v>
      </c>
      <c r="C931">
        <f>VLOOKUP(A931,Medical_Examinations[],2,FALSE)</f>
        <v>32.11</v>
      </c>
      <c r="D931">
        <f>VLOOKUP(A931,Medical_Examinations[],3,FALSE)</f>
        <v>4.75</v>
      </c>
      <c r="E931" t="str">
        <f>VLOOKUP(A931,Medical_Examinations[],4,FALSE)</f>
        <v>Yes</v>
      </c>
      <c r="F931" t="str">
        <f>VLOOKUP(A931,Medical_Examinations[],5,FALSE)</f>
        <v>No</v>
      </c>
      <c r="G931" t="str">
        <f>VLOOKUP(A931,Medical_Examinations[],6,FALSE)</f>
        <v>No</v>
      </c>
      <c r="H931">
        <f>VLOOKUP(A931,Medical_Examinations[],7,FALSE)</f>
        <v>2</v>
      </c>
      <c r="I931" t="str">
        <f>VLOOKUP(A931,Medical_Examinations[],8,FALSE)</f>
        <v>No</v>
      </c>
      <c r="J931" t="str">
        <f>VLOOKUP(A931,Medical_Examinations[],9,FALSE)</f>
        <v>Obesity</v>
      </c>
      <c r="K931" t="str">
        <f>VLOOKUP(A931,Medical_Examinations[],10,FALSE)</f>
        <v>Normal</v>
      </c>
      <c r="M931">
        <f>VLOOKUP(A931,Hospitalisation_Details__2[],4,FALSE)</f>
        <v>11763</v>
      </c>
      <c r="N931" t="str">
        <f>VLOOKUP(A931,Hospitalisation_Details__2[],5,FALSE)</f>
        <v>tier - 3</v>
      </c>
      <c r="O931" t="str">
        <f>VLOOKUP(A931,Hospitalisation_Details__2[],6,FALSE)</f>
        <v>tier - 3</v>
      </c>
      <c r="P931" t="str">
        <f>VLOOKUP(A931,Hospitalisation_Details__2[],7,FALSE)</f>
        <v>R1016</v>
      </c>
    </row>
    <row r="932" spans="1:16" x14ac:dyDescent="0.35">
      <c r="A932" t="str">
        <v>Id931</v>
      </c>
      <c r="B932" t="str">
        <f>VLOOKUP(A932,'Customer Names (2)'!A:B, 2,FALSE)</f>
        <v>Mrs</v>
      </c>
      <c r="C932">
        <f>VLOOKUP(A932,Medical_Examinations[],2,FALSE)</f>
        <v>34.479999999999997</v>
      </c>
      <c r="D932">
        <f>VLOOKUP(A932,Medical_Examinations[],3,FALSE)</f>
        <v>6.31</v>
      </c>
      <c r="E932" t="str">
        <f>VLOOKUP(A932,Medical_Examinations[],4,FALSE)</f>
        <v>No</v>
      </c>
      <c r="F932" t="str">
        <f>VLOOKUP(A932,Medical_Examinations[],5,FALSE)</f>
        <v>No</v>
      </c>
      <c r="G932" t="str">
        <f>VLOOKUP(A932,Medical_Examinations[],6,FALSE)</f>
        <v>Yes</v>
      </c>
      <c r="H932">
        <f>VLOOKUP(A932,Medical_Examinations[],7,FALSE)</f>
        <v>1</v>
      </c>
      <c r="I932" t="str">
        <f>VLOOKUP(A932,Medical_Examinations[],8,FALSE)</f>
        <v>No</v>
      </c>
      <c r="J932" t="str">
        <f>VLOOKUP(A932,Medical_Examinations[],9,FALSE)</f>
        <v>Obesity</v>
      </c>
      <c r="K932" t="str">
        <f>VLOOKUP(A932,Medical_Examinations[],10,FALSE)</f>
        <v>Prediabetes</v>
      </c>
      <c r="M932">
        <f>VLOOKUP(A932,Hospitalisation_Details__2[],4,FALSE)</f>
        <v>11752.68</v>
      </c>
      <c r="N932" t="str">
        <f>VLOOKUP(A932,Hospitalisation_Details__2[],5,FALSE)</f>
        <v>tier - 3</v>
      </c>
      <c r="O932" t="str">
        <f>VLOOKUP(A932,Hospitalisation_Details__2[],6,FALSE)</f>
        <v>tier - 1</v>
      </c>
      <c r="P932" t="str">
        <f>VLOOKUP(A932,Hospitalisation_Details__2[],7,FALSE)</f>
        <v>R1026</v>
      </c>
    </row>
    <row r="933" spans="1:16" x14ac:dyDescent="0.35">
      <c r="A933" t="str">
        <v>Id932</v>
      </c>
      <c r="B933" t="str">
        <f>VLOOKUP(A933,'Customer Names (2)'!A:B, 2,FALSE)</f>
        <v>Mr</v>
      </c>
      <c r="C933">
        <f>VLOOKUP(A933,Medical_Examinations[],2,FALSE)</f>
        <v>34.39</v>
      </c>
      <c r="D933">
        <f>VLOOKUP(A933,Medical_Examinations[],3,FALSE)</f>
        <v>6.28</v>
      </c>
      <c r="E933" t="str">
        <f>VLOOKUP(A933,Medical_Examinations[],4,FALSE)</f>
        <v>Yes</v>
      </c>
      <c r="F933" t="str">
        <f>VLOOKUP(A933,Medical_Examinations[],5,FALSE)</f>
        <v>No</v>
      </c>
      <c r="G933" t="str">
        <f>VLOOKUP(A933,Medical_Examinations[],6,FALSE)</f>
        <v>No</v>
      </c>
      <c r="H933">
        <f>VLOOKUP(A933,Medical_Examinations[],7,FALSE)</f>
        <v>1</v>
      </c>
      <c r="I933" t="str">
        <f>VLOOKUP(A933,Medical_Examinations[],8,FALSE)</f>
        <v>No</v>
      </c>
      <c r="J933" t="str">
        <f>VLOOKUP(A933,Medical_Examinations[],9,FALSE)</f>
        <v>Obesity</v>
      </c>
      <c r="K933" t="str">
        <f>VLOOKUP(A933,Medical_Examinations[],10,FALSE)</f>
        <v>Prediabetes</v>
      </c>
      <c r="M933">
        <f>VLOOKUP(A933,Hospitalisation_Details__2[],4,FALSE)</f>
        <v>11743.93</v>
      </c>
      <c r="N933" t="str">
        <f>VLOOKUP(A933,Hospitalisation_Details__2[],5,FALSE)</f>
        <v>tier - 3</v>
      </c>
      <c r="O933" t="str">
        <f>VLOOKUP(A933,Hospitalisation_Details__2[],6,FALSE)</f>
        <v>tier - 1</v>
      </c>
      <c r="P933" t="str">
        <f>VLOOKUP(A933,Hospitalisation_Details__2[],7,FALSE)</f>
        <v>R1012</v>
      </c>
    </row>
    <row r="934" spans="1:16" x14ac:dyDescent="0.35">
      <c r="A934" t="str">
        <v>Id933</v>
      </c>
      <c r="B934" t="str">
        <f>VLOOKUP(A934,'Customer Names (2)'!A:B, 2,FALSE)</f>
        <v>Mr</v>
      </c>
      <c r="C934">
        <f>VLOOKUP(A934,Medical_Examinations[],2,FALSE)</f>
        <v>26.4</v>
      </c>
      <c r="D934">
        <f>VLOOKUP(A934,Medical_Examinations[],3,FALSE)</f>
        <v>9.2899999999999991</v>
      </c>
      <c r="E934" t="str">
        <f>VLOOKUP(A934,Medical_Examinations[],4,FALSE)</f>
        <v>Yes</v>
      </c>
      <c r="F934" t="str">
        <f>VLOOKUP(A934,Medical_Examinations[],5,FALSE)</f>
        <v>No</v>
      </c>
      <c r="G934" t="str">
        <f>VLOOKUP(A934,Medical_Examinations[],6,FALSE)</f>
        <v>Yes</v>
      </c>
      <c r="H934">
        <f>VLOOKUP(A934,Medical_Examinations[],7,FALSE)</f>
        <v>1</v>
      </c>
      <c r="I934" t="str">
        <f>VLOOKUP(A934,Medical_Examinations[],8,FALSE)</f>
        <v>No</v>
      </c>
      <c r="J934" t="str">
        <f>VLOOKUP(A934,Medical_Examinations[],9,FALSE)</f>
        <v>Overweight</v>
      </c>
      <c r="K934" t="str">
        <f>VLOOKUP(A934,Medical_Examinations[],10,FALSE)</f>
        <v>Diabetes</v>
      </c>
      <c r="M934">
        <f>VLOOKUP(A934,Hospitalisation_Details__2[],4,FALSE)</f>
        <v>11743.3</v>
      </c>
      <c r="N934" t="str">
        <f>VLOOKUP(A934,Hospitalisation_Details__2[],5,FALSE)</f>
        <v>tier - 3</v>
      </c>
      <c r="O934" t="str">
        <f>VLOOKUP(A934,Hospitalisation_Details__2[],6,FALSE)</f>
        <v>tier - 3</v>
      </c>
      <c r="P934" t="str">
        <f>VLOOKUP(A934,Hospitalisation_Details__2[],7,FALSE)</f>
        <v>R1013</v>
      </c>
    </row>
    <row r="935" spans="1:16" x14ac:dyDescent="0.35">
      <c r="A935" t="str">
        <v>Id934</v>
      </c>
      <c r="B935" t="str">
        <f>VLOOKUP(A935,'Customer Names (2)'!A:B, 2,FALSE)</f>
        <v>Ms</v>
      </c>
      <c r="C935">
        <f>VLOOKUP(A935,Medical_Examinations[],2,FALSE)</f>
        <v>28.1</v>
      </c>
      <c r="D935">
        <f>VLOOKUP(A935,Medical_Examinations[],3,FALSE)</f>
        <v>5.79</v>
      </c>
      <c r="E935" t="str">
        <f>VLOOKUP(A935,Medical_Examinations[],4,FALSE)</f>
        <v>Yes</v>
      </c>
      <c r="F935" t="str">
        <f>VLOOKUP(A935,Medical_Examinations[],5,FALSE)</f>
        <v>No</v>
      </c>
      <c r="G935" t="str">
        <f>VLOOKUP(A935,Medical_Examinations[],6,FALSE)</f>
        <v>Yes</v>
      </c>
      <c r="H935">
        <f>VLOOKUP(A935,Medical_Examinations[],7,FALSE)</f>
        <v>1</v>
      </c>
      <c r="I935" t="str">
        <f>VLOOKUP(A935,Medical_Examinations[],8,FALSE)</f>
        <v>No</v>
      </c>
      <c r="J935" t="str">
        <f>VLOOKUP(A935,Medical_Examinations[],9,FALSE)</f>
        <v>Overweight</v>
      </c>
      <c r="K935" t="str">
        <f>VLOOKUP(A935,Medical_Examinations[],10,FALSE)</f>
        <v>Prediabetes</v>
      </c>
      <c r="M935">
        <f>VLOOKUP(A935,Hospitalisation_Details__2[],4,FALSE)</f>
        <v>11741.73</v>
      </c>
      <c r="N935" t="str">
        <f>VLOOKUP(A935,Hospitalisation_Details__2[],5,FALSE)</f>
        <v>tier - 3</v>
      </c>
      <c r="O935" t="str">
        <f>VLOOKUP(A935,Hospitalisation_Details__2[],6,FALSE)</f>
        <v>tier - 1</v>
      </c>
      <c r="P935" t="str">
        <f>VLOOKUP(A935,Hospitalisation_Details__2[],7,FALSE)</f>
        <v>R1011</v>
      </c>
    </row>
    <row r="936" spans="1:16" x14ac:dyDescent="0.35">
      <c r="A936" t="str">
        <v>Id935</v>
      </c>
      <c r="B936" t="str">
        <f>VLOOKUP(A936,'Customer Names (2)'!A:B, 2,FALSE)</f>
        <v>Mr</v>
      </c>
      <c r="C936">
        <f>VLOOKUP(A936,Medical_Examinations[],2,FALSE)</f>
        <v>27</v>
      </c>
      <c r="D936">
        <f>VLOOKUP(A936,Medical_Examinations[],3,FALSE)</f>
        <v>4.54</v>
      </c>
      <c r="E936" t="str">
        <f>VLOOKUP(A936,Medical_Examinations[],4,FALSE)</f>
        <v>Yes</v>
      </c>
      <c r="F936" t="str">
        <f>VLOOKUP(A936,Medical_Examinations[],5,FALSE)</f>
        <v>No</v>
      </c>
      <c r="G936" t="str">
        <f>VLOOKUP(A936,Medical_Examinations[],6,FALSE)</f>
        <v>No</v>
      </c>
      <c r="H936">
        <f>VLOOKUP(A936,Medical_Examinations[],7,FALSE)</f>
        <v>1</v>
      </c>
      <c r="I936" t="str">
        <f>VLOOKUP(A936,Medical_Examinations[],8,FALSE)</f>
        <v>No</v>
      </c>
      <c r="J936" t="str">
        <f>VLOOKUP(A936,Medical_Examinations[],9,FALSE)</f>
        <v>Overweight</v>
      </c>
      <c r="K936" t="str">
        <f>VLOOKUP(A936,Medical_Examinations[],10,FALSE)</f>
        <v>Normal</v>
      </c>
      <c r="M936">
        <f>VLOOKUP(A936,Hospitalisation_Details__2[],4,FALSE)</f>
        <v>11737.85</v>
      </c>
      <c r="N936" t="str">
        <f>VLOOKUP(A936,Hospitalisation_Details__2[],5,FALSE)</f>
        <v>tier - 3</v>
      </c>
      <c r="O936" t="str">
        <f>VLOOKUP(A936,Hospitalisation_Details__2[],6,FALSE)</f>
        <v>tier - 1</v>
      </c>
      <c r="P936" t="str">
        <f>VLOOKUP(A936,Hospitalisation_Details__2[],7,FALSE)</f>
        <v>R1011</v>
      </c>
    </row>
    <row r="937" spans="1:16" x14ac:dyDescent="0.35">
      <c r="A937" t="str">
        <v>Id936</v>
      </c>
      <c r="B937" t="str">
        <f>VLOOKUP(A937,'Customer Names (2)'!A:B, 2,FALSE)</f>
        <v>Mr</v>
      </c>
      <c r="C937">
        <f>VLOOKUP(A937,Medical_Examinations[],2,FALSE)</f>
        <v>28.594999999999999</v>
      </c>
      <c r="D937">
        <f>VLOOKUP(A937,Medical_Examinations[],3,FALSE)</f>
        <v>4.68</v>
      </c>
      <c r="E937" t="str">
        <f>VLOOKUP(A937,Medical_Examinations[],4,FALSE)</f>
        <v>Yes</v>
      </c>
      <c r="F937" t="str">
        <f>VLOOKUP(A937,Medical_Examinations[],5,FALSE)</f>
        <v>No</v>
      </c>
      <c r="G937" t="str">
        <f>VLOOKUP(A937,Medical_Examinations[],6,FALSE)</f>
        <v>No</v>
      </c>
      <c r="H937">
        <f>VLOOKUP(A937,Medical_Examinations[],7,FALSE)</f>
        <v>1</v>
      </c>
      <c r="I937" t="str">
        <f>VLOOKUP(A937,Medical_Examinations[],8,FALSE)</f>
        <v>No</v>
      </c>
      <c r="J937" t="str">
        <f>VLOOKUP(A937,Medical_Examinations[],9,FALSE)</f>
        <v>Overweight</v>
      </c>
      <c r="K937" t="str">
        <f>VLOOKUP(A937,Medical_Examinations[],10,FALSE)</f>
        <v>Normal</v>
      </c>
      <c r="M937">
        <f>VLOOKUP(A937,Hospitalisation_Details__2[],4,FALSE)</f>
        <v>11735.88</v>
      </c>
      <c r="N937" t="str">
        <f>VLOOKUP(A937,Hospitalisation_Details__2[],5,FALSE)</f>
        <v>tier - 3</v>
      </c>
      <c r="O937" t="str">
        <f>VLOOKUP(A937,Hospitalisation_Details__2[],6,FALSE)</f>
        <v>tier - 1</v>
      </c>
      <c r="P937" t="str">
        <f>VLOOKUP(A937,Hospitalisation_Details__2[],7,FALSE)</f>
        <v>R1012</v>
      </c>
    </row>
    <row r="938" spans="1:16" x14ac:dyDescent="0.35">
      <c r="A938" t="str">
        <v>Id937</v>
      </c>
      <c r="B938" t="str">
        <f>VLOOKUP(A938,'Customer Names (2)'!A:B, 2,FALSE)</f>
        <v>Mrs</v>
      </c>
      <c r="C938">
        <f>VLOOKUP(A938,Medical_Examinations[],2,FALSE)</f>
        <v>36.799999999999997</v>
      </c>
      <c r="D938">
        <f>VLOOKUP(A938,Medical_Examinations[],3,FALSE)</f>
        <v>5.88</v>
      </c>
      <c r="E938" t="str">
        <f>VLOOKUP(A938,Medical_Examinations[],4,FALSE)</f>
        <v>No</v>
      </c>
      <c r="F938" t="str">
        <f>VLOOKUP(A938,Medical_Examinations[],5,FALSE)</f>
        <v>No</v>
      </c>
      <c r="G938" t="str">
        <f>VLOOKUP(A938,Medical_Examinations[],6,FALSE)</f>
        <v>No</v>
      </c>
      <c r="H938">
        <f>VLOOKUP(A938,Medical_Examinations[],7,FALSE)</f>
        <v>1</v>
      </c>
      <c r="I938" t="str">
        <f>VLOOKUP(A938,Medical_Examinations[],8,FALSE)</f>
        <v>No</v>
      </c>
      <c r="J938" t="str">
        <f>VLOOKUP(A938,Medical_Examinations[],9,FALSE)</f>
        <v>Obesity</v>
      </c>
      <c r="K938" t="str">
        <f>VLOOKUP(A938,Medical_Examinations[],10,FALSE)</f>
        <v>Prediabetes</v>
      </c>
      <c r="M938">
        <f>VLOOKUP(A938,Hospitalisation_Details__2[],4,FALSE)</f>
        <v>11730.82</v>
      </c>
      <c r="N938" t="str">
        <f>VLOOKUP(A938,Hospitalisation_Details__2[],5,FALSE)</f>
        <v>tier - 3</v>
      </c>
      <c r="O938" t="str">
        <f>VLOOKUP(A938,Hospitalisation_Details__2[],6,FALSE)</f>
        <v>tier - 3</v>
      </c>
      <c r="P938" t="str">
        <f>VLOOKUP(A938,Hospitalisation_Details__2[],7,FALSE)</f>
        <v>R1026</v>
      </c>
    </row>
    <row r="939" spans="1:16" x14ac:dyDescent="0.35">
      <c r="A939" t="str">
        <v>Id938</v>
      </c>
      <c r="B939" t="str">
        <f>VLOOKUP(A939,'Customer Names (2)'!A:B, 2,FALSE)</f>
        <v>Ms</v>
      </c>
      <c r="C939">
        <f>VLOOKUP(A939,Medical_Examinations[],2,FALSE)</f>
        <v>23.75</v>
      </c>
      <c r="D939">
        <f>VLOOKUP(A939,Medical_Examinations[],3,FALSE)</f>
        <v>5.42</v>
      </c>
      <c r="E939" t="str">
        <f>VLOOKUP(A939,Medical_Examinations[],4,FALSE)</f>
        <v>Yes</v>
      </c>
      <c r="F939" t="str">
        <f>VLOOKUP(A939,Medical_Examinations[],5,FALSE)</f>
        <v>No</v>
      </c>
      <c r="G939" t="str">
        <f>VLOOKUP(A939,Medical_Examinations[],6,FALSE)</f>
        <v>Yes</v>
      </c>
      <c r="H939">
        <f>VLOOKUP(A939,Medical_Examinations[],7,FALSE)</f>
        <v>1</v>
      </c>
      <c r="I939" t="str">
        <f>VLOOKUP(A939,Medical_Examinations[],8,FALSE)</f>
        <v>No</v>
      </c>
      <c r="J939" t="str">
        <f>VLOOKUP(A939,Medical_Examinations[],9,FALSE)</f>
        <v>Normal Weight</v>
      </c>
      <c r="K939" t="str">
        <f>VLOOKUP(A939,Medical_Examinations[],10,FALSE)</f>
        <v>Normal</v>
      </c>
      <c r="M939">
        <f>VLOOKUP(A939,Hospitalisation_Details__2[],4,FALSE)</f>
        <v>11729.68</v>
      </c>
      <c r="N939" t="str">
        <f>VLOOKUP(A939,Hospitalisation_Details__2[],5,FALSE)</f>
        <v>tier - 3</v>
      </c>
      <c r="O939" t="str">
        <f>VLOOKUP(A939,Hospitalisation_Details__2[],6,FALSE)</f>
        <v>tier - 1</v>
      </c>
      <c r="P939" t="str">
        <f>VLOOKUP(A939,Hospitalisation_Details__2[],7,FALSE)</f>
        <v>R1024</v>
      </c>
    </row>
    <row r="940" spans="1:16" x14ac:dyDescent="0.35">
      <c r="A940" t="str">
        <v>Id939</v>
      </c>
      <c r="B940" t="str">
        <f>VLOOKUP(A940,'Customer Names (2)'!A:B, 2,FALSE)</f>
        <v>Mr</v>
      </c>
      <c r="C940">
        <f>VLOOKUP(A940,Medical_Examinations[],2,FALSE)</f>
        <v>35.619999999999997</v>
      </c>
      <c r="D940">
        <f>VLOOKUP(A940,Medical_Examinations[],3,FALSE)</f>
        <v>4.16</v>
      </c>
      <c r="E940" t="str">
        <f>VLOOKUP(A940,Medical_Examinations[],4,FALSE)</f>
        <v>No</v>
      </c>
      <c r="F940" t="str">
        <f>VLOOKUP(A940,Medical_Examinations[],5,FALSE)</f>
        <v>No</v>
      </c>
      <c r="G940" t="str">
        <f>VLOOKUP(A940,Medical_Examinations[],6,FALSE)</f>
        <v>No</v>
      </c>
      <c r="H940">
        <f>VLOOKUP(A940,Medical_Examinations[],7,FALSE)</f>
        <v>0</v>
      </c>
      <c r="I940" t="str">
        <f>VLOOKUP(A940,Medical_Examinations[],8,FALSE)</f>
        <v>No</v>
      </c>
      <c r="J940" t="str">
        <f>VLOOKUP(A940,Medical_Examinations[],9,FALSE)</f>
        <v>Obesity</v>
      </c>
      <c r="K940" t="str">
        <f>VLOOKUP(A940,Medical_Examinations[],10,FALSE)</f>
        <v>Normal</v>
      </c>
      <c r="M940">
        <f>VLOOKUP(A940,Hospitalisation_Details__2[],4,FALSE)</f>
        <v>11712.97</v>
      </c>
      <c r="N940" t="str">
        <f>VLOOKUP(A940,Hospitalisation_Details__2[],5,FALSE)</f>
        <v>tier - 3</v>
      </c>
      <c r="O940" t="str">
        <f>VLOOKUP(A940,Hospitalisation_Details__2[],6,FALSE)</f>
        <v>tier - 2</v>
      </c>
      <c r="P940" t="str">
        <f>VLOOKUP(A940,Hospitalisation_Details__2[],7,FALSE)</f>
        <v>R1021</v>
      </c>
    </row>
    <row r="941" spans="1:16" x14ac:dyDescent="0.35">
      <c r="A941" t="str">
        <v>Id940</v>
      </c>
      <c r="B941" t="str">
        <f>VLOOKUP(A941,'Customer Names (2)'!A:B, 2,FALSE)</f>
        <v>Mr</v>
      </c>
      <c r="C941">
        <f>VLOOKUP(A941,Medical_Examinations[],2,FALSE)</f>
        <v>30.69</v>
      </c>
      <c r="D941">
        <f>VLOOKUP(A941,Medical_Examinations[],3,FALSE)</f>
        <v>7.05</v>
      </c>
      <c r="E941" t="str">
        <f>VLOOKUP(A941,Medical_Examinations[],4,FALSE)</f>
        <v>Yes</v>
      </c>
      <c r="F941" t="str">
        <f>VLOOKUP(A941,Medical_Examinations[],5,FALSE)</f>
        <v>No</v>
      </c>
      <c r="G941" t="str">
        <f>VLOOKUP(A941,Medical_Examinations[],6,FALSE)</f>
        <v>No</v>
      </c>
      <c r="H941">
        <f>VLOOKUP(A941,Medical_Examinations[],7,FALSE)</f>
        <v>2</v>
      </c>
      <c r="I941" t="str">
        <f>VLOOKUP(A941,Medical_Examinations[],8,FALSE)</f>
        <v>No</v>
      </c>
      <c r="J941" t="str">
        <f>VLOOKUP(A941,Medical_Examinations[],9,FALSE)</f>
        <v>Obesity</v>
      </c>
      <c r="K941" t="str">
        <f>VLOOKUP(A941,Medical_Examinations[],10,FALSE)</f>
        <v>Diabetes</v>
      </c>
      <c r="M941">
        <f>VLOOKUP(A941,Hospitalisation_Details__2[],4,FALSE)</f>
        <v>11696.52</v>
      </c>
      <c r="N941" t="str">
        <f>VLOOKUP(A941,Hospitalisation_Details__2[],5,FALSE)</f>
        <v>tier - 3</v>
      </c>
      <c r="O941" t="str">
        <f>VLOOKUP(A941,Hospitalisation_Details__2[],6,FALSE)</f>
        <v>tier - 1</v>
      </c>
      <c r="P941" t="str">
        <f>VLOOKUP(A941,Hospitalisation_Details__2[],7,FALSE)</f>
        <v>R1021</v>
      </c>
    </row>
    <row r="942" spans="1:16" x14ac:dyDescent="0.35">
      <c r="A942" t="str">
        <v>Id941</v>
      </c>
      <c r="B942" t="str">
        <f>VLOOKUP(A942,'Customer Names (2)'!A:B, 2,FALSE)</f>
        <v>Ms</v>
      </c>
      <c r="C942">
        <f>VLOOKUP(A942,Medical_Examinations[],2,FALSE)</f>
        <v>35.799999999999997</v>
      </c>
      <c r="D942">
        <f>VLOOKUP(A942,Medical_Examinations[],3,FALSE)</f>
        <v>5.63</v>
      </c>
      <c r="E942" t="str">
        <f>VLOOKUP(A942,Medical_Examinations[],4,FALSE)</f>
        <v>Yes</v>
      </c>
      <c r="F942" t="str">
        <f>VLOOKUP(A942,Medical_Examinations[],5,FALSE)</f>
        <v>No</v>
      </c>
      <c r="G942" t="str">
        <f>VLOOKUP(A942,Medical_Examinations[],6,FALSE)</f>
        <v>No</v>
      </c>
      <c r="H942">
        <f>VLOOKUP(A942,Medical_Examinations[],7,FALSE)</f>
        <v>2</v>
      </c>
      <c r="I942" t="str">
        <f>VLOOKUP(A942,Medical_Examinations[],8,FALSE)</f>
        <v>No</v>
      </c>
      <c r="J942" t="str">
        <f>VLOOKUP(A942,Medical_Examinations[],9,FALSE)</f>
        <v>Obesity</v>
      </c>
      <c r="K942" t="str">
        <f>VLOOKUP(A942,Medical_Examinations[],10,FALSE)</f>
        <v>Normal</v>
      </c>
      <c r="M942">
        <f>VLOOKUP(A942,Hospitalisation_Details__2[],4,FALSE)</f>
        <v>11674.13</v>
      </c>
      <c r="N942" t="str">
        <f>VLOOKUP(A942,Hospitalisation_Details__2[],5,FALSE)</f>
        <v>tier - 3</v>
      </c>
      <c r="O942" t="str">
        <f>VLOOKUP(A942,Hospitalisation_Details__2[],6,FALSE)</f>
        <v>tier - 1</v>
      </c>
      <c r="P942" t="str">
        <f>VLOOKUP(A942,Hospitalisation_Details__2[],7,FALSE)</f>
        <v>R1011</v>
      </c>
    </row>
    <row r="943" spans="1:16" x14ac:dyDescent="0.35">
      <c r="A943" t="str">
        <v>Id942</v>
      </c>
      <c r="B943" t="str">
        <f>VLOOKUP(A943,'Customer Names (2)'!A:B, 2,FALSE)</f>
        <v>Ms</v>
      </c>
      <c r="C943">
        <f>VLOOKUP(A943,Medical_Examinations[],2,FALSE)</f>
        <v>28.785</v>
      </c>
      <c r="D943">
        <f>VLOOKUP(A943,Medical_Examinations[],3,FALSE)</f>
        <v>4.24</v>
      </c>
      <c r="E943" t="str">
        <f>VLOOKUP(A943,Medical_Examinations[],4,FALSE)</f>
        <v>Yes</v>
      </c>
      <c r="F943" t="str">
        <f>VLOOKUP(A943,Medical_Examinations[],5,FALSE)</f>
        <v>No</v>
      </c>
      <c r="G943" t="str">
        <f>VLOOKUP(A943,Medical_Examinations[],6,FALSE)</f>
        <v>No</v>
      </c>
      <c r="H943">
        <f>VLOOKUP(A943,Medical_Examinations[],7,FALSE)</f>
        <v>2</v>
      </c>
      <c r="I943" t="str">
        <f>VLOOKUP(A943,Medical_Examinations[],8,FALSE)</f>
        <v>No</v>
      </c>
      <c r="J943" t="str">
        <f>VLOOKUP(A943,Medical_Examinations[],9,FALSE)</f>
        <v>Overweight</v>
      </c>
      <c r="K943" t="str">
        <f>VLOOKUP(A943,Medical_Examinations[],10,FALSE)</f>
        <v>Normal</v>
      </c>
      <c r="M943">
        <f>VLOOKUP(A943,Hospitalisation_Details__2[],4,FALSE)</f>
        <v>11658.38</v>
      </c>
      <c r="N943" t="str">
        <f>VLOOKUP(A943,Hospitalisation_Details__2[],5,FALSE)</f>
        <v>tier - 3</v>
      </c>
      <c r="O943" t="str">
        <f>VLOOKUP(A943,Hospitalisation_Details__2[],6,FALSE)</f>
        <v>tier - 3</v>
      </c>
      <c r="P943" t="str">
        <f>VLOOKUP(A943,Hospitalisation_Details__2[],7,FALSE)</f>
        <v>R1024</v>
      </c>
    </row>
    <row r="944" spans="1:16" x14ac:dyDescent="0.35">
      <c r="A944" t="str">
        <v>Id943</v>
      </c>
      <c r="B944" t="str">
        <f>VLOOKUP(A944,'Customer Names (2)'!A:B, 2,FALSE)</f>
        <v>Ms</v>
      </c>
      <c r="C944">
        <f>VLOOKUP(A944,Medical_Examinations[],2,FALSE)</f>
        <v>28.594999999999999</v>
      </c>
      <c r="D944">
        <f>VLOOKUP(A944,Medical_Examinations[],3,FALSE)</f>
        <v>4.96</v>
      </c>
      <c r="E944" t="str">
        <f>VLOOKUP(A944,Medical_Examinations[],4,FALSE)</f>
        <v>Yes</v>
      </c>
      <c r="F944" t="str">
        <f>VLOOKUP(A944,Medical_Examinations[],5,FALSE)</f>
        <v>No</v>
      </c>
      <c r="G944" t="str">
        <f>VLOOKUP(A944,Medical_Examinations[],6,FALSE)</f>
        <v>No</v>
      </c>
      <c r="H944">
        <f>VLOOKUP(A944,Medical_Examinations[],7,FALSE)</f>
        <v>2</v>
      </c>
      <c r="I944" t="str">
        <f>VLOOKUP(A944,Medical_Examinations[],8,FALSE)</f>
        <v>No</v>
      </c>
      <c r="J944" t="str">
        <f>VLOOKUP(A944,Medical_Examinations[],9,FALSE)</f>
        <v>Overweight</v>
      </c>
      <c r="K944" t="str">
        <f>VLOOKUP(A944,Medical_Examinations[],10,FALSE)</f>
        <v>Normal</v>
      </c>
      <c r="M944">
        <f>VLOOKUP(A944,Hospitalisation_Details__2[],4,FALSE)</f>
        <v>11658.12</v>
      </c>
      <c r="N944" t="str">
        <f>VLOOKUP(A944,Hospitalisation_Details__2[],5,FALSE)</f>
        <v>tier - 3</v>
      </c>
      <c r="O944" t="str">
        <f>VLOOKUP(A944,Hospitalisation_Details__2[],6,FALSE)</f>
        <v>tier - 1</v>
      </c>
      <c r="P944" t="str">
        <f>VLOOKUP(A944,Hospitalisation_Details__2[],7,FALSE)</f>
        <v>R1024</v>
      </c>
    </row>
    <row r="945" spans="1:16" x14ac:dyDescent="0.35">
      <c r="A945" t="str">
        <v>Id944</v>
      </c>
      <c r="B945" t="str">
        <f>VLOOKUP(A945,'Customer Names (2)'!A:B, 2,FALSE)</f>
        <v>Mr</v>
      </c>
      <c r="C945">
        <f>VLOOKUP(A945,Medical_Examinations[],2,FALSE)</f>
        <v>48.75</v>
      </c>
      <c r="D945">
        <f>VLOOKUP(A945,Medical_Examinations[],3,FALSE)</f>
        <v>4.34</v>
      </c>
      <c r="E945" t="str">
        <f>VLOOKUP(A945,Medical_Examinations[],4,FALSE)</f>
        <v>No</v>
      </c>
      <c r="F945" t="str">
        <f>VLOOKUP(A945,Medical_Examinations[],5,FALSE)</f>
        <v>No</v>
      </c>
      <c r="G945" t="str">
        <f>VLOOKUP(A945,Medical_Examinations[],6,FALSE)</f>
        <v>No</v>
      </c>
      <c r="H945">
        <f>VLOOKUP(A945,Medical_Examinations[],7,FALSE)</f>
        <v>0</v>
      </c>
      <c r="I945" t="str">
        <f>VLOOKUP(A945,Medical_Examinations[],8,FALSE)</f>
        <v>No</v>
      </c>
      <c r="J945" t="str">
        <f>VLOOKUP(A945,Medical_Examinations[],9,FALSE)</f>
        <v>Obesity</v>
      </c>
      <c r="K945" t="str">
        <f>VLOOKUP(A945,Medical_Examinations[],10,FALSE)</f>
        <v>Normal</v>
      </c>
      <c r="M945">
        <f>VLOOKUP(A945,Hospitalisation_Details__2[],4,FALSE)</f>
        <v>11657.81</v>
      </c>
      <c r="N945" t="str">
        <f>VLOOKUP(A945,Hospitalisation_Details__2[],5,FALSE)</f>
        <v>tier - 3</v>
      </c>
      <c r="O945" t="str">
        <f>VLOOKUP(A945,Hospitalisation_Details__2[],6,FALSE)</f>
        <v>tier - 2</v>
      </c>
      <c r="P945" t="str">
        <f>VLOOKUP(A945,Hospitalisation_Details__2[],7,FALSE)</f>
        <v>R1023</v>
      </c>
    </row>
    <row r="946" spans="1:16" x14ac:dyDescent="0.35">
      <c r="A946" t="str">
        <v>Id945</v>
      </c>
      <c r="B946" t="str">
        <f>VLOOKUP(A946,'Customer Names (2)'!A:B, 2,FALSE)</f>
        <v>Ms</v>
      </c>
      <c r="C946">
        <f>VLOOKUP(A946,Medical_Examinations[],2,FALSE)</f>
        <v>28.31</v>
      </c>
      <c r="D946">
        <f>VLOOKUP(A946,Medical_Examinations[],3,FALSE)</f>
        <v>5.43</v>
      </c>
      <c r="E946" t="str">
        <f>VLOOKUP(A946,Medical_Examinations[],4,FALSE)</f>
        <v>Yes</v>
      </c>
      <c r="F946" t="str">
        <f>VLOOKUP(A946,Medical_Examinations[],5,FALSE)</f>
        <v>No</v>
      </c>
      <c r="G946" t="str">
        <f>VLOOKUP(A946,Medical_Examinations[],6,FALSE)</f>
        <v>No</v>
      </c>
      <c r="H946">
        <f>VLOOKUP(A946,Medical_Examinations[],7,FALSE)</f>
        <v>2</v>
      </c>
      <c r="I946" t="str">
        <f>VLOOKUP(A946,Medical_Examinations[],8,FALSE)</f>
        <v>No</v>
      </c>
      <c r="J946" t="str">
        <f>VLOOKUP(A946,Medical_Examinations[],9,FALSE)</f>
        <v>Overweight</v>
      </c>
      <c r="K946" t="str">
        <f>VLOOKUP(A946,Medical_Examinations[],10,FALSE)</f>
        <v>Normal</v>
      </c>
      <c r="M946">
        <f>VLOOKUP(A946,Hospitalisation_Details__2[],4,FALSE)</f>
        <v>11657.72</v>
      </c>
      <c r="N946" t="str">
        <f>VLOOKUP(A946,Hospitalisation_Details__2[],5,FALSE)</f>
        <v>tier - 3</v>
      </c>
      <c r="O946" t="str">
        <f>VLOOKUP(A946,Hospitalisation_Details__2[],6,FALSE)</f>
        <v>tier - 2</v>
      </c>
      <c r="P946" t="str">
        <f>VLOOKUP(A946,Hospitalisation_Details__2[],7,FALSE)</f>
        <v>R1024</v>
      </c>
    </row>
    <row r="947" spans="1:16" x14ac:dyDescent="0.35">
      <c r="A947" t="str">
        <v>Id946</v>
      </c>
      <c r="B947" t="str">
        <f>VLOOKUP(A947,'Customer Names (2)'!A:B, 2,FALSE)</f>
        <v>Mr</v>
      </c>
      <c r="C947">
        <f>VLOOKUP(A947,Medical_Examinations[],2,FALSE)</f>
        <v>38.39</v>
      </c>
      <c r="D947">
        <f>VLOOKUP(A947,Medical_Examinations[],3,FALSE)</f>
        <v>8.33</v>
      </c>
      <c r="E947" t="str">
        <f>VLOOKUP(A947,Medical_Examinations[],4,FALSE)</f>
        <v>Yes</v>
      </c>
      <c r="F947" t="str">
        <f>VLOOKUP(A947,Medical_Examinations[],5,FALSE)</f>
        <v>No</v>
      </c>
      <c r="G947" t="str">
        <f>VLOOKUP(A947,Medical_Examinations[],6,FALSE)</f>
        <v>No</v>
      </c>
      <c r="H947">
        <f>VLOOKUP(A947,Medical_Examinations[],7,FALSE)</f>
        <v>1</v>
      </c>
      <c r="I947" t="str">
        <f>VLOOKUP(A947,Medical_Examinations[],8,FALSE)</f>
        <v>No</v>
      </c>
      <c r="J947" t="str">
        <f>VLOOKUP(A947,Medical_Examinations[],9,FALSE)</f>
        <v>Obesity</v>
      </c>
      <c r="K947" t="str">
        <f>VLOOKUP(A947,Medical_Examinations[],10,FALSE)</f>
        <v>Diabetes</v>
      </c>
      <c r="M947">
        <f>VLOOKUP(A947,Hospitalisation_Details__2[],4,FALSE)</f>
        <v>11625.11</v>
      </c>
      <c r="N947" t="str">
        <f>VLOOKUP(A947,Hospitalisation_Details__2[],5,FALSE)</f>
        <v>tier - 3</v>
      </c>
      <c r="O947" t="str">
        <f>VLOOKUP(A947,Hospitalisation_Details__2[],6,FALSE)</f>
        <v>tier - 3</v>
      </c>
      <c r="P947" t="str">
        <f>VLOOKUP(A947,Hospitalisation_Details__2[],7,FALSE)</f>
        <v>R1022</v>
      </c>
    </row>
    <row r="948" spans="1:16" x14ac:dyDescent="0.35">
      <c r="A948" t="str">
        <v>Id947</v>
      </c>
      <c r="B948" t="str">
        <f>VLOOKUP(A948,'Customer Names (2)'!A:B, 2,FALSE)</f>
        <v>Mr</v>
      </c>
      <c r="C948">
        <f>VLOOKUP(A948,Medical_Examinations[],2,FALSE)</f>
        <v>25.87</v>
      </c>
      <c r="D948">
        <f>VLOOKUP(A948,Medical_Examinations[],3,FALSE)</f>
        <v>5.63</v>
      </c>
      <c r="E948" t="str">
        <f>VLOOKUP(A948,Medical_Examinations[],4,FALSE)</f>
        <v>Yes</v>
      </c>
      <c r="F948" t="str">
        <f>VLOOKUP(A948,Medical_Examinations[],5,FALSE)</f>
        <v>No</v>
      </c>
      <c r="G948" t="str">
        <f>VLOOKUP(A948,Medical_Examinations[],6,FALSE)</f>
        <v>No</v>
      </c>
      <c r="H948">
        <f>VLOOKUP(A948,Medical_Examinations[],7,FALSE)</f>
        <v>1</v>
      </c>
      <c r="I948" t="str">
        <f>VLOOKUP(A948,Medical_Examinations[],8,FALSE)</f>
        <v>No</v>
      </c>
      <c r="J948" t="str">
        <f>VLOOKUP(A948,Medical_Examinations[],9,FALSE)</f>
        <v>Overweight</v>
      </c>
      <c r="K948" t="str">
        <f>VLOOKUP(A948,Medical_Examinations[],10,FALSE)</f>
        <v>Normal</v>
      </c>
      <c r="M948">
        <f>VLOOKUP(A948,Hospitalisation_Details__2[],4,FALSE)</f>
        <v>11602.75</v>
      </c>
      <c r="N948" t="str">
        <f>VLOOKUP(A948,Hospitalisation_Details__2[],5,FALSE)</f>
        <v>tier - 3</v>
      </c>
      <c r="O948" t="str">
        <f>VLOOKUP(A948,Hospitalisation_Details__2[],6,FALSE)</f>
        <v>tier - 1</v>
      </c>
      <c r="P948" t="str">
        <f>VLOOKUP(A948,Hospitalisation_Details__2[],7,FALSE)</f>
        <v>R1020</v>
      </c>
    </row>
    <row r="949" spans="1:16" x14ac:dyDescent="0.35">
      <c r="A949" t="str">
        <v>Id948</v>
      </c>
      <c r="B949" t="str">
        <f>VLOOKUP(A949,'Customer Names (2)'!A:B, 2,FALSE)</f>
        <v>Mr</v>
      </c>
      <c r="C949">
        <f>VLOOKUP(A949,Medical_Examinations[],2,FALSE)</f>
        <v>43.7</v>
      </c>
      <c r="D949">
        <f>VLOOKUP(A949,Medical_Examinations[],3,FALSE)</f>
        <v>7.23</v>
      </c>
      <c r="E949" t="str">
        <f>VLOOKUP(A949,Medical_Examinations[],4,FALSE)</f>
        <v>No</v>
      </c>
      <c r="F949" t="str">
        <f>VLOOKUP(A949,Medical_Examinations[],5,FALSE)</f>
        <v>No</v>
      </c>
      <c r="G949" t="str">
        <f>VLOOKUP(A949,Medical_Examinations[],6,FALSE)</f>
        <v>No</v>
      </c>
      <c r="H949">
        <f>VLOOKUP(A949,Medical_Examinations[],7,FALSE)</f>
        <v>0</v>
      </c>
      <c r="I949" t="str">
        <f>VLOOKUP(A949,Medical_Examinations[],8,FALSE)</f>
        <v>No</v>
      </c>
      <c r="J949" t="str">
        <f>VLOOKUP(A949,Medical_Examinations[],9,FALSE)</f>
        <v>Obesity</v>
      </c>
      <c r="K949" t="str">
        <f>VLOOKUP(A949,Medical_Examinations[],10,FALSE)</f>
        <v>Diabetes</v>
      </c>
      <c r="M949">
        <f>VLOOKUP(A949,Hospitalisation_Details__2[],4,FALSE)</f>
        <v>11576.13</v>
      </c>
      <c r="N949" t="str">
        <f>VLOOKUP(A949,Hospitalisation_Details__2[],5,FALSE)</f>
        <v>tier - 3</v>
      </c>
      <c r="O949" t="str">
        <f>VLOOKUP(A949,Hospitalisation_Details__2[],6,FALSE)</f>
        <v>tier - 3</v>
      </c>
      <c r="P949" t="str">
        <f>VLOOKUP(A949,Hospitalisation_Details__2[],7,FALSE)</f>
        <v>R1011</v>
      </c>
    </row>
    <row r="950" spans="1:16" x14ac:dyDescent="0.35">
      <c r="A950" t="str">
        <v>Id949</v>
      </c>
      <c r="B950" t="str">
        <f>VLOOKUP(A950,'Customer Names (2)'!A:B, 2,FALSE)</f>
        <v>Mr</v>
      </c>
      <c r="C950">
        <f>VLOOKUP(A950,Medical_Examinations[],2,FALSE)</f>
        <v>40.945</v>
      </c>
      <c r="D950">
        <f>VLOOKUP(A950,Medical_Examinations[],3,FALSE)</f>
        <v>10.57</v>
      </c>
      <c r="E950" t="str">
        <f>VLOOKUP(A950,Medical_Examinations[],4,FALSE)</f>
        <v>No</v>
      </c>
      <c r="F950" t="str">
        <f>VLOOKUP(A950,Medical_Examinations[],5,FALSE)</f>
        <v>No</v>
      </c>
      <c r="G950" t="str">
        <f>VLOOKUP(A950,Medical_Examinations[],6,FALSE)</f>
        <v>No</v>
      </c>
      <c r="H950">
        <f>VLOOKUP(A950,Medical_Examinations[],7,FALSE)</f>
        <v>0</v>
      </c>
      <c r="I950" t="str">
        <f>VLOOKUP(A950,Medical_Examinations[],8,FALSE)</f>
        <v>No</v>
      </c>
      <c r="J950" t="str">
        <f>VLOOKUP(A950,Medical_Examinations[],9,FALSE)</f>
        <v>Obesity</v>
      </c>
      <c r="K950" t="str">
        <f>VLOOKUP(A950,Medical_Examinations[],10,FALSE)</f>
        <v>Diabetes</v>
      </c>
      <c r="M950">
        <f>VLOOKUP(A950,Hospitalisation_Details__2[],4,FALSE)</f>
        <v>11566.3</v>
      </c>
      <c r="N950" t="str">
        <f>VLOOKUP(A950,Hospitalisation_Details__2[],5,FALSE)</f>
        <v>tier - 3</v>
      </c>
      <c r="O950" t="str">
        <f>VLOOKUP(A950,Hospitalisation_Details__2[],6,FALSE)</f>
        <v>tier - 3</v>
      </c>
      <c r="P950" t="str">
        <f>VLOOKUP(A950,Hospitalisation_Details__2[],7,FALSE)</f>
        <v>R1016</v>
      </c>
    </row>
    <row r="951" spans="1:16" x14ac:dyDescent="0.35">
      <c r="A951" t="str">
        <v>Id950</v>
      </c>
      <c r="B951" t="str">
        <f>VLOOKUP(A951,'Customer Names (2)'!A:B, 2,FALSE)</f>
        <v>Mr</v>
      </c>
      <c r="C951">
        <f>VLOOKUP(A951,Medical_Examinations[],2,FALSE)</f>
        <v>27.94</v>
      </c>
      <c r="D951">
        <f>VLOOKUP(A951,Medical_Examinations[],3,FALSE)</f>
        <v>7.92</v>
      </c>
      <c r="E951" t="str">
        <f>VLOOKUP(A951,Medical_Examinations[],4,FALSE)</f>
        <v>No</v>
      </c>
      <c r="F951" t="str">
        <f>VLOOKUP(A951,Medical_Examinations[],5,FALSE)</f>
        <v>No</v>
      </c>
      <c r="G951" t="str">
        <f>VLOOKUP(A951,Medical_Examinations[],6,FALSE)</f>
        <v>No</v>
      </c>
      <c r="H951">
        <f>VLOOKUP(A951,Medical_Examinations[],7,FALSE)</f>
        <v>0</v>
      </c>
      <c r="I951" t="str">
        <f>VLOOKUP(A951,Medical_Examinations[],8,FALSE)</f>
        <v>No</v>
      </c>
      <c r="J951" t="str">
        <f>VLOOKUP(A951,Medical_Examinations[],9,FALSE)</f>
        <v>Overweight</v>
      </c>
      <c r="K951" t="str">
        <f>VLOOKUP(A951,Medical_Examinations[],10,FALSE)</f>
        <v>Diabetes</v>
      </c>
      <c r="M951">
        <f>VLOOKUP(A951,Hospitalisation_Details__2[],4,FALSE)</f>
        <v>11554.22</v>
      </c>
      <c r="N951" t="str">
        <f>VLOOKUP(A951,Hospitalisation_Details__2[],5,FALSE)</f>
        <v>tier - 3</v>
      </c>
      <c r="O951" t="str">
        <f>VLOOKUP(A951,Hospitalisation_Details__2[],6,FALSE)</f>
        <v>tier - 1</v>
      </c>
      <c r="P951" t="str">
        <f>VLOOKUP(A951,Hospitalisation_Details__2[],7,FALSE)</f>
        <v>R1013</v>
      </c>
    </row>
    <row r="952" spans="1:16" x14ac:dyDescent="0.35">
      <c r="A952" t="str">
        <v>Id951</v>
      </c>
      <c r="B952" t="str">
        <f>VLOOKUP(A952,'Customer Names (2)'!A:B, 2,FALSE)</f>
        <v>Ms</v>
      </c>
      <c r="C952">
        <f>VLOOKUP(A952,Medical_Examinations[],2,FALSE)</f>
        <v>31.9</v>
      </c>
      <c r="D952">
        <f>VLOOKUP(A952,Medical_Examinations[],3,FALSE)</f>
        <v>10.119999999999999</v>
      </c>
      <c r="E952" t="str">
        <f>VLOOKUP(A952,Medical_Examinations[],4,FALSE)</f>
        <v>No</v>
      </c>
      <c r="F952" t="str">
        <f>VLOOKUP(A952,Medical_Examinations[],5,FALSE)</f>
        <v>No</v>
      </c>
      <c r="G952" t="str">
        <f>VLOOKUP(A952,Medical_Examinations[],6,FALSE)</f>
        <v>No</v>
      </c>
      <c r="H952">
        <f>VLOOKUP(A952,Medical_Examinations[],7,FALSE)</f>
        <v>2</v>
      </c>
      <c r="I952" t="str">
        <f>VLOOKUP(A952,Medical_Examinations[],8,FALSE)</f>
        <v>No</v>
      </c>
      <c r="J952" t="str">
        <f>VLOOKUP(A952,Medical_Examinations[],9,FALSE)</f>
        <v>Obesity</v>
      </c>
      <c r="K952" t="str">
        <f>VLOOKUP(A952,Medical_Examinations[],10,FALSE)</f>
        <v>Diabetes</v>
      </c>
      <c r="M952">
        <f>VLOOKUP(A952,Hospitalisation_Details__2[],4,FALSE)</f>
        <v>11552.9</v>
      </c>
      <c r="N952" t="str">
        <f>VLOOKUP(A952,Hospitalisation_Details__2[],5,FALSE)</f>
        <v>tier - 3</v>
      </c>
      <c r="O952" t="str">
        <f>VLOOKUP(A952,Hospitalisation_Details__2[],6,FALSE)</f>
        <v>tier - 2</v>
      </c>
      <c r="P952" t="str">
        <f>VLOOKUP(A952,Hospitalisation_Details__2[],7,FALSE)</f>
        <v>R1011</v>
      </c>
    </row>
    <row r="953" spans="1:16" x14ac:dyDescent="0.35">
      <c r="A953" t="str">
        <v>Id952</v>
      </c>
      <c r="B953" t="str">
        <f>VLOOKUP(A953,'Customer Names (2)'!A:B, 2,FALSE)</f>
        <v>Ms</v>
      </c>
      <c r="C953">
        <f>VLOOKUP(A953,Medical_Examinations[],2,FALSE)</f>
        <v>31.64</v>
      </c>
      <c r="D953">
        <f>VLOOKUP(A953,Medical_Examinations[],3,FALSE)</f>
        <v>7.91</v>
      </c>
      <c r="E953" t="str">
        <f>VLOOKUP(A953,Medical_Examinations[],4,FALSE)</f>
        <v>No</v>
      </c>
      <c r="F953" t="str">
        <f>VLOOKUP(A953,Medical_Examinations[],5,FALSE)</f>
        <v>No</v>
      </c>
      <c r="G953" t="str">
        <f>VLOOKUP(A953,Medical_Examinations[],6,FALSE)</f>
        <v>No</v>
      </c>
      <c r="H953">
        <f>VLOOKUP(A953,Medical_Examinations[],7,FALSE)</f>
        <v>0</v>
      </c>
      <c r="I953" t="str">
        <f>VLOOKUP(A953,Medical_Examinations[],8,FALSE)</f>
        <v>No</v>
      </c>
      <c r="J953" t="str">
        <f>VLOOKUP(A953,Medical_Examinations[],9,FALSE)</f>
        <v>Obesity</v>
      </c>
      <c r="K953" t="str">
        <f>VLOOKUP(A953,Medical_Examinations[],10,FALSE)</f>
        <v>Diabetes</v>
      </c>
      <c r="M953">
        <f>VLOOKUP(A953,Hospitalisation_Details__2[],4,FALSE)</f>
        <v>11540.25</v>
      </c>
      <c r="N953" t="str">
        <f>VLOOKUP(A953,Hospitalisation_Details__2[],5,FALSE)</f>
        <v>tier - 3</v>
      </c>
      <c r="O953" t="str">
        <f>VLOOKUP(A953,Hospitalisation_Details__2[],6,FALSE)</f>
        <v>tier - 1</v>
      </c>
      <c r="P953" t="str">
        <f>VLOOKUP(A953,Hospitalisation_Details__2[],7,FALSE)</f>
        <v>R1012</v>
      </c>
    </row>
    <row r="954" spans="1:16" x14ac:dyDescent="0.35">
      <c r="A954" t="str">
        <v>Id953</v>
      </c>
      <c r="B954" t="str">
        <f>VLOOKUP(A954,'Customer Names (2)'!A:B, 2,FALSE)</f>
        <v>Ms</v>
      </c>
      <c r="C954">
        <f>VLOOKUP(A954,Medical_Examinations[],2,FALSE)</f>
        <v>46.7</v>
      </c>
      <c r="D954">
        <f>VLOOKUP(A954,Medical_Examinations[],3,FALSE)</f>
        <v>10.9</v>
      </c>
      <c r="E954" t="str">
        <f>VLOOKUP(A954,Medical_Examinations[],4,FALSE)</f>
        <v>No</v>
      </c>
      <c r="F954" t="str">
        <f>VLOOKUP(A954,Medical_Examinations[],5,FALSE)</f>
        <v>No</v>
      </c>
      <c r="G954" t="str">
        <f>VLOOKUP(A954,Medical_Examinations[],6,FALSE)</f>
        <v>No</v>
      </c>
      <c r="H954">
        <f>VLOOKUP(A954,Medical_Examinations[],7,FALSE)</f>
        <v>0</v>
      </c>
      <c r="I954" t="str">
        <f>VLOOKUP(A954,Medical_Examinations[],8,FALSE)</f>
        <v>No</v>
      </c>
      <c r="J954" t="str">
        <f>VLOOKUP(A954,Medical_Examinations[],9,FALSE)</f>
        <v>Obesity</v>
      </c>
      <c r="K954" t="str">
        <f>VLOOKUP(A954,Medical_Examinations[],10,FALSE)</f>
        <v>Diabetes</v>
      </c>
      <c r="M954">
        <f>VLOOKUP(A954,Hospitalisation_Details__2[],4,FALSE)</f>
        <v>11538.42</v>
      </c>
      <c r="N954" t="str">
        <f>VLOOKUP(A954,Hospitalisation_Details__2[],5,FALSE)</f>
        <v>tier - 3</v>
      </c>
      <c r="O954" t="str">
        <f>VLOOKUP(A954,Hospitalisation_Details__2[],6,FALSE)</f>
        <v>tier - 1</v>
      </c>
      <c r="P954" t="str">
        <f>VLOOKUP(A954,Hospitalisation_Details__2[],7,FALSE)</f>
        <v>R1011</v>
      </c>
    </row>
    <row r="955" spans="1:16" x14ac:dyDescent="0.35">
      <c r="A955" t="str">
        <v>Id954</v>
      </c>
      <c r="B955" t="str">
        <f>VLOOKUP(A955,'Customer Names (2)'!A:B, 2,FALSE)</f>
        <v>Mr</v>
      </c>
      <c r="C955">
        <f>VLOOKUP(A955,Medical_Examinations[],2,FALSE)</f>
        <v>18.335000000000001</v>
      </c>
      <c r="D955">
        <f>VLOOKUP(A955,Medical_Examinations[],3,FALSE)</f>
        <v>11.83</v>
      </c>
      <c r="E955" t="str">
        <f>VLOOKUP(A955,Medical_Examinations[],4,FALSE)</f>
        <v>No</v>
      </c>
      <c r="F955" t="str">
        <f>VLOOKUP(A955,Medical_Examinations[],5,FALSE)</f>
        <v>No</v>
      </c>
      <c r="G955" t="str">
        <f>VLOOKUP(A955,Medical_Examinations[],6,FALSE)</f>
        <v>No</v>
      </c>
      <c r="H955">
        <f>VLOOKUP(A955,Medical_Examinations[],7,FALSE)</f>
        <v>0</v>
      </c>
      <c r="I955" t="str">
        <f>VLOOKUP(A955,Medical_Examinations[],8,FALSE)</f>
        <v>No</v>
      </c>
      <c r="J955" t="str">
        <f>VLOOKUP(A955,Medical_Examinations[],9,FALSE)</f>
        <v>Underweight</v>
      </c>
      <c r="K955" t="str">
        <f>VLOOKUP(A955,Medical_Examinations[],10,FALSE)</f>
        <v>Diabetes</v>
      </c>
      <c r="M955">
        <f>VLOOKUP(A955,Hospitalisation_Details__2[],4,FALSE)</f>
        <v>11534.87</v>
      </c>
      <c r="N955" t="str">
        <f>VLOOKUP(A955,Hospitalisation_Details__2[],5,FALSE)</f>
        <v>tier - 3</v>
      </c>
      <c r="O955" t="str">
        <f>VLOOKUP(A955,Hospitalisation_Details__2[],6,FALSE)</f>
        <v>tier - 1</v>
      </c>
      <c r="P955" t="str">
        <f>VLOOKUP(A955,Hospitalisation_Details__2[],7,FALSE)</f>
        <v>R1017</v>
      </c>
    </row>
    <row r="956" spans="1:16" x14ac:dyDescent="0.35">
      <c r="A956" t="str">
        <v>Id955</v>
      </c>
      <c r="B956" t="str">
        <f>VLOOKUP(A956,'Customer Names (2)'!A:B, 2,FALSE)</f>
        <v>Mr</v>
      </c>
      <c r="C956">
        <f>VLOOKUP(A956,Medical_Examinations[],2,FALSE)</f>
        <v>31.24</v>
      </c>
      <c r="D956">
        <f>VLOOKUP(A956,Medical_Examinations[],3,FALSE)</f>
        <v>7.42</v>
      </c>
      <c r="E956" t="str">
        <f>VLOOKUP(A956,Medical_Examinations[],4,FALSE)</f>
        <v>Yes</v>
      </c>
      <c r="F956" t="str">
        <f>VLOOKUP(A956,Medical_Examinations[],5,FALSE)</f>
        <v>No</v>
      </c>
      <c r="G956" t="str">
        <f>VLOOKUP(A956,Medical_Examinations[],6,FALSE)</f>
        <v>No</v>
      </c>
      <c r="H956">
        <f>VLOOKUP(A956,Medical_Examinations[],7,FALSE)</f>
        <v>2</v>
      </c>
      <c r="I956" t="str">
        <f>VLOOKUP(A956,Medical_Examinations[],8,FALSE)</f>
        <v>No</v>
      </c>
      <c r="J956" t="str">
        <f>VLOOKUP(A956,Medical_Examinations[],9,FALSE)</f>
        <v>Obesity</v>
      </c>
      <c r="K956" t="str">
        <f>VLOOKUP(A956,Medical_Examinations[],10,FALSE)</f>
        <v>Diabetes</v>
      </c>
      <c r="M956">
        <f>VLOOKUP(A956,Hospitalisation_Details__2[],4,FALSE)</f>
        <v>11530.12</v>
      </c>
      <c r="N956" t="str">
        <f>VLOOKUP(A956,Hospitalisation_Details__2[],5,FALSE)</f>
        <v>tier - 3</v>
      </c>
      <c r="O956" t="str">
        <f>VLOOKUP(A956,Hospitalisation_Details__2[],6,FALSE)</f>
        <v>tier - 1</v>
      </c>
      <c r="P956" t="str">
        <f>VLOOKUP(A956,Hospitalisation_Details__2[],7,FALSE)</f>
        <v>R1012</v>
      </c>
    </row>
    <row r="957" spans="1:16" x14ac:dyDescent="0.35">
      <c r="A957" t="str">
        <v>Id956</v>
      </c>
      <c r="B957" t="str">
        <f>VLOOKUP(A957,'Customer Names (2)'!A:B, 2,FALSE)</f>
        <v>Mrs</v>
      </c>
      <c r="C957">
        <f>VLOOKUP(A957,Medical_Examinations[],2,FALSE)</f>
        <v>39.22</v>
      </c>
      <c r="D957">
        <f>VLOOKUP(A957,Medical_Examinations[],3,FALSE)</f>
        <v>5.62</v>
      </c>
      <c r="E957" t="str">
        <f>VLOOKUP(A957,Medical_Examinations[],4,FALSE)</f>
        <v>Yes</v>
      </c>
      <c r="F957" t="str">
        <f>VLOOKUP(A957,Medical_Examinations[],5,FALSE)</f>
        <v>No</v>
      </c>
      <c r="G957" t="str">
        <f>VLOOKUP(A957,Medical_Examinations[],6,FALSE)</f>
        <v>No</v>
      </c>
      <c r="H957">
        <f>VLOOKUP(A957,Medical_Examinations[],7,FALSE)</f>
        <v>1</v>
      </c>
      <c r="I957" t="str">
        <f>VLOOKUP(A957,Medical_Examinations[],8,FALSE)</f>
        <v>No</v>
      </c>
      <c r="J957" t="str">
        <f>VLOOKUP(A957,Medical_Examinations[],9,FALSE)</f>
        <v>Obesity</v>
      </c>
      <c r="K957" t="str">
        <f>VLOOKUP(A957,Medical_Examinations[],10,FALSE)</f>
        <v>Normal</v>
      </c>
      <c r="M957">
        <f>VLOOKUP(A957,Hospitalisation_Details__2[],4,FALSE)</f>
        <v>11524.25</v>
      </c>
      <c r="N957" t="str">
        <f>VLOOKUP(A957,Hospitalisation_Details__2[],5,FALSE)</f>
        <v>tier - 3</v>
      </c>
      <c r="O957" t="str">
        <f>VLOOKUP(A957,Hospitalisation_Details__2[],6,FALSE)</f>
        <v>tier - 1</v>
      </c>
      <c r="P957" t="str">
        <f>VLOOKUP(A957,Hospitalisation_Details__2[],7,FALSE)</f>
        <v>R1026</v>
      </c>
    </row>
    <row r="958" spans="1:16" x14ac:dyDescent="0.35">
      <c r="A958" t="str">
        <v>Id957</v>
      </c>
      <c r="B958" t="str">
        <f>VLOOKUP(A958,'Customer Names (2)'!A:B, 2,FALSE)</f>
        <v>Mr</v>
      </c>
      <c r="C958">
        <f>VLOOKUP(A958,Medical_Examinations[],2,FALSE)</f>
        <v>24.414999999999999</v>
      </c>
      <c r="D958">
        <f>VLOOKUP(A958,Medical_Examinations[],3,FALSE)</f>
        <v>7.16</v>
      </c>
      <c r="E958" t="str">
        <f>VLOOKUP(A958,Medical_Examinations[],4,FALSE)</f>
        <v>No</v>
      </c>
      <c r="F958" t="str">
        <f>VLOOKUP(A958,Medical_Examinations[],5,FALSE)</f>
        <v>No</v>
      </c>
      <c r="G958" t="str">
        <f>VLOOKUP(A958,Medical_Examinations[],6,FALSE)</f>
        <v>No</v>
      </c>
      <c r="H958">
        <f>VLOOKUP(A958,Medical_Examinations[],7,FALSE)</f>
        <v>0</v>
      </c>
      <c r="I958" t="str">
        <f>VLOOKUP(A958,Medical_Examinations[],8,FALSE)</f>
        <v>No</v>
      </c>
      <c r="J958" t="str">
        <f>VLOOKUP(A958,Medical_Examinations[],9,FALSE)</f>
        <v>Normal Weight</v>
      </c>
      <c r="K958" t="str">
        <f>VLOOKUP(A958,Medical_Examinations[],10,FALSE)</f>
        <v>Diabetes</v>
      </c>
      <c r="M958">
        <f>VLOOKUP(A958,Hospitalisation_Details__2[],4,FALSE)</f>
        <v>11520.1</v>
      </c>
      <c r="N958" t="str">
        <f>VLOOKUP(A958,Hospitalisation_Details__2[],5,FALSE)</f>
        <v>tier - 3</v>
      </c>
      <c r="O958" t="str">
        <f>VLOOKUP(A958,Hospitalisation_Details__2[],6,FALSE)</f>
        <v>tier - 1</v>
      </c>
      <c r="P958" t="str">
        <f>VLOOKUP(A958,Hospitalisation_Details__2[],7,FALSE)</f>
        <v>R1012</v>
      </c>
    </row>
    <row r="959" spans="1:16" x14ac:dyDescent="0.35">
      <c r="A959" t="str">
        <v>Id958</v>
      </c>
      <c r="B959" t="str">
        <f>VLOOKUP(A959,'Customer Names (2)'!A:B, 2,FALSE)</f>
        <v>Ms</v>
      </c>
      <c r="C959">
        <f>VLOOKUP(A959,Medical_Examinations[],2,FALSE)</f>
        <v>32.299999999999997</v>
      </c>
      <c r="D959">
        <f>VLOOKUP(A959,Medical_Examinations[],3,FALSE)</f>
        <v>9.89</v>
      </c>
      <c r="E959" t="str">
        <f>VLOOKUP(A959,Medical_Examinations[],4,FALSE)</f>
        <v>No</v>
      </c>
      <c r="F959" t="str">
        <f>VLOOKUP(A959,Medical_Examinations[],5,FALSE)</f>
        <v>No</v>
      </c>
      <c r="G959" t="str">
        <f>VLOOKUP(A959,Medical_Examinations[],6,FALSE)</f>
        <v>No</v>
      </c>
      <c r="H959">
        <f>VLOOKUP(A959,Medical_Examinations[],7,FALSE)</f>
        <v>0</v>
      </c>
      <c r="I959" t="str">
        <f>VLOOKUP(A959,Medical_Examinations[],8,FALSE)</f>
        <v>No</v>
      </c>
      <c r="J959" t="str">
        <f>VLOOKUP(A959,Medical_Examinations[],9,FALSE)</f>
        <v>Obesity</v>
      </c>
      <c r="K959" t="str">
        <f>VLOOKUP(A959,Medical_Examinations[],10,FALSE)</f>
        <v>Diabetes</v>
      </c>
      <c r="M959">
        <f>VLOOKUP(A959,Hospitalisation_Details__2[],4,FALSE)</f>
        <v>11512.41</v>
      </c>
      <c r="N959" t="str">
        <f>VLOOKUP(A959,Hospitalisation_Details__2[],5,FALSE)</f>
        <v>tier - 3</v>
      </c>
      <c r="O959" t="str">
        <f>VLOOKUP(A959,Hospitalisation_Details__2[],6,FALSE)</f>
        <v>tier - 1</v>
      </c>
      <c r="P959" t="str">
        <f>VLOOKUP(A959,Hospitalisation_Details__2[],7,FALSE)</f>
        <v>R1024</v>
      </c>
    </row>
    <row r="960" spans="1:16" x14ac:dyDescent="0.35">
      <c r="A960" t="str">
        <v>Id959</v>
      </c>
      <c r="B960" t="str">
        <f>VLOOKUP(A960,'Customer Names (2)'!A:B, 2,FALSE)</f>
        <v>Mrs</v>
      </c>
      <c r="C960">
        <f>VLOOKUP(A960,Medical_Examinations[],2,FALSE)</f>
        <v>39.94</v>
      </c>
      <c r="D960">
        <f>VLOOKUP(A960,Medical_Examinations[],3,FALSE)</f>
        <v>5.14</v>
      </c>
      <c r="E960" t="str">
        <f>VLOOKUP(A960,Medical_Examinations[],4,FALSE)</f>
        <v>No</v>
      </c>
      <c r="F960" t="str">
        <f>VLOOKUP(A960,Medical_Examinations[],5,FALSE)</f>
        <v>No</v>
      </c>
      <c r="G960" t="str">
        <f>VLOOKUP(A960,Medical_Examinations[],6,FALSE)</f>
        <v>No</v>
      </c>
      <c r="H960">
        <f>VLOOKUP(A960,Medical_Examinations[],7,FALSE)</f>
        <v>0</v>
      </c>
      <c r="I960" t="str">
        <f>VLOOKUP(A960,Medical_Examinations[],8,FALSE)</f>
        <v>No</v>
      </c>
      <c r="J960" t="str">
        <f>VLOOKUP(A960,Medical_Examinations[],9,FALSE)</f>
        <v>Obesity</v>
      </c>
      <c r="K960" t="str">
        <f>VLOOKUP(A960,Medical_Examinations[],10,FALSE)</f>
        <v>Normal</v>
      </c>
      <c r="M960">
        <f>VLOOKUP(A960,Hospitalisation_Details__2[],4,FALSE)</f>
        <v>11511.61</v>
      </c>
      <c r="N960" t="str">
        <f>VLOOKUP(A960,Hospitalisation_Details__2[],5,FALSE)</f>
        <v>tier - 3</v>
      </c>
      <c r="O960" t="str">
        <f>VLOOKUP(A960,Hospitalisation_Details__2[],6,FALSE)</f>
        <v>tier - 3</v>
      </c>
      <c r="P960" t="str">
        <f>VLOOKUP(A960,Hospitalisation_Details__2[],7,FALSE)</f>
        <v>R1026</v>
      </c>
    </row>
    <row r="961" spans="1:16" x14ac:dyDescent="0.35">
      <c r="A961" t="str">
        <v>Id960</v>
      </c>
      <c r="B961" t="str">
        <f>VLOOKUP(A961,'Customer Names (2)'!A:B, 2,FALSE)</f>
        <v>Ms</v>
      </c>
      <c r="C961">
        <f>VLOOKUP(A961,Medical_Examinations[],2,FALSE)</f>
        <v>30</v>
      </c>
      <c r="D961">
        <f>VLOOKUP(A961,Medical_Examinations[],3,FALSE)</f>
        <v>5.61</v>
      </c>
      <c r="E961" t="str">
        <f>VLOOKUP(A961,Medical_Examinations[],4,FALSE)</f>
        <v>Yes</v>
      </c>
      <c r="F961" t="str">
        <f>VLOOKUP(A961,Medical_Examinations[],5,FALSE)</f>
        <v>No</v>
      </c>
      <c r="G961" t="str">
        <f>VLOOKUP(A961,Medical_Examinations[],6,FALSE)</f>
        <v>Yes</v>
      </c>
      <c r="H961">
        <f>VLOOKUP(A961,Medical_Examinations[],7,FALSE)</f>
        <v>1</v>
      </c>
      <c r="I961" t="str">
        <f>VLOOKUP(A961,Medical_Examinations[],8,FALSE)</f>
        <v>No</v>
      </c>
      <c r="J961" t="str">
        <f>VLOOKUP(A961,Medical_Examinations[],9,FALSE)</f>
        <v>Obesity</v>
      </c>
      <c r="K961" t="str">
        <f>VLOOKUP(A961,Medical_Examinations[],10,FALSE)</f>
        <v>Normal</v>
      </c>
      <c r="M961">
        <f>VLOOKUP(A961,Hospitalisation_Details__2[],4,FALSE)</f>
        <v>11497.69</v>
      </c>
      <c r="N961" t="str">
        <f>VLOOKUP(A961,Hospitalisation_Details__2[],5,FALSE)</f>
        <v>tier - 3</v>
      </c>
      <c r="O961" t="str">
        <f>VLOOKUP(A961,Hospitalisation_Details__2[],6,FALSE)</f>
        <v>tier - 1</v>
      </c>
      <c r="P961" t="str">
        <f>VLOOKUP(A961,Hospitalisation_Details__2[],7,FALSE)</f>
        <v>R1012</v>
      </c>
    </row>
    <row r="962" spans="1:16" x14ac:dyDescent="0.35">
      <c r="A962" t="str">
        <v>Id961</v>
      </c>
      <c r="B962" t="str">
        <f>VLOOKUP(A962,'Customer Names (2)'!A:B, 2,FALSE)</f>
        <v>Mrs</v>
      </c>
      <c r="C962">
        <f>VLOOKUP(A962,Medical_Examinations[],2,FALSE)</f>
        <v>35.340000000000003</v>
      </c>
      <c r="D962">
        <f>VLOOKUP(A962,Medical_Examinations[],3,FALSE)</f>
        <v>5.51</v>
      </c>
      <c r="E962" t="str">
        <f>VLOOKUP(A962,Medical_Examinations[],4,FALSE)</f>
        <v>Yes</v>
      </c>
      <c r="F962" t="str">
        <f>VLOOKUP(A962,Medical_Examinations[],5,FALSE)</f>
        <v>No</v>
      </c>
      <c r="G962" t="str">
        <f>VLOOKUP(A962,Medical_Examinations[],6,FALSE)</f>
        <v>Yes</v>
      </c>
      <c r="H962">
        <f>VLOOKUP(A962,Medical_Examinations[],7,FALSE)</f>
        <v>1</v>
      </c>
      <c r="I962" t="str">
        <f>VLOOKUP(A962,Medical_Examinations[],8,FALSE)</f>
        <v>No</v>
      </c>
      <c r="J962" t="str">
        <f>VLOOKUP(A962,Medical_Examinations[],9,FALSE)</f>
        <v>Obesity</v>
      </c>
      <c r="K962" t="str">
        <f>VLOOKUP(A962,Medical_Examinations[],10,FALSE)</f>
        <v>Normal</v>
      </c>
      <c r="M962">
        <f>VLOOKUP(A962,Hospitalisation_Details__2[],4,FALSE)</f>
        <v>11492.46</v>
      </c>
      <c r="N962" t="str">
        <f>VLOOKUP(A962,Hospitalisation_Details__2[],5,FALSE)</f>
        <v>tier - 3</v>
      </c>
      <c r="O962" t="str">
        <f>VLOOKUP(A962,Hospitalisation_Details__2[],6,FALSE)</f>
        <v>tier - 3</v>
      </c>
      <c r="P962" t="str">
        <f>VLOOKUP(A962,Hospitalisation_Details__2[],7,FALSE)</f>
        <v>R1026</v>
      </c>
    </row>
    <row r="963" spans="1:16" x14ac:dyDescent="0.35">
      <c r="A963" t="str">
        <v>Id962</v>
      </c>
      <c r="B963" t="str">
        <f>VLOOKUP(A963,'Customer Names (2)'!A:B, 2,FALSE)</f>
        <v>Mr</v>
      </c>
      <c r="C963">
        <f>VLOOKUP(A963,Medical_Examinations[],2,FALSE)</f>
        <v>32.204999999999998</v>
      </c>
      <c r="D963">
        <f>VLOOKUP(A963,Medical_Examinations[],3,FALSE)</f>
        <v>8.3800000000000008</v>
      </c>
      <c r="E963" t="str">
        <f>VLOOKUP(A963,Medical_Examinations[],4,FALSE)</f>
        <v>Yes</v>
      </c>
      <c r="F963" t="str">
        <f>VLOOKUP(A963,Medical_Examinations[],5,FALSE)</f>
        <v>No</v>
      </c>
      <c r="G963" t="str">
        <f>VLOOKUP(A963,Medical_Examinations[],6,FALSE)</f>
        <v>No</v>
      </c>
      <c r="H963">
        <f>VLOOKUP(A963,Medical_Examinations[],7,FALSE)</f>
        <v>2</v>
      </c>
      <c r="I963" t="str">
        <f>VLOOKUP(A963,Medical_Examinations[],8,FALSE)</f>
        <v>No</v>
      </c>
      <c r="J963" t="str">
        <f>VLOOKUP(A963,Medical_Examinations[],9,FALSE)</f>
        <v>Obesity</v>
      </c>
      <c r="K963" t="str">
        <f>VLOOKUP(A963,Medical_Examinations[],10,FALSE)</f>
        <v>Diabetes</v>
      </c>
      <c r="M963">
        <f>VLOOKUP(A963,Hospitalisation_Details__2[],4,FALSE)</f>
        <v>11488.32</v>
      </c>
      <c r="N963" t="str">
        <f>VLOOKUP(A963,Hospitalisation_Details__2[],5,FALSE)</f>
        <v>tier - 3</v>
      </c>
      <c r="O963" t="str">
        <f>VLOOKUP(A963,Hospitalisation_Details__2[],6,FALSE)</f>
        <v>tier - 1</v>
      </c>
      <c r="P963" t="str">
        <f>VLOOKUP(A963,Hospitalisation_Details__2[],7,FALSE)</f>
        <v>R1014</v>
      </c>
    </row>
    <row r="964" spans="1:16" x14ac:dyDescent="0.35">
      <c r="A964" t="str">
        <v>Id963</v>
      </c>
      <c r="B964" t="str">
        <f>VLOOKUP(A964,'Customer Names (2)'!A:B, 2,FALSE)</f>
        <v>Ms</v>
      </c>
      <c r="C964">
        <f>VLOOKUP(A964,Medical_Examinations[],2,FALSE)</f>
        <v>33.880000000000003</v>
      </c>
      <c r="D964">
        <f>VLOOKUP(A964,Medical_Examinations[],3,FALSE)</f>
        <v>4.68</v>
      </c>
      <c r="E964" t="str">
        <f>VLOOKUP(A964,Medical_Examinations[],4,FALSE)</f>
        <v>No</v>
      </c>
      <c r="F964" t="str">
        <f>VLOOKUP(A964,Medical_Examinations[],5,FALSE)</f>
        <v>yes</v>
      </c>
      <c r="G964" t="str">
        <f>VLOOKUP(A964,Medical_Examinations[],6,FALSE)</f>
        <v>No</v>
      </c>
      <c r="H964">
        <f>VLOOKUP(A964,Medical_Examinations[],7,FALSE)</f>
        <v>1</v>
      </c>
      <c r="I964" t="str">
        <f>VLOOKUP(A964,Medical_Examinations[],8,FALSE)</f>
        <v>No</v>
      </c>
      <c r="J964" t="str">
        <f>VLOOKUP(A964,Medical_Examinations[],9,FALSE)</f>
        <v>Obesity</v>
      </c>
      <c r="K964" t="str">
        <f>VLOOKUP(A964,Medical_Examinations[],10,FALSE)</f>
        <v>Normal</v>
      </c>
      <c r="M964">
        <f>VLOOKUP(A964,Hospitalisation_Details__2[],4,FALSE)</f>
        <v>11482.63</v>
      </c>
      <c r="N964" t="str">
        <f>VLOOKUP(A964,Hospitalisation_Details__2[],5,FALSE)</f>
        <v>tier - 3</v>
      </c>
      <c r="O964" t="str">
        <f>VLOOKUP(A964,Hospitalisation_Details__2[],6,FALSE)</f>
        <v>tier - 2</v>
      </c>
      <c r="P964" t="str">
        <f>VLOOKUP(A964,Hospitalisation_Details__2[],7,FALSE)</f>
        <v>R1013</v>
      </c>
    </row>
    <row r="965" spans="1:16" x14ac:dyDescent="0.35">
      <c r="A965" t="str">
        <v>Id964</v>
      </c>
      <c r="B965" t="str">
        <f>VLOOKUP(A965,'Customer Names (2)'!A:B, 2,FALSE)</f>
        <v>Mrs</v>
      </c>
      <c r="C965">
        <f>VLOOKUP(A965,Medical_Examinations[],2,FALSE)</f>
        <v>26.63</v>
      </c>
      <c r="D965">
        <f>VLOOKUP(A965,Medical_Examinations[],3,FALSE)</f>
        <v>4.3600000000000003</v>
      </c>
      <c r="E965" t="str">
        <f>VLOOKUP(A965,Medical_Examinations[],4,FALSE)</f>
        <v>Yes</v>
      </c>
      <c r="F965" t="str">
        <f>VLOOKUP(A965,Medical_Examinations[],5,FALSE)</f>
        <v>No</v>
      </c>
      <c r="G965" t="str">
        <f>VLOOKUP(A965,Medical_Examinations[],6,FALSE)</f>
        <v>No</v>
      </c>
      <c r="H965">
        <f>VLOOKUP(A965,Medical_Examinations[],7,FALSE)</f>
        <v>2</v>
      </c>
      <c r="I965" t="str">
        <f>VLOOKUP(A965,Medical_Examinations[],8,FALSE)</f>
        <v>No</v>
      </c>
      <c r="J965" t="str">
        <f>VLOOKUP(A965,Medical_Examinations[],9,FALSE)</f>
        <v>Overweight</v>
      </c>
      <c r="K965" t="str">
        <f>VLOOKUP(A965,Medical_Examinations[],10,FALSE)</f>
        <v>Normal</v>
      </c>
      <c r="M965">
        <f>VLOOKUP(A965,Hospitalisation_Details__2[],4,FALSE)</f>
        <v>11478.14</v>
      </c>
      <c r="N965" t="str">
        <f>VLOOKUP(A965,Hospitalisation_Details__2[],5,FALSE)</f>
        <v>tier - 3</v>
      </c>
      <c r="O965" t="str">
        <f>VLOOKUP(A965,Hospitalisation_Details__2[],6,FALSE)</f>
        <v>tier - 2</v>
      </c>
      <c r="P965" t="str">
        <f>VLOOKUP(A965,Hospitalisation_Details__2[],7,FALSE)</f>
        <v>R1025</v>
      </c>
    </row>
    <row r="966" spans="1:16" x14ac:dyDescent="0.35">
      <c r="A966" t="str">
        <v>Id965</v>
      </c>
      <c r="B966" t="str">
        <f>VLOOKUP(A966,'Customer Names (2)'!A:B, 2,FALSE)</f>
        <v>Ms</v>
      </c>
      <c r="C966">
        <f>VLOOKUP(A966,Medical_Examinations[],2,FALSE)</f>
        <v>28.7</v>
      </c>
      <c r="D966">
        <f>VLOOKUP(A966,Medical_Examinations[],3,FALSE)</f>
        <v>7.74</v>
      </c>
      <c r="E966" t="str">
        <f>VLOOKUP(A966,Medical_Examinations[],4,FALSE)</f>
        <v>No</v>
      </c>
      <c r="F966" t="str">
        <f>VLOOKUP(A966,Medical_Examinations[],5,FALSE)</f>
        <v>No</v>
      </c>
      <c r="G966" t="str">
        <f>VLOOKUP(A966,Medical_Examinations[],6,FALSE)</f>
        <v>No</v>
      </c>
      <c r="H966">
        <f>VLOOKUP(A966,Medical_Examinations[],7,FALSE)</f>
        <v>0</v>
      </c>
      <c r="I966" t="str">
        <f>VLOOKUP(A966,Medical_Examinations[],8,FALSE)</f>
        <v>No</v>
      </c>
      <c r="J966" t="str">
        <f>VLOOKUP(A966,Medical_Examinations[],9,FALSE)</f>
        <v>Overweight</v>
      </c>
      <c r="K966" t="str">
        <f>VLOOKUP(A966,Medical_Examinations[],10,FALSE)</f>
        <v>Diabetes</v>
      </c>
      <c r="M966">
        <f>VLOOKUP(A966,Hospitalisation_Details__2[],4,FALSE)</f>
        <v>11455.28</v>
      </c>
      <c r="N966" t="str">
        <f>VLOOKUP(A966,Hospitalisation_Details__2[],5,FALSE)</f>
        <v>tier - 3</v>
      </c>
      <c r="O966" t="str">
        <f>VLOOKUP(A966,Hospitalisation_Details__2[],6,FALSE)</f>
        <v>tier - 2</v>
      </c>
      <c r="P966" t="str">
        <f>VLOOKUP(A966,Hospitalisation_Details__2[],7,FALSE)</f>
        <v>R1011</v>
      </c>
    </row>
    <row r="967" spans="1:16" x14ac:dyDescent="0.35">
      <c r="A967" t="str">
        <v>Id966</v>
      </c>
      <c r="B967" t="str">
        <f>VLOOKUP(A967,'Customer Names (2)'!A:B, 2,FALSE)</f>
        <v>Ms</v>
      </c>
      <c r="C967">
        <f>VLOOKUP(A967,Medical_Examinations[],2,FALSE)</f>
        <v>25.65</v>
      </c>
      <c r="D967">
        <f>VLOOKUP(A967,Medical_Examinations[],3,FALSE)</f>
        <v>4.05</v>
      </c>
      <c r="E967" t="str">
        <f>VLOOKUP(A967,Medical_Examinations[],4,FALSE)</f>
        <v>Yes</v>
      </c>
      <c r="F967" t="str">
        <f>VLOOKUP(A967,Medical_Examinations[],5,FALSE)</f>
        <v>No</v>
      </c>
      <c r="G967" t="str">
        <f>VLOOKUP(A967,Medical_Examinations[],6,FALSE)</f>
        <v>No</v>
      </c>
      <c r="H967">
        <f>VLOOKUP(A967,Medical_Examinations[],7,FALSE)</f>
        <v>2</v>
      </c>
      <c r="I967" t="str">
        <f>VLOOKUP(A967,Medical_Examinations[],8,FALSE)</f>
        <v>No</v>
      </c>
      <c r="J967" t="str">
        <f>VLOOKUP(A967,Medical_Examinations[],9,FALSE)</f>
        <v>Overweight</v>
      </c>
      <c r="K967" t="str">
        <f>VLOOKUP(A967,Medical_Examinations[],10,FALSE)</f>
        <v>Normal</v>
      </c>
      <c r="M967">
        <f>VLOOKUP(A967,Hospitalisation_Details__2[],4,FALSE)</f>
        <v>11454.02</v>
      </c>
      <c r="N967" t="str">
        <f>VLOOKUP(A967,Hospitalisation_Details__2[],5,FALSE)</f>
        <v>tier - 3</v>
      </c>
      <c r="O967" t="str">
        <f>VLOOKUP(A967,Hospitalisation_Details__2[],6,FALSE)</f>
        <v>tier - 1</v>
      </c>
      <c r="P967" t="str">
        <f>VLOOKUP(A967,Hospitalisation_Details__2[],7,FALSE)</f>
        <v>R1012</v>
      </c>
    </row>
    <row r="968" spans="1:16" x14ac:dyDescent="0.35">
      <c r="A968" t="str">
        <v>Id967</v>
      </c>
      <c r="B968" t="str">
        <f>VLOOKUP(A968,'Customer Names (2)'!A:B, 2,FALSE)</f>
        <v>Ms</v>
      </c>
      <c r="C968">
        <f>VLOOKUP(A968,Medical_Examinations[],2,FALSE)</f>
        <v>36.384999999999998</v>
      </c>
      <c r="D968">
        <f>VLOOKUP(A968,Medical_Examinations[],3,FALSE)</f>
        <v>11.49</v>
      </c>
      <c r="E968" t="str">
        <f>VLOOKUP(A968,Medical_Examinations[],4,FALSE)</f>
        <v>No</v>
      </c>
      <c r="F968" t="str">
        <f>VLOOKUP(A968,Medical_Examinations[],5,FALSE)</f>
        <v>No</v>
      </c>
      <c r="G968" t="str">
        <f>VLOOKUP(A968,Medical_Examinations[],6,FALSE)</f>
        <v>No</v>
      </c>
      <c r="H968">
        <f>VLOOKUP(A968,Medical_Examinations[],7,FALSE)</f>
        <v>0</v>
      </c>
      <c r="I968" t="str">
        <f>VLOOKUP(A968,Medical_Examinations[],8,FALSE)</f>
        <v>No</v>
      </c>
      <c r="J968" t="str">
        <f>VLOOKUP(A968,Medical_Examinations[],9,FALSE)</f>
        <v>Obesity</v>
      </c>
      <c r="K968" t="str">
        <f>VLOOKUP(A968,Medical_Examinations[],10,FALSE)</f>
        <v>Diabetes</v>
      </c>
      <c r="M968">
        <f>VLOOKUP(A968,Hospitalisation_Details__2[],4,FALSE)</f>
        <v>11436.74</v>
      </c>
      <c r="N968" t="str">
        <f>VLOOKUP(A968,Hospitalisation_Details__2[],5,FALSE)</f>
        <v>tier - 3</v>
      </c>
      <c r="O968" t="str">
        <f>VLOOKUP(A968,Hospitalisation_Details__2[],6,FALSE)</f>
        <v>tier - 3</v>
      </c>
      <c r="P968" t="str">
        <f>VLOOKUP(A968,Hospitalisation_Details__2[],7,FALSE)</f>
        <v>R1012</v>
      </c>
    </row>
    <row r="969" spans="1:16" x14ac:dyDescent="0.35">
      <c r="A969" t="str">
        <v>Id968</v>
      </c>
      <c r="B969" t="str">
        <f>VLOOKUP(A969,'Customer Names (2)'!A:B, 2,FALSE)</f>
        <v>Mr</v>
      </c>
      <c r="C969">
        <f>VLOOKUP(A969,Medical_Examinations[],2,FALSE)</f>
        <v>34.69</v>
      </c>
      <c r="D969">
        <f>VLOOKUP(A969,Medical_Examinations[],3,FALSE)</f>
        <v>5.65</v>
      </c>
      <c r="E969" t="str">
        <f>VLOOKUP(A969,Medical_Examinations[],4,FALSE)</f>
        <v>No</v>
      </c>
      <c r="F969" t="str">
        <f>VLOOKUP(A969,Medical_Examinations[],5,FALSE)</f>
        <v>No</v>
      </c>
      <c r="G969" t="str">
        <f>VLOOKUP(A969,Medical_Examinations[],6,FALSE)</f>
        <v>No</v>
      </c>
      <c r="H969">
        <f>VLOOKUP(A969,Medical_Examinations[],7,FALSE)</f>
        <v>0</v>
      </c>
      <c r="I969" t="str">
        <f>VLOOKUP(A969,Medical_Examinations[],8,FALSE)</f>
        <v>No</v>
      </c>
      <c r="J969" t="str">
        <f>VLOOKUP(A969,Medical_Examinations[],9,FALSE)</f>
        <v>Obesity</v>
      </c>
      <c r="K969" t="str">
        <f>VLOOKUP(A969,Medical_Examinations[],10,FALSE)</f>
        <v>Normal</v>
      </c>
      <c r="M969">
        <f>VLOOKUP(A969,Hospitalisation_Details__2[],4,FALSE)</f>
        <v>11435.74</v>
      </c>
      <c r="N969" t="str">
        <f>VLOOKUP(A969,Hospitalisation_Details__2[],5,FALSE)</f>
        <v>tier - 3</v>
      </c>
      <c r="O969" t="str">
        <f>VLOOKUP(A969,Hospitalisation_Details__2[],6,FALSE)</f>
        <v>tier - 3</v>
      </c>
      <c r="P969" t="str">
        <f>VLOOKUP(A969,Hospitalisation_Details__2[],7,FALSE)</f>
        <v>R1021</v>
      </c>
    </row>
    <row r="970" spans="1:16" x14ac:dyDescent="0.35">
      <c r="A970" t="str">
        <v>Id969</v>
      </c>
      <c r="B970" t="str">
        <f>VLOOKUP(A970,'Customer Names (2)'!A:B, 2,FALSE)</f>
        <v>Ms</v>
      </c>
      <c r="C970">
        <f>VLOOKUP(A970,Medical_Examinations[],2,FALSE)</f>
        <v>37.68</v>
      </c>
      <c r="D970">
        <f>VLOOKUP(A970,Medical_Examinations[],3,FALSE)</f>
        <v>4.29</v>
      </c>
      <c r="E970" t="str">
        <f>VLOOKUP(A970,Medical_Examinations[],4,FALSE)</f>
        <v>Yes</v>
      </c>
      <c r="F970" t="str">
        <f>VLOOKUP(A970,Medical_Examinations[],5,FALSE)</f>
        <v>No</v>
      </c>
      <c r="G970" t="str">
        <f>VLOOKUP(A970,Medical_Examinations[],6,FALSE)</f>
        <v>No</v>
      </c>
      <c r="H970">
        <f>VLOOKUP(A970,Medical_Examinations[],7,FALSE)</f>
        <v>0</v>
      </c>
      <c r="I970" t="str">
        <f>VLOOKUP(A970,Medical_Examinations[],8,FALSE)</f>
        <v>No</v>
      </c>
      <c r="J970" t="str">
        <f>VLOOKUP(A970,Medical_Examinations[],9,FALSE)</f>
        <v>Obesity</v>
      </c>
      <c r="K970" t="str">
        <f>VLOOKUP(A970,Medical_Examinations[],10,FALSE)</f>
        <v>Normal</v>
      </c>
      <c r="M970">
        <f>VLOOKUP(A970,Hospitalisation_Details__2[],4,FALSE)</f>
        <v>11419.49</v>
      </c>
      <c r="N970" t="str">
        <f>VLOOKUP(A970,Hospitalisation_Details__2[],5,FALSE)</f>
        <v>tier - 3</v>
      </c>
      <c r="O970" t="str">
        <f>VLOOKUP(A970,Hospitalisation_Details__2[],6,FALSE)</f>
        <v>tier - 1</v>
      </c>
      <c r="P970" t="str">
        <f>VLOOKUP(A970,Hospitalisation_Details__2[],7,FALSE)</f>
        <v>R1012</v>
      </c>
    </row>
    <row r="971" spans="1:16" x14ac:dyDescent="0.35">
      <c r="A971" t="str">
        <v>Id970</v>
      </c>
      <c r="B971" t="str">
        <f>VLOOKUP(A971,'Customer Names (2)'!A:B, 2,FALSE)</f>
        <v>Mr</v>
      </c>
      <c r="C971">
        <f>VLOOKUP(A971,Medical_Examinations[],2,FALSE)</f>
        <v>35.49</v>
      </c>
      <c r="D971">
        <f>VLOOKUP(A971,Medical_Examinations[],3,FALSE)</f>
        <v>4.74</v>
      </c>
      <c r="E971" t="str">
        <f>VLOOKUP(A971,Medical_Examinations[],4,FALSE)</f>
        <v>Yes</v>
      </c>
      <c r="F971" t="str">
        <f>VLOOKUP(A971,Medical_Examinations[],5,FALSE)</f>
        <v>No</v>
      </c>
      <c r="G971" t="str">
        <f>VLOOKUP(A971,Medical_Examinations[],6,FALSE)</f>
        <v>Yes</v>
      </c>
      <c r="H971">
        <f>VLOOKUP(A971,Medical_Examinations[],7,FALSE)</f>
        <v>1</v>
      </c>
      <c r="I971" t="str">
        <f>VLOOKUP(A971,Medical_Examinations[],8,FALSE)</f>
        <v>No</v>
      </c>
      <c r="J971" t="str">
        <f>VLOOKUP(A971,Medical_Examinations[],9,FALSE)</f>
        <v>Obesity</v>
      </c>
      <c r="K971" t="str">
        <f>VLOOKUP(A971,Medical_Examinations[],10,FALSE)</f>
        <v>Normal</v>
      </c>
      <c r="M971">
        <f>VLOOKUP(A971,Hospitalisation_Details__2[],4,FALSE)</f>
        <v>11412.02</v>
      </c>
      <c r="N971" t="str">
        <f>VLOOKUP(A971,Hospitalisation_Details__2[],5,FALSE)</f>
        <v>tier - 3</v>
      </c>
      <c r="O971" t="str">
        <f>VLOOKUP(A971,Hospitalisation_Details__2[],6,FALSE)</f>
        <v>tier - 1</v>
      </c>
      <c r="P971" t="str">
        <f>VLOOKUP(A971,Hospitalisation_Details__2[],7,FALSE)</f>
        <v>R1021</v>
      </c>
    </row>
    <row r="972" spans="1:16" x14ac:dyDescent="0.35">
      <c r="A972" t="str">
        <v>Id971</v>
      </c>
      <c r="B972" t="str">
        <f>VLOOKUP(A972,'Customer Names (2)'!A:B, 2,FALSE)</f>
        <v>Ms</v>
      </c>
      <c r="C972">
        <f>VLOOKUP(A972,Medical_Examinations[],2,FALSE)</f>
        <v>44.7</v>
      </c>
      <c r="D972">
        <f>VLOOKUP(A972,Medical_Examinations[],3,FALSE)</f>
        <v>7.6</v>
      </c>
      <c r="E972" t="str">
        <f>VLOOKUP(A972,Medical_Examinations[],4,FALSE)</f>
        <v>Yes</v>
      </c>
      <c r="F972" t="str">
        <f>VLOOKUP(A972,Medical_Examinations[],5,FALSE)</f>
        <v>No</v>
      </c>
      <c r="G972" t="str">
        <f>VLOOKUP(A972,Medical_Examinations[],6,FALSE)</f>
        <v>No</v>
      </c>
      <c r="H972">
        <f>VLOOKUP(A972,Medical_Examinations[],7,FALSE)</f>
        <v>2</v>
      </c>
      <c r="I972" t="str">
        <f>VLOOKUP(A972,Medical_Examinations[],8,FALSE)</f>
        <v>No</v>
      </c>
      <c r="J972" t="str">
        <f>VLOOKUP(A972,Medical_Examinations[],9,FALSE)</f>
        <v>Obesity</v>
      </c>
      <c r="K972" t="str">
        <f>VLOOKUP(A972,Medical_Examinations[],10,FALSE)</f>
        <v>Diabetes</v>
      </c>
      <c r="M972">
        <f>VLOOKUP(A972,Hospitalisation_Details__2[],4,FALSE)</f>
        <v>11411.69</v>
      </c>
      <c r="N972" t="str">
        <f>VLOOKUP(A972,Hospitalisation_Details__2[],5,FALSE)</f>
        <v>tier - 3</v>
      </c>
      <c r="O972" t="str">
        <f>VLOOKUP(A972,Hospitalisation_Details__2[],6,FALSE)</f>
        <v>tier - 2</v>
      </c>
      <c r="P972" t="str">
        <f>VLOOKUP(A972,Hospitalisation_Details__2[],7,FALSE)</f>
        <v>R1011</v>
      </c>
    </row>
    <row r="973" spans="1:16" x14ac:dyDescent="0.35">
      <c r="A973" t="str">
        <v>Id972</v>
      </c>
      <c r="B973" t="str">
        <f>VLOOKUP(A973,'Customer Names (2)'!A:B, 2,FALSE)</f>
        <v>Ms</v>
      </c>
      <c r="C973">
        <f>VLOOKUP(A973,Medical_Examinations[],2,FALSE)</f>
        <v>38.380000000000003</v>
      </c>
      <c r="D973">
        <f>VLOOKUP(A973,Medical_Examinations[],3,FALSE)</f>
        <v>8.5</v>
      </c>
      <c r="E973" t="str">
        <f>VLOOKUP(A973,Medical_Examinations[],4,FALSE)</f>
        <v>Yes</v>
      </c>
      <c r="F973" t="str">
        <f>VLOOKUP(A973,Medical_Examinations[],5,FALSE)</f>
        <v>No</v>
      </c>
      <c r="G973" t="str">
        <f>VLOOKUP(A973,Medical_Examinations[],6,FALSE)</f>
        <v>No</v>
      </c>
      <c r="H973">
        <f>VLOOKUP(A973,Medical_Examinations[],7,FALSE)</f>
        <v>2</v>
      </c>
      <c r="I973" t="str">
        <f>VLOOKUP(A973,Medical_Examinations[],8,FALSE)</f>
        <v>No</v>
      </c>
      <c r="J973" t="str">
        <f>VLOOKUP(A973,Medical_Examinations[],9,FALSE)</f>
        <v>Obesity</v>
      </c>
      <c r="K973" t="str">
        <f>VLOOKUP(A973,Medical_Examinations[],10,FALSE)</f>
        <v>Diabetes</v>
      </c>
      <c r="M973">
        <f>VLOOKUP(A973,Hospitalisation_Details__2[],4,FALSE)</f>
        <v>11396.9</v>
      </c>
      <c r="N973" t="str">
        <f>VLOOKUP(A973,Hospitalisation_Details__2[],5,FALSE)</f>
        <v>tier - 3</v>
      </c>
      <c r="O973" t="str">
        <f>VLOOKUP(A973,Hospitalisation_Details__2[],6,FALSE)</f>
        <v>tier - 3</v>
      </c>
      <c r="P973" t="str">
        <f>VLOOKUP(A973,Hospitalisation_Details__2[],7,FALSE)</f>
        <v>R1024</v>
      </c>
    </row>
    <row r="974" spans="1:16" x14ac:dyDescent="0.35">
      <c r="A974" t="str">
        <v>Id973</v>
      </c>
      <c r="B974" t="str">
        <f>VLOOKUP(A974,'Customer Names (2)'!A:B, 2,FALSE)</f>
        <v>Mr</v>
      </c>
      <c r="C974">
        <f>VLOOKUP(A974,Medical_Examinations[],2,FALSE)</f>
        <v>35.244999999999997</v>
      </c>
      <c r="D974">
        <f>VLOOKUP(A974,Medical_Examinations[],3,FALSE)</f>
        <v>11.22</v>
      </c>
      <c r="E974" t="str">
        <f>VLOOKUP(A974,Medical_Examinations[],4,FALSE)</f>
        <v>Yes</v>
      </c>
      <c r="F974" t="str">
        <f>VLOOKUP(A974,Medical_Examinations[],5,FALSE)</f>
        <v>No</v>
      </c>
      <c r="G974" t="str">
        <f>VLOOKUP(A974,Medical_Examinations[],6,FALSE)</f>
        <v>No</v>
      </c>
      <c r="H974">
        <f>VLOOKUP(A974,Medical_Examinations[],7,FALSE)</f>
        <v>0</v>
      </c>
      <c r="I974" t="str">
        <f>VLOOKUP(A974,Medical_Examinations[],8,FALSE)</f>
        <v>No</v>
      </c>
      <c r="J974" t="str">
        <f>VLOOKUP(A974,Medical_Examinations[],9,FALSE)</f>
        <v>Obesity</v>
      </c>
      <c r="K974" t="str">
        <f>VLOOKUP(A974,Medical_Examinations[],10,FALSE)</f>
        <v>Diabetes</v>
      </c>
      <c r="M974">
        <f>VLOOKUP(A974,Hospitalisation_Details__2[],4,FALSE)</f>
        <v>11394.07</v>
      </c>
      <c r="N974" t="str">
        <f>VLOOKUP(A974,Hospitalisation_Details__2[],5,FALSE)</f>
        <v>tier - 3</v>
      </c>
      <c r="O974" t="str">
        <f>VLOOKUP(A974,Hospitalisation_Details__2[],6,FALSE)</f>
        <v>tier - 1</v>
      </c>
      <c r="P974" t="str">
        <f>VLOOKUP(A974,Hospitalisation_Details__2[],7,FALSE)</f>
        <v>R1018</v>
      </c>
    </row>
    <row r="975" spans="1:16" x14ac:dyDescent="0.35">
      <c r="A975" t="str">
        <v>Id974</v>
      </c>
      <c r="B975" t="str">
        <f>VLOOKUP(A975,'Customer Names (2)'!A:B, 2,FALSE)</f>
        <v>Mrs</v>
      </c>
      <c r="C975">
        <f>VLOOKUP(A975,Medical_Examinations[],2,FALSE)</f>
        <v>49.84</v>
      </c>
      <c r="D975">
        <f>VLOOKUP(A975,Medical_Examinations[],3,FALSE)</f>
        <v>5.0999999999999996</v>
      </c>
      <c r="E975" t="str">
        <f>VLOOKUP(A975,Medical_Examinations[],4,FALSE)</f>
        <v>Yes</v>
      </c>
      <c r="F975" t="str">
        <f>VLOOKUP(A975,Medical_Examinations[],5,FALSE)</f>
        <v>No</v>
      </c>
      <c r="G975" t="str">
        <f>VLOOKUP(A975,Medical_Examinations[],6,FALSE)</f>
        <v>Yes</v>
      </c>
      <c r="H975">
        <f>VLOOKUP(A975,Medical_Examinations[],7,FALSE)</f>
        <v>1</v>
      </c>
      <c r="I975" t="str">
        <f>VLOOKUP(A975,Medical_Examinations[],8,FALSE)</f>
        <v>No</v>
      </c>
      <c r="J975" t="str">
        <f>VLOOKUP(A975,Medical_Examinations[],9,FALSE)</f>
        <v>Obesity</v>
      </c>
      <c r="K975" t="str">
        <f>VLOOKUP(A975,Medical_Examinations[],10,FALSE)</f>
        <v>Normal</v>
      </c>
      <c r="M975">
        <f>VLOOKUP(A975,Hospitalisation_Details__2[],4,FALSE)</f>
        <v>11388.27</v>
      </c>
      <c r="N975" t="str">
        <f>VLOOKUP(A975,Hospitalisation_Details__2[],5,FALSE)</f>
        <v>tier - 3</v>
      </c>
      <c r="O975" t="str">
        <f>VLOOKUP(A975,Hospitalisation_Details__2[],6,FALSE)</f>
        <v>tier - 2</v>
      </c>
      <c r="P975" t="str">
        <f>VLOOKUP(A975,Hospitalisation_Details__2[],7,FALSE)</f>
        <v>R1026</v>
      </c>
    </row>
    <row r="976" spans="1:16" x14ac:dyDescent="0.35">
      <c r="A976" t="str">
        <v>Id975</v>
      </c>
      <c r="B976" t="str">
        <f>VLOOKUP(A976,'Customer Names (2)'!A:B, 2,FALSE)</f>
        <v>Mr</v>
      </c>
      <c r="C976">
        <f>VLOOKUP(A976,Medical_Examinations[],2,FALSE)</f>
        <v>49.06</v>
      </c>
      <c r="D976">
        <f>VLOOKUP(A976,Medical_Examinations[],3,FALSE)</f>
        <v>5.43</v>
      </c>
      <c r="E976" t="str">
        <f>VLOOKUP(A976,Medical_Examinations[],4,FALSE)</f>
        <v>Yes</v>
      </c>
      <c r="F976" t="str">
        <f>VLOOKUP(A976,Medical_Examinations[],5,FALSE)</f>
        <v>No</v>
      </c>
      <c r="G976" t="str">
        <f>VLOOKUP(A976,Medical_Examinations[],6,FALSE)</f>
        <v>No</v>
      </c>
      <c r="H976">
        <f>VLOOKUP(A976,Medical_Examinations[],7,FALSE)</f>
        <v>1</v>
      </c>
      <c r="I976" t="str">
        <f>VLOOKUP(A976,Medical_Examinations[],8,FALSE)</f>
        <v>No</v>
      </c>
      <c r="J976" t="str">
        <f>VLOOKUP(A976,Medical_Examinations[],9,FALSE)</f>
        <v>Obesity</v>
      </c>
      <c r="K976" t="str">
        <f>VLOOKUP(A976,Medical_Examinations[],10,FALSE)</f>
        <v>Normal</v>
      </c>
      <c r="M976">
        <f>VLOOKUP(A976,Hospitalisation_Details__2[],4,FALSE)</f>
        <v>11381.33</v>
      </c>
      <c r="N976" t="str">
        <f>VLOOKUP(A976,Hospitalisation_Details__2[],5,FALSE)</f>
        <v>tier - 3</v>
      </c>
      <c r="O976" t="str">
        <f>VLOOKUP(A976,Hospitalisation_Details__2[],6,FALSE)</f>
        <v>tier - 2</v>
      </c>
      <c r="P976" t="str">
        <f>VLOOKUP(A976,Hospitalisation_Details__2[],7,FALSE)</f>
        <v>R1013</v>
      </c>
    </row>
    <row r="977" spans="1:16" x14ac:dyDescent="0.35">
      <c r="A977" t="str">
        <v>Id976</v>
      </c>
      <c r="B977" t="str">
        <f>VLOOKUP(A977,'Customer Names (2)'!A:B, 2,FALSE)</f>
        <v>Mrs</v>
      </c>
      <c r="C977">
        <f>VLOOKUP(A977,Medical_Examinations[],2,FALSE)</f>
        <v>30.88</v>
      </c>
      <c r="D977">
        <f>VLOOKUP(A977,Medical_Examinations[],3,FALSE)</f>
        <v>5.82</v>
      </c>
      <c r="E977" t="str">
        <f>VLOOKUP(A977,Medical_Examinations[],4,FALSE)</f>
        <v>No</v>
      </c>
      <c r="F977" t="str">
        <f>VLOOKUP(A977,Medical_Examinations[],5,FALSE)</f>
        <v>No</v>
      </c>
      <c r="G977" t="str">
        <f>VLOOKUP(A977,Medical_Examinations[],6,FALSE)</f>
        <v>No</v>
      </c>
      <c r="H977">
        <f>VLOOKUP(A977,Medical_Examinations[],7,FALSE)</f>
        <v>2</v>
      </c>
      <c r="I977" t="str">
        <f>VLOOKUP(A977,Medical_Examinations[],8,FALSE)</f>
        <v>No</v>
      </c>
      <c r="J977" t="str">
        <f>VLOOKUP(A977,Medical_Examinations[],9,FALSE)</f>
        <v>Obesity</v>
      </c>
      <c r="K977" t="str">
        <f>VLOOKUP(A977,Medical_Examinations[],10,FALSE)</f>
        <v>Prediabetes</v>
      </c>
      <c r="M977">
        <f>VLOOKUP(A977,Hospitalisation_Details__2[],4,FALSE)</f>
        <v>11378.57</v>
      </c>
      <c r="N977" t="str">
        <f>VLOOKUP(A977,Hospitalisation_Details__2[],5,FALSE)</f>
        <v>tier - 3</v>
      </c>
      <c r="O977" t="str">
        <f>VLOOKUP(A977,Hospitalisation_Details__2[],6,FALSE)</f>
        <v>tier - 2</v>
      </c>
      <c r="P977" t="str">
        <f>VLOOKUP(A977,Hospitalisation_Details__2[],7,FALSE)</f>
        <v>R1025</v>
      </c>
    </row>
    <row r="978" spans="1:16" x14ac:dyDescent="0.35">
      <c r="A978" t="str">
        <v>Id977</v>
      </c>
      <c r="B978" t="str">
        <f>VLOOKUP(A978,'Customer Names (2)'!A:B, 2,FALSE)</f>
        <v>Mrs</v>
      </c>
      <c r="C978">
        <f>VLOOKUP(A978,Medical_Examinations[],2,FALSE)</f>
        <v>33.35</v>
      </c>
      <c r="D978">
        <f>VLOOKUP(A978,Medical_Examinations[],3,FALSE)</f>
        <v>6.05</v>
      </c>
      <c r="E978" t="str">
        <f>VLOOKUP(A978,Medical_Examinations[],4,FALSE)</f>
        <v>No</v>
      </c>
      <c r="F978" t="str">
        <f>VLOOKUP(A978,Medical_Examinations[],5,FALSE)</f>
        <v>No</v>
      </c>
      <c r="G978" t="str">
        <f>VLOOKUP(A978,Medical_Examinations[],6,FALSE)</f>
        <v>Yes</v>
      </c>
      <c r="H978">
        <f>VLOOKUP(A978,Medical_Examinations[],7,FALSE)</f>
        <v>1</v>
      </c>
      <c r="I978" t="str">
        <f>VLOOKUP(A978,Medical_Examinations[],8,FALSE)</f>
        <v>No</v>
      </c>
      <c r="J978" t="str">
        <f>VLOOKUP(A978,Medical_Examinations[],9,FALSE)</f>
        <v>Obesity</v>
      </c>
      <c r="K978" t="str">
        <f>VLOOKUP(A978,Medical_Examinations[],10,FALSE)</f>
        <v>Prediabetes</v>
      </c>
      <c r="M978">
        <f>VLOOKUP(A978,Hospitalisation_Details__2[],4,FALSE)</f>
        <v>11369.39</v>
      </c>
      <c r="N978" t="str">
        <f>VLOOKUP(A978,Hospitalisation_Details__2[],5,FALSE)</f>
        <v>tier - 3</v>
      </c>
      <c r="O978" t="str">
        <f>VLOOKUP(A978,Hospitalisation_Details__2[],6,FALSE)</f>
        <v>tier - 1</v>
      </c>
      <c r="P978" t="str">
        <f>VLOOKUP(A978,Hospitalisation_Details__2[],7,FALSE)</f>
        <v>R1026</v>
      </c>
    </row>
    <row r="979" spans="1:16" x14ac:dyDescent="0.35">
      <c r="A979" t="str">
        <v>Id978</v>
      </c>
      <c r="B979" t="str">
        <f>VLOOKUP(A979,'Customer Names (2)'!A:B, 2,FALSE)</f>
        <v>Mr</v>
      </c>
      <c r="C979">
        <f>VLOOKUP(A979,Medical_Examinations[],2,FALSE)</f>
        <v>38</v>
      </c>
      <c r="D979">
        <f>VLOOKUP(A979,Medical_Examinations[],3,FALSE)</f>
        <v>6.38</v>
      </c>
      <c r="E979" t="str">
        <f>VLOOKUP(A979,Medical_Examinations[],4,FALSE)</f>
        <v>Yes</v>
      </c>
      <c r="F979" t="str">
        <f>VLOOKUP(A979,Medical_Examinations[],5,FALSE)</f>
        <v>No</v>
      </c>
      <c r="G979" t="str">
        <f>VLOOKUP(A979,Medical_Examinations[],6,FALSE)</f>
        <v>No</v>
      </c>
      <c r="H979">
        <f>VLOOKUP(A979,Medical_Examinations[],7,FALSE)</f>
        <v>1</v>
      </c>
      <c r="I979" t="str">
        <f>VLOOKUP(A979,Medical_Examinations[],8,FALSE)</f>
        <v>No</v>
      </c>
      <c r="J979" t="str">
        <f>VLOOKUP(A979,Medical_Examinations[],9,FALSE)</f>
        <v>Obesity</v>
      </c>
      <c r="K979" t="str">
        <f>VLOOKUP(A979,Medical_Examinations[],10,FALSE)</f>
        <v>Prediabetes</v>
      </c>
      <c r="M979">
        <f>VLOOKUP(A979,Hospitalisation_Details__2[],4,FALSE)</f>
        <v>11365.95</v>
      </c>
      <c r="N979" t="str">
        <f>VLOOKUP(A979,Hospitalisation_Details__2[],5,FALSE)</f>
        <v>tier - 3</v>
      </c>
      <c r="O979" t="str">
        <f>VLOOKUP(A979,Hospitalisation_Details__2[],6,FALSE)</f>
        <v>tier - 2</v>
      </c>
      <c r="P979" t="str">
        <f>VLOOKUP(A979,Hospitalisation_Details__2[],7,FALSE)</f>
        <v>R1011</v>
      </c>
    </row>
    <row r="980" spans="1:16" x14ac:dyDescent="0.35">
      <c r="A980" t="str">
        <v>Id979</v>
      </c>
      <c r="B980" t="str">
        <f>VLOOKUP(A980,'Customer Names (2)'!A:B, 2,FALSE)</f>
        <v>Mr</v>
      </c>
      <c r="C980">
        <f>VLOOKUP(A980,Medical_Examinations[],2,FALSE)</f>
        <v>36.08</v>
      </c>
      <c r="D980">
        <f>VLOOKUP(A980,Medical_Examinations[],3,FALSE)</f>
        <v>5.73</v>
      </c>
      <c r="E980" t="str">
        <f>VLOOKUP(A980,Medical_Examinations[],4,FALSE)</f>
        <v>Yes</v>
      </c>
      <c r="F980" t="str">
        <f>VLOOKUP(A980,Medical_Examinations[],5,FALSE)</f>
        <v>No</v>
      </c>
      <c r="G980" t="str">
        <f>VLOOKUP(A980,Medical_Examinations[],6,FALSE)</f>
        <v>No</v>
      </c>
      <c r="H980">
        <f>VLOOKUP(A980,Medical_Examinations[],7,FALSE)</f>
        <v>1</v>
      </c>
      <c r="I980" t="str">
        <f>VLOOKUP(A980,Medical_Examinations[],8,FALSE)</f>
        <v>No</v>
      </c>
      <c r="J980" t="str">
        <f>VLOOKUP(A980,Medical_Examinations[],9,FALSE)</f>
        <v>Obesity</v>
      </c>
      <c r="K980" t="str">
        <f>VLOOKUP(A980,Medical_Examinations[],10,FALSE)</f>
        <v>Prediabetes</v>
      </c>
      <c r="M980">
        <f>VLOOKUP(A980,Hospitalisation_Details__2[],4,FALSE)</f>
        <v>11363.28</v>
      </c>
      <c r="N980" t="str">
        <f>VLOOKUP(A980,Hospitalisation_Details__2[],5,FALSE)</f>
        <v>tier - 3</v>
      </c>
      <c r="O980" t="str">
        <f>VLOOKUP(A980,Hospitalisation_Details__2[],6,FALSE)</f>
        <v>tier - 1</v>
      </c>
      <c r="P980" t="str">
        <f>VLOOKUP(A980,Hospitalisation_Details__2[],7,FALSE)</f>
        <v>R1013</v>
      </c>
    </row>
    <row r="981" spans="1:16" x14ac:dyDescent="0.35">
      <c r="A981" t="str">
        <v>Id980</v>
      </c>
      <c r="B981" t="str">
        <f>VLOOKUP(A981,'Customer Names (2)'!A:B, 2,FALSE)</f>
        <v>Mr</v>
      </c>
      <c r="C981">
        <f>VLOOKUP(A981,Medical_Examinations[],2,FALSE)</f>
        <v>35.700000000000003</v>
      </c>
      <c r="D981">
        <f>VLOOKUP(A981,Medical_Examinations[],3,FALSE)</f>
        <v>5.47</v>
      </c>
      <c r="E981" t="str">
        <f>VLOOKUP(A981,Medical_Examinations[],4,FALSE)</f>
        <v>Yes</v>
      </c>
      <c r="F981" t="str">
        <f>VLOOKUP(A981,Medical_Examinations[],5,FALSE)</f>
        <v>No</v>
      </c>
      <c r="G981" t="str">
        <f>VLOOKUP(A981,Medical_Examinations[],6,FALSE)</f>
        <v>No</v>
      </c>
      <c r="H981">
        <f>VLOOKUP(A981,Medical_Examinations[],7,FALSE)</f>
        <v>1</v>
      </c>
      <c r="I981" t="str">
        <f>VLOOKUP(A981,Medical_Examinations[],8,FALSE)</f>
        <v>No</v>
      </c>
      <c r="J981" t="str">
        <f>VLOOKUP(A981,Medical_Examinations[],9,FALSE)</f>
        <v>Obesity</v>
      </c>
      <c r="K981" t="str">
        <f>VLOOKUP(A981,Medical_Examinations[],10,FALSE)</f>
        <v>Normal</v>
      </c>
      <c r="M981">
        <f>VLOOKUP(A981,Hospitalisation_Details__2[],4,FALSE)</f>
        <v>11362.76</v>
      </c>
      <c r="N981" t="str">
        <f>VLOOKUP(A981,Hospitalisation_Details__2[],5,FALSE)</f>
        <v>tier - 3</v>
      </c>
      <c r="O981" t="str">
        <f>VLOOKUP(A981,Hospitalisation_Details__2[],6,FALSE)</f>
        <v>tier - 1</v>
      </c>
      <c r="P981" t="str">
        <f>VLOOKUP(A981,Hospitalisation_Details__2[],7,FALSE)</f>
        <v>R1011</v>
      </c>
    </row>
    <row r="982" spans="1:16" x14ac:dyDescent="0.35">
      <c r="A982" t="str">
        <v>Id981</v>
      </c>
      <c r="B982" t="str">
        <f>VLOOKUP(A982,'Customer Names (2)'!A:B, 2,FALSE)</f>
        <v>Mr</v>
      </c>
      <c r="C982">
        <f>VLOOKUP(A982,Medical_Examinations[],2,FALSE)</f>
        <v>34.01</v>
      </c>
      <c r="D982">
        <f>VLOOKUP(A982,Medical_Examinations[],3,FALSE)</f>
        <v>11.3</v>
      </c>
      <c r="E982" t="str">
        <f>VLOOKUP(A982,Medical_Examinations[],4,FALSE)</f>
        <v>No</v>
      </c>
      <c r="F982" t="str">
        <f>VLOOKUP(A982,Medical_Examinations[],5,FALSE)</f>
        <v>No</v>
      </c>
      <c r="G982" t="str">
        <f>VLOOKUP(A982,Medical_Examinations[],6,FALSE)</f>
        <v>No</v>
      </c>
      <c r="H982">
        <f>VLOOKUP(A982,Medical_Examinations[],7,FALSE)</f>
        <v>0</v>
      </c>
      <c r="I982" t="str">
        <f>VLOOKUP(A982,Medical_Examinations[],8,FALSE)</f>
        <v>No</v>
      </c>
      <c r="J982" t="str">
        <f>VLOOKUP(A982,Medical_Examinations[],9,FALSE)</f>
        <v>Obesity</v>
      </c>
      <c r="K982" t="str">
        <f>VLOOKUP(A982,Medical_Examinations[],10,FALSE)</f>
        <v>Diabetes</v>
      </c>
      <c r="M982">
        <f>VLOOKUP(A982,Hospitalisation_Details__2[],4,FALSE)</f>
        <v>11356.66</v>
      </c>
      <c r="N982" t="str">
        <f>VLOOKUP(A982,Hospitalisation_Details__2[],5,FALSE)</f>
        <v>tier - 3</v>
      </c>
      <c r="O982" t="str">
        <f>VLOOKUP(A982,Hospitalisation_Details__2[],6,FALSE)</f>
        <v>tier - 3</v>
      </c>
      <c r="P982" t="str">
        <f>VLOOKUP(A982,Hospitalisation_Details__2[],7,FALSE)</f>
        <v>R1012</v>
      </c>
    </row>
    <row r="983" spans="1:16" x14ac:dyDescent="0.35">
      <c r="A983" t="str">
        <v>Id982</v>
      </c>
      <c r="B983" t="str">
        <f>VLOOKUP(A983,'Customer Names (2)'!A:B, 2,FALSE)</f>
        <v>Mr</v>
      </c>
      <c r="C983">
        <f>VLOOKUP(A983,Medical_Examinations[],2,FALSE)</f>
        <v>31.54</v>
      </c>
      <c r="D983">
        <f>VLOOKUP(A983,Medical_Examinations[],3,FALSE)</f>
        <v>6.72</v>
      </c>
      <c r="E983" t="str">
        <f>VLOOKUP(A983,Medical_Examinations[],4,FALSE)</f>
        <v>No</v>
      </c>
      <c r="F983" t="str">
        <f>VLOOKUP(A983,Medical_Examinations[],5,FALSE)</f>
        <v>No</v>
      </c>
      <c r="G983" t="str">
        <f>VLOOKUP(A983,Medical_Examinations[],6,FALSE)</f>
        <v>No</v>
      </c>
      <c r="H983">
        <f>VLOOKUP(A983,Medical_Examinations[],7,FALSE)</f>
        <v>0</v>
      </c>
      <c r="I983" t="str">
        <f>VLOOKUP(A983,Medical_Examinations[],8,FALSE)</f>
        <v>No</v>
      </c>
      <c r="J983" t="str">
        <f>VLOOKUP(A983,Medical_Examinations[],9,FALSE)</f>
        <v>Obesity</v>
      </c>
      <c r="K983" t="str">
        <f>VLOOKUP(A983,Medical_Examinations[],10,FALSE)</f>
        <v>Diabetes</v>
      </c>
      <c r="M983">
        <f>VLOOKUP(A983,Hospitalisation_Details__2[],4,FALSE)</f>
        <v>11353.23</v>
      </c>
      <c r="N983" t="str">
        <f>VLOOKUP(A983,Hospitalisation_Details__2[],5,FALSE)</f>
        <v>tier - 3</v>
      </c>
      <c r="O983" t="str">
        <f>VLOOKUP(A983,Hospitalisation_Details__2[],6,FALSE)</f>
        <v>tier - 1</v>
      </c>
      <c r="P983" t="str">
        <f>VLOOKUP(A983,Hospitalisation_Details__2[],7,FALSE)</f>
        <v>R1012</v>
      </c>
    </row>
    <row r="984" spans="1:16" x14ac:dyDescent="0.35">
      <c r="A984" t="str">
        <v>Id983</v>
      </c>
      <c r="B984" t="str">
        <f>VLOOKUP(A984,'Customer Names (2)'!A:B, 2,FALSE)</f>
        <v>Mr</v>
      </c>
      <c r="C984">
        <f>VLOOKUP(A984,Medical_Examinations[],2,FALSE)</f>
        <v>23.3</v>
      </c>
      <c r="D984">
        <f>VLOOKUP(A984,Medical_Examinations[],3,FALSE)</f>
        <v>5.36</v>
      </c>
      <c r="E984" t="str">
        <f>VLOOKUP(A984,Medical_Examinations[],4,FALSE)</f>
        <v>Yes</v>
      </c>
      <c r="F984" t="str">
        <f>VLOOKUP(A984,Medical_Examinations[],5,FALSE)</f>
        <v>No</v>
      </c>
      <c r="G984" t="str">
        <f>VLOOKUP(A984,Medical_Examinations[],6,FALSE)</f>
        <v>No</v>
      </c>
      <c r="H984">
        <f>VLOOKUP(A984,Medical_Examinations[],7,FALSE)</f>
        <v>1</v>
      </c>
      <c r="I984" t="str">
        <f>VLOOKUP(A984,Medical_Examinations[],8,FALSE)</f>
        <v>No</v>
      </c>
      <c r="J984" t="str">
        <f>VLOOKUP(A984,Medical_Examinations[],9,FALSE)</f>
        <v>Normal Weight</v>
      </c>
      <c r="K984" t="str">
        <f>VLOOKUP(A984,Medical_Examinations[],10,FALSE)</f>
        <v>Normal</v>
      </c>
      <c r="M984">
        <f>VLOOKUP(A984,Hospitalisation_Details__2[],4,FALSE)</f>
        <v>11345.52</v>
      </c>
      <c r="N984" t="str">
        <f>VLOOKUP(A984,Hospitalisation_Details__2[],5,FALSE)</f>
        <v>tier - 3</v>
      </c>
      <c r="O984" t="str">
        <f>VLOOKUP(A984,Hospitalisation_Details__2[],6,FALSE)</f>
        <v>tier - 3</v>
      </c>
      <c r="P984" t="str">
        <f>VLOOKUP(A984,Hospitalisation_Details__2[],7,FALSE)</f>
        <v>R1011</v>
      </c>
    </row>
    <row r="985" spans="1:16" x14ac:dyDescent="0.35">
      <c r="A985" t="str">
        <v>Id984</v>
      </c>
      <c r="B985" t="str">
        <f>VLOOKUP(A985,'Customer Names (2)'!A:B, 2,FALSE)</f>
        <v>Mrs</v>
      </c>
      <c r="C985">
        <f>VLOOKUP(A985,Medical_Examinations[],2,FALSE)</f>
        <v>27.75</v>
      </c>
      <c r="D985">
        <f>VLOOKUP(A985,Medical_Examinations[],3,FALSE)</f>
        <v>9.8800000000000008</v>
      </c>
      <c r="E985" t="str">
        <f>VLOOKUP(A985,Medical_Examinations[],4,FALSE)</f>
        <v>No</v>
      </c>
      <c r="F985" t="str">
        <f>VLOOKUP(A985,Medical_Examinations[],5,FALSE)</f>
        <v>No</v>
      </c>
      <c r="G985" t="str">
        <f>VLOOKUP(A985,Medical_Examinations[],6,FALSE)</f>
        <v>No</v>
      </c>
      <c r="H985">
        <f>VLOOKUP(A985,Medical_Examinations[],7,FALSE)</f>
        <v>0</v>
      </c>
      <c r="I985" t="str">
        <f>VLOOKUP(A985,Medical_Examinations[],8,FALSE)</f>
        <v>No</v>
      </c>
      <c r="J985" t="str">
        <f>VLOOKUP(A985,Medical_Examinations[],9,FALSE)</f>
        <v>Overweight</v>
      </c>
      <c r="K985" t="str">
        <f>VLOOKUP(A985,Medical_Examinations[],10,FALSE)</f>
        <v>Diabetes</v>
      </c>
      <c r="M985">
        <f>VLOOKUP(A985,Hospitalisation_Details__2[],4,FALSE)</f>
        <v>11344.32</v>
      </c>
      <c r="N985" t="str">
        <f>VLOOKUP(A985,Hospitalisation_Details__2[],5,FALSE)</f>
        <v>tier - 3</v>
      </c>
      <c r="O985" t="str">
        <f>VLOOKUP(A985,Hospitalisation_Details__2[],6,FALSE)</f>
        <v>tier - 2</v>
      </c>
      <c r="P985" t="str">
        <f>VLOOKUP(A985,Hospitalisation_Details__2[],7,FALSE)</f>
        <v>R1025</v>
      </c>
    </row>
    <row r="986" spans="1:16" x14ac:dyDescent="0.35">
      <c r="A986" t="str">
        <v>Id985</v>
      </c>
      <c r="B986" t="str">
        <f>VLOOKUP(A986,'Customer Names (2)'!A:B, 2,FALSE)</f>
        <v>Mr</v>
      </c>
      <c r="C986">
        <f>VLOOKUP(A986,Medical_Examinations[],2,FALSE)</f>
        <v>42.46</v>
      </c>
      <c r="D986">
        <f>VLOOKUP(A986,Medical_Examinations[],3,FALSE)</f>
        <v>4.1100000000000003</v>
      </c>
      <c r="E986" t="str">
        <f>VLOOKUP(A986,Medical_Examinations[],4,FALSE)</f>
        <v>No</v>
      </c>
      <c r="F986" t="str">
        <f>VLOOKUP(A986,Medical_Examinations[],5,FALSE)</f>
        <v>No</v>
      </c>
      <c r="G986" t="str">
        <f>VLOOKUP(A986,Medical_Examinations[],6,FALSE)</f>
        <v>No</v>
      </c>
      <c r="H986">
        <f>VLOOKUP(A986,Medical_Examinations[],7,FALSE)</f>
        <v>0</v>
      </c>
      <c r="I986" t="str">
        <f>VLOOKUP(A986,Medical_Examinations[],8,FALSE)</f>
        <v>No</v>
      </c>
      <c r="J986" t="str">
        <f>VLOOKUP(A986,Medical_Examinations[],9,FALSE)</f>
        <v>Obesity</v>
      </c>
      <c r="K986" t="str">
        <f>VLOOKUP(A986,Medical_Examinations[],10,FALSE)</f>
        <v>Normal</v>
      </c>
      <c r="M986">
        <f>VLOOKUP(A986,Hospitalisation_Details__2[],4,FALSE)</f>
        <v>11326.71</v>
      </c>
      <c r="N986" t="str">
        <f>VLOOKUP(A986,Hospitalisation_Details__2[],5,FALSE)</f>
        <v>tier - 3</v>
      </c>
      <c r="O986" t="str">
        <f>VLOOKUP(A986,Hospitalisation_Details__2[],6,FALSE)</f>
        <v>tier - 3</v>
      </c>
      <c r="P986" t="str">
        <f>VLOOKUP(A986,Hospitalisation_Details__2[],7,FALSE)</f>
        <v>R1013</v>
      </c>
    </row>
    <row r="987" spans="1:16" x14ac:dyDescent="0.35">
      <c r="A987" t="str">
        <v>Id986</v>
      </c>
      <c r="B987" t="str">
        <f>VLOOKUP(A987,'Customer Names (2)'!A:B, 2,FALSE)</f>
        <v>Ms</v>
      </c>
      <c r="C987">
        <f>VLOOKUP(A987,Medical_Examinations[],2,FALSE)</f>
        <v>54.47</v>
      </c>
      <c r="D987">
        <f>VLOOKUP(A987,Medical_Examinations[],3,FALSE)</f>
        <v>7.48</v>
      </c>
      <c r="E987" t="str">
        <f>VLOOKUP(A987,Medical_Examinations[],4,FALSE)</f>
        <v>No</v>
      </c>
      <c r="F987" t="str">
        <f>VLOOKUP(A987,Medical_Examinations[],5,FALSE)</f>
        <v>No</v>
      </c>
      <c r="G987" t="str">
        <f>VLOOKUP(A987,Medical_Examinations[],6,FALSE)</f>
        <v>No</v>
      </c>
      <c r="H987">
        <f>VLOOKUP(A987,Medical_Examinations[],7,FALSE)</f>
        <v>0</v>
      </c>
      <c r="I987" t="str">
        <f>VLOOKUP(A987,Medical_Examinations[],8,FALSE)</f>
        <v>No</v>
      </c>
      <c r="J987" t="str">
        <f>VLOOKUP(A987,Medical_Examinations[],9,FALSE)</f>
        <v>Obesity</v>
      </c>
      <c r="K987" t="str">
        <f>VLOOKUP(A987,Medical_Examinations[],10,FALSE)</f>
        <v>Diabetes</v>
      </c>
      <c r="M987">
        <f>VLOOKUP(A987,Hospitalisation_Details__2[],4,FALSE)</f>
        <v>11321.49</v>
      </c>
      <c r="N987" t="str">
        <f>VLOOKUP(A987,Hospitalisation_Details__2[],5,FALSE)</f>
        <v>tier - 3</v>
      </c>
      <c r="O987" t="str">
        <f>VLOOKUP(A987,Hospitalisation_Details__2[],6,FALSE)</f>
        <v>tier - 3</v>
      </c>
      <c r="P987" t="str">
        <f>VLOOKUP(A987,Hospitalisation_Details__2[],7,FALSE)</f>
        <v>R1012</v>
      </c>
    </row>
    <row r="988" spans="1:16" x14ac:dyDescent="0.35">
      <c r="A988" t="str">
        <v>Id987</v>
      </c>
      <c r="B988" t="str">
        <f>VLOOKUP(A988,'Customer Names (2)'!A:B, 2,FALSE)</f>
        <v>Ms</v>
      </c>
      <c r="C988">
        <f>VLOOKUP(A988,Medical_Examinations[],2,FALSE)</f>
        <v>24.93</v>
      </c>
      <c r="D988">
        <f>VLOOKUP(A988,Medical_Examinations[],3,FALSE)</f>
        <v>9.18</v>
      </c>
      <c r="E988" t="str">
        <f>VLOOKUP(A988,Medical_Examinations[],4,FALSE)</f>
        <v>Yes</v>
      </c>
      <c r="F988" t="str">
        <f>VLOOKUP(A988,Medical_Examinations[],5,FALSE)</f>
        <v>No</v>
      </c>
      <c r="G988" t="str">
        <f>VLOOKUP(A988,Medical_Examinations[],6,FALSE)</f>
        <v>Yes</v>
      </c>
      <c r="H988">
        <f>VLOOKUP(A988,Medical_Examinations[],7,FALSE)</f>
        <v>1</v>
      </c>
      <c r="I988" t="str">
        <f>VLOOKUP(A988,Medical_Examinations[],8,FALSE)</f>
        <v>No</v>
      </c>
      <c r="J988" t="str">
        <f>VLOOKUP(A988,Medical_Examinations[],9,FALSE)</f>
        <v>Normal Weight</v>
      </c>
      <c r="K988" t="str">
        <f>VLOOKUP(A988,Medical_Examinations[],10,FALSE)</f>
        <v>Diabetes</v>
      </c>
      <c r="M988">
        <f>VLOOKUP(A988,Hospitalisation_Details__2[],4,FALSE)</f>
        <v>11319.12</v>
      </c>
      <c r="N988" t="str">
        <f>VLOOKUP(A988,Hospitalisation_Details__2[],5,FALSE)</f>
        <v>tier - 3</v>
      </c>
      <c r="O988" t="str">
        <f>VLOOKUP(A988,Hospitalisation_Details__2[],6,FALSE)</f>
        <v>tier - 1</v>
      </c>
      <c r="P988" t="str">
        <f>VLOOKUP(A988,Hospitalisation_Details__2[],7,FALSE)</f>
        <v>R1012</v>
      </c>
    </row>
    <row r="989" spans="1:16" x14ac:dyDescent="0.35">
      <c r="A989" t="str">
        <v>Id988</v>
      </c>
      <c r="B989" t="str">
        <f>VLOOKUP(A989,'Customer Names (2)'!A:B, 2,FALSE)</f>
        <v>Mrs</v>
      </c>
      <c r="C989">
        <f>VLOOKUP(A989,Medical_Examinations[],2,FALSE)</f>
        <v>48.12</v>
      </c>
      <c r="D989">
        <f>VLOOKUP(A989,Medical_Examinations[],3,FALSE)</f>
        <v>4.51</v>
      </c>
      <c r="E989" t="str">
        <f>VLOOKUP(A989,Medical_Examinations[],4,FALSE)</f>
        <v>Yes</v>
      </c>
      <c r="F989" t="str">
        <f>VLOOKUP(A989,Medical_Examinations[],5,FALSE)</f>
        <v>No</v>
      </c>
      <c r="G989" t="str">
        <f>VLOOKUP(A989,Medical_Examinations[],6,FALSE)</f>
        <v>No</v>
      </c>
      <c r="H989">
        <f>VLOOKUP(A989,Medical_Examinations[],7,FALSE)</f>
        <v>1</v>
      </c>
      <c r="I989" t="str">
        <f>VLOOKUP(A989,Medical_Examinations[],8,FALSE)</f>
        <v>No</v>
      </c>
      <c r="J989" t="str">
        <f>VLOOKUP(A989,Medical_Examinations[],9,FALSE)</f>
        <v>Obesity</v>
      </c>
      <c r="K989" t="str">
        <f>VLOOKUP(A989,Medical_Examinations[],10,FALSE)</f>
        <v>Normal</v>
      </c>
      <c r="M989">
        <f>VLOOKUP(A989,Hospitalisation_Details__2[],4,FALSE)</f>
        <v>11318.57</v>
      </c>
      <c r="N989" t="str">
        <f>VLOOKUP(A989,Hospitalisation_Details__2[],5,FALSE)</f>
        <v>tier - 3</v>
      </c>
      <c r="O989" t="str">
        <f>VLOOKUP(A989,Hospitalisation_Details__2[],6,FALSE)</f>
        <v>tier - 2</v>
      </c>
      <c r="P989" t="str">
        <f>VLOOKUP(A989,Hospitalisation_Details__2[],7,FALSE)</f>
        <v>R1026</v>
      </c>
    </row>
    <row r="990" spans="1:16" x14ac:dyDescent="0.35">
      <c r="A990" t="str">
        <v>Id989</v>
      </c>
      <c r="B990" t="str">
        <f>VLOOKUP(A990,'Customer Names (2)'!A:B, 2,FALSE)</f>
        <v>Ms</v>
      </c>
      <c r="C990">
        <f>VLOOKUP(A990,Medical_Examinations[],2,FALSE)</f>
        <v>24.91</v>
      </c>
      <c r="D990">
        <f>VLOOKUP(A990,Medical_Examinations[],3,FALSE)</f>
        <v>7.33</v>
      </c>
      <c r="E990" t="str">
        <f>VLOOKUP(A990,Medical_Examinations[],4,FALSE)</f>
        <v>Yes</v>
      </c>
      <c r="F990" t="str">
        <f>VLOOKUP(A990,Medical_Examinations[],5,FALSE)</f>
        <v>No</v>
      </c>
      <c r="G990" t="str">
        <f>VLOOKUP(A990,Medical_Examinations[],6,FALSE)</f>
        <v>Yes</v>
      </c>
      <c r="H990">
        <f>VLOOKUP(A990,Medical_Examinations[],7,FALSE)</f>
        <v>1</v>
      </c>
      <c r="I990" t="str">
        <f>VLOOKUP(A990,Medical_Examinations[],8,FALSE)</f>
        <v>No</v>
      </c>
      <c r="J990" t="str">
        <f>VLOOKUP(A990,Medical_Examinations[],9,FALSE)</f>
        <v>Normal Weight</v>
      </c>
      <c r="K990" t="str">
        <f>VLOOKUP(A990,Medical_Examinations[],10,FALSE)</f>
        <v>Diabetes</v>
      </c>
      <c r="M990">
        <f>VLOOKUP(A990,Hospitalisation_Details__2[],4,FALSE)</f>
        <v>11312.33</v>
      </c>
      <c r="N990" t="str">
        <f>VLOOKUP(A990,Hospitalisation_Details__2[],5,FALSE)</f>
        <v>tier - 3</v>
      </c>
      <c r="O990" t="str">
        <f>VLOOKUP(A990,Hospitalisation_Details__2[],6,FALSE)</f>
        <v>tier - 3</v>
      </c>
      <c r="P990" t="str">
        <f>VLOOKUP(A990,Hospitalisation_Details__2[],7,FALSE)</f>
        <v>R1012</v>
      </c>
    </row>
    <row r="991" spans="1:16" x14ac:dyDescent="0.35">
      <c r="A991" t="str">
        <v>Id990</v>
      </c>
      <c r="B991" t="str">
        <f>VLOOKUP(A991,'Customer Names (2)'!A:B, 2,FALSE)</f>
        <v>Ms</v>
      </c>
      <c r="C991">
        <f>VLOOKUP(A991,Medical_Examinations[],2,FALSE)</f>
        <v>27.645</v>
      </c>
      <c r="D991">
        <f>VLOOKUP(A991,Medical_Examinations[],3,FALSE)</f>
        <v>10.56</v>
      </c>
      <c r="E991" t="str">
        <f>VLOOKUP(A991,Medical_Examinations[],4,FALSE)</f>
        <v>No</v>
      </c>
      <c r="F991" t="str">
        <f>VLOOKUP(A991,Medical_Examinations[],5,FALSE)</f>
        <v>No</v>
      </c>
      <c r="G991" t="str">
        <f>VLOOKUP(A991,Medical_Examinations[],6,FALSE)</f>
        <v>No</v>
      </c>
      <c r="H991">
        <f>VLOOKUP(A991,Medical_Examinations[],7,FALSE)</f>
        <v>0</v>
      </c>
      <c r="I991" t="str">
        <f>VLOOKUP(A991,Medical_Examinations[],8,FALSE)</f>
        <v>No</v>
      </c>
      <c r="J991" t="str">
        <f>VLOOKUP(A991,Medical_Examinations[],9,FALSE)</f>
        <v>Overweight</v>
      </c>
      <c r="K991" t="str">
        <f>VLOOKUP(A991,Medical_Examinations[],10,FALSE)</f>
        <v>Diabetes</v>
      </c>
      <c r="M991">
        <f>VLOOKUP(A991,Hospitalisation_Details__2[],4,FALSE)</f>
        <v>11305.93</v>
      </c>
      <c r="N991" t="str">
        <f>VLOOKUP(A991,Hospitalisation_Details__2[],5,FALSE)</f>
        <v>tier - 3</v>
      </c>
      <c r="O991" t="str">
        <f>VLOOKUP(A991,Hospitalisation_Details__2[],6,FALSE)</f>
        <v>tier - 1</v>
      </c>
      <c r="P991" t="str">
        <f>VLOOKUP(A991,Hospitalisation_Details__2[],7,FALSE)</f>
        <v>R1012</v>
      </c>
    </row>
    <row r="992" spans="1:16" x14ac:dyDescent="0.35">
      <c r="A992" t="str">
        <v>Id991</v>
      </c>
      <c r="B992" t="str">
        <f>VLOOKUP(A992,'Customer Names (2)'!A:B, 2,FALSE)</f>
        <v>Ms</v>
      </c>
      <c r="C992">
        <f>VLOOKUP(A992,Medical_Examinations[],2,FALSE)</f>
        <v>33.700000000000003</v>
      </c>
      <c r="D992">
        <f>VLOOKUP(A992,Medical_Examinations[],3,FALSE)</f>
        <v>4.01</v>
      </c>
      <c r="E992" t="str">
        <f>VLOOKUP(A992,Medical_Examinations[],4,FALSE)</f>
        <v>No</v>
      </c>
      <c r="F992" t="str">
        <f>VLOOKUP(A992,Medical_Examinations[],5,FALSE)</f>
        <v>No</v>
      </c>
      <c r="G992" t="str">
        <f>VLOOKUP(A992,Medical_Examinations[],6,FALSE)</f>
        <v>No</v>
      </c>
      <c r="H992">
        <f>VLOOKUP(A992,Medical_Examinations[],7,FALSE)</f>
        <v>2</v>
      </c>
      <c r="I992" t="str">
        <f>VLOOKUP(A992,Medical_Examinations[],8,FALSE)</f>
        <v>No</v>
      </c>
      <c r="J992" t="str">
        <f>VLOOKUP(A992,Medical_Examinations[],9,FALSE)</f>
        <v>Obesity</v>
      </c>
      <c r="K992" t="str">
        <f>VLOOKUP(A992,Medical_Examinations[],10,FALSE)</f>
        <v>Normal</v>
      </c>
      <c r="M992">
        <f>VLOOKUP(A992,Hospitalisation_Details__2[],4,FALSE)</f>
        <v>11299.34</v>
      </c>
      <c r="N992" t="str">
        <f>VLOOKUP(A992,Hospitalisation_Details__2[],5,FALSE)</f>
        <v>tier - 3</v>
      </c>
      <c r="O992" t="str">
        <f>VLOOKUP(A992,Hospitalisation_Details__2[],6,FALSE)</f>
        <v>tier - 2</v>
      </c>
      <c r="P992" t="str">
        <f>VLOOKUP(A992,Hospitalisation_Details__2[],7,FALSE)</f>
        <v>R1011</v>
      </c>
    </row>
    <row r="993" spans="1:16" x14ac:dyDescent="0.35">
      <c r="A993" t="str">
        <v>Id992</v>
      </c>
      <c r="B993" t="str">
        <f>VLOOKUP(A993,'Customer Names (2)'!A:B, 2,FALSE)</f>
        <v>Mr</v>
      </c>
      <c r="C993">
        <f>VLOOKUP(A993,Medical_Examinations[],2,FALSE)</f>
        <v>38.93</v>
      </c>
      <c r="D993">
        <f>VLOOKUP(A993,Medical_Examinations[],3,FALSE)</f>
        <v>5.64</v>
      </c>
      <c r="E993" t="str">
        <f>VLOOKUP(A993,Medical_Examinations[],4,FALSE)</f>
        <v>Yes</v>
      </c>
      <c r="F993" t="str">
        <f>VLOOKUP(A993,Medical_Examinations[],5,FALSE)</f>
        <v>No</v>
      </c>
      <c r="G993" t="str">
        <f>VLOOKUP(A993,Medical_Examinations[],6,FALSE)</f>
        <v>No</v>
      </c>
      <c r="H993">
        <f>VLOOKUP(A993,Medical_Examinations[],7,FALSE)</f>
        <v>1</v>
      </c>
      <c r="I993" t="str">
        <f>VLOOKUP(A993,Medical_Examinations[],8,FALSE)</f>
        <v>No</v>
      </c>
      <c r="J993" t="str">
        <f>VLOOKUP(A993,Medical_Examinations[],9,FALSE)</f>
        <v>Obesity</v>
      </c>
      <c r="K993" t="str">
        <f>VLOOKUP(A993,Medical_Examinations[],10,FALSE)</f>
        <v>Normal</v>
      </c>
      <c r="M993">
        <f>VLOOKUP(A993,Hospitalisation_Details__2[],4,FALSE)</f>
        <v>11294.57</v>
      </c>
      <c r="N993" t="str">
        <f>VLOOKUP(A993,Hospitalisation_Details__2[],5,FALSE)</f>
        <v>tier - 3</v>
      </c>
      <c r="O993" t="str">
        <f>VLOOKUP(A993,Hospitalisation_Details__2[],6,FALSE)</f>
        <v>tier - 1</v>
      </c>
      <c r="P993" t="str">
        <f>VLOOKUP(A993,Hospitalisation_Details__2[],7,FALSE)</f>
        <v>R1022</v>
      </c>
    </row>
    <row r="994" spans="1:16" x14ac:dyDescent="0.35">
      <c r="A994" t="str">
        <v>Id993</v>
      </c>
      <c r="B994" t="str">
        <f>VLOOKUP(A994,'Customer Names (2)'!A:B, 2,FALSE)</f>
        <v>Mr</v>
      </c>
      <c r="C994">
        <f>VLOOKUP(A994,Medical_Examinations[],2,FALSE)</f>
        <v>32.774999999999999</v>
      </c>
      <c r="D994">
        <f>VLOOKUP(A994,Medical_Examinations[],3,FALSE)</f>
        <v>8.02</v>
      </c>
      <c r="E994" t="str">
        <f>VLOOKUP(A994,Medical_Examinations[],4,FALSE)</f>
        <v>Yes</v>
      </c>
      <c r="F994" t="str">
        <f>VLOOKUP(A994,Medical_Examinations[],5,FALSE)</f>
        <v>No</v>
      </c>
      <c r="G994" t="str">
        <f>VLOOKUP(A994,Medical_Examinations[],6,FALSE)</f>
        <v>No</v>
      </c>
      <c r="H994">
        <f>VLOOKUP(A994,Medical_Examinations[],7,FALSE)</f>
        <v>2</v>
      </c>
      <c r="I994" t="str">
        <f>VLOOKUP(A994,Medical_Examinations[],8,FALSE)</f>
        <v>No</v>
      </c>
      <c r="J994" t="str">
        <f>VLOOKUP(A994,Medical_Examinations[],9,FALSE)</f>
        <v>Obesity</v>
      </c>
      <c r="K994" t="str">
        <f>VLOOKUP(A994,Medical_Examinations[],10,FALSE)</f>
        <v>Diabetes</v>
      </c>
      <c r="M994">
        <f>VLOOKUP(A994,Hospitalisation_Details__2[],4,FALSE)</f>
        <v>11289.11</v>
      </c>
      <c r="N994" t="str">
        <f>VLOOKUP(A994,Hospitalisation_Details__2[],5,FALSE)</f>
        <v>tier - 3</v>
      </c>
      <c r="O994" t="str">
        <f>VLOOKUP(A994,Hospitalisation_Details__2[],6,FALSE)</f>
        <v>tier - 1</v>
      </c>
      <c r="P994" t="str">
        <f>VLOOKUP(A994,Hospitalisation_Details__2[],7,FALSE)</f>
        <v>R1012</v>
      </c>
    </row>
    <row r="995" spans="1:16" x14ac:dyDescent="0.35">
      <c r="A995" t="str">
        <v>Id994</v>
      </c>
      <c r="B995" t="str">
        <f>VLOOKUP(A995,'Customer Names (2)'!A:B, 2,FALSE)</f>
        <v>Ms</v>
      </c>
      <c r="C995">
        <f>VLOOKUP(A995,Medical_Examinations[],2,FALSE)</f>
        <v>29.83</v>
      </c>
      <c r="D995">
        <f>VLOOKUP(A995,Medical_Examinations[],3,FALSE)</f>
        <v>7.2</v>
      </c>
      <c r="E995" t="str">
        <f>VLOOKUP(A995,Medical_Examinations[],4,FALSE)</f>
        <v>Yes</v>
      </c>
      <c r="F995" t="str">
        <f>VLOOKUP(A995,Medical_Examinations[],5,FALSE)</f>
        <v>No</v>
      </c>
      <c r="G995" t="str">
        <f>VLOOKUP(A995,Medical_Examinations[],6,FALSE)</f>
        <v>No</v>
      </c>
      <c r="H995">
        <f>VLOOKUP(A995,Medical_Examinations[],7,FALSE)</f>
        <v>0</v>
      </c>
      <c r="I995" t="str">
        <f>VLOOKUP(A995,Medical_Examinations[],8,FALSE)</f>
        <v>No</v>
      </c>
      <c r="J995" t="str">
        <f>VLOOKUP(A995,Medical_Examinations[],9,FALSE)</f>
        <v>Overweight</v>
      </c>
      <c r="K995" t="str">
        <f>VLOOKUP(A995,Medical_Examinations[],10,FALSE)</f>
        <v>Diabetes</v>
      </c>
      <c r="M995">
        <f>VLOOKUP(A995,Hospitalisation_Details__2[],4,FALSE)</f>
        <v>11286.54</v>
      </c>
      <c r="N995" t="str">
        <f>VLOOKUP(A995,Hospitalisation_Details__2[],5,FALSE)</f>
        <v>tier - 3</v>
      </c>
      <c r="O995" t="str">
        <f>VLOOKUP(A995,Hospitalisation_Details__2[],6,FALSE)</f>
        <v>tier - 3</v>
      </c>
      <c r="P995" t="str">
        <f>VLOOKUP(A995,Hospitalisation_Details__2[],7,FALSE)</f>
        <v>R1024</v>
      </c>
    </row>
    <row r="996" spans="1:16" x14ac:dyDescent="0.35">
      <c r="A996" t="str">
        <v>Id995</v>
      </c>
      <c r="B996" t="str">
        <f>VLOOKUP(A996,'Customer Names (2)'!A:B, 2,FALSE)</f>
        <v>Mr</v>
      </c>
      <c r="C996">
        <f>VLOOKUP(A996,Medical_Examinations[],2,FALSE)</f>
        <v>28.31</v>
      </c>
      <c r="D996">
        <f>VLOOKUP(A996,Medical_Examinations[],3,FALSE)</f>
        <v>4.55</v>
      </c>
      <c r="E996" t="str">
        <f>VLOOKUP(A996,Medical_Examinations[],4,FALSE)</f>
        <v>No</v>
      </c>
      <c r="F996" t="str">
        <f>VLOOKUP(A996,Medical_Examinations[],5,FALSE)</f>
        <v>yes</v>
      </c>
      <c r="G996" t="str">
        <f>VLOOKUP(A996,Medical_Examinations[],6,FALSE)</f>
        <v>No</v>
      </c>
      <c r="H996">
        <f>VLOOKUP(A996,Medical_Examinations[],7,FALSE)</f>
        <v>1</v>
      </c>
      <c r="I996" t="str">
        <f>VLOOKUP(A996,Medical_Examinations[],8,FALSE)</f>
        <v>No</v>
      </c>
      <c r="J996" t="str">
        <f>VLOOKUP(A996,Medical_Examinations[],9,FALSE)</f>
        <v>Overweight</v>
      </c>
      <c r="K996" t="str">
        <f>VLOOKUP(A996,Medical_Examinations[],10,FALSE)</f>
        <v>Normal</v>
      </c>
      <c r="M996">
        <f>VLOOKUP(A996,Hospitalisation_Details__2[],4,FALSE)</f>
        <v>11272.33</v>
      </c>
      <c r="N996" t="str">
        <f>VLOOKUP(A996,Hospitalisation_Details__2[],5,FALSE)</f>
        <v>tier - 3</v>
      </c>
      <c r="O996" t="str">
        <f>VLOOKUP(A996,Hospitalisation_Details__2[],6,FALSE)</f>
        <v>tier - 2</v>
      </c>
      <c r="P996" t="str">
        <f>VLOOKUP(A996,Hospitalisation_Details__2[],7,FALSE)</f>
        <v>R1019</v>
      </c>
    </row>
    <row r="997" spans="1:16" x14ac:dyDescent="0.35">
      <c r="A997" t="str">
        <v>Id996</v>
      </c>
      <c r="B997" t="str">
        <f>VLOOKUP(A997,'Customer Names (2)'!A:B, 2,FALSE)</f>
        <v>Mrs</v>
      </c>
      <c r="C997">
        <f>VLOOKUP(A997,Medical_Examinations[],2,FALSE)</f>
        <v>29.79</v>
      </c>
      <c r="D997">
        <f>VLOOKUP(A997,Medical_Examinations[],3,FALSE)</f>
        <v>9.0299999999999994</v>
      </c>
      <c r="E997" t="str">
        <f>VLOOKUP(A997,Medical_Examinations[],4,FALSE)</f>
        <v>No</v>
      </c>
      <c r="F997" t="str">
        <f>VLOOKUP(A997,Medical_Examinations[],5,FALSE)</f>
        <v>No</v>
      </c>
      <c r="G997" t="str">
        <f>VLOOKUP(A997,Medical_Examinations[],6,FALSE)</f>
        <v>No</v>
      </c>
      <c r="H997">
        <f>VLOOKUP(A997,Medical_Examinations[],7,FALSE)</f>
        <v>0</v>
      </c>
      <c r="I997" t="str">
        <f>VLOOKUP(A997,Medical_Examinations[],8,FALSE)</f>
        <v>No</v>
      </c>
      <c r="J997" t="str">
        <f>VLOOKUP(A997,Medical_Examinations[],9,FALSE)</f>
        <v>Overweight</v>
      </c>
      <c r="K997" t="str">
        <f>VLOOKUP(A997,Medical_Examinations[],10,FALSE)</f>
        <v>Diabetes</v>
      </c>
      <c r="M997">
        <f>VLOOKUP(A997,Hospitalisation_Details__2[],4,FALSE)</f>
        <v>11265.71</v>
      </c>
      <c r="N997" t="str">
        <f>VLOOKUP(A997,Hospitalisation_Details__2[],5,FALSE)</f>
        <v>tier - 3</v>
      </c>
      <c r="O997" t="str">
        <f>VLOOKUP(A997,Hospitalisation_Details__2[],6,FALSE)</f>
        <v>tier - 1</v>
      </c>
      <c r="P997" t="str">
        <f>VLOOKUP(A997,Hospitalisation_Details__2[],7,FALSE)</f>
        <v>R1025</v>
      </c>
    </row>
    <row r="998" spans="1:16" x14ac:dyDescent="0.35">
      <c r="A998" t="str">
        <v>Id997</v>
      </c>
      <c r="B998" t="str">
        <f>VLOOKUP(A998,'Customer Names (2)'!A:B, 2,FALSE)</f>
        <v>Mr</v>
      </c>
      <c r="C998">
        <f>VLOOKUP(A998,Medical_Examinations[],2,FALSE)</f>
        <v>36.6</v>
      </c>
      <c r="D998">
        <f>VLOOKUP(A998,Medical_Examinations[],3,FALSE)</f>
        <v>5.2</v>
      </c>
      <c r="E998" t="str">
        <f>VLOOKUP(A998,Medical_Examinations[],4,FALSE)</f>
        <v>Yes</v>
      </c>
      <c r="F998" t="str">
        <f>VLOOKUP(A998,Medical_Examinations[],5,FALSE)</f>
        <v>No</v>
      </c>
      <c r="G998" t="str">
        <f>VLOOKUP(A998,Medical_Examinations[],6,FALSE)</f>
        <v>Yes</v>
      </c>
      <c r="H998">
        <f>VLOOKUP(A998,Medical_Examinations[],7,FALSE)</f>
        <v>1</v>
      </c>
      <c r="I998" t="str">
        <f>VLOOKUP(A998,Medical_Examinations[],8,FALSE)</f>
        <v>No</v>
      </c>
      <c r="J998" t="str">
        <f>VLOOKUP(A998,Medical_Examinations[],9,FALSE)</f>
        <v>Obesity</v>
      </c>
      <c r="K998" t="str">
        <f>VLOOKUP(A998,Medical_Examinations[],10,FALSE)</f>
        <v>Normal</v>
      </c>
      <c r="M998">
        <f>VLOOKUP(A998,Hospitalisation_Details__2[],4,FALSE)</f>
        <v>11264.54</v>
      </c>
      <c r="N998" t="str">
        <f>VLOOKUP(A998,Hospitalisation_Details__2[],5,FALSE)</f>
        <v>tier - 3</v>
      </c>
      <c r="O998" t="str">
        <f>VLOOKUP(A998,Hospitalisation_Details__2[],6,FALSE)</f>
        <v>tier - 2</v>
      </c>
      <c r="P998" t="str">
        <f>VLOOKUP(A998,Hospitalisation_Details__2[],7,FALSE)</f>
        <v>R1011</v>
      </c>
    </row>
    <row r="999" spans="1:16" x14ac:dyDescent="0.35">
      <c r="A999" t="str">
        <v>Id998</v>
      </c>
      <c r="B999" t="str">
        <f>VLOOKUP(A999,'Customer Names (2)'!A:B, 2,FALSE)</f>
        <v>Mrs</v>
      </c>
      <c r="C999">
        <f>VLOOKUP(A999,Medical_Examinations[],2,FALSE)</f>
        <v>35.93</v>
      </c>
      <c r="D999">
        <f>VLOOKUP(A999,Medical_Examinations[],3,FALSE)</f>
        <v>8.3000000000000007</v>
      </c>
      <c r="E999" t="str">
        <f>VLOOKUP(A999,Medical_Examinations[],4,FALSE)</f>
        <v>Yes</v>
      </c>
      <c r="F999" t="str">
        <f>VLOOKUP(A999,Medical_Examinations[],5,FALSE)</f>
        <v>No</v>
      </c>
      <c r="G999" t="str">
        <f>VLOOKUP(A999,Medical_Examinations[],6,FALSE)</f>
        <v>No</v>
      </c>
      <c r="H999">
        <f>VLOOKUP(A999,Medical_Examinations[],7,FALSE)</f>
        <v>0</v>
      </c>
      <c r="I999" t="str">
        <f>VLOOKUP(A999,Medical_Examinations[],8,FALSE)</f>
        <v>No</v>
      </c>
      <c r="J999" t="str">
        <f>VLOOKUP(A999,Medical_Examinations[],9,FALSE)</f>
        <v>Obesity</v>
      </c>
      <c r="K999" t="str">
        <f>VLOOKUP(A999,Medical_Examinations[],10,FALSE)</f>
        <v>Diabetes</v>
      </c>
      <c r="M999">
        <f>VLOOKUP(A999,Hospitalisation_Details__2[],4,FALSE)</f>
        <v>11255.29</v>
      </c>
      <c r="N999" t="str">
        <f>VLOOKUP(A999,Hospitalisation_Details__2[],5,FALSE)</f>
        <v>tier - 3</v>
      </c>
      <c r="O999" t="str">
        <f>VLOOKUP(A999,Hospitalisation_Details__2[],6,FALSE)</f>
        <v>tier - 1</v>
      </c>
      <c r="P999" t="str">
        <f>VLOOKUP(A999,Hospitalisation_Details__2[],7,FALSE)</f>
        <v>R1026</v>
      </c>
    </row>
    <row r="1000" spans="1:16" x14ac:dyDescent="0.35">
      <c r="A1000" t="str">
        <v>Id999</v>
      </c>
      <c r="B1000" t="str">
        <f>VLOOKUP(A1000,'Customer Names (2)'!A:B, 2,FALSE)</f>
        <v>Mr</v>
      </c>
      <c r="C1000">
        <f>VLOOKUP(A1000,Medical_Examinations[],2,FALSE)</f>
        <v>28.6</v>
      </c>
      <c r="D1000">
        <f>VLOOKUP(A1000,Medical_Examinations[],3,FALSE)</f>
        <v>5.56</v>
      </c>
      <c r="E1000" t="str">
        <f>VLOOKUP(A1000,Medical_Examinations[],4,FALSE)</f>
        <v>Yes</v>
      </c>
      <c r="F1000" t="str">
        <f>VLOOKUP(A1000,Medical_Examinations[],5,FALSE)</f>
        <v>No</v>
      </c>
      <c r="G1000" t="str">
        <f>VLOOKUP(A1000,Medical_Examinations[],6,FALSE)</f>
        <v>Yes</v>
      </c>
      <c r="H1000">
        <f>VLOOKUP(A1000,Medical_Examinations[],7,FALSE)</f>
        <v>1</v>
      </c>
      <c r="I1000" t="str">
        <f>VLOOKUP(A1000,Medical_Examinations[],8,FALSE)</f>
        <v>No</v>
      </c>
      <c r="J1000" t="str">
        <f>VLOOKUP(A1000,Medical_Examinations[],9,FALSE)</f>
        <v>Overweight</v>
      </c>
      <c r="K1000" t="str">
        <f>VLOOKUP(A1000,Medical_Examinations[],10,FALSE)</f>
        <v>Normal</v>
      </c>
      <c r="M1000">
        <f>VLOOKUP(A1000,Hospitalisation_Details__2[],4,FALSE)</f>
        <v>11253.42</v>
      </c>
      <c r="N1000" t="str">
        <f>VLOOKUP(A1000,Hospitalisation_Details__2[],5,FALSE)</f>
        <v>tier - 3</v>
      </c>
      <c r="O1000" t="str">
        <f>VLOOKUP(A1000,Hospitalisation_Details__2[],6,FALSE)</f>
        <v>tier - 1</v>
      </c>
      <c r="P1000" t="str">
        <f>VLOOKUP(A1000,Hospitalisation_Details__2[],7,FALSE)</f>
        <v>R1011</v>
      </c>
    </row>
    <row r="1001" spans="1:16" x14ac:dyDescent="0.35">
      <c r="A1001" t="str">
        <v>Id1000</v>
      </c>
      <c r="B1001" t="str">
        <f>VLOOKUP(A1001,'Customer Names (2)'!A:B, 2,FALSE)</f>
        <v>Mrs</v>
      </c>
      <c r="C1001">
        <f>VLOOKUP(A1001,Medical_Examinations[],2,FALSE)</f>
        <v>39.17</v>
      </c>
      <c r="D1001">
        <f>VLOOKUP(A1001,Medical_Examinations[],3,FALSE)</f>
        <v>4.1500000000000004</v>
      </c>
      <c r="E1001" t="str">
        <f>VLOOKUP(A1001,Medical_Examinations[],4,FALSE)</f>
        <v>No</v>
      </c>
      <c r="F1001" t="str">
        <f>VLOOKUP(A1001,Medical_Examinations[],5,FALSE)</f>
        <v>No</v>
      </c>
      <c r="G1001" t="str">
        <f>VLOOKUP(A1001,Medical_Examinations[],6,FALSE)</f>
        <v>No</v>
      </c>
      <c r="H1001">
        <f>VLOOKUP(A1001,Medical_Examinations[],7,FALSE)</f>
        <v>0</v>
      </c>
      <c r="I1001" t="str">
        <f>VLOOKUP(A1001,Medical_Examinations[],8,FALSE)</f>
        <v>No</v>
      </c>
      <c r="J1001" t="str">
        <f>VLOOKUP(A1001,Medical_Examinations[],9,FALSE)</f>
        <v>Obesity</v>
      </c>
      <c r="K1001" t="str">
        <f>VLOOKUP(A1001,Medical_Examinations[],10,FALSE)</f>
        <v>Normal</v>
      </c>
      <c r="M1001">
        <f>VLOOKUP(A1001,Hospitalisation_Details__2[],4,FALSE)</f>
        <v>11250.43</v>
      </c>
      <c r="N1001" t="str">
        <f>VLOOKUP(A1001,Hospitalisation_Details__2[],5,FALSE)</f>
        <v>tier - 3</v>
      </c>
      <c r="O1001" t="str">
        <f>VLOOKUP(A1001,Hospitalisation_Details__2[],6,FALSE)</f>
        <v>tier - 2</v>
      </c>
      <c r="P1001" t="str">
        <f>VLOOKUP(A1001,Hospitalisation_Details__2[],7,FALSE)</f>
        <v>R1026</v>
      </c>
    </row>
    <row r="1002" spans="1:16" x14ac:dyDescent="0.35">
      <c r="A1002" t="str">
        <v>Id1001</v>
      </c>
      <c r="B1002" t="str">
        <f>VLOOKUP(A1002,'Customer Names (2)'!A:B, 2,FALSE)</f>
        <v>Mr</v>
      </c>
      <c r="C1002">
        <f>VLOOKUP(A1002,Medical_Examinations[],2,FALSE)</f>
        <v>26.41</v>
      </c>
      <c r="D1002">
        <f>VLOOKUP(A1002,Medical_Examinations[],3,FALSE)</f>
        <v>5.99</v>
      </c>
      <c r="E1002" t="str">
        <f>VLOOKUP(A1002,Medical_Examinations[],4,FALSE)</f>
        <v>Yes</v>
      </c>
      <c r="F1002" t="str">
        <f>VLOOKUP(A1002,Medical_Examinations[],5,FALSE)</f>
        <v>No</v>
      </c>
      <c r="G1002" t="str">
        <f>VLOOKUP(A1002,Medical_Examinations[],6,FALSE)</f>
        <v>Yes</v>
      </c>
      <c r="H1002">
        <f>VLOOKUP(A1002,Medical_Examinations[],7,FALSE)</f>
        <v>1</v>
      </c>
      <c r="I1002" t="str">
        <f>VLOOKUP(A1002,Medical_Examinations[],8,FALSE)</f>
        <v>No</v>
      </c>
      <c r="J1002" t="str">
        <f>VLOOKUP(A1002,Medical_Examinations[],9,FALSE)</f>
        <v>Overweight</v>
      </c>
      <c r="K1002" t="str">
        <f>VLOOKUP(A1002,Medical_Examinations[],10,FALSE)</f>
        <v>Prediabetes</v>
      </c>
      <c r="M1002">
        <f>VLOOKUP(A1002,Hospitalisation_Details__2[],4,FALSE)</f>
        <v>11244.38</v>
      </c>
      <c r="N1002" t="str">
        <f>VLOOKUP(A1002,Hospitalisation_Details__2[],5,FALSE)</f>
        <v>tier - 3</v>
      </c>
      <c r="O1002" t="str">
        <f>VLOOKUP(A1002,Hospitalisation_Details__2[],6,FALSE)</f>
        <v>tier - 1</v>
      </c>
      <c r="P1002" t="str">
        <f>VLOOKUP(A1002,Hospitalisation_Details__2[],7,FALSE)</f>
        <v>R1016</v>
      </c>
    </row>
    <row r="1003" spans="1:16" x14ac:dyDescent="0.35">
      <c r="A1003" t="str">
        <v>Id1002</v>
      </c>
      <c r="B1003" t="str">
        <f>VLOOKUP(A1003,'Customer Names (2)'!A:B, 2,FALSE)</f>
        <v>Mrs</v>
      </c>
      <c r="C1003">
        <f>VLOOKUP(A1003,Medical_Examinations[],2,FALSE)</f>
        <v>30.63</v>
      </c>
      <c r="D1003">
        <f>VLOOKUP(A1003,Medical_Examinations[],3,FALSE)</f>
        <v>5.8</v>
      </c>
      <c r="E1003" t="str">
        <f>VLOOKUP(A1003,Medical_Examinations[],4,FALSE)</f>
        <v>Yes</v>
      </c>
      <c r="F1003" t="str">
        <f>VLOOKUP(A1003,Medical_Examinations[],5,FALSE)</f>
        <v>No</v>
      </c>
      <c r="G1003" t="str">
        <f>VLOOKUP(A1003,Medical_Examinations[],6,FALSE)</f>
        <v>No</v>
      </c>
      <c r="H1003">
        <f>VLOOKUP(A1003,Medical_Examinations[],7,FALSE)</f>
        <v>0</v>
      </c>
      <c r="I1003" t="str">
        <f>VLOOKUP(A1003,Medical_Examinations[],8,FALSE)</f>
        <v>No</v>
      </c>
      <c r="J1003" t="str">
        <f>VLOOKUP(A1003,Medical_Examinations[],9,FALSE)</f>
        <v>Obesity</v>
      </c>
      <c r="K1003" t="str">
        <f>VLOOKUP(A1003,Medical_Examinations[],10,FALSE)</f>
        <v>Prediabetes</v>
      </c>
      <c r="M1003">
        <f>VLOOKUP(A1003,Hospitalisation_Details__2[],4,FALSE)</f>
        <v>11217.35</v>
      </c>
      <c r="N1003" t="str">
        <f>VLOOKUP(A1003,Hospitalisation_Details__2[],5,FALSE)</f>
        <v>tier - 3</v>
      </c>
      <c r="O1003" t="str">
        <f>VLOOKUP(A1003,Hospitalisation_Details__2[],6,FALSE)</f>
        <v>tier - 2</v>
      </c>
      <c r="P1003" t="str">
        <f>VLOOKUP(A1003,Hospitalisation_Details__2[],7,FALSE)</f>
        <v>R1025</v>
      </c>
    </row>
    <row r="1004" spans="1:16" x14ac:dyDescent="0.35">
      <c r="A1004" t="str">
        <v>Id1003</v>
      </c>
      <c r="B1004" t="str">
        <f>VLOOKUP(A1004,'Customer Names (2)'!A:B, 2,FALSE)</f>
        <v>Ms</v>
      </c>
      <c r="C1004">
        <f>VLOOKUP(A1004,Medical_Examinations[],2,FALSE)</f>
        <v>31.73</v>
      </c>
      <c r="D1004">
        <f>VLOOKUP(A1004,Medical_Examinations[],3,FALSE)</f>
        <v>7.32</v>
      </c>
      <c r="E1004" t="str">
        <f>VLOOKUP(A1004,Medical_Examinations[],4,FALSE)</f>
        <v>Yes</v>
      </c>
      <c r="F1004" t="str">
        <f>VLOOKUP(A1004,Medical_Examinations[],5,FALSE)</f>
        <v>No</v>
      </c>
      <c r="G1004" t="str">
        <f>VLOOKUP(A1004,Medical_Examinations[],6,FALSE)</f>
        <v>No</v>
      </c>
      <c r="H1004">
        <f>VLOOKUP(A1004,Medical_Examinations[],7,FALSE)</f>
        <v>2</v>
      </c>
      <c r="I1004" t="str">
        <f>VLOOKUP(A1004,Medical_Examinations[],8,FALSE)</f>
        <v>No</v>
      </c>
      <c r="J1004" t="str">
        <f>VLOOKUP(A1004,Medical_Examinations[],9,FALSE)</f>
        <v>Obesity</v>
      </c>
      <c r="K1004" t="str">
        <f>VLOOKUP(A1004,Medical_Examinations[],10,FALSE)</f>
        <v>Diabetes</v>
      </c>
      <c r="M1004">
        <f>VLOOKUP(A1004,Hospitalisation_Details__2[],4,FALSE)</f>
        <v>11187.66</v>
      </c>
      <c r="N1004" t="str">
        <f>VLOOKUP(A1004,Hospitalisation_Details__2[],5,FALSE)</f>
        <v>tier - 3</v>
      </c>
      <c r="O1004" t="str">
        <f>VLOOKUP(A1004,Hospitalisation_Details__2[],6,FALSE)</f>
        <v>tier - 2</v>
      </c>
      <c r="P1004" t="str">
        <f>VLOOKUP(A1004,Hospitalisation_Details__2[],7,FALSE)</f>
        <v>R1012</v>
      </c>
    </row>
    <row r="1005" spans="1:16" x14ac:dyDescent="0.35">
      <c r="A1005" t="str">
        <v>Id1004</v>
      </c>
      <c r="B1005" t="str">
        <f>VLOOKUP(A1005,'Customer Names (2)'!A:B, 2,FALSE)</f>
        <v>Mr</v>
      </c>
      <c r="C1005">
        <f>VLOOKUP(A1005,Medical_Examinations[],2,FALSE)</f>
        <v>30.7</v>
      </c>
      <c r="D1005">
        <f>VLOOKUP(A1005,Medical_Examinations[],3,FALSE)</f>
        <v>5.16</v>
      </c>
      <c r="E1005" t="str">
        <f>VLOOKUP(A1005,Medical_Examinations[],4,FALSE)</f>
        <v>No</v>
      </c>
      <c r="F1005" t="str">
        <f>VLOOKUP(A1005,Medical_Examinations[],5,FALSE)</f>
        <v>No</v>
      </c>
      <c r="G1005" t="str">
        <f>VLOOKUP(A1005,Medical_Examinations[],6,FALSE)</f>
        <v>No</v>
      </c>
      <c r="H1005">
        <f>VLOOKUP(A1005,Medical_Examinations[],7,FALSE)</f>
        <v>2</v>
      </c>
      <c r="I1005" t="str">
        <f>VLOOKUP(A1005,Medical_Examinations[],8,FALSE)</f>
        <v>No</v>
      </c>
      <c r="J1005" t="str">
        <f>VLOOKUP(A1005,Medical_Examinations[],9,FALSE)</f>
        <v>Obesity</v>
      </c>
      <c r="K1005" t="str">
        <f>VLOOKUP(A1005,Medical_Examinations[],10,FALSE)</f>
        <v>Normal</v>
      </c>
      <c r="M1005">
        <f>VLOOKUP(A1005,Hospitalisation_Details__2[],4,FALSE)</f>
        <v>11186.2</v>
      </c>
      <c r="N1005" t="str">
        <f>VLOOKUP(A1005,Hospitalisation_Details__2[],5,FALSE)</f>
        <v>tier - 3</v>
      </c>
      <c r="O1005" t="str">
        <f>VLOOKUP(A1005,Hospitalisation_Details__2[],6,FALSE)</f>
        <v>tier - 2</v>
      </c>
      <c r="P1005" t="str">
        <f>VLOOKUP(A1005,Hospitalisation_Details__2[],7,FALSE)</f>
        <v>R1021</v>
      </c>
    </row>
    <row r="1006" spans="1:16" x14ac:dyDescent="0.35">
      <c r="A1006" t="str">
        <v>Id1005</v>
      </c>
      <c r="B1006" t="str">
        <f>VLOOKUP(A1006,'Customer Names (2)'!A:B, 2,FALSE)</f>
        <v>Mr</v>
      </c>
      <c r="C1006">
        <f>VLOOKUP(A1006,Medical_Examinations[],2,FALSE)</f>
        <v>25.934999999999999</v>
      </c>
      <c r="D1006">
        <f>VLOOKUP(A1006,Medical_Examinations[],3,FALSE)</f>
        <v>5.96</v>
      </c>
      <c r="E1006" t="str">
        <f>VLOOKUP(A1006,Medical_Examinations[],4,FALSE)</f>
        <v>Yes</v>
      </c>
      <c r="F1006" t="str">
        <f>VLOOKUP(A1006,Medical_Examinations[],5,FALSE)</f>
        <v>No</v>
      </c>
      <c r="G1006" t="str">
        <f>VLOOKUP(A1006,Medical_Examinations[],6,FALSE)</f>
        <v>No</v>
      </c>
      <c r="H1006">
        <f>VLOOKUP(A1006,Medical_Examinations[],7,FALSE)</f>
        <v>2</v>
      </c>
      <c r="I1006" t="str">
        <f>VLOOKUP(A1006,Medical_Examinations[],8,FALSE)</f>
        <v>No</v>
      </c>
      <c r="J1006" t="str">
        <f>VLOOKUP(A1006,Medical_Examinations[],9,FALSE)</f>
        <v>Overweight</v>
      </c>
      <c r="K1006" t="str">
        <f>VLOOKUP(A1006,Medical_Examinations[],10,FALSE)</f>
        <v>Prediabetes</v>
      </c>
      <c r="M1006">
        <f>VLOOKUP(A1006,Hospitalisation_Details__2[],4,FALSE)</f>
        <v>11165.42</v>
      </c>
      <c r="N1006" t="str">
        <f>VLOOKUP(A1006,Hospitalisation_Details__2[],5,FALSE)</f>
        <v>tier - 3</v>
      </c>
      <c r="O1006" t="str">
        <f>VLOOKUP(A1006,Hospitalisation_Details__2[],6,FALSE)</f>
        <v>tier - 1</v>
      </c>
      <c r="P1006" t="str">
        <f>VLOOKUP(A1006,Hospitalisation_Details__2[],7,FALSE)</f>
        <v>R1016</v>
      </c>
    </row>
    <row r="1007" spans="1:16" x14ac:dyDescent="0.35">
      <c r="A1007" t="str">
        <v>Id1006</v>
      </c>
      <c r="B1007" t="str">
        <f>VLOOKUP(A1007,'Customer Names (2)'!A:B, 2,FALSE)</f>
        <v>Ms</v>
      </c>
      <c r="C1007">
        <f>VLOOKUP(A1007,Medical_Examinations[],2,FALSE)</f>
        <v>35.9</v>
      </c>
      <c r="D1007">
        <f>VLOOKUP(A1007,Medical_Examinations[],3,FALSE)</f>
        <v>4.8499999999999996</v>
      </c>
      <c r="E1007" t="str">
        <f>VLOOKUP(A1007,Medical_Examinations[],4,FALSE)</f>
        <v>Yes</v>
      </c>
      <c r="F1007" t="str">
        <f>VLOOKUP(A1007,Medical_Examinations[],5,FALSE)</f>
        <v>No</v>
      </c>
      <c r="G1007" t="str">
        <f>VLOOKUP(A1007,Medical_Examinations[],6,FALSE)</f>
        <v>Yes</v>
      </c>
      <c r="H1007">
        <f>VLOOKUP(A1007,Medical_Examinations[],7,FALSE)</f>
        <v>1</v>
      </c>
      <c r="I1007" t="str">
        <f>VLOOKUP(A1007,Medical_Examinations[],8,FALSE)</f>
        <v>No</v>
      </c>
      <c r="J1007" t="str">
        <f>VLOOKUP(A1007,Medical_Examinations[],9,FALSE)</f>
        <v>Obesity</v>
      </c>
      <c r="K1007" t="str">
        <f>VLOOKUP(A1007,Medical_Examinations[],10,FALSE)</f>
        <v>Normal</v>
      </c>
      <c r="M1007">
        <f>VLOOKUP(A1007,Hospitalisation_Details__2[],4,FALSE)</f>
        <v>11163.57</v>
      </c>
      <c r="N1007" t="str">
        <f>VLOOKUP(A1007,Hospitalisation_Details__2[],5,FALSE)</f>
        <v>tier - 3</v>
      </c>
      <c r="O1007" t="str">
        <f>VLOOKUP(A1007,Hospitalisation_Details__2[],6,FALSE)</f>
        <v>tier - 2</v>
      </c>
      <c r="P1007" t="str">
        <f>VLOOKUP(A1007,Hospitalisation_Details__2[],7,FALSE)</f>
        <v>R1011</v>
      </c>
    </row>
    <row r="1008" spans="1:16" x14ac:dyDescent="0.35">
      <c r="A1008" t="str">
        <v>Id1007</v>
      </c>
      <c r="B1008" t="str">
        <f>VLOOKUP(A1008,'Customer Names (2)'!A:B, 2,FALSE)</f>
        <v>Ms</v>
      </c>
      <c r="C1008">
        <f>VLOOKUP(A1008,Medical_Examinations[],2,FALSE)</f>
        <v>26.7</v>
      </c>
      <c r="D1008">
        <f>VLOOKUP(A1008,Medical_Examinations[],3,FALSE)</f>
        <v>5.09</v>
      </c>
      <c r="E1008" t="str">
        <f>VLOOKUP(A1008,Medical_Examinations[],4,FALSE)</f>
        <v>Yes</v>
      </c>
      <c r="F1008" t="str">
        <f>VLOOKUP(A1008,Medical_Examinations[],5,FALSE)</f>
        <v>No</v>
      </c>
      <c r="G1008" t="str">
        <f>VLOOKUP(A1008,Medical_Examinations[],6,FALSE)</f>
        <v>Yes</v>
      </c>
      <c r="H1008">
        <f>VLOOKUP(A1008,Medical_Examinations[],7,FALSE)</f>
        <v>1</v>
      </c>
      <c r="I1008" t="str">
        <f>VLOOKUP(A1008,Medical_Examinations[],8,FALSE)</f>
        <v>No</v>
      </c>
      <c r="J1008" t="str">
        <f>VLOOKUP(A1008,Medical_Examinations[],9,FALSE)</f>
        <v>Overweight</v>
      </c>
      <c r="K1008" t="str">
        <f>VLOOKUP(A1008,Medical_Examinations[],10,FALSE)</f>
        <v>Normal</v>
      </c>
      <c r="M1008">
        <f>VLOOKUP(A1008,Hospitalisation_Details__2[],4,FALSE)</f>
        <v>11150.78</v>
      </c>
      <c r="N1008" t="str">
        <f>VLOOKUP(A1008,Hospitalisation_Details__2[],5,FALSE)</f>
        <v>tier - 3</v>
      </c>
      <c r="O1008" t="str">
        <f>VLOOKUP(A1008,Hospitalisation_Details__2[],6,FALSE)</f>
        <v>tier - 2</v>
      </c>
      <c r="P1008" t="str">
        <f>VLOOKUP(A1008,Hospitalisation_Details__2[],7,FALSE)</f>
        <v>R1011</v>
      </c>
    </row>
    <row r="1009" spans="1:16" x14ac:dyDescent="0.35">
      <c r="A1009" t="str">
        <v>Id1008</v>
      </c>
      <c r="B1009" t="str">
        <f>VLOOKUP(A1009,'Customer Names (2)'!A:B, 2,FALSE)</f>
        <v>Mr</v>
      </c>
      <c r="C1009">
        <f>VLOOKUP(A1009,Medical_Examinations[],2,FALSE)</f>
        <v>33.71</v>
      </c>
      <c r="D1009">
        <f>VLOOKUP(A1009,Medical_Examinations[],3,FALSE)</f>
        <v>4.9400000000000004</v>
      </c>
      <c r="E1009" t="str">
        <f>VLOOKUP(A1009,Medical_Examinations[],4,FALSE)</f>
        <v>No</v>
      </c>
      <c r="F1009" t="str">
        <f>VLOOKUP(A1009,Medical_Examinations[],5,FALSE)</f>
        <v>No</v>
      </c>
      <c r="G1009" t="str">
        <f>VLOOKUP(A1009,Medical_Examinations[],6,FALSE)</f>
        <v>No</v>
      </c>
      <c r="H1009">
        <f>VLOOKUP(A1009,Medical_Examinations[],7,FALSE)</f>
        <v>0</v>
      </c>
      <c r="I1009" t="str">
        <f>VLOOKUP(A1009,Medical_Examinations[],8,FALSE)</f>
        <v>No</v>
      </c>
      <c r="J1009" t="str">
        <f>VLOOKUP(A1009,Medical_Examinations[],9,FALSE)</f>
        <v>Obesity</v>
      </c>
      <c r="K1009" t="str">
        <f>VLOOKUP(A1009,Medical_Examinations[],10,FALSE)</f>
        <v>Normal</v>
      </c>
      <c r="M1009">
        <f>VLOOKUP(A1009,Hospitalisation_Details__2[],4,FALSE)</f>
        <v>11103.33</v>
      </c>
      <c r="N1009" t="str">
        <f>VLOOKUP(A1009,Hospitalisation_Details__2[],5,FALSE)</f>
        <v>tier - 3</v>
      </c>
      <c r="O1009" t="str">
        <f>VLOOKUP(A1009,Hospitalisation_Details__2[],6,FALSE)</f>
        <v>tier - 1</v>
      </c>
      <c r="P1009" t="str">
        <f>VLOOKUP(A1009,Hospitalisation_Details__2[],7,FALSE)</f>
        <v>R1021</v>
      </c>
    </row>
    <row r="1010" spans="1:16" x14ac:dyDescent="0.35">
      <c r="A1010" t="str">
        <v>Id1009</v>
      </c>
      <c r="B1010" t="str">
        <f>VLOOKUP(A1010,'Customer Names (2)'!A:B, 2,FALSE)</f>
        <v>Ms</v>
      </c>
      <c r="C1010">
        <f>VLOOKUP(A1010,Medical_Examinations[],2,FALSE)</f>
        <v>41.91</v>
      </c>
      <c r="D1010">
        <f>VLOOKUP(A1010,Medical_Examinations[],3,FALSE)</f>
        <v>4.92</v>
      </c>
      <c r="E1010" t="str">
        <f>VLOOKUP(A1010,Medical_Examinations[],4,FALSE)</f>
        <v>Yes</v>
      </c>
      <c r="F1010" t="str">
        <f>VLOOKUP(A1010,Medical_Examinations[],5,FALSE)</f>
        <v>No</v>
      </c>
      <c r="G1010" t="str">
        <f>VLOOKUP(A1010,Medical_Examinations[],6,FALSE)</f>
        <v>No</v>
      </c>
      <c r="H1010">
        <f>VLOOKUP(A1010,Medical_Examinations[],7,FALSE)</f>
        <v>2</v>
      </c>
      <c r="I1010" t="str">
        <f>VLOOKUP(A1010,Medical_Examinations[],8,FALSE)</f>
        <v>No</v>
      </c>
      <c r="J1010" t="str">
        <f>VLOOKUP(A1010,Medical_Examinations[],9,FALSE)</f>
        <v>Obesity</v>
      </c>
      <c r="K1010" t="str">
        <f>VLOOKUP(A1010,Medical_Examinations[],10,FALSE)</f>
        <v>Normal</v>
      </c>
      <c r="M1010">
        <f>VLOOKUP(A1010,Hospitalisation_Details__2[],4,FALSE)</f>
        <v>11093.62</v>
      </c>
      <c r="N1010" t="str">
        <f>VLOOKUP(A1010,Hospitalisation_Details__2[],5,FALSE)</f>
        <v>tier - 3</v>
      </c>
      <c r="O1010" t="str">
        <f>VLOOKUP(A1010,Hospitalisation_Details__2[],6,FALSE)</f>
        <v>tier - 1</v>
      </c>
      <c r="P1010" t="str">
        <f>VLOOKUP(A1010,Hospitalisation_Details__2[],7,FALSE)</f>
        <v>R1013</v>
      </c>
    </row>
    <row r="1011" spans="1:16" x14ac:dyDescent="0.35">
      <c r="A1011" t="str">
        <v>Id1010</v>
      </c>
      <c r="B1011" t="str">
        <f>VLOOKUP(A1011,'Customer Names (2)'!A:B, 2,FALSE)</f>
        <v>Ms</v>
      </c>
      <c r="C1011">
        <f>VLOOKUP(A1011,Medical_Examinations[],2,FALSE)</f>
        <v>39.82</v>
      </c>
      <c r="D1011">
        <f>VLOOKUP(A1011,Medical_Examinations[],3,FALSE)</f>
        <v>6.05</v>
      </c>
      <c r="E1011" t="str">
        <f>VLOOKUP(A1011,Medical_Examinations[],4,FALSE)</f>
        <v>Yes</v>
      </c>
      <c r="F1011" t="str">
        <f>VLOOKUP(A1011,Medical_Examinations[],5,FALSE)</f>
        <v>No</v>
      </c>
      <c r="G1011" t="str">
        <f>VLOOKUP(A1011,Medical_Examinations[],6,FALSE)</f>
        <v>No</v>
      </c>
      <c r="H1011">
        <f>VLOOKUP(A1011,Medical_Examinations[],7,FALSE)</f>
        <v>2</v>
      </c>
      <c r="I1011" t="str">
        <f>VLOOKUP(A1011,Medical_Examinations[],8,FALSE)</f>
        <v>No</v>
      </c>
      <c r="J1011" t="str">
        <f>VLOOKUP(A1011,Medical_Examinations[],9,FALSE)</f>
        <v>Obesity</v>
      </c>
      <c r="K1011" t="str">
        <f>VLOOKUP(A1011,Medical_Examinations[],10,FALSE)</f>
        <v>Prediabetes</v>
      </c>
      <c r="M1011">
        <f>VLOOKUP(A1011,Hospitalisation_Details__2[],4,FALSE)</f>
        <v>11090.72</v>
      </c>
      <c r="N1011" t="str">
        <f>VLOOKUP(A1011,Hospitalisation_Details__2[],5,FALSE)</f>
        <v>tier - 3</v>
      </c>
      <c r="O1011" t="str">
        <f>VLOOKUP(A1011,Hospitalisation_Details__2[],6,FALSE)</f>
        <v>tier - 1</v>
      </c>
      <c r="P1011" t="str">
        <f>VLOOKUP(A1011,Hospitalisation_Details__2[],7,FALSE)</f>
        <v>R1013</v>
      </c>
    </row>
    <row r="1012" spans="1:16" x14ac:dyDescent="0.35">
      <c r="A1012" t="str">
        <v>Id1011</v>
      </c>
      <c r="B1012" t="str">
        <f>VLOOKUP(A1012,'Customer Names (2)'!A:B, 2,FALSE)</f>
        <v>Ms</v>
      </c>
      <c r="C1012">
        <f>VLOOKUP(A1012,Medical_Examinations[],2,FALSE)</f>
        <v>28.12</v>
      </c>
      <c r="D1012">
        <f>VLOOKUP(A1012,Medical_Examinations[],3,FALSE)</f>
        <v>4.67</v>
      </c>
      <c r="E1012" t="str">
        <f>VLOOKUP(A1012,Medical_Examinations[],4,FALSE)</f>
        <v>No</v>
      </c>
      <c r="F1012" t="str">
        <f>VLOOKUP(A1012,Medical_Examinations[],5,FALSE)</f>
        <v>No</v>
      </c>
      <c r="G1012" t="str">
        <f>VLOOKUP(A1012,Medical_Examinations[],6,FALSE)</f>
        <v>No</v>
      </c>
      <c r="H1012">
        <f>VLOOKUP(A1012,Medical_Examinations[],7,FALSE)</f>
        <v>2</v>
      </c>
      <c r="I1012" t="str">
        <f>VLOOKUP(A1012,Medical_Examinations[],8,FALSE)</f>
        <v>No</v>
      </c>
      <c r="J1012" t="str">
        <f>VLOOKUP(A1012,Medical_Examinations[],9,FALSE)</f>
        <v>Overweight</v>
      </c>
      <c r="K1012" t="str">
        <f>VLOOKUP(A1012,Medical_Examinations[],10,FALSE)</f>
        <v>Normal</v>
      </c>
      <c r="M1012">
        <f>VLOOKUP(A1012,Hospitalisation_Details__2[],4,FALSE)</f>
        <v>11085.59</v>
      </c>
      <c r="N1012" t="str">
        <f>VLOOKUP(A1012,Hospitalisation_Details__2[],5,FALSE)</f>
        <v>tier - 3</v>
      </c>
      <c r="O1012" t="str">
        <f>VLOOKUP(A1012,Hospitalisation_Details__2[],6,FALSE)</f>
        <v>tier - 2</v>
      </c>
      <c r="P1012" t="str">
        <f>VLOOKUP(A1012,Hospitalisation_Details__2[],7,FALSE)</f>
        <v>R1012</v>
      </c>
    </row>
    <row r="1013" spans="1:16" x14ac:dyDescent="0.35">
      <c r="A1013" t="str">
        <v>Id1012</v>
      </c>
      <c r="B1013" t="str">
        <f>VLOOKUP(A1013,'Customer Names (2)'!A:B, 2,FALSE)</f>
        <v>Ms</v>
      </c>
      <c r="C1013">
        <f>VLOOKUP(A1013,Medical_Examinations[],2,FALSE)</f>
        <v>26.98</v>
      </c>
      <c r="D1013">
        <f>VLOOKUP(A1013,Medical_Examinations[],3,FALSE)</f>
        <v>9.81</v>
      </c>
      <c r="E1013" t="str">
        <f>VLOOKUP(A1013,Medical_Examinations[],4,FALSE)</f>
        <v>Yes</v>
      </c>
      <c r="F1013" t="str">
        <f>VLOOKUP(A1013,Medical_Examinations[],5,FALSE)</f>
        <v>No</v>
      </c>
      <c r="G1013" t="str">
        <f>VLOOKUP(A1013,Medical_Examinations[],6,FALSE)</f>
        <v>No</v>
      </c>
      <c r="H1013">
        <f>VLOOKUP(A1013,Medical_Examinations[],7,FALSE)</f>
        <v>0</v>
      </c>
      <c r="I1013" t="str">
        <f>VLOOKUP(A1013,Medical_Examinations[],8,FALSE)</f>
        <v>No</v>
      </c>
      <c r="J1013" t="str">
        <f>VLOOKUP(A1013,Medical_Examinations[],9,FALSE)</f>
        <v>Overweight</v>
      </c>
      <c r="K1013" t="str">
        <f>VLOOKUP(A1013,Medical_Examinations[],10,FALSE)</f>
        <v>Diabetes</v>
      </c>
      <c r="M1013">
        <f>VLOOKUP(A1013,Hospitalisation_Details__2[],4,FALSE)</f>
        <v>11082.58</v>
      </c>
      <c r="N1013" t="str">
        <f>VLOOKUP(A1013,Hospitalisation_Details__2[],5,FALSE)</f>
        <v>tier - 3</v>
      </c>
      <c r="O1013" t="str">
        <f>VLOOKUP(A1013,Hospitalisation_Details__2[],6,FALSE)</f>
        <v>tier - 2</v>
      </c>
      <c r="P1013" t="str">
        <f>VLOOKUP(A1013,Hospitalisation_Details__2[],7,FALSE)</f>
        <v>R1012</v>
      </c>
    </row>
    <row r="1014" spans="1:16" x14ac:dyDescent="0.35">
      <c r="A1014" t="str">
        <v>Id1013</v>
      </c>
      <c r="B1014" t="str">
        <f>VLOOKUP(A1014,'Customer Names (2)'!A:B, 2,FALSE)</f>
        <v>Ms</v>
      </c>
      <c r="C1014">
        <f>VLOOKUP(A1014,Medical_Examinations[],2,FALSE)</f>
        <v>27.2</v>
      </c>
      <c r="D1014">
        <f>VLOOKUP(A1014,Medical_Examinations[],3,FALSE)</f>
        <v>6.06</v>
      </c>
      <c r="E1014" t="str">
        <f>VLOOKUP(A1014,Medical_Examinations[],4,FALSE)</f>
        <v>Yes</v>
      </c>
      <c r="F1014" t="str">
        <f>VLOOKUP(A1014,Medical_Examinations[],5,FALSE)</f>
        <v>No</v>
      </c>
      <c r="G1014" t="str">
        <f>VLOOKUP(A1014,Medical_Examinations[],6,FALSE)</f>
        <v>No</v>
      </c>
      <c r="H1014">
        <f>VLOOKUP(A1014,Medical_Examinations[],7,FALSE)</f>
        <v>2</v>
      </c>
      <c r="I1014" t="str">
        <f>VLOOKUP(A1014,Medical_Examinations[],8,FALSE)</f>
        <v>No</v>
      </c>
      <c r="J1014" t="str">
        <f>VLOOKUP(A1014,Medical_Examinations[],9,FALSE)</f>
        <v>Overweight</v>
      </c>
      <c r="K1014" t="str">
        <f>VLOOKUP(A1014,Medical_Examinations[],10,FALSE)</f>
        <v>Prediabetes</v>
      </c>
      <c r="M1014">
        <f>VLOOKUP(A1014,Hospitalisation_Details__2[],4,FALSE)</f>
        <v>11073.18</v>
      </c>
      <c r="N1014" t="str">
        <f>VLOOKUP(A1014,Hospitalisation_Details__2[],5,FALSE)</f>
        <v>tier - 3</v>
      </c>
      <c r="O1014" t="str">
        <f>VLOOKUP(A1014,Hospitalisation_Details__2[],6,FALSE)</f>
        <v>tier - 3</v>
      </c>
      <c r="P1014" t="str">
        <f>VLOOKUP(A1014,Hospitalisation_Details__2[],7,FALSE)</f>
        <v>R1011</v>
      </c>
    </row>
    <row r="1015" spans="1:16" x14ac:dyDescent="0.35">
      <c r="A1015" t="str">
        <v>Id1014</v>
      </c>
      <c r="B1015" t="str">
        <f>VLOOKUP(A1015,'Customer Names (2)'!A:B, 2,FALSE)</f>
        <v>Ms</v>
      </c>
      <c r="C1015">
        <f>VLOOKUP(A1015,Medical_Examinations[],2,FALSE)</f>
        <v>25.3</v>
      </c>
      <c r="D1015">
        <f>VLOOKUP(A1015,Medical_Examinations[],3,FALSE)</f>
        <v>5.19</v>
      </c>
      <c r="E1015" t="str">
        <f>VLOOKUP(A1015,Medical_Examinations[],4,FALSE)</f>
        <v>Yes</v>
      </c>
      <c r="F1015" t="str">
        <f>VLOOKUP(A1015,Medical_Examinations[],5,FALSE)</f>
        <v>No</v>
      </c>
      <c r="G1015" t="str">
        <f>VLOOKUP(A1015,Medical_Examinations[],6,FALSE)</f>
        <v>No</v>
      </c>
      <c r="H1015">
        <f>VLOOKUP(A1015,Medical_Examinations[],7,FALSE)</f>
        <v>2</v>
      </c>
      <c r="I1015" t="str">
        <f>VLOOKUP(A1015,Medical_Examinations[],8,FALSE)</f>
        <v>No</v>
      </c>
      <c r="J1015" t="str">
        <f>VLOOKUP(A1015,Medical_Examinations[],9,FALSE)</f>
        <v>Overweight</v>
      </c>
      <c r="K1015" t="str">
        <f>VLOOKUP(A1015,Medical_Examinations[],10,FALSE)</f>
        <v>Normal</v>
      </c>
      <c r="M1015">
        <f>VLOOKUP(A1015,Hospitalisation_Details__2[],4,FALSE)</f>
        <v>11070.54</v>
      </c>
      <c r="N1015" t="str">
        <f>VLOOKUP(A1015,Hospitalisation_Details__2[],5,FALSE)</f>
        <v>tier - 3</v>
      </c>
      <c r="O1015" t="str">
        <f>VLOOKUP(A1015,Hospitalisation_Details__2[],6,FALSE)</f>
        <v>tier - 3</v>
      </c>
      <c r="P1015" t="str">
        <f>VLOOKUP(A1015,Hospitalisation_Details__2[],7,FALSE)</f>
        <v>R1011</v>
      </c>
    </row>
    <row r="1016" spans="1:16" x14ac:dyDescent="0.35">
      <c r="A1016" t="str">
        <v>Id1015</v>
      </c>
      <c r="B1016" t="str">
        <f>VLOOKUP(A1016,'Customer Names (2)'!A:B, 2,FALSE)</f>
        <v>Ms</v>
      </c>
      <c r="C1016">
        <f>VLOOKUP(A1016,Medical_Examinations[],2,FALSE)</f>
        <v>30.25</v>
      </c>
      <c r="D1016">
        <f>VLOOKUP(A1016,Medical_Examinations[],3,FALSE)</f>
        <v>10.16</v>
      </c>
      <c r="E1016" t="str">
        <f>VLOOKUP(A1016,Medical_Examinations[],4,FALSE)</f>
        <v>No</v>
      </c>
      <c r="F1016" t="str">
        <f>VLOOKUP(A1016,Medical_Examinations[],5,FALSE)</f>
        <v>No</v>
      </c>
      <c r="G1016" t="str">
        <f>VLOOKUP(A1016,Medical_Examinations[],6,FALSE)</f>
        <v>No</v>
      </c>
      <c r="H1016">
        <f>VLOOKUP(A1016,Medical_Examinations[],7,FALSE)</f>
        <v>0</v>
      </c>
      <c r="I1016" t="str">
        <f>VLOOKUP(A1016,Medical_Examinations[],8,FALSE)</f>
        <v>No</v>
      </c>
      <c r="J1016" t="str">
        <f>VLOOKUP(A1016,Medical_Examinations[],9,FALSE)</f>
        <v>Obesity</v>
      </c>
      <c r="K1016" t="str">
        <f>VLOOKUP(A1016,Medical_Examinations[],10,FALSE)</f>
        <v>Diabetes</v>
      </c>
      <c r="M1016">
        <f>VLOOKUP(A1016,Hospitalisation_Details__2[],4,FALSE)</f>
        <v>11068.77</v>
      </c>
      <c r="N1016" t="str">
        <f>VLOOKUP(A1016,Hospitalisation_Details__2[],5,FALSE)</f>
        <v>tier - 3</v>
      </c>
      <c r="O1016" t="str">
        <f>VLOOKUP(A1016,Hospitalisation_Details__2[],6,FALSE)</f>
        <v>tier - 2</v>
      </c>
      <c r="P1016" t="str">
        <f>VLOOKUP(A1016,Hospitalisation_Details__2[],7,FALSE)</f>
        <v>R1012</v>
      </c>
    </row>
    <row r="1017" spans="1:16" x14ac:dyDescent="0.35">
      <c r="A1017" t="str">
        <v>Id1016</v>
      </c>
      <c r="B1017" t="str">
        <f>VLOOKUP(A1017,'Customer Names (2)'!A:B, 2,FALSE)</f>
        <v>Ms</v>
      </c>
      <c r="C1017">
        <f>VLOOKUP(A1017,Medical_Examinations[],2,FALSE)</f>
        <v>54</v>
      </c>
      <c r="D1017">
        <f>VLOOKUP(A1017,Medical_Examinations[],3,FALSE)</f>
        <v>4.68</v>
      </c>
      <c r="E1017" t="str">
        <f>VLOOKUP(A1017,Medical_Examinations[],4,FALSE)</f>
        <v>Yes</v>
      </c>
      <c r="F1017" t="str">
        <f>VLOOKUP(A1017,Medical_Examinations[],5,FALSE)</f>
        <v>yes</v>
      </c>
      <c r="G1017" t="str">
        <f>VLOOKUP(A1017,Medical_Examinations[],6,FALSE)</f>
        <v>No</v>
      </c>
      <c r="H1017">
        <f>VLOOKUP(A1017,Medical_Examinations[],7,FALSE)</f>
        <v>2</v>
      </c>
      <c r="I1017" t="str">
        <f>VLOOKUP(A1017,Medical_Examinations[],8,FALSE)</f>
        <v>No</v>
      </c>
      <c r="J1017" t="str">
        <f>VLOOKUP(A1017,Medical_Examinations[],9,FALSE)</f>
        <v>Obesity</v>
      </c>
      <c r="K1017" t="str">
        <f>VLOOKUP(A1017,Medical_Examinations[],10,FALSE)</f>
        <v>Normal</v>
      </c>
      <c r="M1017">
        <f>VLOOKUP(A1017,Hospitalisation_Details__2[],4,FALSE)</f>
        <v>11068.7</v>
      </c>
      <c r="N1017" t="str">
        <f>VLOOKUP(A1017,Hospitalisation_Details__2[],5,FALSE)</f>
        <v>tier - 3</v>
      </c>
      <c r="O1017" t="str">
        <f>VLOOKUP(A1017,Hospitalisation_Details__2[],6,FALSE)</f>
        <v>tier - 1</v>
      </c>
      <c r="P1017" t="str">
        <f>VLOOKUP(A1017,Hospitalisation_Details__2[],7,FALSE)</f>
        <v>R1011</v>
      </c>
    </row>
    <row r="1018" spans="1:16" x14ac:dyDescent="0.35">
      <c r="A1018" t="str">
        <v>Id1017</v>
      </c>
      <c r="B1018" t="str">
        <f>VLOOKUP(A1018,'Customer Names (2)'!A:B, 2,FALSE)</f>
        <v>Mrs</v>
      </c>
      <c r="C1018">
        <f>VLOOKUP(A1018,Medical_Examinations[],2,FALSE)</f>
        <v>51.86</v>
      </c>
      <c r="D1018">
        <f>VLOOKUP(A1018,Medical_Examinations[],3,FALSE)</f>
        <v>5.32</v>
      </c>
      <c r="E1018" t="str">
        <f>VLOOKUP(A1018,Medical_Examinations[],4,FALSE)</f>
        <v>Yes</v>
      </c>
      <c r="F1018" t="str">
        <f>VLOOKUP(A1018,Medical_Examinations[],5,FALSE)</f>
        <v>No</v>
      </c>
      <c r="G1018" t="str">
        <f>VLOOKUP(A1018,Medical_Examinations[],6,FALSE)</f>
        <v>No</v>
      </c>
      <c r="H1018">
        <f>VLOOKUP(A1018,Medical_Examinations[],7,FALSE)</f>
        <v>0</v>
      </c>
      <c r="I1018" t="str">
        <f>VLOOKUP(A1018,Medical_Examinations[],8,FALSE)</f>
        <v>No</v>
      </c>
      <c r="J1018" t="str">
        <f>VLOOKUP(A1018,Medical_Examinations[],9,FALSE)</f>
        <v>Obesity</v>
      </c>
      <c r="K1018" t="str">
        <f>VLOOKUP(A1018,Medical_Examinations[],10,FALSE)</f>
        <v>Normal</v>
      </c>
      <c r="M1018">
        <f>VLOOKUP(A1018,Hospitalisation_Details__2[],4,FALSE)</f>
        <v>11046.02</v>
      </c>
      <c r="N1018" t="str">
        <f>VLOOKUP(A1018,Hospitalisation_Details__2[],5,FALSE)</f>
        <v>tier - 3</v>
      </c>
      <c r="O1018" t="str">
        <f>VLOOKUP(A1018,Hospitalisation_Details__2[],6,FALSE)</f>
        <v>tier - 1</v>
      </c>
      <c r="P1018" t="str">
        <f>VLOOKUP(A1018,Hospitalisation_Details__2[],7,FALSE)</f>
        <v>R1026</v>
      </c>
    </row>
    <row r="1019" spans="1:16" x14ac:dyDescent="0.35">
      <c r="A1019" t="str">
        <v>Id1018</v>
      </c>
      <c r="B1019" t="str">
        <f>VLOOKUP(A1019,'Customer Names (2)'!A:B, 2,FALSE)</f>
        <v>Mrs</v>
      </c>
      <c r="C1019">
        <f>VLOOKUP(A1019,Medical_Examinations[],2,FALSE)</f>
        <v>31.39</v>
      </c>
      <c r="D1019">
        <f>VLOOKUP(A1019,Medical_Examinations[],3,FALSE)</f>
        <v>6.99</v>
      </c>
      <c r="E1019" t="str">
        <f>VLOOKUP(A1019,Medical_Examinations[],4,FALSE)</f>
        <v>No</v>
      </c>
      <c r="F1019" t="str">
        <f>VLOOKUP(A1019,Medical_Examinations[],5,FALSE)</f>
        <v>No</v>
      </c>
      <c r="G1019" t="str">
        <f>VLOOKUP(A1019,Medical_Examinations[],6,FALSE)</f>
        <v>No</v>
      </c>
      <c r="H1019">
        <f>VLOOKUP(A1019,Medical_Examinations[],7,FALSE)</f>
        <v>0</v>
      </c>
      <c r="I1019" t="str">
        <f>VLOOKUP(A1019,Medical_Examinations[],8,FALSE)</f>
        <v>No</v>
      </c>
      <c r="J1019" t="str">
        <f>VLOOKUP(A1019,Medical_Examinations[],9,FALSE)</f>
        <v>Obesity</v>
      </c>
      <c r="K1019" t="str">
        <f>VLOOKUP(A1019,Medical_Examinations[],10,FALSE)</f>
        <v>Diabetes</v>
      </c>
      <c r="M1019">
        <f>VLOOKUP(A1019,Hospitalisation_Details__2[],4,FALSE)</f>
        <v>11037.85</v>
      </c>
      <c r="N1019" t="str">
        <f>VLOOKUP(A1019,Hospitalisation_Details__2[],5,FALSE)</f>
        <v>tier - 3</v>
      </c>
      <c r="O1019" t="str">
        <f>VLOOKUP(A1019,Hospitalisation_Details__2[],6,FALSE)</f>
        <v>tier - 2</v>
      </c>
      <c r="P1019" t="str">
        <f>VLOOKUP(A1019,Hospitalisation_Details__2[],7,FALSE)</f>
        <v>R1025</v>
      </c>
    </row>
    <row r="1020" spans="1:16" x14ac:dyDescent="0.35">
      <c r="A1020" t="str">
        <v>Id1019</v>
      </c>
      <c r="B1020" t="str">
        <f>VLOOKUP(A1020,'Customer Names (2)'!A:B, 2,FALSE)</f>
        <v>Mr</v>
      </c>
      <c r="C1020">
        <f>VLOOKUP(A1020,Medical_Examinations[],2,FALSE)</f>
        <v>39.97</v>
      </c>
      <c r="D1020">
        <f>VLOOKUP(A1020,Medical_Examinations[],3,FALSE)</f>
        <v>5.55</v>
      </c>
      <c r="E1020" t="str">
        <f>VLOOKUP(A1020,Medical_Examinations[],4,FALSE)</f>
        <v>No</v>
      </c>
      <c r="F1020" t="str">
        <f>VLOOKUP(A1020,Medical_Examinations[],5,FALSE)</f>
        <v>No</v>
      </c>
      <c r="G1020" t="str">
        <f>VLOOKUP(A1020,Medical_Examinations[],6,FALSE)</f>
        <v>No</v>
      </c>
      <c r="H1020">
        <f>VLOOKUP(A1020,Medical_Examinations[],7,FALSE)</f>
        <v>0</v>
      </c>
      <c r="I1020" t="str">
        <f>VLOOKUP(A1020,Medical_Examinations[],8,FALSE)</f>
        <v>No</v>
      </c>
      <c r="J1020" t="str">
        <f>VLOOKUP(A1020,Medical_Examinations[],9,FALSE)</f>
        <v>Obesity</v>
      </c>
      <c r="K1020" t="str">
        <f>VLOOKUP(A1020,Medical_Examinations[],10,FALSE)</f>
        <v>Normal</v>
      </c>
      <c r="M1020">
        <f>VLOOKUP(A1020,Hospitalisation_Details__2[],4,FALSE)</f>
        <v>11037.51</v>
      </c>
      <c r="N1020" t="str">
        <f>VLOOKUP(A1020,Hospitalisation_Details__2[],5,FALSE)</f>
        <v>tier - 3</v>
      </c>
      <c r="O1020" t="str">
        <f>VLOOKUP(A1020,Hospitalisation_Details__2[],6,FALSE)</f>
        <v>tier - 1</v>
      </c>
      <c r="P1020" t="str">
        <f>VLOOKUP(A1020,Hospitalisation_Details__2[],7,FALSE)</f>
        <v>R1012</v>
      </c>
    </row>
    <row r="1021" spans="1:16" x14ac:dyDescent="0.35">
      <c r="A1021" t="str">
        <v>Id1020</v>
      </c>
      <c r="B1021" t="str">
        <f>VLOOKUP(A1021,'Customer Names (2)'!A:B, 2,FALSE)</f>
        <v>Ms</v>
      </c>
      <c r="C1021">
        <f>VLOOKUP(A1021,Medical_Examinations[],2,FALSE)</f>
        <v>41.23</v>
      </c>
      <c r="D1021">
        <f>VLOOKUP(A1021,Medical_Examinations[],3,FALSE)</f>
        <v>6.94</v>
      </c>
      <c r="E1021" t="str">
        <f>VLOOKUP(A1021,Medical_Examinations[],4,FALSE)</f>
        <v>No</v>
      </c>
      <c r="F1021" t="str">
        <f>VLOOKUP(A1021,Medical_Examinations[],5,FALSE)</f>
        <v>No</v>
      </c>
      <c r="G1021" t="str">
        <f>VLOOKUP(A1021,Medical_Examinations[],6,FALSE)</f>
        <v>No</v>
      </c>
      <c r="H1021">
        <f>VLOOKUP(A1021,Medical_Examinations[],7,FALSE)</f>
        <v>0</v>
      </c>
      <c r="I1021" t="str">
        <f>VLOOKUP(A1021,Medical_Examinations[],8,FALSE)</f>
        <v>No</v>
      </c>
      <c r="J1021" t="str">
        <f>VLOOKUP(A1021,Medical_Examinations[],9,FALSE)</f>
        <v>Obesity</v>
      </c>
      <c r="K1021" t="str">
        <f>VLOOKUP(A1021,Medical_Examinations[],10,FALSE)</f>
        <v>Diabetes</v>
      </c>
      <c r="M1021">
        <f>VLOOKUP(A1021,Hospitalisation_Details__2[],4,FALSE)</f>
        <v>11033.66</v>
      </c>
      <c r="N1021" t="str">
        <f>VLOOKUP(A1021,Hospitalisation_Details__2[],5,FALSE)</f>
        <v>tier - 3</v>
      </c>
      <c r="O1021" t="str">
        <f>VLOOKUP(A1021,Hospitalisation_Details__2[],6,FALSE)</f>
        <v>tier - 3</v>
      </c>
      <c r="P1021" t="str">
        <f>VLOOKUP(A1021,Hospitalisation_Details__2[],7,FALSE)</f>
        <v>R1012</v>
      </c>
    </row>
    <row r="1022" spans="1:16" x14ac:dyDescent="0.35">
      <c r="A1022" t="str">
        <v>Id1021</v>
      </c>
      <c r="B1022" t="str">
        <f>VLOOKUP(A1022,'Customer Names (2)'!A:B, 2,FALSE)</f>
        <v>Mr</v>
      </c>
      <c r="C1022">
        <f>VLOOKUP(A1022,Medical_Examinations[],2,FALSE)</f>
        <v>49.45</v>
      </c>
      <c r="D1022">
        <f>VLOOKUP(A1022,Medical_Examinations[],3,FALSE)</f>
        <v>4.2</v>
      </c>
      <c r="E1022" t="str">
        <f>VLOOKUP(A1022,Medical_Examinations[],4,FALSE)</f>
        <v>Yes</v>
      </c>
      <c r="F1022" t="str">
        <f>VLOOKUP(A1022,Medical_Examinations[],5,FALSE)</f>
        <v>No</v>
      </c>
      <c r="G1022" t="str">
        <f>VLOOKUP(A1022,Medical_Examinations[],6,FALSE)</f>
        <v>No</v>
      </c>
      <c r="H1022">
        <f>VLOOKUP(A1022,Medical_Examinations[],7,FALSE)</f>
        <v>0</v>
      </c>
      <c r="I1022" t="str">
        <f>VLOOKUP(A1022,Medical_Examinations[],8,FALSE)</f>
        <v>No</v>
      </c>
      <c r="J1022" t="str">
        <f>VLOOKUP(A1022,Medical_Examinations[],9,FALSE)</f>
        <v>Obesity</v>
      </c>
      <c r="K1022" t="str">
        <f>VLOOKUP(A1022,Medical_Examinations[],10,FALSE)</f>
        <v>Normal</v>
      </c>
      <c r="M1022">
        <f>VLOOKUP(A1022,Hospitalisation_Details__2[],4,FALSE)</f>
        <v>11028.56</v>
      </c>
      <c r="N1022" t="str">
        <f>VLOOKUP(A1022,Hospitalisation_Details__2[],5,FALSE)</f>
        <v>tier - 3</v>
      </c>
      <c r="O1022" t="str">
        <f>VLOOKUP(A1022,Hospitalisation_Details__2[],6,FALSE)</f>
        <v>tier - 3</v>
      </c>
      <c r="P1022" t="str">
        <f>VLOOKUP(A1022,Hospitalisation_Details__2[],7,FALSE)</f>
        <v>R1012</v>
      </c>
    </row>
    <row r="1023" spans="1:16" x14ac:dyDescent="0.35">
      <c r="A1023" t="str">
        <v>Id1022</v>
      </c>
      <c r="B1023" t="str">
        <f>VLOOKUP(A1023,'Customer Names (2)'!A:B, 2,FALSE)</f>
        <v>Ms</v>
      </c>
      <c r="C1023">
        <f>VLOOKUP(A1023,Medical_Examinations[],2,FALSE)</f>
        <v>41.04</v>
      </c>
      <c r="D1023">
        <f>VLOOKUP(A1023,Medical_Examinations[],3,FALSE)</f>
        <v>5.59</v>
      </c>
      <c r="E1023" t="str">
        <f>VLOOKUP(A1023,Medical_Examinations[],4,FALSE)</f>
        <v>No</v>
      </c>
      <c r="F1023" t="str">
        <f>VLOOKUP(A1023,Medical_Examinations[],5,FALSE)</f>
        <v>No</v>
      </c>
      <c r="G1023" t="str">
        <f>VLOOKUP(A1023,Medical_Examinations[],6,FALSE)</f>
        <v>No</v>
      </c>
      <c r="H1023">
        <f>VLOOKUP(A1023,Medical_Examinations[],7,FALSE)</f>
        <v>0</v>
      </c>
      <c r="I1023" t="str">
        <f>VLOOKUP(A1023,Medical_Examinations[],8,FALSE)</f>
        <v>No</v>
      </c>
      <c r="J1023" t="str">
        <f>VLOOKUP(A1023,Medical_Examinations[],9,FALSE)</f>
        <v>Obesity</v>
      </c>
      <c r="K1023" t="str">
        <f>VLOOKUP(A1023,Medical_Examinations[],10,FALSE)</f>
        <v>Normal</v>
      </c>
      <c r="M1023">
        <f>VLOOKUP(A1023,Hospitalisation_Details__2[],4,FALSE)</f>
        <v>11018.05</v>
      </c>
      <c r="N1023" t="str">
        <f>VLOOKUP(A1023,Hospitalisation_Details__2[],5,FALSE)</f>
        <v>tier - 3</v>
      </c>
      <c r="O1023" t="str">
        <f>VLOOKUP(A1023,Hospitalisation_Details__2[],6,FALSE)</f>
        <v>tier - 2</v>
      </c>
      <c r="P1023" t="str">
        <f>VLOOKUP(A1023,Hospitalisation_Details__2[],7,FALSE)</f>
        <v>R1012</v>
      </c>
    </row>
    <row r="1024" spans="1:16" x14ac:dyDescent="0.35">
      <c r="A1024" t="str">
        <v>Id1023</v>
      </c>
      <c r="B1024" t="str">
        <f>VLOOKUP(A1024,'Customer Names (2)'!A:B, 2,FALSE)</f>
        <v>Ms</v>
      </c>
      <c r="C1024">
        <f>VLOOKUP(A1024,Medical_Examinations[],2,FALSE)</f>
        <v>27.93</v>
      </c>
      <c r="D1024">
        <f>VLOOKUP(A1024,Medical_Examinations[],3,FALSE)</f>
        <v>9.9600000000000009</v>
      </c>
      <c r="E1024" t="str">
        <f>VLOOKUP(A1024,Medical_Examinations[],4,FALSE)</f>
        <v>No</v>
      </c>
      <c r="F1024" t="str">
        <f>VLOOKUP(A1024,Medical_Examinations[],5,FALSE)</f>
        <v>No</v>
      </c>
      <c r="G1024" t="str">
        <f>VLOOKUP(A1024,Medical_Examinations[],6,FALSE)</f>
        <v>No</v>
      </c>
      <c r="H1024">
        <f>VLOOKUP(A1024,Medical_Examinations[],7,FALSE)</f>
        <v>0</v>
      </c>
      <c r="I1024" t="str">
        <f>VLOOKUP(A1024,Medical_Examinations[],8,FALSE)</f>
        <v>No</v>
      </c>
      <c r="J1024" t="str">
        <f>VLOOKUP(A1024,Medical_Examinations[],9,FALSE)</f>
        <v>Overweight</v>
      </c>
      <c r="K1024" t="str">
        <f>VLOOKUP(A1024,Medical_Examinations[],10,FALSE)</f>
        <v>Diabetes</v>
      </c>
      <c r="M1024">
        <f>VLOOKUP(A1024,Hospitalisation_Details__2[],4,FALSE)</f>
        <v>11015.17</v>
      </c>
      <c r="N1024" t="str">
        <f>VLOOKUP(A1024,Hospitalisation_Details__2[],5,FALSE)</f>
        <v>tier - 3</v>
      </c>
      <c r="O1024" t="str">
        <f>VLOOKUP(A1024,Hospitalisation_Details__2[],6,FALSE)</f>
        <v>tier - 1</v>
      </c>
      <c r="P1024" t="str">
        <f>VLOOKUP(A1024,Hospitalisation_Details__2[],7,FALSE)</f>
        <v>R1012</v>
      </c>
    </row>
    <row r="1025" spans="1:16" x14ac:dyDescent="0.35">
      <c r="A1025" t="str">
        <v>Id1024</v>
      </c>
      <c r="B1025" t="str">
        <f>VLOOKUP(A1025,'Customer Names (2)'!A:B, 2,FALSE)</f>
        <v>Mr</v>
      </c>
      <c r="C1025">
        <f>VLOOKUP(A1025,Medical_Examinations[],2,FALSE)</f>
        <v>21.01</v>
      </c>
      <c r="D1025">
        <f>VLOOKUP(A1025,Medical_Examinations[],3,FALSE)</f>
        <v>7.37</v>
      </c>
      <c r="E1025" t="str">
        <f>VLOOKUP(A1025,Medical_Examinations[],4,FALSE)</f>
        <v>No</v>
      </c>
      <c r="F1025" t="str">
        <f>VLOOKUP(A1025,Medical_Examinations[],5,FALSE)</f>
        <v>No</v>
      </c>
      <c r="G1025" t="str">
        <f>VLOOKUP(A1025,Medical_Examinations[],6,FALSE)</f>
        <v>No</v>
      </c>
      <c r="H1025">
        <f>VLOOKUP(A1025,Medical_Examinations[],7,FALSE)</f>
        <v>0</v>
      </c>
      <c r="I1025" t="str">
        <f>VLOOKUP(A1025,Medical_Examinations[],8,FALSE)</f>
        <v>No</v>
      </c>
      <c r="J1025" t="str">
        <f>VLOOKUP(A1025,Medical_Examinations[],9,FALSE)</f>
        <v>Normal Weight</v>
      </c>
      <c r="K1025" t="str">
        <f>VLOOKUP(A1025,Medical_Examinations[],10,FALSE)</f>
        <v>Diabetes</v>
      </c>
      <c r="M1025">
        <f>VLOOKUP(A1025,Hospitalisation_Details__2[],4,FALSE)</f>
        <v>11013.71</v>
      </c>
      <c r="N1025" t="str">
        <f>VLOOKUP(A1025,Hospitalisation_Details__2[],5,FALSE)</f>
        <v>tier - 3</v>
      </c>
      <c r="O1025" t="str">
        <f>VLOOKUP(A1025,Hospitalisation_Details__2[],6,FALSE)</f>
        <v>tier - 1</v>
      </c>
      <c r="P1025" t="str">
        <f>VLOOKUP(A1025,Hospitalisation_Details__2[],7,FALSE)</f>
        <v>R1013</v>
      </c>
    </row>
    <row r="1026" spans="1:16" x14ac:dyDescent="0.35">
      <c r="A1026" t="str">
        <v>Id1025</v>
      </c>
      <c r="B1026" t="str">
        <f>VLOOKUP(A1026,'Customer Names (2)'!A:B, 2,FALSE)</f>
        <v>Mr</v>
      </c>
      <c r="C1026">
        <f>VLOOKUP(A1026,Medical_Examinations[],2,FALSE)</f>
        <v>52.37</v>
      </c>
      <c r="D1026">
        <f>VLOOKUP(A1026,Medical_Examinations[],3,FALSE)</f>
        <v>5.0599999999999996</v>
      </c>
      <c r="E1026" t="str">
        <f>VLOOKUP(A1026,Medical_Examinations[],4,FALSE)</f>
        <v>Yes</v>
      </c>
      <c r="F1026" t="str">
        <f>VLOOKUP(A1026,Medical_Examinations[],5,FALSE)</f>
        <v>yes</v>
      </c>
      <c r="G1026" t="str">
        <f>VLOOKUP(A1026,Medical_Examinations[],6,FALSE)</f>
        <v>No</v>
      </c>
      <c r="H1026">
        <f>VLOOKUP(A1026,Medical_Examinations[],7,FALSE)</f>
        <v>2</v>
      </c>
      <c r="I1026" t="str">
        <f>VLOOKUP(A1026,Medical_Examinations[],8,FALSE)</f>
        <v>No</v>
      </c>
      <c r="J1026" t="str">
        <f>VLOOKUP(A1026,Medical_Examinations[],9,FALSE)</f>
        <v>Obesity</v>
      </c>
      <c r="K1026" t="str">
        <f>VLOOKUP(A1026,Medical_Examinations[],10,FALSE)</f>
        <v>Normal</v>
      </c>
      <c r="M1026">
        <f>VLOOKUP(A1026,Hospitalisation_Details__2[],4,FALSE)</f>
        <v>10991.58</v>
      </c>
      <c r="N1026" t="str">
        <f>VLOOKUP(A1026,Hospitalisation_Details__2[],5,FALSE)</f>
        <v>tier - 3</v>
      </c>
      <c r="O1026" t="str">
        <f>VLOOKUP(A1026,Hospitalisation_Details__2[],6,FALSE)</f>
        <v>tier - 3</v>
      </c>
      <c r="P1026" t="str">
        <f>VLOOKUP(A1026,Hospitalisation_Details__2[],7,FALSE)</f>
        <v>R1012</v>
      </c>
    </row>
    <row r="1027" spans="1:16" x14ac:dyDescent="0.35">
      <c r="A1027" t="str">
        <v>Id1026</v>
      </c>
      <c r="B1027" t="str">
        <f>VLOOKUP(A1027,'Customer Names (2)'!A:B, 2,FALSE)</f>
        <v>Mr</v>
      </c>
      <c r="C1027">
        <f>VLOOKUP(A1027,Medical_Examinations[],2,FALSE)</f>
        <v>40.369999999999997</v>
      </c>
      <c r="D1027">
        <f>VLOOKUP(A1027,Medical_Examinations[],3,FALSE)</f>
        <v>8.2100000000000009</v>
      </c>
      <c r="E1027" t="str">
        <f>VLOOKUP(A1027,Medical_Examinations[],4,FALSE)</f>
        <v>No</v>
      </c>
      <c r="F1027" t="str">
        <f>VLOOKUP(A1027,Medical_Examinations[],5,FALSE)</f>
        <v>No</v>
      </c>
      <c r="G1027" t="str">
        <f>VLOOKUP(A1027,Medical_Examinations[],6,FALSE)</f>
        <v>No</v>
      </c>
      <c r="H1027">
        <f>VLOOKUP(A1027,Medical_Examinations[],7,FALSE)</f>
        <v>0</v>
      </c>
      <c r="I1027" t="str">
        <f>VLOOKUP(A1027,Medical_Examinations[],8,FALSE)</f>
        <v>No</v>
      </c>
      <c r="J1027" t="str">
        <f>VLOOKUP(A1027,Medical_Examinations[],9,FALSE)</f>
        <v>Obesity</v>
      </c>
      <c r="K1027" t="str">
        <f>VLOOKUP(A1027,Medical_Examinations[],10,FALSE)</f>
        <v>Diabetes</v>
      </c>
      <c r="M1027">
        <f>VLOOKUP(A1027,Hospitalisation_Details__2[],4,FALSE)</f>
        <v>10982.5</v>
      </c>
      <c r="N1027" t="str">
        <f>VLOOKUP(A1027,Hospitalisation_Details__2[],5,FALSE)</f>
        <v>tier - 3</v>
      </c>
      <c r="O1027" t="str">
        <f>VLOOKUP(A1027,Hospitalisation_Details__2[],6,FALSE)</f>
        <v>tier - 3</v>
      </c>
      <c r="P1027" t="str">
        <f>VLOOKUP(A1027,Hospitalisation_Details__2[],7,FALSE)</f>
        <v>R1013</v>
      </c>
    </row>
    <row r="1028" spans="1:16" x14ac:dyDescent="0.35">
      <c r="A1028" t="str">
        <v>Id1027</v>
      </c>
      <c r="B1028" t="str">
        <f>VLOOKUP(A1028,'Customer Names (2)'!A:B, 2,FALSE)</f>
        <v>Ms</v>
      </c>
      <c r="C1028">
        <f>VLOOKUP(A1028,Medical_Examinations[],2,FALSE)</f>
        <v>41.47</v>
      </c>
      <c r="D1028">
        <f>VLOOKUP(A1028,Medical_Examinations[],3,FALSE)</f>
        <v>10.34</v>
      </c>
      <c r="E1028" t="str">
        <f>VLOOKUP(A1028,Medical_Examinations[],4,FALSE)</f>
        <v>No</v>
      </c>
      <c r="F1028" t="str">
        <f>VLOOKUP(A1028,Medical_Examinations[],5,FALSE)</f>
        <v>No</v>
      </c>
      <c r="G1028" t="str">
        <f>VLOOKUP(A1028,Medical_Examinations[],6,FALSE)</f>
        <v>No</v>
      </c>
      <c r="H1028">
        <f>VLOOKUP(A1028,Medical_Examinations[],7,FALSE)</f>
        <v>2</v>
      </c>
      <c r="I1028" t="str">
        <f>VLOOKUP(A1028,Medical_Examinations[],8,FALSE)</f>
        <v>No</v>
      </c>
      <c r="J1028" t="str">
        <f>VLOOKUP(A1028,Medical_Examinations[],9,FALSE)</f>
        <v>Obesity</v>
      </c>
      <c r="K1028" t="str">
        <f>VLOOKUP(A1028,Medical_Examinations[],10,FALSE)</f>
        <v>Diabetes</v>
      </c>
      <c r="M1028">
        <f>VLOOKUP(A1028,Hospitalisation_Details__2[],4,FALSE)</f>
        <v>10977.21</v>
      </c>
      <c r="N1028" t="str">
        <f>VLOOKUP(A1028,Hospitalisation_Details__2[],5,FALSE)</f>
        <v>tier - 3</v>
      </c>
      <c r="O1028" t="str">
        <f>VLOOKUP(A1028,Hospitalisation_Details__2[],6,FALSE)</f>
        <v>tier - 1</v>
      </c>
      <c r="P1028" t="str">
        <f>VLOOKUP(A1028,Hospitalisation_Details__2[],7,FALSE)</f>
        <v>R1013</v>
      </c>
    </row>
    <row r="1029" spans="1:16" x14ac:dyDescent="0.35">
      <c r="A1029" t="str">
        <v>Id1028</v>
      </c>
      <c r="B1029" t="str">
        <f>VLOOKUP(A1029,'Customer Names (2)'!A:B, 2,FALSE)</f>
        <v>Mr</v>
      </c>
      <c r="C1029">
        <f>VLOOKUP(A1029,Medical_Examinations[],2,FALSE)</f>
        <v>33.725000000000001</v>
      </c>
      <c r="D1029">
        <f>VLOOKUP(A1029,Medical_Examinations[],3,FALSE)</f>
        <v>5.51</v>
      </c>
      <c r="E1029" t="str">
        <f>VLOOKUP(A1029,Medical_Examinations[],4,FALSE)</f>
        <v>Yes</v>
      </c>
      <c r="F1029" t="str">
        <f>VLOOKUP(A1029,Medical_Examinations[],5,FALSE)</f>
        <v>No</v>
      </c>
      <c r="G1029" t="str">
        <f>VLOOKUP(A1029,Medical_Examinations[],6,FALSE)</f>
        <v>No</v>
      </c>
      <c r="H1029">
        <f>VLOOKUP(A1029,Medical_Examinations[],7,FALSE)</f>
        <v>2</v>
      </c>
      <c r="I1029" t="str">
        <f>VLOOKUP(A1029,Medical_Examinations[],8,FALSE)</f>
        <v>No</v>
      </c>
      <c r="J1029" t="str">
        <f>VLOOKUP(A1029,Medical_Examinations[],9,FALSE)</f>
        <v>Obesity</v>
      </c>
      <c r="K1029" t="str">
        <f>VLOOKUP(A1029,Medical_Examinations[],10,FALSE)</f>
        <v>Normal</v>
      </c>
      <c r="M1029">
        <f>VLOOKUP(A1029,Hospitalisation_Details__2[],4,FALSE)</f>
        <v>10976.25</v>
      </c>
      <c r="N1029" t="str">
        <f>VLOOKUP(A1029,Hospitalisation_Details__2[],5,FALSE)</f>
        <v>tier - 3</v>
      </c>
      <c r="O1029" t="str">
        <f>VLOOKUP(A1029,Hospitalisation_Details__2[],6,FALSE)</f>
        <v>tier - 2</v>
      </c>
      <c r="P1029" t="str">
        <f>VLOOKUP(A1029,Hospitalisation_Details__2[],7,FALSE)</f>
        <v>R1012</v>
      </c>
    </row>
    <row r="1030" spans="1:16" x14ac:dyDescent="0.35">
      <c r="A1030" t="str">
        <v>Id1029</v>
      </c>
      <c r="B1030" t="str">
        <f>VLOOKUP(A1030,'Customer Names (2)'!A:B, 2,FALSE)</f>
        <v>Mr</v>
      </c>
      <c r="C1030">
        <f>VLOOKUP(A1030,Medical_Examinations[],2,FALSE)</f>
        <v>28.1</v>
      </c>
      <c r="D1030">
        <f>VLOOKUP(A1030,Medical_Examinations[],3,FALSE)</f>
        <v>11.2</v>
      </c>
      <c r="E1030" t="str">
        <f>VLOOKUP(A1030,Medical_Examinations[],4,FALSE)</f>
        <v>No</v>
      </c>
      <c r="F1030" t="str">
        <f>VLOOKUP(A1030,Medical_Examinations[],5,FALSE)</f>
        <v>No</v>
      </c>
      <c r="G1030" t="str">
        <f>VLOOKUP(A1030,Medical_Examinations[],6,FALSE)</f>
        <v>No</v>
      </c>
      <c r="H1030">
        <f>VLOOKUP(A1030,Medical_Examinations[],7,FALSE)</f>
        <v>0</v>
      </c>
      <c r="I1030" t="str">
        <f>VLOOKUP(A1030,Medical_Examinations[],8,FALSE)</f>
        <v>No</v>
      </c>
      <c r="J1030" t="str">
        <f>VLOOKUP(A1030,Medical_Examinations[],9,FALSE)</f>
        <v>Overweight</v>
      </c>
      <c r="K1030" t="str">
        <f>VLOOKUP(A1030,Medical_Examinations[],10,FALSE)</f>
        <v>Diabetes</v>
      </c>
      <c r="M1030">
        <f>VLOOKUP(A1030,Hospitalisation_Details__2[],4,FALSE)</f>
        <v>10965.45</v>
      </c>
      <c r="N1030" t="str">
        <f>VLOOKUP(A1030,Hospitalisation_Details__2[],5,FALSE)</f>
        <v>tier - 3</v>
      </c>
      <c r="O1030" t="str">
        <f>VLOOKUP(A1030,Hospitalisation_Details__2[],6,FALSE)</f>
        <v>tier - 2</v>
      </c>
      <c r="P1030" t="str">
        <f>VLOOKUP(A1030,Hospitalisation_Details__2[],7,FALSE)</f>
        <v>R1011</v>
      </c>
    </row>
    <row r="1031" spans="1:16" x14ac:dyDescent="0.35">
      <c r="A1031" t="str">
        <v>Id1030</v>
      </c>
      <c r="B1031" t="str">
        <f>VLOOKUP(A1031,'Customer Names (2)'!A:B, 2,FALSE)</f>
        <v>Ms</v>
      </c>
      <c r="C1031">
        <f>VLOOKUP(A1031,Medical_Examinations[],2,FALSE)</f>
        <v>37.43</v>
      </c>
      <c r="D1031">
        <f>VLOOKUP(A1031,Medical_Examinations[],3,FALSE)</f>
        <v>4.3499999999999996</v>
      </c>
      <c r="E1031" t="str">
        <f>VLOOKUP(A1031,Medical_Examinations[],4,FALSE)</f>
        <v>Yes</v>
      </c>
      <c r="F1031" t="str">
        <f>VLOOKUP(A1031,Medical_Examinations[],5,FALSE)</f>
        <v>No</v>
      </c>
      <c r="G1031" t="str">
        <f>VLOOKUP(A1031,Medical_Examinations[],6,FALSE)</f>
        <v>Yes</v>
      </c>
      <c r="H1031">
        <f>VLOOKUP(A1031,Medical_Examinations[],7,FALSE)</f>
        <v>1</v>
      </c>
      <c r="I1031" t="str">
        <f>VLOOKUP(A1031,Medical_Examinations[],8,FALSE)</f>
        <v>No</v>
      </c>
      <c r="J1031" t="str">
        <f>VLOOKUP(A1031,Medical_Examinations[],9,FALSE)</f>
        <v>Obesity</v>
      </c>
      <c r="K1031" t="str">
        <f>VLOOKUP(A1031,Medical_Examinations[],10,FALSE)</f>
        <v>Normal</v>
      </c>
      <c r="M1031">
        <f>VLOOKUP(A1031,Hospitalisation_Details__2[],4,FALSE)</f>
        <v>10959.69</v>
      </c>
      <c r="N1031" t="str">
        <f>VLOOKUP(A1031,Hospitalisation_Details__2[],5,FALSE)</f>
        <v>tier - 3</v>
      </c>
      <c r="O1031" t="str">
        <f>VLOOKUP(A1031,Hospitalisation_Details__2[],6,FALSE)</f>
        <v>tier - 3</v>
      </c>
      <c r="P1031" t="str">
        <f>VLOOKUP(A1031,Hospitalisation_Details__2[],7,FALSE)</f>
        <v>R1012</v>
      </c>
    </row>
    <row r="1032" spans="1:16" x14ac:dyDescent="0.35">
      <c r="A1032" t="str">
        <v>Id1031</v>
      </c>
      <c r="B1032" t="str">
        <f>VLOOKUP(A1032,'Customer Names (2)'!A:B, 2,FALSE)</f>
        <v>Mr</v>
      </c>
      <c r="C1032">
        <f>VLOOKUP(A1032,Medical_Examinations[],2,FALSE)</f>
        <v>23.7</v>
      </c>
      <c r="D1032">
        <f>VLOOKUP(A1032,Medical_Examinations[],3,FALSE)</f>
        <v>10.45</v>
      </c>
      <c r="E1032" t="str">
        <f>VLOOKUP(A1032,Medical_Examinations[],4,FALSE)</f>
        <v>No</v>
      </c>
      <c r="F1032" t="str">
        <f>VLOOKUP(A1032,Medical_Examinations[],5,FALSE)</f>
        <v>No</v>
      </c>
      <c r="G1032" t="str">
        <f>VLOOKUP(A1032,Medical_Examinations[],6,FALSE)</f>
        <v>No</v>
      </c>
      <c r="H1032">
        <f>VLOOKUP(A1032,Medical_Examinations[],7,FALSE)</f>
        <v>0</v>
      </c>
      <c r="I1032" t="str">
        <f>VLOOKUP(A1032,Medical_Examinations[],8,FALSE)</f>
        <v>No</v>
      </c>
      <c r="J1032" t="str">
        <f>VLOOKUP(A1032,Medical_Examinations[],9,FALSE)</f>
        <v>Normal Weight</v>
      </c>
      <c r="K1032" t="str">
        <f>VLOOKUP(A1032,Medical_Examinations[],10,FALSE)</f>
        <v>Diabetes</v>
      </c>
      <c r="M1032">
        <f>VLOOKUP(A1032,Hospitalisation_Details__2[],4,FALSE)</f>
        <v>10959.33</v>
      </c>
      <c r="N1032" t="str">
        <f>VLOOKUP(A1032,Hospitalisation_Details__2[],5,FALSE)</f>
        <v>tier - 3</v>
      </c>
      <c r="O1032" t="str">
        <f>VLOOKUP(A1032,Hospitalisation_Details__2[],6,FALSE)</f>
        <v>tier - 3</v>
      </c>
      <c r="P1032" t="str">
        <f>VLOOKUP(A1032,Hospitalisation_Details__2[],7,FALSE)</f>
        <v>R1011</v>
      </c>
    </row>
    <row r="1033" spans="1:16" x14ac:dyDescent="0.35">
      <c r="A1033" t="str">
        <v>Id1032</v>
      </c>
      <c r="B1033" t="str">
        <f>VLOOKUP(A1033,'Customer Names (2)'!A:B, 2,FALSE)</f>
        <v>Ms</v>
      </c>
      <c r="C1033">
        <f>VLOOKUP(A1033,Medical_Examinations[],2,FALSE)</f>
        <v>24.795000000000002</v>
      </c>
      <c r="D1033">
        <f>VLOOKUP(A1033,Medical_Examinations[],3,FALSE)</f>
        <v>4.07</v>
      </c>
      <c r="E1033" t="str">
        <f>VLOOKUP(A1033,Medical_Examinations[],4,FALSE)</f>
        <v>Yes</v>
      </c>
      <c r="F1033" t="str">
        <f>VLOOKUP(A1033,Medical_Examinations[],5,FALSE)</f>
        <v>No</v>
      </c>
      <c r="G1033" t="str">
        <f>VLOOKUP(A1033,Medical_Examinations[],6,FALSE)</f>
        <v>Yes</v>
      </c>
      <c r="H1033">
        <f>VLOOKUP(A1033,Medical_Examinations[],7,FALSE)</f>
        <v>1</v>
      </c>
      <c r="I1033" t="str">
        <f>VLOOKUP(A1033,Medical_Examinations[],8,FALSE)</f>
        <v>No</v>
      </c>
      <c r="J1033" t="str">
        <f>VLOOKUP(A1033,Medical_Examinations[],9,FALSE)</f>
        <v>Normal Weight</v>
      </c>
      <c r="K1033" t="str">
        <f>VLOOKUP(A1033,Medical_Examinations[],10,FALSE)</f>
        <v>Normal</v>
      </c>
      <c r="M1033">
        <f>VLOOKUP(A1033,Hospitalisation_Details__2[],4,FALSE)</f>
        <v>10942.13</v>
      </c>
      <c r="N1033" t="str">
        <f>VLOOKUP(A1033,Hospitalisation_Details__2[],5,FALSE)</f>
        <v>tier - 3</v>
      </c>
      <c r="O1033" t="str">
        <f>VLOOKUP(A1033,Hospitalisation_Details__2[],6,FALSE)</f>
        <v>tier - 3</v>
      </c>
      <c r="P1033" t="str">
        <f>VLOOKUP(A1033,Hospitalisation_Details__2[],7,FALSE)</f>
        <v>R1012</v>
      </c>
    </row>
    <row r="1034" spans="1:16" x14ac:dyDescent="0.35">
      <c r="A1034" t="str">
        <v>Id1033</v>
      </c>
      <c r="B1034" t="str">
        <f>VLOOKUP(A1034,'Customer Names (2)'!A:B, 2,FALSE)</f>
        <v>Ms</v>
      </c>
      <c r="C1034">
        <f>VLOOKUP(A1034,Medical_Examinations[],2,FALSE)</f>
        <v>31.9</v>
      </c>
      <c r="D1034">
        <f>VLOOKUP(A1034,Medical_Examinations[],3,FALSE)</f>
        <v>8.34</v>
      </c>
      <c r="E1034" t="str">
        <f>VLOOKUP(A1034,Medical_Examinations[],4,FALSE)</f>
        <v>No</v>
      </c>
      <c r="F1034" t="str">
        <f>VLOOKUP(A1034,Medical_Examinations[],5,FALSE)</f>
        <v>No</v>
      </c>
      <c r="G1034" t="str">
        <f>VLOOKUP(A1034,Medical_Examinations[],6,FALSE)</f>
        <v>No</v>
      </c>
      <c r="H1034">
        <f>VLOOKUP(A1034,Medical_Examinations[],7,FALSE)</f>
        <v>0</v>
      </c>
      <c r="I1034" t="str">
        <f>VLOOKUP(A1034,Medical_Examinations[],8,FALSE)</f>
        <v>No</v>
      </c>
      <c r="J1034" t="str">
        <f>VLOOKUP(A1034,Medical_Examinations[],9,FALSE)</f>
        <v>Obesity</v>
      </c>
      <c r="K1034" t="str">
        <f>VLOOKUP(A1034,Medical_Examinations[],10,FALSE)</f>
        <v>Diabetes</v>
      </c>
      <c r="M1034">
        <f>VLOOKUP(A1034,Hospitalisation_Details__2[],4,FALSE)</f>
        <v>10928.85</v>
      </c>
      <c r="N1034" t="str">
        <f>VLOOKUP(A1034,Hospitalisation_Details__2[],5,FALSE)</f>
        <v>tier - 3</v>
      </c>
      <c r="O1034" t="str">
        <f>VLOOKUP(A1034,Hospitalisation_Details__2[],6,FALSE)</f>
        <v>tier - 3</v>
      </c>
      <c r="P1034" t="str">
        <f>VLOOKUP(A1034,Hospitalisation_Details__2[],7,FALSE)</f>
        <v>R1013</v>
      </c>
    </row>
    <row r="1035" spans="1:16" x14ac:dyDescent="0.35">
      <c r="A1035" t="str">
        <v>Id1034</v>
      </c>
      <c r="B1035" t="str">
        <f>VLOOKUP(A1035,'Customer Names (2)'!A:B, 2,FALSE)</f>
        <v>Ms</v>
      </c>
      <c r="C1035">
        <f>VLOOKUP(A1035,Medical_Examinations[],2,FALSE)</f>
        <v>32.68</v>
      </c>
      <c r="D1035">
        <f>VLOOKUP(A1035,Medical_Examinations[],3,FALSE)</f>
        <v>7.41</v>
      </c>
      <c r="E1035" t="str">
        <f>VLOOKUP(A1035,Medical_Examinations[],4,FALSE)</f>
        <v>No</v>
      </c>
      <c r="F1035" t="str">
        <f>VLOOKUP(A1035,Medical_Examinations[],5,FALSE)</f>
        <v>No</v>
      </c>
      <c r="G1035" t="str">
        <f>VLOOKUP(A1035,Medical_Examinations[],6,FALSE)</f>
        <v>No</v>
      </c>
      <c r="H1035">
        <f>VLOOKUP(A1035,Medical_Examinations[],7,FALSE)</f>
        <v>0</v>
      </c>
      <c r="I1035" t="str">
        <f>VLOOKUP(A1035,Medical_Examinations[],8,FALSE)</f>
        <v>No</v>
      </c>
      <c r="J1035" t="str">
        <f>VLOOKUP(A1035,Medical_Examinations[],9,FALSE)</f>
        <v>Obesity</v>
      </c>
      <c r="K1035" t="str">
        <f>VLOOKUP(A1035,Medical_Examinations[],10,FALSE)</f>
        <v>Diabetes</v>
      </c>
      <c r="M1035">
        <f>VLOOKUP(A1035,Hospitalisation_Details__2[],4,FALSE)</f>
        <v>10923.93</v>
      </c>
      <c r="N1035" t="str">
        <f>VLOOKUP(A1035,Hospitalisation_Details__2[],5,FALSE)</f>
        <v>tier - 3</v>
      </c>
      <c r="O1035" t="str">
        <f>VLOOKUP(A1035,Hospitalisation_Details__2[],6,FALSE)</f>
        <v>tier - 1</v>
      </c>
      <c r="P1035" t="str">
        <f>VLOOKUP(A1035,Hospitalisation_Details__2[],7,FALSE)</f>
        <v>R1024</v>
      </c>
    </row>
    <row r="1036" spans="1:16" x14ac:dyDescent="0.35">
      <c r="A1036" t="str">
        <v>Id1035</v>
      </c>
      <c r="B1036" t="str">
        <f>VLOOKUP(A1036,'Customer Names (2)'!A:B, 2,FALSE)</f>
        <v>Ms</v>
      </c>
      <c r="C1036">
        <f>VLOOKUP(A1036,Medical_Examinations[],2,FALSE)</f>
        <v>47.13</v>
      </c>
      <c r="D1036">
        <f>VLOOKUP(A1036,Medical_Examinations[],3,FALSE)</f>
        <v>4.3099999999999996</v>
      </c>
      <c r="E1036" t="str">
        <f>VLOOKUP(A1036,Medical_Examinations[],4,FALSE)</f>
        <v>No</v>
      </c>
      <c r="F1036" t="str">
        <f>VLOOKUP(A1036,Medical_Examinations[],5,FALSE)</f>
        <v>No</v>
      </c>
      <c r="G1036" t="str">
        <f>VLOOKUP(A1036,Medical_Examinations[],6,FALSE)</f>
        <v>No</v>
      </c>
      <c r="H1036">
        <f>VLOOKUP(A1036,Medical_Examinations[],7,FALSE)</f>
        <v>0</v>
      </c>
      <c r="I1036" t="str">
        <f>VLOOKUP(A1036,Medical_Examinations[],8,FALSE)</f>
        <v>No</v>
      </c>
      <c r="J1036" t="str">
        <f>VLOOKUP(A1036,Medical_Examinations[],9,FALSE)</f>
        <v>Obesity</v>
      </c>
      <c r="K1036" t="str">
        <f>VLOOKUP(A1036,Medical_Examinations[],10,FALSE)</f>
        <v>Normal</v>
      </c>
      <c r="M1036">
        <f>VLOOKUP(A1036,Hospitalisation_Details__2[],4,FALSE)</f>
        <v>10886.66</v>
      </c>
      <c r="N1036" t="str">
        <f>VLOOKUP(A1036,Hospitalisation_Details__2[],5,FALSE)</f>
        <v>tier - 3</v>
      </c>
      <c r="O1036" t="str">
        <f>VLOOKUP(A1036,Hospitalisation_Details__2[],6,FALSE)</f>
        <v>tier - 3</v>
      </c>
      <c r="P1036" t="str">
        <f>VLOOKUP(A1036,Hospitalisation_Details__2[],7,FALSE)</f>
        <v>R1012</v>
      </c>
    </row>
    <row r="1037" spans="1:16" x14ac:dyDescent="0.35">
      <c r="A1037" t="str">
        <v>Id1036</v>
      </c>
      <c r="B1037" t="str">
        <f>VLOOKUP(A1037,'Customer Names (2)'!A:B, 2,FALSE)</f>
        <v>Ms</v>
      </c>
      <c r="C1037">
        <f>VLOOKUP(A1037,Medical_Examinations[],2,FALSE)</f>
        <v>36.67</v>
      </c>
      <c r="D1037">
        <f>VLOOKUP(A1037,Medical_Examinations[],3,FALSE)</f>
        <v>10.83</v>
      </c>
      <c r="E1037" t="str">
        <f>VLOOKUP(A1037,Medical_Examinations[],4,FALSE)</f>
        <v>No</v>
      </c>
      <c r="F1037" t="str">
        <f>VLOOKUP(A1037,Medical_Examinations[],5,FALSE)</f>
        <v>No</v>
      </c>
      <c r="G1037" t="str">
        <f>VLOOKUP(A1037,Medical_Examinations[],6,FALSE)</f>
        <v>No</v>
      </c>
      <c r="H1037">
        <f>VLOOKUP(A1037,Medical_Examinations[],7,FALSE)</f>
        <v>0</v>
      </c>
      <c r="I1037" t="str">
        <f>VLOOKUP(A1037,Medical_Examinations[],8,FALSE)</f>
        <v>No</v>
      </c>
      <c r="J1037" t="str">
        <f>VLOOKUP(A1037,Medical_Examinations[],9,FALSE)</f>
        <v>Obesity</v>
      </c>
      <c r="K1037" t="str">
        <f>VLOOKUP(A1037,Medical_Examinations[],10,FALSE)</f>
        <v>Diabetes</v>
      </c>
      <c r="M1037">
        <f>VLOOKUP(A1037,Hospitalisation_Details__2[],4,FALSE)</f>
        <v>10848.13</v>
      </c>
      <c r="N1037" t="str">
        <f>VLOOKUP(A1037,Hospitalisation_Details__2[],5,FALSE)</f>
        <v>tier - 3</v>
      </c>
      <c r="O1037" t="str">
        <f>VLOOKUP(A1037,Hospitalisation_Details__2[],6,FALSE)</f>
        <v>tier - 3</v>
      </c>
      <c r="P1037" t="str">
        <f>VLOOKUP(A1037,Hospitalisation_Details__2[],7,FALSE)</f>
        <v>R1012</v>
      </c>
    </row>
    <row r="1038" spans="1:16" x14ac:dyDescent="0.35">
      <c r="A1038" t="str">
        <v>Id1037</v>
      </c>
      <c r="B1038" t="str">
        <f>VLOOKUP(A1038,'Customer Names (2)'!A:B, 2,FALSE)</f>
        <v>Mr</v>
      </c>
      <c r="C1038">
        <f>VLOOKUP(A1038,Medical_Examinations[],2,FALSE)</f>
        <v>33.630000000000003</v>
      </c>
      <c r="D1038">
        <f>VLOOKUP(A1038,Medical_Examinations[],3,FALSE)</f>
        <v>11.31</v>
      </c>
      <c r="E1038" t="str">
        <f>VLOOKUP(A1038,Medical_Examinations[],4,FALSE)</f>
        <v>No</v>
      </c>
      <c r="F1038" t="str">
        <f>VLOOKUP(A1038,Medical_Examinations[],5,FALSE)</f>
        <v>No</v>
      </c>
      <c r="G1038" t="str">
        <f>VLOOKUP(A1038,Medical_Examinations[],6,FALSE)</f>
        <v>No</v>
      </c>
      <c r="H1038">
        <f>VLOOKUP(A1038,Medical_Examinations[],7,FALSE)</f>
        <v>0</v>
      </c>
      <c r="I1038" t="str">
        <f>VLOOKUP(A1038,Medical_Examinations[],8,FALSE)</f>
        <v>No</v>
      </c>
      <c r="J1038" t="str">
        <f>VLOOKUP(A1038,Medical_Examinations[],9,FALSE)</f>
        <v>Obesity</v>
      </c>
      <c r="K1038" t="str">
        <f>VLOOKUP(A1038,Medical_Examinations[],10,FALSE)</f>
        <v>Diabetes</v>
      </c>
      <c r="M1038">
        <f>VLOOKUP(A1038,Hospitalisation_Details__2[],4,FALSE)</f>
        <v>10825.25</v>
      </c>
      <c r="N1038" t="str">
        <f>VLOOKUP(A1038,Hospitalisation_Details__2[],5,FALSE)</f>
        <v>tier - 3</v>
      </c>
      <c r="O1038" t="str">
        <f>VLOOKUP(A1038,Hospitalisation_Details__2[],6,FALSE)</f>
        <v>tier - 3</v>
      </c>
      <c r="P1038" t="str">
        <f>VLOOKUP(A1038,Hospitalisation_Details__2[],7,FALSE)</f>
        <v>R1012</v>
      </c>
    </row>
    <row r="1039" spans="1:16" x14ac:dyDescent="0.35">
      <c r="A1039" t="str">
        <v>Id1038</v>
      </c>
      <c r="B1039" t="str">
        <f>VLOOKUP(A1039,'Customer Names (2)'!A:B, 2,FALSE)</f>
        <v>Mr</v>
      </c>
      <c r="C1039">
        <f>VLOOKUP(A1039,Medical_Examinations[],2,FALSE)</f>
        <v>32.67</v>
      </c>
      <c r="D1039">
        <f>VLOOKUP(A1039,Medical_Examinations[],3,FALSE)</f>
        <v>11.81</v>
      </c>
      <c r="E1039" t="str">
        <f>VLOOKUP(A1039,Medical_Examinations[],4,FALSE)</f>
        <v>Yes</v>
      </c>
      <c r="F1039" t="str">
        <f>VLOOKUP(A1039,Medical_Examinations[],5,FALSE)</f>
        <v>No</v>
      </c>
      <c r="G1039" t="str">
        <f>VLOOKUP(A1039,Medical_Examinations[],6,FALSE)</f>
        <v>No</v>
      </c>
      <c r="H1039">
        <f>VLOOKUP(A1039,Medical_Examinations[],7,FALSE)</f>
        <v>0</v>
      </c>
      <c r="I1039" t="str">
        <f>VLOOKUP(A1039,Medical_Examinations[],8,FALSE)</f>
        <v>No</v>
      </c>
      <c r="J1039" t="str">
        <f>VLOOKUP(A1039,Medical_Examinations[],9,FALSE)</f>
        <v>Obesity</v>
      </c>
      <c r="K1039" t="str">
        <f>VLOOKUP(A1039,Medical_Examinations[],10,FALSE)</f>
        <v>Diabetes</v>
      </c>
      <c r="M1039">
        <f>VLOOKUP(A1039,Hospitalisation_Details__2[],4,FALSE)</f>
        <v>10807.49</v>
      </c>
      <c r="N1039" t="str">
        <f>VLOOKUP(A1039,Hospitalisation_Details__2[],5,FALSE)</f>
        <v>tier - 3</v>
      </c>
      <c r="O1039" t="str">
        <f>VLOOKUP(A1039,Hospitalisation_Details__2[],6,FALSE)</f>
        <v>tier - 2</v>
      </c>
      <c r="P1039" t="str">
        <f>VLOOKUP(A1039,Hospitalisation_Details__2[],7,FALSE)</f>
        <v>R1013</v>
      </c>
    </row>
    <row r="1040" spans="1:16" x14ac:dyDescent="0.35">
      <c r="A1040" t="str">
        <v>Id1039</v>
      </c>
      <c r="B1040" t="str">
        <f>VLOOKUP(A1040,'Customer Names (2)'!A:B, 2,FALSE)</f>
        <v>Ms</v>
      </c>
      <c r="C1040">
        <f>VLOOKUP(A1040,Medical_Examinations[],2,FALSE)</f>
        <v>33.299999999999997</v>
      </c>
      <c r="D1040">
        <f>VLOOKUP(A1040,Medical_Examinations[],3,FALSE)</f>
        <v>8.26</v>
      </c>
      <c r="E1040" t="str">
        <f>VLOOKUP(A1040,Medical_Examinations[],4,FALSE)</f>
        <v>Yes</v>
      </c>
      <c r="F1040" t="str">
        <f>VLOOKUP(A1040,Medical_Examinations[],5,FALSE)</f>
        <v>No</v>
      </c>
      <c r="G1040" t="str">
        <f>VLOOKUP(A1040,Medical_Examinations[],6,FALSE)</f>
        <v>No</v>
      </c>
      <c r="H1040">
        <f>VLOOKUP(A1040,Medical_Examinations[],7,FALSE)</f>
        <v>2</v>
      </c>
      <c r="I1040" t="str">
        <f>VLOOKUP(A1040,Medical_Examinations[],8,FALSE)</f>
        <v>No</v>
      </c>
      <c r="J1040" t="str">
        <f>VLOOKUP(A1040,Medical_Examinations[],9,FALSE)</f>
        <v>Obesity</v>
      </c>
      <c r="K1040" t="str">
        <f>VLOOKUP(A1040,Medical_Examinations[],10,FALSE)</f>
        <v>Diabetes</v>
      </c>
      <c r="M1040">
        <f>VLOOKUP(A1040,Hospitalisation_Details__2[],4,FALSE)</f>
        <v>10806.84</v>
      </c>
      <c r="N1040" t="str">
        <f>VLOOKUP(A1040,Hospitalisation_Details__2[],5,FALSE)</f>
        <v>tier - 3</v>
      </c>
      <c r="O1040" t="str">
        <f>VLOOKUP(A1040,Hospitalisation_Details__2[],6,FALSE)</f>
        <v>tier - 2</v>
      </c>
      <c r="P1040" t="str">
        <f>VLOOKUP(A1040,Hospitalisation_Details__2[],7,FALSE)</f>
        <v>R1011</v>
      </c>
    </row>
    <row r="1041" spans="1:16" x14ac:dyDescent="0.35">
      <c r="A1041" t="str">
        <v>Id1040</v>
      </c>
      <c r="B1041" t="str">
        <f>VLOOKUP(A1041,'Customer Names (2)'!A:B, 2,FALSE)</f>
        <v>Ms</v>
      </c>
      <c r="C1041">
        <f>VLOOKUP(A1041,Medical_Examinations[],2,FALSE)</f>
        <v>30.78</v>
      </c>
      <c r="D1041">
        <f>VLOOKUP(A1041,Medical_Examinations[],3,FALSE)</f>
        <v>10.74</v>
      </c>
      <c r="E1041" t="str">
        <f>VLOOKUP(A1041,Medical_Examinations[],4,FALSE)</f>
        <v>Yes</v>
      </c>
      <c r="F1041" t="str">
        <f>VLOOKUP(A1041,Medical_Examinations[],5,FALSE)</f>
        <v>No</v>
      </c>
      <c r="G1041" t="str">
        <f>VLOOKUP(A1041,Medical_Examinations[],6,FALSE)</f>
        <v>No</v>
      </c>
      <c r="H1041">
        <f>VLOOKUP(A1041,Medical_Examinations[],7,FALSE)</f>
        <v>2</v>
      </c>
      <c r="I1041" t="str">
        <f>VLOOKUP(A1041,Medical_Examinations[],8,FALSE)</f>
        <v>No</v>
      </c>
      <c r="J1041" t="str">
        <f>VLOOKUP(A1041,Medical_Examinations[],9,FALSE)</f>
        <v>Obesity</v>
      </c>
      <c r="K1041" t="str">
        <f>VLOOKUP(A1041,Medical_Examinations[],10,FALSE)</f>
        <v>Diabetes</v>
      </c>
      <c r="M1041">
        <f>VLOOKUP(A1041,Hospitalisation_Details__2[],4,FALSE)</f>
        <v>10797.34</v>
      </c>
      <c r="N1041" t="str">
        <f>VLOOKUP(A1041,Hospitalisation_Details__2[],5,FALSE)</f>
        <v>tier - 3</v>
      </c>
      <c r="O1041" t="str">
        <f>VLOOKUP(A1041,Hospitalisation_Details__2[],6,FALSE)</f>
        <v>tier - 2</v>
      </c>
      <c r="P1041" t="str">
        <f>VLOOKUP(A1041,Hospitalisation_Details__2[],7,FALSE)</f>
        <v>R1023</v>
      </c>
    </row>
    <row r="1042" spans="1:16" x14ac:dyDescent="0.35">
      <c r="A1042" t="str">
        <v>Id1041</v>
      </c>
      <c r="B1042" t="str">
        <f>VLOOKUP(A1042,'Customer Names (2)'!A:B, 2,FALSE)</f>
        <v>Mr</v>
      </c>
      <c r="C1042">
        <f>VLOOKUP(A1042,Medical_Examinations[],2,FALSE)</f>
        <v>28.975000000000001</v>
      </c>
      <c r="D1042">
        <f>VLOOKUP(A1042,Medical_Examinations[],3,FALSE)</f>
        <v>7.69</v>
      </c>
      <c r="E1042" t="str">
        <f>VLOOKUP(A1042,Medical_Examinations[],4,FALSE)</f>
        <v>Yes</v>
      </c>
      <c r="F1042" t="str">
        <f>VLOOKUP(A1042,Medical_Examinations[],5,FALSE)</f>
        <v>No</v>
      </c>
      <c r="G1042" t="str">
        <f>VLOOKUP(A1042,Medical_Examinations[],6,FALSE)</f>
        <v>No</v>
      </c>
      <c r="H1042">
        <f>VLOOKUP(A1042,Medical_Examinations[],7,FALSE)</f>
        <v>0</v>
      </c>
      <c r="I1042" t="str">
        <f>VLOOKUP(A1042,Medical_Examinations[],8,FALSE)</f>
        <v>No</v>
      </c>
      <c r="J1042" t="str">
        <f>VLOOKUP(A1042,Medical_Examinations[],9,FALSE)</f>
        <v>Overweight</v>
      </c>
      <c r="K1042" t="str">
        <f>VLOOKUP(A1042,Medical_Examinations[],10,FALSE)</f>
        <v>Diabetes</v>
      </c>
      <c r="M1042">
        <f>VLOOKUP(A1042,Hospitalisation_Details__2[],4,FALSE)</f>
        <v>10796.35</v>
      </c>
      <c r="N1042" t="str">
        <f>VLOOKUP(A1042,Hospitalisation_Details__2[],5,FALSE)</f>
        <v>tier - 3</v>
      </c>
      <c r="O1042" t="str">
        <f>VLOOKUP(A1042,Hospitalisation_Details__2[],6,FALSE)</f>
        <v>tier - 1</v>
      </c>
      <c r="P1042" t="str">
        <f>VLOOKUP(A1042,Hospitalisation_Details__2[],7,FALSE)</f>
        <v>R1019</v>
      </c>
    </row>
    <row r="1043" spans="1:16" x14ac:dyDescent="0.35">
      <c r="A1043" t="str">
        <v>Id1042</v>
      </c>
      <c r="B1043" t="str">
        <f>VLOOKUP(A1043,'Customer Names (2)'!A:B, 2,FALSE)</f>
        <v>Ms</v>
      </c>
      <c r="C1043">
        <f>VLOOKUP(A1043,Medical_Examinations[],2,FALSE)</f>
        <v>33.4</v>
      </c>
      <c r="D1043">
        <f>VLOOKUP(A1043,Medical_Examinations[],3,FALSE)</f>
        <v>4.84</v>
      </c>
      <c r="E1043" t="str">
        <f>VLOOKUP(A1043,Medical_Examinations[],4,FALSE)</f>
        <v>No</v>
      </c>
      <c r="F1043" t="str">
        <f>VLOOKUP(A1043,Medical_Examinations[],5,FALSE)</f>
        <v>No</v>
      </c>
      <c r="G1043" t="str">
        <f>VLOOKUP(A1043,Medical_Examinations[],6,FALSE)</f>
        <v>No</v>
      </c>
      <c r="H1043">
        <f>VLOOKUP(A1043,Medical_Examinations[],7,FALSE)</f>
        <v>0</v>
      </c>
      <c r="I1043" t="str">
        <f>VLOOKUP(A1043,Medical_Examinations[],8,FALSE)</f>
        <v>No</v>
      </c>
      <c r="J1043" t="str">
        <f>VLOOKUP(A1043,Medical_Examinations[],9,FALSE)</f>
        <v>Obesity</v>
      </c>
      <c r="K1043" t="str">
        <f>VLOOKUP(A1043,Medical_Examinations[],10,FALSE)</f>
        <v>Normal</v>
      </c>
      <c r="M1043">
        <f>VLOOKUP(A1043,Hospitalisation_Details__2[],4,FALSE)</f>
        <v>10795.94</v>
      </c>
      <c r="N1043" t="str">
        <f>VLOOKUP(A1043,Hospitalisation_Details__2[],5,FALSE)</f>
        <v>tier - 3</v>
      </c>
      <c r="O1043" t="str">
        <f>VLOOKUP(A1043,Hospitalisation_Details__2[],6,FALSE)</f>
        <v>tier - 1</v>
      </c>
      <c r="P1043" t="str">
        <f>VLOOKUP(A1043,Hospitalisation_Details__2[],7,FALSE)</f>
        <v>R1011</v>
      </c>
    </row>
    <row r="1044" spans="1:16" x14ac:dyDescent="0.35">
      <c r="A1044" t="str">
        <v>Id1043</v>
      </c>
      <c r="B1044" t="str">
        <f>VLOOKUP(A1044,'Customer Names (2)'!A:B, 2,FALSE)</f>
        <v>Mr</v>
      </c>
      <c r="C1044">
        <f>VLOOKUP(A1044,Medical_Examinations[],2,FALSE)</f>
        <v>21.5</v>
      </c>
      <c r="D1044">
        <f>VLOOKUP(A1044,Medical_Examinations[],3,FALSE)</f>
        <v>9.77</v>
      </c>
      <c r="E1044" t="str">
        <f>VLOOKUP(A1044,Medical_Examinations[],4,FALSE)</f>
        <v>Yes</v>
      </c>
      <c r="F1044" t="str">
        <f>VLOOKUP(A1044,Medical_Examinations[],5,FALSE)</f>
        <v>No</v>
      </c>
      <c r="G1044" t="str">
        <f>VLOOKUP(A1044,Medical_Examinations[],6,FALSE)</f>
        <v>No</v>
      </c>
      <c r="H1044">
        <f>VLOOKUP(A1044,Medical_Examinations[],7,FALSE)</f>
        <v>0</v>
      </c>
      <c r="I1044" t="str">
        <f>VLOOKUP(A1044,Medical_Examinations[],8,FALSE)</f>
        <v>No</v>
      </c>
      <c r="J1044" t="str">
        <f>VLOOKUP(A1044,Medical_Examinations[],9,FALSE)</f>
        <v>Normal Weight</v>
      </c>
      <c r="K1044" t="str">
        <f>VLOOKUP(A1044,Medical_Examinations[],10,FALSE)</f>
        <v>Diabetes</v>
      </c>
      <c r="M1044">
        <f>VLOOKUP(A1044,Hospitalisation_Details__2[],4,FALSE)</f>
        <v>10791.96</v>
      </c>
      <c r="N1044" t="str">
        <f>VLOOKUP(A1044,Hospitalisation_Details__2[],5,FALSE)</f>
        <v>tier - 3</v>
      </c>
      <c r="O1044" t="str">
        <f>VLOOKUP(A1044,Hospitalisation_Details__2[],6,FALSE)</f>
        <v>tier - 2</v>
      </c>
      <c r="P1044" t="str">
        <f>VLOOKUP(A1044,Hospitalisation_Details__2[],7,FALSE)</f>
        <v>R1011</v>
      </c>
    </row>
    <row r="1045" spans="1:16" x14ac:dyDescent="0.35">
      <c r="A1045" t="str">
        <v>Id1044</v>
      </c>
      <c r="B1045" t="str">
        <f>VLOOKUP(A1045,'Customer Names (2)'!A:B, 2,FALSE)</f>
        <v>Mr</v>
      </c>
      <c r="C1045">
        <f>VLOOKUP(A1045,Medical_Examinations[],2,FALSE)</f>
        <v>38.14</v>
      </c>
      <c r="D1045">
        <f>VLOOKUP(A1045,Medical_Examinations[],3,FALSE)</f>
        <v>5.84</v>
      </c>
      <c r="E1045" t="str">
        <f>VLOOKUP(A1045,Medical_Examinations[],4,FALSE)</f>
        <v>No</v>
      </c>
      <c r="F1045" t="str">
        <f>VLOOKUP(A1045,Medical_Examinations[],5,FALSE)</f>
        <v>No</v>
      </c>
      <c r="G1045" t="str">
        <f>VLOOKUP(A1045,Medical_Examinations[],6,FALSE)</f>
        <v>No</v>
      </c>
      <c r="H1045">
        <f>VLOOKUP(A1045,Medical_Examinations[],7,FALSE)</f>
        <v>0</v>
      </c>
      <c r="I1045" t="str">
        <f>VLOOKUP(A1045,Medical_Examinations[],8,FALSE)</f>
        <v>No</v>
      </c>
      <c r="J1045" t="str">
        <f>VLOOKUP(A1045,Medical_Examinations[],9,FALSE)</f>
        <v>Obesity</v>
      </c>
      <c r="K1045" t="str">
        <f>VLOOKUP(A1045,Medical_Examinations[],10,FALSE)</f>
        <v>Prediabetes</v>
      </c>
      <c r="M1045">
        <f>VLOOKUP(A1045,Hospitalisation_Details__2[],4,FALSE)</f>
        <v>10769.75</v>
      </c>
      <c r="N1045" t="str">
        <f>VLOOKUP(A1045,Hospitalisation_Details__2[],5,FALSE)</f>
        <v>tier - 3</v>
      </c>
      <c r="O1045" t="str">
        <f>VLOOKUP(A1045,Hospitalisation_Details__2[],6,FALSE)</f>
        <v>tier - 2</v>
      </c>
      <c r="P1045" t="str">
        <f>VLOOKUP(A1045,Hospitalisation_Details__2[],7,FALSE)</f>
        <v>R1022</v>
      </c>
    </row>
    <row r="1046" spans="1:16" x14ac:dyDescent="0.35">
      <c r="A1046" t="str">
        <v>Id1045</v>
      </c>
      <c r="B1046" t="str">
        <f>VLOOKUP(A1046,'Customer Names (2)'!A:B, 2,FALSE)</f>
        <v>Mrs</v>
      </c>
      <c r="C1046">
        <f>VLOOKUP(A1046,Medical_Examinations[],2,FALSE)</f>
        <v>35.42</v>
      </c>
      <c r="D1046">
        <f>VLOOKUP(A1046,Medical_Examinations[],3,FALSE)</f>
        <v>8.6999999999999993</v>
      </c>
      <c r="E1046" t="str">
        <f>VLOOKUP(A1046,Medical_Examinations[],4,FALSE)</f>
        <v>Yes</v>
      </c>
      <c r="F1046" t="str">
        <f>VLOOKUP(A1046,Medical_Examinations[],5,FALSE)</f>
        <v>No</v>
      </c>
      <c r="G1046" t="str">
        <f>VLOOKUP(A1046,Medical_Examinations[],6,FALSE)</f>
        <v>No</v>
      </c>
      <c r="H1046">
        <f>VLOOKUP(A1046,Medical_Examinations[],7,FALSE)</f>
        <v>1</v>
      </c>
      <c r="I1046" t="str">
        <f>VLOOKUP(A1046,Medical_Examinations[],8,FALSE)</f>
        <v>No</v>
      </c>
      <c r="J1046" t="str">
        <f>VLOOKUP(A1046,Medical_Examinations[],9,FALSE)</f>
        <v>Obesity</v>
      </c>
      <c r="K1046" t="str">
        <f>VLOOKUP(A1046,Medical_Examinations[],10,FALSE)</f>
        <v>Diabetes</v>
      </c>
      <c r="M1046">
        <f>VLOOKUP(A1046,Hospitalisation_Details__2[],4,FALSE)</f>
        <v>10749.02</v>
      </c>
      <c r="N1046" t="str">
        <f>VLOOKUP(A1046,Hospitalisation_Details__2[],5,FALSE)</f>
        <v>tier - 3</v>
      </c>
      <c r="O1046" t="str">
        <f>VLOOKUP(A1046,Hospitalisation_Details__2[],6,FALSE)</f>
        <v>tier - 1</v>
      </c>
      <c r="P1046" t="str">
        <f>VLOOKUP(A1046,Hospitalisation_Details__2[],7,FALSE)</f>
        <v>R1026</v>
      </c>
    </row>
    <row r="1047" spans="1:16" x14ac:dyDescent="0.35">
      <c r="A1047" t="str">
        <v>Id1046</v>
      </c>
      <c r="B1047" t="str">
        <f>VLOOKUP(A1047,'Customer Names (2)'!A:B, 2,FALSE)</f>
        <v>Mr</v>
      </c>
      <c r="C1047">
        <f>VLOOKUP(A1047,Medical_Examinations[],2,FALSE)</f>
        <v>35.625</v>
      </c>
      <c r="D1047">
        <f>VLOOKUP(A1047,Medical_Examinations[],3,FALSE)</f>
        <v>10.79</v>
      </c>
      <c r="E1047" t="str">
        <f>VLOOKUP(A1047,Medical_Examinations[],4,FALSE)</f>
        <v>No</v>
      </c>
      <c r="F1047" t="str">
        <f>VLOOKUP(A1047,Medical_Examinations[],5,FALSE)</f>
        <v>No</v>
      </c>
      <c r="G1047" t="str">
        <f>VLOOKUP(A1047,Medical_Examinations[],6,FALSE)</f>
        <v>No</v>
      </c>
      <c r="H1047">
        <f>VLOOKUP(A1047,Medical_Examinations[],7,FALSE)</f>
        <v>0</v>
      </c>
      <c r="I1047" t="str">
        <f>VLOOKUP(A1047,Medical_Examinations[],8,FALSE)</f>
        <v>No</v>
      </c>
      <c r="J1047" t="str">
        <f>VLOOKUP(A1047,Medical_Examinations[],9,FALSE)</f>
        <v>Obesity</v>
      </c>
      <c r="K1047" t="str">
        <f>VLOOKUP(A1047,Medical_Examinations[],10,FALSE)</f>
        <v>Diabetes</v>
      </c>
      <c r="M1047">
        <f>VLOOKUP(A1047,Hospitalisation_Details__2[],4,FALSE)</f>
        <v>10736.87</v>
      </c>
      <c r="N1047" t="str">
        <f>VLOOKUP(A1047,Hospitalisation_Details__2[],5,FALSE)</f>
        <v>tier - 3</v>
      </c>
      <c r="O1047" t="str">
        <f>VLOOKUP(A1047,Hospitalisation_Details__2[],6,FALSE)</f>
        <v>tier - 1</v>
      </c>
      <c r="P1047" t="str">
        <f>VLOOKUP(A1047,Hospitalisation_Details__2[],7,FALSE)</f>
        <v>R1016</v>
      </c>
    </row>
    <row r="1048" spans="1:16" x14ac:dyDescent="0.35">
      <c r="A1048" t="str">
        <v>Id1047</v>
      </c>
      <c r="B1048" t="str">
        <f>VLOOKUP(A1048,'Customer Names (2)'!A:B, 2,FALSE)</f>
        <v>Mr</v>
      </c>
      <c r="C1048">
        <f>VLOOKUP(A1048,Medical_Examinations[],2,FALSE)</f>
        <v>45.51</v>
      </c>
      <c r="D1048">
        <f>VLOOKUP(A1048,Medical_Examinations[],3,FALSE)</f>
        <v>4.32</v>
      </c>
      <c r="E1048" t="str">
        <f>VLOOKUP(A1048,Medical_Examinations[],4,FALSE)</f>
        <v>No</v>
      </c>
      <c r="F1048" t="str">
        <f>VLOOKUP(A1048,Medical_Examinations[],5,FALSE)</f>
        <v>No</v>
      </c>
      <c r="G1048" t="str">
        <f>VLOOKUP(A1048,Medical_Examinations[],6,FALSE)</f>
        <v>No</v>
      </c>
      <c r="H1048">
        <f>VLOOKUP(A1048,Medical_Examinations[],7,FALSE)</f>
        <v>1</v>
      </c>
      <c r="I1048" t="str">
        <f>VLOOKUP(A1048,Medical_Examinations[],8,FALSE)</f>
        <v>No</v>
      </c>
      <c r="J1048" t="str">
        <f>VLOOKUP(A1048,Medical_Examinations[],9,FALSE)</f>
        <v>Obesity</v>
      </c>
      <c r="K1048" t="str">
        <f>VLOOKUP(A1048,Medical_Examinations[],10,FALSE)</f>
        <v>Normal</v>
      </c>
      <c r="M1048">
        <f>VLOOKUP(A1048,Hospitalisation_Details__2[],4,FALSE)</f>
        <v>10719.57</v>
      </c>
      <c r="N1048" t="str">
        <f>VLOOKUP(A1048,Hospitalisation_Details__2[],5,FALSE)</f>
        <v>tier - 3</v>
      </c>
      <c r="O1048" t="str">
        <f>VLOOKUP(A1048,Hospitalisation_Details__2[],6,FALSE)</f>
        <v>tier - 1</v>
      </c>
      <c r="P1048" t="str">
        <f>VLOOKUP(A1048,Hospitalisation_Details__2[],7,FALSE)</f>
        <v>R1012</v>
      </c>
    </row>
    <row r="1049" spans="1:16" x14ac:dyDescent="0.35">
      <c r="A1049" t="str">
        <v>Id1048</v>
      </c>
      <c r="B1049" t="str">
        <f>VLOOKUP(A1049,'Customer Names (2)'!A:B, 2,FALSE)</f>
        <v>Ms</v>
      </c>
      <c r="C1049">
        <f>VLOOKUP(A1049,Medical_Examinations[],2,FALSE)</f>
        <v>37.1</v>
      </c>
      <c r="D1049">
        <f>VLOOKUP(A1049,Medical_Examinations[],3,FALSE)</f>
        <v>7.19</v>
      </c>
      <c r="E1049" t="str">
        <f>VLOOKUP(A1049,Medical_Examinations[],4,FALSE)</f>
        <v>Yes</v>
      </c>
      <c r="F1049" t="str">
        <f>VLOOKUP(A1049,Medical_Examinations[],5,FALSE)</f>
        <v>No</v>
      </c>
      <c r="G1049" t="str">
        <f>VLOOKUP(A1049,Medical_Examinations[],6,FALSE)</f>
        <v>No</v>
      </c>
      <c r="H1049">
        <f>VLOOKUP(A1049,Medical_Examinations[],7,FALSE)</f>
        <v>0</v>
      </c>
      <c r="I1049" t="str">
        <f>VLOOKUP(A1049,Medical_Examinations[],8,FALSE)</f>
        <v>No</v>
      </c>
      <c r="J1049" t="str">
        <f>VLOOKUP(A1049,Medical_Examinations[],9,FALSE)</f>
        <v>Obesity</v>
      </c>
      <c r="K1049" t="str">
        <f>VLOOKUP(A1049,Medical_Examinations[],10,FALSE)</f>
        <v>Diabetes</v>
      </c>
      <c r="M1049">
        <f>VLOOKUP(A1049,Hospitalisation_Details__2[],4,FALSE)</f>
        <v>10713.64</v>
      </c>
      <c r="N1049" t="str">
        <f>VLOOKUP(A1049,Hospitalisation_Details__2[],5,FALSE)</f>
        <v>tier - 3</v>
      </c>
      <c r="O1049" t="str">
        <f>VLOOKUP(A1049,Hospitalisation_Details__2[],6,FALSE)</f>
        <v>tier - 3</v>
      </c>
      <c r="P1049" t="str">
        <f>VLOOKUP(A1049,Hospitalisation_Details__2[],7,FALSE)</f>
        <v>R1011</v>
      </c>
    </row>
    <row r="1050" spans="1:16" x14ac:dyDescent="0.35">
      <c r="A1050" t="str">
        <v>Id1049</v>
      </c>
      <c r="B1050" t="str">
        <f>VLOOKUP(A1050,'Customer Names (2)'!A:B, 2,FALSE)</f>
        <v>Ms</v>
      </c>
      <c r="C1050">
        <f>VLOOKUP(A1050,Medical_Examinations[],2,FALSE)</f>
        <v>30.5</v>
      </c>
      <c r="D1050">
        <f>VLOOKUP(A1050,Medical_Examinations[],3,FALSE)</f>
        <v>11.94</v>
      </c>
      <c r="E1050" t="str">
        <f>VLOOKUP(A1050,Medical_Examinations[],4,FALSE)</f>
        <v>Yes</v>
      </c>
      <c r="F1050" t="str">
        <f>VLOOKUP(A1050,Medical_Examinations[],5,FALSE)</f>
        <v>No</v>
      </c>
      <c r="G1050" t="str">
        <f>VLOOKUP(A1050,Medical_Examinations[],6,FALSE)</f>
        <v>No</v>
      </c>
      <c r="H1050">
        <f>VLOOKUP(A1050,Medical_Examinations[],7,FALSE)</f>
        <v>0</v>
      </c>
      <c r="I1050" t="str">
        <f>VLOOKUP(A1050,Medical_Examinations[],8,FALSE)</f>
        <v>No</v>
      </c>
      <c r="J1050" t="str">
        <f>VLOOKUP(A1050,Medical_Examinations[],9,FALSE)</f>
        <v>Obesity</v>
      </c>
      <c r="K1050" t="str">
        <f>VLOOKUP(A1050,Medical_Examinations[],10,FALSE)</f>
        <v>Diabetes</v>
      </c>
      <c r="M1050">
        <f>VLOOKUP(A1050,Hospitalisation_Details__2[],4,FALSE)</f>
        <v>10704.47</v>
      </c>
      <c r="N1050" t="str">
        <f>VLOOKUP(A1050,Hospitalisation_Details__2[],5,FALSE)</f>
        <v>tier - 3</v>
      </c>
      <c r="O1050" t="str">
        <f>VLOOKUP(A1050,Hospitalisation_Details__2[],6,FALSE)</f>
        <v>tier - 2</v>
      </c>
      <c r="P1050" t="str">
        <f>VLOOKUP(A1050,Hospitalisation_Details__2[],7,FALSE)</f>
        <v>R1011</v>
      </c>
    </row>
    <row r="1051" spans="1:16" x14ac:dyDescent="0.35">
      <c r="A1051" t="str">
        <v>Id1050</v>
      </c>
      <c r="B1051" t="str">
        <f>VLOOKUP(A1051,'Customer Names (2)'!A:B, 2,FALSE)</f>
        <v>Ms</v>
      </c>
      <c r="C1051">
        <f>VLOOKUP(A1051,Medical_Examinations[],2,FALSE)</f>
        <v>28.16</v>
      </c>
      <c r="D1051">
        <f>VLOOKUP(A1051,Medical_Examinations[],3,FALSE)</f>
        <v>5.56</v>
      </c>
      <c r="E1051" t="str">
        <f>VLOOKUP(A1051,Medical_Examinations[],4,FALSE)</f>
        <v>No</v>
      </c>
      <c r="F1051" t="str">
        <f>VLOOKUP(A1051,Medical_Examinations[],5,FALSE)</f>
        <v>No</v>
      </c>
      <c r="G1051" t="str">
        <f>VLOOKUP(A1051,Medical_Examinations[],6,FALSE)</f>
        <v>No</v>
      </c>
      <c r="H1051">
        <f>VLOOKUP(A1051,Medical_Examinations[],7,FALSE)</f>
        <v>2</v>
      </c>
      <c r="I1051" t="str">
        <f>VLOOKUP(A1051,Medical_Examinations[],8,FALSE)</f>
        <v>No</v>
      </c>
      <c r="J1051" t="str">
        <f>VLOOKUP(A1051,Medical_Examinations[],9,FALSE)</f>
        <v>Overweight</v>
      </c>
      <c r="K1051" t="str">
        <f>VLOOKUP(A1051,Medical_Examinations[],10,FALSE)</f>
        <v>Normal</v>
      </c>
      <c r="M1051">
        <f>VLOOKUP(A1051,Hospitalisation_Details__2[],4,FALSE)</f>
        <v>10702.64</v>
      </c>
      <c r="N1051" t="str">
        <f>VLOOKUP(A1051,Hospitalisation_Details__2[],5,FALSE)</f>
        <v>tier - 3</v>
      </c>
      <c r="O1051" t="str">
        <f>VLOOKUP(A1051,Hospitalisation_Details__2[],6,FALSE)</f>
        <v>tier - 3</v>
      </c>
      <c r="P1051" t="str">
        <f>VLOOKUP(A1051,Hospitalisation_Details__2[],7,FALSE)</f>
        <v>R1013</v>
      </c>
    </row>
    <row r="1052" spans="1:16" x14ac:dyDescent="0.35">
      <c r="A1052" t="str">
        <v>Id1051</v>
      </c>
      <c r="B1052" t="str">
        <f>VLOOKUP(A1052,'Customer Names (2)'!A:B, 2,FALSE)</f>
        <v>Mrs</v>
      </c>
      <c r="C1052">
        <f>VLOOKUP(A1052,Medical_Examinations[],2,FALSE)</f>
        <v>29.1</v>
      </c>
      <c r="D1052">
        <f>VLOOKUP(A1052,Medical_Examinations[],3,FALSE)</f>
        <v>5.64</v>
      </c>
      <c r="E1052" t="str">
        <f>VLOOKUP(A1052,Medical_Examinations[],4,FALSE)</f>
        <v>Yes</v>
      </c>
      <c r="F1052" t="str">
        <f>VLOOKUP(A1052,Medical_Examinations[],5,FALSE)</f>
        <v>No</v>
      </c>
      <c r="G1052" t="str">
        <f>VLOOKUP(A1052,Medical_Examinations[],6,FALSE)</f>
        <v>No</v>
      </c>
      <c r="H1052">
        <f>VLOOKUP(A1052,Medical_Examinations[],7,FALSE)</f>
        <v>0</v>
      </c>
      <c r="I1052" t="str">
        <f>VLOOKUP(A1052,Medical_Examinations[],8,FALSE)</f>
        <v>No</v>
      </c>
      <c r="J1052" t="str">
        <f>VLOOKUP(A1052,Medical_Examinations[],9,FALSE)</f>
        <v>Overweight</v>
      </c>
      <c r="K1052" t="str">
        <f>VLOOKUP(A1052,Medical_Examinations[],10,FALSE)</f>
        <v>Normal</v>
      </c>
      <c r="M1052">
        <f>VLOOKUP(A1052,Hospitalisation_Details__2[],4,FALSE)</f>
        <v>10698.38</v>
      </c>
      <c r="N1052" t="str">
        <f>VLOOKUP(A1052,Hospitalisation_Details__2[],5,FALSE)</f>
        <v>tier - 3</v>
      </c>
      <c r="O1052" t="str">
        <f>VLOOKUP(A1052,Hospitalisation_Details__2[],6,FALSE)</f>
        <v>tier - 1</v>
      </c>
      <c r="P1052" t="str">
        <f>VLOOKUP(A1052,Hospitalisation_Details__2[],7,FALSE)</f>
        <v>R1025</v>
      </c>
    </row>
    <row r="1053" spans="1:16" x14ac:dyDescent="0.35">
      <c r="A1053" t="str">
        <v>Id1052</v>
      </c>
      <c r="B1053" t="str">
        <f>VLOOKUP(A1053,'Customer Names (2)'!A:B, 2,FALSE)</f>
        <v>Mr</v>
      </c>
      <c r="C1053">
        <f>VLOOKUP(A1053,Medical_Examinations[],2,FALSE)</f>
        <v>30.22</v>
      </c>
      <c r="D1053">
        <f>VLOOKUP(A1053,Medical_Examinations[],3,FALSE)</f>
        <v>4.6500000000000004</v>
      </c>
      <c r="E1053" t="str">
        <f>VLOOKUP(A1053,Medical_Examinations[],4,FALSE)</f>
        <v>No</v>
      </c>
      <c r="F1053" t="str">
        <f>VLOOKUP(A1053,Medical_Examinations[],5,FALSE)</f>
        <v>No</v>
      </c>
      <c r="G1053" t="str">
        <f>VLOOKUP(A1053,Medical_Examinations[],6,FALSE)</f>
        <v>No</v>
      </c>
      <c r="H1053">
        <f>VLOOKUP(A1053,Medical_Examinations[],7,FALSE)</f>
        <v>0</v>
      </c>
      <c r="I1053" t="str">
        <f>VLOOKUP(A1053,Medical_Examinations[],8,FALSE)</f>
        <v>No</v>
      </c>
      <c r="J1053" t="str">
        <f>VLOOKUP(A1053,Medical_Examinations[],9,FALSE)</f>
        <v>Obesity</v>
      </c>
      <c r="K1053" t="str">
        <f>VLOOKUP(A1053,Medical_Examinations[],10,FALSE)</f>
        <v>Normal</v>
      </c>
      <c r="M1053">
        <f>VLOOKUP(A1053,Hospitalisation_Details__2[],4,FALSE)</f>
        <v>10690.11</v>
      </c>
      <c r="N1053" t="str">
        <f>VLOOKUP(A1053,Hospitalisation_Details__2[],5,FALSE)</f>
        <v>tier - 3</v>
      </c>
      <c r="O1053" t="str">
        <f>VLOOKUP(A1053,Hospitalisation_Details__2[],6,FALSE)</f>
        <v>tier - 2</v>
      </c>
      <c r="P1053" t="str">
        <f>VLOOKUP(A1053,Hospitalisation_Details__2[],7,FALSE)</f>
        <v>R1021</v>
      </c>
    </row>
    <row r="1054" spans="1:16" x14ac:dyDescent="0.35">
      <c r="A1054" t="str">
        <v>Id1053</v>
      </c>
      <c r="B1054" t="str">
        <f>VLOOKUP(A1054,'Customer Names (2)'!A:B, 2,FALSE)</f>
        <v>Ms</v>
      </c>
      <c r="C1054">
        <f>VLOOKUP(A1054,Medical_Examinations[],2,FALSE)</f>
        <v>24.29</v>
      </c>
      <c r="D1054">
        <f>VLOOKUP(A1054,Medical_Examinations[],3,FALSE)</f>
        <v>9.0500000000000007</v>
      </c>
      <c r="E1054" t="str">
        <f>VLOOKUP(A1054,Medical_Examinations[],4,FALSE)</f>
        <v>No</v>
      </c>
      <c r="F1054" t="str">
        <f>VLOOKUP(A1054,Medical_Examinations[],5,FALSE)</f>
        <v>No</v>
      </c>
      <c r="G1054" t="str">
        <f>VLOOKUP(A1054,Medical_Examinations[],6,FALSE)</f>
        <v>No</v>
      </c>
      <c r="H1054">
        <f>VLOOKUP(A1054,Medical_Examinations[],7,FALSE)</f>
        <v>0</v>
      </c>
      <c r="I1054" t="str">
        <f>VLOOKUP(A1054,Medical_Examinations[],8,FALSE)</f>
        <v>No</v>
      </c>
      <c r="J1054" t="str">
        <f>VLOOKUP(A1054,Medical_Examinations[],9,FALSE)</f>
        <v>Normal Weight</v>
      </c>
      <c r="K1054" t="str">
        <f>VLOOKUP(A1054,Medical_Examinations[],10,FALSE)</f>
        <v>Diabetes</v>
      </c>
      <c r="M1054">
        <f>VLOOKUP(A1054,Hospitalisation_Details__2[],4,FALSE)</f>
        <v>10676.83</v>
      </c>
      <c r="N1054" t="str">
        <f>VLOOKUP(A1054,Hospitalisation_Details__2[],5,FALSE)</f>
        <v>tier - 3</v>
      </c>
      <c r="O1054" t="str">
        <f>VLOOKUP(A1054,Hospitalisation_Details__2[],6,FALSE)</f>
        <v>tier - 3</v>
      </c>
      <c r="P1054" t="str">
        <f>VLOOKUP(A1054,Hospitalisation_Details__2[],7,FALSE)</f>
        <v>R1013</v>
      </c>
    </row>
    <row r="1055" spans="1:16" x14ac:dyDescent="0.35">
      <c r="A1055" t="str">
        <v>Id1054</v>
      </c>
      <c r="B1055" t="str">
        <f>VLOOKUP(A1055,'Customer Names (2)'!A:B, 2,FALSE)</f>
        <v>Mr</v>
      </c>
      <c r="C1055">
        <f>VLOOKUP(A1055,Medical_Examinations[],2,FALSE)</f>
        <v>29.39</v>
      </c>
      <c r="D1055">
        <f>VLOOKUP(A1055,Medical_Examinations[],3,FALSE)</f>
        <v>4.5199999999999996</v>
      </c>
      <c r="E1055" t="str">
        <f>VLOOKUP(A1055,Medical_Examinations[],4,FALSE)</f>
        <v>Yes</v>
      </c>
      <c r="F1055" t="str">
        <f>VLOOKUP(A1055,Medical_Examinations[],5,FALSE)</f>
        <v>No</v>
      </c>
      <c r="G1055" t="str">
        <f>VLOOKUP(A1055,Medical_Examinations[],6,FALSE)</f>
        <v>No</v>
      </c>
      <c r="H1055">
        <f>VLOOKUP(A1055,Medical_Examinations[],7,FALSE)</f>
        <v>0</v>
      </c>
      <c r="I1055" t="str">
        <f>VLOOKUP(A1055,Medical_Examinations[],8,FALSE)</f>
        <v>No</v>
      </c>
      <c r="J1055" t="str">
        <f>VLOOKUP(A1055,Medical_Examinations[],9,FALSE)</f>
        <v>Overweight</v>
      </c>
      <c r="K1055" t="str">
        <f>VLOOKUP(A1055,Medical_Examinations[],10,FALSE)</f>
        <v>Normal</v>
      </c>
      <c r="M1055">
        <f>VLOOKUP(A1055,Hospitalisation_Details__2[],4,FALSE)</f>
        <v>10665.44</v>
      </c>
      <c r="N1055" t="str">
        <f>VLOOKUP(A1055,Hospitalisation_Details__2[],5,FALSE)</f>
        <v>tier - 3</v>
      </c>
      <c r="O1055" t="str">
        <f>VLOOKUP(A1055,Hospitalisation_Details__2[],6,FALSE)</f>
        <v>tier - 2</v>
      </c>
      <c r="P1055" t="str">
        <f>VLOOKUP(A1055,Hospitalisation_Details__2[],7,FALSE)</f>
        <v>R1021</v>
      </c>
    </row>
    <row r="1056" spans="1:16" x14ac:dyDescent="0.35">
      <c r="A1056" t="str">
        <v>Id1055</v>
      </c>
      <c r="B1056" t="str">
        <f>VLOOKUP(A1056,'Customer Names (2)'!A:B, 2,FALSE)</f>
        <v>Mrs</v>
      </c>
      <c r="C1056">
        <f>VLOOKUP(A1056,Medical_Examinations[],2,FALSE)</f>
        <v>25.66</v>
      </c>
      <c r="D1056">
        <f>VLOOKUP(A1056,Medical_Examinations[],3,FALSE)</f>
        <v>4.62</v>
      </c>
      <c r="E1056" t="str">
        <f>VLOOKUP(A1056,Medical_Examinations[],4,FALSE)</f>
        <v>Yes</v>
      </c>
      <c r="F1056" t="str">
        <f>VLOOKUP(A1056,Medical_Examinations[],5,FALSE)</f>
        <v>No</v>
      </c>
      <c r="G1056" t="str">
        <f>VLOOKUP(A1056,Medical_Examinations[],6,FALSE)</f>
        <v>No</v>
      </c>
      <c r="H1056">
        <f>VLOOKUP(A1056,Medical_Examinations[],7,FALSE)</f>
        <v>1</v>
      </c>
      <c r="I1056" t="str">
        <f>VLOOKUP(A1056,Medical_Examinations[],8,FALSE)</f>
        <v>No</v>
      </c>
      <c r="J1056" t="str">
        <f>VLOOKUP(A1056,Medical_Examinations[],9,FALSE)</f>
        <v>Overweight</v>
      </c>
      <c r="K1056" t="str">
        <f>VLOOKUP(A1056,Medical_Examinations[],10,FALSE)</f>
        <v>Normal</v>
      </c>
      <c r="M1056">
        <f>VLOOKUP(A1056,Hospitalisation_Details__2[],4,FALSE)</f>
        <v>10627.81</v>
      </c>
      <c r="N1056" t="str">
        <f>VLOOKUP(A1056,Hospitalisation_Details__2[],5,FALSE)</f>
        <v>tier - 3</v>
      </c>
      <c r="O1056" t="str">
        <f>VLOOKUP(A1056,Hospitalisation_Details__2[],6,FALSE)</f>
        <v>tier - 3</v>
      </c>
      <c r="P1056" t="str">
        <f>VLOOKUP(A1056,Hospitalisation_Details__2[],7,FALSE)</f>
        <v>R1013</v>
      </c>
    </row>
    <row r="1057" spans="1:16" x14ac:dyDescent="0.35">
      <c r="A1057" t="str">
        <v>Id1056</v>
      </c>
      <c r="B1057" t="str">
        <f>VLOOKUP(A1057,'Customer Names (2)'!A:B, 2,FALSE)</f>
        <v>Ms</v>
      </c>
      <c r="C1057">
        <f>VLOOKUP(A1057,Medical_Examinations[],2,FALSE)</f>
        <v>39.11</v>
      </c>
      <c r="D1057">
        <f>VLOOKUP(A1057,Medical_Examinations[],3,FALSE)</f>
        <v>5.87</v>
      </c>
      <c r="E1057" t="str">
        <f>VLOOKUP(A1057,Medical_Examinations[],4,FALSE)</f>
        <v>No</v>
      </c>
      <c r="F1057" t="str">
        <f>VLOOKUP(A1057,Medical_Examinations[],5,FALSE)</f>
        <v>No</v>
      </c>
      <c r="G1057" t="str">
        <f>VLOOKUP(A1057,Medical_Examinations[],6,FALSE)</f>
        <v>No</v>
      </c>
      <c r="H1057">
        <f>VLOOKUP(A1057,Medical_Examinations[],7,FALSE)</f>
        <v>0</v>
      </c>
      <c r="I1057" t="str">
        <f>VLOOKUP(A1057,Medical_Examinations[],8,FALSE)</f>
        <v>No</v>
      </c>
      <c r="J1057" t="str">
        <f>VLOOKUP(A1057,Medical_Examinations[],9,FALSE)</f>
        <v>Obesity</v>
      </c>
      <c r="K1057" t="str">
        <f>VLOOKUP(A1057,Medical_Examinations[],10,FALSE)</f>
        <v>Prediabetes</v>
      </c>
      <c r="M1057">
        <f>VLOOKUP(A1057,Hospitalisation_Details__2[],4,FALSE)</f>
        <v>10620.26</v>
      </c>
      <c r="N1057" t="str">
        <f>VLOOKUP(A1057,Hospitalisation_Details__2[],5,FALSE)</f>
        <v>tier - 3</v>
      </c>
      <c r="O1057" t="str">
        <f>VLOOKUP(A1057,Hospitalisation_Details__2[],6,FALSE)</f>
        <v>tier - 3</v>
      </c>
      <c r="P1057" t="str">
        <f>VLOOKUP(A1057,Hospitalisation_Details__2[],7,FALSE)</f>
        <v>R1012</v>
      </c>
    </row>
    <row r="1058" spans="1:16" x14ac:dyDescent="0.35">
      <c r="A1058" t="str">
        <v>Id1057</v>
      </c>
      <c r="B1058" t="str">
        <f>VLOOKUP(A1058,'Customer Names (2)'!A:B, 2,FALSE)</f>
        <v>Mrs</v>
      </c>
      <c r="C1058">
        <f>VLOOKUP(A1058,Medical_Examinations[],2,FALSE)</f>
        <v>43.78</v>
      </c>
      <c r="D1058">
        <f>VLOOKUP(A1058,Medical_Examinations[],3,FALSE)</f>
        <v>5.71</v>
      </c>
      <c r="E1058" t="str">
        <f>VLOOKUP(A1058,Medical_Examinations[],4,FALSE)</f>
        <v>No</v>
      </c>
      <c r="F1058" t="str">
        <f>VLOOKUP(A1058,Medical_Examinations[],5,FALSE)</f>
        <v>No</v>
      </c>
      <c r="G1058" t="str">
        <f>VLOOKUP(A1058,Medical_Examinations[],6,FALSE)</f>
        <v>No</v>
      </c>
      <c r="H1058">
        <f>VLOOKUP(A1058,Medical_Examinations[],7,FALSE)</f>
        <v>1</v>
      </c>
      <c r="I1058" t="str">
        <f>VLOOKUP(A1058,Medical_Examinations[],8,FALSE)</f>
        <v>No</v>
      </c>
      <c r="J1058" t="str">
        <f>VLOOKUP(A1058,Medical_Examinations[],9,FALSE)</f>
        <v>Obesity</v>
      </c>
      <c r="K1058" t="str">
        <f>VLOOKUP(A1058,Medical_Examinations[],10,FALSE)</f>
        <v>Prediabetes</v>
      </c>
      <c r="M1058">
        <f>VLOOKUP(A1058,Hospitalisation_Details__2[],4,FALSE)</f>
        <v>10617.04</v>
      </c>
      <c r="N1058" t="str">
        <f>VLOOKUP(A1058,Hospitalisation_Details__2[],5,FALSE)</f>
        <v>tier - 3</v>
      </c>
      <c r="O1058" t="str">
        <f>VLOOKUP(A1058,Hospitalisation_Details__2[],6,FALSE)</f>
        <v>tier - 3</v>
      </c>
      <c r="P1058" t="str">
        <f>VLOOKUP(A1058,Hospitalisation_Details__2[],7,FALSE)</f>
        <v>R1026</v>
      </c>
    </row>
    <row r="1059" spans="1:16" x14ac:dyDescent="0.35">
      <c r="A1059" t="str">
        <v>Id1058</v>
      </c>
      <c r="B1059" t="str">
        <f>VLOOKUP(A1059,'Customer Names (2)'!A:B, 2,FALSE)</f>
        <v>Ms</v>
      </c>
      <c r="C1059">
        <f>VLOOKUP(A1059,Medical_Examinations[],2,FALSE)</f>
        <v>24.35</v>
      </c>
      <c r="D1059">
        <f>VLOOKUP(A1059,Medical_Examinations[],3,FALSE)</f>
        <v>9.08</v>
      </c>
      <c r="E1059" t="str">
        <f>VLOOKUP(A1059,Medical_Examinations[],4,FALSE)</f>
        <v>No</v>
      </c>
      <c r="F1059" t="str">
        <f>VLOOKUP(A1059,Medical_Examinations[],5,FALSE)</f>
        <v>No</v>
      </c>
      <c r="G1059" t="str">
        <f>VLOOKUP(A1059,Medical_Examinations[],6,FALSE)</f>
        <v>No</v>
      </c>
      <c r="H1059">
        <f>VLOOKUP(A1059,Medical_Examinations[],7,FALSE)</f>
        <v>0</v>
      </c>
      <c r="I1059" t="str">
        <f>VLOOKUP(A1059,Medical_Examinations[],8,FALSE)</f>
        <v>No</v>
      </c>
      <c r="J1059" t="str">
        <f>VLOOKUP(A1059,Medical_Examinations[],9,FALSE)</f>
        <v>Normal Weight</v>
      </c>
      <c r="K1059" t="str">
        <f>VLOOKUP(A1059,Medical_Examinations[],10,FALSE)</f>
        <v>Diabetes</v>
      </c>
      <c r="M1059">
        <f>VLOOKUP(A1059,Hospitalisation_Details__2[],4,FALSE)</f>
        <v>10608.67</v>
      </c>
      <c r="N1059" t="str">
        <f>VLOOKUP(A1059,Hospitalisation_Details__2[],5,FALSE)</f>
        <v>tier - 3</v>
      </c>
      <c r="O1059" t="str">
        <f>VLOOKUP(A1059,Hospitalisation_Details__2[],6,FALSE)</f>
        <v>tier - 3</v>
      </c>
      <c r="P1059" t="str">
        <f>VLOOKUP(A1059,Hospitalisation_Details__2[],7,FALSE)</f>
        <v>R1012</v>
      </c>
    </row>
    <row r="1060" spans="1:16" x14ac:dyDescent="0.35">
      <c r="A1060" t="str">
        <v>Id1059</v>
      </c>
      <c r="B1060" t="str">
        <f>VLOOKUP(A1060,'Customer Names (2)'!A:B, 2,FALSE)</f>
        <v>Mr</v>
      </c>
      <c r="C1060">
        <f>VLOOKUP(A1060,Medical_Examinations[],2,FALSE)</f>
        <v>40.299999999999997</v>
      </c>
      <c r="D1060">
        <f>VLOOKUP(A1060,Medical_Examinations[],3,FALSE)</f>
        <v>5.3</v>
      </c>
      <c r="E1060" t="str">
        <f>VLOOKUP(A1060,Medical_Examinations[],4,FALSE)</f>
        <v>Yes</v>
      </c>
      <c r="F1060" t="str">
        <f>VLOOKUP(A1060,Medical_Examinations[],5,FALSE)</f>
        <v>No</v>
      </c>
      <c r="G1060" t="str">
        <f>VLOOKUP(A1060,Medical_Examinations[],6,FALSE)</f>
        <v>No</v>
      </c>
      <c r="H1060">
        <f>VLOOKUP(A1060,Medical_Examinations[],7,FALSE)</f>
        <v>2</v>
      </c>
      <c r="I1060" t="str">
        <f>VLOOKUP(A1060,Medical_Examinations[],8,FALSE)</f>
        <v>No</v>
      </c>
      <c r="J1060" t="str">
        <f>VLOOKUP(A1060,Medical_Examinations[],9,FALSE)</f>
        <v>Obesity</v>
      </c>
      <c r="K1060" t="str">
        <f>VLOOKUP(A1060,Medical_Examinations[],10,FALSE)</f>
        <v>Normal</v>
      </c>
      <c r="M1060">
        <f>VLOOKUP(A1060,Hospitalisation_Details__2[],4,FALSE)</f>
        <v>10602.39</v>
      </c>
      <c r="N1060" t="str">
        <f>VLOOKUP(A1060,Hospitalisation_Details__2[],5,FALSE)</f>
        <v>tier - 3</v>
      </c>
      <c r="O1060" t="str">
        <f>VLOOKUP(A1060,Hospitalisation_Details__2[],6,FALSE)</f>
        <v>tier - 3</v>
      </c>
      <c r="P1060" t="str">
        <f>VLOOKUP(A1060,Hospitalisation_Details__2[],7,FALSE)</f>
        <v>R1011</v>
      </c>
    </row>
    <row r="1061" spans="1:16" x14ac:dyDescent="0.35">
      <c r="A1061" t="str">
        <v>Id1060</v>
      </c>
      <c r="B1061" t="str">
        <f>VLOOKUP(A1061,'Customer Names (2)'!A:B, 2,FALSE)</f>
        <v>Mr</v>
      </c>
      <c r="C1061">
        <f>VLOOKUP(A1061,Medical_Examinations[],2,FALSE)</f>
        <v>32.774999999999999</v>
      </c>
      <c r="D1061">
        <f>VLOOKUP(A1061,Medical_Examinations[],3,FALSE)</f>
        <v>11.76</v>
      </c>
      <c r="E1061" t="str">
        <f>VLOOKUP(A1061,Medical_Examinations[],4,FALSE)</f>
        <v>Yes</v>
      </c>
      <c r="F1061" t="str">
        <f>VLOOKUP(A1061,Medical_Examinations[],5,FALSE)</f>
        <v>No</v>
      </c>
      <c r="G1061" t="str">
        <f>VLOOKUP(A1061,Medical_Examinations[],6,FALSE)</f>
        <v>No</v>
      </c>
      <c r="H1061">
        <f>VLOOKUP(A1061,Medical_Examinations[],7,FALSE)</f>
        <v>0</v>
      </c>
      <c r="I1061" t="str">
        <f>VLOOKUP(A1061,Medical_Examinations[],8,FALSE)</f>
        <v>No</v>
      </c>
      <c r="J1061" t="str">
        <f>VLOOKUP(A1061,Medical_Examinations[],9,FALSE)</f>
        <v>Obesity</v>
      </c>
      <c r="K1061" t="str">
        <f>VLOOKUP(A1061,Medical_Examinations[],10,FALSE)</f>
        <v>Diabetes</v>
      </c>
      <c r="M1061">
        <f>VLOOKUP(A1061,Hospitalisation_Details__2[],4,FALSE)</f>
        <v>10601.63</v>
      </c>
      <c r="N1061" t="str">
        <f>VLOOKUP(A1061,Hospitalisation_Details__2[],5,FALSE)</f>
        <v>tier - 3</v>
      </c>
      <c r="O1061" t="str">
        <f>VLOOKUP(A1061,Hospitalisation_Details__2[],6,FALSE)</f>
        <v>tier - 2</v>
      </c>
      <c r="P1061" t="str">
        <f>VLOOKUP(A1061,Hospitalisation_Details__2[],7,FALSE)</f>
        <v>R1012</v>
      </c>
    </row>
    <row r="1062" spans="1:16" x14ac:dyDescent="0.35">
      <c r="A1062" t="str">
        <v>Id1061</v>
      </c>
      <c r="B1062" t="str">
        <f>VLOOKUP(A1062,'Customer Names (2)'!A:B, 2,FALSE)</f>
        <v>Mr</v>
      </c>
      <c r="C1062">
        <f>VLOOKUP(A1062,Medical_Examinations[],2,FALSE)</f>
        <v>39.6</v>
      </c>
      <c r="D1062">
        <f>VLOOKUP(A1062,Medical_Examinations[],3,FALSE)</f>
        <v>5.1100000000000003</v>
      </c>
      <c r="E1062" t="str">
        <f>VLOOKUP(A1062,Medical_Examinations[],4,FALSE)</f>
        <v>Yes</v>
      </c>
      <c r="F1062" t="str">
        <f>VLOOKUP(A1062,Medical_Examinations[],5,FALSE)</f>
        <v>No</v>
      </c>
      <c r="G1062" t="str">
        <f>VLOOKUP(A1062,Medical_Examinations[],6,FALSE)</f>
        <v>No</v>
      </c>
      <c r="H1062">
        <f>VLOOKUP(A1062,Medical_Examinations[],7,FALSE)</f>
        <v>2</v>
      </c>
      <c r="I1062" t="str">
        <f>VLOOKUP(A1062,Medical_Examinations[],8,FALSE)</f>
        <v>No</v>
      </c>
      <c r="J1062" t="str">
        <f>VLOOKUP(A1062,Medical_Examinations[],9,FALSE)</f>
        <v>Obesity</v>
      </c>
      <c r="K1062" t="str">
        <f>VLOOKUP(A1062,Medical_Examinations[],10,FALSE)</f>
        <v>Normal</v>
      </c>
      <c r="M1062">
        <f>VLOOKUP(A1062,Hospitalisation_Details__2[],4,FALSE)</f>
        <v>10601.41</v>
      </c>
      <c r="N1062" t="str">
        <f>VLOOKUP(A1062,Hospitalisation_Details__2[],5,FALSE)</f>
        <v>tier - 3</v>
      </c>
      <c r="O1062" t="str">
        <f>VLOOKUP(A1062,Hospitalisation_Details__2[],6,FALSE)</f>
        <v>tier - 2</v>
      </c>
      <c r="P1062" t="str">
        <f>VLOOKUP(A1062,Hospitalisation_Details__2[],7,FALSE)</f>
        <v>R1011</v>
      </c>
    </row>
    <row r="1063" spans="1:16" x14ac:dyDescent="0.35">
      <c r="A1063" t="str">
        <v>Id1062</v>
      </c>
      <c r="B1063" t="str">
        <f>VLOOKUP(A1063,'Customer Names (2)'!A:B, 2,FALSE)</f>
        <v>Mr</v>
      </c>
      <c r="C1063">
        <f>VLOOKUP(A1063,Medical_Examinations[],2,FALSE)</f>
        <v>30.97</v>
      </c>
      <c r="D1063">
        <f>VLOOKUP(A1063,Medical_Examinations[],3,FALSE)</f>
        <v>5.54</v>
      </c>
      <c r="E1063" t="str">
        <f>VLOOKUP(A1063,Medical_Examinations[],4,FALSE)</f>
        <v>No</v>
      </c>
      <c r="F1063" t="str">
        <f>VLOOKUP(A1063,Medical_Examinations[],5,FALSE)</f>
        <v>No</v>
      </c>
      <c r="G1063" t="str">
        <f>VLOOKUP(A1063,Medical_Examinations[],6,FALSE)</f>
        <v>No</v>
      </c>
      <c r="H1063">
        <f>VLOOKUP(A1063,Medical_Examinations[],7,FALSE)</f>
        <v>2</v>
      </c>
      <c r="I1063" t="str">
        <f>VLOOKUP(A1063,Medical_Examinations[],8,FALSE)</f>
        <v>No</v>
      </c>
      <c r="J1063" t="str">
        <f>VLOOKUP(A1063,Medical_Examinations[],9,FALSE)</f>
        <v>Obesity</v>
      </c>
      <c r="K1063" t="str">
        <f>VLOOKUP(A1063,Medical_Examinations[],10,FALSE)</f>
        <v>Normal</v>
      </c>
      <c r="M1063">
        <f>VLOOKUP(A1063,Hospitalisation_Details__2[],4,FALSE)</f>
        <v>10600.55</v>
      </c>
      <c r="N1063" t="str">
        <f>VLOOKUP(A1063,Hospitalisation_Details__2[],5,FALSE)</f>
        <v>tier - 3</v>
      </c>
      <c r="O1063" t="str">
        <f>VLOOKUP(A1063,Hospitalisation_Details__2[],6,FALSE)</f>
        <v>tier - 1</v>
      </c>
      <c r="P1063" t="str">
        <f>VLOOKUP(A1063,Hospitalisation_Details__2[],7,FALSE)</f>
        <v>R1012</v>
      </c>
    </row>
    <row r="1064" spans="1:16" x14ac:dyDescent="0.35">
      <c r="A1064" t="str">
        <v>Id1063</v>
      </c>
      <c r="B1064" t="str">
        <f>VLOOKUP(A1064,'Customer Names (2)'!A:B, 2,FALSE)</f>
        <v>Mr</v>
      </c>
      <c r="C1064">
        <f>VLOOKUP(A1064,Medical_Examinations[],2,FALSE)</f>
        <v>27.645</v>
      </c>
      <c r="D1064">
        <f>VLOOKUP(A1064,Medical_Examinations[],3,FALSE)</f>
        <v>8.8699999999999992</v>
      </c>
      <c r="E1064" t="str">
        <f>VLOOKUP(A1064,Medical_Examinations[],4,FALSE)</f>
        <v>Yes</v>
      </c>
      <c r="F1064" t="str">
        <f>VLOOKUP(A1064,Medical_Examinations[],5,FALSE)</f>
        <v>No</v>
      </c>
      <c r="G1064" t="str">
        <f>VLOOKUP(A1064,Medical_Examinations[],6,FALSE)</f>
        <v>No</v>
      </c>
      <c r="H1064">
        <f>VLOOKUP(A1064,Medical_Examinations[],7,FALSE)</f>
        <v>0</v>
      </c>
      <c r="I1064" t="str">
        <f>VLOOKUP(A1064,Medical_Examinations[],8,FALSE)</f>
        <v>No</v>
      </c>
      <c r="J1064" t="str">
        <f>VLOOKUP(A1064,Medical_Examinations[],9,FALSE)</f>
        <v>Overweight</v>
      </c>
      <c r="K1064" t="str">
        <f>VLOOKUP(A1064,Medical_Examinations[],10,FALSE)</f>
        <v>Diabetes</v>
      </c>
      <c r="M1064">
        <f>VLOOKUP(A1064,Hospitalisation_Details__2[],4,FALSE)</f>
        <v>10594.5</v>
      </c>
      <c r="N1064" t="str">
        <f>VLOOKUP(A1064,Hospitalisation_Details__2[],5,FALSE)</f>
        <v>tier - 3</v>
      </c>
      <c r="O1064" t="str">
        <f>VLOOKUP(A1064,Hospitalisation_Details__2[],6,FALSE)</f>
        <v>tier - 1</v>
      </c>
      <c r="P1064" t="str">
        <f>VLOOKUP(A1064,Hospitalisation_Details__2[],7,FALSE)</f>
        <v>R1012</v>
      </c>
    </row>
    <row r="1065" spans="1:16" x14ac:dyDescent="0.35">
      <c r="A1065" t="str">
        <v>Id1064</v>
      </c>
      <c r="B1065" t="str">
        <f>VLOOKUP(A1065,'Customer Names (2)'!A:B, 2,FALSE)</f>
        <v>Mr</v>
      </c>
      <c r="C1065">
        <f>VLOOKUP(A1065,Medical_Examinations[],2,FALSE)</f>
        <v>34.43</v>
      </c>
      <c r="D1065">
        <f>VLOOKUP(A1065,Medical_Examinations[],3,FALSE)</f>
        <v>5.96</v>
      </c>
      <c r="E1065" t="str">
        <f>VLOOKUP(A1065,Medical_Examinations[],4,FALSE)</f>
        <v>Yes</v>
      </c>
      <c r="F1065" t="str">
        <f>VLOOKUP(A1065,Medical_Examinations[],5,FALSE)</f>
        <v>No</v>
      </c>
      <c r="G1065" t="str">
        <f>VLOOKUP(A1065,Medical_Examinations[],6,FALSE)</f>
        <v>No</v>
      </c>
      <c r="H1065">
        <f>VLOOKUP(A1065,Medical_Examinations[],7,FALSE)</f>
        <v>2</v>
      </c>
      <c r="I1065" t="str">
        <f>VLOOKUP(A1065,Medical_Examinations[],8,FALSE)</f>
        <v>No</v>
      </c>
      <c r="J1065" t="str">
        <f>VLOOKUP(A1065,Medical_Examinations[],9,FALSE)</f>
        <v>Obesity</v>
      </c>
      <c r="K1065" t="str">
        <f>VLOOKUP(A1065,Medical_Examinations[],10,FALSE)</f>
        <v>Prediabetes</v>
      </c>
      <c r="M1065">
        <f>VLOOKUP(A1065,Hospitalisation_Details__2[],4,FALSE)</f>
        <v>10594.23</v>
      </c>
      <c r="N1065" t="str">
        <f>VLOOKUP(A1065,Hospitalisation_Details__2[],5,FALSE)</f>
        <v>tier - 3</v>
      </c>
      <c r="O1065" t="str">
        <f>VLOOKUP(A1065,Hospitalisation_Details__2[],6,FALSE)</f>
        <v>tier - 3</v>
      </c>
      <c r="P1065" t="str">
        <f>VLOOKUP(A1065,Hospitalisation_Details__2[],7,FALSE)</f>
        <v>R1013</v>
      </c>
    </row>
    <row r="1066" spans="1:16" x14ac:dyDescent="0.35">
      <c r="A1066" t="str">
        <v>Id1065</v>
      </c>
      <c r="B1066" t="str">
        <f>VLOOKUP(A1066,'Customer Names (2)'!A:B, 2,FALSE)</f>
        <v>Ms</v>
      </c>
      <c r="C1066">
        <f>VLOOKUP(A1066,Medical_Examinations[],2,FALSE)</f>
        <v>39.6</v>
      </c>
      <c r="D1066">
        <f>VLOOKUP(A1066,Medical_Examinations[],3,FALSE)</f>
        <v>4.4400000000000004</v>
      </c>
      <c r="E1066" t="str">
        <f>VLOOKUP(A1066,Medical_Examinations[],4,FALSE)</f>
        <v>Yes</v>
      </c>
      <c r="F1066" t="str">
        <f>VLOOKUP(A1066,Medical_Examinations[],5,FALSE)</f>
        <v>No</v>
      </c>
      <c r="G1066" t="str">
        <f>VLOOKUP(A1066,Medical_Examinations[],6,FALSE)</f>
        <v>Yes</v>
      </c>
      <c r="H1066">
        <f>VLOOKUP(A1066,Medical_Examinations[],7,FALSE)</f>
        <v>1</v>
      </c>
      <c r="I1066" t="str">
        <f>VLOOKUP(A1066,Medical_Examinations[],8,FALSE)</f>
        <v>No</v>
      </c>
      <c r="J1066" t="str">
        <f>VLOOKUP(A1066,Medical_Examinations[],9,FALSE)</f>
        <v>Obesity</v>
      </c>
      <c r="K1066" t="str">
        <f>VLOOKUP(A1066,Medical_Examinations[],10,FALSE)</f>
        <v>Normal</v>
      </c>
      <c r="M1066">
        <f>VLOOKUP(A1066,Hospitalisation_Details__2[],4,FALSE)</f>
        <v>10579.71</v>
      </c>
      <c r="N1066" t="str">
        <f>VLOOKUP(A1066,Hospitalisation_Details__2[],5,FALSE)</f>
        <v>tier - 3</v>
      </c>
      <c r="O1066" t="str">
        <f>VLOOKUP(A1066,Hospitalisation_Details__2[],6,FALSE)</f>
        <v>tier - 3</v>
      </c>
      <c r="P1066" t="str">
        <f>VLOOKUP(A1066,Hospitalisation_Details__2[],7,FALSE)</f>
        <v>R1013</v>
      </c>
    </row>
    <row r="1067" spans="1:16" x14ac:dyDescent="0.35">
      <c r="A1067" t="str">
        <v>Id1066</v>
      </c>
      <c r="B1067" t="str">
        <f>VLOOKUP(A1067,'Customer Names (2)'!A:B, 2,FALSE)</f>
        <v>Mr</v>
      </c>
      <c r="C1067">
        <f>VLOOKUP(A1067,Medical_Examinations[],2,FALSE)</f>
        <v>22.1</v>
      </c>
      <c r="D1067">
        <f>VLOOKUP(A1067,Medical_Examinations[],3,FALSE)</f>
        <v>4.6500000000000004</v>
      </c>
      <c r="E1067" t="str">
        <f>VLOOKUP(A1067,Medical_Examinations[],4,FALSE)</f>
        <v>Yes</v>
      </c>
      <c r="F1067" t="str">
        <f>VLOOKUP(A1067,Medical_Examinations[],5,FALSE)</f>
        <v>No</v>
      </c>
      <c r="G1067" t="str">
        <f>VLOOKUP(A1067,Medical_Examinations[],6,FALSE)</f>
        <v>No</v>
      </c>
      <c r="H1067">
        <f>VLOOKUP(A1067,Medical_Examinations[],7,FALSE)</f>
        <v>2</v>
      </c>
      <c r="I1067" t="str">
        <f>VLOOKUP(A1067,Medical_Examinations[],8,FALSE)</f>
        <v>No</v>
      </c>
      <c r="J1067" t="str">
        <f>VLOOKUP(A1067,Medical_Examinations[],9,FALSE)</f>
        <v>Normal Weight</v>
      </c>
      <c r="K1067" t="str">
        <f>VLOOKUP(A1067,Medical_Examinations[],10,FALSE)</f>
        <v>Normal</v>
      </c>
      <c r="M1067">
        <f>VLOOKUP(A1067,Hospitalisation_Details__2[],4,FALSE)</f>
        <v>10577.09</v>
      </c>
      <c r="N1067" t="str">
        <f>VLOOKUP(A1067,Hospitalisation_Details__2[],5,FALSE)</f>
        <v>tier - 3</v>
      </c>
      <c r="O1067" t="str">
        <f>VLOOKUP(A1067,Hospitalisation_Details__2[],6,FALSE)</f>
        <v>tier - 3</v>
      </c>
      <c r="P1067" t="str">
        <f>VLOOKUP(A1067,Hospitalisation_Details__2[],7,FALSE)</f>
        <v>R1011</v>
      </c>
    </row>
    <row r="1068" spans="1:16" x14ac:dyDescent="0.35">
      <c r="A1068" t="str">
        <v>Id1067</v>
      </c>
      <c r="B1068" t="str">
        <f>VLOOKUP(A1068,'Customer Names (2)'!A:B, 2,FALSE)</f>
        <v>Ms</v>
      </c>
      <c r="C1068">
        <f>VLOOKUP(A1068,Medical_Examinations[],2,FALSE)</f>
        <v>33.25</v>
      </c>
      <c r="D1068">
        <f>VLOOKUP(A1068,Medical_Examinations[],3,FALSE)</f>
        <v>5.64</v>
      </c>
      <c r="E1068" t="str">
        <f>VLOOKUP(A1068,Medical_Examinations[],4,FALSE)</f>
        <v>Yes</v>
      </c>
      <c r="F1068" t="str">
        <f>VLOOKUP(A1068,Medical_Examinations[],5,FALSE)</f>
        <v>No</v>
      </c>
      <c r="G1068" t="str">
        <f>VLOOKUP(A1068,Medical_Examinations[],6,FALSE)</f>
        <v>Yes</v>
      </c>
      <c r="H1068">
        <f>VLOOKUP(A1068,Medical_Examinations[],7,FALSE)</f>
        <v>1</v>
      </c>
      <c r="I1068" t="str">
        <f>VLOOKUP(A1068,Medical_Examinations[],8,FALSE)</f>
        <v>No</v>
      </c>
      <c r="J1068" t="str">
        <f>VLOOKUP(A1068,Medical_Examinations[],9,FALSE)</f>
        <v>Obesity</v>
      </c>
      <c r="K1068" t="str">
        <f>VLOOKUP(A1068,Medical_Examinations[],10,FALSE)</f>
        <v>Normal</v>
      </c>
      <c r="M1068">
        <f>VLOOKUP(A1068,Hospitalisation_Details__2[],4,FALSE)</f>
        <v>10564.88</v>
      </c>
      <c r="N1068" t="str">
        <f>VLOOKUP(A1068,Hospitalisation_Details__2[],5,FALSE)</f>
        <v>tier - 3</v>
      </c>
      <c r="O1068" t="str">
        <f>VLOOKUP(A1068,Hospitalisation_Details__2[],6,FALSE)</f>
        <v>tier - 1</v>
      </c>
      <c r="P1068" t="str">
        <f>VLOOKUP(A1068,Hospitalisation_Details__2[],7,FALSE)</f>
        <v>R1024</v>
      </c>
    </row>
    <row r="1069" spans="1:16" x14ac:dyDescent="0.35">
      <c r="A1069" t="str">
        <v>Id1068</v>
      </c>
      <c r="B1069" t="str">
        <f>VLOOKUP(A1069,'Customer Names (2)'!A:B, 2,FALSE)</f>
        <v>Mr</v>
      </c>
      <c r="C1069">
        <f>VLOOKUP(A1069,Medical_Examinations[],2,FALSE)</f>
        <v>33.33</v>
      </c>
      <c r="D1069">
        <f>VLOOKUP(A1069,Medical_Examinations[],3,FALSE)</f>
        <v>10.19</v>
      </c>
      <c r="E1069" t="str">
        <f>VLOOKUP(A1069,Medical_Examinations[],4,FALSE)</f>
        <v>No</v>
      </c>
      <c r="F1069" t="str">
        <f>VLOOKUP(A1069,Medical_Examinations[],5,FALSE)</f>
        <v>No</v>
      </c>
      <c r="G1069" t="str">
        <f>VLOOKUP(A1069,Medical_Examinations[],6,FALSE)</f>
        <v>No</v>
      </c>
      <c r="H1069">
        <f>VLOOKUP(A1069,Medical_Examinations[],7,FALSE)</f>
        <v>0</v>
      </c>
      <c r="I1069" t="str">
        <f>VLOOKUP(A1069,Medical_Examinations[],8,FALSE)</f>
        <v>No</v>
      </c>
      <c r="J1069" t="str">
        <f>VLOOKUP(A1069,Medical_Examinations[],9,FALSE)</f>
        <v>Obesity</v>
      </c>
      <c r="K1069" t="str">
        <f>VLOOKUP(A1069,Medical_Examinations[],10,FALSE)</f>
        <v>Diabetes</v>
      </c>
      <c r="M1069">
        <f>VLOOKUP(A1069,Hospitalisation_Details__2[],4,FALSE)</f>
        <v>10560.49</v>
      </c>
      <c r="N1069" t="str">
        <f>VLOOKUP(A1069,Hospitalisation_Details__2[],5,FALSE)</f>
        <v>tier - 3</v>
      </c>
      <c r="O1069" t="str">
        <f>VLOOKUP(A1069,Hospitalisation_Details__2[],6,FALSE)</f>
        <v>tier - 2</v>
      </c>
      <c r="P1069" t="str">
        <f>VLOOKUP(A1069,Hospitalisation_Details__2[],7,FALSE)</f>
        <v>R1013</v>
      </c>
    </row>
    <row r="1070" spans="1:16" x14ac:dyDescent="0.35">
      <c r="A1070" t="str">
        <v>Id1069</v>
      </c>
      <c r="B1070" t="str">
        <f>VLOOKUP(A1070,'Customer Names (2)'!A:B, 2,FALSE)</f>
        <v>Ms</v>
      </c>
      <c r="C1070">
        <f>VLOOKUP(A1070,Medical_Examinations[],2,FALSE)</f>
        <v>30.5</v>
      </c>
      <c r="D1070">
        <f>VLOOKUP(A1070,Medical_Examinations[],3,FALSE)</f>
        <v>10.79</v>
      </c>
      <c r="E1070" t="str">
        <f>VLOOKUP(A1070,Medical_Examinations[],4,FALSE)</f>
        <v>No</v>
      </c>
      <c r="F1070" t="str">
        <f>VLOOKUP(A1070,Medical_Examinations[],5,FALSE)</f>
        <v>No</v>
      </c>
      <c r="G1070" t="str">
        <f>VLOOKUP(A1070,Medical_Examinations[],6,FALSE)</f>
        <v>No</v>
      </c>
      <c r="H1070">
        <f>VLOOKUP(A1070,Medical_Examinations[],7,FALSE)</f>
        <v>0</v>
      </c>
      <c r="I1070" t="str">
        <f>VLOOKUP(A1070,Medical_Examinations[],8,FALSE)</f>
        <v>No</v>
      </c>
      <c r="J1070" t="str">
        <f>VLOOKUP(A1070,Medical_Examinations[],9,FALSE)</f>
        <v>Obesity</v>
      </c>
      <c r="K1070" t="str">
        <f>VLOOKUP(A1070,Medical_Examinations[],10,FALSE)</f>
        <v>Diabetes</v>
      </c>
      <c r="M1070">
        <f>VLOOKUP(A1070,Hospitalisation_Details__2[],4,FALSE)</f>
        <v>10546.48</v>
      </c>
      <c r="N1070" t="str">
        <f>VLOOKUP(A1070,Hospitalisation_Details__2[],5,FALSE)</f>
        <v>tier - 3</v>
      </c>
      <c r="O1070" t="str">
        <f>VLOOKUP(A1070,Hospitalisation_Details__2[],6,FALSE)</f>
        <v>tier - 3</v>
      </c>
      <c r="P1070" t="str">
        <f>VLOOKUP(A1070,Hospitalisation_Details__2[],7,FALSE)</f>
        <v>R1011</v>
      </c>
    </row>
    <row r="1071" spans="1:16" x14ac:dyDescent="0.35">
      <c r="A1071" t="str">
        <v>Id1070</v>
      </c>
      <c r="B1071" t="str">
        <f>VLOOKUP(A1071,'Customer Names (2)'!A:B, 2,FALSE)</f>
        <v>Ms</v>
      </c>
      <c r="C1071">
        <f>VLOOKUP(A1071,Medical_Examinations[],2,FALSE)</f>
        <v>30.3</v>
      </c>
      <c r="D1071">
        <f>VLOOKUP(A1071,Medical_Examinations[],3,FALSE)</f>
        <v>4.24</v>
      </c>
      <c r="E1071" t="str">
        <f>VLOOKUP(A1071,Medical_Examinations[],4,FALSE)</f>
        <v>No</v>
      </c>
      <c r="F1071" t="str">
        <f>VLOOKUP(A1071,Medical_Examinations[],5,FALSE)</f>
        <v>No</v>
      </c>
      <c r="G1071" t="str">
        <f>VLOOKUP(A1071,Medical_Examinations[],6,FALSE)</f>
        <v>No</v>
      </c>
      <c r="H1071">
        <f>VLOOKUP(A1071,Medical_Examinations[],7,FALSE)</f>
        <v>0</v>
      </c>
      <c r="I1071" t="str">
        <f>VLOOKUP(A1071,Medical_Examinations[],8,FALSE)</f>
        <v>No</v>
      </c>
      <c r="J1071" t="str">
        <f>VLOOKUP(A1071,Medical_Examinations[],9,FALSE)</f>
        <v>Obesity</v>
      </c>
      <c r="K1071" t="str">
        <f>VLOOKUP(A1071,Medical_Examinations[],10,FALSE)</f>
        <v>Normal</v>
      </c>
      <c r="M1071">
        <f>VLOOKUP(A1071,Hospitalisation_Details__2[],4,FALSE)</f>
        <v>10495.6</v>
      </c>
      <c r="N1071" t="str">
        <f>VLOOKUP(A1071,Hospitalisation_Details__2[],5,FALSE)</f>
        <v>tier - 3</v>
      </c>
      <c r="O1071" t="str">
        <f>VLOOKUP(A1071,Hospitalisation_Details__2[],6,FALSE)</f>
        <v>tier - 1</v>
      </c>
      <c r="P1071" t="str">
        <f>VLOOKUP(A1071,Hospitalisation_Details__2[],7,FALSE)</f>
        <v>R1012</v>
      </c>
    </row>
    <row r="1072" spans="1:16" x14ac:dyDescent="0.35">
      <c r="A1072" t="str">
        <v>Id1071</v>
      </c>
      <c r="B1072" t="str">
        <f>VLOOKUP(A1072,'Customer Names (2)'!A:B, 2,FALSE)</f>
        <v>Ms</v>
      </c>
      <c r="C1072">
        <f>VLOOKUP(A1072,Medical_Examinations[],2,FALSE)</f>
        <v>26.22</v>
      </c>
      <c r="D1072">
        <f>VLOOKUP(A1072,Medical_Examinations[],3,FALSE)</f>
        <v>5.83</v>
      </c>
      <c r="E1072" t="str">
        <f>VLOOKUP(A1072,Medical_Examinations[],4,FALSE)</f>
        <v>No</v>
      </c>
      <c r="F1072" t="str">
        <f>VLOOKUP(A1072,Medical_Examinations[],5,FALSE)</f>
        <v>No</v>
      </c>
      <c r="G1072" t="str">
        <f>VLOOKUP(A1072,Medical_Examinations[],6,FALSE)</f>
        <v>No</v>
      </c>
      <c r="H1072">
        <f>VLOOKUP(A1072,Medical_Examinations[],7,FALSE)</f>
        <v>2</v>
      </c>
      <c r="I1072" t="str">
        <f>VLOOKUP(A1072,Medical_Examinations[],8,FALSE)</f>
        <v>No</v>
      </c>
      <c r="J1072" t="str">
        <f>VLOOKUP(A1072,Medical_Examinations[],9,FALSE)</f>
        <v>Overweight</v>
      </c>
      <c r="K1072" t="str">
        <f>VLOOKUP(A1072,Medical_Examinations[],10,FALSE)</f>
        <v>Prediabetes</v>
      </c>
      <c r="M1072">
        <f>VLOOKUP(A1072,Hospitalisation_Details__2[],4,FALSE)</f>
        <v>10493.95</v>
      </c>
      <c r="N1072" t="str">
        <f>VLOOKUP(A1072,Hospitalisation_Details__2[],5,FALSE)</f>
        <v>tier - 3</v>
      </c>
      <c r="O1072" t="str">
        <f>VLOOKUP(A1072,Hospitalisation_Details__2[],6,FALSE)</f>
        <v>tier - 1</v>
      </c>
      <c r="P1072" t="str">
        <f>VLOOKUP(A1072,Hospitalisation_Details__2[],7,FALSE)</f>
        <v>R1012</v>
      </c>
    </row>
    <row r="1073" spans="1:16" x14ac:dyDescent="0.35">
      <c r="A1073" t="str">
        <v>Id1072</v>
      </c>
      <c r="B1073" t="str">
        <f>VLOOKUP(A1073,'Customer Names (2)'!A:B, 2,FALSE)</f>
        <v>Mrs</v>
      </c>
      <c r="C1073">
        <f>VLOOKUP(A1073,Medical_Examinations[],2,FALSE)</f>
        <v>29.99</v>
      </c>
      <c r="D1073">
        <f>VLOOKUP(A1073,Medical_Examinations[],3,FALSE)</f>
        <v>11.85</v>
      </c>
      <c r="E1073" t="str">
        <f>VLOOKUP(A1073,Medical_Examinations[],4,FALSE)</f>
        <v>No</v>
      </c>
      <c r="F1073" t="str">
        <f>VLOOKUP(A1073,Medical_Examinations[],5,FALSE)</f>
        <v>No</v>
      </c>
      <c r="G1073" t="str">
        <f>VLOOKUP(A1073,Medical_Examinations[],6,FALSE)</f>
        <v>No</v>
      </c>
      <c r="H1073">
        <f>VLOOKUP(A1073,Medical_Examinations[],7,FALSE)</f>
        <v>0</v>
      </c>
      <c r="I1073" t="str">
        <f>VLOOKUP(A1073,Medical_Examinations[],8,FALSE)</f>
        <v>No</v>
      </c>
      <c r="J1073" t="str">
        <f>VLOOKUP(A1073,Medical_Examinations[],9,FALSE)</f>
        <v>Overweight</v>
      </c>
      <c r="K1073" t="str">
        <f>VLOOKUP(A1073,Medical_Examinations[],10,FALSE)</f>
        <v>Diabetes</v>
      </c>
      <c r="M1073">
        <f>VLOOKUP(A1073,Hospitalisation_Details__2[],4,FALSE)</f>
        <v>10486.55</v>
      </c>
      <c r="N1073" t="str">
        <f>VLOOKUP(A1073,Hospitalisation_Details__2[],5,FALSE)</f>
        <v>tier - 3</v>
      </c>
      <c r="O1073" t="str">
        <f>VLOOKUP(A1073,Hospitalisation_Details__2[],6,FALSE)</f>
        <v>tier - 3</v>
      </c>
      <c r="P1073" t="str">
        <f>VLOOKUP(A1073,Hospitalisation_Details__2[],7,FALSE)</f>
        <v>R1025</v>
      </c>
    </row>
    <row r="1074" spans="1:16" x14ac:dyDescent="0.35">
      <c r="A1074" t="str">
        <v>Id1073</v>
      </c>
      <c r="B1074" t="str">
        <f>VLOOKUP(A1074,'Customer Names (2)'!A:B, 2,FALSE)</f>
        <v>Ms</v>
      </c>
      <c r="C1074">
        <f>VLOOKUP(A1074,Medical_Examinations[],2,FALSE)</f>
        <v>36.380000000000003</v>
      </c>
      <c r="D1074">
        <f>VLOOKUP(A1074,Medical_Examinations[],3,FALSE)</f>
        <v>5.98</v>
      </c>
      <c r="E1074" t="str">
        <f>VLOOKUP(A1074,Medical_Examinations[],4,FALSE)</f>
        <v>No</v>
      </c>
      <c r="F1074" t="str">
        <f>VLOOKUP(A1074,Medical_Examinations[],5,FALSE)</f>
        <v>No</v>
      </c>
      <c r="G1074" t="str">
        <f>VLOOKUP(A1074,Medical_Examinations[],6,FALSE)</f>
        <v>No</v>
      </c>
      <c r="H1074">
        <f>VLOOKUP(A1074,Medical_Examinations[],7,FALSE)</f>
        <v>1</v>
      </c>
      <c r="I1074" t="str">
        <f>VLOOKUP(A1074,Medical_Examinations[],8,FALSE)</f>
        <v>No</v>
      </c>
      <c r="J1074" t="str">
        <f>VLOOKUP(A1074,Medical_Examinations[],9,FALSE)</f>
        <v>Obesity</v>
      </c>
      <c r="K1074" t="str">
        <f>VLOOKUP(A1074,Medical_Examinations[],10,FALSE)</f>
        <v>Prediabetes</v>
      </c>
      <c r="M1074">
        <f>VLOOKUP(A1074,Hospitalisation_Details__2[],4,FALSE)</f>
        <v>10464.83</v>
      </c>
      <c r="N1074" t="str">
        <f>VLOOKUP(A1074,Hospitalisation_Details__2[],5,FALSE)</f>
        <v>tier - 3</v>
      </c>
      <c r="O1074" t="str">
        <f>VLOOKUP(A1074,Hospitalisation_Details__2[],6,FALSE)</f>
        <v>tier - 1</v>
      </c>
      <c r="P1074" t="str">
        <f>VLOOKUP(A1074,Hospitalisation_Details__2[],7,FALSE)</f>
        <v>R1012</v>
      </c>
    </row>
    <row r="1075" spans="1:16" x14ac:dyDescent="0.35">
      <c r="A1075" t="str">
        <v>Id1074</v>
      </c>
      <c r="B1075" t="str">
        <f>VLOOKUP(A1075,'Customer Names (2)'!A:B, 2,FALSE)</f>
        <v>Mr</v>
      </c>
      <c r="C1075">
        <f>VLOOKUP(A1075,Medical_Examinations[],2,FALSE)</f>
        <v>31.16</v>
      </c>
      <c r="D1075">
        <f>VLOOKUP(A1075,Medical_Examinations[],3,FALSE)</f>
        <v>4.26</v>
      </c>
      <c r="E1075" t="str">
        <f>VLOOKUP(A1075,Medical_Examinations[],4,FALSE)</f>
        <v>Yes</v>
      </c>
      <c r="F1075" t="str">
        <f>VLOOKUP(A1075,Medical_Examinations[],5,FALSE)</f>
        <v>No</v>
      </c>
      <c r="G1075" t="str">
        <f>VLOOKUP(A1075,Medical_Examinations[],6,FALSE)</f>
        <v>Yes</v>
      </c>
      <c r="H1075">
        <f>VLOOKUP(A1075,Medical_Examinations[],7,FALSE)</f>
        <v>1</v>
      </c>
      <c r="I1075" t="str">
        <f>VLOOKUP(A1075,Medical_Examinations[],8,FALSE)</f>
        <v>No</v>
      </c>
      <c r="J1075" t="str">
        <f>VLOOKUP(A1075,Medical_Examinations[],9,FALSE)</f>
        <v>Obesity</v>
      </c>
      <c r="K1075" t="str">
        <f>VLOOKUP(A1075,Medical_Examinations[],10,FALSE)</f>
        <v>Normal</v>
      </c>
      <c r="M1075">
        <f>VLOOKUP(A1075,Hospitalisation_Details__2[],4,FALSE)</f>
        <v>10461.98</v>
      </c>
      <c r="N1075" t="str">
        <f>VLOOKUP(A1075,Hospitalisation_Details__2[],5,FALSE)</f>
        <v>tier - 3</v>
      </c>
      <c r="O1075" t="str">
        <f>VLOOKUP(A1075,Hospitalisation_Details__2[],6,FALSE)</f>
        <v>tier - 1</v>
      </c>
      <c r="P1075" t="str">
        <f>VLOOKUP(A1075,Hospitalisation_Details__2[],7,FALSE)</f>
        <v>R1012</v>
      </c>
    </row>
    <row r="1076" spans="1:16" x14ac:dyDescent="0.35">
      <c r="A1076" t="str">
        <v>Id1075</v>
      </c>
      <c r="B1076" t="str">
        <f>VLOOKUP(A1076,'Customer Names (2)'!A:B, 2,FALSE)</f>
        <v>Mr</v>
      </c>
      <c r="C1076">
        <f>VLOOKUP(A1076,Medical_Examinations[],2,FALSE)</f>
        <v>25.55</v>
      </c>
      <c r="D1076">
        <f>VLOOKUP(A1076,Medical_Examinations[],3,FALSE)</f>
        <v>4.96</v>
      </c>
      <c r="E1076" t="str">
        <f>VLOOKUP(A1076,Medical_Examinations[],4,FALSE)</f>
        <v>Yes</v>
      </c>
      <c r="F1076" t="str">
        <f>VLOOKUP(A1076,Medical_Examinations[],5,FALSE)</f>
        <v>No</v>
      </c>
      <c r="G1076" t="str">
        <f>VLOOKUP(A1076,Medical_Examinations[],6,FALSE)</f>
        <v>No</v>
      </c>
      <c r="H1076">
        <f>VLOOKUP(A1076,Medical_Examinations[],7,FALSE)</f>
        <v>1</v>
      </c>
      <c r="I1076" t="str">
        <f>VLOOKUP(A1076,Medical_Examinations[],8,FALSE)</f>
        <v>No</v>
      </c>
      <c r="J1076" t="str">
        <f>VLOOKUP(A1076,Medical_Examinations[],9,FALSE)</f>
        <v>Overweight</v>
      </c>
      <c r="K1076" t="str">
        <f>VLOOKUP(A1076,Medical_Examinations[],10,FALSE)</f>
        <v>Normal</v>
      </c>
      <c r="M1076">
        <f>VLOOKUP(A1076,Hospitalisation_Details__2[],4,FALSE)</f>
        <v>10459.19</v>
      </c>
      <c r="N1076" t="str">
        <f>VLOOKUP(A1076,Hospitalisation_Details__2[],5,FALSE)</f>
        <v>tier - 3</v>
      </c>
      <c r="O1076" t="str">
        <f>VLOOKUP(A1076,Hospitalisation_Details__2[],6,FALSE)</f>
        <v>tier - 1</v>
      </c>
      <c r="P1076" t="str">
        <f>VLOOKUP(A1076,Hospitalisation_Details__2[],7,FALSE)</f>
        <v>R1013</v>
      </c>
    </row>
    <row r="1077" spans="1:16" x14ac:dyDescent="0.35">
      <c r="A1077" t="str">
        <v>Id1076</v>
      </c>
      <c r="B1077" t="str">
        <f>VLOOKUP(A1077,'Customer Names (2)'!A:B, 2,FALSE)</f>
        <v>Mr</v>
      </c>
      <c r="C1077">
        <f>VLOOKUP(A1077,Medical_Examinations[],2,FALSE)</f>
        <v>28.77</v>
      </c>
      <c r="D1077">
        <f>VLOOKUP(A1077,Medical_Examinations[],3,FALSE)</f>
        <v>4</v>
      </c>
      <c r="E1077" t="str">
        <f>VLOOKUP(A1077,Medical_Examinations[],4,FALSE)</f>
        <v>Yes</v>
      </c>
      <c r="F1077" t="str">
        <f>VLOOKUP(A1077,Medical_Examinations[],5,FALSE)</f>
        <v>No</v>
      </c>
      <c r="G1077" t="str">
        <f>VLOOKUP(A1077,Medical_Examinations[],6,FALSE)</f>
        <v>No</v>
      </c>
      <c r="H1077">
        <f>VLOOKUP(A1077,Medical_Examinations[],7,FALSE)</f>
        <v>0</v>
      </c>
      <c r="I1077" t="str">
        <f>VLOOKUP(A1077,Medical_Examinations[],8,FALSE)</f>
        <v>No</v>
      </c>
      <c r="J1077" t="str">
        <f>VLOOKUP(A1077,Medical_Examinations[],9,FALSE)</f>
        <v>Overweight</v>
      </c>
      <c r="K1077" t="str">
        <f>VLOOKUP(A1077,Medical_Examinations[],10,FALSE)</f>
        <v>Normal</v>
      </c>
      <c r="M1077">
        <f>VLOOKUP(A1077,Hospitalisation_Details__2[],4,FALSE)</f>
        <v>10455.14</v>
      </c>
      <c r="N1077" t="str">
        <f>VLOOKUP(A1077,Hospitalisation_Details__2[],5,FALSE)</f>
        <v>tier - 3</v>
      </c>
      <c r="O1077" t="str">
        <f>VLOOKUP(A1077,Hospitalisation_Details__2[],6,FALSE)</f>
        <v>tier - 2</v>
      </c>
      <c r="P1077" t="str">
        <f>VLOOKUP(A1077,Hospitalisation_Details__2[],7,FALSE)</f>
        <v>R1021</v>
      </c>
    </row>
    <row r="1078" spans="1:16" x14ac:dyDescent="0.35">
      <c r="A1078" t="str">
        <v>Id1077</v>
      </c>
      <c r="B1078" t="str">
        <f>VLOOKUP(A1078,'Customer Names (2)'!A:B, 2,FALSE)</f>
        <v>Ms</v>
      </c>
      <c r="C1078">
        <f>VLOOKUP(A1078,Medical_Examinations[],2,FALSE)</f>
        <v>23.14</v>
      </c>
      <c r="D1078">
        <f>VLOOKUP(A1078,Medical_Examinations[],3,FALSE)</f>
        <v>4.1500000000000004</v>
      </c>
      <c r="E1078" t="str">
        <f>VLOOKUP(A1078,Medical_Examinations[],4,FALSE)</f>
        <v>Yes</v>
      </c>
      <c r="F1078" t="str">
        <f>VLOOKUP(A1078,Medical_Examinations[],5,FALSE)</f>
        <v>No</v>
      </c>
      <c r="G1078" t="str">
        <f>VLOOKUP(A1078,Medical_Examinations[],6,FALSE)</f>
        <v>No</v>
      </c>
      <c r="H1078">
        <f>VLOOKUP(A1078,Medical_Examinations[],7,FALSE)</f>
        <v>1</v>
      </c>
      <c r="I1078" t="str">
        <f>VLOOKUP(A1078,Medical_Examinations[],8,FALSE)</f>
        <v>No</v>
      </c>
      <c r="J1078" t="str">
        <f>VLOOKUP(A1078,Medical_Examinations[],9,FALSE)</f>
        <v>Normal Weight</v>
      </c>
      <c r="K1078" t="str">
        <f>VLOOKUP(A1078,Medical_Examinations[],10,FALSE)</f>
        <v>Normal</v>
      </c>
      <c r="M1078">
        <f>VLOOKUP(A1078,Hospitalisation_Details__2[],4,FALSE)</f>
        <v>10455.1</v>
      </c>
      <c r="N1078" t="str">
        <f>VLOOKUP(A1078,Hospitalisation_Details__2[],5,FALSE)</f>
        <v>tier - 3</v>
      </c>
      <c r="O1078" t="str">
        <f>VLOOKUP(A1078,Hospitalisation_Details__2[],6,FALSE)</f>
        <v>tier - 1</v>
      </c>
      <c r="P1078" t="str">
        <f>VLOOKUP(A1078,Hospitalisation_Details__2[],7,FALSE)</f>
        <v>R1012</v>
      </c>
    </row>
    <row r="1079" spans="1:16" x14ac:dyDescent="0.35">
      <c r="A1079" t="str">
        <v>Id1078</v>
      </c>
      <c r="B1079" t="str">
        <f>VLOOKUP(A1079,'Customer Names (2)'!A:B, 2,FALSE)</f>
        <v>Mr</v>
      </c>
      <c r="C1079">
        <f>VLOOKUP(A1079,Medical_Examinations[],2,FALSE)</f>
        <v>39.6</v>
      </c>
      <c r="D1079">
        <f>VLOOKUP(A1079,Medical_Examinations[],3,FALSE)</f>
        <v>11.36</v>
      </c>
      <c r="E1079" t="str">
        <f>VLOOKUP(A1079,Medical_Examinations[],4,FALSE)</f>
        <v>No</v>
      </c>
      <c r="F1079" t="str">
        <f>VLOOKUP(A1079,Medical_Examinations[],5,FALSE)</f>
        <v>No</v>
      </c>
      <c r="G1079" t="str">
        <f>VLOOKUP(A1079,Medical_Examinations[],6,FALSE)</f>
        <v>No</v>
      </c>
      <c r="H1079">
        <f>VLOOKUP(A1079,Medical_Examinations[],7,FALSE)</f>
        <v>0</v>
      </c>
      <c r="I1079" t="str">
        <f>VLOOKUP(A1079,Medical_Examinations[],8,FALSE)</f>
        <v>No</v>
      </c>
      <c r="J1079" t="str">
        <f>VLOOKUP(A1079,Medical_Examinations[],9,FALSE)</f>
        <v>Obesity</v>
      </c>
      <c r="K1079" t="str">
        <f>VLOOKUP(A1079,Medical_Examinations[],10,FALSE)</f>
        <v>Diabetes</v>
      </c>
      <c r="M1079">
        <f>VLOOKUP(A1079,Hospitalisation_Details__2[],4,FALSE)</f>
        <v>10450.549999999999</v>
      </c>
      <c r="N1079" t="str">
        <f>VLOOKUP(A1079,Hospitalisation_Details__2[],5,FALSE)</f>
        <v>tier - 3</v>
      </c>
      <c r="O1079" t="str">
        <f>VLOOKUP(A1079,Hospitalisation_Details__2[],6,FALSE)</f>
        <v>tier - 1</v>
      </c>
      <c r="P1079" t="str">
        <f>VLOOKUP(A1079,Hospitalisation_Details__2[],7,FALSE)</f>
        <v>R1011</v>
      </c>
    </row>
    <row r="1080" spans="1:16" x14ac:dyDescent="0.35">
      <c r="A1080" t="str">
        <v>Id1079</v>
      </c>
      <c r="B1080" t="str">
        <f>VLOOKUP(A1080,'Customer Names (2)'!A:B, 2,FALSE)</f>
        <v>Mr</v>
      </c>
      <c r="C1080">
        <f>VLOOKUP(A1080,Medical_Examinations[],2,FALSE)</f>
        <v>29.2</v>
      </c>
      <c r="D1080">
        <f>VLOOKUP(A1080,Medical_Examinations[],3,FALSE)</f>
        <v>7.53</v>
      </c>
      <c r="E1080" t="str">
        <f>VLOOKUP(A1080,Medical_Examinations[],4,FALSE)</f>
        <v>No</v>
      </c>
      <c r="F1080" t="str">
        <f>VLOOKUP(A1080,Medical_Examinations[],5,FALSE)</f>
        <v>No</v>
      </c>
      <c r="G1080" t="str">
        <f>VLOOKUP(A1080,Medical_Examinations[],6,FALSE)</f>
        <v>No</v>
      </c>
      <c r="H1080">
        <f>VLOOKUP(A1080,Medical_Examinations[],7,FALSE)</f>
        <v>0</v>
      </c>
      <c r="I1080" t="str">
        <f>VLOOKUP(A1080,Medical_Examinations[],8,FALSE)</f>
        <v>No</v>
      </c>
      <c r="J1080" t="str">
        <f>VLOOKUP(A1080,Medical_Examinations[],9,FALSE)</f>
        <v>Overweight</v>
      </c>
      <c r="K1080" t="str">
        <f>VLOOKUP(A1080,Medical_Examinations[],10,FALSE)</f>
        <v>Diabetes</v>
      </c>
      <c r="M1080">
        <f>VLOOKUP(A1080,Hospitalisation_Details__2[],4,FALSE)</f>
        <v>10436.1</v>
      </c>
      <c r="N1080" t="str">
        <f>VLOOKUP(A1080,Hospitalisation_Details__2[],5,FALSE)</f>
        <v>tier - 3</v>
      </c>
      <c r="O1080" t="str">
        <f>VLOOKUP(A1080,Hospitalisation_Details__2[],6,FALSE)</f>
        <v>tier - 3</v>
      </c>
      <c r="P1080" t="str">
        <f>VLOOKUP(A1080,Hospitalisation_Details__2[],7,FALSE)</f>
        <v>R1011</v>
      </c>
    </row>
    <row r="1081" spans="1:16" x14ac:dyDescent="0.35">
      <c r="A1081" t="str">
        <v>Id1080</v>
      </c>
      <c r="B1081" t="str">
        <f>VLOOKUP(A1081,'Customer Names (2)'!A:B, 2,FALSE)</f>
        <v>Mr</v>
      </c>
      <c r="C1081">
        <f>VLOOKUP(A1081,Medical_Examinations[],2,FALSE)</f>
        <v>32.774999999999999</v>
      </c>
      <c r="D1081">
        <f>VLOOKUP(A1081,Medical_Examinations[],3,FALSE)</f>
        <v>7.95</v>
      </c>
      <c r="E1081" t="str">
        <f>VLOOKUP(A1081,Medical_Examinations[],4,FALSE)</f>
        <v>No</v>
      </c>
      <c r="F1081" t="str">
        <f>VLOOKUP(A1081,Medical_Examinations[],5,FALSE)</f>
        <v>No</v>
      </c>
      <c r="G1081" t="str">
        <f>VLOOKUP(A1081,Medical_Examinations[],6,FALSE)</f>
        <v>No</v>
      </c>
      <c r="H1081">
        <f>VLOOKUP(A1081,Medical_Examinations[],7,FALSE)</f>
        <v>0</v>
      </c>
      <c r="I1081" t="str">
        <f>VLOOKUP(A1081,Medical_Examinations[],8,FALSE)</f>
        <v>No</v>
      </c>
      <c r="J1081" t="str">
        <f>VLOOKUP(A1081,Medical_Examinations[],9,FALSE)</f>
        <v>Obesity</v>
      </c>
      <c r="K1081" t="str">
        <f>VLOOKUP(A1081,Medical_Examinations[],10,FALSE)</f>
        <v>Diabetes</v>
      </c>
      <c r="M1081">
        <f>VLOOKUP(A1081,Hospitalisation_Details__2[],4,FALSE)</f>
        <v>10435.07</v>
      </c>
      <c r="N1081" t="str">
        <f>VLOOKUP(A1081,Hospitalisation_Details__2[],5,FALSE)</f>
        <v>tier - 3</v>
      </c>
      <c r="O1081" t="str">
        <f>VLOOKUP(A1081,Hospitalisation_Details__2[],6,FALSE)</f>
        <v>tier - 1</v>
      </c>
      <c r="P1081" t="str">
        <f>VLOOKUP(A1081,Hospitalisation_Details__2[],7,FALSE)</f>
        <v>R1016</v>
      </c>
    </row>
    <row r="1082" spans="1:16" x14ac:dyDescent="0.35">
      <c r="A1082" t="str">
        <v>Id1081</v>
      </c>
      <c r="B1082" t="str">
        <f>VLOOKUP(A1082,'Customer Names (2)'!A:B, 2,FALSE)</f>
        <v>Mr</v>
      </c>
      <c r="C1082">
        <f>VLOOKUP(A1082,Medical_Examinations[],2,FALSE)</f>
        <v>24.035</v>
      </c>
      <c r="D1082">
        <f>VLOOKUP(A1082,Medical_Examinations[],3,FALSE)</f>
        <v>8.5</v>
      </c>
      <c r="E1082" t="str">
        <f>VLOOKUP(A1082,Medical_Examinations[],4,FALSE)</f>
        <v>No</v>
      </c>
      <c r="F1082" t="str">
        <f>VLOOKUP(A1082,Medical_Examinations[],5,FALSE)</f>
        <v>No</v>
      </c>
      <c r="G1082" t="str">
        <f>VLOOKUP(A1082,Medical_Examinations[],6,FALSE)</f>
        <v>No</v>
      </c>
      <c r="H1082">
        <f>VLOOKUP(A1082,Medical_Examinations[],7,FALSE)</f>
        <v>0</v>
      </c>
      <c r="I1082" t="str">
        <f>VLOOKUP(A1082,Medical_Examinations[],8,FALSE)</f>
        <v>No</v>
      </c>
      <c r="J1082" t="str">
        <f>VLOOKUP(A1082,Medical_Examinations[],9,FALSE)</f>
        <v>Normal Weight</v>
      </c>
      <c r="K1082" t="str">
        <f>VLOOKUP(A1082,Medical_Examinations[],10,FALSE)</f>
        <v>Diabetes</v>
      </c>
      <c r="M1082">
        <f>VLOOKUP(A1082,Hospitalisation_Details__2[],4,FALSE)</f>
        <v>10422.92</v>
      </c>
      <c r="N1082" t="str">
        <f>VLOOKUP(A1082,Hospitalisation_Details__2[],5,FALSE)</f>
        <v>tier - 3</v>
      </c>
      <c r="O1082" t="str">
        <f>VLOOKUP(A1082,Hospitalisation_Details__2[],6,FALSE)</f>
        <v>tier - 1</v>
      </c>
      <c r="P1082" t="str">
        <f>VLOOKUP(A1082,Hospitalisation_Details__2[],7,FALSE)</f>
        <v>R1017</v>
      </c>
    </row>
    <row r="1083" spans="1:16" x14ac:dyDescent="0.35">
      <c r="A1083" t="str">
        <v>Id1082</v>
      </c>
      <c r="B1083" t="str">
        <f>VLOOKUP(A1083,'Customer Names (2)'!A:B, 2,FALSE)</f>
        <v>Mrs</v>
      </c>
      <c r="C1083">
        <f>VLOOKUP(A1083,Medical_Examinations[],2,FALSE)</f>
        <v>30.55</v>
      </c>
      <c r="D1083">
        <f>VLOOKUP(A1083,Medical_Examinations[],3,FALSE)</f>
        <v>5.89</v>
      </c>
      <c r="E1083" t="str">
        <f>VLOOKUP(A1083,Medical_Examinations[],4,FALSE)</f>
        <v>No</v>
      </c>
      <c r="F1083" t="str">
        <f>VLOOKUP(A1083,Medical_Examinations[],5,FALSE)</f>
        <v>No</v>
      </c>
      <c r="G1083" t="str">
        <f>VLOOKUP(A1083,Medical_Examinations[],6,FALSE)</f>
        <v>Yes</v>
      </c>
      <c r="H1083">
        <f>VLOOKUP(A1083,Medical_Examinations[],7,FALSE)</f>
        <v>1</v>
      </c>
      <c r="I1083" t="str">
        <f>VLOOKUP(A1083,Medical_Examinations[],8,FALSE)</f>
        <v>No</v>
      </c>
      <c r="J1083" t="str">
        <f>VLOOKUP(A1083,Medical_Examinations[],9,FALSE)</f>
        <v>Obesity</v>
      </c>
      <c r="K1083" t="str">
        <f>VLOOKUP(A1083,Medical_Examinations[],10,FALSE)</f>
        <v>Prediabetes</v>
      </c>
      <c r="M1083">
        <f>VLOOKUP(A1083,Hospitalisation_Details__2[],4,FALSE)</f>
        <v>10419.65</v>
      </c>
      <c r="N1083" t="str">
        <f>VLOOKUP(A1083,Hospitalisation_Details__2[],5,FALSE)</f>
        <v>tier - 3</v>
      </c>
      <c r="O1083" t="str">
        <f>VLOOKUP(A1083,Hospitalisation_Details__2[],6,FALSE)</f>
        <v>tier - 2</v>
      </c>
      <c r="P1083" t="str">
        <f>VLOOKUP(A1083,Hospitalisation_Details__2[],7,FALSE)</f>
        <v>R1025</v>
      </c>
    </row>
    <row r="1084" spans="1:16" x14ac:dyDescent="0.35">
      <c r="A1084" t="str">
        <v>Id1083</v>
      </c>
      <c r="B1084" t="str">
        <f>VLOOKUP(A1084,'Customer Names (2)'!A:B, 2,FALSE)</f>
        <v>Mrs</v>
      </c>
      <c r="C1084">
        <f>VLOOKUP(A1084,Medical_Examinations[],2,FALSE)</f>
        <v>28.81</v>
      </c>
      <c r="D1084">
        <f>VLOOKUP(A1084,Medical_Examinations[],3,FALSE)</f>
        <v>8.76</v>
      </c>
      <c r="E1084" t="str">
        <f>VLOOKUP(A1084,Medical_Examinations[],4,FALSE)</f>
        <v>No</v>
      </c>
      <c r="F1084" t="str">
        <f>VLOOKUP(A1084,Medical_Examinations[],5,FALSE)</f>
        <v>No</v>
      </c>
      <c r="G1084" t="str">
        <f>VLOOKUP(A1084,Medical_Examinations[],6,FALSE)</f>
        <v>No</v>
      </c>
      <c r="H1084">
        <f>VLOOKUP(A1084,Medical_Examinations[],7,FALSE)</f>
        <v>2</v>
      </c>
      <c r="I1084" t="str">
        <f>VLOOKUP(A1084,Medical_Examinations[],8,FALSE)</f>
        <v>No</v>
      </c>
      <c r="J1084" t="str">
        <f>VLOOKUP(A1084,Medical_Examinations[],9,FALSE)</f>
        <v>Overweight</v>
      </c>
      <c r="K1084" t="str">
        <f>VLOOKUP(A1084,Medical_Examinations[],10,FALSE)</f>
        <v>Diabetes</v>
      </c>
      <c r="M1084">
        <f>VLOOKUP(A1084,Hospitalisation_Details__2[],4,FALSE)</f>
        <v>10419.59</v>
      </c>
      <c r="N1084" t="str">
        <f>VLOOKUP(A1084,Hospitalisation_Details__2[],5,FALSE)</f>
        <v>tier - 3</v>
      </c>
      <c r="O1084" t="str">
        <f>VLOOKUP(A1084,Hospitalisation_Details__2[],6,FALSE)</f>
        <v>tier - 2</v>
      </c>
      <c r="P1084" t="str">
        <f>VLOOKUP(A1084,Hospitalisation_Details__2[],7,FALSE)</f>
        <v>R1025</v>
      </c>
    </row>
    <row r="1085" spans="1:16" x14ac:dyDescent="0.35">
      <c r="A1085" t="str">
        <v>Id1084</v>
      </c>
      <c r="B1085" t="str">
        <f>VLOOKUP(A1085,'Customer Names (2)'!A:B, 2,FALSE)</f>
        <v>Mr</v>
      </c>
      <c r="C1085">
        <f>VLOOKUP(A1085,Medical_Examinations[],2,FALSE)</f>
        <v>31.66</v>
      </c>
      <c r="D1085">
        <f>VLOOKUP(A1085,Medical_Examinations[],3,FALSE)</f>
        <v>4.1100000000000003</v>
      </c>
      <c r="E1085" t="str">
        <f>VLOOKUP(A1085,Medical_Examinations[],4,FALSE)</f>
        <v>No</v>
      </c>
      <c r="F1085" t="str">
        <f>VLOOKUP(A1085,Medical_Examinations[],5,FALSE)</f>
        <v>No</v>
      </c>
      <c r="G1085" t="str">
        <f>VLOOKUP(A1085,Medical_Examinations[],6,FALSE)</f>
        <v>No</v>
      </c>
      <c r="H1085">
        <f>VLOOKUP(A1085,Medical_Examinations[],7,FALSE)</f>
        <v>0</v>
      </c>
      <c r="I1085" t="str">
        <f>VLOOKUP(A1085,Medical_Examinations[],8,FALSE)</f>
        <v>No</v>
      </c>
      <c r="J1085" t="str">
        <f>VLOOKUP(A1085,Medical_Examinations[],9,FALSE)</f>
        <v>Obesity</v>
      </c>
      <c r="K1085" t="str">
        <f>VLOOKUP(A1085,Medical_Examinations[],10,FALSE)</f>
        <v>Normal</v>
      </c>
      <c r="M1085">
        <f>VLOOKUP(A1085,Hospitalisation_Details__2[],4,FALSE)</f>
        <v>10407.98</v>
      </c>
      <c r="N1085" t="str">
        <f>VLOOKUP(A1085,Hospitalisation_Details__2[],5,FALSE)</f>
        <v>tier - 3</v>
      </c>
      <c r="O1085" t="str">
        <f>VLOOKUP(A1085,Hospitalisation_Details__2[],6,FALSE)</f>
        <v>tier - 1</v>
      </c>
      <c r="P1085" t="str">
        <f>VLOOKUP(A1085,Hospitalisation_Details__2[],7,FALSE)</f>
        <v>R1021</v>
      </c>
    </row>
    <row r="1086" spans="1:16" x14ac:dyDescent="0.35">
      <c r="A1086" t="str">
        <v>Id1085</v>
      </c>
      <c r="B1086" t="str">
        <f>VLOOKUP(A1086,'Customer Names (2)'!A:B, 2,FALSE)</f>
        <v>Mr</v>
      </c>
      <c r="C1086">
        <f>VLOOKUP(A1086,Medical_Examinations[],2,FALSE)</f>
        <v>28.215</v>
      </c>
      <c r="D1086">
        <f>VLOOKUP(A1086,Medical_Examinations[],3,FALSE)</f>
        <v>7.56</v>
      </c>
      <c r="E1086" t="str">
        <f>VLOOKUP(A1086,Medical_Examinations[],4,FALSE)</f>
        <v>Yes</v>
      </c>
      <c r="F1086" t="str">
        <f>VLOOKUP(A1086,Medical_Examinations[],5,FALSE)</f>
        <v>No</v>
      </c>
      <c r="G1086" t="str">
        <f>VLOOKUP(A1086,Medical_Examinations[],6,FALSE)</f>
        <v>No</v>
      </c>
      <c r="H1086">
        <f>VLOOKUP(A1086,Medical_Examinations[],7,FALSE)</f>
        <v>1</v>
      </c>
      <c r="I1086" t="str">
        <f>VLOOKUP(A1086,Medical_Examinations[],8,FALSE)</f>
        <v>No</v>
      </c>
      <c r="J1086" t="str">
        <f>VLOOKUP(A1086,Medical_Examinations[],9,FALSE)</f>
        <v>Overweight</v>
      </c>
      <c r="K1086" t="str">
        <f>VLOOKUP(A1086,Medical_Examinations[],10,FALSE)</f>
        <v>Diabetes</v>
      </c>
      <c r="M1086">
        <f>VLOOKUP(A1086,Hospitalisation_Details__2[],4,FALSE)</f>
        <v>10407.09</v>
      </c>
      <c r="N1086" t="str">
        <f>VLOOKUP(A1086,Hospitalisation_Details__2[],5,FALSE)</f>
        <v>tier - 3</v>
      </c>
      <c r="O1086" t="str">
        <f>VLOOKUP(A1086,Hospitalisation_Details__2[],6,FALSE)</f>
        <v>tier - 1</v>
      </c>
      <c r="P1086" t="str">
        <f>VLOOKUP(A1086,Hospitalisation_Details__2[],7,FALSE)</f>
        <v>R1015</v>
      </c>
    </row>
    <row r="1087" spans="1:16" x14ac:dyDescent="0.35">
      <c r="A1087" t="str">
        <v>Id1086</v>
      </c>
      <c r="B1087" t="str">
        <f>VLOOKUP(A1087,'Customer Names (2)'!A:B, 2,FALSE)</f>
        <v>Mr</v>
      </c>
      <c r="C1087">
        <f>VLOOKUP(A1087,Medical_Examinations[],2,FALSE)</f>
        <v>26.12</v>
      </c>
      <c r="D1087">
        <f>VLOOKUP(A1087,Medical_Examinations[],3,FALSE)</f>
        <v>4.17</v>
      </c>
      <c r="E1087" t="str">
        <f>VLOOKUP(A1087,Medical_Examinations[],4,FALSE)</f>
        <v>Yes</v>
      </c>
      <c r="F1087" t="str">
        <f>VLOOKUP(A1087,Medical_Examinations[],5,FALSE)</f>
        <v>No</v>
      </c>
      <c r="G1087" t="str">
        <f>VLOOKUP(A1087,Medical_Examinations[],6,FALSE)</f>
        <v>Yes</v>
      </c>
      <c r="H1087">
        <f>VLOOKUP(A1087,Medical_Examinations[],7,FALSE)</f>
        <v>1</v>
      </c>
      <c r="I1087" t="str">
        <f>VLOOKUP(A1087,Medical_Examinations[],8,FALSE)</f>
        <v>No</v>
      </c>
      <c r="J1087" t="str">
        <f>VLOOKUP(A1087,Medical_Examinations[],9,FALSE)</f>
        <v>Overweight</v>
      </c>
      <c r="K1087" t="str">
        <f>VLOOKUP(A1087,Medical_Examinations[],10,FALSE)</f>
        <v>Normal</v>
      </c>
      <c r="M1087">
        <f>VLOOKUP(A1087,Hospitalisation_Details__2[],4,FALSE)</f>
        <v>10403.27</v>
      </c>
      <c r="N1087" t="str">
        <f>VLOOKUP(A1087,Hospitalisation_Details__2[],5,FALSE)</f>
        <v>tier - 3</v>
      </c>
      <c r="O1087" t="str">
        <f>VLOOKUP(A1087,Hospitalisation_Details__2[],6,FALSE)</f>
        <v>tier - 2</v>
      </c>
      <c r="P1087" t="str">
        <f>VLOOKUP(A1087,Hospitalisation_Details__2[],7,FALSE)</f>
        <v>R1020</v>
      </c>
    </row>
    <row r="1088" spans="1:16" x14ac:dyDescent="0.35">
      <c r="A1088" t="str">
        <v>Id1087</v>
      </c>
      <c r="B1088" t="str">
        <f>VLOOKUP(A1088,'Customer Names (2)'!A:B, 2,FALSE)</f>
        <v>Ms</v>
      </c>
      <c r="C1088">
        <f>VLOOKUP(A1088,Medical_Examinations[],2,FALSE)</f>
        <v>36.630000000000003</v>
      </c>
      <c r="D1088">
        <f>VLOOKUP(A1088,Medical_Examinations[],3,FALSE)</f>
        <v>11.42</v>
      </c>
      <c r="E1088" t="str">
        <f>VLOOKUP(A1088,Medical_Examinations[],4,FALSE)</f>
        <v>No</v>
      </c>
      <c r="F1088" t="str">
        <f>VLOOKUP(A1088,Medical_Examinations[],5,FALSE)</f>
        <v>No</v>
      </c>
      <c r="G1088" t="str">
        <f>VLOOKUP(A1088,Medical_Examinations[],6,FALSE)</f>
        <v>No</v>
      </c>
      <c r="H1088">
        <f>VLOOKUP(A1088,Medical_Examinations[],7,FALSE)</f>
        <v>2</v>
      </c>
      <c r="I1088" t="str">
        <f>VLOOKUP(A1088,Medical_Examinations[],8,FALSE)</f>
        <v>No</v>
      </c>
      <c r="J1088" t="str">
        <f>VLOOKUP(A1088,Medical_Examinations[],9,FALSE)</f>
        <v>Obesity</v>
      </c>
      <c r="K1088" t="str">
        <f>VLOOKUP(A1088,Medical_Examinations[],10,FALSE)</f>
        <v>Diabetes</v>
      </c>
      <c r="M1088">
        <f>VLOOKUP(A1088,Hospitalisation_Details__2[],4,FALSE)</f>
        <v>10381.48</v>
      </c>
      <c r="N1088" t="str">
        <f>VLOOKUP(A1088,Hospitalisation_Details__2[],5,FALSE)</f>
        <v>tier - 3</v>
      </c>
      <c r="O1088" t="str">
        <f>VLOOKUP(A1088,Hospitalisation_Details__2[],6,FALSE)</f>
        <v>tier - 3</v>
      </c>
      <c r="P1088" t="str">
        <f>VLOOKUP(A1088,Hospitalisation_Details__2[],7,FALSE)</f>
        <v>R1013</v>
      </c>
    </row>
    <row r="1089" spans="1:16" x14ac:dyDescent="0.35">
      <c r="A1089" t="str">
        <v>Id1088</v>
      </c>
      <c r="B1089" t="str">
        <f>VLOOKUP(A1089,'Customer Names (2)'!A:B, 2,FALSE)</f>
        <v>Ms</v>
      </c>
      <c r="C1089">
        <f>VLOOKUP(A1089,Medical_Examinations[],2,FALSE)</f>
        <v>33.344999999999999</v>
      </c>
      <c r="D1089">
        <f>VLOOKUP(A1089,Medical_Examinations[],3,FALSE)</f>
        <v>7.33</v>
      </c>
      <c r="E1089" t="str">
        <f>VLOOKUP(A1089,Medical_Examinations[],4,FALSE)</f>
        <v>No</v>
      </c>
      <c r="F1089" t="str">
        <f>VLOOKUP(A1089,Medical_Examinations[],5,FALSE)</f>
        <v>No</v>
      </c>
      <c r="G1089" t="str">
        <f>VLOOKUP(A1089,Medical_Examinations[],6,FALSE)</f>
        <v>No</v>
      </c>
      <c r="H1089">
        <f>VLOOKUP(A1089,Medical_Examinations[],7,FALSE)</f>
        <v>2</v>
      </c>
      <c r="I1089" t="str">
        <f>VLOOKUP(A1089,Medical_Examinations[],8,FALSE)</f>
        <v>No</v>
      </c>
      <c r="J1089" t="str">
        <f>VLOOKUP(A1089,Medical_Examinations[],9,FALSE)</f>
        <v>Obesity</v>
      </c>
      <c r="K1089" t="str">
        <f>VLOOKUP(A1089,Medical_Examinations[],10,FALSE)</f>
        <v>Diabetes</v>
      </c>
      <c r="M1089">
        <f>VLOOKUP(A1089,Hospitalisation_Details__2[],4,FALSE)</f>
        <v>10370.91</v>
      </c>
      <c r="N1089" t="str">
        <f>VLOOKUP(A1089,Hospitalisation_Details__2[],5,FALSE)</f>
        <v>tier - 3</v>
      </c>
      <c r="O1089" t="str">
        <f>VLOOKUP(A1089,Hospitalisation_Details__2[],6,FALSE)</f>
        <v>tier - 3</v>
      </c>
      <c r="P1089" t="str">
        <f>VLOOKUP(A1089,Hospitalisation_Details__2[],7,FALSE)</f>
        <v>R1024</v>
      </c>
    </row>
    <row r="1090" spans="1:16" x14ac:dyDescent="0.35">
      <c r="A1090" t="str">
        <v>Id1089</v>
      </c>
      <c r="B1090" t="str">
        <f>VLOOKUP(A1090,'Customer Names (2)'!A:B, 2,FALSE)</f>
        <v>Mrs</v>
      </c>
      <c r="C1090">
        <f>VLOOKUP(A1090,Medical_Examinations[],2,FALSE)</f>
        <v>27.11</v>
      </c>
      <c r="D1090">
        <f>VLOOKUP(A1090,Medical_Examinations[],3,FALSE)</f>
        <v>6.7</v>
      </c>
      <c r="E1090" t="str">
        <f>VLOOKUP(A1090,Medical_Examinations[],4,FALSE)</f>
        <v>No</v>
      </c>
      <c r="F1090" t="str">
        <f>VLOOKUP(A1090,Medical_Examinations[],5,FALSE)</f>
        <v>No</v>
      </c>
      <c r="G1090" t="str">
        <f>VLOOKUP(A1090,Medical_Examinations[],6,FALSE)</f>
        <v>No</v>
      </c>
      <c r="H1090">
        <f>VLOOKUP(A1090,Medical_Examinations[],7,FALSE)</f>
        <v>0</v>
      </c>
      <c r="I1090" t="str">
        <f>VLOOKUP(A1090,Medical_Examinations[],8,FALSE)</f>
        <v>No</v>
      </c>
      <c r="J1090" t="str">
        <f>VLOOKUP(A1090,Medical_Examinations[],9,FALSE)</f>
        <v>Overweight</v>
      </c>
      <c r="K1090" t="str">
        <f>VLOOKUP(A1090,Medical_Examinations[],10,FALSE)</f>
        <v>Diabetes</v>
      </c>
      <c r="M1090">
        <f>VLOOKUP(A1090,Hospitalisation_Details__2[],4,FALSE)</f>
        <v>10356.67</v>
      </c>
      <c r="N1090" t="str">
        <f>VLOOKUP(A1090,Hospitalisation_Details__2[],5,FALSE)</f>
        <v>tier - 3</v>
      </c>
      <c r="O1090" t="str">
        <f>VLOOKUP(A1090,Hospitalisation_Details__2[],6,FALSE)</f>
        <v>tier - 1</v>
      </c>
      <c r="P1090" t="str">
        <f>VLOOKUP(A1090,Hospitalisation_Details__2[],7,FALSE)</f>
        <v>R1025</v>
      </c>
    </row>
    <row r="1091" spans="1:16" x14ac:dyDescent="0.35">
      <c r="A1091" t="str">
        <v>Id1090</v>
      </c>
      <c r="B1091" t="str">
        <f>VLOOKUP(A1091,'Customer Names (2)'!A:B, 2,FALSE)</f>
        <v>Ms</v>
      </c>
      <c r="C1091">
        <f>VLOOKUP(A1091,Medical_Examinations[],2,FALSE)</f>
        <v>26.6</v>
      </c>
      <c r="D1091">
        <f>VLOOKUP(A1091,Medical_Examinations[],3,FALSE)</f>
        <v>5.27</v>
      </c>
      <c r="E1091" t="str">
        <f>VLOOKUP(A1091,Medical_Examinations[],4,FALSE)</f>
        <v>Yes</v>
      </c>
      <c r="F1091" t="str">
        <f>VLOOKUP(A1091,Medical_Examinations[],5,FALSE)</f>
        <v>No</v>
      </c>
      <c r="G1091" t="str">
        <f>VLOOKUP(A1091,Medical_Examinations[],6,FALSE)</f>
        <v>Yes</v>
      </c>
      <c r="H1091">
        <f>VLOOKUP(A1091,Medical_Examinations[],7,FALSE)</f>
        <v>1</v>
      </c>
      <c r="I1091" t="str">
        <f>VLOOKUP(A1091,Medical_Examinations[],8,FALSE)</f>
        <v>No</v>
      </c>
      <c r="J1091" t="str">
        <f>VLOOKUP(A1091,Medical_Examinations[],9,FALSE)</f>
        <v>Overweight</v>
      </c>
      <c r="K1091" t="str">
        <f>VLOOKUP(A1091,Medical_Examinations[],10,FALSE)</f>
        <v>Normal</v>
      </c>
      <c r="M1091">
        <f>VLOOKUP(A1091,Hospitalisation_Details__2[],4,FALSE)</f>
        <v>10355.64</v>
      </c>
      <c r="N1091" t="str">
        <f>VLOOKUP(A1091,Hospitalisation_Details__2[],5,FALSE)</f>
        <v>tier - 3</v>
      </c>
      <c r="O1091" t="str">
        <f>VLOOKUP(A1091,Hospitalisation_Details__2[],6,FALSE)</f>
        <v>tier - 1</v>
      </c>
      <c r="P1091" t="str">
        <f>VLOOKUP(A1091,Hospitalisation_Details__2[],7,FALSE)</f>
        <v>R1012</v>
      </c>
    </row>
    <row r="1092" spans="1:16" x14ac:dyDescent="0.35">
      <c r="A1092" t="str">
        <v>Id1091</v>
      </c>
      <c r="B1092" t="str">
        <f>VLOOKUP(A1092,'Customer Names (2)'!A:B, 2,FALSE)</f>
        <v>Ms</v>
      </c>
      <c r="C1092">
        <f>VLOOKUP(A1092,Medical_Examinations[],2,FALSE)</f>
        <v>30.41</v>
      </c>
      <c r="D1092">
        <f>VLOOKUP(A1092,Medical_Examinations[],3,FALSE)</f>
        <v>7.72</v>
      </c>
      <c r="E1092" t="str">
        <f>VLOOKUP(A1092,Medical_Examinations[],4,FALSE)</f>
        <v>No</v>
      </c>
      <c r="F1092" t="str">
        <f>VLOOKUP(A1092,Medical_Examinations[],5,FALSE)</f>
        <v>No</v>
      </c>
      <c r="G1092" t="str">
        <f>VLOOKUP(A1092,Medical_Examinations[],6,FALSE)</f>
        <v>No</v>
      </c>
      <c r="H1092">
        <f>VLOOKUP(A1092,Medical_Examinations[],7,FALSE)</f>
        <v>0</v>
      </c>
      <c r="I1092" t="str">
        <f>VLOOKUP(A1092,Medical_Examinations[],8,FALSE)</f>
        <v>No</v>
      </c>
      <c r="J1092" t="str">
        <f>VLOOKUP(A1092,Medical_Examinations[],9,FALSE)</f>
        <v>Obesity</v>
      </c>
      <c r="K1092" t="str">
        <f>VLOOKUP(A1092,Medical_Examinations[],10,FALSE)</f>
        <v>Diabetes</v>
      </c>
      <c r="M1092">
        <f>VLOOKUP(A1092,Hospitalisation_Details__2[],4,FALSE)</f>
        <v>10352.48</v>
      </c>
      <c r="N1092" t="str">
        <f>VLOOKUP(A1092,Hospitalisation_Details__2[],5,FALSE)</f>
        <v>tier - 3</v>
      </c>
      <c r="O1092" t="str">
        <f>VLOOKUP(A1092,Hospitalisation_Details__2[],6,FALSE)</f>
        <v>tier - 1</v>
      </c>
      <c r="P1092" t="str">
        <f>VLOOKUP(A1092,Hospitalisation_Details__2[],7,FALSE)</f>
        <v>R1012</v>
      </c>
    </row>
    <row r="1093" spans="1:16" x14ac:dyDescent="0.35">
      <c r="A1093" t="str">
        <v>Id1092</v>
      </c>
      <c r="B1093" t="str">
        <f>VLOOKUP(A1093,'Customer Names (2)'!A:B, 2,FALSE)</f>
        <v>Mr</v>
      </c>
      <c r="C1093">
        <f>VLOOKUP(A1093,Medical_Examinations[],2,FALSE)</f>
        <v>28.98</v>
      </c>
      <c r="D1093">
        <f>VLOOKUP(A1093,Medical_Examinations[],3,FALSE)</f>
        <v>8.68</v>
      </c>
      <c r="E1093" t="str">
        <f>VLOOKUP(A1093,Medical_Examinations[],4,FALSE)</f>
        <v>No</v>
      </c>
      <c r="F1093" t="str">
        <f>VLOOKUP(A1093,Medical_Examinations[],5,FALSE)</f>
        <v>No</v>
      </c>
      <c r="G1093" t="str">
        <f>VLOOKUP(A1093,Medical_Examinations[],6,FALSE)</f>
        <v>No</v>
      </c>
      <c r="H1093">
        <f>VLOOKUP(A1093,Medical_Examinations[],7,FALSE)</f>
        <v>2</v>
      </c>
      <c r="I1093" t="str">
        <f>VLOOKUP(A1093,Medical_Examinations[],8,FALSE)</f>
        <v>No</v>
      </c>
      <c r="J1093" t="str">
        <f>VLOOKUP(A1093,Medical_Examinations[],9,FALSE)</f>
        <v>Overweight</v>
      </c>
      <c r="K1093" t="str">
        <f>VLOOKUP(A1093,Medical_Examinations[],10,FALSE)</f>
        <v>Diabetes</v>
      </c>
      <c r="M1093">
        <f>VLOOKUP(A1093,Hospitalisation_Details__2[],4,FALSE)</f>
        <v>10345.93</v>
      </c>
      <c r="N1093" t="str">
        <f>VLOOKUP(A1093,Hospitalisation_Details__2[],5,FALSE)</f>
        <v>tier - 3</v>
      </c>
      <c r="O1093" t="str">
        <f>VLOOKUP(A1093,Hospitalisation_Details__2[],6,FALSE)</f>
        <v>tier - 2</v>
      </c>
      <c r="P1093" t="str">
        <f>VLOOKUP(A1093,Hospitalisation_Details__2[],7,FALSE)</f>
        <v>R1021</v>
      </c>
    </row>
    <row r="1094" spans="1:16" x14ac:dyDescent="0.35">
      <c r="A1094" t="str">
        <v>Id1093</v>
      </c>
      <c r="B1094" t="str">
        <f>VLOOKUP(A1094,'Customer Names (2)'!A:B, 2,FALSE)</f>
        <v>Ms</v>
      </c>
      <c r="C1094">
        <f>VLOOKUP(A1094,Medical_Examinations[],2,FALSE)</f>
        <v>31.24</v>
      </c>
      <c r="D1094">
        <f>VLOOKUP(A1094,Medical_Examinations[],3,FALSE)</f>
        <v>9.8000000000000007</v>
      </c>
      <c r="E1094" t="str">
        <f>VLOOKUP(A1094,Medical_Examinations[],4,FALSE)</f>
        <v>No</v>
      </c>
      <c r="F1094" t="str">
        <f>VLOOKUP(A1094,Medical_Examinations[],5,FALSE)</f>
        <v>No</v>
      </c>
      <c r="G1094" t="str">
        <f>VLOOKUP(A1094,Medical_Examinations[],6,FALSE)</f>
        <v>No</v>
      </c>
      <c r="H1094">
        <f>VLOOKUP(A1094,Medical_Examinations[],7,FALSE)</f>
        <v>0</v>
      </c>
      <c r="I1094" t="str">
        <f>VLOOKUP(A1094,Medical_Examinations[],8,FALSE)</f>
        <v>No</v>
      </c>
      <c r="J1094" t="str">
        <f>VLOOKUP(A1094,Medical_Examinations[],9,FALSE)</f>
        <v>Obesity</v>
      </c>
      <c r="K1094" t="str">
        <f>VLOOKUP(A1094,Medical_Examinations[],10,FALSE)</f>
        <v>Diabetes</v>
      </c>
      <c r="M1094">
        <f>VLOOKUP(A1094,Hospitalisation_Details__2[],4,FALSE)</f>
        <v>10338.93</v>
      </c>
      <c r="N1094" t="str">
        <f>VLOOKUP(A1094,Hospitalisation_Details__2[],5,FALSE)</f>
        <v>tier - 3</v>
      </c>
      <c r="O1094" t="str">
        <f>VLOOKUP(A1094,Hospitalisation_Details__2[],6,FALSE)</f>
        <v>tier - 1</v>
      </c>
      <c r="P1094" t="str">
        <f>VLOOKUP(A1094,Hospitalisation_Details__2[],7,FALSE)</f>
        <v>R1013</v>
      </c>
    </row>
    <row r="1095" spans="1:16" x14ac:dyDescent="0.35">
      <c r="A1095" t="str">
        <v>Id1094</v>
      </c>
      <c r="B1095" t="str">
        <f>VLOOKUP(A1095,'Customer Names (2)'!A:B, 2,FALSE)</f>
        <v>Mr</v>
      </c>
      <c r="C1095">
        <f>VLOOKUP(A1095,Medical_Examinations[],2,FALSE)</f>
        <v>31.54</v>
      </c>
      <c r="D1095">
        <f>VLOOKUP(A1095,Medical_Examinations[],3,FALSE)</f>
        <v>4.4400000000000004</v>
      </c>
      <c r="E1095" t="str">
        <f>VLOOKUP(A1095,Medical_Examinations[],4,FALSE)</f>
        <v>No</v>
      </c>
      <c r="F1095" t="str">
        <f>VLOOKUP(A1095,Medical_Examinations[],5,FALSE)</f>
        <v>No</v>
      </c>
      <c r="G1095" t="str">
        <f>VLOOKUP(A1095,Medical_Examinations[],6,FALSE)</f>
        <v>No</v>
      </c>
      <c r="H1095">
        <f>VLOOKUP(A1095,Medical_Examinations[],7,FALSE)</f>
        <v>0</v>
      </c>
      <c r="I1095" t="str">
        <f>VLOOKUP(A1095,Medical_Examinations[],8,FALSE)</f>
        <v>No</v>
      </c>
      <c r="J1095" t="str">
        <f>VLOOKUP(A1095,Medical_Examinations[],9,FALSE)</f>
        <v>Obesity</v>
      </c>
      <c r="K1095" t="str">
        <f>VLOOKUP(A1095,Medical_Examinations[],10,FALSE)</f>
        <v>Normal</v>
      </c>
      <c r="M1095">
        <f>VLOOKUP(A1095,Hospitalisation_Details__2[],4,FALSE)</f>
        <v>10329.06</v>
      </c>
      <c r="N1095" t="str">
        <f>VLOOKUP(A1095,Hospitalisation_Details__2[],5,FALSE)</f>
        <v>tier - 3</v>
      </c>
      <c r="O1095" t="str">
        <f>VLOOKUP(A1095,Hospitalisation_Details__2[],6,FALSE)</f>
        <v>tier - 1</v>
      </c>
      <c r="P1095" t="str">
        <f>VLOOKUP(A1095,Hospitalisation_Details__2[],7,FALSE)</f>
        <v>R1021</v>
      </c>
    </row>
    <row r="1096" spans="1:16" x14ac:dyDescent="0.35">
      <c r="A1096" t="str">
        <v>Id1095</v>
      </c>
      <c r="B1096" t="str">
        <f>VLOOKUP(A1096,'Customer Names (2)'!A:B, 2,FALSE)</f>
        <v>Mr</v>
      </c>
      <c r="C1096">
        <f>VLOOKUP(A1096,Medical_Examinations[],2,FALSE)</f>
        <v>38.6</v>
      </c>
      <c r="D1096">
        <f>VLOOKUP(A1096,Medical_Examinations[],3,FALSE)</f>
        <v>7.19</v>
      </c>
      <c r="E1096" t="str">
        <f>VLOOKUP(A1096,Medical_Examinations[],4,FALSE)</f>
        <v>Yes</v>
      </c>
      <c r="F1096" t="str">
        <f>VLOOKUP(A1096,Medical_Examinations[],5,FALSE)</f>
        <v>No</v>
      </c>
      <c r="G1096" t="str">
        <f>VLOOKUP(A1096,Medical_Examinations[],6,FALSE)</f>
        <v>No</v>
      </c>
      <c r="H1096">
        <f>VLOOKUP(A1096,Medical_Examinations[],7,FALSE)</f>
        <v>2</v>
      </c>
      <c r="I1096" t="str">
        <f>VLOOKUP(A1096,Medical_Examinations[],8,FALSE)</f>
        <v>No</v>
      </c>
      <c r="J1096" t="str">
        <f>VLOOKUP(A1096,Medical_Examinations[],9,FALSE)</f>
        <v>Obesity</v>
      </c>
      <c r="K1096" t="str">
        <f>VLOOKUP(A1096,Medical_Examinations[],10,FALSE)</f>
        <v>Diabetes</v>
      </c>
      <c r="M1096">
        <f>VLOOKUP(A1096,Hospitalisation_Details__2[],4,FALSE)</f>
        <v>10325.209999999999</v>
      </c>
      <c r="N1096" t="str">
        <f>VLOOKUP(A1096,Hospitalisation_Details__2[],5,FALSE)</f>
        <v>tier - 3</v>
      </c>
      <c r="O1096" t="str">
        <f>VLOOKUP(A1096,Hospitalisation_Details__2[],6,FALSE)</f>
        <v>tier - 3</v>
      </c>
      <c r="P1096" t="str">
        <f>VLOOKUP(A1096,Hospitalisation_Details__2[],7,FALSE)</f>
        <v>R1011</v>
      </c>
    </row>
    <row r="1097" spans="1:16" x14ac:dyDescent="0.35">
      <c r="A1097" t="str">
        <v>Id1096</v>
      </c>
      <c r="B1097" t="str">
        <f>VLOOKUP(A1097,'Customer Names (2)'!A:B, 2,FALSE)</f>
        <v>Mrs</v>
      </c>
      <c r="C1097">
        <f>VLOOKUP(A1097,Medical_Examinations[],2,FALSE)</f>
        <v>37.950000000000003</v>
      </c>
      <c r="D1097">
        <f>VLOOKUP(A1097,Medical_Examinations[],3,FALSE)</f>
        <v>6.06</v>
      </c>
      <c r="E1097" t="str">
        <f>VLOOKUP(A1097,Medical_Examinations[],4,FALSE)</f>
        <v>No</v>
      </c>
      <c r="F1097" t="str">
        <f>VLOOKUP(A1097,Medical_Examinations[],5,FALSE)</f>
        <v>No</v>
      </c>
      <c r="G1097" t="str">
        <f>VLOOKUP(A1097,Medical_Examinations[],6,FALSE)</f>
        <v>No</v>
      </c>
      <c r="H1097">
        <f>VLOOKUP(A1097,Medical_Examinations[],7,FALSE)</f>
        <v>0</v>
      </c>
      <c r="I1097" t="str">
        <f>VLOOKUP(A1097,Medical_Examinations[],8,FALSE)</f>
        <v>No</v>
      </c>
      <c r="J1097" t="str">
        <f>VLOOKUP(A1097,Medical_Examinations[],9,FALSE)</f>
        <v>Obesity</v>
      </c>
      <c r="K1097" t="str">
        <f>VLOOKUP(A1097,Medical_Examinations[],10,FALSE)</f>
        <v>Prediabetes</v>
      </c>
      <c r="M1097">
        <f>VLOOKUP(A1097,Hospitalisation_Details__2[],4,FALSE)</f>
        <v>10322.9</v>
      </c>
      <c r="N1097" t="str">
        <f>VLOOKUP(A1097,Hospitalisation_Details__2[],5,FALSE)</f>
        <v>tier - 3</v>
      </c>
      <c r="O1097" t="str">
        <f>VLOOKUP(A1097,Hospitalisation_Details__2[],6,FALSE)</f>
        <v>tier - 1</v>
      </c>
      <c r="P1097" t="str">
        <f>VLOOKUP(A1097,Hospitalisation_Details__2[],7,FALSE)</f>
        <v>R1026</v>
      </c>
    </row>
    <row r="1098" spans="1:16" x14ac:dyDescent="0.35">
      <c r="A1098" t="str">
        <v>Id1097</v>
      </c>
      <c r="B1098" t="str">
        <f>VLOOKUP(A1098,'Customer Names (2)'!A:B, 2,FALSE)</f>
        <v>Ms</v>
      </c>
      <c r="C1098">
        <f>VLOOKUP(A1098,Medical_Examinations[],2,FALSE)</f>
        <v>38.97</v>
      </c>
      <c r="D1098">
        <f>VLOOKUP(A1098,Medical_Examinations[],3,FALSE)</f>
        <v>5.12</v>
      </c>
      <c r="E1098" t="str">
        <f>VLOOKUP(A1098,Medical_Examinations[],4,FALSE)</f>
        <v>No</v>
      </c>
      <c r="F1098" t="str">
        <f>VLOOKUP(A1098,Medical_Examinations[],5,FALSE)</f>
        <v>No</v>
      </c>
      <c r="G1098" t="str">
        <f>VLOOKUP(A1098,Medical_Examinations[],6,FALSE)</f>
        <v>No</v>
      </c>
      <c r="H1098">
        <f>VLOOKUP(A1098,Medical_Examinations[],7,FALSE)</f>
        <v>0</v>
      </c>
      <c r="I1098" t="str">
        <f>VLOOKUP(A1098,Medical_Examinations[],8,FALSE)</f>
        <v>No</v>
      </c>
      <c r="J1098" t="str">
        <f>VLOOKUP(A1098,Medical_Examinations[],9,FALSE)</f>
        <v>Obesity</v>
      </c>
      <c r="K1098" t="str">
        <f>VLOOKUP(A1098,Medical_Examinations[],10,FALSE)</f>
        <v>Normal</v>
      </c>
      <c r="M1098">
        <f>VLOOKUP(A1098,Hospitalisation_Details__2[],4,FALSE)</f>
        <v>10315.91</v>
      </c>
      <c r="N1098" t="str">
        <f>VLOOKUP(A1098,Hospitalisation_Details__2[],5,FALSE)</f>
        <v>tier - 3</v>
      </c>
      <c r="O1098" t="str">
        <f>VLOOKUP(A1098,Hospitalisation_Details__2[],6,FALSE)</f>
        <v>tier - 2</v>
      </c>
      <c r="P1098" t="str">
        <f>VLOOKUP(A1098,Hospitalisation_Details__2[],7,FALSE)</f>
        <v>R1012</v>
      </c>
    </row>
    <row r="1099" spans="1:16" x14ac:dyDescent="0.35">
      <c r="A1099" t="str">
        <v>Id1098</v>
      </c>
      <c r="B1099" t="str">
        <f>VLOOKUP(A1099,'Customer Names (2)'!A:B, 2,FALSE)</f>
        <v>Ms</v>
      </c>
      <c r="C1099">
        <f>VLOOKUP(A1099,Medical_Examinations[],2,FALSE)</f>
        <v>21.2</v>
      </c>
      <c r="D1099">
        <f>VLOOKUP(A1099,Medical_Examinations[],3,FALSE)</f>
        <v>10.72</v>
      </c>
      <c r="E1099" t="str">
        <f>VLOOKUP(A1099,Medical_Examinations[],4,FALSE)</f>
        <v>No</v>
      </c>
      <c r="F1099" t="str">
        <f>VLOOKUP(A1099,Medical_Examinations[],5,FALSE)</f>
        <v>No</v>
      </c>
      <c r="G1099" t="str">
        <f>VLOOKUP(A1099,Medical_Examinations[],6,FALSE)</f>
        <v>No</v>
      </c>
      <c r="H1099">
        <f>VLOOKUP(A1099,Medical_Examinations[],7,FALSE)</f>
        <v>0</v>
      </c>
      <c r="I1099" t="str">
        <f>VLOOKUP(A1099,Medical_Examinations[],8,FALSE)</f>
        <v>No</v>
      </c>
      <c r="J1099" t="str">
        <f>VLOOKUP(A1099,Medical_Examinations[],9,FALSE)</f>
        <v>Normal Weight</v>
      </c>
      <c r="K1099" t="str">
        <f>VLOOKUP(A1099,Medical_Examinations[],10,FALSE)</f>
        <v>Diabetes</v>
      </c>
      <c r="M1099">
        <f>VLOOKUP(A1099,Hospitalisation_Details__2[],4,FALSE)</f>
        <v>10310.780000000001</v>
      </c>
      <c r="N1099" t="str">
        <f>VLOOKUP(A1099,Hospitalisation_Details__2[],5,FALSE)</f>
        <v>tier - 3</v>
      </c>
      <c r="O1099" t="str">
        <f>VLOOKUP(A1099,Hospitalisation_Details__2[],6,FALSE)</f>
        <v>tier - 3</v>
      </c>
      <c r="P1099" t="str">
        <f>VLOOKUP(A1099,Hospitalisation_Details__2[],7,FALSE)</f>
        <v>R1012</v>
      </c>
    </row>
    <row r="1100" spans="1:16" x14ac:dyDescent="0.35">
      <c r="A1100" t="str">
        <v>Id1099</v>
      </c>
      <c r="B1100" t="str">
        <f>VLOOKUP(A1100,'Customer Names (2)'!A:B, 2,FALSE)</f>
        <v>Ms</v>
      </c>
      <c r="C1100">
        <f>VLOOKUP(A1100,Medical_Examinations[],2,FALSE)</f>
        <v>23.96</v>
      </c>
      <c r="D1100">
        <f>VLOOKUP(A1100,Medical_Examinations[],3,FALSE)</f>
        <v>9.58</v>
      </c>
      <c r="E1100" t="str">
        <f>VLOOKUP(A1100,Medical_Examinations[],4,FALSE)</f>
        <v>Yes</v>
      </c>
      <c r="F1100" t="str">
        <f>VLOOKUP(A1100,Medical_Examinations[],5,FALSE)</f>
        <v>No</v>
      </c>
      <c r="G1100" t="str">
        <f>VLOOKUP(A1100,Medical_Examinations[],6,FALSE)</f>
        <v>Yes</v>
      </c>
      <c r="H1100">
        <f>VLOOKUP(A1100,Medical_Examinations[],7,FALSE)</f>
        <v>1</v>
      </c>
      <c r="I1100" t="str">
        <f>VLOOKUP(A1100,Medical_Examinations[],8,FALSE)</f>
        <v>No</v>
      </c>
      <c r="J1100" t="str">
        <f>VLOOKUP(A1100,Medical_Examinations[],9,FALSE)</f>
        <v>Normal Weight</v>
      </c>
      <c r="K1100" t="str">
        <f>VLOOKUP(A1100,Medical_Examinations[],10,FALSE)</f>
        <v>Diabetes</v>
      </c>
      <c r="M1100">
        <f>VLOOKUP(A1100,Hospitalisation_Details__2[],4,FALSE)</f>
        <v>10308.040000000001</v>
      </c>
      <c r="N1100" t="str">
        <f>VLOOKUP(A1100,Hospitalisation_Details__2[],5,FALSE)</f>
        <v>tier - 3</v>
      </c>
      <c r="O1100" t="str">
        <f>VLOOKUP(A1100,Hospitalisation_Details__2[],6,FALSE)</f>
        <v>tier - 1</v>
      </c>
      <c r="P1100" t="str">
        <f>VLOOKUP(A1100,Hospitalisation_Details__2[],7,FALSE)</f>
        <v>R1013</v>
      </c>
    </row>
    <row r="1101" spans="1:16" x14ac:dyDescent="0.35">
      <c r="A1101" t="str">
        <v>Id1100</v>
      </c>
      <c r="B1101" t="str">
        <f>VLOOKUP(A1101,'Customer Names (2)'!A:B, 2,FALSE)</f>
        <v>Mr</v>
      </c>
      <c r="C1101">
        <f>VLOOKUP(A1101,Medical_Examinations[],2,FALSE)</f>
        <v>35.93</v>
      </c>
      <c r="D1101">
        <f>VLOOKUP(A1101,Medical_Examinations[],3,FALSE)</f>
        <v>6.4</v>
      </c>
      <c r="E1101" t="str">
        <f>VLOOKUP(A1101,Medical_Examinations[],4,FALSE)</f>
        <v>Yes</v>
      </c>
      <c r="F1101" t="str">
        <f>VLOOKUP(A1101,Medical_Examinations[],5,FALSE)</f>
        <v>No</v>
      </c>
      <c r="G1101" t="str">
        <f>VLOOKUP(A1101,Medical_Examinations[],6,FALSE)</f>
        <v>No</v>
      </c>
      <c r="H1101">
        <f>VLOOKUP(A1101,Medical_Examinations[],7,FALSE)</f>
        <v>1</v>
      </c>
      <c r="I1101" t="str">
        <f>VLOOKUP(A1101,Medical_Examinations[],8,FALSE)</f>
        <v>No</v>
      </c>
      <c r="J1101" t="str">
        <f>VLOOKUP(A1101,Medical_Examinations[],9,FALSE)</f>
        <v>Obesity</v>
      </c>
      <c r="K1101" t="str">
        <f>VLOOKUP(A1101,Medical_Examinations[],10,FALSE)</f>
        <v>Prediabetes</v>
      </c>
      <c r="M1101">
        <f>VLOOKUP(A1101,Hospitalisation_Details__2[],4,FALSE)</f>
        <v>10276.99</v>
      </c>
      <c r="N1101" t="str">
        <f>VLOOKUP(A1101,Hospitalisation_Details__2[],5,FALSE)</f>
        <v>tier - 3</v>
      </c>
      <c r="O1101" t="str">
        <f>VLOOKUP(A1101,Hospitalisation_Details__2[],6,FALSE)</f>
        <v>tier - 1</v>
      </c>
      <c r="P1101" t="str">
        <f>VLOOKUP(A1101,Hospitalisation_Details__2[],7,FALSE)</f>
        <v>R1021</v>
      </c>
    </row>
    <row r="1102" spans="1:16" x14ac:dyDescent="0.35">
      <c r="A1102" t="str">
        <v>Id1101</v>
      </c>
      <c r="B1102" t="str">
        <f>VLOOKUP(A1102,'Customer Names (2)'!A:B, 2,FALSE)</f>
        <v>Mrs</v>
      </c>
      <c r="C1102">
        <f>VLOOKUP(A1102,Medical_Examinations[],2,FALSE)</f>
        <v>26.11</v>
      </c>
      <c r="D1102">
        <f>VLOOKUP(A1102,Medical_Examinations[],3,FALSE)</f>
        <v>6.8</v>
      </c>
      <c r="E1102" t="str">
        <f>VLOOKUP(A1102,Medical_Examinations[],4,FALSE)</f>
        <v>Yes</v>
      </c>
      <c r="F1102" t="str">
        <f>VLOOKUP(A1102,Medical_Examinations[],5,FALSE)</f>
        <v>No</v>
      </c>
      <c r="G1102" t="str">
        <f>VLOOKUP(A1102,Medical_Examinations[],6,FALSE)</f>
        <v>No</v>
      </c>
      <c r="H1102">
        <f>VLOOKUP(A1102,Medical_Examinations[],7,FALSE)</f>
        <v>2</v>
      </c>
      <c r="I1102" t="str">
        <f>VLOOKUP(A1102,Medical_Examinations[],8,FALSE)</f>
        <v>No</v>
      </c>
      <c r="J1102" t="str">
        <f>VLOOKUP(A1102,Medical_Examinations[],9,FALSE)</f>
        <v>Overweight</v>
      </c>
      <c r="K1102" t="str">
        <f>VLOOKUP(A1102,Medical_Examinations[],10,FALSE)</f>
        <v>Diabetes</v>
      </c>
      <c r="M1102">
        <f>VLOOKUP(A1102,Hospitalisation_Details__2[],4,FALSE)</f>
        <v>10274.33</v>
      </c>
      <c r="N1102" t="str">
        <f>VLOOKUP(A1102,Hospitalisation_Details__2[],5,FALSE)</f>
        <v>tier - 3</v>
      </c>
      <c r="O1102" t="str">
        <f>VLOOKUP(A1102,Hospitalisation_Details__2[],6,FALSE)</f>
        <v>tier - 1</v>
      </c>
      <c r="P1102" t="str">
        <f>VLOOKUP(A1102,Hospitalisation_Details__2[],7,FALSE)</f>
        <v>R1024</v>
      </c>
    </row>
    <row r="1103" spans="1:16" x14ac:dyDescent="0.35">
      <c r="A1103" t="str">
        <v>Id1102</v>
      </c>
      <c r="B1103" t="str">
        <f>VLOOKUP(A1103,'Customer Names (2)'!A:B, 2,FALSE)</f>
        <v>Mr</v>
      </c>
      <c r="C1103">
        <f>VLOOKUP(A1103,Medical_Examinations[],2,FALSE)</f>
        <v>32.299999999999997</v>
      </c>
      <c r="D1103">
        <f>VLOOKUP(A1103,Medical_Examinations[],3,FALSE)</f>
        <v>9.48</v>
      </c>
      <c r="E1103" t="str">
        <f>VLOOKUP(A1103,Medical_Examinations[],4,FALSE)</f>
        <v>No</v>
      </c>
      <c r="F1103" t="str">
        <f>VLOOKUP(A1103,Medical_Examinations[],5,FALSE)</f>
        <v>No</v>
      </c>
      <c r="G1103" t="str">
        <f>VLOOKUP(A1103,Medical_Examinations[],6,FALSE)</f>
        <v>No</v>
      </c>
      <c r="H1103">
        <f>VLOOKUP(A1103,Medical_Examinations[],7,FALSE)</f>
        <v>2</v>
      </c>
      <c r="I1103" t="str">
        <f>VLOOKUP(A1103,Medical_Examinations[],8,FALSE)</f>
        <v>No</v>
      </c>
      <c r="J1103" t="str">
        <f>VLOOKUP(A1103,Medical_Examinations[],9,FALSE)</f>
        <v>Obesity</v>
      </c>
      <c r="K1103" t="str">
        <f>VLOOKUP(A1103,Medical_Examinations[],10,FALSE)</f>
        <v>Diabetes</v>
      </c>
      <c r="M1103">
        <f>VLOOKUP(A1103,Hospitalisation_Details__2[],4,FALSE)</f>
        <v>10269.459999999999</v>
      </c>
      <c r="N1103" t="str">
        <f>VLOOKUP(A1103,Hospitalisation_Details__2[],5,FALSE)</f>
        <v>tier - 3</v>
      </c>
      <c r="O1103" t="str">
        <f>VLOOKUP(A1103,Hospitalisation_Details__2[],6,FALSE)</f>
        <v>tier - 3</v>
      </c>
      <c r="P1103" t="str">
        <f>VLOOKUP(A1103,Hospitalisation_Details__2[],7,FALSE)</f>
        <v>R1012</v>
      </c>
    </row>
    <row r="1104" spans="1:16" x14ac:dyDescent="0.35">
      <c r="A1104" t="str">
        <v>Id1103</v>
      </c>
      <c r="B1104" t="str">
        <f>VLOOKUP(A1104,'Customer Names (2)'!A:B, 2,FALSE)</f>
        <v>Mr</v>
      </c>
      <c r="C1104">
        <f>VLOOKUP(A1104,Medical_Examinations[],2,FALSE)</f>
        <v>28.69</v>
      </c>
      <c r="D1104">
        <f>VLOOKUP(A1104,Medical_Examinations[],3,FALSE)</f>
        <v>7.45</v>
      </c>
      <c r="E1104" t="str">
        <f>VLOOKUP(A1104,Medical_Examinations[],4,FALSE)</f>
        <v>No</v>
      </c>
      <c r="F1104" t="str">
        <f>VLOOKUP(A1104,Medical_Examinations[],5,FALSE)</f>
        <v>No</v>
      </c>
      <c r="G1104" t="str">
        <f>VLOOKUP(A1104,Medical_Examinations[],6,FALSE)</f>
        <v>No</v>
      </c>
      <c r="H1104">
        <f>VLOOKUP(A1104,Medical_Examinations[],7,FALSE)</f>
        <v>2</v>
      </c>
      <c r="I1104" t="str">
        <f>VLOOKUP(A1104,Medical_Examinations[],8,FALSE)</f>
        <v>No</v>
      </c>
      <c r="J1104" t="str">
        <f>VLOOKUP(A1104,Medical_Examinations[],9,FALSE)</f>
        <v>Overweight</v>
      </c>
      <c r="K1104" t="str">
        <f>VLOOKUP(A1104,Medical_Examinations[],10,FALSE)</f>
        <v>Diabetes</v>
      </c>
      <c r="M1104">
        <f>VLOOKUP(A1104,Hospitalisation_Details__2[],4,FALSE)</f>
        <v>10264.44</v>
      </c>
      <c r="N1104" t="str">
        <f>VLOOKUP(A1104,Hospitalisation_Details__2[],5,FALSE)</f>
        <v>tier - 3</v>
      </c>
      <c r="O1104" t="str">
        <f>VLOOKUP(A1104,Hospitalisation_Details__2[],6,FALSE)</f>
        <v>tier - 2</v>
      </c>
      <c r="P1104" t="str">
        <f>VLOOKUP(A1104,Hospitalisation_Details__2[],7,FALSE)</f>
        <v>R1012</v>
      </c>
    </row>
    <row r="1105" spans="1:16" x14ac:dyDescent="0.35">
      <c r="A1105" t="str">
        <v>Id1104</v>
      </c>
      <c r="B1105" t="str">
        <f>VLOOKUP(A1105,'Customer Names (2)'!A:B, 2,FALSE)</f>
        <v>Ms</v>
      </c>
      <c r="C1105">
        <f>VLOOKUP(A1105,Medical_Examinations[],2,FALSE)</f>
        <v>31.28</v>
      </c>
      <c r="D1105">
        <f>VLOOKUP(A1105,Medical_Examinations[],3,FALSE)</f>
        <v>6.94</v>
      </c>
      <c r="E1105" t="str">
        <f>VLOOKUP(A1105,Medical_Examinations[],4,FALSE)</f>
        <v>Yes</v>
      </c>
      <c r="F1105" t="str">
        <f>VLOOKUP(A1105,Medical_Examinations[],5,FALSE)</f>
        <v>No</v>
      </c>
      <c r="G1105" t="str">
        <f>VLOOKUP(A1105,Medical_Examinations[],6,FALSE)</f>
        <v>No</v>
      </c>
      <c r="H1105">
        <f>VLOOKUP(A1105,Medical_Examinations[],7,FALSE)</f>
        <v>1</v>
      </c>
      <c r="I1105" t="str">
        <f>VLOOKUP(A1105,Medical_Examinations[],8,FALSE)</f>
        <v>No</v>
      </c>
      <c r="J1105" t="str">
        <f>VLOOKUP(A1105,Medical_Examinations[],9,FALSE)</f>
        <v>Obesity</v>
      </c>
      <c r="K1105" t="str">
        <f>VLOOKUP(A1105,Medical_Examinations[],10,FALSE)</f>
        <v>Diabetes</v>
      </c>
      <c r="M1105">
        <f>VLOOKUP(A1105,Hospitalisation_Details__2[],4,FALSE)</f>
        <v>10259.129999999999</v>
      </c>
      <c r="N1105" t="str">
        <f>VLOOKUP(A1105,Hospitalisation_Details__2[],5,FALSE)</f>
        <v>tier - 3</v>
      </c>
      <c r="O1105" t="str">
        <f>VLOOKUP(A1105,Hospitalisation_Details__2[],6,FALSE)</f>
        <v>tier - 2</v>
      </c>
      <c r="P1105" t="str">
        <f>VLOOKUP(A1105,Hospitalisation_Details__2[],7,FALSE)</f>
        <v>R1011</v>
      </c>
    </row>
    <row r="1106" spans="1:16" x14ac:dyDescent="0.35">
      <c r="A1106" t="str">
        <v>Id1105</v>
      </c>
      <c r="B1106" t="str">
        <f>VLOOKUP(A1106,'Customer Names (2)'!A:B, 2,FALSE)</f>
        <v>Mr</v>
      </c>
      <c r="C1106">
        <f>VLOOKUP(A1106,Medical_Examinations[],2,FALSE)</f>
        <v>30.21</v>
      </c>
      <c r="D1106">
        <f>VLOOKUP(A1106,Medical_Examinations[],3,FALSE)</f>
        <v>7.83</v>
      </c>
      <c r="E1106" t="str">
        <f>VLOOKUP(A1106,Medical_Examinations[],4,FALSE)</f>
        <v>No</v>
      </c>
      <c r="F1106" t="str">
        <f>VLOOKUP(A1106,Medical_Examinations[],5,FALSE)</f>
        <v>No</v>
      </c>
      <c r="G1106" t="str">
        <f>VLOOKUP(A1106,Medical_Examinations[],6,FALSE)</f>
        <v>No</v>
      </c>
      <c r="H1106">
        <f>VLOOKUP(A1106,Medical_Examinations[],7,FALSE)</f>
        <v>0</v>
      </c>
      <c r="I1106" t="str">
        <f>VLOOKUP(A1106,Medical_Examinations[],8,FALSE)</f>
        <v>No</v>
      </c>
      <c r="J1106" t="str">
        <f>VLOOKUP(A1106,Medical_Examinations[],9,FALSE)</f>
        <v>Obesity</v>
      </c>
      <c r="K1106" t="str">
        <f>VLOOKUP(A1106,Medical_Examinations[],10,FALSE)</f>
        <v>Diabetes</v>
      </c>
      <c r="M1106">
        <f>VLOOKUP(A1106,Hospitalisation_Details__2[],4,FALSE)</f>
        <v>10231.5</v>
      </c>
      <c r="N1106" t="str">
        <f>VLOOKUP(A1106,Hospitalisation_Details__2[],5,FALSE)</f>
        <v>tier - 3</v>
      </c>
      <c r="O1106" t="str">
        <f>VLOOKUP(A1106,Hospitalisation_Details__2[],6,FALSE)</f>
        <v>tier - 1</v>
      </c>
      <c r="P1106" t="str">
        <f>VLOOKUP(A1106,Hospitalisation_Details__2[],7,FALSE)</f>
        <v>R1012</v>
      </c>
    </row>
    <row r="1107" spans="1:16" x14ac:dyDescent="0.35">
      <c r="A1107" t="str">
        <v>Id1106</v>
      </c>
      <c r="B1107" t="str">
        <f>VLOOKUP(A1107,'Customer Names (2)'!A:B, 2,FALSE)</f>
        <v>Mr</v>
      </c>
      <c r="C1107">
        <f>VLOOKUP(A1107,Medical_Examinations[],2,FALSE)</f>
        <v>38.28</v>
      </c>
      <c r="D1107">
        <f>VLOOKUP(A1107,Medical_Examinations[],3,FALSE)</f>
        <v>10.17</v>
      </c>
      <c r="E1107" t="str">
        <f>VLOOKUP(A1107,Medical_Examinations[],4,FALSE)</f>
        <v>Yes</v>
      </c>
      <c r="F1107" t="str">
        <f>VLOOKUP(A1107,Medical_Examinations[],5,FALSE)</f>
        <v>No</v>
      </c>
      <c r="G1107" t="str">
        <f>VLOOKUP(A1107,Medical_Examinations[],6,FALSE)</f>
        <v>No</v>
      </c>
      <c r="H1107">
        <f>VLOOKUP(A1107,Medical_Examinations[],7,FALSE)</f>
        <v>0</v>
      </c>
      <c r="I1107" t="str">
        <f>VLOOKUP(A1107,Medical_Examinations[],8,FALSE)</f>
        <v>No</v>
      </c>
      <c r="J1107" t="str">
        <f>VLOOKUP(A1107,Medical_Examinations[],9,FALSE)</f>
        <v>Obesity</v>
      </c>
      <c r="K1107" t="str">
        <f>VLOOKUP(A1107,Medical_Examinations[],10,FALSE)</f>
        <v>Diabetes</v>
      </c>
      <c r="M1107">
        <f>VLOOKUP(A1107,Hospitalisation_Details__2[],4,FALSE)</f>
        <v>10226.280000000001</v>
      </c>
      <c r="N1107" t="str">
        <f>VLOOKUP(A1107,Hospitalisation_Details__2[],5,FALSE)</f>
        <v>tier - 3</v>
      </c>
      <c r="O1107" t="str">
        <f>VLOOKUP(A1107,Hospitalisation_Details__2[],6,FALSE)</f>
        <v>tier - 3</v>
      </c>
      <c r="P1107" t="str">
        <f>VLOOKUP(A1107,Hospitalisation_Details__2[],7,FALSE)</f>
        <v>R1013</v>
      </c>
    </row>
    <row r="1108" spans="1:16" x14ac:dyDescent="0.35">
      <c r="A1108" t="str">
        <v>Id1107</v>
      </c>
      <c r="B1108" t="str">
        <f>VLOOKUP(A1108,'Customer Names (2)'!A:B, 2,FALSE)</f>
        <v>Mr</v>
      </c>
      <c r="C1108">
        <f>VLOOKUP(A1108,Medical_Examinations[],2,FALSE)</f>
        <v>29.9</v>
      </c>
      <c r="D1108">
        <f>VLOOKUP(A1108,Medical_Examinations[],3,FALSE)</f>
        <v>8.9600000000000009</v>
      </c>
      <c r="E1108" t="str">
        <f>VLOOKUP(A1108,Medical_Examinations[],4,FALSE)</f>
        <v>Yes</v>
      </c>
      <c r="F1108" t="str">
        <f>VLOOKUP(A1108,Medical_Examinations[],5,FALSE)</f>
        <v>No</v>
      </c>
      <c r="G1108" t="str">
        <f>VLOOKUP(A1108,Medical_Examinations[],6,FALSE)</f>
        <v>No</v>
      </c>
      <c r="H1108">
        <f>VLOOKUP(A1108,Medical_Examinations[],7,FALSE)</f>
        <v>0</v>
      </c>
      <c r="I1108" t="str">
        <f>VLOOKUP(A1108,Medical_Examinations[],8,FALSE)</f>
        <v>No</v>
      </c>
      <c r="J1108" t="str">
        <f>VLOOKUP(A1108,Medical_Examinations[],9,FALSE)</f>
        <v>Overweight</v>
      </c>
      <c r="K1108" t="str">
        <f>VLOOKUP(A1108,Medical_Examinations[],10,FALSE)</f>
        <v>Diabetes</v>
      </c>
      <c r="M1108">
        <f>VLOOKUP(A1108,Hospitalisation_Details__2[],4,FALSE)</f>
        <v>10214.64</v>
      </c>
      <c r="N1108" t="str">
        <f>VLOOKUP(A1108,Hospitalisation_Details__2[],5,FALSE)</f>
        <v>tier - 3</v>
      </c>
      <c r="O1108" t="str">
        <f>VLOOKUP(A1108,Hospitalisation_Details__2[],6,FALSE)</f>
        <v>tier - 2</v>
      </c>
      <c r="P1108" t="str">
        <f>VLOOKUP(A1108,Hospitalisation_Details__2[],7,FALSE)</f>
        <v>R1011</v>
      </c>
    </row>
    <row r="1109" spans="1:16" x14ac:dyDescent="0.35">
      <c r="A1109" t="str">
        <v>Id1108</v>
      </c>
      <c r="B1109" t="str">
        <f>VLOOKUP(A1109,'Customer Names (2)'!A:B, 2,FALSE)</f>
        <v>Ms</v>
      </c>
      <c r="C1109">
        <f>VLOOKUP(A1109,Medical_Examinations[],2,FALSE)</f>
        <v>23.18</v>
      </c>
      <c r="D1109">
        <f>VLOOKUP(A1109,Medical_Examinations[],3,FALSE)</f>
        <v>6.96</v>
      </c>
      <c r="E1109" t="str">
        <f>VLOOKUP(A1109,Medical_Examinations[],4,FALSE)</f>
        <v>Yes</v>
      </c>
      <c r="F1109" t="str">
        <f>VLOOKUP(A1109,Medical_Examinations[],5,FALSE)</f>
        <v>No</v>
      </c>
      <c r="G1109" t="str">
        <f>VLOOKUP(A1109,Medical_Examinations[],6,FALSE)</f>
        <v>No</v>
      </c>
      <c r="H1109">
        <f>VLOOKUP(A1109,Medical_Examinations[],7,FALSE)</f>
        <v>2</v>
      </c>
      <c r="I1109" t="str">
        <f>VLOOKUP(A1109,Medical_Examinations[],8,FALSE)</f>
        <v>No</v>
      </c>
      <c r="J1109" t="str">
        <f>VLOOKUP(A1109,Medical_Examinations[],9,FALSE)</f>
        <v>Normal Weight</v>
      </c>
      <c r="K1109" t="str">
        <f>VLOOKUP(A1109,Medical_Examinations[],10,FALSE)</f>
        <v>Diabetes</v>
      </c>
      <c r="M1109">
        <f>VLOOKUP(A1109,Hospitalisation_Details__2[],4,FALSE)</f>
        <v>10197.77</v>
      </c>
      <c r="N1109" t="str">
        <f>VLOOKUP(A1109,Hospitalisation_Details__2[],5,FALSE)</f>
        <v>tier - 3</v>
      </c>
      <c r="O1109" t="str">
        <f>VLOOKUP(A1109,Hospitalisation_Details__2[],6,FALSE)</f>
        <v>tier - 1</v>
      </c>
      <c r="P1109" t="str">
        <f>VLOOKUP(A1109,Hospitalisation_Details__2[],7,FALSE)</f>
        <v>R1024</v>
      </c>
    </row>
    <row r="1110" spans="1:16" x14ac:dyDescent="0.35">
      <c r="A1110" t="str">
        <v>Id1109</v>
      </c>
      <c r="B1110" t="str">
        <f>VLOOKUP(A1110,'Customer Names (2)'!A:B, 2,FALSE)</f>
        <v>Mrs</v>
      </c>
      <c r="C1110">
        <f>VLOOKUP(A1110,Medical_Examinations[],2,FALSE)</f>
        <v>33.020000000000003</v>
      </c>
      <c r="D1110">
        <f>VLOOKUP(A1110,Medical_Examinations[],3,FALSE)</f>
        <v>5.07</v>
      </c>
      <c r="E1110" t="str">
        <f>VLOOKUP(A1110,Medical_Examinations[],4,FALSE)</f>
        <v>Yes</v>
      </c>
      <c r="F1110" t="str">
        <f>VLOOKUP(A1110,Medical_Examinations[],5,FALSE)</f>
        <v>No</v>
      </c>
      <c r="G1110" t="str">
        <f>VLOOKUP(A1110,Medical_Examinations[],6,FALSE)</f>
        <v>No</v>
      </c>
      <c r="H1110">
        <f>VLOOKUP(A1110,Medical_Examinations[],7,FALSE)</f>
        <v>0</v>
      </c>
      <c r="I1110" t="str">
        <f>VLOOKUP(A1110,Medical_Examinations[],8,FALSE)</f>
        <v>No</v>
      </c>
      <c r="J1110" t="str">
        <f>VLOOKUP(A1110,Medical_Examinations[],9,FALSE)</f>
        <v>Obesity</v>
      </c>
      <c r="K1110" t="str">
        <f>VLOOKUP(A1110,Medical_Examinations[],10,FALSE)</f>
        <v>Normal</v>
      </c>
      <c r="M1110">
        <f>VLOOKUP(A1110,Hospitalisation_Details__2[],4,FALSE)</f>
        <v>10191.82</v>
      </c>
      <c r="N1110" t="str">
        <f>VLOOKUP(A1110,Hospitalisation_Details__2[],5,FALSE)</f>
        <v>tier - 3</v>
      </c>
      <c r="O1110" t="str">
        <f>VLOOKUP(A1110,Hospitalisation_Details__2[],6,FALSE)</f>
        <v>tier - 2</v>
      </c>
      <c r="P1110" t="str">
        <f>VLOOKUP(A1110,Hospitalisation_Details__2[],7,FALSE)</f>
        <v>R1026</v>
      </c>
    </row>
    <row r="1111" spans="1:16" x14ac:dyDescent="0.35">
      <c r="A1111" t="str">
        <v>Id1110</v>
      </c>
      <c r="B1111" t="str">
        <f>VLOOKUP(A1111,'Customer Names (2)'!A:B, 2,FALSE)</f>
        <v>Mrs</v>
      </c>
      <c r="C1111">
        <f>VLOOKUP(A1111,Medical_Examinations[],2,FALSE)</f>
        <v>27.29</v>
      </c>
      <c r="D1111">
        <f>VLOOKUP(A1111,Medical_Examinations[],3,FALSE)</f>
        <v>5.85</v>
      </c>
      <c r="E1111" t="str">
        <f>VLOOKUP(A1111,Medical_Examinations[],4,FALSE)</f>
        <v>No</v>
      </c>
      <c r="F1111" t="str">
        <f>VLOOKUP(A1111,Medical_Examinations[],5,FALSE)</f>
        <v>No</v>
      </c>
      <c r="G1111" t="str">
        <f>VLOOKUP(A1111,Medical_Examinations[],6,FALSE)</f>
        <v>No</v>
      </c>
      <c r="H1111">
        <f>VLOOKUP(A1111,Medical_Examinations[],7,FALSE)</f>
        <v>2</v>
      </c>
      <c r="I1111" t="str">
        <f>VLOOKUP(A1111,Medical_Examinations[],8,FALSE)</f>
        <v>No</v>
      </c>
      <c r="J1111" t="str">
        <f>VLOOKUP(A1111,Medical_Examinations[],9,FALSE)</f>
        <v>Overweight</v>
      </c>
      <c r="K1111" t="str">
        <f>VLOOKUP(A1111,Medical_Examinations[],10,FALSE)</f>
        <v>Prediabetes</v>
      </c>
      <c r="M1111">
        <f>VLOOKUP(A1111,Hospitalisation_Details__2[],4,FALSE)</f>
        <v>10160.870000000001</v>
      </c>
      <c r="N1111" t="str">
        <f>VLOOKUP(A1111,Hospitalisation_Details__2[],5,FALSE)</f>
        <v>tier - 3</v>
      </c>
      <c r="O1111" t="str">
        <f>VLOOKUP(A1111,Hospitalisation_Details__2[],6,FALSE)</f>
        <v>tier - 3</v>
      </c>
      <c r="P1111" t="str">
        <f>VLOOKUP(A1111,Hospitalisation_Details__2[],7,FALSE)</f>
        <v>R1025</v>
      </c>
    </row>
    <row r="1112" spans="1:16" x14ac:dyDescent="0.35">
      <c r="A1112" t="str">
        <v>Id1111</v>
      </c>
      <c r="B1112" t="str">
        <f>VLOOKUP(A1112,'Customer Names (2)'!A:B, 2,FALSE)</f>
        <v>Ms</v>
      </c>
      <c r="C1112">
        <f>VLOOKUP(A1112,Medical_Examinations[],2,FALSE)</f>
        <v>23.18</v>
      </c>
      <c r="D1112">
        <f>VLOOKUP(A1112,Medical_Examinations[],3,FALSE)</f>
        <v>10.56</v>
      </c>
      <c r="E1112" t="str">
        <f>VLOOKUP(A1112,Medical_Examinations[],4,FALSE)</f>
        <v>No</v>
      </c>
      <c r="F1112" t="str">
        <f>VLOOKUP(A1112,Medical_Examinations[],5,FALSE)</f>
        <v>No</v>
      </c>
      <c r="G1112" t="str">
        <f>VLOOKUP(A1112,Medical_Examinations[],6,FALSE)</f>
        <v>No</v>
      </c>
      <c r="H1112">
        <f>VLOOKUP(A1112,Medical_Examinations[],7,FALSE)</f>
        <v>2</v>
      </c>
      <c r="I1112" t="str">
        <f>VLOOKUP(A1112,Medical_Examinations[],8,FALSE)</f>
        <v>No</v>
      </c>
      <c r="J1112" t="str">
        <f>VLOOKUP(A1112,Medical_Examinations[],9,FALSE)</f>
        <v>Normal Weight</v>
      </c>
      <c r="K1112" t="str">
        <f>VLOOKUP(A1112,Medical_Examinations[],10,FALSE)</f>
        <v>Diabetes</v>
      </c>
      <c r="M1112">
        <f>VLOOKUP(A1112,Hospitalisation_Details__2[],4,FALSE)</f>
        <v>10156.780000000001</v>
      </c>
      <c r="N1112" t="str">
        <f>VLOOKUP(A1112,Hospitalisation_Details__2[],5,FALSE)</f>
        <v>tier - 3</v>
      </c>
      <c r="O1112" t="str">
        <f>VLOOKUP(A1112,Hospitalisation_Details__2[],6,FALSE)</f>
        <v>tier - 2</v>
      </c>
      <c r="P1112" t="str">
        <f>VLOOKUP(A1112,Hospitalisation_Details__2[],7,FALSE)</f>
        <v>R1012</v>
      </c>
    </row>
    <row r="1113" spans="1:16" x14ac:dyDescent="0.35">
      <c r="A1113" t="str">
        <v>Id1112</v>
      </c>
      <c r="B1113" t="str">
        <f>VLOOKUP(A1113,'Customer Names (2)'!A:B, 2,FALSE)</f>
        <v>Mrs</v>
      </c>
      <c r="C1113">
        <f>VLOOKUP(A1113,Medical_Examinations[],2,FALSE)</f>
        <v>32.659999999999997</v>
      </c>
      <c r="D1113">
        <f>VLOOKUP(A1113,Medical_Examinations[],3,FALSE)</f>
        <v>8.92</v>
      </c>
      <c r="E1113" t="str">
        <f>VLOOKUP(A1113,Medical_Examinations[],4,FALSE)</f>
        <v>Yes</v>
      </c>
      <c r="F1113" t="str">
        <f>VLOOKUP(A1113,Medical_Examinations[],5,FALSE)</f>
        <v>No</v>
      </c>
      <c r="G1113" t="str">
        <f>VLOOKUP(A1113,Medical_Examinations[],6,FALSE)</f>
        <v>No</v>
      </c>
      <c r="H1113">
        <f>VLOOKUP(A1113,Medical_Examinations[],7,FALSE)</f>
        <v>0</v>
      </c>
      <c r="I1113" t="str">
        <f>VLOOKUP(A1113,Medical_Examinations[],8,FALSE)</f>
        <v>No</v>
      </c>
      <c r="J1113" t="str">
        <f>VLOOKUP(A1113,Medical_Examinations[],9,FALSE)</f>
        <v>Obesity</v>
      </c>
      <c r="K1113" t="str">
        <f>VLOOKUP(A1113,Medical_Examinations[],10,FALSE)</f>
        <v>Diabetes</v>
      </c>
      <c r="M1113">
        <f>VLOOKUP(A1113,Hospitalisation_Details__2[],4,FALSE)</f>
        <v>10146.129999999999</v>
      </c>
      <c r="N1113" t="str">
        <f>VLOOKUP(A1113,Hospitalisation_Details__2[],5,FALSE)</f>
        <v>tier - 3</v>
      </c>
      <c r="O1113" t="str">
        <f>VLOOKUP(A1113,Hospitalisation_Details__2[],6,FALSE)</f>
        <v>tier - 1</v>
      </c>
      <c r="P1113" t="str">
        <f>VLOOKUP(A1113,Hospitalisation_Details__2[],7,FALSE)</f>
        <v>R1025</v>
      </c>
    </row>
    <row r="1114" spans="1:16" x14ac:dyDescent="0.35">
      <c r="A1114" t="str">
        <v>Id1113</v>
      </c>
      <c r="B1114" t="str">
        <f>VLOOKUP(A1114,'Customer Names (2)'!A:B, 2,FALSE)</f>
        <v>Mr</v>
      </c>
      <c r="C1114">
        <f>VLOOKUP(A1114,Medical_Examinations[],2,FALSE)</f>
        <v>30.78</v>
      </c>
      <c r="D1114">
        <f>VLOOKUP(A1114,Medical_Examinations[],3,FALSE)</f>
        <v>8.6300000000000008</v>
      </c>
      <c r="E1114" t="str">
        <f>VLOOKUP(A1114,Medical_Examinations[],4,FALSE)</f>
        <v>No</v>
      </c>
      <c r="F1114" t="str">
        <f>VLOOKUP(A1114,Medical_Examinations[],5,FALSE)</f>
        <v>No</v>
      </c>
      <c r="G1114" t="str">
        <f>VLOOKUP(A1114,Medical_Examinations[],6,FALSE)</f>
        <v>No</v>
      </c>
      <c r="H1114">
        <f>VLOOKUP(A1114,Medical_Examinations[],7,FALSE)</f>
        <v>0</v>
      </c>
      <c r="I1114" t="str">
        <f>VLOOKUP(A1114,Medical_Examinations[],8,FALSE)</f>
        <v>No</v>
      </c>
      <c r="J1114" t="str">
        <f>VLOOKUP(A1114,Medical_Examinations[],9,FALSE)</f>
        <v>Obesity</v>
      </c>
      <c r="K1114" t="str">
        <f>VLOOKUP(A1114,Medical_Examinations[],10,FALSE)</f>
        <v>Diabetes</v>
      </c>
      <c r="M1114">
        <f>VLOOKUP(A1114,Hospitalisation_Details__2[],4,FALSE)</f>
        <v>10141.14</v>
      </c>
      <c r="N1114" t="str">
        <f>VLOOKUP(A1114,Hospitalisation_Details__2[],5,FALSE)</f>
        <v>tier - 3</v>
      </c>
      <c r="O1114" t="str">
        <f>VLOOKUP(A1114,Hospitalisation_Details__2[],6,FALSE)</f>
        <v>tier - 1</v>
      </c>
      <c r="P1114" t="str">
        <f>VLOOKUP(A1114,Hospitalisation_Details__2[],7,FALSE)</f>
        <v>R1016</v>
      </c>
    </row>
    <row r="1115" spans="1:16" x14ac:dyDescent="0.35">
      <c r="A1115" t="str">
        <v>Id1114</v>
      </c>
      <c r="B1115" t="str">
        <f>VLOOKUP(A1115,'Customer Names (2)'!A:B, 2,FALSE)</f>
        <v>Ms</v>
      </c>
      <c r="C1115">
        <f>VLOOKUP(A1115,Medical_Examinations[],2,FALSE)</f>
        <v>47.2</v>
      </c>
      <c r="D1115">
        <f>VLOOKUP(A1115,Medical_Examinations[],3,FALSE)</f>
        <v>6.29</v>
      </c>
      <c r="E1115" t="str">
        <f>VLOOKUP(A1115,Medical_Examinations[],4,FALSE)</f>
        <v>Yes</v>
      </c>
      <c r="F1115" t="str">
        <f>VLOOKUP(A1115,Medical_Examinations[],5,FALSE)</f>
        <v>No</v>
      </c>
      <c r="G1115" t="str">
        <f>VLOOKUP(A1115,Medical_Examinations[],6,FALSE)</f>
        <v>Yes</v>
      </c>
      <c r="H1115">
        <f>VLOOKUP(A1115,Medical_Examinations[],7,FALSE)</f>
        <v>1</v>
      </c>
      <c r="I1115" t="str">
        <f>VLOOKUP(A1115,Medical_Examinations[],8,FALSE)</f>
        <v>No</v>
      </c>
      <c r="J1115" t="str">
        <f>VLOOKUP(A1115,Medical_Examinations[],9,FALSE)</f>
        <v>Obesity</v>
      </c>
      <c r="K1115" t="str">
        <f>VLOOKUP(A1115,Medical_Examinations[],10,FALSE)</f>
        <v>Prediabetes</v>
      </c>
      <c r="M1115">
        <f>VLOOKUP(A1115,Hospitalisation_Details__2[],4,FALSE)</f>
        <v>10139.84</v>
      </c>
      <c r="N1115" t="str">
        <f>VLOOKUP(A1115,Hospitalisation_Details__2[],5,FALSE)</f>
        <v>tier - 3</v>
      </c>
      <c r="O1115" t="str">
        <f>VLOOKUP(A1115,Hospitalisation_Details__2[],6,FALSE)</f>
        <v>tier - 2</v>
      </c>
      <c r="P1115" t="str">
        <f>VLOOKUP(A1115,Hospitalisation_Details__2[],7,FALSE)</f>
        <v>R1012</v>
      </c>
    </row>
    <row r="1116" spans="1:16" x14ac:dyDescent="0.35">
      <c r="A1116" t="str">
        <v>Id1115</v>
      </c>
      <c r="B1116" t="str">
        <f>VLOOKUP(A1116,'Customer Names (2)'!A:B, 2,FALSE)</f>
        <v>Ms</v>
      </c>
      <c r="C1116">
        <f>VLOOKUP(A1116,Medical_Examinations[],2,FALSE)</f>
        <v>31.6</v>
      </c>
      <c r="D1116">
        <f>VLOOKUP(A1116,Medical_Examinations[],3,FALSE)</f>
        <v>5.75</v>
      </c>
      <c r="E1116" t="str">
        <f>VLOOKUP(A1116,Medical_Examinations[],4,FALSE)</f>
        <v>No</v>
      </c>
      <c r="F1116" t="str">
        <f>VLOOKUP(A1116,Medical_Examinations[],5,FALSE)</f>
        <v>No</v>
      </c>
      <c r="G1116" t="str">
        <f>VLOOKUP(A1116,Medical_Examinations[],6,FALSE)</f>
        <v>No</v>
      </c>
      <c r="H1116">
        <f>VLOOKUP(A1116,Medical_Examinations[],7,FALSE)</f>
        <v>2</v>
      </c>
      <c r="I1116" t="str">
        <f>VLOOKUP(A1116,Medical_Examinations[],8,FALSE)</f>
        <v>No</v>
      </c>
      <c r="J1116" t="str">
        <f>VLOOKUP(A1116,Medical_Examinations[],9,FALSE)</f>
        <v>Obesity</v>
      </c>
      <c r="K1116" t="str">
        <f>VLOOKUP(A1116,Medical_Examinations[],10,FALSE)</f>
        <v>Prediabetes</v>
      </c>
      <c r="M1116">
        <f>VLOOKUP(A1116,Hospitalisation_Details__2[],4,FALSE)</f>
        <v>10118.42</v>
      </c>
      <c r="N1116" t="str">
        <f>VLOOKUP(A1116,Hospitalisation_Details__2[],5,FALSE)</f>
        <v>tier - 3</v>
      </c>
      <c r="O1116" t="str">
        <f>VLOOKUP(A1116,Hospitalisation_Details__2[],6,FALSE)</f>
        <v>tier - 3</v>
      </c>
      <c r="P1116" t="str">
        <f>VLOOKUP(A1116,Hospitalisation_Details__2[],7,FALSE)</f>
        <v>R1011</v>
      </c>
    </row>
    <row r="1117" spans="1:16" x14ac:dyDescent="0.35">
      <c r="A1117" t="str">
        <v>Id1116</v>
      </c>
      <c r="B1117" t="str">
        <f>VLOOKUP(A1117,'Customer Names (2)'!A:B, 2,FALSE)</f>
        <v>Ms</v>
      </c>
      <c r="C1117">
        <f>VLOOKUP(A1117,Medical_Examinations[],2,FALSE)</f>
        <v>33.914999999999999</v>
      </c>
      <c r="D1117">
        <f>VLOOKUP(A1117,Medical_Examinations[],3,FALSE)</f>
        <v>6.66</v>
      </c>
      <c r="E1117" t="str">
        <f>VLOOKUP(A1117,Medical_Examinations[],4,FALSE)</f>
        <v>Yes</v>
      </c>
      <c r="F1117" t="str">
        <f>VLOOKUP(A1117,Medical_Examinations[],5,FALSE)</f>
        <v>No</v>
      </c>
      <c r="G1117" t="str">
        <f>VLOOKUP(A1117,Medical_Examinations[],6,FALSE)</f>
        <v>No</v>
      </c>
      <c r="H1117">
        <f>VLOOKUP(A1117,Medical_Examinations[],7,FALSE)</f>
        <v>1</v>
      </c>
      <c r="I1117" t="str">
        <f>VLOOKUP(A1117,Medical_Examinations[],8,FALSE)</f>
        <v>No</v>
      </c>
      <c r="J1117" t="str">
        <f>VLOOKUP(A1117,Medical_Examinations[],9,FALSE)</f>
        <v>Obesity</v>
      </c>
      <c r="K1117" t="str">
        <f>VLOOKUP(A1117,Medical_Examinations[],10,FALSE)</f>
        <v>Diabetes</v>
      </c>
      <c r="M1117">
        <f>VLOOKUP(A1117,Hospitalisation_Details__2[],4,FALSE)</f>
        <v>10115.01</v>
      </c>
      <c r="N1117" t="str">
        <f>VLOOKUP(A1117,Hospitalisation_Details__2[],5,FALSE)</f>
        <v>tier - 3</v>
      </c>
      <c r="O1117" t="str">
        <f>VLOOKUP(A1117,Hospitalisation_Details__2[],6,FALSE)</f>
        <v>tier - 3</v>
      </c>
      <c r="P1117" t="str">
        <f>VLOOKUP(A1117,Hospitalisation_Details__2[],7,FALSE)</f>
        <v>R1012</v>
      </c>
    </row>
    <row r="1118" spans="1:16" x14ac:dyDescent="0.35">
      <c r="A1118" t="str">
        <v>Id1117</v>
      </c>
      <c r="B1118" t="str">
        <f>VLOOKUP(A1118,'Customer Names (2)'!A:B, 2,FALSE)</f>
        <v>Ms</v>
      </c>
      <c r="C1118">
        <f>VLOOKUP(A1118,Medical_Examinations[],2,FALSE)</f>
        <v>23.54</v>
      </c>
      <c r="D1118">
        <f>VLOOKUP(A1118,Medical_Examinations[],3,FALSE)</f>
        <v>5.0999999999999996</v>
      </c>
      <c r="E1118" t="str">
        <f>VLOOKUP(A1118,Medical_Examinations[],4,FALSE)</f>
        <v>No</v>
      </c>
      <c r="F1118" t="str">
        <f>VLOOKUP(A1118,Medical_Examinations[],5,FALSE)</f>
        <v>No</v>
      </c>
      <c r="G1118" t="str">
        <f>VLOOKUP(A1118,Medical_Examinations[],6,FALSE)</f>
        <v>No</v>
      </c>
      <c r="H1118">
        <f>VLOOKUP(A1118,Medical_Examinations[],7,FALSE)</f>
        <v>2</v>
      </c>
      <c r="I1118" t="str">
        <f>VLOOKUP(A1118,Medical_Examinations[],8,FALSE)</f>
        <v>No</v>
      </c>
      <c r="J1118" t="str">
        <f>VLOOKUP(A1118,Medical_Examinations[],9,FALSE)</f>
        <v>Normal Weight</v>
      </c>
      <c r="K1118" t="str">
        <f>VLOOKUP(A1118,Medical_Examinations[],10,FALSE)</f>
        <v>Normal</v>
      </c>
      <c r="M1118">
        <f>VLOOKUP(A1118,Hospitalisation_Details__2[],4,FALSE)</f>
        <v>10107.219999999999</v>
      </c>
      <c r="N1118" t="str">
        <f>VLOOKUP(A1118,Hospitalisation_Details__2[],5,FALSE)</f>
        <v>tier - 3</v>
      </c>
      <c r="O1118" t="str">
        <f>VLOOKUP(A1118,Hospitalisation_Details__2[],6,FALSE)</f>
        <v>tier - 1</v>
      </c>
      <c r="P1118" t="str">
        <f>VLOOKUP(A1118,Hospitalisation_Details__2[],7,FALSE)</f>
        <v>R1013</v>
      </c>
    </row>
    <row r="1119" spans="1:16" x14ac:dyDescent="0.35">
      <c r="A1119" t="str">
        <v>Id1118</v>
      </c>
      <c r="B1119" t="str">
        <f>VLOOKUP(A1119,'Customer Names (2)'!A:B, 2,FALSE)</f>
        <v>Ms</v>
      </c>
      <c r="C1119">
        <f>VLOOKUP(A1119,Medical_Examinations[],2,FALSE)</f>
        <v>27.074999999999999</v>
      </c>
      <c r="D1119">
        <f>VLOOKUP(A1119,Medical_Examinations[],3,FALSE)</f>
        <v>4.41</v>
      </c>
      <c r="E1119" t="str">
        <f>VLOOKUP(A1119,Medical_Examinations[],4,FALSE)</f>
        <v>No</v>
      </c>
      <c r="F1119" t="str">
        <f>VLOOKUP(A1119,Medical_Examinations[],5,FALSE)</f>
        <v>No</v>
      </c>
      <c r="G1119" t="str">
        <f>VLOOKUP(A1119,Medical_Examinations[],6,FALSE)</f>
        <v>No</v>
      </c>
      <c r="H1119">
        <f>VLOOKUP(A1119,Medical_Examinations[],7,FALSE)</f>
        <v>2</v>
      </c>
      <c r="I1119" t="str">
        <f>VLOOKUP(A1119,Medical_Examinations[],8,FALSE)</f>
        <v>No</v>
      </c>
      <c r="J1119" t="str">
        <f>VLOOKUP(A1119,Medical_Examinations[],9,FALSE)</f>
        <v>Overweight</v>
      </c>
      <c r="K1119" t="str">
        <f>VLOOKUP(A1119,Medical_Examinations[],10,FALSE)</f>
        <v>Normal</v>
      </c>
      <c r="M1119">
        <f>VLOOKUP(A1119,Hospitalisation_Details__2[],4,FALSE)</f>
        <v>10106.129999999999</v>
      </c>
      <c r="N1119" t="str">
        <f>VLOOKUP(A1119,Hospitalisation_Details__2[],5,FALSE)</f>
        <v>tier - 3</v>
      </c>
      <c r="O1119" t="str">
        <f>VLOOKUP(A1119,Hospitalisation_Details__2[],6,FALSE)</f>
        <v>tier - 1</v>
      </c>
      <c r="P1119" t="str">
        <f>VLOOKUP(A1119,Hospitalisation_Details__2[],7,FALSE)</f>
        <v>R1024</v>
      </c>
    </row>
    <row r="1120" spans="1:16" x14ac:dyDescent="0.35">
      <c r="A1120" t="str">
        <v>Id1119</v>
      </c>
      <c r="B1120" t="str">
        <f>VLOOKUP(A1120,'Customer Names (2)'!A:B, 2,FALSE)</f>
        <v>Mr</v>
      </c>
      <c r="C1120">
        <f>VLOOKUP(A1120,Medical_Examinations[],2,FALSE)</f>
        <v>25.8</v>
      </c>
      <c r="D1120">
        <f>VLOOKUP(A1120,Medical_Examinations[],3,FALSE)</f>
        <v>5.52</v>
      </c>
      <c r="E1120" t="str">
        <f>VLOOKUP(A1120,Medical_Examinations[],4,FALSE)</f>
        <v>Yes</v>
      </c>
      <c r="F1120" t="str">
        <f>VLOOKUP(A1120,Medical_Examinations[],5,FALSE)</f>
        <v>No</v>
      </c>
      <c r="G1120" t="str">
        <f>VLOOKUP(A1120,Medical_Examinations[],6,FALSE)</f>
        <v>No</v>
      </c>
      <c r="H1120">
        <f>VLOOKUP(A1120,Medical_Examinations[],7,FALSE)</f>
        <v>0</v>
      </c>
      <c r="I1120" t="str">
        <f>VLOOKUP(A1120,Medical_Examinations[],8,FALSE)</f>
        <v>No</v>
      </c>
      <c r="J1120" t="str">
        <f>VLOOKUP(A1120,Medical_Examinations[],9,FALSE)</f>
        <v>Overweight</v>
      </c>
      <c r="K1120" t="str">
        <f>VLOOKUP(A1120,Medical_Examinations[],10,FALSE)</f>
        <v>Normal</v>
      </c>
      <c r="M1120">
        <f>VLOOKUP(A1120,Hospitalisation_Details__2[],4,FALSE)</f>
        <v>10096.969999999999</v>
      </c>
      <c r="N1120" t="str">
        <f>VLOOKUP(A1120,Hospitalisation_Details__2[],5,FALSE)</f>
        <v>tier - 3</v>
      </c>
      <c r="O1120" t="str">
        <f>VLOOKUP(A1120,Hospitalisation_Details__2[],6,FALSE)</f>
        <v>tier - 2</v>
      </c>
      <c r="P1120" t="str">
        <f>VLOOKUP(A1120,Hospitalisation_Details__2[],7,FALSE)</f>
        <v>R1011</v>
      </c>
    </row>
    <row r="1121" spans="1:16" x14ac:dyDescent="0.35">
      <c r="A1121" t="str">
        <v>Id1120</v>
      </c>
      <c r="B1121" t="str">
        <f>VLOOKUP(A1121,'Customer Names (2)'!A:B, 2,FALSE)</f>
        <v>Mr</v>
      </c>
      <c r="C1121">
        <f>VLOOKUP(A1121,Medical_Examinations[],2,FALSE)</f>
        <v>36.1</v>
      </c>
      <c r="D1121">
        <f>VLOOKUP(A1121,Medical_Examinations[],3,FALSE)</f>
        <v>4.62</v>
      </c>
      <c r="E1121" t="str">
        <f>VLOOKUP(A1121,Medical_Examinations[],4,FALSE)</f>
        <v>Yes</v>
      </c>
      <c r="F1121" t="str">
        <f>VLOOKUP(A1121,Medical_Examinations[],5,FALSE)</f>
        <v>No</v>
      </c>
      <c r="G1121" t="str">
        <f>VLOOKUP(A1121,Medical_Examinations[],6,FALSE)</f>
        <v>Yes</v>
      </c>
      <c r="H1121">
        <f>VLOOKUP(A1121,Medical_Examinations[],7,FALSE)</f>
        <v>1</v>
      </c>
      <c r="I1121" t="str">
        <f>VLOOKUP(A1121,Medical_Examinations[],8,FALSE)</f>
        <v>No</v>
      </c>
      <c r="J1121" t="str">
        <f>VLOOKUP(A1121,Medical_Examinations[],9,FALSE)</f>
        <v>Obesity</v>
      </c>
      <c r="K1121" t="str">
        <f>VLOOKUP(A1121,Medical_Examinations[],10,FALSE)</f>
        <v>Normal</v>
      </c>
      <c r="M1121">
        <f>VLOOKUP(A1121,Hospitalisation_Details__2[],4,FALSE)</f>
        <v>10085.85</v>
      </c>
      <c r="N1121" t="str">
        <f>VLOOKUP(A1121,Hospitalisation_Details__2[],5,FALSE)</f>
        <v>tier - 3</v>
      </c>
      <c r="O1121" t="str">
        <f>VLOOKUP(A1121,Hospitalisation_Details__2[],6,FALSE)</f>
        <v>tier - 3</v>
      </c>
      <c r="P1121" t="str">
        <f>VLOOKUP(A1121,Hospitalisation_Details__2[],7,FALSE)</f>
        <v>R1011</v>
      </c>
    </row>
    <row r="1122" spans="1:16" x14ac:dyDescent="0.35">
      <c r="A1122" t="str">
        <v>Id1121</v>
      </c>
      <c r="B1122" t="str">
        <f>VLOOKUP(A1122,'Customer Names (2)'!A:B, 2,FALSE)</f>
        <v>Mr</v>
      </c>
      <c r="C1122">
        <f>VLOOKUP(A1122,Medical_Examinations[],2,FALSE)</f>
        <v>30.495000000000001</v>
      </c>
      <c r="D1122">
        <f>VLOOKUP(A1122,Medical_Examinations[],3,FALSE)</f>
        <v>5.74</v>
      </c>
      <c r="E1122" t="str">
        <f>VLOOKUP(A1122,Medical_Examinations[],4,FALSE)</f>
        <v>Yes</v>
      </c>
      <c r="F1122" t="str">
        <f>VLOOKUP(A1122,Medical_Examinations[],5,FALSE)</f>
        <v>No</v>
      </c>
      <c r="G1122" t="str">
        <f>VLOOKUP(A1122,Medical_Examinations[],6,FALSE)</f>
        <v>Yes</v>
      </c>
      <c r="H1122">
        <f>VLOOKUP(A1122,Medical_Examinations[],7,FALSE)</f>
        <v>1</v>
      </c>
      <c r="I1122" t="str">
        <f>VLOOKUP(A1122,Medical_Examinations[],8,FALSE)</f>
        <v>No</v>
      </c>
      <c r="J1122" t="str">
        <f>VLOOKUP(A1122,Medical_Examinations[],9,FALSE)</f>
        <v>Obesity</v>
      </c>
      <c r="K1122" t="str">
        <f>VLOOKUP(A1122,Medical_Examinations[],10,FALSE)</f>
        <v>Prediabetes</v>
      </c>
      <c r="M1122">
        <f>VLOOKUP(A1122,Hospitalisation_Details__2[],4,FALSE)</f>
        <v>10072.06</v>
      </c>
      <c r="N1122" t="str">
        <f>VLOOKUP(A1122,Hospitalisation_Details__2[],5,FALSE)</f>
        <v>tier - 3</v>
      </c>
      <c r="O1122" t="str">
        <f>VLOOKUP(A1122,Hospitalisation_Details__2[],6,FALSE)</f>
        <v>tier - 1</v>
      </c>
      <c r="P1122" t="str">
        <f>VLOOKUP(A1122,Hospitalisation_Details__2[],7,FALSE)</f>
        <v>R1017</v>
      </c>
    </row>
    <row r="1123" spans="1:16" x14ac:dyDescent="0.35">
      <c r="A1123" t="str">
        <v>Id1122</v>
      </c>
      <c r="B1123" t="str">
        <f>VLOOKUP(A1123,'Customer Names (2)'!A:B, 2,FALSE)</f>
        <v>Mr</v>
      </c>
      <c r="C1123">
        <f>VLOOKUP(A1123,Medical_Examinations[],2,FALSE)</f>
        <v>21.4</v>
      </c>
      <c r="D1123">
        <f>VLOOKUP(A1123,Medical_Examinations[],3,FALSE)</f>
        <v>6.3</v>
      </c>
      <c r="E1123" t="str">
        <f>VLOOKUP(A1123,Medical_Examinations[],4,FALSE)</f>
        <v>Yes</v>
      </c>
      <c r="F1123" t="str">
        <f>VLOOKUP(A1123,Medical_Examinations[],5,FALSE)</f>
        <v>No</v>
      </c>
      <c r="G1123" t="str">
        <f>VLOOKUP(A1123,Medical_Examinations[],6,FALSE)</f>
        <v>Yes</v>
      </c>
      <c r="H1123">
        <f>VLOOKUP(A1123,Medical_Examinations[],7,FALSE)</f>
        <v>1</v>
      </c>
      <c r="I1123" t="str">
        <f>VLOOKUP(A1123,Medical_Examinations[],8,FALSE)</f>
        <v>No</v>
      </c>
      <c r="J1123" t="str">
        <f>VLOOKUP(A1123,Medical_Examinations[],9,FALSE)</f>
        <v>Normal Weight</v>
      </c>
      <c r="K1123" t="str">
        <f>VLOOKUP(A1123,Medical_Examinations[],10,FALSE)</f>
        <v>Prediabetes</v>
      </c>
      <c r="M1123">
        <f>VLOOKUP(A1123,Hospitalisation_Details__2[],4,FALSE)</f>
        <v>10065.41</v>
      </c>
      <c r="N1123" t="str">
        <f>VLOOKUP(A1123,Hospitalisation_Details__2[],5,FALSE)</f>
        <v>tier - 3</v>
      </c>
      <c r="O1123" t="str">
        <f>VLOOKUP(A1123,Hospitalisation_Details__2[],6,FALSE)</f>
        <v>tier - 2</v>
      </c>
      <c r="P1123" t="str">
        <f>VLOOKUP(A1123,Hospitalisation_Details__2[],7,FALSE)</f>
        <v>R1011</v>
      </c>
    </row>
    <row r="1124" spans="1:16" x14ac:dyDescent="0.35">
      <c r="A1124" t="str">
        <v>Id1123</v>
      </c>
      <c r="B1124" t="str">
        <f>VLOOKUP(A1124,'Customer Names (2)'!A:B, 2,FALSE)</f>
        <v>Ms</v>
      </c>
      <c r="C1124">
        <f>VLOOKUP(A1124,Medical_Examinations[],2,FALSE)</f>
        <v>32.299999999999997</v>
      </c>
      <c r="D1124">
        <f>VLOOKUP(A1124,Medical_Examinations[],3,FALSE)</f>
        <v>10.27</v>
      </c>
      <c r="E1124" t="str">
        <f>VLOOKUP(A1124,Medical_Examinations[],4,FALSE)</f>
        <v>No</v>
      </c>
      <c r="F1124" t="str">
        <f>VLOOKUP(A1124,Medical_Examinations[],5,FALSE)</f>
        <v>No</v>
      </c>
      <c r="G1124" t="str">
        <f>VLOOKUP(A1124,Medical_Examinations[],6,FALSE)</f>
        <v>No</v>
      </c>
      <c r="H1124">
        <f>VLOOKUP(A1124,Medical_Examinations[],7,FALSE)</f>
        <v>0</v>
      </c>
      <c r="I1124" t="str">
        <f>VLOOKUP(A1124,Medical_Examinations[],8,FALSE)</f>
        <v>No</v>
      </c>
      <c r="J1124" t="str">
        <f>VLOOKUP(A1124,Medical_Examinations[],9,FALSE)</f>
        <v>Obesity</v>
      </c>
      <c r="K1124" t="str">
        <f>VLOOKUP(A1124,Medical_Examinations[],10,FALSE)</f>
        <v>Diabetes</v>
      </c>
      <c r="M1124">
        <f>VLOOKUP(A1124,Hospitalisation_Details__2[],4,FALSE)</f>
        <v>10043.25</v>
      </c>
      <c r="N1124" t="str">
        <f>VLOOKUP(A1124,Hospitalisation_Details__2[],5,FALSE)</f>
        <v>tier - 3</v>
      </c>
      <c r="O1124" t="str">
        <f>VLOOKUP(A1124,Hospitalisation_Details__2[],6,FALSE)</f>
        <v>tier - 2</v>
      </c>
      <c r="P1124" t="str">
        <f>VLOOKUP(A1124,Hospitalisation_Details__2[],7,FALSE)</f>
        <v>R1024</v>
      </c>
    </row>
    <row r="1125" spans="1:16" x14ac:dyDescent="0.35">
      <c r="A1125" t="str">
        <v>Id1124</v>
      </c>
      <c r="B1125" t="str">
        <f>VLOOKUP(A1125,'Customer Names (2)'!A:B, 2,FALSE)</f>
        <v>Mr</v>
      </c>
      <c r="C1125">
        <f>VLOOKUP(A1125,Medical_Examinations[],2,FALSE)</f>
        <v>29.78</v>
      </c>
      <c r="D1125">
        <f>VLOOKUP(A1125,Medical_Examinations[],3,FALSE)</f>
        <v>5.85</v>
      </c>
      <c r="E1125" t="str">
        <f>VLOOKUP(A1125,Medical_Examinations[],4,FALSE)</f>
        <v>No</v>
      </c>
      <c r="F1125" t="str">
        <f>VLOOKUP(A1125,Medical_Examinations[],5,FALSE)</f>
        <v>No</v>
      </c>
      <c r="G1125" t="str">
        <f>VLOOKUP(A1125,Medical_Examinations[],6,FALSE)</f>
        <v>Yes</v>
      </c>
      <c r="H1125">
        <f>VLOOKUP(A1125,Medical_Examinations[],7,FALSE)</f>
        <v>1</v>
      </c>
      <c r="I1125" t="str">
        <f>VLOOKUP(A1125,Medical_Examinations[],8,FALSE)</f>
        <v>No</v>
      </c>
      <c r="J1125" t="str">
        <f>VLOOKUP(A1125,Medical_Examinations[],9,FALSE)</f>
        <v>Overweight</v>
      </c>
      <c r="K1125" t="str">
        <f>VLOOKUP(A1125,Medical_Examinations[],10,FALSE)</f>
        <v>Prediabetes</v>
      </c>
      <c r="M1125">
        <f>VLOOKUP(A1125,Hospitalisation_Details__2[],4,FALSE)</f>
        <v>10027.15</v>
      </c>
      <c r="N1125" t="str">
        <f>VLOOKUP(A1125,Hospitalisation_Details__2[],5,FALSE)</f>
        <v>tier - 3</v>
      </c>
      <c r="O1125" t="str">
        <f>VLOOKUP(A1125,Hospitalisation_Details__2[],6,FALSE)</f>
        <v>tier - 1</v>
      </c>
      <c r="P1125" t="str">
        <f>VLOOKUP(A1125,Hospitalisation_Details__2[],7,FALSE)</f>
        <v>R1021</v>
      </c>
    </row>
    <row r="1126" spans="1:16" x14ac:dyDescent="0.35">
      <c r="A1126" t="str">
        <v>Id1125</v>
      </c>
      <c r="B1126" t="str">
        <f>VLOOKUP(A1126,'Customer Names (2)'!A:B, 2,FALSE)</f>
        <v>Mrs</v>
      </c>
      <c r="C1126">
        <f>VLOOKUP(A1126,Medical_Examinations[],2,FALSE)</f>
        <v>34.76</v>
      </c>
      <c r="D1126">
        <f>VLOOKUP(A1126,Medical_Examinations[],3,FALSE)</f>
        <v>5.92</v>
      </c>
      <c r="E1126" t="str">
        <f>VLOOKUP(A1126,Medical_Examinations[],4,FALSE)</f>
        <v>Yes</v>
      </c>
      <c r="F1126" t="str">
        <f>VLOOKUP(A1126,Medical_Examinations[],5,FALSE)</f>
        <v>No</v>
      </c>
      <c r="G1126" t="str">
        <f>VLOOKUP(A1126,Medical_Examinations[],6,FALSE)</f>
        <v>No</v>
      </c>
      <c r="H1126">
        <f>VLOOKUP(A1126,Medical_Examinations[],7,FALSE)</f>
        <v>1</v>
      </c>
      <c r="I1126" t="str">
        <f>VLOOKUP(A1126,Medical_Examinations[],8,FALSE)</f>
        <v>No</v>
      </c>
      <c r="J1126" t="str">
        <f>VLOOKUP(A1126,Medical_Examinations[],9,FALSE)</f>
        <v>Obesity</v>
      </c>
      <c r="K1126" t="str">
        <f>VLOOKUP(A1126,Medical_Examinations[],10,FALSE)</f>
        <v>Prediabetes</v>
      </c>
      <c r="M1126">
        <f>VLOOKUP(A1126,Hospitalisation_Details__2[],4,FALSE)</f>
        <v>10011.44</v>
      </c>
      <c r="N1126" t="str">
        <f>VLOOKUP(A1126,Hospitalisation_Details__2[],5,FALSE)</f>
        <v>tier - 3</v>
      </c>
      <c r="O1126" t="str">
        <f>VLOOKUP(A1126,Hospitalisation_Details__2[],6,FALSE)</f>
        <v>tier - 3</v>
      </c>
      <c r="P1126" t="str">
        <f>VLOOKUP(A1126,Hospitalisation_Details__2[],7,FALSE)</f>
        <v>R1026</v>
      </c>
    </row>
    <row r="1127" spans="1:16" x14ac:dyDescent="0.35">
      <c r="A1127" t="str">
        <v>Id1126</v>
      </c>
      <c r="B1127" t="str">
        <f>VLOOKUP(A1127,'Customer Names (2)'!A:B, 2,FALSE)</f>
        <v>Ms</v>
      </c>
      <c r="C1127">
        <f>VLOOKUP(A1127,Medical_Examinations[],2,FALSE)</f>
        <v>18.335000000000001</v>
      </c>
      <c r="D1127">
        <f>VLOOKUP(A1127,Medical_Examinations[],3,FALSE)</f>
        <v>10.01</v>
      </c>
      <c r="E1127" t="str">
        <f>VLOOKUP(A1127,Medical_Examinations[],4,FALSE)</f>
        <v>Yes</v>
      </c>
      <c r="F1127" t="str">
        <f>VLOOKUP(A1127,Medical_Examinations[],5,FALSE)</f>
        <v>No</v>
      </c>
      <c r="G1127" t="str">
        <f>VLOOKUP(A1127,Medical_Examinations[],6,FALSE)</f>
        <v>No</v>
      </c>
      <c r="H1127">
        <f>VLOOKUP(A1127,Medical_Examinations[],7,FALSE)</f>
        <v>2</v>
      </c>
      <c r="I1127" t="str">
        <f>VLOOKUP(A1127,Medical_Examinations[],8,FALSE)</f>
        <v>No</v>
      </c>
      <c r="J1127" t="str">
        <f>VLOOKUP(A1127,Medical_Examinations[],9,FALSE)</f>
        <v>Underweight</v>
      </c>
      <c r="K1127" t="str">
        <f>VLOOKUP(A1127,Medical_Examinations[],10,FALSE)</f>
        <v>Diabetes</v>
      </c>
      <c r="M1127">
        <f>VLOOKUP(A1127,Hospitalisation_Details__2[],4,FALSE)</f>
        <v>9991.0400000000009</v>
      </c>
      <c r="N1127" t="str">
        <f>VLOOKUP(A1127,Hospitalisation_Details__2[],5,FALSE)</f>
        <v>tier - 2</v>
      </c>
      <c r="O1127" t="str">
        <f>VLOOKUP(A1127,Hospitalisation_Details__2[],6,FALSE)</f>
        <v>tier - 3</v>
      </c>
      <c r="P1127" t="str">
        <f>VLOOKUP(A1127,Hospitalisation_Details__2[],7,FALSE)</f>
        <v>R1012</v>
      </c>
    </row>
    <row r="1128" spans="1:16" x14ac:dyDescent="0.35">
      <c r="A1128" t="str">
        <v>Id1127</v>
      </c>
      <c r="B1128" t="str">
        <f>VLOOKUP(A1128,'Customer Names (2)'!A:B, 2,FALSE)</f>
        <v>Mr</v>
      </c>
      <c r="C1128">
        <f>VLOOKUP(A1128,Medical_Examinations[],2,FALSE)</f>
        <v>32.299999999999997</v>
      </c>
      <c r="D1128">
        <f>VLOOKUP(A1128,Medical_Examinations[],3,FALSE)</f>
        <v>9.59</v>
      </c>
      <c r="E1128" t="str">
        <f>VLOOKUP(A1128,Medical_Examinations[],4,FALSE)</f>
        <v>No</v>
      </c>
      <c r="F1128" t="str">
        <f>VLOOKUP(A1128,Medical_Examinations[],5,FALSE)</f>
        <v>No</v>
      </c>
      <c r="G1128" t="str">
        <f>VLOOKUP(A1128,Medical_Examinations[],6,FALSE)</f>
        <v>No</v>
      </c>
      <c r="H1128">
        <f>VLOOKUP(A1128,Medical_Examinations[],7,FALSE)</f>
        <v>0</v>
      </c>
      <c r="I1128" t="str">
        <f>VLOOKUP(A1128,Medical_Examinations[],8,FALSE)</f>
        <v>No</v>
      </c>
      <c r="J1128" t="str">
        <f>VLOOKUP(A1128,Medical_Examinations[],9,FALSE)</f>
        <v>Obesity</v>
      </c>
      <c r="K1128" t="str">
        <f>VLOOKUP(A1128,Medical_Examinations[],10,FALSE)</f>
        <v>Diabetes</v>
      </c>
      <c r="M1128">
        <f>VLOOKUP(A1128,Hospitalisation_Details__2[],4,FALSE)</f>
        <v>9964.06</v>
      </c>
      <c r="N1128" t="str">
        <f>VLOOKUP(A1128,Hospitalisation_Details__2[],5,FALSE)</f>
        <v>tier - 2</v>
      </c>
      <c r="O1128" t="str">
        <f>VLOOKUP(A1128,Hospitalisation_Details__2[],6,FALSE)</f>
        <v>tier - 2</v>
      </c>
      <c r="P1128" t="str">
        <f>VLOOKUP(A1128,Hospitalisation_Details__2[],7,FALSE)</f>
        <v>R1019</v>
      </c>
    </row>
    <row r="1129" spans="1:16" x14ac:dyDescent="0.35">
      <c r="A1129" t="str">
        <v>Id1128</v>
      </c>
      <c r="B1129" t="str">
        <f>VLOOKUP(A1129,'Customer Names (2)'!A:B, 2,FALSE)</f>
        <v>Mr</v>
      </c>
      <c r="C1129">
        <f>VLOOKUP(A1129,Medical_Examinations[],2,FALSE)</f>
        <v>27.74</v>
      </c>
      <c r="D1129">
        <f>VLOOKUP(A1129,Medical_Examinations[],3,FALSE)</f>
        <v>10.37</v>
      </c>
      <c r="E1129" t="str">
        <f>VLOOKUP(A1129,Medical_Examinations[],4,FALSE)</f>
        <v>No</v>
      </c>
      <c r="F1129" t="str">
        <f>VLOOKUP(A1129,Medical_Examinations[],5,FALSE)</f>
        <v>No</v>
      </c>
      <c r="G1129" t="str">
        <f>VLOOKUP(A1129,Medical_Examinations[],6,FALSE)</f>
        <v>No</v>
      </c>
      <c r="H1129">
        <f>VLOOKUP(A1129,Medical_Examinations[],7,FALSE)</f>
        <v>0</v>
      </c>
      <c r="I1129" t="str">
        <f>VLOOKUP(A1129,Medical_Examinations[],8,FALSE)</f>
        <v>No</v>
      </c>
      <c r="J1129" t="str">
        <f>VLOOKUP(A1129,Medical_Examinations[],9,FALSE)</f>
        <v>Overweight</v>
      </c>
      <c r="K1129" t="str">
        <f>VLOOKUP(A1129,Medical_Examinations[],10,FALSE)</f>
        <v>Diabetes</v>
      </c>
      <c r="M1129">
        <f>VLOOKUP(A1129,Hospitalisation_Details__2[],4,FALSE)</f>
        <v>9957.7199999999993</v>
      </c>
      <c r="N1129" t="str">
        <f>VLOOKUP(A1129,Hospitalisation_Details__2[],5,FALSE)</f>
        <v>tier - 2</v>
      </c>
      <c r="O1129" t="str">
        <f>VLOOKUP(A1129,Hospitalisation_Details__2[],6,FALSE)</f>
        <v>tier - 3</v>
      </c>
      <c r="P1129" t="str">
        <f>VLOOKUP(A1129,Hospitalisation_Details__2[],7,FALSE)</f>
        <v>R1018</v>
      </c>
    </row>
    <row r="1130" spans="1:16" x14ac:dyDescent="0.35">
      <c r="A1130" t="str">
        <v>Id1129</v>
      </c>
      <c r="B1130" t="str">
        <f>VLOOKUP(A1130,'Customer Names (2)'!A:B, 2,FALSE)</f>
        <v>Mr</v>
      </c>
      <c r="C1130">
        <f>VLOOKUP(A1130,Medical_Examinations[],2,FALSE)</f>
        <v>24</v>
      </c>
      <c r="D1130">
        <f>VLOOKUP(A1130,Medical_Examinations[],3,FALSE)</f>
        <v>4.01</v>
      </c>
      <c r="E1130" t="str">
        <f>VLOOKUP(A1130,Medical_Examinations[],4,FALSE)</f>
        <v>Yes</v>
      </c>
      <c r="F1130" t="str">
        <f>VLOOKUP(A1130,Medical_Examinations[],5,FALSE)</f>
        <v>No</v>
      </c>
      <c r="G1130" t="str">
        <f>VLOOKUP(A1130,Medical_Examinations[],6,FALSE)</f>
        <v>No</v>
      </c>
      <c r="H1130">
        <f>VLOOKUP(A1130,Medical_Examinations[],7,FALSE)</f>
        <v>1</v>
      </c>
      <c r="I1130" t="str">
        <f>VLOOKUP(A1130,Medical_Examinations[],8,FALSE)</f>
        <v>No</v>
      </c>
      <c r="J1130" t="str">
        <f>VLOOKUP(A1130,Medical_Examinations[],9,FALSE)</f>
        <v>Normal Weight</v>
      </c>
      <c r="K1130" t="str">
        <f>VLOOKUP(A1130,Medical_Examinations[],10,FALSE)</f>
        <v>Normal</v>
      </c>
      <c r="M1130">
        <f>VLOOKUP(A1130,Hospitalisation_Details__2[],4,FALSE)</f>
        <v>9933.44</v>
      </c>
      <c r="N1130" t="str">
        <f>VLOOKUP(A1130,Hospitalisation_Details__2[],5,FALSE)</f>
        <v>tier - 3</v>
      </c>
      <c r="O1130" t="str">
        <f>VLOOKUP(A1130,Hospitalisation_Details__2[],6,FALSE)</f>
        <v>tier - 3</v>
      </c>
      <c r="P1130" t="str">
        <f>VLOOKUP(A1130,Hospitalisation_Details__2[],7,FALSE)</f>
        <v>R1013</v>
      </c>
    </row>
    <row r="1131" spans="1:16" x14ac:dyDescent="0.35">
      <c r="A1131" t="str">
        <v>Id1130</v>
      </c>
      <c r="B1131" t="str">
        <f>VLOOKUP(A1131,'Customer Names (2)'!A:B, 2,FALSE)</f>
        <v>Ms</v>
      </c>
      <c r="C1131">
        <f>VLOOKUP(A1131,Medical_Examinations[],2,FALSE)</f>
        <v>31.78</v>
      </c>
      <c r="D1131">
        <f>VLOOKUP(A1131,Medical_Examinations[],3,FALSE)</f>
        <v>4.24</v>
      </c>
      <c r="E1131" t="str">
        <f>VLOOKUP(A1131,Medical_Examinations[],4,FALSE)</f>
        <v>Yes</v>
      </c>
      <c r="F1131" t="str">
        <f>VLOOKUP(A1131,Medical_Examinations[],5,FALSE)</f>
        <v>No</v>
      </c>
      <c r="G1131" t="str">
        <f>VLOOKUP(A1131,Medical_Examinations[],6,FALSE)</f>
        <v>Yes</v>
      </c>
      <c r="H1131">
        <f>VLOOKUP(A1131,Medical_Examinations[],7,FALSE)</f>
        <v>1</v>
      </c>
      <c r="I1131" t="str">
        <f>VLOOKUP(A1131,Medical_Examinations[],8,FALSE)</f>
        <v>No</v>
      </c>
      <c r="J1131" t="str">
        <f>VLOOKUP(A1131,Medical_Examinations[],9,FALSE)</f>
        <v>Obesity</v>
      </c>
      <c r="K1131" t="str">
        <f>VLOOKUP(A1131,Medical_Examinations[],10,FALSE)</f>
        <v>Normal</v>
      </c>
      <c r="M1131">
        <f>VLOOKUP(A1131,Hospitalisation_Details__2[],4,FALSE)</f>
        <v>9931.9599999999991</v>
      </c>
      <c r="N1131" t="str">
        <f>VLOOKUP(A1131,Hospitalisation_Details__2[],5,FALSE)</f>
        <v>tier - 2</v>
      </c>
      <c r="O1131" t="str">
        <f>VLOOKUP(A1131,Hospitalisation_Details__2[],6,FALSE)</f>
        <v>tier - 2</v>
      </c>
      <c r="P1131" t="str">
        <f>VLOOKUP(A1131,Hospitalisation_Details__2[],7,FALSE)</f>
        <v>R1012</v>
      </c>
    </row>
    <row r="1132" spans="1:16" x14ac:dyDescent="0.35">
      <c r="A1132" t="str">
        <v>Id1131</v>
      </c>
      <c r="B1132" t="str">
        <f>VLOOKUP(A1132,'Customer Names (2)'!A:B, 2,FALSE)</f>
        <v>Mrs</v>
      </c>
      <c r="C1132">
        <f>VLOOKUP(A1132,Medical_Examinations[],2,FALSE)</f>
        <v>32.25</v>
      </c>
      <c r="D1132">
        <f>VLOOKUP(A1132,Medical_Examinations[],3,FALSE)</f>
        <v>5.36</v>
      </c>
      <c r="E1132" t="str">
        <f>VLOOKUP(A1132,Medical_Examinations[],4,FALSE)</f>
        <v>Yes</v>
      </c>
      <c r="F1132" t="str">
        <f>VLOOKUP(A1132,Medical_Examinations[],5,FALSE)</f>
        <v>No</v>
      </c>
      <c r="G1132" t="str">
        <f>VLOOKUP(A1132,Medical_Examinations[],6,FALSE)</f>
        <v>No</v>
      </c>
      <c r="H1132">
        <f>VLOOKUP(A1132,Medical_Examinations[],7,FALSE)</f>
        <v>0</v>
      </c>
      <c r="I1132" t="str">
        <f>VLOOKUP(A1132,Medical_Examinations[],8,FALSE)</f>
        <v>No</v>
      </c>
      <c r="J1132" t="str">
        <f>VLOOKUP(A1132,Medical_Examinations[],9,FALSE)</f>
        <v>Obesity</v>
      </c>
      <c r="K1132" t="str">
        <f>VLOOKUP(A1132,Medical_Examinations[],10,FALSE)</f>
        <v>Normal</v>
      </c>
      <c r="M1132">
        <f>VLOOKUP(A1132,Hospitalisation_Details__2[],4,FALSE)</f>
        <v>9930.64</v>
      </c>
      <c r="N1132" t="str">
        <f>VLOOKUP(A1132,Hospitalisation_Details__2[],5,FALSE)</f>
        <v>tier - 2</v>
      </c>
      <c r="O1132" t="str">
        <f>VLOOKUP(A1132,Hospitalisation_Details__2[],6,FALSE)</f>
        <v>tier - 3</v>
      </c>
      <c r="P1132" t="str">
        <f>VLOOKUP(A1132,Hospitalisation_Details__2[],7,FALSE)</f>
        <v>R1025</v>
      </c>
    </row>
    <row r="1133" spans="1:16" x14ac:dyDescent="0.35">
      <c r="A1133" t="str">
        <v>Id1132</v>
      </c>
      <c r="B1133" t="str">
        <f>VLOOKUP(A1133,'Customer Names (2)'!A:B, 2,FALSE)</f>
        <v>Ms</v>
      </c>
      <c r="C1133">
        <f>VLOOKUP(A1133,Medical_Examinations[],2,FALSE)</f>
        <v>30.114999999999998</v>
      </c>
      <c r="D1133">
        <f>VLOOKUP(A1133,Medical_Examinations[],3,FALSE)</f>
        <v>4.99</v>
      </c>
      <c r="E1133" t="str">
        <f>VLOOKUP(A1133,Medical_Examinations[],4,FALSE)</f>
        <v>No</v>
      </c>
      <c r="F1133" t="str">
        <f>VLOOKUP(A1133,Medical_Examinations[],5,FALSE)</f>
        <v>No</v>
      </c>
      <c r="G1133" t="str">
        <f>VLOOKUP(A1133,Medical_Examinations[],6,FALSE)</f>
        <v>No</v>
      </c>
      <c r="H1133">
        <f>VLOOKUP(A1133,Medical_Examinations[],7,FALSE)</f>
        <v>2</v>
      </c>
      <c r="I1133" t="str">
        <f>VLOOKUP(A1133,Medical_Examinations[],8,FALSE)</f>
        <v>No</v>
      </c>
      <c r="J1133" t="str">
        <f>VLOOKUP(A1133,Medical_Examinations[],9,FALSE)</f>
        <v>Obesity</v>
      </c>
      <c r="K1133" t="str">
        <f>VLOOKUP(A1133,Medical_Examinations[],10,FALSE)</f>
        <v>Normal</v>
      </c>
      <c r="M1133">
        <f>VLOOKUP(A1133,Hospitalisation_Details__2[],4,FALSE)</f>
        <v>9910.36</v>
      </c>
      <c r="N1133" t="str">
        <f>VLOOKUP(A1133,Hospitalisation_Details__2[],5,FALSE)</f>
        <v>tier - 2</v>
      </c>
      <c r="O1133" t="str">
        <f>VLOOKUP(A1133,Hospitalisation_Details__2[],6,FALSE)</f>
        <v>tier - 3</v>
      </c>
      <c r="P1133" t="str">
        <f>VLOOKUP(A1133,Hospitalisation_Details__2[],7,FALSE)</f>
        <v>R1012</v>
      </c>
    </row>
    <row r="1134" spans="1:16" x14ac:dyDescent="0.35">
      <c r="A1134" t="str">
        <v>Id1133</v>
      </c>
      <c r="B1134" t="str">
        <f>VLOOKUP(A1134,'Customer Names (2)'!A:B, 2,FALSE)</f>
        <v>Mr</v>
      </c>
      <c r="C1134">
        <f>VLOOKUP(A1134,Medical_Examinations[],2,FALSE)</f>
        <v>22.41</v>
      </c>
      <c r="D1134">
        <f>VLOOKUP(A1134,Medical_Examinations[],3,FALSE)</f>
        <v>8.68</v>
      </c>
      <c r="E1134" t="str">
        <f>VLOOKUP(A1134,Medical_Examinations[],4,FALSE)</f>
        <v>No</v>
      </c>
      <c r="F1134" t="str">
        <f>VLOOKUP(A1134,Medical_Examinations[],5,FALSE)</f>
        <v>No</v>
      </c>
      <c r="G1134" t="str">
        <f>VLOOKUP(A1134,Medical_Examinations[],6,FALSE)</f>
        <v>No</v>
      </c>
      <c r="H1134">
        <f>VLOOKUP(A1134,Medical_Examinations[],7,FALSE)</f>
        <v>0</v>
      </c>
      <c r="I1134" t="str">
        <f>VLOOKUP(A1134,Medical_Examinations[],8,FALSE)</f>
        <v>No</v>
      </c>
      <c r="J1134" t="str">
        <f>VLOOKUP(A1134,Medical_Examinations[],9,FALSE)</f>
        <v>Normal Weight</v>
      </c>
      <c r="K1134" t="str">
        <f>VLOOKUP(A1134,Medical_Examinations[],10,FALSE)</f>
        <v>Diabetes</v>
      </c>
      <c r="M1134">
        <f>VLOOKUP(A1134,Hospitalisation_Details__2[],4,FALSE)</f>
        <v>9907.83</v>
      </c>
      <c r="N1134" t="str">
        <f>VLOOKUP(A1134,Hospitalisation_Details__2[],5,FALSE)</f>
        <v>tier - 3</v>
      </c>
      <c r="O1134" t="str">
        <f>VLOOKUP(A1134,Hospitalisation_Details__2[],6,FALSE)</f>
        <v>tier - 2</v>
      </c>
      <c r="P1134" t="str">
        <f>VLOOKUP(A1134,Hospitalisation_Details__2[],7,FALSE)</f>
        <v>R1013</v>
      </c>
    </row>
    <row r="1135" spans="1:16" x14ac:dyDescent="0.35">
      <c r="A1135" t="str">
        <v>Id1134</v>
      </c>
      <c r="B1135" t="str">
        <f>VLOOKUP(A1135,'Customer Names (2)'!A:B, 2,FALSE)</f>
        <v>Ms</v>
      </c>
      <c r="C1135">
        <f>VLOOKUP(A1135,Medical_Examinations[],2,FALSE)</f>
        <v>45.72</v>
      </c>
      <c r="D1135">
        <f>VLOOKUP(A1135,Medical_Examinations[],3,FALSE)</f>
        <v>4.2300000000000004</v>
      </c>
      <c r="E1135" t="str">
        <f>VLOOKUP(A1135,Medical_Examinations[],4,FALSE)</f>
        <v>Yes</v>
      </c>
      <c r="F1135" t="str">
        <f>VLOOKUP(A1135,Medical_Examinations[],5,FALSE)</f>
        <v>No</v>
      </c>
      <c r="G1135" t="str">
        <f>VLOOKUP(A1135,Medical_Examinations[],6,FALSE)</f>
        <v>No</v>
      </c>
      <c r="H1135">
        <f>VLOOKUP(A1135,Medical_Examinations[],7,FALSE)</f>
        <v>0</v>
      </c>
      <c r="I1135" t="str">
        <f>VLOOKUP(A1135,Medical_Examinations[],8,FALSE)</f>
        <v>No</v>
      </c>
      <c r="J1135" t="str">
        <f>VLOOKUP(A1135,Medical_Examinations[],9,FALSE)</f>
        <v>Obesity</v>
      </c>
      <c r="K1135" t="str">
        <f>VLOOKUP(A1135,Medical_Examinations[],10,FALSE)</f>
        <v>Normal</v>
      </c>
      <c r="M1135">
        <f>VLOOKUP(A1135,Hospitalisation_Details__2[],4,FALSE)</f>
        <v>9894.69</v>
      </c>
      <c r="N1135" t="str">
        <f>VLOOKUP(A1135,Hospitalisation_Details__2[],5,FALSE)</f>
        <v>tier - 2</v>
      </c>
      <c r="O1135" t="str">
        <f>VLOOKUP(A1135,Hospitalisation_Details__2[],6,FALSE)</f>
        <v>tier - 3</v>
      </c>
      <c r="P1135" t="str">
        <f>VLOOKUP(A1135,Hospitalisation_Details__2[],7,FALSE)</f>
        <v>R1012</v>
      </c>
    </row>
    <row r="1136" spans="1:16" x14ac:dyDescent="0.35">
      <c r="A1136" t="str">
        <v>Id1135</v>
      </c>
      <c r="B1136" t="str">
        <f>VLOOKUP(A1136,'Customer Names (2)'!A:B, 2,FALSE)</f>
        <v>Ms</v>
      </c>
      <c r="C1136">
        <f>VLOOKUP(A1136,Medical_Examinations[],2,FALSE)</f>
        <v>25</v>
      </c>
      <c r="D1136">
        <f>VLOOKUP(A1136,Medical_Examinations[],3,FALSE)</f>
        <v>5.32</v>
      </c>
      <c r="E1136" t="str">
        <f>VLOOKUP(A1136,Medical_Examinations[],4,FALSE)</f>
        <v>Yes</v>
      </c>
      <c r="F1136" t="str">
        <f>VLOOKUP(A1136,Medical_Examinations[],5,FALSE)</f>
        <v>No</v>
      </c>
      <c r="G1136" t="str">
        <f>VLOOKUP(A1136,Medical_Examinations[],6,FALSE)</f>
        <v>No</v>
      </c>
      <c r="H1136">
        <f>VLOOKUP(A1136,Medical_Examinations[],7,FALSE)</f>
        <v>2</v>
      </c>
      <c r="I1136" t="str">
        <f>VLOOKUP(A1136,Medical_Examinations[],8,FALSE)</f>
        <v>No</v>
      </c>
      <c r="J1136" t="str">
        <f>VLOOKUP(A1136,Medical_Examinations[],9,FALSE)</f>
        <v>Overweight</v>
      </c>
      <c r="K1136" t="str">
        <f>VLOOKUP(A1136,Medical_Examinations[],10,FALSE)</f>
        <v>Normal</v>
      </c>
      <c r="M1136">
        <f>VLOOKUP(A1136,Hospitalisation_Details__2[],4,FALSE)</f>
        <v>9890.23</v>
      </c>
      <c r="N1136" t="str">
        <f>VLOOKUP(A1136,Hospitalisation_Details__2[],5,FALSE)</f>
        <v>tier - 3</v>
      </c>
      <c r="O1136" t="str">
        <f>VLOOKUP(A1136,Hospitalisation_Details__2[],6,FALSE)</f>
        <v>tier - 3</v>
      </c>
      <c r="P1136" t="str">
        <f>VLOOKUP(A1136,Hospitalisation_Details__2[],7,FALSE)</f>
        <v>R1013</v>
      </c>
    </row>
    <row r="1137" spans="1:16" x14ac:dyDescent="0.35">
      <c r="A1137" t="str">
        <v>Id1136</v>
      </c>
      <c r="B1137" t="str">
        <f>VLOOKUP(A1137,'Customer Names (2)'!A:B, 2,FALSE)</f>
        <v>Ms</v>
      </c>
      <c r="C1137">
        <f>VLOOKUP(A1137,Medical_Examinations[],2,FALSE)</f>
        <v>39.5</v>
      </c>
      <c r="D1137">
        <f>VLOOKUP(A1137,Medical_Examinations[],3,FALSE)</f>
        <v>6.66</v>
      </c>
      <c r="E1137" t="str">
        <f>VLOOKUP(A1137,Medical_Examinations[],4,FALSE)</f>
        <v>No</v>
      </c>
      <c r="F1137" t="str">
        <f>VLOOKUP(A1137,Medical_Examinations[],5,FALSE)</f>
        <v>No</v>
      </c>
      <c r="G1137" t="str">
        <f>VLOOKUP(A1137,Medical_Examinations[],6,FALSE)</f>
        <v>No</v>
      </c>
      <c r="H1137">
        <f>VLOOKUP(A1137,Medical_Examinations[],7,FALSE)</f>
        <v>0</v>
      </c>
      <c r="I1137" t="str">
        <f>VLOOKUP(A1137,Medical_Examinations[],8,FALSE)</f>
        <v>No</v>
      </c>
      <c r="J1137" t="str">
        <f>VLOOKUP(A1137,Medical_Examinations[],9,FALSE)</f>
        <v>Obesity</v>
      </c>
      <c r="K1137" t="str">
        <f>VLOOKUP(A1137,Medical_Examinations[],10,FALSE)</f>
        <v>Diabetes</v>
      </c>
      <c r="M1137">
        <f>VLOOKUP(A1137,Hospitalisation_Details__2[],4,FALSE)</f>
        <v>9880.07</v>
      </c>
      <c r="N1137" t="str">
        <f>VLOOKUP(A1137,Hospitalisation_Details__2[],5,FALSE)</f>
        <v>tier - 2</v>
      </c>
      <c r="O1137" t="str">
        <f>VLOOKUP(A1137,Hospitalisation_Details__2[],6,FALSE)</f>
        <v>tier - 3</v>
      </c>
      <c r="P1137" t="str">
        <f>VLOOKUP(A1137,Hospitalisation_Details__2[],7,FALSE)</f>
        <v>R1011</v>
      </c>
    </row>
    <row r="1138" spans="1:16" x14ac:dyDescent="0.35">
      <c r="A1138" t="str">
        <v>Id1137</v>
      </c>
      <c r="B1138" t="str">
        <f>VLOOKUP(A1138,'Customer Names (2)'!A:B, 2,FALSE)</f>
        <v>Ms</v>
      </c>
      <c r="C1138">
        <f>VLOOKUP(A1138,Medical_Examinations[],2,FALSE)</f>
        <v>37.729999999999997</v>
      </c>
      <c r="D1138">
        <f>VLOOKUP(A1138,Medical_Examinations[],3,FALSE)</f>
        <v>7.4</v>
      </c>
      <c r="E1138" t="str">
        <f>VLOOKUP(A1138,Medical_Examinations[],4,FALSE)</f>
        <v>No</v>
      </c>
      <c r="F1138" t="str">
        <f>VLOOKUP(A1138,Medical_Examinations[],5,FALSE)</f>
        <v>No</v>
      </c>
      <c r="G1138" t="str">
        <f>VLOOKUP(A1138,Medical_Examinations[],6,FALSE)</f>
        <v>No</v>
      </c>
      <c r="H1138">
        <f>VLOOKUP(A1138,Medical_Examinations[],7,FALSE)</f>
        <v>0</v>
      </c>
      <c r="I1138" t="str">
        <f>VLOOKUP(A1138,Medical_Examinations[],8,FALSE)</f>
        <v>No</v>
      </c>
      <c r="J1138" t="str">
        <f>VLOOKUP(A1138,Medical_Examinations[],9,FALSE)</f>
        <v>Obesity</v>
      </c>
      <c r="K1138" t="str">
        <f>VLOOKUP(A1138,Medical_Examinations[],10,FALSE)</f>
        <v>Diabetes</v>
      </c>
      <c r="M1138">
        <f>VLOOKUP(A1138,Hospitalisation_Details__2[],4,FALSE)</f>
        <v>9877.61</v>
      </c>
      <c r="N1138" t="str">
        <f>VLOOKUP(A1138,Hospitalisation_Details__2[],5,FALSE)</f>
        <v>tier - 2</v>
      </c>
      <c r="O1138" t="str">
        <f>VLOOKUP(A1138,Hospitalisation_Details__2[],6,FALSE)</f>
        <v>tier - 1</v>
      </c>
      <c r="P1138" t="str">
        <f>VLOOKUP(A1138,Hospitalisation_Details__2[],7,FALSE)</f>
        <v>R1013</v>
      </c>
    </row>
    <row r="1139" spans="1:16" x14ac:dyDescent="0.35">
      <c r="A1139" t="str">
        <v>Id1138</v>
      </c>
      <c r="B1139" t="str">
        <f>VLOOKUP(A1139,'Customer Names (2)'!A:B, 2,FALSE)</f>
        <v>Ms</v>
      </c>
      <c r="C1139">
        <f>VLOOKUP(A1139,Medical_Examinations[],2,FALSE)</f>
        <v>40.659999999999997</v>
      </c>
      <c r="D1139">
        <f>VLOOKUP(A1139,Medical_Examinations[],3,FALSE)</f>
        <v>10.08</v>
      </c>
      <c r="E1139" t="str">
        <f>VLOOKUP(A1139,Medical_Examinations[],4,FALSE)</f>
        <v>No</v>
      </c>
      <c r="F1139" t="str">
        <f>VLOOKUP(A1139,Medical_Examinations[],5,FALSE)</f>
        <v>No</v>
      </c>
      <c r="G1139" t="str">
        <f>VLOOKUP(A1139,Medical_Examinations[],6,FALSE)</f>
        <v>No</v>
      </c>
      <c r="H1139">
        <f>VLOOKUP(A1139,Medical_Examinations[],7,FALSE)</f>
        <v>0</v>
      </c>
      <c r="I1139" t="str">
        <f>VLOOKUP(A1139,Medical_Examinations[],8,FALSE)</f>
        <v>No</v>
      </c>
      <c r="J1139" t="str">
        <f>VLOOKUP(A1139,Medical_Examinations[],9,FALSE)</f>
        <v>Obesity</v>
      </c>
      <c r="K1139" t="str">
        <f>VLOOKUP(A1139,Medical_Examinations[],10,FALSE)</f>
        <v>Diabetes</v>
      </c>
      <c r="M1139">
        <f>VLOOKUP(A1139,Hospitalisation_Details__2[],4,FALSE)</f>
        <v>9875.68</v>
      </c>
      <c r="N1139" t="str">
        <f>VLOOKUP(A1139,Hospitalisation_Details__2[],5,FALSE)</f>
        <v>tier - 2</v>
      </c>
      <c r="O1139" t="str">
        <f>VLOOKUP(A1139,Hospitalisation_Details__2[],6,FALSE)</f>
        <v>tier - 3</v>
      </c>
      <c r="P1139" t="str">
        <f>VLOOKUP(A1139,Hospitalisation_Details__2[],7,FALSE)</f>
        <v>R1024</v>
      </c>
    </row>
    <row r="1140" spans="1:16" x14ac:dyDescent="0.35">
      <c r="A1140" t="str">
        <v>Id1139</v>
      </c>
      <c r="B1140" t="str">
        <f>VLOOKUP(A1140,'Customer Names (2)'!A:B, 2,FALSE)</f>
        <v>Ms</v>
      </c>
      <c r="C1140">
        <f>VLOOKUP(A1140,Medical_Examinations[],2,FALSE)</f>
        <v>34.200000000000003</v>
      </c>
      <c r="D1140">
        <f>VLOOKUP(A1140,Medical_Examinations[],3,FALSE)</f>
        <v>8.58</v>
      </c>
      <c r="E1140" t="str">
        <f>VLOOKUP(A1140,Medical_Examinations[],4,FALSE)</f>
        <v>No</v>
      </c>
      <c r="F1140" t="str">
        <f>VLOOKUP(A1140,Medical_Examinations[],5,FALSE)</f>
        <v>No</v>
      </c>
      <c r="G1140" t="str">
        <f>VLOOKUP(A1140,Medical_Examinations[],6,FALSE)</f>
        <v>No</v>
      </c>
      <c r="H1140">
        <f>VLOOKUP(A1140,Medical_Examinations[],7,FALSE)</f>
        <v>0</v>
      </c>
      <c r="I1140" t="str">
        <f>VLOOKUP(A1140,Medical_Examinations[],8,FALSE)</f>
        <v>No</v>
      </c>
      <c r="J1140" t="str">
        <f>VLOOKUP(A1140,Medical_Examinations[],9,FALSE)</f>
        <v>Obesity</v>
      </c>
      <c r="K1140" t="str">
        <f>VLOOKUP(A1140,Medical_Examinations[],10,FALSE)</f>
        <v>Diabetes</v>
      </c>
      <c r="M1140">
        <f>VLOOKUP(A1140,Hospitalisation_Details__2[],4,FALSE)</f>
        <v>9872.7000000000007</v>
      </c>
      <c r="N1140" t="str">
        <f>VLOOKUP(A1140,Hospitalisation_Details__2[],5,FALSE)</f>
        <v>tier - 2</v>
      </c>
      <c r="O1140" t="str">
        <f>VLOOKUP(A1140,Hospitalisation_Details__2[],6,FALSE)</f>
        <v>tier - 2</v>
      </c>
      <c r="P1140" t="str">
        <f>VLOOKUP(A1140,Hospitalisation_Details__2[],7,FALSE)</f>
        <v>R1011</v>
      </c>
    </row>
    <row r="1141" spans="1:16" x14ac:dyDescent="0.35">
      <c r="A1141" t="str">
        <v>Id1140</v>
      </c>
      <c r="B1141" t="str">
        <f>VLOOKUP(A1141,'Customer Names (2)'!A:B, 2,FALSE)</f>
        <v>Mr</v>
      </c>
      <c r="C1141">
        <f>VLOOKUP(A1141,Medical_Examinations[],2,FALSE)</f>
        <v>46.51</v>
      </c>
      <c r="D1141">
        <f>VLOOKUP(A1141,Medical_Examinations[],3,FALSE)</f>
        <v>5.84</v>
      </c>
      <c r="E1141" t="str">
        <f>VLOOKUP(A1141,Medical_Examinations[],4,FALSE)</f>
        <v>No</v>
      </c>
      <c r="F1141" t="str">
        <f>VLOOKUP(A1141,Medical_Examinations[],5,FALSE)</f>
        <v>No</v>
      </c>
      <c r="G1141" t="str">
        <f>VLOOKUP(A1141,Medical_Examinations[],6,FALSE)</f>
        <v>No</v>
      </c>
      <c r="H1141">
        <f>VLOOKUP(A1141,Medical_Examinations[],7,FALSE)</f>
        <v>1</v>
      </c>
      <c r="I1141" t="str">
        <f>VLOOKUP(A1141,Medical_Examinations[],8,FALSE)</f>
        <v>No</v>
      </c>
      <c r="J1141" t="str">
        <f>VLOOKUP(A1141,Medical_Examinations[],9,FALSE)</f>
        <v>Obesity</v>
      </c>
      <c r="K1141" t="str">
        <f>VLOOKUP(A1141,Medical_Examinations[],10,FALSE)</f>
        <v>Prediabetes</v>
      </c>
      <c r="M1141">
        <f>VLOOKUP(A1141,Hospitalisation_Details__2[],4,FALSE)</f>
        <v>9870.59</v>
      </c>
      <c r="N1141" t="str">
        <f>VLOOKUP(A1141,Hospitalisation_Details__2[],5,FALSE)</f>
        <v>tier - 2</v>
      </c>
      <c r="O1141" t="str">
        <f>VLOOKUP(A1141,Hospitalisation_Details__2[],6,FALSE)</f>
        <v>tier - 2</v>
      </c>
      <c r="P1141" t="str">
        <f>VLOOKUP(A1141,Hospitalisation_Details__2[],7,FALSE)</f>
        <v>R1023</v>
      </c>
    </row>
    <row r="1142" spans="1:16" x14ac:dyDescent="0.35">
      <c r="A1142" t="str">
        <v>Id1141</v>
      </c>
      <c r="B1142" t="str">
        <f>VLOOKUP(A1142,'Customer Names (2)'!A:B, 2,FALSE)</f>
        <v>Mr</v>
      </c>
      <c r="C1142">
        <f>VLOOKUP(A1142,Medical_Examinations[],2,FALSE)</f>
        <v>28.88</v>
      </c>
      <c r="D1142">
        <f>VLOOKUP(A1142,Medical_Examinations[],3,FALSE)</f>
        <v>4.8600000000000003</v>
      </c>
      <c r="E1142" t="str">
        <f>VLOOKUP(A1142,Medical_Examinations[],4,FALSE)</f>
        <v>Yes</v>
      </c>
      <c r="F1142" t="str">
        <f>VLOOKUP(A1142,Medical_Examinations[],5,FALSE)</f>
        <v>No</v>
      </c>
      <c r="G1142" t="str">
        <f>VLOOKUP(A1142,Medical_Examinations[],6,FALSE)</f>
        <v>Yes</v>
      </c>
      <c r="H1142">
        <f>VLOOKUP(A1142,Medical_Examinations[],7,FALSE)</f>
        <v>1</v>
      </c>
      <c r="I1142" t="str">
        <f>VLOOKUP(A1142,Medical_Examinations[],8,FALSE)</f>
        <v>No</v>
      </c>
      <c r="J1142" t="str">
        <f>VLOOKUP(A1142,Medical_Examinations[],9,FALSE)</f>
        <v>Overweight</v>
      </c>
      <c r="K1142" t="str">
        <f>VLOOKUP(A1142,Medical_Examinations[],10,FALSE)</f>
        <v>Normal</v>
      </c>
      <c r="M1142">
        <f>VLOOKUP(A1142,Hospitalisation_Details__2[],4,FALSE)</f>
        <v>9869.81</v>
      </c>
      <c r="N1142" t="str">
        <f>VLOOKUP(A1142,Hospitalisation_Details__2[],5,FALSE)</f>
        <v>tier - 3</v>
      </c>
      <c r="O1142" t="str">
        <f>VLOOKUP(A1142,Hospitalisation_Details__2[],6,FALSE)</f>
        <v>tier - 3</v>
      </c>
      <c r="P1142" t="str">
        <f>VLOOKUP(A1142,Hospitalisation_Details__2[],7,FALSE)</f>
        <v>R1012</v>
      </c>
    </row>
    <row r="1143" spans="1:16" x14ac:dyDescent="0.35">
      <c r="A1143" t="str">
        <v>Id1142</v>
      </c>
      <c r="B1143" t="str">
        <f>VLOOKUP(A1143,'Customer Names (2)'!A:B, 2,FALSE)</f>
        <v>Ms</v>
      </c>
      <c r="C1143">
        <f>VLOOKUP(A1143,Medical_Examinations[],2,FALSE)</f>
        <v>33.914999999999999</v>
      </c>
      <c r="D1143">
        <f>VLOOKUP(A1143,Medical_Examinations[],3,FALSE)</f>
        <v>11.52</v>
      </c>
      <c r="E1143" t="str">
        <f>VLOOKUP(A1143,Medical_Examinations[],4,FALSE)</f>
        <v>No</v>
      </c>
      <c r="F1143" t="str">
        <f>VLOOKUP(A1143,Medical_Examinations[],5,FALSE)</f>
        <v>No</v>
      </c>
      <c r="G1143" t="str">
        <f>VLOOKUP(A1143,Medical_Examinations[],6,FALSE)</f>
        <v>No</v>
      </c>
      <c r="H1143">
        <f>VLOOKUP(A1143,Medical_Examinations[],7,FALSE)</f>
        <v>0</v>
      </c>
      <c r="I1143" t="str">
        <f>VLOOKUP(A1143,Medical_Examinations[],8,FALSE)</f>
        <v>No</v>
      </c>
      <c r="J1143" t="str">
        <f>VLOOKUP(A1143,Medical_Examinations[],9,FALSE)</f>
        <v>Obesity</v>
      </c>
      <c r="K1143" t="str">
        <f>VLOOKUP(A1143,Medical_Examinations[],10,FALSE)</f>
        <v>Diabetes</v>
      </c>
      <c r="M1143">
        <f>VLOOKUP(A1143,Hospitalisation_Details__2[],4,FALSE)</f>
        <v>9866.2999999999993</v>
      </c>
      <c r="N1143" t="str">
        <f>VLOOKUP(A1143,Hospitalisation_Details__2[],5,FALSE)</f>
        <v>tier - 2</v>
      </c>
      <c r="O1143" t="str">
        <f>VLOOKUP(A1143,Hospitalisation_Details__2[],6,FALSE)</f>
        <v>tier - 3</v>
      </c>
      <c r="P1143" t="str">
        <f>VLOOKUP(A1143,Hospitalisation_Details__2[],7,FALSE)</f>
        <v>R1024</v>
      </c>
    </row>
    <row r="1144" spans="1:16" x14ac:dyDescent="0.35">
      <c r="A1144" t="str">
        <v>Id1143</v>
      </c>
      <c r="B1144" t="str">
        <f>VLOOKUP(A1144,'Customer Names (2)'!A:B, 2,FALSE)</f>
        <v>Mr</v>
      </c>
      <c r="C1144">
        <f>VLOOKUP(A1144,Medical_Examinations[],2,FALSE)</f>
        <v>24.32</v>
      </c>
      <c r="D1144">
        <f>VLOOKUP(A1144,Medical_Examinations[],3,FALSE)</f>
        <v>6.15</v>
      </c>
      <c r="E1144" t="str">
        <f>VLOOKUP(A1144,Medical_Examinations[],4,FALSE)</f>
        <v>Yes</v>
      </c>
      <c r="F1144" t="str">
        <f>VLOOKUP(A1144,Medical_Examinations[],5,FALSE)</f>
        <v>No</v>
      </c>
      <c r="G1144" t="str">
        <f>VLOOKUP(A1144,Medical_Examinations[],6,FALSE)</f>
        <v>Yes</v>
      </c>
      <c r="H1144">
        <f>VLOOKUP(A1144,Medical_Examinations[],7,FALSE)</f>
        <v>1</v>
      </c>
      <c r="I1144" t="str">
        <f>VLOOKUP(A1144,Medical_Examinations[],8,FALSE)</f>
        <v>No</v>
      </c>
      <c r="J1144" t="str">
        <f>VLOOKUP(A1144,Medical_Examinations[],9,FALSE)</f>
        <v>Normal Weight</v>
      </c>
      <c r="K1144" t="str">
        <f>VLOOKUP(A1144,Medical_Examinations[],10,FALSE)</f>
        <v>Prediabetes</v>
      </c>
      <c r="M1144">
        <f>VLOOKUP(A1144,Hospitalisation_Details__2[],4,FALSE)</f>
        <v>9863.4699999999993</v>
      </c>
      <c r="N1144" t="str">
        <f>VLOOKUP(A1144,Hospitalisation_Details__2[],5,FALSE)</f>
        <v>tier - 3</v>
      </c>
      <c r="O1144" t="str">
        <f>VLOOKUP(A1144,Hospitalisation_Details__2[],6,FALSE)</f>
        <v>tier - 3</v>
      </c>
      <c r="P1144" t="str">
        <f>VLOOKUP(A1144,Hospitalisation_Details__2[],7,FALSE)</f>
        <v>R1012</v>
      </c>
    </row>
    <row r="1145" spans="1:16" x14ac:dyDescent="0.35">
      <c r="A1145" t="str">
        <v>Id1144</v>
      </c>
      <c r="B1145" t="str">
        <f>VLOOKUP(A1145,'Customer Names (2)'!A:B, 2,FALSE)</f>
        <v>Ms</v>
      </c>
      <c r="C1145">
        <f>VLOOKUP(A1145,Medical_Examinations[],2,FALSE)</f>
        <v>25.8</v>
      </c>
      <c r="D1145">
        <f>VLOOKUP(A1145,Medical_Examinations[],3,FALSE)</f>
        <v>9.94</v>
      </c>
      <c r="E1145" t="str">
        <f>VLOOKUP(A1145,Medical_Examinations[],4,FALSE)</f>
        <v>No</v>
      </c>
      <c r="F1145" t="str">
        <f>VLOOKUP(A1145,Medical_Examinations[],5,FALSE)</f>
        <v>No</v>
      </c>
      <c r="G1145" t="str">
        <f>VLOOKUP(A1145,Medical_Examinations[],6,FALSE)</f>
        <v>No</v>
      </c>
      <c r="H1145">
        <f>VLOOKUP(A1145,Medical_Examinations[],7,FALSE)</f>
        <v>0</v>
      </c>
      <c r="I1145" t="str">
        <f>VLOOKUP(A1145,Medical_Examinations[],8,FALSE)</f>
        <v>No</v>
      </c>
      <c r="J1145" t="str">
        <f>VLOOKUP(A1145,Medical_Examinations[],9,FALSE)</f>
        <v>Overweight</v>
      </c>
      <c r="K1145" t="str">
        <f>VLOOKUP(A1145,Medical_Examinations[],10,FALSE)</f>
        <v>Diabetes</v>
      </c>
      <c r="M1145">
        <f>VLOOKUP(A1145,Hospitalisation_Details__2[],4,FALSE)</f>
        <v>9861.0300000000007</v>
      </c>
      <c r="N1145" t="str">
        <f>VLOOKUP(A1145,Hospitalisation_Details__2[],5,FALSE)</f>
        <v>tier - 2</v>
      </c>
      <c r="O1145" t="str">
        <f>VLOOKUP(A1145,Hospitalisation_Details__2[],6,FALSE)</f>
        <v>tier - 2</v>
      </c>
      <c r="P1145" t="str">
        <f>VLOOKUP(A1145,Hospitalisation_Details__2[],7,FALSE)</f>
        <v>R1011</v>
      </c>
    </row>
    <row r="1146" spans="1:16" x14ac:dyDescent="0.35">
      <c r="A1146" t="str">
        <v>Id1145</v>
      </c>
      <c r="B1146" t="str">
        <f>VLOOKUP(A1146,'Customer Names (2)'!A:B, 2,FALSE)</f>
        <v>Ms</v>
      </c>
      <c r="C1146">
        <f>VLOOKUP(A1146,Medical_Examinations[],2,FALSE)</f>
        <v>21.56</v>
      </c>
      <c r="D1146">
        <f>VLOOKUP(A1146,Medical_Examinations[],3,FALSE)</f>
        <v>10.56</v>
      </c>
      <c r="E1146" t="str">
        <f>VLOOKUP(A1146,Medical_Examinations[],4,FALSE)</f>
        <v>No</v>
      </c>
      <c r="F1146" t="str">
        <f>VLOOKUP(A1146,Medical_Examinations[],5,FALSE)</f>
        <v>No</v>
      </c>
      <c r="G1146" t="str">
        <f>VLOOKUP(A1146,Medical_Examinations[],6,FALSE)</f>
        <v>No</v>
      </c>
      <c r="H1146">
        <f>VLOOKUP(A1146,Medical_Examinations[],7,FALSE)</f>
        <v>0</v>
      </c>
      <c r="I1146" t="str">
        <f>VLOOKUP(A1146,Medical_Examinations[],8,FALSE)</f>
        <v>No</v>
      </c>
      <c r="J1146" t="str">
        <f>VLOOKUP(A1146,Medical_Examinations[],9,FALSE)</f>
        <v>Normal Weight</v>
      </c>
      <c r="K1146" t="str">
        <f>VLOOKUP(A1146,Medical_Examinations[],10,FALSE)</f>
        <v>Diabetes</v>
      </c>
      <c r="M1146">
        <f>VLOOKUP(A1146,Hospitalisation_Details__2[],4,FALSE)</f>
        <v>9855.1299999999992</v>
      </c>
      <c r="N1146" t="str">
        <f>VLOOKUP(A1146,Hospitalisation_Details__2[],5,FALSE)</f>
        <v>tier - 2</v>
      </c>
      <c r="O1146" t="str">
        <f>VLOOKUP(A1146,Hospitalisation_Details__2[],6,FALSE)</f>
        <v>tier - 3</v>
      </c>
      <c r="P1146" t="str">
        <f>VLOOKUP(A1146,Hospitalisation_Details__2[],7,FALSE)</f>
        <v>R1013</v>
      </c>
    </row>
    <row r="1147" spans="1:16" x14ac:dyDescent="0.35">
      <c r="A1147" t="str">
        <v>Id1146</v>
      </c>
      <c r="B1147" t="str">
        <f>VLOOKUP(A1147,'Customer Names (2)'!A:B, 2,FALSE)</f>
        <v>Mr</v>
      </c>
      <c r="C1147">
        <f>VLOOKUP(A1147,Medical_Examinations[],2,FALSE)</f>
        <v>31.6</v>
      </c>
      <c r="D1147">
        <f>VLOOKUP(A1147,Medical_Examinations[],3,FALSE)</f>
        <v>6.79</v>
      </c>
      <c r="E1147" t="str">
        <f>VLOOKUP(A1147,Medical_Examinations[],4,FALSE)</f>
        <v>No</v>
      </c>
      <c r="F1147" t="str">
        <f>VLOOKUP(A1147,Medical_Examinations[],5,FALSE)</f>
        <v>No</v>
      </c>
      <c r="G1147" t="str">
        <f>VLOOKUP(A1147,Medical_Examinations[],6,FALSE)</f>
        <v>No</v>
      </c>
      <c r="H1147">
        <f>VLOOKUP(A1147,Medical_Examinations[],7,FALSE)</f>
        <v>0</v>
      </c>
      <c r="I1147" t="str">
        <f>VLOOKUP(A1147,Medical_Examinations[],8,FALSE)</f>
        <v>No</v>
      </c>
      <c r="J1147" t="str">
        <f>VLOOKUP(A1147,Medical_Examinations[],9,FALSE)</f>
        <v>Obesity</v>
      </c>
      <c r="K1147" t="str">
        <f>VLOOKUP(A1147,Medical_Examinations[],10,FALSE)</f>
        <v>Diabetes</v>
      </c>
      <c r="M1147">
        <f>VLOOKUP(A1147,Hospitalisation_Details__2[],4,FALSE)</f>
        <v>9850.43</v>
      </c>
      <c r="N1147" t="str">
        <f>VLOOKUP(A1147,Hospitalisation_Details__2[],5,FALSE)</f>
        <v>tier - 3</v>
      </c>
      <c r="O1147" t="str">
        <f>VLOOKUP(A1147,Hospitalisation_Details__2[],6,FALSE)</f>
        <v>tier - 3</v>
      </c>
      <c r="P1147" t="str">
        <f>VLOOKUP(A1147,Hospitalisation_Details__2[],7,FALSE)</f>
        <v>R1011</v>
      </c>
    </row>
    <row r="1148" spans="1:16" x14ac:dyDescent="0.35">
      <c r="A1148" t="str">
        <v>Id1147</v>
      </c>
      <c r="B1148" t="str">
        <f>VLOOKUP(A1148,'Customer Names (2)'!A:B, 2,FALSE)</f>
        <v>Mr</v>
      </c>
      <c r="C1148">
        <f>VLOOKUP(A1148,Medical_Examinations[],2,FALSE)</f>
        <v>42.93</v>
      </c>
      <c r="D1148">
        <f>VLOOKUP(A1148,Medical_Examinations[],3,FALSE)</f>
        <v>4.8</v>
      </c>
      <c r="E1148" t="str">
        <f>VLOOKUP(A1148,Medical_Examinations[],4,FALSE)</f>
        <v>No</v>
      </c>
      <c r="F1148" t="str">
        <f>VLOOKUP(A1148,Medical_Examinations[],5,FALSE)</f>
        <v>No</v>
      </c>
      <c r="G1148" t="str">
        <f>VLOOKUP(A1148,Medical_Examinations[],6,FALSE)</f>
        <v>No</v>
      </c>
      <c r="H1148">
        <f>VLOOKUP(A1148,Medical_Examinations[],7,FALSE)</f>
        <v>1</v>
      </c>
      <c r="I1148" t="str">
        <f>VLOOKUP(A1148,Medical_Examinations[],8,FALSE)</f>
        <v>No</v>
      </c>
      <c r="J1148" t="str">
        <f>VLOOKUP(A1148,Medical_Examinations[],9,FALSE)</f>
        <v>Obesity</v>
      </c>
      <c r="K1148" t="str">
        <f>VLOOKUP(A1148,Medical_Examinations[],10,FALSE)</f>
        <v>Normal</v>
      </c>
      <c r="M1148">
        <f>VLOOKUP(A1148,Hospitalisation_Details__2[],4,FALSE)</f>
        <v>9844.4500000000007</v>
      </c>
      <c r="N1148" t="str">
        <f>VLOOKUP(A1148,Hospitalisation_Details__2[],5,FALSE)</f>
        <v>tier - 2</v>
      </c>
      <c r="O1148" t="str">
        <f>VLOOKUP(A1148,Hospitalisation_Details__2[],6,FALSE)</f>
        <v>tier - 1</v>
      </c>
      <c r="P1148" t="str">
        <f>VLOOKUP(A1148,Hospitalisation_Details__2[],7,FALSE)</f>
        <v>R1012</v>
      </c>
    </row>
    <row r="1149" spans="1:16" x14ac:dyDescent="0.35">
      <c r="A1149" t="str">
        <v>Id1148</v>
      </c>
      <c r="B1149" t="str">
        <f>VLOOKUP(A1149,'Customer Names (2)'!A:B, 2,FALSE)</f>
        <v>Mr</v>
      </c>
      <c r="C1149">
        <f>VLOOKUP(A1149,Medical_Examinations[],2,FALSE)</f>
        <v>26.72</v>
      </c>
      <c r="D1149">
        <f>VLOOKUP(A1149,Medical_Examinations[],3,FALSE)</f>
        <v>5.75</v>
      </c>
      <c r="E1149" t="str">
        <f>VLOOKUP(A1149,Medical_Examinations[],4,FALSE)</f>
        <v>No</v>
      </c>
      <c r="F1149" t="str">
        <f>VLOOKUP(A1149,Medical_Examinations[],5,FALSE)</f>
        <v>No</v>
      </c>
      <c r="G1149" t="str">
        <f>VLOOKUP(A1149,Medical_Examinations[],6,FALSE)</f>
        <v>No</v>
      </c>
      <c r="H1149">
        <f>VLOOKUP(A1149,Medical_Examinations[],7,FALSE)</f>
        <v>2</v>
      </c>
      <c r="I1149" t="str">
        <f>VLOOKUP(A1149,Medical_Examinations[],8,FALSE)</f>
        <v>No</v>
      </c>
      <c r="J1149" t="str">
        <f>VLOOKUP(A1149,Medical_Examinations[],9,FALSE)</f>
        <v>Overweight</v>
      </c>
      <c r="K1149" t="str">
        <f>VLOOKUP(A1149,Medical_Examinations[],10,FALSE)</f>
        <v>Prediabetes</v>
      </c>
      <c r="M1149">
        <f>VLOOKUP(A1149,Hospitalisation_Details__2[],4,FALSE)</f>
        <v>9836.2099999999991</v>
      </c>
      <c r="N1149" t="str">
        <f>VLOOKUP(A1149,Hospitalisation_Details__2[],5,FALSE)</f>
        <v>tier - 2</v>
      </c>
      <c r="O1149" t="str">
        <f>VLOOKUP(A1149,Hospitalisation_Details__2[],6,FALSE)</f>
        <v>tier - 3</v>
      </c>
      <c r="P1149" t="str">
        <f>VLOOKUP(A1149,Hospitalisation_Details__2[],7,FALSE)</f>
        <v>R1021</v>
      </c>
    </row>
    <row r="1150" spans="1:16" x14ac:dyDescent="0.35">
      <c r="A1150" t="str">
        <v>Id1149</v>
      </c>
      <c r="B1150" t="str">
        <f>VLOOKUP(A1150,'Customer Names (2)'!A:B, 2,FALSE)</f>
        <v>Mr</v>
      </c>
      <c r="C1150">
        <f>VLOOKUP(A1150,Medical_Examinations[],2,FALSE)</f>
        <v>26.67</v>
      </c>
      <c r="D1150">
        <f>VLOOKUP(A1150,Medical_Examinations[],3,FALSE)</f>
        <v>5.81</v>
      </c>
      <c r="E1150" t="str">
        <f>VLOOKUP(A1150,Medical_Examinations[],4,FALSE)</f>
        <v>No</v>
      </c>
      <c r="F1150" t="str">
        <f>VLOOKUP(A1150,Medical_Examinations[],5,FALSE)</f>
        <v>No</v>
      </c>
      <c r="G1150" t="str">
        <f>VLOOKUP(A1150,Medical_Examinations[],6,FALSE)</f>
        <v>No</v>
      </c>
      <c r="H1150">
        <f>VLOOKUP(A1150,Medical_Examinations[],7,FALSE)</f>
        <v>2</v>
      </c>
      <c r="I1150" t="str">
        <f>VLOOKUP(A1150,Medical_Examinations[],8,FALSE)</f>
        <v>No</v>
      </c>
      <c r="J1150" t="str">
        <f>VLOOKUP(A1150,Medical_Examinations[],9,FALSE)</f>
        <v>Overweight</v>
      </c>
      <c r="K1150" t="str">
        <f>VLOOKUP(A1150,Medical_Examinations[],10,FALSE)</f>
        <v>Prediabetes</v>
      </c>
      <c r="M1150">
        <f>VLOOKUP(A1150,Hospitalisation_Details__2[],4,FALSE)</f>
        <v>9819.25</v>
      </c>
      <c r="N1150" t="str">
        <f>VLOOKUP(A1150,Hospitalisation_Details__2[],5,FALSE)</f>
        <v>tier - 2</v>
      </c>
      <c r="O1150" t="str">
        <f>VLOOKUP(A1150,Hospitalisation_Details__2[],6,FALSE)</f>
        <v>tier - 2</v>
      </c>
      <c r="P1150" t="str">
        <f>VLOOKUP(A1150,Hospitalisation_Details__2[],7,FALSE)</f>
        <v>R1021</v>
      </c>
    </row>
    <row r="1151" spans="1:16" x14ac:dyDescent="0.35">
      <c r="A1151" t="str">
        <v>Id1150</v>
      </c>
      <c r="B1151" t="str">
        <f>VLOOKUP(A1151,'Customer Names (2)'!A:B, 2,FALSE)</f>
        <v>Ms</v>
      </c>
      <c r="C1151">
        <f>VLOOKUP(A1151,Medical_Examinations[],2,FALSE)</f>
        <v>42.68</v>
      </c>
      <c r="D1151">
        <f>VLOOKUP(A1151,Medical_Examinations[],3,FALSE)</f>
        <v>9.2799999999999994</v>
      </c>
      <c r="E1151" t="str">
        <f>VLOOKUP(A1151,Medical_Examinations[],4,FALSE)</f>
        <v>No</v>
      </c>
      <c r="F1151" t="str">
        <f>VLOOKUP(A1151,Medical_Examinations[],5,FALSE)</f>
        <v>No</v>
      </c>
      <c r="G1151" t="str">
        <f>VLOOKUP(A1151,Medical_Examinations[],6,FALSE)</f>
        <v>No</v>
      </c>
      <c r="H1151">
        <f>VLOOKUP(A1151,Medical_Examinations[],7,FALSE)</f>
        <v>2</v>
      </c>
      <c r="I1151" t="str">
        <f>VLOOKUP(A1151,Medical_Examinations[],8,FALSE)</f>
        <v>No</v>
      </c>
      <c r="J1151" t="str">
        <f>VLOOKUP(A1151,Medical_Examinations[],9,FALSE)</f>
        <v>Obesity</v>
      </c>
      <c r="K1151" t="str">
        <f>VLOOKUP(A1151,Medical_Examinations[],10,FALSE)</f>
        <v>Diabetes</v>
      </c>
      <c r="M1151">
        <f>VLOOKUP(A1151,Hospitalisation_Details__2[],4,FALSE)</f>
        <v>9800.89</v>
      </c>
      <c r="N1151" t="str">
        <f>VLOOKUP(A1151,Hospitalisation_Details__2[],5,FALSE)</f>
        <v>tier - 2</v>
      </c>
      <c r="O1151" t="str">
        <f>VLOOKUP(A1151,Hospitalisation_Details__2[],6,FALSE)</f>
        <v>tier - 1</v>
      </c>
      <c r="P1151" t="str">
        <f>VLOOKUP(A1151,Hospitalisation_Details__2[],7,FALSE)</f>
        <v>R1013</v>
      </c>
    </row>
    <row r="1152" spans="1:16" x14ac:dyDescent="0.35">
      <c r="A1152" t="str">
        <v>Id1151</v>
      </c>
      <c r="B1152" t="str">
        <f>VLOOKUP(A1152,'Customer Names (2)'!A:B, 2,FALSE)</f>
        <v>Mr</v>
      </c>
      <c r="C1152">
        <f>VLOOKUP(A1152,Medical_Examinations[],2,FALSE)</f>
        <v>24.31</v>
      </c>
      <c r="D1152">
        <f>VLOOKUP(A1152,Medical_Examinations[],3,FALSE)</f>
        <v>6.37</v>
      </c>
      <c r="E1152" t="str">
        <f>VLOOKUP(A1152,Medical_Examinations[],4,FALSE)</f>
        <v>No</v>
      </c>
      <c r="F1152" t="str">
        <f>VLOOKUP(A1152,Medical_Examinations[],5,FALSE)</f>
        <v>No</v>
      </c>
      <c r="G1152" t="str">
        <f>VLOOKUP(A1152,Medical_Examinations[],6,FALSE)</f>
        <v>No</v>
      </c>
      <c r="H1152">
        <f>VLOOKUP(A1152,Medical_Examinations[],7,FALSE)</f>
        <v>0</v>
      </c>
      <c r="I1152" t="str">
        <f>VLOOKUP(A1152,Medical_Examinations[],8,FALSE)</f>
        <v>No</v>
      </c>
      <c r="J1152" t="str">
        <f>VLOOKUP(A1152,Medical_Examinations[],9,FALSE)</f>
        <v>Normal Weight</v>
      </c>
      <c r="K1152" t="str">
        <f>VLOOKUP(A1152,Medical_Examinations[],10,FALSE)</f>
        <v>Prediabetes</v>
      </c>
      <c r="M1152">
        <f>VLOOKUP(A1152,Hospitalisation_Details__2[],4,FALSE)</f>
        <v>9788.8700000000008</v>
      </c>
      <c r="N1152" t="str">
        <f>VLOOKUP(A1152,Hospitalisation_Details__2[],5,FALSE)</f>
        <v>tier - 3</v>
      </c>
      <c r="O1152" t="str">
        <f>VLOOKUP(A1152,Hospitalisation_Details__2[],6,FALSE)</f>
        <v>tier - 2</v>
      </c>
      <c r="P1152" t="str">
        <f>VLOOKUP(A1152,Hospitalisation_Details__2[],7,FALSE)</f>
        <v>R1013</v>
      </c>
    </row>
    <row r="1153" spans="1:16" x14ac:dyDescent="0.35">
      <c r="A1153" t="str">
        <v>Id1152</v>
      </c>
      <c r="B1153" t="str">
        <f>VLOOKUP(A1153,'Customer Names (2)'!A:B, 2,FALSE)</f>
        <v>Mr</v>
      </c>
      <c r="C1153">
        <f>VLOOKUP(A1153,Medical_Examinations[],2,FALSE)</f>
        <v>44.75</v>
      </c>
      <c r="D1153">
        <f>VLOOKUP(A1153,Medical_Examinations[],3,FALSE)</f>
        <v>5.09</v>
      </c>
      <c r="E1153" t="str">
        <f>VLOOKUP(A1153,Medical_Examinations[],4,FALSE)</f>
        <v>Yes</v>
      </c>
      <c r="F1153" t="str">
        <f>VLOOKUP(A1153,Medical_Examinations[],5,FALSE)</f>
        <v>No</v>
      </c>
      <c r="G1153" t="str">
        <f>VLOOKUP(A1153,Medical_Examinations[],6,FALSE)</f>
        <v>No</v>
      </c>
      <c r="H1153">
        <f>VLOOKUP(A1153,Medical_Examinations[],7,FALSE)</f>
        <v>0</v>
      </c>
      <c r="I1153" t="str">
        <f>VLOOKUP(A1153,Medical_Examinations[],8,FALSE)</f>
        <v>No</v>
      </c>
      <c r="J1153" t="str">
        <f>VLOOKUP(A1153,Medical_Examinations[],9,FALSE)</f>
        <v>Obesity</v>
      </c>
      <c r="K1153" t="str">
        <f>VLOOKUP(A1153,Medical_Examinations[],10,FALSE)</f>
        <v>Normal</v>
      </c>
      <c r="M1153">
        <f>VLOOKUP(A1153,Hospitalisation_Details__2[],4,FALSE)</f>
        <v>9787.32</v>
      </c>
      <c r="N1153" t="str">
        <f>VLOOKUP(A1153,Hospitalisation_Details__2[],5,FALSE)</f>
        <v>tier - 2</v>
      </c>
      <c r="O1153" t="str">
        <f>VLOOKUP(A1153,Hospitalisation_Details__2[],6,FALSE)</f>
        <v>tier - 3</v>
      </c>
      <c r="P1153" t="str">
        <f>VLOOKUP(A1153,Hospitalisation_Details__2[],7,FALSE)</f>
        <v>R1023</v>
      </c>
    </row>
    <row r="1154" spans="1:16" x14ac:dyDescent="0.35">
      <c r="A1154" t="str">
        <v>Id1153</v>
      </c>
      <c r="B1154" t="str">
        <f>VLOOKUP(A1154,'Customer Names (2)'!A:B, 2,FALSE)</f>
        <v>Ms</v>
      </c>
      <c r="C1154">
        <f>VLOOKUP(A1154,Medical_Examinations[],2,FALSE)</f>
        <v>30.78</v>
      </c>
      <c r="D1154">
        <f>VLOOKUP(A1154,Medical_Examinations[],3,FALSE)</f>
        <v>7.94</v>
      </c>
      <c r="E1154" t="str">
        <f>VLOOKUP(A1154,Medical_Examinations[],4,FALSE)</f>
        <v>No</v>
      </c>
      <c r="F1154" t="str">
        <f>VLOOKUP(A1154,Medical_Examinations[],5,FALSE)</f>
        <v>No</v>
      </c>
      <c r="G1154" t="str">
        <f>VLOOKUP(A1154,Medical_Examinations[],6,FALSE)</f>
        <v>No</v>
      </c>
      <c r="H1154">
        <f>VLOOKUP(A1154,Medical_Examinations[],7,FALSE)</f>
        <v>2</v>
      </c>
      <c r="I1154" t="str">
        <f>VLOOKUP(A1154,Medical_Examinations[],8,FALSE)</f>
        <v>No</v>
      </c>
      <c r="J1154" t="str">
        <f>VLOOKUP(A1154,Medical_Examinations[],9,FALSE)</f>
        <v>Obesity</v>
      </c>
      <c r="K1154" t="str">
        <f>VLOOKUP(A1154,Medical_Examinations[],10,FALSE)</f>
        <v>Diabetes</v>
      </c>
      <c r="M1154">
        <f>VLOOKUP(A1154,Hospitalisation_Details__2[],4,FALSE)</f>
        <v>9778.35</v>
      </c>
      <c r="N1154" t="str">
        <f>VLOOKUP(A1154,Hospitalisation_Details__2[],5,FALSE)</f>
        <v>tier - 2</v>
      </c>
      <c r="O1154" t="str">
        <f>VLOOKUP(A1154,Hospitalisation_Details__2[],6,FALSE)</f>
        <v>tier - 2</v>
      </c>
      <c r="P1154" t="str">
        <f>VLOOKUP(A1154,Hospitalisation_Details__2[],7,FALSE)</f>
        <v>R1024</v>
      </c>
    </row>
    <row r="1155" spans="1:16" x14ac:dyDescent="0.35">
      <c r="A1155" t="str">
        <v>Id1154</v>
      </c>
      <c r="B1155" t="str">
        <f>VLOOKUP(A1155,'Customer Names (2)'!A:B, 2,FALSE)</f>
        <v>Ms</v>
      </c>
      <c r="C1155">
        <f>VLOOKUP(A1155,Medical_Examinations[],2,FALSE)</f>
        <v>21.86</v>
      </c>
      <c r="D1155">
        <f>VLOOKUP(A1155,Medical_Examinations[],3,FALSE)</f>
        <v>10.95</v>
      </c>
      <c r="E1155" t="str">
        <f>VLOOKUP(A1155,Medical_Examinations[],4,FALSE)</f>
        <v>No</v>
      </c>
      <c r="F1155" t="str">
        <f>VLOOKUP(A1155,Medical_Examinations[],5,FALSE)</f>
        <v>No</v>
      </c>
      <c r="G1155" t="str">
        <f>VLOOKUP(A1155,Medical_Examinations[],6,FALSE)</f>
        <v>No</v>
      </c>
      <c r="H1155">
        <f>VLOOKUP(A1155,Medical_Examinations[],7,FALSE)</f>
        <v>0</v>
      </c>
      <c r="I1155" t="str">
        <f>VLOOKUP(A1155,Medical_Examinations[],8,FALSE)</f>
        <v>No</v>
      </c>
      <c r="J1155" t="str">
        <f>VLOOKUP(A1155,Medical_Examinations[],9,FALSE)</f>
        <v>Normal Weight</v>
      </c>
      <c r="K1155" t="str">
        <f>VLOOKUP(A1155,Medical_Examinations[],10,FALSE)</f>
        <v>Diabetes</v>
      </c>
      <c r="M1155">
        <f>VLOOKUP(A1155,Hospitalisation_Details__2[],4,FALSE)</f>
        <v>9764.08</v>
      </c>
      <c r="N1155" t="str">
        <f>VLOOKUP(A1155,Hospitalisation_Details__2[],5,FALSE)</f>
        <v>tier - 3</v>
      </c>
      <c r="O1155" t="str">
        <f>VLOOKUP(A1155,Hospitalisation_Details__2[],6,FALSE)</f>
        <v>tier - 1</v>
      </c>
      <c r="P1155" t="str">
        <f>VLOOKUP(A1155,Hospitalisation_Details__2[],7,FALSE)</f>
        <v>R1012</v>
      </c>
    </row>
    <row r="1156" spans="1:16" x14ac:dyDescent="0.35">
      <c r="A1156" t="str">
        <v>Id1155</v>
      </c>
      <c r="B1156" t="str">
        <f>VLOOKUP(A1156,'Customer Names (2)'!A:B, 2,FALSE)</f>
        <v>Ms</v>
      </c>
      <c r="C1156">
        <f>VLOOKUP(A1156,Medical_Examinations[],2,FALSE)</f>
        <v>49.09</v>
      </c>
      <c r="D1156">
        <f>VLOOKUP(A1156,Medical_Examinations[],3,FALSE)</f>
        <v>6.3</v>
      </c>
      <c r="E1156" t="str">
        <f>VLOOKUP(A1156,Medical_Examinations[],4,FALSE)</f>
        <v>Yes</v>
      </c>
      <c r="F1156" t="str">
        <f>VLOOKUP(A1156,Medical_Examinations[],5,FALSE)</f>
        <v>No</v>
      </c>
      <c r="G1156" t="str">
        <f>VLOOKUP(A1156,Medical_Examinations[],6,FALSE)</f>
        <v>No</v>
      </c>
      <c r="H1156">
        <f>VLOOKUP(A1156,Medical_Examinations[],7,FALSE)</f>
        <v>0</v>
      </c>
      <c r="I1156" t="str">
        <f>VLOOKUP(A1156,Medical_Examinations[],8,FALSE)</f>
        <v>No</v>
      </c>
      <c r="J1156" t="str">
        <f>VLOOKUP(A1156,Medical_Examinations[],9,FALSE)</f>
        <v>Obesity</v>
      </c>
      <c r="K1156" t="str">
        <f>VLOOKUP(A1156,Medical_Examinations[],10,FALSE)</f>
        <v>Prediabetes</v>
      </c>
      <c r="M1156">
        <f>VLOOKUP(A1156,Hospitalisation_Details__2[],4,FALSE)</f>
        <v>9753.49</v>
      </c>
      <c r="N1156" t="str">
        <f>VLOOKUP(A1156,Hospitalisation_Details__2[],5,FALSE)</f>
        <v>tier - 2</v>
      </c>
      <c r="O1156" t="str">
        <f>VLOOKUP(A1156,Hospitalisation_Details__2[],6,FALSE)</f>
        <v>tier - 2</v>
      </c>
      <c r="P1156" t="str">
        <f>VLOOKUP(A1156,Hospitalisation_Details__2[],7,FALSE)</f>
        <v>R1012</v>
      </c>
    </row>
    <row r="1157" spans="1:16" x14ac:dyDescent="0.35">
      <c r="A1157" t="str">
        <v>Id1156</v>
      </c>
      <c r="B1157" t="str">
        <f>VLOOKUP(A1157,'Customer Names (2)'!A:B, 2,FALSE)</f>
        <v>Mr</v>
      </c>
      <c r="C1157">
        <f>VLOOKUP(A1157,Medical_Examinations[],2,FALSE)</f>
        <v>47.74</v>
      </c>
      <c r="D1157">
        <f>VLOOKUP(A1157,Medical_Examinations[],3,FALSE)</f>
        <v>8.0500000000000007</v>
      </c>
      <c r="E1157" t="str">
        <f>VLOOKUP(A1157,Medical_Examinations[],4,FALSE)</f>
        <v>Yes</v>
      </c>
      <c r="F1157" t="str">
        <f>VLOOKUP(A1157,Medical_Examinations[],5,FALSE)</f>
        <v>No</v>
      </c>
      <c r="G1157" t="str">
        <f>VLOOKUP(A1157,Medical_Examinations[],6,FALSE)</f>
        <v>No</v>
      </c>
      <c r="H1157">
        <f>VLOOKUP(A1157,Medical_Examinations[],7,FALSE)</f>
        <v>2</v>
      </c>
      <c r="I1157" t="str">
        <f>VLOOKUP(A1157,Medical_Examinations[],8,FALSE)</f>
        <v>No</v>
      </c>
      <c r="J1157" t="str">
        <f>VLOOKUP(A1157,Medical_Examinations[],9,FALSE)</f>
        <v>Obesity</v>
      </c>
      <c r="K1157" t="str">
        <f>VLOOKUP(A1157,Medical_Examinations[],10,FALSE)</f>
        <v>Diabetes</v>
      </c>
      <c r="M1157">
        <f>VLOOKUP(A1157,Hospitalisation_Details__2[],4,FALSE)</f>
        <v>9748.91</v>
      </c>
      <c r="N1157" t="str">
        <f>VLOOKUP(A1157,Hospitalisation_Details__2[],5,FALSE)</f>
        <v>tier - 2</v>
      </c>
      <c r="O1157" t="str">
        <f>VLOOKUP(A1157,Hospitalisation_Details__2[],6,FALSE)</f>
        <v>tier - 1</v>
      </c>
      <c r="P1157" t="str">
        <f>VLOOKUP(A1157,Hospitalisation_Details__2[],7,FALSE)</f>
        <v>R1013</v>
      </c>
    </row>
    <row r="1158" spans="1:16" x14ac:dyDescent="0.35">
      <c r="A1158" t="str">
        <v>Id1157</v>
      </c>
      <c r="B1158" t="str">
        <f>VLOOKUP(A1158,'Customer Names (2)'!A:B, 2,FALSE)</f>
        <v>Mr</v>
      </c>
      <c r="C1158">
        <f>VLOOKUP(A1158,Medical_Examinations[],2,FALSE)</f>
        <v>30.2</v>
      </c>
      <c r="D1158">
        <f>VLOOKUP(A1158,Medical_Examinations[],3,FALSE)</f>
        <v>9.8800000000000008</v>
      </c>
      <c r="E1158" t="str">
        <f>VLOOKUP(A1158,Medical_Examinations[],4,FALSE)</f>
        <v>Yes</v>
      </c>
      <c r="F1158" t="str">
        <f>VLOOKUP(A1158,Medical_Examinations[],5,FALSE)</f>
        <v>No</v>
      </c>
      <c r="G1158" t="str">
        <f>VLOOKUP(A1158,Medical_Examinations[],6,FALSE)</f>
        <v>No</v>
      </c>
      <c r="H1158">
        <f>VLOOKUP(A1158,Medical_Examinations[],7,FALSE)</f>
        <v>2</v>
      </c>
      <c r="I1158" t="str">
        <f>VLOOKUP(A1158,Medical_Examinations[],8,FALSE)</f>
        <v>No</v>
      </c>
      <c r="J1158" t="str">
        <f>VLOOKUP(A1158,Medical_Examinations[],9,FALSE)</f>
        <v>Obesity</v>
      </c>
      <c r="K1158" t="str">
        <f>VLOOKUP(A1158,Medical_Examinations[],10,FALSE)</f>
        <v>Diabetes</v>
      </c>
      <c r="M1158">
        <f>VLOOKUP(A1158,Hospitalisation_Details__2[],4,FALSE)</f>
        <v>9724.5300000000007</v>
      </c>
      <c r="N1158" t="str">
        <f>VLOOKUP(A1158,Hospitalisation_Details__2[],5,FALSE)</f>
        <v>tier - 3</v>
      </c>
      <c r="O1158" t="str">
        <f>VLOOKUP(A1158,Hospitalisation_Details__2[],6,FALSE)</f>
        <v>tier - 1</v>
      </c>
      <c r="P1158" t="str">
        <f>VLOOKUP(A1158,Hospitalisation_Details__2[],7,FALSE)</f>
        <v>R1011</v>
      </c>
    </row>
    <row r="1159" spans="1:16" x14ac:dyDescent="0.35">
      <c r="A1159" t="str">
        <v>Id1158</v>
      </c>
      <c r="B1159" t="str">
        <f>VLOOKUP(A1159,'Customer Names (2)'!A:B, 2,FALSE)</f>
        <v>Mr</v>
      </c>
      <c r="C1159">
        <f>VLOOKUP(A1159,Medical_Examinations[],2,FALSE)</f>
        <v>33.25</v>
      </c>
      <c r="D1159">
        <f>VLOOKUP(A1159,Medical_Examinations[],3,FALSE)</f>
        <v>7.42</v>
      </c>
      <c r="E1159" t="str">
        <f>VLOOKUP(A1159,Medical_Examinations[],4,FALSE)</f>
        <v>Yes</v>
      </c>
      <c r="F1159" t="str">
        <f>VLOOKUP(A1159,Medical_Examinations[],5,FALSE)</f>
        <v>No</v>
      </c>
      <c r="G1159" t="str">
        <f>VLOOKUP(A1159,Medical_Examinations[],6,FALSE)</f>
        <v>No</v>
      </c>
      <c r="H1159">
        <f>VLOOKUP(A1159,Medical_Examinations[],7,FALSE)</f>
        <v>2</v>
      </c>
      <c r="I1159" t="str">
        <f>VLOOKUP(A1159,Medical_Examinations[],8,FALSE)</f>
        <v>No</v>
      </c>
      <c r="J1159" t="str">
        <f>VLOOKUP(A1159,Medical_Examinations[],9,FALSE)</f>
        <v>Obesity</v>
      </c>
      <c r="K1159" t="str">
        <f>VLOOKUP(A1159,Medical_Examinations[],10,FALSE)</f>
        <v>Diabetes</v>
      </c>
      <c r="M1159">
        <f>VLOOKUP(A1159,Hospitalisation_Details__2[],4,FALSE)</f>
        <v>9722.77</v>
      </c>
      <c r="N1159" t="str">
        <f>VLOOKUP(A1159,Hospitalisation_Details__2[],5,FALSE)</f>
        <v>tier - 3</v>
      </c>
      <c r="O1159" t="str">
        <f>VLOOKUP(A1159,Hospitalisation_Details__2[],6,FALSE)</f>
        <v>tier - 1</v>
      </c>
      <c r="P1159" t="str">
        <f>VLOOKUP(A1159,Hospitalisation_Details__2[],7,FALSE)</f>
        <v>R1016</v>
      </c>
    </row>
    <row r="1160" spans="1:16" x14ac:dyDescent="0.35">
      <c r="A1160" t="str">
        <v>Id1159</v>
      </c>
      <c r="B1160" t="str">
        <f>VLOOKUP(A1160,'Customer Names (2)'!A:B, 2,FALSE)</f>
        <v>Ms</v>
      </c>
      <c r="C1160">
        <f>VLOOKUP(A1160,Medical_Examinations[],2,FALSE)</f>
        <v>26.6</v>
      </c>
      <c r="D1160">
        <f>VLOOKUP(A1160,Medical_Examinations[],3,FALSE)</f>
        <v>8.4499999999999993</v>
      </c>
      <c r="E1160" t="str">
        <f>VLOOKUP(A1160,Medical_Examinations[],4,FALSE)</f>
        <v>Yes</v>
      </c>
      <c r="F1160" t="str">
        <f>VLOOKUP(A1160,Medical_Examinations[],5,FALSE)</f>
        <v>No</v>
      </c>
      <c r="G1160" t="str">
        <f>VLOOKUP(A1160,Medical_Examinations[],6,FALSE)</f>
        <v>No</v>
      </c>
      <c r="H1160">
        <f>VLOOKUP(A1160,Medical_Examinations[],7,FALSE)</f>
        <v>1</v>
      </c>
      <c r="I1160" t="str">
        <f>VLOOKUP(A1160,Medical_Examinations[],8,FALSE)</f>
        <v>No</v>
      </c>
      <c r="J1160" t="str">
        <f>VLOOKUP(A1160,Medical_Examinations[],9,FALSE)</f>
        <v>Overweight</v>
      </c>
      <c r="K1160" t="str">
        <f>VLOOKUP(A1160,Medical_Examinations[],10,FALSE)</f>
        <v>Diabetes</v>
      </c>
      <c r="M1160">
        <f>VLOOKUP(A1160,Hospitalisation_Details__2[],4,FALSE)</f>
        <v>9715.84</v>
      </c>
      <c r="N1160" t="str">
        <f>VLOOKUP(A1160,Hospitalisation_Details__2[],5,FALSE)</f>
        <v>tier - 2</v>
      </c>
      <c r="O1160" t="str">
        <f>VLOOKUP(A1160,Hospitalisation_Details__2[],6,FALSE)</f>
        <v>tier - 1</v>
      </c>
      <c r="P1160" t="str">
        <f>VLOOKUP(A1160,Hospitalisation_Details__2[],7,FALSE)</f>
        <v>R1024</v>
      </c>
    </row>
    <row r="1161" spans="1:16" x14ac:dyDescent="0.35">
      <c r="A1161" t="str">
        <v>Id1160</v>
      </c>
      <c r="B1161" t="str">
        <f>VLOOKUP(A1161,'Customer Names (2)'!A:B, 2,FALSE)</f>
        <v>Mr</v>
      </c>
      <c r="C1161">
        <f>VLOOKUP(A1161,Medical_Examinations[],2,FALSE)</f>
        <v>26.35</v>
      </c>
      <c r="D1161">
        <f>VLOOKUP(A1161,Medical_Examinations[],3,FALSE)</f>
        <v>6.21</v>
      </c>
      <c r="E1161" t="str">
        <f>VLOOKUP(A1161,Medical_Examinations[],4,FALSE)</f>
        <v>No</v>
      </c>
      <c r="F1161" t="str">
        <f>VLOOKUP(A1161,Medical_Examinations[],5,FALSE)</f>
        <v>No</v>
      </c>
      <c r="G1161" t="str">
        <f>VLOOKUP(A1161,Medical_Examinations[],6,FALSE)</f>
        <v>No</v>
      </c>
      <c r="H1161">
        <f>VLOOKUP(A1161,Medical_Examinations[],7,FALSE)</f>
        <v>2</v>
      </c>
      <c r="I1161" t="str">
        <f>VLOOKUP(A1161,Medical_Examinations[],8,FALSE)</f>
        <v>No</v>
      </c>
      <c r="J1161" t="str">
        <f>VLOOKUP(A1161,Medical_Examinations[],9,FALSE)</f>
        <v>Overweight</v>
      </c>
      <c r="K1161" t="str">
        <f>VLOOKUP(A1161,Medical_Examinations[],10,FALSE)</f>
        <v>Prediabetes</v>
      </c>
      <c r="M1161">
        <f>VLOOKUP(A1161,Hospitalisation_Details__2[],4,FALSE)</f>
        <v>9710.7099999999991</v>
      </c>
      <c r="N1161" t="str">
        <f>VLOOKUP(A1161,Hospitalisation_Details__2[],5,FALSE)</f>
        <v>tier - 2</v>
      </c>
      <c r="O1161" t="str">
        <f>VLOOKUP(A1161,Hospitalisation_Details__2[],6,FALSE)</f>
        <v>tier - 1</v>
      </c>
      <c r="P1161" t="str">
        <f>VLOOKUP(A1161,Hospitalisation_Details__2[],7,FALSE)</f>
        <v>R1021</v>
      </c>
    </row>
    <row r="1162" spans="1:16" x14ac:dyDescent="0.35">
      <c r="A1162" t="str">
        <v>Id1161</v>
      </c>
      <c r="B1162" t="str">
        <f>VLOOKUP(A1162,'Customer Names (2)'!A:B, 2,FALSE)</f>
        <v>Ms</v>
      </c>
      <c r="C1162">
        <f>VLOOKUP(A1162,Medical_Examinations[],2,FALSE)</f>
        <v>39.994999999999997</v>
      </c>
      <c r="D1162">
        <f>VLOOKUP(A1162,Medical_Examinations[],3,FALSE)</f>
        <v>4.6500000000000004</v>
      </c>
      <c r="E1162" t="str">
        <f>VLOOKUP(A1162,Medical_Examinations[],4,FALSE)</f>
        <v>No</v>
      </c>
      <c r="F1162" t="str">
        <f>VLOOKUP(A1162,Medical_Examinations[],5,FALSE)</f>
        <v>No</v>
      </c>
      <c r="G1162" t="str">
        <f>VLOOKUP(A1162,Medical_Examinations[],6,FALSE)</f>
        <v>No</v>
      </c>
      <c r="H1162">
        <f>VLOOKUP(A1162,Medical_Examinations[],7,FALSE)</f>
        <v>0</v>
      </c>
      <c r="I1162" t="str">
        <f>VLOOKUP(A1162,Medical_Examinations[],8,FALSE)</f>
        <v>No</v>
      </c>
      <c r="J1162" t="str">
        <f>VLOOKUP(A1162,Medical_Examinations[],9,FALSE)</f>
        <v>Obesity</v>
      </c>
      <c r="K1162" t="str">
        <f>VLOOKUP(A1162,Medical_Examinations[],10,FALSE)</f>
        <v>Normal</v>
      </c>
      <c r="M1162">
        <f>VLOOKUP(A1162,Hospitalisation_Details__2[],4,FALSE)</f>
        <v>9704.67</v>
      </c>
      <c r="N1162" t="str">
        <f>VLOOKUP(A1162,Hospitalisation_Details__2[],5,FALSE)</f>
        <v>tier - 2</v>
      </c>
      <c r="O1162" t="str">
        <f>VLOOKUP(A1162,Hospitalisation_Details__2[],6,FALSE)</f>
        <v>tier - 3</v>
      </c>
      <c r="P1162" t="str">
        <f>VLOOKUP(A1162,Hospitalisation_Details__2[],7,FALSE)</f>
        <v>R1024</v>
      </c>
    </row>
    <row r="1163" spans="1:16" x14ac:dyDescent="0.35">
      <c r="A1163" t="str">
        <v>Id1162</v>
      </c>
      <c r="B1163" t="str">
        <f>VLOOKUP(A1163,'Customer Names (2)'!A:B, 2,FALSE)</f>
        <v>Ms</v>
      </c>
      <c r="C1163">
        <f>VLOOKUP(A1163,Medical_Examinations[],2,FALSE)</f>
        <v>22.92</v>
      </c>
      <c r="D1163">
        <f>VLOOKUP(A1163,Medical_Examinations[],3,FALSE)</f>
        <v>5.87</v>
      </c>
      <c r="E1163" t="str">
        <f>VLOOKUP(A1163,Medical_Examinations[],4,FALSE)</f>
        <v>Yes</v>
      </c>
      <c r="F1163" t="str">
        <f>VLOOKUP(A1163,Medical_Examinations[],5,FALSE)</f>
        <v>No</v>
      </c>
      <c r="G1163" t="str">
        <f>VLOOKUP(A1163,Medical_Examinations[],6,FALSE)</f>
        <v>No</v>
      </c>
      <c r="H1163">
        <f>VLOOKUP(A1163,Medical_Examinations[],7,FALSE)</f>
        <v>1</v>
      </c>
      <c r="I1163" t="str">
        <f>VLOOKUP(A1163,Medical_Examinations[],8,FALSE)</f>
        <v>No</v>
      </c>
      <c r="J1163" t="str">
        <f>VLOOKUP(A1163,Medical_Examinations[],9,FALSE)</f>
        <v>Normal Weight</v>
      </c>
      <c r="K1163" t="str">
        <f>VLOOKUP(A1163,Medical_Examinations[],10,FALSE)</f>
        <v>Prediabetes</v>
      </c>
      <c r="M1163">
        <f>VLOOKUP(A1163,Hospitalisation_Details__2[],4,FALSE)</f>
        <v>9698.42</v>
      </c>
      <c r="N1163" t="str">
        <f>VLOOKUP(A1163,Hospitalisation_Details__2[],5,FALSE)</f>
        <v>tier - 3</v>
      </c>
      <c r="O1163" t="str">
        <f>VLOOKUP(A1163,Hospitalisation_Details__2[],6,FALSE)</f>
        <v>tier - 3</v>
      </c>
      <c r="P1163" t="str">
        <f>VLOOKUP(A1163,Hospitalisation_Details__2[],7,FALSE)</f>
        <v>R1013</v>
      </c>
    </row>
    <row r="1164" spans="1:16" x14ac:dyDescent="0.35">
      <c r="A1164" t="str">
        <v>Id1163</v>
      </c>
      <c r="B1164" t="str">
        <f>VLOOKUP(A1164,'Customer Names (2)'!A:B, 2,FALSE)</f>
        <v>Mr</v>
      </c>
      <c r="C1164">
        <f>VLOOKUP(A1164,Medical_Examinations[],2,FALSE)</f>
        <v>24.78</v>
      </c>
      <c r="D1164">
        <f>VLOOKUP(A1164,Medical_Examinations[],3,FALSE)</f>
        <v>4.24</v>
      </c>
      <c r="E1164" t="str">
        <f>VLOOKUP(A1164,Medical_Examinations[],4,FALSE)</f>
        <v>Yes</v>
      </c>
      <c r="F1164" t="str">
        <f>VLOOKUP(A1164,Medical_Examinations[],5,FALSE)</f>
        <v>No</v>
      </c>
      <c r="G1164" t="str">
        <f>VLOOKUP(A1164,Medical_Examinations[],6,FALSE)</f>
        <v>No</v>
      </c>
      <c r="H1164">
        <f>VLOOKUP(A1164,Medical_Examinations[],7,FALSE)</f>
        <v>2</v>
      </c>
      <c r="I1164" t="str">
        <f>VLOOKUP(A1164,Medical_Examinations[],8,FALSE)</f>
        <v>No</v>
      </c>
      <c r="J1164" t="str">
        <f>VLOOKUP(A1164,Medical_Examinations[],9,FALSE)</f>
        <v>Normal Weight</v>
      </c>
      <c r="K1164" t="str">
        <f>VLOOKUP(A1164,Medical_Examinations[],10,FALSE)</f>
        <v>Normal</v>
      </c>
      <c r="M1164">
        <f>VLOOKUP(A1164,Hospitalisation_Details__2[],4,FALSE)</f>
        <v>9684.2900000000009</v>
      </c>
      <c r="N1164" t="str">
        <f>VLOOKUP(A1164,Hospitalisation_Details__2[],5,FALSE)</f>
        <v>tier - 3</v>
      </c>
      <c r="O1164" t="str">
        <f>VLOOKUP(A1164,Hospitalisation_Details__2[],6,FALSE)</f>
        <v>tier - 2</v>
      </c>
      <c r="P1164" t="str">
        <f>VLOOKUP(A1164,Hospitalisation_Details__2[],7,FALSE)</f>
        <v>R1013</v>
      </c>
    </row>
    <row r="1165" spans="1:16" x14ac:dyDescent="0.35">
      <c r="A1165" t="str">
        <v>Id1164</v>
      </c>
      <c r="B1165" t="str">
        <f>VLOOKUP(A1165,'Customer Names (2)'!A:B, 2,FALSE)</f>
        <v>Ms</v>
      </c>
      <c r="C1165">
        <f>VLOOKUP(A1165,Medical_Examinations[],2,FALSE)</f>
        <v>34.07</v>
      </c>
      <c r="D1165">
        <f>VLOOKUP(A1165,Medical_Examinations[],3,FALSE)</f>
        <v>7.81</v>
      </c>
      <c r="E1165" t="str">
        <f>VLOOKUP(A1165,Medical_Examinations[],4,FALSE)</f>
        <v>Yes</v>
      </c>
      <c r="F1165" t="str">
        <f>VLOOKUP(A1165,Medical_Examinations[],5,FALSE)</f>
        <v>No</v>
      </c>
      <c r="G1165" t="str">
        <f>VLOOKUP(A1165,Medical_Examinations[],6,FALSE)</f>
        <v>No</v>
      </c>
      <c r="H1165">
        <f>VLOOKUP(A1165,Medical_Examinations[],7,FALSE)</f>
        <v>0</v>
      </c>
      <c r="I1165" t="str">
        <f>VLOOKUP(A1165,Medical_Examinations[],8,FALSE)</f>
        <v>No</v>
      </c>
      <c r="J1165" t="str">
        <f>VLOOKUP(A1165,Medical_Examinations[],9,FALSE)</f>
        <v>Obesity</v>
      </c>
      <c r="K1165" t="str">
        <f>VLOOKUP(A1165,Medical_Examinations[],10,FALSE)</f>
        <v>Diabetes</v>
      </c>
      <c r="M1165">
        <f>VLOOKUP(A1165,Hospitalisation_Details__2[],4,FALSE)</f>
        <v>9664.34</v>
      </c>
      <c r="N1165" t="str">
        <f>VLOOKUP(A1165,Hospitalisation_Details__2[],5,FALSE)</f>
        <v>tier - 2</v>
      </c>
      <c r="O1165" t="str">
        <f>VLOOKUP(A1165,Hospitalisation_Details__2[],6,FALSE)</f>
        <v>tier - 3</v>
      </c>
      <c r="P1165" t="str">
        <f>VLOOKUP(A1165,Hospitalisation_Details__2[],7,FALSE)</f>
        <v>R1011</v>
      </c>
    </row>
    <row r="1166" spans="1:16" x14ac:dyDescent="0.35">
      <c r="A1166" t="str">
        <v>Id1165</v>
      </c>
      <c r="B1166" t="str">
        <f>VLOOKUP(A1166,'Customer Names (2)'!A:B, 2,FALSE)</f>
        <v>Ms</v>
      </c>
      <c r="C1166">
        <f>VLOOKUP(A1166,Medical_Examinations[],2,FALSE)</f>
        <v>30.14</v>
      </c>
      <c r="D1166">
        <f>VLOOKUP(A1166,Medical_Examinations[],3,FALSE)</f>
        <v>9.85</v>
      </c>
      <c r="E1166" t="str">
        <f>VLOOKUP(A1166,Medical_Examinations[],4,FALSE)</f>
        <v>No</v>
      </c>
      <c r="F1166" t="str">
        <f>VLOOKUP(A1166,Medical_Examinations[],5,FALSE)</f>
        <v>No</v>
      </c>
      <c r="G1166" t="str">
        <f>VLOOKUP(A1166,Medical_Examinations[],6,FALSE)</f>
        <v>No</v>
      </c>
      <c r="H1166">
        <f>VLOOKUP(A1166,Medical_Examinations[],7,FALSE)</f>
        <v>0</v>
      </c>
      <c r="I1166" t="str">
        <f>VLOOKUP(A1166,Medical_Examinations[],8,FALSE)</f>
        <v>No</v>
      </c>
      <c r="J1166" t="str">
        <f>VLOOKUP(A1166,Medical_Examinations[],9,FALSE)</f>
        <v>Obesity</v>
      </c>
      <c r="K1166" t="str">
        <f>VLOOKUP(A1166,Medical_Examinations[],10,FALSE)</f>
        <v>Diabetes</v>
      </c>
      <c r="M1166">
        <f>VLOOKUP(A1166,Hospitalisation_Details__2[],4,FALSE)</f>
        <v>9653.81</v>
      </c>
      <c r="N1166" t="str">
        <f>VLOOKUP(A1166,Hospitalisation_Details__2[],5,FALSE)</f>
        <v>tier - 2</v>
      </c>
      <c r="O1166" t="str">
        <f>VLOOKUP(A1166,Hospitalisation_Details__2[],6,FALSE)</f>
        <v>tier - 2</v>
      </c>
      <c r="P1166" t="str">
        <f>VLOOKUP(A1166,Hospitalisation_Details__2[],7,FALSE)</f>
        <v>R1011</v>
      </c>
    </row>
    <row r="1167" spans="1:16" x14ac:dyDescent="0.35">
      <c r="A1167" t="str">
        <v>Id1166</v>
      </c>
      <c r="B1167" t="str">
        <f>VLOOKUP(A1167,'Customer Names (2)'!A:B, 2,FALSE)</f>
        <v>Ms</v>
      </c>
      <c r="C1167">
        <f>VLOOKUP(A1167,Medical_Examinations[],2,FALSE)</f>
        <v>18.05</v>
      </c>
      <c r="D1167">
        <f>VLOOKUP(A1167,Medical_Examinations[],3,FALSE)</f>
        <v>6.94</v>
      </c>
      <c r="E1167" t="str">
        <f>VLOOKUP(A1167,Medical_Examinations[],4,FALSE)</f>
        <v>No</v>
      </c>
      <c r="F1167" t="str">
        <f>VLOOKUP(A1167,Medical_Examinations[],5,FALSE)</f>
        <v>No</v>
      </c>
      <c r="G1167" t="str">
        <f>VLOOKUP(A1167,Medical_Examinations[],6,FALSE)</f>
        <v>No</v>
      </c>
      <c r="H1167">
        <f>VLOOKUP(A1167,Medical_Examinations[],7,FALSE)</f>
        <v>0</v>
      </c>
      <c r="I1167" t="str">
        <f>VLOOKUP(A1167,Medical_Examinations[],8,FALSE)</f>
        <v>No</v>
      </c>
      <c r="J1167" t="str">
        <f>VLOOKUP(A1167,Medical_Examinations[],9,FALSE)</f>
        <v>Underweight</v>
      </c>
      <c r="K1167" t="str">
        <f>VLOOKUP(A1167,Medical_Examinations[],10,FALSE)</f>
        <v>Diabetes</v>
      </c>
      <c r="M1167">
        <f>VLOOKUP(A1167,Hospitalisation_Details__2[],4,FALSE)</f>
        <v>9644.25</v>
      </c>
      <c r="N1167" t="str">
        <f>VLOOKUP(A1167,Hospitalisation_Details__2[],5,FALSE)</f>
        <v>tier - 2</v>
      </c>
      <c r="O1167" t="str">
        <f>VLOOKUP(A1167,Hospitalisation_Details__2[],6,FALSE)</f>
        <v>tier - 1</v>
      </c>
      <c r="P1167" t="str">
        <f>VLOOKUP(A1167,Hospitalisation_Details__2[],7,FALSE)</f>
        <v>R1012</v>
      </c>
    </row>
    <row r="1168" spans="1:16" x14ac:dyDescent="0.35">
      <c r="A1168" t="str">
        <v>Id1167</v>
      </c>
      <c r="B1168" t="str">
        <f>VLOOKUP(A1168,'Customer Names (2)'!A:B, 2,FALSE)</f>
        <v>Ms</v>
      </c>
      <c r="C1168">
        <f>VLOOKUP(A1168,Medical_Examinations[],2,FALSE)</f>
        <v>37.4</v>
      </c>
      <c r="D1168">
        <f>VLOOKUP(A1168,Medical_Examinations[],3,FALSE)</f>
        <v>11.3</v>
      </c>
      <c r="E1168" t="str">
        <f>VLOOKUP(A1168,Medical_Examinations[],4,FALSE)</f>
        <v>Yes</v>
      </c>
      <c r="F1168" t="str">
        <f>VLOOKUP(A1168,Medical_Examinations[],5,FALSE)</f>
        <v>No</v>
      </c>
      <c r="G1168" t="str">
        <f>VLOOKUP(A1168,Medical_Examinations[],6,FALSE)</f>
        <v>No</v>
      </c>
      <c r="H1168">
        <f>VLOOKUP(A1168,Medical_Examinations[],7,FALSE)</f>
        <v>2</v>
      </c>
      <c r="I1168" t="str">
        <f>VLOOKUP(A1168,Medical_Examinations[],8,FALSE)</f>
        <v>No</v>
      </c>
      <c r="J1168" t="str">
        <f>VLOOKUP(A1168,Medical_Examinations[],9,FALSE)</f>
        <v>Obesity</v>
      </c>
      <c r="K1168" t="str">
        <f>VLOOKUP(A1168,Medical_Examinations[],10,FALSE)</f>
        <v>Diabetes</v>
      </c>
      <c r="M1168">
        <f>VLOOKUP(A1168,Hospitalisation_Details__2[],4,FALSE)</f>
        <v>9634.5400000000009</v>
      </c>
      <c r="N1168" t="str">
        <f>VLOOKUP(A1168,Hospitalisation_Details__2[],5,FALSE)</f>
        <v>tier - 2</v>
      </c>
      <c r="O1168" t="str">
        <f>VLOOKUP(A1168,Hospitalisation_Details__2[],6,FALSE)</f>
        <v>tier - 2</v>
      </c>
      <c r="P1168" t="str">
        <f>VLOOKUP(A1168,Hospitalisation_Details__2[],7,FALSE)</f>
        <v>R1011</v>
      </c>
    </row>
    <row r="1169" spans="1:16" x14ac:dyDescent="0.35">
      <c r="A1169" t="str">
        <v>Id1168</v>
      </c>
      <c r="B1169" t="str">
        <f>VLOOKUP(A1169,'Customer Names (2)'!A:B, 2,FALSE)</f>
        <v>Mrs</v>
      </c>
      <c r="C1169">
        <f>VLOOKUP(A1169,Medical_Examinations[],2,FALSE)</f>
        <v>25.75</v>
      </c>
      <c r="D1169">
        <f>VLOOKUP(A1169,Medical_Examinations[],3,FALSE)</f>
        <v>9.23</v>
      </c>
      <c r="E1169" t="str">
        <f>VLOOKUP(A1169,Medical_Examinations[],4,FALSE)</f>
        <v>No</v>
      </c>
      <c r="F1169" t="str">
        <f>VLOOKUP(A1169,Medical_Examinations[],5,FALSE)</f>
        <v>No</v>
      </c>
      <c r="G1169" t="str">
        <f>VLOOKUP(A1169,Medical_Examinations[],6,FALSE)</f>
        <v>No</v>
      </c>
      <c r="H1169">
        <f>VLOOKUP(A1169,Medical_Examinations[],7,FALSE)</f>
        <v>0</v>
      </c>
      <c r="I1169" t="str">
        <f>VLOOKUP(A1169,Medical_Examinations[],8,FALSE)</f>
        <v>No</v>
      </c>
      <c r="J1169" t="str">
        <f>VLOOKUP(A1169,Medical_Examinations[],9,FALSE)</f>
        <v>Overweight</v>
      </c>
      <c r="K1169" t="str">
        <f>VLOOKUP(A1169,Medical_Examinations[],10,FALSE)</f>
        <v>Diabetes</v>
      </c>
      <c r="M1169">
        <f>VLOOKUP(A1169,Hospitalisation_Details__2[],4,FALSE)</f>
        <v>9630.91</v>
      </c>
      <c r="N1169" t="str">
        <f>VLOOKUP(A1169,Hospitalisation_Details__2[],5,FALSE)</f>
        <v>tier - 3</v>
      </c>
      <c r="O1169" t="str">
        <f>VLOOKUP(A1169,Hospitalisation_Details__2[],6,FALSE)</f>
        <v>tier - 2</v>
      </c>
      <c r="P1169" t="str">
        <f>VLOOKUP(A1169,Hospitalisation_Details__2[],7,FALSE)</f>
        <v>R1013</v>
      </c>
    </row>
    <row r="1170" spans="1:16" x14ac:dyDescent="0.35">
      <c r="A1170" t="str">
        <v>Id1169</v>
      </c>
      <c r="B1170" t="str">
        <f>VLOOKUP(A1170,'Customer Names (2)'!A:B, 2,FALSE)</f>
        <v>Mr</v>
      </c>
      <c r="C1170">
        <f>VLOOKUP(A1170,Medical_Examinations[],2,FALSE)</f>
        <v>32.299999999999997</v>
      </c>
      <c r="D1170">
        <f>VLOOKUP(A1170,Medical_Examinations[],3,FALSE)</f>
        <v>4.37</v>
      </c>
      <c r="E1170" t="str">
        <f>VLOOKUP(A1170,Medical_Examinations[],4,FALSE)</f>
        <v>No</v>
      </c>
      <c r="F1170" t="str">
        <f>VLOOKUP(A1170,Medical_Examinations[],5,FALSE)</f>
        <v>No</v>
      </c>
      <c r="G1170" t="str">
        <f>VLOOKUP(A1170,Medical_Examinations[],6,FALSE)</f>
        <v>No</v>
      </c>
      <c r="H1170">
        <f>VLOOKUP(A1170,Medical_Examinations[],7,FALSE)</f>
        <v>2</v>
      </c>
      <c r="I1170" t="str">
        <f>VLOOKUP(A1170,Medical_Examinations[],8,FALSE)</f>
        <v>No</v>
      </c>
      <c r="J1170" t="str">
        <f>VLOOKUP(A1170,Medical_Examinations[],9,FALSE)</f>
        <v>Obesity</v>
      </c>
      <c r="K1170" t="str">
        <f>VLOOKUP(A1170,Medical_Examinations[],10,FALSE)</f>
        <v>Normal</v>
      </c>
      <c r="M1170">
        <f>VLOOKUP(A1170,Hospitalisation_Details__2[],4,FALSE)</f>
        <v>9630.4</v>
      </c>
      <c r="N1170" t="str">
        <f>VLOOKUP(A1170,Hospitalisation_Details__2[],5,FALSE)</f>
        <v>tier - 2</v>
      </c>
      <c r="O1170" t="str">
        <f>VLOOKUP(A1170,Hospitalisation_Details__2[],6,FALSE)</f>
        <v>tier - 2</v>
      </c>
      <c r="P1170" t="str">
        <f>VLOOKUP(A1170,Hospitalisation_Details__2[],7,FALSE)</f>
        <v>R1011</v>
      </c>
    </row>
    <row r="1171" spans="1:16" x14ac:dyDescent="0.35">
      <c r="A1171" t="str">
        <v>Id1170</v>
      </c>
      <c r="B1171" t="str">
        <f>VLOOKUP(A1171,'Customer Names (2)'!A:B, 2,FALSE)</f>
        <v>Mr</v>
      </c>
      <c r="C1171">
        <f>VLOOKUP(A1171,Medical_Examinations[],2,FALSE)</f>
        <v>28.61</v>
      </c>
      <c r="D1171">
        <f>VLOOKUP(A1171,Medical_Examinations[],3,FALSE)</f>
        <v>5.76</v>
      </c>
      <c r="E1171" t="str">
        <f>VLOOKUP(A1171,Medical_Examinations[],4,FALSE)</f>
        <v>No</v>
      </c>
      <c r="F1171" t="str">
        <f>VLOOKUP(A1171,Medical_Examinations[],5,FALSE)</f>
        <v>No</v>
      </c>
      <c r="G1171" t="str">
        <f>VLOOKUP(A1171,Medical_Examinations[],6,FALSE)</f>
        <v>Yes</v>
      </c>
      <c r="H1171">
        <f>VLOOKUP(A1171,Medical_Examinations[],7,FALSE)</f>
        <v>1</v>
      </c>
      <c r="I1171" t="str">
        <f>VLOOKUP(A1171,Medical_Examinations[],8,FALSE)</f>
        <v>No</v>
      </c>
      <c r="J1171" t="str">
        <f>VLOOKUP(A1171,Medical_Examinations[],9,FALSE)</f>
        <v>Overweight</v>
      </c>
      <c r="K1171" t="str">
        <f>VLOOKUP(A1171,Medical_Examinations[],10,FALSE)</f>
        <v>Prediabetes</v>
      </c>
      <c r="M1171">
        <f>VLOOKUP(A1171,Hospitalisation_Details__2[],4,FALSE)</f>
        <v>9630.2999999999993</v>
      </c>
      <c r="N1171" t="str">
        <f>VLOOKUP(A1171,Hospitalisation_Details__2[],5,FALSE)</f>
        <v>tier - 2</v>
      </c>
      <c r="O1171" t="str">
        <f>VLOOKUP(A1171,Hospitalisation_Details__2[],6,FALSE)</f>
        <v>tier - 2</v>
      </c>
      <c r="P1171" t="str">
        <f>VLOOKUP(A1171,Hospitalisation_Details__2[],7,FALSE)</f>
        <v>R1021</v>
      </c>
    </row>
    <row r="1172" spans="1:16" x14ac:dyDescent="0.35">
      <c r="A1172" t="str">
        <v>Id1171</v>
      </c>
      <c r="B1172" t="str">
        <f>VLOOKUP(A1172,'Customer Names (2)'!A:B, 2,FALSE)</f>
        <v>Mrs</v>
      </c>
      <c r="C1172">
        <f>VLOOKUP(A1172,Medical_Examinations[],2,FALSE)</f>
        <v>45.41</v>
      </c>
      <c r="D1172">
        <f>VLOOKUP(A1172,Medical_Examinations[],3,FALSE)</f>
        <v>4.96</v>
      </c>
      <c r="E1172" t="str">
        <f>VLOOKUP(A1172,Medical_Examinations[],4,FALSE)</f>
        <v>No</v>
      </c>
      <c r="F1172" t="str">
        <f>VLOOKUP(A1172,Medical_Examinations[],5,FALSE)</f>
        <v>No</v>
      </c>
      <c r="G1172" t="str">
        <f>VLOOKUP(A1172,Medical_Examinations[],6,FALSE)</f>
        <v>No</v>
      </c>
      <c r="H1172">
        <f>VLOOKUP(A1172,Medical_Examinations[],7,FALSE)</f>
        <v>1</v>
      </c>
      <c r="I1172" t="str">
        <f>VLOOKUP(A1172,Medical_Examinations[],8,FALSE)</f>
        <v>No</v>
      </c>
      <c r="J1172" t="str">
        <f>VLOOKUP(A1172,Medical_Examinations[],9,FALSE)</f>
        <v>Obesity</v>
      </c>
      <c r="K1172" t="str">
        <f>VLOOKUP(A1172,Medical_Examinations[],10,FALSE)</f>
        <v>Normal</v>
      </c>
      <c r="M1172">
        <f>VLOOKUP(A1172,Hospitalisation_Details__2[],4,FALSE)</f>
        <v>9628.7900000000009</v>
      </c>
      <c r="N1172" t="str">
        <f>VLOOKUP(A1172,Hospitalisation_Details__2[],5,FALSE)</f>
        <v>tier - 2</v>
      </c>
      <c r="O1172" t="str">
        <f>VLOOKUP(A1172,Hospitalisation_Details__2[],6,FALSE)</f>
        <v>tier - 2</v>
      </c>
      <c r="P1172" t="str">
        <f>VLOOKUP(A1172,Hospitalisation_Details__2[],7,FALSE)</f>
        <v>R1026</v>
      </c>
    </row>
    <row r="1173" spans="1:16" x14ac:dyDescent="0.35">
      <c r="A1173" t="str">
        <v>Id1172</v>
      </c>
      <c r="B1173" t="str">
        <f>VLOOKUP(A1173,'Customer Names (2)'!A:B, 2,FALSE)</f>
        <v>Ms</v>
      </c>
      <c r="C1173">
        <f>VLOOKUP(A1173,Medical_Examinations[],2,FALSE)</f>
        <v>31.2</v>
      </c>
      <c r="D1173">
        <f>VLOOKUP(A1173,Medical_Examinations[],3,FALSE)</f>
        <v>11.04</v>
      </c>
      <c r="E1173" t="str">
        <f>VLOOKUP(A1173,Medical_Examinations[],4,FALSE)</f>
        <v>Yes</v>
      </c>
      <c r="F1173" t="str">
        <f>VLOOKUP(A1173,Medical_Examinations[],5,FALSE)</f>
        <v>No</v>
      </c>
      <c r="G1173" t="str">
        <f>VLOOKUP(A1173,Medical_Examinations[],6,FALSE)</f>
        <v>No</v>
      </c>
      <c r="H1173">
        <f>VLOOKUP(A1173,Medical_Examinations[],7,FALSE)</f>
        <v>2</v>
      </c>
      <c r="I1173" t="str">
        <f>VLOOKUP(A1173,Medical_Examinations[],8,FALSE)</f>
        <v>No</v>
      </c>
      <c r="J1173" t="str">
        <f>VLOOKUP(A1173,Medical_Examinations[],9,FALSE)</f>
        <v>Obesity</v>
      </c>
      <c r="K1173" t="str">
        <f>VLOOKUP(A1173,Medical_Examinations[],10,FALSE)</f>
        <v>Diabetes</v>
      </c>
      <c r="M1173">
        <f>VLOOKUP(A1173,Hospitalisation_Details__2[],4,FALSE)</f>
        <v>9625.92</v>
      </c>
      <c r="N1173" t="str">
        <f>VLOOKUP(A1173,Hospitalisation_Details__2[],5,FALSE)</f>
        <v>tier - 2</v>
      </c>
      <c r="O1173" t="str">
        <f>VLOOKUP(A1173,Hospitalisation_Details__2[],6,FALSE)</f>
        <v>tier - 3</v>
      </c>
      <c r="P1173" t="str">
        <f>VLOOKUP(A1173,Hospitalisation_Details__2[],7,FALSE)</f>
        <v>R1011</v>
      </c>
    </row>
    <row r="1174" spans="1:16" x14ac:dyDescent="0.35">
      <c r="A1174" t="str">
        <v>Id1173</v>
      </c>
      <c r="B1174" t="str">
        <f>VLOOKUP(A1174,'Customer Names (2)'!A:B, 2,FALSE)</f>
        <v>Mr</v>
      </c>
      <c r="C1174">
        <f>VLOOKUP(A1174,Medical_Examinations[],2,FALSE)</f>
        <v>29.83</v>
      </c>
      <c r="D1174">
        <f>VLOOKUP(A1174,Medical_Examinations[],3,FALSE)</f>
        <v>7.81</v>
      </c>
      <c r="E1174" t="str">
        <f>VLOOKUP(A1174,Medical_Examinations[],4,FALSE)</f>
        <v>Yes</v>
      </c>
      <c r="F1174" t="str">
        <f>VLOOKUP(A1174,Medical_Examinations[],5,FALSE)</f>
        <v>No</v>
      </c>
      <c r="G1174" t="str">
        <f>VLOOKUP(A1174,Medical_Examinations[],6,FALSE)</f>
        <v>No</v>
      </c>
      <c r="H1174">
        <f>VLOOKUP(A1174,Medical_Examinations[],7,FALSE)</f>
        <v>1</v>
      </c>
      <c r="I1174" t="str">
        <f>VLOOKUP(A1174,Medical_Examinations[],8,FALSE)</f>
        <v>No</v>
      </c>
      <c r="J1174" t="str">
        <f>VLOOKUP(A1174,Medical_Examinations[],9,FALSE)</f>
        <v>Overweight</v>
      </c>
      <c r="K1174" t="str">
        <f>VLOOKUP(A1174,Medical_Examinations[],10,FALSE)</f>
        <v>Diabetes</v>
      </c>
      <c r="M1174">
        <f>VLOOKUP(A1174,Hospitalisation_Details__2[],4,FALSE)</f>
        <v>9620.33</v>
      </c>
      <c r="N1174" t="str">
        <f>VLOOKUP(A1174,Hospitalisation_Details__2[],5,FALSE)</f>
        <v>tier - 3</v>
      </c>
      <c r="O1174" t="str">
        <f>VLOOKUP(A1174,Hospitalisation_Details__2[],6,FALSE)</f>
        <v>tier - 3</v>
      </c>
      <c r="P1174" t="str">
        <f>VLOOKUP(A1174,Hospitalisation_Details__2[],7,FALSE)</f>
        <v>R1012</v>
      </c>
    </row>
    <row r="1175" spans="1:16" x14ac:dyDescent="0.35">
      <c r="A1175" t="str">
        <v>Id1174</v>
      </c>
      <c r="B1175" t="str">
        <f>VLOOKUP(A1175,'Customer Names (2)'!A:B, 2,FALSE)</f>
        <v>Mrs</v>
      </c>
      <c r="C1175">
        <f>VLOOKUP(A1175,Medical_Examinations[],2,FALSE)</f>
        <v>29.06</v>
      </c>
      <c r="D1175">
        <f>VLOOKUP(A1175,Medical_Examinations[],3,FALSE)</f>
        <v>4.55</v>
      </c>
      <c r="E1175" t="str">
        <f>VLOOKUP(A1175,Medical_Examinations[],4,FALSE)</f>
        <v>No</v>
      </c>
      <c r="F1175" t="str">
        <f>VLOOKUP(A1175,Medical_Examinations[],5,FALSE)</f>
        <v>No</v>
      </c>
      <c r="G1175" t="str">
        <f>VLOOKUP(A1175,Medical_Examinations[],6,FALSE)</f>
        <v>No</v>
      </c>
      <c r="H1175">
        <f>VLOOKUP(A1175,Medical_Examinations[],7,FALSE)</f>
        <v>0</v>
      </c>
      <c r="I1175" t="str">
        <f>VLOOKUP(A1175,Medical_Examinations[],8,FALSE)</f>
        <v>No</v>
      </c>
      <c r="J1175" t="str">
        <f>VLOOKUP(A1175,Medical_Examinations[],9,FALSE)</f>
        <v>Overweight</v>
      </c>
      <c r="K1175" t="str">
        <f>VLOOKUP(A1175,Medical_Examinations[],10,FALSE)</f>
        <v>Normal</v>
      </c>
      <c r="M1175">
        <f>VLOOKUP(A1175,Hospitalisation_Details__2[],4,FALSE)</f>
        <v>9619.18</v>
      </c>
      <c r="N1175" t="str">
        <f>VLOOKUP(A1175,Hospitalisation_Details__2[],5,FALSE)</f>
        <v>tier - 2</v>
      </c>
      <c r="O1175" t="str">
        <f>VLOOKUP(A1175,Hospitalisation_Details__2[],6,FALSE)</f>
        <v>tier - 1</v>
      </c>
      <c r="P1175" t="str">
        <f>VLOOKUP(A1175,Hospitalisation_Details__2[],7,FALSE)</f>
        <v>R1025</v>
      </c>
    </row>
    <row r="1176" spans="1:16" x14ac:dyDescent="0.35">
      <c r="A1176" t="str">
        <v>Id1175</v>
      </c>
      <c r="B1176" t="str">
        <f>VLOOKUP(A1176,'Customer Names (2)'!A:B, 2,FALSE)</f>
        <v>Mr</v>
      </c>
      <c r="C1176">
        <f>VLOOKUP(A1176,Medical_Examinations[],2,FALSE)</f>
        <v>27.454999999999998</v>
      </c>
      <c r="D1176">
        <f>VLOOKUP(A1176,Medical_Examinations[],3,FALSE)</f>
        <v>6.13</v>
      </c>
      <c r="E1176" t="str">
        <f>VLOOKUP(A1176,Medical_Examinations[],4,FALSE)</f>
        <v>No</v>
      </c>
      <c r="F1176" t="str">
        <f>VLOOKUP(A1176,Medical_Examinations[],5,FALSE)</f>
        <v>No</v>
      </c>
      <c r="G1176" t="str">
        <f>VLOOKUP(A1176,Medical_Examinations[],6,FALSE)</f>
        <v>No</v>
      </c>
      <c r="H1176">
        <f>VLOOKUP(A1176,Medical_Examinations[],7,FALSE)</f>
        <v>2</v>
      </c>
      <c r="I1176" t="str">
        <f>VLOOKUP(A1176,Medical_Examinations[],8,FALSE)</f>
        <v>No</v>
      </c>
      <c r="J1176" t="str">
        <f>VLOOKUP(A1176,Medical_Examinations[],9,FALSE)</f>
        <v>Overweight</v>
      </c>
      <c r="K1176" t="str">
        <f>VLOOKUP(A1176,Medical_Examinations[],10,FALSE)</f>
        <v>Prediabetes</v>
      </c>
      <c r="M1176">
        <f>VLOOKUP(A1176,Hospitalisation_Details__2[],4,FALSE)</f>
        <v>9617.66</v>
      </c>
      <c r="N1176" t="str">
        <f>VLOOKUP(A1176,Hospitalisation_Details__2[],5,FALSE)</f>
        <v>tier - 3</v>
      </c>
      <c r="O1176" t="str">
        <f>VLOOKUP(A1176,Hospitalisation_Details__2[],6,FALSE)</f>
        <v>tier - 3</v>
      </c>
      <c r="P1176" t="str">
        <f>VLOOKUP(A1176,Hospitalisation_Details__2[],7,FALSE)</f>
        <v>R1016</v>
      </c>
    </row>
    <row r="1177" spans="1:16" x14ac:dyDescent="0.35">
      <c r="A1177" t="str">
        <v>Id1176</v>
      </c>
      <c r="B1177" t="str">
        <f>VLOOKUP(A1177,'Customer Names (2)'!A:B, 2,FALSE)</f>
        <v>Mr</v>
      </c>
      <c r="C1177">
        <f>VLOOKUP(A1177,Medical_Examinations[],2,FALSE)</f>
        <v>23.01</v>
      </c>
      <c r="D1177">
        <f>VLOOKUP(A1177,Medical_Examinations[],3,FALSE)</f>
        <v>6.04</v>
      </c>
      <c r="E1177" t="str">
        <f>VLOOKUP(A1177,Medical_Examinations[],4,FALSE)</f>
        <v>Yes</v>
      </c>
      <c r="F1177" t="str">
        <f>VLOOKUP(A1177,Medical_Examinations[],5,FALSE)</f>
        <v>No</v>
      </c>
      <c r="G1177" t="str">
        <f>VLOOKUP(A1177,Medical_Examinations[],6,FALSE)</f>
        <v>No</v>
      </c>
      <c r="H1177">
        <f>VLOOKUP(A1177,Medical_Examinations[],7,FALSE)</f>
        <v>1</v>
      </c>
      <c r="I1177" t="str">
        <f>VLOOKUP(A1177,Medical_Examinations[],8,FALSE)</f>
        <v>No</v>
      </c>
      <c r="J1177" t="str">
        <f>VLOOKUP(A1177,Medical_Examinations[],9,FALSE)</f>
        <v>Normal Weight</v>
      </c>
      <c r="K1177" t="str">
        <f>VLOOKUP(A1177,Medical_Examinations[],10,FALSE)</f>
        <v>Prediabetes</v>
      </c>
      <c r="M1177">
        <f>VLOOKUP(A1177,Hospitalisation_Details__2[],4,FALSE)</f>
        <v>9597.6299999999992</v>
      </c>
      <c r="N1177" t="str">
        <f>VLOOKUP(A1177,Hospitalisation_Details__2[],5,FALSE)</f>
        <v>tier - 3</v>
      </c>
      <c r="O1177" t="str">
        <f>VLOOKUP(A1177,Hospitalisation_Details__2[],6,FALSE)</f>
        <v>tier - 3</v>
      </c>
      <c r="P1177" t="str">
        <f>VLOOKUP(A1177,Hospitalisation_Details__2[],7,FALSE)</f>
        <v>R1013</v>
      </c>
    </row>
    <row r="1178" spans="1:16" x14ac:dyDescent="0.35">
      <c r="A1178" t="str">
        <v>Id1177</v>
      </c>
      <c r="B1178" t="str">
        <f>VLOOKUP(A1178,'Customer Names (2)'!A:B, 2,FALSE)</f>
        <v>Mr</v>
      </c>
      <c r="C1178">
        <f>VLOOKUP(A1178,Medical_Examinations[],2,FALSE)</f>
        <v>31.39</v>
      </c>
      <c r="D1178">
        <f>VLOOKUP(A1178,Medical_Examinations[],3,FALSE)</f>
        <v>8.85</v>
      </c>
      <c r="E1178" t="str">
        <f>VLOOKUP(A1178,Medical_Examinations[],4,FALSE)</f>
        <v>Yes</v>
      </c>
      <c r="F1178" t="str">
        <f>VLOOKUP(A1178,Medical_Examinations[],5,FALSE)</f>
        <v>No</v>
      </c>
      <c r="G1178" t="str">
        <f>VLOOKUP(A1178,Medical_Examinations[],6,FALSE)</f>
        <v>No</v>
      </c>
      <c r="H1178">
        <f>VLOOKUP(A1178,Medical_Examinations[],7,FALSE)</f>
        <v>0</v>
      </c>
      <c r="I1178" t="str">
        <f>VLOOKUP(A1178,Medical_Examinations[],8,FALSE)</f>
        <v>No</v>
      </c>
      <c r="J1178" t="str">
        <f>VLOOKUP(A1178,Medical_Examinations[],9,FALSE)</f>
        <v>Obesity</v>
      </c>
      <c r="K1178" t="str">
        <f>VLOOKUP(A1178,Medical_Examinations[],10,FALSE)</f>
        <v>Diabetes</v>
      </c>
      <c r="M1178">
        <f>VLOOKUP(A1178,Hospitalisation_Details__2[],4,FALSE)</f>
        <v>9584.0400000000009</v>
      </c>
      <c r="N1178" t="str">
        <f>VLOOKUP(A1178,Hospitalisation_Details__2[],5,FALSE)</f>
        <v>tier - 2</v>
      </c>
      <c r="O1178" t="str">
        <f>VLOOKUP(A1178,Hospitalisation_Details__2[],6,FALSE)</f>
        <v>tier - 1</v>
      </c>
      <c r="P1178" t="str">
        <f>VLOOKUP(A1178,Hospitalisation_Details__2[],7,FALSE)</f>
        <v>R1021</v>
      </c>
    </row>
    <row r="1179" spans="1:16" x14ac:dyDescent="0.35">
      <c r="A1179" t="str">
        <v>Id1178</v>
      </c>
      <c r="B1179" t="str">
        <f>VLOOKUP(A1179,'Customer Names (2)'!A:B, 2,FALSE)</f>
        <v>Ms</v>
      </c>
      <c r="C1179">
        <f>VLOOKUP(A1179,Medical_Examinations[],2,FALSE)</f>
        <v>34.770000000000003</v>
      </c>
      <c r="D1179">
        <f>VLOOKUP(A1179,Medical_Examinations[],3,FALSE)</f>
        <v>10.54</v>
      </c>
      <c r="E1179" t="str">
        <f>VLOOKUP(A1179,Medical_Examinations[],4,FALSE)</f>
        <v>No</v>
      </c>
      <c r="F1179" t="str">
        <f>VLOOKUP(A1179,Medical_Examinations[],5,FALSE)</f>
        <v>No</v>
      </c>
      <c r="G1179" t="str">
        <f>VLOOKUP(A1179,Medical_Examinations[],6,FALSE)</f>
        <v>No</v>
      </c>
      <c r="H1179">
        <f>VLOOKUP(A1179,Medical_Examinations[],7,FALSE)</f>
        <v>2</v>
      </c>
      <c r="I1179" t="str">
        <f>VLOOKUP(A1179,Medical_Examinations[],8,FALSE)</f>
        <v>No</v>
      </c>
      <c r="J1179" t="str">
        <f>VLOOKUP(A1179,Medical_Examinations[],9,FALSE)</f>
        <v>Obesity</v>
      </c>
      <c r="K1179" t="str">
        <f>VLOOKUP(A1179,Medical_Examinations[],10,FALSE)</f>
        <v>Diabetes</v>
      </c>
      <c r="M1179">
        <f>VLOOKUP(A1179,Hospitalisation_Details__2[],4,FALSE)</f>
        <v>9583.89</v>
      </c>
      <c r="N1179" t="str">
        <f>VLOOKUP(A1179,Hospitalisation_Details__2[],5,FALSE)</f>
        <v>tier - 2</v>
      </c>
      <c r="O1179" t="str">
        <f>VLOOKUP(A1179,Hospitalisation_Details__2[],6,FALSE)</f>
        <v>tier - 3</v>
      </c>
      <c r="P1179" t="str">
        <f>VLOOKUP(A1179,Hospitalisation_Details__2[],7,FALSE)</f>
        <v>R1012</v>
      </c>
    </row>
    <row r="1180" spans="1:16" x14ac:dyDescent="0.35">
      <c r="A1180" t="str">
        <v>Id1179</v>
      </c>
      <c r="B1180" t="str">
        <f>VLOOKUP(A1180,'Customer Names (2)'!A:B, 2,FALSE)</f>
        <v>Mr</v>
      </c>
      <c r="C1180">
        <f>VLOOKUP(A1180,Medical_Examinations[],2,FALSE)</f>
        <v>24.48</v>
      </c>
      <c r="D1180">
        <f>VLOOKUP(A1180,Medical_Examinations[],3,FALSE)</f>
        <v>4.37</v>
      </c>
      <c r="E1180" t="str">
        <f>VLOOKUP(A1180,Medical_Examinations[],4,FALSE)</f>
        <v>Yes</v>
      </c>
      <c r="F1180" t="str">
        <f>VLOOKUP(A1180,Medical_Examinations[],5,FALSE)</f>
        <v>No</v>
      </c>
      <c r="G1180" t="str">
        <f>VLOOKUP(A1180,Medical_Examinations[],6,FALSE)</f>
        <v>No</v>
      </c>
      <c r="H1180">
        <f>VLOOKUP(A1180,Medical_Examinations[],7,FALSE)</f>
        <v>2</v>
      </c>
      <c r="I1180" t="str">
        <f>VLOOKUP(A1180,Medical_Examinations[],8,FALSE)</f>
        <v>No</v>
      </c>
      <c r="J1180" t="str">
        <f>VLOOKUP(A1180,Medical_Examinations[],9,FALSE)</f>
        <v>Normal Weight</v>
      </c>
      <c r="K1180" t="str">
        <f>VLOOKUP(A1180,Medical_Examinations[],10,FALSE)</f>
        <v>Normal</v>
      </c>
      <c r="M1180">
        <f>VLOOKUP(A1180,Hospitalisation_Details__2[],4,FALSE)</f>
        <v>9582.5400000000009</v>
      </c>
      <c r="N1180" t="str">
        <f>VLOOKUP(A1180,Hospitalisation_Details__2[],5,FALSE)</f>
        <v>tier - 3</v>
      </c>
      <c r="O1180" t="str">
        <f>VLOOKUP(A1180,Hospitalisation_Details__2[],6,FALSE)</f>
        <v>tier - 2</v>
      </c>
      <c r="P1180" t="str">
        <f>VLOOKUP(A1180,Hospitalisation_Details__2[],7,FALSE)</f>
        <v>R1013</v>
      </c>
    </row>
    <row r="1181" spans="1:16" x14ac:dyDescent="0.35">
      <c r="A1181" t="str">
        <v>Id1180</v>
      </c>
      <c r="B1181" t="str">
        <f>VLOOKUP(A1181,'Customer Names (2)'!A:B, 2,FALSE)</f>
        <v>Ms</v>
      </c>
      <c r="C1181">
        <f>VLOOKUP(A1181,Medical_Examinations[],2,FALSE)</f>
        <v>22.61</v>
      </c>
      <c r="D1181">
        <f>VLOOKUP(A1181,Medical_Examinations[],3,FALSE)</f>
        <v>9.6300000000000008</v>
      </c>
      <c r="E1181" t="str">
        <f>VLOOKUP(A1181,Medical_Examinations[],4,FALSE)</f>
        <v>No</v>
      </c>
      <c r="F1181" t="str">
        <f>VLOOKUP(A1181,Medical_Examinations[],5,FALSE)</f>
        <v>No</v>
      </c>
      <c r="G1181" t="str">
        <f>VLOOKUP(A1181,Medical_Examinations[],6,FALSE)</f>
        <v>No</v>
      </c>
      <c r="H1181">
        <f>VLOOKUP(A1181,Medical_Examinations[],7,FALSE)</f>
        <v>2</v>
      </c>
      <c r="I1181" t="str">
        <f>VLOOKUP(A1181,Medical_Examinations[],8,FALSE)</f>
        <v>No</v>
      </c>
      <c r="J1181" t="str">
        <f>VLOOKUP(A1181,Medical_Examinations[],9,FALSE)</f>
        <v>Normal Weight</v>
      </c>
      <c r="K1181" t="str">
        <f>VLOOKUP(A1181,Medical_Examinations[],10,FALSE)</f>
        <v>Diabetes</v>
      </c>
      <c r="M1181">
        <f>VLOOKUP(A1181,Hospitalisation_Details__2[],4,FALSE)</f>
        <v>9566.99</v>
      </c>
      <c r="N1181" t="str">
        <f>VLOOKUP(A1181,Hospitalisation_Details__2[],5,FALSE)</f>
        <v>tier - 2</v>
      </c>
      <c r="O1181" t="str">
        <f>VLOOKUP(A1181,Hospitalisation_Details__2[],6,FALSE)</f>
        <v>tier - 1</v>
      </c>
      <c r="P1181" t="str">
        <f>VLOOKUP(A1181,Hospitalisation_Details__2[],7,FALSE)</f>
        <v>R1012</v>
      </c>
    </row>
    <row r="1182" spans="1:16" x14ac:dyDescent="0.35">
      <c r="A1182" t="str">
        <v>Id1181</v>
      </c>
      <c r="B1182" t="str">
        <f>VLOOKUP(A1182,'Customer Names (2)'!A:B, 2,FALSE)</f>
        <v>Mr</v>
      </c>
      <c r="C1182">
        <f>VLOOKUP(A1182,Medical_Examinations[],2,FALSE)</f>
        <v>34.299999999999997</v>
      </c>
      <c r="D1182">
        <f>VLOOKUP(A1182,Medical_Examinations[],3,FALSE)</f>
        <v>10.37</v>
      </c>
      <c r="E1182" t="str">
        <f>VLOOKUP(A1182,Medical_Examinations[],4,FALSE)</f>
        <v>No</v>
      </c>
      <c r="F1182" t="str">
        <f>VLOOKUP(A1182,Medical_Examinations[],5,FALSE)</f>
        <v>No</v>
      </c>
      <c r="G1182" t="str">
        <f>VLOOKUP(A1182,Medical_Examinations[],6,FALSE)</f>
        <v>No</v>
      </c>
      <c r="H1182">
        <f>VLOOKUP(A1182,Medical_Examinations[],7,FALSE)</f>
        <v>0</v>
      </c>
      <c r="I1182" t="str">
        <f>VLOOKUP(A1182,Medical_Examinations[],8,FALSE)</f>
        <v>No</v>
      </c>
      <c r="J1182" t="str">
        <f>VLOOKUP(A1182,Medical_Examinations[],9,FALSE)</f>
        <v>Obesity</v>
      </c>
      <c r="K1182" t="str">
        <f>VLOOKUP(A1182,Medical_Examinations[],10,FALSE)</f>
        <v>Diabetes</v>
      </c>
      <c r="M1182">
        <f>VLOOKUP(A1182,Hospitalisation_Details__2[],4,FALSE)</f>
        <v>9563.0300000000007</v>
      </c>
      <c r="N1182" t="str">
        <f>VLOOKUP(A1182,Hospitalisation_Details__2[],5,FALSE)</f>
        <v>tier - 3</v>
      </c>
      <c r="O1182" t="str">
        <f>VLOOKUP(A1182,Hospitalisation_Details__2[],6,FALSE)</f>
        <v>tier - 1</v>
      </c>
      <c r="P1182" t="str">
        <f>VLOOKUP(A1182,Hospitalisation_Details__2[],7,FALSE)</f>
        <v>R1011</v>
      </c>
    </row>
    <row r="1183" spans="1:16" x14ac:dyDescent="0.35">
      <c r="A1183" t="str">
        <v>Id1182</v>
      </c>
      <c r="B1183" t="str">
        <f>VLOOKUP(A1183,'Customer Names (2)'!A:B, 2,FALSE)</f>
        <v>Ms</v>
      </c>
      <c r="C1183">
        <f>VLOOKUP(A1183,Medical_Examinations[],2,FALSE)</f>
        <v>46.09</v>
      </c>
      <c r="D1183">
        <f>VLOOKUP(A1183,Medical_Examinations[],3,FALSE)</f>
        <v>5.44</v>
      </c>
      <c r="E1183" t="str">
        <f>VLOOKUP(A1183,Medical_Examinations[],4,FALSE)</f>
        <v>No</v>
      </c>
      <c r="F1183" t="str">
        <f>VLOOKUP(A1183,Medical_Examinations[],5,FALSE)</f>
        <v>No</v>
      </c>
      <c r="G1183" t="str">
        <f>VLOOKUP(A1183,Medical_Examinations[],6,FALSE)</f>
        <v>No</v>
      </c>
      <c r="H1183">
        <f>VLOOKUP(A1183,Medical_Examinations[],7,FALSE)</f>
        <v>2</v>
      </c>
      <c r="I1183" t="str">
        <f>VLOOKUP(A1183,Medical_Examinations[],8,FALSE)</f>
        <v>No</v>
      </c>
      <c r="J1183" t="str">
        <f>VLOOKUP(A1183,Medical_Examinations[],9,FALSE)</f>
        <v>Obesity</v>
      </c>
      <c r="K1183" t="str">
        <f>VLOOKUP(A1183,Medical_Examinations[],10,FALSE)</f>
        <v>Normal</v>
      </c>
      <c r="M1183">
        <f>VLOOKUP(A1183,Hospitalisation_Details__2[],4,FALSE)</f>
        <v>9549.57</v>
      </c>
      <c r="N1183" t="str">
        <f>VLOOKUP(A1183,Hospitalisation_Details__2[],5,FALSE)</f>
        <v>tier - 2</v>
      </c>
      <c r="O1183" t="str">
        <f>VLOOKUP(A1183,Hospitalisation_Details__2[],6,FALSE)</f>
        <v>tier - 1</v>
      </c>
      <c r="P1183" t="str">
        <f>VLOOKUP(A1183,Hospitalisation_Details__2[],7,FALSE)</f>
        <v>R1013</v>
      </c>
    </row>
    <row r="1184" spans="1:16" x14ac:dyDescent="0.35">
      <c r="A1184" t="str">
        <v>Id1183</v>
      </c>
      <c r="B1184" t="str">
        <f>VLOOKUP(A1184,'Customer Names (2)'!A:B, 2,FALSE)</f>
        <v>Ms</v>
      </c>
      <c r="C1184">
        <f>VLOOKUP(A1184,Medical_Examinations[],2,FALSE)</f>
        <v>44.744999999999997</v>
      </c>
      <c r="D1184">
        <f>VLOOKUP(A1184,Medical_Examinations[],3,FALSE)</f>
        <v>5.19</v>
      </c>
      <c r="E1184" t="str">
        <f>VLOOKUP(A1184,Medical_Examinations[],4,FALSE)</f>
        <v>No</v>
      </c>
      <c r="F1184" t="str">
        <f>VLOOKUP(A1184,Medical_Examinations[],5,FALSE)</f>
        <v>No</v>
      </c>
      <c r="G1184" t="str">
        <f>VLOOKUP(A1184,Medical_Examinations[],6,FALSE)</f>
        <v>No</v>
      </c>
      <c r="H1184">
        <f>VLOOKUP(A1184,Medical_Examinations[],7,FALSE)</f>
        <v>2</v>
      </c>
      <c r="I1184" t="str">
        <f>VLOOKUP(A1184,Medical_Examinations[],8,FALSE)</f>
        <v>No</v>
      </c>
      <c r="J1184" t="str">
        <f>VLOOKUP(A1184,Medical_Examinations[],9,FALSE)</f>
        <v>Obesity</v>
      </c>
      <c r="K1184" t="str">
        <f>VLOOKUP(A1184,Medical_Examinations[],10,FALSE)</f>
        <v>Normal</v>
      </c>
      <c r="M1184">
        <f>VLOOKUP(A1184,Hospitalisation_Details__2[],4,FALSE)</f>
        <v>9541.7000000000007</v>
      </c>
      <c r="N1184" t="str">
        <f>VLOOKUP(A1184,Hospitalisation_Details__2[],5,FALSE)</f>
        <v>tier - 2</v>
      </c>
      <c r="O1184" t="str">
        <f>VLOOKUP(A1184,Hospitalisation_Details__2[],6,FALSE)</f>
        <v>tier - 1</v>
      </c>
      <c r="P1184" t="str">
        <f>VLOOKUP(A1184,Hospitalisation_Details__2[],7,FALSE)</f>
        <v>R1024</v>
      </c>
    </row>
    <row r="1185" spans="1:16" x14ac:dyDescent="0.35">
      <c r="A1185" t="str">
        <v>Id1184</v>
      </c>
      <c r="B1185" t="str">
        <f>VLOOKUP(A1185,'Customer Names (2)'!A:B, 2,FALSE)</f>
        <v>Mrs</v>
      </c>
      <c r="C1185">
        <f>VLOOKUP(A1185,Medical_Examinations[],2,FALSE)</f>
        <v>26.33</v>
      </c>
      <c r="D1185">
        <f>VLOOKUP(A1185,Medical_Examinations[],3,FALSE)</f>
        <v>11.8</v>
      </c>
      <c r="E1185" t="str">
        <f>VLOOKUP(A1185,Medical_Examinations[],4,FALSE)</f>
        <v>Yes</v>
      </c>
      <c r="F1185" t="str">
        <f>VLOOKUP(A1185,Medical_Examinations[],5,FALSE)</f>
        <v>No</v>
      </c>
      <c r="G1185" t="str">
        <f>VLOOKUP(A1185,Medical_Examinations[],6,FALSE)</f>
        <v>No</v>
      </c>
      <c r="H1185">
        <f>VLOOKUP(A1185,Medical_Examinations[],7,FALSE)</f>
        <v>1</v>
      </c>
      <c r="I1185" t="str">
        <f>VLOOKUP(A1185,Medical_Examinations[],8,FALSE)</f>
        <v>No</v>
      </c>
      <c r="J1185" t="str">
        <f>VLOOKUP(A1185,Medical_Examinations[],9,FALSE)</f>
        <v>Overweight</v>
      </c>
      <c r="K1185" t="str">
        <f>VLOOKUP(A1185,Medical_Examinations[],10,FALSE)</f>
        <v>Diabetes</v>
      </c>
      <c r="M1185">
        <f>VLOOKUP(A1185,Hospitalisation_Details__2[],4,FALSE)</f>
        <v>9540.17</v>
      </c>
      <c r="N1185" t="str">
        <f>VLOOKUP(A1185,Hospitalisation_Details__2[],5,FALSE)</f>
        <v>tier - 2</v>
      </c>
      <c r="O1185" t="str">
        <f>VLOOKUP(A1185,Hospitalisation_Details__2[],6,FALSE)</f>
        <v>tier - 2</v>
      </c>
      <c r="P1185" t="str">
        <f>VLOOKUP(A1185,Hospitalisation_Details__2[],7,FALSE)</f>
        <v>R1024</v>
      </c>
    </row>
    <row r="1186" spans="1:16" x14ac:dyDescent="0.35">
      <c r="A1186" t="str">
        <v>Id1185</v>
      </c>
      <c r="B1186" t="str">
        <f>VLOOKUP(A1186,'Customer Names (2)'!A:B, 2,FALSE)</f>
        <v>Mr</v>
      </c>
      <c r="C1186">
        <f>VLOOKUP(A1186,Medical_Examinations[],2,FALSE)</f>
        <v>26.6</v>
      </c>
      <c r="D1186">
        <f>VLOOKUP(A1186,Medical_Examinations[],3,FALSE)</f>
        <v>8.3800000000000008</v>
      </c>
      <c r="E1186" t="str">
        <f>VLOOKUP(A1186,Medical_Examinations[],4,FALSE)</f>
        <v>No</v>
      </c>
      <c r="F1186" t="str">
        <f>VLOOKUP(A1186,Medical_Examinations[],5,FALSE)</f>
        <v>No</v>
      </c>
      <c r="G1186" t="str">
        <f>VLOOKUP(A1186,Medical_Examinations[],6,FALSE)</f>
        <v>No</v>
      </c>
      <c r="H1186">
        <f>VLOOKUP(A1186,Medical_Examinations[],7,FALSE)</f>
        <v>2</v>
      </c>
      <c r="I1186" t="str">
        <f>VLOOKUP(A1186,Medical_Examinations[],8,FALSE)</f>
        <v>No</v>
      </c>
      <c r="J1186" t="str">
        <f>VLOOKUP(A1186,Medical_Examinations[],9,FALSE)</f>
        <v>Overweight</v>
      </c>
      <c r="K1186" t="str">
        <f>VLOOKUP(A1186,Medical_Examinations[],10,FALSE)</f>
        <v>Diabetes</v>
      </c>
      <c r="M1186">
        <f>VLOOKUP(A1186,Hospitalisation_Details__2[],4,FALSE)</f>
        <v>9538.65</v>
      </c>
      <c r="N1186" t="str">
        <f>VLOOKUP(A1186,Hospitalisation_Details__2[],5,FALSE)</f>
        <v>tier - 2</v>
      </c>
      <c r="O1186" t="str">
        <f>VLOOKUP(A1186,Hospitalisation_Details__2[],6,FALSE)</f>
        <v>tier - 3</v>
      </c>
      <c r="P1186" t="str">
        <f>VLOOKUP(A1186,Hospitalisation_Details__2[],7,FALSE)</f>
        <v>R1021</v>
      </c>
    </row>
    <row r="1187" spans="1:16" x14ac:dyDescent="0.35">
      <c r="A1187" t="str">
        <v>Id1186</v>
      </c>
      <c r="B1187" t="str">
        <f>VLOOKUP(A1187,'Customer Names (2)'!A:B, 2,FALSE)</f>
        <v>Ms</v>
      </c>
      <c r="C1187">
        <f>VLOOKUP(A1187,Medical_Examinations[],2,FALSE)</f>
        <v>27.5</v>
      </c>
      <c r="D1187">
        <f>VLOOKUP(A1187,Medical_Examinations[],3,FALSE)</f>
        <v>7.58</v>
      </c>
      <c r="E1187" t="str">
        <f>VLOOKUP(A1187,Medical_Examinations[],4,FALSE)</f>
        <v>No</v>
      </c>
      <c r="F1187" t="str">
        <f>VLOOKUP(A1187,Medical_Examinations[],5,FALSE)</f>
        <v>No</v>
      </c>
      <c r="G1187" t="str">
        <f>VLOOKUP(A1187,Medical_Examinations[],6,FALSE)</f>
        <v>No</v>
      </c>
      <c r="H1187">
        <f>VLOOKUP(A1187,Medical_Examinations[],7,FALSE)</f>
        <v>0</v>
      </c>
      <c r="I1187" t="str">
        <f>VLOOKUP(A1187,Medical_Examinations[],8,FALSE)</f>
        <v>No</v>
      </c>
      <c r="J1187" t="str">
        <f>VLOOKUP(A1187,Medical_Examinations[],9,FALSE)</f>
        <v>Overweight</v>
      </c>
      <c r="K1187" t="str">
        <f>VLOOKUP(A1187,Medical_Examinations[],10,FALSE)</f>
        <v>Diabetes</v>
      </c>
      <c r="M1187">
        <f>VLOOKUP(A1187,Hospitalisation_Details__2[],4,FALSE)</f>
        <v>9528.9</v>
      </c>
      <c r="N1187" t="str">
        <f>VLOOKUP(A1187,Hospitalisation_Details__2[],5,FALSE)</f>
        <v>tier - 2</v>
      </c>
      <c r="O1187" t="str">
        <f>VLOOKUP(A1187,Hospitalisation_Details__2[],6,FALSE)</f>
        <v>tier - 2</v>
      </c>
      <c r="P1187" t="str">
        <f>VLOOKUP(A1187,Hospitalisation_Details__2[],7,FALSE)</f>
        <v>R1011</v>
      </c>
    </row>
    <row r="1188" spans="1:16" x14ac:dyDescent="0.35">
      <c r="A1188" t="str">
        <v>Id1187</v>
      </c>
      <c r="B1188" t="str">
        <f>VLOOKUP(A1188,'Customer Names (2)'!A:B, 2,FALSE)</f>
        <v>Ms</v>
      </c>
      <c r="C1188">
        <f>VLOOKUP(A1188,Medical_Examinations[],2,FALSE)</f>
        <v>41.55</v>
      </c>
      <c r="D1188">
        <f>VLOOKUP(A1188,Medical_Examinations[],3,FALSE)</f>
        <v>4.6100000000000003</v>
      </c>
      <c r="E1188" t="str">
        <f>VLOOKUP(A1188,Medical_Examinations[],4,FALSE)</f>
        <v>No</v>
      </c>
      <c r="F1188" t="str">
        <f>VLOOKUP(A1188,Medical_Examinations[],5,FALSE)</f>
        <v>No</v>
      </c>
      <c r="G1188" t="str">
        <f>VLOOKUP(A1188,Medical_Examinations[],6,FALSE)</f>
        <v>No</v>
      </c>
      <c r="H1188">
        <f>VLOOKUP(A1188,Medical_Examinations[],7,FALSE)</f>
        <v>1</v>
      </c>
      <c r="I1188" t="str">
        <f>VLOOKUP(A1188,Medical_Examinations[],8,FALSE)</f>
        <v>No</v>
      </c>
      <c r="J1188" t="str">
        <f>VLOOKUP(A1188,Medical_Examinations[],9,FALSE)</f>
        <v>Obesity</v>
      </c>
      <c r="K1188" t="str">
        <f>VLOOKUP(A1188,Medical_Examinations[],10,FALSE)</f>
        <v>Normal</v>
      </c>
      <c r="M1188">
        <f>VLOOKUP(A1188,Hospitalisation_Details__2[],4,FALSE)</f>
        <v>9507.68</v>
      </c>
      <c r="N1188" t="str">
        <f>VLOOKUP(A1188,Hospitalisation_Details__2[],5,FALSE)</f>
        <v>tier - 2</v>
      </c>
      <c r="O1188" t="str">
        <f>VLOOKUP(A1188,Hospitalisation_Details__2[],6,FALSE)</f>
        <v>tier - 1</v>
      </c>
      <c r="P1188" t="str">
        <f>VLOOKUP(A1188,Hospitalisation_Details__2[],7,FALSE)</f>
        <v>R1012</v>
      </c>
    </row>
    <row r="1189" spans="1:16" x14ac:dyDescent="0.35">
      <c r="A1189" t="str">
        <v>Id1188</v>
      </c>
      <c r="B1189" t="str">
        <f>VLOOKUP(A1189,'Customer Names (2)'!A:B, 2,FALSE)</f>
        <v>Mr</v>
      </c>
      <c r="C1189">
        <f>VLOOKUP(A1189,Medical_Examinations[],2,FALSE)</f>
        <v>41.47</v>
      </c>
      <c r="D1189">
        <f>VLOOKUP(A1189,Medical_Examinations[],3,FALSE)</f>
        <v>4.7</v>
      </c>
      <c r="E1189" t="str">
        <f>VLOOKUP(A1189,Medical_Examinations[],4,FALSE)</f>
        <v>Yes</v>
      </c>
      <c r="F1189" t="str">
        <f>VLOOKUP(A1189,Medical_Examinations[],5,FALSE)</f>
        <v>No</v>
      </c>
      <c r="G1189" t="str">
        <f>VLOOKUP(A1189,Medical_Examinations[],6,FALSE)</f>
        <v>Yes</v>
      </c>
      <c r="H1189">
        <f>VLOOKUP(A1189,Medical_Examinations[],7,FALSE)</f>
        <v>1</v>
      </c>
      <c r="I1189" t="str">
        <f>VLOOKUP(A1189,Medical_Examinations[],8,FALSE)</f>
        <v>No</v>
      </c>
      <c r="J1189" t="str">
        <f>VLOOKUP(A1189,Medical_Examinations[],9,FALSE)</f>
        <v>Obesity</v>
      </c>
      <c r="K1189" t="str">
        <f>VLOOKUP(A1189,Medical_Examinations[],10,FALSE)</f>
        <v>Normal</v>
      </c>
      <c r="M1189">
        <f>VLOOKUP(A1189,Hospitalisation_Details__2[],4,FALSE)</f>
        <v>9504.31</v>
      </c>
      <c r="N1189" t="str">
        <f>VLOOKUP(A1189,Hospitalisation_Details__2[],5,FALSE)</f>
        <v>tier - 3</v>
      </c>
      <c r="O1189" t="str">
        <f>VLOOKUP(A1189,Hospitalisation_Details__2[],6,FALSE)</f>
        <v>tier - 2</v>
      </c>
      <c r="P1189" t="str">
        <f>VLOOKUP(A1189,Hospitalisation_Details__2[],7,FALSE)</f>
        <v>R1013</v>
      </c>
    </row>
    <row r="1190" spans="1:16" x14ac:dyDescent="0.35">
      <c r="A1190" t="str">
        <v>Id1189</v>
      </c>
      <c r="B1190" t="str">
        <f>VLOOKUP(A1190,'Customer Names (2)'!A:B, 2,FALSE)</f>
        <v>Mr</v>
      </c>
      <c r="C1190">
        <f>VLOOKUP(A1190,Medical_Examinations[],2,FALSE)</f>
        <v>24.795000000000002</v>
      </c>
      <c r="D1190">
        <f>VLOOKUP(A1190,Medical_Examinations[],3,FALSE)</f>
        <v>6.05</v>
      </c>
      <c r="E1190" t="str">
        <f>VLOOKUP(A1190,Medical_Examinations[],4,FALSE)</f>
        <v>Yes</v>
      </c>
      <c r="F1190" t="str">
        <f>VLOOKUP(A1190,Medical_Examinations[],5,FALSE)</f>
        <v>No</v>
      </c>
      <c r="G1190" t="str">
        <f>VLOOKUP(A1190,Medical_Examinations[],6,FALSE)</f>
        <v>No</v>
      </c>
      <c r="H1190">
        <f>VLOOKUP(A1190,Medical_Examinations[],7,FALSE)</f>
        <v>0</v>
      </c>
      <c r="I1190" t="str">
        <f>VLOOKUP(A1190,Medical_Examinations[],8,FALSE)</f>
        <v>No</v>
      </c>
      <c r="J1190" t="str">
        <f>VLOOKUP(A1190,Medical_Examinations[],9,FALSE)</f>
        <v>Normal Weight</v>
      </c>
      <c r="K1190" t="str">
        <f>VLOOKUP(A1190,Medical_Examinations[],10,FALSE)</f>
        <v>Prediabetes</v>
      </c>
      <c r="M1190">
        <f>VLOOKUP(A1190,Hospitalisation_Details__2[],4,FALSE)</f>
        <v>9500.57</v>
      </c>
      <c r="N1190" t="str">
        <f>VLOOKUP(A1190,Hospitalisation_Details__2[],5,FALSE)</f>
        <v>tier - 2</v>
      </c>
      <c r="O1190" t="str">
        <f>VLOOKUP(A1190,Hospitalisation_Details__2[],6,FALSE)</f>
        <v>tier - 3</v>
      </c>
      <c r="P1190" t="str">
        <f>VLOOKUP(A1190,Hospitalisation_Details__2[],7,FALSE)</f>
        <v>R1017</v>
      </c>
    </row>
    <row r="1191" spans="1:16" x14ac:dyDescent="0.35">
      <c r="A1191" t="str">
        <v>Id1190</v>
      </c>
      <c r="B1191" t="str">
        <f>VLOOKUP(A1191,'Customer Names (2)'!A:B, 2,FALSE)</f>
        <v>Mr</v>
      </c>
      <c r="C1191">
        <f>VLOOKUP(A1191,Medical_Examinations[],2,FALSE)</f>
        <v>29.48</v>
      </c>
      <c r="D1191">
        <f>VLOOKUP(A1191,Medical_Examinations[],3,FALSE)</f>
        <v>5.63</v>
      </c>
      <c r="E1191" t="str">
        <f>VLOOKUP(A1191,Medical_Examinations[],4,FALSE)</f>
        <v>Yes</v>
      </c>
      <c r="F1191" t="str">
        <f>VLOOKUP(A1191,Medical_Examinations[],5,FALSE)</f>
        <v>No</v>
      </c>
      <c r="G1191" t="str">
        <f>VLOOKUP(A1191,Medical_Examinations[],6,FALSE)</f>
        <v>Yes</v>
      </c>
      <c r="H1191">
        <f>VLOOKUP(A1191,Medical_Examinations[],7,FALSE)</f>
        <v>1</v>
      </c>
      <c r="I1191" t="str">
        <f>VLOOKUP(A1191,Medical_Examinations[],8,FALSE)</f>
        <v>No</v>
      </c>
      <c r="J1191" t="str">
        <f>VLOOKUP(A1191,Medical_Examinations[],9,FALSE)</f>
        <v>Overweight</v>
      </c>
      <c r="K1191" t="str">
        <f>VLOOKUP(A1191,Medical_Examinations[],10,FALSE)</f>
        <v>Normal</v>
      </c>
      <c r="M1191">
        <f>VLOOKUP(A1191,Hospitalisation_Details__2[],4,FALSE)</f>
        <v>9487.64</v>
      </c>
      <c r="N1191" t="str">
        <f>VLOOKUP(A1191,Hospitalisation_Details__2[],5,FALSE)</f>
        <v>tier - 2</v>
      </c>
      <c r="O1191" t="str">
        <f>VLOOKUP(A1191,Hospitalisation_Details__2[],6,FALSE)</f>
        <v>tier - 2</v>
      </c>
      <c r="P1191" t="str">
        <f>VLOOKUP(A1191,Hospitalisation_Details__2[],7,FALSE)</f>
        <v>R1013</v>
      </c>
    </row>
    <row r="1192" spans="1:16" x14ac:dyDescent="0.35">
      <c r="A1192" t="str">
        <v>Id1191</v>
      </c>
      <c r="B1192" t="str">
        <f>VLOOKUP(A1192,'Customer Names (2)'!A:B, 2,FALSE)</f>
        <v>Mr</v>
      </c>
      <c r="C1192">
        <f>VLOOKUP(A1192,Medical_Examinations[],2,FALSE)</f>
        <v>28.09</v>
      </c>
      <c r="D1192">
        <f>VLOOKUP(A1192,Medical_Examinations[],3,FALSE)</f>
        <v>6.06</v>
      </c>
      <c r="E1192" t="str">
        <f>VLOOKUP(A1192,Medical_Examinations[],4,FALSE)</f>
        <v>No</v>
      </c>
      <c r="F1192" t="str">
        <f>VLOOKUP(A1192,Medical_Examinations[],5,FALSE)</f>
        <v>No</v>
      </c>
      <c r="G1192" t="str">
        <f>VLOOKUP(A1192,Medical_Examinations[],6,FALSE)</f>
        <v>Yes</v>
      </c>
      <c r="H1192">
        <f>VLOOKUP(A1192,Medical_Examinations[],7,FALSE)</f>
        <v>1</v>
      </c>
      <c r="I1192" t="str">
        <f>VLOOKUP(A1192,Medical_Examinations[],8,FALSE)</f>
        <v>No</v>
      </c>
      <c r="J1192" t="str">
        <f>VLOOKUP(A1192,Medical_Examinations[],9,FALSE)</f>
        <v>Overweight</v>
      </c>
      <c r="K1192" t="str">
        <f>VLOOKUP(A1192,Medical_Examinations[],10,FALSE)</f>
        <v>Prediabetes</v>
      </c>
      <c r="M1192">
        <f>VLOOKUP(A1192,Hospitalisation_Details__2[],4,FALSE)</f>
        <v>9453.92</v>
      </c>
      <c r="N1192" t="str">
        <f>VLOOKUP(A1192,Hospitalisation_Details__2[],5,FALSE)</f>
        <v>tier - 2</v>
      </c>
      <c r="O1192" t="str">
        <f>VLOOKUP(A1192,Hospitalisation_Details__2[],6,FALSE)</f>
        <v>tier - 2</v>
      </c>
      <c r="P1192" t="str">
        <f>VLOOKUP(A1192,Hospitalisation_Details__2[],7,FALSE)</f>
        <v>R1021</v>
      </c>
    </row>
    <row r="1193" spans="1:16" x14ac:dyDescent="0.35">
      <c r="A1193" t="str">
        <v>Id1192</v>
      </c>
      <c r="B1193" t="str">
        <f>VLOOKUP(A1193,'Customer Names (2)'!A:B, 2,FALSE)</f>
        <v>Mr</v>
      </c>
      <c r="C1193">
        <f>VLOOKUP(A1193,Medical_Examinations[],2,FALSE)</f>
        <v>32.729999999999997</v>
      </c>
      <c r="D1193">
        <f>VLOOKUP(A1193,Medical_Examinations[],3,FALSE)</f>
        <v>5.19</v>
      </c>
      <c r="E1193" t="str">
        <f>VLOOKUP(A1193,Medical_Examinations[],4,FALSE)</f>
        <v>No</v>
      </c>
      <c r="F1193" t="str">
        <f>VLOOKUP(A1193,Medical_Examinations[],5,FALSE)</f>
        <v>No</v>
      </c>
      <c r="G1193" t="str">
        <f>VLOOKUP(A1193,Medical_Examinations[],6,FALSE)</f>
        <v>No</v>
      </c>
      <c r="H1193">
        <f>VLOOKUP(A1193,Medical_Examinations[],7,FALSE)</f>
        <v>1</v>
      </c>
      <c r="I1193" t="str">
        <f>VLOOKUP(A1193,Medical_Examinations[],8,FALSE)</f>
        <v>No</v>
      </c>
      <c r="J1193" t="str">
        <f>VLOOKUP(A1193,Medical_Examinations[],9,FALSE)</f>
        <v>Obesity</v>
      </c>
      <c r="K1193" t="str">
        <f>VLOOKUP(A1193,Medical_Examinations[],10,FALSE)</f>
        <v>Normal</v>
      </c>
      <c r="M1193">
        <f>VLOOKUP(A1193,Hospitalisation_Details__2[],4,FALSE)</f>
        <v>9448.42</v>
      </c>
      <c r="N1193" t="str">
        <f>VLOOKUP(A1193,Hospitalisation_Details__2[],5,FALSE)</f>
        <v>tier - 2</v>
      </c>
      <c r="O1193" t="str">
        <f>VLOOKUP(A1193,Hospitalisation_Details__2[],6,FALSE)</f>
        <v>tier - 3</v>
      </c>
      <c r="P1193" t="str">
        <f>VLOOKUP(A1193,Hospitalisation_Details__2[],7,FALSE)</f>
        <v>R1021</v>
      </c>
    </row>
    <row r="1194" spans="1:16" x14ac:dyDescent="0.35">
      <c r="A1194" t="str">
        <v>Id1193</v>
      </c>
      <c r="B1194" t="str">
        <f>VLOOKUP(A1194,'Customer Names (2)'!A:B, 2,FALSE)</f>
        <v>Ms</v>
      </c>
      <c r="C1194">
        <f>VLOOKUP(A1194,Medical_Examinations[],2,FALSE)</f>
        <v>27.36</v>
      </c>
      <c r="D1194">
        <f>VLOOKUP(A1194,Medical_Examinations[],3,FALSE)</f>
        <v>8.9600000000000009</v>
      </c>
      <c r="E1194" t="str">
        <f>VLOOKUP(A1194,Medical_Examinations[],4,FALSE)</f>
        <v>No</v>
      </c>
      <c r="F1194" t="str">
        <f>VLOOKUP(A1194,Medical_Examinations[],5,FALSE)</f>
        <v>No</v>
      </c>
      <c r="G1194" t="str">
        <f>VLOOKUP(A1194,Medical_Examinations[],6,FALSE)</f>
        <v>No</v>
      </c>
      <c r="H1194">
        <f>VLOOKUP(A1194,Medical_Examinations[],7,FALSE)</f>
        <v>0</v>
      </c>
      <c r="I1194" t="str">
        <f>VLOOKUP(A1194,Medical_Examinations[],8,FALSE)</f>
        <v>No</v>
      </c>
      <c r="J1194" t="str">
        <f>VLOOKUP(A1194,Medical_Examinations[],9,FALSE)</f>
        <v>Overweight</v>
      </c>
      <c r="K1194" t="str">
        <f>VLOOKUP(A1194,Medical_Examinations[],10,FALSE)</f>
        <v>Diabetes</v>
      </c>
      <c r="M1194">
        <f>VLOOKUP(A1194,Hospitalisation_Details__2[],4,FALSE)</f>
        <v>9447.3799999999992</v>
      </c>
      <c r="N1194" t="str">
        <f>VLOOKUP(A1194,Hospitalisation_Details__2[],5,FALSE)</f>
        <v>tier - 2</v>
      </c>
      <c r="O1194" t="str">
        <f>VLOOKUP(A1194,Hospitalisation_Details__2[],6,FALSE)</f>
        <v>tier - 3</v>
      </c>
      <c r="P1194" t="str">
        <f>VLOOKUP(A1194,Hospitalisation_Details__2[],7,FALSE)</f>
        <v>R1024</v>
      </c>
    </row>
    <row r="1195" spans="1:16" x14ac:dyDescent="0.35">
      <c r="A1195" t="str">
        <v>Id1194</v>
      </c>
      <c r="B1195" t="str">
        <f>VLOOKUP(A1195,'Customer Names (2)'!A:B, 2,FALSE)</f>
        <v>Ms</v>
      </c>
      <c r="C1195">
        <f>VLOOKUP(A1195,Medical_Examinations[],2,FALSE)</f>
        <v>27.265000000000001</v>
      </c>
      <c r="D1195">
        <f>VLOOKUP(A1195,Medical_Examinations[],3,FALSE)</f>
        <v>11.39</v>
      </c>
      <c r="E1195" t="str">
        <f>VLOOKUP(A1195,Medical_Examinations[],4,FALSE)</f>
        <v>No</v>
      </c>
      <c r="F1195" t="str">
        <f>VLOOKUP(A1195,Medical_Examinations[],5,FALSE)</f>
        <v>No</v>
      </c>
      <c r="G1195" t="str">
        <f>VLOOKUP(A1195,Medical_Examinations[],6,FALSE)</f>
        <v>No</v>
      </c>
      <c r="H1195">
        <f>VLOOKUP(A1195,Medical_Examinations[],7,FALSE)</f>
        <v>0</v>
      </c>
      <c r="I1195" t="str">
        <f>VLOOKUP(A1195,Medical_Examinations[],8,FALSE)</f>
        <v>No</v>
      </c>
      <c r="J1195" t="str">
        <f>VLOOKUP(A1195,Medical_Examinations[],9,FALSE)</f>
        <v>Overweight</v>
      </c>
      <c r="K1195" t="str">
        <f>VLOOKUP(A1195,Medical_Examinations[],10,FALSE)</f>
        <v>Diabetes</v>
      </c>
      <c r="M1195">
        <f>VLOOKUP(A1195,Hospitalisation_Details__2[],4,FALSE)</f>
        <v>9447.25</v>
      </c>
      <c r="N1195" t="str">
        <f>VLOOKUP(A1195,Hospitalisation_Details__2[],5,FALSE)</f>
        <v>tier - 2</v>
      </c>
      <c r="O1195" t="str">
        <f>VLOOKUP(A1195,Hospitalisation_Details__2[],6,FALSE)</f>
        <v>tier - 1</v>
      </c>
      <c r="P1195" t="str">
        <f>VLOOKUP(A1195,Hospitalisation_Details__2[],7,FALSE)</f>
        <v>R1024</v>
      </c>
    </row>
    <row r="1196" spans="1:16" x14ac:dyDescent="0.35">
      <c r="A1196" t="str">
        <v>Id1195</v>
      </c>
      <c r="B1196" t="str">
        <f>VLOOKUP(A1196,'Customer Names (2)'!A:B, 2,FALSE)</f>
        <v>Ms</v>
      </c>
      <c r="C1196">
        <f>VLOOKUP(A1196,Medical_Examinations[],2,FALSE)</f>
        <v>48.07</v>
      </c>
      <c r="D1196">
        <f>VLOOKUP(A1196,Medical_Examinations[],3,FALSE)</f>
        <v>4.0599999999999996</v>
      </c>
      <c r="E1196" t="str">
        <f>VLOOKUP(A1196,Medical_Examinations[],4,FALSE)</f>
        <v>Yes</v>
      </c>
      <c r="F1196" t="str">
        <f>VLOOKUP(A1196,Medical_Examinations[],5,FALSE)</f>
        <v>No</v>
      </c>
      <c r="G1196" t="str">
        <f>VLOOKUP(A1196,Medical_Examinations[],6,FALSE)</f>
        <v>No</v>
      </c>
      <c r="H1196">
        <f>VLOOKUP(A1196,Medical_Examinations[],7,FALSE)</f>
        <v>0</v>
      </c>
      <c r="I1196" t="str">
        <f>VLOOKUP(A1196,Medical_Examinations[],8,FALSE)</f>
        <v>No</v>
      </c>
      <c r="J1196" t="str">
        <f>VLOOKUP(A1196,Medical_Examinations[],9,FALSE)</f>
        <v>Obesity</v>
      </c>
      <c r="K1196" t="str">
        <f>VLOOKUP(A1196,Medical_Examinations[],10,FALSE)</f>
        <v>Normal</v>
      </c>
      <c r="M1196">
        <f>VLOOKUP(A1196,Hospitalisation_Details__2[],4,FALSE)</f>
        <v>9432.93</v>
      </c>
      <c r="N1196" t="str">
        <f>VLOOKUP(A1196,Hospitalisation_Details__2[],5,FALSE)</f>
        <v>tier - 2</v>
      </c>
      <c r="O1196" t="str">
        <f>VLOOKUP(A1196,Hospitalisation_Details__2[],6,FALSE)</f>
        <v>tier - 1</v>
      </c>
      <c r="P1196" t="str">
        <f>VLOOKUP(A1196,Hospitalisation_Details__2[],7,FALSE)</f>
        <v>R1024</v>
      </c>
    </row>
    <row r="1197" spans="1:16" x14ac:dyDescent="0.35">
      <c r="A1197" t="str">
        <v>Id1196</v>
      </c>
      <c r="B1197" t="str">
        <f>VLOOKUP(A1197,'Customer Names (2)'!A:B, 2,FALSE)</f>
        <v>Ms</v>
      </c>
      <c r="C1197">
        <f>VLOOKUP(A1197,Medical_Examinations[],2,FALSE)</f>
        <v>30.8</v>
      </c>
      <c r="D1197">
        <f>VLOOKUP(A1197,Medical_Examinations[],3,FALSE)</f>
        <v>5.23</v>
      </c>
      <c r="E1197" t="str">
        <f>VLOOKUP(A1197,Medical_Examinations[],4,FALSE)</f>
        <v>Yes</v>
      </c>
      <c r="F1197" t="str">
        <f>VLOOKUP(A1197,Medical_Examinations[],5,FALSE)</f>
        <v>No</v>
      </c>
      <c r="G1197" t="str">
        <f>VLOOKUP(A1197,Medical_Examinations[],6,FALSE)</f>
        <v>No</v>
      </c>
      <c r="H1197">
        <f>VLOOKUP(A1197,Medical_Examinations[],7,FALSE)</f>
        <v>0</v>
      </c>
      <c r="I1197" t="str">
        <f>VLOOKUP(A1197,Medical_Examinations[],8,FALSE)</f>
        <v>No</v>
      </c>
      <c r="J1197" t="str">
        <f>VLOOKUP(A1197,Medical_Examinations[],9,FALSE)</f>
        <v>Obesity</v>
      </c>
      <c r="K1197" t="str">
        <f>VLOOKUP(A1197,Medical_Examinations[],10,FALSE)</f>
        <v>Normal</v>
      </c>
      <c r="M1197">
        <f>VLOOKUP(A1197,Hospitalisation_Details__2[],4,FALSE)</f>
        <v>9414.92</v>
      </c>
      <c r="N1197" t="str">
        <f>VLOOKUP(A1197,Hospitalisation_Details__2[],5,FALSE)</f>
        <v>tier - 2</v>
      </c>
      <c r="O1197" t="str">
        <f>VLOOKUP(A1197,Hospitalisation_Details__2[],6,FALSE)</f>
        <v>tier - 2</v>
      </c>
      <c r="P1197" t="str">
        <f>VLOOKUP(A1197,Hospitalisation_Details__2[],7,FALSE)</f>
        <v>R1011</v>
      </c>
    </row>
    <row r="1198" spans="1:16" x14ac:dyDescent="0.35">
      <c r="A1198" t="str">
        <v>Id1197</v>
      </c>
      <c r="B1198" t="str">
        <f>VLOOKUP(A1198,'Customer Names (2)'!A:B, 2,FALSE)</f>
        <v>Ms</v>
      </c>
      <c r="C1198">
        <f>VLOOKUP(A1198,Medical_Examinations[],2,FALSE)</f>
        <v>32.299999999999997</v>
      </c>
      <c r="D1198">
        <f>VLOOKUP(A1198,Medical_Examinations[],3,FALSE)</f>
        <v>5.05</v>
      </c>
      <c r="E1198" t="str">
        <f>VLOOKUP(A1198,Medical_Examinations[],4,FALSE)</f>
        <v>Yes</v>
      </c>
      <c r="F1198" t="str">
        <f>VLOOKUP(A1198,Medical_Examinations[],5,FALSE)</f>
        <v>No</v>
      </c>
      <c r="G1198" t="str">
        <f>VLOOKUP(A1198,Medical_Examinations[],6,FALSE)</f>
        <v>No</v>
      </c>
      <c r="H1198">
        <f>VLOOKUP(A1198,Medical_Examinations[],7,FALSE)</f>
        <v>0</v>
      </c>
      <c r="I1198" t="str">
        <f>VLOOKUP(A1198,Medical_Examinations[],8,FALSE)</f>
        <v>No</v>
      </c>
      <c r="J1198" t="str">
        <f>VLOOKUP(A1198,Medical_Examinations[],9,FALSE)</f>
        <v>Obesity</v>
      </c>
      <c r="K1198" t="str">
        <f>VLOOKUP(A1198,Medical_Examinations[],10,FALSE)</f>
        <v>Normal</v>
      </c>
      <c r="M1198">
        <f>VLOOKUP(A1198,Hospitalisation_Details__2[],4,FALSE)</f>
        <v>9411.01</v>
      </c>
      <c r="N1198" t="str">
        <f>VLOOKUP(A1198,Hospitalisation_Details__2[],5,FALSE)</f>
        <v>tier - 2</v>
      </c>
      <c r="O1198" t="str">
        <f>VLOOKUP(A1198,Hospitalisation_Details__2[],6,FALSE)</f>
        <v>tier - 3</v>
      </c>
      <c r="P1198" t="str">
        <f>VLOOKUP(A1198,Hospitalisation_Details__2[],7,FALSE)</f>
        <v>R1024</v>
      </c>
    </row>
    <row r="1199" spans="1:16" x14ac:dyDescent="0.35">
      <c r="A1199" t="str">
        <v>Id1198</v>
      </c>
      <c r="B1199" t="str">
        <f>VLOOKUP(A1199,'Customer Names (2)'!A:B, 2,FALSE)</f>
        <v>Mr</v>
      </c>
      <c r="C1199">
        <f>VLOOKUP(A1199,Medical_Examinations[],2,FALSE)</f>
        <v>39.700000000000003</v>
      </c>
      <c r="D1199">
        <f>VLOOKUP(A1199,Medical_Examinations[],3,FALSE)</f>
        <v>7.34</v>
      </c>
      <c r="E1199" t="str">
        <f>VLOOKUP(A1199,Medical_Examinations[],4,FALSE)</f>
        <v>No</v>
      </c>
      <c r="F1199" t="str">
        <f>VLOOKUP(A1199,Medical_Examinations[],5,FALSE)</f>
        <v>No</v>
      </c>
      <c r="G1199" t="str">
        <f>VLOOKUP(A1199,Medical_Examinations[],6,FALSE)</f>
        <v>No</v>
      </c>
      <c r="H1199">
        <f>VLOOKUP(A1199,Medical_Examinations[],7,FALSE)</f>
        <v>0</v>
      </c>
      <c r="I1199" t="str">
        <f>VLOOKUP(A1199,Medical_Examinations[],8,FALSE)</f>
        <v>No</v>
      </c>
      <c r="J1199" t="str">
        <f>VLOOKUP(A1199,Medical_Examinations[],9,FALSE)</f>
        <v>Obesity</v>
      </c>
      <c r="K1199" t="str">
        <f>VLOOKUP(A1199,Medical_Examinations[],10,FALSE)</f>
        <v>Diabetes</v>
      </c>
      <c r="M1199">
        <f>VLOOKUP(A1199,Hospitalisation_Details__2[],4,FALSE)</f>
        <v>9391.35</v>
      </c>
      <c r="N1199" t="str">
        <f>VLOOKUP(A1199,Hospitalisation_Details__2[],5,FALSE)</f>
        <v>tier - 3</v>
      </c>
      <c r="O1199" t="str">
        <f>VLOOKUP(A1199,Hospitalisation_Details__2[],6,FALSE)</f>
        <v>tier - 3</v>
      </c>
      <c r="P1199" t="str">
        <f>VLOOKUP(A1199,Hospitalisation_Details__2[],7,FALSE)</f>
        <v>R1011</v>
      </c>
    </row>
    <row r="1200" spans="1:16" x14ac:dyDescent="0.35">
      <c r="A1200" t="str">
        <v>Id1199</v>
      </c>
      <c r="B1200" t="str">
        <f>VLOOKUP(A1200,'Customer Names (2)'!A:B, 2,FALSE)</f>
        <v>Mr</v>
      </c>
      <c r="C1200">
        <f>VLOOKUP(A1200,Medical_Examinations[],2,FALSE)</f>
        <v>35.97</v>
      </c>
      <c r="D1200">
        <f>VLOOKUP(A1200,Medical_Examinations[],3,FALSE)</f>
        <v>8.1300000000000008</v>
      </c>
      <c r="E1200" t="str">
        <f>VLOOKUP(A1200,Medical_Examinations[],4,FALSE)</f>
        <v>No</v>
      </c>
      <c r="F1200" t="str">
        <f>VLOOKUP(A1200,Medical_Examinations[],5,FALSE)</f>
        <v>No</v>
      </c>
      <c r="G1200" t="str">
        <f>VLOOKUP(A1200,Medical_Examinations[],6,FALSE)</f>
        <v>No</v>
      </c>
      <c r="H1200">
        <f>VLOOKUP(A1200,Medical_Examinations[],7,FALSE)</f>
        <v>0</v>
      </c>
      <c r="I1200" t="str">
        <f>VLOOKUP(A1200,Medical_Examinations[],8,FALSE)</f>
        <v>No</v>
      </c>
      <c r="J1200" t="str">
        <f>VLOOKUP(A1200,Medical_Examinations[],9,FALSE)</f>
        <v>Obesity</v>
      </c>
      <c r="K1200" t="str">
        <f>VLOOKUP(A1200,Medical_Examinations[],10,FALSE)</f>
        <v>Diabetes</v>
      </c>
      <c r="M1200">
        <f>VLOOKUP(A1200,Hospitalisation_Details__2[],4,FALSE)</f>
        <v>9386.16</v>
      </c>
      <c r="N1200" t="str">
        <f>VLOOKUP(A1200,Hospitalisation_Details__2[],5,FALSE)</f>
        <v>tier - 3</v>
      </c>
      <c r="O1200" t="str">
        <f>VLOOKUP(A1200,Hospitalisation_Details__2[],6,FALSE)</f>
        <v>tier - 2</v>
      </c>
      <c r="P1200" t="str">
        <f>VLOOKUP(A1200,Hospitalisation_Details__2[],7,FALSE)</f>
        <v>R1013</v>
      </c>
    </row>
    <row r="1201" spans="1:16" x14ac:dyDescent="0.35">
      <c r="A1201" t="str">
        <v>Id1200</v>
      </c>
      <c r="B1201" t="str">
        <f>VLOOKUP(A1201,'Customer Names (2)'!A:B, 2,FALSE)</f>
        <v>Mrs</v>
      </c>
      <c r="C1201">
        <f>VLOOKUP(A1201,Medical_Examinations[],2,FALSE)</f>
        <v>25.86</v>
      </c>
      <c r="D1201">
        <f>VLOOKUP(A1201,Medical_Examinations[],3,FALSE)</f>
        <v>6.68</v>
      </c>
      <c r="E1201" t="str">
        <f>VLOOKUP(A1201,Medical_Examinations[],4,FALSE)</f>
        <v>Yes</v>
      </c>
      <c r="F1201" t="str">
        <f>VLOOKUP(A1201,Medical_Examinations[],5,FALSE)</f>
        <v>No</v>
      </c>
      <c r="G1201" t="str">
        <f>VLOOKUP(A1201,Medical_Examinations[],6,FALSE)</f>
        <v>No</v>
      </c>
      <c r="H1201">
        <f>VLOOKUP(A1201,Medical_Examinations[],7,FALSE)</f>
        <v>1</v>
      </c>
      <c r="I1201" t="str">
        <f>VLOOKUP(A1201,Medical_Examinations[],8,FALSE)</f>
        <v>No</v>
      </c>
      <c r="J1201" t="str">
        <f>VLOOKUP(A1201,Medical_Examinations[],9,FALSE)</f>
        <v>Overweight</v>
      </c>
      <c r="K1201" t="str">
        <f>VLOOKUP(A1201,Medical_Examinations[],10,FALSE)</f>
        <v>Diabetes</v>
      </c>
      <c r="M1201">
        <f>VLOOKUP(A1201,Hospitalisation_Details__2[],4,FALSE)</f>
        <v>9380.75</v>
      </c>
      <c r="N1201" t="str">
        <f>VLOOKUP(A1201,Hospitalisation_Details__2[],5,FALSE)</f>
        <v>tier - 2</v>
      </c>
      <c r="O1201" t="str">
        <f>VLOOKUP(A1201,Hospitalisation_Details__2[],6,FALSE)</f>
        <v>tier - 2</v>
      </c>
      <c r="P1201" t="str">
        <f>VLOOKUP(A1201,Hospitalisation_Details__2[],7,FALSE)</f>
        <v>R1024</v>
      </c>
    </row>
    <row r="1202" spans="1:16" x14ac:dyDescent="0.35">
      <c r="A1202" t="str">
        <v>Id1201</v>
      </c>
      <c r="B1202" t="str">
        <f>VLOOKUP(A1202,'Customer Names (2)'!A:B, 2,FALSE)</f>
        <v>Mr</v>
      </c>
      <c r="C1202">
        <f>VLOOKUP(A1202,Medical_Examinations[],2,FALSE)</f>
        <v>30.03</v>
      </c>
      <c r="D1202">
        <f>VLOOKUP(A1202,Medical_Examinations[],3,FALSE)</f>
        <v>11.51</v>
      </c>
      <c r="E1202" t="str">
        <f>VLOOKUP(A1202,Medical_Examinations[],4,FALSE)</f>
        <v>No</v>
      </c>
      <c r="F1202" t="str">
        <f>VLOOKUP(A1202,Medical_Examinations[],5,FALSE)</f>
        <v>No</v>
      </c>
      <c r="G1202" t="str">
        <f>VLOOKUP(A1202,Medical_Examinations[],6,FALSE)</f>
        <v>No</v>
      </c>
      <c r="H1202">
        <f>VLOOKUP(A1202,Medical_Examinations[],7,FALSE)</f>
        <v>0</v>
      </c>
      <c r="I1202" t="str">
        <f>VLOOKUP(A1202,Medical_Examinations[],8,FALSE)</f>
        <v>No</v>
      </c>
      <c r="J1202" t="str">
        <f>VLOOKUP(A1202,Medical_Examinations[],9,FALSE)</f>
        <v>Obesity</v>
      </c>
      <c r="K1202" t="str">
        <f>VLOOKUP(A1202,Medical_Examinations[],10,FALSE)</f>
        <v>Diabetes</v>
      </c>
      <c r="M1202">
        <f>VLOOKUP(A1202,Hospitalisation_Details__2[],4,FALSE)</f>
        <v>9377.9</v>
      </c>
      <c r="N1202" t="str">
        <f>VLOOKUP(A1202,Hospitalisation_Details__2[],5,FALSE)</f>
        <v>tier - 2</v>
      </c>
      <c r="O1202" t="str">
        <f>VLOOKUP(A1202,Hospitalisation_Details__2[],6,FALSE)</f>
        <v>tier - 1</v>
      </c>
      <c r="P1202" t="str">
        <f>VLOOKUP(A1202,Hospitalisation_Details__2[],7,FALSE)</f>
        <v>R1013</v>
      </c>
    </row>
    <row r="1203" spans="1:16" x14ac:dyDescent="0.35">
      <c r="A1203" t="str">
        <v>Id1202</v>
      </c>
      <c r="B1203" t="str">
        <f>VLOOKUP(A1203,'Customer Names (2)'!A:B, 2,FALSE)</f>
        <v>Mrs</v>
      </c>
      <c r="C1203">
        <f>VLOOKUP(A1203,Medical_Examinations[],2,FALSE)</f>
        <v>25.76</v>
      </c>
      <c r="D1203">
        <f>VLOOKUP(A1203,Medical_Examinations[],3,FALSE)</f>
        <v>6.02</v>
      </c>
      <c r="E1203" t="str">
        <f>VLOOKUP(A1203,Medical_Examinations[],4,FALSE)</f>
        <v>Yes</v>
      </c>
      <c r="F1203" t="str">
        <f>VLOOKUP(A1203,Medical_Examinations[],5,FALSE)</f>
        <v>No</v>
      </c>
      <c r="G1203" t="str">
        <f>VLOOKUP(A1203,Medical_Examinations[],6,FALSE)</f>
        <v>Yes</v>
      </c>
      <c r="H1203">
        <f>VLOOKUP(A1203,Medical_Examinations[],7,FALSE)</f>
        <v>1</v>
      </c>
      <c r="I1203" t="str">
        <f>VLOOKUP(A1203,Medical_Examinations[],8,FALSE)</f>
        <v>No</v>
      </c>
      <c r="J1203" t="str">
        <f>VLOOKUP(A1203,Medical_Examinations[],9,FALSE)</f>
        <v>Overweight</v>
      </c>
      <c r="K1203" t="str">
        <f>VLOOKUP(A1203,Medical_Examinations[],10,FALSE)</f>
        <v>Prediabetes</v>
      </c>
      <c r="M1203">
        <f>VLOOKUP(A1203,Hospitalisation_Details__2[],4,FALSE)</f>
        <v>9377.4500000000007</v>
      </c>
      <c r="N1203" t="str">
        <f>VLOOKUP(A1203,Hospitalisation_Details__2[],5,FALSE)</f>
        <v>tier - 2</v>
      </c>
      <c r="O1203" t="str">
        <f>VLOOKUP(A1203,Hospitalisation_Details__2[],6,FALSE)</f>
        <v>tier - 3</v>
      </c>
      <c r="P1203" t="str">
        <f>VLOOKUP(A1203,Hospitalisation_Details__2[],7,FALSE)</f>
        <v>R1013</v>
      </c>
    </row>
    <row r="1204" spans="1:16" x14ac:dyDescent="0.35">
      <c r="A1204" t="str">
        <v>Id1203</v>
      </c>
      <c r="B1204" t="str">
        <f>VLOOKUP(A1204,'Customer Names (2)'!A:B, 2,FALSE)</f>
        <v>Mr</v>
      </c>
      <c r="C1204">
        <f>VLOOKUP(A1204,Medical_Examinations[],2,FALSE)</f>
        <v>22.42</v>
      </c>
      <c r="D1204">
        <f>VLOOKUP(A1204,Medical_Examinations[],3,FALSE)</f>
        <v>7.96</v>
      </c>
      <c r="E1204" t="str">
        <f>VLOOKUP(A1204,Medical_Examinations[],4,FALSE)</f>
        <v>No</v>
      </c>
      <c r="F1204" t="str">
        <f>VLOOKUP(A1204,Medical_Examinations[],5,FALSE)</f>
        <v>No</v>
      </c>
      <c r="G1204" t="str">
        <f>VLOOKUP(A1204,Medical_Examinations[],6,FALSE)</f>
        <v>No</v>
      </c>
      <c r="H1204">
        <f>VLOOKUP(A1204,Medical_Examinations[],7,FALSE)</f>
        <v>0</v>
      </c>
      <c r="I1204" t="str">
        <f>VLOOKUP(A1204,Medical_Examinations[],8,FALSE)</f>
        <v>No</v>
      </c>
      <c r="J1204" t="str">
        <f>VLOOKUP(A1204,Medical_Examinations[],9,FALSE)</f>
        <v>Normal Weight</v>
      </c>
      <c r="K1204" t="str">
        <f>VLOOKUP(A1204,Medical_Examinations[],10,FALSE)</f>
        <v>Diabetes</v>
      </c>
      <c r="M1204">
        <f>VLOOKUP(A1204,Hospitalisation_Details__2[],4,FALSE)</f>
        <v>9361.33</v>
      </c>
      <c r="N1204" t="str">
        <f>VLOOKUP(A1204,Hospitalisation_Details__2[],5,FALSE)</f>
        <v>tier - 3</v>
      </c>
      <c r="O1204" t="str">
        <f>VLOOKUP(A1204,Hospitalisation_Details__2[],6,FALSE)</f>
        <v>tier - 1</v>
      </c>
      <c r="P1204" t="str">
        <f>VLOOKUP(A1204,Hospitalisation_Details__2[],7,FALSE)</f>
        <v>R1016</v>
      </c>
    </row>
    <row r="1205" spans="1:16" x14ac:dyDescent="0.35">
      <c r="A1205" t="str">
        <v>Id1204</v>
      </c>
      <c r="B1205" t="str">
        <f>VLOOKUP(A1205,'Customer Names (2)'!A:B, 2,FALSE)</f>
        <v>Mr</v>
      </c>
      <c r="C1205">
        <f>VLOOKUP(A1205,Medical_Examinations[],2,FALSE)</f>
        <v>33.18</v>
      </c>
      <c r="D1205">
        <f>VLOOKUP(A1205,Medical_Examinations[],3,FALSE)</f>
        <v>6.01</v>
      </c>
      <c r="E1205" t="str">
        <f>VLOOKUP(A1205,Medical_Examinations[],4,FALSE)</f>
        <v>Yes</v>
      </c>
      <c r="F1205" t="str">
        <f>VLOOKUP(A1205,Medical_Examinations[],5,FALSE)</f>
        <v>No</v>
      </c>
      <c r="G1205" t="str">
        <f>VLOOKUP(A1205,Medical_Examinations[],6,FALSE)</f>
        <v>No</v>
      </c>
      <c r="H1205">
        <f>VLOOKUP(A1205,Medical_Examinations[],7,FALSE)</f>
        <v>1</v>
      </c>
      <c r="I1205" t="str">
        <f>VLOOKUP(A1205,Medical_Examinations[],8,FALSE)</f>
        <v>No</v>
      </c>
      <c r="J1205" t="str">
        <f>VLOOKUP(A1205,Medical_Examinations[],9,FALSE)</f>
        <v>Obesity</v>
      </c>
      <c r="K1205" t="str">
        <f>VLOOKUP(A1205,Medical_Examinations[],10,FALSE)</f>
        <v>Prediabetes</v>
      </c>
      <c r="M1205">
        <f>VLOOKUP(A1205,Hospitalisation_Details__2[],4,FALSE)</f>
        <v>9344.2000000000007</v>
      </c>
      <c r="N1205" t="str">
        <f>VLOOKUP(A1205,Hospitalisation_Details__2[],5,FALSE)</f>
        <v>tier - 2</v>
      </c>
      <c r="O1205" t="str">
        <f>VLOOKUP(A1205,Hospitalisation_Details__2[],6,FALSE)</f>
        <v>tier - 1</v>
      </c>
      <c r="P1205" t="str">
        <f>VLOOKUP(A1205,Hospitalisation_Details__2[],7,FALSE)</f>
        <v>R1021</v>
      </c>
    </row>
    <row r="1206" spans="1:16" x14ac:dyDescent="0.35">
      <c r="A1206" t="str">
        <v>Id1205</v>
      </c>
      <c r="B1206" t="str">
        <f>VLOOKUP(A1206,'Customer Names (2)'!A:B, 2,FALSE)</f>
        <v>Mrs</v>
      </c>
      <c r="C1206">
        <f>VLOOKUP(A1206,Medical_Examinations[],2,FALSE)</f>
        <v>43.04</v>
      </c>
      <c r="D1206">
        <f>VLOOKUP(A1206,Medical_Examinations[],3,FALSE)</f>
        <v>5.9</v>
      </c>
      <c r="E1206" t="str">
        <f>VLOOKUP(A1206,Medical_Examinations[],4,FALSE)</f>
        <v>Yes</v>
      </c>
      <c r="F1206" t="str">
        <f>VLOOKUP(A1206,Medical_Examinations[],5,FALSE)</f>
        <v>No</v>
      </c>
      <c r="G1206" t="str">
        <f>VLOOKUP(A1206,Medical_Examinations[],6,FALSE)</f>
        <v>No</v>
      </c>
      <c r="H1206">
        <f>VLOOKUP(A1206,Medical_Examinations[],7,FALSE)</f>
        <v>0</v>
      </c>
      <c r="I1206" t="str">
        <f>VLOOKUP(A1206,Medical_Examinations[],8,FALSE)</f>
        <v>No</v>
      </c>
      <c r="J1206" t="str">
        <f>VLOOKUP(A1206,Medical_Examinations[],9,FALSE)</f>
        <v>Obesity</v>
      </c>
      <c r="K1206" t="str">
        <f>VLOOKUP(A1206,Medical_Examinations[],10,FALSE)</f>
        <v>Prediabetes</v>
      </c>
      <c r="M1206">
        <f>VLOOKUP(A1206,Hospitalisation_Details__2[],4,FALSE)</f>
        <v>9338.61</v>
      </c>
      <c r="N1206" t="str">
        <f>VLOOKUP(A1206,Hospitalisation_Details__2[],5,FALSE)</f>
        <v>tier - 2</v>
      </c>
      <c r="O1206" t="str">
        <f>VLOOKUP(A1206,Hospitalisation_Details__2[],6,FALSE)</f>
        <v>tier - 1</v>
      </c>
      <c r="P1206" t="str">
        <f>VLOOKUP(A1206,Hospitalisation_Details__2[],7,FALSE)</f>
        <v>R1026</v>
      </c>
    </row>
    <row r="1207" spans="1:16" x14ac:dyDescent="0.35">
      <c r="A1207" t="str">
        <v>Id1206</v>
      </c>
      <c r="B1207" t="str">
        <f>VLOOKUP(A1207,'Customer Names (2)'!A:B, 2,FALSE)</f>
        <v>Mr</v>
      </c>
      <c r="C1207">
        <f>VLOOKUP(A1207,Medical_Examinations[],2,FALSE)</f>
        <v>34.15</v>
      </c>
      <c r="D1207">
        <f>VLOOKUP(A1207,Medical_Examinations[],3,FALSE)</f>
        <v>4.49</v>
      </c>
      <c r="E1207" t="str">
        <f>VLOOKUP(A1207,Medical_Examinations[],4,FALSE)</f>
        <v>Yes</v>
      </c>
      <c r="F1207" t="str">
        <f>VLOOKUP(A1207,Medical_Examinations[],5,FALSE)</f>
        <v>No</v>
      </c>
      <c r="G1207" t="str">
        <f>VLOOKUP(A1207,Medical_Examinations[],6,FALSE)</f>
        <v>No</v>
      </c>
      <c r="H1207">
        <f>VLOOKUP(A1207,Medical_Examinations[],7,FALSE)</f>
        <v>1</v>
      </c>
      <c r="I1207" t="str">
        <f>VLOOKUP(A1207,Medical_Examinations[],8,FALSE)</f>
        <v>No</v>
      </c>
      <c r="J1207" t="str">
        <f>VLOOKUP(A1207,Medical_Examinations[],9,FALSE)</f>
        <v>Obesity</v>
      </c>
      <c r="K1207" t="str">
        <f>VLOOKUP(A1207,Medical_Examinations[],10,FALSE)</f>
        <v>Normal</v>
      </c>
      <c r="M1207">
        <f>VLOOKUP(A1207,Hospitalisation_Details__2[],4,FALSE)</f>
        <v>9320.26</v>
      </c>
      <c r="N1207" t="str">
        <f>VLOOKUP(A1207,Hospitalisation_Details__2[],5,FALSE)</f>
        <v>tier - 2</v>
      </c>
      <c r="O1207" t="str">
        <f>VLOOKUP(A1207,Hospitalisation_Details__2[],6,FALSE)</f>
        <v>tier - 1</v>
      </c>
      <c r="P1207" t="str">
        <f>VLOOKUP(A1207,Hospitalisation_Details__2[],7,FALSE)</f>
        <v>R1012</v>
      </c>
    </row>
    <row r="1208" spans="1:16" x14ac:dyDescent="0.35">
      <c r="A1208" t="str">
        <v>Id1207</v>
      </c>
      <c r="B1208" t="str">
        <f>VLOOKUP(A1208,'Customer Names (2)'!A:B, 2,FALSE)</f>
        <v>Mrs</v>
      </c>
      <c r="C1208">
        <f>VLOOKUP(A1208,Medical_Examinations[],2,FALSE)</f>
        <v>25.78</v>
      </c>
      <c r="D1208">
        <f>VLOOKUP(A1208,Medical_Examinations[],3,FALSE)</f>
        <v>6.25</v>
      </c>
      <c r="E1208" t="str">
        <f>VLOOKUP(A1208,Medical_Examinations[],4,FALSE)</f>
        <v>No</v>
      </c>
      <c r="F1208" t="str">
        <f>VLOOKUP(A1208,Medical_Examinations[],5,FALSE)</f>
        <v>No</v>
      </c>
      <c r="G1208" t="str">
        <f>VLOOKUP(A1208,Medical_Examinations[],6,FALSE)</f>
        <v>No</v>
      </c>
      <c r="H1208">
        <f>VLOOKUP(A1208,Medical_Examinations[],7,FALSE)</f>
        <v>0</v>
      </c>
      <c r="I1208" t="str">
        <f>VLOOKUP(A1208,Medical_Examinations[],8,FALSE)</f>
        <v>No</v>
      </c>
      <c r="J1208" t="str">
        <f>VLOOKUP(A1208,Medical_Examinations[],9,FALSE)</f>
        <v>Overweight</v>
      </c>
      <c r="K1208" t="str">
        <f>VLOOKUP(A1208,Medical_Examinations[],10,FALSE)</f>
        <v>Prediabetes</v>
      </c>
      <c r="M1208">
        <f>VLOOKUP(A1208,Hospitalisation_Details__2[],4,FALSE)</f>
        <v>9315.41</v>
      </c>
      <c r="N1208" t="str">
        <f>VLOOKUP(A1208,Hospitalisation_Details__2[],5,FALSE)</f>
        <v>tier - 2</v>
      </c>
      <c r="O1208" t="str">
        <f>VLOOKUP(A1208,Hospitalisation_Details__2[],6,FALSE)</f>
        <v>tier - 1</v>
      </c>
      <c r="P1208" t="str">
        <f>VLOOKUP(A1208,Hospitalisation_Details__2[],7,FALSE)</f>
        <v>R1024</v>
      </c>
    </row>
    <row r="1209" spans="1:16" x14ac:dyDescent="0.35">
      <c r="A1209" t="str">
        <v>Id1208</v>
      </c>
      <c r="B1209" t="str">
        <f>VLOOKUP(A1209,'Customer Names (2)'!A:B, 2,FALSE)</f>
        <v>Ms</v>
      </c>
      <c r="C1209">
        <f>VLOOKUP(A1209,Medical_Examinations[],2,FALSE)</f>
        <v>21.02</v>
      </c>
      <c r="D1209">
        <f>VLOOKUP(A1209,Medical_Examinations[],3,FALSE)</f>
        <v>9.6199999999999992</v>
      </c>
      <c r="E1209" t="str">
        <f>VLOOKUP(A1209,Medical_Examinations[],4,FALSE)</f>
        <v>Yes</v>
      </c>
      <c r="F1209" t="str">
        <f>VLOOKUP(A1209,Medical_Examinations[],5,FALSE)</f>
        <v>No</v>
      </c>
      <c r="G1209" t="str">
        <f>VLOOKUP(A1209,Medical_Examinations[],6,FALSE)</f>
        <v>Yes</v>
      </c>
      <c r="H1209">
        <f>VLOOKUP(A1209,Medical_Examinations[],7,FALSE)</f>
        <v>1</v>
      </c>
      <c r="I1209" t="str">
        <f>VLOOKUP(A1209,Medical_Examinations[],8,FALSE)</f>
        <v>No</v>
      </c>
      <c r="J1209" t="str">
        <f>VLOOKUP(A1209,Medical_Examinations[],9,FALSE)</f>
        <v>Normal Weight</v>
      </c>
      <c r="K1209" t="str">
        <f>VLOOKUP(A1209,Medical_Examinations[],10,FALSE)</f>
        <v>Diabetes</v>
      </c>
      <c r="M1209">
        <f>VLOOKUP(A1209,Hospitalisation_Details__2[],4,FALSE)</f>
        <v>9310.81</v>
      </c>
      <c r="N1209" t="str">
        <f>VLOOKUP(A1209,Hospitalisation_Details__2[],5,FALSE)</f>
        <v>tier - 3</v>
      </c>
      <c r="O1209" t="str">
        <f>VLOOKUP(A1209,Hospitalisation_Details__2[],6,FALSE)</f>
        <v>tier - 1</v>
      </c>
      <c r="P1209" t="str">
        <f>VLOOKUP(A1209,Hospitalisation_Details__2[],7,FALSE)</f>
        <v>R1013</v>
      </c>
    </row>
    <row r="1210" spans="1:16" x14ac:dyDescent="0.35">
      <c r="A1210" t="str">
        <v>Id1209</v>
      </c>
      <c r="B1210" t="str">
        <f>VLOOKUP(A1210,'Customer Names (2)'!A:B, 2,FALSE)</f>
        <v>Mr</v>
      </c>
      <c r="C1210">
        <f>VLOOKUP(A1210,Medical_Examinations[],2,FALSE)</f>
        <v>37.51</v>
      </c>
      <c r="D1210">
        <f>VLOOKUP(A1210,Medical_Examinations[],3,FALSE)</f>
        <v>11.06</v>
      </c>
      <c r="E1210" t="str">
        <f>VLOOKUP(A1210,Medical_Examinations[],4,FALSE)</f>
        <v>No</v>
      </c>
      <c r="F1210" t="str">
        <f>VLOOKUP(A1210,Medical_Examinations[],5,FALSE)</f>
        <v>No</v>
      </c>
      <c r="G1210" t="str">
        <f>VLOOKUP(A1210,Medical_Examinations[],6,FALSE)</f>
        <v>No</v>
      </c>
      <c r="H1210">
        <f>VLOOKUP(A1210,Medical_Examinations[],7,FALSE)</f>
        <v>2</v>
      </c>
      <c r="I1210" t="str">
        <f>VLOOKUP(A1210,Medical_Examinations[],8,FALSE)</f>
        <v>No</v>
      </c>
      <c r="J1210" t="str">
        <f>VLOOKUP(A1210,Medical_Examinations[],9,FALSE)</f>
        <v>Obesity</v>
      </c>
      <c r="K1210" t="str">
        <f>VLOOKUP(A1210,Medical_Examinations[],10,FALSE)</f>
        <v>Diabetes</v>
      </c>
      <c r="M1210">
        <f>VLOOKUP(A1210,Hospitalisation_Details__2[],4,FALSE)</f>
        <v>9304.7000000000007</v>
      </c>
      <c r="N1210" t="str">
        <f>VLOOKUP(A1210,Hospitalisation_Details__2[],5,FALSE)</f>
        <v>tier - 3</v>
      </c>
      <c r="O1210" t="str">
        <f>VLOOKUP(A1210,Hospitalisation_Details__2[],6,FALSE)</f>
        <v>tier - 3</v>
      </c>
      <c r="P1210" t="str">
        <f>VLOOKUP(A1210,Hospitalisation_Details__2[],7,FALSE)</f>
        <v>R1013</v>
      </c>
    </row>
    <row r="1211" spans="1:16" x14ac:dyDescent="0.35">
      <c r="A1211" t="str">
        <v>Id1210</v>
      </c>
      <c r="B1211" t="str">
        <f>VLOOKUP(A1211,'Customer Names (2)'!A:B, 2,FALSE)</f>
        <v>Mr</v>
      </c>
      <c r="C1211">
        <f>VLOOKUP(A1211,Medical_Examinations[],2,FALSE)</f>
        <v>25.745000000000001</v>
      </c>
      <c r="D1211">
        <f>VLOOKUP(A1211,Medical_Examinations[],3,FALSE)</f>
        <v>6.11</v>
      </c>
      <c r="E1211" t="str">
        <f>VLOOKUP(A1211,Medical_Examinations[],4,FALSE)</f>
        <v>Yes</v>
      </c>
      <c r="F1211" t="str">
        <f>VLOOKUP(A1211,Medical_Examinations[],5,FALSE)</f>
        <v>No</v>
      </c>
      <c r="G1211" t="str">
        <f>VLOOKUP(A1211,Medical_Examinations[],6,FALSE)</f>
        <v>No</v>
      </c>
      <c r="H1211">
        <f>VLOOKUP(A1211,Medical_Examinations[],7,FALSE)</f>
        <v>0</v>
      </c>
      <c r="I1211" t="str">
        <f>VLOOKUP(A1211,Medical_Examinations[],8,FALSE)</f>
        <v>No</v>
      </c>
      <c r="J1211" t="str">
        <f>VLOOKUP(A1211,Medical_Examinations[],9,FALSE)</f>
        <v>Overweight</v>
      </c>
      <c r="K1211" t="str">
        <f>VLOOKUP(A1211,Medical_Examinations[],10,FALSE)</f>
        <v>Prediabetes</v>
      </c>
      <c r="M1211">
        <f>VLOOKUP(A1211,Hospitalisation_Details__2[],4,FALSE)</f>
        <v>9301.89</v>
      </c>
      <c r="N1211" t="str">
        <f>VLOOKUP(A1211,Hospitalisation_Details__2[],5,FALSE)</f>
        <v>tier - 2</v>
      </c>
      <c r="O1211" t="str">
        <f>VLOOKUP(A1211,Hospitalisation_Details__2[],6,FALSE)</f>
        <v>tier - 1</v>
      </c>
      <c r="P1211" t="str">
        <f>VLOOKUP(A1211,Hospitalisation_Details__2[],7,FALSE)</f>
        <v>R1012</v>
      </c>
    </row>
    <row r="1212" spans="1:16" x14ac:dyDescent="0.35">
      <c r="A1212" t="str">
        <v>Id1211</v>
      </c>
      <c r="B1212" t="str">
        <f>VLOOKUP(A1212,'Customer Names (2)'!A:B, 2,FALSE)</f>
        <v>Mr</v>
      </c>
      <c r="C1212">
        <f>VLOOKUP(A1212,Medical_Examinations[],2,FALSE)</f>
        <v>31.35</v>
      </c>
      <c r="D1212">
        <f>VLOOKUP(A1212,Medical_Examinations[],3,FALSE)</f>
        <v>11.49</v>
      </c>
      <c r="E1212" t="str">
        <f>VLOOKUP(A1212,Medical_Examinations[],4,FALSE)</f>
        <v>No</v>
      </c>
      <c r="F1212" t="str">
        <f>VLOOKUP(A1212,Medical_Examinations[],5,FALSE)</f>
        <v>No</v>
      </c>
      <c r="G1212" t="str">
        <f>VLOOKUP(A1212,Medical_Examinations[],6,FALSE)</f>
        <v>No</v>
      </c>
      <c r="H1212">
        <f>VLOOKUP(A1212,Medical_Examinations[],7,FALSE)</f>
        <v>2</v>
      </c>
      <c r="I1212" t="str">
        <f>VLOOKUP(A1212,Medical_Examinations[],8,FALSE)</f>
        <v>No</v>
      </c>
      <c r="J1212" t="str">
        <f>VLOOKUP(A1212,Medical_Examinations[],9,FALSE)</f>
        <v>Obesity</v>
      </c>
      <c r="K1212" t="str">
        <f>VLOOKUP(A1212,Medical_Examinations[],10,FALSE)</f>
        <v>Diabetes</v>
      </c>
      <c r="M1212">
        <f>VLOOKUP(A1212,Hospitalisation_Details__2[],4,FALSE)</f>
        <v>9290.14</v>
      </c>
      <c r="N1212" t="str">
        <f>VLOOKUP(A1212,Hospitalisation_Details__2[],5,FALSE)</f>
        <v>tier - 3</v>
      </c>
      <c r="O1212" t="str">
        <f>VLOOKUP(A1212,Hospitalisation_Details__2[],6,FALSE)</f>
        <v>tier - 3</v>
      </c>
      <c r="P1212" t="str">
        <f>VLOOKUP(A1212,Hospitalisation_Details__2[],7,FALSE)</f>
        <v>R1016</v>
      </c>
    </row>
    <row r="1213" spans="1:16" x14ac:dyDescent="0.35">
      <c r="A1213" t="str">
        <v>Id1212</v>
      </c>
      <c r="B1213" t="str">
        <f>VLOOKUP(A1213,'Customer Names (2)'!A:B, 2,FALSE)</f>
        <v>Mr</v>
      </c>
      <c r="C1213">
        <f>VLOOKUP(A1213,Medical_Examinations[],2,FALSE)</f>
        <v>29.83</v>
      </c>
      <c r="D1213">
        <f>VLOOKUP(A1213,Medical_Examinations[],3,FALSE)</f>
        <v>8.68</v>
      </c>
      <c r="E1213" t="str">
        <f>VLOOKUP(A1213,Medical_Examinations[],4,FALSE)</f>
        <v>No</v>
      </c>
      <c r="F1213" t="str">
        <f>VLOOKUP(A1213,Medical_Examinations[],5,FALSE)</f>
        <v>No</v>
      </c>
      <c r="G1213" t="str">
        <f>VLOOKUP(A1213,Medical_Examinations[],6,FALSE)</f>
        <v>No</v>
      </c>
      <c r="H1213">
        <f>VLOOKUP(A1213,Medical_Examinations[],7,FALSE)</f>
        <v>2</v>
      </c>
      <c r="I1213" t="str">
        <f>VLOOKUP(A1213,Medical_Examinations[],8,FALSE)</f>
        <v>No</v>
      </c>
      <c r="J1213" t="str">
        <f>VLOOKUP(A1213,Medical_Examinations[],9,FALSE)</f>
        <v>Overweight</v>
      </c>
      <c r="K1213" t="str">
        <f>VLOOKUP(A1213,Medical_Examinations[],10,FALSE)</f>
        <v>Diabetes</v>
      </c>
      <c r="M1213">
        <f>VLOOKUP(A1213,Hospitalisation_Details__2[],4,FALSE)</f>
        <v>9288.0300000000007</v>
      </c>
      <c r="N1213" t="str">
        <f>VLOOKUP(A1213,Hospitalisation_Details__2[],5,FALSE)</f>
        <v>tier - 2</v>
      </c>
      <c r="O1213" t="str">
        <f>VLOOKUP(A1213,Hospitalisation_Details__2[],6,FALSE)</f>
        <v>tier - 3</v>
      </c>
      <c r="P1213" t="str">
        <f>VLOOKUP(A1213,Hospitalisation_Details__2[],7,FALSE)</f>
        <v>R1018</v>
      </c>
    </row>
    <row r="1214" spans="1:16" x14ac:dyDescent="0.35">
      <c r="A1214" t="str">
        <v>Id1213</v>
      </c>
      <c r="B1214" t="str">
        <f>VLOOKUP(A1214,'Customer Names (2)'!A:B, 2,FALSE)</f>
        <v>Mrs</v>
      </c>
      <c r="C1214">
        <f>VLOOKUP(A1214,Medical_Examinations[],2,FALSE)</f>
        <v>25.49</v>
      </c>
      <c r="D1214">
        <f>VLOOKUP(A1214,Medical_Examinations[],3,FALSE)</f>
        <v>5.68</v>
      </c>
      <c r="E1214" t="str">
        <f>VLOOKUP(A1214,Medical_Examinations[],4,FALSE)</f>
        <v>Yes</v>
      </c>
      <c r="F1214" t="str">
        <f>VLOOKUP(A1214,Medical_Examinations[],5,FALSE)</f>
        <v>No</v>
      </c>
      <c r="G1214" t="str">
        <f>VLOOKUP(A1214,Medical_Examinations[],6,FALSE)</f>
        <v>Yes</v>
      </c>
      <c r="H1214">
        <f>VLOOKUP(A1214,Medical_Examinations[],7,FALSE)</f>
        <v>1</v>
      </c>
      <c r="I1214" t="str">
        <f>VLOOKUP(A1214,Medical_Examinations[],8,FALSE)</f>
        <v>No</v>
      </c>
      <c r="J1214" t="str">
        <f>VLOOKUP(A1214,Medical_Examinations[],9,FALSE)</f>
        <v>Overweight</v>
      </c>
      <c r="K1214" t="str">
        <f>VLOOKUP(A1214,Medical_Examinations[],10,FALSE)</f>
        <v>Normal</v>
      </c>
      <c r="M1214">
        <f>VLOOKUP(A1214,Hospitalisation_Details__2[],4,FALSE)</f>
        <v>9285.8700000000008</v>
      </c>
      <c r="N1214" t="str">
        <f>VLOOKUP(A1214,Hospitalisation_Details__2[],5,FALSE)</f>
        <v>tier - 2</v>
      </c>
      <c r="O1214" t="str">
        <f>VLOOKUP(A1214,Hospitalisation_Details__2[],6,FALSE)</f>
        <v>tier - 3</v>
      </c>
      <c r="P1214" t="str">
        <f>VLOOKUP(A1214,Hospitalisation_Details__2[],7,FALSE)</f>
        <v>R1013</v>
      </c>
    </row>
    <row r="1215" spans="1:16" x14ac:dyDescent="0.35">
      <c r="A1215" t="str">
        <v>Id1214</v>
      </c>
      <c r="B1215" t="str">
        <f>VLOOKUP(A1215,'Customer Names (2)'!A:B, 2,FALSE)</f>
        <v>Ms</v>
      </c>
      <c r="C1215">
        <f>VLOOKUP(A1215,Medical_Examinations[],2,FALSE)</f>
        <v>34.1</v>
      </c>
      <c r="D1215">
        <f>VLOOKUP(A1215,Medical_Examinations[],3,FALSE)</f>
        <v>8.4499999999999993</v>
      </c>
      <c r="E1215" t="str">
        <f>VLOOKUP(A1215,Medical_Examinations[],4,FALSE)</f>
        <v>No</v>
      </c>
      <c r="F1215" t="str">
        <f>VLOOKUP(A1215,Medical_Examinations[],5,FALSE)</f>
        <v>No</v>
      </c>
      <c r="G1215" t="str">
        <f>VLOOKUP(A1215,Medical_Examinations[],6,FALSE)</f>
        <v>No</v>
      </c>
      <c r="H1215">
        <f>VLOOKUP(A1215,Medical_Examinations[],7,FALSE)</f>
        <v>0</v>
      </c>
      <c r="I1215" t="str">
        <f>VLOOKUP(A1215,Medical_Examinations[],8,FALSE)</f>
        <v>No</v>
      </c>
      <c r="J1215" t="str">
        <f>VLOOKUP(A1215,Medical_Examinations[],9,FALSE)</f>
        <v>Obesity</v>
      </c>
      <c r="K1215" t="str">
        <f>VLOOKUP(A1215,Medical_Examinations[],10,FALSE)</f>
        <v>Diabetes</v>
      </c>
      <c r="M1215">
        <f>VLOOKUP(A1215,Hospitalisation_Details__2[],4,FALSE)</f>
        <v>9283.56</v>
      </c>
      <c r="N1215" t="str">
        <f>VLOOKUP(A1215,Hospitalisation_Details__2[],5,FALSE)</f>
        <v>tier - 2</v>
      </c>
      <c r="O1215" t="str">
        <f>VLOOKUP(A1215,Hospitalisation_Details__2[],6,FALSE)</f>
        <v>tier - 3</v>
      </c>
      <c r="P1215" t="str">
        <f>VLOOKUP(A1215,Hospitalisation_Details__2[],7,FALSE)</f>
        <v>R1013</v>
      </c>
    </row>
    <row r="1216" spans="1:16" x14ac:dyDescent="0.35">
      <c r="A1216" t="str">
        <v>Id1215</v>
      </c>
      <c r="B1216" t="str">
        <f>VLOOKUP(A1216,'Customer Names (2)'!A:B, 2,FALSE)</f>
        <v>Mr</v>
      </c>
      <c r="C1216">
        <f>VLOOKUP(A1216,Medical_Examinations[],2,FALSE)</f>
        <v>25.84</v>
      </c>
      <c r="D1216">
        <f>VLOOKUP(A1216,Medical_Examinations[],3,FALSE)</f>
        <v>8.51</v>
      </c>
      <c r="E1216" t="str">
        <f>VLOOKUP(A1216,Medical_Examinations[],4,FALSE)</f>
        <v>No</v>
      </c>
      <c r="F1216" t="str">
        <f>VLOOKUP(A1216,Medical_Examinations[],5,FALSE)</f>
        <v>No</v>
      </c>
      <c r="G1216" t="str">
        <f>VLOOKUP(A1216,Medical_Examinations[],6,FALSE)</f>
        <v>No</v>
      </c>
      <c r="H1216">
        <f>VLOOKUP(A1216,Medical_Examinations[],7,FALSE)</f>
        <v>2</v>
      </c>
      <c r="I1216" t="str">
        <f>VLOOKUP(A1216,Medical_Examinations[],8,FALSE)</f>
        <v>No</v>
      </c>
      <c r="J1216" t="str">
        <f>VLOOKUP(A1216,Medical_Examinations[],9,FALSE)</f>
        <v>Overweight</v>
      </c>
      <c r="K1216" t="str">
        <f>VLOOKUP(A1216,Medical_Examinations[],10,FALSE)</f>
        <v>Diabetes</v>
      </c>
      <c r="M1216">
        <f>VLOOKUP(A1216,Hospitalisation_Details__2[],4,FALSE)</f>
        <v>9282.48</v>
      </c>
      <c r="N1216" t="str">
        <f>VLOOKUP(A1216,Hospitalisation_Details__2[],5,FALSE)</f>
        <v>tier - 3</v>
      </c>
      <c r="O1216" t="str">
        <f>VLOOKUP(A1216,Hospitalisation_Details__2[],6,FALSE)</f>
        <v>tier - 2</v>
      </c>
      <c r="P1216" t="str">
        <f>VLOOKUP(A1216,Hospitalisation_Details__2[],7,FALSE)</f>
        <v>R1016</v>
      </c>
    </row>
    <row r="1217" spans="1:16" x14ac:dyDescent="0.35">
      <c r="A1217" t="str">
        <v>Id1216</v>
      </c>
      <c r="B1217" t="str">
        <f>VLOOKUP(A1217,'Customer Names (2)'!A:B, 2,FALSE)</f>
        <v>Ms</v>
      </c>
      <c r="C1217">
        <f>VLOOKUP(A1217,Medical_Examinations[],2,FALSE)</f>
        <v>20.6</v>
      </c>
      <c r="D1217">
        <f>VLOOKUP(A1217,Medical_Examinations[],3,FALSE)</f>
        <v>7.62</v>
      </c>
      <c r="E1217" t="str">
        <f>VLOOKUP(A1217,Medical_Examinations[],4,FALSE)</f>
        <v>No</v>
      </c>
      <c r="F1217" t="str">
        <f>VLOOKUP(A1217,Medical_Examinations[],5,FALSE)</f>
        <v>No</v>
      </c>
      <c r="G1217" t="str">
        <f>VLOOKUP(A1217,Medical_Examinations[],6,FALSE)</f>
        <v>No</v>
      </c>
      <c r="H1217">
        <f>VLOOKUP(A1217,Medical_Examinations[],7,FALSE)</f>
        <v>0</v>
      </c>
      <c r="I1217" t="str">
        <f>VLOOKUP(A1217,Medical_Examinations[],8,FALSE)</f>
        <v>No</v>
      </c>
      <c r="J1217" t="str">
        <f>VLOOKUP(A1217,Medical_Examinations[],9,FALSE)</f>
        <v>Normal Weight</v>
      </c>
      <c r="K1217" t="str">
        <f>VLOOKUP(A1217,Medical_Examinations[],10,FALSE)</f>
        <v>Diabetes</v>
      </c>
      <c r="M1217">
        <f>VLOOKUP(A1217,Hospitalisation_Details__2[],4,FALSE)</f>
        <v>9264.7999999999993</v>
      </c>
      <c r="N1217" t="str">
        <f>VLOOKUP(A1217,Hospitalisation_Details__2[],5,FALSE)</f>
        <v>tier - 2</v>
      </c>
      <c r="O1217" t="str">
        <f>VLOOKUP(A1217,Hospitalisation_Details__2[],6,FALSE)</f>
        <v>tier - 1</v>
      </c>
      <c r="P1217" t="str">
        <f>VLOOKUP(A1217,Hospitalisation_Details__2[],7,FALSE)</f>
        <v>R1011</v>
      </c>
    </row>
    <row r="1218" spans="1:16" x14ac:dyDescent="0.35">
      <c r="A1218" t="str">
        <v>Id1217</v>
      </c>
      <c r="B1218" t="str">
        <f>VLOOKUP(A1218,'Customer Names (2)'!A:B, 2,FALSE)</f>
        <v>Ms</v>
      </c>
      <c r="C1218">
        <f>VLOOKUP(A1218,Medical_Examinations[],2,FALSE)</f>
        <v>28.88</v>
      </c>
      <c r="D1218">
        <f>VLOOKUP(A1218,Medical_Examinations[],3,FALSE)</f>
        <v>10.18</v>
      </c>
      <c r="E1218" t="str">
        <f>VLOOKUP(A1218,Medical_Examinations[],4,FALSE)</f>
        <v>No</v>
      </c>
      <c r="F1218" t="str">
        <f>VLOOKUP(A1218,Medical_Examinations[],5,FALSE)</f>
        <v>No</v>
      </c>
      <c r="G1218" t="str">
        <f>VLOOKUP(A1218,Medical_Examinations[],6,FALSE)</f>
        <v>No</v>
      </c>
      <c r="H1218">
        <f>VLOOKUP(A1218,Medical_Examinations[],7,FALSE)</f>
        <v>0</v>
      </c>
      <c r="I1218" t="str">
        <f>VLOOKUP(A1218,Medical_Examinations[],8,FALSE)</f>
        <v>No</v>
      </c>
      <c r="J1218" t="str">
        <f>VLOOKUP(A1218,Medical_Examinations[],9,FALSE)</f>
        <v>Overweight</v>
      </c>
      <c r="K1218" t="str">
        <f>VLOOKUP(A1218,Medical_Examinations[],10,FALSE)</f>
        <v>Diabetes</v>
      </c>
      <c r="M1218">
        <f>VLOOKUP(A1218,Hospitalisation_Details__2[],4,FALSE)</f>
        <v>9249.5</v>
      </c>
      <c r="N1218" t="str">
        <f>VLOOKUP(A1218,Hospitalisation_Details__2[],5,FALSE)</f>
        <v>tier - 2</v>
      </c>
      <c r="O1218" t="str">
        <f>VLOOKUP(A1218,Hospitalisation_Details__2[],6,FALSE)</f>
        <v>tier - 1</v>
      </c>
      <c r="P1218" t="str">
        <f>VLOOKUP(A1218,Hospitalisation_Details__2[],7,FALSE)</f>
        <v>R1012</v>
      </c>
    </row>
    <row r="1219" spans="1:16" x14ac:dyDescent="0.35">
      <c r="A1219" t="str">
        <v>Id1218</v>
      </c>
      <c r="B1219" t="str">
        <f>VLOOKUP(A1219,'Customer Names (2)'!A:B, 2,FALSE)</f>
        <v>Mr</v>
      </c>
      <c r="C1219">
        <f>VLOOKUP(A1219,Medical_Examinations[],2,FALSE)</f>
        <v>28.24</v>
      </c>
      <c r="D1219">
        <f>VLOOKUP(A1219,Medical_Examinations[],3,FALSE)</f>
        <v>5.36</v>
      </c>
      <c r="E1219" t="str">
        <f>VLOOKUP(A1219,Medical_Examinations[],4,FALSE)</f>
        <v>No</v>
      </c>
      <c r="F1219" t="str">
        <f>VLOOKUP(A1219,Medical_Examinations[],5,FALSE)</f>
        <v>No</v>
      </c>
      <c r="G1219" t="str">
        <f>VLOOKUP(A1219,Medical_Examinations[],6,FALSE)</f>
        <v>No</v>
      </c>
      <c r="H1219">
        <f>VLOOKUP(A1219,Medical_Examinations[],7,FALSE)</f>
        <v>0</v>
      </c>
      <c r="I1219" t="str">
        <f>VLOOKUP(A1219,Medical_Examinations[],8,FALSE)</f>
        <v>No</v>
      </c>
      <c r="J1219" t="str">
        <f>VLOOKUP(A1219,Medical_Examinations[],9,FALSE)</f>
        <v>Overweight</v>
      </c>
      <c r="K1219" t="str">
        <f>VLOOKUP(A1219,Medical_Examinations[],10,FALSE)</f>
        <v>Normal</v>
      </c>
      <c r="M1219">
        <f>VLOOKUP(A1219,Hospitalisation_Details__2[],4,FALSE)</f>
        <v>9247.94</v>
      </c>
      <c r="N1219" t="str">
        <f>VLOOKUP(A1219,Hospitalisation_Details__2[],5,FALSE)</f>
        <v>tier - 2</v>
      </c>
      <c r="O1219" t="str">
        <f>VLOOKUP(A1219,Hospitalisation_Details__2[],6,FALSE)</f>
        <v>tier - 1</v>
      </c>
      <c r="P1219" t="str">
        <f>VLOOKUP(A1219,Hospitalisation_Details__2[],7,FALSE)</f>
        <v>R1021</v>
      </c>
    </row>
    <row r="1220" spans="1:16" x14ac:dyDescent="0.35">
      <c r="A1220" t="str">
        <v>Id1219</v>
      </c>
      <c r="B1220" t="str">
        <f>VLOOKUP(A1220,'Customer Names (2)'!A:B, 2,FALSE)</f>
        <v>Mr</v>
      </c>
      <c r="C1220">
        <f>VLOOKUP(A1220,Medical_Examinations[],2,FALSE)</f>
        <v>25.46</v>
      </c>
      <c r="D1220">
        <f>VLOOKUP(A1220,Medical_Examinations[],3,FALSE)</f>
        <v>11.78</v>
      </c>
      <c r="E1220" t="str">
        <f>VLOOKUP(A1220,Medical_Examinations[],4,FALSE)</f>
        <v>Yes</v>
      </c>
      <c r="F1220" t="str">
        <f>VLOOKUP(A1220,Medical_Examinations[],5,FALSE)</f>
        <v>No</v>
      </c>
      <c r="G1220" t="str">
        <f>VLOOKUP(A1220,Medical_Examinations[],6,FALSE)</f>
        <v>No</v>
      </c>
      <c r="H1220">
        <f>VLOOKUP(A1220,Medical_Examinations[],7,FALSE)</f>
        <v>1</v>
      </c>
      <c r="I1220" t="str">
        <f>VLOOKUP(A1220,Medical_Examinations[],8,FALSE)</f>
        <v>No</v>
      </c>
      <c r="J1220" t="str">
        <f>VLOOKUP(A1220,Medical_Examinations[],9,FALSE)</f>
        <v>Overweight</v>
      </c>
      <c r="K1220" t="str">
        <f>VLOOKUP(A1220,Medical_Examinations[],10,FALSE)</f>
        <v>Diabetes</v>
      </c>
      <c r="M1220">
        <f>VLOOKUP(A1220,Hospitalisation_Details__2[],4,FALSE)</f>
        <v>9225.26</v>
      </c>
      <c r="N1220" t="str">
        <f>VLOOKUP(A1220,Hospitalisation_Details__2[],5,FALSE)</f>
        <v>tier - 3</v>
      </c>
      <c r="O1220" t="str">
        <f>VLOOKUP(A1220,Hospitalisation_Details__2[],6,FALSE)</f>
        <v>tier - 3</v>
      </c>
      <c r="P1220" t="str">
        <f>VLOOKUP(A1220,Hospitalisation_Details__2[],7,FALSE)</f>
        <v>R1015</v>
      </c>
    </row>
    <row r="1221" spans="1:16" x14ac:dyDescent="0.35">
      <c r="A1221" t="str">
        <v>Id1220</v>
      </c>
      <c r="B1221" t="str">
        <f>VLOOKUP(A1221,'Customer Names (2)'!A:B, 2,FALSE)</f>
        <v>Mr</v>
      </c>
      <c r="C1221">
        <f>VLOOKUP(A1221,Medical_Examinations[],2,FALSE)</f>
        <v>29.64</v>
      </c>
      <c r="D1221">
        <f>VLOOKUP(A1221,Medical_Examinations[],3,FALSE)</f>
        <v>10.82</v>
      </c>
      <c r="E1221" t="str">
        <f>VLOOKUP(A1221,Medical_Examinations[],4,FALSE)</f>
        <v>Yes</v>
      </c>
      <c r="F1221" t="str">
        <f>VLOOKUP(A1221,Medical_Examinations[],5,FALSE)</f>
        <v>No</v>
      </c>
      <c r="G1221" t="str">
        <f>VLOOKUP(A1221,Medical_Examinations[],6,FALSE)</f>
        <v>No</v>
      </c>
      <c r="H1221">
        <f>VLOOKUP(A1221,Medical_Examinations[],7,FALSE)</f>
        <v>0</v>
      </c>
      <c r="I1221" t="str">
        <f>VLOOKUP(A1221,Medical_Examinations[],8,FALSE)</f>
        <v>No</v>
      </c>
      <c r="J1221" t="str">
        <f>VLOOKUP(A1221,Medical_Examinations[],9,FALSE)</f>
        <v>Overweight</v>
      </c>
      <c r="K1221" t="str">
        <f>VLOOKUP(A1221,Medical_Examinations[],10,FALSE)</f>
        <v>Diabetes</v>
      </c>
      <c r="M1221">
        <f>VLOOKUP(A1221,Hospitalisation_Details__2[],4,FALSE)</f>
        <v>9222.4</v>
      </c>
      <c r="N1221" t="str">
        <f>VLOOKUP(A1221,Hospitalisation_Details__2[],5,FALSE)</f>
        <v>tier - 2</v>
      </c>
      <c r="O1221" t="str">
        <f>VLOOKUP(A1221,Hospitalisation_Details__2[],6,FALSE)</f>
        <v>tier - 3</v>
      </c>
      <c r="P1221" t="str">
        <f>VLOOKUP(A1221,Hospitalisation_Details__2[],7,FALSE)</f>
        <v>R1019</v>
      </c>
    </row>
    <row r="1222" spans="1:16" x14ac:dyDescent="0.35">
      <c r="A1222" t="str">
        <v>Id1221</v>
      </c>
      <c r="B1222" t="str">
        <f>VLOOKUP(A1222,'Customer Names (2)'!A:B, 2,FALSE)</f>
        <v>Mr</v>
      </c>
      <c r="C1222">
        <f>VLOOKUP(A1222,Medical_Examinations[],2,FALSE)</f>
        <v>31.27</v>
      </c>
      <c r="D1222">
        <f>VLOOKUP(A1222,Medical_Examinations[],3,FALSE)</f>
        <v>7.73</v>
      </c>
      <c r="E1222" t="str">
        <f>VLOOKUP(A1222,Medical_Examinations[],4,FALSE)</f>
        <v>Yes</v>
      </c>
      <c r="F1222" t="str">
        <f>VLOOKUP(A1222,Medical_Examinations[],5,FALSE)</f>
        <v>No</v>
      </c>
      <c r="G1222" t="str">
        <f>VLOOKUP(A1222,Medical_Examinations[],6,FALSE)</f>
        <v>No</v>
      </c>
      <c r="H1222">
        <f>VLOOKUP(A1222,Medical_Examinations[],7,FALSE)</f>
        <v>1</v>
      </c>
      <c r="I1222" t="str">
        <f>VLOOKUP(A1222,Medical_Examinations[],8,FALSE)</f>
        <v>No</v>
      </c>
      <c r="J1222" t="str">
        <f>VLOOKUP(A1222,Medical_Examinations[],9,FALSE)</f>
        <v>Obesity</v>
      </c>
      <c r="K1222" t="str">
        <f>VLOOKUP(A1222,Medical_Examinations[],10,FALSE)</f>
        <v>Diabetes</v>
      </c>
      <c r="M1222">
        <f>VLOOKUP(A1222,Hospitalisation_Details__2[],4,FALSE)</f>
        <v>9210.06</v>
      </c>
      <c r="N1222" t="str">
        <f>VLOOKUP(A1222,Hospitalisation_Details__2[],5,FALSE)</f>
        <v>tier - 2</v>
      </c>
      <c r="O1222" t="str">
        <f>VLOOKUP(A1222,Hospitalisation_Details__2[],6,FALSE)</f>
        <v>tier - 3</v>
      </c>
      <c r="P1222" t="str">
        <f>VLOOKUP(A1222,Hospitalisation_Details__2[],7,FALSE)</f>
        <v>R1021</v>
      </c>
    </row>
    <row r="1223" spans="1:16" x14ac:dyDescent="0.35">
      <c r="A1223" t="str">
        <v>Id1222</v>
      </c>
      <c r="B1223" t="str">
        <f>VLOOKUP(A1223,'Customer Names (2)'!A:B, 2,FALSE)</f>
        <v>Ms</v>
      </c>
      <c r="C1223">
        <f>VLOOKUP(A1223,Medical_Examinations[],2,FALSE)</f>
        <v>19.95</v>
      </c>
      <c r="D1223">
        <f>VLOOKUP(A1223,Medical_Examinations[],3,FALSE)</f>
        <v>6.24</v>
      </c>
      <c r="E1223" t="str">
        <f>VLOOKUP(A1223,Medical_Examinations[],4,FALSE)</f>
        <v>Yes</v>
      </c>
      <c r="F1223" t="str">
        <f>VLOOKUP(A1223,Medical_Examinations[],5,FALSE)</f>
        <v>No</v>
      </c>
      <c r="G1223" t="str">
        <f>VLOOKUP(A1223,Medical_Examinations[],6,FALSE)</f>
        <v>No</v>
      </c>
      <c r="H1223">
        <f>VLOOKUP(A1223,Medical_Examinations[],7,FALSE)</f>
        <v>0</v>
      </c>
      <c r="I1223" t="str">
        <f>VLOOKUP(A1223,Medical_Examinations[],8,FALSE)</f>
        <v>No</v>
      </c>
      <c r="J1223" t="str">
        <f>VLOOKUP(A1223,Medical_Examinations[],9,FALSE)</f>
        <v>Normal Weight</v>
      </c>
      <c r="K1223" t="str">
        <f>VLOOKUP(A1223,Medical_Examinations[],10,FALSE)</f>
        <v>Prediabetes</v>
      </c>
      <c r="M1223">
        <f>VLOOKUP(A1223,Hospitalisation_Details__2[],4,FALSE)</f>
        <v>9193.84</v>
      </c>
      <c r="N1223" t="str">
        <f>VLOOKUP(A1223,Hospitalisation_Details__2[],5,FALSE)</f>
        <v>tier - 2</v>
      </c>
      <c r="O1223" t="str">
        <f>VLOOKUP(A1223,Hospitalisation_Details__2[],6,FALSE)</f>
        <v>tier - 1</v>
      </c>
      <c r="P1223" t="str">
        <f>VLOOKUP(A1223,Hospitalisation_Details__2[],7,FALSE)</f>
        <v>R1012</v>
      </c>
    </row>
    <row r="1224" spans="1:16" x14ac:dyDescent="0.35">
      <c r="A1224" t="str">
        <v>Id1223</v>
      </c>
      <c r="B1224" t="str">
        <f>VLOOKUP(A1224,'Customer Names (2)'!A:B, 2,FALSE)</f>
        <v>Ms</v>
      </c>
      <c r="C1224">
        <f>VLOOKUP(A1224,Medical_Examinations[],2,FALSE)</f>
        <v>21.3</v>
      </c>
      <c r="D1224">
        <f>VLOOKUP(A1224,Medical_Examinations[],3,FALSE)</f>
        <v>10.42</v>
      </c>
      <c r="E1224" t="str">
        <f>VLOOKUP(A1224,Medical_Examinations[],4,FALSE)</f>
        <v>No</v>
      </c>
      <c r="F1224" t="str">
        <f>VLOOKUP(A1224,Medical_Examinations[],5,FALSE)</f>
        <v>No</v>
      </c>
      <c r="G1224" t="str">
        <f>VLOOKUP(A1224,Medical_Examinations[],6,FALSE)</f>
        <v>No</v>
      </c>
      <c r="H1224">
        <f>VLOOKUP(A1224,Medical_Examinations[],7,FALSE)</f>
        <v>2</v>
      </c>
      <c r="I1224" t="str">
        <f>VLOOKUP(A1224,Medical_Examinations[],8,FALSE)</f>
        <v>No</v>
      </c>
      <c r="J1224" t="str">
        <f>VLOOKUP(A1224,Medical_Examinations[],9,FALSE)</f>
        <v>Normal Weight</v>
      </c>
      <c r="K1224" t="str">
        <f>VLOOKUP(A1224,Medical_Examinations[],10,FALSE)</f>
        <v>Diabetes</v>
      </c>
      <c r="M1224">
        <f>VLOOKUP(A1224,Hospitalisation_Details__2[],4,FALSE)</f>
        <v>9182.17</v>
      </c>
      <c r="N1224" t="str">
        <f>VLOOKUP(A1224,Hospitalisation_Details__2[],5,FALSE)</f>
        <v>tier - 2</v>
      </c>
      <c r="O1224" t="str">
        <f>VLOOKUP(A1224,Hospitalisation_Details__2[],6,FALSE)</f>
        <v>tier - 3</v>
      </c>
      <c r="P1224" t="str">
        <f>VLOOKUP(A1224,Hospitalisation_Details__2[],7,FALSE)</f>
        <v>R1011</v>
      </c>
    </row>
    <row r="1225" spans="1:16" x14ac:dyDescent="0.35">
      <c r="A1225" t="str">
        <v>Id1224</v>
      </c>
      <c r="B1225" t="str">
        <f>VLOOKUP(A1225,'Customer Names (2)'!A:B, 2,FALSE)</f>
        <v>Mr</v>
      </c>
      <c r="C1225">
        <f>VLOOKUP(A1225,Medical_Examinations[],2,FALSE)</f>
        <v>31.635000000000002</v>
      </c>
      <c r="D1225">
        <f>VLOOKUP(A1225,Medical_Examinations[],3,FALSE)</f>
        <v>11.11</v>
      </c>
      <c r="E1225" t="str">
        <f>VLOOKUP(A1225,Medical_Examinations[],4,FALSE)</f>
        <v>No</v>
      </c>
      <c r="F1225" t="str">
        <f>VLOOKUP(A1225,Medical_Examinations[],5,FALSE)</f>
        <v>No</v>
      </c>
      <c r="G1225" t="str">
        <f>VLOOKUP(A1225,Medical_Examinations[],6,FALSE)</f>
        <v>No</v>
      </c>
      <c r="H1225">
        <f>VLOOKUP(A1225,Medical_Examinations[],7,FALSE)</f>
        <v>0</v>
      </c>
      <c r="I1225" t="str">
        <f>VLOOKUP(A1225,Medical_Examinations[],8,FALSE)</f>
        <v>No</v>
      </c>
      <c r="J1225" t="str">
        <f>VLOOKUP(A1225,Medical_Examinations[],9,FALSE)</f>
        <v>Obesity</v>
      </c>
      <c r="K1225" t="str">
        <f>VLOOKUP(A1225,Medical_Examinations[],10,FALSE)</f>
        <v>Diabetes</v>
      </c>
      <c r="M1225">
        <f>VLOOKUP(A1225,Hospitalisation_Details__2[],4,FALSE)</f>
        <v>9174.14</v>
      </c>
      <c r="N1225" t="str">
        <f>VLOOKUP(A1225,Hospitalisation_Details__2[],5,FALSE)</f>
        <v>tier - 3</v>
      </c>
      <c r="O1225" t="str">
        <f>VLOOKUP(A1225,Hospitalisation_Details__2[],6,FALSE)</f>
        <v>tier - 1</v>
      </c>
      <c r="P1225" t="str">
        <f>VLOOKUP(A1225,Hospitalisation_Details__2[],7,FALSE)</f>
        <v>R1012</v>
      </c>
    </row>
    <row r="1226" spans="1:16" x14ac:dyDescent="0.35">
      <c r="A1226" t="str">
        <v>Id1225</v>
      </c>
      <c r="B1226" t="str">
        <f>VLOOKUP(A1226,'Customer Names (2)'!A:B, 2,FALSE)</f>
        <v>Ms</v>
      </c>
      <c r="C1226">
        <f>VLOOKUP(A1226,Medical_Examinations[],2,FALSE)</f>
        <v>23.9</v>
      </c>
      <c r="D1226">
        <f>VLOOKUP(A1226,Medical_Examinations[],3,FALSE)</f>
        <v>7.67</v>
      </c>
      <c r="E1226" t="str">
        <f>VLOOKUP(A1226,Medical_Examinations[],4,FALSE)</f>
        <v>Yes</v>
      </c>
      <c r="F1226" t="str">
        <f>VLOOKUP(A1226,Medical_Examinations[],5,FALSE)</f>
        <v>No</v>
      </c>
      <c r="G1226" t="str">
        <f>VLOOKUP(A1226,Medical_Examinations[],6,FALSE)</f>
        <v>No</v>
      </c>
      <c r="H1226">
        <f>VLOOKUP(A1226,Medical_Examinations[],7,FALSE)</f>
        <v>2</v>
      </c>
      <c r="I1226" t="str">
        <f>VLOOKUP(A1226,Medical_Examinations[],8,FALSE)</f>
        <v>No</v>
      </c>
      <c r="J1226" t="str">
        <f>VLOOKUP(A1226,Medical_Examinations[],9,FALSE)</f>
        <v>Normal Weight</v>
      </c>
      <c r="K1226" t="str">
        <f>VLOOKUP(A1226,Medical_Examinations[],10,FALSE)</f>
        <v>Diabetes</v>
      </c>
      <c r="M1226">
        <f>VLOOKUP(A1226,Hospitalisation_Details__2[],4,FALSE)</f>
        <v>9171.75</v>
      </c>
      <c r="N1226" t="str">
        <f>VLOOKUP(A1226,Hospitalisation_Details__2[],5,FALSE)</f>
        <v>tier - 2</v>
      </c>
      <c r="O1226" t="str">
        <f>VLOOKUP(A1226,Hospitalisation_Details__2[],6,FALSE)</f>
        <v>tier - 2</v>
      </c>
      <c r="P1226" t="str">
        <f>VLOOKUP(A1226,Hospitalisation_Details__2[],7,FALSE)</f>
        <v>R1012</v>
      </c>
    </row>
    <row r="1227" spans="1:16" x14ac:dyDescent="0.35">
      <c r="A1227" t="str">
        <v>Id1226</v>
      </c>
      <c r="B1227" t="str">
        <f>VLOOKUP(A1227,'Customer Names (2)'!A:B, 2,FALSE)</f>
        <v>Mr</v>
      </c>
      <c r="C1227">
        <f>VLOOKUP(A1227,Medical_Examinations[],2,FALSE)</f>
        <v>34.15</v>
      </c>
      <c r="D1227">
        <f>VLOOKUP(A1227,Medical_Examinations[],3,FALSE)</f>
        <v>6.15</v>
      </c>
      <c r="E1227" t="str">
        <f>VLOOKUP(A1227,Medical_Examinations[],4,FALSE)</f>
        <v>No</v>
      </c>
      <c r="F1227" t="str">
        <f>VLOOKUP(A1227,Medical_Examinations[],5,FALSE)</f>
        <v>No</v>
      </c>
      <c r="G1227" t="str">
        <f>VLOOKUP(A1227,Medical_Examinations[],6,FALSE)</f>
        <v>No</v>
      </c>
      <c r="H1227">
        <f>VLOOKUP(A1227,Medical_Examinations[],7,FALSE)</f>
        <v>0</v>
      </c>
      <c r="I1227" t="str">
        <f>VLOOKUP(A1227,Medical_Examinations[],8,FALSE)</f>
        <v>No</v>
      </c>
      <c r="J1227" t="str">
        <f>VLOOKUP(A1227,Medical_Examinations[],9,FALSE)</f>
        <v>Obesity</v>
      </c>
      <c r="K1227" t="str">
        <f>VLOOKUP(A1227,Medical_Examinations[],10,FALSE)</f>
        <v>Prediabetes</v>
      </c>
      <c r="M1227">
        <f>VLOOKUP(A1227,Hospitalisation_Details__2[],4,FALSE)</f>
        <v>9159.51</v>
      </c>
      <c r="N1227" t="str">
        <f>VLOOKUP(A1227,Hospitalisation_Details__2[],5,FALSE)</f>
        <v>tier - 2</v>
      </c>
      <c r="O1227" t="str">
        <f>VLOOKUP(A1227,Hospitalisation_Details__2[],6,FALSE)</f>
        <v>tier - 2</v>
      </c>
      <c r="P1227" t="str">
        <f>VLOOKUP(A1227,Hospitalisation_Details__2[],7,FALSE)</f>
        <v>R1021</v>
      </c>
    </row>
    <row r="1228" spans="1:16" x14ac:dyDescent="0.35">
      <c r="A1228" t="str">
        <v>Id1227</v>
      </c>
      <c r="B1228" t="str">
        <f>VLOOKUP(A1228,'Customer Names (2)'!A:B, 2,FALSE)</f>
        <v>Ms</v>
      </c>
      <c r="C1228">
        <f>VLOOKUP(A1228,Medical_Examinations[],2,FALSE)</f>
        <v>28.71</v>
      </c>
      <c r="D1228">
        <f>VLOOKUP(A1228,Medical_Examinations[],3,FALSE)</f>
        <v>5.71</v>
      </c>
      <c r="E1228" t="str">
        <f>VLOOKUP(A1228,Medical_Examinations[],4,FALSE)</f>
        <v>No</v>
      </c>
      <c r="F1228" t="str">
        <f>VLOOKUP(A1228,Medical_Examinations[],5,FALSE)</f>
        <v>No</v>
      </c>
      <c r="G1228" t="str">
        <f>VLOOKUP(A1228,Medical_Examinations[],6,FALSE)</f>
        <v>No</v>
      </c>
      <c r="H1228">
        <f>VLOOKUP(A1228,Medical_Examinations[],7,FALSE)</f>
        <v>0</v>
      </c>
      <c r="I1228" t="str">
        <f>VLOOKUP(A1228,Medical_Examinations[],8,FALSE)</f>
        <v>No</v>
      </c>
      <c r="J1228" t="str">
        <f>VLOOKUP(A1228,Medical_Examinations[],9,FALSE)</f>
        <v>Overweight</v>
      </c>
      <c r="K1228" t="str">
        <f>VLOOKUP(A1228,Medical_Examinations[],10,FALSE)</f>
        <v>Prediabetes</v>
      </c>
      <c r="M1228">
        <f>VLOOKUP(A1228,Hospitalisation_Details__2[],4,FALSE)</f>
        <v>9147.5</v>
      </c>
      <c r="N1228" t="str">
        <f>VLOOKUP(A1228,Hospitalisation_Details__2[],5,FALSE)</f>
        <v>tier - 2</v>
      </c>
      <c r="O1228" t="str">
        <f>VLOOKUP(A1228,Hospitalisation_Details__2[],6,FALSE)</f>
        <v>tier - 1</v>
      </c>
      <c r="P1228" t="str">
        <f>VLOOKUP(A1228,Hospitalisation_Details__2[],7,FALSE)</f>
        <v>R1012</v>
      </c>
    </row>
    <row r="1229" spans="1:16" x14ac:dyDescent="0.35">
      <c r="A1229" t="str">
        <v>Id1228</v>
      </c>
      <c r="B1229" t="str">
        <f>VLOOKUP(A1229,'Customer Names (2)'!A:B, 2,FALSE)</f>
        <v>Mr</v>
      </c>
      <c r="C1229">
        <f>VLOOKUP(A1229,Medical_Examinations[],2,FALSE)</f>
        <v>36.700000000000003</v>
      </c>
      <c r="D1229">
        <f>VLOOKUP(A1229,Medical_Examinations[],3,FALSE)</f>
        <v>8.6999999999999993</v>
      </c>
      <c r="E1229" t="str">
        <f>VLOOKUP(A1229,Medical_Examinations[],4,FALSE)</f>
        <v>Yes</v>
      </c>
      <c r="F1229" t="str">
        <f>VLOOKUP(A1229,Medical_Examinations[],5,FALSE)</f>
        <v>No</v>
      </c>
      <c r="G1229" t="str">
        <f>VLOOKUP(A1229,Medical_Examinations[],6,FALSE)</f>
        <v>No</v>
      </c>
      <c r="H1229">
        <f>VLOOKUP(A1229,Medical_Examinations[],7,FALSE)</f>
        <v>2</v>
      </c>
      <c r="I1229" t="str">
        <f>VLOOKUP(A1229,Medical_Examinations[],8,FALSE)</f>
        <v>No</v>
      </c>
      <c r="J1229" t="str">
        <f>VLOOKUP(A1229,Medical_Examinations[],9,FALSE)</f>
        <v>Obesity</v>
      </c>
      <c r="K1229" t="str">
        <f>VLOOKUP(A1229,Medical_Examinations[],10,FALSE)</f>
        <v>Diabetes</v>
      </c>
      <c r="M1229">
        <f>VLOOKUP(A1229,Hospitalisation_Details__2[],4,FALSE)</f>
        <v>9144.57</v>
      </c>
      <c r="N1229" t="str">
        <f>VLOOKUP(A1229,Hospitalisation_Details__2[],5,FALSE)</f>
        <v>tier - 3</v>
      </c>
      <c r="O1229" t="str">
        <f>VLOOKUP(A1229,Hospitalisation_Details__2[],6,FALSE)</f>
        <v>tier - 2</v>
      </c>
      <c r="P1229" t="str">
        <f>VLOOKUP(A1229,Hospitalisation_Details__2[],7,FALSE)</f>
        <v>R1011</v>
      </c>
    </row>
    <row r="1230" spans="1:16" x14ac:dyDescent="0.35">
      <c r="A1230" t="str">
        <v>Id1229</v>
      </c>
      <c r="B1230" t="str">
        <f>VLOOKUP(A1230,'Customer Names (2)'!A:B, 2,FALSE)</f>
        <v>Mr</v>
      </c>
      <c r="C1230">
        <f>VLOOKUP(A1230,Medical_Examinations[],2,FALSE)</f>
        <v>34.1</v>
      </c>
      <c r="D1230">
        <f>VLOOKUP(A1230,Medical_Examinations[],3,FALSE)</f>
        <v>9.0399999999999991</v>
      </c>
      <c r="E1230" t="str">
        <f>VLOOKUP(A1230,Medical_Examinations[],4,FALSE)</f>
        <v>Yes</v>
      </c>
      <c r="F1230" t="str">
        <f>VLOOKUP(A1230,Medical_Examinations[],5,FALSE)</f>
        <v>No</v>
      </c>
      <c r="G1230" t="str">
        <f>VLOOKUP(A1230,Medical_Examinations[],6,FALSE)</f>
        <v>No</v>
      </c>
      <c r="H1230">
        <f>VLOOKUP(A1230,Medical_Examinations[],7,FALSE)</f>
        <v>2</v>
      </c>
      <c r="I1230" t="str">
        <f>VLOOKUP(A1230,Medical_Examinations[],8,FALSE)</f>
        <v>No</v>
      </c>
      <c r="J1230" t="str">
        <f>VLOOKUP(A1230,Medical_Examinations[],9,FALSE)</f>
        <v>Obesity</v>
      </c>
      <c r="K1230" t="str">
        <f>VLOOKUP(A1230,Medical_Examinations[],10,FALSE)</f>
        <v>Diabetes</v>
      </c>
      <c r="M1230">
        <f>VLOOKUP(A1230,Hospitalisation_Details__2[],4,FALSE)</f>
        <v>9140.9500000000007</v>
      </c>
      <c r="N1230" t="str">
        <f>VLOOKUP(A1230,Hospitalisation_Details__2[],5,FALSE)</f>
        <v>tier - 3</v>
      </c>
      <c r="O1230" t="str">
        <f>VLOOKUP(A1230,Hospitalisation_Details__2[],6,FALSE)</f>
        <v>tier - 3</v>
      </c>
      <c r="P1230" t="str">
        <f>VLOOKUP(A1230,Hospitalisation_Details__2[],7,FALSE)</f>
        <v>R1013</v>
      </c>
    </row>
    <row r="1231" spans="1:16" x14ac:dyDescent="0.35">
      <c r="A1231" t="str">
        <v>Id1230</v>
      </c>
      <c r="B1231" t="str">
        <f>VLOOKUP(A1231,'Customer Names (2)'!A:B, 2,FALSE)</f>
        <v>Ms</v>
      </c>
      <c r="C1231">
        <f>VLOOKUP(A1231,Medical_Examinations[],2,FALSE)</f>
        <v>25.7</v>
      </c>
      <c r="D1231">
        <f>VLOOKUP(A1231,Medical_Examinations[],3,FALSE)</f>
        <v>5.61</v>
      </c>
      <c r="E1231" t="str">
        <f>VLOOKUP(A1231,Medical_Examinations[],4,FALSE)</f>
        <v>No</v>
      </c>
      <c r="F1231" t="str">
        <f>VLOOKUP(A1231,Medical_Examinations[],5,FALSE)</f>
        <v>No</v>
      </c>
      <c r="G1231" t="str">
        <f>VLOOKUP(A1231,Medical_Examinations[],6,FALSE)</f>
        <v>No</v>
      </c>
      <c r="H1231">
        <f>VLOOKUP(A1231,Medical_Examinations[],7,FALSE)</f>
        <v>0</v>
      </c>
      <c r="I1231" t="str">
        <f>VLOOKUP(A1231,Medical_Examinations[],8,FALSE)</f>
        <v>No</v>
      </c>
      <c r="J1231" t="str">
        <f>VLOOKUP(A1231,Medical_Examinations[],9,FALSE)</f>
        <v>Overweight</v>
      </c>
      <c r="K1231" t="str">
        <f>VLOOKUP(A1231,Medical_Examinations[],10,FALSE)</f>
        <v>Normal</v>
      </c>
      <c r="M1231">
        <f>VLOOKUP(A1231,Hospitalisation_Details__2[],4,FALSE)</f>
        <v>9101.7999999999993</v>
      </c>
      <c r="N1231" t="str">
        <f>VLOOKUP(A1231,Hospitalisation_Details__2[],5,FALSE)</f>
        <v>tier - 2</v>
      </c>
      <c r="O1231" t="str">
        <f>VLOOKUP(A1231,Hospitalisation_Details__2[],6,FALSE)</f>
        <v>tier - 1</v>
      </c>
      <c r="P1231" t="str">
        <f>VLOOKUP(A1231,Hospitalisation_Details__2[],7,FALSE)</f>
        <v>R1011</v>
      </c>
    </row>
    <row r="1232" spans="1:16" x14ac:dyDescent="0.35">
      <c r="A1232" t="str">
        <v>Id1231</v>
      </c>
      <c r="B1232" t="str">
        <f>VLOOKUP(A1232,'Customer Names (2)'!A:B, 2,FALSE)</f>
        <v>Ms</v>
      </c>
      <c r="C1232">
        <f>VLOOKUP(A1232,Medical_Examinations[],2,FALSE)</f>
        <v>21.68</v>
      </c>
      <c r="D1232">
        <f>VLOOKUP(A1232,Medical_Examinations[],3,FALSE)</f>
        <v>8.1199999999999992</v>
      </c>
      <c r="E1232" t="str">
        <f>VLOOKUP(A1232,Medical_Examinations[],4,FALSE)</f>
        <v>No</v>
      </c>
      <c r="F1232" t="str">
        <f>VLOOKUP(A1232,Medical_Examinations[],5,FALSE)</f>
        <v>No</v>
      </c>
      <c r="G1232" t="str">
        <f>VLOOKUP(A1232,Medical_Examinations[],6,FALSE)</f>
        <v>No</v>
      </c>
      <c r="H1232">
        <f>VLOOKUP(A1232,Medical_Examinations[],7,FALSE)</f>
        <v>0</v>
      </c>
      <c r="I1232" t="str">
        <f>VLOOKUP(A1232,Medical_Examinations[],8,FALSE)</f>
        <v>No</v>
      </c>
      <c r="J1232" t="str">
        <f>VLOOKUP(A1232,Medical_Examinations[],9,FALSE)</f>
        <v>Normal Weight</v>
      </c>
      <c r="K1232" t="str">
        <f>VLOOKUP(A1232,Medical_Examinations[],10,FALSE)</f>
        <v>Diabetes</v>
      </c>
      <c r="M1232">
        <f>VLOOKUP(A1232,Hospitalisation_Details__2[],4,FALSE)</f>
        <v>9095.94</v>
      </c>
      <c r="N1232" t="str">
        <f>VLOOKUP(A1232,Hospitalisation_Details__2[],5,FALSE)</f>
        <v>tier - 3</v>
      </c>
      <c r="O1232" t="str">
        <f>VLOOKUP(A1232,Hospitalisation_Details__2[],6,FALSE)</f>
        <v>tier - 1</v>
      </c>
      <c r="P1232" t="str">
        <f>VLOOKUP(A1232,Hospitalisation_Details__2[],7,FALSE)</f>
        <v>R1011</v>
      </c>
    </row>
    <row r="1233" spans="1:16" x14ac:dyDescent="0.35">
      <c r="A1233" t="str">
        <v>Id1232</v>
      </c>
      <c r="B1233" t="str">
        <f>VLOOKUP(A1233,'Customer Names (2)'!A:B, 2,FALSE)</f>
        <v>Ms</v>
      </c>
      <c r="C1233">
        <f>VLOOKUP(A1233,Medical_Examinations[],2,FALSE)</f>
        <v>25.175000000000001</v>
      </c>
      <c r="D1233">
        <f>VLOOKUP(A1233,Medical_Examinations[],3,FALSE)</f>
        <v>4.74</v>
      </c>
      <c r="E1233" t="str">
        <f>VLOOKUP(A1233,Medical_Examinations[],4,FALSE)</f>
        <v>No</v>
      </c>
      <c r="F1233" t="str">
        <f>VLOOKUP(A1233,Medical_Examinations[],5,FALSE)</f>
        <v>No</v>
      </c>
      <c r="G1233" t="str">
        <f>VLOOKUP(A1233,Medical_Examinations[],6,FALSE)</f>
        <v>No</v>
      </c>
      <c r="H1233">
        <f>VLOOKUP(A1233,Medical_Examinations[],7,FALSE)</f>
        <v>0</v>
      </c>
      <c r="I1233" t="str">
        <f>VLOOKUP(A1233,Medical_Examinations[],8,FALSE)</f>
        <v>No</v>
      </c>
      <c r="J1233" t="str">
        <f>VLOOKUP(A1233,Medical_Examinations[],9,FALSE)</f>
        <v>Overweight</v>
      </c>
      <c r="K1233" t="str">
        <f>VLOOKUP(A1233,Medical_Examinations[],10,FALSE)</f>
        <v>Normal</v>
      </c>
      <c r="M1233">
        <f>VLOOKUP(A1233,Hospitalisation_Details__2[],4,FALSE)</f>
        <v>9095.07</v>
      </c>
      <c r="N1233" t="str">
        <f>VLOOKUP(A1233,Hospitalisation_Details__2[],5,FALSE)</f>
        <v>tier - 2</v>
      </c>
      <c r="O1233" t="str">
        <f>VLOOKUP(A1233,Hospitalisation_Details__2[],6,FALSE)</f>
        <v>tier - 2</v>
      </c>
      <c r="P1233" t="str">
        <f>VLOOKUP(A1233,Hospitalisation_Details__2[],7,FALSE)</f>
        <v>R1024</v>
      </c>
    </row>
    <row r="1234" spans="1:16" x14ac:dyDescent="0.35">
      <c r="A1234" t="str">
        <v>Id1233</v>
      </c>
      <c r="B1234" t="str">
        <f>VLOOKUP(A1234,'Customer Names (2)'!A:B, 2,FALSE)</f>
        <v>Mr</v>
      </c>
      <c r="C1234">
        <f>VLOOKUP(A1234,Medical_Examinations[],2,FALSE)</f>
        <v>44.77</v>
      </c>
      <c r="D1234">
        <f>VLOOKUP(A1234,Medical_Examinations[],3,FALSE)</f>
        <v>4.0599999999999996</v>
      </c>
      <c r="E1234" t="str">
        <f>VLOOKUP(A1234,Medical_Examinations[],4,FALSE)</f>
        <v>No</v>
      </c>
      <c r="F1234" t="str">
        <f>VLOOKUP(A1234,Medical_Examinations[],5,FALSE)</f>
        <v>No</v>
      </c>
      <c r="G1234" t="str">
        <f>VLOOKUP(A1234,Medical_Examinations[],6,FALSE)</f>
        <v>No</v>
      </c>
      <c r="H1234">
        <f>VLOOKUP(A1234,Medical_Examinations[],7,FALSE)</f>
        <v>2</v>
      </c>
      <c r="I1234" t="str">
        <f>VLOOKUP(A1234,Medical_Examinations[],8,FALSE)</f>
        <v>No</v>
      </c>
      <c r="J1234" t="str">
        <f>VLOOKUP(A1234,Medical_Examinations[],9,FALSE)</f>
        <v>Obesity</v>
      </c>
      <c r="K1234" t="str">
        <f>VLOOKUP(A1234,Medical_Examinations[],10,FALSE)</f>
        <v>Normal</v>
      </c>
      <c r="M1234">
        <f>VLOOKUP(A1234,Hospitalisation_Details__2[],4,FALSE)</f>
        <v>9058.73</v>
      </c>
      <c r="N1234" t="str">
        <f>VLOOKUP(A1234,Hospitalisation_Details__2[],5,FALSE)</f>
        <v>tier - 3</v>
      </c>
      <c r="O1234" t="str">
        <f>VLOOKUP(A1234,Hospitalisation_Details__2[],6,FALSE)</f>
        <v>tier - 2</v>
      </c>
      <c r="P1234" t="str">
        <f>VLOOKUP(A1234,Hospitalisation_Details__2[],7,FALSE)</f>
        <v>R1013</v>
      </c>
    </row>
    <row r="1235" spans="1:16" x14ac:dyDescent="0.35">
      <c r="A1235" t="str">
        <v>Id1234</v>
      </c>
      <c r="B1235" t="str">
        <f>VLOOKUP(A1235,'Customer Names (2)'!A:B, 2,FALSE)</f>
        <v>Mr</v>
      </c>
      <c r="C1235">
        <f>VLOOKUP(A1235,Medical_Examinations[],2,FALSE)</f>
        <v>37.07</v>
      </c>
      <c r="D1235">
        <f>VLOOKUP(A1235,Medical_Examinations[],3,FALSE)</f>
        <v>5.69</v>
      </c>
      <c r="E1235" t="str">
        <f>VLOOKUP(A1235,Medical_Examinations[],4,FALSE)</f>
        <v>No</v>
      </c>
      <c r="F1235" t="str">
        <f>VLOOKUP(A1235,Medical_Examinations[],5,FALSE)</f>
        <v>No</v>
      </c>
      <c r="G1235" t="str">
        <f>VLOOKUP(A1235,Medical_Examinations[],6,FALSE)</f>
        <v>No</v>
      </c>
      <c r="H1235">
        <f>VLOOKUP(A1235,Medical_Examinations[],7,FALSE)</f>
        <v>2</v>
      </c>
      <c r="I1235" t="str">
        <f>VLOOKUP(A1235,Medical_Examinations[],8,FALSE)</f>
        <v>No</v>
      </c>
      <c r="J1235" t="str">
        <f>VLOOKUP(A1235,Medical_Examinations[],9,FALSE)</f>
        <v>Obesity</v>
      </c>
      <c r="K1235" t="str">
        <f>VLOOKUP(A1235,Medical_Examinations[],10,FALSE)</f>
        <v>Normal</v>
      </c>
      <c r="M1235">
        <f>VLOOKUP(A1235,Hospitalisation_Details__2[],4,FALSE)</f>
        <v>9048.0300000000007</v>
      </c>
      <c r="N1235" t="str">
        <f>VLOOKUP(A1235,Hospitalisation_Details__2[],5,FALSE)</f>
        <v>tier - 2</v>
      </c>
      <c r="O1235" t="str">
        <f>VLOOKUP(A1235,Hospitalisation_Details__2[],6,FALSE)</f>
        <v>tier - 2</v>
      </c>
      <c r="P1235" t="str">
        <f>VLOOKUP(A1235,Hospitalisation_Details__2[],7,FALSE)</f>
        <v>R1013</v>
      </c>
    </row>
    <row r="1236" spans="1:16" x14ac:dyDescent="0.35">
      <c r="A1236" t="str">
        <v>Id1235</v>
      </c>
      <c r="B1236" t="str">
        <f>VLOOKUP(A1236,'Customer Names (2)'!A:B, 2,FALSE)</f>
        <v>Mrs</v>
      </c>
      <c r="C1236">
        <f>VLOOKUP(A1236,Medical_Examinations[],2,FALSE)</f>
        <v>39.799999999999997</v>
      </c>
      <c r="D1236">
        <f>VLOOKUP(A1236,Medical_Examinations[],3,FALSE)</f>
        <v>5.66</v>
      </c>
      <c r="E1236" t="str">
        <f>VLOOKUP(A1236,Medical_Examinations[],4,FALSE)</f>
        <v>No</v>
      </c>
      <c r="F1236" t="str">
        <f>VLOOKUP(A1236,Medical_Examinations[],5,FALSE)</f>
        <v>No</v>
      </c>
      <c r="G1236" t="str">
        <f>VLOOKUP(A1236,Medical_Examinations[],6,FALSE)</f>
        <v>Yes</v>
      </c>
      <c r="H1236">
        <f>VLOOKUP(A1236,Medical_Examinations[],7,FALSE)</f>
        <v>1</v>
      </c>
      <c r="I1236" t="str">
        <f>VLOOKUP(A1236,Medical_Examinations[],8,FALSE)</f>
        <v>No</v>
      </c>
      <c r="J1236" t="str">
        <f>VLOOKUP(A1236,Medical_Examinations[],9,FALSE)</f>
        <v>Obesity</v>
      </c>
      <c r="K1236" t="str">
        <f>VLOOKUP(A1236,Medical_Examinations[],10,FALSE)</f>
        <v>Normal</v>
      </c>
      <c r="M1236">
        <f>VLOOKUP(A1236,Hospitalisation_Details__2[],4,FALSE)</f>
        <v>9010.2000000000007</v>
      </c>
      <c r="N1236" t="str">
        <f>VLOOKUP(A1236,Hospitalisation_Details__2[],5,FALSE)</f>
        <v>tier - 2</v>
      </c>
      <c r="O1236" t="str">
        <f>VLOOKUP(A1236,Hospitalisation_Details__2[],6,FALSE)</f>
        <v>tier - 3</v>
      </c>
      <c r="P1236" t="str">
        <f>VLOOKUP(A1236,Hospitalisation_Details__2[],7,FALSE)</f>
        <v>R1026</v>
      </c>
    </row>
    <row r="1237" spans="1:16" x14ac:dyDescent="0.35">
      <c r="A1237" t="str">
        <v>Id1236</v>
      </c>
      <c r="B1237" t="str">
        <f>VLOOKUP(A1237,'Customer Names (2)'!A:B, 2,FALSE)</f>
        <v>Mrs</v>
      </c>
      <c r="C1237">
        <f>VLOOKUP(A1237,Medical_Examinations[],2,FALSE)</f>
        <v>26.36</v>
      </c>
      <c r="D1237">
        <f>VLOOKUP(A1237,Medical_Examinations[],3,FALSE)</f>
        <v>4.32</v>
      </c>
      <c r="E1237" t="str">
        <f>VLOOKUP(A1237,Medical_Examinations[],4,FALSE)</f>
        <v>No</v>
      </c>
      <c r="F1237" t="str">
        <f>VLOOKUP(A1237,Medical_Examinations[],5,FALSE)</f>
        <v>No</v>
      </c>
      <c r="G1237" t="str">
        <f>VLOOKUP(A1237,Medical_Examinations[],6,FALSE)</f>
        <v>Yes</v>
      </c>
      <c r="H1237">
        <f>VLOOKUP(A1237,Medical_Examinations[],7,FALSE)</f>
        <v>1</v>
      </c>
      <c r="I1237" t="str">
        <f>VLOOKUP(A1237,Medical_Examinations[],8,FALSE)</f>
        <v>No</v>
      </c>
      <c r="J1237" t="str">
        <f>VLOOKUP(A1237,Medical_Examinations[],9,FALSE)</f>
        <v>Overweight</v>
      </c>
      <c r="K1237" t="str">
        <f>VLOOKUP(A1237,Medical_Examinations[],10,FALSE)</f>
        <v>Normal</v>
      </c>
      <c r="M1237">
        <f>VLOOKUP(A1237,Hospitalisation_Details__2[],4,FALSE)</f>
        <v>8998.43</v>
      </c>
      <c r="N1237" t="str">
        <f>VLOOKUP(A1237,Hospitalisation_Details__2[],5,FALSE)</f>
        <v>tier - 2</v>
      </c>
      <c r="O1237" t="str">
        <f>VLOOKUP(A1237,Hospitalisation_Details__2[],6,FALSE)</f>
        <v>tier - 1</v>
      </c>
      <c r="P1237" t="str">
        <f>VLOOKUP(A1237,Hospitalisation_Details__2[],7,FALSE)</f>
        <v>R1025</v>
      </c>
    </row>
    <row r="1238" spans="1:16" x14ac:dyDescent="0.35">
      <c r="A1238" t="str">
        <v>Id1237</v>
      </c>
      <c r="B1238" t="str">
        <f>VLOOKUP(A1238,'Customer Names (2)'!A:B, 2,FALSE)</f>
        <v>Ms</v>
      </c>
      <c r="C1238">
        <f>VLOOKUP(A1238,Medical_Examinations[],2,FALSE)</f>
        <v>29.925000000000001</v>
      </c>
      <c r="D1238">
        <f>VLOOKUP(A1238,Medical_Examinations[],3,FALSE)</f>
        <v>8.2899999999999991</v>
      </c>
      <c r="E1238" t="str">
        <f>VLOOKUP(A1238,Medical_Examinations[],4,FALSE)</f>
        <v>No</v>
      </c>
      <c r="F1238" t="str">
        <f>VLOOKUP(A1238,Medical_Examinations[],5,FALSE)</f>
        <v>No</v>
      </c>
      <c r="G1238" t="str">
        <f>VLOOKUP(A1238,Medical_Examinations[],6,FALSE)</f>
        <v>No</v>
      </c>
      <c r="H1238">
        <f>VLOOKUP(A1238,Medical_Examinations[],7,FALSE)</f>
        <v>2</v>
      </c>
      <c r="I1238" t="str">
        <f>VLOOKUP(A1238,Medical_Examinations[],8,FALSE)</f>
        <v>No</v>
      </c>
      <c r="J1238" t="str">
        <f>VLOOKUP(A1238,Medical_Examinations[],9,FALSE)</f>
        <v>Overweight</v>
      </c>
      <c r="K1238" t="str">
        <f>VLOOKUP(A1238,Medical_Examinations[],10,FALSE)</f>
        <v>Diabetes</v>
      </c>
      <c r="M1238">
        <f>VLOOKUP(A1238,Hospitalisation_Details__2[],4,FALSE)</f>
        <v>8988.16</v>
      </c>
      <c r="N1238" t="str">
        <f>VLOOKUP(A1238,Hospitalisation_Details__2[],5,FALSE)</f>
        <v>tier - 2</v>
      </c>
      <c r="O1238" t="str">
        <f>VLOOKUP(A1238,Hospitalisation_Details__2[],6,FALSE)</f>
        <v>tier - 1</v>
      </c>
      <c r="P1238" t="str">
        <f>VLOOKUP(A1238,Hospitalisation_Details__2[],7,FALSE)</f>
        <v>R1012</v>
      </c>
    </row>
    <row r="1239" spans="1:16" x14ac:dyDescent="0.35">
      <c r="A1239" t="str">
        <v>Id1238</v>
      </c>
      <c r="B1239" t="str">
        <f>VLOOKUP(A1239,'Customer Names (2)'!A:B, 2,FALSE)</f>
        <v>Mr</v>
      </c>
      <c r="C1239">
        <f>VLOOKUP(A1239,Medical_Examinations[],2,FALSE)</f>
        <v>37.29</v>
      </c>
      <c r="D1239">
        <f>VLOOKUP(A1239,Medical_Examinations[],3,FALSE)</f>
        <v>10.46</v>
      </c>
      <c r="E1239" t="str">
        <f>VLOOKUP(A1239,Medical_Examinations[],4,FALSE)</f>
        <v>No</v>
      </c>
      <c r="F1239" t="str">
        <f>VLOOKUP(A1239,Medical_Examinations[],5,FALSE)</f>
        <v>No</v>
      </c>
      <c r="G1239" t="str">
        <f>VLOOKUP(A1239,Medical_Examinations[],6,FALSE)</f>
        <v>No</v>
      </c>
      <c r="H1239">
        <f>VLOOKUP(A1239,Medical_Examinations[],7,FALSE)</f>
        <v>0</v>
      </c>
      <c r="I1239" t="str">
        <f>VLOOKUP(A1239,Medical_Examinations[],8,FALSE)</f>
        <v>No</v>
      </c>
      <c r="J1239" t="str">
        <f>VLOOKUP(A1239,Medical_Examinations[],9,FALSE)</f>
        <v>Obesity</v>
      </c>
      <c r="K1239" t="str">
        <f>VLOOKUP(A1239,Medical_Examinations[],10,FALSE)</f>
        <v>Diabetes</v>
      </c>
      <c r="M1239">
        <f>VLOOKUP(A1239,Hospitalisation_Details__2[],4,FALSE)</f>
        <v>8978.19</v>
      </c>
      <c r="N1239" t="str">
        <f>VLOOKUP(A1239,Hospitalisation_Details__2[],5,FALSE)</f>
        <v>tier - 2</v>
      </c>
      <c r="O1239" t="str">
        <f>VLOOKUP(A1239,Hospitalisation_Details__2[],6,FALSE)</f>
        <v>tier - 2</v>
      </c>
      <c r="P1239" t="str">
        <f>VLOOKUP(A1239,Hospitalisation_Details__2[],7,FALSE)</f>
        <v>R1013</v>
      </c>
    </row>
    <row r="1240" spans="1:16" x14ac:dyDescent="0.35">
      <c r="A1240" t="str">
        <v>Id1239</v>
      </c>
      <c r="B1240" t="str">
        <f>VLOOKUP(A1240,'Customer Names (2)'!A:B, 2,FALSE)</f>
        <v>Mr</v>
      </c>
      <c r="C1240">
        <f>VLOOKUP(A1240,Medical_Examinations[],2,FALSE)</f>
        <v>30.2</v>
      </c>
      <c r="D1240">
        <f>VLOOKUP(A1240,Medical_Examinations[],3,FALSE)</f>
        <v>11.96</v>
      </c>
      <c r="E1240" t="str">
        <f>VLOOKUP(A1240,Medical_Examinations[],4,FALSE)</f>
        <v>No</v>
      </c>
      <c r="F1240" t="str">
        <f>VLOOKUP(A1240,Medical_Examinations[],5,FALSE)</f>
        <v>No</v>
      </c>
      <c r="G1240" t="str">
        <f>VLOOKUP(A1240,Medical_Examinations[],6,FALSE)</f>
        <v>No</v>
      </c>
      <c r="H1240">
        <f>VLOOKUP(A1240,Medical_Examinations[],7,FALSE)</f>
        <v>0</v>
      </c>
      <c r="I1240" t="str">
        <f>VLOOKUP(A1240,Medical_Examinations[],8,FALSE)</f>
        <v>No</v>
      </c>
      <c r="J1240" t="str">
        <f>VLOOKUP(A1240,Medical_Examinations[],9,FALSE)</f>
        <v>Obesity</v>
      </c>
      <c r="K1240" t="str">
        <f>VLOOKUP(A1240,Medical_Examinations[],10,FALSE)</f>
        <v>Diabetes</v>
      </c>
      <c r="M1240">
        <f>VLOOKUP(A1240,Hospitalisation_Details__2[],4,FALSE)</f>
        <v>8968.33</v>
      </c>
      <c r="N1240" t="str">
        <f>VLOOKUP(A1240,Hospitalisation_Details__2[],5,FALSE)</f>
        <v>tier - 3</v>
      </c>
      <c r="O1240" t="str">
        <f>VLOOKUP(A1240,Hospitalisation_Details__2[],6,FALSE)</f>
        <v>tier - 2</v>
      </c>
      <c r="P1240" t="str">
        <f>VLOOKUP(A1240,Hospitalisation_Details__2[],7,FALSE)</f>
        <v>R1011</v>
      </c>
    </row>
    <row r="1241" spans="1:16" x14ac:dyDescent="0.35">
      <c r="A1241" t="str">
        <v>Id1240</v>
      </c>
      <c r="B1241" t="str">
        <f>VLOOKUP(A1241,'Customer Names (2)'!A:B, 2,FALSE)</f>
        <v>Ms</v>
      </c>
      <c r="C1241">
        <f>VLOOKUP(A1241,Medical_Examinations[],2,FALSE)</f>
        <v>24.225000000000001</v>
      </c>
      <c r="D1241">
        <f>VLOOKUP(A1241,Medical_Examinations[],3,FALSE)</f>
        <v>4.25</v>
      </c>
      <c r="E1241" t="str">
        <f>VLOOKUP(A1241,Medical_Examinations[],4,FALSE)</f>
        <v>Yes</v>
      </c>
      <c r="F1241" t="str">
        <f>VLOOKUP(A1241,Medical_Examinations[],5,FALSE)</f>
        <v>No</v>
      </c>
      <c r="G1241" t="str">
        <f>VLOOKUP(A1241,Medical_Examinations[],6,FALSE)</f>
        <v>Yes</v>
      </c>
      <c r="H1241">
        <f>VLOOKUP(A1241,Medical_Examinations[],7,FALSE)</f>
        <v>1</v>
      </c>
      <c r="I1241" t="str">
        <f>VLOOKUP(A1241,Medical_Examinations[],8,FALSE)</f>
        <v>No</v>
      </c>
      <c r="J1241" t="str">
        <f>VLOOKUP(A1241,Medical_Examinations[],9,FALSE)</f>
        <v>Normal Weight</v>
      </c>
      <c r="K1241" t="str">
        <f>VLOOKUP(A1241,Medical_Examinations[],10,FALSE)</f>
        <v>Normal</v>
      </c>
      <c r="M1241">
        <f>VLOOKUP(A1241,Hospitalisation_Details__2[],4,FALSE)</f>
        <v>8965.7999999999993</v>
      </c>
      <c r="N1241" t="str">
        <f>VLOOKUP(A1241,Hospitalisation_Details__2[],5,FALSE)</f>
        <v>tier - 2</v>
      </c>
      <c r="O1241" t="str">
        <f>VLOOKUP(A1241,Hospitalisation_Details__2[],6,FALSE)</f>
        <v>tier - 3</v>
      </c>
      <c r="P1241" t="str">
        <f>VLOOKUP(A1241,Hospitalisation_Details__2[],7,FALSE)</f>
        <v>R1012</v>
      </c>
    </row>
    <row r="1242" spans="1:16" x14ac:dyDescent="0.35">
      <c r="A1242" t="str">
        <v>Id1241</v>
      </c>
      <c r="B1242" t="str">
        <f>VLOOKUP(A1242,'Customer Names (2)'!A:B, 2,FALSE)</f>
        <v>Mr</v>
      </c>
      <c r="C1242">
        <f>VLOOKUP(A1242,Medical_Examinations[],2,FALSE)</f>
        <v>31.445</v>
      </c>
      <c r="D1242">
        <f>VLOOKUP(A1242,Medical_Examinations[],3,FALSE)</f>
        <v>8.33</v>
      </c>
      <c r="E1242" t="str">
        <f>VLOOKUP(A1242,Medical_Examinations[],4,FALSE)</f>
        <v>No</v>
      </c>
      <c r="F1242" t="str">
        <f>VLOOKUP(A1242,Medical_Examinations[],5,FALSE)</f>
        <v>No</v>
      </c>
      <c r="G1242" t="str">
        <f>VLOOKUP(A1242,Medical_Examinations[],6,FALSE)</f>
        <v>No</v>
      </c>
      <c r="H1242">
        <f>VLOOKUP(A1242,Medical_Examinations[],7,FALSE)</f>
        <v>0</v>
      </c>
      <c r="I1242" t="str">
        <f>VLOOKUP(A1242,Medical_Examinations[],8,FALSE)</f>
        <v>No</v>
      </c>
      <c r="J1242" t="str">
        <f>VLOOKUP(A1242,Medical_Examinations[],9,FALSE)</f>
        <v>Obesity</v>
      </c>
      <c r="K1242" t="str">
        <f>VLOOKUP(A1242,Medical_Examinations[],10,FALSE)</f>
        <v>Diabetes</v>
      </c>
      <c r="M1242">
        <f>VLOOKUP(A1242,Hospitalisation_Details__2[],4,FALSE)</f>
        <v>8964.06</v>
      </c>
      <c r="N1242" t="str">
        <f>VLOOKUP(A1242,Hospitalisation_Details__2[],5,FALSE)</f>
        <v>tier - 3</v>
      </c>
      <c r="O1242" t="str">
        <f>VLOOKUP(A1242,Hospitalisation_Details__2[],6,FALSE)</f>
        <v>tier - 2</v>
      </c>
      <c r="P1242" t="str">
        <f>VLOOKUP(A1242,Hospitalisation_Details__2[],7,FALSE)</f>
        <v>R1016</v>
      </c>
    </row>
    <row r="1243" spans="1:16" x14ac:dyDescent="0.35">
      <c r="A1243" t="str">
        <v>Id1242</v>
      </c>
      <c r="B1243" t="str">
        <f>VLOOKUP(A1243,'Customer Names (2)'!A:B, 2,FALSE)</f>
        <v>Mrs</v>
      </c>
      <c r="C1243">
        <f>VLOOKUP(A1243,Medical_Examinations[],2,FALSE)</f>
        <v>38.880000000000003</v>
      </c>
      <c r="D1243">
        <f>VLOOKUP(A1243,Medical_Examinations[],3,FALSE)</f>
        <v>4.29</v>
      </c>
      <c r="E1243" t="str">
        <f>VLOOKUP(A1243,Medical_Examinations[],4,FALSE)</f>
        <v>No</v>
      </c>
      <c r="F1243" t="str">
        <f>VLOOKUP(A1243,Medical_Examinations[],5,FALSE)</f>
        <v>No</v>
      </c>
      <c r="G1243" t="str">
        <f>VLOOKUP(A1243,Medical_Examinations[],6,FALSE)</f>
        <v>No</v>
      </c>
      <c r="H1243">
        <f>VLOOKUP(A1243,Medical_Examinations[],7,FALSE)</f>
        <v>1</v>
      </c>
      <c r="I1243" t="str">
        <f>VLOOKUP(A1243,Medical_Examinations[],8,FALSE)</f>
        <v>No</v>
      </c>
      <c r="J1243" t="str">
        <f>VLOOKUP(A1243,Medical_Examinations[],9,FALSE)</f>
        <v>Obesity</v>
      </c>
      <c r="K1243" t="str">
        <f>VLOOKUP(A1243,Medical_Examinations[],10,FALSE)</f>
        <v>Normal</v>
      </c>
      <c r="M1243">
        <f>VLOOKUP(A1243,Hospitalisation_Details__2[],4,FALSE)</f>
        <v>8954.99</v>
      </c>
      <c r="N1243" t="str">
        <f>VLOOKUP(A1243,Hospitalisation_Details__2[],5,FALSE)</f>
        <v>tier - 2</v>
      </c>
      <c r="O1243" t="str">
        <f>VLOOKUP(A1243,Hospitalisation_Details__2[],6,FALSE)</f>
        <v>tier - 3</v>
      </c>
      <c r="P1243" t="str">
        <f>VLOOKUP(A1243,Hospitalisation_Details__2[],7,FALSE)</f>
        <v>R1026</v>
      </c>
    </row>
    <row r="1244" spans="1:16" x14ac:dyDescent="0.35">
      <c r="A1244" t="str">
        <v>Id1243</v>
      </c>
      <c r="B1244" t="str">
        <f>VLOOKUP(A1244,'Customer Names (2)'!A:B, 2,FALSE)</f>
        <v>Mr</v>
      </c>
      <c r="C1244">
        <f>VLOOKUP(A1244,Medical_Examinations[],2,FALSE)</f>
        <v>43.89</v>
      </c>
      <c r="D1244">
        <f>VLOOKUP(A1244,Medical_Examinations[],3,FALSE)</f>
        <v>6.32</v>
      </c>
      <c r="E1244" t="str">
        <f>VLOOKUP(A1244,Medical_Examinations[],4,FALSE)</f>
        <v>Yes</v>
      </c>
      <c r="F1244" t="str">
        <f>VLOOKUP(A1244,Medical_Examinations[],5,FALSE)</f>
        <v>No</v>
      </c>
      <c r="G1244" t="str">
        <f>VLOOKUP(A1244,Medical_Examinations[],6,FALSE)</f>
        <v>No</v>
      </c>
      <c r="H1244">
        <f>VLOOKUP(A1244,Medical_Examinations[],7,FALSE)</f>
        <v>0</v>
      </c>
      <c r="I1244" t="str">
        <f>VLOOKUP(A1244,Medical_Examinations[],8,FALSE)</f>
        <v>No</v>
      </c>
      <c r="J1244" t="str">
        <f>VLOOKUP(A1244,Medical_Examinations[],9,FALSE)</f>
        <v>Obesity</v>
      </c>
      <c r="K1244" t="str">
        <f>VLOOKUP(A1244,Medical_Examinations[],10,FALSE)</f>
        <v>Prediabetes</v>
      </c>
      <c r="M1244">
        <f>VLOOKUP(A1244,Hospitalisation_Details__2[],4,FALSE)</f>
        <v>8944.1200000000008</v>
      </c>
      <c r="N1244" t="str">
        <f>VLOOKUP(A1244,Hospitalisation_Details__2[],5,FALSE)</f>
        <v>tier - 3</v>
      </c>
      <c r="O1244" t="str">
        <f>VLOOKUP(A1244,Hospitalisation_Details__2[],6,FALSE)</f>
        <v>tier - 2</v>
      </c>
      <c r="P1244" t="str">
        <f>VLOOKUP(A1244,Hospitalisation_Details__2[],7,FALSE)</f>
        <v>R1013</v>
      </c>
    </row>
    <row r="1245" spans="1:16" x14ac:dyDescent="0.35">
      <c r="A1245" t="str">
        <v>Id1244</v>
      </c>
      <c r="B1245" t="str">
        <f>VLOOKUP(A1245,'Customer Names (2)'!A:B, 2,FALSE)</f>
        <v>Ms</v>
      </c>
      <c r="C1245">
        <f>VLOOKUP(A1245,Medical_Examinations[],2,FALSE)</f>
        <v>25.6</v>
      </c>
      <c r="D1245">
        <f>VLOOKUP(A1245,Medical_Examinations[],3,FALSE)</f>
        <v>5.65</v>
      </c>
      <c r="E1245" t="str">
        <f>VLOOKUP(A1245,Medical_Examinations[],4,FALSE)</f>
        <v>No</v>
      </c>
      <c r="F1245" t="str">
        <f>VLOOKUP(A1245,Medical_Examinations[],5,FALSE)</f>
        <v>No</v>
      </c>
      <c r="G1245" t="str">
        <f>VLOOKUP(A1245,Medical_Examinations[],6,FALSE)</f>
        <v>No</v>
      </c>
      <c r="H1245">
        <f>VLOOKUP(A1245,Medical_Examinations[],7,FALSE)</f>
        <v>2</v>
      </c>
      <c r="I1245" t="str">
        <f>VLOOKUP(A1245,Medical_Examinations[],8,FALSE)</f>
        <v>No</v>
      </c>
      <c r="J1245" t="str">
        <f>VLOOKUP(A1245,Medical_Examinations[],9,FALSE)</f>
        <v>Overweight</v>
      </c>
      <c r="K1245" t="str">
        <f>VLOOKUP(A1245,Medical_Examinations[],10,FALSE)</f>
        <v>Normal</v>
      </c>
      <c r="M1245">
        <f>VLOOKUP(A1245,Hospitalisation_Details__2[],4,FALSE)</f>
        <v>8932.08</v>
      </c>
      <c r="N1245" t="str">
        <f>VLOOKUP(A1245,Hospitalisation_Details__2[],5,FALSE)</f>
        <v>tier - 2</v>
      </c>
      <c r="O1245" t="str">
        <f>VLOOKUP(A1245,Hospitalisation_Details__2[],6,FALSE)</f>
        <v>tier - 1</v>
      </c>
      <c r="P1245" t="str">
        <f>VLOOKUP(A1245,Hospitalisation_Details__2[],7,FALSE)</f>
        <v>R1011</v>
      </c>
    </row>
    <row r="1246" spans="1:16" x14ac:dyDescent="0.35">
      <c r="A1246" t="str">
        <v>Id1245</v>
      </c>
      <c r="B1246" t="str">
        <f>VLOOKUP(A1246,'Customer Names (2)'!A:B, 2,FALSE)</f>
        <v>Ms</v>
      </c>
      <c r="C1246">
        <f>VLOOKUP(A1246,Medical_Examinations[],2,FALSE)</f>
        <v>29.545000000000002</v>
      </c>
      <c r="D1246">
        <f>VLOOKUP(A1246,Medical_Examinations[],3,FALSE)</f>
        <v>8.41</v>
      </c>
      <c r="E1246" t="str">
        <f>VLOOKUP(A1246,Medical_Examinations[],4,FALSE)</f>
        <v>Yes</v>
      </c>
      <c r="F1246" t="str">
        <f>VLOOKUP(A1246,Medical_Examinations[],5,FALSE)</f>
        <v>No</v>
      </c>
      <c r="G1246" t="str">
        <f>VLOOKUP(A1246,Medical_Examinations[],6,FALSE)</f>
        <v>No</v>
      </c>
      <c r="H1246">
        <f>VLOOKUP(A1246,Medical_Examinations[],7,FALSE)</f>
        <v>1</v>
      </c>
      <c r="I1246" t="str">
        <f>VLOOKUP(A1246,Medical_Examinations[],8,FALSE)</f>
        <v>No</v>
      </c>
      <c r="J1246" t="str">
        <f>VLOOKUP(A1246,Medical_Examinations[],9,FALSE)</f>
        <v>Overweight</v>
      </c>
      <c r="K1246" t="str">
        <f>VLOOKUP(A1246,Medical_Examinations[],10,FALSE)</f>
        <v>Diabetes</v>
      </c>
      <c r="M1246">
        <f>VLOOKUP(A1246,Hospitalisation_Details__2[],4,FALSE)</f>
        <v>8930.93</v>
      </c>
      <c r="N1246" t="str">
        <f>VLOOKUP(A1246,Hospitalisation_Details__2[],5,FALSE)</f>
        <v>tier - 2</v>
      </c>
      <c r="O1246" t="str">
        <f>VLOOKUP(A1246,Hospitalisation_Details__2[],6,FALSE)</f>
        <v>tier - 2</v>
      </c>
      <c r="P1246" t="str">
        <f>VLOOKUP(A1246,Hospitalisation_Details__2[],7,FALSE)</f>
        <v>R1012</v>
      </c>
    </row>
    <row r="1247" spans="1:16" x14ac:dyDescent="0.35">
      <c r="A1247" t="str">
        <v>Id1246</v>
      </c>
      <c r="B1247" t="str">
        <f>VLOOKUP(A1247,'Customer Names (2)'!A:B, 2,FALSE)</f>
        <v>Mr</v>
      </c>
      <c r="C1247">
        <f>VLOOKUP(A1247,Medical_Examinations[],2,FALSE)</f>
        <v>23.25</v>
      </c>
      <c r="D1247">
        <f>VLOOKUP(A1247,Medical_Examinations[],3,FALSE)</f>
        <v>11.96</v>
      </c>
      <c r="E1247" t="str">
        <f>VLOOKUP(A1247,Medical_Examinations[],4,FALSE)</f>
        <v>Yes</v>
      </c>
      <c r="F1247" t="str">
        <f>VLOOKUP(A1247,Medical_Examinations[],5,FALSE)</f>
        <v>No</v>
      </c>
      <c r="G1247" t="str">
        <f>VLOOKUP(A1247,Medical_Examinations[],6,FALSE)</f>
        <v>No</v>
      </c>
      <c r="H1247">
        <f>VLOOKUP(A1247,Medical_Examinations[],7,FALSE)</f>
        <v>0</v>
      </c>
      <c r="I1247" t="str">
        <f>VLOOKUP(A1247,Medical_Examinations[],8,FALSE)</f>
        <v>No</v>
      </c>
      <c r="J1247" t="str">
        <f>VLOOKUP(A1247,Medical_Examinations[],9,FALSE)</f>
        <v>Normal Weight</v>
      </c>
      <c r="K1247" t="str">
        <f>VLOOKUP(A1247,Medical_Examinations[],10,FALSE)</f>
        <v>Diabetes</v>
      </c>
      <c r="M1247">
        <f>VLOOKUP(A1247,Hospitalisation_Details__2[],4,FALSE)</f>
        <v>8908.4699999999993</v>
      </c>
      <c r="N1247" t="str">
        <f>VLOOKUP(A1247,Hospitalisation_Details__2[],5,FALSE)</f>
        <v>tier - 3</v>
      </c>
      <c r="O1247" t="str">
        <f>VLOOKUP(A1247,Hospitalisation_Details__2[],6,FALSE)</f>
        <v>tier - 2</v>
      </c>
      <c r="P1247" t="str">
        <f>VLOOKUP(A1247,Hospitalisation_Details__2[],7,FALSE)</f>
        <v>R1013</v>
      </c>
    </row>
    <row r="1248" spans="1:16" x14ac:dyDescent="0.35">
      <c r="A1248" t="str">
        <v>Id1247</v>
      </c>
      <c r="B1248" t="str">
        <f>VLOOKUP(A1248,'Customer Names (2)'!A:B, 2,FALSE)</f>
        <v>Mr</v>
      </c>
      <c r="C1248">
        <f>VLOOKUP(A1248,Medical_Examinations[],2,FALSE)</f>
        <v>43.95</v>
      </c>
      <c r="D1248">
        <f>VLOOKUP(A1248,Medical_Examinations[],3,FALSE)</f>
        <v>5.17</v>
      </c>
      <c r="E1248" t="str">
        <f>VLOOKUP(A1248,Medical_Examinations[],4,FALSE)</f>
        <v>Yes</v>
      </c>
      <c r="F1248" t="str">
        <f>VLOOKUP(A1248,Medical_Examinations[],5,FALSE)</f>
        <v>No</v>
      </c>
      <c r="G1248" t="str">
        <f>VLOOKUP(A1248,Medical_Examinations[],6,FALSE)</f>
        <v>Yes</v>
      </c>
      <c r="H1248">
        <f>VLOOKUP(A1248,Medical_Examinations[],7,FALSE)</f>
        <v>1</v>
      </c>
      <c r="I1248" t="str">
        <f>VLOOKUP(A1248,Medical_Examinations[],8,FALSE)</f>
        <v>No</v>
      </c>
      <c r="J1248" t="str">
        <f>VLOOKUP(A1248,Medical_Examinations[],9,FALSE)</f>
        <v>Obesity</v>
      </c>
      <c r="K1248" t="str">
        <f>VLOOKUP(A1248,Medical_Examinations[],10,FALSE)</f>
        <v>Normal</v>
      </c>
      <c r="M1248">
        <f>VLOOKUP(A1248,Hospitalisation_Details__2[],4,FALSE)</f>
        <v>8906.14</v>
      </c>
      <c r="N1248" t="str">
        <f>VLOOKUP(A1248,Hospitalisation_Details__2[],5,FALSE)</f>
        <v>tier - 2</v>
      </c>
      <c r="O1248" t="str">
        <f>VLOOKUP(A1248,Hospitalisation_Details__2[],6,FALSE)</f>
        <v>tier - 2</v>
      </c>
      <c r="P1248" t="str">
        <f>VLOOKUP(A1248,Hospitalisation_Details__2[],7,FALSE)</f>
        <v>R1012</v>
      </c>
    </row>
    <row r="1249" spans="1:16" x14ac:dyDescent="0.35">
      <c r="A1249" t="str">
        <v>Id1248</v>
      </c>
      <c r="B1249" t="str">
        <f>VLOOKUP(A1249,'Customer Names (2)'!A:B, 2,FALSE)</f>
        <v>Mr</v>
      </c>
      <c r="C1249">
        <f>VLOOKUP(A1249,Medical_Examinations[],2,FALSE)</f>
        <v>21.85</v>
      </c>
      <c r="D1249">
        <f>VLOOKUP(A1249,Medical_Examinations[],3,FALSE)</f>
        <v>8.76</v>
      </c>
      <c r="E1249" t="str">
        <f>VLOOKUP(A1249,Medical_Examinations[],4,FALSE)</f>
        <v>No</v>
      </c>
      <c r="F1249" t="str">
        <f>VLOOKUP(A1249,Medical_Examinations[],5,FALSE)</f>
        <v>No</v>
      </c>
      <c r="G1249" t="str">
        <f>VLOOKUP(A1249,Medical_Examinations[],6,FALSE)</f>
        <v>No</v>
      </c>
      <c r="H1249">
        <f>VLOOKUP(A1249,Medical_Examinations[],7,FALSE)</f>
        <v>0</v>
      </c>
      <c r="I1249" t="str">
        <f>VLOOKUP(A1249,Medical_Examinations[],8,FALSE)</f>
        <v>No</v>
      </c>
      <c r="J1249" t="str">
        <f>VLOOKUP(A1249,Medical_Examinations[],9,FALSE)</f>
        <v>Normal Weight</v>
      </c>
      <c r="K1249" t="str">
        <f>VLOOKUP(A1249,Medical_Examinations[],10,FALSE)</f>
        <v>Diabetes</v>
      </c>
      <c r="M1249">
        <f>VLOOKUP(A1249,Hospitalisation_Details__2[],4,FALSE)</f>
        <v>8891.14</v>
      </c>
      <c r="N1249" t="str">
        <f>VLOOKUP(A1249,Hospitalisation_Details__2[],5,FALSE)</f>
        <v>tier - 2</v>
      </c>
      <c r="O1249" t="str">
        <f>VLOOKUP(A1249,Hospitalisation_Details__2[],6,FALSE)</f>
        <v>tier - 3</v>
      </c>
      <c r="P1249" t="str">
        <f>VLOOKUP(A1249,Hospitalisation_Details__2[],7,FALSE)</f>
        <v>R1017</v>
      </c>
    </row>
    <row r="1250" spans="1:16" x14ac:dyDescent="0.35">
      <c r="A1250" t="str">
        <v>Id1249</v>
      </c>
      <c r="B1250" t="str">
        <f>VLOOKUP(A1250,'Customer Names (2)'!A:B, 2,FALSE)</f>
        <v>Mr</v>
      </c>
      <c r="C1250">
        <f>VLOOKUP(A1250,Medical_Examinations[],2,FALSE)</f>
        <v>25.73</v>
      </c>
      <c r="D1250">
        <f>VLOOKUP(A1250,Medical_Examinations[],3,FALSE)</f>
        <v>7.99</v>
      </c>
      <c r="E1250" t="str">
        <f>VLOOKUP(A1250,Medical_Examinations[],4,FALSE)</f>
        <v>No</v>
      </c>
      <c r="F1250" t="str">
        <f>VLOOKUP(A1250,Medical_Examinations[],5,FALSE)</f>
        <v>No</v>
      </c>
      <c r="G1250" t="str">
        <f>VLOOKUP(A1250,Medical_Examinations[],6,FALSE)</f>
        <v>No</v>
      </c>
      <c r="H1250">
        <f>VLOOKUP(A1250,Medical_Examinations[],7,FALSE)</f>
        <v>2</v>
      </c>
      <c r="I1250" t="str">
        <f>VLOOKUP(A1250,Medical_Examinations[],8,FALSE)</f>
        <v>No</v>
      </c>
      <c r="J1250" t="str">
        <f>VLOOKUP(A1250,Medical_Examinations[],9,FALSE)</f>
        <v>Overweight</v>
      </c>
      <c r="K1250" t="str">
        <f>VLOOKUP(A1250,Medical_Examinations[],10,FALSE)</f>
        <v>Diabetes</v>
      </c>
      <c r="M1250">
        <f>VLOOKUP(A1250,Hospitalisation_Details__2[],4,FALSE)</f>
        <v>8890.59</v>
      </c>
      <c r="N1250" t="str">
        <f>VLOOKUP(A1250,Hospitalisation_Details__2[],5,FALSE)</f>
        <v>tier - 2</v>
      </c>
      <c r="O1250" t="str">
        <f>VLOOKUP(A1250,Hospitalisation_Details__2[],6,FALSE)</f>
        <v>tier - 3</v>
      </c>
      <c r="P1250" t="str">
        <f>VLOOKUP(A1250,Hospitalisation_Details__2[],7,FALSE)</f>
        <v>R1012</v>
      </c>
    </row>
    <row r="1251" spans="1:16" x14ac:dyDescent="0.35">
      <c r="A1251" t="str">
        <v>Id1250</v>
      </c>
      <c r="B1251" t="str">
        <f>VLOOKUP(A1251,'Customer Names (2)'!A:B, 2,FALSE)</f>
        <v>Ms</v>
      </c>
      <c r="C1251">
        <f>VLOOKUP(A1251,Medical_Examinations[],2,FALSE)</f>
        <v>32.229999999999997</v>
      </c>
      <c r="D1251">
        <f>VLOOKUP(A1251,Medical_Examinations[],3,FALSE)</f>
        <v>8.59</v>
      </c>
      <c r="E1251" t="str">
        <f>VLOOKUP(A1251,Medical_Examinations[],4,FALSE)</f>
        <v>No</v>
      </c>
      <c r="F1251" t="str">
        <f>VLOOKUP(A1251,Medical_Examinations[],5,FALSE)</f>
        <v>No</v>
      </c>
      <c r="G1251" t="str">
        <f>VLOOKUP(A1251,Medical_Examinations[],6,FALSE)</f>
        <v>No</v>
      </c>
      <c r="H1251">
        <f>VLOOKUP(A1251,Medical_Examinations[],7,FALSE)</f>
        <v>0</v>
      </c>
      <c r="I1251" t="str">
        <f>VLOOKUP(A1251,Medical_Examinations[],8,FALSE)</f>
        <v>No</v>
      </c>
      <c r="J1251" t="str">
        <f>VLOOKUP(A1251,Medical_Examinations[],9,FALSE)</f>
        <v>Obesity</v>
      </c>
      <c r="K1251" t="str">
        <f>VLOOKUP(A1251,Medical_Examinations[],10,FALSE)</f>
        <v>Diabetes</v>
      </c>
      <c r="M1251">
        <f>VLOOKUP(A1251,Hospitalisation_Details__2[],4,FALSE)</f>
        <v>8871.15</v>
      </c>
      <c r="N1251" t="str">
        <f>VLOOKUP(A1251,Hospitalisation_Details__2[],5,FALSE)</f>
        <v>tier - 2</v>
      </c>
      <c r="O1251" t="str">
        <f>VLOOKUP(A1251,Hospitalisation_Details__2[],6,FALSE)</f>
        <v>tier - 3</v>
      </c>
      <c r="P1251" t="str">
        <f>VLOOKUP(A1251,Hospitalisation_Details__2[],7,FALSE)</f>
        <v>R1013</v>
      </c>
    </row>
    <row r="1252" spans="1:16" x14ac:dyDescent="0.35">
      <c r="A1252" t="str">
        <v>Id1251</v>
      </c>
      <c r="B1252" t="str">
        <f>VLOOKUP(A1252,'Customer Names (2)'!A:B, 2,FALSE)</f>
        <v>Mr</v>
      </c>
      <c r="C1252">
        <f>VLOOKUP(A1252,Medical_Examinations[],2,FALSE)</f>
        <v>32.204999999999998</v>
      </c>
      <c r="D1252">
        <f>VLOOKUP(A1252,Medical_Examinations[],3,FALSE)</f>
        <v>6.14</v>
      </c>
      <c r="E1252" t="str">
        <f>VLOOKUP(A1252,Medical_Examinations[],4,FALSE)</f>
        <v>No</v>
      </c>
      <c r="F1252" t="str">
        <f>VLOOKUP(A1252,Medical_Examinations[],5,FALSE)</f>
        <v>No</v>
      </c>
      <c r="G1252" t="str">
        <f>VLOOKUP(A1252,Medical_Examinations[],6,FALSE)</f>
        <v>No</v>
      </c>
      <c r="H1252">
        <f>VLOOKUP(A1252,Medical_Examinations[],7,FALSE)</f>
        <v>2</v>
      </c>
      <c r="I1252" t="str">
        <f>VLOOKUP(A1252,Medical_Examinations[],8,FALSE)</f>
        <v>No</v>
      </c>
      <c r="J1252" t="str">
        <f>VLOOKUP(A1252,Medical_Examinations[],9,FALSE)</f>
        <v>Obesity</v>
      </c>
      <c r="K1252" t="str">
        <f>VLOOKUP(A1252,Medical_Examinations[],10,FALSE)</f>
        <v>Prediabetes</v>
      </c>
      <c r="M1252">
        <f>VLOOKUP(A1252,Hospitalisation_Details__2[],4,FALSE)</f>
        <v>8835.26</v>
      </c>
      <c r="N1252" t="str">
        <f>VLOOKUP(A1252,Hospitalisation_Details__2[],5,FALSE)</f>
        <v>tier - 3</v>
      </c>
      <c r="O1252" t="str">
        <f>VLOOKUP(A1252,Hospitalisation_Details__2[],6,FALSE)</f>
        <v>tier - 2</v>
      </c>
      <c r="P1252" t="str">
        <f>VLOOKUP(A1252,Hospitalisation_Details__2[],7,FALSE)</f>
        <v>R1012</v>
      </c>
    </row>
    <row r="1253" spans="1:16" x14ac:dyDescent="0.35">
      <c r="A1253" t="str">
        <v>Id1252</v>
      </c>
      <c r="B1253" t="str">
        <f>VLOOKUP(A1253,'Customer Names (2)'!A:B, 2,FALSE)</f>
        <v>Mr</v>
      </c>
      <c r="C1253">
        <f>VLOOKUP(A1253,Medical_Examinations[],2,FALSE)</f>
        <v>26.41</v>
      </c>
      <c r="D1253">
        <f>VLOOKUP(A1253,Medical_Examinations[],3,FALSE)</f>
        <v>4.08</v>
      </c>
      <c r="E1253" t="str">
        <f>VLOOKUP(A1253,Medical_Examinations[],4,FALSE)</f>
        <v>No</v>
      </c>
      <c r="F1253" t="str">
        <f>VLOOKUP(A1253,Medical_Examinations[],5,FALSE)</f>
        <v>No</v>
      </c>
      <c r="G1253" t="str">
        <f>VLOOKUP(A1253,Medical_Examinations[],6,FALSE)</f>
        <v>No</v>
      </c>
      <c r="H1253">
        <f>VLOOKUP(A1253,Medical_Examinations[],7,FALSE)</f>
        <v>2</v>
      </c>
      <c r="I1253" t="str">
        <f>VLOOKUP(A1253,Medical_Examinations[],8,FALSE)</f>
        <v>No</v>
      </c>
      <c r="J1253" t="str">
        <f>VLOOKUP(A1253,Medical_Examinations[],9,FALSE)</f>
        <v>Overweight</v>
      </c>
      <c r="K1253" t="str">
        <f>VLOOKUP(A1253,Medical_Examinations[],10,FALSE)</f>
        <v>Normal</v>
      </c>
      <c r="M1253">
        <f>VLOOKUP(A1253,Hospitalisation_Details__2[],4,FALSE)</f>
        <v>8827.2099999999991</v>
      </c>
      <c r="N1253" t="str">
        <f>VLOOKUP(A1253,Hospitalisation_Details__2[],5,FALSE)</f>
        <v>tier - 3</v>
      </c>
      <c r="O1253" t="str">
        <f>VLOOKUP(A1253,Hospitalisation_Details__2[],6,FALSE)</f>
        <v>tier - 1</v>
      </c>
      <c r="P1253" t="str">
        <f>VLOOKUP(A1253,Hospitalisation_Details__2[],7,FALSE)</f>
        <v>R1012</v>
      </c>
    </row>
    <row r="1254" spans="1:16" x14ac:dyDescent="0.35">
      <c r="A1254" t="str">
        <v>Id1253</v>
      </c>
      <c r="B1254" t="str">
        <f>VLOOKUP(A1254,'Customer Names (2)'!A:B, 2,FALSE)</f>
        <v>Ms</v>
      </c>
      <c r="C1254">
        <f>VLOOKUP(A1254,Medical_Examinations[],2,FALSE)</f>
        <v>30.2</v>
      </c>
      <c r="D1254">
        <f>VLOOKUP(A1254,Medical_Examinations[],3,FALSE)</f>
        <v>6.25</v>
      </c>
      <c r="E1254" t="str">
        <f>VLOOKUP(A1254,Medical_Examinations[],4,FALSE)</f>
        <v>Yes</v>
      </c>
      <c r="F1254" t="str">
        <f>VLOOKUP(A1254,Medical_Examinations[],5,FALSE)</f>
        <v>No</v>
      </c>
      <c r="G1254" t="str">
        <f>VLOOKUP(A1254,Medical_Examinations[],6,FALSE)</f>
        <v>No</v>
      </c>
      <c r="H1254">
        <f>VLOOKUP(A1254,Medical_Examinations[],7,FALSE)</f>
        <v>0</v>
      </c>
      <c r="I1254" t="str">
        <f>VLOOKUP(A1254,Medical_Examinations[],8,FALSE)</f>
        <v>No</v>
      </c>
      <c r="J1254" t="str">
        <f>VLOOKUP(A1254,Medical_Examinations[],9,FALSE)</f>
        <v>Obesity</v>
      </c>
      <c r="K1254" t="str">
        <f>VLOOKUP(A1254,Medical_Examinations[],10,FALSE)</f>
        <v>Prediabetes</v>
      </c>
      <c r="M1254">
        <f>VLOOKUP(A1254,Hospitalisation_Details__2[],4,FALSE)</f>
        <v>8825.09</v>
      </c>
      <c r="N1254" t="str">
        <f>VLOOKUP(A1254,Hospitalisation_Details__2[],5,FALSE)</f>
        <v>tier - 2</v>
      </c>
      <c r="O1254" t="str">
        <f>VLOOKUP(A1254,Hospitalisation_Details__2[],6,FALSE)</f>
        <v>tier - 3</v>
      </c>
      <c r="P1254" t="str">
        <f>VLOOKUP(A1254,Hospitalisation_Details__2[],7,FALSE)</f>
        <v>R1011</v>
      </c>
    </row>
    <row r="1255" spans="1:16" x14ac:dyDescent="0.35">
      <c r="A1255" t="str">
        <v>Id1254</v>
      </c>
      <c r="B1255" t="str">
        <f>VLOOKUP(A1255,'Customer Names (2)'!A:B, 2,FALSE)</f>
        <v>Mrs</v>
      </c>
      <c r="C1255">
        <f>VLOOKUP(A1255,Medical_Examinations[],2,FALSE)</f>
        <v>31.26</v>
      </c>
      <c r="D1255">
        <f>VLOOKUP(A1255,Medical_Examinations[],3,FALSE)</f>
        <v>5.94</v>
      </c>
      <c r="E1255" t="str">
        <f>VLOOKUP(A1255,Medical_Examinations[],4,FALSE)</f>
        <v>Yes</v>
      </c>
      <c r="F1255" t="str">
        <f>VLOOKUP(A1255,Medical_Examinations[],5,FALSE)</f>
        <v>No</v>
      </c>
      <c r="G1255" t="str">
        <f>VLOOKUP(A1255,Medical_Examinations[],6,FALSE)</f>
        <v>No</v>
      </c>
      <c r="H1255">
        <f>VLOOKUP(A1255,Medical_Examinations[],7,FALSE)</f>
        <v>1</v>
      </c>
      <c r="I1255" t="str">
        <f>VLOOKUP(A1255,Medical_Examinations[],8,FALSE)</f>
        <v>No</v>
      </c>
      <c r="J1255" t="str">
        <f>VLOOKUP(A1255,Medical_Examinations[],9,FALSE)</f>
        <v>Obesity</v>
      </c>
      <c r="K1255" t="str">
        <f>VLOOKUP(A1255,Medical_Examinations[],10,FALSE)</f>
        <v>Prediabetes</v>
      </c>
      <c r="M1255">
        <f>VLOOKUP(A1255,Hospitalisation_Details__2[],4,FALSE)</f>
        <v>8824.27</v>
      </c>
      <c r="N1255" t="str">
        <f>VLOOKUP(A1255,Hospitalisation_Details__2[],5,FALSE)</f>
        <v>tier - 2</v>
      </c>
      <c r="O1255" t="str">
        <f>VLOOKUP(A1255,Hospitalisation_Details__2[],6,FALSE)</f>
        <v>tier - 1</v>
      </c>
      <c r="P1255" t="str">
        <f>VLOOKUP(A1255,Hospitalisation_Details__2[],7,FALSE)</f>
        <v>R1025</v>
      </c>
    </row>
    <row r="1256" spans="1:16" x14ac:dyDescent="0.35">
      <c r="A1256" t="str">
        <v>Id1255</v>
      </c>
      <c r="B1256" t="str">
        <f>VLOOKUP(A1256,'Customer Names (2)'!A:B, 2,FALSE)</f>
        <v>Ms</v>
      </c>
      <c r="C1256">
        <f>VLOOKUP(A1256,Medical_Examinations[],2,FALSE)</f>
        <v>33.725000000000001</v>
      </c>
      <c r="D1256">
        <f>VLOOKUP(A1256,Medical_Examinations[],3,FALSE)</f>
        <v>6.45</v>
      </c>
      <c r="E1256" t="str">
        <f>VLOOKUP(A1256,Medical_Examinations[],4,FALSE)</f>
        <v>Yes</v>
      </c>
      <c r="F1256" t="str">
        <f>VLOOKUP(A1256,Medical_Examinations[],5,FALSE)</f>
        <v>No</v>
      </c>
      <c r="G1256" t="str">
        <f>VLOOKUP(A1256,Medical_Examinations[],6,FALSE)</f>
        <v>No</v>
      </c>
      <c r="H1256">
        <f>VLOOKUP(A1256,Medical_Examinations[],7,FALSE)</f>
        <v>0</v>
      </c>
      <c r="I1256" t="str">
        <f>VLOOKUP(A1256,Medical_Examinations[],8,FALSE)</f>
        <v>No</v>
      </c>
      <c r="J1256" t="str">
        <f>VLOOKUP(A1256,Medical_Examinations[],9,FALSE)</f>
        <v>Obesity</v>
      </c>
      <c r="K1256" t="str">
        <f>VLOOKUP(A1256,Medical_Examinations[],10,FALSE)</f>
        <v>Prediabetes</v>
      </c>
      <c r="M1256">
        <f>VLOOKUP(A1256,Hospitalisation_Details__2[],4,FALSE)</f>
        <v>8823.99</v>
      </c>
      <c r="N1256" t="str">
        <f>VLOOKUP(A1256,Hospitalisation_Details__2[],5,FALSE)</f>
        <v>tier - 2</v>
      </c>
      <c r="O1256" t="str">
        <f>VLOOKUP(A1256,Hospitalisation_Details__2[],6,FALSE)</f>
        <v>tier - 3</v>
      </c>
      <c r="P1256" t="str">
        <f>VLOOKUP(A1256,Hospitalisation_Details__2[],7,FALSE)</f>
        <v>R1024</v>
      </c>
    </row>
    <row r="1257" spans="1:16" x14ac:dyDescent="0.35">
      <c r="A1257" t="str">
        <v>Id1256</v>
      </c>
      <c r="B1257" t="str">
        <f>VLOOKUP(A1257,'Customer Names (2)'!A:B, 2,FALSE)</f>
        <v>Ms</v>
      </c>
      <c r="C1257">
        <f>VLOOKUP(A1257,Medical_Examinations[],2,FALSE)</f>
        <v>28.9</v>
      </c>
      <c r="D1257">
        <f>VLOOKUP(A1257,Medical_Examinations[],3,FALSE)</f>
        <v>5.74</v>
      </c>
      <c r="E1257" t="str">
        <f>VLOOKUP(A1257,Medical_Examinations[],4,FALSE)</f>
        <v>Yes</v>
      </c>
      <c r="F1257" t="str">
        <f>VLOOKUP(A1257,Medical_Examinations[],5,FALSE)</f>
        <v>No</v>
      </c>
      <c r="G1257" t="str">
        <f>VLOOKUP(A1257,Medical_Examinations[],6,FALSE)</f>
        <v>No</v>
      </c>
      <c r="H1257">
        <f>VLOOKUP(A1257,Medical_Examinations[],7,FALSE)</f>
        <v>0</v>
      </c>
      <c r="I1257" t="str">
        <f>VLOOKUP(A1257,Medical_Examinations[],8,FALSE)</f>
        <v>No</v>
      </c>
      <c r="J1257" t="str">
        <f>VLOOKUP(A1257,Medical_Examinations[],9,FALSE)</f>
        <v>Overweight</v>
      </c>
      <c r="K1257" t="str">
        <f>VLOOKUP(A1257,Medical_Examinations[],10,FALSE)</f>
        <v>Prediabetes</v>
      </c>
      <c r="M1257">
        <f>VLOOKUP(A1257,Hospitalisation_Details__2[],4,FALSE)</f>
        <v>8823.2800000000007</v>
      </c>
      <c r="N1257" t="str">
        <f>VLOOKUP(A1257,Hospitalisation_Details__2[],5,FALSE)</f>
        <v>tier - 2</v>
      </c>
      <c r="O1257" t="str">
        <f>VLOOKUP(A1257,Hospitalisation_Details__2[],6,FALSE)</f>
        <v>tier - 1</v>
      </c>
      <c r="P1257" t="str">
        <f>VLOOKUP(A1257,Hospitalisation_Details__2[],7,FALSE)</f>
        <v>R1011</v>
      </c>
    </row>
    <row r="1258" spans="1:16" x14ac:dyDescent="0.35">
      <c r="A1258" t="str">
        <v>Id1257</v>
      </c>
      <c r="B1258" t="str">
        <f>VLOOKUP(A1258,'Customer Names (2)'!A:B, 2,FALSE)</f>
        <v>Mr</v>
      </c>
      <c r="C1258">
        <f>VLOOKUP(A1258,Medical_Examinations[],2,FALSE)</f>
        <v>45.69</v>
      </c>
      <c r="D1258">
        <f>VLOOKUP(A1258,Medical_Examinations[],3,FALSE)</f>
        <v>4.43</v>
      </c>
      <c r="E1258" t="str">
        <f>VLOOKUP(A1258,Medical_Examinations[],4,FALSE)</f>
        <v>Yes</v>
      </c>
      <c r="F1258" t="str">
        <f>VLOOKUP(A1258,Medical_Examinations[],5,FALSE)</f>
        <v>No</v>
      </c>
      <c r="G1258" t="str">
        <f>VLOOKUP(A1258,Medical_Examinations[],6,FALSE)</f>
        <v>No</v>
      </c>
      <c r="H1258">
        <f>VLOOKUP(A1258,Medical_Examinations[],7,FALSE)</f>
        <v>0</v>
      </c>
      <c r="I1258" t="str">
        <f>VLOOKUP(A1258,Medical_Examinations[],8,FALSE)</f>
        <v>No</v>
      </c>
      <c r="J1258" t="str">
        <f>VLOOKUP(A1258,Medical_Examinations[],9,FALSE)</f>
        <v>Obesity</v>
      </c>
      <c r="K1258" t="str">
        <f>VLOOKUP(A1258,Medical_Examinations[],10,FALSE)</f>
        <v>Normal</v>
      </c>
      <c r="M1258">
        <f>VLOOKUP(A1258,Hospitalisation_Details__2[],4,FALSE)</f>
        <v>8821.8799999999992</v>
      </c>
      <c r="N1258" t="str">
        <f>VLOOKUP(A1258,Hospitalisation_Details__2[],5,FALSE)</f>
        <v>tier - 2</v>
      </c>
      <c r="O1258" t="str">
        <f>VLOOKUP(A1258,Hospitalisation_Details__2[],6,FALSE)</f>
        <v>tier - 3</v>
      </c>
      <c r="P1258" t="str">
        <f>VLOOKUP(A1258,Hospitalisation_Details__2[],7,FALSE)</f>
        <v>R1023</v>
      </c>
    </row>
    <row r="1259" spans="1:16" x14ac:dyDescent="0.35">
      <c r="A1259" t="str">
        <v>Id1258</v>
      </c>
      <c r="B1259" t="str">
        <f>VLOOKUP(A1259,'Customer Names (2)'!A:B, 2,FALSE)</f>
        <v>Ms</v>
      </c>
      <c r="C1259">
        <f>VLOOKUP(A1259,Medical_Examinations[],2,FALSE)</f>
        <v>21.03</v>
      </c>
      <c r="D1259">
        <f>VLOOKUP(A1259,Medical_Examinations[],3,FALSE)</f>
        <v>6.5</v>
      </c>
      <c r="E1259" t="str">
        <f>VLOOKUP(A1259,Medical_Examinations[],4,FALSE)</f>
        <v>No</v>
      </c>
      <c r="F1259" t="str">
        <f>VLOOKUP(A1259,Medical_Examinations[],5,FALSE)</f>
        <v>No</v>
      </c>
      <c r="G1259" t="str">
        <f>VLOOKUP(A1259,Medical_Examinations[],6,FALSE)</f>
        <v>No</v>
      </c>
      <c r="H1259">
        <f>VLOOKUP(A1259,Medical_Examinations[],7,FALSE)</f>
        <v>0</v>
      </c>
      <c r="I1259" t="str">
        <f>VLOOKUP(A1259,Medical_Examinations[],8,FALSE)</f>
        <v>No</v>
      </c>
      <c r="J1259" t="str">
        <f>VLOOKUP(A1259,Medical_Examinations[],9,FALSE)</f>
        <v>Normal Weight</v>
      </c>
      <c r="K1259" t="str">
        <f>VLOOKUP(A1259,Medical_Examinations[],10,FALSE)</f>
        <v>Diabetes</v>
      </c>
      <c r="M1259">
        <f>VLOOKUP(A1259,Hospitalisation_Details__2[],4,FALSE)</f>
        <v>8800.49</v>
      </c>
      <c r="N1259" t="str">
        <f>VLOOKUP(A1259,Hospitalisation_Details__2[],5,FALSE)</f>
        <v>tier - 3</v>
      </c>
      <c r="O1259" t="str">
        <f>VLOOKUP(A1259,Hospitalisation_Details__2[],6,FALSE)</f>
        <v>tier - 2</v>
      </c>
      <c r="P1259" t="str">
        <f>VLOOKUP(A1259,Hospitalisation_Details__2[],7,FALSE)</f>
        <v>R1013</v>
      </c>
    </row>
    <row r="1260" spans="1:16" x14ac:dyDescent="0.35">
      <c r="A1260" t="str">
        <v>Id1259</v>
      </c>
      <c r="B1260" t="str">
        <f>VLOOKUP(A1260,'Customer Names (2)'!A:B, 2,FALSE)</f>
        <v>Mr</v>
      </c>
      <c r="C1260">
        <f>VLOOKUP(A1260,Medical_Examinations[],2,FALSE)</f>
        <v>37</v>
      </c>
      <c r="D1260">
        <f>VLOOKUP(A1260,Medical_Examinations[],3,FALSE)</f>
        <v>8.75</v>
      </c>
      <c r="E1260" t="str">
        <f>VLOOKUP(A1260,Medical_Examinations[],4,FALSE)</f>
        <v>No</v>
      </c>
      <c r="F1260" t="str">
        <f>VLOOKUP(A1260,Medical_Examinations[],5,FALSE)</f>
        <v>No</v>
      </c>
      <c r="G1260" t="str">
        <f>VLOOKUP(A1260,Medical_Examinations[],6,FALSE)</f>
        <v>No</v>
      </c>
      <c r="H1260">
        <f>VLOOKUP(A1260,Medical_Examinations[],7,FALSE)</f>
        <v>0</v>
      </c>
      <c r="I1260" t="str">
        <f>VLOOKUP(A1260,Medical_Examinations[],8,FALSE)</f>
        <v>No</v>
      </c>
      <c r="J1260" t="str">
        <f>VLOOKUP(A1260,Medical_Examinations[],9,FALSE)</f>
        <v>Obesity</v>
      </c>
      <c r="K1260" t="str">
        <f>VLOOKUP(A1260,Medical_Examinations[],10,FALSE)</f>
        <v>Diabetes</v>
      </c>
      <c r="M1260">
        <f>VLOOKUP(A1260,Hospitalisation_Details__2[],4,FALSE)</f>
        <v>8798.59</v>
      </c>
      <c r="N1260" t="str">
        <f>VLOOKUP(A1260,Hospitalisation_Details__2[],5,FALSE)</f>
        <v>tier - 2</v>
      </c>
      <c r="O1260" t="str">
        <f>VLOOKUP(A1260,Hospitalisation_Details__2[],6,FALSE)</f>
        <v>tier - 1</v>
      </c>
      <c r="P1260" t="str">
        <f>VLOOKUP(A1260,Hospitalisation_Details__2[],7,FALSE)</f>
        <v>R1011</v>
      </c>
    </row>
    <row r="1261" spans="1:16" x14ac:dyDescent="0.35">
      <c r="A1261" t="str">
        <v>Id1260</v>
      </c>
      <c r="B1261" t="str">
        <f>VLOOKUP(A1261,'Customer Names (2)'!A:B, 2,FALSE)</f>
        <v>Mr</v>
      </c>
      <c r="C1261">
        <f>VLOOKUP(A1261,Medical_Examinations[],2,FALSE)</f>
        <v>25.4</v>
      </c>
      <c r="D1261">
        <f>VLOOKUP(A1261,Medical_Examinations[],3,FALSE)</f>
        <v>11.96</v>
      </c>
      <c r="E1261" t="str">
        <f>VLOOKUP(A1261,Medical_Examinations[],4,FALSE)</f>
        <v>No</v>
      </c>
      <c r="F1261" t="str">
        <f>VLOOKUP(A1261,Medical_Examinations[],5,FALSE)</f>
        <v>No</v>
      </c>
      <c r="G1261" t="str">
        <f>VLOOKUP(A1261,Medical_Examinations[],6,FALSE)</f>
        <v>No</v>
      </c>
      <c r="H1261">
        <f>VLOOKUP(A1261,Medical_Examinations[],7,FALSE)</f>
        <v>0</v>
      </c>
      <c r="I1261" t="str">
        <f>VLOOKUP(A1261,Medical_Examinations[],8,FALSE)</f>
        <v>No</v>
      </c>
      <c r="J1261" t="str">
        <f>VLOOKUP(A1261,Medical_Examinations[],9,FALSE)</f>
        <v>Overweight</v>
      </c>
      <c r="K1261" t="str">
        <f>VLOOKUP(A1261,Medical_Examinations[],10,FALSE)</f>
        <v>Diabetes</v>
      </c>
      <c r="M1261">
        <f>VLOOKUP(A1261,Hospitalisation_Details__2[],4,FALSE)</f>
        <v>8782.4699999999993</v>
      </c>
      <c r="N1261" t="str">
        <f>VLOOKUP(A1261,Hospitalisation_Details__2[],5,FALSE)</f>
        <v>tier - 2</v>
      </c>
      <c r="O1261" t="str">
        <f>VLOOKUP(A1261,Hospitalisation_Details__2[],6,FALSE)</f>
        <v>tier - 3</v>
      </c>
      <c r="P1261" t="str">
        <f>VLOOKUP(A1261,Hospitalisation_Details__2[],7,FALSE)</f>
        <v>R1011</v>
      </c>
    </row>
    <row r="1262" spans="1:16" x14ac:dyDescent="0.35">
      <c r="A1262" t="str">
        <v>Id1261</v>
      </c>
      <c r="B1262" t="str">
        <f>VLOOKUP(A1262,'Customer Names (2)'!A:B, 2,FALSE)</f>
        <v>Mr</v>
      </c>
      <c r="C1262">
        <f>VLOOKUP(A1262,Medical_Examinations[],2,FALSE)</f>
        <v>32.299999999999997</v>
      </c>
      <c r="D1262">
        <f>VLOOKUP(A1262,Medical_Examinations[],3,FALSE)</f>
        <v>10.54</v>
      </c>
      <c r="E1262" t="str">
        <f>VLOOKUP(A1262,Medical_Examinations[],4,FALSE)</f>
        <v>No</v>
      </c>
      <c r="F1262" t="str">
        <f>VLOOKUP(A1262,Medical_Examinations[],5,FALSE)</f>
        <v>No</v>
      </c>
      <c r="G1262" t="str">
        <f>VLOOKUP(A1262,Medical_Examinations[],6,FALSE)</f>
        <v>No</v>
      </c>
      <c r="H1262">
        <f>VLOOKUP(A1262,Medical_Examinations[],7,FALSE)</f>
        <v>0</v>
      </c>
      <c r="I1262" t="str">
        <f>VLOOKUP(A1262,Medical_Examinations[],8,FALSE)</f>
        <v>No</v>
      </c>
      <c r="J1262" t="str">
        <f>VLOOKUP(A1262,Medical_Examinations[],9,FALSE)</f>
        <v>Obesity</v>
      </c>
      <c r="K1262" t="str">
        <f>VLOOKUP(A1262,Medical_Examinations[],10,FALSE)</f>
        <v>Diabetes</v>
      </c>
      <c r="M1262">
        <f>VLOOKUP(A1262,Hospitalisation_Details__2[],4,FALSE)</f>
        <v>8765.25</v>
      </c>
      <c r="N1262" t="str">
        <f>VLOOKUP(A1262,Hospitalisation_Details__2[],5,FALSE)</f>
        <v>tier - 2</v>
      </c>
      <c r="O1262" t="str">
        <f>VLOOKUP(A1262,Hospitalisation_Details__2[],6,FALSE)</f>
        <v>tier - 3</v>
      </c>
      <c r="P1262" t="str">
        <f>VLOOKUP(A1262,Hospitalisation_Details__2[],7,FALSE)</f>
        <v>R1012</v>
      </c>
    </row>
    <row r="1263" spans="1:16" x14ac:dyDescent="0.35">
      <c r="A1263" t="str">
        <v>Id1262</v>
      </c>
      <c r="B1263" t="str">
        <f>VLOOKUP(A1263,'Customer Names (2)'!A:B, 2,FALSE)</f>
        <v>Ms</v>
      </c>
      <c r="C1263">
        <f>VLOOKUP(A1263,Medical_Examinations[],2,FALSE)</f>
        <v>23.94</v>
      </c>
      <c r="D1263">
        <f>VLOOKUP(A1263,Medical_Examinations[],3,FALSE)</f>
        <v>4.54</v>
      </c>
      <c r="E1263" t="str">
        <f>VLOOKUP(A1263,Medical_Examinations[],4,FALSE)</f>
        <v>Yes</v>
      </c>
      <c r="F1263" t="str">
        <f>VLOOKUP(A1263,Medical_Examinations[],5,FALSE)</f>
        <v>No</v>
      </c>
      <c r="G1263" t="str">
        <f>VLOOKUP(A1263,Medical_Examinations[],6,FALSE)</f>
        <v>Yes</v>
      </c>
      <c r="H1263">
        <f>VLOOKUP(A1263,Medical_Examinations[],7,FALSE)</f>
        <v>1</v>
      </c>
      <c r="I1263" t="str">
        <f>VLOOKUP(A1263,Medical_Examinations[],8,FALSE)</f>
        <v>No</v>
      </c>
      <c r="J1263" t="str">
        <f>VLOOKUP(A1263,Medical_Examinations[],9,FALSE)</f>
        <v>Normal Weight</v>
      </c>
      <c r="K1263" t="str">
        <f>VLOOKUP(A1263,Medical_Examinations[],10,FALSE)</f>
        <v>Normal</v>
      </c>
      <c r="M1263">
        <f>VLOOKUP(A1263,Hospitalisation_Details__2[],4,FALSE)</f>
        <v>8760.1200000000008</v>
      </c>
      <c r="N1263" t="str">
        <f>VLOOKUP(A1263,Hospitalisation_Details__2[],5,FALSE)</f>
        <v>tier - 2</v>
      </c>
      <c r="O1263" t="str">
        <f>VLOOKUP(A1263,Hospitalisation_Details__2[],6,FALSE)</f>
        <v>tier - 1</v>
      </c>
      <c r="P1263" t="str">
        <f>VLOOKUP(A1263,Hospitalisation_Details__2[],7,FALSE)</f>
        <v>R1013</v>
      </c>
    </row>
    <row r="1264" spans="1:16" x14ac:dyDescent="0.35">
      <c r="A1264" t="str">
        <v>Id1263</v>
      </c>
      <c r="B1264" t="str">
        <f>VLOOKUP(A1264,'Customer Names (2)'!A:B, 2,FALSE)</f>
        <v>Ms</v>
      </c>
      <c r="C1264">
        <f>VLOOKUP(A1264,Medical_Examinations[],2,FALSE)</f>
        <v>46.4</v>
      </c>
      <c r="D1264">
        <f>VLOOKUP(A1264,Medical_Examinations[],3,FALSE)</f>
        <v>5.71</v>
      </c>
      <c r="E1264" t="str">
        <f>VLOOKUP(A1264,Medical_Examinations[],4,FALSE)</f>
        <v>No</v>
      </c>
      <c r="F1264" t="str">
        <f>VLOOKUP(A1264,Medical_Examinations[],5,FALSE)</f>
        <v>No</v>
      </c>
      <c r="G1264" t="str">
        <f>VLOOKUP(A1264,Medical_Examinations[],6,FALSE)</f>
        <v>No</v>
      </c>
      <c r="H1264">
        <f>VLOOKUP(A1264,Medical_Examinations[],7,FALSE)</f>
        <v>0</v>
      </c>
      <c r="I1264" t="str">
        <f>VLOOKUP(A1264,Medical_Examinations[],8,FALSE)</f>
        <v>No</v>
      </c>
      <c r="J1264" t="str">
        <f>VLOOKUP(A1264,Medical_Examinations[],9,FALSE)</f>
        <v>Obesity</v>
      </c>
      <c r="K1264" t="str">
        <f>VLOOKUP(A1264,Medical_Examinations[],10,FALSE)</f>
        <v>Prediabetes</v>
      </c>
      <c r="M1264">
        <f>VLOOKUP(A1264,Hospitalisation_Details__2[],4,FALSE)</f>
        <v>8747.68</v>
      </c>
      <c r="N1264" t="str">
        <f>VLOOKUP(A1264,Hospitalisation_Details__2[],5,FALSE)</f>
        <v>tier - 2</v>
      </c>
      <c r="O1264" t="str">
        <f>VLOOKUP(A1264,Hospitalisation_Details__2[],6,FALSE)</f>
        <v>tier - 3</v>
      </c>
      <c r="P1264" t="str">
        <f>VLOOKUP(A1264,Hospitalisation_Details__2[],7,FALSE)</f>
        <v>R1011</v>
      </c>
    </row>
    <row r="1265" spans="1:16" x14ac:dyDescent="0.35">
      <c r="A1265" t="str">
        <v>Id1264</v>
      </c>
      <c r="B1265" t="str">
        <f>VLOOKUP(A1265,'Customer Names (2)'!A:B, 2,FALSE)</f>
        <v>Mr</v>
      </c>
      <c r="C1265">
        <f>VLOOKUP(A1265,Medical_Examinations[],2,FALSE)</f>
        <v>40.375</v>
      </c>
      <c r="D1265">
        <f>VLOOKUP(A1265,Medical_Examinations[],3,FALSE)</f>
        <v>6.25</v>
      </c>
      <c r="E1265" t="str">
        <f>VLOOKUP(A1265,Medical_Examinations[],4,FALSE)</f>
        <v>Yes</v>
      </c>
      <c r="F1265" t="str">
        <f>VLOOKUP(A1265,Medical_Examinations[],5,FALSE)</f>
        <v>No</v>
      </c>
      <c r="G1265" t="str">
        <f>VLOOKUP(A1265,Medical_Examinations[],6,FALSE)</f>
        <v>No</v>
      </c>
      <c r="H1265">
        <f>VLOOKUP(A1265,Medical_Examinations[],7,FALSE)</f>
        <v>0</v>
      </c>
      <c r="I1265" t="str">
        <f>VLOOKUP(A1265,Medical_Examinations[],8,FALSE)</f>
        <v>No</v>
      </c>
      <c r="J1265" t="str">
        <f>VLOOKUP(A1265,Medical_Examinations[],9,FALSE)</f>
        <v>Obesity</v>
      </c>
      <c r="K1265" t="str">
        <f>VLOOKUP(A1265,Medical_Examinations[],10,FALSE)</f>
        <v>Prediabetes</v>
      </c>
      <c r="M1265">
        <f>VLOOKUP(A1265,Hospitalisation_Details__2[],4,FALSE)</f>
        <v>8733.23</v>
      </c>
      <c r="N1265" t="str">
        <f>VLOOKUP(A1265,Hospitalisation_Details__2[],5,FALSE)</f>
        <v>tier - 2</v>
      </c>
      <c r="O1265" t="str">
        <f>VLOOKUP(A1265,Hospitalisation_Details__2[],6,FALSE)</f>
        <v>tier - 3</v>
      </c>
      <c r="P1265" t="str">
        <f>VLOOKUP(A1265,Hospitalisation_Details__2[],7,FALSE)</f>
        <v>R1012</v>
      </c>
    </row>
    <row r="1266" spans="1:16" x14ac:dyDescent="0.35">
      <c r="A1266" t="str">
        <v>Id1265</v>
      </c>
      <c r="B1266" t="str">
        <f>VLOOKUP(A1266,'Customer Names (2)'!A:B, 2,FALSE)</f>
        <v>Mr</v>
      </c>
      <c r="C1266">
        <f>VLOOKUP(A1266,Medical_Examinations[],2,FALSE)</f>
        <v>28.7</v>
      </c>
      <c r="D1266">
        <f>VLOOKUP(A1266,Medical_Examinations[],3,FALSE)</f>
        <v>9.4700000000000006</v>
      </c>
      <c r="E1266" t="str">
        <f>VLOOKUP(A1266,Medical_Examinations[],4,FALSE)</f>
        <v>No</v>
      </c>
      <c r="F1266" t="str">
        <f>VLOOKUP(A1266,Medical_Examinations[],5,FALSE)</f>
        <v>No</v>
      </c>
      <c r="G1266" t="str">
        <f>VLOOKUP(A1266,Medical_Examinations[],6,FALSE)</f>
        <v>No</v>
      </c>
      <c r="H1266">
        <f>VLOOKUP(A1266,Medical_Examinations[],7,FALSE)</f>
        <v>2</v>
      </c>
      <c r="I1266" t="str">
        <f>VLOOKUP(A1266,Medical_Examinations[],8,FALSE)</f>
        <v>No</v>
      </c>
      <c r="J1266" t="str">
        <f>VLOOKUP(A1266,Medical_Examinations[],9,FALSE)</f>
        <v>Overweight</v>
      </c>
      <c r="K1266" t="str">
        <f>VLOOKUP(A1266,Medical_Examinations[],10,FALSE)</f>
        <v>Diabetes</v>
      </c>
      <c r="M1266">
        <f>VLOOKUP(A1266,Hospitalisation_Details__2[],4,FALSE)</f>
        <v>8703.4599999999991</v>
      </c>
      <c r="N1266" t="str">
        <f>VLOOKUP(A1266,Hospitalisation_Details__2[],5,FALSE)</f>
        <v>tier - 3</v>
      </c>
      <c r="O1266" t="str">
        <f>VLOOKUP(A1266,Hospitalisation_Details__2[],6,FALSE)</f>
        <v>tier - 3</v>
      </c>
      <c r="P1266" t="str">
        <f>VLOOKUP(A1266,Hospitalisation_Details__2[],7,FALSE)</f>
        <v>R1011</v>
      </c>
    </row>
    <row r="1267" spans="1:16" x14ac:dyDescent="0.35">
      <c r="A1267" t="str">
        <v>Id1266</v>
      </c>
      <c r="B1267" t="str">
        <f>VLOOKUP(A1267,'Customer Names (2)'!A:B, 2,FALSE)</f>
        <v>Mr</v>
      </c>
      <c r="C1267">
        <f>VLOOKUP(A1267,Medical_Examinations[],2,FALSE)</f>
        <v>26.63</v>
      </c>
      <c r="D1267">
        <f>VLOOKUP(A1267,Medical_Examinations[],3,FALSE)</f>
        <v>5.7</v>
      </c>
      <c r="E1267" t="str">
        <f>VLOOKUP(A1267,Medical_Examinations[],4,FALSE)</f>
        <v>No</v>
      </c>
      <c r="F1267" t="str">
        <f>VLOOKUP(A1267,Medical_Examinations[],5,FALSE)</f>
        <v>No</v>
      </c>
      <c r="G1267" t="str">
        <f>VLOOKUP(A1267,Medical_Examinations[],6,FALSE)</f>
        <v>No</v>
      </c>
      <c r="H1267">
        <f>VLOOKUP(A1267,Medical_Examinations[],7,FALSE)</f>
        <v>0</v>
      </c>
      <c r="I1267" t="str">
        <f>VLOOKUP(A1267,Medical_Examinations[],8,FALSE)</f>
        <v>No</v>
      </c>
      <c r="J1267" t="str">
        <f>VLOOKUP(A1267,Medical_Examinations[],9,FALSE)</f>
        <v>Overweight</v>
      </c>
      <c r="K1267" t="str">
        <f>VLOOKUP(A1267,Medical_Examinations[],10,FALSE)</f>
        <v>Prediabetes</v>
      </c>
      <c r="M1267">
        <f>VLOOKUP(A1267,Hospitalisation_Details__2[],4,FALSE)</f>
        <v>8701.84</v>
      </c>
      <c r="N1267" t="str">
        <f>VLOOKUP(A1267,Hospitalisation_Details__2[],5,FALSE)</f>
        <v>tier - 2</v>
      </c>
      <c r="O1267" t="str">
        <f>VLOOKUP(A1267,Hospitalisation_Details__2[],6,FALSE)</f>
        <v>tier - 3</v>
      </c>
      <c r="P1267" t="str">
        <f>VLOOKUP(A1267,Hospitalisation_Details__2[],7,FALSE)</f>
        <v>R1021</v>
      </c>
    </row>
    <row r="1268" spans="1:16" x14ac:dyDescent="0.35">
      <c r="A1268" t="str">
        <v>Id1267</v>
      </c>
      <c r="B1268" t="str">
        <f>VLOOKUP(A1268,'Customer Names (2)'!A:B, 2,FALSE)</f>
        <v>Mr</v>
      </c>
      <c r="C1268">
        <f>VLOOKUP(A1268,Medical_Examinations[],2,FALSE)</f>
        <v>22.515000000000001</v>
      </c>
      <c r="D1268">
        <f>VLOOKUP(A1268,Medical_Examinations[],3,FALSE)</f>
        <v>11.18</v>
      </c>
      <c r="E1268" t="str">
        <f>VLOOKUP(A1268,Medical_Examinations[],4,FALSE)</f>
        <v>No</v>
      </c>
      <c r="F1268" t="str">
        <f>VLOOKUP(A1268,Medical_Examinations[],5,FALSE)</f>
        <v>No</v>
      </c>
      <c r="G1268" t="str">
        <f>VLOOKUP(A1268,Medical_Examinations[],6,FALSE)</f>
        <v>No</v>
      </c>
      <c r="H1268">
        <f>VLOOKUP(A1268,Medical_Examinations[],7,FALSE)</f>
        <v>2</v>
      </c>
      <c r="I1268" t="str">
        <f>VLOOKUP(A1268,Medical_Examinations[],8,FALSE)</f>
        <v>No</v>
      </c>
      <c r="J1268" t="str">
        <f>VLOOKUP(A1268,Medical_Examinations[],9,FALSE)</f>
        <v>Normal Weight</v>
      </c>
      <c r="K1268" t="str">
        <f>VLOOKUP(A1268,Medical_Examinations[],10,FALSE)</f>
        <v>Diabetes</v>
      </c>
      <c r="M1268">
        <f>VLOOKUP(A1268,Hospitalisation_Details__2[],4,FALSE)</f>
        <v>8688.86</v>
      </c>
      <c r="N1268" t="str">
        <f>VLOOKUP(A1268,Hospitalisation_Details__2[],5,FALSE)</f>
        <v>tier - 2</v>
      </c>
      <c r="O1268" t="str">
        <f>VLOOKUP(A1268,Hospitalisation_Details__2[],6,FALSE)</f>
        <v>tier - 1</v>
      </c>
      <c r="P1268" t="str">
        <f>VLOOKUP(A1268,Hospitalisation_Details__2[],7,FALSE)</f>
        <v>R1017</v>
      </c>
    </row>
    <row r="1269" spans="1:16" x14ac:dyDescent="0.35">
      <c r="A1269" t="str">
        <v>Id1268</v>
      </c>
      <c r="B1269" t="str">
        <f>VLOOKUP(A1269,'Customer Names (2)'!A:B, 2,FALSE)</f>
        <v>Ms</v>
      </c>
      <c r="C1269">
        <f>VLOOKUP(A1269,Medical_Examinations[],2,FALSE)</f>
        <v>36.575000000000003</v>
      </c>
      <c r="D1269">
        <f>VLOOKUP(A1269,Medical_Examinations[],3,FALSE)</f>
        <v>10.98</v>
      </c>
      <c r="E1269" t="str">
        <f>VLOOKUP(A1269,Medical_Examinations[],4,FALSE)</f>
        <v>No</v>
      </c>
      <c r="F1269" t="str">
        <f>VLOOKUP(A1269,Medical_Examinations[],5,FALSE)</f>
        <v>No</v>
      </c>
      <c r="G1269" t="str">
        <f>VLOOKUP(A1269,Medical_Examinations[],6,FALSE)</f>
        <v>No</v>
      </c>
      <c r="H1269">
        <f>VLOOKUP(A1269,Medical_Examinations[],7,FALSE)</f>
        <v>0</v>
      </c>
      <c r="I1269" t="str">
        <f>VLOOKUP(A1269,Medical_Examinations[],8,FALSE)</f>
        <v>No</v>
      </c>
      <c r="J1269" t="str">
        <f>VLOOKUP(A1269,Medical_Examinations[],9,FALSE)</f>
        <v>Obesity</v>
      </c>
      <c r="K1269" t="str">
        <f>VLOOKUP(A1269,Medical_Examinations[],10,FALSE)</f>
        <v>Diabetes</v>
      </c>
      <c r="M1269">
        <f>VLOOKUP(A1269,Hospitalisation_Details__2[],4,FALSE)</f>
        <v>8671.19</v>
      </c>
      <c r="N1269" t="str">
        <f>VLOOKUP(A1269,Hospitalisation_Details__2[],5,FALSE)</f>
        <v>tier - 2</v>
      </c>
      <c r="O1269" t="str">
        <f>VLOOKUP(A1269,Hospitalisation_Details__2[],6,FALSE)</f>
        <v>tier - 1</v>
      </c>
      <c r="P1269" t="str">
        <f>VLOOKUP(A1269,Hospitalisation_Details__2[],7,FALSE)</f>
        <v>R1012</v>
      </c>
    </row>
    <row r="1270" spans="1:16" x14ac:dyDescent="0.35">
      <c r="A1270" t="str">
        <v>Id1269</v>
      </c>
      <c r="B1270" t="str">
        <f>VLOOKUP(A1270,'Customer Names (2)'!A:B, 2,FALSE)</f>
        <v>Ms</v>
      </c>
      <c r="C1270">
        <f>VLOOKUP(A1270,Medical_Examinations[],2,FALSE)</f>
        <v>23.66</v>
      </c>
      <c r="D1270">
        <f>VLOOKUP(A1270,Medical_Examinations[],3,FALSE)</f>
        <v>5.1100000000000003</v>
      </c>
      <c r="E1270" t="str">
        <f>VLOOKUP(A1270,Medical_Examinations[],4,FALSE)</f>
        <v>Yes</v>
      </c>
      <c r="F1270" t="str">
        <f>VLOOKUP(A1270,Medical_Examinations[],5,FALSE)</f>
        <v>No</v>
      </c>
      <c r="G1270" t="str">
        <f>VLOOKUP(A1270,Medical_Examinations[],6,FALSE)</f>
        <v>Yes</v>
      </c>
      <c r="H1270">
        <f>VLOOKUP(A1270,Medical_Examinations[],7,FALSE)</f>
        <v>1</v>
      </c>
      <c r="I1270" t="str">
        <f>VLOOKUP(A1270,Medical_Examinations[],8,FALSE)</f>
        <v>No</v>
      </c>
      <c r="J1270" t="str">
        <f>VLOOKUP(A1270,Medical_Examinations[],9,FALSE)</f>
        <v>Normal Weight</v>
      </c>
      <c r="K1270" t="str">
        <f>VLOOKUP(A1270,Medical_Examinations[],10,FALSE)</f>
        <v>Normal</v>
      </c>
      <c r="M1270">
        <f>VLOOKUP(A1270,Hospitalisation_Details__2[],4,FALSE)</f>
        <v>8665.14</v>
      </c>
      <c r="N1270" t="str">
        <f>VLOOKUP(A1270,Hospitalisation_Details__2[],5,FALSE)</f>
        <v>tier - 2</v>
      </c>
      <c r="O1270" t="str">
        <f>VLOOKUP(A1270,Hospitalisation_Details__2[],6,FALSE)</f>
        <v>tier - 3</v>
      </c>
      <c r="P1270" t="str">
        <f>VLOOKUP(A1270,Hospitalisation_Details__2[],7,FALSE)</f>
        <v>R1013</v>
      </c>
    </row>
    <row r="1271" spans="1:16" x14ac:dyDescent="0.35">
      <c r="A1271" t="str">
        <v>Id1270</v>
      </c>
      <c r="B1271" t="str">
        <f>VLOOKUP(A1271,'Customer Names (2)'!A:B, 2,FALSE)</f>
        <v>Ms</v>
      </c>
      <c r="C1271">
        <f>VLOOKUP(A1271,Medical_Examinations[],2,FALSE)</f>
        <v>18.62</v>
      </c>
      <c r="D1271">
        <f>VLOOKUP(A1271,Medical_Examinations[],3,FALSE)</f>
        <v>10.24</v>
      </c>
      <c r="E1271" t="str">
        <f>VLOOKUP(A1271,Medical_Examinations[],4,FALSE)</f>
        <v>No</v>
      </c>
      <c r="F1271" t="str">
        <f>VLOOKUP(A1271,Medical_Examinations[],5,FALSE)</f>
        <v>No</v>
      </c>
      <c r="G1271" t="str">
        <f>VLOOKUP(A1271,Medical_Examinations[],6,FALSE)</f>
        <v>No</v>
      </c>
      <c r="H1271">
        <f>VLOOKUP(A1271,Medical_Examinations[],7,FALSE)</f>
        <v>0</v>
      </c>
      <c r="I1271" t="str">
        <f>VLOOKUP(A1271,Medical_Examinations[],8,FALSE)</f>
        <v>No</v>
      </c>
      <c r="J1271" t="str">
        <f>VLOOKUP(A1271,Medical_Examinations[],9,FALSE)</f>
        <v>Normal Weight</v>
      </c>
      <c r="K1271" t="str">
        <f>VLOOKUP(A1271,Medical_Examinations[],10,FALSE)</f>
        <v>Diabetes</v>
      </c>
      <c r="M1271">
        <f>VLOOKUP(A1271,Hospitalisation_Details__2[],4,FALSE)</f>
        <v>8665.09</v>
      </c>
      <c r="N1271" t="str">
        <f>VLOOKUP(A1271,Hospitalisation_Details__2[],5,FALSE)</f>
        <v>tier - 3</v>
      </c>
      <c r="O1271" t="str">
        <f>VLOOKUP(A1271,Hospitalisation_Details__2[],6,FALSE)</f>
        <v>tier - 2</v>
      </c>
      <c r="P1271" t="str">
        <f>VLOOKUP(A1271,Hospitalisation_Details__2[],7,FALSE)</f>
        <v>R1012</v>
      </c>
    </row>
    <row r="1272" spans="1:16" x14ac:dyDescent="0.35">
      <c r="A1272" t="str">
        <v>Id1271</v>
      </c>
      <c r="B1272" t="str">
        <f>VLOOKUP(A1272,'Customer Names (2)'!A:B, 2,FALSE)</f>
        <v>Mr</v>
      </c>
      <c r="C1272">
        <f>VLOOKUP(A1272,Medical_Examinations[],2,FALSE)</f>
        <v>19.190000000000001</v>
      </c>
      <c r="D1272">
        <f>VLOOKUP(A1272,Medical_Examinations[],3,FALSE)</f>
        <v>7.71</v>
      </c>
      <c r="E1272" t="str">
        <f>VLOOKUP(A1272,Medical_Examinations[],4,FALSE)</f>
        <v>Yes</v>
      </c>
      <c r="F1272" t="str">
        <f>VLOOKUP(A1272,Medical_Examinations[],5,FALSE)</f>
        <v>No</v>
      </c>
      <c r="G1272" t="str">
        <f>VLOOKUP(A1272,Medical_Examinations[],6,FALSE)</f>
        <v>No</v>
      </c>
      <c r="H1272">
        <f>VLOOKUP(A1272,Medical_Examinations[],7,FALSE)</f>
        <v>1</v>
      </c>
      <c r="I1272" t="str">
        <f>VLOOKUP(A1272,Medical_Examinations[],8,FALSE)</f>
        <v>No</v>
      </c>
      <c r="J1272" t="str">
        <f>VLOOKUP(A1272,Medical_Examinations[],9,FALSE)</f>
        <v>Normal Weight</v>
      </c>
      <c r="K1272" t="str">
        <f>VLOOKUP(A1272,Medical_Examinations[],10,FALSE)</f>
        <v>Diabetes</v>
      </c>
      <c r="M1272">
        <f>VLOOKUP(A1272,Hospitalisation_Details__2[],4,FALSE)</f>
        <v>8627.5400000000009</v>
      </c>
      <c r="N1272" t="str">
        <f>VLOOKUP(A1272,Hospitalisation_Details__2[],5,FALSE)</f>
        <v>tier - 2</v>
      </c>
      <c r="O1272" t="str">
        <f>VLOOKUP(A1272,Hospitalisation_Details__2[],6,FALSE)</f>
        <v>tier - 2</v>
      </c>
      <c r="P1272" t="str">
        <f>VLOOKUP(A1272,Hospitalisation_Details__2[],7,FALSE)</f>
        <v>R1017</v>
      </c>
    </row>
    <row r="1273" spans="1:16" x14ac:dyDescent="0.35">
      <c r="A1273" t="str">
        <v>Id1272</v>
      </c>
      <c r="B1273" t="str">
        <f>VLOOKUP(A1273,'Customer Names (2)'!A:B, 2,FALSE)</f>
        <v>Mr</v>
      </c>
      <c r="C1273">
        <f>VLOOKUP(A1273,Medical_Examinations[],2,FALSE)</f>
        <v>27.5</v>
      </c>
      <c r="D1273">
        <f>VLOOKUP(A1273,Medical_Examinations[],3,FALSE)</f>
        <v>6.03</v>
      </c>
      <c r="E1273" t="str">
        <f>VLOOKUP(A1273,Medical_Examinations[],4,FALSE)</f>
        <v>No</v>
      </c>
      <c r="F1273" t="str">
        <f>VLOOKUP(A1273,Medical_Examinations[],5,FALSE)</f>
        <v>No</v>
      </c>
      <c r="G1273" t="str">
        <f>VLOOKUP(A1273,Medical_Examinations[],6,FALSE)</f>
        <v>No</v>
      </c>
      <c r="H1273">
        <f>VLOOKUP(A1273,Medical_Examinations[],7,FALSE)</f>
        <v>0</v>
      </c>
      <c r="I1273" t="str">
        <f>VLOOKUP(A1273,Medical_Examinations[],8,FALSE)</f>
        <v>No</v>
      </c>
      <c r="J1273" t="str">
        <f>VLOOKUP(A1273,Medical_Examinations[],9,FALSE)</f>
        <v>Overweight</v>
      </c>
      <c r="K1273" t="str">
        <f>VLOOKUP(A1273,Medical_Examinations[],10,FALSE)</f>
        <v>Prediabetes</v>
      </c>
      <c r="M1273">
        <f>VLOOKUP(A1273,Hospitalisation_Details__2[],4,FALSE)</f>
        <v>8615.2999999999993</v>
      </c>
      <c r="N1273" t="str">
        <f>VLOOKUP(A1273,Hospitalisation_Details__2[],5,FALSE)</f>
        <v>tier - 2</v>
      </c>
      <c r="O1273" t="str">
        <f>VLOOKUP(A1273,Hospitalisation_Details__2[],6,FALSE)</f>
        <v>tier - 3</v>
      </c>
      <c r="P1273" t="str">
        <f>VLOOKUP(A1273,Hospitalisation_Details__2[],7,FALSE)</f>
        <v>R1011</v>
      </c>
    </row>
    <row r="1274" spans="1:16" x14ac:dyDescent="0.35">
      <c r="A1274" t="str">
        <v>Id1273</v>
      </c>
      <c r="B1274" t="str">
        <f>VLOOKUP(A1274,'Customer Names (2)'!A:B, 2,FALSE)</f>
        <v>Mr</v>
      </c>
      <c r="C1274">
        <f>VLOOKUP(A1274,Medical_Examinations[],2,FALSE)</f>
        <v>27.36</v>
      </c>
      <c r="D1274">
        <f>VLOOKUP(A1274,Medical_Examinations[],3,FALSE)</f>
        <v>5.96</v>
      </c>
      <c r="E1274" t="str">
        <f>VLOOKUP(A1274,Medical_Examinations[],4,FALSE)</f>
        <v>No</v>
      </c>
      <c r="F1274" t="str">
        <f>VLOOKUP(A1274,Medical_Examinations[],5,FALSE)</f>
        <v>No</v>
      </c>
      <c r="G1274" t="str">
        <f>VLOOKUP(A1274,Medical_Examinations[],6,FALSE)</f>
        <v>Yes</v>
      </c>
      <c r="H1274">
        <f>VLOOKUP(A1274,Medical_Examinations[],7,FALSE)</f>
        <v>1</v>
      </c>
      <c r="I1274" t="str">
        <f>VLOOKUP(A1274,Medical_Examinations[],8,FALSE)</f>
        <v>No</v>
      </c>
      <c r="J1274" t="str">
        <f>VLOOKUP(A1274,Medical_Examinations[],9,FALSE)</f>
        <v>Overweight</v>
      </c>
      <c r="K1274" t="str">
        <f>VLOOKUP(A1274,Medical_Examinations[],10,FALSE)</f>
        <v>Prediabetes</v>
      </c>
      <c r="M1274">
        <f>VLOOKUP(A1274,Hospitalisation_Details__2[],4,FALSE)</f>
        <v>8606.2199999999993</v>
      </c>
      <c r="N1274" t="str">
        <f>VLOOKUP(A1274,Hospitalisation_Details__2[],5,FALSE)</f>
        <v>tier - 1</v>
      </c>
      <c r="O1274" t="str">
        <f>VLOOKUP(A1274,Hospitalisation_Details__2[],6,FALSE)</f>
        <v>tier - 2</v>
      </c>
      <c r="P1274" t="str">
        <f>VLOOKUP(A1274,Hospitalisation_Details__2[],7,FALSE)</f>
        <v>R1014</v>
      </c>
    </row>
    <row r="1275" spans="1:16" x14ac:dyDescent="0.35">
      <c r="A1275" t="str">
        <v>Id1274</v>
      </c>
      <c r="B1275" t="str">
        <f>VLOOKUP(A1275,'Customer Names (2)'!A:B, 2,FALSE)</f>
        <v>Mr</v>
      </c>
      <c r="C1275">
        <f>VLOOKUP(A1275,Medical_Examinations[],2,FALSE)</f>
        <v>20.350000000000001</v>
      </c>
      <c r="D1275">
        <f>VLOOKUP(A1275,Medical_Examinations[],3,FALSE)</f>
        <v>4.16</v>
      </c>
      <c r="E1275" t="str">
        <f>VLOOKUP(A1275,Medical_Examinations[],4,FALSE)</f>
        <v>No</v>
      </c>
      <c r="F1275" t="str">
        <f>VLOOKUP(A1275,Medical_Examinations[],5,FALSE)</f>
        <v>No</v>
      </c>
      <c r="G1275" t="str">
        <f>VLOOKUP(A1275,Medical_Examinations[],6,FALSE)</f>
        <v>No</v>
      </c>
      <c r="H1275">
        <f>VLOOKUP(A1275,Medical_Examinations[],7,FALSE)</f>
        <v>0</v>
      </c>
      <c r="I1275" t="str">
        <f>VLOOKUP(A1275,Medical_Examinations[],8,FALSE)</f>
        <v>No</v>
      </c>
      <c r="J1275" t="str">
        <f>VLOOKUP(A1275,Medical_Examinations[],9,FALSE)</f>
        <v>Normal Weight</v>
      </c>
      <c r="K1275" t="str">
        <f>VLOOKUP(A1275,Medical_Examinations[],10,FALSE)</f>
        <v>Normal</v>
      </c>
      <c r="M1275">
        <f>VLOOKUP(A1275,Hospitalisation_Details__2[],4,FALSE)</f>
        <v>8605.36</v>
      </c>
      <c r="N1275" t="str">
        <f>VLOOKUP(A1275,Hospitalisation_Details__2[],5,FALSE)</f>
        <v>tier - 2</v>
      </c>
      <c r="O1275" t="str">
        <f>VLOOKUP(A1275,Hospitalisation_Details__2[],6,FALSE)</f>
        <v>tier - 2</v>
      </c>
      <c r="P1275" t="str">
        <f>VLOOKUP(A1275,Hospitalisation_Details__2[],7,FALSE)</f>
        <v>R1013</v>
      </c>
    </row>
    <row r="1276" spans="1:16" x14ac:dyDescent="0.35">
      <c r="A1276" t="str">
        <v>Id1275</v>
      </c>
      <c r="B1276" t="str">
        <f>VLOOKUP(A1276,'Customer Names (2)'!A:B, 2,FALSE)</f>
        <v>Mr</v>
      </c>
      <c r="C1276">
        <f>VLOOKUP(A1276,Medical_Examinations[],2,FALSE)</f>
        <v>24.035</v>
      </c>
      <c r="D1276">
        <f>VLOOKUP(A1276,Medical_Examinations[],3,FALSE)</f>
        <v>6.11</v>
      </c>
      <c r="E1276" t="str">
        <f>VLOOKUP(A1276,Medical_Examinations[],4,FALSE)</f>
        <v>No</v>
      </c>
      <c r="F1276" t="str">
        <f>VLOOKUP(A1276,Medical_Examinations[],5,FALSE)</f>
        <v>No</v>
      </c>
      <c r="G1276" t="str">
        <f>VLOOKUP(A1276,Medical_Examinations[],6,FALSE)</f>
        <v>No</v>
      </c>
      <c r="H1276">
        <f>VLOOKUP(A1276,Medical_Examinations[],7,FALSE)</f>
        <v>0</v>
      </c>
      <c r="I1276" t="str">
        <f>VLOOKUP(A1276,Medical_Examinations[],8,FALSE)</f>
        <v>No</v>
      </c>
      <c r="J1276" t="str">
        <f>VLOOKUP(A1276,Medical_Examinations[],9,FALSE)</f>
        <v>Normal Weight</v>
      </c>
      <c r="K1276" t="str">
        <f>VLOOKUP(A1276,Medical_Examinations[],10,FALSE)</f>
        <v>Prediabetes</v>
      </c>
      <c r="M1276">
        <f>VLOOKUP(A1276,Hospitalisation_Details__2[],4,FALSE)</f>
        <v>8604.48</v>
      </c>
      <c r="N1276" t="str">
        <f>VLOOKUP(A1276,Hospitalisation_Details__2[],5,FALSE)</f>
        <v>tier - 3</v>
      </c>
      <c r="O1276" t="str">
        <f>VLOOKUP(A1276,Hospitalisation_Details__2[],6,FALSE)</f>
        <v>tier - 2</v>
      </c>
      <c r="P1276" t="str">
        <f>VLOOKUP(A1276,Hospitalisation_Details__2[],7,FALSE)</f>
        <v>R1016</v>
      </c>
    </row>
    <row r="1277" spans="1:16" x14ac:dyDescent="0.35">
      <c r="A1277" t="str">
        <v>Id1276</v>
      </c>
      <c r="B1277" t="str">
        <f>VLOOKUP(A1277,'Customer Names (2)'!A:B, 2,FALSE)</f>
        <v>Mr</v>
      </c>
      <c r="C1277">
        <f>VLOOKUP(A1277,Medical_Examinations[],2,FALSE)</f>
        <v>23.56</v>
      </c>
      <c r="D1277">
        <f>VLOOKUP(A1277,Medical_Examinations[],3,FALSE)</f>
        <v>5.97</v>
      </c>
      <c r="E1277" t="str">
        <f>VLOOKUP(A1277,Medical_Examinations[],4,FALSE)</f>
        <v>No</v>
      </c>
      <c r="F1277" t="str">
        <f>VLOOKUP(A1277,Medical_Examinations[],5,FALSE)</f>
        <v>No</v>
      </c>
      <c r="G1277" t="str">
        <f>VLOOKUP(A1277,Medical_Examinations[],6,FALSE)</f>
        <v>No</v>
      </c>
      <c r="H1277">
        <f>VLOOKUP(A1277,Medical_Examinations[],7,FALSE)</f>
        <v>0</v>
      </c>
      <c r="I1277" t="str">
        <f>VLOOKUP(A1277,Medical_Examinations[],8,FALSE)</f>
        <v>No</v>
      </c>
      <c r="J1277" t="str">
        <f>VLOOKUP(A1277,Medical_Examinations[],9,FALSE)</f>
        <v>Normal Weight</v>
      </c>
      <c r="K1277" t="str">
        <f>VLOOKUP(A1277,Medical_Examinations[],10,FALSE)</f>
        <v>Prediabetes</v>
      </c>
      <c r="M1277">
        <f>VLOOKUP(A1277,Hospitalisation_Details__2[],4,FALSE)</f>
        <v>8603.82</v>
      </c>
      <c r="N1277" t="str">
        <f>VLOOKUP(A1277,Hospitalisation_Details__2[],5,FALSE)</f>
        <v>tier - 2</v>
      </c>
      <c r="O1277" t="str">
        <f>VLOOKUP(A1277,Hospitalisation_Details__2[],6,FALSE)</f>
        <v>tier - 1</v>
      </c>
      <c r="P1277" t="str">
        <f>VLOOKUP(A1277,Hospitalisation_Details__2[],7,FALSE)</f>
        <v>R1019</v>
      </c>
    </row>
    <row r="1278" spans="1:16" x14ac:dyDescent="0.35">
      <c r="A1278" t="str">
        <v>Id1277</v>
      </c>
      <c r="B1278" t="str">
        <f>VLOOKUP(A1278,'Customer Names (2)'!A:B, 2,FALSE)</f>
        <v>Ms</v>
      </c>
      <c r="C1278">
        <f>VLOOKUP(A1278,Medical_Examinations[],2,FALSE)</f>
        <v>27.17</v>
      </c>
      <c r="D1278">
        <f>VLOOKUP(A1278,Medical_Examinations[],3,FALSE)</f>
        <v>10.81</v>
      </c>
      <c r="E1278" t="str">
        <f>VLOOKUP(A1278,Medical_Examinations[],4,FALSE)</f>
        <v>No</v>
      </c>
      <c r="F1278" t="str">
        <f>VLOOKUP(A1278,Medical_Examinations[],5,FALSE)</f>
        <v>No</v>
      </c>
      <c r="G1278" t="str">
        <f>VLOOKUP(A1278,Medical_Examinations[],6,FALSE)</f>
        <v>No</v>
      </c>
      <c r="H1278">
        <f>VLOOKUP(A1278,Medical_Examinations[],7,FALSE)</f>
        <v>2</v>
      </c>
      <c r="I1278" t="str">
        <f>VLOOKUP(A1278,Medical_Examinations[],8,FALSE)</f>
        <v>No</v>
      </c>
      <c r="J1278" t="str">
        <f>VLOOKUP(A1278,Medical_Examinations[],9,FALSE)</f>
        <v>Overweight</v>
      </c>
      <c r="K1278" t="str">
        <f>VLOOKUP(A1278,Medical_Examinations[],10,FALSE)</f>
        <v>Diabetes</v>
      </c>
      <c r="M1278">
        <f>VLOOKUP(A1278,Hospitalisation_Details__2[],4,FALSE)</f>
        <v>8601.33</v>
      </c>
      <c r="N1278" t="str">
        <f>VLOOKUP(A1278,Hospitalisation_Details__2[],5,FALSE)</f>
        <v>tier - 2</v>
      </c>
      <c r="O1278" t="str">
        <f>VLOOKUP(A1278,Hospitalisation_Details__2[],6,FALSE)</f>
        <v>tier - 1</v>
      </c>
      <c r="P1278" t="str">
        <f>VLOOKUP(A1278,Hospitalisation_Details__2[],7,FALSE)</f>
        <v>R1013</v>
      </c>
    </row>
    <row r="1279" spans="1:16" x14ac:dyDescent="0.35">
      <c r="A1279" t="str">
        <v>Id1278</v>
      </c>
      <c r="B1279" t="str">
        <f>VLOOKUP(A1279,'Customer Names (2)'!A:B, 2,FALSE)</f>
        <v>Ms</v>
      </c>
      <c r="C1279">
        <f>VLOOKUP(A1279,Medical_Examinations[],2,FALSE)</f>
        <v>34.32</v>
      </c>
      <c r="D1279">
        <f>VLOOKUP(A1279,Medical_Examinations[],3,FALSE)</f>
        <v>5.7</v>
      </c>
      <c r="E1279" t="str">
        <f>VLOOKUP(A1279,Medical_Examinations[],4,FALSE)</f>
        <v>Yes</v>
      </c>
      <c r="F1279" t="str">
        <f>VLOOKUP(A1279,Medical_Examinations[],5,FALSE)</f>
        <v>No</v>
      </c>
      <c r="G1279" t="str">
        <f>VLOOKUP(A1279,Medical_Examinations[],6,FALSE)</f>
        <v>Yes</v>
      </c>
      <c r="H1279">
        <f>VLOOKUP(A1279,Medical_Examinations[],7,FALSE)</f>
        <v>1</v>
      </c>
      <c r="I1279" t="str">
        <f>VLOOKUP(A1279,Medical_Examinations[],8,FALSE)</f>
        <v>No</v>
      </c>
      <c r="J1279" t="str">
        <f>VLOOKUP(A1279,Medical_Examinations[],9,FALSE)</f>
        <v>Obesity</v>
      </c>
      <c r="K1279" t="str">
        <f>VLOOKUP(A1279,Medical_Examinations[],10,FALSE)</f>
        <v>Prediabetes</v>
      </c>
      <c r="M1279">
        <f>VLOOKUP(A1279,Hospitalisation_Details__2[],4,FALSE)</f>
        <v>8596.83</v>
      </c>
      <c r="N1279" t="str">
        <f>VLOOKUP(A1279,Hospitalisation_Details__2[],5,FALSE)</f>
        <v>tier - 2</v>
      </c>
      <c r="O1279" t="str">
        <f>VLOOKUP(A1279,Hospitalisation_Details__2[],6,FALSE)</f>
        <v>tier - 3</v>
      </c>
      <c r="P1279" t="str">
        <f>VLOOKUP(A1279,Hospitalisation_Details__2[],7,FALSE)</f>
        <v>R1013</v>
      </c>
    </row>
    <row r="1280" spans="1:16" x14ac:dyDescent="0.35">
      <c r="A1280" t="str">
        <v>Id1279</v>
      </c>
      <c r="B1280" t="str">
        <f>VLOOKUP(A1280,'Customer Names (2)'!A:B, 2,FALSE)</f>
        <v>Ms</v>
      </c>
      <c r="C1280">
        <f>VLOOKUP(A1280,Medical_Examinations[],2,FALSE)</f>
        <v>23.87</v>
      </c>
      <c r="D1280">
        <f>VLOOKUP(A1280,Medical_Examinations[],3,FALSE)</f>
        <v>4.7699999999999996</v>
      </c>
      <c r="E1280" t="str">
        <f>VLOOKUP(A1280,Medical_Examinations[],4,FALSE)</f>
        <v>Yes</v>
      </c>
      <c r="F1280" t="str">
        <f>VLOOKUP(A1280,Medical_Examinations[],5,FALSE)</f>
        <v>No</v>
      </c>
      <c r="G1280" t="str">
        <f>VLOOKUP(A1280,Medical_Examinations[],6,FALSE)</f>
        <v>Yes</v>
      </c>
      <c r="H1280">
        <f>VLOOKUP(A1280,Medical_Examinations[],7,FALSE)</f>
        <v>1</v>
      </c>
      <c r="I1280" t="str">
        <f>VLOOKUP(A1280,Medical_Examinations[],8,FALSE)</f>
        <v>No</v>
      </c>
      <c r="J1280" t="str">
        <f>VLOOKUP(A1280,Medical_Examinations[],9,FALSE)</f>
        <v>Normal Weight</v>
      </c>
      <c r="K1280" t="str">
        <f>VLOOKUP(A1280,Medical_Examinations[],10,FALSE)</f>
        <v>Normal</v>
      </c>
      <c r="M1280">
        <f>VLOOKUP(A1280,Hospitalisation_Details__2[],4,FALSE)</f>
        <v>8582.2999999999993</v>
      </c>
      <c r="N1280" t="str">
        <f>VLOOKUP(A1280,Hospitalisation_Details__2[],5,FALSE)</f>
        <v>tier - 2</v>
      </c>
      <c r="O1280" t="str">
        <f>VLOOKUP(A1280,Hospitalisation_Details__2[],6,FALSE)</f>
        <v>tier - 1</v>
      </c>
      <c r="P1280" t="str">
        <f>VLOOKUP(A1280,Hospitalisation_Details__2[],7,FALSE)</f>
        <v>R1013</v>
      </c>
    </row>
    <row r="1281" spans="1:16" x14ac:dyDescent="0.35">
      <c r="A1281" t="str">
        <v>Id1280</v>
      </c>
      <c r="B1281" t="str">
        <f>VLOOKUP(A1281,'Customer Names (2)'!A:B, 2,FALSE)</f>
        <v>Mr</v>
      </c>
      <c r="C1281">
        <f>VLOOKUP(A1281,Medical_Examinations[],2,FALSE)</f>
        <v>30.15</v>
      </c>
      <c r="D1281">
        <f>VLOOKUP(A1281,Medical_Examinations[],3,FALSE)</f>
        <v>4.25</v>
      </c>
      <c r="E1281" t="str">
        <f>VLOOKUP(A1281,Medical_Examinations[],4,FALSE)</f>
        <v>No</v>
      </c>
      <c r="F1281" t="str">
        <f>VLOOKUP(A1281,Medical_Examinations[],5,FALSE)</f>
        <v>No</v>
      </c>
      <c r="G1281" t="str">
        <f>VLOOKUP(A1281,Medical_Examinations[],6,FALSE)</f>
        <v>No</v>
      </c>
      <c r="H1281">
        <f>VLOOKUP(A1281,Medical_Examinations[],7,FALSE)</f>
        <v>1</v>
      </c>
      <c r="I1281" t="str">
        <f>VLOOKUP(A1281,Medical_Examinations[],8,FALSE)</f>
        <v>No</v>
      </c>
      <c r="J1281" t="str">
        <f>VLOOKUP(A1281,Medical_Examinations[],9,FALSE)</f>
        <v>Obesity</v>
      </c>
      <c r="K1281" t="str">
        <f>VLOOKUP(A1281,Medical_Examinations[],10,FALSE)</f>
        <v>Normal</v>
      </c>
      <c r="M1281">
        <f>VLOOKUP(A1281,Hospitalisation_Details__2[],4,FALSE)</f>
        <v>8573.2999999999993</v>
      </c>
      <c r="N1281" t="str">
        <f>VLOOKUP(A1281,Hospitalisation_Details__2[],5,FALSE)</f>
        <v>tier - 2</v>
      </c>
      <c r="O1281" t="str">
        <f>VLOOKUP(A1281,Hospitalisation_Details__2[],6,FALSE)</f>
        <v>tier - 2</v>
      </c>
      <c r="P1281" t="str">
        <f>VLOOKUP(A1281,Hospitalisation_Details__2[],7,FALSE)</f>
        <v>R1021</v>
      </c>
    </row>
    <row r="1282" spans="1:16" x14ac:dyDescent="0.35">
      <c r="A1282" t="str">
        <v>Id1281</v>
      </c>
      <c r="B1282" t="str">
        <f>VLOOKUP(A1282,'Customer Names (2)'!A:B, 2,FALSE)</f>
        <v>Mr</v>
      </c>
      <c r="C1282">
        <f>VLOOKUP(A1282,Medical_Examinations[],2,FALSE)</f>
        <v>26.36</v>
      </c>
      <c r="D1282">
        <f>VLOOKUP(A1282,Medical_Examinations[],3,FALSE)</f>
        <v>5.52</v>
      </c>
      <c r="E1282" t="str">
        <f>VLOOKUP(A1282,Medical_Examinations[],4,FALSE)</f>
        <v>No</v>
      </c>
      <c r="F1282" t="str">
        <f>VLOOKUP(A1282,Medical_Examinations[],5,FALSE)</f>
        <v>No</v>
      </c>
      <c r="G1282" t="str">
        <f>VLOOKUP(A1282,Medical_Examinations[],6,FALSE)</f>
        <v>No</v>
      </c>
      <c r="H1282">
        <f>VLOOKUP(A1282,Medical_Examinations[],7,FALSE)</f>
        <v>0</v>
      </c>
      <c r="I1282" t="str">
        <f>VLOOKUP(A1282,Medical_Examinations[],8,FALSE)</f>
        <v>No</v>
      </c>
      <c r="J1282" t="str">
        <f>VLOOKUP(A1282,Medical_Examinations[],9,FALSE)</f>
        <v>Overweight</v>
      </c>
      <c r="K1282" t="str">
        <f>VLOOKUP(A1282,Medical_Examinations[],10,FALSE)</f>
        <v>Normal</v>
      </c>
      <c r="M1282">
        <f>VLOOKUP(A1282,Hospitalisation_Details__2[],4,FALSE)</f>
        <v>8572.0400000000009</v>
      </c>
      <c r="N1282" t="str">
        <f>VLOOKUP(A1282,Hospitalisation_Details__2[],5,FALSE)</f>
        <v>tier - 2</v>
      </c>
      <c r="O1282" t="str">
        <f>VLOOKUP(A1282,Hospitalisation_Details__2[],6,FALSE)</f>
        <v>tier - 2</v>
      </c>
      <c r="P1282" t="str">
        <f>VLOOKUP(A1282,Hospitalisation_Details__2[],7,FALSE)</f>
        <v>R1021</v>
      </c>
    </row>
    <row r="1283" spans="1:16" x14ac:dyDescent="0.35">
      <c r="A1283" t="str">
        <v>Id1282</v>
      </c>
      <c r="B1283" t="str">
        <f>VLOOKUP(A1283,'Customer Names (2)'!A:B, 2,FALSE)</f>
        <v>Ms</v>
      </c>
      <c r="C1283">
        <f>VLOOKUP(A1283,Medical_Examinations[],2,FALSE)</f>
        <v>45.32</v>
      </c>
      <c r="D1283">
        <f>VLOOKUP(A1283,Medical_Examinations[],3,FALSE)</f>
        <v>6.53</v>
      </c>
      <c r="E1283" t="str">
        <f>VLOOKUP(A1283,Medical_Examinations[],4,FALSE)</f>
        <v>Yes</v>
      </c>
      <c r="F1283" t="str">
        <f>VLOOKUP(A1283,Medical_Examinations[],5,FALSE)</f>
        <v>No</v>
      </c>
      <c r="G1283" t="str">
        <f>VLOOKUP(A1283,Medical_Examinations[],6,FALSE)</f>
        <v>No</v>
      </c>
      <c r="H1283">
        <f>VLOOKUP(A1283,Medical_Examinations[],7,FALSE)</f>
        <v>1</v>
      </c>
      <c r="I1283" t="str">
        <f>VLOOKUP(A1283,Medical_Examinations[],8,FALSE)</f>
        <v>No</v>
      </c>
      <c r="J1283" t="str">
        <f>VLOOKUP(A1283,Medical_Examinations[],9,FALSE)</f>
        <v>Obesity</v>
      </c>
      <c r="K1283" t="str">
        <f>VLOOKUP(A1283,Medical_Examinations[],10,FALSE)</f>
        <v>Diabetes</v>
      </c>
      <c r="M1283">
        <f>VLOOKUP(A1283,Hospitalisation_Details__2[],4,FALSE)</f>
        <v>8569.86</v>
      </c>
      <c r="N1283" t="str">
        <f>VLOOKUP(A1283,Hospitalisation_Details__2[],5,FALSE)</f>
        <v>tier - 2</v>
      </c>
      <c r="O1283" t="str">
        <f>VLOOKUP(A1283,Hospitalisation_Details__2[],6,FALSE)</f>
        <v>tier - 3</v>
      </c>
      <c r="P1283" t="str">
        <f>VLOOKUP(A1283,Hospitalisation_Details__2[],7,FALSE)</f>
        <v>R1013</v>
      </c>
    </row>
    <row r="1284" spans="1:16" x14ac:dyDescent="0.35">
      <c r="A1284" t="str">
        <v>Id1283</v>
      </c>
      <c r="B1284" t="str">
        <f>VLOOKUP(A1284,'Customer Names (2)'!A:B, 2,FALSE)</f>
        <v>Mr</v>
      </c>
      <c r="C1284">
        <f>VLOOKUP(A1284,Medical_Examinations[],2,FALSE)</f>
        <v>31.93</v>
      </c>
      <c r="D1284">
        <f>VLOOKUP(A1284,Medical_Examinations[],3,FALSE)</f>
        <v>4.82</v>
      </c>
      <c r="E1284" t="str">
        <f>VLOOKUP(A1284,Medical_Examinations[],4,FALSE)</f>
        <v>Yes</v>
      </c>
      <c r="F1284" t="str">
        <f>VLOOKUP(A1284,Medical_Examinations[],5,FALSE)</f>
        <v>No</v>
      </c>
      <c r="G1284" t="str">
        <f>VLOOKUP(A1284,Medical_Examinations[],6,FALSE)</f>
        <v>No</v>
      </c>
      <c r="H1284">
        <f>VLOOKUP(A1284,Medical_Examinations[],7,FALSE)</f>
        <v>1</v>
      </c>
      <c r="I1284" t="str">
        <f>VLOOKUP(A1284,Medical_Examinations[],8,FALSE)</f>
        <v>No</v>
      </c>
      <c r="J1284" t="str">
        <f>VLOOKUP(A1284,Medical_Examinations[],9,FALSE)</f>
        <v>Obesity</v>
      </c>
      <c r="K1284" t="str">
        <f>VLOOKUP(A1284,Medical_Examinations[],10,FALSE)</f>
        <v>Normal</v>
      </c>
      <c r="M1284">
        <f>VLOOKUP(A1284,Hospitalisation_Details__2[],4,FALSE)</f>
        <v>8567.25</v>
      </c>
      <c r="N1284" t="str">
        <f>VLOOKUP(A1284,Hospitalisation_Details__2[],5,FALSE)</f>
        <v>tier - 2</v>
      </c>
      <c r="O1284" t="str">
        <f>VLOOKUP(A1284,Hospitalisation_Details__2[],6,FALSE)</f>
        <v>tier - 1</v>
      </c>
      <c r="P1284" t="str">
        <f>VLOOKUP(A1284,Hospitalisation_Details__2[],7,FALSE)</f>
        <v>R1012</v>
      </c>
    </row>
    <row r="1285" spans="1:16" x14ac:dyDescent="0.35">
      <c r="A1285" t="str">
        <v>Id1284</v>
      </c>
      <c r="B1285" t="str">
        <f>VLOOKUP(A1285,'Customer Names (2)'!A:B, 2,FALSE)</f>
        <v>Ms</v>
      </c>
      <c r="C1285">
        <f>VLOOKUP(A1285,Medical_Examinations[],2,FALSE)</f>
        <v>36</v>
      </c>
      <c r="D1285">
        <f>VLOOKUP(A1285,Medical_Examinations[],3,FALSE)</f>
        <v>11.94</v>
      </c>
      <c r="E1285" t="str">
        <f>VLOOKUP(A1285,Medical_Examinations[],4,FALSE)</f>
        <v>Yes</v>
      </c>
      <c r="F1285" t="str">
        <f>VLOOKUP(A1285,Medical_Examinations[],5,FALSE)</f>
        <v>No</v>
      </c>
      <c r="G1285" t="str">
        <f>VLOOKUP(A1285,Medical_Examinations[],6,FALSE)</f>
        <v>No</v>
      </c>
      <c r="H1285">
        <f>VLOOKUP(A1285,Medical_Examinations[],7,FALSE)</f>
        <v>1</v>
      </c>
      <c r="I1285" t="str">
        <f>VLOOKUP(A1285,Medical_Examinations[],8,FALSE)</f>
        <v>No</v>
      </c>
      <c r="J1285" t="str">
        <f>VLOOKUP(A1285,Medical_Examinations[],9,FALSE)</f>
        <v>Obesity</v>
      </c>
      <c r="K1285" t="str">
        <f>VLOOKUP(A1285,Medical_Examinations[],10,FALSE)</f>
        <v>Diabetes</v>
      </c>
      <c r="M1285">
        <f>VLOOKUP(A1285,Hospitalisation_Details__2[],4,FALSE)</f>
        <v>8556.91</v>
      </c>
      <c r="N1285" t="str">
        <f>VLOOKUP(A1285,Hospitalisation_Details__2[],5,FALSE)</f>
        <v>tier - 2</v>
      </c>
      <c r="O1285" t="str">
        <f>VLOOKUP(A1285,Hospitalisation_Details__2[],6,FALSE)</f>
        <v>tier - 1</v>
      </c>
      <c r="P1285" t="str">
        <f>VLOOKUP(A1285,Hospitalisation_Details__2[],7,FALSE)</f>
        <v>R1011</v>
      </c>
    </row>
    <row r="1286" spans="1:16" x14ac:dyDescent="0.35">
      <c r="A1286" t="str">
        <v>Id1285</v>
      </c>
      <c r="B1286" t="str">
        <f>VLOOKUP(A1286,'Customer Names (2)'!A:B, 2,FALSE)</f>
        <v>Ms</v>
      </c>
      <c r="C1286">
        <f>VLOOKUP(A1286,Medical_Examinations[],2,FALSE)</f>
        <v>32</v>
      </c>
      <c r="D1286">
        <f>VLOOKUP(A1286,Medical_Examinations[],3,FALSE)</f>
        <v>7.85</v>
      </c>
      <c r="E1286" t="str">
        <f>VLOOKUP(A1286,Medical_Examinations[],4,FALSE)</f>
        <v>Yes</v>
      </c>
      <c r="F1286" t="str">
        <f>VLOOKUP(A1286,Medical_Examinations[],5,FALSE)</f>
        <v>No</v>
      </c>
      <c r="G1286" t="str">
        <f>VLOOKUP(A1286,Medical_Examinations[],6,FALSE)</f>
        <v>No</v>
      </c>
      <c r="H1286">
        <f>VLOOKUP(A1286,Medical_Examinations[],7,FALSE)</f>
        <v>1</v>
      </c>
      <c r="I1286" t="str">
        <f>VLOOKUP(A1286,Medical_Examinations[],8,FALSE)</f>
        <v>No</v>
      </c>
      <c r="J1286" t="str">
        <f>VLOOKUP(A1286,Medical_Examinations[],9,FALSE)</f>
        <v>Obesity</v>
      </c>
      <c r="K1286" t="str">
        <f>VLOOKUP(A1286,Medical_Examinations[],10,FALSE)</f>
        <v>Diabetes</v>
      </c>
      <c r="M1286">
        <f>VLOOKUP(A1286,Hospitalisation_Details__2[],4,FALSE)</f>
        <v>8551.35</v>
      </c>
      <c r="N1286" t="str">
        <f>VLOOKUP(A1286,Hospitalisation_Details__2[],5,FALSE)</f>
        <v>tier - 2</v>
      </c>
      <c r="O1286" t="str">
        <f>VLOOKUP(A1286,Hospitalisation_Details__2[],6,FALSE)</f>
        <v>tier - 2</v>
      </c>
      <c r="P1286" t="str">
        <f>VLOOKUP(A1286,Hospitalisation_Details__2[],7,FALSE)</f>
        <v>R1011</v>
      </c>
    </row>
    <row r="1287" spans="1:16" x14ac:dyDescent="0.35">
      <c r="A1287" t="str">
        <v>Id1286</v>
      </c>
      <c r="B1287" t="str">
        <f>VLOOKUP(A1287,'Customer Names (2)'!A:B, 2,FALSE)</f>
        <v>Ms</v>
      </c>
      <c r="C1287">
        <f>VLOOKUP(A1287,Medical_Examinations[],2,FALSE)</f>
        <v>29.37</v>
      </c>
      <c r="D1287">
        <f>VLOOKUP(A1287,Medical_Examinations[],3,FALSE)</f>
        <v>8.01</v>
      </c>
      <c r="E1287" t="str">
        <f>VLOOKUP(A1287,Medical_Examinations[],4,FALSE)</f>
        <v>Yes</v>
      </c>
      <c r="F1287" t="str">
        <f>VLOOKUP(A1287,Medical_Examinations[],5,FALSE)</f>
        <v>No</v>
      </c>
      <c r="G1287" t="str">
        <f>VLOOKUP(A1287,Medical_Examinations[],6,FALSE)</f>
        <v>No</v>
      </c>
      <c r="H1287">
        <f>VLOOKUP(A1287,Medical_Examinations[],7,FALSE)</f>
        <v>1</v>
      </c>
      <c r="I1287" t="str">
        <f>VLOOKUP(A1287,Medical_Examinations[],8,FALSE)</f>
        <v>No</v>
      </c>
      <c r="J1287" t="str">
        <f>VLOOKUP(A1287,Medical_Examinations[],9,FALSE)</f>
        <v>Overweight</v>
      </c>
      <c r="K1287" t="str">
        <f>VLOOKUP(A1287,Medical_Examinations[],10,FALSE)</f>
        <v>Diabetes</v>
      </c>
      <c r="M1287" t="e">
        <f>VLOOKUP(A1287,Hospitalisation_Details__2[],4,FALSE)</f>
        <v>#N/A</v>
      </c>
      <c r="N1287" t="e">
        <f>VLOOKUP(A1287,Hospitalisation_Details__2[],5,FALSE)</f>
        <v>#N/A</v>
      </c>
      <c r="O1287" t="e">
        <f>VLOOKUP(A1287,Hospitalisation_Details__2[],6,FALSE)</f>
        <v>#N/A</v>
      </c>
      <c r="P1287" t="e">
        <f>VLOOKUP(A1287,Hospitalisation_Details__2[],7,FALSE)</f>
        <v>#N/A</v>
      </c>
    </row>
    <row r="1288" spans="1:16" x14ac:dyDescent="0.35">
      <c r="A1288" t="str">
        <v>Id1287</v>
      </c>
      <c r="B1288" t="str">
        <f>VLOOKUP(A1288,'Customer Names (2)'!A:B, 2,FALSE)</f>
        <v>Ms</v>
      </c>
      <c r="C1288">
        <f>VLOOKUP(A1288,Medical_Examinations[],2,FALSE)</f>
        <v>23.6</v>
      </c>
      <c r="D1288">
        <f>VLOOKUP(A1288,Medical_Examinations[],3,FALSE)</f>
        <v>7.4</v>
      </c>
      <c r="E1288" t="str">
        <f>VLOOKUP(A1288,Medical_Examinations[],4,FALSE)</f>
        <v>Yes</v>
      </c>
      <c r="F1288" t="str">
        <f>VLOOKUP(A1288,Medical_Examinations[],5,FALSE)</f>
        <v>No</v>
      </c>
      <c r="G1288" t="str">
        <f>VLOOKUP(A1288,Medical_Examinations[],6,FALSE)</f>
        <v>No</v>
      </c>
      <c r="H1288">
        <f>VLOOKUP(A1288,Medical_Examinations[],7,FALSE)</f>
        <v>1</v>
      </c>
      <c r="I1288" t="str">
        <f>VLOOKUP(A1288,Medical_Examinations[],8,FALSE)</f>
        <v>No</v>
      </c>
      <c r="J1288" t="str">
        <f>VLOOKUP(A1288,Medical_Examinations[],9,FALSE)</f>
        <v>Normal Weight</v>
      </c>
      <c r="K1288" t="str">
        <f>VLOOKUP(A1288,Medical_Examinations[],10,FALSE)</f>
        <v>Diabetes</v>
      </c>
      <c r="M1288">
        <f>VLOOKUP(A1288,Hospitalisation_Details__2[],4,FALSE)</f>
        <v>8539.67</v>
      </c>
      <c r="N1288" t="str">
        <f>VLOOKUP(A1288,Hospitalisation_Details__2[],5,FALSE)</f>
        <v>tier - 2</v>
      </c>
      <c r="O1288" t="str">
        <f>VLOOKUP(A1288,Hospitalisation_Details__2[],6,FALSE)</f>
        <v>tier - 3</v>
      </c>
      <c r="P1288" t="str">
        <f>VLOOKUP(A1288,Hospitalisation_Details__2[],7,FALSE)</f>
        <v>R1011</v>
      </c>
    </row>
    <row r="1289" spans="1:16" x14ac:dyDescent="0.35">
      <c r="A1289" t="str">
        <v>Id1288</v>
      </c>
      <c r="B1289" t="str">
        <f>VLOOKUP(A1289,'Customer Names (2)'!A:B, 2,FALSE)</f>
        <v>Ms</v>
      </c>
      <c r="C1289">
        <f>VLOOKUP(A1289,Medical_Examinations[],2,FALSE)</f>
        <v>33.155000000000001</v>
      </c>
      <c r="D1289">
        <f>VLOOKUP(A1289,Medical_Examinations[],3,FALSE)</f>
        <v>8.3800000000000008</v>
      </c>
      <c r="E1289" t="str">
        <f>VLOOKUP(A1289,Medical_Examinations[],4,FALSE)</f>
        <v>Yes</v>
      </c>
      <c r="F1289" t="str">
        <f>VLOOKUP(A1289,Medical_Examinations[],5,FALSE)</f>
        <v>No</v>
      </c>
      <c r="G1289" t="str">
        <f>VLOOKUP(A1289,Medical_Examinations[],6,FALSE)</f>
        <v>No</v>
      </c>
      <c r="H1289">
        <f>VLOOKUP(A1289,Medical_Examinations[],7,FALSE)</f>
        <v>0</v>
      </c>
      <c r="I1289" t="str">
        <f>VLOOKUP(A1289,Medical_Examinations[],8,FALSE)</f>
        <v>No</v>
      </c>
      <c r="J1289" t="str">
        <f>VLOOKUP(A1289,Medical_Examinations[],9,FALSE)</f>
        <v>Obesity</v>
      </c>
      <c r="K1289" t="str">
        <f>VLOOKUP(A1289,Medical_Examinations[],10,FALSE)</f>
        <v>Diabetes</v>
      </c>
      <c r="M1289">
        <f>VLOOKUP(A1289,Hospitalisation_Details__2[],4,FALSE)</f>
        <v>8538.2900000000009</v>
      </c>
      <c r="N1289" t="str">
        <f>VLOOKUP(A1289,Hospitalisation_Details__2[],5,FALSE)</f>
        <v>tier - 2</v>
      </c>
      <c r="O1289" t="str">
        <f>VLOOKUP(A1289,Hospitalisation_Details__2[],6,FALSE)</f>
        <v>tier - 3</v>
      </c>
      <c r="P1289" t="str">
        <f>VLOOKUP(A1289,Hospitalisation_Details__2[],7,FALSE)</f>
        <v>R1024</v>
      </c>
    </row>
    <row r="1290" spans="1:16" x14ac:dyDescent="0.35">
      <c r="A1290" t="str">
        <v>Id1289</v>
      </c>
      <c r="B1290" t="str">
        <f>VLOOKUP(A1290,'Customer Names (2)'!A:B, 2,FALSE)</f>
        <v>Ms</v>
      </c>
      <c r="C1290">
        <f>VLOOKUP(A1290,Medical_Examinations[],2,FALSE)</f>
        <v>24.32</v>
      </c>
      <c r="D1290">
        <f>VLOOKUP(A1290,Medical_Examinations[],3,FALSE)</f>
        <v>11.56</v>
      </c>
      <c r="E1290" t="str">
        <f>VLOOKUP(A1290,Medical_Examinations[],4,FALSE)</f>
        <v>Yes</v>
      </c>
      <c r="F1290" t="str">
        <f>VLOOKUP(A1290,Medical_Examinations[],5,FALSE)</f>
        <v>No</v>
      </c>
      <c r="G1290" t="str">
        <f>VLOOKUP(A1290,Medical_Examinations[],6,FALSE)</f>
        <v>No</v>
      </c>
      <c r="H1290">
        <f>VLOOKUP(A1290,Medical_Examinations[],7,FALSE)</f>
        <v>1</v>
      </c>
      <c r="I1290" t="str">
        <f>VLOOKUP(A1290,Medical_Examinations[],8,FALSE)</f>
        <v>No</v>
      </c>
      <c r="J1290" t="str">
        <f>VLOOKUP(A1290,Medical_Examinations[],9,FALSE)</f>
        <v>Normal Weight</v>
      </c>
      <c r="K1290" t="str">
        <f>VLOOKUP(A1290,Medical_Examinations[],10,FALSE)</f>
        <v>Diabetes</v>
      </c>
      <c r="M1290" t="e">
        <f>VLOOKUP(A1290,Hospitalisation_Details__2[],4,FALSE)</f>
        <v>#N/A</v>
      </c>
      <c r="N1290" t="e">
        <f>VLOOKUP(A1290,Hospitalisation_Details__2[],5,FALSE)</f>
        <v>#N/A</v>
      </c>
      <c r="O1290" t="e">
        <f>VLOOKUP(A1290,Hospitalisation_Details__2[],6,FALSE)</f>
        <v>#N/A</v>
      </c>
      <c r="P1290" t="e">
        <f>VLOOKUP(A1290,Hospitalisation_Details__2[],7,FALSE)</f>
        <v>#N/A</v>
      </c>
    </row>
    <row r="1291" spans="1:16" x14ac:dyDescent="0.35">
      <c r="A1291" t="str">
        <v>Id1290</v>
      </c>
      <c r="B1291" t="str">
        <f>VLOOKUP(A1291,'Customer Names (2)'!A:B, 2,FALSE)</f>
        <v>Ms</v>
      </c>
      <c r="C1291">
        <f>VLOOKUP(A1291,Medical_Examinations[],2,FALSE)</f>
        <v>36.299999999999997</v>
      </c>
      <c r="D1291">
        <f>VLOOKUP(A1291,Medical_Examinations[],3,FALSE)</f>
        <v>4.6100000000000003</v>
      </c>
      <c r="E1291" t="str">
        <f>VLOOKUP(A1291,Medical_Examinations[],4,FALSE)</f>
        <v>No</v>
      </c>
      <c r="F1291" t="str">
        <f>VLOOKUP(A1291,Medical_Examinations[],5,FALSE)</f>
        <v>No</v>
      </c>
      <c r="G1291" t="str">
        <f>VLOOKUP(A1291,Medical_Examinations[],6,FALSE)</f>
        <v>No</v>
      </c>
      <c r="H1291">
        <f>VLOOKUP(A1291,Medical_Examinations[],7,FALSE)</f>
        <v>0</v>
      </c>
      <c r="I1291" t="str">
        <f>VLOOKUP(A1291,Medical_Examinations[],8,FALSE)</f>
        <v>No</v>
      </c>
      <c r="J1291" t="str">
        <f>VLOOKUP(A1291,Medical_Examinations[],9,FALSE)</f>
        <v>Obesity</v>
      </c>
      <c r="K1291" t="str">
        <f>VLOOKUP(A1291,Medical_Examinations[],10,FALSE)</f>
        <v>Normal</v>
      </c>
      <c r="M1291">
        <f>VLOOKUP(A1291,Hospitalisation_Details__2[],4,FALSE)</f>
        <v>8527.5300000000007</v>
      </c>
      <c r="N1291" t="str">
        <f>VLOOKUP(A1291,Hospitalisation_Details__2[],5,FALSE)</f>
        <v>tier - 2</v>
      </c>
      <c r="O1291" t="str">
        <f>VLOOKUP(A1291,Hospitalisation_Details__2[],6,FALSE)</f>
        <v>tier - 2</v>
      </c>
      <c r="P1291" t="str">
        <f>VLOOKUP(A1291,Hospitalisation_Details__2[],7,FALSE)</f>
        <v>R1013</v>
      </c>
    </row>
    <row r="1292" spans="1:16" x14ac:dyDescent="0.35">
      <c r="A1292" t="str">
        <v>Id1291</v>
      </c>
      <c r="B1292" t="str">
        <f>VLOOKUP(A1292,'Customer Names (2)'!A:B, 2,FALSE)</f>
        <v>Ms</v>
      </c>
      <c r="C1292">
        <f>VLOOKUP(A1292,Medical_Examinations[],2,FALSE)</f>
        <v>34.4</v>
      </c>
      <c r="D1292">
        <f>VLOOKUP(A1292,Medical_Examinations[],3,FALSE)</f>
        <v>4.95</v>
      </c>
      <c r="E1292" t="str">
        <f>VLOOKUP(A1292,Medical_Examinations[],4,FALSE)</f>
        <v>No</v>
      </c>
      <c r="F1292" t="str">
        <f>VLOOKUP(A1292,Medical_Examinations[],5,FALSE)</f>
        <v>No</v>
      </c>
      <c r="G1292" t="str">
        <f>VLOOKUP(A1292,Medical_Examinations[],6,FALSE)</f>
        <v>Yes</v>
      </c>
      <c r="H1292">
        <f>VLOOKUP(A1292,Medical_Examinations[],7,FALSE)</f>
        <v>1</v>
      </c>
      <c r="I1292" t="str">
        <f>VLOOKUP(A1292,Medical_Examinations[],8,FALSE)</f>
        <v>No</v>
      </c>
      <c r="J1292" t="str">
        <f>VLOOKUP(A1292,Medical_Examinations[],9,FALSE)</f>
        <v>Obesity</v>
      </c>
      <c r="K1292" t="str">
        <f>VLOOKUP(A1292,Medical_Examinations[],10,FALSE)</f>
        <v>Normal</v>
      </c>
      <c r="M1292">
        <f>VLOOKUP(A1292,Hospitalisation_Details__2[],4,FALSE)</f>
        <v>8522</v>
      </c>
      <c r="N1292" t="str">
        <f>VLOOKUP(A1292,Hospitalisation_Details__2[],5,FALSE)</f>
        <v>tier - 2</v>
      </c>
      <c r="O1292" t="str">
        <f>VLOOKUP(A1292,Hospitalisation_Details__2[],6,FALSE)</f>
        <v>tier - 2</v>
      </c>
      <c r="P1292" t="str">
        <f>VLOOKUP(A1292,Hospitalisation_Details__2[],7,FALSE)</f>
        <v>R1011</v>
      </c>
    </row>
    <row r="1293" spans="1:16" x14ac:dyDescent="0.35">
      <c r="A1293" t="str">
        <v>Id1292</v>
      </c>
      <c r="B1293" t="str">
        <f>VLOOKUP(A1293,'Customer Names (2)'!A:B, 2,FALSE)</f>
        <v>Ms</v>
      </c>
      <c r="C1293">
        <f>VLOOKUP(A1293,Medical_Examinations[],2,FALSE)</f>
        <v>30.9</v>
      </c>
      <c r="D1293">
        <f>VLOOKUP(A1293,Medical_Examinations[],3,FALSE)</f>
        <v>5.04</v>
      </c>
      <c r="E1293" t="str">
        <f>VLOOKUP(A1293,Medical_Examinations[],4,FALSE)</f>
        <v>No</v>
      </c>
      <c r="F1293" t="str">
        <f>VLOOKUP(A1293,Medical_Examinations[],5,FALSE)</f>
        <v>No</v>
      </c>
      <c r="G1293" t="str">
        <f>VLOOKUP(A1293,Medical_Examinations[],6,FALSE)</f>
        <v>No</v>
      </c>
      <c r="H1293">
        <f>VLOOKUP(A1293,Medical_Examinations[],7,FALSE)</f>
        <v>0</v>
      </c>
      <c r="I1293" t="str">
        <f>VLOOKUP(A1293,Medical_Examinations[],8,FALSE)</f>
        <v>No</v>
      </c>
      <c r="J1293" t="str">
        <f>VLOOKUP(A1293,Medical_Examinations[],9,FALSE)</f>
        <v>Obesity</v>
      </c>
      <c r="K1293" t="str">
        <f>VLOOKUP(A1293,Medical_Examinations[],10,FALSE)</f>
        <v>Normal</v>
      </c>
      <c r="M1293">
        <f>VLOOKUP(A1293,Hospitalisation_Details__2[],4,FALSE)</f>
        <v>8520.0300000000007</v>
      </c>
      <c r="N1293" t="str">
        <f>VLOOKUP(A1293,Hospitalisation_Details__2[],5,FALSE)</f>
        <v>tier - 2</v>
      </c>
      <c r="O1293" t="str">
        <f>VLOOKUP(A1293,Hospitalisation_Details__2[],6,FALSE)</f>
        <v>tier - 3</v>
      </c>
      <c r="P1293" t="str">
        <f>VLOOKUP(A1293,Hospitalisation_Details__2[],7,FALSE)</f>
        <v>R1011</v>
      </c>
    </row>
    <row r="1294" spans="1:16" x14ac:dyDescent="0.35">
      <c r="A1294" t="str">
        <v>Id1293</v>
      </c>
      <c r="B1294" t="str">
        <f>VLOOKUP(A1294,'Customer Names (2)'!A:B, 2,FALSE)</f>
        <v>Ms</v>
      </c>
      <c r="C1294">
        <f>VLOOKUP(A1294,Medical_Examinations[],2,FALSE)</f>
        <v>28.6</v>
      </c>
      <c r="D1294">
        <f>VLOOKUP(A1294,Medical_Examinations[],3,FALSE)</f>
        <v>5.42</v>
      </c>
      <c r="E1294" t="str">
        <f>VLOOKUP(A1294,Medical_Examinations[],4,FALSE)</f>
        <v>No</v>
      </c>
      <c r="F1294" t="str">
        <f>VLOOKUP(A1294,Medical_Examinations[],5,FALSE)</f>
        <v>No</v>
      </c>
      <c r="G1294" t="str">
        <f>VLOOKUP(A1294,Medical_Examinations[],6,FALSE)</f>
        <v>No</v>
      </c>
      <c r="H1294">
        <f>VLOOKUP(A1294,Medical_Examinations[],7,FALSE)</f>
        <v>0</v>
      </c>
      <c r="I1294" t="str">
        <f>VLOOKUP(A1294,Medical_Examinations[],8,FALSE)</f>
        <v>No</v>
      </c>
      <c r="J1294" t="str">
        <f>VLOOKUP(A1294,Medical_Examinations[],9,FALSE)</f>
        <v>Overweight</v>
      </c>
      <c r="K1294" t="str">
        <f>VLOOKUP(A1294,Medical_Examinations[],10,FALSE)</f>
        <v>Normal</v>
      </c>
      <c r="M1294">
        <f>VLOOKUP(A1294,Hospitalisation_Details__2[],4,FALSE)</f>
        <v>8516.83</v>
      </c>
      <c r="N1294" t="str">
        <f>VLOOKUP(A1294,Hospitalisation_Details__2[],5,FALSE)</f>
        <v>tier - 2</v>
      </c>
      <c r="O1294" t="str">
        <f>VLOOKUP(A1294,Hospitalisation_Details__2[],6,FALSE)</f>
        <v>tier - 1</v>
      </c>
      <c r="P1294" t="str">
        <f>VLOOKUP(A1294,Hospitalisation_Details__2[],7,FALSE)</f>
        <v>R1013</v>
      </c>
    </row>
    <row r="1295" spans="1:16" x14ac:dyDescent="0.35">
      <c r="A1295" t="str">
        <v>Id1294</v>
      </c>
      <c r="B1295" t="str">
        <f>VLOOKUP(A1295,'Customer Names (2)'!A:B, 2,FALSE)</f>
        <v>Ms</v>
      </c>
      <c r="C1295">
        <f>VLOOKUP(A1295,Medical_Examinations[],2,FALSE)</f>
        <v>27.83</v>
      </c>
      <c r="D1295">
        <f>VLOOKUP(A1295,Medical_Examinations[],3,FALSE)</f>
        <v>5.39</v>
      </c>
      <c r="E1295" t="str">
        <f>VLOOKUP(A1295,Medical_Examinations[],4,FALSE)</f>
        <v>No</v>
      </c>
      <c r="F1295" t="str">
        <f>VLOOKUP(A1295,Medical_Examinations[],5,FALSE)</f>
        <v>No</v>
      </c>
      <c r="G1295" t="str">
        <f>VLOOKUP(A1295,Medical_Examinations[],6,FALSE)</f>
        <v>No</v>
      </c>
      <c r="H1295">
        <f>VLOOKUP(A1295,Medical_Examinations[],7,FALSE)</f>
        <v>0</v>
      </c>
      <c r="I1295" t="str">
        <f>VLOOKUP(A1295,Medical_Examinations[],8,FALSE)</f>
        <v>No</v>
      </c>
      <c r="J1295" t="str">
        <f>VLOOKUP(A1295,Medical_Examinations[],9,FALSE)</f>
        <v>Overweight</v>
      </c>
      <c r="K1295" t="str">
        <f>VLOOKUP(A1295,Medical_Examinations[],10,FALSE)</f>
        <v>Normal</v>
      </c>
      <c r="M1295">
        <f>VLOOKUP(A1295,Hospitalisation_Details__2[],4,FALSE)</f>
        <v>8515.76</v>
      </c>
      <c r="N1295" t="str">
        <f>VLOOKUP(A1295,Hospitalisation_Details__2[],5,FALSE)</f>
        <v>tier - 2</v>
      </c>
      <c r="O1295" t="str">
        <f>VLOOKUP(A1295,Hospitalisation_Details__2[],6,FALSE)</f>
        <v>tier - 2</v>
      </c>
      <c r="P1295" t="str">
        <f>VLOOKUP(A1295,Hospitalisation_Details__2[],7,FALSE)</f>
        <v>R1013</v>
      </c>
    </row>
    <row r="1296" spans="1:16" x14ac:dyDescent="0.35">
      <c r="A1296" t="str">
        <v>Id1295</v>
      </c>
      <c r="B1296" t="str">
        <f>VLOOKUP(A1296,'Customer Names (2)'!A:B, 2,FALSE)</f>
        <v>Mr</v>
      </c>
      <c r="C1296">
        <f>VLOOKUP(A1296,Medical_Examinations[],2,FALSE)</f>
        <v>39.64</v>
      </c>
      <c r="D1296">
        <f>VLOOKUP(A1296,Medical_Examinations[],3,FALSE)</f>
        <v>6</v>
      </c>
      <c r="E1296" t="str">
        <f>VLOOKUP(A1296,Medical_Examinations[],4,FALSE)</f>
        <v>No</v>
      </c>
      <c r="F1296" t="str">
        <f>VLOOKUP(A1296,Medical_Examinations[],5,FALSE)</f>
        <v>No</v>
      </c>
      <c r="G1296" t="str">
        <f>VLOOKUP(A1296,Medical_Examinations[],6,FALSE)</f>
        <v>Yes</v>
      </c>
      <c r="H1296">
        <f>VLOOKUP(A1296,Medical_Examinations[],7,FALSE)</f>
        <v>1</v>
      </c>
      <c r="I1296" t="str">
        <f>VLOOKUP(A1296,Medical_Examinations[],8,FALSE)</f>
        <v>No</v>
      </c>
      <c r="J1296" t="str">
        <f>VLOOKUP(A1296,Medical_Examinations[],9,FALSE)</f>
        <v>Obesity</v>
      </c>
      <c r="K1296" t="str">
        <f>VLOOKUP(A1296,Medical_Examinations[],10,FALSE)</f>
        <v>Prediabetes</v>
      </c>
      <c r="M1296">
        <f>VLOOKUP(A1296,Hospitalisation_Details__2[],4,FALSE)</f>
        <v>8471.65</v>
      </c>
      <c r="N1296" t="str">
        <f>VLOOKUP(A1296,Hospitalisation_Details__2[],5,FALSE)</f>
        <v>tier - 2</v>
      </c>
      <c r="O1296" t="str">
        <f>VLOOKUP(A1296,Hospitalisation_Details__2[],6,FALSE)</f>
        <v>tier - 1</v>
      </c>
      <c r="P1296" t="str">
        <f>VLOOKUP(A1296,Hospitalisation_Details__2[],7,FALSE)</f>
        <v>R1012</v>
      </c>
    </row>
    <row r="1297" spans="1:16" x14ac:dyDescent="0.35">
      <c r="A1297" t="str">
        <v>Id1296</v>
      </c>
      <c r="B1297" t="str">
        <f>VLOOKUP(A1297,'Customer Names (2)'!A:B, 2,FALSE)</f>
        <v>Ms</v>
      </c>
      <c r="C1297">
        <f>VLOOKUP(A1297,Medical_Examinations[],2,FALSE)</f>
        <v>38.479999999999997</v>
      </c>
      <c r="D1297">
        <f>VLOOKUP(A1297,Medical_Examinations[],3,FALSE)</f>
        <v>6.02</v>
      </c>
      <c r="E1297" t="str">
        <f>VLOOKUP(A1297,Medical_Examinations[],4,FALSE)</f>
        <v>No</v>
      </c>
      <c r="F1297" t="str">
        <f>VLOOKUP(A1297,Medical_Examinations[],5,FALSE)</f>
        <v>No</v>
      </c>
      <c r="G1297" t="str">
        <f>VLOOKUP(A1297,Medical_Examinations[],6,FALSE)</f>
        <v>No</v>
      </c>
      <c r="H1297">
        <f>VLOOKUP(A1297,Medical_Examinations[],7,FALSE)</f>
        <v>1</v>
      </c>
      <c r="I1297" t="str">
        <f>VLOOKUP(A1297,Medical_Examinations[],8,FALSE)</f>
        <v>No</v>
      </c>
      <c r="J1297" t="str">
        <f>VLOOKUP(A1297,Medical_Examinations[],9,FALSE)</f>
        <v>Obesity</v>
      </c>
      <c r="K1297" t="str">
        <f>VLOOKUP(A1297,Medical_Examinations[],10,FALSE)</f>
        <v>Prediabetes</v>
      </c>
      <c r="M1297">
        <f>VLOOKUP(A1297,Hospitalisation_Details__2[],4,FALSE)</f>
        <v>8466.35</v>
      </c>
      <c r="N1297" t="str">
        <f>VLOOKUP(A1297,Hospitalisation_Details__2[],5,FALSE)</f>
        <v>tier - 2</v>
      </c>
      <c r="O1297" t="str">
        <f>VLOOKUP(A1297,Hospitalisation_Details__2[],6,FALSE)</f>
        <v>tier - 2</v>
      </c>
      <c r="P1297" t="str">
        <f>VLOOKUP(A1297,Hospitalisation_Details__2[],7,FALSE)</f>
        <v>R1012</v>
      </c>
    </row>
    <row r="1298" spans="1:16" x14ac:dyDescent="0.35">
      <c r="A1298" t="str">
        <v>Id1297</v>
      </c>
      <c r="B1298" t="str">
        <f>VLOOKUP(A1298,'Customer Names (2)'!A:B, 2,FALSE)</f>
        <v>Mr</v>
      </c>
      <c r="C1298">
        <f>VLOOKUP(A1298,Medical_Examinations[],2,FALSE)</f>
        <v>36.200000000000003</v>
      </c>
      <c r="D1298">
        <f>VLOOKUP(A1298,Medical_Examinations[],3,FALSE)</f>
        <v>4.62</v>
      </c>
      <c r="E1298" t="str">
        <f>VLOOKUP(A1298,Medical_Examinations[],4,FALSE)</f>
        <v>No</v>
      </c>
      <c r="F1298" t="str">
        <f>VLOOKUP(A1298,Medical_Examinations[],5,FALSE)</f>
        <v>No</v>
      </c>
      <c r="G1298" t="str">
        <f>VLOOKUP(A1298,Medical_Examinations[],6,FALSE)</f>
        <v>No</v>
      </c>
      <c r="H1298">
        <f>VLOOKUP(A1298,Medical_Examinations[],7,FALSE)</f>
        <v>2</v>
      </c>
      <c r="I1298" t="str">
        <f>VLOOKUP(A1298,Medical_Examinations[],8,FALSE)</f>
        <v>No</v>
      </c>
      <c r="J1298" t="str">
        <f>VLOOKUP(A1298,Medical_Examinations[],9,FALSE)</f>
        <v>Obesity</v>
      </c>
      <c r="K1298" t="str">
        <f>VLOOKUP(A1298,Medical_Examinations[],10,FALSE)</f>
        <v>Normal</v>
      </c>
      <c r="M1298">
        <f>VLOOKUP(A1298,Hospitalisation_Details__2[],4,FALSE)</f>
        <v>8457.82</v>
      </c>
      <c r="N1298" t="str">
        <f>VLOOKUP(A1298,Hospitalisation_Details__2[],5,FALSE)</f>
        <v>tier - 2</v>
      </c>
      <c r="O1298" t="str">
        <f>VLOOKUP(A1298,Hospitalisation_Details__2[],6,FALSE)</f>
        <v>tier - 3</v>
      </c>
      <c r="P1298" t="str">
        <f>VLOOKUP(A1298,Hospitalisation_Details__2[],7,FALSE)</f>
        <v>R1011</v>
      </c>
    </row>
    <row r="1299" spans="1:16" x14ac:dyDescent="0.35">
      <c r="A1299" t="str">
        <v>Id1298</v>
      </c>
      <c r="B1299" t="str">
        <f>VLOOKUP(A1299,'Customer Names (2)'!A:B, 2,FALSE)</f>
        <v>Mrs</v>
      </c>
      <c r="C1299">
        <f>VLOOKUP(A1299,Medical_Examinations[],2,FALSE)</f>
        <v>27.13</v>
      </c>
      <c r="D1299">
        <f>VLOOKUP(A1299,Medical_Examinations[],3,FALSE)</f>
        <v>5.59</v>
      </c>
      <c r="E1299" t="str">
        <f>VLOOKUP(A1299,Medical_Examinations[],4,FALSE)</f>
        <v>No</v>
      </c>
      <c r="F1299" t="str">
        <f>VLOOKUP(A1299,Medical_Examinations[],5,FALSE)</f>
        <v>No</v>
      </c>
      <c r="G1299" t="str">
        <f>VLOOKUP(A1299,Medical_Examinations[],6,FALSE)</f>
        <v>No</v>
      </c>
      <c r="H1299">
        <f>VLOOKUP(A1299,Medical_Examinations[],7,FALSE)</f>
        <v>1</v>
      </c>
      <c r="I1299" t="str">
        <f>VLOOKUP(A1299,Medical_Examinations[],8,FALSE)</f>
        <v>No</v>
      </c>
      <c r="J1299" t="str">
        <f>VLOOKUP(A1299,Medical_Examinations[],9,FALSE)</f>
        <v>Overweight</v>
      </c>
      <c r="K1299" t="str">
        <f>VLOOKUP(A1299,Medical_Examinations[],10,FALSE)</f>
        <v>Normal</v>
      </c>
      <c r="M1299">
        <f>VLOOKUP(A1299,Hospitalisation_Details__2[],4,FALSE)</f>
        <v>8450.82</v>
      </c>
      <c r="N1299" t="str">
        <f>VLOOKUP(A1299,Hospitalisation_Details__2[],5,FALSE)</f>
        <v>tier - 2</v>
      </c>
      <c r="O1299" t="str">
        <f>VLOOKUP(A1299,Hospitalisation_Details__2[],6,FALSE)</f>
        <v>tier - 2</v>
      </c>
      <c r="P1299" t="str">
        <f>VLOOKUP(A1299,Hospitalisation_Details__2[],7,FALSE)</f>
        <v>R1025</v>
      </c>
    </row>
    <row r="1300" spans="1:16" x14ac:dyDescent="0.35">
      <c r="A1300" t="str">
        <v>Id1299</v>
      </c>
      <c r="B1300" t="str">
        <f>VLOOKUP(A1300,'Customer Names (2)'!A:B, 2,FALSE)</f>
        <v>Ms</v>
      </c>
      <c r="C1300">
        <f>VLOOKUP(A1300,Medical_Examinations[],2,FALSE)</f>
        <v>20.75</v>
      </c>
      <c r="D1300">
        <f>VLOOKUP(A1300,Medical_Examinations[],3,FALSE)</f>
        <v>5.18</v>
      </c>
      <c r="E1300" t="str">
        <f>VLOOKUP(A1300,Medical_Examinations[],4,FALSE)</f>
        <v>Yes</v>
      </c>
      <c r="F1300" t="str">
        <f>VLOOKUP(A1300,Medical_Examinations[],5,FALSE)</f>
        <v>No</v>
      </c>
      <c r="G1300" t="str">
        <f>VLOOKUP(A1300,Medical_Examinations[],6,FALSE)</f>
        <v>No</v>
      </c>
      <c r="H1300">
        <f>VLOOKUP(A1300,Medical_Examinations[],7,FALSE)</f>
        <v>2</v>
      </c>
      <c r="I1300" t="str">
        <f>VLOOKUP(A1300,Medical_Examinations[],8,FALSE)</f>
        <v>No</v>
      </c>
      <c r="J1300" t="str">
        <f>VLOOKUP(A1300,Medical_Examinations[],9,FALSE)</f>
        <v>Normal Weight</v>
      </c>
      <c r="K1300" t="str">
        <f>VLOOKUP(A1300,Medical_Examinations[],10,FALSE)</f>
        <v>Normal</v>
      </c>
      <c r="M1300">
        <f>VLOOKUP(A1300,Hospitalisation_Details__2[],4,FALSE)</f>
        <v>8448.66</v>
      </c>
      <c r="N1300" t="str">
        <f>VLOOKUP(A1300,Hospitalisation_Details__2[],5,FALSE)</f>
        <v>tier - 3</v>
      </c>
      <c r="O1300" t="str">
        <f>VLOOKUP(A1300,Hospitalisation_Details__2[],6,FALSE)</f>
        <v>tier - 1</v>
      </c>
      <c r="P1300" t="str">
        <f>VLOOKUP(A1300,Hospitalisation_Details__2[],7,FALSE)</f>
        <v>R1013</v>
      </c>
    </row>
    <row r="1301" spans="1:16" x14ac:dyDescent="0.35">
      <c r="A1301" t="str">
        <v>Id1300</v>
      </c>
      <c r="B1301" t="str">
        <f>VLOOKUP(A1301,'Customer Names (2)'!A:B, 2,FALSE)</f>
        <v>Mr</v>
      </c>
      <c r="C1301">
        <f>VLOOKUP(A1301,Medical_Examinations[],2,FALSE)</f>
        <v>26.6</v>
      </c>
      <c r="D1301">
        <f>VLOOKUP(A1301,Medical_Examinations[],3,FALSE)</f>
        <v>6.29</v>
      </c>
      <c r="E1301" t="str">
        <f>VLOOKUP(A1301,Medical_Examinations[],4,FALSE)</f>
        <v>No</v>
      </c>
      <c r="F1301" t="str">
        <f>VLOOKUP(A1301,Medical_Examinations[],5,FALSE)</f>
        <v>No</v>
      </c>
      <c r="G1301" t="str">
        <f>VLOOKUP(A1301,Medical_Examinations[],6,FALSE)</f>
        <v>No</v>
      </c>
      <c r="H1301">
        <f>VLOOKUP(A1301,Medical_Examinations[],7,FALSE)</f>
        <v>2</v>
      </c>
      <c r="I1301" t="str">
        <f>VLOOKUP(A1301,Medical_Examinations[],8,FALSE)</f>
        <v>No</v>
      </c>
      <c r="J1301" t="str">
        <f>VLOOKUP(A1301,Medical_Examinations[],9,FALSE)</f>
        <v>Overweight</v>
      </c>
      <c r="K1301" t="str">
        <f>VLOOKUP(A1301,Medical_Examinations[],10,FALSE)</f>
        <v>Prediabetes</v>
      </c>
      <c r="M1301">
        <f>VLOOKUP(A1301,Hospitalisation_Details__2[],4,FALSE)</f>
        <v>8444.4699999999993</v>
      </c>
      <c r="N1301" t="str">
        <f>VLOOKUP(A1301,Hospitalisation_Details__2[],5,FALSE)</f>
        <v>tier - 3</v>
      </c>
      <c r="O1301" t="str">
        <f>VLOOKUP(A1301,Hospitalisation_Details__2[],6,FALSE)</f>
        <v>tier - 1</v>
      </c>
      <c r="P1301" t="str">
        <f>VLOOKUP(A1301,Hospitalisation_Details__2[],7,FALSE)</f>
        <v>R1011</v>
      </c>
    </row>
    <row r="1302" spans="1:16" x14ac:dyDescent="0.35">
      <c r="A1302" t="str">
        <v>Id1301</v>
      </c>
      <c r="B1302" t="str">
        <f>VLOOKUP(A1302,'Customer Names (2)'!A:B, 2,FALSE)</f>
        <v>Mr</v>
      </c>
      <c r="C1302">
        <f>VLOOKUP(A1302,Medical_Examinations[],2,FALSE)</f>
        <v>25.3</v>
      </c>
      <c r="D1302">
        <f>VLOOKUP(A1302,Medical_Examinations[],3,FALSE)</f>
        <v>4.49</v>
      </c>
      <c r="E1302" t="str">
        <f>VLOOKUP(A1302,Medical_Examinations[],4,FALSE)</f>
        <v>No</v>
      </c>
      <c r="F1302" t="str">
        <f>VLOOKUP(A1302,Medical_Examinations[],5,FALSE)</f>
        <v>No</v>
      </c>
      <c r="G1302" t="str">
        <f>VLOOKUP(A1302,Medical_Examinations[],6,FALSE)</f>
        <v>No</v>
      </c>
      <c r="H1302">
        <f>VLOOKUP(A1302,Medical_Examinations[],7,FALSE)</f>
        <v>2</v>
      </c>
      <c r="I1302" t="str">
        <f>VLOOKUP(A1302,Medical_Examinations[],8,FALSE)</f>
        <v>No</v>
      </c>
      <c r="J1302" t="str">
        <f>VLOOKUP(A1302,Medical_Examinations[],9,FALSE)</f>
        <v>Overweight</v>
      </c>
      <c r="K1302" t="str">
        <f>VLOOKUP(A1302,Medical_Examinations[],10,FALSE)</f>
        <v>Normal</v>
      </c>
      <c r="M1302">
        <f>VLOOKUP(A1302,Hospitalisation_Details__2[],4,FALSE)</f>
        <v>8442.67</v>
      </c>
      <c r="N1302" t="str">
        <f>VLOOKUP(A1302,Hospitalisation_Details__2[],5,FALSE)</f>
        <v>tier - 2</v>
      </c>
      <c r="O1302" t="str">
        <f>VLOOKUP(A1302,Hospitalisation_Details__2[],6,FALSE)</f>
        <v>tier - 3</v>
      </c>
      <c r="P1302" t="str">
        <f>VLOOKUP(A1302,Hospitalisation_Details__2[],7,FALSE)</f>
        <v>R1013</v>
      </c>
    </row>
    <row r="1303" spans="1:16" x14ac:dyDescent="0.35">
      <c r="A1303" t="str">
        <v>Id1302</v>
      </c>
      <c r="B1303" t="str">
        <f>VLOOKUP(A1303,'Customer Names (2)'!A:B, 2,FALSE)</f>
        <v>Mr</v>
      </c>
      <c r="C1303">
        <f>VLOOKUP(A1303,Medical_Examinations[],2,FALSE)</f>
        <v>18.84</v>
      </c>
      <c r="D1303">
        <f>VLOOKUP(A1303,Medical_Examinations[],3,FALSE)</f>
        <v>11.82</v>
      </c>
      <c r="E1303" t="str">
        <f>VLOOKUP(A1303,Medical_Examinations[],4,FALSE)</f>
        <v>Yes</v>
      </c>
      <c r="F1303" t="str">
        <f>VLOOKUP(A1303,Medical_Examinations[],5,FALSE)</f>
        <v>No</v>
      </c>
      <c r="G1303" t="str">
        <f>VLOOKUP(A1303,Medical_Examinations[],6,FALSE)</f>
        <v>Yes</v>
      </c>
      <c r="H1303">
        <f>VLOOKUP(A1303,Medical_Examinations[],7,FALSE)</f>
        <v>1</v>
      </c>
      <c r="I1303" t="str">
        <f>VLOOKUP(A1303,Medical_Examinations[],8,FALSE)</f>
        <v>No</v>
      </c>
      <c r="J1303" t="str">
        <f>VLOOKUP(A1303,Medical_Examinations[],9,FALSE)</f>
        <v>Normal Weight</v>
      </c>
      <c r="K1303" t="str">
        <f>VLOOKUP(A1303,Medical_Examinations[],10,FALSE)</f>
        <v>Diabetes</v>
      </c>
      <c r="M1303">
        <f>VLOOKUP(A1303,Hospitalisation_Details__2[],4,FALSE)</f>
        <v>8440.0499999999993</v>
      </c>
      <c r="N1303" t="str">
        <f>VLOOKUP(A1303,Hospitalisation_Details__2[],5,FALSE)</f>
        <v>tier - 3</v>
      </c>
      <c r="O1303" t="str">
        <f>VLOOKUP(A1303,Hospitalisation_Details__2[],6,FALSE)</f>
        <v>tier - 2</v>
      </c>
      <c r="P1303" t="str">
        <f>VLOOKUP(A1303,Hospitalisation_Details__2[],7,FALSE)</f>
        <v>R1013</v>
      </c>
    </row>
    <row r="1304" spans="1:16" x14ac:dyDescent="0.35">
      <c r="A1304" t="str">
        <v>Id1303</v>
      </c>
      <c r="B1304" t="str">
        <f>VLOOKUP(A1304,'Customer Names (2)'!A:B, 2,FALSE)</f>
        <v>Mr</v>
      </c>
      <c r="C1304">
        <f>VLOOKUP(A1304,Medical_Examinations[],2,FALSE)</f>
        <v>19.57</v>
      </c>
      <c r="D1304">
        <f>VLOOKUP(A1304,Medical_Examinations[],3,FALSE)</f>
        <v>7.41</v>
      </c>
      <c r="E1304" t="str">
        <f>VLOOKUP(A1304,Medical_Examinations[],4,FALSE)</f>
        <v>Yes</v>
      </c>
      <c r="F1304" t="str">
        <f>VLOOKUP(A1304,Medical_Examinations[],5,FALSE)</f>
        <v>No</v>
      </c>
      <c r="G1304" t="str">
        <f>VLOOKUP(A1304,Medical_Examinations[],6,FALSE)</f>
        <v>No</v>
      </c>
      <c r="H1304">
        <f>VLOOKUP(A1304,Medical_Examinations[],7,FALSE)</f>
        <v>1</v>
      </c>
      <c r="I1304" t="str">
        <f>VLOOKUP(A1304,Medical_Examinations[],8,FALSE)</f>
        <v>No</v>
      </c>
      <c r="J1304" t="str">
        <f>VLOOKUP(A1304,Medical_Examinations[],9,FALSE)</f>
        <v>Normal Weight</v>
      </c>
      <c r="K1304" t="str">
        <f>VLOOKUP(A1304,Medical_Examinations[],10,FALSE)</f>
        <v>Diabetes</v>
      </c>
      <c r="M1304">
        <f>VLOOKUP(A1304,Hospitalisation_Details__2[],4,FALSE)</f>
        <v>8428.07</v>
      </c>
      <c r="N1304" t="str">
        <f>VLOOKUP(A1304,Hospitalisation_Details__2[],5,FALSE)</f>
        <v>tier - 3</v>
      </c>
      <c r="O1304" t="str">
        <f>VLOOKUP(A1304,Hospitalisation_Details__2[],6,FALSE)</f>
        <v>tier - 2</v>
      </c>
      <c r="P1304" t="str">
        <f>VLOOKUP(A1304,Hospitalisation_Details__2[],7,FALSE)</f>
        <v>R1012</v>
      </c>
    </row>
    <row r="1305" spans="1:16" x14ac:dyDescent="0.35">
      <c r="A1305" t="str">
        <v>Id1304</v>
      </c>
      <c r="B1305" t="str">
        <f>VLOOKUP(A1305,'Customer Names (2)'!A:B, 2,FALSE)</f>
        <v>Mr</v>
      </c>
      <c r="C1305">
        <f>VLOOKUP(A1305,Medical_Examinations[],2,FALSE)</f>
        <v>30.495000000000001</v>
      </c>
      <c r="D1305">
        <f>VLOOKUP(A1305,Medical_Examinations[],3,FALSE)</f>
        <v>5.97</v>
      </c>
      <c r="E1305" t="str">
        <f>VLOOKUP(A1305,Medical_Examinations[],4,FALSE)</f>
        <v>No</v>
      </c>
      <c r="F1305" t="str">
        <f>VLOOKUP(A1305,Medical_Examinations[],5,FALSE)</f>
        <v>No</v>
      </c>
      <c r="G1305" t="str">
        <f>VLOOKUP(A1305,Medical_Examinations[],6,FALSE)</f>
        <v>No</v>
      </c>
      <c r="H1305">
        <f>VLOOKUP(A1305,Medical_Examinations[],7,FALSE)</f>
        <v>0</v>
      </c>
      <c r="I1305" t="str">
        <f>VLOOKUP(A1305,Medical_Examinations[],8,FALSE)</f>
        <v>No</v>
      </c>
      <c r="J1305" t="str">
        <f>VLOOKUP(A1305,Medical_Examinations[],9,FALSE)</f>
        <v>Obesity</v>
      </c>
      <c r="K1305" t="str">
        <f>VLOOKUP(A1305,Medical_Examinations[],10,FALSE)</f>
        <v>Prediabetes</v>
      </c>
      <c r="M1305">
        <f>VLOOKUP(A1305,Hospitalisation_Details__2[],4,FALSE)</f>
        <v>8413.4599999999991</v>
      </c>
      <c r="N1305" t="str">
        <f>VLOOKUP(A1305,Hospitalisation_Details__2[],5,FALSE)</f>
        <v>tier - 3</v>
      </c>
      <c r="O1305" t="str">
        <f>VLOOKUP(A1305,Hospitalisation_Details__2[],6,FALSE)</f>
        <v>tier - 1</v>
      </c>
      <c r="P1305" t="str">
        <f>VLOOKUP(A1305,Hospitalisation_Details__2[],7,FALSE)</f>
        <v>R1012</v>
      </c>
    </row>
    <row r="1306" spans="1:16" x14ac:dyDescent="0.35">
      <c r="A1306" t="str">
        <v>Id1305</v>
      </c>
      <c r="B1306" t="str">
        <f>VLOOKUP(A1306,'Customer Names (2)'!A:B, 2,FALSE)</f>
        <v>Mr</v>
      </c>
      <c r="C1306">
        <f>VLOOKUP(A1306,Medical_Examinations[],2,FALSE)</f>
        <v>30.114999999999998</v>
      </c>
      <c r="D1306">
        <f>VLOOKUP(A1306,Medical_Examinations[],3,FALSE)</f>
        <v>5.74</v>
      </c>
      <c r="E1306" t="str">
        <f>VLOOKUP(A1306,Medical_Examinations[],4,FALSE)</f>
        <v>No</v>
      </c>
      <c r="F1306" t="str">
        <f>VLOOKUP(A1306,Medical_Examinations[],5,FALSE)</f>
        <v>No</v>
      </c>
      <c r="G1306" t="str">
        <f>VLOOKUP(A1306,Medical_Examinations[],6,FALSE)</f>
        <v>Yes</v>
      </c>
      <c r="H1306">
        <f>VLOOKUP(A1306,Medical_Examinations[],7,FALSE)</f>
        <v>1</v>
      </c>
      <c r="I1306" t="str">
        <f>VLOOKUP(A1306,Medical_Examinations[],8,FALSE)</f>
        <v>No</v>
      </c>
      <c r="J1306" t="str">
        <f>VLOOKUP(A1306,Medical_Examinations[],9,FALSE)</f>
        <v>Obesity</v>
      </c>
      <c r="K1306" t="str">
        <f>VLOOKUP(A1306,Medical_Examinations[],10,FALSE)</f>
        <v>Prediabetes</v>
      </c>
      <c r="M1306">
        <f>VLOOKUP(A1306,Hospitalisation_Details__2[],4,FALSE)</f>
        <v>8410.0499999999993</v>
      </c>
      <c r="N1306" t="str">
        <f>VLOOKUP(A1306,Hospitalisation_Details__2[],5,FALSE)</f>
        <v>tier - 2</v>
      </c>
      <c r="O1306" t="str">
        <f>VLOOKUP(A1306,Hospitalisation_Details__2[],6,FALSE)</f>
        <v>tier - 2</v>
      </c>
      <c r="P1306" t="str">
        <f>VLOOKUP(A1306,Hospitalisation_Details__2[],7,FALSE)</f>
        <v>R1012</v>
      </c>
    </row>
    <row r="1307" spans="1:16" x14ac:dyDescent="0.35">
      <c r="A1307" t="str">
        <v>Id1306</v>
      </c>
      <c r="B1307" t="str">
        <f>VLOOKUP(A1307,'Customer Names (2)'!A:B, 2,FALSE)</f>
        <v>Mr</v>
      </c>
      <c r="C1307">
        <f>VLOOKUP(A1307,Medical_Examinations[],2,FALSE)</f>
        <v>24.78</v>
      </c>
      <c r="D1307">
        <f>VLOOKUP(A1307,Medical_Examinations[],3,FALSE)</f>
        <v>9.85</v>
      </c>
      <c r="E1307" t="str">
        <f>VLOOKUP(A1307,Medical_Examinations[],4,FALSE)</f>
        <v>No</v>
      </c>
      <c r="F1307" t="str">
        <f>VLOOKUP(A1307,Medical_Examinations[],5,FALSE)</f>
        <v>No</v>
      </c>
      <c r="G1307" t="str">
        <f>VLOOKUP(A1307,Medical_Examinations[],6,FALSE)</f>
        <v>No</v>
      </c>
      <c r="H1307">
        <f>VLOOKUP(A1307,Medical_Examinations[],7,FALSE)</f>
        <v>0</v>
      </c>
      <c r="I1307" t="str">
        <f>VLOOKUP(A1307,Medical_Examinations[],8,FALSE)</f>
        <v>No</v>
      </c>
      <c r="J1307" t="str">
        <f>VLOOKUP(A1307,Medical_Examinations[],9,FALSE)</f>
        <v>Normal Weight</v>
      </c>
      <c r="K1307" t="str">
        <f>VLOOKUP(A1307,Medical_Examinations[],10,FALSE)</f>
        <v>Diabetes</v>
      </c>
      <c r="M1307">
        <f>VLOOKUP(A1307,Hospitalisation_Details__2[],4,FALSE)</f>
        <v>8400.01</v>
      </c>
      <c r="N1307" t="str">
        <f>VLOOKUP(A1307,Hospitalisation_Details__2[],5,FALSE)</f>
        <v>tier - 2</v>
      </c>
      <c r="O1307" t="str">
        <f>VLOOKUP(A1307,Hospitalisation_Details__2[],6,FALSE)</f>
        <v>tier - 3</v>
      </c>
      <c r="P1307" t="str">
        <f>VLOOKUP(A1307,Hospitalisation_Details__2[],7,FALSE)</f>
        <v>R1013</v>
      </c>
    </row>
    <row r="1308" spans="1:16" x14ac:dyDescent="0.35">
      <c r="A1308" t="str">
        <v>Id1307</v>
      </c>
      <c r="B1308" t="str">
        <f>VLOOKUP(A1308,'Customer Names (2)'!A:B, 2,FALSE)</f>
        <v>Mr</v>
      </c>
      <c r="C1308">
        <f>VLOOKUP(A1308,Medical_Examinations[],2,FALSE)</f>
        <v>24.77</v>
      </c>
      <c r="D1308">
        <f>VLOOKUP(A1308,Medical_Examinations[],3,FALSE)</f>
        <v>7.59</v>
      </c>
      <c r="E1308" t="str">
        <f>VLOOKUP(A1308,Medical_Examinations[],4,FALSE)</f>
        <v>No</v>
      </c>
      <c r="F1308" t="str">
        <f>VLOOKUP(A1308,Medical_Examinations[],5,FALSE)</f>
        <v>No</v>
      </c>
      <c r="G1308" t="str">
        <f>VLOOKUP(A1308,Medical_Examinations[],6,FALSE)</f>
        <v>No</v>
      </c>
      <c r="H1308">
        <f>VLOOKUP(A1308,Medical_Examinations[],7,FALSE)</f>
        <v>0</v>
      </c>
      <c r="I1308" t="str">
        <f>VLOOKUP(A1308,Medical_Examinations[],8,FALSE)</f>
        <v>No</v>
      </c>
      <c r="J1308" t="str">
        <f>VLOOKUP(A1308,Medical_Examinations[],9,FALSE)</f>
        <v>Normal Weight</v>
      </c>
      <c r="K1308" t="str">
        <f>VLOOKUP(A1308,Medical_Examinations[],10,FALSE)</f>
        <v>Diabetes</v>
      </c>
      <c r="M1308">
        <f>VLOOKUP(A1308,Hospitalisation_Details__2[],4,FALSE)</f>
        <v>8396.6200000000008</v>
      </c>
      <c r="N1308" t="str">
        <f>VLOOKUP(A1308,Hospitalisation_Details__2[],5,FALSE)</f>
        <v>tier - 2</v>
      </c>
      <c r="O1308" t="str">
        <f>VLOOKUP(A1308,Hospitalisation_Details__2[],6,FALSE)</f>
        <v>tier - 3</v>
      </c>
      <c r="P1308" t="str">
        <f>VLOOKUP(A1308,Hospitalisation_Details__2[],7,FALSE)</f>
        <v>R1013</v>
      </c>
    </row>
    <row r="1309" spans="1:16" x14ac:dyDescent="0.35">
      <c r="A1309" t="str">
        <v>Id1308</v>
      </c>
      <c r="B1309" t="str">
        <f>VLOOKUP(A1309,'Customer Names (2)'!A:B, 2,FALSE)</f>
        <v>Mr</v>
      </c>
      <c r="C1309">
        <f>VLOOKUP(A1309,Medical_Examinations[],2,FALSE)</f>
        <v>16.579999999999998</v>
      </c>
      <c r="D1309">
        <f>VLOOKUP(A1309,Medical_Examinations[],3,FALSE)</f>
        <v>6.98</v>
      </c>
      <c r="E1309" t="str">
        <f>VLOOKUP(A1309,Medical_Examinations[],4,FALSE)</f>
        <v>Yes</v>
      </c>
      <c r="F1309" t="str">
        <f>VLOOKUP(A1309,Medical_Examinations[],5,FALSE)</f>
        <v>No</v>
      </c>
      <c r="G1309" t="str">
        <f>VLOOKUP(A1309,Medical_Examinations[],6,FALSE)</f>
        <v>Yes</v>
      </c>
      <c r="H1309">
        <f>VLOOKUP(A1309,Medical_Examinations[],7,FALSE)</f>
        <v>1</v>
      </c>
      <c r="I1309" t="str">
        <f>VLOOKUP(A1309,Medical_Examinations[],8,FALSE)</f>
        <v>No</v>
      </c>
      <c r="J1309" t="str">
        <f>VLOOKUP(A1309,Medical_Examinations[],9,FALSE)</f>
        <v>Underweight</v>
      </c>
      <c r="K1309" t="str">
        <f>VLOOKUP(A1309,Medical_Examinations[],10,FALSE)</f>
        <v>Diabetes</v>
      </c>
      <c r="M1309">
        <f>VLOOKUP(A1309,Hospitalisation_Details__2[],4,FALSE)</f>
        <v>8355.5400000000009</v>
      </c>
      <c r="N1309" t="str">
        <f>VLOOKUP(A1309,Hospitalisation_Details__2[],5,FALSE)</f>
        <v>tier - 3</v>
      </c>
      <c r="O1309" t="str">
        <f>VLOOKUP(A1309,Hospitalisation_Details__2[],6,FALSE)</f>
        <v>tier - 3</v>
      </c>
      <c r="P1309" t="str">
        <f>VLOOKUP(A1309,Hospitalisation_Details__2[],7,FALSE)</f>
        <v>R1012</v>
      </c>
    </row>
    <row r="1310" spans="1:16" x14ac:dyDescent="0.35">
      <c r="A1310" t="str">
        <v>Id1309</v>
      </c>
      <c r="B1310" t="str">
        <f>VLOOKUP(A1310,'Customer Names (2)'!A:B, 2,FALSE)</f>
        <v>Mr</v>
      </c>
      <c r="C1310">
        <f>VLOOKUP(A1310,Medical_Examinations[],2,FALSE)</f>
        <v>38.17</v>
      </c>
      <c r="D1310">
        <f>VLOOKUP(A1310,Medical_Examinations[],3,FALSE)</f>
        <v>4.7300000000000004</v>
      </c>
      <c r="E1310" t="str">
        <f>VLOOKUP(A1310,Medical_Examinations[],4,FALSE)</f>
        <v>Yes</v>
      </c>
      <c r="F1310" t="str">
        <f>VLOOKUP(A1310,Medical_Examinations[],5,FALSE)</f>
        <v>No</v>
      </c>
      <c r="G1310" t="str">
        <f>VLOOKUP(A1310,Medical_Examinations[],6,FALSE)</f>
        <v>No</v>
      </c>
      <c r="H1310">
        <f>VLOOKUP(A1310,Medical_Examinations[],7,FALSE)</f>
        <v>0</v>
      </c>
      <c r="I1310" t="str">
        <f>VLOOKUP(A1310,Medical_Examinations[],8,FALSE)</f>
        <v>No</v>
      </c>
      <c r="J1310" t="str">
        <f>VLOOKUP(A1310,Medical_Examinations[],9,FALSE)</f>
        <v>Obesity</v>
      </c>
      <c r="K1310" t="str">
        <f>VLOOKUP(A1310,Medical_Examinations[],10,FALSE)</f>
        <v>Normal</v>
      </c>
      <c r="M1310">
        <f>VLOOKUP(A1310,Hospitalisation_Details__2[],4,FALSE)</f>
        <v>8347.16</v>
      </c>
      <c r="N1310" t="str">
        <f>VLOOKUP(A1310,Hospitalisation_Details__2[],5,FALSE)</f>
        <v>tier - 2</v>
      </c>
      <c r="O1310" t="str">
        <f>VLOOKUP(A1310,Hospitalisation_Details__2[],6,FALSE)</f>
        <v>tier - 1</v>
      </c>
      <c r="P1310" t="str">
        <f>VLOOKUP(A1310,Hospitalisation_Details__2[],7,FALSE)</f>
        <v>R1013</v>
      </c>
    </row>
    <row r="1311" spans="1:16" x14ac:dyDescent="0.35">
      <c r="A1311" t="str">
        <v>Id1310</v>
      </c>
      <c r="B1311" t="str">
        <f>VLOOKUP(A1311,'Customer Names (2)'!A:B, 2,FALSE)</f>
        <v>Mr</v>
      </c>
      <c r="C1311">
        <f>VLOOKUP(A1311,Medical_Examinations[],2,FALSE)</f>
        <v>39.424999999999997</v>
      </c>
      <c r="D1311">
        <f>VLOOKUP(A1311,Medical_Examinations[],3,FALSE)</f>
        <v>4.76</v>
      </c>
      <c r="E1311" t="str">
        <f>VLOOKUP(A1311,Medical_Examinations[],4,FALSE)</f>
        <v>Yes</v>
      </c>
      <c r="F1311" t="str">
        <f>VLOOKUP(A1311,Medical_Examinations[],5,FALSE)</f>
        <v>No</v>
      </c>
      <c r="G1311" t="str">
        <f>VLOOKUP(A1311,Medical_Examinations[],6,FALSE)</f>
        <v>No</v>
      </c>
      <c r="H1311">
        <f>VLOOKUP(A1311,Medical_Examinations[],7,FALSE)</f>
        <v>0</v>
      </c>
      <c r="I1311" t="str">
        <f>VLOOKUP(A1311,Medical_Examinations[],8,FALSE)</f>
        <v>No</v>
      </c>
      <c r="J1311" t="str">
        <f>VLOOKUP(A1311,Medical_Examinations[],9,FALSE)</f>
        <v>Obesity</v>
      </c>
      <c r="K1311" t="str">
        <f>VLOOKUP(A1311,Medical_Examinations[],10,FALSE)</f>
        <v>Normal</v>
      </c>
      <c r="M1311">
        <f>VLOOKUP(A1311,Hospitalisation_Details__2[],4,FALSE)</f>
        <v>8342.91</v>
      </c>
      <c r="N1311" t="str">
        <f>VLOOKUP(A1311,Hospitalisation_Details__2[],5,FALSE)</f>
        <v>tier - 3</v>
      </c>
      <c r="O1311" t="str">
        <f>VLOOKUP(A1311,Hospitalisation_Details__2[],6,FALSE)</f>
        <v>tier - 1</v>
      </c>
      <c r="P1311" t="str">
        <f>VLOOKUP(A1311,Hospitalisation_Details__2[],7,FALSE)</f>
        <v>R1016</v>
      </c>
    </row>
    <row r="1312" spans="1:16" x14ac:dyDescent="0.35">
      <c r="A1312" t="str">
        <v>Id1311</v>
      </c>
      <c r="B1312" t="str">
        <f>VLOOKUP(A1312,'Customer Names (2)'!A:B, 2,FALSE)</f>
        <v>Mr</v>
      </c>
      <c r="C1312">
        <f>VLOOKUP(A1312,Medical_Examinations[],2,FALSE)</f>
        <v>33.44</v>
      </c>
      <c r="D1312">
        <f>VLOOKUP(A1312,Medical_Examinations[],3,FALSE)</f>
        <v>6.24</v>
      </c>
      <c r="E1312" t="str">
        <f>VLOOKUP(A1312,Medical_Examinations[],4,FALSE)</f>
        <v>Yes</v>
      </c>
      <c r="F1312" t="str">
        <f>VLOOKUP(A1312,Medical_Examinations[],5,FALSE)</f>
        <v>No</v>
      </c>
      <c r="G1312" t="str">
        <f>VLOOKUP(A1312,Medical_Examinations[],6,FALSE)</f>
        <v>No</v>
      </c>
      <c r="H1312">
        <f>VLOOKUP(A1312,Medical_Examinations[],7,FALSE)</f>
        <v>0</v>
      </c>
      <c r="I1312" t="str">
        <f>VLOOKUP(A1312,Medical_Examinations[],8,FALSE)</f>
        <v>No</v>
      </c>
      <c r="J1312" t="str">
        <f>VLOOKUP(A1312,Medical_Examinations[],9,FALSE)</f>
        <v>Obesity</v>
      </c>
      <c r="K1312" t="str">
        <f>VLOOKUP(A1312,Medical_Examinations[],10,FALSE)</f>
        <v>Prediabetes</v>
      </c>
      <c r="M1312">
        <f>VLOOKUP(A1312,Hospitalisation_Details__2[],4,FALSE)</f>
        <v>8334.59</v>
      </c>
      <c r="N1312" t="str">
        <f>VLOOKUP(A1312,Hospitalisation_Details__2[],5,FALSE)</f>
        <v>tier - 3</v>
      </c>
      <c r="O1312" t="str">
        <f>VLOOKUP(A1312,Hospitalisation_Details__2[],6,FALSE)</f>
        <v>tier - 2</v>
      </c>
      <c r="P1312" t="str">
        <f>VLOOKUP(A1312,Hospitalisation_Details__2[],7,FALSE)</f>
        <v>R1016</v>
      </c>
    </row>
    <row r="1313" spans="1:16" x14ac:dyDescent="0.35">
      <c r="A1313" t="str">
        <v>Id1312</v>
      </c>
      <c r="B1313" t="str">
        <f>VLOOKUP(A1313,'Customer Names (2)'!A:B, 2,FALSE)</f>
        <v>Mr</v>
      </c>
      <c r="C1313">
        <f>VLOOKUP(A1313,Medical_Examinations[],2,FALSE)</f>
        <v>33.344999999999999</v>
      </c>
      <c r="D1313">
        <f>VLOOKUP(A1313,Medical_Examinations[],3,FALSE)</f>
        <v>5.44</v>
      </c>
      <c r="E1313" t="str">
        <f>VLOOKUP(A1313,Medical_Examinations[],4,FALSE)</f>
        <v>Yes</v>
      </c>
      <c r="F1313" t="str">
        <f>VLOOKUP(A1313,Medical_Examinations[],5,FALSE)</f>
        <v>No</v>
      </c>
      <c r="G1313" t="str">
        <f>VLOOKUP(A1313,Medical_Examinations[],6,FALSE)</f>
        <v>No</v>
      </c>
      <c r="H1313">
        <f>VLOOKUP(A1313,Medical_Examinations[],7,FALSE)</f>
        <v>0</v>
      </c>
      <c r="I1313" t="str">
        <f>VLOOKUP(A1313,Medical_Examinations[],8,FALSE)</f>
        <v>No</v>
      </c>
      <c r="J1313" t="str">
        <f>VLOOKUP(A1313,Medical_Examinations[],9,FALSE)</f>
        <v>Obesity</v>
      </c>
      <c r="K1313" t="str">
        <f>VLOOKUP(A1313,Medical_Examinations[],10,FALSE)</f>
        <v>Normal</v>
      </c>
      <c r="M1313">
        <f>VLOOKUP(A1313,Hospitalisation_Details__2[],4,FALSE)</f>
        <v>8334.4599999999991</v>
      </c>
      <c r="N1313" t="str">
        <f>VLOOKUP(A1313,Hospitalisation_Details__2[],5,FALSE)</f>
        <v>tier - 3</v>
      </c>
      <c r="O1313" t="str">
        <f>VLOOKUP(A1313,Hospitalisation_Details__2[],6,FALSE)</f>
        <v>tier - 2</v>
      </c>
      <c r="P1313" t="str">
        <f>VLOOKUP(A1313,Hospitalisation_Details__2[],7,FALSE)</f>
        <v>R1016</v>
      </c>
    </row>
    <row r="1314" spans="1:16" x14ac:dyDescent="0.35">
      <c r="A1314" t="str">
        <v>Id1313</v>
      </c>
      <c r="B1314" t="str">
        <f>VLOOKUP(A1314,'Customer Names (2)'!A:B, 2,FALSE)</f>
        <v>Ms</v>
      </c>
      <c r="C1314">
        <f>VLOOKUP(A1314,Medical_Examinations[],2,FALSE)</f>
        <v>38.79</v>
      </c>
      <c r="D1314">
        <f>VLOOKUP(A1314,Medical_Examinations[],3,FALSE)</f>
        <v>5.08</v>
      </c>
      <c r="E1314" t="str">
        <f>VLOOKUP(A1314,Medical_Examinations[],4,FALSE)</f>
        <v>No</v>
      </c>
      <c r="F1314" t="str">
        <f>VLOOKUP(A1314,Medical_Examinations[],5,FALSE)</f>
        <v>No</v>
      </c>
      <c r="G1314" t="str">
        <f>VLOOKUP(A1314,Medical_Examinations[],6,FALSE)</f>
        <v>Yes</v>
      </c>
      <c r="H1314">
        <f>VLOOKUP(A1314,Medical_Examinations[],7,FALSE)</f>
        <v>1</v>
      </c>
      <c r="I1314" t="str">
        <f>VLOOKUP(A1314,Medical_Examinations[],8,FALSE)</f>
        <v>No</v>
      </c>
      <c r="J1314" t="str">
        <f>VLOOKUP(A1314,Medical_Examinations[],9,FALSE)</f>
        <v>Obesity</v>
      </c>
      <c r="K1314" t="str">
        <f>VLOOKUP(A1314,Medical_Examinations[],10,FALSE)</f>
        <v>Normal</v>
      </c>
      <c r="M1314">
        <f>VLOOKUP(A1314,Hospitalisation_Details__2[],4,FALSE)</f>
        <v>8314.65</v>
      </c>
      <c r="N1314" t="str">
        <f>VLOOKUP(A1314,Hospitalisation_Details__2[],5,FALSE)</f>
        <v>tier - 2</v>
      </c>
      <c r="O1314" t="str">
        <f>VLOOKUP(A1314,Hospitalisation_Details__2[],6,FALSE)</f>
        <v>tier - 1</v>
      </c>
      <c r="P1314" t="str">
        <f>VLOOKUP(A1314,Hospitalisation_Details__2[],7,FALSE)</f>
        <v>R1012</v>
      </c>
    </row>
    <row r="1315" spans="1:16" x14ac:dyDescent="0.35">
      <c r="A1315" t="str">
        <v>Id1314</v>
      </c>
      <c r="B1315" t="str">
        <f>VLOOKUP(A1315,'Customer Names (2)'!A:B, 2,FALSE)</f>
        <v>Ms</v>
      </c>
      <c r="C1315">
        <f>VLOOKUP(A1315,Medical_Examinations[],2,FALSE)</f>
        <v>30.684999999999999</v>
      </c>
      <c r="D1315">
        <f>VLOOKUP(A1315,Medical_Examinations[],3,FALSE)</f>
        <v>4.87</v>
      </c>
      <c r="E1315" t="str">
        <f>VLOOKUP(A1315,Medical_Examinations[],4,FALSE)</f>
        <v>No</v>
      </c>
      <c r="F1315" t="str">
        <f>VLOOKUP(A1315,Medical_Examinations[],5,FALSE)</f>
        <v>No</v>
      </c>
      <c r="G1315" t="str">
        <f>VLOOKUP(A1315,Medical_Examinations[],6,FALSE)</f>
        <v>Yes</v>
      </c>
      <c r="H1315">
        <f>VLOOKUP(A1315,Medical_Examinations[],7,FALSE)</f>
        <v>1</v>
      </c>
      <c r="I1315" t="str">
        <f>VLOOKUP(A1315,Medical_Examinations[],8,FALSE)</f>
        <v>No</v>
      </c>
      <c r="J1315" t="str">
        <f>VLOOKUP(A1315,Medical_Examinations[],9,FALSE)</f>
        <v>Obesity</v>
      </c>
      <c r="K1315" t="str">
        <f>VLOOKUP(A1315,Medical_Examinations[],10,FALSE)</f>
        <v>Normal</v>
      </c>
      <c r="M1315">
        <f>VLOOKUP(A1315,Hospitalisation_Details__2[],4,FALSE)</f>
        <v>8310.84</v>
      </c>
      <c r="N1315" t="str">
        <f>VLOOKUP(A1315,Hospitalisation_Details__2[],5,FALSE)</f>
        <v>tier - 2</v>
      </c>
      <c r="O1315" t="str">
        <f>VLOOKUP(A1315,Hospitalisation_Details__2[],6,FALSE)</f>
        <v>tier - 2</v>
      </c>
      <c r="P1315" t="str">
        <f>VLOOKUP(A1315,Hospitalisation_Details__2[],7,FALSE)</f>
        <v>R1012</v>
      </c>
    </row>
    <row r="1316" spans="1:16" x14ac:dyDescent="0.35">
      <c r="A1316" t="str">
        <v>Id1315</v>
      </c>
      <c r="B1316" t="str">
        <f>VLOOKUP(A1316,'Customer Names (2)'!A:B, 2,FALSE)</f>
        <v>Mr</v>
      </c>
      <c r="C1316">
        <f>VLOOKUP(A1316,Medical_Examinations[],2,FALSE)</f>
        <v>22.135000000000002</v>
      </c>
      <c r="D1316">
        <f>VLOOKUP(A1316,Medical_Examinations[],3,FALSE)</f>
        <v>8.17</v>
      </c>
      <c r="E1316" t="str">
        <f>VLOOKUP(A1316,Medical_Examinations[],4,FALSE)</f>
        <v>No</v>
      </c>
      <c r="F1316" t="str">
        <f>VLOOKUP(A1316,Medical_Examinations[],5,FALSE)</f>
        <v>No</v>
      </c>
      <c r="G1316" t="str">
        <f>VLOOKUP(A1316,Medical_Examinations[],6,FALSE)</f>
        <v>No</v>
      </c>
      <c r="H1316">
        <f>VLOOKUP(A1316,Medical_Examinations[],7,FALSE)</f>
        <v>0</v>
      </c>
      <c r="I1316" t="str">
        <f>VLOOKUP(A1316,Medical_Examinations[],8,FALSE)</f>
        <v>No</v>
      </c>
      <c r="J1316" t="str">
        <f>VLOOKUP(A1316,Medical_Examinations[],9,FALSE)</f>
        <v>Normal Weight</v>
      </c>
      <c r="K1316" t="str">
        <f>VLOOKUP(A1316,Medical_Examinations[],10,FALSE)</f>
        <v>Diabetes</v>
      </c>
      <c r="M1316">
        <f>VLOOKUP(A1316,Hospitalisation_Details__2[],4,FALSE)</f>
        <v>8302.5400000000009</v>
      </c>
      <c r="N1316" t="str">
        <f>VLOOKUP(A1316,Hospitalisation_Details__2[],5,FALSE)</f>
        <v>tier - 3</v>
      </c>
      <c r="O1316" t="str">
        <f>VLOOKUP(A1316,Hospitalisation_Details__2[],6,FALSE)</f>
        <v>tier - 3</v>
      </c>
      <c r="P1316" t="str">
        <f>VLOOKUP(A1316,Hospitalisation_Details__2[],7,FALSE)</f>
        <v>R1016</v>
      </c>
    </row>
    <row r="1317" spans="1:16" x14ac:dyDescent="0.35">
      <c r="A1317" t="str">
        <v>Id1316</v>
      </c>
      <c r="B1317" t="str">
        <f>VLOOKUP(A1317,'Customer Names (2)'!A:B, 2,FALSE)</f>
        <v>Ms</v>
      </c>
      <c r="C1317">
        <f>VLOOKUP(A1317,Medical_Examinations[],2,FALSE)</f>
        <v>33.33</v>
      </c>
      <c r="D1317">
        <f>VLOOKUP(A1317,Medical_Examinations[],3,FALSE)</f>
        <v>7.61</v>
      </c>
      <c r="E1317" t="str">
        <f>VLOOKUP(A1317,Medical_Examinations[],4,FALSE)</f>
        <v>No</v>
      </c>
      <c r="F1317" t="str">
        <f>VLOOKUP(A1317,Medical_Examinations[],5,FALSE)</f>
        <v>No</v>
      </c>
      <c r="G1317" t="str">
        <f>VLOOKUP(A1317,Medical_Examinations[],6,FALSE)</f>
        <v>No</v>
      </c>
      <c r="H1317">
        <f>VLOOKUP(A1317,Medical_Examinations[],7,FALSE)</f>
        <v>0</v>
      </c>
      <c r="I1317" t="str">
        <f>VLOOKUP(A1317,Medical_Examinations[],8,FALSE)</f>
        <v>No</v>
      </c>
      <c r="J1317" t="str">
        <f>VLOOKUP(A1317,Medical_Examinations[],9,FALSE)</f>
        <v>Obesity</v>
      </c>
      <c r="K1317" t="str">
        <f>VLOOKUP(A1317,Medical_Examinations[],10,FALSE)</f>
        <v>Diabetes</v>
      </c>
      <c r="M1317">
        <f>VLOOKUP(A1317,Hospitalisation_Details__2[],4,FALSE)</f>
        <v>8283.68</v>
      </c>
      <c r="N1317" t="str">
        <f>VLOOKUP(A1317,Hospitalisation_Details__2[],5,FALSE)</f>
        <v>tier - 2</v>
      </c>
      <c r="O1317" t="str">
        <f>VLOOKUP(A1317,Hospitalisation_Details__2[],6,FALSE)</f>
        <v>tier - 3</v>
      </c>
      <c r="P1317" t="str">
        <f>VLOOKUP(A1317,Hospitalisation_Details__2[],7,FALSE)</f>
        <v>R1013</v>
      </c>
    </row>
    <row r="1318" spans="1:16" x14ac:dyDescent="0.35">
      <c r="A1318" t="str">
        <v>Id1317</v>
      </c>
      <c r="B1318" t="str">
        <f>VLOOKUP(A1318,'Customer Names (2)'!A:B, 2,FALSE)</f>
        <v>Ms</v>
      </c>
      <c r="C1318">
        <f>VLOOKUP(A1318,Medical_Examinations[],2,FALSE)</f>
        <v>31.13</v>
      </c>
      <c r="D1318">
        <f>VLOOKUP(A1318,Medical_Examinations[],3,FALSE)</f>
        <v>10.1</v>
      </c>
      <c r="E1318" t="str">
        <f>VLOOKUP(A1318,Medical_Examinations[],4,FALSE)</f>
        <v>No</v>
      </c>
      <c r="F1318" t="str">
        <f>VLOOKUP(A1318,Medical_Examinations[],5,FALSE)</f>
        <v>No</v>
      </c>
      <c r="G1318" t="str">
        <f>VLOOKUP(A1318,Medical_Examinations[],6,FALSE)</f>
        <v>No</v>
      </c>
      <c r="H1318">
        <f>VLOOKUP(A1318,Medical_Examinations[],7,FALSE)</f>
        <v>0</v>
      </c>
      <c r="I1318" t="str">
        <f>VLOOKUP(A1318,Medical_Examinations[],8,FALSE)</f>
        <v>No</v>
      </c>
      <c r="J1318" t="str">
        <f>VLOOKUP(A1318,Medical_Examinations[],9,FALSE)</f>
        <v>Obesity</v>
      </c>
      <c r="K1318" t="str">
        <f>VLOOKUP(A1318,Medical_Examinations[],10,FALSE)</f>
        <v>Diabetes</v>
      </c>
      <c r="M1318">
        <f>VLOOKUP(A1318,Hospitalisation_Details__2[],4,FALSE)</f>
        <v>8280.6200000000008</v>
      </c>
      <c r="N1318" t="str">
        <f>VLOOKUP(A1318,Hospitalisation_Details__2[],5,FALSE)</f>
        <v>tier - 2</v>
      </c>
      <c r="O1318" t="str">
        <f>VLOOKUP(A1318,Hospitalisation_Details__2[],6,FALSE)</f>
        <v>tier - 2</v>
      </c>
      <c r="P1318" t="str">
        <f>VLOOKUP(A1318,Hospitalisation_Details__2[],7,FALSE)</f>
        <v>R1013</v>
      </c>
    </row>
    <row r="1319" spans="1:16" x14ac:dyDescent="0.35">
      <c r="A1319" t="str">
        <v>Id1318</v>
      </c>
      <c r="B1319" t="str">
        <f>VLOOKUP(A1319,'Customer Names (2)'!A:B, 2,FALSE)</f>
        <v>Ms</v>
      </c>
      <c r="C1319">
        <f>VLOOKUP(A1319,Medical_Examinations[],2,FALSE)</f>
        <v>28.9</v>
      </c>
      <c r="D1319">
        <f>VLOOKUP(A1319,Medical_Examinations[],3,FALSE)</f>
        <v>11.24</v>
      </c>
      <c r="E1319" t="str">
        <f>VLOOKUP(A1319,Medical_Examinations[],4,FALSE)</f>
        <v>No</v>
      </c>
      <c r="F1319" t="str">
        <f>VLOOKUP(A1319,Medical_Examinations[],5,FALSE)</f>
        <v>No</v>
      </c>
      <c r="G1319" t="str">
        <f>VLOOKUP(A1319,Medical_Examinations[],6,FALSE)</f>
        <v>No</v>
      </c>
      <c r="H1319">
        <f>VLOOKUP(A1319,Medical_Examinations[],7,FALSE)</f>
        <v>0</v>
      </c>
      <c r="I1319" t="str">
        <f>VLOOKUP(A1319,Medical_Examinations[],8,FALSE)</f>
        <v>No</v>
      </c>
      <c r="J1319" t="str">
        <f>VLOOKUP(A1319,Medical_Examinations[],9,FALSE)</f>
        <v>Overweight</v>
      </c>
      <c r="K1319" t="str">
        <f>VLOOKUP(A1319,Medical_Examinations[],10,FALSE)</f>
        <v>Diabetes</v>
      </c>
      <c r="M1319">
        <f>VLOOKUP(A1319,Hospitalisation_Details__2[],4,FALSE)</f>
        <v>8277.52</v>
      </c>
      <c r="N1319" t="str">
        <f>VLOOKUP(A1319,Hospitalisation_Details__2[],5,FALSE)</f>
        <v>tier - 2</v>
      </c>
      <c r="O1319" t="str">
        <f>VLOOKUP(A1319,Hospitalisation_Details__2[],6,FALSE)</f>
        <v>tier - 2</v>
      </c>
      <c r="P1319" t="str">
        <f>VLOOKUP(A1319,Hospitalisation_Details__2[],7,FALSE)</f>
        <v>R1011</v>
      </c>
    </row>
    <row r="1320" spans="1:16" x14ac:dyDescent="0.35">
      <c r="A1320" t="str">
        <v>Id1319</v>
      </c>
      <c r="B1320" t="str">
        <f>VLOOKUP(A1320,'Customer Names (2)'!A:B, 2,FALSE)</f>
        <v>Mr</v>
      </c>
      <c r="C1320">
        <f>VLOOKUP(A1320,Medical_Examinations[],2,FALSE)</f>
        <v>43.31</v>
      </c>
      <c r="D1320">
        <f>VLOOKUP(A1320,Medical_Examinations[],3,FALSE)</f>
        <v>6.1</v>
      </c>
      <c r="E1320" t="str">
        <f>VLOOKUP(A1320,Medical_Examinations[],4,FALSE)</f>
        <v>Yes</v>
      </c>
      <c r="F1320" t="str">
        <f>VLOOKUP(A1320,Medical_Examinations[],5,FALSE)</f>
        <v>yes</v>
      </c>
      <c r="G1320" t="str">
        <f>VLOOKUP(A1320,Medical_Examinations[],6,FALSE)</f>
        <v>No</v>
      </c>
      <c r="H1320">
        <f>VLOOKUP(A1320,Medical_Examinations[],7,FALSE)</f>
        <v>1</v>
      </c>
      <c r="I1320" t="str">
        <f>VLOOKUP(A1320,Medical_Examinations[],8,FALSE)</f>
        <v>No</v>
      </c>
      <c r="J1320" t="str">
        <f>VLOOKUP(A1320,Medical_Examinations[],9,FALSE)</f>
        <v>Obesity</v>
      </c>
      <c r="K1320" t="str">
        <f>VLOOKUP(A1320,Medical_Examinations[],10,FALSE)</f>
        <v>Prediabetes</v>
      </c>
      <c r="M1320">
        <f>VLOOKUP(A1320,Hospitalisation_Details__2[],4,FALSE)</f>
        <v>8271.4599999999991</v>
      </c>
      <c r="N1320" t="str">
        <f>VLOOKUP(A1320,Hospitalisation_Details__2[],5,FALSE)</f>
        <v>tier - 2</v>
      </c>
      <c r="O1320" t="str">
        <f>VLOOKUP(A1320,Hospitalisation_Details__2[],6,FALSE)</f>
        <v>tier - 1</v>
      </c>
      <c r="P1320" t="str">
        <f>VLOOKUP(A1320,Hospitalisation_Details__2[],7,FALSE)</f>
        <v>R1023</v>
      </c>
    </row>
    <row r="1321" spans="1:16" x14ac:dyDescent="0.35">
      <c r="A1321" t="str">
        <v>Id1320</v>
      </c>
      <c r="B1321" t="str">
        <f>VLOOKUP(A1321,'Customer Names (2)'!A:B, 2,FALSE)</f>
        <v>Ms</v>
      </c>
      <c r="C1321">
        <f>VLOOKUP(A1321,Medical_Examinations[],2,FALSE)</f>
        <v>22.8</v>
      </c>
      <c r="D1321">
        <f>VLOOKUP(A1321,Medical_Examinations[],3,FALSE)</f>
        <v>6.98</v>
      </c>
      <c r="E1321" t="str">
        <f>VLOOKUP(A1321,Medical_Examinations[],4,FALSE)</f>
        <v>No</v>
      </c>
      <c r="F1321" t="str">
        <f>VLOOKUP(A1321,Medical_Examinations[],5,FALSE)</f>
        <v>No</v>
      </c>
      <c r="G1321" t="str">
        <f>VLOOKUP(A1321,Medical_Examinations[],6,FALSE)</f>
        <v>No</v>
      </c>
      <c r="H1321">
        <f>VLOOKUP(A1321,Medical_Examinations[],7,FALSE)</f>
        <v>0</v>
      </c>
      <c r="I1321" t="str">
        <f>VLOOKUP(A1321,Medical_Examinations[],8,FALSE)</f>
        <v>No</v>
      </c>
      <c r="J1321" t="str">
        <f>VLOOKUP(A1321,Medical_Examinations[],9,FALSE)</f>
        <v>Normal Weight</v>
      </c>
      <c r="K1321" t="str">
        <f>VLOOKUP(A1321,Medical_Examinations[],10,FALSE)</f>
        <v>Diabetes</v>
      </c>
      <c r="M1321">
        <f>VLOOKUP(A1321,Hospitalisation_Details__2[],4,FALSE)</f>
        <v>8269.0400000000009</v>
      </c>
      <c r="N1321" t="str">
        <f>VLOOKUP(A1321,Hospitalisation_Details__2[],5,FALSE)</f>
        <v>tier - 2</v>
      </c>
      <c r="O1321" t="str">
        <f>VLOOKUP(A1321,Hospitalisation_Details__2[],6,FALSE)</f>
        <v>tier - 1</v>
      </c>
      <c r="P1321" t="str">
        <f>VLOOKUP(A1321,Hospitalisation_Details__2[],7,FALSE)</f>
        <v>R1011</v>
      </c>
    </row>
    <row r="1322" spans="1:16" x14ac:dyDescent="0.35">
      <c r="A1322" t="str">
        <v>Id1321</v>
      </c>
      <c r="B1322" t="str">
        <f>VLOOKUP(A1322,'Customer Names (2)'!A:B, 2,FALSE)</f>
        <v>Mr</v>
      </c>
      <c r="C1322">
        <f>VLOOKUP(A1322,Medical_Examinations[],2,FALSE)</f>
        <v>19.09</v>
      </c>
      <c r="D1322">
        <f>VLOOKUP(A1322,Medical_Examinations[],3,FALSE)</f>
        <v>4</v>
      </c>
      <c r="E1322" t="str">
        <f>VLOOKUP(A1322,Medical_Examinations[],4,FALSE)</f>
        <v>Yes</v>
      </c>
      <c r="F1322" t="str">
        <f>VLOOKUP(A1322,Medical_Examinations[],5,FALSE)</f>
        <v>No</v>
      </c>
      <c r="G1322" t="str">
        <f>VLOOKUP(A1322,Medical_Examinations[],6,FALSE)</f>
        <v>No</v>
      </c>
      <c r="H1322">
        <f>VLOOKUP(A1322,Medical_Examinations[],7,FALSE)</f>
        <v>1</v>
      </c>
      <c r="I1322" t="str">
        <f>VLOOKUP(A1322,Medical_Examinations[],8,FALSE)</f>
        <v>No</v>
      </c>
      <c r="J1322" t="str">
        <f>VLOOKUP(A1322,Medical_Examinations[],9,FALSE)</f>
        <v>Normal Weight</v>
      </c>
      <c r="K1322" t="str">
        <f>VLOOKUP(A1322,Medical_Examinations[],10,FALSE)</f>
        <v>Normal</v>
      </c>
      <c r="M1322">
        <f>VLOOKUP(A1322,Hospitalisation_Details__2[],4,FALSE)</f>
        <v>8268</v>
      </c>
      <c r="N1322" t="str">
        <f>VLOOKUP(A1322,Hospitalisation_Details__2[],5,FALSE)</f>
        <v>tier - 3</v>
      </c>
      <c r="O1322" t="str">
        <f>VLOOKUP(A1322,Hospitalisation_Details__2[],6,FALSE)</f>
        <v>tier - 3</v>
      </c>
      <c r="P1322" t="str">
        <f>VLOOKUP(A1322,Hospitalisation_Details__2[],7,FALSE)</f>
        <v>R1013</v>
      </c>
    </row>
    <row r="1323" spans="1:16" x14ac:dyDescent="0.35">
      <c r="A1323" t="str">
        <v>Id1322</v>
      </c>
      <c r="B1323" t="str">
        <f>VLOOKUP(A1323,'Customer Names (2)'!A:B, 2,FALSE)</f>
        <v>Ms</v>
      </c>
      <c r="C1323">
        <f>VLOOKUP(A1323,Medical_Examinations[],2,FALSE)</f>
        <v>23.37</v>
      </c>
      <c r="D1323">
        <f>VLOOKUP(A1323,Medical_Examinations[],3,FALSE)</f>
        <v>4.2300000000000004</v>
      </c>
      <c r="E1323" t="str">
        <f>VLOOKUP(A1323,Medical_Examinations[],4,FALSE)</f>
        <v>No</v>
      </c>
      <c r="F1323" t="str">
        <f>VLOOKUP(A1323,Medical_Examinations[],5,FALSE)</f>
        <v>No</v>
      </c>
      <c r="G1323" t="str">
        <f>VLOOKUP(A1323,Medical_Examinations[],6,FALSE)</f>
        <v>No</v>
      </c>
      <c r="H1323">
        <f>VLOOKUP(A1323,Medical_Examinations[],7,FALSE)</f>
        <v>0</v>
      </c>
      <c r="I1323" t="str">
        <f>VLOOKUP(A1323,Medical_Examinations[],8,FALSE)</f>
        <v>No</v>
      </c>
      <c r="J1323" t="str">
        <f>VLOOKUP(A1323,Medical_Examinations[],9,FALSE)</f>
        <v>Normal Weight</v>
      </c>
      <c r="K1323" t="str">
        <f>VLOOKUP(A1323,Medical_Examinations[],10,FALSE)</f>
        <v>Normal</v>
      </c>
      <c r="M1323">
        <f>VLOOKUP(A1323,Hospitalisation_Details__2[],4,FALSE)</f>
        <v>8252.2800000000007</v>
      </c>
      <c r="N1323" t="str">
        <f>VLOOKUP(A1323,Hospitalisation_Details__2[],5,FALSE)</f>
        <v>tier - 2</v>
      </c>
      <c r="O1323" t="str">
        <f>VLOOKUP(A1323,Hospitalisation_Details__2[],6,FALSE)</f>
        <v>tier - 2</v>
      </c>
      <c r="P1323" t="str">
        <f>VLOOKUP(A1323,Hospitalisation_Details__2[],7,FALSE)</f>
        <v>R1024</v>
      </c>
    </row>
    <row r="1324" spans="1:16" x14ac:dyDescent="0.35">
      <c r="A1324" t="str">
        <v>Id1323</v>
      </c>
      <c r="B1324" t="str">
        <f>VLOOKUP(A1324,'Customer Names (2)'!A:B, 2,FALSE)</f>
        <v>Ms</v>
      </c>
      <c r="C1324">
        <f>VLOOKUP(A1324,Medical_Examinations[],2,FALSE)</f>
        <v>33.44</v>
      </c>
      <c r="D1324">
        <f>VLOOKUP(A1324,Medical_Examinations[],3,FALSE)</f>
        <v>4.72</v>
      </c>
      <c r="E1324" t="str">
        <f>VLOOKUP(A1324,Medical_Examinations[],4,FALSE)</f>
        <v>Yes</v>
      </c>
      <c r="F1324" t="str">
        <f>VLOOKUP(A1324,Medical_Examinations[],5,FALSE)</f>
        <v>No</v>
      </c>
      <c r="G1324" t="str">
        <f>VLOOKUP(A1324,Medical_Examinations[],6,FALSE)</f>
        <v>No</v>
      </c>
      <c r="H1324">
        <f>VLOOKUP(A1324,Medical_Examinations[],7,FALSE)</f>
        <v>0</v>
      </c>
      <c r="I1324" t="str">
        <f>VLOOKUP(A1324,Medical_Examinations[],8,FALSE)</f>
        <v>No</v>
      </c>
      <c r="J1324" t="str">
        <f>VLOOKUP(A1324,Medical_Examinations[],9,FALSE)</f>
        <v>Obesity</v>
      </c>
      <c r="K1324" t="str">
        <f>VLOOKUP(A1324,Medical_Examinations[],10,FALSE)</f>
        <v>Normal</v>
      </c>
      <c r="M1324">
        <f>VLOOKUP(A1324,Hospitalisation_Details__2[],4,FALSE)</f>
        <v>8240.59</v>
      </c>
      <c r="N1324" t="str">
        <f>VLOOKUP(A1324,Hospitalisation_Details__2[],5,FALSE)</f>
        <v>tier - 2</v>
      </c>
      <c r="O1324" t="str">
        <f>VLOOKUP(A1324,Hospitalisation_Details__2[],6,FALSE)</f>
        <v>tier - 2</v>
      </c>
      <c r="P1324" t="str">
        <f>VLOOKUP(A1324,Hospitalisation_Details__2[],7,FALSE)</f>
        <v>R1013</v>
      </c>
    </row>
    <row r="1325" spans="1:16" x14ac:dyDescent="0.35">
      <c r="A1325" t="str">
        <v>Id1324</v>
      </c>
      <c r="B1325" t="str">
        <f>VLOOKUP(A1325,'Customer Names (2)'!A:B, 2,FALSE)</f>
        <v>Ms</v>
      </c>
      <c r="C1325">
        <f>VLOOKUP(A1325,Medical_Examinations[],2,FALSE)</f>
        <v>28.05</v>
      </c>
      <c r="D1325">
        <f>VLOOKUP(A1325,Medical_Examinations[],3,FALSE)</f>
        <v>5.63</v>
      </c>
      <c r="E1325" t="str">
        <f>VLOOKUP(A1325,Medical_Examinations[],4,FALSE)</f>
        <v>Yes</v>
      </c>
      <c r="F1325" t="str">
        <f>VLOOKUP(A1325,Medical_Examinations[],5,FALSE)</f>
        <v>No</v>
      </c>
      <c r="G1325" t="str">
        <f>VLOOKUP(A1325,Medical_Examinations[],6,FALSE)</f>
        <v>No</v>
      </c>
      <c r="H1325">
        <f>VLOOKUP(A1325,Medical_Examinations[],7,FALSE)</f>
        <v>0</v>
      </c>
      <c r="I1325" t="str">
        <f>VLOOKUP(A1325,Medical_Examinations[],8,FALSE)</f>
        <v>No</v>
      </c>
      <c r="J1325" t="str">
        <f>VLOOKUP(A1325,Medical_Examinations[],9,FALSE)</f>
        <v>Overweight</v>
      </c>
      <c r="K1325" t="str">
        <f>VLOOKUP(A1325,Medical_Examinations[],10,FALSE)</f>
        <v>Normal</v>
      </c>
      <c r="M1325">
        <f>VLOOKUP(A1325,Hospitalisation_Details__2[],4,FALSE)</f>
        <v>8233.1</v>
      </c>
      <c r="N1325" t="str">
        <f>VLOOKUP(A1325,Hospitalisation_Details__2[],5,FALSE)</f>
        <v>tier - 2</v>
      </c>
      <c r="O1325" t="str">
        <f>VLOOKUP(A1325,Hospitalisation_Details__2[],6,FALSE)</f>
        <v>tier - 2</v>
      </c>
      <c r="P1325" t="str">
        <f>VLOOKUP(A1325,Hospitalisation_Details__2[],7,FALSE)</f>
        <v>R1013</v>
      </c>
    </row>
    <row r="1326" spans="1:16" x14ac:dyDescent="0.35">
      <c r="A1326" t="str">
        <v>Id1325</v>
      </c>
      <c r="B1326" t="str">
        <f>VLOOKUP(A1326,'Customer Names (2)'!A:B, 2,FALSE)</f>
        <v>Ms</v>
      </c>
      <c r="C1326">
        <f>VLOOKUP(A1326,Medical_Examinations[],2,FALSE)</f>
        <v>27.72</v>
      </c>
      <c r="D1326">
        <f>VLOOKUP(A1326,Medical_Examinations[],3,FALSE)</f>
        <v>5.83</v>
      </c>
      <c r="E1326" t="str">
        <f>VLOOKUP(A1326,Medical_Examinations[],4,FALSE)</f>
        <v>Yes</v>
      </c>
      <c r="F1326" t="str">
        <f>VLOOKUP(A1326,Medical_Examinations[],5,FALSE)</f>
        <v>No</v>
      </c>
      <c r="G1326" t="str">
        <f>VLOOKUP(A1326,Medical_Examinations[],6,FALSE)</f>
        <v>No</v>
      </c>
      <c r="H1326">
        <f>VLOOKUP(A1326,Medical_Examinations[],7,FALSE)</f>
        <v>0</v>
      </c>
      <c r="I1326" t="str">
        <f>VLOOKUP(A1326,Medical_Examinations[],8,FALSE)</f>
        <v>No</v>
      </c>
      <c r="J1326" t="str">
        <f>VLOOKUP(A1326,Medical_Examinations[],9,FALSE)</f>
        <v>Overweight</v>
      </c>
      <c r="K1326" t="str">
        <f>VLOOKUP(A1326,Medical_Examinations[],10,FALSE)</f>
        <v>Prediabetes</v>
      </c>
      <c r="M1326">
        <f>VLOOKUP(A1326,Hospitalisation_Details__2[],4,FALSE)</f>
        <v>8232.64</v>
      </c>
      <c r="N1326" t="str">
        <f>VLOOKUP(A1326,Hospitalisation_Details__2[],5,FALSE)</f>
        <v>tier - 2</v>
      </c>
      <c r="O1326" t="str">
        <f>VLOOKUP(A1326,Hospitalisation_Details__2[],6,FALSE)</f>
        <v>tier - 3</v>
      </c>
      <c r="P1326" t="str">
        <f>VLOOKUP(A1326,Hospitalisation_Details__2[],7,FALSE)</f>
        <v>R1013</v>
      </c>
    </row>
    <row r="1327" spans="1:16" x14ac:dyDescent="0.35">
      <c r="A1327" t="str">
        <v>Id1326</v>
      </c>
      <c r="B1327" t="str">
        <f>VLOOKUP(A1327,'Customer Names (2)'!A:B, 2,FALSE)</f>
        <v>Ms</v>
      </c>
      <c r="C1327">
        <f>VLOOKUP(A1327,Medical_Examinations[],2,FALSE)</f>
        <v>29.81</v>
      </c>
      <c r="D1327">
        <f>VLOOKUP(A1327,Medical_Examinations[],3,FALSE)</f>
        <v>9.23</v>
      </c>
      <c r="E1327" t="str">
        <f>VLOOKUP(A1327,Medical_Examinations[],4,FALSE)</f>
        <v>No</v>
      </c>
      <c r="F1327" t="str">
        <f>VLOOKUP(A1327,Medical_Examinations[],5,FALSE)</f>
        <v>No</v>
      </c>
      <c r="G1327" t="str">
        <f>VLOOKUP(A1327,Medical_Examinations[],6,FALSE)</f>
        <v>No</v>
      </c>
      <c r="H1327">
        <f>VLOOKUP(A1327,Medical_Examinations[],7,FALSE)</f>
        <v>0</v>
      </c>
      <c r="I1327" t="str">
        <f>VLOOKUP(A1327,Medical_Examinations[],8,FALSE)</f>
        <v>No</v>
      </c>
      <c r="J1327" t="str">
        <f>VLOOKUP(A1327,Medical_Examinations[],9,FALSE)</f>
        <v>Overweight</v>
      </c>
      <c r="K1327" t="str">
        <f>VLOOKUP(A1327,Medical_Examinations[],10,FALSE)</f>
        <v>Diabetes</v>
      </c>
      <c r="M1327">
        <f>VLOOKUP(A1327,Hospitalisation_Details__2[],4,FALSE)</f>
        <v>8219.2000000000007</v>
      </c>
      <c r="N1327" t="str">
        <f>VLOOKUP(A1327,Hospitalisation_Details__2[],5,FALSE)</f>
        <v>tier - 2</v>
      </c>
      <c r="O1327" t="str">
        <f>VLOOKUP(A1327,Hospitalisation_Details__2[],6,FALSE)</f>
        <v>tier - 2</v>
      </c>
      <c r="P1327" t="str">
        <f>VLOOKUP(A1327,Hospitalisation_Details__2[],7,FALSE)</f>
        <v>R1013</v>
      </c>
    </row>
    <row r="1328" spans="1:16" x14ac:dyDescent="0.35">
      <c r="A1328" t="str">
        <v>Id1327</v>
      </c>
      <c r="B1328" t="str">
        <f>VLOOKUP(A1328,'Customer Names (2)'!A:B, 2,FALSE)</f>
        <v>Ms</v>
      </c>
      <c r="C1328">
        <f>VLOOKUP(A1328,Medical_Examinations[],2,FALSE)</f>
        <v>23.98</v>
      </c>
      <c r="D1328">
        <f>VLOOKUP(A1328,Medical_Examinations[],3,FALSE)</f>
        <v>9.89</v>
      </c>
      <c r="E1328" t="str">
        <f>VLOOKUP(A1328,Medical_Examinations[],4,FALSE)</f>
        <v>No</v>
      </c>
      <c r="F1328" t="str">
        <f>VLOOKUP(A1328,Medical_Examinations[],5,FALSE)</f>
        <v>No</v>
      </c>
      <c r="G1328" t="str">
        <f>VLOOKUP(A1328,Medical_Examinations[],6,FALSE)</f>
        <v>No</v>
      </c>
      <c r="H1328">
        <f>VLOOKUP(A1328,Medical_Examinations[],7,FALSE)</f>
        <v>0</v>
      </c>
      <c r="I1328" t="str">
        <f>VLOOKUP(A1328,Medical_Examinations[],8,FALSE)</f>
        <v>No</v>
      </c>
      <c r="J1328" t="str">
        <f>VLOOKUP(A1328,Medical_Examinations[],9,FALSE)</f>
        <v>Normal Weight</v>
      </c>
      <c r="K1328" t="str">
        <f>VLOOKUP(A1328,Medical_Examinations[],10,FALSE)</f>
        <v>Diabetes</v>
      </c>
      <c r="M1328">
        <f>VLOOKUP(A1328,Hospitalisation_Details__2[],4,FALSE)</f>
        <v>8211.1</v>
      </c>
      <c r="N1328" t="str">
        <f>VLOOKUP(A1328,Hospitalisation_Details__2[],5,FALSE)</f>
        <v>tier - 2</v>
      </c>
      <c r="O1328" t="str">
        <f>VLOOKUP(A1328,Hospitalisation_Details__2[],6,FALSE)</f>
        <v>tier - 3</v>
      </c>
      <c r="P1328" t="str">
        <f>VLOOKUP(A1328,Hospitalisation_Details__2[],7,FALSE)</f>
        <v>R1013</v>
      </c>
    </row>
    <row r="1329" spans="1:16" x14ac:dyDescent="0.35">
      <c r="A1329" t="str">
        <v>Id1328</v>
      </c>
      <c r="B1329" t="str">
        <f>VLOOKUP(A1329,'Customer Names (2)'!A:B, 2,FALSE)</f>
        <v>Mr</v>
      </c>
      <c r="C1329">
        <f>VLOOKUP(A1329,Medical_Examinations[],2,FALSE)</f>
        <v>17.34</v>
      </c>
      <c r="D1329">
        <f>VLOOKUP(A1329,Medical_Examinations[],3,FALSE)</f>
        <v>12</v>
      </c>
      <c r="E1329" t="str">
        <f>VLOOKUP(A1329,Medical_Examinations[],4,FALSE)</f>
        <v>No</v>
      </c>
      <c r="F1329" t="str">
        <f>VLOOKUP(A1329,Medical_Examinations[],5,FALSE)</f>
        <v>No</v>
      </c>
      <c r="G1329" t="str">
        <f>VLOOKUP(A1329,Medical_Examinations[],6,FALSE)</f>
        <v>No</v>
      </c>
      <c r="H1329">
        <f>VLOOKUP(A1329,Medical_Examinations[],7,FALSE)</f>
        <v>0</v>
      </c>
      <c r="I1329" t="str">
        <f>VLOOKUP(A1329,Medical_Examinations[],8,FALSE)</f>
        <v>No</v>
      </c>
      <c r="J1329" t="str">
        <f>VLOOKUP(A1329,Medical_Examinations[],9,FALSE)</f>
        <v>Underweight</v>
      </c>
      <c r="K1329" t="str">
        <f>VLOOKUP(A1329,Medical_Examinations[],10,FALSE)</f>
        <v>Diabetes</v>
      </c>
      <c r="M1329">
        <f>VLOOKUP(A1329,Hospitalisation_Details__2[],4,FALSE)</f>
        <v>8188.12</v>
      </c>
      <c r="N1329" t="str">
        <f>VLOOKUP(A1329,Hospitalisation_Details__2[],5,FALSE)</f>
        <v>tier - 3</v>
      </c>
      <c r="O1329" t="str">
        <f>VLOOKUP(A1329,Hospitalisation_Details__2[],6,FALSE)</f>
        <v>tier - 3</v>
      </c>
      <c r="P1329" t="str">
        <f>VLOOKUP(A1329,Hospitalisation_Details__2[],7,FALSE)</f>
        <v>R1013</v>
      </c>
    </row>
    <row r="1330" spans="1:16" x14ac:dyDescent="0.35">
      <c r="A1330" t="str">
        <v>Id1329</v>
      </c>
      <c r="B1330" t="str">
        <f>VLOOKUP(A1330,'Customer Names (2)'!A:B, 2,FALSE)</f>
        <v>Mrs</v>
      </c>
      <c r="C1330">
        <f>VLOOKUP(A1330,Medical_Examinations[],2,FALSE)</f>
        <v>40.39</v>
      </c>
      <c r="D1330">
        <f>VLOOKUP(A1330,Medical_Examinations[],3,FALSE)</f>
        <v>4.24</v>
      </c>
      <c r="E1330" t="str">
        <f>VLOOKUP(A1330,Medical_Examinations[],4,FALSE)</f>
        <v>Yes</v>
      </c>
      <c r="F1330" t="str">
        <f>VLOOKUP(A1330,Medical_Examinations[],5,FALSE)</f>
        <v>No</v>
      </c>
      <c r="G1330" t="str">
        <f>VLOOKUP(A1330,Medical_Examinations[],6,FALSE)</f>
        <v>Yes</v>
      </c>
      <c r="H1330">
        <f>VLOOKUP(A1330,Medical_Examinations[],7,FALSE)</f>
        <v>1</v>
      </c>
      <c r="I1330" t="str">
        <f>VLOOKUP(A1330,Medical_Examinations[],8,FALSE)</f>
        <v>No</v>
      </c>
      <c r="J1330" t="str">
        <f>VLOOKUP(A1330,Medical_Examinations[],9,FALSE)</f>
        <v>Obesity</v>
      </c>
      <c r="K1330" t="str">
        <f>VLOOKUP(A1330,Medical_Examinations[],10,FALSE)</f>
        <v>Normal</v>
      </c>
      <c r="M1330">
        <f>VLOOKUP(A1330,Hospitalisation_Details__2[],4,FALSE)</f>
        <v>8182.89</v>
      </c>
      <c r="N1330" t="str">
        <f>VLOOKUP(A1330,Hospitalisation_Details__2[],5,FALSE)</f>
        <v>tier - 2</v>
      </c>
      <c r="O1330" t="str">
        <f>VLOOKUP(A1330,Hospitalisation_Details__2[],6,FALSE)</f>
        <v>tier - 1</v>
      </c>
      <c r="P1330" t="str">
        <f>VLOOKUP(A1330,Hospitalisation_Details__2[],7,FALSE)</f>
        <v>R1026</v>
      </c>
    </row>
    <row r="1331" spans="1:16" x14ac:dyDescent="0.35">
      <c r="A1331" t="str">
        <v>Id1330</v>
      </c>
      <c r="B1331" t="str">
        <f>VLOOKUP(A1331,'Customer Names (2)'!A:B, 2,FALSE)</f>
        <v>Mr</v>
      </c>
      <c r="C1331">
        <f>VLOOKUP(A1331,Medical_Examinations[],2,FALSE)</f>
        <v>25.96</v>
      </c>
      <c r="D1331">
        <f>VLOOKUP(A1331,Medical_Examinations[],3,FALSE)</f>
        <v>4.68</v>
      </c>
      <c r="E1331" t="str">
        <f>VLOOKUP(A1331,Medical_Examinations[],4,FALSE)</f>
        <v>Yes</v>
      </c>
      <c r="F1331" t="str">
        <f>VLOOKUP(A1331,Medical_Examinations[],5,FALSE)</f>
        <v>No</v>
      </c>
      <c r="G1331" t="str">
        <f>VLOOKUP(A1331,Medical_Examinations[],6,FALSE)</f>
        <v>Yes</v>
      </c>
      <c r="H1331">
        <f>VLOOKUP(A1331,Medical_Examinations[],7,FALSE)</f>
        <v>1</v>
      </c>
      <c r="I1331" t="str">
        <f>VLOOKUP(A1331,Medical_Examinations[],8,FALSE)</f>
        <v>No</v>
      </c>
      <c r="J1331" t="str">
        <f>VLOOKUP(A1331,Medical_Examinations[],9,FALSE)</f>
        <v>Overweight</v>
      </c>
      <c r="K1331" t="str">
        <f>VLOOKUP(A1331,Medical_Examinations[],10,FALSE)</f>
        <v>Normal</v>
      </c>
      <c r="M1331">
        <f>VLOOKUP(A1331,Hospitalisation_Details__2[],4,FALSE)</f>
        <v>8179.51</v>
      </c>
      <c r="N1331" t="str">
        <f>VLOOKUP(A1331,Hospitalisation_Details__2[],5,FALSE)</f>
        <v>tier - 2</v>
      </c>
      <c r="O1331" t="str">
        <f>VLOOKUP(A1331,Hospitalisation_Details__2[],6,FALSE)</f>
        <v>tier - 2</v>
      </c>
      <c r="P1331" t="str">
        <f>VLOOKUP(A1331,Hospitalisation_Details__2[],7,FALSE)</f>
        <v>R1020</v>
      </c>
    </row>
    <row r="1332" spans="1:16" x14ac:dyDescent="0.35">
      <c r="A1332" t="str">
        <v>Id1331</v>
      </c>
      <c r="B1332" t="str">
        <f>VLOOKUP(A1332,'Customer Names (2)'!A:B, 2,FALSE)</f>
        <v>Ms</v>
      </c>
      <c r="C1332">
        <f>VLOOKUP(A1332,Medical_Examinations[],2,FALSE)</f>
        <v>17.68</v>
      </c>
      <c r="D1332">
        <f>VLOOKUP(A1332,Medical_Examinations[],3,FALSE)</f>
        <v>8.57</v>
      </c>
      <c r="E1332" t="str">
        <f>VLOOKUP(A1332,Medical_Examinations[],4,FALSE)</f>
        <v>Yes</v>
      </c>
      <c r="F1332" t="str">
        <f>VLOOKUP(A1332,Medical_Examinations[],5,FALSE)</f>
        <v>No</v>
      </c>
      <c r="G1332" t="str">
        <f>VLOOKUP(A1332,Medical_Examinations[],6,FALSE)</f>
        <v>Yes</v>
      </c>
      <c r="H1332">
        <f>VLOOKUP(A1332,Medical_Examinations[],7,FALSE)</f>
        <v>1</v>
      </c>
      <c r="I1332" t="str">
        <f>VLOOKUP(A1332,Medical_Examinations[],8,FALSE)</f>
        <v>No</v>
      </c>
      <c r="J1332" t="str">
        <f>VLOOKUP(A1332,Medical_Examinations[],9,FALSE)</f>
        <v>Underweight</v>
      </c>
      <c r="K1332" t="str">
        <f>VLOOKUP(A1332,Medical_Examinations[],10,FALSE)</f>
        <v>Diabetes</v>
      </c>
      <c r="M1332">
        <f>VLOOKUP(A1332,Hospitalisation_Details__2[],4,FALSE)</f>
        <v>8177.9</v>
      </c>
      <c r="N1332" t="str">
        <f>VLOOKUP(A1332,Hospitalisation_Details__2[],5,FALSE)</f>
        <v>tier - 3</v>
      </c>
      <c r="O1332" t="str">
        <f>VLOOKUP(A1332,Hospitalisation_Details__2[],6,FALSE)</f>
        <v>tier - 1</v>
      </c>
      <c r="P1332" t="str">
        <f>VLOOKUP(A1332,Hospitalisation_Details__2[],7,FALSE)</f>
        <v>R1013</v>
      </c>
    </row>
    <row r="1333" spans="1:16" x14ac:dyDescent="0.35">
      <c r="A1333" t="str">
        <v>Id1332</v>
      </c>
      <c r="B1333" t="str">
        <f>VLOOKUP(A1333,'Customer Names (2)'!A:B, 2,FALSE)</f>
        <v>Mr</v>
      </c>
      <c r="C1333">
        <f>VLOOKUP(A1333,Medical_Examinations[],2,FALSE)</f>
        <v>30.875</v>
      </c>
      <c r="D1333">
        <f>VLOOKUP(A1333,Medical_Examinations[],3,FALSE)</f>
        <v>4.0999999999999996</v>
      </c>
      <c r="E1333" t="str">
        <f>VLOOKUP(A1333,Medical_Examinations[],4,FALSE)</f>
        <v>No</v>
      </c>
      <c r="F1333" t="str">
        <f>VLOOKUP(A1333,Medical_Examinations[],5,FALSE)</f>
        <v>No</v>
      </c>
      <c r="G1333" t="str">
        <f>VLOOKUP(A1333,Medical_Examinations[],6,FALSE)</f>
        <v>No</v>
      </c>
      <c r="H1333">
        <f>VLOOKUP(A1333,Medical_Examinations[],7,FALSE)</f>
        <v>0</v>
      </c>
      <c r="I1333" t="str">
        <f>VLOOKUP(A1333,Medical_Examinations[],8,FALSE)</f>
        <v>No</v>
      </c>
      <c r="J1333" t="str">
        <f>VLOOKUP(A1333,Medical_Examinations[],9,FALSE)</f>
        <v>Obesity</v>
      </c>
      <c r="K1333" t="str">
        <f>VLOOKUP(A1333,Medical_Examinations[],10,FALSE)</f>
        <v>Normal</v>
      </c>
      <c r="M1333">
        <f>VLOOKUP(A1333,Hospitalisation_Details__2[],4,FALSE)</f>
        <v>8162.72</v>
      </c>
      <c r="N1333" t="str">
        <f>VLOOKUP(A1333,Hospitalisation_Details__2[],5,FALSE)</f>
        <v>tier - 3</v>
      </c>
      <c r="O1333" t="str">
        <f>VLOOKUP(A1333,Hospitalisation_Details__2[],6,FALSE)</f>
        <v>tier - 3</v>
      </c>
      <c r="P1333" t="str">
        <f>VLOOKUP(A1333,Hospitalisation_Details__2[],7,FALSE)</f>
        <v>R1012</v>
      </c>
    </row>
    <row r="1334" spans="1:16" x14ac:dyDescent="0.35">
      <c r="A1334" t="str">
        <v>Id1333</v>
      </c>
      <c r="B1334" t="str">
        <f>VLOOKUP(A1334,'Customer Names (2)'!A:B, 2,FALSE)</f>
        <v>Mrs</v>
      </c>
      <c r="C1334">
        <f>VLOOKUP(A1334,Medical_Examinations[],2,FALSE)</f>
        <v>30.81</v>
      </c>
      <c r="D1334">
        <f>VLOOKUP(A1334,Medical_Examinations[],3,FALSE)</f>
        <v>4.49</v>
      </c>
      <c r="E1334" t="str">
        <f>VLOOKUP(A1334,Medical_Examinations[],4,FALSE)</f>
        <v>No</v>
      </c>
      <c r="F1334" t="str">
        <f>VLOOKUP(A1334,Medical_Examinations[],5,FALSE)</f>
        <v>No</v>
      </c>
      <c r="G1334" t="str">
        <f>VLOOKUP(A1334,Medical_Examinations[],6,FALSE)</f>
        <v>No</v>
      </c>
      <c r="H1334">
        <f>VLOOKUP(A1334,Medical_Examinations[],7,FALSE)</f>
        <v>0</v>
      </c>
      <c r="I1334" t="str">
        <f>VLOOKUP(A1334,Medical_Examinations[],8,FALSE)</f>
        <v>No</v>
      </c>
      <c r="J1334" t="str">
        <f>VLOOKUP(A1334,Medical_Examinations[],9,FALSE)</f>
        <v>Obesity</v>
      </c>
      <c r="K1334" t="str">
        <f>VLOOKUP(A1334,Medical_Examinations[],10,FALSE)</f>
        <v>Normal</v>
      </c>
      <c r="M1334">
        <f>VLOOKUP(A1334,Hospitalisation_Details__2[],4,FALSE)</f>
        <v>8157.92</v>
      </c>
      <c r="N1334" t="str">
        <f>VLOOKUP(A1334,Hospitalisation_Details__2[],5,FALSE)</f>
        <v>tier - 2</v>
      </c>
      <c r="O1334" t="str">
        <f>VLOOKUP(A1334,Hospitalisation_Details__2[],6,FALSE)</f>
        <v>tier - 3</v>
      </c>
      <c r="P1334" t="str">
        <f>VLOOKUP(A1334,Hospitalisation_Details__2[],7,FALSE)</f>
        <v>R1025</v>
      </c>
    </row>
    <row r="1335" spans="1:16" x14ac:dyDescent="0.35">
      <c r="A1335" t="str">
        <v>Id1334</v>
      </c>
      <c r="B1335" t="str">
        <f>VLOOKUP(A1335,'Customer Names (2)'!A:B, 2,FALSE)</f>
        <v>Mr</v>
      </c>
      <c r="C1335">
        <f>VLOOKUP(A1335,Medical_Examinations[],2,FALSE)</f>
        <v>36.85</v>
      </c>
      <c r="D1335">
        <f>VLOOKUP(A1335,Medical_Examinations[],3,FALSE)</f>
        <v>8.8000000000000007</v>
      </c>
      <c r="E1335" t="str">
        <f>VLOOKUP(A1335,Medical_Examinations[],4,FALSE)</f>
        <v>No</v>
      </c>
      <c r="F1335" t="str">
        <f>VLOOKUP(A1335,Medical_Examinations[],5,FALSE)</f>
        <v>No</v>
      </c>
      <c r="G1335" t="str">
        <f>VLOOKUP(A1335,Medical_Examinations[],6,FALSE)</f>
        <v>No</v>
      </c>
      <c r="H1335">
        <f>VLOOKUP(A1335,Medical_Examinations[],7,FALSE)</f>
        <v>2</v>
      </c>
      <c r="I1335" t="str">
        <f>VLOOKUP(A1335,Medical_Examinations[],8,FALSE)</f>
        <v>No</v>
      </c>
      <c r="J1335" t="str">
        <f>VLOOKUP(A1335,Medical_Examinations[],9,FALSE)</f>
        <v>Obesity</v>
      </c>
      <c r="K1335" t="str">
        <f>VLOOKUP(A1335,Medical_Examinations[],10,FALSE)</f>
        <v>Diabetes</v>
      </c>
      <c r="M1335">
        <f>VLOOKUP(A1335,Hospitalisation_Details__2[],4,FALSE)</f>
        <v>8125.78</v>
      </c>
      <c r="N1335" t="str">
        <f>VLOOKUP(A1335,Hospitalisation_Details__2[],5,FALSE)</f>
        <v>tier - 2</v>
      </c>
      <c r="O1335" t="str">
        <f>VLOOKUP(A1335,Hospitalisation_Details__2[],6,FALSE)</f>
        <v>tier - 2</v>
      </c>
      <c r="P1335" t="str">
        <f>VLOOKUP(A1335,Hospitalisation_Details__2[],7,FALSE)</f>
        <v>R1013</v>
      </c>
    </row>
    <row r="1336" spans="1:16" x14ac:dyDescent="0.35">
      <c r="A1336" t="str">
        <v>Id1335</v>
      </c>
      <c r="B1336" t="str">
        <f>VLOOKUP(A1336,'Customer Names (2)'!A:B, 2,FALSE)</f>
        <v>Mr</v>
      </c>
      <c r="C1336">
        <f>VLOOKUP(A1336,Medical_Examinations[],2,FALSE)</f>
        <v>35.86</v>
      </c>
      <c r="D1336">
        <f>VLOOKUP(A1336,Medical_Examinations[],3,FALSE)</f>
        <v>7.93</v>
      </c>
      <c r="E1336" t="str">
        <f>VLOOKUP(A1336,Medical_Examinations[],4,FALSE)</f>
        <v>No</v>
      </c>
      <c r="F1336" t="str">
        <f>VLOOKUP(A1336,Medical_Examinations[],5,FALSE)</f>
        <v>No</v>
      </c>
      <c r="G1336" t="str">
        <f>VLOOKUP(A1336,Medical_Examinations[],6,FALSE)</f>
        <v>No</v>
      </c>
      <c r="H1336">
        <f>VLOOKUP(A1336,Medical_Examinations[],7,FALSE)</f>
        <v>2</v>
      </c>
      <c r="I1336" t="str">
        <f>VLOOKUP(A1336,Medical_Examinations[],8,FALSE)</f>
        <v>No</v>
      </c>
      <c r="J1336" t="str">
        <f>VLOOKUP(A1336,Medical_Examinations[],9,FALSE)</f>
        <v>Obesity</v>
      </c>
      <c r="K1336" t="str">
        <f>VLOOKUP(A1336,Medical_Examinations[],10,FALSE)</f>
        <v>Diabetes</v>
      </c>
      <c r="M1336">
        <f>VLOOKUP(A1336,Hospitalisation_Details__2[],4,FALSE)</f>
        <v>8124.41</v>
      </c>
      <c r="N1336" t="str">
        <f>VLOOKUP(A1336,Hospitalisation_Details__2[],5,FALSE)</f>
        <v>tier - 3</v>
      </c>
      <c r="O1336" t="str">
        <f>VLOOKUP(A1336,Hospitalisation_Details__2[],6,FALSE)</f>
        <v>tier - 1</v>
      </c>
      <c r="P1336" t="str">
        <f>VLOOKUP(A1336,Hospitalisation_Details__2[],7,FALSE)</f>
        <v>R1013</v>
      </c>
    </row>
    <row r="1337" spans="1:16" x14ac:dyDescent="0.35">
      <c r="A1337" t="str">
        <v>Id1336</v>
      </c>
      <c r="B1337" t="str">
        <f>VLOOKUP(A1337,'Customer Names (2)'!A:B, 2,FALSE)</f>
        <v>Mr</v>
      </c>
      <c r="C1337">
        <f>VLOOKUP(A1337,Medical_Examinations[],2,FALSE)</f>
        <v>30.3</v>
      </c>
      <c r="D1337">
        <f>VLOOKUP(A1337,Medical_Examinations[],3,FALSE)</f>
        <v>9.4499999999999993</v>
      </c>
      <c r="E1337" t="str">
        <f>VLOOKUP(A1337,Medical_Examinations[],4,FALSE)</f>
        <v>No</v>
      </c>
      <c r="F1337" t="str">
        <f>VLOOKUP(A1337,Medical_Examinations[],5,FALSE)</f>
        <v>No</v>
      </c>
      <c r="G1337" t="str">
        <f>VLOOKUP(A1337,Medical_Examinations[],6,FALSE)</f>
        <v>No</v>
      </c>
      <c r="H1337">
        <f>VLOOKUP(A1337,Medical_Examinations[],7,FALSE)</f>
        <v>2</v>
      </c>
      <c r="I1337" t="str">
        <f>VLOOKUP(A1337,Medical_Examinations[],8,FALSE)</f>
        <v>No</v>
      </c>
      <c r="J1337" t="str">
        <f>VLOOKUP(A1337,Medical_Examinations[],9,FALSE)</f>
        <v>Obesity</v>
      </c>
      <c r="K1337" t="str">
        <f>VLOOKUP(A1337,Medical_Examinations[],10,FALSE)</f>
        <v>Diabetes</v>
      </c>
      <c r="M1337">
        <f>VLOOKUP(A1337,Hospitalisation_Details__2[],4,FALSE)</f>
        <v>8116.68</v>
      </c>
      <c r="N1337" t="str">
        <f>VLOOKUP(A1337,Hospitalisation_Details__2[],5,FALSE)</f>
        <v>tier - 3</v>
      </c>
      <c r="O1337" t="str">
        <f>VLOOKUP(A1337,Hospitalisation_Details__2[],6,FALSE)</f>
        <v>tier - 1</v>
      </c>
      <c r="P1337" t="str">
        <f>VLOOKUP(A1337,Hospitalisation_Details__2[],7,FALSE)</f>
        <v>R1011</v>
      </c>
    </row>
    <row r="1338" spans="1:16" x14ac:dyDescent="0.35">
      <c r="A1338" t="str">
        <v>Id1337</v>
      </c>
      <c r="B1338" t="str">
        <f>VLOOKUP(A1338,'Customer Names (2)'!A:B, 2,FALSE)</f>
        <v>Mr</v>
      </c>
      <c r="C1338">
        <f>VLOOKUP(A1338,Medical_Examinations[],2,FALSE)</f>
        <v>32.015000000000001</v>
      </c>
      <c r="D1338">
        <f>VLOOKUP(A1338,Medical_Examinations[],3,FALSE)</f>
        <v>7.67</v>
      </c>
      <c r="E1338" t="str">
        <f>VLOOKUP(A1338,Medical_Examinations[],4,FALSE)</f>
        <v>No</v>
      </c>
      <c r="F1338" t="str">
        <f>VLOOKUP(A1338,Medical_Examinations[],5,FALSE)</f>
        <v>No</v>
      </c>
      <c r="G1338" t="str">
        <f>VLOOKUP(A1338,Medical_Examinations[],6,FALSE)</f>
        <v>No</v>
      </c>
      <c r="H1338">
        <f>VLOOKUP(A1338,Medical_Examinations[],7,FALSE)</f>
        <v>0</v>
      </c>
      <c r="I1338" t="str">
        <f>VLOOKUP(A1338,Medical_Examinations[],8,FALSE)</f>
        <v>No</v>
      </c>
      <c r="J1338" t="str">
        <f>VLOOKUP(A1338,Medical_Examinations[],9,FALSE)</f>
        <v>Obesity</v>
      </c>
      <c r="K1338" t="str">
        <f>VLOOKUP(A1338,Medical_Examinations[],10,FALSE)</f>
        <v>Diabetes</v>
      </c>
      <c r="M1338">
        <f>VLOOKUP(A1338,Hospitalisation_Details__2[],4,FALSE)</f>
        <v>8116.27</v>
      </c>
      <c r="N1338" t="str">
        <f>VLOOKUP(A1338,Hospitalisation_Details__2[],5,FALSE)</f>
        <v>tier - 3</v>
      </c>
      <c r="O1338" t="str">
        <f>VLOOKUP(A1338,Hospitalisation_Details__2[],6,FALSE)</f>
        <v>tier - 1</v>
      </c>
      <c r="P1338" t="str">
        <f>VLOOKUP(A1338,Hospitalisation_Details__2[],7,FALSE)</f>
        <v>R1012</v>
      </c>
    </row>
    <row r="1339" spans="1:16" x14ac:dyDescent="0.35">
      <c r="A1339" t="str">
        <v>Id1338</v>
      </c>
      <c r="B1339" t="str">
        <f>VLOOKUP(A1339,'Customer Names (2)'!A:B, 2,FALSE)</f>
        <v>Mrs</v>
      </c>
      <c r="C1339">
        <f>VLOOKUP(A1339,Medical_Examinations[],2,FALSE)</f>
        <v>25.06</v>
      </c>
      <c r="D1339">
        <f>VLOOKUP(A1339,Medical_Examinations[],3,FALSE)</f>
        <v>10.53</v>
      </c>
      <c r="E1339" t="str">
        <f>VLOOKUP(A1339,Medical_Examinations[],4,FALSE)</f>
        <v>No</v>
      </c>
      <c r="F1339" t="str">
        <f>VLOOKUP(A1339,Medical_Examinations[],5,FALSE)</f>
        <v>No</v>
      </c>
      <c r="G1339" t="str">
        <f>VLOOKUP(A1339,Medical_Examinations[],6,FALSE)</f>
        <v>No</v>
      </c>
      <c r="H1339">
        <f>VLOOKUP(A1339,Medical_Examinations[],7,FALSE)</f>
        <v>2</v>
      </c>
      <c r="I1339" t="str">
        <f>VLOOKUP(A1339,Medical_Examinations[],8,FALSE)</f>
        <v>No</v>
      </c>
      <c r="J1339" t="str">
        <f>VLOOKUP(A1339,Medical_Examinations[],9,FALSE)</f>
        <v>Overweight</v>
      </c>
      <c r="K1339" t="str">
        <f>VLOOKUP(A1339,Medical_Examinations[],10,FALSE)</f>
        <v>Diabetes</v>
      </c>
      <c r="M1339">
        <f>VLOOKUP(A1339,Hospitalisation_Details__2[],4,FALSE)</f>
        <v>8112.59</v>
      </c>
      <c r="N1339" t="str">
        <f>VLOOKUP(A1339,Hospitalisation_Details__2[],5,FALSE)</f>
        <v>tier - 2</v>
      </c>
      <c r="O1339" t="str">
        <f>VLOOKUP(A1339,Hospitalisation_Details__2[],6,FALSE)</f>
        <v>tier - 2</v>
      </c>
      <c r="P1339" t="str">
        <f>VLOOKUP(A1339,Hospitalisation_Details__2[],7,FALSE)</f>
        <v>R1013</v>
      </c>
    </row>
    <row r="1340" spans="1:16" x14ac:dyDescent="0.35">
      <c r="A1340" t="str">
        <v>Id1339</v>
      </c>
      <c r="B1340" t="str">
        <f>VLOOKUP(A1340,'Customer Names (2)'!A:B, 2,FALSE)</f>
        <v>Mr</v>
      </c>
      <c r="C1340">
        <f>VLOOKUP(A1340,Medical_Examinations[],2,FALSE)</f>
        <v>18.829999999999998</v>
      </c>
      <c r="D1340">
        <f>VLOOKUP(A1340,Medical_Examinations[],3,FALSE)</f>
        <v>10.08</v>
      </c>
      <c r="E1340" t="str">
        <f>VLOOKUP(A1340,Medical_Examinations[],4,FALSE)</f>
        <v>Yes</v>
      </c>
      <c r="F1340" t="str">
        <f>VLOOKUP(A1340,Medical_Examinations[],5,FALSE)</f>
        <v>No</v>
      </c>
      <c r="G1340" t="str">
        <f>VLOOKUP(A1340,Medical_Examinations[],6,FALSE)</f>
        <v>No</v>
      </c>
      <c r="H1340">
        <f>VLOOKUP(A1340,Medical_Examinations[],7,FALSE)</f>
        <v>0</v>
      </c>
      <c r="I1340" t="str">
        <f>VLOOKUP(A1340,Medical_Examinations[],8,FALSE)</f>
        <v>No</v>
      </c>
      <c r="J1340" t="str">
        <f>VLOOKUP(A1340,Medical_Examinations[],9,FALSE)</f>
        <v>Normal Weight</v>
      </c>
      <c r="K1340" t="str">
        <f>VLOOKUP(A1340,Medical_Examinations[],10,FALSE)</f>
        <v>Diabetes</v>
      </c>
      <c r="M1340">
        <f>VLOOKUP(A1340,Hospitalisation_Details__2[],4,FALSE)</f>
        <v>8091.3</v>
      </c>
      <c r="N1340" t="str">
        <f>VLOOKUP(A1340,Hospitalisation_Details__2[],5,FALSE)</f>
        <v>tier - 3</v>
      </c>
      <c r="O1340" t="str">
        <f>VLOOKUP(A1340,Hospitalisation_Details__2[],6,FALSE)</f>
        <v>tier - 1</v>
      </c>
      <c r="P1340" t="str">
        <f>VLOOKUP(A1340,Hospitalisation_Details__2[],7,FALSE)</f>
        <v>R1012</v>
      </c>
    </row>
    <row r="1341" spans="1:16" x14ac:dyDescent="0.35">
      <c r="A1341" t="str">
        <v>Id1340</v>
      </c>
      <c r="B1341" t="str">
        <f>VLOOKUP(A1341,'Customer Names (2)'!A:B, 2,FALSE)</f>
        <v>Mr</v>
      </c>
      <c r="C1341">
        <f>VLOOKUP(A1341,Medical_Examinations[],2,FALSE)</f>
        <v>47.52</v>
      </c>
      <c r="D1341">
        <f>VLOOKUP(A1341,Medical_Examinations[],3,FALSE)</f>
        <v>11.39</v>
      </c>
      <c r="E1341" t="str">
        <f>VLOOKUP(A1341,Medical_Examinations[],4,FALSE)</f>
        <v>Yes</v>
      </c>
      <c r="F1341" t="str">
        <f>VLOOKUP(A1341,Medical_Examinations[],5,FALSE)</f>
        <v>No</v>
      </c>
      <c r="G1341" t="str">
        <f>VLOOKUP(A1341,Medical_Examinations[],6,FALSE)</f>
        <v>No</v>
      </c>
      <c r="H1341">
        <f>VLOOKUP(A1341,Medical_Examinations[],7,FALSE)</f>
        <v>1</v>
      </c>
      <c r="I1341" t="str">
        <f>VLOOKUP(A1341,Medical_Examinations[],8,FALSE)</f>
        <v>No</v>
      </c>
      <c r="J1341" t="str">
        <f>VLOOKUP(A1341,Medical_Examinations[],9,FALSE)</f>
        <v>Obesity</v>
      </c>
      <c r="K1341" t="str">
        <f>VLOOKUP(A1341,Medical_Examinations[],10,FALSE)</f>
        <v>Diabetes</v>
      </c>
      <c r="M1341">
        <f>VLOOKUP(A1341,Hospitalisation_Details__2[],4,FALSE)</f>
        <v>8083.92</v>
      </c>
      <c r="N1341" t="str">
        <f>VLOOKUP(A1341,Hospitalisation_Details__2[],5,FALSE)</f>
        <v>tier - 3</v>
      </c>
      <c r="O1341" t="str">
        <f>VLOOKUP(A1341,Hospitalisation_Details__2[],6,FALSE)</f>
        <v>tier - 3</v>
      </c>
      <c r="P1341" t="str">
        <f>VLOOKUP(A1341,Hospitalisation_Details__2[],7,FALSE)</f>
        <v>R1013</v>
      </c>
    </row>
    <row r="1342" spans="1:16" x14ac:dyDescent="0.35">
      <c r="A1342" t="str">
        <v>Id1341</v>
      </c>
      <c r="B1342" t="str">
        <f>VLOOKUP(A1342,'Customer Names (2)'!A:B, 2,FALSE)</f>
        <v>Mrs</v>
      </c>
      <c r="C1342">
        <f>VLOOKUP(A1342,Medical_Examinations[],2,FALSE)</f>
        <v>37.82</v>
      </c>
      <c r="D1342">
        <f>VLOOKUP(A1342,Medical_Examinations[],3,FALSE)</f>
        <v>6.36</v>
      </c>
      <c r="E1342" t="str">
        <f>VLOOKUP(A1342,Medical_Examinations[],4,FALSE)</f>
        <v>No</v>
      </c>
      <c r="F1342" t="str">
        <f>VLOOKUP(A1342,Medical_Examinations[],5,FALSE)</f>
        <v>No</v>
      </c>
      <c r="G1342" t="str">
        <f>VLOOKUP(A1342,Medical_Examinations[],6,FALSE)</f>
        <v>No</v>
      </c>
      <c r="H1342">
        <f>VLOOKUP(A1342,Medical_Examinations[],7,FALSE)</f>
        <v>0</v>
      </c>
      <c r="I1342" t="str">
        <f>VLOOKUP(A1342,Medical_Examinations[],8,FALSE)</f>
        <v>No</v>
      </c>
      <c r="J1342" t="str">
        <f>VLOOKUP(A1342,Medical_Examinations[],9,FALSE)</f>
        <v>Obesity</v>
      </c>
      <c r="K1342" t="str">
        <f>VLOOKUP(A1342,Medical_Examinations[],10,FALSE)</f>
        <v>Prediabetes</v>
      </c>
      <c r="M1342">
        <f>VLOOKUP(A1342,Hospitalisation_Details__2[],4,FALSE)</f>
        <v>8081.74</v>
      </c>
      <c r="N1342" t="str">
        <f>VLOOKUP(A1342,Hospitalisation_Details__2[],5,FALSE)</f>
        <v>tier - 2</v>
      </c>
      <c r="O1342" t="str">
        <f>VLOOKUP(A1342,Hospitalisation_Details__2[],6,FALSE)</f>
        <v>tier - 2</v>
      </c>
      <c r="P1342" t="str">
        <f>VLOOKUP(A1342,Hospitalisation_Details__2[],7,FALSE)</f>
        <v>R1026</v>
      </c>
    </row>
    <row r="1343" spans="1:16" x14ac:dyDescent="0.35">
      <c r="A1343" t="str">
        <v>Id1342</v>
      </c>
      <c r="B1343" t="str">
        <f>VLOOKUP(A1343,'Customer Names (2)'!A:B, 2,FALSE)</f>
        <v>Ms</v>
      </c>
      <c r="C1343">
        <f>VLOOKUP(A1343,Medical_Examinations[],2,FALSE)</f>
        <v>44.16</v>
      </c>
      <c r="D1343">
        <f>VLOOKUP(A1343,Medical_Examinations[],3,FALSE)</f>
        <v>5.31</v>
      </c>
      <c r="E1343" t="str">
        <f>VLOOKUP(A1343,Medical_Examinations[],4,FALSE)</f>
        <v>Yes</v>
      </c>
      <c r="F1343" t="str">
        <f>VLOOKUP(A1343,Medical_Examinations[],5,FALSE)</f>
        <v>No</v>
      </c>
      <c r="G1343" t="str">
        <f>VLOOKUP(A1343,Medical_Examinations[],6,FALSE)</f>
        <v>No</v>
      </c>
      <c r="H1343">
        <f>VLOOKUP(A1343,Medical_Examinations[],7,FALSE)</f>
        <v>0</v>
      </c>
      <c r="I1343" t="str">
        <f>VLOOKUP(A1343,Medical_Examinations[],8,FALSE)</f>
        <v>No</v>
      </c>
      <c r="J1343" t="str">
        <f>VLOOKUP(A1343,Medical_Examinations[],9,FALSE)</f>
        <v>Obesity</v>
      </c>
      <c r="K1343" t="str">
        <f>VLOOKUP(A1343,Medical_Examinations[],10,FALSE)</f>
        <v>Normal</v>
      </c>
      <c r="M1343">
        <f>VLOOKUP(A1343,Hospitalisation_Details__2[],4,FALSE)</f>
        <v>8081.26</v>
      </c>
      <c r="N1343" t="str">
        <f>VLOOKUP(A1343,Hospitalisation_Details__2[],5,FALSE)</f>
        <v>tier - 2</v>
      </c>
      <c r="O1343" t="str">
        <f>VLOOKUP(A1343,Hospitalisation_Details__2[],6,FALSE)</f>
        <v>tier - 2</v>
      </c>
      <c r="P1343" t="str">
        <f>VLOOKUP(A1343,Hospitalisation_Details__2[],7,FALSE)</f>
        <v>R1012</v>
      </c>
    </row>
    <row r="1344" spans="1:16" x14ac:dyDescent="0.35">
      <c r="A1344" t="str">
        <v>Id1343</v>
      </c>
      <c r="B1344" t="str">
        <f>VLOOKUP(A1344,'Customer Names (2)'!A:B, 2,FALSE)</f>
        <v>Mrs</v>
      </c>
      <c r="C1344">
        <f>VLOOKUP(A1344,Medical_Examinations[],2,FALSE)</f>
        <v>37.049999999999997</v>
      </c>
      <c r="D1344">
        <f>VLOOKUP(A1344,Medical_Examinations[],3,FALSE)</f>
        <v>4.74</v>
      </c>
      <c r="E1344" t="str">
        <f>VLOOKUP(A1344,Medical_Examinations[],4,FALSE)</f>
        <v>No</v>
      </c>
      <c r="F1344" t="str">
        <f>VLOOKUP(A1344,Medical_Examinations[],5,FALSE)</f>
        <v>No</v>
      </c>
      <c r="G1344" t="str">
        <f>VLOOKUP(A1344,Medical_Examinations[],6,FALSE)</f>
        <v>Yes</v>
      </c>
      <c r="H1344">
        <f>VLOOKUP(A1344,Medical_Examinations[],7,FALSE)</f>
        <v>1</v>
      </c>
      <c r="I1344" t="str">
        <f>VLOOKUP(A1344,Medical_Examinations[],8,FALSE)</f>
        <v>No</v>
      </c>
      <c r="J1344" t="str">
        <f>VLOOKUP(A1344,Medical_Examinations[],9,FALSE)</f>
        <v>Obesity</v>
      </c>
      <c r="K1344" t="str">
        <f>VLOOKUP(A1344,Medical_Examinations[],10,FALSE)</f>
        <v>Normal</v>
      </c>
      <c r="M1344">
        <f>VLOOKUP(A1344,Hospitalisation_Details__2[],4,FALSE)</f>
        <v>8077.41</v>
      </c>
      <c r="N1344" t="str">
        <f>VLOOKUP(A1344,Hospitalisation_Details__2[],5,FALSE)</f>
        <v>tier - 2</v>
      </c>
      <c r="O1344" t="str">
        <f>VLOOKUP(A1344,Hospitalisation_Details__2[],6,FALSE)</f>
        <v>tier - 1</v>
      </c>
      <c r="P1344" t="str">
        <f>VLOOKUP(A1344,Hospitalisation_Details__2[],7,FALSE)</f>
        <v>R1026</v>
      </c>
    </row>
    <row r="1345" spans="1:16" x14ac:dyDescent="0.35">
      <c r="A1345" t="str">
        <v>Id1344</v>
      </c>
      <c r="B1345" t="str">
        <f>VLOOKUP(A1345,'Customer Names (2)'!A:B, 2,FALSE)</f>
        <v>Ms</v>
      </c>
      <c r="C1345">
        <f>VLOOKUP(A1345,Medical_Examinations[],2,FALSE)</f>
        <v>18.66</v>
      </c>
      <c r="D1345">
        <f>VLOOKUP(A1345,Medical_Examinations[],3,FALSE)</f>
        <v>11.35</v>
      </c>
      <c r="E1345" t="str">
        <f>VLOOKUP(A1345,Medical_Examinations[],4,FALSE)</f>
        <v>No</v>
      </c>
      <c r="F1345" t="str">
        <f>VLOOKUP(A1345,Medical_Examinations[],5,FALSE)</f>
        <v>No</v>
      </c>
      <c r="G1345" t="str">
        <f>VLOOKUP(A1345,Medical_Examinations[],6,FALSE)</f>
        <v>No</v>
      </c>
      <c r="H1345">
        <f>VLOOKUP(A1345,Medical_Examinations[],7,FALSE)</f>
        <v>0</v>
      </c>
      <c r="I1345" t="str">
        <f>VLOOKUP(A1345,Medical_Examinations[],8,FALSE)</f>
        <v>No</v>
      </c>
      <c r="J1345" t="str">
        <f>VLOOKUP(A1345,Medical_Examinations[],9,FALSE)</f>
        <v>Normal Weight</v>
      </c>
      <c r="K1345" t="str">
        <f>VLOOKUP(A1345,Medical_Examinations[],10,FALSE)</f>
        <v>Diabetes</v>
      </c>
      <c r="M1345">
        <f>VLOOKUP(A1345,Hospitalisation_Details__2[],4,FALSE)</f>
        <v>8071.57</v>
      </c>
      <c r="N1345" t="str">
        <f>VLOOKUP(A1345,Hospitalisation_Details__2[],5,FALSE)</f>
        <v>tier - 3</v>
      </c>
      <c r="O1345" t="str">
        <f>VLOOKUP(A1345,Hospitalisation_Details__2[],6,FALSE)</f>
        <v>tier - 1</v>
      </c>
      <c r="P1345" t="str">
        <f>VLOOKUP(A1345,Hospitalisation_Details__2[],7,FALSE)</f>
        <v>R1011</v>
      </c>
    </row>
    <row r="1346" spans="1:16" x14ac:dyDescent="0.35">
      <c r="A1346" t="str">
        <v>Id1345</v>
      </c>
      <c r="B1346" t="str">
        <f>VLOOKUP(A1346,'Customer Names (2)'!A:B, 2,FALSE)</f>
        <v>Mr</v>
      </c>
      <c r="C1346">
        <f>VLOOKUP(A1346,Medical_Examinations[],2,FALSE)</f>
        <v>36.200000000000003</v>
      </c>
      <c r="D1346">
        <f>VLOOKUP(A1346,Medical_Examinations[],3,FALSE)</f>
        <v>6.81</v>
      </c>
      <c r="E1346" t="str">
        <f>VLOOKUP(A1346,Medical_Examinations[],4,FALSE)</f>
        <v>Yes</v>
      </c>
      <c r="F1346" t="str">
        <f>VLOOKUP(A1346,Medical_Examinations[],5,FALSE)</f>
        <v>No</v>
      </c>
      <c r="G1346" t="str">
        <f>VLOOKUP(A1346,Medical_Examinations[],6,FALSE)</f>
        <v>No</v>
      </c>
      <c r="H1346">
        <f>VLOOKUP(A1346,Medical_Examinations[],7,FALSE)</f>
        <v>1</v>
      </c>
      <c r="I1346" t="str">
        <f>VLOOKUP(A1346,Medical_Examinations[],8,FALSE)</f>
        <v>No</v>
      </c>
      <c r="J1346" t="str">
        <f>VLOOKUP(A1346,Medical_Examinations[],9,FALSE)</f>
        <v>Obesity</v>
      </c>
      <c r="K1346" t="str">
        <f>VLOOKUP(A1346,Medical_Examinations[],10,FALSE)</f>
        <v>Diabetes</v>
      </c>
      <c r="M1346">
        <f>VLOOKUP(A1346,Hospitalisation_Details__2[],4,FALSE)</f>
        <v>8068.19</v>
      </c>
      <c r="N1346" t="str">
        <f>VLOOKUP(A1346,Hospitalisation_Details__2[],5,FALSE)</f>
        <v>tier - 3</v>
      </c>
      <c r="O1346" t="str">
        <f>VLOOKUP(A1346,Hospitalisation_Details__2[],6,FALSE)</f>
        <v>tier - 2</v>
      </c>
      <c r="P1346" t="str">
        <f>VLOOKUP(A1346,Hospitalisation_Details__2[],7,FALSE)</f>
        <v>R1011</v>
      </c>
    </row>
    <row r="1347" spans="1:16" x14ac:dyDescent="0.35">
      <c r="A1347" t="str">
        <v>Id1346</v>
      </c>
      <c r="B1347" t="str">
        <f>VLOOKUP(A1347,'Customer Names (2)'!A:B, 2,FALSE)</f>
        <v>Ms</v>
      </c>
      <c r="C1347">
        <f>VLOOKUP(A1347,Medical_Examinations[],2,FALSE)</f>
        <v>18.87</v>
      </c>
      <c r="D1347">
        <f>VLOOKUP(A1347,Medical_Examinations[],3,FALSE)</f>
        <v>8.06</v>
      </c>
      <c r="E1347" t="str">
        <f>VLOOKUP(A1347,Medical_Examinations[],4,FALSE)</f>
        <v>No</v>
      </c>
      <c r="F1347" t="str">
        <f>VLOOKUP(A1347,Medical_Examinations[],5,FALSE)</f>
        <v>No</v>
      </c>
      <c r="G1347" t="str">
        <f>VLOOKUP(A1347,Medical_Examinations[],6,FALSE)</f>
        <v>No</v>
      </c>
      <c r="H1347">
        <f>VLOOKUP(A1347,Medical_Examinations[],7,FALSE)</f>
        <v>0</v>
      </c>
      <c r="I1347" t="str">
        <f>VLOOKUP(A1347,Medical_Examinations[],8,FALSE)</f>
        <v>No</v>
      </c>
      <c r="J1347" t="str">
        <f>VLOOKUP(A1347,Medical_Examinations[],9,FALSE)</f>
        <v>Normal Weight</v>
      </c>
      <c r="K1347" t="str">
        <f>VLOOKUP(A1347,Medical_Examinations[],10,FALSE)</f>
        <v>Diabetes</v>
      </c>
      <c r="M1347">
        <f>VLOOKUP(A1347,Hospitalisation_Details__2[],4,FALSE)</f>
        <v>8067.83</v>
      </c>
      <c r="N1347" t="str">
        <f>VLOOKUP(A1347,Hospitalisation_Details__2[],5,FALSE)</f>
        <v>tier - 3</v>
      </c>
      <c r="O1347" t="str">
        <f>VLOOKUP(A1347,Hospitalisation_Details__2[],6,FALSE)</f>
        <v>tier - 1</v>
      </c>
      <c r="P1347" t="str">
        <f>VLOOKUP(A1347,Hospitalisation_Details__2[],7,FALSE)</f>
        <v>R1013</v>
      </c>
    </row>
    <row r="1348" spans="1:16" x14ac:dyDescent="0.35">
      <c r="A1348" t="str">
        <v>Id1347</v>
      </c>
      <c r="B1348" t="str">
        <f>VLOOKUP(A1348,'Customer Names (2)'!A:B, 2,FALSE)</f>
        <v>Mr</v>
      </c>
      <c r="C1348">
        <f>VLOOKUP(A1348,Medical_Examinations[],2,FALSE)</f>
        <v>32.299999999999997</v>
      </c>
      <c r="D1348">
        <f>VLOOKUP(A1348,Medical_Examinations[],3,FALSE)</f>
        <v>6.74</v>
      </c>
      <c r="E1348" t="str">
        <f>VLOOKUP(A1348,Medical_Examinations[],4,FALSE)</f>
        <v>Yes</v>
      </c>
      <c r="F1348" t="str">
        <f>VLOOKUP(A1348,Medical_Examinations[],5,FALSE)</f>
        <v>No</v>
      </c>
      <c r="G1348" t="str">
        <f>VLOOKUP(A1348,Medical_Examinations[],6,FALSE)</f>
        <v>No</v>
      </c>
      <c r="H1348">
        <f>VLOOKUP(A1348,Medical_Examinations[],7,FALSE)</f>
        <v>1</v>
      </c>
      <c r="I1348" t="str">
        <f>VLOOKUP(A1348,Medical_Examinations[],8,FALSE)</f>
        <v>No</v>
      </c>
      <c r="J1348" t="str">
        <f>VLOOKUP(A1348,Medical_Examinations[],9,FALSE)</f>
        <v>Obesity</v>
      </c>
      <c r="K1348" t="str">
        <f>VLOOKUP(A1348,Medical_Examinations[],10,FALSE)</f>
        <v>Diabetes</v>
      </c>
      <c r="M1348">
        <f>VLOOKUP(A1348,Hospitalisation_Details__2[],4,FALSE)</f>
        <v>8062.76</v>
      </c>
      <c r="N1348" t="str">
        <f>VLOOKUP(A1348,Hospitalisation_Details__2[],5,FALSE)</f>
        <v>tier - 3</v>
      </c>
      <c r="O1348" t="str">
        <f>VLOOKUP(A1348,Hospitalisation_Details__2[],6,FALSE)</f>
        <v>tier - 3</v>
      </c>
      <c r="P1348" t="str">
        <f>VLOOKUP(A1348,Hospitalisation_Details__2[],7,FALSE)</f>
        <v>R1011</v>
      </c>
    </row>
    <row r="1349" spans="1:16" x14ac:dyDescent="0.35">
      <c r="A1349" t="str">
        <v>Id1348</v>
      </c>
      <c r="B1349" t="str">
        <f>VLOOKUP(A1349,'Customer Names (2)'!A:B, 2,FALSE)</f>
        <v>Ms</v>
      </c>
      <c r="C1349">
        <f>VLOOKUP(A1349,Medical_Examinations[],2,FALSE)</f>
        <v>22.64</v>
      </c>
      <c r="D1349">
        <f>VLOOKUP(A1349,Medical_Examinations[],3,FALSE)</f>
        <v>6.54</v>
      </c>
      <c r="E1349" t="str">
        <f>VLOOKUP(A1349,Medical_Examinations[],4,FALSE)</f>
        <v>Yes</v>
      </c>
      <c r="F1349" t="str">
        <f>VLOOKUP(A1349,Medical_Examinations[],5,FALSE)</f>
        <v>No</v>
      </c>
      <c r="G1349" t="str">
        <f>VLOOKUP(A1349,Medical_Examinations[],6,FALSE)</f>
        <v>No</v>
      </c>
      <c r="H1349">
        <f>VLOOKUP(A1349,Medical_Examinations[],7,FALSE)</f>
        <v>2</v>
      </c>
      <c r="I1349" t="str">
        <f>VLOOKUP(A1349,Medical_Examinations[],8,FALSE)</f>
        <v>No</v>
      </c>
      <c r="J1349" t="str">
        <f>VLOOKUP(A1349,Medical_Examinations[],9,FALSE)</f>
        <v>Normal Weight</v>
      </c>
      <c r="K1349" t="str">
        <f>VLOOKUP(A1349,Medical_Examinations[],10,FALSE)</f>
        <v>Diabetes</v>
      </c>
      <c r="M1349">
        <f>VLOOKUP(A1349,Hospitalisation_Details__2[],4,FALSE)</f>
        <v>8062.31</v>
      </c>
      <c r="N1349" t="str">
        <f>VLOOKUP(A1349,Hospitalisation_Details__2[],5,FALSE)</f>
        <v>tier - 2</v>
      </c>
      <c r="O1349" t="str">
        <f>VLOOKUP(A1349,Hospitalisation_Details__2[],6,FALSE)</f>
        <v>tier - 1</v>
      </c>
      <c r="P1349" t="str">
        <f>VLOOKUP(A1349,Hospitalisation_Details__2[],7,FALSE)</f>
        <v>R1013</v>
      </c>
    </row>
    <row r="1350" spans="1:16" x14ac:dyDescent="0.35">
      <c r="A1350" t="str">
        <v>Id1349</v>
      </c>
      <c r="B1350" t="str">
        <f>VLOOKUP(A1350,'Customer Names (2)'!A:B, 2,FALSE)</f>
        <v>Mrs</v>
      </c>
      <c r="C1350">
        <f>VLOOKUP(A1350,Medical_Examinations[],2,FALSE)</f>
        <v>28.69</v>
      </c>
      <c r="D1350">
        <f>VLOOKUP(A1350,Medical_Examinations[],3,FALSE)</f>
        <v>5.4</v>
      </c>
      <c r="E1350" t="str">
        <f>VLOOKUP(A1350,Medical_Examinations[],4,FALSE)</f>
        <v>No</v>
      </c>
      <c r="F1350" t="str">
        <f>VLOOKUP(A1350,Medical_Examinations[],5,FALSE)</f>
        <v>No</v>
      </c>
      <c r="G1350" t="str">
        <f>VLOOKUP(A1350,Medical_Examinations[],6,FALSE)</f>
        <v>No</v>
      </c>
      <c r="H1350">
        <f>VLOOKUP(A1350,Medical_Examinations[],7,FALSE)</f>
        <v>0</v>
      </c>
      <c r="I1350" t="str">
        <f>VLOOKUP(A1350,Medical_Examinations[],8,FALSE)</f>
        <v>No</v>
      </c>
      <c r="J1350" t="str">
        <f>VLOOKUP(A1350,Medical_Examinations[],9,FALSE)</f>
        <v>Overweight</v>
      </c>
      <c r="K1350" t="str">
        <f>VLOOKUP(A1350,Medical_Examinations[],10,FALSE)</f>
        <v>Normal</v>
      </c>
      <c r="M1350">
        <f>VLOOKUP(A1350,Hospitalisation_Details__2[],4,FALSE)</f>
        <v>8059.68</v>
      </c>
      <c r="N1350" t="str">
        <f>VLOOKUP(A1350,Hospitalisation_Details__2[],5,FALSE)</f>
        <v>tier - 2</v>
      </c>
      <c r="O1350" t="str">
        <f>VLOOKUP(A1350,Hospitalisation_Details__2[],6,FALSE)</f>
        <v>tier - 3</v>
      </c>
      <c r="P1350" t="str">
        <f>VLOOKUP(A1350,Hospitalisation_Details__2[],7,FALSE)</f>
        <v>R1012</v>
      </c>
    </row>
    <row r="1351" spans="1:16" x14ac:dyDescent="0.35">
      <c r="A1351" t="str">
        <v>Id1350</v>
      </c>
      <c r="B1351" t="str">
        <f>VLOOKUP(A1351,'Customer Names (2)'!A:B, 2,FALSE)</f>
        <v>Mr</v>
      </c>
      <c r="C1351">
        <f>VLOOKUP(A1351,Medical_Examinations[],2,FALSE)</f>
        <v>28.16</v>
      </c>
      <c r="D1351">
        <f>VLOOKUP(A1351,Medical_Examinations[],3,FALSE)</f>
        <v>5.58</v>
      </c>
      <c r="E1351" t="str">
        <f>VLOOKUP(A1351,Medical_Examinations[],4,FALSE)</f>
        <v>Yes</v>
      </c>
      <c r="F1351" t="str">
        <f>VLOOKUP(A1351,Medical_Examinations[],5,FALSE)</f>
        <v>No</v>
      </c>
      <c r="G1351" t="str">
        <f>VLOOKUP(A1351,Medical_Examinations[],6,FALSE)</f>
        <v>No</v>
      </c>
      <c r="H1351">
        <f>VLOOKUP(A1351,Medical_Examinations[],7,FALSE)</f>
        <v>0</v>
      </c>
      <c r="I1351" t="str">
        <f>VLOOKUP(A1351,Medical_Examinations[],8,FALSE)</f>
        <v>No</v>
      </c>
      <c r="J1351" t="str">
        <f>VLOOKUP(A1351,Medical_Examinations[],9,FALSE)</f>
        <v>Overweight</v>
      </c>
      <c r="K1351" t="str">
        <f>VLOOKUP(A1351,Medical_Examinations[],10,FALSE)</f>
        <v>Normal</v>
      </c>
      <c r="M1351">
        <f>VLOOKUP(A1351,Hospitalisation_Details__2[],4,FALSE)</f>
        <v>8059.06</v>
      </c>
      <c r="N1351" t="str">
        <f>VLOOKUP(A1351,Hospitalisation_Details__2[],5,FALSE)</f>
        <v>tier - 2</v>
      </c>
      <c r="O1351" t="str">
        <f>VLOOKUP(A1351,Hospitalisation_Details__2[],6,FALSE)</f>
        <v>tier - 3</v>
      </c>
      <c r="P1351" t="str">
        <f>VLOOKUP(A1351,Hospitalisation_Details__2[],7,FALSE)</f>
        <v>R1012</v>
      </c>
    </row>
    <row r="1352" spans="1:16" x14ac:dyDescent="0.35">
      <c r="A1352" t="str">
        <v>Id1351</v>
      </c>
      <c r="B1352" t="str">
        <f>VLOOKUP(A1352,'Customer Names (2)'!A:B, 2,FALSE)</f>
        <v>Ms</v>
      </c>
      <c r="C1352">
        <f>VLOOKUP(A1352,Medical_Examinations[],2,FALSE)</f>
        <v>45.54</v>
      </c>
      <c r="D1352">
        <f>VLOOKUP(A1352,Medical_Examinations[],3,FALSE)</f>
        <v>5.84</v>
      </c>
      <c r="E1352" t="str">
        <f>VLOOKUP(A1352,Medical_Examinations[],4,FALSE)</f>
        <v>No</v>
      </c>
      <c r="F1352" t="str">
        <f>VLOOKUP(A1352,Medical_Examinations[],5,FALSE)</f>
        <v>No</v>
      </c>
      <c r="G1352" t="str">
        <f>VLOOKUP(A1352,Medical_Examinations[],6,FALSE)</f>
        <v>Yes</v>
      </c>
      <c r="H1352">
        <f>VLOOKUP(A1352,Medical_Examinations[],7,FALSE)</f>
        <v>1</v>
      </c>
      <c r="I1352" t="str">
        <f>VLOOKUP(A1352,Medical_Examinations[],8,FALSE)</f>
        <v>No</v>
      </c>
      <c r="J1352" t="str">
        <f>VLOOKUP(A1352,Medical_Examinations[],9,FALSE)</f>
        <v>Obesity</v>
      </c>
      <c r="K1352" t="str">
        <f>VLOOKUP(A1352,Medical_Examinations[],10,FALSE)</f>
        <v>Prediabetes</v>
      </c>
      <c r="M1352">
        <f>VLOOKUP(A1352,Hospitalisation_Details__2[],4,FALSE)</f>
        <v>8035.64</v>
      </c>
      <c r="N1352" t="str">
        <f>VLOOKUP(A1352,Hospitalisation_Details__2[],5,FALSE)</f>
        <v>tier - 2</v>
      </c>
      <c r="O1352" t="str">
        <f>VLOOKUP(A1352,Hospitalisation_Details__2[],6,FALSE)</f>
        <v>tier - 2</v>
      </c>
      <c r="P1352" t="str">
        <f>VLOOKUP(A1352,Hospitalisation_Details__2[],7,FALSE)</f>
        <v>R1012</v>
      </c>
    </row>
    <row r="1353" spans="1:16" x14ac:dyDescent="0.35">
      <c r="A1353" t="str">
        <v>Id1352</v>
      </c>
      <c r="B1353" t="str">
        <f>VLOOKUP(A1353,'Customer Names (2)'!A:B, 2,FALSE)</f>
        <v>Mr</v>
      </c>
      <c r="C1353">
        <f>VLOOKUP(A1353,Medical_Examinations[],2,FALSE)</f>
        <v>28.7</v>
      </c>
      <c r="D1353">
        <f>VLOOKUP(A1353,Medical_Examinations[],3,FALSE)</f>
        <v>4.2</v>
      </c>
      <c r="E1353" t="str">
        <f>VLOOKUP(A1353,Medical_Examinations[],4,FALSE)</f>
        <v>No</v>
      </c>
      <c r="F1353" t="str">
        <f>VLOOKUP(A1353,Medical_Examinations[],5,FALSE)</f>
        <v>No</v>
      </c>
      <c r="G1353" t="str">
        <f>VLOOKUP(A1353,Medical_Examinations[],6,FALSE)</f>
        <v>No</v>
      </c>
      <c r="H1353">
        <f>VLOOKUP(A1353,Medical_Examinations[],7,FALSE)</f>
        <v>0</v>
      </c>
      <c r="I1353" t="str">
        <f>VLOOKUP(A1353,Medical_Examinations[],8,FALSE)</f>
        <v>No</v>
      </c>
      <c r="J1353" t="str">
        <f>VLOOKUP(A1353,Medical_Examinations[],9,FALSE)</f>
        <v>Overweight</v>
      </c>
      <c r="K1353" t="str">
        <f>VLOOKUP(A1353,Medical_Examinations[],10,FALSE)</f>
        <v>Normal</v>
      </c>
      <c r="M1353">
        <f>VLOOKUP(A1353,Hospitalisation_Details__2[],4,FALSE)</f>
        <v>8027.97</v>
      </c>
      <c r="N1353" t="str">
        <f>VLOOKUP(A1353,Hospitalisation_Details__2[],5,FALSE)</f>
        <v>tier - 3</v>
      </c>
      <c r="O1353" t="str">
        <f>VLOOKUP(A1353,Hospitalisation_Details__2[],6,FALSE)</f>
        <v>tier - 2</v>
      </c>
      <c r="P1353" t="str">
        <f>VLOOKUP(A1353,Hospitalisation_Details__2[],7,FALSE)</f>
        <v>R1011</v>
      </c>
    </row>
    <row r="1354" spans="1:16" x14ac:dyDescent="0.35">
      <c r="A1354" t="str">
        <v>Id1353</v>
      </c>
      <c r="B1354" t="str">
        <f>VLOOKUP(A1354,'Customer Names (2)'!A:B, 2,FALSE)</f>
        <v>Ms</v>
      </c>
      <c r="C1354">
        <f>VLOOKUP(A1354,Medical_Examinations[],2,FALSE)</f>
        <v>27.74</v>
      </c>
      <c r="D1354">
        <f>VLOOKUP(A1354,Medical_Examinations[],3,FALSE)</f>
        <v>6.06</v>
      </c>
      <c r="E1354" t="str">
        <f>VLOOKUP(A1354,Medical_Examinations[],4,FALSE)</f>
        <v>Yes</v>
      </c>
      <c r="F1354" t="str">
        <f>VLOOKUP(A1354,Medical_Examinations[],5,FALSE)</f>
        <v>No</v>
      </c>
      <c r="G1354" t="str">
        <f>VLOOKUP(A1354,Medical_Examinations[],6,FALSE)</f>
        <v>No</v>
      </c>
      <c r="H1354">
        <f>VLOOKUP(A1354,Medical_Examinations[],7,FALSE)</f>
        <v>0</v>
      </c>
      <c r="I1354" t="str">
        <f>VLOOKUP(A1354,Medical_Examinations[],8,FALSE)</f>
        <v>No</v>
      </c>
      <c r="J1354" t="str">
        <f>VLOOKUP(A1354,Medical_Examinations[],9,FALSE)</f>
        <v>Overweight</v>
      </c>
      <c r="K1354" t="str">
        <f>VLOOKUP(A1354,Medical_Examinations[],10,FALSE)</f>
        <v>Prediabetes</v>
      </c>
      <c r="M1354">
        <f>VLOOKUP(A1354,Hospitalisation_Details__2[],4,FALSE)</f>
        <v>8026.67</v>
      </c>
      <c r="N1354" t="str">
        <f>VLOOKUP(A1354,Hospitalisation_Details__2[],5,FALSE)</f>
        <v>tier - 2</v>
      </c>
      <c r="O1354" t="str">
        <f>VLOOKUP(A1354,Hospitalisation_Details__2[],6,FALSE)</f>
        <v>tier - 2</v>
      </c>
      <c r="P1354" t="str">
        <f>VLOOKUP(A1354,Hospitalisation_Details__2[],7,FALSE)</f>
        <v>R1012</v>
      </c>
    </row>
    <row r="1355" spans="1:16" x14ac:dyDescent="0.35">
      <c r="A1355" t="str">
        <v>Id1354</v>
      </c>
      <c r="B1355" t="str">
        <f>VLOOKUP(A1355,'Customer Names (2)'!A:B, 2,FALSE)</f>
        <v>Ms</v>
      </c>
      <c r="C1355">
        <f>VLOOKUP(A1355,Medical_Examinations[],2,FALSE)</f>
        <v>36.954999999999998</v>
      </c>
      <c r="D1355">
        <f>VLOOKUP(A1355,Medical_Examinations[],3,FALSE)</f>
        <v>7.57</v>
      </c>
      <c r="E1355" t="str">
        <f>VLOOKUP(A1355,Medical_Examinations[],4,FALSE)</f>
        <v>No</v>
      </c>
      <c r="F1355" t="str">
        <f>VLOOKUP(A1355,Medical_Examinations[],5,FALSE)</f>
        <v>No</v>
      </c>
      <c r="G1355" t="str">
        <f>VLOOKUP(A1355,Medical_Examinations[],6,FALSE)</f>
        <v>No</v>
      </c>
      <c r="H1355">
        <f>VLOOKUP(A1355,Medical_Examinations[],7,FALSE)</f>
        <v>0</v>
      </c>
      <c r="I1355" t="str">
        <f>VLOOKUP(A1355,Medical_Examinations[],8,FALSE)</f>
        <v>No</v>
      </c>
      <c r="J1355" t="str">
        <f>VLOOKUP(A1355,Medical_Examinations[],9,FALSE)</f>
        <v>Obesity</v>
      </c>
      <c r="K1355" t="str">
        <f>VLOOKUP(A1355,Medical_Examinations[],10,FALSE)</f>
        <v>Diabetes</v>
      </c>
      <c r="M1355">
        <f>VLOOKUP(A1355,Hospitalisation_Details__2[],4,FALSE)</f>
        <v>8023.14</v>
      </c>
      <c r="N1355" t="str">
        <f>VLOOKUP(A1355,Hospitalisation_Details__2[],5,FALSE)</f>
        <v>tier - 2</v>
      </c>
      <c r="O1355" t="str">
        <f>VLOOKUP(A1355,Hospitalisation_Details__2[],6,FALSE)</f>
        <v>tier - 3</v>
      </c>
      <c r="P1355" t="str">
        <f>VLOOKUP(A1355,Hospitalisation_Details__2[],7,FALSE)</f>
        <v>R1012</v>
      </c>
    </row>
    <row r="1356" spans="1:16" x14ac:dyDescent="0.35">
      <c r="A1356" t="str">
        <v>Id1355</v>
      </c>
      <c r="B1356" t="str">
        <f>VLOOKUP(A1356,'Customer Names (2)'!A:B, 2,FALSE)</f>
        <v>Ms</v>
      </c>
      <c r="C1356">
        <f>VLOOKUP(A1356,Medical_Examinations[],2,FALSE)</f>
        <v>30.69</v>
      </c>
      <c r="D1356">
        <f>VLOOKUP(A1356,Medical_Examinations[],3,FALSE)</f>
        <v>6.15</v>
      </c>
      <c r="E1356" t="str">
        <f>VLOOKUP(A1356,Medical_Examinations[],4,FALSE)</f>
        <v>No</v>
      </c>
      <c r="F1356" t="str">
        <f>VLOOKUP(A1356,Medical_Examinations[],5,FALSE)</f>
        <v>No</v>
      </c>
      <c r="G1356" t="str">
        <f>VLOOKUP(A1356,Medical_Examinations[],6,FALSE)</f>
        <v>No</v>
      </c>
      <c r="H1356">
        <f>VLOOKUP(A1356,Medical_Examinations[],7,FALSE)</f>
        <v>0</v>
      </c>
      <c r="I1356" t="str">
        <f>VLOOKUP(A1356,Medical_Examinations[],8,FALSE)</f>
        <v>No</v>
      </c>
      <c r="J1356" t="str">
        <f>VLOOKUP(A1356,Medical_Examinations[],9,FALSE)</f>
        <v>Obesity</v>
      </c>
      <c r="K1356" t="str">
        <f>VLOOKUP(A1356,Medical_Examinations[],10,FALSE)</f>
        <v>Prediabetes</v>
      </c>
      <c r="M1356">
        <f>VLOOKUP(A1356,Hospitalisation_Details__2[],4,FALSE)</f>
        <v>8021.11</v>
      </c>
      <c r="N1356" t="str">
        <f>VLOOKUP(A1356,Hospitalisation_Details__2[],5,FALSE)</f>
        <v>tier - 2</v>
      </c>
      <c r="O1356" t="str">
        <f>VLOOKUP(A1356,Hospitalisation_Details__2[],6,FALSE)</f>
        <v>tier - 1</v>
      </c>
      <c r="P1356" t="str">
        <f>VLOOKUP(A1356,Hospitalisation_Details__2[],7,FALSE)</f>
        <v>R1012</v>
      </c>
    </row>
    <row r="1357" spans="1:16" x14ac:dyDescent="0.35">
      <c r="A1357" t="str">
        <v>Id1356</v>
      </c>
      <c r="B1357" t="str">
        <f>VLOOKUP(A1357,'Customer Names (2)'!A:B, 2,FALSE)</f>
        <v>Ms</v>
      </c>
      <c r="C1357">
        <f>VLOOKUP(A1357,Medical_Examinations[],2,FALSE)</f>
        <v>24.984999999999999</v>
      </c>
      <c r="D1357">
        <f>VLOOKUP(A1357,Medical_Examinations[],3,FALSE)</f>
        <v>4.5599999999999996</v>
      </c>
      <c r="E1357" t="str">
        <f>VLOOKUP(A1357,Medical_Examinations[],4,FALSE)</f>
        <v>No</v>
      </c>
      <c r="F1357" t="str">
        <f>VLOOKUP(A1357,Medical_Examinations[],5,FALSE)</f>
        <v>No</v>
      </c>
      <c r="G1357" t="str">
        <f>VLOOKUP(A1357,Medical_Examinations[],6,FALSE)</f>
        <v>No</v>
      </c>
      <c r="H1357">
        <f>VLOOKUP(A1357,Medical_Examinations[],7,FALSE)</f>
        <v>0</v>
      </c>
      <c r="I1357" t="str">
        <f>VLOOKUP(A1357,Medical_Examinations[],8,FALSE)</f>
        <v>No</v>
      </c>
      <c r="J1357" t="str">
        <f>VLOOKUP(A1357,Medical_Examinations[],9,FALSE)</f>
        <v>Normal Weight</v>
      </c>
      <c r="K1357" t="str">
        <f>VLOOKUP(A1357,Medical_Examinations[],10,FALSE)</f>
        <v>Normal</v>
      </c>
      <c r="M1357">
        <f>VLOOKUP(A1357,Hospitalisation_Details__2[],4,FALSE)</f>
        <v>8017.06</v>
      </c>
      <c r="N1357" t="str">
        <f>VLOOKUP(A1357,Hospitalisation_Details__2[],5,FALSE)</f>
        <v>tier - 2</v>
      </c>
      <c r="O1357" t="str">
        <f>VLOOKUP(A1357,Hospitalisation_Details__2[],6,FALSE)</f>
        <v>tier - 2</v>
      </c>
      <c r="P1357" t="str">
        <f>VLOOKUP(A1357,Hospitalisation_Details__2[],7,FALSE)</f>
        <v>R1012</v>
      </c>
    </row>
    <row r="1358" spans="1:16" x14ac:dyDescent="0.35">
      <c r="A1358" t="str">
        <v>Id1357</v>
      </c>
      <c r="B1358" t="str">
        <f>VLOOKUP(A1358,'Customer Names (2)'!A:B, 2,FALSE)</f>
        <v>Ms</v>
      </c>
      <c r="C1358">
        <f>VLOOKUP(A1358,Medical_Examinations[],2,FALSE)</f>
        <v>39.42</v>
      </c>
      <c r="D1358">
        <f>VLOOKUP(A1358,Medical_Examinations[],3,FALSE)</f>
        <v>4.72</v>
      </c>
      <c r="E1358" t="str">
        <f>VLOOKUP(A1358,Medical_Examinations[],4,FALSE)</f>
        <v>Yes</v>
      </c>
      <c r="F1358" t="str">
        <f>VLOOKUP(A1358,Medical_Examinations[],5,FALSE)</f>
        <v>No</v>
      </c>
      <c r="G1358" t="str">
        <f>VLOOKUP(A1358,Medical_Examinations[],6,FALSE)</f>
        <v>No</v>
      </c>
      <c r="H1358">
        <f>VLOOKUP(A1358,Medical_Examinations[],7,FALSE)</f>
        <v>1</v>
      </c>
      <c r="I1358" t="str">
        <f>VLOOKUP(A1358,Medical_Examinations[],8,FALSE)</f>
        <v>No</v>
      </c>
      <c r="J1358" t="str">
        <f>VLOOKUP(A1358,Medical_Examinations[],9,FALSE)</f>
        <v>Obesity</v>
      </c>
      <c r="K1358" t="str">
        <f>VLOOKUP(A1358,Medical_Examinations[],10,FALSE)</f>
        <v>Normal</v>
      </c>
      <c r="M1358">
        <f>VLOOKUP(A1358,Hospitalisation_Details__2[],4,FALSE)</f>
        <v>8014.62</v>
      </c>
      <c r="N1358" t="str">
        <f>VLOOKUP(A1358,Hospitalisation_Details__2[],5,FALSE)</f>
        <v>tier - 2</v>
      </c>
      <c r="O1358" t="str">
        <f>VLOOKUP(A1358,Hospitalisation_Details__2[],6,FALSE)</f>
        <v>tier - 3</v>
      </c>
      <c r="P1358" t="str">
        <f>VLOOKUP(A1358,Hospitalisation_Details__2[],7,FALSE)</f>
        <v>R1012</v>
      </c>
    </row>
    <row r="1359" spans="1:16" x14ac:dyDescent="0.35">
      <c r="A1359" t="str">
        <v>Id1358</v>
      </c>
      <c r="B1359" t="str">
        <f>VLOOKUP(A1359,'Customer Names (2)'!A:B, 2,FALSE)</f>
        <v>Mr</v>
      </c>
      <c r="C1359">
        <f>VLOOKUP(A1359,Medical_Examinations[],2,FALSE)</f>
        <v>16.8</v>
      </c>
      <c r="D1359">
        <f>VLOOKUP(A1359,Medical_Examinations[],3,FALSE)</f>
        <v>7.98</v>
      </c>
      <c r="E1359" t="str">
        <f>VLOOKUP(A1359,Medical_Examinations[],4,FALSE)</f>
        <v>No</v>
      </c>
      <c r="F1359" t="str">
        <f>VLOOKUP(A1359,Medical_Examinations[],5,FALSE)</f>
        <v>No</v>
      </c>
      <c r="G1359" t="str">
        <f>VLOOKUP(A1359,Medical_Examinations[],6,FALSE)</f>
        <v>No</v>
      </c>
      <c r="H1359">
        <f>VLOOKUP(A1359,Medical_Examinations[],7,FALSE)</f>
        <v>0</v>
      </c>
      <c r="I1359" t="str">
        <f>VLOOKUP(A1359,Medical_Examinations[],8,FALSE)</f>
        <v>No</v>
      </c>
      <c r="J1359" t="str">
        <f>VLOOKUP(A1359,Medical_Examinations[],9,FALSE)</f>
        <v>Underweight</v>
      </c>
      <c r="K1359" t="str">
        <f>VLOOKUP(A1359,Medical_Examinations[],10,FALSE)</f>
        <v>Diabetes</v>
      </c>
      <c r="M1359">
        <f>VLOOKUP(A1359,Hospitalisation_Details__2[],4,FALSE)</f>
        <v>8004.96</v>
      </c>
      <c r="N1359" t="str">
        <f>VLOOKUP(A1359,Hospitalisation_Details__2[],5,FALSE)</f>
        <v>tier - 3</v>
      </c>
      <c r="O1359" t="str">
        <f>VLOOKUP(A1359,Hospitalisation_Details__2[],6,FALSE)</f>
        <v>tier - 1</v>
      </c>
      <c r="P1359" t="str">
        <f>VLOOKUP(A1359,Hospitalisation_Details__2[],7,FALSE)</f>
        <v>R1013</v>
      </c>
    </row>
    <row r="1360" spans="1:16" x14ac:dyDescent="0.35">
      <c r="A1360" t="str">
        <v>Id1359</v>
      </c>
      <c r="B1360" t="str">
        <f>VLOOKUP(A1360,'Customer Names (2)'!A:B, 2,FALSE)</f>
        <v>Ms</v>
      </c>
      <c r="C1360">
        <f>VLOOKUP(A1360,Medical_Examinations[],2,FALSE)</f>
        <v>23.274999999999999</v>
      </c>
      <c r="D1360">
        <f>VLOOKUP(A1360,Medical_Examinations[],3,FALSE)</f>
        <v>6.26</v>
      </c>
      <c r="E1360" t="str">
        <f>VLOOKUP(A1360,Medical_Examinations[],4,FALSE)</f>
        <v>Yes</v>
      </c>
      <c r="F1360" t="str">
        <f>VLOOKUP(A1360,Medical_Examinations[],5,FALSE)</f>
        <v>No</v>
      </c>
      <c r="G1360" t="str">
        <f>VLOOKUP(A1360,Medical_Examinations[],6,FALSE)</f>
        <v>Yes</v>
      </c>
      <c r="H1360">
        <f>VLOOKUP(A1360,Medical_Examinations[],7,FALSE)</f>
        <v>1</v>
      </c>
      <c r="I1360" t="str">
        <f>VLOOKUP(A1360,Medical_Examinations[],8,FALSE)</f>
        <v>No</v>
      </c>
      <c r="J1360" t="str">
        <f>VLOOKUP(A1360,Medical_Examinations[],9,FALSE)</f>
        <v>Normal Weight</v>
      </c>
      <c r="K1360" t="str">
        <f>VLOOKUP(A1360,Medical_Examinations[],10,FALSE)</f>
        <v>Prediabetes</v>
      </c>
      <c r="M1360">
        <f>VLOOKUP(A1360,Hospitalisation_Details__2[],4,FALSE)</f>
        <v>7986.48</v>
      </c>
      <c r="N1360" t="str">
        <f>VLOOKUP(A1360,Hospitalisation_Details__2[],5,FALSE)</f>
        <v>tier - 2</v>
      </c>
      <c r="O1360" t="str">
        <f>VLOOKUP(A1360,Hospitalisation_Details__2[],6,FALSE)</f>
        <v>tier - 3</v>
      </c>
      <c r="P1360" t="str">
        <f>VLOOKUP(A1360,Hospitalisation_Details__2[],7,FALSE)</f>
        <v>R1024</v>
      </c>
    </row>
    <row r="1361" spans="1:16" x14ac:dyDescent="0.35">
      <c r="A1361" t="str">
        <v>Id1360</v>
      </c>
      <c r="B1361" t="str">
        <f>VLOOKUP(A1361,'Customer Names (2)'!A:B, 2,FALSE)</f>
        <v>Ms</v>
      </c>
      <c r="C1361">
        <f>VLOOKUP(A1361,Medical_Examinations[],2,FALSE)</f>
        <v>22.8</v>
      </c>
      <c r="D1361">
        <f>VLOOKUP(A1361,Medical_Examinations[],3,FALSE)</f>
        <v>4.29</v>
      </c>
      <c r="E1361" t="str">
        <f>VLOOKUP(A1361,Medical_Examinations[],4,FALSE)</f>
        <v>Yes</v>
      </c>
      <c r="F1361" t="str">
        <f>VLOOKUP(A1361,Medical_Examinations[],5,FALSE)</f>
        <v>No</v>
      </c>
      <c r="G1361" t="str">
        <f>VLOOKUP(A1361,Medical_Examinations[],6,FALSE)</f>
        <v>Yes</v>
      </c>
      <c r="H1361">
        <f>VLOOKUP(A1361,Medical_Examinations[],7,FALSE)</f>
        <v>1</v>
      </c>
      <c r="I1361" t="str">
        <f>VLOOKUP(A1361,Medical_Examinations[],8,FALSE)</f>
        <v>No</v>
      </c>
      <c r="J1361" t="str">
        <f>VLOOKUP(A1361,Medical_Examinations[],9,FALSE)</f>
        <v>Normal Weight</v>
      </c>
      <c r="K1361" t="str">
        <f>VLOOKUP(A1361,Medical_Examinations[],10,FALSE)</f>
        <v>Normal</v>
      </c>
      <c r="M1361">
        <f>VLOOKUP(A1361,Hospitalisation_Details__2[],4,FALSE)</f>
        <v>7985.82</v>
      </c>
      <c r="N1361" t="str">
        <f>VLOOKUP(A1361,Hospitalisation_Details__2[],5,FALSE)</f>
        <v>tier - 2</v>
      </c>
      <c r="O1361" t="str">
        <f>VLOOKUP(A1361,Hospitalisation_Details__2[],6,FALSE)</f>
        <v>tier - 1</v>
      </c>
      <c r="P1361" t="str">
        <f>VLOOKUP(A1361,Hospitalisation_Details__2[],7,FALSE)</f>
        <v>R1024</v>
      </c>
    </row>
    <row r="1362" spans="1:16" x14ac:dyDescent="0.35">
      <c r="A1362" t="str">
        <v>Id1361</v>
      </c>
      <c r="B1362" t="str">
        <f>VLOOKUP(A1362,'Customer Names (2)'!A:B, 2,FALSE)</f>
        <v>Mr</v>
      </c>
      <c r="C1362">
        <f>VLOOKUP(A1362,Medical_Examinations[],2,FALSE)</f>
        <v>24.3</v>
      </c>
      <c r="D1362">
        <f>VLOOKUP(A1362,Medical_Examinations[],3,FALSE)</f>
        <v>5.43</v>
      </c>
      <c r="E1362" t="str">
        <f>VLOOKUP(A1362,Medical_Examinations[],4,FALSE)</f>
        <v>No</v>
      </c>
      <c r="F1362" t="str">
        <f>VLOOKUP(A1362,Medical_Examinations[],5,FALSE)</f>
        <v>No</v>
      </c>
      <c r="G1362" t="str">
        <f>VLOOKUP(A1362,Medical_Examinations[],6,FALSE)</f>
        <v>No</v>
      </c>
      <c r="H1362">
        <f>VLOOKUP(A1362,Medical_Examinations[],7,FALSE)</f>
        <v>2</v>
      </c>
      <c r="I1362" t="str">
        <f>VLOOKUP(A1362,Medical_Examinations[],8,FALSE)</f>
        <v>No</v>
      </c>
      <c r="J1362" t="str">
        <f>VLOOKUP(A1362,Medical_Examinations[],9,FALSE)</f>
        <v>Normal Weight</v>
      </c>
      <c r="K1362" t="str">
        <f>VLOOKUP(A1362,Medical_Examinations[],10,FALSE)</f>
        <v>Normal</v>
      </c>
      <c r="M1362">
        <f>VLOOKUP(A1362,Hospitalisation_Details__2[],4,FALSE)</f>
        <v>7980.34</v>
      </c>
      <c r="N1362" t="str">
        <f>VLOOKUP(A1362,Hospitalisation_Details__2[],5,FALSE)</f>
        <v>tier - 2</v>
      </c>
      <c r="O1362" t="str">
        <f>VLOOKUP(A1362,Hospitalisation_Details__2[],6,FALSE)</f>
        <v>tier - 2</v>
      </c>
      <c r="P1362" t="str">
        <f>VLOOKUP(A1362,Hospitalisation_Details__2[],7,FALSE)</f>
        <v>R1013</v>
      </c>
    </row>
    <row r="1363" spans="1:16" x14ac:dyDescent="0.35">
      <c r="A1363" t="str">
        <v>Id1362</v>
      </c>
      <c r="B1363" t="str">
        <f>VLOOKUP(A1363,'Customer Names (2)'!A:B, 2,FALSE)</f>
        <v>Mr</v>
      </c>
      <c r="C1363">
        <f>VLOOKUP(A1363,Medical_Examinations[],2,FALSE)</f>
        <v>25.13</v>
      </c>
      <c r="D1363">
        <f>VLOOKUP(A1363,Medical_Examinations[],3,FALSE)</f>
        <v>8</v>
      </c>
      <c r="E1363" t="str">
        <f>VLOOKUP(A1363,Medical_Examinations[],4,FALSE)</f>
        <v>Yes</v>
      </c>
      <c r="F1363" t="str">
        <f>VLOOKUP(A1363,Medical_Examinations[],5,FALSE)</f>
        <v>No</v>
      </c>
      <c r="G1363" t="str">
        <f>VLOOKUP(A1363,Medical_Examinations[],6,FALSE)</f>
        <v>No</v>
      </c>
      <c r="H1363">
        <f>VLOOKUP(A1363,Medical_Examinations[],7,FALSE)</f>
        <v>1</v>
      </c>
      <c r="I1363" t="str">
        <f>VLOOKUP(A1363,Medical_Examinations[],8,FALSE)</f>
        <v>No</v>
      </c>
      <c r="J1363" t="str">
        <f>VLOOKUP(A1363,Medical_Examinations[],9,FALSE)</f>
        <v>Overweight</v>
      </c>
      <c r="K1363" t="str">
        <f>VLOOKUP(A1363,Medical_Examinations[],10,FALSE)</f>
        <v>Diabetes</v>
      </c>
      <c r="M1363">
        <f>VLOOKUP(A1363,Hospitalisation_Details__2[],4,FALSE)</f>
        <v>7966.81</v>
      </c>
      <c r="N1363" t="str">
        <f>VLOOKUP(A1363,Hospitalisation_Details__2[],5,FALSE)</f>
        <v>tier - 2</v>
      </c>
      <c r="O1363" t="str">
        <f>VLOOKUP(A1363,Hospitalisation_Details__2[],6,FALSE)</f>
        <v>tier - 2</v>
      </c>
      <c r="P1363" t="str">
        <f>VLOOKUP(A1363,Hospitalisation_Details__2[],7,FALSE)</f>
        <v>R1013</v>
      </c>
    </row>
    <row r="1364" spans="1:16" x14ac:dyDescent="0.35">
      <c r="A1364" t="str">
        <v>Id1363</v>
      </c>
      <c r="B1364" t="str">
        <f>VLOOKUP(A1364,'Customer Names (2)'!A:B, 2,FALSE)</f>
        <v>Mr</v>
      </c>
      <c r="C1364">
        <f>VLOOKUP(A1364,Medical_Examinations[],2,FALSE)</f>
        <v>22.72</v>
      </c>
      <c r="D1364">
        <f>VLOOKUP(A1364,Medical_Examinations[],3,FALSE)</f>
        <v>9.9600000000000009</v>
      </c>
      <c r="E1364" t="str">
        <f>VLOOKUP(A1364,Medical_Examinations[],4,FALSE)</f>
        <v>Yes</v>
      </c>
      <c r="F1364" t="str">
        <f>VLOOKUP(A1364,Medical_Examinations[],5,FALSE)</f>
        <v>No</v>
      </c>
      <c r="G1364" t="str">
        <f>VLOOKUP(A1364,Medical_Examinations[],6,FALSE)</f>
        <v>No</v>
      </c>
      <c r="H1364">
        <f>VLOOKUP(A1364,Medical_Examinations[],7,FALSE)</f>
        <v>2</v>
      </c>
      <c r="I1364" t="str">
        <f>VLOOKUP(A1364,Medical_Examinations[],8,FALSE)</f>
        <v>No</v>
      </c>
      <c r="J1364" t="str">
        <f>VLOOKUP(A1364,Medical_Examinations[],9,FALSE)</f>
        <v>Normal Weight</v>
      </c>
      <c r="K1364" t="str">
        <f>VLOOKUP(A1364,Medical_Examinations[],10,FALSE)</f>
        <v>Diabetes</v>
      </c>
      <c r="M1364">
        <f>VLOOKUP(A1364,Hospitalisation_Details__2[],4,FALSE)</f>
        <v>7958.13</v>
      </c>
      <c r="N1364" t="str">
        <f>VLOOKUP(A1364,Hospitalisation_Details__2[],5,FALSE)</f>
        <v>tier - 2</v>
      </c>
      <c r="O1364" t="str">
        <f>VLOOKUP(A1364,Hospitalisation_Details__2[],6,FALSE)</f>
        <v>tier - 2</v>
      </c>
      <c r="P1364" t="str">
        <f>VLOOKUP(A1364,Hospitalisation_Details__2[],7,FALSE)</f>
        <v>R1013</v>
      </c>
    </row>
    <row r="1365" spans="1:16" x14ac:dyDescent="0.35">
      <c r="A1365" t="str">
        <v>Id1364</v>
      </c>
      <c r="B1365" t="str">
        <f>VLOOKUP(A1365,'Customer Names (2)'!A:B, 2,FALSE)</f>
        <v>Ms</v>
      </c>
      <c r="C1365">
        <f>VLOOKUP(A1365,Medical_Examinations[],2,FALSE)</f>
        <v>32.6</v>
      </c>
      <c r="D1365">
        <f>VLOOKUP(A1365,Medical_Examinations[],3,FALSE)</f>
        <v>6.8</v>
      </c>
      <c r="E1365" t="str">
        <f>VLOOKUP(A1365,Medical_Examinations[],4,FALSE)</f>
        <v>Yes</v>
      </c>
      <c r="F1365" t="str">
        <f>VLOOKUP(A1365,Medical_Examinations[],5,FALSE)</f>
        <v>No</v>
      </c>
      <c r="G1365" t="str">
        <f>VLOOKUP(A1365,Medical_Examinations[],6,FALSE)</f>
        <v>No</v>
      </c>
      <c r="H1365">
        <f>VLOOKUP(A1365,Medical_Examinations[],7,FALSE)</f>
        <v>0</v>
      </c>
      <c r="I1365" t="str">
        <f>VLOOKUP(A1365,Medical_Examinations[],8,FALSE)</f>
        <v>No</v>
      </c>
      <c r="J1365" t="str">
        <f>VLOOKUP(A1365,Medical_Examinations[],9,FALSE)</f>
        <v>Obesity</v>
      </c>
      <c r="K1365" t="str">
        <f>VLOOKUP(A1365,Medical_Examinations[],10,FALSE)</f>
        <v>Diabetes</v>
      </c>
      <c r="M1365">
        <f>VLOOKUP(A1365,Hospitalisation_Details__2[],4,FALSE)</f>
        <v>7954.52</v>
      </c>
      <c r="N1365" t="str">
        <f>VLOOKUP(A1365,Hospitalisation_Details__2[],5,FALSE)</f>
        <v>tier - 2</v>
      </c>
      <c r="O1365" t="str">
        <f>VLOOKUP(A1365,Hospitalisation_Details__2[],6,FALSE)</f>
        <v>tier - 2</v>
      </c>
      <c r="P1365" t="str">
        <f>VLOOKUP(A1365,Hospitalisation_Details__2[],7,FALSE)</f>
        <v>R1011</v>
      </c>
    </row>
    <row r="1366" spans="1:16" x14ac:dyDescent="0.35">
      <c r="A1366" t="str">
        <v>Id1365</v>
      </c>
      <c r="B1366" t="str">
        <f>VLOOKUP(A1366,'Customer Names (2)'!A:B, 2,FALSE)</f>
        <v>Ms</v>
      </c>
      <c r="C1366">
        <f>VLOOKUP(A1366,Medical_Examinations[],2,FALSE)</f>
        <v>17.28</v>
      </c>
      <c r="D1366">
        <f>VLOOKUP(A1366,Medical_Examinations[],3,FALSE)</f>
        <v>6.22</v>
      </c>
      <c r="E1366" t="str">
        <f>VLOOKUP(A1366,Medical_Examinations[],4,FALSE)</f>
        <v>Yes</v>
      </c>
      <c r="F1366" t="str">
        <f>VLOOKUP(A1366,Medical_Examinations[],5,FALSE)</f>
        <v>No</v>
      </c>
      <c r="G1366" t="str">
        <f>VLOOKUP(A1366,Medical_Examinations[],6,FALSE)</f>
        <v>No</v>
      </c>
      <c r="H1366">
        <f>VLOOKUP(A1366,Medical_Examinations[],7,FALSE)</f>
        <v>2</v>
      </c>
      <c r="I1366" t="str">
        <f>VLOOKUP(A1366,Medical_Examinations[],8,FALSE)</f>
        <v>No</v>
      </c>
      <c r="J1366" t="str">
        <f>VLOOKUP(A1366,Medical_Examinations[],9,FALSE)</f>
        <v>Underweight</v>
      </c>
      <c r="K1366" t="str">
        <f>VLOOKUP(A1366,Medical_Examinations[],10,FALSE)</f>
        <v>Prediabetes</v>
      </c>
      <c r="M1366">
        <f>VLOOKUP(A1366,Hospitalisation_Details__2[],4,FALSE)</f>
        <v>7953.72</v>
      </c>
      <c r="N1366" t="str">
        <f>VLOOKUP(A1366,Hospitalisation_Details__2[],5,FALSE)</f>
        <v>tier - 3</v>
      </c>
      <c r="O1366" t="str">
        <f>VLOOKUP(A1366,Hospitalisation_Details__2[],6,FALSE)</f>
        <v>tier - 3</v>
      </c>
      <c r="P1366" t="str">
        <f>VLOOKUP(A1366,Hospitalisation_Details__2[],7,FALSE)</f>
        <v>R1012</v>
      </c>
    </row>
    <row r="1367" spans="1:16" x14ac:dyDescent="0.35">
      <c r="A1367" t="str">
        <v>Id1366</v>
      </c>
      <c r="B1367" t="str">
        <f>VLOOKUP(A1367,'Customer Names (2)'!A:B, 2,FALSE)</f>
        <v>Mrs</v>
      </c>
      <c r="C1367">
        <f>VLOOKUP(A1367,Medical_Examinations[],2,FALSE)</f>
        <v>27.92</v>
      </c>
      <c r="D1367">
        <f>VLOOKUP(A1367,Medical_Examinations[],3,FALSE)</f>
        <v>5.79</v>
      </c>
      <c r="E1367" t="str">
        <f>VLOOKUP(A1367,Medical_Examinations[],4,FALSE)</f>
        <v>No</v>
      </c>
      <c r="F1367" t="str">
        <f>VLOOKUP(A1367,Medical_Examinations[],5,FALSE)</f>
        <v>No</v>
      </c>
      <c r="G1367" t="str">
        <f>VLOOKUP(A1367,Medical_Examinations[],6,FALSE)</f>
        <v>No</v>
      </c>
      <c r="H1367">
        <f>VLOOKUP(A1367,Medical_Examinations[],7,FALSE)</f>
        <v>1</v>
      </c>
      <c r="I1367" t="str">
        <f>VLOOKUP(A1367,Medical_Examinations[],8,FALSE)</f>
        <v>No</v>
      </c>
      <c r="J1367" t="str">
        <f>VLOOKUP(A1367,Medical_Examinations[],9,FALSE)</f>
        <v>Overweight</v>
      </c>
      <c r="K1367" t="str">
        <f>VLOOKUP(A1367,Medical_Examinations[],10,FALSE)</f>
        <v>Prediabetes</v>
      </c>
      <c r="M1367">
        <f>VLOOKUP(A1367,Hospitalisation_Details__2[],4,FALSE)</f>
        <v>7948.22</v>
      </c>
      <c r="N1367" t="str">
        <f>VLOOKUP(A1367,Hospitalisation_Details__2[],5,FALSE)</f>
        <v>tier - 2</v>
      </c>
      <c r="O1367" t="str">
        <f>VLOOKUP(A1367,Hospitalisation_Details__2[],6,FALSE)</f>
        <v>tier - 3</v>
      </c>
      <c r="P1367" t="str">
        <f>VLOOKUP(A1367,Hospitalisation_Details__2[],7,FALSE)</f>
        <v>R1025</v>
      </c>
    </row>
    <row r="1368" spans="1:16" x14ac:dyDescent="0.35">
      <c r="A1368" t="str">
        <v>Id1367</v>
      </c>
      <c r="B1368" t="str">
        <f>VLOOKUP(A1368,'Customer Names (2)'!A:B, 2,FALSE)</f>
        <v>Ms</v>
      </c>
      <c r="C1368">
        <f>VLOOKUP(A1368,Medical_Examinations[],2,FALSE)</f>
        <v>38.284999999999997</v>
      </c>
      <c r="D1368">
        <f>VLOOKUP(A1368,Medical_Examinations[],3,FALSE)</f>
        <v>5.41</v>
      </c>
      <c r="E1368" t="str">
        <f>VLOOKUP(A1368,Medical_Examinations[],4,FALSE)</f>
        <v>No</v>
      </c>
      <c r="F1368" t="str">
        <f>VLOOKUP(A1368,Medical_Examinations[],5,FALSE)</f>
        <v>No</v>
      </c>
      <c r="G1368" t="str">
        <f>VLOOKUP(A1368,Medical_Examinations[],6,FALSE)</f>
        <v>No</v>
      </c>
      <c r="H1368">
        <f>VLOOKUP(A1368,Medical_Examinations[],7,FALSE)</f>
        <v>0</v>
      </c>
      <c r="I1368" t="str">
        <f>VLOOKUP(A1368,Medical_Examinations[],8,FALSE)</f>
        <v>No</v>
      </c>
      <c r="J1368" t="str">
        <f>VLOOKUP(A1368,Medical_Examinations[],9,FALSE)</f>
        <v>Obesity</v>
      </c>
      <c r="K1368" t="str">
        <f>VLOOKUP(A1368,Medical_Examinations[],10,FALSE)</f>
        <v>Normal</v>
      </c>
      <c r="M1368">
        <f>VLOOKUP(A1368,Hospitalisation_Details__2[],4,FALSE)</f>
        <v>7935.29</v>
      </c>
      <c r="N1368" t="str">
        <f>VLOOKUP(A1368,Hospitalisation_Details__2[],5,FALSE)</f>
        <v>tier - 2</v>
      </c>
      <c r="O1368" t="str">
        <f>VLOOKUP(A1368,Hospitalisation_Details__2[],6,FALSE)</f>
        <v>tier - 1</v>
      </c>
      <c r="P1368" t="str">
        <f>VLOOKUP(A1368,Hospitalisation_Details__2[],7,FALSE)</f>
        <v>R1024</v>
      </c>
    </row>
    <row r="1369" spans="1:16" x14ac:dyDescent="0.35">
      <c r="A1369" t="str">
        <v>Id1368</v>
      </c>
      <c r="B1369" t="str">
        <f>VLOOKUP(A1369,'Customer Names (2)'!A:B, 2,FALSE)</f>
        <v>Mr</v>
      </c>
      <c r="C1369">
        <f>VLOOKUP(A1369,Medical_Examinations[],2,FALSE)</f>
        <v>16.48</v>
      </c>
      <c r="D1369">
        <f>VLOOKUP(A1369,Medical_Examinations[],3,FALSE)</f>
        <v>11.05</v>
      </c>
      <c r="E1369" t="str">
        <f>VLOOKUP(A1369,Medical_Examinations[],4,FALSE)</f>
        <v>No</v>
      </c>
      <c r="F1369" t="str">
        <f>VLOOKUP(A1369,Medical_Examinations[],5,FALSE)</f>
        <v>No</v>
      </c>
      <c r="G1369" t="str">
        <f>VLOOKUP(A1369,Medical_Examinations[],6,FALSE)</f>
        <v>No</v>
      </c>
      <c r="H1369">
        <f>VLOOKUP(A1369,Medical_Examinations[],7,FALSE)</f>
        <v>0</v>
      </c>
      <c r="I1369" t="str">
        <f>VLOOKUP(A1369,Medical_Examinations[],8,FALSE)</f>
        <v>No</v>
      </c>
      <c r="J1369" t="str">
        <f>VLOOKUP(A1369,Medical_Examinations[],9,FALSE)</f>
        <v>Underweight</v>
      </c>
      <c r="K1369" t="str">
        <f>VLOOKUP(A1369,Medical_Examinations[],10,FALSE)</f>
        <v>Diabetes</v>
      </c>
      <c r="M1369">
        <f>VLOOKUP(A1369,Hospitalisation_Details__2[],4,FALSE)</f>
        <v>7896.41</v>
      </c>
      <c r="N1369" t="str">
        <f>VLOOKUP(A1369,Hospitalisation_Details__2[],5,FALSE)</f>
        <v>tier - 3</v>
      </c>
      <c r="O1369" t="str">
        <f>VLOOKUP(A1369,Hospitalisation_Details__2[],6,FALSE)</f>
        <v>tier - 2</v>
      </c>
      <c r="P1369" t="str">
        <f>VLOOKUP(A1369,Hospitalisation_Details__2[],7,FALSE)</f>
        <v>R1013</v>
      </c>
    </row>
    <row r="1370" spans="1:16" x14ac:dyDescent="0.35">
      <c r="A1370" t="str">
        <v>Id1369</v>
      </c>
      <c r="B1370" t="str">
        <f>VLOOKUP(A1370,'Customer Names (2)'!A:B, 2,FALSE)</f>
        <v>Mr</v>
      </c>
      <c r="C1370">
        <f>VLOOKUP(A1370,Medical_Examinations[],2,FALSE)</f>
        <v>38.57</v>
      </c>
      <c r="D1370">
        <f>VLOOKUP(A1370,Medical_Examinations[],3,FALSE)</f>
        <v>6.27</v>
      </c>
      <c r="E1370" t="str">
        <f>VLOOKUP(A1370,Medical_Examinations[],4,FALSE)</f>
        <v>No</v>
      </c>
      <c r="F1370" t="str">
        <f>VLOOKUP(A1370,Medical_Examinations[],5,FALSE)</f>
        <v>No</v>
      </c>
      <c r="G1370" t="str">
        <f>VLOOKUP(A1370,Medical_Examinations[],6,FALSE)</f>
        <v>No</v>
      </c>
      <c r="H1370">
        <f>VLOOKUP(A1370,Medical_Examinations[],7,FALSE)</f>
        <v>0</v>
      </c>
      <c r="I1370" t="str">
        <f>VLOOKUP(A1370,Medical_Examinations[],8,FALSE)</f>
        <v>No</v>
      </c>
      <c r="J1370" t="str">
        <f>VLOOKUP(A1370,Medical_Examinations[],9,FALSE)</f>
        <v>Obesity</v>
      </c>
      <c r="K1370" t="str">
        <f>VLOOKUP(A1370,Medical_Examinations[],10,FALSE)</f>
        <v>Prediabetes</v>
      </c>
      <c r="M1370">
        <f>VLOOKUP(A1370,Hospitalisation_Details__2[],4,FALSE)</f>
        <v>7851.85</v>
      </c>
      <c r="N1370" t="str">
        <f>VLOOKUP(A1370,Hospitalisation_Details__2[],5,FALSE)</f>
        <v>tier - 2</v>
      </c>
      <c r="O1370" t="str">
        <f>VLOOKUP(A1370,Hospitalisation_Details__2[],6,FALSE)</f>
        <v>tier - 3</v>
      </c>
      <c r="P1370" t="str">
        <f>VLOOKUP(A1370,Hospitalisation_Details__2[],7,FALSE)</f>
        <v>R1012</v>
      </c>
    </row>
    <row r="1371" spans="1:16" x14ac:dyDescent="0.35">
      <c r="A1371" t="str">
        <v>Id1370</v>
      </c>
      <c r="B1371" t="str">
        <f>VLOOKUP(A1371,'Customer Names (2)'!A:B, 2,FALSE)</f>
        <v>Mr</v>
      </c>
      <c r="C1371">
        <f>VLOOKUP(A1371,Medical_Examinations[],2,FALSE)</f>
        <v>43.85</v>
      </c>
      <c r="D1371">
        <f>VLOOKUP(A1371,Medical_Examinations[],3,FALSE)</f>
        <v>4.7699999999999996</v>
      </c>
      <c r="E1371" t="str">
        <f>VLOOKUP(A1371,Medical_Examinations[],4,FALSE)</f>
        <v>Yes</v>
      </c>
      <c r="F1371" t="str">
        <f>VLOOKUP(A1371,Medical_Examinations[],5,FALSE)</f>
        <v>No</v>
      </c>
      <c r="G1371" t="str">
        <f>VLOOKUP(A1371,Medical_Examinations[],6,FALSE)</f>
        <v>No</v>
      </c>
      <c r="H1371">
        <f>VLOOKUP(A1371,Medical_Examinations[],7,FALSE)</f>
        <v>0</v>
      </c>
      <c r="I1371" t="str">
        <f>VLOOKUP(A1371,Medical_Examinations[],8,FALSE)</f>
        <v>No</v>
      </c>
      <c r="J1371" t="str">
        <f>VLOOKUP(A1371,Medical_Examinations[],9,FALSE)</f>
        <v>Obesity</v>
      </c>
      <c r="K1371" t="str">
        <f>VLOOKUP(A1371,Medical_Examinations[],10,FALSE)</f>
        <v>Normal</v>
      </c>
      <c r="M1371">
        <f>VLOOKUP(A1371,Hospitalisation_Details__2[],4,FALSE)</f>
        <v>7844.8</v>
      </c>
      <c r="N1371" t="str">
        <f>VLOOKUP(A1371,Hospitalisation_Details__2[],5,FALSE)</f>
        <v>tier - 2</v>
      </c>
      <c r="O1371" t="str">
        <f>VLOOKUP(A1371,Hospitalisation_Details__2[],6,FALSE)</f>
        <v>tier - 2</v>
      </c>
      <c r="P1371" t="str">
        <f>VLOOKUP(A1371,Hospitalisation_Details__2[],7,FALSE)</f>
        <v>R1012</v>
      </c>
    </row>
    <row r="1372" spans="1:16" x14ac:dyDescent="0.35">
      <c r="A1372" t="str">
        <v>Id1371</v>
      </c>
      <c r="B1372" t="str">
        <f>VLOOKUP(A1372,'Customer Names (2)'!A:B, 2,FALSE)</f>
        <v>Ms</v>
      </c>
      <c r="C1372">
        <f>VLOOKUP(A1372,Medical_Examinations[],2,FALSE)</f>
        <v>30.11</v>
      </c>
      <c r="D1372">
        <f>VLOOKUP(A1372,Medical_Examinations[],3,FALSE)</f>
        <v>4.08</v>
      </c>
      <c r="E1372" t="str">
        <f>VLOOKUP(A1372,Medical_Examinations[],4,FALSE)</f>
        <v>No</v>
      </c>
      <c r="F1372" t="str">
        <f>VLOOKUP(A1372,Medical_Examinations[],5,FALSE)</f>
        <v>No</v>
      </c>
      <c r="G1372" t="str">
        <f>VLOOKUP(A1372,Medical_Examinations[],6,FALSE)</f>
        <v>No</v>
      </c>
      <c r="H1372">
        <f>VLOOKUP(A1372,Medical_Examinations[],7,FALSE)</f>
        <v>0</v>
      </c>
      <c r="I1372" t="str">
        <f>VLOOKUP(A1372,Medical_Examinations[],8,FALSE)</f>
        <v>No</v>
      </c>
      <c r="J1372" t="str">
        <f>VLOOKUP(A1372,Medical_Examinations[],9,FALSE)</f>
        <v>Obesity</v>
      </c>
      <c r="K1372" t="str">
        <f>VLOOKUP(A1372,Medical_Examinations[],10,FALSE)</f>
        <v>Normal</v>
      </c>
      <c r="M1372">
        <f>VLOOKUP(A1372,Hospitalisation_Details__2[],4,FALSE)</f>
        <v>7824.37</v>
      </c>
      <c r="N1372" t="str">
        <f>VLOOKUP(A1372,Hospitalisation_Details__2[],5,FALSE)</f>
        <v>tier - 2</v>
      </c>
      <c r="O1372" t="str">
        <f>VLOOKUP(A1372,Hospitalisation_Details__2[],6,FALSE)</f>
        <v>tier - 2</v>
      </c>
      <c r="P1372" t="str">
        <f>VLOOKUP(A1372,Hospitalisation_Details__2[],7,FALSE)</f>
        <v>R1012</v>
      </c>
    </row>
    <row r="1373" spans="1:16" x14ac:dyDescent="0.35">
      <c r="A1373" t="str">
        <v>Id1372</v>
      </c>
      <c r="B1373" t="str">
        <f>VLOOKUP(A1373,'Customer Names (2)'!A:B, 2,FALSE)</f>
        <v>Ms</v>
      </c>
      <c r="C1373">
        <f>VLOOKUP(A1373,Medical_Examinations[],2,FALSE)</f>
        <v>31.59</v>
      </c>
      <c r="D1373">
        <f>VLOOKUP(A1373,Medical_Examinations[],3,FALSE)</f>
        <v>6.01</v>
      </c>
      <c r="E1373" t="str">
        <f>VLOOKUP(A1373,Medical_Examinations[],4,FALSE)</f>
        <v>No</v>
      </c>
      <c r="F1373" t="str">
        <f>VLOOKUP(A1373,Medical_Examinations[],5,FALSE)</f>
        <v>No</v>
      </c>
      <c r="G1373" t="str">
        <f>VLOOKUP(A1373,Medical_Examinations[],6,FALSE)</f>
        <v>No</v>
      </c>
      <c r="H1373">
        <f>VLOOKUP(A1373,Medical_Examinations[],7,FALSE)</f>
        <v>0</v>
      </c>
      <c r="I1373" t="str">
        <f>VLOOKUP(A1373,Medical_Examinations[],8,FALSE)</f>
        <v>No</v>
      </c>
      <c r="J1373" t="str">
        <f>VLOOKUP(A1373,Medical_Examinations[],9,FALSE)</f>
        <v>Obesity</v>
      </c>
      <c r="K1373" t="str">
        <f>VLOOKUP(A1373,Medical_Examinations[],10,FALSE)</f>
        <v>Prediabetes</v>
      </c>
      <c r="M1373">
        <f>VLOOKUP(A1373,Hospitalisation_Details__2[],4,FALSE)</f>
        <v>7812.67</v>
      </c>
      <c r="N1373" t="str">
        <f>VLOOKUP(A1373,Hospitalisation_Details__2[],5,FALSE)</f>
        <v>tier - 2</v>
      </c>
      <c r="O1373" t="str">
        <f>VLOOKUP(A1373,Hospitalisation_Details__2[],6,FALSE)</f>
        <v>tier - 1</v>
      </c>
      <c r="P1373" t="str">
        <f>VLOOKUP(A1373,Hospitalisation_Details__2[],7,FALSE)</f>
        <v>R1012</v>
      </c>
    </row>
    <row r="1374" spans="1:16" x14ac:dyDescent="0.35">
      <c r="A1374" t="str">
        <v>Id1373</v>
      </c>
      <c r="B1374" t="str">
        <f>VLOOKUP(A1374,'Customer Names (2)'!A:B, 2,FALSE)</f>
        <v>Mr</v>
      </c>
      <c r="C1374">
        <f>VLOOKUP(A1374,Medical_Examinations[],2,FALSE)</f>
        <v>40.15</v>
      </c>
      <c r="D1374">
        <f>VLOOKUP(A1374,Medical_Examinations[],3,FALSE)</f>
        <v>11.84</v>
      </c>
      <c r="E1374" t="str">
        <f>VLOOKUP(A1374,Medical_Examinations[],4,FALSE)</f>
        <v>No</v>
      </c>
      <c r="F1374" t="str">
        <f>VLOOKUP(A1374,Medical_Examinations[],5,FALSE)</f>
        <v>No</v>
      </c>
      <c r="G1374" t="str">
        <f>VLOOKUP(A1374,Medical_Examinations[],6,FALSE)</f>
        <v>No</v>
      </c>
      <c r="H1374">
        <f>VLOOKUP(A1374,Medical_Examinations[],7,FALSE)</f>
        <v>0</v>
      </c>
      <c r="I1374" t="str">
        <f>VLOOKUP(A1374,Medical_Examinations[],8,FALSE)</f>
        <v>No</v>
      </c>
      <c r="J1374" t="str">
        <f>VLOOKUP(A1374,Medical_Examinations[],9,FALSE)</f>
        <v>Obesity</v>
      </c>
      <c r="K1374" t="str">
        <f>VLOOKUP(A1374,Medical_Examinations[],10,FALSE)</f>
        <v>Diabetes</v>
      </c>
      <c r="M1374">
        <f>VLOOKUP(A1374,Hospitalisation_Details__2[],4,FALSE)</f>
        <v>7804.16</v>
      </c>
      <c r="N1374" t="str">
        <f>VLOOKUP(A1374,Hospitalisation_Details__2[],5,FALSE)</f>
        <v>tier - 2</v>
      </c>
      <c r="O1374" t="str">
        <f>VLOOKUP(A1374,Hospitalisation_Details__2[],6,FALSE)</f>
        <v>tier - 3</v>
      </c>
      <c r="P1374" t="str">
        <f>VLOOKUP(A1374,Hospitalisation_Details__2[],7,FALSE)</f>
        <v>R1013</v>
      </c>
    </row>
    <row r="1375" spans="1:16" x14ac:dyDescent="0.35">
      <c r="A1375" t="str">
        <v>Id1374</v>
      </c>
      <c r="B1375" t="str">
        <f>VLOOKUP(A1375,'Customer Names (2)'!A:B, 2,FALSE)</f>
        <v>Mr</v>
      </c>
      <c r="C1375">
        <f>VLOOKUP(A1375,Medical_Examinations[],2,FALSE)</f>
        <v>40.700000000000003</v>
      </c>
      <c r="D1375">
        <f>VLOOKUP(A1375,Medical_Examinations[],3,FALSE)</f>
        <v>6.27</v>
      </c>
      <c r="E1375" t="str">
        <f>VLOOKUP(A1375,Medical_Examinations[],4,FALSE)</f>
        <v>Yes</v>
      </c>
      <c r="F1375" t="str">
        <f>VLOOKUP(A1375,Medical_Examinations[],5,FALSE)</f>
        <v>No</v>
      </c>
      <c r="G1375" t="str">
        <f>VLOOKUP(A1375,Medical_Examinations[],6,FALSE)</f>
        <v>Yes</v>
      </c>
      <c r="H1375">
        <f>VLOOKUP(A1375,Medical_Examinations[],7,FALSE)</f>
        <v>1</v>
      </c>
      <c r="I1375" t="str">
        <f>VLOOKUP(A1375,Medical_Examinations[],8,FALSE)</f>
        <v>No</v>
      </c>
      <c r="J1375" t="str">
        <f>VLOOKUP(A1375,Medical_Examinations[],9,FALSE)</f>
        <v>Obesity</v>
      </c>
      <c r="K1375" t="str">
        <f>VLOOKUP(A1375,Medical_Examinations[],10,FALSE)</f>
        <v>Prediabetes</v>
      </c>
      <c r="M1375">
        <f>VLOOKUP(A1375,Hospitalisation_Details__2[],4,FALSE)</f>
        <v>7803.77</v>
      </c>
      <c r="N1375" t="str">
        <f>VLOOKUP(A1375,Hospitalisation_Details__2[],5,FALSE)</f>
        <v>tier - 2</v>
      </c>
      <c r="O1375" t="str">
        <f>VLOOKUP(A1375,Hospitalisation_Details__2[],6,FALSE)</f>
        <v>tier - 3</v>
      </c>
      <c r="P1375" t="str">
        <f>VLOOKUP(A1375,Hospitalisation_Details__2[],7,FALSE)</f>
        <v>R1012</v>
      </c>
    </row>
    <row r="1376" spans="1:16" x14ac:dyDescent="0.35">
      <c r="A1376" t="str">
        <v>Id1375</v>
      </c>
      <c r="B1376" t="str">
        <f>VLOOKUP(A1376,'Customer Names (2)'!A:B, 2,FALSE)</f>
        <v>Mrs</v>
      </c>
      <c r="C1376">
        <f>VLOOKUP(A1376,Medical_Examinations[],2,FALSE)</f>
        <v>40.76</v>
      </c>
      <c r="D1376">
        <f>VLOOKUP(A1376,Medical_Examinations[],3,FALSE)</f>
        <v>5.28</v>
      </c>
      <c r="E1376" t="str">
        <f>VLOOKUP(A1376,Medical_Examinations[],4,FALSE)</f>
        <v>No</v>
      </c>
      <c r="F1376" t="str">
        <f>VLOOKUP(A1376,Medical_Examinations[],5,FALSE)</f>
        <v>No</v>
      </c>
      <c r="G1376" t="str">
        <f>VLOOKUP(A1376,Medical_Examinations[],6,FALSE)</f>
        <v>No</v>
      </c>
      <c r="H1376">
        <f>VLOOKUP(A1376,Medical_Examinations[],7,FALSE)</f>
        <v>0</v>
      </c>
      <c r="I1376" t="str">
        <f>VLOOKUP(A1376,Medical_Examinations[],8,FALSE)</f>
        <v>No</v>
      </c>
      <c r="J1376" t="str">
        <f>VLOOKUP(A1376,Medical_Examinations[],9,FALSE)</f>
        <v>Obesity</v>
      </c>
      <c r="K1376" t="str">
        <f>VLOOKUP(A1376,Medical_Examinations[],10,FALSE)</f>
        <v>Normal</v>
      </c>
      <c r="M1376">
        <f>VLOOKUP(A1376,Hospitalisation_Details__2[],4,FALSE)</f>
        <v>7794.68</v>
      </c>
      <c r="N1376" t="str">
        <f>VLOOKUP(A1376,Hospitalisation_Details__2[],5,FALSE)</f>
        <v>tier - 2</v>
      </c>
      <c r="O1376" t="str">
        <f>VLOOKUP(A1376,Hospitalisation_Details__2[],6,FALSE)</f>
        <v>tier - 2</v>
      </c>
      <c r="P1376" t="str">
        <f>VLOOKUP(A1376,Hospitalisation_Details__2[],7,FALSE)</f>
        <v>R1026</v>
      </c>
    </row>
    <row r="1377" spans="1:16" x14ac:dyDescent="0.35">
      <c r="A1377" t="str">
        <v>Id1376</v>
      </c>
      <c r="B1377" t="str">
        <f>VLOOKUP(A1377,'Customer Names (2)'!A:B, 2,FALSE)</f>
        <v>Mr</v>
      </c>
      <c r="C1377">
        <f>VLOOKUP(A1377,Medical_Examinations[],2,FALSE)</f>
        <v>29.7</v>
      </c>
      <c r="D1377">
        <f>VLOOKUP(A1377,Medical_Examinations[],3,FALSE)</f>
        <v>7.03</v>
      </c>
      <c r="E1377" t="str">
        <f>VLOOKUP(A1377,Medical_Examinations[],4,FALSE)</f>
        <v>No</v>
      </c>
      <c r="F1377" t="str">
        <f>VLOOKUP(A1377,Medical_Examinations[],5,FALSE)</f>
        <v>No</v>
      </c>
      <c r="G1377" t="str">
        <f>VLOOKUP(A1377,Medical_Examinations[],6,FALSE)</f>
        <v>No</v>
      </c>
      <c r="H1377">
        <f>VLOOKUP(A1377,Medical_Examinations[],7,FALSE)</f>
        <v>0</v>
      </c>
      <c r="I1377" t="str">
        <f>VLOOKUP(A1377,Medical_Examinations[],8,FALSE)</f>
        <v>No</v>
      </c>
      <c r="J1377" t="str">
        <f>VLOOKUP(A1377,Medical_Examinations[],9,FALSE)</f>
        <v>Overweight</v>
      </c>
      <c r="K1377" t="str">
        <f>VLOOKUP(A1377,Medical_Examinations[],10,FALSE)</f>
        <v>Diabetes</v>
      </c>
      <c r="M1377">
        <f>VLOOKUP(A1377,Hospitalisation_Details__2[],4,FALSE)</f>
        <v>7789.64</v>
      </c>
      <c r="N1377" t="str">
        <f>VLOOKUP(A1377,Hospitalisation_Details__2[],5,FALSE)</f>
        <v>tier - 1</v>
      </c>
      <c r="O1377" t="str">
        <f>VLOOKUP(A1377,Hospitalisation_Details__2[],6,FALSE)</f>
        <v>tier - 3</v>
      </c>
      <c r="P1377" t="str">
        <f>VLOOKUP(A1377,Hospitalisation_Details__2[],7,FALSE)</f>
        <v>R1013</v>
      </c>
    </row>
    <row r="1378" spans="1:16" x14ac:dyDescent="0.35">
      <c r="A1378" t="str">
        <v>Id1377</v>
      </c>
      <c r="B1378" t="str">
        <f>VLOOKUP(A1378,'Customer Names (2)'!A:B, 2,FALSE)</f>
        <v>Mr</v>
      </c>
      <c r="C1378">
        <f>VLOOKUP(A1378,Medical_Examinations[],2,FALSE)</f>
        <v>40.58</v>
      </c>
      <c r="D1378">
        <f>VLOOKUP(A1378,Medical_Examinations[],3,FALSE)</f>
        <v>5.32</v>
      </c>
      <c r="E1378" t="str">
        <f>VLOOKUP(A1378,Medical_Examinations[],4,FALSE)</f>
        <v>Yes</v>
      </c>
      <c r="F1378" t="str">
        <f>VLOOKUP(A1378,Medical_Examinations[],5,FALSE)</f>
        <v>No</v>
      </c>
      <c r="G1378" t="str">
        <f>VLOOKUP(A1378,Medical_Examinations[],6,FALSE)</f>
        <v>Yes</v>
      </c>
      <c r="H1378">
        <f>VLOOKUP(A1378,Medical_Examinations[],7,FALSE)</f>
        <v>1</v>
      </c>
      <c r="I1378" t="str">
        <f>VLOOKUP(A1378,Medical_Examinations[],8,FALSE)</f>
        <v>No</v>
      </c>
      <c r="J1378" t="str">
        <f>VLOOKUP(A1378,Medical_Examinations[],9,FALSE)</f>
        <v>Obesity</v>
      </c>
      <c r="K1378" t="str">
        <f>VLOOKUP(A1378,Medical_Examinations[],10,FALSE)</f>
        <v>Normal</v>
      </c>
      <c r="M1378">
        <f>VLOOKUP(A1378,Hospitalisation_Details__2[],4,FALSE)</f>
        <v>7763.06</v>
      </c>
      <c r="N1378" t="str">
        <f>VLOOKUP(A1378,Hospitalisation_Details__2[],5,FALSE)</f>
        <v>tier - 2</v>
      </c>
      <c r="O1378" t="str">
        <f>VLOOKUP(A1378,Hospitalisation_Details__2[],6,FALSE)</f>
        <v>tier - 1</v>
      </c>
      <c r="P1378" t="str">
        <f>VLOOKUP(A1378,Hospitalisation_Details__2[],7,FALSE)</f>
        <v>R1012</v>
      </c>
    </row>
    <row r="1379" spans="1:16" x14ac:dyDescent="0.35">
      <c r="A1379" t="str">
        <v>Id1378</v>
      </c>
      <c r="B1379" t="str">
        <f>VLOOKUP(A1379,'Customer Names (2)'!A:B, 2,FALSE)</f>
        <v>Ms</v>
      </c>
      <c r="C1379">
        <f>VLOOKUP(A1379,Medical_Examinations[],2,FALSE)</f>
        <v>33.06</v>
      </c>
      <c r="D1379">
        <f>VLOOKUP(A1379,Medical_Examinations[],3,FALSE)</f>
        <v>9.59</v>
      </c>
      <c r="E1379" t="str">
        <f>VLOOKUP(A1379,Medical_Examinations[],4,FALSE)</f>
        <v>Yes</v>
      </c>
      <c r="F1379" t="str">
        <f>VLOOKUP(A1379,Medical_Examinations[],5,FALSE)</f>
        <v>No</v>
      </c>
      <c r="G1379" t="str">
        <f>VLOOKUP(A1379,Medical_Examinations[],6,FALSE)</f>
        <v>No</v>
      </c>
      <c r="H1379">
        <f>VLOOKUP(A1379,Medical_Examinations[],7,FALSE)</f>
        <v>0</v>
      </c>
      <c r="I1379" t="str">
        <f>VLOOKUP(A1379,Medical_Examinations[],8,FALSE)</f>
        <v>No</v>
      </c>
      <c r="J1379" t="str">
        <f>VLOOKUP(A1379,Medical_Examinations[],9,FALSE)</f>
        <v>Obesity</v>
      </c>
      <c r="K1379" t="str">
        <f>VLOOKUP(A1379,Medical_Examinations[],10,FALSE)</f>
        <v>Diabetes</v>
      </c>
      <c r="M1379">
        <f>VLOOKUP(A1379,Hospitalisation_Details__2[],4,FALSE)</f>
        <v>7749.16</v>
      </c>
      <c r="N1379" t="str">
        <f>VLOOKUP(A1379,Hospitalisation_Details__2[],5,FALSE)</f>
        <v>tier - 2</v>
      </c>
      <c r="O1379" t="str">
        <f>VLOOKUP(A1379,Hospitalisation_Details__2[],6,FALSE)</f>
        <v>tier - 1</v>
      </c>
      <c r="P1379" t="str">
        <f>VLOOKUP(A1379,Hospitalisation_Details__2[],7,FALSE)</f>
        <v>R1012</v>
      </c>
    </row>
    <row r="1380" spans="1:16" x14ac:dyDescent="0.35">
      <c r="A1380" t="str">
        <v>Id1379</v>
      </c>
      <c r="B1380" t="str">
        <f>VLOOKUP(A1380,'Customer Names (2)'!A:B, 2,FALSE)</f>
        <v>Mr</v>
      </c>
      <c r="C1380">
        <f>VLOOKUP(A1380,Medical_Examinations[],2,FALSE)</f>
        <v>26.62</v>
      </c>
      <c r="D1380">
        <f>VLOOKUP(A1380,Medical_Examinations[],3,FALSE)</f>
        <v>6.15</v>
      </c>
      <c r="E1380" t="str">
        <f>VLOOKUP(A1380,Medical_Examinations[],4,FALSE)</f>
        <v>Yes</v>
      </c>
      <c r="F1380" t="str">
        <f>VLOOKUP(A1380,Medical_Examinations[],5,FALSE)</f>
        <v>No</v>
      </c>
      <c r="G1380" t="str">
        <f>VLOOKUP(A1380,Medical_Examinations[],6,FALSE)</f>
        <v>No</v>
      </c>
      <c r="H1380">
        <f>VLOOKUP(A1380,Medical_Examinations[],7,FALSE)</f>
        <v>0</v>
      </c>
      <c r="I1380" t="str">
        <f>VLOOKUP(A1380,Medical_Examinations[],8,FALSE)</f>
        <v>No</v>
      </c>
      <c r="J1380" t="str">
        <f>VLOOKUP(A1380,Medical_Examinations[],9,FALSE)</f>
        <v>Overweight</v>
      </c>
      <c r="K1380" t="str">
        <f>VLOOKUP(A1380,Medical_Examinations[],10,FALSE)</f>
        <v>Prediabetes</v>
      </c>
      <c r="M1380">
        <f>VLOOKUP(A1380,Hospitalisation_Details__2[],4,FALSE)</f>
        <v>7742.11</v>
      </c>
      <c r="N1380" t="str">
        <f>VLOOKUP(A1380,Hospitalisation_Details__2[],5,FALSE)</f>
        <v>tier - 3</v>
      </c>
      <c r="O1380" t="str">
        <f>VLOOKUP(A1380,Hospitalisation_Details__2[],6,FALSE)</f>
        <v>tier - 2</v>
      </c>
      <c r="P1380" t="str">
        <f>VLOOKUP(A1380,Hospitalisation_Details__2[],7,FALSE)</f>
        <v>R1013</v>
      </c>
    </row>
    <row r="1381" spans="1:16" x14ac:dyDescent="0.35">
      <c r="A1381" t="str">
        <v>Id1380</v>
      </c>
      <c r="B1381" t="str">
        <f>VLOOKUP(A1381,'Customer Names (2)'!A:B, 2,FALSE)</f>
        <v>Mr</v>
      </c>
      <c r="C1381">
        <f>VLOOKUP(A1381,Medical_Examinations[],2,FALSE)</f>
        <v>37.1</v>
      </c>
      <c r="D1381">
        <f>VLOOKUP(A1381,Medical_Examinations[],3,FALSE)</f>
        <v>11.08</v>
      </c>
      <c r="E1381" t="str">
        <f>VLOOKUP(A1381,Medical_Examinations[],4,FALSE)</f>
        <v>No</v>
      </c>
      <c r="F1381" t="str">
        <f>VLOOKUP(A1381,Medical_Examinations[],5,FALSE)</f>
        <v>No</v>
      </c>
      <c r="G1381" t="str">
        <f>VLOOKUP(A1381,Medical_Examinations[],6,FALSE)</f>
        <v>No</v>
      </c>
      <c r="H1381">
        <f>VLOOKUP(A1381,Medical_Examinations[],7,FALSE)</f>
        <v>0</v>
      </c>
      <c r="I1381" t="str">
        <f>VLOOKUP(A1381,Medical_Examinations[],8,FALSE)</f>
        <v>No</v>
      </c>
      <c r="J1381" t="str">
        <f>VLOOKUP(A1381,Medical_Examinations[],9,FALSE)</f>
        <v>Obesity</v>
      </c>
      <c r="K1381" t="str">
        <f>VLOOKUP(A1381,Medical_Examinations[],10,FALSE)</f>
        <v>Diabetes</v>
      </c>
      <c r="M1381">
        <f>VLOOKUP(A1381,Hospitalisation_Details__2[],4,FALSE)</f>
        <v>7740.34</v>
      </c>
      <c r="N1381" t="str">
        <f>VLOOKUP(A1381,Hospitalisation_Details__2[],5,FALSE)</f>
        <v>tier - 1</v>
      </c>
      <c r="O1381" t="str">
        <f>VLOOKUP(A1381,Hospitalisation_Details__2[],6,FALSE)</f>
        <v>tier - 1</v>
      </c>
      <c r="P1381" t="str">
        <f>VLOOKUP(A1381,Hospitalisation_Details__2[],7,FALSE)</f>
        <v>R1011</v>
      </c>
    </row>
    <row r="1382" spans="1:16" x14ac:dyDescent="0.35">
      <c r="A1382" t="str">
        <v>Id1381</v>
      </c>
      <c r="B1382" t="str">
        <f>VLOOKUP(A1382,'Customer Names (2)'!A:B, 2,FALSE)</f>
        <v>Mr</v>
      </c>
      <c r="C1382">
        <f>VLOOKUP(A1382,Medical_Examinations[],2,FALSE)</f>
        <v>18.28</v>
      </c>
      <c r="D1382">
        <f>VLOOKUP(A1382,Medical_Examinations[],3,FALSE)</f>
        <v>7.95</v>
      </c>
      <c r="E1382" t="str">
        <f>VLOOKUP(A1382,Medical_Examinations[],4,FALSE)</f>
        <v>No</v>
      </c>
      <c r="F1382" t="str">
        <f>VLOOKUP(A1382,Medical_Examinations[],5,FALSE)</f>
        <v>No</v>
      </c>
      <c r="G1382" t="str">
        <f>VLOOKUP(A1382,Medical_Examinations[],6,FALSE)</f>
        <v>No</v>
      </c>
      <c r="H1382">
        <f>VLOOKUP(A1382,Medical_Examinations[],7,FALSE)</f>
        <v>0</v>
      </c>
      <c r="I1382" t="str">
        <f>VLOOKUP(A1382,Medical_Examinations[],8,FALSE)</f>
        <v>No</v>
      </c>
      <c r="J1382" t="str">
        <f>VLOOKUP(A1382,Medical_Examinations[],9,FALSE)</f>
        <v>Underweight</v>
      </c>
      <c r="K1382" t="str">
        <f>VLOOKUP(A1382,Medical_Examinations[],10,FALSE)</f>
        <v>Diabetes</v>
      </c>
      <c r="M1382">
        <f>VLOOKUP(A1382,Hospitalisation_Details__2[],4,FALSE)</f>
        <v>7736.39</v>
      </c>
      <c r="N1382" t="str">
        <f>VLOOKUP(A1382,Hospitalisation_Details__2[],5,FALSE)</f>
        <v>tier - 3</v>
      </c>
      <c r="O1382" t="str">
        <f>VLOOKUP(A1382,Hospitalisation_Details__2[],6,FALSE)</f>
        <v>tier - 2</v>
      </c>
      <c r="P1382" t="str">
        <f>VLOOKUP(A1382,Hospitalisation_Details__2[],7,FALSE)</f>
        <v>R1013</v>
      </c>
    </row>
    <row r="1383" spans="1:16" x14ac:dyDescent="0.35">
      <c r="A1383" t="str">
        <v>Id1382</v>
      </c>
      <c r="B1383" t="str">
        <f>VLOOKUP(A1383,'Customer Names (2)'!A:B, 2,FALSE)</f>
        <v>Ms</v>
      </c>
      <c r="C1383">
        <f>VLOOKUP(A1383,Medical_Examinations[],2,FALSE)</f>
        <v>35.814999999999998</v>
      </c>
      <c r="D1383">
        <f>VLOOKUP(A1383,Medical_Examinations[],3,FALSE)</f>
        <v>6.23</v>
      </c>
      <c r="E1383" t="str">
        <f>VLOOKUP(A1383,Medical_Examinations[],4,FALSE)</f>
        <v>No</v>
      </c>
      <c r="F1383" t="str">
        <f>VLOOKUP(A1383,Medical_Examinations[],5,FALSE)</f>
        <v>No</v>
      </c>
      <c r="G1383" t="str">
        <f>VLOOKUP(A1383,Medical_Examinations[],6,FALSE)</f>
        <v>No</v>
      </c>
      <c r="H1383">
        <f>VLOOKUP(A1383,Medical_Examinations[],7,FALSE)</f>
        <v>0</v>
      </c>
      <c r="I1383" t="str">
        <f>VLOOKUP(A1383,Medical_Examinations[],8,FALSE)</f>
        <v>No</v>
      </c>
      <c r="J1383" t="str">
        <f>VLOOKUP(A1383,Medical_Examinations[],9,FALSE)</f>
        <v>Obesity</v>
      </c>
      <c r="K1383" t="str">
        <f>VLOOKUP(A1383,Medical_Examinations[],10,FALSE)</f>
        <v>Prediabetes</v>
      </c>
      <c r="M1383">
        <f>VLOOKUP(A1383,Hospitalisation_Details__2[],4,FALSE)</f>
        <v>7731.86</v>
      </c>
      <c r="N1383" t="str">
        <f>VLOOKUP(A1383,Hospitalisation_Details__2[],5,FALSE)</f>
        <v>tier - 2</v>
      </c>
      <c r="O1383" t="str">
        <f>VLOOKUP(A1383,Hospitalisation_Details__2[],6,FALSE)</f>
        <v>tier - 3</v>
      </c>
      <c r="P1383" t="str">
        <f>VLOOKUP(A1383,Hospitalisation_Details__2[],7,FALSE)</f>
        <v>R1012</v>
      </c>
    </row>
    <row r="1384" spans="1:16" x14ac:dyDescent="0.35">
      <c r="A1384" t="str">
        <v>Id1383</v>
      </c>
      <c r="B1384" t="str">
        <f>VLOOKUP(A1384,'Customer Names (2)'!A:B, 2,FALSE)</f>
        <v>Mr</v>
      </c>
      <c r="C1384">
        <f>VLOOKUP(A1384,Medical_Examinations[],2,FALSE)</f>
        <v>30.69</v>
      </c>
      <c r="D1384">
        <f>VLOOKUP(A1384,Medical_Examinations[],3,FALSE)</f>
        <v>6.5</v>
      </c>
      <c r="E1384" t="str">
        <f>VLOOKUP(A1384,Medical_Examinations[],4,FALSE)</f>
        <v>No</v>
      </c>
      <c r="F1384" t="str">
        <f>VLOOKUP(A1384,Medical_Examinations[],5,FALSE)</f>
        <v>No</v>
      </c>
      <c r="G1384" t="str">
        <f>VLOOKUP(A1384,Medical_Examinations[],6,FALSE)</f>
        <v>No</v>
      </c>
      <c r="H1384">
        <f>VLOOKUP(A1384,Medical_Examinations[],7,FALSE)</f>
        <v>0</v>
      </c>
      <c r="I1384" t="str">
        <f>VLOOKUP(A1384,Medical_Examinations[],8,FALSE)</f>
        <v>No</v>
      </c>
      <c r="J1384" t="str">
        <f>VLOOKUP(A1384,Medical_Examinations[],9,FALSE)</f>
        <v>Obesity</v>
      </c>
      <c r="K1384" t="str">
        <f>VLOOKUP(A1384,Medical_Examinations[],10,FALSE)</f>
        <v>Diabetes</v>
      </c>
      <c r="M1384">
        <f>VLOOKUP(A1384,Hospitalisation_Details__2[],4,FALSE)</f>
        <v>7731.43</v>
      </c>
      <c r="N1384" t="str">
        <f>VLOOKUP(A1384,Hospitalisation_Details__2[],5,FALSE)</f>
        <v>tier - 3</v>
      </c>
      <c r="O1384" t="str">
        <f>VLOOKUP(A1384,Hospitalisation_Details__2[],6,FALSE)</f>
        <v>tier - 2</v>
      </c>
      <c r="P1384" t="str">
        <f>VLOOKUP(A1384,Hospitalisation_Details__2[],7,FALSE)</f>
        <v>R1013</v>
      </c>
    </row>
    <row r="1385" spans="1:16" x14ac:dyDescent="0.35">
      <c r="A1385" t="str">
        <v>Id1384</v>
      </c>
      <c r="B1385" t="str">
        <f>VLOOKUP(A1385,'Customer Names (2)'!A:B, 2,FALSE)</f>
        <v>Mr</v>
      </c>
      <c r="C1385">
        <f>VLOOKUP(A1385,Medical_Examinations[],2,FALSE)</f>
        <v>26.125</v>
      </c>
      <c r="D1385">
        <f>VLOOKUP(A1385,Medical_Examinations[],3,FALSE)</f>
        <v>5.22</v>
      </c>
      <c r="E1385" t="str">
        <f>VLOOKUP(A1385,Medical_Examinations[],4,FALSE)</f>
        <v>No</v>
      </c>
      <c r="F1385" t="str">
        <f>VLOOKUP(A1385,Medical_Examinations[],5,FALSE)</f>
        <v>No</v>
      </c>
      <c r="G1385" t="str">
        <f>VLOOKUP(A1385,Medical_Examinations[],6,FALSE)</f>
        <v>No</v>
      </c>
      <c r="H1385">
        <f>VLOOKUP(A1385,Medical_Examinations[],7,FALSE)</f>
        <v>0</v>
      </c>
      <c r="I1385" t="str">
        <f>VLOOKUP(A1385,Medical_Examinations[],8,FALSE)</f>
        <v>No</v>
      </c>
      <c r="J1385" t="str">
        <f>VLOOKUP(A1385,Medical_Examinations[],9,FALSE)</f>
        <v>Overweight</v>
      </c>
      <c r="K1385" t="str">
        <f>VLOOKUP(A1385,Medical_Examinations[],10,FALSE)</f>
        <v>Normal</v>
      </c>
      <c r="M1385">
        <f>VLOOKUP(A1385,Hospitalisation_Details__2[],4,FALSE)</f>
        <v>7729.65</v>
      </c>
      <c r="N1385" t="str">
        <f>VLOOKUP(A1385,Hospitalisation_Details__2[],5,FALSE)</f>
        <v>tier - 3</v>
      </c>
      <c r="O1385" t="str">
        <f>VLOOKUP(A1385,Hospitalisation_Details__2[],6,FALSE)</f>
        <v>tier - 1</v>
      </c>
      <c r="P1385" t="str">
        <f>VLOOKUP(A1385,Hospitalisation_Details__2[],7,FALSE)</f>
        <v>R1016</v>
      </c>
    </row>
    <row r="1386" spans="1:16" x14ac:dyDescent="0.35">
      <c r="A1386" t="str">
        <v>Id1385</v>
      </c>
      <c r="B1386" t="str">
        <f>VLOOKUP(A1386,'Customer Names (2)'!A:B, 2,FALSE)</f>
        <v>Ms</v>
      </c>
      <c r="C1386">
        <f>VLOOKUP(A1386,Medical_Examinations[],2,FALSE)</f>
        <v>34.58</v>
      </c>
      <c r="D1386">
        <f>VLOOKUP(A1386,Medical_Examinations[],3,FALSE)</f>
        <v>6.3</v>
      </c>
      <c r="E1386" t="str">
        <f>VLOOKUP(A1386,Medical_Examinations[],4,FALSE)</f>
        <v>No</v>
      </c>
      <c r="F1386" t="str">
        <f>VLOOKUP(A1386,Medical_Examinations[],5,FALSE)</f>
        <v>No</v>
      </c>
      <c r="G1386" t="str">
        <f>VLOOKUP(A1386,Medical_Examinations[],6,FALSE)</f>
        <v>Yes</v>
      </c>
      <c r="H1386">
        <f>VLOOKUP(A1386,Medical_Examinations[],7,FALSE)</f>
        <v>1</v>
      </c>
      <c r="I1386" t="str">
        <f>VLOOKUP(A1386,Medical_Examinations[],8,FALSE)</f>
        <v>No</v>
      </c>
      <c r="J1386" t="str">
        <f>VLOOKUP(A1386,Medical_Examinations[],9,FALSE)</f>
        <v>Obesity</v>
      </c>
      <c r="K1386" t="str">
        <f>VLOOKUP(A1386,Medical_Examinations[],10,FALSE)</f>
        <v>Prediabetes</v>
      </c>
      <c r="M1386">
        <f>VLOOKUP(A1386,Hospitalisation_Details__2[],4,FALSE)</f>
        <v>7727.25</v>
      </c>
      <c r="N1386" t="str">
        <f>VLOOKUP(A1386,Hospitalisation_Details__2[],5,FALSE)</f>
        <v>tier - 2</v>
      </c>
      <c r="O1386" t="str">
        <f>VLOOKUP(A1386,Hospitalisation_Details__2[],6,FALSE)</f>
        <v>tier - 3</v>
      </c>
      <c r="P1386" t="str">
        <f>VLOOKUP(A1386,Hospitalisation_Details__2[],7,FALSE)</f>
        <v>R1012</v>
      </c>
    </row>
    <row r="1387" spans="1:16" x14ac:dyDescent="0.35">
      <c r="A1387" t="str">
        <v>Id1386</v>
      </c>
      <c r="B1387" t="str">
        <f>VLOOKUP(A1387,'Customer Names (2)'!A:B, 2,FALSE)</f>
        <v>Mr</v>
      </c>
      <c r="C1387">
        <f>VLOOKUP(A1387,Medical_Examinations[],2,FALSE)</f>
        <v>27.4</v>
      </c>
      <c r="D1387">
        <f>VLOOKUP(A1387,Medical_Examinations[],3,FALSE)</f>
        <v>8.84</v>
      </c>
      <c r="E1387" t="str">
        <f>VLOOKUP(A1387,Medical_Examinations[],4,FALSE)</f>
        <v>No</v>
      </c>
      <c r="F1387" t="str">
        <f>VLOOKUP(A1387,Medical_Examinations[],5,FALSE)</f>
        <v>No</v>
      </c>
      <c r="G1387" t="str">
        <f>VLOOKUP(A1387,Medical_Examinations[],6,FALSE)</f>
        <v>No</v>
      </c>
      <c r="H1387">
        <f>VLOOKUP(A1387,Medical_Examinations[],7,FALSE)</f>
        <v>0</v>
      </c>
      <c r="I1387" t="str">
        <f>VLOOKUP(A1387,Medical_Examinations[],8,FALSE)</f>
        <v>No</v>
      </c>
      <c r="J1387" t="str">
        <f>VLOOKUP(A1387,Medical_Examinations[],9,FALSE)</f>
        <v>Overweight</v>
      </c>
      <c r="K1387" t="str">
        <f>VLOOKUP(A1387,Medical_Examinations[],10,FALSE)</f>
        <v>Diabetes</v>
      </c>
      <c r="M1387">
        <f>VLOOKUP(A1387,Hospitalisation_Details__2[],4,FALSE)</f>
        <v>7726.85</v>
      </c>
      <c r="N1387" t="str">
        <f>VLOOKUP(A1387,Hospitalisation_Details__2[],5,FALSE)</f>
        <v>tier - 1</v>
      </c>
      <c r="O1387" t="str">
        <f>VLOOKUP(A1387,Hospitalisation_Details__2[],6,FALSE)</f>
        <v>tier - 2</v>
      </c>
      <c r="P1387" t="str">
        <f>VLOOKUP(A1387,Hospitalisation_Details__2[],7,FALSE)</f>
        <v>R1011</v>
      </c>
    </row>
    <row r="1388" spans="1:16" x14ac:dyDescent="0.35">
      <c r="A1388" t="str">
        <v>Id1387</v>
      </c>
      <c r="B1388" t="str">
        <f>VLOOKUP(A1388,'Customer Names (2)'!A:B, 2,FALSE)</f>
        <v>Mr</v>
      </c>
      <c r="C1388">
        <f>VLOOKUP(A1388,Medical_Examinations[],2,FALSE)</f>
        <v>27.53</v>
      </c>
      <c r="D1388">
        <f>VLOOKUP(A1388,Medical_Examinations[],3,FALSE)</f>
        <v>4.1100000000000003</v>
      </c>
      <c r="E1388" t="str">
        <f>VLOOKUP(A1388,Medical_Examinations[],4,FALSE)</f>
        <v>No</v>
      </c>
      <c r="F1388" t="str">
        <f>VLOOKUP(A1388,Medical_Examinations[],5,FALSE)</f>
        <v>No</v>
      </c>
      <c r="G1388" t="str">
        <f>VLOOKUP(A1388,Medical_Examinations[],6,FALSE)</f>
        <v>No</v>
      </c>
      <c r="H1388">
        <f>VLOOKUP(A1388,Medical_Examinations[],7,FALSE)</f>
        <v>1</v>
      </c>
      <c r="I1388" t="str">
        <f>VLOOKUP(A1388,Medical_Examinations[],8,FALSE)</f>
        <v>No</v>
      </c>
      <c r="J1388" t="str">
        <f>VLOOKUP(A1388,Medical_Examinations[],9,FALSE)</f>
        <v>Overweight</v>
      </c>
      <c r="K1388" t="str">
        <f>VLOOKUP(A1388,Medical_Examinations[],10,FALSE)</f>
        <v>Normal</v>
      </c>
      <c r="M1388">
        <f>VLOOKUP(A1388,Hospitalisation_Details__2[],4,FALSE)</f>
        <v>7684.62</v>
      </c>
      <c r="N1388" t="str">
        <f>VLOOKUP(A1388,Hospitalisation_Details__2[],5,FALSE)</f>
        <v>tier - 2</v>
      </c>
      <c r="O1388" t="str">
        <f>VLOOKUP(A1388,Hospitalisation_Details__2[],6,FALSE)</f>
        <v>tier - 3</v>
      </c>
      <c r="P1388" t="str">
        <f>VLOOKUP(A1388,Hospitalisation_Details__2[],7,FALSE)</f>
        <v>R1021</v>
      </c>
    </row>
    <row r="1389" spans="1:16" x14ac:dyDescent="0.35">
      <c r="A1389" t="str">
        <v>Id1388</v>
      </c>
      <c r="B1389" t="str">
        <f>VLOOKUP(A1389,'Customer Names (2)'!A:B, 2,FALSE)</f>
        <v>Ms</v>
      </c>
      <c r="C1389">
        <f>VLOOKUP(A1389,Medical_Examinations[],2,FALSE)</f>
        <v>33</v>
      </c>
      <c r="D1389">
        <f>VLOOKUP(A1389,Medical_Examinations[],3,FALSE)</f>
        <v>4.57</v>
      </c>
      <c r="E1389" t="str">
        <f>VLOOKUP(A1389,Medical_Examinations[],4,FALSE)</f>
        <v>No</v>
      </c>
      <c r="F1389" t="str">
        <f>VLOOKUP(A1389,Medical_Examinations[],5,FALSE)</f>
        <v>No</v>
      </c>
      <c r="G1389" t="str">
        <f>VLOOKUP(A1389,Medical_Examinations[],6,FALSE)</f>
        <v>No</v>
      </c>
      <c r="H1389">
        <f>VLOOKUP(A1389,Medical_Examinations[],7,FALSE)</f>
        <v>0</v>
      </c>
      <c r="I1389" t="str">
        <f>VLOOKUP(A1389,Medical_Examinations[],8,FALSE)</f>
        <v>No</v>
      </c>
      <c r="J1389" t="str">
        <f>VLOOKUP(A1389,Medical_Examinations[],9,FALSE)</f>
        <v>Obesity</v>
      </c>
      <c r="K1389" t="str">
        <f>VLOOKUP(A1389,Medical_Examinations[],10,FALSE)</f>
        <v>Normal</v>
      </c>
      <c r="M1389">
        <f>VLOOKUP(A1389,Hospitalisation_Details__2[],4,FALSE)</f>
        <v>7682.67</v>
      </c>
      <c r="N1389" t="str">
        <f>VLOOKUP(A1389,Hospitalisation_Details__2[],5,FALSE)</f>
        <v>tier - 2</v>
      </c>
      <c r="O1389" t="str">
        <f>VLOOKUP(A1389,Hospitalisation_Details__2[],6,FALSE)</f>
        <v>tier - 1</v>
      </c>
      <c r="P1389" t="str">
        <f>VLOOKUP(A1389,Hospitalisation_Details__2[],7,FALSE)</f>
        <v>R1013</v>
      </c>
    </row>
    <row r="1390" spans="1:16" x14ac:dyDescent="0.35">
      <c r="A1390" t="str">
        <v>Id1389</v>
      </c>
      <c r="B1390" t="str">
        <f>VLOOKUP(A1390,'Customer Names (2)'!A:B, 2,FALSE)</f>
        <v>Mr</v>
      </c>
      <c r="C1390">
        <f>VLOOKUP(A1390,Medical_Examinations[],2,FALSE)</f>
        <v>25.78</v>
      </c>
      <c r="D1390">
        <f>VLOOKUP(A1390,Medical_Examinations[],3,FALSE)</f>
        <v>11.06</v>
      </c>
      <c r="E1390" t="str">
        <f>VLOOKUP(A1390,Medical_Examinations[],4,FALSE)</f>
        <v>Yes</v>
      </c>
      <c r="F1390" t="str">
        <f>VLOOKUP(A1390,Medical_Examinations[],5,FALSE)</f>
        <v>No</v>
      </c>
      <c r="G1390" t="str">
        <f>VLOOKUP(A1390,Medical_Examinations[],6,FALSE)</f>
        <v>No</v>
      </c>
      <c r="H1390">
        <f>VLOOKUP(A1390,Medical_Examinations[],7,FALSE)</f>
        <v>0</v>
      </c>
      <c r="I1390" t="str">
        <f>VLOOKUP(A1390,Medical_Examinations[],8,FALSE)</f>
        <v>No</v>
      </c>
      <c r="J1390" t="str">
        <f>VLOOKUP(A1390,Medical_Examinations[],9,FALSE)</f>
        <v>Overweight</v>
      </c>
      <c r="K1390" t="str">
        <f>VLOOKUP(A1390,Medical_Examinations[],10,FALSE)</f>
        <v>Diabetes</v>
      </c>
      <c r="M1390">
        <f>VLOOKUP(A1390,Hospitalisation_Details__2[],4,FALSE)</f>
        <v>7681.17</v>
      </c>
      <c r="N1390" t="str">
        <f>VLOOKUP(A1390,Hospitalisation_Details__2[],5,FALSE)</f>
        <v>tier - 2</v>
      </c>
      <c r="O1390" t="str">
        <f>VLOOKUP(A1390,Hospitalisation_Details__2[],6,FALSE)</f>
        <v>tier - 2</v>
      </c>
      <c r="P1390" t="str">
        <f>VLOOKUP(A1390,Hospitalisation_Details__2[],7,FALSE)</f>
        <v>R1020</v>
      </c>
    </row>
    <row r="1391" spans="1:16" x14ac:dyDescent="0.35">
      <c r="A1391" t="str">
        <v>Id1390</v>
      </c>
      <c r="B1391" t="str">
        <f>VLOOKUP(A1391,'Customer Names (2)'!A:B, 2,FALSE)</f>
        <v>Mr</v>
      </c>
      <c r="C1391">
        <f>VLOOKUP(A1391,Medical_Examinations[],2,FALSE)</f>
        <v>22.66</v>
      </c>
      <c r="D1391">
        <f>VLOOKUP(A1391,Medical_Examinations[],3,FALSE)</f>
        <v>10.68</v>
      </c>
      <c r="E1391" t="str">
        <f>VLOOKUP(A1391,Medical_Examinations[],4,FALSE)</f>
        <v>No</v>
      </c>
      <c r="F1391" t="str">
        <f>VLOOKUP(A1391,Medical_Examinations[],5,FALSE)</f>
        <v>No</v>
      </c>
      <c r="G1391" t="str">
        <f>VLOOKUP(A1391,Medical_Examinations[],6,FALSE)</f>
        <v>No</v>
      </c>
      <c r="H1391">
        <f>VLOOKUP(A1391,Medical_Examinations[],7,FALSE)</f>
        <v>0</v>
      </c>
      <c r="I1391" t="str">
        <f>VLOOKUP(A1391,Medical_Examinations[],8,FALSE)</f>
        <v>No</v>
      </c>
      <c r="J1391" t="str">
        <f>VLOOKUP(A1391,Medical_Examinations[],9,FALSE)</f>
        <v>Normal Weight</v>
      </c>
      <c r="K1391" t="str">
        <f>VLOOKUP(A1391,Medical_Examinations[],10,FALSE)</f>
        <v>Diabetes</v>
      </c>
      <c r="M1391">
        <f>VLOOKUP(A1391,Hospitalisation_Details__2[],4,FALSE)</f>
        <v>7680.92</v>
      </c>
      <c r="N1391" t="str">
        <f>VLOOKUP(A1391,Hospitalisation_Details__2[],5,FALSE)</f>
        <v>tier - 2</v>
      </c>
      <c r="O1391" t="str">
        <f>VLOOKUP(A1391,Hospitalisation_Details__2[],6,FALSE)</f>
        <v>tier - 1</v>
      </c>
      <c r="P1391" t="str">
        <f>VLOOKUP(A1391,Hospitalisation_Details__2[],7,FALSE)</f>
        <v>R1013</v>
      </c>
    </row>
    <row r="1392" spans="1:16" x14ac:dyDescent="0.35">
      <c r="A1392" t="str">
        <v>Id1391</v>
      </c>
      <c r="B1392" t="str">
        <f>VLOOKUP(A1392,'Customer Names (2)'!A:B, 2,FALSE)</f>
        <v>Mr</v>
      </c>
      <c r="C1392">
        <f>VLOOKUP(A1392,Medical_Examinations[],2,FALSE)</f>
        <v>38.81</v>
      </c>
      <c r="D1392">
        <f>VLOOKUP(A1392,Medical_Examinations[],3,FALSE)</f>
        <v>6.14</v>
      </c>
      <c r="E1392" t="str">
        <f>VLOOKUP(A1392,Medical_Examinations[],4,FALSE)</f>
        <v>Yes</v>
      </c>
      <c r="F1392" t="str">
        <f>VLOOKUP(A1392,Medical_Examinations[],5,FALSE)</f>
        <v>No</v>
      </c>
      <c r="G1392" t="str">
        <f>VLOOKUP(A1392,Medical_Examinations[],6,FALSE)</f>
        <v>No</v>
      </c>
      <c r="H1392">
        <f>VLOOKUP(A1392,Medical_Examinations[],7,FALSE)</f>
        <v>1</v>
      </c>
      <c r="I1392" t="str">
        <f>VLOOKUP(A1392,Medical_Examinations[],8,FALSE)</f>
        <v>No</v>
      </c>
      <c r="J1392" t="str">
        <f>VLOOKUP(A1392,Medical_Examinations[],9,FALSE)</f>
        <v>Obesity</v>
      </c>
      <c r="K1392" t="str">
        <f>VLOOKUP(A1392,Medical_Examinations[],10,FALSE)</f>
        <v>Prediabetes</v>
      </c>
      <c r="M1392">
        <f>VLOOKUP(A1392,Hospitalisation_Details__2[],4,FALSE)</f>
        <v>7676.4</v>
      </c>
      <c r="N1392" t="str">
        <f>VLOOKUP(A1392,Hospitalisation_Details__2[],5,FALSE)</f>
        <v>tier - 2</v>
      </c>
      <c r="O1392" t="str">
        <f>VLOOKUP(A1392,Hospitalisation_Details__2[],6,FALSE)</f>
        <v>tier - 1</v>
      </c>
      <c r="P1392" t="str">
        <f>VLOOKUP(A1392,Hospitalisation_Details__2[],7,FALSE)</f>
        <v>R1012</v>
      </c>
    </row>
    <row r="1393" spans="1:16" x14ac:dyDescent="0.35">
      <c r="A1393" t="str">
        <v>Id1392</v>
      </c>
      <c r="B1393" t="str">
        <f>VLOOKUP(A1393,'Customer Names (2)'!A:B, 2,FALSE)</f>
        <v>Mr</v>
      </c>
      <c r="C1393">
        <f>VLOOKUP(A1393,Medical_Examinations[],2,FALSE)</f>
        <v>38.51</v>
      </c>
      <c r="D1393">
        <f>VLOOKUP(A1393,Medical_Examinations[],3,FALSE)</f>
        <v>5.45</v>
      </c>
      <c r="E1393" t="str">
        <f>VLOOKUP(A1393,Medical_Examinations[],4,FALSE)</f>
        <v>Yes</v>
      </c>
      <c r="F1393" t="str">
        <f>VLOOKUP(A1393,Medical_Examinations[],5,FALSE)</f>
        <v>No</v>
      </c>
      <c r="G1393" t="str">
        <f>VLOOKUP(A1393,Medical_Examinations[],6,FALSE)</f>
        <v>No</v>
      </c>
      <c r="H1393">
        <f>VLOOKUP(A1393,Medical_Examinations[],7,FALSE)</f>
        <v>0</v>
      </c>
      <c r="I1393" t="str">
        <f>VLOOKUP(A1393,Medical_Examinations[],8,FALSE)</f>
        <v>No</v>
      </c>
      <c r="J1393" t="str">
        <f>VLOOKUP(A1393,Medical_Examinations[],9,FALSE)</f>
        <v>Obesity</v>
      </c>
      <c r="K1393" t="str">
        <f>VLOOKUP(A1393,Medical_Examinations[],10,FALSE)</f>
        <v>Normal</v>
      </c>
      <c r="M1393">
        <f>VLOOKUP(A1393,Hospitalisation_Details__2[],4,FALSE)</f>
        <v>7670.75</v>
      </c>
      <c r="N1393" t="str">
        <f>VLOOKUP(A1393,Hospitalisation_Details__2[],5,FALSE)</f>
        <v>tier - 2</v>
      </c>
      <c r="O1393" t="str">
        <f>VLOOKUP(A1393,Hospitalisation_Details__2[],6,FALSE)</f>
        <v>tier - 2</v>
      </c>
      <c r="P1393" t="str">
        <f>VLOOKUP(A1393,Hospitalisation_Details__2[],7,FALSE)</f>
        <v>R1022</v>
      </c>
    </row>
    <row r="1394" spans="1:16" x14ac:dyDescent="0.35">
      <c r="A1394" t="str">
        <v>Id1393</v>
      </c>
      <c r="B1394" t="str">
        <f>VLOOKUP(A1394,'Customer Names (2)'!A:B, 2,FALSE)</f>
        <v>Ms</v>
      </c>
      <c r="C1394">
        <f>VLOOKUP(A1394,Medical_Examinations[],2,FALSE)</f>
        <v>22.98</v>
      </c>
      <c r="D1394">
        <f>VLOOKUP(A1394,Medical_Examinations[],3,FALSE)</f>
        <v>6.14</v>
      </c>
      <c r="E1394" t="str">
        <f>VLOOKUP(A1394,Medical_Examinations[],4,FALSE)</f>
        <v>Yes</v>
      </c>
      <c r="F1394" t="str">
        <f>VLOOKUP(A1394,Medical_Examinations[],5,FALSE)</f>
        <v>No</v>
      </c>
      <c r="G1394" t="str">
        <f>VLOOKUP(A1394,Medical_Examinations[],6,FALSE)</f>
        <v>No</v>
      </c>
      <c r="H1394">
        <f>VLOOKUP(A1394,Medical_Examinations[],7,FALSE)</f>
        <v>0</v>
      </c>
      <c r="I1394" t="str">
        <f>VLOOKUP(A1394,Medical_Examinations[],8,FALSE)</f>
        <v>No</v>
      </c>
      <c r="J1394" t="str">
        <f>VLOOKUP(A1394,Medical_Examinations[],9,FALSE)</f>
        <v>Normal Weight</v>
      </c>
      <c r="K1394" t="str">
        <f>VLOOKUP(A1394,Medical_Examinations[],10,FALSE)</f>
        <v>Prediabetes</v>
      </c>
      <c r="M1394">
        <f>VLOOKUP(A1394,Hospitalisation_Details__2[],4,FALSE)</f>
        <v>7662.47</v>
      </c>
      <c r="N1394" t="str">
        <f>VLOOKUP(A1394,Hospitalisation_Details__2[],5,FALSE)</f>
        <v>tier - 2</v>
      </c>
      <c r="O1394" t="str">
        <f>VLOOKUP(A1394,Hospitalisation_Details__2[],6,FALSE)</f>
        <v>tier - 1</v>
      </c>
      <c r="P1394" t="str">
        <f>VLOOKUP(A1394,Hospitalisation_Details__2[],7,FALSE)</f>
        <v>R1011</v>
      </c>
    </row>
    <row r="1395" spans="1:16" x14ac:dyDescent="0.35">
      <c r="A1395" t="str">
        <v>Id1394</v>
      </c>
      <c r="B1395" t="str">
        <f>VLOOKUP(A1395,'Customer Names (2)'!A:B, 2,FALSE)</f>
        <v>Ms</v>
      </c>
      <c r="C1395">
        <f>VLOOKUP(A1395,Medical_Examinations[],2,FALSE)</f>
        <v>15.65</v>
      </c>
      <c r="D1395">
        <f>VLOOKUP(A1395,Medical_Examinations[],3,FALSE)</f>
        <v>7.85</v>
      </c>
      <c r="E1395" t="str">
        <f>VLOOKUP(A1395,Medical_Examinations[],4,FALSE)</f>
        <v>No</v>
      </c>
      <c r="F1395" t="str">
        <f>VLOOKUP(A1395,Medical_Examinations[],5,FALSE)</f>
        <v>No</v>
      </c>
      <c r="G1395" t="str">
        <f>VLOOKUP(A1395,Medical_Examinations[],6,FALSE)</f>
        <v>No</v>
      </c>
      <c r="H1395">
        <f>VLOOKUP(A1395,Medical_Examinations[],7,FALSE)</f>
        <v>0</v>
      </c>
      <c r="I1395" t="str">
        <f>VLOOKUP(A1395,Medical_Examinations[],8,FALSE)</f>
        <v>No</v>
      </c>
      <c r="J1395" t="str">
        <f>VLOOKUP(A1395,Medical_Examinations[],9,FALSE)</f>
        <v>Underweight</v>
      </c>
      <c r="K1395" t="str">
        <f>VLOOKUP(A1395,Medical_Examinations[],10,FALSE)</f>
        <v>Diabetes</v>
      </c>
      <c r="M1395">
        <f>VLOOKUP(A1395,Hospitalisation_Details__2[],4,FALSE)</f>
        <v>7657.69</v>
      </c>
      <c r="N1395" t="str">
        <f>VLOOKUP(A1395,Hospitalisation_Details__2[],5,FALSE)</f>
        <v>tier - 3</v>
      </c>
      <c r="O1395" t="str">
        <f>VLOOKUP(A1395,Hospitalisation_Details__2[],6,FALSE)</f>
        <v>tier - 3</v>
      </c>
      <c r="P1395" t="str">
        <f>VLOOKUP(A1395,Hospitalisation_Details__2[],7,FALSE)</f>
        <v>R1012</v>
      </c>
    </row>
    <row r="1396" spans="1:16" x14ac:dyDescent="0.35">
      <c r="A1396" t="str">
        <v>Id1395</v>
      </c>
      <c r="B1396" t="str">
        <f>VLOOKUP(A1396,'Customer Names (2)'!A:B, 2,FALSE)</f>
        <v>Mr</v>
      </c>
      <c r="C1396">
        <f>VLOOKUP(A1396,Medical_Examinations[],2,FALSE)</f>
        <v>39.97</v>
      </c>
      <c r="D1396">
        <f>VLOOKUP(A1396,Medical_Examinations[],3,FALSE)</f>
        <v>4.09</v>
      </c>
      <c r="E1396" t="str">
        <f>VLOOKUP(A1396,Medical_Examinations[],4,FALSE)</f>
        <v>No</v>
      </c>
      <c r="F1396" t="str">
        <f>VLOOKUP(A1396,Medical_Examinations[],5,FALSE)</f>
        <v>No</v>
      </c>
      <c r="G1396" t="str">
        <f>VLOOKUP(A1396,Medical_Examinations[],6,FALSE)</f>
        <v>No</v>
      </c>
      <c r="H1396">
        <f>VLOOKUP(A1396,Medical_Examinations[],7,FALSE)</f>
        <v>1</v>
      </c>
      <c r="I1396" t="str">
        <f>VLOOKUP(A1396,Medical_Examinations[],8,FALSE)</f>
        <v>No</v>
      </c>
      <c r="J1396" t="str">
        <f>VLOOKUP(A1396,Medical_Examinations[],9,FALSE)</f>
        <v>Obesity</v>
      </c>
      <c r="K1396" t="str">
        <f>VLOOKUP(A1396,Medical_Examinations[],10,FALSE)</f>
        <v>Normal</v>
      </c>
      <c r="M1396">
        <f>VLOOKUP(A1396,Hospitalisation_Details__2[],4,FALSE)</f>
        <v>7652.26</v>
      </c>
      <c r="N1396" t="str">
        <f>VLOOKUP(A1396,Hospitalisation_Details__2[],5,FALSE)</f>
        <v>tier - 2</v>
      </c>
      <c r="O1396" t="str">
        <f>VLOOKUP(A1396,Hospitalisation_Details__2[],6,FALSE)</f>
        <v>tier - 3</v>
      </c>
      <c r="P1396" t="str">
        <f>VLOOKUP(A1396,Hospitalisation_Details__2[],7,FALSE)</f>
        <v>R1023</v>
      </c>
    </row>
    <row r="1397" spans="1:16" x14ac:dyDescent="0.35">
      <c r="A1397" t="str">
        <v>Id1396</v>
      </c>
      <c r="B1397" t="str">
        <f>VLOOKUP(A1397,'Customer Names (2)'!A:B, 2,FALSE)</f>
        <v>Mr</v>
      </c>
      <c r="C1397">
        <f>VLOOKUP(A1397,Medical_Examinations[],2,FALSE)</f>
        <v>37.22</v>
      </c>
      <c r="D1397">
        <f>VLOOKUP(A1397,Medical_Examinations[],3,FALSE)</f>
        <v>4.62</v>
      </c>
      <c r="E1397" t="str">
        <f>VLOOKUP(A1397,Medical_Examinations[],4,FALSE)</f>
        <v>No</v>
      </c>
      <c r="F1397" t="str">
        <f>VLOOKUP(A1397,Medical_Examinations[],5,FALSE)</f>
        <v>No</v>
      </c>
      <c r="G1397" t="str">
        <f>VLOOKUP(A1397,Medical_Examinations[],6,FALSE)</f>
        <v>Yes</v>
      </c>
      <c r="H1397">
        <f>VLOOKUP(A1397,Medical_Examinations[],7,FALSE)</f>
        <v>1</v>
      </c>
      <c r="I1397" t="str">
        <f>VLOOKUP(A1397,Medical_Examinations[],8,FALSE)</f>
        <v>No</v>
      </c>
      <c r="J1397" t="str">
        <f>VLOOKUP(A1397,Medical_Examinations[],9,FALSE)</f>
        <v>Obesity</v>
      </c>
      <c r="K1397" t="str">
        <f>VLOOKUP(A1397,Medical_Examinations[],10,FALSE)</f>
        <v>Normal</v>
      </c>
      <c r="M1397">
        <f>VLOOKUP(A1397,Hospitalisation_Details__2[],4,FALSE)</f>
        <v>7650.8</v>
      </c>
      <c r="N1397" t="str">
        <f>VLOOKUP(A1397,Hospitalisation_Details__2[],5,FALSE)</f>
        <v>tier - 2</v>
      </c>
      <c r="O1397" t="str">
        <f>VLOOKUP(A1397,Hospitalisation_Details__2[],6,FALSE)</f>
        <v>tier - 2</v>
      </c>
      <c r="P1397" t="str">
        <f>VLOOKUP(A1397,Hospitalisation_Details__2[],7,FALSE)</f>
        <v>R1012</v>
      </c>
    </row>
    <row r="1398" spans="1:16" x14ac:dyDescent="0.35">
      <c r="A1398" t="str">
        <v>Id1397</v>
      </c>
      <c r="B1398" t="str">
        <f>VLOOKUP(A1398,'Customer Names (2)'!A:B, 2,FALSE)</f>
        <v>Ms</v>
      </c>
      <c r="C1398">
        <f>VLOOKUP(A1398,Medical_Examinations[],2,FALSE)</f>
        <v>41.325000000000003</v>
      </c>
      <c r="D1398">
        <f>VLOOKUP(A1398,Medical_Examinations[],3,FALSE)</f>
        <v>5.77</v>
      </c>
      <c r="E1398" t="str">
        <f>VLOOKUP(A1398,Medical_Examinations[],4,FALSE)</f>
        <v>No</v>
      </c>
      <c r="F1398" t="str">
        <f>VLOOKUP(A1398,Medical_Examinations[],5,FALSE)</f>
        <v>No</v>
      </c>
      <c r="G1398" t="str">
        <f>VLOOKUP(A1398,Medical_Examinations[],6,FALSE)</f>
        <v>No</v>
      </c>
      <c r="H1398">
        <f>VLOOKUP(A1398,Medical_Examinations[],7,FALSE)</f>
        <v>0</v>
      </c>
      <c r="I1398" t="str">
        <f>VLOOKUP(A1398,Medical_Examinations[],8,FALSE)</f>
        <v>No</v>
      </c>
      <c r="J1398" t="str">
        <f>VLOOKUP(A1398,Medical_Examinations[],9,FALSE)</f>
        <v>Obesity</v>
      </c>
      <c r="K1398" t="str">
        <f>VLOOKUP(A1398,Medical_Examinations[],10,FALSE)</f>
        <v>Prediabetes</v>
      </c>
      <c r="M1398">
        <f>VLOOKUP(A1398,Hospitalisation_Details__2[],4,FALSE)</f>
        <v>7650.77</v>
      </c>
      <c r="N1398" t="str">
        <f>VLOOKUP(A1398,Hospitalisation_Details__2[],5,FALSE)</f>
        <v>tier - 2</v>
      </c>
      <c r="O1398" t="str">
        <f>VLOOKUP(A1398,Hospitalisation_Details__2[],6,FALSE)</f>
        <v>tier - 2</v>
      </c>
      <c r="P1398" t="str">
        <f>VLOOKUP(A1398,Hospitalisation_Details__2[],7,FALSE)</f>
        <v>R1024</v>
      </c>
    </row>
    <row r="1399" spans="1:16" x14ac:dyDescent="0.35">
      <c r="A1399" t="str">
        <v>Id1398</v>
      </c>
      <c r="B1399" t="str">
        <f>VLOOKUP(A1399,'Customer Names (2)'!A:B, 2,FALSE)</f>
        <v>Mrs</v>
      </c>
      <c r="C1399">
        <f>VLOOKUP(A1399,Medical_Examinations[],2,FALSE)</f>
        <v>40.31</v>
      </c>
      <c r="D1399">
        <f>VLOOKUP(A1399,Medical_Examinations[],3,FALSE)</f>
        <v>5.84</v>
      </c>
      <c r="E1399" t="str">
        <f>VLOOKUP(A1399,Medical_Examinations[],4,FALSE)</f>
        <v>No</v>
      </c>
      <c r="F1399" t="str">
        <f>VLOOKUP(A1399,Medical_Examinations[],5,FALSE)</f>
        <v>No</v>
      </c>
      <c r="G1399" t="str">
        <f>VLOOKUP(A1399,Medical_Examinations[],6,FALSE)</f>
        <v>No</v>
      </c>
      <c r="H1399">
        <f>VLOOKUP(A1399,Medical_Examinations[],7,FALSE)</f>
        <v>0</v>
      </c>
      <c r="I1399" t="str">
        <f>VLOOKUP(A1399,Medical_Examinations[],8,FALSE)</f>
        <v>No</v>
      </c>
      <c r="J1399" t="str">
        <f>VLOOKUP(A1399,Medical_Examinations[],9,FALSE)</f>
        <v>Obesity</v>
      </c>
      <c r="K1399" t="str">
        <f>VLOOKUP(A1399,Medical_Examinations[],10,FALSE)</f>
        <v>Prediabetes</v>
      </c>
      <c r="M1399">
        <f>VLOOKUP(A1399,Hospitalisation_Details__2[],4,FALSE)</f>
        <v>7642.05</v>
      </c>
      <c r="N1399" t="str">
        <f>VLOOKUP(A1399,Hospitalisation_Details__2[],5,FALSE)</f>
        <v>tier - 2</v>
      </c>
      <c r="O1399" t="str">
        <f>VLOOKUP(A1399,Hospitalisation_Details__2[],6,FALSE)</f>
        <v>tier - 2</v>
      </c>
      <c r="P1399" t="str">
        <f>VLOOKUP(A1399,Hospitalisation_Details__2[],7,FALSE)</f>
        <v>R1026</v>
      </c>
    </row>
    <row r="1400" spans="1:16" x14ac:dyDescent="0.35">
      <c r="A1400" t="str">
        <v>Id1399</v>
      </c>
      <c r="B1400" t="str">
        <f>VLOOKUP(A1400,'Customer Names (2)'!A:B, 2,FALSE)</f>
        <v>Ms</v>
      </c>
      <c r="C1400">
        <f>VLOOKUP(A1400,Medical_Examinations[],2,FALSE)</f>
        <v>29.48</v>
      </c>
      <c r="D1400">
        <f>VLOOKUP(A1400,Medical_Examinations[],3,FALSE)</f>
        <v>4.91</v>
      </c>
      <c r="E1400" t="str">
        <f>VLOOKUP(A1400,Medical_Examinations[],4,FALSE)</f>
        <v>No</v>
      </c>
      <c r="F1400" t="str">
        <f>VLOOKUP(A1400,Medical_Examinations[],5,FALSE)</f>
        <v>No</v>
      </c>
      <c r="G1400" t="str">
        <f>VLOOKUP(A1400,Medical_Examinations[],6,FALSE)</f>
        <v>No</v>
      </c>
      <c r="H1400">
        <f>VLOOKUP(A1400,Medical_Examinations[],7,FALSE)</f>
        <v>0</v>
      </c>
      <c r="I1400" t="str">
        <f>VLOOKUP(A1400,Medical_Examinations[],8,FALSE)</f>
        <v>No</v>
      </c>
      <c r="J1400" t="str">
        <f>VLOOKUP(A1400,Medical_Examinations[],9,FALSE)</f>
        <v>Overweight</v>
      </c>
      <c r="K1400" t="str">
        <f>VLOOKUP(A1400,Medical_Examinations[],10,FALSE)</f>
        <v>Normal</v>
      </c>
      <c r="M1400">
        <f>VLOOKUP(A1400,Hospitalisation_Details__2[],4,FALSE)</f>
        <v>7640.31</v>
      </c>
      <c r="N1400" t="str">
        <f>VLOOKUP(A1400,Hospitalisation_Details__2[],5,FALSE)</f>
        <v>tier - 2</v>
      </c>
      <c r="O1400" t="str">
        <f>VLOOKUP(A1400,Hospitalisation_Details__2[],6,FALSE)</f>
        <v>tier - 1</v>
      </c>
      <c r="P1400" t="str">
        <f>VLOOKUP(A1400,Hospitalisation_Details__2[],7,FALSE)</f>
        <v>R1013</v>
      </c>
    </row>
    <row r="1401" spans="1:16" x14ac:dyDescent="0.35">
      <c r="A1401" t="str">
        <v>Id1400</v>
      </c>
      <c r="B1401" t="str">
        <f>VLOOKUP(A1401,'Customer Names (2)'!A:B, 2,FALSE)</f>
        <v>Ms</v>
      </c>
      <c r="C1401">
        <f>VLOOKUP(A1401,Medical_Examinations[],2,FALSE)</f>
        <v>33.155000000000001</v>
      </c>
      <c r="D1401">
        <f>VLOOKUP(A1401,Medical_Examinations[],3,FALSE)</f>
        <v>5.07</v>
      </c>
      <c r="E1401" t="str">
        <f>VLOOKUP(A1401,Medical_Examinations[],4,FALSE)</f>
        <v>No</v>
      </c>
      <c r="F1401" t="str">
        <f>VLOOKUP(A1401,Medical_Examinations[],5,FALSE)</f>
        <v>No</v>
      </c>
      <c r="G1401" t="str">
        <f>VLOOKUP(A1401,Medical_Examinations[],6,FALSE)</f>
        <v>No</v>
      </c>
      <c r="H1401">
        <f>VLOOKUP(A1401,Medical_Examinations[],7,FALSE)</f>
        <v>0</v>
      </c>
      <c r="I1401" t="str">
        <f>VLOOKUP(A1401,Medical_Examinations[],8,FALSE)</f>
        <v>No</v>
      </c>
      <c r="J1401" t="str">
        <f>VLOOKUP(A1401,Medical_Examinations[],9,FALSE)</f>
        <v>Obesity</v>
      </c>
      <c r="K1401" t="str">
        <f>VLOOKUP(A1401,Medical_Examinations[],10,FALSE)</f>
        <v>Normal</v>
      </c>
      <c r="M1401">
        <f>VLOOKUP(A1401,Hospitalisation_Details__2[],4,FALSE)</f>
        <v>7639.42</v>
      </c>
      <c r="N1401" t="str">
        <f>VLOOKUP(A1401,Hospitalisation_Details__2[],5,FALSE)</f>
        <v>tier - 2</v>
      </c>
      <c r="O1401" t="str">
        <f>VLOOKUP(A1401,Hospitalisation_Details__2[],6,FALSE)</f>
        <v>tier - 2</v>
      </c>
      <c r="P1401" t="str">
        <f>VLOOKUP(A1401,Hospitalisation_Details__2[],7,FALSE)</f>
        <v>R1024</v>
      </c>
    </row>
    <row r="1402" spans="1:16" x14ac:dyDescent="0.35">
      <c r="A1402" t="str">
        <v>Id1401</v>
      </c>
      <c r="B1402" t="str">
        <f>VLOOKUP(A1402,'Customer Names (2)'!A:B, 2,FALSE)</f>
        <v>Ms</v>
      </c>
      <c r="C1402">
        <f>VLOOKUP(A1402,Medical_Examinations[],2,FALSE)</f>
        <v>42.85</v>
      </c>
      <c r="D1402">
        <f>VLOOKUP(A1402,Medical_Examinations[],3,FALSE)</f>
        <v>5.81</v>
      </c>
      <c r="E1402" t="str">
        <f>VLOOKUP(A1402,Medical_Examinations[],4,FALSE)</f>
        <v>Yes</v>
      </c>
      <c r="F1402" t="str">
        <f>VLOOKUP(A1402,Medical_Examinations[],5,FALSE)</f>
        <v>No</v>
      </c>
      <c r="G1402" t="str">
        <f>VLOOKUP(A1402,Medical_Examinations[],6,FALSE)</f>
        <v>No</v>
      </c>
      <c r="H1402">
        <f>VLOOKUP(A1402,Medical_Examinations[],7,FALSE)</f>
        <v>0</v>
      </c>
      <c r="I1402" t="str">
        <f>VLOOKUP(A1402,Medical_Examinations[],8,FALSE)</f>
        <v>No</v>
      </c>
      <c r="J1402" t="str">
        <f>VLOOKUP(A1402,Medical_Examinations[],9,FALSE)</f>
        <v>Obesity</v>
      </c>
      <c r="K1402" t="str">
        <f>VLOOKUP(A1402,Medical_Examinations[],10,FALSE)</f>
        <v>Prediabetes</v>
      </c>
      <c r="M1402">
        <f>VLOOKUP(A1402,Hospitalisation_Details__2[],4,FALSE)</f>
        <v>7636.92</v>
      </c>
      <c r="N1402" t="str">
        <f>VLOOKUP(A1402,Hospitalisation_Details__2[],5,FALSE)</f>
        <v>tier - 2</v>
      </c>
      <c r="O1402" t="str">
        <f>VLOOKUP(A1402,Hospitalisation_Details__2[],6,FALSE)</f>
        <v>tier - 3</v>
      </c>
      <c r="P1402" t="str">
        <f>VLOOKUP(A1402,Hospitalisation_Details__2[],7,FALSE)</f>
        <v>R1012</v>
      </c>
    </row>
    <row r="1403" spans="1:16" x14ac:dyDescent="0.35">
      <c r="A1403" t="str">
        <v>Id1402</v>
      </c>
      <c r="B1403" t="str">
        <f>VLOOKUP(A1403,'Customer Names (2)'!A:B, 2,FALSE)</f>
        <v>Ms</v>
      </c>
      <c r="C1403">
        <f>VLOOKUP(A1403,Medical_Examinations[],2,FALSE)</f>
        <v>32.340000000000003</v>
      </c>
      <c r="D1403">
        <f>VLOOKUP(A1403,Medical_Examinations[],3,FALSE)</f>
        <v>11.2</v>
      </c>
      <c r="E1403" t="str">
        <f>VLOOKUP(A1403,Medical_Examinations[],4,FALSE)</f>
        <v>No</v>
      </c>
      <c r="F1403" t="str">
        <f>VLOOKUP(A1403,Medical_Examinations[],5,FALSE)</f>
        <v>No</v>
      </c>
      <c r="G1403" t="str">
        <f>VLOOKUP(A1403,Medical_Examinations[],6,FALSE)</f>
        <v>No</v>
      </c>
      <c r="H1403">
        <f>VLOOKUP(A1403,Medical_Examinations[],7,FALSE)</f>
        <v>0</v>
      </c>
      <c r="I1403" t="str">
        <f>VLOOKUP(A1403,Medical_Examinations[],8,FALSE)</f>
        <v>No</v>
      </c>
      <c r="J1403" t="str">
        <f>VLOOKUP(A1403,Medical_Examinations[],9,FALSE)</f>
        <v>Obesity</v>
      </c>
      <c r="K1403" t="str">
        <f>VLOOKUP(A1403,Medical_Examinations[],10,FALSE)</f>
        <v>Diabetes</v>
      </c>
      <c r="M1403">
        <f>VLOOKUP(A1403,Hospitalisation_Details__2[],4,FALSE)</f>
        <v>7633.72</v>
      </c>
      <c r="N1403" t="str">
        <f>VLOOKUP(A1403,Hospitalisation_Details__2[],5,FALSE)</f>
        <v>tier - 2</v>
      </c>
      <c r="O1403" t="str">
        <f>VLOOKUP(A1403,Hospitalisation_Details__2[],6,FALSE)</f>
        <v>tier - 1</v>
      </c>
      <c r="P1403" t="str">
        <f>VLOOKUP(A1403,Hospitalisation_Details__2[],7,FALSE)</f>
        <v>R1013</v>
      </c>
    </row>
    <row r="1404" spans="1:16" x14ac:dyDescent="0.35">
      <c r="A1404" t="str">
        <v>Id1403</v>
      </c>
      <c r="B1404" t="str">
        <f>VLOOKUP(A1404,'Customer Names (2)'!A:B, 2,FALSE)</f>
        <v>Ms</v>
      </c>
      <c r="C1404">
        <f>VLOOKUP(A1404,Medical_Examinations[],2,FALSE)</f>
        <v>27.5</v>
      </c>
      <c r="D1404">
        <f>VLOOKUP(A1404,Medical_Examinations[],3,FALSE)</f>
        <v>10.75</v>
      </c>
      <c r="E1404" t="str">
        <f>VLOOKUP(A1404,Medical_Examinations[],4,FALSE)</f>
        <v>No</v>
      </c>
      <c r="F1404" t="str">
        <f>VLOOKUP(A1404,Medical_Examinations[],5,FALSE)</f>
        <v>No</v>
      </c>
      <c r="G1404" t="str">
        <f>VLOOKUP(A1404,Medical_Examinations[],6,FALSE)</f>
        <v>No</v>
      </c>
      <c r="H1404">
        <f>VLOOKUP(A1404,Medical_Examinations[],7,FALSE)</f>
        <v>0</v>
      </c>
      <c r="I1404" t="str">
        <f>VLOOKUP(A1404,Medical_Examinations[],8,FALSE)</f>
        <v>No</v>
      </c>
      <c r="J1404" t="str">
        <f>VLOOKUP(A1404,Medical_Examinations[],9,FALSE)</f>
        <v>Overweight</v>
      </c>
      <c r="K1404" t="str">
        <f>VLOOKUP(A1404,Medical_Examinations[],10,FALSE)</f>
        <v>Diabetes</v>
      </c>
      <c r="M1404">
        <f>VLOOKUP(A1404,Hospitalisation_Details__2[],4,FALSE)</f>
        <v>7626.99</v>
      </c>
      <c r="N1404" t="str">
        <f>VLOOKUP(A1404,Hospitalisation_Details__2[],5,FALSE)</f>
        <v>tier - 2</v>
      </c>
      <c r="O1404" t="str">
        <f>VLOOKUP(A1404,Hospitalisation_Details__2[],6,FALSE)</f>
        <v>tier - 2</v>
      </c>
      <c r="P1404" t="str">
        <f>VLOOKUP(A1404,Hospitalisation_Details__2[],7,FALSE)</f>
        <v>R1011</v>
      </c>
    </row>
    <row r="1405" spans="1:16" x14ac:dyDescent="0.35">
      <c r="A1405" t="str">
        <v>Id1404</v>
      </c>
      <c r="B1405" t="str">
        <f>VLOOKUP(A1405,'Customer Names (2)'!A:B, 2,FALSE)</f>
        <v>Ms</v>
      </c>
      <c r="C1405">
        <f>VLOOKUP(A1405,Medical_Examinations[],2,FALSE)</f>
        <v>25.8</v>
      </c>
      <c r="D1405">
        <f>VLOOKUP(A1405,Medical_Examinations[],3,FALSE)</f>
        <v>7.8</v>
      </c>
      <c r="E1405" t="str">
        <f>VLOOKUP(A1405,Medical_Examinations[],4,FALSE)</f>
        <v>No</v>
      </c>
      <c r="F1405" t="str">
        <f>VLOOKUP(A1405,Medical_Examinations[],5,FALSE)</f>
        <v>No</v>
      </c>
      <c r="G1405" t="str">
        <f>VLOOKUP(A1405,Medical_Examinations[],6,FALSE)</f>
        <v>No</v>
      </c>
      <c r="H1405">
        <f>VLOOKUP(A1405,Medical_Examinations[],7,FALSE)</f>
        <v>0</v>
      </c>
      <c r="I1405" t="str">
        <f>VLOOKUP(A1405,Medical_Examinations[],8,FALSE)</f>
        <v>No</v>
      </c>
      <c r="J1405" t="str">
        <f>VLOOKUP(A1405,Medical_Examinations[],9,FALSE)</f>
        <v>Overweight</v>
      </c>
      <c r="K1405" t="str">
        <f>VLOOKUP(A1405,Medical_Examinations[],10,FALSE)</f>
        <v>Diabetes</v>
      </c>
      <c r="M1405">
        <f>VLOOKUP(A1405,Hospitalisation_Details__2[],4,FALSE)</f>
        <v>7624.63</v>
      </c>
      <c r="N1405" t="str">
        <f>VLOOKUP(A1405,Hospitalisation_Details__2[],5,FALSE)</f>
        <v>tier - 2</v>
      </c>
      <c r="O1405" t="str">
        <f>VLOOKUP(A1405,Hospitalisation_Details__2[],6,FALSE)</f>
        <v>tier - 1</v>
      </c>
      <c r="P1405" t="str">
        <f>VLOOKUP(A1405,Hospitalisation_Details__2[],7,FALSE)</f>
        <v>R1011</v>
      </c>
    </row>
    <row r="1406" spans="1:16" x14ac:dyDescent="0.35">
      <c r="A1406" t="str">
        <v>Id1405</v>
      </c>
      <c r="B1406" t="str">
        <f>VLOOKUP(A1406,'Customer Names (2)'!A:B, 2,FALSE)</f>
        <v>Ms</v>
      </c>
      <c r="C1406">
        <f>VLOOKUP(A1406,Medical_Examinations[],2,FALSE)</f>
        <v>25</v>
      </c>
      <c r="D1406">
        <f>VLOOKUP(A1406,Medical_Examinations[],3,FALSE)</f>
        <v>7.04</v>
      </c>
      <c r="E1406" t="str">
        <f>VLOOKUP(A1406,Medical_Examinations[],4,FALSE)</f>
        <v>No</v>
      </c>
      <c r="F1406" t="str">
        <f>VLOOKUP(A1406,Medical_Examinations[],5,FALSE)</f>
        <v>No</v>
      </c>
      <c r="G1406" t="str">
        <f>VLOOKUP(A1406,Medical_Examinations[],6,FALSE)</f>
        <v>No</v>
      </c>
      <c r="H1406">
        <f>VLOOKUP(A1406,Medical_Examinations[],7,FALSE)</f>
        <v>0</v>
      </c>
      <c r="I1406" t="str">
        <f>VLOOKUP(A1406,Medical_Examinations[],8,FALSE)</f>
        <v>No</v>
      </c>
      <c r="J1406" t="str">
        <f>VLOOKUP(A1406,Medical_Examinations[],9,FALSE)</f>
        <v>Overweight</v>
      </c>
      <c r="K1406" t="str">
        <f>VLOOKUP(A1406,Medical_Examinations[],10,FALSE)</f>
        <v>Diabetes</v>
      </c>
      <c r="M1406">
        <f>VLOOKUP(A1406,Hospitalisation_Details__2[],4,FALSE)</f>
        <v>7623.52</v>
      </c>
      <c r="N1406" t="str">
        <f>VLOOKUP(A1406,Hospitalisation_Details__2[],5,FALSE)</f>
        <v>tier - 2</v>
      </c>
      <c r="O1406" t="str">
        <f>VLOOKUP(A1406,Hospitalisation_Details__2[],6,FALSE)</f>
        <v>tier - 1</v>
      </c>
      <c r="P1406" t="str">
        <f>VLOOKUP(A1406,Hospitalisation_Details__2[],7,FALSE)</f>
        <v>R1011</v>
      </c>
    </row>
    <row r="1407" spans="1:16" x14ac:dyDescent="0.35">
      <c r="A1407" t="str">
        <v>Id1406</v>
      </c>
      <c r="B1407" t="str">
        <f>VLOOKUP(A1407,'Customer Names (2)'!A:B, 2,FALSE)</f>
        <v>Mr</v>
      </c>
      <c r="C1407">
        <f>VLOOKUP(A1407,Medical_Examinations[],2,FALSE)</f>
        <v>41.2</v>
      </c>
      <c r="D1407">
        <f>VLOOKUP(A1407,Medical_Examinations[],3,FALSE)</f>
        <v>4.18</v>
      </c>
      <c r="E1407" t="str">
        <f>VLOOKUP(A1407,Medical_Examinations[],4,FALSE)</f>
        <v>Yes</v>
      </c>
      <c r="F1407" t="str">
        <f>VLOOKUP(A1407,Medical_Examinations[],5,FALSE)</f>
        <v>No</v>
      </c>
      <c r="G1407" t="str">
        <f>VLOOKUP(A1407,Medical_Examinations[],6,FALSE)</f>
        <v>No</v>
      </c>
      <c r="H1407">
        <f>VLOOKUP(A1407,Medical_Examinations[],7,FALSE)</f>
        <v>0</v>
      </c>
      <c r="I1407" t="str">
        <f>VLOOKUP(A1407,Medical_Examinations[],8,FALSE)</f>
        <v>No</v>
      </c>
      <c r="J1407" t="str">
        <f>VLOOKUP(A1407,Medical_Examinations[],9,FALSE)</f>
        <v>Obesity</v>
      </c>
      <c r="K1407" t="str">
        <f>VLOOKUP(A1407,Medical_Examinations[],10,FALSE)</f>
        <v>Normal</v>
      </c>
      <c r="M1407">
        <f>VLOOKUP(A1407,Hospitalisation_Details__2[],4,FALSE)</f>
        <v>7623.13</v>
      </c>
      <c r="N1407" t="str">
        <f>VLOOKUP(A1407,Hospitalisation_Details__2[],5,FALSE)</f>
        <v>tier - 2</v>
      </c>
      <c r="O1407" t="str">
        <f>VLOOKUP(A1407,Hospitalisation_Details__2[],6,FALSE)</f>
        <v>tier - 3</v>
      </c>
      <c r="P1407" t="str">
        <f>VLOOKUP(A1407,Hospitalisation_Details__2[],7,FALSE)</f>
        <v>R1011</v>
      </c>
    </row>
    <row r="1408" spans="1:16" x14ac:dyDescent="0.35">
      <c r="A1408" t="str">
        <v>Id1407</v>
      </c>
      <c r="B1408" t="str">
        <f>VLOOKUP(A1408,'Customer Names (2)'!A:B, 2,FALSE)</f>
        <v>Ms</v>
      </c>
      <c r="C1408">
        <f>VLOOKUP(A1408,Medical_Examinations[],2,FALSE)</f>
        <v>17.78</v>
      </c>
      <c r="D1408">
        <f>VLOOKUP(A1408,Medical_Examinations[],3,FALSE)</f>
        <v>8.19</v>
      </c>
      <c r="E1408" t="str">
        <f>VLOOKUP(A1408,Medical_Examinations[],4,FALSE)</f>
        <v>No</v>
      </c>
      <c r="F1408" t="str">
        <f>VLOOKUP(A1408,Medical_Examinations[],5,FALSE)</f>
        <v>No</v>
      </c>
      <c r="G1408" t="str">
        <f>VLOOKUP(A1408,Medical_Examinations[],6,FALSE)</f>
        <v>No</v>
      </c>
      <c r="H1408">
        <f>VLOOKUP(A1408,Medical_Examinations[],7,FALSE)</f>
        <v>0</v>
      </c>
      <c r="I1408" t="str">
        <f>VLOOKUP(A1408,Medical_Examinations[],8,FALSE)</f>
        <v>No</v>
      </c>
      <c r="J1408" t="str">
        <f>VLOOKUP(A1408,Medical_Examinations[],9,FALSE)</f>
        <v>Underweight</v>
      </c>
      <c r="K1408" t="str">
        <f>VLOOKUP(A1408,Medical_Examinations[],10,FALSE)</f>
        <v>Diabetes</v>
      </c>
      <c r="M1408">
        <f>VLOOKUP(A1408,Hospitalisation_Details__2[],4,FALSE)</f>
        <v>7609.6</v>
      </c>
      <c r="N1408" t="str">
        <f>VLOOKUP(A1408,Hospitalisation_Details__2[],5,FALSE)</f>
        <v>tier - 3</v>
      </c>
      <c r="O1408" t="str">
        <f>VLOOKUP(A1408,Hospitalisation_Details__2[],6,FALSE)</f>
        <v>tier - 2</v>
      </c>
      <c r="P1408" t="str">
        <f>VLOOKUP(A1408,Hospitalisation_Details__2[],7,FALSE)</f>
        <v>R1012</v>
      </c>
    </row>
    <row r="1409" spans="1:16" x14ac:dyDescent="0.35">
      <c r="A1409" t="str">
        <v>Id1408</v>
      </c>
      <c r="B1409" t="str">
        <f>VLOOKUP(A1409,'Customer Names (2)'!A:B, 2,FALSE)</f>
        <v>Mr</v>
      </c>
      <c r="C1409">
        <f>VLOOKUP(A1409,Medical_Examinations[],2,FALSE)</f>
        <v>40.119999999999997</v>
      </c>
      <c r="D1409">
        <f>VLOOKUP(A1409,Medical_Examinations[],3,FALSE)</f>
        <v>6.22</v>
      </c>
      <c r="E1409" t="str">
        <f>VLOOKUP(A1409,Medical_Examinations[],4,FALSE)</f>
        <v>Yes</v>
      </c>
      <c r="F1409" t="str">
        <f>VLOOKUP(A1409,Medical_Examinations[],5,FALSE)</f>
        <v>No</v>
      </c>
      <c r="G1409" t="str">
        <f>VLOOKUP(A1409,Medical_Examinations[],6,FALSE)</f>
        <v>Yes</v>
      </c>
      <c r="H1409">
        <f>VLOOKUP(A1409,Medical_Examinations[],7,FALSE)</f>
        <v>1</v>
      </c>
      <c r="I1409" t="str">
        <f>VLOOKUP(A1409,Medical_Examinations[],8,FALSE)</f>
        <v>No</v>
      </c>
      <c r="J1409" t="str">
        <f>VLOOKUP(A1409,Medical_Examinations[],9,FALSE)</f>
        <v>Obesity</v>
      </c>
      <c r="K1409" t="str">
        <f>VLOOKUP(A1409,Medical_Examinations[],10,FALSE)</f>
        <v>Prediabetes</v>
      </c>
      <c r="M1409">
        <f>VLOOKUP(A1409,Hospitalisation_Details__2[],4,FALSE)</f>
        <v>7607.03</v>
      </c>
      <c r="N1409" t="str">
        <f>VLOOKUP(A1409,Hospitalisation_Details__2[],5,FALSE)</f>
        <v>tier - 2</v>
      </c>
      <c r="O1409" t="str">
        <f>VLOOKUP(A1409,Hospitalisation_Details__2[],6,FALSE)</f>
        <v>tier - 2</v>
      </c>
      <c r="P1409" t="str">
        <f>VLOOKUP(A1409,Hospitalisation_Details__2[],7,FALSE)</f>
        <v>R1012</v>
      </c>
    </row>
    <row r="1410" spans="1:16" x14ac:dyDescent="0.35">
      <c r="A1410" t="str">
        <v>Id1409</v>
      </c>
      <c r="B1410" t="str">
        <f>VLOOKUP(A1410,'Customer Names (2)'!A:B, 2,FALSE)</f>
        <v>Mr</v>
      </c>
      <c r="C1410">
        <f>VLOOKUP(A1410,Medical_Examinations[],2,FALSE)</f>
        <v>19.350000000000001</v>
      </c>
      <c r="D1410">
        <f>VLOOKUP(A1410,Medical_Examinations[],3,FALSE)</f>
        <v>8.2200000000000006</v>
      </c>
      <c r="E1410" t="str">
        <f>VLOOKUP(A1410,Medical_Examinations[],4,FALSE)</f>
        <v>Yes</v>
      </c>
      <c r="F1410" t="str">
        <f>VLOOKUP(A1410,Medical_Examinations[],5,FALSE)</f>
        <v>No</v>
      </c>
      <c r="G1410" t="str">
        <f>VLOOKUP(A1410,Medical_Examinations[],6,FALSE)</f>
        <v>No</v>
      </c>
      <c r="H1410">
        <f>VLOOKUP(A1410,Medical_Examinations[],7,FALSE)</f>
        <v>0</v>
      </c>
      <c r="I1410" t="str">
        <f>VLOOKUP(A1410,Medical_Examinations[],8,FALSE)</f>
        <v>No</v>
      </c>
      <c r="J1410" t="str">
        <f>VLOOKUP(A1410,Medical_Examinations[],9,FALSE)</f>
        <v>Normal Weight</v>
      </c>
      <c r="K1410" t="str">
        <f>VLOOKUP(A1410,Medical_Examinations[],10,FALSE)</f>
        <v>Diabetes</v>
      </c>
      <c r="M1410">
        <f>VLOOKUP(A1410,Hospitalisation_Details__2[],4,FALSE)</f>
        <v>7585.62</v>
      </c>
      <c r="N1410" t="str">
        <f>VLOOKUP(A1410,Hospitalisation_Details__2[],5,FALSE)</f>
        <v>tier - 3</v>
      </c>
      <c r="O1410" t="str">
        <f>VLOOKUP(A1410,Hospitalisation_Details__2[],6,FALSE)</f>
        <v>tier - 2</v>
      </c>
      <c r="P1410" t="str">
        <f>VLOOKUP(A1410,Hospitalisation_Details__2[],7,FALSE)</f>
        <v>R1013</v>
      </c>
    </row>
    <row r="1411" spans="1:16" x14ac:dyDescent="0.35">
      <c r="A1411" t="str">
        <v>Id1410</v>
      </c>
      <c r="B1411" t="str">
        <f>VLOOKUP(A1411,'Customer Names (2)'!A:B, 2,FALSE)</f>
        <v>Mr</v>
      </c>
      <c r="C1411">
        <f>VLOOKUP(A1411,Medical_Examinations[],2,FALSE)</f>
        <v>36.69</v>
      </c>
      <c r="D1411">
        <f>VLOOKUP(A1411,Medical_Examinations[],3,FALSE)</f>
        <v>6.15</v>
      </c>
      <c r="E1411" t="str">
        <f>VLOOKUP(A1411,Medical_Examinations[],4,FALSE)</f>
        <v>No</v>
      </c>
      <c r="F1411" t="str">
        <f>VLOOKUP(A1411,Medical_Examinations[],5,FALSE)</f>
        <v>No</v>
      </c>
      <c r="G1411" t="str">
        <f>VLOOKUP(A1411,Medical_Examinations[],6,FALSE)</f>
        <v>No</v>
      </c>
      <c r="H1411">
        <f>VLOOKUP(A1411,Medical_Examinations[],7,FALSE)</f>
        <v>0</v>
      </c>
      <c r="I1411" t="str">
        <f>VLOOKUP(A1411,Medical_Examinations[],8,FALSE)</f>
        <v>No</v>
      </c>
      <c r="J1411" t="str">
        <f>VLOOKUP(A1411,Medical_Examinations[],9,FALSE)</f>
        <v>Obesity</v>
      </c>
      <c r="K1411" t="str">
        <f>VLOOKUP(A1411,Medical_Examinations[],10,FALSE)</f>
        <v>Prediabetes</v>
      </c>
      <c r="M1411">
        <f>VLOOKUP(A1411,Hospitalisation_Details__2[],4,FALSE)</f>
        <v>7567.13</v>
      </c>
      <c r="N1411" t="str">
        <f>VLOOKUP(A1411,Hospitalisation_Details__2[],5,FALSE)</f>
        <v>tier - 2</v>
      </c>
      <c r="O1411" t="str">
        <f>VLOOKUP(A1411,Hospitalisation_Details__2[],6,FALSE)</f>
        <v>tier - 2</v>
      </c>
      <c r="P1411" t="str">
        <f>VLOOKUP(A1411,Hospitalisation_Details__2[],7,FALSE)</f>
        <v>R1021</v>
      </c>
    </row>
    <row r="1412" spans="1:16" x14ac:dyDescent="0.35">
      <c r="A1412" t="str">
        <v>Id1411</v>
      </c>
      <c r="B1412" t="str">
        <f>VLOOKUP(A1412,'Customer Names (2)'!A:B, 2,FALSE)</f>
        <v>Ms</v>
      </c>
      <c r="C1412">
        <f>VLOOKUP(A1412,Medical_Examinations[],2,FALSE)</f>
        <v>28.51</v>
      </c>
      <c r="D1412">
        <f>VLOOKUP(A1412,Medical_Examinations[],3,FALSE)</f>
        <v>5.65</v>
      </c>
      <c r="E1412" t="str">
        <f>VLOOKUP(A1412,Medical_Examinations[],4,FALSE)</f>
        <v>Yes</v>
      </c>
      <c r="F1412" t="str">
        <f>VLOOKUP(A1412,Medical_Examinations[],5,FALSE)</f>
        <v>No</v>
      </c>
      <c r="G1412" t="str">
        <f>VLOOKUP(A1412,Medical_Examinations[],6,FALSE)</f>
        <v>No</v>
      </c>
      <c r="H1412">
        <f>VLOOKUP(A1412,Medical_Examinations[],7,FALSE)</f>
        <v>1</v>
      </c>
      <c r="I1412" t="str">
        <f>VLOOKUP(A1412,Medical_Examinations[],8,FALSE)</f>
        <v>No</v>
      </c>
      <c r="J1412" t="str">
        <f>VLOOKUP(A1412,Medical_Examinations[],9,FALSE)</f>
        <v>Overweight</v>
      </c>
      <c r="K1412" t="str">
        <f>VLOOKUP(A1412,Medical_Examinations[],10,FALSE)</f>
        <v>Normal</v>
      </c>
      <c r="M1412">
        <f>VLOOKUP(A1412,Hospitalisation_Details__2[],4,FALSE)</f>
        <v>7538.52</v>
      </c>
      <c r="N1412" t="str">
        <f>VLOOKUP(A1412,Hospitalisation_Details__2[],5,FALSE)</f>
        <v>tier - 2</v>
      </c>
      <c r="O1412" t="str">
        <f>VLOOKUP(A1412,Hospitalisation_Details__2[],6,FALSE)</f>
        <v>tier - 2</v>
      </c>
      <c r="P1412" t="str">
        <f>VLOOKUP(A1412,Hospitalisation_Details__2[],7,FALSE)</f>
        <v>R1012</v>
      </c>
    </row>
    <row r="1413" spans="1:16" x14ac:dyDescent="0.35">
      <c r="A1413" t="str">
        <v>Id1412</v>
      </c>
      <c r="B1413" t="str">
        <f>VLOOKUP(A1413,'Customer Names (2)'!A:B, 2,FALSE)</f>
        <v>Ms</v>
      </c>
      <c r="C1413">
        <f>VLOOKUP(A1413,Medical_Examinations[],2,FALSE)</f>
        <v>30.21</v>
      </c>
      <c r="D1413">
        <f>VLOOKUP(A1413,Medical_Examinations[],3,FALSE)</f>
        <v>5.5</v>
      </c>
      <c r="E1413" t="str">
        <f>VLOOKUP(A1413,Medical_Examinations[],4,FALSE)</f>
        <v>No</v>
      </c>
      <c r="F1413" t="str">
        <f>VLOOKUP(A1413,Medical_Examinations[],5,FALSE)</f>
        <v>No</v>
      </c>
      <c r="G1413" t="str">
        <f>VLOOKUP(A1413,Medical_Examinations[],6,FALSE)</f>
        <v>No</v>
      </c>
      <c r="H1413">
        <f>VLOOKUP(A1413,Medical_Examinations[],7,FALSE)</f>
        <v>1</v>
      </c>
      <c r="I1413" t="str">
        <f>VLOOKUP(A1413,Medical_Examinations[],8,FALSE)</f>
        <v>No</v>
      </c>
      <c r="J1413" t="str">
        <f>VLOOKUP(A1413,Medical_Examinations[],9,FALSE)</f>
        <v>Obesity</v>
      </c>
      <c r="K1413" t="str">
        <f>VLOOKUP(A1413,Medical_Examinations[],10,FALSE)</f>
        <v>Normal</v>
      </c>
      <c r="M1413">
        <f>VLOOKUP(A1413,Hospitalisation_Details__2[],4,FALSE)</f>
        <v>7537.16</v>
      </c>
      <c r="N1413" t="str">
        <f>VLOOKUP(A1413,Hospitalisation_Details__2[],5,FALSE)</f>
        <v>tier - 2</v>
      </c>
      <c r="O1413" t="str">
        <f>VLOOKUP(A1413,Hospitalisation_Details__2[],6,FALSE)</f>
        <v>tier - 2</v>
      </c>
      <c r="P1413" t="str">
        <f>VLOOKUP(A1413,Hospitalisation_Details__2[],7,FALSE)</f>
        <v>R1012</v>
      </c>
    </row>
    <row r="1414" spans="1:16" x14ac:dyDescent="0.35">
      <c r="A1414" t="str">
        <v>Id1413</v>
      </c>
      <c r="B1414" t="str">
        <f>VLOOKUP(A1414,'Customer Names (2)'!A:B, 2,FALSE)</f>
        <v>Ms</v>
      </c>
      <c r="C1414">
        <f>VLOOKUP(A1414,Medical_Examinations[],2,FALSE)</f>
        <v>24.33</v>
      </c>
      <c r="D1414">
        <f>VLOOKUP(A1414,Medical_Examinations[],3,FALSE)</f>
        <v>8</v>
      </c>
      <c r="E1414" t="str">
        <f>VLOOKUP(A1414,Medical_Examinations[],4,FALSE)</f>
        <v>No</v>
      </c>
      <c r="F1414" t="str">
        <f>VLOOKUP(A1414,Medical_Examinations[],5,FALSE)</f>
        <v>No</v>
      </c>
      <c r="G1414" t="str">
        <f>VLOOKUP(A1414,Medical_Examinations[],6,FALSE)</f>
        <v>No</v>
      </c>
      <c r="H1414">
        <f>VLOOKUP(A1414,Medical_Examinations[],7,FALSE)</f>
        <v>0</v>
      </c>
      <c r="I1414" t="str">
        <f>VLOOKUP(A1414,Medical_Examinations[],8,FALSE)</f>
        <v>No</v>
      </c>
      <c r="J1414" t="str">
        <f>VLOOKUP(A1414,Medical_Examinations[],9,FALSE)</f>
        <v>Normal Weight</v>
      </c>
      <c r="K1414" t="str">
        <f>VLOOKUP(A1414,Medical_Examinations[],10,FALSE)</f>
        <v>Diabetes</v>
      </c>
      <c r="M1414">
        <f>VLOOKUP(A1414,Hospitalisation_Details__2[],4,FALSE)</f>
        <v>7531.7</v>
      </c>
      <c r="N1414" t="str">
        <f>VLOOKUP(A1414,Hospitalisation_Details__2[],5,FALSE)</f>
        <v>tier - 2</v>
      </c>
      <c r="O1414" t="str">
        <f>VLOOKUP(A1414,Hospitalisation_Details__2[],6,FALSE)</f>
        <v>tier - 1</v>
      </c>
      <c r="P1414" t="str">
        <f>VLOOKUP(A1414,Hospitalisation_Details__2[],7,FALSE)</f>
        <v>R1013</v>
      </c>
    </row>
    <row r="1415" spans="1:16" x14ac:dyDescent="0.35">
      <c r="A1415" t="str">
        <v>Id1414</v>
      </c>
      <c r="B1415" t="str">
        <f>VLOOKUP(A1415,'Customer Names (2)'!A:B, 2,FALSE)</f>
        <v>Mr</v>
      </c>
      <c r="C1415">
        <f>VLOOKUP(A1415,Medical_Examinations[],2,FALSE)</f>
        <v>19.855</v>
      </c>
      <c r="D1415">
        <f>VLOOKUP(A1415,Medical_Examinations[],3,FALSE)</f>
        <v>5.71</v>
      </c>
      <c r="E1415" t="str">
        <f>VLOOKUP(A1415,Medical_Examinations[],4,FALSE)</f>
        <v>Yes</v>
      </c>
      <c r="F1415" t="str">
        <f>VLOOKUP(A1415,Medical_Examinations[],5,FALSE)</f>
        <v>No</v>
      </c>
      <c r="G1415" t="str">
        <f>VLOOKUP(A1415,Medical_Examinations[],6,FALSE)</f>
        <v>No</v>
      </c>
      <c r="H1415">
        <f>VLOOKUP(A1415,Medical_Examinations[],7,FALSE)</f>
        <v>0</v>
      </c>
      <c r="I1415" t="str">
        <f>VLOOKUP(A1415,Medical_Examinations[],8,FALSE)</f>
        <v>No</v>
      </c>
      <c r="J1415" t="str">
        <f>VLOOKUP(A1415,Medical_Examinations[],9,FALSE)</f>
        <v>Normal Weight</v>
      </c>
      <c r="K1415" t="str">
        <f>VLOOKUP(A1415,Medical_Examinations[],10,FALSE)</f>
        <v>Prediabetes</v>
      </c>
      <c r="M1415">
        <f>VLOOKUP(A1415,Hospitalisation_Details__2[],4,FALSE)</f>
        <v>7526.71</v>
      </c>
      <c r="N1415" t="str">
        <f>VLOOKUP(A1415,Hospitalisation_Details__2[],5,FALSE)</f>
        <v>tier - 3</v>
      </c>
      <c r="O1415" t="str">
        <f>VLOOKUP(A1415,Hospitalisation_Details__2[],6,FALSE)</f>
        <v>tier - 1</v>
      </c>
      <c r="P1415" t="str">
        <f>VLOOKUP(A1415,Hospitalisation_Details__2[],7,FALSE)</f>
        <v>R1012</v>
      </c>
    </row>
    <row r="1416" spans="1:16" x14ac:dyDescent="0.35">
      <c r="A1416" t="str">
        <v>Id1415</v>
      </c>
      <c r="B1416" t="str">
        <f>VLOOKUP(A1416,'Customer Names (2)'!A:B, 2,FALSE)</f>
        <v>Mr</v>
      </c>
      <c r="C1416">
        <f>VLOOKUP(A1416,Medical_Examinations[],2,FALSE)</f>
        <v>25.364999999999998</v>
      </c>
      <c r="D1416">
        <f>VLOOKUP(A1416,Medical_Examinations[],3,FALSE)</f>
        <v>11.71</v>
      </c>
      <c r="E1416" t="str">
        <f>VLOOKUP(A1416,Medical_Examinations[],4,FALSE)</f>
        <v>No</v>
      </c>
      <c r="F1416" t="str">
        <f>VLOOKUP(A1416,Medical_Examinations[],5,FALSE)</f>
        <v>No</v>
      </c>
      <c r="G1416" t="str">
        <f>VLOOKUP(A1416,Medical_Examinations[],6,FALSE)</f>
        <v>No</v>
      </c>
      <c r="H1416">
        <f>VLOOKUP(A1416,Medical_Examinations[],7,FALSE)</f>
        <v>0</v>
      </c>
      <c r="I1416" t="str">
        <f>VLOOKUP(A1416,Medical_Examinations[],8,FALSE)</f>
        <v>No</v>
      </c>
      <c r="J1416" t="str">
        <f>VLOOKUP(A1416,Medical_Examinations[],9,FALSE)</f>
        <v>Overweight</v>
      </c>
      <c r="K1416" t="str">
        <f>VLOOKUP(A1416,Medical_Examinations[],10,FALSE)</f>
        <v>Diabetes</v>
      </c>
      <c r="M1416">
        <f>VLOOKUP(A1416,Hospitalisation_Details__2[],4,FALSE)</f>
        <v>7518.03</v>
      </c>
      <c r="N1416" t="str">
        <f>VLOOKUP(A1416,Hospitalisation_Details__2[],5,FALSE)</f>
        <v>tier - 2</v>
      </c>
      <c r="O1416" t="str">
        <f>VLOOKUP(A1416,Hospitalisation_Details__2[],6,FALSE)</f>
        <v>tier - 3</v>
      </c>
      <c r="P1416" t="str">
        <f>VLOOKUP(A1416,Hospitalisation_Details__2[],7,FALSE)</f>
        <v>R1012</v>
      </c>
    </row>
    <row r="1417" spans="1:16" x14ac:dyDescent="0.35">
      <c r="A1417" t="str">
        <v>Id1416</v>
      </c>
      <c r="B1417" t="str">
        <f>VLOOKUP(A1417,'Customer Names (2)'!A:B, 2,FALSE)</f>
        <v>Mr</v>
      </c>
      <c r="C1417">
        <f>VLOOKUP(A1417,Medical_Examinations[],2,FALSE)</f>
        <v>29.6</v>
      </c>
      <c r="D1417">
        <f>VLOOKUP(A1417,Medical_Examinations[],3,FALSE)</f>
        <v>6.17</v>
      </c>
      <c r="E1417" t="str">
        <f>VLOOKUP(A1417,Medical_Examinations[],4,FALSE)</f>
        <v>Yes</v>
      </c>
      <c r="F1417" t="str">
        <f>VLOOKUP(A1417,Medical_Examinations[],5,FALSE)</f>
        <v>No</v>
      </c>
      <c r="G1417" t="str">
        <f>VLOOKUP(A1417,Medical_Examinations[],6,FALSE)</f>
        <v>Yes</v>
      </c>
      <c r="H1417">
        <f>VLOOKUP(A1417,Medical_Examinations[],7,FALSE)</f>
        <v>1</v>
      </c>
      <c r="I1417" t="str">
        <f>VLOOKUP(A1417,Medical_Examinations[],8,FALSE)</f>
        <v>No</v>
      </c>
      <c r="J1417" t="str">
        <f>VLOOKUP(A1417,Medical_Examinations[],9,FALSE)</f>
        <v>Overweight</v>
      </c>
      <c r="K1417" t="str">
        <f>VLOOKUP(A1417,Medical_Examinations[],10,FALSE)</f>
        <v>Prediabetes</v>
      </c>
      <c r="M1417">
        <f>VLOOKUP(A1417,Hospitalisation_Details__2[],4,FALSE)</f>
        <v>7512.27</v>
      </c>
      <c r="N1417" t="str">
        <f>VLOOKUP(A1417,Hospitalisation_Details__2[],5,FALSE)</f>
        <v>tier - 3</v>
      </c>
      <c r="O1417" t="str">
        <f>VLOOKUP(A1417,Hospitalisation_Details__2[],6,FALSE)</f>
        <v>tier - 2</v>
      </c>
      <c r="P1417" t="str">
        <f>VLOOKUP(A1417,Hospitalisation_Details__2[],7,FALSE)</f>
        <v>R1011</v>
      </c>
    </row>
    <row r="1418" spans="1:16" x14ac:dyDescent="0.35">
      <c r="A1418" t="str">
        <v>Id1417</v>
      </c>
      <c r="B1418" t="str">
        <f>VLOOKUP(A1418,'Customer Names (2)'!A:B, 2,FALSE)</f>
        <v>Ms</v>
      </c>
      <c r="C1418">
        <f>VLOOKUP(A1418,Medical_Examinations[],2,FALSE)</f>
        <v>39.43</v>
      </c>
      <c r="D1418">
        <f>VLOOKUP(A1418,Medical_Examinations[],3,FALSE)</f>
        <v>6.1</v>
      </c>
      <c r="E1418" t="str">
        <f>VLOOKUP(A1418,Medical_Examinations[],4,FALSE)</f>
        <v>Yes</v>
      </c>
      <c r="F1418" t="str">
        <f>VLOOKUP(A1418,Medical_Examinations[],5,FALSE)</f>
        <v>No</v>
      </c>
      <c r="G1418" t="str">
        <f>VLOOKUP(A1418,Medical_Examinations[],6,FALSE)</f>
        <v>Yes</v>
      </c>
      <c r="H1418">
        <f>VLOOKUP(A1418,Medical_Examinations[],7,FALSE)</f>
        <v>1</v>
      </c>
      <c r="I1418" t="str">
        <f>VLOOKUP(A1418,Medical_Examinations[],8,FALSE)</f>
        <v>No</v>
      </c>
      <c r="J1418" t="str">
        <f>VLOOKUP(A1418,Medical_Examinations[],9,FALSE)</f>
        <v>Obesity</v>
      </c>
      <c r="K1418" t="str">
        <f>VLOOKUP(A1418,Medical_Examinations[],10,FALSE)</f>
        <v>Prediabetes</v>
      </c>
      <c r="M1418">
        <f>VLOOKUP(A1418,Hospitalisation_Details__2[],4,FALSE)</f>
        <v>7504.3</v>
      </c>
      <c r="N1418" t="str">
        <f>VLOOKUP(A1418,Hospitalisation_Details__2[],5,FALSE)</f>
        <v>tier - 2</v>
      </c>
      <c r="O1418" t="str">
        <f>VLOOKUP(A1418,Hospitalisation_Details__2[],6,FALSE)</f>
        <v>tier - 1</v>
      </c>
      <c r="P1418" t="str">
        <f>VLOOKUP(A1418,Hospitalisation_Details__2[],7,FALSE)</f>
        <v>R1012</v>
      </c>
    </row>
    <row r="1419" spans="1:16" x14ac:dyDescent="0.35">
      <c r="A1419" t="str">
        <v>Id1418</v>
      </c>
      <c r="B1419" t="str">
        <f>VLOOKUP(A1419,'Customer Names (2)'!A:B, 2,FALSE)</f>
        <v>Mrs</v>
      </c>
      <c r="C1419">
        <f>VLOOKUP(A1419,Medical_Examinations[],2,FALSE)</f>
        <v>27.34</v>
      </c>
      <c r="D1419">
        <f>VLOOKUP(A1419,Medical_Examinations[],3,FALSE)</f>
        <v>5.19</v>
      </c>
      <c r="E1419" t="str">
        <f>VLOOKUP(A1419,Medical_Examinations[],4,FALSE)</f>
        <v>Yes</v>
      </c>
      <c r="F1419" t="str">
        <f>VLOOKUP(A1419,Medical_Examinations[],5,FALSE)</f>
        <v>No</v>
      </c>
      <c r="G1419" t="str">
        <f>VLOOKUP(A1419,Medical_Examinations[],6,FALSE)</f>
        <v>No</v>
      </c>
      <c r="H1419">
        <f>VLOOKUP(A1419,Medical_Examinations[],7,FALSE)</f>
        <v>1</v>
      </c>
      <c r="I1419" t="str">
        <f>VLOOKUP(A1419,Medical_Examinations[],8,FALSE)</f>
        <v>No</v>
      </c>
      <c r="J1419" t="str">
        <f>VLOOKUP(A1419,Medical_Examinations[],9,FALSE)</f>
        <v>Overweight</v>
      </c>
      <c r="K1419" t="str">
        <f>VLOOKUP(A1419,Medical_Examinations[],10,FALSE)</f>
        <v>Normal</v>
      </c>
      <c r="M1419">
        <f>VLOOKUP(A1419,Hospitalisation_Details__2[],4,FALSE)</f>
        <v>7494.63</v>
      </c>
      <c r="N1419" t="str">
        <f>VLOOKUP(A1419,Hospitalisation_Details__2[],5,FALSE)</f>
        <v>tier - 2</v>
      </c>
      <c r="O1419" t="str">
        <f>VLOOKUP(A1419,Hospitalisation_Details__2[],6,FALSE)</f>
        <v>tier - 3</v>
      </c>
      <c r="P1419" t="str">
        <f>VLOOKUP(A1419,Hospitalisation_Details__2[],7,FALSE)</f>
        <v>R1025</v>
      </c>
    </row>
    <row r="1420" spans="1:16" x14ac:dyDescent="0.35">
      <c r="A1420" t="str">
        <v>Id1419</v>
      </c>
      <c r="B1420" t="str">
        <f>VLOOKUP(A1420,'Customer Names (2)'!A:B, 2,FALSE)</f>
        <v>Mr</v>
      </c>
      <c r="C1420">
        <f>VLOOKUP(A1420,Medical_Examinations[],2,FALSE)</f>
        <v>39.01</v>
      </c>
      <c r="D1420">
        <f>VLOOKUP(A1420,Medical_Examinations[],3,FALSE)</f>
        <v>5.37</v>
      </c>
      <c r="E1420" t="str">
        <f>VLOOKUP(A1420,Medical_Examinations[],4,FALSE)</f>
        <v>Yes</v>
      </c>
      <c r="F1420" t="str">
        <f>VLOOKUP(A1420,Medical_Examinations[],5,FALSE)</f>
        <v>No</v>
      </c>
      <c r="G1420" t="str">
        <f>VLOOKUP(A1420,Medical_Examinations[],6,FALSE)</f>
        <v>No</v>
      </c>
      <c r="H1420">
        <f>VLOOKUP(A1420,Medical_Examinations[],7,FALSE)</f>
        <v>0</v>
      </c>
      <c r="I1420" t="str">
        <f>VLOOKUP(A1420,Medical_Examinations[],8,FALSE)</f>
        <v>No</v>
      </c>
      <c r="J1420" t="str">
        <f>VLOOKUP(A1420,Medical_Examinations[],9,FALSE)</f>
        <v>Obesity</v>
      </c>
      <c r="K1420" t="str">
        <f>VLOOKUP(A1420,Medical_Examinations[],10,FALSE)</f>
        <v>Normal</v>
      </c>
      <c r="M1420">
        <f>VLOOKUP(A1420,Hospitalisation_Details__2[],4,FALSE)</f>
        <v>7487.38</v>
      </c>
      <c r="N1420" t="str">
        <f>VLOOKUP(A1420,Hospitalisation_Details__2[],5,FALSE)</f>
        <v>tier - 2</v>
      </c>
      <c r="O1420" t="str">
        <f>VLOOKUP(A1420,Hospitalisation_Details__2[],6,FALSE)</f>
        <v>tier - 3</v>
      </c>
      <c r="P1420" t="str">
        <f>VLOOKUP(A1420,Hospitalisation_Details__2[],7,FALSE)</f>
        <v>R1012</v>
      </c>
    </row>
    <row r="1421" spans="1:16" x14ac:dyDescent="0.35">
      <c r="A1421" t="str">
        <v>Id1420</v>
      </c>
      <c r="B1421" t="str">
        <f>VLOOKUP(A1421,'Customer Names (2)'!A:B, 2,FALSE)</f>
        <v>Mr</v>
      </c>
      <c r="C1421">
        <f>VLOOKUP(A1421,Medical_Examinations[],2,FALSE)</f>
        <v>18.989999999999998</v>
      </c>
      <c r="D1421">
        <f>VLOOKUP(A1421,Medical_Examinations[],3,FALSE)</f>
        <v>10.82</v>
      </c>
      <c r="E1421" t="str">
        <f>VLOOKUP(A1421,Medical_Examinations[],4,FALSE)</f>
        <v>Yes</v>
      </c>
      <c r="F1421" t="str">
        <f>VLOOKUP(A1421,Medical_Examinations[],5,FALSE)</f>
        <v>No</v>
      </c>
      <c r="G1421" t="str">
        <f>VLOOKUP(A1421,Medical_Examinations[],6,FALSE)</f>
        <v>No</v>
      </c>
      <c r="H1421">
        <f>VLOOKUP(A1421,Medical_Examinations[],7,FALSE)</f>
        <v>0</v>
      </c>
      <c r="I1421" t="str">
        <f>VLOOKUP(A1421,Medical_Examinations[],8,FALSE)</f>
        <v>No</v>
      </c>
      <c r="J1421" t="str">
        <f>VLOOKUP(A1421,Medical_Examinations[],9,FALSE)</f>
        <v>Normal Weight</v>
      </c>
      <c r="K1421" t="str">
        <f>VLOOKUP(A1421,Medical_Examinations[],10,FALSE)</f>
        <v>Diabetes</v>
      </c>
      <c r="M1421">
        <f>VLOOKUP(A1421,Hospitalisation_Details__2[],4,FALSE)</f>
        <v>7463.51</v>
      </c>
      <c r="N1421" t="str">
        <f>VLOOKUP(A1421,Hospitalisation_Details__2[],5,FALSE)</f>
        <v>tier - 3</v>
      </c>
      <c r="O1421" t="str">
        <f>VLOOKUP(A1421,Hospitalisation_Details__2[],6,FALSE)</f>
        <v>tier - 3</v>
      </c>
      <c r="P1421" t="str">
        <f>VLOOKUP(A1421,Hospitalisation_Details__2[],7,FALSE)</f>
        <v>R1013</v>
      </c>
    </row>
    <row r="1422" spans="1:16" x14ac:dyDescent="0.35">
      <c r="A1422" t="str">
        <v>Id1421</v>
      </c>
      <c r="B1422" t="str">
        <f>VLOOKUP(A1422,'Customer Names (2)'!A:B, 2,FALSE)</f>
        <v>Ms</v>
      </c>
      <c r="C1422">
        <f>VLOOKUP(A1422,Medical_Examinations[],2,FALSE)</f>
        <v>42.3</v>
      </c>
      <c r="D1422">
        <f>VLOOKUP(A1422,Medical_Examinations[],3,FALSE)</f>
        <v>6.06</v>
      </c>
      <c r="E1422" t="str">
        <f>VLOOKUP(A1422,Medical_Examinations[],4,FALSE)</f>
        <v>Yes</v>
      </c>
      <c r="F1422" t="str">
        <f>VLOOKUP(A1422,Medical_Examinations[],5,FALSE)</f>
        <v>No</v>
      </c>
      <c r="G1422" t="str">
        <f>VLOOKUP(A1422,Medical_Examinations[],6,FALSE)</f>
        <v>No</v>
      </c>
      <c r="H1422">
        <f>VLOOKUP(A1422,Medical_Examinations[],7,FALSE)</f>
        <v>0</v>
      </c>
      <c r="I1422" t="str">
        <f>VLOOKUP(A1422,Medical_Examinations[],8,FALSE)</f>
        <v>No</v>
      </c>
      <c r="J1422" t="str">
        <f>VLOOKUP(A1422,Medical_Examinations[],9,FALSE)</f>
        <v>Obesity</v>
      </c>
      <c r="K1422" t="str">
        <f>VLOOKUP(A1422,Medical_Examinations[],10,FALSE)</f>
        <v>Prediabetes</v>
      </c>
      <c r="M1422">
        <f>VLOOKUP(A1422,Hospitalisation_Details__2[],4,FALSE)</f>
        <v>7450.36</v>
      </c>
      <c r="N1422" t="str">
        <f>VLOOKUP(A1422,Hospitalisation_Details__2[],5,FALSE)</f>
        <v>tier - 2</v>
      </c>
      <c r="O1422" t="str">
        <f>VLOOKUP(A1422,Hospitalisation_Details__2[],6,FALSE)</f>
        <v>tier - 2</v>
      </c>
      <c r="P1422" t="str">
        <f>VLOOKUP(A1422,Hospitalisation_Details__2[],7,FALSE)</f>
        <v>R1012</v>
      </c>
    </row>
    <row r="1423" spans="1:16" x14ac:dyDescent="0.35">
      <c r="A1423" t="str">
        <v>Id1422</v>
      </c>
      <c r="B1423" t="str">
        <f>VLOOKUP(A1423,'Customer Names (2)'!A:B, 2,FALSE)</f>
        <v>Mr</v>
      </c>
      <c r="C1423">
        <f>VLOOKUP(A1423,Medical_Examinations[],2,FALSE)</f>
        <v>39.805</v>
      </c>
      <c r="D1423">
        <f>VLOOKUP(A1423,Medical_Examinations[],3,FALSE)</f>
        <v>5.91</v>
      </c>
      <c r="E1423" t="str">
        <f>VLOOKUP(A1423,Medical_Examinations[],4,FALSE)</f>
        <v>No</v>
      </c>
      <c r="F1423" t="str">
        <f>VLOOKUP(A1423,Medical_Examinations[],5,FALSE)</f>
        <v>No</v>
      </c>
      <c r="G1423" t="str">
        <f>VLOOKUP(A1423,Medical_Examinations[],6,FALSE)</f>
        <v>No</v>
      </c>
      <c r="H1423">
        <f>VLOOKUP(A1423,Medical_Examinations[],7,FALSE)</f>
        <v>0</v>
      </c>
      <c r="I1423" t="str">
        <f>VLOOKUP(A1423,Medical_Examinations[],8,FALSE)</f>
        <v>No</v>
      </c>
      <c r="J1423" t="str">
        <f>VLOOKUP(A1423,Medical_Examinations[],9,FALSE)</f>
        <v>Obesity</v>
      </c>
      <c r="K1423" t="str">
        <f>VLOOKUP(A1423,Medical_Examinations[],10,FALSE)</f>
        <v>Prediabetes</v>
      </c>
      <c r="M1423">
        <f>VLOOKUP(A1423,Hospitalisation_Details__2[],4,FALSE)</f>
        <v>7448.4</v>
      </c>
      <c r="N1423" t="str">
        <f>VLOOKUP(A1423,Hospitalisation_Details__2[],5,FALSE)</f>
        <v>tier - 3</v>
      </c>
      <c r="O1423" t="str">
        <f>VLOOKUP(A1423,Hospitalisation_Details__2[],6,FALSE)</f>
        <v>tier - 3</v>
      </c>
      <c r="P1423" t="str">
        <f>VLOOKUP(A1423,Hospitalisation_Details__2[],7,FALSE)</f>
        <v>R1017</v>
      </c>
    </row>
    <row r="1424" spans="1:16" x14ac:dyDescent="0.35">
      <c r="A1424" t="str">
        <v>Id1423</v>
      </c>
      <c r="B1424" t="str">
        <f>VLOOKUP(A1424,'Customer Names (2)'!A:B, 2,FALSE)</f>
        <v>Mr</v>
      </c>
      <c r="C1424">
        <f>VLOOKUP(A1424,Medical_Examinations[],2,FALSE)</f>
        <v>33.700000000000003</v>
      </c>
      <c r="D1424">
        <f>VLOOKUP(A1424,Medical_Examinations[],3,FALSE)</f>
        <v>5.87</v>
      </c>
      <c r="E1424" t="str">
        <f>VLOOKUP(A1424,Medical_Examinations[],4,FALSE)</f>
        <v>No</v>
      </c>
      <c r="F1424" t="str">
        <f>VLOOKUP(A1424,Medical_Examinations[],5,FALSE)</f>
        <v>No</v>
      </c>
      <c r="G1424" t="str">
        <f>VLOOKUP(A1424,Medical_Examinations[],6,FALSE)</f>
        <v>No</v>
      </c>
      <c r="H1424">
        <f>VLOOKUP(A1424,Medical_Examinations[],7,FALSE)</f>
        <v>0</v>
      </c>
      <c r="I1424" t="str">
        <f>VLOOKUP(A1424,Medical_Examinations[],8,FALSE)</f>
        <v>No</v>
      </c>
      <c r="J1424" t="str">
        <f>VLOOKUP(A1424,Medical_Examinations[],9,FALSE)</f>
        <v>Obesity</v>
      </c>
      <c r="K1424" t="str">
        <f>VLOOKUP(A1424,Medical_Examinations[],10,FALSE)</f>
        <v>Prediabetes</v>
      </c>
      <c r="M1424">
        <f>VLOOKUP(A1424,Hospitalisation_Details__2[],4,FALSE)</f>
        <v>7445.92</v>
      </c>
      <c r="N1424" t="str">
        <f>VLOOKUP(A1424,Hospitalisation_Details__2[],5,FALSE)</f>
        <v>tier - 3</v>
      </c>
      <c r="O1424" t="str">
        <f>VLOOKUP(A1424,Hospitalisation_Details__2[],6,FALSE)</f>
        <v>tier - 1</v>
      </c>
      <c r="P1424" t="str">
        <f>VLOOKUP(A1424,Hospitalisation_Details__2[],7,FALSE)</f>
        <v>R1011</v>
      </c>
    </row>
    <row r="1425" spans="1:16" x14ac:dyDescent="0.35">
      <c r="A1425" t="str">
        <v>Id1424</v>
      </c>
      <c r="B1425" t="str">
        <f>VLOOKUP(A1425,'Customer Names (2)'!A:B, 2,FALSE)</f>
        <v>Ms</v>
      </c>
      <c r="C1425">
        <f>VLOOKUP(A1425,Medical_Examinations[],2,FALSE)</f>
        <v>36.195</v>
      </c>
      <c r="D1425">
        <f>VLOOKUP(A1425,Medical_Examinations[],3,FALSE)</f>
        <v>6.22</v>
      </c>
      <c r="E1425" t="str">
        <f>VLOOKUP(A1425,Medical_Examinations[],4,FALSE)</f>
        <v>No</v>
      </c>
      <c r="F1425" t="str">
        <f>VLOOKUP(A1425,Medical_Examinations[],5,FALSE)</f>
        <v>No</v>
      </c>
      <c r="G1425" t="str">
        <f>VLOOKUP(A1425,Medical_Examinations[],6,FALSE)</f>
        <v>No</v>
      </c>
      <c r="H1425">
        <f>VLOOKUP(A1425,Medical_Examinations[],7,FALSE)</f>
        <v>0</v>
      </c>
      <c r="I1425" t="str">
        <f>VLOOKUP(A1425,Medical_Examinations[],8,FALSE)</f>
        <v>No</v>
      </c>
      <c r="J1425" t="str">
        <f>VLOOKUP(A1425,Medical_Examinations[],9,FALSE)</f>
        <v>Obesity</v>
      </c>
      <c r="K1425" t="str">
        <f>VLOOKUP(A1425,Medical_Examinations[],10,FALSE)</f>
        <v>Prediabetes</v>
      </c>
      <c r="M1425">
        <f>VLOOKUP(A1425,Hospitalisation_Details__2[],4,FALSE)</f>
        <v>7443.64</v>
      </c>
      <c r="N1425" t="str">
        <f>VLOOKUP(A1425,Hospitalisation_Details__2[],5,FALSE)</f>
        <v>tier - 2</v>
      </c>
      <c r="O1425" t="str">
        <f>VLOOKUP(A1425,Hospitalisation_Details__2[],6,FALSE)</f>
        <v>tier - 3</v>
      </c>
      <c r="P1425" t="str">
        <f>VLOOKUP(A1425,Hospitalisation_Details__2[],7,FALSE)</f>
        <v>R1012</v>
      </c>
    </row>
    <row r="1426" spans="1:16" x14ac:dyDescent="0.35">
      <c r="A1426" t="str">
        <v>Id1425</v>
      </c>
      <c r="B1426" t="str">
        <f>VLOOKUP(A1426,'Customer Names (2)'!A:B, 2,FALSE)</f>
        <v>Mr</v>
      </c>
      <c r="C1426">
        <f>VLOOKUP(A1426,Medical_Examinations[],2,FALSE)</f>
        <v>32.6</v>
      </c>
      <c r="D1426">
        <f>VLOOKUP(A1426,Medical_Examinations[],3,FALSE)</f>
        <v>5.73</v>
      </c>
      <c r="E1426" t="str">
        <f>VLOOKUP(A1426,Medical_Examinations[],4,FALSE)</f>
        <v>No</v>
      </c>
      <c r="F1426" t="str">
        <f>VLOOKUP(A1426,Medical_Examinations[],5,FALSE)</f>
        <v>No</v>
      </c>
      <c r="G1426" t="str">
        <f>VLOOKUP(A1426,Medical_Examinations[],6,FALSE)</f>
        <v>Yes</v>
      </c>
      <c r="H1426">
        <f>VLOOKUP(A1426,Medical_Examinations[],7,FALSE)</f>
        <v>1</v>
      </c>
      <c r="I1426" t="str">
        <f>VLOOKUP(A1426,Medical_Examinations[],8,FALSE)</f>
        <v>No</v>
      </c>
      <c r="J1426" t="str">
        <f>VLOOKUP(A1426,Medical_Examinations[],9,FALSE)</f>
        <v>Obesity</v>
      </c>
      <c r="K1426" t="str">
        <f>VLOOKUP(A1426,Medical_Examinations[],10,FALSE)</f>
        <v>Prediabetes</v>
      </c>
      <c r="M1426">
        <f>VLOOKUP(A1426,Hospitalisation_Details__2[],4,FALSE)</f>
        <v>7441.5</v>
      </c>
      <c r="N1426" t="str">
        <f>VLOOKUP(A1426,Hospitalisation_Details__2[],5,FALSE)</f>
        <v>tier - 3</v>
      </c>
      <c r="O1426" t="str">
        <f>VLOOKUP(A1426,Hospitalisation_Details__2[],6,FALSE)</f>
        <v>tier - 2</v>
      </c>
      <c r="P1426" t="str">
        <f>VLOOKUP(A1426,Hospitalisation_Details__2[],7,FALSE)</f>
        <v>R1011</v>
      </c>
    </row>
    <row r="1427" spans="1:16" x14ac:dyDescent="0.35">
      <c r="A1427" t="str">
        <v>Id1426</v>
      </c>
      <c r="B1427" t="str">
        <f>VLOOKUP(A1427,'Customer Names (2)'!A:B, 2,FALSE)</f>
        <v>Mr</v>
      </c>
      <c r="C1427">
        <f>VLOOKUP(A1427,Medical_Examinations[],2,FALSE)</f>
        <v>30.2</v>
      </c>
      <c r="D1427">
        <f>VLOOKUP(A1427,Medical_Examinations[],3,FALSE)</f>
        <v>5.7</v>
      </c>
      <c r="E1427" t="str">
        <f>VLOOKUP(A1427,Medical_Examinations[],4,FALSE)</f>
        <v>No</v>
      </c>
      <c r="F1427" t="str">
        <f>VLOOKUP(A1427,Medical_Examinations[],5,FALSE)</f>
        <v>No</v>
      </c>
      <c r="G1427" t="str">
        <f>VLOOKUP(A1427,Medical_Examinations[],6,FALSE)</f>
        <v>No</v>
      </c>
      <c r="H1427">
        <f>VLOOKUP(A1427,Medical_Examinations[],7,FALSE)</f>
        <v>0</v>
      </c>
      <c r="I1427" t="str">
        <f>VLOOKUP(A1427,Medical_Examinations[],8,FALSE)</f>
        <v>No</v>
      </c>
      <c r="J1427" t="str">
        <f>VLOOKUP(A1427,Medical_Examinations[],9,FALSE)</f>
        <v>Obesity</v>
      </c>
      <c r="K1427" t="str">
        <f>VLOOKUP(A1427,Medical_Examinations[],10,FALSE)</f>
        <v>Prediabetes</v>
      </c>
      <c r="M1427">
        <f>VLOOKUP(A1427,Hospitalisation_Details__2[],4,FALSE)</f>
        <v>7441.05</v>
      </c>
      <c r="N1427" t="str">
        <f>VLOOKUP(A1427,Hospitalisation_Details__2[],5,FALSE)</f>
        <v>tier - 3</v>
      </c>
      <c r="O1427" t="str">
        <f>VLOOKUP(A1427,Hospitalisation_Details__2[],6,FALSE)</f>
        <v>tier - 2</v>
      </c>
      <c r="P1427" t="str">
        <f>VLOOKUP(A1427,Hospitalisation_Details__2[],7,FALSE)</f>
        <v>R1011</v>
      </c>
    </row>
    <row r="1428" spans="1:16" x14ac:dyDescent="0.35">
      <c r="A1428" t="str">
        <v>Id1427</v>
      </c>
      <c r="B1428" t="str">
        <f>VLOOKUP(A1428,'Customer Names (2)'!A:B, 2,FALSE)</f>
        <v>Ms</v>
      </c>
      <c r="C1428">
        <f>VLOOKUP(A1428,Medical_Examinations[],2,FALSE)</f>
        <v>27.645</v>
      </c>
      <c r="D1428">
        <f>VLOOKUP(A1428,Medical_Examinations[],3,FALSE)</f>
        <v>9.91</v>
      </c>
      <c r="E1428" t="str">
        <f>VLOOKUP(A1428,Medical_Examinations[],4,FALSE)</f>
        <v>No</v>
      </c>
      <c r="F1428" t="str">
        <f>VLOOKUP(A1428,Medical_Examinations[],5,FALSE)</f>
        <v>No</v>
      </c>
      <c r="G1428" t="str">
        <f>VLOOKUP(A1428,Medical_Examinations[],6,FALSE)</f>
        <v>No</v>
      </c>
      <c r="H1428">
        <f>VLOOKUP(A1428,Medical_Examinations[],7,FALSE)</f>
        <v>0</v>
      </c>
      <c r="I1428" t="str">
        <f>VLOOKUP(A1428,Medical_Examinations[],8,FALSE)</f>
        <v>No</v>
      </c>
      <c r="J1428" t="str">
        <f>VLOOKUP(A1428,Medical_Examinations[],9,FALSE)</f>
        <v>Overweight</v>
      </c>
      <c r="K1428" t="str">
        <f>VLOOKUP(A1428,Medical_Examinations[],10,FALSE)</f>
        <v>Diabetes</v>
      </c>
      <c r="M1428">
        <f>VLOOKUP(A1428,Hospitalisation_Details__2[],4,FALSE)</f>
        <v>7421.19</v>
      </c>
      <c r="N1428" t="str">
        <f>VLOOKUP(A1428,Hospitalisation_Details__2[],5,FALSE)</f>
        <v>tier - 2</v>
      </c>
      <c r="O1428" t="str">
        <f>VLOOKUP(A1428,Hospitalisation_Details__2[],6,FALSE)</f>
        <v>tier - 3</v>
      </c>
      <c r="P1428" t="str">
        <f>VLOOKUP(A1428,Hospitalisation_Details__2[],7,FALSE)</f>
        <v>R1012</v>
      </c>
    </row>
    <row r="1429" spans="1:16" x14ac:dyDescent="0.35">
      <c r="A1429" t="str">
        <v>Id1428</v>
      </c>
      <c r="B1429" t="str">
        <f>VLOOKUP(A1429,'Customer Names (2)'!A:B, 2,FALSE)</f>
        <v>Ms</v>
      </c>
      <c r="C1429">
        <f>VLOOKUP(A1429,Medical_Examinations[],2,FALSE)</f>
        <v>26.41</v>
      </c>
      <c r="D1429">
        <f>VLOOKUP(A1429,Medical_Examinations[],3,FALSE)</f>
        <v>11.4</v>
      </c>
      <c r="E1429" t="str">
        <f>VLOOKUP(A1429,Medical_Examinations[],4,FALSE)</f>
        <v>No</v>
      </c>
      <c r="F1429" t="str">
        <f>VLOOKUP(A1429,Medical_Examinations[],5,FALSE)</f>
        <v>No</v>
      </c>
      <c r="G1429" t="str">
        <f>VLOOKUP(A1429,Medical_Examinations[],6,FALSE)</f>
        <v>No</v>
      </c>
      <c r="H1429">
        <f>VLOOKUP(A1429,Medical_Examinations[],7,FALSE)</f>
        <v>0</v>
      </c>
      <c r="I1429" t="str">
        <f>VLOOKUP(A1429,Medical_Examinations[],8,FALSE)</f>
        <v>No</v>
      </c>
      <c r="J1429" t="str">
        <f>VLOOKUP(A1429,Medical_Examinations[],9,FALSE)</f>
        <v>Overweight</v>
      </c>
      <c r="K1429" t="str">
        <f>VLOOKUP(A1429,Medical_Examinations[],10,FALSE)</f>
        <v>Diabetes</v>
      </c>
      <c r="M1429">
        <f>VLOOKUP(A1429,Hospitalisation_Details__2[],4,FALSE)</f>
        <v>7419.48</v>
      </c>
      <c r="N1429" t="str">
        <f>VLOOKUP(A1429,Hospitalisation_Details__2[],5,FALSE)</f>
        <v>tier - 2</v>
      </c>
      <c r="O1429" t="str">
        <f>VLOOKUP(A1429,Hospitalisation_Details__2[],6,FALSE)</f>
        <v>tier - 2</v>
      </c>
      <c r="P1429" t="str">
        <f>VLOOKUP(A1429,Hospitalisation_Details__2[],7,FALSE)</f>
        <v>R1012</v>
      </c>
    </row>
    <row r="1430" spans="1:16" x14ac:dyDescent="0.35">
      <c r="A1430" t="str">
        <v>Id1429</v>
      </c>
      <c r="B1430" t="str">
        <f>VLOOKUP(A1430,'Customer Names (2)'!A:B, 2,FALSE)</f>
        <v>Ms</v>
      </c>
      <c r="C1430">
        <f>VLOOKUP(A1430,Medical_Examinations[],2,FALSE)</f>
        <v>34.1</v>
      </c>
      <c r="D1430">
        <f>VLOOKUP(A1430,Medical_Examinations[],3,FALSE)</f>
        <v>6.29</v>
      </c>
      <c r="E1430" t="str">
        <f>VLOOKUP(A1430,Medical_Examinations[],4,FALSE)</f>
        <v>Yes</v>
      </c>
      <c r="F1430" t="str">
        <f>VLOOKUP(A1430,Medical_Examinations[],5,FALSE)</f>
        <v>No</v>
      </c>
      <c r="G1430" t="str">
        <f>VLOOKUP(A1430,Medical_Examinations[],6,FALSE)</f>
        <v>Yes</v>
      </c>
      <c r="H1430">
        <f>VLOOKUP(A1430,Medical_Examinations[],7,FALSE)</f>
        <v>1</v>
      </c>
      <c r="I1430" t="str">
        <f>VLOOKUP(A1430,Medical_Examinations[],8,FALSE)</f>
        <v>No</v>
      </c>
      <c r="J1430" t="str">
        <f>VLOOKUP(A1430,Medical_Examinations[],9,FALSE)</f>
        <v>Obesity</v>
      </c>
      <c r="K1430" t="str">
        <f>VLOOKUP(A1430,Medical_Examinations[],10,FALSE)</f>
        <v>Prediabetes</v>
      </c>
      <c r="M1430">
        <f>VLOOKUP(A1430,Hospitalisation_Details__2[],4,FALSE)</f>
        <v>7418.52</v>
      </c>
      <c r="N1430" t="str">
        <f>VLOOKUP(A1430,Hospitalisation_Details__2[],5,FALSE)</f>
        <v>tier - 2</v>
      </c>
      <c r="O1430" t="str">
        <f>VLOOKUP(A1430,Hospitalisation_Details__2[],6,FALSE)</f>
        <v>tier - 2</v>
      </c>
      <c r="P1430" t="str">
        <f>VLOOKUP(A1430,Hospitalisation_Details__2[],7,FALSE)</f>
        <v>R1011</v>
      </c>
    </row>
    <row r="1431" spans="1:16" x14ac:dyDescent="0.35">
      <c r="A1431" t="str">
        <v>Id1430</v>
      </c>
      <c r="B1431" t="str">
        <f>VLOOKUP(A1431,'Customer Names (2)'!A:B, 2,FALSE)</f>
        <v>Mr</v>
      </c>
      <c r="C1431">
        <f>VLOOKUP(A1431,Medical_Examinations[],2,FALSE)</f>
        <v>17.3</v>
      </c>
      <c r="D1431">
        <f>VLOOKUP(A1431,Medical_Examinations[],3,FALSE)</f>
        <v>9.2799999999999994</v>
      </c>
      <c r="E1431" t="str">
        <f>VLOOKUP(A1431,Medical_Examinations[],4,FALSE)</f>
        <v>No</v>
      </c>
      <c r="F1431" t="str">
        <f>VLOOKUP(A1431,Medical_Examinations[],5,FALSE)</f>
        <v>No</v>
      </c>
      <c r="G1431" t="str">
        <f>VLOOKUP(A1431,Medical_Examinations[],6,FALSE)</f>
        <v>No</v>
      </c>
      <c r="H1431">
        <f>VLOOKUP(A1431,Medical_Examinations[],7,FALSE)</f>
        <v>0</v>
      </c>
      <c r="I1431" t="str">
        <f>VLOOKUP(A1431,Medical_Examinations[],8,FALSE)</f>
        <v>No</v>
      </c>
      <c r="J1431" t="str">
        <f>VLOOKUP(A1431,Medical_Examinations[],9,FALSE)</f>
        <v>Underweight</v>
      </c>
      <c r="K1431" t="str">
        <f>VLOOKUP(A1431,Medical_Examinations[],10,FALSE)</f>
        <v>Diabetes</v>
      </c>
      <c r="M1431">
        <f>VLOOKUP(A1431,Hospitalisation_Details__2[],4,FALSE)</f>
        <v>7403.98</v>
      </c>
      <c r="N1431" t="str">
        <f>VLOOKUP(A1431,Hospitalisation_Details__2[],5,FALSE)</f>
        <v>tier - 3</v>
      </c>
      <c r="O1431" t="str">
        <f>VLOOKUP(A1431,Hospitalisation_Details__2[],6,FALSE)</f>
        <v>tier - 2</v>
      </c>
      <c r="P1431" t="str">
        <f>VLOOKUP(A1431,Hospitalisation_Details__2[],7,FALSE)</f>
        <v>R1013</v>
      </c>
    </row>
    <row r="1432" spans="1:16" x14ac:dyDescent="0.35">
      <c r="A1432" t="str">
        <v>Id1431</v>
      </c>
      <c r="B1432" t="str">
        <f>VLOOKUP(A1432,'Customer Names (2)'!A:B, 2,FALSE)</f>
        <v>Mrs</v>
      </c>
      <c r="C1432">
        <f>VLOOKUP(A1432,Medical_Examinations[],2,FALSE)</f>
        <v>35.020000000000003</v>
      </c>
      <c r="D1432">
        <f>VLOOKUP(A1432,Medical_Examinations[],3,FALSE)</f>
        <v>4.78</v>
      </c>
      <c r="E1432" t="str">
        <f>VLOOKUP(A1432,Medical_Examinations[],4,FALSE)</f>
        <v>No</v>
      </c>
      <c r="F1432" t="str">
        <f>VLOOKUP(A1432,Medical_Examinations[],5,FALSE)</f>
        <v>No</v>
      </c>
      <c r="G1432" t="str">
        <f>VLOOKUP(A1432,Medical_Examinations[],6,FALSE)</f>
        <v>Yes</v>
      </c>
      <c r="H1432">
        <f>VLOOKUP(A1432,Medical_Examinations[],7,FALSE)</f>
        <v>1</v>
      </c>
      <c r="I1432" t="str">
        <f>VLOOKUP(A1432,Medical_Examinations[],8,FALSE)</f>
        <v>No</v>
      </c>
      <c r="J1432" t="str">
        <f>VLOOKUP(A1432,Medical_Examinations[],9,FALSE)</f>
        <v>Obesity</v>
      </c>
      <c r="K1432" t="str">
        <f>VLOOKUP(A1432,Medical_Examinations[],10,FALSE)</f>
        <v>Normal</v>
      </c>
      <c r="M1432">
        <f>VLOOKUP(A1432,Hospitalisation_Details__2[],4,FALSE)</f>
        <v>7388.85</v>
      </c>
      <c r="N1432" t="str">
        <f>VLOOKUP(A1432,Hospitalisation_Details__2[],5,FALSE)</f>
        <v>tier - 2</v>
      </c>
      <c r="O1432" t="str">
        <f>VLOOKUP(A1432,Hospitalisation_Details__2[],6,FALSE)</f>
        <v>tier - 2</v>
      </c>
      <c r="P1432" t="str">
        <f>VLOOKUP(A1432,Hospitalisation_Details__2[],7,FALSE)</f>
        <v>R1026</v>
      </c>
    </row>
    <row r="1433" spans="1:16" x14ac:dyDescent="0.35">
      <c r="A1433" t="str">
        <v>Id1432</v>
      </c>
      <c r="B1433" t="str">
        <f>VLOOKUP(A1433,'Customer Names (2)'!A:B, 2,FALSE)</f>
        <v>Ms</v>
      </c>
      <c r="C1433">
        <f>VLOOKUP(A1433,Medical_Examinations[],2,FALSE)</f>
        <v>37.1</v>
      </c>
      <c r="D1433">
        <f>VLOOKUP(A1433,Medical_Examinations[],3,FALSE)</f>
        <v>8.8699999999999992</v>
      </c>
      <c r="E1433" t="str">
        <f>VLOOKUP(A1433,Medical_Examinations[],4,FALSE)</f>
        <v>Yes</v>
      </c>
      <c r="F1433" t="str">
        <f>VLOOKUP(A1433,Medical_Examinations[],5,FALSE)</f>
        <v>No</v>
      </c>
      <c r="G1433" t="str">
        <f>VLOOKUP(A1433,Medical_Examinations[],6,FALSE)</f>
        <v>No</v>
      </c>
      <c r="H1433">
        <f>VLOOKUP(A1433,Medical_Examinations[],7,FALSE)</f>
        <v>0</v>
      </c>
      <c r="I1433" t="str">
        <f>VLOOKUP(A1433,Medical_Examinations[],8,FALSE)</f>
        <v>No</v>
      </c>
      <c r="J1433" t="str">
        <f>VLOOKUP(A1433,Medical_Examinations[],9,FALSE)</f>
        <v>Obesity</v>
      </c>
      <c r="K1433" t="str">
        <f>VLOOKUP(A1433,Medical_Examinations[],10,FALSE)</f>
        <v>Diabetes</v>
      </c>
      <c r="M1433">
        <f>VLOOKUP(A1433,Hospitalisation_Details__2[],4,FALSE)</f>
        <v>7371.77</v>
      </c>
      <c r="N1433" t="str">
        <f>VLOOKUP(A1433,Hospitalisation_Details__2[],5,FALSE)</f>
        <v>tier - 2</v>
      </c>
      <c r="O1433" t="str">
        <f>VLOOKUP(A1433,Hospitalisation_Details__2[],6,FALSE)</f>
        <v>tier - 1</v>
      </c>
      <c r="P1433" t="str">
        <f>VLOOKUP(A1433,Hospitalisation_Details__2[],7,FALSE)</f>
        <v>R1011</v>
      </c>
    </row>
    <row r="1434" spans="1:16" x14ac:dyDescent="0.35">
      <c r="A1434" t="str">
        <v>Id1433</v>
      </c>
      <c r="B1434" t="str">
        <f>VLOOKUP(A1434,'Customer Names (2)'!A:B, 2,FALSE)</f>
        <v>Ms</v>
      </c>
      <c r="C1434">
        <f>VLOOKUP(A1434,Medical_Examinations[],2,FALSE)</f>
        <v>16.79</v>
      </c>
      <c r="D1434">
        <f>VLOOKUP(A1434,Medical_Examinations[],3,FALSE)</f>
        <v>11.4</v>
      </c>
      <c r="E1434" t="str">
        <f>VLOOKUP(A1434,Medical_Examinations[],4,FALSE)</f>
        <v>No</v>
      </c>
      <c r="F1434" t="str">
        <f>VLOOKUP(A1434,Medical_Examinations[],5,FALSE)</f>
        <v>No</v>
      </c>
      <c r="G1434" t="str">
        <f>VLOOKUP(A1434,Medical_Examinations[],6,FALSE)</f>
        <v>No</v>
      </c>
      <c r="H1434">
        <f>VLOOKUP(A1434,Medical_Examinations[],7,FALSE)</f>
        <v>0</v>
      </c>
      <c r="I1434" t="str">
        <f>VLOOKUP(A1434,Medical_Examinations[],8,FALSE)</f>
        <v>No</v>
      </c>
      <c r="J1434" t="str">
        <f>VLOOKUP(A1434,Medical_Examinations[],9,FALSE)</f>
        <v>Underweight</v>
      </c>
      <c r="K1434" t="str">
        <f>VLOOKUP(A1434,Medical_Examinations[],10,FALSE)</f>
        <v>Diabetes</v>
      </c>
      <c r="M1434">
        <f>VLOOKUP(A1434,Hospitalisation_Details__2[],4,FALSE)</f>
        <v>7362.31</v>
      </c>
      <c r="N1434" t="str">
        <f>VLOOKUP(A1434,Hospitalisation_Details__2[],5,FALSE)</f>
        <v>tier - 3</v>
      </c>
      <c r="O1434" t="str">
        <f>VLOOKUP(A1434,Hospitalisation_Details__2[],6,FALSE)</f>
        <v>tier - 3</v>
      </c>
      <c r="P1434" t="str">
        <f>VLOOKUP(A1434,Hospitalisation_Details__2[],7,FALSE)</f>
        <v>R1013</v>
      </c>
    </row>
    <row r="1435" spans="1:16" x14ac:dyDescent="0.35">
      <c r="A1435" t="str">
        <v>Id1434</v>
      </c>
      <c r="B1435" t="str">
        <f>VLOOKUP(A1435,'Customer Names (2)'!A:B, 2,FALSE)</f>
        <v>Ms</v>
      </c>
      <c r="C1435">
        <f>VLOOKUP(A1435,Medical_Examinations[],2,FALSE)</f>
        <v>31.635000000000002</v>
      </c>
      <c r="D1435">
        <f>VLOOKUP(A1435,Medical_Examinations[],3,FALSE)</f>
        <v>9.1300000000000008</v>
      </c>
      <c r="E1435" t="str">
        <f>VLOOKUP(A1435,Medical_Examinations[],4,FALSE)</f>
        <v>Yes</v>
      </c>
      <c r="F1435" t="str">
        <f>VLOOKUP(A1435,Medical_Examinations[],5,FALSE)</f>
        <v>No</v>
      </c>
      <c r="G1435" t="str">
        <f>VLOOKUP(A1435,Medical_Examinations[],6,FALSE)</f>
        <v>No</v>
      </c>
      <c r="H1435">
        <f>VLOOKUP(A1435,Medical_Examinations[],7,FALSE)</f>
        <v>0</v>
      </c>
      <c r="I1435" t="str">
        <f>VLOOKUP(A1435,Medical_Examinations[],8,FALSE)</f>
        <v>No</v>
      </c>
      <c r="J1435" t="str">
        <f>VLOOKUP(A1435,Medical_Examinations[],9,FALSE)</f>
        <v>Obesity</v>
      </c>
      <c r="K1435" t="str">
        <f>VLOOKUP(A1435,Medical_Examinations[],10,FALSE)</f>
        <v>Diabetes</v>
      </c>
      <c r="M1435">
        <f>VLOOKUP(A1435,Hospitalisation_Details__2[],4,FALSE)</f>
        <v>7358.18</v>
      </c>
      <c r="N1435" t="str">
        <f>VLOOKUP(A1435,Hospitalisation_Details__2[],5,FALSE)</f>
        <v>tier - 2</v>
      </c>
      <c r="O1435" t="str">
        <f>VLOOKUP(A1435,Hospitalisation_Details__2[],6,FALSE)</f>
        <v>tier - 3</v>
      </c>
      <c r="P1435" t="str">
        <f>VLOOKUP(A1435,Hospitalisation_Details__2[],7,FALSE)</f>
        <v>R1024</v>
      </c>
    </row>
    <row r="1436" spans="1:16" x14ac:dyDescent="0.35">
      <c r="A1436" t="str">
        <v>Id1435</v>
      </c>
      <c r="B1436" t="str">
        <f>VLOOKUP(A1436,'Customer Names (2)'!A:B, 2,FALSE)</f>
        <v>Ms</v>
      </c>
      <c r="C1436">
        <f>VLOOKUP(A1436,Medical_Examinations[],2,FALSE)</f>
        <v>24.19</v>
      </c>
      <c r="D1436">
        <f>VLOOKUP(A1436,Medical_Examinations[],3,FALSE)</f>
        <v>6.22</v>
      </c>
      <c r="E1436" t="str">
        <f>VLOOKUP(A1436,Medical_Examinations[],4,FALSE)</f>
        <v>Yes</v>
      </c>
      <c r="F1436" t="str">
        <f>VLOOKUP(A1436,Medical_Examinations[],5,FALSE)</f>
        <v>No</v>
      </c>
      <c r="G1436" t="str">
        <f>VLOOKUP(A1436,Medical_Examinations[],6,FALSE)</f>
        <v>Yes</v>
      </c>
      <c r="H1436">
        <f>VLOOKUP(A1436,Medical_Examinations[],7,FALSE)</f>
        <v>1</v>
      </c>
      <c r="I1436" t="str">
        <f>VLOOKUP(A1436,Medical_Examinations[],8,FALSE)</f>
        <v>No</v>
      </c>
      <c r="J1436" t="str">
        <f>VLOOKUP(A1436,Medical_Examinations[],9,FALSE)</f>
        <v>Normal Weight</v>
      </c>
      <c r="K1436" t="str">
        <f>VLOOKUP(A1436,Medical_Examinations[],10,FALSE)</f>
        <v>Prediabetes</v>
      </c>
      <c r="M1436">
        <f>VLOOKUP(A1436,Hospitalisation_Details__2[],4,FALSE)</f>
        <v>7357.49</v>
      </c>
      <c r="N1436" t="str">
        <f>VLOOKUP(A1436,Hospitalisation_Details__2[],5,FALSE)</f>
        <v>tier - 2</v>
      </c>
      <c r="O1436" t="str">
        <f>VLOOKUP(A1436,Hospitalisation_Details__2[],6,FALSE)</f>
        <v>tier - 2</v>
      </c>
      <c r="P1436" t="str">
        <f>VLOOKUP(A1436,Hospitalisation_Details__2[],7,FALSE)</f>
        <v>R1012</v>
      </c>
    </row>
    <row r="1437" spans="1:16" x14ac:dyDescent="0.35">
      <c r="A1437" t="str">
        <v>Id1436</v>
      </c>
      <c r="B1437" t="str">
        <f>VLOOKUP(A1437,'Customer Names (2)'!A:B, 2,FALSE)</f>
        <v>Mr</v>
      </c>
      <c r="C1437">
        <f>VLOOKUP(A1437,Medical_Examinations[],2,FALSE)</f>
        <v>35.29</v>
      </c>
      <c r="D1437">
        <f>VLOOKUP(A1437,Medical_Examinations[],3,FALSE)</f>
        <v>5.9</v>
      </c>
      <c r="E1437" t="str">
        <f>VLOOKUP(A1437,Medical_Examinations[],4,FALSE)</f>
        <v>No</v>
      </c>
      <c r="F1437" t="str">
        <f>VLOOKUP(A1437,Medical_Examinations[],5,FALSE)</f>
        <v>No</v>
      </c>
      <c r="G1437" t="str">
        <f>VLOOKUP(A1437,Medical_Examinations[],6,FALSE)</f>
        <v>Yes</v>
      </c>
      <c r="H1437">
        <f>VLOOKUP(A1437,Medical_Examinations[],7,FALSE)</f>
        <v>1</v>
      </c>
      <c r="I1437" t="str">
        <f>VLOOKUP(A1437,Medical_Examinations[],8,FALSE)</f>
        <v>No</v>
      </c>
      <c r="J1437" t="str">
        <f>VLOOKUP(A1437,Medical_Examinations[],9,FALSE)</f>
        <v>Obesity</v>
      </c>
      <c r="K1437" t="str">
        <f>VLOOKUP(A1437,Medical_Examinations[],10,FALSE)</f>
        <v>Prediabetes</v>
      </c>
      <c r="M1437">
        <f>VLOOKUP(A1437,Hospitalisation_Details__2[],4,FALSE)</f>
        <v>7349.12</v>
      </c>
      <c r="N1437" t="str">
        <f>VLOOKUP(A1437,Hospitalisation_Details__2[],5,FALSE)</f>
        <v>tier - 2</v>
      </c>
      <c r="O1437" t="str">
        <f>VLOOKUP(A1437,Hospitalisation_Details__2[],6,FALSE)</f>
        <v>tier - 2</v>
      </c>
      <c r="P1437" t="str">
        <f>VLOOKUP(A1437,Hospitalisation_Details__2[],7,FALSE)</f>
        <v>R1021</v>
      </c>
    </row>
    <row r="1438" spans="1:16" x14ac:dyDescent="0.35">
      <c r="A1438" t="str">
        <v>Id1437</v>
      </c>
      <c r="B1438" t="str">
        <f>VLOOKUP(A1438,'Customer Names (2)'!A:B, 2,FALSE)</f>
        <v>Ms</v>
      </c>
      <c r="C1438">
        <f>VLOOKUP(A1438,Medical_Examinations[],2,FALSE)</f>
        <v>35.299999999999997</v>
      </c>
      <c r="D1438">
        <f>VLOOKUP(A1438,Medical_Examinations[],3,FALSE)</f>
        <v>4.45</v>
      </c>
      <c r="E1438" t="str">
        <f>VLOOKUP(A1438,Medical_Examinations[],4,FALSE)</f>
        <v>No</v>
      </c>
      <c r="F1438" t="str">
        <f>VLOOKUP(A1438,Medical_Examinations[],5,FALSE)</f>
        <v>No</v>
      </c>
      <c r="G1438" t="str">
        <f>VLOOKUP(A1438,Medical_Examinations[],6,FALSE)</f>
        <v>No</v>
      </c>
      <c r="H1438">
        <f>VLOOKUP(A1438,Medical_Examinations[],7,FALSE)</f>
        <v>0</v>
      </c>
      <c r="I1438" t="str">
        <f>VLOOKUP(A1438,Medical_Examinations[],8,FALSE)</f>
        <v>No</v>
      </c>
      <c r="J1438" t="str">
        <f>VLOOKUP(A1438,Medical_Examinations[],9,FALSE)</f>
        <v>Obesity</v>
      </c>
      <c r="K1438" t="str">
        <f>VLOOKUP(A1438,Medical_Examinations[],10,FALSE)</f>
        <v>Normal</v>
      </c>
      <c r="M1438">
        <f>VLOOKUP(A1438,Hospitalisation_Details__2[],4,FALSE)</f>
        <v>7348.14</v>
      </c>
      <c r="N1438" t="str">
        <f>VLOOKUP(A1438,Hospitalisation_Details__2[],5,FALSE)</f>
        <v>tier - 2</v>
      </c>
      <c r="O1438" t="str">
        <f>VLOOKUP(A1438,Hospitalisation_Details__2[],6,FALSE)</f>
        <v>tier - 1</v>
      </c>
      <c r="P1438" t="str">
        <f>VLOOKUP(A1438,Hospitalisation_Details__2[],7,FALSE)</f>
        <v>R1011</v>
      </c>
    </row>
    <row r="1439" spans="1:16" x14ac:dyDescent="0.35">
      <c r="A1439" t="str">
        <v>Id1438</v>
      </c>
      <c r="B1439" t="str">
        <f>VLOOKUP(A1439,'Customer Names (2)'!A:B, 2,FALSE)</f>
        <v>Ms</v>
      </c>
      <c r="C1439">
        <f>VLOOKUP(A1439,Medical_Examinations[],2,FALSE)</f>
        <v>35.64</v>
      </c>
      <c r="D1439">
        <f>VLOOKUP(A1439,Medical_Examinations[],3,FALSE)</f>
        <v>6.17</v>
      </c>
      <c r="E1439" t="str">
        <f>VLOOKUP(A1439,Medical_Examinations[],4,FALSE)</f>
        <v>No</v>
      </c>
      <c r="F1439" t="str">
        <f>VLOOKUP(A1439,Medical_Examinations[],5,FALSE)</f>
        <v>No</v>
      </c>
      <c r="G1439" t="str">
        <f>VLOOKUP(A1439,Medical_Examinations[],6,FALSE)</f>
        <v>Yes</v>
      </c>
      <c r="H1439">
        <f>VLOOKUP(A1439,Medical_Examinations[],7,FALSE)</f>
        <v>1</v>
      </c>
      <c r="I1439" t="str">
        <f>VLOOKUP(A1439,Medical_Examinations[],8,FALSE)</f>
        <v>No</v>
      </c>
      <c r="J1439" t="str">
        <f>VLOOKUP(A1439,Medical_Examinations[],9,FALSE)</f>
        <v>Obesity</v>
      </c>
      <c r="K1439" t="str">
        <f>VLOOKUP(A1439,Medical_Examinations[],10,FALSE)</f>
        <v>Prediabetes</v>
      </c>
      <c r="M1439">
        <f>VLOOKUP(A1439,Hospitalisation_Details__2[],4,FALSE)</f>
        <v>7345.73</v>
      </c>
      <c r="N1439" t="str">
        <f>VLOOKUP(A1439,Hospitalisation_Details__2[],5,FALSE)</f>
        <v>tier - 2</v>
      </c>
      <c r="O1439" t="str">
        <f>VLOOKUP(A1439,Hospitalisation_Details__2[],6,FALSE)</f>
        <v>tier - 1</v>
      </c>
      <c r="P1439" t="str">
        <f>VLOOKUP(A1439,Hospitalisation_Details__2[],7,FALSE)</f>
        <v>R1013</v>
      </c>
    </row>
    <row r="1440" spans="1:16" x14ac:dyDescent="0.35">
      <c r="A1440" t="str">
        <v>Id1439</v>
      </c>
      <c r="B1440" t="str">
        <f>VLOOKUP(A1440,'Customer Names (2)'!A:B, 2,FALSE)</f>
        <v>Ms</v>
      </c>
      <c r="C1440">
        <f>VLOOKUP(A1440,Medical_Examinations[],2,FALSE)</f>
        <v>33.1</v>
      </c>
      <c r="D1440">
        <f>VLOOKUP(A1440,Medical_Examinations[],3,FALSE)</f>
        <v>4.93</v>
      </c>
      <c r="E1440" t="str">
        <f>VLOOKUP(A1440,Medical_Examinations[],4,FALSE)</f>
        <v>No</v>
      </c>
      <c r="F1440" t="str">
        <f>VLOOKUP(A1440,Medical_Examinations[],5,FALSE)</f>
        <v>No</v>
      </c>
      <c r="G1440" t="str">
        <f>VLOOKUP(A1440,Medical_Examinations[],6,FALSE)</f>
        <v>No</v>
      </c>
      <c r="H1440">
        <f>VLOOKUP(A1440,Medical_Examinations[],7,FALSE)</f>
        <v>0</v>
      </c>
      <c r="I1440" t="str">
        <f>VLOOKUP(A1440,Medical_Examinations[],8,FALSE)</f>
        <v>No</v>
      </c>
      <c r="J1440" t="str">
        <f>VLOOKUP(A1440,Medical_Examinations[],9,FALSE)</f>
        <v>Obesity</v>
      </c>
      <c r="K1440" t="str">
        <f>VLOOKUP(A1440,Medical_Examinations[],10,FALSE)</f>
        <v>Normal</v>
      </c>
      <c r="M1440">
        <f>VLOOKUP(A1440,Hospitalisation_Details__2[],4,FALSE)</f>
        <v>7345.08</v>
      </c>
      <c r="N1440" t="str">
        <f>VLOOKUP(A1440,Hospitalisation_Details__2[],5,FALSE)</f>
        <v>tier - 2</v>
      </c>
      <c r="O1440" t="str">
        <f>VLOOKUP(A1440,Hospitalisation_Details__2[],6,FALSE)</f>
        <v>tier - 1</v>
      </c>
      <c r="P1440" t="str">
        <f>VLOOKUP(A1440,Hospitalisation_Details__2[],7,FALSE)</f>
        <v>R1011</v>
      </c>
    </row>
    <row r="1441" spans="1:16" x14ac:dyDescent="0.35">
      <c r="A1441" t="str">
        <v>Id1440</v>
      </c>
      <c r="B1441" t="str">
        <f>VLOOKUP(A1441,'Customer Names (2)'!A:B, 2,FALSE)</f>
        <v>Ms</v>
      </c>
      <c r="C1441">
        <f>VLOOKUP(A1441,Medical_Examinations[],2,FALSE)</f>
        <v>26.41</v>
      </c>
      <c r="D1441">
        <f>VLOOKUP(A1441,Medical_Examinations[],3,FALSE)</f>
        <v>7.32</v>
      </c>
      <c r="E1441" t="str">
        <f>VLOOKUP(A1441,Medical_Examinations[],4,FALSE)</f>
        <v>Yes</v>
      </c>
      <c r="F1441" t="str">
        <f>VLOOKUP(A1441,Medical_Examinations[],5,FALSE)</f>
        <v>No</v>
      </c>
      <c r="G1441" t="str">
        <f>VLOOKUP(A1441,Medical_Examinations[],6,FALSE)</f>
        <v>No</v>
      </c>
      <c r="H1441">
        <f>VLOOKUP(A1441,Medical_Examinations[],7,FALSE)</f>
        <v>1</v>
      </c>
      <c r="I1441" t="str">
        <f>VLOOKUP(A1441,Medical_Examinations[],8,FALSE)</f>
        <v>No</v>
      </c>
      <c r="J1441" t="str">
        <f>VLOOKUP(A1441,Medical_Examinations[],9,FALSE)</f>
        <v>Overweight</v>
      </c>
      <c r="K1441" t="str">
        <f>VLOOKUP(A1441,Medical_Examinations[],10,FALSE)</f>
        <v>Diabetes</v>
      </c>
      <c r="M1441">
        <f>VLOOKUP(A1441,Hospitalisation_Details__2[],4,FALSE)</f>
        <v>7339.93</v>
      </c>
      <c r="N1441" t="str">
        <f>VLOOKUP(A1441,Hospitalisation_Details__2[],5,FALSE)</f>
        <v>tier - 2</v>
      </c>
      <c r="O1441" t="str">
        <f>VLOOKUP(A1441,Hospitalisation_Details__2[],6,FALSE)</f>
        <v>tier - 2</v>
      </c>
      <c r="P1441" t="str">
        <f>VLOOKUP(A1441,Hospitalisation_Details__2[],7,FALSE)</f>
        <v>R1012</v>
      </c>
    </row>
    <row r="1442" spans="1:16" x14ac:dyDescent="0.35">
      <c r="A1442" t="str">
        <v>Id1441</v>
      </c>
      <c r="B1442" t="str">
        <f>VLOOKUP(A1442,'Customer Names (2)'!A:B, 2,FALSE)</f>
        <v>Ms</v>
      </c>
      <c r="C1442">
        <f>VLOOKUP(A1442,Medical_Examinations[],2,FALSE)</f>
        <v>29.9</v>
      </c>
      <c r="D1442">
        <f>VLOOKUP(A1442,Medical_Examinations[],3,FALSE)</f>
        <v>5.27</v>
      </c>
      <c r="E1442" t="str">
        <f>VLOOKUP(A1442,Medical_Examinations[],4,FALSE)</f>
        <v>No</v>
      </c>
      <c r="F1442" t="str">
        <f>VLOOKUP(A1442,Medical_Examinations[],5,FALSE)</f>
        <v>No</v>
      </c>
      <c r="G1442" t="str">
        <f>VLOOKUP(A1442,Medical_Examinations[],6,FALSE)</f>
        <v>Yes</v>
      </c>
      <c r="H1442">
        <f>VLOOKUP(A1442,Medical_Examinations[],7,FALSE)</f>
        <v>1</v>
      </c>
      <c r="I1442" t="str">
        <f>VLOOKUP(A1442,Medical_Examinations[],8,FALSE)</f>
        <v>No</v>
      </c>
      <c r="J1442" t="str">
        <f>VLOOKUP(A1442,Medical_Examinations[],9,FALSE)</f>
        <v>Overweight</v>
      </c>
      <c r="K1442" t="str">
        <f>VLOOKUP(A1442,Medical_Examinations[],10,FALSE)</f>
        <v>Normal</v>
      </c>
      <c r="M1442">
        <f>VLOOKUP(A1442,Hospitalisation_Details__2[],4,FALSE)</f>
        <v>7337.75</v>
      </c>
      <c r="N1442" t="str">
        <f>VLOOKUP(A1442,Hospitalisation_Details__2[],5,FALSE)</f>
        <v>tier - 2</v>
      </c>
      <c r="O1442" t="str">
        <f>VLOOKUP(A1442,Hospitalisation_Details__2[],6,FALSE)</f>
        <v>tier - 3</v>
      </c>
      <c r="P1442" t="str">
        <f>VLOOKUP(A1442,Hospitalisation_Details__2[],7,FALSE)</f>
        <v>R1011</v>
      </c>
    </row>
    <row r="1443" spans="1:16" x14ac:dyDescent="0.35">
      <c r="A1443" t="str">
        <v>Id1442</v>
      </c>
      <c r="B1443" t="str">
        <f>VLOOKUP(A1443,'Customer Names (2)'!A:B, 2,FALSE)</f>
        <v>Mr</v>
      </c>
      <c r="C1443">
        <f>VLOOKUP(A1443,Medical_Examinations[],2,FALSE)</f>
        <v>25.24</v>
      </c>
      <c r="D1443">
        <f>VLOOKUP(A1443,Medical_Examinations[],3,FALSE)</f>
        <v>5.82</v>
      </c>
      <c r="E1443" t="str">
        <f>VLOOKUP(A1443,Medical_Examinations[],4,FALSE)</f>
        <v>No</v>
      </c>
      <c r="F1443" t="str">
        <f>VLOOKUP(A1443,Medical_Examinations[],5,FALSE)</f>
        <v>No</v>
      </c>
      <c r="G1443" t="str">
        <f>VLOOKUP(A1443,Medical_Examinations[],6,FALSE)</f>
        <v>No</v>
      </c>
      <c r="H1443">
        <f>VLOOKUP(A1443,Medical_Examinations[],7,FALSE)</f>
        <v>1</v>
      </c>
      <c r="I1443" t="str">
        <f>VLOOKUP(A1443,Medical_Examinations[],8,FALSE)</f>
        <v>No</v>
      </c>
      <c r="J1443" t="str">
        <f>VLOOKUP(A1443,Medical_Examinations[],9,FALSE)</f>
        <v>Overweight</v>
      </c>
      <c r="K1443" t="str">
        <f>VLOOKUP(A1443,Medical_Examinations[],10,FALSE)</f>
        <v>Prediabetes</v>
      </c>
      <c r="M1443">
        <f>VLOOKUP(A1443,Hospitalisation_Details__2[],4,FALSE)</f>
        <v>7325.47</v>
      </c>
      <c r="N1443" t="str">
        <f>VLOOKUP(A1443,Hospitalisation_Details__2[],5,FALSE)</f>
        <v>tier - 2</v>
      </c>
      <c r="O1443" t="str">
        <f>VLOOKUP(A1443,Hospitalisation_Details__2[],6,FALSE)</f>
        <v>tier - 1</v>
      </c>
      <c r="P1443" t="str">
        <f>VLOOKUP(A1443,Hospitalisation_Details__2[],7,FALSE)</f>
        <v>R1012</v>
      </c>
    </row>
    <row r="1444" spans="1:16" x14ac:dyDescent="0.35">
      <c r="A1444" t="str">
        <v>Id1443</v>
      </c>
      <c r="B1444" t="str">
        <f>VLOOKUP(A1444,'Customer Names (2)'!A:B, 2,FALSE)</f>
        <v>Ms</v>
      </c>
      <c r="C1444">
        <f>VLOOKUP(A1444,Medical_Examinations[],2,FALSE)</f>
        <v>25.08</v>
      </c>
      <c r="D1444">
        <f>VLOOKUP(A1444,Medical_Examinations[],3,FALSE)</f>
        <v>5.8</v>
      </c>
      <c r="E1444" t="str">
        <f>VLOOKUP(A1444,Medical_Examinations[],4,FALSE)</f>
        <v>No</v>
      </c>
      <c r="F1444" t="str">
        <f>VLOOKUP(A1444,Medical_Examinations[],5,FALSE)</f>
        <v>No</v>
      </c>
      <c r="G1444" t="str">
        <f>VLOOKUP(A1444,Medical_Examinations[],6,FALSE)</f>
        <v>Yes</v>
      </c>
      <c r="H1444">
        <f>VLOOKUP(A1444,Medical_Examinations[],7,FALSE)</f>
        <v>1</v>
      </c>
      <c r="I1444" t="str">
        <f>VLOOKUP(A1444,Medical_Examinations[],8,FALSE)</f>
        <v>No</v>
      </c>
      <c r="J1444" t="str">
        <f>VLOOKUP(A1444,Medical_Examinations[],9,FALSE)</f>
        <v>Overweight</v>
      </c>
      <c r="K1444" t="str">
        <f>VLOOKUP(A1444,Medical_Examinations[],10,FALSE)</f>
        <v>Prediabetes</v>
      </c>
      <c r="M1444">
        <f>VLOOKUP(A1444,Hospitalisation_Details__2[],4,FALSE)</f>
        <v>7325.05</v>
      </c>
      <c r="N1444" t="str">
        <f>VLOOKUP(A1444,Hospitalisation_Details__2[],5,FALSE)</f>
        <v>tier - 2</v>
      </c>
      <c r="O1444" t="str">
        <f>VLOOKUP(A1444,Hospitalisation_Details__2[],6,FALSE)</f>
        <v>tier - 3</v>
      </c>
      <c r="P1444" t="str">
        <f>VLOOKUP(A1444,Hospitalisation_Details__2[],7,FALSE)</f>
        <v>R1024</v>
      </c>
    </row>
    <row r="1445" spans="1:16" x14ac:dyDescent="0.35">
      <c r="A1445" t="str">
        <v>Id1444</v>
      </c>
      <c r="B1445" t="str">
        <f>VLOOKUP(A1445,'Customer Names (2)'!A:B, 2,FALSE)</f>
        <v>Ms</v>
      </c>
      <c r="C1445">
        <f>VLOOKUP(A1445,Medical_Examinations[],2,FALSE)</f>
        <v>29.164999999999999</v>
      </c>
      <c r="D1445">
        <f>VLOOKUP(A1445,Medical_Examinations[],3,FALSE)</f>
        <v>4.87</v>
      </c>
      <c r="E1445" t="str">
        <f>VLOOKUP(A1445,Medical_Examinations[],4,FALSE)</f>
        <v>No</v>
      </c>
      <c r="F1445" t="str">
        <f>VLOOKUP(A1445,Medical_Examinations[],5,FALSE)</f>
        <v>yes</v>
      </c>
      <c r="G1445" t="str">
        <f>VLOOKUP(A1445,Medical_Examinations[],6,FALSE)</f>
        <v>No</v>
      </c>
      <c r="H1445">
        <f>VLOOKUP(A1445,Medical_Examinations[],7,FALSE)</f>
        <v>1</v>
      </c>
      <c r="I1445" t="str">
        <f>VLOOKUP(A1445,Medical_Examinations[],8,FALSE)</f>
        <v>No</v>
      </c>
      <c r="J1445" t="str">
        <f>VLOOKUP(A1445,Medical_Examinations[],9,FALSE)</f>
        <v>Overweight</v>
      </c>
      <c r="K1445" t="str">
        <f>VLOOKUP(A1445,Medical_Examinations[],10,FALSE)</f>
        <v>Normal</v>
      </c>
      <c r="M1445">
        <f>VLOOKUP(A1445,Hospitalisation_Details__2[],4,FALSE)</f>
        <v>7323.73</v>
      </c>
      <c r="N1445" t="str">
        <f>VLOOKUP(A1445,Hospitalisation_Details__2[],5,FALSE)</f>
        <v>tier - 2</v>
      </c>
      <c r="O1445" t="str">
        <f>VLOOKUP(A1445,Hospitalisation_Details__2[],6,FALSE)</f>
        <v>tier - 2</v>
      </c>
      <c r="P1445" t="str">
        <f>VLOOKUP(A1445,Hospitalisation_Details__2[],7,FALSE)</f>
        <v>R1024</v>
      </c>
    </row>
    <row r="1446" spans="1:16" x14ac:dyDescent="0.35">
      <c r="A1446" t="str">
        <v>Id1445</v>
      </c>
      <c r="B1446" t="str">
        <f>VLOOKUP(A1446,'Customer Names (2)'!A:B, 2,FALSE)</f>
        <v>Mr</v>
      </c>
      <c r="C1446">
        <f>VLOOKUP(A1446,Medical_Examinations[],2,FALSE)</f>
        <v>15.05</v>
      </c>
      <c r="D1446">
        <f>VLOOKUP(A1446,Medical_Examinations[],3,FALSE)</f>
        <v>8.1199999999999992</v>
      </c>
      <c r="E1446" t="str">
        <f>VLOOKUP(A1446,Medical_Examinations[],4,FALSE)</f>
        <v>No</v>
      </c>
      <c r="F1446" t="str">
        <f>VLOOKUP(A1446,Medical_Examinations[],5,FALSE)</f>
        <v>No</v>
      </c>
      <c r="G1446" t="str">
        <f>VLOOKUP(A1446,Medical_Examinations[],6,FALSE)</f>
        <v>No</v>
      </c>
      <c r="H1446">
        <f>VLOOKUP(A1446,Medical_Examinations[],7,FALSE)</f>
        <v>0</v>
      </c>
      <c r="I1446" t="str">
        <f>VLOOKUP(A1446,Medical_Examinations[],8,FALSE)</f>
        <v>No</v>
      </c>
      <c r="J1446" t="str">
        <f>VLOOKUP(A1446,Medical_Examinations[],9,FALSE)</f>
        <v>Underweight</v>
      </c>
      <c r="K1446" t="str">
        <f>VLOOKUP(A1446,Medical_Examinations[],10,FALSE)</f>
        <v>Diabetes</v>
      </c>
      <c r="M1446">
        <f>VLOOKUP(A1446,Hospitalisation_Details__2[],4,FALSE)</f>
        <v>7322.86</v>
      </c>
      <c r="N1446" t="str">
        <f>VLOOKUP(A1446,Hospitalisation_Details__2[],5,FALSE)</f>
        <v>tier - 3</v>
      </c>
      <c r="O1446" t="str">
        <f>VLOOKUP(A1446,Hospitalisation_Details__2[],6,FALSE)</f>
        <v>tier - 3</v>
      </c>
      <c r="P1446" t="str">
        <f>VLOOKUP(A1446,Hospitalisation_Details__2[],7,FALSE)</f>
        <v>R1012</v>
      </c>
    </row>
    <row r="1447" spans="1:16" x14ac:dyDescent="0.35">
      <c r="A1447" t="str">
        <v>Id1446</v>
      </c>
      <c r="B1447" t="str">
        <f>VLOOKUP(A1447,'Customer Names (2)'!A:B, 2,FALSE)</f>
        <v>Ms</v>
      </c>
      <c r="C1447">
        <f>VLOOKUP(A1447,Medical_Examinations[],2,FALSE)</f>
        <v>19.95</v>
      </c>
      <c r="D1447">
        <f>VLOOKUP(A1447,Medical_Examinations[],3,FALSE)</f>
        <v>4.3600000000000003</v>
      </c>
      <c r="E1447" t="str">
        <f>VLOOKUP(A1447,Medical_Examinations[],4,FALSE)</f>
        <v>No</v>
      </c>
      <c r="F1447" t="str">
        <f>VLOOKUP(A1447,Medical_Examinations[],5,FALSE)</f>
        <v>No</v>
      </c>
      <c r="G1447" t="str">
        <f>VLOOKUP(A1447,Medical_Examinations[],6,FALSE)</f>
        <v>No</v>
      </c>
      <c r="H1447">
        <f>VLOOKUP(A1447,Medical_Examinations[],7,FALSE)</f>
        <v>2</v>
      </c>
      <c r="I1447" t="str">
        <f>VLOOKUP(A1447,Medical_Examinations[],8,FALSE)</f>
        <v>No</v>
      </c>
      <c r="J1447" t="str">
        <f>VLOOKUP(A1447,Medical_Examinations[],9,FALSE)</f>
        <v>Normal Weight</v>
      </c>
      <c r="K1447" t="str">
        <f>VLOOKUP(A1447,Medical_Examinations[],10,FALSE)</f>
        <v>Normal</v>
      </c>
      <c r="M1447">
        <f>VLOOKUP(A1447,Hospitalisation_Details__2[],4,FALSE)</f>
        <v>7318.22</v>
      </c>
      <c r="N1447" t="str">
        <f>VLOOKUP(A1447,Hospitalisation_Details__2[],5,FALSE)</f>
        <v>tier - 2</v>
      </c>
      <c r="O1447" t="str">
        <f>VLOOKUP(A1447,Hospitalisation_Details__2[],6,FALSE)</f>
        <v>tier - 3</v>
      </c>
      <c r="P1447" t="str">
        <f>VLOOKUP(A1447,Hospitalisation_Details__2[],7,FALSE)</f>
        <v>R1012</v>
      </c>
    </row>
    <row r="1448" spans="1:16" x14ac:dyDescent="0.35">
      <c r="A1448" t="str">
        <v>Id1447</v>
      </c>
      <c r="B1448" t="str">
        <f>VLOOKUP(A1448,'Customer Names (2)'!A:B, 2,FALSE)</f>
        <v>Ms</v>
      </c>
      <c r="C1448">
        <f>VLOOKUP(A1448,Medical_Examinations[],2,FALSE)</f>
        <v>16.66</v>
      </c>
      <c r="D1448">
        <f>VLOOKUP(A1448,Medical_Examinations[],3,FALSE)</f>
        <v>9.16</v>
      </c>
      <c r="E1448" t="str">
        <f>VLOOKUP(A1448,Medical_Examinations[],4,FALSE)</f>
        <v>No</v>
      </c>
      <c r="F1448" t="str">
        <f>VLOOKUP(A1448,Medical_Examinations[],5,FALSE)</f>
        <v>No</v>
      </c>
      <c r="G1448" t="str">
        <f>VLOOKUP(A1448,Medical_Examinations[],6,FALSE)</f>
        <v>No</v>
      </c>
      <c r="H1448">
        <f>VLOOKUP(A1448,Medical_Examinations[],7,FALSE)</f>
        <v>0</v>
      </c>
      <c r="I1448" t="str">
        <f>VLOOKUP(A1448,Medical_Examinations[],8,FALSE)</f>
        <v>No</v>
      </c>
      <c r="J1448" t="str">
        <f>VLOOKUP(A1448,Medical_Examinations[],9,FALSE)</f>
        <v>Underweight</v>
      </c>
      <c r="K1448" t="str">
        <f>VLOOKUP(A1448,Medical_Examinations[],10,FALSE)</f>
        <v>Diabetes</v>
      </c>
      <c r="M1448">
        <f>VLOOKUP(A1448,Hospitalisation_Details__2[],4,FALSE)</f>
        <v>7318.21</v>
      </c>
      <c r="N1448" t="str">
        <f>VLOOKUP(A1448,Hospitalisation_Details__2[],5,FALSE)</f>
        <v>tier - 3</v>
      </c>
      <c r="O1448" t="str">
        <f>VLOOKUP(A1448,Hospitalisation_Details__2[],6,FALSE)</f>
        <v>tier - 1</v>
      </c>
      <c r="P1448" t="str">
        <f>VLOOKUP(A1448,Hospitalisation_Details__2[],7,FALSE)</f>
        <v>R1013</v>
      </c>
    </row>
    <row r="1449" spans="1:16" x14ac:dyDescent="0.35">
      <c r="A1449" t="str">
        <v>Id1448</v>
      </c>
      <c r="B1449" t="str">
        <f>VLOOKUP(A1449,'Customer Names (2)'!A:B, 2,FALSE)</f>
        <v>Ms</v>
      </c>
      <c r="C1449">
        <f>VLOOKUP(A1449,Medical_Examinations[],2,FALSE)</f>
        <v>16.62</v>
      </c>
      <c r="D1449">
        <f>VLOOKUP(A1449,Medical_Examinations[],3,FALSE)</f>
        <v>9.14</v>
      </c>
      <c r="E1449" t="str">
        <f>VLOOKUP(A1449,Medical_Examinations[],4,FALSE)</f>
        <v>No</v>
      </c>
      <c r="F1449" t="str">
        <f>VLOOKUP(A1449,Medical_Examinations[],5,FALSE)</f>
        <v>No</v>
      </c>
      <c r="G1449" t="str">
        <f>VLOOKUP(A1449,Medical_Examinations[],6,FALSE)</f>
        <v>No</v>
      </c>
      <c r="H1449">
        <f>VLOOKUP(A1449,Medical_Examinations[],7,FALSE)</f>
        <v>0</v>
      </c>
      <c r="I1449" t="str">
        <f>VLOOKUP(A1449,Medical_Examinations[],8,FALSE)</f>
        <v>No</v>
      </c>
      <c r="J1449" t="str">
        <f>VLOOKUP(A1449,Medical_Examinations[],9,FALSE)</f>
        <v>Underweight</v>
      </c>
      <c r="K1449" t="str">
        <f>VLOOKUP(A1449,Medical_Examinations[],10,FALSE)</f>
        <v>Diabetes</v>
      </c>
      <c r="M1449">
        <f>VLOOKUP(A1449,Hospitalisation_Details__2[],4,FALSE)</f>
        <v>7304.65</v>
      </c>
      <c r="N1449" t="str">
        <f>VLOOKUP(A1449,Hospitalisation_Details__2[],5,FALSE)</f>
        <v>tier - 3</v>
      </c>
      <c r="O1449" t="str">
        <f>VLOOKUP(A1449,Hospitalisation_Details__2[],6,FALSE)</f>
        <v>tier - 3</v>
      </c>
      <c r="P1449" t="str">
        <f>VLOOKUP(A1449,Hospitalisation_Details__2[],7,FALSE)</f>
        <v>R1013</v>
      </c>
    </row>
    <row r="1450" spans="1:16" x14ac:dyDescent="0.35">
      <c r="A1450" t="str">
        <v>Id1449</v>
      </c>
      <c r="B1450" t="str">
        <f>VLOOKUP(A1450,'Customer Names (2)'!A:B, 2,FALSE)</f>
        <v>Ms</v>
      </c>
      <c r="C1450">
        <f>VLOOKUP(A1450,Medical_Examinations[],2,FALSE)</f>
        <v>15.36</v>
      </c>
      <c r="D1450">
        <f>VLOOKUP(A1450,Medical_Examinations[],3,FALSE)</f>
        <v>5.49</v>
      </c>
      <c r="E1450" t="str">
        <f>VLOOKUP(A1450,Medical_Examinations[],4,FALSE)</f>
        <v>Yes</v>
      </c>
      <c r="F1450" t="str">
        <f>VLOOKUP(A1450,Medical_Examinations[],5,FALSE)</f>
        <v>No</v>
      </c>
      <c r="G1450" t="str">
        <f>VLOOKUP(A1450,Medical_Examinations[],6,FALSE)</f>
        <v>No</v>
      </c>
      <c r="H1450">
        <f>VLOOKUP(A1450,Medical_Examinations[],7,FALSE)</f>
        <v>2</v>
      </c>
      <c r="I1450" t="str">
        <f>VLOOKUP(A1450,Medical_Examinations[],8,FALSE)</f>
        <v>No</v>
      </c>
      <c r="J1450" t="str">
        <f>VLOOKUP(A1450,Medical_Examinations[],9,FALSE)</f>
        <v>Underweight</v>
      </c>
      <c r="K1450" t="str">
        <f>VLOOKUP(A1450,Medical_Examinations[],10,FALSE)</f>
        <v>Normal</v>
      </c>
      <c r="M1450">
        <f>VLOOKUP(A1450,Hospitalisation_Details__2[],4,FALSE)</f>
        <v>7302.46</v>
      </c>
      <c r="N1450" t="str">
        <f>VLOOKUP(A1450,Hospitalisation_Details__2[],5,FALSE)</f>
        <v>tier - 3</v>
      </c>
      <c r="O1450" t="str">
        <f>VLOOKUP(A1450,Hospitalisation_Details__2[],6,FALSE)</f>
        <v>tier - 1</v>
      </c>
      <c r="P1450" t="str">
        <f>VLOOKUP(A1450,Hospitalisation_Details__2[],7,FALSE)</f>
        <v>R1012</v>
      </c>
    </row>
    <row r="1451" spans="1:16" x14ac:dyDescent="0.35">
      <c r="A1451" t="str">
        <v>Id1450</v>
      </c>
      <c r="B1451" t="str">
        <f>VLOOKUP(A1451,'Customer Names (2)'!A:B, 2,FALSE)</f>
        <v>Ms</v>
      </c>
      <c r="C1451">
        <f>VLOOKUP(A1451,Medical_Examinations[],2,FALSE)</f>
        <v>27.74</v>
      </c>
      <c r="D1451">
        <f>VLOOKUP(A1451,Medical_Examinations[],3,FALSE)</f>
        <v>5.96</v>
      </c>
      <c r="E1451" t="str">
        <f>VLOOKUP(A1451,Medical_Examinations[],4,FALSE)</f>
        <v>Yes</v>
      </c>
      <c r="F1451" t="str">
        <f>VLOOKUP(A1451,Medical_Examinations[],5,FALSE)</f>
        <v>No</v>
      </c>
      <c r="G1451" t="str">
        <f>VLOOKUP(A1451,Medical_Examinations[],6,FALSE)</f>
        <v>No</v>
      </c>
      <c r="H1451">
        <f>VLOOKUP(A1451,Medical_Examinations[],7,FALSE)</f>
        <v>0</v>
      </c>
      <c r="I1451" t="str">
        <f>VLOOKUP(A1451,Medical_Examinations[],8,FALSE)</f>
        <v>No</v>
      </c>
      <c r="J1451" t="str">
        <f>VLOOKUP(A1451,Medical_Examinations[],9,FALSE)</f>
        <v>Overweight</v>
      </c>
      <c r="K1451" t="str">
        <f>VLOOKUP(A1451,Medical_Examinations[],10,FALSE)</f>
        <v>Prediabetes</v>
      </c>
      <c r="M1451">
        <f>VLOOKUP(A1451,Hospitalisation_Details__2[],4,FALSE)</f>
        <v>7281.51</v>
      </c>
      <c r="N1451" t="str">
        <f>VLOOKUP(A1451,Hospitalisation_Details__2[],5,FALSE)</f>
        <v>tier - 2</v>
      </c>
      <c r="O1451" t="str">
        <f>VLOOKUP(A1451,Hospitalisation_Details__2[],6,FALSE)</f>
        <v>tier - 1</v>
      </c>
      <c r="P1451" t="str">
        <f>VLOOKUP(A1451,Hospitalisation_Details__2[],7,FALSE)</f>
        <v>R1012</v>
      </c>
    </row>
    <row r="1452" spans="1:16" x14ac:dyDescent="0.35">
      <c r="A1452" t="str">
        <v>Id1451</v>
      </c>
      <c r="B1452" t="str">
        <f>VLOOKUP(A1452,'Customer Names (2)'!A:B, 2,FALSE)</f>
        <v>Mr</v>
      </c>
      <c r="C1452">
        <f>VLOOKUP(A1452,Medical_Examinations[],2,FALSE)</f>
        <v>22.44</v>
      </c>
      <c r="D1452">
        <f>VLOOKUP(A1452,Medical_Examinations[],3,FALSE)</f>
        <v>4.62</v>
      </c>
      <c r="E1452" t="str">
        <f>VLOOKUP(A1452,Medical_Examinations[],4,FALSE)</f>
        <v>Yes</v>
      </c>
      <c r="F1452" t="str">
        <f>VLOOKUP(A1452,Medical_Examinations[],5,FALSE)</f>
        <v>No</v>
      </c>
      <c r="G1452" t="str">
        <f>VLOOKUP(A1452,Medical_Examinations[],6,FALSE)</f>
        <v>No</v>
      </c>
      <c r="H1452">
        <f>VLOOKUP(A1452,Medical_Examinations[],7,FALSE)</f>
        <v>0</v>
      </c>
      <c r="I1452" t="str">
        <f>VLOOKUP(A1452,Medical_Examinations[],8,FALSE)</f>
        <v>No</v>
      </c>
      <c r="J1452" t="str">
        <f>VLOOKUP(A1452,Medical_Examinations[],9,FALSE)</f>
        <v>Normal Weight</v>
      </c>
      <c r="K1452" t="str">
        <f>VLOOKUP(A1452,Medical_Examinations[],10,FALSE)</f>
        <v>Normal</v>
      </c>
      <c r="M1452">
        <f>VLOOKUP(A1452,Hospitalisation_Details__2[],4,FALSE)</f>
        <v>7273.02</v>
      </c>
      <c r="N1452" t="str">
        <f>VLOOKUP(A1452,Hospitalisation_Details__2[],5,FALSE)</f>
        <v>tier - 2</v>
      </c>
      <c r="O1452" t="str">
        <f>VLOOKUP(A1452,Hospitalisation_Details__2[],6,FALSE)</f>
        <v>tier - 1</v>
      </c>
      <c r="P1452" t="str">
        <f>VLOOKUP(A1452,Hospitalisation_Details__2[],7,FALSE)</f>
        <v>R1013</v>
      </c>
    </row>
    <row r="1453" spans="1:16" x14ac:dyDescent="0.35">
      <c r="A1453" t="str">
        <v>Id1452</v>
      </c>
      <c r="B1453" t="str">
        <f>VLOOKUP(A1453,'Customer Names (2)'!A:B, 2,FALSE)</f>
        <v>Mr</v>
      </c>
      <c r="C1453">
        <f>VLOOKUP(A1453,Medical_Examinations[],2,FALSE)</f>
        <v>37.049999999999997</v>
      </c>
      <c r="D1453">
        <f>VLOOKUP(A1453,Medical_Examinations[],3,FALSE)</f>
        <v>9.9600000000000009</v>
      </c>
      <c r="E1453" t="str">
        <f>VLOOKUP(A1453,Medical_Examinations[],4,FALSE)</f>
        <v>Yes</v>
      </c>
      <c r="F1453" t="str">
        <f>VLOOKUP(A1453,Medical_Examinations[],5,FALSE)</f>
        <v>No</v>
      </c>
      <c r="G1453" t="str">
        <f>VLOOKUP(A1453,Medical_Examinations[],6,FALSE)</f>
        <v>No</v>
      </c>
      <c r="H1453">
        <f>VLOOKUP(A1453,Medical_Examinations[],7,FALSE)</f>
        <v>0</v>
      </c>
      <c r="I1453" t="str">
        <f>VLOOKUP(A1453,Medical_Examinations[],8,FALSE)</f>
        <v>No</v>
      </c>
      <c r="J1453" t="str">
        <f>VLOOKUP(A1453,Medical_Examinations[],9,FALSE)</f>
        <v>Obesity</v>
      </c>
      <c r="K1453" t="str">
        <f>VLOOKUP(A1453,Medical_Examinations[],10,FALSE)</f>
        <v>Diabetes</v>
      </c>
      <c r="M1453">
        <f>VLOOKUP(A1453,Hospitalisation_Details__2[],4,FALSE)</f>
        <v>7265.7</v>
      </c>
      <c r="N1453" t="str">
        <f>VLOOKUP(A1453,Hospitalisation_Details__2[],5,FALSE)</f>
        <v>tier - 3</v>
      </c>
      <c r="O1453" t="str">
        <f>VLOOKUP(A1453,Hospitalisation_Details__2[],6,FALSE)</f>
        <v>tier - 3</v>
      </c>
      <c r="P1453" t="str">
        <f>VLOOKUP(A1453,Hospitalisation_Details__2[],7,FALSE)</f>
        <v>R1012</v>
      </c>
    </row>
    <row r="1454" spans="1:16" x14ac:dyDescent="0.35">
      <c r="A1454" t="str">
        <v>Id1453</v>
      </c>
      <c r="B1454" t="str">
        <f>VLOOKUP(A1454,'Customer Names (2)'!A:B, 2,FALSE)</f>
        <v>Mr</v>
      </c>
      <c r="C1454">
        <f>VLOOKUP(A1454,Medical_Examinations[],2,FALSE)</f>
        <v>22.95</v>
      </c>
      <c r="D1454">
        <f>VLOOKUP(A1454,Medical_Examinations[],3,FALSE)</f>
        <v>10.53</v>
      </c>
      <c r="E1454" t="str">
        <f>VLOOKUP(A1454,Medical_Examinations[],4,FALSE)</f>
        <v>No</v>
      </c>
      <c r="F1454" t="str">
        <f>VLOOKUP(A1454,Medical_Examinations[],5,FALSE)</f>
        <v>No</v>
      </c>
      <c r="G1454" t="str">
        <f>VLOOKUP(A1454,Medical_Examinations[],6,FALSE)</f>
        <v>No</v>
      </c>
      <c r="H1454">
        <f>VLOOKUP(A1454,Medical_Examinations[],7,FALSE)</f>
        <v>2</v>
      </c>
      <c r="I1454" t="str">
        <f>VLOOKUP(A1454,Medical_Examinations[],8,FALSE)</f>
        <v>No</v>
      </c>
      <c r="J1454" t="str">
        <f>VLOOKUP(A1454,Medical_Examinations[],9,FALSE)</f>
        <v>Normal Weight</v>
      </c>
      <c r="K1454" t="str">
        <f>VLOOKUP(A1454,Medical_Examinations[],10,FALSE)</f>
        <v>Diabetes</v>
      </c>
      <c r="M1454">
        <f>VLOOKUP(A1454,Hospitalisation_Details__2[],4,FALSE)</f>
        <v>7265.58</v>
      </c>
      <c r="N1454" t="str">
        <f>VLOOKUP(A1454,Hospitalisation_Details__2[],5,FALSE)</f>
        <v>tier - 2</v>
      </c>
      <c r="O1454" t="str">
        <f>VLOOKUP(A1454,Hospitalisation_Details__2[],6,FALSE)</f>
        <v>tier - 2</v>
      </c>
      <c r="P1454" t="str">
        <f>VLOOKUP(A1454,Hospitalisation_Details__2[],7,FALSE)</f>
        <v>R1013</v>
      </c>
    </row>
    <row r="1455" spans="1:16" x14ac:dyDescent="0.35">
      <c r="A1455" t="str">
        <v>Id1454</v>
      </c>
      <c r="B1455" t="str">
        <f>VLOOKUP(A1455,'Customer Names (2)'!A:B, 2,FALSE)</f>
        <v>Mr</v>
      </c>
      <c r="C1455">
        <f>VLOOKUP(A1455,Medical_Examinations[],2,FALSE)</f>
        <v>34.200000000000003</v>
      </c>
      <c r="D1455">
        <f>VLOOKUP(A1455,Medical_Examinations[],3,FALSE)</f>
        <v>6.69</v>
      </c>
      <c r="E1455" t="str">
        <f>VLOOKUP(A1455,Medical_Examinations[],4,FALSE)</f>
        <v>Yes</v>
      </c>
      <c r="F1455" t="str">
        <f>VLOOKUP(A1455,Medical_Examinations[],5,FALSE)</f>
        <v>No</v>
      </c>
      <c r="G1455" t="str">
        <f>VLOOKUP(A1455,Medical_Examinations[],6,FALSE)</f>
        <v>No</v>
      </c>
      <c r="H1455">
        <f>VLOOKUP(A1455,Medical_Examinations[],7,FALSE)</f>
        <v>0</v>
      </c>
      <c r="I1455" t="str">
        <f>VLOOKUP(A1455,Medical_Examinations[],8,FALSE)</f>
        <v>No</v>
      </c>
      <c r="J1455" t="str">
        <f>VLOOKUP(A1455,Medical_Examinations[],9,FALSE)</f>
        <v>Obesity</v>
      </c>
      <c r="K1455" t="str">
        <f>VLOOKUP(A1455,Medical_Examinations[],10,FALSE)</f>
        <v>Diabetes</v>
      </c>
      <c r="M1455">
        <f>VLOOKUP(A1455,Hospitalisation_Details__2[],4,FALSE)</f>
        <v>7261.74</v>
      </c>
      <c r="N1455" t="str">
        <f>VLOOKUP(A1455,Hospitalisation_Details__2[],5,FALSE)</f>
        <v>tier - 3</v>
      </c>
      <c r="O1455" t="str">
        <f>VLOOKUP(A1455,Hospitalisation_Details__2[],6,FALSE)</f>
        <v>tier - 3</v>
      </c>
      <c r="P1455" t="str">
        <f>VLOOKUP(A1455,Hospitalisation_Details__2[],7,FALSE)</f>
        <v>R1012</v>
      </c>
    </row>
    <row r="1456" spans="1:16" x14ac:dyDescent="0.35">
      <c r="A1456" t="str">
        <v>Id1455</v>
      </c>
      <c r="B1456" t="str">
        <f>VLOOKUP(A1456,'Customer Names (2)'!A:B, 2,FALSE)</f>
        <v>Mr</v>
      </c>
      <c r="C1456">
        <f>VLOOKUP(A1456,Medical_Examinations[],2,FALSE)</f>
        <v>30.59</v>
      </c>
      <c r="D1456">
        <f>VLOOKUP(A1456,Medical_Examinations[],3,FALSE)</f>
        <v>9.5500000000000007</v>
      </c>
      <c r="E1456" t="str">
        <f>VLOOKUP(A1456,Medical_Examinations[],4,FALSE)</f>
        <v>Yes</v>
      </c>
      <c r="F1456" t="str">
        <f>VLOOKUP(A1456,Medical_Examinations[],5,FALSE)</f>
        <v>No</v>
      </c>
      <c r="G1456" t="str">
        <f>VLOOKUP(A1456,Medical_Examinations[],6,FALSE)</f>
        <v>No</v>
      </c>
      <c r="H1456">
        <f>VLOOKUP(A1456,Medical_Examinations[],7,FALSE)</f>
        <v>0</v>
      </c>
      <c r="I1456" t="str">
        <f>VLOOKUP(A1456,Medical_Examinations[],8,FALSE)</f>
        <v>No</v>
      </c>
      <c r="J1456" t="str">
        <f>VLOOKUP(A1456,Medical_Examinations[],9,FALSE)</f>
        <v>Obesity</v>
      </c>
      <c r="K1456" t="str">
        <f>VLOOKUP(A1456,Medical_Examinations[],10,FALSE)</f>
        <v>Diabetes</v>
      </c>
      <c r="M1456">
        <f>VLOOKUP(A1456,Hospitalisation_Details__2[],4,FALSE)</f>
        <v>7256.72</v>
      </c>
      <c r="N1456" t="str">
        <f>VLOOKUP(A1456,Hospitalisation_Details__2[],5,FALSE)</f>
        <v>tier - 3</v>
      </c>
      <c r="O1456" t="str">
        <f>VLOOKUP(A1456,Hospitalisation_Details__2[],6,FALSE)</f>
        <v>tier - 2</v>
      </c>
      <c r="P1456" t="str">
        <f>VLOOKUP(A1456,Hospitalisation_Details__2[],7,FALSE)</f>
        <v>R1012</v>
      </c>
    </row>
    <row r="1457" spans="1:16" x14ac:dyDescent="0.35">
      <c r="A1457" t="str">
        <v>Id1456</v>
      </c>
      <c r="B1457" t="str">
        <f>VLOOKUP(A1457,'Customer Names (2)'!A:B, 2,FALSE)</f>
        <v>Mr</v>
      </c>
      <c r="C1457">
        <f>VLOOKUP(A1457,Medical_Examinations[],2,FALSE)</f>
        <v>25.51</v>
      </c>
      <c r="D1457">
        <f>VLOOKUP(A1457,Medical_Examinations[],3,FALSE)</f>
        <v>6.05</v>
      </c>
      <c r="E1457" t="str">
        <f>VLOOKUP(A1457,Medical_Examinations[],4,FALSE)</f>
        <v>No</v>
      </c>
      <c r="F1457" t="str">
        <f>VLOOKUP(A1457,Medical_Examinations[],5,FALSE)</f>
        <v>No</v>
      </c>
      <c r="G1457" t="str">
        <f>VLOOKUP(A1457,Medical_Examinations[],6,FALSE)</f>
        <v>No</v>
      </c>
      <c r="H1457">
        <f>VLOOKUP(A1457,Medical_Examinations[],7,FALSE)</f>
        <v>0</v>
      </c>
      <c r="I1457" t="str">
        <f>VLOOKUP(A1457,Medical_Examinations[],8,FALSE)</f>
        <v>No</v>
      </c>
      <c r="J1457" t="str">
        <f>VLOOKUP(A1457,Medical_Examinations[],9,FALSE)</f>
        <v>Overweight</v>
      </c>
      <c r="K1457" t="str">
        <f>VLOOKUP(A1457,Medical_Examinations[],10,FALSE)</f>
        <v>Prediabetes</v>
      </c>
      <c r="M1457">
        <f>VLOOKUP(A1457,Hospitalisation_Details__2[],4,FALSE)</f>
        <v>7248.71</v>
      </c>
      <c r="N1457" t="str">
        <f>VLOOKUP(A1457,Hospitalisation_Details__2[],5,FALSE)</f>
        <v>tier - 2</v>
      </c>
      <c r="O1457" t="str">
        <f>VLOOKUP(A1457,Hospitalisation_Details__2[],6,FALSE)</f>
        <v>tier - 1</v>
      </c>
      <c r="P1457" t="str">
        <f>VLOOKUP(A1457,Hospitalisation_Details__2[],7,FALSE)</f>
        <v>R1013</v>
      </c>
    </row>
    <row r="1458" spans="1:16" x14ac:dyDescent="0.35">
      <c r="A1458" t="str">
        <v>Id1457</v>
      </c>
      <c r="B1458" t="str">
        <f>VLOOKUP(A1458,'Customer Names (2)'!A:B, 2,FALSE)</f>
        <v>Ms</v>
      </c>
      <c r="C1458">
        <f>VLOOKUP(A1458,Medical_Examinations[],2,FALSE)</f>
        <v>29.04</v>
      </c>
      <c r="D1458">
        <f>VLOOKUP(A1458,Medical_Examinations[],3,FALSE)</f>
        <v>10.56</v>
      </c>
      <c r="E1458" t="str">
        <f>VLOOKUP(A1458,Medical_Examinations[],4,FALSE)</f>
        <v>Yes</v>
      </c>
      <c r="F1458" t="str">
        <f>VLOOKUP(A1458,Medical_Examinations[],5,FALSE)</f>
        <v>No</v>
      </c>
      <c r="G1458" t="str">
        <f>VLOOKUP(A1458,Medical_Examinations[],6,FALSE)</f>
        <v>No</v>
      </c>
      <c r="H1458">
        <f>VLOOKUP(A1458,Medical_Examinations[],7,FALSE)</f>
        <v>1</v>
      </c>
      <c r="I1458" t="str">
        <f>VLOOKUP(A1458,Medical_Examinations[],8,FALSE)</f>
        <v>No</v>
      </c>
      <c r="J1458" t="str">
        <f>VLOOKUP(A1458,Medical_Examinations[],9,FALSE)</f>
        <v>Overweight</v>
      </c>
      <c r="K1458" t="str">
        <f>VLOOKUP(A1458,Medical_Examinations[],10,FALSE)</f>
        <v>Diabetes</v>
      </c>
      <c r="M1458">
        <f>VLOOKUP(A1458,Hospitalisation_Details__2[],4,FALSE)</f>
        <v>7243.81</v>
      </c>
      <c r="N1458" t="str">
        <f>VLOOKUP(A1458,Hospitalisation_Details__2[],5,FALSE)</f>
        <v>tier - 2</v>
      </c>
      <c r="O1458" t="str">
        <f>VLOOKUP(A1458,Hospitalisation_Details__2[],6,FALSE)</f>
        <v>tier - 3</v>
      </c>
      <c r="P1458" t="str">
        <f>VLOOKUP(A1458,Hospitalisation_Details__2[],7,FALSE)</f>
        <v>R1013</v>
      </c>
    </row>
    <row r="1459" spans="1:16" x14ac:dyDescent="0.35">
      <c r="A1459" t="str">
        <v>Id1458</v>
      </c>
      <c r="B1459" t="str">
        <f>VLOOKUP(A1459,'Customer Names (2)'!A:B, 2,FALSE)</f>
        <v>Ms</v>
      </c>
      <c r="C1459">
        <f>VLOOKUP(A1459,Medical_Examinations[],2,FALSE)</f>
        <v>22.135000000000002</v>
      </c>
      <c r="D1459">
        <f>VLOOKUP(A1459,Medical_Examinations[],3,FALSE)</f>
        <v>10.81</v>
      </c>
      <c r="E1459" t="str">
        <f>VLOOKUP(A1459,Medical_Examinations[],4,FALSE)</f>
        <v>Yes</v>
      </c>
      <c r="F1459" t="str">
        <f>VLOOKUP(A1459,Medical_Examinations[],5,FALSE)</f>
        <v>No</v>
      </c>
      <c r="G1459" t="str">
        <f>VLOOKUP(A1459,Medical_Examinations[],6,FALSE)</f>
        <v>No</v>
      </c>
      <c r="H1459">
        <f>VLOOKUP(A1459,Medical_Examinations[],7,FALSE)</f>
        <v>1</v>
      </c>
      <c r="I1459" t="str">
        <f>VLOOKUP(A1459,Medical_Examinations[],8,FALSE)</f>
        <v>No</v>
      </c>
      <c r="J1459" t="str">
        <f>VLOOKUP(A1459,Medical_Examinations[],9,FALSE)</f>
        <v>Normal Weight</v>
      </c>
      <c r="K1459" t="str">
        <f>VLOOKUP(A1459,Medical_Examinations[],10,FALSE)</f>
        <v>Diabetes</v>
      </c>
      <c r="M1459">
        <f>VLOOKUP(A1459,Hospitalisation_Details__2[],4,FALSE)</f>
        <v>7228.22</v>
      </c>
      <c r="N1459" t="str">
        <f>VLOOKUP(A1459,Hospitalisation_Details__2[],5,FALSE)</f>
        <v>tier - 2</v>
      </c>
      <c r="O1459" t="str">
        <f>VLOOKUP(A1459,Hospitalisation_Details__2[],6,FALSE)</f>
        <v>tier - 1</v>
      </c>
      <c r="P1459" t="str">
        <f>VLOOKUP(A1459,Hospitalisation_Details__2[],7,FALSE)</f>
        <v>R1024</v>
      </c>
    </row>
    <row r="1460" spans="1:16" x14ac:dyDescent="0.35">
      <c r="A1460" t="str">
        <v>Id1459</v>
      </c>
      <c r="B1460" t="str">
        <f>VLOOKUP(A1460,'Customer Names (2)'!A:B, 2,FALSE)</f>
        <v>Mr</v>
      </c>
      <c r="C1460">
        <f>VLOOKUP(A1460,Medical_Examinations[],2,FALSE)</f>
        <v>21.375</v>
      </c>
      <c r="D1460">
        <f>VLOOKUP(A1460,Medical_Examinations[],3,FALSE)</f>
        <v>4.32</v>
      </c>
      <c r="E1460" t="str">
        <f>VLOOKUP(A1460,Medical_Examinations[],4,FALSE)</f>
        <v>No</v>
      </c>
      <c r="F1460" t="str">
        <f>VLOOKUP(A1460,Medical_Examinations[],5,FALSE)</f>
        <v>No</v>
      </c>
      <c r="G1460" t="str">
        <f>VLOOKUP(A1460,Medical_Examinations[],6,FALSE)</f>
        <v>No</v>
      </c>
      <c r="H1460">
        <f>VLOOKUP(A1460,Medical_Examinations[],7,FALSE)</f>
        <v>0</v>
      </c>
      <c r="I1460" t="str">
        <f>VLOOKUP(A1460,Medical_Examinations[],8,FALSE)</f>
        <v>No</v>
      </c>
      <c r="J1460" t="str">
        <f>VLOOKUP(A1460,Medical_Examinations[],9,FALSE)</f>
        <v>Normal Weight</v>
      </c>
      <c r="K1460" t="str">
        <f>VLOOKUP(A1460,Medical_Examinations[],10,FALSE)</f>
        <v>Normal</v>
      </c>
      <c r="M1460">
        <f>VLOOKUP(A1460,Hospitalisation_Details__2[],4,FALSE)</f>
        <v>7222.79</v>
      </c>
      <c r="N1460" t="str">
        <f>VLOOKUP(A1460,Hospitalisation_Details__2[],5,FALSE)</f>
        <v>tier - 3</v>
      </c>
      <c r="O1460" t="str">
        <f>VLOOKUP(A1460,Hospitalisation_Details__2[],6,FALSE)</f>
        <v>tier - 3</v>
      </c>
      <c r="P1460" t="str">
        <f>VLOOKUP(A1460,Hospitalisation_Details__2[],7,FALSE)</f>
        <v>R1012</v>
      </c>
    </row>
    <row r="1461" spans="1:16" x14ac:dyDescent="0.35">
      <c r="A1461" t="str">
        <v>Id1460</v>
      </c>
      <c r="B1461" t="str">
        <f>VLOOKUP(A1461,'Customer Names (2)'!A:B, 2,FALSE)</f>
        <v>Mr</v>
      </c>
      <c r="C1461">
        <f>VLOOKUP(A1461,Medical_Examinations[],2,FALSE)</f>
        <v>29.19</v>
      </c>
      <c r="D1461">
        <f>VLOOKUP(A1461,Medical_Examinations[],3,FALSE)</f>
        <v>4.37</v>
      </c>
      <c r="E1461" t="str">
        <f>VLOOKUP(A1461,Medical_Examinations[],4,FALSE)</f>
        <v>No</v>
      </c>
      <c r="F1461" t="str">
        <f>VLOOKUP(A1461,Medical_Examinations[],5,FALSE)</f>
        <v>No</v>
      </c>
      <c r="G1461" t="str">
        <f>VLOOKUP(A1461,Medical_Examinations[],6,FALSE)</f>
        <v>No</v>
      </c>
      <c r="H1461">
        <f>VLOOKUP(A1461,Medical_Examinations[],7,FALSE)</f>
        <v>0</v>
      </c>
      <c r="I1461" t="str">
        <f>VLOOKUP(A1461,Medical_Examinations[],8,FALSE)</f>
        <v>No</v>
      </c>
      <c r="J1461" t="str">
        <f>VLOOKUP(A1461,Medical_Examinations[],9,FALSE)</f>
        <v>Overweight</v>
      </c>
      <c r="K1461" t="str">
        <f>VLOOKUP(A1461,Medical_Examinations[],10,FALSE)</f>
        <v>Normal</v>
      </c>
      <c r="M1461">
        <f>VLOOKUP(A1461,Hospitalisation_Details__2[],4,FALSE)</f>
        <v>7220.25</v>
      </c>
      <c r="N1461" t="str">
        <f>VLOOKUP(A1461,Hospitalisation_Details__2[],5,FALSE)</f>
        <v>tier - 2</v>
      </c>
      <c r="O1461" t="str">
        <f>VLOOKUP(A1461,Hospitalisation_Details__2[],6,FALSE)</f>
        <v>tier - 2</v>
      </c>
      <c r="P1461" t="str">
        <f>VLOOKUP(A1461,Hospitalisation_Details__2[],7,FALSE)</f>
        <v>R1021</v>
      </c>
    </row>
    <row r="1462" spans="1:16" x14ac:dyDescent="0.35">
      <c r="A1462" t="str">
        <v>Id1461</v>
      </c>
      <c r="B1462" t="str">
        <f>VLOOKUP(A1462,'Customer Names (2)'!A:B, 2,FALSE)</f>
        <v>Ms</v>
      </c>
      <c r="C1462">
        <f>VLOOKUP(A1462,Medical_Examinations[],2,FALSE)</f>
        <v>31.92</v>
      </c>
      <c r="D1462">
        <f>VLOOKUP(A1462,Medical_Examinations[],3,FALSE)</f>
        <v>4.8099999999999996</v>
      </c>
      <c r="E1462" t="str">
        <f>VLOOKUP(A1462,Medical_Examinations[],4,FALSE)</f>
        <v>Yes</v>
      </c>
      <c r="F1462" t="str">
        <f>VLOOKUP(A1462,Medical_Examinations[],5,FALSE)</f>
        <v>No</v>
      </c>
      <c r="G1462" t="str">
        <f>VLOOKUP(A1462,Medical_Examinations[],6,FALSE)</f>
        <v>Yes</v>
      </c>
      <c r="H1462">
        <f>VLOOKUP(A1462,Medical_Examinations[],7,FALSE)</f>
        <v>1</v>
      </c>
      <c r="I1462" t="str">
        <f>VLOOKUP(A1462,Medical_Examinations[],8,FALSE)</f>
        <v>No</v>
      </c>
      <c r="J1462" t="str">
        <f>VLOOKUP(A1462,Medical_Examinations[],9,FALSE)</f>
        <v>Obesity</v>
      </c>
      <c r="K1462" t="str">
        <f>VLOOKUP(A1462,Medical_Examinations[],10,FALSE)</f>
        <v>Normal</v>
      </c>
      <c r="M1462">
        <f>VLOOKUP(A1462,Hospitalisation_Details__2[],4,FALSE)</f>
        <v>7209.49</v>
      </c>
      <c r="N1462" t="str">
        <f>VLOOKUP(A1462,Hospitalisation_Details__2[],5,FALSE)</f>
        <v>tier - 2</v>
      </c>
      <c r="O1462" t="str">
        <f>VLOOKUP(A1462,Hospitalisation_Details__2[],6,FALSE)</f>
        <v>tier - 3</v>
      </c>
      <c r="P1462" t="str">
        <f>VLOOKUP(A1462,Hospitalisation_Details__2[],7,FALSE)</f>
        <v>R1012</v>
      </c>
    </row>
    <row r="1463" spans="1:16" x14ac:dyDescent="0.35">
      <c r="A1463" t="str">
        <v>Id1462</v>
      </c>
      <c r="B1463" t="str">
        <f>VLOOKUP(A1463,'Customer Names (2)'!A:B, 2,FALSE)</f>
        <v>Ms</v>
      </c>
      <c r="C1463">
        <f>VLOOKUP(A1463,Medical_Examinations[],2,FALSE)</f>
        <v>26.315000000000001</v>
      </c>
      <c r="D1463">
        <f>VLOOKUP(A1463,Medical_Examinations[],3,FALSE)</f>
        <v>4.5599999999999996</v>
      </c>
      <c r="E1463" t="str">
        <f>VLOOKUP(A1463,Medical_Examinations[],4,FALSE)</f>
        <v>Yes</v>
      </c>
      <c r="F1463" t="str">
        <f>VLOOKUP(A1463,Medical_Examinations[],5,FALSE)</f>
        <v>No</v>
      </c>
      <c r="G1463" t="str">
        <f>VLOOKUP(A1463,Medical_Examinations[],6,FALSE)</f>
        <v>Yes</v>
      </c>
      <c r="H1463">
        <f>VLOOKUP(A1463,Medical_Examinations[],7,FALSE)</f>
        <v>1</v>
      </c>
      <c r="I1463" t="str">
        <f>VLOOKUP(A1463,Medical_Examinations[],8,FALSE)</f>
        <v>No</v>
      </c>
      <c r="J1463" t="str">
        <f>VLOOKUP(A1463,Medical_Examinations[],9,FALSE)</f>
        <v>Overweight</v>
      </c>
      <c r="K1463" t="str">
        <f>VLOOKUP(A1463,Medical_Examinations[],10,FALSE)</f>
        <v>Normal</v>
      </c>
      <c r="M1463">
        <f>VLOOKUP(A1463,Hospitalisation_Details__2[],4,FALSE)</f>
        <v>7201.7</v>
      </c>
      <c r="N1463" t="str">
        <f>VLOOKUP(A1463,Hospitalisation_Details__2[],5,FALSE)</f>
        <v>tier - 2</v>
      </c>
      <c r="O1463" t="str">
        <f>VLOOKUP(A1463,Hospitalisation_Details__2[],6,FALSE)</f>
        <v>tier - 3</v>
      </c>
      <c r="P1463" t="str">
        <f>VLOOKUP(A1463,Hospitalisation_Details__2[],7,FALSE)</f>
        <v>R1012</v>
      </c>
    </row>
    <row r="1464" spans="1:16" x14ac:dyDescent="0.35">
      <c r="A1464" t="str">
        <v>Id1463</v>
      </c>
      <c r="B1464" t="str">
        <f>VLOOKUP(A1464,'Customer Names (2)'!A:B, 2,FALSE)</f>
        <v>Mr</v>
      </c>
      <c r="C1464">
        <f>VLOOKUP(A1464,Medical_Examinations[],2,FALSE)</f>
        <v>35.299999999999997</v>
      </c>
      <c r="D1464">
        <f>VLOOKUP(A1464,Medical_Examinations[],3,FALSE)</f>
        <v>4.3899999999999997</v>
      </c>
      <c r="E1464" t="str">
        <f>VLOOKUP(A1464,Medical_Examinations[],4,FALSE)</f>
        <v>No</v>
      </c>
      <c r="F1464" t="str">
        <f>VLOOKUP(A1464,Medical_Examinations[],5,FALSE)</f>
        <v>No</v>
      </c>
      <c r="G1464" t="str">
        <f>VLOOKUP(A1464,Medical_Examinations[],6,FALSE)</f>
        <v>No</v>
      </c>
      <c r="H1464">
        <f>VLOOKUP(A1464,Medical_Examinations[],7,FALSE)</f>
        <v>0</v>
      </c>
      <c r="I1464" t="str">
        <f>VLOOKUP(A1464,Medical_Examinations[],8,FALSE)</f>
        <v>No</v>
      </c>
      <c r="J1464" t="str">
        <f>VLOOKUP(A1464,Medical_Examinations[],9,FALSE)</f>
        <v>Obesity</v>
      </c>
      <c r="K1464" t="str">
        <f>VLOOKUP(A1464,Medical_Examinations[],10,FALSE)</f>
        <v>Normal</v>
      </c>
      <c r="M1464">
        <f>VLOOKUP(A1464,Hospitalisation_Details__2[],4,FALSE)</f>
        <v>7196.87</v>
      </c>
      <c r="N1464" t="str">
        <f>VLOOKUP(A1464,Hospitalisation_Details__2[],5,FALSE)</f>
        <v>tier - 3</v>
      </c>
      <c r="O1464" t="str">
        <f>VLOOKUP(A1464,Hospitalisation_Details__2[],6,FALSE)</f>
        <v>tier - 2</v>
      </c>
      <c r="P1464" t="str">
        <f>VLOOKUP(A1464,Hospitalisation_Details__2[],7,FALSE)</f>
        <v>R1011</v>
      </c>
    </row>
    <row r="1465" spans="1:16" x14ac:dyDescent="0.35">
      <c r="A1465" t="str">
        <v>Id1464</v>
      </c>
      <c r="B1465" t="str">
        <f>VLOOKUP(A1465,'Customer Names (2)'!A:B, 2,FALSE)</f>
        <v>Mr</v>
      </c>
      <c r="C1465">
        <f>VLOOKUP(A1465,Medical_Examinations[],2,FALSE)</f>
        <v>18.91</v>
      </c>
      <c r="D1465">
        <f>VLOOKUP(A1465,Medical_Examinations[],3,FALSE)</f>
        <v>11.44</v>
      </c>
      <c r="E1465" t="str">
        <f>VLOOKUP(A1465,Medical_Examinations[],4,FALSE)</f>
        <v>No</v>
      </c>
      <c r="F1465" t="str">
        <f>VLOOKUP(A1465,Medical_Examinations[],5,FALSE)</f>
        <v>No</v>
      </c>
      <c r="G1465" t="str">
        <f>VLOOKUP(A1465,Medical_Examinations[],6,FALSE)</f>
        <v>No</v>
      </c>
      <c r="H1465">
        <f>VLOOKUP(A1465,Medical_Examinations[],7,FALSE)</f>
        <v>0</v>
      </c>
      <c r="I1465" t="str">
        <f>VLOOKUP(A1465,Medical_Examinations[],8,FALSE)</f>
        <v>No</v>
      </c>
      <c r="J1465" t="str">
        <f>VLOOKUP(A1465,Medical_Examinations[],9,FALSE)</f>
        <v>Normal Weight</v>
      </c>
      <c r="K1465" t="str">
        <f>VLOOKUP(A1465,Medical_Examinations[],10,FALSE)</f>
        <v>Diabetes</v>
      </c>
      <c r="M1465">
        <f>VLOOKUP(A1465,Hospitalisation_Details__2[],4,FALSE)</f>
        <v>7179.52</v>
      </c>
      <c r="N1465" t="str">
        <f>VLOOKUP(A1465,Hospitalisation_Details__2[],5,FALSE)</f>
        <v>tier - 3</v>
      </c>
      <c r="O1465" t="str">
        <f>VLOOKUP(A1465,Hospitalisation_Details__2[],6,FALSE)</f>
        <v>tier - 3</v>
      </c>
      <c r="P1465" t="str">
        <f>VLOOKUP(A1465,Hospitalisation_Details__2[],7,FALSE)</f>
        <v>R1013</v>
      </c>
    </row>
    <row r="1466" spans="1:16" x14ac:dyDescent="0.35">
      <c r="A1466" t="str">
        <v>Id1465</v>
      </c>
      <c r="B1466" t="str">
        <f>VLOOKUP(A1466,'Customer Names (2)'!A:B, 2,FALSE)</f>
        <v>Ms</v>
      </c>
      <c r="C1466">
        <f>VLOOKUP(A1466,Medical_Examinations[],2,FALSE)</f>
        <v>22.41</v>
      </c>
      <c r="D1466">
        <f>VLOOKUP(A1466,Medical_Examinations[],3,FALSE)</f>
        <v>11.37</v>
      </c>
      <c r="E1466" t="str">
        <f>VLOOKUP(A1466,Medical_Examinations[],4,FALSE)</f>
        <v>Yes</v>
      </c>
      <c r="F1466" t="str">
        <f>VLOOKUP(A1466,Medical_Examinations[],5,FALSE)</f>
        <v>No</v>
      </c>
      <c r="G1466" t="str">
        <f>VLOOKUP(A1466,Medical_Examinations[],6,FALSE)</f>
        <v>No</v>
      </c>
      <c r="H1466">
        <f>VLOOKUP(A1466,Medical_Examinations[],7,FALSE)</f>
        <v>1</v>
      </c>
      <c r="I1466" t="str">
        <f>VLOOKUP(A1466,Medical_Examinations[],8,FALSE)</f>
        <v>No</v>
      </c>
      <c r="J1466" t="str">
        <f>VLOOKUP(A1466,Medical_Examinations[],9,FALSE)</f>
        <v>Normal Weight</v>
      </c>
      <c r="K1466" t="str">
        <f>VLOOKUP(A1466,Medical_Examinations[],10,FALSE)</f>
        <v>Diabetes</v>
      </c>
      <c r="M1466">
        <f>VLOOKUP(A1466,Hospitalisation_Details__2[],4,FALSE)</f>
        <v>7175.51</v>
      </c>
      <c r="N1466" t="str">
        <f>VLOOKUP(A1466,Hospitalisation_Details__2[],5,FALSE)</f>
        <v>tier - 2</v>
      </c>
      <c r="O1466" t="str">
        <f>VLOOKUP(A1466,Hospitalisation_Details__2[],6,FALSE)</f>
        <v>tier - 3</v>
      </c>
      <c r="P1466" t="str">
        <f>VLOOKUP(A1466,Hospitalisation_Details__2[],7,FALSE)</f>
        <v>R1013</v>
      </c>
    </row>
    <row r="1467" spans="1:16" x14ac:dyDescent="0.35">
      <c r="A1467" t="str">
        <v>Id1466</v>
      </c>
      <c r="B1467" t="str">
        <f>VLOOKUP(A1467,'Customer Names (2)'!A:B, 2,FALSE)</f>
        <v>Mr</v>
      </c>
      <c r="C1467">
        <f>VLOOKUP(A1467,Medical_Examinations[],2,FALSE)</f>
        <v>22.704999999999998</v>
      </c>
      <c r="D1467">
        <f>VLOOKUP(A1467,Medical_Examinations[],3,FALSE)</f>
        <v>6.14</v>
      </c>
      <c r="E1467" t="str">
        <f>VLOOKUP(A1467,Medical_Examinations[],4,FALSE)</f>
        <v>No</v>
      </c>
      <c r="F1467" t="str">
        <f>VLOOKUP(A1467,Medical_Examinations[],5,FALSE)</f>
        <v>No</v>
      </c>
      <c r="G1467" t="str">
        <f>VLOOKUP(A1467,Medical_Examinations[],6,FALSE)</f>
        <v>No</v>
      </c>
      <c r="H1467">
        <f>VLOOKUP(A1467,Medical_Examinations[],7,FALSE)</f>
        <v>0</v>
      </c>
      <c r="I1467" t="str">
        <f>VLOOKUP(A1467,Medical_Examinations[],8,FALSE)</f>
        <v>No</v>
      </c>
      <c r="J1467" t="str">
        <f>VLOOKUP(A1467,Medical_Examinations[],9,FALSE)</f>
        <v>Normal Weight</v>
      </c>
      <c r="K1467" t="str">
        <f>VLOOKUP(A1467,Medical_Examinations[],10,FALSE)</f>
        <v>Prediabetes</v>
      </c>
      <c r="M1467">
        <f>VLOOKUP(A1467,Hospitalisation_Details__2[],4,FALSE)</f>
        <v>7173.36</v>
      </c>
      <c r="N1467" t="str">
        <f>VLOOKUP(A1467,Hospitalisation_Details__2[],5,FALSE)</f>
        <v>tier - 3</v>
      </c>
      <c r="O1467" t="str">
        <f>VLOOKUP(A1467,Hospitalisation_Details__2[],6,FALSE)</f>
        <v>tier - 2</v>
      </c>
      <c r="P1467" t="str">
        <f>VLOOKUP(A1467,Hospitalisation_Details__2[],7,FALSE)</f>
        <v>R1016</v>
      </c>
    </row>
    <row r="1468" spans="1:16" x14ac:dyDescent="0.35">
      <c r="A1468" t="str">
        <v>Id1467</v>
      </c>
      <c r="B1468" t="str">
        <f>VLOOKUP(A1468,'Customer Names (2)'!A:B, 2,FALSE)</f>
        <v>Mr</v>
      </c>
      <c r="C1468">
        <f>VLOOKUP(A1468,Medical_Examinations[],2,FALSE)</f>
        <v>37.18</v>
      </c>
      <c r="D1468">
        <f>VLOOKUP(A1468,Medical_Examinations[],3,FALSE)</f>
        <v>4.8899999999999997</v>
      </c>
      <c r="E1468" t="str">
        <f>VLOOKUP(A1468,Medical_Examinations[],4,FALSE)</f>
        <v>No</v>
      </c>
      <c r="F1468" t="str">
        <f>VLOOKUP(A1468,Medical_Examinations[],5,FALSE)</f>
        <v>No</v>
      </c>
      <c r="G1468" t="str">
        <f>VLOOKUP(A1468,Medical_Examinations[],6,FALSE)</f>
        <v>No</v>
      </c>
      <c r="H1468">
        <f>VLOOKUP(A1468,Medical_Examinations[],7,FALSE)</f>
        <v>0</v>
      </c>
      <c r="I1468" t="str">
        <f>VLOOKUP(A1468,Medical_Examinations[],8,FALSE)</f>
        <v>No</v>
      </c>
      <c r="J1468" t="str">
        <f>VLOOKUP(A1468,Medical_Examinations[],9,FALSE)</f>
        <v>Obesity</v>
      </c>
      <c r="K1468" t="str">
        <f>VLOOKUP(A1468,Medical_Examinations[],10,FALSE)</f>
        <v>Normal</v>
      </c>
      <c r="M1468">
        <f>VLOOKUP(A1468,Hospitalisation_Details__2[],4,FALSE)</f>
        <v>7162.01</v>
      </c>
      <c r="N1468" t="str">
        <f>VLOOKUP(A1468,Hospitalisation_Details__2[],5,FALSE)</f>
        <v>tier - 2</v>
      </c>
      <c r="O1468" t="str">
        <f>VLOOKUP(A1468,Hospitalisation_Details__2[],6,FALSE)</f>
        <v>tier - 3</v>
      </c>
      <c r="P1468" t="str">
        <f>VLOOKUP(A1468,Hospitalisation_Details__2[],7,FALSE)</f>
        <v>R1013</v>
      </c>
    </row>
    <row r="1469" spans="1:16" x14ac:dyDescent="0.35">
      <c r="A1469" t="str">
        <v>Id1468</v>
      </c>
      <c r="B1469" t="str">
        <f>VLOOKUP(A1469,'Customer Names (2)'!A:B, 2,FALSE)</f>
        <v>Mr</v>
      </c>
      <c r="C1469">
        <f>VLOOKUP(A1469,Medical_Examinations[],2,FALSE)</f>
        <v>35.97</v>
      </c>
      <c r="D1469">
        <f>VLOOKUP(A1469,Medical_Examinations[],3,FALSE)</f>
        <v>4.5999999999999996</v>
      </c>
      <c r="E1469" t="str">
        <f>VLOOKUP(A1469,Medical_Examinations[],4,FALSE)</f>
        <v>No</v>
      </c>
      <c r="F1469" t="str">
        <f>VLOOKUP(A1469,Medical_Examinations[],5,FALSE)</f>
        <v>No</v>
      </c>
      <c r="G1469" t="str">
        <f>VLOOKUP(A1469,Medical_Examinations[],6,FALSE)</f>
        <v>No</v>
      </c>
      <c r="H1469">
        <f>VLOOKUP(A1469,Medical_Examinations[],7,FALSE)</f>
        <v>0</v>
      </c>
      <c r="I1469" t="str">
        <f>VLOOKUP(A1469,Medical_Examinations[],8,FALSE)</f>
        <v>No</v>
      </c>
      <c r="J1469" t="str">
        <f>VLOOKUP(A1469,Medical_Examinations[],9,FALSE)</f>
        <v>Obesity</v>
      </c>
      <c r="K1469" t="str">
        <f>VLOOKUP(A1469,Medical_Examinations[],10,FALSE)</f>
        <v>Normal</v>
      </c>
      <c r="M1469">
        <f>VLOOKUP(A1469,Hospitalisation_Details__2[],4,FALSE)</f>
        <v>7160.33</v>
      </c>
      <c r="N1469" t="str">
        <f>VLOOKUP(A1469,Hospitalisation_Details__2[],5,FALSE)</f>
        <v>tier - 2</v>
      </c>
      <c r="O1469" t="str">
        <f>VLOOKUP(A1469,Hospitalisation_Details__2[],6,FALSE)</f>
        <v>tier - 1</v>
      </c>
      <c r="P1469" t="str">
        <f>VLOOKUP(A1469,Hospitalisation_Details__2[],7,FALSE)</f>
        <v>R1013</v>
      </c>
    </row>
    <row r="1470" spans="1:16" x14ac:dyDescent="0.35">
      <c r="A1470" t="str">
        <v>Id1469</v>
      </c>
      <c r="B1470" t="str">
        <f>VLOOKUP(A1470,'Customer Names (2)'!A:B, 2,FALSE)</f>
        <v>Mr</v>
      </c>
      <c r="C1470">
        <f>VLOOKUP(A1470,Medical_Examinations[],2,FALSE)</f>
        <v>35.799999999999997</v>
      </c>
      <c r="D1470">
        <f>VLOOKUP(A1470,Medical_Examinations[],3,FALSE)</f>
        <v>4.42</v>
      </c>
      <c r="E1470" t="str">
        <f>VLOOKUP(A1470,Medical_Examinations[],4,FALSE)</f>
        <v>No</v>
      </c>
      <c r="F1470" t="str">
        <f>VLOOKUP(A1470,Medical_Examinations[],5,FALSE)</f>
        <v>No</v>
      </c>
      <c r="G1470" t="str">
        <f>VLOOKUP(A1470,Medical_Examinations[],6,FALSE)</f>
        <v>No</v>
      </c>
      <c r="H1470">
        <f>VLOOKUP(A1470,Medical_Examinations[],7,FALSE)</f>
        <v>0</v>
      </c>
      <c r="I1470" t="str">
        <f>VLOOKUP(A1470,Medical_Examinations[],8,FALSE)</f>
        <v>No</v>
      </c>
      <c r="J1470" t="str">
        <f>VLOOKUP(A1470,Medical_Examinations[],9,FALSE)</f>
        <v>Obesity</v>
      </c>
      <c r="K1470" t="str">
        <f>VLOOKUP(A1470,Medical_Examinations[],10,FALSE)</f>
        <v>Normal</v>
      </c>
      <c r="M1470">
        <f>VLOOKUP(A1470,Hospitalisation_Details__2[],4,FALSE)</f>
        <v>7160.09</v>
      </c>
      <c r="N1470" t="str">
        <f>VLOOKUP(A1470,Hospitalisation_Details__2[],5,FALSE)</f>
        <v>tier - 2</v>
      </c>
      <c r="O1470" t="str">
        <f>VLOOKUP(A1470,Hospitalisation_Details__2[],6,FALSE)</f>
        <v>tier - 2</v>
      </c>
      <c r="P1470" t="str">
        <f>VLOOKUP(A1470,Hospitalisation_Details__2[],7,FALSE)</f>
        <v>R1011</v>
      </c>
    </row>
    <row r="1471" spans="1:16" x14ac:dyDescent="0.35">
      <c r="A1471" t="str">
        <v>Id1470</v>
      </c>
      <c r="B1471" t="str">
        <f>VLOOKUP(A1471,'Customer Names (2)'!A:B, 2,FALSE)</f>
        <v>Ms</v>
      </c>
      <c r="C1471">
        <f>VLOOKUP(A1471,Medical_Examinations[],2,FALSE)</f>
        <v>28.31</v>
      </c>
      <c r="D1471">
        <f>VLOOKUP(A1471,Medical_Examinations[],3,FALSE)</f>
        <v>7.48</v>
      </c>
      <c r="E1471" t="str">
        <f>VLOOKUP(A1471,Medical_Examinations[],4,FALSE)</f>
        <v>Yes</v>
      </c>
      <c r="F1471" t="str">
        <f>VLOOKUP(A1471,Medical_Examinations[],5,FALSE)</f>
        <v>No</v>
      </c>
      <c r="G1471" t="str">
        <f>VLOOKUP(A1471,Medical_Examinations[],6,FALSE)</f>
        <v>No</v>
      </c>
      <c r="H1471">
        <f>VLOOKUP(A1471,Medical_Examinations[],7,FALSE)</f>
        <v>0</v>
      </c>
      <c r="I1471" t="str">
        <f>VLOOKUP(A1471,Medical_Examinations[],8,FALSE)</f>
        <v>No</v>
      </c>
      <c r="J1471" t="str">
        <f>VLOOKUP(A1471,Medical_Examinations[],9,FALSE)</f>
        <v>Overweight</v>
      </c>
      <c r="K1471" t="str">
        <f>VLOOKUP(A1471,Medical_Examinations[],10,FALSE)</f>
        <v>Diabetes</v>
      </c>
      <c r="M1471">
        <f>VLOOKUP(A1471,Hospitalisation_Details__2[],4,FALSE)</f>
        <v>7153.55</v>
      </c>
      <c r="N1471" t="str">
        <f>VLOOKUP(A1471,Hospitalisation_Details__2[],5,FALSE)</f>
        <v>tier - 2</v>
      </c>
      <c r="O1471" t="str">
        <f>VLOOKUP(A1471,Hospitalisation_Details__2[],6,FALSE)</f>
        <v>tier - 1</v>
      </c>
      <c r="P1471" t="str">
        <f>VLOOKUP(A1471,Hospitalisation_Details__2[],7,FALSE)</f>
        <v>R1012</v>
      </c>
    </row>
    <row r="1472" spans="1:16" x14ac:dyDescent="0.35">
      <c r="A1472" t="str">
        <v>Id1471</v>
      </c>
      <c r="B1472" t="str">
        <f>VLOOKUP(A1472,'Customer Names (2)'!A:B, 2,FALSE)</f>
        <v>Mr</v>
      </c>
      <c r="C1472">
        <f>VLOOKUP(A1472,Medical_Examinations[],2,FALSE)</f>
        <v>38.06</v>
      </c>
      <c r="D1472">
        <f>VLOOKUP(A1472,Medical_Examinations[],3,FALSE)</f>
        <v>10.74</v>
      </c>
      <c r="E1472" t="str">
        <f>VLOOKUP(A1472,Medical_Examinations[],4,FALSE)</f>
        <v>No</v>
      </c>
      <c r="F1472" t="str">
        <f>VLOOKUP(A1472,Medical_Examinations[],5,FALSE)</f>
        <v>No</v>
      </c>
      <c r="G1472" t="str">
        <f>VLOOKUP(A1472,Medical_Examinations[],6,FALSE)</f>
        <v>No</v>
      </c>
      <c r="H1472">
        <f>VLOOKUP(A1472,Medical_Examinations[],7,FALSE)</f>
        <v>0</v>
      </c>
      <c r="I1472" t="str">
        <f>VLOOKUP(A1472,Medical_Examinations[],8,FALSE)</f>
        <v>No</v>
      </c>
      <c r="J1472" t="str">
        <f>VLOOKUP(A1472,Medical_Examinations[],9,FALSE)</f>
        <v>Obesity</v>
      </c>
      <c r="K1472" t="str">
        <f>VLOOKUP(A1472,Medical_Examinations[],10,FALSE)</f>
        <v>Diabetes</v>
      </c>
      <c r="M1472">
        <f>VLOOKUP(A1472,Hospitalisation_Details__2[],4,FALSE)</f>
        <v>7152.67</v>
      </c>
      <c r="N1472" t="str">
        <f>VLOOKUP(A1472,Hospitalisation_Details__2[],5,FALSE)</f>
        <v>tier - 3</v>
      </c>
      <c r="O1472" t="str">
        <f>VLOOKUP(A1472,Hospitalisation_Details__2[],6,FALSE)</f>
        <v>tier - 2</v>
      </c>
      <c r="P1472" t="str">
        <f>VLOOKUP(A1472,Hospitalisation_Details__2[],7,FALSE)</f>
        <v>R1013</v>
      </c>
    </row>
    <row r="1473" spans="1:16" x14ac:dyDescent="0.35">
      <c r="A1473" t="str">
        <v>Id1472</v>
      </c>
      <c r="B1473" t="str">
        <f>VLOOKUP(A1473,'Customer Names (2)'!A:B, 2,FALSE)</f>
        <v>Ms</v>
      </c>
      <c r="C1473">
        <f>VLOOKUP(A1473,Medical_Examinations[],2,FALSE)</f>
        <v>28</v>
      </c>
      <c r="D1473">
        <f>VLOOKUP(A1473,Medical_Examinations[],3,FALSE)</f>
        <v>5.19</v>
      </c>
      <c r="E1473" t="str">
        <f>VLOOKUP(A1473,Medical_Examinations[],4,FALSE)</f>
        <v>No</v>
      </c>
      <c r="F1473" t="str">
        <f>VLOOKUP(A1473,Medical_Examinations[],5,FALSE)</f>
        <v>No</v>
      </c>
      <c r="G1473" t="str">
        <f>VLOOKUP(A1473,Medical_Examinations[],6,FALSE)</f>
        <v>No</v>
      </c>
      <c r="H1473">
        <f>VLOOKUP(A1473,Medical_Examinations[],7,FALSE)</f>
        <v>1</v>
      </c>
      <c r="I1473" t="str">
        <f>VLOOKUP(A1473,Medical_Examinations[],8,FALSE)</f>
        <v>No</v>
      </c>
      <c r="J1473" t="str">
        <f>VLOOKUP(A1473,Medical_Examinations[],9,FALSE)</f>
        <v>Overweight</v>
      </c>
      <c r="K1473" t="str">
        <f>VLOOKUP(A1473,Medical_Examinations[],10,FALSE)</f>
        <v>Normal</v>
      </c>
      <c r="M1473">
        <f>VLOOKUP(A1473,Hospitalisation_Details__2[],4,FALSE)</f>
        <v>7151.09</v>
      </c>
      <c r="N1473" t="str">
        <f>VLOOKUP(A1473,Hospitalisation_Details__2[],5,FALSE)</f>
        <v>tier - 2</v>
      </c>
      <c r="O1473" t="str">
        <f>VLOOKUP(A1473,Hospitalisation_Details__2[],6,FALSE)</f>
        <v>tier - 2</v>
      </c>
      <c r="P1473" t="str">
        <f>VLOOKUP(A1473,Hospitalisation_Details__2[],7,FALSE)</f>
        <v>R1011</v>
      </c>
    </row>
    <row r="1474" spans="1:16" x14ac:dyDescent="0.35">
      <c r="A1474" t="str">
        <v>Id1473</v>
      </c>
      <c r="B1474" t="str">
        <f>VLOOKUP(A1474,'Customer Names (2)'!A:B, 2,FALSE)</f>
        <v>Mr</v>
      </c>
      <c r="C1474">
        <f>VLOOKUP(A1474,Medical_Examinations[],2,FALSE)</f>
        <v>34.32</v>
      </c>
      <c r="D1474">
        <f>VLOOKUP(A1474,Medical_Examinations[],3,FALSE)</f>
        <v>9.17</v>
      </c>
      <c r="E1474" t="str">
        <f>VLOOKUP(A1474,Medical_Examinations[],4,FALSE)</f>
        <v>No</v>
      </c>
      <c r="F1474" t="str">
        <f>VLOOKUP(A1474,Medical_Examinations[],5,FALSE)</f>
        <v>No</v>
      </c>
      <c r="G1474" t="str">
        <f>VLOOKUP(A1474,Medical_Examinations[],6,FALSE)</f>
        <v>No</v>
      </c>
      <c r="H1474">
        <f>VLOOKUP(A1474,Medical_Examinations[],7,FALSE)</f>
        <v>0</v>
      </c>
      <c r="I1474" t="str">
        <f>VLOOKUP(A1474,Medical_Examinations[],8,FALSE)</f>
        <v>No</v>
      </c>
      <c r="J1474" t="str">
        <f>VLOOKUP(A1474,Medical_Examinations[],9,FALSE)</f>
        <v>Obesity</v>
      </c>
      <c r="K1474" t="str">
        <f>VLOOKUP(A1474,Medical_Examinations[],10,FALSE)</f>
        <v>Diabetes</v>
      </c>
      <c r="M1474">
        <f>VLOOKUP(A1474,Hospitalisation_Details__2[],4,FALSE)</f>
        <v>7147.47</v>
      </c>
      <c r="N1474" t="str">
        <f>VLOOKUP(A1474,Hospitalisation_Details__2[],5,FALSE)</f>
        <v>tier - 2</v>
      </c>
      <c r="O1474" t="str">
        <f>VLOOKUP(A1474,Hospitalisation_Details__2[],6,FALSE)</f>
        <v>tier - 3</v>
      </c>
      <c r="P1474" t="str">
        <f>VLOOKUP(A1474,Hospitalisation_Details__2[],7,FALSE)</f>
        <v>R1013</v>
      </c>
    </row>
    <row r="1475" spans="1:16" x14ac:dyDescent="0.35">
      <c r="A1475" t="str">
        <v>Id1474</v>
      </c>
      <c r="B1475" t="str">
        <f>VLOOKUP(A1475,'Customer Names (2)'!A:B, 2,FALSE)</f>
        <v>Mr</v>
      </c>
      <c r="C1475">
        <f>VLOOKUP(A1475,Medical_Examinations[],2,FALSE)</f>
        <v>22.3</v>
      </c>
      <c r="D1475">
        <f>VLOOKUP(A1475,Medical_Examinations[],3,FALSE)</f>
        <v>4.95</v>
      </c>
      <c r="E1475" t="str">
        <f>VLOOKUP(A1475,Medical_Examinations[],4,FALSE)</f>
        <v>Yes</v>
      </c>
      <c r="F1475" t="str">
        <f>VLOOKUP(A1475,Medical_Examinations[],5,FALSE)</f>
        <v>No</v>
      </c>
      <c r="G1475" t="str">
        <f>VLOOKUP(A1475,Medical_Examinations[],6,FALSE)</f>
        <v>No</v>
      </c>
      <c r="H1475">
        <f>VLOOKUP(A1475,Medical_Examinations[],7,FALSE)</f>
        <v>0</v>
      </c>
      <c r="I1475" t="str">
        <f>VLOOKUP(A1475,Medical_Examinations[],8,FALSE)</f>
        <v>No</v>
      </c>
      <c r="J1475" t="str">
        <f>VLOOKUP(A1475,Medical_Examinations[],9,FALSE)</f>
        <v>Normal Weight</v>
      </c>
      <c r="K1475" t="str">
        <f>VLOOKUP(A1475,Medical_Examinations[],10,FALSE)</f>
        <v>Normal</v>
      </c>
      <c r="M1475">
        <f>VLOOKUP(A1475,Hospitalisation_Details__2[],4,FALSE)</f>
        <v>7147.11</v>
      </c>
      <c r="N1475" t="str">
        <f>VLOOKUP(A1475,Hospitalisation_Details__2[],5,FALSE)</f>
        <v>tier - 3</v>
      </c>
      <c r="O1475" t="str">
        <f>VLOOKUP(A1475,Hospitalisation_Details__2[],6,FALSE)</f>
        <v>tier - 2</v>
      </c>
      <c r="P1475" t="str">
        <f>VLOOKUP(A1475,Hospitalisation_Details__2[],7,FALSE)</f>
        <v>R1011</v>
      </c>
    </row>
    <row r="1476" spans="1:16" x14ac:dyDescent="0.35">
      <c r="A1476" t="str">
        <v>Id1475</v>
      </c>
      <c r="B1476" t="str">
        <f>VLOOKUP(A1476,'Customer Names (2)'!A:B, 2,FALSE)</f>
        <v>Ms</v>
      </c>
      <c r="C1476">
        <f>VLOOKUP(A1476,Medical_Examinations[],2,FALSE)</f>
        <v>27.835000000000001</v>
      </c>
      <c r="D1476">
        <f>VLOOKUP(A1476,Medical_Examinations[],3,FALSE)</f>
        <v>6.03</v>
      </c>
      <c r="E1476" t="str">
        <f>VLOOKUP(A1476,Medical_Examinations[],4,FALSE)</f>
        <v>No</v>
      </c>
      <c r="F1476" t="str">
        <f>VLOOKUP(A1476,Medical_Examinations[],5,FALSE)</f>
        <v>No</v>
      </c>
      <c r="G1476" t="str">
        <f>VLOOKUP(A1476,Medical_Examinations[],6,FALSE)</f>
        <v>No</v>
      </c>
      <c r="H1476">
        <f>VLOOKUP(A1476,Medical_Examinations[],7,FALSE)</f>
        <v>1</v>
      </c>
      <c r="I1476" t="str">
        <f>VLOOKUP(A1476,Medical_Examinations[],8,FALSE)</f>
        <v>No</v>
      </c>
      <c r="J1476" t="str">
        <f>VLOOKUP(A1476,Medical_Examinations[],9,FALSE)</f>
        <v>Overweight</v>
      </c>
      <c r="K1476" t="str">
        <f>VLOOKUP(A1476,Medical_Examinations[],10,FALSE)</f>
        <v>Prediabetes</v>
      </c>
      <c r="M1476">
        <f>VLOOKUP(A1476,Hospitalisation_Details__2[],4,FALSE)</f>
        <v>7144.86</v>
      </c>
      <c r="N1476" t="str">
        <f>VLOOKUP(A1476,Hospitalisation_Details__2[],5,FALSE)</f>
        <v>tier - 2</v>
      </c>
      <c r="O1476" t="str">
        <f>VLOOKUP(A1476,Hospitalisation_Details__2[],6,FALSE)</f>
        <v>tier - 2</v>
      </c>
      <c r="P1476" t="str">
        <f>VLOOKUP(A1476,Hospitalisation_Details__2[],7,FALSE)</f>
        <v>R1024</v>
      </c>
    </row>
    <row r="1477" spans="1:16" x14ac:dyDescent="0.35">
      <c r="A1477" t="str">
        <v>Id1476</v>
      </c>
      <c r="B1477" t="str">
        <f>VLOOKUP(A1477,'Customer Names (2)'!A:B, 2,FALSE)</f>
        <v>Mr</v>
      </c>
      <c r="C1477">
        <f>VLOOKUP(A1477,Medical_Examinations[],2,FALSE)</f>
        <v>39.229999999999997</v>
      </c>
      <c r="D1477">
        <f>VLOOKUP(A1477,Medical_Examinations[],3,FALSE)</f>
        <v>5.36</v>
      </c>
      <c r="E1477" t="str">
        <f>VLOOKUP(A1477,Medical_Examinations[],4,FALSE)</f>
        <v>No</v>
      </c>
      <c r="F1477" t="str">
        <f>VLOOKUP(A1477,Medical_Examinations[],5,FALSE)</f>
        <v>No</v>
      </c>
      <c r="G1477" t="str">
        <f>VLOOKUP(A1477,Medical_Examinations[],6,FALSE)</f>
        <v>No</v>
      </c>
      <c r="H1477">
        <f>VLOOKUP(A1477,Medical_Examinations[],7,FALSE)</f>
        <v>0</v>
      </c>
      <c r="I1477" t="str">
        <f>VLOOKUP(A1477,Medical_Examinations[],8,FALSE)</f>
        <v>No</v>
      </c>
      <c r="J1477" t="str">
        <f>VLOOKUP(A1477,Medical_Examinations[],9,FALSE)</f>
        <v>Obesity</v>
      </c>
      <c r="K1477" t="str">
        <f>VLOOKUP(A1477,Medical_Examinations[],10,FALSE)</f>
        <v>Normal</v>
      </c>
      <c r="M1477">
        <f>VLOOKUP(A1477,Hospitalisation_Details__2[],4,FALSE)</f>
        <v>7144.4</v>
      </c>
      <c r="N1477" t="str">
        <f>VLOOKUP(A1477,Hospitalisation_Details__2[],5,FALSE)</f>
        <v>tier - 2</v>
      </c>
      <c r="O1477" t="str">
        <f>VLOOKUP(A1477,Hospitalisation_Details__2[],6,FALSE)</f>
        <v>tier - 1</v>
      </c>
      <c r="P1477" t="str">
        <f>VLOOKUP(A1477,Hospitalisation_Details__2[],7,FALSE)</f>
        <v>R1022</v>
      </c>
    </row>
    <row r="1478" spans="1:16" x14ac:dyDescent="0.35">
      <c r="A1478" t="str">
        <v>Id1477</v>
      </c>
      <c r="B1478" t="str">
        <f>VLOOKUP(A1478,'Customer Names (2)'!A:B, 2,FALSE)</f>
        <v>Ms</v>
      </c>
      <c r="C1478">
        <f>VLOOKUP(A1478,Medical_Examinations[],2,FALSE)</f>
        <v>19.95</v>
      </c>
      <c r="D1478">
        <f>VLOOKUP(A1478,Medical_Examinations[],3,FALSE)</f>
        <v>6.11</v>
      </c>
      <c r="E1478" t="str">
        <f>VLOOKUP(A1478,Medical_Examinations[],4,FALSE)</f>
        <v>No</v>
      </c>
      <c r="F1478" t="str">
        <f>VLOOKUP(A1478,Medical_Examinations[],5,FALSE)</f>
        <v>No</v>
      </c>
      <c r="G1478" t="str">
        <f>VLOOKUP(A1478,Medical_Examinations[],6,FALSE)</f>
        <v>No</v>
      </c>
      <c r="H1478">
        <f>VLOOKUP(A1478,Medical_Examinations[],7,FALSE)</f>
        <v>1</v>
      </c>
      <c r="I1478" t="str">
        <f>VLOOKUP(A1478,Medical_Examinations[],8,FALSE)</f>
        <v>No</v>
      </c>
      <c r="J1478" t="str">
        <f>VLOOKUP(A1478,Medical_Examinations[],9,FALSE)</f>
        <v>Normal Weight</v>
      </c>
      <c r="K1478" t="str">
        <f>VLOOKUP(A1478,Medical_Examinations[],10,FALSE)</f>
        <v>Prediabetes</v>
      </c>
      <c r="M1478">
        <f>VLOOKUP(A1478,Hospitalisation_Details__2[],4,FALSE)</f>
        <v>7133.9</v>
      </c>
      <c r="N1478" t="str">
        <f>VLOOKUP(A1478,Hospitalisation_Details__2[],5,FALSE)</f>
        <v>tier - 2</v>
      </c>
      <c r="O1478" t="str">
        <f>VLOOKUP(A1478,Hospitalisation_Details__2[],6,FALSE)</f>
        <v>tier - 1</v>
      </c>
      <c r="P1478" t="str">
        <f>VLOOKUP(A1478,Hospitalisation_Details__2[],7,FALSE)</f>
        <v>R1024</v>
      </c>
    </row>
    <row r="1479" spans="1:16" x14ac:dyDescent="0.35">
      <c r="A1479" t="str">
        <v>Id1478</v>
      </c>
      <c r="B1479" t="str">
        <f>VLOOKUP(A1479,'Customer Names (2)'!A:B, 2,FALSE)</f>
        <v>Mr</v>
      </c>
      <c r="C1479">
        <f>VLOOKUP(A1479,Medical_Examinations[],2,FALSE)</f>
        <v>34.64</v>
      </c>
      <c r="D1479">
        <f>VLOOKUP(A1479,Medical_Examinations[],3,FALSE)</f>
        <v>4.88</v>
      </c>
      <c r="E1479" t="str">
        <f>VLOOKUP(A1479,Medical_Examinations[],4,FALSE)</f>
        <v>No</v>
      </c>
      <c r="F1479" t="str">
        <f>VLOOKUP(A1479,Medical_Examinations[],5,FALSE)</f>
        <v>No</v>
      </c>
      <c r="G1479" t="str">
        <f>VLOOKUP(A1479,Medical_Examinations[],6,FALSE)</f>
        <v>Yes</v>
      </c>
      <c r="H1479">
        <f>VLOOKUP(A1479,Medical_Examinations[],7,FALSE)</f>
        <v>1</v>
      </c>
      <c r="I1479" t="str">
        <f>VLOOKUP(A1479,Medical_Examinations[],8,FALSE)</f>
        <v>No</v>
      </c>
      <c r="J1479" t="str">
        <f>VLOOKUP(A1479,Medical_Examinations[],9,FALSE)</f>
        <v>Obesity</v>
      </c>
      <c r="K1479" t="str">
        <f>VLOOKUP(A1479,Medical_Examinations[],10,FALSE)</f>
        <v>Normal</v>
      </c>
      <c r="M1479">
        <f>VLOOKUP(A1479,Hospitalisation_Details__2[],4,FALSE)</f>
        <v>7128.64</v>
      </c>
      <c r="N1479" t="str">
        <f>VLOOKUP(A1479,Hospitalisation_Details__2[],5,FALSE)</f>
        <v>tier - 2</v>
      </c>
      <c r="O1479" t="str">
        <f>VLOOKUP(A1479,Hospitalisation_Details__2[],6,FALSE)</f>
        <v>tier - 2</v>
      </c>
      <c r="P1479" t="str">
        <f>VLOOKUP(A1479,Hospitalisation_Details__2[],7,FALSE)</f>
        <v>R1021</v>
      </c>
    </row>
    <row r="1480" spans="1:16" x14ac:dyDescent="0.35">
      <c r="A1480" t="str">
        <v>Id1479</v>
      </c>
      <c r="B1480" t="str">
        <f>VLOOKUP(A1480,'Customer Names (2)'!A:B, 2,FALSE)</f>
        <v>Mr</v>
      </c>
      <c r="C1480">
        <f>VLOOKUP(A1480,Medical_Examinations[],2,FALSE)</f>
        <v>18.75</v>
      </c>
      <c r="D1480">
        <f>VLOOKUP(A1480,Medical_Examinations[],3,FALSE)</f>
        <v>6.72</v>
      </c>
      <c r="E1480" t="str">
        <f>VLOOKUP(A1480,Medical_Examinations[],4,FALSE)</f>
        <v>No</v>
      </c>
      <c r="F1480" t="str">
        <f>VLOOKUP(A1480,Medical_Examinations[],5,FALSE)</f>
        <v>No</v>
      </c>
      <c r="G1480" t="str">
        <f>VLOOKUP(A1480,Medical_Examinations[],6,FALSE)</f>
        <v>No</v>
      </c>
      <c r="H1480">
        <f>VLOOKUP(A1480,Medical_Examinations[],7,FALSE)</f>
        <v>0</v>
      </c>
      <c r="I1480" t="str">
        <f>VLOOKUP(A1480,Medical_Examinations[],8,FALSE)</f>
        <v>No</v>
      </c>
      <c r="J1480" t="str">
        <f>VLOOKUP(A1480,Medical_Examinations[],9,FALSE)</f>
        <v>Normal Weight</v>
      </c>
      <c r="K1480" t="str">
        <f>VLOOKUP(A1480,Medical_Examinations[],10,FALSE)</f>
        <v>Diabetes</v>
      </c>
      <c r="M1480">
        <f>VLOOKUP(A1480,Hospitalisation_Details__2[],4,FALSE)</f>
        <v>7125.25</v>
      </c>
      <c r="N1480" t="str">
        <f>VLOOKUP(A1480,Hospitalisation_Details__2[],5,FALSE)</f>
        <v>tier - 3</v>
      </c>
      <c r="O1480" t="str">
        <f>VLOOKUP(A1480,Hospitalisation_Details__2[],6,FALSE)</f>
        <v>tier - 2</v>
      </c>
      <c r="P1480" t="str">
        <f>VLOOKUP(A1480,Hospitalisation_Details__2[],7,FALSE)</f>
        <v>R1013</v>
      </c>
    </row>
    <row r="1481" spans="1:16" x14ac:dyDescent="0.35">
      <c r="A1481" t="str">
        <v>Id1480</v>
      </c>
      <c r="B1481" t="str">
        <f>VLOOKUP(A1481,'Customer Names (2)'!A:B, 2,FALSE)</f>
        <v>Ms</v>
      </c>
      <c r="C1481">
        <f>VLOOKUP(A1481,Medical_Examinations[],2,FALSE)</f>
        <v>26.48</v>
      </c>
      <c r="D1481">
        <f>VLOOKUP(A1481,Medical_Examinations[],3,FALSE)</f>
        <v>4.2</v>
      </c>
      <c r="E1481" t="str">
        <f>VLOOKUP(A1481,Medical_Examinations[],4,FALSE)</f>
        <v>No</v>
      </c>
      <c r="F1481" t="str">
        <f>VLOOKUP(A1481,Medical_Examinations[],5,FALSE)</f>
        <v>No</v>
      </c>
      <c r="G1481" t="str">
        <f>VLOOKUP(A1481,Medical_Examinations[],6,FALSE)</f>
        <v>No</v>
      </c>
      <c r="H1481">
        <f>VLOOKUP(A1481,Medical_Examinations[],7,FALSE)</f>
        <v>1</v>
      </c>
      <c r="I1481" t="str">
        <f>VLOOKUP(A1481,Medical_Examinations[],8,FALSE)</f>
        <v>No</v>
      </c>
      <c r="J1481" t="str">
        <f>VLOOKUP(A1481,Medical_Examinations[],9,FALSE)</f>
        <v>Overweight</v>
      </c>
      <c r="K1481" t="str">
        <f>VLOOKUP(A1481,Medical_Examinations[],10,FALSE)</f>
        <v>Normal</v>
      </c>
      <c r="M1481">
        <f>VLOOKUP(A1481,Hospitalisation_Details__2[],4,FALSE)</f>
        <v>7106.81</v>
      </c>
      <c r="N1481" t="str">
        <f>VLOOKUP(A1481,Hospitalisation_Details__2[],5,FALSE)</f>
        <v>tier - 2</v>
      </c>
      <c r="O1481" t="str">
        <f>VLOOKUP(A1481,Hospitalisation_Details__2[],6,FALSE)</f>
        <v>tier - 1</v>
      </c>
      <c r="P1481" t="str">
        <f>VLOOKUP(A1481,Hospitalisation_Details__2[],7,FALSE)</f>
        <v>R1012</v>
      </c>
    </row>
    <row r="1482" spans="1:16" x14ac:dyDescent="0.35">
      <c r="A1482" t="str">
        <v>Id1481</v>
      </c>
      <c r="B1482" t="str">
        <f>VLOOKUP(A1482,'Customer Names (2)'!A:B, 2,FALSE)</f>
        <v>Mr</v>
      </c>
      <c r="C1482">
        <f>VLOOKUP(A1482,Medical_Examinations[],2,FALSE)</f>
        <v>34.83</v>
      </c>
      <c r="D1482">
        <f>VLOOKUP(A1482,Medical_Examinations[],3,FALSE)</f>
        <v>5.79</v>
      </c>
      <c r="E1482" t="str">
        <f>VLOOKUP(A1482,Medical_Examinations[],4,FALSE)</f>
        <v>No</v>
      </c>
      <c r="F1482" t="str">
        <f>VLOOKUP(A1482,Medical_Examinations[],5,FALSE)</f>
        <v>No</v>
      </c>
      <c r="G1482" t="str">
        <f>VLOOKUP(A1482,Medical_Examinations[],6,FALSE)</f>
        <v>No</v>
      </c>
      <c r="H1482">
        <f>VLOOKUP(A1482,Medical_Examinations[],7,FALSE)</f>
        <v>1</v>
      </c>
      <c r="I1482" t="str">
        <f>VLOOKUP(A1482,Medical_Examinations[],8,FALSE)</f>
        <v>No</v>
      </c>
      <c r="J1482" t="str">
        <f>VLOOKUP(A1482,Medical_Examinations[],9,FALSE)</f>
        <v>Obesity</v>
      </c>
      <c r="K1482" t="str">
        <f>VLOOKUP(A1482,Medical_Examinations[],10,FALSE)</f>
        <v>Prediabetes</v>
      </c>
      <c r="M1482">
        <f>VLOOKUP(A1482,Hospitalisation_Details__2[],4,FALSE)</f>
        <v>7096.98</v>
      </c>
      <c r="N1482" t="str">
        <f>VLOOKUP(A1482,Hospitalisation_Details__2[],5,FALSE)</f>
        <v>tier - 2</v>
      </c>
      <c r="O1482" t="str">
        <f>VLOOKUP(A1482,Hospitalisation_Details__2[],6,FALSE)</f>
        <v>tier - 2</v>
      </c>
      <c r="P1482" t="str">
        <f>VLOOKUP(A1482,Hospitalisation_Details__2[],7,FALSE)</f>
        <v>R1012</v>
      </c>
    </row>
    <row r="1483" spans="1:16" x14ac:dyDescent="0.35">
      <c r="A1483" t="str">
        <v>Id1482</v>
      </c>
      <c r="B1483" t="str">
        <f>VLOOKUP(A1483,'Customer Names (2)'!A:B, 2,FALSE)</f>
        <v>Ms</v>
      </c>
      <c r="C1483">
        <f>VLOOKUP(A1483,Medical_Examinations[],2,FALSE)</f>
        <v>25.46</v>
      </c>
      <c r="D1483">
        <f>VLOOKUP(A1483,Medical_Examinations[],3,FALSE)</f>
        <v>4.29</v>
      </c>
      <c r="E1483" t="str">
        <f>VLOOKUP(A1483,Medical_Examinations[],4,FALSE)</f>
        <v>No</v>
      </c>
      <c r="F1483" t="str">
        <f>VLOOKUP(A1483,Medical_Examinations[],5,FALSE)</f>
        <v>No</v>
      </c>
      <c r="G1483" t="str">
        <f>VLOOKUP(A1483,Medical_Examinations[],6,FALSE)</f>
        <v>No</v>
      </c>
      <c r="H1483">
        <f>VLOOKUP(A1483,Medical_Examinations[],7,FALSE)</f>
        <v>0</v>
      </c>
      <c r="I1483" t="str">
        <f>VLOOKUP(A1483,Medical_Examinations[],8,FALSE)</f>
        <v>No</v>
      </c>
      <c r="J1483" t="str">
        <f>VLOOKUP(A1483,Medical_Examinations[],9,FALSE)</f>
        <v>Overweight</v>
      </c>
      <c r="K1483" t="str">
        <f>VLOOKUP(A1483,Medical_Examinations[],10,FALSE)</f>
        <v>Normal</v>
      </c>
      <c r="M1483">
        <f>VLOOKUP(A1483,Hospitalisation_Details__2[],4,FALSE)</f>
        <v>7077.19</v>
      </c>
      <c r="N1483" t="str">
        <f>VLOOKUP(A1483,Hospitalisation_Details__2[],5,FALSE)</f>
        <v>tier - 2</v>
      </c>
      <c r="O1483" t="str">
        <f>VLOOKUP(A1483,Hospitalisation_Details__2[],6,FALSE)</f>
        <v>tier - 3</v>
      </c>
      <c r="P1483" t="str">
        <f>VLOOKUP(A1483,Hospitalisation_Details__2[],7,FALSE)</f>
        <v>R1024</v>
      </c>
    </row>
    <row r="1484" spans="1:16" x14ac:dyDescent="0.35">
      <c r="A1484" t="str">
        <v>Id1483</v>
      </c>
      <c r="B1484" t="str">
        <f>VLOOKUP(A1484,'Customer Names (2)'!A:B, 2,FALSE)</f>
        <v>Mr</v>
      </c>
      <c r="C1484">
        <f>VLOOKUP(A1484,Medical_Examinations[],2,FALSE)</f>
        <v>23.31</v>
      </c>
      <c r="D1484">
        <f>VLOOKUP(A1484,Medical_Examinations[],3,FALSE)</f>
        <v>8.27</v>
      </c>
      <c r="E1484" t="str">
        <f>VLOOKUP(A1484,Medical_Examinations[],4,FALSE)</f>
        <v>No</v>
      </c>
      <c r="F1484" t="str">
        <f>VLOOKUP(A1484,Medical_Examinations[],5,FALSE)</f>
        <v>No</v>
      </c>
      <c r="G1484" t="str">
        <f>VLOOKUP(A1484,Medical_Examinations[],6,FALSE)</f>
        <v>No</v>
      </c>
      <c r="H1484">
        <f>VLOOKUP(A1484,Medical_Examinations[],7,FALSE)</f>
        <v>0</v>
      </c>
      <c r="I1484" t="str">
        <f>VLOOKUP(A1484,Medical_Examinations[],8,FALSE)</f>
        <v>No</v>
      </c>
      <c r="J1484" t="str">
        <f>VLOOKUP(A1484,Medical_Examinations[],9,FALSE)</f>
        <v>Normal Weight</v>
      </c>
      <c r="K1484" t="str">
        <f>VLOOKUP(A1484,Medical_Examinations[],10,FALSE)</f>
        <v>Diabetes</v>
      </c>
      <c r="M1484">
        <f>VLOOKUP(A1484,Hospitalisation_Details__2[],4,FALSE)</f>
        <v>7054.41</v>
      </c>
      <c r="N1484" t="str">
        <f>VLOOKUP(A1484,Hospitalisation_Details__2[],5,FALSE)</f>
        <v>tier - 2</v>
      </c>
      <c r="O1484" t="str">
        <f>VLOOKUP(A1484,Hospitalisation_Details__2[],6,FALSE)</f>
        <v>tier - 2</v>
      </c>
      <c r="P1484" t="str">
        <f>VLOOKUP(A1484,Hospitalisation_Details__2[],7,FALSE)</f>
        <v>R1013</v>
      </c>
    </row>
    <row r="1485" spans="1:16" x14ac:dyDescent="0.35">
      <c r="A1485" t="str">
        <v>Id1484</v>
      </c>
      <c r="B1485" t="str">
        <f>VLOOKUP(A1485,'Customer Names (2)'!A:B, 2,FALSE)</f>
        <v>Ms</v>
      </c>
      <c r="C1485">
        <f>VLOOKUP(A1485,Medical_Examinations[],2,FALSE)</f>
        <v>29</v>
      </c>
      <c r="D1485">
        <f>VLOOKUP(A1485,Medical_Examinations[],3,FALSE)</f>
        <v>4.5599999999999996</v>
      </c>
      <c r="E1485" t="str">
        <f>VLOOKUP(A1485,Medical_Examinations[],4,FALSE)</f>
        <v>No</v>
      </c>
      <c r="F1485" t="str">
        <f>VLOOKUP(A1485,Medical_Examinations[],5,FALSE)</f>
        <v>No</v>
      </c>
      <c r="G1485" t="str">
        <f>VLOOKUP(A1485,Medical_Examinations[],6,FALSE)</f>
        <v>No</v>
      </c>
      <c r="H1485">
        <f>VLOOKUP(A1485,Medical_Examinations[],7,FALSE)</f>
        <v>0</v>
      </c>
      <c r="I1485" t="str">
        <f>VLOOKUP(A1485,Medical_Examinations[],8,FALSE)</f>
        <v>No</v>
      </c>
      <c r="J1485" t="str">
        <f>VLOOKUP(A1485,Medical_Examinations[],9,FALSE)</f>
        <v>Overweight</v>
      </c>
      <c r="K1485" t="str">
        <f>VLOOKUP(A1485,Medical_Examinations[],10,FALSE)</f>
        <v>Normal</v>
      </c>
      <c r="M1485">
        <f>VLOOKUP(A1485,Hospitalisation_Details__2[],4,FALSE)</f>
        <v>7050.64</v>
      </c>
      <c r="N1485" t="str">
        <f>VLOOKUP(A1485,Hospitalisation_Details__2[],5,FALSE)</f>
        <v>tier - 2</v>
      </c>
      <c r="O1485" t="str">
        <f>VLOOKUP(A1485,Hospitalisation_Details__2[],6,FALSE)</f>
        <v>tier - 3</v>
      </c>
      <c r="P1485" t="str">
        <f>VLOOKUP(A1485,Hospitalisation_Details__2[],7,FALSE)</f>
        <v>R1011</v>
      </c>
    </row>
    <row r="1486" spans="1:16" x14ac:dyDescent="0.35">
      <c r="A1486" t="str">
        <v>Id1485</v>
      </c>
      <c r="B1486" t="str">
        <f>VLOOKUP(A1486,'Customer Names (2)'!A:B, 2,FALSE)</f>
        <v>Ms</v>
      </c>
      <c r="C1486">
        <f>VLOOKUP(A1486,Medical_Examinations[],2,FALSE)</f>
        <v>32.869999999999997</v>
      </c>
      <c r="D1486">
        <f>VLOOKUP(A1486,Medical_Examinations[],3,FALSE)</f>
        <v>5.33</v>
      </c>
      <c r="E1486" t="str">
        <f>VLOOKUP(A1486,Medical_Examinations[],4,FALSE)</f>
        <v>No</v>
      </c>
      <c r="F1486" t="str">
        <f>VLOOKUP(A1486,Medical_Examinations[],5,FALSE)</f>
        <v>No</v>
      </c>
      <c r="G1486" t="str">
        <f>VLOOKUP(A1486,Medical_Examinations[],6,FALSE)</f>
        <v>No</v>
      </c>
      <c r="H1486">
        <f>VLOOKUP(A1486,Medical_Examinations[],7,FALSE)</f>
        <v>0</v>
      </c>
      <c r="I1486" t="str">
        <f>VLOOKUP(A1486,Medical_Examinations[],8,FALSE)</f>
        <v>No</v>
      </c>
      <c r="J1486" t="str">
        <f>VLOOKUP(A1486,Medical_Examinations[],9,FALSE)</f>
        <v>Obesity</v>
      </c>
      <c r="K1486" t="str">
        <f>VLOOKUP(A1486,Medical_Examinations[],10,FALSE)</f>
        <v>Normal</v>
      </c>
      <c r="M1486">
        <f>VLOOKUP(A1486,Hospitalisation_Details__2[],4,FALSE)</f>
        <v>7050.02</v>
      </c>
      <c r="N1486" t="str">
        <f>VLOOKUP(A1486,Hospitalisation_Details__2[],5,FALSE)</f>
        <v>tier - 2</v>
      </c>
      <c r="O1486" t="str">
        <f>VLOOKUP(A1486,Hospitalisation_Details__2[],6,FALSE)</f>
        <v>tier - 1</v>
      </c>
      <c r="P1486" t="str">
        <f>VLOOKUP(A1486,Hospitalisation_Details__2[],7,FALSE)</f>
        <v>R1024</v>
      </c>
    </row>
    <row r="1487" spans="1:16" x14ac:dyDescent="0.35">
      <c r="A1487" t="str">
        <v>Id1486</v>
      </c>
      <c r="B1487" t="str">
        <f>VLOOKUP(A1487,'Customer Names (2)'!A:B, 2,FALSE)</f>
        <v>Ms</v>
      </c>
      <c r="C1487">
        <f>VLOOKUP(A1487,Medical_Examinations[],2,FALSE)</f>
        <v>26.18</v>
      </c>
      <c r="D1487">
        <f>VLOOKUP(A1487,Medical_Examinations[],3,FALSE)</f>
        <v>5.63</v>
      </c>
      <c r="E1487" t="str">
        <f>VLOOKUP(A1487,Medical_Examinations[],4,FALSE)</f>
        <v>No</v>
      </c>
      <c r="F1487" t="str">
        <f>VLOOKUP(A1487,Medical_Examinations[],5,FALSE)</f>
        <v>No</v>
      </c>
      <c r="G1487" t="str">
        <f>VLOOKUP(A1487,Medical_Examinations[],6,FALSE)</f>
        <v>No</v>
      </c>
      <c r="H1487">
        <f>VLOOKUP(A1487,Medical_Examinations[],7,FALSE)</f>
        <v>0</v>
      </c>
      <c r="I1487" t="str">
        <f>VLOOKUP(A1487,Medical_Examinations[],8,FALSE)</f>
        <v>No</v>
      </c>
      <c r="J1487" t="str">
        <f>VLOOKUP(A1487,Medical_Examinations[],9,FALSE)</f>
        <v>Overweight</v>
      </c>
      <c r="K1487" t="str">
        <f>VLOOKUP(A1487,Medical_Examinations[],10,FALSE)</f>
        <v>Normal</v>
      </c>
      <c r="M1487">
        <f>VLOOKUP(A1487,Hospitalisation_Details__2[],4,FALSE)</f>
        <v>7046.72</v>
      </c>
      <c r="N1487" t="str">
        <f>VLOOKUP(A1487,Hospitalisation_Details__2[],5,FALSE)</f>
        <v>tier - 2</v>
      </c>
      <c r="O1487" t="str">
        <f>VLOOKUP(A1487,Hospitalisation_Details__2[],6,FALSE)</f>
        <v>tier - 3</v>
      </c>
      <c r="P1487" t="str">
        <f>VLOOKUP(A1487,Hospitalisation_Details__2[],7,FALSE)</f>
        <v>R1013</v>
      </c>
    </row>
    <row r="1488" spans="1:16" x14ac:dyDescent="0.35">
      <c r="A1488" t="str">
        <v>Id1487</v>
      </c>
      <c r="B1488" t="str">
        <f>VLOOKUP(A1488,'Customer Names (2)'!A:B, 2,FALSE)</f>
        <v>Ms</v>
      </c>
      <c r="C1488">
        <f>VLOOKUP(A1488,Medical_Examinations[],2,FALSE)</f>
        <v>25.3</v>
      </c>
      <c r="D1488">
        <f>VLOOKUP(A1488,Medical_Examinations[],3,FALSE)</f>
        <v>5.12</v>
      </c>
      <c r="E1488" t="str">
        <f>VLOOKUP(A1488,Medical_Examinations[],4,FALSE)</f>
        <v>No</v>
      </c>
      <c r="F1488" t="str">
        <f>VLOOKUP(A1488,Medical_Examinations[],5,FALSE)</f>
        <v>No</v>
      </c>
      <c r="G1488" t="str">
        <f>VLOOKUP(A1488,Medical_Examinations[],6,FALSE)</f>
        <v>No</v>
      </c>
      <c r="H1488">
        <f>VLOOKUP(A1488,Medical_Examinations[],7,FALSE)</f>
        <v>0</v>
      </c>
      <c r="I1488" t="str">
        <f>VLOOKUP(A1488,Medical_Examinations[],8,FALSE)</f>
        <v>No</v>
      </c>
      <c r="J1488" t="str">
        <f>VLOOKUP(A1488,Medical_Examinations[],9,FALSE)</f>
        <v>Overweight</v>
      </c>
      <c r="K1488" t="str">
        <f>VLOOKUP(A1488,Medical_Examinations[],10,FALSE)</f>
        <v>Normal</v>
      </c>
      <c r="M1488">
        <f>VLOOKUP(A1488,Hospitalisation_Details__2[],4,FALSE)</f>
        <v>7045.5</v>
      </c>
      <c r="N1488" t="str">
        <f>VLOOKUP(A1488,Hospitalisation_Details__2[],5,FALSE)</f>
        <v>tier - 2</v>
      </c>
      <c r="O1488" t="str">
        <f>VLOOKUP(A1488,Hospitalisation_Details__2[],6,FALSE)</f>
        <v>tier - 1</v>
      </c>
      <c r="P1488" t="str">
        <f>VLOOKUP(A1488,Hospitalisation_Details__2[],7,FALSE)</f>
        <v>R1011</v>
      </c>
    </row>
    <row r="1489" spans="1:16" x14ac:dyDescent="0.35">
      <c r="A1489" t="str">
        <v>Id1488</v>
      </c>
      <c r="B1489" t="str">
        <f>VLOOKUP(A1489,'Customer Names (2)'!A:B, 2,FALSE)</f>
        <v>Mr</v>
      </c>
      <c r="C1489">
        <f>VLOOKUP(A1489,Medical_Examinations[],2,FALSE)</f>
        <v>36.94</v>
      </c>
      <c r="D1489">
        <f>VLOOKUP(A1489,Medical_Examinations[],3,FALSE)</f>
        <v>5.15</v>
      </c>
      <c r="E1489" t="str">
        <f>VLOOKUP(A1489,Medical_Examinations[],4,FALSE)</f>
        <v>Yes</v>
      </c>
      <c r="F1489" t="str">
        <f>VLOOKUP(A1489,Medical_Examinations[],5,FALSE)</f>
        <v>No</v>
      </c>
      <c r="G1489" t="str">
        <f>VLOOKUP(A1489,Medical_Examinations[],6,FALSE)</f>
        <v>No</v>
      </c>
      <c r="H1489">
        <f>VLOOKUP(A1489,Medical_Examinations[],7,FALSE)</f>
        <v>1</v>
      </c>
      <c r="I1489" t="str">
        <f>VLOOKUP(A1489,Medical_Examinations[],8,FALSE)</f>
        <v>No</v>
      </c>
      <c r="J1489" t="str">
        <f>VLOOKUP(A1489,Medical_Examinations[],9,FALSE)</f>
        <v>Obesity</v>
      </c>
      <c r="K1489" t="str">
        <f>VLOOKUP(A1489,Medical_Examinations[],10,FALSE)</f>
        <v>Normal</v>
      </c>
      <c r="M1489">
        <f>VLOOKUP(A1489,Hospitalisation_Details__2[],4,FALSE)</f>
        <v>7042.11</v>
      </c>
      <c r="N1489" t="str">
        <f>VLOOKUP(A1489,Hospitalisation_Details__2[],5,FALSE)</f>
        <v>tier - 2</v>
      </c>
      <c r="O1489" t="str">
        <f>VLOOKUP(A1489,Hospitalisation_Details__2[],6,FALSE)</f>
        <v>tier - 3</v>
      </c>
      <c r="P1489" t="str">
        <f>VLOOKUP(A1489,Hospitalisation_Details__2[],7,FALSE)</f>
        <v>R1012</v>
      </c>
    </row>
    <row r="1490" spans="1:16" x14ac:dyDescent="0.35">
      <c r="A1490" t="str">
        <v>Id1489</v>
      </c>
      <c r="B1490" t="str">
        <f>VLOOKUP(A1490,'Customer Names (2)'!A:B, 2,FALSE)</f>
        <v>Ms</v>
      </c>
      <c r="C1490">
        <f>VLOOKUP(A1490,Medical_Examinations[],2,FALSE)</f>
        <v>22.86</v>
      </c>
      <c r="D1490">
        <f>VLOOKUP(A1490,Medical_Examinations[],3,FALSE)</f>
        <v>7.5</v>
      </c>
      <c r="E1490" t="str">
        <f>VLOOKUP(A1490,Medical_Examinations[],4,FALSE)</f>
        <v>No</v>
      </c>
      <c r="F1490" t="str">
        <f>VLOOKUP(A1490,Medical_Examinations[],5,FALSE)</f>
        <v>No</v>
      </c>
      <c r="G1490" t="str">
        <f>VLOOKUP(A1490,Medical_Examinations[],6,FALSE)</f>
        <v>No</v>
      </c>
      <c r="H1490">
        <f>VLOOKUP(A1490,Medical_Examinations[],7,FALSE)</f>
        <v>0</v>
      </c>
      <c r="I1490" t="str">
        <f>VLOOKUP(A1490,Medical_Examinations[],8,FALSE)</f>
        <v>No</v>
      </c>
      <c r="J1490" t="str">
        <f>VLOOKUP(A1490,Medical_Examinations[],9,FALSE)</f>
        <v>Normal Weight</v>
      </c>
      <c r="K1490" t="str">
        <f>VLOOKUP(A1490,Medical_Examinations[],10,FALSE)</f>
        <v>Diabetes</v>
      </c>
      <c r="M1490">
        <f>VLOOKUP(A1490,Hospitalisation_Details__2[],4,FALSE)</f>
        <v>7033.08</v>
      </c>
      <c r="N1490" t="str">
        <f>VLOOKUP(A1490,Hospitalisation_Details__2[],5,FALSE)</f>
        <v>tier - 2</v>
      </c>
      <c r="O1490" t="str">
        <f>VLOOKUP(A1490,Hospitalisation_Details__2[],6,FALSE)</f>
        <v>tier - 2</v>
      </c>
      <c r="P1490" t="str">
        <f>VLOOKUP(A1490,Hospitalisation_Details__2[],7,FALSE)</f>
        <v>R1013</v>
      </c>
    </row>
    <row r="1491" spans="1:16" x14ac:dyDescent="0.35">
      <c r="A1491" t="str">
        <v>Id1490</v>
      </c>
      <c r="B1491" t="str">
        <f>VLOOKUP(A1491,'Customer Names (2)'!A:B, 2,FALSE)</f>
        <v>Ms</v>
      </c>
      <c r="C1491">
        <f>VLOOKUP(A1491,Medical_Examinations[],2,FALSE)</f>
        <v>18.760000000000002</v>
      </c>
      <c r="D1491">
        <f>VLOOKUP(A1491,Medical_Examinations[],3,FALSE)</f>
        <v>4.88</v>
      </c>
      <c r="E1491" t="str">
        <f>VLOOKUP(A1491,Medical_Examinations[],4,FALSE)</f>
        <v>Yes</v>
      </c>
      <c r="F1491" t="str">
        <f>VLOOKUP(A1491,Medical_Examinations[],5,FALSE)</f>
        <v>No</v>
      </c>
      <c r="G1491" t="str">
        <f>VLOOKUP(A1491,Medical_Examinations[],6,FALSE)</f>
        <v>Yes</v>
      </c>
      <c r="H1491">
        <f>VLOOKUP(A1491,Medical_Examinations[],7,FALSE)</f>
        <v>1</v>
      </c>
      <c r="I1491" t="str">
        <f>VLOOKUP(A1491,Medical_Examinations[],8,FALSE)</f>
        <v>No</v>
      </c>
      <c r="J1491" t="str">
        <f>VLOOKUP(A1491,Medical_Examinations[],9,FALSE)</f>
        <v>Normal Weight</v>
      </c>
      <c r="K1491" t="str">
        <f>VLOOKUP(A1491,Medical_Examinations[],10,FALSE)</f>
        <v>Normal</v>
      </c>
      <c r="M1491">
        <f>VLOOKUP(A1491,Hospitalisation_Details__2[],4,FALSE)</f>
        <v>7003.1</v>
      </c>
      <c r="N1491" t="str">
        <f>VLOOKUP(A1491,Hospitalisation_Details__2[],5,FALSE)</f>
        <v>tier - 2</v>
      </c>
      <c r="O1491" t="str">
        <f>VLOOKUP(A1491,Hospitalisation_Details__2[],6,FALSE)</f>
        <v>tier - 3</v>
      </c>
      <c r="P1491" t="str">
        <f>VLOOKUP(A1491,Hospitalisation_Details__2[],7,FALSE)</f>
        <v>R1013</v>
      </c>
    </row>
    <row r="1492" spans="1:16" x14ac:dyDescent="0.35">
      <c r="A1492" t="str">
        <v>Id1491</v>
      </c>
      <c r="B1492" t="str">
        <f>VLOOKUP(A1492,'Customer Names (2)'!A:B, 2,FALSE)</f>
        <v>Ms</v>
      </c>
      <c r="C1492">
        <f>VLOOKUP(A1492,Medical_Examinations[],2,FALSE)</f>
        <v>24.36</v>
      </c>
      <c r="D1492">
        <f>VLOOKUP(A1492,Medical_Examinations[],3,FALSE)</f>
        <v>5.57</v>
      </c>
      <c r="E1492" t="str">
        <f>VLOOKUP(A1492,Medical_Examinations[],4,FALSE)</f>
        <v>No</v>
      </c>
      <c r="F1492" t="str">
        <f>VLOOKUP(A1492,Medical_Examinations[],5,FALSE)</f>
        <v>No</v>
      </c>
      <c r="G1492" t="str">
        <f>VLOOKUP(A1492,Medical_Examinations[],6,FALSE)</f>
        <v>No</v>
      </c>
      <c r="H1492">
        <f>VLOOKUP(A1492,Medical_Examinations[],7,FALSE)</f>
        <v>0</v>
      </c>
      <c r="I1492" t="str">
        <f>VLOOKUP(A1492,Medical_Examinations[],8,FALSE)</f>
        <v>No</v>
      </c>
      <c r="J1492" t="str">
        <f>VLOOKUP(A1492,Medical_Examinations[],9,FALSE)</f>
        <v>Normal Weight</v>
      </c>
      <c r="K1492" t="str">
        <f>VLOOKUP(A1492,Medical_Examinations[],10,FALSE)</f>
        <v>Normal</v>
      </c>
      <c r="M1492">
        <f>VLOOKUP(A1492,Hospitalisation_Details__2[],4,FALSE)</f>
        <v>6989.95</v>
      </c>
      <c r="N1492" t="str">
        <f>VLOOKUP(A1492,Hospitalisation_Details__2[],5,FALSE)</f>
        <v>tier - 2</v>
      </c>
      <c r="O1492" t="str">
        <f>VLOOKUP(A1492,Hospitalisation_Details__2[],6,FALSE)</f>
        <v>tier - 1</v>
      </c>
      <c r="P1492" t="str">
        <f>VLOOKUP(A1492,Hospitalisation_Details__2[],7,FALSE)</f>
        <v>R1013</v>
      </c>
    </row>
    <row r="1493" spans="1:16" x14ac:dyDescent="0.35">
      <c r="A1493" t="str">
        <v>Id1492</v>
      </c>
      <c r="B1493" t="str">
        <f>VLOOKUP(A1493,'Customer Names (2)'!A:B, 2,FALSE)</f>
        <v>Mr</v>
      </c>
      <c r="C1493">
        <f>VLOOKUP(A1493,Medical_Examinations[],2,FALSE)</f>
        <v>32.299999999999997</v>
      </c>
      <c r="D1493">
        <f>VLOOKUP(A1493,Medical_Examinations[],3,FALSE)</f>
        <v>5.31</v>
      </c>
      <c r="E1493" t="str">
        <f>VLOOKUP(A1493,Medical_Examinations[],4,FALSE)</f>
        <v>No</v>
      </c>
      <c r="F1493" t="str">
        <f>VLOOKUP(A1493,Medical_Examinations[],5,FALSE)</f>
        <v>No</v>
      </c>
      <c r="G1493" t="str">
        <f>VLOOKUP(A1493,Medical_Examinations[],6,FALSE)</f>
        <v>No</v>
      </c>
      <c r="H1493">
        <f>VLOOKUP(A1493,Medical_Examinations[],7,FALSE)</f>
        <v>0</v>
      </c>
      <c r="I1493" t="str">
        <f>VLOOKUP(A1493,Medical_Examinations[],8,FALSE)</f>
        <v>No</v>
      </c>
      <c r="J1493" t="str">
        <f>VLOOKUP(A1493,Medical_Examinations[],9,FALSE)</f>
        <v>Obesity</v>
      </c>
      <c r="K1493" t="str">
        <f>VLOOKUP(A1493,Medical_Examinations[],10,FALSE)</f>
        <v>Normal</v>
      </c>
      <c r="M1493">
        <f>VLOOKUP(A1493,Hospitalisation_Details__2[],4,FALSE)</f>
        <v>6986.7</v>
      </c>
      <c r="N1493" t="str">
        <f>VLOOKUP(A1493,Hospitalisation_Details__2[],5,FALSE)</f>
        <v>tier - 3</v>
      </c>
      <c r="O1493" t="str">
        <f>VLOOKUP(A1493,Hospitalisation_Details__2[],6,FALSE)</f>
        <v>tier - 1</v>
      </c>
      <c r="P1493" t="str">
        <f>VLOOKUP(A1493,Hospitalisation_Details__2[],7,FALSE)</f>
        <v>R1012</v>
      </c>
    </row>
    <row r="1494" spans="1:16" x14ac:dyDescent="0.35">
      <c r="A1494" t="str">
        <v>Id1493</v>
      </c>
      <c r="B1494" t="str">
        <f>VLOOKUP(A1494,'Customer Names (2)'!A:B, 2,FALSE)</f>
        <v>Mr</v>
      </c>
      <c r="C1494">
        <f>VLOOKUP(A1494,Medical_Examinations[],2,FALSE)</f>
        <v>22.704999999999998</v>
      </c>
      <c r="D1494">
        <f>VLOOKUP(A1494,Medical_Examinations[],3,FALSE)</f>
        <v>4.57</v>
      </c>
      <c r="E1494" t="str">
        <f>VLOOKUP(A1494,Medical_Examinations[],4,FALSE)</f>
        <v>Yes</v>
      </c>
      <c r="F1494" t="str">
        <f>VLOOKUP(A1494,Medical_Examinations[],5,FALSE)</f>
        <v>No</v>
      </c>
      <c r="G1494" t="str">
        <f>VLOOKUP(A1494,Medical_Examinations[],6,FALSE)</f>
        <v>No</v>
      </c>
      <c r="H1494">
        <f>VLOOKUP(A1494,Medical_Examinations[],7,FALSE)</f>
        <v>0</v>
      </c>
      <c r="I1494" t="str">
        <f>VLOOKUP(A1494,Medical_Examinations[],8,FALSE)</f>
        <v>No</v>
      </c>
      <c r="J1494" t="str">
        <f>VLOOKUP(A1494,Medical_Examinations[],9,FALSE)</f>
        <v>Normal Weight</v>
      </c>
      <c r="K1494" t="str">
        <f>VLOOKUP(A1494,Medical_Examinations[],10,FALSE)</f>
        <v>Normal</v>
      </c>
      <c r="M1494">
        <f>VLOOKUP(A1494,Hospitalisation_Details__2[],4,FALSE)</f>
        <v>6985.51</v>
      </c>
      <c r="N1494" t="str">
        <f>VLOOKUP(A1494,Hospitalisation_Details__2[],5,FALSE)</f>
        <v>tier - 2</v>
      </c>
      <c r="O1494" t="str">
        <f>VLOOKUP(A1494,Hospitalisation_Details__2[],6,FALSE)</f>
        <v>tier - 2</v>
      </c>
      <c r="P1494" t="str">
        <f>VLOOKUP(A1494,Hospitalisation_Details__2[],7,FALSE)</f>
        <v>R1019</v>
      </c>
    </row>
    <row r="1495" spans="1:16" x14ac:dyDescent="0.35">
      <c r="A1495" t="str">
        <v>Id1494</v>
      </c>
      <c r="B1495" t="str">
        <f>VLOOKUP(A1495,'Customer Names (2)'!A:B, 2,FALSE)</f>
        <v>Ms</v>
      </c>
      <c r="C1495">
        <f>VLOOKUP(A1495,Medical_Examinations[],2,FALSE)</f>
        <v>21.79</v>
      </c>
      <c r="D1495">
        <f>VLOOKUP(A1495,Medical_Examinations[],3,FALSE)</f>
        <v>8.6999999999999993</v>
      </c>
      <c r="E1495" t="str">
        <f>VLOOKUP(A1495,Medical_Examinations[],4,FALSE)</f>
        <v>Yes</v>
      </c>
      <c r="F1495" t="str">
        <f>VLOOKUP(A1495,Medical_Examinations[],5,FALSE)</f>
        <v>No</v>
      </c>
      <c r="G1495" t="str">
        <f>VLOOKUP(A1495,Medical_Examinations[],6,FALSE)</f>
        <v>No</v>
      </c>
      <c r="H1495">
        <f>VLOOKUP(A1495,Medical_Examinations[],7,FALSE)</f>
        <v>1</v>
      </c>
      <c r="I1495" t="str">
        <f>VLOOKUP(A1495,Medical_Examinations[],8,FALSE)</f>
        <v>No</v>
      </c>
      <c r="J1495" t="str">
        <f>VLOOKUP(A1495,Medical_Examinations[],9,FALSE)</f>
        <v>Normal Weight</v>
      </c>
      <c r="K1495" t="str">
        <f>VLOOKUP(A1495,Medical_Examinations[],10,FALSE)</f>
        <v>Diabetes</v>
      </c>
      <c r="M1495">
        <f>VLOOKUP(A1495,Hospitalisation_Details__2[],4,FALSE)</f>
        <v>6965.21</v>
      </c>
      <c r="N1495" t="str">
        <f>VLOOKUP(A1495,Hospitalisation_Details__2[],5,FALSE)</f>
        <v>tier - 2</v>
      </c>
      <c r="O1495" t="str">
        <f>VLOOKUP(A1495,Hospitalisation_Details__2[],6,FALSE)</f>
        <v>tier - 3</v>
      </c>
      <c r="P1495" t="str">
        <f>VLOOKUP(A1495,Hospitalisation_Details__2[],7,FALSE)</f>
        <v>R1013</v>
      </c>
    </row>
    <row r="1496" spans="1:16" x14ac:dyDescent="0.35">
      <c r="A1496" t="str">
        <v>Id1495</v>
      </c>
      <c r="B1496" t="str">
        <f>VLOOKUP(A1496,'Customer Names (2)'!A:B, 2,FALSE)</f>
        <v>Mr</v>
      </c>
      <c r="C1496">
        <f>VLOOKUP(A1496,Medical_Examinations[],2,FALSE)</f>
        <v>24.52</v>
      </c>
      <c r="D1496">
        <f>VLOOKUP(A1496,Medical_Examinations[],3,FALSE)</f>
        <v>4.76</v>
      </c>
      <c r="E1496" t="str">
        <f>VLOOKUP(A1496,Medical_Examinations[],4,FALSE)</f>
        <v>No</v>
      </c>
      <c r="F1496" t="str">
        <f>VLOOKUP(A1496,Medical_Examinations[],5,FALSE)</f>
        <v>No</v>
      </c>
      <c r="G1496" t="str">
        <f>VLOOKUP(A1496,Medical_Examinations[],6,FALSE)</f>
        <v>No</v>
      </c>
      <c r="H1496">
        <f>VLOOKUP(A1496,Medical_Examinations[],7,FALSE)</f>
        <v>0</v>
      </c>
      <c r="I1496" t="str">
        <f>VLOOKUP(A1496,Medical_Examinations[],8,FALSE)</f>
        <v>No</v>
      </c>
      <c r="J1496" t="str">
        <f>VLOOKUP(A1496,Medical_Examinations[],9,FALSE)</f>
        <v>Normal Weight</v>
      </c>
      <c r="K1496" t="str">
        <f>VLOOKUP(A1496,Medical_Examinations[],10,FALSE)</f>
        <v>Normal</v>
      </c>
      <c r="M1496">
        <f>VLOOKUP(A1496,Hospitalisation_Details__2[],4,FALSE)</f>
        <v>6951.12</v>
      </c>
      <c r="N1496" t="str">
        <f>VLOOKUP(A1496,Hospitalisation_Details__2[],5,FALSE)</f>
        <v>tier - 2</v>
      </c>
      <c r="O1496" t="str">
        <f>VLOOKUP(A1496,Hospitalisation_Details__2[],6,FALSE)</f>
        <v>tier - 2</v>
      </c>
      <c r="P1496" t="str">
        <f>VLOOKUP(A1496,Hospitalisation_Details__2[],7,FALSE)</f>
        <v>R1013</v>
      </c>
    </row>
    <row r="1497" spans="1:16" x14ac:dyDescent="0.35">
      <c r="A1497" t="str">
        <v>Id1496</v>
      </c>
      <c r="B1497" t="str">
        <f>VLOOKUP(A1497,'Customer Names (2)'!A:B, 2,FALSE)</f>
        <v>Mr</v>
      </c>
      <c r="C1497">
        <f>VLOOKUP(A1497,Medical_Examinations[],2,FALSE)</f>
        <v>39.520000000000003</v>
      </c>
      <c r="D1497">
        <f>VLOOKUP(A1497,Medical_Examinations[],3,FALSE)</f>
        <v>11.81</v>
      </c>
      <c r="E1497" t="str">
        <f>VLOOKUP(A1497,Medical_Examinations[],4,FALSE)</f>
        <v>No</v>
      </c>
      <c r="F1497" t="str">
        <f>VLOOKUP(A1497,Medical_Examinations[],5,FALSE)</f>
        <v>No</v>
      </c>
      <c r="G1497" t="str">
        <f>VLOOKUP(A1497,Medical_Examinations[],6,FALSE)</f>
        <v>No</v>
      </c>
      <c r="H1497">
        <f>VLOOKUP(A1497,Medical_Examinations[],7,FALSE)</f>
        <v>0</v>
      </c>
      <c r="I1497" t="str">
        <f>VLOOKUP(A1497,Medical_Examinations[],8,FALSE)</f>
        <v>No</v>
      </c>
      <c r="J1497" t="str">
        <f>VLOOKUP(A1497,Medical_Examinations[],9,FALSE)</f>
        <v>Obesity</v>
      </c>
      <c r="K1497" t="str">
        <f>VLOOKUP(A1497,Medical_Examinations[],10,FALSE)</f>
        <v>Diabetes</v>
      </c>
      <c r="M1497">
        <f>VLOOKUP(A1497,Hospitalisation_Details__2[],4,FALSE)</f>
        <v>6948.7</v>
      </c>
      <c r="N1497" t="str">
        <f>VLOOKUP(A1497,Hospitalisation_Details__2[],5,FALSE)</f>
        <v>tier - 1</v>
      </c>
      <c r="O1497" t="str">
        <f>VLOOKUP(A1497,Hospitalisation_Details__2[],6,FALSE)</f>
        <v>tier - 2</v>
      </c>
      <c r="P1497" t="str">
        <f>VLOOKUP(A1497,Hospitalisation_Details__2[],7,FALSE)</f>
        <v>R1012</v>
      </c>
    </row>
    <row r="1498" spans="1:16" x14ac:dyDescent="0.35">
      <c r="A1498" t="str">
        <v>Id1497</v>
      </c>
      <c r="B1498" t="str">
        <f>VLOOKUP(A1498,'Customer Names (2)'!A:B, 2,FALSE)</f>
        <v>Mr</v>
      </c>
      <c r="C1498">
        <f>VLOOKUP(A1498,Medical_Examinations[],2,FALSE)</f>
        <v>24.49</v>
      </c>
      <c r="D1498">
        <f>VLOOKUP(A1498,Medical_Examinations[],3,FALSE)</f>
        <v>4.67</v>
      </c>
      <c r="E1498" t="str">
        <f>VLOOKUP(A1498,Medical_Examinations[],4,FALSE)</f>
        <v>No</v>
      </c>
      <c r="F1498" t="str">
        <f>VLOOKUP(A1498,Medical_Examinations[],5,FALSE)</f>
        <v>No</v>
      </c>
      <c r="G1498" t="str">
        <f>VLOOKUP(A1498,Medical_Examinations[],6,FALSE)</f>
        <v>No</v>
      </c>
      <c r="H1498">
        <f>VLOOKUP(A1498,Medical_Examinations[],7,FALSE)</f>
        <v>0</v>
      </c>
      <c r="I1498" t="str">
        <f>VLOOKUP(A1498,Medical_Examinations[],8,FALSE)</f>
        <v>No</v>
      </c>
      <c r="J1498" t="str">
        <f>VLOOKUP(A1498,Medical_Examinations[],9,FALSE)</f>
        <v>Normal Weight</v>
      </c>
      <c r="K1498" t="str">
        <f>VLOOKUP(A1498,Medical_Examinations[],10,FALSE)</f>
        <v>Normal</v>
      </c>
      <c r="M1498">
        <f>VLOOKUP(A1498,Hospitalisation_Details__2[],4,FALSE)</f>
        <v>6940.94</v>
      </c>
      <c r="N1498" t="str">
        <f>VLOOKUP(A1498,Hospitalisation_Details__2[],5,FALSE)</f>
        <v>tier - 2</v>
      </c>
      <c r="O1498" t="str">
        <f>VLOOKUP(A1498,Hospitalisation_Details__2[],6,FALSE)</f>
        <v>tier - 3</v>
      </c>
      <c r="P1498" t="str">
        <f>VLOOKUP(A1498,Hospitalisation_Details__2[],7,FALSE)</f>
        <v>R1013</v>
      </c>
    </row>
    <row r="1499" spans="1:16" x14ac:dyDescent="0.35">
      <c r="A1499" t="str">
        <v>Id1498</v>
      </c>
      <c r="B1499" t="str">
        <f>VLOOKUP(A1499,'Customer Names (2)'!A:B, 2,FALSE)</f>
        <v>Mr</v>
      </c>
      <c r="C1499">
        <f>VLOOKUP(A1499,Medical_Examinations[],2,FALSE)</f>
        <v>26.315000000000001</v>
      </c>
      <c r="D1499">
        <f>VLOOKUP(A1499,Medical_Examinations[],3,FALSE)</f>
        <v>6.02</v>
      </c>
      <c r="E1499" t="str">
        <f>VLOOKUP(A1499,Medical_Examinations[],4,FALSE)</f>
        <v>No</v>
      </c>
      <c r="F1499" t="str">
        <f>VLOOKUP(A1499,Medical_Examinations[],5,FALSE)</f>
        <v>No</v>
      </c>
      <c r="G1499" t="str">
        <f>VLOOKUP(A1499,Medical_Examinations[],6,FALSE)</f>
        <v>No</v>
      </c>
      <c r="H1499">
        <f>VLOOKUP(A1499,Medical_Examinations[],7,FALSE)</f>
        <v>0</v>
      </c>
      <c r="I1499" t="str">
        <f>VLOOKUP(A1499,Medical_Examinations[],8,FALSE)</f>
        <v>No</v>
      </c>
      <c r="J1499" t="str">
        <f>VLOOKUP(A1499,Medical_Examinations[],9,FALSE)</f>
        <v>Overweight</v>
      </c>
      <c r="K1499" t="str">
        <f>VLOOKUP(A1499,Medical_Examinations[],10,FALSE)</f>
        <v>Prediabetes</v>
      </c>
      <c r="M1499">
        <f>VLOOKUP(A1499,Hospitalisation_Details__2[],4,FALSE)</f>
        <v>6940.91</v>
      </c>
      <c r="N1499" t="str">
        <f>VLOOKUP(A1499,Hospitalisation_Details__2[],5,FALSE)</f>
        <v>tier - 2</v>
      </c>
      <c r="O1499" t="str">
        <f>VLOOKUP(A1499,Hospitalisation_Details__2[],6,FALSE)</f>
        <v>tier - 2</v>
      </c>
      <c r="P1499" t="str">
        <f>VLOOKUP(A1499,Hospitalisation_Details__2[],7,FALSE)</f>
        <v>R1012</v>
      </c>
    </row>
    <row r="1500" spans="1:16" x14ac:dyDescent="0.35">
      <c r="A1500" t="str">
        <v>Id1499</v>
      </c>
      <c r="B1500" t="str">
        <f>VLOOKUP(A1500,'Customer Names (2)'!A:B, 2,FALSE)</f>
        <v>Ms</v>
      </c>
      <c r="C1500">
        <f>VLOOKUP(A1500,Medical_Examinations[],2,FALSE)</f>
        <v>22.58</v>
      </c>
      <c r="D1500">
        <f>VLOOKUP(A1500,Medical_Examinations[],3,FALSE)</f>
        <v>7.46</v>
      </c>
      <c r="E1500" t="str">
        <f>VLOOKUP(A1500,Medical_Examinations[],4,FALSE)</f>
        <v>No</v>
      </c>
      <c r="F1500" t="str">
        <f>VLOOKUP(A1500,Medical_Examinations[],5,FALSE)</f>
        <v>No</v>
      </c>
      <c r="G1500" t="str">
        <f>VLOOKUP(A1500,Medical_Examinations[],6,FALSE)</f>
        <v>No</v>
      </c>
      <c r="H1500">
        <f>VLOOKUP(A1500,Medical_Examinations[],7,FALSE)</f>
        <v>0</v>
      </c>
      <c r="I1500" t="str">
        <f>VLOOKUP(A1500,Medical_Examinations[],8,FALSE)</f>
        <v>No</v>
      </c>
      <c r="J1500" t="str">
        <f>VLOOKUP(A1500,Medical_Examinations[],9,FALSE)</f>
        <v>Normal Weight</v>
      </c>
      <c r="K1500" t="str">
        <f>VLOOKUP(A1500,Medical_Examinations[],10,FALSE)</f>
        <v>Diabetes</v>
      </c>
      <c r="M1500">
        <f>VLOOKUP(A1500,Hospitalisation_Details__2[],4,FALSE)</f>
        <v>6938.11</v>
      </c>
      <c r="N1500" t="str">
        <f>VLOOKUP(A1500,Hospitalisation_Details__2[],5,FALSE)</f>
        <v>tier - 2</v>
      </c>
      <c r="O1500" t="str">
        <f>VLOOKUP(A1500,Hospitalisation_Details__2[],6,FALSE)</f>
        <v>tier - 2</v>
      </c>
      <c r="P1500" t="str">
        <f>VLOOKUP(A1500,Hospitalisation_Details__2[],7,FALSE)</f>
        <v>R1013</v>
      </c>
    </row>
    <row r="1501" spans="1:16" x14ac:dyDescent="0.35">
      <c r="A1501" t="str">
        <v>Id1500</v>
      </c>
      <c r="B1501" t="str">
        <f>VLOOKUP(A1501,'Customer Names (2)'!A:B, 2,FALSE)</f>
        <v>Ms</v>
      </c>
      <c r="C1501">
        <f>VLOOKUP(A1501,Medical_Examinations[],2,FALSE)</f>
        <v>19.475000000000001</v>
      </c>
      <c r="D1501">
        <f>VLOOKUP(A1501,Medical_Examinations[],3,FALSE)</f>
        <v>4.74</v>
      </c>
      <c r="E1501" t="str">
        <f>VLOOKUP(A1501,Medical_Examinations[],4,FALSE)</f>
        <v>No</v>
      </c>
      <c r="F1501" t="str">
        <f>VLOOKUP(A1501,Medical_Examinations[],5,FALSE)</f>
        <v>No</v>
      </c>
      <c r="G1501" t="str">
        <f>VLOOKUP(A1501,Medical_Examinations[],6,FALSE)</f>
        <v>No</v>
      </c>
      <c r="H1501">
        <f>VLOOKUP(A1501,Medical_Examinations[],7,FALSE)</f>
        <v>1</v>
      </c>
      <c r="I1501" t="str">
        <f>VLOOKUP(A1501,Medical_Examinations[],8,FALSE)</f>
        <v>No</v>
      </c>
      <c r="J1501" t="str">
        <f>VLOOKUP(A1501,Medical_Examinations[],9,FALSE)</f>
        <v>Normal Weight</v>
      </c>
      <c r="K1501" t="str">
        <f>VLOOKUP(A1501,Medical_Examinations[],10,FALSE)</f>
        <v>Normal</v>
      </c>
      <c r="M1501">
        <f>VLOOKUP(A1501,Hospitalisation_Details__2[],4,FALSE)</f>
        <v>6933.24</v>
      </c>
      <c r="N1501" t="str">
        <f>VLOOKUP(A1501,Hospitalisation_Details__2[],5,FALSE)</f>
        <v>tier - 2</v>
      </c>
      <c r="O1501" t="str">
        <f>VLOOKUP(A1501,Hospitalisation_Details__2[],6,FALSE)</f>
        <v>tier - 3</v>
      </c>
      <c r="P1501" t="str">
        <f>VLOOKUP(A1501,Hospitalisation_Details__2[],7,FALSE)</f>
        <v>R1012</v>
      </c>
    </row>
    <row r="1502" spans="1:16" x14ac:dyDescent="0.35">
      <c r="A1502" t="str">
        <v>Id1501</v>
      </c>
      <c r="B1502" t="str">
        <f>VLOOKUP(A1502,'Customer Names (2)'!A:B, 2,FALSE)</f>
        <v>Mrs</v>
      </c>
      <c r="C1502">
        <f>VLOOKUP(A1502,Medical_Examinations[],2,FALSE)</f>
        <v>26.33</v>
      </c>
      <c r="D1502">
        <f>VLOOKUP(A1502,Medical_Examinations[],3,FALSE)</f>
        <v>4.79</v>
      </c>
      <c r="E1502" t="str">
        <f>VLOOKUP(A1502,Medical_Examinations[],4,FALSE)</f>
        <v>No</v>
      </c>
      <c r="F1502" t="str">
        <f>VLOOKUP(A1502,Medical_Examinations[],5,FALSE)</f>
        <v>No</v>
      </c>
      <c r="G1502" t="str">
        <f>VLOOKUP(A1502,Medical_Examinations[],6,FALSE)</f>
        <v>No</v>
      </c>
      <c r="H1502">
        <f>VLOOKUP(A1502,Medical_Examinations[],7,FALSE)</f>
        <v>0</v>
      </c>
      <c r="I1502" t="str">
        <f>VLOOKUP(A1502,Medical_Examinations[],8,FALSE)</f>
        <v>No</v>
      </c>
      <c r="J1502" t="str">
        <f>VLOOKUP(A1502,Medical_Examinations[],9,FALSE)</f>
        <v>Overweight</v>
      </c>
      <c r="K1502" t="str">
        <f>VLOOKUP(A1502,Medical_Examinations[],10,FALSE)</f>
        <v>Normal</v>
      </c>
      <c r="M1502">
        <f>VLOOKUP(A1502,Hospitalisation_Details__2[],4,FALSE)</f>
        <v>6895.19</v>
      </c>
      <c r="N1502" t="str">
        <f>VLOOKUP(A1502,Hospitalisation_Details__2[],5,FALSE)</f>
        <v>tier - 2</v>
      </c>
      <c r="O1502" t="str">
        <f>VLOOKUP(A1502,Hospitalisation_Details__2[],6,FALSE)</f>
        <v>tier - 3</v>
      </c>
      <c r="P1502" t="str">
        <f>VLOOKUP(A1502,Hospitalisation_Details__2[],7,FALSE)</f>
        <v>R1024</v>
      </c>
    </row>
    <row r="1503" spans="1:16" x14ac:dyDescent="0.35">
      <c r="A1503" t="str">
        <v>Id1502</v>
      </c>
      <c r="B1503" t="str">
        <f>VLOOKUP(A1503,'Customer Names (2)'!A:B, 2,FALSE)</f>
        <v>Ms</v>
      </c>
      <c r="C1503">
        <f>VLOOKUP(A1503,Medical_Examinations[],2,FALSE)</f>
        <v>17.29</v>
      </c>
      <c r="D1503">
        <f>VLOOKUP(A1503,Medical_Examinations[],3,FALSE)</f>
        <v>5.35</v>
      </c>
      <c r="E1503" t="str">
        <f>VLOOKUP(A1503,Medical_Examinations[],4,FALSE)</f>
        <v>Yes</v>
      </c>
      <c r="F1503" t="str">
        <f>VLOOKUP(A1503,Medical_Examinations[],5,FALSE)</f>
        <v>No</v>
      </c>
      <c r="G1503" t="str">
        <f>VLOOKUP(A1503,Medical_Examinations[],6,FALSE)</f>
        <v>No</v>
      </c>
      <c r="H1503">
        <f>VLOOKUP(A1503,Medical_Examinations[],7,FALSE)</f>
        <v>0</v>
      </c>
      <c r="I1503" t="str">
        <f>VLOOKUP(A1503,Medical_Examinations[],8,FALSE)</f>
        <v>No</v>
      </c>
      <c r="J1503" t="str">
        <f>VLOOKUP(A1503,Medical_Examinations[],9,FALSE)</f>
        <v>Underweight</v>
      </c>
      <c r="K1503" t="str">
        <f>VLOOKUP(A1503,Medical_Examinations[],10,FALSE)</f>
        <v>Normal</v>
      </c>
      <c r="M1503">
        <f>VLOOKUP(A1503,Hospitalisation_Details__2[],4,FALSE)</f>
        <v>6877.98</v>
      </c>
      <c r="N1503" t="str">
        <f>VLOOKUP(A1503,Hospitalisation_Details__2[],5,FALSE)</f>
        <v>tier - 2</v>
      </c>
      <c r="O1503" t="str">
        <f>VLOOKUP(A1503,Hospitalisation_Details__2[],6,FALSE)</f>
        <v>tier - 1</v>
      </c>
      <c r="P1503" t="str">
        <f>VLOOKUP(A1503,Hospitalisation_Details__2[],7,FALSE)</f>
        <v>R1024</v>
      </c>
    </row>
    <row r="1504" spans="1:16" x14ac:dyDescent="0.35">
      <c r="A1504" t="str">
        <v>Id1503</v>
      </c>
      <c r="B1504" t="str">
        <f>VLOOKUP(A1504,'Customer Names (2)'!A:B, 2,FALSE)</f>
        <v>Ms</v>
      </c>
      <c r="C1504">
        <f>VLOOKUP(A1504,Medical_Examinations[],2,FALSE)</f>
        <v>42.88</v>
      </c>
      <c r="D1504">
        <f>VLOOKUP(A1504,Medical_Examinations[],3,FALSE)</f>
        <v>4.87</v>
      </c>
      <c r="E1504" t="str">
        <f>VLOOKUP(A1504,Medical_Examinations[],4,FALSE)</f>
        <v>No</v>
      </c>
      <c r="F1504" t="str">
        <f>VLOOKUP(A1504,Medical_Examinations[],5,FALSE)</f>
        <v>yes</v>
      </c>
      <c r="G1504" t="str">
        <f>VLOOKUP(A1504,Medical_Examinations[],6,FALSE)</f>
        <v>No</v>
      </c>
      <c r="H1504">
        <f>VLOOKUP(A1504,Medical_Examinations[],7,FALSE)</f>
        <v>1</v>
      </c>
      <c r="I1504" t="str">
        <f>VLOOKUP(A1504,Medical_Examinations[],8,FALSE)</f>
        <v>No</v>
      </c>
      <c r="J1504" t="str">
        <f>VLOOKUP(A1504,Medical_Examinations[],9,FALSE)</f>
        <v>Obesity</v>
      </c>
      <c r="K1504" t="str">
        <f>VLOOKUP(A1504,Medical_Examinations[],10,FALSE)</f>
        <v>Normal</v>
      </c>
      <c r="M1504">
        <f>VLOOKUP(A1504,Hospitalisation_Details__2[],4,FALSE)</f>
        <v>6876.53</v>
      </c>
      <c r="N1504" t="str">
        <f>VLOOKUP(A1504,Hospitalisation_Details__2[],5,FALSE)</f>
        <v>tier - 2</v>
      </c>
      <c r="O1504" t="str">
        <f>VLOOKUP(A1504,Hospitalisation_Details__2[],6,FALSE)</f>
        <v>tier - 1</v>
      </c>
      <c r="P1504" t="str">
        <f>VLOOKUP(A1504,Hospitalisation_Details__2[],7,FALSE)</f>
        <v>R1012</v>
      </c>
    </row>
    <row r="1505" spans="1:16" x14ac:dyDescent="0.35">
      <c r="A1505" t="str">
        <v>Id1504</v>
      </c>
      <c r="B1505" t="str">
        <f>VLOOKUP(A1505,'Customer Names (2)'!A:B, 2,FALSE)</f>
        <v>Mr</v>
      </c>
      <c r="C1505">
        <f>VLOOKUP(A1505,Medical_Examinations[],2,FALSE)</f>
        <v>32.200000000000003</v>
      </c>
      <c r="D1505">
        <f>VLOOKUP(A1505,Medical_Examinations[],3,FALSE)</f>
        <v>10.09</v>
      </c>
      <c r="E1505" t="str">
        <f>VLOOKUP(A1505,Medical_Examinations[],4,FALSE)</f>
        <v>Yes</v>
      </c>
      <c r="F1505" t="str">
        <f>VLOOKUP(A1505,Medical_Examinations[],5,FALSE)</f>
        <v>No</v>
      </c>
      <c r="G1505" t="str">
        <f>VLOOKUP(A1505,Medical_Examinations[],6,FALSE)</f>
        <v>No</v>
      </c>
      <c r="H1505">
        <f>VLOOKUP(A1505,Medical_Examinations[],7,FALSE)</f>
        <v>0</v>
      </c>
      <c r="I1505" t="str">
        <f>VLOOKUP(A1505,Medical_Examinations[],8,FALSE)</f>
        <v>No</v>
      </c>
      <c r="J1505" t="str">
        <f>VLOOKUP(A1505,Medical_Examinations[],9,FALSE)</f>
        <v>Obesity</v>
      </c>
      <c r="K1505" t="str">
        <f>VLOOKUP(A1505,Medical_Examinations[],10,FALSE)</f>
        <v>Diabetes</v>
      </c>
      <c r="M1505">
        <f>VLOOKUP(A1505,Hospitalisation_Details__2[],4,FALSE)</f>
        <v>6875.96</v>
      </c>
      <c r="N1505" t="str">
        <f>VLOOKUP(A1505,Hospitalisation_Details__2[],5,FALSE)</f>
        <v>tier - 2</v>
      </c>
      <c r="O1505" t="str">
        <f>VLOOKUP(A1505,Hospitalisation_Details__2[],6,FALSE)</f>
        <v>tier - 2</v>
      </c>
      <c r="P1505" t="str">
        <f>VLOOKUP(A1505,Hospitalisation_Details__2[],7,FALSE)</f>
        <v>R1011</v>
      </c>
    </row>
    <row r="1506" spans="1:16" x14ac:dyDescent="0.35">
      <c r="A1506" t="str">
        <v>Id1505</v>
      </c>
      <c r="B1506" t="str">
        <f>VLOOKUP(A1506,'Customer Names (2)'!A:B, 2,FALSE)</f>
        <v>Mr</v>
      </c>
      <c r="C1506">
        <f>VLOOKUP(A1506,Medical_Examinations[],2,FALSE)</f>
        <v>18.75</v>
      </c>
      <c r="D1506">
        <f>VLOOKUP(A1506,Medical_Examinations[],3,FALSE)</f>
        <v>5.47</v>
      </c>
      <c r="E1506" t="str">
        <f>VLOOKUP(A1506,Medical_Examinations[],4,FALSE)</f>
        <v>Yes</v>
      </c>
      <c r="F1506" t="str">
        <f>VLOOKUP(A1506,Medical_Examinations[],5,FALSE)</f>
        <v>No</v>
      </c>
      <c r="G1506" t="str">
        <f>VLOOKUP(A1506,Medical_Examinations[],6,FALSE)</f>
        <v>Yes</v>
      </c>
      <c r="H1506">
        <f>VLOOKUP(A1506,Medical_Examinations[],7,FALSE)</f>
        <v>1</v>
      </c>
      <c r="I1506" t="str">
        <f>VLOOKUP(A1506,Medical_Examinations[],8,FALSE)</f>
        <v>No</v>
      </c>
      <c r="J1506" t="str">
        <f>VLOOKUP(A1506,Medical_Examinations[],9,FALSE)</f>
        <v>Normal Weight</v>
      </c>
      <c r="K1506" t="str">
        <f>VLOOKUP(A1506,Medical_Examinations[],10,FALSE)</f>
        <v>Normal</v>
      </c>
      <c r="M1506">
        <f>VLOOKUP(A1506,Hospitalisation_Details__2[],4,FALSE)</f>
        <v>6868.39</v>
      </c>
      <c r="N1506" t="str">
        <f>VLOOKUP(A1506,Hospitalisation_Details__2[],5,FALSE)</f>
        <v>tier - 2</v>
      </c>
      <c r="O1506" t="str">
        <f>VLOOKUP(A1506,Hospitalisation_Details__2[],6,FALSE)</f>
        <v>tier - 2</v>
      </c>
      <c r="P1506" t="str">
        <f>VLOOKUP(A1506,Hospitalisation_Details__2[],7,FALSE)</f>
        <v>R1013</v>
      </c>
    </row>
    <row r="1507" spans="1:16" x14ac:dyDescent="0.35">
      <c r="A1507" t="str">
        <v>Id1506</v>
      </c>
      <c r="B1507" t="str">
        <f>VLOOKUP(A1507,'Customer Names (2)'!A:B, 2,FALSE)</f>
        <v>Ms</v>
      </c>
      <c r="C1507">
        <f>VLOOKUP(A1507,Medical_Examinations[],2,FALSE)</f>
        <v>22.36</v>
      </c>
      <c r="D1507">
        <f>VLOOKUP(A1507,Medical_Examinations[],3,FALSE)</f>
        <v>8.6</v>
      </c>
      <c r="E1507" t="str">
        <f>VLOOKUP(A1507,Medical_Examinations[],4,FALSE)</f>
        <v>No</v>
      </c>
      <c r="F1507" t="str">
        <f>VLOOKUP(A1507,Medical_Examinations[],5,FALSE)</f>
        <v>No</v>
      </c>
      <c r="G1507" t="str">
        <f>VLOOKUP(A1507,Medical_Examinations[],6,FALSE)</f>
        <v>No</v>
      </c>
      <c r="H1507">
        <f>VLOOKUP(A1507,Medical_Examinations[],7,FALSE)</f>
        <v>0</v>
      </c>
      <c r="I1507" t="str">
        <f>VLOOKUP(A1507,Medical_Examinations[],8,FALSE)</f>
        <v>No</v>
      </c>
      <c r="J1507" t="str">
        <f>VLOOKUP(A1507,Medical_Examinations[],9,FALSE)</f>
        <v>Normal Weight</v>
      </c>
      <c r="K1507" t="str">
        <f>VLOOKUP(A1507,Medical_Examinations[],10,FALSE)</f>
        <v>Diabetes</v>
      </c>
      <c r="M1507">
        <f>VLOOKUP(A1507,Hospitalisation_Details__2[],4,FALSE)</f>
        <v>6863.49</v>
      </c>
      <c r="N1507" t="str">
        <f>VLOOKUP(A1507,Hospitalisation_Details__2[],5,FALSE)</f>
        <v>tier - 2</v>
      </c>
      <c r="O1507" t="str">
        <f>VLOOKUP(A1507,Hospitalisation_Details__2[],6,FALSE)</f>
        <v>tier - 1</v>
      </c>
      <c r="P1507" t="str">
        <f>VLOOKUP(A1507,Hospitalisation_Details__2[],7,FALSE)</f>
        <v>R1013</v>
      </c>
    </row>
    <row r="1508" spans="1:16" x14ac:dyDescent="0.35">
      <c r="A1508" t="str">
        <v>Id1507</v>
      </c>
      <c r="B1508" t="str">
        <f>VLOOKUP(A1508,'Customer Names (2)'!A:B, 2,FALSE)</f>
        <v>Mr</v>
      </c>
      <c r="C1508">
        <f>VLOOKUP(A1508,Medical_Examinations[],2,FALSE)</f>
        <v>23.94</v>
      </c>
      <c r="D1508">
        <f>VLOOKUP(A1508,Medical_Examinations[],3,FALSE)</f>
        <v>10.74</v>
      </c>
      <c r="E1508" t="str">
        <f>VLOOKUP(A1508,Medical_Examinations[],4,FALSE)</f>
        <v>Yes</v>
      </c>
      <c r="F1508" t="str">
        <f>VLOOKUP(A1508,Medical_Examinations[],5,FALSE)</f>
        <v>No</v>
      </c>
      <c r="G1508" t="str">
        <f>VLOOKUP(A1508,Medical_Examinations[],6,FALSE)</f>
        <v>No</v>
      </c>
      <c r="H1508">
        <f>VLOOKUP(A1508,Medical_Examinations[],7,FALSE)</f>
        <v>0</v>
      </c>
      <c r="I1508" t="str">
        <f>VLOOKUP(A1508,Medical_Examinations[],8,FALSE)</f>
        <v>No</v>
      </c>
      <c r="J1508" t="str">
        <f>VLOOKUP(A1508,Medical_Examinations[],9,FALSE)</f>
        <v>Normal Weight</v>
      </c>
      <c r="K1508" t="str">
        <f>VLOOKUP(A1508,Medical_Examinations[],10,FALSE)</f>
        <v>Diabetes</v>
      </c>
      <c r="M1508">
        <f>VLOOKUP(A1508,Hospitalisation_Details__2[],4,FALSE)</f>
        <v>6858.48</v>
      </c>
      <c r="N1508" t="str">
        <f>VLOOKUP(A1508,Hospitalisation_Details__2[],5,FALSE)</f>
        <v>tier - 2</v>
      </c>
      <c r="O1508" t="str">
        <f>VLOOKUP(A1508,Hospitalisation_Details__2[],6,FALSE)</f>
        <v>tier - 2</v>
      </c>
      <c r="P1508" t="str">
        <f>VLOOKUP(A1508,Hospitalisation_Details__2[],7,FALSE)</f>
        <v>R1019</v>
      </c>
    </row>
    <row r="1509" spans="1:16" x14ac:dyDescent="0.35">
      <c r="A1509" t="str">
        <v>Id1508</v>
      </c>
      <c r="B1509" t="str">
        <f>VLOOKUP(A1509,'Customer Names (2)'!A:B, 2,FALSE)</f>
        <v>Mr</v>
      </c>
      <c r="C1509">
        <f>VLOOKUP(A1509,Medical_Examinations[],2,FALSE)</f>
        <v>30.1</v>
      </c>
      <c r="D1509">
        <f>VLOOKUP(A1509,Medical_Examinations[],3,FALSE)</f>
        <v>4.3899999999999997</v>
      </c>
      <c r="E1509" t="str">
        <f>VLOOKUP(A1509,Medical_Examinations[],4,FALSE)</f>
        <v>No</v>
      </c>
      <c r="F1509" t="str">
        <f>VLOOKUP(A1509,Medical_Examinations[],5,FALSE)</f>
        <v>No</v>
      </c>
      <c r="G1509" t="str">
        <f>VLOOKUP(A1509,Medical_Examinations[],6,FALSE)</f>
        <v>Yes</v>
      </c>
      <c r="H1509">
        <f>VLOOKUP(A1509,Medical_Examinations[],7,FALSE)</f>
        <v>1</v>
      </c>
      <c r="I1509" t="str">
        <f>VLOOKUP(A1509,Medical_Examinations[],8,FALSE)</f>
        <v>No</v>
      </c>
      <c r="J1509" t="str">
        <f>VLOOKUP(A1509,Medical_Examinations[],9,FALSE)</f>
        <v>Obesity</v>
      </c>
      <c r="K1509" t="str">
        <f>VLOOKUP(A1509,Medical_Examinations[],10,FALSE)</f>
        <v>Normal</v>
      </c>
      <c r="M1509">
        <f>VLOOKUP(A1509,Hospitalisation_Details__2[],4,FALSE)</f>
        <v>6849.03</v>
      </c>
      <c r="N1509" t="str">
        <f>VLOOKUP(A1509,Hospitalisation_Details__2[],5,FALSE)</f>
        <v>tier - 2</v>
      </c>
      <c r="O1509" t="str">
        <f>VLOOKUP(A1509,Hospitalisation_Details__2[],6,FALSE)</f>
        <v>tier - 2</v>
      </c>
      <c r="P1509" t="str">
        <f>VLOOKUP(A1509,Hospitalisation_Details__2[],7,FALSE)</f>
        <v>R1011</v>
      </c>
    </row>
    <row r="1510" spans="1:16" x14ac:dyDescent="0.35">
      <c r="A1510" t="str">
        <v>Id1509</v>
      </c>
      <c r="B1510" t="str">
        <f>VLOOKUP(A1510,'Customer Names (2)'!A:B, 2,FALSE)</f>
        <v>Mr</v>
      </c>
      <c r="C1510">
        <f>VLOOKUP(A1510,Medical_Examinations[],2,FALSE)</f>
        <v>21.93</v>
      </c>
      <c r="D1510">
        <f>VLOOKUP(A1510,Medical_Examinations[],3,FALSE)</f>
        <v>6.3</v>
      </c>
      <c r="E1510" t="str">
        <f>VLOOKUP(A1510,Medical_Examinations[],4,FALSE)</f>
        <v>No</v>
      </c>
      <c r="F1510" t="str">
        <f>VLOOKUP(A1510,Medical_Examinations[],5,FALSE)</f>
        <v>No</v>
      </c>
      <c r="G1510" t="str">
        <f>VLOOKUP(A1510,Medical_Examinations[],6,FALSE)</f>
        <v>No</v>
      </c>
      <c r="H1510">
        <f>VLOOKUP(A1510,Medical_Examinations[],7,FALSE)</f>
        <v>0</v>
      </c>
      <c r="I1510" t="str">
        <f>VLOOKUP(A1510,Medical_Examinations[],8,FALSE)</f>
        <v>No</v>
      </c>
      <c r="J1510" t="str">
        <f>VLOOKUP(A1510,Medical_Examinations[],9,FALSE)</f>
        <v>Normal Weight</v>
      </c>
      <c r="K1510" t="str">
        <f>VLOOKUP(A1510,Medical_Examinations[],10,FALSE)</f>
        <v>Prediabetes</v>
      </c>
      <c r="M1510">
        <f>VLOOKUP(A1510,Hospitalisation_Details__2[],4,FALSE)</f>
        <v>6843.17</v>
      </c>
      <c r="N1510" t="str">
        <f>VLOOKUP(A1510,Hospitalisation_Details__2[],5,FALSE)</f>
        <v>tier - 2</v>
      </c>
      <c r="O1510" t="str">
        <f>VLOOKUP(A1510,Hospitalisation_Details__2[],6,FALSE)</f>
        <v>tier - 1</v>
      </c>
      <c r="P1510" t="str">
        <f>VLOOKUP(A1510,Hospitalisation_Details__2[],7,FALSE)</f>
        <v>R1013</v>
      </c>
    </row>
    <row r="1511" spans="1:16" x14ac:dyDescent="0.35">
      <c r="A1511" t="str">
        <v>Id1510</v>
      </c>
      <c r="B1511" t="str">
        <f>VLOOKUP(A1511,'Customer Names (2)'!A:B, 2,FALSE)</f>
        <v>Ms</v>
      </c>
      <c r="C1511">
        <f>VLOOKUP(A1511,Medical_Examinations[],2,FALSE)</f>
        <v>39.75</v>
      </c>
      <c r="D1511">
        <f>VLOOKUP(A1511,Medical_Examinations[],3,FALSE)</f>
        <v>5.41</v>
      </c>
      <c r="E1511" t="str">
        <f>VLOOKUP(A1511,Medical_Examinations[],4,FALSE)</f>
        <v>No</v>
      </c>
      <c r="F1511" t="str">
        <f>VLOOKUP(A1511,Medical_Examinations[],5,FALSE)</f>
        <v>yes</v>
      </c>
      <c r="G1511" t="str">
        <f>VLOOKUP(A1511,Medical_Examinations[],6,FALSE)</f>
        <v>No</v>
      </c>
      <c r="H1511">
        <f>VLOOKUP(A1511,Medical_Examinations[],7,FALSE)</f>
        <v>1</v>
      </c>
      <c r="I1511" t="str">
        <f>VLOOKUP(A1511,Medical_Examinations[],8,FALSE)</f>
        <v>No</v>
      </c>
      <c r="J1511" t="str">
        <f>VLOOKUP(A1511,Medical_Examinations[],9,FALSE)</f>
        <v>Obesity</v>
      </c>
      <c r="K1511" t="str">
        <f>VLOOKUP(A1511,Medical_Examinations[],10,FALSE)</f>
        <v>Normal</v>
      </c>
      <c r="M1511">
        <f>VLOOKUP(A1511,Hospitalisation_Details__2[],4,FALSE)</f>
        <v>6842.28</v>
      </c>
      <c r="N1511" t="str">
        <f>VLOOKUP(A1511,Hospitalisation_Details__2[],5,FALSE)</f>
        <v>tier - 2</v>
      </c>
      <c r="O1511" t="str">
        <f>VLOOKUP(A1511,Hospitalisation_Details__2[],6,FALSE)</f>
        <v>tier - 1</v>
      </c>
      <c r="P1511" t="str">
        <f>VLOOKUP(A1511,Hospitalisation_Details__2[],7,FALSE)</f>
        <v>R1012</v>
      </c>
    </row>
    <row r="1512" spans="1:16" x14ac:dyDescent="0.35">
      <c r="A1512" t="str">
        <v>Id1511</v>
      </c>
      <c r="B1512" t="str">
        <f>VLOOKUP(A1512,'Customer Names (2)'!A:B, 2,FALSE)</f>
        <v>Mr</v>
      </c>
      <c r="C1512">
        <f>VLOOKUP(A1512,Medical_Examinations[],2,FALSE)</f>
        <v>26.03</v>
      </c>
      <c r="D1512">
        <f>VLOOKUP(A1512,Medical_Examinations[],3,FALSE)</f>
        <v>4.47</v>
      </c>
      <c r="E1512" t="str">
        <f>VLOOKUP(A1512,Medical_Examinations[],4,FALSE)</f>
        <v>No</v>
      </c>
      <c r="F1512" t="str">
        <f>VLOOKUP(A1512,Medical_Examinations[],5,FALSE)</f>
        <v>No</v>
      </c>
      <c r="G1512" t="str">
        <f>VLOOKUP(A1512,Medical_Examinations[],6,FALSE)</f>
        <v>Yes</v>
      </c>
      <c r="H1512">
        <f>VLOOKUP(A1512,Medical_Examinations[],7,FALSE)</f>
        <v>1</v>
      </c>
      <c r="I1512" t="str">
        <f>VLOOKUP(A1512,Medical_Examinations[],8,FALSE)</f>
        <v>No</v>
      </c>
      <c r="J1512" t="str">
        <f>VLOOKUP(A1512,Medical_Examinations[],9,FALSE)</f>
        <v>Overweight</v>
      </c>
      <c r="K1512" t="str">
        <f>VLOOKUP(A1512,Medical_Examinations[],10,FALSE)</f>
        <v>Normal</v>
      </c>
      <c r="M1512">
        <f>VLOOKUP(A1512,Hospitalisation_Details__2[],4,FALSE)</f>
        <v>6837.37</v>
      </c>
      <c r="N1512" t="str">
        <f>VLOOKUP(A1512,Hospitalisation_Details__2[],5,FALSE)</f>
        <v>tier - 3</v>
      </c>
      <c r="O1512" t="str">
        <f>VLOOKUP(A1512,Hospitalisation_Details__2[],6,FALSE)</f>
        <v>tier - 1</v>
      </c>
      <c r="P1512" t="str">
        <f>VLOOKUP(A1512,Hospitalisation_Details__2[],7,FALSE)</f>
        <v>R1016</v>
      </c>
    </row>
    <row r="1513" spans="1:16" x14ac:dyDescent="0.35">
      <c r="A1513" t="str">
        <v>Id1512</v>
      </c>
      <c r="B1513" t="str">
        <f>VLOOKUP(A1513,'Customer Names (2)'!A:B, 2,FALSE)</f>
        <v>Mr</v>
      </c>
      <c r="C1513">
        <f>VLOOKUP(A1513,Medical_Examinations[],2,FALSE)</f>
        <v>34.51</v>
      </c>
      <c r="D1513">
        <f>VLOOKUP(A1513,Medical_Examinations[],3,FALSE)</f>
        <v>6.26</v>
      </c>
      <c r="E1513" t="str">
        <f>VLOOKUP(A1513,Medical_Examinations[],4,FALSE)</f>
        <v>No</v>
      </c>
      <c r="F1513" t="str">
        <f>VLOOKUP(A1513,Medical_Examinations[],5,FALSE)</f>
        <v>No</v>
      </c>
      <c r="G1513" t="str">
        <f>VLOOKUP(A1513,Medical_Examinations[],6,FALSE)</f>
        <v>No</v>
      </c>
      <c r="H1513">
        <f>VLOOKUP(A1513,Medical_Examinations[],7,FALSE)</f>
        <v>0</v>
      </c>
      <c r="I1513" t="str">
        <f>VLOOKUP(A1513,Medical_Examinations[],8,FALSE)</f>
        <v>No</v>
      </c>
      <c r="J1513" t="str">
        <f>VLOOKUP(A1513,Medical_Examinations[],9,FALSE)</f>
        <v>Obesity</v>
      </c>
      <c r="K1513" t="str">
        <f>VLOOKUP(A1513,Medical_Examinations[],10,FALSE)</f>
        <v>Prediabetes</v>
      </c>
      <c r="M1513">
        <f>VLOOKUP(A1513,Hospitalisation_Details__2[],4,FALSE)</f>
        <v>6827.69</v>
      </c>
      <c r="N1513" t="str">
        <f>VLOOKUP(A1513,Hospitalisation_Details__2[],5,FALSE)</f>
        <v>tier - 2</v>
      </c>
      <c r="O1513" t="str">
        <f>VLOOKUP(A1513,Hospitalisation_Details__2[],6,FALSE)</f>
        <v>tier - 2</v>
      </c>
      <c r="P1513" t="str">
        <f>VLOOKUP(A1513,Hospitalisation_Details__2[],7,FALSE)</f>
        <v>R1021</v>
      </c>
    </row>
    <row r="1514" spans="1:16" x14ac:dyDescent="0.35">
      <c r="A1514" t="str">
        <v>Id1513</v>
      </c>
      <c r="B1514" t="str">
        <f>VLOOKUP(A1514,'Customer Names (2)'!A:B, 2,FALSE)</f>
        <v>Ms</v>
      </c>
      <c r="C1514">
        <f>VLOOKUP(A1514,Medical_Examinations[],2,FALSE)</f>
        <v>19.32</v>
      </c>
      <c r="D1514">
        <f>VLOOKUP(A1514,Medical_Examinations[],3,FALSE)</f>
        <v>11.58</v>
      </c>
      <c r="E1514" t="str">
        <f>VLOOKUP(A1514,Medical_Examinations[],4,FALSE)</f>
        <v>Yes</v>
      </c>
      <c r="F1514" t="str">
        <f>VLOOKUP(A1514,Medical_Examinations[],5,FALSE)</f>
        <v>No</v>
      </c>
      <c r="G1514" t="str">
        <f>VLOOKUP(A1514,Medical_Examinations[],6,FALSE)</f>
        <v>No</v>
      </c>
      <c r="H1514">
        <f>VLOOKUP(A1514,Medical_Examinations[],7,FALSE)</f>
        <v>1</v>
      </c>
      <c r="I1514" t="str">
        <f>VLOOKUP(A1514,Medical_Examinations[],8,FALSE)</f>
        <v>No</v>
      </c>
      <c r="J1514" t="str">
        <f>VLOOKUP(A1514,Medical_Examinations[],9,FALSE)</f>
        <v>Normal Weight</v>
      </c>
      <c r="K1514" t="str">
        <f>VLOOKUP(A1514,Medical_Examinations[],10,FALSE)</f>
        <v>Diabetes</v>
      </c>
      <c r="M1514">
        <f>VLOOKUP(A1514,Hospitalisation_Details__2[],4,FALSE)</f>
        <v>6809.46</v>
      </c>
      <c r="N1514" t="str">
        <f>VLOOKUP(A1514,Hospitalisation_Details__2[],5,FALSE)</f>
        <v>tier - 2</v>
      </c>
      <c r="O1514" t="str">
        <f>VLOOKUP(A1514,Hospitalisation_Details__2[],6,FALSE)</f>
        <v>tier - 1</v>
      </c>
      <c r="P1514" t="str">
        <f>VLOOKUP(A1514,Hospitalisation_Details__2[],7,FALSE)</f>
        <v>R1012</v>
      </c>
    </row>
    <row r="1515" spans="1:16" x14ac:dyDescent="0.35">
      <c r="A1515" t="str">
        <v>Id1514</v>
      </c>
      <c r="B1515" t="str">
        <f>VLOOKUP(A1515,'Customer Names (2)'!A:B, 2,FALSE)</f>
        <v>Mr</v>
      </c>
      <c r="C1515">
        <f>VLOOKUP(A1515,Medical_Examinations[],2,FALSE)</f>
        <v>28.5</v>
      </c>
      <c r="D1515">
        <f>VLOOKUP(A1515,Medical_Examinations[],3,FALSE)</f>
        <v>4.3600000000000003</v>
      </c>
      <c r="E1515" t="str">
        <f>VLOOKUP(A1515,Medical_Examinations[],4,FALSE)</f>
        <v>No</v>
      </c>
      <c r="F1515" t="str">
        <f>VLOOKUP(A1515,Medical_Examinations[],5,FALSE)</f>
        <v>No</v>
      </c>
      <c r="G1515" t="str">
        <f>VLOOKUP(A1515,Medical_Examinations[],6,FALSE)</f>
        <v>No</v>
      </c>
      <c r="H1515">
        <f>VLOOKUP(A1515,Medical_Examinations[],7,FALSE)</f>
        <v>0</v>
      </c>
      <c r="I1515" t="str">
        <f>VLOOKUP(A1515,Medical_Examinations[],8,FALSE)</f>
        <v>No</v>
      </c>
      <c r="J1515" t="str">
        <f>VLOOKUP(A1515,Medical_Examinations[],9,FALSE)</f>
        <v>Overweight</v>
      </c>
      <c r="K1515" t="str">
        <f>VLOOKUP(A1515,Medical_Examinations[],10,FALSE)</f>
        <v>Normal</v>
      </c>
      <c r="M1515">
        <f>VLOOKUP(A1515,Hospitalisation_Details__2[],4,FALSE)</f>
        <v>6799.46</v>
      </c>
      <c r="N1515" t="str">
        <f>VLOOKUP(A1515,Hospitalisation_Details__2[],5,FALSE)</f>
        <v>tier - 1</v>
      </c>
      <c r="O1515" t="str">
        <f>VLOOKUP(A1515,Hospitalisation_Details__2[],6,FALSE)</f>
        <v>tier - 2</v>
      </c>
      <c r="P1515" t="str">
        <f>VLOOKUP(A1515,Hospitalisation_Details__2[],7,FALSE)</f>
        <v>R1014</v>
      </c>
    </row>
    <row r="1516" spans="1:16" x14ac:dyDescent="0.35">
      <c r="A1516" t="str">
        <v>Id1515</v>
      </c>
      <c r="B1516" t="str">
        <f>VLOOKUP(A1516,'Customer Names (2)'!A:B, 2,FALSE)</f>
        <v>Mr</v>
      </c>
      <c r="C1516">
        <f>VLOOKUP(A1516,Medical_Examinations[],2,FALSE)</f>
        <v>30.875</v>
      </c>
      <c r="D1516">
        <f>VLOOKUP(A1516,Medical_Examinations[],3,FALSE)</f>
        <v>4.1399999999999997</v>
      </c>
      <c r="E1516" t="str">
        <f>VLOOKUP(A1516,Medical_Examinations[],4,FALSE)</f>
        <v>Yes</v>
      </c>
      <c r="F1516" t="str">
        <f>VLOOKUP(A1516,Medical_Examinations[],5,FALSE)</f>
        <v>No</v>
      </c>
      <c r="G1516" t="str">
        <f>VLOOKUP(A1516,Medical_Examinations[],6,FALSE)</f>
        <v>No</v>
      </c>
      <c r="H1516">
        <f>VLOOKUP(A1516,Medical_Examinations[],7,FALSE)</f>
        <v>0</v>
      </c>
      <c r="I1516" t="str">
        <f>VLOOKUP(A1516,Medical_Examinations[],8,FALSE)</f>
        <v>No</v>
      </c>
      <c r="J1516" t="str">
        <f>VLOOKUP(A1516,Medical_Examinations[],9,FALSE)</f>
        <v>Obesity</v>
      </c>
      <c r="K1516" t="str">
        <f>VLOOKUP(A1516,Medical_Examinations[],10,FALSE)</f>
        <v>Normal</v>
      </c>
      <c r="M1516">
        <f>VLOOKUP(A1516,Hospitalisation_Details__2[],4,FALSE)</f>
        <v>6796.86</v>
      </c>
      <c r="N1516" t="str">
        <f>VLOOKUP(A1516,Hospitalisation_Details__2[],5,FALSE)</f>
        <v>tier - 3</v>
      </c>
      <c r="O1516" t="str">
        <f>VLOOKUP(A1516,Hospitalisation_Details__2[],6,FALSE)</f>
        <v>tier - 3</v>
      </c>
      <c r="P1516" t="str">
        <f>VLOOKUP(A1516,Hospitalisation_Details__2[],7,FALSE)</f>
        <v>R1012</v>
      </c>
    </row>
    <row r="1517" spans="1:16" x14ac:dyDescent="0.35">
      <c r="A1517" t="str">
        <v>Id1516</v>
      </c>
      <c r="B1517" t="str">
        <f>VLOOKUP(A1517,'Customer Names (2)'!A:B, 2,FALSE)</f>
        <v>Mr</v>
      </c>
      <c r="C1517">
        <f>VLOOKUP(A1517,Medical_Examinations[],2,FALSE)</f>
        <v>24.02</v>
      </c>
      <c r="D1517">
        <f>VLOOKUP(A1517,Medical_Examinations[],3,FALSE)</f>
        <v>4.38</v>
      </c>
      <c r="E1517" t="str">
        <f>VLOOKUP(A1517,Medical_Examinations[],4,FALSE)</f>
        <v>No</v>
      </c>
      <c r="F1517" t="str">
        <f>VLOOKUP(A1517,Medical_Examinations[],5,FALSE)</f>
        <v>No</v>
      </c>
      <c r="G1517" t="str">
        <f>VLOOKUP(A1517,Medical_Examinations[],6,FALSE)</f>
        <v>No</v>
      </c>
      <c r="H1517">
        <f>VLOOKUP(A1517,Medical_Examinations[],7,FALSE)</f>
        <v>0</v>
      </c>
      <c r="I1517" t="str">
        <f>VLOOKUP(A1517,Medical_Examinations[],8,FALSE)</f>
        <v>No</v>
      </c>
      <c r="J1517" t="str">
        <f>VLOOKUP(A1517,Medical_Examinations[],9,FALSE)</f>
        <v>Normal Weight</v>
      </c>
      <c r="K1517" t="str">
        <f>VLOOKUP(A1517,Medical_Examinations[],10,FALSE)</f>
        <v>Normal</v>
      </c>
      <c r="M1517">
        <f>VLOOKUP(A1517,Hospitalisation_Details__2[],4,FALSE)</f>
        <v>6781.52</v>
      </c>
      <c r="N1517" t="str">
        <f>VLOOKUP(A1517,Hospitalisation_Details__2[],5,FALSE)</f>
        <v>tier - 2</v>
      </c>
      <c r="O1517" t="str">
        <f>VLOOKUP(A1517,Hospitalisation_Details__2[],6,FALSE)</f>
        <v>tier - 2</v>
      </c>
      <c r="P1517" t="str">
        <f>VLOOKUP(A1517,Hospitalisation_Details__2[],7,FALSE)</f>
        <v>R1013</v>
      </c>
    </row>
    <row r="1518" spans="1:16" x14ac:dyDescent="0.35">
      <c r="A1518" t="str">
        <v>Id1517</v>
      </c>
      <c r="B1518" t="str">
        <f>VLOOKUP(A1518,'Customer Names (2)'!A:B, 2,FALSE)</f>
        <v>Ms</v>
      </c>
      <c r="C1518">
        <f>VLOOKUP(A1518,Medical_Examinations[],2,FALSE)</f>
        <v>36.08</v>
      </c>
      <c r="D1518">
        <f>VLOOKUP(A1518,Medical_Examinations[],3,FALSE)</f>
        <v>11.61</v>
      </c>
      <c r="E1518" t="str">
        <f>VLOOKUP(A1518,Medical_Examinations[],4,FALSE)</f>
        <v>Yes</v>
      </c>
      <c r="F1518" t="str">
        <f>VLOOKUP(A1518,Medical_Examinations[],5,FALSE)</f>
        <v>No</v>
      </c>
      <c r="G1518" t="str">
        <f>VLOOKUP(A1518,Medical_Examinations[],6,FALSE)</f>
        <v>No</v>
      </c>
      <c r="H1518">
        <f>VLOOKUP(A1518,Medical_Examinations[],7,FALSE)</f>
        <v>0</v>
      </c>
      <c r="I1518" t="str">
        <f>VLOOKUP(A1518,Medical_Examinations[],8,FALSE)</f>
        <v>No</v>
      </c>
      <c r="J1518" t="str">
        <f>VLOOKUP(A1518,Medical_Examinations[],9,FALSE)</f>
        <v>Obesity</v>
      </c>
      <c r="K1518" t="str">
        <f>VLOOKUP(A1518,Medical_Examinations[],10,FALSE)</f>
        <v>Diabetes</v>
      </c>
      <c r="M1518">
        <f>VLOOKUP(A1518,Hospitalisation_Details__2[],4,FALSE)</f>
        <v>6781.35</v>
      </c>
      <c r="N1518" t="str">
        <f>VLOOKUP(A1518,Hospitalisation_Details__2[],5,FALSE)</f>
        <v>tier - 2</v>
      </c>
      <c r="O1518" t="str">
        <f>VLOOKUP(A1518,Hospitalisation_Details__2[],6,FALSE)</f>
        <v>tier - 1</v>
      </c>
      <c r="P1518" t="str">
        <f>VLOOKUP(A1518,Hospitalisation_Details__2[],7,FALSE)</f>
        <v>R1013</v>
      </c>
    </row>
    <row r="1519" spans="1:16" x14ac:dyDescent="0.35">
      <c r="A1519" t="str">
        <v>Id1518</v>
      </c>
      <c r="B1519" t="str">
        <f>VLOOKUP(A1519,'Customer Names (2)'!A:B, 2,FALSE)</f>
        <v>Ms</v>
      </c>
      <c r="C1519">
        <f>VLOOKUP(A1519,Medical_Examinations[],2,FALSE)</f>
        <v>32.200000000000003</v>
      </c>
      <c r="D1519">
        <f>VLOOKUP(A1519,Medical_Examinations[],3,FALSE)</f>
        <v>10.59</v>
      </c>
      <c r="E1519" t="str">
        <f>VLOOKUP(A1519,Medical_Examinations[],4,FALSE)</f>
        <v>Yes</v>
      </c>
      <c r="F1519" t="str">
        <f>VLOOKUP(A1519,Medical_Examinations[],5,FALSE)</f>
        <v>No</v>
      </c>
      <c r="G1519" t="str">
        <f>VLOOKUP(A1519,Medical_Examinations[],6,FALSE)</f>
        <v>No</v>
      </c>
      <c r="H1519">
        <f>VLOOKUP(A1519,Medical_Examinations[],7,FALSE)</f>
        <v>0</v>
      </c>
      <c r="I1519" t="str">
        <f>VLOOKUP(A1519,Medical_Examinations[],8,FALSE)</f>
        <v>No</v>
      </c>
      <c r="J1519" t="str">
        <f>VLOOKUP(A1519,Medical_Examinations[],9,FALSE)</f>
        <v>Obesity</v>
      </c>
      <c r="K1519" t="str">
        <f>VLOOKUP(A1519,Medical_Examinations[],10,FALSE)</f>
        <v>Diabetes</v>
      </c>
      <c r="M1519">
        <f>VLOOKUP(A1519,Hospitalisation_Details__2[],4,FALSE)</f>
        <v>6775.96</v>
      </c>
      <c r="N1519" t="str">
        <f>VLOOKUP(A1519,Hospitalisation_Details__2[],5,FALSE)</f>
        <v>tier - 2</v>
      </c>
      <c r="O1519" t="str">
        <f>VLOOKUP(A1519,Hospitalisation_Details__2[],6,FALSE)</f>
        <v>tier - 3</v>
      </c>
      <c r="P1519" t="str">
        <f>VLOOKUP(A1519,Hospitalisation_Details__2[],7,FALSE)</f>
        <v>R1011</v>
      </c>
    </row>
    <row r="1520" spans="1:16" x14ac:dyDescent="0.35">
      <c r="A1520" t="str">
        <v>Id1519</v>
      </c>
      <c r="B1520" t="str">
        <f>VLOOKUP(A1520,'Customer Names (2)'!A:B, 2,FALSE)</f>
        <v>Ms</v>
      </c>
      <c r="C1520">
        <f>VLOOKUP(A1520,Medical_Examinations[],2,FALSE)</f>
        <v>28.05</v>
      </c>
      <c r="D1520">
        <f>VLOOKUP(A1520,Medical_Examinations[],3,FALSE)</f>
        <v>11.85</v>
      </c>
      <c r="E1520" t="str">
        <f>VLOOKUP(A1520,Medical_Examinations[],4,FALSE)</f>
        <v>Yes</v>
      </c>
      <c r="F1520" t="str">
        <f>VLOOKUP(A1520,Medical_Examinations[],5,FALSE)</f>
        <v>No</v>
      </c>
      <c r="G1520" t="str">
        <f>VLOOKUP(A1520,Medical_Examinations[],6,FALSE)</f>
        <v>No</v>
      </c>
      <c r="H1520">
        <f>VLOOKUP(A1520,Medical_Examinations[],7,FALSE)</f>
        <v>0</v>
      </c>
      <c r="I1520" t="str">
        <f>VLOOKUP(A1520,Medical_Examinations[],8,FALSE)</f>
        <v>No</v>
      </c>
      <c r="J1520" t="str">
        <f>VLOOKUP(A1520,Medical_Examinations[],9,FALSE)</f>
        <v>Overweight</v>
      </c>
      <c r="K1520" t="str">
        <f>VLOOKUP(A1520,Medical_Examinations[],10,FALSE)</f>
        <v>Diabetes</v>
      </c>
      <c r="M1520">
        <f>VLOOKUP(A1520,Hospitalisation_Details__2[],4,FALSE)</f>
        <v>6770.19</v>
      </c>
      <c r="N1520" t="str">
        <f>VLOOKUP(A1520,Hospitalisation_Details__2[],5,FALSE)</f>
        <v>tier - 2</v>
      </c>
      <c r="O1520" t="str">
        <f>VLOOKUP(A1520,Hospitalisation_Details__2[],6,FALSE)</f>
        <v>tier - 3</v>
      </c>
      <c r="P1520" t="str">
        <f>VLOOKUP(A1520,Hospitalisation_Details__2[],7,FALSE)</f>
        <v>R1013</v>
      </c>
    </row>
    <row r="1521" spans="1:16" x14ac:dyDescent="0.35">
      <c r="A1521" t="str">
        <v>Id1520</v>
      </c>
      <c r="B1521" t="str">
        <f>VLOOKUP(A1521,'Customer Names (2)'!A:B, 2,FALSE)</f>
        <v>Ms</v>
      </c>
      <c r="C1521">
        <f>VLOOKUP(A1521,Medical_Examinations[],2,FALSE)</f>
        <v>19</v>
      </c>
      <c r="D1521">
        <f>VLOOKUP(A1521,Medical_Examinations[],3,FALSE)</f>
        <v>5.46</v>
      </c>
      <c r="E1521" t="str">
        <f>VLOOKUP(A1521,Medical_Examinations[],4,FALSE)</f>
        <v>Yes</v>
      </c>
      <c r="F1521" t="str">
        <f>VLOOKUP(A1521,Medical_Examinations[],5,FALSE)</f>
        <v>No</v>
      </c>
      <c r="G1521" t="str">
        <f>VLOOKUP(A1521,Medical_Examinations[],6,FALSE)</f>
        <v>No</v>
      </c>
      <c r="H1521">
        <f>VLOOKUP(A1521,Medical_Examinations[],7,FALSE)</f>
        <v>1</v>
      </c>
      <c r="I1521" t="str">
        <f>VLOOKUP(A1521,Medical_Examinations[],8,FALSE)</f>
        <v>No</v>
      </c>
      <c r="J1521" t="str">
        <f>VLOOKUP(A1521,Medical_Examinations[],9,FALSE)</f>
        <v>Normal Weight</v>
      </c>
      <c r="K1521" t="str">
        <f>VLOOKUP(A1521,Medical_Examinations[],10,FALSE)</f>
        <v>Normal</v>
      </c>
      <c r="M1521">
        <f>VLOOKUP(A1521,Hospitalisation_Details__2[],4,FALSE)</f>
        <v>6753.04</v>
      </c>
      <c r="N1521" t="str">
        <f>VLOOKUP(A1521,Hospitalisation_Details__2[],5,FALSE)</f>
        <v>tier - 2</v>
      </c>
      <c r="O1521" t="str">
        <f>VLOOKUP(A1521,Hospitalisation_Details__2[],6,FALSE)</f>
        <v>tier - 2</v>
      </c>
      <c r="P1521" t="str">
        <f>VLOOKUP(A1521,Hospitalisation_Details__2[],7,FALSE)</f>
        <v>R1024</v>
      </c>
    </row>
    <row r="1522" spans="1:16" x14ac:dyDescent="0.35">
      <c r="A1522" t="str">
        <v>Id1521</v>
      </c>
      <c r="B1522" t="str">
        <f>VLOOKUP(A1522,'Customer Names (2)'!A:B, 2,FALSE)</f>
        <v>Mr</v>
      </c>
      <c r="C1522">
        <f>VLOOKUP(A1522,Medical_Examinations[],2,FALSE)</f>
        <v>16.13</v>
      </c>
      <c r="D1522">
        <f>VLOOKUP(A1522,Medical_Examinations[],3,FALSE)</f>
        <v>4.54</v>
      </c>
      <c r="E1522" t="str">
        <f>VLOOKUP(A1522,Medical_Examinations[],4,FALSE)</f>
        <v>Yes</v>
      </c>
      <c r="F1522" t="str">
        <f>VLOOKUP(A1522,Medical_Examinations[],5,FALSE)</f>
        <v>No</v>
      </c>
      <c r="G1522" t="str">
        <f>VLOOKUP(A1522,Medical_Examinations[],6,FALSE)</f>
        <v>No</v>
      </c>
      <c r="H1522">
        <f>VLOOKUP(A1522,Medical_Examinations[],7,FALSE)</f>
        <v>2</v>
      </c>
      <c r="I1522" t="str">
        <f>VLOOKUP(A1522,Medical_Examinations[],8,FALSE)</f>
        <v>No</v>
      </c>
      <c r="J1522" t="str">
        <f>VLOOKUP(A1522,Medical_Examinations[],9,FALSE)</f>
        <v>Underweight</v>
      </c>
      <c r="K1522" t="str">
        <f>VLOOKUP(A1522,Medical_Examinations[],10,FALSE)</f>
        <v>Normal</v>
      </c>
      <c r="M1522">
        <f>VLOOKUP(A1522,Hospitalisation_Details__2[],4,FALSE)</f>
        <v>6750.27</v>
      </c>
      <c r="N1522" t="str">
        <f>VLOOKUP(A1522,Hospitalisation_Details__2[],5,FALSE)</f>
        <v>tier - 3</v>
      </c>
      <c r="O1522" t="str">
        <f>VLOOKUP(A1522,Hospitalisation_Details__2[],6,FALSE)</f>
        <v>tier - 2</v>
      </c>
      <c r="P1522" t="str">
        <f>VLOOKUP(A1522,Hospitalisation_Details__2[],7,FALSE)</f>
        <v>R1013</v>
      </c>
    </row>
    <row r="1523" spans="1:16" x14ac:dyDescent="0.35">
      <c r="A1523" t="str">
        <v>Id1522</v>
      </c>
      <c r="B1523" t="str">
        <f>VLOOKUP(A1523,'Customer Names (2)'!A:B, 2,FALSE)</f>
        <v>Ms</v>
      </c>
      <c r="C1523">
        <f>VLOOKUP(A1523,Medical_Examinations[],2,FALSE)</f>
        <v>18.77</v>
      </c>
      <c r="D1523">
        <f>VLOOKUP(A1523,Medical_Examinations[],3,FALSE)</f>
        <v>11.98</v>
      </c>
      <c r="E1523" t="str">
        <f>VLOOKUP(A1523,Medical_Examinations[],4,FALSE)</f>
        <v>Yes</v>
      </c>
      <c r="F1523" t="str">
        <f>VLOOKUP(A1523,Medical_Examinations[],5,FALSE)</f>
        <v>No</v>
      </c>
      <c r="G1523" t="str">
        <f>VLOOKUP(A1523,Medical_Examinations[],6,FALSE)</f>
        <v>No</v>
      </c>
      <c r="H1523">
        <f>VLOOKUP(A1523,Medical_Examinations[],7,FALSE)</f>
        <v>2</v>
      </c>
      <c r="I1523" t="str">
        <f>VLOOKUP(A1523,Medical_Examinations[],8,FALSE)</f>
        <v>No</v>
      </c>
      <c r="J1523" t="str">
        <f>VLOOKUP(A1523,Medical_Examinations[],9,FALSE)</f>
        <v>Normal Weight</v>
      </c>
      <c r="K1523" t="str">
        <f>VLOOKUP(A1523,Medical_Examinations[],10,FALSE)</f>
        <v>Diabetes</v>
      </c>
      <c r="M1523">
        <f>VLOOKUP(A1523,Hospitalisation_Details__2[],4,FALSE)</f>
        <v>6749.63</v>
      </c>
      <c r="N1523" t="str">
        <f>VLOOKUP(A1523,Hospitalisation_Details__2[],5,FALSE)</f>
        <v>tier - 2</v>
      </c>
      <c r="O1523" t="str">
        <f>VLOOKUP(A1523,Hospitalisation_Details__2[],6,FALSE)</f>
        <v>tier - 1</v>
      </c>
      <c r="P1523" t="str">
        <f>VLOOKUP(A1523,Hospitalisation_Details__2[],7,FALSE)</f>
        <v>R1013</v>
      </c>
    </row>
    <row r="1524" spans="1:16" x14ac:dyDescent="0.35">
      <c r="A1524" t="str">
        <v>Id1523</v>
      </c>
      <c r="B1524" t="str">
        <f>VLOOKUP(A1524,'Customer Names (2)'!A:B, 2,FALSE)</f>
        <v>Mr</v>
      </c>
      <c r="C1524">
        <f>VLOOKUP(A1524,Medical_Examinations[],2,FALSE)</f>
        <v>28.88</v>
      </c>
      <c r="D1524">
        <f>VLOOKUP(A1524,Medical_Examinations[],3,FALSE)</f>
        <v>6.59</v>
      </c>
      <c r="E1524" t="str">
        <f>VLOOKUP(A1524,Medical_Examinations[],4,FALSE)</f>
        <v>Yes</v>
      </c>
      <c r="F1524" t="str">
        <f>VLOOKUP(A1524,Medical_Examinations[],5,FALSE)</f>
        <v>No</v>
      </c>
      <c r="G1524" t="str">
        <f>VLOOKUP(A1524,Medical_Examinations[],6,FALSE)</f>
        <v>No</v>
      </c>
      <c r="H1524">
        <f>VLOOKUP(A1524,Medical_Examinations[],7,FALSE)</f>
        <v>1</v>
      </c>
      <c r="I1524" t="str">
        <f>VLOOKUP(A1524,Medical_Examinations[],8,FALSE)</f>
        <v>No</v>
      </c>
      <c r="J1524" t="str">
        <f>VLOOKUP(A1524,Medical_Examinations[],9,FALSE)</f>
        <v>Overweight</v>
      </c>
      <c r="K1524" t="str">
        <f>VLOOKUP(A1524,Medical_Examinations[],10,FALSE)</f>
        <v>Diabetes</v>
      </c>
      <c r="M1524">
        <f>VLOOKUP(A1524,Hospitalisation_Details__2[],4,FALSE)</f>
        <v>6748.59</v>
      </c>
      <c r="N1524" t="str">
        <f>VLOOKUP(A1524,Hospitalisation_Details__2[],5,FALSE)</f>
        <v>tier - 3</v>
      </c>
      <c r="O1524" t="str">
        <f>VLOOKUP(A1524,Hospitalisation_Details__2[],6,FALSE)</f>
        <v>tier - 1</v>
      </c>
      <c r="P1524" t="str">
        <f>VLOOKUP(A1524,Hospitalisation_Details__2[],7,FALSE)</f>
        <v>R1016</v>
      </c>
    </row>
    <row r="1525" spans="1:16" x14ac:dyDescent="0.35">
      <c r="A1525" t="str">
        <v>Id1524</v>
      </c>
      <c r="B1525" t="str">
        <f>VLOOKUP(A1525,'Customer Names (2)'!A:B, 2,FALSE)</f>
        <v>Mr</v>
      </c>
      <c r="C1525">
        <f>VLOOKUP(A1525,Medical_Examinations[],2,FALSE)</f>
        <v>27.55</v>
      </c>
      <c r="D1525">
        <f>VLOOKUP(A1525,Medical_Examinations[],3,FALSE)</f>
        <v>10.83</v>
      </c>
      <c r="E1525" t="str">
        <f>VLOOKUP(A1525,Medical_Examinations[],4,FALSE)</f>
        <v>Yes</v>
      </c>
      <c r="F1525" t="str">
        <f>VLOOKUP(A1525,Medical_Examinations[],5,FALSE)</f>
        <v>No</v>
      </c>
      <c r="G1525" t="str">
        <f>VLOOKUP(A1525,Medical_Examinations[],6,FALSE)</f>
        <v>No</v>
      </c>
      <c r="H1525">
        <f>VLOOKUP(A1525,Medical_Examinations[],7,FALSE)</f>
        <v>1</v>
      </c>
      <c r="I1525" t="str">
        <f>VLOOKUP(A1525,Medical_Examinations[],8,FALSE)</f>
        <v>No</v>
      </c>
      <c r="J1525" t="str">
        <f>VLOOKUP(A1525,Medical_Examinations[],9,FALSE)</f>
        <v>Overweight</v>
      </c>
      <c r="K1525" t="str">
        <f>VLOOKUP(A1525,Medical_Examinations[],10,FALSE)</f>
        <v>Diabetes</v>
      </c>
      <c r="M1525">
        <f>VLOOKUP(A1525,Hospitalisation_Details__2[],4,FALSE)</f>
        <v>6746.74</v>
      </c>
      <c r="N1525" t="str">
        <f>VLOOKUP(A1525,Hospitalisation_Details__2[],5,FALSE)</f>
        <v>tier - 3</v>
      </c>
      <c r="O1525" t="str">
        <f>VLOOKUP(A1525,Hospitalisation_Details__2[],6,FALSE)</f>
        <v>tier - 2</v>
      </c>
      <c r="P1525" t="str">
        <f>VLOOKUP(A1525,Hospitalisation_Details__2[],7,FALSE)</f>
        <v>R1016</v>
      </c>
    </row>
    <row r="1526" spans="1:16" x14ac:dyDescent="0.35">
      <c r="A1526" t="str">
        <v>Id1525</v>
      </c>
      <c r="B1526" t="str">
        <f>VLOOKUP(A1526,'Customer Names (2)'!A:B, 2,FALSE)</f>
        <v>Mr</v>
      </c>
      <c r="C1526">
        <f>VLOOKUP(A1526,Medical_Examinations[],2,FALSE)</f>
        <v>15.6</v>
      </c>
      <c r="D1526">
        <f>VLOOKUP(A1526,Medical_Examinations[],3,FALSE)</f>
        <v>8.6</v>
      </c>
      <c r="E1526" t="str">
        <f>VLOOKUP(A1526,Medical_Examinations[],4,FALSE)</f>
        <v>No</v>
      </c>
      <c r="F1526" t="str">
        <f>VLOOKUP(A1526,Medical_Examinations[],5,FALSE)</f>
        <v>No</v>
      </c>
      <c r="G1526" t="str">
        <f>VLOOKUP(A1526,Medical_Examinations[],6,FALSE)</f>
        <v>No</v>
      </c>
      <c r="H1526">
        <f>VLOOKUP(A1526,Medical_Examinations[],7,FALSE)</f>
        <v>0</v>
      </c>
      <c r="I1526" t="str">
        <f>VLOOKUP(A1526,Medical_Examinations[],8,FALSE)</f>
        <v>No</v>
      </c>
      <c r="J1526" t="str">
        <f>VLOOKUP(A1526,Medical_Examinations[],9,FALSE)</f>
        <v>Underweight</v>
      </c>
      <c r="K1526" t="str">
        <f>VLOOKUP(A1526,Medical_Examinations[],10,FALSE)</f>
        <v>Diabetes</v>
      </c>
      <c r="M1526">
        <f>VLOOKUP(A1526,Hospitalisation_Details__2[],4,FALSE)</f>
        <v>6738.84</v>
      </c>
      <c r="N1526" t="str">
        <f>VLOOKUP(A1526,Hospitalisation_Details__2[],5,FALSE)</f>
        <v>tier - 3</v>
      </c>
      <c r="O1526" t="str">
        <f>VLOOKUP(A1526,Hospitalisation_Details__2[],6,FALSE)</f>
        <v>tier - 1</v>
      </c>
      <c r="P1526" t="str">
        <f>VLOOKUP(A1526,Hospitalisation_Details__2[],7,FALSE)</f>
        <v>R1012</v>
      </c>
    </row>
    <row r="1527" spans="1:16" x14ac:dyDescent="0.35">
      <c r="A1527" t="str">
        <v>Id1526</v>
      </c>
      <c r="B1527" t="str">
        <f>VLOOKUP(A1527,'Customer Names (2)'!A:B, 2,FALSE)</f>
        <v>Ms</v>
      </c>
      <c r="C1527">
        <f>VLOOKUP(A1527,Medical_Examinations[],2,FALSE)</f>
        <v>21.99</v>
      </c>
      <c r="D1527">
        <f>VLOOKUP(A1527,Medical_Examinations[],3,FALSE)</f>
        <v>11.17</v>
      </c>
      <c r="E1527" t="str">
        <f>VLOOKUP(A1527,Medical_Examinations[],4,FALSE)</f>
        <v>No</v>
      </c>
      <c r="F1527" t="str">
        <f>VLOOKUP(A1527,Medical_Examinations[],5,FALSE)</f>
        <v>No</v>
      </c>
      <c r="G1527" t="str">
        <f>VLOOKUP(A1527,Medical_Examinations[],6,FALSE)</f>
        <v>No</v>
      </c>
      <c r="H1527">
        <f>VLOOKUP(A1527,Medical_Examinations[],7,FALSE)</f>
        <v>0</v>
      </c>
      <c r="I1527" t="str">
        <f>VLOOKUP(A1527,Medical_Examinations[],8,FALSE)</f>
        <v>No</v>
      </c>
      <c r="J1527" t="str">
        <f>VLOOKUP(A1527,Medical_Examinations[],9,FALSE)</f>
        <v>Normal Weight</v>
      </c>
      <c r="K1527" t="str">
        <f>VLOOKUP(A1527,Medical_Examinations[],10,FALSE)</f>
        <v>Diabetes</v>
      </c>
      <c r="M1527">
        <f>VLOOKUP(A1527,Hospitalisation_Details__2[],4,FALSE)</f>
        <v>6737.98</v>
      </c>
      <c r="N1527" t="str">
        <f>VLOOKUP(A1527,Hospitalisation_Details__2[],5,FALSE)</f>
        <v>tier - 2</v>
      </c>
      <c r="O1527" t="str">
        <f>VLOOKUP(A1527,Hospitalisation_Details__2[],6,FALSE)</f>
        <v>tier - 3</v>
      </c>
      <c r="P1527" t="str">
        <f>VLOOKUP(A1527,Hospitalisation_Details__2[],7,FALSE)</f>
        <v>R1013</v>
      </c>
    </row>
    <row r="1528" spans="1:16" x14ac:dyDescent="0.35">
      <c r="A1528" t="str">
        <v>Id1527</v>
      </c>
      <c r="B1528" t="str">
        <f>VLOOKUP(A1528,'Customer Names (2)'!A:B, 2,FALSE)</f>
        <v>Ms</v>
      </c>
      <c r="C1528">
        <f>VLOOKUP(A1528,Medical_Examinations[],2,FALSE)</f>
        <v>34.85</v>
      </c>
      <c r="D1528">
        <f>VLOOKUP(A1528,Medical_Examinations[],3,FALSE)</f>
        <v>5.75</v>
      </c>
      <c r="E1528" t="str">
        <f>VLOOKUP(A1528,Medical_Examinations[],4,FALSE)</f>
        <v>No</v>
      </c>
      <c r="F1528" t="str">
        <f>VLOOKUP(A1528,Medical_Examinations[],5,FALSE)</f>
        <v>No</v>
      </c>
      <c r="G1528" t="str">
        <f>VLOOKUP(A1528,Medical_Examinations[],6,FALSE)</f>
        <v>No</v>
      </c>
      <c r="H1528">
        <f>VLOOKUP(A1528,Medical_Examinations[],7,FALSE)</f>
        <v>0</v>
      </c>
      <c r="I1528" t="str">
        <f>VLOOKUP(A1528,Medical_Examinations[],8,FALSE)</f>
        <v>No</v>
      </c>
      <c r="J1528" t="str">
        <f>VLOOKUP(A1528,Medical_Examinations[],9,FALSE)</f>
        <v>Obesity</v>
      </c>
      <c r="K1528" t="str">
        <f>VLOOKUP(A1528,Medical_Examinations[],10,FALSE)</f>
        <v>Prediabetes</v>
      </c>
      <c r="M1528">
        <f>VLOOKUP(A1528,Hospitalisation_Details__2[],4,FALSE)</f>
        <v>6721.37</v>
      </c>
      <c r="N1528" t="str">
        <f>VLOOKUP(A1528,Hospitalisation_Details__2[],5,FALSE)</f>
        <v>tier - 2</v>
      </c>
      <c r="O1528" t="str">
        <f>VLOOKUP(A1528,Hospitalisation_Details__2[],6,FALSE)</f>
        <v>tier - 1</v>
      </c>
      <c r="P1528" t="str">
        <f>VLOOKUP(A1528,Hospitalisation_Details__2[],7,FALSE)</f>
        <v>R1012</v>
      </c>
    </row>
    <row r="1529" spans="1:16" x14ac:dyDescent="0.35">
      <c r="A1529" t="str">
        <v>Id1528</v>
      </c>
      <c r="B1529" t="str">
        <f>VLOOKUP(A1529,'Customer Names (2)'!A:B, 2,FALSE)</f>
        <v>Mr</v>
      </c>
      <c r="C1529">
        <f>VLOOKUP(A1529,Medical_Examinations[],2,FALSE)</f>
        <v>24.51</v>
      </c>
      <c r="D1529">
        <f>VLOOKUP(A1529,Medical_Examinations[],3,FALSE)</f>
        <v>4.83</v>
      </c>
      <c r="E1529" t="str">
        <f>VLOOKUP(A1529,Medical_Examinations[],4,FALSE)</f>
        <v>Yes</v>
      </c>
      <c r="F1529" t="str">
        <f>VLOOKUP(A1529,Medical_Examinations[],5,FALSE)</f>
        <v>No</v>
      </c>
      <c r="G1529" t="str">
        <f>VLOOKUP(A1529,Medical_Examinations[],6,FALSE)</f>
        <v>Yes</v>
      </c>
      <c r="H1529">
        <f>VLOOKUP(A1529,Medical_Examinations[],7,FALSE)</f>
        <v>1</v>
      </c>
      <c r="I1529" t="str">
        <f>VLOOKUP(A1529,Medical_Examinations[],8,FALSE)</f>
        <v>No</v>
      </c>
      <c r="J1529" t="str">
        <f>VLOOKUP(A1529,Medical_Examinations[],9,FALSE)</f>
        <v>Normal Weight</v>
      </c>
      <c r="K1529" t="str">
        <f>VLOOKUP(A1529,Medical_Examinations[],10,FALSE)</f>
        <v>Normal</v>
      </c>
      <c r="M1529">
        <f>VLOOKUP(A1529,Hospitalisation_Details__2[],4,FALSE)</f>
        <v>6710.19</v>
      </c>
      <c r="N1529" t="str">
        <f>VLOOKUP(A1529,Hospitalisation_Details__2[],5,FALSE)</f>
        <v>tier - 3</v>
      </c>
      <c r="O1529" t="str">
        <f>VLOOKUP(A1529,Hospitalisation_Details__2[],6,FALSE)</f>
        <v>tier - 3</v>
      </c>
      <c r="P1529" t="str">
        <f>VLOOKUP(A1529,Hospitalisation_Details__2[],7,FALSE)</f>
        <v>R1012</v>
      </c>
    </row>
    <row r="1530" spans="1:16" x14ac:dyDescent="0.35">
      <c r="A1530" t="str">
        <v>Id1529</v>
      </c>
      <c r="B1530" t="str">
        <f>VLOOKUP(A1530,'Customer Names (2)'!A:B, 2,FALSE)</f>
        <v>Ms</v>
      </c>
      <c r="C1530">
        <f>VLOOKUP(A1530,Medical_Examinations[],2,FALSE)</f>
        <v>19.399999999999999</v>
      </c>
      <c r="D1530">
        <f>VLOOKUP(A1530,Medical_Examinations[],3,FALSE)</f>
        <v>11.93</v>
      </c>
      <c r="E1530" t="str">
        <f>VLOOKUP(A1530,Medical_Examinations[],4,FALSE)</f>
        <v>No</v>
      </c>
      <c r="F1530" t="str">
        <f>VLOOKUP(A1530,Medical_Examinations[],5,FALSE)</f>
        <v>No</v>
      </c>
      <c r="G1530" t="str">
        <f>VLOOKUP(A1530,Medical_Examinations[],6,FALSE)</f>
        <v>No</v>
      </c>
      <c r="H1530">
        <f>VLOOKUP(A1530,Medical_Examinations[],7,FALSE)</f>
        <v>0</v>
      </c>
      <c r="I1530" t="str">
        <f>VLOOKUP(A1530,Medical_Examinations[],8,FALSE)</f>
        <v>No</v>
      </c>
      <c r="J1530" t="str">
        <f>VLOOKUP(A1530,Medical_Examinations[],9,FALSE)</f>
        <v>Normal Weight</v>
      </c>
      <c r="K1530" t="str">
        <f>VLOOKUP(A1530,Medical_Examinations[],10,FALSE)</f>
        <v>Diabetes</v>
      </c>
      <c r="M1530">
        <f>VLOOKUP(A1530,Hospitalisation_Details__2[],4,FALSE)</f>
        <v>6706.47</v>
      </c>
      <c r="N1530" t="str">
        <f>VLOOKUP(A1530,Hospitalisation_Details__2[],5,FALSE)</f>
        <v>tier - 2</v>
      </c>
      <c r="O1530" t="str">
        <f>VLOOKUP(A1530,Hospitalisation_Details__2[],6,FALSE)</f>
        <v>tier - 1</v>
      </c>
      <c r="P1530" t="str">
        <f>VLOOKUP(A1530,Hospitalisation_Details__2[],7,FALSE)</f>
        <v>R1013</v>
      </c>
    </row>
    <row r="1531" spans="1:16" x14ac:dyDescent="0.35">
      <c r="A1531" t="str">
        <v>Id1530</v>
      </c>
      <c r="B1531" t="str">
        <f>VLOOKUP(A1531,'Customer Names (2)'!A:B, 2,FALSE)</f>
        <v>Ms</v>
      </c>
      <c r="C1531">
        <f>VLOOKUP(A1531,Medical_Examinations[],2,FALSE)</f>
        <v>15.1</v>
      </c>
      <c r="D1531">
        <f>VLOOKUP(A1531,Medical_Examinations[],3,FALSE)</f>
        <v>8.41</v>
      </c>
      <c r="E1531" t="str">
        <f>VLOOKUP(A1531,Medical_Examinations[],4,FALSE)</f>
        <v>No</v>
      </c>
      <c r="F1531" t="str">
        <f>VLOOKUP(A1531,Medical_Examinations[],5,FALSE)</f>
        <v>No</v>
      </c>
      <c r="G1531" t="str">
        <f>VLOOKUP(A1531,Medical_Examinations[],6,FALSE)</f>
        <v>No</v>
      </c>
      <c r="H1531">
        <f>VLOOKUP(A1531,Medical_Examinations[],7,FALSE)</f>
        <v>0</v>
      </c>
      <c r="I1531" t="str">
        <f>VLOOKUP(A1531,Medical_Examinations[],8,FALSE)</f>
        <v>No</v>
      </c>
      <c r="J1531" t="str">
        <f>VLOOKUP(A1531,Medical_Examinations[],9,FALSE)</f>
        <v>Underweight</v>
      </c>
      <c r="K1531" t="str">
        <f>VLOOKUP(A1531,Medical_Examinations[],10,FALSE)</f>
        <v>Diabetes</v>
      </c>
      <c r="M1531">
        <f>VLOOKUP(A1531,Hospitalisation_Details__2[],4,FALSE)</f>
        <v>6700.56</v>
      </c>
      <c r="N1531" t="str">
        <f>VLOOKUP(A1531,Hospitalisation_Details__2[],5,FALSE)</f>
        <v>tier - 3</v>
      </c>
      <c r="O1531" t="str">
        <f>VLOOKUP(A1531,Hospitalisation_Details__2[],6,FALSE)</f>
        <v>tier - 1</v>
      </c>
      <c r="P1531" t="str">
        <f>VLOOKUP(A1531,Hospitalisation_Details__2[],7,FALSE)</f>
        <v>R1012</v>
      </c>
    </row>
    <row r="1532" spans="1:16" x14ac:dyDescent="0.35">
      <c r="A1532" t="str">
        <v>Id1531</v>
      </c>
      <c r="B1532" t="str">
        <f>VLOOKUP(A1532,'Customer Names (2)'!A:B, 2,FALSE)</f>
        <v>Ms</v>
      </c>
      <c r="C1532">
        <f>VLOOKUP(A1532,Medical_Examinations[],2,FALSE)</f>
        <v>23.37</v>
      </c>
      <c r="D1532">
        <f>VLOOKUP(A1532,Medical_Examinations[],3,FALSE)</f>
        <v>5.59</v>
      </c>
      <c r="E1532" t="str">
        <f>VLOOKUP(A1532,Medical_Examinations[],4,FALSE)</f>
        <v>Yes</v>
      </c>
      <c r="F1532" t="str">
        <f>VLOOKUP(A1532,Medical_Examinations[],5,FALSE)</f>
        <v>No</v>
      </c>
      <c r="G1532" t="str">
        <f>VLOOKUP(A1532,Medical_Examinations[],6,FALSE)</f>
        <v>No</v>
      </c>
      <c r="H1532">
        <f>VLOOKUP(A1532,Medical_Examinations[],7,FALSE)</f>
        <v>0</v>
      </c>
      <c r="I1532" t="str">
        <f>VLOOKUP(A1532,Medical_Examinations[],8,FALSE)</f>
        <v>No</v>
      </c>
      <c r="J1532" t="str">
        <f>VLOOKUP(A1532,Medical_Examinations[],9,FALSE)</f>
        <v>Normal Weight</v>
      </c>
      <c r="K1532" t="str">
        <f>VLOOKUP(A1532,Medical_Examinations[],10,FALSE)</f>
        <v>Normal</v>
      </c>
      <c r="M1532">
        <f>VLOOKUP(A1532,Hospitalisation_Details__2[],4,FALSE)</f>
        <v>6686.43</v>
      </c>
      <c r="N1532" t="str">
        <f>VLOOKUP(A1532,Hospitalisation_Details__2[],5,FALSE)</f>
        <v>tier - 2</v>
      </c>
      <c r="O1532" t="str">
        <f>VLOOKUP(A1532,Hospitalisation_Details__2[],6,FALSE)</f>
        <v>tier - 3</v>
      </c>
      <c r="P1532" t="str">
        <f>VLOOKUP(A1532,Hospitalisation_Details__2[],7,FALSE)</f>
        <v>R1012</v>
      </c>
    </row>
    <row r="1533" spans="1:16" x14ac:dyDescent="0.35">
      <c r="A1533" t="str">
        <v>Id1532</v>
      </c>
      <c r="B1533" t="str">
        <f>VLOOKUP(A1533,'Customer Names (2)'!A:B, 2,FALSE)</f>
        <v>Mr</v>
      </c>
      <c r="C1533">
        <f>VLOOKUP(A1533,Medical_Examinations[],2,FALSE)</f>
        <v>42.4</v>
      </c>
      <c r="D1533">
        <f>VLOOKUP(A1533,Medical_Examinations[],3,FALSE)</f>
        <v>4.0599999999999996</v>
      </c>
      <c r="E1533" t="str">
        <f>VLOOKUP(A1533,Medical_Examinations[],4,FALSE)</f>
        <v>No</v>
      </c>
      <c r="F1533" t="str">
        <f>VLOOKUP(A1533,Medical_Examinations[],5,FALSE)</f>
        <v>No</v>
      </c>
      <c r="G1533" t="str">
        <f>VLOOKUP(A1533,Medical_Examinations[],6,FALSE)</f>
        <v>No</v>
      </c>
      <c r="H1533">
        <f>VLOOKUP(A1533,Medical_Examinations[],7,FALSE)</f>
        <v>0</v>
      </c>
      <c r="I1533" t="str">
        <f>VLOOKUP(A1533,Medical_Examinations[],8,FALSE)</f>
        <v>No</v>
      </c>
      <c r="J1533" t="str">
        <f>VLOOKUP(A1533,Medical_Examinations[],9,FALSE)</f>
        <v>Obesity</v>
      </c>
      <c r="K1533" t="str">
        <f>VLOOKUP(A1533,Medical_Examinations[],10,FALSE)</f>
        <v>Normal</v>
      </c>
      <c r="M1533">
        <f>VLOOKUP(A1533,Hospitalisation_Details__2[],4,FALSE)</f>
        <v>6666.24</v>
      </c>
      <c r="N1533" t="str">
        <f>VLOOKUP(A1533,Hospitalisation_Details__2[],5,FALSE)</f>
        <v>tier - 3</v>
      </c>
      <c r="O1533" t="str">
        <f>VLOOKUP(A1533,Hospitalisation_Details__2[],6,FALSE)</f>
        <v>tier - 1</v>
      </c>
      <c r="P1533" t="str">
        <f>VLOOKUP(A1533,Hospitalisation_Details__2[],7,FALSE)</f>
        <v>R1011</v>
      </c>
    </row>
    <row r="1534" spans="1:16" x14ac:dyDescent="0.35">
      <c r="A1534" t="str">
        <v>Id1533</v>
      </c>
      <c r="B1534" t="str">
        <f>VLOOKUP(A1534,'Customer Names (2)'!A:B, 2,FALSE)</f>
        <v>Mr</v>
      </c>
      <c r="C1534">
        <f>VLOOKUP(A1534,Medical_Examinations[],2,FALSE)</f>
        <v>28.405000000000001</v>
      </c>
      <c r="D1534">
        <f>VLOOKUP(A1534,Medical_Examinations[],3,FALSE)</f>
        <v>7.02</v>
      </c>
      <c r="E1534" t="str">
        <f>VLOOKUP(A1534,Medical_Examinations[],4,FALSE)</f>
        <v>Yes</v>
      </c>
      <c r="F1534" t="str">
        <f>VLOOKUP(A1534,Medical_Examinations[],5,FALSE)</f>
        <v>No</v>
      </c>
      <c r="G1534" t="str">
        <f>VLOOKUP(A1534,Medical_Examinations[],6,FALSE)</f>
        <v>No</v>
      </c>
      <c r="H1534">
        <f>VLOOKUP(A1534,Medical_Examinations[],7,FALSE)</f>
        <v>0</v>
      </c>
      <c r="I1534" t="str">
        <f>VLOOKUP(A1534,Medical_Examinations[],8,FALSE)</f>
        <v>No</v>
      </c>
      <c r="J1534" t="str">
        <f>VLOOKUP(A1534,Medical_Examinations[],9,FALSE)</f>
        <v>Overweight</v>
      </c>
      <c r="K1534" t="str">
        <f>VLOOKUP(A1534,Medical_Examinations[],10,FALSE)</f>
        <v>Diabetes</v>
      </c>
      <c r="M1534">
        <f>VLOOKUP(A1534,Hospitalisation_Details__2[],4,FALSE)</f>
        <v>6664.69</v>
      </c>
      <c r="N1534" t="str">
        <f>VLOOKUP(A1534,Hospitalisation_Details__2[],5,FALSE)</f>
        <v>tier - 3</v>
      </c>
      <c r="O1534" t="str">
        <f>VLOOKUP(A1534,Hospitalisation_Details__2[],6,FALSE)</f>
        <v>tier - 1</v>
      </c>
      <c r="P1534" t="str">
        <f>VLOOKUP(A1534,Hospitalisation_Details__2[],7,FALSE)</f>
        <v>R1012</v>
      </c>
    </row>
    <row r="1535" spans="1:16" x14ac:dyDescent="0.35">
      <c r="A1535" t="str">
        <v>Id1534</v>
      </c>
      <c r="B1535" t="str">
        <f>VLOOKUP(A1535,'Customer Names (2)'!A:B, 2,FALSE)</f>
        <v>Ms</v>
      </c>
      <c r="C1535">
        <f>VLOOKUP(A1535,Medical_Examinations[],2,FALSE)</f>
        <v>23.4</v>
      </c>
      <c r="D1535">
        <f>VLOOKUP(A1535,Medical_Examinations[],3,FALSE)</f>
        <v>4.47</v>
      </c>
      <c r="E1535" t="str">
        <f>VLOOKUP(A1535,Medical_Examinations[],4,FALSE)</f>
        <v>No</v>
      </c>
      <c r="F1535" t="str">
        <f>VLOOKUP(A1535,Medical_Examinations[],5,FALSE)</f>
        <v>No</v>
      </c>
      <c r="G1535" t="str">
        <f>VLOOKUP(A1535,Medical_Examinations[],6,FALSE)</f>
        <v>No</v>
      </c>
      <c r="H1535">
        <f>VLOOKUP(A1535,Medical_Examinations[],7,FALSE)</f>
        <v>0</v>
      </c>
      <c r="I1535" t="str">
        <f>VLOOKUP(A1535,Medical_Examinations[],8,FALSE)</f>
        <v>No</v>
      </c>
      <c r="J1535" t="str">
        <f>VLOOKUP(A1535,Medical_Examinations[],9,FALSE)</f>
        <v>Normal Weight</v>
      </c>
      <c r="K1535" t="str">
        <f>VLOOKUP(A1535,Medical_Examinations[],10,FALSE)</f>
        <v>Normal</v>
      </c>
      <c r="M1535">
        <f>VLOOKUP(A1535,Hospitalisation_Details__2[],4,FALSE)</f>
        <v>6664.32</v>
      </c>
      <c r="N1535" t="str">
        <f>VLOOKUP(A1535,Hospitalisation_Details__2[],5,FALSE)</f>
        <v>tier - 2</v>
      </c>
      <c r="O1535" t="str">
        <f>VLOOKUP(A1535,Hospitalisation_Details__2[],6,FALSE)</f>
        <v>tier - 2</v>
      </c>
      <c r="P1535" t="str">
        <f>VLOOKUP(A1535,Hospitalisation_Details__2[],7,FALSE)</f>
        <v>R1013</v>
      </c>
    </row>
    <row r="1536" spans="1:16" x14ac:dyDescent="0.35">
      <c r="A1536" t="str">
        <v>Id1535</v>
      </c>
      <c r="B1536" t="str">
        <f>VLOOKUP(A1536,'Customer Names (2)'!A:B, 2,FALSE)</f>
        <v>Mr</v>
      </c>
      <c r="C1536">
        <f>VLOOKUP(A1536,Medical_Examinations[],2,FALSE)</f>
        <v>33.44</v>
      </c>
      <c r="D1536">
        <f>VLOOKUP(A1536,Medical_Examinations[],3,FALSE)</f>
        <v>4.54</v>
      </c>
      <c r="E1536" t="str">
        <f>VLOOKUP(A1536,Medical_Examinations[],4,FALSE)</f>
        <v>No</v>
      </c>
      <c r="F1536" t="str">
        <f>VLOOKUP(A1536,Medical_Examinations[],5,FALSE)</f>
        <v>No</v>
      </c>
      <c r="G1536" t="str">
        <f>VLOOKUP(A1536,Medical_Examinations[],6,FALSE)</f>
        <v>No</v>
      </c>
      <c r="H1536">
        <f>VLOOKUP(A1536,Medical_Examinations[],7,FALSE)</f>
        <v>0</v>
      </c>
      <c r="I1536" t="str">
        <f>VLOOKUP(A1536,Medical_Examinations[],8,FALSE)</f>
        <v>No</v>
      </c>
      <c r="J1536" t="str">
        <f>VLOOKUP(A1536,Medical_Examinations[],9,FALSE)</f>
        <v>Obesity</v>
      </c>
      <c r="K1536" t="str">
        <f>VLOOKUP(A1536,Medical_Examinations[],10,FALSE)</f>
        <v>Normal</v>
      </c>
      <c r="M1536">
        <f>VLOOKUP(A1536,Hospitalisation_Details__2[],4,FALSE)</f>
        <v>6653.79</v>
      </c>
      <c r="N1536" t="str">
        <f>VLOOKUP(A1536,Hospitalisation_Details__2[],5,FALSE)</f>
        <v>tier - 2</v>
      </c>
      <c r="O1536" t="str">
        <f>VLOOKUP(A1536,Hospitalisation_Details__2[],6,FALSE)</f>
        <v>tier - 1</v>
      </c>
      <c r="P1536" t="str">
        <f>VLOOKUP(A1536,Hospitalisation_Details__2[],7,FALSE)</f>
        <v>R1013</v>
      </c>
    </row>
    <row r="1537" spans="1:16" x14ac:dyDescent="0.35">
      <c r="A1537" t="str">
        <v>Id1536</v>
      </c>
      <c r="B1537" t="str">
        <f>VLOOKUP(A1537,'Customer Names (2)'!A:B, 2,FALSE)</f>
        <v>Mr</v>
      </c>
      <c r="C1537">
        <f>VLOOKUP(A1537,Medical_Examinations[],2,FALSE)</f>
        <v>21.12</v>
      </c>
      <c r="D1537">
        <f>VLOOKUP(A1537,Medical_Examinations[],3,FALSE)</f>
        <v>4.99</v>
      </c>
      <c r="E1537" t="str">
        <f>VLOOKUP(A1537,Medical_Examinations[],4,FALSE)</f>
        <v>No</v>
      </c>
      <c r="F1537" t="str">
        <f>VLOOKUP(A1537,Medical_Examinations[],5,FALSE)</f>
        <v>No</v>
      </c>
      <c r="G1537" t="str">
        <f>VLOOKUP(A1537,Medical_Examinations[],6,FALSE)</f>
        <v>No</v>
      </c>
      <c r="H1537">
        <f>VLOOKUP(A1537,Medical_Examinations[],7,FALSE)</f>
        <v>1</v>
      </c>
      <c r="I1537" t="str">
        <f>VLOOKUP(A1537,Medical_Examinations[],8,FALSE)</f>
        <v>No</v>
      </c>
      <c r="J1537" t="str">
        <f>VLOOKUP(A1537,Medical_Examinations[],9,FALSE)</f>
        <v>Normal Weight</v>
      </c>
      <c r="K1537" t="str">
        <f>VLOOKUP(A1537,Medical_Examinations[],10,FALSE)</f>
        <v>Normal</v>
      </c>
      <c r="M1537">
        <f>VLOOKUP(A1537,Hospitalisation_Details__2[],4,FALSE)</f>
        <v>6652.53</v>
      </c>
      <c r="N1537" t="str">
        <f>VLOOKUP(A1537,Hospitalisation_Details__2[],5,FALSE)</f>
        <v>tier - 3</v>
      </c>
      <c r="O1537" t="str">
        <f>VLOOKUP(A1537,Hospitalisation_Details__2[],6,FALSE)</f>
        <v>tier - 2</v>
      </c>
      <c r="P1537" t="str">
        <f>VLOOKUP(A1537,Hospitalisation_Details__2[],7,FALSE)</f>
        <v>R1013</v>
      </c>
    </row>
    <row r="1538" spans="1:16" x14ac:dyDescent="0.35">
      <c r="A1538" t="str">
        <v>Id1537</v>
      </c>
      <c r="B1538" t="str">
        <f>VLOOKUP(A1538,'Customer Names (2)'!A:B, 2,FALSE)</f>
        <v>Ms</v>
      </c>
      <c r="C1538">
        <f>VLOOKUP(A1538,Medical_Examinations[],2,FALSE)</f>
        <v>18.48</v>
      </c>
      <c r="D1538">
        <f>VLOOKUP(A1538,Medical_Examinations[],3,FALSE)</f>
        <v>10.84</v>
      </c>
      <c r="E1538" t="str">
        <f>VLOOKUP(A1538,Medical_Examinations[],4,FALSE)</f>
        <v>Yes</v>
      </c>
      <c r="F1538" t="str">
        <f>VLOOKUP(A1538,Medical_Examinations[],5,FALSE)</f>
        <v>No</v>
      </c>
      <c r="G1538" t="str">
        <f>VLOOKUP(A1538,Medical_Examinations[],6,FALSE)</f>
        <v>No</v>
      </c>
      <c r="H1538">
        <f>VLOOKUP(A1538,Medical_Examinations[],7,FALSE)</f>
        <v>2</v>
      </c>
      <c r="I1538" t="str">
        <f>VLOOKUP(A1538,Medical_Examinations[],8,FALSE)</f>
        <v>No</v>
      </c>
      <c r="J1538" t="str">
        <f>VLOOKUP(A1538,Medical_Examinations[],9,FALSE)</f>
        <v>Underweight</v>
      </c>
      <c r="K1538" t="str">
        <f>VLOOKUP(A1538,Medical_Examinations[],10,FALSE)</f>
        <v>Diabetes</v>
      </c>
      <c r="M1538">
        <f>VLOOKUP(A1538,Hospitalisation_Details__2[],4,FALSE)</f>
        <v>6651.26</v>
      </c>
      <c r="N1538" t="str">
        <f>VLOOKUP(A1538,Hospitalisation_Details__2[],5,FALSE)</f>
        <v>tier - 2</v>
      </c>
      <c r="O1538" t="str">
        <f>VLOOKUP(A1538,Hospitalisation_Details__2[],6,FALSE)</f>
        <v>tier - 3</v>
      </c>
      <c r="P1538" t="str">
        <f>VLOOKUP(A1538,Hospitalisation_Details__2[],7,FALSE)</f>
        <v>R1013</v>
      </c>
    </row>
    <row r="1539" spans="1:16" x14ac:dyDescent="0.35">
      <c r="A1539" t="str">
        <v>Id1538</v>
      </c>
      <c r="B1539" t="str">
        <f>VLOOKUP(A1539,'Customer Names (2)'!A:B, 2,FALSE)</f>
        <v>Mr</v>
      </c>
      <c r="C1539">
        <f>VLOOKUP(A1539,Medical_Examinations[],2,FALSE)</f>
        <v>16.815000000000001</v>
      </c>
      <c r="D1539">
        <f>VLOOKUP(A1539,Medical_Examinations[],3,FALSE)</f>
        <v>5.63</v>
      </c>
      <c r="E1539" t="str">
        <f>VLOOKUP(A1539,Medical_Examinations[],4,FALSE)</f>
        <v>No</v>
      </c>
      <c r="F1539" t="str">
        <f>VLOOKUP(A1539,Medical_Examinations[],5,FALSE)</f>
        <v>No</v>
      </c>
      <c r="G1539" t="str">
        <f>VLOOKUP(A1539,Medical_Examinations[],6,FALSE)</f>
        <v>No</v>
      </c>
      <c r="H1539">
        <f>VLOOKUP(A1539,Medical_Examinations[],7,FALSE)</f>
        <v>1</v>
      </c>
      <c r="I1539" t="str">
        <f>VLOOKUP(A1539,Medical_Examinations[],8,FALSE)</f>
        <v>No</v>
      </c>
      <c r="J1539" t="str">
        <f>VLOOKUP(A1539,Medical_Examinations[],9,FALSE)</f>
        <v>Underweight</v>
      </c>
      <c r="K1539" t="str">
        <f>VLOOKUP(A1539,Medical_Examinations[],10,FALSE)</f>
        <v>Normal</v>
      </c>
      <c r="M1539">
        <f>VLOOKUP(A1539,Hospitalisation_Details__2[],4,FALSE)</f>
        <v>6640.54</v>
      </c>
      <c r="N1539" t="str">
        <f>VLOOKUP(A1539,Hospitalisation_Details__2[],5,FALSE)</f>
        <v>tier - 2</v>
      </c>
      <c r="O1539" t="str">
        <f>VLOOKUP(A1539,Hospitalisation_Details__2[],6,FALSE)</f>
        <v>tier - 3</v>
      </c>
      <c r="P1539" t="str">
        <f>VLOOKUP(A1539,Hospitalisation_Details__2[],7,FALSE)</f>
        <v>R1019</v>
      </c>
    </row>
    <row r="1540" spans="1:16" x14ac:dyDescent="0.35">
      <c r="A1540" t="str">
        <v>Id1539</v>
      </c>
      <c r="B1540" t="str">
        <f>VLOOKUP(A1540,'Customer Names (2)'!A:B, 2,FALSE)</f>
        <v>Mr</v>
      </c>
      <c r="C1540">
        <f>VLOOKUP(A1540,Medical_Examinations[],2,FALSE)</f>
        <v>26.72</v>
      </c>
      <c r="D1540">
        <f>VLOOKUP(A1540,Medical_Examinations[],3,FALSE)</f>
        <v>4.1399999999999997</v>
      </c>
      <c r="E1540" t="str">
        <f>VLOOKUP(A1540,Medical_Examinations[],4,FALSE)</f>
        <v>No</v>
      </c>
      <c r="F1540" t="str">
        <f>VLOOKUP(A1540,Medical_Examinations[],5,FALSE)</f>
        <v>No</v>
      </c>
      <c r="G1540" t="str">
        <f>VLOOKUP(A1540,Medical_Examinations[],6,FALSE)</f>
        <v>No</v>
      </c>
      <c r="H1540">
        <f>VLOOKUP(A1540,Medical_Examinations[],7,FALSE)</f>
        <v>0</v>
      </c>
      <c r="I1540" t="str">
        <f>VLOOKUP(A1540,Medical_Examinations[],8,FALSE)</f>
        <v>No</v>
      </c>
      <c r="J1540" t="str">
        <f>VLOOKUP(A1540,Medical_Examinations[],9,FALSE)</f>
        <v>Overweight</v>
      </c>
      <c r="K1540" t="str">
        <f>VLOOKUP(A1540,Medical_Examinations[],10,FALSE)</f>
        <v>Normal</v>
      </c>
      <c r="M1540">
        <f>VLOOKUP(A1540,Hospitalisation_Details__2[],4,FALSE)</f>
        <v>6639.3</v>
      </c>
      <c r="N1540" t="str">
        <f>VLOOKUP(A1540,Hospitalisation_Details__2[],5,FALSE)</f>
        <v>tier - 2</v>
      </c>
      <c r="O1540" t="str">
        <f>VLOOKUP(A1540,Hospitalisation_Details__2[],6,FALSE)</f>
        <v>tier - 2</v>
      </c>
      <c r="P1540" t="str">
        <f>VLOOKUP(A1540,Hospitalisation_Details__2[],7,FALSE)</f>
        <v>R1021</v>
      </c>
    </row>
    <row r="1541" spans="1:16" x14ac:dyDescent="0.35">
      <c r="A1541" t="str">
        <v>Id1540</v>
      </c>
      <c r="B1541" t="str">
        <f>VLOOKUP(A1541,'Customer Names (2)'!A:B, 2,FALSE)</f>
        <v>Ms</v>
      </c>
      <c r="C1541">
        <f>VLOOKUP(A1541,Medical_Examinations[],2,FALSE)</f>
        <v>41.42</v>
      </c>
      <c r="D1541">
        <f>VLOOKUP(A1541,Medical_Examinations[],3,FALSE)</f>
        <v>5.17</v>
      </c>
      <c r="E1541" t="str">
        <f>VLOOKUP(A1541,Medical_Examinations[],4,FALSE)</f>
        <v>No</v>
      </c>
      <c r="F1541" t="str">
        <f>VLOOKUP(A1541,Medical_Examinations[],5,FALSE)</f>
        <v>No</v>
      </c>
      <c r="G1541" t="str">
        <f>VLOOKUP(A1541,Medical_Examinations[],6,FALSE)</f>
        <v>Yes</v>
      </c>
      <c r="H1541">
        <f>VLOOKUP(A1541,Medical_Examinations[],7,FALSE)</f>
        <v>1</v>
      </c>
      <c r="I1541" t="str">
        <f>VLOOKUP(A1541,Medical_Examinations[],8,FALSE)</f>
        <v>No</v>
      </c>
      <c r="J1541" t="str">
        <f>VLOOKUP(A1541,Medical_Examinations[],9,FALSE)</f>
        <v>Obesity</v>
      </c>
      <c r="K1541" t="str">
        <f>VLOOKUP(A1541,Medical_Examinations[],10,FALSE)</f>
        <v>Normal</v>
      </c>
      <c r="M1541">
        <f>VLOOKUP(A1541,Hospitalisation_Details__2[],4,FALSE)</f>
        <v>6638.16</v>
      </c>
      <c r="N1541" t="str">
        <f>VLOOKUP(A1541,Hospitalisation_Details__2[],5,FALSE)</f>
        <v>tier - 2</v>
      </c>
      <c r="O1541" t="str">
        <f>VLOOKUP(A1541,Hospitalisation_Details__2[],6,FALSE)</f>
        <v>tier - 1</v>
      </c>
      <c r="P1541" t="str">
        <f>VLOOKUP(A1541,Hospitalisation_Details__2[],7,FALSE)</f>
        <v>R1012</v>
      </c>
    </row>
    <row r="1542" spans="1:16" x14ac:dyDescent="0.35">
      <c r="A1542" t="str">
        <v>Id1541</v>
      </c>
      <c r="B1542" t="str">
        <f>VLOOKUP(A1542,'Customer Names (2)'!A:B, 2,FALSE)</f>
        <v>Ms</v>
      </c>
      <c r="C1542">
        <f>VLOOKUP(A1542,Medical_Examinations[],2,FALSE)</f>
        <v>20.69</v>
      </c>
      <c r="D1542">
        <f>VLOOKUP(A1542,Medical_Examinations[],3,FALSE)</f>
        <v>6.93</v>
      </c>
      <c r="E1542" t="str">
        <f>VLOOKUP(A1542,Medical_Examinations[],4,FALSE)</f>
        <v>No</v>
      </c>
      <c r="F1542" t="str">
        <f>VLOOKUP(A1542,Medical_Examinations[],5,FALSE)</f>
        <v>No</v>
      </c>
      <c r="G1542" t="str">
        <f>VLOOKUP(A1542,Medical_Examinations[],6,FALSE)</f>
        <v>No</v>
      </c>
      <c r="H1542">
        <f>VLOOKUP(A1542,Medical_Examinations[],7,FALSE)</f>
        <v>2</v>
      </c>
      <c r="I1542" t="str">
        <f>VLOOKUP(A1542,Medical_Examinations[],8,FALSE)</f>
        <v>No</v>
      </c>
      <c r="J1542" t="str">
        <f>VLOOKUP(A1542,Medical_Examinations[],9,FALSE)</f>
        <v>Normal Weight</v>
      </c>
      <c r="K1542" t="str">
        <f>VLOOKUP(A1542,Medical_Examinations[],10,FALSE)</f>
        <v>Diabetes</v>
      </c>
      <c r="M1542">
        <f>VLOOKUP(A1542,Hospitalisation_Details__2[],4,FALSE)</f>
        <v>6630.31</v>
      </c>
      <c r="N1542" t="str">
        <f>VLOOKUP(A1542,Hospitalisation_Details__2[],5,FALSE)</f>
        <v>tier - 2</v>
      </c>
      <c r="O1542" t="str">
        <f>VLOOKUP(A1542,Hospitalisation_Details__2[],6,FALSE)</f>
        <v>tier - 1</v>
      </c>
      <c r="P1542" t="str">
        <f>VLOOKUP(A1542,Hospitalisation_Details__2[],7,FALSE)</f>
        <v>R1013</v>
      </c>
    </row>
    <row r="1543" spans="1:16" x14ac:dyDescent="0.35">
      <c r="A1543" t="str">
        <v>Id1542</v>
      </c>
      <c r="B1543" t="str">
        <f>VLOOKUP(A1543,'Customer Names (2)'!A:B, 2,FALSE)</f>
        <v>Mr</v>
      </c>
      <c r="C1543">
        <f>VLOOKUP(A1543,Medical_Examinations[],2,FALSE)</f>
        <v>41.23</v>
      </c>
      <c r="D1543">
        <f>VLOOKUP(A1543,Medical_Examinations[],3,FALSE)</f>
        <v>4.24</v>
      </c>
      <c r="E1543" t="str">
        <f>VLOOKUP(A1543,Medical_Examinations[],4,FALSE)</f>
        <v>No</v>
      </c>
      <c r="F1543" t="str">
        <f>VLOOKUP(A1543,Medical_Examinations[],5,FALSE)</f>
        <v>No</v>
      </c>
      <c r="G1543" t="str">
        <f>VLOOKUP(A1543,Medical_Examinations[],6,FALSE)</f>
        <v>No</v>
      </c>
      <c r="H1543">
        <f>VLOOKUP(A1543,Medical_Examinations[],7,FALSE)</f>
        <v>0</v>
      </c>
      <c r="I1543" t="str">
        <f>VLOOKUP(A1543,Medical_Examinations[],8,FALSE)</f>
        <v>No</v>
      </c>
      <c r="J1543" t="str">
        <f>VLOOKUP(A1543,Medical_Examinations[],9,FALSE)</f>
        <v>Obesity</v>
      </c>
      <c r="K1543" t="str">
        <f>VLOOKUP(A1543,Medical_Examinations[],10,FALSE)</f>
        <v>Normal</v>
      </c>
      <c r="M1543">
        <f>VLOOKUP(A1543,Hospitalisation_Details__2[],4,FALSE)</f>
        <v>6610.11</v>
      </c>
      <c r="N1543" t="str">
        <f>VLOOKUP(A1543,Hospitalisation_Details__2[],5,FALSE)</f>
        <v>tier - 3</v>
      </c>
      <c r="O1543" t="str">
        <f>VLOOKUP(A1543,Hospitalisation_Details__2[],6,FALSE)</f>
        <v>tier - 2</v>
      </c>
      <c r="P1543" t="str">
        <f>VLOOKUP(A1543,Hospitalisation_Details__2[],7,FALSE)</f>
        <v>R1015</v>
      </c>
    </row>
    <row r="1544" spans="1:16" x14ac:dyDescent="0.35">
      <c r="A1544" t="str">
        <v>Id1543</v>
      </c>
      <c r="B1544" t="str">
        <f>VLOOKUP(A1544,'Customer Names (2)'!A:B, 2,FALSE)</f>
        <v>Mr</v>
      </c>
      <c r="C1544">
        <f>VLOOKUP(A1544,Medical_Examinations[],2,FALSE)</f>
        <v>29.9</v>
      </c>
      <c r="D1544">
        <f>VLOOKUP(A1544,Medical_Examinations[],3,FALSE)</f>
        <v>5.91</v>
      </c>
      <c r="E1544" t="str">
        <f>VLOOKUP(A1544,Medical_Examinations[],4,FALSE)</f>
        <v>No</v>
      </c>
      <c r="F1544" t="str">
        <f>VLOOKUP(A1544,Medical_Examinations[],5,FALSE)</f>
        <v>No</v>
      </c>
      <c r="G1544" t="str">
        <f>VLOOKUP(A1544,Medical_Examinations[],6,FALSE)</f>
        <v>No</v>
      </c>
      <c r="H1544">
        <f>VLOOKUP(A1544,Medical_Examinations[],7,FALSE)</f>
        <v>0</v>
      </c>
      <c r="I1544" t="str">
        <f>VLOOKUP(A1544,Medical_Examinations[],8,FALSE)</f>
        <v>No</v>
      </c>
      <c r="J1544" t="str">
        <f>VLOOKUP(A1544,Medical_Examinations[],9,FALSE)</f>
        <v>Overweight</v>
      </c>
      <c r="K1544" t="str">
        <f>VLOOKUP(A1544,Medical_Examinations[],10,FALSE)</f>
        <v>Prediabetes</v>
      </c>
      <c r="M1544">
        <f>VLOOKUP(A1544,Hospitalisation_Details__2[],4,FALSE)</f>
        <v>6600.36</v>
      </c>
      <c r="N1544" t="str">
        <f>VLOOKUP(A1544,Hospitalisation_Details__2[],5,FALSE)</f>
        <v>tier - 2</v>
      </c>
      <c r="O1544" t="str">
        <f>VLOOKUP(A1544,Hospitalisation_Details__2[],6,FALSE)</f>
        <v>tier - 3</v>
      </c>
      <c r="P1544" t="str">
        <f>VLOOKUP(A1544,Hospitalisation_Details__2[],7,FALSE)</f>
        <v>R1011</v>
      </c>
    </row>
    <row r="1545" spans="1:16" x14ac:dyDescent="0.35">
      <c r="A1545" t="str">
        <v>Id1544</v>
      </c>
      <c r="B1545" t="str">
        <f>VLOOKUP(A1545,'Customer Names (2)'!A:B, 2,FALSE)</f>
        <v>Mr</v>
      </c>
      <c r="C1545">
        <f>VLOOKUP(A1545,Medical_Examinations[],2,FALSE)</f>
        <v>34.104999999999997</v>
      </c>
      <c r="D1545">
        <f>VLOOKUP(A1545,Medical_Examinations[],3,FALSE)</f>
        <v>5.93</v>
      </c>
      <c r="E1545" t="str">
        <f>VLOOKUP(A1545,Medical_Examinations[],4,FALSE)</f>
        <v>No</v>
      </c>
      <c r="F1545" t="str">
        <f>VLOOKUP(A1545,Medical_Examinations[],5,FALSE)</f>
        <v>No</v>
      </c>
      <c r="G1545" t="str">
        <f>VLOOKUP(A1545,Medical_Examinations[],6,FALSE)</f>
        <v>No</v>
      </c>
      <c r="H1545">
        <f>VLOOKUP(A1545,Medical_Examinations[],7,FALSE)</f>
        <v>0</v>
      </c>
      <c r="I1545" t="str">
        <f>VLOOKUP(A1545,Medical_Examinations[],8,FALSE)</f>
        <v>No</v>
      </c>
      <c r="J1545" t="str">
        <f>VLOOKUP(A1545,Medical_Examinations[],9,FALSE)</f>
        <v>Obesity</v>
      </c>
      <c r="K1545" t="str">
        <f>VLOOKUP(A1545,Medical_Examinations[],10,FALSE)</f>
        <v>Prediabetes</v>
      </c>
      <c r="M1545">
        <f>VLOOKUP(A1545,Hospitalisation_Details__2[],4,FALSE)</f>
        <v>6600.21</v>
      </c>
      <c r="N1545" t="str">
        <f>VLOOKUP(A1545,Hospitalisation_Details__2[],5,FALSE)</f>
        <v>tier - 3</v>
      </c>
      <c r="O1545" t="str">
        <f>VLOOKUP(A1545,Hospitalisation_Details__2[],6,FALSE)</f>
        <v>tier - 2</v>
      </c>
      <c r="P1545" t="str">
        <f>VLOOKUP(A1545,Hospitalisation_Details__2[],7,FALSE)</f>
        <v>R1016</v>
      </c>
    </row>
    <row r="1546" spans="1:16" x14ac:dyDescent="0.35">
      <c r="A1546" t="str">
        <v>Id1545</v>
      </c>
      <c r="B1546" t="str">
        <f>VLOOKUP(A1546,'Customer Names (2)'!A:B, 2,FALSE)</f>
        <v>Mr</v>
      </c>
      <c r="C1546">
        <f>VLOOKUP(A1546,Medical_Examinations[],2,FALSE)</f>
        <v>24.97</v>
      </c>
      <c r="D1546">
        <f>VLOOKUP(A1546,Medical_Examinations[],3,FALSE)</f>
        <v>5.66</v>
      </c>
      <c r="E1546" t="str">
        <f>VLOOKUP(A1546,Medical_Examinations[],4,FALSE)</f>
        <v>No</v>
      </c>
      <c r="F1546" t="str">
        <f>VLOOKUP(A1546,Medical_Examinations[],5,FALSE)</f>
        <v>No</v>
      </c>
      <c r="G1546" t="str">
        <f>VLOOKUP(A1546,Medical_Examinations[],6,FALSE)</f>
        <v>No</v>
      </c>
      <c r="H1546">
        <f>VLOOKUP(A1546,Medical_Examinations[],7,FALSE)</f>
        <v>0</v>
      </c>
      <c r="I1546" t="str">
        <f>VLOOKUP(A1546,Medical_Examinations[],8,FALSE)</f>
        <v>No</v>
      </c>
      <c r="J1546" t="str">
        <f>VLOOKUP(A1546,Medical_Examinations[],9,FALSE)</f>
        <v>Normal Weight</v>
      </c>
      <c r="K1546" t="str">
        <f>VLOOKUP(A1546,Medical_Examinations[],10,FALSE)</f>
        <v>Normal</v>
      </c>
      <c r="M1546">
        <f>VLOOKUP(A1546,Hospitalisation_Details__2[],4,FALSE)</f>
        <v>6593.51</v>
      </c>
      <c r="N1546" t="str">
        <f>VLOOKUP(A1546,Hospitalisation_Details__2[],5,FALSE)</f>
        <v>tier - 2</v>
      </c>
      <c r="O1546" t="str">
        <f>VLOOKUP(A1546,Hospitalisation_Details__2[],6,FALSE)</f>
        <v>tier - 1</v>
      </c>
      <c r="P1546" t="str">
        <f>VLOOKUP(A1546,Hospitalisation_Details__2[],7,FALSE)</f>
        <v>R1013</v>
      </c>
    </row>
    <row r="1547" spans="1:16" x14ac:dyDescent="0.35">
      <c r="A1547" t="str">
        <v>Id1546</v>
      </c>
      <c r="B1547" t="str">
        <f>VLOOKUP(A1547,'Customer Names (2)'!A:B, 2,FALSE)</f>
        <v>Ms</v>
      </c>
      <c r="C1547">
        <f>VLOOKUP(A1547,Medical_Examinations[],2,FALSE)</f>
        <v>34.799999999999997</v>
      </c>
      <c r="D1547">
        <f>VLOOKUP(A1547,Medical_Examinations[],3,FALSE)</f>
        <v>4.1900000000000004</v>
      </c>
      <c r="E1547" t="str">
        <f>VLOOKUP(A1547,Medical_Examinations[],4,FALSE)</f>
        <v>No</v>
      </c>
      <c r="F1547" t="str">
        <f>VLOOKUP(A1547,Medical_Examinations[],5,FALSE)</f>
        <v>No</v>
      </c>
      <c r="G1547" t="str">
        <f>VLOOKUP(A1547,Medical_Examinations[],6,FALSE)</f>
        <v>No</v>
      </c>
      <c r="H1547">
        <f>VLOOKUP(A1547,Medical_Examinations[],7,FALSE)</f>
        <v>1</v>
      </c>
      <c r="I1547" t="str">
        <f>VLOOKUP(A1547,Medical_Examinations[],8,FALSE)</f>
        <v>No</v>
      </c>
      <c r="J1547" t="str">
        <f>VLOOKUP(A1547,Medical_Examinations[],9,FALSE)</f>
        <v>Obesity</v>
      </c>
      <c r="K1547" t="str">
        <f>VLOOKUP(A1547,Medical_Examinations[],10,FALSE)</f>
        <v>Normal</v>
      </c>
      <c r="M1547">
        <f>VLOOKUP(A1547,Hospitalisation_Details__2[],4,FALSE)</f>
        <v>6571.54</v>
      </c>
      <c r="N1547" t="str">
        <f>VLOOKUP(A1547,Hospitalisation_Details__2[],5,FALSE)</f>
        <v>tier - 2</v>
      </c>
      <c r="O1547" t="str">
        <f>VLOOKUP(A1547,Hospitalisation_Details__2[],6,FALSE)</f>
        <v>tier - 3</v>
      </c>
      <c r="P1547" t="str">
        <f>VLOOKUP(A1547,Hospitalisation_Details__2[],7,FALSE)</f>
        <v>R1011</v>
      </c>
    </row>
    <row r="1548" spans="1:16" x14ac:dyDescent="0.35">
      <c r="A1548" t="str">
        <v>Id1547</v>
      </c>
      <c r="B1548" t="str">
        <f>VLOOKUP(A1548,'Customer Names (2)'!A:B, 2,FALSE)</f>
        <v>Ms</v>
      </c>
      <c r="C1548">
        <f>VLOOKUP(A1548,Medical_Examinations[],2,FALSE)</f>
        <v>32.965000000000003</v>
      </c>
      <c r="D1548">
        <f>VLOOKUP(A1548,Medical_Examinations[],3,FALSE)</f>
        <v>9.2100000000000009</v>
      </c>
      <c r="E1548" t="str">
        <f>VLOOKUP(A1548,Medical_Examinations[],4,FALSE)</f>
        <v>Yes</v>
      </c>
      <c r="F1548" t="str">
        <f>VLOOKUP(A1548,Medical_Examinations[],5,FALSE)</f>
        <v>No</v>
      </c>
      <c r="G1548" t="str">
        <f>VLOOKUP(A1548,Medical_Examinations[],6,FALSE)</f>
        <v>No</v>
      </c>
      <c r="H1548">
        <f>VLOOKUP(A1548,Medical_Examinations[],7,FALSE)</f>
        <v>0</v>
      </c>
      <c r="I1548" t="str">
        <f>VLOOKUP(A1548,Medical_Examinations[],8,FALSE)</f>
        <v>No</v>
      </c>
      <c r="J1548" t="str">
        <f>VLOOKUP(A1548,Medical_Examinations[],9,FALSE)</f>
        <v>Obesity</v>
      </c>
      <c r="K1548" t="str">
        <f>VLOOKUP(A1548,Medical_Examinations[],10,FALSE)</f>
        <v>Diabetes</v>
      </c>
      <c r="M1548">
        <f>VLOOKUP(A1548,Hospitalisation_Details__2[],4,FALSE)</f>
        <v>6571.02</v>
      </c>
      <c r="N1548" t="str">
        <f>VLOOKUP(A1548,Hospitalisation_Details__2[],5,FALSE)</f>
        <v>tier - 2</v>
      </c>
      <c r="O1548" t="str">
        <f>VLOOKUP(A1548,Hospitalisation_Details__2[],6,FALSE)</f>
        <v>tier - 1</v>
      </c>
      <c r="P1548" t="str">
        <f>VLOOKUP(A1548,Hospitalisation_Details__2[],7,FALSE)</f>
        <v>R1012</v>
      </c>
    </row>
    <row r="1549" spans="1:16" x14ac:dyDescent="0.35">
      <c r="A1549" t="str">
        <v>Id1548</v>
      </c>
      <c r="B1549" t="str">
        <f>VLOOKUP(A1549,'Customer Names (2)'!A:B, 2,FALSE)</f>
        <v>Ms</v>
      </c>
      <c r="C1549">
        <f>VLOOKUP(A1549,Medical_Examinations[],2,FALSE)</f>
        <v>27.265000000000001</v>
      </c>
      <c r="D1549">
        <f>VLOOKUP(A1549,Medical_Examinations[],3,FALSE)</f>
        <v>5.51</v>
      </c>
      <c r="E1549" t="str">
        <f>VLOOKUP(A1549,Medical_Examinations[],4,FALSE)</f>
        <v>No</v>
      </c>
      <c r="F1549" t="str">
        <f>VLOOKUP(A1549,Medical_Examinations[],5,FALSE)</f>
        <v>No</v>
      </c>
      <c r="G1549" t="str">
        <f>VLOOKUP(A1549,Medical_Examinations[],6,FALSE)</f>
        <v>No</v>
      </c>
      <c r="H1549">
        <f>VLOOKUP(A1549,Medical_Examinations[],7,FALSE)</f>
        <v>1</v>
      </c>
      <c r="I1549" t="str">
        <f>VLOOKUP(A1549,Medical_Examinations[],8,FALSE)</f>
        <v>No</v>
      </c>
      <c r="J1549" t="str">
        <f>VLOOKUP(A1549,Medical_Examinations[],9,FALSE)</f>
        <v>Overweight</v>
      </c>
      <c r="K1549" t="str">
        <f>VLOOKUP(A1549,Medical_Examinations[],10,FALSE)</f>
        <v>Normal</v>
      </c>
      <c r="M1549">
        <f>VLOOKUP(A1549,Hospitalisation_Details__2[],4,FALSE)</f>
        <v>6555.07</v>
      </c>
      <c r="N1549" t="str">
        <f>VLOOKUP(A1549,Hospitalisation_Details__2[],5,FALSE)</f>
        <v>tier - 2</v>
      </c>
      <c r="O1549" t="str">
        <f>VLOOKUP(A1549,Hospitalisation_Details__2[],6,FALSE)</f>
        <v>tier - 2</v>
      </c>
      <c r="P1549" t="str">
        <f>VLOOKUP(A1549,Hospitalisation_Details__2[],7,FALSE)</f>
        <v>R1024</v>
      </c>
    </row>
    <row r="1550" spans="1:16" x14ac:dyDescent="0.35">
      <c r="A1550" t="str">
        <v>Id1549</v>
      </c>
      <c r="B1550" t="str">
        <f>VLOOKUP(A1550,'Customer Names (2)'!A:B, 2,FALSE)</f>
        <v>Mr</v>
      </c>
      <c r="C1550">
        <f>VLOOKUP(A1550,Medical_Examinations[],2,FALSE)</f>
        <v>17.059999999999999</v>
      </c>
      <c r="D1550">
        <f>VLOOKUP(A1550,Medical_Examinations[],3,FALSE)</f>
        <v>8.5</v>
      </c>
      <c r="E1550" t="str">
        <f>VLOOKUP(A1550,Medical_Examinations[],4,FALSE)</f>
        <v>No</v>
      </c>
      <c r="F1550" t="str">
        <f>VLOOKUP(A1550,Medical_Examinations[],5,FALSE)</f>
        <v>No</v>
      </c>
      <c r="G1550" t="str">
        <f>VLOOKUP(A1550,Medical_Examinations[],6,FALSE)</f>
        <v>No</v>
      </c>
      <c r="H1550">
        <f>VLOOKUP(A1550,Medical_Examinations[],7,FALSE)</f>
        <v>0</v>
      </c>
      <c r="I1550" t="str">
        <f>VLOOKUP(A1550,Medical_Examinations[],8,FALSE)</f>
        <v>No</v>
      </c>
      <c r="J1550" t="str">
        <f>VLOOKUP(A1550,Medical_Examinations[],9,FALSE)</f>
        <v>Underweight</v>
      </c>
      <c r="K1550" t="str">
        <f>VLOOKUP(A1550,Medical_Examinations[],10,FALSE)</f>
        <v>Diabetes</v>
      </c>
      <c r="M1550">
        <f>VLOOKUP(A1550,Hospitalisation_Details__2[],4,FALSE)</f>
        <v>6552.01</v>
      </c>
      <c r="N1550" t="str">
        <f>VLOOKUP(A1550,Hospitalisation_Details__2[],5,FALSE)</f>
        <v>tier - 3</v>
      </c>
      <c r="O1550" t="str">
        <f>VLOOKUP(A1550,Hospitalisation_Details__2[],6,FALSE)</f>
        <v>tier - 2</v>
      </c>
      <c r="P1550" t="str">
        <f>VLOOKUP(A1550,Hospitalisation_Details__2[],7,FALSE)</f>
        <v>R1013</v>
      </c>
    </row>
    <row r="1551" spans="1:16" x14ac:dyDescent="0.35">
      <c r="A1551" t="str">
        <v>Id1550</v>
      </c>
      <c r="B1551" t="str">
        <f>VLOOKUP(A1551,'Customer Names (2)'!A:B, 2,FALSE)</f>
        <v>Ms</v>
      </c>
      <c r="C1551">
        <f>VLOOKUP(A1551,Medical_Examinations[],2,FALSE)</f>
        <v>36.29</v>
      </c>
      <c r="D1551">
        <f>VLOOKUP(A1551,Medical_Examinations[],3,FALSE)</f>
        <v>6.23</v>
      </c>
      <c r="E1551" t="str">
        <f>VLOOKUP(A1551,Medical_Examinations[],4,FALSE)</f>
        <v>No</v>
      </c>
      <c r="F1551" t="str">
        <f>VLOOKUP(A1551,Medical_Examinations[],5,FALSE)</f>
        <v>No</v>
      </c>
      <c r="G1551" t="str">
        <f>VLOOKUP(A1551,Medical_Examinations[],6,FALSE)</f>
        <v>No</v>
      </c>
      <c r="H1551">
        <f>VLOOKUP(A1551,Medical_Examinations[],7,FALSE)</f>
        <v>0</v>
      </c>
      <c r="I1551" t="str">
        <f>VLOOKUP(A1551,Medical_Examinations[],8,FALSE)</f>
        <v>No</v>
      </c>
      <c r="J1551" t="str">
        <f>VLOOKUP(A1551,Medical_Examinations[],9,FALSE)</f>
        <v>Obesity</v>
      </c>
      <c r="K1551" t="str">
        <f>VLOOKUP(A1551,Medical_Examinations[],10,FALSE)</f>
        <v>Prediabetes</v>
      </c>
      <c r="M1551">
        <f>VLOOKUP(A1551,Hospitalisation_Details__2[],4,FALSE)</f>
        <v>6551.75</v>
      </c>
      <c r="N1551" t="str">
        <f>VLOOKUP(A1551,Hospitalisation_Details__2[],5,FALSE)</f>
        <v>tier - 2</v>
      </c>
      <c r="O1551" t="str">
        <f>VLOOKUP(A1551,Hospitalisation_Details__2[],6,FALSE)</f>
        <v>tier - 2</v>
      </c>
      <c r="P1551" t="str">
        <f>VLOOKUP(A1551,Hospitalisation_Details__2[],7,FALSE)</f>
        <v>R1024</v>
      </c>
    </row>
    <row r="1552" spans="1:16" x14ac:dyDescent="0.35">
      <c r="A1552" t="str">
        <v>Id1551</v>
      </c>
      <c r="B1552" t="str">
        <f>VLOOKUP(A1552,'Customer Names (2)'!A:B, 2,FALSE)</f>
        <v>Mr</v>
      </c>
      <c r="C1552">
        <f>VLOOKUP(A1552,Medical_Examinations[],2,FALSE)</f>
        <v>28.594999999999999</v>
      </c>
      <c r="D1552">
        <f>VLOOKUP(A1552,Medical_Examinations[],3,FALSE)</f>
        <v>8.5299999999999994</v>
      </c>
      <c r="E1552" t="str">
        <f>VLOOKUP(A1552,Medical_Examinations[],4,FALSE)</f>
        <v>Yes</v>
      </c>
      <c r="F1552" t="str">
        <f>VLOOKUP(A1552,Medical_Examinations[],5,FALSE)</f>
        <v>No</v>
      </c>
      <c r="G1552" t="str">
        <f>VLOOKUP(A1552,Medical_Examinations[],6,FALSE)</f>
        <v>No</v>
      </c>
      <c r="H1552">
        <f>VLOOKUP(A1552,Medical_Examinations[],7,FALSE)</f>
        <v>1</v>
      </c>
      <c r="I1552" t="str">
        <f>VLOOKUP(A1552,Medical_Examinations[],8,FALSE)</f>
        <v>No</v>
      </c>
      <c r="J1552" t="str">
        <f>VLOOKUP(A1552,Medical_Examinations[],9,FALSE)</f>
        <v>Overweight</v>
      </c>
      <c r="K1552" t="str">
        <f>VLOOKUP(A1552,Medical_Examinations[],10,FALSE)</f>
        <v>Diabetes</v>
      </c>
      <c r="M1552">
        <f>VLOOKUP(A1552,Hospitalisation_Details__2[],4,FALSE)</f>
        <v>6548.2</v>
      </c>
      <c r="N1552" t="str">
        <f>VLOOKUP(A1552,Hospitalisation_Details__2[],5,FALSE)</f>
        <v>tier - 2</v>
      </c>
      <c r="O1552" t="str">
        <f>VLOOKUP(A1552,Hospitalisation_Details__2[],6,FALSE)</f>
        <v>tier - 3</v>
      </c>
      <c r="P1552" t="str">
        <f>VLOOKUP(A1552,Hospitalisation_Details__2[],7,FALSE)</f>
        <v>R1012</v>
      </c>
    </row>
    <row r="1553" spans="1:16" x14ac:dyDescent="0.35">
      <c r="A1553" t="str">
        <v>Id1552</v>
      </c>
      <c r="B1553" t="str">
        <f>VLOOKUP(A1553,'Customer Names (2)'!A:B, 2,FALSE)</f>
        <v>Mr</v>
      </c>
      <c r="C1553">
        <f>VLOOKUP(A1553,Medical_Examinations[],2,FALSE)</f>
        <v>17.8</v>
      </c>
      <c r="D1553">
        <f>VLOOKUP(A1553,Medical_Examinations[],3,FALSE)</f>
        <v>5.75</v>
      </c>
      <c r="E1553" t="str">
        <f>VLOOKUP(A1553,Medical_Examinations[],4,FALSE)</f>
        <v>Yes</v>
      </c>
      <c r="F1553" t="str">
        <f>VLOOKUP(A1553,Medical_Examinations[],5,FALSE)</f>
        <v>No</v>
      </c>
      <c r="G1553" t="str">
        <f>VLOOKUP(A1553,Medical_Examinations[],6,FALSE)</f>
        <v>Yes</v>
      </c>
      <c r="H1553">
        <f>VLOOKUP(A1553,Medical_Examinations[],7,FALSE)</f>
        <v>1</v>
      </c>
      <c r="I1553" t="str">
        <f>VLOOKUP(A1553,Medical_Examinations[],8,FALSE)</f>
        <v>No</v>
      </c>
      <c r="J1553" t="str">
        <f>VLOOKUP(A1553,Medical_Examinations[],9,FALSE)</f>
        <v>Underweight</v>
      </c>
      <c r="K1553" t="str">
        <f>VLOOKUP(A1553,Medical_Examinations[],10,FALSE)</f>
        <v>Prediabetes</v>
      </c>
      <c r="M1553">
        <f>VLOOKUP(A1553,Hospitalisation_Details__2[],4,FALSE)</f>
        <v>6546.16</v>
      </c>
      <c r="N1553" t="str">
        <f>VLOOKUP(A1553,Hospitalisation_Details__2[],5,FALSE)</f>
        <v>tier - 2</v>
      </c>
      <c r="O1553" t="str">
        <f>VLOOKUP(A1553,Hospitalisation_Details__2[],6,FALSE)</f>
        <v>tier - 3</v>
      </c>
      <c r="P1553" t="str">
        <f>VLOOKUP(A1553,Hospitalisation_Details__2[],7,FALSE)</f>
        <v>R1013</v>
      </c>
    </row>
    <row r="1554" spans="1:16" x14ac:dyDescent="0.35">
      <c r="A1554" t="str">
        <v>Id1553</v>
      </c>
      <c r="B1554" t="str">
        <f>VLOOKUP(A1554,'Customer Names (2)'!A:B, 2,FALSE)</f>
        <v>Mr</v>
      </c>
      <c r="C1554">
        <f>VLOOKUP(A1554,Medical_Examinations[],2,FALSE)</f>
        <v>21.4</v>
      </c>
      <c r="D1554">
        <f>VLOOKUP(A1554,Medical_Examinations[],3,FALSE)</f>
        <v>5.6</v>
      </c>
      <c r="E1554" t="str">
        <f>VLOOKUP(A1554,Medical_Examinations[],4,FALSE)</f>
        <v>No</v>
      </c>
      <c r="F1554" t="str">
        <f>VLOOKUP(A1554,Medical_Examinations[],5,FALSE)</f>
        <v>No</v>
      </c>
      <c r="G1554" t="str">
        <f>VLOOKUP(A1554,Medical_Examinations[],6,FALSE)</f>
        <v>No</v>
      </c>
      <c r="H1554">
        <f>VLOOKUP(A1554,Medical_Examinations[],7,FALSE)</f>
        <v>0</v>
      </c>
      <c r="I1554" t="str">
        <f>VLOOKUP(A1554,Medical_Examinations[],8,FALSE)</f>
        <v>No</v>
      </c>
      <c r="J1554" t="str">
        <f>VLOOKUP(A1554,Medical_Examinations[],9,FALSE)</f>
        <v>Normal Weight</v>
      </c>
      <c r="K1554" t="str">
        <f>VLOOKUP(A1554,Medical_Examinations[],10,FALSE)</f>
        <v>Normal</v>
      </c>
      <c r="M1554">
        <f>VLOOKUP(A1554,Hospitalisation_Details__2[],4,FALSE)</f>
        <v>6536.68</v>
      </c>
      <c r="N1554" t="str">
        <f>VLOOKUP(A1554,Hospitalisation_Details__2[],5,FALSE)</f>
        <v>tier - 2</v>
      </c>
      <c r="O1554" t="str">
        <f>VLOOKUP(A1554,Hospitalisation_Details__2[],6,FALSE)</f>
        <v>tier - 2</v>
      </c>
      <c r="P1554" t="str">
        <f>VLOOKUP(A1554,Hospitalisation_Details__2[],7,FALSE)</f>
        <v>R1012</v>
      </c>
    </row>
    <row r="1555" spans="1:16" x14ac:dyDescent="0.35">
      <c r="A1555" t="str">
        <v>Id1554</v>
      </c>
      <c r="B1555" t="str">
        <f>VLOOKUP(A1555,'Customer Names (2)'!A:B, 2,FALSE)</f>
        <v>Ms</v>
      </c>
      <c r="C1555">
        <f>VLOOKUP(A1555,Medical_Examinations[],2,FALSE)</f>
        <v>23.01</v>
      </c>
      <c r="D1555">
        <f>VLOOKUP(A1555,Medical_Examinations[],3,FALSE)</f>
        <v>4.68</v>
      </c>
      <c r="E1555" t="str">
        <f>VLOOKUP(A1555,Medical_Examinations[],4,FALSE)</f>
        <v>No</v>
      </c>
      <c r="F1555" t="str">
        <f>VLOOKUP(A1555,Medical_Examinations[],5,FALSE)</f>
        <v>No</v>
      </c>
      <c r="G1555" t="str">
        <f>VLOOKUP(A1555,Medical_Examinations[],6,FALSE)</f>
        <v>No</v>
      </c>
      <c r="H1555">
        <f>VLOOKUP(A1555,Medical_Examinations[],7,FALSE)</f>
        <v>0</v>
      </c>
      <c r="I1555" t="str">
        <f>VLOOKUP(A1555,Medical_Examinations[],8,FALSE)</f>
        <v>No</v>
      </c>
      <c r="J1555" t="str">
        <f>VLOOKUP(A1555,Medical_Examinations[],9,FALSE)</f>
        <v>Normal Weight</v>
      </c>
      <c r="K1555" t="str">
        <f>VLOOKUP(A1555,Medical_Examinations[],10,FALSE)</f>
        <v>Normal</v>
      </c>
      <c r="M1555">
        <f>VLOOKUP(A1555,Hospitalisation_Details__2[],4,FALSE)</f>
        <v>6532.04</v>
      </c>
      <c r="N1555" t="str">
        <f>VLOOKUP(A1555,Hospitalisation_Details__2[],5,FALSE)</f>
        <v>tier - 2</v>
      </c>
      <c r="O1555" t="str">
        <f>VLOOKUP(A1555,Hospitalisation_Details__2[],6,FALSE)</f>
        <v>tier - 1</v>
      </c>
      <c r="P1555" t="str">
        <f>VLOOKUP(A1555,Hospitalisation_Details__2[],7,FALSE)</f>
        <v>R1013</v>
      </c>
    </row>
    <row r="1556" spans="1:16" x14ac:dyDescent="0.35">
      <c r="A1556" t="str">
        <v>Id1555</v>
      </c>
      <c r="B1556" t="str">
        <f>VLOOKUP(A1556,'Customer Names (2)'!A:B, 2,FALSE)</f>
        <v>Ms</v>
      </c>
      <c r="C1556">
        <f>VLOOKUP(A1556,Medical_Examinations[],2,FALSE)</f>
        <v>19.86</v>
      </c>
      <c r="D1556">
        <f>VLOOKUP(A1556,Medical_Examinations[],3,FALSE)</f>
        <v>5.62</v>
      </c>
      <c r="E1556" t="str">
        <f>VLOOKUP(A1556,Medical_Examinations[],4,FALSE)</f>
        <v>Yes</v>
      </c>
      <c r="F1556" t="str">
        <f>VLOOKUP(A1556,Medical_Examinations[],5,FALSE)</f>
        <v>No</v>
      </c>
      <c r="G1556" t="str">
        <f>VLOOKUP(A1556,Medical_Examinations[],6,FALSE)</f>
        <v>No</v>
      </c>
      <c r="H1556">
        <f>VLOOKUP(A1556,Medical_Examinations[],7,FALSE)</f>
        <v>0</v>
      </c>
      <c r="I1556" t="str">
        <f>VLOOKUP(A1556,Medical_Examinations[],8,FALSE)</f>
        <v>No</v>
      </c>
      <c r="J1556" t="str">
        <f>VLOOKUP(A1556,Medical_Examinations[],9,FALSE)</f>
        <v>Normal Weight</v>
      </c>
      <c r="K1556" t="str">
        <f>VLOOKUP(A1556,Medical_Examinations[],10,FALSE)</f>
        <v>Normal</v>
      </c>
      <c r="M1556">
        <f>VLOOKUP(A1556,Hospitalisation_Details__2[],4,FALSE)</f>
        <v>6529.21</v>
      </c>
      <c r="N1556" t="str">
        <f>VLOOKUP(A1556,Hospitalisation_Details__2[],5,FALSE)</f>
        <v>tier - 2</v>
      </c>
      <c r="O1556" t="str">
        <f>VLOOKUP(A1556,Hospitalisation_Details__2[],6,FALSE)</f>
        <v>tier - 1</v>
      </c>
      <c r="P1556" t="str">
        <f>VLOOKUP(A1556,Hospitalisation_Details__2[],7,FALSE)</f>
        <v>R1013</v>
      </c>
    </row>
    <row r="1557" spans="1:16" x14ac:dyDescent="0.35">
      <c r="A1557" t="str">
        <v>Id1556</v>
      </c>
      <c r="B1557" t="str">
        <f>VLOOKUP(A1557,'Customer Names (2)'!A:B, 2,FALSE)</f>
        <v>Mr</v>
      </c>
      <c r="C1557">
        <f>VLOOKUP(A1557,Medical_Examinations[],2,FALSE)</f>
        <v>33.58</v>
      </c>
      <c r="D1557">
        <f>VLOOKUP(A1557,Medical_Examinations[],3,FALSE)</f>
        <v>5.08</v>
      </c>
      <c r="E1557" t="str">
        <f>VLOOKUP(A1557,Medical_Examinations[],4,FALSE)</f>
        <v>No</v>
      </c>
      <c r="F1557" t="str">
        <f>VLOOKUP(A1557,Medical_Examinations[],5,FALSE)</f>
        <v>No</v>
      </c>
      <c r="G1557" t="str">
        <f>VLOOKUP(A1557,Medical_Examinations[],6,FALSE)</f>
        <v>No</v>
      </c>
      <c r="H1557">
        <f>VLOOKUP(A1557,Medical_Examinations[],7,FALSE)</f>
        <v>0</v>
      </c>
      <c r="I1557" t="str">
        <f>VLOOKUP(A1557,Medical_Examinations[],8,FALSE)</f>
        <v>No</v>
      </c>
      <c r="J1557" t="str">
        <f>VLOOKUP(A1557,Medical_Examinations[],9,FALSE)</f>
        <v>Obesity</v>
      </c>
      <c r="K1557" t="str">
        <f>VLOOKUP(A1557,Medical_Examinations[],10,FALSE)</f>
        <v>Normal</v>
      </c>
      <c r="M1557">
        <f>VLOOKUP(A1557,Hospitalisation_Details__2[],4,FALSE)</f>
        <v>6512.24</v>
      </c>
      <c r="N1557" t="str">
        <f>VLOOKUP(A1557,Hospitalisation_Details__2[],5,FALSE)</f>
        <v>tier - 2</v>
      </c>
      <c r="O1557" t="str">
        <f>VLOOKUP(A1557,Hospitalisation_Details__2[],6,FALSE)</f>
        <v>tier - 1</v>
      </c>
      <c r="P1557" t="str">
        <f>VLOOKUP(A1557,Hospitalisation_Details__2[],7,FALSE)</f>
        <v>R1021</v>
      </c>
    </row>
    <row r="1558" spans="1:16" x14ac:dyDescent="0.35">
      <c r="A1558" t="str">
        <v>Id1557</v>
      </c>
      <c r="B1558" t="str">
        <f>VLOOKUP(A1558,'Customer Names (2)'!A:B, 2,FALSE)</f>
        <v>Ms</v>
      </c>
      <c r="C1558">
        <f>VLOOKUP(A1558,Medical_Examinations[],2,FALSE)</f>
        <v>29.81</v>
      </c>
      <c r="D1558">
        <f>VLOOKUP(A1558,Medical_Examinations[],3,FALSE)</f>
        <v>5.28</v>
      </c>
      <c r="E1558" t="str">
        <f>VLOOKUP(A1558,Medical_Examinations[],4,FALSE)</f>
        <v>No</v>
      </c>
      <c r="F1558" t="str">
        <f>VLOOKUP(A1558,Medical_Examinations[],5,FALSE)</f>
        <v>No</v>
      </c>
      <c r="G1558" t="str">
        <f>VLOOKUP(A1558,Medical_Examinations[],6,FALSE)</f>
        <v>No</v>
      </c>
      <c r="H1558">
        <f>VLOOKUP(A1558,Medical_Examinations[],7,FALSE)</f>
        <v>0</v>
      </c>
      <c r="I1558" t="str">
        <f>VLOOKUP(A1558,Medical_Examinations[],8,FALSE)</f>
        <v>No</v>
      </c>
      <c r="J1558" t="str">
        <f>VLOOKUP(A1558,Medical_Examinations[],9,FALSE)</f>
        <v>Overweight</v>
      </c>
      <c r="K1558" t="str">
        <f>VLOOKUP(A1558,Medical_Examinations[],10,FALSE)</f>
        <v>Normal</v>
      </c>
      <c r="M1558">
        <f>VLOOKUP(A1558,Hospitalisation_Details__2[],4,FALSE)</f>
        <v>6500.24</v>
      </c>
      <c r="N1558" t="str">
        <f>VLOOKUP(A1558,Hospitalisation_Details__2[],5,FALSE)</f>
        <v>tier - 2</v>
      </c>
      <c r="O1558" t="str">
        <f>VLOOKUP(A1558,Hospitalisation_Details__2[],6,FALSE)</f>
        <v>tier - 2</v>
      </c>
      <c r="P1558" t="str">
        <f>VLOOKUP(A1558,Hospitalisation_Details__2[],7,FALSE)</f>
        <v>R1013</v>
      </c>
    </row>
    <row r="1559" spans="1:16" x14ac:dyDescent="0.35">
      <c r="A1559" t="str">
        <v>Id1558</v>
      </c>
      <c r="B1559" t="str">
        <f>VLOOKUP(A1559,'Customer Names (2)'!A:B, 2,FALSE)</f>
        <v>Ms</v>
      </c>
      <c r="C1559">
        <f>VLOOKUP(A1559,Medical_Examinations[],2,FALSE)</f>
        <v>27.4</v>
      </c>
      <c r="D1559">
        <f>VLOOKUP(A1559,Medical_Examinations[],3,FALSE)</f>
        <v>4.6100000000000003</v>
      </c>
      <c r="E1559" t="str">
        <f>VLOOKUP(A1559,Medical_Examinations[],4,FALSE)</f>
        <v>No</v>
      </c>
      <c r="F1559" t="str">
        <f>VLOOKUP(A1559,Medical_Examinations[],5,FALSE)</f>
        <v>No</v>
      </c>
      <c r="G1559" t="str">
        <f>VLOOKUP(A1559,Medical_Examinations[],6,FALSE)</f>
        <v>No</v>
      </c>
      <c r="H1559">
        <f>VLOOKUP(A1559,Medical_Examinations[],7,FALSE)</f>
        <v>0</v>
      </c>
      <c r="I1559" t="str">
        <f>VLOOKUP(A1559,Medical_Examinations[],8,FALSE)</f>
        <v>No</v>
      </c>
      <c r="J1559" t="str">
        <f>VLOOKUP(A1559,Medical_Examinations[],9,FALSE)</f>
        <v>Overweight</v>
      </c>
      <c r="K1559" t="str">
        <f>VLOOKUP(A1559,Medical_Examinations[],10,FALSE)</f>
        <v>Normal</v>
      </c>
      <c r="M1559">
        <f>VLOOKUP(A1559,Hospitalisation_Details__2[],4,FALSE)</f>
        <v>6496.89</v>
      </c>
      <c r="N1559" t="str">
        <f>VLOOKUP(A1559,Hospitalisation_Details__2[],5,FALSE)</f>
        <v>tier - 2</v>
      </c>
      <c r="O1559" t="str">
        <f>VLOOKUP(A1559,Hospitalisation_Details__2[],6,FALSE)</f>
        <v>tier - 3</v>
      </c>
      <c r="P1559" t="str">
        <f>VLOOKUP(A1559,Hospitalisation_Details__2[],7,FALSE)</f>
        <v>R1011</v>
      </c>
    </row>
    <row r="1560" spans="1:16" x14ac:dyDescent="0.35">
      <c r="A1560" t="str">
        <v>Id1559</v>
      </c>
      <c r="B1560" t="str">
        <f>VLOOKUP(A1560,'Customer Names (2)'!A:B, 2,FALSE)</f>
        <v>Ms</v>
      </c>
      <c r="C1560">
        <f>VLOOKUP(A1560,Medical_Examinations[],2,FALSE)</f>
        <v>17.98</v>
      </c>
      <c r="D1560">
        <f>VLOOKUP(A1560,Medical_Examinations[],3,FALSE)</f>
        <v>6.57</v>
      </c>
      <c r="E1560" t="str">
        <f>VLOOKUP(A1560,Medical_Examinations[],4,FALSE)</f>
        <v>Yes</v>
      </c>
      <c r="F1560" t="str">
        <f>VLOOKUP(A1560,Medical_Examinations[],5,FALSE)</f>
        <v>No</v>
      </c>
      <c r="G1560" t="str">
        <f>VLOOKUP(A1560,Medical_Examinations[],6,FALSE)</f>
        <v>No</v>
      </c>
      <c r="H1560">
        <f>VLOOKUP(A1560,Medical_Examinations[],7,FALSE)</f>
        <v>2</v>
      </c>
      <c r="I1560" t="str">
        <f>VLOOKUP(A1560,Medical_Examinations[],8,FALSE)</f>
        <v>No</v>
      </c>
      <c r="J1560" t="str">
        <f>VLOOKUP(A1560,Medical_Examinations[],9,FALSE)</f>
        <v>Underweight</v>
      </c>
      <c r="K1560" t="str">
        <f>VLOOKUP(A1560,Medical_Examinations[],10,FALSE)</f>
        <v>Diabetes</v>
      </c>
      <c r="M1560">
        <f>VLOOKUP(A1560,Hospitalisation_Details__2[],4,FALSE)</f>
        <v>6481.67</v>
      </c>
      <c r="N1560" t="str">
        <f>VLOOKUP(A1560,Hospitalisation_Details__2[],5,FALSE)</f>
        <v>tier - 2</v>
      </c>
      <c r="O1560" t="str">
        <f>VLOOKUP(A1560,Hospitalisation_Details__2[],6,FALSE)</f>
        <v>tier - 2</v>
      </c>
      <c r="P1560" t="str">
        <f>VLOOKUP(A1560,Hospitalisation_Details__2[],7,FALSE)</f>
        <v>R1013</v>
      </c>
    </row>
    <row r="1561" spans="1:16" x14ac:dyDescent="0.35">
      <c r="A1561" t="str">
        <v>Id1560</v>
      </c>
      <c r="B1561" t="str">
        <f>VLOOKUP(A1561,'Customer Names (2)'!A:B, 2,FALSE)</f>
        <v>Ms</v>
      </c>
      <c r="C1561">
        <f>VLOOKUP(A1561,Medical_Examinations[],2,FALSE)</f>
        <v>37.9</v>
      </c>
      <c r="D1561">
        <f>VLOOKUP(A1561,Medical_Examinations[],3,FALSE)</f>
        <v>5.83</v>
      </c>
      <c r="E1561" t="str">
        <f>VLOOKUP(A1561,Medical_Examinations[],4,FALSE)</f>
        <v>No</v>
      </c>
      <c r="F1561" t="str">
        <f>VLOOKUP(A1561,Medical_Examinations[],5,FALSE)</f>
        <v>No</v>
      </c>
      <c r="G1561" t="str">
        <f>VLOOKUP(A1561,Medical_Examinations[],6,FALSE)</f>
        <v>No</v>
      </c>
      <c r="H1561">
        <f>VLOOKUP(A1561,Medical_Examinations[],7,FALSE)</f>
        <v>0</v>
      </c>
      <c r="I1561" t="str">
        <f>VLOOKUP(A1561,Medical_Examinations[],8,FALSE)</f>
        <v>No</v>
      </c>
      <c r="J1561" t="str">
        <f>VLOOKUP(A1561,Medical_Examinations[],9,FALSE)</f>
        <v>Obesity</v>
      </c>
      <c r="K1561" t="str">
        <f>VLOOKUP(A1561,Medical_Examinations[],10,FALSE)</f>
        <v>Prediabetes</v>
      </c>
      <c r="M1561">
        <f>VLOOKUP(A1561,Hospitalisation_Details__2[],4,FALSE)</f>
        <v>6474.01</v>
      </c>
      <c r="N1561" t="str">
        <f>VLOOKUP(A1561,Hospitalisation_Details__2[],5,FALSE)</f>
        <v>tier - 2</v>
      </c>
      <c r="O1561" t="str">
        <f>VLOOKUP(A1561,Hospitalisation_Details__2[],6,FALSE)</f>
        <v>tier - 3</v>
      </c>
      <c r="P1561" t="str">
        <f>VLOOKUP(A1561,Hospitalisation_Details__2[],7,FALSE)</f>
        <v>R1011</v>
      </c>
    </row>
    <row r="1562" spans="1:16" x14ac:dyDescent="0.35">
      <c r="A1562" t="str">
        <v>Id1561</v>
      </c>
      <c r="B1562" t="str">
        <f>VLOOKUP(A1562,'Customer Names (2)'!A:B, 2,FALSE)</f>
        <v>Mr</v>
      </c>
      <c r="C1562">
        <f>VLOOKUP(A1562,Medical_Examinations[],2,FALSE)</f>
        <v>25.27</v>
      </c>
      <c r="D1562">
        <f>VLOOKUP(A1562,Medical_Examinations[],3,FALSE)</f>
        <v>6.98</v>
      </c>
      <c r="E1562" t="str">
        <f>VLOOKUP(A1562,Medical_Examinations[],4,FALSE)</f>
        <v>Yes</v>
      </c>
      <c r="F1562" t="str">
        <f>VLOOKUP(A1562,Medical_Examinations[],5,FALSE)</f>
        <v>No</v>
      </c>
      <c r="G1562" t="str">
        <f>VLOOKUP(A1562,Medical_Examinations[],6,FALSE)</f>
        <v>No</v>
      </c>
      <c r="H1562">
        <f>VLOOKUP(A1562,Medical_Examinations[],7,FALSE)</f>
        <v>0</v>
      </c>
      <c r="I1562" t="str">
        <f>VLOOKUP(A1562,Medical_Examinations[],8,FALSE)</f>
        <v>No</v>
      </c>
      <c r="J1562" t="str">
        <f>VLOOKUP(A1562,Medical_Examinations[],9,FALSE)</f>
        <v>Overweight</v>
      </c>
      <c r="K1562" t="str">
        <f>VLOOKUP(A1562,Medical_Examinations[],10,FALSE)</f>
        <v>Diabetes</v>
      </c>
      <c r="M1562">
        <f>VLOOKUP(A1562,Hospitalisation_Details__2[],4,FALSE)</f>
        <v>6473.15</v>
      </c>
      <c r="N1562" t="str">
        <f>VLOOKUP(A1562,Hospitalisation_Details__2[],5,FALSE)</f>
        <v>tier - 2</v>
      </c>
      <c r="O1562" t="str">
        <f>VLOOKUP(A1562,Hospitalisation_Details__2[],6,FALSE)</f>
        <v>tier - 2</v>
      </c>
      <c r="P1562" t="str">
        <f>VLOOKUP(A1562,Hospitalisation_Details__2[],7,FALSE)</f>
        <v>R1013</v>
      </c>
    </row>
    <row r="1563" spans="1:16" x14ac:dyDescent="0.35">
      <c r="A1563" t="str">
        <v>Id1562</v>
      </c>
      <c r="B1563" t="str">
        <f>VLOOKUP(A1563,'Customer Names (2)'!A:B, 2,FALSE)</f>
        <v>Mr</v>
      </c>
      <c r="C1563">
        <f>VLOOKUP(A1563,Medical_Examinations[],2,FALSE)</f>
        <v>29.26</v>
      </c>
      <c r="D1563">
        <f>VLOOKUP(A1563,Medical_Examinations[],3,FALSE)</f>
        <v>4.03</v>
      </c>
      <c r="E1563" t="str">
        <f>VLOOKUP(A1563,Medical_Examinations[],4,FALSE)</f>
        <v>No</v>
      </c>
      <c r="F1563" t="str">
        <f>VLOOKUP(A1563,Medical_Examinations[],5,FALSE)</f>
        <v>No</v>
      </c>
      <c r="G1563" t="str">
        <f>VLOOKUP(A1563,Medical_Examinations[],6,FALSE)</f>
        <v>No</v>
      </c>
      <c r="H1563">
        <f>VLOOKUP(A1563,Medical_Examinations[],7,FALSE)</f>
        <v>1</v>
      </c>
      <c r="I1563" t="str">
        <f>VLOOKUP(A1563,Medical_Examinations[],8,FALSE)</f>
        <v>No</v>
      </c>
      <c r="J1563" t="str">
        <f>VLOOKUP(A1563,Medical_Examinations[],9,FALSE)</f>
        <v>Overweight</v>
      </c>
      <c r="K1563" t="str">
        <f>VLOOKUP(A1563,Medical_Examinations[],10,FALSE)</f>
        <v>Normal</v>
      </c>
      <c r="M1563">
        <f>VLOOKUP(A1563,Hospitalisation_Details__2[],4,FALSE)</f>
        <v>6457.84</v>
      </c>
      <c r="N1563" t="str">
        <f>VLOOKUP(A1563,Hospitalisation_Details__2[],5,FALSE)</f>
        <v>tier - 2</v>
      </c>
      <c r="O1563" t="str">
        <f>VLOOKUP(A1563,Hospitalisation_Details__2[],6,FALSE)</f>
        <v>tier - 3</v>
      </c>
      <c r="P1563" t="str">
        <f>VLOOKUP(A1563,Hospitalisation_Details__2[],7,FALSE)</f>
        <v>R1012</v>
      </c>
    </row>
    <row r="1564" spans="1:16" x14ac:dyDescent="0.35">
      <c r="A1564" t="str">
        <v>Id1563</v>
      </c>
      <c r="B1564" t="str">
        <f>VLOOKUP(A1564,'Customer Names (2)'!A:B, 2,FALSE)</f>
        <v>Mr</v>
      </c>
      <c r="C1564">
        <f>VLOOKUP(A1564,Medical_Examinations[],2,FALSE)</f>
        <v>27.835000000000001</v>
      </c>
      <c r="D1564">
        <f>VLOOKUP(A1564,Medical_Examinations[],3,FALSE)</f>
        <v>4.5599999999999996</v>
      </c>
      <c r="E1564" t="str">
        <f>VLOOKUP(A1564,Medical_Examinations[],4,FALSE)</f>
        <v>No</v>
      </c>
      <c r="F1564" t="str">
        <f>VLOOKUP(A1564,Medical_Examinations[],5,FALSE)</f>
        <v>No</v>
      </c>
      <c r="G1564" t="str">
        <f>VLOOKUP(A1564,Medical_Examinations[],6,FALSE)</f>
        <v>No</v>
      </c>
      <c r="H1564">
        <f>VLOOKUP(A1564,Medical_Examinations[],7,FALSE)</f>
        <v>1</v>
      </c>
      <c r="I1564" t="str">
        <f>VLOOKUP(A1564,Medical_Examinations[],8,FALSE)</f>
        <v>No</v>
      </c>
      <c r="J1564" t="str">
        <f>VLOOKUP(A1564,Medical_Examinations[],9,FALSE)</f>
        <v>Overweight</v>
      </c>
      <c r="K1564" t="str">
        <f>VLOOKUP(A1564,Medical_Examinations[],10,FALSE)</f>
        <v>Normal</v>
      </c>
      <c r="M1564">
        <f>VLOOKUP(A1564,Hospitalisation_Details__2[],4,FALSE)</f>
        <v>6455.86</v>
      </c>
      <c r="N1564" t="str">
        <f>VLOOKUP(A1564,Hospitalisation_Details__2[],5,FALSE)</f>
        <v>tier - 3</v>
      </c>
      <c r="O1564" t="str">
        <f>VLOOKUP(A1564,Hospitalisation_Details__2[],6,FALSE)</f>
        <v>tier - 3</v>
      </c>
      <c r="P1564" t="str">
        <f>VLOOKUP(A1564,Hospitalisation_Details__2[],7,FALSE)</f>
        <v>R1012</v>
      </c>
    </row>
    <row r="1565" spans="1:16" x14ac:dyDescent="0.35">
      <c r="A1565" t="str">
        <v>Id1564</v>
      </c>
      <c r="B1565" t="str">
        <f>VLOOKUP(A1565,'Customer Names (2)'!A:B, 2,FALSE)</f>
        <v>Mr</v>
      </c>
      <c r="C1565">
        <f>VLOOKUP(A1565,Medical_Examinations[],2,FALSE)</f>
        <v>46.53</v>
      </c>
      <c r="D1565">
        <f>VLOOKUP(A1565,Medical_Examinations[],3,FALSE)</f>
        <v>5.38</v>
      </c>
      <c r="E1565" t="str">
        <f>VLOOKUP(A1565,Medical_Examinations[],4,FALSE)</f>
        <v>Yes</v>
      </c>
      <c r="F1565" t="str">
        <f>VLOOKUP(A1565,Medical_Examinations[],5,FALSE)</f>
        <v>No</v>
      </c>
      <c r="G1565" t="str">
        <f>VLOOKUP(A1565,Medical_Examinations[],6,FALSE)</f>
        <v>No</v>
      </c>
      <c r="H1565">
        <f>VLOOKUP(A1565,Medical_Examinations[],7,FALSE)</f>
        <v>0</v>
      </c>
      <c r="I1565" t="str">
        <f>VLOOKUP(A1565,Medical_Examinations[],8,FALSE)</f>
        <v>No</v>
      </c>
      <c r="J1565" t="str">
        <f>VLOOKUP(A1565,Medical_Examinations[],9,FALSE)</f>
        <v>Obesity</v>
      </c>
      <c r="K1565" t="str">
        <f>VLOOKUP(A1565,Medical_Examinations[],10,FALSE)</f>
        <v>Normal</v>
      </c>
      <c r="M1565">
        <f>VLOOKUP(A1565,Hospitalisation_Details__2[],4,FALSE)</f>
        <v>6435.62</v>
      </c>
      <c r="N1565" t="str">
        <f>VLOOKUP(A1565,Hospitalisation_Details__2[],5,FALSE)</f>
        <v>tier - 3</v>
      </c>
      <c r="O1565" t="str">
        <f>VLOOKUP(A1565,Hospitalisation_Details__2[],6,FALSE)</f>
        <v>tier - 2</v>
      </c>
      <c r="P1565" t="str">
        <f>VLOOKUP(A1565,Hospitalisation_Details__2[],7,FALSE)</f>
        <v>R1013</v>
      </c>
    </row>
    <row r="1566" spans="1:16" x14ac:dyDescent="0.35">
      <c r="A1566" t="str">
        <v>Id1565</v>
      </c>
      <c r="B1566" t="str">
        <f>VLOOKUP(A1566,'Customer Names (2)'!A:B, 2,FALSE)</f>
        <v>Mr</v>
      </c>
      <c r="C1566">
        <f>VLOOKUP(A1566,Medical_Examinations[],2,FALSE)</f>
        <v>20.58</v>
      </c>
      <c r="D1566">
        <f>VLOOKUP(A1566,Medical_Examinations[],3,FALSE)</f>
        <v>11.04</v>
      </c>
      <c r="E1566" t="str">
        <f>VLOOKUP(A1566,Medical_Examinations[],4,FALSE)</f>
        <v>Yes</v>
      </c>
      <c r="F1566" t="str">
        <f>VLOOKUP(A1566,Medical_Examinations[],5,FALSE)</f>
        <v>No</v>
      </c>
      <c r="G1566" t="str">
        <f>VLOOKUP(A1566,Medical_Examinations[],6,FALSE)</f>
        <v>No</v>
      </c>
      <c r="H1566">
        <f>VLOOKUP(A1566,Medical_Examinations[],7,FALSE)</f>
        <v>1</v>
      </c>
      <c r="I1566" t="str">
        <f>VLOOKUP(A1566,Medical_Examinations[],8,FALSE)</f>
        <v>No</v>
      </c>
      <c r="J1566" t="str">
        <f>VLOOKUP(A1566,Medical_Examinations[],9,FALSE)</f>
        <v>Normal Weight</v>
      </c>
      <c r="K1566" t="str">
        <f>VLOOKUP(A1566,Medical_Examinations[],10,FALSE)</f>
        <v>Diabetes</v>
      </c>
      <c r="M1566">
        <f>VLOOKUP(A1566,Hospitalisation_Details__2[],4,FALSE)</f>
        <v>6423.48</v>
      </c>
      <c r="N1566" t="str">
        <f>VLOOKUP(A1566,Hospitalisation_Details__2[],5,FALSE)</f>
        <v>tier - 2</v>
      </c>
      <c r="O1566" t="str">
        <f>VLOOKUP(A1566,Hospitalisation_Details__2[],6,FALSE)</f>
        <v>tier - 3</v>
      </c>
      <c r="P1566" t="str">
        <f>VLOOKUP(A1566,Hospitalisation_Details__2[],7,FALSE)</f>
        <v>R1013</v>
      </c>
    </row>
    <row r="1567" spans="1:16" x14ac:dyDescent="0.35">
      <c r="A1567" t="str">
        <v>Id1566</v>
      </c>
      <c r="B1567" t="str">
        <f>VLOOKUP(A1567,'Customer Names (2)'!A:B, 2,FALSE)</f>
        <v>Ms</v>
      </c>
      <c r="C1567">
        <f>VLOOKUP(A1567,Medical_Examinations[],2,FALSE)</f>
        <v>19.53</v>
      </c>
      <c r="D1567">
        <f>VLOOKUP(A1567,Medical_Examinations[],3,FALSE)</f>
        <v>6.09</v>
      </c>
      <c r="E1567" t="str">
        <f>VLOOKUP(A1567,Medical_Examinations[],4,FALSE)</f>
        <v>Yes</v>
      </c>
      <c r="F1567" t="str">
        <f>VLOOKUP(A1567,Medical_Examinations[],5,FALSE)</f>
        <v>No</v>
      </c>
      <c r="G1567" t="str">
        <f>VLOOKUP(A1567,Medical_Examinations[],6,FALSE)</f>
        <v>No</v>
      </c>
      <c r="H1567">
        <f>VLOOKUP(A1567,Medical_Examinations[],7,FALSE)</f>
        <v>0</v>
      </c>
      <c r="I1567" t="str">
        <f>VLOOKUP(A1567,Medical_Examinations[],8,FALSE)</f>
        <v>No</v>
      </c>
      <c r="J1567" t="str">
        <f>VLOOKUP(A1567,Medical_Examinations[],9,FALSE)</f>
        <v>Normal Weight</v>
      </c>
      <c r="K1567" t="str">
        <f>VLOOKUP(A1567,Medical_Examinations[],10,FALSE)</f>
        <v>Prediabetes</v>
      </c>
      <c r="M1567">
        <f>VLOOKUP(A1567,Hospitalisation_Details__2[],4,FALSE)</f>
        <v>6417.28</v>
      </c>
      <c r="N1567" t="str">
        <f>VLOOKUP(A1567,Hospitalisation_Details__2[],5,FALSE)</f>
        <v>tier - 2</v>
      </c>
      <c r="O1567" t="str">
        <f>VLOOKUP(A1567,Hospitalisation_Details__2[],6,FALSE)</f>
        <v>tier - 3</v>
      </c>
      <c r="P1567" t="str">
        <f>VLOOKUP(A1567,Hospitalisation_Details__2[],7,FALSE)</f>
        <v>R1013</v>
      </c>
    </row>
    <row r="1568" spans="1:16" x14ac:dyDescent="0.35">
      <c r="A1568" t="str">
        <v>Id1567</v>
      </c>
      <c r="B1568" t="str">
        <f>VLOOKUP(A1568,'Customer Names (2)'!A:B, 2,FALSE)</f>
        <v>Ms</v>
      </c>
      <c r="C1568">
        <f>VLOOKUP(A1568,Medical_Examinations[],2,FALSE)</f>
        <v>27.7</v>
      </c>
      <c r="D1568">
        <f>VLOOKUP(A1568,Medical_Examinations[],3,FALSE)</f>
        <v>4.71</v>
      </c>
      <c r="E1568" t="str">
        <f>VLOOKUP(A1568,Medical_Examinations[],4,FALSE)</f>
        <v>No</v>
      </c>
      <c r="F1568" t="str">
        <f>VLOOKUP(A1568,Medical_Examinations[],5,FALSE)</f>
        <v>No</v>
      </c>
      <c r="G1568" t="str">
        <f>VLOOKUP(A1568,Medical_Examinations[],6,FALSE)</f>
        <v>No</v>
      </c>
      <c r="H1568">
        <f>VLOOKUP(A1568,Medical_Examinations[],7,FALSE)</f>
        <v>1</v>
      </c>
      <c r="I1568" t="str">
        <f>VLOOKUP(A1568,Medical_Examinations[],8,FALSE)</f>
        <v>No</v>
      </c>
      <c r="J1568" t="str">
        <f>VLOOKUP(A1568,Medical_Examinations[],9,FALSE)</f>
        <v>Overweight</v>
      </c>
      <c r="K1568" t="str">
        <f>VLOOKUP(A1568,Medical_Examinations[],10,FALSE)</f>
        <v>Normal</v>
      </c>
      <c r="M1568">
        <f>VLOOKUP(A1568,Hospitalisation_Details__2[],4,FALSE)</f>
        <v>6414.18</v>
      </c>
      <c r="N1568" t="str">
        <f>VLOOKUP(A1568,Hospitalisation_Details__2[],5,FALSE)</f>
        <v>tier - 2</v>
      </c>
      <c r="O1568" t="str">
        <f>VLOOKUP(A1568,Hospitalisation_Details__2[],6,FALSE)</f>
        <v>tier - 2</v>
      </c>
      <c r="P1568" t="str">
        <f>VLOOKUP(A1568,Hospitalisation_Details__2[],7,FALSE)</f>
        <v>R1011</v>
      </c>
    </row>
    <row r="1569" spans="1:16" x14ac:dyDescent="0.35">
      <c r="A1569" t="str">
        <v>Id1568</v>
      </c>
      <c r="B1569" t="str">
        <f>VLOOKUP(A1569,'Customer Names (2)'!A:B, 2,FALSE)</f>
        <v>Mr</v>
      </c>
      <c r="C1569">
        <f>VLOOKUP(A1569,Medical_Examinations[],2,FALSE)</f>
        <v>18.920000000000002</v>
      </c>
      <c r="D1569">
        <f>VLOOKUP(A1569,Medical_Examinations[],3,FALSE)</f>
        <v>8.18</v>
      </c>
      <c r="E1569" t="str">
        <f>VLOOKUP(A1569,Medical_Examinations[],4,FALSE)</f>
        <v>No</v>
      </c>
      <c r="F1569" t="str">
        <f>VLOOKUP(A1569,Medical_Examinations[],5,FALSE)</f>
        <v>No</v>
      </c>
      <c r="G1569" t="str">
        <f>VLOOKUP(A1569,Medical_Examinations[],6,FALSE)</f>
        <v>No</v>
      </c>
      <c r="H1569">
        <f>VLOOKUP(A1569,Medical_Examinations[],7,FALSE)</f>
        <v>0</v>
      </c>
      <c r="I1569" t="str">
        <f>VLOOKUP(A1569,Medical_Examinations[],8,FALSE)</f>
        <v>No</v>
      </c>
      <c r="J1569" t="str">
        <f>VLOOKUP(A1569,Medical_Examinations[],9,FALSE)</f>
        <v>Normal Weight</v>
      </c>
      <c r="K1569" t="str">
        <f>VLOOKUP(A1569,Medical_Examinations[],10,FALSE)</f>
        <v>Diabetes</v>
      </c>
      <c r="M1569">
        <f>VLOOKUP(A1569,Hospitalisation_Details__2[],4,FALSE)</f>
        <v>6412.34</v>
      </c>
      <c r="N1569" t="str">
        <f>VLOOKUP(A1569,Hospitalisation_Details__2[],5,FALSE)</f>
        <v>tier - 2</v>
      </c>
      <c r="O1569" t="str">
        <f>VLOOKUP(A1569,Hospitalisation_Details__2[],6,FALSE)</f>
        <v>tier - 3</v>
      </c>
      <c r="P1569" t="str">
        <f>VLOOKUP(A1569,Hospitalisation_Details__2[],7,FALSE)</f>
        <v>R1013</v>
      </c>
    </row>
    <row r="1570" spans="1:16" x14ac:dyDescent="0.35">
      <c r="A1570" t="str">
        <v>Id1569</v>
      </c>
      <c r="B1570" t="str">
        <f>VLOOKUP(A1570,'Customer Names (2)'!A:B, 2,FALSE)</f>
        <v>Ms</v>
      </c>
      <c r="C1570">
        <f>VLOOKUP(A1570,Medical_Examinations[],2,FALSE)</f>
        <v>17.760000000000002</v>
      </c>
      <c r="D1570">
        <f>VLOOKUP(A1570,Medical_Examinations[],3,FALSE)</f>
        <v>11.18</v>
      </c>
      <c r="E1570" t="str">
        <f>VLOOKUP(A1570,Medical_Examinations[],4,FALSE)</f>
        <v>Yes</v>
      </c>
      <c r="F1570" t="str">
        <f>VLOOKUP(A1570,Medical_Examinations[],5,FALSE)</f>
        <v>No</v>
      </c>
      <c r="G1570" t="str">
        <f>VLOOKUP(A1570,Medical_Examinations[],6,FALSE)</f>
        <v>No</v>
      </c>
      <c r="H1570">
        <f>VLOOKUP(A1570,Medical_Examinations[],7,FALSE)</f>
        <v>2</v>
      </c>
      <c r="I1570" t="str">
        <f>VLOOKUP(A1570,Medical_Examinations[],8,FALSE)</f>
        <v>No</v>
      </c>
      <c r="J1570" t="str">
        <f>VLOOKUP(A1570,Medical_Examinations[],9,FALSE)</f>
        <v>Underweight</v>
      </c>
      <c r="K1570" t="str">
        <f>VLOOKUP(A1570,Medical_Examinations[],10,FALSE)</f>
        <v>Diabetes</v>
      </c>
      <c r="M1570">
        <f>VLOOKUP(A1570,Hospitalisation_Details__2[],4,FALSE)</f>
        <v>6407.05</v>
      </c>
      <c r="N1570" t="str">
        <f>VLOOKUP(A1570,Hospitalisation_Details__2[],5,FALSE)</f>
        <v>tier - 2</v>
      </c>
      <c r="O1570" t="str">
        <f>VLOOKUP(A1570,Hospitalisation_Details__2[],6,FALSE)</f>
        <v>tier - 1</v>
      </c>
      <c r="P1570" t="str">
        <f>VLOOKUP(A1570,Hospitalisation_Details__2[],7,FALSE)</f>
        <v>R1013</v>
      </c>
    </row>
    <row r="1571" spans="1:16" x14ac:dyDescent="0.35">
      <c r="A1571" t="str">
        <v>Id1570</v>
      </c>
      <c r="B1571" t="str">
        <f>VLOOKUP(A1571,'Customer Names (2)'!A:B, 2,FALSE)</f>
        <v>Mr</v>
      </c>
      <c r="C1571">
        <f>VLOOKUP(A1571,Medical_Examinations[],2,FALSE)</f>
        <v>29.83</v>
      </c>
      <c r="D1571">
        <f>VLOOKUP(A1571,Medical_Examinations[],3,FALSE)</f>
        <v>5.03</v>
      </c>
      <c r="E1571" t="str">
        <f>VLOOKUP(A1571,Medical_Examinations[],4,FALSE)</f>
        <v>Yes</v>
      </c>
      <c r="F1571" t="str">
        <f>VLOOKUP(A1571,Medical_Examinations[],5,FALSE)</f>
        <v>No</v>
      </c>
      <c r="G1571" t="str">
        <f>VLOOKUP(A1571,Medical_Examinations[],6,FALSE)</f>
        <v>No</v>
      </c>
      <c r="H1571">
        <f>VLOOKUP(A1571,Medical_Examinations[],7,FALSE)</f>
        <v>0</v>
      </c>
      <c r="I1571" t="str">
        <f>VLOOKUP(A1571,Medical_Examinations[],8,FALSE)</f>
        <v>No</v>
      </c>
      <c r="J1571" t="str">
        <f>VLOOKUP(A1571,Medical_Examinations[],9,FALSE)</f>
        <v>Overweight</v>
      </c>
      <c r="K1571" t="str">
        <f>VLOOKUP(A1571,Medical_Examinations[],10,FALSE)</f>
        <v>Normal</v>
      </c>
      <c r="M1571">
        <f>VLOOKUP(A1571,Hospitalisation_Details__2[],4,FALSE)</f>
        <v>6406.41</v>
      </c>
      <c r="N1571" t="str">
        <f>VLOOKUP(A1571,Hospitalisation_Details__2[],5,FALSE)</f>
        <v>tier - 1</v>
      </c>
      <c r="O1571" t="str">
        <f>VLOOKUP(A1571,Hospitalisation_Details__2[],6,FALSE)</f>
        <v>tier - 3</v>
      </c>
      <c r="P1571" t="str">
        <f>VLOOKUP(A1571,Hospitalisation_Details__2[],7,FALSE)</f>
        <v>R1014</v>
      </c>
    </row>
    <row r="1572" spans="1:16" x14ac:dyDescent="0.35">
      <c r="A1572" t="str">
        <v>Id1571</v>
      </c>
      <c r="B1572" t="str">
        <f>VLOOKUP(A1572,'Customer Names (2)'!A:B, 2,FALSE)</f>
        <v>Ms</v>
      </c>
      <c r="C1572">
        <f>VLOOKUP(A1572,Medical_Examinations[],2,FALSE)</f>
        <v>23.465</v>
      </c>
      <c r="D1572">
        <f>VLOOKUP(A1572,Medical_Examinations[],3,FALSE)</f>
        <v>5.56</v>
      </c>
      <c r="E1572" t="str">
        <f>VLOOKUP(A1572,Medical_Examinations[],4,FALSE)</f>
        <v>No</v>
      </c>
      <c r="F1572" t="str">
        <f>VLOOKUP(A1572,Medical_Examinations[],5,FALSE)</f>
        <v>No</v>
      </c>
      <c r="G1572" t="str">
        <f>VLOOKUP(A1572,Medical_Examinations[],6,FALSE)</f>
        <v>No</v>
      </c>
      <c r="H1572">
        <f>VLOOKUP(A1572,Medical_Examinations[],7,FALSE)</f>
        <v>1</v>
      </c>
      <c r="I1572" t="str">
        <f>VLOOKUP(A1572,Medical_Examinations[],8,FALSE)</f>
        <v>No</v>
      </c>
      <c r="J1572" t="str">
        <f>VLOOKUP(A1572,Medical_Examinations[],9,FALSE)</f>
        <v>Normal Weight</v>
      </c>
      <c r="K1572" t="str">
        <f>VLOOKUP(A1572,Medical_Examinations[],10,FALSE)</f>
        <v>Normal</v>
      </c>
      <c r="M1572">
        <f>VLOOKUP(A1572,Hospitalisation_Details__2[],4,FALSE)</f>
        <v>6402.29</v>
      </c>
      <c r="N1572" t="str">
        <f>VLOOKUP(A1572,Hospitalisation_Details__2[],5,FALSE)</f>
        <v>tier - 2</v>
      </c>
      <c r="O1572" t="str">
        <f>VLOOKUP(A1572,Hospitalisation_Details__2[],6,FALSE)</f>
        <v>tier - 3</v>
      </c>
      <c r="P1572" t="str">
        <f>VLOOKUP(A1572,Hospitalisation_Details__2[],7,FALSE)</f>
        <v>R1024</v>
      </c>
    </row>
    <row r="1573" spans="1:16" x14ac:dyDescent="0.35">
      <c r="A1573" t="str">
        <v>Id1572</v>
      </c>
      <c r="B1573" t="str">
        <f>VLOOKUP(A1573,'Customer Names (2)'!A:B, 2,FALSE)</f>
        <v>Mr</v>
      </c>
      <c r="C1573">
        <f>VLOOKUP(A1573,Medical_Examinations[],2,FALSE)</f>
        <v>29.355</v>
      </c>
      <c r="D1573">
        <f>VLOOKUP(A1573,Medical_Examinations[],3,FALSE)</f>
        <v>4.33</v>
      </c>
      <c r="E1573" t="str">
        <f>VLOOKUP(A1573,Medical_Examinations[],4,FALSE)</f>
        <v>No</v>
      </c>
      <c r="F1573" t="str">
        <f>VLOOKUP(A1573,Medical_Examinations[],5,FALSE)</f>
        <v>No</v>
      </c>
      <c r="G1573" t="str">
        <f>VLOOKUP(A1573,Medical_Examinations[],6,FALSE)</f>
        <v>No</v>
      </c>
      <c r="H1573">
        <f>VLOOKUP(A1573,Medical_Examinations[],7,FALSE)</f>
        <v>0</v>
      </c>
      <c r="I1573" t="str">
        <f>VLOOKUP(A1573,Medical_Examinations[],8,FALSE)</f>
        <v>No</v>
      </c>
      <c r="J1573" t="str">
        <f>VLOOKUP(A1573,Medical_Examinations[],9,FALSE)</f>
        <v>Overweight</v>
      </c>
      <c r="K1573" t="str">
        <f>VLOOKUP(A1573,Medical_Examinations[],10,FALSE)</f>
        <v>Normal</v>
      </c>
      <c r="M1573">
        <f>VLOOKUP(A1573,Hospitalisation_Details__2[],4,FALSE)</f>
        <v>6393.6</v>
      </c>
      <c r="N1573" t="str">
        <f>VLOOKUP(A1573,Hospitalisation_Details__2[],5,FALSE)</f>
        <v>tier - 2</v>
      </c>
      <c r="O1573" t="str">
        <f>VLOOKUP(A1573,Hospitalisation_Details__2[],6,FALSE)</f>
        <v>tier - 1</v>
      </c>
      <c r="P1573" t="str">
        <f>VLOOKUP(A1573,Hospitalisation_Details__2[],7,FALSE)</f>
        <v>R1012</v>
      </c>
    </row>
    <row r="1574" spans="1:16" x14ac:dyDescent="0.35">
      <c r="A1574" t="str">
        <v>Id1573</v>
      </c>
      <c r="B1574" t="str">
        <f>VLOOKUP(A1574,'Customer Names (2)'!A:B, 2,FALSE)</f>
        <v>Mr</v>
      </c>
      <c r="C1574">
        <f>VLOOKUP(A1574,Medical_Examinations[],2,FALSE)</f>
        <v>35.49</v>
      </c>
      <c r="D1574">
        <f>VLOOKUP(A1574,Medical_Examinations[],3,FALSE)</f>
        <v>5.21</v>
      </c>
      <c r="E1574" t="str">
        <f>VLOOKUP(A1574,Medical_Examinations[],4,FALSE)</f>
        <v>Yes</v>
      </c>
      <c r="F1574" t="str">
        <f>VLOOKUP(A1574,Medical_Examinations[],5,FALSE)</f>
        <v>No</v>
      </c>
      <c r="G1574" t="str">
        <f>VLOOKUP(A1574,Medical_Examinations[],6,FALSE)</f>
        <v>Yes</v>
      </c>
      <c r="H1574">
        <f>VLOOKUP(A1574,Medical_Examinations[],7,FALSE)</f>
        <v>1</v>
      </c>
      <c r="I1574" t="str">
        <f>VLOOKUP(A1574,Medical_Examinations[],8,FALSE)</f>
        <v>No</v>
      </c>
      <c r="J1574" t="str">
        <f>VLOOKUP(A1574,Medical_Examinations[],9,FALSE)</f>
        <v>Obesity</v>
      </c>
      <c r="K1574" t="str">
        <f>VLOOKUP(A1574,Medical_Examinations[],10,FALSE)</f>
        <v>Normal</v>
      </c>
      <c r="M1574">
        <f>VLOOKUP(A1574,Hospitalisation_Details__2[],4,FALSE)</f>
        <v>6389.53</v>
      </c>
      <c r="N1574" t="str">
        <f>VLOOKUP(A1574,Hospitalisation_Details__2[],5,FALSE)</f>
        <v>tier - 2</v>
      </c>
      <c r="O1574" t="str">
        <f>VLOOKUP(A1574,Hospitalisation_Details__2[],6,FALSE)</f>
        <v>tier - 2</v>
      </c>
      <c r="P1574" t="str">
        <f>VLOOKUP(A1574,Hospitalisation_Details__2[],7,FALSE)</f>
        <v>R1021</v>
      </c>
    </row>
    <row r="1575" spans="1:16" x14ac:dyDescent="0.35">
      <c r="A1575" t="str">
        <v>Id1574</v>
      </c>
      <c r="B1575" t="str">
        <f>VLOOKUP(A1575,'Customer Names (2)'!A:B, 2,FALSE)</f>
        <v>Mr</v>
      </c>
      <c r="C1575">
        <f>VLOOKUP(A1575,Medical_Examinations[],2,FALSE)</f>
        <v>26.315000000000001</v>
      </c>
      <c r="D1575">
        <f>VLOOKUP(A1575,Medical_Examinations[],3,FALSE)</f>
        <v>5.89</v>
      </c>
      <c r="E1575" t="str">
        <f>VLOOKUP(A1575,Medical_Examinations[],4,FALSE)</f>
        <v>No</v>
      </c>
      <c r="F1575" t="str">
        <f>VLOOKUP(A1575,Medical_Examinations[],5,FALSE)</f>
        <v>No</v>
      </c>
      <c r="G1575" t="str">
        <f>VLOOKUP(A1575,Medical_Examinations[],6,FALSE)</f>
        <v>No</v>
      </c>
      <c r="H1575">
        <f>VLOOKUP(A1575,Medical_Examinations[],7,FALSE)</f>
        <v>0</v>
      </c>
      <c r="I1575" t="str">
        <f>VLOOKUP(A1575,Medical_Examinations[],8,FALSE)</f>
        <v>No</v>
      </c>
      <c r="J1575" t="str">
        <f>VLOOKUP(A1575,Medical_Examinations[],9,FALSE)</f>
        <v>Overweight</v>
      </c>
      <c r="K1575" t="str">
        <f>VLOOKUP(A1575,Medical_Examinations[],10,FALSE)</f>
        <v>Prediabetes</v>
      </c>
      <c r="M1575">
        <f>VLOOKUP(A1575,Hospitalisation_Details__2[],4,FALSE)</f>
        <v>6389.38</v>
      </c>
      <c r="N1575" t="str">
        <f>VLOOKUP(A1575,Hospitalisation_Details__2[],5,FALSE)</f>
        <v>tier - 1</v>
      </c>
      <c r="O1575" t="str">
        <f>VLOOKUP(A1575,Hospitalisation_Details__2[],6,FALSE)</f>
        <v>tier - 2</v>
      </c>
      <c r="P1575" t="str">
        <f>VLOOKUP(A1575,Hospitalisation_Details__2[],7,FALSE)</f>
        <v>R1012</v>
      </c>
    </row>
    <row r="1576" spans="1:16" x14ac:dyDescent="0.35">
      <c r="A1576" t="str">
        <v>Id1575</v>
      </c>
      <c r="B1576" t="str">
        <f>VLOOKUP(A1576,'Customer Names (2)'!A:B, 2,FALSE)</f>
        <v>Mr</v>
      </c>
      <c r="C1576">
        <f>VLOOKUP(A1576,Medical_Examinations[],2,FALSE)</f>
        <v>19.79</v>
      </c>
      <c r="D1576">
        <f>VLOOKUP(A1576,Medical_Examinations[],3,FALSE)</f>
        <v>4.8099999999999996</v>
      </c>
      <c r="E1576" t="str">
        <f>VLOOKUP(A1576,Medical_Examinations[],4,FALSE)</f>
        <v>Yes</v>
      </c>
      <c r="F1576" t="str">
        <f>VLOOKUP(A1576,Medical_Examinations[],5,FALSE)</f>
        <v>No</v>
      </c>
      <c r="G1576" t="str">
        <f>VLOOKUP(A1576,Medical_Examinations[],6,FALSE)</f>
        <v>No</v>
      </c>
      <c r="H1576">
        <f>VLOOKUP(A1576,Medical_Examinations[],7,FALSE)</f>
        <v>0</v>
      </c>
      <c r="I1576" t="str">
        <f>VLOOKUP(A1576,Medical_Examinations[],8,FALSE)</f>
        <v>No</v>
      </c>
      <c r="J1576" t="str">
        <f>VLOOKUP(A1576,Medical_Examinations[],9,FALSE)</f>
        <v>Normal Weight</v>
      </c>
      <c r="K1576" t="str">
        <f>VLOOKUP(A1576,Medical_Examinations[],10,FALSE)</f>
        <v>Normal</v>
      </c>
      <c r="M1576">
        <f>VLOOKUP(A1576,Hospitalisation_Details__2[],4,FALSE)</f>
        <v>6374.16</v>
      </c>
      <c r="N1576" t="str">
        <f>VLOOKUP(A1576,Hospitalisation_Details__2[],5,FALSE)</f>
        <v>tier - 2</v>
      </c>
      <c r="O1576" t="str">
        <f>VLOOKUP(A1576,Hospitalisation_Details__2[],6,FALSE)</f>
        <v>tier - 2</v>
      </c>
      <c r="P1576" t="str">
        <f>VLOOKUP(A1576,Hospitalisation_Details__2[],7,FALSE)</f>
        <v>R1013</v>
      </c>
    </row>
    <row r="1577" spans="1:16" x14ac:dyDescent="0.35">
      <c r="A1577" t="str">
        <v>Id1576</v>
      </c>
      <c r="B1577" t="str">
        <f>VLOOKUP(A1577,'Customer Names (2)'!A:B, 2,FALSE)</f>
        <v>Ms</v>
      </c>
      <c r="C1577">
        <f>VLOOKUP(A1577,Medical_Examinations[],2,FALSE)</f>
        <v>40.564999999999998</v>
      </c>
      <c r="D1577">
        <f>VLOOKUP(A1577,Medical_Examinations[],3,FALSE)</f>
        <v>5.66</v>
      </c>
      <c r="E1577" t="str">
        <f>VLOOKUP(A1577,Medical_Examinations[],4,FALSE)</f>
        <v>No</v>
      </c>
      <c r="F1577" t="str">
        <f>VLOOKUP(A1577,Medical_Examinations[],5,FALSE)</f>
        <v>No</v>
      </c>
      <c r="G1577" t="str">
        <f>VLOOKUP(A1577,Medical_Examinations[],6,FALSE)</f>
        <v>No</v>
      </c>
      <c r="H1577">
        <f>VLOOKUP(A1577,Medical_Examinations[],7,FALSE)</f>
        <v>1</v>
      </c>
      <c r="I1577" t="str">
        <f>VLOOKUP(A1577,Medical_Examinations[],8,FALSE)</f>
        <v>No</v>
      </c>
      <c r="J1577" t="str">
        <f>VLOOKUP(A1577,Medical_Examinations[],9,FALSE)</f>
        <v>Obesity</v>
      </c>
      <c r="K1577" t="str">
        <f>VLOOKUP(A1577,Medical_Examinations[],10,FALSE)</f>
        <v>Normal</v>
      </c>
      <c r="M1577">
        <f>VLOOKUP(A1577,Hospitalisation_Details__2[],4,FALSE)</f>
        <v>6373.56</v>
      </c>
      <c r="N1577" t="str">
        <f>VLOOKUP(A1577,Hospitalisation_Details__2[],5,FALSE)</f>
        <v>tier - 2</v>
      </c>
      <c r="O1577" t="str">
        <f>VLOOKUP(A1577,Hospitalisation_Details__2[],6,FALSE)</f>
        <v>tier - 1</v>
      </c>
      <c r="P1577" t="str">
        <f>VLOOKUP(A1577,Hospitalisation_Details__2[],7,FALSE)</f>
        <v>R1012</v>
      </c>
    </row>
    <row r="1578" spans="1:16" x14ac:dyDescent="0.35">
      <c r="A1578" t="str">
        <v>Id1577</v>
      </c>
      <c r="B1578" t="str">
        <f>VLOOKUP(A1578,'Customer Names (2)'!A:B, 2,FALSE)</f>
        <v>Mr</v>
      </c>
      <c r="C1578">
        <f>VLOOKUP(A1578,Medical_Examinations[],2,FALSE)</f>
        <v>18.03</v>
      </c>
      <c r="D1578">
        <f>VLOOKUP(A1578,Medical_Examinations[],3,FALSE)</f>
        <v>10.66</v>
      </c>
      <c r="E1578" t="str">
        <f>VLOOKUP(A1578,Medical_Examinations[],4,FALSE)</f>
        <v>Yes</v>
      </c>
      <c r="F1578" t="str">
        <f>VLOOKUP(A1578,Medical_Examinations[],5,FALSE)</f>
        <v>No</v>
      </c>
      <c r="G1578" t="str">
        <f>VLOOKUP(A1578,Medical_Examinations[],6,FALSE)</f>
        <v>No</v>
      </c>
      <c r="H1578">
        <f>VLOOKUP(A1578,Medical_Examinations[],7,FALSE)</f>
        <v>2</v>
      </c>
      <c r="I1578" t="str">
        <f>VLOOKUP(A1578,Medical_Examinations[],8,FALSE)</f>
        <v>No</v>
      </c>
      <c r="J1578" t="str">
        <f>VLOOKUP(A1578,Medical_Examinations[],9,FALSE)</f>
        <v>Underweight</v>
      </c>
      <c r="K1578" t="str">
        <f>VLOOKUP(A1578,Medical_Examinations[],10,FALSE)</f>
        <v>Diabetes</v>
      </c>
      <c r="M1578">
        <f>VLOOKUP(A1578,Hospitalisation_Details__2[],4,FALSE)</f>
        <v>6367.31</v>
      </c>
      <c r="N1578" t="str">
        <f>VLOOKUP(A1578,Hospitalisation_Details__2[],5,FALSE)</f>
        <v>tier - 2</v>
      </c>
      <c r="O1578" t="str">
        <f>VLOOKUP(A1578,Hospitalisation_Details__2[],6,FALSE)</f>
        <v>tier - 1</v>
      </c>
      <c r="P1578" t="str">
        <f>VLOOKUP(A1578,Hospitalisation_Details__2[],7,FALSE)</f>
        <v>R1013</v>
      </c>
    </row>
    <row r="1579" spans="1:16" x14ac:dyDescent="0.35">
      <c r="A1579" t="str">
        <v>Id1578</v>
      </c>
      <c r="B1579" t="str">
        <f>VLOOKUP(A1579,'Customer Names (2)'!A:B, 2,FALSE)</f>
        <v>Mr</v>
      </c>
      <c r="C1579">
        <f>VLOOKUP(A1579,Medical_Examinations[],2,FALSE)</f>
        <v>34.65</v>
      </c>
      <c r="D1579">
        <f>VLOOKUP(A1579,Medical_Examinations[],3,FALSE)</f>
        <v>5.98</v>
      </c>
      <c r="E1579" t="str">
        <f>VLOOKUP(A1579,Medical_Examinations[],4,FALSE)</f>
        <v>Yes</v>
      </c>
      <c r="F1579" t="str">
        <f>VLOOKUP(A1579,Medical_Examinations[],5,FALSE)</f>
        <v>No</v>
      </c>
      <c r="G1579" t="str">
        <f>VLOOKUP(A1579,Medical_Examinations[],6,FALSE)</f>
        <v>No</v>
      </c>
      <c r="H1579">
        <f>VLOOKUP(A1579,Medical_Examinations[],7,FALSE)</f>
        <v>0</v>
      </c>
      <c r="I1579" t="str">
        <f>VLOOKUP(A1579,Medical_Examinations[],8,FALSE)</f>
        <v>No</v>
      </c>
      <c r="J1579" t="str">
        <f>VLOOKUP(A1579,Medical_Examinations[],9,FALSE)</f>
        <v>Obesity</v>
      </c>
      <c r="K1579" t="str">
        <f>VLOOKUP(A1579,Medical_Examinations[],10,FALSE)</f>
        <v>Prediabetes</v>
      </c>
      <c r="M1579">
        <f>VLOOKUP(A1579,Hospitalisation_Details__2[],4,FALSE)</f>
        <v>6361.47</v>
      </c>
      <c r="N1579" t="str">
        <f>VLOOKUP(A1579,Hospitalisation_Details__2[],5,FALSE)</f>
        <v>tier - 2</v>
      </c>
      <c r="O1579" t="str">
        <f>VLOOKUP(A1579,Hospitalisation_Details__2[],6,FALSE)</f>
        <v>tier - 3</v>
      </c>
      <c r="P1579" t="str">
        <f>VLOOKUP(A1579,Hospitalisation_Details__2[],7,FALSE)</f>
        <v>R1021</v>
      </c>
    </row>
    <row r="1580" spans="1:16" x14ac:dyDescent="0.35">
      <c r="A1580" t="str">
        <v>Id1579</v>
      </c>
      <c r="B1580" t="str">
        <f>VLOOKUP(A1580,'Customer Names (2)'!A:B, 2,FALSE)</f>
        <v>Ms</v>
      </c>
      <c r="C1580">
        <f>VLOOKUP(A1580,Medical_Examinations[],2,FALSE)</f>
        <v>42.94</v>
      </c>
      <c r="D1580">
        <f>VLOOKUP(A1580,Medical_Examinations[],3,FALSE)</f>
        <v>4.34</v>
      </c>
      <c r="E1580" t="str">
        <f>VLOOKUP(A1580,Medical_Examinations[],4,FALSE)</f>
        <v>No</v>
      </c>
      <c r="F1580" t="str">
        <f>VLOOKUP(A1580,Medical_Examinations[],5,FALSE)</f>
        <v>No</v>
      </c>
      <c r="G1580" t="str">
        <f>VLOOKUP(A1580,Medical_Examinations[],6,FALSE)</f>
        <v>No</v>
      </c>
      <c r="H1580">
        <f>VLOOKUP(A1580,Medical_Examinations[],7,FALSE)</f>
        <v>0</v>
      </c>
      <c r="I1580" t="str">
        <f>VLOOKUP(A1580,Medical_Examinations[],8,FALSE)</f>
        <v>No</v>
      </c>
      <c r="J1580" t="str">
        <f>VLOOKUP(A1580,Medical_Examinations[],9,FALSE)</f>
        <v>Obesity</v>
      </c>
      <c r="K1580" t="str">
        <f>VLOOKUP(A1580,Medical_Examinations[],10,FALSE)</f>
        <v>Normal</v>
      </c>
      <c r="M1580">
        <f>VLOOKUP(A1580,Hospitalisation_Details__2[],4,FALSE)</f>
        <v>6360.99</v>
      </c>
      <c r="N1580" t="str">
        <f>VLOOKUP(A1580,Hospitalisation_Details__2[],5,FALSE)</f>
        <v>tier - 2</v>
      </c>
      <c r="O1580" t="str">
        <f>VLOOKUP(A1580,Hospitalisation_Details__2[],6,FALSE)</f>
        <v>tier - 2</v>
      </c>
      <c r="P1580" t="str">
        <f>VLOOKUP(A1580,Hospitalisation_Details__2[],7,FALSE)</f>
        <v>R1012</v>
      </c>
    </row>
    <row r="1581" spans="1:16" x14ac:dyDescent="0.35">
      <c r="A1581" t="str">
        <v>Id1580</v>
      </c>
      <c r="B1581" t="str">
        <f>VLOOKUP(A1581,'Customer Names (2)'!A:B, 2,FALSE)</f>
        <v>Mr</v>
      </c>
      <c r="C1581">
        <f>VLOOKUP(A1581,Medical_Examinations[],2,FALSE)</f>
        <v>31.254999999999999</v>
      </c>
      <c r="D1581">
        <f>VLOOKUP(A1581,Medical_Examinations[],3,FALSE)</f>
        <v>5.17</v>
      </c>
      <c r="E1581" t="str">
        <f>VLOOKUP(A1581,Medical_Examinations[],4,FALSE)</f>
        <v>No</v>
      </c>
      <c r="F1581" t="str">
        <f>VLOOKUP(A1581,Medical_Examinations[],5,FALSE)</f>
        <v>No</v>
      </c>
      <c r="G1581" t="str">
        <f>VLOOKUP(A1581,Medical_Examinations[],6,FALSE)</f>
        <v>No</v>
      </c>
      <c r="H1581">
        <f>VLOOKUP(A1581,Medical_Examinations[],7,FALSE)</f>
        <v>0</v>
      </c>
      <c r="I1581" t="str">
        <f>VLOOKUP(A1581,Medical_Examinations[],8,FALSE)</f>
        <v>No</v>
      </c>
      <c r="J1581" t="str">
        <f>VLOOKUP(A1581,Medical_Examinations[],9,FALSE)</f>
        <v>Obesity</v>
      </c>
      <c r="K1581" t="str">
        <f>VLOOKUP(A1581,Medical_Examinations[],10,FALSE)</f>
        <v>Normal</v>
      </c>
      <c r="M1581">
        <f>VLOOKUP(A1581,Hospitalisation_Details__2[],4,FALSE)</f>
        <v>6358.78</v>
      </c>
      <c r="N1581" t="str">
        <f>VLOOKUP(A1581,Hospitalisation_Details__2[],5,FALSE)</f>
        <v>tier - 2</v>
      </c>
      <c r="O1581" t="str">
        <f>VLOOKUP(A1581,Hospitalisation_Details__2[],6,FALSE)</f>
        <v>tier - 1</v>
      </c>
      <c r="P1581" t="str">
        <f>VLOOKUP(A1581,Hospitalisation_Details__2[],7,FALSE)</f>
        <v>R1012</v>
      </c>
    </row>
    <row r="1582" spans="1:16" x14ac:dyDescent="0.35">
      <c r="A1582" t="str">
        <v>Id1581</v>
      </c>
      <c r="B1582" t="str">
        <f>VLOOKUP(A1582,'Customer Names (2)'!A:B, 2,FALSE)</f>
        <v>Mr</v>
      </c>
      <c r="C1582">
        <f>VLOOKUP(A1582,Medical_Examinations[],2,FALSE)</f>
        <v>45.43</v>
      </c>
      <c r="D1582">
        <f>VLOOKUP(A1582,Medical_Examinations[],3,FALSE)</f>
        <v>4.2300000000000004</v>
      </c>
      <c r="E1582" t="str">
        <f>VLOOKUP(A1582,Medical_Examinations[],4,FALSE)</f>
        <v>Yes</v>
      </c>
      <c r="F1582" t="str">
        <f>VLOOKUP(A1582,Medical_Examinations[],5,FALSE)</f>
        <v>No</v>
      </c>
      <c r="G1582" t="str">
        <f>VLOOKUP(A1582,Medical_Examinations[],6,FALSE)</f>
        <v>Yes</v>
      </c>
      <c r="H1582">
        <f>VLOOKUP(A1582,Medical_Examinations[],7,FALSE)</f>
        <v>1</v>
      </c>
      <c r="I1582" t="str">
        <f>VLOOKUP(A1582,Medical_Examinations[],8,FALSE)</f>
        <v>No</v>
      </c>
      <c r="J1582" t="str">
        <f>VLOOKUP(A1582,Medical_Examinations[],9,FALSE)</f>
        <v>Obesity</v>
      </c>
      <c r="K1582" t="str">
        <f>VLOOKUP(A1582,Medical_Examinations[],10,FALSE)</f>
        <v>Normal</v>
      </c>
      <c r="M1582">
        <f>VLOOKUP(A1582,Hospitalisation_Details__2[],4,FALSE)</f>
        <v>6356.27</v>
      </c>
      <c r="N1582" t="str">
        <f>VLOOKUP(A1582,Hospitalisation_Details__2[],5,FALSE)</f>
        <v>tier - 3</v>
      </c>
      <c r="O1582" t="str">
        <f>VLOOKUP(A1582,Hospitalisation_Details__2[],6,FALSE)</f>
        <v>tier - 2</v>
      </c>
      <c r="P1582" t="str">
        <f>VLOOKUP(A1582,Hospitalisation_Details__2[],7,FALSE)</f>
        <v>R1013</v>
      </c>
    </row>
    <row r="1583" spans="1:16" x14ac:dyDescent="0.35">
      <c r="A1583" t="str">
        <v>Id1582</v>
      </c>
      <c r="B1583" t="str">
        <f>VLOOKUP(A1583,'Customer Names (2)'!A:B, 2,FALSE)</f>
        <v>Mr</v>
      </c>
      <c r="C1583">
        <f>VLOOKUP(A1583,Medical_Examinations[],2,FALSE)</f>
        <v>32.340000000000003</v>
      </c>
      <c r="D1583">
        <f>VLOOKUP(A1583,Medical_Examinations[],3,FALSE)</f>
        <v>4.88</v>
      </c>
      <c r="E1583" t="str">
        <f>VLOOKUP(A1583,Medical_Examinations[],4,FALSE)</f>
        <v>Yes</v>
      </c>
      <c r="F1583" t="str">
        <f>VLOOKUP(A1583,Medical_Examinations[],5,FALSE)</f>
        <v>No</v>
      </c>
      <c r="G1583" t="str">
        <f>VLOOKUP(A1583,Medical_Examinations[],6,FALSE)</f>
        <v>Yes</v>
      </c>
      <c r="H1583">
        <f>VLOOKUP(A1583,Medical_Examinations[],7,FALSE)</f>
        <v>1</v>
      </c>
      <c r="I1583" t="str">
        <f>VLOOKUP(A1583,Medical_Examinations[],8,FALSE)</f>
        <v>No</v>
      </c>
      <c r="J1583" t="str">
        <f>VLOOKUP(A1583,Medical_Examinations[],9,FALSE)</f>
        <v>Obesity</v>
      </c>
      <c r="K1583" t="str">
        <f>VLOOKUP(A1583,Medical_Examinations[],10,FALSE)</f>
        <v>Normal</v>
      </c>
      <c r="M1583">
        <f>VLOOKUP(A1583,Hospitalisation_Details__2[],4,FALSE)</f>
        <v>6338.08</v>
      </c>
      <c r="N1583" t="str">
        <f>VLOOKUP(A1583,Hospitalisation_Details__2[],5,FALSE)</f>
        <v>tier - 2</v>
      </c>
      <c r="O1583" t="str">
        <f>VLOOKUP(A1583,Hospitalisation_Details__2[],6,FALSE)</f>
        <v>tier - 1</v>
      </c>
      <c r="P1583" t="str">
        <f>VLOOKUP(A1583,Hospitalisation_Details__2[],7,FALSE)</f>
        <v>R1013</v>
      </c>
    </row>
    <row r="1584" spans="1:16" x14ac:dyDescent="0.35">
      <c r="A1584" t="str">
        <v>Id1583</v>
      </c>
      <c r="B1584" t="str">
        <f>VLOOKUP(A1584,'Customer Names (2)'!A:B, 2,FALSE)</f>
        <v>Mrs</v>
      </c>
      <c r="C1584">
        <f>VLOOKUP(A1584,Medical_Examinations[],2,FALSE)</f>
        <v>25.46</v>
      </c>
      <c r="D1584">
        <f>VLOOKUP(A1584,Medical_Examinations[],3,FALSE)</f>
        <v>9.7100000000000009</v>
      </c>
      <c r="E1584" t="str">
        <f>VLOOKUP(A1584,Medical_Examinations[],4,FALSE)</f>
        <v>Yes</v>
      </c>
      <c r="F1584" t="str">
        <f>VLOOKUP(A1584,Medical_Examinations[],5,FALSE)</f>
        <v>No</v>
      </c>
      <c r="G1584" t="str">
        <f>VLOOKUP(A1584,Medical_Examinations[],6,FALSE)</f>
        <v>No</v>
      </c>
      <c r="H1584">
        <f>VLOOKUP(A1584,Medical_Examinations[],7,FALSE)</f>
        <v>1</v>
      </c>
      <c r="I1584" t="str">
        <f>VLOOKUP(A1584,Medical_Examinations[],8,FALSE)</f>
        <v>No</v>
      </c>
      <c r="J1584" t="str">
        <f>VLOOKUP(A1584,Medical_Examinations[],9,FALSE)</f>
        <v>Overweight</v>
      </c>
      <c r="K1584" t="str">
        <f>VLOOKUP(A1584,Medical_Examinations[],10,FALSE)</f>
        <v>Diabetes</v>
      </c>
      <c r="M1584">
        <f>VLOOKUP(A1584,Hospitalisation_Details__2[],4,FALSE)</f>
        <v>6335.64</v>
      </c>
      <c r="N1584" t="str">
        <f>VLOOKUP(A1584,Hospitalisation_Details__2[],5,FALSE)</f>
        <v>tier - 2</v>
      </c>
      <c r="O1584" t="str">
        <f>VLOOKUP(A1584,Hospitalisation_Details__2[],6,FALSE)</f>
        <v>tier - 2</v>
      </c>
      <c r="P1584" t="str">
        <f>VLOOKUP(A1584,Hospitalisation_Details__2[],7,FALSE)</f>
        <v>R1013</v>
      </c>
    </row>
    <row r="1585" spans="1:16" x14ac:dyDescent="0.35">
      <c r="A1585" t="str">
        <v>Id1584</v>
      </c>
      <c r="B1585" t="str">
        <f>VLOOKUP(A1585,'Customer Names (2)'!A:B, 2,FALSE)</f>
        <v>Ms</v>
      </c>
      <c r="C1585">
        <f>VLOOKUP(A1585,Medical_Examinations[],2,FALSE)</f>
        <v>37.145000000000003</v>
      </c>
      <c r="D1585">
        <f>VLOOKUP(A1585,Medical_Examinations[],3,FALSE)</f>
        <v>5.32</v>
      </c>
      <c r="E1585" t="str">
        <f>VLOOKUP(A1585,Medical_Examinations[],4,FALSE)</f>
        <v>No</v>
      </c>
      <c r="F1585" t="str">
        <f>VLOOKUP(A1585,Medical_Examinations[],5,FALSE)</f>
        <v>No</v>
      </c>
      <c r="G1585" t="str">
        <f>VLOOKUP(A1585,Medical_Examinations[],6,FALSE)</f>
        <v>No</v>
      </c>
      <c r="H1585">
        <f>VLOOKUP(A1585,Medical_Examinations[],7,FALSE)</f>
        <v>0</v>
      </c>
      <c r="I1585" t="str">
        <f>VLOOKUP(A1585,Medical_Examinations[],8,FALSE)</f>
        <v>No</v>
      </c>
      <c r="J1585" t="str">
        <f>VLOOKUP(A1585,Medical_Examinations[],9,FALSE)</f>
        <v>Obesity</v>
      </c>
      <c r="K1585" t="str">
        <f>VLOOKUP(A1585,Medical_Examinations[],10,FALSE)</f>
        <v>Normal</v>
      </c>
      <c r="M1585">
        <f>VLOOKUP(A1585,Hospitalisation_Details__2[],4,FALSE)</f>
        <v>6334.34</v>
      </c>
      <c r="N1585" t="str">
        <f>VLOOKUP(A1585,Hospitalisation_Details__2[],5,FALSE)</f>
        <v>tier - 2</v>
      </c>
      <c r="O1585" t="str">
        <f>VLOOKUP(A1585,Hospitalisation_Details__2[],6,FALSE)</f>
        <v>tier - 2</v>
      </c>
      <c r="P1585" t="str">
        <f>VLOOKUP(A1585,Hospitalisation_Details__2[],7,FALSE)</f>
        <v>R1024</v>
      </c>
    </row>
    <row r="1586" spans="1:16" x14ac:dyDescent="0.35">
      <c r="A1586" t="str">
        <v>Id1585</v>
      </c>
      <c r="B1586" t="str">
        <f>VLOOKUP(A1586,'Customer Names (2)'!A:B, 2,FALSE)</f>
        <v>Mrs</v>
      </c>
      <c r="C1586">
        <f>VLOOKUP(A1586,Medical_Examinations[],2,FALSE)</f>
        <v>30.8</v>
      </c>
      <c r="D1586">
        <f>VLOOKUP(A1586,Medical_Examinations[],3,FALSE)</f>
        <v>5.83</v>
      </c>
      <c r="E1586" t="str">
        <f>VLOOKUP(A1586,Medical_Examinations[],4,FALSE)</f>
        <v>Yes</v>
      </c>
      <c r="F1586" t="str">
        <f>VLOOKUP(A1586,Medical_Examinations[],5,FALSE)</f>
        <v>No</v>
      </c>
      <c r="G1586" t="str">
        <f>VLOOKUP(A1586,Medical_Examinations[],6,FALSE)</f>
        <v>No</v>
      </c>
      <c r="H1586">
        <f>VLOOKUP(A1586,Medical_Examinations[],7,FALSE)</f>
        <v>0</v>
      </c>
      <c r="I1586" t="str">
        <f>VLOOKUP(A1586,Medical_Examinations[],8,FALSE)</f>
        <v>No</v>
      </c>
      <c r="J1586" t="str">
        <f>VLOOKUP(A1586,Medical_Examinations[],9,FALSE)</f>
        <v>Obesity</v>
      </c>
      <c r="K1586" t="str">
        <f>VLOOKUP(A1586,Medical_Examinations[],10,FALSE)</f>
        <v>Prediabetes</v>
      </c>
      <c r="M1586">
        <f>VLOOKUP(A1586,Hospitalisation_Details__2[],4,FALSE)</f>
        <v>6313.76</v>
      </c>
      <c r="N1586" t="str">
        <f>VLOOKUP(A1586,Hospitalisation_Details__2[],5,FALSE)</f>
        <v>tier - 2</v>
      </c>
      <c r="O1586" t="str">
        <f>VLOOKUP(A1586,Hospitalisation_Details__2[],6,FALSE)</f>
        <v>tier - 1</v>
      </c>
      <c r="P1586" t="str">
        <f>VLOOKUP(A1586,Hospitalisation_Details__2[],7,FALSE)</f>
        <v>R1013</v>
      </c>
    </row>
    <row r="1587" spans="1:16" x14ac:dyDescent="0.35">
      <c r="A1587" t="str">
        <v>Id1586</v>
      </c>
      <c r="B1587" t="str">
        <f>VLOOKUP(A1587,'Customer Names (2)'!A:B, 2,FALSE)</f>
        <v>Ms</v>
      </c>
      <c r="C1587">
        <f>VLOOKUP(A1587,Medical_Examinations[],2,FALSE)</f>
        <v>29.5</v>
      </c>
      <c r="D1587">
        <f>VLOOKUP(A1587,Medical_Examinations[],3,FALSE)</f>
        <v>5.54</v>
      </c>
      <c r="E1587" t="str">
        <f>VLOOKUP(A1587,Medical_Examinations[],4,FALSE)</f>
        <v>Yes</v>
      </c>
      <c r="F1587" t="str">
        <f>VLOOKUP(A1587,Medical_Examinations[],5,FALSE)</f>
        <v>No</v>
      </c>
      <c r="G1587" t="str">
        <f>VLOOKUP(A1587,Medical_Examinations[],6,FALSE)</f>
        <v>No</v>
      </c>
      <c r="H1587">
        <f>VLOOKUP(A1587,Medical_Examinations[],7,FALSE)</f>
        <v>0</v>
      </c>
      <c r="I1587" t="str">
        <f>VLOOKUP(A1587,Medical_Examinations[],8,FALSE)</f>
        <v>No</v>
      </c>
      <c r="J1587" t="str">
        <f>VLOOKUP(A1587,Medical_Examinations[],9,FALSE)</f>
        <v>Overweight</v>
      </c>
      <c r="K1587" t="str">
        <f>VLOOKUP(A1587,Medical_Examinations[],10,FALSE)</f>
        <v>Normal</v>
      </c>
      <c r="M1587">
        <f>VLOOKUP(A1587,Hospitalisation_Details__2[],4,FALSE)</f>
        <v>6311.95</v>
      </c>
      <c r="N1587" t="str">
        <f>VLOOKUP(A1587,Hospitalisation_Details__2[],5,FALSE)</f>
        <v>tier - 2</v>
      </c>
      <c r="O1587" t="str">
        <f>VLOOKUP(A1587,Hospitalisation_Details__2[],6,FALSE)</f>
        <v>tier - 1</v>
      </c>
      <c r="P1587" t="str">
        <f>VLOOKUP(A1587,Hospitalisation_Details__2[],7,FALSE)</f>
        <v>R1011</v>
      </c>
    </row>
    <row r="1588" spans="1:16" x14ac:dyDescent="0.35">
      <c r="A1588" t="str">
        <v>Id1587</v>
      </c>
      <c r="B1588" t="str">
        <f>VLOOKUP(A1588,'Customer Names (2)'!A:B, 2,FALSE)</f>
        <v>Mr</v>
      </c>
      <c r="C1588">
        <f>VLOOKUP(A1588,Medical_Examinations[],2,FALSE)</f>
        <v>43.39</v>
      </c>
      <c r="D1588">
        <f>VLOOKUP(A1588,Medical_Examinations[],3,FALSE)</f>
        <v>5.85</v>
      </c>
      <c r="E1588" t="str">
        <f>VLOOKUP(A1588,Medical_Examinations[],4,FALSE)</f>
        <v>No</v>
      </c>
      <c r="F1588" t="str">
        <f>VLOOKUP(A1588,Medical_Examinations[],5,FALSE)</f>
        <v>yes</v>
      </c>
      <c r="G1588" t="str">
        <f>VLOOKUP(A1588,Medical_Examinations[],6,FALSE)</f>
        <v>No</v>
      </c>
      <c r="H1588">
        <f>VLOOKUP(A1588,Medical_Examinations[],7,FALSE)</f>
        <v>1</v>
      </c>
      <c r="I1588" t="str">
        <f>VLOOKUP(A1588,Medical_Examinations[],8,FALSE)</f>
        <v>No</v>
      </c>
      <c r="J1588" t="str">
        <f>VLOOKUP(A1588,Medical_Examinations[],9,FALSE)</f>
        <v>Obesity</v>
      </c>
      <c r="K1588" t="str">
        <f>VLOOKUP(A1588,Medical_Examinations[],10,FALSE)</f>
        <v>Prediabetes</v>
      </c>
      <c r="M1588">
        <f>VLOOKUP(A1588,Hospitalisation_Details__2[],4,FALSE)</f>
        <v>6311.11</v>
      </c>
      <c r="N1588" t="str">
        <f>VLOOKUP(A1588,Hospitalisation_Details__2[],5,FALSE)</f>
        <v>tier - 2</v>
      </c>
      <c r="O1588" t="str">
        <f>VLOOKUP(A1588,Hospitalisation_Details__2[],6,FALSE)</f>
        <v>tier - 2</v>
      </c>
      <c r="P1588" t="str">
        <f>VLOOKUP(A1588,Hospitalisation_Details__2[],7,FALSE)</f>
        <v>R1011</v>
      </c>
    </row>
    <row r="1589" spans="1:16" x14ac:dyDescent="0.35">
      <c r="A1589" t="str">
        <v>Id1588</v>
      </c>
      <c r="B1589" t="str">
        <f>VLOOKUP(A1589,'Customer Names (2)'!A:B, 2,FALSE)</f>
        <v>Mr</v>
      </c>
      <c r="C1589">
        <f>VLOOKUP(A1589,Medical_Examinations[],2,FALSE)</f>
        <v>15.08</v>
      </c>
      <c r="D1589">
        <f>VLOOKUP(A1589,Medical_Examinations[],3,FALSE)</f>
        <v>4.8499999999999996</v>
      </c>
      <c r="E1589" t="str">
        <f>VLOOKUP(A1589,Medical_Examinations[],4,FALSE)</f>
        <v>Yes</v>
      </c>
      <c r="F1589" t="str">
        <f>VLOOKUP(A1589,Medical_Examinations[],5,FALSE)</f>
        <v>No</v>
      </c>
      <c r="G1589" t="str">
        <f>VLOOKUP(A1589,Medical_Examinations[],6,FALSE)</f>
        <v>Yes</v>
      </c>
      <c r="H1589">
        <f>VLOOKUP(A1589,Medical_Examinations[],7,FALSE)</f>
        <v>1</v>
      </c>
      <c r="I1589" t="str">
        <f>VLOOKUP(A1589,Medical_Examinations[],8,FALSE)</f>
        <v>No</v>
      </c>
      <c r="J1589" t="str">
        <f>VLOOKUP(A1589,Medical_Examinations[],9,FALSE)</f>
        <v>Underweight</v>
      </c>
      <c r="K1589" t="str">
        <f>VLOOKUP(A1589,Medical_Examinations[],10,FALSE)</f>
        <v>Normal</v>
      </c>
      <c r="M1589">
        <f>VLOOKUP(A1589,Hospitalisation_Details__2[],4,FALSE)</f>
        <v>6305.61</v>
      </c>
      <c r="N1589" t="str">
        <f>VLOOKUP(A1589,Hospitalisation_Details__2[],5,FALSE)</f>
        <v>tier - 2</v>
      </c>
      <c r="O1589" t="str">
        <f>VLOOKUP(A1589,Hospitalisation_Details__2[],6,FALSE)</f>
        <v>tier - 2</v>
      </c>
      <c r="P1589" t="str">
        <f>VLOOKUP(A1589,Hospitalisation_Details__2[],7,FALSE)</f>
        <v>R1012</v>
      </c>
    </row>
    <row r="1590" spans="1:16" x14ac:dyDescent="0.35">
      <c r="A1590" t="str">
        <v>Id1589</v>
      </c>
      <c r="B1590" t="str">
        <f>VLOOKUP(A1590,'Customer Names (2)'!A:B, 2,FALSE)</f>
        <v>Ms</v>
      </c>
      <c r="C1590">
        <f>VLOOKUP(A1590,Medical_Examinations[],2,FALSE)</f>
        <v>20.48</v>
      </c>
      <c r="D1590">
        <f>VLOOKUP(A1590,Medical_Examinations[],3,FALSE)</f>
        <v>11.09</v>
      </c>
      <c r="E1590" t="str">
        <f>VLOOKUP(A1590,Medical_Examinations[],4,FALSE)</f>
        <v>No</v>
      </c>
      <c r="F1590" t="str">
        <f>VLOOKUP(A1590,Medical_Examinations[],5,FALSE)</f>
        <v>No</v>
      </c>
      <c r="G1590" t="str">
        <f>VLOOKUP(A1590,Medical_Examinations[],6,FALSE)</f>
        <v>No</v>
      </c>
      <c r="H1590">
        <f>VLOOKUP(A1590,Medical_Examinations[],7,FALSE)</f>
        <v>0</v>
      </c>
      <c r="I1590" t="str">
        <f>VLOOKUP(A1590,Medical_Examinations[],8,FALSE)</f>
        <v>No</v>
      </c>
      <c r="J1590" t="str">
        <f>VLOOKUP(A1590,Medical_Examinations[],9,FALSE)</f>
        <v>Normal Weight</v>
      </c>
      <c r="K1590" t="str">
        <f>VLOOKUP(A1590,Medical_Examinations[],10,FALSE)</f>
        <v>Diabetes</v>
      </c>
      <c r="M1590">
        <f>VLOOKUP(A1590,Hospitalisation_Details__2[],4,FALSE)</f>
        <v>6302.23</v>
      </c>
      <c r="N1590" t="str">
        <f>VLOOKUP(A1590,Hospitalisation_Details__2[],5,FALSE)</f>
        <v>tier - 2</v>
      </c>
      <c r="O1590" t="str">
        <f>VLOOKUP(A1590,Hospitalisation_Details__2[],6,FALSE)</f>
        <v>tier - 1</v>
      </c>
      <c r="P1590" t="str">
        <f>VLOOKUP(A1590,Hospitalisation_Details__2[],7,FALSE)</f>
        <v>R1013</v>
      </c>
    </row>
    <row r="1591" spans="1:16" x14ac:dyDescent="0.35">
      <c r="A1591" t="str">
        <v>Id1590</v>
      </c>
      <c r="B1591" t="str">
        <f>VLOOKUP(A1591,'Customer Names (2)'!A:B, 2,FALSE)</f>
        <v>Mr</v>
      </c>
      <c r="C1591">
        <f>VLOOKUP(A1591,Medical_Examinations[],2,FALSE)</f>
        <v>34.450000000000003</v>
      </c>
      <c r="D1591">
        <f>VLOOKUP(A1591,Medical_Examinations[],3,FALSE)</f>
        <v>5.58</v>
      </c>
      <c r="E1591" t="str">
        <f>VLOOKUP(A1591,Medical_Examinations[],4,FALSE)</f>
        <v>Yes</v>
      </c>
      <c r="F1591" t="str">
        <f>VLOOKUP(A1591,Medical_Examinations[],5,FALSE)</f>
        <v>No</v>
      </c>
      <c r="G1591" t="str">
        <f>VLOOKUP(A1591,Medical_Examinations[],6,FALSE)</f>
        <v>No</v>
      </c>
      <c r="H1591">
        <f>VLOOKUP(A1591,Medical_Examinations[],7,FALSE)</f>
        <v>0</v>
      </c>
      <c r="I1591" t="str">
        <f>VLOOKUP(A1591,Medical_Examinations[],8,FALSE)</f>
        <v>No</v>
      </c>
      <c r="J1591" t="str">
        <f>VLOOKUP(A1591,Medical_Examinations[],9,FALSE)</f>
        <v>Obesity</v>
      </c>
      <c r="K1591" t="str">
        <f>VLOOKUP(A1591,Medical_Examinations[],10,FALSE)</f>
        <v>Normal</v>
      </c>
      <c r="M1591">
        <f>VLOOKUP(A1591,Hospitalisation_Details__2[],4,FALSE)</f>
        <v>6293.63</v>
      </c>
      <c r="N1591" t="str">
        <f>VLOOKUP(A1591,Hospitalisation_Details__2[],5,FALSE)</f>
        <v>tier - 2</v>
      </c>
      <c r="O1591" t="str">
        <f>VLOOKUP(A1591,Hospitalisation_Details__2[],6,FALSE)</f>
        <v>tier - 3</v>
      </c>
      <c r="P1591" t="str">
        <f>VLOOKUP(A1591,Hospitalisation_Details__2[],7,FALSE)</f>
        <v>R1021</v>
      </c>
    </row>
    <row r="1592" spans="1:16" x14ac:dyDescent="0.35">
      <c r="A1592" t="str">
        <v>Id1591</v>
      </c>
      <c r="B1592" t="str">
        <f>VLOOKUP(A1592,'Customer Names (2)'!A:B, 2,FALSE)</f>
        <v>Mr</v>
      </c>
      <c r="C1592">
        <f>VLOOKUP(A1592,Medical_Examinations[],2,FALSE)</f>
        <v>34.21</v>
      </c>
      <c r="D1592">
        <f>VLOOKUP(A1592,Medical_Examinations[],3,FALSE)</f>
        <v>9.7200000000000006</v>
      </c>
      <c r="E1592" t="str">
        <f>VLOOKUP(A1592,Medical_Examinations[],4,FALSE)</f>
        <v>Yes</v>
      </c>
      <c r="F1592" t="str">
        <f>VLOOKUP(A1592,Medical_Examinations[],5,FALSE)</f>
        <v>No</v>
      </c>
      <c r="G1592" t="str">
        <f>VLOOKUP(A1592,Medical_Examinations[],6,FALSE)</f>
        <v>No</v>
      </c>
      <c r="H1592">
        <f>VLOOKUP(A1592,Medical_Examinations[],7,FALSE)</f>
        <v>0</v>
      </c>
      <c r="I1592" t="str">
        <f>VLOOKUP(A1592,Medical_Examinations[],8,FALSE)</f>
        <v>No</v>
      </c>
      <c r="J1592" t="str">
        <f>VLOOKUP(A1592,Medical_Examinations[],9,FALSE)</f>
        <v>Obesity</v>
      </c>
      <c r="K1592" t="str">
        <f>VLOOKUP(A1592,Medical_Examinations[],10,FALSE)</f>
        <v>Diabetes</v>
      </c>
      <c r="M1592">
        <f>VLOOKUP(A1592,Hospitalisation_Details__2[],4,FALSE)</f>
        <v>6289.75</v>
      </c>
      <c r="N1592" t="str">
        <f>VLOOKUP(A1592,Hospitalisation_Details__2[],5,FALSE)</f>
        <v>tier - 2</v>
      </c>
      <c r="O1592" t="str">
        <f>VLOOKUP(A1592,Hospitalisation_Details__2[],6,FALSE)</f>
        <v>tier - 3</v>
      </c>
      <c r="P1592" t="str">
        <f>VLOOKUP(A1592,Hospitalisation_Details__2[],7,FALSE)</f>
        <v>R1013</v>
      </c>
    </row>
    <row r="1593" spans="1:16" x14ac:dyDescent="0.35">
      <c r="A1593" t="str">
        <v>Id1592</v>
      </c>
      <c r="B1593" t="str">
        <f>VLOOKUP(A1593,'Customer Names (2)'!A:B, 2,FALSE)</f>
        <v>Mr</v>
      </c>
      <c r="C1593">
        <f>VLOOKUP(A1593,Medical_Examinations[],2,FALSE)</f>
        <v>28.8</v>
      </c>
      <c r="D1593">
        <f>VLOOKUP(A1593,Medical_Examinations[],3,FALSE)</f>
        <v>11.41</v>
      </c>
      <c r="E1593" t="str">
        <f>VLOOKUP(A1593,Medical_Examinations[],4,FALSE)</f>
        <v>Yes</v>
      </c>
      <c r="F1593" t="str">
        <f>VLOOKUP(A1593,Medical_Examinations[],5,FALSE)</f>
        <v>No</v>
      </c>
      <c r="G1593" t="str">
        <f>VLOOKUP(A1593,Medical_Examinations[],6,FALSE)</f>
        <v>No</v>
      </c>
      <c r="H1593">
        <f>VLOOKUP(A1593,Medical_Examinations[],7,FALSE)</f>
        <v>0</v>
      </c>
      <c r="I1593" t="str">
        <f>VLOOKUP(A1593,Medical_Examinations[],8,FALSE)</f>
        <v>No</v>
      </c>
      <c r="J1593" t="str">
        <f>VLOOKUP(A1593,Medical_Examinations[],9,FALSE)</f>
        <v>Overweight</v>
      </c>
      <c r="K1593" t="str">
        <f>VLOOKUP(A1593,Medical_Examinations[],10,FALSE)</f>
        <v>Diabetes</v>
      </c>
      <c r="M1593">
        <f>VLOOKUP(A1593,Hospitalisation_Details__2[],4,FALSE)</f>
        <v>6282.24</v>
      </c>
      <c r="N1593" t="str">
        <f>VLOOKUP(A1593,Hospitalisation_Details__2[],5,FALSE)</f>
        <v>tier - 2</v>
      </c>
      <c r="O1593" t="str">
        <f>VLOOKUP(A1593,Hospitalisation_Details__2[],6,FALSE)</f>
        <v>tier - 1</v>
      </c>
      <c r="P1593" t="str">
        <f>VLOOKUP(A1593,Hospitalisation_Details__2[],7,FALSE)</f>
        <v>R1011</v>
      </c>
    </row>
    <row r="1594" spans="1:16" x14ac:dyDescent="0.35">
      <c r="A1594" t="str">
        <v>Id1593</v>
      </c>
      <c r="B1594" t="str">
        <f>VLOOKUP(A1594,'Customer Names (2)'!A:B, 2,FALSE)</f>
        <v>Mrs</v>
      </c>
      <c r="C1594">
        <f>VLOOKUP(A1594,Medical_Examinations[],2,FALSE)</f>
        <v>31.74</v>
      </c>
      <c r="D1594">
        <f>VLOOKUP(A1594,Medical_Examinations[],3,FALSE)</f>
        <v>4.46</v>
      </c>
      <c r="E1594" t="str">
        <f>VLOOKUP(A1594,Medical_Examinations[],4,FALSE)</f>
        <v>No</v>
      </c>
      <c r="F1594" t="str">
        <f>VLOOKUP(A1594,Medical_Examinations[],5,FALSE)</f>
        <v>No</v>
      </c>
      <c r="G1594" t="str">
        <f>VLOOKUP(A1594,Medical_Examinations[],6,FALSE)</f>
        <v>Yes</v>
      </c>
      <c r="H1594">
        <f>VLOOKUP(A1594,Medical_Examinations[],7,FALSE)</f>
        <v>1</v>
      </c>
      <c r="I1594" t="str">
        <f>VLOOKUP(A1594,Medical_Examinations[],8,FALSE)</f>
        <v>No</v>
      </c>
      <c r="J1594" t="str">
        <f>VLOOKUP(A1594,Medical_Examinations[],9,FALSE)</f>
        <v>Obesity</v>
      </c>
      <c r="K1594" t="str">
        <f>VLOOKUP(A1594,Medical_Examinations[],10,FALSE)</f>
        <v>Normal</v>
      </c>
      <c r="M1594">
        <f>VLOOKUP(A1594,Hospitalisation_Details__2[],4,FALSE)</f>
        <v>6276.3</v>
      </c>
      <c r="N1594" t="str">
        <f>VLOOKUP(A1594,Hospitalisation_Details__2[],5,FALSE)</f>
        <v>tier - 2</v>
      </c>
      <c r="O1594" t="str">
        <f>VLOOKUP(A1594,Hospitalisation_Details__2[],6,FALSE)</f>
        <v>tier - 1</v>
      </c>
      <c r="P1594" t="str">
        <f>VLOOKUP(A1594,Hospitalisation_Details__2[],7,FALSE)</f>
        <v>R1025</v>
      </c>
    </row>
    <row r="1595" spans="1:16" x14ac:dyDescent="0.35">
      <c r="A1595" t="str">
        <v>Id1594</v>
      </c>
      <c r="B1595" t="str">
        <f>VLOOKUP(A1595,'Customer Names (2)'!A:B, 2,FALSE)</f>
        <v>Mr</v>
      </c>
      <c r="C1595">
        <f>VLOOKUP(A1595,Medical_Examinations[],2,FALSE)</f>
        <v>21.78</v>
      </c>
      <c r="D1595">
        <f>VLOOKUP(A1595,Medical_Examinations[],3,FALSE)</f>
        <v>9.31</v>
      </c>
      <c r="E1595" t="str">
        <f>VLOOKUP(A1595,Medical_Examinations[],4,FALSE)</f>
        <v>Yes</v>
      </c>
      <c r="F1595" t="str">
        <f>VLOOKUP(A1595,Medical_Examinations[],5,FALSE)</f>
        <v>No</v>
      </c>
      <c r="G1595" t="str">
        <f>VLOOKUP(A1595,Medical_Examinations[],6,FALSE)</f>
        <v>No</v>
      </c>
      <c r="H1595">
        <f>VLOOKUP(A1595,Medical_Examinations[],7,FALSE)</f>
        <v>0</v>
      </c>
      <c r="I1595" t="str">
        <f>VLOOKUP(A1595,Medical_Examinations[],8,FALSE)</f>
        <v>No</v>
      </c>
      <c r="J1595" t="str">
        <f>VLOOKUP(A1595,Medical_Examinations[],9,FALSE)</f>
        <v>Normal Weight</v>
      </c>
      <c r="K1595" t="str">
        <f>VLOOKUP(A1595,Medical_Examinations[],10,FALSE)</f>
        <v>Diabetes</v>
      </c>
      <c r="M1595">
        <f>VLOOKUP(A1595,Hospitalisation_Details__2[],4,FALSE)</f>
        <v>6272.48</v>
      </c>
      <c r="N1595" t="str">
        <f>VLOOKUP(A1595,Hospitalisation_Details__2[],5,FALSE)</f>
        <v>tier - 1</v>
      </c>
      <c r="O1595" t="str">
        <f>VLOOKUP(A1595,Hospitalisation_Details__2[],6,FALSE)</f>
        <v>tier - 3</v>
      </c>
      <c r="P1595" t="str">
        <f>VLOOKUP(A1595,Hospitalisation_Details__2[],7,FALSE)</f>
        <v>R1013</v>
      </c>
    </row>
    <row r="1596" spans="1:16" x14ac:dyDescent="0.35">
      <c r="A1596" t="str">
        <v>Id1595</v>
      </c>
      <c r="B1596" t="str">
        <f>VLOOKUP(A1596,'Customer Names (2)'!A:B, 2,FALSE)</f>
        <v>Ms</v>
      </c>
      <c r="C1596">
        <f>VLOOKUP(A1596,Medical_Examinations[],2,FALSE)</f>
        <v>23.75</v>
      </c>
      <c r="D1596">
        <f>VLOOKUP(A1596,Medical_Examinations[],3,FALSE)</f>
        <v>5.03</v>
      </c>
      <c r="E1596" t="str">
        <f>VLOOKUP(A1596,Medical_Examinations[],4,FALSE)</f>
        <v>No</v>
      </c>
      <c r="F1596" t="str">
        <f>VLOOKUP(A1596,Medical_Examinations[],5,FALSE)</f>
        <v>No</v>
      </c>
      <c r="G1596" t="str">
        <f>VLOOKUP(A1596,Medical_Examinations[],6,FALSE)</f>
        <v>No</v>
      </c>
      <c r="H1596">
        <f>VLOOKUP(A1596,Medical_Examinations[],7,FALSE)</f>
        <v>1</v>
      </c>
      <c r="I1596" t="str">
        <f>VLOOKUP(A1596,Medical_Examinations[],8,FALSE)</f>
        <v>No</v>
      </c>
      <c r="J1596" t="str">
        <f>VLOOKUP(A1596,Medical_Examinations[],9,FALSE)</f>
        <v>Normal Weight</v>
      </c>
      <c r="K1596" t="str">
        <f>VLOOKUP(A1596,Medical_Examinations[],10,FALSE)</f>
        <v>Normal</v>
      </c>
      <c r="M1596">
        <f>VLOOKUP(A1596,Hospitalisation_Details__2[],4,FALSE)</f>
        <v>6269.33</v>
      </c>
      <c r="N1596" t="str">
        <f>VLOOKUP(A1596,Hospitalisation_Details__2[],5,FALSE)</f>
        <v>tier - 2</v>
      </c>
      <c r="O1596" t="str">
        <f>VLOOKUP(A1596,Hospitalisation_Details__2[],6,FALSE)</f>
        <v>tier - 1</v>
      </c>
      <c r="P1596" t="str">
        <f>VLOOKUP(A1596,Hospitalisation_Details__2[],7,FALSE)</f>
        <v>R1013</v>
      </c>
    </row>
    <row r="1597" spans="1:16" x14ac:dyDescent="0.35">
      <c r="A1597" t="str">
        <v>Id1596</v>
      </c>
      <c r="B1597" t="str">
        <f>VLOOKUP(A1597,'Customer Names (2)'!A:B, 2,FALSE)</f>
        <v>Mrs</v>
      </c>
      <c r="C1597">
        <f>VLOOKUP(A1597,Medical_Examinations[],2,FALSE)</f>
        <v>33.21</v>
      </c>
      <c r="D1597">
        <f>VLOOKUP(A1597,Medical_Examinations[],3,FALSE)</f>
        <v>5.07</v>
      </c>
      <c r="E1597" t="str">
        <f>VLOOKUP(A1597,Medical_Examinations[],4,FALSE)</f>
        <v>Yes</v>
      </c>
      <c r="F1597" t="str">
        <f>VLOOKUP(A1597,Medical_Examinations[],5,FALSE)</f>
        <v>No</v>
      </c>
      <c r="G1597" t="str">
        <f>VLOOKUP(A1597,Medical_Examinations[],6,FALSE)</f>
        <v>No</v>
      </c>
      <c r="H1597">
        <f>VLOOKUP(A1597,Medical_Examinations[],7,FALSE)</f>
        <v>1</v>
      </c>
      <c r="I1597" t="str">
        <f>VLOOKUP(A1597,Medical_Examinations[],8,FALSE)</f>
        <v>No</v>
      </c>
      <c r="J1597" t="str">
        <f>VLOOKUP(A1597,Medical_Examinations[],9,FALSE)</f>
        <v>Obesity</v>
      </c>
      <c r="K1597" t="str">
        <f>VLOOKUP(A1597,Medical_Examinations[],10,FALSE)</f>
        <v>Normal</v>
      </c>
      <c r="M1597">
        <f>VLOOKUP(A1597,Hospitalisation_Details__2[],4,FALSE)</f>
        <v>6261.2</v>
      </c>
      <c r="N1597" t="str">
        <f>VLOOKUP(A1597,Hospitalisation_Details__2[],5,FALSE)</f>
        <v>tier - 2</v>
      </c>
      <c r="O1597" t="str">
        <f>VLOOKUP(A1597,Hospitalisation_Details__2[],6,FALSE)</f>
        <v>tier - 1</v>
      </c>
      <c r="P1597" t="str">
        <f>VLOOKUP(A1597,Hospitalisation_Details__2[],7,FALSE)</f>
        <v>R1026</v>
      </c>
    </row>
    <row r="1598" spans="1:16" x14ac:dyDescent="0.35">
      <c r="A1598" t="str">
        <v>Id1597</v>
      </c>
      <c r="B1598" t="str">
        <f>VLOOKUP(A1598,'Customer Names (2)'!A:B, 2,FALSE)</f>
        <v>Mr</v>
      </c>
      <c r="C1598">
        <f>VLOOKUP(A1598,Medical_Examinations[],2,FALSE)</f>
        <v>17.7</v>
      </c>
      <c r="D1598">
        <f>VLOOKUP(A1598,Medical_Examinations[],3,FALSE)</f>
        <v>10.42</v>
      </c>
      <c r="E1598" t="str">
        <f>VLOOKUP(A1598,Medical_Examinations[],4,FALSE)</f>
        <v>Yes</v>
      </c>
      <c r="F1598" t="str">
        <f>VLOOKUP(A1598,Medical_Examinations[],5,FALSE)</f>
        <v>No</v>
      </c>
      <c r="G1598" t="str">
        <f>VLOOKUP(A1598,Medical_Examinations[],6,FALSE)</f>
        <v>No</v>
      </c>
      <c r="H1598">
        <f>VLOOKUP(A1598,Medical_Examinations[],7,FALSE)</f>
        <v>2</v>
      </c>
      <c r="I1598" t="str">
        <f>VLOOKUP(A1598,Medical_Examinations[],8,FALSE)</f>
        <v>No</v>
      </c>
      <c r="J1598" t="str">
        <f>VLOOKUP(A1598,Medical_Examinations[],9,FALSE)</f>
        <v>Underweight</v>
      </c>
      <c r="K1598" t="str">
        <f>VLOOKUP(A1598,Medical_Examinations[],10,FALSE)</f>
        <v>Diabetes</v>
      </c>
      <c r="M1598">
        <f>VLOOKUP(A1598,Hospitalisation_Details__2[],4,FALSE)</f>
        <v>6255.38</v>
      </c>
      <c r="N1598" t="str">
        <f>VLOOKUP(A1598,Hospitalisation_Details__2[],5,FALSE)</f>
        <v>tier - 2</v>
      </c>
      <c r="O1598" t="str">
        <f>VLOOKUP(A1598,Hospitalisation_Details__2[],6,FALSE)</f>
        <v>tier - 2</v>
      </c>
      <c r="P1598" t="str">
        <f>VLOOKUP(A1598,Hospitalisation_Details__2[],7,FALSE)</f>
        <v>R1013</v>
      </c>
    </row>
    <row r="1599" spans="1:16" x14ac:dyDescent="0.35">
      <c r="A1599" t="str">
        <v>Id1598</v>
      </c>
      <c r="B1599" t="str">
        <f>VLOOKUP(A1599,'Customer Names (2)'!A:B, 2,FALSE)</f>
        <v>Mr</v>
      </c>
      <c r="C1599">
        <f>VLOOKUP(A1599,Medical_Examinations[],2,FALSE)</f>
        <v>17.2</v>
      </c>
      <c r="D1599">
        <f>VLOOKUP(A1599,Medical_Examinations[],3,FALSE)</f>
        <v>6.45</v>
      </c>
      <c r="E1599" t="str">
        <f>VLOOKUP(A1599,Medical_Examinations[],4,FALSE)</f>
        <v>No</v>
      </c>
      <c r="F1599" t="str">
        <f>VLOOKUP(A1599,Medical_Examinations[],5,FALSE)</f>
        <v>No</v>
      </c>
      <c r="G1599" t="str">
        <f>VLOOKUP(A1599,Medical_Examinations[],6,FALSE)</f>
        <v>No</v>
      </c>
      <c r="H1599">
        <f>VLOOKUP(A1599,Medical_Examinations[],7,FALSE)</f>
        <v>2</v>
      </c>
      <c r="I1599" t="str">
        <f>VLOOKUP(A1599,Medical_Examinations[],8,FALSE)</f>
        <v>No</v>
      </c>
      <c r="J1599" t="str">
        <f>VLOOKUP(A1599,Medical_Examinations[],9,FALSE)</f>
        <v>Underweight</v>
      </c>
      <c r="K1599" t="str">
        <f>VLOOKUP(A1599,Medical_Examinations[],10,FALSE)</f>
        <v>Prediabetes</v>
      </c>
      <c r="M1599">
        <f>VLOOKUP(A1599,Hospitalisation_Details__2[],4,FALSE)</f>
        <v>6254.13</v>
      </c>
      <c r="N1599" t="str">
        <f>VLOOKUP(A1599,Hospitalisation_Details__2[],5,FALSE)</f>
        <v>tier - 2</v>
      </c>
      <c r="O1599" t="str">
        <f>VLOOKUP(A1599,Hospitalisation_Details__2[],6,FALSE)</f>
        <v>tier - 2</v>
      </c>
      <c r="P1599" t="str">
        <f>VLOOKUP(A1599,Hospitalisation_Details__2[],7,FALSE)</f>
        <v>R1012</v>
      </c>
    </row>
    <row r="1600" spans="1:16" x14ac:dyDescent="0.35">
      <c r="A1600" t="str">
        <v>Id1599</v>
      </c>
      <c r="B1600" t="str">
        <f>VLOOKUP(A1600,'Customer Names (2)'!A:B, 2,FALSE)</f>
        <v>Mr</v>
      </c>
      <c r="C1600">
        <f>VLOOKUP(A1600,Medical_Examinations[],2,FALSE)</f>
        <v>19.21</v>
      </c>
      <c r="D1600">
        <f>VLOOKUP(A1600,Medical_Examinations[],3,FALSE)</f>
        <v>5.52</v>
      </c>
      <c r="E1600" t="str">
        <f>VLOOKUP(A1600,Medical_Examinations[],4,FALSE)</f>
        <v>No</v>
      </c>
      <c r="F1600" t="str">
        <f>VLOOKUP(A1600,Medical_Examinations[],5,FALSE)</f>
        <v>No</v>
      </c>
      <c r="G1600" t="str">
        <f>VLOOKUP(A1600,Medical_Examinations[],6,FALSE)</f>
        <v>No</v>
      </c>
      <c r="H1600">
        <f>VLOOKUP(A1600,Medical_Examinations[],7,FALSE)</f>
        <v>2</v>
      </c>
      <c r="I1600" t="str">
        <f>VLOOKUP(A1600,Medical_Examinations[],8,FALSE)</f>
        <v>No</v>
      </c>
      <c r="J1600" t="str">
        <f>VLOOKUP(A1600,Medical_Examinations[],9,FALSE)</f>
        <v>Normal Weight</v>
      </c>
      <c r="K1600" t="str">
        <f>VLOOKUP(A1600,Medical_Examinations[],10,FALSE)</f>
        <v>Normal</v>
      </c>
      <c r="M1600">
        <f>VLOOKUP(A1600,Hospitalisation_Details__2[],4,FALSE)</f>
        <v>6253.85</v>
      </c>
      <c r="N1600" t="str">
        <f>VLOOKUP(A1600,Hospitalisation_Details__2[],5,FALSE)</f>
        <v>tier - 2</v>
      </c>
      <c r="O1600" t="str">
        <f>VLOOKUP(A1600,Hospitalisation_Details__2[],6,FALSE)</f>
        <v>tier - 2</v>
      </c>
      <c r="P1600" t="str">
        <f>VLOOKUP(A1600,Hospitalisation_Details__2[],7,FALSE)</f>
        <v>R1013</v>
      </c>
    </row>
    <row r="1601" spans="1:16" x14ac:dyDescent="0.35">
      <c r="A1601" t="str">
        <v>Id1600</v>
      </c>
      <c r="B1601" t="str">
        <f>VLOOKUP(A1601,'Customer Names (2)'!A:B, 2,FALSE)</f>
        <v>Mr</v>
      </c>
      <c r="C1601">
        <f>VLOOKUP(A1601,Medical_Examinations[],2,FALSE)</f>
        <v>23.2</v>
      </c>
      <c r="D1601">
        <f>VLOOKUP(A1601,Medical_Examinations[],3,FALSE)</f>
        <v>4.41</v>
      </c>
      <c r="E1601" t="str">
        <f>VLOOKUP(A1601,Medical_Examinations[],4,FALSE)</f>
        <v>No</v>
      </c>
      <c r="F1601" t="str">
        <f>VLOOKUP(A1601,Medical_Examinations[],5,FALSE)</f>
        <v>No</v>
      </c>
      <c r="G1601" t="str">
        <f>VLOOKUP(A1601,Medical_Examinations[],6,FALSE)</f>
        <v>Yes</v>
      </c>
      <c r="H1601">
        <f>VLOOKUP(A1601,Medical_Examinations[],7,FALSE)</f>
        <v>1</v>
      </c>
      <c r="I1601" t="str">
        <f>VLOOKUP(A1601,Medical_Examinations[],8,FALSE)</f>
        <v>No</v>
      </c>
      <c r="J1601" t="str">
        <f>VLOOKUP(A1601,Medical_Examinations[],9,FALSE)</f>
        <v>Normal Weight</v>
      </c>
      <c r="K1601" t="str">
        <f>VLOOKUP(A1601,Medical_Examinations[],10,FALSE)</f>
        <v>Normal</v>
      </c>
      <c r="M1601">
        <f>VLOOKUP(A1601,Hospitalisation_Details__2[],4,FALSE)</f>
        <v>6250.44</v>
      </c>
      <c r="N1601" t="str">
        <f>VLOOKUP(A1601,Hospitalisation_Details__2[],5,FALSE)</f>
        <v>tier - 2</v>
      </c>
      <c r="O1601" t="str">
        <f>VLOOKUP(A1601,Hospitalisation_Details__2[],6,FALSE)</f>
        <v>tier - 1</v>
      </c>
      <c r="P1601" t="str">
        <f>VLOOKUP(A1601,Hospitalisation_Details__2[],7,FALSE)</f>
        <v>R1011</v>
      </c>
    </row>
    <row r="1602" spans="1:16" x14ac:dyDescent="0.35">
      <c r="A1602" t="str">
        <v>Id1601</v>
      </c>
      <c r="B1602" t="str">
        <f>VLOOKUP(A1602,'Customer Names (2)'!A:B, 2,FALSE)</f>
        <v>Ms</v>
      </c>
      <c r="C1602">
        <f>VLOOKUP(A1602,Medical_Examinations[],2,FALSE)</f>
        <v>32.5</v>
      </c>
      <c r="D1602">
        <f>VLOOKUP(A1602,Medical_Examinations[],3,FALSE)</f>
        <v>4.6900000000000004</v>
      </c>
      <c r="E1602" t="str">
        <f>VLOOKUP(A1602,Medical_Examinations[],4,FALSE)</f>
        <v>Yes</v>
      </c>
      <c r="F1602" t="str">
        <f>VLOOKUP(A1602,Medical_Examinations[],5,FALSE)</f>
        <v>No</v>
      </c>
      <c r="G1602" t="str">
        <f>VLOOKUP(A1602,Medical_Examinations[],6,FALSE)</f>
        <v>Yes</v>
      </c>
      <c r="H1602">
        <f>VLOOKUP(A1602,Medical_Examinations[],7,FALSE)</f>
        <v>1</v>
      </c>
      <c r="I1602" t="str">
        <f>VLOOKUP(A1602,Medical_Examinations[],8,FALSE)</f>
        <v>No</v>
      </c>
      <c r="J1602" t="str">
        <f>VLOOKUP(A1602,Medical_Examinations[],9,FALSE)</f>
        <v>Obesity</v>
      </c>
      <c r="K1602" t="str">
        <f>VLOOKUP(A1602,Medical_Examinations[],10,FALSE)</f>
        <v>Normal</v>
      </c>
      <c r="M1602">
        <f>VLOOKUP(A1602,Hospitalisation_Details__2[],4,FALSE)</f>
        <v>6238.3</v>
      </c>
      <c r="N1602" t="str">
        <f>VLOOKUP(A1602,Hospitalisation_Details__2[],5,FALSE)</f>
        <v>tier - 2</v>
      </c>
      <c r="O1602" t="str">
        <f>VLOOKUP(A1602,Hospitalisation_Details__2[],6,FALSE)</f>
        <v>tier - 1</v>
      </c>
      <c r="P1602" t="str">
        <f>VLOOKUP(A1602,Hospitalisation_Details__2[],7,FALSE)</f>
        <v>R1011</v>
      </c>
    </row>
    <row r="1603" spans="1:16" x14ac:dyDescent="0.35">
      <c r="A1603" t="str">
        <v>Id1602</v>
      </c>
      <c r="B1603" t="str">
        <f>VLOOKUP(A1603,'Customer Names (2)'!A:B, 2,FALSE)</f>
        <v>Mr</v>
      </c>
      <c r="C1603">
        <f>VLOOKUP(A1603,Medical_Examinations[],2,FALSE)</f>
        <v>20.9</v>
      </c>
      <c r="D1603">
        <f>VLOOKUP(A1603,Medical_Examinations[],3,FALSE)</f>
        <v>6.94</v>
      </c>
      <c r="E1603" t="str">
        <f>VLOOKUP(A1603,Medical_Examinations[],4,FALSE)</f>
        <v>No</v>
      </c>
      <c r="F1603" t="str">
        <f>VLOOKUP(A1603,Medical_Examinations[],5,FALSE)</f>
        <v>No</v>
      </c>
      <c r="G1603" t="str">
        <f>VLOOKUP(A1603,Medical_Examinations[],6,FALSE)</f>
        <v>No</v>
      </c>
      <c r="H1603">
        <f>VLOOKUP(A1603,Medical_Examinations[],7,FALSE)</f>
        <v>0</v>
      </c>
      <c r="I1603" t="str">
        <f>VLOOKUP(A1603,Medical_Examinations[],8,FALSE)</f>
        <v>No</v>
      </c>
      <c r="J1603" t="str">
        <f>VLOOKUP(A1603,Medical_Examinations[],9,FALSE)</f>
        <v>Normal Weight</v>
      </c>
      <c r="K1603" t="str">
        <f>VLOOKUP(A1603,Medical_Examinations[],10,FALSE)</f>
        <v>Diabetes</v>
      </c>
      <c r="M1603">
        <f>VLOOKUP(A1603,Hospitalisation_Details__2[],4,FALSE)</f>
        <v>6236.95</v>
      </c>
      <c r="N1603" t="str">
        <f>VLOOKUP(A1603,Hospitalisation_Details__2[],5,FALSE)</f>
        <v>tier - 2</v>
      </c>
      <c r="O1603" t="str">
        <f>VLOOKUP(A1603,Hospitalisation_Details__2[],6,FALSE)</f>
        <v>tier - 2</v>
      </c>
      <c r="P1603" t="str">
        <f>VLOOKUP(A1603,Hospitalisation_Details__2[],7,FALSE)</f>
        <v>R1013</v>
      </c>
    </row>
    <row r="1604" spans="1:16" x14ac:dyDescent="0.35">
      <c r="A1604" t="str">
        <v>Id1603</v>
      </c>
      <c r="B1604" t="str">
        <f>VLOOKUP(A1604,'Customer Names (2)'!A:B, 2,FALSE)</f>
        <v>Mr</v>
      </c>
      <c r="C1604">
        <f>VLOOKUP(A1604,Medical_Examinations[],2,FALSE)</f>
        <v>19.11</v>
      </c>
      <c r="D1604">
        <f>VLOOKUP(A1604,Medical_Examinations[],3,FALSE)</f>
        <v>4.3499999999999996</v>
      </c>
      <c r="E1604" t="str">
        <f>VLOOKUP(A1604,Medical_Examinations[],4,FALSE)</f>
        <v>No</v>
      </c>
      <c r="F1604" t="str">
        <f>VLOOKUP(A1604,Medical_Examinations[],5,FALSE)</f>
        <v>No</v>
      </c>
      <c r="G1604" t="str">
        <f>VLOOKUP(A1604,Medical_Examinations[],6,FALSE)</f>
        <v>No</v>
      </c>
      <c r="H1604">
        <f>VLOOKUP(A1604,Medical_Examinations[],7,FALSE)</f>
        <v>2</v>
      </c>
      <c r="I1604" t="str">
        <f>VLOOKUP(A1604,Medical_Examinations[],8,FALSE)</f>
        <v>No</v>
      </c>
      <c r="J1604" t="str">
        <f>VLOOKUP(A1604,Medical_Examinations[],9,FALSE)</f>
        <v>Normal Weight</v>
      </c>
      <c r="K1604" t="str">
        <f>VLOOKUP(A1604,Medical_Examinations[],10,FALSE)</f>
        <v>Normal</v>
      </c>
      <c r="M1604">
        <f>VLOOKUP(A1604,Hospitalisation_Details__2[],4,FALSE)</f>
        <v>6219.93</v>
      </c>
      <c r="N1604" t="str">
        <f>VLOOKUP(A1604,Hospitalisation_Details__2[],5,FALSE)</f>
        <v>tier - 2</v>
      </c>
      <c r="O1604" t="str">
        <f>VLOOKUP(A1604,Hospitalisation_Details__2[],6,FALSE)</f>
        <v>tier - 2</v>
      </c>
      <c r="P1604" t="str">
        <f>VLOOKUP(A1604,Hospitalisation_Details__2[],7,FALSE)</f>
        <v>R1013</v>
      </c>
    </row>
    <row r="1605" spans="1:16" x14ac:dyDescent="0.35">
      <c r="A1605" t="str">
        <v>Id1604</v>
      </c>
      <c r="B1605" t="str">
        <f>VLOOKUP(A1605,'Customer Names (2)'!A:B, 2,FALSE)</f>
        <v>Mr</v>
      </c>
      <c r="C1605">
        <f>VLOOKUP(A1605,Medical_Examinations[],2,FALSE)</f>
        <v>31.17</v>
      </c>
      <c r="D1605">
        <f>VLOOKUP(A1605,Medical_Examinations[],3,FALSE)</f>
        <v>5.28</v>
      </c>
      <c r="E1605" t="str">
        <f>VLOOKUP(A1605,Medical_Examinations[],4,FALSE)</f>
        <v>No</v>
      </c>
      <c r="F1605" t="str">
        <f>VLOOKUP(A1605,Medical_Examinations[],5,FALSE)</f>
        <v>No</v>
      </c>
      <c r="G1605" t="str">
        <f>VLOOKUP(A1605,Medical_Examinations[],6,FALSE)</f>
        <v>No</v>
      </c>
      <c r="H1605">
        <f>VLOOKUP(A1605,Medical_Examinations[],7,FALSE)</f>
        <v>1</v>
      </c>
      <c r="I1605" t="str">
        <f>VLOOKUP(A1605,Medical_Examinations[],8,FALSE)</f>
        <v>No</v>
      </c>
      <c r="J1605" t="str">
        <f>VLOOKUP(A1605,Medical_Examinations[],9,FALSE)</f>
        <v>Obesity</v>
      </c>
      <c r="K1605" t="str">
        <f>VLOOKUP(A1605,Medical_Examinations[],10,FALSE)</f>
        <v>Normal</v>
      </c>
      <c r="M1605">
        <f>VLOOKUP(A1605,Hospitalisation_Details__2[],4,FALSE)</f>
        <v>6208.5</v>
      </c>
      <c r="N1605" t="str">
        <f>VLOOKUP(A1605,Hospitalisation_Details__2[],5,FALSE)</f>
        <v>tier - 2</v>
      </c>
      <c r="O1605" t="str">
        <f>VLOOKUP(A1605,Hospitalisation_Details__2[],6,FALSE)</f>
        <v>tier - 1</v>
      </c>
      <c r="P1605" t="str">
        <f>VLOOKUP(A1605,Hospitalisation_Details__2[],7,FALSE)</f>
        <v>R1021</v>
      </c>
    </row>
    <row r="1606" spans="1:16" x14ac:dyDescent="0.35">
      <c r="A1606" t="str">
        <v>Id1605</v>
      </c>
      <c r="B1606" t="str">
        <f>VLOOKUP(A1606,'Customer Names (2)'!A:B, 2,FALSE)</f>
        <v>Mrs</v>
      </c>
      <c r="C1606">
        <f>VLOOKUP(A1606,Medical_Examinations[],2,FALSE)</f>
        <v>36.08</v>
      </c>
      <c r="D1606">
        <f>VLOOKUP(A1606,Medical_Examinations[],3,FALSE)</f>
        <v>4.29</v>
      </c>
      <c r="E1606" t="str">
        <f>VLOOKUP(A1606,Medical_Examinations[],4,FALSE)</f>
        <v>No</v>
      </c>
      <c r="F1606" t="str">
        <f>VLOOKUP(A1606,Medical_Examinations[],5,FALSE)</f>
        <v>No</v>
      </c>
      <c r="G1606" t="str">
        <f>VLOOKUP(A1606,Medical_Examinations[],6,FALSE)</f>
        <v>No</v>
      </c>
      <c r="H1606">
        <f>VLOOKUP(A1606,Medical_Examinations[],7,FALSE)</f>
        <v>0</v>
      </c>
      <c r="I1606" t="str">
        <f>VLOOKUP(A1606,Medical_Examinations[],8,FALSE)</f>
        <v>No</v>
      </c>
      <c r="J1606" t="str">
        <f>VLOOKUP(A1606,Medical_Examinations[],9,FALSE)</f>
        <v>Obesity</v>
      </c>
      <c r="K1606" t="str">
        <f>VLOOKUP(A1606,Medical_Examinations[],10,FALSE)</f>
        <v>Normal</v>
      </c>
      <c r="M1606">
        <f>VLOOKUP(A1606,Hospitalisation_Details__2[],4,FALSE)</f>
        <v>6207.26</v>
      </c>
      <c r="N1606" t="str">
        <f>VLOOKUP(A1606,Hospitalisation_Details__2[],5,FALSE)</f>
        <v>tier - 2</v>
      </c>
      <c r="O1606" t="str">
        <f>VLOOKUP(A1606,Hospitalisation_Details__2[],6,FALSE)</f>
        <v>tier - 2</v>
      </c>
      <c r="P1606" t="str">
        <f>VLOOKUP(A1606,Hospitalisation_Details__2[],7,FALSE)</f>
        <v>R1026</v>
      </c>
    </row>
    <row r="1607" spans="1:16" x14ac:dyDescent="0.35">
      <c r="A1607" t="str">
        <v>Id1606</v>
      </c>
      <c r="B1607" t="str">
        <f>VLOOKUP(A1607,'Customer Names (2)'!A:B, 2,FALSE)</f>
        <v>Mr</v>
      </c>
      <c r="C1607">
        <f>VLOOKUP(A1607,Medical_Examinations[],2,FALSE)</f>
        <v>28.024999999999999</v>
      </c>
      <c r="D1607">
        <f>VLOOKUP(A1607,Medical_Examinations[],3,FALSE)</f>
        <v>5.69</v>
      </c>
      <c r="E1607" t="str">
        <f>VLOOKUP(A1607,Medical_Examinations[],4,FALSE)</f>
        <v>Yes</v>
      </c>
      <c r="F1607" t="str">
        <f>VLOOKUP(A1607,Medical_Examinations[],5,FALSE)</f>
        <v>No</v>
      </c>
      <c r="G1607" t="str">
        <f>VLOOKUP(A1607,Medical_Examinations[],6,FALSE)</f>
        <v>No</v>
      </c>
      <c r="H1607">
        <f>VLOOKUP(A1607,Medical_Examinations[],7,FALSE)</f>
        <v>0</v>
      </c>
      <c r="I1607" t="str">
        <f>VLOOKUP(A1607,Medical_Examinations[],8,FALSE)</f>
        <v>No</v>
      </c>
      <c r="J1607" t="str">
        <f>VLOOKUP(A1607,Medical_Examinations[],9,FALSE)</f>
        <v>Overweight</v>
      </c>
      <c r="K1607" t="str">
        <f>VLOOKUP(A1607,Medical_Examinations[],10,FALSE)</f>
        <v>Normal</v>
      </c>
      <c r="M1607">
        <f>VLOOKUP(A1607,Hospitalisation_Details__2[],4,FALSE)</f>
        <v>6203.9</v>
      </c>
      <c r="N1607" t="str">
        <f>VLOOKUP(A1607,Hospitalisation_Details__2[],5,FALSE)</f>
        <v>tier - 2</v>
      </c>
      <c r="O1607" t="str">
        <f>VLOOKUP(A1607,Hospitalisation_Details__2[],6,FALSE)</f>
        <v>tier - 2</v>
      </c>
      <c r="P1607" t="str">
        <f>VLOOKUP(A1607,Hospitalisation_Details__2[],7,FALSE)</f>
        <v>R1012</v>
      </c>
    </row>
    <row r="1608" spans="1:16" x14ac:dyDescent="0.35">
      <c r="A1608" t="str">
        <v>Id1607</v>
      </c>
      <c r="B1608" t="str">
        <f>VLOOKUP(A1608,'Customer Names (2)'!A:B, 2,FALSE)</f>
        <v>Mr</v>
      </c>
      <c r="C1608">
        <f>VLOOKUP(A1608,Medical_Examinations[],2,FALSE)</f>
        <v>24.32</v>
      </c>
      <c r="D1608">
        <f>VLOOKUP(A1608,Medical_Examinations[],3,FALSE)</f>
        <v>5.56</v>
      </c>
      <c r="E1608" t="str">
        <f>VLOOKUP(A1608,Medical_Examinations[],4,FALSE)</f>
        <v>Yes</v>
      </c>
      <c r="F1608" t="str">
        <f>VLOOKUP(A1608,Medical_Examinations[],5,FALSE)</f>
        <v>No</v>
      </c>
      <c r="G1608" t="str">
        <f>VLOOKUP(A1608,Medical_Examinations[],6,FALSE)</f>
        <v>No</v>
      </c>
      <c r="H1608">
        <f>VLOOKUP(A1608,Medical_Examinations[],7,FALSE)</f>
        <v>0</v>
      </c>
      <c r="I1608" t="str">
        <f>VLOOKUP(A1608,Medical_Examinations[],8,FALSE)</f>
        <v>No</v>
      </c>
      <c r="J1608" t="str">
        <f>VLOOKUP(A1608,Medical_Examinations[],9,FALSE)</f>
        <v>Normal Weight</v>
      </c>
      <c r="K1608" t="str">
        <f>VLOOKUP(A1608,Medical_Examinations[],10,FALSE)</f>
        <v>Normal</v>
      </c>
      <c r="M1608">
        <f>VLOOKUP(A1608,Hospitalisation_Details__2[],4,FALSE)</f>
        <v>6198.75</v>
      </c>
      <c r="N1608" t="str">
        <f>VLOOKUP(A1608,Hospitalisation_Details__2[],5,FALSE)</f>
        <v>tier - 2</v>
      </c>
      <c r="O1608" t="str">
        <f>VLOOKUP(A1608,Hospitalisation_Details__2[],6,FALSE)</f>
        <v>tier - 1</v>
      </c>
      <c r="P1608" t="str">
        <f>VLOOKUP(A1608,Hospitalisation_Details__2[],7,FALSE)</f>
        <v>R1012</v>
      </c>
    </row>
    <row r="1609" spans="1:16" x14ac:dyDescent="0.35">
      <c r="A1609" t="str">
        <v>Id1608</v>
      </c>
      <c r="B1609" t="str">
        <f>VLOOKUP(A1609,'Customer Names (2)'!A:B, 2,FALSE)</f>
        <v>Ms</v>
      </c>
      <c r="C1609">
        <f>VLOOKUP(A1609,Medical_Examinations[],2,FALSE)</f>
        <v>38</v>
      </c>
      <c r="D1609">
        <f>VLOOKUP(A1609,Medical_Examinations[],3,FALSE)</f>
        <v>5.41</v>
      </c>
      <c r="E1609" t="str">
        <f>VLOOKUP(A1609,Medical_Examinations[],4,FALSE)</f>
        <v>Yes</v>
      </c>
      <c r="F1609" t="str">
        <f>VLOOKUP(A1609,Medical_Examinations[],5,FALSE)</f>
        <v>No</v>
      </c>
      <c r="G1609" t="str">
        <f>VLOOKUP(A1609,Medical_Examinations[],6,FALSE)</f>
        <v>No</v>
      </c>
      <c r="H1609">
        <f>VLOOKUP(A1609,Medical_Examinations[],7,FALSE)</f>
        <v>1</v>
      </c>
      <c r="I1609" t="str">
        <f>VLOOKUP(A1609,Medical_Examinations[],8,FALSE)</f>
        <v>No</v>
      </c>
      <c r="J1609" t="str">
        <f>VLOOKUP(A1609,Medical_Examinations[],9,FALSE)</f>
        <v>Obesity</v>
      </c>
      <c r="K1609" t="str">
        <f>VLOOKUP(A1609,Medical_Examinations[],10,FALSE)</f>
        <v>Normal</v>
      </c>
      <c r="M1609">
        <f>VLOOKUP(A1609,Hospitalisation_Details__2[],4,FALSE)</f>
        <v>6196.45</v>
      </c>
      <c r="N1609" t="str">
        <f>VLOOKUP(A1609,Hospitalisation_Details__2[],5,FALSE)</f>
        <v>tier - 2</v>
      </c>
      <c r="O1609" t="str">
        <f>VLOOKUP(A1609,Hospitalisation_Details__2[],6,FALSE)</f>
        <v>tier - 1</v>
      </c>
      <c r="P1609" t="str">
        <f>VLOOKUP(A1609,Hospitalisation_Details__2[],7,FALSE)</f>
        <v>R1011</v>
      </c>
    </row>
    <row r="1610" spans="1:16" x14ac:dyDescent="0.35">
      <c r="A1610" t="str">
        <v>Id1609</v>
      </c>
      <c r="B1610" t="str">
        <f>VLOOKUP(A1610,'Customer Names (2)'!A:B, 2,FALSE)</f>
        <v>Ms</v>
      </c>
      <c r="C1610">
        <f>VLOOKUP(A1610,Medical_Examinations[],2,FALSE)</f>
        <v>31.6</v>
      </c>
      <c r="D1610">
        <f>VLOOKUP(A1610,Medical_Examinations[],3,FALSE)</f>
        <v>10.85</v>
      </c>
      <c r="E1610" t="str">
        <f>VLOOKUP(A1610,Medical_Examinations[],4,FALSE)</f>
        <v>Yes</v>
      </c>
      <c r="F1610" t="str">
        <f>VLOOKUP(A1610,Medical_Examinations[],5,FALSE)</f>
        <v>No</v>
      </c>
      <c r="G1610" t="str">
        <f>VLOOKUP(A1610,Medical_Examinations[],6,FALSE)</f>
        <v>No</v>
      </c>
      <c r="H1610">
        <f>VLOOKUP(A1610,Medical_Examinations[],7,FALSE)</f>
        <v>0</v>
      </c>
      <c r="I1610" t="str">
        <f>VLOOKUP(A1610,Medical_Examinations[],8,FALSE)</f>
        <v>No</v>
      </c>
      <c r="J1610" t="str">
        <f>VLOOKUP(A1610,Medical_Examinations[],9,FALSE)</f>
        <v>Obesity</v>
      </c>
      <c r="K1610" t="str">
        <f>VLOOKUP(A1610,Medical_Examinations[],10,FALSE)</f>
        <v>Diabetes</v>
      </c>
      <c r="M1610">
        <f>VLOOKUP(A1610,Hospitalisation_Details__2[],4,FALSE)</f>
        <v>6186.13</v>
      </c>
      <c r="N1610" t="str">
        <f>VLOOKUP(A1610,Hospitalisation_Details__2[],5,FALSE)</f>
        <v>tier - 2</v>
      </c>
      <c r="O1610" t="str">
        <f>VLOOKUP(A1610,Hospitalisation_Details__2[],6,FALSE)</f>
        <v>tier - 3</v>
      </c>
      <c r="P1610" t="str">
        <f>VLOOKUP(A1610,Hospitalisation_Details__2[],7,FALSE)</f>
        <v>R1011</v>
      </c>
    </row>
    <row r="1611" spans="1:16" x14ac:dyDescent="0.35">
      <c r="A1611" t="str">
        <v>Id1610</v>
      </c>
      <c r="B1611" t="str">
        <f>VLOOKUP(A1611,'Customer Names (2)'!A:B, 2,FALSE)</f>
        <v>Ms</v>
      </c>
      <c r="C1611">
        <f>VLOOKUP(A1611,Medical_Examinations[],2,FALSE)</f>
        <v>31.02</v>
      </c>
      <c r="D1611">
        <f>VLOOKUP(A1611,Medical_Examinations[],3,FALSE)</f>
        <v>11.63</v>
      </c>
      <c r="E1611" t="str">
        <f>VLOOKUP(A1611,Medical_Examinations[],4,FALSE)</f>
        <v>Yes</v>
      </c>
      <c r="F1611" t="str">
        <f>VLOOKUP(A1611,Medical_Examinations[],5,FALSE)</f>
        <v>No</v>
      </c>
      <c r="G1611" t="str">
        <f>VLOOKUP(A1611,Medical_Examinations[],6,FALSE)</f>
        <v>No</v>
      </c>
      <c r="H1611">
        <f>VLOOKUP(A1611,Medical_Examinations[],7,FALSE)</f>
        <v>0</v>
      </c>
      <c r="I1611" t="str">
        <f>VLOOKUP(A1611,Medical_Examinations[],8,FALSE)</f>
        <v>No</v>
      </c>
      <c r="J1611" t="str">
        <f>VLOOKUP(A1611,Medical_Examinations[],9,FALSE)</f>
        <v>Obesity</v>
      </c>
      <c r="K1611" t="str">
        <f>VLOOKUP(A1611,Medical_Examinations[],10,FALSE)</f>
        <v>Diabetes</v>
      </c>
      <c r="M1611">
        <f>VLOOKUP(A1611,Hospitalisation_Details__2[],4,FALSE)</f>
        <v>6185.32</v>
      </c>
      <c r="N1611" t="str">
        <f>VLOOKUP(A1611,Hospitalisation_Details__2[],5,FALSE)</f>
        <v>tier - 2</v>
      </c>
      <c r="O1611" t="str">
        <f>VLOOKUP(A1611,Hospitalisation_Details__2[],6,FALSE)</f>
        <v>tier - 1</v>
      </c>
      <c r="P1611" t="str">
        <f>VLOOKUP(A1611,Hospitalisation_Details__2[],7,FALSE)</f>
        <v>R1013</v>
      </c>
    </row>
    <row r="1612" spans="1:16" x14ac:dyDescent="0.35">
      <c r="A1612" t="str">
        <v>Id1611</v>
      </c>
      <c r="B1612" t="str">
        <f>VLOOKUP(A1612,'Customer Names (2)'!A:B, 2,FALSE)</f>
        <v>Ms</v>
      </c>
      <c r="C1612">
        <f>VLOOKUP(A1612,Medical_Examinations[],2,FALSE)</f>
        <v>29.26</v>
      </c>
      <c r="D1612">
        <f>VLOOKUP(A1612,Medical_Examinations[],3,FALSE)</f>
        <v>5.68</v>
      </c>
      <c r="E1612" t="str">
        <f>VLOOKUP(A1612,Medical_Examinations[],4,FALSE)</f>
        <v>Yes</v>
      </c>
      <c r="F1612" t="str">
        <f>VLOOKUP(A1612,Medical_Examinations[],5,FALSE)</f>
        <v>No</v>
      </c>
      <c r="G1612" t="str">
        <f>VLOOKUP(A1612,Medical_Examinations[],6,FALSE)</f>
        <v>No</v>
      </c>
      <c r="H1612">
        <f>VLOOKUP(A1612,Medical_Examinations[],7,FALSE)</f>
        <v>1</v>
      </c>
      <c r="I1612" t="str">
        <f>VLOOKUP(A1612,Medical_Examinations[],8,FALSE)</f>
        <v>No</v>
      </c>
      <c r="J1612" t="str">
        <f>VLOOKUP(A1612,Medical_Examinations[],9,FALSE)</f>
        <v>Overweight</v>
      </c>
      <c r="K1612" t="str">
        <f>VLOOKUP(A1612,Medical_Examinations[],10,FALSE)</f>
        <v>Normal</v>
      </c>
      <c r="M1612">
        <f>VLOOKUP(A1612,Hospitalisation_Details__2[],4,FALSE)</f>
        <v>6184.3</v>
      </c>
      <c r="N1612" t="str">
        <f>VLOOKUP(A1612,Hospitalisation_Details__2[],5,FALSE)</f>
        <v>tier - 2</v>
      </c>
      <c r="O1612" t="str">
        <f>VLOOKUP(A1612,Hospitalisation_Details__2[],6,FALSE)</f>
        <v>tier - 3</v>
      </c>
      <c r="P1612" t="str">
        <f>VLOOKUP(A1612,Hospitalisation_Details__2[],7,FALSE)</f>
        <v>R1013</v>
      </c>
    </row>
    <row r="1613" spans="1:16" x14ac:dyDescent="0.35">
      <c r="A1613" t="str">
        <v>Id1612</v>
      </c>
      <c r="B1613" t="str">
        <f>VLOOKUP(A1613,'Customer Names (2)'!A:B, 2,FALSE)</f>
        <v>Ms</v>
      </c>
      <c r="C1613">
        <f>VLOOKUP(A1613,Medical_Examinations[],2,FALSE)</f>
        <v>15.09</v>
      </c>
      <c r="D1613">
        <f>VLOOKUP(A1613,Medical_Examinations[],3,FALSE)</f>
        <v>7.59</v>
      </c>
      <c r="E1613" t="str">
        <f>VLOOKUP(A1613,Medical_Examinations[],4,FALSE)</f>
        <v>Yes</v>
      </c>
      <c r="F1613" t="str">
        <f>VLOOKUP(A1613,Medical_Examinations[],5,FALSE)</f>
        <v>No</v>
      </c>
      <c r="G1613" t="str">
        <f>VLOOKUP(A1613,Medical_Examinations[],6,FALSE)</f>
        <v>No</v>
      </c>
      <c r="H1613">
        <f>VLOOKUP(A1613,Medical_Examinations[],7,FALSE)</f>
        <v>2</v>
      </c>
      <c r="I1613" t="str">
        <f>VLOOKUP(A1613,Medical_Examinations[],8,FALSE)</f>
        <v>No</v>
      </c>
      <c r="J1613" t="str">
        <f>VLOOKUP(A1613,Medical_Examinations[],9,FALSE)</f>
        <v>Underweight</v>
      </c>
      <c r="K1613" t="str">
        <f>VLOOKUP(A1613,Medical_Examinations[],10,FALSE)</f>
        <v>Diabetes</v>
      </c>
      <c r="M1613">
        <f>VLOOKUP(A1613,Hospitalisation_Details__2[],4,FALSE)</f>
        <v>6183.46</v>
      </c>
      <c r="N1613" t="str">
        <f>VLOOKUP(A1613,Hospitalisation_Details__2[],5,FALSE)</f>
        <v>tier - 2</v>
      </c>
      <c r="O1613" t="str">
        <f>VLOOKUP(A1613,Hospitalisation_Details__2[],6,FALSE)</f>
        <v>tier - 2</v>
      </c>
      <c r="P1613" t="str">
        <f>VLOOKUP(A1613,Hospitalisation_Details__2[],7,FALSE)</f>
        <v>R1012</v>
      </c>
    </row>
    <row r="1614" spans="1:16" x14ac:dyDescent="0.35">
      <c r="A1614" t="str">
        <v>Id1613</v>
      </c>
      <c r="B1614" t="str">
        <f>VLOOKUP(A1614,'Customer Names (2)'!A:B, 2,FALSE)</f>
        <v>Mr</v>
      </c>
      <c r="C1614">
        <f>VLOOKUP(A1614,Medical_Examinations[],2,FALSE)</f>
        <v>22.63</v>
      </c>
      <c r="D1614">
        <f>VLOOKUP(A1614,Medical_Examinations[],3,FALSE)</f>
        <v>5.09</v>
      </c>
      <c r="E1614" t="str">
        <f>VLOOKUP(A1614,Medical_Examinations[],4,FALSE)</f>
        <v>Yes</v>
      </c>
      <c r="F1614" t="str">
        <f>VLOOKUP(A1614,Medical_Examinations[],5,FALSE)</f>
        <v>No</v>
      </c>
      <c r="G1614" t="str">
        <f>VLOOKUP(A1614,Medical_Examinations[],6,FALSE)</f>
        <v>No</v>
      </c>
      <c r="H1614">
        <f>VLOOKUP(A1614,Medical_Examinations[],7,FALSE)</f>
        <v>0</v>
      </c>
      <c r="I1614" t="str">
        <f>VLOOKUP(A1614,Medical_Examinations[],8,FALSE)</f>
        <v>No</v>
      </c>
      <c r="J1614" t="str">
        <f>VLOOKUP(A1614,Medical_Examinations[],9,FALSE)</f>
        <v>Normal Weight</v>
      </c>
      <c r="K1614" t="str">
        <f>VLOOKUP(A1614,Medical_Examinations[],10,FALSE)</f>
        <v>Normal</v>
      </c>
      <c r="M1614">
        <f>VLOOKUP(A1614,Hospitalisation_Details__2[],4,FALSE)</f>
        <v>6183.32</v>
      </c>
      <c r="N1614" t="str">
        <f>VLOOKUP(A1614,Hospitalisation_Details__2[],5,FALSE)</f>
        <v>tier - 2</v>
      </c>
      <c r="O1614" t="str">
        <f>VLOOKUP(A1614,Hospitalisation_Details__2[],6,FALSE)</f>
        <v>tier - 2</v>
      </c>
      <c r="P1614" t="str">
        <f>VLOOKUP(A1614,Hospitalisation_Details__2[],7,FALSE)</f>
        <v>R1012</v>
      </c>
    </row>
    <row r="1615" spans="1:16" x14ac:dyDescent="0.35">
      <c r="A1615" t="str">
        <v>Id1614</v>
      </c>
      <c r="B1615" t="str">
        <f>VLOOKUP(A1615,'Customer Names (2)'!A:B, 2,FALSE)</f>
        <v>Ms</v>
      </c>
      <c r="C1615">
        <f>VLOOKUP(A1615,Medical_Examinations[],2,FALSE)</f>
        <v>23.46</v>
      </c>
      <c r="D1615">
        <f>VLOOKUP(A1615,Medical_Examinations[],3,FALSE)</f>
        <v>4.21</v>
      </c>
      <c r="E1615" t="str">
        <f>VLOOKUP(A1615,Medical_Examinations[],4,FALSE)</f>
        <v>No</v>
      </c>
      <c r="F1615" t="str">
        <f>VLOOKUP(A1615,Medical_Examinations[],5,FALSE)</f>
        <v>No</v>
      </c>
      <c r="G1615" t="str">
        <f>VLOOKUP(A1615,Medical_Examinations[],6,FALSE)</f>
        <v>No</v>
      </c>
      <c r="H1615">
        <f>VLOOKUP(A1615,Medical_Examinations[],7,FALSE)</f>
        <v>1</v>
      </c>
      <c r="I1615" t="str">
        <f>VLOOKUP(A1615,Medical_Examinations[],8,FALSE)</f>
        <v>No</v>
      </c>
      <c r="J1615" t="str">
        <f>VLOOKUP(A1615,Medical_Examinations[],9,FALSE)</f>
        <v>Normal Weight</v>
      </c>
      <c r="K1615" t="str">
        <f>VLOOKUP(A1615,Medical_Examinations[],10,FALSE)</f>
        <v>Normal</v>
      </c>
      <c r="M1615">
        <f>VLOOKUP(A1615,Hospitalisation_Details__2[],4,FALSE)</f>
        <v>6170.96</v>
      </c>
      <c r="N1615" t="str">
        <f>VLOOKUP(A1615,Hospitalisation_Details__2[],5,FALSE)</f>
        <v>tier - 2</v>
      </c>
      <c r="O1615" t="str">
        <f>VLOOKUP(A1615,Hospitalisation_Details__2[],6,FALSE)</f>
        <v>tier - 1</v>
      </c>
      <c r="P1615" t="str">
        <f>VLOOKUP(A1615,Hospitalisation_Details__2[],7,FALSE)</f>
        <v>R1013</v>
      </c>
    </row>
    <row r="1616" spans="1:16" x14ac:dyDescent="0.35">
      <c r="A1616" t="str">
        <v>Id1615</v>
      </c>
      <c r="B1616" t="str">
        <f>VLOOKUP(A1616,'Customer Names (2)'!A:B, 2,FALSE)</f>
        <v>Mr</v>
      </c>
      <c r="C1616">
        <f>VLOOKUP(A1616,Medical_Examinations[],2,FALSE)</f>
        <v>22.56</v>
      </c>
      <c r="D1616">
        <f>VLOOKUP(A1616,Medical_Examinations[],3,FALSE)</f>
        <v>4.34</v>
      </c>
      <c r="E1616" t="str">
        <f>VLOOKUP(A1616,Medical_Examinations[],4,FALSE)</f>
        <v>Yes</v>
      </c>
      <c r="F1616" t="str">
        <f>VLOOKUP(A1616,Medical_Examinations[],5,FALSE)</f>
        <v>No</v>
      </c>
      <c r="G1616" t="str">
        <f>VLOOKUP(A1616,Medical_Examinations[],6,FALSE)</f>
        <v>No</v>
      </c>
      <c r="H1616">
        <f>VLOOKUP(A1616,Medical_Examinations[],7,FALSE)</f>
        <v>0</v>
      </c>
      <c r="I1616" t="str">
        <f>VLOOKUP(A1616,Medical_Examinations[],8,FALSE)</f>
        <v>No</v>
      </c>
      <c r="J1616" t="str">
        <f>VLOOKUP(A1616,Medical_Examinations[],9,FALSE)</f>
        <v>Normal Weight</v>
      </c>
      <c r="K1616" t="str">
        <f>VLOOKUP(A1616,Medical_Examinations[],10,FALSE)</f>
        <v>Normal</v>
      </c>
      <c r="M1616">
        <f>VLOOKUP(A1616,Hospitalisation_Details__2[],4,FALSE)</f>
        <v>6159.57</v>
      </c>
      <c r="N1616" t="str">
        <f>VLOOKUP(A1616,Hospitalisation_Details__2[],5,FALSE)</f>
        <v>tier - 2</v>
      </c>
      <c r="O1616" t="str">
        <f>VLOOKUP(A1616,Hospitalisation_Details__2[],6,FALSE)</f>
        <v>tier - 1</v>
      </c>
      <c r="P1616" t="str">
        <f>VLOOKUP(A1616,Hospitalisation_Details__2[],7,FALSE)</f>
        <v>R1012</v>
      </c>
    </row>
    <row r="1617" spans="1:16" x14ac:dyDescent="0.35">
      <c r="A1617" t="str">
        <v>Id1616</v>
      </c>
      <c r="B1617" t="str">
        <f>VLOOKUP(A1617,'Customer Names (2)'!A:B, 2,FALSE)</f>
        <v>Ms</v>
      </c>
      <c r="C1617">
        <f>VLOOKUP(A1617,Medical_Examinations[],2,FALSE)</f>
        <v>19.28</v>
      </c>
      <c r="D1617">
        <f>VLOOKUP(A1617,Medical_Examinations[],3,FALSE)</f>
        <v>11.85</v>
      </c>
      <c r="E1617" t="str">
        <f>VLOOKUP(A1617,Medical_Examinations[],4,FALSE)</f>
        <v>No</v>
      </c>
      <c r="F1617" t="str">
        <f>VLOOKUP(A1617,Medical_Examinations[],5,FALSE)</f>
        <v>No</v>
      </c>
      <c r="G1617" t="str">
        <f>VLOOKUP(A1617,Medical_Examinations[],6,FALSE)</f>
        <v>No</v>
      </c>
      <c r="H1617">
        <f>VLOOKUP(A1617,Medical_Examinations[],7,FALSE)</f>
        <v>2</v>
      </c>
      <c r="I1617" t="str">
        <f>VLOOKUP(A1617,Medical_Examinations[],8,FALSE)</f>
        <v>No</v>
      </c>
      <c r="J1617" t="str">
        <f>VLOOKUP(A1617,Medical_Examinations[],9,FALSE)</f>
        <v>Normal Weight</v>
      </c>
      <c r="K1617" t="str">
        <f>VLOOKUP(A1617,Medical_Examinations[],10,FALSE)</f>
        <v>Diabetes</v>
      </c>
      <c r="M1617">
        <f>VLOOKUP(A1617,Hospitalisation_Details__2[],4,FALSE)</f>
        <v>6152.05</v>
      </c>
      <c r="N1617" t="str">
        <f>VLOOKUP(A1617,Hospitalisation_Details__2[],5,FALSE)</f>
        <v>tier - 2</v>
      </c>
      <c r="O1617" t="str">
        <f>VLOOKUP(A1617,Hospitalisation_Details__2[],6,FALSE)</f>
        <v>tier - 3</v>
      </c>
      <c r="P1617" t="str">
        <f>VLOOKUP(A1617,Hospitalisation_Details__2[],7,FALSE)</f>
        <v>R1013</v>
      </c>
    </row>
    <row r="1618" spans="1:16" x14ac:dyDescent="0.35">
      <c r="A1618" t="str">
        <v>Id1617</v>
      </c>
      <c r="B1618" t="str">
        <f>VLOOKUP(A1618,'Customer Names (2)'!A:B, 2,FALSE)</f>
        <v>Mr</v>
      </c>
      <c r="C1618">
        <f>VLOOKUP(A1618,Medical_Examinations[],2,FALSE)</f>
        <v>15.37</v>
      </c>
      <c r="D1618">
        <f>VLOOKUP(A1618,Medical_Examinations[],3,FALSE)</f>
        <v>9.61</v>
      </c>
      <c r="E1618" t="str">
        <f>VLOOKUP(A1618,Medical_Examinations[],4,FALSE)</f>
        <v>Yes</v>
      </c>
      <c r="F1618" t="str">
        <f>VLOOKUP(A1618,Medical_Examinations[],5,FALSE)</f>
        <v>No</v>
      </c>
      <c r="G1618" t="str">
        <f>VLOOKUP(A1618,Medical_Examinations[],6,FALSE)</f>
        <v>No</v>
      </c>
      <c r="H1618">
        <f>VLOOKUP(A1618,Medical_Examinations[],7,FALSE)</f>
        <v>2</v>
      </c>
      <c r="I1618" t="str">
        <f>VLOOKUP(A1618,Medical_Examinations[],8,FALSE)</f>
        <v>No</v>
      </c>
      <c r="J1618" t="str">
        <f>VLOOKUP(A1618,Medical_Examinations[],9,FALSE)</f>
        <v>Underweight</v>
      </c>
      <c r="K1618" t="str">
        <f>VLOOKUP(A1618,Medical_Examinations[],10,FALSE)</f>
        <v>Diabetes</v>
      </c>
      <c r="M1618">
        <f>VLOOKUP(A1618,Hospitalisation_Details__2[],4,FALSE)</f>
        <v>6147.12</v>
      </c>
      <c r="N1618" t="str">
        <f>VLOOKUP(A1618,Hospitalisation_Details__2[],5,FALSE)</f>
        <v>tier - 2</v>
      </c>
      <c r="O1618" t="str">
        <f>VLOOKUP(A1618,Hospitalisation_Details__2[],6,FALSE)</f>
        <v>tier - 3</v>
      </c>
      <c r="P1618" t="str">
        <f>VLOOKUP(A1618,Hospitalisation_Details__2[],7,FALSE)</f>
        <v>R1012</v>
      </c>
    </row>
    <row r="1619" spans="1:16" x14ac:dyDescent="0.35">
      <c r="A1619" t="str">
        <v>Id1618</v>
      </c>
      <c r="B1619" t="str">
        <f>VLOOKUP(A1619,'Customer Names (2)'!A:B, 2,FALSE)</f>
        <v>Ms</v>
      </c>
      <c r="C1619">
        <f>VLOOKUP(A1619,Medical_Examinations[],2,FALSE)</f>
        <v>18.71</v>
      </c>
      <c r="D1619">
        <f>VLOOKUP(A1619,Medical_Examinations[],3,FALSE)</f>
        <v>5.29</v>
      </c>
      <c r="E1619" t="str">
        <f>VLOOKUP(A1619,Medical_Examinations[],4,FALSE)</f>
        <v>Yes</v>
      </c>
      <c r="F1619" t="str">
        <f>VLOOKUP(A1619,Medical_Examinations[],5,FALSE)</f>
        <v>No</v>
      </c>
      <c r="G1619" t="str">
        <f>VLOOKUP(A1619,Medical_Examinations[],6,FALSE)</f>
        <v>No</v>
      </c>
      <c r="H1619">
        <f>VLOOKUP(A1619,Medical_Examinations[],7,FALSE)</f>
        <v>0</v>
      </c>
      <c r="I1619" t="str">
        <f>VLOOKUP(A1619,Medical_Examinations[],8,FALSE)</f>
        <v>No</v>
      </c>
      <c r="J1619" t="str">
        <f>VLOOKUP(A1619,Medical_Examinations[],9,FALSE)</f>
        <v>Normal Weight</v>
      </c>
      <c r="K1619" t="str">
        <f>VLOOKUP(A1619,Medical_Examinations[],10,FALSE)</f>
        <v>Normal</v>
      </c>
      <c r="M1619">
        <f>VLOOKUP(A1619,Hospitalisation_Details__2[],4,FALSE)</f>
        <v>6139.14</v>
      </c>
      <c r="N1619" t="str">
        <f>VLOOKUP(A1619,Hospitalisation_Details__2[],5,FALSE)</f>
        <v>tier - 2</v>
      </c>
      <c r="O1619" t="str">
        <f>VLOOKUP(A1619,Hospitalisation_Details__2[],6,FALSE)</f>
        <v>tier - 3</v>
      </c>
      <c r="P1619" t="str">
        <f>VLOOKUP(A1619,Hospitalisation_Details__2[],7,FALSE)</f>
        <v>R1013</v>
      </c>
    </row>
    <row r="1620" spans="1:16" x14ac:dyDescent="0.35">
      <c r="A1620" t="str">
        <v>Id1619</v>
      </c>
      <c r="B1620" t="str">
        <f>VLOOKUP(A1620,'Customer Names (2)'!A:B, 2,FALSE)</f>
        <v>Mr</v>
      </c>
      <c r="C1620">
        <f>VLOOKUP(A1620,Medical_Examinations[],2,FALSE)</f>
        <v>20.61</v>
      </c>
      <c r="D1620">
        <f>VLOOKUP(A1620,Medical_Examinations[],3,FALSE)</f>
        <v>6.89</v>
      </c>
      <c r="E1620" t="str">
        <f>VLOOKUP(A1620,Medical_Examinations[],4,FALSE)</f>
        <v>No</v>
      </c>
      <c r="F1620" t="str">
        <f>VLOOKUP(A1620,Medical_Examinations[],5,FALSE)</f>
        <v>No</v>
      </c>
      <c r="G1620" t="str">
        <f>VLOOKUP(A1620,Medical_Examinations[],6,FALSE)</f>
        <v>No</v>
      </c>
      <c r="H1620">
        <f>VLOOKUP(A1620,Medical_Examinations[],7,FALSE)</f>
        <v>0</v>
      </c>
      <c r="I1620" t="str">
        <f>VLOOKUP(A1620,Medical_Examinations[],8,FALSE)</f>
        <v>No</v>
      </c>
      <c r="J1620" t="str">
        <f>VLOOKUP(A1620,Medical_Examinations[],9,FALSE)</f>
        <v>Normal Weight</v>
      </c>
      <c r="K1620" t="str">
        <f>VLOOKUP(A1620,Medical_Examinations[],10,FALSE)</f>
        <v>Diabetes</v>
      </c>
      <c r="M1620">
        <f>VLOOKUP(A1620,Hospitalisation_Details__2[],4,FALSE)</f>
        <v>6138.58</v>
      </c>
      <c r="N1620" t="str">
        <f>VLOOKUP(A1620,Hospitalisation_Details__2[],5,FALSE)</f>
        <v>tier - 2</v>
      </c>
      <c r="O1620" t="str">
        <f>VLOOKUP(A1620,Hospitalisation_Details__2[],6,FALSE)</f>
        <v>tier - 1</v>
      </c>
      <c r="P1620" t="str">
        <f>VLOOKUP(A1620,Hospitalisation_Details__2[],7,FALSE)</f>
        <v>R1013</v>
      </c>
    </row>
    <row r="1621" spans="1:16" x14ac:dyDescent="0.35">
      <c r="A1621" t="str">
        <v>Id1620</v>
      </c>
      <c r="B1621" t="str">
        <f>VLOOKUP(A1621,'Customer Names (2)'!A:B, 2,FALSE)</f>
        <v>Ms</v>
      </c>
      <c r="C1621">
        <f>VLOOKUP(A1621,Medical_Examinations[],2,FALSE)</f>
        <v>15.99</v>
      </c>
      <c r="D1621">
        <f>VLOOKUP(A1621,Medical_Examinations[],3,FALSE)</f>
        <v>4.57</v>
      </c>
      <c r="E1621" t="str">
        <f>VLOOKUP(A1621,Medical_Examinations[],4,FALSE)</f>
        <v>Yes</v>
      </c>
      <c r="F1621" t="str">
        <f>VLOOKUP(A1621,Medical_Examinations[],5,FALSE)</f>
        <v>No</v>
      </c>
      <c r="G1621" t="str">
        <f>VLOOKUP(A1621,Medical_Examinations[],6,FALSE)</f>
        <v>Yes</v>
      </c>
      <c r="H1621">
        <f>VLOOKUP(A1621,Medical_Examinations[],7,FALSE)</f>
        <v>1</v>
      </c>
      <c r="I1621" t="str">
        <f>VLOOKUP(A1621,Medical_Examinations[],8,FALSE)</f>
        <v>No</v>
      </c>
      <c r="J1621" t="str">
        <f>VLOOKUP(A1621,Medical_Examinations[],9,FALSE)</f>
        <v>Underweight</v>
      </c>
      <c r="K1621" t="str">
        <f>VLOOKUP(A1621,Medical_Examinations[],10,FALSE)</f>
        <v>Normal</v>
      </c>
      <c r="M1621">
        <f>VLOOKUP(A1621,Hospitalisation_Details__2[],4,FALSE)</f>
        <v>6138.5</v>
      </c>
      <c r="N1621" t="str">
        <f>VLOOKUP(A1621,Hospitalisation_Details__2[],5,FALSE)</f>
        <v>tier - 2</v>
      </c>
      <c r="O1621" t="str">
        <f>VLOOKUP(A1621,Hospitalisation_Details__2[],6,FALSE)</f>
        <v>tier - 2</v>
      </c>
      <c r="P1621" t="str">
        <f>VLOOKUP(A1621,Hospitalisation_Details__2[],7,FALSE)</f>
        <v>R1011</v>
      </c>
    </row>
    <row r="1622" spans="1:16" x14ac:dyDescent="0.35">
      <c r="A1622" t="str">
        <v>Id1621</v>
      </c>
      <c r="B1622" t="str">
        <f>VLOOKUP(A1622,'Customer Names (2)'!A:B, 2,FALSE)</f>
        <v>Ms</v>
      </c>
      <c r="C1622">
        <f>VLOOKUP(A1622,Medical_Examinations[],2,FALSE)</f>
        <v>33.155000000000001</v>
      </c>
      <c r="D1622">
        <f>VLOOKUP(A1622,Medical_Examinations[],3,FALSE)</f>
        <v>4.32</v>
      </c>
      <c r="E1622" t="str">
        <f>VLOOKUP(A1622,Medical_Examinations[],4,FALSE)</f>
        <v>No</v>
      </c>
      <c r="F1622" t="str">
        <f>VLOOKUP(A1622,Medical_Examinations[],5,FALSE)</f>
        <v>No</v>
      </c>
      <c r="G1622" t="str">
        <f>VLOOKUP(A1622,Medical_Examinations[],6,FALSE)</f>
        <v>No</v>
      </c>
      <c r="H1622">
        <f>VLOOKUP(A1622,Medical_Examinations[],7,FALSE)</f>
        <v>0</v>
      </c>
      <c r="I1622" t="str">
        <f>VLOOKUP(A1622,Medical_Examinations[],8,FALSE)</f>
        <v>No</v>
      </c>
      <c r="J1622" t="str">
        <f>VLOOKUP(A1622,Medical_Examinations[],9,FALSE)</f>
        <v>Obesity</v>
      </c>
      <c r="K1622" t="str">
        <f>VLOOKUP(A1622,Medical_Examinations[],10,FALSE)</f>
        <v>Normal</v>
      </c>
      <c r="M1622">
        <f>VLOOKUP(A1622,Hospitalisation_Details__2[],4,FALSE)</f>
        <v>6128.8</v>
      </c>
      <c r="N1622" t="str">
        <f>VLOOKUP(A1622,Hospitalisation_Details__2[],5,FALSE)</f>
        <v>tier - 2</v>
      </c>
      <c r="O1622" t="str">
        <f>VLOOKUP(A1622,Hospitalisation_Details__2[],6,FALSE)</f>
        <v>tier - 3</v>
      </c>
      <c r="P1622" t="str">
        <f>VLOOKUP(A1622,Hospitalisation_Details__2[],7,FALSE)</f>
        <v>R1012</v>
      </c>
    </row>
    <row r="1623" spans="1:16" x14ac:dyDescent="0.35">
      <c r="A1623" t="str">
        <v>Id1622</v>
      </c>
      <c r="B1623" t="str">
        <f>VLOOKUP(A1623,'Customer Names (2)'!A:B, 2,FALSE)</f>
        <v>Mr</v>
      </c>
      <c r="C1623">
        <f>VLOOKUP(A1623,Medical_Examinations[],2,FALSE)</f>
        <v>26.22</v>
      </c>
      <c r="D1623">
        <f>VLOOKUP(A1623,Medical_Examinations[],3,FALSE)</f>
        <v>5.57</v>
      </c>
      <c r="E1623" t="str">
        <f>VLOOKUP(A1623,Medical_Examinations[],4,FALSE)</f>
        <v>Yes</v>
      </c>
      <c r="F1623" t="str">
        <f>VLOOKUP(A1623,Medical_Examinations[],5,FALSE)</f>
        <v>No</v>
      </c>
      <c r="G1623" t="str">
        <f>VLOOKUP(A1623,Medical_Examinations[],6,FALSE)</f>
        <v>Yes</v>
      </c>
      <c r="H1623">
        <f>VLOOKUP(A1623,Medical_Examinations[],7,FALSE)</f>
        <v>1</v>
      </c>
      <c r="I1623" t="str">
        <f>VLOOKUP(A1623,Medical_Examinations[],8,FALSE)</f>
        <v>No</v>
      </c>
      <c r="J1623" t="str">
        <f>VLOOKUP(A1623,Medical_Examinations[],9,FALSE)</f>
        <v>Overweight</v>
      </c>
      <c r="K1623" t="str">
        <f>VLOOKUP(A1623,Medical_Examinations[],10,FALSE)</f>
        <v>Normal</v>
      </c>
      <c r="M1623">
        <f>VLOOKUP(A1623,Hospitalisation_Details__2[],4,FALSE)</f>
        <v>6123.57</v>
      </c>
      <c r="N1623" t="str">
        <f>VLOOKUP(A1623,Hospitalisation_Details__2[],5,FALSE)</f>
        <v>tier - 3</v>
      </c>
      <c r="O1623" t="str">
        <f>VLOOKUP(A1623,Hospitalisation_Details__2[],6,FALSE)</f>
        <v>tier - 2</v>
      </c>
      <c r="P1623" t="str">
        <f>VLOOKUP(A1623,Hospitalisation_Details__2[],7,FALSE)</f>
        <v>R1012</v>
      </c>
    </row>
    <row r="1624" spans="1:16" x14ac:dyDescent="0.35">
      <c r="A1624" t="str">
        <v>Id1623</v>
      </c>
      <c r="B1624" t="str">
        <f>VLOOKUP(A1624,'Customer Names (2)'!A:B, 2,FALSE)</f>
        <v>Mr</v>
      </c>
      <c r="C1624">
        <f>VLOOKUP(A1624,Medical_Examinations[],2,FALSE)</f>
        <v>21.85</v>
      </c>
      <c r="D1624">
        <f>VLOOKUP(A1624,Medical_Examinations[],3,FALSE)</f>
        <v>5.26</v>
      </c>
      <c r="E1624" t="str">
        <f>VLOOKUP(A1624,Medical_Examinations[],4,FALSE)</f>
        <v>Yes</v>
      </c>
      <c r="F1624" t="str">
        <f>VLOOKUP(A1624,Medical_Examinations[],5,FALSE)</f>
        <v>No</v>
      </c>
      <c r="G1624" t="str">
        <f>VLOOKUP(A1624,Medical_Examinations[],6,FALSE)</f>
        <v>Yes</v>
      </c>
      <c r="H1624">
        <f>VLOOKUP(A1624,Medical_Examinations[],7,FALSE)</f>
        <v>1</v>
      </c>
      <c r="I1624" t="str">
        <f>VLOOKUP(A1624,Medical_Examinations[],8,FALSE)</f>
        <v>No</v>
      </c>
      <c r="J1624" t="str">
        <f>VLOOKUP(A1624,Medical_Examinations[],9,FALSE)</f>
        <v>Normal Weight</v>
      </c>
      <c r="K1624" t="str">
        <f>VLOOKUP(A1624,Medical_Examinations[],10,FALSE)</f>
        <v>Normal</v>
      </c>
      <c r="M1624">
        <f>VLOOKUP(A1624,Hospitalisation_Details__2[],4,FALSE)</f>
        <v>6117.49</v>
      </c>
      <c r="N1624" t="str">
        <f>VLOOKUP(A1624,Hospitalisation_Details__2[],5,FALSE)</f>
        <v>tier - 2</v>
      </c>
      <c r="O1624" t="str">
        <f>VLOOKUP(A1624,Hospitalisation_Details__2[],6,FALSE)</f>
        <v>tier - 3</v>
      </c>
      <c r="P1624" t="str">
        <f>VLOOKUP(A1624,Hospitalisation_Details__2[],7,FALSE)</f>
        <v>R1012</v>
      </c>
    </row>
    <row r="1625" spans="1:16" x14ac:dyDescent="0.35">
      <c r="A1625" t="str">
        <v>Id1624</v>
      </c>
      <c r="B1625" t="str">
        <f>VLOOKUP(A1625,'Customer Names (2)'!A:B, 2,FALSE)</f>
        <v>Ms</v>
      </c>
      <c r="C1625">
        <f>VLOOKUP(A1625,Medical_Examinations[],2,FALSE)</f>
        <v>30.495000000000001</v>
      </c>
      <c r="D1625">
        <f>VLOOKUP(A1625,Medical_Examinations[],3,FALSE)</f>
        <v>6.25</v>
      </c>
      <c r="E1625" t="str">
        <f>VLOOKUP(A1625,Medical_Examinations[],4,FALSE)</f>
        <v>No</v>
      </c>
      <c r="F1625" t="str">
        <f>VLOOKUP(A1625,Medical_Examinations[],5,FALSE)</f>
        <v>No</v>
      </c>
      <c r="G1625" t="str">
        <f>VLOOKUP(A1625,Medical_Examinations[],6,FALSE)</f>
        <v>No</v>
      </c>
      <c r="H1625">
        <f>VLOOKUP(A1625,Medical_Examinations[],7,FALSE)</f>
        <v>0</v>
      </c>
      <c r="I1625" t="str">
        <f>VLOOKUP(A1625,Medical_Examinations[],8,FALSE)</f>
        <v>No</v>
      </c>
      <c r="J1625" t="str">
        <f>VLOOKUP(A1625,Medical_Examinations[],9,FALSE)</f>
        <v>Obesity</v>
      </c>
      <c r="K1625" t="str">
        <f>VLOOKUP(A1625,Medical_Examinations[],10,FALSE)</f>
        <v>Prediabetes</v>
      </c>
      <c r="M1625">
        <f>VLOOKUP(A1625,Hospitalisation_Details__2[],4,FALSE)</f>
        <v>6113.23</v>
      </c>
      <c r="N1625" t="str">
        <f>VLOOKUP(A1625,Hospitalisation_Details__2[],5,FALSE)</f>
        <v>tier - 2</v>
      </c>
      <c r="O1625" t="str">
        <f>VLOOKUP(A1625,Hospitalisation_Details__2[],6,FALSE)</f>
        <v>tier - 2</v>
      </c>
      <c r="P1625" t="str">
        <f>VLOOKUP(A1625,Hospitalisation_Details__2[],7,FALSE)</f>
        <v>R1024</v>
      </c>
    </row>
    <row r="1626" spans="1:16" x14ac:dyDescent="0.35">
      <c r="A1626" t="str">
        <v>Id1625</v>
      </c>
      <c r="B1626" t="str">
        <f>VLOOKUP(A1626,'Customer Names (2)'!A:B, 2,FALSE)</f>
        <v>Ms</v>
      </c>
      <c r="C1626">
        <f>VLOOKUP(A1626,Medical_Examinations[],2,FALSE)</f>
        <v>34.104999999999997</v>
      </c>
      <c r="D1626">
        <f>VLOOKUP(A1626,Medical_Examinations[],3,FALSE)</f>
        <v>5.67</v>
      </c>
      <c r="E1626" t="str">
        <f>VLOOKUP(A1626,Medical_Examinations[],4,FALSE)</f>
        <v>Yes</v>
      </c>
      <c r="F1626" t="str">
        <f>VLOOKUP(A1626,Medical_Examinations[],5,FALSE)</f>
        <v>No</v>
      </c>
      <c r="G1626" t="str">
        <f>VLOOKUP(A1626,Medical_Examinations[],6,FALSE)</f>
        <v>No</v>
      </c>
      <c r="H1626">
        <f>VLOOKUP(A1626,Medical_Examinations[],7,FALSE)</f>
        <v>0</v>
      </c>
      <c r="I1626" t="str">
        <f>VLOOKUP(A1626,Medical_Examinations[],8,FALSE)</f>
        <v>No</v>
      </c>
      <c r="J1626" t="str">
        <f>VLOOKUP(A1626,Medical_Examinations[],9,FALSE)</f>
        <v>Obesity</v>
      </c>
      <c r="K1626" t="str">
        <f>VLOOKUP(A1626,Medical_Examinations[],10,FALSE)</f>
        <v>Normal</v>
      </c>
      <c r="M1626">
        <f>VLOOKUP(A1626,Hospitalisation_Details__2[],4,FALSE)</f>
        <v>6112.35</v>
      </c>
      <c r="N1626" t="str">
        <f>VLOOKUP(A1626,Hospitalisation_Details__2[],5,FALSE)</f>
        <v>tier - 2</v>
      </c>
      <c r="O1626" t="str">
        <f>VLOOKUP(A1626,Hospitalisation_Details__2[],6,FALSE)</f>
        <v>tier - 1</v>
      </c>
      <c r="P1626" t="str">
        <f>VLOOKUP(A1626,Hospitalisation_Details__2[],7,FALSE)</f>
        <v>R1012</v>
      </c>
    </row>
    <row r="1627" spans="1:16" x14ac:dyDescent="0.35">
      <c r="A1627" t="str">
        <v>Id1626</v>
      </c>
      <c r="B1627" t="str">
        <f>VLOOKUP(A1627,'Customer Names (2)'!A:B, 2,FALSE)</f>
        <v>Mrs</v>
      </c>
      <c r="C1627">
        <f>VLOOKUP(A1627,Medical_Examinations[],2,FALSE)</f>
        <v>32.770000000000003</v>
      </c>
      <c r="D1627">
        <f>VLOOKUP(A1627,Medical_Examinations[],3,FALSE)</f>
        <v>4.42</v>
      </c>
      <c r="E1627" t="str">
        <f>VLOOKUP(A1627,Medical_Examinations[],4,FALSE)</f>
        <v>Yes</v>
      </c>
      <c r="F1627" t="str">
        <f>VLOOKUP(A1627,Medical_Examinations[],5,FALSE)</f>
        <v>No</v>
      </c>
      <c r="G1627" t="str">
        <f>VLOOKUP(A1627,Medical_Examinations[],6,FALSE)</f>
        <v>No</v>
      </c>
      <c r="H1627">
        <f>VLOOKUP(A1627,Medical_Examinations[],7,FALSE)</f>
        <v>1</v>
      </c>
      <c r="I1627" t="str">
        <f>VLOOKUP(A1627,Medical_Examinations[],8,FALSE)</f>
        <v>No</v>
      </c>
      <c r="J1627" t="str">
        <f>VLOOKUP(A1627,Medical_Examinations[],9,FALSE)</f>
        <v>Obesity</v>
      </c>
      <c r="K1627" t="str">
        <f>VLOOKUP(A1627,Medical_Examinations[],10,FALSE)</f>
        <v>Normal</v>
      </c>
      <c r="M1627">
        <f>VLOOKUP(A1627,Hospitalisation_Details__2[],4,FALSE)</f>
        <v>6111.95</v>
      </c>
      <c r="N1627" t="str">
        <f>VLOOKUP(A1627,Hospitalisation_Details__2[],5,FALSE)</f>
        <v>tier - 2</v>
      </c>
      <c r="O1627" t="str">
        <f>VLOOKUP(A1627,Hospitalisation_Details__2[],6,FALSE)</f>
        <v>tier - 3</v>
      </c>
      <c r="P1627" t="str">
        <f>VLOOKUP(A1627,Hospitalisation_Details__2[],7,FALSE)</f>
        <v>R1026</v>
      </c>
    </row>
    <row r="1628" spans="1:16" x14ac:dyDescent="0.35">
      <c r="A1628" t="str">
        <v>Id1627</v>
      </c>
      <c r="B1628" t="str">
        <f>VLOOKUP(A1628,'Customer Names (2)'!A:B, 2,FALSE)</f>
        <v>Ms</v>
      </c>
      <c r="C1628">
        <f>VLOOKUP(A1628,Medical_Examinations[],2,FALSE)</f>
        <v>16.850000000000001</v>
      </c>
      <c r="D1628">
        <f>VLOOKUP(A1628,Medical_Examinations[],3,FALSE)</f>
        <v>11.75</v>
      </c>
      <c r="E1628" t="str">
        <f>VLOOKUP(A1628,Medical_Examinations[],4,FALSE)</f>
        <v>Yes</v>
      </c>
      <c r="F1628" t="str">
        <f>VLOOKUP(A1628,Medical_Examinations[],5,FALSE)</f>
        <v>No</v>
      </c>
      <c r="G1628" t="str">
        <f>VLOOKUP(A1628,Medical_Examinations[],6,FALSE)</f>
        <v>No</v>
      </c>
      <c r="H1628">
        <f>VLOOKUP(A1628,Medical_Examinations[],7,FALSE)</f>
        <v>2</v>
      </c>
      <c r="I1628" t="str">
        <f>VLOOKUP(A1628,Medical_Examinations[],8,FALSE)</f>
        <v>No</v>
      </c>
      <c r="J1628" t="str">
        <f>VLOOKUP(A1628,Medical_Examinations[],9,FALSE)</f>
        <v>Underweight</v>
      </c>
      <c r="K1628" t="str">
        <f>VLOOKUP(A1628,Medical_Examinations[],10,FALSE)</f>
        <v>Diabetes</v>
      </c>
      <c r="M1628">
        <f>VLOOKUP(A1628,Hospitalisation_Details__2[],4,FALSE)</f>
        <v>6098.38</v>
      </c>
      <c r="N1628" t="str">
        <f>VLOOKUP(A1628,Hospitalisation_Details__2[],5,FALSE)</f>
        <v>tier - 2</v>
      </c>
      <c r="O1628" t="str">
        <f>VLOOKUP(A1628,Hospitalisation_Details__2[],6,FALSE)</f>
        <v>tier - 2</v>
      </c>
      <c r="P1628" t="str">
        <f>VLOOKUP(A1628,Hospitalisation_Details__2[],7,FALSE)</f>
        <v>R1013</v>
      </c>
    </row>
    <row r="1629" spans="1:16" x14ac:dyDescent="0.35">
      <c r="A1629" t="str">
        <v>Id1628</v>
      </c>
      <c r="B1629" t="str">
        <f>VLOOKUP(A1629,'Customer Names (2)'!A:B, 2,FALSE)</f>
        <v>Mr</v>
      </c>
      <c r="C1629">
        <f>VLOOKUP(A1629,Medical_Examinations[],2,FALSE)</f>
        <v>34.700000000000003</v>
      </c>
      <c r="D1629">
        <f>VLOOKUP(A1629,Medical_Examinations[],3,FALSE)</f>
        <v>6.06</v>
      </c>
      <c r="E1629" t="str">
        <f>VLOOKUP(A1629,Medical_Examinations[],4,FALSE)</f>
        <v>No</v>
      </c>
      <c r="F1629" t="str">
        <f>VLOOKUP(A1629,Medical_Examinations[],5,FALSE)</f>
        <v>No</v>
      </c>
      <c r="G1629" t="str">
        <f>VLOOKUP(A1629,Medical_Examinations[],6,FALSE)</f>
        <v>No</v>
      </c>
      <c r="H1629">
        <f>VLOOKUP(A1629,Medical_Examinations[],7,FALSE)</f>
        <v>1</v>
      </c>
      <c r="I1629" t="str">
        <f>VLOOKUP(A1629,Medical_Examinations[],8,FALSE)</f>
        <v>No</v>
      </c>
      <c r="J1629" t="str">
        <f>VLOOKUP(A1629,Medical_Examinations[],9,FALSE)</f>
        <v>Obesity</v>
      </c>
      <c r="K1629" t="str">
        <f>VLOOKUP(A1629,Medical_Examinations[],10,FALSE)</f>
        <v>Prediabetes</v>
      </c>
      <c r="M1629">
        <f>VLOOKUP(A1629,Hospitalisation_Details__2[],4,FALSE)</f>
        <v>6082.41</v>
      </c>
      <c r="N1629" t="str">
        <f>VLOOKUP(A1629,Hospitalisation_Details__2[],5,FALSE)</f>
        <v>tier - 1</v>
      </c>
      <c r="O1629" t="str">
        <f>VLOOKUP(A1629,Hospitalisation_Details__2[],6,FALSE)</f>
        <v>tier - 2</v>
      </c>
      <c r="P1629" t="str">
        <f>VLOOKUP(A1629,Hospitalisation_Details__2[],7,FALSE)</f>
        <v>R1011</v>
      </c>
    </row>
    <row r="1630" spans="1:16" x14ac:dyDescent="0.35">
      <c r="A1630" t="str">
        <v>Id1629</v>
      </c>
      <c r="B1630" t="str">
        <f>VLOOKUP(A1630,'Customer Names (2)'!A:B, 2,FALSE)</f>
        <v>Mr</v>
      </c>
      <c r="C1630">
        <f>VLOOKUP(A1630,Medical_Examinations[],2,FALSE)</f>
        <v>37.049999999999997</v>
      </c>
      <c r="D1630">
        <f>VLOOKUP(A1630,Medical_Examinations[],3,FALSE)</f>
        <v>5.48</v>
      </c>
      <c r="E1630" t="str">
        <f>VLOOKUP(A1630,Medical_Examinations[],4,FALSE)</f>
        <v>No</v>
      </c>
      <c r="F1630" t="str">
        <f>VLOOKUP(A1630,Medical_Examinations[],5,FALSE)</f>
        <v>No</v>
      </c>
      <c r="G1630" t="str">
        <f>VLOOKUP(A1630,Medical_Examinations[],6,FALSE)</f>
        <v>No</v>
      </c>
      <c r="H1630">
        <f>VLOOKUP(A1630,Medical_Examinations[],7,FALSE)</f>
        <v>1</v>
      </c>
      <c r="I1630" t="str">
        <f>VLOOKUP(A1630,Medical_Examinations[],8,FALSE)</f>
        <v>No</v>
      </c>
      <c r="J1630" t="str">
        <f>VLOOKUP(A1630,Medical_Examinations[],9,FALSE)</f>
        <v>Obesity</v>
      </c>
      <c r="K1630" t="str">
        <f>VLOOKUP(A1630,Medical_Examinations[],10,FALSE)</f>
        <v>Normal</v>
      </c>
      <c r="M1630">
        <f>VLOOKUP(A1630,Hospitalisation_Details__2[],4,FALSE)</f>
        <v>6079.67</v>
      </c>
      <c r="N1630" t="str">
        <f>VLOOKUP(A1630,Hospitalisation_Details__2[],5,FALSE)</f>
        <v>tier - 1</v>
      </c>
      <c r="O1630" t="str">
        <f>VLOOKUP(A1630,Hospitalisation_Details__2[],6,FALSE)</f>
        <v>tier - 1</v>
      </c>
      <c r="P1630" t="str">
        <f>VLOOKUP(A1630,Hospitalisation_Details__2[],7,FALSE)</f>
        <v>R1014</v>
      </c>
    </row>
    <row r="1631" spans="1:16" x14ac:dyDescent="0.35">
      <c r="A1631" t="str">
        <v>Id1630</v>
      </c>
      <c r="B1631" t="str">
        <f>VLOOKUP(A1631,'Customer Names (2)'!A:B, 2,FALSE)</f>
        <v>Ms</v>
      </c>
      <c r="C1631">
        <f>VLOOKUP(A1631,Medical_Examinations[],2,FALSE)</f>
        <v>18.78</v>
      </c>
      <c r="D1631">
        <f>VLOOKUP(A1631,Medical_Examinations[],3,FALSE)</f>
        <v>4.45</v>
      </c>
      <c r="E1631" t="str">
        <f>VLOOKUP(A1631,Medical_Examinations[],4,FALSE)</f>
        <v>No</v>
      </c>
      <c r="F1631" t="str">
        <f>VLOOKUP(A1631,Medical_Examinations[],5,FALSE)</f>
        <v>No</v>
      </c>
      <c r="G1631" t="str">
        <f>VLOOKUP(A1631,Medical_Examinations[],6,FALSE)</f>
        <v>Yes</v>
      </c>
      <c r="H1631">
        <f>VLOOKUP(A1631,Medical_Examinations[],7,FALSE)</f>
        <v>1</v>
      </c>
      <c r="I1631" t="str">
        <f>VLOOKUP(A1631,Medical_Examinations[],8,FALSE)</f>
        <v>No</v>
      </c>
      <c r="J1631" t="str">
        <f>VLOOKUP(A1631,Medical_Examinations[],9,FALSE)</f>
        <v>Normal Weight</v>
      </c>
      <c r="K1631" t="str">
        <f>VLOOKUP(A1631,Medical_Examinations[],10,FALSE)</f>
        <v>Normal</v>
      </c>
      <c r="M1631">
        <f>VLOOKUP(A1631,Hospitalisation_Details__2[],4,FALSE)</f>
        <v>6074.37</v>
      </c>
      <c r="N1631" t="str">
        <f>VLOOKUP(A1631,Hospitalisation_Details__2[],5,FALSE)</f>
        <v>tier - 2</v>
      </c>
      <c r="O1631" t="str">
        <f>VLOOKUP(A1631,Hospitalisation_Details__2[],6,FALSE)</f>
        <v>tier - 2</v>
      </c>
      <c r="P1631" t="str">
        <f>VLOOKUP(A1631,Hospitalisation_Details__2[],7,FALSE)</f>
        <v>R1012</v>
      </c>
    </row>
    <row r="1632" spans="1:16" x14ac:dyDescent="0.35">
      <c r="A1632" t="str">
        <v>Id1631</v>
      </c>
      <c r="B1632" t="str">
        <f>VLOOKUP(A1632,'Customer Names (2)'!A:B, 2,FALSE)</f>
        <v>Mr</v>
      </c>
      <c r="C1632">
        <f>VLOOKUP(A1632,Medical_Examinations[],2,FALSE)</f>
        <v>28.024999999999999</v>
      </c>
      <c r="D1632">
        <f>VLOOKUP(A1632,Medical_Examinations[],3,FALSE)</f>
        <v>5</v>
      </c>
      <c r="E1632" t="str">
        <f>VLOOKUP(A1632,Medical_Examinations[],4,FALSE)</f>
        <v>No</v>
      </c>
      <c r="F1632" t="str">
        <f>VLOOKUP(A1632,Medical_Examinations[],5,FALSE)</f>
        <v>No</v>
      </c>
      <c r="G1632" t="str">
        <f>VLOOKUP(A1632,Medical_Examinations[],6,FALSE)</f>
        <v>No</v>
      </c>
      <c r="H1632">
        <f>VLOOKUP(A1632,Medical_Examinations[],7,FALSE)</f>
        <v>1</v>
      </c>
      <c r="I1632" t="str">
        <f>VLOOKUP(A1632,Medical_Examinations[],8,FALSE)</f>
        <v>No</v>
      </c>
      <c r="J1632" t="str">
        <f>VLOOKUP(A1632,Medical_Examinations[],9,FALSE)</f>
        <v>Overweight</v>
      </c>
      <c r="K1632" t="str">
        <f>VLOOKUP(A1632,Medical_Examinations[],10,FALSE)</f>
        <v>Normal</v>
      </c>
      <c r="M1632">
        <f>VLOOKUP(A1632,Hospitalisation_Details__2[],4,FALSE)</f>
        <v>6067.13</v>
      </c>
      <c r="N1632" t="str">
        <f>VLOOKUP(A1632,Hospitalisation_Details__2[],5,FALSE)</f>
        <v>tier - 3</v>
      </c>
      <c r="O1632" t="str">
        <f>VLOOKUP(A1632,Hospitalisation_Details__2[],6,FALSE)</f>
        <v>tier - 1</v>
      </c>
      <c r="P1632" t="str">
        <f>VLOOKUP(A1632,Hospitalisation_Details__2[],7,FALSE)</f>
        <v>R1016</v>
      </c>
    </row>
    <row r="1633" spans="1:16" x14ac:dyDescent="0.35">
      <c r="A1633" t="str">
        <v>Id1632</v>
      </c>
      <c r="B1633" t="str">
        <f>VLOOKUP(A1633,'Customer Names (2)'!A:B, 2,FALSE)</f>
        <v>Mr</v>
      </c>
      <c r="C1633">
        <f>VLOOKUP(A1633,Medical_Examinations[],2,FALSE)</f>
        <v>35.090000000000003</v>
      </c>
      <c r="D1633">
        <f>VLOOKUP(A1633,Medical_Examinations[],3,FALSE)</f>
        <v>5.84</v>
      </c>
      <c r="E1633" t="str">
        <f>VLOOKUP(A1633,Medical_Examinations[],4,FALSE)</f>
        <v>No</v>
      </c>
      <c r="F1633" t="str">
        <f>VLOOKUP(A1633,Medical_Examinations[],5,FALSE)</f>
        <v>No</v>
      </c>
      <c r="G1633" t="str">
        <f>VLOOKUP(A1633,Medical_Examinations[],6,FALSE)</f>
        <v>No</v>
      </c>
      <c r="H1633">
        <f>VLOOKUP(A1633,Medical_Examinations[],7,FALSE)</f>
        <v>0</v>
      </c>
      <c r="I1633" t="str">
        <f>VLOOKUP(A1633,Medical_Examinations[],8,FALSE)</f>
        <v>No</v>
      </c>
      <c r="J1633" t="str">
        <f>VLOOKUP(A1633,Medical_Examinations[],9,FALSE)</f>
        <v>Obesity</v>
      </c>
      <c r="K1633" t="str">
        <f>VLOOKUP(A1633,Medical_Examinations[],10,FALSE)</f>
        <v>Prediabetes</v>
      </c>
      <c r="M1633">
        <f>VLOOKUP(A1633,Hospitalisation_Details__2[],4,FALSE)</f>
        <v>6064.37</v>
      </c>
      <c r="N1633" t="str">
        <f>VLOOKUP(A1633,Hospitalisation_Details__2[],5,FALSE)</f>
        <v>tier - 2</v>
      </c>
      <c r="O1633" t="str">
        <f>VLOOKUP(A1633,Hospitalisation_Details__2[],6,FALSE)</f>
        <v>tier - 2</v>
      </c>
      <c r="P1633" t="str">
        <f>VLOOKUP(A1633,Hospitalisation_Details__2[],7,FALSE)</f>
        <v>R1011</v>
      </c>
    </row>
    <row r="1634" spans="1:16" x14ac:dyDescent="0.35">
      <c r="A1634" t="str">
        <v>Id1633</v>
      </c>
      <c r="B1634" t="str">
        <f>VLOOKUP(A1634,'Customer Names (2)'!A:B, 2,FALSE)</f>
        <v>Ms</v>
      </c>
      <c r="C1634">
        <f>VLOOKUP(A1634,Medical_Examinations[],2,FALSE)</f>
        <v>34.42</v>
      </c>
      <c r="D1634">
        <f>VLOOKUP(A1634,Medical_Examinations[],3,FALSE)</f>
        <v>5.21</v>
      </c>
      <c r="E1634" t="str">
        <f>VLOOKUP(A1634,Medical_Examinations[],4,FALSE)</f>
        <v>Yes</v>
      </c>
      <c r="F1634" t="str">
        <f>VLOOKUP(A1634,Medical_Examinations[],5,FALSE)</f>
        <v>No</v>
      </c>
      <c r="G1634" t="str">
        <f>VLOOKUP(A1634,Medical_Examinations[],6,FALSE)</f>
        <v>No</v>
      </c>
      <c r="H1634">
        <f>VLOOKUP(A1634,Medical_Examinations[],7,FALSE)</f>
        <v>0</v>
      </c>
      <c r="I1634" t="str">
        <f>VLOOKUP(A1634,Medical_Examinations[],8,FALSE)</f>
        <v>No</v>
      </c>
      <c r="J1634" t="str">
        <f>VLOOKUP(A1634,Medical_Examinations[],9,FALSE)</f>
        <v>Obesity</v>
      </c>
      <c r="K1634" t="str">
        <f>VLOOKUP(A1634,Medical_Examinations[],10,FALSE)</f>
        <v>Normal</v>
      </c>
      <c r="M1634">
        <f>VLOOKUP(A1634,Hospitalisation_Details__2[],4,FALSE)</f>
        <v>6061.8</v>
      </c>
      <c r="N1634" t="str">
        <f>VLOOKUP(A1634,Hospitalisation_Details__2[],5,FALSE)</f>
        <v>tier - 2</v>
      </c>
      <c r="O1634" t="str">
        <f>VLOOKUP(A1634,Hospitalisation_Details__2[],6,FALSE)</f>
        <v>tier - 3</v>
      </c>
      <c r="P1634" t="str">
        <f>VLOOKUP(A1634,Hospitalisation_Details__2[],7,FALSE)</f>
        <v>R1012</v>
      </c>
    </row>
    <row r="1635" spans="1:16" x14ac:dyDescent="0.35">
      <c r="A1635" t="str">
        <v>Id1634</v>
      </c>
      <c r="B1635" t="str">
        <f>VLOOKUP(A1635,'Customer Names (2)'!A:B, 2,FALSE)</f>
        <v>Mr</v>
      </c>
      <c r="C1635">
        <f>VLOOKUP(A1635,Medical_Examinations[],2,FALSE)</f>
        <v>29.4</v>
      </c>
      <c r="D1635">
        <f>VLOOKUP(A1635,Medical_Examinations[],3,FALSE)</f>
        <v>4.26</v>
      </c>
      <c r="E1635" t="str">
        <f>VLOOKUP(A1635,Medical_Examinations[],4,FALSE)</f>
        <v>No</v>
      </c>
      <c r="F1635" t="str">
        <f>VLOOKUP(A1635,Medical_Examinations[],5,FALSE)</f>
        <v>No</v>
      </c>
      <c r="G1635" t="str">
        <f>VLOOKUP(A1635,Medical_Examinations[],6,FALSE)</f>
        <v>No</v>
      </c>
      <c r="H1635">
        <f>VLOOKUP(A1635,Medical_Examinations[],7,FALSE)</f>
        <v>0</v>
      </c>
      <c r="I1635" t="str">
        <f>VLOOKUP(A1635,Medical_Examinations[],8,FALSE)</f>
        <v>No</v>
      </c>
      <c r="J1635" t="str">
        <f>VLOOKUP(A1635,Medical_Examinations[],9,FALSE)</f>
        <v>Overweight</v>
      </c>
      <c r="K1635" t="str">
        <f>VLOOKUP(A1635,Medical_Examinations[],10,FALSE)</f>
        <v>Normal</v>
      </c>
      <c r="M1635">
        <f>VLOOKUP(A1635,Hospitalisation_Details__2[],4,FALSE)</f>
        <v>6059.17</v>
      </c>
      <c r="N1635" t="str">
        <f>VLOOKUP(A1635,Hospitalisation_Details__2[],5,FALSE)</f>
        <v>tier - 2</v>
      </c>
      <c r="O1635" t="str">
        <f>VLOOKUP(A1635,Hospitalisation_Details__2[],6,FALSE)</f>
        <v>tier - 1</v>
      </c>
      <c r="P1635" t="str">
        <f>VLOOKUP(A1635,Hospitalisation_Details__2[],7,FALSE)</f>
        <v>R1011</v>
      </c>
    </row>
    <row r="1636" spans="1:16" x14ac:dyDescent="0.35">
      <c r="A1636" t="str">
        <v>Id1635</v>
      </c>
      <c r="B1636" t="str">
        <f>VLOOKUP(A1636,'Customer Names (2)'!A:B, 2,FALSE)</f>
        <v>Ms</v>
      </c>
      <c r="C1636">
        <f>VLOOKUP(A1636,Medical_Examinations[],2,FALSE)</f>
        <v>21.31</v>
      </c>
      <c r="D1636">
        <f>VLOOKUP(A1636,Medical_Examinations[],3,FALSE)</f>
        <v>4.17</v>
      </c>
      <c r="E1636" t="str">
        <f>VLOOKUP(A1636,Medical_Examinations[],4,FALSE)</f>
        <v>No</v>
      </c>
      <c r="F1636" t="str">
        <f>VLOOKUP(A1636,Medical_Examinations[],5,FALSE)</f>
        <v>No</v>
      </c>
      <c r="G1636" t="str">
        <f>VLOOKUP(A1636,Medical_Examinations[],6,FALSE)</f>
        <v>No</v>
      </c>
      <c r="H1636">
        <f>VLOOKUP(A1636,Medical_Examinations[],7,FALSE)</f>
        <v>0</v>
      </c>
      <c r="I1636" t="str">
        <f>VLOOKUP(A1636,Medical_Examinations[],8,FALSE)</f>
        <v>No</v>
      </c>
      <c r="J1636" t="str">
        <f>VLOOKUP(A1636,Medical_Examinations[],9,FALSE)</f>
        <v>Normal Weight</v>
      </c>
      <c r="K1636" t="str">
        <f>VLOOKUP(A1636,Medical_Examinations[],10,FALSE)</f>
        <v>Normal</v>
      </c>
      <c r="M1636">
        <f>VLOOKUP(A1636,Hospitalisation_Details__2[],4,FALSE)</f>
        <v>5993.62</v>
      </c>
      <c r="N1636" t="str">
        <f>VLOOKUP(A1636,Hospitalisation_Details__2[],5,FALSE)</f>
        <v>tier - 2</v>
      </c>
      <c r="O1636" t="str">
        <f>VLOOKUP(A1636,Hospitalisation_Details__2[],6,FALSE)</f>
        <v>tier - 3</v>
      </c>
      <c r="P1636" t="str">
        <f>VLOOKUP(A1636,Hospitalisation_Details__2[],7,FALSE)</f>
        <v>R1013</v>
      </c>
    </row>
    <row r="1637" spans="1:16" x14ac:dyDescent="0.35">
      <c r="A1637" t="str">
        <v>Id1636</v>
      </c>
      <c r="B1637" t="str">
        <f>VLOOKUP(A1637,'Customer Names (2)'!A:B, 2,FALSE)</f>
        <v>Ms</v>
      </c>
      <c r="C1637">
        <f>VLOOKUP(A1637,Medical_Examinations[],2,FALSE)</f>
        <v>19.559999999999999</v>
      </c>
      <c r="D1637">
        <f>VLOOKUP(A1637,Medical_Examinations[],3,FALSE)</f>
        <v>11.96</v>
      </c>
      <c r="E1637" t="str">
        <f>VLOOKUP(A1637,Medical_Examinations[],4,FALSE)</f>
        <v>No</v>
      </c>
      <c r="F1637" t="str">
        <f>VLOOKUP(A1637,Medical_Examinations[],5,FALSE)</f>
        <v>No</v>
      </c>
      <c r="G1637" t="str">
        <f>VLOOKUP(A1637,Medical_Examinations[],6,FALSE)</f>
        <v>No</v>
      </c>
      <c r="H1637">
        <f>VLOOKUP(A1637,Medical_Examinations[],7,FALSE)</f>
        <v>0</v>
      </c>
      <c r="I1637" t="str">
        <f>VLOOKUP(A1637,Medical_Examinations[],8,FALSE)</f>
        <v>No</v>
      </c>
      <c r="J1637" t="str">
        <f>VLOOKUP(A1637,Medical_Examinations[],9,FALSE)</f>
        <v>Normal Weight</v>
      </c>
      <c r="K1637" t="str">
        <f>VLOOKUP(A1637,Medical_Examinations[],10,FALSE)</f>
        <v>Diabetes</v>
      </c>
      <c r="M1637">
        <f>VLOOKUP(A1637,Hospitalisation_Details__2[],4,FALSE)</f>
        <v>5990.17</v>
      </c>
      <c r="N1637" t="str">
        <f>VLOOKUP(A1637,Hospitalisation_Details__2[],5,FALSE)</f>
        <v>tier - 2</v>
      </c>
      <c r="O1637" t="str">
        <f>VLOOKUP(A1637,Hospitalisation_Details__2[],6,FALSE)</f>
        <v>tier - 2</v>
      </c>
      <c r="P1637" t="str">
        <f>VLOOKUP(A1637,Hospitalisation_Details__2[],7,FALSE)</f>
        <v>R1013</v>
      </c>
    </row>
    <row r="1638" spans="1:16" x14ac:dyDescent="0.35">
      <c r="A1638" t="str">
        <v>Id1637</v>
      </c>
      <c r="B1638" t="str">
        <f>VLOOKUP(A1638,'Customer Names (2)'!A:B, 2,FALSE)</f>
        <v>Ms</v>
      </c>
      <c r="C1638">
        <f>VLOOKUP(A1638,Medical_Examinations[],2,FALSE)</f>
        <v>37.335000000000001</v>
      </c>
      <c r="D1638">
        <f>VLOOKUP(A1638,Medical_Examinations[],3,FALSE)</f>
        <v>6.26</v>
      </c>
      <c r="E1638" t="str">
        <f>VLOOKUP(A1638,Medical_Examinations[],4,FALSE)</f>
        <v>Yes</v>
      </c>
      <c r="F1638" t="str">
        <f>VLOOKUP(A1638,Medical_Examinations[],5,FALSE)</f>
        <v>No</v>
      </c>
      <c r="G1638" t="str">
        <f>VLOOKUP(A1638,Medical_Examinations[],6,FALSE)</f>
        <v>No</v>
      </c>
      <c r="H1638">
        <f>VLOOKUP(A1638,Medical_Examinations[],7,FALSE)</f>
        <v>1</v>
      </c>
      <c r="I1638" t="str">
        <f>VLOOKUP(A1638,Medical_Examinations[],8,FALSE)</f>
        <v>No</v>
      </c>
      <c r="J1638" t="str">
        <f>VLOOKUP(A1638,Medical_Examinations[],9,FALSE)</f>
        <v>Obesity</v>
      </c>
      <c r="K1638" t="str">
        <f>VLOOKUP(A1638,Medical_Examinations[],10,FALSE)</f>
        <v>Prediabetes</v>
      </c>
      <c r="M1638">
        <f>VLOOKUP(A1638,Hospitalisation_Details__2[],4,FALSE)</f>
        <v>5989.52</v>
      </c>
      <c r="N1638" t="str">
        <f>VLOOKUP(A1638,Hospitalisation_Details__2[],5,FALSE)</f>
        <v>tier - 2</v>
      </c>
      <c r="O1638" t="str">
        <f>VLOOKUP(A1638,Hospitalisation_Details__2[],6,FALSE)</f>
        <v>tier - 1</v>
      </c>
      <c r="P1638" t="str">
        <f>VLOOKUP(A1638,Hospitalisation_Details__2[],7,FALSE)</f>
        <v>R1012</v>
      </c>
    </row>
    <row r="1639" spans="1:16" x14ac:dyDescent="0.35">
      <c r="A1639" t="str">
        <v>Id1638</v>
      </c>
      <c r="B1639" t="str">
        <f>VLOOKUP(A1639,'Customer Names (2)'!A:B, 2,FALSE)</f>
        <v>Ms</v>
      </c>
      <c r="C1639">
        <f>VLOOKUP(A1639,Medical_Examinations[],2,FALSE)</f>
        <v>19.53</v>
      </c>
      <c r="D1639">
        <f>VLOOKUP(A1639,Medical_Examinations[],3,FALSE)</f>
        <v>11.68</v>
      </c>
      <c r="E1639" t="str">
        <f>VLOOKUP(A1639,Medical_Examinations[],4,FALSE)</f>
        <v>No</v>
      </c>
      <c r="F1639" t="str">
        <f>VLOOKUP(A1639,Medical_Examinations[],5,FALSE)</f>
        <v>No</v>
      </c>
      <c r="G1639" t="str">
        <f>VLOOKUP(A1639,Medical_Examinations[],6,FALSE)</f>
        <v>No</v>
      </c>
      <c r="H1639">
        <f>VLOOKUP(A1639,Medical_Examinations[],7,FALSE)</f>
        <v>0</v>
      </c>
      <c r="I1639" t="str">
        <f>VLOOKUP(A1639,Medical_Examinations[],8,FALSE)</f>
        <v>No</v>
      </c>
      <c r="J1639" t="str">
        <f>VLOOKUP(A1639,Medical_Examinations[],9,FALSE)</f>
        <v>Normal Weight</v>
      </c>
      <c r="K1639" t="str">
        <f>VLOOKUP(A1639,Medical_Examinations[],10,FALSE)</f>
        <v>Diabetes</v>
      </c>
      <c r="M1639">
        <f>VLOOKUP(A1639,Hospitalisation_Details__2[],4,FALSE)</f>
        <v>5979.99</v>
      </c>
      <c r="N1639" t="str">
        <f>VLOOKUP(A1639,Hospitalisation_Details__2[],5,FALSE)</f>
        <v>tier - 2</v>
      </c>
      <c r="O1639" t="str">
        <f>VLOOKUP(A1639,Hospitalisation_Details__2[],6,FALSE)</f>
        <v>tier - 3</v>
      </c>
      <c r="P1639" t="str">
        <f>VLOOKUP(A1639,Hospitalisation_Details__2[],7,FALSE)</f>
        <v>R1013</v>
      </c>
    </row>
    <row r="1640" spans="1:16" x14ac:dyDescent="0.35">
      <c r="A1640" t="str">
        <v>Id1639</v>
      </c>
      <c r="B1640" t="str">
        <f>VLOOKUP(A1640,'Customer Names (2)'!A:B, 2,FALSE)</f>
        <v>Mr</v>
      </c>
      <c r="C1640">
        <f>VLOOKUP(A1640,Medical_Examinations[],2,FALSE)</f>
        <v>34.1</v>
      </c>
      <c r="D1640">
        <f>VLOOKUP(A1640,Medical_Examinations[],3,FALSE)</f>
        <v>5.16</v>
      </c>
      <c r="E1640" t="str">
        <f>VLOOKUP(A1640,Medical_Examinations[],4,FALSE)</f>
        <v>No</v>
      </c>
      <c r="F1640" t="str">
        <f>VLOOKUP(A1640,Medical_Examinations[],5,FALSE)</f>
        <v>No</v>
      </c>
      <c r="G1640" t="str">
        <f>VLOOKUP(A1640,Medical_Examinations[],6,FALSE)</f>
        <v>No</v>
      </c>
      <c r="H1640">
        <f>VLOOKUP(A1640,Medical_Examinations[],7,FALSE)</f>
        <v>0</v>
      </c>
      <c r="I1640" t="str">
        <f>VLOOKUP(A1640,Medical_Examinations[],8,FALSE)</f>
        <v>No</v>
      </c>
      <c r="J1640" t="str">
        <f>VLOOKUP(A1640,Medical_Examinations[],9,FALSE)</f>
        <v>Obesity</v>
      </c>
      <c r="K1640" t="str">
        <f>VLOOKUP(A1640,Medical_Examinations[],10,FALSE)</f>
        <v>Normal</v>
      </c>
      <c r="M1640">
        <f>VLOOKUP(A1640,Hospitalisation_Details__2[],4,FALSE)</f>
        <v>5979.73</v>
      </c>
      <c r="N1640" t="str">
        <f>VLOOKUP(A1640,Hospitalisation_Details__2[],5,FALSE)</f>
        <v>tier - 2</v>
      </c>
      <c r="O1640" t="str">
        <f>VLOOKUP(A1640,Hospitalisation_Details__2[],6,FALSE)</f>
        <v>tier - 2</v>
      </c>
      <c r="P1640" t="str">
        <f>VLOOKUP(A1640,Hospitalisation_Details__2[],7,FALSE)</f>
        <v>R1011</v>
      </c>
    </row>
    <row r="1641" spans="1:16" x14ac:dyDescent="0.35">
      <c r="A1641" t="str">
        <v>Id1640</v>
      </c>
      <c r="B1641" t="str">
        <f>VLOOKUP(A1641,'Customer Names (2)'!A:B, 2,FALSE)</f>
        <v>Ms</v>
      </c>
      <c r="C1641">
        <f>VLOOKUP(A1641,Medical_Examinations[],2,FALSE)</f>
        <v>16.5</v>
      </c>
      <c r="D1641">
        <f>VLOOKUP(A1641,Medical_Examinations[],3,FALSE)</f>
        <v>6.9</v>
      </c>
      <c r="E1641" t="str">
        <f>VLOOKUP(A1641,Medical_Examinations[],4,FALSE)</f>
        <v>Yes</v>
      </c>
      <c r="F1641" t="str">
        <f>VLOOKUP(A1641,Medical_Examinations[],5,FALSE)</f>
        <v>No</v>
      </c>
      <c r="G1641" t="str">
        <f>VLOOKUP(A1641,Medical_Examinations[],6,FALSE)</f>
        <v>No</v>
      </c>
      <c r="H1641">
        <f>VLOOKUP(A1641,Medical_Examinations[],7,FALSE)</f>
        <v>2</v>
      </c>
      <c r="I1641" t="str">
        <f>VLOOKUP(A1641,Medical_Examinations[],8,FALSE)</f>
        <v>No</v>
      </c>
      <c r="J1641" t="str">
        <f>VLOOKUP(A1641,Medical_Examinations[],9,FALSE)</f>
        <v>Underweight</v>
      </c>
      <c r="K1641" t="str">
        <f>VLOOKUP(A1641,Medical_Examinations[],10,FALSE)</f>
        <v>Diabetes</v>
      </c>
      <c r="M1641">
        <f>VLOOKUP(A1641,Hospitalisation_Details__2[],4,FALSE)</f>
        <v>5979.66</v>
      </c>
      <c r="N1641" t="str">
        <f>VLOOKUP(A1641,Hospitalisation_Details__2[],5,FALSE)</f>
        <v>tier - 2</v>
      </c>
      <c r="O1641" t="str">
        <f>VLOOKUP(A1641,Hospitalisation_Details__2[],6,FALSE)</f>
        <v>tier - 3</v>
      </c>
      <c r="P1641" t="str">
        <f>VLOOKUP(A1641,Hospitalisation_Details__2[],7,FALSE)</f>
        <v>R1013</v>
      </c>
    </row>
    <row r="1642" spans="1:16" x14ac:dyDescent="0.35">
      <c r="A1642" t="str">
        <v>Id1641</v>
      </c>
      <c r="B1642" t="str">
        <f>VLOOKUP(A1642,'Customer Names (2)'!A:B, 2,FALSE)</f>
        <v>Ms</v>
      </c>
      <c r="C1642">
        <f>VLOOKUP(A1642,Medical_Examinations[],2,FALSE)</f>
        <v>30.69</v>
      </c>
      <c r="D1642">
        <f>VLOOKUP(A1642,Medical_Examinations[],3,FALSE)</f>
        <v>4.83</v>
      </c>
      <c r="E1642" t="str">
        <f>VLOOKUP(A1642,Medical_Examinations[],4,FALSE)</f>
        <v>No</v>
      </c>
      <c r="F1642" t="str">
        <f>VLOOKUP(A1642,Medical_Examinations[],5,FALSE)</f>
        <v>No</v>
      </c>
      <c r="G1642" t="str">
        <f>VLOOKUP(A1642,Medical_Examinations[],6,FALSE)</f>
        <v>No</v>
      </c>
      <c r="H1642">
        <f>VLOOKUP(A1642,Medical_Examinations[],7,FALSE)</f>
        <v>1</v>
      </c>
      <c r="I1642" t="str">
        <f>VLOOKUP(A1642,Medical_Examinations[],8,FALSE)</f>
        <v>No</v>
      </c>
      <c r="J1642" t="str">
        <f>VLOOKUP(A1642,Medical_Examinations[],9,FALSE)</f>
        <v>Obesity</v>
      </c>
      <c r="K1642" t="str">
        <f>VLOOKUP(A1642,Medical_Examinations[],10,FALSE)</f>
        <v>Normal</v>
      </c>
      <c r="M1642">
        <f>VLOOKUP(A1642,Hospitalisation_Details__2[],4,FALSE)</f>
        <v>5976.83</v>
      </c>
      <c r="N1642" t="str">
        <f>VLOOKUP(A1642,Hospitalisation_Details__2[],5,FALSE)</f>
        <v>tier - 2</v>
      </c>
      <c r="O1642" t="str">
        <f>VLOOKUP(A1642,Hospitalisation_Details__2[],6,FALSE)</f>
        <v>tier - 2</v>
      </c>
      <c r="P1642" t="str">
        <f>VLOOKUP(A1642,Hospitalisation_Details__2[],7,FALSE)</f>
        <v>R1013</v>
      </c>
    </row>
    <row r="1643" spans="1:16" x14ac:dyDescent="0.35">
      <c r="A1643" t="str">
        <v>Id1642</v>
      </c>
      <c r="B1643" t="str">
        <f>VLOOKUP(A1643,'Customer Names (2)'!A:B, 2,FALSE)</f>
        <v>Ms</v>
      </c>
      <c r="C1643">
        <f>VLOOKUP(A1643,Medical_Examinations[],2,FALSE)</f>
        <v>28.93</v>
      </c>
      <c r="D1643">
        <f>VLOOKUP(A1643,Medical_Examinations[],3,FALSE)</f>
        <v>4.87</v>
      </c>
      <c r="E1643" t="str">
        <f>VLOOKUP(A1643,Medical_Examinations[],4,FALSE)</f>
        <v>No</v>
      </c>
      <c r="F1643" t="str">
        <f>VLOOKUP(A1643,Medical_Examinations[],5,FALSE)</f>
        <v>No</v>
      </c>
      <c r="G1643" t="str">
        <f>VLOOKUP(A1643,Medical_Examinations[],6,FALSE)</f>
        <v>No</v>
      </c>
      <c r="H1643">
        <f>VLOOKUP(A1643,Medical_Examinations[],7,FALSE)</f>
        <v>1</v>
      </c>
      <c r="I1643" t="str">
        <f>VLOOKUP(A1643,Medical_Examinations[],8,FALSE)</f>
        <v>No</v>
      </c>
      <c r="J1643" t="str">
        <f>VLOOKUP(A1643,Medical_Examinations[],9,FALSE)</f>
        <v>Overweight</v>
      </c>
      <c r="K1643" t="str">
        <f>VLOOKUP(A1643,Medical_Examinations[],10,FALSE)</f>
        <v>Normal</v>
      </c>
      <c r="M1643">
        <f>VLOOKUP(A1643,Hospitalisation_Details__2[],4,FALSE)</f>
        <v>5974.38</v>
      </c>
      <c r="N1643" t="str">
        <f>VLOOKUP(A1643,Hospitalisation_Details__2[],5,FALSE)</f>
        <v>tier - 2</v>
      </c>
      <c r="O1643" t="str">
        <f>VLOOKUP(A1643,Hospitalisation_Details__2[],6,FALSE)</f>
        <v>tier - 3</v>
      </c>
      <c r="P1643" t="str">
        <f>VLOOKUP(A1643,Hospitalisation_Details__2[],7,FALSE)</f>
        <v>R1013</v>
      </c>
    </row>
    <row r="1644" spans="1:16" x14ac:dyDescent="0.35">
      <c r="A1644" t="str">
        <v>Id1643</v>
      </c>
      <c r="B1644" t="str">
        <f>VLOOKUP(A1644,'Customer Names (2)'!A:B, 2,FALSE)</f>
        <v>Ms</v>
      </c>
      <c r="C1644">
        <f>VLOOKUP(A1644,Medical_Examinations[],2,FALSE)</f>
        <v>38.9</v>
      </c>
      <c r="D1644">
        <f>VLOOKUP(A1644,Medical_Examinations[],3,FALSE)</f>
        <v>4.28</v>
      </c>
      <c r="E1644" t="str">
        <f>VLOOKUP(A1644,Medical_Examinations[],4,FALSE)</f>
        <v>No</v>
      </c>
      <c r="F1644" t="str">
        <f>VLOOKUP(A1644,Medical_Examinations[],5,FALSE)</f>
        <v>No</v>
      </c>
      <c r="G1644" t="str">
        <f>VLOOKUP(A1644,Medical_Examinations[],6,FALSE)</f>
        <v>No</v>
      </c>
      <c r="H1644">
        <f>VLOOKUP(A1644,Medical_Examinations[],7,FALSE)</f>
        <v>0</v>
      </c>
      <c r="I1644" t="str">
        <f>VLOOKUP(A1644,Medical_Examinations[],8,FALSE)</f>
        <v>No</v>
      </c>
      <c r="J1644" t="str">
        <f>VLOOKUP(A1644,Medical_Examinations[],9,FALSE)</f>
        <v>Obesity</v>
      </c>
      <c r="K1644" t="str">
        <f>VLOOKUP(A1644,Medical_Examinations[],10,FALSE)</f>
        <v>Normal</v>
      </c>
      <c r="M1644">
        <f>VLOOKUP(A1644,Hospitalisation_Details__2[],4,FALSE)</f>
        <v>5972.38</v>
      </c>
      <c r="N1644" t="str">
        <f>VLOOKUP(A1644,Hospitalisation_Details__2[],5,FALSE)</f>
        <v>tier - 2</v>
      </c>
      <c r="O1644" t="str">
        <f>VLOOKUP(A1644,Hospitalisation_Details__2[],6,FALSE)</f>
        <v>tier - 2</v>
      </c>
      <c r="P1644" t="str">
        <f>VLOOKUP(A1644,Hospitalisation_Details__2[],7,FALSE)</f>
        <v>R1011</v>
      </c>
    </row>
    <row r="1645" spans="1:16" x14ac:dyDescent="0.35">
      <c r="A1645" t="str">
        <v>Id1644</v>
      </c>
      <c r="B1645" t="str">
        <f>VLOOKUP(A1645,'Customer Names (2)'!A:B, 2,FALSE)</f>
        <v>Mr</v>
      </c>
      <c r="C1645">
        <f>VLOOKUP(A1645,Medical_Examinations[],2,FALSE)</f>
        <v>26.9</v>
      </c>
      <c r="D1645">
        <f>VLOOKUP(A1645,Medical_Examinations[],3,FALSE)</f>
        <v>4.07</v>
      </c>
      <c r="E1645" t="str">
        <f>VLOOKUP(A1645,Medical_Examinations[],4,FALSE)</f>
        <v>No</v>
      </c>
      <c r="F1645" t="str">
        <f>VLOOKUP(A1645,Medical_Examinations[],5,FALSE)</f>
        <v>No</v>
      </c>
      <c r="G1645" t="str">
        <f>VLOOKUP(A1645,Medical_Examinations[],6,FALSE)</f>
        <v>No</v>
      </c>
      <c r="H1645">
        <f>VLOOKUP(A1645,Medical_Examinations[],7,FALSE)</f>
        <v>0</v>
      </c>
      <c r="I1645" t="str">
        <f>VLOOKUP(A1645,Medical_Examinations[],8,FALSE)</f>
        <v>No</v>
      </c>
      <c r="J1645" t="str">
        <f>VLOOKUP(A1645,Medical_Examinations[],9,FALSE)</f>
        <v>Overweight</v>
      </c>
      <c r="K1645" t="str">
        <f>VLOOKUP(A1645,Medical_Examinations[],10,FALSE)</f>
        <v>Normal</v>
      </c>
      <c r="M1645">
        <f>VLOOKUP(A1645,Hospitalisation_Details__2[],4,FALSE)</f>
        <v>5969.72</v>
      </c>
      <c r="N1645" t="str">
        <f>VLOOKUP(A1645,Hospitalisation_Details__2[],5,FALSE)</f>
        <v>tier - 3</v>
      </c>
      <c r="O1645" t="str">
        <f>VLOOKUP(A1645,Hospitalisation_Details__2[],6,FALSE)</f>
        <v>tier - 3</v>
      </c>
      <c r="P1645" t="str">
        <f>VLOOKUP(A1645,Hospitalisation_Details__2[],7,FALSE)</f>
        <v>R1011</v>
      </c>
    </row>
    <row r="1646" spans="1:16" x14ac:dyDescent="0.35">
      <c r="A1646" t="str">
        <v>Id1645</v>
      </c>
      <c r="B1646" t="str">
        <f>VLOOKUP(A1646,'Customer Names (2)'!A:B, 2,FALSE)</f>
        <v>Mr</v>
      </c>
      <c r="C1646">
        <f>VLOOKUP(A1646,Medical_Examinations[],2,FALSE)</f>
        <v>24.86</v>
      </c>
      <c r="D1646">
        <f>VLOOKUP(A1646,Medical_Examinations[],3,FALSE)</f>
        <v>6.23</v>
      </c>
      <c r="E1646" t="str">
        <f>VLOOKUP(A1646,Medical_Examinations[],4,FALSE)</f>
        <v>No</v>
      </c>
      <c r="F1646" t="str">
        <f>VLOOKUP(A1646,Medical_Examinations[],5,FALSE)</f>
        <v>No</v>
      </c>
      <c r="G1646" t="str">
        <f>VLOOKUP(A1646,Medical_Examinations[],6,FALSE)</f>
        <v>No</v>
      </c>
      <c r="H1646">
        <f>VLOOKUP(A1646,Medical_Examinations[],7,FALSE)</f>
        <v>0</v>
      </c>
      <c r="I1646" t="str">
        <f>VLOOKUP(A1646,Medical_Examinations[],8,FALSE)</f>
        <v>No</v>
      </c>
      <c r="J1646" t="str">
        <f>VLOOKUP(A1646,Medical_Examinations[],9,FALSE)</f>
        <v>Normal Weight</v>
      </c>
      <c r="K1646" t="str">
        <f>VLOOKUP(A1646,Medical_Examinations[],10,FALSE)</f>
        <v>Prediabetes</v>
      </c>
      <c r="M1646">
        <f>VLOOKUP(A1646,Hospitalisation_Details__2[],4,FALSE)</f>
        <v>5966.89</v>
      </c>
      <c r="N1646" t="str">
        <f>VLOOKUP(A1646,Hospitalisation_Details__2[],5,FALSE)</f>
        <v>tier - 2</v>
      </c>
      <c r="O1646" t="str">
        <f>VLOOKUP(A1646,Hospitalisation_Details__2[],6,FALSE)</f>
        <v>tier - 3</v>
      </c>
      <c r="P1646" t="str">
        <f>VLOOKUP(A1646,Hospitalisation_Details__2[],7,FALSE)</f>
        <v>R1013</v>
      </c>
    </row>
    <row r="1647" spans="1:16" x14ac:dyDescent="0.35">
      <c r="A1647" t="str">
        <v>Id1646</v>
      </c>
      <c r="B1647" t="str">
        <f>VLOOKUP(A1647,'Customer Names (2)'!A:B, 2,FALSE)</f>
        <v>Mrs</v>
      </c>
      <c r="C1647">
        <f>VLOOKUP(A1647,Medical_Examinations[],2,FALSE)</f>
        <v>39.14</v>
      </c>
      <c r="D1647">
        <f>VLOOKUP(A1647,Medical_Examinations[],3,FALSE)</f>
        <v>6.24</v>
      </c>
      <c r="E1647" t="str">
        <f>VLOOKUP(A1647,Medical_Examinations[],4,FALSE)</f>
        <v>No</v>
      </c>
      <c r="F1647" t="str">
        <f>VLOOKUP(A1647,Medical_Examinations[],5,FALSE)</f>
        <v>yes</v>
      </c>
      <c r="G1647" t="str">
        <f>VLOOKUP(A1647,Medical_Examinations[],6,FALSE)</f>
        <v>No</v>
      </c>
      <c r="H1647">
        <f>VLOOKUP(A1647,Medical_Examinations[],7,FALSE)</f>
        <v>1</v>
      </c>
      <c r="I1647" t="str">
        <f>VLOOKUP(A1647,Medical_Examinations[],8,FALSE)</f>
        <v>No</v>
      </c>
      <c r="J1647" t="str">
        <f>VLOOKUP(A1647,Medical_Examinations[],9,FALSE)</f>
        <v>Obesity</v>
      </c>
      <c r="K1647" t="str">
        <f>VLOOKUP(A1647,Medical_Examinations[],10,FALSE)</f>
        <v>Prediabetes</v>
      </c>
      <c r="M1647">
        <f>VLOOKUP(A1647,Hospitalisation_Details__2[],4,FALSE)</f>
        <v>5960.91</v>
      </c>
      <c r="N1647" t="str">
        <f>VLOOKUP(A1647,Hospitalisation_Details__2[],5,FALSE)</f>
        <v>tier - 2</v>
      </c>
      <c r="O1647" t="str">
        <f>VLOOKUP(A1647,Hospitalisation_Details__2[],6,FALSE)</f>
        <v>tier - 1</v>
      </c>
      <c r="P1647" t="str">
        <f>VLOOKUP(A1647,Hospitalisation_Details__2[],7,FALSE)</f>
        <v>R1026</v>
      </c>
    </row>
    <row r="1648" spans="1:16" x14ac:dyDescent="0.35">
      <c r="A1648" t="str">
        <v>Id1647</v>
      </c>
      <c r="B1648" t="str">
        <f>VLOOKUP(A1648,'Customer Names (2)'!A:B, 2,FALSE)</f>
        <v>Mr</v>
      </c>
      <c r="C1648">
        <f>VLOOKUP(A1648,Medical_Examinations[],2,FALSE)</f>
        <v>39.799999999999997</v>
      </c>
      <c r="D1648">
        <f>VLOOKUP(A1648,Medical_Examinations[],3,FALSE)</f>
        <v>6.17</v>
      </c>
      <c r="E1648" t="str">
        <f>VLOOKUP(A1648,Medical_Examinations[],4,FALSE)</f>
        <v>No</v>
      </c>
      <c r="F1648" t="str">
        <f>VLOOKUP(A1648,Medical_Examinations[],5,FALSE)</f>
        <v>No</v>
      </c>
      <c r="G1648" t="str">
        <f>VLOOKUP(A1648,Medical_Examinations[],6,FALSE)</f>
        <v>Yes</v>
      </c>
      <c r="H1648">
        <f>VLOOKUP(A1648,Medical_Examinations[],7,FALSE)</f>
        <v>1</v>
      </c>
      <c r="I1648" t="str">
        <f>VLOOKUP(A1648,Medical_Examinations[],8,FALSE)</f>
        <v>No</v>
      </c>
      <c r="J1648" t="str">
        <f>VLOOKUP(A1648,Medical_Examinations[],9,FALSE)</f>
        <v>Obesity</v>
      </c>
      <c r="K1648" t="str">
        <f>VLOOKUP(A1648,Medical_Examinations[],10,FALSE)</f>
        <v>Prediabetes</v>
      </c>
      <c r="M1648">
        <f>VLOOKUP(A1648,Hospitalisation_Details__2[],4,FALSE)</f>
        <v>5957.35</v>
      </c>
      <c r="N1648" t="str">
        <f>VLOOKUP(A1648,Hospitalisation_Details__2[],5,FALSE)</f>
        <v>tier - 2</v>
      </c>
      <c r="O1648" t="str">
        <f>VLOOKUP(A1648,Hospitalisation_Details__2[],6,FALSE)</f>
        <v>tier - 2</v>
      </c>
      <c r="P1648" t="str">
        <f>VLOOKUP(A1648,Hospitalisation_Details__2[],7,FALSE)</f>
        <v>R1012</v>
      </c>
    </row>
    <row r="1649" spans="1:16" x14ac:dyDescent="0.35">
      <c r="A1649" t="str">
        <v>Id1648</v>
      </c>
      <c r="B1649" t="str">
        <f>VLOOKUP(A1649,'Customer Names (2)'!A:B, 2,FALSE)</f>
        <v>Mr</v>
      </c>
      <c r="C1649">
        <f>VLOOKUP(A1649,Medical_Examinations[],2,FALSE)</f>
        <v>34.32</v>
      </c>
      <c r="D1649">
        <f>VLOOKUP(A1649,Medical_Examinations[],3,FALSE)</f>
        <v>5.16</v>
      </c>
      <c r="E1649" t="str">
        <f>VLOOKUP(A1649,Medical_Examinations[],4,FALSE)</f>
        <v>No</v>
      </c>
      <c r="F1649" t="str">
        <f>VLOOKUP(A1649,Medical_Examinations[],5,FALSE)</f>
        <v>No</v>
      </c>
      <c r="G1649" t="str">
        <f>VLOOKUP(A1649,Medical_Examinations[],6,FALSE)</f>
        <v>No</v>
      </c>
      <c r="H1649">
        <f>VLOOKUP(A1649,Medical_Examinations[],7,FALSE)</f>
        <v>1</v>
      </c>
      <c r="I1649" t="str">
        <f>VLOOKUP(A1649,Medical_Examinations[],8,FALSE)</f>
        <v>No</v>
      </c>
      <c r="J1649" t="str">
        <f>VLOOKUP(A1649,Medical_Examinations[],9,FALSE)</f>
        <v>Obesity</v>
      </c>
      <c r="K1649" t="str">
        <f>VLOOKUP(A1649,Medical_Examinations[],10,FALSE)</f>
        <v>Normal</v>
      </c>
      <c r="M1649">
        <f>VLOOKUP(A1649,Hospitalisation_Details__2[],4,FALSE)</f>
        <v>5934.38</v>
      </c>
      <c r="N1649" t="str">
        <f>VLOOKUP(A1649,Hospitalisation_Details__2[],5,FALSE)</f>
        <v>tier - 3</v>
      </c>
      <c r="O1649" t="str">
        <f>VLOOKUP(A1649,Hospitalisation_Details__2[],6,FALSE)</f>
        <v>tier - 2</v>
      </c>
      <c r="P1649" t="str">
        <f>VLOOKUP(A1649,Hospitalisation_Details__2[],7,FALSE)</f>
        <v>R1013</v>
      </c>
    </row>
    <row r="1650" spans="1:16" x14ac:dyDescent="0.35">
      <c r="A1650" t="str">
        <v>Id1649</v>
      </c>
      <c r="B1650" t="str">
        <f>VLOOKUP(A1650,'Customer Names (2)'!A:B, 2,FALSE)</f>
        <v>Ms</v>
      </c>
      <c r="C1650">
        <f>VLOOKUP(A1650,Medical_Examinations[],2,FALSE)</f>
        <v>32.51</v>
      </c>
      <c r="D1650">
        <f>VLOOKUP(A1650,Medical_Examinations[],3,FALSE)</f>
        <v>4.3</v>
      </c>
      <c r="E1650" t="str">
        <f>VLOOKUP(A1650,Medical_Examinations[],4,FALSE)</f>
        <v>No</v>
      </c>
      <c r="F1650" t="str">
        <f>VLOOKUP(A1650,Medical_Examinations[],5,FALSE)</f>
        <v>No</v>
      </c>
      <c r="G1650" t="str">
        <f>VLOOKUP(A1650,Medical_Examinations[],6,FALSE)</f>
        <v>No</v>
      </c>
      <c r="H1650">
        <f>VLOOKUP(A1650,Medical_Examinations[],7,FALSE)</f>
        <v>0</v>
      </c>
      <c r="I1650" t="str">
        <f>VLOOKUP(A1650,Medical_Examinations[],8,FALSE)</f>
        <v>No</v>
      </c>
      <c r="J1650" t="str">
        <f>VLOOKUP(A1650,Medical_Examinations[],9,FALSE)</f>
        <v>Obesity</v>
      </c>
      <c r="K1650" t="str">
        <f>VLOOKUP(A1650,Medical_Examinations[],10,FALSE)</f>
        <v>Normal</v>
      </c>
      <c r="M1650">
        <f>VLOOKUP(A1650,Hospitalisation_Details__2[],4,FALSE)</f>
        <v>5927.65</v>
      </c>
      <c r="N1650" t="str">
        <f>VLOOKUP(A1650,Hospitalisation_Details__2[],5,FALSE)</f>
        <v>tier - 2</v>
      </c>
      <c r="O1650" t="str">
        <f>VLOOKUP(A1650,Hospitalisation_Details__2[],6,FALSE)</f>
        <v>tier - 1</v>
      </c>
      <c r="P1650" t="str">
        <f>VLOOKUP(A1650,Hospitalisation_Details__2[],7,FALSE)</f>
        <v>R1012</v>
      </c>
    </row>
    <row r="1651" spans="1:16" x14ac:dyDescent="0.35">
      <c r="A1651" t="str">
        <v>Id1650</v>
      </c>
      <c r="B1651" t="str">
        <f>VLOOKUP(A1651,'Customer Names (2)'!A:B, 2,FALSE)</f>
        <v>Mrs</v>
      </c>
      <c r="C1651">
        <f>VLOOKUP(A1651,Medical_Examinations[],2,FALSE)</f>
        <v>30.71</v>
      </c>
      <c r="D1651">
        <f>VLOOKUP(A1651,Medical_Examinations[],3,FALSE)</f>
        <v>6.14</v>
      </c>
      <c r="E1651" t="str">
        <f>VLOOKUP(A1651,Medical_Examinations[],4,FALSE)</f>
        <v>No</v>
      </c>
      <c r="F1651" t="str">
        <f>VLOOKUP(A1651,Medical_Examinations[],5,FALSE)</f>
        <v>No</v>
      </c>
      <c r="G1651" t="str">
        <f>VLOOKUP(A1651,Medical_Examinations[],6,FALSE)</f>
        <v>Yes</v>
      </c>
      <c r="H1651">
        <f>VLOOKUP(A1651,Medical_Examinations[],7,FALSE)</f>
        <v>1</v>
      </c>
      <c r="I1651" t="str">
        <f>VLOOKUP(A1651,Medical_Examinations[],8,FALSE)</f>
        <v>No</v>
      </c>
      <c r="J1651" t="str">
        <f>VLOOKUP(A1651,Medical_Examinations[],9,FALSE)</f>
        <v>Obesity</v>
      </c>
      <c r="K1651" t="str">
        <f>VLOOKUP(A1651,Medical_Examinations[],10,FALSE)</f>
        <v>Prediabetes</v>
      </c>
      <c r="M1651">
        <f>VLOOKUP(A1651,Hospitalisation_Details__2[],4,FALSE)</f>
        <v>5926.93</v>
      </c>
      <c r="N1651" t="str">
        <f>VLOOKUP(A1651,Hospitalisation_Details__2[],5,FALSE)</f>
        <v>tier - 2</v>
      </c>
      <c r="O1651" t="str">
        <f>VLOOKUP(A1651,Hospitalisation_Details__2[],6,FALSE)</f>
        <v>tier - 2</v>
      </c>
      <c r="P1651" t="str">
        <f>VLOOKUP(A1651,Hospitalisation_Details__2[],7,FALSE)</f>
        <v>R1025</v>
      </c>
    </row>
    <row r="1652" spans="1:16" x14ac:dyDescent="0.35">
      <c r="A1652" t="str">
        <v>Id1651</v>
      </c>
      <c r="B1652" t="str">
        <f>VLOOKUP(A1652,'Customer Names (2)'!A:B, 2,FALSE)</f>
        <v>Mr</v>
      </c>
      <c r="C1652">
        <f>VLOOKUP(A1652,Medical_Examinations[],2,FALSE)</f>
        <v>28.9</v>
      </c>
      <c r="D1652">
        <f>VLOOKUP(A1652,Medical_Examinations[],3,FALSE)</f>
        <v>5.36</v>
      </c>
      <c r="E1652" t="str">
        <f>VLOOKUP(A1652,Medical_Examinations[],4,FALSE)</f>
        <v>No</v>
      </c>
      <c r="F1652" t="str">
        <f>VLOOKUP(A1652,Medical_Examinations[],5,FALSE)</f>
        <v>No</v>
      </c>
      <c r="G1652" t="str">
        <f>VLOOKUP(A1652,Medical_Examinations[],6,FALSE)</f>
        <v>No</v>
      </c>
      <c r="H1652">
        <f>VLOOKUP(A1652,Medical_Examinations[],7,FALSE)</f>
        <v>1</v>
      </c>
      <c r="I1652" t="str">
        <f>VLOOKUP(A1652,Medical_Examinations[],8,FALSE)</f>
        <v>No</v>
      </c>
      <c r="J1652" t="str">
        <f>VLOOKUP(A1652,Medical_Examinations[],9,FALSE)</f>
        <v>Overweight</v>
      </c>
      <c r="K1652" t="str">
        <f>VLOOKUP(A1652,Medical_Examinations[],10,FALSE)</f>
        <v>Normal</v>
      </c>
      <c r="M1652">
        <f>VLOOKUP(A1652,Hospitalisation_Details__2[],4,FALSE)</f>
        <v>5926.85</v>
      </c>
      <c r="N1652" t="str">
        <f>VLOOKUP(A1652,Hospitalisation_Details__2[],5,FALSE)</f>
        <v>tier - 3</v>
      </c>
      <c r="O1652" t="str">
        <f>VLOOKUP(A1652,Hospitalisation_Details__2[],6,FALSE)</f>
        <v>tier - 3</v>
      </c>
      <c r="P1652" t="str">
        <f>VLOOKUP(A1652,Hospitalisation_Details__2[],7,FALSE)</f>
        <v>R1011</v>
      </c>
    </row>
    <row r="1653" spans="1:16" x14ac:dyDescent="0.35">
      <c r="A1653" t="str">
        <v>Id1652</v>
      </c>
      <c r="B1653" t="str">
        <f>VLOOKUP(A1653,'Customer Names (2)'!A:B, 2,FALSE)</f>
        <v>Ms</v>
      </c>
      <c r="C1653">
        <f>VLOOKUP(A1653,Medical_Examinations[],2,FALSE)</f>
        <v>36.19</v>
      </c>
      <c r="D1653">
        <f>VLOOKUP(A1653,Medical_Examinations[],3,FALSE)</f>
        <v>4.3</v>
      </c>
      <c r="E1653" t="str">
        <f>VLOOKUP(A1653,Medical_Examinations[],4,FALSE)</f>
        <v>No</v>
      </c>
      <c r="F1653" t="str">
        <f>VLOOKUP(A1653,Medical_Examinations[],5,FALSE)</f>
        <v>No</v>
      </c>
      <c r="G1653" t="str">
        <f>VLOOKUP(A1653,Medical_Examinations[],6,FALSE)</f>
        <v>No</v>
      </c>
      <c r="H1653">
        <f>VLOOKUP(A1653,Medical_Examinations[],7,FALSE)</f>
        <v>0</v>
      </c>
      <c r="I1653" t="str">
        <f>VLOOKUP(A1653,Medical_Examinations[],8,FALSE)</f>
        <v>No</v>
      </c>
      <c r="J1653" t="str">
        <f>VLOOKUP(A1653,Medical_Examinations[],9,FALSE)</f>
        <v>Obesity</v>
      </c>
      <c r="K1653" t="str">
        <f>VLOOKUP(A1653,Medical_Examinations[],10,FALSE)</f>
        <v>Normal</v>
      </c>
      <c r="M1653">
        <f>VLOOKUP(A1653,Hospitalisation_Details__2[],4,FALSE)</f>
        <v>5920.1</v>
      </c>
      <c r="N1653" t="str">
        <f>VLOOKUP(A1653,Hospitalisation_Details__2[],5,FALSE)</f>
        <v>tier - 2</v>
      </c>
      <c r="O1653" t="str">
        <f>VLOOKUP(A1653,Hospitalisation_Details__2[],6,FALSE)</f>
        <v>tier - 1</v>
      </c>
      <c r="P1653" t="str">
        <f>VLOOKUP(A1653,Hospitalisation_Details__2[],7,FALSE)</f>
        <v>R1013</v>
      </c>
    </row>
    <row r="1654" spans="1:16" x14ac:dyDescent="0.35">
      <c r="A1654" t="str">
        <v>Id1653</v>
      </c>
      <c r="B1654" t="str">
        <f>VLOOKUP(A1654,'Customer Names (2)'!A:B, 2,FALSE)</f>
        <v>Ms</v>
      </c>
      <c r="C1654">
        <f>VLOOKUP(A1654,Medical_Examinations[],2,FALSE)</f>
        <v>29.6</v>
      </c>
      <c r="D1654">
        <f>VLOOKUP(A1654,Medical_Examinations[],3,FALSE)</f>
        <v>4.09</v>
      </c>
      <c r="E1654" t="str">
        <f>VLOOKUP(A1654,Medical_Examinations[],4,FALSE)</f>
        <v>No</v>
      </c>
      <c r="F1654" t="str">
        <f>VLOOKUP(A1654,Medical_Examinations[],5,FALSE)</f>
        <v>No</v>
      </c>
      <c r="G1654" t="str">
        <f>VLOOKUP(A1654,Medical_Examinations[],6,FALSE)</f>
        <v>No</v>
      </c>
      <c r="H1654">
        <f>VLOOKUP(A1654,Medical_Examinations[],7,FALSE)</f>
        <v>0</v>
      </c>
      <c r="I1654" t="str">
        <f>VLOOKUP(A1654,Medical_Examinations[],8,FALSE)</f>
        <v>No</v>
      </c>
      <c r="J1654" t="str">
        <f>VLOOKUP(A1654,Medical_Examinations[],9,FALSE)</f>
        <v>Overweight</v>
      </c>
      <c r="K1654" t="str">
        <f>VLOOKUP(A1654,Medical_Examinations[],10,FALSE)</f>
        <v>Normal</v>
      </c>
      <c r="M1654">
        <f>VLOOKUP(A1654,Hospitalisation_Details__2[],4,FALSE)</f>
        <v>5910.94</v>
      </c>
      <c r="N1654" t="str">
        <f>VLOOKUP(A1654,Hospitalisation_Details__2[],5,FALSE)</f>
        <v>tier - 2</v>
      </c>
      <c r="O1654" t="str">
        <f>VLOOKUP(A1654,Hospitalisation_Details__2[],6,FALSE)</f>
        <v>tier - 1</v>
      </c>
      <c r="P1654" t="str">
        <f>VLOOKUP(A1654,Hospitalisation_Details__2[],7,FALSE)</f>
        <v>R1011</v>
      </c>
    </row>
    <row r="1655" spans="1:16" x14ac:dyDescent="0.35">
      <c r="A1655" t="str">
        <v>Id1654</v>
      </c>
      <c r="B1655" t="str">
        <f>VLOOKUP(A1655,'Customer Names (2)'!A:B, 2,FALSE)</f>
        <v>Mr</v>
      </c>
      <c r="C1655">
        <f>VLOOKUP(A1655,Medical_Examinations[],2,FALSE)</f>
        <v>30.95</v>
      </c>
      <c r="D1655">
        <f>VLOOKUP(A1655,Medical_Examinations[],3,FALSE)</f>
        <v>6.27</v>
      </c>
      <c r="E1655" t="str">
        <f>VLOOKUP(A1655,Medical_Examinations[],4,FALSE)</f>
        <v>No</v>
      </c>
      <c r="F1655" t="str">
        <f>VLOOKUP(A1655,Medical_Examinations[],5,FALSE)</f>
        <v>No</v>
      </c>
      <c r="G1655" t="str">
        <f>VLOOKUP(A1655,Medical_Examinations[],6,FALSE)</f>
        <v>Yes</v>
      </c>
      <c r="H1655">
        <f>VLOOKUP(A1655,Medical_Examinations[],7,FALSE)</f>
        <v>1</v>
      </c>
      <c r="I1655" t="str">
        <f>VLOOKUP(A1655,Medical_Examinations[],8,FALSE)</f>
        <v>No</v>
      </c>
      <c r="J1655" t="str">
        <f>VLOOKUP(A1655,Medical_Examinations[],9,FALSE)</f>
        <v>Obesity</v>
      </c>
      <c r="K1655" t="str">
        <f>VLOOKUP(A1655,Medical_Examinations[],10,FALSE)</f>
        <v>Prediabetes</v>
      </c>
      <c r="M1655">
        <f>VLOOKUP(A1655,Hospitalisation_Details__2[],4,FALSE)</f>
        <v>5877.02</v>
      </c>
      <c r="N1655" t="str">
        <f>VLOOKUP(A1655,Hospitalisation_Details__2[],5,FALSE)</f>
        <v>tier - 2</v>
      </c>
      <c r="O1655" t="str">
        <f>VLOOKUP(A1655,Hospitalisation_Details__2[],6,FALSE)</f>
        <v>tier - 2</v>
      </c>
      <c r="P1655" t="str">
        <f>VLOOKUP(A1655,Hospitalisation_Details__2[],7,FALSE)</f>
        <v>R1021</v>
      </c>
    </row>
    <row r="1656" spans="1:16" x14ac:dyDescent="0.35">
      <c r="A1656" t="str">
        <v>Id1655</v>
      </c>
      <c r="B1656" t="str">
        <f>VLOOKUP(A1656,'Customer Names (2)'!A:B, 2,FALSE)</f>
        <v>Mr</v>
      </c>
      <c r="C1656">
        <f>VLOOKUP(A1656,Medical_Examinations[],2,FALSE)</f>
        <v>19.95</v>
      </c>
      <c r="D1656">
        <f>VLOOKUP(A1656,Medical_Examinations[],3,FALSE)</f>
        <v>5.39</v>
      </c>
      <c r="E1656" t="str">
        <f>VLOOKUP(A1656,Medical_Examinations[],4,FALSE)</f>
        <v>No</v>
      </c>
      <c r="F1656" t="str">
        <f>VLOOKUP(A1656,Medical_Examinations[],5,FALSE)</f>
        <v>No</v>
      </c>
      <c r="G1656" t="str">
        <f>VLOOKUP(A1656,Medical_Examinations[],6,FALSE)</f>
        <v>No</v>
      </c>
      <c r="H1656">
        <f>VLOOKUP(A1656,Medical_Examinations[],7,FALSE)</f>
        <v>1</v>
      </c>
      <c r="I1656" t="str">
        <f>VLOOKUP(A1656,Medical_Examinations[],8,FALSE)</f>
        <v>No</v>
      </c>
      <c r="J1656" t="str">
        <f>VLOOKUP(A1656,Medical_Examinations[],9,FALSE)</f>
        <v>Normal Weight</v>
      </c>
      <c r="K1656" t="str">
        <f>VLOOKUP(A1656,Medical_Examinations[],10,FALSE)</f>
        <v>Normal</v>
      </c>
      <c r="M1656">
        <f>VLOOKUP(A1656,Hospitalisation_Details__2[],4,FALSE)</f>
        <v>5855.9</v>
      </c>
      <c r="N1656" t="str">
        <f>VLOOKUP(A1656,Hospitalisation_Details__2[],5,FALSE)</f>
        <v>tier - 2</v>
      </c>
      <c r="O1656" t="str">
        <f>VLOOKUP(A1656,Hospitalisation_Details__2[],6,FALSE)</f>
        <v>tier - 3</v>
      </c>
      <c r="P1656" t="str">
        <f>VLOOKUP(A1656,Hospitalisation_Details__2[],7,FALSE)</f>
        <v>R1012</v>
      </c>
    </row>
    <row r="1657" spans="1:16" x14ac:dyDescent="0.35">
      <c r="A1657" t="str">
        <v>Id1656</v>
      </c>
      <c r="B1657" t="str">
        <f>VLOOKUP(A1657,'Customer Names (2)'!A:B, 2,FALSE)</f>
        <v>Mr</v>
      </c>
      <c r="C1657">
        <f>VLOOKUP(A1657,Medical_Examinations[],2,FALSE)</f>
        <v>23.65</v>
      </c>
      <c r="D1657">
        <f>VLOOKUP(A1657,Medical_Examinations[],3,FALSE)</f>
        <v>5.75</v>
      </c>
      <c r="E1657" t="str">
        <f>VLOOKUP(A1657,Medical_Examinations[],4,FALSE)</f>
        <v>Yes</v>
      </c>
      <c r="F1657" t="str">
        <f>VLOOKUP(A1657,Medical_Examinations[],5,FALSE)</f>
        <v>No</v>
      </c>
      <c r="G1657" t="str">
        <f>VLOOKUP(A1657,Medical_Examinations[],6,FALSE)</f>
        <v>No</v>
      </c>
      <c r="H1657">
        <f>VLOOKUP(A1657,Medical_Examinations[],7,FALSE)</f>
        <v>0</v>
      </c>
      <c r="I1657" t="str">
        <f>VLOOKUP(A1657,Medical_Examinations[],8,FALSE)</f>
        <v>No</v>
      </c>
      <c r="J1657" t="str">
        <f>VLOOKUP(A1657,Medical_Examinations[],9,FALSE)</f>
        <v>Normal Weight</v>
      </c>
      <c r="K1657" t="str">
        <f>VLOOKUP(A1657,Medical_Examinations[],10,FALSE)</f>
        <v>Prediabetes</v>
      </c>
      <c r="M1657">
        <f>VLOOKUP(A1657,Hospitalisation_Details__2[],4,FALSE)</f>
        <v>5847.24</v>
      </c>
      <c r="N1657" t="str">
        <f>VLOOKUP(A1657,Hospitalisation_Details__2[],5,FALSE)</f>
        <v>tier - 2</v>
      </c>
      <c r="O1657" t="str">
        <f>VLOOKUP(A1657,Hospitalisation_Details__2[],6,FALSE)</f>
        <v>tier - 1</v>
      </c>
      <c r="P1657" t="str">
        <f>VLOOKUP(A1657,Hospitalisation_Details__2[],7,FALSE)</f>
        <v>R1013</v>
      </c>
    </row>
    <row r="1658" spans="1:16" x14ac:dyDescent="0.35">
      <c r="A1658" t="str">
        <v>Id1657</v>
      </c>
      <c r="B1658" t="str">
        <f>VLOOKUP(A1658,'Customer Names (2)'!A:B, 2,FALSE)</f>
        <v>Ms</v>
      </c>
      <c r="C1658">
        <f>VLOOKUP(A1658,Medical_Examinations[],2,FALSE)</f>
        <v>43.34</v>
      </c>
      <c r="D1658">
        <f>VLOOKUP(A1658,Medical_Examinations[],3,FALSE)</f>
        <v>4.91</v>
      </c>
      <c r="E1658" t="str">
        <f>VLOOKUP(A1658,Medical_Examinations[],4,FALSE)</f>
        <v>No</v>
      </c>
      <c r="F1658" t="str">
        <f>VLOOKUP(A1658,Medical_Examinations[],5,FALSE)</f>
        <v>No</v>
      </c>
      <c r="G1658" t="str">
        <f>VLOOKUP(A1658,Medical_Examinations[],6,FALSE)</f>
        <v>No</v>
      </c>
      <c r="H1658">
        <f>VLOOKUP(A1658,Medical_Examinations[],7,FALSE)</f>
        <v>1</v>
      </c>
      <c r="I1658" t="str">
        <f>VLOOKUP(A1658,Medical_Examinations[],8,FALSE)</f>
        <v>No</v>
      </c>
      <c r="J1658" t="str">
        <f>VLOOKUP(A1658,Medical_Examinations[],9,FALSE)</f>
        <v>Obesity</v>
      </c>
      <c r="K1658" t="str">
        <f>VLOOKUP(A1658,Medical_Examinations[],10,FALSE)</f>
        <v>Normal</v>
      </c>
      <c r="M1658">
        <f>VLOOKUP(A1658,Hospitalisation_Details__2[],4,FALSE)</f>
        <v>5846.92</v>
      </c>
      <c r="N1658" t="str">
        <f>VLOOKUP(A1658,Hospitalisation_Details__2[],5,FALSE)</f>
        <v>tier - 2</v>
      </c>
      <c r="O1658" t="str">
        <f>VLOOKUP(A1658,Hospitalisation_Details__2[],6,FALSE)</f>
        <v>tier - 2</v>
      </c>
      <c r="P1658" t="str">
        <f>VLOOKUP(A1658,Hospitalisation_Details__2[],7,FALSE)</f>
        <v>R1013</v>
      </c>
    </row>
    <row r="1659" spans="1:16" x14ac:dyDescent="0.35">
      <c r="A1659" t="str">
        <v>Id1658</v>
      </c>
      <c r="B1659" t="str">
        <f>VLOOKUP(A1659,'Customer Names (2)'!A:B, 2,FALSE)</f>
        <v>Mrs</v>
      </c>
      <c r="C1659">
        <f>VLOOKUP(A1659,Medical_Examinations[],2,FALSE)</f>
        <v>31.98</v>
      </c>
      <c r="D1659">
        <f>VLOOKUP(A1659,Medical_Examinations[],3,FALSE)</f>
        <v>4.46</v>
      </c>
      <c r="E1659" t="str">
        <f>VLOOKUP(A1659,Medical_Examinations[],4,FALSE)</f>
        <v>Yes</v>
      </c>
      <c r="F1659" t="str">
        <f>VLOOKUP(A1659,Medical_Examinations[],5,FALSE)</f>
        <v>No</v>
      </c>
      <c r="G1659" t="str">
        <f>VLOOKUP(A1659,Medical_Examinations[],6,FALSE)</f>
        <v>No</v>
      </c>
      <c r="H1659">
        <f>VLOOKUP(A1659,Medical_Examinations[],7,FALSE)</f>
        <v>1</v>
      </c>
      <c r="I1659" t="str">
        <f>VLOOKUP(A1659,Medical_Examinations[],8,FALSE)</f>
        <v>No</v>
      </c>
      <c r="J1659" t="str">
        <f>VLOOKUP(A1659,Medical_Examinations[],9,FALSE)</f>
        <v>Obesity</v>
      </c>
      <c r="K1659" t="str">
        <f>VLOOKUP(A1659,Medical_Examinations[],10,FALSE)</f>
        <v>Normal</v>
      </c>
      <c r="M1659">
        <f>VLOOKUP(A1659,Hospitalisation_Details__2[],4,FALSE)</f>
        <v>5843.99</v>
      </c>
      <c r="N1659" t="str">
        <f>VLOOKUP(A1659,Hospitalisation_Details__2[],5,FALSE)</f>
        <v>tier - 2</v>
      </c>
      <c r="O1659" t="str">
        <f>VLOOKUP(A1659,Hospitalisation_Details__2[],6,FALSE)</f>
        <v>tier - 2</v>
      </c>
      <c r="P1659" t="str">
        <f>VLOOKUP(A1659,Hospitalisation_Details__2[],7,FALSE)</f>
        <v>R1025</v>
      </c>
    </row>
    <row r="1660" spans="1:16" x14ac:dyDescent="0.35">
      <c r="A1660" t="str">
        <v>Id1659</v>
      </c>
      <c r="B1660" t="str">
        <f>VLOOKUP(A1660,'Customer Names (2)'!A:B, 2,FALSE)</f>
        <v>Ms</v>
      </c>
      <c r="C1660">
        <f>VLOOKUP(A1660,Medical_Examinations[],2,FALSE)</f>
        <v>35.86</v>
      </c>
      <c r="D1660">
        <f>VLOOKUP(A1660,Medical_Examinations[],3,FALSE)</f>
        <v>6.22</v>
      </c>
      <c r="E1660" t="str">
        <f>VLOOKUP(A1660,Medical_Examinations[],4,FALSE)</f>
        <v>No</v>
      </c>
      <c r="F1660" t="str">
        <f>VLOOKUP(A1660,Medical_Examinations[],5,FALSE)</f>
        <v>No</v>
      </c>
      <c r="G1660" t="str">
        <f>VLOOKUP(A1660,Medical_Examinations[],6,FALSE)</f>
        <v>No</v>
      </c>
      <c r="H1660">
        <f>VLOOKUP(A1660,Medical_Examinations[],7,FALSE)</f>
        <v>1</v>
      </c>
      <c r="I1660" t="str">
        <f>VLOOKUP(A1660,Medical_Examinations[],8,FALSE)</f>
        <v>No</v>
      </c>
      <c r="J1660" t="str">
        <f>VLOOKUP(A1660,Medical_Examinations[],9,FALSE)</f>
        <v>Obesity</v>
      </c>
      <c r="K1660" t="str">
        <f>VLOOKUP(A1660,Medical_Examinations[],10,FALSE)</f>
        <v>Prediabetes</v>
      </c>
      <c r="M1660">
        <f>VLOOKUP(A1660,Hospitalisation_Details__2[],4,FALSE)</f>
        <v>5836.52</v>
      </c>
      <c r="N1660" t="str">
        <f>VLOOKUP(A1660,Hospitalisation_Details__2[],5,FALSE)</f>
        <v>tier - 2</v>
      </c>
      <c r="O1660" t="str">
        <f>VLOOKUP(A1660,Hospitalisation_Details__2[],6,FALSE)</f>
        <v>tier - 3</v>
      </c>
      <c r="P1660" t="str">
        <f>VLOOKUP(A1660,Hospitalisation_Details__2[],7,FALSE)</f>
        <v>R1013</v>
      </c>
    </row>
    <row r="1661" spans="1:16" x14ac:dyDescent="0.35">
      <c r="A1661" t="str">
        <v>Id1660</v>
      </c>
      <c r="B1661" t="str">
        <f>VLOOKUP(A1661,'Customer Names (2)'!A:B, 2,FALSE)</f>
        <v>Mr</v>
      </c>
      <c r="C1661">
        <f>VLOOKUP(A1661,Medical_Examinations[],2,FALSE)</f>
        <v>15.2</v>
      </c>
      <c r="D1661">
        <f>VLOOKUP(A1661,Medical_Examinations[],3,FALSE)</f>
        <v>8.82</v>
      </c>
      <c r="E1661" t="str">
        <f>VLOOKUP(A1661,Medical_Examinations[],4,FALSE)</f>
        <v>No</v>
      </c>
      <c r="F1661" t="str">
        <f>VLOOKUP(A1661,Medical_Examinations[],5,FALSE)</f>
        <v>No</v>
      </c>
      <c r="G1661" t="str">
        <f>VLOOKUP(A1661,Medical_Examinations[],6,FALSE)</f>
        <v>No</v>
      </c>
      <c r="H1661">
        <f>VLOOKUP(A1661,Medical_Examinations[],7,FALSE)</f>
        <v>0</v>
      </c>
      <c r="I1661" t="str">
        <f>VLOOKUP(A1661,Medical_Examinations[],8,FALSE)</f>
        <v>No</v>
      </c>
      <c r="J1661" t="str">
        <f>VLOOKUP(A1661,Medical_Examinations[],9,FALSE)</f>
        <v>Underweight</v>
      </c>
      <c r="K1661" t="str">
        <f>VLOOKUP(A1661,Medical_Examinations[],10,FALSE)</f>
        <v>Diabetes</v>
      </c>
      <c r="M1661">
        <f>VLOOKUP(A1661,Hospitalisation_Details__2[],4,FALSE)</f>
        <v>5832.6</v>
      </c>
      <c r="N1661" t="str">
        <f>VLOOKUP(A1661,Hospitalisation_Details__2[],5,FALSE)</f>
        <v>tier - 2</v>
      </c>
      <c r="O1661" t="str">
        <f>VLOOKUP(A1661,Hospitalisation_Details__2[],6,FALSE)</f>
        <v>tier - 3</v>
      </c>
      <c r="P1661" t="str">
        <f>VLOOKUP(A1661,Hospitalisation_Details__2[],7,FALSE)</f>
        <v>R1012</v>
      </c>
    </row>
    <row r="1662" spans="1:16" x14ac:dyDescent="0.35">
      <c r="A1662" t="str">
        <v>Id1661</v>
      </c>
      <c r="B1662" t="str">
        <f>VLOOKUP(A1662,'Customer Names (2)'!A:B, 2,FALSE)</f>
        <v>Mrs</v>
      </c>
      <c r="C1662">
        <f>VLOOKUP(A1662,Medical_Examinations[],2,FALSE)</f>
        <v>37.200000000000003</v>
      </c>
      <c r="D1662">
        <f>VLOOKUP(A1662,Medical_Examinations[],3,FALSE)</f>
        <v>10.14</v>
      </c>
      <c r="E1662" t="str">
        <f>VLOOKUP(A1662,Medical_Examinations[],4,FALSE)</f>
        <v>No</v>
      </c>
      <c r="F1662" t="str">
        <f>VLOOKUP(A1662,Medical_Examinations[],5,FALSE)</f>
        <v>No</v>
      </c>
      <c r="G1662" t="str">
        <f>VLOOKUP(A1662,Medical_Examinations[],6,FALSE)</f>
        <v>No</v>
      </c>
      <c r="H1662">
        <f>VLOOKUP(A1662,Medical_Examinations[],7,FALSE)</f>
        <v>0</v>
      </c>
      <c r="I1662" t="str">
        <f>VLOOKUP(A1662,Medical_Examinations[],8,FALSE)</f>
        <v>No</v>
      </c>
      <c r="J1662" t="str">
        <f>VLOOKUP(A1662,Medical_Examinations[],9,FALSE)</f>
        <v>Obesity</v>
      </c>
      <c r="K1662" t="str">
        <f>VLOOKUP(A1662,Medical_Examinations[],10,FALSE)</f>
        <v>Diabetes</v>
      </c>
      <c r="M1662">
        <f>VLOOKUP(A1662,Hospitalisation_Details__2[],4,FALSE)</f>
        <v>5816.58</v>
      </c>
      <c r="N1662" t="str">
        <f>VLOOKUP(A1662,Hospitalisation_Details__2[],5,FALSE)</f>
        <v>tier - 2</v>
      </c>
      <c r="O1662" t="str">
        <f>VLOOKUP(A1662,Hospitalisation_Details__2[],6,FALSE)</f>
        <v>tier - 2</v>
      </c>
      <c r="P1662" t="str">
        <f>VLOOKUP(A1662,Hospitalisation_Details__2[],7,FALSE)</f>
        <v>R1026</v>
      </c>
    </row>
    <row r="1663" spans="1:16" x14ac:dyDescent="0.35">
      <c r="A1663" t="str">
        <v>Id1662</v>
      </c>
      <c r="B1663" t="str">
        <f>VLOOKUP(A1663,'Customer Names (2)'!A:B, 2,FALSE)</f>
        <v>Mr</v>
      </c>
      <c r="C1663">
        <f>VLOOKUP(A1663,Medical_Examinations[],2,FALSE)</f>
        <v>17.91</v>
      </c>
      <c r="D1663">
        <f>VLOOKUP(A1663,Medical_Examinations[],3,FALSE)</f>
        <v>4.66</v>
      </c>
      <c r="E1663" t="str">
        <f>VLOOKUP(A1663,Medical_Examinations[],4,FALSE)</f>
        <v>No</v>
      </c>
      <c r="F1663" t="str">
        <f>VLOOKUP(A1663,Medical_Examinations[],5,FALSE)</f>
        <v>No</v>
      </c>
      <c r="G1663" t="str">
        <f>VLOOKUP(A1663,Medical_Examinations[],6,FALSE)</f>
        <v>No</v>
      </c>
      <c r="H1663">
        <f>VLOOKUP(A1663,Medical_Examinations[],7,FALSE)</f>
        <v>2</v>
      </c>
      <c r="I1663" t="str">
        <f>VLOOKUP(A1663,Medical_Examinations[],8,FALSE)</f>
        <v>No</v>
      </c>
      <c r="J1663" t="str">
        <f>VLOOKUP(A1663,Medical_Examinations[],9,FALSE)</f>
        <v>Underweight</v>
      </c>
      <c r="K1663" t="str">
        <f>VLOOKUP(A1663,Medical_Examinations[],10,FALSE)</f>
        <v>Normal</v>
      </c>
      <c r="M1663">
        <f>VLOOKUP(A1663,Hospitalisation_Details__2[],4,FALSE)</f>
        <v>5812.9</v>
      </c>
      <c r="N1663" t="str">
        <f>VLOOKUP(A1663,Hospitalisation_Details__2[],5,FALSE)</f>
        <v>tier - 2</v>
      </c>
      <c r="O1663" t="str">
        <f>VLOOKUP(A1663,Hospitalisation_Details__2[],6,FALSE)</f>
        <v>tier - 2</v>
      </c>
      <c r="P1663" t="str">
        <f>VLOOKUP(A1663,Hospitalisation_Details__2[],7,FALSE)</f>
        <v>R1013</v>
      </c>
    </row>
    <row r="1664" spans="1:16" x14ac:dyDescent="0.35">
      <c r="A1664" t="str">
        <v>Id1663</v>
      </c>
      <c r="B1664" t="str">
        <f>VLOOKUP(A1664,'Customer Names (2)'!A:B, 2,FALSE)</f>
        <v>Ms</v>
      </c>
      <c r="C1664">
        <f>VLOOKUP(A1664,Medical_Examinations[],2,FALSE)</f>
        <v>20.76</v>
      </c>
      <c r="D1664">
        <f>VLOOKUP(A1664,Medical_Examinations[],3,FALSE)</f>
        <v>6.26</v>
      </c>
      <c r="E1664" t="str">
        <f>VLOOKUP(A1664,Medical_Examinations[],4,FALSE)</f>
        <v>No</v>
      </c>
      <c r="F1664" t="str">
        <f>VLOOKUP(A1664,Medical_Examinations[],5,FALSE)</f>
        <v>No</v>
      </c>
      <c r="G1664" t="str">
        <f>VLOOKUP(A1664,Medical_Examinations[],6,FALSE)</f>
        <v>No</v>
      </c>
      <c r="H1664">
        <f>VLOOKUP(A1664,Medical_Examinations[],7,FALSE)</f>
        <v>0</v>
      </c>
      <c r="I1664" t="str">
        <f>VLOOKUP(A1664,Medical_Examinations[],8,FALSE)</f>
        <v>No</v>
      </c>
      <c r="J1664" t="str">
        <f>VLOOKUP(A1664,Medical_Examinations[],9,FALSE)</f>
        <v>Normal Weight</v>
      </c>
      <c r="K1664" t="str">
        <f>VLOOKUP(A1664,Medical_Examinations[],10,FALSE)</f>
        <v>Prediabetes</v>
      </c>
      <c r="M1664">
        <f>VLOOKUP(A1664,Hospitalisation_Details__2[],4,FALSE)</f>
        <v>5807.06</v>
      </c>
      <c r="N1664" t="str">
        <f>VLOOKUP(A1664,Hospitalisation_Details__2[],5,FALSE)</f>
        <v>tier - 2</v>
      </c>
      <c r="O1664" t="str">
        <f>VLOOKUP(A1664,Hospitalisation_Details__2[],6,FALSE)</f>
        <v>tier - 3</v>
      </c>
      <c r="P1664" t="str">
        <f>VLOOKUP(A1664,Hospitalisation_Details__2[],7,FALSE)</f>
        <v>R1013</v>
      </c>
    </row>
    <row r="1665" spans="1:16" x14ac:dyDescent="0.35">
      <c r="A1665" t="str">
        <v>Id1664</v>
      </c>
      <c r="B1665" t="str">
        <f>VLOOKUP(A1665,'Customer Names (2)'!A:B, 2,FALSE)</f>
        <v>Mr</v>
      </c>
      <c r="C1665">
        <f>VLOOKUP(A1665,Medical_Examinations[],2,FALSE)</f>
        <v>38.99</v>
      </c>
      <c r="D1665">
        <f>VLOOKUP(A1665,Medical_Examinations[],3,FALSE)</f>
        <v>5.21</v>
      </c>
      <c r="E1665" t="str">
        <f>VLOOKUP(A1665,Medical_Examinations[],4,FALSE)</f>
        <v>No</v>
      </c>
      <c r="F1665" t="str">
        <f>VLOOKUP(A1665,Medical_Examinations[],5,FALSE)</f>
        <v>yes</v>
      </c>
      <c r="G1665" t="str">
        <f>VLOOKUP(A1665,Medical_Examinations[],6,FALSE)</f>
        <v>No</v>
      </c>
      <c r="H1665">
        <f>VLOOKUP(A1665,Medical_Examinations[],7,FALSE)</f>
        <v>1</v>
      </c>
      <c r="I1665" t="str">
        <f>VLOOKUP(A1665,Medical_Examinations[],8,FALSE)</f>
        <v>No</v>
      </c>
      <c r="J1665" t="str">
        <f>VLOOKUP(A1665,Medical_Examinations[],9,FALSE)</f>
        <v>Obesity</v>
      </c>
      <c r="K1665" t="str">
        <f>VLOOKUP(A1665,Medical_Examinations[],10,FALSE)</f>
        <v>Normal</v>
      </c>
      <c r="M1665">
        <f>VLOOKUP(A1665,Hospitalisation_Details__2[],4,FALSE)</f>
        <v>5778.71</v>
      </c>
      <c r="N1665" t="str">
        <f>VLOOKUP(A1665,Hospitalisation_Details__2[],5,FALSE)</f>
        <v>tier - 2</v>
      </c>
      <c r="O1665" t="str">
        <f>VLOOKUP(A1665,Hospitalisation_Details__2[],6,FALSE)</f>
        <v>tier - 3</v>
      </c>
      <c r="P1665" t="str">
        <f>VLOOKUP(A1665,Hospitalisation_Details__2[],7,FALSE)</f>
        <v>R1022</v>
      </c>
    </row>
    <row r="1666" spans="1:16" x14ac:dyDescent="0.35">
      <c r="A1666" t="str">
        <v>Id1665</v>
      </c>
      <c r="B1666" t="str">
        <f>VLOOKUP(A1666,'Customer Names (2)'!A:B, 2,FALSE)</f>
        <v>Mr</v>
      </c>
      <c r="C1666">
        <f>VLOOKUP(A1666,Medical_Examinations[],2,FALSE)</f>
        <v>42.655000000000001</v>
      </c>
      <c r="D1666">
        <f>VLOOKUP(A1666,Medical_Examinations[],3,FALSE)</f>
        <v>5.94</v>
      </c>
      <c r="E1666" t="str">
        <f>VLOOKUP(A1666,Medical_Examinations[],4,FALSE)</f>
        <v>Yes</v>
      </c>
      <c r="F1666" t="str">
        <f>VLOOKUP(A1666,Medical_Examinations[],5,FALSE)</f>
        <v>No</v>
      </c>
      <c r="G1666" t="str">
        <f>VLOOKUP(A1666,Medical_Examinations[],6,FALSE)</f>
        <v>Yes</v>
      </c>
      <c r="H1666">
        <f>VLOOKUP(A1666,Medical_Examinations[],7,FALSE)</f>
        <v>1</v>
      </c>
      <c r="I1666" t="str">
        <f>VLOOKUP(A1666,Medical_Examinations[],8,FALSE)</f>
        <v>No</v>
      </c>
      <c r="J1666" t="str">
        <f>VLOOKUP(A1666,Medical_Examinations[],9,FALSE)</f>
        <v>Obesity</v>
      </c>
      <c r="K1666" t="str">
        <f>VLOOKUP(A1666,Medical_Examinations[],10,FALSE)</f>
        <v>Prediabetes</v>
      </c>
      <c r="M1666">
        <f>VLOOKUP(A1666,Hospitalisation_Details__2[],4,FALSE)</f>
        <v>5757.41</v>
      </c>
      <c r="N1666" t="str">
        <f>VLOOKUP(A1666,Hospitalisation_Details__2[],5,FALSE)</f>
        <v>tier - 2</v>
      </c>
      <c r="O1666" t="str">
        <f>VLOOKUP(A1666,Hospitalisation_Details__2[],6,FALSE)</f>
        <v>tier - 3</v>
      </c>
      <c r="P1666" t="str">
        <f>VLOOKUP(A1666,Hospitalisation_Details__2[],7,FALSE)</f>
        <v>R1019</v>
      </c>
    </row>
    <row r="1667" spans="1:16" x14ac:dyDescent="0.35">
      <c r="A1667" t="str">
        <v>Id1666</v>
      </c>
      <c r="B1667" t="str">
        <f>VLOOKUP(A1667,'Customer Names (2)'!A:B, 2,FALSE)</f>
        <v>Mr</v>
      </c>
      <c r="C1667">
        <f>VLOOKUP(A1667,Medical_Examinations[],2,FALSE)</f>
        <v>30.57</v>
      </c>
      <c r="D1667">
        <f>VLOOKUP(A1667,Medical_Examinations[],3,FALSE)</f>
        <v>5.34</v>
      </c>
      <c r="E1667" t="str">
        <f>VLOOKUP(A1667,Medical_Examinations[],4,FALSE)</f>
        <v>No</v>
      </c>
      <c r="F1667" t="str">
        <f>VLOOKUP(A1667,Medical_Examinations[],5,FALSE)</f>
        <v>No</v>
      </c>
      <c r="G1667" t="str">
        <f>VLOOKUP(A1667,Medical_Examinations[],6,FALSE)</f>
        <v>Yes</v>
      </c>
      <c r="H1667">
        <f>VLOOKUP(A1667,Medical_Examinations[],7,FALSE)</f>
        <v>1</v>
      </c>
      <c r="I1667" t="str">
        <f>VLOOKUP(A1667,Medical_Examinations[],8,FALSE)</f>
        <v>No</v>
      </c>
      <c r="J1667" t="str">
        <f>VLOOKUP(A1667,Medical_Examinations[],9,FALSE)</f>
        <v>Obesity</v>
      </c>
      <c r="K1667" t="str">
        <f>VLOOKUP(A1667,Medical_Examinations[],10,FALSE)</f>
        <v>Normal</v>
      </c>
      <c r="M1667">
        <f>VLOOKUP(A1667,Hospitalisation_Details__2[],4,FALSE)</f>
        <v>5748.13</v>
      </c>
      <c r="N1667" t="str">
        <f>VLOOKUP(A1667,Hospitalisation_Details__2[],5,FALSE)</f>
        <v>tier - 2</v>
      </c>
      <c r="O1667" t="str">
        <f>VLOOKUP(A1667,Hospitalisation_Details__2[],6,FALSE)</f>
        <v>tier - 1</v>
      </c>
      <c r="P1667" t="str">
        <f>VLOOKUP(A1667,Hospitalisation_Details__2[],7,FALSE)</f>
        <v>R1021</v>
      </c>
    </row>
    <row r="1668" spans="1:16" x14ac:dyDescent="0.35">
      <c r="A1668" t="str">
        <v>Id1667</v>
      </c>
      <c r="B1668" t="str">
        <f>VLOOKUP(A1668,'Customer Names (2)'!A:B, 2,FALSE)</f>
        <v>Mr</v>
      </c>
      <c r="C1668">
        <f>VLOOKUP(A1668,Medical_Examinations[],2,FALSE)</f>
        <v>17.7</v>
      </c>
      <c r="D1668">
        <f>VLOOKUP(A1668,Medical_Examinations[],3,FALSE)</f>
        <v>6.38</v>
      </c>
      <c r="E1668" t="str">
        <f>VLOOKUP(A1668,Medical_Examinations[],4,FALSE)</f>
        <v>No</v>
      </c>
      <c r="F1668" t="str">
        <f>VLOOKUP(A1668,Medical_Examinations[],5,FALSE)</f>
        <v>No</v>
      </c>
      <c r="G1668" t="str">
        <f>VLOOKUP(A1668,Medical_Examinations[],6,FALSE)</f>
        <v>No</v>
      </c>
      <c r="H1668">
        <f>VLOOKUP(A1668,Medical_Examinations[],7,FALSE)</f>
        <v>2</v>
      </c>
      <c r="I1668" t="str">
        <f>VLOOKUP(A1668,Medical_Examinations[],8,FALSE)</f>
        <v>No</v>
      </c>
      <c r="J1668" t="str">
        <f>VLOOKUP(A1668,Medical_Examinations[],9,FALSE)</f>
        <v>Underweight</v>
      </c>
      <c r="K1668" t="str">
        <f>VLOOKUP(A1668,Medical_Examinations[],10,FALSE)</f>
        <v>Prediabetes</v>
      </c>
      <c r="M1668">
        <f>VLOOKUP(A1668,Hospitalisation_Details__2[],4,FALSE)</f>
        <v>5741.67</v>
      </c>
      <c r="N1668" t="str">
        <f>VLOOKUP(A1668,Hospitalisation_Details__2[],5,FALSE)</f>
        <v>tier - 2</v>
      </c>
      <c r="O1668" t="str">
        <f>VLOOKUP(A1668,Hospitalisation_Details__2[],6,FALSE)</f>
        <v>tier - 3</v>
      </c>
      <c r="P1668" t="str">
        <f>VLOOKUP(A1668,Hospitalisation_Details__2[],7,FALSE)</f>
        <v>R1013</v>
      </c>
    </row>
    <row r="1669" spans="1:16" x14ac:dyDescent="0.35">
      <c r="A1669" t="str">
        <v>Id1668</v>
      </c>
      <c r="B1669" t="str">
        <f>VLOOKUP(A1669,'Customer Names (2)'!A:B, 2,FALSE)</f>
        <v>Mr</v>
      </c>
      <c r="C1669">
        <f>VLOOKUP(A1669,Medical_Examinations[],2,FALSE)</f>
        <v>34.770000000000003</v>
      </c>
      <c r="D1669">
        <f>VLOOKUP(A1669,Medical_Examinations[],3,FALSE)</f>
        <v>4.47</v>
      </c>
      <c r="E1669" t="str">
        <f>VLOOKUP(A1669,Medical_Examinations[],4,FALSE)</f>
        <v>No</v>
      </c>
      <c r="F1669" t="str">
        <f>VLOOKUP(A1669,Medical_Examinations[],5,FALSE)</f>
        <v>No</v>
      </c>
      <c r="G1669" t="str">
        <f>VLOOKUP(A1669,Medical_Examinations[],6,FALSE)</f>
        <v>No</v>
      </c>
      <c r="H1669">
        <f>VLOOKUP(A1669,Medical_Examinations[],7,FALSE)</f>
        <v>1</v>
      </c>
      <c r="I1669" t="str">
        <f>VLOOKUP(A1669,Medical_Examinations[],8,FALSE)</f>
        <v>No</v>
      </c>
      <c r="J1669" t="str">
        <f>VLOOKUP(A1669,Medical_Examinations[],9,FALSE)</f>
        <v>Obesity</v>
      </c>
      <c r="K1669" t="str">
        <f>VLOOKUP(A1669,Medical_Examinations[],10,FALSE)</f>
        <v>Normal</v>
      </c>
      <c r="M1669">
        <f>VLOOKUP(A1669,Hospitalisation_Details__2[],4,FALSE)</f>
        <v>5729.01</v>
      </c>
      <c r="N1669" t="str">
        <f>VLOOKUP(A1669,Hospitalisation_Details__2[],5,FALSE)</f>
        <v>tier - 1</v>
      </c>
      <c r="O1669" t="str">
        <f>VLOOKUP(A1669,Hospitalisation_Details__2[],6,FALSE)</f>
        <v>tier - 2</v>
      </c>
      <c r="P1669" t="str">
        <f>VLOOKUP(A1669,Hospitalisation_Details__2[],7,FALSE)</f>
        <v>R1012</v>
      </c>
    </row>
    <row r="1670" spans="1:16" x14ac:dyDescent="0.35">
      <c r="A1670" t="str">
        <v>Id1669</v>
      </c>
      <c r="B1670" t="str">
        <f>VLOOKUP(A1670,'Customer Names (2)'!A:B, 2,FALSE)</f>
        <v>Mr</v>
      </c>
      <c r="C1670">
        <f>VLOOKUP(A1670,Medical_Examinations[],2,FALSE)</f>
        <v>16.88</v>
      </c>
      <c r="D1670">
        <f>VLOOKUP(A1670,Medical_Examinations[],3,FALSE)</f>
        <v>9.9600000000000009</v>
      </c>
      <c r="E1670" t="str">
        <f>VLOOKUP(A1670,Medical_Examinations[],4,FALSE)</f>
        <v>No</v>
      </c>
      <c r="F1670" t="str">
        <f>VLOOKUP(A1670,Medical_Examinations[],5,FALSE)</f>
        <v>No</v>
      </c>
      <c r="G1670" t="str">
        <f>VLOOKUP(A1670,Medical_Examinations[],6,FALSE)</f>
        <v>No</v>
      </c>
      <c r="H1670">
        <f>VLOOKUP(A1670,Medical_Examinations[],7,FALSE)</f>
        <v>0</v>
      </c>
      <c r="I1670" t="str">
        <f>VLOOKUP(A1670,Medical_Examinations[],8,FALSE)</f>
        <v>No</v>
      </c>
      <c r="J1670" t="str">
        <f>VLOOKUP(A1670,Medical_Examinations[],9,FALSE)</f>
        <v>Underweight</v>
      </c>
      <c r="K1670" t="str">
        <f>VLOOKUP(A1670,Medical_Examinations[],10,FALSE)</f>
        <v>Diabetes</v>
      </c>
      <c r="M1670">
        <f>VLOOKUP(A1670,Hospitalisation_Details__2[],4,FALSE)</f>
        <v>5720.38</v>
      </c>
      <c r="N1670" t="str">
        <f>VLOOKUP(A1670,Hospitalisation_Details__2[],5,FALSE)</f>
        <v>tier - 2</v>
      </c>
      <c r="O1670" t="str">
        <f>VLOOKUP(A1670,Hospitalisation_Details__2[],6,FALSE)</f>
        <v>tier - 1</v>
      </c>
      <c r="P1670" t="str">
        <f>VLOOKUP(A1670,Hospitalisation_Details__2[],7,FALSE)</f>
        <v>R1013</v>
      </c>
    </row>
    <row r="1671" spans="1:16" x14ac:dyDescent="0.35">
      <c r="A1671" t="str">
        <v>Id1670</v>
      </c>
      <c r="B1671" t="str">
        <f>VLOOKUP(A1671,'Customer Names (2)'!A:B, 2,FALSE)</f>
        <v>Mr</v>
      </c>
      <c r="C1671">
        <f>VLOOKUP(A1671,Medical_Examinations[],2,FALSE)</f>
        <v>40.26</v>
      </c>
      <c r="D1671">
        <f>VLOOKUP(A1671,Medical_Examinations[],3,FALSE)</f>
        <v>9.92</v>
      </c>
      <c r="E1671" t="str">
        <f>VLOOKUP(A1671,Medical_Examinations[],4,FALSE)</f>
        <v>Yes</v>
      </c>
      <c r="F1671" t="str">
        <f>VLOOKUP(A1671,Medical_Examinations[],5,FALSE)</f>
        <v>No</v>
      </c>
      <c r="G1671" t="str">
        <f>VLOOKUP(A1671,Medical_Examinations[],6,FALSE)</f>
        <v>No</v>
      </c>
      <c r="H1671">
        <f>VLOOKUP(A1671,Medical_Examinations[],7,FALSE)</f>
        <v>0</v>
      </c>
      <c r="I1671" t="str">
        <f>VLOOKUP(A1671,Medical_Examinations[],8,FALSE)</f>
        <v>No</v>
      </c>
      <c r="J1671" t="str">
        <f>VLOOKUP(A1671,Medical_Examinations[],9,FALSE)</f>
        <v>Obesity</v>
      </c>
      <c r="K1671" t="str">
        <f>VLOOKUP(A1671,Medical_Examinations[],10,FALSE)</f>
        <v>Diabetes</v>
      </c>
      <c r="M1671">
        <f>VLOOKUP(A1671,Hospitalisation_Details__2[],4,FALSE)</f>
        <v>5709.16</v>
      </c>
      <c r="N1671" t="str">
        <f>VLOOKUP(A1671,Hospitalisation_Details__2[],5,FALSE)</f>
        <v>tier - 3</v>
      </c>
      <c r="O1671" t="str">
        <f>VLOOKUP(A1671,Hospitalisation_Details__2[],6,FALSE)</f>
        <v>tier - 3</v>
      </c>
      <c r="P1671" t="str">
        <f>VLOOKUP(A1671,Hospitalisation_Details__2[],7,FALSE)</f>
        <v>R1013</v>
      </c>
    </row>
    <row r="1672" spans="1:16" x14ac:dyDescent="0.35">
      <c r="A1672" t="str">
        <v>Id1671</v>
      </c>
      <c r="B1672" t="str">
        <f>VLOOKUP(A1672,'Customer Names (2)'!A:B, 2,FALSE)</f>
        <v>Ms</v>
      </c>
      <c r="C1672">
        <f>VLOOKUP(A1672,Medical_Examinations[],2,FALSE)</f>
        <v>25.6</v>
      </c>
      <c r="D1672">
        <f>VLOOKUP(A1672,Medical_Examinations[],3,FALSE)</f>
        <v>6.03</v>
      </c>
      <c r="E1672" t="str">
        <f>VLOOKUP(A1672,Medical_Examinations[],4,FALSE)</f>
        <v>No</v>
      </c>
      <c r="F1672" t="str">
        <f>VLOOKUP(A1672,Medical_Examinations[],5,FALSE)</f>
        <v>No</v>
      </c>
      <c r="G1672" t="str">
        <f>VLOOKUP(A1672,Medical_Examinations[],6,FALSE)</f>
        <v>Yes</v>
      </c>
      <c r="H1672">
        <f>VLOOKUP(A1672,Medical_Examinations[],7,FALSE)</f>
        <v>1</v>
      </c>
      <c r="I1672" t="str">
        <f>VLOOKUP(A1672,Medical_Examinations[],8,FALSE)</f>
        <v>No</v>
      </c>
      <c r="J1672" t="str">
        <f>VLOOKUP(A1672,Medical_Examinations[],9,FALSE)</f>
        <v>Overweight</v>
      </c>
      <c r="K1672" t="str">
        <f>VLOOKUP(A1672,Medical_Examinations[],10,FALSE)</f>
        <v>Prediabetes</v>
      </c>
      <c r="M1672">
        <f>VLOOKUP(A1672,Hospitalisation_Details__2[],4,FALSE)</f>
        <v>5708.87</v>
      </c>
      <c r="N1672" t="str">
        <f>VLOOKUP(A1672,Hospitalisation_Details__2[],5,FALSE)</f>
        <v>tier - 2</v>
      </c>
      <c r="O1672" t="str">
        <f>VLOOKUP(A1672,Hospitalisation_Details__2[],6,FALSE)</f>
        <v>tier - 1</v>
      </c>
      <c r="P1672" t="str">
        <f>VLOOKUP(A1672,Hospitalisation_Details__2[],7,FALSE)</f>
        <v>R1011</v>
      </c>
    </row>
    <row r="1673" spans="1:16" x14ac:dyDescent="0.35">
      <c r="A1673" t="str">
        <v>Id1672</v>
      </c>
      <c r="B1673" t="str">
        <f>VLOOKUP(A1673,'Customer Names (2)'!A:B, 2,FALSE)</f>
        <v>Mr</v>
      </c>
      <c r="C1673">
        <f>VLOOKUP(A1673,Medical_Examinations[],2,FALSE)</f>
        <v>33.549999999999997</v>
      </c>
      <c r="D1673">
        <f>VLOOKUP(A1673,Medical_Examinations[],3,FALSE)</f>
        <v>10.9</v>
      </c>
      <c r="E1673" t="str">
        <f>VLOOKUP(A1673,Medical_Examinations[],4,FALSE)</f>
        <v>Yes</v>
      </c>
      <c r="F1673" t="str">
        <f>VLOOKUP(A1673,Medical_Examinations[],5,FALSE)</f>
        <v>No</v>
      </c>
      <c r="G1673" t="str">
        <f>VLOOKUP(A1673,Medical_Examinations[],6,FALSE)</f>
        <v>No</v>
      </c>
      <c r="H1673">
        <f>VLOOKUP(A1673,Medical_Examinations[],7,FALSE)</f>
        <v>0</v>
      </c>
      <c r="I1673" t="str">
        <f>VLOOKUP(A1673,Medical_Examinations[],8,FALSE)</f>
        <v>No</v>
      </c>
      <c r="J1673" t="str">
        <f>VLOOKUP(A1673,Medical_Examinations[],9,FALSE)</f>
        <v>Obesity</v>
      </c>
      <c r="K1673" t="str">
        <f>VLOOKUP(A1673,Medical_Examinations[],10,FALSE)</f>
        <v>Diabetes</v>
      </c>
      <c r="M1673">
        <f>VLOOKUP(A1673,Hospitalisation_Details__2[],4,FALSE)</f>
        <v>5699.84</v>
      </c>
      <c r="N1673" t="str">
        <f>VLOOKUP(A1673,Hospitalisation_Details__2[],5,FALSE)</f>
        <v>tier - 2</v>
      </c>
      <c r="O1673" t="str">
        <f>VLOOKUP(A1673,Hospitalisation_Details__2[],6,FALSE)</f>
        <v>tier - 3</v>
      </c>
      <c r="P1673" t="str">
        <f>VLOOKUP(A1673,Hospitalisation_Details__2[],7,FALSE)</f>
        <v>R1013</v>
      </c>
    </row>
    <row r="1674" spans="1:16" x14ac:dyDescent="0.35">
      <c r="A1674" t="str">
        <v>Id1673</v>
      </c>
      <c r="B1674" t="str">
        <f>VLOOKUP(A1674,'Customer Names (2)'!A:B, 2,FALSE)</f>
        <v>Ms</v>
      </c>
      <c r="C1674">
        <f>VLOOKUP(A1674,Medical_Examinations[],2,FALSE)</f>
        <v>16.690000000000001</v>
      </c>
      <c r="D1674">
        <f>VLOOKUP(A1674,Medical_Examinations[],3,FALSE)</f>
        <v>10.66</v>
      </c>
      <c r="E1674" t="str">
        <f>VLOOKUP(A1674,Medical_Examinations[],4,FALSE)</f>
        <v>No</v>
      </c>
      <c r="F1674" t="str">
        <f>VLOOKUP(A1674,Medical_Examinations[],5,FALSE)</f>
        <v>No</v>
      </c>
      <c r="G1674" t="str">
        <f>VLOOKUP(A1674,Medical_Examinations[],6,FALSE)</f>
        <v>No</v>
      </c>
      <c r="H1674">
        <f>VLOOKUP(A1674,Medical_Examinations[],7,FALSE)</f>
        <v>0</v>
      </c>
      <c r="I1674" t="str">
        <f>VLOOKUP(A1674,Medical_Examinations[],8,FALSE)</f>
        <v>No</v>
      </c>
      <c r="J1674" t="str">
        <f>VLOOKUP(A1674,Medical_Examinations[],9,FALSE)</f>
        <v>Underweight</v>
      </c>
      <c r="K1674" t="str">
        <f>VLOOKUP(A1674,Medical_Examinations[],10,FALSE)</f>
        <v>Diabetes</v>
      </c>
      <c r="M1674">
        <f>VLOOKUP(A1674,Hospitalisation_Details__2[],4,FALSE)</f>
        <v>5698.74</v>
      </c>
      <c r="N1674" t="str">
        <f>VLOOKUP(A1674,Hospitalisation_Details__2[],5,FALSE)</f>
        <v>tier - 2</v>
      </c>
      <c r="O1674" t="str">
        <f>VLOOKUP(A1674,Hospitalisation_Details__2[],6,FALSE)</f>
        <v>tier - 2</v>
      </c>
      <c r="P1674" t="str">
        <f>VLOOKUP(A1674,Hospitalisation_Details__2[],7,FALSE)</f>
        <v>R1012</v>
      </c>
    </row>
    <row r="1675" spans="1:16" x14ac:dyDescent="0.35">
      <c r="A1675" t="str">
        <v>Id1674</v>
      </c>
      <c r="B1675" t="str">
        <f>VLOOKUP(A1675,'Customer Names (2)'!A:B, 2,FALSE)</f>
        <v>Ms</v>
      </c>
      <c r="C1675">
        <f>VLOOKUP(A1675,Medical_Examinations[],2,FALSE)</f>
        <v>19.95</v>
      </c>
      <c r="D1675">
        <f>VLOOKUP(A1675,Medical_Examinations[],3,FALSE)</f>
        <v>4.05</v>
      </c>
      <c r="E1675" t="str">
        <f>VLOOKUP(A1675,Medical_Examinations[],4,FALSE)</f>
        <v>No</v>
      </c>
      <c r="F1675" t="str">
        <f>VLOOKUP(A1675,Medical_Examinations[],5,FALSE)</f>
        <v>No</v>
      </c>
      <c r="G1675" t="str">
        <f>VLOOKUP(A1675,Medical_Examinations[],6,FALSE)</f>
        <v>No</v>
      </c>
      <c r="H1675">
        <f>VLOOKUP(A1675,Medical_Examinations[],7,FALSE)</f>
        <v>1</v>
      </c>
      <c r="I1675" t="str">
        <f>VLOOKUP(A1675,Medical_Examinations[],8,FALSE)</f>
        <v>No</v>
      </c>
      <c r="J1675" t="str">
        <f>VLOOKUP(A1675,Medical_Examinations[],9,FALSE)</f>
        <v>Normal Weight</v>
      </c>
      <c r="K1675" t="str">
        <f>VLOOKUP(A1675,Medical_Examinations[],10,FALSE)</f>
        <v>Normal</v>
      </c>
      <c r="M1675">
        <f>VLOOKUP(A1675,Hospitalisation_Details__2[],4,FALSE)</f>
        <v>5693.43</v>
      </c>
      <c r="N1675" t="str">
        <f>VLOOKUP(A1675,Hospitalisation_Details__2[],5,FALSE)</f>
        <v>tier - 2</v>
      </c>
      <c r="O1675" t="str">
        <f>VLOOKUP(A1675,Hospitalisation_Details__2[],6,FALSE)</f>
        <v>tier - 3</v>
      </c>
      <c r="P1675" t="str">
        <f>VLOOKUP(A1675,Hospitalisation_Details__2[],7,FALSE)</f>
        <v>R1012</v>
      </c>
    </row>
    <row r="1676" spans="1:16" x14ac:dyDescent="0.35">
      <c r="A1676" t="str">
        <v>Id1675</v>
      </c>
      <c r="B1676" t="str">
        <f>VLOOKUP(A1676,'Customer Names (2)'!A:B, 2,FALSE)</f>
        <v>Mr</v>
      </c>
      <c r="C1676">
        <f>VLOOKUP(A1676,Medical_Examinations[],2,FALSE)</f>
        <v>17.55</v>
      </c>
      <c r="D1676">
        <f>VLOOKUP(A1676,Medical_Examinations[],3,FALSE)</f>
        <v>4.2300000000000004</v>
      </c>
      <c r="E1676" t="str">
        <f>VLOOKUP(A1676,Medical_Examinations[],4,FALSE)</f>
        <v>No</v>
      </c>
      <c r="F1676" t="str">
        <f>VLOOKUP(A1676,Medical_Examinations[],5,FALSE)</f>
        <v>No</v>
      </c>
      <c r="G1676" t="str">
        <f>VLOOKUP(A1676,Medical_Examinations[],6,FALSE)</f>
        <v>No</v>
      </c>
      <c r="H1676">
        <f>VLOOKUP(A1676,Medical_Examinations[],7,FALSE)</f>
        <v>2</v>
      </c>
      <c r="I1676" t="str">
        <f>VLOOKUP(A1676,Medical_Examinations[],8,FALSE)</f>
        <v>No</v>
      </c>
      <c r="J1676" t="str">
        <f>VLOOKUP(A1676,Medical_Examinations[],9,FALSE)</f>
        <v>Underweight</v>
      </c>
      <c r="K1676" t="str">
        <f>VLOOKUP(A1676,Medical_Examinations[],10,FALSE)</f>
        <v>Normal</v>
      </c>
      <c r="M1676">
        <f>VLOOKUP(A1676,Hospitalisation_Details__2[],4,FALSE)</f>
        <v>5690.79</v>
      </c>
      <c r="N1676" t="str">
        <f>VLOOKUP(A1676,Hospitalisation_Details__2[],5,FALSE)</f>
        <v>tier - 2</v>
      </c>
      <c r="O1676" t="str">
        <f>VLOOKUP(A1676,Hospitalisation_Details__2[],6,FALSE)</f>
        <v>tier - 1</v>
      </c>
      <c r="P1676" t="str">
        <f>VLOOKUP(A1676,Hospitalisation_Details__2[],7,FALSE)</f>
        <v>R1013</v>
      </c>
    </row>
    <row r="1677" spans="1:16" x14ac:dyDescent="0.35">
      <c r="A1677" t="str">
        <v>Id1676</v>
      </c>
      <c r="B1677" t="str">
        <f>VLOOKUP(A1677,'Customer Names (2)'!A:B, 2,FALSE)</f>
        <v>Ms</v>
      </c>
      <c r="C1677">
        <f>VLOOKUP(A1677,Medical_Examinations[],2,FALSE)</f>
        <v>22.01</v>
      </c>
      <c r="D1677">
        <f>VLOOKUP(A1677,Medical_Examinations[],3,FALSE)</f>
        <v>5.01</v>
      </c>
      <c r="E1677" t="str">
        <f>VLOOKUP(A1677,Medical_Examinations[],4,FALSE)</f>
        <v>No</v>
      </c>
      <c r="F1677" t="str">
        <f>VLOOKUP(A1677,Medical_Examinations[],5,FALSE)</f>
        <v>No</v>
      </c>
      <c r="G1677" t="str">
        <f>VLOOKUP(A1677,Medical_Examinations[],6,FALSE)</f>
        <v>No</v>
      </c>
      <c r="H1677">
        <f>VLOOKUP(A1677,Medical_Examinations[],7,FALSE)</f>
        <v>1</v>
      </c>
      <c r="I1677" t="str">
        <f>VLOOKUP(A1677,Medical_Examinations[],8,FALSE)</f>
        <v>No</v>
      </c>
      <c r="J1677" t="str">
        <f>VLOOKUP(A1677,Medical_Examinations[],9,FALSE)</f>
        <v>Normal Weight</v>
      </c>
      <c r="K1677" t="str">
        <f>VLOOKUP(A1677,Medical_Examinations[],10,FALSE)</f>
        <v>Normal</v>
      </c>
      <c r="M1677">
        <f>VLOOKUP(A1677,Hospitalisation_Details__2[],4,FALSE)</f>
        <v>5679.13</v>
      </c>
      <c r="N1677" t="str">
        <f>VLOOKUP(A1677,Hospitalisation_Details__2[],5,FALSE)</f>
        <v>tier - 2</v>
      </c>
      <c r="O1677" t="str">
        <f>VLOOKUP(A1677,Hospitalisation_Details__2[],6,FALSE)</f>
        <v>tier - 2</v>
      </c>
      <c r="P1677" t="str">
        <f>VLOOKUP(A1677,Hospitalisation_Details__2[],7,FALSE)</f>
        <v>R1013</v>
      </c>
    </row>
    <row r="1678" spans="1:16" x14ac:dyDescent="0.35">
      <c r="A1678" t="str">
        <v>Id1677</v>
      </c>
      <c r="B1678" t="str">
        <f>VLOOKUP(A1678,'Customer Names (2)'!A:B, 2,FALSE)</f>
        <v>Ms</v>
      </c>
      <c r="C1678">
        <f>VLOOKUP(A1678,Medical_Examinations[],2,FALSE)</f>
        <v>41.8</v>
      </c>
      <c r="D1678">
        <f>VLOOKUP(A1678,Medical_Examinations[],3,FALSE)</f>
        <v>5.82</v>
      </c>
      <c r="E1678" t="str">
        <f>VLOOKUP(A1678,Medical_Examinations[],4,FALSE)</f>
        <v>Yes</v>
      </c>
      <c r="F1678" t="str">
        <f>VLOOKUP(A1678,Medical_Examinations[],5,FALSE)</f>
        <v>No</v>
      </c>
      <c r="G1678" t="str">
        <f>VLOOKUP(A1678,Medical_Examinations[],6,FALSE)</f>
        <v>Yes</v>
      </c>
      <c r="H1678">
        <f>VLOOKUP(A1678,Medical_Examinations[],7,FALSE)</f>
        <v>1</v>
      </c>
      <c r="I1678" t="str">
        <f>VLOOKUP(A1678,Medical_Examinations[],8,FALSE)</f>
        <v>No</v>
      </c>
      <c r="J1678" t="str">
        <f>VLOOKUP(A1678,Medical_Examinations[],9,FALSE)</f>
        <v>Obesity</v>
      </c>
      <c r="K1678" t="str">
        <f>VLOOKUP(A1678,Medical_Examinations[],10,FALSE)</f>
        <v>Prediabetes</v>
      </c>
      <c r="M1678">
        <f>VLOOKUP(A1678,Hospitalisation_Details__2[],4,FALSE)</f>
        <v>5662.23</v>
      </c>
      <c r="N1678" t="str">
        <f>VLOOKUP(A1678,Hospitalisation_Details__2[],5,FALSE)</f>
        <v>tier - 2</v>
      </c>
      <c r="O1678" t="str">
        <f>VLOOKUP(A1678,Hospitalisation_Details__2[],6,FALSE)</f>
        <v>tier - 1</v>
      </c>
      <c r="P1678" t="str">
        <f>VLOOKUP(A1678,Hospitalisation_Details__2[],7,FALSE)</f>
        <v>R1013</v>
      </c>
    </row>
    <row r="1679" spans="1:16" x14ac:dyDescent="0.35">
      <c r="A1679" t="str">
        <v>Id1678</v>
      </c>
      <c r="B1679" t="str">
        <f>VLOOKUP(A1679,'Customer Names (2)'!A:B, 2,FALSE)</f>
        <v>Mr</v>
      </c>
      <c r="C1679">
        <f>VLOOKUP(A1679,Medical_Examinations[],2,FALSE)</f>
        <v>19.170000000000002</v>
      </c>
      <c r="D1679">
        <f>VLOOKUP(A1679,Medical_Examinations[],3,FALSE)</f>
        <v>7.94</v>
      </c>
      <c r="E1679" t="str">
        <f>VLOOKUP(A1679,Medical_Examinations[],4,FALSE)</f>
        <v>No</v>
      </c>
      <c r="F1679" t="str">
        <f>VLOOKUP(A1679,Medical_Examinations[],5,FALSE)</f>
        <v>No</v>
      </c>
      <c r="G1679" t="str">
        <f>VLOOKUP(A1679,Medical_Examinations[],6,FALSE)</f>
        <v>No</v>
      </c>
      <c r="H1679">
        <f>VLOOKUP(A1679,Medical_Examinations[],7,FALSE)</f>
        <v>0</v>
      </c>
      <c r="I1679" t="str">
        <f>VLOOKUP(A1679,Medical_Examinations[],8,FALSE)</f>
        <v>No</v>
      </c>
      <c r="J1679" t="str">
        <f>VLOOKUP(A1679,Medical_Examinations[],9,FALSE)</f>
        <v>Normal Weight</v>
      </c>
      <c r="K1679" t="str">
        <f>VLOOKUP(A1679,Medical_Examinations[],10,FALSE)</f>
        <v>Diabetes</v>
      </c>
      <c r="M1679">
        <f>VLOOKUP(A1679,Hospitalisation_Details__2[],4,FALSE)</f>
        <v>5650.14</v>
      </c>
      <c r="N1679" t="str">
        <f>VLOOKUP(A1679,Hospitalisation_Details__2[],5,FALSE)</f>
        <v>tier - 2</v>
      </c>
      <c r="O1679" t="str">
        <f>VLOOKUP(A1679,Hospitalisation_Details__2[],6,FALSE)</f>
        <v>tier - 1</v>
      </c>
      <c r="P1679" t="str">
        <f>VLOOKUP(A1679,Hospitalisation_Details__2[],7,FALSE)</f>
        <v>R1013</v>
      </c>
    </row>
    <row r="1680" spans="1:16" x14ac:dyDescent="0.35">
      <c r="A1680" t="str">
        <v>Id1679</v>
      </c>
      <c r="B1680" t="str">
        <f>VLOOKUP(A1680,'Customer Names (2)'!A:B, 2,FALSE)</f>
        <v>Ms</v>
      </c>
      <c r="C1680">
        <f>VLOOKUP(A1680,Medical_Examinations[],2,FALSE)</f>
        <v>32.799999999999997</v>
      </c>
      <c r="D1680">
        <f>VLOOKUP(A1680,Medical_Examinations[],3,FALSE)</f>
        <v>6.16</v>
      </c>
      <c r="E1680" t="str">
        <f>VLOOKUP(A1680,Medical_Examinations[],4,FALSE)</f>
        <v>Yes</v>
      </c>
      <c r="F1680" t="str">
        <f>VLOOKUP(A1680,Medical_Examinations[],5,FALSE)</f>
        <v>No</v>
      </c>
      <c r="G1680" t="str">
        <f>VLOOKUP(A1680,Medical_Examinations[],6,FALSE)</f>
        <v>Yes</v>
      </c>
      <c r="H1680">
        <f>VLOOKUP(A1680,Medical_Examinations[],7,FALSE)</f>
        <v>1</v>
      </c>
      <c r="I1680" t="str">
        <f>VLOOKUP(A1680,Medical_Examinations[],8,FALSE)</f>
        <v>No</v>
      </c>
      <c r="J1680" t="str">
        <f>VLOOKUP(A1680,Medical_Examinations[],9,FALSE)</f>
        <v>Obesity</v>
      </c>
      <c r="K1680" t="str">
        <f>VLOOKUP(A1680,Medical_Examinations[],10,FALSE)</f>
        <v>Prediabetes</v>
      </c>
      <c r="M1680">
        <f>VLOOKUP(A1680,Hospitalisation_Details__2[],4,FALSE)</f>
        <v>5649.72</v>
      </c>
      <c r="N1680" t="str">
        <f>VLOOKUP(A1680,Hospitalisation_Details__2[],5,FALSE)</f>
        <v>tier - 2</v>
      </c>
      <c r="O1680" t="str">
        <f>VLOOKUP(A1680,Hospitalisation_Details__2[],6,FALSE)</f>
        <v>tier - 3</v>
      </c>
      <c r="P1680" t="str">
        <f>VLOOKUP(A1680,Hospitalisation_Details__2[],7,FALSE)</f>
        <v>R1011</v>
      </c>
    </row>
    <row r="1681" spans="1:16" x14ac:dyDescent="0.35">
      <c r="A1681" t="str">
        <v>Id1680</v>
      </c>
      <c r="B1681" t="str">
        <f>VLOOKUP(A1681,'Customer Names (2)'!A:B, 2,FALSE)</f>
        <v>Ms</v>
      </c>
      <c r="C1681">
        <f>VLOOKUP(A1681,Medical_Examinations[],2,FALSE)</f>
        <v>35.814999999999998</v>
      </c>
      <c r="D1681">
        <f>VLOOKUP(A1681,Medical_Examinations[],3,FALSE)</f>
        <v>4.1500000000000004</v>
      </c>
      <c r="E1681" t="str">
        <f>VLOOKUP(A1681,Medical_Examinations[],4,FALSE)</f>
        <v>No</v>
      </c>
      <c r="F1681" t="str">
        <f>VLOOKUP(A1681,Medical_Examinations[],5,FALSE)</f>
        <v>No</v>
      </c>
      <c r="G1681" t="str">
        <f>VLOOKUP(A1681,Medical_Examinations[],6,FALSE)</f>
        <v>No</v>
      </c>
      <c r="H1681">
        <f>VLOOKUP(A1681,Medical_Examinations[],7,FALSE)</f>
        <v>1</v>
      </c>
      <c r="I1681" t="str">
        <f>VLOOKUP(A1681,Medical_Examinations[],8,FALSE)</f>
        <v>No</v>
      </c>
      <c r="J1681" t="str">
        <f>VLOOKUP(A1681,Medical_Examinations[],9,FALSE)</f>
        <v>Obesity</v>
      </c>
      <c r="K1681" t="str">
        <f>VLOOKUP(A1681,Medical_Examinations[],10,FALSE)</f>
        <v>Normal</v>
      </c>
      <c r="M1681">
        <f>VLOOKUP(A1681,Hospitalisation_Details__2[],4,FALSE)</f>
        <v>5630.46</v>
      </c>
      <c r="N1681" t="str">
        <f>VLOOKUP(A1681,Hospitalisation_Details__2[],5,FALSE)</f>
        <v>tier - 2</v>
      </c>
      <c r="O1681" t="str">
        <f>VLOOKUP(A1681,Hospitalisation_Details__2[],6,FALSE)</f>
        <v>tier - 3</v>
      </c>
      <c r="P1681" t="str">
        <f>VLOOKUP(A1681,Hospitalisation_Details__2[],7,FALSE)</f>
        <v>R1012</v>
      </c>
    </row>
    <row r="1682" spans="1:16" x14ac:dyDescent="0.35">
      <c r="A1682" t="str">
        <v>Id1681</v>
      </c>
      <c r="B1682" t="str">
        <f>VLOOKUP(A1682,'Customer Names (2)'!A:B, 2,FALSE)</f>
        <v>Mr</v>
      </c>
      <c r="C1682">
        <f>VLOOKUP(A1682,Medical_Examinations[],2,FALSE)</f>
        <v>24.3</v>
      </c>
      <c r="D1682">
        <f>VLOOKUP(A1682,Medical_Examinations[],3,FALSE)</f>
        <v>6.23</v>
      </c>
      <c r="E1682" t="str">
        <f>VLOOKUP(A1682,Medical_Examinations[],4,FALSE)</f>
        <v>No</v>
      </c>
      <c r="F1682" t="str">
        <f>VLOOKUP(A1682,Medical_Examinations[],5,FALSE)</f>
        <v>No</v>
      </c>
      <c r="G1682" t="str">
        <f>VLOOKUP(A1682,Medical_Examinations[],6,FALSE)</f>
        <v>No</v>
      </c>
      <c r="H1682">
        <f>VLOOKUP(A1682,Medical_Examinations[],7,FALSE)</f>
        <v>0</v>
      </c>
      <c r="I1682" t="str">
        <f>VLOOKUP(A1682,Medical_Examinations[],8,FALSE)</f>
        <v>No</v>
      </c>
      <c r="J1682" t="str">
        <f>VLOOKUP(A1682,Medical_Examinations[],9,FALSE)</f>
        <v>Normal Weight</v>
      </c>
      <c r="K1682" t="str">
        <f>VLOOKUP(A1682,Medical_Examinations[],10,FALSE)</f>
        <v>Prediabetes</v>
      </c>
      <c r="M1682">
        <f>VLOOKUP(A1682,Hospitalisation_Details__2[],4,FALSE)</f>
        <v>5615.37</v>
      </c>
      <c r="N1682" t="str">
        <f>VLOOKUP(A1682,Hospitalisation_Details__2[],5,FALSE)</f>
        <v>tier - 2</v>
      </c>
      <c r="O1682" t="str">
        <f>VLOOKUP(A1682,Hospitalisation_Details__2[],6,FALSE)</f>
        <v>tier - 3</v>
      </c>
      <c r="P1682" t="str">
        <f>VLOOKUP(A1682,Hospitalisation_Details__2[],7,FALSE)</f>
        <v>R1011</v>
      </c>
    </row>
    <row r="1683" spans="1:16" x14ac:dyDescent="0.35">
      <c r="A1683" t="str">
        <v>Id1682</v>
      </c>
      <c r="B1683" t="str">
        <f>VLOOKUP(A1683,'Customer Names (2)'!A:B, 2,FALSE)</f>
        <v>Mr</v>
      </c>
      <c r="C1683">
        <f>VLOOKUP(A1683,Medical_Examinations[],2,FALSE)</f>
        <v>19.059999999999999</v>
      </c>
      <c r="D1683">
        <f>VLOOKUP(A1683,Medical_Examinations[],3,FALSE)</f>
        <v>7.41</v>
      </c>
      <c r="E1683" t="str">
        <f>VLOOKUP(A1683,Medical_Examinations[],4,FALSE)</f>
        <v>No</v>
      </c>
      <c r="F1683" t="str">
        <f>VLOOKUP(A1683,Medical_Examinations[],5,FALSE)</f>
        <v>No</v>
      </c>
      <c r="G1683" t="str">
        <f>VLOOKUP(A1683,Medical_Examinations[],6,FALSE)</f>
        <v>No</v>
      </c>
      <c r="H1683">
        <f>VLOOKUP(A1683,Medical_Examinations[],7,FALSE)</f>
        <v>0</v>
      </c>
      <c r="I1683" t="str">
        <f>VLOOKUP(A1683,Medical_Examinations[],8,FALSE)</f>
        <v>No</v>
      </c>
      <c r="J1683" t="str">
        <f>VLOOKUP(A1683,Medical_Examinations[],9,FALSE)</f>
        <v>Normal Weight</v>
      </c>
      <c r="K1683" t="str">
        <f>VLOOKUP(A1683,Medical_Examinations[],10,FALSE)</f>
        <v>Diabetes</v>
      </c>
      <c r="M1683">
        <f>VLOOKUP(A1683,Hospitalisation_Details__2[],4,FALSE)</f>
        <v>5612.83</v>
      </c>
      <c r="N1683" t="str">
        <f>VLOOKUP(A1683,Hospitalisation_Details__2[],5,FALSE)</f>
        <v>tier - 2</v>
      </c>
      <c r="O1683" t="str">
        <f>VLOOKUP(A1683,Hospitalisation_Details__2[],6,FALSE)</f>
        <v>tier - 3</v>
      </c>
      <c r="P1683" t="str">
        <f>VLOOKUP(A1683,Hospitalisation_Details__2[],7,FALSE)</f>
        <v>R1013</v>
      </c>
    </row>
    <row r="1684" spans="1:16" x14ac:dyDescent="0.35">
      <c r="A1684" t="str">
        <v>Id1683</v>
      </c>
      <c r="B1684" t="str">
        <f>VLOOKUP(A1684,'Customer Names (2)'!A:B, 2,FALSE)</f>
        <v>Ms</v>
      </c>
      <c r="C1684">
        <f>VLOOKUP(A1684,Medical_Examinations[],2,FALSE)</f>
        <v>33.25</v>
      </c>
      <c r="D1684">
        <f>VLOOKUP(A1684,Medical_Examinations[],3,FALSE)</f>
        <v>5.62</v>
      </c>
      <c r="E1684" t="str">
        <f>VLOOKUP(A1684,Medical_Examinations[],4,FALSE)</f>
        <v>Yes</v>
      </c>
      <c r="F1684" t="str">
        <f>VLOOKUP(A1684,Medical_Examinations[],5,FALSE)</f>
        <v>No</v>
      </c>
      <c r="G1684" t="str">
        <f>VLOOKUP(A1684,Medical_Examinations[],6,FALSE)</f>
        <v>No</v>
      </c>
      <c r="H1684">
        <f>VLOOKUP(A1684,Medical_Examinations[],7,FALSE)</f>
        <v>1</v>
      </c>
      <c r="I1684" t="str">
        <f>VLOOKUP(A1684,Medical_Examinations[],8,FALSE)</f>
        <v>No</v>
      </c>
      <c r="J1684" t="str">
        <f>VLOOKUP(A1684,Medical_Examinations[],9,FALSE)</f>
        <v>Obesity</v>
      </c>
      <c r="K1684" t="str">
        <f>VLOOKUP(A1684,Medical_Examinations[],10,FALSE)</f>
        <v>Normal</v>
      </c>
      <c r="M1684">
        <f>VLOOKUP(A1684,Hospitalisation_Details__2[],4,FALSE)</f>
        <v>5594.85</v>
      </c>
      <c r="N1684" t="str">
        <f>VLOOKUP(A1684,Hospitalisation_Details__2[],5,FALSE)</f>
        <v>tier - 2</v>
      </c>
      <c r="O1684" t="str">
        <f>VLOOKUP(A1684,Hospitalisation_Details__2[],6,FALSE)</f>
        <v>tier - 3</v>
      </c>
      <c r="P1684" t="str">
        <f>VLOOKUP(A1684,Hospitalisation_Details__2[],7,FALSE)</f>
        <v>R1024</v>
      </c>
    </row>
    <row r="1685" spans="1:16" x14ac:dyDescent="0.35">
      <c r="A1685" t="str">
        <v>Id1684</v>
      </c>
      <c r="B1685" t="str">
        <f>VLOOKUP(A1685,'Customer Names (2)'!A:B, 2,FALSE)</f>
        <v>Mr</v>
      </c>
      <c r="C1685">
        <f>VLOOKUP(A1685,Medical_Examinations[],2,FALSE)</f>
        <v>21.37</v>
      </c>
      <c r="D1685">
        <f>VLOOKUP(A1685,Medical_Examinations[],3,FALSE)</f>
        <v>4.54</v>
      </c>
      <c r="E1685" t="str">
        <f>VLOOKUP(A1685,Medical_Examinations[],4,FALSE)</f>
        <v>Yes</v>
      </c>
      <c r="F1685" t="str">
        <f>VLOOKUP(A1685,Medical_Examinations[],5,FALSE)</f>
        <v>No</v>
      </c>
      <c r="G1685" t="str">
        <f>VLOOKUP(A1685,Medical_Examinations[],6,FALSE)</f>
        <v>Yes</v>
      </c>
      <c r="H1685">
        <f>VLOOKUP(A1685,Medical_Examinations[],7,FALSE)</f>
        <v>1</v>
      </c>
      <c r="I1685" t="str">
        <f>VLOOKUP(A1685,Medical_Examinations[],8,FALSE)</f>
        <v>No</v>
      </c>
      <c r="J1685" t="str">
        <f>VLOOKUP(A1685,Medical_Examinations[],9,FALSE)</f>
        <v>Normal Weight</v>
      </c>
      <c r="K1685" t="str">
        <f>VLOOKUP(A1685,Medical_Examinations[],10,FALSE)</f>
        <v>Normal</v>
      </c>
      <c r="M1685">
        <f>VLOOKUP(A1685,Hospitalisation_Details__2[],4,FALSE)</f>
        <v>5587.59</v>
      </c>
      <c r="N1685" t="str">
        <f>VLOOKUP(A1685,Hospitalisation_Details__2[],5,FALSE)</f>
        <v>tier - 2</v>
      </c>
      <c r="O1685" t="str">
        <f>VLOOKUP(A1685,Hospitalisation_Details__2[],6,FALSE)</f>
        <v>tier - 1</v>
      </c>
      <c r="P1685" t="str">
        <f>VLOOKUP(A1685,Hospitalisation_Details__2[],7,FALSE)</f>
        <v>R1013</v>
      </c>
    </row>
    <row r="1686" spans="1:16" x14ac:dyDescent="0.35">
      <c r="A1686" t="str">
        <v>Id1685</v>
      </c>
      <c r="B1686" t="str">
        <f>VLOOKUP(A1686,'Customer Names (2)'!A:B, 2,FALSE)</f>
        <v>Mr</v>
      </c>
      <c r="C1686">
        <f>VLOOKUP(A1686,Medical_Examinations[],2,FALSE)</f>
        <v>34.43</v>
      </c>
      <c r="D1686">
        <f>VLOOKUP(A1686,Medical_Examinations[],3,FALSE)</f>
        <v>8.6199999999999992</v>
      </c>
      <c r="E1686" t="str">
        <f>VLOOKUP(A1686,Medical_Examinations[],4,FALSE)</f>
        <v>Yes</v>
      </c>
      <c r="F1686" t="str">
        <f>VLOOKUP(A1686,Medical_Examinations[],5,FALSE)</f>
        <v>No</v>
      </c>
      <c r="G1686" t="str">
        <f>VLOOKUP(A1686,Medical_Examinations[],6,FALSE)</f>
        <v>No</v>
      </c>
      <c r="H1686">
        <f>VLOOKUP(A1686,Medical_Examinations[],7,FALSE)</f>
        <v>1</v>
      </c>
      <c r="I1686" t="str">
        <f>VLOOKUP(A1686,Medical_Examinations[],8,FALSE)</f>
        <v>No</v>
      </c>
      <c r="J1686" t="str">
        <f>VLOOKUP(A1686,Medical_Examinations[],9,FALSE)</f>
        <v>Obesity</v>
      </c>
      <c r="K1686" t="str">
        <f>VLOOKUP(A1686,Medical_Examinations[],10,FALSE)</f>
        <v>Diabetes</v>
      </c>
      <c r="M1686">
        <f>VLOOKUP(A1686,Hospitalisation_Details__2[],4,FALSE)</f>
        <v>5584.31</v>
      </c>
      <c r="N1686" t="str">
        <f>VLOOKUP(A1686,Hospitalisation_Details__2[],5,FALSE)</f>
        <v>tier - 3</v>
      </c>
      <c r="O1686" t="str">
        <f>VLOOKUP(A1686,Hospitalisation_Details__2[],6,FALSE)</f>
        <v>tier - 1</v>
      </c>
      <c r="P1686" t="str">
        <f>VLOOKUP(A1686,Hospitalisation_Details__2[],7,FALSE)</f>
        <v>R1013</v>
      </c>
    </row>
    <row r="1687" spans="1:16" x14ac:dyDescent="0.35">
      <c r="A1687" t="str">
        <v>Id1686</v>
      </c>
      <c r="B1687" t="str">
        <f>VLOOKUP(A1687,'Customer Names (2)'!A:B, 2,FALSE)</f>
        <v>Mr</v>
      </c>
      <c r="C1687">
        <f>VLOOKUP(A1687,Medical_Examinations[],2,FALSE)</f>
        <v>20.86</v>
      </c>
      <c r="D1687">
        <f>VLOOKUP(A1687,Medical_Examinations[],3,FALSE)</f>
        <v>4.3600000000000003</v>
      </c>
      <c r="E1687" t="str">
        <f>VLOOKUP(A1687,Medical_Examinations[],4,FALSE)</f>
        <v>Yes</v>
      </c>
      <c r="F1687" t="str">
        <f>VLOOKUP(A1687,Medical_Examinations[],5,FALSE)</f>
        <v>No</v>
      </c>
      <c r="G1687" t="str">
        <f>VLOOKUP(A1687,Medical_Examinations[],6,FALSE)</f>
        <v>No</v>
      </c>
      <c r="H1687">
        <f>VLOOKUP(A1687,Medical_Examinations[],7,FALSE)</f>
        <v>0</v>
      </c>
      <c r="I1687" t="str">
        <f>VLOOKUP(A1687,Medical_Examinations[],8,FALSE)</f>
        <v>No</v>
      </c>
      <c r="J1687" t="str">
        <f>VLOOKUP(A1687,Medical_Examinations[],9,FALSE)</f>
        <v>Normal Weight</v>
      </c>
      <c r="K1687" t="str">
        <f>VLOOKUP(A1687,Medical_Examinations[],10,FALSE)</f>
        <v>Normal</v>
      </c>
      <c r="M1687">
        <f>VLOOKUP(A1687,Hospitalisation_Details__2[],4,FALSE)</f>
        <v>5582.95</v>
      </c>
      <c r="N1687" t="str">
        <f>VLOOKUP(A1687,Hospitalisation_Details__2[],5,FALSE)</f>
        <v>tier - 2</v>
      </c>
      <c r="O1687" t="str">
        <f>VLOOKUP(A1687,Hospitalisation_Details__2[],6,FALSE)</f>
        <v>tier - 1</v>
      </c>
      <c r="P1687" t="str">
        <f>VLOOKUP(A1687,Hospitalisation_Details__2[],7,FALSE)</f>
        <v>R1012</v>
      </c>
    </row>
    <row r="1688" spans="1:16" x14ac:dyDescent="0.35">
      <c r="A1688" t="str">
        <v>Id1687</v>
      </c>
      <c r="B1688" t="str">
        <f>VLOOKUP(A1688,'Customer Names (2)'!A:B, 2,FALSE)</f>
        <v>Ms</v>
      </c>
      <c r="C1688">
        <f>VLOOKUP(A1688,Medical_Examinations[],2,FALSE)</f>
        <v>18.34</v>
      </c>
      <c r="D1688">
        <f>VLOOKUP(A1688,Medical_Examinations[],3,FALSE)</f>
        <v>10.01</v>
      </c>
      <c r="E1688" t="str">
        <f>VLOOKUP(A1688,Medical_Examinations[],4,FALSE)</f>
        <v>No</v>
      </c>
      <c r="F1688" t="str">
        <f>VLOOKUP(A1688,Medical_Examinations[],5,FALSE)</f>
        <v>No</v>
      </c>
      <c r="G1688" t="str">
        <f>VLOOKUP(A1688,Medical_Examinations[],6,FALSE)</f>
        <v>No</v>
      </c>
      <c r="H1688">
        <f>VLOOKUP(A1688,Medical_Examinations[],7,FALSE)</f>
        <v>0</v>
      </c>
      <c r="I1688" t="str">
        <f>VLOOKUP(A1688,Medical_Examinations[],8,FALSE)</f>
        <v>No</v>
      </c>
      <c r="J1688" t="str">
        <f>VLOOKUP(A1688,Medical_Examinations[],9,FALSE)</f>
        <v>Underweight</v>
      </c>
      <c r="K1688" t="str">
        <f>VLOOKUP(A1688,Medical_Examinations[],10,FALSE)</f>
        <v>Diabetes</v>
      </c>
      <c r="M1688">
        <f>VLOOKUP(A1688,Hospitalisation_Details__2[],4,FALSE)</f>
        <v>5576.35</v>
      </c>
      <c r="N1688" t="str">
        <f>VLOOKUP(A1688,Hospitalisation_Details__2[],5,FALSE)</f>
        <v>tier - 2</v>
      </c>
      <c r="O1688" t="str">
        <f>VLOOKUP(A1688,Hospitalisation_Details__2[],6,FALSE)</f>
        <v>tier - 3</v>
      </c>
      <c r="P1688" t="str">
        <f>VLOOKUP(A1688,Hospitalisation_Details__2[],7,FALSE)</f>
        <v>R1013</v>
      </c>
    </row>
    <row r="1689" spans="1:16" x14ac:dyDescent="0.35">
      <c r="A1689" t="str">
        <v>Id1688</v>
      </c>
      <c r="B1689" t="str">
        <f>VLOOKUP(A1689,'Customer Names (2)'!A:B, 2,FALSE)</f>
        <v>Mrs</v>
      </c>
      <c r="C1689">
        <f>VLOOKUP(A1689,Medical_Examinations[],2,FALSE)</f>
        <v>34.15</v>
      </c>
      <c r="D1689">
        <f>VLOOKUP(A1689,Medical_Examinations[],3,FALSE)</f>
        <v>5.42</v>
      </c>
      <c r="E1689" t="str">
        <f>VLOOKUP(A1689,Medical_Examinations[],4,FALSE)</f>
        <v>No</v>
      </c>
      <c r="F1689" t="str">
        <f>VLOOKUP(A1689,Medical_Examinations[],5,FALSE)</f>
        <v>No</v>
      </c>
      <c r="G1689" t="str">
        <f>VLOOKUP(A1689,Medical_Examinations[],6,FALSE)</f>
        <v>No</v>
      </c>
      <c r="H1689">
        <f>VLOOKUP(A1689,Medical_Examinations[],7,FALSE)</f>
        <v>0</v>
      </c>
      <c r="I1689" t="str">
        <f>VLOOKUP(A1689,Medical_Examinations[],8,FALSE)</f>
        <v>No</v>
      </c>
      <c r="J1689" t="str">
        <f>VLOOKUP(A1689,Medical_Examinations[],9,FALSE)</f>
        <v>Obesity</v>
      </c>
      <c r="K1689" t="str">
        <f>VLOOKUP(A1689,Medical_Examinations[],10,FALSE)</f>
        <v>Normal</v>
      </c>
      <c r="M1689">
        <f>VLOOKUP(A1689,Hospitalisation_Details__2[],4,FALSE)</f>
        <v>5552.61</v>
      </c>
      <c r="N1689" t="str">
        <f>VLOOKUP(A1689,Hospitalisation_Details__2[],5,FALSE)</f>
        <v>tier - 2</v>
      </c>
      <c r="O1689" t="str">
        <f>VLOOKUP(A1689,Hospitalisation_Details__2[],6,FALSE)</f>
        <v>tier - 3</v>
      </c>
      <c r="P1689" t="str">
        <f>VLOOKUP(A1689,Hospitalisation_Details__2[],7,FALSE)</f>
        <v>R1026</v>
      </c>
    </row>
    <row r="1690" spans="1:16" x14ac:dyDescent="0.35">
      <c r="A1690" t="str">
        <v>Id1689</v>
      </c>
      <c r="B1690" t="str">
        <f>VLOOKUP(A1690,'Customer Names (2)'!A:B, 2,FALSE)</f>
        <v>Mr</v>
      </c>
      <c r="C1690">
        <f>VLOOKUP(A1690,Medical_Examinations[],2,FALSE)</f>
        <v>18.350000000000001</v>
      </c>
      <c r="D1690">
        <f>VLOOKUP(A1690,Medical_Examinations[],3,FALSE)</f>
        <v>5.12</v>
      </c>
      <c r="E1690" t="str">
        <f>VLOOKUP(A1690,Medical_Examinations[],4,FALSE)</f>
        <v>No</v>
      </c>
      <c r="F1690" t="str">
        <f>VLOOKUP(A1690,Medical_Examinations[],5,FALSE)</f>
        <v>No</v>
      </c>
      <c r="G1690" t="str">
        <f>VLOOKUP(A1690,Medical_Examinations[],6,FALSE)</f>
        <v>No</v>
      </c>
      <c r="H1690">
        <f>VLOOKUP(A1690,Medical_Examinations[],7,FALSE)</f>
        <v>0</v>
      </c>
      <c r="I1690" t="str">
        <f>VLOOKUP(A1690,Medical_Examinations[],8,FALSE)</f>
        <v>No</v>
      </c>
      <c r="J1690" t="str">
        <f>VLOOKUP(A1690,Medical_Examinations[],9,FALSE)</f>
        <v>Underweight</v>
      </c>
      <c r="K1690" t="str">
        <f>VLOOKUP(A1690,Medical_Examinations[],10,FALSE)</f>
        <v>Normal</v>
      </c>
      <c r="M1690">
        <f>VLOOKUP(A1690,Hospitalisation_Details__2[],4,FALSE)</f>
        <v>5540.35</v>
      </c>
      <c r="N1690" t="str">
        <f>VLOOKUP(A1690,Hospitalisation_Details__2[],5,FALSE)</f>
        <v>tier - 2</v>
      </c>
      <c r="O1690" t="str">
        <f>VLOOKUP(A1690,Hospitalisation_Details__2[],6,FALSE)</f>
        <v>tier - 2</v>
      </c>
      <c r="P1690" t="str">
        <f>VLOOKUP(A1690,Hospitalisation_Details__2[],7,FALSE)</f>
        <v>R1012</v>
      </c>
    </row>
    <row r="1691" spans="1:16" x14ac:dyDescent="0.35">
      <c r="A1691" t="str">
        <v>Id1690</v>
      </c>
      <c r="B1691" t="str">
        <f>VLOOKUP(A1691,'Customer Names (2)'!A:B, 2,FALSE)</f>
        <v>Ms</v>
      </c>
      <c r="C1691">
        <f>VLOOKUP(A1691,Medical_Examinations[],2,FALSE)</f>
        <v>22.13</v>
      </c>
      <c r="D1691">
        <f>VLOOKUP(A1691,Medical_Examinations[],3,FALSE)</f>
        <v>9.1999999999999993</v>
      </c>
      <c r="E1691" t="str">
        <f>VLOOKUP(A1691,Medical_Examinations[],4,FALSE)</f>
        <v>Yes</v>
      </c>
      <c r="F1691" t="str">
        <f>VLOOKUP(A1691,Medical_Examinations[],5,FALSE)</f>
        <v>No</v>
      </c>
      <c r="G1691" t="str">
        <f>VLOOKUP(A1691,Medical_Examinations[],6,FALSE)</f>
        <v>No</v>
      </c>
      <c r="H1691">
        <f>VLOOKUP(A1691,Medical_Examinations[],7,FALSE)</f>
        <v>0</v>
      </c>
      <c r="I1691" t="str">
        <f>VLOOKUP(A1691,Medical_Examinations[],8,FALSE)</f>
        <v>No</v>
      </c>
      <c r="J1691" t="str">
        <f>VLOOKUP(A1691,Medical_Examinations[],9,FALSE)</f>
        <v>Normal Weight</v>
      </c>
      <c r="K1691" t="str">
        <f>VLOOKUP(A1691,Medical_Examinations[],10,FALSE)</f>
        <v>Diabetes</v>
      </c>
      <c r="M1691">
        <f>VLOOKUP(A1691,Hospitalisation_Details__2[],4,FALSE)</f>
        <v>5539.4</v>
      </c>
      <c r="N1691" t="str">
        <f>VLOOKUP(A1691,Hospitalisation_Details__2[],5,FALSE)</f>
        <v>tier - 2</v>
      </c>
      <c r="O1691" t="str">
        <f>VLOOKUP(A1691,Hospitalisation_Details__2[],6,FALSE)</f>
        <v>tier - 2</v>
      </c>
      <c r="P1691" t="str">
        <f>VLOOKUP(A1691,Hospitalisation_Details__2[],7,FALSE)</f>
        <v>R1013</v>
      </c>
    </row>
    <row r="1692" spans="1:16" x14ac:dyDescent="0.35">
      <c r="A1692" t="str">
        <v>Id1691</v>
      </c>
      <c r="B1692" t="str">
        <f>VLOOKUP(A1692,'Customer Names (2)'!A:B, 2,FALSE)</f>
        <v>Ms</v>
      </c>
      <c r="C1692">
        <f>VLOOKUP(A1692,Medical_Examinations[],2,FALSE)</f>
        <v>22.51</v>
      </c>
      <c r="D1692">
        <f>VLOOKUP(A1692,Medical_Examinations[],3,FALSE)</f>
        <v>6.08</v>
      </c>
      <c r="E1692" t="str">
        <f>VLOOKUP(A1692,Medical_Examinations[],4,FALSE)</f>
        <v>Yes</v>
      </c>
      <c r="F1692" t="str">
        <f>VLOOKUP(A1692,Medical_Examinations[],5,FALSE)</f>
        <v>No</v>
      </c>
      <c r="G1692" t="str">
        <f>VLOOKUP(A1692,Medical_Examinations[],6,FALSE)</f>
        <v>No</v>
      </c>
      <c r="H1692">
        <f>VLOOKUP(A1692,Medical_Examinations[],7,FALSE)</f>
        <v>1</v>
      </c>
      <c r="I1692" t="str">
        <f>VLOOKUP(A1692,Medical_Examinations[],8,FALSE)</f>
        <v>No</v>
      </c>
      <c r="J1692" t="str">
        <f>VLOOKUP(A1692,Medical_Examinations[],9,FALSE)</f>
        <v>Normal Weight</v>
      </c>
      <c r="K1692" t="str">
        <f>VLOOKUP(A1692,Medical_Examinations[],10,FALSE)</f>
        <v>Prediabetes</v>
      </c>
      <c r="M1692">
        <f>VLOOKUP(A1692,Hospitalisation_Details__2[],4,FALSE)</f>
        <v>5503.36</v>
      </c>
      <c r="N1692" t="str">
        <f>VLOOKUP(A1692,Hospitalisation_Details__2[],5,FALSE)</f>
        <v>tier - 2</v>
      </c>
      <c r="O1692" t="str">
        <f>VLOOKUP(A1692,Hospitalisation_Details__2[],6,FALSE)</f>
        <v>tier - 2</v>
      </c>
      <c r="P1692" t="str">
        <f>VLOOKUP(A1692,Hospitalisation_Details__2[],7,FALSE)</f>
        <v>R1012</v>
      </c>
    </row>
    <row r="1693" spans="1:16" x14ac:dyDescent="0.35">
      <c r="A1693" t="str">
        <v>Id1692</v>
      </c>
      <c r="B1693" t="str">
        <f>VLOOKUP(A1693,'Customer Names (2)'!A:B, 2,FALSE)</f>
        <v>Mr</v>
      </c>
      <c r="C1693">
        <f>VLOOKUP(A1693,Medical_Examinations[],2,FALSE)</f>
        <v>31</v>
      </c>
      <c r="D1693">
        <f>VLOOKUP(A1693,Medical_Examinations[],3,FALSE)</f>
        <v>4.7699999999999996</v>
      </c>
      <c r="E1693" t="str">
        <f>VLOOKUP(A1693,Medical_Examinations[],4,FALSE)</f>
        <v>No</v>
      </c>
      <c r="F1693" t="str">
        <f>VLOOKUP(A1693,Medical_Examinations[],5,FALSE)</f>
        <v>No</v>
      </c>
      <c r="G1693" t="str">
        <f>VLOOKUP(A1693,Medical_Examinations[],6,FALSE)</f>
        <v>No</v>
      </c>
      <c r="H1693">
        <f>VLOOKUP(A1693,Medical_Examinations[],7,FALSE)</f>
        <v>1</v>
      </c>
      <c r="I1693" t="str">
        <f>VLOOKUP(A1693,Medical_Examinations[],8,FALSE)</f>
        <v>No</v>
      </c>
      <c r="J1693" t="str">
        <f>VLOOKUP(A1693,Medical_Examinations[],9,FALSE)</f>
        <v>Obesity</v>
      </c>
      <c r="K1693" t="str">
        <f>VLOOKUP(A1693,Medical_Examinations[],10,FALSE)</f>
        <v>Normal</v>
      </c>
      <c r="M1693">
        <f>VLOOKUP(A1693,Hospitalisation_Details__2[],4,FALSE)</f>
        <v>5488.26</v>
      </c>
      <c r="N1693" t="str">
        <f>VLOOKUP(A1693,Hospitalisation_Details__2[],5,FALSE)</f>
        <v>tier - 2</v>
      </c>
      <c r="O1693" t="str">
        <f>VLOOKUP(A1693,Hospitalisation_Details__2[],6,FALSE)</f>
        <v>tier - 3</v>
      </c>
      <c r="P1693" t="str">
        <f>VLOOKUP(A1693,Hospitalisation_Details__2[],7,FALSE)</f>
        <v>R1011</v>
      </c>
    </row>
    <row r="1694" spans="1:16" x14ac:dyDescent="0.35">
      <c r="A1694" t="str">
        <v>Id1693</v>
      </c>
      <c r="B1694" t="str">
        <f>VLOOKUP(A1694,'Customer Names (2)'!A:B, 2,FALSE)</f>
        <v>Mr</v>
      </c>
      <c r="C1694">
        <f>VLOOKUP(A1694,Medical_Examinations[],2,FALSE)</f>
        <v>28.27</v>
      </c>
      <c r="D1694">
        <f>VLOOKUP(A1694,Medical_Examinations[],3,FALSE)</f>
        <v>4.62</v>
      </c>
      <c r="E1694" t="str">
        <f>VLOOKUP(A1694,Medical_Examinations[],4,FALSE)</f>
        <v>No</v>
      </c>
      <c r="F1694" t="str">
        <f>VLOOKUP(A1694,Medical_Examinations[],5,FALSE)</f>
        <v>No</v>
      </c>
      <c r="G1694" t="str">
        <f>VLOOKUP(A1694,Medical_Examinations[],6,FALSE)</f>
        <v>No</v>
      </c>
      <c r="H1694">
        <f>VLOOKUP(A1694,Medical_Examinations[],7,FALSE)</f>
        <v>1</v>
      </c>
      <c r="I1694" t="str">
        <f>VLOOKUP(A1694,Medical_Examinations[],8,FALSE)</f>
        <v>No</v>
      </c>
      <c r="J1694" t="str">
        <f>VLOOKUP(A1694,Medical_Examinations[],9,FALSE)</f>
        <v>Overweight</v>
      </c>
      <c r="K1694" t="str">
        <f>VLOOKUP(A1694,Medical_Examinations[],10,FALSE)</f>
        <v>Normal</v>
      </c>
      <c r="M1694">
        <f>VLOOKUP(A1694,Hospitalisation_Details__2[],4,FALSE)</f>
        <v>5484.47</v>
      </c>
      <c r="N1694" t="str">
        <f>VLOOKUP(A1694,Hospitalisation_Details__2[],5,FALSE)</f>
        <v>tier - 2</v>
      </c>
      <c r="O1694" t="str">
        <f>VLOOKUP(A1694,Hospitalisation_Details__2[],6,FALSE)</f>
        <v>tier - 2</v>
      </c>
      <c r="P1694" t="str">
        <f>VLOOKUP(A1694,Hospitalisation_Details__2[],7,FALSE)</f>
        <v>R1013</v>
      </c>
    </row>
    <row r="1695" spans="1:16" x14ac:dyDescent="0.35">
      <c r="A1695" t="str">
        <v>Id1694</v>
      </c>
      <c r="B1695" t="str">
        <f>VLOOKUP(A1695,'Customer Names (2)'!A:B, 2,FALSE)</f>
        <v>Ms</v>
      </c>
      <c r="C1695">
        <f>VLOOKUP(A1695,Medical_Examinations[],2,FALSE)</f>
        <v>29.92</v>
      </c>
      <c r="D1695">
        <f>VLOOKUP(A1695,Medical_Examinations[],3,FALSE)</f>
        <v>9.07</v>
      </c>
      <c r="E1695" t="str">
        <f>VLOOKUP(A1695,Medical_Examinations[],4,FALSE)</f>
        <v>Yes</v>
      </c>
      <c r="F1695" t="str">
        <f>VLOOKUP(A1695,Medical_Examinations[],5,FALSE)</f>
        <v>No</v>
      </c>
      <c r="G1695" t="str">
        <f>VLOOKUP(A1695,Medical_Examinations[],6,FALSE)</f>
        <v>No</v>
      </c>
      <c r="H1695">
        <f>VLOOKUP(A1695,Medical_Examinations[],7,FALSE)</f>
        <v>1</v>
      </c>
      <c r="I1695" t="str">
        <f>VLOOKUP(A1695,Medical_Examinations[],8,FALSE)</f>
        <v>No</v>
      </c>
      <c r="J1695" t="str">
        <f>VLOOKUP(A1695,Medical_Examinations[],9,FALSE)</f>
        <v>Overweight</v>
      </c>
      <c r="K1695" t="str">
        <f>VLOOKUP(A1695,Medical_Examinations[],10,FALSE)</f>
        <v>Diabetes</v>
      </c>
      <c r="M1695">
        <f>VLOOKUP(A1695,Hospitalisation_Details__2[],4,FALSE)</f>
        <v>5478.04</v>
      </c>
      <c r="N1695" t="str">
        <f>VLOOKUP(A1695,Hospitalisation_Details__2[],5,FALSE)</f>
        <v>tier - 2</v>
      </c>
      <c r="O1695" t="str">
        <f>VLOOKUP(A1695,Hospitalisation_Details__2[],6,FALSE)</f>
        <v>tier - 3</v>
      </c>
      <c r="P1695" t="str">
        <f>VLOOKUP(A1695,Hospitalisation_Details__2[],7,FALSE)</f>
        <v>R1013</v>
      </c>
    </row>
    <row r="1696" spans="1:16" x14ac:dyDescent="0.35">
      <c r="A1696" t="str">
        <v>Id1695</v>
      </c>
      <c r="B1696" t="str">
        <f>VLOOKUP(A1696,'Customer Names (2)'!A:B, 2,FALSE)</f>
        <v>Ms</v>
      </c>
      <c r="C1696">
        <f>VLOOKUP(A1696,Medical_Examinations[],2,FALSE)</f>
        <v>25.9</v>
      </c>
      <c r="D1696">
        <f>VLOOKUP(A1696,Medical_Examinations[],3,FALSE)</f>
        <v>9.1199999999999992</v>
      </c>
      <c r="E1696" t="str">
        <f>VLOOKUP(A1696,Medical_Examinations[],4,FALSE)</f>
        <v>Yes</v>
      </c>
      <c r="F1696" t="str">
        <f>VLOOKUP(A1696,Medical_Examinations[],5,FALSE)</f>
        <v>No</v>
      </c>
      <c r="G1696" t="str">
        <f>VLOOKUP(A1696,Medical_Examinations[],6,FALSE)</f>
        <v>No</v>
      </c>
      <c r="H1696">
        <f>VLOOKUP(A1696,Medical_Examinations[],7,FALSE)</f>
        <v>1</v>
      </c>
      <c r="I1696" t="str">
        <f>VLOOKUP(A1696,Medical_Examinations[],8,FALSE)</f>
        <v>No</v>
      </c>
      <c r="J1696" t="str">
        <f>VLOOKUP(A1696,Medical_Examinations[],9,FALSE)</f>
        <v>Overweight</v>
      </c>
      <c r="K1696" t="str">
        <f>VLOOKUP(A1696,Medical_Examinations[],10,FALSE)</f>
        <v>Diabetes</v>
      </c>
      <c r="M1696">
        <f>VLOOKUP(A1696,Hospitalisation_Details__2[],4,FALSE)</f>
        <v>5472.45</v>
      </c>
      <c r="N1696" t="str">
        <f>VLOOKUP(A1696,Hospitalisation_Details__2[],5,FALSE)</f>
        <v>tier - 2</v>
      </c>
      <c r="O1696" t="str">
        <f>VLOOKUP(A1696,Hospitalisation_Details__2[],6,FALSE)</f>
        <v>tier - 3</v>
      </c>
      <c r="P1696" t="str">
        <f>VLOOKUP(A1696,Hospitalisation_Details__2[],7,FALSE)</f>
        <v>R1011</v>
      </c>
    </row>
    <row r="1697" spans="1:16" x14ac:dyDescent="0.35">
      <c r="A1697" t="str">
        <v>Id1696</v>
      </c>
      <c r="B1697" t="str">
        <f>VLOOKUP(A1697,'Customer Names (2)'!A:B, 2,FALSE)</f>
        <v>Ms</v>
      </c>
      <c r="C1697">
        <f>VLOOKUP(A1697,Medical_Examinations[],2,FALSE)</f>
        <v>27.74</v>
      </c>
      <c r="D1697">
        <f>VLOOKUP(A1697,Medical_Examinations[],3,FALSE)</f>
        <v>7.32</v>
      </c>
      <c r="E1697" t="str">
        <f>VLOOKUP(A1697,Medical_Examinations[],4,FALSE)</f>
        <v>Yes</v>
      </c>
      <c r="F1697" t="str">
        <f>VLOOKUP(A1697,Medical_Examinations[],5,FALSE)</f>
        <v>No</v>
      </c>
      <c r="G1697" t="str">
        <f>VLOOKUP(A1697,Medical_Examinations[],6,FALSE)</f>
        <v>No</v>
      </c>
      <c r="H1697">
        <f>VLOOKUP(A1697,Medical_Examinations[],7,FALSE)</f>
        <v>1</v>
      </c>
      <c r="I1697" t="str">
        <f>VLOOKUP(A1697,Medical_Examinations[],8,FALSE)</f>
        <v>No</v>
      </c>
      <c r="J1697" t="str">
        <f>VLOOKUP(A1697,Medical_Examinations[],9,FALSE)</f>
        <v>Overweight</v>
      </c>
      <c r="K1697" t="str">
        <f>VLOOKUP(A1697,Medical_Examinations[],10,FALSE)</f>
        <v>Diabetes</v>
      </c>
      <c r="M1697">
        <f>VLOOKUP(A1697,Hospitalisation_Details__2[],4,FALSE)</f>
        <v>5469.01</v>
      </c>
      <c r="N1697" t="str">
        <f>VLOOKUP(A1697,Hospitalisation_Details__2[],5,FALSE)</f>
        <v>tier - 2</v>
      </c>
      <c r="O1697" t="str">
        <f>VLOOKUP(A1697,Hospitalisation_Details__2[],6,FALSE)</f>
        <v>tier - 2</v>
      </c>
      <c r="P1697" t="str">
        <f>VLOOKUP(A1697,Hospitalisation_Details__2[],7,FALSE)</f>
        <v>R1024</v>
      </c>
    </row>
    <row r="1698" spans="1:16" x14ac:dyDescent="0.35">
      <c r="A1698" t="str">
        <v>Id1697</v>
      </c>
      <c r="B1698" t="str">
        <f>VLOOKUP(A1698,'Customer Names (2)'!A:B, 2,FALSE)</f>
        <v>Ms</v>
      </c>
      <c r="C1698">
        <f>VLOOKUP(A1698,Medical_Examinations[],2,FALSE)</f>
        <v>17.260000000000002</v>
      </c>
      <c r="D1698">
        <f>VLOOKUP(A1698,Medical_Examinations[],3,FALSE)</f>
        <v>11.73</v>
      </c>
      <c r="E1698" t="str">
        <f>VLOOKUP(A1698,Medical_Examinations[],4,FALSE)</f>
        <v>No</v>
      </c>
      <c r="F1698" t="str">
        <f>VLOOKUP(A1698,Medical_Examinations[],5,FALSE)</f>
        <v>No</v>
      </c>
      <c r="G1698" t="str">
        <f>VLOOKUP(A1698,Medical_Examinations[],6,FALSE)</f>
        <v>No</v>
      </c>
      <c r="H1698">
        <f>VLOOKUP(A1698,Medical_Examinations[],7,FALSE)</f>
        <v>2</v>
      </c>
      <c r="I1698" t="str">
        <f>VLOOKUP(A1698,Medical_Examinations[],8,FALSE)</f>
        <v>No</v>
      </c>
      <c r="J1698" t="str">
        <f>VLOOKUP(A1698,Medical_Examinations[],9,FALSE)</f>
        <v>Underweight</v>
      </c>
      <c r="K1698" t="str">
        <f>VLOOKUP(A1698,Medical_Examinations[],10,FALSE)</f>
        <v>Diabetes</v>
      </c>
      <c r="M1698">
        <f>VLOOKUP(A1698,Hospitalisation_Details__2[],4,FALSE)</f>
        <v>5466.88</v>
      </c>
      <c r="N1698" t="str">
        <f>VLOOKUP(A1698,Hospitalisation_Details__2[],5,FALSE)</f>
        <v>tier - 2</v>
      </c>
      <c r="O1698" t="str">
        <f>VLOOKUP(A1698,Hospitalisation_Details__2[],6,FALSE)</f>
        <v>tier - 2</v>
      </c>
      <c r="P1698" t="str">
        <f>VLOOKUP(A1698,Hospitalisation_Details__2[],7,FALSE)</f>
        <v>R1013</v>
      </c>
    </row>
    <row r="1699" spans="1:16" x14ac:dyDescent="0.35">
      <c r="A1699" t="str">
        <v>Id1698</v>
      </c>
      <c r="B1699" t="str">
        <f>VLOOKUP(A1699,'Customer Names (2)'!A:B, 2,FALSE)</f>
        <v>Ms</v>
      </c>
      <c r="C1699">
        <f>VLOOKUP(A1699,Medical_Examinations[],2,FALSE)</f>
        <v>19.855</v>
      </c>
      <c r="D1699">
        <f>VLOOKUP(A1699,Medical_Examinations[],3,FALSE)</f>
        <v>6.64</v>
      </c>
      <c r="E1699" t="str">
        <f>VLOOKUP(A1699,Medical_Examinations[],4,FALSE)</f>
        <v>Yes</v>
      </c>
      <c r="F1699" t="str">
        <f>VLOOKUP(A1699,Medical_Examinations[],5,FALSE)</f>
        <v>No</v>
      </c>
      <c r="G1699" t="str">
        <f>VLOOKUP(A1699,Medical_Examinations[],6,FALSE)</f>
        <v>No</v>
      </c>
      <c r="H1699">
        <f>VLOOKUP(A1699,Medical_Examinations[],7,FALSE)</f>
        <v>1</v>
      </c>
      <c r="I1699" t="str">
        <f>VLOOKUP(A1699,Medical_Examinations[],8,FALSE)</f>
        <v>No</v>
      </c>
      <c r="J1699" t="str">
        <f>VLOOKUP(A1699,Medical_Examinations[],9,FALSE)</f>
        <v>Normal Weight</v>
      </c>
      <c r="K1699" t="str">
        <f>VLOOKUP(A1699,Medical_Examinations[],10,FALSE)</f>
        <v>Diabetes</v>
      </c>
      <c r="M1699">
        <f>VLOOKUP(A1699,Hospitalisation_Details__2[],4,FALSE)</f>
        <v>5458.05</v>
      </c>
      <c r="N1699" t="str">
        <f>VLOOKUP(A1699,Hospitalisation_Details__2[],5,FALSE)</f>
        <v>tier - 2</v>
      </c>
      <c r="O1699" t="str">
        <f>VLOOKUP(A1699,Hospitalisation_Details__2[],6,FALSE)</f>
        <v>tier - 2</v>
      </c>
      <c r="P1699" t="str">
        <f>VLOOKUP(A1699,Hospitalisation_Details__2[],7,FALSE)</f>
        <v>R1024</v>
      </c>
    </row>
    <row r="1700" spans="1:16" x14ac:dyDescent="0.35">
      <c r="A1700" t="str">
        <v>Id1699</v>
      </c>
      <c r="B1700" t="str">
        <f>VLOOKUP(A1700,'Customer Names (2)'!A:B, 2,FALSE)</f>
        <v>Mr</v>
      </c>
      <c r="C1700">
        <f>VLOOKUP(A1700,Medical_Examinations[],2,FALSE)</f>
        <v>41.69</v>
      </c>
      <c r="D1700">
        <f>VLOOKUP(A1700,Medical_Examinations[],3,FALSE)</f>
        <v>5.78</v>
      </c>
      <c r="E1700" t="str">
        <f>VLOOKUP(A1700,Medical_Examinations[],4,FALSE)</f>
        <v>No</v>
      </c>
      <c r="F1700" t="str">
        <f>VLOOKUP(A1700,Medical_Examinations[],5,FALSE)</f>
        <v>No</v>
      </c>
      <c r="G1700" t="str">
        <f>VLOOKUP(A1700,Medical_Examinations[],6,FALSE)</f>
        <v>No</v>
      </c>
      <c r="H1700">
        <f>VLOOKUP(A1700,Medical_Examinations[],7,FALSE)</f>
        <v>0</v>
      </c>
      <c r="I1700" t="str">
        <f>VLOOKUP(A1700,Medical_Examinations[],8,FALSE)</f>
        <v>No</v>
      </c>
      <c r="J1700" t="str">
        <f>VLOOKUP(A1700,Medical_Examinations[],9,FALSE)</f>
        <v>Obesity</v>
      </c>
      <c r="K1700" t="str">
        <f>VLOOKUP(A1700,Medical_Examinations[],10,FALSE)</f>
        <v>Prediabetes</v>
      </c>
      <c r="M1700">
        <f>VLOOKUP(A1700,Hospitalisation_Details__2[],4,FALSE)</f>
        <v>5438.75</v>
      </c>
      <c r="N1700" t="str">
        <f>VLOOKUP(A1700,Hospitalisation_Details__2[],5,FALSE)</f>
        <v>tier - 3</v>
      </c>
      <c r="O1700" t="str">
        <f>VLOOKUP(A1700,Hospitalisation_Details__2[],6,FALSE)</f>
        <v>tier - 2</v>
      </c>
      <c r="P1700" t="str">
        <f>VLOOKUP(A1700,Hospitalisation_Details__2[],7,FALSE)</f>
        <v>R1013</v>
      </c>
    </row>
    <row r="1701" spans="1:16" x14ac:dyDescent="0.35">
      <c r="A1701" t="str">
        <v>Id1700</v>
      </c>
      <c r="B1701" t="str">
        <f>VLOOKUP(A1701,'Customer Names (2)'!A:B, 2,FALSE)</f>
        <v>Ms</v>
      </c>
      <c r="C1701">
        <f>VLOOKUP(A1701,Medical_Examinations[],2,FALSE)</f>
        <v>16.12</v>
      </c>
      <c r="D1701">
        <f>VLOOKUP(A1701,Medical_Examinations[],3,FALSE)</f>
        <v>10.45</v>
      </c>
      <c r="E1701" t="str">
        <f>VLOOKUP(A1701,Medical_Examinations[],4,FALSE)</f>
        <v>No</v>
      </c>
      <c r="F1701" t="str">
        <f>VLOOKUP(A1701,Medical_Examinations[],5,FALSE)</f>
        <v>No</v>
      </c>
      <c r="G1701" t="str">
        <f>VLOOKUP(A1701,Medical_Examinations[],6,FALSE)</f>
        <v>No</v>
      </c>
      <c r="H1701">
        <f>VLOOKUP(A1701,Medical_Examinations[],7,FALSE)</f>
        <v>0</v>
      </c>
      <c r="I1701" t="str">
        <f>VLOOKUP(A1701,Medical_Examinations[],8,FALSE)</f>
        <v>No</v>
      </c>
      <c r="J1701" t="str">
        <f>VLOOKUP(A1701,Medical_Examinations[],9,FALSE)</f>
        <v>Underweight</v>
      </c>
      <c r="K1701" t="str">
        <f>VLOOKUP(A1701,Medical_Examinations[],10,FALSE)</f>
        <v>Diabetes</v>
      </c>
      <c r="M1701">
        <f>VLOOKUP(A1701,Hospitalisation_Details__2[],4,FALSE)</f>
        <v>5428.98</v>
      </c>
      <c r="N1701" t="str">
        <f>VLOOKUP(A1701,Hospitalisation_Details__2[],5,FALSE)</f>
        <v>tier - 2</v>
      </c>
      <c r="O1701" t="str">
        <f>VLOOKUP(A1701,Hospitalisation_Details__2[],6,FALSE)</f>
        <v>tier - 2</v>
      </c>
      <c r="P1701" t="str">
        <f>VLOOKUP(A1701,Hospitalisation_Details__2[],7,FALSE)</f>
        <v>R1012</v>
      </c>
    </row>
    <row r="1702" spans="1:16" x14ac:dyDescent="0.35">
      <c r="A1702" t="str">
        <v>Id1701</v>
      </c>
      <c r="B1702" t="str">
        <f>VLOOKUP(A1702,'Customer Names (2)'!A:B, 2,FALSE)</f>
        <v>Mr</v>
      </c>
      <c r="C1702">
        <f>VLOOKUP(A1702,Medical_Examinations[],2,FALSE)</f>
        <v>37.43</v>
      </c>
      <c r="D1702">
        <f>VLOOKUP(A1702,Medical_Examinations[],3,FALSE)</f>
        <v>4.5199999999999996</v>
      </c>
      <c r="E1702" t="str">
        <f>VLOOKUP(A1702,Medical_Examinations[],4,FALSE)</f>
        <v>No</v>
      </c>
      <c r="F1702" t="str">
        <f>VLOOKUP(A1702,Medical_Examinations[],5,FALSE)</f>
        <v>No</v>
      </c>
      <c r="G1702" t="str">
        <f>VLOOKUP(A1702,Medical_Examinations[],6,FALSE)</f>
        <v>No</v>
      </c>
      <c r="H1702">
        <f>VLOOKUP(A1702,Medical_Examinations[],7,FALSE)</f>
        <v>1</v>
      </c>
      <c r="I1702" t="str">
        <f>VLOOKUP(A1702,Medical_Examinations[],8,FALSE)</f>
        <v>No</v>
      </c>
      <c r="J1702" t="str">
        <f>VLOOKUP(A1702,Medical_Examinations[],9,FALSE)</f>
        <v>Obesity</v>
      </c>
      <c r="K1702" t="str">
        <f>VLOOKUP(A1702,Medical_Examinations[],10,FALSE)</f>
        <v>Normal</v>
      </c>
      <c r="M1702">
        <f>VLOOKUP(A1702,Hospitalisation_Details__2[],4,FALSE)</f>
        <v>5428.73</v>
      </c>
      <c r="N1702" t="str">
        <f>VLOOKUP(A1702,Hospitalisation_Details__2[],5,FALSE)</f>
        <v>tier - 3</v>
      </c>
      <c r="O1702" t="str">
        <f>VLOOKUP(A1702,Hospitalisation_Details__2[],6,FALSE)</f>
        <v>tier - 1</v>
      </c>
      <c r="P1702" t="str">
        <f>VLOOKUP(A1702,Hospitalisation_Details__2[],7,FALSE)</f>
        <v>R1017</v>
      </c>
    </row>
    <row r="1703" spans="1:16" x14ac:dyDescent="0.35">
      <c r="A1703" t="str">
        <v>Id1702</v>
      </c>
      <c r="B1703" t="str">
        <f>VLOOKUP(A1703,'Customer Names (2)'!A:B, 2,FALSE)</f>
        <v>Mr</v>
      </c>
      <c r="C1703">
        <f>VLOOKUP(A1703,Medical_Examinations[],2,FALSE)</f>
        <v>31.065000000000001</v>
      </c>
      <c r="D1703">
        <f>VLOOKUP(A1703,Medical_Examinations[],3,FALSE)</f>
        <v>5.71</v>
      </c>
      <c r="E1703" t="str">
        <f>VLOOKUP(A1703,Medical_Examinations[],4,FALSE)</f>
        <v>No</v>
      </c>
      <c r="F1703" t="str">
        <f>VLOOKUP(A1703,Medical_Examinations[],5,FALSE)</f>
        <v>No</v>
      </c>
      <c r="G1703" t="str">
        <f>VLOOKUP(A1703,Medical_Examinations[],6,FALSE)</f>
        <v>No</v>
      </c>
      <c r="H1703">
        <f>VLOOKUP(A1703,Medical_Examinations[],7,FALSE)</f>
        <v>0</v>
      </c>
      <c r="I1703" t="str">
        <f>VLOOKUP(A1703,Medical_Examinations[],8,FALSE)</f>
        <v>No</v>
      </c>
      <c r="J1703" t="str">
        <f>VLOOKUP(A1703,Medical_Examinations[],9,FALSE)</f>
        <v>Obesity</v>
      </c>
      <c r="K1703" t="str">
        <f>VLOOKUP(A1703,Medical_Examinations[],10,FALSE)</f>
        <v>Prediabetes</v>
      </c>
      <c r="M1703">
        <f>VLOOKUP(A1703,Hospitalisation_Details__2[],4,FALSE)</f>
        <v>5425.02</v>
      </c>
      <c r="N1703" t="str">
        <f>VLOOKUP(A1703,Hospitalisation_Details__2[],5,FALSE)</f>
        <v>tier - 2</v>
      </c>
      <c r="O1703" t="str">
        <f>VLOOKUP(A1703,Hospitalisation_Details__2[],6,FALSE)</f>
        <v>tier - 1</v>
      </c>
      <c r="P1703" t="str">
        <f>VLOOKUP(A1703,Hospitalisation_Details__2[],7,FALSE)</f>
        <v>R1012</v>
      </c>
    </row>
    <row r="1704" spans="1:16" x14ac:dyDescent="0.35">
      <c r="A1704" t="str">
        <v>Id1703</v>
      </c>
      <c r="B1704" t="str">
        <f>VLOOKUP(A1704,'Customer Names (2)'!A:B, 2,FALSE)</f>
        <v>Mr</v>
      </c>
      <c r="C1704">
        <f>VLOOKUP(A1704,Medical_Examinations[],2,FALSE)</f>
        <v>25.08</v>
      </c>
      <c r="D1704">
        <f>VLOOKUP(A1704,Medical_Examinations[],3,FALSE)</f>
        <v>4.7699999999999996</v>
      </c>
      <c r="E1704" t="str">
        <f>VLOOKUP(A1704,Medical_Examinations[],4,FALSE)</f>
        <v>No</v>
      </c>
      <c r="F1704" t="str">
        <f>VLOOKUP(A1704,Medical_Examinations[],5,FALSE)</f>
        <v>No</v>
      </c>
      <c r="G1704" t="str">
        <f>VLOOKUP(A1704,Medical_Examinations[],6,FALSE)</f>
        <v>No</v>
      </c>
      <c r="H1704">
        <f>VLOOKUP(A1704,Medical_Examinations[],7,FALSE)</f>
        <v>0</v>
      </c>
      <c r="I1704" t="str">
        <f>VLOOKUP(A1704,Medical_Examinations[],8,FALSE)</f>
        <v>No</v>
      </c>
      <c r="J1704" t="str">
        <f>VLOOKUP(A1704,Medical_Examinations[],9,FALSE)</f>
        <v>Overweight</v>
      </c>
      <c r="K1704" t="str">
        <f>VLOOKUP(A1704,Medical_Examinations[],10,FALSE)</f>
        <v>Normal</v>
      </c>
      <c r="M1704">
        <f>VLOOKUP(A1704,Hospitalisation_Details__2[],4,FALSE)</f>
        <v>5415.66</v>
      </c>
      <c r="N1704" t="str">
        <f>VLOOKUP(A1704,Hospitalisation_Details__2[],5,FALSE)</f>
        <v>tier - 2</v>
      </c>
      <c r="O1704" t="str">
        <f>VLOOKUP(A1704,Hospitalisation_Details__2[],6,FALSE)</f>
        <v>tier - 3</v>
      </c>
      <c r="P1704" t="str">
        <f>VLOOKUP(A1704,Hospitalisation_Details__2[],7,FALSE)</f>
        <v>R1013</v>
      </c>
    </row>
    <row r="1705" spans="1:16" x14ac:dyDescent="0.35">
      <c r="A1705" t="str">
        <v>Id1704</v>
      </c>
      <c r="B1705" t="str">
        <f>VLOOKUP(A1705,'Customer Names (2)'!A:B, 2,FALSE)</f>
        <v>Ms</v>
      </c>
      <c r="C1705">
        <f>VLOOKUP(A1705,Medical_Examinations[],2,FALSE)</f>
        <v>15.2</v>
      </c>
      <c r="D1705">
        <f>VLOOKUP(A1705,Medical_Examinations[],3,FALSE)</f>
        <v>7.81</v>
      </c>
      <c r="E1705" t="str">
        <f>VLOOKUP(A1705,Medical_Examinations[],4,FALSE)</f>
        <v>Yes</v>
      </c>
      <c r="F1705" t="str">
        <f>VLOOKUP(A1705,Medical_Examinations[],5,FALSE)</f>
        <v>No</v>
      </c>
      <c r="G1705" t="str">
        <f>VLOOKUP(A1705,Medical_Examinations[],6,FALSE)</f>
        <v>No</v>
      </c>
      <c r="H1705">
        <f>VLOOKUP(A1705,Medical_Examinations[],7,FALSE)</f>
        <v>1</v>
      </c>
      <c r="I1705" t="str">
        <f>VLOOKUP(A1705,Medical_Examinations[],8,FALSE)</f>
        <v>No</v>
      </c>
      <c r="J1705" t="str">
        <f>VLOOKUP(A1705,Medical_Examinations[],9,FALSE)</f>
        <v>Underweight</v>
      </c>
      <c r="K1705" t="str">
        <f>VLOOKUP(A1705,Medical_Examinations[],10,FALSE)</f>
        <v>Diabetes</v>
      </c>
      <c r="M1705">
        <f>VLOOKUP(A1705,Hospitalisation_Details__2[],4,FALSE)</f>
        <v>5411.99</v>
      </c>
      <c r="N1705" t="str">
        <f>VLOOKUP(A1705,Hospitalisation_Details__2[],5,FALSE)</f>
        <v>tier - 2</v>
      </c>
      <c r="O1705" t="str">
        <f>VLOOKUP(A1705,Hospitalisation_Details__2[],6,FALSE)</f>
        <v>tier - 3</v>
      </c>
      <c r="P1705" t="str">
        <f>VLOOKUP(A1705,Hospitalisation_Details__2[],7,FALSE)</f>
        <v>R1012</v>
      </c>
    </row>
    <row r="1706" spans="1:16" x14ac:dyDescent="0.35">
      <c r="A1706" t="str">
        <v>Id1705</v>
      </c>
      <c r="B1706" t="str">
        <f>VLOOKUP(A1706,'Customer Names (2)'!A:B, 2,FALSE)</f>
        <v>Mr</v>
      </c>
      <c r="C1706">
        <f>VLOOKUP(A1706,Medical_Examinations[],2,FALSE)</f>
        <v>22.34</v>
      </c>
      <c r="D1706">
        <f>VLOOKUP(A1706,Medical_Examinations[],3,FALSE)</f>
        <v>5.19</v>
      </c>
      <c r="E1706" t="str">
        <f>VLOOKUP(A1706,Medical_Examinations[],4,FALSE)</f>
        <v>Yes</v>
      </c>
      <c r="F1706" t="str">
        <f>VLOOKUP(A1706,Medical_Examinations[],5,FALSE)</f>
        <v>No</v>
      </c>
      <c r="G1706" t="str">
        <f>VLOOKUP(A1706,Medical_Examinations[],6,FALSE)</f>
        <v>No</v>
      </c>
      <c r="H1706">
        <f>VLOOKUP(A1706,Medical_Examinations[],7,FALSE)</f>
        <v>0</v>
      </c>
      <c r="I1706" t="str">
        <f>VLOOKUP(A1706,Medical_Examinations[],8,FALSE)</f>
        <v>No</v>
      </c>
      <c r="J1706" t="str">
        <f>VLOOKUP(A1706,Medical_Examinations[],9,FALSE)</f>
        <v>Normal Weight</v>
      </c>
      <c r="K1706" t="str">
        <f>VLOOKUP(A1706,Medical_Examinations[],10,FALSE)</f>
        <v>Normal</v>
      </c>
      <c r="M1706">
        <f>VLOOKUP(A1706,Hospitalisation_Details__2[],4,FALSE)</f>
        <v>5402.89</v>
      </c>
      <c r="N1706" t="str">
        <f>VLOOKUP(A1706,Hospitalisation_Details__2[],5,FALSE)</f>
        <v>tier - 2</v>
      </c>
      <c r="O1706" t="str">
        <f>VLOOKUP(A1706,Hospitalisation_Details__2[],6,FALSE)</f>
        <v>tier - 1</v>
      </c>
      <c r="P1706" t="str">
        <f>VLOOKUP(A1706,Hospitalisation_Details__2[],7,FALSE)</f>
        <v>R1013</v>
      </c>
    </row>
    <row r="1707" spans="1:16" x14ac:dyDescent="0.35">
      <c r="A1707" t="str">
        <v>Id1706</v>
      </c>
      <c r="B1707" t="str">
        <f>VLOOKUP(A1707,'Customer Names (2)'!A:B, 2,FALSE)</f>
        <v>Ms</v>
      </c>
      <c r="C1707">
        <f>VLOOKUP(A1707,Medical_Examinations[],2,FALSE)</f>
        <v>40.15</v>
      </c>
      <c r="D1707">
        <f>VLOOKUP(A1707,Medical_Examinations[],3,FALSE)</f>
        <v>5.93</v>
      </c>
      <c r="E1707" t="str">
        <f>VLOOKUP(A1707,Medical_Examinations[],4,FALSE)</f>
        <v>No</v>
      </c>
      <c r="F1707" t="str">
        <f>VLOOKUP(A1707,Medical_Examinations[],5,FALSE)</f>
        <v>No</v>
      </c>
      <c r="G1707" t="str">
        <f>VLOOKUP(A1707,Medical_Examinations[],6,FALSE)</f>
        <v>No</v>
      </c>
      <c r="H1707">
        <f>VLOOKUP(A1707,Medical_Examinations[],7,FALSE)</f>
        <v>1</v>
      </c>
      <c r="I1707" t="str">
        <f>VLOOKUP(A1707,Medical_Examinations[],8,FALSE)</f>
        <v>No</v>
      </c>
      <c r="J1707" t="str">
        <f>VLOOKUP(A1707,Medical_Examinations[],9,FALSE)</f>
        <v>Obesity</v>
      </c>
      <c r="K1707" t="str">
        <f>VLOOKUP(A1707,Medical_Examinations[],10,FALSE)</f>
        <v>Prediabetes</v>
      </c>
      <c r="M1707">
        <f>VLOOKUP(A1707,Hospitalisation_Details__2[],4,FALSE)</f>
        <v>5400.98</v>
      </c>
      <c r="N1707" t="str">
        <f>VLOOKUP(A1707,Hospitalisation_Details__2[],5,FALSE)</f>
        <v>tier - 2</v>
      </c>
      <c r="O1707" t="str">
        <f>VLOOKUP(A1707,Hospitalisation_Details__2[],6,FALSE)</f>
        <v>tier - 2</v>
      </c>
      <c r="P1707" t="str">
        <f>VLOOKUP(A1707,Hospitalisation_Details__2[],7,FALSE)</f>
        <v>R1013</v>
      </c>
    </row>
    <row r="1708" spans="1:16" x14ac:dyDescent="0.35">
      <c r="A1708" t="str">
        <v>Id1707</v>
      </c>
      <c r="B1708" t="str">
        <f>VLOOKUP(A1708,'Customer Names (2)'!A:B, 2,FALSE)</f>
        <v>Ms</v>
      </c>
      <c r="C1708">
        <f>VLOOKUP(A1708,Medical_Examinations[],2,FALSE)</f>
        <v>37.729999999999997</v>
      </c>
      <c r="D1708">
        <f>VLOOKUP(A1708,Medical_Examinations[],3,FALSE)</f>
        <v>6.29</v>
      </c>
      <c r="E1708" t="str">
        <f>VLOOKUP(A1708,Medical_Examinations[],4,FALSE)</f>
        <v>No</v>
      </c>
      <c r="F1708" t="str">
        <f>VLOOKUP(A1708,Medical_Examinations[],5,FALSE)</f>
        <v>No</v>
      </c>
      <c r="G1708" t="str">
        <f>VLOOKUP(A1708,Medical_Examinations[],6,FALSE)</f>
        <v>No</v>
      </c>
      <c r="H1708">
        <f>VLOOKUP(A1708,Medical_Examinations[],7,FALSE)</f>
        <v>1</v>
      </c>
      <c r="I1708" t="str">
        <f>VLOOKUP(A1708,Medical_Examinations[],8,FALSE)</f>
        <v>No</v>
      </c>
      <c r="J1708" t="str">
        <f>VLOOKUP(A1708,Medical_Examinations[],9,FALSE)</f>
        <v>Obesity</v>
      </c>
      <c r="K1708" t="str">
        <f>VLOOKUP(A1708,Medical_Examinations[],10,FALSE)</f>
        <v>Prediabetes</v>
      </c>
      <c r="M1708">
        <f>VLOOKUP(A1708,Hospitalisation_Details__2[],4,FALSE)</f>
        <v>5397.62</v>
      </c>
      <c r="N1708" t="str">
        <f>VLOOKUP(A1708,Hospitalisation_Details__2[],5,FALSE)</f>
        <v>tier - 2</v>
      </c>
      <c r="O1708" t="str">
        <f>VLOOKUP(A1708,Hospitalisation_Details__2[],6,FALSE)</f>
        <v>tier - 2</v>
      </c>
      <c r="P1708" t="str">
        <f>VLOOKUP(A1708,Hospitalisation_Details__2[],7,FALSE)</f>
        <v>R1013</v>
      </c>
    </row>
    <row r="1709" spans="1:16" x14ac:dyDescent="0.35">
      <c r="A1709" t="str">
        <v>Id1708</v>
      </c>
      <c r="B1709" t="str">
        <f>VLOOKUP(A1709,'Customer Names (2)'!A:B, 2,FALSE)</f>
        <v>Mr</v>
      </c>
      <c r="C1709">
        <f>VLOOKUP(A1709,Medical_Examinations[],2,FALSE)</f>
        <v>25.35</v>
      </c>
      <c r="D1709">
        <f>VLOOKUP(A1709,Medical_Examinations[],3,FALSE)</f>
        <v>4.9000000000000004</v>
      </c>
      <c r="E1709" t="str">
        <f>VLOOKUP(A1709,Medical_Examinations[],4,FALSE)</f>
        <v>No</v>
      </c>
      <c r="F1709" t="str">
        <f>VLOOKUP(A1709,Medical_Examinations[],5,FALSE)</f>
        <v>No</v>
      </c>
      <c r="G1709" t="str">
        <f>VLOOKUP(A1709,Medical_Examinations[],6,FALSE)</f>
        <v>No</v>
      </c>
      <c r="H1709">
        <f>VLOOKUP(A1709,Medical_Examinations[],7,FALSE)</f>
        <v>0</v>
      </c>
      <c r="I1709" t="str">
        <f>VLOOKUP(A1709,Medical_Examinations[],8,FALSE)</f>
        <v>No</v>
      </c>
      <c r="J1709" t="str">
        <f>VLOOKUP(A1709,Medical_Examinations[],9,FALSE)</f>
        <v>Overweight</v>
      </c>
      <c r="K1709" t="str">
        <f>VLOOKUP(A1709,Medical_Examinations[],10,FALSE)</f>
        <v>Normal</v>
      </c>
      <c r="M1709">
        <f>VLOOKUP(A1709,Hospitalisation_Details__2[],4,FALSE)</f>
        <v>5396.44</v>
      </c>
      <c r="N1709" t="str">
        <f>VLOOKUP(A1709,Hospitalisation_Details__2[],5,FALSE)</f>
        <v>tier - 2</v>
      </c>
      <c r="O1709" t="str">
        <f>VLOOKUP(A1709,Hospitalisation_Details__2[],6,FALSE)</f>
        <v>tier - 3</v>
      </c>
      <c r="P1709" t="str">
        <f>VLOOKUP(A1709,Hospitalisation_Details__2[],7,FALSE)</f>
        <v>R1013</v>
      </c>
    </row>
    <row r="1710" spans="1:16" x14ac:dyDescent="0.35">
      <c r="A1710" t="str">
        <v>Id1709</v>
      </c>
      <c r="B1710" t="str">
        <f>VLOOKUP(A1710,'Customer Names (2)'!A:B, 2,FALSE)</f>
        <v>Ms</v>
      </c>
      <c r="C1710">
        <f>VLOOKUP(A1710,Medical_Examinations[],2,FALSE)</f>
        <v>26.41</v>
      </c>
      <c r="D1710">
        <f>VLOOKUP(A1710,Medical_Examinations[],3,FALSE)</f>
        <v>5.07</v>
      </c>
      <c r="E1710" t="str">
        <f>VLOOKUP(A1710,Medical_Examinations[],4,FALSE)</f>
        <v>Yes</v>
      </c>
      <c r="F1710" t="str">
        <f>VLOOKUP(A1710,Medical_Examinations[],5,FALSE)</f>
        <v>No</v>
      </c>
      <c r="G1710" t="str">
        <f>VLOOKUP(A1710,Medical_Examinations[],6,FALSE)</f>
        <v>No</v>
      </c>
      <c r="H1710">
        <f>VLOOKUP(A1710,Medical_Examinations[],7,FALSE)</f>
        <v>1</v>
      </c>
      <c r="I1710" t="str">
        <f>VLOOKUP(A1710,Medical_Examinations[],8,FALSE)</f>
        <v>No</v>
      </c>
      <c r="J1710" t="str">
        <f>VLOOKUP(A1710,Medical_Examinations[],9,FALSE)</f>
        <v>Overweight</v>
      </c>
      <c r="K1710" t="str">
        <f>VLOOKUP(A1710,Medical_Examinations[],10,FALSE)</f>
        <v>Normal</v>
      </c>
      <c r="M1710">
        <f>VLOOKUP(A1710,Hospitalisation_Details__2[],4,FALSE)</f>
        <v>5385.34</v>
      </c>
      <c r="N1710" t="str">
        <f>VLOOKUP(A1710,Hospitalisation_Details__2[],5,FALSE)</f>
        <v>tier - 2</v>
      </c>
      <c r="O1710" t="str">
        <f>VLOOKUP(A1710,Hospitalisation_Details__2[],6,FALSE)</f>
        <v>tier - 3</v>
      </c>
      <c r="P1710" t="str">
        <f>VLOOKUP(A1710,Hospitalisation_Details__2[],7,FALSE)</f>
        <v>R1012</v>
      </c>
    </row>
    <row r="1711" spans="1:16" x14ac:dyDescent="0.35">
      <c r="A1711" t="str">
        <v>Id1710</v>
      </c>
      <c r="B1711" t="str">
        <f>VLOOKUP(A1711,'Customer Names (2)'!A:B, 2,FALSE)</f>
        <v>Ms</v>
      </c>
      <c r="C1711">
        <f>VLOOKUP(A1711,Medical_Examinations[],2,FALSE)</f>
        <v>27.6</v>
      </c>
      <c r="D1711">
        <f>VLOOKUP(A1711,Medical_Examinations[],3,FALSE)</f>
        <v>5.33</v>
      </c>
      <c r="E1711" t="str">
        <f>VLOOKUP(A1711,Medical_Examinations[],4,FALSE)</f>
        <v>No</v>
      </c>
      <c r="F1711" t="str">
        <f>VLOOKUP(A1711,Medical_Examinations[],5,FALSE)</f>
        <v>No</v>
      </c>
      <c r="G1711" t="str">
        <f>VLOOKUP(A1711,Medical_Examinations[],6,FALSE)</f>
        <v>No</v>
      </c>
      <c r="H1711">
        <f>VLOOKUP(A1711,Medical_Examinations[],7,FALSE)</f>
        <v>1</v>
      </c>
      <c r="I1711" t="str">
        <f>VLOOKUP(A1711,Medical_Examinations[],8,FALSE)</f>
        <v>No</v>
      </c>
      <c r="J1711" t="str">
        <f>VLOOKUP(A1711,Medical_Examinations[],9,FALSE)</f>
        <v>Overweight</v>
      </c>
      <c r="K1711" t="str">
        <f>VLOOKUP(A1711,Medical_Examinations[],10,FALSE)</f>
        <v>Normal</v>
      </c>
      <c r="M1711">
        <f>VLOOKUP(A1711,Hospitalisation_Details__2[],4,FALSE)</f>
        <v>5383.54</v>
      </c>
      <c r="N1711" t="str">
        <f>VLOOKUP(A1711,Hospitalisation_Details__2[],5,FALSE)</f>
        <v>tier - 2</v>
      </c>
      <c r="O1711" t="str">
        <f>VLOOKUP(A1711,Hospitalisation_Details__2[],6,FALSE)</f>
        <v>tier - 3</v>
      </c>
      <c r="P1711" t="str">
        <f>VLOOKUP(A1711,Hospitalisation_Details__2[],7,FALSE)</f>
        <v>R1011</v>
      </c>
    </row>
    <row r="1712" spans="1:16" x14ac:dyDescent="0.35">
      <c r="A1712" t="str">
        <v>Id1711</v>
      </c>
      <c r="B1712" t="str">
        <f>VLOOKUP(A1712,'Customer Names (2)'!A:B, 2,FALSE)</f>
        <v>Mr</v>
      </c>
      <c r="C1712">
        <f>VLOOKUP(A1712,Medical_Examinations[],2,FALSE)</f>
        <v>33.82</v>
      </c>
      <c r="D1712">
        <f>VLOOKUP(A1712,Medical_Examinations[],3,FALSE)</f>
        <v>8.93</v>
      </c>
      <c r="E1712" t="str">
        <f>VLOOKUP(A1712,Medical_Examinations[],4,FALSE)</f>
        <v>Yes</v>
      </c>
      <c r="F1712" t="str">
        <f>VLOOKUP(A1712,Medical_Examinations[],5,FALSE)</f>
        <v>No</v>
      </c>
      <c r="G1712" t="str">
        <f>VLOOKUP(A1712,Medical_Examinations[],6,FALSE)</f>
        <v>No</v>
      </c>
      <c r="H1712">
        <f>VLOOKUP(A1712,Medical_Examinations[],7,FALSE)</f>
        <v>1</v>
      </c>
      <c r="I1712" t="str">
        <f>VLOOKUP(A1712,Medical_Examinations[],8,FALSE)</f>
        <v>No</v>
      </c>
      <c r="J1712" t="str">
        <f>VLOOKUP(A1712,Medical_Examinations[],9,FALSE)</f>
        <v>Obesity</v>
      </c>
      <c r="K1712" t="str">
        <f>VLOOKUP(A1712,Medical_Examinations[],10,FALSE)</f>
        <v>Diabetes</v>
      </c>
      <c r="M1712">
        <f>VLOOKUP(A1712,Hospitalisation_Details__2[],4,FALSE)</f>
        <v>5377.46</v>
      </c>
      <c r="N1712" t="str">
        <f>VLOOKUP(A1712,Hospitalisation_Details__2[],5,FALSE)</f>
        <v>tier - 2</v>
      </c>
      <c r="O1712" t="str">
        <f>VLOOKUP(A1712,Hospitalisation_Details__2[],6,FALSE)</f>
        <v>tier - 3</v>
      </c>
      <c r="P1712" t="str">
        <f>VLOOKUP(A1712,Hospitalisation_Details__2[],7,FALSE)</f>
        <v>R1012</v>
      </c>
    </row>
    <row r="1713" spans="1:16" x14ac:dyDescent="0.35">
      <c r="A1713" t="str">
        <v>Id1712</v>
      </c>
      <c r="B1713" t="str">
        <f>VLOOKUP(A1713,'Customer Names (2)'!A:B, 2,FALSE)</f>
        <v>Ms</v>
      </c>
      <c r="C1713">
        <f>VLOOKUP(A1713,Medical_Examinations[],2,FALSE)</f>
        <v>32.9</v>
      </c>
      <c r="D1713">
        <f>VLOOKUP(A1713,Medical_Examinations[],3,FALSE)</f>
        <v>4.3499999999999996</v>
      </c>
      <c r="E1713" t="str">
        <f>VLOOKUP(A1713,Medical_Examinations[],4,FALSE)</f>
        <v>No</v>
      </c>
      <c r="F1713" t="str">
        <f>VLOOKUP(A1713,Medical_Examinations[],5,FALSE)</f>
        <v>No</v>
      </c>
      <c r="G1713" t="str">
        <f>VLOOKUP(A1713,Medical_Examinations[],6,FALSE)</f>
        <v>No</v>
      </c>
      <c r="H1713">
        <f>VLOOKUP(A1713,Medical_Examinations[],7,FALSE)</f>
        <v>0</v>
      </c>
      <c r="I1713" t="str">
        <f>VLOOKUP(A1713,Medical_Examinations[],8,FALSE)</f>
        <v>No</v>
      </c>
      <c r="J1713" t="str">
        <f>VLOOKUP(A1713,Medical_Examinations[],9,FALSE)</f>
        <v>Obesity</v>
      </c>
      <c r="K1713" t="str">
        <f>VLOOKUP(A1713,Medical_Examinations[],10,FALSE)</f>
        <v>Normal</v>
      </c>
      <c r="M1713">
        <f>VLOOKUP(A1713,Hospitalisation_Details__2[],4,FALSE)</f>
        <v>5375.04</v>
      </c>
      <c r="N1713" t="str">
        <f>VLOOKUP(A1713,Hospitalisation_Details__2[],5,FALSE)</f>
        <v>tier - 2</v>
      </c>
      <c r="O1713" t="str">
        <f>VLOOKUP(A1713,Hospitalisation_Details__2[],6,FALSE)</f>
        <v>tier - 1</v>
      </c>
      <c r="P1713" t="str">
        <f>VLOOKUP(A1713,Hospitalisation_Details__2[],7,FALSE)</f>
        <v>R1011</v>
      </c>
    </row>
    <row r="1714" spans="1:16" x14ac:dyDescent="0.35">
      <c r="A1714" t="str">
        <v>Id1713</v>
      </c>
      <c r="B1714" t="str">
        <f>VLOOKUP(A1714,'Customer Names (2)'!A:B, 2,FALSE)</f>
        <v>Mr</v>
      </c>
      <c r="C1714">
        <f>VLOOKUP(A1714,Medical_Examinations[],2,FALSE)</f>
        <v>30.875</v>
      </c>
      <c r="D1714">
        <f>VLOOKUP(A1714,Medical_Examinations[],3,FALSE)</f>
        <v>9.5399999999999991</v>
      </c>
      <c r="E1714" t="str">
        <f>VLOOKUP(A1714,Medical_Examinations[],4,FALSE)</f>
        <v>Yes</v>
      </c>
      <c r="F1714" t="str">
        <f>VLOOKUP(A1714,Medical_Examinations[],5,FALSE)</f>
        <v>No</v>
      </c>
      <c r="G1714" t="str">
        <f>VLOOKUP(A1714,Medical_Examinations[],6,FALSE)</f>
        <v>No</v>
      </c>
      <c r="H1714">
        <f>VLOOKUP(A1714,Medical_Examinations[],7,FALSE)</f>
        <v>1</v>
      </c>
      <c r="I1714" t="str">
        <f>VLOOKUP(A1714,Medical_Examinations[],8,FALSE)</f>
        <v>No</v>
      </c>
      <c r="J1714" t="str">
        <f>VLOOKUP(A1714,Medical_Examinations[],9,FALSE)</f>
        <v>Obesity</v>
      </c>
      <c r="K1714" t="str">
        <f>VLOOKUP(A1714,Medical_Examinations[],10,FALSE)</f>
        <v>Diabetes</v>
      </c>
      <c r="M1714">
        <f>VLOOKUP(A1714,Hospitalisation_Details__2[],4,FALSE)</f>
        <v>5373.36</v>
      </c>
      <c r="N1714" t="str">
        <f>VLOOKUP(A1714,Hospitalisation_Details__2[],5,FALSE)</f>
        <v>tier - 2</v>
      </c>
      <c r="O1714" t="str">
        <f>VLOOKUP(A1714,Hospitalisation_Details__2[],6,FALSE)</f>
        <v>tier - 2</v>
      </c>
      <c r="P1714" t="str">
        <f>VLOOKUP(A1714,Hospitalisation_Details__2[],7,FALSE)</f>
        <v>R1012</v>
      </c>
    </row>
    <row r="1715" spans="1:16" x14ac:dyDescent="0.35">
      <c r="A1715" t="str">
        <v>Id1714</v>
      </c>
      <c r="B1715" t="str">
        <f>VLOOKUP(A1715,'Customer Names (2)'!A:B, 2,FALSE)</f>
        <v>Ms</v>
      </c>
      <c r="C1715">
        <f>VLOOKUP(A1715,Medical_Examinations[],2,FALSE)</f>
        <v>32.64</v>
      </c>
      <c r="D1715">
        <f>VLOOKUP(A1715,Medical_Examinations[],3,FALSE)</f>
        <v>5.91</v>
      </c>
      <c r="E1715" t="str">
        <f>VLOOKUP(A1715,Medical_Examinations[],4,FALSE)</f>
        <v>No</v>
      </c>
      <c r="F1715" t="str">
        <f>VLOOKUP(A1715,Medical_Examinations[],5,FALSE)</f>
        <v>No</v>
      </c>
      <c r="G1715" t="str">
        <f>VLOOKUP(A1715,Medical_Examinations[],6,FALSE)</f>
        <v>No</v>
      </c>
      <c r="H1715">
        <f>VLOOKUP(A1715,Medical_Examinations[],7,FALSE)</f>
        <v>0</v>
      </c>
      <c r="I1715" t="str">
        <f>VLOOKUP(A1715,Medical_Examinations[],8,FALSE)</f>
        <v>No</v>
      </c>
      <c r="J1715" t="str">
        <f>VLOOKUP(A1715,Medical_Examinations[],9,FALSE)</f>
        <v>Obesity</v>
      </c>
      <c r="K1715" t="str">
        <f>VLOOKUP(A1715,Medical_Examinations[],10,FALSE)</f>
        <v>Prediabetes</v>
      </c>
      <c r="M1715">
        <f>VLOOKUP(A1715,Hospitalisation_Details__2[],4,FALSE)</f>
        <v>5364.66</v>
      </c>
      <c r="N1715" t="str">
        <f>VLOOKUP(A1715,Hospitalisation_Details__2[],5,FALSE)</f>
        <v>tier - 2</v>
      </c>
      <c r="O1715" t="str">
        <f>VLOOKUP(A1715,Hospitalisation_Details__2[],6,FALSE)</f>
        <v>tier - 1</v>
      </c>
      <c r="P1715" t="str">
        <f>VLOOKUP(A1715,Hospitalisation_Details__2[],7,FALSE)</f>
        <v>R1011</v>
      </c>
    </row>
    <row r="1716" spans="1:16" x14ac:dyDescent="0.35">
      <c r="A1716" t="str">
        <v>Id1715</v>
      </c>
      <c r="B1716" t="str">
        <f>VLOOKUP(A1716,'Customer Names (2)'!A:B, 2,FALSE)</f>
        <v>Ms</v>
      </c>
      <c r="C1716">
        <f>VLOOKUP(A1716,Medical_Examinations[],2,FALSE)</f>
        <v>22.135000000000002</v>
      </c>
      <c r="D1716">
        <f>VLOOKUP(A1716,Medical_Examinations[],3,FALSE)</f>
        <v>5.0999999999999996</v>
      </c>
      <c r="E1716" t="str">
        <f>VLOOKUP(A1716,Medical_Examinations[],4,FALSE)</f>
        <v>No</v>
      </c>
      <c r="F1716" t="str">
        <f>VLOOKUP(A1716,Medical_Examinations[],5,FALSE)</f>
        <v>No</v>
      </c>
      <c r="G1716" t="str">
        <f>VLOOKUP(A1716,Medical_Examinations[],6,FALSE)</f>
        <v>No</v>
      </c>
      <c r="H1716">
        <f>VLOOKUP(A1716,Medical_Examinations[],7,FALSE)</f>
        <v>0</v>
      </c>
      <c r="I1716" t="str">
        <f>VLOOKUP(A1716,Medical_Examinations[],8,FALSE)</f>
        <v>No</v>
      </c>
      <c r="J1716" t="str">
        <f>VLOOKUP(A1716,Medical_Examinations[],9,FALSE)</f>
        <v>Normal Weight</v>
      </c>
      <c r="K1716" t="str">
        <f>VLOOKUP(A1716,Medical_Examinations[],10,FALSE)</f>
        <v>Normal</v>
      </c>
      <c r="M1716">
        <f>VLOOKUP(A1716,Hospitalisation_Details__2[],4,FALSE)</f>
        <v>5354.07</v>
      </c>
      <c r="N1716" t="str">
        <f>VLOOKUP(A1716,Hospitalisation_Details__2[],5,FALSE)</f>
        <v>tier - 2</v>
      </c>
      <c r="O1716" t="str">
        <f>VLOOKUP(A1716,Hospitalisation_Details__2[],6,FALSE)</f>
        <v>tier - 3</v>
      </c>
      <c r="P1716" t="str">
        <f>VLOOKUP(A1716,Hospitalisation_Details__2[],7,FALSE)</f>
        <v>R1024</v>
      </c>
    </row>
    <row r="1717" spans="1:16" x14ac:dyDescent="0.35">
      <c r="A1717" t="str">
        <v>Id1716</v>
      </c>
      <c r="B1717" t="str">
        <f>VLOOKUP(A1717,'Customer Names (2)'!A:B, 2,FALSE)</f>
        <v>Mr</v>
      </c>
      <c r="C1717">
        <f>VLOOKUP(A1717,Medical_Examinations[],2,FALSE)</f>
        <v>16.53</v>
      </c>
      <c r="D1717">
        <f>VLOOKUP(A1717,Medical_Examinations[],3,FALSE)</f>
        <v>5.08</v>
      </c>
      <c r="E1717" t="str">
        <f>VLOOKUP(A1717,Medical_Examinations[],4,FALSE)</f>
        <v>No</v>
      </c>
      <c r="F1717" t="str">
        <f>VLOOKUP(A1717,Medical_Examinations[],5,FALSE)</f>
        <v>No</v>
      </c>
      <c r="G1717" t="str">
        <f>VLOOKUP(A1717,Medical_Examinations[],6,FALSE)</f>
        <v>No</v>
      </c>
      <c r="H1717">
        <f>VLOOKUP(A1717,Medical_Examinations[],7,FALSE)</f>
        <v>2</v>
      </c>
      <c r="I1717" t="str">
        <f>VLOOKUP(A1717,Medical_Examinations[],8,FALSE)</f>
        <v>No</v>
      </c>
      <c r="J1717" t="str">
        <f>VLOOKUP(A1717,Medical_Examinations[],9,FALSE)</f>
        <v>Underweight</v>
      </c>
      <c r="K1717" t="str">
        <f>VLOOKUP(A1717,Medical_Examinations[],10,FALSE)</f>
        <v>Normal</v>
      </c>
      <c r="M1717">
        <f>VLOOKUP(A1717,Hospitalisation_Details__2[],4,FALSE)</f>
        <v>5344.81</v>
      </c>
      <c r="N1717" t="str">
        <f>VLOOKUP(A1717,Hospitalisation_Details__2[],5,FALSE)</f>
        <v>tier - 2</v>
      </c>
      <c r="O1717" t="str">
        <f>VLOOKUP(A1717,Hospitalisation_Details__2[],6,FALSE)</f>
        <v>tier - 3</v>
      </c>
      <c r="P1717" t="str">
        <f>VLOOKUP(A1717,Hospitalisation_Details__2[],7,FALSE)</f>
        <v>R1013</v>
      </c>
    </row>
    <row r="1718" spans="1:16" x14ac:dyDescent="0.35">
      <c r="A1718" t="str">
        <v>Id1717</v>
      </c>
      <c r="B1718" t="str">
        <f>VLOOKUP(A1718,'Customer Names (2)'!A:B, 2,FALSE)</f>
        <v>Ms</v>
      </c>
      <c r="C1718">
        <f>VLOOKUP(A1718,Medical_Examinations[],2,FALSE)</f>
        <v>32.774999999999999</v>
      </c>
      <c r="D1718">
        <f>VLOOKUP(A1718,Medical_Examinations[],3,FALSE)</f>
        <v>4.75</v>
      </c>
      <c r="E1718" t="str">
        <f>VLOOKUP(A1718,Medical_Examinations[],4,FALSE)</f>
        <v>No</v>
      </c>
      <c r="F1718" t="str">
        <f>VLOOKUP(A1718,Medical_Examinations[],5,FALSE)</f>
        <v>No</v>
      </c>
      <c r="G1718" t="str">
        <f>VLOOKUP(A1718,Medical_Examinations[],6,FALSE)</f>
        <v>No</v>
      </c>
      <c r="H1718">
        <f>VLOOKUP(A1718,Medical_Examinations[],7,FALSE)</f>
        <v>0</v>
      </c>
      <c r="I1718" t="str">
        <f>VLOOKUP(A1718,Medical_Examinations[],8,FALSE)</f>
        <v>No</v>
      </c>
      <c r="J1718" t="str">
        <f>VLOOKUP(A1718,Medical_Examinations[],9,FALSE)</f>
        <v>Obesity</v>
      </c>
      <c r="K1718" t="str">
        <f>VLOOKUP(A1718,Medical_Examinations[],10,FALSE)</f>
        <v>Normal</v>
      </c>
      <c r="M1718">
        <f>VLOOKUP(A1718,Hospitalisation_Details__2[],4,FALSE)</f>
        <v>5327.4</v>
      </c>
      <c r="N1718" t="str">
        <f>VLOOKUP(A1718,Hospitalisation_Details__2[],5,FALSE)</f>
        <v>tier - 2</v>
      </c>
      <c r="O1718" t="str">
        <f>VLOOKUP(A1718,Hospitalisation_Details__2[],6,FALSE)</f>
        <v>tier - 1</v>
      </c>
      <c r="P1718" t="str">
        <f>VLOOKUP(A1718,Hospitalisation_Details__2[],7,FALSE)</f>
        <v>R1012</v>
      </c>
    </row>
    <row r="1719" spans="1:16" x14ac:dyDescent="0.35">
      <c r="A1719" t="str">
        <v>Id1718</v>
      </c>
      <c r="B1719" t="str">
        <f>VLOOKUP(A1719,'Customer Names (2)'!A:B, 2,FALSE)</f>
        <v>Ms</v>
      </c>
      <c r="C1719">
        <f>VLOOKUP(A1719,Medical_Examinations[],2,FALSE)</f>
        <v>30.9</v>
      </c>
      <c r="D1719">
        <f>VLOOKUP(A1719,Medical_Examinations[],3,FALSE)</f>
        <v>6.05</v>
      </c>
      <c r="E1719" t="str">
        <f>VLOOKUP(A1719,Medical_Examinations[],4,FALSE)</f>
        <v>No</v>
      </c>
      <c r="F1719" t="str">
        <f>VLOOKUP(A1719,Medical_Examinations[],5,FALSE)</f>
        <v>No</v>
      </c>
      <c r="G1719" t="str">
        <f>VLOOKUP(A1719,Medical_Examinations[],6,FALSE)</f>
        <v>No</v>
      </c>
      <c r="H1719">
        <f>VLOOKUP(A1719,Medical_Examinations[],7,FALSE)</f>
        <v>1</v>
      </c>
      <c r="I1719" t="str">
        <f>VLOOKUP(A1719,Medical_Examinations[],8,FALSE)</f>
        <v>No</v>
      </c>
      <c r="J1719" t="str">
        <f>VLOOKUP(A1719,Medical_Examinations[],9,FALSE)</f>
        <v>Obesity</v>
      </c>
      <c r="K1719" t="str">
        <f>VLOOKUP(A1719,Medical_Examinations[],10,FALSE)</f>
        <v>Prediabetes</v>
      </c>
      <c r="M1719">
        <f>VLOOKUP(A1719,Hospitalisation_Details__2[],4,FALSE)</f>
        <v>5325.65</v>
      </c>
      <c r="N1719" t="str">
        <f>VLOOKUP(A1719,Hospitalisation_Details__2[],5,FALSE)</f>
        <v>tier - 2</v>
      </c>
      <c r="O1719" t="str">
        <f>VLOOKUP(A1719,Hospitalisation_Details__2[],6,FALSE)</f>
        <v>tier - 1</v>
      </c>
      <c r="P1719" t="str">
        <f>VLOOKUP(A1719,Hospitalisation_Details__2[],7,FALSE)</f>
        <v>R1011</v>
      </c>
    </row>
    <row r="1720" spans="1:16" x14ac:dyDescent="0.35">
      <c r="A1720" t="str">
        <v>Id1719</v>
      </c>
      <c r="B1720" t="str">
        <f>VLOOKUP(A1720,'Customer Names (2)'!A:B, 2,FALSE)</f>
        <v>Ms</v>
      </c>
      <c r="C1720">
        <f>VLOOKUP(A1720,Medical_Examinations[],2,FALSE)</f>
        <v>15.58</v>
      </c>
      <c r="D1720">
        <f>VLOOKUP(A1720,Medical_Examinations[],3,FALSE)</f>
        <v>11.56</v>
      </c>
      <c r="E1720" t="str">
        <f>VLOOKUP(A1720,Medical_Examinations[],4,FALSE)</f>
        <v>No</v>
      </c>
      <c r="F1720" t="str">
        <f>VLOOKUP(A1720,Medical_Examinations[],5,FALSE)</f>
        <v>No</v>
      </c>
      <c r="G1720" t="str">
        <f>VLOOKUP(A1720,Medical_Examinations[],6,FALSE)</f>
        <v>No</v>
      </c>
      <c r="H1720">
        <f>VLOOKUP(A1720,Medical_Examinations[],7,FALSE)</f>
        <v>0</v>
      </c>
      <c r="I1720" t="str">
        <f>VLOOKUP(A1720,Medical_Examinations[],8,FALSE)</f>
        <v>No</v>
      </c>
      <c r="J1720" t="str">
        <f>VLOOKUP(A1720,Medical_Examinations[],9,FALSE)</f>
        <v>Underweight</v>
      </c>
      <c r="K1720" t="str">
        <f>VLOOKUP(A1720,Medical_Examinations[],10,FALSE)</f>
        <v>Diabetes</v>
      </c>
      <c r="M1720">
        <f>VLOOKUP(A1720,Hospitalisation_Details__2[],4,FALSE)</f>
        <v>5322.24</v>
      </c>
      <c r="N1720" t="str">
        <f>VLOOKUP(A1720,Hospitalisation_Details__2[],5,FALSE)</f>
        <v>tier - 2</v>
      </c>
      <c r="O1720" t="str">
        <f>VLOOKUP(A1720,Hospitalisation_Details__2[],6,FALSE)</f>
        <v>tier - 1</v>
      </c>
      <c r="P1720" t="str">
        <f>VLOOKUP(A1720,Hospitalisation_Details__2[],7,FALSE)</f>
        <v>R1012</v>
      </c>
    </row>
    <row r="1721" spans="1:16" x14ac:dyDescent="0.35">
      <c r="A1721" t="str">
        <v>Id1720</v>
      </c>
      <c r="B1721" t="str">
        <f>VLOOKUP(A1721,'Customer Names (2)'!A:B, 2,FALSE)</f>
        <v>Ms</v>
      </c>
      <c r="C1721">
        <f>VLOOKUP(A1721,Medical_Examinations[],2,FALSE)</f>
        <v>26.315000000000001</v>
      </c>
      <c r="D1721">
        <f>VLOOKUP(A1721,Medical_Examinations[],3,FALSE)</f>
        <v>5.76</v>
      </c>
      <c r="E1721" t="str">
        <f>VLOOKUP(A1721,Medical_Examinations[],4,FALSE)</f>
        <v>No</v>
      </c>
      <c r="F1721" t="str">
        <f>VLOOKUP(A1721,Medical_Examinations[],5,FALSE)</f>
        <v>No</v>
      </c>
      <c r="G1721" t="str">
        <f>VLOOKUP(A1721,Medical_Examinations[],6,FALSE)</f>
        <v>No</v>
      </c>
      <c r="H1721">
        <f>VLOOKUP(A1721,Medical_Examinations[],7,FALSE)</f>
        <v>0</v>
      </c>
      <c r="I1721" t="str">
        <f>VLOOKUP(A1721,Medical_Examinations[],8,FALSE)</f>
        <v>No</v>
      </c>
      <c r="J1721" t="str">
        <f>VLOOKUP(A1721,Medical_Examinations[],9,FALSE)</f>
        <v>Overweight</v>
      </c>
      <c r="K1721" t="str">
        <f>VLOOKUP(A1721,Medical_Examinations[],10,FALSE)</f>
        <v>Prediabetes</v>
      </c>
      <c r="M1721">
        <f>VLOOKUP(A1721,Hospitalisation_Details__2[],4,FALSE)</f>
        <v>5312.17</v>
      </c>
      <c r="N1721" t="str">
        <f>VLOOKUP(A1721,Hospitalisation_Details__2[],5,FALSE)</f>
        <v>tier - 2</v>
      </c>
      <c r="O1721" t="str">
        <f>VLOOKUP(A1721,Hospitalisation_Details__2[],6,FALSE)</f>
        <v>tier - 2</v>
      </c>
      <c r="P1721" t="str">
        <f>VLOOKUP(A1721,Hospitalisation_Details__2[],7,FALSE)</f>
        <v>R1012</v>
      </c>
    </row>
    <row r="1722" spans="1:16" x14ac:dyDescent="0.35">
      <c r="A1722" t="str">
        <v>Id1721</v>
      </c>
      <c r="B1722" t="str">
        <f>VLOOKUP(A1722,'Customer Names (2)'!A:B, 2,FALSE)</f>
        <v>Mr</v>
      </c>
      <c r="C1722">
        <f>VLOOKUP(A1722,Medical_Examinations[],2,FALSE)</f>
        <v>35.61</v>
      </c>
      <c r="D1722">
        <f>VLOOKUP(A1722,Medical_Examinations[],3,FALSE)</f>
        <v>5.65</v>
      </c>
      <c r="E1722" t="str">
        <f>VLOOKUP(A1722,Medical_Examinations[],4,FALSE)</f>
        <v>No</v>
      </c>
      <c r="F1722" t="str">
        <f>VLOOKUP(A1722,Medical_Examinations[],5,FALSE)</f>
        <v>yes</v>
      </c>
      <c r="G1722" t="str">
        <f>VLOOKUP(A1722,Medical_Examinations[],6,FALSE)</f>
        <v>No</v>
      </c>
      <c r="H1722">
        <f>VLOOKUP(A1722,Medical_Examinations[],7,FALSE)</f>
        <v>1</v>
      </c>
      <c r="I1722" t="str">
        <f>VLOOKUP(A1722,Medical_Examinations[],8,FALSE)</f>
        <v>No</v>
      </c>
      <c r="J1722" t="str">
        <f>VLOOKUP(A1722,Medical_Examinations[],9,FALSE)</f>
        <v>Obesity</v>
      </c>
      <c r="K1722" t="str">
        <f>VLOOKUP(A1722,Medical_Examinations[],10,FALSE)</f>
        <v>Normal</v>
      </c>
      <c r="M1722">
        <f>VLOOKUP(A1722,Hospitalisation_Details__2[],4,FALSE)</f>
        <v>5306.7</v>
      </c>
      <c r="N1722" t="str">
        <f>VLOOKUP(A1722,Hospitalisation_Details__2[],5,FALSE)</f>
        <v>tier - 2</v>
      </c>
      <c r="O1722" t="str">
        <f>VLOOKUP(A1722,Hospitalisation_Details__2[],6,FALSE)</f>
        <v>tier - 3</v>
      </c>
      <c r="P1722" t="str">
        <f>VLOOKUP(A1722,Hospitalisation_Details__2[],7,FALSE)</f>
        <v>R1012</v>
      </c>
    </row>
    <row r="1723" spans="1:16" x14ac:dyDescent="0.35">
      <c r="A1723" t="str">
        <v>Id1722</v>
      </c>
      <c r="B1723" t="str">
        <f>VLOOKUP(A1723,'Customer Names (2)'!A:B, 2,FALSE)</f>
        <v>Mr</v>
      </c>
      <c r="C1723">
        <f>VLOOKUP(A1723,Medical_Examinations[],2,FALSE)</f>
        <v>37.56</v>
      </c>
      <c r="D1723">
        <f>VLOOKUP(A1723,Medical_Examinations[],3,FALSE)</f>
        <v>5.88</v>
      </c>
      <c r="E1723" t="str">
        <f>VLOOKUP(A1723,Medical_Examinations[],4,FALSE)</f>
        <v>No</v>
      </c>
      <c r="F1723" t="str">
        <f>VLOOKUP(A1723,Medical_Examinations[],5,FALSE)</f>
        <v>yes</v>
      </c>
      <c r="G1723" t="str">
        <f>VLOOKUP(A1723,Medical_Examinations[],6,FALSE)</f>
        <v>No</v>
      </c>
      <c r="H1723">
        <f>VLOOKUP(A1723,Medical_Examinations[],7,FALSE)</f>
        <v>1</v>
      </c>
      <c r="I1723" t="str">
        <f>VLOOKUP(A1723,Medical_Examinations[],8,FALSE)</f>
        <v>No</v>
      </c>
      <c r="J1723" t="str">
        <f>VLOOKUP(A1723,Medical_Examinations[],9,FALSE)</f>
        <v>Obesity</v>
      </c>
      <c r="K1723" t="str">
        <f>VLOOKUP(A1723,Medical_Examinations[],10,FALSE)</f>
        <v>Prediabetes</v>
      </c>
      <c r="M1723">
        <f>VLOOKUP(A1723,Hospitalisation_Details__2[],4,FALSE)</f>
        <v>5293.67</v>
      </c>
      <c r="N1723" t="str">
        <f>VLOOKUP(A1723,Hospitalisation_Details__2[],5,FALSE)</f>
        <v>tier - 2</v>
      </c>
      <c r="O1723" t="str">
        <f>VLOOKUP(A1723,Hospitalisation_Details__2[],6,FALSE)</f>
        <v>tier - 2</v>
      </c>
      <c r="P1723" t="str">
        <f>VLOOKUP(A1723,Hospitalisation_Details__2[],7,FALSE)</f>
        <v>R1022</v>
      </c>
    </row>
    <row r="1724" spans="1:16" x14ac:dyDescent="0.35">
      <c r="A1724" t="str">
        <v>Id1723</v>
      </c>
      <c r="B1724" t="str">
        <f>VLOOKUP(A1724,'Customer Names (2)'!A:B, 2,FALSE)</f>
        <v>Ms</v>
      </c>
      <c r="C1724">
        <f>VLOOKUP(A1724,Medical_Examinations[],2,FALSE)</f>
        <v>15.49</v>
      </c>
      <c r="D1724">
        <f>VLOOKUP(A1724,Medical_Examinations[],3,FALSE)</f>
        <v>9.6</v>
      </c>
      <c r="E1724" t="str">
        <f>VLOOKUP(A1724,Medical_Examinations[],4,FALSE)</f>
        <v>No</v>
      </c>
      <c r="F1724" t="str">
        <f>VLOOKUP(A1724,Medical_Examinations[],5,FALSE)</f>
        <v>No</v>
      </c>
      <c r="G1724" t="str">
        <f>VLOOKUP(A1724,Medical_Examinations[],6,FALSE)</f>
        <v>No</v>
      </c>
      <c r="H1724">
        <f>VLOOKUP(A1724,Medical_Examinations[],7,FALSE)</f>
        <v>0</v>
      </c>
      <c r="I1724" t="str">
        <f>VLOOKUP(A1724,Medical_Examinations[],8,FALSE)</f>
        <v>No</v>
      </c>
      <c r="J1724" t="str">
        <f>VLOOKUP(A1724,Medical_Examinations[],9,FALSE)</f>
        <v>Underweight</v>
      </c>
      <c r="K1724" t="str">
        <f>VLOOKUP(A1724,Medical_Examinations[],10,FALSE)</f>
        <v>Diabetes</v>
      </c>
      <c r="M1724">
        <f>VLOOKUP(A1724,Hospitalisation_Details__2[],4,FALSE)</f>
        <v>5291.71</v>
      </c>
      <c r="N1724" t="str">
        <f>VLOOKUP(A1724,Hospitalisation_Details__2[],5,FALSE)</f>
        <v>tier - 2</v>
      </c>
      <c r="O1724" t="str">
        <f>VLOOKUP(A1724,Hospitalisation_Details__2[],6,FALSE)</f>
        <v>tier - 2</v>
      </c>
      <c r="P1724" t="str">
        <f>VLOOKUP(A1724,Hospitalisation_Details__2[],7,FALSE)</f>
        <v>R1012</v>
      </c>
    </row>
    <row r="1725" spans="1:16" x14ac:dyDescent="0.35">
      <c r="A1725" t="str">
        <v>Id1724</v>
      </c>
      <c r="B1725" t="str">
        <f>VLOOKUP(A1725,'Customer Names (2)'!A:B, 2,FALSE)</f>
        <v>Mr</v>
      </c>
      <c r="C1725">
        <f>VLOOKUP(A1725,Medical_Examinations[],2,FALSE)</f>
        <v>23.48</v>
      </c>
      <c r="D1725">
        <f>VLOOKUP(A1725,Medical_Examinations[],3,FALSE)</f>
        <v>6.24</v>
      </c>
      <c r="E1725" t="str">
        <f>VLOOKUP(A1725,Medical_Examinations[],4,FALSE)</f>
        <v>No</v>
      </c>
      <c r="F1725" t="str">
        <f>VLOOKUP(A1725,Medical_Examinations[],5,FALSE)</f>
        <v>No</v>
      </c>
      <c r="G1725" t="str">
        <f>VLOOKUP(A1725,Medical_Examinations[],6,FALSE)</f>
        <v>No</v>
      </c>
      <c r="H1725">
        <f>VLOOKUP(A1725,Medical_Examinations[],7,FALSE)</f>
        <v>1</v>
      </c>
      <c r="I1725" t="str">
        <f>VLOOKUP(A1725,Medical_Examinations[],8,FALSE)</f>
        <v>No</v>
      </c>
      <c r="J1725" t="str">
        <f>VLOOKUP(A1725,Medical_Examinations[],9,FALSE)</f>
        <v>Normal Weight</v>
      </c>
      <c r="K1725" t="str">
        <f>VLOOKUP(A1725,Medical_Examinations[],10,FALSE)</f>
        <v>Prediabetes</v>
      </c>
      <c r="M1725">
        <f>VLOOKUP(A1725,Hospitalisation_Details__2[],4,FALSE)</f>
        <v>5275.86</v>
      </c>
      <c r="N1725" t="str">
        <f>VLOOKUP(A1725,Hospitalisation_Details__2[],5,FALSE)</f>
        <v>tier - 2</v>
      </c>
      <c r="O1725" t="str">
        <f>VLOOKUP(A1725,Hospitalisation_Details__2[],6,FALSE)</f>
        <v>tier - 2</v>
      </c>
      <c r="P1725" t="str">
        <f>VLOOKUP(A1725,Hospitalisation_Details__2[],7,FALSE)</f>
        <v>R1013</v>
      </c>
    </row>
    <row r="1726" spans="1:16" x14ac:dyDescent="0.35">
      <c r="A1726" t="str">
        <v>Id1725</v>
      </c>
      <c r="B1726" t="str">
        <f>VLOOKUP(A1726,'Customer Names (2)'!A:B, 2,FALSE)</f>
        <v>Ms</v>
      </c>
      <c r="C1726">
        <f>VLOOKUP(A1726,Medical_Examinations[],2,FALSE)</f>
        <v>30.02</v>
      </c>
      <c r="D1726">
        <f>VLOOKUP(A1726,Medical_Examinations[],3,FALSE)</f>
        <v>7.63</v>
      </c>
      <c r="E1726" t="str">
        <f>VLOOKUP(A1726,Medical_Examinations[],4,FALSE)</f>
        <v>Yes</v>
      </c>
      <c r="F1726" t="str">
        <f>VLOOKUP(A1726,Medical_Examinations[],5,FALSE)</f>
        <v>No</v>
      </c>
      <c r="G1726" t="str">
        <f>VLOOKUP(A1726,Medical_Examinations[],6,FALSE)</f>
        <v>No</v>
      </c>
      <c r="H1726">
        <f>VLOOKUP(A1726,Medical_Examinations[],7,FALSE)</f>
        <v>1</v>
      </c>
      <c r="I1726" t="str">
        <f>VLOOKUP(A1726,Medical_Examinations[],8,FALSE)</f>
        <v>No</v>
      </c>
      <c r="J1726" t="str">
        <f>VLOOKUP(A1726,Medical_Examinations[],9,FALSE)</f>
        <v>Obesity</v>
      </c>
      <c r="K1726" t="str">
        <f>VLOOKUP(A1726,Medical_Examinations[],10,FALSE)</f>
        <v>Diabetes</v>
      </c>
      <c r="M1726">
        <f>VLOOKUP(A1726,Hospitalisation_Details__2[],4,FALSE)</f>
        <v>5272.18</v>
      </c>
      <c r="N1726" t="str">
        <f>VLOOKUP(A1726,Hospitalisation_Details__2[],5,FALSE)</f>
        <v>tier - 2</v>
      </c>
      <c r="O1726" t="str">
        <f>VLOOKUP(A1726,Hospitalisation_Details__2[],6,FALSE)</f>
        <v>tier - 3</v>
      </c>
      <c r="P1726" t="str">
        <f>VLOOKUP(A1726,Hospitalisation_Details__2[],7,FALSE)</f>
        <v>R1012</v>
      </c>
    </row>
    <row r="1727" spans="1:16" x14ac:dyDescent="0.35">
      <c r="A1727" t="str">
        <v>Id1726</v>
      </c>
      <c r="B1727" t="str">
        <f>VLOOKUP(A1727,'Customer Names (2)'!A:B, 2,FALSE)</f>
        <v>Ms</v>
      </c>
      <c r="C1727">
        <f>VLOOKUP(A1727,Medical_Examinations[],2,FALSE)</f>
        <v>26.885000000000002</v>
      </c>
      <c r="D1727">
        <f>VLOOKUP(A1727,Medical_Examinations[],3,FALSE)</f>
        <v>8.66</v>
      </c>
      <c r="E1727" t="str">
        <f>VLOOKUP(A1727,Medical_Examinations[],4,FALSE)</f>
        <v>Yes</v>
      </c>
      <c r="F1727" t="str">
        <f>VLOOKUP(A1727,Medical_Examinations[],5,FALSE)</f>
        <v>No</v>
      </c>
      <c r="G1727" t="str">
        <f>VLOOKUP(A1727,Medical_Examinations[],6,FALSE)</f>
        <v>No</v>
      </c>
      <c r="H1727">
        <f>VLOOKUP(A1727,Medical_Examinations[],7,FALSE)</f>
        <v>1</v>
      </c>
      <c r="I1727" t="str">
        <f>VLOOKUP(A1727,Medical_Examinations[],8,FALSE)</f>
        <v>No</v>
      </c>
      <c r="J1727" t="str">
        <f>VLOOKUP(A1727,Medical_Examinations[],9,FALSE)</f>
        <v>Overweight</v>
      </c>
      <c r="K1727" t="str">
        <f>VLOOKUP(A1727,Medical_Examinations[],10,FALSE)</f>
        <v>Diabetes</v>
      </c>
      <c r="M1727">
        <f>VLOOKUP(A1727,Hospitalisation_Details__2[],4,FALSE)</f>
        <v>5267.82</v>
      </c>
      <c r="N1727" t="str">
        <f>VLOOKUP(A1727,Hospitalisation_Details__2[],5,FALSE)</f>
        <v>tier - 2</v>
      </c>
      <c r="O1727" t="str">
        <f>VLOOKUP(A1727,Hospitalisation_Details__2[],6,FALSE)</f>
        <v>tier - 2</v>
      </c>
      <c r="P1727" t="str">
        <f>VLOOKUP(A1727,Hospitalisation_Details__2[],7,FALSE)</f>
        <v>R1012</v>
      </c>
    </row>
    <row r="1728" spans="1:16" x14ac:dyDescent="0.35">
      <c r="A1728" t="str">
        <v>Id1727</v>
      </c>
      <c r="B1728" t="str">
        <f>VLOOKUP(A1728,'Customer Names (2)'!A:B, 2,FALSE)</f>
        <v>Ms</v>
      </c>
      <c r="C1728">
        <f>VLOOKUP(A1728,Medical_Examinations[],2,FALSE)</f>
        <v>25.84</v>
      </c>
      <c r="D1728">
        <f>VLOOKUP(A1728,Medical_Examinations[],3,FALSE)</f>
        <v>8.5500000000000007</v>
      </c>
      <c r="E1728" t="str">
        <f>VLOOKUP(A1728,Medical_Examinations[],4,FALSE)</f>
        <v>Yes</v>
      </c>
      <c r="F1728" t="str">
        <f>VLOOKUP(A1728,Medical_Examinations[],5,FALSE)</f>
        <v>No</v>
      </c>
      <c r="G1728" t="str">
        <f>VLOOKUP(A1728,Medical_Examinations[],6,FALSE)</f>
        <v>No</v>
      </c>
      <c r="H1728">
        <f>VLOOKUP(A1728,Medical_Examinations[],7,FALSE)</f>
        <v>1</v>
      </c>
      <c r="I1728" t="str">
        <f>VLOOKUP(A1728,Medical_Examinations[],8,FALSE)</f>
        <v>No</v>
      </c>
      <c r="J1728" t="str">
        <f>VLOOKUP(A1728,Medical_Examinations[],9,FALSE)</f>
        <v>Overweight</v>
      </c>
      <c r="K1728" t="str">
        <f>VLOOKUP(A1728,Medical_Examinations[],10,FALSE)</f>
        <v>Diabetes</v>
      </c>
      <c r="M1728">
        <f>VLOOKUP(A1728,Hospitalisation_Details__2[],4,FALSE)</f>
        <v>5266.37</v>
      </c>
      <c r="N1728" t="str">
        <f>VLOOKUP(A1728,Hospitalisation_Details__2[],5,FALSE)</f>
        <v>tier - 2</v>
      </c>
      <c r="O1728" t="str">
        <f>VLOOKUP(A1728,Hospitalisation_Details__2[],6,FALSE)</f>
        <v>tier - 2</v>
      </c>
      <c r="P1728" t="str">
        <f>VLOOKUP(A1728,Hospitalisation_Details__2[],7,FALSE)</f>
        <v>R1012</v>
      </c>
    </row>
    <row r="1729" spans="1:16" x14ac:dyDescent="0.35">
      <c r="A1729" t="str">
        <v>Id1728</v>
      </c>
      <c r="B1729" t="str">
        <f>VLOOKUP(A1729,'Customer Names (2)'!A:B, 2,FALSE)</f>
        <v>Mr</v>
      </c>
      <c r="C1729">
        <f>VLOOKUP(A1729,Medical_Examinations[],2,FALSE)</f>
        <v>27.454999999999998</v>
      </c>
      <c r="D1729">
        <f>VLOOKUP(A1729,Medical_Examinations[],3,FALSE)</f>
        <v>4.54</v>
      </c>
      <c r="E1729" t="str">
        <f>VLOOKUP(A1729,Medical_Examinations[],4,FALSE)</f>
        <v>No</v>
      </c>
      <c r="F1729" t="str">
        <f>VLOOKUP(A1729,Medical_Examinations[],5,FALSE)</f>
        <v>No</v>
      </c>
      <c r="G1729" t="str">
        <f>VLOOKUP(A1729,Medical_Examinations[],6,FALSE)</f>
        <v>No</v>
      </c>
      <c r="H1729">
        <f>VLOOKUP(A1729,Medical_Examinations[],7,FALSE)</f>
        <v>0</v>
      </c>
      <c r="I1729" t="str">
        <f>VLOOKUP(A1729,Medical_Examinations[],8,FALSE)</f>
        <v>No</v>
      </c>
      <c r="J1729" t="str">
        <f>VLOOKUP(A1729,Medical_Examinations[],9,FALSE)</f>
        <v>Overweight</v>
      </c>
      <c r="K1729" t="str">
        <f>VLOOKUP(A1729,Medical_Examinations[],10,FALSE)</f>
        <v>Normal</v>
      </c>
      <c r="M1729">
        <f>VLOOKUP(A1729,Hospitalisation_Details__2[],4,FALSE)</f>
        <v>5261.47</v>
      </c>
      <c r="N1729" t="str">
        <f>VLOOKUP(A1729,Hospitalisation_Details__2[],5,FALSE)</f>
        <v>tier - 2</v>
      </c>
      <c r="O1729" t="str">
        <f>VLOOKUP(A1729,Hospitalisation_Details__2[],6,FALSE)</f>
        <v>tier - 2</v>
      </c>
      <c r="P1729" t="str">
        <f>VLOOKUP(A1729,Hospitalisation_Details__2[],7,FALSE)</f>
        <v>R1012</v>
      </c>
    </row>
    <row r="1730" spans="1:16" x14ac:dyDescent="0.35">
      <c r="A1730" t="str">
        <v>Id1729</v>
      </c>
      <c r="B1730" t="str">
        <f>VLOOKUP(A1730,'Customer Names (2)'!A:B, 2,FALSE)</f>
        <v>Mr</v>
      </c>
      <c r="C1730">
        <f>VLOOKUP(A1730,Medical_Examinations[],2,FALSE)</f>
        <v>24.605</v>
      </c>
      <c r="D1730">
        <f>VLOOKUP(A1730,Medical_Examinations[],3,FALSE)</f>
        <v>5.7</v>
      </c>
      <c r="E1730" t="str">
        <f>VLOOKUP(A1730,Medical_Examinations[],4,FALSE)</f>
        <v>No</v>
      </c>
      <c r="F1730" t="str">
        <f>VLOOKUP(A1730,Medical_Examinations[],5,FALSE)</f>
        <v>No</v>
      </c>
      <c r="G1730" t="str">
        <f>VLOOKUP(A1730,Medical_Examinations[],6,FALSE)</f>
        <v>No</v>
      </c>
      <c r="H1730">
        <f>VLOOKUP(A1730,Medical_Examinations[],7,FALSE)</f>
        <v>0</v>
      </c>
      <c r="I1730" t="str">
        <f>VLOOKUP(A1730,Medical_Examinations[],8,FALSE)</f>
        <v>No</v>
      </c>
      <c r="J1730" t="str">
        <f>VLOOKUP(A1730,Medical_Examinations[],9,FALSE)</f>
        <v>Normal Weight</v>
      </c>
      <c r="K1730" t="str">
        <f>VLOOKUP(A1730,Medical_Examinations[],10,FALSE)</f>
        <v>Prediabetes</v>
      </c>
      <c r="M1730">
        <f>VLOOKUP(A1730,Hospitalisation_Details__2[],4,FALSE)</f>
        <v>5257.51</v>
      </c>
      <c r="N1730" t="str">
        <f>VLOOKUP(A1730,Hospitalisation_Details__2[],5,FALSE)</f>
        <v>tier - 2</v>
      </c>
      <c r="O1730" t="str">
        <f>VLOOKUP(A1730,Hospitalisation_Details__2[],6,FALSE)</f>
        <v>tier - 2</v>
      </c>
      <c r="P1730" t="str">
        <f>VLOOKUP(A1730,Hospitalisation_Details__2[],7,FALSE)</f>
        <v>R1012</v>
      </c>
    </row>
    <row r="1731" spans="1:16" x14ac:dyDescent="0.35">
      <c r="A1731" t="str">
        <v>Id1730</v>
      </c>
      <c r="B1731" t="str">
        <f>VLOOKUP(A1731,'Customer Names (2)'!A:B, 2,FALSE)</f>
        <v>Mr</v>
      </c>
      <c r="C1731">
        <f>VLOOKUP(A1731,Medical_Examinations[],2,FALSE)</f>
        <v>30.8</v>
      </c>
      <c r="D1731">
        <f>VLOOKUP(A1731,Medical_Examinations[],3,FALSE)</f>
        <v>5.07</v>
      </c>
      <c r="E1731" t="str">
        <f>VLOOKUP(A1731,Medical_Examinations[],4,FALSE)</f>
        <v>No</v>
      </c>
      <c r="F1731" t="str">
        <f>VLOOKUP(A1731,Medical_Examinations[],5,FALSE)</f>
        <v>No</v>
      </c>
      <c r="G1731" t="str">
        <f>VLOOKUP(A1731,Medical_Examinations[],6,FALSE)</f>
        <v>No</v>
      </c>
      <c r="H1731">
        <f>VLOOKUP(A1731,Medical_Examinations[],7,FALSE)</f>
        <v>0</v>
      </c>
      <c r="I1731" t="str">
        <f>VLOOKUP(A1731,Medical_Examinations[],8,FALSE)</f>
        <v>No</v>
      </c>
      <c r="J1731" t="str">
        <f>VLOOKUP(A1731,Medical_Examinations[],9,FALSE)</f>
        <v>Obesity</v>
      </c>
      <c r="K1731" t="str">
        <f>VLOOKUP(A1731,Medical_Examinations[],10,FALSE)</f>
        <v>Normal</v>
      </c>
      <c r="M1731">
        <f>VLOOKUP(A1731,Hospitalisation_Details__2[],4,FALSE)</f>
        <v>5253.52</v>
      </c>
      <c r="N1731" t="str">
        <f>VLOOKUP(A1731,Hospitalisation_Details__2[],5,FALSE)</f>
        <v>tier - 3</v>
      </c>
      <c r="O1731" t="str">
        <f>VLOOKUP(A1731,Hospitalisation_Details__2[],6,FALSE)</f>
        <v>tier - 3</v>
      </c>
      <c r="P1731" t="str">
        <f>VLOOKUP(A1731,Hospitalisation_Details__2[],7,FALSE)</f>
        <v>R1011</v>
      </c>
    </row>
    <row r="1732" spans="1:16" x14ac:dyDescent="0.35">
      <c r="A1732" t="str">
        <v>Id1731</v>
      </c>
      <c r="B1732" t="str">
        <f>VLOOKUP(A1732,'Customer Names (2)'!A:B, 2,FALSE)</f>
        <v>Ms</v>
      </c>
      <c r="C1732">
        <f>VLOOKUP(A1732,Medical_Examinations[],2,FALSE)</f>
        <v>34.799999999999997</v>
      </c>
      <c r="D1732">
        <f>VLOOKUP(A1732,Medical_Examinations[],3,FALSE)</f>
        <v>4.38</v>
      </c>
      <c r="E1732" t="str">
        <f>VLOOKUP(A1732,Medical_Examinations[],4,FALSE)</f>
        <v>No</v>
      </c>
      <c r="F1732" t="str">
        <f>VLOOKUP(A1732,Medical_Examinations[],5,FALSE)</f>
        <v>No</v>
      </c>
      <c r="G1732" t="str">
        <f>VLOOKUP(A1732,Medical_Examinations[],6,FALSE)</f>
        <v>No</v>
      </c>
      <c r="H1732">
        <f>VLOOKUP(A1732,Medical_Examinations[],7,FALSE)</f>
        <v>1</v>
      </c>
      <c r="I1732" t="str">
        <f>VLOOKUP(A1732,Medical_Examinations[],8,FALSE)</f>
        <v>No</v>
      </c>
      <c r="J1732" t="str">
        <f>VLOOKUP(A1732,Medical_Examinations[],9,FALSE)</f>
        <v>Obesity</v>
      </c>
      <c r="K1732" t="str">
        <f>VLOOKUP(A1732,Medical_Examinations[],10,FALSE)</f>
        <v>Normal</v>
      </c>
      <c r="M1732">
        <f>VLOOKUP(A1732,Hospitalisation_Details__2[],4,FALSE)</f>
        <v>5246.05</v>
      </c>
      <c r="N1732" t="str">
        <f>VLOOKUP(A1732,Hospitalisation_Details__2[],5,FALSE)</f>
        <v>tier - 2</v>
      </c>
      <c r="O1732" t="str">
        <f>VLOOKUP(A1732,Hospitalisation_Details__2[],6,FALSE)</f>
        <v>tier - 3</v>
      </c>
      <c r="P1732" t="str">
        <f>VLOOKUP(A1732,Hospitalisation_Details__2[],7,FALSE)</f>
        <v>R1011</v>
      </c>
    </row>
    <row r="1733" spans="1:16" x14ac:dyDescent="0.35">
      <c r="A1733" t="str">
        <v>Id1732</v>
      </c>
      <c r="B1733" t="str">
        <f>VLOOKUP(A1733,'Customer Names (2)'!A:B, 2,FALSE)</f>
        <v>Ms</v>
      </c>
      <c r="C1733">
        <f>VLOOKUP(A1733,Medical_Examinations[],2,FALSE)</f>
        <v>34.21</v>
      </c>
      <c r="D1733">
        <f>VLOOKUP(A1733,Medical_Examinations[],3,FALSE)</f>
        <v>4.54</v>
      </c>
      <c r="E1733" t="str">
        <f>VLOOKUP(A1733,Medical_Examinations[],4,FALSE)</f>
        <v>No</v>
      </c>
      <c r="F1733" t="str">
        <f>VLOOKUP(A1733,Medical_Examinations[],5,FALSE)</f>
        <v>No</v>
      </c>
      <c r="G1733" t="str">
        <f>VLOOKUP(A1733,Medical_Examinations[],6,FALSE)</f>
        <v>No</v>
      </c>
      <c r="H1733">
        <f>VLOOKUP(A1733,Medical_Examinations[],7,FALSE)</f>
        <v>1</v>
      </c>
      <c r="I1733" t="str">
        <f>VLOOKUP(A1733,Medical_Examinations[],8,FALSE)</f>
        <v>No</v>
      </c>
      <c r="J1733" t="str">
        <f>VLOOKUP(A1733,Medical_Examinations[],9,FALSE)</f>
        <v>Obesity</v>
      </c>
      <c r="K1733" t="str">
        <f>VLOOKUP(A1733,Medical_Examinations[],10,FALSE)</f>
        <v>Normal</v>
      </c>
      <c r="M1733">
        <f>VLOOKUP(A1733,Hospitalisation_Details__2[],4,FALSE)</f>
        <v>5245.23</v>
      </c>
      <c r="N1733" t="str">
        <f>VLOOKUP(A1733,Hospitalisation_Details__2[],5,FALSE)</f>
        <v>tier - 2</v>
      </c>
      <c r="O1733" t="str">
        <f>VLOOKUP(A1733,Hospitalisation_Details__2[],6,FALSE)</f>
        <v>tier - 2</v>
      </c>
      <c r="P1733" t="str">
        <f>VLOOKUP(A1733,Hospitalisation_Details__2[],7,FALSE)</f>
        <v>R1013</v>
      </c>
    </row>
    <row r="1734" spans="1:16" x14ac:dyDescent="0.35">
      <c r="A1734" t="str">
        <v>Id1733</v>
      </c>
      <c r="B1734" t="str">
        <f>VLOOKUP(A1734,'Customer Names (2)'!A:B, 2,FALSE)</f>
        <v>Ms</v>
      </c>
      <c r="C1734">
        <f>VLOOKUP(A1734,Medical_Examinations[],2,FALSE)</f>
        <v>31</v>
      </c>
      <c r="D1734">
        <f>VLOOKUP(A1734,Medical_Examinations[],3,FALSE)</f>
        <v>5.38</v>
      </c>
      <c r="E1734" t="str">
        <f>VLOOKUP(A1734,Medical_Examinations[],4,FALSE)</f>
        <v>No</v>
      </c>
      <c r="F1734" t="str">
        <f>VLOOKUP(A1734,Medical_Examinations[],5,FALSE)</f>
        <v>No</v>
      </c>
      <c r="G1734" t="str">
        <f>VLOOKUP(A1734,Medical_Examinations[],6,FALSE)</f>
        <v>No</v>
      </c>
      <c r="H1734">
        <f>VLOOKUP(A1734,Medical_Examinations[],7,FALSE)</f>
        <v>1</v>
      </c>
      <c r="I1734" t="str">
        <f>VLOOKUP(A1734,Medical_Examinations[],8,FALSE)</f>
        <v>No</v>
      </c>
      <c r="J1734" t="str">
        <f>VLOOKUP(A1734,Medical_Examinations[],9,FALSE)</f>
        <v>Obesity</v>
      </c>
      <c r="K1734" t="str">
        <f>VLOOKUP(A1734,Medical_Examinations[],10,FALSE)</f>
        <v>Normal</v>
      </c>
      <c r="M1734">
        <f>VLOOKUP(A1734,Hospitalisation_Details__2[],4,FALSE)</f>
        <v>5240.7700000000004</v>
      </c>
      <c r="N1734" t="str">
        <f>VLOOKUP(A1734,Hospitalisation_Details__2[],5,FALSE)</f>
        <v>tier - 2</v>
      </c>
      <c r="O1734" t="str">
        <f>VLOOKUP(A1734,Hospitalisation_Details__2[],6,FALSE)</f>
        <v>tier - 2</v>
      </c>
      <c r="P1734" t="str">
        <f>VLOOKUP(A1734,Hospitalisation_Details__2[],7,FALSE)</f>
        <v>R1011</v>
      </c>
    </row>
    <row r="1735" spans="1:16" x14ac:dyDescent="0.35">
      <c r="A1735" t="str">
        <v>Id1734</v>
      </c>
      <c r="B1735" t="str">
        <f>VLOOKUP(A1735,'Customer Names (2)'!A:B, 2,FALSE)</f>
        <v>Ms</v>
      </c>
      <c r="C1735">
        <f>VLOOKUP(A1735,Medical_Examinations[],2,FALSE)</f>
        <v>26.125</v>
      </c>
      <c r="D1735">
        <f>VLOOKUP(A1735,Medical_Examinations[],3,FALSE)</f>
        <v>5.55</v>
      </c>
      <c r="E1735" t="str">
        <f>VLOOKUP(A1735,Medical_Examinations[],4,FALSE)</f>
        <v>No</v>
      </c>
      <c r="F1735" t="str">
        <f>VLOOKUP(A1735,Medical_Examinations[],5,FALSE)</f>
        <v>No</v>
      </c>
      <c r="G1735" t="str">
        <f>VLOOKUP(A1735,Medical_Examinations[],6,FALSE)</f>
        <v>No</v>
      </c>
      <c r="H1735">
        <f>VLOOKUP(A1735,Medical_Examinations[],7,FALSE)</f>
        <v>1</v>
      </c>
      <c r="I1735" t="str">
        <f>VLOOKUP(A1735,Medical_Examinations[],8,FALSE)</f>
        <v>No</v>
      </c>
      <c r="J1735" t="str">
        <f>VLOOKUP(A1735,Medical_Examinations[],9,FALSE)</f>
        <v>Overweight</v>
      </c>
      <c r="K1735" t="str">
        <f>VLOOKUP(A1735,Medical_Examinations[],10,FALSE)</f>
        <v>Normal</v>
      </c>
      <c r="M1735">
        <f>VLOOKUP(A1735,Hospitalisation_Details__2[],4,FALSE)</f>
        <v>5227.99</v>
      </c>
      <c r="N1735" t="str">
        <f>VLOOKUP(A1735,Hospitalisation_Details__2[],5,FALSE)</f>
        <v>tier - 2</v>
      </c>
      <c r="O1735" t="str">
        <f>VLOOKUP(A1735,Hospitalisation_Details__2[],6,FALSE)</f>
        <v>tier - 1</v>
      </c>
      <c r="P1735" t="str">
        <f>VLOOKUP(A1735,Hospitalisation_Details__2[],7,FALSE)</f>
        <v>R1024</v>
      </c>
    </row>
    <row r="1736" spans="1:16" x14ac:dyDescent="0.35">
      <c r="A1736" t="str">
        <v>Id1735</v>
      </c>
      <c r="B1736" t="str">
        <f>VLOOKUP(A1736,'Customer Names (2)'!A:B, 2,FALSE)</f>
        <v>Mrs</v>
      </c>
      <c r="C1736">
        <f>VLOOKUP(A1736,Medical_Examinations[],2,FALSE)</f>
        <v>30.13</v>
      </c>
      <c r="D1736">
        <f>VLOOKUP(A1736,Medical_Examinations[],3,FALSE)</f>
        <v>4.03</v>
      </c>
      <c r="E1736" t="str">
        <f>VLOOKUP(A1736,Medical_Examinations[],4,FALSE)</f>
        <v>Yes</v>
      </c>
      <c r="F1736" t="str">
        <f>VLOOKUP(A1736,Medical_Examinations[],5,FALSE)</f>
        <v>No</v>
      </c>
      <c r="G1736" t="str">
        <f>VLOOKUP(A1736,Medical_Examinations[],6,FALSE)</f>
        <v>No</v>
      </c>
      <c r="H1736">
        <f>VLOOKUP(A1736,Medical_Examinations[],7,FALSE)</f>
        <v>1</v>
      </c>
      <c r="I1736" t="str">
        <f>VLOOKUP(A1736,Medical_Examinations[],8,FALSE)</f>
        <v>No</v>
      </c>
      <c r="J1736" t="str">
        <f>VLOOKUP(A1736,Medical_Examinations[],9,FALSE)</f>
        <v>Obesity</v>
      </c>
      <c r="K1736" t="str">
        <f>VLOOKUP(A1736,Medical_Examinations[],10,FALSE)</f>
        <v>Normal</v>
      </c>
      <c r="M1736">
        <f>VLOOKUP(A1736,Hospitalisation_Details__2[],4,FALSE)</f>
        <v>5216.4799999999996</v>
      </c>
      <c r="N1736" t="str">
        <f>VLOOKUP(A1736,Hospitalisation_Details__2[],5,FALSE)</f>
        <v>tier - 2</v>
      </c>
      <c r="O1736" t="str">
        <f>VLOOKUP(A1736,Hospitalisation_Details__2[],6,FALSE)</f>
        <v>tier - 2</v>
      </c>
      <c r="P1736" t="str">
        <f>VLOOKUP(A1736,Hospitalisation_Details__2[],7,FALSE)</f>
        <v>R1025</v>
      </c>
    </row>
    <row r="1737" spans="1:16" x14ac:dyDescent="0.35">
      <c r="A1737" t="str">
        <v>Id1736</v>
      </c>
      <c r="B1737" t="str">
        <f>VLOOKUP(A1737,'Customer Names (2)'!A:B, 2,FALSE)</f>
        <v>Ms</v>
      </c>
      <c r="C1737">
        <f>VLOOKUP(A1737,Medical_Examinations[],2,FALSE)</f>
        <v>34.19</v>
      </c>
      <c r="D1737">
        <f>VLOOKUP(A1737,Medical_Examinations[],3,FALSE)</f>
        <v>4.1900000000000004</v>
      </c>
      <c r="E1737" t="str">
        <f>VLOOKUP(A1737,Medical_Examinations[],4,FALSE)</f>
        <v>No</v>
      </c>
      <c r="F1737" t="str">
        <f>VLOOKUP(A1737,Medical_Examinations[],5,FALSE)</f>
        <v>No</v>
      </c>
      <c r="G1737" t="str">
        <f>VLOOKUP(A1737,Medical_Examinations[],6,FALSE)</f>
        <v>No</v>
      </c>
      <c r="H1737">
        <f>VLOOKUP(A1737,Medical_Examinations[],7,FALSE)</f>
        <v>0</v>
      </c>
      <c r="I1737" t="str">
        <f>VLOOKUP(A1737,Medical_Examinations[],8,FALSE)</f>
        <v>No</v>
      </c>
      <c r="J1737" t="str">
        <f>VLOOKUP(A1737,Medical_Examinations[],9,FALSE)</f>
        <v>Obesity</v>
      </c>
      <c r="K1737" t="str">
        <f>VLOOKUP(A1737,Medical_Examinations[],10,FALSE)</f>
        <v>Normal</v>
      </c>
      <c r="M1737">
        <f>VLOOKUP(A1737,Hospitalisation_Details__2[],4,FALSE)</f>
        <v>5213.22</v>
      </c>
      <c r="N1737" t="str">
        <f>VLOOKUP(A1737,Hospitalisation_Details__2[],5,FALSE)</f>
        <v>tier - 2</v>
      </c>
      <c r="O1737" t="str">
        <f>VLOOKUP(A1737,Hospitalisation_Details__2[],6,FALSE)</f>
        <v>tier - 1</v>
      </c>
      <c r="P1737" t="str">
        <f>VLOOKUP(A1737,Hospitalisation_Details__2[],7,FALSE)</f>
        <v>R1012</v>
      </c>
    </row>
    <row r="1738" spans="1:16" x14ac:dyDescent="0.35">
      <c r="A1738" t="str">
        <v>Id1737</v>
      </c>
      <c r="B1738" t="str">
        <f>VLOOKUP(A1738,'Customer Names (2)'!A:B, 2,FALSE)</f>
        <v>Mr</v>
      </c>
      <c r="C1738">
        <f>VLOOKUP(A1738,Medical_Examinations[],2,FALSE)</f>
        <v>22.515000000000001</v>
      </c>
      <c r="D1738">
        <f>VLOOKUP(A1738,Medical_Examinations[],3,FALSE)</f>
        <v>4.37</v>
      </c>
      <c r="E1738" t="str">
        <f>VLOOKUP(A1738,Medical_Examinations[],4,FALSE)</f>
        <v>No</v>
      </c>
      <c r="F1738" t="str">
        <f>VLOOKUP(A1738,Medical_Examinations[],5,FALSE)</f>
        <v>No</v>
      </c>
      <c r="G1738" t="str">
        <f>VLOOKUP(A1738,Medical_Examinations[],6,FALSE)</f>
        <v>Yes</v>
      </c>
      <c r="H1738">
        <f>VLOOKUP(A1738,Medical_Examinations[],7,FALSE)</f>
        <v>1</v>
      </c>
      <c r="I1738" t="str">
        <f>VLOOKUP(A1738,Medical_Examinations[],8,FALSE)</f>
        <v>No</v>
      </c>
      <c r="J1738" t="str">
        <f>VLOOKUP(A1738,Medical_Examinations[],9,FALSE)</f>
        <v>Normal Weight</v>
      </c>
      <c r="K1738" t="str">
        <f>VLOOKUP(A1738,Medical_Examinations[],10,FALSE)</f>
        <v>Normal</v>
      </c>
      <c r="M1738">
        <f>VLOOKUP(A1738,Hospitalisation_Details__2[],4,FALSE)</f>
        <v>5209.58</v>
      </c>
      <c r="N1738" t="str">
        <f>VLOOKUP(A1738,Hospitalisation_Details__2[],5,FALSE)</f>
        <v>tier - 3</v>
      </c>
      <c r="O1738" t="str">
        <f>VLOOKUP(A1738,Hospitalisation_Details__2[],6,FALSE)</f>
        <v>tier - 3</v>
      </c>
      <c r="P1738" t="str">
        <f>VLOOKUP(A1738,Hospitalisation_Details__2[],7,FALSE)</f>
        <v>R1017</v>
      </c>
    </row>
    <row r="1739" spans="1:16" x14ac:dyDescent="0.35">
      <c r="A1739" t="str">
        <v>Id1738</v>
      </c>
      <c r="B1739" t="str">
        <f>VLOOKUP(A1739,'Customer Names (2)'!A:B, 2,FALSE)</f>
        <v>Mr</v>
      </c>
      <c r="C1739">
        <f>VLOOKUP(A1739,Medical_Examinations[],2,FALSE)</f>
        <v>18.239999999999998</v>
      </c>
      <c r="D1739">
        <f>VLOOKUP(A1739,Medical_Examinations[],3,FALSE)</f>
        <v>5.31</v>
      </c>
      <c r="E1739" t="str">
        <f>VLOOKUP(A1739,Medical_Examinations[],4,FALSE)</f>
        <v>Yes</v>
      </c>
      <c r="F1739" t="str">
        <f>VLOOKUP(A1739,Medical_Examinations[],5,FALSE)</f>
        <v>No</v>
      </c>
      <c r="G1739" t="str">
        <f>VLOOKUP(A1739,Medical_Examinations[],6,FALSE)</f>
        <v>Yes</v>
      </c>
      <c r="H1739">
        <f>VLOOKUP(A1739,Medical_Examinations[],7,FALSE)</f>
        <v>1</v>
      </c>
      <c r="I1739" t="str">
        <f>VLOOKUP(A1739,Medical_Examinations[],8,FALSE)</f>
        <v>No</v>
      </c>
      <c r="J1739" t="str">
        <f>VLOOKUP(A1739,Medical_Examinations[],9,FALSE)</f>
        <v>Underweight</v>
      </c>
      <c r="K1739" t="str">
        <f>VLOOKUP(A1739,Medical_Examinations[],10,FALSE)</f>
        <v>Normal</v>
      </c>
      <c r="M1739">
        <f>VLOOKUP(A1739,Hospitalisation_Details__2[],4,FALSE)</f>
        <v>5207.97</v>
      </c>
      <c r="N1739" t="str">
        <f>VLOOKUP(A1739,Hospitalisation_Details__2[],5,FALSE)</f>
        <v>tier - 2</v>
      </c>
      <c r="O1739" t="str">
        <f>VLOOKUP(A1739,Hospitalisation_Details__2[],6,FALSE)</f>
        <v>tier - 2</v>
      </c>
      <c r="P1739" t="str">
        <f>VLOOKUP(A1739,Hospitalisation_Details__2[],7,FALSE)</f>
        <v>R1012</v>
      </c>
    </row>
    <row r="1740" spans="1:16" x14ac:dyDescent="0.35">
      <c r="A1740" t="str">
        <v>Id1739</v>
      </c>
      <c r="B1740" t="str">
        <f>VLOOKUP(A1740,'Customer Names (2)'!A:B, 2,FALSE)</f>
        <v>Mr</v>
      </c>
      <c r="C1740">
        <f>VLOOKUP(A1740,Medical_Examinations[],2,FALSE)</f>
        <v>37.28</v>
      </c>
      <c r="D1740">
        <f>VLOOKUP(A1740,Medical_Examinations[],3,FALSE)</f>
        <v>4.66</v>
      </c>
      <c r="E1740" t="str">
        <f>VLOOKUP(A1740,Medical_Examinations[],4,FALSE)</f>
        <v>No</v>
      </c>
      <c r="F1740" t="str">
        <f>VLOOKUP(A1740,Medical_Examinations[],5,FALSE)</f>
        <v>yes</v>
      </c>
      <c r="G1740" t="str">
        <f>VLOOKUP(A1740,Medical_Examinations[],6,FALSE)</f>
        <v>No</v>
      </c>
      <c r="H1740">
        <f>VLOOKUP(A1740,Medical_Examinations[],7,FALSE)</f>
        <v>1</v>
      </c>
      <c r="I1740" t="str">
        <f>VLOOKUP(A1740,Medical_Examinations[],8,FALSE)</f>
        <v>No</v>
      </c>
      <c r="J1740" t="str">
        <f>VLOOKUP(A1740,Medical_Examinations[],9,FALSE)</f>
        <v>Obesity</v>
      </c>
      <c r="K1740" t="str">
        <f>VLOOKUP(A1740,Medical_Examinations[],10,FALSE)</f>
        <v>Normal</v>
      </c>
      <c r="M1740">
        <f>VLOOKUP(A1740,Hospitalisation_Details__2[],4,FALSE)</f>
        <v>5198.6899999999996</v>
      </c>
      <c r="N1740" t="str">
        <f>VLOOKUP(A1740,Hospitalisation_Details__2[],5,FALSE)</f>
        <v>tier - 2</v>
      </c>
      <c r="O1740" t="str">
        <f>VLOOKUP(A1740,Hospitalisation_Details__2[],6,FALSE)</f>
        <v>tier - 2</v>
      </c>
      <c r="P1740" t="str">
        <f>VLOOKUP(A1740,Hospitalisation_Details__2[],7,FALSE)</f>
        <v>R1022</v>
      </c>
    </row>
    <row r="1741" spans="1:16" x14ac:dyDescent="0.35">
      <c r="A1741" t="str">
        <v>Id1740</v>
      </c>
      <c r="B1741" t="str">
        <f>VLOOKUP(A1741,'Customer Names (2)'!A:B, 2,FALSE)</f>
        <v>Ms</v>
      </c>
      <c r="C1741">
        <f>VLOOKUP(A1741,Medical_Examinations[],2,FALSE)</f>
        <v>18.2</v>
      </c>
      <c r="D1741">
        <f>VLOOKUP(A1741,Medical_Examinations[],3,FALSE)</f>
        <v>6.19</v>
      </c>
      <c r="E1741" t="str">
        <f>VLOOKUP(A1741,Medical_Examinations[],4,FALSE)</f>
        <v>No</v>
      </c>
      <c r="F1741" t="str">
        <f>VLOOKUP(A1741,Medical_Examinations[],5,FALSE)</f>
        <v>No</v>
      </c>
      <c r="G1741" t="str">
        <f>VLOOKUP(A1741,Medical_Examinations[],6,FALSE)</f>
        <v>Yes</v>
      </c>
      <c r="H1741">
        <f>VLOOKUP(A1741,Medical_Examinations[],7,FALSE)</f>
        <v>1</v>
      </c>
      <c r="I1741" t="str">
        <f>VLOOKUP(A1741,Medical_Examinations[],8,FALSE)</f>
        <v>No</v>
      </c>
      <c r="J1741" t="str">
        <f>VLOOKUP(A1741,Medical_Examinations[],9,FALSE)</f>
        <v>Underweight</v>
      </c>
      <c r="K1741" t="str">
        <f>VLOOKUP(A1741,Medical_Examinations[],10,FALSE)</f>
        <v>Prediabetes</v>
      </c>
      <c r="M1741">
        <f>VLOOKUP(A1741,Hospitalisation_Details__2[],4,FALSE)</f>
        <v>5195.58</v>
      </c>
      <c r="N1741" t="str">
        <f>VLOOKUP(A1741,Hospitalisation_Details__2[],5,FALSE)</f>
        <v>tier - 2</v>
      </c>
      <c r="O1741" t="str">
        <f>VLOOKUP(A1741,Hospitalisation_Details__2[],6,FALSE)</f>
        <v>tier - 2</v>
      </c>
      <c r="P1741" t="str">
        <f>VLOOKUP(A1741,Hospitalisation_Details__2[],7,FALSE)</f>
        <v>R1013</v>
      </c>
    </row>
    <row r="1742" spans="1:16" x14ac:dyDescent="0.35">
      <c r="A1742" t="str">
        <v>Id1741</v>
      </c>
      <c r="B1742" t="str">
        <f>VLOOKUP(A1742,'Customer Names (2)'!A:B, 2,FALSE)</f>
        <v>Ms</v>
      </c>
      <c r="C1742">
        <f>VLOOKUP(A1742,Medical_Examinations[],2,FALSE)</f>
        <v>20.53</v>
      </c>
      <c r="D1742">
        <f>VLOOKUP(A1742,Medical_Examinations[],3,FALSE)</f>
        <v>4.8600000000000003</v>
      </c>
      <c r="E1742" t="str">
        <f>VLOOKUP(A1742,Medical_Examinations[],4,FALSE)</f>
        <v>No</v>
      </c>
      <c r="F1742" t="str">
        <f>VLOOKUP(A1742,Medical_Examinations[],5,FALSE)</f>
        <v>No</v>
      </c>
      <c r="G1742" t="str">
        <f>VLOOKUP(A1742,Medical_Examinations[],6,FALSE)</f>
        <v>No</v>
      </c>
      <c r="H1742">
        <f>VLOOKUP(A1742,Medical_Examinations[],7,FALSE)</f>
        <v>1</v>
      </c>
      <c r="I1742" t="str">
        <f>VLOOKUP(A1742,Medical_Examinations[],8,FALSE)</f>
        <v>No</v>
      </c>
      <c r="J1742" t="str">
        <f>VLOOKUP(A1742,Medical_Examinations[],9,FALSE)</f>
        <v>Normal Weight</v>
      </c>
      <c r="K1742" t="str">
        <f>VLOOKUP(A1742,Medical_Examinations[],10,FALSE)</f>
        <v>Normal</v>
      </c>
      <c r="M1742">
        <f>VLOOKUP(A1742,Hospitalisation_Details__2[],4,FALSE)</f>
        <v>5177.12</v>
      </c>
      <c r="N1742" t="str">
        <f>VLOOKUP(A1742,Hospitalisation_Details__2[],5,FALSE)</f>
        <v>tier - 2</v>
      </c>
      <c r="O1742" t="str">
        <f>VLOOKUP(A1742,Hospitalisation_Details__2[],6,FALSE)</f>
        <v>tier - 1</v>
      </c>
      <c r="P1742" t="str">
        <f>VLOOKUP(A1742,Hospitalisation_Details__2[],7,FALSE)</f>
        <v>R1013</v>
      </c>
    </row>
    <row r="1743" spans="1:16" x14ac:dyDescent="0.35">
      <c r="A1743" t="str">
        <v>Id1742</v>
      </c>
      <c r="B1743" t="str">
        <f>VLOOKUP(A1743,'Customer Names (2)'!A:B, 2,FALSE)</f>
        <v>Ms</v>
      </c>
      <c r="C1743">
        <f>VLOOKUP(A1743,Medical_Examinations[],2,FALSE)</f>
        <v>23.79</v>
      </c>
      <c r="D1743">
        <f>VLOOKUP(A1743,Medical_Examinations[],3,FALSE)</f>
        <v>4.74</v>
      </c>
      <c r="E1743" t="str">
        <f>VLOOKUP(A1743,Medical_Examinations[],4,FALSE)</f>
        <v>No</v>
      </c>
      <c r="F1743" t="str">
        <f>VLOOKUP(A1743,Medical_Examinations[],5,FALSE)</f>
        <v>No</v>
      </c>
      <c r="G1743" t="str">
        <f>VLOOKUP(A1743,Medical_Examinations[],6,FALSE)</f>
        <v>No</v>
      </c>
      <c r="H1743">
        <f>VLOOKUP(A1743,Medical_Examinations[],7,FALSE)</f>
        <v>0</v>
      </c>
      <c r="I1743" t="str">
        <f>VLOOKUP(A1743,Medical_Examinations[],8,FALSE)</f>
        <v>No</v>
      </c>
      <c r="J1743" t="str">
        <f>VLOOKUP(A1743,Medical_Examinations[],9,FALSE)</f>
        <v>Normal Weight</v>
      </c>
      <c r="K1743" t="str">
        <f>VLOOKUP(A1743,Medical_Examinations[],10,FALSE)</f>
        <v>Normal</v>
      </c>
      <c r="M1743">
        <f>VLOOKUP(A1743,Hospitalisation_Details__2[],4,FALSE)</f>
        <v>5166.96</v>
      </c>
      <c r="N1743" t="str">
        <f>VLOOKUP(A1743,Hospitalisation_Details__2[],5,FALSE)</f>
        <v>tier - 2</v>
      </c>
      <c r="O1743" t="str">
        <f>VLOOKUP(A1743,Hospitalisation_Details__2[],6,FALSE)</f>
        <v>tier - 2</v>
      </c>
      <c r="P1743" t="str">
        <f>VLOOKUP(A1743,Hospitalisation_Details__2[],7,FALSE)</f>
        <v>R1012</v>
      </c>
    </row>
    <row r="1744" spans="1:16" x14ac:dyDescent="0.35">
      <c r="A1744" t="str">
        <v>Id1743</v>
      </c>
      <c r="B1744" t="str">
        <f>VLOOKUP(A1744,'Customer Names (2)'!A:B, 2,FALSE)</f>
        <v>Ms</v>
      </c>
      <c r="C1744">
        <f>VLOOKUP(A1744,Medical_Examinations[],2,FALSE)</f>
        <v>29.8</v>
      </c>
      <c r="D1744">
        <f>VLOOKUP(A1744,Medical_Examinations[],3,FALSE)</f>
        <v>6.03</v>
      </c>
      <c r="E1744" t="str">
        <f>VLOOKUP(A1744,Medical_Examinations[],4,FALSE)</f>
        <v>No</v>
      </c>
      <c r="F1744" t="str">
        <f>VLOOKUP(A1744,Medical_Examinations[],5,FALSE)</f>
        <v>No</v>
      </c>
      <c r="G1744" t="str">
        <f>VLOOKUP(A1744,Medical_Examinations[],6,FALSE)</f>
        <v>No</v>
      </c>
      <c r="H1744">
        <f>VLOOKUP(A1744,Medical_Examinations[],7,FALSE)</f>
        <v>0</v>
      </c>
      <c r="I1744" t="str">
        <f>VLOOKUP(A1744,Medical_Examinations[],8,FALSE)</f>
        <v>No</v>
      </c>
      <c r="J1744" t="str">
        <f>VLOOKUP(A1744,Medical_Examinations[],9,FALSE)</f>
        <v>Overweight</v>
      </c>
      <c r="K1744" t="str">
        <f>VLOOKUP(A1744,Medical_Examinations[],10,FALSE)</f>
        <v>Prediabetes</v>
      </c>
      <c r="M1744">
        <f>VLOOKUP(A1744,Hospitalisation_Details__2[],4,FALSE)</f>
        <v>5152.13</v>
      </c>
      <c r="N1744" t="str">
        <f>VLOOKUP(A1744,Hospitalisation_Details__2[],5,FALSE)</f>
        <v>tier - 2</v>
      </c>
      <c r="O1744" t="str">
        <f>VLOOKUP(A1744,Hospitalisation_Details__2[],6,FALSE)</f>
        <v>tier - 2</v>
      </c>
      <c r="P1744" t="str">
        <f>VLOOKUP(A1744,Hospitalisation_Details__2[],7,FALSE)</f>
        <v>R1011</v>
      </c>
    </row>
    <row r="1745" spans="1:16" x14ac:dyDescent="0.35">
      <c r="A1745" t="str">
        <v>Id1744</v>
      </c>
      <c r="B1745" t="str">
        <f>VLOOKUP(A1745,'Customer Names (2)'!A:B, 2,FALSE)</f>
        <v>Ms</v>
      </c>
      <c r="C1745">
        <f>VLOOKUP(A1745,Medical_Examinations[],2,FALSE)</f>
        <v>31.54</v>
      </c>
      <c r="D1745">
        <f>VLOOKUP(A1745,Medical_Examinations[],3,FALSE)</f>
        <v>4.71</v>
      </c>
      <c r="E1745" t="str">
        <f>VLOOKUP(A1745,Medical_Examinations[],4,FALSE)</f>
        <v>No</v>
      </c>
      <c r="F1745" t="str">
        <f>VLOOKUP(A1745,Medical_Examinations[],5,FALSE)</f>
        <v>No</v>
      </c>
      <c r="G1745" t="str">
        <f>VLOOKUP(A1745,Medical_Examinations[],6,FALSE)</f>
        <v>No</v>
      </c>
      <c r="H1745">
        <f>VLOOKUP(A1745,Medical_Examinations[],7,FALSE)</f>
        <v>0</v>
      </c>
      <c r="I1745" t="str">
        <f>VLOOKUP(A1745,Medical_Examinations[],8,FALSE)</f>
        <v>No</v>
      </c>
      <c r="J1745" t="str">
        <f>VLOOKUP(A1745,Medical_Examinations[],9,FALSE)</f>
        <v>Obesity</v>
      </c>
      <c r="K1745" t="str">
        <f>VLOOKUP(A1745,Medical_Examinations[],10,FALSE)</f>
        <v>Normal</v>
      </c>
      <c r="M1745">
        <f>VLOOKUP(A1745,Hospitalisation_Details__2[],4,FALSE)</f>
        <v>5148.55</v>
      </c>
      <c r="N1745" t="str">
        <f>VLOOKUP(A1745,Hospitalisation_Details__2[],5,FALSE)</f>
        <v>tier - 2</v>
      </c>
      <c r="O1745" t="str">
        <f>VLOOKUP(A1745,Hospitalisation_Details__2[],6,FALSE)</f>
        <v>tier - 2</v>
      </c>
      <c r="P1745" t="str">
        <f>VLOOKUP(A1745,Hospitalisation_Details__2[],7,FALSE)</f>
        <v>R1024</v>
      </c>
    </row>
    <row r="1746" spans="1:16" x14ac:dyDescent="0.35">
      <c r="A1746" t="str">
        <v>Id1745</v>
      </c>
      <c r="B1746" t="str">
        <f>VLOOKUP(A1746,'Customer Names (2)'!A:B, 2,FALSE)</f>
        <v>Mr</v>
      </c>
      <c r="C1746">
        <f>VLOOKUP(A1746,Medical_Examinations[],2,FALSE)</f>
        <v>20.82</v>
      </c>
      <c r="D1746">
        <f>VLOOKUP(A1746,Medical_Examinations[],3,FALSE)</f>
        <v>5.55</v>
      </c>
      <c r="E1746" t="str">
        <f>VLOOKUP(A1746,Medical_Examinations[],4,FALSE)</f>
        <v>No</v>
      </c>
      <c r="F1746" t="str">
        <f>VLOOKUP(A1746,Medical_Examinations[],5,FALSE)</f>
        <v>No</v>
      </c>
      <c r="G1746" t="str">
        <f>VLOOKUP(A1746,Medical_Examinations[],6,FALSE)</f>
        <v>No</v>
      </c>
      <c r="H1746">
        <f>VLOOKUP(A1746,Medical_Examinations[],7,FALSE)</f>
        <v>1</v>
      </c>
      <c r="I1746" t="str">
        <f>VLOOKUP(A1746,Medical_Examinations[],8,FALSE)</f>
        <v>No</v>
      </c>
      <c r="J1746" t="str">
        <f>VLOOKUP(A1746,Medical_Examinations[],9,FALSE)</f>
        <v>Normal Weight</v>
      </c>
      <c r="K1746" t="str">
        <f>VLOOKUP(A1746,Medical_Examinations[],10,FALSE)</f>
        <v>Normal</v>
      </c>
      <c r="M1746">
        <f>VLOOKUP(A1746,Hospitalisation_Details__2[],4,FALSE)</f>
        <v>5144.18</v>
      </c>
      <c r="N1746" t="str">
        <f>VLOOKUP(A1746,Hospitalisation_Details__2[],5,FALSE)</f>
        <v>tier - 2</v>
      </c>
      <c r="O1746" t="str">
        <f>VLOOKUP(A1746,Hospitalisation_Details__2[],6,FALSE)</f>
        <v>tier - 1</v>
      </c>
      <c r="P1746" t="str">
        <f>VLOOKUP(A1746,Hospitalisation_Details__2[],7,FALSE)</f>
        <v>R1013</v>
      </c>
    </row>
    <row r="1747" spans="1:16" x14ac:dyDescent="0.35">
      <c r="A1747" t="str">
        <v>Id1746</v>
      </c>
      <c r="B1747" t="str">
        <f>VLOOKUP(A1747,'Customer Names (2)'!A:B, 2,FALSE)</f>
        <v>Ms</v>
      </c>
      <c r="C1747">
        <f>VLOOKUP(A1747,Medical_Examinations[],2,FALSE)</f>
        <v>38.83</v>
      </c>
      <c r="D1747">
        <f>VLOOKUP(A1747,Medical_Examinations[],3,FALSE)</f>
        <v>4.78</v>
      </c>
      <c r="E1747" t="str">
        <f>VLOOKUP(A1747,Medical_Examinations[],4,FALSE)</f>
        <v>No</v>
      </c>
      <c r="F1747" t="str">
        <f>VLOOKUP(A1747,Medical_Examinations[],5,FALSE)</f>
        <v>No</v>
      </c>
      <c r="G1747" t="str">
        <f>VLOOKUP(A1747,Medical_Examinations[],6,FALSE)</f>
        <v>Yes</v>
      </c>
      <c r="H1747">
        <f>VLOOKUP(A1747,Medical_Examinations[],7,FALSE)</f>
        <v>1</v>
      </c>
      <c r="I1747" t="str">
        <f>VLOOKUP(A1747,Medical_Examinations[],8,FALSE)</f>
        <v>No</v>
      </c>
      <c r="J1747" t="str">
        <f>VLOOKUP(A1747,Medical_Examinations[],9,FALSE)</f>
        <v>Obesity</v>
      </c>
      <c r="K1747" t="str">
        <f>VLOOKUP(A1747,Medical_Examinations[],10,FALSE)</f>
        <v>Normal</v>
      </c>
      <c r="M1747">
        <f>VLOOKUP(A1747,Hospitalisation_Details__2[],4,FALSE)</f>
        <v>5138.26</v>
      </c>
      <c r="N1747" t="str">
        <f>VLOOKUP(A1747,Hospitalisation_Details__2[],5,FALSE)</f>
        <v>tier - 2</v>
      </c>
      <c r="O1747" t="str">
        <f>VLOOKUP(A1747,Hospitalisation_Details__2[],6,FALSE)</f>
        <v>tier - 2</v>
      </c>
      <c r="P1747" t="str">
        <f>VLOOKUP(A1747,Hospitalisation_Details__2[],7,FALSE)</f>
        <v>R1013</v>
      </c>
    </row>
    <row r="1748" spans="1:16" x14ac:dyDescent="0.35">
      <c r="A1748" t="str">
        <v>Id1747</v>
      </c>
      <c r="B1748" t="str">
        <f>VLOOKUP(A1748,'Customer Names (2)'!A:B, 2,FALSE)</f>
        <v>Ms</v>
      </c>
      <c r="C1748">
        <f>VLOOKUP(A1748,Medical_Examinations[],2,FALSE)</f>
        <v>23.44</v>
      </c>
      <c r="D1748">
        <f>VLOOKUP(A1748,Medical_Examinations[],3,FALSE)</f>
        <v>4.6500000000000004</v>
      </c>
      <c r="E1748" t="str">
        <f>VLOOKUP(A1748,Medical_Examinations[],4,FALSE)</f>
        <v>Yes</v>
      </c>
      <c r="F1748" t="str">
        <f>VLOOKUP(A1748,Medical_Examinations[],5,FALSE)</f>
        <v>No</v>
      </c>
      <c r="G1748" t="str">
        <f>VLOOKUP(A1748,Medical_Examinations[],6,FALSE)</f>
        <v>No</v>
      </c>
      <c r="H1748">
        <f>VLOOKUP(A1748,Medical_Examinations[],7,FALSE)</f>
        <v>1</v>
      </c>
      <c r="I1748" t="str">
        <f>VLOOKUP(A1748,Medical_Examinations[],8,FALSE)</f>
        <v>No</v>
      </c>
      <c r="J1748" t="str">
        <f>VLOOKUP(A1748,Medical_Examinations[],9,FALSE)</f>
        <v>Normal Weight</v>
      </c>
      <c r="K1748" t="str">
        <f>VLOOKUP(A1748,Medical_Examinations[],10,FALSE)</f>
        <v>Normal</v>
      </c>
      <c r="M1748">
        <f>VLOOKUP(A1748,Hospitalisation_Details__2[],4,FALSE)</f>
        <v>5136.75</v>
      </c>
      <c r="N1748" t="str">
        <f>VLOOKUP(A1748,Hospitalisation_Details__2[],5,FALSE)</f>
        <v>tier - 2</v>
      </c>
      <c r="O1748" t="str">
        <f>VLOOKUP(A1748,Hospitalisation_Details__2[],6,FALSE)</f>
        <v>tier - 1</v>
      </c>
      <c r="P1748" t="str">
        <f>VLOOKUP(A1748,Hospitalisation_Details__2[],7,FALSE)</f>
        <v>R1013</v>
      </c>
    </row>
    <row r="1749" spans="1:16" x14ac:dyDescent="0.35">
      <c r="A1749" t="str">
        <v>Id1748</v>
      </c>
      <c r="B1749" t="str">
        <f>VLOOKUP(A1749,'Customer Names (2)'!A:B, 2,FALSE)</f>
        <v>Mr</v>
      </c>
      <c r="C1749">
        <f>VLOOKUP(A1749,Medical_Examinations[],2,FALSE)</f>
        <v>24.13</v>
      </c>
      <c r="D1749">
        <f>VLOOKUP(A1749,Medical_Examinations[],3,FALSE)</f>
        <v>5.2</v>
      </c>
      <c r="E1749" t="str">
        <f>VLOOKUP(A1749,Medical_Examinations[],4,FALSE)</f>
        <v>No</v>
      </c>
      <c r="F1749" t="str">
        <f>VLOOKUP(A1749,Medical_Examinations[],5,FALSE)</f>
        <v>No</v>
      </c>
      <c r="G1749" t="str">
        <f>VLOOKUP(A1749,Medical_Examinations[],6,FALSE)</f>
        <v>No</v>
      </c>
      <c r="H1749">
        <f>VLOOKUP(A1749,Medical_Examinations[],7,FALSE)</f>
        <v>1</v>
      </c>
      <c r="I1749" t="str">
        <f>VLOOKUP(A1749,Medical_Examinations[],8,FALSE)</f>
        <v>No</v>
      </c>
      <c r="J1749" t="str">
        <f>VLOOKUP(A1749,Medical_Examinations[],9,FALSE)</f>
        <v>Normal Weight</v>
      </c>
      <c r="K1749" t="str">
        <f>VLOOKUP(A1749,Medical_Examinations[],10,FALSE)</f>
        <v>Normal</v>
      </c>
      <c r="M1749">
        <f>VLOOKUP(A1749,Hospitalisation_Details__2[],4,FALSE)</f>
        <v>5125.22</v>
      </c>
      <c r="N1749" t="str">
        <f>VLOOKUP(A1749,Hospitalisation_Details__2[],5,FALSE)</f>
        <v>tier - 1</v>
      </c>
      <c r="O1749" t="str">
        <f>VLOOKUP(A1749,Hospitalisation_Details__2[],6,FALSE)</f>
        <v>tier - 2</v>
      </c>
      <c r="P1749" t="str">
        <f>VLOOKUP(A1749,Hospitalisation_Details__2[],7,FALSE)</f>
        <v>R1012</v>
      </c>
    </row>
    <row r="1750" spans="1:16" x14ac:dyDescent="0.35">
      <c r="A1750" t="str">
        <v>Id1749</v>
      </c>
      <c r="B1750" t="str">
        <f>VLOOKUP(A1750,'Customer Names (2)'!A:B, 2,FALSE)</f>
        <v>Mr</v>
      </c>
      <c r="C1750">
        <f>VLOOKUP(A1750,Medical_Examinations[],2,FALSE)</f>
        <v>42.13</v>
      </c>
      <c r="D1750">
        <f>VLOOKUP(A1750,Medical_Examinations[],3,FALSE)</f>
        <v>4.54</v>
      </c>
      <c r="E1750" t="str">
        <f>VLOOKUP(A1750,Medical_Examinations[],4,FALSE)</f>
        <v>Yes</v>
      </c>
      <c r="F1750" t="str">
        <f>VLOOKUP(A1750,Medical_Examinations[],5,FALSE)</f>
        <v>No</v>
      </c>
      <c r="G1750" t="str">
        <f>VLOOKUP(A1750,Medical_Examinations[],6,FALSE)</f>
        <v>No</v>
      </c>
      <c r="H1750">
        <f>VLOOKUP(A1750,Medical_Examinations[],7,FALSE)</f>
        <v>1</v>
      </c>
      <c r="I1750" t="str">
        <f>VLOOKUP(A1750,Medical_Examinations[],8,FALSE)</f>
        <v>No</v>
      </c>
      <c r="J1750" t="str">
        <f>VLOOKUP(A1750,Medical_Examinations[],9,FALSE)</f>
        <v>Obesity</v>
      </c>
      <c r="K1750" t="str">
        <f>VLOOKUP(A1750,Medical_Examinations[],10,FALSE)</f>
        <v>Normal</v>
      </c>
      <c r="M1750">
        <f>VLOOKUP(A1750,Hospitalisation_Details__2[],4,FALSE)</f>
        <v>5124.1899999999996</v>
      </c>
      <c r="N1750" t="str">
        <f>VLOOKUP(A1750,Hospitalisation_Details__2[],5,FALSE)</f>
        <v>tier - 2</v>
      </c>
      <c r="O1750" t="str">
        <f>VLOOKUP(A1750,Hospitalisation_Details__2[],6,FALSE)</f>
        <v>tier - 3</v>
      </c>
      <c r="P1750" t="str">
        <f>VLOOKUP(A1750,Hospitalisation_Details__2[],7,FALSE)</f>
        <v>R1013</v>
      </c>
    </row>
    <row r="1751" spans="1:16" x14ac:dyDescent="0.35">
      <c r="A1751" t="str">
        <v>Id1750</v>
      </c>
      <c r="B1751" t="str">
        <f>VLOOKUP(A1751,'Customer Names (2)'!A:B, 2,FALSE)</f>
        <v>Mr</v>
      </c>
      <c r="C1751">
        <f>VLOOKUP(A1751,Medical_Examinations[],2,FALSE)</f>
        <v>17.86</v>
      </c>
      <c r="D1751">
        <f>VLOOKUP(A1751,Medical_Examinations[],3,FALSE)</f>
        <v>4.1100000000000003</v>
      </c>
      <c r="E1751" t="str">
        <f>VLOOKUP(A1751,Medical_Examinations[],4,FALSE)</f>
        <v>No</v>
      </c>
      <c r="F1751" t="str">
        <f>VLOOKUP(A1751,Medical_Examinations[],5,FALSE)</f>
        <v>No</v>
      </c>
      <c r="G1751" t="str">
        <f>VLOOKUP(A1751,Medical_Examinations[],6,FALSE)</f>
        <v>No</v>
      </c>
      <c r="H1751">
        <f>VLOOKUP(A1751,Medical_Examinations[],7,FALSE)</f>
        <v>1</v>
      </c>
      <c r="I1751" t="str">
        <f>VLOOKUP(A1751,Medical_Examinations[],8,FALSE)</f>
        <v>No</v>
      </c>
      <c r="J1751" t="str">
        <f>VLOOKUP(A1751,Medical_Examinations[],9,FALSE)</f>
        <v>Underweight</v>
      </c>
      <c r="K1751" t="str">
        <f>VLOOKUP(A1751,Medical_Examinations[],10,FALSE)</f>
        <v>Normal</v>
      </c>
      <c r="M1751">
        <f>VLOOKUP(A1751,Hospitalisation_Details__2[],4,FALSE)</f>
        <v>5116.5</v>
      </c>
      <c r="N1751" t="str">
        <f>VLOOKUP(A1751,Hospitalisation_Details__2[],5,FALSE)</f>
        <v>tier - 2</v>
      </c>
      <c r="O1751" t="str">
        <f>VLOOKUP(A1751,Hospitalisation_Details__2[],6,FALSE)</f>
        <v>tier - 2</v>
      </c>
      <c r="P1751" t="str">
        <f>VLOOKUP(A1751,Hospitalisation_Details__2[],7,FALSE)</f>
        <v>R1012</v>
      </c>
    </row>
    <row r="1752" spans="1:16" x14ac:dyDescent="0.35">
      <c r="A1752" t="str">
        <v>Id1751</v>
      </c>
      <c r="B1752" t="str">
        <f>VLOOKUP(A1752,'Customer Names (2)'!A:B, 2,FALSE)</f>
        <v>Mrs</v>
      </c>
      <c r="C1752">
        <f>VLOOKUP(A1752,Medical_Examinations[],2,FALSE)</f>
        <v>32.78</v>
      </c>
      <c r="D1752">
        <f>VLOOKUP(A1752,Medical_Examinations[],3,FALSE)</f>
        <v>4.63</v>
      </c>
      <c r="E1752" t="str">
        <f>VLOOKUP(A1752,Medical_Examinations[],4,FALSE)</f>
        <v>No</v>
      </c>
      <c r="F1752" t="str">
        <f>VLOOKUP(A1752,Medical_Examinations[],5,FALSE)</f>
        <v>No</v>
      </c>
      <c r="G1752" t="str">
        <f>VLOOKUP(A1752,Medical_Examinations[],6,FALSE)</f>
        <v>No</v>
      </c>
      <c r="H1752">
        <f>VLOOKUP(A1752,Medical_Examinations[],7,FALSE)</f>
        <v>0</v>
      </c>
      <c r="I1752" t="str">
        <f>VLOOKUP(A1752,Medical_Examinations[],8,FALSE)</f>
        <v>No</v>
      </c>
      <c r="J1752" t="str">
        <f>VLOOKUP(A1752,Medical_Examinations[],9,FALSE)</f>
        <v>Obesity</v>
      </c>
      <c r="K1752" t="str">
        <f>VLOOKUP(A1752,Medical_Examinations[],10,FALSE)</f>
        <v>Normal</v>
      </c>
      <c r="M1752">
        <f>VLOOKUP(A1752,Hospitalisation_Details__2[],4,FALSE)</f>
        <v>5087.92</v>
      </c>
      <c r="N1752" t="str">
        <f>VLOOKUP(A1752,Hospitalisation_Details__2[],5,FALSE)</f>
        <v>tier - 2</v>
      </c>
      <c r="O1752" t="str">
        <f>VLOOKUP(A1752,Hospitalisation_Details__2[],6,FALSE)</f>
        <v>tier - 2</v>
      </c>
      <c r="P1752" t="str">
        <f>VLOOKUP(A1752,Hospitalisation_Details__2[],7,FALSE)</f>
        <v>R1026</v>
      </c>
    </row>
    <row r="1753" spans="1:16" x14ac:dyDescent="0.35">
      <c r="A1753" t="str">
        <v>Id1752</v>
      </c>
      <c r="B1753" t="str">
        <f>VLOOKUP(A1753,'Customer Names (2)'!A:B, 2,FALSE)</f>
        <v>Mr</v>
      </c>
      <c r="C1753">
        <f>VLOOKUP(A1753,Medical_Examinations[],2,FALSE)</f>
        <v>23.9</v>
      </c>
      <c r="D1753">
        <f>VLOOKUP(A1753,Medical_Examinations[],3,FALSE)</f>
        <v>6.06</v>
      </c>
      <c r="E1753" t="str">
        <f>VLOOKUP(A1753,Medical_Examinations[],4,FALSE)</f>
        <v>Yes</v>
      </c>
      <c r="F1753" t="str">
        <f>VLOOKUP(A1753,Medical_Examinations[],5,FALSE)</f>
        <v>No</v>
      </c>
      <c r="G1753" t="str">
        <f>VLOOKUP(A1753,Medical_Examinations[],6,FALSE)</f>
        <v>Yes</v>
      </c>
      <c r="H1753">
        <f>VLOOKUP(A1753,Medical_Examinations[],7,FALSE)</f>
        <v>1</v>
      </c>
      <c r="I1753" t="str">
        <f>VLOOKUP(A1753,Medical_Examinations[],8,FALSE)</f>
        <v>No</v>
      </c>
      <c r="J1753" t="str">
        <f>VLOOKUP(A1753,Medical_Examinations[],9,FALSE)</f>
        <v>Normal Weight</v>
      </c>
      <c r="K1753" t="str">
        <f>VLOOKUP(A1753,Medical_Examinations[],10,FALSE)</f>
        <v>Prediabetes</v>
      </c>
      <c r="M1753">
        <f>VLOOKUP(A1753,Hospitalisation_Details__2[],4,FALSE)</f>
        <v>5080.1000000000004</v>
      </c>
      <c r="N1753" t="str">
        <f>VLOOKUP(A1753,Hospitalisation_Details__2[],5,FALSE)</f>
        <v>tier - 3</v>
      </c>
      <c r="O1753" t="str">
        <f>VLOOKUP(A1753,Hospitalisation_Details__2[],6,FALSE)</f>
        <v>tier - 2</v>
      </c>
      <c r="P1753" t="str">
        <f>VLOOKUP(A1753,Hospitalisation_Details__2[],7,FALSE)</f>
        <v>R1011</v>
      </c>
    </row>
    <row r="1754" spans="1:16" x14ac:dyDescent="0.35">
      <c r="A1754" t="str">
        <v>Id1753</v>
      </c>
      <c r="B1754" t="str">
        <f>VLOOKUP(A1754,'Customer Names (2)'!A:B, 2,FALSE)</f>
        <v>Mr</v>
      </c>
      <c r="C1754">
        <f>VLOOKUP(A1754,Medical_Examinations[],2,FALSE)</f>
        <v>15.47</v>
      </c>
      <c r="D1754">
        <f>VLOOKUP(A1754,Medical_Examinations[],3,FALSE)</f>
        <v>8.43</v>
      </c>
      <c r="E1754" t="str">
        <f>VLOOKUP(A1754,Medical_Examinations[],4,FALSE)</f>
        <v>No</v>
      </c>
      <c r="F1754" t="str">
        <f>VLOOKUP(A1754,Medical_Examinations[],5,FALSE)</f>
        <v>No</v>
      </c>
      <c r="G1754" t="str">
        <f>VLOOKUP(A1754,Medical_Examinations[],6,FALSE)</f>
        <v>No</v>
      </c>
      <c r="H1754">
        <f>VLOOKUP(A1754,Medical_Examinations[],7,FALSE)</f>
        <v>0</v>
      </c>
      <c r="I1754" t="str">
        <f>VLOOKUP(A1754,Medical_Examinations[],8,FALSE)</f>
        <v>No</v>
      </c>
      <c r="J1754" t="str">
        <f>VLOOKUP(A1754,Medical_Examinations[],9,FALSE)</f>
        <v>Underweight</v>
      </c>
      <c r="K1754" t="str">
        <f>VLOOKUP(A1754,Medical_Examinations[],10,FALSE)</f>
        <v>Diabetes</v>
      </c>
      <c r="M1754">
        <f>VLOOKUP(A1754,Hospitalisation_Details__2[],4,FALSE)</f>
        <v>5077.1899999999996</v>
      </c>
      <c r="N1754" t="str">
        <f>VLOOKUP(A1754,Hospitalisation_Details__2[],5,FALSE)</f>
        <v>tier - 2</v>
      </c>
      <c r="O1754" t="str">
        <f>VLOOKUP(A1754,Hospitalisation_Details__2[],6,FALSE)</f>
        <v>tier - 3</v>
      </c>
      <c r="P1754" t="str">
        <f>VLOOKUP(A1754,Hospitalisation_Details__2[],7,FALSE)</f>
        <v>R1012</v>
      </c>
    </row>
    <row r="1755" spans="1:16" x14ac:dyDescent="0.35">
      <c r="A1755" t="str">
        <v>Id1754</v>
      </c>
      <c r="B1755" t="str">
        <f>VLOOKUP(A1755,'Customer Names (2)'!A:B, 2,FALSE)</f>
        <v>Mr</v>
      </c>
      <c r="C1755">
        <f>VLOOKUP(A1755,Medical_Examinations[],2,FALSE)</f>
        <v>28.54</v>
      </c>
      <c r="D1755">
        <f>VLOOKUP(A1755,Medical_Examinations[],3,FALSE)</f>
        <v>5.51</v>
      </c>
      <c r="E1755" t="str">
        <f>VLOOKUP(A1755,Medical_Examinations[],4,FALSE)</f>
        <v>No</v>
      </c>
      <c r="F1755" t="str">
        <f>VLOOKUP(A1755,Medical_Examinations[],5,FALSE)</f>
        <v>No</v>
      </c>
      <c r="G1755" t="str">
        <f>VLOOKUP(A1755,Medical_Examinations[],6,FALSE)</f>
        <v>Yes</v>
      </c>
      <c r="H1755">
        <f>VLOOKUP(A1755,Medical_Examinations[],7,FALSE)</f>
        <v>1</v>
      </c>
      <c r="I1755" t="str">
        <f>VLOOKUP(A1755,Medical_Examinations[],8,FALSE)</f>
        <v>No</v>
      </c>
      <c r="J1755" t="str">
        <f>VLOOKUP(A1755,Medical_Examinations[],9,FALSE)</f>
        <v>Overweight</v>
      </c>
      <c r="K1755" t="str">
        <f>VLOOKUP(A1755,Medical_Examinations[],10,FALSE)</f>
        <v>Normal</v>
      </c>
      <c r="M1755">
        <f>VLOOKUP(A1755,Hospitalisation_Details__2[],4,FALSE)</f>
        <v>5059.5600000000004</v>
      </c>
      <c r="N1755" t="str">
        <f>VLOOKUP(A1755,Hospitalisation_Details__2[],5,FALSE)</f>
        <v>tier - 2</v>
      </c>
      <c r="O1755" t="str">
        <f>VLOOKUP(A1755,Hospitalisation_Details__2[],6,FALSE)</f>
        <v>tier - 1</v>
      </c>
      <c r="P1755" t="str">
        <f>VLOOKUP(A1755,Hospitalisation_Details__2[],7,FALSE)</f>
        <v>R1021</v>
      </c>
    </row>
    <row r="1756" spans="1:16" x14ac:dyDescent="0.35">
      <c r="A1756" t="str">
        <v>Id1755</v>
      </c>
      <c r="B1756" t="str">
        <f>VLOOKUP(A1756,'Customer Names (2)'!A:B, 2,FALSE)</f>
        <v>Ms</v>
      </c>
      <c r="C1756">
        <f>VLOOKUP(A1756,Medical_Examinations[],2,FALSE)</f>
        <v>18.54</v>
      </c>
      <c r="D1756">
        <f>VLOOKUP(A1756,Medical_Examinations[],3,FALSE)</f>
        <v>4.95</v>
      </c>
      <c r="E1756" t="str">
        <f>VLOOKUP(A1756,Medical_Examinations[],4,FALSE)</f>
        <v>No</v>
      </c>
      <c r="F1756" t="str">
        <f>VLOOKUP(A1756,Medical_Examinations[],5,FALSE)</f>
        <v>No</v>
      </c>
      <c r="G1756" t="str">
        <f>VLOOKUP(A1756,Medical_Examinations[],6,FALSE)</f>
        <v>No</v>
      </c>
      <c r="H1756">
        <f>VLOOKUP(A1756,Medical_Examinations[],7,FALSE)</f>
        <v>0</v>
      </c>
      <c r="I1756" t="str">
        <f>VLOOKUP(A1756,Medical_Examinations[],8,FALSE)</f>
        <v>No</v>
      </c>
      <c r="J1756" t="str">
        <f>VLOOKUP(A1756,Medical_Examinations[],9,FALSE)</f>
        <v>Normal Weight</v>
      </c>
      <c r="K1756" t="str">
        <f>VLOOKUP(A1756,Medical_Examinations[],10,FALSE)</f>
        <v>Normal</v>
      </c>
      <c r="M1756">
        <f>VLOOKUP(A1756,Hospitalisation_Details__2[],4,FALSE)</f>
        <v>5054.05</v>
      </c>
      <c r="N1756" t="str">
        <f>VLOOKUP(A1756,Hospitalisation_Details__2[],5,FALSE)</f>
        <v>tier - 2</v>
      </c>
      <c r="O1756" t="str">
        <f>VLOOKUP(A1756,Hospitalisation_Details__2[],6,FALSE)</f>
        <v>tier - 2</v>
      </c>
      <c r="P1756" t="str">
        <f>VLOOKUP(A1756,Hospitalisation_Details__2[],7,FALSE)</f>
        <v>R1013</v>
      </c>
    </row>
    <row r="1757" spans="1:16" x14ac:dyDescent="0.35">
      <c r="A1757" t="str">
        <v>Id1756</v>
      </c>
      <c r="B1757" t="str">
        <f>VLOOKUP(A1757,'Customer Names (2)'!A:B, 2,FALSE)</f>
        <v>Ms</v>
      </c>
      <c r="C1757">
        <f>VLOOKUP(A1757,Medical_Examinations[],2,FALSE)</f>
        <v>32.18</v>
      </c>
      <c r="D1757">
        <f>VLOOKUP(A1757,Medical_Examinations[],3,FALSE)</f>
        <v>6.44</v>
      </c>
      <c r="E1757" t="str">
        <f>VLOOKUP(A1757,Medical_Examinations[],4,FALSE)</f>
        <v>Yes</v>
      </c>
      <c r="F1757" t="str">
        <f>VLOOKUP(A1757,Medical_Examinations[],5,FALSE)</f>
        <v>No</v>
      </c>
      <c r="G1757" t="str">
        <f>VLOOKUP(A1757,Medical_Examinations[],6,FALSE)</f>
        <v>Yes</v>
      </c>
      <c r="H1757">
        <f>VLOOKUP(A1757,Medical_Examinations[],7,FALSE)</f>
        <v>1</v>
      </c>
      <c r="I1757" t="str">
        <f>VLOOKUP(A1757,Medical_Examinations[],8,FALSE)</f>
        <v>No</v>
      </c>
      <c r="J1757" t="str">
        <f>VLOOKUP(A1757,Medical_Examinations[],9,FALSE)</f>
        <v>Obesity</v>
      </c>
      <c r="K1757" t="str">
        <f>VLOOKUP(A1757,Medical_Examinations[],10,FALSE)</f>
        <v>Prediabetes</v>
      </c>
      <c r="M1757">
        <f>VLOOKUP(A1757,Hospitalisation_Details__2[],4,FALSE)</f>
        <v>5045.1499999999996</v>
      </c>
      <c r="N1757" t="str">
        <f>VLOOKUP(A1757,Hospitalisation_Details__2[],5,FALSE)</f>
        <v>tier - 2</v>
      </c>
      <c r="O1757" t="str">
        <f>VLOOKUP(A1757,Hospitalisation_Details__2[],6,FALSE)</f>
        <v>tier - 2</v>
      </c>
      <c r="P1757" t="str">
        <f>VLOOKUP(A1757,Hospitalisation_Details__2[],7,FALSE)</f>
        <v>R1012</v>
      </c>
    </row>
    <row r="1758" spans="1:16" x14ac:dyDescent="0.35">
      <c r="A1758" t="str">
        <v>Id1757</v>
      </c>
      <c r="B1758" t="str">
        <f>VLOOKUP(A1758,'Customer Names (2)'!A:B, 2,FALSE)</f>
        <v>Mr</v>
      </c>
      <c r="C1758">
        <f>VLOOKUP(A1758,Medical_Examinations[],2,FALSE)</f>
        <v>37.380000000000003</v>
      </c>
      <c r="D1758">
        <f>VLOOKUP(A1758,Medical_Examinations[],3,FALSE)</f>
        <v>6.05</v>
      </c>
      <c r="E1758" t="str">
        <f>VLOOKUP(A1758,Medical_Examinations[],4,FALSE)</f>
        <v>Yes</v>
      </c>
      <c r="F1758" t="str">
        <f>VLOOKUP(A1758,Medical_Examinations[],5,FALSE)</f>
        <v>No</v>
      </c>
      <c r="G1758" t="str">
        <f>VLOOKUP(A1758,Medical_Examinations[],6,FALSE)</f>
        <v>No</v>
      </c>
      <c r="H1758">
        <f>VLOOKUP(A1758,Medical_Examinations[],7,FALSE)</f>
        <v>0</v>
      </c>
      <c r="I1758" t="str">
        <f>VLOOKUP(A1758,Medical_Examinations[],8,FALSE)</f>
        <v>No</v>
      </c>
      <c r="J1758" t="str">
        <f>VLOOKUP(A1758,Medical_Examinations[],9,FALSE)</f>
        <v>Obesity</v>
      </c>
      <c r="K1758" t="str">
        <f>VLOOKUP(A1758,Medical_Examinations[],10,FALSE)</f>
        <v>Prediabetes</v>
      </c>
      <c r="M1758">
        <f>VLOOKUP(A1758,Hospitalisation_Details__2[],4,FALSE)</f>
        <v>5043.13</v>
      </c>
      <c r="N1758" t="str">
        <f>VLOOKUP(A1758,Hospitalisation_Details__2[],5,FALSE)</f>
        <v>tier - 2</v>
      </c>
      <c r="O1758" t="str">
        <f>VLOOKUP(A1758,Hospitalisation_Details__2[],6,FALSE)</f>
        <v>tier - 3</v>
      </c>
      <c r="P1758" t="str">
        <f>VLOOKUP(A1758,Hospitalisation_Details__2[],7,FALSE)</f>
        <v>R1011</v>
      </c>
    </row>
    <row r="1759" spans="1:16" x14ac:dyDescent="0.35">
      <c r="A1759" t="str">
        <v>Id1758</v>
      </c>
      <c r="B1759" t="str">
        <f>VLOOKUP(A1759,'Customer Names (2)'!A:B, 2,FALSE)</f>
        <v>Mrs</v>
      </c>
      <c r="C1759">
        <f>VLOOKUP(A1759,Medical_Examinations[],2,FALSE)</f>
        <v>31.12</v>
      </c>
      <c r="D1759">
        <f>VLOOKUP(A1759,Medical_Examinations[],3,FALSE)</f>
        <v>4.76</v>
      </c>
      <c r="E1759" t="str">
        <f>VLOOKUP(A1759,Medical_Examinations[],4,FALSE)</f>
        <v>Yes</v>
      </c>
      <c r="F1759" t="str">
        <f>VLOOKUP(A1759,Medical_Examinations[],5,FALSE)</f>
        <v>No</v>
      </c>
      <c r="G1759" t="str">
        <f>VLOOKUP(A1759,Medical_Examinations[],6,FALSE)</f>
        <v>Yes</v>
      </c>
      <c r="H1759">
        <f>VLOOKUP(A1759,Medical_Examinations[],7,FALSE)</f>
        <v>1</v>
      </c>
      <c r="I1759" t="str">
        <f>VLOOKUP(A1759,Medical_Examinations[],8,FALSE)</f>
        <v>No</v>
      </c>
      <c r="J1759" t="str">
        <f>VLOOKUP(A1759,Medical_Examinations[],9,FALSE)</f>
        <v>Obesity</v>
      </c>
      <c r="K1759" t="str">
        <f>VLOOKUP(A1759,Medical_Examinations[],10,FALSE)</f>
        <v>Normal</v>
      </c>
      <c r="M1759">
        <f>VLOOKUP(A1759,Hospitalisation_Details__2[],4,FALSE)</f>
        <v>5038.57</v>
      </c>
      <c r="N1759" t="str">
        <f>VLOOKUP(A1759,Hospitalisation_Details__2[],5,FALSE)</f>
        <v>tier - 2</v>
      </c>
      <c r="O1759" t="str">
        <f>VLOOKUP(A1759,Hospitalisation_Details__2[],6,FALSE)</f>
        <v>tier - 2</v>
      </c>
      <c r="P1759" t="str">
        <f>VLOOKUP(A1759,Hospitalisation_Details__2[],7,FALSE)</f>
        <v>R1025</v>
      </c>
    </row>
    <row r="1760" spans="1:16" x14ac:dyDescent="0.35">
      <c r="A1760" t="str">
        <v>Id1759</v>
      </c>
      <c r="B1760" t="str">
        <f>VLOOKUP(A1760,'Customer Names (2)'!A:B, 2,FALSE)</f>
        <v>Mr</v>
      </c>
      <c r="C1760">
        <f>VLOOKUP(A1760,Medical_Examinations[],2,FALSE)</f>
        <v>22.01</v>
      </c>
      <c r="D1760">
        <f>VLOOKUP(A1760,Medical_Examinations[],3,FALSE)</f>
        <v>6.72</v>
      </c>
      <c r="E1760" t="str">
        <f>VLOOKUP(A1760,Medical_Examinations[],4,FALSE)</f>
        <v>Yes</v>
      </c>
      <c r="F1760" t="str">
        <f>VLOOKUP(A1760,Medical_Examinations[],5,FALSE)</f>
        <v>No</v>
      </c>
      <c r="G1760" t="str">
        <f>VLOOKUP(A1760,Medical_Examinations[],6,FALSE)</f>
        <v>No</v>
      </c>
      <c r="H1760">
        <f>VLOOKUP(A1760,Medical_Examinations[],7,FALSE)</f>
        <v>1</v>
      </c>
      <c r="I1760" t="str">
        <f>VLOOKUP(A1760,Medical_Examinations[],8,FALSE)</f>
        <v>No</v>
      </c>
      <c r="J1760" t="str">
        <f>VLOOKUP(A1760,Medical_Examinations[],9,FALSE)</f>
        <v>Normal Weight</v>
      </c>
      <c r="K1760" t="str">
        <f>VLOOKUP(A1760,Medical_Examinations[],10,FALSE)</f>
        <v>Diabetes</v>
      </c>
      <c r="M1760">
        <f>VLOOKUP(A1760,Hospitalisation_Details__2[],4,FALSE)</f>
        <v>5034.1000000000004</v>
      </c>
      <c r="N1760" t="str">
        <f>VLOOKUP(A1760,Hospitalisation_Details__2[],5,FALSE)</f>
        <v>tier - 2</v>
      </c>
      <c r="O1760" t="str">
        <f>VLOOKUP(A1760,Hospitalisation_Details__2[],6,FALSE)</f>
        <v>tier - 2</v>
      </c>
      <c r="P1760" t="str">
        <f>VLOOKUP(A1760,Hospitalisation_Details__2[],7,FALSE)</f>
        <v>R1013</v>
      </c>
    </row>
    <row r="1761" spans="1:16" x14ac:dyDescent="0.35">
      <c r="A1761" t="str">
        <v>Id1760</v>
      </c>
      <c r="B1761" t="str">
        <f>VLOOKUP(A1761,'Customer Names (2)'!A:B, 2,FALSE)</f>
        <v>Mr</v>
      </c>
      <c r="C1761">
        <f>VLOOKUP(A1761,Medical_Examinations[],2,FALSE)</f>
        <v>27.645</v>
      </c>
      <c r="D1761">
        <f>VLOOKUP(A1761,Medical_Examinations[],3,FALSE)</f>
        <v>5.7</v>
      </c>
      <c r="E1761" t="str">
        <f>VLOOKUP(A1761,Medical_Examinations[],4,FALSE)</f>
        <v>No</v>
      </c>
      <c r="F1761" t="str">
        <f>VLOOKUP(A1761,Medical_Examinations[],5,FALSE)</f>
        <v>No</v>
      </c>
      <c r="G1761" t="str">
        <f>VLOOKUP(A1761,Medical_Examinations[],6,FALSE)</f>
        <v>No</v>
      </c>
      <c r="H1761">
        <f>VLOOKUP(A1761,Medical_Examinations[],7,FALSE)</f>
        <v>0</v>
      </c>
      <c r="I1761" t="str">
        <f>VLOOKUP(A1761,Medical_Examinations[],8,FALSE)</f>
        <v>No</v>
      </c>
      <c r="J1761" t="str">
        <f>VLOOKUP(A1761,Medical_Examinations[],9,FALSE)</f>
        <v>Overweight</v>
      </c>
      <c r="K1761" t="str">
        <f>VLOOKUP(A1761,Medical_Examinations[],10,FALSE)</f>
        <v>Prediabetes</v>
      </c>
      <c r="M1761">
        <f>VLOOKUP(A1761,Hospitalisation_Details__2[],4,FALSE)</f>
        <v>5031.2700000000004</v>
      </c>
      <c r="N1761" t="str">
        <f>VLOOKUP(A1761,Hospitalisation_Details__2[],5,FALSE)</f>
        <v>tier - 3</v>
      </c>
      <c r="O1761" t="str">
        <f>VLOOKUP(A1761,Hospitalisation_Details__2[],6,FALSE)</f>
        <v>tier - 1</v>
      </c>
      <c r="P1761" t="str">
        <f>VLOOKUP(A1761,Hospitalisation_Details__2[],7,FALSE)</f>
        <v>R1016</v>
      </c>
    </row>
    <row r="1762" spans="1:16" x14ac:dyDescent="0.35">
      <c r="A1762" t="str">
        <v>Id1761</v>
      </c>
      <c r="B1762" t="str">
        <f>VLOOKUP(A1762,'Customer Names (2)'!A:B, 2,FALSE)</f>
        <v>Mr</v>
      </c>
      <c r="C1762">
        <f>VLOOKUP(A1762,Medical_Examinations[],2,FALSE)</f>
        <v>29.64</v>
      </c>
      <c r="D1762">
        <f>VLOOKUP(A1762,Medical_Examinations[],3,FALSE)</f>
        <v>5.31</v>
      </c>
      <c r="E1762" t="str">
        <f>VLOOKUP(A1762,Medical_Examinations[],4,FALSE)</f>
        <v>Yes</v>
      </c>
      <c r="F1762" t="str">
        <f>VLOOKUP(A1762,Medical_Examinations[],5,FALSE)</f>
        <v>No</v>
      </c>
      <c r="G1762" t="str">
        <f>VLOOKUP(A1762,Medical_Examinations[],6,FALSE)</f>
        <v>No</v>
      </c>
      <c r="H1762">
        <f>VLOOKUP(A1762,Medical_Examinations[],7,FALSE)</f>
        <v>0</v>
      </c>
      <c r="I1762" t="str">
        <f>VLOOKUP(A1762,Medical_Examinations[],8,FALSE)</f>
        <v>No</v>
      </c>
      <c r="J1762" t="str">
        <f>VLOOKUP(A1762,Medical_Examinations[],9,FALSE)</f>
        <v>Overweight</v>
      </c>
      <c r="K1762" t="str">
        <f>VLOOKUP(A1762,Medical_Examinations[],10,FALSE)</f>
        <v>Normal</v>
      </c>
      <c r="M1762">
        <f>VLOOKUP(A1762,Hospitalisation_Details__2[],4,FALSE)</f>
        <v>5028.1499999999996</v>
      </c>
      <c r="N1762" t="str">
        <f>VLOOKUP(A1762,Hospitalisation_Details__2[],5,FALSE)</f>
        <v>tier - 1</v>
      </c>
      <c r="O1762" t="str">
        <f>VLOOKUP(A1762,Hospitalisation_Details__2[],6,FALSE)</f>
        <v>tier - 2</v>
      </c>
      <c r="P1762" t="str">
        <f>VLOOKUP(A1762,Hospitalisation_Details__2[],7,FALSE)</f>
        <v>R1012</v>
      </c>
    </row>
    <row r="1763" spans="1:16" x14ac:dyDescent="0.35">
      <c r="A1763" t="str">
        <v>Id1762</v>
      </c>
      <c r="B1763" t="str">
        <f>VLOOKUP(A1763,'Customer Names (2)'!A:B, 2,FALSE)</f>
        <v>Ms</v>
      </c>
      <c r="C1763">
        <f>VLOOKUP(A1763,Medical_Examinations[],2,FALSE)</f>
        <v>33.700000000000003</v>
      </c>
      <c r="D1763">
        <f>VLOOKUP(A1763,Medical_Examinations[],3,FALSE)</f>
        <v>4.32</v>
      </c>
      <c r="E1763" t="str">
        <f>VLOOKUP(A1763,Medical_Examinations[],4,FALSE)</f>
        <v>Yes</v>
      </c>
      <c r="F1763" t="str">
        <f>VLOOKUP(A1763,Medical_Examinations[],5,FALSE)</f>
        <v>No</v>
      </c>
      <c r="G1763" t="str">
        <f>VLOOKUP(A1763,Medical_Examinations[],6,FALSE)</f>
        <v>No</v>
      </c>
      <c r="H1763">
        <f>VLOOKUP(A1763,Medical_Examinations[],7,FALSE)</f>
        <v>1</v>
      </c>
      <c r="I1763" t="str">
        <f>VLOOKUP(A1763,Medical_Examinations[],8,FALSE)</f>
        <v>No</v>
      </c>
      <c r="J1763" t="str">
        <f>VLOOKUP(A1763,Medical_Examinations[],9,FALSE)</f>
        <v>Obesity</v>
      </c>
      <c r="K1763" t="str">
        <f>VLOOKUP(A1763,Medical_Examinations[],10,FALSE)</f>
        <v>Normal</v>
      </c>
      <c r="M1763">
        <f>VLOOKUP(A1763,Hospitalisation_Details__2[],4,FALSE)</f>
        <v>5012.47</v>
      </c>
      <c r="N1763" t="str">
        <f>VLOOKUP(A1763,Hospitalisation_Details__2[],5,FALSE)</f>
        <v>tier - 2</v>
      </c>
      <c r="O1763" t="str">
        <f>VLOOKUP(A1763,Hospitalisation_Details__2[],6,FALSE)</f>
        <v>tier - 3</v>
      </c>
      <c r="P1763" t="str">
        <f>VLOOKUP(A1763,Hospitalisation_Details__2[],7,FALSE)</f>
        <v>R1011</v>
      </c>
    </row>
    <row r="1764" spans="1:16" x14ac:dyDescent="0.35">
      <c r="A1764" t="str">
        <v>Id1763</v>
      </c>
      <c r="B1764" t="str">
        <f>VLOOKUP(A1764,'Customer Names (2)'!A:B, 2,FALSE)</f>
        <v>Ms</v>
      </c>
      <c r="C1764">
        <f>VLOOKUP(A1764,Medical_Examinations[],2,FALSE)</f>
        <v>27.5</v>
      </c>
      <c r="D1764">
        <f>VLOOKUP(A1764,Medical_Examinations[],3,FALSE)</f>
        <v>4.2300000000000004</v>
      </c>
      <c r="E1764" t="str">
        <f>VLOOKUP(A1764,Medical_Examinations[],4,FALSE)</f>
        <v>Yes</v>
      </c>
      <c r="F1764" t="str">
        <f>VLOOKUP(A1764,Medical_Examinations[],5,FALSE)</f>
        <v>No</v>
      </c>
      <c r="G1764" t="str">
        <f>VLOOKUP(A1764,Medical_Examinations[],6,FALSE)</f>
        <v>No</v>
      </c>
      <c r="H1764">
        <f>VLOOKUP(A1764,Medical_Examinations[],7,FALSE)</f>
        <v>1</v>
      </c>
      <c r="I1764" t="str">
        <f>VLOOKUP(A1764,Medical_Examinations[],8,FALSE)</f>
        <v>No</v>
      </c>
      <c r="J1764" t="str">
        <f>VLOOKUP(A1764,Medical_Examinations[],9,FALSE)</f>
        <v>Overweight</v>
      </c>
      <c r="K1764" t="str">
        <f>VLOOKUP(A1764,Medical_Examinations[],10,FALSE)</f>
        <v>Normal</v>
      </c>
      <c r="M1764">
        <f>VLOOKUP(A1764,Hospitalisation_Details__2[],4,FALSE)</f>
        <v>5003.8500000000004</v>
      </c>
      <c r="N1764" t="str">
        <f>VLOOKUP(A1764,Hospitalisation_Details__2[],5,FALSE)</f>
        <v>tier - 2</v>
      </c>
      <c r="O1764" t="str">
        <f>VLOOKUP(A1764,Hospitalisation_Details__2[],6,FALSE)</f>
        <v>tier - 3</v>
      </c>
      <c r="P1764" t="str">
        <f>VLOOKUP(A1764,Hospitalisation_Details__2[],7,FALSE)</f>
        <v>R1011</v>
      </c>
    </row>
    <row r="1765" spans="1:16" x14ac:dyDescent="0.35">
      <c r="A1765" t="str">
        <v>Id1764</v>
      </c>
      <c r="B1765" t="str">
        <f>VLOOKUP(A1765,'Customer Names (2)'!A:B, 2,FALSE)</f>
        <v>Ms</v>
      </c>
      <c r="C1765">
        <f>VLOOKUP(A1765,Medical_Examinations[],2,FALSE)</f>
        <v>16.12</v>
      </c>
      <c r="D1765">
        <f>VLOOKUP(A1765,Medical_Examinations[],3,FALSE)</f>
        <v>6.09</v>
      </c>
      <c r="E1765" t="str">
        <f>VLOOKUP(A1765,Medical_Examinations[],4,FALSE)</f>
        <v>No</v>
      </c>
      <c r="F1765" t="str">
        <f>VLOOKUP(A1765,Medical_Examinations[],5,FALSE)</f>
        <v>No</v>
      </c>
      <c r="G1765" t="str">
        <f>VLOOKUP(A1765,Medical_Examinations[],6,FALSE)</f>
        <v>No</v>
      </c>
      <c r="H1765">
        <f>VLOOKUP(A1765,Medical_Examinations[],7,FALSE)</f>
        <v>0</v>
      </c>
      <c r="I1765" t="str">
        <f>VLOOKUP(A1765,Medical_Examinations[],8,FALSE)</f>
        <v>No</v>
      </c>
      <c r="J1765" t="str">
        <f>VLOOKUP(A1765,Medical_Examinations[],9,FALSE)</f>
        <v>Underweight</v>
      </c>
      <c r="K1765" t="str">
        <f>VLOOKUP(A1765,Medical_Examinations[],10,FALSE)</f>
        <v>Prediabetes</v>
      </c>
      <c r="M1765">
        <f>VLOOKUP(A1765,Hospitalisation_Details__2[],4,FALSE)</f>
        <v>5003.7700000000004</v>
      </c>
      <c r="N1765" t="str">
        <f>VLOOKUP(A1765,Hospitalisation_Details__2[],5,FALSE)</f>
        <v>tier - 2</v>
      </c>
      <c r="O1765" t="str">
        <f>VLOOKUP(A1765,Hospitalisation_Details__2[],6,FALSE)</f>
        <v>tier - 3</v>
      </c>
      <c r="P1765" t="str">
        <f>VLOOKUP(A1765,Hospitalisation_Details__2[],7,FALSE)</f>
        <v>R1013</v>
      </c>
    </row>
    <row r="1766" spans="1:16" x14ac:dyDescent="0.35">
      <c r="A1766" t="str">
        <v>Id1765</v>
      </c>
      <c r="B1766" t="str">
        <f>VLOOKUP(A1766,'Customer Names (2)'!A:B, 2,FALSE)</f>
        <v>Ms</v>
      </c>
      <c r="C1766">
        <f>VLOOKUP(A1766,Medical_Examinations[],2,FALSE)</f>
        <v>26.73</v>
      </c>
      <c r="D1766">
        <f>VLOOKUP(A1766,Medical_Examinations[],3,FALSE)</f>
        <v>4.74</v>
      </c>
      <c r="E1766" t="str">
        <f>VLOOKUP(A1766,Medical_Examinations[],4,FALSE)</f>
        <v>Yes</v>
      </c>
      <c r="F1766" t="str">
        <f>VLOOKUP(A1766,Medical_Examinations[],5,FALSE)</f>
        <v>No</v>
      </c>
      <c r="G1766" t="str">
        <f>VLOOKUP(A1766,Medical_Examinations[],6,FALSE)</f>
        <v>No</v>
      </c>
      <c r="H1766">
        <f>VLOOKUP(A1766,Medical_Examinations[],7,FALSE)</f>
        <v>1</v>
      </c>
      <c r="I1766" t="str">
        <f>VLOOKUP(A1766,Medical_Examinations[],8,FALSE)</f>
        <v>No</v>
      </c>
      <c r="J1766" t="str">
        <f>VLOOKUP(A1766,Medical_Examinations[],9,FALSE)</f>
        <v>Overweight</v>
      </c>
      <c r="K1766" t="str">
        <f>VLOOKUP(A1766,Medical_Examinations[],10,FALSE)</f>
        <v>Normal</v>
      </c>
      <c r="M1766">
        <f>VLOOKUP(A1766,Hospitalisation_Details__2[],4,FALSE)</f>
        <v>5002.78</v>
      </c>
      <c r="N1766" t="str">
        <f>VLOOKUP(A1766,Hospitalisation_Details__2[],5,FALSE)</f>
        <v>tier - 2</v>
      </c>
      <c r="O1766" t="str">
        <f>VLOOKUP(A1766,Hospitalisation_Details__2[],6,FALSE)</f>
        <v>tier - 2</v>
      </c>
      <c r="P1766" t="str">
        <f>VLOOKUP(A1766,Hospitalisation_Details__2[],7,FALSE)</f>
        <v>R1013</v>
      </c>
    </row>
    <row r="1767" spans="1:16" x14ac:dyDescent="0.35">
      <c r="A1767" t="str">
        <v>Id1766</v>
      </c>
      <c r="B1767" t="str">
        <f>VLOOKUP(A1767,'Customer Names (2)'!A:B, 2,FALSE)</f>
        <v>Mr</v>
      </c>
      <c r="C1767">
        <f>VLOOKUP(A1767,Medical_Examinations[],2,FALSE)</f>
        <v>37.25</v>
      </c>
      <c r="D1767">
        <f>VLOOKUP(A1767,Medical_Examinations[],3,FALSE)</f>
        <v>6.23</v>
      </c>
      <c r="E1767" t="str">
        <f>VLOOKUP(A1767,Medical_Examinations[],4,FALSE)</f>
        <v>Yes</v>
      </c>
      <c r="F1767" t="str">
        <f>VLOOKUP(A1767,Medical_Examinations[],5,FALSE)</f>
        <v>No</v>
      </c>
      <c r="G1767" t="str">
        <f>VLOOKUP(A1767,Medical_Examinations[],6,FALSE)</f>
        <v>No</v>
      </c>
      <c r="H1767">
        <f>VLOOKUP(A1767,Medical_Examinations[],7,FALSE)</f>
        <v>0</v>
      </c>
      <c r="I1767" t="str">
        <f>VLOOKUP(A1767,Medical_Examinations[],8,FALSE)</f>
        <v>No</v>
      </c>
      <c r="J1767" t="str">
        <f>VLOOKUP(A1767,Medical_Examinations[],9,FALSE)</f>
        <v>Obesity</v>
      </c>
      <c r="K1767" t="str">
        <f>VLOOKUP(A1767,Medical_Examinations[],10,FALSE)</f>
        <v>Prediabetes</v>
      </c>
      <c r="M1767">
        <f>VLOOKUP(A1767,Hospitalisation_Details__2[],4,FALSE)</f>
        <v>4999.04</v>
      </c>
      <c r="N1767" t="str">
        <f>VLOOKUP(A1767,Hospitalisation_Details__2[],5,FALSE)</f>
        <v>tier - 2</v>
      </c>
      <c r="O1767" t="str">
        <f>VLOOKUP(A1767,Hospitalisation_Details__2[],6,FALSE)</f>
        <v>tier - 2</v>
      </c>
      <c r="P1767" t="str">
        <f>VLOOKUP(A1767,Hospitalisation_Details__2[],7,FALSE)</f>
        <v>R1011</v>
      </c>
    </row>
    <row r="1768" spans="1:16" x14ac:dyDescent="0.35">
      <c r="A1768" t="str">
        <v>Id1767</v>
      </c>
      <c r="B1768" t="str">
        <f>VLOOKUP(A1768,'Customer Names (2)'!A:B, 2,FALSE)</f>
        <v>Ms</v>
      </c>
      <c r="C1768">
        <f>VLOOKUP(A1768,Medical_Examinations[],2,FALSE)</f>
        <v>23.56</v>
      </c>
      <c r="D1768">
        <f>VLOOKUP(A1768,Medical_Examinations[],3,FALSE)</f>
        <v>5.45</v>
      </c>
      <c r="E1768" t="str">
        <f>VLOOKUP(A1768,Medical_Examinations[],4,FALSE)</f>
        <v>Yes</v>
      </c>
      <c r="F1768" t="str">
        <f>VLOOKUP(A1768,Medical_Examinations[],5,FALSE)</f>
        <v>No</v>
      </c>
      <c r="G1768" t="str">
        <f>VLOOKUP(A1768,Medical_Examinations[],6,FALSE)</f>
        <v>No</v>
      </c>
      <c r="H1768">
        <f>VLOOKUP(A1768,Medical_Examinations[],7,FALSE)</f>
        <v>1</v>
      </c>
      <c r="I1768" t="str">
        <f>VLOOKUP(A1768,Medical_Examinations[],8,FALSE)</f>
        <v>No</v>
      </c>
      <c r="J1768" t="str">
        <f>VLOOKUP(A1768,Medical_Examinations[],9,FALSE)</f>
        <v>Normal Weight</v>
      </c>
      <c r="K1768" t="str">
        <f>VLOOKUP(A1768,Medical_Examinations[],10,FALSE)</f>
        <v>Normal</v>
      </c>
      <c r="M1768">
        <f>VLOOKUP(A1768,Hospitalisation_Details__2[],4,FALSE)</f>
        <v>4992.38</v>
      </c>
      <c r="N1768" t="str">
        <f>VLOOKUP(A1768,Hospitalisation_Details__2[],5,FALSE)</f>
        <v>tier - 2</v>
      </c>
      <c r="O1768" t="str">
        <f>VLOOKUP(A1768,Hospitalisation_Details__2[],6,FALSE)</f>
        <v>tier - 3</v>
      </c>
      <c r="P1768" t="str">
        <f>VLOOKUP(A1768,Hospitalisation_Details__2[],7,FALSE)</f>
        <v>R1024</v>
      </c>
    </row>
    <row r="1769" spans="1:16" x14ac:dyDescent="0.35">
      <c r="A1769" t="str">
        <v>Id1768</v>
      </c>
      <c r="B1769" t="str">
        <f>VLOOKUP(A1769,'Customer Names (2)'!A:B, 2,FALSE)</f>
        <v>Ms</v>
      </c>
      <c r="C1769">
        <f>VLOOKUP(A1769,Medical_Examinations[],2,FALSE)</f>
        <v>15.84</v>
      </c>
      <c r="D1769">
        <f>VLOOKUP(A1769,Medical_Examinations[],3,FALSE)</f>
        <v>10.34</v>
      </c>
      <c r="E1769" t="str">
        <f>VLOOKUP(A1769,Medical_Examinations[],4,FALSE)</f>
        <v>No</v>
      </c>
      <c r="F1769" t="str">
        <f>VLOOKUP(A1769,Medical_Examinations[],5,FALSE)</f>
        <v>No</v>
      </c>
      <c r="G1769" t="str">
        <f>VLOOKUP(A1769,Medical_Examinations[],6,FALSE)</f>
        <v>No</v>
      </c>
      <c r="H1769">
        <f>VLOOKUP(A1769,Medical_Examinations[],7,FALSE)</f>
        <v>2</v>
      </c>
      <c r="I1769" t="str">
        <f>VLOOKUP(A1769,Medical_Examinations[],8,FALSE)</f>
        <v>No</v>
      </c>
      <c r="J1769" t="str">
        <f>VLOOKUP(A1769,Medical_Examinations[],9,FALSE)</f>
        <v>Underweight</v>
      </c>
      <c r="K1769" t="str">
        <f>VLOOKUP(A1769,Medical_Examinations[],10,FALSE)</f>
        <v>Diabetes</v>
      </c>
      <c r="M1769">
        <f>VLOOKUP(A1769,Hospitalisation_Details__2[],4,FALSE)</f>
        <v>4985.22</v>
      </c>
      <c r="N1769" t="str">
        <f>VLOOKUP(A1769,Hospitalisation_Details__2[],5,FALSE)</f>
        <v>tier - 2</v>
      </c>
      <c r="O1769" t="str">
        <f>VLOOKUP(A1769,Hospitalisation_Details__2[],6,FALSE)</f>
        <v>tier - 3</v>
      </c>
      <c r="P1769" t="str">
        <f>VLOOKUP(A1769,Hospitalisation_Details__2[],7,FALSE)</f>
        <v>R1013</v>
      </c>
    </row>
    <row r="1770" spans="1:16" x14ac:dyDescent="0.35">
      <c r="A1770" t="str">
        <v>Id1769</v>
      </c>
      <c r="B1770" t="str">
        <f>VLOOKUP(A1770,'Customer Names (2)'!A:B, 2,FALSE)</f>
        <v>Ms</v>
      </c>
      <c r="C1770">
        <f>VLOOKUP(A1770,Medical_Examinations[],2,FALSE)</f>
        <v>36.630000000000003</v>
      </c>
      <c r="D1770">
        <f>VLOOKUP(A1770,Medical_Examinations[],3,FALSE)</f>
        <v>5.15</v>
      </c>
      <c r="E1770" t="str">
        <f>VLOOKUP(A1770,Medical_Examinations[],4,FALSE)</f>
        <v>No</v>
      </c>
      <c r="F1770" t="str">
        <f>VLOOKUP(A1770,Medical_Examinations[],5,FALSE)</f>
        <v>No</v>
      </c>
      <c r="G1770" t="str">
        <f>VLOOKUP(A1770,Medical_Examinations[],6,FALSE)</f>
        <v>No</v>
      </c>
      <c r="H1770">
        <f>VLOOKUP(A1770,Medical_Examinations[],7,FALSE)</f>
        <v>0</v>
      </c>
      <c r="I1770" t="str">
        <f>VLOOKUP(A1770,Medical_Examinations[],8,FALSE)</f>
        <v>No</v>
      </c>
      <c r="J1770" t="str">
        <f>VLOOKUP(A1770,Medical_Examinations[],9,FALSE)</f>
        <v>Obesity</v>
      </c>
      <c r="K1770" t="str">
        <f>VLOOKUP(A1770,Medical_Examinations[],10,FALSE)</f>
        <v>Normal</v>
      </c>
      <c r="M1770">
        <f>VLOOKUP(A1770,Hospitalisation_Details__2[],4,FALSE)</f>
        <v>4949.76</v>
      </c>
      <c r="N1770" t="str">
        <f>VLOOKUP(A1770,Hospitalisation_Details__2[],5,FALSE)</f>
        <v>tier - 2</v>
      </c>
      <c r="O1770" t="str">
        <f>VLOOKUP(A1770,Hospitalisation_Details__2[],6,FALSE)</f>
        <v>tier - 1</v>
      </c>
      <c r="P1770" t="str">
        <f>VLOOKUP(A1770,Hospitalisation_Details__2[],7,FALSE)</f>
        <v>R1013</v>
      </c>
    </row>
    <row r="1771" spans="1:16" x14ac:dyDescent="0.35">
      <c r="A1771" t="str">
        <v>Id1770</v>
      </c>
      <c r="B1771" t="str">
        <f>VLOOKUP(A1771,'Customer Names (2)'!A:B, 2,FALSE)</f>
        <v>Ms</v>
      </c>
      <c r="C1771">
        <f>VLOOKUP(A1771,Medical_Examinations[],2,FALSE)</f>
        <v>16.47</v>
      </c>
      <c r="D1771">
        <f>VLOOKUP(A1771,Medical_Examinations[],3,FALSE)</f>
        <v>11.72</v>
      </c>
      <c r="E1771" t="str">
        <f>VLOOKUP(A1771,Medical_Examinations[],4,FALSE)</f>
        <v>No</v>
      </c>
      <c r="F1771" t="str">
        <f>VLOOKUP(A1771,Medical_Examinations[],5,FALSE)</f>
        <v>No</v>
      </c>
      <c r="G1771" t="str">
        <f>VLOOKUP(A1771,Medical_Examinations[],6,FALSE)</f>
        <v>No</v>
      </c>
      <c r="H1771">
        <f>VLOOKUP(A1771,Medical_Examinations[],7,FALSE)</f>
        <v>0</v>
      </c>
      <c r="I1771" t="str">
        <f>VLOOKUP(A1771,Medical_Examinations[],8,FALSE)</f>
        <v>No</v>
      </c>
      <c r="J1771" t="str">
        <f>VLOOKUP(A1771,Medical_Examinations[],9,FALSE)</f>
        <v>Underweight</v>
      </c>
      <c r="K1771" t="str">
        <f>VLOOKUP(A1771,Medical_Examinations[],10,FALSE)</f>
        <v>Diabetes</v>
      </c>
      <c r="M1771">
        <f>VLOOKUP(A1771,Hospitalisation_Details__2[],4,FALSE)</f>
        <v>4942.0600000000004</v>
      </c>
      <c r="N1771" t="str">
        <f>VLOOKUP(A1771,Hospitalisation_Details__2[],5,FALSE)</f>
        <v>tier - 2</v>
      </c>
      <c r="O1771" t="str">
        <f>VLOOKUP(A1771,Hospitalisation_Details__2[],6,FALSE)</f>
        <v>tier - 2</v>
      </c>
      <c r="P1771" t="str">
        <f>VLOOKUP(A1771,Hospitalisation_Details__2[],7,FALSE)</f>
        <v>R1013</v>
      </c>
    </row>
    <row r="1772" spans="1:16" x14ac:dyDescent="0.35">
      <c r="A1772" t="str">
        <v>Id1771</v>
      </c>
      <c r="B1772" t="str">
        <f>VLOOKUP(A1772,'Customer Names (2)'!A:B, 2,FALSE)</f>
        <v>Ms</v>
      </c>
      <c r="C1772">
        <f>VLOOKUP(A1772,Medical_Examinations[],2,FALSE)</f>
        <v>25.8</v>
      </c>
      <c r="D1772">
        <f>VLOOKUP(A1772,Medical_Examinations[],3,FALSE)</f>
        <v>5.29</v>
      </c>
      <c r="E1772" t="str">
        <f>VLOOKUP(A1772,Medical_Examinations[],4,FALSE)</f>
        <v>No</v>
      </c>
      <c r="F1772" t="str">
        <f>VLOOKUP(A1772,Medical_Examinations[],5,FALSE)</f>
        <v>No</v>
      </c>
      <c r="G1772" t="str">
        <f>VLOOKUP(A1772,Medical_Examinations[],6,FALSE)</f>
        <v>No</v>
      </c>
      <c r="H1772">
        <f>VLOOKUP(A1772,Medical_Examinations[],7,FALSE)</f>
        <v>0</v>
      </c>
      <c r="I1772" t="str">
        <f>VLOOKUP(A1772,Medical_Examinations[],8,FALSE)</f>
        <v>No</v>
      </c>
      <c r="J1772" t="str">
        <f>VLOOKUP(A1772,Medical_Examinations[],9,FALSE)</f>
        <v>Overweight</v>
      </c>
      <c r="K1772" t="str">
        <f>VLOOKUP(A1772,Medical_Examinations[],10,FALSE)</f>
        <v>Normal</v>
      </c>
      <c r="M1772">
        <f>VLOOKUP(A1772,Hospitalisation_Details__2[],4,FALSE)</f>
        <v>4934.71</v>
      </c>
      <c r="N1772" t="str">
        <f>VLOOKUP(A1772,Hospitalisation_Details__2[],5,FALSE)</f>
        <v>tier - 2</v>
      </c>
      <c r="O1772" t="str">
        <f>VLOOKUP(A1772,Hospitalisation_Details__2[],6,FALSE)</f>
        <v>tier - 3</v>
      </c>
      <c r="P1772" t="str">
        <f>VLOOKUP(A1772,Hospitalisation_Details__2[],7,FALSE)</f>
        <v>R1011</v>
      </c>
    </row>
    <row r="1773" spans="1:16" x14ac:dyDescent="0.35">
      <c r="A1773" t="str">
        <v>Id1772</v>
      </c>
      <c r="B1773" t="str">
        <f>VLOOKUP(A1773,'Customer Names (2)'!A:B, 2,FALSE)</f>
        <v>Ms</v>
      </c>
      <c r="C1773">
        <f>VLOOKUP(A1773,Medical_Examinations[],2,FALSE)</f>
        <v>23.6</v>
      </c>
      <c r="D1773">
        <f>VLOOKUP(A1773,Medical_Examinations[],3,FALSE)</f>
        <v>4.33</v>
      </c>
      <c r="E1773" t="str">
        <f>VLOOKUP(A1773,Medical_Examinations[],4,FALSE)</f>
        <v>No</v>
      </c>
      <c r="F1773" t="str">
        <f>VLOOKUP(A1773,Medical_Examinations[],5,FALSE)</f>
        <v>No</v>
      </c>
      <c r="G1773" t="str">
        <f>VLOOKUP(A1773,Medical_Examinations[],6,FALSE)</f>
        <v>No</v>
      </c>
      <c r="H1773">
        <f>VLOOKUP(A1773,Medical_Examinations[],7,FALSE)</f>
        <v>0</v>
      </c>
      <c r="I1773" t="str">
        <f>VLOOKUP(A1773,Medical_Examinations[],8,FALSE)</f>
        <v>No</v>
      </c>
      <c r="J1773" t="str">
        <f>VLOOKUP(A1773,Medical_Examinations[],9,FALSE)</f>
        <v>Normal Weight</v>
      </c>
      <c r="K1773" t="str">
        <f>VLOOKUP(A1773,Medical_Examinations[],10,FALSE)</f>
        <v>Normal</v>
      </c>
      <c r="M1773">
        <f>VLOOKUP(A1773,Hospitalisation_Details__2[],4,FALSE)</f>
        <v>4931.6499999999996</v>
      </c>
      <c r="N1773" t="str">
        <f>VLOOKUP(A1773,Hospitalisation_Details__2[],5,FALSE)</f>
        <v>tier - 2</v>
      </c>
      <c r="O1773" t="str">
        <f>VLOOKUP(A1773,Hospitalisation_Details__2[],6,FALSE)</f>
        <v>tier - 3</v>
      </c>
      <c r="P1773" t="str">
        <f>VLOOKUP(A1773,Hospitalisation_Details__2[],7,FALSE)</f>
        <v>R1011</v>
      </c>
    </row>
    <row r="1774" spans="1:16" x14ac:dyDescent="0.35">
      <c r="A1774" t="str">
        <v>Id1773</v>
      </c>
      <c r="B1774" t="str">
        <f>VLOOKUP(A1774,'Customer Names (2)'!A:B, 2,FALSE)</f>
        <v>Ms</v>
      </c>
      <c r="C1774">
        <f>VLOOKUP(A1774,Medical_Examinations[],2,FALSE)</f>
        <v>32.11</v>
      </c>
      <c r="D1774">
        <f>VLOOKUP(A1774,Medical_Examinations[],3,FALSE)</f>
        <v>6.24</v>
      </c>
      <c r="E1774" t="str">
        <f>VLOOKUP(A1774,Medical_Examinations[],4,FALSE)</f>
        <v>No</v>
      </c>
      <c r="F1774" t="str">
        <f>VLOOKUP(A1774,Medical_Examinations[],5,FALSE)</f>
        <v>No</v>
      </c>
      <c r="G1774" t="str">
        <f>VLOOKUP(A1774,Medical_Examinations[],6,FALSE)</f>
        <v>Yes</v>
      </c>
      <c r="H1774">
        <f>VLOOKUP(A1774,Medical_Examinations[],7,FALSE)</f>
        <v>1</v>
      </c>
      <c r="I1774" t="str">
        <f>VLOOKUP(A1774,Medical_Examinations[],8,FALSE)</f>
        <v>No</v>
      </c>
      <c r="J1774" t="str">
        <f>VLOOKUP(A1774,Medical_Examinations[],9,FALSE)</f>
        <v>Obesity</v>
      </c>
      <c r="K1774" t="str">
        <f>VLOOKUP(A1774,Medical_Examinations[],10,FALSE)</f>
        <v>Prediabetes</v>
      </c>
      <c r="M1774">
        <f>VLOOKUP(A1774,Hospitalisation_Details__2[],4,FALSE)</f>
        <v>4922.92</v>
      </c>
      <c r="N1774" t="str">
        <f>VLOOKUP(A1774,Hospitalisation_Details__2[],5,FALSE)</f>
        <v>tier - 2</v>
      </c>
      <c r="O1774" t="str">
        <f>VLOOKUP(A1774,Hospitalisation_Details__2[],6,FALSE)</f>
        <v>tier - 2</v>
      </c>
      <c r="P1774" t="str">
        <f>VLOOKUP(A1774,Hospitalisation_Details__2[],7,FALSE)</f>
        <v>R1012</v>
      </c>
    </row>
    <row r="1775" spans="1:16" x14ac:dyDescent="0.35">
      <c r="A1775" t="str">
        <v>Id1774</v>
      </c>
      <c r="B1775" t="str">
        <f>VLOOKUP(A1775,'Customer Names (2)'!A:B, 2,FALSE)</f>
        <v>Mr</v>
      </c>
      <c r="C1775">
        <f>VLOOKUP(A1775,Medical_Examinations[],2,FALSE)</f>
        <v>30.114999999999998</v>
      </c>
      <c r="D1775">
        <f>VLOOKUP(A1775,Medical_Examinations[],3,FALSE)</f>
        <v>11.61</v>
      </c>
      <c r="E1775" t="str">
        <f>VLOOKUP(A1775,Medical_Examinations[],4,FALSE)</f>
        <v>No</v>
      </c>
      <c r="F1775" t="str">
        <f>VLOOKUP(A1775,Medical_Examinations[],5,FALSE)</f>
        <v>No</v>
      </c>
      <c r="G1775" t="str">
        <f>VLOOKUP(A1775,Medical_Examinations[],6,FALSE)</f>
        <v>No</v>
      </c>
      <c r="H1775">
        <f>VLOOKUP(A1775,Medical_Examinations[],7,FALSE)</f>
        <v>0</v>
      </c>
      <c r="I1775" t="str">
        <f>VLOOKUP(A1775,Medical_Examinations[],8,FALSE)</f>
        <v>No</v>
      </c>
      <c r="J1775" t="str">
        <f>VLOOKUP(A1775,Medical_Examinations[],9,FALSE)</f>
        <v>Obesity</v>
      </c>
      <c r="K1775" t="str">
        <f>VLOOKUP(A1775,Medical_Examinations[],10,FALSE)</f>
        <v>Diabetes</v>
      </c>
      <c r="M1775">
        <f>VLOOKUP(A1775,Hospitalisation_Details__2[],4,FALSE)</f>
        <v>4915.0600000000004</v>
      </c>
      <c r="N1775" t="str">
        <f>VLOOKUP(A1775,Hospitalisation_Details__2[],5,FALSE)</f>
        <v>tier - 2</v>
      </c>
      <c r="O1775" t="str">
        <f>VLOOKUP(A1775,Hospitalisation_Details__2[],6,FALSE)</f>
        <v>tier - 1</v>
      </c>
      <c r="P1775" t="str">
        <f>VLOOKUP(A1775,Hospitalisation_Details__2[],7,FALSE)</f>
        <v>R1017</v>
      </c>
    </row>
    <row r="1776" spans="1:16" x14ac:dyDescent="0.35">
      <c r="A1776" t="str">
        <v>Id1775</v>
      </c>
      <c r="B1776" t="str">
        <f>VLOOKUP(A1776,'Customer Names (2)'!A:B, 2,FALSE)</f>
        <v>Ms</v>
      </c>
      <c r="C1776">
        <f>VLOOKUP(A1776,Medical_Examinations[],2,FALSE)</f>
        <v>20.28</v>
      </c>
      <c r="D1776">
        <f>VLOOKUP(A1776,Medical_Examinations[],3,FALSE)</f>
        <v>11.07</v>
      </c>
      <c r="E1776" t="str">
        <f>VLOOKUP(A1776,Medical_Examinations[],4,FALSE)</f>
        <v>Yes</v>
      </c>
      <c r="F1776" t="str">
        <f>VLOOKUP(A1776,Medical_Examinations[],5,FALSE)</f>
        <v>No</v>
      </c>
      <c r="G1776" t="str">
        <f>VLOOKUP(A1776,Medical_Examinations[],6,FALSE)</f>
        <v>No</v>
      </c>
      <c r="H1776">
        <f>VLOOKUP(A1776,Medical_Examinations[],7,FALSE)</f>
        <v>0</v>
      </c>
      <c r="I1776" t="str">
        <f>VLOOKUP(A1776,Medical_Examinations[],8,FALSE)</f>
        <v>No</v>
      </c>
      <c r="J1776" t="str">
        <f>VLOOKUP(A1776,Medical_Examinations[],9,FALSE)</f>
        <v>Normal Weight</v>
      </c>
      <c r="K1776" t="str">
        <f>VLOOKUP(A1776,Medical_Examinations[],10,FALSE)</f>
        <v>Diabetes</v>
      </c>
      <c r="M1776">
        <f>VLOOKUP(A1776,Hospitalisation_Details__2[],4,FALSE)</f>
        <v>4911.8900000000003</v>
      </c>
      <c r="N1776" t="str">
        <f>VLOOKUP(A1776,Hospitalisation_Details__2[],5,FALSE)</f>
        <v>tier - 2</v>
      </c>
      <c r="O1776" t="str">
        <f>VLOOKUP(A1776,Hospitalisation_Details__2[],6,FALSE)</f>
        <v>tier - 3</v>
      </c>
      <c r="P1776" t="str">
        <f>VLOOKUP(A1776,Hospitalisation_Details__2[],7,FALSE)</f>
        <v>R1013</v>
      </c>
    </row>
    <row r="1777" spans="1:16" x14ac:dyDescent="0.35">
      <c r="A1777" t="str">
        <v>Id1776</v>
      </c>
      <c r="B1777" t="str">
        <f>VLOOKUP(A1777,'Customer Names (2)'!A:B, 2,FALSE)</f>
        <v>Ms</v>
      </c>
      <c r="C1777">
        <f>VLOOKUP(A1777,Medical_Examinations[],2,FALSE)</f>
        <v>20.234999999999999</v>
      </c>
      <c r="D1777">
        <f>VLOOKUP(A1777,Medical_Examinations[],3,FALSE)</f>
        <v>5.19</v>
      </c>
      <c r="E1777" t="str">
        <f>VLOOKUP(A1777,Medical_Examinations[],4,FALSE)</f>
        <v>No</v>
      </c>
      <c r="F1777" t="str">
        <f>VLOOKUP(A1777,Medical_Examinations[],5,FALSE)</f>
        <v>No</v>
      </c>
      <c r="G1777" t="str">
        <f>VLOOKUP(A1777,Medical_Examinations[],6,FALSE)</f>
        <v>Yes</v>
      </c>
      <c r="H1777">
        <f>VLOOKUP(A1777,Medical_Examinations[],7,FALSE)</f>
        <v>1</v>
      </c>
      <c r="I1777" t="str">
        <f>VLOOKUP(A1777,Medical_Examinations[],8,FALSE)</f>
        <v>No</v>
      </c>
      <c r="J1777" t="str">
        <f>VLOOKUP(A1777,Medical_Examinations[],9,FALSE)</f>
        <v>Normal Weight</v>
      </c>
      <c r="K1777" t="str">
        <f>VLOOKUP(A1777,Medical_Examinations[],10,FALSE)</f>
        <v>Normal</v>
      </c>
      <c r="M1777">
        <f>VLOOKUP(A1777,Hospitalisation_Details__2[],4,FALSE)</f>
        <v>4906.41</v>
      </c>
      <c r="N1777" t="str">
        <f>VLOOKUP(A1777,Hospitalisation_Details__2[],5,FALSE)</f>
        <v>tier - 2</v>
      </c>
      <c r="O1777" t="str">
        <f>VLOOKUP(A1777,Hospitalisation_Details__2[],6,FALSE)</f>
        <v>tier - 1</v>
      </c>
      <c r="P1777" t="str">
        <f>VLOOKUP(A1777,Hospitalisation_Details__2[],7,FALSE)</f>
        <v>R1012</v>
      </c>
    </row>
    <row r="1778" spans="1:16" x14ac:dyDescent="0.35">
      <c r="A1778" t="str">
        <v>Id1777</v>
      </c>
      <c r="B1778" t="str">
        <f>VLOOKUP(A1778,'Customer Names (2)'!A:B, 2,FALSE)</f>
        <v>Mr</v>
      </c>
      <c r="C1778">
        <f>VLOOKUP(A1778,Medical_Examinations[],2,FALSE)</f>
        <v>25.27</v>
      </c>
      <c r="D1778">
        <f>VLOOKUP(A1778,Medical_Examinations[],3,FALSE)</f>
        <v>5.7</v>
      </c>
      <c r="E1778" t="str">
        <f>VLOOKUP(A1778,Medical_Examinations[],4,FALSE)</f>
        <v>Yes</v>
      </c>
      <c r="F1778" t="str">
        <f>VLOOKUP(A1778,Medical_Examinations[],5,FALSE)</f>
        <v>No</v>
      </c>
      <c r="G1778" t="str">
        <f>VLOOKUP(A1778,Medical_Examinations[],6,FALSE)</f>
        <v>No</v>
      </c>
      <c r="H1778">
        <f>VLOOKUP(A1778,Medical_Examinations[],7,FALSE)</f>
        <v>1</v>
      </c>
      <c r="I1778" t="str">
        <f>VLOOKUP(A1778,Medical_Examinations[],8,FALSE)</f>
        <v>No</v>
      </c>
      <c r="J1778" t="str">
        <f>VLOOKUP(A1778,Medical_Examinations[],9,FALSE)</f>
        <v>Overweight</v>
      </c>
      <c r="K1778" t="str">
        <f>VLOOKUP(A1778,Medical_Examinations[],10,FALSE)</f>
        <v>Prediabetes</v>
      </c>
      <c r="M1778">
        <f>VLOOKUP(A1778,Hospitalisation_Details__2[],4,FALSE)</f>
        <v>4894.75</v>
      </c>
      <c r="N1778" t="str">
        <f>VLOOKUP(A1778,Hospitalisation_Details__2[],5,FALSE)</f>
        <v>tier - 3</v>
      </c>
      <c r="O1778" t="str">
        <f>VLOOKUP(A1778,Hospitalisation_Details__2[],6,FALSE)</f>
        <v>tier - 3</v>
      </c>
      <c r="P1778" t="str">
        <f>VLOOKUP(A1778,Hospitalisation_Details__2[],7,FALSE)</f>
        <v>R1012</v>
      </c>
    </row>
    <row r="1779" spans="1:16" x14ac:dyDescent="0.35">
      <c r="A1779" t="str">
        <v>Id1778</v>
      </c>
      <c r="B1779" t="str">
        <f>VLOOKUP(A1779,'Customer Names (2)'!A:B, 2,FALSE)</f>
        <v>Ms</v>
      </c>
      <c r="C1779">
        <f>VLOOKUP(A1779,Medical_Examinations[],2,FALSE)</f>
        <v>24.24</v>
      </c>
      <c r="D1779">
        <f>VLOOKUP(A1779,Medical_Examinations[],3,FALSE)</f>
        <v>6.15</v>
      </c>
      <c r="E1779" t="str">
        <f>VLOOKUP(A1779,Medical_Examinations[],4,FALSE)</f>
        <v>No</v>
      </c>
      <c r="F1779" t="str">
        <f>VLOOKUP(A1779,Medical_Examinations[],5,FALSE)</f>
        <v>No</v>
      </c>
      <c r="G1779" t="str">
        <f>VLOOKUP(A1779,Medical_Examinations[],6,FALSE)</f>
        <v>No</v>
      </c>
      <c r="H1779">
        <f>VLOOKUP(A1779,Medical_Examinations[],7,FALSE)</f>
        <v>0</v>
      </c>
      <c r="I1779" t="str">
        <f>VLOOKUP(A1779,Medical_Examinations[],8,FALSE)</f>
        <v>No</v>
      </c>
      <c r="J1779" t="str">
        <f>VLOOKUP(A1779,Medical_Examinations[],9,FALSE)</f>
        <v>Normal Weight</v>
      </c>
      <c r="K1779" t="str">
        <f>VLOOKUP(A1779,Medical_Examinations[],10,FALSE)</f>
        <v>Prediabetes</v>
      </c>
      <c r="M1779">
        <f>VLOOKUP(A1779,Hospitalisation_Details__2[],4,FALSE)</f>
        <v>4894.3900000000003</v>
      </c>
      <c r="N1779" t="str">
        <f>VLOOKUP(A1779,Hospitalisation_Details__2[],5,FALSE)</f>
        <v>tier - 2</v>
      </c>
      <c r="O1779" t="str">
        <f>VLOOKUP(A1779,Hospitalisation_Details__2[],6,FALSE)</f>
        <v>tier - 3</v>
      </c>
      <c r="P1779" t="str">
        <f>VLOOKUP(A1779,Hospitalisation_Details__2[],7,FALSE)</f>
        <v>R1013</v>
      </c>
    </row>
    <row r="1780" spans="1:16" x14ac:dyDescent="0.35">
      <c r="A1780" t="str">
        <v>Id1779</v>
      </c>
      <c r="B1780" t="str">
        <f>VLOOKUP(A1780,'Customer Names (2)'!A:B, 2,FALSE)</f>
        <v>Mr</v>
      </c>
      <c r="C1780">
        <f>VLOOKUP(A1780,Medical_Examinations[],2,FALSE)</f>
        <v>35.75</v>
      </c>
      <c r="D1780">
        <f>VLOOKUP(A1780,Medical_Examinations[],3,FALSE)</f>
        <v>5.07</v>
      </c>
      <c r="E1780" t="str">
        <f>VLOOKUP(A1780,Medical_Examinations[],4,FALSE)</f>
        <v>No</v>
      </c>
      <c r="F1780" t="str">
        <f>VLOOKUP(A1780,Medical_Examinations[],5,FALSE)</f>
        <v>No</v>
      </c>
      <c r="G1780" t="str">
        <f>VLOOKUP(A1780,Medical_Examinations[],6,FALSE)</f>
        <v>No</v>
      </c>
      <c r="H1780">
        <f>VLOOKUP(A1780,Medical_Examinations[],7,FALSE)</f>
        <v>0</v>
      </c>
      <c r="I1780" t="str">
        <f>VLOOKUP(A1780,Medical_Examinations[],8,FALSE)</f>
        <v>No</v>
      </c>
      <c r="J1780" t="str">
        <f>VLOOKUP(A1780,Medical_Examinations[],9,FALSE)</f>
        <v>Obesity</v>
      </c>
      <c r="K1780" t="str">
        <f>VLOOKUP(A1780,Medical_Examinations[],10,FALSE)</f>
        <v>Normal</v>
      </c>
      <c r="M1780">
        <f>VLOOKUP(A1780,Hospitalisation_Details__2[],4,FALSE)</f>
        <v>4890</v>
      </c>
      <c r="N1780" t="str">
        <f>VLOOKUP(A1780,Hospitalisation_Details__2[],5,FALSE)</f>
        <v>tier - 3</v>
      </c>
      <c r="O1780" t="str">
        <f>VLOOKUP(A1780,Hospitalisation_Details__2[],6,FALSE)</f>
        <v>tier - 2</v>
      </c>
      <c r="P1780" t="str">
        <f>VLOOKUP(A1780,Hospitalisation_Details__2[],7,FALSE)</f>
        <v>R1013</v>
      </c>
    </row>
    <row r="1781" spans="1:16" x14ac:dyDescent="0.35">
      <c r="A1781" t="str">
        <v>Id1780</v>
      </c>
      <c r="B1781" t="str">
        <f>VLOOKUP(A1781,'Customer Names (2)'!A:B, 2,FALSE)</f>
        <v>Ms</v>
      </c>
      <c r="C1781">
        <f>VLOOKUP(A1781,Medical_Examinations[],2,FALSE)</f>
        <v>29.92</v>
      </c>
      <c r="D1781">
        <f>VLOOKUP(A1781,Medical_Examinations[],3,FALSE)</f>
        <v>10.97</v>
      </c>
      <c r="E1781" t="str">
        <f>VLOOKUP(A1781,Medical_Examinations[],4,FALSE)</f>
        <v>Yes</v>
      </c>
      <c r="F1781" t="str">
        <f>VLOOKUP(A1781,Medical_Examinations[],5,FALSE)</f>
        <v>No</v>
      </c>
      <c r="G1781" t="str">
        <f>VLOOKUP(A1781,Medical_Examinations[],6,FALSE)</f>
        <v>No</v>
      </c>
      <c r="H1781">
        <f>VLOOKUP(A1781,Medical_Examinations[],7,FALSE)</f>
        <v>1</v>
      </c>
      <c r="I1781" t="str">
        <f>VLOOKUP(A1781,Medical_Examinations[],8,FALSE)</f>
        <v>No</v>
      </c>
      <c r="J1781" t="str">
        <f>VLOOKUP(A1781,Medical_Examinations[],9,FALSE)</f>
        <v>Overweight</v>
      </c>
      <c r="K1781" t="str">
        <f>VLOOKUP(A1781,Medical_Examinations[],10,FALSE)</f>
        <v>Diabetes</v>
      </c>
      <c r="M1781">
        <f>VLOOKUP(A1781,Hospitalisation_Details__2[],4,FALSE)</f>
        <v>4889.04</v>
      </c>
      <c r="N1781" t="str">
        <f>VLOOKUP(A1781,Hospitalisation_Details__2[],5,FALSE)</f>
        <v>tier - 2</v>
      </c>
      <c r="O1781" t="str">
        <f>VLOOKUP(A1781,Hospitalisation_Details__2[],6,FALSE)</f>
        <v>tier - 1</v>
      </c>
      <c r="P1781" t="str">
        <f>VLOOKUP(A1781,Hospitalisation_Details__2[],7,FALSE)</f>
        <v>R1013</v>
      </c>
    </row>
    <row r="1782" spans="1:16" x14ac:dyDescent="0.35">
      <c r="A1782" t="str">
        <v>Id1781</v>
      </c>
      <c r="B1782" t="str">
        <f>VLOOKUP(A1782,'Customer Names (2)'!A:B, 2,FALSE)</f>
        <v>Ms</v>
      </c>
      <c r="C1782">
        <f>VLOOKUP(A1782,Medical_Examinations[],2,FALSE)</f>
        <v>26.2</v>
      </c>
      <c r="D1782">
        <f>VLOOKUP(A1782,Medical_Examinations[],3,FALSE)</f>
        <v>10.93</v>
      </c>
      <c r="E1782" t="str">
        <f>VLOOKUP(A1782,Medical_Examinations[],4,FALSE)</f>
        <v>Yes</v>
      </c>
      <c r="F1782" t="str">
        <f>VLOOKUP(A1782,Medical_Examinations[],5,FALSE)</f>
        <v>No</v>
      </c>
      <c r="G1782" t="str">
        <f>VLOOKUP(A1782,Medical_Examinations[],6,FALSE)</f>
        <v>No</v>
      </c>
      <c r="H1782">
        <f>VLOOKUP(A1782,Medical_Examinations[],7,FALSE)</f>
        <v>1</v>
      </c>
      <c r="I1782" t="str">
        <f>VLOOKUP(A1782,Medical_Examinations[],8,FALSE)</f>
        <v>No</v>
      </c>
      <c r="J1782" t="str">
        <f>VLOOKUP(A1782,Medical_Examinations[],9,FALSE)</f>
        <v>Overweight</v>
      </c>
      <c r="K1782" t="str">
        <f>VLOOKUP(A1782,Medical_Examinations[],10,FALSE)</f>
        <v>Diabetes</v>
      </c>
      <c r="M1782">
        <f>VLOOKUP(A1782,Hospitalisation_Details__2[],4,FALSE)</f>
        <v>4883.87</v>
      </c>
      <c r="N1782" t="str">
        <f>VLOOKUP(A1782,Hospitalisation_Details__2[],5,FALSE)</f>
        <v>tier - 2</v>
      </c>
      <c r="O1782" t="str">
        <f>VLOOKUP(A1782,Hospitalisation_Details__2[],6,FALSE)</f>
        <v>tier - 1</v>
      </c>
      <c r="P1782" t="str">
        <f>VLOOKUP(A1782,Hospitalisation_Details__2[],7,FALSE)</f>
        <v>R1011</v>
      </c>
    </row>
    <row r="1783" spans="1:16" x14ac:dyDescent="0.35">
      <c r="A1783" t="str">
        <v>Id1782</v>
      </c>
      <c r="B1783" t="str">
        <f>VLOOKUP(A1783,'Customer Names (2)'!A:B, 2,FALSE)</f>
        <v>Mr</v>
      </c>
      <c r="C1783">
        <f>VLOOKUP(A1783,Medical_Examinations[],2,FALSE)</f>
        <v>26.695</v>
      </c>
      <c r="D1783">
        <f>VLOOKUP(A1783,Medical_Examinations[],3,FALSE)</f>
        <v>4.21</v>
      </c>
      <c r="E1783" t="str">
        <f>VLOOKUP(A1783,Medical_Examinations[],4,FALSE)</f>
        <v>Yes</v>
      </c>
      <c r="F1783" t="str">
        <f>VLOOKUP(A1783,Medical_Examinations[],5,FALSE)</f>
        <v>No</v>
      </c>
      <c r="G1783" t="str">
        <f>VLOOKUP(A1783,Medical_Examinations[],6,FALSE)</f>
        <v>Yes</v>
      </c>
      <c r="H1783">
        <f>VLOOKUP(A1783,Medical_Examinations[],7,FALSE)</f>
        <v>1</v>
      </c>
      <c r="I1783" t="str">
        <f>VLOOKUP(A1783,Medical_Examinations[],8,FALSE)</f>
        <v>No</v>
      </c>
      <c r="J1783" t="str">
        <f>VLOOKUP(A1783,Medical_Examinations[],9,FALSE)</f>
        <v>Overweight</v>
      </c>
      <c r="K1783" t="str">
        <f>VLOOKUP(A1783,Medical_Examinations[],10,FALSE)</f>
        <v>Normal</v>
      </c>
      <c r="M1783">
        <f>VLOOKUP(A1783,Hospitalisation_Details__2[],4,FALSE)</f>
        <v>4877.9799999999996</v>
      </c>
      <c r="N1783" t="str">
        <f>VLOOKUP(A1783,Hospitalisation_Details__2[],5,FALSE)</f>
        <v>tier - 2</v>
      </c>
      <c r="O1783" t="str">
        <f>VLOOKUP(A1783,Hospitalisation_Details__2[],6,FALSE)</f>
        <v>tier - 3</v>
      </c>
      <c r="P1783" t="str">
        <f>VLOOKUP(A1783,Hospitalisation_Details__2[],7,FALSE)</f>
        <v>R1012</v>
      </c>
    </row>
    <row r="1784" spans="1:16" x14ac:dyDescent="0.35">
      <c r="A1784" t="str">
        <v>Id1783</v>
      </c>
      <c r="B1784" t="str">
        <f>VLOOKUP(A1784,'Customer Names (2)'!A:B, 2,FALSE)</f>
        <v>Ms</v>
      </c>
      <c r="C1784">
        <f>VLOOKUP(A1784,Medical_Examinations[],2,FALSE)</f>
        <v>23.16</v>
      </c>
      <c r="D1784">
        <f>VLOOKUP(A1784,Medical_Examinations[],3,FALSE)</f>
        <v>5.5</v>
      </c>
      <c r="E1784" t="str">
        <f>VLOOKUP(A1784,Medical_Examinations[],4,FALSE)</f>
        <v>No</v>
      </c>
      <c r="F1784" t="str">
        <f>VLOOKUP(A1784,Medical_Examinations[],5,FALSE)</f>
        <v>No</v>
      </c>
      <c r="G1784" t="str">
        <f>VLOOKUP(A1784,Medical_Examinations[],6,FALSE)</f>
        <v>No</v>
      </c>
      <c r="H1784">
        <f>VLOOKUP(A1784,Medical_Examinations[],7,FALSE)</f>
        <v>0</v>
      </c>
      <c r="I1784" t="str">
        <f>VLOOKUP(A1784,Medical_Examinations[],8,FALSE)</f>
        <v>No</v>
      </c>
      <c r="J1784" t="str">
        <f>VLOOKUP(A1784,Medical_Examinations[],9,FALSE)</f>
        <v>Normal Weight</v>
      </c>
      <c r="K1784" t="str">
        <f>VLOOKUP(A1784,Medical_Examinations[],10,FALSE)</f>
        <v>Normal</v>
      </c>
      <c r="M1784">
        <f>VLOOKUP(A1784,Hospitalisation_Details__2[],4,FALSE)</f>
        <v>4859.8900000000003</v>
      </c>
      <c r="N1784" t="str">
        <f>VLOOKUP(A1784,Hospitalisation_Details__2[],5,FALSE)</f>
        <v>tier - 2</v>
      </c>
      <c r="O1784" t="str">
        <f>VLOOKUP(A1784,Hospitalisation_Details__2[],6,FALSE)</f>
        <v>tier - 3</v>
      </c>
      <c r="P1784" t="str">
        <f>VLOOKUP(A1784,Hospitalisation_Details__2[],7,FALSE)</f>
        <v>R1011</v>
      </c>
    </row>
    <row r="1785" spans="1:16" x14ac:dyDescent="0.35">
      <c r="A1785" t="str">
        <v>Id1784</v>
      </c>
      <c r="B1785" t="str">
        <f>VLOOKUP(A1785,'Customer Names (2)'!A:B, 2,FALSE)</f>
        <v>Mr</v>
      </c>
      <c r="C1785">
        <f>VLOOKUP(A1785,Medical_Examinations[],2,FALSE)</f>
        <v>32.585000000000001</v>
      </c>
      <c r="D1785">
        <f>VLOOKUP(A1785,Medical_Examinations[],3,FALSE)</f>
        <v>4.93</v>
      </c>
      <c r="E1785" t="str">
        <f>VLOOKUP(A1785,Medical_Examinations[],4,FALSE)</f>
        <v>Yes</v>
      </c>
      <c r="F1785" t="str">
        <f>VLOOKUP(A1785,Medical_Examinations[],5,FALSE)</f>
        <v>No</v>
      </c>
      <c r="G1785" t="str">
        <f>VLOOKUP(A1785,Medical_Examinations[],6,FALSE)</f>
        <v>No</v>
      </c>
      <c r="H1785">
        <f>VLOOKUP(A1785,Medical_Examinations[],7,FALSE)</f>
        <v>1</v>
      </c>
      <c r="I1785" t="str">
        <f>VLOOKUP(A1785,Medical_Examinations[],8,FALSE)</f>
        <v>No</v>
      </c>
      <c r="J1785" t="str">
        <f>VLOOKUP(A1785,Medical_Examinations[],9,FALSE)</f>
        <v>Obesity</v>
      </c>
      <c r="K1785" t="str">
        <f>VLOOKUP(A1785,Medical_Examinations[],10,FALSE)</f>
        <v>Normal</v>
      </c>
      <c r="M1785">
        <f>VLOOKUP(A1785,Hospitalisation_Details__2[],4,FALSE)</f>
        <v>4846.92</v>
      </c>
      <c r="N1785" t="str">
        <f>VLOOKUP(A1785,Hospitalisation_Details__2[],5,FALSE)</f>
        <v>tier - 2</v>
      </c>
      <c r="O1785" t="str">
        <f>VLOOKUP(A1785,Hospitalisation_Details__2[],6,FALSE)</f>
        <v>tier - 3</v>
      </c>
      <c r="P1785" t="str">
        <f>VLOOKUP(A1785,Hospitalisation_Details__2[],7,FALSE)</f>
        <v>R1017</v>
      </c>
    </row>
    <row r="1786" spans="1:16" x14ac:dyDescent="0.35">
      <c r="A1786" t="str">
        <v>Id1785</v>
      </c>
      <c r="B1786" t="str">
        <f>VLOOKUP(A1786,'Customer Names (2)'!A:B, 2,FALSE)</f>
        <v>Mr</v>
      </c>
      <c r="C1786">
        <f>VLOOKUP(A1786,Medical_Examinations[],2,FALSE)</f>
        <v>33.97</v>
      </c>
      <c r="D1786">
        <f>VLOOKUP(A1786,Medical_Examinations[],3,FALSE)</f>
        <v>5.6</v>
      </c>
      <c r="E1786" t="str">
        <f>VLOOKUP(A1786,Medical_Examinations[],4,FALSE)</f>
        <v>Yes</v>
      </c>
      <c r="F1786" t="str">
        <f>VLOOKUP(A1786,Medical_Examinations[],5,FALSE)</f>
        <v>No</v>
      </c>
      <c r="G1786" t="str">
        <f>VLOOKUP(A1786,Medical_Examinations[],6,FALSE)</f>
        <v>No</v>
      </c>
      <c r="H1786">
        <f>VLOOKUP(A1786,Medical_Examinations[],7,FALSE)</f>
        <v>0</v>
      </c>
      <c r="I1786" t="str">
        <f>VLOOKUP(A1786,Medical_Examinations[],8,FALSE)</f>
        <v>No</v>
      </c>
      <c r="J1786" t="str">
        <f>VLOOKUP(A1786,Medical_Examinations[],9,FALSE)</f>
        <v>Obesity</v>
      </c>
      <c r="K1786" t="str">
        <f>VLOOKUP(A1786,Medical_Examinations[],10,FALSE)</f>
        <v>Normal</v>
      </c>
      <c r="M1786">
        <f>VLOOKUP(A1786,Hospitalisation_Details__2[],4,FALSE)</f>
        <v>4846.53</v>
      </c>
      <c r="N1786" t="str">
        <f>VLOOKUP(A1786,Hospitalisation_Details__2[],5,FALSE)</f>
        <v>tier - 2</v>
      </c>
      <c r="O1786" t="str">
        <f>VLOOKUP(A1786,Hospitalisation_Details__2[],6,FALSE)</f>
        <v>tier - 3</v>
      </c>
      <c r="P1786" t="str">
        <f>VLOOKUP(A1786,Hospitalisation_Details__2[],7,FALSE)</f>
        <v>R1021</v>
      </c>
    </row>
    <row r="1787" spans="1:16" x14ac:dyDescent="0.35">
      <c r="A1787" t="str">
        <v>Id1786</v>
      </c>
      <c r="B1787" t="str">
        <f>VLOOKUP(A1787,'Customer Names (2)'!A:B, 2,FALSE)</f>
        <v>Mr</v>
      </c>
      <c r="C1787">
        <f>VLOOKUP(A1787,Medical_Examinations[],2,FALSE)</f>
        <v>16.57</v>
      </c>
      <c r="D1787">
        <f>VLOOKUP(A1787,Medical_Examinations[],3,FALSE)</f>
        <v>9.99</v>
      </c>
      <c r="E1787" t="str">
        <f>VLOOKUP(A1787,Medical_Examinations[],4,FALSE)</f>
        <v>No</v>
      </c>
      <c r="F1787" t="str">
        <f>VLOOKUP(A1787,Medical_Examinations[],5,FALSE)</f>
        <v>No</v>
      </c>
      <c r="G1787" t="str">
        <f>VLOOKUP(A1787,Medical_Examinations[],6,FALSE)</f>
        <v>No</v>
      </c>
      <c r="H1787">
        <f>VLOOKUP(A1787,Medical_Examinations[],7,FALSE)</f>
        <v>0</v>
      </c>
      <c r="I1787" t="str">
        <f>VLOOKUP(A1787,Medical_Examinations[],8,FALSE)</f>
        <v>No</v>
      </c>
      <c r="J1787" t="str">
        <f>VLOOKUP(A1787,Medical_Examinations[],9,FALSE)</f>
        <v>Underweight</v>
      </c>
      <c r="K1787" t="str">
        <f>VLOOKUP(A1787,Medical_Examinations[],10,FALSE)</f>
        <v>Diabetes</v>
      </c>
      <c r="M1787">
        <f>VLOOKUP(A1787,Hospitalisation_Details__2[],4,FALSE)</f>
        <v>4844.67</v>
      </c>
      <c r="N1787" t="str">
        <f>VLOOKUP(A1787,Hospitalisation_Details__2[],5,FALSE)</f>
        <v>tier - 2</v>
      </c>
      <c r="O1787" t="str">
        <f>VLOOKUP(A1787,Hospitalisation_Details__2[],6,FALSE)</f>
        <v>tier - 2</v>
      </c>
      <c r="P1787" t="str">
        <f>VLOOKUP(A1787,Hospitalisation_Details__2[],7,FALSE)</f>
        <v>R1013</v>
      </c>
    </row>
    <row r="1788" spans="1:16" x14ac:dyDescent="0.35">
      <c r="A1788" t="str">
        <v>Id1787</v>
      </c>
      <c r="B1788" t="str">
        <f>VLOOKUP(A1788,'Customer Names (2)'!A:B, 2,FALSE)</f>
        <v>Mr</v>
      </c>
      <c r="C1788">
        <f>VLOOKUP(A1788,Medical_Examinations[],2,FALSE)</f>
        <v>17.55</v>
      </c>
      <c r="D1788">
        <f>VLOOKUP(A1788,Medical_Examinations[],3,FALSE)</f>
        <v>5.93</v>
      </c>
      <c r="E1788" t="str">
        <f>VLOOKUP(A1788,Medical_Examinations[],4,FALSE)</f>
        <v>No</v>
      </c>
      <c r="F1788" t="str">
        <f>VLOOKUP(A1788,Medical_Examinations[],5,FALSE)</f>
        <v>No</v>
      </c>
      <c r="G1788" t="str">
        <f>VLOOKUP(A1788,Medical_Examinations[],6,FALSE)</f>
        <v>Yes</v>
      </c>
      <c r="H1788">
        <f>VLOOKUP(A1788,Medical_Examinations[],7,FALSE)</f>
        <v>1</v>
      </c>
      <c r="I1788" t="str">
        <f>VLOOKUP(A1788,Medical_Examinations[],8,FALSE)</f>
        <v>No</v>
      </c>
      <c r="J1788" t="str">
        <f>VLOOKUP(A1788,Medical_Examinations[],9,FALSE)</f>
        <v>Underweight</v>
      </c>
      <c r="K1788" t="str">
        <f>VLOOKUP(A1788,Medical_Examinations[],10,FALSE)</f>
        <v>Prediabetes</v>
      </c>
      <c r="M1788">
        <f>VLOOKUP(A1788,Hospitalisation_Details__2[],4,FALSE)</f>
        <v>4843.79</v>
      </c>
      <c r="N1788" t="str">
        <f>VLOOKUP(A1788,Hospitalisation_Details__2[],5,FALSE)</f>
        <v>tier - 2</v>
      </c>
      <c r="O1788" t="str">
        <f>VLOOKUP(A1788,Hospitalisation_Details__2[],6,FALSE)</f>
        <v>tier - 3</v>
      </c>
      <c r="P1788" t="str">
        <f>VLOOKUP(A1788,Hospitalisation_Details__2[],7,FALSE)</f>
        <v>R1013</v>
      </c>
    </row>
    <row r="1789" spans="1:16" x14ac:dyDescent="0.35">
      <c r="A1789" t="str">
        <v>Id1788</v>
      </c>
      <c r="B1789" t="str">
        <f>VLOOKUP(A1789,'Customer Names (2)'!A:B, 2,FALSE)</f>
        <v>Mr</v>
      </c>
      <c r="C1789">
        <f>VLOOKUP(A1789,Medical_Examinations[],2,FALSE)</f>
        <v>29.41</v>
      </c>
      <c r="D1789">
        <f>VLOOKUP(A1789,Medical_Examinations[],3,FALSE)</f>
        <v>6.29</v>
      </c>
      <c r="E1789" t="str">
        <f>VLOOKUP(A1789,Medical_Examinations[],4,FALSE)</f>
        <v>Yes</v>
      </c>
      <c r="F1789" t="str">
        <f>VLOOKUP(A1789,Medical_Examinations[],5,FALSE)</f>
        <v>No</v>
      </c>
      <c r="G1789" t="str">
        <f>VLOOKUP(A1789,Medical_Examinations[],6,FALSE)</f>
        <v>No</v>
      </c>
      <c r="H1789">
        <f>VLOOKUP(A1789,Medical_Examinations[],7,FALSE)</f>
        <v>1</v>
      </c>
      <c r="I1789" t="str">
        <f>VLOOKUP(A1789,Medical_Examinations[],8,FALSE)</f>
        <v>No</v>
      </c>
      <c r="J1789" t="str">
        <f>VLOOKUP(A1789,Medical_Examinations[],9,FALSE)</f>
        <v>Overweight</v>
      </c>
      <c r="K1789" t="str">
        <f>VLOOKUP(A1789,Medical_Examinations[],10,FALSE)</f>
        <v>Prediabetes</v>
      </c>
      <c r="M1789">
        <f>VLOOKUP(A1789,Hospitalisation_Details__2[],4,FALSE)</f>
        <v>4840.95</v>
      </c>
      <c r="N1789" t="str">
        <f>VLOOKUP(A1789,Hospitalisation_Details__2[],5,FALSE)</f>
        <v>tier - 2</v>
      </c>
      <c r="O1789" t="str">
        <f>VLOOKUP(A1789,Hospitalisation_Details__2[],6,FALSE)</f>
        <v>tier - 1</v>
      </c>
      <c r="P1789" t="str">
        <f>VLOOKUP(A1789,Hospitalisation_Details__2[],7,FALSE)</f>
        <v>R1021</v>
      </c>
    </row>
    <row r="1790" spans="1:16" x14ac:dyDescent="0.35">
      <c r="A1790" t="str">
        <v>Id1789</v>
      </c>
      <c r="B1790" t="str">
        <f>VLOOKUP(A1790,'Customer Names (2)'!A:B, 2,FALSE)</f>
        <v>Mr</v>
      </c>
      <c r="C1790">
        <f>VLOOKUP(A1790,Medical_Examinations[],2,FALSE)</f>
        <v>17.91</v>
      </c>
      <c r="D1790">
        <f>VLOOKUP(A1790,Medical_Examinations[],3,FALSE)</f>
        <v>5.65</v>
      </c>
      <c r="E1790" t="str">
        <f>VLOOKUP(A1790,Medical_Examinations[],4,FALSE)</f>
        <v>No</v>
      </c>
      <c r="F1790" t="str">
        <f>VLOOKUP(A1790,Medical_Examinations[],5,FALSE)</f>
        <v>No</v>
      </c>
      <c r="G1790" t="str">
        <f>VLOOKUP(A1790,Medical_Examinations[],6,FALSE)</f>
        <v>No</v>
      </c>
      <c r="H1790">
        <f>VLOOKUP(A1790,Medical_Examinations[],7,FALSE)</f>
        <v>1</v>
      </c>
      <c r="I1790" t="str">
        <f>VLOOKUP(A1790,Medical_Examinations[],8,FALSE)</f>
        <v>No</v>
      </c>
      <c r="J1790" t="str">
        <f>VLOOKUP(A1790,Medical_Examinations[],9,FALSE)</f>
        <v>Underweight</v>
      </c>
      <c r="K1790" t="str">
        <f>VLOOKUP(A1790,Medical_Examinations[],10,FALSE)</f>
        <v>Normal</v>
      </c>
      <c r="M1790">
        <f>VLOOKUP(A1790,Hospitalisation_Details__2[],4,FALSE)</f>
        <v>4839.18</v>
      </c>
      <c r="N1790" t="str">
        <f>VLOOKUP(A1790,Hospitalisation_Details__2[],5,FALSE)</f>
        <v>tier - 2</v>
      </c>
      <c r="O1790" t="str">
        <f>VLOOKUP(A1790,Hospitalisation_Details__2[],6,FALSE)</f>
        <v>tier - 1</v>
      </c>
      <c r="P1790" t="str">
        <f>VLOOKUP(A1790,Hospitalisation_Details__2[],7,FALSE)</f>
        <v>R1012</v>
      </c>
    </row>
    <row r="1791" spans="1:16" x14ac:dyDescent="0.35">
      <c r="A1791" t="str">
        <v>Id1790</v>
      </c>
      <c r="B1791" t="str">
        <f>VLOOKUP(A1791,'Customer Names (2)'!A:B, 2,FALSE)</f>
        <v>Mr</v>
      </c>
      <c r="C1791">
        <f>VLOOKUP(A1791,Medical_Examinations[],2,FALSE)</f>
        <v>31.57</v>
      </c>
      <c r="D1791">
        <f>VLOOKUP(A1791,Medical_Examinations[],3,FALSE)</f>
        <v>6.15</v>
      </c>
      <c r="E1791" t="str">
        <f>VLOOKUP(A1791,Medical_Examinations[],4,FALSE)</f>
        <v>No</v>
      </c>
      <c r="F1791" t="str">
        <f>VLOOKUP(A1791,Medical_Examinations[],5,FALSE)</f>
        <v>No</v>
      </c>
      <c r="G1791" t="str">
        <f>VLOOKUP(A1791,Medical_Examinations[],6,FALSE)</f>
        <v>No</v>
      </c>
      <c r="H1791">
        <f>VLOOKUP(A1791,Medical_Examinations[],7,FALSE)</f>
        <v>1</v>
      </c>
      <c r="I1791" t="str">
        <f>VLOOKUP(A1791,Medical_Examinations[],8,FALSE)</f>
        <v>No</v>
      </c>
      <c r="J1791" t="str">
        <f>VLOOKUP(A1791,Medical_Examinations[],9,FALSE)</f>
        <v>Obesity</v>
      </c>
      <c r="K1791" t="str">
        <f>VLOOKUP(A1791,Medical_Examinations[],10,FALSE)</f>
        <v>Prediabetes</v>
      </c>
      <c r="M1791">
        <f>VLOOKUP(A1791,Hospitalisation_Details__2[],4,FALSE)</f>
        <v>4837.58</v>
      </c>
      <c r="N1791" t="str">
        <f>VLOOKUP(A1791,Hospitalisation_Details__2[],5,FALSE)</f>
        <v>tier - 3</v>
      </c>
      <c r="O1791" t="str">
        <f>VLOOKUP(A1791,Hospitalisation_Details__2[],6,FALSE)</f>
        <v>tier - 2</v>
      </c>
      <c r="P1791" t="str">
        <f>VLOOKUP(A1791,Hospitalisation_Details__2[],7,FALSE)</f>
        <v>R1013</v>
      </c>
    </row>
    <row r="1792" spans="1:16" x14ac:dyDescent="0.35">
      <c r="A1792" t="str">
        <v>Id1791</v>
      </c>
      <c r="B1792" t="str">
        <f>VLOOKUP(A1792,'Customer Names (2)'!A:B, 2,FALSE)</f>
        <v>Mr</v>
      </c>
      <c r="C1792">
        <f>VLOOKUP(A1792,Medical_Examinations[],2,FALSE)</f>
        <v>33.18</v>
      </c>
      <c r="D1792">
        <f>VLOOKUP(A1792,Medical_Examinations[],3,FALSE)</f>
        <v>5.22</v>
      </c>
      <c r="E1792" t="str">
        <f>VLOOKUP(A1792,Medical_Examinations[],4,FALSE)</f>
        <v>No</v>
      </c>
      <c r="F1792" t="str">
        <f>VLOOKUP(A1792,Medical_Examinations[],5,FALSE)</f>
        <v>yes</v>
      </c>
      <c r="G1792" t="str">
        <f>VLOOKUP(A1792,Medical_Examinations[],6,FALSE)</f>
        <v>No</v>
      </c>
      <c r="H1792">
        <f>VLOOKUP(A1792,Medical_Examinations[],7,FALSE)</f>
        <v>1</v>
      </c>
      <c r="I1792" t="str">
        <f>VLOOKUP(A1792,Medical_Examinations[],8,FALSE)</f>
        <v>No</v>
      </c>
      <c r="J1792" t="str">
        <f>VLOOKUP(A1792,Medical_Examinations[],9,FALSE)</f>
        <v>Obesity</v>
      </c>
      <c r="K1792" t="str">
        <f>VLOOKUP(A1792,Medical_Examinations[],10,FALSE)</f>
        <v>Normal</v>
      </c>
      <c r="M1792">
        <f>VLOOKUP(A1792,Hospitalisation_Details__2[],4,FALSE)</f>
        <v>4835.43</v>
      </c>
      <c r="N1792" t="str">
        <f>VLOOKUP(A1792,Hospitalisation_Details__2[],5,FALSE)</f>
        <v>tier - 2</v>
      </c>
      <c r="O1792" t="str">
        <f>VLOOKUP(A1792,Hospitalisation_Details__2[],6,FALSE)</f>
        <v>tier - 2</v>
      </c>
      <c r="P1792" t="str">
        <f>VLOOKUP(A1792,Hospitalisation_Details__2[],7,FALSE)</f>
        <v>R1021</v>
      </c>
    </row>
    <row r="1793" spans="1:16" x14ac:dyDescent="0.35">
      <c r="A1793" t="str">
        <v>Id1792</v>
      </c>
      <c r="B1793" t="str">
        <f>VLOOKUP(A1793,'Customer Names (2)'!A:B, 2,FALSE)</f>
        <v>Ms</v>
      </c>
      <c r="C1793">
        <f>VLOOKUP(A1793,Medical_Examinations[],2,FALSE)</f>
        <v>37</v>
      </c>
      <c r="D1793">
        <f>VLOOKUP(A1793,Medical_Examinations[],3,FALSE)</f>
        <v>11.66</v>
      </c>
      <c r="E1793" t="str">
        <f>VLOOKUP(A1793,Medical_Examinations[],4,FALSE)</f>
        <v>No</v>
      </c>
      <c r="F1793" t="str">
        <f>VLOOKUP(A1793,Medical_Examinations[],5,FALSE)</f>
        <v>No</v>
      </c>
      <c r="G1793" t="str">
        <f>VLOOKUP(A1793,Medical_Examinations[],6,FALSE)</f>
        <v>No</v>
      </c>
      <c r="H1793">
        <f>VLOOKUP(A1793,Medical_Examinations[],7,FALSE)</f>
        <v>0</v>
      </c>
      <c r="I1793" t="str">
        <f>VLOOKUP(A1793,Medical_Examinations[],8,FALSE)</f>
        <v>No</v>
      </c>
      <c r="J1793" t="str">
        <f>VLOOKUP(A1793,Medical_Examinations[],9,FALSE)</f>
        <v>Obesity</v>
      </c>
      <c r="K1793" t="str">
        <f>VLOOKUP(A1793,Medical_Examinations[],10,FALSE)</f>
        <v>Diabetes</v>
      </c>
      <c r="M1793">
        <f>VLOOKUP(A1793,Hospitalisation_Details__2[],4,FALSE)</f>
        <v>4830.63</v>
      </c>
      <c r="N1793" t="str">
        <f>VLOOKUP(A1793,Hospitalisation_Details__2[],5,FALSE)</f>
        <v>tier - 2</v>
      </c>
      <c r="O1793" t="str">
        <f>VLOOKUP(A1793,Hospitalisation_Details__2[],6,FALSE)</f>
        <v>tier - 1</v>
      </c>
      <c r="P1793" t="str">
        <f>VLOOKUP(A1793,Hospitalisation_Details__2[],7,FALSE)</f>
        <v>R1011</v>
      </c>
    </row>
    <row r="1794" spans="1:16" x14ac:dyDescent="0.35">
      <c r="A1794" t="str">
        <v>Id1793</v>
      </c>
      <c r="B1794" t="str">
        <f>VLOOKUP(A1794,'Customer Names (2)'!A:B, 2,FALSE)</f>
        <v>Mr</v>
      </c>
      <c r="C1794">
        <f>VLOOKUP(A1794,Medical_Examinations[],2,FALSE)</f>
        <v>18.905000000000001</v>
      </c>
      <c r="D1794">
        <f>VLOOKUP(A1794,Medical_Examinations[],3,FALSE)</f>
        <v>4.91</v>
      </c>
      <c r="E1794" t="str">
        <f>VLOOKUP(A1794,Medical_Examinations[],4,FALSE)</f>
        <v>Yes</v>
      </c>
      <c r="F1794" t="str">
        <f>VLOOKUP(A1794,Medical_Examinations[],5,FALSE)</f>
        <v>No</v>
      </c>
      <c r="G1794" t="str">
        <f>VLOOKUP(A1794,Medical_Examinations[],6,FALSE)</f>
        <v>No</v>
      </c>
      <c r="H1794">
        <f>VLOOKUP(A1794,Medical_Examinations[],7,FALSE)</f>
        <v>1</v>
      </c>
      <c r="I1794" t="str">
        <f>VLOOKUP(A1794,Medical_Examinations[],8,FALSE)</f>
        <v>No</v>
      </c>
      <c r="J1794" t="str">
        <f>VLOOKUP(A1794,Medical_Examinations[],9,FALSE)</f>
        <v>Normal Weight</v>
      </c>
      <c r="K1794" t="str">
        <f>VLOOKUP(A1794,Medical_Examinations[],10,FALSE)</f>
        <v>Normal</v>
      </c>
      <c r="M1794">
        <f>VLOOKUP(A1794,Hospitalisation_Details__2[],4,FALSE)</f>
        <v>4827.8999999999996</v>
      </c>
      <c r="N1794" t="str">
        <f>VLOOKUP(A1794,Hospitalisation_Details__2[],5,FALSE)</f>
        <v>tier - 1</v>
      </c>
      <c r="O1794" t="str">
        <f>VLOOKUP(A1794,Hospitalisation_Details__2[],6,FALSE)</f>
        <v>tier - 2</v>
      </c>
      <c r="P1794" t="str">
        <f>VLOOKUP(A1794,Hospitalisation_Details__2[],7,FALSE)</f>
        <v>?</v>
      </c>
    </row>
    <row r="1795" spans="1:16" x14ac:dyDescent="0.35">
      <c r="A1795" t="str">
        <v>Id1794</v>
      </c>
      <c r="B1795" t="str">
        <f>VLOOKUP(A1795,'Customer Names (2)'!A:B, 2,FALSE)</f>
        <v>Ms</v>
      </c>
      <c r="C1795">
        <f>VLOOKUP(A1795,Medical_Examinations[],2,FALSE)</f>
        <v>20.03</v>
      </c>
      <c r="D1795">
        <f>VLOOKUP(A1795,Medical_Examinations[],3,FALSE)</f>
        <v>9.25</v>
      </c>
      <c r="E1795" t="str">
        <f>VLOOKUP(A1795,Medical_Examinations[],4,FALSE)</f>
        <v>Yes</v>
      </c>
      <c r="F1795" t="str">
        <f>VLOOKUP(A1795,Medical_Examinations[],5,FALSE)</f>
        <v>No</v>
      </c>
      <c r="G1795" t="str">
        <f>VLOOKUP(A1795,Medical_Examinations[],6,FALSE)</f>
        <v>No</v>
      </c>
      <c r="H1795">
        <f>VLOOKUP(A1795,Medical_Examinations[],7,FALSE)</f>
        <v>0</v>
      </c>
      <c r="I1795" t="str">
        <f>VLOOKUP(A1795,Medical_Examinations[],8,FALSE)</f>
        <v>No</v>
      </c>
      <c r="J1795" t="str">
        <f>VLOOKUP(A1795,Medical_Examinations[],9,FALSE)</f>
        <v>Normal Weight</v>
      </c>
      <c r="K1795" t="str">
        <f>VLOOKUP(A1795,Medical_Examinations[],10,FALSE)</f>
        <v>Diabetes</v>
      </c>
      <c r="M1795">
        <f>VLOOKUP(A1795,Hospitalisation_Details__2[],4,FALSE)</f>
        <v>4827.1000000000004</v>
      </c>
      <c r="N1795" t="str">
        <f>VLOOKUP(A1795,Hospitalisation_Details__2[],5,FALSE)</f>
        <v>tier - 2</v>
      </c>
      <c r="O1795" t="str">
        <f>VLOOKUP(A1795,Hospitalisation_Details__2[],6,FALSE)</f>
        <v>tier - 1</v>
      </c>
      <c r="P1795" t="str">
        <f>VLOOKUP(A1795,Hospitalisation_Details__2[],7,FALSE)</f>
        <v>R1013</v>
      </c>
    </row>
    <row r="1796" spans="1:16" x14ac:dyDescent="0.35">
      <c r="A1796" t="str">
        <v>Id1795</v>
      </c>
      <c r="B1796" t="str">
        <f>VLOOKUP(A1796,'Customer Names (2)'!A:B, 2,FALSE)</f>
        <v>Mr</v>
      </c>
      <c r="C1796">
        <f>VLOOKUP(A1796,Medical_Examinations[],2,FALSE)</f>
        <v>16.7</v>
      </c>
      <c r="D1796">
        <f>VLOOKUP(A1796,Medical_Examinations[],3,FALSE)</f>
        <v>11.48</v>
      </c>
      <c r="E1796" t="str">
        <f>VLOOKUP(A1796,Medical_Examinations[],4,FALSE)</f>
        <v>No</v>
      </c>
      <c r="F1796" t="str">
        <f>VLOOKUP(A1796,Medical_Examinations[],5,FALSE)</f>
        <v>No</v>
      </c>
      <c r="G1796" t="str">
        <f>VLOOKUP(A1796,Medical_Examinations[],6,FALSE)</f>
        <v>No</v>
      </c>
      <c r="H1796">
        <f>VLOOKUP(A1796,Medical_Examinations[],7,FALSE)</f>
        <v>0</v>
      </c>
      <c r="I1796" t="str">
        <f>VLOOKUP(A1796,Medical_Examinations[],8,FALSE)</f>
        <v>No</v>
      </c>
      <c r="J1796" t="str">
        <f>VLOOKUP(A1796,Medical_Examinations[],9,FALSE)</f>
        <v>Underweight</v>
      </c>
      <c r="K1796" t="str">
        <f>VLOOKUP(A1796,Medical_Examinations[],10,FALSE)</f>
        <v>Diabetes</v>
      </c>
      <c r="M1796">
        <f>VLOOKUP(A1796,Hospitalisation_Details__2[],4,FALSE)</f>
        <v>4812.34</v>
      </c>
      <c r="N1796" t="str">
        <f>VLOOKUP(A1796,Hospitalisation_Details__2[],5,FALSE)</f>
        <v>tier - 2</v>
      </c>
      <c r="O1796" t="str">
        <f>VLOOKUP(A1796,Hospitalisation_Details__2[],6,FALSE)</f>
        <v>tier - 3</v>
      </c>
      <c r="P1796" t="str">
        <f>VLOOKUP(A1796,Hospitalisation_Details__2[],7,FALSE)</f>
        <v>R1013</v>
      </c>
    </row>
    <row r="1797" spans="1:16" x14ac:dyDescent="0.35">
      <c r="A1797" t="str">
        <v>Id1796</v>
      </c>
      <c r="B1797" t="str">
        <f>VLOOKUP(A1797,'Customer Names (2)'!A:B, 2,FALSE)</f>
        <v>Ms</v>
      </c>
      <c r="C1797">
        <f>VLOOKUP(A1797,Medical_Examinations[],2,FALSE)</f>
        <v>39.82</v>
      </c>
      <c r="D1797">
        <f>VLOOKUP(A1797,Medical_Examinations[],3,FALSE)</f>
        <v>6.06</v>
      </c>
      <c r="E1797" t="str">
        <f>VLOOKUP(A1797,Medical_Examinations[],4,FALSE)</f>
        <v>No</v>
      </c>
      <c r="F1797" t="str">
        <f>VLOOKUP(A1797,Medical_Examinations[],5,FALSE)</f>
        <v>No</v>
      </c>
      <c r="G1797" t="str">
        <f>VLOOKUP(A1797,Medical_Examinations[],6,FALSE)</f>
        <v>No</v>
      </c>
      <c r="H1797">
        <f>VLOOKUP(A1797,Medical_Examinations[],7,FALSE)</f>
        <v>0</v>
      </c>
      <c r="I1797" t="str">
        <f>VLOOKUP(A1797,Medical_Examinations[],8,FALSE)</f>
        <v>No</v>
      </c>
      <c r="J1797" t="str">
        <f>VLOOKUP(A1797,Medical_Examinations[],9,FALSE)</f>
        <v>Obesity</v>
      </c>
      <c r="K1797" t="str">
        <f>VLOOKUP(A1797,Medical_Examinations[],10,FALSE)</f>
        <v>Prediabetes</v>
      </c>
      <c r="M1797">
        <f>VLOOKUP(A1797,Hospitalisation_Details__2[],4,FALSE)</f>
        <v>4795.66</v>
      </c>
      <c r="N1797" t="str">
        <f>VLOOKUP(A1797,Hospitalisation_Details__2[],5,FALSE)</f>
        <v>tier - 2</v>
      </c>
      <c r="O1797" t="str">
        <f>VLOOKUP(A1797,Hospitalisation_Details__2[],6,FALSE)</f>
        <v>tier - 1</v>
      </c>
      <c r="P1797" t="str">
        <f>VLOOKUP(A1797,Hospitalisation_Details__2[],7,FALSE)</f>
        <v>R1013</v>
      </c>
    </row>
    <row r="1798" spans="1:16" x14ac:dyDescent="0.35">
      <c r="A1798" t="str">
        <v>Id1797</v>
      </c>
      <c r="B1798" t="str">
        <f>VLOOKUP(A1798,'Customer Names (2)'!A:B, 2,FALSE)</f>
        <v>Mr</v>
      </c>
      <c r="C1798">
        <f>VLOOKUP(A1798,Medical_Examinations[],2,FALSE)</f>
        <v>22.04</v>
      </c>
      <c r="D1798">
        <f>VLOOKUP(A1798,Medical_Examinations[],3,FALSE)</f>
        <v>5.86</v>
      </c>
      <c r="E1798" t="str">
        <f>VLOOKUP(A1798,Medical_Examinations[],4,FALSE)</f>
        <v>No</v>
      </c>
      <c r="F1798" t="str">
        <f>VLOOKUP(A1798,Medical_Examinations[],5,FALSE)</f>
        <v>No</v>
      </c>
      <c r="G1798" t="str">
        <f>VLOOKUP(A1798,Medical_Examinations[],6,FALSE)</f>
        <v>No</v>
      </c>
      <c r="H1798">
        <f>VLOOKUP(A1798,Medical_Examinations[],7,FALSE)</f>
        <v>1</v>
      </c>
      <c r="I1798" t="str">
        <f>VLOOKUP(A1798,Medical_Examinations[],8,FALSE)</f>
        <v>No</v>
      </c>
      <c r="J1798" t="str">
        <f>VLOOKUP(A1798,Medical_Examinations[],9,FALSE)</f>
        <v>Normal Weight</v>
      </c>
      <c r="K1798" t="str">
        <f>VLOOKUP(A1798,Medical_Examinations[],10,FALSE)</f>
        <v>Prediabetes</v>
      </c>
      <c r="M1798">
        <f>VLOOKUP(A1798,Hospitalisation_Details__2[],4,FALSE)</f>
        <v>4787.42</v>
      </c>
      <c r="N1798" t="str">
        <f>VLOOKUP(A1798,Hospitalisation_Details__2[],5,FALSE)</f>
        <v>tier - 2</v>
      </c>
      <c r="O1798" t="str">
        <f>VLOOKUP(A1798,Hospitalisation_Details__2[],6,FALSE)</f>
        <v>tier - 3</v>
      </c>
      <c r="P1798" t="str">
        <f>VLOOKUP(A1798,Hospitalisation_Details__2[],7,FALSE)</f>
        <v>R1013</v>
      </c>
    </row>
    <row r="1799" spans="1:16" x14ac:dyDescent="0.35">
      <c r="A1799" t="str">
        <v>Id1798</v>
      </c>
      <c r="B1799" t="str">
        <f>VLOOKUP(A1799,'Customer Names (2)'!A:B, 2,FALSE)</f>
        <v>Ms</v>
      </c>
      <c r="C1799">
        <f>VLOOKUP(A1799,Medical_Examinations[],2,FALSE)</f>
        <v>28.27</v>
      </c>
      <c r="D1799">
        <f>VLOOKUP(A1799,Medical_Examinations[],3,FALSE)</f>
        <v>5.33</v>
      </c>
      <c r="E1799" t="str">
        <f>VLOOKUP(A1799,Medical_Examinations[],4,FALSE)</f>
        <v>No</v>
      </c>
      <c r="F1799" t="str">
        <f>VLOOKUP(A1799,Medical_Examinations[],5,FALSE)</f>
        <v>No</v>
      </c>
      <c r="G1799" t="str">
        <f>VLOOKUP(A1799,Medical_Examinations[],6,FALSE)</f>
        <v>No</v>
      </c>
      <c r="H1799">
        <f>VLOOKUP(A1799,Medical_Examinations[],7,FALSE)</f>
        <v>0</v>
      </c>
      <c r="I1799" t="str">
        <f>VLOOKUP(A1799,Medical_Examinations[],8,FALSE)</f>
        <v>No</v>
      </c>
      <c r="J1799" t="str">
        <f>VLOOKUP(A1799,Medical_Examinations[],9,FALSE)</f>
        <v>Overweight</v>
      </c>
      <c r="K1799" t="str">
        <f>VLOOKUP(A1799,Medical_Examinations[],10,FALSE)</f>
        <v>Normal</v>
      </c>
      <c r="M1799">
        <f>VLOOKUP(A1799,Hospitalisation_Details__2[],4,FALSE)</f>
        <v>4779.6000000000004</v>
      </c>
      <c r="N1799" t="str">
        <f>VLOOKUP(A1799,Hospitalisation_Details__2[],5,FALSE)</f>
        <v>tier - 2</v>
      </c>
      <c r="O1799" t="str">
        <f>VLOOKUP(A1799,Hospitalisation_Details__2[],6,FALSE)</f>
        <v>tier - 3</v>
      </c>
      <c r="P1799" t="str">
        <f>VLOOKUP(A1799,Hospitalisation_Details__2[],7,FALSE)</f>
        <v>R1013</v>
      </c>
    </row>
    <row r="1800" spans="1:16" x14ac:dyDescent="0.35">
      <c r="A1800" t="str">
        <v>Id1799</v>
      </c>
      <c r="B1800" t="str">
        <f>VLOOKUP(A1800,'Customer Names (2)'!A:B, 2,FALSE)</f>
        <v>Ms</v>
      </c>
      <c r="C1800">
        <f>VLOOKUP(A1800,Medical_Examinations[],2,FALSE)</f>
        <v>18.5</v>
      </c>
      <c r="D1800">
        <f>VLOOKUP(A1800,Medical_Examinations[],3,FALSE)</f>
        <v>5.33</v>
      </c>
      <c r="E1800" t="str">
        <f>VLOOKUP(A1800,Medical_Examinations[],4,FALSE)</f>
        <v>No</v>
      </c>
      <c r="F1800" t="str">
        <f>VLOOKUP(A1800,Medical_Examinations[],5,FALSE)</f>
        <v>No</v>
      </c>
      <c r="G1800" t="str">
        <f>VLOOKUP(A1800,Medical_Examinations[],6,FALSE)</f>
        <v>No</v>
      </c>
      <c r="H1800">
        <f>VLOOKUP(A1800,Medical_Examinations[],7,FALSE)</f>
        <v>0</v>
      </c>
      <c r="I1800" t="str">
        <f>VLOOKUP(A1800,Medical_Examinations[],8,FALSE)</f>
        <v>No</v>
      </c>
      <c r="J1800" t="str">
        <f>VLOOKUP(A1800,Medical_Examinations[],9,FALSE)</f>
        <v>Normal Weight</v>
      </c>
      <c r="K1800" t="str">
        <f>VLOOKUP(A1800,Medical_Examinations[],10,FALSE)</f>
        <v>Normal</v>
      </c>
      <c r="M1800">
        <f>VLOOKUP(A1800,Hospitalisation_Details__2[],4,FALSE)</f>
        <v>4766.0200000000004</v>
      </c>
      <c r="N1800" t="str">
        <f>VLOOKUP(A1800,Hospitalisation_Details__2[],5,FALSE)</f>
        <v>tier - 2</v>
      </c>
      <c r="O1800" t="str">
        <f>VLOOKUP(A1800,Hospitalisation_Details__2[],6,FALSE)</f>
        <v>tier - 3</v>
      </c>
      <c r="P1800" t="str">
        <f>VLOOKUP(A1800,Hospitalisation_Details__2[],7,FALSE)</f>
        <v>R1011</v>
      </c>
    </row>
    <row r="1801" spans="1:16" x14ac:dyDescent="0.35">
      <c r="A1801" t="str">
        <v>Id1800</v>
      </c>
      <c r="B1801" t="str">
        <f>VLOOKUP(A1801,'Customer Names (2)'!A:B, 2,FALSE)</f>
        <v>Mr</v>
      </c>
      <c r="C1801">
        <f>VLOOKUP(A1801,Medical_Examinations[],2,FALSE)</f>
        <v>38.6</v>
      </c>
      <c r="D1801">
        <f>VLOOKUP(A1801,Medical_Examinations[],3,FALSE)</f>
        <v>6.02</v>
      </c>
      <c r="E1801" t="str">
        <f>VLOOKUP(A1801,Medical_Examinations[],4,FALSE)</f>
        <v>No</v>
      </c>
      <c r="F1801" t="str">
        <f>VLOOKUP(A1801,Medical_Examinations[],5,FALSE)</f>
        <v>No</v>
      </c>
      <c r="G1801" t="str">
        <f>VLOOKUP(A1801,Medical_Examinations[],6,FALSE)</f>
        <v>No</v>
      </c>
      <c r="H1801">
        <f>VLOOKUP(A1801,Medical_Examinations[],7,FALSE)</f>
        <v>1</v>
      </c>
      <c r="I1801" t="str">
        <f>VLOOKUP(A1801,Medical_Examinations[],8,FALSE)</f>
        <v>No</v>
      </c>
      <c r="J1801" t="str">
        <f>VLOOKUP(A1801,Medical_Examinations[],9,FALSE)</f>
        <v>Obesity</v>
      </c>
      <c r="K1801" t="str">
        <f>VLOOKUP(A1801,Medical_Examinations[],10,FALSE)</f>
        <v>Prediabetes</v>
      </c>
      <c r="M1801">
        <f>VLOOKUP(A1801,Hospitalisation_Details__2[],4,FALSE)</f>
        <v>4762.33</v>
      </c>
      <c r="N1801" t="str">
        <f>VLOOKUP(A1801,Hospitalisation_Details__2[],5,FALSE)</f>
        <v>tier - 3</v>
      </c>
      <c r="O1801" t="str">
        <f>VLOOKUP(A1801,Hospitalisation_Details__2[],6,FALSE)</f>
        <v>tier - 3</v>
      </c>
      <c r="P1801" t="str">
        <f>VLOOKUP(A1801,Hospitalisation_Details__2[],7,FALSE)</f>
        <v>R1011</v>
      </c>
    </row>
    <row r="1802" spans="1:16" x14ac:dyDescent="0.35">
      <c r="A1802" t="str">
        <v>Id1801</v>
      </c>
      <c r="B1802" t="str">
        <f>VLOOKUP(A1802,'Customer Names (2)'!A:B, 2,FALSE)</f>
        <v>Ms</v>
      </c>
      <c r="C1802">
        <f>VLOOKUP(A1802,Medical_Examinations[],2,FALSE)</f>
        <v>43.12</v>
      </c>
      <c r="D1802">
        <f>VLOOKUP(A1802,Medical_Examinations[],3,FALSE)</f>
        <v>6.25</v>
      </c>
      <c r="E1802" t="str">
        <f>VLOOKUP(A1802,Medical_Examinations[],4,FALSE)</f>
        <v>No</v>
      </c>
      <c r="F1802" t="str">
        <f>VLOOKUP(A1802,Medical_Examinations[],5,FALSE)</f>
        <v>No</v>
      </c>
      <c r="G1802" t="str">
        <f>VLOOKUP(A1802,Medical_Examinations[],6,FALSE)</f>
        <v>No</v>
      </c>
      <c r="H1802">
        <f>VLOOKUP(A1802,Medical_Examinations[],7,FALSE)</f>
        <v>1</v>
      </c>
      <c r="I1802" t="str">
        <f>VLOOKUP(A1802,Medical_Examinations[],8,FALSE)</f>
        <v>No</v>
      </c>
      <c r="J1802" t="str">
        <f>VLOOKUP(A1802,Medical_Examinations[],9,FALSE)</f>
        <v>Obesity</v>
      </c>
      <c r="K1802" t="str">
        <f>VLOOKUP(A1802,Medical_Examinations[],10,FALSE)</f>
        <v>Prediabetes</v>
      </c>
      <c r="M1802">
        <f>VLOOKUP(A1802,Hospitalisation_Details__2[],4,FALSE)</f>
        <v>4753.6400000000003</v>
      </c>
      <c r="N1802" t="str">
        <f>VLOOKUP(A1802,Hospitalisation_Details__2[],5,FALSE)</f>
        <v>tier - 2</v>
      </c>
      <c r="O1802" t="str">
        <f>VLOOKUP(A1802,Hospitalisation_Details__2[],6,FALSE)</f>
        <v>tier - 3</v>
      </c>
      <c r="P1802" t="str">
        <f>VLOOKUP(A1802,Hospitalisation_Details__2[],7,FALSE)</f>
        <v>R1013</v>
      </c>
    </row>
    <row r="1803" spans="1:16" x14ac:dyDescent="0.35">
      <c r="A1803" t="str">
        <v>Id1802</v>
      </c>
      <c r="B1803" t="str">
        <f>VLOOKUP(A1803,'Customer Names (2)'!A:B, 2,FALSE)</f>
        <v>Mr</v>
      </c>
      <c r="C1803">
        <f>VLOOKUP(A1803,Medical_Examinations[],2,FALSE)</f>
        <v>30.5</v>
      </c>
      <c r="D1803">
        <f>VLOOKUP(A1803,Medical_Examinations[],3,FALSE)</f>
        <v>4.8099999999999996</v>
      </c>
      <c r="E1803" t="str">
        <f>VLOOKUP(A1803,Medical_Examinations[],4,FALSE)</f>
        <v>No</v>
      </c>
      <c r="F1803" t="str">
        <f>VLOOKUP(A1803,Medical_Examinations[],5,FALSE)</f>
        <v>No</v>
      </c>
      <c r="G1803" t="str">
        <f>VLOOKUP(A1803,Medical_Examinations[],6,FALSE)</f>
        <v>No</v>
      </c>
      <c r="H1803">
        <f>VLOOKUP(A1803,Medical_Examinations[],7,FALSE)</f>
        <v>1</v>
      </c>
      <c r="I1803" t="str">
        <f>VLOOKUP(A1803,Medical_Examinations[],8,FALSE)</f>
        <v>No</v>
      </c>
      <c r="J1803" t="str">
        <f>VLOOKUP(A1803,Medical_Examinations[],9,FALSE)</f>
        <v>Obesity</v>
      </c>
      <c r="K1803" t="str">
        <f>VLOOKUP(A1803,Medical_Examinations[],10,FALSE)</f>
        <v>Normal</v>
      </c>
      <c r="M1803">
        <f>VLOOKUP(A1803,Hospitalisation_Details__2[],4,FALSE)</f>
        <v>4751.07</v>
      </c>
      <c r="N1803" t="str">
        <f>VLOOKUP(A1803,Hospitalisation_Details__2[],5,FALSE)</f>
        <v>tier - 3</v>
      </c>
      <c r="O1803" t="str">
        <f>VLOOKUP(A1803,Hospitalisation_Details__2[],6,FALSE)</f>
        <v>tier - 1</v>
      </c>
      <c r="P1803" t="str">
        <f>VLOOKUP(A1803,Hospitalisation_Details__2[],7,FALSE)</f>
        <v>R1011</v>
      </c>
    </row>
    <row r="1804" spans="1:16" x14ac:dyDescent="0.35">
      <c r="A1804" t="str">
        <v>Id1803</v>
      </c>
      <c r="B1804" t="str">
        <f>VLOOKUP(A1804,'Customer Names (2)'!A:B, 2,FALSE)</f>
        <v>Mr</v>
      </c>
      <c r="C1804">
        <f>VLOOKUP(A1804,Medical_Examinations[],2,FALSE)</f>
        <v>27.61</v>
      </c>
      <c r="D1804">
        <f>VLOOKUP(A1804,Medical_Examinations[],3,FALSE)</f>
        <v>4.5999999999999996</v>
      </c>
      <c r="E1804" t="str">
        <f>VLOOKUP(A1804,Medical_Examinations[],4,FALSE)</f>
        <v>No</v>
      </c>
      <c r="F1804" t="str">
        <f>VLOOKUP(A1804,Medical_Examinations[],5,FALSE)</f>
        <v>No</v>
      </c>
      <c r="G1804" t="str">
        <f>VLOOKUP(A1804,Medical_Examinations[],6,FALSE)</f>
        <v>No</v>
      </c>
      <c r="H1804">
        <f>VLOOKUP(A1804,Medical_Examinations[],7,FALSE)</f>
        <v>1</v>
      </c>
      <c r="I1804" t="str">
        <f>VLOOKUP(A1804,Medical_Examinations[],8,FALSE)</f>
        <v>No</v>
      </c>
      <c r="J1804" t="str">
        <f>VLOOKUP(A1804,Medical_Examinations[],9,FALSE)</f>
        <v>Overweight</v>
      </c>
      <c r="K1804" t="str">
        <f>VLOOKUP(A1804,Medical_Examinations[],10,FALSE)</f>
        <v>Normal</v>
      </c>
      <c r="M1804">
        <f>VLOOKUP(A1804,Hospitalisation_Details__2[],4,FALSE)</f>
        <v>4747.05</v>
      </c>
      <c r="N1804" t="str">
        <f>VLOOKUP(A1804,Hospitalisation_Details__2[],5,FALSE)</f>
        <v>tier - 2</v>
      </c>
      <c r="O1804" t="str">
        <f>VLOOKUP(A1804,Hospitalisation_Details__2[],6,FALSE)</f>
        <v>tier - 2</v>
      </c>
      <c r="P1804" t="str">
        <f>VLOOKUP(A1804,Hospitalisation_Details__2[],7,FALSE)</f>
        <v>R1013</v>
      </c>
    </row>
    <row r="1805" spans="1:16" x14ac:dyDescent="0.35">
      <c r="A1805" t="str">
        <v>Id1804</v>
      </c>
      <c r="B1805" t="str">
        <f>VLOOKUP(A1805,'Customer Names (2)'!A:B, 2,FALSE)</f>
        <v>Mr</v>
      </c>
      <c r="C1805">
        <f>VLOOKUP(A1805,Medical_Examinations[],2,FALSE)</f>
        <v>27.1</v>
      </c>
      <c r="D1805">
        <f>VLOOKUP(A1805,Medical_Examinations[],3,FALSE)</f>
        <v>5.08</v>
      </c>
      <c r="E1805" t="str">
        <f>VLOOKUP(A1805,Medical_Examinations[],4,FALSE)</f>
        <v>No</v>
      </c>
      <c r="F1805" t="str">
        <f>VLOOKUP(A1805,Medical_Examinations[],5,FALSE)</f>
        <v>No</v>
      </c>
      <c r="G1805" t="str">
        <f>VLOOKUP(A1805,Medical_Examinations[],6,FALSE)</f>
        <v>No</v>
      </c>
      <c r="H1805">
        <f>VLOOKUP(A1805,Medical_Examinations[],7,FALSE)</f>
        <v>1</v>
      </c>
      <c r="I1805" t="str">
        <f>VLOOKUP(A1805,Medical_Examinations[],8,FALSE)</f>
        <v>No</v>
      </c>
      <c r="J1805" t="str">
        <f>VLOOKUP(A1805,Medical_Examinations[],9,FALSE)</f>
        <v>Overweight</v>
      </c>
      <c r="K1805" t="str">
        <f>VLOOKUP(A1805,Medical_Examinations[],10,FALSE)</f>
        <v>Normal</v>
      </c>
      <c r="M1805">
        <f>VLOOKUP(A1805,Hospitalisation_Details__2[],4,FALSE)</f>
        <v>4746.34</v>
      </c>
      <c r="N1805" t="str">
        <f>VLOOKUP(A1805,Hospitalisation_Details__2[],5,FALSE)</f>
        <v>tier - 2</v>
      </c>
      <c r="O1805" t="str">
        <f>VLOOKUP(A1805,Hospitalisation_Details__2[],6,FALSE)</f>
        <v>tier - 2</v>
      </c>
      <c r="P1805" t="str">
        <f>VLOOKUP(A1805,Hospitalisation_Details__2[],7,FALSE)</f>
        <v>R1011</v>
      </c>
    </row>
    <row r="1806" spans="1:16" x14ac:dyDescent="0.35">
      <c r="A1806" t="str">
        <v>Id1805</v>
      </c>
      <c r="B1806" t="str">
        <f>VLOOKUP(A1806,'Customer Names (2)'!A:B, 2,FALSE)</f>
        <v>Mr</v>
      </c>
      <c r="C1806">
        <f>VLOOKUP(A1806,Medical_Examinations[],2,FALSE)</f>
        <v>35.93</v>
      </c>
      <c r="D1806">
        <f>VLOOKUP(A1806,Medical_Examinations[],3,FALSE)</f>
        <v>5.43</v>
      </c>
      <c r="E1806" t="str">
        <f>VLOOKUP(A1806,Medical_Examinations[],4,FALSE)</f>
        <v>No</v>
      </c>
      <c r="F1806" t="str">
        <f>VLOOKUP(A1806,Medical_Examinations[],5,FALSE)</f>
        <v>yes</v>
      </c>
      <c r="G1806" t="str">
        <f>VLOOKUP(A1806,Medical_Examinations[],6,FALSE)</f>
        <v>No</v>
      </c>
      <c r="H1806">
        <f>VLOOKUP(A1806,Medical_Examinations[],7,FALSE)</f>
        <v>1</v>
      </c>
      <c r="I1806" t="str">
        <f>VLOOKUP(A1806,Medical_Examinations[],8,FALSE)</f>
        <v>No</v>
      </c>
      <c r="J1806" t="str">
        <f>VLOOKUP(A1806,Medical_Examinations[],9,FALSE)</f>
        <v>Obesity</v>
      </c>
      <c r="K1806" t="str">
        <f>VLOOKUP(A1806,Medical_Examinations[],10,FALSE)</f>
        <v>Normal</v>
      </c>
      <c r="M1806">
        <f>VLOOKUP(A1806,Hospitalisation_Details__2[],4,FALSE)</f>
        <v>4740.78</v>
      </c>
      <c r="N1806" t="str">
        <f>VLOOKUP(A1806,Hospitalisation_Details__2[],5,FALSE)</f>
        <v>tier - 2</v>
      </c>
      <c r="O1806" t="str">
        <f>VLOOKUP(A1806,Hospitalisation_Details__2[],6,FALSE)</f>
        <v>tier - 3</v>
      </c>
      <c r="P1806" t="str">
        <f>VLOOKUP(A1806,Hospitalisation_Details__2[],7,FALSE)</f>
        <v>R1021</v>
      </c>
    </row>
    <row r="1807" spans="1:16" x14ac:dyDescent="0.35">
      <c r="A1807" t="str">
        <v>Id1806</v>
      </c>
      <c r="B1807" t="str">
        <f>VLOOKUP(A1807,'Customer Names (2)'!A:B, 2,FALSE)</f>
        <v>Ms</v>
      </c>
      <c r="C1807">
        <f>VLOOKUP(A1807,Medical_Examinations[],2,FALSE)</f>
        <v>32.68</v>
      </c>
      <c r="D1807">
        <f>VLOOKUP(A1807,Medical_Examinations[],3,FALSE)</f>
        <v>5.44</v>
      </c>
      <c r="E1807" t="str">
        <f>VLOOKUP(A1807,Medical_Examinations[],4,FALSE)</f>
        <v>No</v>
      </c>
      <c r="F1807" t="str">
        <f>VLOOKUP(A1807,Medical_Examinations[],5,FALSE)</f>
        <v>No</v>
      </c>
      <c r="G1807" t="str">
        <f>VLOOKUP(A1807,Medical_Examinations[],6,FALSE)</f>
        <v>No</v>
      </c>
      <c r="H1807">
        <f>VLOOKUP(A1807,Medical_Examinations[],7,FALSE)</f>
        <v>0</v>
      </c>
      <c r="I1807" t="str">
        <f>VLOOKUP(A1807,Medical_Examinations[],8,FALSE)</f>
        <v>No</v>
      </c>
      <c r="J1807" t="str">
        <f>VLOOKUP(A1807,Medical_Examinations[],9,FALSE)</f>
        <v>Obesity</v>
      </c>
      <c r="K1807" t="str">
        <f>VLOOKUP(A1807,Medical_Examinations[],10,FALSE)</f>
        <v>Normal</v>
      </c>
      <c r="M1807">
        <f>VLOOKUP(A1807,Hospitalisation_Details__2[],4,FALSE)</f>
        <v>4738.2700000000004</v>
      </c>
      <c r="N1807" t="str">
        <f>VLOOKUP(A1807,Hospitalisation_Details__2[],5,FALSE)</f>
        <v>tier - 2</v>
      </c>
      <c r="O1807" t="str">
        <f>VLOOKUP(A1807,Hospitalisation_Details__2[],6,FALSE)</f>
        <v>tier - 3</v>
      </c>
      <c r="P1807" t="str">
        <f>VLOOKUP(A1807,Hospitalisation_Details__2[],7,FALSE)</f>
        <v>R1012</v>
      </c>
    </row>
    <row r="1808" spans="1:16" x14ac:dyDescent="0.35">
      <c r="A1808" t="str">
        <v>Id1807</v>
      </c>
      <c r="B1808" t="str">
        <f>VLOOKUP(A1808,'Customer Names (2)'!A:B, 2,FALSE)</f>
        <v>Ms</v>
      </c>
      <c r="C1808">
        <f>VLOOKUP(A1808,Medical_Examinations[],2,FALSE)</f>
        <v>20.74</v>
      </c>
      <c r="D1808">
        <f>VLOOKUP(A1808,Medical_Examinations[],3,FALSE)</f>
        <v>11.69</v>
      </c>
      <c r="E1808" t="str">
        <f>VLOOKUP(A1808,Medical_Examinations[],4,FALSE)</f>
        <v>Yes</v>
      </c>
      <c r="F1808" t="str">
        <f>VLOOKUP(A1808,Medical_Examinations[],5,FALSE)</f>
        <v>No</v>
      </c>
      <c r="G1808" t="str">
        <f>VLOOKUP(A1808,Medical_Examinations[],6,FALSE)</f>
        <v>No</v>
      </c>
      <c r="H1808">
        <f>VLOOKUP(A1808,Medical_Examinations[],7,FALSE)</f>
        <v>1</v>
      </c>
      <c r="I1808" t="str">
        <f>VLOOKUP(A1808,Medical_Examinations[],8,FALSE)</f>
        <v>No</v>
      </c>
      <c r="J1808" t="str">
        <f>VLOOKUP(A1808,Medical_Examinations[],9,FALSE)</f>
        <v>Normal Weight</v>
      </c>
      <c r="K1808" t="str">
        <f>VLOOKUP(A1808,Medical_Examinations[],10,FALSE)</f>
        <v>Diabetes</v>
      </c>
      <c r="M1808">
        <f>VLOOKUP(A1808,Hospitalisation_Details__2[],4,FALSE)</f>
        <v>4734.6400000000003</v>
      </c>
      <c r="N1808" t="str">
        <f>VLOOKUP(A1808,Hospitalisation_Details__2[],5,FALSE)</f>
        <v>tier - 2</v>
      </c>
      <c r="O1808" t="str">
        <f>VLOOKUP(A1808,Hospitalisation_Details__2[],6,FALSE)</f>
        <v>tier - 1</v>
      </c>
      <c r="P1808" t="str">
        <f>VLOOKUP(A1808,Hospitalisation_Details__2[],7,FALSE)</f>
        <v>R1013</v>
      </c>
    </row>
    <row r="1809" spans="1:16" x14ac:dyDescent="0.35">
      <c r="A1809" t="str">
        <v>Id1808</v>
      </c>
      <c r="B1809" t="str">
        <f>VLOOKUP(A1809,'Customer Names (2)'!A:B, 2,FALSE)</f>
        <v>Ms</v>
      </c>
      <c r="C1809">
        <f>VLOOKUP(A1809,Medical_Examinations[],2,FALSE)</f>
        <v>15.57</v>
      </c>
      <c r="D1809">
        <f>VLOOKUP(A1809,Medical_Examinations[],3,FALSE)</f>
        <v>6.07</v>
      </c>
      <c r="E1809" t="str">
        <f>VLOOKUP(A1809,Medical_Examinations[],4,FALSE)</f>
        <v>No</v>
      </c>
      <c r="F1809" t="str">
        <f>VLOOKUP(A1809,Medical_Examinations[],5,FALSE)</f>
        <v>No</v>
      </c>
      <c r="G1809" t="str">
        <f>VLOOKUP(A1809,Medical_Examinations[],6,FALSE)</f>
        <v>No</v>
      </c>
      <c r="H1809">
        <f>VLOOKUP(A1809,Medical_Examinations[],7,FALSE)</f>
        <v>0</v>
      </c>
      <c r="I1809" t="str">
        <f>VLOOKUP(A1809,Medical_Examinations[],8,FALSE)</f>
        <v>No</v>
      </c>
      <c r="J1809" t="str">
        <f>VLOOKUP(A1809,Medical_Examinations[],9,FALSE)</f>
        <v>Underweight</v>
      </c>
      <c r="K1809" t="str">
        <f>VLOOKUP(A1809,Medical_Examinations[],10,FALSE)</f>
        <v>Prediabetes</v>
      </c>
      <c r="M1809">
        <f>VLOOKUP(A1809,Hospitalisation_Details__2[],4,FALSE)</f>
        <v>4728.71</v>
      </c>
      <c r="N1809" t="str">
        <f>VLOOKUP(A1809,Hospitalisation_Details__2[],5,FALSE)</f>
        <v>tier - 2</v>
      </c>
      <c r="O1809" t="str">
        <f>VLOOKUP(A1809,Hospitalisation_Details__2[],6,FALSE)</f>
        <v>tier - 3</v>
      </c>
      <c r="P1809" t="str">
        <f>VLOOKUP(A1809,Hospitalisation_Details__2[],7,FALSE)</f>
        <v>R1012</v>
      </c>
    </row>
    <row r="1810" spans="1:16" x14ac:dyDescent="0.35">
      <c r="A1810" t="str">
        <v>Id1809</v>
      </c>
      <c r="B1810" t="str">
        <f>VLOOKUP(A1810,'Customer Names (2)'!A:B, 2,FALSE)</f>
        <v>Ms</v>
      </c>
      <c r="C1810">
        <f>VLOOKUP(A1810,Medical_Examinations[],2,FALSE)</f>
        <v>23.844999999999999</v>
      </c>
      <c r="D1810">
        <f>VLOOKUP(A1810,Medical_Examinations[],3,FALSE)</f>
        <v>4.3600000000000003</v>
      </c>
      <c r="E1810" t="str">
        <f>VLOOKUP(A1810,Medical_Examinations[],4,FALSE)</f>
        <v>No</v>
      </c>
      <c r="F1810" t="str">
        <f>VLOOKUP(A1810,Medical_Examinations[],5,FALSE)</f>
        <v>No</v>
      </c>
      <c r="G1810" t="str">
        <f>VLOOKUP(A1810,Medical_Examinations[],6,FALSE)</f>
        <v>No</v>
      </c>
      <c r="H1810">
        <f>VLOOKUP(A1810,Medical_Examinations[],7,FALSE)</f>
        <v>0</v>
      </c>
      <c r="I1810" t="str">
        <f>VLOOKUP(A1810,Medical_Examinations[],8,FALSE)</f>
        <v>No</v>
      </c>
      <c r="J1810" t="str">
        <f>VLOOKUP(A1810,Medical_Examinations[],9,FALSE)</f>
        <v>Normal Weight</v>
      </c>
      <c r="K1810" t="str">
        <f>VLOOKUP(A1810,Medical_Examinations[],10,FALSE)</f>
        <v>Normal</v>
      </c>
      <c r="M1810">
        <f>VLOOKUP(A1810,Hospitalisation_Details__2[],4,FALSE)</f>
        <v>4719.74</v>
      </c>
      <c r="N1810" t="str">
        <f>VLOOKUP(A1810,Hospitalisation_Details__2[],5,FALSE)</f>
        <v>tier - 2</v>
      </c>
      <c r="O1810" t="str">
        <f>VLOOKUP(A1810,Hospitalisation_Details__2[],6,FALSE)</f>
        <v>tier - 1</v>
      </c>
      <c r="P1810" t="str">
        <f>VLOOKUP(A1810,Hospitalisation_Details__2[],7,FALSE)</f>
        <v>R1012</v>
      </c>
    </row>
    <row r="1811" spans="1:16" x14ac:dyDescent="0.35">
      <c r="A1811" t="str">
        <v>Id1810</v>
      </c>
      <c r="B1811" t="str">
        <f>VLOOKUP(A1811,'Customer Names (2)'!A:B, 2,FALSE)</f>
        <v>Ms</v>
      </c>
      <c r="C1811">
        <f>VLOOKUP(A1811,Medical_Examinations[],2,FALSE)</f>
        <v>22.895</v>
      </c>
      <c r="D1811">
        <f>VLOOKUP(A1811,Medical_Examinations[],3,FALSE)</f>
        <v>5.24</v>
      </c>
      <c r="E1811" t="str">
        <f>VLOOKUP(A1811,Medical_Examinations[],4,FALSE)</f>
        <v>No</v>
      </c>
      <c r="F1811" t="str">
        <f>VLOOKUP(A1811,Medical_Examinations[],5,FALSE)</f>
        <v>No</v>
      </c>
      <c r="G1811" t="str">
        <f>VLOOKUP(A1811,Medical_Examinations[],6,FALSE)</f>
        <v>No</v>
      </c>
      <c r="H1811">
        <f>VLOOKUP(A1811,Medical_Examinations[],7,FALSE)</f>
        <v>1</v>
      </c>
      <c r="I1811" t="str">
        <f>VLOOKUP(A1811,Medical_Examinations[],8,FALSE)</f>
        <v>No</v>
      </c>
      <c r="J1811" t="str">
        <f>VLOOKUP(A1811,Medical_Examinations[],9,FALSE)</f>
        <v>Normal Weight</v>
      </c>
      <c r="K1811" t="str">
        <f>VLOOKUP(A1811,Medical_Examinations[],10,FALSE)</f>
        <v>Normal</v>
      </c>
      <c r="M1811">
        <f>VLOOKUP(A1811,Hospitalisation_Details__2[],4,FALSE)</f>
        <v>4719.5200000000004</v>
      </c>
      <c r="N1811" t="str">
        <f>VLOOKUP(A1811,Hospitalisation_Details__2[],5,FALSE)</f>
        <v>tier - 2</v>
      </c>
      <c r="O1811" t="str">
        <f>VLOOKUP(A1811,Hospitalisation_Details__2[],6,FALSE)</f>
        <v>tier - 2</v>
      </c>
      <c r="P1811" t="str">
        <f>VLOOKUP(A1811,Hospitalisation_Details__2[],7,FALSE)</f>
        <v>R1024</v>
      </c>
    </row>
    <row r="1812" spans="1:16" x14ac:dyDescent="0.35">
      <c r="A1812" t="str">
        <v>Id1811</v>
      </c>
      <c r="B1812" t="str">
        <f>VLOOKUP(A1812,'Customer Names (2)'!A:B, 2,FALSE)</f>
        <v>Ms</v>
      </c>
      <c r="C1812">
        <f>VLOOKUP(A1812,Medical_Examinations[],2,FALSE)</f>
        <v>21.945</v>
      </c>
      <c r="D1812">
        <f>VLOOKUP(A1812,Medical_Examinations[],3,FALSE)</f>
        <v>5.37</v>
      </c>
      <c r="E1812" t="str">
        <f>VLOOKUP(A1812,Medical_Examinations[],4,FALSE)</f>
        <v>No</v>
      </c>
      <c r="F1812" t="str">
        <f>VLOOKUP(A1812,Medical_Examinations[],5,FALSE)</f>
        <v>No</v>
      </c>
      <c r="G1812" t="str">
        <f>VLOOKUP(A1812,Medical_Examinations[],6,FALSE)</f>
        <v>No</v>
      </c>
      <c r="H1812">
        <f>VLOOKUP(A1812,Medical_Examinations[],7,FALSE)</f>
        <v>1</v>
      </c>
      <c r="I1812" t="str">
        <f>VLOOKUP(A1812,Medical_Examinations[],8,FALSE)</f>
        <v>No</v>
      </c>
      <c r="J1812" t="str">
        <f>VLOOKUP(A1812,Medical_Examinations[],9,FALSE)</f>
        <v>Normal Weight</v>
      </c>
      <c r="K1812" t="str">
        <f>VLOOKUP(A1812,Medical_Examinations[],10,FALSE)</f>
        <v>Normal</v>
      </c>
      <c r="M1812">
        <f>VLOOKUP(A1812,Hospitalisation_Details__2[],4,FALSE)</f>
        <v>4718.2</v>
      </c>
      <c r="N1812" t="str">
        <f>VLOOKUP(A1812,Hospitalisation_Details__2[],5,FALSE)</f>
        <v>tier - 2</v>
      </c>
      <c r="O1812" t="str">
        <f>VLOOKUP(A1812,Hospitalisation_Details__2[],6,FALSE)</f>
        <v>tier - 3</v>
      </c>
      <c r="P1812" t="str">
        <f>VLOOKUP(A1812,Hospitalisation_Details__2[],7,FALSE)</f>
        <v>R1024</v>
      </c>
    </row>
    <row r="1813" spans="1:16" x14ac:dyDescent="0.35">
      <c r="A1813" t="str">
        <v>Id1812</v>
      </c>
      <c r="B1813" t="str">
        <f>VLOOKUP(A1813,'Customer Names (2)'!A:B, 2,FALSE)</f>
        <v>Ms</v>
      </c>
      <c r="C1813">
        <f>VLOOKUP(A1813,Medical_Examinations[],2,FALSE)</f>
        <v>19.47</v>
      </c>
      <c r="D1813">
        <f>VLOOKUP(A1813,Medical_Examinations[],3,FALSE)</f>
        <v>6.6</v>
      </c>
      <c r="E1813" t="str">
        <f>VLOOKUP(A1813,Medical_Examinations[],4,FALSE)</f>
        <v>Yes</v>
      </c>
      <c r="F1813" t="str">
        <f>VLOOKUP(A1813,Medical_Examinations[],5,FALSE)</f>
        <v>No</v>
      </c>
      <c r="G1813" t="str">
        <f>VLOOKUP(A1813,Medical_Examinations[],6,FALSE)</f>
        <v>No</v>
      </c>
      <c r="H1813">
        <f>VLOOKUP(A1813,Medical_Examinations[],7,FALSE)</f>
        <v>0</v>
      </c>
      <c r="I1813" t="str">
        <f>VLOOKUP(A1813,Medical_Examinations[],8,FALSE)</f>
        <v>No</v>
      </c>
      <c r="J1813" t="str">
        <f>VLOOKUP(A1813,Medical_Examinations[],9,FALSE)</f>
        <v>Normal Weight</v>
      </c>
      <c r="K1813" t="str">
        <f>VLOOKUP(A1813,Medical_Examinations[],10,FALSE)</f>
        <v>Diabetes</v>
      </c>
      <c r="M1813">
        <f>VLOOKUP(A1813,Hospitalisation_Details__2[],4,FALSE)</f>
        <v>4712.12</v>
      </c>
      <c r="N1813" t="str">
        <f>VLOOKUP(A1813,Hospitalisation_Details__2[],5,FALSE)</f>
        <v>tier - 2</v>
      </c>
      <c r="O1813" t="str">
        <f>VLOOKUP(A1813,Hospitalisation_Details__2[],6,FALSE)</f>
        <v>tier - 3</v>
      </c>
      <c r="P1813" t="str">
        <f>VLOOKUP(A1813,Hospitalisation_Details__2[],7,FALSE)</f>
        <v>R1011</v>
      </c>
    </row>
    <row r="1814" spans="1:16" x14ac:dyDescent="0.35">
      <c r="A1814" t="str">
        <v>Id1813</v>
      </c>
      <c r="B1814" t="str">
        <f>VLOOKUP(A1814,'Customer Names (2)'!A:B, 2,FALSE)</f>
        <v>Mr</v>
      </c>
      <c r="C1814">
        <f>VLOOKUP(A1814,Medical_Examinations[],2,FALSE)</f>
        <v>15.61</v>
      </c>
      <c r="D1814">
        <f>VLOOKUP(A1814,Medical_Examinations[],3,FALSE)</f>
        <v>5.77</v>
      </c>
      <c r="E1814" t="str">
        <f>VLOOKUP(A1814,Medical_Examinations[],4,FALSE)</f>
        <v>No</v>
      </c>
      <c r="F1814" t="str">
        <f>VLOOKUP(A1814,Medical_Examinations[],5,FALSE)</f>
        <v>No</v>
      </c>
      <c r="G1814" t="str">
        <f>VLOOKUP(A1814,Medical_Examinations[],6,FALSE)</f>
        <v>No</v>
      </c>
      <c r="H1814">
        <f>VLOOKUP(A1814,Medical_Examinations[],7,FALSE)</f>
        <v>0</v>
      </c>
      <c r="I1814" t="str">
        <f>VLOOKUP(A1814,Medical_Examinations[],8,FALSE)</f>
        <v>No</v>
      </c>
      <c r="J1814" t="str">
        <f>VLOOKUP(A1814,Medical_Examinations[],9,FALSE)</f>
        <v>Underweight</v>
      </c>
      <c r="K1814" t="str">
        <f>VLOOKUP(A1814,Medical_Examinations[],10,FALSE)</f>
        <v>Prediabetes</v>
      </c>
      <c r="M1814">
        <f>VLOOKUP(A1814,Hospitalisation_Details__2[],4,FALSE)</f>
        <v>4699.47</v>
      </c>
      <c r="N1814" t="str">
        <f>VLOOKUP(A1814,Hospitalisation_Details__2[],5,FALSE)</f>
        <v>tier - 2</v>
      </c>
      <c r="O1814" t="str">
        <f>VLOOKUP(A1814,Hospitalisation_Details__2[],6,FALSE)</f>
        <v>tier - 3</v>
      </c>
      <c r="P1814" t="str">
        <f>VLOOKUP(A1814,Hospitalisation_Details__2[],7,FALSE)</f>
        <v>R1013</v>
      </c>
    </row>
    <row r="1815" spans="1:16" x14ac:dyDescent="0.35">
      <c r="A1815" t="str">
        <v>Id1814</v>
      </c>
      <c r="B1815" t="str">
        <f>VLOOKUP(A1815,'Customer Names (2)'!A:B, 2,FALSE)</f>
        <v>Ms</v>
      </c>
      <c r="C1815">
        <f>VLOOKUP(A1815,Medical_Examinations[],2,FALSE)</f>
        <v>28.6</v>
      </c>
      <c r="D1815">
        <f>VLOOKUP(A1815,Medical_Examinations[],3,FALSE)</f>
        <v>6.08</v>
      </c>
      <c r="E1815" t="str">
        <f>VLOOKUP(A1815,Medical_Examinations[],4,FALSE)</f>
        <v>No</v>
      </c>
      <c r="F1815" t="str">
        <f>VLOOKUP(A1815,Medical_Examinations[],5,FALSE)</f>
        <v>No</v>
      </c>
      <c r="G1815" t="str">
        <f>VLOOKUP(A1815,Medical_Examinations[],6,FALSE)</f>
        <v>Yes</v>
      </c>
      <c r="H1815">
        <f>VLOOKUP(A1815,Medical_Examinations[],7,FALSE)</f>
        <v>1</v>
      </c>
      <c r="I1815" t="str">
        <f>VLOOKUP(A1815,Medical_Examinations[],8,FALSE)</f>
        <v>No</v>
      </c>
      <c r="J1815" t="str">
        <f>VLOOKUP(A1815,Medical_Examinations[],9,FALSE)</f>
        <v>Overweight</v>
      </c>
      <c r="K1815" t="str">
        <f>VLOOKUP(A1815,Medical_Examinations[],10,FALSE)</f>
        <v>Prediabetes</v>
      </c>
      <c r="M1815">
        <f>VLOOKUP(A1815,Hospitalisation_Details__2[],4,FALSE)</f>
        <v>4687.8</v>
      </c>
      <c r="N1815" t="str">
        <f>VLOOKUP(A1815,Hospitalisation_Details__2[],5,FALSE)</f>
        <v>tier - 2</v>
      </c>
      <c r="O1815" t="str">
        <f>VLOOKUP(A1815,Hospitalisation_Details__2[],6,FALSE)</f>
        <v>tier - 3</v>
      </c>
      <c r="P1815" t="str">
        <f>VLOOKUP(A1815,Hospitalisation_Details__2[],7,FALSE)</f>
        <v>R1011</v>
      </c>
    </row>
    <row r="1816" spans="1:16" x14ac:dyDescent="0.35">
      <c r="A1816" t="str">
        <v>Id1815</v>
      </c>
      <c r="B1816" t="str">
        <f>VLOOKUP(A1816,'Customer Names (2)'!A:B, 2,FALSE)</f>
        <v>Mr</v>
      </c>
      <c r="C1816">
        <f>VLOOKUP(A1816,Medical_Examinations[],2,FALSE)</f>
        <v>46.53</v>
      </c>
      <c r="D1816">
        <f>VLOOKUP(A1816,Medical_Examinations[],3,FALSE)</f>
        <v>4.16</v>
      </c>
      <c r="E1816" t="str">
        <f>VLOOKUP(A1816,Medical_Examinations[],4,FALSE)</f>
        <v>No</v>
      </c>
      <c r="F1816" t="str">
        <f>VLOOKUP(A1816,Medical_Examinations[],5,FALSE)</f>
        <v>No</v>
      </c>
      <c r="G1816" t="str">
        <f>VLOOKUP(A1816,Medical_Examinations[],6,FALSE)</f>
        <v>No</v>
      </c>
      <c r="H1816">
        <f>VLOOKUP(A1816,Medical_Examinations[],7,FALSE)</f>
        <v>0</v>
      </c>
      <c r="I1816" t="str">
        <f>VLOOKUP(A1816,Medical_Examinations[],8,FALSE)</f>
        <v>No</v>
      </c>
      <c r="J1816" t="str">
        <f>VLOOKUP(A1816,Medical_Examinations[],9,FALSE)</f>
        <v>Obesity</v>
      </c>
      <c r="K1816" t="str">
        <f>VLOOKUP(A1816,Medical_Examinations[],10,FALSE)</f>
        <v>Normal</v>
      </c>
      <c r="M1816">
        <f>VLOOKUP(A1816,Hospitalisation_Details__2[],4,FALSE)</f>
        <v>4686.3900000000003</v>
      </c>
      <c r="N1816" t="str">
        <f>VLOOKUP(A1816,Hospitalisation_Details__2[],5,FALSE)</f>
        <v>tier - 3</v>
      </c>
      <c r="O1816" t="str">
        <f>VLOOKUP(A1816,Hospitalisation_Details__2[],6,FALSE)</f>
        <v>tier - 3</v>
      </c>
      <c r="P1816" t="str">
        <f>VLOOKUP(A1816,Hospitalisation_Details__2[],7,FALSE)</f>
        <v>R1013</v>
      </c>
    </row>
    <row r="1817" spans="1:16" x14ac:dyDescent="0.35">
      <c r="A1817" t="str">
        <v>Id1816</v>
      </c>
      <c r="B1817" t="str">
        <f>VLOOKUP(A1817,'Customer Names (2)'!A:B, 2,FALSE)</f>
        <v>Mr</v>
      </c>
      <c r="C1817">
        <f>VLOOKUP(A1817,Medical_Examinations[],2,FALSE)</f>
        <v>34.99</v>
      </c>
      <c r="D1817">
        <f>VLOOKUP(A1817,Medical_Examinations[],3,FALSE)</f>
        <v>5.0999999999999996</v>
      </c>
      <c r="E1817" t="str">
        <f>VLOOKUP(A1817,Medical_Examinations[],4,FALSE)</f>
        <v>No</v>
      </c>
      <c r="F1817" t="str">
        <f>VLOOKUP(A1817,Medical_Examinations[],5,FALSE)</f>
        <v>No</v>
      </c>
      <c r="G1817" t="str">
        <f>VLOOKUP(A1817,Medical_Examinations[],6,FALSE)</f>
        <v>Yes</v>
      </c>
      <c r="H1817">
        <f>VLOOKUP(A1817,Medical_Examinations[],7,FALSE)</f>
        <v>1</v>
      </c>
      <c r="I1817" t="str">
        <f>VLOOKUP(A1817,Medical_Examinations[],8,FALSE)</f>
        <v>No</v>
      </c>
      <c r="J1817" t="str">
        <f>VLOOKUP(A1817,Medical_Examinations[],9,FALSE)</f>
        <v>Obesity</v>
      </c>
      <c r="K1817" t="str">
        <f>VLOOKUP(A1817,Medical_Examinations[],10,FALSE)</f>
        <v>Normal</v>
      </c>
      <c r="M1817">
        <f>VLOOKUP(A1817,Hospitalisation_Details__2[],4,FALSE)</f>
        <v>4678.8</v>
      </c>
      <c r="N1817" t="str">
        <f>VLOOKUP(A1817,Hospitalisation_Details__2[],5,FALSE)</f>
        <v>tier - 2</v>
      </c>
      <c r="O1817" t="str">
        <f>VLOOKUP(A1817,Hospitalisation_Details__2[],6,FALSE)</f>
        <v>tier - 1</v>
      </c>
      <c r="P1817" t="str">
        <f>VLOOKUP(A1817,Hospitalisation_Details__2[],7,FALSE)</f>
        <v>R1021</v>
      </c>
    </row>
    <row r="1818" spans="1:16" x14ac:dyDescent="0.35">
      <c r="A1818" t="str">
        <v>Id1817</v>
      </c>
      <c r="B1818" t="str">
        <f>VLOOKUP(A1818,'Customer Names (2)'!A:B, 2,FALSE)</f>
        <v>Mr</v>
      </c>
      <c r="C1818">
        <f>VLOOKUP(A1818,Medical_Examinations[],2,FALSE)</f>
        <v>17.05</v>
      </c>
      <c r="D1818">
        <f>VLOOKUP(A1818,Medical_Examinations[],3,FALSE)</f>
        <v>5.3</v>
      </c>
      <c r="E1818" t="str">
        <f>VLOOKUP(A1818,Medical_Examinations[],4,FALSE)</f>
        <v>No</v>
      </c>
      <c r="F1818" t="str">
        <f>VLOOKUP(A1818,Medical_Examinations[],5,FALSE)</f>
        <v>No</v>
      </c>
      <c r="G1818" t="str">
        <f>VLOOKUP(A1818,Medical_Examinations[],6,FALSE)</f>
        <v>Yes</v>
      </c>
      <c r="H1818">
        <f>VLOOKUP(A1818,Medical_Examinations[],7,FALSE)</f>
        <v>1</v>
      </c>
      <c r="I1818" t="str">
        <f>VLOOKUP(A1818,Medical_Examinations[],8,FALSE)</f>
        <v>No</v>
      </c>
      <c r="J1818" t="str">
        <f>VLOOKUP(A1818,Medical_Examinations[],9,FALSE)</f>
        <v>Underweight</v>
      </c>
      <c r="K1818" t="str">
        <f>VLOOKUP(A1818,Medical_Examinations[],10,FALSE)</f>
        <v>Normal</v>
      </c>
      <c r="M1818">
        <f>VLOOKUP(A1818,Hospitalisation_Details__2[],4,FALSE)</f>
        <v>4674.2</v>
      </c>
      <c r="N1818" t="str">
        <f>VLOOKUP(A1818,Hospitalisation_Details__2[],5,FALSE)</f>
        <v>tier - 2</v>
      </c>
      <c r="O1818" t="str">
        <f>VLOOKUP(A1818,Hospitalisation_Details__2[],6,FALSE)</f>
        <v>tier - 1</v>
      </c>
      <c r="P1818" t="str">
        <f>VLOOKUP(A1818,Hospitalisation_Details__2[],7,FALSE)</f>
        <v>R1013</v>
      </c>
    </row>
    <row r="1819" spans="1:16" x14ac:dyDescent="0.35">
      <c r="A1819" t="str">
        <v>Id1818</v>
      </c>
      <c r="B1819" t="str">
        <f>VLOOKUP(A1819,'Customer Names (2)'!A:B, 2,FALSE)</f>
        <v>Mr</v>
      </c>
      <c r="C1819">
        <f>VLOOKUP(A1819,Medical_Examinations[],2,FALSE)</f>
        <v>37.18</v>
      </c>
      <c r="D1819">
        <f>VLOOKUP(A1819,Medical_Examinations[],3,FALSE)</f>
        <v>4.9000000000000004</v>
      </c>
      <c r="E1819" t="str">
        <f>VLOOKUP(A1819,Medical_Examinations[],4,FALSE)</f>
        <v>No</v>
      </c>
      <c r="F1819" t="str">
        <f>VLOOKUP(A1819,Medical_Examinations[],5,FALSE)</f>
        <v>No</v>
      </c>
      <c r="G1819" t="str">
        <f>VLOOKUP(A1819,Medical_Examinations[],6,FALSE)</f>
        <v>No</v>
      </c>
      <c r="H1819">
        <f>VLOOKUP(A1819,Medical_Examinations[],7,FALSE)</f>
        <v>0</v>
      </c>
      <c r="I1819" t="str">
        <f>VLOOKUP(A1819,Medical_Examinations[],8,FALSE)</f>
        <v>No</v>
      </c>
      <c r="J1819" t="str">
        <f>VLOOKUP(A1819,Medical_Examinations[],9,FALSE)</f>
        <v>Obesity</v>
      </c>
      <c r="K1819" t="str">
        <f>VLOOKUP(A1819,Medical_Examinations[],10,FALSE)</f>
        <v>Normal</v>
      </c>
      <c r="M1819">
        <f>VLOOKUP(A1819,Hospitalisation_Details__2[],4,FALSE)</f>
        <v>4673.3900000000003</v>
      </c>
      <c r="N1819" t="str">
        <f>VLOOKUP(A1819,Hospitalisation_Details__2[],5,FALSE)</f>
        <v>tier - 2</v>
      </c>
      <c r="O1819" t="str">
        <f>VLOOKUP(A1819,Hospitalisation_Details__2[],6,FALSE)</f>
        <v>tier - 1</v>
      </c>
      <c r="P1819" t="str">
        <f>VLOOKUP(A1819,Hospitalisation_Details__2[],7,FALSE)</f>
        <v>R1013</v>
      </c>
    </row>
    <row r="1820" spans="1:16" x14ac:dyDescent="0.35">
      <c r="A1820" t="str">
        <v>Id1819</v>
      </c>
      <c r="B1820" t="str">
        <f>VLOOKUP(A1820,'Customer Names (2)'!A:B, 2,FALSE)</f>
        <v>Mr</v>
      </c>
      <c r="C1820">
        <f>VLOOKUP(A1820,Medical_Examinations[],2,FALSE)</f>
        <v>35.200000000000003</v>
      </c>
      <c r="D1820">
        <f>VLOOKUP(A1820,Medical_Examinations[],3,FALSE)</f>
        <v>5.55</v>
      </c>
      <c r="E1820" t="str">
        <f>VLOOKUP(A1820,Medical_Examinations[],4,FALSE)</f>
        <v>No</v>
      </c>
      <c r="F1820" t="str">
        <f>VLOOKUP(A1820,Medical_Examinations[],5,FALSE)</f>
        <v>No</v>
      </c>
      <c r="G1820" t="str">
        <f>VLOOKUP(A1820,Medical_Examinations[],6,FALSE)</f>
        <v>No</v>
      </c>
      <c r="H1820">
        <f>VLOOKUP(A1820,Medical_Examinations[],7,FALSE)</f>
        <v>0</v>
      </c>
      <c r="I1820" t="str">
        <f>VLOOKUP(A1820,Medical_Examinations[],8,FALSE)</f>
        <v>No</v>
      </c>
      <c r="J1820" t="str">
        <f>VLOOKUP(A1820,Medical_Examinations[],9,FALSE)</f>
        <v>Obesity</v>
      </c>
      <c r="K1820" t="str">
        <f>VLOOKUP(A1820,Medical_Examinations[],10,FALSE)</f>
        <v>Normal</v>
      </c>
      <c r="M1820">
        <f>VLOOKUP(A1820,Hospitalisation_Details__2[],4,FALSE)</f>
        <v>4670.6400000000003</v>
      </c>
      <c r="N1820" t="str">
        <f>VLOOKUP(A1820,Hospitalisation_Details__2[],5,FALSE)</f>
        <v>tier - 2</v>
      </c>
      <c r="O1820" t="str">
        <f>VLOOKUP(A1820,Hospitalisation_Details__2[],6,FALSE)</f>
        <v>tier - 2</v>
      </c>
      <c r="P1820" t="str">
        <f>VLOOKUP(A1820,Hospitalisation_Details__2[],7,FALSE)</f>
        <v>R1011</v>
      </c>
    </row>
    <row r="1821" spans="1:16" x14ac:dyDescent="0.35">
      <c r="A1821" t="str">
        <v>Id1820</v>
      </c>
      <c r="B1821" t="str">
        <f>VLOOKUP(A1821,'Customer Names (2)'!A:B, 2,FALSE)</f>
        <v>Mr</v>
      </c>
      <c r="C1821">
        <f>VLOOKUP(A1821,Medical_Examinations[],2,FALSE)</f>
        <v>37.335000000000001</v>
      </c>
      <c r="D1821">
        <f>VLOOKUP(A1821,Medical_Examinations[],3,FALSE)</f>
        <v>4.95</v>
      </c>
      <c r="E1821" t="str">
        <f>VLOOKUP(A1821,Medical_Examinations[],4,FALSE)</f>
        <v>No</v>
      </c>
      <c r="F1821" t="str">
        <f>VLOOKUP(A1821,Medical_Examinations[],5,FALSE)</f>
        <v>No</v>
      </c>
      <c r="G1821" t="str">
        <f>VLOOKUP(A1821,Medical_Examinations[],6,FALSE)</f>
        <v>No</v>
      </c>
      <c r="H1821">
        <f>VLOOKUP(A1821,Medical_Examinations[],7,FALSE)</f>
        <v>0</v>
      </c>
      <c r="I1821" t="str">
        <f>VLOOKUP(A1821,Medical_Examinations[],8,FALSE)</f>
        <v>No</v>
      </c>
      <c r="J1821" t="str">
        <f>VLOOKUP(A1821,Medical_Examinations[],9,FALSE)</f>
        <v>Obesity</v>
      </c>
      <c r="K1821" t="str">
        <f>VLOOKUP(A1821,Medical_Examinations[],10,FALSE)</f>
        <v>Normal</v>
      </c>
      <c r="M1821">
        <f>VLOOKUP(A1821,Hospitalisation_Details__2[],4,FALSE)</f>
        <v>4667.6099999999997</v>
      </c>
      <c r="N1821" t="str">
        <f>VLOOKUP(A1821,Hospitalisation_Details__2[],5,FALSE)</f>
        <v>tier - 3</v>
      </c>
      <c r="O1821" t="str">
        <f>VLOOKUP(A1821,Hospitalisation_Details__2[],6,FALSE)</f>
        <v>tier - 3</v>
      </c>
      <c r="P1821" t="str">
        <f>VLOOKUP(A1821,Hospitalisation_Details__2[],7,FALSE)</f>
        <v>R1016</v>
      </c>
    </row>
    <row r="1822" spans="1:16" x14ac:dyDescent="0.35">
      <c r="A1822" t="str">
        <v>Id1821</v>
      </c>
      <c r="B1822" t="str">
        <f>VLOOKUP(A1822,'Customer Names (2)'!A:B, 2,FALSE)</f>
        <v>Mr</v>
      </c>
      <c r="C1822">
        <f>VLOOKUP(A1822,Medical_Examinations[],2,FALSE)</f>
        <v>27.265000000000001</v>
      </c>
      <c r="D1822">
        <f>VLOOKUP(A1822,Medical_Examinations[],3,FALSE)</f>
        <v>6.46</v>
      </c>
      <c r="E1822" t="str">
        <f>VLOOKUP(A1822,Medical_Examinations[],4,FALSE)</f>
        <v>Yes</v>
      </c>
      <c r="F1822" t="str">
        <f>VLOOKUP(A1822,Medical_Examinations[],5,FALSE)</f>
        <v>No</v>
      </c>
      <c r="G1822" t="str">
        <f>VLOOKUP(A1822,Medical_Examinations[],6,FALSE)</f>
        <v>No</v>
      </c>
      <c r="H1822">
        <f>VLOOKUP(A1822,Medical_Examinations[],7,FALSE)</f>
        <v>0</v>
      </c>
      <c r="I1822" t="str">
        <f>VLOOKUP(A1822,Medical_Examinations[],8,FALSE)</f>
        <v>No</v>
      </c>
      <c r="J1822" t="str">
        <f>VLOOKUP(A1822,Medical_Examinations[],9,FALSE)</f>
        <v>Overweight</v>
      </c>
      <c r="K1822" t="str">
        <f>VLOOKUP(A1822,Medical_Examinations[],10,FALSE)</f>
        <v>Prediabetes</v>
      </c>
      <c r="M1822">
        <f>VLOOKUP(A1822,Hospitalisation_Details__2[],4,FALSE)</f>
        <v>4661.29</v>
      </c>
      <c r="N1822" t="str">
        <f>VLOOKUP(A1822,Hospitalisation_Details__2[],5,FALSE)</f>
        <v>tier - 2</v>
      </c>
      <c r="O1822" t="str">
        <f>VLOOKUP(A1822,Hospitalisation_Details__2[],6,FALSE)</f>
        <v>tier - 1</v>
      </c>
      <c r="P1822" t="str">
        <f>VLOOKUP(A1822,Hospitalisation_Details__2[],7,FALSE)</f>
        <v>R1017</v>
      </c>
    </row>
    <row r="1823" spans="1:16" x14ac:dyDescent="0.35">
      <c r="A1823" t="str">
        <v>Id1822</v>
      </c>
      <c r="B1823" t="str">
        <f>VLOOKUP(A1823,'Customer Names (2)'!A:B, 2,FALSE)</f>
        <v>Mr</v>
      </c>
      <c r="C1823">
        <f>VLOOKUP(A1823,Medical_Examinations[],2,FALSE)</f>
        <v>30.8</v>
      </c>
      <c r="D1823">
        <f>VLOOKUP(A1823,Medical_Examinations[],3,FALSE)</f>
        <v>4.9000000000000004</v>
      </c>
      <c r="E1823" t="str">
        <f>VLOOKUP(A1823,Medical_Examinations[],4,FALSE)</f>
        <v>Yes</v>
      </c>
      <c r="F1823" t="str">
        <f>VLOOKUP(A1823,Medical_Examinations[],5,FALSE)</f>
        <v>No</v>
      </c>
      <c r="G1823" t="str">
        <f>VLOOKUP(A1823,Medical_Examinations[],6,FALSE)</f>
        <v>No</v>
      </c>
      <c r="H1823">
        <f>VLOOKUP(A1823,Medical_Examinations[],7,FALSE)</f>
        <v>0</v>
      </c>
      <c r="I1823" t="str">
        <f>VLOOKUP(A1823,Medical_Examinations[],8,FALSE)</f>
        <v>No</v>
      </c>
      <c r="J1823" t="str">
        <f>VLOOKUP(A1823,Medical_Examinations[],9,FALSE)</f>
        <v>Obesity</v>
      </c>
      <c r="K1823" t="str">
        <f>VLOOKUP(A1823,Medical_Examinations[],10,FALSE)</f>
        <v>Normal</v>
      </c>
      <c r="M1823">
        <f>VLOOKUP(A1823,Hospitalisation_Details__2[],4,FALSE)</f>
        <v>4646.76</v>
      </c>
      <c r="N1823" t="str">
        <f>VLOOKUP(A1823,Hospitalisation_Details__2[],5,FALSE)</f>
        <v>tier - 1</v>
      </c>
      <c r="O1823" t="str">
        <f>VLOOKUP(A1823,Hospitalisation_Details__2[],6,FALSE)</f>
        <v>tier - 1</v>
      </c>
      <c r="P1823" t="str">
        <f>VLOOKUP(A1823,Hospitalisation_Details__2[],7,FALSE)</f>
        <v>R1011</v>
      </c>
    </row>
    <row r="1824" spans="1:16" x14ac:dyDescent="0.35">
      <c r="A1824" t="str">
        <v>Id1823</v>
      </c>
      <c r="B1824" t="str">
        <f>VLOOKUP(A1824,'Customer Names (2)'!A:B, 2,FALSE)</f>
        <v>Ms</v>
      </c>
      <c r="C1824">
        <f>VLOOKUP(A1824,Medical_Examinations[],2,FALSE)</f>
        <v>30.21</v>
      </c>
      <c r="D1824">
        <f>VLOOKUP(A1824,Medical_Examinations[],3,FALSE)</f>
        <v>5.21</v>
      </c>
      <c r="E1824" t="str">
        <f>VLOOKUP(A1824,Medical_Examinations[],4,FALSE)</f>
        <v>No</v>
      </c>
      <c r="F1824" t="str">
        <f>VLOOKUP(A1824,Medical_Examinations[],5,FALSE)</f>
        <v>No</v>
      </c>
      <c r="G1824" t="str">
        <f>VLOOKUP(A1824,Medical_Examinations[],6,FALSE)</f>
        <v>No</v>
      </c>
      <c r="H1824">
        <f>VLOOKUP(A1824,Medical_Examinations[],7,FALSE)</f>
        <v>1</v>
      </c>
      <c r="I1824" t="str">
        <f>VLOOKUP(A1824,Medical_Examinations[],8,FALSE)</f>
        <v>No</v>
      </c>
      <c r="J1824" t="str">
        <f>VLOOKUP(A1824,Medical_Examinations[],9,FALSE)</f>
        <v>Obesity</v>
      </c>
      <c r="K1824" t="str">
        <f>VLOOKUP(A1824,Medical_Examinations[],10,FALSE)</f>
        <v>Normal</v>
      </c>
      <c r="M1824">
        <f>VLOOKUP(A1824,Hospitalisation_Details__2[],4,FALSE)</f>
        <v>4618.08</v>
      </c>
      <c r="N1824" t="str">
        <f>VLOOKUP(A1824,Hospitalisation_Details__2[],5,FALSE)</f>
        <v>tier - 2</v>
      </c>
      <c r="O1824" t="str">
        <f>VLOOKUP(A1824,Hospitalisation_Details__2[],6,FALSE)</f>
        <v>tier - 1</v>
      </c>
      <c r="P1824" t="str">
        <f>VLOOKUP(A1824,Hospitalisation_Details__2[],7,FALSE)</f>
        <v>R1012</v>
      </c>
    </row>
    <row r="1825" spans="1:16" x14ac:dyDescent="0.35">
      <c r="A1825" t="str">
        <v>Id1824</v>
      </c>
      <c r="B1825" t="str">
        <f>VLOOKUP(A1825,'Customer Names (2)'!A:B, 2,FALSE)</f>
        <v>Mr</v>
      </c>
      <c r="C1825">
        <f>VLOOKUP(A1825,Medical_Examinations[],2,FALSE)</f>
        <v>35.340000000000003</v>
      </c>
      <c r="D1825">
        <f>VLOOKUP(A1825,Medical_Examinations[],3,FALSE)</f>
        <v>4.13</v>
      </c>
      <c r="E1825" t="str">
        <f>VLOOKUP(A1825,Medical_Examinations[],4,FALSE)</f>
        <v>No</v>
      </c>
      <c r="F1825" t="str">
        <f>VLOOKUP(A1825,Medical_Examinations[],5,FALSE)</f>
        <v>yes</v>
      </c>
      <c r="G1825" t="str">
        <f>VLOOKUP(A1825,Medical_Examinations[],6,FALSE)</f>
        <v>No</v>
      </c>
      <c r="H1825">
        <f>VLOOKUP(A1825,Medical_Examinations[],7,FALSE)</f>
        <v>1</v>
      </c>
      <c r="I1825" t="str">
        <f>VLOOKUP(A1825,Medical_Examinations[],8,FALSE)</f>
        <v>No</v>
      </c>
      <c r="J1825" t="str">
        <f>VLOOKUP(A1825,Medical_Examinations[],9,FALSE)</f>
        <v>Obesity</v>
      </c>
      <c r="K1825" t="str">
        <f>VLOOKUP(A1825,Medical_Examinations[],10,FALSE)</f>
        <v>Normal</v>
      </c>
      <c r="M1825">
        <f>VLOOKUP(A1825,Hospitalisation_Details__2[],4,FALSE)</f>
        <v>4608.03</v>
      </c>
      <c r="N1825" t="str">
        <f>VLOOKUP(A1825,Hospitalisation_Details__2[],5,FALSE)</f>
        <v>tier - 2</v>
      </c>
      <c r="O1825" t="str">
        <f>VLOOKUP(A1825,Hospitalisation_Details__2[],6,FALSE)</f>
        <v>tier - 3</v>
      </c>
      <c r="P1825" t="str">
        <f>VLOOKUP(A1825,Hospitalisation_Details__2[],7,FALSE)</f>
        <v>R1011</v>
      </c>
    </row>
    <row r="1826" spans="1:16" x14ac:dyDescent="0.35">
      <c r="A1826" t="str">
        <v>Id1825</v>
      </c>
      <c r="B1826" t="str">
        <f>VLOOKUP(A1826,'Customer Names (2)'!A:B, 2,FALSE)</f>
        <v>Ms</v>
      </c>
      <c r="C1826">
        <f>VLOOKUP(A1826,Medical_Examinations[],2,FALSE)</f>
        <v>26.695</v>
      </c>
      <c r="D1826">
        <f>VLOOKUP(A1826,Medical_Examinations[],3,FALSE)</f>
        <v>5.28</v>
      </c>
      <c r="E1826" t="str">
        <f>VLOOKUP(A1826,Medical_Examinations[],4,FALSE)</f>
        <v>No</v>
      </c>
      <c r="F1826" t="str">
        <f>VLOOKUP(A1826,Medical_Examinations[],5,FALSE)</f>
        <v>No</v>
      </c>
      <c r="G1826" t="str">
        <f>VLOOKUP(A1826,Medical_Examinations[],6,FALSE)</f>
        <v>No</v>
      </c>
      <c r="H1826">
        <f>VLOOKUP(A1826,Medical_Examinations[],7,FALSE)</f>
        <v>0</v>
      </c>
      <c r="I1826" t="str">
        <f>VLOOKUP(A1826,Medical_Examinations[],8,FALSE)</f>
        <v>No</v>
      </c>
      <c r="J1826" t="str">
        <f>VLOOKUP(A1826,Medical_Examinations[],9,FALSE)</f>
        <v>Overweight</v>
      </c>
      <c r="K1826" t="str">
        <f>VLOOKUP(A1826,Medical_Examinations[],10,FALSE)</f>
        <v>Normal</v>
      </c>
      <c r="M1826">
        <f>VLOOKUP(A1826,Hospitalisation_Details__2[],4,FALSE)</f>
        <v>4571.41</v>
      </c>
      <c r="N1826" t="str">
        <f>VLOOKUP(A1826,Hospitalisation_Details__2[],5,FALSE)</f>
        <v>tier - 2</v>
      </c>
      <c r="O1826" t="str">
        <f>VLOOKUP(A1826,Hospitalisation_Details__2[],6,FALSE)</f>
        <v>tier - 2</v>
      </c>
      <c r="P1826" t="str">
        <f>VLOOKUP(A1826,Hospitalisation_Details__2[],7,FALSE)</f>
        <v>R1012</v>
      </c>
    </row>
    <row r="1827" spans="1:16" x14ac:dyDescent="0.35">
      <c r="A1827" t="str">
        <v>Id1826</v>
      </c>
      <c r="B1827" t="str">
        <f>VLOOKUP(A1827,'Customer Names (2)'!A:B, 2,FALSE)</f>
        <v>Ms</v>
      </c>
      <c r="C1827">
        <f>VLOOKUP(A1827,Medical_Examinations[],2,FALSE)</f>
        <v>29.355</v>
      </c>
      <c r="D1827">
        <f>VLOOKUP(A1827,Medical_Examinations[],3,FALSE)</f>
        <v>4.68</v>
      </c>
      <c r="E1827" t="str">
        <f>VLOOKUP(A1827,Medical_Examinations[],4,FALSE)</f>
        <v>Yes</v>
      </c>
      <c r="F1827" t="str">
        <f>VLOOKUP(A1827,Medical_Examinations[],5,FALSE)</f>
        <v>No</v>
      </c>
      <c r="G1827" t="str">
        <f>VLOOKUP(A1827,Medical_Examinations[],6,FALSE)</f>
        <v>No</v>
      </c>
      <c r="H1827">
        <f>VLOOKUP(A1827,Medical_Examinations[],7,FALSE)</f>
        <v>0</v>
      </c>
      <c r="I1827" t="str">
        <f>VLOOKUP(A1827,Medical_Examinations[],8,FALSE)</f>
        <v>No</v>
      </c>
      <c r="J1827" t="str">
        <f>VLOOKUP(A1827,Medical_Examinations[],9,FALSE)</f>
        <v>Overweight</v>
      </c>
      <c r="K1827" t="str">
        <f>VLOOKUP(A1827,Medical_Examinations[],10,FALSE)</f>
        <v>Normal</v>
      </c>
      <c r="M1827">
        <f>VLOOKUP(A1827,Hospitalisation_Details__2[],4,FALSE)</f>
        <v>4564.1899999999996</v>
      </c>
      <c r="N1827" t="str">
        <f>VLOOKUP(A1827,Hospitalisation_Details__2[],5,FALSE)</f>
        <v>tier - 2</v>
      </c>
      <c r="O1827" t="str">
        <f>VLOOKUP(A1827,Hospitalisation_Details__2[],6,FALSE)</f>
        <v>tier - 2</v>
      </c>
      <c r="P1827" t="str">
        <f>VLOOKUP(A1827,Hospitalisation_Details__2[],7,FALSE)</f>
        <v>R1024</v>
      </c>
    </row>
    <row r="1828" spans="1:16" x14ac:dyDescent="0.35">
      <c r="A1828" t="str">
        <v>Id1827</v>
      </c>
      <c r="B1828" t="str">
        <f>VLOOKUP(A1828,'Customer Names (2)'!A:B, 2,FALSE)</f>
        <v>Ms</v>
      </c>
      <c r="C1828">
        <f>VLOOKUP(A1828,Medical_Examinations[],2,FALSE)</f>
        <v>29.59</v>
      </c>
      <c r="D1828">
        <f>VLOOKUP(A1828,Medical_Examinations[],3,FALSE)</f>
        <v>4.0599999999999996</v>
      </c>
      <c r="E1828" t="str">
        <f>VLOOKUP(A1828,Medical_Examinations[],4,FALSE)</f>
        <v>No</v>
      </c>
      <c r="F1828" t="str">
        <f>VLOOKUP(A1828,Medical_Examinations[],5,FALSE)</f>
        <v>No</v>
      </c>
      <c r="G1828" t="str">
        <f>VLOOKUP(A1828,Medical_Examinations[],6,FALSE)</f>
        <v>No</v>
      </c>
      <c r="H1828">
        <f>VLOOKUP(A1828,Medical_Examinations[],7,FALSE)</f>
        <v>0</v>
      </c>
      <c r="I1828" t="str">
        <f>VLOOKUP(A1828,Medical_Examinations[],8,FALSE)</f>
        <v>No</v>
      </c>
      <c r="J1828" t="str">
        <f>VLOOKUP(A1828,Medical_Examinations[],9,FALSE)</f>
        <v>Overweight</v>
      </c>
      <c r="K1828" t="str">
        <f>VLOOKUP(A1828,Medical_Examinations[],10,FALSE)</f>
        <v>Normal</v>
      </c>
      <c r="M1828">
        <f>VLOOKUP(A1828,Hospitalisation_Details__2[],4,FALSE)</f>
        <v>4562.84</v>
      </c>
      <c r="N1828" t="str">
        <f>VLOOKUP(A1828,Hospitalisation_Details__2[],5,FALSE)</f>
        <v>tier - 2</v>
      </c>
      <c r="O1828" t="str">
        <f>VLOOKUP(A1828,Hospitalisation_Details__2[],6,FALSE)</f>
        <v>tier - 2</v>
      </c>
      <c r="P1828" t="str">
        <f>VLOOKUP(A1828,Hospitalisation_Details__2[],7,FALSE)</f>
        <v>R1013</v>
      </c>
    </row>
    <row r="1829" spans="1:16" x14ac:dyDescent="0.35">
      <c r="A1829" t="str">
        <v>Id1828</v>
      </c>
      <c r="B1829" t="str">
        <f>VLOOKUP(A1829,'Customer Names (2)'!A:B, 2,FALSE)</f>
        <v>Ms</v>
      </c>
      <c r="C1829">
        <f>VLOOKUP(A1829,Medical_Examinations[],2,FALSE)</f>
        <v>31.35</v>
      </c>
      <c r="D1829">
        <f>VLOOKUP(A1829,Medical_Examinations[],3,FALSE)</f>
        <v>4.2</v>
      </c>
      <c r="E1829" t="str">
        <f>VLOOKUP(A1829,Medical_Examinations[],4,FALSE)</f>
        <v>No</v>
      </c>
      <c r="F1829" t="str">
        <f>VLOOKUP(A1829,Medical_Examinations[],5,FALSE)</f>
        <v>yes</v>
      </c>
      <c r="G1829" t="str">
        <f>VLOOKUP(A1829,Medical_Examinations[],6,FALSE)</f>
        <v>No</v>
      </c>
      <c r="H1829">
        <f>VLOOKUP(A1829,Medical_Examinations[],7,FALSE)</f>
        <v>1</v>
      </c>
      <c r="I1829" t="str">
        <f>VLOOKUP(A1829,Medical_Examinations[],8,FALSE)</f>
        <v>No</v>
      </c>
      <c r="J1829" t="str">
        <f>VLOOKUP(A1829,Medical_Examinations[],9,FALSE)</f>
        <v>Obesity</v>
      </c>
      <c r="K1829" t="str">
        <f>VLOOKUP(A1829,Medical_Examinations[],10,FALSE)</f>
        <v>Normal</v>
      </c>
      <c r="M1829">
        <f>VLOOKUP(A1829,Hospitalisation_Details__2[],4,FALSE)</f>
        <v>4561.1899999999996</v>
      </c>
      <c r="N1829" t="str">
        <f>VLOOKUP(A1829,Hospitalisation_Details__2[],5,FALSE)</f>
        <v>tier - 2</v>
      </c>
      <c r="O1829" t="str">
        <f>VLOOKUP(A1829,Hospitalisation_Details__2[],6,FALSE)</f>
        <v>tier - 2</v>
      </c>
      <c r="P1829" t="str">
        <f>VLOOKUP(A1829,Hospitalisation_Details__2[],7,FALSE)</f>
        <v>R1024</v>
      </c>
    </row>
    <row r="1830" spans="1:16" x14ac:dyDescent="0.35">
      <c r="A1830" t="str">
        <v>Id1829</v>
      </c>
      <c r="B1830" t="str">
        <f>VLOOKUP(A1830,'Customer Names (2)'!A:B, 2,FALSE)</f>
        <v>Ms</v>
      </c>
      <c r="C1830">
        <f>VLOOKUP(A1830,Medical_Examinations[],2,FALSE)</f>
        <v>20.52</v>
      </c>
      <c r="D1830">
        <f>VLOOKUP(A1830,Medical_Examinations[],3,FALSE)</f>
        <v>4.83</v>
      </c>
      <c r="E1830" t="str">
        <f>VLOOKUP(A1830,Medical_Examinations[],4,FALSE)</f>
        <v>No</v>
      </c>
      <c r="F1830" t="str">
        <f>VLOOKUP(A1830,Medical_Examinations[],5,FALSE)</f>
        <v>No</v>
      </c>
      <c r="G1830" t="str">
        <f>VLOOKUP(A1830,Medical_Examinations[],6,FALSE)</f>
        <v>No</v>
      </c>
      <c r="H1830">
        <f>VLOOKUP(A1830,Medical_Examinations[],7,FALSE)</f>
        <v>0</v>
      </c>
      <c r="I1830" t="str">
        <f>VLOOKUP(A1830,Medical_Examinations[],8,FALSE)</f>
        <v>No</v>
      </c>
      <c r="J1830" t="str">
        <f>VLOOKUP(A1830,Medical_Examinations[],9,FALSE)</f>
        <v>Normal Weight</v>
      </c>
      <c r="K1830" t="str">
        <f>VLOOKUP(A1830,Medical_Examinations[],10,FALSE)</f>
        <v>Normal</v>
      </c>
      <c r="M1830">
        <f>VLOOKUP(A1830,Hospitalisation_Details__2[],4,FALSE)</f>
        <v>4544.2299999999996</v>
      </c>
      <c r="N1830" t="str">
        <f>VLOOKUP(A1830,Hospitalisation_Details__2[],5,FALSE)</f>
        <v>tier - 2</v>
      </c>
      <c r="O1830" t="str">
        <f>VLOOKUP(A1830,Hospitalisation_Details__2[],6,FALSE)</f>
        <v>tier - 1</v>
      </c>
      <c r="P1830" t="str">
        <f>VLOOKUP(A1830,Hospitalisation_Details__2[],7,FALSE)</f>
        <v>R1024</v>
      </c>
    </row>
    <row r="1831" spans="1:16" x14ac:dyDescent="0.35">
      <c r="A1831" t="str">
        <v>Id1830</v>
      </c>
      <c r="B1831" t="str">
        <f>VLOOKUP(A1831,'Customer Names (2)'!A:B, 2,FALSE)</f>
        <v>Mr</v>
      </c>
      <c r="C1831">
        <f>VLOOKUP(A1831,Medical_Examinations[],2,FALSE)</f>
        <v>42.9</v>
      </c>
      <c r="D1831">
        <f>VLOOKUP(A1831,Medical_Examinations[],3,FALSE)</f>
        <v>4.87</v>
      </c>
      <c r="E1831" t="str">
        <f>VLOOKUP(A1831,Medical_Examinations[],4,FALSE)</f>
        <v>Yes</v>
      </c>
      <c r="F1831" t="str">
        <f>VLOOKUP(A1831,Medical_Examinations[],5,FALSE)</f>
        <v>No</v>
      </c>
      <c r="G1831" t="str">
        <f>VLOOKUP(A1831,Medical_Examinations[],6,FALSE)</f>
        <v>No</v>
      </c>
      <c r="H1831">
        <f>VLOOKUP(A1831,Medical_Examinations[],7,FALSE)</f>
        <v>1</v>
      </c>
      <c r="I1831" t="str">
        <f>VLOOKUP(A1831,Medical_Examinations[],8,FALSE)</f>
        <v>No</v>
      </c>
      <c r="J1831" t="str">
        <f>VLOOKUP(A1831,Medical_Examinations[],9,FALSE)</f>
        <v>Obesity</v>
      </c>
      <c r="K1831" t="str">
        <f>VLOOKUP(A1831,Medical_Examinations[],10,FALSE)</f>
        <v>Normal</v>
      </c>
      <c r="M1831">
        <f>VLOOKUP(A1831,Hospitalisation_Details__2[],4,FALSE)</f>
        <v>4536.26</v>
      </c>
      <c r="N1831" t="str">
        <f>VLOOKUP(A1831,Hospitalisation_Details__2[],5,FALSE)</f>
        <v>tier - 2</v>
      </c>
      <c r="O1831" t="str">
        <f>VLOOKUP(A1831,Hospitalisation_Details__2[],6,FALSE)</f>
        <v>tier - 2</v>
      </c>
      <c r="P1831" t="str">
        <f>VLOOKUP(A1831,Hospitalisation_Details__2[],7,FALSE)</f>
        <v>R1011</v>
      </c>
    </row>
    <row r="1832" spans="1:16" x14ac:dyDescent="0.35">
      <c r="A1832" t="str">
        <v>Id1831</v>
      </c>
      <c r="B1832" t="str">
        <f>VLOOKUP(A1832,'Customer Names (2)'!A:B, 2,FALSE)</f>
        <v>Ms</v>
      </c>
      <c r="C1832">
        <f>VLOOKUP(A1832,Medical_Examinations[],2,FALSE)</f>
        <v>24.6</v>
      </c>
      <c r="D1832">
        <f>VLOOKUP(A1832,Medical_Examinations[],3,FALSE)</f>
        <v>5.86</v>
      </c>
      <c r="E1832" t="str">
        <f>VLOOKUP(A1832,Medical_Examinations[],4,FALSE)</f>
        <v>No</v>
      </c>
      <c r="F1832" t="str">
        <f>VLOOKUP(A1832,Medical_Examinations[],5,FALSE)</f>
        <v>No</v>
      </c>
      <c r="G1832" t="str">
        <f>VLOOKUP(A1832,Medical_Examinations[],6,FALSE)</f>
        <v>Yes</v>
      </c>
      <c r="H1832">
        <f>VLOOKUP(A1832,Medical_Examinations[],7,FALSE)</f>
        <v>1</v>
      </c>
      <c r="I1832" t="str">
        <f>VLOOKUP(A1832,Medical_Examinations[],8,FALSE)</f>
        <v>No</v>
      </c>
      <c r="J1832" t="str">
        <f>VLOOKUP(A1832,Medical_Examinations[],9,FALSE)</f>
        <v>Normal Weight</v>
      </c>
      <c r="K1832" t="str">
        <f>VLOOKUP(A1832,Medical_Examinations[],10,FALSE)</f>
        <v>Prediabetes</v>
      </c>
      <c r="M1832">
        <f>VLOOKUP(A1832,Hospitalisation_Details__2[],4,FALSE)</f>
        <v>4529.4799999999996</v>
      </c>
      <c r="N1832" t="str">
        <f>VLOOKUP(A1832,Hospitalisation_Details__2[],5,FALSE)</f>
        <v>tier - 2</v>
      </c>
      <c r="O1832" t="str">
        <f>VLOOKUP(A1832,Hospitalisation_Details__2[],6,FALSE)</f>
        <v>tier - 1</v>
      </c>
      <c r="P1832" t="str">
        <f>VLOOKUP(A1832,Hospitalisation_Details__2[],7,FALSE)</f>
        <v>R1011</v>
      </c>
    </row>
    <row r="1833" spans="1:16" x14ac:dyDescent="0.35">
      <c r="A1833" t="str">
        <v>Id1832</v>
      </c>
      <c r="B1833" t="str">
        <f>VLOOKUP(A1833,'Customer Names (2)'!A:B, 2,FALSE)</f>
        <v>Ms</v>
      </c>
      <c r="C1833">
        <f>VLOOKUP(A1833,Medical_Examinations[],2,FALSE)</f>
        <v>28.405000000000001</v>
      </c>
      <c r="D1833">
        <f>VLOOKUP(A1833,Medical_Examinations[],3,FALSE)</f>
        <v>4.12</v>
      </c>
      <c r="E1833" t="str">
        <f>VLOOKUP(A1833,Medical_Examinations[],4,FALSE)</f>
        <v>No</v>
      </c>
      <c r="F1833" t="str">
        <f>VLOOKUP(A1833,Medical_Examinations[],5,FALSE)</f>
        <v>No</v>
      </c>
      <c r="G1833" t="str">
        <f>VLOOKUP(A1833,Medical_Examinations[],6,FALSE)</f>
        <v>No</v>
      </c>
      <c r="H1833">
        <f>VLOOKUP(A1833,Medical_Examinations[],7,FALSE)</f>
        <v>1</v>
      </c>
      <c r="I1833" t="str">
        <f>VLOOKUP(A1833,Medical_Examinations[],8,FALSE)</f>
        <v>No</v>
      </c>
      <c r="J1833" t="str">
        <f>VLOOKUP(A1833,Medical_Examinations[],9,FALSE)</f>
        <v>Overweight</v>
      </c>
      <c r="K1833" t="str">
        <f>VLOOKUP(A1833,Medical_Examinations[],10,FALSE)</f>
        <v>Normal</v>
      </c>
      <c r="M1833">
        <f>VLOOKUP(A1833,Hospitalisation_Details__2[],4,FALSE)</f>
        <v>4527.18</v>
      </c>
      <c r="N1833" t="str">
        <f>VLOOKUP(A1833,Hospitalisation_Details__2[],5,FALSE)</f>
        <v>tier - 2</v>
      </c>
      <c r="O1833" t="str">
        <f>VLOOKUP(A1833,Hospitalisation_Details__2[],6,FALSE)</f>
        <v>tier - 2</v>
      </c>
      <c r="P1833" t="str">
        <f>VLOOKUP(A1833,Hospitalisation_Details__2[],7,FALSE)</f>
        <v>R1012</v>
      </c>
    </row>
    <row r="1834" spans="1:16" x14ac:dyDescent="0.35">
      <c r="A1834" t="str">
        <v>Id1833</v>
      </c>
      <c r="B1834" t="str">
        <f>VLOOKUP(A1834,'Customer Names (2)'!A:B, 2,FALSE)</f>
        <v>Mr</v>
      </c>
      <c r="C1834">
        <f>VLOOKUP(A1834,Medical_Examinations[],2,FALSE)</f>
        <v>34.674999999999997</v>
      </c>
      <c r="D1834">
        <f>VLOOKUP(A1834,Medical_Examinations[],3,FALSE)</f>
        <v>5.71</v>
      </c>
      <c r="E1834" t="str">
        <f>VLOOKUP(A1834,Medical_Examinations[],4,FALSE)</f>
        <v>Yes</v>
      </c>
      <c r="F1834" t="str">
        <f>VLOOKUP(A1834,Medical_Examinations[],5,FALSE)</f>
        <v>No</v>
      </c>
      <c r="G1834" t="str">
        <f>VLOOKUP(A1834,Medical_Examinations[],6,FALSE)</f>
        <v>No</v>
      </c>
      <c r="H1834">
        <f>VLOOKUP(A1834,Medical_Examinations[],7,FALSE)</f>
        <v>1</v>
      </c>
      <c r="I1834" t="str">
        <f>VLOOKUP(A1834,Medical_Examinations[],8,FALSE)</f>
        <v>No</v>
      </c>
      <c r="J1834" t="str">
        <f>VLOOKUP(A1834,Medical_Examinations[],9,FALSE)</f>
        <v>Obesity</v>
      </c>
      <c r="K1834" t="str">
        <f>VLOOKUP(A1834,Medical_Examinations[],10,FALSE)</f>
        <v>Prediabetes</v>
      </c>
      <c r="M1834">
        <f>VLOOKUP(A1834,Hospitalisation_Details__2[],4,FALSE)</f>
        <v>4518.83</v>
      </c>
      <c r="N1834" t="str">
        <f>VLOOKUP(A1834,Hospitalisation_Details__2[],5,FALSE)</f>
        <v>tier - 2</v>
      </c>
      <c r="O1834" t="str">
        <f>VLOOKUP(A1834,Hospitalisation_Details__2[],6,FALSE)</f>
        <v>tier - 2</v>
      </c>
      <c r="P1834" t="str">
        <f>VLOOKUP(A1834,Hospitalisation_Details__2[],7,FALSE)</f>
        <v>R1017</v>
      </c>
    </row>
    <row r="1835" spans="1:16" x14ac:dyDescent="0.35">
      <c r="A1835" t="str">
        <v>Id1834</v>
      </c>
      <c r="B1835" t="str">
        <f>VLOOKUP(A1835,'Customer Names (2)'!A:B, 2,FALSE)</f>
        <v>Ms</v>
      </c>
      <c r="C1835">
        <f>VLOOKUP(A1835,Medical_Examinations[],2,FALSE)</f>
        <v>18.850000000000001</v>
      </c>
      <c r="D1835">
        <f>VLOOKUP(A1835,Medical_Examinations[],3,FALSE)</f>
        <v>6.03</v>
      </c>
      <c r="E1835" t="str">
        <f>VLOOKUP(A1835,Medical_Examinations[],4,FALSE)</f>
        <v>No</v>
      </c>
      <c r="F1835" t="str">
        <f>VLOOKUP(A1835,Medical_Examinations[],5,FALSE)</f>
        <v>No</v>
      </c>
      <c r="G1835" t="str">
        <f>VLOOKUP(A1835,Medical_Examinations[],6,FALSE)</f>
        <v>No</v>
      </c>
      <c r="H1835">
        <f>VLOOKUP(A1835,Medical_Examinations[],7,FALSE)</f>
        <v>1</v>
      </c>
      <c r="I1835" t="str">
        <f>VLOOKUP(A1835,Medical_Examinations[],8,FALSE)</f>
        <v>No</v>
      </c>
      <c r="J1835" t="str">
        <f>VLOOKUP(A1835,Medical_Examinations[],9,FALSE)</f>
        <v>Normal Weight</v>
      </c>
      <c r="K1835" t="str">
        <f>VLOOKUP(A1835,Medical_Examinations[],10,FALSE)</f>
        <v>Prediabetes</v>
      </c>
      <c r="M1835">
        <f>VLOOKUP(A1835,Hospitalisation_Details__2[],4,FALSE)</f>
        <v>4518.7700000000004</v>
      </c>
      <c r="N1835" t="str">
        <f>VLOOKUP(A1835,Hospitalisation_Details__2[],5,FALSE)</f>
        <v>tier - 2</v>
      </c>
      <c r="O1835" t="str">
        <f>VLOOKUP(A1835,Hospitalisation_Details__2[],6,FALSE)</f>
        <v>tier - 3</v>
      </c>
      <c r="P1835" t="str">
        <f>VLOOKUP(A1835,Hospitalisation_Details__2[],7,FALSE)</f>
        <v>R1012</v>
      </c>
    </row>
    <row r="1836" spans="1:16" x14ac:dyDescent="0.35">
      <c r="A1836" t="str">
        <v>Id1835</v>
      </c>
      <c r="B1836" t="str">
        <f>VLOOKUP(A1836,'Customer Names (2)'!A:B, 2,FALSE)</f>
        <v>Mrs</v>
      </c>
      <c r="C1836">
        <f>VLOOKUP(A1836,Medical_Examinations[],2,FALSE)</f>
        <v>34.130000000000003</v>
      </c>
      <c r="D1836">
        <f>VLOOKUP(A1836,Medical_Examinations[],3,FALSE)</f>
        <v>5.65</v>
      </c>
      <c r="E1836" t="str">
        <f>VLOOKUP(A1836,Medical_Examinations[],4,FALSE)</f>
        <v>No</v>
      </c>
      <c r="F1836" t="str">
        <f>VLOOKUP(A1836,Medical_Examinations[],5,FALSE)</f>
        <v>No</v>
      </c>
      <c r="G1836" t="str">
        <f>VLOOKUP(A1836,Medical_Examinations[],6,FALSE)</f>
        <v>Yes</v>
      </c>
      <c r="H1836">
        <f>VLOOKUP(A1836,Medical_Examinations[],7,FALSE)</f>
        <v>1</v>
      </c>
      <c r="I1836" t="str">
        <f>VLOOKUP(A1836,Medical_Examinations[],8,FALSE)</f>
        <v>No</v>
      </c>
      <c r="J1836" t="str">
        <f>VLOOKUP(A1836,Medical_Examinations[],9,FALSE)</f>
        <v>Obesity</v>
      </c>
      <c r="K1836" t="str">
        <f>VLOOKUP(A1836,Medical_Examinations[],10,FALSE)</f>
        <v>Normal</v>
      </c>
      <c r="M1836">
        <f>VLOOKUP(A1836,Hospitalisation_Details__2[],4,FALSE)</f>
        <v>4518.3999999999996</v>
      </c>
      <c r="N1836" t="str">
        <f>VLOOKUP(A1836,Hospitalisation_Details__2[],5,FALSE)</f>
        <v>tier - 2</v>
      </c>
      <c r="O1836" t="str">
        <f>VLOOKUP(A1836,Hospitalisation_Details__2[],6,FALSE)</f>
        <v>tier - 3</v>
      </c>
      <c r="P1836" t="str">
        <f>VLOOKUP(A1836,Hospitalisation_Details__2[],7,FALSE)</f>
        <v>R1026</v>
      </c>
    </row>
    <row r="1837" spans="1:16" x14ac:dyDescent="0.35">
      <c r="A1837" t="str">
        <v>Id1836</v>
      </c>
      <c r="B1837" t="str">
        <f>VLOOKUP(A1837,'Customer Names (2)'!A:B, 2,FALSE)</f>
        <v>Mr</v>
      </c>
      <c r="C1837">
        <f>VLOOKUP(A1837,Medical_Examinations[],2,FALSE)</f>
        <v>17.34</v>
      </c>
      <c r="D1837">
        <f>VLOOKUP(A1837,Medical_Examinations[],3,FALSE)</f>
        <v>5.05</v>
      </c>
      <c r="E1837" t="str">
        <f>VLOOKUP(A1837,Medical_Examinations[],4,FALSE)</f>
        <v>No</v>
      </c>
      <c r="F1837" t="str">
        <f>VLOOKUP(A1837,Medical_Examinations[],5,FALSE)</f>
        <v>No</v>
      </c>
      <c r="G1837" t="str">
        <f>VLOOKUP(A1837,Medical_Examinations[],6,FALSE)</f>
        <v>No</v>
      </c>
      <c r="H1837">
        <f>VLOOKUP(A1837,Medical_Examinations[],7,FALSE)</f>
        <v>0</v>
      </c>
      <c r="I1837" t="str">
        <f>VLOOKUP(A1837,Medical_Examinations[],8,FALSE)</f>
        <v>No</v>
      </c>
      <c r="J1837" t="str">
        <f>VLOOKUP(A1837,Medical_Examinations[],9,FALSE)</f>
        <v>Underweight</v>
      </c>
      <c r="K1837" t="str">
        <f>VLOOKUP(A1837,Medical_Examinations[],10,FALSE)</f>
        <v>Normal</v>
      </c>
      <c r="M1837">
        <f>VLOOKUP(A1837,Hospitalisation_Details__2[],4,FALSE)</f>
        <v>4515.71</v>
      </c>
      <c r="N1837" t="str">
        <f>VLOOKUP(A1837,Hospitalisation_Details__2[],5,FALSE)</f>
        <v>tier - 2</v>
      </c>
      <c r="O1837" t="str">
        <f>VLOOKUP(A1837,Hospitalisation_Details__2[],6,FALSE)</f>
        <v>tier - 3</v>
      </c>
      <c r="P1837" t="str">
        <f>VLOOKUP(A1837,Hospitalisation_Details__2[],7,FALSE)</f>
        <v>R1013</v>
      </c>
    </row>
    <row r="1838" spans="1:16" x14ac:dyDescent="0.35">
      <c r="A1838" t="str">
        <v>Id1837</v>
      </c>
      <c r="B1838" t="str">
        <f>VLOOKUP(A1838,'Customer Names (2)'!A:B, 2,FALSE)</f>
        <v>Mr</v>
      </c>
      <c r="C1838">
        <f>VLOOKUP(A1838,Medical_Examinations[],2,FALSE)</f>
        <v>17.440000000000001</v>
      </c>
      <c r="D1838">
        <f>VLOOKUP(A1838,Medical_Examinations[],3,FALSE)</f>
        <v>6.26</v>
      </c>
      <c r="E1838" t="str">
        <f>VLOOKUP(A1838,Medical_Examinations[],4,FALSE)</f>
        <v>No</v>
      </c>
      <c r="F1838" t="str">
        <f>VLOOKUP(A1838,Medical_Examinations[],5,FALSE)</f>
        <v>No</v>
      </c>
      <c r="G1838" t="str">
        <f>VLOOKUP(A1838,Medical_Examinations[],6,FALSE)</f>
        <v>No</v>
      </c>
      <c r="H1838">
        <f>VLOOKUP(A1838,Medical_Examinations[],7,FALSE)</f>
        <v>0</v>
      </c>
      <c r="I1838" t="str">
        <f>VLOOKUP(A1838,Medical_Examinations[],8,FALSE)</f>
        <v>No</v>
      </c>
      <c r="J1838" t="str">
        <f>VLOOKUP(A1838,Medical_Examinations[],9,FALSE)</f>
        <v>Underweight</v>
      </c>
      <c r="K1838" t="str">
        <f>VLOOKUP(A1838,Medical_Examinations[],10,FALSE)</f>
        <v>Prediabetes</v>
      </c>
      <c r="M1838">
        <f>VLOOKUP(A1838,Hospitalisation_Details__2[],4,FALSE)</f>
        <v>4511.41</v>
      </c>
      <c r="N1838" t="str">
        <f>VLOOKUP(A1838,Hospitalisation_Details__2[],5,FALSE)</f>
        <v>tier - 2</v>
      </c>
      <c r="O1838" t="str">
        <f>VLOOKUP(A1838,Hospitalisation_Details__2[],6,FALSE)</f>
        <v>tier - 3</v>
      </c>
      <c r="P1838" t="str">
        <f>VLOOKUP(A1838,Hospitalisation_Details__2[],7,FALSE)</f>
        <v>R1013</v>
      </c>
    </row>
    <row r="1839" spans="1:16" x14ac:dyDescent="0.35">
      <c r="A1839" t="str">
        <v>Id1838</v>
      </c>
      <c r="B1839" t="str">
        <f>VLOOKUP(A1839,'Customer Names (2)'!A:B, 2,FALSE)</f>
        <v>Mr</v>
      </c>
      <c r="C1839">
        <f>VLOOKUP(A1839,Medical_Examinations[],2,FALSE)</f>
        <v>33.659999999999997</v>
      </c>
      <c r="D1839">
        <f>VLOOKUP(A1839,Medical_Examinations[],3,FALSE)</f>
        <v>4.08</v>
      </c>
      <c r="E1839" t="str">
        <f>VLOOKUP(A1839,Medical_Examinations[],4,FALSE)</f>
        <v>Yes</v>
      </c>
      <c r="F1839" t="str">
        <f>VLOOKUP(A1839,Medical_Examinations[],5,FALSE)</f>
        <v>No</v>
      </c>
      <c r="G1839" t="str">
        <f>VLOOKUP(A1839,Medical_Examinations[],6,FALSE)</f>
        <v>Yes</v>
      </c>
      <c r="H1839">
        <f>VLOOKUP(A1839,Medical_Examinations[],7,FALSE)</f>
        <v>1</v>
      </c>
      <c r="I1839" t="str">
        <f>VLOOKUP(A1839,Medical_Examinations[],8,FALSE)</f>
        <v>No</v>
      </c>
      <c r="J1839" t="str">
        <f>VLOOKUP(A1839,Medical_Examinations[],9,FALSE)</f>
        <v>Obesity</v>
      </c>
      <c r="K1839" t="str">
        <f>VLOOKUP(A1839,Medical_Examinations[],10,FALSE)</f>
        <v>Normal</v>
      </c>
      <c r="M1839">
        <f>VLOOKUP(A1839,Hospitalisation_Details__2[],4,FALSE)</f>
        <v>4504.66</v>
      </c>
      <c r="N1839" t="str">
        <f>VLOOKUP(A1839,Hospitalisation_Details__2[],5,FALSE)</f>
        <v>tier - 1</v>
      </c>
      <c r="O1839" t="str">
        <f>VLOOKUP(A1839,Hospitalisation_Details__2[],6,FALSE)</f>
        <v>tier - 2</v>
      </c>
      <c r="P1839" t="str">
        <f>VLOOKUP(A1839,Hospitalisation_Details__2[],7,FALSE)</f>
        <v>R1013</v>
      </c>
    </row>
    <row r="1840" spans="1:16" x14ac:dyDescent="0.35">
      <c r="A1840" t="str">
        <v>Id1839</v>
      </c>
      <c r="B1840" t="str">
        <f>VLOOKUP(A1840,'Customer Names (2)'!A:B, 2,FALSE)</f>
        <v>Mr</v>
      </c>
      <c r="C1840">
        <f>VLOOKUP(A1840,Medical_Examinations[],2,FALSE)</f>
        <v>21.375</v>
      </c>
      <c r="D1840">
        <f>VLOOKUP(A1840,Medical_Examinations[],3,FALSE)</f>
        <v>6.19</v>
      </c>
      <c r="E1840" t="str">
        <f>VLOOKUP(A1840,Medical_Examinations[],4,FALSE)</f>
        <v>Yes</v>
      </c>
      <c r="F1840" t="str">
        <f>VLOOKUP(A1840,Medical_Examinations[],5,FALSE)</f>
        <v>No</v>
      </c>
      <c r="G1840" t="str">
        <f>VLOOKUP(A1840,Medical_Examinations[],6,FALSE)</f>
        <v>No</v>
      </c>
      <c r="H1840">
        <f>VLOOKUP(A1840,Medical_Examinations[],7,FALSE)</f>
        <v>1</v>
      </c>
      <c r="I1840" t="str">
        <f>VLOOKUP(A1840,Medical_Examinations[],8,FALSE)</f>
        <v>No</v>
      </c>
      <c r="J1840" t="str">
        <f>VLOOKUP(A1840,Medical_Examinations[],9,FALSE)</f>
        <v>Normal Weight</v>
      </c>
      <c r="K1840" t="str">
        <f>VLOOKUP(A1840,Medical_Examinations[],10,FALSE)</f>
        <v>Prediabetes</v>
      </c>
      <c r="M1840">
        <f>VLOOKUP(A1840,Hospitalisation_Details__2[],4,FALSE)</f>
        <v>4500.34</v>
      </c>
      <c r="N1840" t="str">
        <f>VLOOKUP(A1840,Hospitalisation_Details__2[],5,FALSE)</f>
        <v>tier - 2</v>
      </c>
      <c r="O1840" t="str">
        <f>VLOOKUP(A1840,Hospitalisation_Details__2[],6,FALSE)</f>
        <v>tier - 1</v>
      </c>
      <c r="P1840" t="str">
        <f>VLOOKUP(A1840,Hospitalisation_Details__2[],7,FALSE)</f>
        <v>R1017</v>
      </c>
    </row>
    <row r="1841" spans="1:16" x14ac:dyDescent="0.35">
      <c r="A1841" t="str">
        <v>Id1840</v>
      </c>
      <c r="B1841" t="str">
        <f>VLOOKUP(A1841,'Customer Names (2)'!A:B, 2,FALSE)</f>
        <v>Mr</v>
      </c>
      <c r="C1841">
        <f>VLOOKUP(A1841,Medical_Examinations[],2,FALSE)</f>
        <v>27.14</v>
      </c>
      <c r="D1841">
        <f>VLOOKUP(A1841,Medical_Examinations[],3,FALSE)</f>
        <v>6.01</v>
      </c>
      <c r="E1841" t="str">
        <f>VLOOKUP(A1841,Medical_Examinations[],4,FALSE)</f>
        <v>No</v>
      </c>
      <c r="F1841" t="str">
        <f>VLOOKUP(A1841,Medical_Examinations[],5,FALSE)</f>
        <v>No</v>
      </c>
      <c r="G1841" t="str">
        <f>VLOOKUP(A1841,Medical_Examinations[],6,FALSE)</f>
        <v>No</v>
      </c>
      <c r="H1841">
        <f>VLOOKUP(A1841,Medical_Examinations[],7,FALSE)</f>
        <v>1</v>
      </c>
      <c r="I1841" t="str">
        <f>VLOOKUP(A1841,Medical_Examinations[],8,FALSE)</f>
        <v>No</v>
      </c>
      <c r="J1841" t="str">
        <f>VLOOKUP(A1841,Medical_Examinations[],9,FALSE)</f>
        <v>Overweight</v>
      </c>
      <c r="K1841" t="str">
        <f>VLOOKUP(A1841,Medical_Examinations[],10,FALSE)</f>
        <v>Prediabetes</v>
      </c>
      <c r="M1841">
        <f>VLOOKUP(A1841,Hospitalisation_Details__2[],4,FALSE)</f>
        <v>4488.58</v>
      </c>
      <c r="N1841" t="str">
        <f>VLOOKUP(A1841,Hospitalisation_Details__2[],5,FALSE)</f>
        <v>tier - 2</v>
      </c>
      <c r="O1841" t="str">
        <f>VLOOKUP(A1841,Hospitalisation_Details__2[],6,FALSE)</f>
        <v>tier - 3</v>
      </c>
      <c r="P1841" t="str">
        <f>VLOOKUP(A1841,Hospitalisation_Details__2[],7,FALSE)</f>
        <v>R1012</v>
      </c>
    </row>
    <row r="1842" spans="1:16" x14ac:dyDescent="0.35">
      <c r="A1842" t="str">
        <v>Id1841</v>
      </c>
      <c r="B1842" t="str">
        <f>VLOOKUP(A1842,'Customer Names (2)'!A:B, 2,FALSE)</f>
        <v>Ms</v>
      </c>
      <c r="C1842">
        <f>VLOOKUP(A1842,Medical_Examinations[],2,FALSE)</f>
        <v>35.78</v>
      </c>
      <c r="D1842">
        <f>VLOOKUP(A1842,Medical_Examinations[],3,FALSE)</f>
        <v>6.07</v>
      </c>
      <c r="E1842" t="str">
        <f>VLOOKUP(A1842,Medical_Examinations[],4,FALSE)</f>
        <v>No</v>
      </c>
      <c r="F1842" t="str">
        <f>VLOOKUP(A1842,Medical_Examinations[],5,FALSE)</f>
        <v>yes</v>
      </c>
      <c r="G1842" t="str">
        <f>VLOOKUP(A1842,Medical_Examinations[],6,FALSE)</f>
        <v>No</v>
      </c>
      <c r="H1842">
        <f>VLOOKUP(A1842,Medical_Examinations[],7,FALSE)</f>
        <v>1</v>
      </c>
      <c r="I1842" t="str">
        <f>VLOOKUP(A1842,Medical_Examinations[],8,FALSE)</f>
        <v>No</v>
      </c>
      <c r="J1842" t="str">
        <f>VLOOKUP(A1842,Medical_Examinations[],9,FALSE)</f>
        <v>Obesity</v>
      </c>
      <c r="K1842" t="str">
        <f>VLOOKUP(A1842,Medical_Examinations[],10,FALSE)</f>
        <v>Prediabetes</v>
      </c>
      <c r="M1842">
        <f>VLOOKUP(A1842,Hospitalisation_Details__2[],4,FALSE)</f>
        <v>4468.25</v>
      </c>
      <c r="N1842" t="str">
        <f>VLOOKUP(A1842,Hospitalisation_Details__2[],5,FALSE)</f>
        <v>tier - 2</v>
      </c>
      <c r="O1842" t="str">
        <f>VLOOKUP(A1842,Hospitalisation_Details__2[],6,FALSE)</f>
        <v>tier - 2</v>
      </c>
      <c r="P1842" t="str">
        <f>VLOOKUP(A1842,Hospitalisation_Details__2[],7,FALSE)</f>
        <v>R1012</v>
      </c>
    </row>
    <row r="1843" spans="1:16" x14ac:dyDescent="0.35">
      <c r="A1843" t="str">
        <v>Id1842</v>
      </c>
      <c r="B1843" t="str">
        <f>VLOOKUP(A1843,'Customer Names (2)'!A:B, 2,FALSE)</f>
        <v>Ms</v>
      </c>
      <c r="C1843">
        <f>VLOOKUP(A1843,Medical_Examinations[],2,FALSE)</f>
        <v>34.96</v>
      </c>
      <c r="D1843">
        <f>VLOOKUP(A1843,Medical_Examinations[],3,FALSE)</f>
        <v>5.63</v>
      </c>
      <c r="E1843" t="str">
        <f>VLOOKUP(A1843,Medical_Examinations[],4,FALSE)</f>
        <v>No</v>
      </c>
      <c r="F1843" t="str">
        <f>VLOOKUP(A1843,Medical_Examinations[],5,FALSE)</f>
        <v>No</v>
      </c>
      <c r="G1843" t="str">
        <f>VLOOKUP(A1843,Medical_Examinations[],6,FALSE)</f>
        <v>No</v>
      </c>
      <c r="H1843">
        <f>VLOOKUP(A1843,Medical_Examinations[],7,FALSE)</f>
        <v>0</v>
      </c>
      <c r="I1843" t="str">
        <f>VLOOKUP(A1843,Medical_Examinations[],8,FALSE)</f>
        <v>No</v>
      </c>
      <c r="J1843" t="str">
        <f>VLOOKUP(A1843,Medical_Examinations[],9,FALSE)</f>
        <v>Obesity</v>
      </c>
      <c r="K1843" t="str">
        <f>VLOOKUP(A1843,Medical_Examinations[],10,FALSE)</f>
        <v>Normal</v>
      </c>
      <c r="M1843">
        <f>VLOOKUP(A1843,Hospitalisation_Details__2[],4,FALSE)</f>
        <v>4466.62</v>
      </c>
      <c r="N1843" t="str">
        <f>VLOOKUP(A1843,Hospitalisation_Details__2[],5,FALSE)</f>
        <v>tier - 2</v>
      </c>
      <c r="O1843" t="str">
        <f>VLOOKUP(A1843,Hospitalisation_Details__2[],6,FALSE)</f>
        <v>tier - 2</v>
      </c>
      <c r="P1843" t="str">
        <f>VLOOKUP(A1843,Hospitalisation_Details__2[],7,FALSE)</f>
        <v>R1012</v>
      </c>
    </row>
    <row r="1844" spans="1:16" x14ac:dyDescent="0.35">
      <c r="A1844" t="str">
        <v>Id1843</v>
      </c>
      <c r="B1844" t="str">
        <f>VLOOKUP(A1844,'Customer Names (2)'!A:B, 2,FALSE)</f>
        <v>Mr</v>
      </c>
      <c r="C1844">
        <f>VLOOKUP(A1844,Medical_Examinations[],2,FALSE)</f>
        <v>38.39</v>
      </c>
      <c r="D1844">
        <f>VLOOKUP(A1844,Medical_Examinations[],3,FALSE)</f>
        <v>6.05</v>
      </c>
      <c r="E1844" t="str">
        <f>VLOOKUP(A1844,Medical_Examinations[],4,FALSE)</f>
        <v>No</v>
      </c>
      <c r="F1844" t="str">
        <f>VLOOKUP(A1844,Medical_Examinations[],5,FALSE)</f>
        <v>No</v>
      </c>
      <c r="G1844" t="str">
        <f>VLOOKUP(A1844,Medical_Examinations[],6,FALSE)</f>
        <v>No</v>
      </c>
      <c r="H1844">
        <f>VLOOKUP(A1844,Medical_Examinations[],7,FALSE)</f>
        <v>0</v>
      </c>
      <c r="I1844" t="str">
        <f>VLOOKUP(A1844,Medical_Examinations[],8,FALSE)</f>
        <v>No</v>
      </c>
      <c r="J1844" t="str">
        <f>VLOOKUP(A1844,Medical_Examinations[],9,FALSE)</f>
        <v>Obesity</v>
      </c>
      <c r="K1844" t="str">
        <f>VLOOKUP(A1844,Medical_Examinations[],10,FALSE)</f>
        <v>Prediabetes</v>
      </c>
      <c r="M1844">
        <f>VLOOKUP(A1844,Hospitalisation_Details__2[],4,FALSE)</f>
        <v>4463.21</v>
      </c>
      <c r="N1844" t="str">
        <f>VLOOKUP(A1844,Hospitalisation_Details__2[],5,FALSE)</f>
        <v>tier - 3</v>
      </c>
      <c r="O1844" t="str">
        <f>VLOOKUP(A1844,Hospitalisation_Details__2[],6,FALSE)</f>
        <v>tier - 3</v>
      </c>
      <c r="P1844" t="str">
        <f>VLOOKUP(A1844,Hospitalisation_Details__2[],7,FALSE)</f>
        <v>R1013</v>
      </c>
    </row>
    <row r="1845" spans="1:16" x14ac:dyDescent="0.35">
      <c r="A1845" t="str">
        <v>Id1844</v>
      </c>
      <c r="B1845" t="str">
        <f>VLOOKUP(A1845,'Customer Names (2)'!A:B, 2,FALSE)</f>
        <v>Mr</v>
      </c>
      <c r="C1845">
        <f>VLOOKUP(A1845,Medical_Examinations[],2,FALSE)</f>
        <v>33.82</v>
      </c>
      <c r="D1845">
        <f>VLOOKUP(A1845,Medical_Examinations[],3,FALSE)</f>
        <v>4.6500000000000004</v>
      </c>
      <c r="E1845" t="str">
        <f>VLOOKUP(A1845,Medical_Examinations[],4,FALSE)</f>
        <v>No</v>
      </c>
      <c r="F1845" t="str">
        <f>VLOOKUP(A1845,Medical_Examinations[],5,FALSE)</f>
        <v>No</v>
      </c>
      <c r="G1845" t="str">
        <f>VLOOKUP(A1845,Medical_Examinations[],6,FALSE)</f>
        <v>No</v>
      </c>
      <c r="H1845">
        <f>VLOOKUP(A1845,Medical_Examinations[],7,FALSE)</f>
        <v>0</v>
      </c>
      <c r="I1845" t="str">
        <f>VLOOKUP(A1845,Medical_Examinations[],8,FALSE)</f>
        <v>No</v>
      </c>
      <c r="J1845" t="str">
        <f>VLOOKUP(A1845,Medical_Examinations[],9,FALSE)</f>
        <v>Obesity</v>
      </c>
      <c r="K1845" t="str">
        <f>VLOOKUP(A1845,Medical_Examinations[],10,FALSE)</f>
        <v>Normal</v>
      </c>
      <c r="M1845">
        <f>VLOOKUP(A1845,Hospitalisation_Details__2[],4,FALSE)</f>
        <v>4462.72</v>
      </c>
      <c r="N1845" t="str">
        <f>VLOOKUP(A1845,Hospitalisation_Details__2[],5,FALSE)</f>
        <v>tier - 2</v>
      </c>
      <c r="O1845" t="str">
        <f>VLOOKUP(A1845,Hospitalisation_Details__2[],6,FALSE)</f>
        <v>tier - 3</v>
      </c>
      <c r="P1845" t="str">
        <f>VLOOKUP(A1845,Hospitalisation_Details__2[],7,FALSE)</f>
        <v>R1012</v>
      </c>
    </row>
    <row r="1846" spans="1:16" x14ac:dyDescent="0.35">
      <c r="A1846" t="str">
        <v>Id1845</v>
      </c>
      <c r="B1846" t="str">
        <f>VLOOKUP(A1846,'Customer Names (2)'!A:B, 2,FALSE)</f>
        <v>Mr</v>
      </c>
      <c r="C1846">
        <f>VLOOKUP(A1846,Medical_Examinations[],2,FALSE)</f>
        <v>27.835000000000001</v>
      </c>
      <c r="D1846">
        <f>VLOOKUP(A1846,Medical_Examinations[],3,FALSE)</f>
        <v>5.37</v>
      </c>
      <c r="E1846" t="str">
        <f>VLOOKUP(A1846,Medical_Examinations[],4,FALSE)</f>
        <v>No</v>
      </c>
      <c r="F1846" t="str">
        <f>VLOOKUP(A1846,Medical_Examinations[],5,FALSE)</f>
        <v>No</v>
      </c>
      <c r="G1846" t="str">
        <f>VLOOKUP(A1846,Medical_Examinations[],6,FALSE)</f>
        <v>No</v>
      </c>
      <c r="H1846">
        <f>VLOOKUP(A1846,Medical_Examinations[],7,FALSE)</f>
        <v>0</v>
      </c>
      <c r="I1846" t="str">
        <f>VLOOKUP(A1846,Medical_Examinations[],8,FALSE)</f>
        <v>No</v>
      </c>
      <c r="J1846" t="str">
        <f>VLOOKUP(A1846,Medical_Examinations[],9,FALSE)</f>
        <v>Overweight</v>
      </c>
      <c r="K1846" t="str">
        <f>VLOOKUP(A1846,Medical_Examinations[],10,FALSE)</f>
        <v>Normal</v>
      </c>
      <c r="M1846">
        <f>VLOOKUP(A1846,Hospitalisation_Details__2[],4,FALSE)</f>
        <v>4454.3999999999996</v>
      </c>
      <c r="N1846" t="str">
        <f>VLOOKUP(A1846,Hospitalisation_Details__2[],5,FALSE)</f>
        <v>tier - 2</v>
      </c>
      <c r="O1846" t="str">
        <f>VLOOKUP(A1846,Hospitalisation_Details__2[],6,FALSE)</f>
        <v>tier - 3</v>
      </c>
      <c r="P1846" t="str">
        <f>VLOOKUP(A1846,Hospitalisation_Details__2[],7,FALSE)</f>
        <v>R1012</v>
      </c>
    </row>
    <row r="1847" spans="1:16" x14ac:dyDescent="0.35">
      <c r="A1847" t="str">
        <v>Id1846</v>
      </c>
      <c r="B1847" t="str">
        <f>VLOOKUP(A1847,'Customer Names (2)'!A:B, 2,FALSE)</f>
        <v>Mr</v>
      </c>
      <c r="C1847">
        <f>VLOOKUP(A1847,Medical_Examinations[],2,FALSE)</f>
        <v>33</v>
      </c>
      <c r="D1847">
        <f>VLOOKUP(A1847,Medical_Examinations[],3,FALSE)</f>
        <v>5.39</v>
      </c>
      <c r="E1847" t="str">
        <f>VLOOKUP(A1847,Medical_Examinations[],4,FALSE)</f>
        <v>No</v>
      </c>
      <c r="F1847" t="str">
        <f>VLOOKUP(A1847,Medical_Examinations[],5,FALSE)</f>
        <v>No</v>
      </c>
      <c r="G1847" t="str">
        <f>VLOOKUP(A1847,Medical_Examinations[],6,FALSE)</f>
        <v>No</v>
      </c>
      <c r="H1847">
        <f>VLOOKUP(A1847,Medical_Examinations[],7,FALSE)</f>
        <v>0</v>
      </c>
      <c r="I1847" t="str">
        <f>VLOOKUP(A1847,Medical_Examinations[],8,FALSE)</f>
        <v>No</v>
      </c>
      <c r="J1847" t="str">
        <f>VLOOKUP(A1847,Medical_Examinations[],9,FALSE)</f>
        <v>Obesity</v>
      </c>
      <c r="K1847" t="str">
        <f>VLOOKUP(A1847,Medical_Examinations[],10,FALSE)</f>
        <v>Normal</v>
      </c>
      <c r="M1847">
        <f>VLOOKUP(A1847,Hospitalisation_Details__2[],4,FALSE)</f>
        <v>4449.46</v>
      </c>
      <c r="N1847" t="str">
        <f>VLOOKUP(A1847,Hospitalisation_Details__2[],5,FALSE)</f>
        <v>tier - 1</v>
      </c>
      <c r="O1847" t="str">
        <f>VLOOKUP(A1847,Hospitalisation_Details__2[],6,FALSE)</f>
        <v>tier - 2</v>
      </c>
      <c r="P1847" t="str">
        <f>VLOOKUP(A1847,Hospitalisation_Details__2[],7,FALSE)</f>
        <v>R1013</v>
      </c>
    </row>
    <row r="1848" spans="1:16" x14ac:dyDescent="0.35">
      <c r="A1848" t="str">
        <v>Id1847</v>
      </c>
      <c r="B1848" t="str">
        <f>VLOOKUP(A1848,'Customer Names (2)'!A:B, 2,FALSE)</f>
        <v>Mr</v>
      </c>
      <c r="C1848">
        <f>VLOOKUP(A1848,Medical_Examinations[],2,FALSE)</f>
        <v>26.885000000000002</v>
      </c>
      <c r="D1848">
        <f>VLOOKUP(A1848,Medical_Examinations[],3,FALSE)</f>
        <v>5.86</v>
      </c>
      <c r="E1848" t="str">
        <f>VLOOKUP(A1848,Medical_Examinations[],4,FALSE)</f>
        <v>No</v>
      </c>
      <c r="F1848" t="str">
        <f>VLOOKUP(A1848,Medical_Examinations[],5,FALSE)</f>
        <v>No</v>
      </c>
      <c r="G1848" t="str">
        <f>VLOOKUP(A1848,Medical_Examinations[],6,FALSE)</f>
        <v>No</v>
      </c>
      <c r="H1848">
        <f>VLOOKUP(A1848,Medical_Examinations[],7,FALSE)</f>
        <v>0</v>
      </c>
      <c r="I1848" t="str">
        <f>VLOOKUP(A1848,Medical_Examinations[],8,FALSE)</f>
        <v>No</v>
      </c>
      <c r="J1848" t="str">
        <f>VLOOKUP(A1848,Medical_Examinations[],9,FALSE)</f>
        <v>Overweight</v>
      </c>
      <c r="K1848" t="str">
        <f>VLOOKUP(A1848,Medical_Examinations[],10,FALSE)</f>
        <v>Prediabetes</v>
      </c>
      <c r="M1848">
        <f>VLOOKUP(A1848,Hospitalisation_Details__2[],4,FALSE)</f>
        <v>4441.21</v>
      </c>
      <c r="N1848" t="str">
        <f>VLOOKUP(A1848,Hospitalisation_Details__2[],5,FALSE)</f>
        <v>tier - 1</v>
      </c>
      <c r="O1848" t="str">
        <f>VLOOKUP(A1848,Hospitalisation_Details__2[],6,FALSE)</f>
        <v>tier - 2</v>
      </c>
      <c r="P1848" t="str">
        <f>VLOOKUP(A1848,Hospitalisation_Details__2[],7,FALSE)</f>
        <v>R1014</v>
      </c>
    </row>
    <row r="1849" spans="1:16" x14ac:dyDescent="0.35">
      <c r="A1849" t="str">
        <v>Id1848</v>
      </c>
      <c r="B1849" t="str">
        <f>VLOOKUP(A1849,'Customer Names (2)'!A:B, 2,FALSE)</f>
        <v>Mr</v>
      </c>
      <c r="C1849">
        <f>VLOOKUP(A1849,Medical_Examinations[],2,FALSE)</f>
        <v>29.26</v>
      </c>
      <c r="D1849">
        <f>VLOOKUP(A1849,Medical_Examinations[],3,FALSE)</f>
        <v>4.4400000000000004</v>
      </c>
      <c r="E1849" t="str">
        <f>VLOOKUP(A1849,Medical_Examinations[],4,FALSE)</f>
        <v>No</v>
      </c>
      <c r="F1849" t="str">
        <f>VLOOKUP(A1849,Medical_Examinations[],5,FALSE)</f>
        <v>No</v>
      </c>
      <c r="G1849" t="str">
        <f>VLOOKUP(A1849,Medical_Examinations[],6,FALSE)</f>
        <v>No</v>
      </c>
      <c r="H1849">
        <f>VLOOKUP(A1849,Medical_Examinations[],7,FALSE)</f>
        <v>0</v>
      </c>
      <c r="I1849" t="str">
        <f>VLOOKUP(A1849,Medical_Examinations[],8,FALSE)</f>
        <v>No</v>
      </c>
      <c r="J1849" t="str">
        <f>VLOOKUP(A1849,Medical_Examinations[],9,FALSE)</f>
        <v>Overweight</v>
      </c>
      <c r="K1849" t="str">
        <f>VLOOKUP(A1849,Medical_Examinations[],10,FALSE)</f>
        <v>Normal</v>
      </c>
      <c r="M1849">
        <f>VLOOKUP(A1849,Hospitalisation_Details__2[],4,FALSE)</f>
        <v>4438.26</v>
      </c>
      <c r="N1849" t="str">
        <f>VLOOKUP(A1849,Hospitalisation_Details__2[],5,FALSE)</f>
        <v>tier - 2</v>
      </c>
      <c r="O1849" t="str">
        <f>VLOOKUP(A1849,Hospitalisation_Details__2[],6,FALSE)</f>
        <v>tier - 3</v>
      </c>
      <c r="P1849" t="str">
        <f>VLOOKUP(A1849,Hospitalisation_Details__2[],7,FALSE)</f>
        <v>R1017</v>
      </c>
    </row>
    <row r="1850" spans="1:16" x14ac:dyDescent="0.35">
      <c r="A1850" t="str">
        <v>Id1849</v>
      </c>
      <c r="B1850" t="str">
        <f>VLOOKUP(A1850,'Customer Names (2)'!A:B, 2,FALSE)</f>
        <v>Mr</v>
      </c>
      <c r="C1850">
        <f>VLOOKUP(A1850,Medical_Examinations[],2,FALSE)</f>
        <v>26.98</v>
      </c>
      <c r="D1850">
        <f>VLOOKUP(A1850,Medical_Examinations[],3,FALSE)</f>
        <v>4.41</v>
      </c>
      <c r="E1850" t="str">
        <f>VLOOKUP(A1850,Medical_Examinations[],4,FALSE)</f>
        <v>No</v>
      </c>
      <c r="F1850" t="str">
        <f>VLOOKUP(A1850,Medical_Examinations[],5,FALSE)</f>
        <v>No</v>
      </c>
      <c r="G1850" t="str">
        <f>VLOOKUP(A1850,Medical_Examinations[],6,FALSE)</f>
        <v>No</v>
      </c>
      <c r="H1850">
        <f>VLOOKUP(A1850,Medical_Examinations[],7,FALSE)</f>
        <v>0</v>
      </c>
      <c r="I1850" t="str">
        <f>VLOOKUP(A1850,Medical_Examinations[],8,FALSE)</f>
        <v>No</v>
      </c>
      <c r="J1850" t="str">
        <f>VLOOKUP(A1850,Medical_Examinations[],9,FALSE)</f>
        <v>Overweight</v>
      </c>
      <c r="K1850" t="str">
        <f>VLOOKUP(A1850,Medical_Examinations[],10,FALSE)</f>
        <v>Normal</v>
      </c>
      <c r="M1850">
        <f>VLOOKUP(A1850,Hospitalisation_Details__2[],4,FALSE)</f>
        <v>4435.09</v>
      </c>
      <c r="N1850" t="str">
        <f>VLOOKUP(A1850,Hospitalisation_Details__2[],5,FALSE)</f>
        <v>tier - 3</v>
      </c>
      <c r="O1850" t="str">
        <f>VLOOKUP(A1850,Hospitalisation_Details__2[],6,FALSE)</f>
        <v>tier - 2</v>
      </c>
      <c r="P1850" t="str">
        <f>VLOOKUP(A1850,Hospitalisation_Details__2[],7,FALSE)</f>
        <v>R1016</v>
      </c>
    </row>
    <row r="1851" spans="1:16" x14ac:dyDescent="0.35">
      <c r="A1851" t="str">
        <v>Id1850</v>
      </c>
      <c r="B1851" t="str">
        <f>VLOOKUP(A1851,'Customer Names (2)'!A:B, 2,FALSE)</f>
        <v>Mr</v>
      </c>
      <c r="C1851">
        <f>VLOOKUP(A1851,Medical_Examinations[],2,FALSE)</f>
        <v>32.11</v>
      </c>
      <c r="D1851">
        <f>VLOOKUP(A1851,Medical_Examinations[],3,FALSE)</f>
        <v>5.19</v>
      </c>
      <c r="E1851" t="str">
        <f>VLOOKUP(A1851,Medical_Examinations[],4,FALSE)</f>
        <v>No</v>
      </c>
      <c r="F1851" t="str">
        <f>VLOOKUP(A1851,Medical_Examinations[],5,FALSE)</f>
        <v>No</v>
      </c>
      <c r="G1851" t="str">
        <f>VLOOKUP(A1851,Medical_Examinations[],6,FALSE)</f>
        <v>Yes</v>
      </c>
      <c r="H1851">
        <f>VLOOKUP(A1851,Medical_Examinations[],7,FALSE)</f>
        <v>1</v>
      </c>
      <c r="I1851" t="str">
        <f>VLOOKUP(A1851,Medical_Examinations[],8,FALSE)</f>
        <v>No</v>
      </c>
      <c r="J1851" t="str">
        <f>VLOOKUP(A1851,Medical_Examinations[],9,FALSE)</f>
        <v>Obesity</v>
      </c>
      <c r="K1851" t="str">
        <f>VLOOKUP(A1851,Medical_Examinations[],10,FALSE)</f>
        <v>Normal</v>
      </c>
      <c r="M1851">
        <f>VLOOKUP(A1851,Hospitalisation_Details__2[],4,FALSE)</f>
        <v>4433.92</v>
      </c>
      <c r="N1851" t="str">
        <f>VLOOKUP(A1851,Hospitalisation_Details__2[],5,FALSE)</f>
        <v>tier - 2</v>
      </c>
      <c r="O1851" t="str">
        <f>VLOOKUP(A1851,Hospitalisation_Details__2[],6,FALSE)</f>
        <v>tier - 2</v>
      </c>
      <c r="P1851" t="str">
        <f>VLOOKUP(A1851,Hospitalisation_Details__2[],7,FALSE)</f>
        <v>R1012</v>
      </c>
    </row>
    <row r="1852" spans="1:16" x14ac:dyDescent="0.35">
      <c r="A1852" t="str">
        <v>Id1851</v>
      </c>
      <c r="B1852" t="str">
        <f>VLOOKUP(A1852,'Customer Names (2)'!A:B, 2,FALSE)</f>
        <v>Mr</v>
      </c>
      <c r="C1852">
        <f>VLOOKUP(A1852,Medical_Examinations[],2,FALSE)</f>
        <v>31.73</v>
      </c>
      <c r="D1852">
        <f>VLOOKUP(A1852,Medical_Examinations[],3,FALSE)</f>
        <v>5.16</v>
      </c>
      <c r="E1852" t="str">
        <f>VLOOKUP(A1852,Medical_Examinations[],4,FALSE)</f>
        <v>No</v>
      </c>
      <c r="F1852" t="str">
        <f>VLOOKUP(A1852,Medical_Examinations[],5,FALSE)</f>
        <v>No</v>
      </c>
      <c r="G1852" t="str">
        <f>VLOOKUP(A1852,Medical_Examinations[],6,FALSE)</f>
        <v>Yes</v>
      </c>
      <c r="H1852">
        <f>VLOOKUP(A1852,Medical_Examinations[],7,FALSE)</f>
        <v>1</v>
      </c>
      <c r="I1852" t="str">
        <f>VLOOKUP(A1852,Medical_Examinations[],8,FALSE)</f>
        <v>No</v>
      </c>
      <c r="J1852" t="str">
        <f>VLOOKUP(A1852,Medical_Examinations[],9,FALSE)</f>
        <v>Obesity</v>
      </c>
      <c r="K1852" t="str">
        <f>VLOOKUP(A1852,Medical_Examinations[],10,FALSE)</f>
        <v>Normal</v>
      </c>
      <c r="M1852">
        <f>VLOOKUP(A1852,Hospitalisation_Details__2[],4,FALSE)</f>
        <v>4433.3900000000003</v>
      </c>
      <c r="N1852" t="str">
        <f>VLOOKUP(A1852,Hospitalisation_Details__2[],5,FALSE)</f>
        <v>tier - 2</v>
      </c>
      <c r="O1852" t="str">
        <f>VLOOKUP(A1852,Hospitalisation_Details__2[],6,FALSE)</f>
        <v>tier - 3</v>
      </c>
      <c r="P1852" t="str">
        <f>VLOOKUP(A1852,Hospitalisation_Details__2[],7,FALSE)</f>
        <v>R1012</v>
      </c>
    </row>
    <row r="1853" spans="1:16" x14ac:dyDescent="0.35">
      <c r="A1853" t="str">
        <v>Id1852</v>
      </c>
      <c r="B1853" t="str">
        <f>VLOOKUP(A1853,'Customer Names (2)'!A:B, 2,FALSE)</f>
        <v>Mr</v>
      </c>
      <c r="C1853">
        <f>VLOOKUP(A1853,Medical_Examinations[],2,FALSE)</f>
        <v>22.515000000000001</v>
      </c>
      <c r="D1853">
        <f>VLOOKUP(A1853,Medical_Examinations[],3,FALSE)</f>
        <v>4.24</v>
      </c>
      <c r="E1853" t="str">
        <f>VLOOKUP(A1853,Medical_Examinations[],4,FALSE)</f>
        <v>No</v>
      </c>
      <c r="F1853" t="str">
        <f>VLOOKUP(A1853,Medical_Examinations[],5,FALSE)</f>
        <v>No</v>
      </c>
      <c r="G1853" t="str">
        <f>VLOOKUP(A1853,Medical_Examinations[],6,FALSE)</f>
        <v>No</v>
      </c>
      <c r="H1853">
        <f>VLOOKUP(A1853,Medical_Examinations[],7,FALSE)</f>
        <v>0</v>
      </c>
      <c r="I1853" t="str">
        <f>VLOOKUP(A1853,Medical_Examinations[],8,FALSE)</f>
        <v>No</v>
      </c>
      <c r="J1853" t="str">
        <f>VLOOKUP(A1853,Medical_Examinations[],9,FALSE)</f>
        <v>Normal Weight</v>
      </c>
      <c r="K1853" t="str">
        <f>VLOOKUP(A1853,Medical_Examinations[],10,FALSE)</f>
        <v>Normal</v>
      </c>
      <c r="M1853">
        <f>VLOOKUP(A1853,Hospitalisation_Details__2[],4,FALSE)</f>
        <v>4428.8900000000003</v>
      </c>
      <c r="N1853" t="str">
        <f>VLOOKUP(A1853,Hospitalisation_Details__2[],5,FALSE)</f>
        <v>tier - 3</v>
      </c>
      <c r="O1853" t="str">
        <f>VLOOKUP(A1853,Hospitalisation_Details__2[],6,FALSE)</f>
        <v>tier - 1</v>
      </c>
      <c r="P1853" t="str">
        <f>VLOOKUP(A1853,Hospitalisation_Details__2[],7,FALSE)</f>
        <v>R1017</v>
      </c>
    </row>
    <row r="1854" spans="1:16" x14ac:dyDescent="0.35">
      <c r="A1854" t="str">
        <v>Id1853</v>
      </c>
      <c r="B1854" t="str">
        <f>VLOOKUP(A1854,'Customer Names (2)'!A:B, 2,FALSE)</f>
        <v>Mr</v>
      </c>
      <c r="C1854">
        <f>VLOOKUP(A1854,Medical_Examinations[],2,FALSE)</f>
        <v>25.9</v>
      </c>
      <c r="D1854">
        <f>VLOOKUP(A1854,Medical_Examinations[],3,FALSE)</f>
        <v>5.45</v>
      </c>
      <c r="E1854" t="str">
        <f>VLOOKUP(A1854,Medical_Examinations[],4,FALSE)</f>
        <v>No</v>
      </c>
      <c r="F1854" t="str">
        <f>VLOOKUP(A1854,Medical_Examinations[],5,FALSE)</f>
        <v>No</v>
      </c>
      <c r="G1854" t="str">
        <f>VLOOKUP(A1854,Medical_Examinations[],6,FALSE)</f>
        <v>No</v>
      </c>
      <c r="H1854">
        <f>VLOOKUP(A1854,Medical_Examinations[],7,FALSE)</f>
        <v>1</v>
      </c>
      <c r="I1854" t="str">
        <f>VLOOKUP(A1854,Medical_Examinations[],8,FALSE)</f>
        <v>No</v>
      </c>
      <c r="J1854" t="str">
        <f>VLOOKUP(A1854,Medical_Examinations[],9,FALSE)</f>
        <v>Overweight</v>
      </c>
      <c r="K1854" t="str">
        <f>VLOOKUP(A1854,Medical_Examinations[],10,FALSE)</f>
        <v>Normal</v>
      </c>
      <c r="M1854">
        <f>VLOOKUP(A1854,Hospitalisation_Details__2[],4,FALSE)</f>
        <v>4420.95</v>
      </c>
      <c r="N1854" t="str">
        <f>VLOOKUP(A1854,Hospitalisation_Details__2[],5,FALSE)</f>
        <v>tier - 2</v>
      </c>
      <c r="O1854" t="str">
        <f>VLOOKUP(A1854,Hospitalisation_Details__2[],6,FALSE)</f>
        <v>tier - 3</v>
      </c>
      <c r="P1854" t="str">
        <f>VLOOKUP(A1854,Hospitalisation_Details__2[],7,FALSE)</f>
        <v>R1020</v>
      </c>
    </row>
    <row r="1855" spans="1:16" x14ac:dyDescent="0.35">
      <c r="A1855" t="str">
        <v>Id1854</v>
      </c>
      <c r="B1855" t="str">
        <f>VLOOKUP(A1855,'Customer Names (2)'!A:B, 2,FALSE)</f>
        <v>Ms</v>
      </c>
      <c r="C1855">
        <f>VLOOKUP(A1855,Medical_Examinations[],2,FALSE)</f>
        <v>27.72</v>
      </c>
      <c r="D1855">
        <f>VLOOKUP(A1855,Medical_Examinations[],3,FALSE)</f>
        <v>5.03</v>
      </c>
      <c r="E1855" t="str">
        <f>VLOOKUP(A1855,Medical_Examinations[],4,FALSE)</f>
        <v>Yes</v>
      </c>
      <c r="F1855" t="str">
        <f>VLOOKUP(A1855,Medical_Examinations[],5,FALSE)</f>
        <v>No</v>
      </c>
      <c r="G1855" t="str">
        <f>VLOOKUP(A1855,Medical_Examinations[],6,FALSE)</f>
        <v>No</v>
      </c>
      <c r="H1855">
        <f>VLOOKUP(A1855,Medical_Examinations[],7,FALSE)</f>
        <v>1</v>
      </c>
      <c r="I1855" t="str">
        <f>VLOOKUP(A1855,Medical_Examinations[],8,FALSE)</f>
        <v>No</v>
      </c>
      <c r="J1855" t="str">
        <f>VLOOKUP(A1855,Medical_Examinations[],9,FALSE)</f>
        <v>Overweight</v>
      </c>
      <c r="K1855" t="str">
        <f>VLOOKUP(A1855,Medical_Examinations[],10,FALSE)</f>
        <v>Normal</v>
      </c>
      <c r="M1855">
        <f>VLOOKUP(A1855,Hospitalisation_Details__2[],4,FALSE)</f>
        <v>4415.16</v>
      </c>
      <c r="N1855" t="str">
        <f>VLOOKUP(A1855,Hospitalisation_Details__2[],5,FALSE)</f>
        <v>tier - 2</v>
      </c>
      <c r="O1855" t="str">
        <f>VLOOKUP(A1855,Hospitalisation_Details__2[],6,FALSE)</f>
        <v>tier - 1</v>
      </c>
      <c r="P1855" t="str">
        <f>VLOOKUP(A1855,Hospitalisation_Details__2[],7,FALSE)</f>
        <v>R1013</v>
      </c>
    </row>
    <row r="1856" spans="1:16" x14ac:dyDescent="0.35">
      <c r="A1856" t="str">
        <v>Id1855</v>
      </c>
      <c r="B1856" t="str">
        <f>VLOOKUP(A1856,'Customer Names (2)'!A:B, 2,FALSE)</f>
        <v>Mr</v>
      </c>
      <c r="C1856">
        <f>VLOOKUP(A1856,Medical_Examinations[],2,FALSE)</f>
        <v>31.5</v>
      </c>
      <c r="D1856">
        <f>VLOOKUP(A1856,Medical_Examinations[],3,FALSE)</f>
        <v>9.6199999999999992</v>
      </c>
      <c r="E1856" t="str">
        <f>VLOOKUP(A1856,Medical_Examinations[],4,FALSE)</f>
        <v>Yes</v>
      </c>
      <c r="F1856" t="str">
        <f>VLOOKUP(A1856,Medical_Examinations[],5,FALSE)</f>
        <v>No</v>
      </c>
      <c r="G1856" t="str">
        <f>VLOOKUP(A1856,Medical_Examinations[],6,FALSE)</f>
        <v>No</v>
      </c>
      <c r="H1856">
        <f>VLOOKUP(A1856,Medical_Examinations[],7,FALSE)</f>
        <v>1</v>
      </c>
      <c r="I1856" t="str">
        <f>VLOOKUP(A1856,Medical_Examinations[],8,FALSE)</f>
        <v>No</v>
      </c>
      <c r="J1856" t="str">
        <f>VLOOKUP(A1856,Medical_Examinations[],9,FALSE)</f>
        <v>Obesity</v>
      </c>
      <c r="K1856" t="str">
        <f>VLOOKUP(A1856,Medical_Examinations[],10,FALSE)</f>
        <v>Diabetes</v>
      </c>
      <c r="M1856">
        <f>VLOOKUP(A1856,Hospitalisation_Details__2[],4,FALSE)</f>
        <v>4402.2299999999996</v>
      </c>
      <c r="N1856" t="str">
        <f>VLOOKUP(A1856,Hospitalisation_Details__2[],5,FALSE)</f>
        <v>tier - 2</v>
      </c>
      <c r="O1856" t="str">
        <f>VLOOKUP(A1856,Hospitalisation_Details__2[],6,FALSE)</f>
        <v>tier - 2</v>
      </c>
      <c r="P1856" t="str">
        <f>VLOOKUP(A1856,Hospitalisation_Details__2[],7,FALSE)</f>
        <v>R1011</v>
      </c>
    </row>
    <row r="1857" spans="1:16" x14ac:dyDescent="0.35">
      <c r="A1857" t="str">
        <v>Id1856</v>
      </c>
      <c r="B1857" t="str">
        <f>VLOOKUP(A1857,'Customer Names (2)'!A:B, 2,FALSE)</f>
        <v>Mr</v>
      </c>
      <c r="C1857">
        <f>VLOOKUP(A1857,Medical_Examinations[],2,FALSE)</f>
        <v>29.7</v>
      </c>
      <c r="D1857">
        <f>VLOOKUP(A1857,Medical_Examinations[],3,FALSE)</f>
        <v>6.77</v>
      </c>
      <c r="E1857" t="str">
        <f>VLOOKUP(A1857,Medical_Examinations[],4,FALSE)</f>
        <v>Yes</v>
      </c>
      <c r="F1857" t="str">
        <f>VLOOKUP(A1857,Medical_Examinations[],5,FALSE)</f>
        <v>No</v>
      </c>
      <c r="G1857" t="str">
        <f>VLOOKUP(A1857,Medical_Examinations[],6,FALSE)</f>
        <v>No</v>
      </c>
      <c r="H1857">
        <f>VLOOKUP(A1857,Medical_Examinations[],7,FALSE)</f>
        <v>1</v>
      </c>
      <c r="I1857" t="str">
        <f>VLOOKUP(A1857,Medical_Examinations[],8,FALSE)</f>
        <v>No</v>
      </c>
      <c r="J1857" t="str">
        <f>VLOOKUP(A1857,Medical_Examinations[],9,FALSE)</f>
        <v>Overweight</v>
      </c>
      <c r="K1857" t="str">
        <f>VLOOKUP(A1857,Medical_Examinations[],10,FALSE)</f>
        <v>Diabetes</v>
      </c>
      <c r="M1857">
        <f>VLOOKUP(A1857,Hospitalisation_Details__2[],4,FALSE)</f>
        <v>4399.7299999999996</v>
      </c>
      <c r="N1857" t="str">
        <f>VLOOKUP(A1857,Hospitalisation_Details__2[],5,FALSE)</f>
        <v>tier - 3</v>
      </c>
      <c r="O1857" t="str">
        <f>VLOOKUP(A1857,Hospitalisation_Details__2[],6,FALSE)</f>
        <v>tier - 2</v>
      </c>
      <c r="P1857" t="str">
        <f>VLOOKUP(A1857,Hospitalisation_Details__2[],7,FALSE)</f>
        <v>R1013</v>
      </c>
    </row>
    <row r="1858" spans="1:16" x14ac:dyDescent="0.35">
      <c r="A1858" t="str">
        <v>Id1857</v>
      </c>
      <c r="B1858" t="str">
        <f>VLOOKUP(A1858,'Customer Names (2)'!A:B, 2,FALSE)</f>
        <v>Ms</v>
      </c>
      <c r="C1858">
        <f>VLOOKUP(A1858,Medical_Examinations[],2,FALSE)</f>
        <v>21.26</v>
      </c>
      <c r="D1858">
        <f>VLOOKUP(A1858,Medical_Examinations[],3,FALSE)</f>
        <v>5.36</v>
      </c>
      <c r="E1858" t="str">
        <f>VLOOKUP(A1858,Medical_Examinations[],4,FALSE)</f>
        <v>Yes</v>
      </c>
      <c r="F1858" t="str">
        <f>VLOOKUP(A1858,Medical_Examinations[],5,FALSE)</f>
        <v>No</v>
      </c>
      <c r="G1858" t="str">
        <f>VLOOKUP(A1858,Medical_Examinations[],6,FALSE)</f>
        <v>No</v>
      </c>
      <c r="H1858">
        <f>VLOOKUP(A1858,Medical_Examinations[],7,FALSE)</f>
        <v>1</v>
      </c>
      <c r="I1858" t="str">
        <f>VLOOKUP(A1858,Medical_Examinations[],8,FALSE)</f>
        <v>No</v>
      </c>
      <c r="J1858" t="str">
        <f>VLOOKUP(A1858,Medical_Examinations[],9,FALSE)</f>
        <v>Normal Weight</v>
      </c>
      <c r="K1858" t="str">
        <f>VLOOKUP(A1858,Medical_Examinations[],10,FALSE)</f>
        <v>Normal</v>
      </c>
      <c r="M1858">
        <f>VLOOKUP(A1858,Hospitalisation_Details__2[],4,FALSE)</f>
        <v>4397.3100000000004</v>
      </c>
      <c r="N1858" t="str">
        <f>VLOOKUP(A1858,Hospitalisation_Details__2[],5,FALSE)</f>
        <v>tier - 2</v>
      </c>
      <c r="O1858" t="str">
        <f>VLOOKUP(A1858,Hospitalisation_Details__2[],6,FALSE)</f>
        <v>tier - 2</v>
      </c>
      <c r="P1858" t="str">
        <f>VLOOKUP(A1858,Hospitalisation_Details__2[],7,FALSE)</f>
        <v>R1013</v>
      </c>
    </row>
    <row r="1859" spans="1:16" x14ac:dyDescent="0.35">
      <c r="A1859" t="str">
        <v>Id1858</v>
      </c>
      <c r="B1859" t="str">
        <f>VLOOKUP(A1859,'Customer Names (2)'!A:B, 2,FALSE)</f>
        <v>Mr</v>
      </c>
      <c r="C1859">
        <f>VLOOKUP(A1859,Medical_Examinations[],2,FALSE)</f>
        <v>17.09</v>
      </c>
      <c r="D1859">
        <f>VLOOKUP(A1859,Medical_Examinations[],3,FALSE)</f>
        <v>5.69</v>
      </c>
      <c r="E1859" t="str">
        <f>VLOOKUP(A1859,Medical_Examinations[],4,FALSE)</f>
        <v>No</v>
      </c>
      <c r="F1859" t="str">
        <f>VLOOKUP(A1859,Medical_Examinations[],5,FALSE)</f>
        <v>No</v>
      </c>
      <c r="G1859" t="str">
        <f>VLOOKUP(A1859,Medical_Examinations[],6,FALSE)</f>
        <v>No</v>
      </c>
      <c r="H1859">
        <f>VLOOKUP(A1859,Medical_Examinations[],7,FALSE)</f>
        <v>0</v>
      </c>
      <c r="I1859" t="str">
        <f>VLOOKUP(A1859,Medical_Examinations[],8,FALSE)</f>
        <v>No</v>
      </c>
      <c r="J1859" t="str">
        <f>VLOOKUP(A1859,Medical_Examinations[],9,FALSE)</f>
        <v>Underweight</v>
      </c>
      <c r="K1859" t="str">
        <f>VLOOKUP(A1859,Medical_Examinations[],10,FALSE)</f>
        <v>Normal</v>
      </c>
      <c r="M1859">
        <f>VLOOKUP(A1859,Hospitalisation_Details__2[],4,FALSE)</f>
        <v>4392.7</v>
      </c>
      <c r="N1859" t="str">
        <f>VLOOKUP(A1859,Hospitalisation_Details__2[],5,FALSE)</f>
        <v>tier - 2</v>
      </c>
      <c r="O1859" t="str">
        <f>VLOOKUP(A1859,Hospitalisation_Details__2[],6,FALSE)</f>
        <v>tier - 2</v>
      </c>
      <c r="P1859" t="str">
        <f>VLOOKUP(A1859,Hospitalisation_Details__2[],7,FALSE)</f>
        <v>R1013</v>
      </c>
    </row>
    <row r="1860" spans="1:16" x14ac:dyDescent="0.35">
      <c r="A1860" t="str">
        <v>Id1859</v>
      </c>
      <c r="B1860" t="str">
        <f>VLOOKUP(A1860,'Customer Names (2)'!A:B, 2,FALSE)</f>
        <v>Ms</v>
      </c>
      <c r="C1860">
        <f>VLOOKUP(A1860,Medical_Examinations[],2,FALSE)</f>
        <v>24.3</v>
      </c>
      <c r="D1860">
        <f>VLOOKUP(A1860,Medical_Examinations[],3,FALSE)</f>
        <v>4.9000000000000004</v>
      </c>
      <c r="E1860" t="str">
        <f>VLOOKUP(A1860,Medical_Examinations[],4,FALSE)</f>
        <v>Yes</v>
      </c>
      <c r="F1860" t="str">
        <f>VLOOKUP(A1860,Medical_Examinations[],5,FALSE)</f>
        <v>No</v>
      </c>
      <c r="G1860" t="str">
        <f>VLOOKUP(A1860,Medical_Examinations[],6,FALSE)</f>
        <v>Yes</v>
      </c>
      <c r="H1860">
        <f>VLOOKUP(A1860,Medical_Examinations[],7,FALSE)</f>
        <v>1</v>
      </c>
      <c r="I1860" t="str">
        <f>VLOOKUP(A1860,Medical_Examinations[],8,FALSE)</f>
        <v>No</v>
      </c>
      <c r="J1860" t="str">
        <f>VLOOKUP(A1860,Medical_Examinations[],9,FALSE)</f>
        <v>Normal Weight</v>
      </c>
      <c r="K1860" t="str">
        <f>VLOOKUP(A1860,Medical_Examinations[],10,FALSE)</f>
        <v>Normal</v>
      </c>
      <c r="M1860">
        <f>VLOOKUP(A1860,Hospitalisation_Details__2[],4,FALSE)</f>
        <v>4391.6499999999996</v>
      </c>
      <c r="N1860" t="str">
        <f>VLOOKUP(A1860,Hospitalisation_Details__2[],5,FALSE)</f>
        <v>tier - 2</v>
      </c>
      <c r="O1860" t="str">
        <f>VLOOKUP(A1860,Hospitalisation_Details__2[],6,FALSE)</f>
        <v>tier - 2</v>
      </c>
      <c r="P1860" t="str">
        <f>VLOOKUP(A1860,Hospitalisation_Details__2[],7,FALSE)</f>
        <v>R1011</v>
      </c>
    </row>
    <row r="1861" spans="1:16" x14ac:dyDescent="0.35">
      <c r="A1861" t="str">
        <v>Id1860</v>
      </c>
      <c r="B1861" t="str">
        <f>VLOOKUP(A1861,'Customer Names (2)'!A:B, 2,FALSE)</f>
        <v>Ms</v>
      </c>
      <c r="C1861">
        <f>VLOOKUP(A1861,Medical_Examinations[],2,FALSE)</f>
        <v>29.734999999999999</v>
      </c>
      <c r="D1861">
        <f>VLOOKUP(A1861,Medical_Examinations[],3,FALSE)</f>
        <v>5.78</v>
      </c>
      <c r="E1861" t="str">
        <f>VLOOKUP(A1861,Medical_Examinations[],4,FALSE)</f>
        <v>No</v>
      </c>
      <c r="F1861" t="str">
        <f>VLOOKUP(A1861,Medical_Examinations[],5,FALSE)</f>
        <v>No</v>
      </c>
      <c r="G1861" t="str">
        <f>VLOOKUP(A1861,Medical_Examinations[],6,FALSE)</f>
        <v>No</v>
      </c>
      <c r="H1861">
        <f>VLOOKUP(A1861,Medical_Examinations[],7,FALSE)</f>
        <v>0</v>
      </c>
      <c r="I1861" t="str">
        <f>VLOOKUP(A1861,Medical_Examinations[],8,FALSE)</f>
        <v>No</v>
      </c>
      <c r="J1861" t="str">
        <f>VLOOKUP(A1861,Medical_Examinations[],9,FALSE)</f>
        <v>Overweight</v>
      </c>
      <c r="K1861" t="str">
        <f>VLOOKUP(A1861,Medical_Examinations[],10,FALSE)</f>
        <v>Prediabetes</v>
      </c>
      <c r="M1861">
        <f>VLOOKUP(A1861,Hospitalisation_Details__2[],4,FALSE)</f>
        <v>4357.04</v>
      </c>
      <c r="N1861" t="str">
        <f>VLOOKUP(A1861,Hospitalisation_Details__2[],5,FALSE)</f>
        <v>tier - 2</v>
      </c>
      <c r="O1861" t="str">
        <f>VLOOKUP(A1861,Hospitalisation_Details__2[],6,FALSE)</f>
        <v>tier - 3</v>
      </c>
      <c r="P1861" t="str">
        <f>VLOOKUP(A1861,Hospitalisation_Details__2[],7,FALSE)</f>
        <v>R1012</v>
      </c>
    </row>
    <row r="1862" spans="1:16" x14ac:dyDescent="0.35">
      <c r="A1862" t="str">
        <v>Id1861</v>
      </c>
      <c r="B1862" t="str">
        <f>VLOOKUP(A1862,'Customer Names (2)'!A:B, 2,FALSE)</f>
        <v>Ms</v>
      </c>
      <c r="C1862">
        <f>VLOOKUP(A1862,Medical_Examinations[],2,FALSE)</f>
        <v>29.26</v>
      </c>
      <c r="D1862">
        <f>VLOOKUP(A1862,Medical_Examinations[],3,FALSE)</f>
        <v>4.7</v>
      </c>
      <c r="E1862" t="str">
        <f>VLOOKUP(A1862,Medical_Examinations[],4,FALSE)</f>
        <v>No</v>
      </c>
      <c r="F1862" t="str">
        <f>VLOOKUP(A1862,Medical_Examinations[],5,FALSE)</f>
        <v>No</v>
      </c>
      <c r="G1862" t="str">
        <f>VLOOKUP(A1862,Medical_Examinations[],6,FALSE)</f>
        <v>No</v>
      </c>
      <c r="H1862">
        <f>VLOOKUP(A1862,Medical_Examinations[],7,FALSE)</f>
        <v>0</v>
      </c>
      <c r="I1862" t="str">
        <f>VLOOKUP(A1862,Medical_Examinations[],8,FALSE)</f>
        <v>No</v>
      </c>
      <c r="J1862" t="str">
        <f>VLOOKUP(A1862,Medical_Examinations[],9,FALSE)</f>
        <v>Overweight</v>
      </c>
      <c r="K1862" t="str">
        <f>VLOOKUP(A1862,Medical_Examinations[],10,FALSE)</f>
        <v>Normal</v>
      </c>
      <c r="M1862">
        <f>VLOOKUP(A1862,Hospitalisation_Details__2[],4,FALSE)</f>
        <v>4350.51</v>
      </c>
      <c r="N1862" t="str">
        <f>VLOOKUP(A1862,Hospitalisation_Details__2[],5,FALSE)</f>
        <v>tier - 2</v>
      </c>
      <c r="O1862" t="str">
        <f>VLOOKUP(A1862,Hospitalisation_Details__2[],6,FALSE)</f>
        <v>tier - 2</v>
      </c>
      <c r="P1862" t="str">
        <f>VLOOKUP(A1862,Hospitalisation_Details__2[],7,FALSE)</f>
        <v>R1013</v>
      </c>
    </row>
    <row r="1863" spans="1:16" x14ac:dyDescent="0.35">
      <c r="A1863" t="str">
        <v>Id1862</v>
      </c>
      <c r="B1863" t="str">
        <f>VLOOKUP(A1863,'Customer Names (2)'!A:B, 2,FALSE)</f>
        <v>Ms</v>
      </c>
      <c r="C1863">
        <f>VLOOKUP(A1863,Medical_Examinations[],2,FALSE)</f>
        <v>33</v>
      </c>
      <c r="D1863">
        <f>VLOOKUP(A1863,Medical_Examinations[],3,FALSE)</f>
        <v>6.28</v>
      </c>
      <c r="E1863" t="str">
        <f>VLOOKUP(A1863,Medical_Examinations[],4,FALSE)</f>
        <v>No</v>
      </c>
      <c r="F1863" t="str">
        <f>VLOOKUP(A1863,Medical_Examinations[],5,FALSE)</f>
        <v>No</v>
      </c>
      <c r="G1863" t="str">
        <f>VLOOKUP(A1863,Medical_Examinations[],6,FALSE)</f>
        <v>No</v>
      </c>
      <c r="H1863">
        <f>VLOOKUP(A1863,Medical_Examinations[],7,FALSE)</f>
        <v>0</v>
      </c>
      <c r="I1863" t="str">
        <f>VLOOKUP(A1863,Medical_Examinations[],8,FALSE)</f>
        <v>No</v>
      </c>
      <c r="J1863" t="str">
        <f>VLOOKUP(A1863,Medical_Examinations[],9,FALSE)</f>
        <v>Obesity</v>
      </c>
      <c r="K1863" t="str">
        <f>VLOOKUP(A1863,Medical_Examinations[],10,FALSE)</f>
        <v>Prediabetes</v>
      </c>
      <c r="M1863">
        <f>VLOOKUP(A1863,Hospitalisation_Details__2[],4,FALSE)</f>
        <v>4349.46</v>
      </c>
      <c r="N1863" t="str">
        <f>VLOOKUP(A1863,Hospitalisation_Details__2[],5,FALSE)</f>
        <v>tier - 2</v>
      </c>
      <c r="O1863" t="str">
        <f>VLOOKUP(A1863,Hospitalisation_Details__2[],6,FALSE)</f>
        <v>tier - 2</v>
      </c>
      <c r="P1863" t="str">
        <f>VLOOKUP(A1863,Hospitalisation_Details__2[],7,FALSE)</f>
        <v>R1013</v>
      </c>
    </row>
    <row r="1864" spans="1:16" x14ac:dyDescent="0.35">
      <c r="A1864" t="str">
        <v>Id1863</v>
      </c>
      <c r="B1864" t="str">
        <f>VLOOKUP(A1864,'Customer Names (2)'!A:B, 2,FALSE)</f>
        <v>Ms</v>
      </c>
      <c r="C1864">
        <f>VLOOKUP(A1864,Medical_Examinations[],2,FALSE)</f>
        <v>31.065000000000001</v>
      </c>
      <c r="D1864">
        <f>VLOOKUP(A1864,Medical_Examinations[],3,FALSE)</f>
        <v>4.2300000000000004</v>
      </c>
      <c r="E1864" t="str">
        <f>VLOOKUP(A1864,Medical_Examinations[],4,FALSE)</f>
        <v>No</v>
      </c>
      <c r="F1864" t="str">
        <f>VLOOKUP(A1864,Medical_Examinations[],5,FALSE)</f>
        <v>No</v>
      </c>
      <c r="G1864" t="str">
        <f>VLOOKUP(A1864,Medical_Examinations[],6,FALSE)</f>
        <v>No</v>
      </c>
      <c r="H1864">
        <f>VLOOKUP(A1864,Medical_Examinations[],7,FALSE)</f>
        <v>0</v>
      </c>
      <c r="I1864" t="str">
        <f>VLOOKUP(A1864,Medical_Examinations[],8,FALSE)</f>
        <v>No</v>
      </c>
      <c r="J1864" t="str">
        <f>VLOOKUP(A1864,Medical_Examinations[],9,FALSE)</f>
        <v>Obesity</v>
      </c>
      <c r="K1864" t="str">
        <f>VLOOKUP(A1864,Medical_Examinations[],10,FALSE)</f>
        <v>Normal</v>
      </c>
      <c r="M1864">
        <f>VLOOKUP(A1864,Hospitalisation_Details__2[],4,FALSE)</f>
        <v>4347.0200000000004</v>
      </c>
      <c r="N1864" t="str">
        <f>VLOOKUP(A1864,Hospitalisation_Details__2[],5,FALSE)</f>
        <v>tier - 2</v>
      </c>
      <c r="O1864" t="str">
        <f>VLOOKUP(A1864,Hospitalisation_Details__2[],6,FALSE)</f>
        <v>tier - 1</v>
      </c>
      <c r="P1864" t="str">
        <f>VLOOKUP(A1864,Hospitalisation_Details__2[],7,FALSE)</f>
        <v>R1024</v>
      </c>
    </row>
    <row r="1865" spans="1:16" x14ac:dyDescent="0.35">
      <c r="A1865" t="str">
        <v>Id1864</v>
      </c>
      <c r="B1865" t="str">
        <f>VLOOKUP(A1865,'Customer Names (2)'!A:B, 2,FALSE)</f>
        <v>Ms</v>
      </c>
      <c r="C1865">
        <f>VLOOKUP(A1865,Medical_Examinations[],2,FALSE)</f>
        <v>26.51</v>
      </c>
      <c r="D1865">
        <f>VLOOKUP(A1865,Medical_Examinations[],3,FALSE)</f>
        <v>6.17</v>
      </c>
      <c r="E1865" t="str">
        <f>VLOOKUP(A1865,Medical_Examinations[],4,FALSE)</f>
        <v>No</v>
      </c>
      <c r="F1865" t="str">
        <f>VLOOKUP(A1865,Medical_Examinations[],5,FALSE)</f>
        <v>No</v>
      </c>
      <c r="G1865" t="str">
        <f>VLOOKUP(A1865,Medical_Examinations[],6,FALSE)</f>
        <v>No</v>
      </c>
      <c r="H1865">
        <f>VLOOKUP(A1865,Medical_Examinations[],7,FALSE)</f>
        <v>0</v>
      </c>
      <c r="I1865" t="str">
        <f>VLOOKUP(A1865,Medical_Examinations[],8,FALSE)</f>
        <v>No</v>
      </c>
      <c r="J1865" t="str">
        <f>VLOOKUP(A1865,Medical_Examinations[],9,FALSE)</f>
        <v>Overweight</v>
      </c>
      <c r="K1865" t="str">
        <f>VLOOKUP(A1865,Medical_Examinations[],10,FALSE)</f>
        <v>Prediabetes</v>
      </c>
      <c r="M1865">
        <f>VLOOKUP(A1865,Hospitalisation_Details__2[],4,FALSE)</f>
        <v>4340.4399999999996</v>
      </c>
      <c r="N1865" t="str">
        <f>VLOOKUP(A1865,Hospitalisation_Details__2[],5,FALSE)</f>
        <v>tier - 2</v>
      </c>
      <c r="O1865" t="str">
        <f>VLOOKUP(A1865,Hospitalisation_Details__2[],6,FALSE)</f>
        <v>tier - 1</v>
      </c>
      <c r="P1865" t="str">
        <f>VLOOKUP(A1865,Hospitalisation_Details__2[],7,FALSE)</f>
        <v>R1013</v>
      </c>
    </row>
    <row r="1866" spans="1:16" x14ac:dyDescent="0.35">
      <c r="A1866" t="str">
        <v>Id1865</v>
      </c>
      <c r="B1866" t="str">
        <f>VLOOKUP(A1866,'Customer Names (2)'!A:B, 2,FALSE)</f>
        <v>Ms</v>
      </c>
      <c r="C1866">
        <f>VLOOKUP(A1866,Medical_Examinations[],2,FALSE)</f>
        <v>28.88</v>
      </c>
      <c r="D1866">
        <f>VLOOKUP(A1866,Medical_Examinations[],3,FALSE)</f>
        <v>4.96</v>
      </c>
      <c r="E1866" t="str">
        <f>VLOOKUP(A1866,Medical_Examinations[],4,FALSE)</f>
        <v>No</v>
      </c>
      <c r="F1866" t="str">
        <f>VLOOKUP(A1866,Medical_Examinations[],5,FALSE)</f>
        <v>No</v>
      </c>
      <c r="G1866" t="str">
        <f>VLOOKUP(A1866,Medical_Examinations[],6,FALSE)</f>
        <v>No</v>
      </c>
      <c r="H1866">
        <f>VLOOKUP(A1866,Medical_Examinations[],7,FALSE)</f>
        <v>0</v>
      </c>
      <c r="I1866" t="str">
        <f>VLOOKUP(A1866,Medical_Examinations[],8,FALSE)</f>
        <v>No</v>
      </c>
      <c r="J1866" t="str">
        <f>VLOOKUP(A1866,Medical_Examinations[],9,FALSE)</f>
        <v>Overweight</v>
      </c>
      <c r="K1866" t="str">
        <f>VLOOKUP(A1866,Medical_Examinations[],10,FALSE)</f>
        <v>Normal</v>
      </c>
      <c r="M1866">
        <f>VLOOKUP(A1866,Hospitalisation_Details__2[],4,FALSE)</f>
        <v>4337.74</v>
      </c>
      <c r="N1866" t="str">
        <f>VLOOKUP(A1866,Hospitalisation_Details__2[],5,FALSE)</f>
        <v>tier - 2</v>
      </c>
      <c r="O1866" t="str">
        <f>VLOOKUP(A1866,Hospitalisation_Details__2[],6,FALSE)</f>
        <v>tier - 1</v>
      </c>
      <c r="P1866" t="str">
        <f>VLOOKUP(A1866,Hospitalisation_Details__2[],7,FALSE)</f>
        <v>R1024</v>
      </c>
    </row>
    <row r="1867" spans="1:16" x14ac:dyDescent="0.35">
      <c r="A1867" t="str">
        <v>Id1866</v>
      </c>
      <c r="B1867" t="str">
        <f>VLOOKUP(A1867,'Customer Names (2)'!A:B, 2,FALSE)</f>
        <v>Mr</v>
      </c>
      <c r="C1867">
        <f>VLOOKUP(A1867,Medical_Examinations[],2,FALSE)</f>
        <v>35.814999999999998</v>
      </c>
      <c r="D1867">
        <f>VLOOKUP(A1867,Medical_Examinations[],3,FALSE)</f>
        <v>5.1100000000000003</v>
      </c>
      <c r="E1867" t="str">
        <f>VLOOKUP(A1867,Medical_Examinations[],4,FALSE)</f>
        <v>Yes</v>
      </c>
      <c r="F1867" t="str">
        <f>VLOOKUP(A1867,Medical_Examinations[],5,FALSE)</f>
        <v>No</v>
      </c>
      <c r="G1867" t="str">
        <f>VLOOKUP(A1867,Medical_Examinations[],6,FALSE)</f>
        <v>No</v>
      </c>
      <c r="H1867">
        <f>VLOOKUP(A1867,Medical_Examinations[],7,FALSE)</f>
        <v>1</v>
      </c>
      <c r="I1867" t="str">
        <f>VLOOKUP(A1867,Medical_Examinations[],8,FALSE)</f>
        <v>No</v>
      </c>
      <c r="J1867" t="str">
        <f>VLOOKUP(A1867,Medical_Examinations[],9,FALSE)</f>
        <v>Obesity</v>
      </c>
      <c r="K1867" t="str">
        <f>VLOOKUP(A1867,Medical_Examinations[],10,FALSE)</f>
        <v>Normal</v>
      </c>
      <c r="M1867">
        <f>VLOOKUP(A1867,Hospitalisation_Details__2[],4,FALSE)</f>
        <v>4320.41</v>
      </c>
      <c r="N1867" t="str">
        <f>VLOOKUP(A1867,Hospitalisation_Details__2[],5,FALSE)</f>
        <v>tier - 2</v>
      </c>
      <c r="O1867" t="str">
        <f>VLOOKUP(A1867,Hospitalisation_Details__2[],6,FALSE)</f>
        <v>tier - 1</v>
      </c>
      <c r="P1867" t="str">
        <f>VLOOKUP(A1867,Hospitalisation_Details__2[],7,FALSE)</f>
        <v>R1012</v>
      </c>
    </row>
    <row r="1868" spans="1:16" x14ac:dyDescent="0.35">
      <c r="A1868" t="str">
        <v>Id1867</v>
      </c>
      <c r="B1868" t="str">
        <f>VLOOKUP(A1868,'Customer Names (2)'!A:B, 2,FALSE)</f>
        <v>Ms</v>
      </c>
      <c r="C1868">
        <f>VLOOKUP(A1868,Medical_Examinations[],2,FALSE)</f>
        <v>21.28</v>
      </c>
      <c r="D1868">
        <f>VLOOKUP(A1868,Medical_Examinations[],3,FALSE)</f>
        <v>4.05</v>
      </c>
      <c r="E1868" t="str">
        <f>VLOOKUP(A1868,Medical_Examinations[],4,FALSE)</f>
        <v>No</v>
      </c>
      <c r="F1868" t="str">
        <f>VLOOKUP(A1868,Medical_Examinations[],5,FALSE)</f>
        <v>yes</v>
      </c>
      <c r="G1868" t="str">
        <f>VLOOKUP(A1868,Medical_Examinations[],6,FALSE)</f>
        <v>No</v>
      </c>
      <c r="H1868">
        <f>VLOOKUP(A1868,Medical_Examinations[],7,FALSE)</f>
        <v>1</v>
      </c>
      <c r="I1868" t="str">
        <f>VLOOKUP(A1868,Medical_Examinations[],8,FALSE)</f>
        <v>No</v>
      </c>
      <c r="J1868" t="str">
        <f>VLOOKUP(A1868,Medical_Examinations[],9,FALSE)</f>
        <v>Normal Weight</v>
      </c>
      <c r="K1868" t="str">
        <f>VLOOKUP(A1868,Medical_Examinations[],10,FALSE)</f>
        <v>Normal</v>
      </c>
      <c r="M1868">
        <f>VLOOKUP(A1868,Hospitalisation_Details__2[],4,FALSE)</f>
        <v>4296.2700000000004</v>
      </c>
      <c r="N1868" t="str">
        <f>VLOOKUP(A1868,Hospitalisation_Details__2[],5,FALSE)</f>
        <v>tier - 2</v>
      </c>
      <c r="O1868" t="str">
        <f>VLOOKUP(A1868,Hospitalisation_Details__2[],6,FALSE)</f>
        <v>tier - 3</v>
      </c>
      <c r="P1868" t="str">
        <f>VLOOKUP(A1868,Hospitalisation_Details__2[],7,FALSE)</f>
        <v>R1012</v>
      </c>
    </row>
    <row r="1869" spans="1:16" x14ac:dyDescent="0.35">
      <c r="A1869" t="str">
        <v>Id1868</v>
      </c>
      <c r="B1869" t="str">
        <f>VLOOKUP(A1869,'Customer Names (2)'!A:B, 2,FALSE)</f>
        <v>Mr</v>
      </c>
      <c r="C1869">
        <f>VLOOKUP(A1869,Medical_Examinations[],2,FALSE)</f>
        <v>33.81</v>
      </c>
      <c r="D1869">
        <f>VLOOKUP(A1869,Medical_Examinations[],3,FALSE)</f>
        <v>6.49</v>
      </c>
      <c r="E1869" t="str">
        <f>VLOOKUP(A1869,Medical_Examinations[],4,FALSE)</f>
        <v>No</v>
      </c>
      <c r="F1869" t="str">
        <f>VLOOKUP(A1869,Medical_Examinations[],5,FALSE)</f>
        <v>No</v>
      </c>
      <c r="G1869" t="str">
        <f>VLOOKUP(A1869,Medical_Examinations[],6,FALSE)</f>
        <v>Yes</v>
      </c>
      <c r="H1869">
        <f>VLOOKUP(A1869,Medical_Examinations[],7,FALSE)</f>
        <v>1</v>
      </c>
      <c r="I1869" t="str">
        <f>VLOOKUP(A1869,Medical_Examinations[],8,FALSE)</f>
        <v>No</v>
      </c>
      <c r="J1869" t="str">
        <f>VLOOKUP(A1869,Medical_Examinations[],9,FALSE)</f>
        <v>Obesity</v>
      </c>
      <c r="K1869" t="str">
        <f>VLOOKUP(A1869,Medical_Examinations[],10,FALSE)</f>
        <v>Prediabetes</v>
      </c>
      <c r="M1869">
        <f>VLOOKUP(A1869,Hospitalisation_Details__2[],4,FALSE)</f>
        <v>4278.55</v>
      </c>
      <c r="N1869" t="str">
        <f>VLOOKUP(A1869,Hospitalisation_Details__2[],5,FALSE)</f>
        <v>tier - 2</v>
      </c>
      <c r="O1869" t="str">
        <f>VLOOKUP(A1869,Hospitalisation_Details__2[],6,FALSE)</f>
        <v>tier - 1</v>
      </c>
      <c r="P1869" t="str">
        <f>VLOOKUP(A1869,Hospitalisation_Details__2[],7,FALSE)</f>
        <v>R1021</v>
      </c>
    </row>
    <row r="1870" spans="1:16" x14ac:dyDescent="0.35">
      <c r="A1870" t="str">
        <v>Id1869</v>
      </c>
      <c r="B1870" t="str">
        <f>VLOOKUP(A1870,'Customer Names (2)'!A:B, 2,FALSE)</f>
        <v>Mr</v>
      </c>
      <c r="C1870">
        <f>VLOOKUP(A1870,Medical_Examinations[],2,FALSE)</f>
        <v>44.22</v>
      </c>
      <c r="D1870">
        <f>VLOOKUP(A1870,Medical_Examinations[],3,FALSE)</f>
        <v>4.1900000000000004</v>
      </c>
      <c r="E1870" t="str">
        <f>VLOOKUP(A1870,Medical_Examinations[],4,FALSE)</f>
        <v>No</v>
      </c>
      <c r="F1870" t="str">
        <f>VLOOKUP(A1870,Medical_Examinations[],5,FALSE)</f>
        <v>No</v>
      </c>
      <c r="G1870" t="str">
        <f>VLOOKUP(A1870,Medical_Examinations[],6,FALSE)</f>
        <v>No</v>
      </c>
      <c r="H1870">
        <f>VLOOKUP(A1870,Medical_Examinations[],7,FALSE)</f>
        <v>1</v>
      </c>
      <c r="I1870" t="str">
        <f>VLOOKUP(A1870,Medical_Examinations[],8,FALSE)</f>
        <v>No</v>
      </c>
      <c r="J1870" t="str">
        <f>VLOOKUP(A1870,Medical_Examinations[],9,FALSE)</f>
        <v>Obesity</v>
      </c>
      <c r="K1870" t="str">
        <f>VLOOKUP(A1870,Medical_Examinations[],10,FALSE)</f>
        <v>Normal</v>
      </c>
      <c r="M1870">
        <f>VLOOKUP(A1870,Hospitalisation_Details__2[],4,FALSE)</f>
        <v>4266.17</v>
      </c>
      <c r="N1870" t="str">
        <f>VLOOKUP(A1870,Hospitalisation_Details__2[],5,FALSE)</f>
        <v>tier - 3</v>
      </c>
      <c r="O1870" t="str">
        <f>VLOOKUP(A1870,Hospitalisation_Details__2[],6,FALSE)</f>
        <v>tier - 2</v>
      </c>
      <c r="P1870" t="str">
        <f>VLOOKUP(A1870,Hospitalisation_Details__2[],7,FALSE)</f>
        <v>R1013</v>
      </c>
    </row>
    <row r="1871" spans="1:16" x14ac:dyDescent="0.35">
      <c r="A1871" t="str">
        <v>Id1870</v>
      </c>
      <c r="B1871" t="str">
        <f>VLOOKUP(A1871,'Customer Names (2)'!A:B, 2,FALSE)</f>
        <v>Mr</v>
      </c>
      <c r="C1871">
        <f>VLOOKUP(A1871,Medical_Examinations[],2,FALSE)</f>
        <v>15.46</v>
      </c>
      <c r="D1871">
        <f>VLOOKUP(A1871,Medical_Examinations[],3,FALSE)</f>
        <v>4.99</v>
      </c>
      <c r="E1871" t="str">
        <f>VLOOKUP(A1871,Medical_Examinations[],4,FALSE)</f>
        <v>Yes</v>
      </c>
      <c r="F1871" t="str">
        <f>VLOOKUP(A1871,Medical_Examinations[],5,FALSE)</f>
        <v>No</v>
      </c>
      <c r="G1871" t="str">
        <f>VLOOKUP(A1871,Medical_Examinations[],6,FALSE)</f>
        <v>Yes</v>
      </c>
      <c r="H1871">
        <f>VLOOKUP(A1871,Medical_Examinations[],7,FALSE)</f>
        <v>1</v>
      </c>
      <c r="I1871" t="str">
        <f>VLOOKUP(A1871,Medical_Examinations[],8,FALSE)</f>
        <v>No</v>
      </c>
      <c r="J1871" t="str">
        <f>VLOOKUP(A1871,Medical_Examinations[],9,FALSE)</f>
        <v>Underweight</v>
      </c>
      <c r="K1871" t="str">
        <f>VLOOKUP(A1871,Medical_Examinations[],10,FALSE)</f>
        <v>Normal</v>
      </c>
      <c r="M1871">
        <f>VLOOKUP(A1871,Hospitalisation_Details__2[],4,FALSE)</f>
        <v>4265.01</v>
      </c>
      <c r="N1871" t="str">
        <f>VLOOKUP(A1871,Hospitalisation_Details__2[],5,FALSE)</f>
        <v>tier - 2</v>
      </c>
      <c r="O1871" t="str">
        <f>VLOOKUP(A1871,Hospitalisation_Details__2[],6,FALSE)</f>
        <v>tier - 1</v>
      </c>
      <c r="P1871" t="str">
        <f>VLOOKUP(A1871,Hospitalisation_Details__2[],7,FALSE)</f>
        <v>R1012</v>
      </c>
    </row>
    <row r="1872" spans="1:16" x14ac:dyDescent="0.35">
      <c r="A1872" t="str">
        <v>Id1871</v>
      </c>
      <c r="B1872" t="str">
        <f>VLOOKUP(A1872,'Customer Names (2)'!A:B, 2,FALSE)</f>
        <v>Mr</v>
      </c>
      <c r="C1872">
        <f>VLOOKUP(A1872,Medical_Examinations[],2,FALSE)</f>
        <v>30.3</v>
      </c>
      <c r="D1872">
        <f>VLOOKUP(A1872,Medical_Examinations[],3,FALSE)</f>
        <v>4.7699999999999996</v>
      </c>
      <c r="E1872" t="str">
        <f>VLOOKUP(A1872,Medical_Examinations[],4,FALSE)</f>
        <v>Yes</v>
      </c>
      <c r="F1872" t="str">
        <f>VLOOKUP(A1872,Medical_Examinations[],5,FALSE)</f>
        <v>No</v>
      </c>
      <c r="G1872" t="str">
        <f>VLOOKUP(A1872,Medical_Examinations[],6,FALSE)</f>
        <v>No</v>
      </c>
      <c r="H1872">
        <f>VLOOKUP(A1872,Medical_Examinations[],7,FALSE)</f>
        <v>1</v>
      </c>
      <c r="I1872" t="str">
        <f>VLOOKUP(A1872,Medical_Examinations[],8,FALSE)</f>
        <v>No</v>
      </c>
      <c r="J1872" t="str">
        <f>VLOOKUP(A1872,Medical_Examinations[],9,FALSE)</f>
        <v>Obesity</v>
      </c>
      <c r="K1872" t="str">
        <f>VLOOKUP(A1872,Medical_Examinations[],10,FALSE)</f>
        <v>Normal</v>
      </c>
      <c r="M1872">
        <f>VLOOKUP(A1872,Hospitalisation_Details__2[],4,FALSE)</f>
        <v>4260.74</v>
      </c>
      <c r="N1872" t="str">
        <f>VLOOKUP(A1872,Hospitalisation_Details__2[],5,FALSE)</f>
        <v>tier - 3</v>
      </c>
      <c r="O1872" t="str">
        <f>VLOOKUP(A1872,Hospitalisation_Details__2[],6,FALSE)</f>
        <v>tier - 2</v>
      </c>
      <c r="P1872" t="str">
        <f>VLOOKUP(A1872,Hospitalisation_Details__2[],7,FALSE)</f>
        <v>R1011</v>
      </c>
    </row>
    <row r="1873" spans="1:16" x14ac:dyDescent="0.35">
      <c r="A1873" t="str">
        <v>Id1872</v>
      </c>
      <c r="B1873" t="str">
        <f>VLOOKUP(A1873,'Customer Names (2)'!A:B, 2,FALSE)</f>
        <v>Mr</v>
      </c>
      <c r="C1873">
        <f>VLOOKUP(A1873,Medical_Examinations[],2,FALSE)</f>
        <v>16.670000000000002</v>
      </c>
      <c r="D1873">
        <f>VLOOKUP(A1873,Medical_Examinations[],3,FALSE)</f>
        <v>5.46</v>
      </c>
      <c r="E1873" t="str">
        <f>VLOOKUP(A1873,Medical_Examinations[],4,FALSE)</f>
        <v>No</v>
      </c>
      <c r="F1873" t="str">
        <f>VLOOKUP(A1873,Medical_Examinations[],5,FALSE)</f>
        <v>No</v>
      </c>
      <c r="G1873" t="str">
        <f>VLOOKUP(A1873,Medical_Examinations[],6,FALSE)</f>
        <v>No</v>
      </c>
      <c r="H1873">
        <f>VLOOKUP(A1873,Medical_Examinations[],7,FALSE)</f>
        <v>0</v>
      </c>
      <c r="I1873" t="str">
        <f>VLOOKUP(A1873,Medical_Examinations[],8,FALSE)</f>
        <v>No</v>
      </c>
      <c r="J1873" t="str">
        <f>VLOOKUP(A1873,Medical_Examinations[],9,FALSE)</f>
        <v>Underweight</v>
      </c>
      <c r="K1873" t="str">
        <f>VLOOKUP(A1873,Medical_Examinations[],10,FALSE)</f>
        <v>Normal</v>
      </c>
      <c r="M1873">
        <f>VLOOKUP(A1873,Hospitalisation_Details__2[],4,FALSE)</f>
        <v>4250.24</v>
      </c>
      <c r="N1873" t="str">
        <f>VLOOKUP(A1873,Hospitalisation_Details__2[],5,FALSE)</f>
        <v>tier - 2</v>
      </c>
      <c r="O1873" t="str">
        <f>VLOOKUP(A1873,Hospitalisation_Details__2[],6,FALSE)</f>
        <v>tier - 3</v>
      </c>
      <c r="P1873" t="str">
        <f>VLOOKUP(A1873,Hospitalisation_Details__2[],7,FALSE)</f>
        <v>R1013</v>
      </c>
    </row>
    <row r="1874" spans="1:16" x14ac:dyDescent="0.35">
      <c r="A1874" t="str">
        <v>Id1873</v>
      </c>
      <c r="B1874" t="str">
        <f>VLOOKUP(A1874,'Customer Names (2)'!A:B, 2,FALSE)</f>
        <v>Mr</v>
      </c>
      <c r="C1874">
        <f>VLOOKUP(A1874,Medical_Examinations[],2,FALSE)</f>
        <v>28.594999999999999</v>
      </c>
      <c r="D1874">
        <f>VLOOKUP(A1874,Medical_Examinations[],3,FALSE)</f>
        <v>5.43</v>
      </c>
      <c r="E1874" t="str">
        <f>VLOOKUP(A1874,Medical_Examinations[],4,FALSE)</f>
        <v>No</v>
      </c>
      <c r="F1874" t="str">
        <f>VLOOKUP(A1874,Medical_Examinations[],5,FALSE)</f>
        <v>No</v>
      </c>
      <c r="G1874" t="str">
        <f>VLOOKUP(A1874,Medical_Examinations[],6,FALSE)</f>
        <v>No</v>
      </c>
      <c r="H1874">
        <f>VLOOKUP(A1874,Medical_Examinations[],7,FALSE)</f>
        <v>0</v>
      </c>
      <c r="I1874" t="str">
        <f>VLOOKUP(A1874,Medical_Examinations[],8,FALSE)</f>
        <v>No</v>
      </c>
      <c r="J1874" t="str">
        <f>VLOOKUP(A1874,Medical_Examinations[],9,FALSE)</f>
        <v>Overweight</v>
      </c>
      <c r="K1874" t="str">
        <f>VLOOKUP(A1874,Medical_Examinations[],10,FALSE)</f>
        <v>Normal</v>
      </c>
      <c r="M1874">
        <f>VLOOKUP(A1874,Hospitalisation_Details__2[],4,FALSE)</f>
        <v>4243.59</v>
      </c>
      <c r="N1874" t="str">
        <f>VLOOKUP(A1874,Hospitalisation_Details__2[],5,FALSE)</f>
        <v>tier - 3</v>
      </c>
      <c r="O1874" t="str">
        <f>VLOOKUP(A1874,Hospitalisation_Details__2[],6,FALSE)</f>
        <v>tier - 1</v>
      </c>
      <c r="P1874" t="str">
        <f>VLOOKUP(A1874,Hospitalisation_Details__2[],7,FALSE)</f>
        <v>R1012</v>
      </c>
    </row>
    <row r="1875" spans="1:16" x14ac:dyDescent="0.35">
      <c r="A1875" t="str">
        <v>Id1874</v>
      </c>
      <c r="B1875" t="str">
        <f>VLOOKUP(A1875,'Customer Names (2)'!A:B, 2,FALSE)</f>
        <v>Mr</v>
      </c>
      <c r="C1875">
        <f>VLOOKUP(A1875,Medical_Examinations[],2,FALSE)</f>
        <v>25.934999999999999</v>
      </c>
      <c r="D1875">
        <f>VLOOKUP(A1875,Medical_Examinations[],3,FALSE)</f>
        <v>4.29</v>
      </c>
      <c r="E1875" t="str">
        <f>VLOOKUP(A1875,Medical_Examinations[],4,FALSE)</f>
        <v>No</v>
      </c>
      <c r="F1875" t="str">
        <f>VLOOKUP(A1875,Medical_Examinations[],5,FALSE)</f>
        <v>No</v>
      </c>
      <c r="G1875" t="str">
        <f>VLOOKUP(A1875,Medical_Examinations[],6,FALSE)</f>
        <v>No</v>
      </c>
      <c r="H1875">
        <f>VLOOKUP(A1875,Medical_Examinations[],7,FALSE)</f>
        <v>0</v>
      </c>
      <c r="I1875" t="str">
        <f>VLOOKUP(A1875,Medical_Examinations[],8,FALSE)</f>
        <v>No</v>
      </c>
      <c r="J1875" t="str">
        <f>VLOOKUP(A1875,Medical_Examinations[],9,FALSE)</f>
        <v>Overweight</v>
      </c>
      <c r="K1875" t="str">
        <f>VLOOKUP(A1875,Medical_Examinations[],10,FALSE)</f>
        <v>Normal</v>
      </c>
      <c r="M1875">
        <f>VLOOKUP(A1875,Hospitalisation_Details__2[],4,FALSE)</f>
        <v>4239.8900000000003</v>
      </c>
      <c r="N1875" t="str">
        <f>VLOOKUP(A1875,Hospitalisation_Details__2[],5,FALSE)</f>
        <v>tier - 2</v>
      </c>
      <c r="O1875" t="str">
        <f>VLOOKUP(A1875,Hospitalisation_Details__2[],6,FALSE)</f>
        <v>tier - 2</v>
      </c>
      <c r="P1875" t="str">
        <f>VLOOKUP(A1875,Hospitalisation_Details__2[],7,FALSE)</f>
        <v>R1012</v>
      </c>
    </row>
    <row r="1876" spans="1:16" x14ac:dyDescent="0.35">
      <c r="A1876" t="str">
        <v>Id1875</v>
      </c>
      <c r="B1876" t="str">
        <f>VLOOKUP(A1876,'Customer Names (2)'!A:B, 2,FALSE)</f>
        <v>Mr</v>
      </c>
      <c r="C1876">
        <f>VLOOKUP(A1876,Medical_Examinations[],2,FALSE)</f>
        <v>27.645</v>
      </c>
      <c r="D1876">
        <f>VLOOKUP(A1876,Medical_Examinations[],3,FALSE)</f>
        <v>5.25</v>
      </c>
      <c r="E1876" t="str">
        <f>VLOOKUP(A1876,Medical_Examinations[],4,FALSE)</f>
        <v>No</v>
      </c>
      <c r="F1876" t="str">
        <f>VLOOKUP(A1876,Medical_Examinations[],5,FALSE)</f>
        <v>No</v>
      </c>
      <c r="G1876" t="str">
        <f>VLOOKUP(A1876,Medical_Examinations[],6,FALSE)</f>
        <v>No</v>
      </c>
      <c r="H1876">
        <f>VLOOKUP(A1876,Medical_Examinations[],7,FALSE)</f>
        <v>1</v>
      </c>
      <c r="I1876" t="str">
        <f>VLOOKUP(A1876,Medical_Examinations[],8,FALSE)</f>
        <v>No</v>
      </c>
      <c r="J1876" t="str">
        <f>VLOOKUP(A1876,Medical_Examinations[],9,FALSE)</f>
        <v>Overweight</v>
      </c>
      <c r="K1876" t="str">
        <f>VLOOKUP(A1876,Medical_Examinations[],10,FALSE)</f>
        <v>Normal</v>
      </c>
      <c r="M1876">
        <f>VLOOKUP(A1876,Hospitalisation_Details__2[],4,FALSE)</f>
        <v>4237.13</v>
      </c>
      <c r="N1876" t="str">
        <f>VLOOKUP(A1876,Hospitalisation_Details__2[],5,FALSE)</f>
        <v>tier - 3</v>
      </c>
      <c r="O1876" t="str">
        <f>VLOOKUP(A1876,Hospitalisation_Details__2[],6,FALSE)</f>
        <v>tier - 1</v>
      </c>
      <c r="P1876" t="str">
        <f>VLOOKUP(A1876,Hospitalisation_Details__2[],7,FALSE)</f>
        <v>R1016</v>
      </c>
    </row>
    <row r="1877" spans="1:16" x14ac:dyDescent="0.35">
      <c r="A1877" t="str">
        <v>Id1876</v>
      </c>
      <c r="B1877" t="str">
        <f>VLOOKUP(A1877,'Customer Names (2)'!A:B, 2,FALSE)</f>
        <v>Ms</v>
      </c>
      <c r="C1877">
        <f>VLOOKUP(A1877,Medical_Examinations[],2,FALSE)</f>
        <v>30.1</v>
      </c>
      <c r="D1877">
        <f>VLOOKUP(A1877,Medical_Examinations[],3,FALSE)</f>
        <v>4.04</v>
      </c>
      <c r="E1877" t="str">
        <f>VLOOKUP(A1877,Medical_Examinations[],4,FALSE)</f>
        <v>No</v>
      </c>
      <c r="F1877" t="str">
        <f>VLOOKUP(A1877,Medical_Examinations[],5,FALSE)</f>
        <v>No</v>
      </c>
      <c r="G1877" t="str">
        <f>VLOOKUP(A1877,Medical_Examinations[],6,FALSE)</f>
        <v>No</v>
      </c>
      <c r="H1877">
        <f>VLOOKUP(A1877,Medical_Examinations[],7,FALSE)</f>
        <v>1</v>
      </c>
      <c r="I1877" t="str">
        <f>VLOOKUP(A1877,Medical_Examinations[],8,FALSE)</f>
        <v>No</v>
      </c>
      <c r="J1877" t="str">
        <f>VLOOKUP(A1877,Medical_Examinations[],9,FALSE)</f>
        <v>Obesity</v>
      </c>
      <c r="K1877" t="str">
        <f>VLOOKUP(A1877,Medical_Examinations[],10,FALSE)</f>
        <v>Normal</v>
      </c>
      <c r="M1877">
        <f>VLOOKUP(A1877,Hospitalisation_Details__2[],4,FALSE)</f>
        <v>4234.93</v>
      </c>
      <c r="N1877" t="str">
        <f>VLOOKUP(A1877,Hospitalisation_Details__2[],5,FALSE)</f>
        <v>tier - 2</v>
      </c>
      <c r="O1877" t="str">
        <f>VLOOKUP(A1877,Hospitalisation_Details__2[],6,FALSE)</f>
        <v>tier - 1</v>
      </c>
      <c r="P1877" t="str">
        <f>VLOOKUP(A1877,Hospitalisation_Details__2[],7,FALSE)</f>
        <v>R1011</v>
      </c>
    </row>
    <row r="1878" spans="1:16" x14ac:dyDescent="0.35">
      <c r="A1878" t="str">
        <v>Id1877</v>
      </c>
      <c r="B1878" t="str">
        <f>VLOOKUP(A1878,'Customer Names (2)'!A:B, 2,FALSE)</f>
        <v>Ms</v>
      </c>
      <c r="C1878">
        <f>VLOOKUP(A1878,Medical_Examinations[],2,FALSE)</f>
        <v>26.79</v>
      </c>
      <c r="D1878">
        <f>VLOOKUP(A1878,Medical_Examinations[],3,FALSE)</f>
        <v>5</v>
      </c>
      <c r="E1878" t="str">
        <f>VLOOKUP(A1878,Medical_Examinations[],4,FALSE)</f>
        <v>Yes</v>
      </c>
      <c r="F1878" t="str">
        <f>VLOOKUP(A1878,Medical_Examinations[],5,FALSE)</f>
        <v>No</v>
      </c>
      <c r="G1878" t="str">
        <f>VLOOKUP(A1878,Medical_Examinations[],6,FALSE)</f>
        <v>Yes</v>
      </c>
      <c r="H1878">
        <f>VLOOKUP(A1878,Medical_Examinations[],7,FALSE)</f>
        <v>1</v>
      </c>
      <c r="I1878" t="str">
        <f>VLOOKUP(A1878,Medical_Examinations[],8,FALSE)</f>
        <v>No</v>
      </c>
      <c r="J1878" t="str">
        <f>VLOOKUP(A1878,Medical_Examinations[],9,FALSE)</f>
        <v>Overweight</v>
      </c>
      <c r="K1878" t="str">
        <f>VLOOKUP(A1878,Medical_Examinations[],10,FALSE)</f>
        <v>Normal</v>
      </c>
      <c r="M1878">
        <f>VLOOKUP(A1878,Hospitalisation_Details__2[],4,FALSE)</f>
        <v>4189.1099999999997</v>
      </c>
      <c r="N1878" t="str">
        <f>VLOOKUP(A1878,Hospitalisation_Details__2[],5,FALSE)</f>
        <v>tier - 2</v>
      </c>
      <c r="O1878" t="str">
        <f>VLOOKUP(A1878,Hospitalisation_Details__2[],6,FALSE)</f>
        <v>tier - 2</v>
      </c>
      <c r="P1878" t="str">
        <f>VLOOKUP(A1878,Hospitalisation_Details__2[],7,FALSE)</f>
        <v>R1012</v>
      </c>
    </row>
    <row r="1879" spans="1:16" x14ac:dyDescent="0.35">
      <c r="A1879" t="str">
        <v>Id1878</v>
      </c>
      <c r="B1879" t="str">
        <f>VLOOKUP(A1879,'Customer Names (2)'!A:B, 2,FALSE)</f>
        <v>Mrs</v>
      </c>
      <c r="C1879">
        <f>VLOOKUP(A1879,Medical_Examinations[],2,FALSE)</f>
        <v>27.1</v>
      </c>
      <c r="D1879">
        <f>VLOOKUP(A1879,Medical_Examinations[],3,FALSE)</f>
        <v>4.01</v>
      </c>
      <c r="E1879" t="str">
        <f>VLOOKUP(A1879,Medical_Examinations[],4,FALSE)</f>
        <v>Yes</v>
      </c>
      <c r="F1879" t="str">
        <f>VLOOKUP(A1879,Medical_Examinations[],5,FALSE)</f>
        <v>No</v>
      </c>
      <c r="G1879" t="str">
        <f>VLOOKUP(A1879,Medical_Examinations[],6,FALSE)</f>
        <v>No</v>
      </c>
      <c r="H1879">
        <f>VLOOKUP(A1879,Medical_Examinations[],7,FALSE)</f>
        <v>1</v>
      </c>
      <c r="I1879" t="str">
        <f>VLOOKUP(A1879,Medical_Examinations[],8,FALSE)</f>
        <v>No</v>
      </c>
      <c r="J1879" t="str">
        <f>VLOOKUP(A1879,Medical_Examinations[],9,FALSE)</f>
        <v>Overweight</v>
      </c>
      <c r="K1879" t="str">
        <f>VLOOKUP(A1879,Medical_Examinations[],10,FALSE)</f>
        <v>Normal</v>
      </c>
      <c r="M1879">
        <f>VLOOKUP(A1879,Hospitalisation_Details__2[],4,FALSE)</f>
        <v>4188.7299999999996</v>
      </c>
      <c r="N1879" t="str">
        <f>VLOOKUP(A1879,Hospitalisation_Details__2[],5,FALSE)</f>
        <v>tier - 2</v>
      </c>
      <c r="O1879" t="str">
        <f>VLOOKUP(A1879,Hospitalisation_Details__2[],6,FALSE)</f>
        <v>tier - 2</v>
      </c>
      <c r="P1879" t="str">
        <f>VLOOKUP(A1879,Hospitalisation_Details__2[],7,FALSE)</f>
        <v>R1025</v>
      </c>
    </row>
    <row r="1880" spans="1:16" x14ac:dyDescent="0.35">
      <c r="A1880" t="str">
        <v>Id1879</v>
      </c>
      <c r="B1880" t="str">
        <f>VLOOKUP(A1880,'Customer Names (2)'!A:B, 2,FALSE)</f>
        <v>Ms</v>
      </c>
      <c r="C1880">
        <f>VLOOKUP(A1880,Medical_Examinations[],2,FALSE)</f>
        <v>24.31</v>
      </c>
      <c r="D1880">
        <f>VLOOKUP(A1880,Medical_Examinations[],3,FALSE)</f>
        <v>5.4</v>
      </c>
      <c r="E1880" t="str">
        <f>VLOOKUP(A1880,Medical_Examinations[],4,FALSE)</f>
        <v>No</v>
      </c>
      <c r="F1880" t="str">
        <f>VLOOKUP(A1880,Medical_Examinations[],5,FALSE)</f>
        <v>No</v>
      </c>
      <c r="G1880" t="str">
        <f>VLOOKUP(A1880,Medical_Examinations[],6,FALSE)</f>
        <v>No</v>
      </c>
      <c r="H1880">
        <f>VLOOKUP(A1880,Medical_Examinations[],7,FALSE)</f>
        <v>0</v>
      </c>
      <c r="I1880" t="str">
        <f>VLOOKUP(A1880,Medical_Examinations[],8,FALSE)</f>
        <v>No</v>
      </c>
      <c r="J1880" t="str">
        <f>VLOOKUP(A1880,Medical_Examinations[],9,FALSE)</f>
        <v>Normal Weight</v>
      </c>
      <c r="K1880" t="str">
        <f>VLOOKUP(A1880,Medical_Examinations[],10,FALSE)</f>
        <v>Normal</v>
      </c>
      <c r="M1880">
        <f>VLOOKUP(A1880,Hospitalisation_Details__2[],4,FALSE)</f>
        <v>4185.1000000000004</v>
      </c>
      <c r="N1880" t="str">
        <f>VLOOKUP(A1880,Hospitalisation_Details__2[],5,FALSE)</f>
        <v>tier - 2</v>
      </c>
      <c r="O1880" t="str">
        <f>VLOOKUP(A1880,Hospitalisation_Details__2[],6,FALSE)</f>
        <v>tier - 3</v>
      </c>
      <c r="P1880" t="str">
        <f>VLOOKUP(A1880,Hospitalisation_Details__2[],7,FALSE)</f>
        <v>R1013</v>
      </c>
    </row>
    <row r="1881" spans="1:16" x14ac:dyDescent="0.35">
      <c r="A1881" t="str">
        <v>Id1880</v>
      </c>
      <c r="B1881" t="str">
        <f>VLOOKUP(A1881,'Customer Names (2)'!A:B, 2,FALSE)</f>
        <v>Ms</v>
      </c>
      <c r="C1881">
        <f>VLOOKUP(A1881,Medical_Examinations[],2,FALSE)</f>
        <v>15.53</v>
      </c>
      <c r="D1881">
        <f>VLOOKUP(A1881,Medical_Examinations[],3,FALSE)</f>
        <v>5.81</v>
      </c>
      <c r="E1881" t="str">
        <f>VLOOKUP(A1881,Medical_Examinations[],4,FALSE)</f>
        <v>No</v>
      </c>
      <c r="F1881" t="str">
        <f>VLOOKUP(A1881,Medical_Examinations[],5,FALSE)</f>
        <v>No</v>
      </c>
      <c r="G1881" t="str">
        <f>VLOOKUP(A1881,Medical_Examinations[],6,FALSE)</f>
        <v>No</v>
      </c>
      <c r="H1881">
        <f>VLOOKUP(A1881,Medical_Examinations[],7,FALSE)</f>
        <v>1</v>
      </c>
      <c r="I1881" t="str">
        <f>VLOOKUP(A1881,Medical_Examinations[],8,FALSE)</f>
        <v>No</v>
      </c>
      <c r="J1881" t="str">
        <f>VLOOKUP(A1881,Medical_Examinations[],9,FALSE)</f>
        <v>Underweight</v>
      </c>
      <c r="K1881" t="str">
        <f>VLOOKUP(A1881,Medical_Examinations[],10,FALSE)</f>
        <v>Prediabetes</v>
      </c>
      <c r="M1881">
        <f>VLOOKUP(A1881,Hospitalisation_Details__2[],4,FALSE)</f>
        <v>4163.21</v>
      </c>
      <c r="N1881" t="str">
        <f>VLOOKUP(A1881,Hospitalisation_Details__2[],5,FALSE)</f>
        <v>tier - 2</v>
      </c>
      <c r="O1881" t="str">
        <f>VLOOKUP(A1881,Hospitalisation_Details__2[],6,FALSE)</f>
        <v>tier - 2</v>
      </c>
      <c r="P1881" t="str">
        <f>VLOOKUP(A1881,Hospitalisation_Details__2[],7,FALSE)</f>
        <v>R1012</v>
      </c>
    </row>
    <row r="1882" spans="1:16" x14ac:dyDescent="0.35">
      <c r="A1882" t="str">
        <v>Id1881</v>
      </c>
      <c r="B1882" t="str">
        <f>VLOOKUP(A1882,'Customer Names (2)'!A:B, 2,FALSE)</f>
        <v>Mr</v>
      </c>
      <c r="C1882">
        <f>VLOOKUP(A1882,Medical_Examinations[],2,FALSE)</f>
        <v>30.7</v>
      </c>
      <c r="D1882">
        <f>VLOOKUP(A1882,Medical_Examinations[],3,FALSE)</f>
        <v>5.82</v>
      </c>
      <c r="E1882" t="str">
        <f>VLOOKUP(A1882,Medical_Examinations[],4,FALSE)</f>
        <v>No</v>
      </c>
      <c r="F1882" t="str">
        <f>VLOOKUP(A1882,Medical_Examinations[],5,FALSE)</f>
        <v>No</v>
      </c>
      <c r="G1882" t="str">
        <f>VLOOKUP(A1882,Medical_Examinations[],6,FALSE)</f>
        <v>No</v>
      </c>
      <c r="H1882">
        <f>VLOOKUP(A1882,Medical_Examinations[],7,FALSE)</f>
        <v>1</v>
      </c>
      <c r="I1882" t="str">
        <f>VLOOKUP(A1882,Medical_Examinations[],8,FALSE)</f>
        <v>No</v>
      </c>
      <c r="J1882" t="str">
        <f>VLOOKUP(A1882,Medical_Examinations[],9,FALSE)</f>
        <v>Obesity</v>
      </c>
      <c r="K1882" t="str">
        <f>VLOOKUP(A1882,Medical_Examinations[],10,FALSE)</f>
        <v>Prediabetes</v>
      </c>
      <c r="M1882">
        <f>VLOOKUP(A1882,Hospitalisation_Details__2[],4,FALSE)</f>
        <v>4154.97</v>
      </c>
      <c r="N1882" t="str">
        <f>VLOOKUP(A1882,Hospitalisation_Details__2[],5,FALSE)</f>
        <v>tier - 2</v>
      </c>
      <c r="O1882" t="str">
        <f>VLOOKUP(A1882,Hospitalisation_Details__2[],6,FALSE)</f>
        <v>tier - 1</v>
      </c>
      <c r="P1882" t="str">
        <f>VLOOKUP(A1882,Hospitalisation_Details__2[],7,FALSE)</f>
        <v>R1012</v>
      </c>
    </row>
    <row r="1883" spans="1:16" x14ac:dyDescent="0.35">
      <c r="A1883" t="str">
        <v>Id1882</v>
      </c>
      <c r="B1883" t="str">
        <f>VLOOKUP(A1883,'Customer Names (2)'!A:B, 2,FALSE)</f>
        <v>Ms</v>
      </c>
      <c r="C1883">
        <f>VLOOKUP(A1883,Medical_Examinations[],2,FALSE)</f>
        <v>33.33</v>
      </c>
      <c r="D1883">
        <f>VLOOKUP(A1883,Medical_Examinations[],3,FALSE)</f>
        <v>4.82</v>
      </c>
      <c r="E1883" t="str">
        <f>VLOOKUP(A1883,Medical_Examinations[],4,FALSE)</f>
        <v>No</v>
      </c>
      <c r="F1883" t="str">
        <f>VLOOKUP(A1883,Medical_Examinations[],5,FALSE)</f>
        <v>No</v>
      </c>
      <c r="G1883" t="str">
        <f>VLOOKUP(A1883,Medical_Examinations[],6,FALSE)</f>
        <v>No</v>
      </c>
      <c r="H1883">
        <f>VLOOKUP(A1883,Medical_Examinations[],7,FALSE)</f>
        <v>1</v>
      </c>
      <c r="I1883" t="str">
        <f>VLOOKUP(A1883,Medical_Examinations[],8,FALSE)</f>
        <v>No</v>
      </c>
      <c r="J1883" t="str">
        <f>VLOOKUP(A1883,Medical_Examinations[],9,FALSE)</f>
        <v>Obesity</v>
      </c>
      <c r="K1883" t="str">
        <f>VLOOKUP(A1883,Medical_Examinations[],10,FALSE)</f>
        <v>Normal</v>
      </c>
      <c r="M1883">
        <f>VLOOKUP(A1883,Hospitalisation_Details__2[],4,FALSE)</f>
        <v>4151.03</v>
      </c>
      <c r="N1883" t="str">
        <f>VLOOKUP(A1883,Hospitalisation_Details__2[],5,FALSE)</f>
        <v>tier - 2</v>
      </c>
      <c r="O1883" t="str">
        <f>VLOOKUP(A1883,Hospitalisation_Details__2[],6,FALSE)</f>
        <v>tier - 2</v>
      </c>
      <c r="P1883" t="str">
        <f>VLOOKUP(A1883,Hospitalisation_Details__2[],7,FALSE)</f>
        <v>R1013</v>
      </c>
    </row>
    <row r="1884" spans="1:16" x14ac:dyDescent="0.35">
      <c r="A1884" t="str">
        <v>Id1883</v>
      </c>
      <c r="B1884" t="str">
        <f>VLOOKUP(A1884,'Customer Names (2)'!A:B, 2,FALSE)</f>
        <v>Ms</v>
      </c>
      <c r="C1884">
        <f>VLOOKUP(A1884,Medical_Examinations[],2,FALSE)</f>
        <v>32.4</v>
      </c>
      <c r="D1884">
        <f>VLOOKUP(A1884,Medical_Examinations[],3,FALSE)</f>
        <v>5.08</v>
      </c>
      <c r="E1884" t="str">
        <f>VLOOKUP(A1884,Medical_Examinations[],4,FALSE)</f>
        <v>No</v>
      </c>
      <c r="F1884" t="str">
        <f>VLOOKUP(A1884,Medical_Examinations[],5,FALSE)</f>
        <v>No</v>
      </c>
      <c r="G1884" t="str">
        <f>VLOOKUP(A1884,Medical_Examinations[],6,FALSE)</f>
        <v>No</v>
      </c>
      <c r="H1884">
        <f>VLOOKUP(A1884,Medical_Examinations[],7,FALSE)</f>
        <v>1</v>
      </c>
      <c r="I1884" t="str">
        <f>VLOOKUP(A1884,Medical_Examinations[],8,FALSE)</f>
        <v>No</v>
      </c>
      <c r="J1884" t="str">
        <f>VLOOKUP(A1884,Medical_Examinations[],9,FALSE)</f>
        <v>Obesity</v>
      </c>
      <c r="K1884" t="str">
        <f>VLOOKUP(A1884,Medical_Examinations[],10,FALSE)</f>
        <v>Normal</v>
      </c>
      <c r="M1884">
        <f>VLOOKUP(A1884,Hospitalisation_Details__2[],4,FALSE)</f>
        <v>4149.74</v>
      </c>
      <c r="N1884" t="str">
        <f>VLOOKUP(A1884,Hospitalisation_Details__2[],5,FALSE)</f>
        <v>tier - 2</v>
      </c>
      <c r="O1884" t="str">
        <f>VLOOKUP(A1884,Hospitalisation_Details__2[],6,FALSE)</f>
        <v>tier - 1</v>
      </c>
      <c r="P1884" t="str">
        <f>VLOOKUP(A1884,Hospitalisation_Details__2[],7,FALSE)</f>
        <v>R1011</v>
      </c>
    </row>
    <row r="1885" spans="1:16" x14ac:dyDescent="0.35">
      <c r="A1885" t="str">
        <v>Id1884</v>
      </c>
      <c r="B1885" t="str">
        <f>VLOOKUP(A1885,'Customer Names (2)'!A:B, 2,FALSE)</f>
        <v>Ms</v>
      </c>
      <c r="C1885">
        <f>VLOOKUP(A1885,Medical_Examinations[],2,FALSE)</f>
        <v>27.93</v>
      </c>
      <c r="D1885">
        <f>VLOOKUP(A1885,Medical_Examinations[],3,FALSE)</f>
        <v>5.59</v>
      </c>
      <c r="E1885" t="str">
        <f>VLOOKUP(A1885,Medical_Examinations[],4,FALSE)</f>
        <v>No</v>
      </c>
      <c r="F1885" t="str">
        <f>VLOOKUP(A1885,Medical_Examinations[],5,FALSE)</f>
        <v>No</v>
      </c>
      <c r="G1885" t="str">
        <f>VLOOKUP(A1885,Medical_Examinations[],6,FALSE)</f>
        <v>No</v>
      </c>
      <c r="H1885">
        <f>VLOOKUP(A1885,Medical_Examinations[],7,FALSE)</f>
        <v>1</v>
      </c>
      <c r="I1885" t="str">
        <f>VLOOKUP(A1885,Medical_Examinations[],8,FALSE)</f>
        <v>No</v>
      </c>
      <c r="J1885" t="str">
        <f>VLOOKUP(A1885,Medical_Examinations[],9,FALSE)</f>
        <v>Overweight</v>
      </c>
      <c r="K1885" t="str">
        <f>VLOOKUP(A1885,Medical_Examinations[],10,FALSE)</f>
        <v>Normal</v>
      </c>
      <c r="M1885">
        <f>VLOOKUP(A1885,Hospitalisation_Details__2[],4,FALSE)</f>
        <v>4137.5200000000004</v>
      </c>
      <c r="N1885" t="str">
        <f>VLOOKUP(A1885,Hospitalisation_Details__2[],5,FALSE)</f>
        <v>tier - 2</v>
      </c>
      <c r="O1885" t="str">
        <f>VLOOKUP(A1885,Hospitalisation_Details__2[],6,FALSE)</f>
        <v>tier - 3</v>
      </c>
      <c r="P1885" t="str">
        <f>VLOOKUP(A1885,Hospitalisation_Details__2[],7,FALSE)</f>
        <v>R1024</v>
      </c>
    </row>
    <row r="1886" spans="1:16" x14ac:dyDescent="0.35">
      <c r="A1886" t="str">
        <v>Id1885</v>
      </c>
      <c r="B1886" t="str">
        <f>VLOOKUP(A1886,'Customer Names (2)'!A:B, 2,FALSE)</f>
        <v>Ms</v>
      </c>
      <c r="C1886">
        <f>VLOOKUP(A1886,Medical_Examinations[],2,FALSE)</f>
        <v>21.754999999999999</v>
      </c>
      <c r="D1886">
        <f>VLOOKUP(A1886,Medical_Examinations[],3,FALSE)</f>
        <v>5.12</v>
      </c>
      <c r="E1886" t="str">
        <f>VLOOKUP(A1886,Medical_Examinations[],4,FALSE)</f>
        <v>No</v>
      </c>
      <c r="F1886" t="str">
        <f>VLOOKUP(A1886,Medical_Examinations[],5,FALSE)</f>
        <v>No</v>
      </c>
      <c r="G1886" t="str">
        <f>VLOOKUP(A1886,Medical_Examinations[],6,FALSE)</f>
        <v>No</v>
      </c>
      <c r="H1886">
        <f>VLOOKUP(A1886,Medical_Examinations[],7,FALSE)</f>
        <v>0</v>
      </c>
      <c r="I1886" t="str">
        <f>VLOOKUP(A1886,Medical_Examinations[],8,FALSE)</f>
        <v>No</v>
      </c>
      <c r="J1886" t="str">
        <f>VLOOKUP(A1886,Medical_Examinations[],9,FALSE)</f>
        <v>Normal Weight</v>
      </c>
      <c r="K1886" t="str">
        <f>VLOOKUP(A1886,Medical_Examinations[],10,FALSE)</f>
        <v>Normal</v>
      </c>
      <c r="M1886">
        <f>VLOOKUP(A1886,Hospitalisation_Details__2[],4,FALSE)</f>
        <v>4134.08</v>
      </c>
      <c r="N1886" t="str">
        <f>VLOOKUP(A1886,Hospitalisation_Details__2[],5,FALSE)</f>
        <v>tier - 2</v>
      </c>
      <c r="O1886" t="str">
        <f>VLOOKUP(A1886,Hospitalisation_Details__2[],6,FALSE)</f>
        <v>tier - 1</v>
      </c>
      <c r="P1886" t="str">
        <f>VLOOKUP(A1886,Hospitalisation_Details__2[],7,FALSE)</f>
        <v>R1012</v>
      </c>
    </row>
    <row r="1887" spans="1:16" x14ac:dyDescent="0.35">
      <c r="A1887" t="str">
        <v>Id1886</v>
      </c>
      <c r="B1887" t="str">
        <f>VLOOKUP(A1887,'Customer Names (2)'!A:B, 2,FALSE)</f>
        <v>Ms</v>
      </c>
      <c r="C1887">
        <f>VLOOKUP(A1887,Medical_Examinations[],2,FALSE)</f>
        <v>25.934999999999999</v>
      </c>
      <c r="D1887">
        <f>VLOOKUP(A1887,Medical_Examinations[],3,FALSE)</f>
        <v>4.95</v>
      </c>
      <c r="E1887" t="str">
        <f>VLOOKUP(A1887,Medical_Examinations[],4,FALSE)</f>
        <v>No</v>
      </c>
      <c r="F1887" t="str">
        <f>VLOOKUP(A1887,Medical_Examinations[],5,FALSE)</f>
        <v>No</v>
      </c>
      <c r="G1887" t="str">
        <f>VLOOKUP(A1887,Medical_Examinations[],6,FALSE)</f>
        <v>No</v>
      </c>
      <c r="H1887">
        <f>VLOOKUP(A1887,Medical_Examinations[],7,FALSE)</f>
        <v>0</v>
      </c>
      <c r="I1887" t="str">
        <f>VLOOKUP(A1887,Medical_Examinations[],8,FALSE)</f>
        <v>No</v>
      </c>
      <c r="J1887" t="str">
        <f>VLOOKUP(A1887,Medical_Examinations[],9,FALSE)</f>
        <v>Overweight</v>
      </c>
      <c r="K1887" t="str">
        <f>VLOOKUP(A1887,Medical_Examinations[],10,FALSE)</f>
        <v>Normal</v>
      </c>
      <c r="M1887">
        <f>VLOOKUP(A1887,Hospitalisation_Details__2[],4,FALSE)</f>
        <v>4133.6400000000003</v>
      </c>
      <c r="N1887" t="str">
        <f>VLOOKUP(A1887,Hospitalisation_Details__2[],5,FALSE)</f>
        <v>tier - 2</v>
      </c>
      <c r="O1887" t="str">
        <f>VLOOKUP(A1887,Hospitalisation_Details__2[],6,FALSE)</f>
        <v>tier - 3</v>
      </c>
      <c r="P1887" t="str">
        <f>VLOOKUP(A1887,Hospitalisation_Details__2[],7,FALSE)</f>
        <v>R1012</v>
      </c>
    </row>
    <row r="1888" spans="1:16" x14ac:dyDescent="0.35">
      <c r="A1888" t="str">
        <v>Id1887</v>
      </c>
      <c r="B1888" t="str">
        <f>VLOOKUP(A1888,'Customer Names (2)'!A:B, 2,FALSE)</f>
        <v>Mr</v>
      </c>
      <c r="C1888">
        <f>VLOOKUP(A1888,Medical_Examinations[],2,FALSE)</f>
        <v>31.5</v>
      </c>
      <c r="D1888">
        <f>VLOOKUP(A1888,Medical_Examinations[],3,FALSE)</f>
        <v>6.16</v>
      </c>
      <c r="E1888" t="str">
        <f>VLOOKUP(A1888,Medical_Examinations[],4,FALSE)</f>
        <v>No</v>
      </c>
      <c r="F1888" t="str">
        <f>VLOOKUP(A1888,Medical_Examinations[],5,FALSE)</f>
        <v>No</v>
      </c>
      <c r="G1888" t="str">
        <f>VLOOKUP(A1888,Medical_Examinations[],6,FALSE)</f>
        <v>No</v>
      </c>
      <c r="H1888">
        <f>VLOOKUP(A1888,Medical_Examinations[],7,FALSE)</f>
        <v>0</v>
      </c>
      <c r="I1888" t="str">
        <f>VLOOKUP(A1888,Medical_Examinations[],8,FALSE)</f>
        <v>No</v>
      </c>
      <c r="J1888" t="str">
        <f>VLOOKUP(A1888,Medical_Examinations[],9,FALSE)</f>
        <v>Obesity</v>
      </c>
      <c r="K1888" t="str">
        <f>VLOOKUP(A1888,Medical_Examinations[],10,FALSE)</f>
        <v>Prediabetes</v>
      </c>
      <c r="M1888">
        <f>VLOOKUP(A1888,Hospitalisation_Details__2[],4,FALSE)</f>
        <v>4076.5</v>
      </c>
      <c r="N1888" t="str">
        <f>VLOOKUP(A1888,Hospitalisation_Details__2[],5,FALSE)</f>
        <v>tier - 2</v>
      </c>
      <c r="O1888" t="str">
        <f>VLOOKUP(A1888,Hospitalisation_Details__2[],6,FALSE)</f>
        <v>tier - 3</v>
      </c>
      <c r="P1888" t="str">
        <f>VLOOKUP(A1888,Hospitalisation_Details__2[],7,FALSE)</f>
        <v>R1011</v>
      </c>
    </row>
    <row r="1889" spans="1:16" x14ac:dyDescent="0.35">
      <c r="A1889" t="str">
        <v>Id1888</v>
      </c>
      <c r="B1889" t="str">
        <f>VLOOKUP(A1889,'Customer Names (2)'!A:B, 2,FALSE)</f>
        <v>Mr</v>
      </c>
      <c r="C1889">
        <f>VLOOKUP(A1889,Medical_Examinations[],2,FALSE)</f>
        <v>30.03</v>
      </c>
      <c r="D1889">
        <f>VLOOKUP(A1889,Medical_Examinations[],3,FALSE)</f>
        <v>6.41</v>
      </c>
      <c r="E1889" t="str">
        <f>VLOOKUP(A1889,Medical_Examinations[],4,FALSE)</f>
        <v>No</v>
      </c>
      <c r="F1889" t="str">
        <f>VLOOKUP(A1889,Medical_Examinations[],5,FALSE)</f>
        <v>No</v>
      </c>
      <c r="G1889" t="str">
        <f>VLOOKUP(A1889,Medical_Examinations[],6,FALSE)</f>
        <v>No</v>
      </c>
      <c r="H1889">
        <f>VLOOKUP(A1889,Medical_Examinations[],7,FALSE)</f>
        <v>0</v>
      </c>
      <c r="I1889" t="str">
        <f>VLOOKUP(A1889,Medical_Examinations[],8,FALSE)</f>
        <v>No</v>
      </c>
      <c r="J1889" t="str">
        <f>VLOOKUP(A1889,Medical_Examinations[],9,FALSE)</f>
        <v>Obesity</v>
      </c>
      <c r="K1889" t="str">
        <f>VLOOKUP(A1889,Medical_Examinations[],10,FALSE)</f>
        <v>Prediabetes</v>
      </c>
      <c r="M1889">
        <f>VLOOKUP(A1889,Hospitalisation_Details__2[],4,FALSE)</f>
        <v>4074.45</v>
      </c>
      <c r="N1889" t="str">
        <f>VLOOKUP(A1889,Hospitalisation_Details__2[],5,FALSE)</f>
        <v>tier - 3</v>
      </c>
      <c r="O1889" t="str">
        <f>VLOOKUP(A1889,Hospitalisation_Details__2[],6,FALSE)</f>
        <v>tier - 2</v>
      </c>
      <c r="P1889" t="str">
        <f>VLOOKUP(A1889,Hospitalisation_Details__2[],7,FALSE)</f>
        <v>R1013</v>
      </c>
    </row>
    <row r="1890" spans="1:16" x14ac:dyDescent="0.35">
      <c r="A1890" t="str">
        <v>Id1889</v>
      </c>
      <c r="B1890" t="str">
        <f>VLOOKUP(A1890,'Customer Names (2)'!A:B, 2,FALSE)</f>
        <v>Mr</v>
      </c>
      <c r="C1890">
        <f>VLOOKUP(A1890,Medical_Examinations[],2,FALSE)</f>
        <v>33.479999999999997</v>
      </c>
      <c r="D1890">
        <f>VLOOKUP(A1890,Medical_Examinations[],3,FALSE)</f>
        <v>8.94</v>
      </c>
      <c r="E1890" t="str">
        <f>VLOOKUP(A1890,Medical_Examinations[],4,FALSE)</f>
        <v>No</v>
      </c>
      <c r="F1890" t="str">
        <f>VLOOKUP(A1890,Medical_Examinations[],5,FALSE)</f>
        <v>No</v>
      </c>
      <c r="G1890" t="str">
        <f>VLOOKUP(A1890,Medical_Examinations[],6,FALSE)</f>
        <v>No</v>
      </c>
      <c r="H1890">
        <f>VLOOKUP(A1890,Medical_Examinations[],7,FALSE)</f>
        <v>0</v>
      </c>
      <c r="I1890" t="str">
        <f>VLOOKUP(A1890,Medical_Examinations[],8,FALSE)</f>
        <v>No</v>
      </c>
      <c r="J1890" t="str">
        <f>VLOOKUP(A1890,Medical_Examinations[],9,FALSE)</f>
        <v>Obesity</v>
      </c>
      <c r="K1890" t="str">
        <f>VLOOKUP(A1890,Medical_Examinations[],10,FALSE)</f>
        <v>Diabetes</v>
      </c>
      <c r="M1890">
        <f>VLOOKUP(A1890,Hospitalisation_Details__2[],4,FALSE)</f>
        <v>4070.51</v>
      </c>
      <c r="N1890" t="str">
        <f>VLOOKUP(A1890,Hospitalisation_Details__2[],5,FALSE)</f>
        <v>tier - 2</v>
      </c>
      <c r="O1890" t="str">
        <f>VLOOKUP(A1890,Hospitalisation_Details__2[],6,FALSE)</f>
        <v>tier - 1</v>
      </c>
      <c r="P1890" t="str">
        <f>VLOOKUP(A1890,Hospitalisation_Details__2[],7,FALSE)</f>
        <v>R1012</v>
      </c>
    </row>
    <row r="1891" spans="1:16" x14ac:dyDescent="0.35">
      <c r="A1891" t="str">
        <v>Id1890</v>
      </c>
      <c r="B1891" t="str">
        <f>VLOOKUP(A1891,'Customer Names (2)'!A:B, 2,FALSE)</f>
        <v>Ms</v>
      </c>
      <c r="C1891">
        <f>VLOOKUP(A1891,Medical_Examinations[],2,FALSE)</f>
        <v>16.510000000000002</v>
      </c>
      <c r="D1891">
        <f>VLOOKUP(A1891,Medical_Examinations[],3,FALSE)</f>
        <v>4.42</v>
      </c>
      <c r="E1891" t="str">
        <f>VLOOKUP(A1891,Medical_Examinations[],4,FALSE)</f>
        <v>Yes</v>
      </c>
      <c r="F1891" t="str">
        <f>VLOOKUP(A1891,Medical_Examinations[],5,FALSE)</f>
        <v>No</v>
      </c>
      <c r="G1891" t="str">
        <f>VLOOKUP(A1891,Medical_Examinations[],6,FALSE)</f>
        <v>Yes</v>
      </c>
      <c r="H1891">
        <f>VLOOKUP(A1891,Medical_Examinations[],7,FALSE)</f>
        <v>1</v>
      </c>
      <c r="I1891" t="str">
        <f>VLOOKUP(A1891,Medical_Examinations[],8,FALSE)</f>
        <v>No</v>
      </c>
      <c r="J1891" t="str">
        <f>VLOOKUP(A1891,Medical_Examinations[],9,FALSE)</f>
        <v>Underweight</v>
      </c>
      <c r="K1891" t="str">
        <f>VLOOKUP(A1891,Medical_Examinations[],10,FALSE)</f>
        <v>Normal</v>
      </c>
      <c r="M1891">
        <f>VLOOKUP(A1891,Hospitalisation_Details__2[],4,FALSE)</f>
        <v>4070.42</v>
      </c>
      <c r="N1891" t="str">
        <f>VLOOKUP(A1891,Hospitalisation_Details__2[],5,FALSE)</f>
        <v>tier - 2</v>
      </c>
      <c r="O1891" t="str">
        <f>VLOOKUP(A1891,Hospitalisation_Details__2[],6,FALSE)</f>
        <v>tier - 1</v>
      </c>
      <c r="P1891" t="str">
        <f>VLOOKUP(A1891,Hospitalisation_Details__2[],7,FALSE)</f>
        <v>R1013</v>
      </c>
    </row>
    <row r="1892" spans="1:16" x14ac:dyDescent="0.35">
      <c r="A1892" t="str">
        <v>Id1891</v>
      </c>
      <c r="B1892" t="str">
        <f>VLOOKUP(A1892,'Customer Names (2)'!A:B, 2,FALSE)</f>
        <v>Mr</v>
      </c>
      <c r="C1892">
        <f>VLOOKUP(A1892,Medical_Examinations[],2,FALSE)</f>
        <v>33.155000000000001</v>
      </c>
      <c r="D1892">
        <f>VLOOKUP(A1892,Medical_Examinations[],3,FALSE)</f>
        <v>5.3</v>
      </c>
      <c r="E1892" t="str">
        <f>VLOOKUP(A1892,Medical_Examinations[],4,FALSE)</f>
        <v>Yes</v>
      </c>
      <c r="F1892" t="str">
        <f>VLOOKUP(A1892,Medical_Examinations[],5,FALSE)</f>
        <v>No</v>
      </c>
      <c r="G1892" t="str">
        <f>VLOOKUP(A1892,Medical_Examinations[],6,FALSE)</f>
        <v>No</v>
      </c>
      <c r="H1892">
        <f>VLOOKUP(A1892,Medical_Examinations[],7,FALSE)</f>
        <v>1</v>
      </c>
      <c r="I1892" t="str">
        <f>VLOOKUP(A1892,Medical_Examinations[],8,FALSE)</f>
        <v>No</v>
      </c>
      <c r="J1892" t="str">
        <f>VLOOKUP(A1892,Medical_Examinations[],9,FALSE)</f>
        <v>Obesity</v>
      </c>
      <c r="K1892" t="str">
        <f>VLOOKUP(A1892,Medical_Examinations[],10,FALSE)</f>
        <v>Normal</v>
      </c>
      <c r="M1892">
        <f>VLOOKUP(A1892,Hospitalisation_Details__2[],4,FALSE)</f>
        <v>4058.71</v>
      </c>
      <c r="N1892" t="str">
        <f>VLOOKUP(A1892,Hospitalisation_Details__2[],5,FALSE)</f>
        <v>tier - 3</v>
      </c>
      <c r="O1892" t="str">
        <f>VLOOKUP(A1892,Hospitalisation_Details__2[],6,FALSE)</f>
        <v>tier - 3</v>
      </c>
      <c r="P1892" t="str">
        <f>VLOOKUP(A1892,Hospitalisation_Details__2[],7,FALSE)</f>
        <v>R1012</v>
      </c>
    </row>
    <row r="1893" spans="1:16" x14ac:dyDescent="0.35">
      <c r="A1893" t="str">
        <v>Id1892</v>
      </c>
      <c r="B1893" t="str">
        <f>VLOOKUP(A1893,'Customer Names (2)'!A:B, 2,FALSE)</f>
        <v>Mr</v>
      </c>
      <c r="C1893">
        <f>VLOOKUP(A1893,Medical_Examinations[],2,FALSE)</f>
        <v>37.29</v>
      </c>
      <c r="D1893">
        <f>VLOOKUP(A1893,Medical_Examinations[],3,FALSE)</f>
        <v>4.6399999999999997</v>
      </c>
      <c r="E1893" t="str">
        <f>VLOOKUP(A1893,Medical_Examinations[],4,FALSE)</f>
        <v>No</v>
      </c>
      <c r="F1893" t="str">
        <f>VLOOKUP(A1893,Medical_Examinations[],5,FALSE)</f>
        <v>No</v>
      </c>
      <c r="G1893" t="str">
        <f>VLOOKUP(A1893,Medical_Examinations[],6,FALSE)</f>
        <v>Yes</v>
      </c>
      <c r="H1893">
        <f>VLOOKUP(A1893,Medical_Examinations[],7,FALSE)</f>
        <v>1</v>
      </c>
      <c r="I1893" t="str">
        <f>VLOOKUP(A1893,Medical_Examinations[],8,FALSE)</f>
        <v>No</v>
      </c>
      <c r="J1893" t="str">
        <f>VLOOKUP(A1893,Medical_Examinations[],9,FALSE)</f>
        <v>Obesity</v>
      </c>
      <c r="K1893" t="str">
        <f>VLOOKUP(A1893,Medical_Examinations[],10,FALSE)</f>
        <v>Normal</v>
      </c>
      <c r="M1893">
        <f>VLOOKUP(A1893,Hospitalisation_Details__2[],4,FALSE)</f>
        <v>4058.12</v>
      </c>
      <c r="N1893" t="str">
        <f>VLOOKUP(A1893,Hospitalisation_Details__2[],5,FALSE)</f>
        <v>tier - 2</v>
      </c>
      <c r="O1893" t="str">
        <f>VLOOKUP(A1893,Hospitalisation_Details__2[],6,FALSE)</f>
        <v>tier - 1</v>
      </c>
      <c r="P1893" t="str">
        <f>VLOOKUP(A1893,Hospitalisation_Details__2[],7,FALSE)</f>
        <v>R1013</v>
      </c>
    </row>
    <row r="1894" spans="1:16" x14ac:dyDescent="0.35">
      <c r="A1894" t="str">
        <v>Id1893</v>
      </c>
      <c r="B1894" t="str">
        <f>VLOOKUP(A1894,'Customer Names (2)'!A:B, 2,FALSE)</f>
        <v>Ms</v>
      </c>
      <c r="C1894">
        <f>VLOOKUP(A1894,Medical_Examinations[],2,FALSE)</f>
        <v>20.23</v>
      </c>
      <c r="D1894">
        <f>VLOOKUP(A1894,Medical_Examinations[],3,FALSE)</f>
        <v>6.16</v>
      </c>
      <c r="E1894" t="str">
        <f>VLOOKUP(A1894,Medical_Examinations[],4,FALSE)</f>
        <v>Yes</v>
      </c>
      <c r="F1894" t="str">
        <f>VLOOKUP(A1894,Medical_Examinations[],5,FALSE)</f>
        <v>No</v>
      </c>
      <c r="G1894" t="str">
        <f>VLOOKUP(A1894,Medical_Examinations[],6,FALSE)</f>
        <v>No</v>
      </c>
      <c r="H1894">
        <f>VLOOKUP(A1894,Medical_Examinations[],7,FALSE)</f>
        <v>1</v>
      </c>
      <c r="I1894" t="str">
        <f>VLOOKUP(A1894,Medical_Examinations[],8,FALSE)</f>
        <v>No</v>
      </c>
      <c r="J1894" t="str">
        <f>VLOOKUP(A1894,Medical_Examinations[],9,FALSE)</f>
        <v>Normal Weight</v>
      </c>
      <c r="K1894" t="str">
        <f>VLOOKUP(A1894,Medical_Examinations[],10,FALSE)</f>
        <v>Prediabetes</v>
      </c>
      <c r="M1894">
        <f>VLOOKUP(A1894,Hospitalisation_Details__2[],4,FALSE)</f>
        <v>4047.94</v>
      </c>
      <c r="N1894" t="str">
        <f>VLOOKUP(A1894,Hospitalisation_Details__2[],5,FALSE)</f>
        <v>tier - 2</v>
      </c>
      <c r="O1894" t="str">
        <f>VLOOKUP(A1894,Hospitalisation_Details__2[],6,FALSE)</f>
        <v>tier - 1</v>
      </c>
      <c r="P1894" t="str">
        <f>VLOOKUP(A1894,Hospitalisation_Details__2[],7,FALSE)</f>
        <v>R1013</v>
      </c>
    </row>
    <row r="1895" spans="1:16" x14ac:dyDescent="0.35">
      <c r="A1895" t="str">
        <v>Id1894</v>
      </c>
      <c r="B1895" t="str">
        <f>VLOOKUP(A1895,'Customer Names (2)'!A:B, 2,FALSE)</f>
        <v>Mr</v>
      </c>
      <c r="C1895">
        <f>VLOOKUP(A1895,Medical_Examinations[],2,FALSE)</f>
        <v>28.975000000000001</v>
      </c>
      <c r="D1895">
        <f>VLOOKUP(A1895,Medical_Examinations[],3,FALSE)</f>
        <v>4.12</v>
      </c>
      <c r="E1895" t="str">
        <f>VLOOKUP(A1895,Medical_Examinations[],4,FALSE)</f>
        <v>No</v>
      </c>
      <c r="F1895" t="str">
        <f>VLOOKUP(A1895,Medical_Examinations[],5,FALSE)</f>
        <v>No</v>
      </c>
      <c r="G1895" t="str">
        <f>VLOOKUP(A1895,Medical_Examinations[],6,FALSE)</f>
        <v>Yes</v>
      </c>
      <c r="H1895">
        <f>VLOOKUP(A1895,Medical_Examinations[],7,FALSE)</f>
        <v>1</v>
      </c>
      <c r="I1895" t="str">
        <f>VLOOKUP(A1895,Medical_Examinations[],8,FALSE)</f>
        <v>No</v>
      </c>
      <c r="J1895" t="str">
        <f>VLOOKUP(A1895,Medical_Examinations[],9,FALSE)</f>
        <v>Overweight</v>
      </c>
      <c r="K1895" t="str">
        <f>VLOOKUP(A1895,Medical_Examinations[],10,FALSE)</f>
        <v>Normal</v>
      </c>
      <c r="M1895">
        <f>VLOOKUP(A1895,Hospitalisation_Details__2[],4,FALSE)</f>
        <v>4040.56</v>
      </c>
      <c r="N1895" t="str">
        <f>VLOOKUP(A1895,Hospitalisation_Details__2[],5,FALSE)</f>
        <v>tier - 3</v>
      </c>
      <c r="O1895" t="str">
        <f>VLOOKUP(A1895,Hospitalisation_Details__2[],6,FALSE)</f>
        <v>tier - 3</v>
      </c>
      <c r="P1895" t="str">
        <f>VLOOKUP(A1895,Hospitalisation_Details__2[],7,FALSE)</f>
        <v>R1015</v>
      </c>
    </row>
    <row r="1896" spans="1:16" x14ac:dyDescent="0.35">
      <c r="A1896" t="str">
        <v>Id1895</v>
      </c>
      <c r="B1896" t="str">
        <f>VLOOKUP(A1896,'Customer Names (2)'!A:B, 2,FALSE)</f>
        <v>Ms</v>
      </c>
      <c r="C1896">
        <f>VLOOKUP(A1896,Medical_Examinations[],2,FALSE)</f>
        <v>16.420000000000002</v>
      </c>
      <c r="D1896">
        <f>VLOOKUP(A1896,Medical_Examinations[],3,FALSE)</f>
        <v>5.77</v>
      </c>
      <c r="E1896" t="str">
        <f>VLOOKUP(A1896,Medical_Examinations[],4,FALSE)</f>
        <v>Yes</v>
      </c>
      <c r="F1896" t="str">
        <f>VLOOKUP(A1896,Medical_Examinations[],5,FALSE)</f>
        <v>No</v>
      </c>
      <c r="G1896" t="str">
        <f>VLOOKUP(A1896,Medical_Examinations[],6,FALSE)</f>
        <v>Yes</v>
      </c>
      <c r="H1896">
        <f>VLOOKUP(A1896,Medical_Examinations[],7,FALSE)</f>
        <v>1</v>
      </c>
      <c r="I1896" t="str">
        <f>VLOOKUP(A1896,Medical_Examinations[],8,FALSE)</f>
        <v>No</v>
      </c>
      <c r="J1896" t="str">
        <f>VLOOKUP(A1896,Medical_Examinations[],9,FALSE)</f>
        <v>Underweight</v>
      </c>
      <c r="K1896" t="str">
        <f>VLOOKUP(A1896,Medical_Examinations[],10,FALSE)</f>
        <v>Prediabetes</v>
      </c>
      <c r="M1896">
        <f>VLOOKUP(A1896,Hospitalisation_Details__2[],4,FALSE)</f>
        <v>4039.9</v>
      </c>
      <c r="N1896" t="str">
        <f>VLOOKUP(A1896,Hospitalisation_Details__2[],5,FALSE)</f>
        <v>tier - 2</v>
      </c>
      <c r="O1896" t="str">
        <f>VLOOKUP(A1896,Hospitalisation_Details__2[],6,FALSE)</f>
        <v>tier - 1</v>
      </c>
      <c r="P1896" t="str">
        <f>VLOOKUP(A1896,Hospitalisation_Details__2[],7,FALSE)</f>
        <v>R1013</v>
      </c>
    </row>
    <row r="1897" spans="1:16" x14ac:dyDescent="0.35">
      <c r="A1897" t="str">
        <v>Id1896</v>
      </c>
      <c r="B1897" t="str">
        <f>VLOOKUP(A1897,'Customer Names (2)'!A:B, 2,FALSE)</f>
        <v>Mr</v>
      </c>
      <c r="C1897">
        <f>VLOOKUP(A1897,Medical_Examinations[],2,FALSE)</f>
        <v>17.559999999999999</v>
      </c>
      <c r="D1897">
        <f>VLOOKUP(A1897,Medical_Examinations[],3,FALSE)</f>
        <v>6.2</v>
      </c>
      <c r="E1897" t="str">
        <f>VLOOKUP(A1897,Medical_Examinations[],4,FALSE)</f>
        <v>No</v>
      </c>
      <c r="F1897" t="str">
        <f>VLOOKUP(A1897,Medical_Examinations[],5,FALSE)</f>
        <v>No</v>
      </c>
      <c r="G1897" t="str">
        <f>VLOOKUP(A1897,Medical_Examinations[],6,FALSE)</f>
        <v>No</v>
      </c>
      <c r="H1897">
        <f>VLOOKUP(A1897,Medical_Examinations[],7,FALSE)</f>
        <v>1</v>
      </c>
      <c r="I1897" t="str">
        <f>VLOOKUP(A1897,Medical_Examinations[],8,FALSE)</f>
        <v>No</v>
      </c>
      <c r="J1897" t="str">
        <f>VLOOKUP(A1897,Medical_Examinations[],9,FALSE)</f>
        <v>Underweight</v>
      </c>
      <c r="K1897" t="str">
        <f>VLOOKUP(A1897,Medical_Examinations[],10,FALSE)</f>
        <v>Prediabetes</v>
      </c>
      <c r="M1897">
        <f>VLOOKUP(A1897,Hospitalisation_Details__2[],4,FALSE)</f>
        <v>4038.41</v>
      </c>
      <c r="N1897" t="str">
        <f>VLOOKUP(A1897,Hospitalisation_Details__2[],5,FALSE)</f>
        <v>tier - 2</v>
      </c>
      <c r="O1897" t="str">
        <f>VLOOKUP(A1897,Hospitalisation_Details__2[],6,FALSE)</f>
        <v>tier - 1</v>
      </c>
      <c r="P1897" t="str">
        <f>VLOOKUP(A1897,Hospitalisation_Details__2[],7,FALSE)</f>
        <v>R1013</v>
      </c>
    </row>
    <row r="1898" spans="1:16" x14ac:dyDescent="0.35">
      <c r="A1898" t="str">
        <v>Id1897</v>
      </c>
      <c r="B1898" t="str">
        <f>VLOOKUP(A1898,'Customer Names (2)'!A:B, 2,FALSE)</f>
        <v>Mr</v>
      </c>
      <c r="C1898">
        <f>VLOOKUP(A1898,Medical_Examinations[],2,FALSE)</f>
        <v>24.13</v>
      </c>
      <c r="D1898">
        <f>VLOOKUP(A1898,Medical_Examinations[],3,FALSE)</f>
        <v>4.3899999999999997</v>
      </c>
      <c r="E1898" t="str">
        <f>VLOOKUP(A1898,Medical_Examinations[],4,FALSE)</f>
        <v>No</v>
      </c>
      <c r="F1898" t="str">
        <f>VLOOKUP(A1898,Medical_Examinations[],5,FALSE)</f>
        <v>No</v>
      </c>
      <c r="G1898" t="str">
        <f>VLOOKUP(A1898,Medical_Examinations[],6,FALSE)</f>
        <v>No</v>
      </c>
      <c r="H1898">
        <f>VLOOKUP(A1898,Medical_Examinations[],7,FALSE)</f>
        <v>1</v>
      </c>
      <c r="I1898" t="str">
        <f>VLOOKUP(A1898,Medical_Examinations[],8,FALSE)</f>
        <v>No</v>
      </c>
      <c r="J1898" t="str">
        <f>VLOOKUP(A1898,Medical_Examinations[],9,FALSE)</f>
        <v>Normal Weight</v>
      </c>
      <c r="K1898" t="str">
        <f>VLOOKUP(A1898,Medical_Examinations[],10,FALSE)</f>
        <v>Normal</v>
      </c>
      <c r="M1898">
        <f>VLOOKUP(A1898,Hospitalisation_Details__2[],4,FALSE)</f>
        <v>4032.24</v>
      </c>
      <c r="N1898" t="str">
        <f>VLOOKUP(A1898,Hospitalisation_Details__2[],5,FALSE)</f>
        <v>tier - 3</v>
      </c>
      <c r="O1898" t="str">
        <f>VLOOKUP(A1898,Hospitalisation_Details__2[],6,FALSE)</f>
        <v>tier - 3</v>
      </c>
      <c r="P1898" t="str">
        <f>VLOOKUP(A1898,Hospitalisation_Details__2[],7,FALSE)</f>
        <v>R1012</v>
      </c>
    </row>
    <row r="1899" spans="1:16" x14ac:dyDescent="0.35">
      <c r="A1899" t="str">
        <v>Id1898</v>
      </c>
      <c r="B1899" t="str">
        <f>VLOOKUP(A1899,'Customer Names (2)'!A:B, 2,FALSE)</f>
        <v>Mr</v>
      </c>
      <c r="C1899">
        <f>VLOOKUP(A1899,Medical_Examinations[],2,FALSE)</f>
        <v>19.95</v>
      </c>
      <c r="D1899">
        <f>VLOOKUP(A1899,Medical_Examinations[],3,FALSE)</f>
        <v>5.13</v>
      </c>
      <c r="E1899" t="str">
        <f>VLOOKUP(A1899,Medical_Examinations[],4,FALSE)</f>
        <v>No</v>
      </c>
      <c r="F1899" t="str">
        <f>VLOOKUP(A1899,Medical_Examinations[],5,FALSE)</f>
        <v>yes</v>
      </c>
      <c r="G1899" t="str">
        <f>VLOOKUP(A1899,Medical_Examinations[],6,FALSE)</f>
        <v>No</v>
      </c>
      <c r="H1899">
        <f>VLOOKUP(A1899,Medical_Examinations[],7,FALSE)</f>
        <v>2</v>
      </c>
      <c r="I1899" t="str">
        <f>VLOOKUP(A1899,Medical_Examinations[],8,FALSE)</f>
        <v>No</v>
      </c>
      <c r="J1899" t="str">
        <f>VLOOKUP(A1899,Medical_Examinations[],9,FALSE)</f>
        <v>Normal Weight</v>
      </c>
      <c r="K1899" t="str">
        <f>VLOOKUP(A1899,Medical_Examinations[],10,FALSE)</f>
        <v>Normal</v>
      </c>
      <c r="M1899">
        <f>VLOOKUP(A1899,Hospitalisation_Details__2[],4,FALSE)</f>
        <v>4005.42</v>
      </c>
      <c r="N1899" t="str">
        <f>VLOOKUP(A1899,Hospitalisation_Details__2[],5,FALSE)</f>
        <v>tier - 2</v>
      </c>
      <c r="O1899" t="str">
        <f>VLOOKUP(A1899,Hospitalisation_Details__2[],6,FALSE)</f>
        <v>tier - 1</v>
      </c>
      <c r="P1899" t="str">
        <f>VLOOKUP(A1899,Hospitalisation_Details__2[],7,FALSE)</f>
        <v>R1015</v>
      </c>
    </row>
    <row r="1900" spans="1:16" x14ac:dyDescent="0.35">
      <c r="A1900" t="str">
        <v>Id1899</v>
      </c>
      <c r="B1900" t="str">
        <f>VLOOKUP(A1900,'Customer Names (2)'!A:B, 2,FALSE)</f>
        <v>Mr</v>
      </c>
      <c r="C1900">
        <f>VLOOKUP(A1900,Medical_Examinations[],2,FALSE)</f>
        <v>21.24</v>
      </c>
      <c r="D1900">
        <f>VLOOKUP(A1900,Medical_Examinations[],3,FALSE)</f>
        <v>4.49</v>
      </c>
      <c r="E1900" t="str">
        <f>VLOOKUP(A1900,Medical_Examinations[],4,FALSE)</f>
        <v>No</v>
      </c>
      <c r="F1900" t="str">
        <f>VLOOKUP(A1900,Medical_Examinations[],5,FALSE)</f>
        <v>No</v>
      </c>
      <c r="G1900" t="str">
        <f>VLOOKUP(A1900,Medical_Examinations[],6,FALSE)</f>
        <v>No</v>
      </c>
      <c r="H1900">
        <f>VLOOKUP(A1900,Medical_Examinations[],7,FALSE)</f>
        <v>0</v>
      </c>
      <c r="I1900" t="str">
        <f>VLOOKUP(A1900,Medical_Examinations[],8,FALSE)</f>
        <v>No</v>
      </c>
      <c r="J1900" t="str">
        <f>VLOOKUP(A1900,Medical_Examinations[],9,FALSE)</f>
        <v>Normal Weight</v>
      </c>
      <c r="K1900" t="str">
        <f>VLOOKUP(A1900,Medical_Examinations[],10,FALSE)</f>
        <v>Normal</v>
      </c>
      <c r="M1900">
        <f>VLOOKUP(A1900,Hospitalisation_Details__2[],4,FALSE)</f>
        <v>4002.36</v>
      </c>
      <c r="N1900" t="str">
        <f>VLOOKUP(A1900,Hospitalisation_Details__2[],5,FALSE)</f>
        <v>tier - 2</v>
      </c>
      <c r="O1900" t="str">
        <f>VLOOKUP(A1900,Hospitalisation_Details__2[],6,FALSE)</f>
        <v>tier - 1</v>
      </c>
      <c r="P1900" t="str">
        <f>VLOOKUP(A1900,Hospitalisation_Details__2[],7,FALSE)</f>
        <v>R1013</v>
      </c>
    </row>
    <row r="1901" spans="1:16" x14ac:dyDescent="0.35">
      <c r="A1901" t="str">
        <v>Id1900</v>
      </c>
      <c r="B1901" t="str">
        <f>VLOOKUP(A1901,'Customer Names (2)'!A:B, 2,FALSE)</f>
        <v>Ms</v>
      </c>
      <c r="C1901">
        <f>VLOOKUP(A1901,Medical_Examinations[],2,FALSE)</f>
        <v>44.22</v>
      </c>
      <c r="D1901">
        <f>VLOOKUP(A1901,Medical_Examinations[],3,FALSE)</f>
        <v>6.35</v>
      </c>
      <c r="E1901" t="str">
        <f>VLOOKUP(A1901,Medical_Examinations[],4,FALSE)</f>
        <v>No</v>
      </c>
      <c r="F1901" t="str">
        <f>VLOOKUP(A1901,Medical_Examinations[],5,FALSE)</f>
        <v>No</v>
      </c>
      <c r="G1901" t="str">
        <f>VLOOKUP(A1901,Medical_Examinations[],6,FALSE)</f>
        <v>No</v>
      </c>
      <c r="H1901">
        <f>VLOOKUP(A1901,Medical_Examinations[],7,FALSE)</f>
        <v>0</v>
      </c>
      <c r="I1901" t="str">
        <f>VLOOKUP(A1901,Medical_Examinations[],8,FALSE)</f>
        <v>No</v>
      </c>
      <c r="J1901" t="str">
        <f>VLOOKUP(A1901,Medical_Examinations[],9,FALSE)</f>
        <v>Obesity</v>
      </c>
      <c r="K1901" t="str">
        <f>VLOOKUP(A1901,Medical_Examinations[],10,FALSE)</f>
        <v>Prediabetes</v>
      </c>
      <c r="M1901">
        <f>VLOOKUP(A1901,Hospitalisation_Details__2[],4,FALSE)</f>
        <v>3994.18</v>
      </c>
      <c r="N1901" t="str">
        <f>VLOOKUP(A1901,Hospitalisation_Details__2[],5,FALSE)</f>
        <v>tier - 2</v>
      </c>
      <c r="O1901" t="str">
        <f>VLOOKUP(A1901,Hospitalisation_Details__2[],6,FALSE)</f>
        <v>tier - 2</v>
      </c>
      <c r="P1901" t="str">
        <f>VLOOKUP(A1901,Hospitalisation_Details__2[],7,FALSE)</f>
        <v>R1013</v>
      </c>
    </row>
    <row r="1902" spans="1:16" x14ac:dyDescent="0.35">
      <c r="A1902" t="str">
        <v>Id1901</v>
      </c>
      <c r="B1902" t="str">
        <f>VLOOKUP(A1902,'Customer Names (2)'!A:B, 2,FALSE)</f>
        <v>Ms</v>
      </c>
      <c r="C1902">
        <f>VLOOKUP(A1902,Medical_Examinations[],2,FALSE)</f>
        <v>41.1</v>
      </c>
      <c r="D1902">
        <f>VLOOKUP(A1902,Medical_Examinations[],3,FALSE)</f>
        <v>5.79</v>
      </c>
      <c r="E1902" t="str">
        <f>VLOOKUP(A1902,Medical_Examinations[],4,FALSE)</f>
        <v>No</v>
      </c>
      <c r="F1902" t="str">
        <f>VLOOKUP(A1902,Medical_Examinations[],5,FALSE)</f>
        <v>No</v>
      </c>
      <c r="G1902" t="str">
        <f>VLOOKUP(A1902,Medical_Examinations[],6,FALSE)</f>
        <v>No</v>
      </c>
      <c r="H1902">
        <f>VLOOKUP(A1902,Medical_Examinations[],7,FALSE)</f>
        <v>0</v>
      </c>
      <c r="I1902" t="str">
        <f>VLOOKUP(A1902,Medical_Examinations[],8,FALSE)</f>
        <v>No</v>
      </c>
      <c r="J1902" t="str">
        <f>VLOOKUP(A1902,Medical_Examinations[],9,FALSE)</f>
        <v>Obesity</v>
      </c>
      <c r="K1902" t="str">
        <f>VLOOKUP(A1902,Medical_Examinations[],10,FALSE)</f>
        <v>Prediabetes</v>
      </c>
      <c r="M1902">
        <f>VLOOKUP(A1902,Hospitalisation_Details__2[],4,FALSE)</f>
        <v>3989.84</v>
      </c>
      <c r="N1902" t="str">
        <f>VLOOKUP(A1902,Hospitalisation_Details__2[],5,FALSE)</f>
        <v>tier - 2</v>
      </c>
      <c r="O1902" t="str">
        <f>VLOOKUP(A1902,Hospitalisation_Details__2[],6,FALSE)</f>
        <v>tier - 2</v>
      </c>
      <c r="P1902" t="str">
        <f>VLOOKUP(A1902,Hospitalisation_Details__2[],7,FALSE)</f>
        <v>R1011</v>
      </c>
    </row>
    <row r="1903" spans="1:16" x14ac:dyDescent="0.35">
      <c r="A1903" t="str">
        <v>Id1902</v>
      </c>
      <c r="B1903" t="str">
        <f>VLOOKUP(A1903,'Customer Names (2)'!A:B, 2,FALSE)</f>
        <v>Ms</v>
      </c>
      <c r="C1903">
        <f>VLOOKUP(A1903,Medical_Examinations[],2,FALSE)</f>
        <v>34.200000000000003</v>
      </c>
      <c r="D1903">
        <f>VLOOKUP(A1903,Medical_Examinations[],3,FALSE)</f>
        <v>4.78</v>
      </c>
      <c r="E1903" t="str">
        <f>VLOOKUP(A1903,Medical_Examinations[],4,FALSE)</f>
        <v>Yes</v>
      </c>
      <c r="F1903" t="str">
        <f>VLOOKUP(A1903,Medical_Examinations[],5,FALSE)</f>
        <v>No</v>
      </c>
      <c r="G1903" t="str">
        <f>VLOOKUP(A1903,Medical_Examinations[],6,FALSE)</f>
        <v>No</v>
      </c>
      <c r="H1903">
        <f>VLOOKUP(A1903,Medical_Examinations[],7,FALSE)</f>
        <v>0</v>
      </c>
      <c r="I1903" t="str">
        <f>VLOOKUP(A1903,Medical_Examinations[],8,FALSE)</f>
        <v>No</v>
      </c>
      <c r="J1903" t="str">
        <f>VLOOKUP(A1903,Medical_Examinations[],9,FALSE)</f>
        <v>Obesity</v>
      </c>
      <c r="K1903" t="str">
        <f>VLOOKUP(A1903,Medical_Examinations[],10,FALSE)</f>
        <v>Normal</v>
      </c>
      <c r="M1903">
        <f>VLOOKUP(A1903,Hospitalisation_Details__2[],4,FALSE)</f>
        <v>3987.93</v>
      </c>
      <c r="N1903" t="str">
        <f>VLOOKUP(A1903,Hospitalisation_Details__2[],5,FALSE)</f>
        <v>tier - 2</v>
      </c>
      <c r="O1903" t="str">
        <f>VLOOKUP(A1903,Hospitalisation_Details__2[],6,FALSE)</f>
        <v>tier - 2</v>
      </c>
      <c r="P1903" t="str">
        <f>VLOOKUP(A1903,Hospitalisation_Details__2[],7,FALSE)</f>
        <v>R1011</v>
      </c>
    </row>
    <row r="1904" spans="1:16" x14ac:dyDescent="0.35">
      <c r="A1904" t="str">
        <v>Id1903</v>
      </c>
      <c r="B1904" t="str">
        <f>VLOOKUP(A1904,'Customer Names (2)'!A:B, 2,FALSE)</f>
        <v>Ms</v>
      </c>
      <c r="C1904">
        <f>VLOOKUP(A1904,Medical_Examinations[],2,FALSE)</f>
        <v>29.92</v>
      </c>
      <c r="D1904">
        <f>VLOOKUP(A1904,Medical_Examinations[],3,FALSE)</f>
        <v>6.02</v>
      </c>
      <c r="E1904" t="str">
        <f>VLOOKUP(A1904,Medical_Examinations[],4,FALSE)</f>
        <v>Yes</v>
      </c>
      <c r="F1904" t="str">
        <f>VLOOKUP(A1904,Medical_Examinations[],5,FALSE)</f>
        <v>No</v>
      </c>
      <c r="G1904" t="str">
        <f>VLOOKUP(A1904,Medical_Examinations[],6,FALSE)</f>
        <v>No</v>
      </c>
      <c r="H1904">
        <f>VLOOKUP(A1904,Medical_Examinations[],7,FALSE)</f>
        <v>0</v>
      </c>
      <c r="I1904" t="str">
        <f>VLOOKUP(A1904,Medical_Examinations[],8,FALSE)</f>
        <v>No</v>
      </c>
      <c r="J1904" t="str">
        <f>VLOOKUP(A1904,Medical_Examinations[],9,FALSE)</f>
        <v>Overweight</v>
      </c>
      <c r="K1904" t="str">
        <f>VLOOKUP(A1904,Medical_Examinations[],10,FALSE)</f>
        <v>Prediabetes</v>
      </c>
      <c r="M1904">
        <f>VLOOKUP(A1904,Hospitalisation_Details__2[],4,FALSE)</f>
        <v>3981.98</v>
      </c>
      <c r="N1904" t="str">
        <f>VLOOKUP(A1904,Hospitalisation_Details__2[],5,FALSE)</f>
        <v>tier - 2</v>
      </c>
      <c r="O1904" t="str">
        <f>VLOOKUP(A1904,Hospitalisation_Details__2[],6,FALSE)</f>
        <v>tier - 2</v>
      </c>
      <c r="P1904" t="str">
        <f>VLOOKUP(A1904,Hospitalisation_Details__2[],7,FALSE)</f>
        <v>R1013</v>
      </c>
    </row>
    <row r="1905" spans="1:16" x14ac:dyDescent="0.35">
      <c r="A1905" t="str">
        <v>Id1904</v>
      </c>
      <c r="B1905" t="str">
        <f>VLOOKUP(A1905,'Customer Names (2)'!A:B, 2,FALSE)</f>
        <v>Ms</v>
      </c>
      <c r="C1905">
        <f>VLOOKUP(A1905,Medical_Examinations[],2,FALSE)</f>
        <v>28.93</v>
      </c>
      <c r="D1905">
        <f>VLOOKUP(A1905,Medical_Examinations[],3,FALSE)</f>
        <v>4.4400000000000004</v>
      </c>
      <c r="E1905" t="str">
        <f>VLOOKUP(A1905,Medical_Examinations[],4,FALSE)</f>
        <v>No</v>
      </c>
      <c r="F1905" t="str">
        <f>VLOOKUP(A1905,Medical_Examinations[],5,FALSE)</f>
        <v>No</v>
      </c>
      <c r="G1905" t="str">
        <f>VLOOKUP(A1905,Medical_Examinations[],6,FALSE)</f>
        <v>No</v>
      </c>
      <c r="H1905">
        <f>VLOOKUP(A1905,Medical_Examinations[],7,FALSE)</f>
        <v>0</v>
      </c>
      <c r="I1905" t="str">
        <f>VLOOKUP(A1905,Medical_Examinations[],8,FALSE)</f>
        <v>No</v>
      </c>
      <c r="J1905" t="str">
        <f>VLOOKUP(A1905,Medical_Examinations[],9,FALSE)</f>
        <v>Overweight</v>
      </c>
      <c r="K1905" t="str">
        <f>VLOOKUP(A1905,Medical_Examinations[],10,FALSE)</f>
        <v>Normal</v>
      </c>
      <c r="M1905">
        <f>VLOOKUP(A1905,Hospitalisation_Details__2[],4,FALSE)</f>
        <v>3972.92</v>
      </c>
      <c r="N1905" t="str">
        <f>VLOOKUP(A1905,Hospitalisation_Details__2[],5,FALSE)</f>
        <v>tier - 2</v>
      </c>
      <c r="O1905" t="str">
        <f>VLOOKUP(A1905,Hospitalisation_Details__2[],6,FALSE)</f>
        <v>tier - 3</v>
      </c>
      <c r="P1905" t="str">
        <f>VLOOKUP(A1905,Hospitalisation_Details__2[],7,FALSE)</f>
        <v>R1013</v>
      </c>
    </row>
    <row r="1906" spans="1:16" x14ac:dyDescent="0.35">
      <c r="A1906" t="str">
        <v>Id1905</v>
      </c>
      <c r="B1906" t="str">
        <f>VLOOKUP(A1906,'Customer Names (2)'!A:B, 2,FALSE)</f>
        <v>Ms</v>
      </c>
      <c r="C1906">
        <f>VLOOKUP(A1906,Medical_Examinations[],2,FALSE)</f>
        <v>31.254999999999999</v>
      </c>
      <c r="D1906">
        <f>VLOOKUP(A1906,Medical_Examinations[],3,FALSE)</f>
        <v>5.84</v>
      </c>
      <c r="E1906" t="str">
        <f>VLOOKUP(A1906,Medical_Examinations[],4,FALSE)</f>
        <v>Yes</v>
      </c>
      <c r="F1906" t="str">
        <f>VLOOKUP(A1906,Medical_Examinations[],5,FALSE)</f>
        <v>No</v>
      </c>
      <c r="G1906" t="str">
        <f>VLOOKUP(A1906,Medical_Examinations[],6,FALSE)</f>
        <v>No</v>
      </c>
      <c r="H1906">
        <f>VLOOKUP(A1906,Medical_Examinations[],7,FALSE)</f>
        <v>1</v>
      </c>
      <c r="I1906" t="str">
        <f>VLOOKUP(A1906,Medical_Examinations[],8,FALSE)</f>
        <v>No</v>
      </c>
      <c r="J1906" t="str">
        <f>VLOOKUP(A1906,Medical_Examinations[],9,FALSE)</f>
        <v>Obesity</v>
      </c>
      <c r="K1906" t="str">
        <f>VLOOKUP(A1906,Medical_Examinations[],10,FALSE)</f>
        <v>Prediabetes</v>
      </c>
      <c r="M1906">
        <f>VLOOKUP(A1906,Hospitalisation_Details__2[],4,FALSE)</f>
        <v>3956.07</v>
      </c>
      <c r="N1906" t="str">
        <f>VLOOKUP(A1906,Hospitalisation_Details__2[],5,FALSE)</f>
        <v>tier - 2</v>
      </c>
      <c r="O1906" t="str">
        <f>VLOOKUP(A1906,Hospitalisation_Details__2[],6,FALSE)</f>
        <v>tier - 2</v>
      </c>
      <c r="P1906" t="str">
        <f>VLOOKUP(A1906,Hospitalisation_Details__2[],7,FALSE)</f>
        <v>R1012</v>
      </c>
    </row>
    <row r="1907" spans="1:16" x14ac:dyDescent="0.35">
      <c r="A1907" t="str">
        <v>Id1906</v>
      </c>
      <c r="B1907" t="str">
        <f>VLOOKUP(A1907,'Customer Names (2)'!A:B, 2,FALSE)</f>
        <v>Mr</v>
      </c>
      <c r="C1907">
        <f>VLOOKUP(A1907,Medical_Examinations[],2,FALSE)</f>
        <v>29.83</v>
      </c>
      <c r="D1907">
        <f>VLOOKUP(A1907,Medical_Examinations[],3,FALSE)</f>
        <v>5.39</v>
      </c>
      <c r="E1907" t="str">
        <f>VLOOKUP(A1907,Medical_Examinations[],4,FALSE)</f>
        <v>No</v>
      </c>
      <c r="F1907" t="str">
        <f>VLOOKUP(A1907,Medical_Examinations[],5,FALSE)</f>
        <v>No</v>
      </c>
      <c r="G1907" t="str">
        <f>VLOOKUP(A1907,Medical_Examinations[],6,FALSE)</f>
        <v>No</v>
      </c>
      <c r="H1907">
        <f>VLOOKUP(A1907,Medical_Examinations[],7,FALSE)</f>
        <v>0</v>
      </c>
      <c r="I1907" t="str">
        <f>VLOOKUP(A1907,Medical_Examinations[],8,FALSE)</f>
        <v>No</v>
      </c>
      <c r="J1907" t="str">
        <f>VLOOKUP(A1907,Medical_Examinations[],9,FALSE)</f>
        <v>Overweight</v>
      </c>
      <c r="K1907" t="str">
        <f>VLOOKUP(A1907,Medical_Examinations[],10,FALSE)</f>
        <v>Normal</v>
      </c>
      <c r="M1907">
        <f>VLOOKUP(A1907,Hospitalisation_Details__2[],4,FALSE)</f>
        <v>3955.98</v>
      </c>
      <c r="N1907" t="str">
        <f>VLOOKUP(A1907,Hospitalisation_Details__2[],5,FALSE)</f>
        <v>tier - 2</v>
      </c>
      <c r="O1907" t="str">
        <f>VLOOKUP(A1907,Hospitalisation_Details__2[],6,FALSE)</f>
        <v>tier - 3</v>
      </c>
      <c r="P1907" t="str">
        <f>VLOOKUP(A1907,Hospitalisation_Details__2[],7,FALSE)</f>
        <v>R1021</v>
      </c>
    </row>
    <row r="1908" spans="1:16" x14ac:dyDescent="0.35">
      <c r="A1908" t="str">
        <v>Id1907</v>
      </c>
      <c r="B1908" t="str">
        <f>VLOOKUP(A1908,'Customer Names (2)'!A:B, 2,FALSE)</f>
        <v>Ms</v>
      </c>
      <c r="C1908">
        <f>VLOOKUP(A1908,Medical_Examinations[],2,FALSE)</f>
        <v>29.59</v>
      </c>
      <c r="D1908">
        <f>VLOOKUP(A1908,Medical_Examinations[],3,FALSE)</f>
        <v>6.16</v>
      </c>
      <c r="E1908" t="str">
        <f>VLOOKUP(A1908,Medical_Examinations[],4,FALSE)</f>
        <v>No</v>
      </c>
      <c r="F1908" t="str">
        <f>VLOOKUP(A1908,Medical_Examinations[],5,FALSE)</f>
        <v>No</v>
      </c>
      <c r="G1908" t="str">
        <f>VLOOKUP(A1908,Medical_Examinations[],6,FALSE)</f>
        <v>Yes</v>
      </c>
      <c r="H1908">
        <f>VLOOKUP(A1908,Medical_Examinations[],7,FALSE)</f>
        <v>1</v>
      </c>
      <c r="I1908" t="str">
        <f>VLOOKUP(A1908,Medical_Examinations[],8,FALSE)</f>
        <v>No</v>
      </c>
      <c r="J1908" t="str">
        <f>VLOOKUP(A1908,Medical_Examinations[],9,FALSE)</f>
        <v>Overweight</v>
      </c>
      <c r="K1908" t="str">
        <f>VLOOKUP(A1908,Medical_Examinations[],10,FALSE)</f>
        <v>Prediabetes</v>
      </c>
      <c r="M1908">
        <f>VLOOKUP(A1908,Hospitalisation_Details__2[],4,FALSE)</f>
        <v>3947.41</v>
      </c>
      <c r="N1908" t="str">
        <f>VLOOKUP(A1908,Hospitalisation_Details__2[],5,FALSE)</f>
        <v>tier - 2</v>
      </c>
      <c r="O1908" t="str">
        <f>VLOOKUP(A1908,Hospitalisation_Details__2[],6,FALSE)</f>
        <v>tier - 2</v>
      </c>
      <c r="P1908" t="str">
        <f>VLOOKUP(A1908,Hospitalisation_Details__2[],7,FALSE)</f>
        <v>R1013</v>
      </c>
    </row>
    <row r="1909" spans="1:16" x14ac:dyDescent="0.35">
      <c r="A1909" t="str">
        <v>Id1908</v>
      </c>
      <c r="B1909" t="str">
        <f>VLOOKUP(A1909,'Customer Names (2)'!A:B, 2,FALSE)</f>
        <v>Ms</v>
      </c>
      <c r="C1909">
        <f>VLOOKUP(A1909,Medical_Examinations[],2,FALSE)</f>
        <v>31.16</v>
      </c>
      <c r="D1909">
        <f>VLOOKUP(A1909,Medical_Examinations[],3,FALSE)</f>
        <v>4.49</v>
      </c>
      <c r="E1909" t="str">
        <f>VLOOKUP(A1909,Medical_Examinations[],4,FALSE)</f>
        <v>No</v>
      </c>
      <c r="F1909" t="str">
        <f>VLOOKUP(A1909,Medical_Examinations[],5,FALSE)</f>
        <v>No</v>
      </c>
      <c r="G1909" t="str">
        <f>VLOOKUP(A1909,Medical_Examinations[],6,FALSE)</f>
        <v>Yes</v>
      </c>
      <c r="H1909">
        <f>VLOOKUP(A1909,Medical_Examinations[],7,FALSE)</f>
        <v>1</v>
      </c>
      <c r="I1909" t="str">
        <f>VLOOKUP(A1909,Medical_Examinations[],8,FALSE)</f>
        <v>No</v>
      </c>
      <c r="J1909" t="str">
        <f>VLOOKUP(A1909,Medical_Examinations[],9,FALSE)</f>
        <v>Obesity</v>
      </c>
      <c r="K1909" t="str">
        <f>VLOOKUP(A1909,Medical_Examinations[],10,FALSE)</f>
        <v>Normal</v>
      </c>
      <c r="M1909">
        <f>VLOOKUP(A1909,Hospitalisation_Details__2[],4,FALSE)</f>
        <v>3943.6</v>
      </c>
      <c r="N1909" t="str">
        <f>VLOOKUP(A1909,Hospitalisation_Details__2[],5,FALSE)</f>
        <v>tier - 2</v>
      </c>
      <c r="O1909" t="str">
        <f>VLOOKUP(A1909,Hospitalisation_Details__2[],6,FALSE)</f>
        <v>tier - 3</v>
      </c>
      <c r="P1909" t="str">
        <f>VLOOKUP(A1909,Hospitalisation_Details__2[],7,FALSE)</f>
        <v>R1024</v>
      </c>
    </row>
    <row r="1910" spans="1:16" x14ac:dyDescent="0.35">
      <c r="A1910" t="str">
        <v>Id1909</v>
      </c>
      <c r="B1910" t="str">
        <f>VLOOKUP(A1910,'Customer Names (2)'!A:B, 2,FALSE)</f>
        <v>Mr</v>
      </c>
      <c r="C1910">
        <f>VLOOKUP(A1910,Medical_Examinations[],2,FALSE)</f>
        <v>34.21</v>
      </c>
      <c r="D1910">
        <f>VLOOKUP(A1910,Medical_Examinations[],3,FALSE)</f>
        <v>4.4800000000000004</v>
      </c>
      <c r="E1910" t="str">
        <f>VLOOKUP(A1910,Medical_Examinations[],4,FALSE)</f>
        <v>Yes</v>
      </c>
      <c r="F1910" t="str">
        <f>VLOOKUP(A1910,Medical_Examinations[],5,FALSE)</f>
        <v>No</v>
      </c>
      <c r="G1910" t="str">
        <f>VLOOKUP(A1910,Medical_Examinations[],6,FALSE)</f>
        <v>No</v>
      </c>
      <c r="H1910">
        <f>VLOOKUP(A1910,Medical_Examinations[],7,FALSE)</f>
        <v>1</v>
      </c>
      <c r="I1910" t="str">
        <f>VLOOKUP(A1910,Medical_Examinations[],8,FALSE)</f>
        <v>No</v>
      </c>
      <c r="J1910" t="str">
        <f>VLOOKUP(A1910,Medical_Examinations[],9,FALSE)</f>
        <v>Obesity</v>
      </c>
      <c r="K1910" t="str">
        <f>VLOOKUP(A1910,Medical_Examinations[],10,FALSE)</f>
        <v>Normal</v>
      </c>
      <c r="M1910">
        <f>VLOOKUP(A1910,Hospitalisation_Details__2[],4,FALSE)</f>
        <v>3935.18</v>
      </c>
      <c r="N1910" t="str">
        <f>VLOOKUP(A1910,Hospitalisation_Details__2[],5,FALSE)</f>
        <v>tier - 3</v>
      </c>
      <c r="O1910" t="str">
        <f>VLOOKUP(A1910,Hospitalisation_Details__2[],6,FALSE)</f>
        <v>tier - 1</v>
      </c>
      <c r="P1910" t="str">
        <f>VLOOKUP(A1910,Hospitalisation_Details__2[],7,FALSE)</f>
        <v>R1013</v>
      </c>
    </row>
    <row r="1911" spans="1:16" x14ac:dyDescent="0.35">
      <c r="A1911" t="str">
        <v>Id1910</v>
      </c>
      <c r="B1911" t="str">
        <f>VLOOKUP(A1911,'Customer Names (2)'!A:B, 2,FALSE)</f>
        <v>Mr</v>
      </c>
      <c r="C1911">
        <f>VLOOKUP(A1911,Medical_Examinations[],2,FALSE)</f>
        <v>34.86</v>
      </c>
      <c r="D1911">
        <f>VLOOKUP(A1911,Medical_Examinations[],3,FALSE)</f>
        <v>10.97</v>
      </c>
      <c r="E1911" t="str">
        <f>VLOOKUP(A1911,Medical_Examinations[],4,FALSE)</f>
        <v>No</v>
      </c>
      <c r="F1911" t="str">
        <f>VLOOKUP(A1911,Medical_Examinations[],5,FALSE)</f>
        <v>No</v>
      </c>
      <c r="G1911" t="str">
        <f>VLOOKUP(A1911,Medical_Examinations[],6,FALSE)</f>
        <v>No</v>
      </c>
      <c r="H1911">
        <f>VLOOKUP(A1911,Medical_Examinations[],7,FALSE)</f>
        <v>0</v>
      </c>
      <c r="I1911" t="str">
        <f>VLOOKUP(A1911,Medical_Examinations[],8,FALSE)</f>
        <v>No</v>
      </c>
      <c r="J1911" t="str">
        <f>VLOOKUP(A1911,Medical_Examinations[],9,FALSE)</f>
        <v>Obesity</v>
      </c>
      <c r="K1911" t="str">
        <f>VLOOKUP(A1911,Medical_Examinations[],10,FALSE)</f>
        <v>Diabetes</v>
      </c>
      <c r="M1911">
        <f>VLOOKUP(A1911,Hospitalisation_Details__2[],4,FALSE)</f>
        <v>3931.51</v>
      </c>
      <c r="N1911" t="str">
        <f>VLOOKUP(A1911,Hospitalisation_Details__2[],5,FALSE)</f>
        <v>tier - 2</v>
      </c>
      <c r="O1911" t="str">
        <f>VLOOKUP(A1911,Hospitalisation_Details__2[],6,FALSE)</f>
        <v>tier - 3</v>
      </c>
      <c r="P1911" t="str">
        <f>VLOOKUP(A1911,Hospitalisation_Details__2[],7,FALSE)</f>
        <v>R1011</v>
      </c>
    </row>
    <row r="1912" spans="1:16" x14ac:dyDescent="0.35">
      <c r="A1912" t="str">
        <v>Id1911</v>
      </c>
      <c r="B1912" t="str">
        <f>VLOOKUP(A1912,'Customer Names (2)'!A:B, 2,FALSE)</f>
        <v>Ms</v>
      </c>
      <c r="C1912">
        <f>VLOOKUP(A1912,Medical_Examinations[],2,FALSE)</f>
        <v>34.58</v>
      </c>
      <c r="D1912">
        <f>VLOOKUP(A1912,Medical_Examinations[],3,FALSE)</f>
        <v>5.14</v>
      </c>
      <c r="E1912" t="str">
        <f>VLOOKUP(A1912,Medical_Examinations[],4,FALSE)</f>
        <v>No</v>
      </c>
      <c r="F1912" t="str">
        <f>VLOOKUP(A1912,Medical_Examinations[],5,FALSE)</f>
        <v>yes</v>
      </c>
      <c r="G1912" t="str">
        <f>VLOOKUP(A1912,Medical_Examinations[],6,FALSE)</f>
        <v>No</v>
      </c>
      <c r="H1912">
        <f>VLOOKUP(A1912,Medical_Examinations[],7,FALSE)</f>
        <v>2</v>
      </c>
      <c r="I1912" t="str">
        <f>VLOOKUP(A1912,Medical_Examinations[],8,FALSE)</f>
        <v>No</v>
      </c>
      <c r="J1912" t="str">
        <f>VLOOKUP(A1912,Medical_Examinations[],9,FALSE)</f>
        <v>Obesity</v>
      </c>
      <c r="K1912" t="str">
        <f>VLOOKUP(A1912,Medical_Examinations[],10,FALSE)</f>
        <v>Normal</v>
      </c>
      <c r="M1912">
        <f>VLOOKUP(A1912,Hospitalisation_Details__2[],4,FALSE)</f>
        <v>3925.76</v>
      </c>
      <c r="N1912" t="str">
        <f>VLOOKUP(A1912,Hospitalisation_Details__2[],5,FALSE)</f>
        <v>tier - 2</v>
      </c>
      <c r="O1912" t="str">
        <f>VLOOKUP(A1912,Hospitalisation_Details__2[],6,FALSE)</f>
        <v>tier - 2</v>
      </c>
      <c r="P1912" t="str">
        <f>VLOOKUP(A1912,Hospitalisation_Details__2[],7,FALSE)</f>
        <v>R1024</v>
      </c>
    </row>
    <row r="1913" spans="1:16" x14ac:dyDescent="0.35">
      <c r="A1913" t="str">
        <v>Id1912</v>
      </c>
      <c r="B1913" t="str">
        <f>VLOOKUP(A1913,'Customer Names (2)'!A:B, 2,FALSE)</f>
        <v>Mr</v>
      </c>
      <c r="C1913">
        <f>VLOOKUP(A1913,Medical_Examinations[],2,FALSE)</f>
        <v>17.940000000000001</v>
      </c>
      <c r="D1913">
        <f>VLOOKUP(A1913,Medical_Examinations[],3,FALSE)</f>
        <v>5.17</v>
      </c>
      <c r="E1913" t="str">
        <f>VLOOKUP(A1913,Medical_Examinations[],4,FALSE)</f>
        <v>Yes</v>
      </c>
      <c r="F1913" t="str">
        <f>VLOOKUP(A1913,Medical_Examinations[],5,FALSE)</f>
        <v>No</v>
      </c>
      <c r="G1913" t="str">
        <f>VLOOKUP(A1913,Medical_Examinations[],6,FALSE)</f>
        <v>No</v>
      </c>
      <c r="H1913">
        <f>VLOOKUP(A1913,Medical_Examinations[],7,FALSE)</f>
        <v>0</v>
      </c>
      <c r="I1913" t="str">
        <f>VLOOKUP(A1913,Medical_Examinations[],8,FALSE)</f>
        <v>No</v>
      </c>
      <c r="J1913" t="str">
        <f>VLOOKUP(A1913,Medical_Examinations[],9,FALSE)</f>
        <v>Underweight</v>
      </c>
      <c r="K1913" t="str">
        <f>VLOOKUP(A1913,Medical_Examinations[],10,FALSE)</f>
        <v>Normal</v>
      </c>
      <c r="M1913">
        <f>VLOOKUP(A1913,Hospitalisation_Details__2[],4,FALSE)</f>
        <v>3910.44</v>
      </c>
      <c r="N1913" t="str">
        <f>VLOOKUP(A1913,Hospitalisation_Details__2[],5,FALSE)</f>
        <v>tier - 2</v>
      </c>
      <c r="O1913" t="str">
        <f>VLOOKUP(A1913,Hospitalisation_Details__2[],6,FALSE)</f>
        <v>tier - 2</v>
      </c>
      <c r="P1913" t="str">
        <f>VLOOKUP(A1913,Hospitalisation_Details__2[],7,FALSE)</f>
        <v>R1013</v>
      </c>
    </row>
    <row r="1914" spans="1:16" x14ac:dyDescent="0.35">
      <c r="A1914" t="str">
        <v>Id1913</v>
      </c>
      <c r="B1914" t="str">
        <f>VLOOKUP(A1914,'Customer Names (2)'!A:B, 2,FALSE)</f>
        <v>Mr</v>
      </c>
      <c r="C1914">
        <f>VLOOKUP(A1914,Medical_Examinations[],2,FALSE)</f>
        <v>26.8</v>
      </c>
      <c r="D1914">
        <f>VLOOKUP(A1914,Medical_Examinations[],3,FALSE)</f>
        <v>6.18</v>
      </c>
      <c r="E1914" t="str">
        <f>VLOOKUP(A1914,Medical_Examinations[],4,FALSE)</f>
        <v>Yes</v>
      </c>
      <c r="F1914" t="str">
        <f>VLOOKUP(A1914,Medical_Examinations[],5,FALSE)</f>
        <v>No</v>
      </c>
      <c r="G1914" t="str">
        <f>VLOOKUP(A1914,Medical_Examinations[],6,FALSE)</f>
        <v>Yes</v>
      </c>
      <c r="H1914">
        <f>VLOOKUP(A1914,Medical_Examinations[],7,FALSE)</f>
        <v>1</v>
      </c>
      <c r="I1914" t="str">
        <f>VLOOKUP(A1914,Medical_Examinations[],8,FALSE)</f>
        <v>No</v>
      </c>
      <c r="J1914" t="str">
        <f>VLOOKUP(A1914,Medical_Examinations[],9,FALSE)</f>
        <v>Overweight</v>
      </c>
      <c r="K1914" t="str">
        <f>VLOOKUP(A1914,Medical_Examinations[],10,FALSE)</f>
        <v>Prediabetes</v>
      </c>
      <c r="M1914">
        <f>VLOOKUP(A1914,Hospitalisation_Details__2[],4,FALSE)</f>
        <v>3906.13</v>
      </c>
      <c r="N1914" t="str">
        <f>VLOOKUP(A1914,Hospitalisation_Details__2[],5,FALSE)</f>
        <v>tier - 3</v>
      </c>
      <c r="O1914" t="str">
        <f>VLOOKUP(A1914,Hospitalisation_Details__2[],6,FALSE)</f>
        <v>tier - 3</v>
      </c>
      <c r="P1914" t="str">
        <f>VLOOKUP(A1914,Hospitalisation_Details__2[],7,FALSE)</f>
        <v>R1011</v>
      </c>
    </row>
    <row r="1915" spans="1:16" x14ac:dyDescent="0.35">
      <c r="A1915" t="str">
        <v>Id1914</v>
      </c>
      <c r="B1915" t="str">
        <f>VLOOKUP(A1915,'Customer Names (2)'!A:B, 2,FALSE)</f>
        <v>Mr</v>
      </c>
      <c r="C1915">
        <f>VLOOKUP(A1915,Medical_Examinations[],2,FALSE)</f>
        <v>17.690000000000001</v>
      </c>
      <c r="D1915">
        <f>VLOOKUP(A1915,Medical_Examinations[],3,FALSE)</f>
        <v>9.07</v>
      </c>
      <c r="E1915" t="str">
        <f>VLOOKUP(A1915,Medical_Examinations[],4,FALSE)</f>
        <v>Yes</v>
      </c>
      <c r="F1915" t="str">
        <f>VLOOKUP(A1915,Medical_Examinations[],5,FALSE)</f>
        <v>No</v>
      </c>
      <c r="G1915" t="str">
        <f>VLOOKUP(A1915,Medical_Examinations[],6,FALSE)</f>
        <v>No</v>
      </c>
      <c r="H1915">
        <f>VLOOKUP(A1915,Medical_Examinations[],7,FALSE)</f>
        <v>0</v>
      </c>
      <c r="I1915" t="str">
        <f>VLOOKUP(A1915,Medical_Examinations[],8,FALSE)</f>
        <v>No</v>
      </c>
      <c r="J1915" t="str">
        <f>VLOOKUP(A1915,Medical_Examinations[],9,FALSE)</f>
        <v>Underweight</v>
      </c>
      <c r="K1915" t="str">
        <f>VLOOKUP(A1915,Medical_Examinations[],10,FALSE)</f>
        <v>Diabetes</v>
      </c>
      <c r="M1915">
        <f>VLOOKUP(A1915,Hospitalisation_Details__2[],4,FALSE)</f>
        <v>3902.07</v>
      </c>
      <c r="N1915" t="str">
        <f>VLOOKUP(A1915,Hospitalisation_Details__2[],5,FALSE)</f>
        <v>tier - 2</v>
      </c>
      <c r="O1915" t="str">
        <f>VLOOKUP(A1915,Hospitalisation_Details__2[],6,FALSE)</f>
        <v>tier - 2</v>
      </c>
      <c r="P1915" t="str">
        <f>VLOOKUP(A1915,Hospitalisation_Details__2[],7,FALSE)</f>
        <v>R1013</v>
      </c>
    </row>
    <row r="1916" spans="1:16" x14ac:dyDescent="0.35">
      <c r="A1916" t="str">
        <v>Id1915</v>
      </c>
      <c r="B1916" t="str">
        <f>VLOOKUP(A1916,'Customer Names (2)'!A:B, 2,FALSE)</f>
        <v>Ms</v>
      </c>
      <c r="C1916">
        <f>VLOOKUP(A1916,Medical_Examinations[],2,FALSE)</f>
        <v>25.77</v>
      </c>
      <c r="D1916">
        <f>VLOOKUP(A1916,Medical_Examinations[],3,FALSE)</f>
        <v>4.43</v>
      </c>
      <c r="E1916" t="str">
        <f>VLOOKUP(A1916,Medical_Examinations[],4,FALSE)</f>
        <v>No</v>
      </c>
      <c r="F1916" t="str">
        <f>VLOOKUP(A1916,Medical_Examinations[],5,FALSE)</f>
        <v>No</v>
      </c>
      <c r="G1916" t="str">
        <f>VLOOKUP(A1916,Medical_Examinations[],6,FALSE)</f>
        <v>Yes</v>
      </c>
      <c r="H1916">
        <f>VLOOKUP(A1916,Medical_Examinations[],7,FALSE)</f>
        <v>1</v>
      </c>
      <c r="I1916" t="str">
        <f>VLOOKUP(A1916,Medical_Examinations[],8,FALSE)</f>
        <v>No</v>
      </c>
      <c r="J1916" t="str">
        <f>VLOOKUP(A1916,Medical_Examinations[],9,FALSE)</f>
        <v>Overweight</v>
      </c>
      <c r="K1916" t="str">
        <f>VLOOKUP(A1916,Medical_Examinations[],10,FALSE)</f>
        <v>Normal</v>
      </c>
      <c r="M1916">
        <f>VLOOKUP(A1916,Hospitalisation_Details__2[],4,FALSE)</f>
        <v>3898.35</v>
      </c>
      <c r="N1916" t="str">
        <f>VLOOKUP(A1916,Hospitalisation_Details__2[],5,FALSE)</f>
        <v>tier - 2</v>
      </c>
      <c r="O1916" t="str">
        <f>VLOOKUP(A1916,Hospitalisation_Details__2[],6,FALSE)</f>
        <v>tier - 2</v>
      </c>
      <c r="P1916" t="str">
        <f>VLOOKUP(A1916,Hospitalisation_Details__2[],7,FALSE)</f>
        <v>R1012</v>
      </c>
    </row>
    <row r="1917" spans="1:16" x14ac:dyDescent="0.35">
      <c r="A1917" t="str">
        <v>Id1916</v>
      </c>
      <c r="B1917" t="str">
        <f>VLOOKUP(A1917,'Customer Names (2)'!A:B, 2,FALSE)</f>
        <v>Mr</v>
      </c>
      <c r="C1917">
        <f>VLOOKUP(A1917,Medical_Examinations[],2,FALSE)</f>
        <v>34.46</v>
      </c>
      <c r="D1917">
        <f>VLOOKUP(A1917,Medical_Examinations[],3,FALSE)</f>
        <v>4.17</v>
      </c>
      <c r="E1917" t="str">
        <f>VLOOKUP(A1917,Medical_Examinations[],4,FALSE)</f>
        <v>No</v>
      </c>
      <c r="F1917" t="str">
        <f>VLOOKUP(A1917,Medical_Examinations[],5,FALSE)</f>
        <v>yes</v>
      </c>
      <c r="G1917" t="str">
        <f>VLOOKUP(A1917,Medical_Examinations[],6,FALSE)</f>
        <v>No</v>
      </c>
      <c r="H1917">
        <f>VLOOKUP(A1917,Medical_Examinations[],7,FALSE)</f>
        <v>1</v>
      </c>
      <c r="I1917" t="str">
        <f>VLOOKUP(A1917,Medical_Examinations[],8,FALSE)</f>
        <v>No</v>
      </c>
      <c r="J1917" t="str">
        <f>VLOOKUP(A1917,Medical_Examinations[],9,FALSE)</f>
        <v>Obesity</v>
      </c>
      <c r="K1917" t="str">
        <f>VLOOKUP(A1917,Medical_Examinations[],10,FALSE)</f>
        <v>Normal</v>
      </c>
      <c r="M1917">
        <f>VLOOKUP(A1917,Hospitalisation_Details__2[],4,FALSE)</f>
        <v>3889.2</v>
      </c>
      <c r="N1917" t="str">
        <f>VLOOKUP(A1917,Hospitalisation_Details__2[],5,FALSE)</f>
        <v>tier - 2</v>
      </c>
      <c r="O1917" t="str">
        <f>VLOOKUP(A1917,Hospitalisation_Details__2[],6,FALSE)</f>
        <v>tier - 2</v>
      </c>
      <c r="P1917" t="str">
        <f>VLOOKUP(A1917,Hospitalisation_Details__2[],7,FALSE)</f>
        <v>R1012</v>
      </c>
    </row>
    <row r="1918" spans="1:16" x14ac:dyDescent="0.35">
      <c r="A1918" t="str">
        <v>Id1917</v>
      </c>
      <c r="B1918" t="str">
        <f>VLOOKUP(A1918,'Customer Names (2)'!A:B, 2,FALSE)</f>
        <v>Mr</v>
      </c>
      <c r="C1918">
        <f>VLOOKUP(A1918,Medical_Examinations[],2,FALSE)</f>
        <v>30.875</v>
      </c>
      <c r="D1918">
        <f>VLOOKUP(A1918,Medical_Examinations[],3,FALSE)</f>
        <v>4.95</v>
      </c>
      <c r="E1918" t="str">
        <f>VLOOKUP(A1918,Medical_Examinations[],4,FALSE)</f>
        <v>Yes</v>
      </c>
      <c r="F1918" t="str">
        <f>VLOOKUP(A1918,Medical_Examinations[],5,FALSE)</f>
        <v>No</v>
      </c>
      <c r="G1918" t="str">
        <f>VLOOKUP(A1918,Medical_Examinations[],6,FALSE)</f>
        <v>No</v>
      </c>
      <c r="H1918">
        <f>VLOOKUP(A1918,Medical_Examinations[],7,FALSE)</f>
        <v>0</v>
      </c>
      <c r="I1918" t="str">
        <f>VLOOKUP(A1918,Medical_Examinations[],8,FALSE)</f>
        <v>No</v>
      </c>
      <c r="J1918" t="str">
        <f>VLOOKUP(A1918,Medical_Examinations[],9,FALSE)</f>
        <v>Obesity</v>
      </c>
      <c r="K1918" t="str">
        <f>VLOOKUP(A1918,Medical_Examinations[],10,FALSE)</f>
        <v>Normal</v>
      </c>
      <c r="M1918">
        <f>VLOOKUP(A1918,Hospitalisation_Details__2[],4,FALSE)</f>
        <v>3877.3</v>
      </c>
      <c r="N1918" t="str">
        <f>VLOOKUP(A1918,Hospitalisation_Details__2[],5,FALSE)</f>
        <v>tier - 1</v>
      </c>
      <c r="O1918" t="str">
        <f>VLOOKUP(A1918,Hospitalisation_Details__2[],6,FALSE)</f>
        <v>tier - 3</v>
      </c>
      <c r="P1918" t="str">
        <f>VLOOKUP(A1918,Hospitalisation_Details__2[],7,FALSE)</f>
        <v>R1012</v>
      </c>
    </row>
    <row r="1919" spans="1:16" x14ac:dyDescent="0.35">
      <c r="A1919" t="str">
        <v>Id1918</v>
      </c>
      <c r="B1919" t="str">
        <f>VLOOKUP(A1919,'Customer Names (2)'!A:B, 2,FALSE)</f>
        <v>Mr</v>
      </c>
      <c r="C1919">
        <f>VLOOKUP(A1919,Medical_Examinations[],2,FALSE)</f>
        <v>39.49</v>
      </c>
      <c r="D1919">
        <f>VLOOKUP(A1919,Medical_Examinations[],3,FALSE)</f>
        <v>5.13</v>
      </c>
      <c r="E1919" t="str">
        <f>VLOOKUP(A1919,Medical_Examinations[],4,FALSE)</f>
        <v>No</v>
      </c>
      <c r="F1919" t="str">
        <f>VLOOKUP(A1919,Medical_Examinations[],5,FALSE)</f>
        <v>No</v>
      </c>
      <c r="G1919" t="str">
        <f>VLOOKUP(A1919,Medical_Examinations[],6,FALSE)</f>
        <v>No</v>
      </c>
      <c r="H1919">
        <f>VLOOKUP(A1919,Medical_Examinations[],7,FALSE)</f>
        <v>0</v>
      </c>
      <c r="I1919" t="str">
        <f>VLOOKUP(A1919,Medical_Examinations[],8,FALSE)</f>
        <v>No</v>
      </c>
      <c r="J1919" t="str">
        <f>VLOOKUP(A1919,Medical_Examinations[],9,FALSE)</f>
        <v>Obesity</v>
      </c>
      <c r="K1919" t="str">
        <f>VLOOKUP(A1919,Medical_Examinations[],10,FALSE)</f>
        <v>Normal</v>
      </c>
      <c r="M1919">
        <f>VLOOKUP(A1919,Hospitalisation_Details__2[],4,FALSE)</f>
        <v>3875.73</v>
      </c>
      <c r="N1919" t="str">
        <f>VLOOKUP(A1919,Hospitalisation_Details__2[],5,FALSE)</f>
        <v>tier - 2</v>
      </c>
      <c r="O1919" t="str">
        <f>VLOOKUP(A1919,Hospitalisation_Details__2[],6,FALSE)</f>
        <v>tier - 3</v>
      </c>
      <c r="P1919" t="str">
        <f>VLOOKUP(A1919,Hospitalisation_Details__2[],7,FALSE)</f>
        <v>R1013</v>
      </c>
    </row>
    <row r="1920" spans="1:16" x14ac:dyDescent="0.35">
      <c r="A1920" t="str">
        <v>Id1919</v>
      </c>
      <c r="B1920" t="str">
        <f>VLOOKUP(A1920,'Customer Names (2)'!A:B, 2,FALSE)</f>
        <v>Mr</v>
      </c>
      <c r="C1920">
        <f>VLOOKUP(A1920,Medical_Examinations[],2,FALSE)</f>
        <v>28.88</v>
      </c>
      <c r="D1920">
        <f>VLOOKUP(A1920,Medical_Examinations[],3,FALSE)</f>
        <v>4.0999999999999996</v>
      </c>
      <c r="E1920" t="str">
        <f>VLOOKUP(A1920,Medical_Examinations[],4,FALSE)</f>
        <v>No</v>
      </c>
      <c r="F1920" t="str">
        <f>VLOOKUP(A1920,Medical_Examinations[],5,FALSE)</f>
        <v>No</v>
      </c>
      <c r="G1920" t="str">
        <f>VLOOKUP(A1920,Medical_Examinations[],6,FALSE)</f>
        <v>No</v>
      </c>
      <c r="H1920">
        <f>VLOOKUP(A1920,Medical_Examinations[],7,FALSE)</f>
        <v>0</v>
      </c>
      <c r="I1920" t="str">
        <f>VLOOKUP(A1920,Medical_Examinations[],8,FALSE)</f>
        <v>No</v>
      </c>
      <c r="J1920" t="str">
        <f>VLOOKUP(A1920,Medical_Examinations[],9,FALSE)</f>
        <v>Overweight</v>
      </c>
      <c r="K1920" t="str">
        <f>VLOOKUP(A1920,Medical_Examinations[],10,FALSE)</f>
        <v>Normal</v>
      </c>
      <c r="M1920">
        <f>VLOOKUP(A1920,Hospitalisation_Details__2[],4,FALSE)</f>
        <v>3866.86</v>
      </c>
      <c r="N1920" t="str">
        <f>VLOOKUP(A1920,Hospitalisation_Details__2[],5,FALSE)</f>
        <v>tier - 1</v>
      </c>
      <c r="O1920" t="str">
        <f>VLOOKUP(A1920,Hospitalisation_Details__2[],6,FALSE)</f>
        <v>tier - 1</v>
      </c>
      <c r="P1920" t="str">
        <f>VLOOKUP(A1920,Hospitalisation_Details__2[],7,FALSE)</f>
        <v>R1012</v>
      </c>
    </row>
    <row r="1921" spans="1:16" x14ac:dyDescent="0.35">
      <c r="A1921" t="str">
        <v>Id1920</v>
      </c>
      <c r="B1921" t="str">
        <f>VLOOKUP(A1921,'Customer Names (2)'!A:B, 2,FALSE)</f>
        <v>Mr</v>
      </c>
      <c r="C1921">
        <f>VLOOKUP(A1921,Medical_Examinations[],2,FALSE)</f>
        <v>20.234999999999999</v>
      </c>
      <c r="D1921">
        <f>VLOOKUP(A1921,Medical_Examinations[],3,FALSE)</f>
        <v>5.01</v>
      </c>
      <c r="E1921" t="str">
        <f>VLOOKUP(A1921,Medical_Examinations[],4,FALSE)</f>
        <v>Yes</v>
      </c>
      <c r="F1921" t="str">
        <f>VLOOKUP(A1921,Medical_Examinations[],5,FALSE)</f>
        <v>No</v>
      </c>
      <c r="G1921" t="str">
        <f>VLOOKUP(A1921,Medical_Examinations[],6,FALSE)</f>
        <v>No</v>
      </c>
      <c r="H1921">
        <f>VLOOKUP(A1921,Medical_Examinations[],7,FALSE)</f>
        <v>0</v>
      </c>
      <c r="I1921" t="str">
        <f>VLOOKUP(A1921,Medical_Examinations[],8,FALSE)</f>
        <v>No</v>
      </c>
      <c r="J1921" t="str">
        <f>VLOOKUP(A1921,Medical_Examinations[],9,FALSE)</f>
        <v>Normal Weight</v>
      </c>
      <c r="K1921" t="str">
        <f>VLOOKUP(A1921,Medical_Examinations[],10,FALSE)</f>
        <v>Normal</v>
      </c>
      <c r="M1921">
        <f>VLOOKUP(A1921,Hospitalisation_Details__2[],4,FALSE)</f>
        <v>3861.21</v>
      </c>
      <c r="N1921" t="str">
        <f>VLOOKUP(A1921,Hospitalisation_Details__2[],5,FALSE)</f>
        <v>tier - 2</v>
      </c>
      <c r="O1921" t="str">
        <f>VLOOKUP(A1921,Hospitalisation_Details__2[],6,FALSE)</f>
        <v>tier - 2</v>
      </c>
      <c r="P1921" t="str">
        <f>VLOOKUP(A1921,Hospitalisation_Details__2[],7,FALSE)</f>
        <v>R1016</v>
      </c>
    </row>
    <row r="1922" spans="1:16" x14ac:dyDescent="0.35">
      <c r="A1922" t="str">
        <v>Id1921</v>
      </c>
      <c r="B1922" t="str">
        <f>VLOOKUP(A1922,'Customer Names (2)'!A:B, 2,FALSE)</f>
        <v>Mrs</v>
      </c>
      <c r="C1922">
        <f>VLOOKUP(A1922,Medical_Examinations[],2,FALSE)</f>
        <v>30.67</v>
      </c>
      <c r="D1922">
        <f>VLOOKUP(A1922,Medical_Examinations[],3,FALSE)</f>
        <v>5.09</v>
      </c>
      <c r="E1922" t="str">
        <f>VLOOKUP(A1922,Medical_Examinations[],4,FALSE)</f>
        <v>Yes</v>
      </c>
      <c r="F1922" t="str">
        <f>VLOOKUP(A1922,Medical_Examinations[],5,FALSE)</f>
        <v>No</v>
      </c>
      <c r="G1922" t="str">
        <f>VLOOKUP(A1922,Medical_Examinations[],6,FALSE)</f>
        <v>No</v>
      </c>
      <c r="H1922">
        <f>VLOOKUP(A1922,Medical_Examinations[],7,FALSE)</f>
        <v>0</v>
      </c>
      <c r="I1922" t="str">
        <f>VLOOKUP(A1922,Medical_Examinations[],8,FALSE)</f>
        <v>No</v>
      </c>
      <c r="J1922" t="str">
        <f>VLOOKUP(A1922,Medical_Examinations[],9,FALSE)</f>
        <v>Obesity</v>
      </c>
      <c r="K1922" t="str">
        <f>VLOOKUP(A1922,Medical_Examinations[],10,FALSE)</f>
        <v>Normal</v>
      </c>
      <c r="M1922">
        <f>VLOOKUP(A1922,Hospitalisation_Details__2[],4,FALSE)</f>
        <v>3858.51</v>
      </c>
      <c r="N1922" t="str">
        <f>VLOOKUP(A1922,Hospitalisation_Details__2[],5,FALSE)</f>
        <v>tier - 2</v>
      </c>
      <c r="O1922" t="str">
        <f>VLOOKUP(A1922,Hospitalisation_Details__2[],6,FALSE)</f>
        <v>tier - 3</v>
      </c>
      <c r="P1922" t="str">
        <f>VLOOKUP(A1922,Hospitalisation_Details__2[],7,FALSE)</f>
        <v>R1025</v>
      </c>
    </row>
    <row r="1923" spans="1:16" x14ac:dyDescent="0.35">
      <c r="A1923" t="str">
        <v>Id1922</v>
      </c>
      <c r="B1923" t="str">
        <f>VLOOKUP(A1923,'Customer Names (2)'!A:B, 2,FALSE)</f>
        <v>Mr</v>
      </c>
      <c r="C1923">
        <f>VLOOKUP(A1923,Medical_Examinations[],2,FALSE)</f>
        <v>30.875</v>
      </c>
      <c r="D1923">
        <f>VLOOKUP(A1923,Medical_Examinations[],3,FALSE)</f>
        <v>6.49</v>
      </c>
      <c r="E1923" t="str">
        <f>VLOOKUP(A1923,Medical_Examinations[],4,FALSE)</f>
        <v>No</v>
      </c>
      <c r="F1923" t="str">
        <f>VLOOKUP(A1923,Medical_Examinations[],5,FALSE)</f>
        <v>No</v>
      </c>
      <c r="G1923" t="str">
        <f>VLOOKUP(A1923,Medical_Examinations[],6,FALSE)</f>
        <v>No</v>
      </c>
      <c r="H1923">
        <f>VLOOKUP(A1923,Medical_Examinations[],7,FALSE)</f>
        <v>0</v>
      </c>
      <c r="I1923" t="str">
        <f>VLOOKUP(A1923,Medical_Examinations[],8,FALSE)</f>
        <v>No</v>
      </c>
      <c r="J1923" t="str">
        <f>VLOOKUP(A1923,Medical_Examinations[],9,FALSE)</f>
        <v>Obesity</v>
      </c>
      <c r="K1923" t="str">
        <f>VLOOKUP(A1923,Medical_Examinations[],10,FALSE)</f>
        <v>Prediabetes</v>
      </c>
      <c r="M1923">
        <f>VLOOKUP(A1923,Hospitalisation_Details__2[],4,FALSE)</f>
        <v>3857.76</v>
      </c>
      <c r="N1923" t="str">
        <f>VLOOKUP(A1923,Hospitalisation_Details__2[],5,FALSE)</f>
        <v>tier - 3</v>
      </c>
      <c r="O1923" t="str">
        <f>VLOOKUP(A1923,Hospitalisation_Details__2[],6,FALSE)</f>
        <v>tier - 1</v>
      </c>
      <c r="P1923" t="str">
        <f>VLOOKUP(A1923,Hospitalisation_Details__2[],7,FALSE)</f>
        <v>R1016</v>
      </c>
    </row>
    <row r="1924" spans="1:16" x14ac:dyDescent="0.35">
      <c r="A1924" t="str">
        <v>Id1923</v>
      </c>
      <c r="B1924" t="str">
        <f>VLOOKUP(A1924,'Customer Names (2)'!A:B, 2,FALSE)</f>
        <v>Mr</v>
      </c>
      <c r="C1924">
        <f>VLOOKUP(A1924,Medical_Examinations[],2,FALSE)</f>
        <v>23.8</v>
      </c>
      <c r="D1924">
        <f>VLOOKUP(A1924,Medical_Examinations[],3,FALSE)</f>
        <v>4.08</v>
      </c>
      <c r="E1924" t="str">
        <f>VLOOKUP(A1924,Medical_Examinations[],4,FALSE)</f>
        <v>No</v>
      </c>
      <c r="F1924" t="str">
        <f>VLOOKUP(A1924,Medical_Examinations[],5,FALSE)</f>
        <v>No</v>
      </c>
      <c r="G1924" t="str">
        <f>VLOOKUP(A1924,Medical_Examinations[],6,FALSE)</f>
        <v>No</v>
      </c>
      <c r="H1924">
        <f>VLOOKUP(A1924,Medical_Examinations[],7,FALSE)</f>
        <v>0</v>
      </c>
      <c r="I1924" t="str">
        <f>VLOOKUP(A1924,Medical_Examinations[],8,FALSE)</f>
        <v>No</v>
      </c>
      <c r="J1924" t="str">
        <f>VLOOKUP(A1924,Medical_Examinations[],9,FALSE)</f>
        <v>Normal Weight</v>
      </c>
      <c r="K1924" t="str">
        <f>VLOOKUP(A1924,Medical_Examinations[],10,FALSE)</f>
        <v>Normal</v>
      </c>
      <c r="M1924">
        <f>VLOOKUP(A1924,Hospitalisation_Details__2[],4,FALSE)</f>
        <v>3847.67</v>
      </c>
      <c r="N1924" t="str">
        <f>VLOOKUP(A1924,Hospitalisation_Details__2[],5,FALSE)</f>
        <v>tier - 3</v>
      </c>
      <c r="O1924" t="str">
        <f>VLOOKUP(A1924,Hospitalisation_Details__2[],6,FALSE)</f>
        <v>tier - 2</v>
      </c>
      <c r="P1924" t="str">
        <f>VLOOKUP(A1924,Hospitalisation_Details__2[],7,FALSE)</f>
        <v>R1011</v>
      </c>
    </row>
    <row r="1925" spans="1:16" x14ac:dyDescent="0.35">
      <c r="A1925" t="str">
        <v>Id1924</v>
      </c>
      <c r="B1925" t="str">
        <f>VLOOKUP(A1925,'Customer Names (2)'!A:B, 2,FALSE)</f>
        <v>Mr</v>
      </c>
      <c r="C1925">
        <f>VLOOKUP(A1925,Medical_Examinations[],2,FALSE)</f>
        <v>15.37</v>
      </c>
      <c r="D1925">
        <f>VLOOKUP(A1925,Medical_Examinations[],3,FALSE)</f>
        <v>8.6300000000000008</v>
      </c>
      <c r="E1925" t="str">
        <f>VLOOKUP(A1925,Medical_Examinations[],4,FALSE)</f>
        <v>Yes</v>
      </c>
      <c r="F1925" t="str">
        <f>VLOOKUP(A1925,Medical_Examinations[],5,FALSE)</f>
        <v>No</v>
      </c>
      <c r="G1925" t="str">
        <f>VLOOKUP(A1925,Medical_Examinations[],6,FALSE)</f>
        <v>No</v>
      </c>
      <c r="H1925">
        <f>VLOOKUP(A1925,Medical_Examinations[],7,FALSE)</f>
        <v>0</v>
      </c>
      <c r="I1925" t="str">
        <f>VLOOKUP(A1925,Medical_Examinations[],8,FALSE)</f>
        <v>No</v>
      </c>
      <c r="J1925" t="str">
        <f>VLOOKUP(A1925,Medical_Examinations[],9,FALSE)</f>
        <v>Underweight</v>
      </c>
      <c r="K1925" t="str">
        <f>VLOOKUP(A1925,Medical_Examinations[],10,FALSE)</f>
        <v>Diabetes</v>
      </c>
      <c r="M1925">
        <f>VLOOKUP(A1925,Hospitalisation_Details__2[],4,FALSE)</f>
        <v>3797.2</v>
      </c>
      <c r="N1925" t="str">
        <f>VLOOKUP(A1925,Hospitalisation_Details__2[],5,FALSE)</f>
        <v>tier - 2</v>
      </c>
      <c r="O1925" t="str">
        <f>VLOOKUP(A1925,Hospitalisation_Details__2[],6,FALSE)</f>
        <v>tier - 3</v>
      </c>
      <c r="P1925" t="str">
        <f>VLOOKUP(A1925,Hospitalisation_Details__2[],7,FALSE)</f>
        <v>R1012</v>
      </c>
    </row>
    <row r="1926" spans="1:16" x14ac:dyDescent="0.35">
      <c r="A1926" t="str">
        <v>Id1925</v>
      </c>
      <c r="B1926" t="str">
        <f>VLOOKUP(A1926,'Customer Names (2)'!A:B, 2,FALSE)</f>
        <v>Mr</v>
      </c>
      <c r="C1926">
        <f>VLOOKUP(A1926,Medical_Examinations[],2,FALSE)</f>
        <v>30.4</v>
      </c>
      <c r="D1926">
        <f>VLOOKUP(A1926,Medical_Examinations[],3,FALSE)</f>
        <v>5.28</v>
      </c>
      <c r="E1926" t="str">
        <f>VLOOKUP(A1926,Medical_Examinations[],4,FALSE)</f>
        <v>No</v>
      </c>
      <c r="F1926" t="str">
        <f>VLOOKUP(A1926,Medical_Examinations[],5,FALSE)</f>
        <v>No</v>
      </c>
      <c r="G1926" t="str">
        <f>VLOOKUP(A1926,Medical_Examinations[],6,FALSE)</f>
        <v>No</v>
      </c>
      <c r="H1926">
        <f>VLOOKUP(A1926,Medical_Examinations[],7,FALSE)</f>
        <v>0</v>
      </c>
      <c r="I1926" t="str">
        <f>VLOOKUP(A1926,Medical_Examinations[],8,FALSE)</f>
        <v>No</v>
      </c>
      <c r="J1926" t="str">
        <f>VLOOKUP(A1926,Medical_Examinations[],9,FALSE)</f>
        <v>Obesity</v>
      </c>
      <c r="K1926" t="str">
        <f>VLOOKUP(A1926,Medical_Examinations[],10,FALSE)</f>
        <v>Normal</v>
      </c>
      <c r="M1926">
        <f>VLOOKUP(A1926,Hospitalisation_Details__2[],4,FALSE)</f>
        <v>3796.36</v>
      </c>
      <c r="N1926" t="str">
        <f>VLOOKUP(A1926,Hospitalisation_Details__2[],5,FALSE)</f>
        <v>tier - 2</v>
      </c>
      <c r="O1926" t="str">
        <f>VLOOKUP(A1926,Hospitalisation_Details__2[],6,FALSE)</f>
        <v>tier - 3</v>
      </c>
      <c r="P1926" t="str">
        <f>VLOOKUP(A1926,Hospitalisation_Details__2[],7,FALSE)</f>
        <v>R1012</v>
      </c>
    </row>
    <row r="1927" spans="1:16" x14ac:dyDescent="0.35">
      <c r="A1927" t="str">
        <v>Id1926</v>
      </c>
      <c r="B1927" t="str">
        <f>VLOOKUP(A1927,'Customer Names (2)'!A:B, 2,FALSE)</f>
        <v>Ms</v>
      </c>
      <c r="C1927">
        <f>VLOOKUP(A1927,Medical_Examinations[],2,FALSE)</f>
        <v>19.48</v>
      </c>
      <c r="D1927">
        <f>VLOOKUP(A1927,Medical_Examinations[],3,FALSE)</f>
        <v>5.63</v>
      </c>
      <c r="E1927" t="str">
        <f>VLOOKUP(A1927,Medical_Examinations[],4,FALSE)</f>
        <v>Yes</v>
      </c>
      <c r="F1927" t="str">
        <f>VLOOKUP(A1927,Medical_Examinations[],5,FALSE)</f>
        <v>No</v>
      </c>
      <c r="G1927" t="str">
        <f>VLOOKUP(A1927,Medical_Examinations[],6,FALSE)</f>
        <v>No</v>
      </c>
      <c r="H1927">
        <f>VLOOKUP(A1927,Medical_Examinations[],7,FALSE)</f>
        <v>1</v>
      </c>
      <c r="I1927" t="str">
        <f>VLOOKUP(A1927,Medical_Examinations[],8,FALSE)</f>
        <v>No</v>
      </c>
      <c r="J1927" t="str">
        <f>VLOOKUP(A1927,Medical_Examinations[],9,FALSE)</f>
        <v>Normal Weight</v>
      </c>
      <c r="K1927" t="str">
        <f>VLOOKUP(A1927,Medical_Examinations[],10,FALSE)</f>
        <v>Normal</v>
      </c>
      <c r="M1927">
        <f>VLOOKUP(A1927,Hospitalisation_Details__2[],4,FALSE)</f>
        <v>3793.55</v>
      </c>
      <c r="N1927" t="str">
        <f>VLOOKUP(A1927,Hospitalisation_Details__2[],5,FALSE)</f>
        <v>tier - 2</v>
      </c>
      <c r="O1927" t="str">
        <f>VLOOKUP(A1927,Hospitalisation_Details__2[],6,FALSE)</f>
        <v>tier - 3</v>
      </c>
      <c r="P1927" t="str">
        <f>VLOOKUP(A1927,Hospitalisation_Details__2[],7,FALSE)</f>
        <v>R1013</v>
      </c>
    </row>
    <row r="1928" spans="1:16" x14ac:dyDescent="0.35">
      <c r="A1928" t="str">
        <v>Id1927</v>
      </c>
      <c r="B1928" t="str">
        <f>VLOOKUP(A1928,'Customer Names (2)'!A:B, 2,FALSE)</f>
        <v>Ms</v>
      </c>
      <c r="C1928">
        <f>VLOOKUP(A1928,Medical_Examinations[],2,FALSE)</f>
        <v>16.96</v>
      </c>
      <c r="D1928">
        <f>VLOOKUP(A1928,Medical_Examinations[],3,FALSE)</f>
        <v>11.47</v>
      </c>
      <c r="E1928" t="str">
        <f>VLOOKUP(A1928,Medical_Examinations[],4,FALSE)</f>
        <v>Yes</v>
      </c>
      <c r="F1928" t="str">
        <f>VLOOKUP(A1928,Medical_Examinations[],5,FALSE)</f>
        <v>No</v>
      </c>
      <c r="G1928" t="str">
        <f>VLOOKUP(A1928,Medical_Examinations[],6,FALSE)</f>
        <v>No</v>
      </c>
      <c r="H1928">
        <f>VLOOKUP(A1928,Medical_Examinations[],7,FALSE)</f>
        <v>0</v>
      </c>
      <c r="I1928" t="str">
        <f>VLOOKUP(A1928,Medical_Examinations[],8,FALSE)</f>
        <v>No</v>
      </c>
      <c r="J1928" t="str">
        <f>VLOOKUP(A1928,Medical_Examinations[],9,FALSE)</f>
        <v>Underweight</v>
      </c>
      <c r="K1928" t="str">
        <f>VLOOKUP(A1928,Medical_Examinations[],10,FALSE)</f>
        <v>Diabetes</v>
      </c>
      <c r="M1928">
        <f>VLOOKUP(A1928,Hospitalisation_Details__2[],4,FALSE)</f>
        <v>3785.77</v>
      </c>
      <c r="N1928" t="str">
        <f>VLOOKUP(A1928,Hospitalisation_Details__2[],5,FALSE)</f>
        <v>tier - 2</v>
      </c>
      <c r="O1928" t="str">
        <f>VLOOKUP(A1928,Hospitalisation_Details__2[],6,FALSE)</f>
        <v>tier - 1</v>
      </c>
      <c r="P1928" t="str">
        <f>VLOOKUP(A1928,Hospitalisation_Details__2[],7,FALSE)</f>
        <v>R1013</v>
      </c>
    </row>
    <row r="1929" spans="1:16" x14ac:dyDescent="0.35">
      <c r="A1929" t="str">
        <v>Id1928</v>
      </c>
      <c r="B1929" t="str">
        <f>VLOOKUP(A1929,'Customer Names (2)'!A:B, 2,FALSE)</f>
        <v>Mr</v>
      </c>
      <c r="C1929">
        <f>VLOOKUP(A1929,Medical_Examinations[],2,FALSE)</f>
        <v>19.05</v>
      </c>
      <c r="D1929">
        <f>VLOOKUP(A1929,Medical_Examinations[],3,FALSE)</f>
        <v>4.92</v>
      </c>
      <c r="E1929" t="str">
        <f>VLOOKUP(A1929,Medical_Examinations[],4,FALSE)</f>
        <v>No</v>
      </c>
      <c r="F1929" t="str">
        <f>VLOOKUP(A1929,Medical_Examinations[],5,FALSE)</f>
        <v>No</v>
      </c>
      <c r="G1929" t="str">
        <f>VLOOKUP(A1929,Medical_Examinations[],6,FALSE)</f>
        <v>No</v>
      </c>
      <c r="H1929">
        <f>VLOOKUP(A1929,Medical_Examinations[],7,FALSE)</f>
        <v>1</v>
      </c>
      <c r="I1929" t="str">
        <f>VLOOKUP(A1929,Medical_Examinations[],8,FALSE)</f>
        <v>No</v>
      </c>
      <c r="J1929" t="str">
        <f>VLOOKUP(A1929,Medical_Examinations[],9,FALSE)</f>
        <v>Normal Weight</v>
      </c>
      <c r="K1929" t="str">
        <f>VLOOKUP(A1929,Medical_Examinations[],10,FALSE)</f>
        <v>Normal</v>
      </c>
      <c r="M1929">
        <f>VLOOKUP(A1929,Hospitalisation_Details__2[],4,FALSE)</f>
        <v>3773.23</v>
      </c>
      <c r="N1929" t="str">
        <f>VLOOKUP(A1929,Hospitalisation_Details__2[],5,FALSE)</f>
        <v>tier - 2</v>
      </c>
      <c r="O1929" t="str">
        <f>VLOOKUP(A1929,Hospitalisation_Details__2[],6,FALSE)</f>
        <v>tier - 3</v>
      </c>
      <c r="P1929" t="str">
        <f>VLOOKUP(A1929,Hospitalisation_Details__2[],7,FALSE)</f>
        <v>R1013</v>
      </c>
    </row>
    <row r="1930" spans="1:16" x14ac:dyDescent="0.35">
      <c r="A1930" t="str">
        <v>Id1929</v>
      </c>
      <c r="B1930" t="str">
        <f>VLOOKUP(A1930,'Customer Names (2)'!A:B, 2,FALSE)</f>
        <v>Ms</v>
      </c>
      <c r="C1930">
        <f>VLOOKUP(A1930,Medical_Examinations[],2,FALSE)</f>
        <v>37.619999999999997</v>
      </c>
      <c r="D1930">
        <f>VLOOKUP(A1930,Medical_Examinations[],3,FALSE)</f>
        <v>4.18</v>
      </c>
      <c r="E1930" t="str">
        <f>VLOOKUP(A1930,Medical_Examinations[],4,FALSE)</f>
        <v>No</v>
      </c>
      <c r="F1930" t="str">
        <f>VLOOKUP(A1930,Medical_Examinations[],5,FALSE)</f>
        <v>No</v>
      </c>
      <c r="G1930" t="str">
        <f>VLOOKUP(A1930,Medical_Examinations[],6,FALSE)</f>
        <v>No</v>
      </c>
      <c r="H1930">
        <f>VLOOKUP(A1930,Medical_Examinations[],7,FALSE)</f>
        <v>0</v>
      </c>
      <c r="I1930" t="str">
        <f>VLOOKUP(A1930,Medical_Examinations[],8,FALSE)</f>
        <v>No</v>
      </c>
      <c r="J1930" t="str">
        <f>VLOOKUP(A1930,Medical_Examinations[],9,FALSE)</f>
        <v>Obesity</v>
      </c>
      <c r="K1930" t="str">
        <f>VLOOKUP(A1930,Medical_Examinations[],10,FALSE)</f>
        <v>Normal</v>
      </c>
      <c r="M1930">
        <f>VLOOKUP(A1930,Hospitalisation_Details__2[],4,FALSE)</f>
        <v>3766.88</v>
      </c>
      <c r="N1930" t="str">
        <f>VLOOKUP(A1930,Hospitalisation_Details__2[],5,FALSE)</f>
        <v>tier - 2</v>
      </c>
      <c r="O1930" t="str">
        <f>VLOOKUP(A1930,Hospitalisation_Details__2[],6,FALSE)</f>
        <v>tier - 1</v>
      </c>
      <c r="P1930" t="str">
        <f>VLOOKUP(A1930,Hospitalisation_Details__2[],7,FALSE)</f>
        <v>R1013</v>
      </c>
    </row>
    <row r="1931" spans="1:16" x14ac:dyDescent="0.35">
      <c r="A1931" t="str">
        <v>Id1930</v>
      </c>
      <c r="B1931" t="str">
        <f>VLOOKUP(A1931,'Customer Names (2)'!A:B, 2,FALSE)</f>
        <v>Ms</v>
      </c>
      <c r="C1931">
        <f>VLOOKUP(A1931,Medical_Examinations[],2,FALSE)</f>
        <v>29.1</v>
      </c>
      <c r="D1931">
        <f>VLOOKUP(A1931,Medical_Examinations[],3,FALSE)</f>
        <v>4.67</v>
      </c>
      <c r="E1931" t="str">
        <f>VLOOKUP(A1931,Medical_Examinations[],4,FALSE)</f>
        <v>No</v>
      </c>
      <c r="F1931" t="str">
        <f>VLOOKUP(A1931,Medical_Examinations[],5,FALSE)</f>
        <v>No</v>
      </c>
      <c r="G1931" t="str">
        <f>VLOOKUP(A1931,Medical_Examinations[],6,FALSE)</f>
        <v>No</v>
      </c>
      <c r="H1931">
        <f>VLOOKUP(A1931,Medical_Examinations[],7,FALSE)</f>
        <v>0</v>
      </c>
      <c r="I1931" t="str">
        <f>VLOOKUP(A1931,Medical_Examinations[],8,FALSE)</f>
        <v>No</v>
      </c>
      <c r="J1931" t="str">
        <f>VLOOKUP(A1931,Medical_Examinations[],9,FALSE)</f>
        <v>Overweight</v>
      </c>
      <c r="K1931" t="str">
        <f>VLOOKUP(A1931,Medical_Examinations[],10,FALSE)</f>
        <v>Normal</v>
      </c>
      <c r="M1931">
        <f>VLOOKUP(A1931,Hospitalisation_Details__2[],4,FALSE)</f>
        <v>3761.29</v>
      </c>
      <c r="N1931" t="str">
        <f>VLOOKUP(A1931,Hospitalisation_Details__2[],5,FALSE)</f>
        <v>tier - 2</v>
      </c>
      <c r="O1931" t="str">
        <f>VLOOKUP(A1931,Hospitalisation_Details__2[],6,FALSE)</f>
        <v>tier - 3</v>
      </c>
      <c r="P1931" t="str">
        <f>VLOOKUP(A1931,Hospitalisation_Details__2[],7,FALSE)</f>
        <v>R1011</v>
      </c>
    </row>
    <row r="1932" spans="1:16" x14ac:dyDescent="0.35">
      <c r="A1932" t="str">
        <v>Id1931</v>
      </c>
      <c r="B1932" t="str">
        <f>VLOOKUP(A1932,'Customer Names (2)'!A:B, 2,FALSE)</f>
        <v>Ms</v>
      </c>
      <c r="C1932">
        <f>VLOOKUP(A1932,Medical_Examinations[],2,FALSE)</f>
        <v>26.62</v>
      </c>
      <c r="D1932">
        <f>VLOOKUP(A1932,Medical_Examinations[],3,FALSE)</f>
        <v>6.24</v>
      </c>
      <c r="E1932" t="str">
        <f>VLOOKUP(A1932,Medical_Examinations[],4,FALSE)</f>
        <v>No</v>
      </c>
      <c r="F1932" t="str">
        <f>VLOOKUP(A1932,Medical_Examinations[],5,FALSE)</f>
        <v>No</v>
      </c>
      <c r="G1932" t="str">
        <f>VLOOKUP(A1932,Medical_Examinations[],6,FALSE)</f>
        <v>No</v>
      </c>
      <c r="H1932">
        <f>VLOOKUP(A1932,Medical_Examinations[],7,FALSE)</f>
        <v>0</v>
      </c>
      <c r="I1932" t="str">
        <f>VLOOKUP(A1932,Medical_Examinations[],8,FALSE)</f>
        <v>No</v>
      </c>
      <c r="J1932" t="str">
        <f>VLOOKUP(A1932,Medical_Examinations[],9,FALSE)</f>
        <v>Overweight</v>
      </c>
      <c r="K1932" t="str">
        <f>VLOOKUP(A1932,Medical_Examinations[],10,FALSE)</f>
        <v>Prediabetes</v>
      </c>
      <c r="M1932">
        <f>VLOOKUP(A1932,Hospitalisation_Details__2[],4,FALSE)</f>
        <v>3757.84</v>
      </c>
      <c r="N1932" t="str">
        <f>VLOOKUP(A1932,Hospitalisation_Details__2[],5,FALSE)</f>
        <v>tier - 2</v>
      </c>
      <c r="O1932" t="str">
        <f>VLOOKUP(A1932,Hospitalisation_Details__2[],6,FALSE)</f>
        <v>tier - 1</v>
      </c>
      <c r="P1932" t="str">
        <f>VLOOKUP(A1932,Hospitalisation_Details__2[],7,FALSE)</f>
        <v>R1013</v>
      </c>
    </row>
    <row r="1933" spans="1:16" x14ac:dyDescent="0.35">
      <c r="A1933" t="str">
        <v>Id1932</v>
      </c>
      <c r="B1933" t="str">
        <f>VLOOKUP(A1933,'Customer Names (2)'!A:B, 2,FALSE)</f>
        <v>Ms</v>
      </c>
      <c r="C1933">
        <f>VLOOKUP(A1933,Medical_Examinations[],2,FALSE)</f>
        <v>25.74</v>
      </c>
      <c r="D1933">
        <f>VLOOKUP(A1933,Medical_Examinations[],3,FALSE)</f>
        <v>5.99</v>
      </c>
      <c r="E1933" t="str">
        <f>VLOOKUP(A1933,Medical_Examinations[],4,FALSE)</f>
        <v>No</v>
      </c>
      <c r="F1933" t="str">
        <f>VLOOKUP(A1933,Medical_Examinations[],5,FALSE)</f>
        <v>No</v>
      </c>
      <c r="G1933" t="str">
        <f>VLOOKUP(A1933,Medical_Examinations[],6,FALSE)</f>
        <v>No</v>
      </c>
      <c r="H1933">
        <f>VLOOKUP(A1933,Medical_Examinations[],7,FALSE)</f>
        <v>0</v>
      </c>
      <c r="I1933" t="str">
        <f>VLOOKUP(A1933,Medical_Examinations[],8,FALSE)</f>
        <v>No</v>
      </c>
      <c r="J1933" t="str">
        <f>VLOOKUP(A1933,Medical_Examinations[],9,FALSE)</f>
        <v>Overweight</v>
      </c>
      <c r="K1933" t="str">
        <f>VLOOKUP(A1933,Medical_Examinations[],10,FALSE)</f>
        <v>Prediabetes</v>
      </c>
      <c r="M1933">
        <f>VLOOKUP(A1933,Hospitalisation_Details__2[],4,FALSE)</f>
        <v>3756.62</v>
      </c>
      <c r="N1933" t="str">
        <f>VLOOKUP(A1933,Hospitalisation_Details__2[],5,FALSE)</f>
        <v>tier - 2</v>
      </c>
      <c r="O1933" t="str">
        <f>VLOOKUP(A1933,Hospitalisation_Details__2[],6,FALSE)</f>
        <v>tier - 2</v>
      </c>
      <c r="P1933" t="str">
        <f>VLOOKUP(A1933,Hospitalisation_Details__2[],7,FALSE)</f>
        <v>R1013</v>
      </c>
    </row>
    <row r="1934" spans="1:16" x14ac:dyDescent="0.35">
      <c r="A1934" t="str">
        <v>Id1933</v>
      </c>
      <c r="B1934" t="str">
        <f>VLOOKUP(A1934,'Customer Names (2)'!A:B, 2,FALSE)</f>
        <v>Mr</v>
      </c>
      <c r="C1934">
        <f>VLOOKUP(A1934,Medical_Examinations[],2,FALSE)</f>
        <v>18.22</v>
      </c>
      <c r="D1934">
        <f>VLOOKUP(A1934,Medical_Examinations[],3,FALSE)</f>
        <v>10.27</v>
      </c>
      <c r="E1934" t="str">
        <f>VLOOKUP(A1934,Medical_Examinations[],4,FALSE)</f>
        <v>Yes</v>
      </c>
      <c r="F1934" t="str">
        <f>VLOOKUP(A1934,Medical_Examinations[],5,FALSE)</f>
        <v>No</v>
      </c>
      <c r="G1934" t="str">
        <f>VLOOKUP(A1934,Medical_Examinations[],6,FALSE)</f>
        <v>No</v>
      </c>
      <c r="H1934">
        <f>VLOOKUP(A1934,Medical_Examinations[],7,FALSE)</f>
        <v>1</v>
      </c>
      <c r="I1934" t="str">
        <f>VLOOKUP(A1934,Medical_Examinations[],8,FALSE)</f>
        <v>No</v>
      </c>
      <c r="J1934" t="str">
        <f>VLOOKUP(A1934,Medical_Examinations[],9,FALSE)</f>
        <v>Underweight</v>
      </c>
      <c r="K1934" t="str">
        <f>VLOOKUP(A1934,Medical_Examinations[],10,FALSE)</f>
        <v>Diabetes</v>
      </c>
      <c r="M1934">
        <f>VLOOKUP(A1934,Hospitalisation_Details__2[],4,FALSE)</f>
        <v>3748.56</v>
      </c>
      <c r="N1934" t="str">
        <f>VLOOKUP(A1934,Hospitalisation_Details__2[],5,FALSE)</f>
        <v>tier - 2</v>
      </c>
      <c r="O1934" t="str">
        <f>VLOOKUP(A1934,Hospitalisation_Details__2[],6,FALSE)</f>
        <v>tier - 2</v>
      </c>
      <c r="P1934" t="str">
        <f>VLOOKUP(A1934,Hospitalisation_Details__2[],7,FALSE)</f>
        <v>R1013</v>
      </c>
    </row>
    <row r="1935" spans="1:16" x14ac:dyDescent="0.35">
      <c r="A1935" t="str">
        <v>Id1934</v>
      </c>
      <c r="B1935" t="str">
        <f>VLOOKUP(A1935,'Customer Names (2)'!A:B, 2,FALSE)</f>
        <v>Ms</v>
      </c>
      <c r="C1935">
        <f>VLOOKUP(A1935,Medical_Examinations[],2,FALSE)</f>
        <v>26.03</v>
      </c>
      <c r="D1935">
        <f>VLOOKUP(A1935,Medical_Examinations[],3,FALSE)</f>
        <v>5.97</v>
      </c>
      <c r="E1935" t="str">
        <f>VLOOKUP(A1935,Medical_Examinations[],4,FALSE)</f>
        <v>No</v>
      </c>
      <c r="F1935" t="str">
        <f>VLOOKUP(A1935,Medical_Examinations[],5,FALSE)</f>
        <v>No</v>
      </c>
      <c r="G1935" t="str">
        <f>VLOOKUP(A1935,Medical_Examinations[],6,FALSE)</f>
        <v>Yes</v>
      </c>
      <c r="H1935">
        <f>VLOOKUP(A1935,Medical_Examinations[],7,FALSE)</f>
        <v>1</v>
      </c>
      <c r="I1935" t="str">
        <f>VLOOKUP(A1935,Medical_Examinations[],8,FALSE)</f>
        <v>No</v>
      </c>
      <c r="J1935" t="str">
        <f>VLOOKUP(A1935,Medical_Examinations[],9,FALSE)</f>
        <v>Overweight</v>
      </c>
      <c r="K1935" t="str">
        <f>VLOOKUP(A1935,Medical_Examinations[],10,FALSE)</f>
        <v>Prediabetes</v>
      </c>
      <c r="M1935">
        <f>VLOOKUP(A1935,Hospitalisation_Details__2[],4,FALSE)</f>
        <v>3736.46</v>
      </c>
      <c r="N1935" t="str">
        <f>VLOOKUP(A1935,Hospitalisation_Details__2[],5,FALSE)</f>
        <v>tier - 2</v>
      </c>
      <c r="O1935" t="str">
        <f>VLOOKUP(A1935,Hospitalisation_Details__2[],6,FALSE)</f>
        <v>tier - 2</v>
      </c>
      <c r="P1935" t="str">
        <f>VLOOKUP(A1935,Hospitalisation_Details__2[],7,FALSE)</f>
        <v>R1012</v>
      </c>
    </row>
    <row r="1936" spans="1:16" x14ac:dyDescent="0.35">
      <c r="A1936" t="str">
        <v>Id1935</v>
      </c>
      <c r="B1936" t="str">
        <f>VLOOKUP(A1936,'Customer Names (2)'!A:B, 2,FALSE)</f>
        <v>Ms</v>
      </c>
      <c r="C1936">
        <f>VLOOKUP(A1936,Medical_Examinations[],2,FALSE)</f>
        <v>17.29</v>
      </c>
      <c r="D1936">
        <f>VLOOKUP(A1936,Medical_Examinations[],3,FALSE)</f>
        <v>4.9800000000000004</v>
      </c>
      <c r="E1936" t="str">
        <f>VLOOKUP(A1936,Medical_Examinations[],4,FALSE)</f>
        <v>No</v>
      </c>
      <c r="F1936" t="str">
        <f>VLOOKUP(A1936,Medical_Examinations[],5,FALSE)</f>
        <v>No</v>
      </c>
      <c r="G1936" t="str">
        <f>VLOOKUP(A1936,Medical_Examinations[],6,FALSE)</f>
        <v>No</v>
      </c>
      <c r="H1936">
        <f>VLOOKUP(A1936,Medical_Examinations[],7,FALSE)</f>
        <v>0</v>
      </c>
      <c r="I1936" t="str">
        <f>VLOOKUP(A1936,Medical_Examinations[],8,FALSE)</f>
        <v>No</v>
      </c>
      <c r="J1936" t="str">
        <f>VLOOKUP(A1936,Medical_Examinations[],9,FALSE)</f>
        <v>Underweight</v>
      </c>
      <c r="K1936" t="str">
        <f>VLOOKUP(A1936,Medical_Examinations[],10,FALSE)</f>
        <v>Normal</v>
      </c>
      <c r="M1936">
        <f>VLOOKUP(A1936,Hospitalisation_Details__2[],4,FALSE)</f>
        <v>3732.63</v>
      </c>
      <c r="N1936" t="str">
        <f>VLOOKUP(A1936,Hospitalisation_Details__2[],5,FALSE)</f>
        <v>tier - 2</v>
      </c>
      <c r="O1936" t="str">
        <f>VLOOKUP(A1936,Hospitalisation_Details__2[],6,FALSE)</f>
        <v>tier - 3</v>
      </c>
      <c r="P1936" t="str">
        <f>VLOOKUP(A1936,Hospitalisation_Details__2[],7,FALSE)</f>
        <v>R1024</v>
      </c>
    </row>
    <row r="1937" spans="1:16" x14ac:dyDescent="0.35">
      <c r="A1937" t="str">
        <v>Id1936</v>
      </c>
      <c r="B1937" t="str">
        <f>VLOOKUP(A1937,'Customer Names (2)'!A:B, 2,FALSE)</f>
        <v>Mr</v>
      </c>
      <c r="C1937">
        <f>VLOOKUP(A1937,Medical_Examinations[],2,FALSE)</f>
        <v>18.170000000000002</v>
      </c>
      <c r="D1937">
        <f>VLOOKUP(A1937,Medical_Examinations[],3,FALSE)</f>
        <v>6.91</v>
      </c>
      <c r="E1937" t="str">
        <f>VLOOKUP(A1937,Medical_Examinations[],4,FALSE)</f>
        <v>Yes</v>
      </c>
      <c r="F1937" t="str">
        <f>VLOOKUP(A1937,Medical_Examinations[],5,FALSE)</f>
        <v>No</v>
      </c>
      <c r="G1937" t="str">
        <f>VLOOKUP(A1937,Medical_Examinations[],6,FALSE)</f>
        <v>No</v>
      </c>
      <c r="H1937">
        <f>VLOOKUP(A1937,Medical_Examinations[],7,FALSE)</f>
        <v>1</v>
      </c>
      <c r="I1937" t="str">
        <f>VLOOKUP(A1937,Medical_Examinations[],8,FALSE)</f>
        <v>No</v>
      </c>
      <c r="J1937" t="str">
        <f>VLOOKUP(A1937,Medical_Examinations[],9,FALSE)</f>
        <v>Underweight</v>
      </c>
      <c r="K1937" t="str">
        <f>VLOOKUP(A1937,Medical_Examinations[],10,FALSE)</f>
        <v>Diabetes</v>
      </c>
      <c r="M1937">
        <f>VLOOKUP(A1937,Hospitalisation_Details__2[],4,FALSE)</f>
        <v>3731.6</v>
      </c>
      <c r="N1937" t="str">
        <f>VLOOKUP(A1937,Hospitalisation_Details__2[],5,FALSE)</f>
        <v>tier - 2</v>
      </c>
      <c r="O1937" t="str">
        <f>VLOOKUP(A1937,Hospitalisation_Details__2[],6,FALSE)</f>
        <v>tier - 2</v>
      </c>
      <c r="P1937" t="str">
        <f>VLOOKUP(A1937,Hospitalisation_Details__2[],7,FALSE)</f>
        <v>R1013</v>
      </c>
    </row>
    <row r="1938" spans="1:16" x14ac:dyDescent="0.35">
      <c r="A1938" t="str">
        <v>Id1937</v>
      </c>
      <c r="B1938" t="str">
        <f>VLOOKUP(A1938,'Customer Names (2)'!A:B, 2,FALSE)</f>
        <v>Mrs</v>
      </c>
      <c r="C1938">
        <f>VLOOKUP(A1938,Medical_Examinations[],2,FALSE)</f>
        <v>32.54</v>
      </c>
      <c r="D1938">
        <f>VLOOKUP(A1938,Medical_Examinations[],3,FALSE)</f>
        <v>6.38</v>
      </c>
      <c r="E1938" t="str">
        <f>VLOOKUP(A1938,Medical_Examinations[],4,FALSE)</f>
        <v>No</v>
      </c>
      <c r="F1938" t="str">
        <f>VLOOKUP(A1938,Medical_Examinations[],5,FALSE)</f>
        <v>yes</v>
      </c>
      <c r="G1938" t="str">
        <f>VLOOKUP(A1938,Medical_Examinations[],6,FALSE)</f>
        <v>No</v>
      </c>
      <c r="H1938">
        <f>VLOOKUP(A1938,Medical_Examinations[],7,FALSE)</f>
        <v>1</v>
      </c>
      <c r="I1938" t="str">
        <f>VLOOKUP(A1938,Medical_Examinations[],8,FALSE)</f>
        <v>No</v>
      </c>
      <c r="J1938" t="str">
        <f>VLOOKUP(A1938,Medical_Examinations[],9,FALSE)</f>
        <v>Obesity</v>
      </c>
      <c r="K1938" t="str">
        <f>VLOOKUP(A1938,Medical_Examinations[],10,FALSE)</f>
        <v>Prediabetes</v>
      </c>
      <c r="M1938">
        <f>VLOOKUP(A1938,Hospitalisation_Details__2[],4,FALSE)</f>
        <v>3722.23</v>
      </c>
      <c r="N1938" t="str">
        <f>VLOOKUP(A1938,Hospitalisation_Details__2[],5,FALSE)</f>
        <v>tier - 2</v>
      </c>
      <c r="O1938" t="str">
        <f>VLOOKUP(A1938,Hospitalisation_Details__2[],6,FALSE)</f>
        <v>tier - 2</v>
      </c>
      <c r="P1938" t="str">
        <f>VLOOKUP(A1938,Hospitalisation_Details__2[],7,FALSE)</f>
        <v>R1025</v>
      </c>
    </row>
    <row r="1939" spans="1:16" x14ac:dyDescent="0.35">
      <c r="A1939" t="str">
        <v>Id1938</v>
      </c>
      <c r="B1939" t="str">
        <f>VLOOKUP(A1939,'Customer Names (2)'!A:B, 2,FALSE)</f>
        <v>Mr</v>
      </c>
      <c r="C1939">
        <f>VLOOKUP(A1939,Medical_Examinations[],2,FALSE)</f>
        <v>30.25</v>
      </c>
      <c r="D1939">
        <f>VLOOKUP(A1939,Medical_Examinations[],3,FALSE)</f>
        <v>4.7699999999999996</v>
      </c>
      <c r="E1939" t="str">
        <f>VLOOKUP(A1939,Medical_Examinations[],4,FALSE)</f>
        <v>No</v>
      </c>
      <c r="F1939" t="str">
        <f>VLOOKUP(A1939,Medical_Examinations[],5,FALSE)</f>
        <v>No</v>
      </c>
      <c r="G1939" t="str">
        <f>VLOOKUP(A1939,Medical_Examinations[],6,FALSE)</f>
        <v>No</v>
      </c>
      <c r="H1939">
        <f>VLOOKUP(A1939,Medical_Examinations[],7,FALSE)</f>
        <v>0</v>
      </c>
      <c r="I1939" t="str">
        <f>VLOOKUP(A1939,Medical_Examinations[],8,FALSE)</f>
        <v>No</v>
      </c>
      <c r="J1939" t="str">
        <f>VLOOKUP(A1939,Medical_Examinations[],9,FALSE)</f>
        <v>Obesity</v>
      </c>
      <c r="K1939" t="str">
        <f>VLOOKUP(A1939,Medical_Examinations[],10,FALSE)</f>
        <v>Normal</v>
      </c>
      <c r="M1939">
        <f>VLOOKUP(A1939,Hospitalisation_Details__2[],4,FALSE)</f>
        <v>3704.35</v>
      </c>
      <c r="N1939" t="str">
        <f>VLOOKUP(A1939,Hospitalisation_Details__2[],5,FALSE)</f>
        <v>tier - 2</v>
      </c>
      <c r="O1939" t="str">
        <f>VLOOKUP(A1939,Hospitalisation_Details__2[],6,FALSE)</f>
        <v>tier - 2</v>
      </c>
      <c r="P1939" t="str">
        <f>VLOOKUP(A1939,Hospitalisation_Details__2[],7,FALSE)</f>
        <v>R1013</v>
      </c>
    </row>
    <row r="1940" spans="1:16" x14ac:dyDescent="0.35">
      <c r="A1940" t="str">
        <v>Id1939</v>
      </c>
      <c r="B1940" t="str">
        <f>VLOOKUP(A1940,'Customer Names (2)'!A:B, 2,FALSE)</f>
        <v>Mr</v>
      </c>
      <c r="C1940">
        <f>VLOOKUP(A1940,Medical_Examinations[],2,FALSE)</f>
        <v>19.59</v>
      </c>
      <c r="D1940">
        <f>VLOOKUP(A1940,Medical_Examinations[],3,FALSE)</f>
        <v>6.04</v>
      </c>
      <c r="E1940" t="str">
        <f>VLOOKUP(A1940,Medical_Examinations[],4,FALSE)</f>
        <v>Yes</v>
      </c>
      <c r="F1940" t="str">
        <f>VLOOKUP(A1940,Medical_Examinations[],5,FALSE)</f>
        <v>No</v>
      </c>
      <c r="G1940" t="str">
        <f>VLOOKUP(A1940,Medical_Examinations[],6,FALSE)</f>
        <v>No</v>
      </c>
      <c r="H1940">
        <f>VLOOKUP(A1940,Medical_Examinations[],7,FALSE)</f>
        <v>1</v>
      </c>
      <c r="I1940" t="str">
        <f>VLOOKUP(A1940,Medical_Examinations[],8,FALSE)</f>
        <v>No</v>
      </c>
      <c r="J1940" t="str">
        <f>VLOOKUP(A1940,Medical_Examinations[],9,FALSE)</f>
        <v>Normal Weight</v>
      </c>
      <c r="K1940" t="str">
        <f>VLOOKUP(A1940,Medical_Examinations[],10,FALSE)</f>
        <v>Prediabetes</v>
      </c>
      <c r="M1940">
        <f>VLOOKUP(A1940,Hospitalisation_Details__2[],4,FALSE)</f>
        <v>3699.54</v>
      </c>
      <c r="N1940" t="str">
        <f>VLOOKUP(A1940,Hospitalisation_Details__2[],5,FALSE)</f>
        <v>tier - 2</v>
      </c>
      <c r="O1940" t="str">
        <f>VLOOKUP(A1940,Hospitalisation_Details__2[],6,FALSE)</f>
        <v>tier - 3</v>
      </c>
      <c r="P1940" t="str">
        <f>VLOOKUP(A1940,Hospitalisation_Details__2[],7,FALSE)</f>
        <v>R1013</v>
      </c>
    </row>
    <row r="1941" spans="1:16" x14ac:dyDescent="0.35">
      <c r="A1941" t="str">
        <v>Id1940</v>
      </c>
      <c r="B1941" t="str">
        <f>VLOOKUP(A1941,'Customer Names (2)'!A:B, 2,FALSE)</f>
        <v>Mr</v>
      </c>
      <c r="C1941">
        <f>VLOOKUP(A1941,Medical_Examinations[],2,FALSE)</f>
        <v>45.9</v>
      </c>
      <c r="D1941">
        <f>VLOOKUP(A1941,Medical_Examinations[],3,FALSE)</f>
        <v>4.3</v>
      </c>
      <c r="E1941" t="str">
        <f>VLOOKUP(A1941,Medical_Examinations[],4,FALSE)</f>
        <v>Yes</v>
      </c>
      <c r="F1941" t="str">
        <f>VLOOKUP(A1941,Medical_Examinations[],5,FALSE)</f>
        <v>No</v>
      </c>
      <c r="G1941" t="str">
        <f>VLOOKUP(A1941,Medical_Examinations[],6,FALSE)</f>
        <v>No</v>
      </c>
      <c r="H1941">
        <f>VLOOKUP(A1941,Medical_Examinations[],7,FALSE)</f>
        <v>1</v>
      </c>
      <c r="I1941" t="str">
        <f>VLOOKUP(A1941,Medical_Examinations[],8,FALSE)</f>
        <v>No</v>
      </c>
      <c r="J1941" t="str">
        <f>VLOOKUP(A1941,Medical_Examinations[],9,FALSE)</f>
        <v>Obesity</v>
      </c>
      <c r="K1941" t="str">
        <f>VLOOKUP(A1941,Medical_Examinations[],10,FALSE)</f>
        <v>Normal</v>
      </c>
      <c r="M1941">
        <f>VLOOKUP(A1941,Hospitalisation_Details__2[],4,FALSE)</f>
        <v>3693.43</v>
      </c>
      <c r="N1941" t="str">
        <f>VLOOKUP(A1941,Hospitalisation_Details__2[],5,FALSE)</f>
        <v>tier - 2</v>
      </c>
      <c r="O1941" t="str">
        <f>VLOOKUP(A1941,Hospitalisation_Details__2[],6,FALSE)</f>
        <v>tier - 3</v>
      </c>
      <c r="P1941" t="str">
        <f>VLOOKUP(A1941,Hospitalisation_Details__2[],7,FALSE)</f>
        <v>R1011</v>
      </c>
    </row>
    <row r="1942" spans="1:16" x14ac:dyDescent="0.35">
      <c r="A1942" t="str">
        <v>Id1941</v>
      </c>
      <c r="B1942" t="str">
        <f>VLOOKUP(A1942,'Customer Names (2)'!A:B, 2,FALSE)</f>
        <v>Mr</v>
      </c>
      <c r="C1942">
        <f>VLOOKUP(A1942,Medical_Examinations[],2,FALSE)</f>
        <v>17.059999999999999</v>
      </c>
      <c r="D1942">
        <f>VLOOKUP(A1942,Medical_Examinations[],3,FALSE)</f>
        <v>8.75</v>
      </c>
      <c r="E1942" t="str">
        <f>VLOOKUP(A1942,Medical_Examinations[],4,FALSE)</f>
        <v>Yes</v>
      </c>
      <c r="F1942" t="str">
        <f>VLOOKUP(A1942,Medical_Examinations[],5,FALSE)</f>
        <v>No</v>
      </c>
      <c r="G1942" t="str">
        <f>VLOOKUP(A1942,Medical_Examinations[],6,FALSE)</f>
        <v>No</v>
      </c>
      <c r="H1942">
        <f>VLOOKUP(A1942,Medical_Examinations[],7,FALSE)</f>
        <v>0</v>
      </c>
      <c r="I1942" t="str">
        <f>VLOOKUP(A1942,Medical_Examinations[],8,FALSE)</f>
        <v>No</v>
      </c>
      <c r="J1942" t="str">
        <f>VLOOKUP(A1942,Medical_Examinations[],9,FALSE)</f>
        <v>Underweight</v>
      </c>
      <c r="K1942" t="str">
        <f>VLOOKUP(A1942,Medical_Examinations[],10,FALSE)</f>
        <v>Diabetes</v>
      </c>
      <c r="M1942">
        <f>VLOOKUP(A1942,Hospitalisation_Details__2[],4,FALSE)</f>
        <v>3688.38</v>
      </c>
      <c r="N1942" t="str">
        <f>VLOOKUP(A1942,Hospitalisation_Details__2[],5,FALSE)</f>
        <v>tier - 2</v>
      </c>
      <c r="O1942" t="str">
        <f>VLOOKUP(A1942,Hospitalisation_Details__2[],6,FALSE)</f>
        <v>tier - 2</v>
      </c>
      <c r="P1942" t="str">
        <f>VLOOKUP(A1942,Hospitalisation_Details__2[],7,FALSE)</f>
        <v>R1013</v>
      </c>
    </row>
    <row r="1943" spans="1:16" x14ac:dyDescent="0.35">
      <c r="A1943" t="str">
        <v>Id1942</v>
      </c>
      <c r="B1943" t="str">
        <f>VLOOKUP(A1943,'Customer Names (2)'!A:B, 2,FALSE)</f>
        <v>Mr</v>
      </c>
      <c r="C1943">
        <f>VLOOKUP(A1943,Medical_Examinations[],2,FALSE)</f>
        <v>32.07</v>
      </c>
      <c r="D1943">
        <f>VLOOKUP(A1943,Medical_Examinations[],3,FALSE)</f>
        <v>5.25</v>
      </c>
      <c r="E1943" t="str">
        <f>VLOOKUP(A1943,Medical_Examinations[],4,FALSE)</f>
        <v>No</v>
      </c>
      <c r="F1943" t="str">
        <f>VLOOKUP(A1943,Medical_Examinations[],5,FALSE)</f>
        <v>No</v>
      </c>
      <c r="G1943" t="str">
        <f>VLOOKUP(A1943,Medical_Examinations[],6,FALSE)</f>
        <v>Yes</v>
      </c>
      <c r="H1943">
        <f>VLOOKUP(A1943,Medical_Examinations[],7,FALSE)</f>
        <v>1</v>
      </c>
      <c r="I1943" t="str">
        <f>VLOOKUP(A1943,Medical_Examinations[],8,FALSE)</f>
        <v>No</v>
      </c>
      <c r="J1943" t="str">
        <f>VLOOKUP(A1943,Medical_Examinations[],9,FALSE)</f>
        <v>Obesity</v>
      </c>
      <c r="K1943" t="str">
        <f>VLOOKUP(A1943,Medical_Examinations[],10,FALSE)</f>
        <v>Normal</v>
      </c>
      <c r="M1943">
        <f>VLOOKUP(A1943,Hospitalisation_Details__2[],4,FALSE)</f>
        <v>3688.35</v>
      </c>
      <c r="N1943" t="str">
        <f>VLOOKUP(A1943,Hospitalisation_Details__2[],5,FALSE)</f>
        <v>tier - 2</v>
      </c>
      <c r="O1943" t="str">
        <f>VLOOKUP(A1943,Hospitalisation_Details__2[],6,FALSE)</f>
        <v>tier - 2</v>
      </c>
      <c r="P1943" t="str">
        <f>VLOOKUP(A1943,Hospitalisation_Details__2[],7,FALSE)</f>
        <v>R1021</v>
      </c>
    </row>
    <row r="1944" spans="1:16" x14ac:dyDescent="0.35">
      <c r="A1944" t="str">
        <v>Id1943</v>
      </c>
      <c r="B1944" t="str">
        <f>VLOOKUP(A1944,'Customer Names (2)'!A:B, 2,FALSE)</f>
        <v>Mr</v>
      </c>
      <c r="C1944">
        <f>VLOOKUP(A1944,Medical_Examinations[],2,FALSE)</f>
        <v>16.5</v>
      </c>
      <c r="D1944">
        <f>VLOOKUP(A1944,Medical_Examinations[],3,FALSE)</f>
        <v>5.03</v>
      </c>
      <c r="E1944" t="str">
        <f>VLOOKUP(A1944,Medical_Examinations[],4,FALSE)</f>
        <v>No</v>
      </c>
      <c r="F1944" t="str">
        <f>VLOOKUP(A1944,Medical_Examinations[],5,FALSE)</f>
        <v>No</v>
      </c>
      <c r="G1944" t="str">
        <f>VLOOKUP(A1944,Medical_Examinations[],6,FALSE)</f>
        <v>No</v>
      </c>
      <c r="H1944">
        <f>VLOOKUP(A1944,Medical_Examinations[],7,FALSE)</f>
        <v>1</v>
      </c>
      <c r="I1944" t="str">
        <f>VLOOKUP(A1944,Medical_Examinations[],8,FALSE)</f>
        <v>No</v>
      </c>
      <c r="J1944" t="str">
        <f>VLOOKUP(A1944,Medical_Examinations[],9,FALSE)</f>
        <v>Underweight</v>
      </c>
      <c r="K1944" t="str">
        <f>VLOOKUP(A1944,Medical_Examinations[],10,FALSE)</f>
        <v>Normal</v>
      </c>
      <c r="M1944">
        <f>VLOOKUP(A1944,Hospitalisation_Details__2[],4,FALSE)</f>
        <v>3678.86</v>
      </c>
      <c r="N1944" t="str">
        <f>VLOOKUP(A1944,Hospitalisation_Details__2[],5,FALSE)</f>
        <v>tier - 2</v>
      </c>
      <c r="O1944" t="str">
        <f>VLOOKUP(A1944,Hospitalisation_Details__2[],6,FALSE)</f>
        <v>tier - 3</v>
      </c>
      <c r="P1944" t="str">
        <f>VLOOKUP(A1944,Hospitalisation_Details__2[],7,FALSE)</f>
        <v>R1013</v>
      </c>
    </row>
    <row r="1945" spans="1:16" x14ac:dyDescent="0.35">
      <c r="A1945" t="str">
        <v>Id1944</v>
      </c>
      <c r="B1945" t="str">
        <f>VLOOKUP(A1945,'Customer Names (2)'!A:B, 2,FALSE)</f>
        <v>Mr</v>
      </c>
      <c r="C1945">
        <f>VLOOKUP(A1945,Medical_Examinations[],2,FALSE)</f>
        <v>31.4</v>
      </c>
      <c r="D1945">
        <f>VLOOKUP(A1945,Medical_Examinations[],3,FALSE)</f>
        <v>5.88</v>
      </c>
      <c r="E1945" t="str">
        <f>VLOOKUP(A1945,Medical_Examinations[],4,FALSE)</f>
        <v>No</v>
      </c>
      <c r="F1945" t="str">
        <f>VLOOKUP(A1945,Medical_Examinations[],5,FALSE)</f>
        <v>No</v>
      </c>
      <c r="G1945" t="str">
        <f>VLOOKUP(A1945,Medical_Examinations[],6,FALSE)</f>
        <v>No</v>
      </c>
      <c r="H1945">
        <f>VLOOKUP(A1945,Medical_Examinations[],7,FALSE)</f>
        <v>1</v>
      </c>
      <c r="I1945" t="str">
        <f>VLOOKUP(A1945,Medical_Examinations[],8,FALSE)</f>
        <v>No</v>
      </c>
      <c r="J1945" t="str">
        <f>VLOOKUP(A1945,Medical_Examinations[],9,FALSE)</f>
        <v>Obesity</v>
      </c>
      <c r="K1945" t="str">
        <f>VLOOKUP(A1945,Medical_Examinations[],10,FALSE)</f>
        <v>Prediabetes</v>
      </c>
      <c r="M1945">
        <f>VLOOKUP(A1945,Hospitalisation_Details__2[],4,FALSE)</f>
        <v>3659.35</v>
      </c>
      <c r="N1945" t="str">
        <f>VLOOKUP(A1945,Hospitalisation_Details__2[],5,FALSE)</f>
        <v>tier - 3</v>
      </c>
      <c r="O1945" t="str">
        <f>VLOOKUP(A1945,Hospitalisation_Details__2[],6,FALSE)</f>
        <v>tier - 1</v>
      </c>
      <c r="P1945" t="str">
        <f>VLOOKUP(A1945,Hospitalisation_Details__2[],7,FALSE)</f>
        <v>R1011</v>
      </c>
    </row>
    <row r="1946" spans="1:16" x14ac:dyDescent="0.35">
      <c r="A1946" t="str">
        <v>Id1945</v>
      </c>
      <c r="B1946" t="str">
        <f>VLOOKUP(A1946,'Customer Names (2)'!A:B, 2,FALSE)</f>
        <v>Ms</v>
      </c>
      <c r="C1946">
        <f>VLOOKUP(A1946,Medical_Examinations[],2,FALSE)</f>
        <v>20.36</v>
      </c>
      <c r="D1946">
        <f>VLOOKUP(A1946,Medical_Examinations[],3,FALSE)</f>
        <v>4.49</v>
      </c>
      <c r="E1946" t="str">
        <f>VLOOKUP(A1946,Medical_Examinations[],4,FALSE)</f>
        <v>No</v>
      </c>
      <c r="F1946" t="str">
        <f>VLOOKUP(A1946,Medical_Examinations[],5,FALSE)</f>
        <v>No</v>
      </c>
      <c r="G1946" t="str">
        <f>VLOOKUP(A1946,Medical_Examinations[],6,FALSE)</f>
        <v>No</v>
      </c>
      <c r="H1946">
        <f>VLOOKUP(A1946,Medical_Examinations[],7,FALSE)</f>
        <v>0</v>
      </c>
      <c r="I1946" t="str">
        <f>VLOOKUP(A1946,Medical_Examinations[],8,FALSE)</f>
        <v>No</v>
      </c>
      <c r="J1946" t="str">
        <f>VLOOKUP(A1946,Medical_Examinations[],9,FALSE)</f>
        <v>Normal Weight</v>
      </c>
      <c r="K1946" t="str">
        <f>VLOOKUP(A1946,Medical_Examinations[],10,FALSE)</f>
        <v>Normal</v>
      </c>
      <c r="M1946">
        <f>VLOOKUP(A1946,Hospitalisation_Details__2[],4,FALSE)</f>
        <v>3653.29</v>
      </c>
      <c r="N1946" t="str">
        <f>VLOOKUP(A1946,Hospitalisation_Details__2[],5,FALSE)</f>
        <v>tier - 2</v>
      </c>
      <c r="O1946" t="str">
        <f>VLOOKUP(A1946,Hospitalisation_Details__2[],6,FALSE)</f>
        <v>tier - 3</v>
      </c>
      <c r="P1946" t="str">
        <f>VLOOKUP(A1946,Hospitalisation_Details__2[],7,FALSE)</f>
        <v>R1011</v>
      </c>
    </row>
    <row r="1947" spans="1:16" x14ac:dyDescent="0.35">
      <c r="A1947" t="str">
        <v>Id1946</v>
      </c>
      <c r="B1947" t="str">
        <f>VLOOKUP(A1947,'Customer Names (2)'!A:B, 2,FALSE)</f>
        <v>Mr</v>
      </c>
      <c r="C1947">
        <f>VLOOKUP(A1947,Medical_Examinations[],2,FALSE)</f>
        <v>25.46</v>
      </c>
      <c r="D1947">
        <f>VLOOKUP(A1947,Medical_Examinations[],3,FALSE)</f>
        <v>4.1399999999999997</v>
      </c>
      <c r="E1947" t="str">
        <f>VLOOKUP(A1947,Medical_Examinations[],4,FALSE)</f>
        <v>No</v>
      </c>
      <c r="F1947" t="str">
        <f>VLOOKUP(A1947,Medical_Examinations[],5,FALSE)</f>
        <v>No</v>
      </c>
      <c r="G1947" t="str">
        <f>VLOOKUP(A1947,Medical_Examinations[],6,FALSE)</f>
        <v>No</v>
      </c>
      <c r="H1947">
        <f>VLOOKUP(A1947,Medical_Examinations[],7,FALSE)</f>
        <v>1</v>
      </c>
      <c r="I1947" t="str">
        <f>VLOOKUP(A1947,Medical_Examinations[],8,FALSE)</f>
        <v>No</v>
      </c>
      <c r="J1947" t="str">
        <f>VLOOKUP(A1947,Medical_Examinations[],9,FALSE)</f>
        <v>Overweight</v>
      </c>
      <c r="K1947" t="str">
        <f>VLOOKUP(A1947,Medical_Examinations[],10,FALSE)</f>
        <v>Normal</v>
      </c>
      <c r="M1947">
        <f>VLOOKUP(A1947,Hospitalisation_Details__2[],4,FALSE)</f>
        <v>3645.09</v>
      </c>
      <c r="N1947" t="str">
        <f>VLOOKUP(A1947,Hospitalisation_Details__2[],5,FALSE)</f>
        <v>tier - 1</v>
      </c>
      <c r="O1947" t="str">
        <f>VLOOKUP(A1947,Hospitalisation_Details__2[],6,FALSE)</f>
        <v>tier - 2</v>
      </c>
      <c r="P1947" t="str">
        <f>VLOOKUP(A1947,Hospitalisation_Details__2[],7,FALSE)</f>
        <v>R1014</v>
      </c>
    </row>
    <row r="1948" spans="1:16" x14ac:dyDescent="0.35">
      <c r="A1948" t="str">
        <v>Id1947</v>
      </c>
      <c r="B1948" t="str">
        <f>VLOOKUP(A1948,'Customer Names (2)'!A:B, 2,FALSE)</f>
        <v>Mr</v>
      </c>
      <c r="C1948">
        <f>VLOOKUP(A1948,Medical_Examinations[],2,FALSE)</f>
        <v>17.09</v>
      </c>
      <c r="D1948">
        <f>VLOOKUP(A1948,Medical_Examinations[],3,FALSE)</f>
        <v>5.8</v>
      </c>
      <c r="E1948" t="str">
        <f>VLOOKUP(A1948,Medical_Examinations[],4,FALSE)</f>
        <v>Yes</v>
      </c>
      <c r="F1948" t="str">
        <f>VLOOKUP(A1948,Medical_Examinations[],5,FALSE)</f>
        <v>No</v>
      </c>
      <c r="G1948" t="str">
        <f>VLOOKUP(A1948,Medical_Examinations[],6,FALSE)</f>
        <v>No</v>
      </c>
      <c r="H1948">
        <f>VLOOKUP(A1948,Medical_Examinations[],7,FALSE)</f>
        <v>0</v>
      </c>
      <c r="I1948" t="str">
        <f>VLOOKUP(A1948,Medical_Examinations[],8,FALSE)</f>
        <v>No</v>
      </c>
      <c r="J1948" t="str">
        <f>VLOOKUP(A1948,Medical_Examinations[],9,FALSE)</f>
        <v>Underweight</v>
      </c>
      <c r="K1948" t="str">
        <f>VLOOKUP(A1948,Medical_Examinations[],10,FALSE)</f>
        <v>Prediabetes</v>
      </c>
      <c r="M1948">
        <f>VLOOKUP(A1948,Hospitalisation_Details__2[],4,FALSE)</f>
        <v>3622.13</v>
      </c>
      <c r="N1948" t="str">
        <f>VLOOKUP(A1948,Hospitalisation_Details__2[],5,FALSE)</f>
        <v>tier - 2</v>
      </c>
      <c r="O1948" t="str">
        <f>VLOOKUP(A1948,Hospitalisation_Details__2[],6,FALSE)</f>
        <v>tier - 1</v>
      </c>
      <c r="P1948" t="str">
        <f>VLOOKUP(A1948,Hospitalisation_Details__2[],7,FALSE)</f>
        <v>R1013</v>
      </c>
    </row>
    <row r="1949" spans="1:16" x14ac:dyDescent="0.35">
      <c r="A1949" t="str">
        <v>Id1948</v>
      </c>
      <c r="B1949" t="str">
        <f>VLOOKUP(A1949,'Customer Names (2)'!A:B, 2,FALSE)</f>
        <v>Mr</v>
      </c>
      <c r="C1949">
        <f>VLOOKUP(A1949,Medical_Examinations[],2,FALSE)</f>
        <v>20.83</v>
      </c>
      <c r="D1949">
        <f>VLOOKUP(A1949,Medical_Examinations[],3,FALSE)</f>
        <v>5.12</v>
      </c>
      <c r="E1949" t="str">
        <f>VLOOKUP(A1949,Medical_Examinations[],4,FALSE)</f>
        <v>No</v>
      </c>
      <c r="F1949" t="str">
        <f>VLOOKUP(A1949,Medical_Examinations[],5,FALSE)</f>
        <v>No</v>
      </c>
      <c r="G1949" t="str">
        <f>VLOOKUP(A1949,Medical_Examinations[],6,FALSE)</f>
        <v>No</v>
      </c>
      <c r="H1949">
        <f>VLOOKUP(A1949,Medical_Examinations[],7,FALSE)</f>
        <v>0</v>
      </c>
      <c r="I1949" t="str">
        <f>VLOOKUP(A1949,Medical_Examinations[],8,FALSE)</f>
        <v>No</v>
      </c>
      <c r="J1949" t="str">
        <f>VLOOKUP(A1949,Medical_Examinations[],9,FALSE)</f>
        <v>Normal Weight</v>
      </c>
      <c r="K1949" t="str">
        <f>VLOOKUP(A1949,Medical_Examinations[],10,FALSE)</f>
        <v>Normal</v>
      </c>
      <c r="M1949">
        <f>VLOOKUP(A1949,Hospitalisation_Details__2[],4,FALSE)</f>
        <v>3606.43</v>
      </c>
      <c r="N1949" t="str">
        <f>VLOOKUP(A1949,Hospitalisation_Details__2[],5,FALSE)</f>
        <v>tier - 2</v>
      </c>
      <c r="O1949" t="str">
        <f>VLOOKUP(A1949,Hospitalisation_Details__2[],6,FALSE)</f>
        <v>tier - 1</v>
      </c>
      <c r="P1949" t="str">
        <f>VLOOKUP(A1949,Hospitalisation_Details__2[],7,FALSE)</f>
        <v>R1013</v>
      </c>
    </row>
    <row r="1950" spans="1:16" x14ac:dyDescent="0.35">
      <c r="A1950" t="str">
        <v>Id1949</v>
      </c>
      <c r="B1950" t="str">
        <f>VLOOKUP(A1950,'Customer Names (2)'!A:B, 2,FALSE)</f>
        <v>Ms</v>
      </c>
      <c r="C1950">
        <f>VLOOKUP(A1950,Medical_Examinations[],2,FALSE)</f>
        <v>18.920000000000002</v>
      </c>
      <c r="D1950">
        <f>VLOOKUP(A1950,Medical_Examinations[],3,FALSE)</f>
        <v>5.98</v>
      </c>
      <c r="E1950" t="str">
        <f>VLOOKUP(A1950,Medical_Examinations[],4,FALSE)</f>
        <v>Yes</v>
      </c>
      <c r="F1950" t="str">
        <f>VLOOKUP(A1950,Medical_Examinations[],5,FALSE)</f>
        <v>No</v>
      </c>
      <c r="G1950" t="str">
        <f>VLOOKUP(A1950,Medical_Examinations[],6,FALSE)</f>
        <v>No</v>
      </c>
      <c r="H1950">
        <f>VLOOKUP(A1950,Medical_Examinations[],7,FALSE)</f>
        <v>1</v>
      </c>
      <c r="I1950" t="str">
        <f>VLOOKUP(A1950,Medical_Examinations[],8,FALSE)</f>
        <v>No</v>
      </c>
      <c r="J1950" t="str">
        <f>VLOOKUP(A1950,Medical_Examinations[],9,FALSE)</f>
        <v>Normal Weight</v>
      </c>
      <c r="K1950" t="str">
        <f>VLOOKUP(A1950,Medical_Examinations[],10,FALSE)</f>
        <v>Prediabetes</v>
      </c>
      <c r="M1950">
        <f>VLOOKUP(A1950,Hospitalisation_Details__2[],4,FALSE)</f>
        <v>3603.6</v>
      </c>
      <c r="N1950" t="str">
        <f>VLOOKUP(A1950,Hospitalisation_Details__2[],5,FALSE)</f>
        <v>tier - 2</v>
      </c>
      <c r="O1950" t="str">
        <f>VLOOKUP(A1950,Hospitalisation_Details__2[],6,FALSE)</f>
        <v>tier - 1</v>
      </c>
      <c r="P1950" t="str">
        <f>VLOOKUP(A1950,Hospitalisation_Details__2[],7,FALSE)</f>
        <v>R1013</v>
      </c>
    </row>
    <row r="1951" spans="1:16" x14ac:dyDescent="0.35">
      <c r="A1951" t="str">
        <v>Id1950</v>
      </c>
      <c r="B1951" t="str">
        <f>VLOOKUP(A1951,'Customer Names (2)'!A:B, 2,FALSE)</f>
        <v>Mr</v>
      </c>
      <c r="C1951">
        <f>VLOOKUP(A1951,Medical_Examinations[],2,FALSE)</f>
        <v>37.1</v>
      </c>
      <c r="D1951">
        <f>VLOOKUP(A1951,Medical_Examinations[],3,FALSE)</f>
        <v>5.46</v>
      </c>
      <c r="E1951" t="str">
        <f>VLOOKUP(A1951,Medical_Examinations[],4,FALSE)</f>
        <v>No</v>
      </c>
      <c r="F1951" t="str">
        <f>VLOOKUP(A1951,Medical_Examinations[],5,FALSE)</f>
        <v>No</v>
      </c>
      <c r="G1951" t="str">
        <f>VLOOKUP(A1951,Medical_Examinations[],6,FALSE)</f>
        <v>No</v>
      </c>
      <c r="H1951">
        <f>VLOOKUP(A1951,Medical_Examinations[],7,FALSE)</f>
        <v>0</v>
      </c>
      <c r="I1951" t="str">
        <f>VLOOKUP(A1951,Medical_Examinations[],8,FALSE)</f>
        <v>No</v>
      </c>
      <c r="J1951" t="str">
        <f>VLOOKUP(A1951,Medical_Examinations[],9,FALSE)</f>
        <v>Obesity</v>
      </c>
      <c r="K1951" t="str">
        <f>VLOOKUP(A1951,Medical_Examinations[],10,FALSE)</f>
        <v>Normal</v>
      </c>
      <c r="M1951">
        <f>VLOOKUP(A1951,Hospitalisation_Details__2[],4,FALSE)</f>
        <v>3597.6</v>
      </c>
      <c r="N1951" t="str">
        <f>VLOOKUP(A1951,Hospitalisation_Details__2[],5,FALSE)</f>
        <v>tier - 2</v>
      </c>
      <c r="O1951" t="str">
        <f>VLOOKUP(A1951,Hospitalisation_Details__2[],6,FALSE)</f>
        <v>tier - 2</v>
      </c>
      <c r="P1951" t="str">
        <f>VLOOKUP(A1951,Hospitalisation_Details__2[],7,FALSE)</f>
        <v>R1011</v>
      </c>
    </row>
    <row r="1952" spans="1:16" x14ac:dyDescent="0.35">
      <c r="A1952" t="str">
        <v>Id1951</v>
      </c>
      <c r="B1952" t="str">
        <f>VLOOKUP(A1952,'Customer Names (2)'!A:B, 2,FALSE)</f>
        <v>Ms</v>
      </c>
      <c r="C1952">
        <f>VLOOKUP(A1952,Medical_Examinations[],2,FALSE)</f>
        <v>22.515000000000001</v>
      </c>
      <c r="D1952">
        <f>VLOOKUP(A1952,Medical_Examinations[],3,FALSE)</f>
        <v>4.91</v>
      </c>
      <c r="E1952" t="str">
        <f>VLOOKUP(A1952,Medical_Examinations[],4,FALSE)</f>
        <v>Yes</v>
      </c>
      <c r="F1952" t="str">
        <f>VLOOKUP(A1952,Medical_Examinations[],5,FALSE)</f>
        <v>No</v>
      </c>
      <c r="G1952" t="str">
        <f>VLOOKUP(A1952,Medical_Examinations[],6,FALSE)</f>
        <v>Yes</v>
      </c>
      <c r="H1952">
        <f>VLOOKUP(A1952,Medical_Examinations[],7,FALSE)</f>
        <v>1</v>
      </c>
      <c r="I1952" t="str">
        <f>VLOOKUP(A1952,Medical_Examinations[],8,FALSE)</f>
        <v>No</v>
      </c>
      <c r="J1952" t="str">
        <f>VLOOKUP(A1952,Medical_Examinations[],9,FALSE)</f>
        <v>Normal Weight</v>
      </c>
      <c r="K1952" t="str">
        <f>VLOOKUP(A1952,Medical_Examinations[],10,FALSE)</f>
        <v>Normal</v>
      </c>
      <c r="M1952">
        <f>VLOOKUP(A1952,Hospitalisation_Details__2[],4,FALSE)</f>
        <v>3594.17</v>
      </c>
      <c r="N1952" t="str">
        <f>VLOOKUP(A1952,Hospitalisation_Details__2[],5,FALSE)</f>
        <v>tier - 2</v>
      </c>
      <c r="O1952" t="str">
        <f>VLOOKUP(A1952,Hospitalisation_Details__2[],6,FALSE)</f>
        <v>tier - 2</v>
      </c>
      <c r="P1952" t="str">
        <f>VLOOKUP(A1952,Hospitalisation_Details__2[],7,FALSE)</f>
        <v>R1012</v>
      </c>
    </row>
    <row r="1953" spans="1:16" x14ac:dyDescent="0.35">
      <c r="A1953" t="str">
        <v>Id1952</v>
      </c>
      <c r="B1953" t="str">
        <f>VLOOKUP(A1953,'Customer Names (2)'!A:B, 2,FALSE)</f>
        <v>Mr</v>
      </c>
      <c r="C1953">
        <f>VLOOKUP(A1953,Medical_Examinations[],2,FALSE)</f>
        <v>32.700000000000003</v>
      </c>
      <c r="D1953">
        <f>VLOOKUP(A1953,Medical_Examinations[],3,FALSE)</f>
        <v>4.66</v>
      </c>
      <c r="E1953" t="str">
        <f>VLOOKUP(A1953,Medical_Examinations[],4,FALSE)</f>
        <v>No</v>
      </c>
      <c r="F1953" t="str">
        <f>VLOOKUP(A1953,Medical_Examinations[],5,FALSE)</f>
        <v>No</v>
      </c>
      <c r="G1953" t="str">
        <f>VLOOKUP(A1953,Medical_Examinations[],6,FALSE)</f>
        <v>No</v>
      </c>
      <c r="H1953">
        <f>VLOOKUP(A1953,Medical_Examinations[],7,FALSE)</f>
        <v>0</v>
      </c>
      <c r="I1953" t="str">
        <f>VLOOKUP(A1953,Medical_Examinations[],8,FALSE)</f>
        <v>No</v>
      </c>
      <c r="J1953" t="str">
        <f>VLOOKUP(A1953,Medical_Examinations[],9,FALSE)</f>
        <v>Obesity</v>
      </c>
      <c r="K1953" t="str">
        <f>VLOOKUP(A1953,Medical_Examinations[],10,FALSE)</f>
        <v>Normal</v>
      </c>
      <c r="M1953">
        <f>VLOOKUP(A1953,Hospitalisation_Details__2[],4,FALSE)</f>
        <v>3591.48</v>
      </c>
      <c r="N1953" t="str">
        <f>VLOOKUP(A1953,Hospitalisation_Details__2[],5,FALSE)</f>
        <v>tier - 2</v>
      </c>
      <c r="O1953" t="str">
        <f>VLOOKUP(A1953,Hospitalisation_Details__2[],6,FALSE)</f>
        <v>tier - 3</v>
      </c>
      <c r="P1953" t="str">
        <f>VLOOKUP(A1953,Hospitalisation_Details__2[],7,FALSE)</f>
        <v>R1011</v>
      </c>
    </row>
    <row r="1954" spans="1:16" x14ac:dyDescent="0.35">
      <c r="A1954" t="str">
        <v>Id1953</v>
      </c>
      <c r="B1954" t="str">
        <f>VLOOKUP(A1954,'Customer Names (2)'!A:B, 2,FALSE)</f>
        <v>Mr</v>
      </c>
      <c r="C1954">
        <f>VLOOKUP(A1954,Medical_Examinations[],2,FALSE)</f>
        <v>17.75</v>
      </c>
      <c r="D1954">
        <f>VLOOKUP(A1954,Medical_Examinations[],3,FALSE)</f>
        <v>6.8</v>
      </c>
      <c r="E1954" t="str">
        <f>VLOOKUP(A1954,Medical_Examinations[],4,FALSE)</f>
        <v>Yes</v>
      </c>
      <c r="F1954" t="str">
        <f>VLOOKUP(A1954,Medical_Examinations[],5,FALSE)</f>
        <v>No</v>
      </c>
      <c r="G1954" t="str">
        <f>VLOOKUP(A1954,Medical_Examinations[],6,FALSE)</f>
        <v>No</v>
      </c>
      <c r="H1954">
        <f>VLOOKUP(A1954,Medical_Examinations[],7,FALSE)</f>
        <v>1</v>
      </c>
      <c r="I1954" t="str">
        <f>VLOOKUP(A1954,Medical_Examinations[],8,FALSE)</f>
        <v>No</v>
      </c>
      <c r="J1954" t="str">
        <f>VLOOKUP(A1954,Medical_Examinations[],9,FALSE)</f>
        <v>Underweight</v>
      </c>
      <c r="K1954" t="str">
        <f>VLOOKUP(A1954,Medical_Examinations[],10,FALSE)</f>
        <v>Diabetes</v>
      </c>
      <c r="M1954">
        <f>VLOOKUP(A1954,Hospitalisation_Details__2[],4,FALSE)</f>
        <v>3589.14</v>
      </c>
      <c r="N1954" t="str">
        <f>VLOOKUP(A1954,Hospitalisation_Details__2[],5,FALSE)</f>
        <v>tier - 2</v>
      </c>
      <c r="O1954" t="str">
        <f>VLOOKUP(A1954,Hospitalisation_Details__2[],6,FALSE)</f>
        <v>tier - 2</v>
      </c>
      <c r="P1954" t="str">
        <f>VLOOKUP(A1954,Hospitalisation_Details__2[],7,FALSE)</f>
        <v>R1013</v>
      </c>
    </row>
    <row r="1955" spans="1:16" x14ac:dyDescent="0.35">
      <c r="A1955" t="str">
        <v>Id1954</v>
      </c>
      <c r="B1955" t="str">
        <f>VLOOKUP(A1955,'Customer Names (2)'!A:B, 2,FALSE)</f>
        <v>Ms</v>
      </c>
      <c r="C1955">
        <f>VLOOKUP(A1955,Medical_Examinations[],2,FALSE)</f>
        <v>33.630000000000003</v>
      </c>
      <c r="D1955">
        <f>VLOOKUP(A1955,Medical_Examinations[],3,FALSE)</f>
        <v>4.47</v>
      </c>
      <c r="E1955" t="str">
        <f>VLOOKUP(A1955,Medical_Examinations[],4,FALSE)</f>
        <v>Yes</v>
      </c>
      <c r="F1955" t="str">
        <f>VLOOKUP(A1955,Medical_Examinations[],5,FALSE)</f>
        <v>No</v>
      </c>
      <c r="G1955" t="str">
        <f>VLOOKUP(A1955,Medical_Examinations[],6,FALSE)</f>
        <v>No</v>
      </c>
      <c r="H1955">
        <f>VLOOKUP(A1955,Medical_Examinations[],7,FALSE)</f>
        <v>0</v>
      </c>
      <c r="I1955" t="str">
        <f>VLOOKUP(A1955,Medical_Examinations[],8,FALSE)</f>
        <v>No</v>
      </c>
      <c r="J1955" t="str">
        <f>VLOOKUP(A1955,Medical_Examinations[],9,FALSE)</f>
        <v>Obesity</v>
      </c>
      <c r="K1955" t="str">
        <f>VLOOKUP(A1955,Medical_Examinations[],10,FALSE)</f>
        <v>Normal</v>
      </c>
      <c r="M1955">
        <f>VLOOKUP(A1955,Hospitalisation_Details__2[],4,FALSE)</f>
        <v>3579.83</v>
      </c>
      <c r="N1955" t="str">
        <f>VLOOKUP(A1955,Hospitalisation_Details__2[],5,FALSE)</f>
        <v>tier - 2</v>
      </c>
      <c r="O1955" t="str">
        <f>VLOOKUP(A1955,Hospitalisation_Details__2[],6,FALSE)</f>
        <v>tier - 2</v>
      </c>
      <c r="P1955" t="str">
        <f>VLOOKUP(A1955,Hospitalisation_Details__2[],7,FALSE)</f>
        <v>R1012</v>
      </c>
    </row>
    <row r="1956" spans="1:16" x14ac:dyDescent="0.35">
      <c r="A1956" t="str">
        <v>Id1955</v>
      </c>
      <c r="B1956" t="str">
        <f>VLOOKUP(A1956,'Customer Names (2)'!A:B, 2,FALSE)</f>
        <v>Ms</v>
      </c>
      <c r="C1956">
        <f>VLOOKUP(A1956,Medical_Examinations[],2,FALSE)</f>
        <v>34.799999999999997</v>
      </c>
      <c r="D1956">
        <f>VLOOKUP(A1956,Medical_Examinations[],3,FALSE)</f>
        <v>4.08</v>
      </c>
      <c r="E1956" t="str">
        <f>VLOOKUP(A1956,Medical_Examinations[],4,FALSE)</f>
        <v>Yes</v>
      </c>
      <c r="F1956" t="str">
        <f>VLOOKUP(A1956,Medical_Examinations[],5,FALSE)</f>
        <v>No</v>
      </c>
      <c r="G1956" t="str">
        <f>VLOOKUP(A1956,Medical_Examinations[],6,FALSE)</f>
        <v>No</v>
      </c>
      <c r="H1956">
        <f>VLOOKUP(A1956,Medical_Examinations[],7,FALSE)</f>
        <v>1</v>
      </c>
      <c r="I1956" t="str">
        <f>VLOOKUP(A1956,Medical_Examinations[],8,FALSE)</f>
        <v>No</v>
      </c>
      <c r="J1956" t="str">
        <f>VLOOKUP(A1956,Medical_Examinations[],9,FALSE)</f>
        <v>Obesity</v>
      </c>
      <c r="K1956" t="str">
        <f>VLOOKUP(A1956,Medical_Examinations[],10,FALSE)</f>
        <v>Normal</v>
      </c>
      <c r="M1956">
        <f>VLOOKUP(A1956,Hospitalisation_Details__2[],4,FALSE)</f>
        <v>3578</v>
      </c>
      <c r="N1956" t="str">
        <f>VLOOKUP(A1956,Hospitalisation_Details__2[],5,FALSE)</f>
        <v>tier - 2</v>
      </c>
      <c r="O1956" t="str">
        <f>VLOOKUP(A1956,Hospitalisation_Details__2[],6,FALSE)</f>
        <v>tier - 3</v>
      </c>
      <c r="P1956" t="str">
        <f>VLOOKUP(A1956,Hospitalisation_Details__2[],7,FALSE)</f>
        <v>R1011</v>
      </c>
    </row>
    <row r="1957" spans="1:16" x14ac:dyDescent="0.35">
      <c r="A1957" t="str">
        <v>Id1956</v>
      </c>
      <c r="B1957" t="str">
        <f>VLOOKUP(A1957,'Customer Names (2)'!A:B, 2,FALSE)</f>
        <v>Ms</v>
      </c>
      <c r="C1957">
        <f>VLOOKUP(A1957,Medical_Examinations[],2,FALSE)</f>
        <v>16.809999999999999</v>
      </c>
      <c r="D1957">
        <f>VLOOKUP(A1957,Medical_Examinations[],3,FALSE)</f>
        <v>5.51</v>
      </c>
      <c r="E1957" t="str">
        <f>VLOOKUP(A1957,Medical_Examinations[],4,FALSE)</f>
        <v>Yes</v>
      </c>
      <c r="F1957" t="str">
        <f>VLOOKUP(A1957,Medical_Examinations[],5,FALSE)</f>
        <v>No</v>
      </c>
      <c r="G1957" t="str">
        <f>VLOOKUP(A1957,Medical_Examinations[],6,FALSE)</f>
        <v>No</v>
      </c>
      <c r="H1957">
        <f>VLOOKUP(A1957,Medical_Examinations[],7,FALSE)</f>
        <v>1</v>
      </c>
      <c r="I1957" t="str">
        <f>VLOOKUP(A1957,Medical_Examinations[],8,FALSE)</f>
        <v>No</v>
      </c>
      <c r="J1957" t="str">
        <f>VLOOKUP(A1957,Medical_Examinations[],9,FALSE)</f>
        <v>Underweight</v>
      </c>
      <c r="K1957" t="str">
        <f>VLOOKUP(A1957,Medical_Examinations[],10,FALSE)</f>
        <v>Normal</v>
      </c>
      <c r="M1957">
        <f>VLOOKUP(A1957,Hospitalisation_Details__2[],4,FALSE)</f>
        <v>3569.96</v>
      </c>
      <c r="N1957" t="str">
        <f>VLOOKUP(A1957,Hospitalisation_Details__2[],5,FALSE)</f>
        <v>tier - 2</v>
      </c>
      <c r="O1957" t="str">
        <f>VLOOKUP(A1957,Hospitalisation_Details__2[],6,FALSE)</f>
        <v>tier - 1</v>
      </c>
      <c r="P1957" t="str">
        <f>VLOOKUP(A1957,Hospitalisation_Details__2[],7,FALSE)</f>
        <v>R1012</v>
      </c>
    </row>
    <row r="1958" spans="1:16" x14ac:dyDescent="0.35">
      <c r="A1958" t="str">
        <v>Id1957</v>
      </c>
      <c r="B1958" t="str">
        <f>VLOOKUP(A1958,'Customer Names (2)'!A:B, 2,FALSE)</f>
        <v>Mr</v>
      </c>
      <c r="C1958">
        <f>VLOOKUP(A1958,Medical_Examinations[],2,FALSE)</f>
        <v>16.690000000000001</v>
      </c>
      <c r="D1958">
        <f>VLOOKUP(A1958,Medical_Examinations[],3,FALSE)</f>
        <v>8.4</v>
      </c>
      <c r="E1958" t="str">
        <f>VLOOKUP(A1958,Medical_Examinations[],4,FALSE)</f>
        <v>Yes</v>
      </c>
      <c r="F1958" t="str">
        <f>VLOOKUP(A1958,Medical_Examinations[],5,FALSE)</f>
        <v>No</v>
      </c>
      <c r="G1958" t="str">
        <f>VLOOKUP(A1958,Medical_Examinations[],6,FALSE)</f>
        <v>No</v>
      </c>
      <c r="H1958">
        <f>VLOOKUP(A1958,Medical_Examinations[],7,FALSE)</f>
        <v>0</v>
      </c>
      <c r="I1958" t="str">
        <f>VLOOKUP(A1958,Medical_Examinations[],8,FALSE)</f>
        <v>No</v>
      </c>
      <c r="J1958" t="str">
        <f>VLOOKUP(A1958,Medical_Examinations[],9,FALSE)</f>
        <v>Underweight</v>
      </c>
      <c r="K1958" t="str">
        <f>VLOOKUP(A1958,Medical_Examinations[],10,FALSE)</f>
        <v>Diabetes</v>
      </c>
      <c r="M1958">
        <f>VLOOKUP(A1958,Hospitalisation_Details__2[],4,FALSE)</f>
        <v>3562.87</v>
      </c>
      <c r="N1958" t="str">
        <f>VLOOKUP(A1958,Hospitalisation_Details__2[],5,FALSE)</f>
        <v>tier - 2</v>
      </c>
      <c r="O1958" t="str">
        <f>VLOOKUP(A1958,Hospitalisation_Details__2[],6,FALSE)</f>
        <v>tier - 1</v>
      </c>
      <c r="P1958" t="str">
        <f>VLOOKUP(A1958,Hospitalisation_Details__2[],7,FALSE)</f>
        <v>R1013</v>
      </c>
    </row>
    <row r="1959" spans="1:16" x14ac:dyDescent="0.35">
      <c r="A1959" t="str">
        <v>Id1958</v>
      </c>
      <c r="B1959" t="str">
        <f>VLOOKUP(A1959,'Customer Names (2)'!A:B, 2,FALSE)</f>
        <v>Ms</v>
      </c>
      <c r="C1959">
        <f>VLOOKUP(A1959,Medical_Examinations[],2,FALSE)</f>
        <v>23.21</v>
      </c>
      <c r="D1959">
        <f>VLOOKUP(A1959,Medical_Examinations[],3,FALSE)</f>
        <v>5.14</v>
      </c>
      <c r="E1959" t="str">
        <f>VLOOKUP(A1959,Medical_Examinations[],4,FALSE)</f>
        <v>Yes</v>
      </c>
      <c r="F1959" t="str">
        <f>VLOOKUP(A1959,Medical_Examinations[],5,FALSE)</f>
        <v>No</v>
      </c>
      <c r="G1959" t="str">
        <f>VLOOKUP(A1959,Medical_Examinations[],6,FALSE)</f>
        <v>No</v>
      </c>
      <c r="H1959">
        <f>VLOOKUP(A1959,Medical_Examinations[],7,FALSE)</f>
        <v>1</v>
      </c>
      <c r="I1959" t="str">
        <f>VLOOKUP(A1959,Medical_Examinations[],8,FALSE)</f>
        <v>No</v>
      </c>
      <c r="J1959" t="str">
        <f>VLOOKUP(A1959,Medical_Examinations[],9,FALSE)</f>
        <v>Normal Weight</v>
      </c>
      <c r="K1959" t="str">
        <f>VLOOKUP(A1959,Medical_Examinations[],10,FALSE)</f>
        <v>Normal</v>
      </c>
      <c r="M1959">
        <f>VLOOKUP(A1959,Hospitalisation_Details__2[],4,FALSE)</f>
        <v>3561.89</v>
      </c>
      <c r="N1959" t="str">
        <f>VLOOKUP(A1959,Hospitalisation_Details__2[],5,FALSE)</f>
        <v>tier - 2</v>
      </c>
      <c r="O1959" t="str">
        <f>VLOOKUP(A1959,Hospitalisation_Details__2[],6,FALSE)</f>
        <v>tier - 1</v>
      </c>
      <c r="P1959" t="str">
        <f>VLOOKUP(A1959,Hospitalisation_Details__2[],7,FALSE)</f>
        <v>R1013</v>
      </c>
    </row>
    <row r="1960" spans="1:16" x14ac:dyDescent="0.35">
      <c r="A1960" t="str">
        <v>Id1959</v>
      </c>
      <c r="B1960" t="str">
        <f>VLOOKUP(A1960,'Customer Names (2)'!A:B, 2,FALSE)</f>
        <v>Ms</v>
      </c>
      <c r="C1960">
        <f>VLOOKUP(A1960,Medical_Examinations[],2,FALSE)</f>
        <v>25.175000000000001</v>
      </c>
      <c r="D1960">
        <f>VLOOKUP(A1960,Medical_Examinations[],3,FALSE)</f>
        <v>5.21</v>
      </c>
      <c r="E1960" t="str">
        <f>VLOOKUP(A1960,Medical_Examinations[],4,FALSE)</f>
        <v>Yes</v>
      </c>
      <c r="F1960" t="str">
        <f>VLOOKUP(A1960,Medical_Examinations[],5,FALSE)</f>
        <v>No</v>
      </c>
      <c r="G1960" t="str">
        <f>VLOOKUP(A1960,Medical_Examinations[],6,FALSE)</f>
        <v>No</v>
      </c>
      <c r="H1960">
        <f>VLOOKUP(A1960,Medical_Examinations[],7,FALSE)</f>
        <v>1</v>
      </c>
      <c r="I1960" t="str">
        <f>VLOOKUP(A1960,Medical_Examinations[],8,FALSE)</f>
        <v>No</v>
      </c>
      <c r="J1960" t="str">
        <f>VLOOKUP(A1960,Medical_Examinations[],9,FALSE)</f>
        <v>Overweight</v>
      </c>
      <c r="K1960" t="str">
        <f>VLOOKUP(A1960,Medical_Examinations[],10,FALSE)</f>
        <v>Normal</v>
      </c>
      <c r="M1960">
        <f>VLOOKUP(A1960,Hospitalisation_Details__2[],4,FALSE)</f>
        <v>3558.62</v>
      </c>
      <c r="N1960" t="str">
        <f>VLOOKUP(A1960,Hospitalisation_Details__2[],5,FALSE)</f>
        <v>tier - 2</v>
      </c>
      <c r="O1960" t="str">
        <f>VLOOKUP(A1960,Hospitalisation_Details__2[],6,FALSE)</f>
        <v>tier - 3</v>
      </c>
      <c r="P1960" t="str">
        <f>VLOOKUP(A1960,Hospitalisation_Details__2[],7,FALSE)</f>
        <v>R1024</v>
      </c>
    </row>
    <row r="1961" spans="1:16" x14ac:dyDescent="0.35">
      <c r="A1961" t="str">
        <v>Id1960</v>
      </c>
      <c r="B1961" t="str">
        <f>VLOOKUP(A1961,'Customer Names (2)'!A:B, 2,FALSE)</f>
        <v>Ms</v>
      </c>
      <c r="C1961">
        <f>VLOOKUP(A1961,Medical_Examinations[],2,FALSE)</f>
        <v>34.770000000000003</v>
      </c>
      <c r="D1961">
        <f>VLOOKUP(A1961,Medical_Examinations[],3,FALSE)</f>
        <v>6.23</v>
      </c>
      <c r="E1961" t="str">
        <f>VLOOKUP(A1961,Medical_Examinations[],4,FALSE)</f>
        <v>No</v>
      </c>
      <c r="F1961" t="str">
        <f>VLOOKUP(A1961,Medical_Examinations[],5,FALSE)</f>
        <v>No</v>
      </c>
      <c r="G1961" t="str">
        <f>VLOOKUP(A1961,Medical_Examinations[],6,FALSE)</f>
        <v>No</v>
      </c>
      <c r="H1961">
        <f>VLOOKUP(A1961,Medical_Examinations[],7,FALSE)</f>
        <v>0</v>
      </c>
      <c r="I1961" t="str">
        <f>VLOOKUP(A1961,Medical_Examinations[],8,FALSE)</f>
        <v>No</v>
      </c>
      <c r="J1961" t="str">
        <f>VLOOKUP(A1961,Medical_Examinations[],9,FALSE)</f>
        <v>Obesity</v>
      </c>
      <c r="K1961" t="str">
        <f>VLOOKUP(A1961,Medical_Examinations[],10,FALSE)</f>
        <v>Prediabetes</v>
      </c>
      <c r="M1961">
        <f>VLOOKUP(A1961,Hospitalisation_Details__2[],4,FALSE)</f>
        <v>3556.92</v>
      </c>
      <c r="N1961" t="str">
        <f>VLOOKUP(A1961,Hospitalisation_Details__2[],5,FALSE)</f>
        <v>tier - 2</v>
      </c>
      <c r="O1961" t="str">
        <f>VLOOKUP(A1961,Hospitalisation_Details__2[],6,FALSE)</f>
        <v>tier - 3</v>
      </c>
      <c r="P1961" t="str">
        <f>VLOOKUP(A1961,Hospitalisation_Details__2[],7,FALSE)</f>
        <v>R1012</v>
      </c>
    </row>
    <row r="1962" spans="1:16" x14ac:dyDescent="0.35">
      <c r="A1962" t="str">
        <v>Id1961</v>
      </c>
      <c r="B1962" t="str">
        <f>VLOOKUP(A1962,'Customer Names (2)'!A:B, 2,FALSE)</f>
        <v>Ms</v>
      </c>
      <c r="C1962">
        <f>VLOOKUP(A1962,Medical_Examinations[],2,FALSE)</f>
        <v>27.7</v>
      </c>
      <c r="D1962">
        <f>VLOOKUP(A1962,Medical_Examinations[],3,FALSE)</f>
        <v>5.6</v>
      </c>
      <c r="E1962" t="str">
        <f>VLOOKUP(A1962,Medical_Examinations[],4,FALSE)</f>
        <v>No</v>
      </c>
      <c r="F1962" t="str">
        <f>VLOOKUP(A1962,Medical_Examinations[],5,FALSE)</f>
        <v>No</v>
      </c>
      <c r="G1962" t="str">
        <f>VLOOKUP(A1962,Medical_Examinations[],6,FALSE)</f>
        <v>No</v>
      </c>
      <c r="H1962">
        <f>VLOOKUP(A1962,Medical_Examinations[],7,FALSE)</f>
        <v>1</v>
      </c>
      <c r="I1962" t="str">
        <f>VLOOKUP(A1962,Medical_Examinations[],8,FALSE)</f>
        <v>No</v>
      </c>
      <c r="J1962" t="str">
        <f>VLOOKUP(A1962,Medical_Examinations[],9,FALSE)</f>
        <v>Overweight</v>
      </c>
      <c r="K1962" t="str">
        <f>VLOOKUP(A1962,Medical_Examinations[],10,FALSE)</f>
        <v>Normal</v>
      </c>
      <c r="M1962">
        <f>VLOOKUP(A1962,Hospitalisation_Details__2[],4,FALSE)</f>
        <v>3554.2</v>
      </c>
      <c r="N1962" t="str">
        <f>VLOOKUP(A1962,Hospitalisation_Details__2[],5,FALSE)</f>
        <v>tier - 2</v>
      </c>
      <c r="O1962" t="str">
        <f>VLOOKUP(A1962,Hospitalisation_Details__2[],6,FALSE)</f>
        <v>tier - 3</v>
      </c>
      <c r="P1962" t="str">
        <f>VLOOKUP(A1962,Hospitalisation_Details__2[],7,FALSE)</f>
        <v>R1011</v>
      </c>
    </row>
    <row r="1963" spans="1:16" x14ac:dyDescent="0.35">
      <c r="A1963" t="str">
        <v>Id1962</v>
      </c>
      <c r="B1963" t="str">
        <f>VLOOKUP(A1963,'Customer Names (2)'!A:B, 2,FALSE)</f>
        <v>Mr</v>
      </c>
      <c r="C1963">
        <f>VLOOKUP(A1963,Medical_Examinations[],2,FALSE)</f>
        <v>19.12</v>
      </c>
      <c r="D1963">
        <f>VLOOKUP(A1963,Medical_Examinations[],3,FALSE)</f>
        <v>4.72</v>
      </c>
      <c r="E1963" t="str">
        <f>VLOOKUP(A1963,Medical_Examinations[],4,FALSE)</f>
        <v>Yes</v>
      </c>
      <c r="F1963" t="str">
        <f>VLOOKUP(A1963,Medical_Examinations[],5,FALSE)</f>
        <v>No</v>
      </c>
      <c r="G1963" t="str">
        <f>VLOOKUP(A1963,Medical_Examinations[],6,FALSE)</f>
        <v>No</v>
      </c>
      <c r="H1963">
        <f>VLOOKUP(A1963,Medical_Examinations[],7,FALSE)</f>
        <v>1</v>
      </c>
      <c r="I1963" t="str">
        <f>VLOOKUP(A1963,Medical_Examinations[],8,FALSE)</f>
        <v>No</v>
      </c>
      <c r="J1963" t="str">
        <f>VLOOKUP(A1963,Medical_Examinations[],9,FALSE)</f>
        <v>Normal Weight</v>
      </c>
      <c r="K1963" t="str">
        <f>VLOOKUP(A1963,Medical_Examinations[],10,FALSE)</f>
        <v>Normal</v>
      </c>
      <c r="M1963">
        <f>VLOOKUP(A1963,Hospitalisation_Details__2[],4,FALSE)</f>
        <v>3540.12</v>
      </c>
      <c r="N1963" t="str">
        <f>VLOOKUP(A1963,Hospitalisation_Details__2[],5,FALSE)</f>
        <v>tier - 2</v>
      </c>
      <c r="O1963" t="str">
        <f>VLOOKUP(A1963,Hospitalisation_Details__2[],6,FALSE)</f>
        <v>tier - 1</v>
      </c>
      <c r="P1963" t="str">
        <f>VLOOKUP(A1963,Hospitalisation_Details__2[],7,FALSE)</f>
        <v>R1013</v>
      </c>
    </row>
    <row r="1964" spans="1:16" x14ac:dyDescent="0.35">
      <c r="A1964" t="str">
        <v>Id1963</v>
      </c>
      <c r="B1964" t="str">
        <f>VLOOKUP(A1964,'Customer Names (2)'!A:B, 2,FALSE)</f>
        <v>Mr</v>
      </c>
      <c r="C1964">
        <f>VLOOKUP(A1964,Medical_Examinations[],2,FALSE)</f>
        <v>32.67</v>
      </c>
      <c r="D1964">
        <f>VLOOKUP(A1964,Medical_Examinations[],3,FALSE)</f>
        <v>4.67</v>
      </c>
      <c r="E1964" t="str">
        <f>VLOOKUP(A1964,Medical_Examinations[],4,FALSE)</f>
        <v>No</v>
      </c>
      <c r="F1964" t="str">
        <f>VLOOKUP(A1964,Medical_Examinations[],5,FALSE)</f>
        <v>No</v>
      </c>
      <c r="G1964" t="str">
        <f>VLOOKUP(A1964,Medical_Examinations[],6,FALSE)</f>
        <v>Yes</v>
      </c>
      <c r="H1964">
        <f>VLOOKUP(A1964,Medical_Examinations[],7,FALSE)</f>
        <v>1</v>
      </c>
      <c r="I1964" t="str">
        <f>VLOOKUP(A1964,Medical_Examinations[],8,FALSE)</f>
        <v>No</v>
      </c>
      <c r="J1964" t="str">
        <f>VLOOKUP(A1964,Medical_Examinations[],9,FALSE)</f>
        <v>Obesity</v>
      </c>
      <c r="K1964" t="str">
        <f>VLOOKUP(A1964,Medical_Examinations[],10,FALSE)</f>
        <v>Normal</v>
      </c>
      <c r="M1964">
        <f>VLOOKUP(A1964,Hospitalisation_Details__2[],4,FALSE)</f>
        <v>3538.9</v>
      </c>
      <c r="N1964" t="str">
        <f>VLOOKUP(A1964,Hospitalisation_Details__2[],5,FALSE)</f>
        <v>tier - 2</v>
      </c>
      <c r="O1964" t="str">
        <f>VLOOKUP(A1964,Hospitalisation_Details__2[],6,FALSE)</f>
        <v>tier - 2</v>
      </c>
      <c r="P1964" t="str">
        <f>VLOOKUP(A1964,Hospitalisation_Details__2[],7,FALSE)</f>
        <v>R1012</v>
      </c>
    </row>
    <row r="1965" spans="1:16" x14ac:dyDescent="0.35">
      <c r="A1965" t="str">
        <v>Id1964</v>
      </c>
      <c r="B1965" t="str">
        <f>VLOOKUP(A1965,'Customer Names (2)'!A:B, 2,FALSE)</f>
        <v>Mr</v>
      </c>
      <c r="C1965">
        <f>VLOOKUP(A1965,Medical_Examinations[],2,FALSE)</f>
        <v>28.5</v>
      </c>
      <c r="D1965">
        <f>VLOOKUP(A1965,Medical_Examinations[],3,FALSE)</f>
        <v>6.11</v>
      </c>
      <c r="E1965" t="str">
        <f>VLOOKUP(A1965,Medical_Examinations[],4,FALSE)</f>
        <v>No</v>
      </c>
      <c r="F1965" t="str">
        <f>VLOOKUP(A1965,Medical_Examinations[],5,FALSE)</f>
        <v>No</v>
      </c>
      <c r="G1965" t="str">
        <f>VLOOKUP(A1965,Medical_Examinations[],6,FALSE)</f>
        <v>No</v>
      </c>
      <c r="H1965">
        <f>VLOOKUP(A1965,Medical_Examinations[],7,FALSE)</f>
        <v>1</v>
      </c>
      <c r="I1965" t="str">
        <f>VLOOKUP(A1965,Medical_Examinations[],8,FALSE)</f>
        <v>No</v>
      </c>
      <c r="J1965" t="str">
        <f>VLOOKUP(A1965,Medical_Examinations[],9,FALSE)</f>
        <v>Overweight</v>
      </c>
      <c r="K1965" t="str">
        <f>VLOOKUP(A1965,Medical_Examinations[],10,FALSE)</f>
        <v>Prediabetes</v>
      </c>
      <c r="M1965">
        <f>VLOOKUP(A1965,Hospitalisation_Details__2[],4,FALSE)</f>
        <v>3537.7</v>
      </c>
      <c r="N1965" t="str">
        <f>VLOOKUP(A1965,Hospitalisation_Details__2[],5,FALSE)</f>
        <v>tier - 3</v>
      </c>
      <c r="O1965" t="str">
        <f>VLOOKUP(A1965,Hospitalisation_Details__2[],6,FALSE)</f>
        <v>tier - 3</v>
      </c>
      <c r="P1965" t="str">
        <f>VLOOKUP(A1965,Hospitalisation_Details__2[],7,FALSE)</f>
        <v>R1012</v>
      </c>
    </row>
    <row r="1966" spans="1:16" x14ac:dyDescent="0.35">
      <c r="A1966" t="str">
        <v>Id1965</v>
      </c>
      <c r="B1966" t="str">
        <f>VLOOKUP(A1966,'Customer Names (2)'!A:B, 2,FALSE)</f>
        <v>Ms</v>
      </c>
      <c r="C1966">
        <f>VLOOKUP(A1966,Medical_Examinations[],2,FALSE)</f>
        <v>39.270000000000003</v>
      </c>
      <c r="D1966">
        <f>VLOOKUP(A1966,Medical_Examinations[],3,FALSE)</f>
        <v>6.25</v>
      </c>
      <c r="E1966" t="str">
        <f>VLOOKUP(A1966,Medical_Examinations[],4,FALSE)</f>
        <v>No</v>
      </c>
      <c r="F1966" t="str">
        <f>VLOOKUP(A1966,Medical_Examinations[],5,FALSE)</f>
        <v>No</v>
      </c>
      <c r="G1966" t="str">
        <f>VLOOKUP(A1966,Medical_Examinations[],6,FALSE)</f>
        <v>No</v>
      </c>
      <c r="H1966">
        <f>VLOOKUP(A1966,Medical_Examinations[],7,FALSE)</f>
        <v>0</v>
      </c>
      <c r="I1966" t="str">
        <f>VLOOKUP(A1966,Medical_Examinations[],8,FALSE)</f>
        <v>No</v>
      </c>
      <c r="J1966" t="str">
        <f>VLOOKUP(A1966,Medical_Examinations[],9,FALSE)</f>
        <v>Obesity</v>
      </c>
      <c r="K1966" t="str">
        <f>VLOOKUP(A1966,Medical_Examinations[],10,FALSE)</f>
        <v>Prediabetes</v>
      </c>
      <c r="M1966">
        <f>VLOOKUP(A1966,Hospitalisation_Details__2[],4,FALSE)</f>
        <v>3500.61</v>
      </c>
      <c r="N1966" t="str">
        <f>VLOOKUP(A1966,Hospitalisation_Details__2[],5,FALSE)</f>
        <v>tier - 2</v>
      </c>
      <c r="O1966" t="str">
        <f>VLOOKUP(A1966,Hospitalisation_Details__2[],6,FALSE)</f>
        <v>tier - 2</v>
      </c>
      <c r="P1966" t="str">
        <f>VLOOKUP(A1966,Hospitalisation_Details__2[],7,FALSE)</f>
        <v>R1013</v>
      </c>
    </row>
    <row r="1967" spans="1:16" x14ac:dyDescent="0.35">
      <c r="A1967" t="str">
        <v>Id1966</v>
      </c>
      <c r="B1967" t="str">
        <f>VLOOKUP(A1967,'Customer Names (2)'!A:B, 2,FALSE)</f>
        <v>Mr</v>
      </c>
      <c r="C1967">
        <f>VLOOKUP(A1967,Medical_Examinations[],2,FALSE)</f>
        <v>32.49</v>
      </c>
      <c r="D1967">
        <f>VLOOKUP(A1967,Medical_Examinations[],3,FALSE)</f>
        <v>4</v>
      </c>
      <c r="E1967" t="str">
        <f>VLOOKUP(A1967,Medical_Examinations[],4,FALSE)</f>
        <v>Yes</v>
      </c>
      <c r="F1967" t="str">
        <f>VLOOKUP(A1967,Medical_Examinations[],5,FALSE)</f>
        <v>No</v>
      </c>
      <c r="G1967" t="str">
        <f>VLOOKUP(A1967,Medical_Examinations[],6,FALSE)</f>
        <v>No</v>
      </c>
      <c r="H1967">
        <f>VLOOKUP(A1967,Medical_Examinations[],7,FALSE)</f>
        <v>0</v>
      </c>
      <c r="I1967" t="str">
        <f>VLOOKUP(A1967,Medical_Examinations[],8,FALSE)</f>
        <v>No</v>
      </c>
      <c r="J1967" t="str">
        <f>VLOOKUP(A1967,Medical_Examinations[],9,FALSE)</f>
        <v>Obesity</v>
      </c>
      <c r="K1967" t="str">
        <f>VLOOKUP(A1967,Medical_Examinations[],10,FALSE)</f>
        <v>Normal</v>
      </c>
      <c r="M1967">
        <f>VLOOKUP(A1967,Hospitalisation_Details__2[],4,FALSE)</f>
        <v>3490.55</v>
      </c>
      <c r="N1967" t="str">
        <f>VLOOKUP(A1967,Hospitalisation_Details__2[],5,FALSE)</f>
        <v>tier - 1</v>
      </c>
      <c r="O1967" t="str">
        <f>VLOOKUP(A1967,Hospitalisation_Details__2[],6,FALSE)</f>
        <v>tier - 2</v>
      </c>
      <c r="P1967" t="str">
        <f>VLOOKUP(A1967,Hospitalisation_Details__2[],7,FALSE)</f>
        <v>R1015</v>
      </c>
    </row>
    <row r="1968" spans="1:16" x14ac:dyDescent="0.35">
      <c r="A1968" t="str">
        <v>Id1967</v>
      </c>
      <c r="B1968" t="str">
        <f>VLOOKUP(A1968,'Customer Names (2)'!A:B, 2,FALSE)</f>
        <v>Mr</v>
      </c>
      <c r="C1968">
        <f>VLOOKUP(A1968,Medical_Examinations[],2,FALSE)</f>
        <v>23.7</v>
      </c>
      <c r="D1968">
        <f>VLOOKUP(A1968,Medical_Examinations[],3,FALSE)</f>
        <v>5.55</v>
      </c>
      <c r="E1968" t="str">
        <f>VLOOKUP(A1968,Medical_Examinations[],4,FALSE)</f>
        <v>Yes</v>
      </c>
      <c r="F1968" t="str">
        <f>VLOOKUP(A1968,Medical_Examinations[],5,FALSE)</f>
        <v>No</v>
      </c>
      <c r="G1968" t="str">
        <f>VLOOKUP(A1968,Medical_Examinations[],6,FALSE)</f>
        <v>No</v>
      </c>
      <c r="H1968">
        <f>VLOOKUP(A1968,Medical_Examinations[],7,FALSE)</f>
        <v>0</v>
      </c>
      <c r="I1968" t="str">
        <f>VLOOKUP(A1968,Medical_Examinations[],8,FALSE)</f>
        <v>No</v>
      </c>
      <c r="J1968" t="str">
        <f>VLOOKUP(A1968,Medical_Examinations[],9,FALSE)</f>
        <v>Normal Weight</v>
      </c>
      <c r="K1968" t="str">
        <f>VLOOKUP(A1968,Medical_Examinations[],10,FALSE)</f>
        <v>Normal</v>
      </c>
      <c r="M1968">
        <f>VLOOKUP(A1968,Hospitalisation_Details__2[],4,FALSE)</f>
        <v>3484.33</v>
      </c>
      <c r="N1968" t="str">
        <f>VLOOKUP(A1968,Hospitalisation_Details__2[],5,FALSE)</f>
        <v>tier - 3</v>
      </c>
      <c r="O1968" t="str">
        <f>VLOOKUP(A1968,Hospitalisation_Details__2[],6,FALSE)</f>
        <v>tier - 3</v>
      </c>
      <c r="P1968" t="str">
        <f>VLOOKUP(A1968,Hospitalisation_Details__2[],7,FALSE)</f>
        <v>R1011</v>
      </c>
    </row>
    <row r="1969" spans="1:16" x14ac:dyDescent="0.35">
      <c r="A1969" t="str">
        <v>Id1968</v>
      </c>
      <c r="B1969" t="str">
        <f>VLOOKUP(A1969,'Customer Names (2)'!A:B, 2,FALSE)</f>
        <v>Mr</v>
      </c>
      <c r="C1969">
        <f>VLOOKUP(A1969,Medical_Examinations[],2,FALSE)</f>
        <v>30.4</v>
      </c>
      <c r="D1969">
        <f>VLOOKUP(A1969,Medical_Examinations[],3,FALSE)</f>
        <v>5.95</v>
      </c>
      <c r="E1969" t="str">
        <f>VLOOKUP(A1969,Medical_Examinations[],4,FALSE)</f>
        <v>No</v>
      </c>
      <c r="F1969" t="str">
        <f>VLOOKUP(A1969,Medical_Examinations[],5,FALSE)</f>
        <v>yes</v>
      </c>
      <c r="G1969" t="str">
        <f>VLOOKUP(A1969,Medical_Examinations[],6,FALSE)</f>
        <v>No</v>
      </c>
      <c r="H1969">
        <f>VLOOKUP(A1969,Medical_Examinations[],7,FALSE)</f>
        <v>1</v>
      </c>
      <c r="I1969" t="str">
        <f>VLOOKUP(A1969,Medical_Examinations[],8,FALSE)</f>
        <v>No</v>
      </c>
      <c r="J1969" t="str">
        <f>VLOOKUP(A1969,Medical_Examinations[],9,FALSE)</f>
        <v>Obesity</v>
      </c>
      <c r="K1969" t="str">
        <f>VLOOKUP(A1969,Medical_Examinations[],10,FALSE)</f>
        <v>Prediabetes</v>
      </c>
      <c r="M1969">
        <f>VLOOKUP(A1969,Hospitalisation_Details__2[],4,FALSE)</f>
        <v>3481.87</v>
      </c>
      <c r="N1969" t="str">
        <f>VLOOKUP(A1969,Hospitalisation_Details__2[],5,FALSE)</f>
        <v>tier - 2</v>
      </c>
      <c r="O1969" t="str">
        <f>VLOOKUP(A1969,Hospitalisation_Details__2[],6,FALSE)</f>
        <v>tier - 3</v>
      </c>
      <c r="P1969" t="str">
        <f>VLOOKUP(A1969,Hospitalisation_Details__2[],7,FALSE)</f>
        <v>R1016</v>
      </c>
    </row>
    <row r="1970" spans="1:16" x14ac:dyDescent="0.35">
      <c r="A1970" t="str">
        <v>Id1969</v>
      </c>
      <c r="B1970" t="str">
        <f>VLOOKUP(A1970,'Customer Names (2)'!A:B, 2,FALSE)</f>
        <v>Mr</v>
      </c>
      <c r="C1970">
        <f>VLOOKUP(A1970,Medical_Examinations[],2,FALSE)</f>
        <v>38.94</v>
      </c>
      <c r="D1970">
        <f>VLOOKUP(A1970,Medical_Examinations[],3,FALSE)</f>
        <v>4.3600000000000003</v>
      </c>
      <c r="E1970" t="str">
        <f>VLOOKUP(A1970,Medical_Examinations[],4,FALSE)</f>
        <v>No</v>
      </c>
      <c r="F1970" t="str">
        <f>VLOOKUP(A1970,Medical_Examinations[],5,FALSE)</f>
        <v>No</v>
      </c>
      <c r="G1970" t="str">
        <f>VLOOKUP(A1970,Medical_Examinations[],6,FALSE)</f>
        <v>Yes</v>
      </c>
      <c r="H1970">
        <f>VLOOKUP(A1970,Medical_Examinations[],7,FALSE)</f>
        <v>1</v>
      </c>
      <c r="I1970" t="str">
        <f>VLOOKUP(A1970,Medical_Examinations[],8,FALSE)</f>
        <v>No</v>
      </c>
      <c r="J1970" t="str">
        <f>VLOOKUP(A1970,Medical_Examinations[],9,FALSE)</f>
        <v>Obesity</v>
      </c>
      <c r="K1970" t="str">
        <f>VLOOKUP(A1970,Medical_Examinations[],10,FALSE)</f>
        <v>Normal</v>
      </c>
      <c r="M1970">
        <f>VLOOKUP(A1970,Hospitalisation_Details__2[],4,FALSE)</f>
        <v>3471.41</v>
      </c>
      <c r="N1970" t="str">
        <f>VLOOKUP(A1970,Hospitalisation_Details__2[],5,FALSE)</f>
        <v>tier - 2</v>
      </c>
      <c r="O1970" t="str">
        <f>VLOOKUP(A1970,Hospitalisation_Details__2[],6,FALSE)</f>
        <v>tier - 2</v>
      </c>
      <c r="P1970" t="str">
        <f>VLOOKUP(A1970,Hospitalisation_Details__2[],7,FALSE)</f>
        <v>R1013</v>
      </c>
    </row>
    <row r="1971" spans="1:16" x14ac:dyDescent="0.35">
      <c r="A1971" t="str">
        <v>Id1970</v>
      </c>
      <c r="B1971" t="str">
        <f>VLOOKUP(A1971,'Customer Names (2)'!A:B, 2,FALSE)</f>
        <v>Mrs</v>
      </c>
      <c r="C1971">
        <f>VLOOKUP(A1971,Medical_Examinations[],2,FALSE)</f>
        <v>31.02</v>
      </c>
      <c r="D1971">
        <f>VLOOKUP(A1971,Medical_Examinations[],3,FALSE)</f>
        <v>4.84</v>
      </c>
      <c r="E1971" t="str">
        <f>VLOOKUP(A1971,Medical_Examinations[],4,FALSE)</f>
        <v>No</v>
      </c>
      <c r="F1971" t="str">
        <f>VLOOKUP(A1971,Medical_Examinations[],5,FALSE)</f>
        <v>No</v>
      </c>
      <c r="G1971" t="str">
        <f>VLOOKUP(A1971,Medical_Examinations[],6,FALSE)</f>
        <v>Yes</v>
      </c>
      <c r="H1971">
        <f>VLOOKUP(A1971,Medical_Examinations[],7,FALSE)</f>
        <v>1</v>
      </c>
      <c r="I1971" t="str">
        <f>VLOOKUP(A1971,Medical_Examinations[],8,FALSE)</f>
        <v>No</v>
      </c>
      <c r="J1971" t="str">
        <f>VLOOKUP(A1971,Medical_Examinations[],9,FALSE)</f>
        <v>Obesity</v>
      </c>
      <c r="K1971" t="str">
        <f>VLOOKUP(A1971,Medical_Examinations[],10,FALSE)</f>
        <v>Normal</v>
      </c>
      <c r="M1971">
        <f>VLOOKUP(A1971,Hospitalisation_Details__2[],4,FALSE)</f>
        <v>3463.51</v>
      </c>
      <c r="N1971" t="str">
        <f>VLOOKUP(A1971,Hospitalisation_Details__2[],5,FALSE)</f>
        <v>tier - 2</v>
      </c>
      <c r="O1971" t="str">
        <f>VLOOKUP(A1971,Hospitalisation_Details__2[],6,FALSE)</f>
        <v>tier - 1</v>
      </c>
      <c r="P1971" t="str">
        <f>VLOOKUP(A1971,Hospitalisation_Details__2[],7,FALSE)</f>
        <v>R1025</v>
      </c>
    </row>
    <row r="1972" spans="1:16" x14ac:dyDescent="0.35">
      <c r="A1972" t="str">
        <v>Id1971</v>
      </c>
      <c r="B1972" t="str">
        <f>VLOOKUP(A1972,'Customer Names (2)'!A:B, 2,FALSE)</f>
        <v>Ms</v>
      </c>
      <c r="C1972">
        <f>VLOOKUP(A1972,Medical_Examinations[],2,FALSE)</f>
        <v>17.5</v>
      </c>
      <c r="D1972">
        <f>VLOOKUP(A1972,Medical_Examinations[],3,FALSE)</f>
        <v>4.5599999999999996</v>
      </c>
      <c r="E1972" t="str">
        <f>VLOOKUP(A1972,Medical_Examinations[],4,FALSE)</f>
        <v>No</v>
      </c>
      <c r="F1972" t="str">
        <f>VLOOKUP(A1972,Medical_Examinations[],5,FALSE)</f>
        <v>No</v>
      </c>
      <c r="G1972" t="str">
        <f>VLOOKUP(A1972,Medical_Examinations[],6,FALSE)</f>
        <v>No</v>
      </c>
      <c r="H1972">
        <f>VLOOKUP(A1972,Medical_Examinations[],7,FALSE)</f>
        <v>1</v>
      </c>
      <c r="I1972" t="str">
        <f>VLOOKUP(A1972,Medical_Examinations[],8,FALSE)</f>
        <v>No</v>
      </c>
      <c r="J1972" t="str">
        <f>VLOOKUP(A1972,Medical_Examinations[],9,FALSE)</f>
        <v>Underweight</v>
      </c>
      <c r="K1972" t="str">
        <f>VLOOKUP(A1972,Medical_Examinations[],10,FALSE)</f>
        <v>Normal</v>
      </c>
      <c r="M1972">
        <f>VLOOKUP(A1972,Hospitalisation_Details__2[],4,FALSE)</f>
        <v>3453.77</v>
      </c>
      <c r="N1972" t="str">
        <f>VLOOKUP(A1972,Hospitalisation_Details__2[],5,FALSE)</f>
        <v>tier - 2</v>
      </c>
      <c r="O1972" t="str">
        <f>VLOOKUP(A1972,Hospitalisation_Details__2[],6,FALSE)</f>
        <v>tier - 1</v>
      </c>
      <c r="P1972" t="str">
        <f>VLOOKUP(A1972,Hospitalisation_Details__2[],7,FALSE)</f>
        <v>R1011</v>
      </c>
    </row>
    <row r="1973" spans="1:16" x14ac:dyDescent="0.35">
      <c r="A1973" t="str">
        <v>Id1972</v>
      </c>
      <c r="B1973" t="str">
        <f>VLOOKUP(A1973,'Customer Names (2)'!A:B, 2,FALSE)</f>
        <v>Mr</v>
      </c>
      <c r="C1973">
        <f>VLOOKUP(A1973,Medical_Examinations[],2,FALSE)</f>
        <v>34.799999999999997</v>
      </c>
      <c r="D1973">
        <f>VLOOKUP(A1973,Medical_Examinations[],3,FALSE)</f>
        <v>4.42</v>
      </c>
      <c r="E1973" t="str">
        <f>VLOOKUP(A1973,Medical_Examinations[],4,FALSE)</f>
        <v>Yes</v>
      </c>
      <c r="F1973" t="str">
        <f>VLOOKUP(A1973,Medical_Examinations[],5,FALSE)</f>
        <v>yes</v>
      </c>
      <c r="G1973" t="str">
        <f>VLOOKUP(A1973,Medical_Examinations[],6,FALSE)</f>
        <v>No</v>
      </c>
      <c r="H1973">
        <f>VLOOKUP(A1973,Medical_Examinations[],7,FALSE)</f>
        <v>2</v>
      </c>
      <c r="I1973" t="str">
        <f>VLOOKUP(A1973,Medical_Examinations[],8,FALSE)</f>
        <v>No</v>
      </c>
      <c r="J1973" t="str">
        <f>VLOOKUP(A1973,Medical_Examinations[],9,FALSE)</f>
        <v>Obesity</v>
      </c>
      <c r="K1973" t="str">
        <f>VLOOKUP(A1973,Medical_Examinations[],10,FALSE)</f>
        <v>Normal</v>
      </c>
      <c r="M1973">
        <f>VLOOKUP(A1973,Hospitalisation_Details__2[],4,FALSE)</f>
        <v>3443.06</v>
      </c>
      <c r="N1973" t="str">
        <f>VLOOKUP(A1973,Hospitalisation_Details__2[],5,FALSE)</f>
        <v>tier - 2</v>
      </c>
      <c r="O1973" t="str">
        <f>VLOOKUP(A1973,Hospitalisation_Details__2[],6,FALSE)</f>
        <v>tier - 1</v>
      </c>
      <c r="P1973" t="str">
        <f>VLOOKUP(A1973,Hospitalisation_Details__2[],7,FALSE)</f>
        <v>R1011</v>
      </c>
    </row>
    <row r="1974" spans="1:16" x14ac:dyDescent="0.35">
      <c r="A1974" t="str">
        <v>Id1973</v>
      </c>
      <c r="B1974" t="str">
        <f>VLOOKUP(A1974,'Customer Names (2)'!A:B, 2,FALSE)</f>
        <v>Mr</v>
      </c>
      <c r="C1974">
        <f>VLOOKUP(A1974,Medical_Examinations[],2,FALSE)</f>
        <v>17.3</v>
      </c>
      <c r="D1974">
        <f>VLOOKUP(A1974,Medical_Examinations[],3,FALSE)</f>
        <v>7.66</v>
      </c>
      <c r="E1974" t="str">
        <f>VLOOKUP(A1974,Medical_Examinations[],4,FALSE)</f>
        <v>Yes</v>
      </c>
      <c r="F1974" t="str">
        <f>VLOOKUP(A1974,Medical_Examinations[],5,FALSE)</f>
        <v>No</v>
      </c>
      <c r="G1974" t="str">
        <f>VLOOKUP(A1974,Medical_Examinations[],6,FALSE)</f>
        <v>No</v>
      </c>
      <c r="H1974">
        <f>VLOOKUP(A1974,Medical_Examinations[],7,FALSE)</f>
        <v>1</v>
      </c>
      <c r="I1974" t="str">
        <f>VLOOKUP(A1974,Medical_Examinations[],8,FALSE)</f>
        <v>No</v>
      </c>
      <c r="J1974" t="str">
        <f>VLOOKUP(A1974,Medical_Examinations[],9,FALSE)</f>
        <v>Underweight</v>
      </c>
      <c r="K1974" t="str">
        <f>VLOOKUP(A1974,Medical_Examinations[],10,FALSE)</f>
        <v>Diabetes</v>
      </c>
      <c r="M1974">
        <f>VLOOKUP(A1974,Hospitalisation_Details__2[],4,FALSE)</f>
        <v>3436.5</v>
      </c>
      <c r="N1974" t="str">
        <f>VLOOKUP(A1974,Hospitalisation_Details__2[],5,FALSE)</f>
        <v>tier - 2</v>
      </c>
      <c r="O1974" t="str">
        <f>VLOOKUP(A1974,Hospitalisation_Details__2[],6,FALSE)</f>
        <v>tier - 1</v>
      </c>
      <c r="P1974" t="str">
        <f>VLOOKUP(A1974,Hospitalisation_Details__2[],7,FALSE)</f>
        <v>R1013</v>
      </c>
    </row>
    <row r="1975" spans="1:16" x14ac:dyDescent="0.35">
      <c r="A1975" t="str">
        <v>Id1974</v>
      </c>
      <c r="B1975" t="str">
        <f>VLOOKUP(A1975,'Customer Names (2)'!A:B, 2,FALSE)</f>
        <v>Ms</v>
      </c>
      <c r="C1975">
        <f>VLOOKUP(A1975,Medical_Examinations[],2,FALSE)</f>
        <v>32.25</v>
      </c>
      <c r="D1975">
        <f>VLOOKUP(A1975,Medical_Examinations[],3,FALSE)</f>
        <v>5.2</v>
      </c>
      <c r="E1975" t="str">
        <f>VLOOKUP(A1975,Medical_Examinations[],4,FALSE)</f>
        <v>Yes</v>
      </c>
      <c r="F1975" t="str">
        <f>VLOOKUP(A1975,Medical_Examinations[],5,FALSE)</f>
        <v>No</v>
      </c>
      <c r="G1975" t="str">
        <f>VLOOKUP(A1975,Medical_Examinations[],6,FALSE)</f>
        <v>No</v>
      </c>
      <c r="H1975">
        <f>VLOOKUP(A1975,Medical_Examinations[],7,FALSE)</f>
        <v>0</v>
      </c>
      <c r="I1975" t="str">
        <f>VLOOKUP(A1975,Medical_Examinations[],8,FALSE)</f>
        <v>No</v>
      </c>
      <c r="J1975" t="str">
        <f>VLOOKUP(A1975,Medical_Examinations[],9,FALSE)</f>
        <v>Obesity</v>
      </c>
      <c r="K1975" t="str">
        <f>VLOOKUP(A1975,Medical_Examinations[],10,FALSE)</f>
        <v>Normal</v>
      </c>
      <c r="M1975">
        <f>VLOOKUP(A1975,Hospitalisation_Details__2[],4,FALSE)</f>
        <v>3434.38</v>
      </c>
      <c r="N1975" t="str">
        <f>VLOOKUP(A1975,Hospitalisation_Details__2[],5,FALSE)</f>
        <v>tier - 2</v>
      </c>
      <c r="O1975" t="str">
        <f>VLOOKUP(A1975,Hospitalisation_Details__2[],6,FALSE)</f>
        <v>tier - 2</v>
      </c>
      <c r="P1975" t="str">
        <f>VLOOKUP(A1975,Hospitalisation_Details__2[],7,FALSE)</f>
        <v>R1011</v>
      </c>
    </row>
    <row r="1976" spans="1:16" x14ac:dyDescent="0.35">
      <c r="A1976" t="str">
        <v>Id1975</v>
      </c>
      <c r="B1976" t="str">
        <f>VLOOKUP(A1976,'Customer Names (2)'!A:B, 2,FALSE)</f>
        <v>Ms</v>
      </c>
      <c r="C1976">
        <f>VLOOKUP(A1976,Medical_Examinations[],2,FALSE)</f>
        <v>42.4</v>
      </c>
      <c r="D1976">
        <f>VLOOKUP(A1976,Medical_Examinations[],3,FALSE)</f>
        <v>5.53</v>
      </c>
      <c r="E1976" t="str">
        <f>VLOOKUP(A1976,Medical_Examinations[],4,FALSE)</f>
        <v>Yes</v>
      </c>
      <c r="F1976" t="str">
        <f>VLOOKUP(A1976,Medical_Examinations[],5,FALSE)</f>
        <v>No</v>
      </c>
      <c r="G1976" t="str">
        <f>VLOOKUP(A1976,Medical_Examinations[],6,FALSE)</f>
        <v>No</v>
      </c>
      <c r="H1976">
        <f>VLOOKUP(A1976,Medical_Examinations[],7,FALSE)</f>
        <v>0</v>
      </c>
      <c r="I1976" t="str">
        <f>VLOOKUP(A1976,Medical_Examinations[],8,FALSE)</f>
        <v>No</v>
      </c>
      <c r="J1976" t="str">
        <f>VLOOKUP(A1976,Medical_Examinations[],9,FALSE)</f>
        <v>Obesity</v>
      </c>
      <c r="K1976" t="str">
        <f>VLOOKUP(A1976,Medical_Examinations[],10,FALSE)</f>
        <v>Normal</v>
      </c>
      <c r="M1976">
        <f>VLOOKUP(A1976,Hospitalisation_Details__2[],4,FALSE)</f>
        <v>3410.32</v>
      </c>
      <c r="N1976" t="str">
        <f>VLOOKUP(A1976,Hospitalisation_Details__2[],5,FALSE)</f>
        <v>tier - 2</v>
      </c>
      <c r="O1976" t="str">
        <f>VLOOKUP(A1976,Hospitalisation_Details__2[],6,FALSE)</f>
        <v>tier - 2</v>
      </c>
      <c r="P1976" t="str">
        <f>VLOOKUP(A1976,Hospitalisation_Details__2[],7,FALSE)</f>
        <v>R1011</v>
      </c>
    </row>
    <row r="1977" spans="1:16" x14ac:dyDescent="0.35">
      <c r="A1977" t="str">
        <v>Id1976</v>
      </c>
      <c r="B1977" t="str">
        <f>VLOOKUP(A1977,'Customer Names (2)'!A:B, 2,FALSE)</f>
        <v>Ms</v>
      </c>
      <c r="C1977">
        <f>VLOOKUP(A1977,Medical_Examinations[],2,FALSE)</f>
        <v>38.664999999999999</v>
      </c>
      <c r="D1977">
        <f>VLOOKUP(A1977,Medical_Examinations[],3,FALSE)</f>
        <v>4.8600000000000003</v>
      </c>
      <c r="E1977" t="str">
        <f>VLOOKUP(A1977,Medical_Examinations[],4,FALSE)</f>
        <v>No</v>
      </c>
      <c r="F1977" t="str">
        <f>VLOOKUP(A1977,Medical_Examinations[],5,FALSE)</f>
        <v>yes</v>
      </c>
      <c r="G1977" t="str">
        <f>VLOOKUP(A1977,Medical_Examinations[],6,FALSE)</f>
        <v>No</v>
      </c>
      <c r="H1977">
        <f>VLOOKUP(A1977,Medical_Examinations[],7,FALSE)</f>
        <v>1</v>
      </c>
      <c r="I1977" t="str">
        <f>VLOOKUP(A1977,Medical_Examinations[],8,FALSE)</f>
        <v>No</v>
      </c>
      <c r="J1977" t="str">
        <f>VLOOKUP(A1977,Medical_Examinations[],9,FALSE)</f>
        <v>Obesity</v>
      </c>
      <c r="K1977" t="str">
        <f>VLOOKUP(A1977,Medical_Examinations[],10,FALSE)</f>
        <v>Normal</v>
      </c>
      <c r="M1977">
        <f>VLOOKUP(A1977,Hospitalisation_Details__2[],4,FALSE)</f>
        <v>3393.36</v>
      </c>
      <c r="N1977" t="str">
        <f>VLOOKUP(A1977,Hospitalisation_Details__2[],5,FALSE)</f>
        <v>tier - 2</v>
      </c>
      <c r="O1977" t="str">
        <f>VLOOKUP(A1977,Hospitalisation_Details__2[],6,FALSE)</f>
        <v>tier - 2</v>
      </c>
      <c r="P1977" t="str">
        <f>VLOOKUP(A1977,Hospitalisation_Details__2[],7,FALSE)</f>
        <v>R1023</v>
      </c>
    </row>
    <row r="1978" spans="1:16" x14ac:dyDescent="0.35">
      <c r="A1978" t="str">
        <v>Id1977</v>
      </c>
      <c r="B1978" t="str">
        <f>VLOOKUP(A1978,'Customer Names (2)'!A:B, 2,FALSE)</f>
        <v>Ms</v>
      </c>
      <c r="C1978">
        <f>VLOOKUP(A1978,Medical_Examinations[],2,FALSE)</f>
        <v>29.92</v>
      </c>
      <c r="D1978">
        <f>VLOOKUP(A1978,Medical_Examinations[],3,FALSE)</f>
        <v>5.49</v>
      </c>
      <c r="E1978" t="str">
        <f>VLOOKUP(A1978,Medical_Examinations[],4,FALSE)</f>
        <v>Yes</v>
      </c>
      <c r="F1978" t="str">
        <f>VLOOKUP(A1978,Medical_Examinations[],5,FALSE)</f>
        <v>No</v>
      </c>
      <c r="G1978" t="str">
        <f>VLOOKUP(A1978,Medical_Examinations[],6,FALSE)</f>
        <v>No</v>
      </c>
      <c r="H1978">
        <f>VLOOKUP(A1978,Medical_Examinations[],7,FALSE)</f>
        <v>0</v>
      </c>
      <c r="I1978" t="str">
        <f>VLOOKUP(A1978,Medical_Examinations[],8,FALSE)</f>
        <v>No</v>
      </c>
      <c r="J1978" t="str">
        <f>VLOOKUP(A1978,Medical_Examinations[],9,FALSE)</f>
        <v>Overweight</v>
      </c>
      <c r="K1978" t="str">
        <f>VLOOKUP(A1978,Medical_Examinations[],10,FALSE)</f>
        <v>Normal</v>
      </c>
      <c r="M1978">
        <f>VLOOKUP(A1978,Hospitalisation_Details__2[],4,FALSE)</f>
        <v>3392.98</v>
      </c>
      <c r="N1978" t="str">
        <f>VLOOKUP(A1978,Hospitalisation_Details__2[],5,FALSE)</f>
        <v>tier - 2</v>
      </c>
      <c r="O1978" t="str">
        <f>VLOOKUP(A1978,Hospitalisation_Details__2[],6,FALSE)</f>
        <v>tier - 3</v>
      </c>
      <c r="P1978" t="str">
        <f>VLOOKUP(A1978,Hospitalisation_Details__2[],7,FALSE)</f>
        <v>R1013</v>
      </c>
    </row>
    <row r="1979" spans="1:16" x14ac:dyDescent="0.35">
      <c r="A1979" t="str">
        <v>Id1978</v>
      </c>
      <c r="B1979" t="str">
        <f>VLOOKUP(A1979,'Customer Names (2)'!A:B, 2,FALSE)</f>
        <v>Ms</v>
      </c>
      <c r="C1979">
        <f>VLOOKUP(A1979,Medical_Examinations[],2,FALSE)</f>
        <v>29.48</v>
      </c>
      <c r="D1979">
        <f>VLOOKUP(A1979,Medical_Examinations[],3,FALSE)</f>
        <v>4.09</v>
      </c>
      <c r="E1979" t="str">
        <f>VLOOKUP(A1979,Medical_Examinations[],4,FALSE)</f>
        <v>Yes</v>
      </c>
      <c r="F1979" t="str">
        <f>VLOOKUP(A1979,Medical_Examinations[],5,FALSE)</f>
        <v>No</v>
      </c>
      <c r="G1979" t="str">
        <f>VLOOKUP(A1979,Medical_Examinations[],6,FALSE)</f>
        <v>No</v>
      </c>
      <c r="H1979">
        <f>VLOOKUP(A1979,Medical_Examinations[],7,FALSE)</f>
        <v>0</v>
      </c>
      <c r="I1979" t="str">
        <f>VLOOKUP(A1979,Medical_Examinations[],8,FALSE)</f>
        <v>No</v>
      </c>
      <c r="J1979" t="str">
        <f>VLOOKUP(A1979,Medical_Examinations[],9,FALSE)</f>
        <v>Overweight</v>
      </c>
      <c r="K1979" t="str">
        <f>VLOOKUP(A1979,Medical_Examinations[],10,FALSE)</f>
        <v>Normal</v>
      </c>
      <c r="M1979">
        <f>VLOOKUP(A1979,Hospitalisation_Details__2[],4,FALSE)</f>
        <v>3392.37</v>
      </c>
      <c r="N1979" t="str">
        <f>VLOOKUP(A1979,Hospitalisation_Details__2[],5,FALSE)</f>
        <v>tier - 2</v>
      </c>
      <c r="O1979" t="str">
        <f>VLOOKUP(A1979,Hospitalisation_Details__2[],6,FALSE)</f>
        <v>tier - 3</v>
      </c>
      <c r="P1979" t="str">
        <f>VLOOKUP(A1979,Hospitalisation_Details__2[],7,FALSE)</f>
        <v>R1013</v>
      </c>
    </row>
    <row r="1980" spans="1:16" x14ac:dyDescent="0.35">
      <c r="A1980" t="str">
        <v>Id1979</v>
      </c>
      <c r="B1980" t="str">
        <f>VLOOKUP(A1980,'Customer Names (2)'!A:B, 2,FALSE)</f>
        <v>Ms</v>
      </c>
      <c r="C1980">
        <f>VLOOKUP(A1980,Medical_Examinations[],2,FALSE)</f>
        <v>28.785</v>
      </c>
      <c r="D1980">
        <f>VLOOKUP(A1980,Medical_Examinations[],3,FALSE)</f>
        <v>4.3099999999999996</v>
      </c>
      <c r="E1980" t="str">
        <f>VLOOKUP(A1980,Medical_Examinations[],4,FALSE)</f>
        <v>Yes</v>
      </c>
      <c r="F1980" t="str">
        <f>VLOOKUP(A1980,Medical_Examinations[],5,FALSE)</f>
        <v>No</v>
      </c>
      <c r="G1980" t="str">
        <f>VLOOKUP(A1980,Medical_Examinations[],6,FALSE)</f>
        <v>No</v>
      </c>
      <c r="H1980">
        <f>VLOOKUP(A1980,Medical_Examinations[],7,FALSE)</f>
        <v>0</v>
      </c>
      <c r="I1980" t="str">
        <f>VLOOKUP(A1980,Medical_Examinations[],8,FALSE)</f>
        <v>No</v>
      </c>
      <c r="J1980" t="str">
        <f>VLOOKUP(A1980,Medical_Examinations[],9,FALSE)</f>
        <v>Overweight</v>
      </c>
      <c r="K1980" t="str">
        <f>VLOOKUP(A1980,Medical_Examinations[],10,FALSE)</f>
        <v>Normal</v>
      </c>
      <c r="M1980">
        <f>VLOOKUP(A1980,Hospitalisation_Details__2[],4,FALSE)</f>
        <v>3385.4</v>
      </c>
      <c r="N1980" t="str">
        <f>VLOOKUP(A1980,Hospitalisation_Details__2[],5,FALSE)</f>
        <v>tier - 2</v>
      </c>
      <c r="O1980" t="str">
        <f>VLOOKUP(A1980,Hospitalisation_Details__2[],6,FALSE)</f>
        <v>tier - 2</v>
      </c>
      <c r="P1980" t="str">
        <f>VLOOKUP(A1980,Hospitalisation_Details__2[],7,FALSE)</f>
        <v>R1024</v>
      </c>
    </row>
    <row r="1981" spans="1:16" x14ac:dyDescent="0.35">
      <c r="A1981" t="str">
        <v>Id1980</v>
      </c>
      <c r="B1981" t="str">
        <f>VLOOKUP(A1981,'Customer Names (2)'!A:B, 2,FALSE)</f>
        <v>Ms</v>
      </c>
      <c r="C1981">
        <f>VLOOKUP(A1981,Medical_Examinations[],2,FALSE)</f>
        <v>19.8</v>
      </c>
      <c r="D1981">
        <f>VLOOKUP(A1981,Medical_Examinations[],3,FALSE)</f>
        <v>4</v>
      </c>
      <c r="E1981" t="str">
        <f>VLOOKUP(A1981,Medical_Examinations[],4,FALSE)</f>
        <v>Yes</v>
      </c>
      <c r="F1981" t="str">
        <f>VLOOKUP(A1981,Medical_Examinations[],5,FALSE)</f>
        <v>No</v>
      </c>
      <c r="G1981" t="str">
        <f>VLOOKUP(A1981,Medical_Examinations[],6,FALSE)</f>
        <v>No</v>
      </c>
      <c r="H1981">
        <f>VLOOKUP(A1981,Medical_Examinations[],7,FALSE)</f>
        <v>0</v>
      </c>
      <c r="I1981" t="str">
        <f>VLOOKUP(A1981,Medical_Examinations[],8,FALSE)</f>
        <v>No</v>
      </c>
      <c r="J1981" t="str">
        <f>VLOOKUP(A1981,Medical_Examinations[],9,FALSE)</f>
        <v>Normal Weight</v>
      </c>
      <c r="K1981" t="str">
        <f>VLOOKUP(A1981,Medical_Examinations[],10,FALSE)</f>
        <v>Normal</v>
      </c>
      <c r="M1981">
        <f>VLOOKUP(A1981,Hospitalisation_Details__2[],4,FALSE)</f>
        <v>3378.91</v>
      </c>
      <c r="N1981" t="str">
        <f>VLOOKUP(A1981,Hospitalisation_Details__2[],5,FALSE)</f>
        <v>tier - 2</v>
      </c>
      <c r="O1981" t="str">
        <f>VLOOKUP(A1981,Hospitalisation_Details__2[],6,FALSE)</f>
        <v>tier - 1</v>
      </c>
      <c r="P1981" t="str">
        <f>VLOOKUP(A1981,Hospitalisation_Details__2[],7,FALSE)</f>
        <v>R1011</v>
      </c>
    </row>
    <row r="1982" spans="1:16" x14ac:dyDescent="0.35">
      <c r="A1982" t="str">
        <v>Id1981</v>
      </c>
      <c r="B1982" t="str">
        <f>VLOOKUP(A1982,'Customer Names (2)'!A:B, 2,FALSE)</f>
        <v>Ms</v>
      </c>
      <c r="C1982">
        <f>VLOOKUP(A1982,Medical_Examinations[],2,FALSE)</f>
        <v>35.53</v>
      </c>
      <c r="D1982">
        <f>VLOOKUP(A1982,Medical_Examinations[],3,FALSE)</f>
        <v>4.68</v>
      </c>
      <c r="E1982" t="str">
        <f>VLOOKUP(A1982,Medical_Examinations[],4,FALSE)</f>
        <v>No</v>
      </c>
      <c r="F1982" t="str">
        <f>VLOOKUP(A1982,Medical_Examinations[],5,FALSE)</f>
        <v>No</v>
      </c>
      <c r="G1982" t="str">
        <f>VLOOKUP(A1982,Medical_Examinations[],6,FALSE)</f>
        <v>Yes</v>
      </c>
      <c r="H1982">
        <f>VLOOKUP(A1982,Medical_Examinations[],7,FALSE)</f>
        <v>1</v>
      </c>
      <c r="I1982" t="str">
        <f>VLOOKUP(A1982,Medical_Examinations[],8,FALSE)</f>
        <v>No</v>
      </c>
      <c r="J1982" t="str">
        <f>VLOOKUP(A1982,Medical_Examinations[],9,FALSE)</f>
        <v>Obesity</v>
      </c>
      <c r="K1982" t="str">
        <f>VLOOKUP(A1982,Medical_Examinations[],10,FALSE)</f>
        <v>Normal</v>
      </c>
      <c r="M1982">
        <f>VLOOKUP(A1982,Hospitalisation_Details__2[],4,FALSE)</f>
        <v>3366.67</v>
      </c>
      <c r="N1982" t="str">
        <f>VLOOKUP(A1982,Hospitalisation_Details__2[],5,FALSE)</f>
        <v>tier - 2</v>
      </c>
      <c r="O1982" t="str">
        <f>VLOOKUP(A1982,Hospitalisation_Details__2[],6,FALSE)</f>
        <v>tier - 2</v>
      </c>
      <c r="P1982" t="str">
        <f>VLOOKUP(A1982,Hospitalisation_Details__2[],7,FALSE)</f>
        <v>R1013</v>
      </c>
    </row>
    <row r="1983" spans="1:16" x14ac:dyDescent="0.35">
      <c r="A1983" t="str">
        <v>Id1982</v>
      </c>
      <c r="B1983" t="str">
        <f>VLOOKUP(A1983,'Customer Names (2)'!A:B, 2,FALSE)</f>
        <v>Ms</v>
      </c>
      <c r="C1983">
        <f>VLOOKUP(A1983,Medical_Examinations[],2,FALSE)</f>
        <v>21.47</v>
      </c>
      <c r="D1983">
        <f>VLOOKUP(A1983,Medical_Examinations[],3,FALSE)</f>
        <v>4.0199999999999996</v>
      </c>
      <c r="E1983" t="str">
        <f>VLOOKUP(A1983,Medical_Examinations[],4,FALSE)</f>
        <v>Yes</v>
      </c>
      <c r="F1983" t="str">
        <f>VLOOKUP(A1983,Medical_Examinations[],5,FALSE)</f>
        <v>No</v>
      </c>
      <c r="G1983" t="str">
        <f>VLOOKUP(A1983,Medical_Examinations[],6,FALSE)</f>
        <v>No</v>
      </c>
      <c r="H1983">
        <f>VLOOKUP(A1983,Medical_Examinations[],7,FALSE)</f>
        <v>1</v>
      </c>
      <c r="I1983" t="str">
        <f>VLOOKUP(A1983,Medical_Examinations[],8,FALSE)</f>
        <v>No</v>
      </c>
      <c r="J1983" t="str">
        <f>VLOOKUP(A1983,Medical_Examinations[],9,FALSE)</f>
        <v>Normal Weight</v>
      </c>
      <c r="K1983" t="str">
        <f>VLOOKUP(A1983,Medical_Examinations[],10,FALSE)</f>
        <v>Normal</v>
      </c>
      <c r="M1983">
        <f>VLOOKUP(A1983,Hospitalisation_Details__2[],4,FALSE)</f>
        <v>3353.47</v>
      </c>
      <c r="N1983" t="str">
        <f>VLOOKUP(A1983,Hospitalisation_Details__2[],5,FALSE)</f>
        <v>tier - 2</v>
      </c>
      <c r="O1983" t="str">
        <f>VLOOKUP(A1983,Hospitalisation_Details__2[],6,FALSE)</f>
        <v>tier - 3</v>
      </c>
      <c r="P1983" t="str">
        <f>VLOOKUP(A1983,Hospitalisation_Details__2[],7,FALSE)</f>
        <v>R1012</v>
      </c>
    </row>
    <row r="1984" spans="1:16" x14ac:dyDescent="0.35">
      <c r="A1984" t="str">
        <v>Id1983</v>
      </c>
      <c r="B1984" t="str">
        <f>VLOOKUP(A1984,'Customer Names (2)'!A:B, 2,FALSE)</f>
        <v>Ms</v>
      </c>
      <c r="C1984">
        <f>VLOOKUP(A1984,Medical_Examinations[],2,FALSE)</f>
        <v>25.9</v>
      </c>
      <c r="D1984">
        <f>VLOOKUP(A1984,Medical_Examinations[],3,FALSE)</f>
        <v>5.12</v>
      </c>
      <c r="E1984" t="str">
        <f>VLOOKUP(A1984,Medical_Examinations[],4,FALSE)</f>
        <v>No</v>
      </c>
      <c r="F1984" t="str">
        <f>VLOOKUP(A1984,Medical_Examinations[],5,FALSE)</f>
        <v>No</v>
      </c>
      <c r="G1984" t="str">
        <f>VLOOKUP(A1984,Medical_Examinations[],6,FALSE)</f>
        <v>Yes</v>
      </c>
      <c r="H1984">
        <f>VLOOKUP(A1984,Medical_Examinations[],7,FALSE)</f>
        <v>1</v>
      </c>
      <c r="I1984" t="str">
        <f>VLOOKUP(A1984,Medical_Examinations[],8,FALSE)</f>
        <v>No</v>
      </c>
      <c r="J1984" t="str">
        <f>VLOOKUP(A1984,Medical_Examinations[],9,FALSE)</f>
        <v>Overweight</v>
      </c>
      <c r="K1984" t="str">
        <f>VLOOKUP(A1984,Medical_Examinations[],10,FALSE)</f>
        <v>Normal</v>
      </c>
      <c r="M1984">
        <f>VLOOKUP(A1984,Hospitalisation_Details__2[],4,FALSE)</f>
        <v>3353.28</v>
      </c>
      <c r="N1984" t="str">
        <f>VLOOKUP(A1984,Hospitalisation_Details__2[],5,FALSE)</f>
        <v>tier - 2</v>
      </c>
      <c r="O1984" t="str">
        <f>VLOOKUP(A1984,Hospitalisation_Details__2[],6,FALSE)</f>
        <v>tier - 1</v>
      </c>
      <c r="P1984" t="str">
        <f>VLOOKUP(A1984,Hospitalisation_Details__2[],7,FALSE)</f>
        <v>R1011</v>
      </c>
    </row>
    <row r="1985" spans="1:16" x14ac:dyDescent="0.35">
      <c r="A1985" t="str">
        <v>Id1984</v>
      </c>
      <c r="B1985" t="str">
        <f>VLOOKUP(A1985,'Customer Names (2)'!A:B, 2,FALSE)</f>
        <v>Mr</v>
      </c>
      <c r="C1985">
        <f>VLOOKUP(A1985,Medical_Examinations[],2,FALSE)</f>
        <v>20.81</v>
      </c>
      <c r="D1985">
        <f>VLOOKUP(A1985,Medical_Examinations[],3,FALSE)</f>
        <v>5.52</v>
      </c>
      <c r="E1985" t="str">
        <f>VLOOKUP(A1985,Medical_Examinations[],4,FALSE)</f>
        <v>No</v>
      </c>
      <c r="F1985" t="str">
        <f>VLOOKUP(A1985,Medical_Examinations[],5,FALSE)</f>
        <v>No</v>
      </c>
      <c r="G1985" t="str">
        <f>VLOOKUP(A1985,Medical_Examinations[],6,FALSE)</f>
        <v>No</v>
      </c>
      <c r="H1985">
        <f>VLOOKUP(A1985,Medical_Examinations[],7,FALSE)</f>
        <v>0</v>
      </c>
      <c r="I1985" t="str">
        <f>VLOOKUP(A1985,Medical_Examinations[],8,FALSE)</f>
        <v>No</v>
      </c>
      <c r="J1985" t="str">
        <f>VLOOKUP(A1985,Medical_Examinations[],9,FALSE)</f>
        <v>Normal Weight</v>
      </c>
      <c r="K1985" t="str">
        <f>VLOOKUP(A1985,Medical_Examinations[],10,FALSE)</f>
        <v>Normal</v>
      </c>
      <c r="M1985">
        <f>VLOOKUP(A1985,Hospitalisation_Details__2[],4,FALSE)</f>
        <v>3342.79</v>
      </c>
      <c r="N1985" t="str">
        <f>VLOOKUP(A1985,Hospitalisation_Details__2[],5,FALSE)</f>
        <v>tier - 2</v>
      </c>
      <c r="O1985" t="str">
        <f>VLOOKUP(A1985,Hospitalisation_Details__2[],6,FALSE)</f>
        <v>tier - 1</v>
      </c>
      <c r="P1985" t="str">
        <f>VLOOKUP(A1985,Hospitalisation_Details__2[],7,FALSE)</f>
        <v>R1013</v>
      </c>
    </row>
    <row r="1986" spans="1:16" x14ac:dyDescent="0.35">
      <c r="A1986" t="str">
        <v>Id1985</v>
      </c>
      <c r="B1986" t="str">
        <f>VLOOKUP(A1986,'Customer Names (2)'!A:B, 2,FALSE)</f>
        <v>Mr</v>
      </c>
      <c r="C1986">
        <f>VLOOKUP(A1986,Medical_Examinations[],2,FALSE)</f>
        <v>25.84</v>
      </c>
      <c r="D1986">
        <f>VLOOKUP(A1986,Medical_Examinations[],3,FALSE)</f>
        <v>5.81</v>
      </c>
      <c r="E1986" t="str">
        <f>VLOOKUP(A1986,Medical_Examinations[],4,FALSE)</f>
        <v>Yes</v>
      </c>
      <c r="F1986" t="str">
        <f>VLOOKUP(A1986,Medical_Examinations[],5,FALSE)</f>
        <v>No</v>
      </c>
      <c r="G1986" t="str">
        <f>VLOOKUP(A1986,Medical_Examinations[],6,FALSE)</f>
        <v>Yes</v>
      </c>
      <c r="H1986">
        <f>VLOOKUP(A1986,Medical_Examinations[],7,FALSE)</f>
        <v>1</v>
      </c>
      <c r="I1986" t="str">
        <f>VLOOKUP(A1986,Medical_Examinations[],8,FALSE)</f>
        <v>No</v>
      </c>
      <c r="J1986" t="str">
        <f>VLOOKUP(A1986,Medical_Examinations[],9,FALSE)</f>
        <v>Overweight</v>
      </c>
      <c r="K1986" t="str">
        <f>VLOOKUP(A1986,Medical_Examinations[],10,FALSE)</f>
        <v>Prediabetes</v>
      </c>
      <c r="M1986">
        <f>VLOOKUP(A1986,Hospitalisation_Details__2[],4,FALSE)</f>
        <v>3309.79</v>
      </c>
      <c r="N1986" t="str">
        <f>VLOOKUP(A1986,Hospitalisation_Details__2[],5,FALSE)</f>
        <v>tier - 3</v>
      </c>
      <c r="O1986" t="str">
        <f>VLOOKUP(A1986,Hospitalisation_Details__2[],6,FALSE)</f>
        <v>tier - 3</v>
      </c>
      <c r="P1986" t="str">
        <f>VLOOKUP(A1986,Hospitalisation_Details__2[],7,FALSE)</f>
        <v>R1017</v>
      </c>
    </row>
    <row r="1987" spans="1:16" x14ac:dyDescent="0.35">
      <c r="A1987" t="str">
        <v>Id1986</v>
      </c>
      <c r="B1987" t="str">
        <f>VLOOKUP(A1987,'Customer Names (2)'!A:B, 2,FALSE)</f>
        <v>Mr</v>
      </c>
      <c r="C1987">
        <f>VLOOKUP(A1987,Medical_Examinations[],2,FALSE)</f>
        <v>30.95</v>
      </c>
      <c r="D1987">
        <f>VLOOKUP(A1987,Medical_Examinations[],3,FALSE)</f>
        <v>5.16</v>
      </c>
      <c r="E1987" t="str">
        <f>VLOOKUP(A1987,Medical_Examinations[],4,FALSE)</f>
        <v>No</v>
      </c>
      <c r="F1987" t="str">
        <f>VLOOKUP(A1987,Medical_Examinations[],5,FALSE)</f>
        <v>No</v>
      </c>
      <c r="G1987" t="str">
        <f>VLOOKUP(A1987,Medical_Examinations[],6,FALSE)</f>
        <v>Yes</v>
      </c>
      <c r="H1987">
        <f>VLOOKUP(A1987,Medical_Examinations[],7,FALSE)</f>
        <v>1</v>
      </c>
      <c r="I1987" t="str">
        <f>VLOOKUP(A1987,Medical_Examinations[],8,FALSE)</f>
        <v>No</v>
      </c>
      <c r="J1987" t="str">
        <f>VLOOKUP(A1987,Medical_Examinations[],9,FALSE)</f>
        <v>Obesity</v>
      </c>
      <c r="K1987" t="str">
        <f>VLOOKUP(A1987,Medical_Examinations[],10,FALSE)</f>
        <v>Normal</v>
      </c>
      <c r="M1987">
        <f>VLOOKUP(A1987,Hospitalisation_Details__2[],4,FALSE)</f>
        <v>3308.46</v>
      </c>
      <c r="N1987" t="str">
        <f>VLOOKUP(A1987,Hospitalisation_Details__2[],5,FALSE)</f>
        <v>tier - 2</v>
      </c>
      <c r="O1987" t="str">
        <f>VLOOKUP(A1987,Hospitalisation_Details__2[],6,FALSE)</f>
        <v>tier - 1</v>
      </c>
      <c r="P1987" t="str">
        <f>VLOOKUP(A1987,Hospitalisation_Details__2[],7,FALSE)</f>
        <v>R1021</v>
      </c>
    </row>
    <row r="1988" spans="1:16" x14ac:dyDescent="0.35">
      <c r="A1988" t="str">
        <v>Id1987</v>
      </c>
      <c r="B1988" t="str">
        <f>VLOOKUP(A1988,'Customer Names (2)'!A:B, 2,FALSE)</f>
        <v>Mrs</v>
      </c>
      <c r="C1988">
        <f>VLOOKUP(A1988,Medical_Examinations[],2,FALSE)</f>
        <v>30.54</v>
      </c>
      <c r="D1988">
        <f>VLOOKUP(A1988,Medical_Examinations[],3,FALSE)</f>
        <v>5</v>
      </c>
      <c r="E1988" t="str">
        <f>VLOOKUP(A1988,Medical_Examinations[],4,FALSE)</f>
        <v>No</v>
      </c>
      <c r="F1988" t="str">
        <f>VLOOKUP(A1988,Medical_Examinations[],5,FALSE)</f>
        <v>No</v>
      </c>
      <c r="G1988" t="str">
        <f>VLOOKUP(A1988,Medical_Examinations[],6,FALSE)</f>
        <v>Yes</v>
      </c>
      <c r="H1988">
        <f>VLOOKUP(A1988,Medical_Examinations[],7,FALSE)</f>
        <v>1</v>
      </c>
      <c r="I1988" t="str">
        <f>VLOOKUP(A1988,Medical_Examinations[],8,FALSE)</f>
        <v>No</v>
      </c>
      <c r="J1988" t="str">
        <f>VLOOKUP(A1988,Medical_Examinations[],9,FALSE)</f>
        <v>Obesity</v>
      </c>
      <c r="K1988" t="str">
        <f>VLOOKUP(A1988,Medical_Examinations[],10,FALSE)</f>
        <v>Normal</v>
      </c>
      <c r="M1988">
        <f>VLOOKUP(A1988,Hospitalisation_Details__2[],4,FALSE)</f>
        <v>3300.7</v>
      </c>
      <c r="N1988" t="str">
        <f>VLOOKUP(A1988,Hospitalisation_Details__2[],5,FALSE)</f>
        <v>tier - 2</v>
      </c>
      <c r="O1988" t="str">
        <f>VLOOKUP(A1988,Hospitalisation_Details__2[],6,FALSE)</f>
        <v>tier - 2</v>
      </c>
      <c r="P1988" t="str">
        <f>VLOOKUP(A1988,Hospitalisation_Details__2[],7,FALSE)</f>
        <v>R1025</v>
      </c>
    </row>
    <row r="1989" spans="1:16" x14ac:dyDescent="0.35">
      <c r="A1989" t="str">
        <v>Id1988</v>
      </c>
      <c r="B1989" t="str">
        <f>VLOOKUP(A1989,'Customer Names (2)'!A:B, 2,FALSE)</f>
        <v>Mr</v>
      </c>
      <c r="C1989">
        <f>VLOOKUP(A1989,Medical_Examinations[],2,FALSE)</f>
        <v>33.914999999999999</v>
      </c>
      <c r="D1989">
        <f>VLOOKUP(A1989,Medical_Examinations[],3,FALSE)</f>
        <v>5.84</v>
      </c>
      <c r="E1989" t="str">
        <f>VLOOKUP(A1989,Medical_Examinations[],4,FALSE)</f>
        <v>Yes</v>
      </c>
      <c r="F1989" t="str">
        <f>VLOOKUP(A1989,Medical_Examinations[],5,FALSE)</f>
        <v>No</v>
      </c>
      <c r="G1989" t="str">
        <f>VLOOKUP(A1989,Medical_Examinations[],6,FALSE)</f>
        <v>No</v>
      </c>
      <c r="H1989">
        <f>VLOOKUP(A1989,Medical_Examinations[],7,FALSE)</f>
        <v>0</v>
      </c>
      <c r="I1989" t="str">
        <f>VLOOKUP(A1989,Medical_Examinations[],8,FALSE)</f>
        <v>No</v>
      </c>
      <c r="J1989" t="str">
        <f>VLOOKUP(A1989,Medical_Examinations[],9,FALSE)</f>
        <v>Obesity</v>
      </c>
      <c r="K1989" t="str">
        <f>VLOOKUP(A1989,Medical_Examinations[],10,FALSE)</f>
        <v>Prediabetes</v>
      </c>
      <c r="M1989">
        <f>VLOOKUP(A1989,Hospitalisation_Details__2[],4,FALSE)</f>
        <v>3292.53</v>
      </c>
      <c r="N1989" t="str">
        <f>VLOOKUP(A1989,Hospitalisation_Details__2[],5,FALSE)</f>
        <v>tier - 2</v>
      </c>
      <c r="O1989" t="str">
        <f>VLOOKUP(A1989,Hospitalisation_Details__2[],6,FALSE)</f>
        <v>tier - 2</v>
      </c>
      <c r="P1989" t="str">
        <f>VLOOKUP(A1989,Hospitalisation_Details__2[],7,FALSE)</f>
        <v>R1012</v>
      </c>
    </row>
    <row r="1990" spans="1:16" x14ac:dyDescent="0.35">
      <c r="A1990" t="str">
        <v>Id1989</v>
      </c>
      <c r="B1990" t="str">
        <f>VLOOKUP(A1990,'Customer Names (2)'!A:B, 2,FALSE)</f>
        <v>Ms</v>
      </c>
      <c r="C1990">
        <f>VLOOKUP(A1990,Medical_Examinations[],2,FALSE)</f>
        <v>33.31</v>
      </c>
      <c r="D1990">
        <f>VLOOKUP(A1990,Medical_Examinations[],3,FALSE)</f>
        <v>4.1900000000000004</v>
      </c>
      <c r="E1990" t="str">
        <f>VLOOKUP(A1990,Medical_Examinations[],4,FALSE)</f>
        <v>No</v>
      </c>
      <c r="F1990" t="str">
        <f>VLOOKUP(A1990,Medical_Examinations[],5,FALSE)</f>
        <v>No</v>
      </c>
      <c r="G1990" t="str">
        <f>VLOOKUP(A1990,Medical_Examinations[],6,FALSE)</f>
        <v>Yes</v>
      </c>
      <c r="H1990">
        <f>VLOOKUP(A1990,Medical_Examinations[],7,FALSE)</f>
        <v>1</v>
      </c>
      <c r="I1990" t="str">
        <f>VLOOKUP(A1990,Medical_Examinations[],8,FALSE)</f>
        <v>No</v>
      </c>
      <c r="J1990" t="str">
        <f>VLOOKUP(A1990,Medical_Examinations[],9,FALSE)</f>
        <v>Obesity</v>
      </c>
      <c r="K1990" t="str">
        <f>VLOOKUP(A1990,Medical_Examinations[],10,FALSE)</f>
        <v>Normal</v>
      </c>
      <c r="M1990">
        <f>VLOOKUP(A1990,Hospitalisation_Details__2[],4,FALSE)</f>
        <v>3280.22</v>
      </c>
      <c r="N1990" t="str">
        <f>VLOOKUP(A1990,Hospitalisation_Details__2[],5,FALSE)</f>
        <v>tier - 2</v>
      </c>
      <c r="O1990" t="str">
        <f>VLOOKUP(A1990,Hospitalisation_Details__2[],6,FALSE)</f>
        <v>tier - 3</v>
      </c>
      <c r="P1990" t="str">
        <f>VLOOKUP(A1990,Hospitalisation_Details__2[],7,FALSE)</f>
        <v>R1011</v>
      </c>
    </row>
    <row r="1991" spans="1:16" x14ac:dyDescent="0.35">
      <c r="A1991" t="str">
        <v>Id1990</v>
      </c>
      <c r="B1991" t="str">
        <f>VLOOKUP(A1991,'Customer Names (2)'!A:B, 2,FALSE)</f>
        <v>Mr</v>
      </c>
      <c r="C1991">
        <f>VLOOKUP(A1991,Medical_Examinations[],2,FALSE)</f>
        <v>25.745000000000001</v>
      </c>
      <c r="D1991">
        <f>VLOOKUP(A1991,Medical_Examinations[],3,FALSE)</f>
        <v>4.62</v>
      </c>
      <c r="E1991" t="str">
        <f>VLOOKUP(A1991,Medical_Examinations[],4,FALSE)</f>
        <v>Yes</v>
      </c>
      <c r="F1991" t="str">
        <f>VLOOKUP(A1991,Medical_Examinations[],5,FALSE)</f>
        <v>No</v>
      </c>
      <c r="G1991" t="str">
        <f>VLOOKUP(A1991,Medical_Examinations[],6,FALSE)</f>
        <v>No</v>
      </c>
      <c r="H1991">
        <f>VLOOKUP(A1991,Medical_Examinations[],7,FALSE)</f>
        <v>0</v>
      </c>
      <c r="I1991" t="str">
        <f>VLOOKUP(A1991,Medical_Examinations[],8,FALSE)</f>
        <v>No</v>
      </c>
      <c r="J1991" t="str">
        <f>VLOOKUP(A1991,Medical_Examinations[],9,FALSE)</f>
        <v>Overweight</v>
      </c>
      <c r="K1991" t="str">
        <f>VLOOKUP(A1991,Medical_Examinations[],10,FALSE)</f>
        <v>Normal</v>
      </c>
      <c r="M1991">
        <f>VLOOKUP(A1991,Hospitalisation_Details__2[],4,FALSE)</f>
        <v>3279.87</v>
      </c>
      <c r="N1991" t="str">
        <f>VLOOKUP(A1991,Hospitalisation_Details__2[],5,FALSE)</f>
        <v>tier - 2</v>
      </c>
      <c r="O1991" t="str">
        <f>VLOOKUP(A1991,Hospitalisation_Details__2[],6,FALSE)</f>
        <v>tier - 1</v>
      </c>
      <c r="P1991" t="str">
        <f>VLOOKUP(A1991,Hospitalisation_Details__2[],7,FALSE)</f>
        <v>R1017</v>
      </c>
    </row>
    <row r="1992" spans="1:16" x14ac:dyDescent="0.35">
      <c r="A1992" t="str">
        <v>Id1991</v>
      </c>
      <c r="B1992" t="str">
        <f>VLOOKUP(A1992,'Customer Names (2)'!A:B, 2,FALSE)</f>
        <v>Mr</v>
      </c>
      <c r="C1992">
        <f>VLOOKUP(A1992,Medical_Examinations[],2,FALSE)</f>
        <v>37.1</v>
      </c>
      <c r="D1992">
        <f>VLOOKUP(A1992,Medical_Examinations[],3,FALSE)</f>
        <v>6.24</v>
      </c>
      <c r="E1992" t="str">
        <f>VLOOKUP(A1992,Medical_Examinations[],4,FALSE)</f>
        <v>No</v>
      </c>
      <c r="F1992" t="str">
        <f>VLOOKUP(A1992,Medical_Examinations[],5,FALSE)</f>
        <v>No</v>
      </c>
      <c r="G1992" t="str">
        <f>VLOOKUP(A1992,Medical_Examinations[],6,FALSE)</f>
        <v>No</v>
      </c>
      <c r="H1992">
        <f>VLOOKUP(A1992,Medical_Examinations[],7,FALSE)</f>
        <v>0</v>
      </c>
      <c r="I1992" t="str">
        <f>VLOOKUP(A1992,Medical_Examinations[],8,FALSE)</f>
        <v>No</v>
      </c>
      <c r="J1992" t="str">
        <f>VLOOKUP(A1992,Medical_Examinations[],9,FALSE)</f>
        <v>Obesity</v>
      </c>
      <c r="K1992" t="str">
        <f>VLOOKUP(A1992,Medical_Examinations[],10,FALSE)</f>
        <v>Prediabetes</v>
      </c>
      <c r="M1992">
        <f>VLOOKUP(A1992,Hospitalisation_Details__2[],4,FALSE)</f>
        <v>3277.16</v>
      </c>
      <c r="N1992" t="str">
        <f>VLOOKUP(A1992,Hospitalisation_Details__2[],5,FALSE)</f>
        <v>tier - 2</v>
      </c>
      <c r="O1992" t="str">
        <f>VLOOKUP(A1992,Hospitalisation_Details__2[],6,FALSE)</f>
        <v>tier - 3</v>
      </c>
      <c r="P1992" t="str">
        <f>VLOOKUP(A1992,Hospitalisation_Details__2[],7,FALSE)</f>
        <v>R1011</v>
      </c>
    </row>
    <row r="1993" spans="1:16" x14ac:dyDescent="0.35">
      <c r="A1993" t="str">
        <v>Id1992</v>
      </c>
      <c r="B1993" t="str">
        <f>VLOOKUP(A1993,'Customer Names (2)'!A:B, 2,FALSE)</f>
        <v>Mr</v>
      </c>
      <c r="C1993">
        <f>VLOOKUP(A1993,Medical_Examinations[],2,FALSE)</f>
        <v>35.435000000000002</v>
      </c>
      <c r="D1993">
        <f>VLOOKUP(A1993,Medical_Examinations[],3,FALSE)</f>
        <v>5.81</v>
      </c>
      <c r="E1993" t="str">
        <f>VLOOKUP(A1993,Medical_Examinations[],4,FALSE)</f>
        <v>No</v>
      </c>
      <c r="F1993" t="str">
        <f>VLOOKUP(A1993,Medical_Examinations[],5,FALSE)</f>
        <v>No</v>
      </c>
      <c r="G1993" t="str">
        <f>VLOOKUP(A1993,Medical_Examinations[],6,FALSE)</f>
        <v>No</v>
      </c>
      <c r="H1993">
        <f>VLOOKUP(A1993,Medical_Examinations[],7,FALSE)</f>
        <v>0</v>
      </c>
      <c r="I1993" t="str">
        <f>VLOOKUP(A1993,Medical_Examinations[],8,FALSE)</f>
        <v>No</v>
      </c>
      <c r="J1993" t="str">
        <f>VLOOKUP(A1993,Medical_Examinations[],9,FALSE)</f>
        <v>Obesity</v>
      </c>
      <c r="K1993" t="str">
        <f>VLOOKUP(A1993,Medical_Examinations[],10,FALSE)</f>
        <v>Prediabetes</v>
      </c>
      <c r="M1993">
        <f>VLOOKUP(A1993,Hospitalisation_Details__2[],4,FALSE)</f>
        <v>3268.85</v>
      </c>
      <c r="N1993" t="str">
        <f>VLOOKUP(A1993,Hospitalisation_Details__2[],5,FALSE)</f>
        <v>tier - 3</v>
      </c>
      <c r="O1993" t="str">
        <f>VLOOKUP(A1993,Hospitalisation_Details__2[],6,FALSE)</f>
        <v>tier - 1</v>
      </c>
      <c r="P1993" t="str">
        <f>VLOOKUP(A1993,Hospitalisation_Details__2[],7,FALSE)</f>
        <v>R1016</v>
      </c>
    </row>
    <row r="1994" spans="1:16" x14ac:dyDescent="0.35">
      <c r="A1994" t="str">
        <v>Id1993</v>
      </c>
      <c r="B1994" t="str">
        <f>VLOOKUP(A1994,'Customer Names (2)'!A:B, 2,FALSE)</f>
        <v>Mr</v>
      </c>
      <c r="C1994">
        <f>VLOOKUP(A1994,Medical_Examinations[],2,FALSE)</f>
        <v>20.399999999999999</v>
      </c>
      <c r="D1994">
        <f>VLOOKUP(A1994,Medical_Examinations[],3,FALSE)</f>
        <v>4.83</v>
      </c>
      <c r="E1994" t="str">
        <f>VLOOKUP(A1994,Medical_Examinations[],4,FALSE)</f>
        <v>No</v>
      </c>
      <c r="F1994" t="str">
        <f>VLOOKUP(A1994,Medical_Examinations[],5,FALSE)</f>
        <v>No</v>
      </c>
      <c r="G1994" t="str">
        <f>VLOOKUP(A1994,Medical_Examinations[],6,FALSE)</f>
        <v>No</v>
      </c>
      <c r="H1994">
        <f>VLOOKUP(A1994,Medical_Examinations[],7,FALSE)</f>
        <v>0</v>
      </c>
      <c r="I1994" t="str">
        <f>VLOOKUP(A1994,Medical_Examinations[],8,FALSE)</f>
        <v>No</v>
      </c>
      <c r="J1994" t="str">
        <f>VLOOKUP(A1994,Medical_Examinations[],9,FALSE)</f>
        <v>Normal Weight</v>
      </c>
      <c r="K1994" t="str">
        <f>VLOOKUP(A1994,Medical_Examinations[],10,FALSE)</f>
        <v>Normal</v>
      </c>
      <c r="M1994">
        <f>VLOOKUP(A1994,Hospitalisation_Details__2[],4,FALSE)</f>
        <v>3260.2</v>
      </c>
      <c r="N1994" t="str">
        <f>VLOOKUP(A1994,Hospitalisation_Details__2[],5,FALSE)</f>
        <v>tier - 3</v>
      </c>
      <c r="O1994" t="str">
        <f>VLOOKUP(A1994,Hospitalisation_Details__2[],6,FALSE)</f>
        <v>tier - 2</v>
      </c>
      <c r="P1994" t="str">
        <f>VLOOKUP(A1994,Hospitalisation_Details__2[],7,FALSE)</f>
        <v>R1011</v>
      </c>
    </row>
    <row r="1995" spans="1:16" x14ac:dyDescent="0.35">
      <c r="A1995" t="str">
        <v>Id1994</v>
      </c>
      <c r="B1995" t="str">
        <f>VLOOKUP(A1995,'Customer Names (2)'!A:B, 2,FALSE)</f>
        <v>Ms</v>
      </c>
      <c r="C1995">
        <f>VLOOKUP(A1995,Medical_Examinations[],2,FALSE)</f>
        <v>42.13</v>
      </c>
      <c r="D1995">
        <f>VLOOKUP(A1995,Medical_Examinations[],3,FALSE)</f>
        <v>5.72</v>
      </c>
      <c r="E1995" t="str">
        <f>VLOOKUP(A1995,Medical_Examinations[],4,FALSE)</f>
        <v>Yes</v>
      </c>
      <c r="F1995" t="str">
        <f>VLOOKUP(A1995,Medical_Examinations[],5,FALSE)</f>
        <v>No</v>
      </c>
      <c r="G1995" t="str">
        <f>VLOOKUP(A1995,Medical_Examinations[],6,FALSE)</f>
        <v>Yes</v>
      </c>
      <c r="H1995">
        <f>VLOOKUP(A1995,Medical_Examinations[],7,FALSE)</f>
        <v>1</v>
      </c>
      <c r="I1995" t="str">
        <f>VLOOKUP(A1995,Medical_Examinations[],8,FALSE)</f>
        <v>No</v>
      </c>
      <c r="J1995" t="str">
        <f>VLOOKUP(A1995,Medical_Examinations[],9,FALSE)</f>
        <v>Obesity</v>
      </c>
      <c r="K1995" t="str">
        <f>VLOOKUP(A1995,Medical_Examinations[],10,FALSE)</f>
        <v>Prediabetes</v>
      </c>
      <c r="M1995">
        <f>VLOOKUP(A1995,Hospitalisation_Details__2[],4,FALSE)</f>
        <v>3238.44</v>
      </c>
      <c r="N1995" t="str">
        <f>VLOOKUP(A1995,Hospitalisation_Details__2[],5,FALSE)</f>
        <v>tier - 2</v>
      </c>
      <c r="O1995" t="str">
        <f>VLOOKUP(A1995,Hospitalisation_Details__2[],6,FALSE)</f>
        <v>tier - 3</v>
      </c>
      <c r="P1995" t="str">
        <f>VLOOKUP(A1995,Hospitalisation_Details__2[],7,FALSE)</f>
        <v>R1013</v>
      </c>
    </row>
    <row r="1996" spans="1:16" x14ac:dyDescent="0.35">
      <c r="A1996" t="str">
        <v>Id1995</v>
      </c>
      <c r="B1996" t="str">
        <f>VLOOKUP(A1996,'Customer Names (2)'!A:B, 2,FALSE)</f>
        <v>Ms</v>
      </c>
      <c r="C1996">
        <f>VLOOKUP(A1996,Medical_Examinations[],2,FALSE)</f>
        <v>33.99</v>
      </c>
      <c r="D1996">
        <f>VLOOKUP(A1996,Medical_Examinations[],3,FALSE)</f>
        <v>4.83</v>
      </c>
      <c r="E1996" t="str">
        <f>VLOOKUP(A1996,Medical_Examinations[],4,FALSE)</f>
        <v>Yes</v>
      </c>
      <c r="F1996" t="str">
        <f>VLOOKUP(A1996,Medical_Examinations[],5,FALSE)</f>
        <v>No</v>
      </c>
      <c r="G1996" t="str">
        <f>VLOOKUP(A1996,Medical_Examinations[],6,FALSE)</f>
        <v>Yes</v>
      </c>
      <c r="H1996">
        <f>VLOOKUP(A1996,Medical_Examinations[],7,FALSE)</f>
        <v>1</v>
      </c>
      <c r="I1996" t="str">
        <f>VLOOKUP(A1996,Medical_Examinations[],8,FALSE)</f>
        <v>No</v>
      </c>
      <c r="J1996" t="str">
        <f>VLOOKUP(A1996,Medical_Examinations[],9,FALSE)</f>
        <v>Obesity</v>
      </c>
      <c r="K1996" t="str">
        <f>VLOOKUP(A1996,Medical_Examinations[],10,FALSE)</f>
        <v>Normal</v>
      </c>
      <c r="M1996">
        <f>VLOOKUP(A1996,Hospitalisation_Details__2[],4,FALSE)</f>
        <v>3227.12</v>
      </c>
      <c r="N1996" t="str">
        <f>VLOOKUP(A1996,Hospitalisation_Details__2[],5,FALSE)</f>
        <v>tier - 2</v>
      </c>
      <c r="O1996" t="str">
        <f>VLOOKUP(A1996,Hospitalisation_Details__2[],6,FALSE)</f>
        <v>tier - 3</v>
      </c>
      <c r="P1996" t="str">
        <f>VLOOKUP(A1996,Hospitalisation_Details__2[],7,FALSE)</f>
        <v>R1013</v>
      </c>
    </row>
    <row r="1997" spans="1:16" x14ac:dyDescent="0.35">
      <c r="A1997" t="str">
        <v>Id1996</v>
      </c>
      <c r="B1997" t="str">
        <f>VLOOKUP(A1997,'Customer Names (2)'!A:B, 2,FALSE)</f>
        <v>Ms</v>
      </c>
      <c r="C1997">
        <f>VLOOKUP(A1997,Medical_Examinations[],2,FALSE)</f>
        <v>28.594999999999999</v>
      </c>
      <c r="D1997">
        <f>VLOOKUP(A1997,Medical_Examinations[],3,FALSE)</f>
        <v>4.1399999999999997</v>
      </c>
      <c r="E1997" t="str">
        <f>VLOOKUP(A1997,Medical_Examinations[],4,FALSE)</f>
        <v>Yes</v>
      </c>
      <c r="F1997" t="str">
        <f>VLOOKUP(A1997,Medical_Examinations[],5,FALSE)</f>
        <v>No</v>
      </c>
      <c r="G1997" t="str">
        <f>VLOOKUP(A1997,Medical_Examinations[],6,FALSE)</f>
        <v>Yes</v>
      </c>
      <c r="H1997">
        <f>VLOOKUP(A1997,Medical_Examinations[],7,FALSE)</f>
        <v>1</v>
      </c>
      <c r="I1997" t="str">
        <f>VLOOKUP(A1997,Medical_Examinations[],8,FALSE)</f>
        <v>No</v>
      </c>
      <c r="J1997" t="str">
        <f>VLOOKUP(A1997,Medical_Examinations[],9,FALSE)</f>
        <v>Overweight</v>
      </c>
      <c r="K1997" t="str">
        <f>VLOOKUP(A1997,Medical_Examinations[],10,FALSE)</f>
        <v>Normal</v>
      </c>
      <c r="M1997">
        <f>VLOOKUP(A1997,Hospitalisation_Details__2[],4,FALSE)</f>
        <v>3213.62</v>
      </c>
      <c r="N1997" t="str">
        <f>VLOOKUP(A1997,Hospitalisation_Details__2[],5,FALSE)</f>
        <v>tier - 2</v>
      </c>
      <c r="O1997" t="str">
        <f>VLOOKUP(A1997,Hospitalisation_Details__2[],6,FALSE)</f>
        <v>tier - 2</v>
      </c>
      <c r="P1997" t="str">
        <f>VLOOKUP(A1997,Hospitalisation_Details__2[],7,FALSE)</f>
        <v>R1024</v>
      </c>
    </row>
    <row r="1998" spans="1:16" x14ac:dyDescent="0.35">
      <c r="A1998" t="str">
        <v>Id1997</v>
      </c>
      <c r="B1998" t="str">
        <f>VLOOKUP(A1998,'Customer Names (2)'!A:B, 2,FALSE)</f>
        <v>Ms</v>
      </c>
      <c r="C1998">
        <f>VLOOKUP(A1998,Medical_Examinations[],2,FALSE)</f>
        <v>20.8</v>
      </c>
      <c r="D1998">
        <f>VLOOKUP(A1998,Medical_Examinations[],3,FALSE)</f>
        <v>4.07</v>
      </c>
      <c r="E1998" t="str">
        <f>VLOOKUP(A1998,Medical_Examinations[],4,FALSE)</f>
        <v>Yes</v>
      </c>
      <c r="F1998" t="str">
        <f>VLOOKUP(A1998,Medical_Examinations[],5,FALSE)</f>
        <v>No</v>
      </c>
      <c r="G1998" t="str">
        <f>VLOOKUP(A1998,Medical_Examinations[],6,FALSE)</f>
        <v>Yes</v>
      </c>
      <c r="H1998">
        <f>VLOOKUP(A1998,Medical_Examinations[],7,FALSE)</f>
        <v>1</v>
      </c>
      <c r="I1998" t="str">
        <f>VLOOKUP(A1998,Medical_Examinations[],8,FALSE)</f>
        <v>No</v>
      </c>
      <c r="J1998" t="str">
        <f>VLOOKUP(A1998,Medical_Examinations[],9,FALSE)</f>
        <v>Normal Weight</v>
      </c>
      <c r="K1998" t="str">
        <f>VLOOKUP(A1998,Medical_Examinations[],10,FALSE)</f>
        <v>Normal</v>
      </c>
      <c r="M1998">
        <f>VLOOKUP(A1998,Hospitalisation_Details__2[],4,FALSE)</f>
        <v>3208.79</v>
      </c>
      <c r="N1998" t="str">
        <f>VLOOKUP(A1998,Hospitalisation_Details__2[],5,FALSE)</f>
        <v>tier - 2</v>
      </c>
      <c r="O1998" t="str">
        <f>VLOOKUP(A1998,Hospitalisation_Details__2[],6,FALSE)</f>
        <v>tier - 3</v>
      </c>
      <c r="P1998" t="str">
        <f>VLOOKUP(A1998,Hospitalisation_Details__2[],7,FALSE)</f>
        <v>R1011</v>
      </c>
    </row>
    <row r="1999" spans="1:16" x14ac:dyDescent="0.35">
      <c r="A1999" t="str">
        <v>Id1998</v>
      </c>
      <c r="B1999" t="str">
        <f>VLOOKUP(A1999,'Customer Names (2)'!A:B, 2,FALSE)</f>
        <v>Ms</v>
      </c>
      <c r="C1999">
        <f>VLOOKUP(A1999,Medical_Examinations[],2,FALSE)</f>
        <v>23.465</v>
      </c>
      <c r="D1999">
        <f>VLOOKUP(A1999,Medical_Examinations[],3,FALSE)</f>
        <v>6.26</v>
      </c>
      <c r="E1999" t="str">
        <f>VLOOKUP(A1999,Medical_Examinations[],4,FALSE)</f>
        <v>Yes</v>
      </c>
      <c r="F1999" t="str">
        <f>VLOOKUP(A1999,Medical_Examinations[],5,FALSE)</f>
        <v>No</v>
      </c>
      <c r="G1999" t="str">
        <f>VLOOKUP(A1999,Medical_Examinations[],6,FALSE)</f>
        <v>Yes</v>
      </c>
      <c r="H1999">
        <f>VLOOKUP(A1999,Medical_Examinations[],7,FALSE)</f>
        <v>1</v>
      </c>
      <c r="I1999" t="str">
        <f>VLOOKUP(A1999,Medical_Examinations[],8,FALSE)</f>
        <v>No</v>
      </c>
      <c r="J1999" t="str">
        <f>VLOOKUP(A1999,Medical_Examinations[],9,FALSE)</f>
        <v>Normal Weight</v>
      </c>
      <c r="K1999" t="str">
        <f>VLOOKUP(A1999,Medical_Examinations[],10,FALSE)</f>
        <v>Prediabetes</v>
      </c>
      <c r="M1999">
        <f>VLOOKUP(A1999,Hospitalisation_Details__2[],4,FALSE)</f>
        <v>3206.49</v>
      </c>
      <c r="N1999" t="str">
        <f>VLOOKUP(A1999,Hospitalisation_Details__2[],5,FALSE)</f>
        <v>tier - 2</v>
      </c>
      <c r="O1999" t="str">
        <f>VLOOKUP(A1999,Hospitalisation_Details__2[],6,FALSE)</f>
        <v>tier - 3</v>
      </c>
      <c r="P1999" t="str">
        <f>VLOOKUP(A1999,Hospitalisation_Details__2[],7,FALSE)</f>
        <v>R1024</v>
      </c>
    </row>
    <row r="2000" spans="1:16" x14ac:dyDescent="0.35">
      <c r="A2000" t="str">
        <v>Id1999</v>
      </c>
      <c r="B2000" t="str">
        <f>VLOOKUP(A2000,'Customer Names (2)'!A:B, 2,FALSE)</f>
        <v>Ms</v>
      </c>
      <c r="C2000">
        <f>VLOOKUP(A2000,Medical_Examinations[],2,FALSE)</f>
        <v>40.185000000000002</v>
      </c>
      <c r="D2000">
        <f>VLOOKUP(A2000,Medical_Examinations[],3,FALSE)</f>
        <v>5.88</v>
      </c>
      <c r="E2000" t="str">
        <f>VLOOKUP(A2000,Medical_Examinations[],4,FALSE)</f>
        <v>Yes</v>
      </c>
      <c r="F2000" t="str">
        <f>VLOOKUP(A2000,Medical_Examinations[],5,FALSE)</f>
        <v>No</v>
      </c>
      <c r="G2000" t="str">
        <f>VLOOKUP(A2000,Medical_Examinations[],6,FALSE)</f>
        <v>No</v>
      </c>
      <c r="H2000">
        <f>VLOOKUP(A2000,Medical_Examinations[],7,FALSE)</f>
        <v>0</v>
      </c>
      <c r="I2000" t="str">
        <f>VLOOKUP(A2000,Medical_Examinations[],8,FALSE)</f>
        <v>No</v>
      </c>
      <c r="J2000" t="str">
        <f>VLOOKUP(A2000,Medical_Examinations[],9,FALSE)</f>
        <v>Obesity</v>
      </c>
      <c r="K2000" t="str">
        <f>VLOOKUP(A2000,Medical_Examinations[],10,FALSE)</f>
        <v>Prediabetes</v>
      </c>
      <c r="M2000">
        <f>VLOOKUP(A2000,Hospitalisation_Details__2[],4,FALSE)</f>
        <v>3201.25</v>
      </c>
      <c r="N2000" t="str">
        <f>VLOOKUP(A2000,Hospitalisation_Details__2[],5,FALSE)</f>
        <v>tier - 2</v>
      </c>
      <c r="O2000" t="str">
        <f>VLOOKUP(A2000,Hospitalisation_Details__2[],6,FALSE)</f>
        <v>tier - 3</v>
      </c>
      <c r="P2000" t="str">
        <f>VLOOKUP(A2000,Hospitalisation_Details__2[],7,FALSE)</f>
        <v>R1012</v>
      </c>
    </row>
    <row r="2001" spans="1:16" x14ac:dyDescent="0.35">
      <c r="A2001" t="str">
        <v>Id2000</v>
      </c>
      <c r="B2001" t="str">
        <f>VLOOKUP(A2001,'Customer Names (2)'!A:B, 2,FALSE)</f>
        <v>Ms</v>
      </c>
      <c r="C2001">
        <f>VLOOKUP(A2001,Medical_Examinations[],2,FALSE)</f>
        <v>21.89</v>
      </c>
      <c r="D2001">
        <f>VLOOKUP(A2001,Medical_Examinations[],3,FALSE)</f>
        <v>5.72</v>
      </c>
      <c r="E2001" t="str">
        <f>VLOOKUP(A2001,Medical_Examinations[],4,FALSE)</f>
        <v>Yes</v>
      </c>
      <c r="F2001" t="str">
        <f>VLOOKUP(A2001,Medical_Examinations[],5,FALSE)</f>
        <v>No</v>
      </c>
      <c r="G2001" t="str">
        <f>VLOOKUP(A2001,Medical_Examinations[],6,FALSE)</f>
        <v>No</v>
      </c>
      <c r="H2001">
        <f>VLOOKUP(A2001,Medical_Examinations[],7,FALSE)</f>
        <v>0</v>
      </c>
      <c r="I2001" t="str">
        <f>VLOOKUP(A2001,Medical_Examinations[],8,FALSE)</f>
        <v>No</v>
      </c>
      <c r="J2001" t="str">
        <f>VLOOKUP(A2001,Medical_Examinations[],9,FALSE)</f>
        <v>Normal Weight</v>
      </c>
      <c r="K2001" t="str">
        <f>VLOOKUP(A2001,Medical_Examinations[],10,FALSE)</f>
        <v>Prediabetes</v>
      </c>
      <c r="M2001">
        <f>VLOOKUP(A2001,Hospitalisation_Details__2[],4,FALSE)</f>
        <v>3180.51</v>
      </c>
      <c r="N2001" t="str">
        <f>VLOOKUP(A2001,Hospitalisation_Details__2[],5,FALSE)</f>
        <v>tier - 2</v>
      </c>
      <c r="O2001" t="str">
        <f>VLOOKUP(A2001,Hospitalisation_Details__2[],6,FALSE)</f>
        <v>tier - 2</v>
      </c>
      <c r="P2001" t="str">
        <f>VLOOKUP(A2001,Hospitalisation_Details__2[],7,FALSE)</f>
        <v>R1013</v>
      </c>
    </row>
    <row r="2002" spans="1:16" x14ac:dyDescent="0.35">
      <c r="A2002" t="str">
        <v>Id2001</v>
      </c>
      <c r="B2002" t="str">
        <f>VLOOKUP(A2002,'Customer Names (2)'!A:B, 2,FALSE)</f>
        <v>Mr</v>
      </c>
      <c r="C2002">
        <f>VLOOKUP(A2002,Medical_Examinations[],2,FALSE)</f>
        <v>29.34</v>
      </c>
      <c r="D2002">
        <f>VLOOKUP(A2002,Medical_Examinations[],3,FALSE)</f>
        <v>6.09</v>
      </c>
      <c r="E2002" t="str">
        <f>VLOOKUP(A2002,Medical_Examinations[],4,FALSE)</f>
        <v>Yes</v>
      </c>
      <c r="F2002" t="str">
        <f>VLOOKUP(A2002,Medical_Examinations[],5,FALSE)</f>
        <v>yes</v>
      </c>
      <c r="G2002" t="str">
        <f>VLOOKUP(A2002,Medical_Examinations[],6,FALSE)</f>
        <v>No</v>
      </c>
      <c r="H2002">
        <f>VLOOKUP(A2002,Medical_Examinations[],7,FALSE)</f>
        <v>2</v>
      </c>
      <c r="I2002" t="str">
        <f>VLOOKUP(A2002,Medical_Examinations[],8,FALSE)</f>
        <v>No</v>
      </c>
      <c r="J2002" t="str">
        <f>VLOOKUP(A2002,Medical_Examinations[],9,FALSE)</f>
        <v>Overweight</v>
      </c>
      <c r="K2002" t="str">
        <f>VLOOKUP(A2002,Medical_Examinations[],10,FALSE)</f>
        <v>Prediabetes</v>
      </c>
      <c r="M2002">
        <f>VLOOKUP(A2002,Hospitalisation_Details__2[],4,FALSE)</f>
        <v>3179.96</v>
      </c>
      <c r="N2002" t="str">
        <f>VLOOKUP(A2002,Hospitalisation_Details__2[],5,FALSE)</f>
        <v>tier - 2</v>
      </c>
      <c r="O2002" t="str">
        <f>VLOOKUP(A2002,Hospitalisation_Details__2[],6,FALSE)</f>
        <v>tier - 2</v>
      </c>
      <c r="P2002" t="str">
        <f>VLOOKUP(A2002,Hospitalisation_Details__2[],7,FALSE)</f>
        <v>R1012</v>
      </c>
    </row>
    <row r="2003" spans="1:16" x14ac:dyDescent="0.35">
      <c r="A2003" t="str">
        <v>Id2002</v>
      </c>
      <c r="B2003" t="str">
        <f>VLOOKUP(A2003,'Customer Names (2)'!A:B, 2,FALSE)</f>
        <v>Ms</v>
      </c>
      <c r="C2003">
        <f>VLOOKUP(A2003,Medical_Examinations[],2,FALSE)</f>
        <v>22.61</v>
      </c>
      <c r="D2003">
        <f>VLOOKUP(A2003,Medical_Examinations[],3,FALSE)</f>
        <v>4.25</v>
      </c>
      <c r="E2003" t="str">
        <f>VLOOKUP(A2003,Medical_Examinations[],4,FALSE)</f>
        <v>Yes</v>
      </c>
      <c r="F2003" t="str">
        <f>VLOOKUP(A2003,Medical_Examinations[],5,FALSE)</f>
        <v>No</v>
      </c>
      <c r="G2003" t="str">
        <f>VLOOKUP(A2003,Medical_Examinations[],6,FALSE)</f>
        <v>No</v>
      </c>
      <c r="H2003">
        <f>VLOOKUP(A2003,Medical_Examinations[],7,FALSE)</f>
        <v>0</v>
      </c>
      <c r="I2003" t="str">
        <f>VLOOKUP(A2003,Medical_Examinations[],8,FALSE)</f>
        <v>No</v>
      </c>
      <c r="J2003" t="str">
        <f>VLOOKUP(A2003,Medical_Examinations[],9,FALSE)</f>
        <v>Normal Weight</v>
      </c>
      <c r="K2003" t="str">
        <f>VLOOKUP(A2003,Medical_Examinations[],10,FALSE)</f>
        <v>Normal</v>
      </c>
      <c r="M2003">
        <f>VLOOKUP(A2003,Hospitalisation_Details__2[],4,FALSE)</f>
        <v>3176.82</v>
      </c>
      <c r="N2003" t="str">
        <f>VLOOKUP(A2003,Hospitalisation_Details__2[],5,FALSE)</f>
        <v>tier - 2</v>
      </c>
      <c r="O2003" t="str">
        <f>VLOOKUP(A2003,Hospitalisation_Details__2[],6,FALSE)</f>
        <v>tier - 1</v>
      </c>
      <c r="P2003" t="str">
        <f>VLOOKUP(A2003,Hospitalisation_Details__2[],7,FALSE)</f>
        <v>R1012</v>
      </c>
    </row>
    <row r="2004" spans="1:16" x14ac:dyDescent="0.35">
      <c r="A2004" t="str">
        <v>Id2003</v>
      </c>
      <c r="B2004" t="str">
        <f>VLOOKUP(A2004,'Customer Names (2)'!A:B, 2,FALSE)</f>
        <v>Ms</v>
      </c>
      <c r="C2004">
        <f>VLOOKUP(A2004,Medical_Examinations[],2,FALSE)</f>
        <v>22.23</v>
      </c>
      <c r="D2004">
        <f>VLOOKUP(A2004,Medical_Examinations[],3,FALSE)</f>
        <v>6.09</v>
      </c>
      <c r="E2004" t="str">
        <f>VLOOKUP(A2004,Medical_Examinations[],4,FALSE)</f>
        <v>Yes</v>
      </c>
      <c r="F2004" t="str">
        <f>VLOOKUP(A2004,Medical_Examinations[],5,FALSE)</f>
        <v>No</v>
      </c>
      <c r="G2004" t="str">
        <f>VLOOKUP(A2004,Medical_Examinations[],6,FALSE)</f>
        <v>No</v>
      </c>
      <c r="H2004">
        <f>VLOOKUP(A2004,Medical_Examinations[],7,FALSE)</f>
        <v>0</v>
      </c>
      <c r="I2004" t="str">
        <f>VLOOKUP(A2004,Medical_Examinations[],8,FALSE)</f>
        <v>No</v>
      </c>
      <c r="J2004" t="str">
        <f>VLOOKUP(A2004,Medical_Examinations[],9,FALSE)</f>
        <v>Normal Weight</v>
      </c>
      <c r="K2004" t="str">
        <f>VLOOKUP(A2004,Medical_Examinations[],10,FALSE)</f>
        <v>Prediabetes</v>
      </c>
      <c r="M2004">
        <f>VLOOKUP(A2004,Hospitalisation_Details__2[],4,FALSE)</f>
        <v>3176.29</v>
      </c>
      <c r="N2004" t="str">
        <f>VLOOKUP(A2004,Hospitalisation_Details__2[],5,FALSE)</f>
        <v>tier - 2</v>
      </c>
      <c r="O2004" t="str">
        <f>VLOOKUP(A2004,Hospitalisation_Details__2[],6,FALSE)</f>
        <v>tier - 2</v>
      </c>
      <c r="P2004" t="str">
        <f>VLOOKUP(A2004,Hospitalisation_Details__2[],7,FALSE)</f>
        <v>R1012</v>
      </c>
    </row>
    <row r="2005" spans="1:16" x14ac:dyDescent="0.35">
      <c r="A2005" t="str">
        <v>Id2004</v>
      </c>
      <c r="B2005" t="str">
        <f>VLOOKUP(A2005,'Customer Names (2)'!A:B, 2,FALSE)</f>
        <v>Ms</v>
      </c>
      <c r="C2005">
        <f>VLOOKUP(A2005,Medical_Examinations[],2,FALSE)</f>
        <v>33.4</v>
      </c>
      <c r="D2005">
        <f>VLOOKUP(A2005,Medical_Examinations[],3,FALSE)</f>
        <v>5.51</v>
      </c>
      <c r="E2005" t="str">
        <f>VLOOKUP(A2005,Medical_Examinations[],4,FALSE)</f>
        <v>No</v>
      </c>
      <c r="F2005" t="str">
        <f>VLOOKUP(A2005,Medical_Examinations[],5,FALSE)</f>
        <v>No</v>
      </c>
      <c r="G2005" t="str">
        <f>VLOOKUP(A2005,Medical_Examinations[],6,FALSE)</f>
        <v>No</v>
      </c>
      <c r="H2005">
        <f>VLOOKUP(A2005,Medical_Examinations[],7,FALSE)</f>
        <v>0</v>
      </c>
      <c r="I2005" t="str">
        <f>VLOOKUP(A2005,Medical_Examinations[],8,FALSE)</f>
        <v>No</v>
      </c>
      <c r="J2005" t="str">
        <f>VLOOKUP(A2005,Medical_Examinations[],9,FALSE)</f>
        <v>Obesity</v>
      </c>
      <c r="K2005" t="str">
        <f>VLOOKUP(A2005,Medical_Examinations[],10,FALSE)</f>
        <v>Normal</v>
      </c>
      <c r="M2005">
        <f>VLOOKUP(A2005,Hospitalisation_Details__2[],4,FALSE)</f>
        <v>3172.02</v>
      </c>
      <c r="N2005" t="str">
        <f>VLOOKUP(A2005,Hospitalisation_Details__2[],5,FALSE)</f>
        <v>tier - 2</v>
      </c>
      <c r="O2005" t="str">
        <f>VLOOKUP(A2005,Hospitalisation_Details__2[],6,FALSE)</f>
        <v>tier - 1</v>
      </c>
      <c r="P2005" t="str">
        <f>VLOOKUP(A2005,Hospitalisation_Details__2[],7,FALSE)</f>
        <v>R1011</v>
      </c>
    </row>
    <row r="2006" spans="1:16" x14ac:dyDescent="0.35">
      <c r="A2006" t="str">
        <v>Id2005</v>
      </c>
      <c r="B2006" t="str">
        <f>VLOOKUP(A2006,'Customer Names (2)'!A:B, 2,FALSE)</f>
        <v>Ms</v>
      </c>
      <c r="C2006">
        <f>VLOOKUP(A2006,Medical_Examinations[],2,FALSE)</f>
        <v>33.11</v>
      </c>
      <c r="D2006">
        <f>VLOOKUP(A2006,Medical_Examinations[],3,FALSE)</f>
        <v>5.63</v>
      </c>
      <c r="E2006" t="str">
        <f>VLOOKUP(A2006,Medical_Examinations[],4,FALSE)</f>
        <v>No</v>
      </c>
      <c r="F2006" t="str">
        <f>VLOOKUP(A2006,Medical_Examinations[],5,FALSE)</f>
        <v>No</v>
      </c>
      <c r="G2006" t="str">
        <f>VLOOKUP(A2006,Medical_Examinations[],6,FALSE)</f>
        <v>No</v>
      </c>
      <c r="H2006">
        <f>VLOOKUP(A2006,Medical_Examinations[],7,FALSE)</f>
        <v>0</v>
      </c>
      <c r="I2006" t="str">
        <f>VLOOKUP(A2006,Medical_Examinations[],8,FALSE)</f>
        <v>No</v>
      </c>
      <c r="J2006" t="str">
        <f>VLOOKUP(A2006,Medical_Examinations[],9,FALSE)</f>
        <v>Obesity</v>
      </c>
      <c r="K2006" t="str">
        <f>VLOOKUP(A2006,Medical_Examinations[],10,FALSE)</f>
        <v>Normal</v>
      </c>
      <c r="M2006">
        <f>VLOOKUP(A2006,Hospitalisation_Details__2[],4,FALSE)</f>
        <v>3171.61</v>
      </c>
      <c r="N2006" t="str">
        <f>VLOOKUP(A2006,Hospitalisation_Details__2[],5,FALSE)</f>
        <v>tier - 2</v>
      </c>
      <c r="O2006" t="str">
        <f>VLOOKUP(A2006,Hospitalisation_Details__2[],6,FALSE)</f>
        <v>tier - 3</v>
      </c>
      <c r="P2006" t="str">
        <f>VLOOKUP(A2006,Hospitalisation_Details__2[],7,FALSE)</f>
        <v>R1013</v>
      </c>
    </row>
    <row r="2007" spans="1:16" x14ac:dyDescent="0.35">
      <c r="A2007" t="str">
        <v>Id2006</v>
      </c>
      <c r="B2007" t="str">
        <f>VLOOKUP(A2007,'Customer Names (2)'!A:B, 2,FALSE)</f>
        <v>Ms</v>
      </c>
      <c r="C2007">
        <f>VLOOKUP(A2007,Medical_Examinations[],2,FALSE)</f>
        <v>16.815000000000001</v>
      </c>
      <c r="D2007">
        <f>VLOOKUP(A2007,Medical_Examinations[],3,FALSE)</f>
        <v>5.29</v>
      </c>
      <c r="E2007" t="str">
        <f>VLOOKUP(A2007,Medical_Examinations[],4,FALSE)</f>
        <v>Yes</v>
      </c>
      <c r="F2007" t="str">
        <f>VLOOKUP(A2007,Medical_Examinations[],5,FALSE)</f>
        <v>No</v>
      </c>
      <c r="G2007" t="str">
        <f>VLOOKUP(A2007,Medical_Examinations[],6,FALSE)</f>
        <v>No</v>
      </c>
      <c r="H2007">
        <f>VLOOKUP(A2007,Medical_Examinations[],7,FALSE)</f>
        <v>0</v>
      </c>
      <c r="I2007" t="str">
        <f>VLOOKUP(A2007,Medical_Examinations[],8,FALSE)</f>
        <v>No</v>
      </c>
      <c r="J2007" t="str">
        <f>VLOOKUP(A2007,Medical_Examinations[],9,FALSE)</f>
        <v>Underweight</v>
      </c>
      <c r="K2007" t="str">
        <f>VLOOKUP(A2007,Medical_Examinations[],10,FALSE)</f>
        <v>Normal</v>
      </c>
      <c r="M2007">
        <f>VLOOKUP(A2007,Hospitalisation_Details__2[],4,FALSE)</f>
        <v>3167.46</v>
      </c>
      <c r="N2007" t="str">
        <f>VLOOKUP(A2007,Hospitalisation_Details__2[],5,FALSE)</f>
        <v>tier - 2</v>
      </c>
      <c r="O2007" t="str">
        <f>VLOOKUP(A2007,Hospitalisation_Details__2[],6,FALSE)</f>
        <v>tier - 3</v>
      </c>
      <c r="P2007" t="str">
        <f>VLOOKUP(A2007,Hospitalisation_Details__2[],7,FALSE)</f>
        <v>R1024</v>
      </c>
    </row>
    <row r="2008" spans="1:16" x14ac:dyDescent="0.35">
      <c r="A2008" t="str">
        <v>Id2007</v>
      </c>
      <c r="B2008" t="str">
        <f>VLOOKUP(A2008,'Customer Names (2)'!A:B, 2,FALSE)</f>
        <v>Mrs</v>
      </c>
      <c r="C2008">
        <f>VLOOKUP(A2008,Medical_Examinations[],2,FALSE)</f>
        <v>25.61</v>
      </c>
      <c r="D2008">
        <f>VLOOKUP(A2008,Medical_Examinations[],3,FALSE)</f>
        <v>4</v>
      </c>
      <c r="E2008" t="str">
        <f>VLOOKUP(A2008,Medical_Examinations[],4,FALSE)</f>
        <v>No</v>
      </c>
      <c r="F2008" t="str">
        <f>VLOOKUP(A2008,Medical_Examinations[],5,FALSE)</f>
        <v>No</v>
      </c>
      <c r="G2008" t="str">
        <f>VLOOKUP(A2008,Medical_Examinations[],6,FALSE)</f>
        <v>Yes</v>
      </c>
      <c r="H2008">
        <f>VLOOKUP(A2008,Medical_Examinations[],7,FALSE)</f>
        <v>1</v>
      </c>
      <c r="I2008" t="str">
        <f>VLOOKUP(A2008,Medical_Examinations[],8,FALSE)</f>
        <v>No</v>
      </c>
      <c r="J2008" t="str">
        <f>VLOOKUP(A2008,Medical_Examinations[],9,FALSE)</f>
        <v>Overweight</v>
      </c>
      <c r="K2008" t="str">
        <f>VLOOKUP(A2008,Medical_Examinations[],10,FALSE)</f>
        <v>Normal</v>
      </c>
      <c r="M2008">
        <f>VLOOKUP(A2008,Hospitalisation_Details__2[],4,FALSE)</f>
        <v>3162.02</v>
      </c>
      <c r="N2008" t="str">
        <f>VLOOKUP(A2008,Hospitalisation_Details__2[],5,FALSE)</f>
        <v>tier - 2</v>
      </c>
      <c r="O2008" t="str">
        <f>VLOOKUP(A2008,Hospitalisation_Details__2[],6,FALSE)</f>
        <v>tier - 3</v>
      </c>
      <c r="P2008" t="str">
        <f>VLOOKUP(A2008,Hospitalisation_Details__2[],7,FALSE)</f>
        <v>R1013</v>
      </c>
    </row>
    <row r="2009" spans="1:16" x14ac:dyDescent="0.35">
      <c r="A2009" t="str">
        <v>Id2008</v>
      </c>
      <c r="B2009" t="str">
        <f>VLOOKUP(A2009,'Customer Names (2)'!A:B, 2,FALSE)</f>
        <v>Ms</v>
      </c>
      <c r="C2009">
        <f>VLOOKUP(A2009,Medical_Examinations[],2,FALSE)</f>
        <v>25.8</v>
      </c>
      <c r="D2009">
        <f>VLOOKUP(A2009,Medical_Examinations[],3,FALSE)</f>
        <v>5.49</v>
      </c>
      <c r="E2009" t="str">
        <f>VLOOKUP(A2009,Medical_Examinations[],4,FALSE)</f>
        <v>No</v>
      </c>
      <c r="F2009" t="str">
        <f>VLOOKUP(A2009,Medical_Examinations[],5,FALSE)</f>
        <v>No</v>
      </c>
      <c r="G2009" t="str">
        <f>VLOOKUP(A2009,Medical_Examinations[],6,FALSE)</f>
        <v>No</v>
      </c>
      <c r="H2009">
        <f>VLOOKUP(A2009,Medical_Examinations[],7,FALSE)</f>
        <v>0</v>
      </c>
      <c r="I2009" t="str">
        <f>VLOOKUP(A2009,Medical_Examinations[],8,FALSE)</f>
        <v>No</v>
      </c>
      <c r="J2009" t="str">
        <f>VLOOKUP(A2009,Medical_Examinations[],9,FALSE)</f>
        <v>Overweight</v>
      </c>
      <c r="K2009" t="str">
        <f>VLOOKUP(A2009,Medical_Examinations[],10,FALSE)</f>
        <v>Normal</v>
      </c>
      <c r="M2009">
        <f>VLOOKUP(A2009,Hospitalisation_Details__2[],4,FALSE)</f>
        <v>3161.45</v>
      </c>
      <c r="N2009" t="str">
        <f>VLOOKUP(A2009,Hospitalisation_Details__2[],5,FALSE)</f>
        <v>tier - 2</v>
      </c>
      <c r="O2009" t="str">
        <f>VLOOKUP(A2009,Hospitalisation_Details__2[],6,FALSE)</f>
        <v>tier - 1</v>
      </c>
      <c r="P2009" t="str">
        <f>VLOOKUP(A2009,Hospitalisation_Details__2[],7,FALSE)</f>
        <v>R1011</v>
      </c>
    </row>
    <row r="2010" spans="1:16" x14ac:dyDescent="0.35">
      <c r="A2010" t="str">
        <v>Id2009</v>
      </c>
      <c r="B2010" t="str">
        <f>VLOOKUP(A2010,'Customer Names (2)'!A:B, 2,FALSE)</f>
        <v>Mr</v>
      </c>
      <c r="C2010">
        <f>VLOOKUP(A2010,Medical_Examinations[],2,FALSE)</f>
        <v>27.39</v>
      </c>
      <c r="D2010">
        <f>VLOOKUP(A2010,Medical_Examinations[],3,FALSE)</f>
        <v>5.34</v>
      </c>
      <c r="E2010" t="str">
        <f>VLOOKUP(A2010,Medical_Examinations[],4,FALSE)</f>
        <v>No</v>
      </c>
      <c r="F2010" t="str">
        <f>VLOOKUP(A2010,Medical_Examinations[],5,FALSE)</f>
        <v>No</v>
      </c>
      <c r="G2010" t="str">
        <f>VLOOKUP(A2010,Medical_Examinations[],6,FALSE)</f>
        <v>No</v>
      </c>
      <c r="H2010">
        <f>VLOOKUP(A2010,Medical_Examinations[],7,FALSE)</f>
        <v>0</v>
      </c>
      <c r="I2010" t="str">
        <f>VLOOKUP(A2010,Medical_Examinations[],8,FALSE)</f>
        <v>No</v>
      </c>
      <c r="J2010" t="str">
        <f>VLOOKUP(A2010,Medical_Examinations[],9,FALSE)</f>
        <v>Overweight</v>
      </c>
      <c r="K2010" t="str">
        <f>VLOOKUP(A2010,Medical_Examinations[],10,FALSE)</f>
        <v>Normal</v>
      </c>
      <c r="M2010">
        <f>VLOOKUP(A2010,Hospitalisation_Details__2[],4,FALSE)</f>
        <v>3128.35</v>
      </c>
      <c r="N2010" t="str">
        <f>VLOOKUP(A2010,Hospitalisation_Details__2[],5,FALSE)</f>
        <v>tier - 2</v>
      </c>
      <c r="O2010" t="str">
        <f>VLOOKUP(A2010,Hospitalisation_Details__2[],6,FALSE)</f>
        <v>tier - 3</v>
      </c>
      <c r="P2010" t="str">
        <f>VLOOKUP(A2010,Hospitalisation_Details__2[],7,FALSE)</f>
        <v>R1021</v>
      </c>
    </row>
    <row r="2011" spans="1:16" x14ac:dyDescent="0.35">
      <c r="A2011" t="str">
        <v>Id2010</v>
      </c>
      <c r="B2011" t="str">
        <f>VLOOKUP(A2011,'Customer Names (2)'!A:B, 2,FALSE)</f>
        <v>Mr</v>
      </c>
      <c r="C2011">
        <f>VLOOKUP(A2011,Medical_Examinations[],2,FALSE)</f>
        <v>17.03</v>
      </c>
      <c r="D2011">
        <f>VLOOKUP(A2011,Medical_Examinations[],3,FALSE)</f>
        <v>4.12</v>
      </c>
      <c r="E2011" t="str">
        <f>VLOOKUP(A2011,Medical_Examinations[],4,FALSE)</f>
        <v>No</v>
      </c>
      <c r="F2011" t="str">
        <f>VLOOKUP(A2011,Medical_Examinations[],5,FALSE)</f>
        <v>No</v>
      </c>
      <c r="G2011" t="str">
        <f>VLOOKUP(A2011,Medical_Examinations[],6,FALSE)</f>
        <v>No</v>
      </c>
      <c r="H2011">
        <f>VLOOKUP(A2011,Medical_Examinations[],7,FALSE)</f>
        <v>1</v>
      </c>
      <c r="I2011" t="str">
        <f>VLOOKUP(A2011,Medical_Examinations[],8,FALSE)</f>
        <v>No</v>
      </c>
      <c r="J2011" t="str">
        <f>VLOOKUP(A2011,Medical_Examinations[],9,FALSE)</f>
        <v>Underweight</v>
      </c>
      <c r="K2011" t="str">
        <f>VLOOKUP(A2011,Medical_Examinations[],10,FALSE)</f>
        <v>Normal</v>
      </c>
      <c r="M2011">
        <f>VLOOKUP(A2011,Hospitalisation_Details__2[],4,FALSE)</f>
        <v>3088.06</v>
      </c>
      <c r="N2011" t="str">
        <f>VLOOKUP(A2011,Hospitalisation_Details__2[],5,FALSE)</f>
        <v>tier - 2</v>
      </c>
      <c r="O2011" t="str">
        <f>VLOOKUP(A2011,Hospitalisation_Details__2[],6,FALSE)</f>
        <v>tier - 2</v>
      </c>
      <c r="P2011" t="str">
        <f>VLOOKUP(A2011,Hospitalisation_Details__2[],7,FALSE)</f>
        <v>R1013</v>
      </c>
    </row>
    <row r="2012" spans="1:16" x14ac:dyDescent="0.35">
      <c r="A2012" t="str">
        <v>Id2011</v>
      </c>
      <c r="B2012" t="str">
        <f>VLOOKUP(A2012,'Customer Names (2)'!A:B, 2,FALSE)</f>
        <v>Mr</v>
      </c>
      <c r="C2012">
        <f>VLOOKUP(A2012,Medical_Examinations[],2,FALSE)</f>
        <v>23.75</v>
      </c>
      <c r="D2012">
        <f>VLOOKUP(A2012,Medical_Examinations[],3,FALSE)</f>
        <v>5.49</v>
      </c>
      <c r="E2012" t="str">
        <f>VLOOKUP(A2012,Medical_Examinations[],4,FALSE)</f>
        <v>Yes</v>
      </c>
      <c r="F2012" t="str">
        <f>VLOOKUP(A2012,Medical_Examinations[],5,FALSE)</f>
        <v>No</v>
      </c>
      <c r="G2012" t="str">
        <f>VLOOKUP(A2012,Medical_Examinations[],6,FALSE)</f>
        <v>No</v>
      </c>
      <c r="H2012">
        <f>VLOOKUP(A2012,Medical_Examinations[],7,FALSE)</f>
        <v>0</v>
      </c>
      <c r="I2012" t="str">
        <f>VLOOKUP(A2012,Medical_Examinations[],8,FALSE)</f>
        <v>No</v>
      </c>
      <c r="J2012" t="str">
        <f>VLOOKUP(A2012,Medical_Examinations[],9,FALSE)</f>
        <v>Normal Weight</v>
      </c>
      <c r="K2012" t="str">
        <f>VLOOKUP(A2012,Medical_Examinations[],10,FALSE)</f>
        <v>Normal</v>
      </c>
      <c r="M2012">
        <f>VLOOKUP(A2012,Hospitalisation_Details__2[],4,FALSE)</f>
        <v>3077.1</v>
      </c>
      <c r="N2012" t="str">
        <f>VLOOKUP(A2012,Hospitalisation_Details__2[],5,FALSE)</f>
        <v>tier - 2</v>
      </c>
      <c r="O2012" t="str">
        <f>VLOOKUP(A2012,Hospitalisation_Details__2[],6,FALSE)</f>
        <v>tier - 1</v>
      </c>
      <c r="P2012" t="str">
        <f>VLOOKUP(A2012,Hospitalisation_Details__2[],7,FALSE)</f>
        <v>R1012</v>
      </c>
    </row>
    <row r="2013" spans="1:16" x14ac:dyDescent="0.35">
      <c r="A2013" t="str">
        <v>Id2012</v>
      </c>
      <c r="B2013" t="str">
        <f>VLOOKUP(A2013,'Customer Names (2)'!A:B, 2,FALSE)</f>
        <v>Mr</v>
      </c>
      <c r="C2013">
        <f>VLOOKUP(A2013,Medical_Examinations[],2,FALSE)</f>
        <v>26.03</v>
      </c>
      <c r="D2013">
        <f>VLOOKUP(A2013,Medical_Examinations[],3,FALSE)</f>
        <v>5.1100000000000003</v>
      </c>
      <c r="E2013" t="str">
        <f>VLOOKUP(A2013,Medical_Examinations[],4,FALSE)</f>
        <v>Yes</v>
      </c>
      <c r="F2013" t="str">
        <f>VLOOKUP(A2013,Medical_Examinations[],5,FALSE)</f>
        <v>No</v>
      </c>
      <c r="G2013" t="str">
        <f>VLOOKUP(A2013,Medical_Examinations[],6,FALSE)</f>
        <v>No</v>
      </c>
      <c r="H2013">
        <f>VLOOKUP(A2013,Medical_Examinations[],7,FALSE)</f>
        <v>1</v>
      </c>
      <c r="I2013" t="str">
        <f>VLOOKUP(A2013,Medical_Examinations[],8,FALSE)</f>
        <v>No</v>
      </c>
      <c r="J2013" t="str">
        <f>VLOOKUP(A2013,Medical_Examinations[],9,FALSE)</f>
        <v>Overweight</v>
      </c>
      <c r="K2013" t="str">
        <f>VLOOKUP(A2013,Medical_Examinations[],10,FALSE)</f>
        <v>Normal</v>
      </c>
      <c r="M2013">
        <f>VLOOKUP(A2013,Hospitalisation_Details__2[],4,FALSE)</f>
        <v>3070.81</v>
      </c>
      <c r="N2013" t="str">
        <f>VLOOKUP(A2013,Hospitalisation_Details__2[],5,FALSE)</f>
        <v>tier - 3</v>
      </c>
      <c r="O2013" t="str">
        <f>VLOOKUP(A2013,Hospitalisation_Details__2[],6,FALSE)</f>
        <v>tier - 1</v>
      </c>
      <c r="P2013" t="str">
        <f>VLOOKUP(A2013,Hospitalisation_Details__2[],7,FALSE)</f>
        <v>R1017</v>
      </c>
    </row>
    <row r="2014" spans="1:16" x14ac:dyDescent="0.35">
      <c r="A2014" t="str">
        <v>Id2013</v>
      </c>
      <c r="B2014" t="str">
        <f>VLOOKUP(A2014,'Customer Names (2)'!A:B, 2,FALSE)</f>
        <v>Ms</v>
      </c>
      <c r="C2014">
        <f>VLOOKUP(A2014,Medical_Examinations[],2,FALSE)</f>
        <v>16.079999999999998</v>
      </c>
      <c r="D2014">
        <f>VLOOKUP(A2014,Medical_Examinations[],3,FALSE)</f>
        <v>5.94</v>
      </c>
      <c r="E2014" t="str">
        <f>VLOOKUP(A2014,Medical_Examinations[],4,FALSE)</f>
        <v>No</v>
      </c>
      <c r="F2014" t="str">
        <f>VLOOKUP(A2014,Medical_Examinations[],5,FALSE)</f>
        <v>No</v>
      </c>
      <c r="G2014" t="str">
        <f>VLOOKUP(A2014,Medical_Examinations[],6,FALSE)</f>
        <v>No</v>
      </c>
      <c r="H2014">
        <f>VLOOKUP(A2014,Medical_Examinations[],7,FALSE)</f>
        <v>0</v>
      </c>
      <c r="I2014" t="str">
        <f>VLOOKUP(A2014,Medical_Examinations[],8,FALSE)</f>
        <v>No</v>
      </c>
      <c r="J2014" t="str">
        <f>VLOOKUP(A2014,Medical_Examinations[],9,FALSE)</f>
        <v>Underweight</v>
      </c>
      <c r="K2014" t="str">
        <f>VLOOKUP(A2014,Medical_Examinations[],10,FALSE)</f>
        <v>Prediabetes</v>
      </c>
      <c r="M2014">
        <f>VLOOKUP(A2014,Hospitalisation_Details__2[],4,FALSE)</f>
        <v>3065.49</v>
      </c>
      <c r="N2014" t="str">
        <f>VLOOKUP(A2014,Hospitalisation_Details__2[],5,FALSE)</f>
        <v>tier - 2</v>
      </c>
      <c r="O2014" t="str">
        <f>VLOOKUP(A2014,Hospitalisation_Details__2[],6,FALSE)</f>
        <v>tier - 1</v>
      </c>
      <c r="P2014" t="str">
        <f>VLOOKUP(A2014,Hospitalisation_Details__2[],7,FALSE)</f>
        <v>R1012</v>
      </c>
    </row>
    <row r="2015" spans="1:16" x14ac:dyDescent="0.35">
      <c r="A2015" t="str">
        <v>Id2014</v>
      </c>
      <c r="B2015" t="str">
        <f>VLOOKUP(A2015,'Customer Names (2)'!A:B, 2,FALSE)</f>
        <v>Mr</v>
      </c>
      <c r="C2015">
        <f>VLOOKUP(A2015,Medical_Examinations[],2,FALSE)</f>
        <v>30.875</v>
      </c>
      <c r="D2015">
        <f>VLOOKUP(A2015,Medical_Examinations[],3,FALSE)</f>
        <v>5.54</v>
      </c>
      <c r="E2015" t="str">
        <f>VLOOKUP(A2015,Medical_Examinations[],4,FALSE)</f>
        <v>No</v>
      </c>
      <c r="F2015" t="str">
        <f>VLOOKUP(A2015,Medical_Examinations[],5,FALSE)</f>
        <v>No</v>
      </c>
      <c r="G2015" t="str">
        <f>VLOOKUP(A2015,Medical_Examinations[],6,FALSE)</f>
        <v>No</v>
      </c>
      <c r="H2015">
        <f>VLOOKUP(A2015,Medical_Examinations[],7,FALSE)</f>
        <v>0</v>
      </c>
      <c r="I2015" t="str">
        <f>VLOOKUP(A2015,Medical_Examinations[],8,FALSE)</f>
        <v>No</v>
      </c>
      <c r="J2015" t="str">
        <f>VLOOKUP(A2015,Medical_Examinations[],9,FALSE)</f>
        <v>Obesity</v>
      </c>
      <c r="K2015" t="str">
        <f>VLOOKUP(A2015,Medical_Examinations[],10,FALSE)</f>
        <v>Normal</v>
      </c>
      <c r="M2015">
        <f>VLOOKUP(A2015,Hospitalisation_Details__2[],4,FALSE)</f>
        <v>3062.51</v>
      </c>
      <c r="N2015" t="str">
        <f>VLOOKUP(A2015,Hospitalisation_Details__2[],5,FALSE)</f>
        <v>tier - 3</v>
      </c>
      <c r="O2015" t="str">
        <f>VLOOKUP(A2015,Hospitalisation_Details__2[],6,FALSE)</f>
        <v>tier - 1</v>
      </c>
      <c r="P2015" t="str">
        <f>VLOOKUP(A2015,Hospitalisation_Details__2[],7,FALSE)</f>
        <v>R1012</v>
      </c>
    </row>
    <row r="2016" spans="1:16" x14ac:dyDescent="0.35">
      <c r="A2016" t="str">
        <v>Id2015</v>
      </c>
      <c r="B2016" t="str">
        <f>VLOOKUP(A2016,'Customer Names (2)'!A:B, 2,FALSE)</f>
        <v>Ms</v>
      </c>
      <c r="C2016">
        <f>VLOOKUP(A2016,Medical_Examinations[],2,FALSE)</f>
        <v>31.79</v>
      </c>
      <c r="D2016">
        <f>VLOOKUP(A2016,Medical_Examinations[],3,FALSE)</f>
        <v>7.09</v>
      </c>
      <c r="E2016" t="str">
        <f>VLOOKUP(A2016,Medical_Examinations[],4,FALSE)</f>
        <v>No</v>
      </c>
      <c r="F2016" t="str">
        <f>VLOOKUP(A2016,Medical_Examinations[],5,FALSE)</f>
        <v>No</v>
      </c>
      <c r="G2016" t="str">
        <f>VLOOKUP(A2016,Medical_Examinations[],6,FALSE)</f>
        <v>No</v>
      </c>
      <c r="H2016">
        <f>VLOOKUP(A2016,Medical_Examinations[],7,FALSE)</f>
        <v>0</v>
      </c>
      <c r="I2016" t="str">
        <f>VLOOKUP(A2016,Medical_Examinations[],8,FALSE)</f>
        <v>No</v>
      </c>
      <c r="J2016" t="str">
        <f>VLOOKUP(A2016,Medical_Examinations[],9,FALSE)</f>
        <v>Obesity</v>
      </c>
      <c r="K2016" t="str">
        <f>VLOOKUP(A2016,Medical_Examinations[],10,FALSE)</f>
        <v>Diabetes</v>
      </c>
      <c r="M2016">
        <f>VLOOKUP(A2016,Hospitalisation_Details__2[],4,FALSE)</f>
        <v>3056.39</v>
      </c>
      <c r="N2016" t="str">
        <f>VLOOKUP(A2016,Hospitalisation_Details__2[],5,FALSE)</f>
        <v>tier - 2</v>
      </c>
      <c r="O2016" t="str">
        <f>VLOOKUP(A2016,Hospitalisation_Details__2[],6,FALSE)</f>
        <v>tier - 3</v>
      </c>
      <c r="P2016" t="str">
        <f>VLOOKUP(A2016,Hospitalisation_Details__2[],7,FALSE)</f>
        <v>R1013</v>
      </c>
    </row>
    <row r="2017" spans="1:16" x14ac:dyDescent="0.35">
      <c r="A2017" t="str">
        <v>Id2016</v>
      </c>
      <c r="B2017" t="str">
        <f>VLOOKUP(A2017,'Customer Names (2)'!A:B, 2,FALSE)</f>
        <v>Mr</v>
      </c>
      <c r="C2017">
        <f>VLOOKUP(A2017,Medical_Examinations[],2,FALSE)</f>
        <v>28.48</v>
      </c>
      <c r="D2017">
        <f>VLOOKUP(A2017,Medical_Examinations[],3,FALSE)</f>
        <v>6.22</v>
      </c>
      <c r="E2017" t="str">
        <f>VLOOKUP(A2017,Medical_Examinations[],4,FALSE)</f>
        <v>Yes</v>
      </c>
      <c r="F2017" t="str">
        <f>VLOOKUP(A2017,Medical_Examinations[],5,FALSE)</f>
        <v>No</v>
      </c>
      <c r="G2017" t="str">
        <f>VLOOKUP(A2017,Medical_Examinations[],6,FALSE)</f>
        <v>Yes</v>
      </c>
      <c r="H2017">
        <f>VLOOKUP(A2017,Medical_Examinations[],7,FALSE)</f>
        <v>1</v>
      </c>
      <c r="I2017" t="str">
        <f>VLOOKUP(A2017,Medical_Examinations[],8,FALSE)</f>
        <v>No</v>
      </c>
      <c r="J2017" t="str">
        <f>VLOOKUP(A2017,Medical_Examinations[],9,FALSE)</f>
        <v>Overweight</v>
      </c>
      <c r="K2017" t="str">
        <f>VLOOKUP(A2017,Medical_Examinations[],10,FALSE)</f>
        <v>Prediabetes</v>
      </c>
      <c r="M2017">
        <f>VLOOKUP(A2017,Hospitalisation_Details__2[],4,FALSE)</f>
        <v>3051.73</v>
      </c>
      <c r="N2017" t="str">
        <f>VLOOKUP(A2017,Hospitalisation_Details__2[],5,FALSE)</f>
        <v>tier - 2</v>
      </c>
      <c r="O2017" t="str">
        <f>VLOOKUP(A2017,Hospitalisation_Details__2[],6,FALSE)</f>
        <v>tier - 2</v>
      </c>
      <c r="P2017" t="str">
        <f>VLOOKUP(A2017,Hospitalisation_Details__2[],7,FALSE)</f>
        <v>R1011</v>
      </c>
    </row>
    <row r="2018" spans="1:16" x14ac:dyDescent="0.35">
      <c r="A2018" t="str">
        <v>Id2017</v>
      </c>
      <c r="B2018" t="str">
        <f>VLOOKUP(A2018,'Customer Names (2)'!A:B, 2,FALSE)</f>
        <v>Ms</v>
      </c>
      <c r="C2018">
        <f>VLOOKUP(A2018,Medical_Examinations[],2,FALSE)</f>
        <v>26.6</v>
      </c>
      <c r="D2018">
        <f>VLOOKUP(A2018,Medical_Examinations[],3,FALSE)</f>
        <v>4.33</v>
      </c>
      <c r="E2018" t="str">
        <f>VLOOKUP(A2018,Medical_Examinations[],4,FALSE)</f>
        <v>No</v>
      </c>
      <c r="F2018" t="str">
        <f>VLOOKUP(A2018,Medical_Examinations[],5,FALSE)</f>
        <v>No</v>
      </c>
      <c r="G2018" t="str">
        <f>VLOOKUP(A2018,Medical_Examinations[],6,FALSE)</f>
        <v>No</v>
      </c>
      <c r="H2018">
        <f>VLOOKUP(A2018,Medical_Examinations[],7,FALSE)</f>
        <v>1</v>
      </c>
      <c r="I2018" t="str">
        <f>VLOOKUP(A2018,Medical_Examinations[],8,FALSE)</f>
        <v>No</v>
      </c>
      <c r="J2018" t="str">
        <f>VLOOKUP(A2018,Medical_Examinations[],9,FALSE)</f>
        <v>Overweight</v>
      </c>
      <c r="K2018" t="str">
        <f>VLOOKUP(A2018,Medical_Examinations[],10,FALSE)</f>
        <v>Normal</v>
      </c>
      <c r="M2018">
        <f>VLOOKUP(A2018,Hospitalisation_Details__2[],4,FALSE)</f>
        <v>3046.06</v>
      </c>
      <c r="N2018" t="str">
        <f>VLOOKUP(A2018,Hospitalisation_Details__2[],5,FALSE)</f>
        <v>tier - 2</v>
      </c>
      <c r="O2018" t="str">
        <f>VLOOKUP(A2018,Hospitalisation_Details__2[],6,FALSE)</f>
        <v>tier - 1</v>
      </c>
      <c r="P2018" t="str">
        <f>VLOOKUP(A2018,Hospitalisation_Details__2[],7,FALSE)</f>
        <v>R1023</v>
      </c>
    </row>
    <row r="2019" spans="1:16" x14ac:dyDescent="0.35">
      <c r="A2019" t="str">
        <v>Id2018</v>
      </c>
      <c r="B2019" t="str">
        <f>VLOOKUP(A2019,'Customer Names (2)'!A:B, 2,FALSE)</f>
        <v>Ms</v>
      </c>
      <c r="C2019">
        <f>VLOOKUP(A2019,Medical_Examinations[],2,FALSE)</f>
        <v>25.27</v>
      </c>
      <c r="D2019">
        <f>VLOOKUP(A2019,Medical_Examinations[],3,FALSE)</f>
        <v>5.83</v>
      </c>
      <c r="E2019" t="str">
        <f>VLOOKUP(A2019,Medical_Examinations[],4,FALSE)</f>
        <v>No</v>
      </c>
      <c r="F2019" t="str">
        <f>VLOOKUP(A2019,Medical_Examinations[],5,FALSE)</f>
        <v>No</v>
      </c>
      <c r="G2019" t="str">
        <f>VLOOKUP(A2019,Medical_Examinations[],6,FALSE)</f>
        <v>No</v>
      </c>
      <c r="H2019">
        <f>VLOOKUP(A2019,Medical_Examinations[],7,FALSE)</f>
        <v>1</v>
      </c>
      <c r="I2019" t="str">
        <f>VLOOKUP(A2019,Medical_Examinations[],8,FALSE)</f>
        <v>No</v>
      </c>
      <c r="J2019" t="str">
        <f>VLOOKUP(A2019,Medical_Examinations[],9,FALSE)</f>
        <v>Overweight</v>
      </c>
      <c r="K2019" t="str">
        <f>VLOOKUP(A2019,Medical_Examinations[],10,FALSE)</f>
        <v>Prediabetes</v>
      </c>
      <c r="M2019">
        <f>VLOOKUP(A2019,Hospitalisation_Details__2[],4,FALSE)</f>
        <v>3044.21</v>
      </c>
      <c r="N2019" t="str">
        <f>VLOOKUP(A2019,Hospitalisation_Details__2[],5,FALSE)</f>
        <v>tier - 2</v>
      </c>
      <c r="O2019" t="str">
        <f>VLOOKUP(A2019,Hospitalisation_Details__2[],6,FALSE)</f>
        <v>tier - 3</v>
      </c>
      <c r="P2019" t="str">
        <f>VLOOKUP(A2019,Hospitalisation_Details__2[],7,FALSE)</f>
        <v>R1024</v>
      </c>
    </row>
    <row r="2020" spans="1:16" x14ac:dyDescent="0.35">
      <c r="A2020" t="str">
        <v>Id2019</v>
      </c>
      <c r="B2020" t="str">
        <f>VLOOKUP(A2020,'Customer Names (2)'!A:B, 2,FALSE)</f>
        <v>Ms</v>
      </c>
      <c r="C2020">
        <f>VLOOKUP(A2020,Medical_Examinations[],2,FALSE)</f>
        <v>34.484999999999999</v>
      </c>
      <c r="D2020">
        <f>VLOOKUP(A2020,Medical_Examinations[],3,FALSE)</f>
        <v>4.7</v>
      </c>
      <c r="E2020" t="str">
        <f>VLOOKUP(A2020,Medical_Examinations[],4,FALSE)</f>
        <v>Yes</v>
      </c>
      <c r="F2020" t="str">
        <f>VLOOKUP(A2020,Medical_Examinations[],5,FALSE)</f>
        <v>No</v>
      </c>
      <c r="G2020" t="str">
        <f>VLOOKUP(A2020,Medical_Examinations[],6,FALSE)</f>
        <v>Yes</v>
      </c>
      <c r="H2020">
        <f>VLOOKUP(A2020,Medical_Examinations[],7,FALSE)</f>
        <v>1</v>
      </c>
      <c r="I2020" t="str">
        <f>VLOOKUP(A2020,Medical_Examinations[],8,FALSE)</f>
        <v>No</v>
      </c>
      <c r="J2020" t="str">
        <f>VLOOKUP(A2020,Medical_Examinations[],9,FALSE)</f>
        <v>Obesity</v>
      </c>
      <c r="K2020" t="str">
        <f>VLOOKUP(A2020,Medical_Examinations[],10,FALSE)</f>
        <v>Normal</v>
      </c>
      <c r="M2020">
        <f>VLOOKUP(A2020,Hospitalisation_Details__2[],4,FALSE)</f>
        <v>3021.81</v>
      </c>
      <c r="N2020" t="str">
        <f>VLOOKUP(A2020,Hospitalisation_Details__2[],5,FALSE)</f>
        <v>tier - 2</v>
      </c>
      <c r="O2020" t="str">
        <f>VLOOKUP(A2020,Hospitalisation_Details__2[],6,FALSE)</f>
        <v>tier - 3</v>
      </c>
      <c r="P2020" t="str">
        <f>VLOOKUP(A2020,Hospitalisation_Details__2[],7,FALSE)</f>
        <v>R1012</v>
      </c>
    </row>
    <row r="2021" spans="1:16" x14ac:dyDescent="0.35">
      <c r="A2021" t="str">
        <v>Id2020</v>
      </c>
      <c r="B2021" t="str">
        <f>VLOOKUP(A2021,'Customer Names (2)'!A:B, 2,FALSE)</f>
        <v>Mr</v>
      </c>
      <c r="C2021">
        <f>VLOOKUP(A2021,Medical_Examinations[],2,FALSE)</f>
        <v>15.57</v>
      </c>
      <c r="D2021">
        <f>VLOOKUP(A2021,Medical_Examinations[],3,FALSE)</f>
        <v>4.07</v>
      </c>
      <c r="E2021" t="str">
        <f>VLOOKUP(A2021,Medical_Examinations[],4,FALSE)</f>
        <v>Yes</v>
      </c>
      <c r="F2021" t="str">
        <f>VLOOKUP(A2021,Medical_Examinations[],5,FALSE)</f>
        <v>No</v>
      </c>
      <c r="G2021" t="str">
        <f>VLOOKUP(A2021,Medical_Examinations[],6,FALSE)</f>
        <v>No</v>
      </c>
      <c r="H2021">
        <f>VLOOKUP(A2021,Medical_Examinations[],7,FALSE)</f>
        <v>1</v>
      </c>
      <c r="I2021" t="str">
        <f>VLOOKUP(A2021,Medical_Examinations[],8,FALSE)</f>
        <v>No</v>
      </c>
      <c r="J2021" t="str">
        <f>VLOOKUP(A2021,Medical_Examinations[],9,FALSE)</f>
        <v>Underweight</v>
      </c>
      <c r="K2021" t="str">
        <f>VLOOKUP(A2021,Medical_Examinations[],10,FALSE)</f>
        <v>Normal</v>
      </c>
      <c r="M2021">
        <f>VLOOKUP(A2021,Hospitalisation_Details__2[],4,FALSE)</f>
        <v>3018.04</v>
      </c>
      <c r="N2021" t="str">
        <f>VLOOKUP(A2021,Hospitalisation_Details__2[],5,FALSE)</f>
        <v>tier - 2</v>
      </c>
      <c r="O2021" t="str">
        <f>VLOOKUP(A2021,Hospitalisation_Details__2[],6,FALSE)</f>
        <v>tier - 2</v>
      </c>
      <c r="P2021" t="str">
        <f>VLOOKUP(A2021,Hospitalisation_Details__2[],7,FALSE)</f>
        <v>R1012</v>
      </c>
    </row>
    <row r="2022" spans="1:16" x14ac:dyDescent="0.35">
      <c r="A2022" t="str">
        <v>Id2021</v>
      </c>
      <c r="B2022" t="str">
        <f>VLOOKUP(A2022,'Customer Names (2)'!A:B, 2,FALSE)</f>
        <v>Mr</v>
      </c>
      <c r="C2022">
        <f>VLOOKUP(A2022,Medical_Examinations[],2,FALSE)</f>
        <v>30.36</v>
      </c>
      <c r="D2022">
        <f>VLOOKUP(A2022,Medical_Examinations[],3,FALSE)</f>
        <v>9.39</v>
      </c>
      <c r="E2022" t="str">
        <f>VLOOKUP(A2022,Medical_Examinations[],4,FALSE)</f>
        <v>No</v>
      </c>
      <c r="F2022" t="str">
        <f>VLOOKUP(A2022,Medical_Examinations[],5,FALSE)</f>
        <v>No</v>
      </c>
      <c r="G2022" t="str">
        <f>VLOOKUP(A2022,Medical_Examinations[],6,FALSE)</f>
        <v>No</v>
      </c>
      <c r="H2022">
        <f>VLOOKUP(A2022,Medical_Examinations[],7,FALSE)</f>
        <v>0</v>
      </c>
      <c r="I2022" t="str">
        <f>VLOOKUP(A2022,Medical_Examinations[],8,FALSE)</f>
        <v>No</v>
      </c>
      <c r="J2022" t="str">
        <f>VLOOKUP(A2022,Medical_Examinations[],9,FALSE)</f>
        <v>Obesity</v>
      </c>
      <c r="K2022" t="str">
        <f>VLOOKUP(A2022,Medical_Examinations[],10,FALSE)</f>
        <v>Diabetes</v>
      </c>
      <c r="M2022">
        <f>VLOOKUP(A2022,Hospitalisation_Details__2[],4,FALSE)</f>
        <v>3012.22</v>
      </c>
      <c r="N2022" t="str">
        <f>VLOOKUP(A2022,Hospitalisation_Details__2[],5,FALSE)</f>
        <v>tier - 2</v>
      </c>
      <c r="O2022" t="str">
        <f>VLOOKUP(A2022,Hospitalisation_Details__2[],6,FALSE)</f>
        <v>tier - 3</v>
      </c>
      <c r="P2022" t="str">
        <f>VLOOKUP(A2022,Hospitalisation_Details__2[],7,FALSE)</f>
        <v>R1012</v>
      </c>
    </row>
    <row r="2023" spans="1:16" x14ac:dyDescent="0.35">
      <c r="A2023" t="str">
        <v>Id2022</v>
      </c>
      <c r="B2023" t="str">
        <f>VLOOKUP(A2023,'Customer Names (2)'!A:B, 2,FALSE)</f>
        <v>Ms</v>
      </c>
      <c r="C2023">
        <f>VLOOKUP(A2023,Medical_Examinations[],2,FALSE)</f>
        <v>19.37</v>
      </c>
      <c r="D2023">
        <f>VLOOKUP(A2023,Medical_Examinations[],3,FALSE)</f>
        <v>4.18</v>
      </c>
      <c r="E2023" t="str">
        <f>VLOOKUP(A2023,Medical_Examinations[],4,FALSE)</f>
        <v>No</v>
      </c>
      <c r="F2023" t="str">
        <f>VLOOKUP(A2023,Medical_Examinations[],5,FALSE)</f>
        <v>No</v>
      </c>
      <c r="G2023" t="str">
        <f>VLOOKUP(A2023,Medical_Examinations[],6,FALSE)</f>
        <v>No</v>
      </c>
      <c r="H2023">
        <f>VLOOKUP(A2023,Medical_Examinations[],7,FALSE)</f>
        <v>0</v>
      </c>
      <c r="I2023" t="str">
        <f>VLOOKUP(A2023,Medical_Examinations[],8,FALSE)</f>
        <v>No</v>
      </c>
      <c r="J2023" t="str">
        <f>VLOOKUP(A2023,Medical_Examinations[],9,FALSE)</f>
        <v>Normal Weight</v>
      </c>
      <c r="K2023" t="str">
        <f>VLOOKUP(A2023,Medical_Examinations[],10,FALSE)</f>
        <v>Normal</v>
      </c>
      <c r="M2023">
        <f>VLOOKUP(A2023,Hospitalisation_Details__2[],4,FALSE)</f>
        <v>2985.67</v>
      </c>
      <c r="N2023" t="str">
        <f>VLOOKUP(A2023,Hospitalisation_Details__2[],5,FALSE)</f>
        <v>tier - 2</v>
      </c>
      <c r="O2023" t="str">
        <f>VLOOKUP(A2023,Hospitalisation_Details__2[],6,FALSE)</f>
        <v>tier - 2</v>
      </c>
      <c r="P2023" t="str">
        <f>VLOOKUP(A2023,Hospitalisation_Details__2[],7,FALSE)</f>
        <v>R1013</v>
      </c>
    </row>
    <row r="2024" spans="1:16" x14ac:dyDescent="0.35">
      <c r="A2024" t="str">
        <v>Id2023</v>
      </c>
      <c r="B2024" t="str">
        <f>VLOOKUP(A2024,'Customer Names (2)'!A:B, 2,FALSE)</f>
        <v>Mr</v>
      </c>
      <c r="C2024">
        <f>VLOOKUP(A2024,Medical_Examinations[],2,FALSE)</f>
        <v>16.71</v>
      </c>
      <c r="D2024">
        <f>VLOOKUP(A2024,Medical_Examinations[],3,FALSE)</f>
        <v>4.18</v>
      </c>
      <c r="E2024" t="str">
        <f>VLOOKUP(A2024,Medical_Examinations[],4,FALSE)</f>
        <v>No</v>
      </c>
      <c r="F2024" t="str">
        <f>VLOOKUP(A2024,Medical_Examinations[],5,FALSE)</f>
        <v>No</v>
      </c>
      <c r="G2024" t="str">
        <f>VLOOKUP(A2024,Medical_Examinations[],6,FALSE)</f>
        <v>No</v>
      </c>
      <c r="H2024">
        <f>VLOOKUP(A2024,Medical_Examinations[],7,FALSE)</f>
        <v>1</v>
      </c>
      <c r="I2024" t="str">
        <f>VLOOKUP(A2024,Medical_Examinations[],8,FALSE)</f>
        <v>No</v>
      </c>
      <c r="J2024" t="str">
        <f>VLOOKUP(A2024,Medical_Examinations[],9,FALSE)</f>
        <v>Underweight</v>
      </c>
      <c r="K2024" t="str">
        <f>VLOOKUP(A2024,Medical_Examinations[],10,FALSE)</f>
        <v>Normal</v>
      </c>
      <c r="M2024">
        <f>VLOOKUP(A2024,Hospitalisation_Details__2[],4,FALSE)</f>
        <v>2979.52</v>
      </c>
      <c r="N2024" t="str">
        <f>VLOOKUP(A2024,Hospitalisation_Details__2[],5,FALSE)</f>
        <v>tier - 2</v>
      </c>
      <c r="O2024" t="str">
        <f>VLOOKUP(A2024,Hospitalisation_Details__2[],6,FALSE)</f>
        <v>tier - 3</v>
      </c>
      <c r="P2024" t="str">
        <f>VLOOKUP(A2024,Hospitalisation_Details__2[],7,FALSE)</f>
        <v>R1013</v>
      </c>
    </row>
    <row r="2025" spans="1:16" x14ac:dyDescent="0.35">
      <c r="A2025" t="str">
        <v>Id2024</v>
      </c>
      <c r="B2025" t="str">
        <f>VLOOKUP(A2025,'Customer Names (2)'!A:B, 2,FALSE)</f>
        <v>Ms</v>
      </c>
      <c r="C2025">
        <f>VLOOKUP(A2025,Medical_Examinations[],2,FALSE)</f>
        <v>24.1</v>
      </c>
      <c r="D2025">
        <f>VLOOKUP(A2025,Medical_Examinations[],3,FALSE)</f>
        <v>4.4000000000000004</v>
      </c>
      <c r="E2025" t="str">
        <f>VLOOKUP(A2025,Medical_Examinations[],4,FALSE)</f>
        <v>Yes</v>
      </c>
      <c r="F2025" t="str">
        <f>VLOOKUP(A2025,Medical_Examinations[],5,FALSE)</f>
        <v>No</v>
      </c>
      <c r="G2025" t="str">
        <f>VLOOKUP(A2025,Medical_Examinations[],6,FALSE)</f>
        <v>No</v>
      </c>
      <c r="H2025">
        <f>VLOOKUP(A2025,Medical_Examinations[],7,FALSE)</f>
        <v>1</v>
      </c>
      <c r="I2025" t="str">
        <f>VLOOKUP(A2025,Medical_Examinations[],8,FALSE)</f>
        <v>No</v>
      </c>
      <c r="J2025" t="str">
        <f>VLOOKUP(A2025,Medical_Examinations[],9,FALSE)</f>
        <v>Normal Weight</v>
      </c>
      <c r="K2025" t="str">
        <f>VLOOKUP(A2025,Medical_Examinations[],10,FALSE)</f>
        <v>Normal</v>
      </c>
      <c r="M2025">
        <f>VLOOKUP(A2025,Hospitalisation_Details__2[],4,FALSE)</f>
        <v>2974.13</v>
      </c>
      <c r="N2025" t="str">
        <f>VLOOKUP(A2025,Hospitalisation_Details__2[],5,FALSE)</f>
        <v>tier - 2</v>
      </c>
      <c r="O2025" t="str">
        <f>VLOOKUP(A2025,Hospitalisation_Details__2[],6,FALSE)</f>
        <v>tier - 1</v>
      </c>
      <c r="P2025" t="str">
        <f>VLOOKUP(A2025,Hospitalisation_Details__2[],7,FALSE)</f>
        <v>R1011</v>
      </c>
    </row>
    <row r="2026" spans="1:16" x14ac:dyDescent="0.35">
      <c r="A2026" t="str">
        <v>Id2025</v>
      </c>
      <c r="B2026" t="str">
        <f>VLOOKUP(A2026,'Customer Names (2)'!A:B, 2,FALSE)</f>
        <v>Ms</v>
      </c>
      <c r="C2026">
        <f>VLOOKUP(A2026,Medical_Examinations[],2,FALSE)</f>
        <v>29.77</v>
      </c>
      <c r="D2026">
        <f>VLOOKUP(A2026,Medical_Examinations[],3,FALSE)</f>
        <v>9.9</v>
      </c>
      <c r="E2026" t="str">
        <f>VLOOKUP(A2026,Medical_Examinations[],4,FALSE)</f>
        <v>No</v>
      </c>
      <c r="F2026" t="str">
        <f>VLOOKUP(A2026,Medical_Examinations[],5,FALSE)</f>
        <v>No</v>
      </c>
      <c r="G2026" t="str">
        <f>VLOOKUP(A2026,Medical_Examinations[],6,FALSE)</f>
        <v>No</v>
      </c>
      <c r="H2026">
        <f>VLOOKUP(A2026,Medical_Examinations[],7,FALSE)</f>
        <v>0</v>
      </c>
      <c r="I2026" t="str">
        <f>VLOOKUP(A2026,Medical_Examinations[],8,FALSE)</f>
        <v>No</v>
      </c>
      <c r="J2026" t="str">
        <f>VLOOKUP(A2026,Medical_Examinations[],9,FALSE)</f>
        <v>Overweight</v>
      </c>
      <c r="K2026" t="str">
        <f>VLOOKUP(A2026,Medical_Examinations[],10,FALSE)</f>
        <v>Diabetes</v>
      </c>
      <c r="M2026">
        <f>VLOOKUP(A2026,Hospitalisation_Details__2[],4,FALSE)</f>
        <v>2943.41</v>
      </c>
      <c r="N2026" t="str">
        <f>VLOOKUP(A2026,Hospitalisation_Details__2[],5,FALSE)</f>
        <v>tier - 2</v>
      </c>
      <c r="O2026" t="str">
        <f>VLOOKUP(A2026,Hospitalisation_Details__2[],6,FALSE)</f>
        <v>tier - 3</v>
      </c>
      <c r="P2026" t="str">
        <f>VLOOKUP(A2026,Hospitalisation_Details__2[],7,FALSE)</f>
        <v>R1012</v>
      </c>
    </row>
    <row r="2027" spans="1:16" x14ac:dyDescent="0.35">
      <c r="A2027" t="str">
        <v>Id2026</v>
      </c>
      <c r="B2027" t="str">
        <f>VLOOKUP(A2027,'Customer Names (2)'!A:B, 2,FALSE)</f>
        <v>Mr</v>
      </c>
      <c r="C2027">
        <f>VLOOKUP(A2027,Medical_Examinations[],2,FALSE)</f>
        <v>46.53</v>
      </c>
      <c r="D2027">
        <f>VLOOKUP(A2027,Medical_Examinations[],3,FALSE)</f>
        <v>4.84</v>
      </c>
      <c r="E2027" t="str">
        <f>VLOOKUP(A2027,Medical_Examinations[],4,FALSE)</f>
        <v>Yes</v>
      </c>
      <c r="F2027" t="str">
        <f>VLOOKUP(A2027,Medical_Examinations[],5,FALSE)</f>
        <v>No</v>
      </c>
      <c r="G2027" t="str">
        <f>VLOOKUP(A2027,Medical_Examinations[],6,FALSE)</f>
        <v>No</v>
      </c>
      <c r="H2027">
        <f>VLOOKUP(A2027,Medical_Examinations[],7,FALSE)</f>
        <v>0</v>
      </c>
      <c r="I2027" t="str">
        <f>VLOOKUP(A2027,Medical_Examinations[],8,FALSE)</f>
        <v>No</v>
      </c>
      <c r="J2027" t="str">
        <f>VLOOKUP(A2027,Medical_Examinations[],9,FALSE)</f>
        <v>Obesity</v>
      </c>
      <c r="K2027" t="str">
        <f>VLOOKUP(A2027,Medical_Examinations[],10,FALSE)</f>
        <v>Normal</v>
      </c>
      <c r="M2027">
        <f>VLOOKUP(A2027,Hospitalisation_Details__2[],4,FALSE)</f>
        <v>2927.06</v>
      </c>
      <c r="N2027" t="str">
        <f>VLOOKUP(A2027,Hospitalisation_Details__2[],5,FALSE)</f>
        <v>tier - 2</v>
      </c>
      <c r="O2027" t="str">
        <f>VLOOKUP(A2027,Hospitalisation_Details__2[],6,FALSE)</f>
        <v>tier - 2</v>
      </c>
      <c r="P2027" t="str">
        <f>VLOOKUP(A2027,Hospitalisation_Details__2[],7,FALSE)</f>
        <v>R1013</v>
      </c>
    </row>
    <row r="2028" spans="1:16" x14ac:dyDescent="0.35">
      <c r="A2028" t="str">
        <v>Id2027</v>
      </c>
      <c r="B2028" t="str">
        <f>VLOOKUP(A2028,'Customer Names (2)'!A:B, 2,FALSE)</f>
        <v>Ms</v>
      </c>
      <c r="C2028">
        <f>VLOOKUP(A2028,Medical_Examinations[],2,FALSE)</f>
        <v>23.4</v>
      </c>
      <c r="D2028">
        <f>VLOOKUP(A2028,Medical_Examinations[],3,FALSE)</f>
        <v>5.53</v>
      </c>
      <c r="E2028" t="str">
        <f>VLOOKUP(A2028,Medical_Examinations[],4,FALSE)</f>
        <v>No</v>
      </c>
      <c r="F2028" t="str">
        <f>VLOOKUP(A2028,Medical_Examinations[],5,FALSE)</f>
        <v>No</v>
      </c>
      <c r="G2028" t="str">
        <f>VLOOKUP(A2028,Medical_Examinations[],6,FALSE)</f>
        <v>Yes</v>
      </c>
      <c r="H2028">
        <f>VLOOKUP(A2028,Medical_Examinations[],7,FALSE)</f>
        <v>1</v>
      </c>
      <c r="I2028" t="str">
        <f>VLOOKUP(A2028,Medical_Examinations[],8,FALSE)</f>
        <v>No</v>
      </c>
      <c r="J2028" t="str">
        <f>VLOOKUP(A2028,Medical_Examinations[],9,FALSE)</f>
        <v>Normal Weight</v>
      </c>
      <c r="K2028" t="str">
        <f>VLOOKUP(A2028,Medical_Examinations[],10,FALSE)</f>
        <v>Normal</v>
      </c>
      <c r="M2028">
        <f>VLOOKUP(A2028,Hospitalisation_Details__2[],4,FALSE)</f>
        <v>2913.57</v>
      </c>
      <c r="N2028" t="str">
        <f>VLOOKUP(A2028,Hospitalisation_Details__2[],5,FALSE)</f>
        <v>tier - 2</v>
      </c>
      <c r="O2028" t="str">
        <f>VLOOKUP(A2028,Hospitalisation_Details__2[],6,FALSE)</f>
        <v>tier - 2</v>
      </c>
      <c r="P2028" t="str">
        <f>VLOOKUP(A2028,Hospitalisation_Details__2[],7,FALSE)</f>
        <v>R1011</v>
      </c>
    </row>
    <row r="2029" spans="1:16" x14ac:dyDescent="0.35">
      <c r="A2029" t="str">
        <v>Id2028</v>
      </c>
      <c r="B2029" t="str">
        <f>VLOOKUP(A2029,'Customer Names (2)'!A:B, 2,FALSE)</f>
        <v>Mr</v>
      </c>
      <c r="C2029">
        <f>VLOOKUP(A2029,Medical_Examinations[],2,FALSE)</f>
        <v>30</v>
      </c>
      <c r="D2029">
        <f>VLOOKUP(A2029,Medical_Examinations[],3,FALSE)</f>
        <v>4.33</v>
      </c>
      <c r="E2029" t="str">
        <f>VLOOKUP(A2029,Medical_Examinations[],4,FALSE)</f>
        <v>Yes</v>
      </c>
      <c r="F2029" t="str">
        <f>VLOOKUP(A2029,Medical_Examinations[],5,FALSE)</f>
        <v>No</v>
      </c>
      <c r="G2029" t="str">
        <f>VLOOKUP(A2029,Medical_Examinations[],6,FALSE)</f>
        <v>No</v>
      </c>
      <c r="H2029">
        <f>VLOOKUP(A2029,Medical_Examinations[],7,FALSE)</f>
        <v>0</v>
      </c>
      <c r="I2029" t="str">
        <f>VLOOKUP(A2029,Medical_Examinations[],8,FALSE)</f>
        <v>No</v>
      </c>
      <c r="J2029" t="str">
        <f>VLOOKUP(A2029,Medical_Examinations[],9,FALSE)</f>
        <v>Obesity</v>
      </c>
      <c r="K2029" t="str">
        <f>VLOOKUP(A2029,Medical_Examinations[],10,FALSE)</f>
        <v>Normal</v>
      </c>
      <c r="M2029">
        <f>VLOOKUP(A2029,Hospitalisation_Details__2[],4,FALSE)</f>
        <v>2904.09</v>
      </c>
      <c r="N2029" t="str">
        <f>VLOOKUP(A2029,Hospitalisation_Details__2[],5,FALSE)</f>
        <v>tier - 2</v>
      </c>
      <c r="O2029" t="str">
        <f>VLOOKUP(A2029,Hospitalisation_Details__2[],6,FALSE)</f>
        <v>tier - 2</v>
      </c>
      <c r="P2029" t="str">
        <f>VLOOKUP(A2029,Hospitalisation_Details__2[],7,FALSE)</f>
        <v>R1011</v>
      </c>
    </row>
    <row r="2030" spans="1:16" x14ac:dyDescent="0.35">
      <c r="A2030" t="str">
        <v>Id2029</v>
      </c>
      <c r="B2030" t="str">
        <f>VLOOKUP(A2030,'Customer Names (2)'!A:B, 2,FALSE)</f>
        <v>Mr</v>
      </c>
      <c r="C2030">
        <f>VLOOKUP(A2030,Medical_Examinations[],2,FALSE)</f>
        <v>29.15</v>
      </c>
      <c r="D2030">
        <f>VLOOKUP(A2030,Medical_Examinations[],3,FALSE)</f>
        <v>4.91</v>
      </c>
      <c r="E2030" t="str">
        <f>VLOOKUP(A2030,Medical_Examinations[],4,FALSE)</f>
        <v>Yes</v>
      </c>
      <c r="F2030" t="str">
        <f>VLOOKUP(A2030,Medical_Examinations[],5,FALSE)</f>
        <v>No</v>
      </c>
      <c r="G2030" t="str">
        <f>VLOOKUP(A2030,Medical_Examinations[],6,FALSE)</f>
        <v>No</v>
      </c>
      <c r="H2030">
        <f>VLOOKUP(A2030,Medical_Examinations[],7,FALSE)</f>
        <v>0</v>
      </c>
      <c r="I2030" t="str">
        <f>VLOOKUP(A2030,Medical_Examinations[],8,FALSE)</f>
        <v>No</v>
      </c>
      <c r="J2030" t="str">
        <f>VLOOKUP(A2030,Medical_Examinations[],9,FALSE)</f>
        <v>Overweight</v>
      </c>
      <c r="K2030" t="str">
        <f>VLOOKUP(A2030,Medical_Examinations[],10,FALSE)</f>
        <v>Normal</v>
      </c>
      <c r="M2030">
        <f>VLOOKUP(A2030,Hospitalisation_Details__2[],4,FALSE)</f>
        <v>2902.91</v>
      </c>
      <c r="N2030" t="str">
        <f>VLOOKUP(A2030,Hospitalisation_Details__2[],5,FALSE)</f>
        <v>tier - 2</v>
      </c>
      <c r="O2030" t="str">
        <f>VLOOKUP(A2030,Hospitalisation_Details__2[],6,FALSE)</f>
        <v>tier - 2</v>
      </c>
      <c r="P2030" t="str">
        <f>VLOOKUP(A2030,Hospitalisation_Details__2[],7,FALSE)</f>
        <v>R1013</v>
      </c>
    </row>
    <row r="2031" spans="1:16" x14ac:dyDescent="0.35">
      <c r="A2031" t="str">
        <v>Id2030</v>
      </c>
      <c r="B2031" t="str">
        <f>VLOOKUP(A2031,'Customer Names (2)'!A:B, 2,FALSE)</f>
        <v>Ms</v>
      </c>
      <c r="C2031">
        <f>VLOOKUP(A2031,Medical_Examinations[],2,FALSE)</f>
        <v>34.865000000000002</v>
      </c>
      <c r="D2031">
        <f>VLOOKUP(A2031,Medical_Examinations[],3,FALSE)</f>
        <v>4.8</v>
      </c>
      <c r="E2031" t="str">
        <f>VLOOKUP(A2031,Medical_Examinations[],4,FALSE)</f>
        <v>No</v>
      </c>
      <c r="F2031" t="str">
        <f>VLOOKUP(A2031,Medical_Examinations[],5,FALSE)</f>
        <v>No</v>
      </c>
      <c r="G2031" t="str">
        <f>VLOOKUP(A2031,Medical_Examinations[],6,FALSE)</f>
        <v>No</v>
      </c>
      <c r="H2031">
        <f>VLOOKUP(A2031,Medical_Examinations[],7,FALSE)</f>
        <v>0</v>
      </c>
      <c r="I2031" t="str">
        <f>VLOOKUP(A2031,Medical_Examinations[],8,FALSE)</f>
        <v>No</v>
      </c>
      <c r="J2031" t="str">
        <f>VLOOKUP(A2031,Medical_Examinations[],9,FALSE)</f>
        <v>Obesity</v>
      </c>
      <c r="K2031" t="str">
        <f>VLOOKUP(A2031,Medical_Examinations[],10,FALSE)</f>
        <v>Normal</v>
      </c>
      <c r="M2031">
        <f>VLOOKUP(A2031,Hospitalisation_Details__2[],4,FALSE)</f>
        <v>2899.49</v>
      </c>
      <c r="N2031" t="str">
        <f>VLOOKUP(A2031,Hospitalisation_Details__2[],5,FALSE)</f>
        <v>tier - 2</v>
      </c>
      <c r="O2031" t="str">
        <f>VLOOKUP(A2031,Hospitalisation_Details__2[],6,FALSE)</f>
        <v>tier - 2</v>
      </c>
      <c r="P2031" t="str">
        <f>VLOOKUP(A2031,Hospitalisation_Details__2[],7,FALSE)</f>
        <v>R1024</v>
      </c>
    </row>
    <row r="2032" spans="1:16" x14ac:dyDescent="0.35">
      <c r="A2032" t="str">
        <v>Id2031</v>
      </c>
      <c r="B2032" t="str">
        <f>VLOOKUP(A2032,'Customer Names (2)'!A:B, 2,FALSE)</f>
        <v>Ms</v>
      </c>
      <c r="C2032">
        <f>VLOOKUP(A2032,Medical_Examinations[],2,FALSE)</f>
        <v>28.12</v>
      </c>
      <c r="D2032">
        <f>VLOOKUP(A2032,Medical_Examinations[],3,FALSE)</f>
        <v>5.55</v>
      </c>
      <c r="E2032" t="str">
        <f>VLOOKUP(A2032,Medical_Examinations[],4,FALSE)</f>
        <v>Yes</v>
      </c>
      <c r="F2032" t="str">
        <f>VLOOKUP(A2032,Medical_Examinations[],5,FALSE)</f>
        <v>yes</v>
      </c>
      <c r="G2032" t="str">
        <f>VLOOKUP(A2032,Medical_Examinations[],6,FALSE)</f>
        <v>No</v>
      </c>
      <c r="H2032">
        <f>VLOOKUP(A2032,Medical_Examinations[],7,FALSE)</f>
        <v>2</v>
      </c>
      <c r="I2032" t="str">
        <f>VLOOKUP(A2032,Medical_Examinations[],8,FALSE)</f>
        <v>No</v>
      </c>
      <c r="J2032" t="str">
        <f>VLOOKUP(A2032,Medical_Examinations[],9,FALSE)</f>
        <v>Overweight</v>
      </c>
      <c r="K2032" t="str">
        <f>VLOOKUP(A2032,Medical_Examinations[],10,FALSE)</f>
        <v>Normal</v>
      </c>
      <c r="M2032">
        <f>VLOOKUP(A2032,Hospitalisation_Details__2[],4,FALSE)</f>
        <v>2897.46</v>
      </c>
      <c r="N2032" t="str">
        <f>VLOOKUP(A2032,Hospitalisation_Details__2[],5,FALSE)</f>
        <v>tier - 2</v>
      </c>
      <c r="O2032" t="str">
        <f>VLOOKUP(A2032,Hospitalisation_Details__2[],6,FALSE)</f>
        <v>tier - 1</v>
      </c>
      <c r="P2032" t="str">
        <f>VLOOKUP(A2032,Hospitalisation_Details__2[],7,FALSE)</f>
        <v>R1012</v>
      </c>
    </row>
    <row r="2033" spans="1:16" x14ac:dyDescent="0.35">
      <c r="A2033" t="str">
        <v>Id2032</v>
      </c>
      <c r="B2033" t="str">
        <f>VLOOKUP(A2033,'Customer Names (2)'!A:B, 2,FALSE)</f>
        <v>Mr</v>
      </c>
      <c r="C2033">
        <f>VLOOKUP(A2033,Medical_Examinations[],2,FALSE)</f>
        <v>29.45</v>
      </c>
      <c r="D2033">
        <f>VLOOKUP(A2033,Medical_Examinations[],3,FALSE)</f>
        <v>5.24</v>
      </c>
      <c r="E2033" t="str">
        <f>VLOOKUP(A2033,Medical_Examinations[],4,FALSE)</f>
        <v>Yes</v>
      </c>
      <c r="F2033" t="str">
        <f>VLOOKUP(A2033,Medical_Examinations[],5,FALSE)</f>
        <v>No</v>
      </c>
      <c r="G2033" t="str">
        <f>VLOOKUP(A2033,Medical_Examinations[],6,FALSE)</f>
        <v>No</v>
      </c>
      <c r="H2033">
        <f>VLOOKUP(A2033,Medical_Examinations[],7,FALSE)</f>
        <v>0</v>
      </c>
      <c r="I2033" t="str">
        <f>VLOOKUP(A2033,Medical_Examinations[],8,FALSE)</f>
        <v>No</v>
      </c>
      <c r="J2033" t="str">
        <f>VLOOKUP(A2033,Medical_Examinations[],9,FALSE)</f>
        <v>Overweight</v>
      </c>
      <c r="K2033" t="str">
        <f>VLOOKUP(A2033,Medical_Examinations[],10,FALSE)</f>
        <v>Normal</v>
      </c>
      <c r="M2033">
        <f>VLOOKUP(A2033,Hospitalisation_Details__2[],4,FALSE)</f>
        <v>2897.32</v>
      </c>
      <c r="N2033" t="str">
        <f>VLOOKUP(A2033,Hospitalisation_Details__2[],5,FALSE)</f>
        <v>tier - 3</v>
      </c>
      <c r="O2033" t="str">
        <f>VLOOKUP(A2033,Hospitalisation_Details__2[],6,FALSE)</f>
        <v>tier - 3</v>
      </c>
      <c r="P2033" t="str">
        <f>VLOOKUP(A2033,Hospitalisation_Details__2[],7,FALSE)</f>
        <v>R1016</v>
      </c>
    </row>
    <row r="2034" spans="1:16" x14ac:dyDescent="0.35">
      <c r="A2034" t="str">
        <v>Id2033</v>
      </c>
      <c r="B2034" t="str">
        <f>VLOOKUP(A2034,'Customer Names (2)'!A:B, 2,FALSE)</f>
        <v>Mr</v>
      </c>
      <c r="C2034">
        <f>VLOOKUP(A2034,Medical_Examinations[],2,FALSE)</f>
        <v>27.94</v>
      </c>
      <c r="D2034">
        <f>VLOOKUP(A2034,Medical_Examinations[],3,FALSE)</f>
        <v>6.08</v>
      </c>
      <c r="E2034" t="str">
        <f>VLOOKUP(A2034,Medical_Examinations[],4,FALSE)</f>
        <v>No</v>
      </c>
      <c r="F2034" t="str">
        <f>VLOOKUP(A2034,Medical_Examinations[],5,FALSE)</f>
        <v>No</v>
      </c>
      <c r="G2034" t="str">
        <f>VLOOKUP(A2034,Medical_Examinations[],6,FALSE)</f>
        <v>Yes</v>
      </c>
      <c r="H2034">
        <f>VLOOKUP(A2034,Medical_Examinations[],7,FALSE)</f>
        <v>1</v>
      </c>
      <c r="I2034" t="str">
        <f>VLOOKUP(A2034,Medical_Examinations[],8,FALSE)</f>
        <v>No</v>
      </c>
      <c r="J2034" t="str">
        <f>VLOOKUP(A2034,Medical_Examinations[],9,FALSE)</f>
        <v>Overweight</v>
      </c>
      <c r="K2034" t="str">
        <f>VLOOKUP(A2034,Medical_Examinations[],10,FALSE)</f>
        <v>Prediabetes</v>
      </c>
      <c r="M2034">
        <f>VLOOKUP(A2034,Hospitalisation_Details__2[],4,FALSE)</f>
        <v>2867.12</v>
      </c>
      <c r="N2034" t="str">
        <f>VLOOKUP(A2034,Hospitalisation_Details__2[],5,FALSE)</f>
        <v>tier - 1</v>
      </c>
      <c r="O2034" t="str">
        <f>VLOOKUP(A2034,Hospitalisation_Details__2[],6,FALSE)</f>
        <v>tier - 3</v>
      </c>
      <c r="P2034" t="str">
        <f>VLOOKUP(A2034,Hospitalisation_Details__2[],7,FALSE)</f>
        <v>R1013</v>
      </c>
    </row>
    <row r="2035" spans="1:16" x14ac:dyDescent="0.35">
      <c r="A2035" t="str">
        <v>Id2034</v>
      </c>
      <c r="B2035" t="str">
        <f>VLOOKUP(A2035,'Customer Names (2)'!A:B, 2,FALSE)</f>
        <v>Mr</v>
      </c>
      <c r="C2035">
        <f>VLOOKUP(A2035,Medical_Examinations[],2,FALSE)</f>
        <v>27.2</v>
      </c>
      <c r="D2035">
        <f>VLOOKUP(A2035,Medical_Examinations[],3,FALSE)</f>
        <v>5.83</v>
      </c>
      <c r="E2035" t="str">
        <f>VLOOKUP(A2035,Medical_Examinations[],4,FALSE)</f>
        <v>No</v>
      </c>
      <c r="F2035" t="str">
        <f>VLOOKUP(A2035,Medical_Examinations[],5,FALSE)</f>
        <v>No</v>
      </c>
      <c r="G2035" t="str">
        <f>VLOOKUP(A2035,Medical_Examinations[],6,FALSE)</f>
        <v>Yes</v>
      </c>
      <c r="H2035">
        <f>VLOOKUP(A2035,Medical_Examinations[],7,FALSE)</f>
        <v>1</v>
      </c>
      <c r="I2035" t="str">
        <f>VLOOKUP(A2035,Medical_Examinations[],8,FALSE)</f>
        <v>No</v>
      </c>
      <c r="J2035" t="str">
        <f>VLOOKUP(A2035,Medical_Examinations[],9,FALSE)</f>
        <v>Overweight</v>
      </c>
      <c r="K2035" t="str">
        <f>VLOOKUP(A2035,Medical_Examinations[],10,FALSE)</f>
        <v>Prediabetes</v>
      </c>
      <c r="M2035">
        <f>VLOOKUP(A2035,Hospitalisation_Details__2[],4,FALSE)</f>
        <v>2866.09</v>
      </c>
      <c r="N2035" t="str">
        <f>VLOOKUP(A2035,Hospitalisation_Details__2[],5,FALSE)</f>
        <v>tier - 3</v>
      </c>
      <c r="O2035" t="str">
        <f>VLOOKUP(A2035,Hospitalisation_Details__2[],6,FALSE)</f>
        <v>tier - 3</v>
      </c>
      <c r="P2035" t="str">
        <f>VLOOKUP(A2035,Hospitalisation_Details__2[],7,FALSE)</f>
        <v>R1011</v>
      </c>
    </row>
    <row r="2036" spans="1:16" x14ac:dyDescent="0.35">
      <c r="A2036" t="str">
        <v>Id2035</v>
      </c>
      <c r="B2036" t="str">
        <f>VLOOKUP(A2036,'Customer Names (2)'!A:B, 2,FALSE)</f>
        <v>Ms</v>
      </c>
      <c r="C2036">
        <f>VLOOKUP(A2036,Medical_Examinations[],2,FALSE)</f>
        <v>33.344999999999999</v>
      </c>
      <c r="D2036">
        <f>VLOOKUP(A2036,Medical_Examinations[],3,FALSE)</f>
        <v>4.29</v>
      </c>
      <c r="E2036" t="str">
        <f>VLOOKUP(A2036,Medical_Examinations[],4,FALSE)</f>
        <v>No</v>
      </c>
      <c r="F2036" t="str">
        <f>VLOOKUP(A2036,Medical_Examinations[],5,FALSE)</f>
        <v>No</v>
      </c>
      <c r="G2036" t="str">
        <f>VLOOKUP(A2036,Medical_Examinations[],6,FALSE)</f>
        <v>No</v>
      </c>
      <c r="H2036">
        <f>VLOOKUP(A2036,Medical_Examinations[],7,FALSE)</f>
        <v>1</v>
      </c>
      <c r="I2036" t="str">
        <f>VLOOKUP(A2036,Medical_Examinations[],8,FALSE)</f>
        <v>No</v>
      </c>
      <c r="J2036" t="str">
        <f>VLOOKUP(A2036,Medical_Examinations[],9,FALSE)</f>
        <v>Obesity</v>
      </c>
      <c r="K2036" t="str">
        <f>VLOOKUP(A2036,Medical_Examinations[],10,FALSE)</f>
        <v>Normal</v>
      </c>
      <c r="M2036">
        <f>VLOOKUP(A2036,Hospitalisation_Details__2[],4,FALSE)</f>
        <v>2855.44</v>
      </c>
      <c r="N2036" t="str">
        <f>VLOOKUP(A2036,Hospitalisation_Details__2[],5,FALSE)</f>
        <v>tier - 2</v>
      </c>
      <c r="O2036" t="str">
        <f>VLOOKUP(A2036,Hospitalisation_Details__2[],6,FALSE)</f>
        <v>tier - 3</v>
      </c>
      <c r="P2036" t="str">
        <f>VLOOKUP(A2036,Hospitalisation_Details__2[],7,FALSE)</f>
        <v>R1012</v>
      </c>
    </row>
    <row r="2037" spans="1:16" x14ac:dyDescent="0.35">
      <c r="A2037" t="str">
        <v>Id2036</v>
      </c>
      <c r="B2037" t="str">
        <f>VLOOKUP(A2037,'Customer Names (2)'!A:B, 2,FALSE)</f>
        <v>Ms</v>
      </c>
      <c r="C2037">
        <f>VLOOKUP(A2037,Medical_Examinations[],2,FALSE)</f>
        <v>29.925000000000001</v>
      </c>
      <c r="D2037">
        <f>VLOOKUP(A2037,Medical_Examinations[],3,FALSE)</f>
        <v>5.3</v>
      </c>
      <c r="E2037" t="str">
        <f>VLOOKUP(A2037,Medical_Examinations[],4,FALSE)</f>
        <v>No</v>
      </c>
      <c r="F2037" t="str">
        <f>VLOOKUP(A2037,Medical_Examinations[],5,FALSE)</f>
        <v>No</v>
      </c>
      <c r="G2037" t="str">
        <f>VLOOKUP(A2037,Medical_Examinations[],6,FALSE)</f>
        <v>No</v>
      </c>
      <c r="H2037">
        <f>VLOOKUP(A2037,Medical_Examinations[],7,FALSE)</f>
        <v>1</v>
      </c>
      <c r="I2037" t="str">
        <f>VLOOKUP(A2037,Medical_Examinations[],8,FALSE)</f>
        <v>No</v>
      </c>
      <c r="J2037" t="str">
        <f>VLOOKUP(A2037,Medical_Examinations[],9,FALSE)</f>
        <v>Overweight</v>
      </c>
      <c r="K2037" t="str">
        <f>VLOOKUP(A2037,Medical_Examinations[],10,FALSE)</f>
        <v>Normal</v>
      </c>
      <c r="M2037">
        <f>VLOOKUP(A2037,Hospitalisation_Details__2[],4,FALSE)</f>
        <v>2850.68</v>
      </c>
      <c r="N2037" t="str">
        <f>VLOOKUP(A2037,Hospitalisation_Details__2[],5,FALSE)</f>
        <v>tier - 2</v>
      </c>
      <c r="O2037" t="str">
        <f>VLOOKUP(A2037,Hospitalisation_Details__2[],6,FALSE)</f>
        <v>tier - 3</v>
      </c>
      <c r="P2037" t="str">
        <f>VLOOKUP(A2037,Hospitalisation_Details__2[],7,FALSE)</f>
        <v>R1012</v>
      </c>
    </row>
    <row r="2038" spans="1:16" x14ac:dyDescent="0.35">
      <c r="A2038" t="str">
        <v>Id2037</v>
      </c>
      <c r="B2038" t="str">
        <f>VLOOKUP(A2038,'Customer Names (2)'!A:B, 2,FALSE)</f>
        <v>Ms</v>
      </c>
      <c r="C2038">
        <f>VLOOKUP(A2038,Medical_Examinations[],2,FALSE)</f>
        <v>24.225000000000001</v>
      </c>
      <c r="D2038">
        <f>VLOOKUP(A2038,Medical_Examinations[],3,FALSE)</f>
        <v>4.42</v>
      </c>
      <c r="E2038" t="str">
        <f>VLOOKUP(A2038,Medical_Examinations[],4,FALSE)</f>
        <v>No</v>
      </c>
      <c r="F2038" t="str">
        <f>VLOOKUP(A2038,Medical_Examinations[],5,FALSE)</f>
        <v>No</v>
      </c>
      <c r="G2038" t="str">
        <f>VLOOKUP(A2038,Medical_Examinations[],6,FALSE)</f>
        <v>No</v>
      </c>
      <c r="H2038">
        <f>VLOOKUP(A2038,Medical_Examinations[],7,FALSE)</f>
        <v>1</v>
      </c>
      <c r="I2038" t="str">
        <f>VLOOKUP(A2038,Medical_Examinations[],8,FALSE)</f>
        <v>No</v>
      </c>
      <c r="J2038" t="str">
        <f>VLOOKUP(A2038,Medical_Examinations[],9,FALSE)</f>
        <v>Normal Weight</v>
      </c>
      <c r="K2038" t="str">
        <f>VLOOKUP(A2038,Medical_Examinations[],10,FALSE)</f>
        <v>Normal</v>
      </c>
      <c r="M2038">
        <f>VLOOKUP(A2038,Hospitalisation_Details__2[],4,FALSE)</f>
        <v>2842.76</v>
      </c>
      <c r="N2038" t="str">
        <f>VLOOKUP(A2038,Hospitalisation_Details__2[],5,FALSE)</f>
        <v>tier - 2</v>
      </c>
      <c r="O2038" t="str">
        <f>VLOOKUP(A2038,Hospitalisation_Details__2[],6,FALSE)</f>
        <v>tier - 3</v>
      </c>
      <c r="P2038" t="str">
        <f>VLOOKUP(A2038,Hospitalisation_Details__2[],7,FALSE)</f>
        <v>R1012</v>
      </c>
    </row>
    <row r="2039" spans="1:16" x14ac:dyDescent="0.35">
      <c r="A2039" t="str">
        <v>Id2038</v>
      </c>
      <c r="B2039" t="str">
        <f>VLOOKUP(A2039,'Customer Names (2)'!A:B, 2,FALSE)</f>
        <v>Ms</v>
      </c>
      <c r="C2039">
        <f>VLOOKUP(A2039,Medical_Examinations[],2,FALSE)</f>
        <v>29.68</v>
      </c>
      <c r="D2039">
        <f>VLOOKUP(A2039,Medical_Examinations[],3,FALSE)</f>
        <v>5.68</v>
      </c>
      <c r="E2039" t="str">
        <f>VLOOKUP(A2039,Medical_Examinations[],4,FALSE)</f>
        <v>No</v>
      </c>
      <c r="F2039" t="str">
        <f>VLOOKUP(A2039,Medical_Examinations[],5,FALSE)</f>
        <v>yes</v>
      </c>
      <c r="G2039" t="str">
        <f>VLOOKUP(A2039,Medical_Examinations[],6,FALSE)</f>
        <v>No</v>
      </c>
      <c r="H2039">
        <f>VLOOKUP(A2039,Medical_Examinations[],7,FALSE)</f>
        <v>1</v>
      </c>
      <c r="I2039" t="str">
        <f>VLOOKUP(A2039,Medical_Examinations[],8,FALSE)</f>
        <v>No</v>
      </c>
      <c r="J2039" t="str">
        <f>VLOOKUP(A2039,Medical_Examinations[],9,FALSE)</f>
        <v>Overweight</v>
      </c>
      <c r="K2039" t="str">
        <f>VLOOKUP(A2039,Medical_Examinations[],10,FALSE)</f>
        <v>Normal</v>
      </c>
      <c r="M2039">
        <f>VLOOKUP(A2039,Hospitalisation_Details__2[],4,FALSE)</f>
        <v>2819.51</v>
      </c>
      <c r="N2039" t="str">
        <f>VLOOKUP(A2039,Hospitalisation_Details__2[],5,FALSE)</f>
        <v>tier - 2</v>
      </c>
      <c r="O2039" t="str">
        <f>VLOOKUP(A2039,Hospitalisation_Details__2[],6,FALSE)</f>
        <v>tier - 3</v>
      </c>
      <c r="P2039" t="str">
        <f>VLOOKUP(A2039,Hospitalisation_Details__2[],7,FALSE)</f>
        <v>R1011</v>
      </c>
    </row>
    <row r="2040" spans="1:16" x14ac:dyDescent="0.35">
      <c r="A2040" t="str">
        <v>Id2039</v>
      </c>
      <c r="B2040" t="str">
        <f>VLOOKUP(A2040,'Customer Names (2)'!A:B, 2,FALSE)</f>
        <v>Mr</v>
      </c>
      <c r="C2040">
        <f>VLOOKUP(A2040,Medical_Examinations[],2,FALSE)</f>
        <v>20.614999999999998</v>
      </c>
      <c r="D2040">
        <f>VLOOKUP(A2040,Medical_Examinations[],3,FALSE)</f>
        <v>6.05</v>
      </c>
      <c r="E2040" t="str">
        <f>VLOOKUP(A2040,Medical_Examinations[],4,FALSE)</f>
        <v>No</v>
      </c>
      <c r="F2040" t="str">
        <f>VLOOKUP(A2040,Medical_Examinations[],5,FALSE)</f>
        <v>No</v>
      </c>
      <c r="G2040" t="str">
        <f>VLOOKUP(A2040,Medical_Examinations[],6,FALSE)</f>
        <v>Yes</v>
      </c>
      <c r="H2040">
        <f>VLOOKUP(A2040,Medical_Examinations[],7,FALSE)</f>
        <v>1</v>
      </c>
      <c r="I2040" t="str">
        <f>VLOOKUP(A2040,Medical_Examinations[],8,FALSE)</f>
        <v>No</v>
      </c>
      <c r="J2040" t="str">
        <f>VLOOKUP(A2040,Medical_Examinations[],9,FALSE)</f>
        <v>Normal Weight</v>
      </c>
      <c r="K2040" t="str">
        <f>VLOOKUP(A2040,Medical_Examinations[],10,FALSE)</f>
        <v>Prediabetes</v>
      </c>
      <c r="M2040">
        <f>VLOOKUP(A2040,Hospitalisation_Details__2[],4,FALSE)</f>
        <v>2803.7</v>
      </c>
      <c r="N2040" t="str">
        <f>VLOOKUP(A2040,Hospitalisation_Details__2[],5,FALSE)</f>
        <v>tier - 2</v>
      </c>
      <c r="O2040" t="str">
        <f>VLOOKUP(A2040,Hospitalisation_Details__2[],6,FALSE)</f>
        <v>tier - 1</v>
      </c>
      <c r="P2040" t="str">
        <f>VLOOKUP(A2040,Hospitalisation_Details__2[],7,FALSE)</f>
        <v>R1012</v>
      </c>
    </row>
    <row r="2041" spans="1:16" x14ac:dyDescent="0.35">
      <c r="A2041" t="str">
        <v>Id2040</v>
      </c>
      <c r="B2041" t="str">
        <f>VLOOKUP(A2041,'Customer Names (2)'!A:B, 2,FALSE)</f>
        <v>Ms</v>
      </c>
      <c r="C2041">
        <f>VLOOKUP(A2041,Medical_Examinations[],2,FALSE)</f>
        <v>32.119999999999997</v>
      </c>
      <c r="D2041">
        <f>VLOOKUP(A2041,Medical_Examinations[],3,FALSE)</f>
        <v>5.33</v>
      </c>
      <c r="E2041" t="str">
        <f>VLOOKUP(A2041,Medical_Examinations[],4,FALSE)</f>
        <v>No</v>
      </c>
      <c r="F2041" t="str">
        <f>VLOOKUP(A2041,Medical_Examinations[],5,FALSE)</f>
        <v>yes</v>
      </c>
      <c r="G2041" t="str">
        <f>VLOOKUP(A2041,Medical_Examinations[],6,FALSE)</f>
        <v>No</v>
      </c>
      <c r="H2041">
        <f>VLOOKUP(A2041,Medical_Examinations[],7,FALSE)</f>
        <v>1</v>
      </c>
      <c r="I2041" t="str">
        <f>VLOOKUP(A2041,Medical_Examinations[],8,FALSE)</f>
        <v>No</v>
      </c>
      <c r="J2041" t="str">
        <f>VLOOKUP(A2041,Medical_Examinations[],9,FALSE)</f>
        <v>Obesity</v>
      </c>
      <c r="K2041" t="str">
        <f>VLOOKUP(A2041,Medical_Examinations[],10,FALSE)</f>
        <v>Normal</v>
      </c>
      <c r="M2041">
        <f>VLOOKUP(A2041,Hospitalisation_Details__2[],4,FALSE)</f>
        <v>2801.26</v>
      </c>
      <c r="N2041" t="str">
        <f>VLOOKUP(A2041,Hospitalisation_Details__2[],5,FALSE)</f>
        <v>tier - 2</v>
      </c>
      <c r="O2041" t="str">
        <f>VLOOKUP(A2041,Hospitalisation_Details__2[],6,FALSE)</f>
        <v>tier - 3</v>
      </c>
      <c r="P2041" t="str">
        <f>VLOOKUP(A2041,Hospitalisation_Details__2[],7,FALSE)</f>
        <v>R1013</v>
      </c>
    </row>
    <row r="2042" spans="1:16" x14ac:dyDescent="0.35">
      <c r="A2042" t="str">
        <v>Id2041</v>
      </c>
      <c r="B2042" t="str">
        <f>VLOOKUP(A2042,'Customer Names (2)'!A:B, 2,FALSE)</f>
        <v>Mr</v>
      </c>
      <c r="C2042">
        <f>VLOOKUP(A2042,Medical_Examinations[],2,FALSE)</f>
        <v>27.36</v>
      </c>
      <c r="D2042">
        <f>VLOOKUP(A2042,Medical_Examinations[],3,FALSE)</f>
        <v>6.22</v>
      </c>
      <c r="E2042" t="str">
        <f>VLOOKUP(A2042,Medical_Examinations[],4,FALSE)</f>
        <v>No</v>
      </c>
      <c r="F2042" t="str">
        <f>VLOOKUP(A2042,Medical_Examinations[],5,FALSE)</f>
        <v>No</v>
      </c>
      <c r="G2042" t="str">
        <f>VLOOKUP(A2042,Medical_Examinations[],6,FALSE)</f>
        <v>No</v>
      </c>
      <c r="H2042">
        <f>VLOOKUP(A2042,Medical_Examinations[],7,FALSE)</f>
        <v>0</v>
      </c>
      <c r="I2042" t="str">
        <f>VLOOKUP(A2042,Medical_Examinations[],8,FALSE)</f>
        <v>No</v>
      </c>
      <c r="J2042" t="str">
        <f>VLOOKUP(A2042,Medical_Examinations[],9,FALSE)</f>
        <v>Overweight</v>
      </c>
      <c r="K2042" t="str">
        <f>VLOOKUP(A2042,Medical_Examinations[],10,FALSE)</f>
        <v>Prediabetes</v>
      </c>
      <c r="M2042">
        <f>VLOOKUP(A2042,Hospitalisation_Details__2[],4,FALSE)</f>
        <v>2789.06</v>
      </c>
      <c r="N2042" t="str">
        <f>VLOOKUP(A2042,Hospitalisation_Details__2[],5,FALSE)</f>
        <v>tier - 2</v>
      </c>
      <c r="O2042" t="str">
        <f>VLOOKUP(A2042,Hospitalisation_Details__2[],6,FALSE)</f>
        <v>tier - 3</v>
      </c>
      <c r="P2042" t="str">
        <f>VLOOKUP(A2042,Hospitalisation_Details__2[],7,FALSE)</f>
        <v>R1012</v>
      </c>
    </row>
    <row r="2043" spans="1:16" x14ac:dyDescent="0.35">
      <c r="A2043" t="str">
        <v>Id2042</v>
      </c>
      <c r="B2043" t="str">
        <f>VLOOKUP(A2043,'Customer Names (2)'!A:B, 2,FALSE)</f>
        <v>Mr</v>
      </c>
      <c r="C2043">
        <f>VLOOKUP(A2043,Medical_Examinations[],2,FALSE)</f>
        <v>17.385000000000002</v>
      </c>
      <c r="D2043">
        <f>VLOOKUP(A2043,Medical_Examinations[],3,FALSE)</f>
        <v>5.84</v>
      </c>
      <c r="E2043" t="str">
        <f>VLOOKUP(A2043,Medical_Examinations[],4,FALSE)</f>
        <v>No</v>
      </c>
      <c r="F2043" t="str">
        <f>VLOOKUP(A2043,Medical_Examinations[],5,FALSE)</f>
        <v>No</v>
      </c>
      <c r="G2043" t="str">
        <f>VLOOKUP(A2043,Medical_Examinations[],6,FALSE)</f>
        <v>No</v>
      </c>
      <c r="H2043">
        <f>VLOOKUP(A2043,Medical_Examinations[],7,FALSE)</f>
        <v>0</v>
      </c>
      <c r="I2043" t="str">
        <f>VLOOKUP(A2043,Medical_Examinations[],8,FALSE)</f>
        <v>No</v>
      </c>
      <c r="J2043" t="str">
        <f>VLOOKUP(A2043,Medical_Examinations[],9,FALSE)</f>
        <v>Underweight</v>
      </c>
      <c r="K2043" t="str">
        <f>VLOOKUP(A2043,Medical_Examinations[],10,FALSE)</f>
        <v>Prediabetes</v>
      </c>
      <c r="M2043">
        <f>VLOOKUP(A2043,Hospitalisation_Details__2[],4,FALSE)</f>
        <v>2775.19</v>
      </c>
      <c r="N2043" t="str">
        <f>VLOOKUP(A2043,Hospitalisation_Details__2[],5,FALSE)</f>
        <v>tier - 2</v>
      </c>
      <c r="O2043" t="str">
        <f>VLOOKUP(A2043,Hospitalisation_Details__2[],6,FALSE)</f>
        <v>tier - 1</v>
      </c>
      <c r="P2043" t="str">
        <f>VLOOKUP(A2043,Hospitalisation_Details__2[],7,FALSE)</f>
        <v>R1012</v>
      </c>
    </row>
    <row r="2044" spans="1:16" x14ac:dyDescent="0.35">
      <c r="A2044" t="str">
        <v>Id2043</v>
      </c>
      <c r="B2044" t="str">
        <f>VLOOKUP(A2044,'Customer Names (2)'!A:B, 2,FALSE)</f>
        <v>Mr</v>
      </c>
      <c r="C2044">
        <f>VLOOKUP(A2044,Medical_Examinations[],2,FALSE)</f>
        <v>30.13</v>
      </c>
      <c r="D2044">
        <f>VLOOKUP(A2044,Medical_Examinations[],3,FALSE)</f>
        <v>5.71</v>
      </c>
      <c r="E2044" t="str">
        <f>VLOOKUP(A2044,Medical_Examinations[],4,FALSE)</f>
        <v>No</v>
      </c>
      <c r="F2044" t="str">
        <f>VLOOKUP(A2044,Medical_Examinations[],5,FALSE)</f>
        <v>yes</v>
      </c>
      <c r="G2044" t="str">
        <f>VLOOKUP(A2044,Medical_Examinations[],6,FALSE)</f>
        <v>No</v>
      </c>
      <c r="H2044">
        <f>VLOOKUP(A2044,Medical_Examinations[],7,FALSE)</f>
        <v>1</v>
      </c>
      <c r="I2044" t="str">
        <f>VLOOKUP(A2044,Medical_Examinations[],8,FALSE)</f>
        <v>No</v>
      </c>
      <c r="J2044" t="str">
        <f>VLOOKUP(A2044,Medical_Examinations[],9,FALSE)</f>
        <v>Obesity</v>
      </c>
      <c r="K2044" t="str">
        <f>VLOOKUP(A2044,Medical_Examinations[],10,FALSE)</f>
        <v>Prediabetes</v>
      </c>
      <c r="M2044">
        <f>VLOOKUP(A2044,Hospitalisation_Details__2[],4,FALSE)</f>
        <v>2773.46</v>
      </c>
      <c r="N2044" t="str">
        <f>VLOOKUP(A2044,Hospitalisation_Details__2[],5,FALSE)</f>
        <v>tier - 2</v>
      </c>
      <c r="O2044" t="str">
        <f>VLOOKUP(A2044,Hospitalisation_Details__2[],6,FALSE)</f>
        <v>tier - 1</v>
      </c>
      <c r="P2044" t="str">
        <f>VLOOKUP(A2044,Hospitalisation_Details__2[],7,FALSE)</f>
        <v>R1021</v>
      </c>
    </row>
    <row r="2045" spans="1:16" x14ac:dyDescent="0.35">
      <c r="A2045" t="str">
        <v>Id2044</v>
      </c>
      <c r="B2045" t="str">
        <f>VLOOKUP(A2045,'Customer Names (2)'!A:B, 2,FALSE)</f>
        <v>Ms</v>
      </c>
      <c r="C2045">
        <f>VLOOKUP(A2045,Medical_Examinations[],2,FALSE)</f>
        <v>25.44</v>
      </c>
      <c r="D2045">
        <f>VLOOKUP(A2045,Medical_Examinations[],3,FALSE)</f>
        <v>6.04</v>
      </c>
      <c r="E2045" t="str">
        <f>VLOOKUP(A2045,Medical_Examinations[],4,FALSE)</f>
        <v>Yes</v>
      </c>
      <c r="F2045" t="str">
        <f>VLOOKUP(A2045,Medical_Examinations[],5,FALSE)</f>
        <v>No</v>
      </c>
      <c r="G2045" t="str">
        <f>VLOOKUP(A2045,Medical_Examinations[],6,FALSE)</f>
        <v>Yes</v>
      </c>
      <c r="H2045">
        <f>VLOOKUP(A2045,Medical_Examinations[],7,FALSE)</f>
        <v>1</v>
      </c>
      <c r="I2045" t="str">
        <f>VLOOKUP(A2045,Medical_Examinations[],8,FALSE)</f>
        <v>No</v>
      </c>
      <c r="J2045" t="str">
        <f>VLOOKUP(A2045,Medical_Examinations[],9,FALSE)</f>
        <v>Overweight</v>
      </c>
      <c r="K2045" t="str">
        <f>VLOOKUP(A2045,Medical_Examinations[],10,FALSE)</f>
        <v>Prediabetes</v>
      </c>
      <c r="M2045">
        <f>VLOOKUP(A2045,Hospitalisation_Details__2[],4,FALSE)</f>
        <v>2758.99</v>
      </c>
      <c r="N2045" t="str">
        <f>VLOOKUP(A2045,Hospitalisation_Details__2[],5,FALSE)</f>
        <v>tier - 2</v>
      </c>
      <c r="O2045" t="str">
        <f>VLOOKUP(A2045,Hospitalisation_Details__2[],6,FALSE)</f>
        <v>tier - 1</v>
      </c>
      <c r="P2045" t="str">
        <f>VLOOKUP(A2045,Hospitalisation_Details__2[],7,FALSE)</f>
        <v>R1012</v>
      </c>
    </row>
    <row r="2046" spans="1:16" x14ac:dyDescent="0.35">
      <c r="A2046" t="str">
        <v>Id2045</v>
      </c>
      <c r="B2046" t="str">
        <f>VLOOKUP(A2046,'Customer Names (2)'!A:B, 2,FALSE)</f>
        <v>Ms</v>
      </c>
      <c r="C2046">
        <f>VLOOKUP(A2046,Medical_Examinations[],2,FALSE)</f>
        <v>39.805</v>
      </c>
      <c r="D2046">
        <f>VLOOKUP(A2046,Medical_Examinations[],3,FALSE)</f>
        <v>4.38</v>
      </c>
      <c r="E2046" t="str">
        <f>VLOOKUP(A2046,Medical_Examinations[],4,FALSE)</f>
        <v>No</v>
      </c>
      <c r="F2046" t="str">
        <f>VLOOKUP(A2046,Medical_Examinations[],5,FALSE)</f>
        <v>yes</v>
      </c>
      <c r="G2046" t="str">
        <f>VLOOKUP(A2046,Medical_Examinations[],6,FALSE)</f>
        <v>No</v>
      </c>
      <c r="H2046">
        <f>VLOOKUP(A2046,Medical_Examinations[],7,FALSE)</f>
        <v>1</v>
      </c>
      <c r="I2046" t="str">
        <f>VLOOKUP(A2046,Medical_Examinations[],8,FALSE)</f>
        <v>No</v>
      </c>
      <c r="J2046" t="str">
        <f>VLOOKUP(A2046,Medical_Examinations[],9,FALSE)</f>
        <v>Obesity</v>
      </c>
      <c r="K2046" t="str">
        <f>VLOOKUP(A2046,Medical_Examinations[],10,FALSE)</f>
        <v>Normal</v>
      </c>
      <c r="M2046">
        <f>VLOOKUP(A2046,Hospitalisation_Details__2[],4,FALSE)</f>
        <v>2755.02</v>
      </c>
      <c r="N2046" t="str">
        <f>VLOOKUP(A2046,Hospitalisation_Details__2[],5,FALSE)</f>
        <v>tier - 2</v>
      </c>
      <c r="O2046" t="str">
        <f>VLOOKUP(A2046,Hospitalisation_Details__2[],6,FALSE)</f>
        <v>tier - 1</v>
      </c>
      <c r="P2046" t="str">
        <f>VLOOKUP(A2046,Hospitalisation_Details__2[],7,FALSE)</f>
        <v>R1024</v>
      </c>
    </row>
    <row r="2047" spans="1:16" x14ac:dyDescent="0.35">
      <c r="A2047" t="str">
        <v>Id2046</v>
      </c>
      <c r="B2047" t="str">
        <f>VLOOKUP(A2047,'Customer Names (2)'!A:B, 2,FALSE)</f>
        <v>Ms</v>
      </c>
      <c r="C2047">
        <f>VLOOKUP(A2047,Medical_Examinations[],2,FALSE)</f>
        <v>30.4</v>
      </c>
      <c r="D2047">
        <f>VLOOKUP(A2047,Medical_Examinations[],3,FALSE)</f>
        <v>5.56</v>
      </c>
      <c r="E2047" t="str">
        <f>VLOOKUP(A2047,Medical_Examinations[],4,FALSE)</f>
        <v>Yes</v>
      </c>
      <c r="F2047" t="str">
        <f>VLOOKUP(A2047,Medical_Examinations[],5,FALSE)</f>
        <v>yes</v>
      </c>
      <c r="G2047" t="str">
        <f>VLOOKUP(A2047,Medical_Examinations[],6,FALSE)</f>
        <v>No</v>
      </c>
      <c r="H2047">
        <f>VLOOKUP(A2047,Medical_Examinations[],7,FALSE)</f>
        <v>1</v>
      </c>
      <c r="I2047" t="str">
        <f>VLOOKUP(A2047,Medical_Examinations[],8,FALSE)</f>
        <v>No</v>
      </c>
      <c r="J2047" t="str">
        <f>VLOOKUP(A2047,Medical_Examinations[],9,FALSE)</f>
        <v>Obesity</v>
      </c>
      <c r="K2047" t="str">
        <f>VLOOKUP(A2047,Medical_Examinations[],10,FALSE)</f>
        <v>Normal</v>
      </c>
      <c r="M2047">
        <f>VLOOKUP(A2047,Hospitalisation_Details__2[],4,FALSE)</f>
        <v>2741.95</v>
      </c>
      <c r="N2047" t="str">
        <f>VLOOKUP(A2047,Hospitalisation_Details__2[],5,FALSE)</f>
        <v>tier - 2</v>
      </c>
      <c r="O2047" t="str">
        <f>VLOOKUP(A2047,Hospitalisation_Details__2[],6,FALSE)</f>
        <v>tier - 3</v>
      </c>
      <c r="P2047" t="str">
        <f>VLOOKUP(A2047,Hospitalisation_Details__2[],7,FALSE)</f>
        <v>R1024</v>
      </c>
    </row>
    <row r="2048" spans="1:16" x14ac:dyDescent="0.35">
      <c r="A2048" t="str">
        <v>Id2047</v>
      </c>
      <c r="B2048" t="str">
        <f>VLOOKUP(A2048,'Customer Names (2)'!A:B, 2,FALSE)</f>
        <v>Ms</v>
      </c>
      <c r="C2048">
        <f>VLOOKUP(A2048,Medical_Examinations[],2,FALSE)</f>
        <v>23.18</v>
      </c>
      <c r="D2048">
        <f>VLOOKUP(A2048,Medical_Examinations[],3,FALSE)</f>
        <v>4.24</v>
      </c>
      <c r="E2048" t="str">
        <f>VLOOKUP(A2048,Medical_Examinations[],4,FALSE)</f>
        <v>No</v>
      </c>
      <c r="F2048" t="str">
        <f>VLOOKUP(A2048,Medical_Examinations[],5,FALSE)</f>
        <v>yes</v>
      </c>
      <c r="G2048" t="str">
        <f>VLOOKUP(A2048,Medical_Examinations[],6,FALSE)</f>
        <v>No</v>
      </c>
      <c r="H2048">
        <f>VLOOKUP(A2048,Medical_Examinations[],7,FALSE)</f>
        <v>1</v>
      </c>
      <c r="I2048" t="str">
        <f>VLOOKUP(A2048,Medical_Examinations[],8,FALSE)</f>
        <v>No</v>
      </c>
      <c r="J2048" t="str">
        <f>VLOOKUP(A2048,Medical_Examinations[],9,FALSE)</f>
        <v>Normal Weight</v>
      </c>
      <c r="K2048" t="str">
        <f>VLOOKUP(A2048,Medical_Examinations[],10,FALSE)</f>
        <v>Normal</v>
      </c>
      <c r="M2048">
        <f>VLOOKUP(A2048,Hospitalisation_Details__2[],4,FALSE)</f>
        <v>2731.91</v>
      </c>
      <c r="N2048" t="str">
        <f>VLOOKUP(A2048,Hospitalisation_Details__2[],5,FALSE)</f>
        <v>tier - 2</v>
      </c>
      <c r="O2048" t="str">
        <f>VLOOKUP(A2048,Hospitalisation_Details__2[],6,FALSE)</f>
        <v>tier - 3</v>
      </c>
      <c r="P2048" t="str">
        <f>VLOOKUP(A2048,Hospitalisation_Details__2[],7,FALSE)</f>
        <v>R1024</v>
      </c>
    </row>
    <row r="2049" spans="1:16" x14ac:dyDescent="0.35">
      <c r="A2049" t="str">
        <v>Id2048</v>
      </c>
      <c r="B2049" t="str">
        <f>VLOOKUP(A2049,'Customer Names (2)'!A:B, 2,FALSE)</f>
        <v>Ms</v>
      </c>
      <c r="C2049">
        <f>VLOOKUP(A2049,Medical_Examinations[],2,FALSE)</f>
        <v>39.615000000000002</v>
      </c>
      <c r="D2049">
        <f>VLOOKUP(A2049,Medical_Examinations[],3,FALSE)</f>
        <v>6.32</v>
      </c>
      <c r="E2049" t="str">
        <f>VLOOKUP(A2049,Medical_Examinations[],4,FALSE)</f>
        <v>No</v>
      </c>
      <c r="F2049" t="str">
        <f>VLOOKUP(A2049,Medical_Examinations[],5,FALSE)</f>
        <v>No</v>
      </c>
      <c r="G2049" t="str">
        <f>VLOOKUP(A2049,Medical_Examinations[],6,FALSE)</f>
        <v>Yes</v>
      </c>
      <c r="H2049">
        <f>VLOOKUP(A2049,Medical_Examinations[],7,FALSE)</f>
        <v>1</v>
      </c>
      <c r="I2049" t="str">
        <f>VLOOKUP(A2049,Medical_Examinations[],8,FALSE)</f>
        <v>No</v>
      </c>
      <c r="J2049" t="str">
        <f>VLOOKUP(A2049,Medical_Examinations[],9,FALSE)</f>
        <v>Obesity</v>
      </c>
      <c r="K2049" t="str">
        <f>VLOOKUP(A2049,Medical_Examinations[],10,FALSE)</f>
        <v>Prediabetes</v>
      </c>
      <c r="M2049">
        <f>VLOOKUP(A2049,Hospitalisation_Details__2[],4,FALSE)</f>
        <v>2730.11</v>
      </c>
      <c r="N2049" t="str">
        <f>VLOOKUP(A2049,Hospitalisation_Details__2[],5,FALSE)</f>
        <v>tier - 2</v>
      </c>
      <c r="O2049" t="str">
        <f>VLOOKUP(A2049,Hospitalisation_Details__2[],6,FALSE)</f>
        <v>tier - 3</v>
      </c>
      <c r="P2049" t="str">
        <f>VLOOKUP(A2049,Hospitalisation_Details__2[],7,FALSE)</f>
        <v>R1012</v>
      </c>
    </row>
    <row r="2050" spans="1:16" x14ac:dyDescent="0.35">
      <c r="A2050" t="str">
        <v>Id2049</v>
      </c>
      <c r="B2050" t="str">
        <f>VLOOKUP(A2050,'Customer Names (2)'!A:B, 2,FALSE)</f>
        <v>Mr</v>
      </c>
      <c r="C2050">
        <f>VLOOKUP(A2050,Medical_Examinations[],2,FALSE)</f>
        <v>30.59</v>
      </c>
      <c r="D2050">
        <f>VLOOKUP(A2050,Medical_Examinations[],3,FALSE)</f>
        <v>6.3</v>
      </c>
      <c r="E2050" t="str">
        <f>VLOOKUP(A2050,Medical_Examinations[],4,FALSE)</f>
        <v>Yes</v>
      </c>
      <c r="F2050" t="str">
        <f>VLOOKUP(A2050,Medical_Examinations[],5,FALSE)</f>
        <v>No</v>
      </c>
      <c r="G2050" t="str">
        <f>VLOOKUP(A2050,Medical_Examinations[],6,FALSE)</f>
        <v>Yes</v>
      </c>
      <c r="H2050">
        <f>VLOOKUP(A2050,Medical_Examinations[],7,FALSE)</f>
        <v>1</v>
      </c>
      <c r="I2050" t="str">
        <f>VLOOKUP(A2050,Medical_Examinations[],8,FALSE)</f>
        <v>No</v>
      </c>
      <c r="J2050" t="str">
        <f>VLOOKUP(A2050,Medical_Examinations[],9,FALSE)</f>
        <v>Obesity</v>
      </c>
      <c r="K2050" t="str">
        <f>VLOOKUP(A2050,Medical_Examinations[],10,FALSE)</f>
        <v>Prediabetes</v>
      </c>
      <c r="M2050">
        <f>VLOOKUP(A2050,Hospitalisation_Details__2[],4,FALSE)</f>
        <v>2727.4</v>
      </c>
      <c r="N2050" t="str">
        <f>VLOOKUP(A2050,Hospitalisation_Details__2[],5,FALSE)</f>
        <v>tier - 3</v>
      </c>
      <c r="O2050" t="str">
        <f>VLOOKUP(A2050,Hospitalisation_Details__2[],6,FALSE)</f>
        <v>tier - 3</v>
      </c>
      <c r="P2050" t="str">
        <f>VLOOKUP(A2050,Hospitalisation_Details__2[],7,FALSE)</f>
        <v>R1016</v>
      </c>
    </row>
    <row r="2051" spans="1:16" x14ac:dyDescent="0.35">
      <c r="A2051" t="str">
        <v>Id2050</v>
      </c>
      <c r="B2051" t="str">
        <f>VLOOKUP(A2051,'Customer Names (2)'!A:B, 2,FALSE)</f>
        <v>Mr</v>
      </c>
      <c r="C2051">
        <f>VLOOKUP(A2051,Medical_Examinations[],2,FALSE)</f>
        <v>16.72</v>
      </c>
      <c r="D2051">
        <f>VLOOKUP(A2051,Medical_Examinations[],3,FALSE)</f>
        <v>4.38</v>
      </c>
      <c r="E2051" t="str">
        <f>VLOOKUP(A2051,Medical_Examinations[],4,FALSE)</f>
        <v>Yes</v>
      </c>
      <c r="F2051" t="str">
        <f>VLOOKUP(A2051,Medical_Examinations[],5,FALSE)</f>
        <v>No</v>
      </c>
      <c r="G2051" t="str">
        <f>VLOOKUP(A2051,Medical_Examinations[],6,FALSE)</f>
        <v>No</v>
      </c>
      <c r="H2051">
        <f>VLOOKUP(A2051,Medical_Examinations[],7,FALSE)</f>
        <v>1</v>
      </c>
      <c r="I2051" t="str">
        <f>VLOOKUP(A2051,Medical_Examinations[],8,FALSE)</f>
        <v>No</v>
      </c>
      <c r="J2051" t="str">
        <f>VLOOKUP(A2051,Medical_Examinations[],9,FALSE)</f>
        <v>Underweight</v>
      </c>
      <c r="K2051" t="str">
        <f>VLOOKUP(A2051,Medical_Examinations[],10,FALSE)</f>
        <v>Normal</v>
      </c>
      <c r="M2051">
        <f>VLOOKUP(A2051,Hospitalisation_Details__2[],4,FALSE)</f>
        <v>2726.06</v>
      </c>
      <c r="N2051" t="str">
        <f>VLOOKUP(A2051,Hospitalisation_Details__2[],5,FALSE)</f>
        <v>tier - 2</v>
      </c>
      <c r="O2051" t="str">
        <f>VLOOKUP(A2051,Hospitalisation_Details__2[],6,FALSE)</f>
        <v>tier - 2</v>
      </c>
      <c r="P2051" t="str">
        <f>VLOOKUP(A2051,Hospitalisation_Details__2[],7,FALSE)</f>
        <v>R1013</v>
      </c>
    </row>
    <row r="2052" spans="1:16" x14ac:dyDescent="0.35">
      <c r="A2052" t="str">
        <v>Id2051</v>
      </c>
      <c r="B2052" t="str">
        <f>VLOOKUP(A2052,'Customer Names (2)'!A:B, 2,FALSE)</f>
        <v>Mr</v>
      </c>
      <c r="C2052">
        <f>VLOOKUP(A2052,Medical_Examinations[],2,FALSE)</f>
        <v>26.22</v>
      </c>
      <c r="D2052">
        <f>VLOOKUP(A2052,Medical_Examinations[],3,FALSE)</f>
        <v>4.6500000000000004</v>
      </c>
      <c r="E2052" t="str">
        <f>VLOOKUP(A2052,Medical_Examinations[],4,FALSE)</f>
        <v>Yes</v>
      </c>
      <c r="F2052" t="str">
        <f>VLOOKUP(A2052,Medical_Examinations[],5,FALSE)</f>
        <v>No</v>
      </c>
      <c r="G2052" t="str">
        <f>VLOOKUP(A2052,Medical_Examinations[],6,FALSE)</f>
        <v>Yes</v>
      </c>
      <c r="H2052">
        <f>VLOOKUP(A2052,Medical_Examinations[],7,FALSE)</f>
        <v>1</v>
      </c>
      <c r="I2052" t="str">
        <f>VLOOKUP(A2052,Medical_Examinations[],8,FALSE)</f>
        <v>No</v>
      </c>
      <c r="J2052" t="str">
        <f>VLOOKUP(A2052,Medical_Examinations[],9,FALSE)</f>
        <v>Overweight</v>
      </c>
      <c r="K2052" t="str">
        <f>VLOOKUP(A2052,Medical_Examinations[],10,FALSE)</f>
        <v>Normal</v>
      </c>
      <c r="M2052">
        <f>VLOOKUP(A2052,Hospitalisation_Details__2[],4,FALSE)</f>
        <v>2721.32</v>
      </c>
      <c r="N2052" t="str">
        <f>VLOOKUP(A2052,Hospitalisation_Details__2[],5,FALSE)</f>
        <v>tier - 1</v>
      </c>
      <c r="O2052" t="str">
        <f>VLOOKUP(A2052,Hospitalisation_Details__2[],6,FALSE)</f>
        <v>tier - 3</v>
      </c>
      <c r="P2052" t="str">
        <f>VLOOKUP(A2052,Hospitalisation_Details__2[],7,FALSE)</f>
        <v>R1014</v>
      </c>
    </row>
    <row r="2053" spans="1:16" x14ac:dyDescent="0.35">
      <c r="A2053" t="str">
        <v>Id2052</v>
      </c>
      <c r="B2053" t="str">
        <f>VLOOKUP(A2053,'Customer Names (2)'!A:B, 2,FALSE)</f>
        <v>Ms</v>
      </c>
      <c r="C2053">
        <f>VLOOKUP(A2053,Medical_Examinations[],2,FALSE)</f>
        <v>31.824999999999999</v>
      </c>
      <c r="D2053">
        <f>VLOOKUP(A2053,Medical_Examinations[],3,FALSE)</f>
        <v>4.7</v>
      </c>
      <c r="E2053" t="str">
        <f>VLOOKUP(A2053,Medical_Examinations[],4,FALSE)</f>
        <v>No</v>
      </c>
      <c r="F2053" t="str">
        <f>VLOOKUP(A2053,Medical_Examinations[],5,FALSE)</f>
        <v>No</v>
      </c>
      <c r="G2053" t="str">
        <f>VLOOKUP(A2053,Medical_Examinations[],6,FALSE)</f>
        <v>Yes</v>
      </c>
      <c r="H2053">
        <f>VLOOKUP(A2053,Medical_Examinations[],7,FALSE)</f>
        <v>1</v>
      </c>
      <c r="I2053" t="str">
        <f>VLOOKUP(A2053,Medical_Examinations[],8,FALSE)</f>
        <v>No</v>
      </c>
      <c r="J2053" t="str">
        <f>VLOOKUP(A2053,Medical_Examinations[],9,FALSE)</f>
        <v>Obesity</v>
      </c>
      <c r="K2053" t="str">
        <f>VLOOKUP(A2053,Medical_Examinations[],10,FALSE)</f>
        <v>Normal</v>
      </c>
      <c r="M2053">
        <f>VLOOKUP(A2053,Hospitalisation_Details__2[],4,FALSE)</f>
        <v>2719.28</v>
      </c>
      <c r="N2053" t="str">
        <f>VLOOKUP(A2053,Hospitalisation_Details__2[],5,FALSE)</f>
        <v>tier - 2</v>
      </c>
      <c r="O2053" t="str">
        <f>VLOOKUP(A2053,Hospitalisation_Details__2[],6,FALSE)</f>
        <v>tier - 2</v>
      </c>
      <c r="P2053" t="str">
        <f>VLOOKUP(A2053,Hospitalisation_Details__2[],7,FALSE)</f>
        <v>R1012</v>
      </c>
    </row>
    <row r="2054" spans="1:16" x14ac:dyDescent="0.35">
      <c r="A2054" t="str">
        <v>Id2053</v>
      </c>
      <c r="B2054" t="str">
        <f>VLOOKUP(A2054,'Customer Names (2)'!A:B, 2,FALSE)</f>
        <v>Ms</v>
      </c>
      <c r="C2054">
        <f>VLOOKUP(A2054,Medical_Examinations[],2,FALSE)</f>
        <v>25.745000000000001</v>
      </c>
      <c r="D2054">
        <f>VLOOKUP(A2054,Medical_Examinations[],3,FALSE)</f>
        <v>4.34</v>
      </c>
      <c r="E2054" t="str">
        <f>VLOOKUP(A2054,Medical_Examinations[],4,FALSE)</f>
        <v>No</v>
      </c>
      <c r="F2054" t="str">
        <f>VLOOKUP(A2054,Medical_Examinations[],5,FALSE)</f>
        <v>No</v>
      </c>
      <c r="G2054" t="str">
        <f>VLOOKUP(A2054,Medical_Examinations[],6,FALSE)</f>
        <v>Yes</v>
      </c>
      <c r="H2054">
        <f>VLOOKUP(A2054,Medical_Examinations[],7,FALSE)</f>
        <v>1</v>
      </c>
      <c r="I2054" t="str">
        <f>VLOOKUP(A2054,Medical_Examinations[],8,FALSE)</f>
        <v>No</v>
      </c>
      <c r="J2054" t="str">
        <f>VLOOKUP(A2054,Medical_Examinations[],9,FALSE)</f>
        <v>Overweight</v>
      </c>
      <c r="K2054" t="str">
        <f>VLOOKUP(A2054,Medical_Examinations[],10,FALSE)</f>
        <v>Normal</v>
      </c>
      <c r="M2054">
        <f>VLOOKUP(A2054,Hospitalisation_Details__2[],4,FALSE)</f>
        <v>2710.83</v>
      </c>
      <c r="N2054" t="str">
        <f>VLOOKUP(A2054,Hospitalisation_Details__2[],5,FALSE)</f>
        <v>tier - 2</v>
      </c>
      <c r="O2054" t="str">
        <f>VLOOKUP(A2054,Hospitalisation_Details__2[],6,FALSE)</f>
        <v>tier - 3</v>
      </c>
      <c r="P2054" t="str">
        <f>VLOOKUP(A2054,Hospitalisation_Details__2[],7,FALSE)</f>
        <v>R1012</v>
      </c>
    </row>
    <row r="2055" spans="1:16" x14ac:dyDescent="0.35">
      <c r="A2055" t="str">
        <v>Id2054</v>
      </c>
      <c r="B2055" t="str">
        <f>VLOOKUP(A2055,'Customer Names (2)'!A:B, 2,FALSE)</f>
        <v>Ms</v>
      </c>
      <c r="C2055">
        <f>VLOOKUP(A2055,Medical_Examinations[],2,FALSE)</f>
        <v>24.605</v>
      </c>
      <c r="D2055">
        <f>VLOOKUP(A2055,Medical_Examinations[],3,FALSE)</f>
        <v>5.62</v>
      </c>
      <c r="E2055" t="str">
        <f>VLOOKUP(A2055,Medical_Examinations[],4,FALSE)</f>
        <v>No</v>
      </c>
      <c r="F2055" t="str">
        <f>VLOOKUP(A2055,Medical_Examinations[],5,FALSE)</f>
        <v>No</v>
      </c>
      <c r="G2055" t="str">
        <f>VLOOKUP(A2055,Medical_Examinations[],6,FALSE)</f>
        <v>Yes</v>
      </c>
      <c r="H2055">
        <f>VLOOKUP(A2055,Medical_Examinations[],7,FALSE)</f>
        <v>1</v>
      </c>
      <c r="I2055" t="str">
        <f>VLOOKUP(A2055,Medical_Examinations[],8,FALSE)</f>
        <v>No</v>
      </c>
      <c r="J2055" t="str">
        <f>VLOOKUP(A2055,Medical_Examinations[],9,FALSE)</f>
        <v>Normal Weight</v>
      </c>
      <c r="K2055" t="str">
        <f>VLOOKUP(A2055,Medical_Examinations[],10,FALSE)</f>
        <v>Normal</v>
      </c>
      <c r="M2055">
        <f>VLOOKUP(A2055,Hospitalisation_Details__2[],4,FALSE)</f>
        <v>2709.24</v>
      </c>
      <c r="N2055" t="str">
        <f>VLOOKUP(A2055,Hospitalisation_Details__2[],5,FALSE)</f>
        <v>tier - 2</v>
      </c>
      <c r="O2055" t="str">
        <f>VLOOKUP(A2055,Hospitalisation_Details__2[],6,FALSE)</f>
        <v>tier - 2</v>
      </c>
      <c r="P2055" t="str">
        <f>VLOOKUP(A2055,Hospitalisation_Details__2[],7,FALSE)</f>
        <v>R1012</v>
      </c>
    </row>
    <row r="2056" spans="1:16" x14ac:dyDescent="0.35">
      <c r="A2056" t="str">
        <v>Id2055</v>
      </c>
      <c r="B2056" t="str">
        <f>VLOOKUP(A2056,'Customer Names (2)'!A:B, 2,FALSE)</f>
        <v>Ms</v>
      </c>
      <c r="C2056">
        <f>VLOOKUP(A2056,Medical_Examinations[],2,FALSE)</f>
        <v>24.51</v>
      </c>
      <c r="D2056">
        <f>VLOOKUP(A2056,Medical_Examinations[],3,FALSE)</f>
        <v>4.24</v>
      </c>
      <c r="E2056" t="str">
        <f>VLOOKUP(A2056,Medical_Examinations[],4,FALSE)</f>
        <v>No</v>
      </c>
      <c r="F2056" t="str">
        <f>VLOOKUP(A2056,Medical_Examinations[],5,FALSE)</f>
        <v>No</v>
      </c>
      <c r="G2056" t="str">
        <f>VLOOKUP(A2056,Medical_Examinations[],6,FALSE)</f>
        <v>Yes</v>
      </c>
      <c r="H2056">
        <f>VLOOKUP(A2056,Medical_Examinations[],7,FALSE)</f>
        <v>1</v>
      </c>
      <c r="I2056" t="str">
        <f>VLOOKUP(A2056,Medical_Examinations[],8,FALSE)</f>
        <v>No</v>
      </c>
      <c r="J2056" t="str">
        <f>VLOOKUP(A2056,Medical_Examinations[],9,FALSE)</f>
        <v>Normal Weight</v>
      </c>
      <c r="K2056" t="str">
        <f>VLOOKUP(A2056,Medical_Examinations[],10,FALSE)</f>
        <v>Normal</v>
      </c>
      <c r="M2056">
        <f>VLOOKUP(A2056,Hospitalisation_Details__2[],4,FALSE)</f>
        <v>2709.11</v>
      </c>
      <c r="N2056" t="str">
        <f>VLOOKUP(A2056,Hospitalisation_Details__2[],5,FALSE)</f>
        <v>tier - 2</v>
      </c>
      <c r="O2056" t="str">
        <f>VLOOKUP(A2056,Hospitalisation_Details__2[],6,FALSE)</f>
        <v>tier - 2</v>
      </c>
      <c r="P2056" t="str">
        <f>VLOOKUP(A2056,Hospitalisation_Details__2[],7,FALSE)</f>
        <v>R1012</v>
      </c>
    </row>
    <row r="2057" spans="1:16" x14ac:dyDescent="0.35">
      <c r="A2057" t="str">
        <v>Id2056</v>
      </c>
      <c r="B2057" t="str">
        <f>VLOOKUP(A2057,'Customer Names (2)'!A:B, 2,FALSE)</f>
        <v>Mr</v>
      </c>
      <c r="C2057">
        <f>VLOOKUP(A2057,Medical_Examinations[],2,FALSE)</f>
        <v>31.065000000000001</v>
      </c>
      <c r="D2057">
        <f>VLOOKUP(A2057,Medical_Examinations[],3,FALSE)</f>
        <v>4.57</v>
      </c>
      <c r="E2057" t="str">
        <f>VLOOKUP(A2057,Medical_Examinations[],4,FALSE)</f>
        <v>Yes</v>
      </c>
      <c r="F2057" t="str">
        <f>VLOOKUP(A2057,Medical_Examinations[],5,FALSE)</f>
        <v>No</v>
      </c>
      <c r="G2057" t="str">
        <f>VLOOKUP(A2057,Medical_Examinations[],6,FALSE)</f>
        <v>No</v>
      </c>
      <c r="H2057">
        <f>VLOOKUP(A2057,Medical_Examinations[],7,FALSE)</f>
        <v>0</v>
      </c>
      <c r="I2057" t="str">
        <f>VLOOKUP(A2057,Medical_Examinations[],8,FALSE)</f>
        <v>No</v>
      </c>
      <c r="J2057" t="str">
        <f>VLOOKUP(A2057,Medical_Examinations[],9,FALSE)</f>
        <v>Obesity</v>
      </c>
      <c r="K2057" t="str">
        <f>VLOOKUP(A2057,Medical_Examinations[],10,FALSE)</f>
        <v>Normal</v>
      </c>
      <c r="M2057">
        <f>VLOOKUP(A2057,Hospitalisation_Details__2[],4,FALSE)</f>
        <v>2699.57</v>
      </c>
      <c r="N2057" t="str">
        <f>VLOOKUP(A2057,Hospitalisation_Details__2[],5,FALSE)</f>
        <v>tier - 2</v>
      </c>
      <c r="O2057" t="str">
        <f>VLOOKUP(A2057,Hospitalisation_Details__2[],6,FALSE)</f>
        <v>tier - 1</v>
      </c>
      <c r="P2057" t="str">
        <f>VLOOKUP(A2057,Hospitalisation_Details__2[],7,FALSE)</f>
        <v>R1012</v>
      </c>
    </row>
    <row r="2058" spans="1:16" x14ac:dyDescent="0.35">
      <c r="A2058" t="str">
        <v>Id2057</v>
      </c>
      <c r="B2058" t="str">
        <f>VLOOKUP(A2058,'Customer Names (2)'!A:B, 2,FALSE)</f>
        <v>Ms</v>
      </c>
      <c r="C2058">
        <f>VLOOKUP(A2058,Medical_Examinations[],2,FALSE)</f>
        <v>28.12</v>
      </c>
      <c r="D2058">
        <f>VLOOKUP(A2058,Medical_Examinations[],3,FALSE)</f>
        <v>5.05</v>
      </c>
      <c r="E2058" t="str">
        <f>VLOOKUP(A2058,Medical_Examinations[],4,FALSE)</f>
        <v>No</v>
      </c>
      <c r="F2058" t="str">
        <f>VLOOKUP(A2058,Medical_Examinations[],5,FALSE)</f>
        <v>No</v>
      </c>
      <c r="G2058" t="str">
        <f>VLOOKUP(A2058,Medical_Examinations[],6,FALSE)</f>
        <v>No</v>
      </c>
      <c r="H2058">
        <f>VLOOKUP(A2058,Medical_Examinations[],7,FALSE)</f>
        <v>0</v>
      </c>
      <c r="I2058" t="str">
        <f>VLOOKUP(A2058,Medical_Examinations[],8,FALSE)</f>
        <v>No</v>
      </c>
      <c r="J2058" t="str">
        <f>VLOOKUP(A2058,Medical_Examinations[],9,FALSE)</f>
        <v>Overweight</v>
      </c>
      <c r="K2058" t="str">
        <f>VLOOKUP(A2058,Medical_Examinations[],10,FALSE)</f>
        <v>Normal</v>
      </c>
      <c r="M2058">
        <f>VLOOKUP(A2058,Hospitalisation_Details__2[],4,FALSE)</f>
        <v>2690.11</v>
      </c>
      <c r="N2058" t="str">
        <f>VLOOKUP(A2058,Hospitalisation_Details__2[],5,FALSE)</f>
        <v>tier - 2</v>
      </c>
      <c r="O2058" t="str">
        <f>VLOOKUP(A2058,Hospitalisation_Details__2[],6,FALSE)</f>
        <v>tier - 2</v>
      </c>
      <c r="P2058" t="str">
        <f>VLOOKUP(A2058,Hospitalisation_Details__2[],7,FALSE)</f>
        <v>R1012</v>
      </c>
    </row>
    <row r="2059" spans="1:16" x14ac:dyDescent="0.35">
      <c r="A2059" t="str">
        <v>Id2058</v>
      </c>
      <c r="B2059" t="str">
        <f>VLOOKUP(A2059,'Customer Names (2)'!A:B, 2,FALSE)</f>
        <v>Mr</v>
      </c>
      <c r="C2059">
        <f>VLOOKUP(A2059,Medical_Examinations[],2,FALSE)</f>
        <v>38.06</v>
      </c>
      <c r="D2059">
        <f>VLOOKUP(A2059,Medical_Examinations[],3,FALSE)</f>
        <v>6.16</v>
      </c>
      <c r="E2059" t="str">
        <f>VLOOKUP(A2059,Medical_Examinations[],4,FALSE)</f>
        <v>No</v>
      </c>
      <c r="F2059" t="str">
        <f>VLOOKUP(A2059,Medical_Examinations[],5,FALSE)</f>
        <v>No</v>
      </c>
      <c r="G2059" t="str">
        <f>VLOOKUP(A2059,Medical_Examinations[],6,FALSE)</f>
        <v>No</v>
      </c>
      <c r="H2059">
        <f>VLOOKUP(A2059,Medical_Examinations[],7,FALSE)</f>
        <v>0</v>
      </c>
      <c r="I2059" t="str">
        <f>VLOOKUP(A2059,Medical_Examinations[],8,FALSE)</f>
        <v>No</v>
      </c>
      <c r="J2059" t="str">
        <f>VLOOKUP(A2059,Medical_Examinations[],9,FALSE)</f>
        <v>Obesity</v>
      </c>
      <c r="K2059" t="str">
        <f>VLOOKUP(A2059,Medical_Examinations[],10,FALSE)</f>
        <v>Prediabetes</v>
      </c>
      <c r="M2059">
        <f>VLOOKUP(A2059,Hospitalisation_Details__2[],4,FALSE)</f>
        <v>2689.5</v>
      </c>
      <c r="N2059" t="str">
        <f>VLOOKUP(A2059,Hospitalisation_Details__2[],5,FALSE)</f>
        <v>tier - 3</v>
      </c>
      <c r="O2059" t="str">
        <f>VLOOKUP(A2059,Hospitalisation_Details__2[],6,FALSE)</f>
        <v>tier - 2</v>
      </c>
      <c r="P2059" t="str">
        <f>VLOOKUP(A2059,Hospitalisation_Details__2[],7,FALSE)</f>
        <v>R1013</v>
      </c>
    </row>
    <row r="2060" spans="1:16" x14ac:dyDescent="0.35">
      <c r="A2060" t="str">
        <v>Id2059</v>
      </c>
      <c r="B2060" t="str">
        <f>VLOOKUP(A2060,'Customer Names (2)'!A:B, 2,FALSE)</f>
        <v>Ms</v>
      </c>
      <c r="C2060">
        <f>VLOOKUP(A2060,Medical_Examinations[],2,FALSE)</f>
        <v>24.96</v>
      </c>
      <c r="D2060">
        <f>VLOOKUP(A2060,Medical_Examinations[],3,FALSE)</f>
        <v>4.57</v>
      </c>
      <c r="E2060" t="str">
        <f>VLOOKUP(A2060,Medical_Examinations[],4,FALSE)</f>
        <v>No</v>
      </c>
      <c r="F2060" t="str">
        <f>VLOOKUP(A2060,Medical_Examinations[],5,FALSE)</f>
        <v>No</v>
      </c>
      <c r="G2060" t="str">
        <f>VLOOKUP(A2060,Medical_Examinations[],6,FALSE)</f>
        <v>No</v>
      </c>
      <c r="H2060">
        <f>VLOOKUP(A2060,Medical_Examinations[],7,FALSE)</f>
        <v>0</v>
      </c>
      <c r="I2060" t="str">
        <f>VLOOKUP(A2060,Medical_Examinations[],8,FALSE)</f>
        <v>No</v>
      </c>
      <c r="J2060" t="str">
        <f>VLOOKUP(A2060,Medical_Examinations[],9,FALSE)</f>
        <v>Normal Weight</v>
      </c>
      <c r="K2060" t="str">
        <f>VLOOKUP(A2060,Medical_Examinations[],10,FALSE)</f>
        <v>Normal</v>
      </c>
      <c r="M2060">
        <f>VLOOKUP(A2060,Hospitalisation_Details__2[],4,FALSE)</f>
        <v>2684.69</v>
      </c>
      <c r="N2060" t="str">
        <f>VLOOKUP(A2060,Hospitalisation_Details__2[],5,FALSE)</f>
        <v>tier - 2</v>
      </c>
      <c r="O2060" t="str">
        <f>VLOOKUP(A2060,Hospitalisation_Details__2[],6,FALSE)</f>
        <v>tier - 2</v>
      </c>
      <c r="P2060" t="str">
        <f>VLOOKUP(A2060,Hospitalisation_Details__2[],7,FALSE)</f>
        <v>R1013</v>
      </c>
    </row>
    <row r="2061" spans="1:16" x14ac:dyDescent="0.35">
      <c r="A2061" t="str">
        <v>Id2060</v>
      </c>
      <c r="B2061" t="str">
        <f>VLOOKUP(A2061,'Customer Names (2)'!A:B, 2,FALSE)</f>
        <v>Mr</v>
      </c>
      <c r="C2061">
        <f>VLOOKUP(A2061,Medical_Examinations[],2,FALSE)</f>
        <v>17.670000000000002</v>
      </c>
      <c r="D2061">
        <f>VLOOKUP(A2061,Medical_Examinations[],3,FALSE)</f>
        <v>5.53</v>
      </c>
      <c r="E2061" t="str">
        <f>VLOOKUP(A2061,Medical_Examinations[],4,FALSE)</f>
        <v>Yes</v>
      </c>
      <c r="F2061" t="str">
        <f>VLOOKUP(A2061,Medical_Examinations[],5,FALSE)</f>
        <v>No</v>
      </c>
      <c r="G2061" t="str">
        <f>VLOOKUP(A2061,Medical_Examinations[],6,FALSE)</f>
        <v>No</v>
      </c>
      <c r="H2061">
        <f>VLOOKUP(A2061,Medical_Examinations[],7,FALSE)</f>
        <v>0</v>
      </c>
      <c r="I2061" t="str">
        <f>VLOOKUP(A2061,Medical_Examinations[],8,FALSE)</f>
        <v>No</v>
      </c>
      <c r="J2061" t="str">
        <f>VLOOKUP(A2061,Medical_Examinations[],9,FALSE)</f>
        <v>Underweight</v>
      </c>
      <c r="K2061" t="str">
        <f>VLOOKUP(A2061,Medical_Examinations[],10,FALSE)</f>
        <v>Normal</v>
      </c>
      <c r="M2061">
        <f>VLOOKUP(A2061,Hospitalisation_Details__2[],4,FALSE)</f>
        <v>2680.95</v>
      </c>
      <c r="N2061" t="str">
        <f>VLOOKUP(A2061,Hospitalisation_Details__2[],5,FALSE)</f>
        <v>tier - 3</v>
      </c>
      <c r="O2061" t="str">
        <f>VLOOKUP(A2061,Hospitalisation_Details__2[],6,FALSE)</f>
        <v>tier - 2</v>
      </c>
      <c r="P2061" t="str">
        <f>VLOOKUP(A2061,Hospitalisation_Details__2[],7,FALSE)</f>
        <v>R1012</v>
      </c>
    </row>
    <row r="2062" spans="1:16" x14ac:dyDescent="0.35">
      <c r="A2062" t="str">
        <v>Id2061</v>
      </c>
      <c r="B2062" t="str">
        <f>VLOOKUP(A2062,'Customer Names (2)'!A:B, 2,FALSE)</f>
        <v>Mr</v>
      </c>
      <c r="C2062">
        <f>VLOOKUP(A2062,Medical_Examinations[],2,FALSE)</f>
        <v>31.35</v>
      </c>
      <c r="D2062">
        <f>VLOOKUP(A2062,Medical_Examinations[],3,FALSE)</f>
        <v>5.84</v>
      </c>
      <c r="E2062" t="str">
        <f>VLOOKUP(A2062,Medical_Examinations[],4,FALSE)</f>
        <v>No</v>
      </c>
      <c r="F2062" t="str">
        <f>VLOOKUP(A2062,Medical_Examinations[],5,FALSE)</f>
        <v>yes</v>
      </c>
      <c r="G2062" t="str">
        <f>VLOOKUP(A2062,Medical_Examinations[],6,FALSE)</f>
        <v>No</v>
      </c>
      <c r="H2062">
        <f>VLOOKUP(A2062,Medical_Examinations[],7,FALSE)</f>
        <v>1</v>
      </c>
      <c r="I2062" t="str">
        <f>VLOOKUP(A2062,Medical_Examinations[],8,FALSE)</f>
        <v>No</v>
      </c>
      <c r="J2062" t="str">
        <f>VLOOKUP(A2062,Medical_Examinations[],9,FALSE)</f>
        <v>Obesity</v>
      </c>
      <c r="K2062" t="str">
        <f>VLOOKUP(A2062,Medical_Examinations[],10,FALSE)</f>
        <v>Prediabetes</v>
      </c>
      <c r="M2062">
        <f>VLOOKUP(A2062,Hospitalisation_Details__2[],4,FALSE)</f>
        <v>2643.27</v>
      </c>
      <c r="N2062" t="str">
        <f>VLOOKUP(A2062,Hospitalisation_Details__2[],5,FALSE)</f>
        <v>tier - 2</v>
      </c>
      <c r="O2062" t="str">
        <f>VLOOKUP(A2062,Hospitalisation_Details__2[],6,FALSE)</f>
        <v>tier - 1</v>
      </c>
      <c r="P2062" t="str">
        <f>VLOOKUP(A2062,Hospitalisation_Details__2[],7,FALSE)</f>
        <v>R1012</v>
      </c>
    </row>
    <row r="2063" spans="1:16" x14ac:dyDescent="0.35">
      <c r="A2063" t="str">
        <v>Id2062</v>
      </c>
      <c r="B2063" t="str">
        <f>VLOOKUP(A2063,'Customer Names (2)'!A:B, 2,FALSE)</f>
        <v>Mr</v>
      </c>
      <c r="C2063">
        <f>VLOOKUP(A2063,Medical_Examinations[],2,FALSE)</f>
        <v>28.31</v>
      </c>
      <c r="D2063">
        <f>VLOOKUP(A2063,Medical_Examinations[],3,FALSE)</f>
        <v>6.41</v>
      </c>
      <c r="E2063" t="str">
        <f>VLOOKUP(A2063,Medical_Examinations[],4,FALSE)</f>
        <v>No</v>
      </c>
      <c r="F2063" t="str">
        <f>VLOOKUP(A2063,Medical_Examinations[],5,FALSE)</f>
        <v>yes</v>
      </c>
      <c r="G2063" t="str">
        <f>VLOOKUP(A2063,Medical_Examinations[],6,FALSE)</f>
        <v>No</v>
      </c>
      <c r="H2063">
        <f>VLOOKUP(A2063,Medical_Examinations[],7,FALSE)</f>
        <v>1</v>
      </c>
      <c r="I2063" t="str">
        <f>VLOOKUP(A2063,Medical_Examinations[],8,FALSE)</f>
        <v>No</v>
      </c>
      <c r="J2063" t="str">
        <f>VLOOKUP(A2063,Medical_Examinations[],9,FALSE)</f>
        <v>Overweight</v>
      </c>
      <c r="K2063" t="str">
        <f>VLOOKUP(A2063,Medical_Examinations[],10,FALSE)</f>
        <v>Prediabetes</v>
      </c>
      <c r="M2063">
        <f>VLOOKUP(A2063,Hospitalisation_Details__2[],4,FALSE)</f>
        <v>2639.04</v>
      </c>
      <c r="N2063" t="str">
        <f>VLOOKUP(A2063,Hospitalisation_Details__2[],5,FALSE)</f>
        <v>tier - 2</v>
      </c>
      <c r="O2063" t="str">
        <f>VLOOKUP(A2063,Hospitalisation_Details__2[],6,FALSE)</f>
        <v>tier - 2</v>
      </c>
      <c r="P2063" t="str">
        <f>VLOOKUP(A2063,Hospitalisation_Details__2[],7,FALSE)</f>
        <v>R1012</v>
      </c>
    </row>
    <row r="2064" spans="1:16" x14ac:dyDescent="0.35">
      <c r="A2064" t="str">
        <v>Id2063</v>
      </c>
      <c r="B2064" t="str">
        <f>VLOOKUP(A2064,'Customer Names (2)'!A:B, 2,FALSE)</f>
        <v>Ms</v>
      </c>
      <c r="C2064">
        <f>VLOOKUP(A2064,Medical_Examinations[],2,FALSE)</f>
        <v>30.3</v>
      </c>
      <c r="D2064">
        <f>VLOOKUP(A2064,Medical_Examinations[],3,FALSE)</f>
        <v>4.7300000000000004</v>
      </c>
      <c r="E2064" t="str">
        <f>VLOOKUP(A2064,Medical_Examinations[],4,FALSE)</f>
        <v>Yes</v>
      </c>
      <c r="F2064" t="str">
        <f>VLOOKUP(A2064,Medical_Examinations[],5,FALSE)</f>
        <v>No</v>
      </c>
      <c r="G2064" t="str">
        <f>VLOOKUP(A2064,Medical_Examinations[],6,FALSE)</f>
        <v>Yes</v>
      </c>
      <c r="H2064">
        <f>VLOOKUP(A2064,Medical_Examinations[],7,FALSE)</f>
        <v>1</v>
      </c>
      <c r="I2064" t="str">
        <f>VLOOKUP(A2064,Medical_Examinations[],8,FALSE)</f>
        <v>No</v>
      </c>
      <c r="J2064" t="str">
        <f>VLOOKUP(A2064,Medical_Examinations[],9,FALSE)</f>
        <v>Obesity</v>
      </c>
      <c r="K2064" t="str">
        <f>VLOOKUP(A2064,Medical_Examinations[],10,FALSE)</f>
        <v>Normal</v>
      </c>
      <c r="M2064">
        <f>VLOOKUP(A2064,Hospitalisation_Details__2[],4,FALSE)</f>
        <v>2632.99</v>
      </c>
      <c r="N2064" t="str">
        <f>VLOOKUP(A2064,Hospitalisation_Details__2[],5,FALSE)</f>
        <v>tier - 2</v>
      </c>
      <c r="O2064" t="str">
        <f>VLOOKUP(A2064,Hospitalisation_Details__2[],6,FALSE)</f>
        <v>tier - 1</v>
      </c>
      <c r="P2064" t="str">
        <f>VLOOKUP(A2064,Hospitalisation_Details__2[],7,FALSE)</f>
        <v>R1011</v>
      </c>
    </row>
    <row r="2065" spans="1:16" x14ac:dyDescent="0.35">
      <c r="A2065" t="str">
        <v>Id2064</v>
      </c>
      <c r="B2065" t="str">
        <f>VLOOKUP(A2065,'Customer Names (2)'!A:B, 2,FALSE)</f>
        <v>Ms</v>
      </c>
      <c r="C2065">
        <f>VLOOKUP(A2065,Medical_Examinations[],2,FALSE)</f>
        <v>26.4</v>
      </c>
      <c r="D2065">
        <f>VLOOKUP(A2065,Medical_Examinations[],3,FALSE)</f>
        <v>6.22</v>
      </c>
      <c r="E2065" t="str">
        <f>VLOOKUP(A2065,Medical_Examinations[],4,FALSE)</f>
        <v>Yes</v>
      </c>
      <c r="F2065" t="str">
        <f>VLOOKUP(A2065,Medical_Examinations[],5,FALSE)</f>
        <v>No</v>
      </c>
      <c r="G2065" t="str">
        <f>VLOOKUP(A2065,Medical_Examinations[],6,FALSE)</f>
        <v>No</v>
      </c>
      <c r="H2065">
        <f>VLOOKUP(A2065,Medical_Examinations[],7,FALSE)</f>
        <v>0</v>
      </c>
      <c r="I2065" t="str">
        <f>VLOOKUP(A2065,Medical_Examinations[],8,FALSE)</f>
        <v>No</v>
      </c>
      <c r="J2065" t="str">
        <f>VLOOKUP(A2065,Medical_Examinations[],9,FALSE)</f>
        <v>Overweight</v>
      </c>
      <c r="K2065" t="str">
        <f>VLOOKUP(A2065,Medical_Examinations[],10,FALSE)</f>
        <v>Prediabetes</v>
      </c>
      <c r="M2065">
        <f>VLOOKUP(A2065,Hospitalisation_Details__2[],4,FALSE)</f>
        <v>2597.7800000000002</v>
      </c>
      <c r="N2065" t="str">
        <f>VLOOKUP(A2065,Hospitalisation_Details__2[],5,FALSE)</f>
        <v>tier - 2</v>
      </c>
      <c r="O2065" t="str">
        <f>VLOOKUP(A2065,Hospitalisation_Details__2[],6,FALSE)</f>
        <v>tier - 1</v>
      </c>
      <c r="P2065" t="str">
        <f>VLOOKUP(A2065,Hospitalisation_Details__2[],7,FALSE)</f>
        <v>R1011</v>
      </c>
    </row>
    <row r="2066" spans="1:16" x14ac:dyDescent="0.35">
      <c r="A2066" t="str">
        <v>Id2065</v>
      </c>
      <c r="B2066" t="str">
        <f>VLOOKUP(A2066,'Customer Names (2)'!A:B, 2,FALSE)</f>
        <v>Ms</v>
      </c>
      <c r="C2066">
        <f>VLOOKUP(A2066,Medical_Examinations[],2,FALSE)</f>
        <v>22.135000000000002</v>
      </c>
      <c r="D2066">
        <f>VLOOKUP(A2066,Medical_Examinations[],3,FALSE)</f>
        <v>4.46</v>
      </c>
      <c r="E2066" t="str">
        <f>VLOOKUP(A2066,Medical_Examinations[],4,FALSE)</f>
        <v>Yes</v>
      </c>
      <c r="F2066" t="str">
        <f>VLOOKUP(A2066,Medical_Examinations[],5,FALSE)</f>
        <v>No</v>
      </c>
      <c r="G2066" t="str">
        <f>VLOOKUP(A2066,Medical_Examinations[],6,FALSE)</f>
        <v>No</v>
      </c>
      <c r="H2066">
        <f>VLOOKUP(A2066,Medical_Examinations[],7,FALSE)</f>
        <v>0</v>
      </c>
      <c r="I2066" t="str">
        <f>VLOOKUP(A2066,Medical_Examinations[],8,FALSE)</f>
        <v>No</v>
      </c>
      <c r="J2066" t="str">
        <f>VLOOKUP(A2066,Medical_Examinations[],9,FALSE)</f>
        <v>Normal Weight</v>
      </c>
      <c r="K2066" t="str">
        <f>VLOOKUP(A2066,Medical_Examinations[],10,FALSE)</f>
        <v>Normal</v>
      </c>
      <c r="M2066">
        <f>VLOOKUP(A2066,Hospitalisation_Details__2[],4,FALSE)</f>
        <v>2585.85</v>
      </c>
      <c r="N2066" t="str">
        <f>VLOOKUP(A2066,Hospitalisation_Details__2[],5,FALSE)</f>
        <v>tier - 2</v>
      </c>
      <c r="O2066" t="str">
        <f>VLOOKUP(A2066,Hospitalisation_Details__2[],6,FALSE)</f>
        <v>tier - 2</v>
      </c>
      <c r="P2066" t="str">
        <f>VLOOKUP(A2066,Hospitalisation_Details__2[],7,FALSE)</f>
        <v>R1024</v>
      </c>
    </row>
    <row r="2067" spans="1:16" x14ac:dyDescent="0.35">
      <c r="A2067" t="str">
        <v>Id2066</v>
      </c>
      <c r="B2067" t="str">
        <f>VLOOKUP(A2067,'Customer Names (2)'!A:B, 2,FALSE)</f>
        <v>Ms</v>
      </c>
      <c r="C2067">
        <f>VLOOKUP(A2067,Medical_Examinations[],2,FALSE)</f>
        <v>17.399999999999999</v>
      </c>
      <c r="D2067">
        <f>VLOOKUP(A2067,Medical_Examinations[],3,FALSE)</f>
        <v>4.5</v>
      </c>
      <c r="E2067" t="str">
        <f>VLOOKUP(A2067,Medical_Examinations[],4,FALSE)</f>
        <v>Yes</v>
      </c>
      <c r="F2067" t="str">
        <f>VLOOKUP(A2067,Medical_Examinations[],5,FALSE)</f>
        <v>No</v>
      </c>
      <c r="G2067" t="str">
        <f>VLOOKUP(A2067,Medical_Examinations[],6,FALSE)</f>
        <v>No</v>
      </c>
      <c r="H2067">
        <f>VLOOKUP(A2067,Medical_Examinations[],7,FALSE)</f>
        <v>0</v>
      </c>
      <c r="I2067" t="str">
        <f>VLOOKUP(A2067,Medical_Examinations[],8,FALSE)</f>
        <v>No</v>
      </c>
      <c r="J2067" t="str">
        <f>VLOOKUP(A2067,Medical_Examinations[],9,FALSE)</f>
        <v>Underweight</v>
      </c>
      <c r="K2067" t="str">
        <f>VLOOKUP(A2067,Medical_Examinations[],10,FALSE)</f>
        <v>Normal</v>
      </c>
      <c r="M2067">
        <f>VLOOKUP(A2067,Hospitalisation_Details__2[],4,FALSE)</f>
        <v>2585.27</v>
      </c>
      <c r="N2067" t="str">
        <f>VLOOKUP(A2067,Hospitalisation_Details__2[],5,FALSE)</f>
        <v>tier - 2</v>
      </c>
      <c r="O2067" t="str">
        <f>VLOOKUP(A2067,Hospitalisation_Details__2[],6,FALSE)</f>
        <v>tier - 3</v>
      </c>
      <c r="P2067" t="str">
        <f>VLOOKUP(A2067,Hospitalisation_Details__2[],7,FALSE)</f>
        <v>R1011</v>
      </c>
    </row>
    <row r="2068" spans="1:16" x14ac:dyDescent="0.35">
      <c r="A2068" t="str">
        <v>Id2067</v>
      </c>
      <c r="B2068" t="str">
        <f>VLOOKUP(A2068,'Customer Names (2)'!A:B, 2,FALSE)</f>
        <v>Mr</v>
      </c>
      <c r="C2068">
        <f>VLOOKUP(A2068,Medical_Examinations[],2,FALSE)</f>
        <v>28.06</v>
      </c>
      <c r="D2068">
        <f>VLOOKUP(A2068,Medical_Examinations[],3,FALSE)</f>
        <v>8.93</v>
      </c>
      <c r="E2068" t="str">
        <f>VLOOKUP(A2068,Medical_Examinations[],4,FALSE)</f>
        <v>No</v>
      </c>
      <c r="F2068" t="str">
        <f>VLOOKUP(A2068,Medical_Examinations[],5,FALSE)</f>
        <v>No</v>
      </c>
      <c r="G2068" t="str">
        <f>VLOOKUP(A2068,Medical_Examinations[],6,FALSE)</f>
        <v>No</v>
      </c>
      <c r="H2068">
        <f>VLOOKUP(A2068,Medical_Examinations[],7,FALSE)</f>
        <v>0</v>
      </c>
      <c r="I2068" t="str">
        <f>VLOOKUP(A2068,Medical_Examinations[],8,FALSE)</f>
        <v>No</v>
      </c>
      <c r="J2068" t="str">
        <f>VLOOKUP(A2068,Medical_Examinations[],9,FALSE)</f>
        <v>Overweight</v>
      </c>
      <c r="K2068" t="str">
        <f>VLOOKUP(A2068,Medical_Examinations[],10,FALSE)</f>
        <v>Diabetes</v>
      </c>
      <c r="M2068">
        <f>VLOOKUP(A2068,Hospitalisation_Details__2[],4,FALSE)</f>
        <v>2585.04</v>
      </c>
      <c r="N2068" t="str">
        <f>VLOOKUP(A2068,Hospitalisation_Details__2[],5,FALSE)</f>
        <v>tier - 2</v>
      </c>
      <c r="O2068" t="str">
        <f>VLOOKUP(A2068,Hospitalisation_Details__2[],6,FALSE)</f>
        <v>tier - 2</v>
      </c>
      <c r="P2068" t="str">
        <f>VLOOKUP(A2068,Hospitalisation_Details__2[],7,FALSE)</f>
        <v>R1021</v>
      </c>
    </row>
    <row r="2069" spans="1:16" x14ac:dyDescent="0.35">
      <c r="A2069" t="str">
        <v>Id2068</v>
      </c>
      <c r="B2069" t="str">
        <f>VLOOKUP(A2069,'Customer Names (2)'!A:B, 2,FALSE)</f>
        <v>Mr</v>
      </c>
      <c r="C2069">
        <f>VLOOKUP(A2069,Medical_Examinations[],2,FALSE)</f>
        <v>31.13</v>
      </c>
      <c r="D2069">
        <f>VLOOKUP(A2069,Medical_Examinations[],3,FALSE)</f>
        <v>11.02</v>
      </c>
      <c r="E2069" t="str">
        <f>VLOOKUP(A2069,Medical_Examinations[],4,FALSE)</f>
        <v>No</v>
      </c>
      <c r="F2069" t="str">
        <f>VLOOKUP(A2069,Medical_Examinations[],5,FALSE)</f>
        <v>No</v>
      </c>
      <c r="G2069" t="str">
        <f>VLOOKUP(A2069,Medical_Examinations[],6,FALSE)</f>
        <v>No</v>
      </c>
      <c r="H2069">
        <f>VLOOKUP(A2069,Medical_Examinations[],7,FALSE)</f>
        <v>0</v>
      </c>
      <c r="I2069" t="str">
        <f>VLOOKUP(A2069,Medical_Examinations[],8,FALSE)</f>
        <v>No</v>
      </c>
      <c r="J2069" t="str">
        <f>VLOOKUP(A2069,Medical_Examinations[],9,FALSE)</f>
        <v>Obesity</v>
      </c>
      <c r="K2069" t="str">
        <f>VLOOKUP(A2069,Medical_Examinations[],10,FALSE)</f>
        <v>Diabetes</v>
      </c>
      <c r="M2069">
        <f>VLOOKUP(A2069,Hospitalisation_Details__2[],4,FALSE)</f>
        <v>2566.4699999999998</v>
      </c>
      <c r="N2069" t="str">
        <f>VLOOKUP(A2069,Hospitalisation_Details__2[],5,FALSE)</f>
        <v>tier - 2</v>
      </c>
      <c r="O2069" t="str">
        <f>VLOOKUP(A2069,Hospitalisation_Details__2[],6,FALSE)</f>
        <v>tier - 3</v>
      </c>
      <c r="P2069" t="str">
        <f>VLOOKUP(A2069,Hospitalisation_Details__2[],7,FALSE)</f>
        <v>R1013</v>
      </c>
    </row>
    <row r="2070" spans="1:16" x14ac:dyDescent="0.35">
      <c r="A2070" t="str">
        <v>Id2069</v>
      </c>
      <c r="B2070" t="str">
        <f>VLOOKUP(A2070,'Customer Names (2)'!A:B, 2,FALSE)</f>
        <v>Mr</v>
      </c>
      <c r="C2070">
        <f>VLOOKUP(A2070,Medical_Examinations[],2,FALSE)</f>
        <v>18.46</v>
      </c>
      <c r="D2070">
        <f>VLOOKUP(A2070,Medical_Examinations[],3,FALSE)</f>
        <v>5.25</v>
      </c>
      <c r="E2070" t="str">
        <f>VLOOKUP(A2070,Medical_Examinations[],4,FALSE)</f>
        <v>No</v>
      </c>
      <c r="F2070" t="str">
        <f>VLOOKUP(A2070,Medical_Examinations[],5,FALSE)</f>
        <v>No</v>
      </c>
      <c r="G2070" t="str">
        <f>VLOOKUP(A2070,Medical_Examinations[],6,FALSE)</f>
        <v>No</v>
      </c>
      <c r="H2070">
        <f>VLOOKUP(A2070,Medical_Examinations[],7,FALSE)</f>
        <v>0</v>
      </c>
      <c r="I2070" t="str">
        <f>VLOOKUP(A2070,Medical_Examinations[],8,FALSE)</f>
        <v>No</v>
      </c>
      <c r="J2070" t="str">
        <f>VLOOKUP(A2070,Medical_Examinations[],9,FALSE)</f>
        <v>Underweight</v>
      </c>
      <c r="K2070" t="str">
        <f>VLOOKUP(A2070,Medical_Examinations[],10,FALSE)</f>
        <v>Normal</v>
      </c>
      <c r="M2070">
        <f>VLOOKUP(A2070,Hospitalisation_Details__2[],4,FALSE)</f>
        <v>2545.6799999999998</v>
      </c>
      <c r="N2070" t="str">
        <f>VLOOKUP(A2070,Hospitalisation_Details__2[],5,FALSE)</f>
        <v>tier - 2</v>
      </c>
      <c r="O2070" t="str">
        <f>VLOOKUP(A2070,Hospitalisation_Details__2[],6,FALSE)</f>
        <v>tier - 1</v>
      </c>
      <c r="P2070" t="str">
        <f>VLOOKUP(A2070,Hospitalisation_Details__2[],7,FALSE)</f>
        <v>R1013</v>
      </c>
    </row>
    <row r="2071" spans="1:16" x14ac:dyDescent="0.35">
      <c r="A2071" t="str">
        <v>Id2070</v>
      </c>
      <c r="B2071" t="str">
        <f>VLOOKUP(A2071,'Customer Names (2)'!A:B, 2,FALSE)</f>
        <v>Ms</v>
      </c>
      <c r="C2071">
        <f>VLOOKUP(A2071,Medical_Examinations[],2,FALSE)</f>
        <v>17.3</v>
      </c>
      <c r="D2071">
        <f>VLOOKUP(A2071,Medical_Examinations[],3,FALSE)</f>
        <v>4.75</v>
      </c>
      <c r="E2071" t="str">
        <f>VLOOKUP(A2071,Medical_Examinations[],4,FALSE)</f>
        <v>No</v>
      </c>
      <c r="F2071" t="str">
        <f>VLOOKUP(A2071,Medical_Examinations[],5,FALSE)</f>
        <v>No</v>
      </c>
      <c r="G2071" t="str">
        <f>VLOOKUP(A2071,Medical_Examinations[],6,FALSE)</f>
        <v>No</v>
      </c>
      <c r="H2071">
        <f>VLOOKUP(A2071,Medical_Examinations[],7,FALSE)</f>
        <v>0</v>
      </c>
      <c r="I2071" t="str">
        <f>VLOOKUP(A2071,Medical_Examinations[],8,FALSE)</f>
        <v>No</v>
      </c>
      <c r="J2071" t="str">
        <f>VLOOKUP(A2071,Medical_Examinations[],9,FALSE)</f>
        <v>Underweight</v>
      </c>
      <c r="K2071" t="str">
        <f>VLOOKUP(A2071,Medical_Examinations[],10,FALSE)</f>
        <v>Normal</v>
      </c>
      <c r="M2071">
        <f>VLOOKUP(A2071,Hospitalisation_Details__2[],4,FALSE)</f>
        <v>2540.39</v>
      </c>
      <c r="N2071" t="str">
        <f>VLOOKUP(A2071,Hospitalisation_Details__2[],5,FALSE)</f>
        <v>tier - 2</v>
      </c>
      <c r="O2071" t="str">
        <f>VLOOKUP(A2071,Hospitalisation_Details__2[],6,FALSE)</f>
        <v>tier - 2</v>
      </c>
      <c r="P2071" t="str">
        <f>VLOOKUP(A2071,Hospitalisation_Details__2[],7,FALSE)</f>
        <v>R1013</v>
      </c>
    </row>
    <row r="2072" spans="1:16" x14ac:dyDescent="0.35">
      <c r="A2072" t="str">
        <v>Id2071</v>
      </c>
      <c r="B2072" t="str">
        <f>VLOOKUP(A2072,'Customer Names (2)'!A:B, 2,FALSE)</f>
        <v>Mr</v>
      </c>
      <c r="C2072">
        <f>VLOOKUP(A2072,Medical_Examinations[],2,FALSE)</f>
        <v>35.625</v>
      </c>
      <c r="D2072">
        <f>VLOOKUP(A2072,Medical_Examinations[],3,FALSE)</f>
        <v>4.68</v>
      </c>
      <c r="E2072" t="str">
        <f>VLOOKUP(A2072,Medical_Examinations[],4,FALSE)</f>
        <v>Yes</v>
      </c>
      <c r="F2072" t="str">
        <f>VLOOKUP(A2072,Medical_Examinations[],5,FALSE)</f>
        <v>No</v>
      </c>
      <c r="G2072" t="str">
        <f>VLOOKUP(A2072,Medical_Examinations[],6,FALSE)</f>
        <v>Yes</v>
      </c>
      <c r="H2072">
        <f>VLOOKUP(A2072,Medical_Examinations[],7,FALSE)</f>
        <v>1</v>
      </c>
      <c r="I2072" t="str">
        <f>VLOOKUP(A2072,Medical_Examinations[],8,FALSE)</f>
        <v>No</v>
      </c>
      <c r="J2072" t="str">
        <f>VLOOKUP(A2072,Medical_Examinations[],9,FALSE)</f>
        <v>Obesity</v>
      </c>
      <c r="K2072" t="str">
        <f>VLOOKUP(A2072,Medical_Examinations[],10,FALSE)</f>
        <v>Normal</v>
      </c>
      <c r="M2072">
        <f>VLOOKUP(A2072,Hospitalisation_Details__2[],4,FALSE)</f>
        <v>2534.39</v>
      </c>
      <c r="N2072" t="str">
        <f>VLOOKUP(A2072,Hospitalisation_Details__2[],5,FALSE)</f>
        <v>tier - 3</v>
      </c>
      <c r="O2072" t="str">
        <f>VLOOKUP(A2072,Hospitalisation_Details__2[],6,FALSE)</f>
        <v>tier - 3</v>
      </c>
      <c r="P2072" t="str">
        <f>VLOOKUP(A2072,Hospitalisation_Details__2[],7,FALSE)</f>
        <v>R1012</v>
      </c>
    </row>
    <row r="2073" spans="1:16" x14ac:dyDescent="0.35">
      <c r="A2073" t="str">
        <v>Id2072</v>
      </c>
      <c r="B2073" t="str">
        <f>VLOOKUP(A2073,'Customer Names (2)'!A:B, 2,FALSE)</f>
        <v>Ms</v>
      </c>
      <c r="C2073">
        <f>VLOOKUP(A2073,Medical_Examinations[],2,FALSE)</f>
        <v>20.234999999999999</v>
      </c>
      <c r="D2073">
        <f>VLOOKUP(A2073,Medical_Examinations[],3,FALSE)</f>
        <v>6.17</v>
      </c>
      <c r="E2073" t="str">
        <f>VLOOKUP(A2073,Medical_Examinations[],4,FALSE)</f>
        <v>Yes</v>
      </c>
      <c r="F2073" t="str">
        <f>VLOOKUP(A2073,Medical_Examinations[],5,FALSE)</f>
        <v>yes</v>
      </c>
      <c r="G2073" t="str">
        <f>VLOOKUP(A2073,Medical_Examinations[],6,FALSE)</f>
        <v>No</v>
      </c>
      <c r="H2073">
        <f>VLOOKUP(A2073,Medical_Examinations[],7,FALSE)</f>
        <v>2</v>
      </c>
      <c r="I2073" t="str">
        <f>VLOOKUP(A2073,Medical_Examinations[],8,FALSE)</f>
        <v>No</v>
      </c>
      <c r="J2073" t="str">
        <f>VLOOKUP(A2073,Medical_Examinations[],9,FALSE)</f>
        <v>Normal Weight</v>
      </c>
      <c r="K2073" t="str">
        <f>VLOOKUP(A2073,Medical_Examinations[],10,FALSE)</f>
        <v>Prediabetes</v>
      </c>
      <c r="M2073">
        <f>VLOOKUP(A2073,Hospitalisation_Details__2[],4,FALSE)</f>
        <v>2527.8200000000002</v>
      </c>
      <c r="N2073" t="str">
        <f>VLOOKUP(A2073,Hospitalisation_Details__2[],5,FALSE)</f>
        <v>tier - 2</v>
      </c>
      <c r="O2073" t="str">
        <f>VLOOKUP(A2073,Hospitalisation_Details__2[],6,FALSE)</f>
        <v>tier - 3</v>
      </c>
      <c r="P2073" t="str">
        <f>VLOOKUP(A2073,Hospitalisation_Details__2[],7,FALSE)</f>
        <v>R1012</v>
      </c>
    </row>
    <row r="2074" spans="1:16" x14ac:dyDescent="0.35">
      <c r="A2074" t="str">
        <v>Id2073</v>
      </c>
      <c r="B2074" t="str">
        <f>VLOOKUP(A2074,'Customer Names (2)'!A:B, 2,FALSE)</f>
        <v>Mr</v>
      </c>
      <c r="C2074">
        <f>VLOOKUP(A2074,Medical_Examinations[],2,FALSE)</f>
        <v>27.55</v>
      </c>
      <c r="D2074">
        <f>VLOOKUP(A2074,Medical_Examinations[],3,FALSE)</f>
        <v>4.5599999999999996</v>
      </c>
      <c r="E2074" t="str">
        <f>VLOOKUP(A2074,Medical_Examinations[],4,FALSE)</f>
        <v>Yes</v>
      </c>
      <c r="F2074" t="str">
        <f>VLOOKUP(A2074,Medical_Examinations[],5,FALSE)</f>
        <v>No</v>
      </c>
      <c r="G2074" t="str">
        <f>VLOOKUP(A2074,Medical_Examinations[],6,FALSE)</f>
        <v>Yes</v>
      </c>
      <c r="H2074">
        <f>VLOOKUP(A2074,Medical_Examinations[],7,FALSE)</f>
        <v>1</v>
      </c>
      <c r="I2074" t="str">
        <f>VLOOKUP(A2074,Medical_Examinations[],8,FALSE)</f>
        <v>No</v>
      </c>
      <c r="J2074" t="str">
        <f>VLOOKUP(A2074,Medical_Examinations[],9,FALSE)</f>
        <v>Overweight</v>
      </c>
      <c r="K2074" t="str">
        <f>VLOOKUP(A2074,Medical_Examinations[],10,FALSE)</f>
        <v>Normal</v>
      </c>
      <c r="M2074">
        <f>VLOOKUP(A2074,Hospitalisation_Details__2[],4,FALSE)</f>
        <v>2523.17</v>
      </c>
      <c r="N2074" t="str">
        <f>VLOOKUP(A2074,Hospitalisation_Details__2[],5,FALSE)</f>
        <v>tier - 3</v>
      </c>
      <c r="O2074" t="str">
        <f>VLOOKUP(A2074,Hospitalisation_Details__2[],6,FALSE)</f>
        <v>tier - 1</v>
      </c>
      <c r="P2074" t="str">
        <f>VLOOKUP(A2074,Hospitalisation_Details__2[],7,FALSE)</f>
        <v>R1012</v>
      </c>
    </row>
    <row r="2075" spans="1:16" x14ac:dyDescent="0.35">
      <c r="A2075" t="str">
        <v>Id2074</v>
      </c>
      <c r="B2075" t="str">
        <f>VLOOKUP(A2075,'Customer Names (2)'!A:B, 2,FALSE)</f>
        <v>Ms</v>
      </c>
      <c r="C2075">
        <f>VLOOKUP(A2075,Medical_Examinations[],2,FALSE)</f>
        <v>17.97</v>
      </c>
      <c r="D2075">
        <f>VLOOKUP(A2075,Medical_Examinations[],3,FALSE)</f>
        <v>6.3</v>
      </c>
      <c r="E2075" t="str">
        <f>VLOOKUP(A2075,Medical_Examinations[],4,FALSE)</f>
        <v>No</v>
      </c>
      <c r="F2075" t="str">
        <f>VLOOKUP(A2075,Medical_Examinations[],5,FALSE)</f>
        <v>No</v>
      </c>
      <c r="G2075" t="str">
        <f>VLOOKUP(A2075,Medical_Examinations[],6,FALSE)</f>
        <v>No</v>
      </c>
      <c r="H2075">
        <f>VLOOKUP(A2075,Medical_Examinations[],7,FALSE)</f>
        <v>0</v>
      </c>
      <c r="I2075" t="str">
        <f>VLOOKUP(A2075,Medical_Examinations[],8,FALSE)</f>
        <v>No</v>
      </c>
      <c r="J2075" t="str">
        <f>VLOOKUP(A2075,Medical_Examinations[],9,FALSE)</f>
        <v>Underweight</v>
      </c>
      <c r="K2075" t="str">
        <f>VLOOKUP(A2075,Medical_Examinations[],10,FALSE)</f>
        <v>Prediabetes</v>
      </c>
      <c r="M2075">
        <f>VLOOKUP(A2075,Hospitalisation_Details__2[],4,FALSE)</f>
        <v>2510.79</v>
      </c>
      <c r="N2075" t="str">
        <f>VLOOKUP(A2075,Hospitalisation_Details__2[],5,FALSE)</f>
        <v>tier - 2</v>
      </c>
      <c r="O2075" t="str">
        <f>VLOOKUP(A2075,Hospitalisation_Details__2[],6,FALSE)</f>
        <v>tier - 1</v>
      </c>
      <c r="P2075" t="str">
        <f>VLOOKUP(A2075,Hospitalisation_Details__2[],7,FALSE)</f>
        <v>R1013</v>
      </c>
    </row>
    <row r="2076" spans="1:16" x14ac:dyDescent="0.35">
      <c r="A2076" t="str">
        <v>Id2075</v>
      </c>
      <c r="B2076" t="str">
        <f>VLOOKUP(A2076,'Customer Names (2)'!A:B, 2,FALSE)</f>
        <v>Ms</v>
      </c>
      <c r="C2076">
        <f>VLOOKUP(A2076,Medical_Examinations[],2,FALSE)</f>
        <v>29.98</v>
      </c>
      <c r="D2076">
        <f>VLOOKUP(A2076,Medical_Examinations[],3,FALSE)</f>
        <v>6.03</v>
      </c>
      <c r="E2076" t="str">
        <f>VLOOKUP(A2076,Medical_Examinations[],4,FALSE)</f>
        <v>No</v>
      </c>
      <c r="F2076" t="str">
        <f>VLOOKUP(A2076,Medical_Examinations[],5,FALSE)</f>
        <v>yes</v>
      </c>
      <c r="G2076" t="str">
        <f>VLOOKUP(A2076,Medical_Examinations[],6,FALSE)</f>
        <v>No</v>
      </c>
      <c r="H2076">
        <f>VLOOKUP(A2076,Medical_Examinations[],7,FALSE)</f>
        <v>1</v>
      </c>
      <c r="I2076" t="str">
        <f>VLOOKUP(A2076,Medical_Examinations[],8,FALSE)</f>
        <v>No</v>
      </c>
      <c r="J2076" t="str">
        <f>VLOOKUP(A2076,Medical_Examinations[],9,FALSE)</f>
        <v>Overweight</v>
      </c>
      <c r="K2076" t="str">
        <f>VLOOKUP(A2076,Medical_Examinations[],10,FALSE)</f>
        <v>Prediabetes</v>
      </c>
      <c r="M2076">
        <f>VLOOKUP(A2076,Hospitalisation_Details__2[],4,FALSE)</f>
        <v>2500.9299999999998</v>
      </c>
      <c r="N2076" t="str">
        <f>VLOOKUP(A2076,Hospitalisation_Details__2[],5,FALSE)</f>
        <v>tier - 2</v>
      </c>
      <c r="O2076" t="str">
        <f>VLOOKUP(A2076,Hospitalisation_Details__2[],6,FALSE)</f>
        <v>tier - 2</v>
      </c>
      <c r="P2076" t="str">
        <f>VLOOKUP(A2076,Hospitalisation_Details__2[],7,FALSE)</f>
        <v>R1012</v>
      </c>
    </row>
    <row r="2077" spans="1:16" x14ac:dyDescent="0.35">
      <c r="A2077" t="str">
        <v>Id2076</v>
      </c>
      <c r="B2077" t="str">
        <f>VLOOKUP(A2077,'Customer Names (2)'!A:B, 2,FALSE)</f>
        <v>Mr</v>
      </c>
      <c r="C2077">
        <f>VLOOKUP(A2077,Medical_Examinations[],2,FALSE)</f>
        <v>33.659999999999997</v>
      </c>
      <c r="D2077">
        <f>VLOOKUP(A2077,Medical_Examinations[],3,FALSE)</f>
        <v>4.2</v>
      </c>
      <c r="E2077" t="str">
        <f>VLOOKUP(A2077,Medical_Examinations[],4,FALSE)</f>
        <v>Yes</v>
      </c>
      <c r="F2077" t="str">
        <f>VLOOKUP(A2077,Medical_Examinations[],5,FALSE)</f>
        <v>No</v>
      </c>
      <c r="G2077" t="str">
        <f>VLOOKUP(A2077,Medical_Examinations[],6,FALSE)</f>
        <v>No</v>
      </c>
      <c r="H2077">
        <f>VLOOKUP(A2077,Medical_Examinations[],7,FALSE)</f>
        <v>1</v>
      </c>
      <c r="I2077" t="str">
        <f>VLOOKUP(A2077,Medical_Examinations[],8,FALSE)</f>
        <v>No</v>
      </c>
      <c r="J2077" t="str">
        <f>VLOOKUP(A2077,Medical_Examinations[],9,FALSE)</f>
        <v>Obesity</v>
      </c>
      <c r="K2077" t="str">
        <f>VLOOKUP(A2077,Medical_Examinations[],10,FALSE)</f>
        <v>Normal</v>
      </c>
      <c r="M2077">
        <f>VLOOKUP(A2077,Hospitalisation_Details__2[],4,FALSE)</f>
        <v>2498.41</v>
      </c>
      <c r="N2077" t="str">
        <f>VLOOKUP(A2077,Hospitalisation_Details__2[],5,FALSE)</f>
        <v>tier - 3</v>
      </c>
      <c r="O2077" t="str">
        <f>VLOOKUP(A2077,Hospitalisation_Details__2[],6,FALSE)</f>
        <v>tier - 3</v>
      </c>
      <c r="P2077" t="str">
        <f>VLOOKUP(A2077,Hospitalisation_Details__2[],7,FALSE)</f>
        <v>R1013</v>
      </c>
    </row>
    <row r="2078" spans="1:16" x14ac:dyDescent="0.35">
      <c r="A2078" t="str">
        <v>Id2077</v>
      </c>
      <c r="B2078" t="str">
        <f>VLOOKUP(A2078,'Customer Names (2)'!A:B, 2,FALSE)</f>
        <v>Mr</v>
      </c>
      <c r="C2078">
        <f>VLOOKUP(A2078,Medical_Examinations[],2,FALSE)</f>
        <v>32.67</v>
      </c>
      <c r="D2078">
        <f>VLOOKUP(A2078,Medical_Examinations[],3,FALSE)</f>
        <v>5.61</v>
      </c>
      <c r="E2078" t="str">
        <f>VLOOKUP(A2078,Medical_Examinations[],4,FALSE)</f>
        <v>Yes</v>
      </c>
      <c r="F2078" t="str">
        <f>VLOOKUP(A2078,Medical_Examinations[],5,FALSE)</f>
        <v>No</v>
      </c>
      <c r="G2078" t="str">
        <f>VLOOKUP(A2078,Medical_Examinations[],6,FALSE)</f>
        <v>No</v>
      </c>
      <c r="H2078">
        <f>VLOOKUP(A2078,Medical_Examinations[],7,FALSE)</f>
        <v>1</v>
      </c>
      <c r="I2078" t="str">
        <f>VLOOKUP(A2078,Medical_Examinations[],8,FALSE)</f>
        <v>No</v>
      </c>
      <c r="J2078" t="str">
        <f>VLOOKUP(A2078,Medical_Examinations[],9,FALSE)</f>
        <v>Obesity</v>
      </c>
      <c r="K2078" t="str">
        <f>VLOOKUP(A2078,Medical_Examinations[],10,FALSE)</f>
        <v>Normal</v>
      </c>
      <c r="M2078">
        <f>VLOOKUP(A2078,Hospitalisation_Details__2[],4,FALSE)</f>
        <v>2497.04</v>
      </c>
      <c r="N2078" t="str">
        <f>VLOOKUP(A2078,Hospitalisation_Details__2[],5,FALSE)</f>
        <v>tier - 3</v>
      </c>
      <c r="O2078" t="str">
        <f>VLOOKUP(A2078,Hospitalisation_Details__2[],6,FALSE)</f>
        <v>tier - 3</v>
      </c>
      <c r="P2078" t="str">
        <f>VLOOKUP(A2078,Hospitalisation_Details__2[],7,FALSE)</f>
        <v>R1013</v>
      </c>
    </row>
    <row r="2079" spans="1:16" x14ac:dyDescent="0.35">
      <c r="A2079" t="str">
        <v>Id2078</v>
      </c>
      <c r="B2079" t="str">
        <f>VLOOKUP(A2079,'Customer Names (2)'!A:B, 2,FALSE)</f>
        <v>Mr</v>
      </c>
      <c r="C2079">
        <f>VLOOKUP(A2079,Medical_Examinations[],2,FALSE)</f>
        <v>30.5</v>
      </c>
      <c r="D2079">
        <f>VLOOKUP(A2079,Medical_Examinations[],3,FALSE)</f>
        <v>5.88</v>
      </c>
      <c r="E2079" t="str">
        <f>VLOOKUP(A2079,Medical_Examinations[],4,FALSE)</f>
        <v>Yes</v>
      </c>
      <c r="F2079" t="str">
        <f>VLOOKUP(A2079,Medical_Examinations[],5,FALSE)</f>
        <v>No</v>
      </c>
      <c r="G2079" t="str">
        <f>VLOOKUP(A2079,Medical_Examinations[],6,FALSE)</f>
        <v>No</v>
      </c>
      <c r="H2079">
        <f>VLOOKUP(A2079,Medical_Examinations[],7,FALSE)</f>
        <v>1</v>
      </c>
      <c r="I2079" t="str">
        <f>VLOOKUP(A2079,Medical_Examinations[],8,FALSE)</f>
        <v>No</v>
      </c>
      <c r="J2079" t="str">
        <f>VLOOKUP(A2079,Medical_Examinations[],9,FALSE)</f>
        <v>Obesity</v>
      </c>
      <c r="K2079" t="str">
        <f>VLOOKUP(A2079,Medical_Examinations[],10,FALSE)</f>
        <v>Prediabetes</v>
      </c>
      <c r="M2079">
        <f>VLOOKUP(A2079,Hospitalisation_Details__2[],4,FALSE)</f>
        <v>2494.02</v>
      </c>
      <c r="N2079" t="str">
        <f>VLOOKUP(A2079,Hospitalisation_Details__2[],5,FALSE)</f>
        <v>tier - 3</v>
      </c>
      <c r="O2079" t="str">
        <f>VLOOKUP(A2079,Hospitalisation_Details__2[],6,FALSE)</f>
        <v>tier - 1</v>
      </c>
      <c r="P2079" t="str">
        <f>VLOOKUP(A2079,Hospitalisation_Details__2[],7,FALSE)</f>
        <v>R1011</v>
      </c>
    </row>
    <row r="2080" spans="1:16" x14ac:dyDescent="0.35">
      <c r="A2080" t="str">
        <v>Id2079</v>
      </c>
      <c r="B2080" t="str">
        <f>VLOOKUP(A2080,'Customer Names (2)'!A:B, 2,FALSE)</f>
        <v>Mr</v>
      </c>
      <c r="C2080">
        <f>VLOOKUP(A2080,Medical_Examinations[],2,FALSE)</f>
        <v>23.1</v>
      </c>
      <c r="D2080">
        <f>VLOOKUP(A2080,Medical_Examinations[],3,FALSE)</f>
        <v>5.92</v>
      </c>
      <c r="E2080" t="str">
        <f>VLOOKUP(A2080,Medical_Examinations[],4,FALSE)</f>
        <v>Yes</v>
      </c>
      <c r="F2080" t="str">
        <f>VLOOKUP(A2080,Medical_Examinations[],5,FALSE)</f>
        <v>No</v>
      </c>
      <c r="G2080" t="str">
        <f>VLOOKUP(A2080,Medical_Examinations[],6,FALSE)</f>
        <v>No</v>
      </c>
      <c r="H2080">
        <f>VLOOKUP(A2080,Medical_Examinations[],7,FALSE)</f>
        <v>1</v>
      </c>
      <c r="I2080" t="str">
        <f>VLOOKUP(A2080,Medical_Examinations[],8,FALSE)</f>
        <v>No</v>
      </c>
      <c r="J2080" t="str">
        <f>VLOOKUP(A2080,Medical_Examinations[],9,FALSE)</f>
        <v>Normal Weight</v>
      </c>
      <c r="K2080" t="str">
        <f>VLOOKUP(A2080,Medical_Examinations[],10,FALSE)</f>
        <v>Prediabetes</v>
      </c>
      <c r="M2080">
        <f>VLOOKUP(A2080,Hospitalisation_Details__2[],4,FALSE)</f>
        <v>2483.7399999999998</v>
      </c>
      <c r="N2080" t="str">
        <f>VLOOKUP(A2080,Hospitalisation_Details__2[],5,FALSE)</f>
        <v>tier - 3</v>
      </c>
      <c r="O2080" t="str">
        <f>VLOOKUP(A2080,Hospitalisation_Details__2[],6,FALSE)</f>
        <v>tier - 2</v>
      </c>
      <c r="P2080" t="str">
        <f>VLOOKUP(A2080,Hospitalisation_Details__2[],7,FALSE)</f>
        <v>R1013</v>
      </c>
    </row>
    <row r="2081" spans="1:16" x14ac:dyDescent="0.35">
      <c r="A2081" t="str">
        <v>Id2080</v>
      </c>
      <c r="B2081" t="str">
        <f>VLOOKUP(A2081,'Customer Names (2)'!A:B, 2,FALSE)</f>
        <v>Ms</v>
      </c>
      <c r="C2081">
        <f>VLOOKUP(A2081,Medical_Examinations[],2,FALSE)</f>
        <v>39.49</v>
      </c>
      <c r="D2081">
        <f>VLOOKUP(A2081,Medical_Examinations[],3,FALSE)</f>
        <v>4.8099999999999996</v>
      </c>
      <c r="E2081" t="str">
        <f>VLOOKUP(A2081,Medical_Examinations[],4,FALSE)</f>
        <v>No</v>
      </c>
      <c r="F2081" t="str">
        <f>VLOOKUP(A2081,Medical_Examinations[],5,FALSE)</f>
        <v>No</v>
      </c>
      <c r="G2081" t="str">
        <f>VLOOKUP(A2081,Medical_Examinations[],6,FALSE)</f>
        <v>No</v>
      </c>
      <c r="H2081">
        <f>VLOOKUP(A2081,Medical_Examinations[],7,FALSE)</f>
        <v>1</v>
      </c>
      <c r="I2081" t="str">
        <f>VLOOKUP(A2081,Medical_Examinations[],8,FALSE)</f>
        <v>No</v>
      </c>
      <c r="J2081" t="str">
        <f>VLOOKUP(A2081,Medical_Examinations[],9,FALSE)</f>
        <v>Obesity</v>
      </c>
      <c r="K2081" t="str">
        <f>VLOOKUP(A2081,Medical_Examinations[],10,FALSE)</f>
        <v>Normal</v>
      </c>
      <c r="M2081">
        <f>VLOOKUP(A2081,Hospitalisation_Details__2[],4,FALSE)</f>
        <v>2480.98</v>
      </c>
      <c r="N2081" t="str">
        <f>VLOOKUP(A2081,Hospitalisation_Details__2[],5,FALSE)</f>
        <v>tier - 2</v>
      </c>
      <c r="O2081" t="str">
        <f>VLOOKUP(A2081,Hospitalisation_Details__2[],6,FALSE)</f>
        <v>tier - 2</v>
      </c>
      <c r="P2081" t="str">
        <f>VLOOKUP(A2081,Hospitalisation_Details__2[],7,FALSE)</f>
        <v>R1013</v>
      </c>
    </row>
    <row r="2082" spans="1:16" x14ac:dyDescent="0.35">
      <c r="A2082" t="str">
        <v>Id2081</v>
      </c>
      <c r="B2082" t="str">
        <f>VLOOKUP(A2082,'Customer Names (2)'!A:B, 2,FALSE)</f>
        <v>Ms</v>
      </c>
      <c r="C2082">
        <f>VLOOKUP(A2082,Medical_Examinations[],2,FALSE)</f>
        <v>33.99</v>
      </c>
      <c r="D2082">
        <f>VLOOKUP(A2082,Medical_Examinations[],3,FALSE)</f>
        <v>4.55</v>
      </c>
      <c r="E2082" t="str">
        <f>VLOOKUP(A2082,Medical_Examinations[],4,FALSE)</f>
        <v>No</v>
      </c>
      <c r="F2082" t="str">
        <f>VLOOKUP(A2082,Medical_Examinations[],5,FALSE)</f>
        <v>No</v>
      </c>
      <c r="G2082" t="str">
        <f>VLOOKUP(A2082,Medical_Examinations[],6,FALSE)</f>
        <v>No</v>
      </c>
      <c r="H2082">
        <f>VLOOKUP(A2082,Medical_Examinations[],7,FALSE)</f>
        <v>1</v>
      </c>
      <c r="I2082" t="str">
        <f>VLOOKUP(A2082,Medical_Examinations[],8,FALSE)</f>
        <v>No</v>
      </c>
      <c r="J2082" t="str">
        <f>VLOOKUP(A2082,Medical_Examinations[],9,FALSE)</f>
        <v>Obesity</v>
      </c>
      <c r="K2082" t="str">
        <f>VLOOKUP(A2082,Medical_Examinations[],10,FALSE)</f>
        <v>Normal</v>
      </c>
      <c r="M2082">
        <f>VLOOKUP(A2082,Hospitalisation_Details__2[],4,FALSE)</f>
        <v>2473.33</v>
      </c>
      <c r="N2082" t="str">
        <f>VLOOKUP(A2082,Hospitalisation_Details__2[],5,FALSE)</f>
        <v>tier - 2</v>
      </c>
      <c r="O2082" t="str">
        <f>VLOOKUP(A2082,Hospitalisation_Details__2[],6,FALSE)</f>
        <v>tier - 3</v>
      </c>
      <c r="P2082" t="str">
        <f>VLOOKUP(A2082,Hospitalisation_Details__2[],7,FALSE)</f>
        <v>R1013</v>
      </c>
    </row>
    <row r="2083" spans="1:16" x14ac:dyDescent="0.35">
      <c r="A2083" t="str">
        <v>Id2082</v>
      </c>
      <c r="B2083" t="str">
        <f>VLOOKUP(A2083,'Customer Names (2)'!A:B, 2,FALSE)</f>
        <v>Ms</v>
      </c>
      <c r="C2083">
        <f>VLOOKUP(A2083,Medical_Examinations[],2,FALSE)</f>
        <v>27.72</v>
      </c>
      <c r="D2083">
        <f>VLOOKUP(A2083,Medical_Examinations[],3,FALSE)</f>
        <v>6.43</v>
      </c>
      <c r="E2083" t="str">
        <f>VLOOKUP(A2083,Medical_Examinations[],4,FALSE)</f>
        <v>No</v>
      </c>
      <c r="F2083" t="str">
        <f>VLOOKUP(A2083,Medical_Examinations[],5,FALSE)</f>
        <v>No</v>
      </c>
      <c r="G2083" t="str">
        <f>VLOOKUP(A2083,Medical_Examinations[],6,FALSE)</f>
        <v>No</v>
      </c>
      <c r="H2083">
        <f>VLOOKUP(A2083,Medical_Examinations[],7,FALSE)</f>
        <v>1</v>
      </c>
      <c r="I2083" t="str">
        <f>VLOOKUP(A2083,Medical_Examinations[],8,FALSE)</f>
        <v>No</v>
      </c>
      <c r="J2083" t="str">
        <f>VLOOKUP(A2083,Medical_Examinations[],9,FALSE)</f>
        <v>Overweight</v>
      </c>
      <c r="K2083" t="str">
        <f>VLOOKUP(A2083,Medical_Examinations[],10,FALSE)</f>
        <v>Prediabetes</v>
      </c>
      <c r="M2083">
        <f>VLOOKUP(A2083,Hospitalisation_Details__2[],4,FALSE)</f>
        <v>2464.62</v>
      </c>
      <c r="N2083" t="str">
        <f>VLOOKUP(A2083,Hospitalisation_Details__2[],5,FALSE)</f>
        <v>tier - 2</v>
      </c>
      <c r="O2083" t="str">
        <f>VLOOKUP(A2083,Hospitalisation_Details__2[],6,FALSE)</f>
        <v>tier - 3</v>
      </c>
      <c r="P2083" t="str">
        <f>VLOOKUP(A2083,Hospitalisation_Details__2[],7,FALSE)</f>
        <v>R1013</v>
      </c>
    </row>
    <row r="2084" spans="1:16" x14ac:dyDescent="0.35">
      <c r="A2084" t="str">
        <v>Id2083</v>
      </c>
      <c r="B2084" t="str">
        <f>VLOOKUP(A2084,'Customer Names (2)'!A:B, 2,FALSE)</f>
        <v>Ms</v>
      </c>
      <c r="C2084">
        <f>VLOOKUP(A2084,Medical_Examinations[],2,FALSE)</f>
        <v>30.59</v>
      </c>
      <c r="D2084">
        <f>VLOOKUP(A2084,Medical_Examinations[],3,FALSE)</f>
        <v>11.62</v>
      </c>
      <c r="E2084" t="str">
        <f>VLOOKUP(A2084,Medical_Examinations[],4,FALSE)</f>
        <v>No</v>
      </c>
      <c r="F2084" t="str">
        <f>VLOOKUP(A2084,Medical_Examinations[],5,FALSE)</f>
        <v>No</v>
      </c>
      <c r="G2084" t="str">
        <f>VLOOKUP(A2084,Medical_Examinations[],6,FALSE)</f>
        <v>No</v>
      </c>
      <c r="H2084">
        <f>VLOOKUP(A2084,Medical_Examinations[],7,FALSE)</f>
        <v>0</v>
      </c>
      <c r="I2084" t="str">
        <f>VLOOKUP(A2084,Medical_Examinations[],8,FALSE)</f>
        <v>No</v>
      </c>
      <c r="J2084" t="str">
        <f>VLOOKUP(A2084,Medical_Examinations[],9,FALSE)</f>
        <v>Obesity</v>
      </c>
      <c r="K2084" t="str">
        <f>VLOOKUP(A2084,Medical_Examinations[],10,FALSE)</f>
        <v>Diabetes</v>
      </c>
      <c r="M2084">
        <f>VLOOKUP(A2084,Hospitalisation_Details__2[],4,FALSE)</f>
        <v>2459.7199999999998</v>
      </c>
      <c r="N2084" t="str">
        <f>VLOOKUP(A2084,Hospitalisation_Details__2[],5,FALSE)</f>
        <v>tier - 2</v>
      </c>
      <c r="O2084" t="str">
        <f>VLOOKUP(A2084,Hospitalisation_Details__2[],6,FALSE)</f>
        <v>tier - 2</v>
      </c>
      <c r="P2084" t="str">
        <f>VLOOKUP(A2084,Hospitalisation_Details__2[],7,FALSE)</f>
        <v>R1024</v>
      </c>
    </row>
    <row r="2085" spans="1:16" x14ac:dyDescent="0.35">
      <c r="A2085" t="str">
        <v>Id2084</v>
      </c>
      <c r="B2085" t="str">
        <f>VLOOKUP(A2085,'Customer Names (2)'!A:B, 2,FALSE)</f>
        <v>Ms</v>
      </c>
      <c r="C2085">
        <f>VLOOKUP(A2085,Medical_Examinations[],2,FALSE)</f>
        <v>22.6</v>
      </c>
      <c r="D2085">
        <f>VLOOKUP(A2085,Medical_Examinations[],3,FALSE)</f>
        <v>6.04</v>
      </c>
      <c r="E2085" t="str">
        <f>VLOOKUP(A2085,Medical_Examinations[],4,FALSE)</f>
        <v>No</v>
      </c>
      <c r="F2085" t="str">
        <f>VLOOKUP(A2085,Medical_Examinations[],5,FALSE)</f>
        <v>No</v>
      </c>
      <c r="G2085" t="str">
        <f>VLOOKUP(A2085,Medical_Examinations[],6,FALSE)</f>
        <v>No</v>
      </c>
      <c r="H2085">
        <f>VLOOKUP(A2085,Medical_Examinations[],7,FALSE)</f>
        <v>1</v>
      </c>
      <c r="I2085" t="str">
        <f>VLOOKUP(A2085,Medical_Examinations[],8,FALSE)</f>
        <v>No</v>
      </c>
      <c r="J2085" t="str">
        <f>VLOOKUP(A2085,Medical_Examinations[],9,FALSE)</f>
        <v>Normal Weight</v>
      </c>
      <c r="K2085" t="str">
        <f>VLOOKUP(A2085,Medical_Examinations[],10,FALSE)</f>
        <v>Prediabetes</v>
      </c>
      <c r="M2085">
        <f>VLOOKUP(A2085,Hospitalisation_Details__2[],4,FALSE)</f>
        <v>2457.5</v>
      </c>
      <c r="N2085" t="str">
        <f>VLOOKUP(A2085,Hospitalisation_Details__2[],5,FALSE)</f>
        <v>tier - 2</v>
      </c>
      <c r="O2085" t="str">
        <f>VLOOKUP(A2085,Hospitalisation_Details__2[],6,FALSE)</f>
        <v>tier - 1</v>
      </c>
      <c r="P2085" t="str">
        <f>VLOOKUP(A2085,Hospitalisation_Details__2[],7,FALSE)</f>
        <v>R1011</v>
      </c>
    </row>
    <row r="2086" spans="1:16" x14ac:dyDescent="0.35">
      <c r="A2086" t="str">
        <v>Id2085</v>
      </c>
      <c r="B2086" t="str">
        <f>VLOOKUP(A2086,'Customer Names (2)'!A:B, 2,FALSE)</f>
        <v>Ms</v>
      </c>
      <c r="C2086">
        <f>VLOOKUP(A2086,Medical_Examinations[],2,FALSE)</f>
        <v>28.785</v>
      </c>
      <c r="D2086">
        <f>VLOOKUP(A2086,Medical_Examinations[],3,FALSE)</f>
        <v>8.82</v>
      </c>
      <c r="E2086" t="str">
        <f>VLOOKUP(A2086,Medical_Examinations[],4,FALSE)</f>
        <v>No</v>
      </c>
      <c r="F2086" t="str">
        <f>VLOOKUP(A2086,Medical_Examinations[],5,FALSE)</f>
        <v>No</v>
      </c>
      <c r="G2086" t="str">
        <f>VLOOKUP(A2086,Medical_Examinations[],6,FALSE)</f>
        <v>No</v>
      </c>
      <c r="H2086">
        <f>VLOOKUP(A2086,Medical_Examinations[],7,FALSE)</f>
        <v>0</v>
      </c>
      <c r="I2086" t="str">
        <f>VLOOKUP(A2086,Medical_Examinations[],8,FALSE)</f>
        <v>No</v>
      </c>
      <c r="J2086" t="str">
        <f>VLOOKUP(A2086,Medical_Examinations[],9,FALSE)</f>
        <v>Overweight</v>
      </c>
      <c r="K2086" t="str">
        <f>VLOOKUP(A2086,Medical_Examinations[],10,FALSE)</f>
        <v>Diabetes</v>
      </c>
      <c r="M2086">
        <f>VLOOKUP(A2086,Hospitalisation_Details__2[],4,FALSE)</f>
        <v>2457.21</v>
      </c>
      <c r="N2086" t="str">
        <f>VLOOKUP(A2086,Hospitalisation_Details__2[],5,FALSE)</f>
        <v>tier - 2</v>
      </c>
      <c r="O2086" t="str">
        <f>VLOOKUP(A2086,Hospitalisation_Details__2[],6,FALSE)</f>
        <v>tier - 1</v>
      </c>
      <c r="P2086" t="str">
        <f>VLOOKUP(A2086,Hospitalisation_Details__2[],7,FALSE)</f>
        <v>R1024</v>
      </c>
    </row>
    <row r="2087" spans="1:16" x14ac:dyDescent="0.35">
      <c r="A2087" t="str">
        <v>Id2086</v>
      </c>
      <c r="B2087" t="str">
        <f>VLOOKUP(A2087,'Customer Names (2)'!A:B, 2,FALSE)</f>
        <v>Mr</v>
      </c>
      <c r="C2087">
        <f>VLOOKUP(A2087,Medical_Examinations[],2,FALSE)</f>
        <v>50.38</v>
      </c>
      <c r="D2087">
        <f>VLOOKUP(A2087,Medical_Examinations[],3,FALSE)</f>
        <v>5.8</v>
      </c>
      <c r="E2087" t="str">
        <f>VLOOKUP(A2087,Medical_Examinations[],4,FALSE)</f>
        <v>No</v>
      </c>
      <c r="F2087" t="str">
        <f>VLOOKUP(A2087,Medical_Examinations[],5,FALSE)</f>
        <v>No</v>
      </c>
      <c r="G2087" t="str">
        <f>VLOOKUP(A2087,Medical_Examinations[],6,FALSE)</f>
        <v>No</v>
      </c>
      <c r="H2087">
        <f>VLOOKUP(A2087,Medical_Examinations[],7,FALSE)</f>
        <v>0</v>
      </c>
      <c r="I2087" t="str">
        <f>VLOOKUP(A2087,Medical_Examinations[],8,FALSE)</f>
        <v>No</v>
      </c>
      <c r="J2087" t="str">
        <f>VLOOKUP(A2087,Medical_Examinations[],9,FALSE)</f>
        <v>Obesity</v>
      </c>
      <c r="K2087" t="str">
        <f>VLOOKUP(A2087,Medical_Examinations[],10,FALSE)</f>
        <v>Prediabetes</v>
      </c>
      <c r="M2087">
        <f>VLOOKUP(A2087,Hospitalisation_Details__2[],4,FALSE)</f>
        <v>2438.06</v>
      </c>
      <c r="N2087" t="str">
        <f>VLOOKUP(A2087,Hospitalisation_Details__2[],5,FALSE)</f>
        <v>tier - 2</v>
      </c>
      <c r="O2087" t="str">
        <f>VLOOKUP(A2087,Hospitalisation_Details__2[],6,FALSE)</f>
        <v>tier - 2</v>
      </c>
      <c r="P2087" t="str">
        <f>VLOOKUP(A2087,Hospitalisation_Details__2[],7,FALSE)</f>
        <v>R1013</v>
      </c>
    </row>
    <row r="2088" spans="1:16" x14ac:dyDescent="0.35">
      <c r="A2088" t="str">
        <v>Id2087</v>
      </c>
      <c r="B2088" t="str">
        <f>VLOOKUP(A2088,'Customer Names (2)'!A:B, 2,FALSE)</f>
        <v>Mr</v>
      </c>
      <c r="C2088">
        <f>VLOOKUP(A2088,Medical_Examinations[],2,FALSE)</f>
        <v>35.200000000000003</v>
      </c>
      <c r="D2088">
        <f>VLOOKUP(A2088,Medical_Examinations[],3,FALSE)</f>
        <v>4.28</v>
      </c>
      <c r="E2088" t="str">
        <f>VLOOKUP(A2088,Medical_Examinations[],4,FALSE)</f>
        <v>No</v>
      </c>
      <c r="F2088" t="str">
        <f>VLOOKUP(A2088,Medical_Examinations[],5,FALSE)</f>
        <v>No</v>
      </c>
      <c r="G2088" t="str">
        <f>VLOOKUP(A2088,Medical_Examinations[],6,FALSE)</f>
        <v>No</v>
      </c>
      <c r="H2088">
        <f>VLOOKUP(A2088,Medical_Examinations[],7,FALSE)</f>
        <v>0</v>
      </c>
      <c r="I2088" t="str">
        <f>VLOOKUP(A2088,Medical_Examinations[],8,FALSE)</f>
        <v>No</v>
      </c>
      <c r="J2088" t="str">
        <f>VLOOKUP(A2088,Medical_Examinations[],9,FALSE)</f>
        <v>Obesity</v>
      </c>
      <c r="K2088" t="str">
        <f>VLOOKUP(A2088,Medical_Examinations[],10,FALSE)</f>
        <v>Normal</v>
      </c>
      <c r="M2088">
        <f>VLOOKUP(A2088,Hospitalisation_Details__2[],4,FALSE)</f>
        <v>2416.96</v>
      </c>
      <c r="N2088" t="str">
        <f>VLOOKUP(A2088,Hospitalisation_Details__2[],5,FALSE)</f>
        <v>tier - 2</v>
      </c>
      <c r="O2088" t="str">
        <f>VLOOKUP(A2088,Hospitalisation_Details__2[],6,FALSE)</f>
        <v>tier - 2</v>
      </c>
      <c r="P2088" t="str">
        <f>VLOOKUP(A2088,Hospitalisation_Details__2[],7,FALSE)</f>
        <v>R1011</v>
      </c>
    </row>
    <row r="2089" spans="1:16" x14ac:dyDescent="0.35">
      <c r="A2089" t="str">
        <v>Id2088</v>
      </c>
      <c r="B2089" t="str">
        <f>VLOOKUP(A2089,'Customer Names (2)'!A:B, 2,FALSE)</f>
        <v>Ms</v>
      </c>
      <c r="C2089">
        <f>VLOOKUP(A2089,Medical_Examinations[],2,FALSE)</f>
        <v>35.72</v>
      </c>
      <c r="D2089">
        <f>VLOOKUP(A2089,Medical_Examinations[],3,FALSE)</f>
        <v>5.5</v>
      </c>
      <c r="E2089" t="str">
        <f>VLOOKUP(A2089,Medical_Examinations[],4,FALSE)</f>
        <v>Yes</v>
      </c>
      <c r="F2089" t="str">
        <f>VLOOKUP(A2089,Medical_Examinations[],5,FALSE)</f>
        <v>No</v>
      </c>
      <c r="G2089" t="str">
        <f>VLOOKUP(A2089,Medical_Examinations[],6,FALSE)</f>
        <v>No</v>
      </c>
      <c r="H2089">
        <f>VLOOKUP(A2089,Medical_Examinations[],7,FALSE)</f>
        <v>0</v>
      </c>
      <c r="I2089" t="str">
        <f>VLOOKUP(A2089,Medical_Examinations[],8,FALSE)</f>
        <v>No</v>
      </c>
      <c r="J2089" t="str">
        <f>VLOOKUP(A2089,Medical_Examinations[],9,FALSE)</f>
        <v>Obesity</v>
      </c>
      <c r="K2089" t="str">
        <f>VLOOKUP(A2089,Medical_Examinations[],10,FALSE)</f>
        <v>Normal</v>
      </c>
      <c r="M2089">
        <f>VLOOKUP(A2089,Hospitalisation_Details__2[],4,FALSE)</f>
        <v>2404.73</v>
      </c>
      <c r="N2089" t="str">
        <f>VLOOKUP(A2089,Hospitalisation_Details__2[],5,FALSE)</f>
        <v>tier - 2</v>
      </c>
      <c r="O2089" t="str">
        <f>VLOOKUP(A2089,Hospitalisation_Details__2[],6,FALSE)</f>
        <v>tier - 3</v>
      </c>
      <c r="P2089" t="str">
        <f>VLOOKUP(A2089,Hospitalisation_Details__2[],7,FALSE)</f>
        <v>R1012</v>
      </c>
    </row>
    <row r="2090" spans="1:16" x14ac:dyDescent="0.35">
      <c r="A2090" t="str">
        <v>Id2089</v>
      </c>
      <c r="B2090" t="str">
        <f>VLOOKUP(A2090,'Customer Names (2)'!A:B, 2,FALSE)</f>
        <v>Mr</v>
      </c>
      <c r="C2090">
        <f>VLOOKUP(A2090,Medical_Examinations[],2,FALSE)</f>
        <v>24.51</v>
      </c>
      <c r="D2090">
        <f>VLOOKUP(A2090,Medical_Examinations[],3,FALSE)</f>
        <v>4.6900000000000004</v>
      </c>
      <c r="E2090" t="str">
        <f>VLOOKUP(A2090,Medical_Examinations[],4,FALSE)</f>
        <v>No</v>
      </c>
      <c r="F2090" t="str">
        <f>VLOOKUP(A2090,Medical_Examinations[],5,FALSE)</f>
        <v>No</v>
      </c>
      <c r="G2090" t="str">
        <f>VLOOKUP(A2090,Medical_Examinations[],6,FALSE)</f>
        <v>No</v>
      </c>
      <c r="H2090">
        <f>VLOOKUP(A2090,Medical_Examinations[],7,FALSE)</f>
        <v>0</v>
      </c>
      <c r="I2090" t="str">
        <f>VLOOKUP(A2090,Medical_Examinations[],8,FALSE)</f>
        <v>No</v>
      </c>
      <c r="J2090" t="str">
        <f>VLOOKUP(A2090,Medical_Examinations[],9,FALSE)</f>
        <v>Normal Weight</v>
      </c>
      <c r="K2090" t="str">
        <f>VLOOKUP(A2090,Medical_Examinations[],10,FALSE)</f>
        <v>Normal</v>
      </c>
      <c r="M2090">
        <f>VLOOKUP(A2090,Hospitalisation_Details__2[],4,FALSE)</f>
        <v>2396.1</v>
      </c>
      <c r="N2090" t="str">
        <f>VLOOKUP(A2090,Hospitalisation_Details__2[],5,FALSE)</f>
        <v>tier - 2</v>
      </c>
      <c r="O2090" t="str">
        <f>VLOOKUP(A2090,Hospitalisation_Details__2[],6,FALSE)</f>
        <v>tier - 1</v>
      </c>
      <c r="P2090" t="str">
        <f>VLOOKUP(A2090,Hospitalisation_Details__2[],7,FALSE)</f>
        <v>R1019</v>
      </c>
    </row>
    <row r="2091" spans="1:16" x14ac:dyDescent="0.35">
      <c r="A2091" t="str">
        <v>Id2090</v>
      </c>
      <c r="B2091" t="str">
        <f>VLOOKUP(A2091,'Customer Names (2)'!A:B, 2,FALSE)</f>
        <v>Mr</v>
      </c>
      <c r="C2091">
        <f>VLOOKUP(A2091,Medical_Examinations[],2,FALSE)</f>
        <v>23.844999999999999</v>
      </c>
      <c r="D2091">
        <f>VLOOKUP(A2091,Medical_Examinations[],3,FALSE)</f>
        <v>4.43</v>
      </c>
      <c r="E2091" t="str">
        <f>VLOOKUP(A2091,Medical_Examinations[],4,FALSE)</f>
        <v>No</v>
      </c>
      <c r="F2091" t="str">
        <f>VLOOKUP(A2091,Medical_Examinations[],5,FALSE)</f>
        <v>No</v>
      </c>
      <c r="G2091" t="str">
        <f>VLOOKUP(A2091,Medical_Examinations[],6,FALSE)</f>
        <v>No</v>
      </c>
      <c r="H2091">
        <f>VLOOKUP(A2091,Medical_Examinations[],7,FALSE)</f>
        <v>0</v>
      </c>
      <c r="I2091" t="str">
        <f>VLOOKUP(A2091,Medical_Examinations[],8,FALSE)</f>
        <v>No</v>
      </c>
      <c r="J2091" t="str">
        <f>VLOOKUP(A2091,Medical_Examinations[],9,FALSE)</f>
        <v>Normal Weight</v>
      </c>
      <c r="K2091" t="str">
        <f>VLOOKUP(A2091,Medical_Examinations[],10,FALSE)</f>
        <v>Normal</v>
      </c>
      <c r="M2091">
        <f>VLOOKUP(A2091,Hospitalisation_Details__2[],4,FALSE)</f>
        <v>2395.17</v>
      </c>
      <c r="N2091" t="str">
        <f>VLOOKUP(A2091,Hospitalisation_Details__2[],5,FALSE)</f>
        <v>tier - 2</v>
      </c>
      <c r="O2091" t="str">
        <f>VLOOKUP(A2091,Hospitalisation_Details__2[],6,FALSE)</f>
        <v>tier - 1</v>
      </c>
      <c r="P2091" t="str">
        <f>VLOOKUP(A2091,Hospitalisation_Details__2[],7,FALSE)</f>
        <v>R1014</v>
      </c>
    </row>
    <row r="2092" spans="1:16" x14ac:dyDescent="0.35">
      <c r="A2092" t="str">
        <v>Id2091</v>
      </c>
      <c r="B2092" t="str">
        <f>VLOOKUP(A2092,'Customer Names (2)'!A:B, 2,FALSE)</f>
        <v>Mr</v>
      </c>
      <c r="C2092">
        <f>VLOOKUP(A2092,Medical_Examinations[],2,FALSE)</f>
        <v>15.68</v>
      </c>
      <c r="D2092">
        <f>VLOOKUP(A2092,Medical_Examinations[],3,FALSE)</f>
        <v>6.16</v>
      </c>
      <c r="E2092" t="str">
        <f>VLOOKUP(A2092,Medical_Examinations[],4,FALSE)</f>
        <v>Yes</v>
      </c>
      <c r="F2092" t="str">
        <f>VLOOKUP(A2092,Medical_Examinations[],5,FALSE)</f>
        <v>No</v>
      </c>
      <c r="G2092" t="str">
        <f>VLOOKUP(A2092,Medical_Examinations[],6,FALSE)</f>
        <v>No</v>
      </c>
      <c r="H2092">
        <f>VLOOKUP(A2092,Medical_Examinations[],7,FALSE)</f>
        <v>1</v>
      </c>
      <c r="I2092" t="str">
        <f>VLOOKUP(A2092,Medical_Examinations[],8,FALSE)</f>
        <v>No</v>
      </c>
      <c r="J2092" t="str">
        <f>VLOOKUP(A2092,Medical_Examinations[],9,FALSE)</f>
        <v>Underweight</v>
      </c>
      <c r="K2092" t="str">
        <f>VLOOKUP(A2092,Medical_Examinations[],10,FALSE)</f>
        <v>Prediabetes</v>
      </c>
      <c r="M2092">
        <f>VLOOKUP(A2092,Hospitalisation_Details__2[],4,FALSE)</f>
        <v>2373.3000000000002</v>
      </c>
      <c r="N2092" t="str">
        <f>VLOOKUP(A2092,Hospitalisation_Details__2[],5,FALSE)</f>
        <v>tier - 2</v>
      </c>
      <c r="O2092" t="str">
        <f>VLOOKUP(A2092,Hospitalisation_Details__2[],6,FALSE)</f>
        <v>tier - 2</v>
      </c>
      <c r="P2092" t="str">
        <f>VLOOKUP(A2092,Hospitalisation_Details__2[],7,FALSE)</f>
        <v>R1013</v>
      </c>
    </row>
    <row r="2093" spans="1:16" x14ac:dyDescent="0.35">
      <c r="A2093" t="str">
        <v>Id2092</v>
      </c>
      <c r="B2093" t="str">
        <f>VLOOKUP(A2093,'Customer Names (2)'!A:B, 2,FALSE)</f>
        <v>Mr</v>
      </c>
      <c r="C2093">
        <f>VLOOKUP(A2093,Medical_Examinations[],2,FALSE)</f>
        <v>32.395000000000003</v>
      </c>
      <c r="D2093">
        <f>VLOOKUP(A2093,Medical_Examinations[],3,FALSE)</f>
        <v>6.66</v>
      </c>
      <c r="E2093" t="str">
        <f>VLOOKUP(A2093,Medical_Examinations[],4,FALSE)</f>
        <v>No</v>
      </c>
      <c r="F2093" t="str">
        <f>VLOOKUP(A2093,Medical_Examinations[],5,FALSE)</f>
        <v>No</v>
      </c>
      <c r="G2093" t="str">
        <f>VLOOKUP(A2093,Medical_Examinations[],6,FALSE)</f>
        <v>No</v>
      </c>
      <c r="H2093">
        <f>VLOOKUP(A2093,Medical_Examinations[],7,FALSE)</f>
        <v>0</v>
      </c>
      <c r="I2093" t="str">
        <f>VLOOKUP(A2093,Medical_Examinations[],8,FALSE)</f>
        <v>No</v>
      </c>
      <c r="J2093" t="str">
        <f>VLOOKUP(A2093,Medical_Examinations[],9,FALSE)</f>
        <v>Obesity</v>
      </c>
      <c r="K2093" t="str">
        <f>VLOOKUP(A2093,Medical_Examinations[],10,FALSE)</f>
        <v>Diabetes</v>
      </c>
      <c r="M2093">
        <f>VLOOKUP(A2093,Hospitalisation_Details__2[],4,FALSE)</f>
        <v>2362.23</v>
      </c>
      <c r="N2093" t="str">
        <f>VLOOKUP(A2093,Hospitalisation_Details__2[],5,FALSE)</f>
        <v>tier - 2</v>
      </c>
      <c r="O2093" t="str">
        <f>VLOOKUP(A2093,Hospitalisation_Details__2[],6,FALSE)</f>
        <v>tier - 1</v>
      </c>
      <c r="P2093" t="str">
        <f>VLOOKUP(A2093,Hospitalisation_Details__2[],7,FALSE)</f>
        <v>R1012</v>
      </c>
    </row>
    <row r="2094" spans="1:16" x14ac:dyDescent="0.35">
      <c r="A2094" t="str">
        <v>Id2093</v>
      </c>
      <c r="B2094" t="str">
        <f>VLOOKUP(A2094,'Customer Names (2)'!A:B, 2,FALSE)</f>
        <v>Mr</v>
      </c>
      <c r="C2094">
        <f>VLOOKUP(A2094,Medical_Examinations[],2,FALSE)</f>
        <v>23.655000000000001</v>
      </c>
      <c r="D2094">
        <f>VLOOKUP(A2094,Medical_Examinations[],3,FALSE)</f>
        <v>5.92</v>
      </c>
      <c r="E2094" t="str">
        <f>VLOOKUP(A2094,Medical_Examinations[],4,FALSE)</f>
        <v>No</v>
      </c>
      <c r="F2094" t="str">
        <f>VLOOKUP(A2094,Medical_Examinations[],5,FALSE)</f>
        <v>No</v>
      </c>
      <c r="G2094" t="str">
        <f>VLOOKUP(A2094,Medical_Examinations[],6,FALSE)</f>
        <v>No</v>
      </c>
      <c r="H2094">
        <f>VLOOKUP(A2094,Medical_Examinations[],7,FALSE)</f>
        <v>1</v>
      </c>
      <c r="I2094" t="str">
        <f>VLOOKUP(A2094,Medical_Examinations[],8,FALSE)</f>
        <v>No</v>
      </c>
      <c r="J2094" t="str">
        <f>VLOOKUP(A2094,Medical_Examinations[],9,FALSE)</f>
        <v>Normal Weight</v>
      </c>
      <c r="K2094" t="str">
        <f>VLOOKUP(A2094,Medical_Examinations[],10,FALSE)</f>
        <v>Prediabetes</v>
      </c>
      <c r="M2094">
        <f>VLOOKUP(A2094,Hospitalisation_Details__2[],4,FALSE)</f>
        <v>2352.9699999999998</v>
      </c>
      <c r="N2094" t="str">
        <f>VLOOKUP(A2094,Hospitalisation_Details__2[],5,FALSE)</f>
        <v>tier - 3</v>
      </c>
      <c r="O2094" t="str">
        <f>VLOOKUP(A2094,Hospitalisation_Details__2[],6,FALSE)</f>
        <v>tier - 3</v>
      </c>
      <c r="P2094" t="str">
        <f>VLOOKUP(A2094,Hospitalisation_Details__2[],7,FALSE)</f>
        <v>R1012</v>
      </c>
    </row>
    <row r="2095" spans="1:16" x14ac:dyDescent="0.35">
      <c r="A2095" t="str">
        <v>Id2094</v>
      </c>
      <c r="B2095" t="str">
        <f>VLOOKUP(A2095,'Customer Names (2)'!A:B, 2,FALSE)</f>
        <v>Ms</v>
      </c>
      <c r="C2095">
        <f>VLOOKUP(A2095,Medical_Examinations[],2,FALSE)</f>
        <v>28.4</v>
      </c>
      <c r="D2095">
        <f>VLOOKUP(A2095,Medical_Examinations[],3,FALSE)</f>
        <v>5.97</v>
      </c>
      <c r="E2095" t="str">
        <f>VLOOKUP(A2095,Medical_Examinations[],4,FALSE)</f>
        <v>No</v>
      </c>
      <c r="F2095" t="str">
        <f>VLOOKUP(A2095,Medical_Examinations[],5,FALSE)</f>
        <v>No</v>
      </c>
      <c r="G2095" t="str">
        <f>VLOOKUP(A2095,Medical_Examinations[],6,FALSE)</f>
        <v>Yes</v>
      </c>
      <c r="H2095">
        <f>VLOOKUP(A2095,Medical_Examinations[],7,FALSE)</f>
        <v>1</v>
      </c>
      <c r="I2095" t="str">
        <f>VLOOKUP(A2095,Medical_Examinations[],8,FALSE)</f>
        <v>No</v>
      </c>
      <c r="J2095" t="str">
        <f>VLOOKUP(A2095,Medical_Examinations[],9,FALSE)</f>
        <v>Overweight</v>
      </c>
      <c r="K2095" t="str">
        <f>VLOOKUP(A2095,Medical_Examinations[],10,FALSE)</f>
        <v>Prediabetes</v>
      </c>
      <c r="M2095">
        <f>VLOOKUP(A2095,Hospitalisation_Details__2[],4,FALSE)</f>
        <v>2331.52</v>
      </c>
      <c r="N2095" t="str">
        <f>VLOOKUP(A2095,Hospitalisation_Details__2[],5,FALSE)</f>
        <v>tier - 2</v>
      </c>
      <c r="O2095" t="str">
        <f>VLOOKUP(A2095,Hospitalisation_Details__2[],6,FALSE)</f>
        <v>tier - 3</v>
      </c>
      <c r="P2095" t="str">
        <f>VLOOKUP(A2095,Hospitalisation_Details__2[],7,FALSE)</f>
        <v>R1011</v>
      </c>
    </row>
    <row r="2096" spans="1:16" x14ac:dyDescent="0.35">
      <c r="A2096" t="str">
        <v>Id2095</v>
      </c>
      <c r="B2096" t="str">
        <f>VLOOKUP(A2096,'Customer Names (2)'!A:B, 2,FALSE)</f>
        <v>Mr</v>
      </c>
      <c r="C2096">
        <f>VLOOKUP(A2096,Medical_Examinations[],2,FALSE)</f>
        <v>35.42</v>
      </c>
      <c r="D2096">
        <f>VLOOKUP(A2096,Medical_Examinations[],3,FALSE)</f>
        <v>4.6399999999999997</v>
      </c>
      <c r="E2096" t="str">
        <f>VLOOKUP(A2096,Medical_Examinations[],4,FALSE)</f>
        <v>Yes</v>
      </c>
      <c r="F2096" t="str">
        <f>VLOOKUP(A2096,Medical_Examinations[],5,FALSE)</f>
        <v>No</v>
      </c>
      <c r="G2096" t="str">
        <f>VLOOKUP(A2096,Medical_Examinations[],6,FALSE)</f>
        <v>No</v>
      </c>
      <c r="H2096">
        <f>VLOOKUP(A2096,Medical_Examinations[],7,FALSE)</f>
        <v>0</v>
      </c>
      <c r="I2096" t="str">
        <f>VLOOKUP(A2096,Medical_Examinations[],8,FALSE)</f>
        <v>No</v>
      </c>
      <c r="J2096" t="str">
        <f>VLOOKUP(A2096,Medical_Examinations[],9,FALSE)</f>
        <v>Obesity</v>
      </c>
      <c r="K2096" t="str">
        <f>VLOOKUP(A2096,Medical_Examinations[],10,FALSE)</f>
        <v>Normal</v>
      </c>
      <c r="M2096">
        <f>VLOOKUP(A2096,Hospitalisation_Details__2[],4,FALSE)</f>
        <v>2322.62</v>
      </c>
      <c r="N2096" t="str">
        <f>VLOOKUP(A2096,Hospitalisation_Details__2[],5,FALSE)</f>
        <v>tier - 2</v>
      </c>
      <c r="O2096" t="str">
        <f>VLOOKUP(A2096,Hospitalisation_Details__2[],6,FALSE)</f>
        <v>tier - 1</v>
      </c>
      <c r="P2096" t="str">
        <f>VLOOKUP(A2096,Hospitalisation_Details__2[],7,FALSE)</f>
        <v>R1013</v>
      </c>
    </row>
    <row r="2097" spans="1:16" x14ac:dyDescent="0.35">
      <c r="A2097" t="str">
        <v>Id2096</v>
      </c>
      <c r="B2097" t="str">
        <f>VLOOKUP(A2097,'Customer Names (2)'!A:B, 2,FALSE)</f>
        <v>Mr</v>
      </c>
      <c r="C2097">
        <f>VLOOKUP(A2097,Medical_Examinations[],2,FALSE)</f>
        <v>26.18</v>
      </c>
      <c r="D2097">
        <f>VLOOKUP(A2097,Medical_Examinations[],3,FALSE)</f>
        <v>6.12</v>
      </c>
      <c r="E2097" t="str">
        <f>VLOOKUP(A2097,Medical_Examinations[],4,FALSE)</f>
        <v>No</v>
      </c>
      <c r="F2097" t="str">
        <f>VLOOKUP(A2097,Medical_Examinations[],5,FALSE)</f>
        <v>yes</v>
      </c>
      <c r="G2097" t="str">
        <f>VLOOKUP(A2097,Medical_Examinations[],6,FALSE)</f>
        <v>No</v>
      </c>
      <c r="H2097">
        <f>VLOOKUP(A2097,Medical_Examinations[],7,FALSE)</f>
        <v>1</v>
      </c>
      <c r="I2097" t="str">
        <f>VLOOKUP(A2097,Medical_Examinations[],8,FALSE)</f>
        <v>No</v>
      </c>
      <c r="J2097" t="str">
        <f>VLOOKUP(A2097,Medical_Examinations[],9,FALSE)</f>
        <v>Overweight</v>
      </c>
      <c r="K2097" t="str">
        <f>VLOOKUP(A2097,Medical_Examinations[],10,FALSE)</f>
        <v>Prediabetes</v>
      </c>
      <c r="M2097">
        <f>VLOOKUP(A2097,Hospitalisation_Details__2[],4,FALSE)</f>
        <v>2304</v>
      </c>
      <c r="N2097" t="str">
        <f>VLOOKUP(A2097,Hospitalisation_Details__2[],5,FALSE)</f>
        <v>tier - 2</v>
      </c>
      <c r="O2097" t="str">
        <f>VLOOKUP(A2097,Hospitalisation_Details__2[],6,FALSE)</f>
        <v>tier - 3</v>
      </c>
      <c r="P2097" t="str">
        <f>VLOOKUP(A2097,Hospitalisation_Details__2[],7,FALSE)</f>
        <v>R1013</v>
      </c>
    </row>
    <row r="2098" spans="1:16" x14ac:dyDescent="0.35">
      <c r="A2098" t="str">
        <v>Id2097</v>
      </c>
      <c r="B2098" t="str">
        <f>VLOOKUP(A2098,'Customer Names (2)'!A:B, 2,FALSE)</f>
        <v>Mr</v>
      </c>
      <c r="C2098">
        <f>VLOOKUP(A2098,Medical_Examinations[],2,FALSE)</f>
        <v>20.8</v>
      </c>
      <c r="D2098">
        <f>VLOOKUP(A2098,Medical_Examinations[],3,FALSE)</f>
        <v>4.87</v>
      </c>
      <c r="E2098" t="str">
        <f>VLOOKUP(A2098,Medical_Examinations[],4,FALSE)</f>
        <v>Yes</v>
      </c>
      <c r="F2098" t="str">
        <f>VLOOKUP(A2098,Medical_Examinations[],5,FALSE)</f>
        <v>No</v>
      </c>
      <c r="G2098" t="str">
        <f>VLOOKUP(A2098,Medical_Examinations[],6,FALSE)</f>
        <v>No</v>
      </c>
      <c r="H2098">
        <f>VLOOKUP(A2098,Medical_Examinations[],7,FALSE)</f>
        <v>0</v>
      </c>
      <c r="I2098" t="str">
        <f>VLOOKUP(A2098,Medical_Examinations[],8,FALSE)</f>
        <v>No</v>
      </c>
      <c r="J2098" t="str">
        <f>VLOOKUP(A2098,Medical_Examinations[],9,FALSE)</f>
        <v>Normal Weight</v>
      </c>
      <c r="K2098" t="str">
        <f>VLOOKUP(A2098,Medical_Examinations[],10,FALSE)</f>
        <v>Normal</v>
      </c>
      <c r="M2098">
        <f>VLOOKUP(A2098,Hospitalisation_Details__2[],4,FALSE)</f>
        <v>2302.3000000000002</v>
      </c>
      <c r="N2098" t="str">
        <f>VLOOKUP(A2098,Hospitalisation_Details__2[],5,FALSE)</f>
        <v>tier - 1</v>
      </c>
      <c r="O2098" t="str">
        <f>VLOOKUP(A2098,Hospitalisation_Details__2[],6,FALSE)</f>
        <v>tier - 2</v>
      </c>
      <c r="P2098" t="str">
        <f>VLOOKUP(A2098,Hospitalisation_Details__2[],7,FALSE)</f>
        <v>R1011</v>
      </c>
    </row>
    <row r="2099" spans="1:16" x14ac:dyDescent="0.35">
      <c r="A2099" t="str">
        <v>Id2098</v>
      </c>
      <c r="B2099" t="str">
        <f>VLOOKUP(A2099,'Customer Names (2)'!A:B, 2,FALSE)</f>
        <v>Ms</v>
      </c>
      <c r="C2099">
        <f>VLOOKUP(A2099,Medical_Examinations[],2,FALSE)</f>
        <v>15.82</v>
      </c>
      <c r="D2099">
        <f>VLOOKUP(A2099,Medical_Examinations[],3,FALSE)</f>
        <v>4.5999999999999996</v>
      </c>
      <c r="E2099" t="str">
        <f>VLOOKUP(A2099,Medical_Examinations[],4,FALSE)</f>
        <v>No</v>
      </c>
      <c r="F2099" t="str">
        <f>VLOOKUP(A2099,Medical_Examinations[],5,FALSE)</f>
        <v>No</v>
      </c>
      <c r="G2099" t="str">
        <f>VLOOKUP(A2099,Medical_Examinations[],6,FALSE)</f>
        <v>No</v>
      </c>
      <c r="H2099">
        <f>VLOOKUP(A2099,Medical_Examinations[],7,FALSE)</f>
        <v>0</v>
      </c>
      <c r="I2099" t="str">
        <f>VLOOKUP(A2099,Medical_Examinations[],8,FALSE)</f>
        <v>No</v>
      </c>
      <c r="J2099" t="str">
        <f>VLOOKUP(A2099,Medical_Examinations[],9,FALSE)</f>
        <v>Underweight</v>
      </c>
      <c r="K2099" t="str">
        <f>VLOOKUP(A2099,Medical_Examinations[],10,FALSE)</f>
        <v>Normal</v>
      </c>
      <c r="M2099">
        <f>VLOOKUP(A2099,Hospitalisation_Details__2[],4,FALSE)</f>
        <v>2295.2399999999998</v>
      </c>
      <c r="N2099" t="str">
        <f>VLOOKUP(A2099,Hospitalisation_Details__2[],5,FALSE)</f>
        <v>tier - 2</v>
      </c>
      <c r="O2099" t="str">
        <f>VLOOKUP(A2099,Hospitalisation_Details__2[],6,FALSE)</f>
        <v>tier - 1</v>
      </c>
      <c r="P2099" t="str">
        <f>VLOOKUP(A2099,Hospitalisation_Details__2[],7,FALSE)</f>
        <v>R1013</v>
      </c>
    </row>
    <row r="2100" spans="1:16" x14ac:dyDescent="0.35">
      <c r="A2100" t="str">
        <v>Id2099</v>
      </c>
      <c r="B2100" t="str">
        <f>VLOOKUP(A2100,'Customer Names (2)'!A:B, 2,FALSE)</f>
        <v>Mr</v>
      </c>
      <c r="C2100">
        <f>VLOOKUP(A2100,Medical_Examinations[],2,FALSE)</f>
        <v>17.670000000000002</v>
      </c>
      <c r="D2100">
        <f>VLOOKUP(A2100,Medical_Examinations[],3,FALSE)</f>
        <v>4.78</v>
      </c>
      <c r="E2100" t="str">
        <f>VLOOKUP(A2100,Medical_Examinations[],4,FALSE)</f>
        <v>No</v>
      </c>
      <c r="F2100" t="str">
        <f>VLOOKUP(A2100,Medical_Examinations[],5,FALSE)</f>
        <v>No</v>
      </c>
      <c r="G2100" t="str">
        <f>VLOOKUP(A2100,Medical_Examinations[],6,FALSE)</f>
        <v>No</v>
      </c>
      <c r="H2100">
        <f>VLOOKUP(A2100,Medical_Examinations[],7,FALSE)</f>
        <v>0</v>
      </c>
      <c r="I2100" t="str">
        <f>VLOOKUP(A2100,Medical_Examinations[],8,FALSE)</f>
        <v>No</v>
      </c>
      <c r="J2100" t="str">
        <f>VLOOKUP(A2100,Medical_Examinations[],9,FALSE)</f>
        <v>Underweight</v>
      </c>
      <c r="K2100" t="str">
        <f>VLOOKUP(A2100,Medical_Examinations[],10,FALSE)</f>
        <v>Normal</v>
      </c>
      <c r="M2100">
        <f>VLOOKUP(A2100,Hospitalisation_Details__2[],4,FALSE)</f>
        <v>2277.7199999999998</v>
      </c>
      <c r="N2100" t="str">
        <f>VLOOKUP(A2100,Hospitalisation_Details__2[],5,FALSE)</f>
        <v>tier - 2</v>
      </c>
      <c r="O2100" t="str">
        <f>VLOOKUP(A2100,Hospitalisation_Details__2[],6,FALSE)</f>
        <v>tier - 1</v>
      </c>
      <c r="P2100" t="str">
        <f>VLOOKUP(A2100,Hospitalisation_Details__2[],7,FALSE)</f>
        <v>R1013</v>
      </c>
    </row>
    <row r="2101" spans="1:16" x14ac:dyDescent="0.35">
      <c r="A2101" t="str">
        <v>Id2100</v>
      </c>
      <c r="B2101" t="str">
        <f>VLOOKUP(A2101,'Customer Names (2)'!A:B, 2,FALSE)</f>
        <v>Ms</v>
      </c>
      <c r="C2101">
        <f>VLOOKUP(A2101,Medical_Examinations[],2,FALSE)</f>
        <v>31.92</v>
      </c>
      <c r="D2101">
        <f>VLOOKUP(A2101,Medical_Examinations[],3,FALSE)</f>
        <v>11.05</v>
      </c>
      <c r="E2101" t="str">
        <f>VLOOKUP(A2101,Medical_Examinations[],4,FALSE)</f>
        <v>No</v>
      </c>
      <c r="F2101" t="str">
        <f>VLOOKUP(A2101,Medical_Examinations[],5,FALSE)</f>
        <v>No</v>
      </c>
      <c r="G2101" t="str">
        <f>VLOOKUP(A2101,Medical_Examinations[],6,FALSE)</f>
        <v>No</v>
      </c>
      <c r="H2101">
        <f>VLOOKUP(A2101,Medical_Examinations[],7,FALSE)</f>
        <v>0</v>
      </c>
      <c r="I2101" t="str">
        <f>VLOOKUP(A2101,Medical_Examinations[],8,FALSE)</f>
        <v>No</v>
      </c>
      <c r="J2101" t="str">
        <f>VLOOKUP(A2101,Medical_Examinations[],9,FALSE)</f>
        <v>Obesity</v>
      </c>
      <c r="K2101" t="str">
        <f>VLOOKUP(A2101,Medical_Examinations[],10,FALSE)</f>
        <v>Diabetes</v>
      </c>
      <c r="M2101">
        <f>VLOOKUP(A2101,Hospitalisation_Details__2[],4,FALSE)</f>
        <v>2261.5700000000002</v>
      </c>
      <c r="N2101" t="str">
        <f>VLOOKUP(A2101,Hospitalisation_Details__2[],5,FALSE)</f>
        <v>tier - 2</v>
      </c>
      <c r="O2101" t="str">
        <f>VLOOKUP(A2101,Hospitalisation_Details__2[],6,FALSE)</f>
        <v>tier - 1</v>
      </c>
      <c r="P2101" t="str">
        <f>VLOOKUP(A2101,Hospitalisation_Details__2[],7,FALSE)</f>
        <v>R1012</v>
      </c>
    </row>
    <row r="2102" spans="1:16" x14ac:dyDescent="0.35">
      <c r="A2102" t="str">
        <v>Id2101</v>
      </c>
      <c r="B2102" t="str">
        <f>VLOOKUP(A2102,'Customer Names (2)'!A:B, 2,FALSE)</f>
        <v>Ms</v>
      </c>
      <c r="C2102">
        <f>VLOOKUP(A2102,Medical_Examinations[],2,FALSE)</f>
        <v>28.975000000000001</v>
      </c>
      <c r="D2102">
        <f>VLOOKUP(A2102,Medical_Examinations[],3,FALSE)</f>
        <v>7.62</v>
      </c>
      <c r="E2102" t="str">
        <f>VLOOKUP(A2102,Medical_Examinations[],4,FALSE)</f>
        <v>No</v>
      </c>
      <c r="F2102" t="str">
        <f>VLOOKUP(A2102,Medical_Examinations[],5,FALSE)</f>
        <v>No</v>
      </c>
      <c r="G2102" t="str">
        <f>VLOOKUP(A2102,Medical_Examinations[],6,FALSE)</f>
        <v>No</v>
      </c>
      <c r="H2102">
        <f>VLOOKUP(A2102,Medical_Examinations[],7,FALSE)</f>
        <v>0</v>
      </c>
      <c r="I2102" t="str">
        <f>VLOOKUP(A2102,Medical_Examinations[],8,FALSE)</f>
        <v>No</v>
      </c>
      <c r="J2102" t="str">
        <f>VLOOKUP(A2102,Medical_Examinations[],9,FALSE)</f>
        <v>Overweight</v>
      </c>
      <c r="K2102" t="str">
        <f>VLOOKUP(A2102,Medical_Examinations[],10,FALSE)</f>
        <v>Diabetes</v>
      </c>
      <c r="M2102">
        <f>VLOOKUP(A2102,Hospitalisation_Details__2[],4,FALSE)</f>
        <v>2257.48</v>
      </c>
      <c r="N2102" t="str">
        <f>VLOOKUP(A2102,Hospitalisation_Details__2[],5,FALSE)</f>
        <v>tier - 2</v>
      </c>
      <c r="O2102" t="str">
        <f>VLOOKUP(A2102,Hospitalisation_Details__2[],6,FALSE)</f>
        <v>tier - 1</v>
      </c>
      <c r="P2102" t="str">
        <f>VLOOKUP(A2102,Hospitalisation_Details__2[],7,FALSE)</f>
        <v>R1012</v>
      </c>
    </row>
    <row r="2103" spans="1:16" x14ac:dyDescent="0.35">
      <c r="A2103" t="str">
        <v>Id2102</v>
      </c>
      <c r="B2103" t="str">
        <f>VLOOKUP(A2103,'Customer Names (2)'!A:B, 2,FALSE)</f>
        <v>Mr</v>
      </c>
      <c r="C2103">
        <f>VLOOKUP(A2103,Medical_Examinations[],2,FALSE)</f>
        <v>31.73</v>
      </c>
      <c r="D2103">
        <f>VLOOKUP(A2103,Medical_Examinations[],3,FALSE)</f>
        <v>4.78</v>
      </c>
      <c r="E2103" t="str">
        <f>VLOOKUP(A2103,Medical_Examinations[],4,FALSE)</f>
        <v>Yes</v>
      </c>
      <c r="F2103" t="str">
        <f>VLOOKUP(A2103,Medical_Examinations[],5,FALSE)</f>
        <v>yes</v>
      </c>
      <c r="G2103" t="str">
        <f>VLOOKUP(A2103,Medical_Examinations[],6,FALSE)</f>
        <v>No</v>
      </c>
      <c r="H2103">
        <f>VLOOKUP(A2103,Medical_Examinations[],7,FALSE)</f>
        <v>2</v>
      </c>
      <c r="I2103" t="str">
        <f>VLOOKUP(A2103,Medical_Examinations[],8,FALSE)</f>
        <v>No</v>
      </c>
      <c r="J2103" t="str">
        <f>VLOOKUP(A2103,Medical_Examinations[],9,FALSE)</f>
        <v>Obesity</v>
      </c>
      <c r="K2103" t="str">
        <f>VLOOKUP(A2103,Medical_Examinations[],10,FALSE)</f>
        <v>Normal</v>
      </c>
      <c r="M2103">
        <f>VLOOKUP(A2103,Hospitalisation_Details__2[],4,FALSE)</f>
        <v>2254.8000000000002</v>
      </c>
      <c r="N2103" t="str">
        <f>VLOOKUP(A2103,Hospitalisation_Details__2[],5,FALSE)</f>
        <v>tier - 2</v>
      </c>
      <c r="O2103" t="str">
        <f>VLOOKUP(A2103,Hospitalisation_Details__2[],6,FALSE)</f>
        <v>tier - 3</v>
      </c>
      <c r="P2103" t="str">
        <f>VLOOKUP(A2103,Hospitalisation_Details__2[],7,FALSE)</f>
        <v>R1016</v>
      </c>
    </row>
    <row r="2104" spans="1:16" x14ac:dyDescent="0.35">
      <c r="A2104" t="str">
        <v>Id2103</v>
      </c>
      <c r="B2104" t="str">
        <f>VLOOKUP(A2104,'Customer Names (2)'!A:B, 2,FALSE)</f>
        <v>Mr</v>
      </c>
      <c r="C2104">
        <f>VLOOKUP(A2104,Medical_Examinations[],2,FALSE)</f>
        <v>28.88</v>
      </c>
      <c r="D2104">
        <f>VLOOKUP(A2104,Medical_Examinations[],3,FALSE)</f>
        <v>6.09</v>
      </c>
      <c r="E2104" t="str">
        <f>VLOOKUP(A2104,Medical_Examinations[],4,FALSE)</f>
        <v>Yes</v>
      </c>
      <c r="F2104" t="str">
        <f>VLOOKUP(A2104,Medical_Examinations[],5,FALSE)</f>
        <v>yes</v>
      </c>
      <c r="G2104" t="str">
        <f>VLOOKUP(A2104,Medical_Examinations[],6,FALSE)</f>
        <v>No</v>
      </c>
      <c r="H2104">
        <f>VLOOKUP(A2104,Medical_Examinations[],7,FALSE)</f>
        <v>2</v>
      </c>
      <c r="I2104" t="str">
        <f>VLOOKUP(A2104,Medical_Examinations[],8,FALSE)</f>
        <v>No</v>
      </c>
      <c r="J2104" t="str">
        <f>VLOOKUP(A2104,Medical_Examinations[],9,FALSE)</f>
        <v>Overweight</v>
      </c>
      <c r="K2104" t="str">
        <f>VLOOKUP(A2104,Medical_Examinations[],10,FALSE)</f>
        <v>Prediabetes</v>
      </c>
      <c r="M2104">
        <f>VLOOKUP(A2104,Hospitalisation_Details__2[],4,FALSE)</f>
        <v>2250.84</v>
      </c>
      <c r="N2104" t="str">
        <f>VLOOKUP(A2104,Hospitalisation_Details__2[],5,FALSE)</f>
        <v>tier - 2</v>
      </c>
      <c r="O2104" t="str">
        <f>VLOOKUP(A2104,Hospitalisation_Details__2[],6,FALSE)</f>
        <v>tier - 2</v>
      </c>
      <c r="P2104" t="str">
        <f>VLOOKUP(A2104,Hospitalisation_Details__2[],7,FALSE)</f>
        <v>R1018</v>
      </c>
    </row>
    <row r="2105" spans="1:16" x14ac:dyDescent="0.35">
      <c r="A2105" t="str">
        <v>Id2104</v>
      </c>
      <c r="B2105" t="str">
        <f>VLOOKUP(A2105,'Customer Names (2)'!A:B, 2,FALSE)</f>
        <v>Mr</v>
      </c>
      <c r="C2105">
        <f>VLOOKUP(A2105,Medical_Examinations[],2,FALSE)</f>
        <v>25.555</v>
      </c>
      <c r="D2105">
        <f>VLOOKUP(A2105,Medical_Examinations[],3,FALSE)</f>
        <v>5.1100000000000003</v>
      </c>
      <c r="E2105" t="str">
        <f>VLOOKUP(A2105,Medical_Examinations[],4,FALSE)</f>
        <v>No</v>
      </c>
      <c r="F2105" t="str">
        <f>VLOOKUP(A2105,Medical_Examinations[],5,FALSE)</f>
        <v>No</v>
      </c>
      <c r="G2105" t="str">
        <f>VLOOKUP(A2105,Medical_Examinations[],6,FALSE)</f>
        <v>Yes</v>
      </c>
      <c r="H2105">
        <f>VLOOKUP(A2105,Medical_Examinations[],7,FALSE)</f>
        <v>1</v>
      </c>
      <c r="I2105" t="str">
        <f>VLOOKUP(A2105,Medical_Examinations[],8,FALSE)</f>
        <v>No</v>
      </c>
      <c r="J2105" t="str">
        <f>VLOOKUP(A2105,Medical_Examinations[],9,FALSE)</f>
        <v>Overweight</v>
      </c>
      <c r="K2105" t="str">
        <f>VLOOKUP(A2105,Medical_Examinations[],10,FALSE)</f>
        <v>Normal</v>
      </c>
      <c r="M2105">
        <f>VLOOKUP(A2105,Hospitalisation_Details__2[],4,FALSE)</f>
        <v>2221.56</v>
      </c>
      <c r="N2105" t="str">
        <f>VLOOKUP(A2105,Hospitalisation_Details__2[],5,FALSE)</f>
        <v>tier - 2</v>
      </c>
      <c r="O2105" t="str">
        <f>VLOOKUP(A2105,Hospitalisation_Details__2[],6,FALSE)</f>
        <v>tier - 3</v>
      </c>
      <c r="P2105" t="str">
        <f>VLOOKUP(A2105,Hospitalisation_Details__2[],7,FALSE)</f>
        <v>R1012</v>
      </c>
    </row>
    <row r="2106" spans="1:16" x14ac:dyDescent="0.35">
      <c r="A2106" t="str">
        <v>Id2105</v>
      </c>
      <c r="B2106" t="str">
        <f>VLOOKUP(A2106,'Customer Names (2)'!A:B, 2,FALSE)</f>
        <v>Ms</v>
      </c>
      <c r="C2106">
        <f>VLOOKUP(A2106,Medical_Examinations[],2,FALSE)</f>
        <v>37.29</v>
      </c>
      <c r="D2106">
        <f>VLOOKUP(A2106,Medical_Examinations[],3,FALSE)</f>
        <v>4.46</v>
      </c>
      <c r="E2106" t="str">
        <f>VLOOKUP(A2106,Medical_Examinations[],4,FALSE)</f>
        <v>No</v>
      </c>
      <c r="F2106" t="str">
        <f>VLOOKUP(A2106,Medical_Examinations[],5,FALSE)</f>
        <v>yes</v>
      </c>
      <c r="G2106" t="str">
        <f>VLOOKUP(A2106,Medical_Examinations[],6,FALSE)</f>
        <v>No</v>
      </c>
      <c r="H2106">
        <f>VLOOKUP(A2106,Medical_Examinations[],7,FALSE)</f>
        <v>1</v>
      </c>
      <c r="I2106" t="str">
        <f>VLOOKUP(A2106,Medical_Examinations[],8,FALSE)</f>
        <v>No</v>
      </c>
      <c r="J2106" t="str">
        <f>VLOOKUP(A2106,Medical_Examinations[],9,FALSE)</f>
        <v>Obesity</v>
      </c>
      <c r="K2106" t="str">
        <f>VLOOKUP(A2106,Medical_Examinations[],10,FALSE)</f>
        <v>Normal</v>
      </c>
      <c r="M2106">
        <f>VLOOKUP(A2106,Hospitalisation_Details__2[],4,FALSE)</f>
        <v>2219.4499999999998</v>
      </c>
      <c r="N2106" t="str">
        <f>VLOOKUP(A2106,Hospitalisation_Details__2[],5,FALSE)</f>
        <v>tier - 2</v>
      </c>
      <c r="O2106" t="str">
        <f>VLOOKUP(A2106,Hospitalisation_Details__2[],6,FALSE)</f>
        <v>tier - 1</v>
      </c>
      <c r="P2106" t="str">
        <f>VLOOKUP(A2106,Hospitalisation_Details__2[],7,FALSE)</f>
        <v>R1013</v>
      </c>
    </row>
    <row r="2107" spans="1:16" x14ac:dyDescent="0.35">
      <c r="A2107" t="str">
        <v>Id2106</v>
      </c>
      <c r="B2107" t="str">
        <f>VLOOKUP(A2107,'Customer Names (2)'!A:B, 2,FALSE)</f>
        <v>Ms</v>
      </c>
      <c r="C2107">
        <f>VLOOKUP(A2107,Medical_Examinations[],2,FALSE)</f>
        <v>40.28</v>
      </c>
      <c r="D2107">
        <f>VLOOKUP(A2107,Medical_Examinations[],3,FALSE)</f>
        <v>6.11</v>
      </c>
      <c r="E2107" t="str">
        <f>VLOOKUP(A2107,Medical_Examinations[],4,FALSE)</f>
        <v>No</v>
      </c>
      <c r="F2107" t="str">
        <f>VLOOKUP(A2107,Medical_Examinations[],5,FALSE)</f>
        <v>yes</v>
      </c>
      <c r="G2107" t="str">
        <f>VLOOKUP(A2107,Medical_Examinations[],6,FALSE)</f>
        <v>No</v>
      </c>
      <c r="H2107">
        <f>VLOOKUP(A2107,Medical_Examinations[],7,FALSE)</f>
        <v>1</v>
      </c>
      <c r="I2107" t="str">
        <f>VLOOKUP(A2107,Medical_Examinations[],8,FALSE)</f>
        <v>No</v>
      </c>
      <c r="J2107" t="str">
        <f>VLOOKUP(A2107,Medical_Examinations[],9,FALSE)</f>
        <v>Obesity</v>
      </c>
      <c r="K2107" t="str">
        <f>VLOOKUP(A2107,Medical_Examinations[],10,FALSE)</f>
        <v>Prediabetes</v>
      </c>
      <c r="M2107">
        <f>VLOOKUP(A2107,Hospitalisation_Details__2[],4,FALSE)</f>
        <v>2217.6</v>
      </c>
      <c r="N2107" t="str">
        <f>VLOOKUP(A2107,Hospitalisation_Details__2[],5,FALSE)</f>
        <v>tier - 2</v>
      </c>
      <c r="O2107" t="str">
        <f>VLOOKUP(A2107,Hospitalisation_Details__2[],6,FALSE)</f>
        <v>tier - 1</v>
      </c>
      <c r="P2107" t="str">
        <f>VLOOKUP(A2107,Hospitalisation_Details__2[],7,FALSE)</f>
        <v>R1024</v>
      </c>
    </row>
    <row r="2108" spans="1:16" x14ac:dyDescent="0.35">
      <c r="A2108" t="str">
        <v>Id2107</v>
      </c>
      <c r="B2108" t="str">
        <f>VLOOKUP(A2108,'Customer Names (2)'!A:B, 2,FALSE)</f>
        <v>Ms</v>
      </c>
      <c r="C2108">
        <f>VLOOKUP(A2108,Medical_Examinations[],2,FALSE)</f>
        <v>40.185000000000002</v>
      </c>
      <c r="D2108">
        <f>VLOOKUP(A2108,Medical_Examinations[],3,FALSE)</f>
        <v>4.66</v>
      </c>
      <c r="E2108" t="str">
        <f>VLOOKUP(A2108,Medical_Examinations[],4,FALSE)</f>
        <v>No</v>
      </c>
      <c r="F2108" t="str">
        <f>VLOOKUP(A2108,Medical_Examinations[],5,FALSE)</f>
        <v>yes</v>
      </c>
      <c r="G2108" t="str">
        <f>VLOOKUP(A2108,Medical_Examinations[],6,FALSE)</f>
        <v>No</v>
      </c>
      <c r="H2108">
        <f>VLOOKUP(A2108,Medical_Examinations[],7,FALSE)</f>
        <v>1</v>
      </c>
      <c r="I2108" t="str">
        <f>VLOOKUP(A2108,Medical_Examinations[],8,FALSE)</f>
        <v>No</v>
      </c>
      <c r="J2108" t="str">
        <f>VLOOKUP(A2108,Medical_Examinations[],9,FALSE)</f>
        <v>Obesity</v>
      </c>
      <c r="K2108" t="str">
        <f>VLOOKUP(A2108,Medical_Examinations[],10,FALSE)</f>
        <v>Normal</v>
      </c>
      <c r="M2108">
        <f>VLOOKUP(A2108,Hospitalisation_Details__2[],4,FALSE)</f>
        <v>2217.4699999999998</v>
      </c>
      <c r="N2108" t="str">
        <f>VLOOKUP(A2108,Hospitalisation_Details__2[],5,FALSE)</f>
        <v>tier - 2</v>
      </c>
      <c r="O2108" t="str">
        <f>VLOOKUP(A2108,Hospitalisation_Details__2[],6,FALSE)</f>
        <v>tier - 1</v>
      </c>
      <c r="P2108" t="str">
        <f>VLOOKUP(A2108,Hospitalisation_Details__2[],7,FALSE)</f>
        <v>R1024</v>
      </c>
    </row>
    <row r="2109" spans="1:16" x14ac:dyDescent="0.35">
      <c r="A2109" t="str">
        <v>Id2108</v>
      </c>
      <c r="B2109" t="str">
        <f>VLOOKUP(A2109,'Customer Names (2)'!A:B, 2,FALSE)</f>
        <v>Ms</v>
      </c>
      <c r="C2109">
        <f>VLOOKUP(A2109,Medical_Examinations[],2,FALSE)</f>
        <v>23.57</v>
      </c>
      <c r="D2109">
        <f>VLOOKUP(A2109,Medical_Examinations[],3,FALSE)</f>
        <v>6.14</v>
      </c>
      <c r="E2109" t="str">
        <f>VLOOKUP(A2109,Medical_Examinations[],4,FALSE)</f>
        <v>No</v>
      </c>
      <c r="F2109" t="str">
        <f>VLOOKUP(A2109,Medical_Examinations[],5,FALSE)</f>
        <v>No</v>
      </c>
      <c r="G2109" t="str">
        <f>VLOOKUP(A2109,Medical_Examinations[],6,FALSE)</f>
        <v>No</v>
      </c>
      <c r="H2109">
        <f>VLOOKUP(A2109,Medical_Examinations[],7,FALSE)</f>
        <v>0</v>
      </c>
      <c r="I2109" t="str">
        <f>VLOOKUP(A2109,Medical_Examinations[],8,FALSE)</f>
        <v>No</v>
      </c>
      <c r="J2109" t="str">
        <f>VLOOKUP(A2109,Medical_Examinations[],9,FALSE)</f>
        <v>Normal Weight</v>
      </c>
      <c r="K2109" t="str">
        <f>VLOOKUP(A2109,Medical_Examinations[],10,FALSE)</f>
        <v>Prediabetes</v>
      </c>
      <c r="M2109">
        <f>VLOOKUP(A2109,Hospitalisation_Details__2[],4,FALSE)</f>
        <v>2213.21</v>
      </c>
      <c r="N2109" t="str">
        <f>VLOOKUP(A2109,Hospitalisation_Details__2[],5,FALSE)</f>
        <v>tier - 2</v>
      </c>
      <c r="O2109" t="str">
        <f>VLOOKUP(A2109,Hospitalisation_Details__2[],6,FALSE)</f>
        <v>tier - 2</v>
      </c>
      <c r="P2109" t="str">
        <f>VLOOKUP(A2109,Hospitalisation_Details__2[],7,FALSE)</f>
        <v>R1013</v>
      </c>
    </row>
    <row r="2110" spans="1:16" x14ac:dyDescent="0.35">
      <c r="A2110" t="str">
        <v>Id2109</v>
      </c>
      <c r="B2110" t="str">
        <f>VLOOKUP(A2110,'Customer Names (2)'!A:B, 2,FALSE)</f>
        <v>Ms</v>
      </c>
      <c r="C2110">
        <f>VLOOKUP(A2110,Medical_Examinations[],2,FALSE)</f>
        <v>35.625</v>
      </c>
      <c r="D2110">
        <f>VLOOKUP(A2110,Medical_Examinations[],3,FALSE)</f>
        <v>6.21</v>
      </c>
      <c r="E2110" t="str">
        <f>VLOOKUP(A2110,Medical_Examinations[],4,FALSE)</f>
        <v>No</v>
      </c>
      <c r="F2110" t="str">
        <f>VLOOKUP(A2110,Medical_Examinations[],5,FALSE)</f>
        <v>yes</v>
      </c>
      <c r="G2110" t="str">
        <f>VLOOKUP(A2110,Medical_Examinations[],6,FALSE)</f>
        <v>No</v>
      </c>
      <c r="H2110">
        <f>VLOOKUP(A2110,Medical_Examinations[],7,FALSE)</f>
        <v>1</v>
      </c>
      <c r="I2110" t="str">
        <f>VLOOKUP(A2110,Medical_Examinations[],8,FALSE)</f>
        <v>No</v>
      </c>
      <c r="J2110" t="str">
        <f>VLOOKUP(A2110,Medical_Examinations[],9,FALSE)</f>
        <v>Obesity</v>
      </c>
      <c r="K2110" t="str">
        <f>VLOOKUP(A2110,Medical_Examinations[],10,FALSE)</f>
        <v>Prediabetes</v>
      </c>
      <c r="M2110">
        <f>VLOOKUP(A2110,Hospitalisation_Details__2[],4,FALSE)</f>
        <v>2211.13</v>
      </c>
      <c r="N2110" t="str">
        <f>VLOOKUP(A2110,Hospitalisation_Details__2[],5,FALSE)</f>
        <v>tier - 2</v>
      </c>
      <c r="O2110" t="str">
        <f>VLOOKUP(A2110,Hospitalisation_Details__2[],6,FALSE)</f>
        <v>tier - 2</v>
      </c>
      <c r="P2110" t="str">
        <f>VLOOKUP(A2110,Hospitalisation_Details__2[],7,FALSE)</f>
        <v>R1024</v>
      </c>
    </row>
    <row r="2111" spans="1:16" x14ac:dyDescent="0.35">
      <c r="A2111" t="str">
        <v>Id2110</v>
      </c>
      <c r="B2111" t="str">
        <f>VLOOKUP(A2111,'Customer Names (2)'!A:B, 2,FALSE)</f>
        <v>Ms</v>
      </c>
      <c r="C2111">
        <f>VLOOKUP(A2111,Medical_Examinations[],2,FALSE)</f>
        <v>33.155000000000001</v>
      </c>
      <c r="D2111">
        <f>VLOOKUP(A2111,Medical_Examinations[],3,FALSE)</f>
        <v>4.5999999999999996</v>
      </c>
      <c r="E2111" t="str">
        <f>VLOOKUP(A2111,Medical_Examinations[],4,FALSE)</f>
        <v>No</v>
      </c>
      <c r="F2111" t="str">
        <f>VLOOKUP(A2111,Medical_Examinations[],5,FALSE)</f>
        <v>yes</v>
      </c>
      <c r="G2111" t="str">
        <f>VLOOKUP(A2111,Medical_Examinations[],6,FALSE)</f>
        <v>No</v>
      </c>
      <c r="H2111">
        <f>VLOOKUP(A2111,Medical_Examinations[],7,FALSE)</f>
        <v>1</v>
      </c>
      <c r="I2111" t="str">
        <f>VLOOKUP(A2111,Medical_Examinations[],8,FALSE)</f>
        <v>No</v>
      </c>
      <c r="J2111" t="str">
        <f>VLOOKUP(A2111,Medical_Examinations[],9,FALSE)</f>
        <v>Obesity</v>
      </c>
      <c r="K2111" t="str">
        <f>VLOOKUP(A2111,Medical_Examinations[],10,FALSE)</f>
        <v>Normal</v>
      </c>
      <c r="M2111">
        <f>VLOOKUP(A2111,Hospitalisation_Details__2[],4,FALSE)</f>
        <v>2207.6999999999998</v>
      </c>
      <c r="N2111" t="str">
        <f>VLOOKUP(A2111,Hospitalisation_Details__2[],5,FALSE)</f>
        <v>tier - 2</v>
      </c>
      <c r="O2111" t="str">
        <f>VLOOKUP(A2111,Hospitalisation_Details__2[],6,FALSE)</f>
        <v>tier - 2</v>
      </c>
      <c r="P2111" t="str">
        <f>VLOOKUP(A2111,Hospitalisation_Details__2[],7,FALSE)</f>
        <v>R1024</v>
      </c>
    </row>
    <row r="2112" spans="1:16" x14ac:dyDescent="0.35">
      <c r="A2112" t="str">
        <v>Id2111</v>
      </c>
      <c r="B2112" t="str">
        <f>VLOOKUP(A2112,'Customer Names (2)'!A:B, 2,FALSE)</f>
        <v>Ms</v>
      </c>
      <c r="C2112">
        <f>VLOOKUP(A2112,Medical_Examinations[],2,FALSE)</f>
        <v>31.92</v>
      </c>
      <c r="D2112">
        <f>VLOOKUP(A2112,Medical_Examinations[],3,FALSE)</f>
        <v>5.04</v>
      </c>
      <c r="E2112" t="str">
        <f>VLOOKUP(A2112,Medical_Examinations[],4,FALSE)</f>
        <v>No</v>
      </c>
      <c r="F2112" t="str">
        <f>VLOOKUP(A2112,Medical_Examinations[],5,FALSE)</f>
        <v>yes</v>
      </c>
      <c r="G2112" t="str">
        <f>VLOOKUP(A2112,Medical_Examinations[],6,FALSE)</f>
        <v>No</v>
      </c>
      <c r="H2112">
        <f>VLOOKUP(A2112,Medical_Examinations[],7,FALSE)</f>
        <v>1</v>
      </c>
      <c r="I2112" t="str">
        <f>VLOOKUP(A2112,Medical_Examinations[],8,FALSE)</f>
        <v>No</v>
      </c>
      <c r="J2112" t="str">
        <f>VLOOKUP(A2112,Medical_Examinations[],9,FALSE)</f>
        <v>Obesity</v>
      </c>
      <c r="K2112" t="str">
        <f>VLOOKUP(A2112,Medical_Examinations[],10,FALSE)</f>
        <v>Normal</v>
      </c>
      <c r="M2112">
        <f>VLOOKUP(A2112,Hospitalisation_Details__2[],4,FALSE)</f>
        <v>2205.98</v>
      </c>
      <c r="N2112" t="str">
        <f>VLOOKUP(A2112,Hospitalisation_Details__2[],5,FALSE)</f>
        <v>tier - 2</v>
      </c>
      <c r="O2112" t="str">
        <f>VLOOKUP(A2112,Hospitalisation_Details__2[],6,FALSE)</f>
        <v>tier - 3</v>
      </c>
      <c r="P2112" t="str">
        <f>VLOOKUP(A2112,Hospitalisation_Details__2[],7,FALSE)</f>
        <v>R1024</v>
      </c>
    </row>
    <row r="2113" spans="1:16" x14ac:dyDescent="0.35">
      <c r="A2113" t="str">
        <v>Id2112</v>
      </c>
      <c r="B2113" t="str">
        <f>VLOOKUP(A2113,'Customer Names (2)'!A:B, 2,FALSE)</f>
        <v>Ms</v>
      </c>
      <c r="C2113">
        <f>VLOOKUP(A2113,Medical_Examinations[],2,FALSE)</f>
        <v>30.305</v>
      </c>
      <c r="D2113">
        <f>VLOOKUP(A2113,Medical_Examinations[],3,FALSE)</f>
        <v>5.08</v>
      </c>
      <c r="E2113" t="str">
        <f>VLOOKUP(A2113,Medical_Examinations[],4,FALSE)</f>
        <v>No</v>
      </c>
      <c r="F2113" t="str">
        <f>VLOOKUP(A2113,Medical_Examinations[],5,FALSE)</f>
        <v>yes</v>
      </c>
      <c r="G2113" t="str">
        <f>VLOOKUP(A2113,Medical_Examinations[],6,FALSE)</f>
        <v>No</v>
      </c>
      <c r="H2113">
        <f>VLOOKUP(A2113,Medical_Examinations[],7,FALSE)</f>
        <v>1</v>
      </c>
      <c r="I2113" t="str">
        <f>VLOOKUP(A2113,Medical_Examinations[],8,FALSE)</f>
        <v>No</v>
      </c>
      <c r="J2113" t="str">
        <f>VLOOKUP(A2113,Medical_Examinations[],9,FALSE)</f>
        <v>Obesity</v>
      </c>
      <c r="K2113" t="str">
        <f>VLOOKUP(A2113,Medical_Examinations[],10,FALSE)</f>
        <v>Normal</v>
      </c>
      <c r="M2113">
        <f>VLOOKUP(A2113,Hospitalisation_Details__2[],4,FALSE)</f>
        <v>2203.7399999999998</v>
      </c>
      <c r="N2113" t="str">
        <f>VLOOKUP(A2113,Hospitalisation_Details__2[],5,FALSE)</f>
        <v>tier - 2</v>
      </c>
      <c r="O2113" t="str">
        <f>VLOOKUP(A2113,Hospitalisation_Details__2[],6,FALSE)</f>
        <v>tier - 2</v>
      </c>
      <c r="P2113" t="str">
        <f>VLOOKUP(A2113,Hospitalisation_Details__2[],7,FALSE)</f>
        <v>R1024</v>
      </c>
    </row>
    <row r="2114" spans="1:16" x14ac:dyDescent="0.35">
      <c r="A2114" t="str">
        <v>Id2113</v>
      </c>
      <c r="B2114" t="str">
        <f>VLOOKUP(A2114,'Customer Names (2)'!A:B, 2,FALSE)</f>
        <v>Ms</v>
      </c>
      <c r="C2114">
        <f>VLOOKUP(A2114,Medical_Examinations[],2,FALSE)</f>
        <v>30.114999999999998</v>
      </c>
      <c r="D2114">
        <f>VLOOKUP(A2114,Medical_Examinations[],3,FALSE)</f>
        <v>4.38</v>
      </c>
      <c r="E2114" t="str">
        <f>VLOOKUP(A2114,Medical_Examinations[],4,FALSE)</f>
        <v>No</v>
      </c>
      <c r="F2114" t="str">
        <f>VLOOKUP(A2114,Medical_Examinations[],5,FALSE)</f>
        <v>yes</v>
      </c>
      <c r="G2114" t="str">
        <f>VLOOKUP(A2114,Medical_Examinations[],6,FALSE)</f>
        <v>No</v>
      </c>
      <c r="H2114">
        <f>VLOOKUP(A2114,Medical_Examinations[],7,FALSE)</f>
        <v>1</v>
      </c>
      <c r="I2114" t="str">
        <f>VLOOKUP(A2114,Medical_Examinations[],8,FALSE)</f>
        <v>No</v>
      </c>
      <c r="J2114" t="str">
        <f>VLOOKUP(A2114,Medical_Examinations[],9,FALSE)</f>
        <v>Obesity</v>
      </c>
      <c r="K2114" t="str">
        <f>VLOOKUP(A2114,Medical_Examinations[],10,FALSE)</f>
        <v>Normal</v>
      </c>
      <c r="M2114">
        <f>VLOOKUP(A2114,Hospitalisation_Details__2[],4,FALSE)</f>
        <v>2203.4699999999998</v>
      </c>
      <c r="N2114" t="str">
        <f>VLOOKUP(A2114,Hospitalisation_Details__2[],5,FALSE)</f>
        <v>tier - 2</v>
      </c>
      <c r="O2114" t="str">
        <f>VLOOKUP(A2114,Hospitalisation_Details__2[],6,FALSE)</f>
        <v>tier - 2</v>
      </c>
      <c r="P2114" t="str">
        <f>VLOOKUP(A2114,Hospitalisation_Details__2[],7,FALSE)</f>
        <v>R1024</v>
      </c>
    </row>
    <row r="2115" spans="1:16" x14ac:dyDescent="0.35">
      <c r="A2115" t="str">
        <v>Id2114</v>
      </c>
      <c r="B2115" t="str">
        <f>VLOOKUP(A2115,'Customer Names (2)'!A:B, 2,FALSE)</f>
        <v>Ms</v>
      </c>
      <c r="C2115">
        <f>VLOOKUP(A2115,Medical_Examinations[],2,FALSE)</f>
        <v>24.09</v>
      </c>
      <c r="D2115">
        <f>VLOOKUP(A2115,Medical_Examinations[],3,FALSE)</f>
        <v>4.79</v>
      </c>
      <c r="E2115" t="str">
        <f>VLOOKUP(A2115,Medical_Examinations[],4,FALSE)</f>
        <v>No</v>
      </c>
      <c r="F2115" t="str">
        <f>VLOOKUP(A2115,Medical_Examinations[],5,FALSE)</f>
        <v>yes</v>
      </c>
      <c r="G2115" t="str">
        <f>VLOOKUP(A2115,Medical_Examinations[],6,FALSE)</f>
        <v>No</v>
      </c>
      <c r="H2115">
        <f>VLOOKUP(A2115,Medical_Examinations[],7,FALSE)</f>
        <v>1</v>
      </c>
      <c r="I2115" t="str">
        <f>VLOOKUP(A2115,Medical_Examinations[],8,FALSE)</f>
        <v>No</v>
      </c>
      <c r="J2115" t="str">
        <f>VLOOKUP(A2115,Medical_Examinations[],9,FALSE)</f>
        <v>Normal Weight</v>
      </c>
      <c r="K2115" t="str">
        <f>VLOOKUP(A2115,Medical_Examinations[],10,FALSE)</f>
        <v>Normal</v>
      </c>
      <c r="M2115">
        <f>VLOOKUP(A2115,Hospitalisation_Details__2[],4,FALSE)</f>
        <v>2201.1</v>
      </c>
      <c r="N2115" t="str">
        <f>VLOOKUP(A2115,Hospitalisation_Details__2[],5,FALSE)</f>
        <v>tier - 2</v>
      </c>
      <c r="O2115" t="str">
        <f>VLOOKUP(A2115,Hospitalisation_Details__2[],6,FALSE)</f>
        <v>tier - 3</v>
      </c>
      <c r="P2115" t="str">
        <f>VLOOKUP(A2115,Hospitalisation_Details__2[],7,FALSE)</f>
        <v>R1013</v>
      </c>
    </row>
    <row r="2116" spans="1:16" x14ac:dyDescent="0.35">
      <c r="A2116" t="str">
        <v>Id2115</v>
      </c>
      <c r="B2116" t="str">
        <f>VLOOKUP(A2116,'Customer Names (2)'!A:B, 2,FALSE)</f>
        <v>Ms</v>
      </c>
      <c r="C2116">
        <f>VLOOKUP(A2116,Medical_Examinations[],2,FALSE)</f>
        <v>28.215</v>
      </c>
      <c r="D2116">
        <f>VLOOKUP(A2116,Medical_Examinations[],3,FALSE)</f>
        <v>4.21</v>
      </c>
      <c r="E2116" t="str">
        <f>VLOOKUP(A2116,Medical_Examinations[],4,FALSE)</f>
        <v>No</v>
      </c>
      <c r="F2116" t="str">
        <f>VLOOKUP(A2116,Medical_Examinations[],5,FALSE)</f>
        <v>yes</v>
      </c>
      <c r="G2116" t="str">
        <f>VLOOKUP(A2116,Medical_Examinations[],6,FALSE)</f>
        <v>No</v>
      </c>
      <c r="H2116">
        <f>VLOOKUP(A2116,Medical_Examinations[],7,FALSE)</f>
        <v>1</v>
      </c>
      <c r="I2116" t="str">
        <f>VLOOKUP(A2116,Medical_Examinations[],8,FALSE)</f>
        <v>No</v>
      </c>
      <c r="J2116" t="str">
        <f>VLOOKUP(A2116,Medical_Examinations[],9,FALSE)</f>
        <v>Overweight</v>
      </c>
      <c r="K2116" t="str">
        <f>VLOOKUP(A2116,Medical_Examinations[],10,FALSE)</f>
        <v>Normal</v>
      </c>
      <c r="M2116">
        <f>VLOOKUP(A2116,Hospitalisation_Details__2[],4,FALSE)</f>
        <v>2200.83</v>
      </c>
      <c r="N2116" t="str">
        <f>VLOOKUP(A2116,Hospitalisation_Details__2[],5,FALSE)</f>
        <v>tier - 2</v>
      </c>
      <c r="O2116" t="str">
        <f>VLOOKUP(A2116,Hospitalisation_Details__2[],6,FALSE)</f>
        <v>tier - 2</v>
      </c>
      <c r="P2116" t="str">
        <f>VLOOKUP(A2116,Hospitalisation_Details__2[],7,FALSE)</f>
        <v>R1024</v>
      </c>
    </row>
    <row r="2117" spans="1:16" x14ac:dyDescent="0.35">
      <c r="A2117" t="str">
        <v>Id2116</v>
      </c>
      <c r="B2117" t="str">
        <f>VLOOKUP(A2117,'Customer Names (2)'!A:B, 2,FALSE)</f>
        <v>Ms</v>
      </c>
      <c r="C2117">
        <f>VLOOKUP(A2117,Medical_Examinations[],2,FALSE)</f>
        <v>26.315000000000001</v>
      </c>
      <c r="D2117">
        <f>VLOOKUP(A2117,Medical_Examinations[],3,FALSE)</f>
        <v>5.47</v>
      </c>
      <c r="E2117" t="str">
        <f>VLOOKUP(A2117,Medical_Examinations[],4,FALSE)</f>
        <v>No</v>
      </c>
      <c r="F2117" t="str">
        <f>VLOOKUP(A2117,Medical_Examinations[],5,FALSE)</f>
        <v>yes</v>
      </c>
      <c r="G2117" t="str">
        <f>VLOOKUP(A2117,Medical_Examinations[],6,FALSE)</f>
        <v>No</v>
      </c>
      <c r="H2117">
        <f>VLOOKUP(A2117,Medical_Examinations[],7,FALSE)</f>
        <v>1</v>
      </c>
      <c r="I2117" t="str">
        <f>VLOOKUP(A2117,Medical_Examinations[],8,FALSE)</f>
        <v>No</v>
      </c>
      <c r="J2117" t="str">
        <f>VLOOKUP(A2117,Medical_Examinations[],9,FALSE)</f>
        <v>Overweight</v>
      </c>
      <c r="K2117" t="str">
        <f>VLOOKUP(A2117,Medical_Examinations[],10,FALSE)</f>
        <v>Normal</v>
      </c>
      <c r="M2117">
        <f>VLOOKUP(A2117,Hospitalisation_Details__2[],4,FALSE)</f>
        <v>2198.19</v>
      </c>
      <c r="N2117" t="str">
        <f>VLOOKUP(A2117,Hospitalisation_Details__2[],5,FALSE)</f>
        <v>tier - 2</v>
      </c>
      <c r="O2117" t="str">
        <f>VLOOKUP(A2117,Hospitalisation_Details__2[],6,FALSE)</f>
        <v>tier - 1</v>
      </c>
      <c r="P2117" t="str">
        <f>VLOOKUP(A2117,Hospitalisation_Details__2[],7,FALSE)</f>
        <v>R1023</v>
      </c>
    </row>
    <row r="2118" spans="1:16" x14ac:dyDescent="0.35">
      <c r="A2118" t="str">
        <v>Id2117</v>
      </c>
      <c r="B2118" t="str">
        <f>VLOOKUP(A2118,'Customer Names (2)'!A:B, 2,FALSE)</f>
        <v>Ms</v>
      </c>
      <c r="C2118">
        <f>VLOOKUP(A2118,Medical_Examinations[],2,FALSE)</f>
        <v>25.08</v>
      </c>
      <c r="D2118">
        <f>VLOOKUP(A2118,Medical_Examinations[],3,FALSE)</f>
        <v>5.09</v>
      </c>
      <c r="E2118" t="str">
        <f>VLOOKUP(A2118,Medical_Examinations[],4,FALSE)</f>
        <v>No</v>
      </c>
      <c r="F2118" t="str">
        <f>VLOOKUP(A2118,Medical_Examinations[],5,FALSE)</f>
        <v>yes</v>
      </c>
      <c r="G2118" t="str">
        <f>VLOOKUP(A2118,Medical_Examinations[],6,FALSE)</f>
        <v>No</v>
      </c>
      <c r="H2118">
        <f>VLOOKUP(A2118,Medical_Examinations[],7,FALSE)</f>
        <v>1</v>
      </c>
      <c r="I2118" t="str">
        <f>VLOOKUP(A2118,Medical_Examinations[],8,FALSE)</f>
        <v>No</v>
      </c>
      <c r="J2118" t="str">
        <f>VLOOKUP(A2118,Medical_Examinations[],9,FALSE)</f>
        <v>Overweight</v>
      </c>
      <c r="K2118" t="str">
        <f>VLOOKUP(A2118,Medical_Examinations[],10,FALSE)</f>
        <v>Normal</v>
      </c>
      <c r="M2118">
        <f>VLOOKUP(A2118,Hospitalisation_Details__2[],4,FALSE)</f>
        <v>2196.4699999999998</v>
      </c>
      <c r="N2118" t="str">
        <f>VLOOKUP(A2118,Hospitalisation_Details__2[],5,FALSE)</f>
        <v>tier - 2</v>
      </c>
      <c r="O2118" t="str">
        <f>VLOOKUP(A2118,Hospitalisation_Details__2[],6,FALSE)</f>
        <v>tier - 3</v>
      </c>
      <c r="P2118" t="str">
        <f>VLOOKUP(A2118,Hospitalisation_Details__2[],7,FALSE)</f>
        <v>R1024</v>
      </c>
    </row>
    <row r="2119" spans="1:16" x14ac:dyDescent="0.35">
      <c r="A2119" t="str">
        <v>Id2118</v>
      </c>
      <c r="B2119" t="str">
        <f>VLOOKUP(A2119,'Customer Names (2)'!A:B, 2,FALSE)</f>
        <v>Mr</v>
      </c>
      <c r="C2119">
        <f>VLOOKUP(A2119,Medical_Examinations[],2,FALSE)</f>
        <v>15.41</v>
      </c>
      <c r="D2119">
        <f>VLOOKUP(A2119,Medical_Examinations[],3,FALSE)</f>
        <v>5.08</v>
      </c>
      <c r="E2119" t="str">
        <f>VLOOKUP(A2119,Medical_Examinations[],4,FALSE)</f>
        <v>No</v>
      </c>
      <c r="F2119" t="str">
        <f>VLOOKUP(A2119,Medical_Examinations[],5,FALSE)</f>
        <v>No</v>
      </c>
      <c r="G2119" t="str">
        <f>VLOOKUP(A2119,Medical_Examinations[],6,FALSE)</f>
        <v>No</v>
      </c>
      <c r="H2119">
        <f>VLOOKUP(A2119,Medical_Examinations[],7,FALSE)</f>
        <v>0</v>
      </c>
      <c r="I2119" t="str">
        <f>VLOOKUP(A2119,Medical_Examinations[],8,FALSE)</f>
        <v>No</v>
      </c>
      <c r="J2119" t="str">
        <f>VLOOKUP(A2119,Medical_Examinations[],9,FALSE)</f>
        <v>Underweight</v>
      </c>
      <c r="K2119" t="str">
        <f>VLOOKUP(A2119,Medical_Examinations[],10,FALSE)</f>
        <v>Normal</v>
      </c>
      <c r="M2119">
        <f>VLOOKUP(A2119,Hospitalisation_Details__2[],4,FALSE)</f>
        <v>2193.1999999999998</v>
      </c>
      <c r="N2119" t="str">
        <f>VLOOKUP(A2119,Hospitalisation_Details__2[],5,FALSE)</f>
        <v>tier - 2</v>
      </c>
      <c r="O2119" t="str">
        <f>VLOOKUP(A2119,Hospitalisation_Details__2[],6,FALSE)</f>
        <v>tier - 2</v>
      </c>
      <c r="P2119" t="str">
        <f>VLOOKUP(A2119,Hospitalisation_Details__2[],7,FALSE)</f>
        <v>R1012</v>
      </c>
    </row>
    <row r="2120" spans="1:16" x14ac:dyDescent="0.35">
      <c r="A2120" t="str">
        <v>Id2119</v>
      </c>
      <c r="B2120" t="str">
        <f>VLOOKUP(A2120,'Customer Names (2)'!A:B, 2,FALSE)</f>
        <v>Mr</v>
      </c>
      <c r="C2120">
        <f>VLOOKUP(A2120,Medical_Examinations[],2,FALSE)</f>
        <v>23.83</v>
      </c>
      <c r="D2120">
        <f>VLOOKUP(A2120,Medical_Examinations[],3,FALSE)</f>
        <v>5.68</v>
      </c>
      <c r="E2120" t="str">
        <f>VLOOKUP(A2120,Medical_Examinations[],4,FALSE)</f>
        <v>No</v>
      </c>
      <c r="F2120" t="str">
        <f>VLOOKUP(A2120,Medical_Examinations[],5,FALSE)</f>
        <v>No</v>
      </c>
      <c r="G2120" t="str">
        <f>VLOOKUP(A2120,Medical_Examinations[],6,FALSE)</f>
        <v>No</v>
      </c>
      <c r="H2120">
        <f>VLOOKUP(A2120,Medical_Examinations[],7,FALSE)</f>
        <v>0</v>
      </c>
      <c r="I2120" t="str">
        <f>VLOOKUP(A2120,Medical_Examinations[],8,FALSE)</f>
        <v>No</v>
      </c>
      <c r="J2120" t="str">
        <f>VLOOKUP(A2120,Medical_Examinations[],9,FALSE)</f>
        <v>Normal Weight</v>
      </c>
      <c r="K2120" t="str">
        <f>VLOOKUP(A2120,Medical_Examinations[],10,FALSE)</f>
        <v>Normal</v>
      </c>
      <c r="M2120">
        <f>VLOOKUP(A2120,Hospitalisation_Details__2[],4,FALSE)</f>
        <v>2170.08</v>
      </c>
      <c r="N2120" t="str">
        <f>VLOOKUP(A2120,Hospitalisation_Details__2[],5,FALSE)</f>
        <v>tier - 2</v>
      </c>
      <c r="O2120" t="str">
        <f>VLOOKUP(A2120,Hospitalisation_Details__2[],6,FALSE)</f>
        <v>tier - 2</v>
      </c>
      <c r="P2120" t="str">
        <f>VLOOKUP(A2120,Hospitalisation_Details__2[],7,FALSE)</f>
        <v>R1013</v>
      </c>
    </row>
    <row r="2121" spans="1:16" x14ac:dyDescent="0.35">
      <c r="A2121" t="str">
        <v>Id2120</v>
      </c>
      <c r="B2121" t="str">
        <f>VLOOKUP(A2121,'Customer Names (2)'!A:B, 2,FALSE)</f>
        <v>Ms</v>
      </c>
      <c r="C2121">
        <f>VLOOKUP(A2121,Medical_Examinations[],2,FALSE)</f>
        <v>36</v>
      </c>
      <c r="D2121">
        <f>VLOOKUP(A2121,Medical_Examinations[],3,FALSE)</f>
        <v>4.66</v>
      </c>
      <c r="E2121" t="str">
        <f>VLOOKUP(A2121,Medical_Examinations[],4,FALSE)</f>
        <v>No</v>
      </c>
      <c r="F2121" t="str">
        <f>VLOOKUP(A2121,Medical_Examinations[],5,FALSE)</f>
        <v>yes</v>
      </c>
      <c r="G2121" t="str">
        <f>VLOOKUP(A2121,Medical_Examinations[],6,FALSE)</f>
        <v>No</v>
      </c>
      <c r="H2121">
        <f>VLOOKUP(A2121,Medical_Examinations[],7,FALSE)</f>
        <v>1</v>
      </c>
      <c r="I2121" t="str">
        <f>VLOOKUP(A2121,Medical_Examinations[],8,FALSE)</f>
        <v>No</v>
      </c>
      <c r="J2121" t="str">
        <f>VLOOKUP(A2121,Medical_Examinations[],9,FALSE)</f>
        <v>Obesity</v>
      </c>
      <c r="K2121" t="str">
        <f>VLOOKUP(A2121,Medical_Examinations[],10,FALSE)</f>
        <v>Normal</v>
      </c>
      <c r="M2121">
        <f>VLOOKUP(A2121,Hospitalisation_Details__2[],4,FALSE)</f>
        <v>2166.73</v>
      </c>
      <c r="N2121" t="str">
        <f>VLOOKUP(A2121,Hospitalisation_Details__2[],5,FALSE)</f>
        <v>tier - 2</v>
      </c>
      <c r="O2121" t="str">
        <f>VLOOKUP(A2121,Hospitalisation_Details__2[],6,FALSE)</f>
        <v>tier - 2</v>
      </c>
      <c r="P2121" t="str">
        <f>VLOOKUP(A2121,Hospitalisation_Details__2[],7,FALSE)</f>
        <v>R1011</v>
      </c>
    </row>
    <row r="2122" spans="1:16" x14ac:dyDescent="0.35">
      <c r="A2122" t="str">
        <v>Id2121</v>
      </c>
      <c r="B2122" t="str">
        <f>VLOOKUP(A2122,'Customer Names (2)'!A:B, 2,FALSE)</f>
        <v>Ms</v>
      </c>
      <c r="C2122">
        <f>VLOOKUP(A2122,Medical_Examinations[],2,FALSE)</f>
        <v>28.82</v>
      </c>
      <c r="D2122">
        <f>VLOOKUP(A2122,Medical_Examinations[],3,FALSE)</f>
        <v>5.59</v>
      </c>
      <c r="E2122" t="str">
        <f>VLOOKUP(A2122,Medical_Examinations[],4,FALSE)</f>
        <v>No</v>
      </c>
      <c r="F2122" t="str">
        <f>VLOOKUP(A2122,Medical_Examinations[],5,FALSE)</f>
        <v>yes</v>
      </c>
      <c r="G2122" t="str">
        <f>VLOOKUP(A2122,Medical_Examinations[],6,FALSE)</f>
        <v>No</v>
      </c>
      <c r="H2122">
        <f>VLOOKUP(A2122,Medical_Examinations[],7,FALSE)</f>
        <v>1</v>
      </c>
      <c r="I2122" t="str">
        <f>VLOOKUP(A2122,Medical_Examinations[],8,FALSE)</f>
        <v>No</v>
      </c>
      <c r="J2122" t="str">
        <f>VLOOKUP(A2122,Medical_Examinations[],9,FALSE)</f>
        <v>Overweight</v>
      </c>
      <c r="K2122" t="str">
        <f>VLOOKUP(A2122,Medical_Examinations[],10,FALSE)</f>
        <v>Normal</v>
      </c>
      <c r="M2122">
        <f>VLOOKUP(A2122,Hospitalisation_Details__2[],4,FALSE)</f>
        <v>2156.75</v>
      </c>
      <c r="N2122" t="str">
        <f>VLOOKUP(A2122,Hospitalisation_Details__2[],5,FALSE)</f>
        <v>tier - 2</v>
      </c>
      <c r="O2122" t="str">
        <f>VLOOKUP(A2122,Hospitalisation_Details__2[],6,FALSE)</f>
        <v>tier - 2</v>
      </c>
      <c r="P2122" t="str">
        <f>VLOOKUP(A2122,Hospitalisation_Details__2[],7,FALSE)</f>
        <v>R1013</v>
      </c>
    </row>
    <row r="2123" spans="1:16" x14ac:dyDescent="0.35">
      <c r="A2123" t="str">
        <v>Id2122</v>
      </c>
      <c r="B2123" t="str">
        <f>VLOOKUP(A2123,'Customer Names (2)'!A:B, 2,FALSE)</f>
        <v>Ms</v>
      </c>
      <c r="C2123">
        <f>VLOOKUP(A2123,Medical_Examinations[],2,FALSE)</f>
        <v>28.05</v>
      </c>
      <c r="D2123">
        <f>VLOOKUP(A2123,Medical_Examinations[],3,FALSE)</f>
        <v>6.2</v>
      </c>
      <c r="E2123" t="str">
        <f>VLOOKUP(A2123,Medical_Examinations[],4,FALSE)</f>
        <v>No</v>
      </c>
      <c r="F2123" t="str">
        <f>VLOOKUP(A2123,Medical_Examinations[],5,FALSE)</f>
        <v>yes</v>
      </c>
      <c r="G2123" t="str">
        <f>VLOOKUP(A2123,Medical_Examinations[],6,FALSE)</f>
        <v>No</v>
      </c>
      <c r="H2123">
        <f>VLOOKUP(A2123,Medical_Examinations[],7,FALSE)</f>
        <v>1</v>
      </c>
      <c r="I2123" t="str">
        <f>VLOOKUP(A2123,Medical_Examinations[],8,FALSE)</f>
        <v>No</v>
      </c>
      <c r="J2123" t="str">
        <f>VLOOKUP(A2123,Medical_Examinations[],9,FALSE)</f>
        <v>Overweight</v>
      </c>
      <c r="K2123" t="str">
        <f>VLOOKUP(A2123,Medical_Examinations[],10,FALSE)</f>
        <v>Prediabetes</v>
      </c>
      <c r="M2123">
        <f>VLOOKUP(A2123,Hospitalisation_Details__2[],4,FALSE)</f>
        <v>2155.6799999999998</v>
      </c>
      <c r="N2123" t="str">
        <f>VLOOKUP(A2123,Hospitalisation_Details__2[],5,FALSE)</f>
        <v>tier - 2</v>
      </c>
      <c r="O2123" t="str">
        <f>VLOOKUP(A2123,Hospitalisation_Details__2[],6,FALSE)</f>
        <v>tier - 3</v>
      </c>
      <c r="P2123" t="str">
        <f>VLOOKUP(A2123,Hospitalisation_Details__2[],7,FALSE)</f>
        <v>R1013</v>
      </c>
    </row>
    <row r="2124" spans="1:16" x14ac:dyDescent="0.35">
      <c r="A2124" t="str">
        <v>Id2123</v>
      </c>
      <c r="B2124" t="str">
        <f>VLOOKUP(A2124,'Customer Names (2)'!A:B, 2,FALSE)</f>
        <v>Ms</v>
      </c>
      <c r="C2124">
        <f>VLOOKUP(A2124,Medical_Examinations[],2,FALSE)</f>
        <v>27.1</v>
      </c>
      <c r="D2124">
        <f>VLOOKUP(A2124,Medical_Examinations[],3,FALSE)</f>
        <v>4.45</v>
      </c>
      <c r="E2124" t="str">
        <f>VLOOKUP(A2124,Medical_Examinations[],4,FALSE)</f>
        <v>No</v>
      </c>
      <c r="F2124" t="str">
        <f>VLOOKUP(A2124,Medical_Examinations[],5,FALSE)</f>
        <v>yes</v>
      </c>
      <c r="G2124" t="str">
        <f>VLOOKUP(A2124,Medical_Examinations[],6,FALSE)</f>
        <v>No</v>
      </c>
      <c r="H2124">
        <f>VLOOKUP(A2124,Medical_Examinations[],7,FALSE)</f>
        <v>1</v>
      </c>
      <c r="I2124" t="str">
        <f>VLOOKUP(A2124,Medical_Examinations[],8,FALSE)</f>
        <v>No</v>
      </c>
      <c r="J2124" t="str">
        <f>VLOOKUP(A2124,Medical_Examinations[],9,FALSE)</f>
        <v>Overweight</v>
      </c>
      <c r="K2124" t="str">
        <f>VLOOKUP(A2124,Medical_Examinations[],10,FALSE)</f>
        <v>Normal</v>
      </c>
      <c r="M2124">
        <f>VLOOKUP(A2124,Hospitalisation_Details__2[],4,FALSE)</f>
        <v>2154.36</v>
      </c>
      <c r="N2124" t="str">
        <f>VLOOKUP(A2124,Hospitalisation_Details__2[],5,FALSE)</f>
        <v>tier - 2</v>
      </c>
      <c r="O2124" t="str">
        <f>VLOOKUP(A2124,Hospitalisation_Details__2[],6,FALSE)</f>
        <v>tier - 2</v>
      </c>
      <c r="P2124" t="str">
        <f>VLOOKUP(A2124,Hospitalisation_Details__2[],7,FALSE)</f>
        <v>R1011</v>
      </c>
    </row>
    <row r="2125" spans="1:16" x14ac:dyDescent="0.35">
      <c r="A2125" t="str">
        <v>Id2124</v>
      </c>
      <c r="B2125" t="str">
        <f>VLOOKUP(A2125,'Customer Names (2)'!A:B, 2,FALSE)</f>
        <v>Ms</v>
      </c>
      <c r="C2125">
        <f>VLOOKUP(A2125,Medical_Examinations[],2,FALSE)</f>
        <v>24.3</v>
      </c>
      <c r="D2125">
        <f>VLOOKUP(A2125,Medical_Examinations[],3,FALSE)</f>
        <v>6.1</v>
      </c>
      <c r="E2125" t="str">
        <f>VLOOKUP(A2125,Medical_Examinations[],4,FALSE)</f>
        <v>Yes</v>
      </c>
      <c r="F2125" t="str">
        <f>VLOOKUP(A2125,Medical_Examinations[],5,FALSE)</f>
        <v>yes</v>
      </c>
      <c r="G2125" t="str">
        <f>VLOOKUP(A2125,Medical_Examinations[],6,FALSE)</f>
        <v>No</v>
      </c>
      <c r="H2125">
        <f>VLOOKUP(A2125,Medical_Examinations[],7,FALSE)</f>
        <v>1</v>
      </c>
      <c r="I2125" t="str">
        <f>VLOOKUP(A2125,Medical_Examinations[],8,FALSE)</f>
        <v>No</v>
      </c>
      <c r="J2125" t="str">
        <f>VLOOKUP(A2125,Medical_Examinations[],9,FALSE)</f>
        <v>Normal Weight</v>
      </c>
      <c r="K2125" t="str">
        <f>VLOOKUP(A2125,Medical_Examinations[],10,FALSE)</f>
        <v>Prediabetes</v>
      </c>
      <c r="M2125">
        <f>VLOOKUP(A2125,Hospitalisation_Details__2[],4,FALSE)</f>
        <v>2150.4699999999998</v>
      </c>
      <c r="N2125" t="str">
        <f>VLOOKUP(A2125,Hospitalisation_Details__2[],5,FALSE)</f>
        <v>tier - 2</v>
      </c>
      <c r="O2125" t="str">
        <f>VLOOKUP(A2125,Hospitalisation_Details__2[],6,FALSE)</f>
        <v>tier - 3</v>
      </c>
      <c r="P2125" t="str">
        <f>VLOOKUP(A2125,Hospitalisation_Details__2[],7,FALSE)</f>
        <v>R1011</v>
      </c>
    </row>
    <row r="2126" spans="1:16" x14ac:dyDescent="0.35">
      <c r="A2126" t="str">
        <v>Id2125</v>
      </c>
      <c r="B2126" t="str">
        <f>VLOOKUP(A2126,'Customer Names (2)'!A:B, 2,FALSE)</f>
        <v>Ms</v>
      </c>
      <c r="C2126">
        <f>VLOOKUP(A2126,Medical_Examinations[],2,FALSE)</f>
        <v>30.72</v>
      </c>
      <c r="D2126">
        <f>VLOOKUP(A2126,Medical_Examinations[],3,FALSE)</f>
        <v>6.06</v>
      </c>
      <c r="E2126" t="str">
        <f>VLOOKUP(A2126,Medical_Examinations[],4,FALSE)</f>
        <v>No</v>
      </c>
      <c r="F2126" t="str">
        <f>VLOOKUP(A2126,Medical_Examinations[],5,FALSE)</f>
        <v>yes</v>
      </c>
      <c r="G2126" t="str">
        <f>VLOOKUP(A2126,Medical_Examinations[],6,FALSE)</f>
        <v>No</v>
      </c>
      <c r="H2126">
        <f>VLOOKUP(A2126,Medical_Examinations[],7,FALSE)</f>
        <v>1</v>
      </c>
      <c r="I2126" t="str">
        <f>VLOOKUP(A2126,Medical_Examinations[],8,FALSE)</f>
        <v>No</v>
      </c>
      <c r="J2126" t="str">
        <f>VLOOKUP(A2126,Medical_Examinations[],9,FALSE)</f>
        <v>Obesity</v>
      </c>
      <c r="K2126" t="str">
        <f>VLOOKUP(A2126,Medical_Examinations[],10,FALSE)</f>
        <v>Prediabetes</v>
      </c>
      <c r="M2126">
        <f>VLOOKUP(A2126,Hospitalisation_Details__2[],4,FALSE)</f>
        <v>2144.85</v>
      </c>
      <c r="N2126" t="str">
        <f>VLOOKUP(A2126,Hospitalisation_Details__2[],5,FALSE)</f>
        <v>tier - 2</v>
      </c>
      <c r="O2126" t="str">
        <f>VLOOKUP(A2126,Hospitalisation_Details__2[],6,FALSE)</f>
        <v>tier - 1</v>
      </c>
      <c r="P2126" t="str">
        <f>VLOOKUP(A2126,Hospitalisation_Details__2[],7,FALSE)</f>
        <v>R1011</v>
      </c>
    </row>
    <row r="2127" spans="1:16" x14ac:dyDescent="0.35">
      <c r="A2127" t="str">
        <v>Id2126</v>
      </c>
      <c r="B2127" t="str">
        <f>VLOOKUP(A2127,'Customer Names (2)'!A:B, 2,FALSE)</f>
        <v>Ms</v>
      </c>
      <c r="C2127">
        <f>VLOOKUP(A2127,Medical_Examinations[],2,FALSE)</f>
        <v>37.43</v>
      </c>
      <c r="D2127">
        <f>VLOOKUP(A2127,Medical_Examinations[],3,FALSE)</f>
        <v>4.5599999999999996</v>
      </c>
      <c r="E2127" t="str">
        <f>VLOOKUP(A2127,Medical_Examinations[],4,FALSE)</f>
        <v>No</v>
      </c>
      <c r="F2127" t="str">
        <f>VLOOKUP(A2127,Medical_Examinations[],5,FALSE)</f>
        <v>No</v>
      </c>
      <c r="G2127" t="str">
        <f>VLOOKUP(A2127,Medical_Examinations[],6,FALSE)</f>
        <v>Yes</v>
      </c>
      <c r="H2127">
        <f>VLOOKUP(A2127,Medical_Examinations[],7,FALSE)</f>
        <v>1</v>
      </c>
      <c r="I2127" t="str">
        <f>VLOOKUP(A2127,Medical_Examinations[],8,FALSE)</f>
        <v>No</v>
      </c>
      <c r="J2127" t="str">
        <f>VLOOKUP(A2127,Medical_Examinations[],9,FALSE)</f>
        <v>Obesity</v>
      </c>
      <c r="K2127" t="str">
        <f>VLOOKUP(A2127,Medical_Examinations[],10,FALSE)</f>
        <v>Normal</v>
      </c>
      <c r="M2127">
        <f>VLOOKUP(A2127,Hospitalisation_Details__2[],4,FALSE)</f>
        <v>2138.0700000000002</v>
      </c>
      <c r="N2127" t="str">
        <f>VLOOKUP(A2127,Hospitalisation_Details__2[],5,FALSE)</f>
        <v>tier - 2</v>
      </c>
      <c r="O2127" t="str">
        <f>VLOOKUP(A2127,Hospitalisation_Details__2[],6,FALSE)</f>
        <v>tier - 1</v>
      </c>
      <c r="P2127" t="str">
        <f>VLOOKUP(A2127,Hospitalisation_Details__2[],7,FALSE)</f>
        <v>R1012</v>
      </c>
    </row>
    <row r="2128" spans="1:16" x14ac:dyDescent="0.35">
      <c r="A2128" t="str">
        <v>Id2127</v>
      </c>
      <c r="B2128" t="str">
        <f>VLOOKUP(A2128,'Customer Names (2)'!A:B, 2,FALSE)</f>
        <v>Mr</v>
      </c>
      <c r="C2128">
        <f>VLOOKUP(A2128,Medical_Examinations[],2,FALSE)</f>
        <v>25.74</v>
      </c>
      <c r="D2128">
        <f>VLOOKUP(A2128,Medical_Examinations[],3,FALSE)</f>
        <v>6.41</v>
      </c>
      <c r="E2128" t="str">
        <f>VLOOKUP(A2128,Medical_Examinations[],4,FALSE)</f>
        <v>Yes</v>
      </c>
      <c r="F2128" t="str">
        <f>VLOOKUP(A2128,Medical_Examinations[],5,FALSE)</f>
        <v>No</v>
      </c>
      <c r="G2128" t="str">
        <f>VLOOKUP(A2128,Medical_Examinations[],6,FALSE)</f>
        <v>Yes</v>
      </c>
      <c r="H2128">
        <f>VLOOKUP(A2128,Medical_Examinations[],7,FALSE)</f>
        <v>1</v>
      </c>
      <c r="I2128" t="str">
        <f>VLOOKUP(A2128,Medical_Examinations[],8,FALSE)</f>
        <v>No</v>
      </c>
      <c r="J2128" t="str">
        <f>VLOOKUP(A2128,Medical_Examinations[],9,FALSE)</f>
        <v>Overweight</v>
      </c>
      <c r="K2128" t="str">
        <f>VLOOKUP(A2128,Medical_Examinations[],10,FALSE)</f>
        <v>Prediabetes</v>
      </c>
      <c r="M2128">
        <f>VLOOKUP(A2128,Hospitalisation_Details__2[],4,FALSE)</f>
        <v>2137.65</v>
      </c>
      <c r="N2128" t="str">
        <f>VLOOKUP(A2128,Hospitalisation_Details__2[],5,FALSE)</f>
        <v>tier - 3</v>
      </c>
      <c r="O2128" t="str">
        <f>VLOOKUP(A2128,Hospitalisation_Details__2[],6,FALSE)</f>
        <v>tier - 1</v>
      </c>
      <c r="P2128" t="str">
        <f>VLOOKUP(A2128,Hospitalisation_Details__2[],7,FALSE)</f>
        <v>R1013</v>
      </c>
    </row>
    <row r="2129" spans="1:16" x14ac:dyDescent="0.35">
      <c r="A2129" t="str">
        <v>Id2128</v>
      </c>
      <c r="B2129" t="str">
        <f>VLOOKUP(A2129,'Customer Names (2)'!A:B, 2,FALSE)</f>
        <v>Ms</v>
      </c>
      <c r="C2129">
        <f>VLOOKUP(A2129,Medical_Examinations[],2,FALSE)</f>
        <v>36.575000000000003</v>
      </c>
      <c r="D2129">
        <f>VLOOKUP(A2129,Medical_Examinations[],3,FALSE)</f>
        <v>5.57</v>
      </c>
      <c r="E2129" t="str">
        <f>VLOOKUP(A2129,Medical_Examinations[],4,FALSE)</f>
        <v>No</v>
      </c>
      <c r="F2129" t="str">
        <f>VLOOKUP(A2129,Medical_Examinations[],5,FALSE)</f>
        <v>No</v>
      </c>
      <c r="G2129" t="str">
        <f>VLOOKUP(A2129,Medical_Examinations[],6,FALSE)</f>
        <v>Yes</v>
      </c>
      <c r="H2129">
        <f>VLOOKUP(A2129,Medical_Examinations[],7,FALSE)</f>
        <v>1</v>
      </c>
      <c r="I2129" t="str">
        <f>VLOOKUP(A2129,Medical_Examinations[],8,FALSE)</f>
        <v>No</v>
      </c>
      <c r="J2129" t="str">
        <f>VLOOKUP(A2129,Medical_Examinations[],9,FALSE)</f>
        <v>Obesity</v>
      </c>
      <c r="K2129" t="str">
        <f>VLOOKUP(A2129,Medical_Examinations[],10,FALSE)</f>
        <v>Normal</v>
      </c>
      <c r="M2129">
        <f>VLOOKUP(A2129,Hospitalisation_Details__2[],4,FALSE)</f>
        <v>2136.88</v>
      </c>
      <c r="N2129" t="str">
        <f>VLOOKUP(A2129,Hospitalisation_Details__2[],5,FALSE)</f>
        <v>tier - 2</v>
      </c>
      <c r="O2129" t="str">
        <f>VLOOKUP(A2129,Hospitalisation_Details__2[],6,FALSE)</f>
        <v>tier - 2</v>
      </c>
      <c r="P2129" t="str">
        <f>VLOOKUP(A2129,Hospitalisation_Details__2[],7,FALSE)</f>
        <v>R1012</v>
      </c>
    </row>
    <row r="2130" spans="1:16" x14ac:dyDescent="0.35">
      <c r="A2130" t="str">
        <v>Id2129</v>
      </c>
      <c r="B2130" t="str">
        <f>VLOOKUP(A2130,'Customer Names (2)'!A:B, 2,FALSE)</f>
        <v>Ms</v>
      </c>
      <c r="C2130">
        <f>VLOOKUP(A2130,Medical_Examinations[],2,FALSE)</f>
        <v>35.15</v>
      </c>
      <c r="D2130">
        <f>VLOOKUP(A2130,Medical_Examinations[],3,FALSE)</f>
        <v>5.47</v>
      </c>
      <c r="E2130" t="str">
        <f>VLOOKUP(A2130,Medical_Examinations[],4,FALSE)</f>
        <v>No</v>
      </c>
      <c r="F2130" t="str">
        <f>VLOOKUP(A2130,Medical_Examinations[],5,FALSE)</f>
        <v>No</v>
      </c>
      <c r="G2130" t="str">
        <f>VLOOKUP(A2130,Medical_Examinations[],6,FALSE)</f>
        <v>Yes</v>
      </c>
      <c r="H2130">
        <f>VLOOKUP(A2130,Medical_Examinations[],7,FALSE)</f>
        <v>1</v>
      </c>
      <c r="I2130" t="str">
        <f>VLOOKUP(A2130,Medical_Examinations[],8,FALSE)</f>
        <v>No</v>
      </c>
      <c r="J2130" t="str">
        <f>VLOOKUP(A2130,Medical_Examinations[],9,FALSE)</f>
        <v>Obesity</v>
      </c>
      <c r="K2130" t="str">
        <f>VLOOKUP(A2130,Medical_Examinations[],10,FALSE)</f>
        <v>Normal</v>
      </c>
      <c r="M2130">
        <f>VLOOKUP(A2130,Hospitalisation_Details__2[],4,FALSE)</f>
        <v>2134.9</v>
      </c>
      <c r="N2130" t="str">
        <f>VLOOKUP(A2130,Hospitalisation_Details__2[],5,FALSE)</f>
        <v>tier - 2</v>
      </c>
      <c r="O2130" t="str">
        <f>VLOOKUP(A2130,Hospitalisation_Details__2[],6,FALSE)</f>
        <v>tier - 3</v>
      </c>
      <c r="P2130" t="str">
        <f>VLOOKUP(A2130,Hospitalisation_Details__2[],7,FALSE)</f>
        <v>R1012</v>
      </c>
    </row>
    <row r="2131" spans="1:16" x14ac:dyDescent="0.35">
      <c r="A2131" t="str">
        <v>Id2130</v>
      </c>
      <c r="B2131" t="str">
        <f>VLOOKUP(A2131,'Customer Names (2)'!A:B, 2,FALSE)</f>
        <v>Ms</v>
      </c>
      <c r="C2131">
        <f>VLOOKUP(A2131,Medical_Examinations[],2,FALSE)</f>
        <v>32.11</v>
      </c>
      <c r="D2131">
        <f>VLOOKUP(A2131,Medical_Examinations[],3,FALSE)</f>
        <v>4.43</v>
      </c>
      <c r="E2131" t="str">
        <f>VLOOKUP(A2131,Medical_Examinations[],4,FALSE)</f>
        <v>No</v>
      </c>
      <c r="F2131" t="str">
        <f>VLOOKUP(A2131,Medical_Examinations[],5,FALSE)</f>
        <v>No</v>
      </c>
      <c r="G2131" t="str">
        <f>VLOOKUP(A2131,Medical_Examinations[],6,FALSE)</f>
        <v>Yes</v>
      </c>
      <c r="H2131">
        <f>VLOOKUP(A2131,Medical_Examinations[],7,FALSE)</f>
        <v>1</v>
      </c>
      <c r="I2131" t="str">
        <f>VLOOKUP(A2131,Medical_Examinations[],8,FALSE)</f>
        <v>No</v>
      </c>
      <c r="J2131" t="str">
        <f>VLOOKUP(A2131,Medical_Examinations[],9,FALSE)</f>
        <v>Obesity</v>
      </c>
      <c r="K2131" t="str">
        <f>VLOOKUP(A2131,Medical_Examinations[],10,FALSE)</f>
        <v>Normal</v>
      </c>
      <c r="M2131">
        <f>VLOOKUP(A2131,Hospitalisation_Details__2[],4,FALSE)</f>
        <v>2130.6799999999998</v>
      </c>
      <c r="N2131" t="str">
        <f>VLOOKUP(A2131,Hospitalisation_Details__2[],5,FALSE)</f>
        <v>tier - 2</v>
      </c>
      <c r="O2131" t="str">
        <f>VLOOKUP(A2131,Hospitalisation_Details__2[],6,FALSE)</f>
        <v>tier - 3</v>
      </c>
      <c r="P2131" t="str">
        <f>VLOOKUP(A2131,Hospitalisation_Details__2[],7,FALSE)</f>
        <v>R1012</v>
      </c>
    </row>
    <row r="2132" spans="1:16" x14ac:dyDescent="0.35">
      <c r="A2132" t="str">
        <v>Id2131</v>
      </c>
      <c r="B2132" t="str">
        <f>VLOOKUP(A2132,'Customer Names (2)'!A:B, 2,FALSE)</f>
        <v>Ms</v>
      </c>
      <c r="C2132">
        <f>VLOOKUP(A2132,Medical_Examinations[],2,FALSE)</f>
        <v>30.495000000000001</v>
      </c>
      <c r="D2132">
        <f>VLOOKUP(A2132,Medical_Examinations[],3,FALSE)</f>
        <v>4.95</v>
      </c>
      <c r="E2132" t="str">
        <f>VLOOKUP(A2132,Medical_Examinations[],4,FALSE)</f>
        <v>No</v>
      </c>
      <c r="F2132" t="str">
        <f>VLOOKUP(A2132,Medical_Examinations[],5,FALSE)</f>
        <v>No</v>
      </c>
      <c r="G2132" t="str">
        <f>VLOOKUP(A2132,Medical_Examinations[],6,FALSE)</f>
        <v>Yes</v>
      </c>
      <c r="H2132">
        <f>VLOOKUP(A2132,Medical_Examinations[],7,FALSE)</f>
        <v>1</v>
      </c>
      <c r="I2132" t="str">
        <f>VLOOKUP(A2132,Medical_Examinations[],8,FALSE)</f>
        <v>No</v>
      </c>
      <c r="J2132" t="str">
        <f>VLOOKUP(A2132,Medical_Examinations[],9,FALSE)</f>
        <v>Obesity</v>
      </c>
      <c r="K2132" t="str">
        <f>VLOOKUP(A2132,Medical_Examinations[],10,FALSE)</f>
        <v>Normal</v>
      </c>
      <c r="M2132">
        <f>VLOOKUP(A2132,Hospitalisation_Details__2[],4,FALSE)</f>
        <v>2128.4299999999998</v>
      </c>
      <c r="N2132" t="str">
        <f>VLOOKUP(A2132,Hospitalisation_Details__2[],5,FALSE)</f>
        <v>tier - 2</v>
      </c>
      <c r="O2132" t="str">
        <f>VLOOKUP(A2132,Hospitalisation_Details__2[],6,FALSE)</f>
        <v>tier - 1</v>
      </c>
      <c r="P2132" t="str">
        <f>VLOOKUP(A2132,Hospitalisation_Details__2[],7,FALSE)</f>
        <v>R1012</v>
      </c>
    </row>
    <row r="2133" spans="1:16" x14ac:dyDescent="0.35">
      <c r="A2133" t="str">
        <v>Id2132</v>
      </c>
      <c r="B2133" t="str">
        <f>VLOOKUP(A2133,'Customer Names (2)'!A:B, 2,FALSE)</f>
        <v>Mr</v>
      </c>
      <c r="C2133">
        <f>VLOOKUP(A2133,Medical_Examinations[],2,FALSE)</f>
        <v>29.24</v>
      </c>
      <c r="D2133">
        <f>VLOOKUP(A2133,Medical_Examinations[],3,FALSE)</f>
        <v>4.04</v>
      </c>
      <c r="E2133" t="str">
        <f>VLOOKUP(A2133,Medical_Examinations[],4,FALSE)</f>
        <v>No</v>
      </c>
      <c r="F2133" t="str">
        <f>VLOOKUP(A2133,Medical_Examinations[],5,FALSE)</f>
        <v>yes</v>
      </c>
      <c r="G2133" t="str">
        <f>VLOOKUP(A2133,Medical_Examinations[],6,FALSE)</f>
        <v>No</v>
      </c>
      <c r="H2133">
        <f>VLOOKUP(A2133,Medical_Examinations[],7,FALSE)</f>
        <v>1</v>
      </c>
      <c r="I2133" t="str">
        <f>VLOOKUP(A2133,Medical_Examinations[],8,FALSE)</f>
        <v>No</v>
      </c>
      <c r="J2133" t="str">
        <f>VLOOKUP(A2133,Medical_Examinations[],9,FALSE)</f>
        <v>Overweight</v>
      </c>
      <c r="K2133" t="str">
        <f>VLOOKUP(A2133,Medical_Examinations[],10,FALSE)</f>
        <v>Normal</v>
      </c>
      <c r="M2133">
        <f>VLOOKUP(A2133,Hospitalisation_Details__2[],4,FALSE)</f>
        <v>2118.61</v>
      </c>
      <c r="N2133" t="str">
        <f>VLOOKUP(A2133,Hospitalisation_Details__2[],5,FALSE)</f>
        <v>tier - 2</v>
      </c>
      <c r="O2133" t="str">
        <f>VLOOKUP(A2133,Hospitalisation_Details__2[],6,FALSE)</f>
        <v>tier - 1</v>
      </c>
      <c r="P2133" t="str">
        <f>VLOOKUP(A2133,Hospitalisation_Details__2[],7,FALSE)</f>
        <v>R1012</v>
      </c>
    </row>
    <row r="2134" spans="1:16" x14ac:dyDescent="0.35">
      <c r="A2134" t="str">
        <v>Id2133</v>
      </c>
      <c r="B2134" t="str">
        <f>VLOOKUP(A2134,'Customer Names (2)'!A:B, 2,FALSE)</f>
        <v>Ms</v>
      </c>
      <c r="C2134">
        <f>VLOOKUP(A2134,Medical_Examinations[],2,FALSE)</f>
        <v>22.515000000000001</v>
      </c>
      <c r="D2134">
        <f>VLOOKUP(A2134,Medical_Examinations[],3,FALSE)</f>
        <v>5.93</v>
      </c>
      <c r="E2134" t="str">
        <f>VLOOKUP(A2134,Medical_Examinations[],4,FALSE)</f>
        <v>No</v>
      </c>
      <c r="F2134" t="str">
        <f>VLOOKUP(A2134,Medical_Examinations[],5,FALSE)</f>
        <v>No</v>
      </c>
      <c r="G2134" t="str">
        <f>VLOOKUP(A2134,Medical_Examinations[],6,FALSE)</f>
        <v>Yes</v>
      </c>
      <c r="H2134">
        <f>VLOOKUP(A2134,Medical_Examinations[],7,FALSE)</f>
        <v>1</v>
      </c>
      <c r="I2134" t="str">
        <f>VLOOKUP(A2134,Medical_Examinations[],8,FALSE)</f>
        <v>No</v>
      </c>
      <c r="J2134" t="str">
        <f>VLOOKUP(A2134,Medical_Examinations[],9,FALSE)</f>
        <v>Normal Weight</v>
      </c>
      <c r="K2134" t="str">
        <f>VLOOKUP(A2134,Medical_Examinations[],10,FALSE)</f>
        <v>Prediabetes</v>
      </c>
      <c r="M2134">
        <f>VLOOKUP(A2134,Hospitalisation_Details__2[],4,FALSE)</f>
        <v>2117.34</v>
      </c>
      <c r="N2134" t="str">
        <f>VLOOKUP(A2134,Hospitalisation_Details__2[],5,FALSE)</f>
        <v>tier - 2</v>
      </c>
      <c r="O2134" t="str">
        <f>VLOOKUP(A2134,Hospitalisation_Details__2[],6,FALSE)</f>
        <v>tier - 3</v>
      </c>
      <c r="P2134" t="str">
        <f>VLOOKUP(A2134,Hospitalisation_Details__2[],7,FALSE)</f>
        <v>R1012</v>
      </c>
    </row>
    <row r="2135" spans="1:16" x14ac:dyDescent="0.35">
      <c r="A2135" t="str">
        <v>Id2134</v>
      </c>
      <c r="B2135" t="str">
        <f>VLOOKUP(A2135,'Customer Names (2)'!A:B, 2,FALSE)</f>
        <v>Mr</v>
      </c>
      <c r="C2135">
        <f>VLOOKUP(A2135,Medical_Examinations[],2,FALSE)</f>
        <v>15.65</v>
      </c>
      <c r="D2135">
        <f>VLOOKUP(A2135,Medical_Examinations[],3,FALSE)</f>
        <v>4.2300000000000004</v>
      </c>
      <c r="E2135" t="str">
        <f>VLOOKUP(A2135,Medical_Examinations[],4,FALSE)</f>
        <v>No</v>
      </c>
      <c r="F2135" t="str">
        <f>VLOOKUP(A2135,Medical_Examinations[],5,FALSE)</f>
        <v>No</v>
      </c>
      <c r="G2135" t="str">
        <f>VLOOKUP(A2135,Medical_Examinations[],6,FALSE)</f>
        <v>No</v>
      </c>
      <c r="H2135">
        <f>VLOOKUP(A2135,Medical_Examinations[],7,FALSE)</f>
        <v>0</v>
      </c>
      <c r="I2135" t="str">
        <f>VLOOKUP(A2135,Medical_Examinations[],8,FALSE)</f>
        <v>No</v>
      </c>
      <c r="J2135" t="str">
        <f>VLOOKUP(A2135,Medical_Examinations[],9,FALSE)</f>
        <v>Underweight</v>
      </c>
      <c r="K2135" t="str">
        <f>VLOOKUP(A2135,Medical_Examinations[],10,FALSE)</f>
        <v>Normal</v>
      </c>
      <c r="M2135">
        <f>VLOOKUP(A2135,Hospitalisation_Details__2[],4,FALSE)</f>
        <v>2106.2600000000002</v>
      </c>
      <c r="N2135" t="str">
        <f>VLOOKUP(A2135,Hospitalisation_Details__2[],5,FALSE)</f>
        <v>tier - 2</v>
      </c>
      <c r="O2135" t="str">
        <f>VLOOKUP(A2135,Hospitalisation_Details__2[],6,FALSE)</f>
        <v>tier - 2</v>
      </c>
      <c r="P2135" t="str">
        <f>VLOOKUP(A2135,Hospitalisation_Details__2[],7,FALSE)</f>
        <v>R1013</v>
      </c>
    </row>
    <row r="2136" spans="1:16" x14ac:dyDescent="0.35">
      <c r="A2136" t="str">
        <v>Id2135</v>
      </c>
      <c r="B2136" t="str">
        <f>VLOOKUP(A2136,'Customer Names (2)'!A:B, 2,FALSE)</f>
        <v>Mr</v>
      </c>
      <c r="C2136">
        <f>VLOOKUP(A2136,Medical_Examinations[],2,FALSE)</f>
        <v>27.36</v>
      </c>
      <c r="D2136">
        <f>VLOOKUP(A2136,Medical_Examinations[],3,FALSE)</f>
        <v>5.59</v>
      </c>
      <c r="E2136" t="str">
        <f>VLOOKUP(A2136,Medical_Examinations[],4,FALSE)</f>
        <v>Yes</v>
      </c>
      <c r="F2136" t="str">
        <f>VLOOKUP(A2136,Medical_Examinations[],5,FALSE)</f>
        <v>No</v>
      </c>
      <c r="G2136" t="str">
        <f>VLOOKUP(A2136,Medical_Examinations[],6,FALSE)</f>
        <v>No</v>
      </c>
      <c r="H2136">
        <f>VLOOKUP(A2136,Medical_Examinations[],7,FALSE)</f>
        <v>0</v>
      </c>
      <c r="I2136" t="str">
        <f>VLOOKUP(A2136,Medical_Examinations[],8,FALSE)</f>
        <v>No</v>
      </c>
      <c r="J2136" t="str">
        <f>VLOOKUP(A2136,Medical_Examinations[],9,FALSE)</f>
        <v>Overweight</v>
      </c>
      <c r="K2136" t="str">
        <f>VLOOKUP(A2136,Medical_Examinations[],10,FALSE)</f>
        <v>Normal</v>
      </c>
      <c r="M2136">
        <f>VLOOKUP(A2136,Hospitalisation_Details__2[],4,FALSE)</f>
        <v>2104.11</v>
      </c>
      <c r="N2136" t="str">
        <f>VLOOKUP(A2136,Hospitalisation_Details__2[],5,FALSE)</f>
        <v>tier - 2</v>
      </c>
      <c r="O2136" t="str">
        <f>VLOOKUP(A2136,Hospitalisation_Details__2[],6,FALSE)</f>
        <v>tier - 1</v>
      </c>
      <c r="P2136" t="str">
        <f>VLOOKUP(A2136,Hospitalisation_Details__2[],7,FALSE)</f>
        <v>R1016</v>
      </c>
    </row>
    <row r="2137" spans="1:16" x14ac:dyDescent="0.35">
      <c r="A2137" t="str">
        <v>Id2136</v>
      </c>
      <c r="B2137" t="str">
        <f>VLOOKUP(A2137,'Customer Names (2)'!A:B, 2,FALSE)</f>
        <v>Mr</v>
      </c>
      <c r="C2137">
        <f>VLOOKUP(A2137,Medical_Examinations[],2,FALSE)</f>
        <v>22.3</v>
      </c>
      <c r="D2137">
        <f>VLOOKUP(A2137,Medical_Examinations[],3,FALSE)</f>
        <v>4.8899999999999997</v>
      </c>
      <c r="E2137" t="str">
        <f>VLOOKUP(A2137,Medical_Examinations[],4,FALSE)</f>
        <v>Yes</v>
      </c>
      <c r="F2137" t="str">
        <f>VLOOKUP(A2137,Medical_Examinations[],5,FALSE)</f>
        <v>No</v>
      </c>
      <c r="G2137" t="str">
        <f>VLOOKUP(A2137,Medical_Examinations[],6,FALSE)</f>
        <v>No</v>
      </c>
      <c r="H2137">
        <f>VLOOKUP(A2137,Medical_Examinations[],7,FALSE)</f>
        <v>0</v>
      </c>
      <c r="I2137" t="str">
        <f>VLOOKUP(A2137,Medical_Examinations[],8,FALSE)</f>
        <v>No</v>
      </c>
      <c r="J2137" t="str">
        <f>VLOOKUP(A2137,Medical_Examinations[],9,FALSE)</f>
        <v>Normal Weight</v>
      </c>
      <c r="K2137" t="str">
        <f>VLOOKUP(A2137,Medical_Examinations[],10,FALSE)</f>
        <v>Normal</v>
      </c>
      <c r="M2137">
        <f>VLOOKUP(A2137,Hospitalisation_Details__2[],4,FALSE)</f>
        <v>2103.08</v>
      </c>
      <c r="N2137" t="str">
        <f>VLOOKUP(A2137,Hospitalisation_Details__2[],5,FALSE)</f>
        <v>tier - 3</v>
      </c>
      <c r="O2137" t="str">
        <f>VLOOKUP(A2137,Hospitalisation_Details__2[],6,FALSE)</f>
        <v>tier - 2</v>
      </c>
      <c r="P2137" t="str">
        <f>VLOOKUP(A2137,Hospitalisation_Details__2[],7,FALSE)</f>
        <v>R1011</v>
      </c>
    </row>
    <row r="2138" spans="1:16" x14ac:dyDescent="0.35">
      <c r="A2138" t="str">
        <v>Id2137</v>
      </c>
      <c r="B2138" t="str">
        <f>VLOOKUP(A2138,'Customer Names (2)'!A:B, 2,FALSE)</f>
        <v>Mr</v>
      </c>
      <c r="C2138">
        <f>VLOOKUP(A2138,Medical_Examinations[],2,FALSE)</f>
        <v>26.03</v>
      </c>
      <c r="D2138">
        <f>VLOOKUP(A2138,Medical_Examinations[],3,FALSE)</f>
        <v>5.81</v>
      </c>
      <c r="E2138" t="str">
        <f>VLOOKUP(A2138,Medical_Examinations[],4,FALSE)</f>
        <v>Yes</v>
      </c>
      <c r="F2138" t="str">
        <f>VLOOKUP(A2138,Medical_Examinations[],5,FALSE)</f>
        <v>No</v>
      </c>
      <c r="G2138" t="str">
        <f>VLOOKUP(A2138,Medical_Examinations[],6,FALSE)</f>
        <v>No</v>
      </c>
      <c r="H2138">
        <f>VLOOKUP(A2138,Medical_Examinations[],7,FALSE)</f>
        <v>0</v>
      </c>
      <c r="I2138" t="str">
        <f>VLOOKUP(A2138,Medical_Examinations[],8,FALSE)</f>
        <v>No</v>
      </c>
      <c r="J2138" t="str">
        <f>VLOOKUP(A2138,Medical_Examinations[],9,FALSE)</f>
        <v>Overweight</v>
      </c>
      <c r="K2138" t="str">
        <f>VLOOKUP(A2138,Medical_Examinations[],10,FALSE)</f>
        <v>Prediabetes</v>
      </c>
      <c r="M2138">
        <f>VLOOKUP(A2138,Hospitalisation_Details__2[],4,FALSE)</f>
        <v>2102.2600000000002</v>
      </c>
      <c r="N2138" t="str">
        <f>VLOOKUP(A2138,Hospitalisation_Details__2[],5,FALSE)</f>
        <v>tier - 3</v>
      </c>
      <c r="O2138" t="str">
        <f>VLOOKUP(A2138,Hospitalisation_Details__2[],6,FALSE)</f>
        <v>tier - 2</v>
      </c>
      <c r="P2138" t="str">
        <f>VLOOKUP(A2138,Hospitalisation_Details__2[],7,FALSE)</f>
        <v>R1019</v>
      </c>
    </row>
    <row r="2139" spans="1:16" x14ac:dyDescent="0.35">
      <c r="A2139" t="str">
        <v>Id2138</v>
      </c>
      <c r="B2139" t="str">
        <f>VLOOKUP(A2139,'Customer Names (2)'!A:B, 2,FALSE)</f>
        <v>Mrs</v>
      </c>
      <c r="C2139">
        <f>VLOOKUP(A2139,Medical_Examinations[],2,FALSE)</f>
        <v>27.74</v>
      </c>
      <c r="D2139">
        <f>VLOOKUP(A2139,Medical_Examinations[],3,FALSE)</f>
        <v>4.29</v>
      </c>
      <c r="E2139" t="str">
        <f>VLOOKUP(A2139,Medical_Examinations[],4,FALSE)</f>
        <v>No</v>
      </c>
      <c r="F2139" t="str">
        <f>VLOOKUP(A2139,Medical_Examinations[],5,FALSE)</f>
        <v>yes</v>
      </c>
      <c r="G2139" t="str">
        <f>VLOOKUP(A2139,Medical_Examinations[],6,FALSE)</f>
        <v>No</v>
      </c>
      <c r="H2139">
        <f>VLOOKUP(A2139,Medical_Examinations[],7,FALSE)</f>
        <v>1</v>
      </c>
      <c r="I2139" t="str">
        <f>VLOOKUP(A2139,Medical_Examinations[],8,FALSE)</f>
        <v>No</v>
      </c>
      <c r="J2139" t="str">
        <f>VLOOKUP(A2139,Medical_Examinations[],9,FALSE)</f>
        <v>Overweight</v>
      </c>
      <c r="K2139" t="str">
        <f>VLOOKUP(A2139,Medical_Examinations[],10,FALSE)</f>
        <v>Normal</v>
      </c>
      <c r="M2139">
        <f>VLOOKUP(A2139,Hospitalisation_Details__2[],4,FALSE)</f>
        <v>2094.1</v>
      </c>
      <c r="N2139" t="str">
        <f>VLOOKUP(A2139,Hospitalisation_Details__2[],5,FALSE)</f>
        <v>tier - 3</v>
      </c>
      <c r="O2139" t="str">
        <f>VLOOKUP(A2139,Hospitalisation_Details__2[],6,FALSE)</f>
        <v>tier - 2</v>
      </c>
      <c r="P2139" t="str">
        <f>VLOOKUP(A2139,Hospitalisation_Details__2[],7,FALSE)</f>
        <v>R1025</v>
      </c>
    </row>
    <row r="2140" spans="1:16" x14ac:dyDescent="0.35">
      <c r="A2140" t="str">
        <v>Id2139</v>
      </c>
      <c r="B2140" t="str">
        <f>VLOOKUP(A2140,'Customer Names (2)'!A:B, 2,FALSE)</f>
        <v>Mr</v>
      </c>
      <c r="C2140">
        <f>VLOOKUP(A2140,Medical_Examinations[],2,FALSE)</f>
        <v>32.11</v>
      </c>
      <c r="D2140">
        <f>VLOOKUP(A2140,Medical_Examinations[],3,FALSE)</f>
        <v>4.03</v>
      </c>
      <c r="E2140" t="str">
        <f>VLOOKUP(A2140,Medical_Examinations[],4,FALSE)</f>
        <v>Yes</v>
      </c>
      <c r="F2140" t="str">
        <f>VLOOKUP(A2140,Medical_Examinations[],5,FALSE)</f>
        <v>yes</v>
      </c>
      <c r="G2140" t="str">
        <f>VLOOKUP(A2140,Medical_Examinations[],6,FALSE)</f>
        <v>No</v>
      </c>
      <c r="H2140">
        <f>VLOOKUP(A2140,Medical_Examinations[],7,FALSE)</f>
        <v>2</v>
      </c>
      <c r="I2140" t="str">
        <f>VLOOKUP(A2140,Medical_Examinations[],8,FALSE)</f>
        <v>No</v>
      </c>
      <c r="J2140" t="str">
        <f>VLOOKUP(A2140,Medical_Examinations[],9,FALSE)</f>
        <v>Obesity</v>
      </c>
      <c r="K2140" t="str">
        <f>VLOOKUP(A2140,Medical_Examinations[],10,FALSE)</f>
        <v>Normal</v>
      </c>
      <c r="M2140">
        <f>VLOOKUP(A2140,Hospitalisation_Details__2[],4,FALSE)</f>
        <v>2055.3200000000002</v>
      </c>
      <c r="N2140" t="str">
        <f>VLOOKUP(A2140,Hospitalisation_Details__2[],5,FALSE)</f>
        <v>tier - 3</v>
      </c>
      <c r="O2140" t="str">
        <f>VLOOKUP(A2140,Hospitalisation_Details__2[],6,FALSE)</f>
        <v>tier - 3</v>
      </c>
      <c r="P2140" t="str">
        <f>VLOOKUP(A2140,Hospitalisation_Details__2[],7,FALSE)</f>
        <v>R1012</v>
      </c>
    </row>
    <row r="2141" spans="1:16" x14ac:dyDescent="0.35">
      <c r="A2141" t="str">
        <v>Id2140</v>
      </c>
      <c r="B2141" t="str">
        <f>VLOOKUP(A2141,'Customer Names (2)'!A:B, 2,FALSE)</f>
        <v>Mr</v>
      </c>
      <c r="C2141">
        <f>VLOOKUP(A2141,Medical_Examinations[],2,FALSE)</f>
        <v>25.175000000000001</v>
      </c>
      <c r="D2141">
        <f>VLOOKUP(A2141,Medical_Examinations[],3,FALSE)</f>
        <v>6.29</v>
      </c>
      <c r="E2141" t="str">
        <f>VLOOKUP(A2141,Medical_Examinations[],4,FALSE)</f>
        <v>Yes</v>
      </c>
      <c r="F2141" t="str">
        <f>VLOOKUP(A2141,Medical_Examinations[],5,FALSE)</f>
        <v>yes</v>
      </c>
      <c r="G2141" t="str">
        <f>VLOOKUP(A2141,Medical_Examinations[],6,FALSE)</f>
        <v>No</v>
      </c>
      <c r="H2141">
        <f>VLOOKUP(A2141,Medical_Examinations[],7,FALSE)</f>
        <v>2</v>
      </c>
      <c r="I2141" t="str">
        <f>VLOOKUP(A2141,Medical_Examinations[],8,FALSE)</f>
        <v>No</v>
      </c>
      <c r="J2141" t="str">
        <f>VLOOKUP(A2141,Medical_Examinations[],9,FALSE)</f>
        <v>Overweight</v>
      </c>
      <c r="K2141" t="str">
        <f>VLOOKUP(A2141,Medical_Examinations[],10,FALSE)</f>
        <v>Prediabetes</v>
      </c>
      <c r="M2141">
        <f>VLOOKUP(A2141,Hospitalisation_Details__2[],4,FALSE)</f>
        <v>2045.69</v>
      </c>
      <c r="N2141" t="str">
        <f>VLOOKUP(A2141,Hospitalisation_Details__2[],5,FALSE)</f>
        <v>tier - 3</v>
      </c>
      <c r="O2141" t="str">
        <f>VLOOKUP(A2141,Hospitalisation_Details__2[],6,FALSE)</f>
        <v>tier - 3</v>
      </c>
      <c r="P2141" t="str">
        <f>VLOOKUP(A2141,Hospitalisation_Details__2[],7,FALSE)</f>
        <v>R1012</v>
      </c>
    </row>
    <row r="2142" spans="1:16" x14ac:dyDescent="0.35">
      <c r="A2142" t="str">
        <v>Id2141</v>
      </c>
      <c r="B2142" t="str">
        <f>VLOOKUP(A2142,'Customer Names (2)'!A:B, 2,FALSE)</f>
        <v>Ms</v>
      </c>
      <c r="C2142">
        <f>VLOOKUP(A2142,Medical_Examinations[],2,FALSE)</f>
        <v>39.49</v>
      </c>
      <c r="D2142">
        <f>VLOOKUP(A2142,Medical_Examinations[],3,FALSE)</f>
        <v>4.4800000000000004</v>
      </c>
      <c r="E2142" t="str">
        <f>VLOOKUP(A2142,Medical_Examinations[],4,FALSE)</f>
        <v>Yes</v>
      </c>
      <c r="F2142" t="str">
        <f>VLOOKUP(A2142,Medical_Examinations[],5,FALSE)</f>
        <v>No</v>
      </c>
      <c r="G2142" t="str">
        <f>VLOOKUP(A2142,Medical_Examinations[],6,FALSE)</f>
        <v>No</v>
      </c>
      <c r="H2142">
        <f>VLOOKUP(A2142,Medical_Examinations[],7,FALSE)</f>
        <v>0</v>
      </c>
      <c r="I2142" t="str">
        <f>VLOOKUP(A2142,Medical_Examinations[],8,FALSE)</f>
        <v>No</v>
      </c>
      <c r="J2142" t="str">
        <f>VLOOKUP(A2142,Medical_Examinations[],9,FALSE)</f>
        <v>Obesity</v>
      </c>
      <c r="K2142" t="str">
        <f>VLOOKUP(A2142,Medical_Examinations[],10,FALSE)</f>
        <v>Normal</v>
      </c>
      <c r="M2142">
        <f>VLOOKUP(A2142,Hospitalisation_Details__2[],4,FALSE)</f>
        <v>2026.97</v>
      </c>
      <c r="N2142" t="str">
        <f>VLOOKUP(A2142,Hospitalisation_Details__2[],5,FALSE)</f>
        <v>tier - 3</v>
      </c>
      <c r="O2142" t="str">
        <f>VLOOKUP(A2142,Hospitalisation_Details__2[],6,FALSE)</f>
        <v>tier - 2</v>
      </c>
      <c r="P2142" t="str">
        <f>VLOOKUP(A2142,Hospitalisation_Details__2[],7,FALSE)</f>
        <v>R1013</v>
      </c>
    </row>
    <row r="2143" spans="1:16" x14ac:dyDescent="0.35">
      <c r="A2143" t="str">
        <v>Id2142</v>
      </c>
      <c r="B2143" t="str">
        <f>VLOOKUP(A2143,'Customer Names (2)'!A:B, 2,FALSE)</f>
        <v>Ms</v>
      </c>
      <c r="C2143">
        <f>VLOOKUP(A2143,Medical_Examinations[],2,FALSE)</f>
        <v>34.869999999999997</v>
      </c>
      <c r="D2143">
        <f>VLOOKUP(A2143,Medical_Examinations[],3,FALSE)</f>
        <v>5.51</v>
      </c>
      <c r="E2143" t="str">
        <f>VLOOKUP(A2143,Medical_Examinations[],4,FALSE)</f>
        <v>Yes</v>
      </c>
      <c r="F2143" t="str">
        <f>VLOOKUP(A2143,Medical_Examinations[],5,FALSE)</f>
        <v>No</v>
      </c>
      <c r="G2143" t="str">
        <f>VLOOKUP(A2143,Medical_Examinations[],6,FALSE)</f>
        <v>No</v>
      </c>
      <c r="H2143">
        <f>VLOOKUP(A2143,Medical_Examinations[],7,FALSE)</f>
        <v>0</v>
      </c>
      <c r="I2143" t="str">
        <f>VLOOKUP(A2143,Medical_Examinations[],8,FALSE)</f>
        <v>No</v>
      </c>
      <c r="J2143" t="str">
        <f>VLOOKUP(A2143,Medical_Examinations[],9,FALSE)</f>
        <v>Obesity</v>
      </c>
      <c r="K2143" t="str">
        <f>VLOOKUP(A2143,Medical_Examinations[],10,FALSE)</f>
        <v>Normal</v>
      </c>
      <c r="M2143">
        <f>VLOOKUP(A2143,Hospitalisation_Details__2[],4,FALSE)</f>
        <v>2020.55</v>
      </c>
      <c r="N2143" t="str">
        <f>VLOOKUP(A2143,Hospitalisation_Details__2[],5,FALSE)</f>
        <v>tier - 3</v>
      </c>
      <c r="O2143" t="str">
        <f>VLOOKUP(A2143,Hospitalisation_Details__2[],6,FALSE)</f>
        <v>tier - 2</v>
      </c>
      <c r="P2143" t="str">
        <f>VLOOKUP(A2143,Hospitalisation_Details__2[],7,FALSE)</f>
        <v>R1013</v>
      </c>
    </row>
    <row r="2144" spans="1:16" x14ac:dyDescent="0.35">
      <c r="A2144" t="str">
        <v>Id2143</v>
      </c>
      <c r="B2144" t="str">
        <f>VLOOKUP(A2144,'Customer Names (2)'!A:B, 2,FALSE)</f>
        <v>Ms</v>
      </c>
      <c r="C2144">
        <f>VLOOKUP(A2144,Medical_Examinations[],2,FALSE)</f>
        <v>34.6</v>
      </c>
      <c r="D2144">
        <f>VLOOKUP(A2144,Medical_Examinations[],3,FALSE)</f>
        <v>4.5</v>
      </c>
      <c r="E2144" t="str">
        <f>VLOOKUP(A2144,Medical_Examinations[],4,FALSE)</f>
        <v>Yes</v>
      </c>
      <c r="F2144" t="str">
        <f>VLOOKUP(A2144,Medical_Examinations[],5,FALSE)</f>
        <v>No</v>
      </c>
      <c r="G2144" t="str">
        <f>VLOOKUP(A2144,Medical_Examinations[],6,FALSE)</f>
        <v>No</v>
      </c>
      <c r="H2144">
        <f>VLOOKUP(A2144,Medical_Examinations[],7,FALSE)</f>
        <v>0</v>
      </c>
      <c r="I2144" t="str">
        <f>VLOOKUP(A2144,Medical_Examinations[],8,FALSE)</f>
        <v>No</v>
      </c>
      <c r="J2144" t="str">
        <f>VLOOKUP(A2144,Medical_Examinations[],9,FALSE)</f>
        <v>Obesity</v>
      </c>
      <c r="K2144" t="str">
        <f>VLOOKUP(A2144,Medical_Examinations[],10,FALSE)</f>
        <v>Normal</v>
      </c>
      <c r="M2144">
        <f>VLOOKUP(A2144,Hospitalisation_Details__2[],4,FALSE)</f>
        <v>2020.18</v>
      </c>
      <c r="N2144" t="str">
        <f>VLOOKUP(A2144,Hospitalisation_Details__2[],5,FALSE)</f>
        <v>tier - 3</v>
      </c>
      <c r="O2144" t="str">
        <f>VLOOKUP(A2144,Hospitalisation_Details__2[],6,FALSE)</f>
        <v>tier - 1</v>
      </c>
      <c r="P2144" t="str">
        <f>VLOOKUP(A2144,Hospitalisation_Details__2[],7,FALSE)</f>
        <v>R1011</v>
      </c>
    </row>
    <row r="2145" spans="1:16" x14ac:dyDescent="0.35">
      <c r="A2145" t="str">
        <v>Id2144</v>
      </c>
      <c r="B2145" t="str">
        <f>VLOOKUP(A2145,'Customer Names (2)'!A:B, 2,FALSE)</f>
        <v>Ms</v>
      </c>
      <c r="C2145">
        <f>VLOOKUP(A2145,Medical_Examinations[],2,FALSE)</f>
        <v>25.8</v>
      </c>
      <c r="D2145">
        <f>VLOOKUP(A2145,Medical_Examinations[],3,FALSE)</f>
        <v>6.29</v>
      </c>
      <c r="E2145" t="str">
        <f>VLOOKUP(A2145,Medical_Examinations[],4,FALSE)</f>
        <v>Yes</v>
      </c>
      <c r="F2145" t="str">
        <f>VLOOKUP(A2145,Medical_Examinations[],5,FALSE)</f>
        <v>No</v>
      </c>
      <c r="G2145" t="str">
        <f>VLOOKUP(A2145,Medical_Examinations[],6,FALSE)</f>
        <v>No</v>
      </c>
      <c r="H2145">
        <f>VLOOKUP(A2145,Medical_Examinations[],7,FALSE)</f>
        <v>0</v>
      </c>
      <c r="I2145" t="str">
        <f>VLOOKUP(A2145,Medical_Examinations[],8,FALSE)</f>
        <v>No</v>
      </c>
      <c r="J2145" t="str">
        <f>VLOOKUP(A2145,Medical_Examinations[],9,FALSE)</f>
        <v>Overweight</v>
      </c>
      <c r="K2145" t="str">
        <f>VLOOKUP(A2145,Medical_Examinations[],10,FALSE)</f>
        <v>Prediabetes</v>
      </c>
      <c r="M2145">
        <f>VLOOKUP(A2145,Hospitalisation_Details__2[],4,FALSE)</f>
        <v>2007.95</v>
      </c>
      <c r="N2145" t="str">
        <f>VLOOKUP(A2145,Hospitalisation_Details__2[],5,FALSE)</f>
        <v>tier - 3</v>
      </c>
      <c r="O2145" t="str">
        <f>VLOOKUP(A2145,Hospitalisation_Details__2[],6,FALSE)</f>
        <v>tier - 2</v>
      </c>
      <c r="P2145" t="str">
        <f>VLOOKUP(A2145,Hospitalisation_Details__2[],7,FALSE)</f>
        <v>R1011</v>
      </c>
    </row>
    <row r="2146" spans="1:16" x14ac:dyDescent="0.35">
      <c r="A2146" t="str">
        <v>Id2145</v>
      </c>
      <c r="B2146" t="str">
        <f>VLOOKUP(A2146,'Customer Names (2)'!A:B, 2,FALSE)</f>
        <v>Mr</v>
      </c>
      <c r="C2146">
        <f>VLOOKUP(A2146,Medical_Examinations[],2,FALSE)</f>
        <v>35.86</v>
      </c>
      <c r="D2146">
        <f>VLOOKUP(A2146,Medical_Examinations[],3,FALSE)</f>
        <v>4.33</v>
      </c>
      <c r="E2146" t="str">
        <f>VLOOKUP(A2146,Medical_Examinations[],4,FALSE)</f>
        <v>No</v>
      </c>
      <c r="F2146" t="str">
        <f>VLOOKUP(A2146,Medical_Examinations[],5,FALSE)</f>
        <v>No</v>
      </c>
      <c r="G2146" t="str">
        <f>VLOOKUP(A2146,Medical_Examinations[],6,FALSE)</f>
        <v>No</v>
      </c>
      <c r="H2146">
        <f>VLOOKUP(A2146,Medical_Examinations[],7,FALSE)</f>
        <v>1</v>
      </c>
      <c r="I2146" t="str">
        <f>VLOOKUP(A2146,Medical_Examinations[],8,FALSE)</f>
        <v>No</v>
      </c>
      <c r="J2146" t="str">
        <f>VLOOKUP(A2146,Medical_Examinations[],9,FALSE)</f>
        <v>Obesity</v>
      </c>
      <c r="K2146" t="str">
        <f>VLOOKUP(A2146,Medical_Examinations[],10,FALSE)</f>
        <v>Normal</v>
      </c>
      <c r="M2146">
        <f>VLOOKUP(A2146,Hospitalisation_Details__2[],4,FALSE)</f>
        <v>1986.93</v>
      </c>
      <c r="N2146" t="str">
        <f>VLOOKUP(A2146,Hospitalisation_Details__2[],5,FALSE)</f>
        <v>tier - 3</v>
      </c>
      <c r="O2146" t="str">
        <f>VLOOKUP(A2146,Hospitalisation_Details__2[],6,FALSE)</f>
        <v>tier - 2</v>
      </c>
      <c r="P2146" t="str">
        <f>VLOOKUP(A2146,Hospitalisation_Details__2[],7,FALSE)</f>
        <v>R1013</v>
      </c>
    </row>
    <row r="2147" spans="1:16" x14ac:dyDescent="0.35">
      <c r="A2147" t="str">
        <v>Id2146</v>
      </c>
      <c r="B2147" t="str">
        <f>VLOOKUP(A2147,'Customer Names (2)'!A:B, 2,FALSE)</f>
        <v>Mr</v>
      </c>
      <c r="C2147">
        <f>VLOOKUP(A2147,Medical_Examinations[],2,FALSE)</f>
        <v>40.47</v>
      </c>
      <c r="D2147">
        <f>VLOOKUP(A2147,Medical_Examinations[],3,FALSE)</f>
        <v>11.15</v>
      </c>
      <c r="E2147" t="str">
        <f>VLOOKUP(A2147,Medical_Examinations[],4,FALSE)</f>
        <v>No</v>
      </c>
      <c r="F2147" t="str">
        <f>VLOOKUP(A2147,Medical_Examinations[],5,FALSE)</f>
        <v>No</v>
      </c>
      <c r="G2147" t="str">
        <f>VLOOKUP(A2147,Medical_Examinations[],6,FALSE)</f>
        <v>No</v>
      </c>
      <c r="H2147">
        <f>VLOOKUP(A2147,Medical_Examinations[],7,FALSE)</f>
        <v>0</v>
      </c>
      <c r="I2147" t="str">
        <f>VLOOKUP(A2147,Medical_Examinations[],8,FALSE)</f>
        <v>No</v>
      </c>
      <c r="J2147" t="str">
        <f>VLOOKUP(A2147,Medical_Examinations[],9,FALSE)</f>
        <v>Obesity</v>
      </c>
      <c r="K2147" t="str">
        <f>VLOOKUP(A2147,Medical_Examinations[],10,FALSE)</f>
        <v>Diabetes</v>
      </c>
      <c r="M2147">
        <f>VLOOKUP(A2147,Hospitalisation_Details__2[],4,FALSE)</f>
        <v>1984.45</v>
      </c>
      <c r="N2147" t="str">
        <f>VLOOKUP(A2147,Hospitalisation_Details__2[],5,FALSE)</f>
        <v>tier - 3</v>
      </c>
      <c r="O2147" t="str">
        <f>VLOOKUP(A2147,Hospitalisation_Details__2[],6,FALSE)</f>
        <v>tier - 3</v>
      </c>
      <c r="P2147" t="str">
        <f>VLOOKUP(A2147,Hospitalisation_Details__2[],7,FALSE)</f>
        <v>R1016</v>
      </c>
    </row>
    <row r="2148" spans="1:16" x14ac:dyDescent="0.35">
      <c r="A2148" t="str">
        <v>Id2147</v>
      </c>
      <c r="B2148" t="str">
        <f>VLOOKUP(A2148,'Customer Names (2)'!A:B, 2,FALSE)</f>
        <v>Mr</v>
      </c>
      <c r="C2148">
        <f>VLOOKUP(A2148,Medical_Examinations[],2,FALSE)</f>
        <v>32.01</v>
      </c>
      <c r="D2148">
        <f>VLOOKUP(A2148,Medical_Examinations[],3,FALSE)</f>
        <v>6.45</v>
      </c>
      <c r="E2148" t="str">
        <f>VLOOKUP(A2148,Medical_Examinations[],4,FALSE)</f>
        <v>No</v>
      </c>
      <c r="F2148" t="str">
        <f>VLOOKUP(A2148,Medical_Examinations[],5,FALSE)</f>
        <v>No</v>
      </c>
      <c r="G2148" t="str">
        <f>VLOOKUP(A2148,Medical_Examinations[],6,FALSE)</f>
        <v>No</v>
      </c>
      <c r="H2148">
        <f>VLOOKUP(A2148,Medical_Examinations[],7,FALSE)</f>
        <v>1</v>
      </c>
      <c r="I2148" t="str">
        <f>VLOOKUP(A2148,Medical_Examinations[],8,FALSE)</f>
        <v>No</v>
      </c>
      <c r="J2148" t="str">
        <f>VLOOKUP(A2148,Medical_Examinations[],9,FALSE)</f>
        <v>Obesity</v>
      </c>
      <c r="K2148" t="str">
        <f>VLOOKUP(A2148,Medical_Examinations[],10,FALSE)</f>
        <v>Prediabetes</v>
      </c>
      <c r="M2148">
        <f>VLOOKUP(A2148,Hospitalisation_Details__2[],4,FALSE)</f>
        <v>1981.58</v>
      </c>
      <c r="N2148" t="str">
        <f>VLOOKUP(A2148,Hospitalisation_Details__2[],5,FALSE)</f>
        <v>tier - 3</v>
      </c>
      <c r="O2148" t="str">
        <f>VLOOKUP(A2148,Hospitalisation_Details__2[],6,FALSE)</f>
        <v>tier - 1</v>
      </c>
      <c r="P2148" t="str">
        <f>VLOOKUP(A2148,Hospitalisation_Details__2[],7,FALSE)</f>
        <v>R1013</v>
      </c>
    </row>
    <row r="2149" spans="1:16" x14ac:dyDescent="0.35">
      <c r="A2149" t="str">
        <v>Id2148</v>
      </c>
      <c r="B2149" t="str">
        <f>VLOOKUP(A2149,'Customer Names (2)'!A:B, 2,FALSE)</f>
        <v>Mr</v>
      </c>
      <c r="C2149">
        <f>VLOOKUP(A2149,Medical_Examinations[],2,FALSE)</f>
        <v>33</v>
      </c>
      <c r="D2149">
        <f>VLOOKUP(A2149,Medical_Examinations[],3,FALSE)</f>
        <v>9.27</v>
      </c>
      <c r="E2149" t="str">
        <f>VLOOKUP(A2149,Medical_Examinations[],4,FALSE)</f>
        <v>No</v>
      </c>
      <c r="F2149" t="str">
        <f>VLOOKUP(A2149,Medical_Examinations[],5,FALSE)</f>
        <v>No</v>
      </c>
      <c r="G2149" t="str">
        <f>VLOOKUP(A2149,Medical_Examinations[],6,FALSE)</f>
        <v>No</v>
      </c>
      <c r="H2149">
        <f>VLOOKUP(A2149,Medical_Examinations[],7,FALSE)</f>
        <v>0</v>
      </c>
      <c r="I2149" t="str">
        <f>VLOOKUP(A2149,Medical_Examinations[],8,FALSE)</f>
        <v>No</v>
      </c>
      <c r="J2149" t="str">
        <f>VLOOKUP(A2149,Medical_Examinations[],9,FALSE)</f>
        <v>Obesity</v>
      </c>
      <c r="K2149" t="str">
        <f>VLOOKUP(A2149,Medical_Examinations[],10,FALSE)</f>
        <v>Diabetes</v>
      </c>
      <c r="M2149">
        <f>VLOOKUP(A2149,Hospitalisation_Details__2[],4,FALSE)</f>
        <v>1980.07</v>
      </c>
      <c r="N2149" t="str">
        <f>VLOOKUP(A2149,Hospitalisation_Details__2[],5,FALSE)</f>
        <v>tier - 3</v>
      </c>
      <c r="O2149" t="str">
        <f>VLOOKUP(A2149,Hospitalisation_Details__2[],6,FALSE)</f>
        <v>tier - 3</v>
      </c>
      <c r="P2149" t="str">
        <f>VLOOKUP(A2149,Hospitalisation_Details__2[],7,FALSE)</f>
        <v>R1011</v>
      </c>
    </row>
    <row r="2150" spans="1:16" x14ac:dyDescent="0.35">
      <c r="A2150" t="str">
        <v>Id2149</v>
      </c>
      <c r="B2150" t="str">
        <f>VLOOKUP(A2150,'Customer Names (2)'!A:B, 2,FALSE)</f>
        <v>Mr</v>
      </c>
      <c r="C2150">
        <f>VLOOKUP(A2150,Medical_Examinations[],2,FALSE)</f>
        <v>29.3</v>
      </c>
      <c r="D2150">
        <f>VLOOKUP(A2150,Medical_Examinations[],3,FALSE)</f>
        <v>6.15</v>
      </c>
      <c r="E2150" t="str">
        <f>VLOOKUP(A2150,Medical_Examinations[],4,FALSE)</f>
        <v>No</v>
      </c>
      <c r="F2150" t="str">
        <f>VLOOKUP(A2150,Medical_Examinations[],5,FALSE)</f>
        <v>No</v>
      </c>
      <c r="G2150" t="str">
        <f>VLOOKUP(A2150,Medical_Examinations[],6,FALSE)</f>
        <v>No</v>
      </c>
      <c r="H2150">
        <f>VLOOKUP(A2150,Medical_Examinations[],7,FALSE)</f>
        <v>1</v>
      </c>
      <c r="I2150" t="str">
        <f>VLOOKUP(A2150,Medical_Examinations[],8,FALSE)</f>
        <v>No</v>
      </c>
      <c r="J2150" t="str">
        <f>VLOOKUP(A2150,Medical_Examinations[],9,FALSE)</f>
        <v>Overweight</v>
      </c>
      <c r="K2150" t="str">
        <f>VLOOKUP(A2150,Medical_Examinations[],10,FALSE)</f>
        <v>Prediabetes</v>
      </c>
      <c r="M2150">
        <f>VLOOKUP(A2150,Hospitalisation_Details__2[],4,FALSE)</f>
        <v>1977.82</v>
      </c>
      <c r="N2150" t="str">
        <f>VLOOKUP(A2150,Hospitalisation_Details__2[],5,FALSE)</f>
        <v>tier - 3</v>
      </c>
      <c r="O2150" t="str">
        <f>VLOOKUP(A2150,Hospitalisation_Details__2[],6,FALSE)</f>
        <v>tier - 1</v>
      </c>
      <c r="P2150" t="str">
        <f>VLOOKUP(A2150,Hospitalisation_Details__2[],7,FALSE)</f>
        <v>R1011</v>
      </c>
    </row>
    <row r="2151" spans="1:16" x14ac:dyDescent="0.35">
      <c r="A2151" t="str">
        <v>Id2150</v>
      </c>
      <c r="B2151" t="str">
        <f>VLOOKUP(A2151,'Customer Names (2)'!A:B, 2,FALSE)</f>
        <v>Mr</v>
      </c>
      <c r="C2151">
        <f>VLOOKUP(A2151,Medical_Examinations[],2,FALSE)</f>
        <v>25.8</v>
      </c>
      <c r="D2151">
        <f>VLOOKUP(A2151,Medical_Examinations[],3,FALSE)</f>
        <v>4.13</v>
      </c>
      <c r="E2151" t="str">
        <f>VLOOKUP(A2151,Medical_Examinations[],4,FALSE)</f>
        <v>No</v>
      </c>
      <c r="F2151" t="str">
        <f>VLOOKUP(A2151,Medical_Examinations[],5,FALSE)</f>
        <v>No</v>
      </c>
      <c r="G2151" t="str">
        <f>VLOOKUP(A2151,Medical_Examinations[],6,FALSE)</f>
        <v>No</v>
      </c>
      <c r="H2151">
        <f>VLOOKUP(A2151,Medical_Examinations[],7,FALSE)</f>
        <v>1</v>
      </c>
      <c r="I2151" t="str">
        <f>VLOOKUP(A2151,Medical_Examinations[],8,FALSE)</f>
        <v>No</v>
      </c>
      <c r="J2151" t="str">
        <f>VLOOKUP(A2151,Medical_Examinations[],9,FALSE)</f>
        <v>Overweight</v>
      </c>
      <c r="K2151" t="str">
        <f>VLOOKUP(A2151,Medical_Examinations[],10,FALSE)</f>
        <v>Normal</v>
      </c>
      <c r="M2151">
        <f>VLOOKUP(A2151,Hospitalisation_Details__2[],4,FALSE)</f>
        <v>1972.95</v>
      </c>
      <c r="N2151" t="str">
        <f>VLOOKUP(A2151,Hospitalisation_Details__2[],5,FALSE)</f>
        <v>tier - 3</v>
      </c>
      <c r="O2151" t="str">
        <f>VLOOKUP(A2151,Hospitalisation_Details__2[],6,FALSE)</f>
        <v>tier - 1</v>
      </c>
      <c r="P2151" t="str">
        <f>VLOOKUP(A2151,Hospitalisation_Details__2[],7,FALSE)</f>
        <v>R1011</v>
      </c>
    </row>
    <row r="2152" spans="1:16" x14ac:dyDescent="0.35">
      <c r="A2152" t="str">
        <v>Id2151</v>
      </c>
      <c r="B2152" t="str">
        <f>VLOOKUP(A2152,'Customer Names (2)'!A:B, 2,FALSE)</f>
        <v>Mr</v>
      </c>
      <c r="C2152">
        <f>VLOOKUP(A2152,Medical_Examinations[],2,FALSE)</f>
        <v>23.4</v>
      </c>
      <c r="D2152">
        <f>VLOOKUP(A2152,Medical_Examinations[],3,FALSE)</f>
        <v>4.24</v>
      </c>
      <c r="E2152" t="str">
        <f>VLOOKUP(A2152,Medical_Examinations[],4,FALSE)</f>
        <v>No</v>
      </c>
      <c r="F2152" t="str">
        <f>VLOOKUP(A2152,Medical_Examinations[],5,FALSE)</f>
        <v>No</v>
      </c>
      <c r="G2152" t="str">
        <f>VLOOKUP(A2152,Medical_Examinations[],6,FALSE)</f>
        <v>No</v>
      </c>
      <c r="H2152">
        <f>VLOOKUP(A2152,Medical_Examinations[],7,FALSE)</f>
        <v>1</v>
      </c>
      <c r="I2152" t="str">
        <f>VLOOKUP(A2152,Medical_Examinations[],8,FALSE)</f>
        <v>No</v>
      </c>
      <c r="J2152" t="str">
        <f>VLOOKUP(A2152,Medical_Examinations[],9,FALSE)</f>
        <v>Normal Weight</v>
      </c>
      <c r="K2152" t="str">
        <f>VLOOKUP(A2152,Medical_Examinations[],10,FALSE)</f>
        <v>Normal</v>
      </c>
      <c r="M2152">
        <f>VLOOKUP(A2152,Hospitalisation_Details__2[],4,FALSE)</f>
        <v>1969.61</v>
      </c>
      <c r="N2152" t="str">
        <f>VLOOKUP(A2152,Hospitalisation_Details__2[],5,FALSE)</f>
        <v>tier - 3</v>
      </c>
      <c r="O2152" t="str">
        <f>VLOOKUP(A2152,Hospitalisation_Details__2[],6,FALSE)</f>
        <v>tier - 3</v>
      </c>
      <c r="P2152" t="str">
        <f>VLOOKUP(A2152,Hospitalisation_Details__2[],7,FALSE)</f>
        <v>R1011</v>
      </c>
    </row>
    <row r="2153" spans="1:16" x14ac:dyDescent="0.35">
      <c r="A2153" t="str">
        <v>Id2152</v>
      </c>
      <c r="B2153" t="str">
        <f>VLOOKUP(A2153,'Customer Names (2)'!A:B, 2,FALSE)</f>
        <v>Mr</v>
      </c>
      <c r="C2153">
        <f>VLOOKUP(A2153,Medical_Examinations[],2,FALSE)</f>
        <v>27.93</v>
      </c>
      <c r="D2153">
        <f>VLOOKUP(A2153,Medical_Examinations[],3,FALSE)</f>
        <v>9.8800000000000008</v>
      </c>
      <c r="E2153" t="str">
        <f>VLOOKUP(A2153,Medical_Examinations[],4,FALSE)</f>
        <v>No</v>
      </c>
      <c r="F2153" t="str">
        <f>VLOOKUP(A2153,Medical_Examinations[],5,FALSE)</f>
        <v>No</v>
      </c>
      <c r="G2153" t="str">
        <f>VLOOKUP(A2153,Medical_Examinations[],6,FALSE)</f>
        <v>No</v>
      </c>
      <c r="H2153">
        <f>VLOOKUP(A2153,Medical_Examinations[],7,FALSE)</f>
        <v>0</v>
      </c>
      <c r="I2153" t="str">
        <f>VLOOKUP(A2153,Medical_Examinations[],8,FALSE)</f>
        <v>No</v>
      </c>
      <c r="J2153" t="str">
        <f>VLOOKUP(A2153,Medical_Examinations[],9,FALSE)</f>
        <v>Overweight</v>
      </c>
      <c r="K2153" t="str">
        <f>VLOOKUP(A2153,Medical_Examinations[],10,FALSE)</f>
        <v>Diabetes</v>
      </c>
      <c r="M2153">
        <f>VLOOKUP(A2153,Hospitalisation_Details__2[],4,FALSE)</f>
        <v>1967.02</v>
      </c>
      <c r="N2153" t="str">
        <f>VLOOKUP(A2153,Hospitalisation_Details__2[],5,FALSE)</f>
        <v>tier - 3</v>
      </c>
      <c r="O2153" t="str">
        <f>VLOOKUP(A2153,Hospitalisation_Details__2[],6,FALSE)</f>
        <v>tier - 2</v>
      </c>
      <c r="P2153" t="str">
        <f>VLOOKUP(A2153,Hospitalisation_Details__2[],7,FALSE)</f>
        <v>R1016</v>
      </c>
    </row>
    <row r="2154" spans="1:16" x14ac:dyDescent="0.35">
      <c r="A2154" t="str">
        <v>Id2153</v>
      </c>
      <c r="B2154" t="str">
        <f>VLOOKUP(A2154,'Customer Names (2)'!A:B, 2,FALSE)</f>
        <v>Mr</v>
      </c>
      <c r="C2154">
        <f>VLOOKUP(A2154,Medical_Examinations[],2,FALSE)</f>
        <v>22</v>
      </c>
      <c r="D2154">
        <f>VLOOKUP(A2154,Medical_Examinations[],3,FALSE)</f>
        <v>9.5</v>
      </c>
      <c r="E2154" t="str">
        <f>VLOOKUP(A2154,Medical_Examinations[],4,FALSE)</f>
        <v>No</v>
      </c>
      <c r="F2154" t="str">
        <f>VLOOKUP(A2154,Medical_Examinations[],5,FALSE)</f>
        <v>No</v>
      </c>
      <c r="G2154" t="str">
        <f>VLOOKUP(A2154,Medical_Examinations[],6,FALSE)</f>
        <v>No</v>
      </c>
      <c r="H2154">
        <f>VLOOKUP(A2154,Medical_Examinations[],7,FALSE)</f>
        <v>0</v>
      </c>
      <c r="I2154" t="str">
        <f>VLOOKUP(A2154,Medical_Examinations[],8,FALSE)</f>
        <v>No</v>
      </c>
      <c r="J2154" t="str">
        <f>VLOOKUP(A2154,Medical_Examinations[],9,FALSE)</f>
        <v>Normal Weight</v>
      </c>
      <c r="K2154" t="str">
        <f>VLOOKUP(A2154,Medical_Examinations[],10,FALSE)</f>
        <v>Diabetes</v>
      </c>
      <c r="M2154">
        <f>VLOOKUP(A2154,Hospitalisation_Details__2[],4,FALSE)</f>
        <v>1964.78</v>
      </c>
      <c r="N2154" t="str">
        <f>VLOOKUP(A2154,Hospitalisation_Details__2[],5,FALSE)</f>
        <v>tier - 3</v>
      </c>
      <c r="O2154" t="str">
        <f>VLOOKUP(A2154,Hospitalisation_Details__2[],6,FALSE)</f>
        <v>tier - 1</v>
      </c>
      <c r="P2154" t="str">
        <f>VLOOKUP(A2154,Hospitalisation_Details__2[],7,FALSE)</f>
        <v>R1011</v>
      </c>
    </row>
    <row r="2155" spans="1:16" x14ac:dyDescent="0.35">
      <c r="A2155" t="str">
        <v>Id2154</v>
      </c>
      <c r="B2155" t="str">
        <f>VLOOKUP(A2155,'Customer Names (2)'!A:B, 2,FALSE)</f>
        <v>Mr</v>
      </c>
      <c r="C2155">
        <f>VLOOKUP(A2155,Medical_Examinations[],2,FALSE)</f>
        <v>36.86</v>
      </c>
      <c r="D2155">
        <f>VLOOKUP(A2155,Medical_Examinations[],3,FALSE)</f>
        <v>4.97</v>
      </c>
      <c r="E2155" t="str">
        <f>VLOOKUP(A2155,Medical_Examinations[],4,FALSE)</f>
        <v>Yes</v>
      </c>
      <c r="F2155" t="str">
        <f>VLOOKUP(A2155,Medical_Examinations[],5,FALSE)</f>
        <v>No</v>
      </c>
      <c r="G2155" t="str">
        <f>VLOOKUP(A2155,Medical_Examinations[],6,FALSE)</f>
        <v>No</v>
      </c>
      <c r="H2155">
        <f>VLOOKUP(A2155,Medical_Examinations[],7,FALSE)</f>
        <v>0</v>
      </c>
      <c r="I2155" t="str">
        <f>VLOOKUP(A2155,Medical_Examinations[],8,FALSE)</f>
        <v>No</v>
      </c>
      <c r="J2155" t="str">
        <f>VLOOKUP(A2155,Medical_Examinations[],9,FALSE)</f>
        <v>Obesity</v>
      </c>
      <c r="K2155" t="str">
        <f>VLOOKUP(A2155,Medical_Examinations[],10,FALSE)</f>
        <v>Normal</v>
      </c>
      <c r="M2155">
        <f>VLOOKUP(A2155,Hospitalisation_Details__2[],4,FALSE)</f>
        <v>1917.32</v>
      </c>
      <c r="N2155" t="str">
        <f>VLOOKUP(A2155,Hospitalisation_Details__2[],5,FALSE)</f>
        <v>tier - 3</v>
      </c>
      <c r="O2155" t="str">
        <f>VLOOKUP(A2155,Hospitalisation_Details__2[],6,FALSE)</f>
        <v>tier - 2</v>
      </c>
      <c r="P2155" t="str">
        <f>VLOOKUP(A2155,Hospitalisation_Details__2[],7,FALSE)</f>
        <v>R1012</v>
      </c>
    </row>
    <row r="2156" spans="1:16" x14ac:dyDescent="0.35">
      <c r="A2156" t="str">
        <v>Id2155</v>
      </c>
      <c r="B2156" t="str">
        <f>VLOOKUP(A2156,'Customer Names (2)'!A:B, 2,FALSE)</f>
        <v>Mr</v>
      </c>
      <c r="C2156">
        <f>VLOOKUP(A2156,Medical_Examinations[],2,FALSE)</f>
        <v>31.254999999999999</v>
      </c>
      <c r="D2156">
        <f>VLOOKUP(A2156,Medical_Examinations[],3,FALSE)</f>
        <v>5.49</v>
      </c>
      <c r="E2156" t="str">
        <f>VLOOKUP(A2156,Medical_Examinations[],4,FALSE)</f>
        <v>Yes</v>
      </c>
      <c r="F2156" t="str">
        <f>VLOOKUP(A2156,Medical_Examinations[],5,FALSE)</f>
        <v>No</v>
      </c>
      <c r="G2156" t="str">
        <f>VLOOKUP(A2156,Medical_Examinations[],6,FALSE)</f>
        <v>No</v>
      </c>
      <c r="H2156">
        <f>VLOOKUP(A2156,Medical_Examinations[],7,FALSE)</f>
        <v>0</v>
      </c>
      <c r="I2156" t="str">
        <f>VLOOKUP(A2156,Medical_Examinations[],8,FALSE)</f>
        <v>No</v>
      </c>
      <c r="J2156" t="str">
        <f>VLOOKUP(A2156,Medical_Examinations[],9,FALSE)</f>
        <v>Obesity</v>
      </c>
      <c r="K2156" t="str">
        <f>VLOOKUP(A2156,Medical_Examinations[],10,FALSE)</f>
        <v>Normal</v>
      </c>
      <c r="M2156">
        <f>VLOOKUP(A2156,Hospitalisation_Details__2[],4,FALSE)</f>
        <v>1909.53</v>
      </c>
      <c r="N2156" t="str">
        <f>VLOOKUP(A2156,Hospitalisation_Details__2[],5,FALSE)</f>
        <v>tier - 3</v>
      </c>
      <c r="O2156" t="str">
        <f>VLOOKUP(A2156,Hospitalisation_Details__2[],6,FALSE)</f>
        <v>tier - 3</v>
      </c>
      <c r="P2156" t="str">
        <f>VLOOKUP(A2156,Hospitalisation_Details__2[],7,FALSE)</f>
        <v>R1012</v>
      </c>
    </row>
    <row r="2157" spans="1:16" x14ac:dyDescent="0.35">
      <c r="A2157" t="str">
        <v>Id2156</v>
      </c>
      <c r="B2157" t="str">
        <f>VLOOKUP(A2157,'Customer Names (2)'!A:B, 2,FALSE)</f>
        <v>Mr</v>
      </c>
      <c r="C2157">
        <f>VLOOKUP(A2157,Medical_Examinations[],2,FALSE)</f>
        <v>23.06</v>
      </c>
      <c r="D2157">
        <f>VLOOKUP(A2157,Medical_Examinations[],3,FALSE)</f>
        <v>4.47</v>
      </c>
      <c r="E2157" t="str">
        <f>VLOOKUP(A2157,Medical_Examinations[],4,FALSE)</f>
        <v>No</v>
      </c>
      <c r="F2157" t="str">
        <f>VLOOKUP(A2157,Medical_Examinations[],5,FALSE)</f>
        <v>No</v>
      </c>
      <c r="G2157" t="str">
        <f>VLOOKUP(A2157,Medical_Examinations[],6,FALSE)</f>
        <v>No</v>
      </c>
      <c r="H2157">
        <f>VLOOKUP(A2157,Medical_Examinations[],7,FALSE)</f>
        <v>0</v>
      </c>
      <c r="I2157" t="str">
        <f>VLOOKUP(A2157,Medical_Examinations[],8,FALSE)</f>
        <v>No</v>
      </c>
      <c r="J2157" t="str">
        <f>VLOOKUP(A2157,Medical_Examinations[],9,FALSE)</f>
        <v>Normal Weight</v>
      </c>
      <c r="K2157" t="str">
        <f>VLOOKUP(A2157,Medical_Examinations[],10,FALSE)</f>
        <v>Normal</v>
      </c>
      <c r="M2157">
        <f>VLOOKUP(A2157,Hospitalisation_Details__2[],4,FALSE)</f>
        <v>1908.9</v>
      </c>
      <c r="N2157" t="str">
        <f>VLOOKUP(A2157,Hospitalisation_Details__2[],5,FALSE)</f>
        <v>tier - 3</v>
      </c>
      <c r="O2157" t="str">
        <f>VLOOKUP(A2157,Hospitalisation_Details__2[],6,FALSE)</f>
        <v>tier - 3</v>
      </c>
      <c r="P2157" t="str">
        <f>VLOOKUP(A2157,Hospitalisation_Details__2[],7,FALSE)</f>
        <v>R1013</v>
      </c>
    </row>
    <row r="2158" spans="1:16" x14ac:dyDescent="0.35">
      <c r="A2158" t="str">
        <v>Id2157</v>
      </c>
      <c r="B2158" t="str">
        <f>VLOOKUP(A2158,'Customer Names (2)'!A:B, 2,FALSE)</f>
        <v>Mr</v>
      </c>
      <c r="C2158">
        <f>VLOOKUP(A2158,Medical_Examinations[],2,FALSE)</f>
        <v>28.975000000000001</v>
      </c>
      <c r="D2158">
        <f>VLOOKUP(A2158,Medical_Examinations[],3,FALSE)</f>
        <v>4.34</v>
      </c>
      <c r="E2158" t="str">
        <f>VLOOKUP(A2158,Medical_Examinations[],4,FALSE)</f>
        <v>Yes</v>
      </c>
      <c r="F2158" t="str">
        <f>VLOOKUP(A2158,Medical_Examinations[],5,FALSE)</f>
        <v>No</v>
      </c>
      <c r="G2158" t="str">
        <f>VLOOKUP(A2158,Medical_Examinations[],6,FALSE)</f>
        <v>No</v>
      </c>
      <c r="H2158">
        <f>VLOOKUP(A2158,Medical_Examinations[],7,FALSE)</f>
        <v>0</v>
      </c>
      <c r="I2158" t="str">
        <f>VLOOKUP(A2158,Medical_Examinations[],8,FALSE)</f>
        <v>No</v>
      </c>
      <c r="J2158" t="str">
        <f>VLOOKUP(A2158,Medical_Examinations[],9,FALSE)</f>
        <v>Overweight</v>
      </c>
      <c r="K2158" t="str">
        <f>VLOOKUP(A2158,Medical_Examinations[],10,FALSE)</f>
        <v>Normal</v>
      </c>
      <c r="M2158">
        <f>VLOOKUP(A2158,Hospitalisation_Details__2[],4,FALSE)</f>
        <v>1906.36</v>
      </c>
      <c r="N2158" t="str">
        <f>VLOOKUP(A2158,Hospitalisation_Details__2[],5,FALSE)</f>
        <v>tier - 3</v>
      </c>
      <c r="O2158" t="str">
        <f>VLOOKUP(A2158,Hospitalisation_Details__2[],6,FALSE)</f>
        <v>tier - 1</v>
      </c>
      <c r="P2158" t="str">
        <f>VLOOKUP(A2158,Hospitalisation_Details__2[],7,FALSE)</f>
        <v>R1012</v>
      </c>
    </row>
    <row r="2159" spans="1:16" x14ac:dyDescent="0.35">
      <c r="A2159" t="str">
        <v>Id2158</v>
      </c>
      <c r="B2159" t="str">
        <f>VLOOKUP(A2159,'Customer Names (2)'!A:B, 2,FALSE)</f>
        <v>Ms</v>
      </c>
      <c r="C2159">
        <f>VLOOKUP(A2159,Medical_Examinations[],2,FALSE)</f>
        <v>33.299999999999997</v>
      </c>
      <c r="D2159">
        <f>VLOOKUP(A2159,Medical_Examinations[],3,FALSE)</f>
        <v>9.49</v>
      </c>
      <c r="E2159" t="str">
        <f>VLOOKUP(A2159,Medical_Examinations[],4,FALSE)</f>
        <v>No</v>
      </c>
      <c r="F2159" t="str">
        <f>VLOOKUP(A2159,Medical_Examinations[],5,FALSE)</f>
        <v>No</v>
      </c>
      <c r="G2159" t="str">
        <f>VLOOKUP(A2159,Medical_Examinations[],6,FALSE)</f>
        <v>No</v>
      </c>
      <c r="H2159">
        <f>VLOOKUP(A2159,Medical_Examinations[],7,FALSE)</f>
        <v>0</v>
      </c>
      <c r="I2159" t="str">
        <f>VLOOKUP(A2159,Medical_Examinations[],8,FALSE)</f>
        <v>No</v>
      </c>
      <c r="J2159" t="str">
        <f>VLOOKUP(A2159,Medical_Examinations[],9,FALSE)</f>
        <v>Obesity</v>
      </c>
      <c r="K2159" t="str">
        <f>VLOOKUP(A2159,Medical_Examinations[],10,FALSE)</f>
        <v>Diabetes</v>
      </c>
      <c r="M2159">
        <f>VLOOKUP(A2159,Hospitalisation_Details__2[],4,FALSE)</f>
        <v>1880.49</v>
      </c>
      <c r="N2159" t="str">
        <f>VLOOKUP(A2159,Hospitalisation_Details__2[],5,FALSE)</f>
        <v>tier - 3</v>
      </c>
      <c r="O2159" t="str">
        <f>VLOOKUP(A2159,Hospitalisation_Details__2[],6,FALSE)</f>
        <v>tier - 1</v>
      </c>
      <c r="P2159" t="str">
        <f>VLOOKUP(A2159,Hospitalisation_Details__2[],7,FALSE)</f>
        <v>R1011</v>
      </c>
    </row>
    <row r="2160" spans="1:16" x14ac:dyDescent="0.35">
      <c r="A2160" t="str">
        <v>Id2159</v>
      </c>
      <c r="B2160" t="str">
        <f>VLOOKUP(A2160,'Customer Names (2)'!A:B, 2,FALSE)</f>
        <v>Ms</v>
      </c>
      <c r="C2160">
        <f>VLOOKUP(A2160,Medical_Examinations[],2,FALSE)</f>
        <v>33</v>
      </c>
      <c r="D2160">
        <f>VLOOKUP(A2160,Medical_Examinations[],3,FALSE)</f>
        <v>10.16</v>
      </c>
      <c r="E2160" t="str">
        <f>VLOOKUP(A2160,Medical_Examinations[],4,FALSE)</f>
        <v>No</v>
      </c>
      <c r="F2160" t="str">
        <f>VLOOKUP(A2160,Medical_Examinations[],5,FALSE)</f>
        <v>No</v>
      </c>
      <c r="G2160" t="str">
        <f>VLOOKUP(A2160,Medical_Examinations[],6,FALSE)</f>
        <v>No</v>
      </c>
      <c r="H2160">
        <f>VLOOKUP(A2160,Medical_Examinations[],7,FALSE)</f>
        <v>0</v>
      </c>
      <c r="I2160" t="str">
        <f>VLOOKUP(A2160,Medical_Examinations[],8,FALSE)</f>
        <v>No</v>
      </c>
      <c r="J2160" t="str">
        <f>VLOOKUP(A2160,Medical_Examinations[],9,FALSE)</f>
        <v>Obesity</v>
      </c>
      <c r="K2160" t="str">
        <f>VLOOKUP(A2160,Medical_Examinations[],10,FALSE)</f>
        <v>Diabetes</v>
      </c>
      <c r="M2160">
        <f>VLOOKUP(A2160,Hospitalisation_Details__2[],4,FALSE)</f>
        <v>1880.07</v>
      </c>
      <c r="N2160" t="str">
        <f>VLOOKUP(A2160,Hospitalisation_Details__2[],5,FALSE)</f>
        <v>tier - 3</v>
      </c>
      <c r="O2160" t="str">
        <f>VLOOKUP(A2160,Hospitalisation_Details__2[],6,FALSE)</f>
        <v>tier - 2</v>
      </c>
      <c r="P2160" t="str">
        <f>VLOOKUP(A2160,Hospitalisation_Details__2[],7,FALSE)</f>
        <v>R1013</v>
      </c>
    </row>
    <row r="2161" spans="1:16" x14ac:dyDescent="0.35">
      <c r="A2161" t="str">
        <v>Id2160</v>
      </c>
      <c r="B2161" t="str">
        <f>VLOOKUP(A2161,'Customer Names (2)'!A:B, 2,FALSE)</f>
        <v>Ms</v>
      </c>
      <c r="C2161">
        <f>VLOOKUP(A2161,Medical_Examinations[],2,FALSE)</f>
        <v>31.46</v>
      </c>
      <c r="D2161">
        <f>VLOOKUP(A2161,Medical_Examinations[],3,FALSE)</f>
        <v>11.19</v>
      </c>
      <c r="E2161" t="str">
        <f>VLOOKUP(A2161,Medical_Examinations[],4,FALSE)</f>
        <v>No</v>
      </c>
      <c r="F2161" t="str">
        <f>VLOOKUP(A2161,Medical_Examinations[],5,FALSE)</f>
        <v>No</v>
      </c>
      <c r="G2161" t="str">
        <f>VLOOKUP(A2161,Medical_Examinations[],6,FALSE)</f>
        <v>No</v>
      </c>
      <c r="H2161">
        <f>VLOOKUP(A2161,Medical_Examinations[],7,FALSE)</f>
        <v>0</v>
      </c>
      <c r="I2161" t="str">
        <f>VLOOKUP(A2161,Medical_Examinations[],8,FALSE)</f>
        <v>No</v>
      </c>
      <c r="J2161" t="str">
        <f>VLOOKUP(A2161,Medical_Examinations[],9,FALSE)</f>
        <v>Obesity</v>
      </c>
      <c r="K2161" t="str">
        <f>VLOOKUP(A2161,Medical_Examinations[],10,FALSE)</f>
        <v>Diabetes</v>
      </c>
      <c r="M2161">
        <f>VLOOKUP(A2161,Hospitalisation_Details__2[],4,FALSE)</f>
        <v>1877.93</v>
      </c>
      <c r="N2161" t="str">
        <f>VLOOKUP(A2161,Hospitalisation_Details__2[],5,FALSE)</f>
        <v>tier - 3</v>
      </c>
      <c r="O2161" t="str">
        <f>VLOOKUP(A2161,Hospitalisation_Details__2[],6,FALSE)</f>
        <v>tier - 1</v>
      </c>
      <c r="P2161" t="str">
        <f>VLOOKUP(A2161,Hospitalisation_Details__2[],7,FALSE)</f>
        <v>R1013</v>
      </c>
    </row>
    <row r="2162" spans="1:16" x14ac:dyDescent="0.35">
      <c r="A2162" t="str">
        <v>Id2161</v>
      </c>
      <c r="B2162" t="str">
        <f>VLOOKUP(A2162,'Customer Names (2)'!A:B, 2,FALSE)</f>
        <v>Ms</v>
      </c>
      <c r="C2162">
        <f>VLOOKUP(A2162,Medical_Examinations[],2,FALSE)</f>
        <v>29.6</v>
      </c>
      <c r="D2162">
        <f>VLOOKUP(A2162,Medical_Examinations[],3,FALSE)</f>
        <v>11.03</v>
      </c>
      <c r="E2162" t="str">
        <f>VLOOKUP(A2162,Medical_Examinations[],4,FALSE)</f>
        <v>No</v>
      </c>
      <c r="F2162" t="str">
        <f>VLOOKUP(A2162,Medical_Examinations[],5,FALSE)</f>
        <v>No</v>
      </c>
      <c r="G2162" t="str">
        <f>VLOOKUP(A2162,Medical_Examinations[],6,FALSE)</f>
        <v>No</v>
      </c>
      <c r="H2162">
        <f>VLOOKUP(A2162,Medical_Examinations[],7,FALSE)</f>
        <v>0</v>
      </c>
      <c r="I2162" t="str">
        <f>VLOOKUP(A2162,Medical_Examinations[],8,FALSE)</f>
        <v>No</v>
      </c>
      <c r="J2162" t="str">
        <f>VLOOKUP(A2162,Medical_Examinations[],9,FALSE)</f>
        <v>Overweight</v>
      </c>
      <c r="K2162" t="str">
        <f>VLOOKUP(A2162,Medical_Examinations[],10,FALSE)</f>
        <v>Diabetes</v>
      </c>
      <c r="M2162">
        <f>VLOOKUP(A2162,Hospitalisation_Details__2[],4,FALSE)</f>
        <v>1875.34</v>
      </c>
      <c r="N2162" t="str">
        <f>VLOOKUP(A2162,Hospitalisation_Details__2[],5,FALSE)</f>
        <v>tier - 3</v>
      </c>
      <c r="O2162" t="str">
        <f>VLOOKUP(A2162,Hospitalisation_Details__2[],6,FALSE)</f>
        <v>tier - 2</v>
      </c>
      <c r="P2162" t="str">
        <f>VLOOKUP(A2162,Hospitalisation_Details__2[],7,FALSE)</f>
        <v>R1011</v>
      </c>
    </row>
    <row r="2163" spans="1:16" x14ac:dyDescent="0.35">
      <c r="A2163" t="str">
        <v>Id2162</v>
      </c>
      <c r="B2163" t="str">
        <f>VLOOKUP(A2163,'Customer Names (2)'!A:B, 2,FALSE)</f>
        <v>Ms</v>
      </c>
      <c r="C2163">
        <f>VLOOKUP(A2163,Medical_Examinations[],2,FALSE)</f>
        <v>22.05</v>
      </c>
      <c r="D2163">
        <f>VLOOKUP(A2163,Medical_Examinations[],3,FALSE)</f>
        <v>4.43</v>
      </c>
      <c r="E2163" t="str">
        <f>VLOOKUP(A2163,Medical_Examinations[],4,FALSE)</f>
        <v>Yes</v>
      </c>
      <c r="F2163" t="str">
        <f>VLOOKUP(A2163,Medical_Examinations[],5,FALSE)</f>
        <v>No</v>
      </c>
      <c r="G2163" t="str">
        <f>VLOOKUP(A2163,Medical_Examinations[],6,FALSE)</f>
        <v>No</v>
      </c>
      <c r="H2163">
        <f>VLOOKUP(A2163,Medical_Examinations[],7,FALSE)</f>
        <v>0</v>
      </c>
      <c r="I2163" t="str">
        <f>VLOOKUP(A2163,Medical_Examinations[],8,FALSE)</f>
        <v>No</v>
      </c>
      <c r="J2163" t="str">
        <f>VLOOKUP(A2163,Medical_Examinations[],9,FALSE)</f>
        <v>Normal Weight</v>
      </c>
      <c r="K2163" t="str">
        <f>VLOOKUP(A2163,Medical_Examinations[],10,FALSE)</f>
        <v>Normal</v>
      </c>
      <c r="M2163">
        <f>VLOOKUP(A2163,Hospitalisation_Details__2[],4,FALSE)</f>
        <v>1865.98</v>
      </c>
      <c r="N2163" t="str">
        <f>VLOOKUP(A2163,Hospitalisation_Details__2[],5,FALSE)</f>
        <v>tier - 3</v>
      </c>
      <c r="O2163" t="str">
        <f>VLOOKUP(A2163,Hospitalisation_Details__2[],6,FALSE)</f>
        <v>tier - 3</v>
      </c>
      <c r="P2163" t="str">
        <f>VLOOKUP(A2163,Hospitalisation_Details__2[],7,FALSE)</f>
        <v>R1012</v>
      </c>
    </row>
    <row r="2164" spans="1:16" x14ac:dyDescent="0.35">
      <c r="A2164" t="str">
        <v>Id2163</v>
      </c>
      <c r="B2164" t="str">
        <f>VLOOKUP(A2164,'Customer Names (2)'!A:B, 2,FALSE)</f>
        <v>Mrs</v>
      </c>
      <c r="C2164">
        <f>VLOOKUP(A2164,Medical_Examinations[],2,FALSE)</f>
        <v>27.06</v>
      </c>
      <c r="D2164">
        <f>VLOOKUP(A2164,Medical_Examinations[],3,FALSE)</f>
        <v>6.14</v>
      </c>
      <c r="E2164" t="str">
        <f>VLOOKUP(A2164,Medical_Examinations[],4,FALSE)</f>
        <v>No</v>
      </c>
      <c r="F2164" t="str">
        <f>VLOOKUP(A2164,Medical_Examinations[],5,FALSE)</f>
        <v>yes</v>
      </c>
      <c r="G2164" t="str">
        <f>VLOOKUP(A2164,Medical_Examinations[],6,FALSE)</f>
        <v>No</v>
      </c>
      <c r="H2164">
        <f>VLOOKUP(A2164,Medical_Examinations[],7,FALSE)</f>
        <v>1</v>
      </c>
      <c r="I2164" t="str">
        <f>VLOOKUP(A2164,Medical_Examinations[],8,FALSE)</f>
        <v>No</v>
      </c>
      <c r="J2164" t="str">
        <f>VLOOKUP(A2164,Medical_Examinations[],9,FALSE)</f>
        <v>Overweight</v>
      </c>
      <c r="K2164" t="str">
        <f>VLOOKUP(A2164,Medical_Examinations[],10,FALSE)</f>
        <v>Prediabetes</v>
      </c>
      <c r="M2164">
        <f>VLOOKUP(A2164,Hospitalisation_Details__2[],4,FALSE)</f>
        <v>1863.45</v>
      </c>
      <c r="N2164" t="str">
        <f>VLOOKUP(A2164,Hospitalisation_Details__2[],5,FALSE)</f>
        <v>tier - 3</v>
      </c>
      <c r="O2164" t="str">
        <f>VLOOKUP(A2164,Hospitalisation_Details__2[],6,FALSE)</f>
        <v>tier - 1</v>
      </c>
      <c r="P2164" t="str">
        <f>VLOOKUP(A2164,Hospitalisation_Details__2[],7,FALSE)</f>
        <v>R1025</v>
      </c>
    </row>
    <row r="2165" spans="1:16" x14ac:dyDescent="0.35">
      <c r="A2165" t="str">
        <v>Id2164</v>
      </c>
      <c r="B2165" t="str">
        <f>VLOOKUP(A2165,'Customer Names (2)'!A:B, 2,FALSE)</f>
        <v>Ms</v>
      </c>
      <c r="C2165">
        <f>VLOOKUP(A2165,Medical_Examinations[],2,FALSE)</f>
        <v>20.49</v>
      </c>
      <c r="D2165">
        <f>VLOOKUP(A2165,Medical_Examinations[],3,FALSE)</f>
        <v>4.87</v>
      </c>
      <c r="E2165" t="str">
        <f>VLOOKUP(A2165,Medical_Examinations[],4,FALSE)</f>
        <v>No</v>
      </c>
      <c r="F2165" t="str">
        <f>VLOOKUP(A2165,Medical_Examinations[],5,FALSE)</f>
        <v>No</v>
      </c>
      <c r="G2165" t="str">
        <f>VLOOKUP(A2165,Medical_Examinations[],6,FALSE)</f>
        <v>No</v>
      </c>
      <c r="H2165">
        <f>VLOOKUP(A2165,Medical_Examinations[],7,FALSE)</f>
        <v>0</v>
      </c>
      <c r="I2165" t="str">
        <f>VLOOKUP(A2165,Medical_Examinations[],8,FALSE)</f>
        <v>No</v>
      </c>
      <c r="J2165" t="str">
        <f>VLOOKUP(A2165,Medical_Examinations[],9,FALSE)</f>
        <v>Normal Weight</v>
      </c>
      <c r="K2165" t="str">
        <f>VLOOKUP(A2165,Medical_Examinations[],10,FALSE)</f>
        <v>Normal</v>
      </c>
      <c r="M2165">
        <f>VLOOKUP(A2165,Hospitalisation_Details__2[],4,FALSE)</f>
        <v>1850.55</v>
      </c>
      <c r="N2165" t="str">
        <f>VLOOKUP(A2165,Hospitalisation_Details__2[],5,FALSE)</f>
        <v>tier - 3</v>
      </c>
      <c r="O2165" t="str">
        <f>VLOOKUP(A2165,Hospitalisation_Details__2[],6,FALSE)</f>
        <v>tier - 2</v>
      </c>
      <c r="P2165" t="str">
        <f>VLOOKUP(A2165,Hospitalisation_Details__2[],7,FALSE)</f>
        <v>R1012</v>
      </c>
    </row>
    <row r="2166" spans="1:16" x14ac:dyDescent="0.35">
      <c r="A2166" t="str">
        <v>Id2165</v>
      </c>
      <c r="B2166" t="str">
        <f>VLOOKUP(A2166,'Customer Names (2)'!A:B, 2,FALSE)</f>
        <v>Mr</v>
      </c>
      <c r="C2166">
        <f>VLOOKUP(A2166,Medical_Examinations[],2,FALSE)</f>
        <v>28.4</v>
      </c>
      <c r="D2166">
        <f>VLOOKUP(A2166,Medical_Examinations[],3,FALSE)</f>
        <v>4.3</v>
      </c>
      <c r="E2166" t="str">
        <f>VLOOKUP(A2166,Medical_Examinations[],4,FALSE)</f>
        <v>No</v>
      </c>
      <c r="F2166" t="str">
        <f>VLOOKUP(A2166,Medical_Examinations[],5,FALSE)</f>
        <v>No</v>
      </c>
      <c r="G2166" t="str">
        <f>VLOOKUP(A2166,Medical_Examinations[],6,FALSE)</f>
        <v>Yes</v>
      </c>
      <c r="H2166">
        <f>VLOOKUP(A2166,Medical_Examinations[],7,FALSE)</f>
        <v>1</v>
      </c>
      <c r="I2166" t="str">
        <f>VLOOKUP(A2166,Medical_Examinations[],8,FALSE)</f>
        <v>No</v>
      </c>
      <c r="J2166" t="str">
        <f>VLOOKUP(A2166,Medical_Examinations[],9,FALSE)</f>
        <v>Overweight</v>
      </c>
      <c r="K2166" t="str">
        <f>VLOOKUP(A2166,Medical_Examinations[],10,FALSE)</f>
        <v>Normal</v>
      </c>
      <c r="M2166">
        <f>VLOOKUP(A2166,Hospitalisation_Details__2[],4,FALSE)</f>
        <v>1842.52</v>
      </c>
      <c r="N2166" t="str">
        <f>VLOOKUP(A2166,Hospitalisation_Details__2[],5,FALSE)</f>
        <v>tier - 3</v>
      </c>
      <c r="O2166" t="str">
        <f>VLOOKUP(A2166,Hospitalisation_Details__2[],6,FALSE)</f>
        <v>tier - 2</v>
      </c>
      <c r="P2166" t="str">
        <f>VLOOKUP(A2166,Hospitalisation_Details__2[],7,FALSE)</f>
        <v>R1011</v>
      </c>
    </row>
    <row r="2167" spans="1:16" x14ac:dyDescent="0.35">
      <c r="A2167" t="str">
        <v>Id2166</v>
      </c>
      <c r="B2167" t="str">
        <f>VLOOKUP(A2167,'Customer Names (2)'!A:B, 2,FALSE)</f>
        <v>Mr</v>
      </c>
      <c r="C2167">
        <f>VLOOKUP(A2167,Medical_Examinations[],2,FALSE)</f>
        <v>41.91</v>
      </c>
      <c r="D2167">
        <f>VLOOKUP(A2167,Medical_Examinations[],3,FALSE)</f>
        <v>6.19</v>
      </c>
      <c r="E2167" t="str">
        <f>VLOOKUP(A2167,Medical_Examinations[],4,FALSE)</f>
        <v>No</v>
      </c>
      <c r="F2167" t="str">
        <f>VLOOKUP(A2167,Medical_Examinations[],5,FALSE)</f>
        <v>No</v>
      </c>
      <c r="G2167" t="str">
        <f>VLOOKUP(A2167,Medical_Examinations[],6,FALSE)</f>
        <v>No</v>
      </c>
      <c r="H2167">
        <f>VLOOKUP(A2167,Medical_Examinations[],7,FALSE)</f>
        <v>0</v>
      </c>
      <c r="I2167" t="str">
        <f>VLOOKUP(A2167,Medical_Examinations[],8,FALSE)</f>
        <v>No</v>
      </c>
      <c r="J2167" t="str">
        <f>VLOOKUP(A2167,Medical_Examinations[],9,FALSE)</f>
        <v>Obesity</v>
      </c>
      <c r="K2167" t="str">
        <f>VLOOKUP(A2167,Medical_Examinations[],10,FALSE)</f>
        <v>Prediabetes</v>
      </c>
      <c r="M2167">
        <f>VLOOKUP(A2167,Hospitalisation_Details__2[],4,FALSE)</f>
        <v>1837.28</v>
      </c>
      <c r="N2167" t="str">
        <f>VLOOKUP(A2167,Hospitalisation_Details__2[],5,FALSE)</f>
        <v>tier - 3</v>
      </c>
      <c r="O2167" t="str">
        <f>VLOOKUP(A2167,Hospitalisation_Details__2[],6,FALSE)</f>
        <v>tier - 2</v>
      </c>
      <c r="P2167" t="str">
        <f>VLOOKUP(A2167,Hospitalisation_Details__2[],7,FALSE)</f>
        <v>R1013</v>
      </c>
    </row>
    <row r="2168" spans="1:16" x14ac:dyDescent="0.35">
      <c r="A2168" t="str">
        <v>Id2167</v>
      </c>
      <c r="B2168" t="str">
        <f>VLOOKUP(A2168,'Customer Names (2)'!A:B, 2,FALSE)</f>
        <v>Mr</v>
      </c>
      <c r="C2168">
        <f>VLOOKUP(A2168,Medical_Examinations[],2,FALSE)</f>
        <v>24.6</v>
      </c>
      <c r="D2168">
        <f>VLOOKUP(A2168,Medical_Examinations[],3,FALSE)</f>
        <v>6.19</v>
      </c>
      <c r="E2168" t="str">
        <f>VLOOKUP(A2168,Medical_Examinations[],4,FALSE)</f>
        <v>No</v>
      </c>
      <c r="F2168" t="str">
        <f>VLOOKUP(A2168,Medical_Examinations[],5,FALSE)</f>
        <v>No</v>
      </c>
      <c r="G2168" t="str">
        <f>VLOOKUP(A2168,Medical_Examinations[],6,FALSE)</f>
        <v>Yes</v>
      </c>
      <c r="H2168">
        <f>VLOOKUP(A2168,Medical_Examinations[],7,FALSE)</f>
        <v>1</v>
      </c>
      <c r="I2168" t="str">
        <f>VLOOKUP(A2168,Medical_Examinations[],8,FALSE)</f>
        <v>No</v>
      </c>
      <c r="J2168" t="str">
        <f>VLOOKUP(A2168,Medical_Examinations[],9,FALSE)</f>
        <v>Normal Weight</v>
      </c>
      <c r="K2168" t="str">
        <f>VLOOKUP(A2168,Medical_Examinations[],10,FALSE)</f>
        <v>Prediabetes</v>
      </c>
      <c r="M2168">
        <f>VLOOKUP(A2168,Hospitalisation_Details__2[],4,FALSE)</f>
        <v>1837.24</v>
      </c>
      <c r="N2168" t="str">
        <f>VLOOKUP(A2168,Hospitalisation_Details__2[],5,FALSE)</f>
        <v>tier - 3</v>
      </c>
      <c r="O2168" t="str">
        <f>VLOOKUP(A2168,Hospitalisation_Details__2[],6,FALSE)</f>
        <v>tier - 2</v>
      </c>
      <c r="P2168" t="str">
        <f>VLOOKUP(A2168,Hospitalisation_Details__2[],7,FALSE)</f>
        <v>R1011</v>
      </c>
    </row>
    <row r="2169" spans="1:16" x14ac:dyDescent="0.35">
      <c r="A2169" t="str">
        <v>Id2168</v>
      </c>
      <c r="B2169" t="str">
        <f>VLOOKUP(A2169,'Customer Names (2)'!A:B, 2,FALSE)</f>
        <v>Mr</v>
      </c>
      <c r="C2169">
        <f>VLOOKUP(A2169,Medical_Examinations[],2,FALSE)</f>
        <v>20.9</v>
      </c>
      <c r="D2169">
        <f>VLOOKUP(A2169,Medical_Examinations[],3,FALSE)</f>
        <v>5.12</v>
      </c>
      <c r="E2169" t="str">
        <f>VLOOKUP(A2169,Medical_Examinations[],4,FALSE)</f>
        <v>No</v>
      </c>
      <c r="F2169" t="str">
        <f>VLOOKUP(A2169,Medical_Examinations[],5,FALSE)</f>
        <v>No</v>
      </c>
      <c r="G2169" t="str">
        <f>VLOOKUP(A2169,Medical_Examinations[],6,FALSE)</f>
        <v>Yes</v>
      </c>
      <c r="H2169">
        <f>VLOOKUP(A2169,Medical_Examinations[],7,FALSE)</f>
        <v>1</v>
      </c>
      <c r="I2169" t="str">
        <f>VLOOKUP(A2169,Medical_Examinations[],8,FALSE)</f>
        <v>No</v>
      </c>
      <c r="J2169" t="str">
        <f>VLOOKUP(A2169,Medical_Examinations[],9,FALSE)</f>
        <v>Normal Weight</v>
      </c>
      <c r="K2169" t="str">
        <f>VLOOKUP(A2169,Medical_Examinations[],10,FALSE)</f>
        <v>Normal</v>
      </c>
      <c r="M2169">
        <f>VLOOKUP(A2169,Hospitalisation_Details__2[],4,FALSE)</f>
        <v>1832.09</v>
      </c>
      <c r="N2169" t="str">
        <f>VLOOKUP(A2169,Hospitalisation_Details__2[],5,FALSE)</f>
        <v>tier - 3</v>
      </c>
      <c r="O2169" t="str">
        <f>VLOOKUP(A2169,Hospitalisation_Details__2[],6,FALSE)</f>
        <v>tier - 3</v>
      </c>
      <c r="P2169" t="str">
        <f>VLOOKUP(A2169,Hospitalisation_Details__2[],7,FALSE)</f>
        <v>R1011</v>
      </c>
    </row>
    <row r="2170" spans="1:16" x14ac:dyDescent="0.35">
      <c r="A2170" t="str">
        <v>Id2169</v>
      </c>
      <c r="B2170" t="str">
        <f>VLOOKUP(A2170,'Customer Names (2)'!A:B, 2,FALSE)</f>
        <v>Mr</v>
      </c>
      <c r="C2170">
        <f>VLOOKUP(A2170,Medical_Examinations[],2,FALSE)</f>
        <v>34.4</v>
      </c>
      <c r="D2170">
        <f>VLOOKUP(A2170,Medical_Examinations[],3,FALSE)</f>
        <v>4.04</v>
      </c>
      <c r="E2170" t="str">
        <f>VLOOKUP(A2170,Medical_Examinations[],4,FALSE)</f>
        <v>No</v>
      </c>
      <c r="F2170" t="str">
        <f>VLOOKUP(A2170,Medical_Examinations[],5,FALSE)</f>
        <v>No</v>
      </c>
      <c r="G2170" t="str">
        <f>VLOOKUP(A2170,Medical_Examinations[],6,FALSE)</f>
        <v>No</v>
      </c>
      <c r="H2170">
        <f>VLOOKUP(A2170,Medical_Examinations[],7,FALSE)</f>
        <v>0</v>
      </c>
      <c r="I2170" t="str">
        <f>VLOOKUP(A2170,Medical_Examinations[],8,FALSE)</f>
        <v>No</v>
      </c>
      <c r="J2170" t="str">
        <f>VLOOKUP(A2170,Medical_Examinations[],9,FALSE)</f>
        <v>Obesity</v>
      </c>
      <c r="K2170" t="str">
        <f>VLOOKUP(A2170,Medical_Examinations[],10,FALSE)</f>
        <v>Normal</v>
      </c>
      <c r="M2170">
        <f>VLOOKUP(A2170,Hospitalisation_Details__2[],4,FALSE)</f>
        <v>1826.84</v>
      </c>
      <c r="N2170" t="str">
        <f>VLOOKUP(A2170,Hospitalisation_Details__2[],5,FALSE)</f>
        <v>tier - 3</v>
      </c>
      <c r="O2170" t="str">
        <f>VLOOKUP(A2170,Hospitalisation_Details__2[],6,FALSE)</f>
        <v>tier - 2</v>
      </c>
      <c r="P2170" t="str">
        <f>VLOOKUP(A2170,Hospitalisation_Details__2[],7,FALSE)</f>
        <v>R1011</v>
      </c>
    </row>
    <row r="2171" spans="1:16" x14ac:dyDescent="0.35">
      <c r="A2171" t="str">
        <v>Id2170</v>
      </c>
      <c r="B2171" t="str">
        <f>VLOOKUP(A2171,'Customer Names (2)'!A:B, 2,FALSE)</f>
        <v>Mr</v>
      </c>
      <c r="C2171">
        <f>VLOOKUP(A2171,Medical_Examinations[],2,FALSE)</f>
        <v>32.56</v>
      </c>
      <c r="D2171">
        <f>VLOOKUP(A2171,Medical_Examinations[],3,FALSE)</f>
        <v>5.36</v>
      </c>
      <c r="E2171" t="str">
        <f>VLOOKUP(A2171,Medical_Examinations[],4,FALSE)</f>
        <v>No</v>
      </c>
      <c r="F2171" t="str">
        <f>VLOOKUP(A2171,Medical_Examinations[],5,FALSE)</f>
        <v>No</v>
      </c>
      <c r="G2171" t="str">
        <f>VLOOKUP(A2171,Medical_Examinations[],6,FALSE)</f>
        <v>No</v>
      </c>
      <c r="H2171">
        <f>VLOOKUP(A2171,Medical_Examinations[],7,FALSE)</f>
        <v>0</v>
      </c>
      <c r="I2171" t="str">
        <f>VLOOKUP(A2171,Medical_Examinations[],8,FALSE)</f>
        <v>No</v>
      </c>
      <c r="J2171" t="str">
        <f>VLOOKUP(A2171,Medical_Examinations[],9,FALSE)</f>
        <v>Obesity</v>
      </c>
      <c r="K2171" t="str">
        <f>VLOOKUP(A2171,Medical_Examinations[],10,FALSE)</f>
        <v>Normal</v>
      </c>
      <c r="M2171">
        <f>VLOOKUP(A2171,Hospitalisation_Details__2[],4,FALSE)</f>
        <v>1824.29</v>
      </c>
      <c r="N2171" t="str">
        <f>VLOOKUP(A2171,Hospitalisation_Details__2[],5,FALSE)</f>
        <v>tier - 3</v>
      </c>
      <c r="O2171" t="str">
        <f>VLOOKUP(A2171,Hospitalisation_Details__2[],6,FALSE)</f>
        <v>tier - 3</v>
      </c>
      <c r="P2171" t="str">
        <f>VLOOKUP(A2171,Hospitalisation_Details__2[],7,FALSE)</f>
        <v>R1013</v>
      </c>
    </row>
    <row r="2172" spans="1:16" x14ac:dyDescent="0.35">
      <c r="A2172" t="str">
        <v>Id2171</v>
      </c>
      <c r="B2172" t="str">
        <f>VLOOKUP(A2172,'Customer Names (2)'!A:B, 2,FALSE)</f>
        <v>Ms</v>
      </c>
      <c r="C2172">
        <f>VLOOKUP(A2172,Medical_Examinations[],2,FALSE)</f>
        <v>27.98</v>
      </c>
      <c r="D2172">
        <f>VLOOKUP(A2172,Medical_Examinations[],3,FALSE)</f>
        <v>4.38</v>
      </c>
      <c r="E2172" t="str">
        <f>VLOOKUP(A2172,Medical_Examinations[],4,FALSE)</f>
        <v>No</v>
      </c>
      <c r="F2172" t="str">
        <f>VLOOKUP(A2172,Medical_Examinations[],5,FALSE)</f>
        <v>yes</v>
      </c>
      <c r="G2172" t="str">
        <f>VLOOKUP(A2172,Medical_Examinations[],6,FALSE)</f>
        <v>No</v>
      </c>
      <c r="H2172">
        <f>VLOOKUP(A2172,Medical_Examinations[],7,FALSE)</f>
        <v>1</v>
      </c>
      <c r="I2172" t="str">
        <f>VLOOKUP(A2172,Medical_Examinations[],8,FALSE)</f>
        <v>No</v>
      </c>
      <c r="J2172" t="str">
        <f>VLOOKUP(A2172,Medical_Examinations[],9,FALSE)</f>
        <v>Overweight</v>
      </c>
      <c r="K2172" t="str">
        <f>VLOOKUP(A2172,Medical_Examinations[],10,FALSE)</f>
        <v>Normal</v>
      </c>
      <c r="M2172">
        <f>VLOOKUP(A2172,Hospitalisation_Details__2[],4,FALSE)</f>
        <v>1822.54</v>
      </c>
      <c r="N2172" t="str">
        <f>VLOOKUP(A2172,Hospitalisation_Details__2[],5,FALSE)</f>
        <v>tier - 3</v>
      </c>
      <c r="O2172" t="str">
        <f>VLOOKUP(A2172,Hospitalisation_Details__2[],6,FALSE)</f>
        <v>tier - 1</v>
      </c>
      <c r="P2172" t="str">
        <f>VLOOKUP(A2172,Hospitalisation_Details__2[],7,FALSE)</f>
        <v>R1012</v>
      </c>
    </row>
    <row r="2173" spans="1:16" x14ac:dyDescent="0.35">
      <c r="A2173" t="str">
        <v>Id2172</v>
      </c>
      <c r="B2173" t="str">
        <f>VLOOKUP(A2173,'Customer Names (2)'!A:B, 2,FALSE)</f>
        <v>Mr</v>
      </c>
      <c r="C2173">
        <f>VLOOKUP(A2173,Medical_Examinations[],2,FALSE)</f>
        <v>26.51</v>
      </c>
      <c r="D2173">
        <f>VLOOKUP(A2173,Medical_Examinations[],3,FALSE)</f>
        <v>4.58</v>
      </c>
      <c r="E2173" t="str">
        <f>VLOOKUP(A2173,Medical_Examinations[],4,FALSE)</f>
        <v>No</v>
      </c>
      <c r="F2173" t="str">
        <f>VLOOKUP(A2173,Medical_Examinations[],5,FALSE)</f>
        <v>No</v>
      </c>
      <c r="G2173" t="str">
        <f>VLOOKUP(A2173,Medical_Examinations[],6,FALSE)</f>
        <v>No</v>
      </c>
      <c r="H2173">
        <f>VLOOKUP(A2173,Medical_Examinations[],7,FALSE)</f>
        <v>0</v>
      </c>
      <c r="I2173" t="str">
        <f>VLOOKUP(A2173,Medical_Examinations[],8,FALSE)</f>
        <v>No</v>
      </c>
      <c r="J2173" t="str">
        <f>VLOOKUP(A2173,Medical_Examinations[],9,FALSE)</f>
        <v>Overweight</v>
      </c>
      <c r="K2173" t="str">
        <f>VLOOKUP(A2173,Medical_Examinations[],10,FALSE)</f>
        <v>Normal</v>
      </c>
      <c r="M2173">
        <f>VLOOKUP(A2173,Hospitalisation_Details__2[],4,FALSE)</f>
        <v>1815.88</v>
      </c>
      <c r="N2173" t="str">
        <f>VLOOKUP(A2173,Hospitalisation_Details__2[],5,FALSE)</f>
        <v>tier - 3</v>
      </c>
      <c r="O2173" t="str">
        <f>VLOOKUP(A2173,Hospitalisation_Details__2[],6,FALSE)</f>
        <v>tier - 3</v>
      </c>
      <c r="P2173" t="str">
        <f>VLOOKUP(A2173,Hospitalisation_Details__2[],7,FALSE)</f>
        <v>R1013</v>
      </c>
    </row>
    <row r="2174" spans="1:16" x14ac:dyDescent="0.35">
      <c r="A2174" t="str">
        <v>Id2173</v>
      </c>
      <c r="B2174" t="str">
        <f>VLOOKUP(A2174,'Customer Names (2)'!A:B, 2,FALSE)</f>
        <v>Mr</v>
      </c>
      <c r="C2174">
        <f>VLOOKUP(A2174,Medical_Examinations[],2,FALSE)</f>
        <v>29.734999999999999</v>
      </c>
      <c r="D2174">
        <f>VLOOKUP(A2174,Medical_Examinations[],3,FALSE)</f>
        <v>11.92</v>
      </c>
      <c r="E2174" t="str">
        <f>VLOOKUP(A2174,Medical_Examinations[],4,FALSE)</f>
        <v>No</v>
      </c>
      <c r="F2174" t="str">
        <f>VLOOKUP(A2174,Medical_Examinations[],5,FALSE)</f>
        <v>No</v>
      </c>
      <c r="G2174" t="str">
        <f>VLOOKUP(A2174,Medical_Examinations[],6,FALSE)</f>
        <v>No</v>
      </c>
      <c r="H2174">
        <f>VLOOKUP(A2174,Medical_Examinations[],7,FALSE)</f>
        <v>0</v>
      </c>
      <c r="I2174" t="str">
        <f>VLOOKUP(A2174,Medical_Examinations[],8,FALSE)</f>
        <v>No</v>
      </c>
      <c r="J2174" t="str">
        <f>VLOOKUP(A2174,Medical_Examinations[],9,FALSE)</f>
        <v>Overweight</v>
      </c>
      <c r="K2174" t="str">
        <f>VLOOKUP(A2174,Medical_Examinations[],10,FALSE)</f>
        <v>Diabetes</v>
      </c>
      <c r="M2174">
        <f>VLOOKUP(A2174,Hospitalisation_Details__2[],4,FALSE)</f>
        <v>1769.53</v>
      </c>
      <c r="N2174" t="str">
        <f>VLOOKUP(A2174,Hospitalisation_Details__2[],5,FALSE)</f>
        <v>tier - 3</v>
      </c>
      <c r="O2174" t="str">
        <f>VLOOKUP(A2174,Hospitalisation_Details__2[],6,FALSE)</f>
        <v>tier - 3</v>
      </c>
      <c r="P2174" t="str">
        <f>VLOOKUP(A2174,Hospitalisation_Details__2[],7,FALSE)</f>
        <v>R1012</v>
      </c>
    </row>
    <row r="2175" spans="1:16" x14ac:dyDescent="0.35">
      <c r="A2175" t="str">
        <v>Id2174</v>
      </c>
      <c r="B2175" t="str">
        <f>VLOOKUP(A2175,'Customer Names (2)'!A:B, 2,FALSE)</f>
        <v>Ms</v>
      </c>
      <c r="C2175">
        <f>VLOOKUP(A2175,Medical_Examinations[],2,FALSE)</f>
        <v>40.5</v>
      </c>
      <c r="D2175">
        <f>VLOOKUP(A2175,Medical_Examinations[],3,FALSE)</f>
        <v>5.4</v>
      </c>
      <c r="E2175" t="str">
        <f>VLOOKUP(A2175,Medical_Examinations[],4,FALSE)</f>
        <v>No</v>
      </c>
      <c r="F2175" t="str">
        <f>VLOOKUP(A2175,Medical_Examinations[],5,FALSE)</f>
        <v>No</v>
      </c>
      <c r="G2175" t="str">
        <f>VLOOKUP(A2175,Medical_Examinations[],6,FALSE)</f>
        <v>Yes</v>
      </c>
      <c r="H2175">
        <f>VLOOKUP(A2175,Medical_Examinations[],7,FALSE)</f>
        <v>1</v>
      </c>
      <c r="I2175" t="str">
        <f>VLOOKUP(A2175,Medical_Examinations[],8,FALSE)</f>
        <v>No</v>
      </c>
      <c r="J2175" t="str">
        <f>VLOOKUP(A2175,Medical_Examinations[],9,FALSE)</f>
        <v>Obesity</v>
      </c>
      <c r="K2175" t="str">
        <f>VLOOKUP(A2175,Medical_Examinations[],10,FALSE)</f>
        <v>Normal</v>
      </c>
      <c r="M2175">
        <f>VLOOKUP(A2175,Hospitalisation_Details__2[],4,FALSE)</f>
        <v>1759.34</v>
      </c>
      <c r="N2175" t="str">
        <f>VLOOKUP(A2175,Hospitalisation_Details__2[],5,FALSE)</f>
        <v>tier - 3</v>
      </c>
      <c r="O2175" t="str">
        <f>VLOOKUP(A2175,Hospitalisation_Details__2[],6,FALSE)</f>
        <v>tier - 1</v>
      </c>
      <c r="P2175" t="str">
        <f>VLOOKUP(A2175,Hospitalisation_Details__2[],7,FALSE)</f>
        <v>R1011</v>
      </c>
    </row>
    <row r="2176" spans="1:16" x14ac:dyDescent="0.35">
      <c r="A2176" t="str">
        <v>Id2175</v>
      </c>
      <c r="B2176" t="str">
        <f>VLOOKUP(A2176,'Customer Names (2)'!A:B, 2,FALSE)</f>
        <v>Mr</v>
      </c>
      <c r="C2176">
        <f>VLOOKUP(A2176,Medical_Examinations[],2,FALSE)</f>
        <v>25.64</v>
      </c>
      <c r="D2176">
        <f>VLOOKUP(A2176,Medical_Examinations[],3,FALSE)</f>
        <v>4.76</v>
      </c>
      <c r="E2176" t="str">
        <f>VLOOKUP(A2176,Medical_Examinations[],4,FALSE)</f>
        <v>No</v>
      </c>
      <c r="F2176" t="str">
        <f>VLOOKUP(A2176,Medical_Examinations[],5,FALSE)</f>
        <v>No</v>
      </c>
      <c r="G2176" t="str">
        <f>VLOOKUP(A2176,Medical_Examinations[],6,FALSE)</f>
        <v>No</v>
      </c>
      <c r="H2176">
        <f>VLOOKUP(A2176,Medical_Examinations[],7,FALSE)</f>
        <v>1</v>
      </c>
      <c r="I2176" t="str">
        <f>VLOOKUP(A2176,Medical_Examinations[],8,FALSE)</f>
        <v>No</v>
      </c>
      <c r="J2176" t="str">
        <f>VLOOKUP(A2176,Medical_Examinations[],9,FALSE)</f>
        <v>Overweight</v>
      </c>
      <c r="K2176" t="str">
        <f>VLOOKUP(A2176,Medical_Examinations[],10,FALSE)</f>
        <v>Normal</v>
      </c>
      <c r="M2176">
        <f>VLOOKUP(A2176,Hospitalisation_Details__2[],4,FALSE)</f>
        <v>1756.6</v>
      </c>
      <c r="N2176" t="str">
        <f>VLOOKUP(A2176,Hospitalisation_Details__2[],5,FALSE)</f>
        <v>tier - 3</v>
      </c>
      <c r="O2176" t="str">
        <f>VLOOKUP(A2176,Hospitalisation_Details__2[],6,FALSE)</f>
        <v>tier - 3</v>
      </c>
      <c r="P2176" t="str">
        <f>VLOOKUP(A2176,Hospitalisation_Details__2[],7,FALSE)</f>
        <v>R1013</v>
      </c>
    </row>
    <row r="2177" spans="1:16" x14ac:dyDescent="0.35">
      <c r="A2177" t="str">
        <v>Id2176</v>
      </c>
      <c r="B2177" t="str">
        <f>VLOOKUP(A2177,'Customer Names (2)'!A:B, 2,FALSE)</f>
        <v>Ms</v>
      </c>
      <c r="C2177">
        <f>VLOOKUP(A2177,Medical_Examinations[],2,FALSE)</f>
        <v>32.9</v>
      </c>
      <c r="D2177">
        <f>VLOOKUP(A2177,Medical_Examinations[],3,FALSE)</f>
        <v>4.78</v>
      </c>
      <c r="E2177" t="str">
        <f>VLOOKUP(A2177,Medical_Examinations[],4,FALSE)</f>
        <v>No</v>
      </c>
      <c r="F2177" t="str">
        <f>VLOOKUP(A2177,Medical_Examinations[],5,FALSE)</f>
        <v>No</v>
      </c>
      <c r="G2177" t="str">
        <f>VLOOKUP(A2177,Medical_Examinations[],6,FALSE)</f>
        <v>Yes</v>
      </c>
      <c r="H2177">
        <f>VLOOKUP(A2177,Medical_Examinations[],7,FALSE)</f>
        <v>1</v>
      </c>
      <c r="I2177" t="str">
        <f>VLOOKUP(A2177,Medical_Examinations[],8,FALSE)</f>
        <v>No</v>
      </c>
      <c r="J2177" t="str">
        <f>VLOOKUP(A2177,Medical_Examinations[],9,FALSE)</f>
        <v>Obesity</v>
      </c>
      <c r="K2177" t="str">
        <f>VLOOKUP(A2177,Medical_Examinations[],10,FALSE)</f>
        <v>Normal</v>
      </c>
      <c r="M2177">
        <f>VLOOKUP(A2177,Hospitalisation_Details__2[],4,FALSE)</f>
        <v>1748.77</v>
      </c>
      <c r="N2177" t="str">
        <f>VLOOKUP(A2177,Hospitalisation_Details__2[],5,FALSE)</f>
        <v>tier - 3</v>
      </c>
      <c r="O2177" t="str">
        <f>VLOOKUP(A2177,Hospitalisation_Details__2[],6,FALSE)</f>
        <v>tier - 1</v>
      </c>
      <c r="P2177" t="str">
        <f>VLOOKUP(A2177,Hospitalisation_Details__2[],7,FALSE)</f>
        <v>R1011</v>
      </c>
    </row>
    <row r="2178" spans="1:16" x14ac:dyDescent="0.35">
      <c r="A2178" t="str">
        <v>Id2177</v>
      </c>
      <c r="B2178" t="str">
        <f>VLOOKUP(A2178,'Customer Names (2)'!A:B, 2,FALSE)</f>
        <v>Ms</v>
      </c>
      <c r="C2178">
        <f>VLOOKUP(A2178,Medical_Examinations[],2,FALSE)</f>
        <v>29.8</v>
      </c>
      <c r="D2178">
        <f>VLOOKUP(A2178,Medical_Examinations[],3,FALSE)</f>
        <v>4.26</v>
      </c>
      <c r="E2178" t="str">
        <f>VLOOKUP(A2178,Medical_Examinations[],4,FALSE)</f>
        <v>No</v>
      </c>
      <c r="F2178" t="str">
        <f>VLOOKUP(A2178,Medical_Examinations[],5,FALSE)</f>
        <v>No</v>
      </c>
      <c r="G2178" t="str">
        <f>VLOOKUP(A2178,Medical_Examinations[],6,FALSE)</f>
        <v>Yes</v>
      </c>
      <c r="H2178">
        <f>VLOOKUP(A2178,Medical_Examinations[],7,FALSE)</f>
        <v>1</v>
      </c>
      <c r="I2178" t="str">
        <f>VLOOKUP(A2178,Medical_Examinations[],8,FALSE)</f>
        <v>No</v>
      </c>
      <c r="J2178" t="str">
        <f>VLOOKUP(A2178,Medical_Examinations[],9,FALSE)</f>
        <v>Overweight</v>
      </c>
      <c r="K2178" t="str">
        <f>VLOOKUP(A2178,Medical_Examinations[],10,FALSE)</f>
        <v>Normal</v>
      </c>
      <c r="M2178">
        <f>VLOOKUP(A2178,Hospitalisation_Details__2[],4,FALSE)</f>
        <v>1744.47</v>
      </c>
      <c r="N2178" t="str">
        <f>VLOOKUP(A2178,Hospitalisation_Details__2[],5,FALSE)</f>
        <v>tier - 3</v>
      </c>
      <c r="O2178" t="str">
        <f>VLOOKUP(A2178,Hospitalisation_Details__2[],6,FALSE)</f>
        <v>tier - 1</v>
      </c>
      <c r="P2178" t="str">
        <f>VLOOKUP(A2178,Hospitalisation_Details__2[],7,FALSE)</f>
        <v>R1011</v>
      </c>
    </row>
    <row r="2179" spans="1:16" x14ac:dyDescent="0.35">
      <c r="A2179" t="str">
        <v>Id2178</v>
      </c>
      <c r="B2179" t="str">
        <f>VLOOKUP(A2179,'Customer Names (2)'!A:B, 2,FALSE)</f>
        <v>Ms</v>
      </c>
      <c r="C2179">
        <f>VLOOKUP(A2179,Medical_Examinations[],2,FALSE)</f>
        <v>28.9</v>
      </c>
      <c r="D2179">
        <f>VLOOKUP(A2179,Medical_Examinations[],3,FALSE)</f>
        <v>5.85</v>
      </c>
      <c r="E2179" t="str">
        <f>VLOOKUP(A2179,Medical_Examinations[],4,FALSE)</f>
        <v>No</v>
      </c>
      <c r="F2179" t="str">
        <f>VLOOKUP(A2179,Medical_Examinations[],5,FALSE)</f>
        <v>No</v>
      </c>
      <c r="G2179" t="str">
        <f>VLOOKUP(A2179,Medical_Examinations[],6,FALSE)</f>
        <v>Yes</v>
      </c>
      <c r="H2179">
        <f>VLOOKUP(A2179,Medical_Examinations[],7,FALSE)</f>
        <v>1</v>
      </c>
      <c r="I2179" t="str">
        <f>VLOOKUP(A2179,Medical_Examinations[],8,FALSE)</f>
        <v>No</v>
      </c>
      <c r="J2179" t="str">
        <f>VLOOKUP(A2179,Medical_Examinations[],9,FALSE)</f>
        <v>Overweight</v>
      </c>
      <c r="K2179" t="str">
        <f>VLOOKUP(A2179,Medical_Examinations[],10,FALSE)</f>
        <v>Prediabetes</v>
      </c>
      <c r="M2179">
        <f>VLOOKUP(A2179,Hospitalisation_Details__2[],4,FALSE)</f>
        <v>1743.21</v>
      </c>
      <c r="N2179" t="str">
        <f>VLOOKUP(A2179,Hospitalisation_Details__2[],5,FALSE)</f>
        <v>tier - 3</v>
      </c>
      <c r="O2179" t="str">
        <f>VLOOKUP(A2179,Hospitalisation_Details__2[],6,FALSE)</f>
        <v>tier - 1</v>
      </c>
      <c r="P2179" t="str">
        <f>VLOOKUP(A2179,Hospitalisation_Details__2[],7,FALSE)</f>
        <v>R1011</v>
      </c>
    </row>
    <row r="2180" spans="1:16" x14ac:dyDescent="0.35">
      <c r="A2180" t="str">
        <v>Id2179</v>
      </c>
      <c r="B2180" t="str">
        <f>VLOOKUP(A2180,'Customer Names (2)'!A:B, 2,FALSE)</f>
        <v>Ms</v>
      </c>
      <c r="C2180">
        <f>VLOOKUP(A2180,Medical_Examinations[],2,FALSE)</f>
        <v>24.7</v>
      </c>
      <c r="D2180">
        <f>VLOOKUP(A2180,Medical_Examinations[],3,FALSE)</f>
        <v>5.32</v>
      </c>
      <c r="E2180" t="str">
        <f>VLOOKUP(A2180,Medical_Examinations[],4,FALSE)</f>
        <v>No</v>
      </c>
      <c r="F2180" t="str">
        <f>VLOOKUP(A2180,Medical_Examinations[],5,FALSE)</f>
        <v>No</v>
      </c>
      <c r="G2180" t="str">
        <f>VLOOKUP(A2180,Medical_Examinations[],6,FALSE)</f>
        <v>Yes</v>
      </c>
      <c r="H2180">
        <f>VLOOKUP(A2180,Medical_Examinations[],7,FALSE)</f>
        <v>1</v>
      </c>
      <c r="I2180" t="str">
        <f>VLOOKUP(A2180,Medical_Examinations[],8,FALSE)</f>
        <v>No</v>
      </c>
      <c r="J2180" t="str">
        <f>VLOOKUP(A2180,Medical_Examinations[],9,FALSE)</f>
        <v>Normal Weight</v>
      </c>
      <c r="K2180" t="str">
        <f>VLOOKUP(A2180,Medical_Examinations[],10,FALSE)</f>
        <v>Normal</v>
      </c>
      <c r="M2180">
        <f>VLOOKUP(A2180,Hospitalisation_Details__2[],4,FALSE)</f>
        <v>1737.38</v>
      </c>
      <c r="N2180" t="str">
        <f>VLOOKUP(A2180,Hospitalisation_Details__2[],5,FALSE)</f>
        <v>tier - 3</v>
      </c>
      <c r="O2180" t="str">
        <f>VLOOKUP(A2180,Hospitalisation_Details__2[],6,FALSE)</f>
        <v>tier - 2</v>
      </c>
      <c r="P2180" t="str">
        <f>VLOOKUP(A2180,Hospitalisation_Details__2[],7,FALSE)</f>
        <v>R1011</v>
      </c>
    </row>
    <row r="2181" spans="1:16" x14ac:dyDescent="0.35">
      <c r="A2181" t="str">
        <v>Id2180</v>
      </c>
      <c r="B2181" t="str">
        <f>VLOOKUP(A2181,'Customer Names (2)'!A:B, 2,FALSE)</f>
        <v>Ms</v>
      </c>
      <c r="C2181">
        <f>VLOOKUP(A2181,Medical_Examinations[],2,FALSE)</f>
        <v>20.6</v>
      </c>
      <c r="D2181">
        <f>VLOOKUP(A2181,Medical_Examinations[],3,FALSE)</f>
        <v>5.14</v>
      </c>
      <c r="E2181" t="str">
        <f>VLOOKUP(A2181,Medical_Examinations[],4,FALSE)</f>
        <v>No</v>
      </c>
      <c r="F2181" t="str">
        <f>VLOOKUP(A2181,Medical_Examinations[],5,FALSE)</f>
        <v>No</v>
      </c>
      <c r="G2181" t="str">
        <f>VLOOKUP(A2181,Medical_Examinations[],6,FALSE)</f>
        <v>Yes</v>
      </c>
      <c r="H2181">
        <f>VLOOKUP(A2181,Medical_Examinations[],7,FALSE)</f>
        <v>1</v>
      </c>
      <c r="I2181" t="str">
        <f>VLOOKUP(A2181,Medical_Examinations[],8,FALSE)</f>
        <v>No</v>
      </c>
      <c r="J2181" t="str">
        <f>VLOOKUP(A2181,Medical_Examinations[],9,FALSE)</f>
        <v>Normal Weight</v>
      </c>
      <c r="K2181" t="str">
        <f>VLOOKUP(A2181,Medical_Examinations[],10,FALSE)</f>
        <v>Normal</v>
      </c>
      <c r="M2181">
        <f>VLOOKUP(A2181,Hospitalisation_Details__2[],4,FALSE)</f>
        <v>1731.68</v>
      </c>
      <c r="N2181" t="str">
        <f>VLOOKUP(A2181,Hospitalisation_Details__2[],5,FALSE)</f>
        <v>tier - 3</v>
      </c>
      <c r="O2181" t="str">
        <f>VLOOKUP(A2181,Hospitalisation_Details__2[],6,FALSE)</f>
        <v>tier - 2</v>
      </c>
      <c r="P2181" t="str">
        <f>VLOOKUP(A2181,Hospitalisation_Details__2[],7,FALSE)</f>
        <v>R1011</v>
      </c>
    </row>
    <row r="2182" spans="1:16" x14ac:dyDescent="0.35">
      <c r="A2182" t="str">
        <v>Id2181</v>
      </c>
      <c r="B2182" t="str">
        <f>VLOOKUP(A2182,'Customer Names (2)'!A:B, 2,FALSE)</f>
        <v>Ms</v>
      </c>
      <c r="C2182">
        <f>VLOOKUP(A2182,Medical_Examinations[],2,FALSE)</f>
        <v>18.600000000000001</v>
      </c>
      <c r="D2182">
        <f>VLOOKUP(A2182,Medical_Examinations[],3,FALSE)</f>
        <v>5</v>
      </c>
      <c r="E2182" t="str">
        <f>VLOOKUP(A2182,Medical_Examinations[],4,FALSE)</f>
        <v>No</v>
      </c>
      <c r="F2182" t="str">
        <f>VLOOKUP(A2182,Medical_Examinations[],5,FALSE)</f>
        <v>No</v>
      </c>
      <c r="G2182" t="str">
        <f>VLOOKUP(A2182,Medical_Examinations[],6,FALSE)</f>
        <v>Yes</v>
      </c>
      <c r="H2182">
        <f>VLOOKUP(A2182,Medical_Examinations[],7,FALSE)</f>
        <v>1</v>
      </c>
      <c r="I2182" t="str">
        <f>VLOOKUP(A2182,Medical_Examinations[],8,FALSE)</f>
        <v>No</v>
      </c>
      <c r="J2182" t="str">
        <f>VLOOKUP(A2182,Medical_Examinations[],9,FALSE)</f>
        <v>Normal Weight</v>
      </c>
      <c r="K2182" t="str">
        <f>VLOOKUP(A2182,Medical_Examinations[],10,FALSE)</f>
        <v>Normal</v>
      </c>
      <c r="M2182">
        <f>VLOOKUP(A2182,Hospitalisation_Details__2[],4,FALSE)</f>
        <v>1728.9</v>
      </c>
      <c r="N2182" t="str">
        <f>VLOOKUP(A2182,Hospitalisation_Details__2[],5,FALSE)</f>
        <v>tier - 3</v>
      </c>
      <c r="O2182" t="str">
        <f>VLOOKUP(A2182,Hospitalisation_Details__2[],6,FALSE)</f>
        <v>tier - 2</v>
      </c>
      <c r="P2182" t="str">
        <f>VLOOKUP(A2182,Hospitalisation_Details__2[],7,FALSE)</f>
        <v>R1011</v>
      </c>
    </row>
    <row r="2183" spans="1:16" x14ac:dyDescent="0.35">
      <c r="A2183" t="str">
        <v>Id2182</v>
      </c>
      <c r="B2183" t="str">
        <f>VLOOKUP(A2183,'Customer Names (2)'!A:B, 2,FALSE)</f>
        <v>Ms</v>
      </c>
      <c r="C2183">
        <f>VLOOKUP(A2183,Medical_Examinations[],2,FALSE)</f>
        <v>17.8</v>
      </c>
      <c r="D2183">
        <f>VLOOKUP(A2183,Medical_Examinations[],3,FALSE)</f>
        <v>4.55</v>
      </c>
      <c r="E2183" t="str">
        <f>VLOOKUP(A2183,Medical_Examinations[],4,FALSE)</f>
        <v>No</v>
      </c>
      <c r="F2183" t="str">
        <f>VLOOKUP(A2183,Medical_Examinations[],5,FALSE)</f>
        <v>No</v>
      </c>
      <c r="G2183" t="str">
        <f>VLOOKUP(A2183,Medical_Examinations[],6,FALSE)</f>
        <v>Yes</v>
      </c>
      <c r="H2183">
        <f>VLOOKUP(A2183,Medical_Examinations[],7,FALSE)</f>
        <v>1</v>
      </c>
      <c r="I2183" t="str">
        <f>VLOOKUP(A2183,Medical_Examinations[],8,FALSE)</f>
        <v>No</v>
      </c>
      <c r="J2183" t="str">
        <f>VLOOKUP(A2183,Medical_Examinations[],9,FALSE)</f>
        <v>Underweight</v>
      </c>
      <c r="K2183" t="str">
        <f>VLOOKUP(A2183,Medical_Examinations[],10,FALSE)</f>
        <v>Normal</v>
      </c>
      <c r="M2183">
        <f>VLOOKUP(A2183,Hospitalisation_Details__2[],4,FALSE)</f>
        <v>1727.79</v>
      </c>
      <c r="N2183" t="str">
        <f>VLOOKUP(A2183,Hospitalisation_Details__2[],5,FALSE)</f>
        <v>tier - 3</v>
      </c>
      <c r="O2183" t="str">
        <f>VLOOKUP(A2183,Hospitalisation_Details__2[],6,FALSE)</f>
        <v>tier - 3</v>
      </c>
      <c r="P2183" t="str">
        <f>VLOOKUP(A2183,Hospitalisation_Details__2[],7,FALSE)</f>
        <v>R1011</v>
      </c>
    </row>
    <row r="2184" spans="1:16" x14ac:dyDescent="0.35">
      <c r="A2184" t="str">
        <v>Id2183</v>
      </c>
      <c r="B2184" t="str">
        <f>VLOOKUP(A2184,'Customer Names (2)'!A:B, 2,FALSE)</f>
        <v>Mr</v>
      </c>
      <c r="C2184">
        <f>VLOOKUP(A2184,Medical_Examinations[],2,FALSE)</f>
        <v>35.200000000000003</v>
      </c>
      <c r="D2184">
        <f>VLOOKUP(A2184,Medical_Examinations[],3,FALSE)</f>
        <v>5.97</v>
      </c>
      <c r="E2184" t="str">
        <f>VLOOKUP(A2184,Medical_Examinations[],4,FALSE)</f>
        <v>No</v>
      </c>
      <c r="F2184" t="str">
        <f>VLOOKUP(A2184,Medical_Examinations[],5,FALSE)</f>
        <v>yes</v>
      </c>
      <c r="G2184" t="str">
        <f>VLOOKUP(A2184,Medical_Examinations[],6,FALSE)</f>
        <v>No</v>
      </c>
      <c r="H2184">
        <f>VLOOKUP(A2184,Medical_Examinations[],7,FALSE)</f>
        <v>1</v>
      </c>
      <c r="I2184" t="str">
        <f>VLOOKUP(A2184,Medical_Examinations[],8,FALSE)</f>
        <v>No</v>
      </c>
      <c r="J2184" t="str">
        <f>VLOOKUP(A2184,Medical_Examinations[],9,FALSE)</f>
        <v>Obesity</v>
      </c>
      <c r="K2184" t="str">
        <f>VLOOKUP(A2184,Medical_Examinations[],10,FALSE)</f>
        <v>Prediabetes</v>
      </c>
      <c r="M2184">
        <f>VLOOKUP(A2184,Hospitalisation_Details__2[],4,FALSE)</f>
        <v>1727.54</v>
      </c>
      <c r="N2184" t="str">
        <f>VLOOKUP(A2184,Hospitalisation_Details__2[],5,FALSE)</f>
        <v>tier - 3</v>
      </c>
      <c r="O2184" t="str">
        <f>VLOOKUP(A2184,Hospitalisation_Details__2[],6,FALSE)</f>
        <v>tier - 1</v>
      </c>
      <c r="P2184" t="str">
        <f>VLOOKUP(A2184,Hospitalisation_Details__2[],7,FALSE)</f>
        <v>R1013</v>
      </c>
    </row>
    <row r="2185" spans="1:16" x14ac:dyDescent="0.35">
      <c r="A2185" t="str">
        <v>Id2184</v>
      </c>
      <c r="B2185" t="str">
        <f>VLOOKUP(A2185,'Customer Names (2)'!A:B, 2,FALSE)</f>
        <v>Mr</v>
      </c>
      <c r="C2185">
        <f>VLOOKUP(A2185,Medical_Examinations[],2,FALSE)</f>
        <v>33.770000000000003</v>
      </c>
      <c r="D2185">
        <f>VLOOKUP(A2185,Medical_Examinations[],3,FALSE)</f>
        <v>4.0199999999999996</v>
      </c>
      <c r="E2185" t="str">
        <f>VLOOKUP(A2185,Medical_Examinations[],4,FALSE)</f>
        <v>No</v>
      </c>
      <c r="F2185" t="str">
        <f>VLOOKUP(A2185,Medical_Examinations[],5,FALSE)</f>
        <v>yes</v>
      </c>
      <c r="G2185" t="str">
        <f>VLOOKUP(A2185,Medical_Examinations[],6,FALSE)</f>
        <v>No</v>
      </c>
      <c r="H2185">
        <f>VLOOKUP(A2185,Medical_Examinations[],7,FALSE)</f>
        <v>1</v>
      </c>
      <c r="I2185" t="str">
        <f>VLOOKUP(A2185,Medical_Examinations[],8,FALSE)</f>
        <v>No</v>
      </c>
      <c r="J2185" t="str">
        <f>VLOOKUP(A2185,Medical_Examinations[],9,FALSE)</f>
        <v>Obesity</v>
      </c>
      <c r="K2185" t="str">
        <f>VLOOKUP(A2185,Medical_Examinations[],10,FALSE)</f>
        <v>Normal</v>
      </c>
      <c r="M2185">
        <f>VLOOKUP(A2185,Hospitalisation_Details__2[],4,FALSE)</f>
        <v>1725.55</v>
      </c>
      <c r="N2185" t="str">
        <f>VLOOKUP(A2185,Hospitalisation_Details__2[],5,FALSE)</f>
        <v>tier - 3</v>
      </c>
      <c r="O2185" t="str">
        <f>VLOOKUP(A2185,Hospitalisation_Details__2[],6,FALSE)</f>
        <v>tier - 2</v>
      </c>
      <c r="P2185" t="str">
        <f>VLOOKUP(A2185,Hospitalisation_Details__2[],7,FALSE)</f>
        <v>R1013</v>
      </c>
    </row>
    <row r="2186" spans="1:16" x14ac:dyDescent="0.35">
      <c r="A2186" t="str">
        <v>Id2185</v>
      </c>
      <c r="B2186" t="str">
        <f>VLOOKUP(A2186,'Customer Names (2)'!A:B, 2,FALSE)</f>
        <v>Mr</v>
      </c>
      <c r="C2186">
        <f>VLOOKUP(A2186,Medical_Examinations[],2,FALSE)</f>
        <v>30.03</v>
      </c>
      <c r="D2186">
        <f>VLOOKUP(A2186,Medical_Examinations[],3,FALSE)</f>
        <v>4.04</v>
      </c>
      <c r="E2186" t="str">
        <f>VLOOKUP(A2186,Medical_Examinations[],4,FALSE)</f>
        <v>No</v>
      </c>
      <c r="F2186" t="str">
        <f>VLOOKUP(A2186,Medical_Examinations[],5,FALSE)</f>
        <v>yes</v>
      </c>
      <c r="G2186" t="str">
        <f>VLOOKUP(A2186,Medical_Examinations[],6,FALSE)</f>
        <v>No</v>
      </c>
      <c r="H2186">
        <f>VLOOKUP(A2186,Medical_Examinations[],7,FALSE)</f>
        <v>1</v>
      </c>
      <c r="I2186" t="str">
        <f>VLOOKUP(A2186,Medical_Examinations[],8,FALSE)</f>
        <v>No</v>
      </c>
      <c r="J2186" t="str">
        <f>VLOOKUP(A2186,Medical_Examinations[],9,FALSE)</f>
        <v>Obesity</v>
      </c>
      <c r="K2186" t="str">
        <f>VLOOKUP(A2186,Medical_Examinations[],10,FALSE)</f>
        <v>Normal</v>
      </c>
      <c r="M2186">
        <f>VLOOKUP(A2186,Hospitalisation_Details__2[],4,FALSE)</f>
        <v>1720.35</v>
      </c>
      <c r="N2186" t="str">
        <f>VLOOKUP(A2186,Hospitalisation_Details__2[],5,FALSE)</f>
        <v>tier - 3</v>
      </c>
      <c r="O2186" t="str">
        <f>VLOOKUP(A2186,Hospitalisation_Details__2[],6,FALSE)</f>
        <v>tier - 3</v>
      </c>
      <c r="P2186" t="str">
        <f>VLOOKUP(A2186,Hospitalisation_Details__2[],7,FALSE)</f>
        <v>R1013</v>
      </c>
    </row>
    <row r="2187" spans="1:16" x14ac:dyDescent="0.35">
      <c r="A2187" t="str">
        <v>Id2186</v>
      </c>
      <c r="B2187" t="str">
        <f>VLOOKUP(A2187,'Customer Names (2)'!A:B, 2,FALSE)</f>
        <v>Mr</v>
      </c>
      <c r="C2187">
        <f>VLOOKUP(A2187,Medical_Examinations[],2,FALSE)</f>
        <v>29.37</v>
      </c>
      <c r="D2187">
        <f>VLOOKUP(A2187,Medical_Examinations[],3,FALSE)</f>
        <v>5.54</v>
      </c>
      <c r="E2187" t="str">
        <f>VLOOKUP(A2187,Medical_Examinations[],4,FALSE)</f>
        <v>No</v>
      </c>
      <c r="F2187" t="str">
        <f>VLOOKUP(A2187,Medical_Examinations[],5,FALSE)</f>
        <v>yes</v>
      </c>
      <c r="G2187" t="str">
        <f>VLOOKUP(A2187,Medical_Examinations[],6,FALSE)</f>
        <v>No</v>
      </c>
      <c r="H2187">
        <f>VLOOKUP(A2187,Medical_Examinations[],7,FALSE)</f>
        <v>1</v>
      </c>
      <c r="I2187" t="str">
        <f>VLOOKUP(A2187,Medical_Examinations[],8,FALSE)</f>
        <v>No</v>
      </c>
      <c r="J2187" t="str">
        <f>VLOOKUP(A2187,Medical_Examinations[],9,FALSE)</f>
        <v>Overweight</v>
      </c>
      <c r="K2187" t="str">
        <f>VLOOKUP(A2187,Medical_Examinations[],10,FALSE)</f>
        <v>Normal</v>
      </c>
      <c r="M2187">
        <f>VLOOKUP(A2187,Hospitalisation_Details__2[],4,FALSE)</f>
        <v>1719.44</v>
      </c>
      <c r="N2187" t="str">
        <f>VLOOKUP(A2187,Hospitalisation_Details__2[],5,FALSE)</f>
        <v>tier - 3</v>
      </c>
      <c r="O2187" t="str">
        <f>VLOOKUP(A2187,Hospitalisation_Details__2[],6,FALSE)</f>
        <v>tier - 3</v>
      </c>
      <c r="P2187" t="str">
        <f>VLOOKUP(A2187,Hospitalisation_Details__2[],7,FALSE)</f>
        <v>R1013</v>
      </c>
    </row>
    <row r="2188" spans="1:16" x14ac:dyDescent="0.35">
      <c r="A2188" t="str">
        <v>Id2187</v>
      </c>
      <c r="B2188" t="str">
        <f>VLOOKUP(A2188,'Customer Names (2)'!A:B, 2,FALSE)</f>
        <v>Mr</v>
      </c>
      <c r="C2188">
        <f>VLOOKUP(A2188,Medical_Examinations[],2,FALSE)</f>
        <v>28.5</v>
      </c>
      <c r="D2188">
        <f>VLOOKUP(A2188,Medical_Examinations[],3,FALSE)</f>
        <v>4.03</v>
      </c>
      <c r="E2188" t="str">
        <f>VLOOKUP(A2188,Medical_Examinations[],4,FALSE)</f>
        <v>No</v>
      </c>
      <c r="F2188" t="str">
        <f>VLOOKUP(A2188,Medical_Examinations[],5,FALSE)</f>
        <v>yes</v>
      </c>
      <c r="G2188" t="str">
        <f>VLOOKUP(A2188,Medical_Examinations[],6,FALSE)</f>
        <v>No</v>
      </c>
      <c r="H2188">
        <f>VLOOKUP(A2188,Medical_Examinations[],7,FALSE)</f>
        <v>1</v>
      </c>
      <c r="I2188" t="str">
        <f>VLOOKUP(A2188,Medical_Examinations[],8,FALSE)</f>
        <v>No</v>
      </c>
      <c r="J2188" t="str">
        <f>VLOOKUP(A2188,Medical_Examinations[],9,FALSE)</f>
        <v>Overweight</v>
      </c>
      <c r="K2188" t="str">
        <f>VLOOKUP(A2188,Medical_Examinations[],10,FALSE)</f>
        <v>Normal</v>
      </c>
      <c r="M2188">
        <f>VLOOKUP(A2188,Hospitalisation_Details__2[],4,FALSE)</f>
        <v>1712.23</v>
      </c>
      <c r="N2188" t="str">
        <f>VLOOKUP(A2188,Hospitalisation_Details__2[],5,FALSE)</f>
        <v>tier - 3</v>
      </c>
      <c r="O2188" t="str">
        <f>VLOOKUP(A2188,Hospitalisation_Details__2[],6,FALSE)</f>
        <v>tier - 1</v>
      </c>
      <c r="P2188" t="str">
        <f>VLOOKUP(A2188,Hospitalisation_Details__2[],7,FALSE)</f>
        <v>R1016</v>
      </c>
    </row>
    <row r="2189" spans="1:16" x14ac:dyDescent="0.35">
      <c r="A2189" t="str">
        <v>Id2188</v>
      </c>
      <c r="B2189" t="str">
        <f>VLOOKUP(A2189,'Customer Names (2)'!A:B, 2,FALSE)</f>
        <v>Mr</v>
      </c>
      <c r="C2189">
        <f>VLOOKUP(A2189,Medical_Examinations[],2,FALSE)</f>
        <v>23.32</v>
      </c>
      <c r="D2189">
        <f>VLOOKUP(A2189,Medical_Examinations[],3,FALSE)</f>
        <v>5.62</v>
      </c>
      <c r="E2189" t="str">
        <f>VLOOKUP(A2189,Medical_Examinations[],4,FALSE)</f>
        <v>No</v>
      </c>
      <c r="F2189" t="str">
        <f>VLOOKUP(A2189,Medical_Examinations[],5,FALSE)</f>
        <v>yes</v>
      </c>
      <c r="G2189" t="str">
        <f>VLOOKUP(A2189,Medical_Examinations[],6,FALSE)</f>
        <v>No</v>
      </c>
      <c r="H2189">
        <f>VLOOKUP(A2189,Medical_Examinations[],7,FALSE)</f>
        <v>1</v>
      </c>
      <c r="I2189" t="str">
        <f>VLOOKUP(A2189,Medical_Examinations[],8,FALSE)</f>
        <v>No</v>
      </c>
      <c r="J2189" t="str">
        <f>VLOOKUP(A2189,Medical_Examinations[],9,FALSE)</f>
        <v>Normal Weight</v>
      </c>
      <c r="K2189" t="str">
        <f>VLOOKUP(A2189,Medical_Examinations[],10,FALSE)</f>
        <v>Normal</v>
      </c>
      <c r="M2189">
        <f>VLOOKUP(A2189,Hospitalisation_Details__2[],4,FALSE)</f>
        <v>1711.03</v>
      </c>
      <c r="N2189" t="str">
        <f>VLOOKUP(A2189,Hospitalisation_Details__2[],5,FALSE)</f>
        <v>tier - 3</v>
      </c>
      <c r="O2189" t="str">
        <f>VLOOKUP(A2189,Hospitalisation_Details__2[],6,FALSE)</f>
        <v>tier - 3</v>
      </c>
      <c r="P2189" t="str">
        <f>VLOOKUP(A2189,Hospitalisation_Details__2[],7,FALSE)</f>
        <v>R1013</v>
      </c>
    </row>
    <row r="2190" spans="1:16" x14ac:dyDescent="0.35">
      <c r="A2190" t="str">
        <v>Id2189</v>
      </c>
      <c r="B2190" t="str">
        <f>VLOOKUP(A2190,'Customer Names (2)'!A:B, 2,FALSE)</f>
        <v>Mr</v>
      </c>
      <c r="C2190">
        <f>VLOOKUP(A2190,Medical_Examinations[],2,FALSE)</f>
        <v>26.125</v>
      </c>
      <c r="D2190">
        <f>VLOOKUP(A2190,Medical_Examinations[],3,FALSE)</f>
        <v>5.27</v>
      </c>
      <c r="E2190" t="str">
        <f>VLOOKUP(A2190,Medical_Examinations[],4,FALSE)</f>
        <v>No</v>
      </c>
      <c r="F2190" t="str">
        <f>VLOOKUP(A2190,Medical_Examinations[],5,FALSE)</f>
        <v>yes</v>
      </c>
      <c r="G2190" t="str">
        <f>VLOOKUP(A2190,Medical_Examinations[],6,FALSE)</f>
        <v>No</v>
      </c>
      <c r="H2190">
        <f>VLOOKUP(A2190,Medical_Examinations[],7,FALSE)</f>
        <v>1</v>
      </c>
      <c r="I2190" t="str">
        <f>VLOOKUP(A2190,Medical_Examinations[],8,FALSE)</f>
        <v>No</v>
      </c>
      <c r="J2190" t="str">
        <f>VLOOKUP(A2190,Medical_Examinations[],9,FALSE)</f>
        <v>Overweight</v>
      </c>
      <c r="K2190" t="str">
        <f>VLOOKUP(A2190,Medical_Examinations[],10,FALSE)</f>
        <v>Normal</v>
      </c>
      <c r="M2190">
        <f>VLOOKUP(A2190,Hospitalisation_Details__2[],4,FALSE)</f>
        <v>1708.93</v>
      </c>
      <c r="N2190" t="str">
        <f>VLOOKUP(A2190,Hospitalisation_Details__2[],5,FALSE)</f>
        <v>tier - 3</v>
      </c>
      <c r="O2190" t="str">
        <f>VLOOKUP(A2190,Hospitalisation_Details__2[],6,FALSE)</f>
        <v>tier - 1</v>
      </c>
      <c r="P2190" t="str">
        <f>VLOOKUP(A2190,Hospitalisation_Details__2[],7,FALSE)</f>
        <v>R1019</v>
      </c>
    </row>
    <row r="2191" spans="1:16" x14ac:dyDescent="0.35">
      <c r="A2191" t="str">
        <v>Id2190</v>
      </c>
      <c r="B2191" t="str">
        <f>VLOOKUP(A2191,'Customer Names (2)'!A:B, 2,FALSE)</f>
        <v>Mr</v>
      </c>
      <c r="C2191">
        <f>VLOOKUP(A2191,Medical_Examinations[],2,FALSE)</f>
        <v>25.46</v>
      </c>
      <c r="D2191">
        <f>VLOOKUP(A2191,Medical_Examinations[],3,FALSE)</f>
        <v>5.18</v>
      </c>
      <c r="E2191" t="str">
        <f>VLOOKUP(A2191,Medical_Examinations[],4,FALSE)</f>
        <v>No</v>
      </c>
      <c r="F2191" t="str">
        <f>VLOOKUP(A2191,Medical_Examinations[],5,FALSE)</f>
        <v>yes</v>
      </c>
      <c r="G2191" t="str">
        <f>VLOOKUP(A2191,Medical_Examinations[],6,FALSE)</f>
        <v>No</v>
      </c>
      <c r="H2191">
        <f>VLOOKUP(A2191,Medical_Examinations[],7,FALSE)</f>
        <v>1</v>
      </c>
      <c r="I2191" t="str">
        <f>VLOOKUP(A2191,Medical_Examinations[],8,FALSE)</f>
        <v>No</v>
      </c>
      <c r="J2191" t="str">
        <f>VLOOKUP(A2191,Medical_Examinations[],9,FALSE)</f>
        <v>Overweight</v>
      </c>
      <c r="K2191" t="str">
        <f>VLOOKUP(A2191,Medical_Examinations[],10,FALSE)</f>
        <v>Normal</v>
      </c>
      <c r="M2191">
        <f>VLOOKUP(A2191,Hospitalisation_Details__2[],4,FALSE)</f>
        <v>1708</v>
      </c>
      <c r="N2191" t="str">
        <f>VLOOKUP(A2191,Hospitalisation_Details__2[],5,FALSE)</f>
        <v>tier - 3</v>
      </c>
      <c r="O2191" t="str">
        <f>VLOOKUP(A2191,Hospitalisation_Details__2[],6,FALSE)</f>
        <v>tier - 2</v>
      </c>
      <c r="P2191" t="str">
        <f>VLOOKUP(A2191,Hospitalisation_Details__2[],7,FALSE)</f>
        <v>R1016</v>
      </c>
    </row>
    <row r="2192" spans="1:16" x14ac:dyDescent="0.35">
      <c r="A2192" t="str">
        <v>Id2191</v>
      </c>
      <c r="B2192" t="str">
        <f>VLOOKUP(A2192,'Customer Names (2)'!A:B, 2,FALSE)</f>
        <v>Mr</v>
      </c>
      <c r="C2192">
        <f>VLOOKUP(A2192,Medical_Examinations[],2,FALSE)</f>
        <v>23.75</v>
      </c>
      <c r="D2192">
        <f>VLOOKUP(A2192,Medical_Examinations[],3,FALSE)</f>
        <v>5.27</v>
      </c>
      <c r="E2192" t="str">
        <f>VLOOKUP(A2192,Medical_Examinations[],4,FALSE)</f>
        <v>No</v>
      </c>
      <c r="F2192" t="str">
        <f>VLOOKUP(A2192,Medical_Examinations[],5,FALSE)</f>
        <v>yes</v>
      </c>
      <c r="G2192" t="str">
        <f>VLOOKUP(A2192,Medical_Examinations[],6,FALSE)</f>
        <v>No</v>
      </c>
      <c r="H2192">
        <f>VLOOKUP(A2192,Medical_Examinations[],7,FALSE)</f>
        <v>1</v>
      </c>
      <c r="I2192" t="str">
        <f>VLOOKUP(A2192,Medical_Examinations[],8,FALSE)</f>
        <v>No</v>
      </c>
      <c r="J2192" t="str">
        <f>VLOOKUP(A2192,Medical_Examinations[],9,FALSE)</f>
        <v>Normal Weight</v>
      </c>
      <c r="K2192" t="str">
        <f>VLOOKUP(A2192,Medical_Examinations[],10,FALSE)</f>
        <v>Normal</v>
      </c>
      <c r="M2192">
        <f>VLOOKUP(A2192,Hospitalisation_Details__2[],4,FALSE)</f>
        <v>1705.62</v>
      </c>
      <c r="N2192" t="str">
        <f>VLOOKUP(A2192,Hospitalisation_Details__2[],5,FALSE)</f>
        <v>tier - 2</v>
      </c>
      <c r="O2192" t="str">
        <f>VLOOKUP(A2192,Hospitalisation_Details__2[],6,FALSE)</f>
        <v>tier - 2</v>
      </c>
      <c r="P2192" t="str">
        <f>VLOOKUP(A2192,Hospitalisation_Details__2[],7,FALSE)</f>
        <v>R1015</v>
      </c>
    </row>
    <row r="2193" spans="1:16" x14ac:dyDescent="0.35">
      <c r="A2193" t="str">
        <v>Id2192</v>
      </c>
      <c r="B2193" t="str">
        <f>VLOOKUP(A2193,'Customer Names (2)'!A:B, 2,FALSE)</f>
        <v>Mr</v>
      </c>
      <c r="C2193">
        <f>VLOOKUP(A2193,Medical_Examinations[],2,FALSE)</f>
        <v>23.085000000000001</v>
      </c>
      <c r="D2193">
        <f>VLOOKUP(A2193,Medical_Examinations[],3,FALSE)</f>
        <v>5.62</v>
      </c>
      <c r="E2193" t="str">
        <f>VLOOKUP(A2193,Medical_Examinations[],4,FALSE)</f>
        <v>No</v>
      </c>
      <c r="F2193" t="str">
        <f>VLOOKUP(A2193,Medical_Examinations[],5,FALSE)</f>
        <v>yes</v>
      </c>
      <c r="G2193" t="str">
        <f>VLOOKUP(A2193,Medical_Examinations[],6,FALSE)</f>
        <v>No</v>
      </c>
      <c r="H2193">
        <f>VLOOKUP(A2193,Medical_Examinations[],7,FALSE)</f>
        <v>1</v>
      </c>
      <c r="I2193" t="str">
        <f>VLOOKUP(A2193,Medical_Examinations[],8,FALSE)</f>
        <v>No</v>
      </c>
      <c r="J2193" t="str">
        <f>VLOOKUP(A2193,Medical_Examinations[],9,FALSE)</f>
        <v>Normal Weight</v>
      </c>
      <c r="K2193" t="str">
        <f>VLOOKUP(A2193,Medical_Examinations[],10,FALSE)</f>
        <v>Normal</v>
      </c>
      <c r="M2193">
        <f>VLOOKUP(A2193,Hospitalisation_Details__2[],4,FALSE)</f>
        <v>1704.7</v>
      </c>
      <c r="N2193" t="str">
        <f>VLOOKUP(A2193,Hospitalisation_Details__2[],5,FALSE)</f>
        <v>tier - 2</v>
      </c>
      <c r="O2193" t="str">
        <f>VLOOKUP(A2193,Hospitalisation_Details__2[],6,FALSE)</f>
        <v>tier - 3</v>
      </c>
      <c r="P2193" t="str">
        <f>VLOOKUP(A2193,Hospitalisation_Details__2[],7,FALSE)</f>
        <v>R1018</v>
      </c>
    </row>
    <row r="2194" spans="1:16" x14ac:dyDescent="0.35">
      <c r="A2194" t="str">
        <v>Id2193</v>
      </c>
      <c r="B2194" t="str">
        <f>VLOOKUP(A2194,'Customer Names (2)'!A:B, 2,FALSE)</f>
        <v>Mr</v>
      </c>
      <c r="C2194">
        <f>VLOOKUP(A2194,Medical_Examinations[],2,FALSE)</f>
        <v>22.99</v>
      </c>
      <c r="D2194">
        <f>VLOOKUP(A2194,Medical_Examinations[],3,FALSE)</f>
        <v>5.0599999999999996</v>
      </c>
      <c r="E2194" t="str">
        <f>VLOOKUP(A2194,Medical_Examinations[],4,FALSE)</f>
        <v>No</v>
      </c>
      <c r="F2194" t="str">
        <f>VLOOKUP(A2194,Medical_Examinations[],5,FALSE)</f>
        <v>yes</v>
      </c>
      <c r="G2194" t="str">
        <f>VLOOKUP(A2194,Medical_Examinations[],6,FALSE)</f>
        <v>No</v>
      </c>
      <c r="H2194">
        <f>VLOOKUP(A2194,Medical_Examinations[],7,FALSE)</f>
        <v>1</v>
      </c>
      <c r="I2194" t="str">
        <f>VLOOKUP(A2194,Medical_Examinations[],8,FALSE)</f>
        <v>No</v>
      </c>
      <c r="J2194" t="str">
        <f>VLOOKUP(A2194,Medical_Examinations[],9,FALSE)</f>
        <v>Normal Weight</v>
      </c>
      <c r="K2194" t="str">
        <f>VLOOKUP(A2194,Medical_Examinations[],10,FALSE)</f>
        <v>Normal</v>
      </c>
      <c r="M2194">
        <f>VLOOKUP(A2194,Hospitalisation_Details__2[],4,FALSE)</f>
        <v>1704.57</v>
      </c>
      <c r="N2194" t="str">
        <f>VLOOKUP(A2194,Hospitalisation_Details__2[],5,FALSE)</f>
        <v>tier - 2</v>
      </c>
      <c r="O2194" t="str">
        <f>VLOOKUP(A2194,Hospitalisation_Details__2[],6,FALSE)</f>
        <v>tier - 1</v>
      </c>
      <c r="P2194" t="str">
        <f>VLOOKUP(A2194,Hospitalisation_Details__2[],7,FALSE)</f>
        <v>R1016</v>
      </c>
    </row>
    <row r="2195" spans="1:16" x14ac:dyDescent="0.35">
      <c r="A2195" t="str">
        <v>Id2194</v>
      </c>
      <c r="B2195" t="str">
        <f>VLOOKUP(A2195,'Customer Names (2)'!A:B, 2,FALSE)</f>
        <v>Mr</v>
      </c>
      <c r="C2195">
        <f>VLOOKUP(A2195,Medical_Examinations[],2,FALSE)</f>
        <v>21.47</v>
      </c>
      <c r="D2195">
        <f>VLOOKUP(A2195,Medical_Examinations[],3,FALSE)</f>
        <v>4.6900000000000004</v>
      </c>
      <c r="E2195" t="str">
        <f>VLOOKUP(A2195,Medical_Examinations[],4,FALSE)</f>
        <v>No</v>
      </c>
      <c r="F2195" t="str">
        <f>VLOOKUP(A2195,Medical_Examinations[],5,FALSE)</f>
        <v>yes</v>
      </c>
      <c r="G2195" t="str">
        <f>VLOOKUP(A2195,Medical_Examinations[],6,FALSE)</f>
        <v>No</v>
      </c>
      <c r="H2195">
        <f>VLOOKUP(A2195,Medical_Examinations[],7,FALSE)</f>
        <v>1</v>
      </c>
      <c r="I2195" t="str">
        <f>VLOOKUP(A2195,Medical_Examinations[],8,FALSE)</f>
        <v>No</v>
      </c>
      <c r="J2195" t="str">
        <f>VLOOKUP(A2195,Medical_Examinations[],9,FALSE)</f>
        <v>Normal Weight</v>
      </c>
      <c r="K2195" t="str">
        <f>VLOOKUP(A2195,Medical_Examinations[],10,FALSE)</f>
        <v>Normal</v>
      </c>
      <c r="M2195">
        <f>VLOOKUP(A2195,Hospitalisation_Details__2[],4,FALSE)</f>
        <v>1702.46</v>
      </c>
      <c r="N2195" t="str">
        <f>VLOOKUP(A2195,Hospitalisation_Details__2[],5,FALSE)</f>
        <v>tier - 2</v>
      </c>
      <c r="O2195" t="str">
        <f>VLOOKUP(A2195,Hospitalisation_Details__2[],6,FALSE)</f>
        <v>tier - 3</v>
      </c>
      <c r="P2195" t="str">
        <f>VLOOKUP(A2195,Hospitalisation_Details__2[],7,FALSE)</f>
        <v>R1019</v>
      </c>
    </row>
    <row r="2196" spans="1:16" x14ac:dyDescent="0.35">
      <c r="A2196" t="str">
        <v>Id2195</v>
      </c>
      <c r="B2196" t="str">
        <f>VLOOKUP(A2196,'Customer Names (2)'!A:B, 2,FALSE)</f>
        <v>Mr</v>
      </c>
      <c r="C2196">
        <f>VLOOKUP(A2196,Medical_Examinations[],2,FALSE)</f>
        <v>15.96</v>
      </c>
      <c r="D2196">
        <f>VLOOKUP(A2196,Medical_Examinations[],3,FALSE)</f>
        <v>5.44</v>
      </c>
      <c r="E2196" t="str">
        <f>VLOOKUP(A2196,Medical_Examinations[],4,FALSE)</f>
        <v>No</v>
      </c>
      <c r="F2196" t="str">
        <f>VLOOKUP(A2196,Medical_Examinations[],5,FALSE)</f>
        <v>yes</v>
      </c>
      <c r="G2196" t="str">
        <f>VLOOKUP(A2196,Medical_Examinations[],6,FALSE)</f>
        <v>No</v>
      </c>
      <c r="H2196">
        <f>VLOOKUP(A2196,Medical_Examinations[],7,FALSE)</f>
        <v>1</v>
      </c>
      <c r="I2196" t="str">
        <f>VLOOKUP(A2196,Medical_Examinations[],8,FALSE)</f>
        <v>No</v>
      </c>
      <c r="J2196" t="str">
        <f>VLOOKUP(A2196,Medical_Examinations[],9,FALSE)</f>
        <v>Underweight</v>
      </c>
      <c r="K2196" t="str">
        <f>VLOOKUP(A2196,Medical_Examinations[],10,FALSE)</f>
        <v>Normal</v>
      </c>
      <c r="M2196">
        <f>VLOOKUP(A2196,Hospitalisation_Details__2[],4,FALSE)</f>
        <v>1694.8</v>
      </c>
      <c r="N2196" t="str">
        <f>VLOOKUP(A2196,Hospitalisation_Details__2[],5,FALSE)</f>
        <v>tier - 2</v>
      </c>
      <c r="O2196" t="str">
        <f>VLOOKUP(A2196,Hospitalisation_Details__2[],6,FALSE)</f>
        <v>tier - 2</v>
      </c>
      <c r="P2196" t="str">
        <f>VLOOKUP(A2196,Hospitalisation_Details__2[],7,FALSE)</f>
        <v>R1015</v>
      </c>
    </row>
    <row r="2197" spans="1:16" x14ac:dyDescent="0.35">
      <c r="A2197" t="str">
        <v>Id2196</v>
      </c>
      <c r="B2197" t="str">
        <f>VLOOKUP(A2197,'Customer Names (2)'!A:B, 2,FALSE)</f>
        <v>Mr</v>
      </c>
      <c r="C2197">
        <f>VLOOKUP(A2197,Medical_Examinations[],2,FALSE)</f>
        <v>39.5</v>
      </c>
      <c r="D2197">
        <f>VLOOKUP(A2197,Medical_Examinations[],3,FALSE)</f>
        <v>5.05</v>
      </c>
      <c r="E2197" t="str">
        <f>VLOOKUP(A2197,Medical_Examinations[],4,FALSE)</f>
        <v>No</v>
      </c>
      <c r="F2197" t="str">
        <f>VLOOKUP(A2197,Medical_Examinations[],5,FALSE)</f>
        <v>yes</v>
      </c>
      <c r="G2197" t="str">
        <f>VLOOKUP(A2197,Medical_Examinations[],6,FALSE)</f>
        <v>No</v>
      </c>
      <c r="H2197">
        <f>VLOOKUP(A2197,Medical_Examinations[],7,FALSE)</f>
        <v>1</v>
      </c>
      <c r="I2197" t="str">
        <f>VLOOKUP(A2197,Medical_Examinations[],8,FALSE)</f>
        <v>No</v>
      </c>
      <c r="J2197" t="str">
        <f>VLOOKUP(A2197,Medical_Examinations[],9,FALSE)</f>
        <v>Obesity</v>
      </c>
      <c r="K2197" t="str">
        <f>VLOOKUP(A2197,Medical_Examinations[],10,FALSE)</f>
        <v>Normal</v>
      </c>
      <c r="M2197">
        <f>VLOOKUP(A2197,Hospitalisation_Details__2[],4,FALSE)</f>
        <v>1682.6</v>
      </c>
      <c r="N2197" t="str">
        <f>VLOOKUP(A2197,Hospitalisation_Details__2[],5,FALSE)</f>
        <v>tier - 2</v>
      </c>
      <c r="O2197" t="str">
        <f>VLOOKUP(A2197,Hospitalisation_Details__2[],6,FALSE)</f>
        <v>tier - 2</v>
      </c>
      <c r="P2197" t="str">
        <f>VLOOKUP(A2197,Hospitalisation_Details__2[],7,FALSE)</f>
        <v>R1011</v>
      </c>
    </row>
    <row r="2198" spans="1:16" x14ac:dyDescent="0.35">
      <c r="A2198" t="str">
        <v>Id2197</v>
      </c>
      <c r="B2198" t="str">
        <f>VLOOKUP(A2198,'Customer Names (2)'!A:B, 2,FALSE)</f>
        <v>Mr</v>
      </c>
      <c r="C2198">
        <f>VLOOKUP(A2198,Medical_Examinations[],2,FALSE)</f>
        <v>33.770000000000003</v>
      </c>
      <c r="D2198">
        <f>VLOOKUP(A2198,Medical_Examinations[],3,FALSE)</f>
        <v>6</v>
      </c>
      <c r="E2198" t="str">
        <f>VLOOKUP(A2198,Medical_Examinations[],4,FALSE)</f>
        <v>No</v>
      </c>
      <c r="F2198" t="str">
        <f>VLOOKUP(A2198,Medical_Examinations[],5,FALSE)</f>
        <v>yes</v>
      </c>
      <c r="G2198" t="str">
        <f>VLOOKUP(A2198,Medical_Examinations[],6,FALSE)</f>
        <v>No</v>
      </c>
      <c r="H2198">
        <f>VLOOKUP(A2198,Medical_Examinations[],7,FALSE)</f>
        <v>1</v>
      </c>
      <c r="I2198" t="str">
        <f>VLOOKUP(A2198,Medical_Examinations[],8,FALSE)</f>
        <v>No</v>
      </c>
      <c r="J2198" t="str">
        <f>VLOOKUP(A2198,Medical_Examinations[],9,FALSE)</f>
        <v>Obesity</v>
      </c>
      <c r="K2198" t="str">
        <f>VLOOKUP(A2198,Medical_Examinations[],10,FALSE)</f>
        <v>Prediabetes</v>
      </c>
      <c r="M2198">
        <f>VLOOKUP(A2198,Hospitalisation_Details__2[],4,FALSE)</f>
        <v>1674.63</v>
      </c>
      <c r="N2198" t="str">
        <f>VLOOKUP(A2198,Hospitalisation_Details__2[],5,FALSE)</f>
        <v>tier - 2</v>
      </c>
      <c r="O2198" t="str">
        <f>VLOOKUP(A2198,Hospitalisation_Details__2[],6,FALSE)</f>
        <v>tier - 2</v>
      </c>
      <c r="P2198" t="str">
        <f>VLOOKUP(A2198,Hospitalisation_Details__2[],7,FALSE)</f>
        <v>R1013</v>
      </c>
    </row>
    <row r="2199" spans="1:16" x14ac:dyDescent="0.35">
      <c r="A2199" t="str">
        <v>Id2198</v>
      </c>
      <c r="B2199" t="str">
        <f>VLOOKUP(A2199,'Customer Names (2)'!A:B, 2,FALSE)</f>
        <v>Mr</v>
      </c>
      <c r="C2199">
        <f>VLOOKUP(A2199,Medical_Examinations[],2,FALSE)</f>
        <v>26.84</v>
      </c>
      <c r="D2199">
        <f>VLOOKUP(A2199,Medical_Examinations[],3,FALSE)</f>
        <v>5.99</v>
      </c>
      <c r="E2199" t="str">
        <f>VLOOKUP(A2199,Medical_Examinations[],4,FALSE)</f>
        <v>Yes</v>
      </c>
      <c r="F2199" t="str">
        <f>VLOOKUP(A2199,Medical_Examinations[],5,FALSE)</f>
        <v>yes</v>
      </c>
      <c r="G2199" t="str">
        <f>VLOOKUP(A2199,Medical_Examinations[],6,FALSE)</f>
        <v>No</v>
      </c>
      <c r="H2199">
        <f>VLOOKUP(A2199,Medical_Examinations[],7,FALSE)</f>
        <v>1</v>
      </c>
      <c r="I2199" t="str">
        <f>VLOOKUP(A2199,Medical_Examinations[],8,FALSE)</f>
        <v>No</v>
      </c>
      <c r="J2199" t="str">
        <f>VLOOKUP(A2199,Medical_Examinations[],9,FALSE)</f>
        <v>Overweight</v>
      </c>
      <c r="K2199" t="str">
        <f>VLOOKUP(A2199,Medical_Examinations[],10,FALSE)</f>
        <v>Prediabetes</v>
      </c>
      <c r="M2199">
        <f>VLOOKUP(A2199,Hospitalisation_Details__2[],4,FALSE)</f>
        <v>1665</v>
      </c>
      <c r="N2199" t="str">
        <f>VLOOKUP(A2199,Hospitalisation_Details__2[],5,FALSE)</f>
        <v>tier - 2</v>
      </c>
      <c r="O2199" t="str">
        <f>VLOOKUP(A2199,Hospitalisation_Details__2[],6,FALSE)</f>
        <v>tier - 2</v>
      </c>
      <c r="P2199" t="str">
        <f>VLOOKUP(A2199,Hospitalisation_Details__2[],7,FALSE)</f>
        <v>R1013</v>
      </c>
    </row>
    <row r="2200" spans="1:16" x14ac:dyDescent="0.35">
      <c r="A2200" t="str">
        <v>Id2199</v>
      </c>
      <c r="B2200" t="str">
        <f>VLOOKUP(A2200,'Customer Names (2)'!A:B, 2,FALSE)</f>
        <v>Mr</v>
      </c>
      <c r="C2200">
        <f>VLOOKUP(A2200,Medical_Examinations[],2,FALSE)</f>
        <v>35.53</v>
      </c>
      <c r="D2200">
        <f>VLOOKUP(A2200,Medical_Examinations[],3,FALSE)</f>
        <v>4.3600000000000003</v>
      </c>
      <c r="E2200" t="str">
        <f>VLOOKUP(A2200,Medical_Examinations[],4,FALSE)</f>
        <v>No</v>
      </c>
      <c r="F2200" t="str">
        <f>VLOOKUP(A2200,Medical_Examinations[],5,FALSE)</f>
        <v>No</v>
      </c>
      <c r="G2200" t="str">
        <f>VLOOKUP(A2200,Medical_Examinations[],6,FALSE)</f>
        <v>Yes</v>
      </c>
      <c r="H2200">
        <f>VLOOKUP(A2200,Medical_Examinations[],7,FALSE)</f>
        <v>1</v>
      </c>
      <c r="I2200" t="str">
        <f>VLOOKUP(A2200,Medical_Examinations[],8,FALSE)</f>
        <v>No</v>
      </c>
      <c r="J2200" t="str">
        <f>VLOOKUP(A2200,Medical_Examinations[],9,FALSE)</f>
        <v>Obesity</v>
      </c>
      <c r="K2200" t="str">
        <f>VLOOKUP(A2200,Medical_Examinations[],10,FALSE)</f>
        <v>Normal</v>
      </c>
      <c r="M2200">
        <f>VLOOKUP(A2200,Hospitalisation_Details__2[],4,FALSE)</f>
        <v>1646.43</v>
      </c>
      <c r="N2200" t="str">
        <f>VLOOKUP(A2200,Hospitalisation_Details__2[],5,FALSE)</f>
        <v>tier - 2</v>
      </c>
      <c r="O2200" t="str">
        <f>VLOOKUP(A2200,Hospitalisation_Details__2[],6,FALSE)</f>
        <v>tier - 1</v>
      </c>
      <c r="P2200" t="str">
        <f>VLOOKUP(A2200,Hospitalisation_Details__2[],7,FALSE)</f>
        <v>R1012</v>
      </c>
    </row>
    <row r="2201" spans="1:16" x14ac:dyDescent="0.35">
      <c r="A2201" t="str">
        <v>Id2200</v>
      </c>
      <c r="B2201" t="str">
        <f>VLOOKUP(A2201,'Customer Names (2)'!A:B, 2,FALSE)</f>
        <v>Mr</v>
      </c>
      <c r="C2201">
        <f>VLOOKUP(A2201,Medical_Examinations[],2,FALSE)</f>
        <v>30.59</v>
      </c>
      <c r="D2201">
        <f>VLOOKUP(A2201,Medical_Examinations[],3,FALSE)</f>
        <v>4.41</v>
      </c>
      <c r="E2201" t="str">
        <f>VLOOKUP(A2201,Medical_Examinations[],4,FALSE)</f>
        <v>No</v>
      </c>
      <c r="F2201" t="str">
        <f>VLOOKUP(A2201,Medical_Examinations[],5,FALSE)</f>
        <v>No</v>
      </c>
      <c r="G2201" t="str">
        <f>VLOOKUP(A2201,Medical_Examinations[],6,FALSE)</f>
        <v>Yes</v>
      </c>
      <c r="H2201">
        <f>VLOOKUP(A2201,Medical_Examinations[],7,FALSE)</f>
        <v>1</v>
      </c>
      <c r="I2201" t="str">
        <f>VLOOKUP(A2201,Medical_Examinations[],8,FALSE)</f>
        <v>No</v>
      </c>
      <c r="J2201" t="str">
        <f>VLOOKUP(A2201,Medical_Examinations[],9,FALSE)</f>
        <v>Obesity</v>
      </c>
      <c r="K2201" t="str">
        <f>VLOOKUP(A2201,Medical_Examinations[],10,FALSE)</f>
        <v>Normal</v>
      </c>
      <c r="M2201">
        <f>VLOOKUP(A2201,Hospitalisation_Details__2[],4,FALSE)</f>
        <v>1639.56</v>
      </c>
      <c r="N2201" t="str">
        <f>VLOOKUP(A2201,Hospitalisation_Details__2[],5,FALSE)</f>
        <v>tier - 2</v>
      </c>
      <c r="O2201" t="str">
        <f>VLOOKUP(A2201,Hospitalisation_Details__2[],6,FALSE)</f>
        <v>tier - 2</v>
      </c>
      <c r="P2201" t="str">
        <f>VLOOKUP(A2201,Hospitalisation_Details__2[],7,FALSE)</f>
        <v>R1012</v>
      </c>
    </row>
    <row r="2202" spans="1:16" x14ac:dyDescent="0.35">
      <c r="A2202" t="str">
        <v>Id2201</v>
      </c>
      <c r="B2202" t="str">
        <f>VLOOKUP(A2202,'Customer Names (2)'!A:B, 2,FALSE)</f>
        <v>Mr</v>
      </c>
      <c r="C2202">
        <f>VLOOKUP(A2202,Medical_Examinations[],2,FALSE)</f>
        <v>30.59</v>
      </c>
      <c r="D2202">
        <f>VLOOKUP(A2202,Medical_Examinations[],3,FALSE)</f>
        <v>4.17</v>
      </c>
      <c r="E2202" t="str">
        <f>VLOOKUP(A2202,Medical_Examinations[],4,FALSE)</f>
        <v>No</v>
      </c>
      <c r="F2202" t="str">
        <f>VLOOKUP(A2202,Medical_Examinations[],5,FALSE)</f>
        <v>No</v>
      </c>
      <c r="G2202" t="str">
        <f>VLOOKUP(A2202,Medical_Examinations[],6,FALSE)</f>
        <v>Yes</v>
      </c>
      <c r="H2202">
        <f>VLOOKUP(A2202,Medical_Examinations[],7,FALSE)</f>
        <v>1</v>
      </c>
      <c r="I2202" t="str">
        <f>VLOOKUP(A2202,Medical_Examinations[],8,FALSE)</f>
        <v>No</v>
      </c>
      <c r="J2202" t="str">
        <f>VLOOKUP(A2202,Medical_Examinations[],9,FALSE)</f>
        <v>Obesity</v>
      </c>
      <c r="K2202" t="str">
        <f>VLOOKUP(A2202,Medical_Examinations[],10,FALSE)</f>
        <v>Normal</v>
      </c>
      <c r="M2202">
        <f>VLOOKUP(A2202,Hospitalisation_Details__2[],4,FALSE)</f>
        <v>1639.56</v>
      </c>
      <c r="N2202" t="str">
        <f>VLOOKUP(A2202,Hospitalisation_Details__2[],5,FALSE)</f>
        <v>tier - 2</v>
      </c>
      <c r="O2202" t="str">
        <f>VLOOKUP(A2202,Hospitalisation_Details__2[],6,FALSE)</f>
        <v>tier - 2</v>
      </c>
      <c r="P2202" t="str">
        <f>VLOOKUP(A2202,Hospitalisation_Details__2[],7,FALSE)</f>
        <v>R1012</v>
      </c>
    </row>
    <row r="2203" spans="1:16" x14ac:dyDescent="0.35">
      <c r="A2203" t="str">
        <v>Id2202</v>
      </c>
      <c r="B2203" t="str">
        <f>VLOOKUP(A2203,'Customer Names (2)'!A:B, 2,FALSE)</f>
        <v>Mr</v>
      </c>
      <c r="C2203">
        <f>VLOOKUP(A2203,Medical_Examinations[],2,FALSE)</f>
        <v>27.835000000000001</v>
      </c>
      <c r="D2203">
        <f>VLOOKUP(A2203,Medical_Examinations[],3,FALSE)</f>
        <v>4.4400000000000004</v>
      </c>
      <c r="E2203" t="str">
        <f>VLOOKUP(A2203,Medical_Examinations[],4,FALSE)</f>
        <v>No</v>
      </c>
      <c r="F2203" t="str">
        <f>VLOOKUP(A2203,Medical_Examinations[],5,FALSE)</f>
        <v>No</v>
      </c>
      <c r="G2203" t="str">
        <f>VLOOKUP(A2203,Medical_Examinations[],6,FALSE)</f>
        <v>Yes</v>
      </c>
      <c r="H2203">
        <f>VLOOKUP(A2203,Medical_Examinations[],7,FALSE)</f>
        <v>1</v>
      </c>
      <c r="I2203" t="str">
        <f>VLOOKUP(A2203,Medical_Examinations[],8,FALSE)</f>
        <v>No</v>
      </c>
      <c r="J2203" t="str">
        <f>VLOOKUP(A2203,Medical_Examinations[],9,FALSE)</f>
        <v>Overweight</v>
      </c>
      <c r="K2203" t="str">
        <f>VLOOKUP(A2203,Medical_Examinations[],10,FALSE)</f>
        <v>Normal</v>
      </c>
      <c r="M2203">
        <f>VLOOKUP(A2203,Hospitalisation_Details__2[],4,FALSE)</f>
        <v>1635.73</v>
      </c>
      <c r="N2203" t="str">
        <f>VLOOKUP(A2203,Hospitalisation_Details__2[],5,FALSE)</f>
        <v>tier - 2</v>
      </c>
      <c r="O2203" t="str">
        <f>VLOOKUP(A2203,Hospitalisation_Details__2[],6,FALSE)</f>
        <v>tier - 3</v>
      </c>
      <c r="P2203" t="str">
        <f>VLOOKUP(A2203,Hospitalisation_Details__2[],7,FALSE)</f>
        <v>R1012</v>
      </c>
    </row>
    <row r="2204" spans="1:16" x14ac:dyDescent="0.35">
      <c r="A2204" t="str">
        <v>Id2203</v>
      </c>
      <c r="B2204" t="str">
        <f>VLOOKUP(A2204,'Customer Names (2)'!A:B, 2,FALSE)</f>
        <v>Ms</v>
      </c>
      <c r="C2204">
        <f>VLOOKUP(A2204,Medical_Examinations[],2,FALSE)</f>
        <v>40.26</v>
      </c>
      <c r="D2204">
        <f>VLOOKUP(A2204,Medical_Examinations[],3,FALSE)</f>
        <v>5.52</v>
      </c>
      <c r="E2204" t="str">
        <f>VLOOKUP(A2204,Medical_Examinations[],4,FALSE)</f>
        <v>No</v>
      </c>
      <c r="F2204" t="str">
        <f>VLOOKUP(A2204,Medical_Examinations[],5,FALSE)</f>
        <v>yes</v>
      </c>
      <c r="G2204" t="str">
        <f>VLOOKUP(A2204,Medical_Examinations[],6,FALSE)</f>
        <v>No</v>
      </c>
      <c r="H2204">
        <f>VLOOKUP(A2204,Medical_Examinations[],7,FALSE)</f>
        <v>1</v>
      </c>
      <c r="I2204" t="str">
        <f>VLOOKUP(A2204,Medical_Examinations[],8,FALSE)</f>
        <v>No</v>
      </c>
      <c r="J2204" t="str">
        <f>VLOOKUP(A2204,Medical_Examinations[],9,FALSE)</f>
        <v>Obesity</v>
      </c>
      <c r="K2204" t="str">
        <f>VLOOKUP(A2204,Medical_Examinations[],10,FALSE)</f>
        <v>Normal</v>
      </c>
      <c r="M2204">
        <f>VLOOKUP(A2204,Hospitalisation_Details__2[],4,FALSE)</f>
        <v>1634.57</v>
      </c>
      <c r="N2204" t="str">
        <f>VLOOKUP(A2204,Hospitalisation_Details__2[],5,FALSE)</f>
        <v>tier - 2</v>
      </c>
      <c r="O2204" t="str">
        <f>VLOOKUP(A2204,Hospitalisation_Details__2[],6,FALSE)</f>
        <v>tier - 2</v>
      </c>
      <c r="P2204" t="str">
        <f>VLOOKUP(A2204,Hospitalisation_Details__2[],7,FALSE)</f>
        <v>R1013</v>
      </c>
    </row>
    <row r="2205" spans="1:16" x14ac:dyDescent="0.35">
      <c r="A2205" t="str">
        <v>Id2204</v>
      </c>
      <c r="B2205" t="str">
        <f>VLOOKUP(A2205,'Customer Names (2)'!A:B, 2,FALSE)</f>
        <v>Ms</v>
      </c>
      <c r="C2205">
        <f>VLOOKUP(A2205,Medical_Examinations[],2,FALSE)</f>
        <v>39.82</v>
      </c>
      <c r="D2205">
        <f>VLOOKUP(A2205,Medical_Examinations[],3,FALSE)</f>
        <v>6.01</v>
      </c>
      <c r="E2205" t="str">
        <f>VLOOKUP(A2205,Medical_Examinations[],4,FALSE)</f>
        <v>No</v>
      </c>
      <c r="F2205" t="str">
        <f>VLOOKUP(A2205,Medical_Examinations[],5,FALSE)</f>
        <v>yes</v>
      </c>
      <c r="G2205" t="str">
        <f>VLOOKUP(A2205,Medical_Examinations[],6,FALSE)</f>
        <v>No</v>
      </c>
      <c r="H2205">
        <f>VLOOKUP(A2205,Medical_Examinations[],7,FALSE)</f>
        <v>1</v>
      </c>
      <c r="I2205" t="str">
        <f>VLOOKUP(A2205,Medical_Examinations[],8,FALSE)</f>
        <v>No</v>
      </c>
      <c r="J2205" t="str">
        <f>VLOOKUP(A2205,Medical_Examinations[],9,FALSE)</f>
        <v>Obesity</v>
      </c>
      <c r="K2205" t="str">
        <f>VLOOKUP(A2205,Medical_Examinations[],10,FALSE)</f>
        <v>Prediabetes</v>
      </c>
      <c r="M2205">
        <f>VLOOKUP(A2205,Hospitalisation_Details__2[],4,FALSE)</f>
        <v>1633.96</v>
      </c>
      <c r="N2205" t="str">
        <f>VLOOKUP(A2205,Hospitalisation_Details__2[],5,FALSE)</f>
        <v>tier - 2</v>
      </c>
      <c r="O2205" t="str">
        <f>VLOOKUP(A2205,Hospitalisation_Details__2[],6,FALSE)</f>
        <v>tier - 1</v>
      </c>
      <c r="P2205" t="str">
        <f>VLOOKUP(A2205,Hospitalisation_Details__2[],7,FALSE)</f>
        <v>R1013</v>
      </c>
    </row>
    <row r="2206" spans="1:16" x14ac:dyDescent="0.35">
      <c r="A2206" t="str">
        <v>Id2205</v>
      </c>
      <c r="B2206" t="str">
        <f>VLOOKUP(A2206,'Customer Names (2)'!A:B, 2,FALSE)</f>
        <v>Ms</v>
      </c>
      <c r="C2206">
        <f>VLOOKUP(A2206,Medical_Examinations[],2,FALSE)</f>
        <v>39.159999999999997</v>
      </c>
      <c r="D2206">
        <f>VLOOKUP(A2206,Medical_Examinations[],3,FALSE)</f>
        <v>5.81</v>
      </c>
      <c r="E2206" t="str">
        <f>VLOOKUP(A2206,Medical_Examinations[],4,FALSE)</f>
        <v>No</v>
      </c>
      <c r="F2206" t="str">
        <f>VLOOKUP(A2206,Medical_Examinations[],5,FALSE)</f>
        <v>yes</v>
      </c>
      <c r="G2206" t="str">
        <f>VLOOKUP(A2206,Medical_Examinations[],6,FALSE)</f>
        <v>No</v>
      </c>
      <c r="H2206">
        <f>VLOOKUP(A2206,Medical_Examinations[],7,FALSE)</f>
        <v>1</v>
      </c>
      <c r="I2206" t="str">
        <f>VLOOKUP(A2206,Medical_Examinations[],8,FALSE)</f>
        <v>No</v>
      </c>
      <c r="J2206" t="str">
        <f>VLOOKUP(A2206,Medical_Examinations[],9,FALSE)</f>
        <v>Obesity</v>
      </c>
      <c r="K2206" t="str">
        <f>VLOOKUP(A2206,Medical_Examinations[],10,FALSE)</f>
        <v>Prediabetes</v>
      </c>
      <c r="M2206">
        <f>VLOOKUP(A2206,Hospitalisation_Details__2[],4,FALSE)</f>
        <v>1633.04</v>
      </c>
      <c r="N2206" t="str">
        <f>VLOOKUP(A2206,Hospitalisation_Details__2[],5,FALSE)</f>
        <v>tier - 2</v>
      </c>
      <c r="O2206" t="str">
        <f>VLOOKUP(A2206,Hospitalisation_Details__2[],6,FALSE)</f>
        <v>tier - 2</v>
      </c>
      <c r="P2206" t="str">
        <f>VLOOKUP(A2206,Hospitalisation_Details__2[],7,FALSE)</f>
        <v>R1013</v>
      </c>
    </row>
    <row r="2207" spans="1:16" x14ac:dyDescent="0.35">
      <c r="A2207" t="str">
        <v>Id2206</v>
      </c>
      <c r="B2207" t="str">
        <f>VLOOKUP(A2207,'Customer Names (2)'!A:B, 2,FALSE)</f>
        <v>Mr</v>
      </c>
      <c r="C2207">
        <f>VLOOKUP(A2207,Medical_Examinations[],2,FALSE)</f>
        <v>25.555</v>
      </c>
      <c r="D2207">
        <f>VLOOKUP(A2207,Medical_Examinations[],3,FALSE)</f>
        <v>4.37</v>
      </c>
      <c r="E2207" t="str">
        <f>VLOOKUP(A2207,Medical_Examinations[],4,FALSE)</f>
        <v>No</v>
      </c>
      <c r="F2207" t="str">
        <f>VLOOKUP(A2207,Medical_Examinations[],5,FALSE)</f>
        <v>No</v>
      </c>
      <c r="G2207" t="str">
        <f>VLOOKUP(A2207,Medical_Examinations[],6,FALSE)</f>
        <v>Yes</v>
      </c>
      <c r="H2207">
        <f>VLOOKUP(A2207,Medical_Examinations[],7,FALSE)</f>
        <v>1</v>
      </c>
      <c r="I2207" t="str">
        <f>VLOOKUP(A2207,Medical_Examinations[],8,FALSE)</f>
        <v>No</v>
      </c>
      <c r="J2207" t="str">
        <f>VLOOKUP(A2207,Medical_Examinations[],9,FALSE)</f>
        <v>Overweight</v>
      </c>
      <c r="K2207" t="str">
        <f>VLOOKUP(A2207,Medical_Examinations[],10,FALSE)</f>
        <v>Normal</v>
      </c>
      <c r="M2207">
        <f>VLOOKUP(A2207,Hospitalisation_Details__2[],4,FALSE)</f>
        <v>1632.56</v>
      </c>
      <c r="N2207" t="str">
        <f>VLOOKUP(A2207,Hospitalisation_Details__2[],5,FALSE)</f>
        <v>tier - 2</v>
      </c>
      <c r="O2207" t="str">
        <f>VLOOKUP(A2207,Hospitalisation_Details__2[],6,FALSE)</f>
        <v>tier - 2</v>
      </c>
      <c r="P2207" t="str">
        <f>VLOOKUP(A2207,Hospitalisation_Details__2[],7,FALSE)</f>
        <v>R1012</v>
      </c>
    </row>
    <row r="2208" spans="1:16" x14ac:dyDescent="0.35">
      <c r="A2208" t="str">
        <v>Id2207</v>
      </c>
      <c r="B2208" t="str">
        <f>VLOOKUP(A2208,'Customer Names (2)'!A:B, 2,FALSE)</f>
        <v>Mr</v>
      </c>
      <c r="C2208">
        <f>VLOOKUP(A2208,Medical_Examinations[],2,FALSE)</f>
        <v>25.175000000000001</v>
      </c>
      <c r="D2208">
        <f>VLOOKUP(A2208,Medical_Examinations[],3,FALSE)</f>
        <v>5.74</v>
      </c>
      <c r="E2208" t="str">
        <f>VLOOKUP(A2208,Medical_Examinations[],4,FALSE)</f>
        <v>No</v>
      </c>
      <c r="F2208" t="str">
        <f>VLOOKUP(A2208,Medical_Examinations[],5,FALSE)</f>
        <v>No</v>
      </c>
      <c r="G2208" t="str">
        <f>VLOOKUP(A2208,Medical_Examinations[],6,FALSE)</f>
        <v>Yes</v>
      </c>
      <c r="H2208">
        <f>VLOOKUP(A2208,Medical_Examinations[],7,FALSE)</f>
        <v>1</v>
      </c>
      <c r="I2208" t="str">
        <f>VLOOKUP(A2208,Medical_Examinations[],8,FALSE)</f>
        <v>No</v>
      </c>
      <c r="J2208" t="str">
        <f>VLOOKUP(A2208,Medical_Examinations[],9,FALSE)</f>
        <v>Overweight</v>
      </c>
      <c r="K2208" t="str">
        <f>VLOOKUP(A2208,Medical_Examinations[],10,FALSE)</f>
        <v>Prediabetes</v>
      </c>
      <c r="M2208">
        <f>VLOOKUP(A2208,Hospitalisation_Details__2[],4,FALSE)</f>
        <v>1632.04</v>
      </c>
      <c r="N2208" t="str">
        <f>VLOOKUP(A2208,Hospitalisation_Details__2[],5,FALSE)</f>
        <v>tier - 2</v>
      </c>
      <c r="O2208" t="str">
        <f>VLOOKUP(A2208,Hospitalisation_Details__2[],6,FALSE)</f>
        <v>tier - 2</v>
      </c>
      <c r="P2208" t="str">
        <f>VLOOKUP(A2208,Hospitalisation_Details__2[],7,FALSE)</f>
        <v>R1012</v>
      </c>
    </row>
    <row r="2209" spans="1:16" x14ac:dyDescent="0.35">
      <c r="A2209" t="str">
        <v>Id2208</v>
      </c>
      <c r="B2209" t="str">
        <f>VLOOKUP(A2209,'Customer Names (2)'!A:B, 2,FALSE)</f>
        <v>Ms</v>
      </c>
      <c r="C2209">
        <f>VLOOKUP(A2209,Medical_Examinations[],2,FALSE)</f>
        <v>38.28</v>
      </c>
      <c r="D2209">
        <f>VLOOKUP(A2209,Medical_Examinations[],3,FALSE)</f>
        <v>5.39</v>
      </c>
      <c r="E2209" t="str">
        <f>VLOOKUP(A2209,Medical_Examinations[],4,FALSE)</f>
        <v>No</v>
      </c>
      <c r="F2209" t="str">
        <f>VLOOKUP(A2209,Medical_Examinations[],5,FALSE)</f>
        <v>yes</v>
      </c>
      <c r="G2209" t="str">
        <f>VLOOKUP(A2209,Medical_Examinations[],6,FALSE)</f>
        <v>No</v>
      </c>
      <c r="H2209">
        <f>VLOOKUP(A2209,Medical_Examinations[],7,FALSE)</f>
        <v>1</v>
      </c>
      <c r="I2209" t="str">
        <f>VLOOKUP(A2209,Medical_Examinations[],8,FALSE)</f>
        <v>No</v>
      </c>
      <c r="J2209" t="str">
        <f>VLOOKUP(A2209,Medical_Examinations[],9,FALSE)</f>
        <v>Obesity</v>
      </c>
      <c r="K2209" t="str">
        <f>VLOOKUP(A2209,Medical_Examinations[],10,FALSE)</f>
        <v>Normal</v>
      </c>
      <c r="M2209">
        <f>VLOOKUP(A2209,Hospitalisation_Details__2[],4,FALSE)</f>
        <v>1631.82</v>
      </c>
      <c r="N2209" t="str">
        <f>VLOOKUP(A2209,Hospitalisation_Details__2[],5,FALSE)</f>
        <v>tier - 2</v>
      </c>
      <c r="O2209" t="str">
        <f>VLOOKUP(A2209,Hospitalisation_Details__2[],6,FALSE)</f>
        <v>tier - 1</v>
      </c>
      <c r="P2209" t="str">
        <f>VLOOKUP(A2209,Hospitalisation_Details__2[],7,FALSE)</f>
        <v>R1013</v>
      </c>
    </row>
    <row r="2210" spans="1:16" x14ac:dyDescent="0.35">
      <c r="A2210" t="str">
        <v>Id2209</v>
      </c>
      <c r="B2210" t="str">
        <f>VLOOKUP(A2210,'Customer Names (2)'!A:B, 2,FALSE)</f>
        <v>Ms</v>
      </c>
      <c r="C2210">
        <f>VLOOKUP(A2210,Medical_Examinations[],2,FALSE)</f>
        <v>38.17</v>
      </c>
      <c r="D2210">
        <f>VLOOKUP(A2210,Medical_Examinations[],3,FALSE)</f>
        <v>4.07</v>
      </c>
      <c r="E2210" t="str">
        <f>VLOOKUP(A2210,Medical_Examinations[],4,FALSE)</f>
        <v>No</v>
      </c>
      <c r="F2210" t="str">
        <f>VLOOKUP(A2210,Medical_Examinations[],5,FALSE)</f>
        <v>yes</v>
      </c>
      <c r="G2210" t="str">
        <f>VLOOKUP(A2210,Medical_Examinations[],6,FALSE)</f>
        <v>No</v>
      </c>
      <c r="H2210">
        <f>VLOOKUP(A2210,Medical_Examinations[],7,FALSE)</f>
        <v>1</v>
      </c>
      <c r="I2210" t="str">
        <f>VLOOKUP(A2210,Medical_Examinations[],8,FALSE)</f>
        <v>No</v>
      </c>
      <c r="J2210" t="str">
        <f>VLOOKUP(A2210,Medical_Examinations[],9,FALSE)</f>
        <v>Obesity</v>
      </c>
      <c r="K2210" t="str">
        <f>VLOOKUP(A2210,Medical_Examinations[],10,FALSE)</f>
        <v>Normal</v>
      </c>
      <c r="M2210">
        <f>VLOOKUP(A2210,Hospitalisation_Details__2[],4,FALSE)</f>
        <v>1631.67</v>
      </c>
      <c r="N2210" t="str">
        <f>VLOOKUP(A2210,Hospitalisation_Details__2[],5,FALSE)</f>
        <v>tier - 2</v>
      </c>
      <c r="O2210" t="str">
        <f>VLOOKUP(A2210,Hospitalisation_Details__2[],6,FALSE)</f>
        <v>tier - 3</v>
      </c>
      <c r="P2210" t="str">
        <f>VLOOKUP(A2210,Hospitalisation_Details__2[],7,FALSE)</f>
        <v>R1013</v>
      </c>
    </row>
    <row r="2211" spans="1:16" x14ac:dyDescent="0.35">
      <c r="A2211" t="str">
        <v>Id2210</v>
      </c>
      <c r="B2211" t="str">
        <f>VLOOKUP(A2211,'Customer Names (2)'!A:B, 2,FALSE)</f>
        <v>Ms</v>
      </c>
      <c r="C2211">
        <f>VLOOKUP(A2211,Medical_Examinations[],2,FALSE)</f>
        <v>36.85</v>
      </c>
      <c r="D2211">
        <f>VLOOKUP(A2211,Medical_Examinations[],3,FALSE)</f>
        <v>5.49</v>
      </c>
      <c r="E2211" t="str">
        <f>VLOOKUP(A2211,Medical_Examinations[],4,FALSE)</f>
        <v>No</v>
      </c>
      <c r="F2211" t="str">
        <f>VLOOKUP(A2211,Medical_Examinations[],5,FALSE)</f>
        <v>yes</v>
      </c>
      <c r="G2211" t="str">
        <f>VLOOKUP(A2211,Medical_Examinations[],6,FALSE)</f>
        <v>No</v>
      </c>
      <c r="H2211">
        <f>VLOOKUP(A2211,Medical_Examinations[],7,FALSE)</f>
        <v>1</v>
      </c>
      <c r="I2211" t="str">
        <f>VLOOKUP(A2211,Medical_Examinations[],8,FALSE)</f>
        <v>No</v>
      </c>
      <c r="J2211" t="str">
        <f>VLOOKUP(A2211,Medical_Examinations[],9,FALSE)</f>
        <v>Obesity</v>
      </c>
      <c r="K2211" t="str">
        <f>VLOOKUP(A2211,Medical_Examinations[],10,FALSE)</f>
        <v>Normal</v>
      </c>
      <c r="M2211">
        <f>VLOOKUP(A2211,Hospitalisation_Details__2[],4,FALSE)</f>
        <v>1629.83</v>
      </c>
      <c r="N2211" t="str">
        <f>VLOOKUP(A2211,Hospitalisation_Details__2[],5,FALSE)</f>
        <v>tier - 2</v>
      </c>
      <c r="O2211" t="str">
        <f>VLOOKUP(A2211,Hospitalisation_Details__2[],6,FALSE)</f>
        <v>tier - 2</v>
      </c>
      <c r="P2211" t="str">
        <f>VLOOKUP(A2211,Hospitalisation_Details__2[],7,FALSE)</f>
        <v>R1013</v>
      </c>
    </row>
    <row r="2212" spans="1:16" x14ac:dyDescent="0.35">
      <c r="A2212" t="str">
        <v>Id2211</v>
      </c>
      <c r="B2212" t="str">
        <f>VLOOKUP(A2212,'Customer Names (2)'!A:B, 2,FALSE)</f>
        <v>Mr</v>
      </c>
      <c r="C2212">
        <f>VLOOKUP(A2212,Medical_Examinations[],2,FALSE)</f>
        <v>22.61</v>
      </c>
      <c r="D2212">
        <f>VLOOKUP(A2212,Medical_Examinations[],3,FALSE)</f>
        <v>5.68</v>
      </c>
      <c r="E2212" t="str">
        <f>VLOOKUP(A2212,Medical_Examinations[],4,FALSE)</f>
        <v>No</v>
      </c>
      <c r="F2212" t="str">
        <f>VLOOKUP(A2212,Medical_Examinations[],5,FALSE)</f>
        <v>No</v>
      </c>
      <c r="G2212" t="str">
        <f>VLOOKUP(A2212,Medical_Examinations[],6,FALSE)</f>
        <v>Yes</v>
      </c>
      <c r="H2212">
        <f>VLOOKUP(A2212,Medical_Examinations[],7,FALSE)</f>
        <v>1</v>
      </c>
      <c r="I2212" t="str">
        <f>VLOOKUP(A2212,Medical_Examinations[],8,FALSE)</f>
        <v>No</v>
      </c>
      <c r="J2212" t="str">
        <f>VLOOKUP(A2212,Medical_Examinations[],9,FALSE)</f>
        <v>Normal Weight</v>
      </c>
      <c r="K2212" t="str">
        <f>VLOOKUP(A2212,Medical_Examinations[],10,FALSE)</f>
        <v>Normal</v>
      </c>
      <c r="M2212">
        <f>VLOOKUP(A2212,Hospitalisation_Details__2[],4,FALSE)</f>
        <v>1628.47</v>
      </c>
      <c r="N2212" t="str">
        <f>VLOOKUP(A2212,Hospitalisation_Details__2[],5,FALSE)</f>
        <v>tier - 2</v>
      </c>
      <c r="O2212" t="str">
        <f>VLOOKUP(A2212,Hospitalisation_Details__2[],6,FALSE)</f>
        <v>tier - 1</v>
      </c>
      <c r="P2212" t="str">
        <f>VLOOKUP(A2212,Hospitalisation_Details__2[],7,FALSE)</f>
        <v>R1012</v>
      </c>
    </row>
    <row r="2213" spans="1:16" x14ac:dyDescent="0.35">
      <c r="A2213" t="str">
        <v>Id2212</v>
      </c>
      <c r="B2213" t="str">
        <f>VLOOKUP(A2213,'Customer Names (2)'!A:B, 2,FALSE)</f>
        <v>Mr</v>
      </c>
      <c r="C2213">
        <f>VLOOKUP(A2213,Medical_Examinations[],2,FALSE)</f>
        <v>21.754999999999999</v>
      </c>
      <c r="D2213">
        <f>VLOOKUP(A2213,Medical_Examinations[],3,FALSE)</f>
        <v>6.09</v>
      </c>
      <c r="E2213" t="str">
        <f>VLOOKUP(A2213,Medical_Examinations[],4,FALSE)</f>
        <v>No</v>
      </c>
      <c r="F2213" t="str">
        <f>VLOOKUP(A2213,Medical_Examinations[],5,FALSE)</f>
        <v>No</v>
      </c>
      <c r="G2213" t="str">
        <f>VLOOKUP(A2213,Medical_Examinations[],6,FALSE)</f>
        <v>Yes</v>
      </c>
      <c r="H2213">
        <f>VLOOKUP(A2213,Medical_Examinations[],7,FALSE)</f>
        <v>1</v>
      </c>
      <c r="I2213" t="str">
        <f>VLOOKUP(A2213,Medical_Examinations[],8,FALSE)</f>
        <v>No</v>
      </c>
      <c r="J2213" t="str">
        <f>VLOOKUP(A2213,Medical_Examinations[],9,FALSE)</f>
        <v>Normal Weight</v>
      </c>
      <c r="K2213" t="str">
        <f>VLOOKUP(A2213,Medical_Examinations[],10,FALSE)</f>
        <v>Prediabetes</v>
      </c>
      <c r="M2213">
        <f>VLOOKUP(A2213,Hospitalisation_Details__2[],4,FALSE)</f>
        <v>1627.28</v>
      </c>
      <c r="N2213" t="str">
        <f>VLOOKUP(A2213,Hospitalisation_Details__2[],5,FALSE)</f>
        <v>tier - 2</v>
      </c>
      <c r="O2213" t="str">
        <f>VLOOKUP(A2213,Hospitalisation_Details__2[],6,FALSE)</f>
        <v>tier - 2</v>
      </c>
      <c r="P2213" t="str">
        <f>VLOOKUP(A2213,Hospitalisation_Details__2[],7,FALSE)</f>
        <v>R1012</v>
      </c>
    </row>
    <row r="2214" spans="1:16" x14ac:dyDescent="0.35">
      <c r="A2214" t="str">
        <v>Id2213</v>
      </c>
      <c r="B2214" t="str">
        <f>VLOOKUP(A2214,'Customer Names (2)'!A:B, 2,FALSE)</f>
        <v>Mr</v>
      </c>
      <c r="C2214">
        <f>VLOOKUP(A2214,Medical_Examinations[],2,FALSE)</f>
        <v>20.425000000000001</v>
      </c>
      <c r="D2214">
        <f>VLOOKUP(A2214,Medical_Examinations[],3,FALSE)</f>
        <v>5.53</v>
      </c>
      <c r="E2214" t="str">
        <f>VLOOKUP(A2214,Medical_Examinations[],4,FALSE)</f>
        <v>No</v>
      </c>
      <c r="F2214" t="str">
        <f>VLOOKUP(A2214,Medical_Examinations[],5,FALSE)</f>
        <v>No</v>
      </c>
      <c r="G2214" t="str">
        <f>VLOOKUP(A2214,Medical_Examinations[],6,FALSE)</f>
        <v>Yes</v>
      </c>
      <c r="H2214">
        <f>VLOOKUP(A2214,Medical_Examinations[],7,FALSE)</f>
        <v>1</v>
      </c>
      <c r="I2214" t="str">
        <f>VLOOKUP(A2214,Medical_Examinations[],8,FALSE)</f>
        <v>No</v>
      </c>
      <c r="J2214" t="str">
        <f>VLOOKUP(A2214,Medical_Examinations[],9,FALSE)</f>
        <v>Normal Weight</v>
      </c>
      <c r="K2214" t="str">
        <f>VLOOKUP(A2214,Medical_Examinations[],10,FALSE)</f>
        <v>Normal</v>
      </c>
      <c r="M2214">
        <f>VLOOKUP(A2214,Hospitalisation_Details__2[],4,FALSE)</f>
        <v>1625.43</v>
      </c>
      <c r="N2214" t="str">
        <f>VLOOKUP(A2214,Hospitalisation_Details__2[],5,FALSE)</f>
        <v>tier - 2</v>
      </c>
      <c r="O2214" t="str">
        <f>VLOOKUP(A2214,Hospitalisation_Details__2[],6,FALSE)</f>
        <v>tier - 3</v>
      </c>
      <c r="P2214" t="str">
        <f>VLOOKUP(A2214,Hospitalisation_Details__2[],7,FALSE)</f>
        <v>R1012</v>
      </c>
    </row>
    <row r="2215" spans="1:16" x14ac:dyDescent="0.35">
      <c r="A2215" t="str">
        <v>Id2214</v>
      </c>
      <c r="B2215" t="str">
        <f>VLOOKUP(A2215,'Customer Names (2)'!A:B, 2,FALSE)</f>
        <v>Ms</v>
      </c>
      <c r="C2215">
        <f>VLOOKUP(A2215,Medical_Examinations[],2,FALSE)</f>
        <v>31.35</v>
      </c>
      <c r="D2215">
        <f>VLOOKUP(A2215,Medical_Examinations[],3,FALSE)</f>
        <v>4.28</v>
      </c>
      <c r="E2215" t="str">
        <f>VLOOKUP(A2215,Medical_Examinations[],4,FALSE)</f>
        <v>No</v>
      </c>
      <c r="F2215" t="str">
        <f>VLOOKUP(A2215,Medical_Examinations[],5,FALSE)</f>
        <v>yes</v>
      </c>
      <c r="G2215" t="str">
        <f>VLOOKUP(A2215,Medical_Examinations[],6,FALSE)</f>
        <v>No</v>
      </c>
      <c r="H2215">
        <f>VLOOKUP(A2215,Medical_Examinations[],7,FALSE)</f>
        <v>1</v>
      </c>
      <c r="I2215" t="str">
        <f>VLOOKUP(A2215,Medical_Examinations[],8,FALSE)</f>
        <v>No</v>
      </c>
      <c r="J2215" t="str">
        <f>VLOOKUP(A2215,Medical_Examinations[],9,FALSE)</f>
        <v>Obesity</v>
      </c>
      <c r="K2215" t="str">
        <f>VLOOKUP(A2215,Medical_Examinations[],10,FALSE)</f>
        <v>Normal</v>
      </c>
      <c r="M2215">
        <f>VLOOKUP(A2215,Hospitalisation_Details__2[],4,FALSE)</f>
        <v>1622.19</v>
      </c>
      <c r="N2215" t="str">
        <f>VLOOKUP(A2215,Hospitalisation_Details__2[],5,FALSE)</f>
        <v>tier - 2</v>
      </c>
      <c r="O2215" t="str">
        <f>VLOOKUP(A2215,Hospitalisation_Details__2[],6,FALSE)</f>
        <v>tier - 1</v>
      </c>
      <c r="P2215" t="str">
        <f>VLOOKUP(A2215,Hospitalisation_Details__2[],7,FALSE)</f>
        <v>R1013</v>
      </c>
    </row>
    <row r="2216" spans="1:16" x14ac:dyDescent="0.35">
      <c r="A2216" t="str">
        <v>Id2215</v>
      </c>
      <c r="B2216" t="str">
        <f>VLOOKUP(A2216,'Customer Names (2)'!A:B, 2,FALSE)</f>
        <v>Ms</v>
      </c>
      <c r="C2216">
        <f>VLOOKUP(A2216,Medical_Examinations[],2,FALSE)</f>
        <v>31.13</v>
      </c>
      <c r="D2216">
        <f>VLOOKUP(A2216,Medical_Examinations[],3,FALSE)</f>
        <v>6.01</v>
      </c>
      <c r="E2216" t="str">
        <f>VLOOKUP(A2216,Medical_Examinations[],4,FALSE)</f>
        <v>No</v>
      </c>
      <c r="F2216" t="str">
        <f>VLOOKUP(A2216,Medical_Examinations[],5,FALSE)</f>
        <v>yes</v>
      </c>
      <c r="G2216" t="str">
        <f>VLOOKUP(A2216,Medical_Examinations[],6,FALSE)</f>
        <v>No</v>
      </c>
      <c r="H2216">
        <f>VLOOKUP(A2216,Medical_Examinations[],7,FALSE)</f>
        <v>1</v>
      </c>
      <c r="I2216" t="str">
        <f>VLOOKUP(A2216,Medical_Examinations[],8,FALSE)</f>
        <v>No</v>
      </c>
      <c r="J2216" t="str">
        <f>VLOOKUP(A2216,Medical_Examinations[],9,FALSE)</f>
        <v>Obesity</v>
      </c>
      <c r="K2216" t="str">
        <f>VLOOKUP(A2216,Medical_Examinations[],10,FALSE)</f>
        <v>Prediabetes</v>
      </c>
      <c r="M2216">
        <f>VLOOKUP(A2216,Hospitalisation_Details__2[],4,FALSE)</f>
        <v>1621.88</v>
      </c>
      <c r="N2216" t="str">
        <f>VLOOKUP(A2216,Hospitalisation_Details__2[],5,FALSE)</f>
        <v>tier - 2</v>
      </c>
      <c r="O2216" t="str">
        <f>VLOOKUP(A2216,Hospitalisation_Details__2[],6,FALSE)</f>
        <v>tier - 2</v>
      </c>
      <c r="P2216" t="str">
        <f>VLOOKUP(A2216,Hospitalisation_Details__2[],7,FALSE)</f>
        <v>R1013</v>
      </c>
    </row>
    <row r="2217" spans="1:16" x14ac:dyDescent="0.35">
      <c r="A2217" t="str">
        <v>Id2216</v>
      </c>
      <c r="B2217" t="str">
        <f>VLOOKUP(A2217,'Customer Names (2)'!A:B, 2,FALSE)</f>
        <v>Mr</v>
      </c>
      <c r="C2217">
        <f>VLOOKUP(A2217,Medical_Examinations[],2,FALSE)</f>
        <v>17.48</v>
      </c>
      <c r="D2217">
        <f>VLOOKUP(A2217,Medical_Examinations[],3,FALSE)</f>
        <v>4.59</v>
      </c>
      <c r="E2217" t="str">
        <f>VLOOKUP(A2217,Medical_Examinations[],4,FALSE)</f>
        <v>No</v>
      </c>
      <c r="F2217" t="str">
        <f>VLOOKUP(A2217,Medical_Examinations[],5,FALSE)</f>
        <v>No</v>
      </c>
      <c r="G2217" t="str">
        <f>VLOOKUP(A2217,Medical_Examinations[],6,FALSE)</f>
        <v>Yes</v>
      </c>
      <c r="H2217">
        <f>VLOOKUP(A2217,Medical_Examinations[],7,FALSE)</f>
        <v>1</v>
      </c>
      <c r="I2217" t="str">
        <f>VLOOKUP(A2217,Medical_Examinations[],8,FALSE)</f>
        <v>No</v>
      </c>
      <c r="J2217" t="str">
        <f>VLOOKUP(A2217,Medical_Examinations[],9,FALSE)</f>
        <v>Underweight</v>
      </c>
      <c r="K2217" t="str">
        <f>VLOOKUP(A2217,Medical_Examinations[],10,FALSE)</f>
        <v>Normal</v>
      </c>
      <c r="M2217">
        <f>VLOOKUP(A2217,Hospitalisation_Details__2[],4,FALSE)</f>
        <v>1621.34</v>
      </c>
      <c r="N2217" t="str">
        <f>VLOOKUP(A2217,Hospitalisation_Details__2[],5,FALSE)</f>
        <v>tier - 2</v>
      </c>
      <c r="O2217" t="str">
        <f>VLOOKUP(A2217,Hospitalisation_Details__2[],6,FALSE)</f>
        <v>tier - 2</v>
      </c>
      <c r="P2217" t="str">
        <f>VLOOKUP(A2217,Hospitalisation_Details__2[],7,FALSE)</f>
        <v>R1012</v>
      </c>
    </row>
    <row r="2218" spans="1:16" x14ac:dyDescent="0.35">
      <c r="A2218" t="str">
        <v>Id2217</v>
      </c>
      <c r="B2218" t="str">
        <f>VLOOKUP(A2218,'Customer Names (2)'!A:B, 2,FALSE)</f>
        <v>Ms</v>
      </c>
      <c r="C2218">
        <f>VLOOKUP(A2218,Medical_Examinations[],2,FALSE)</f>
        <v>22.57</v>
      </c>
      <c r="D2218">
        <f>VLOOKUP(A2218,Medical_Examinations[],3,FALSE)</f>
        <v>5.8</v>
      </c>
      <c r="E2218" t="str">
        <f>VLOOKUP(A2218,Medical_Examinations[],4,FALSE)</f>
        <v>Yes</v>
      </c>
      <c r="F2218" t="str">
        <f>VLOOKUP(A2218,Medical_Examinations[],5,FALSE)</f>
        <v>No</v>
      </c>
      <c r="G2218" t="str">
        <f>VLOOKUP(A2218,Medical_Examinations[],6,FALSE)</f>
        <v>No</v>
      </c>
      <c r="H2218">
        <f>VLOOKUP(A2218,Medical_Examinations[],7,FALSE)</f>
        <v>1</v>
      </c>
      <c r="I2218" t="str">
        <f>VLOOKUP(A2218,Medical_Examinations[],8,FALSE)</f>
        <v>No</v>
      </c>
      <c r="J2218" t="str">
        <f>VLOOKUP(A2218,Medical_Examinations[],9,FALSE)</f>
        <v>Normal Weight</v>
      </c>
      <c r="K2218" t="str">
        <f>VLOOKUP(A2218,Medical_Examinations[],10,FALSE)</f>
        <v>Prediabetes</v>
      </c>
      <c r="M2218">
        <f>VLOOKUP(A2218,Hospitalisation_Details__2[],4,FALSE)</f>
        <v>1617.16</v>
      </c>
      <c r="N2218" t="str">
        <f>VLOOKUP(A2218,Hospitalisation_Details__2[],5,FALSE)</f>
        <v>tier - 2</v>
      </c>
      <c r="O2218" t="str">
        <f>VLOOKUP(A2218,Hospitalisation_Details__2[],6,FALSE)</f>
        <v>tier - 1</v>
      </c>
      <c r="P2218" t="str">
        <f>VLOOKUP(A2218,Hospitalisation_Details__2[],7,FALSE)</f>
        <v>R1013</v>
      </c>
    </row>
    <row r="2219" spans="1:16" x14ac:dyDescent="0.35">
      <c r="A2219" t="str">
        <v>Id2218</v>
      </c>
      <c r="B2219" t="str">
        <f>VLOOKUP(A2219,'Customer Names (2)'!A:B, 2,FALSE)</f>
        <v>Ms</v>
      </c>
      <c r="C2219">
        <f>VLOOKUP(A2219,Medical_Examinations[],2,FALSE)</f>
        <v>26.73</v>
      </c>
      <c r="D2219">
        <f>VLOOKUP(A2219,Medical_Examinations[],3,FALSE)</f>
        <v>5.08</v>
      </c>
      <c r="E2219" t="str">
        <f>VLOOKUP(A2219,Medical_Examinations[],4,FALSE)</f>
        <v>No</v>
      </c>
      <c r="F2219" t="str">
        <f>VLOOKUP(A2219,Medical_Examinations[],5,FALSE)</f>
        <v>yes</v>
      </c>
      <c r="G2219" t="str">
        <f>VLOOKUP(A2219,Medical_Examinations[],6,FALSE)</f>
        <v>No</v>
      </c>
      <c r="H2219">
        <f>VLOOKUP(A2219,Medical_Examinations[],7,FALSE)</f>
        <v>1</v>
      </c>
      <c r="I2219" t="str">
        <f>VLOOKUP(A2219,Medical_Examinations[],8,FALSE)</f>
        <v>No</v>
      </c>
      <c r="J2219" t="str">
        <f>VLOOKUP(A2219,Medical_Examinations[],9,FALSE)</f>
        <v>Overweight</v>
      </c>
      <c r="K2219" t="str">
        <f>VLOOKUP(A2219,Medical_Examinations[],10,FALSE)</f>
        <v>Normal</v>
      </c>
      <c r="M2219">
        <f>VLOOKUP(A2219,Hospitalisation_Details__2[],4,FALSE)</f>
        <v>1615.77</v>
      </c>
      <c r="N2219" t="str">
        <f>VLOOKUP(A2219,Hospitalisation_Details__2[],5,FALSE)</f>
        <v>tier - 2</v>
      </c>
      <c r="O2219" t="str">
        <f>VLOOKUP(A2219,Hospitalisation_Details__2[],6,FALSE)</f>
        <v>tier - 1</v>
      </c>
      <c r="P2219" t="str">
        <f>VLOOKUP(A2219,Hospitalisation_Details__2[],7,FALSE)</f>
        <v>R1013</v>
      </c>
    </row>
    <row r="2220" spans="1:16" x14ac:dyDescent="0.35">
      <c r="A2220" t="str">
        <v>Id2219</v>
      </c>
      <c r="B2220" t="str">
        <f>VLOOKUP(A2220,'Customer Names (2)'!A:B, 2,FALSE)</f>
        <v>Ms</v>
      </c>
      <c r="C2220">
        <f>VLOOKUP(A2220,Medical_Examinations[],2,FALSE)</f>
        <v>20.79</v>
      </c>
      <c r="D2220">
        <f>VLOOKUP(A2220,Medical_Examinations[],3,FALSE)</f>
        <v>5.84</v>
      </c>
      <c r="E2220" t="str">
        <f>VLOOKUP(A2220,Medical_Examinations[],4,FALSE)</f>
        <v>No</v>
      </c>
      <c r="F2220" t="str">
        <f>VLOOKUP(A2220,Medical_Examinations[],5,FALSE)</f>
        <v>yes</v>
      </c>
      <c r="G2220" t="str">
        <f>VLOOKUP(A2220,Medical_Examinations[],6,FALSE)</f>
        <v>No</v>
      </c>
      <c r="H2220">
        <f>VLOOKUP(A2220,Medical_Examinations[],7,FALSE)</f>
        <v>1</v>
      </c>
      <c r="I2220" t="str">
        <f>VLOOKUP(A2220,Medical_Examinations[],8,FALSE)</f>
        <v>No</v>
      </c>
      <c r="J2220" t="str">
        <f>VLOOKUP(A2220,Medical_Examinations[],9,FALSE)</f>
        <v>Normal Weight</v>
      </c>
      <c r="K2220" t="str">
        <f>VLOOKUP(A2220,Medical_Examinations[],10,FALSE)</f>
        <v>Prediabetes</v>
      </c>
      <c r="M2220">
        <f>VLOOKUP(A2220,Hospitalisation_Details__2[],4,FALSE)</f>
        <v>1607.51</v>
      </c>
      <c r="N2220" t="str">
        <f>VLOOKUP(A2220,Hospitalisation_Details__2[],5,FALSE)</f>
        <v>tier - 2</v>
      </c>
      <c r="O2220" t="str">
        <f>VLOOKUP(A2220,Hospitalisation_Details__2[],6,FALSE)</f>
        <v>tier - 3</v>
      </c>
      <c r="P2220" t="str">
        <f>VLOOKUP(A2220,Hospitalisation_Details__2[],7,FALSE)</f>
        <v>R1013</v>
      </c>
    </row>
    <row r="2221" spans="1:16" x14ac:dyDescent="0.35">
      <c r="A2221" t="str">
        <v>Id2220</v>
      </c>
      <c r="B2221" t="str">
        <f>VLOOKUP(A2221,'Customer Names (2)'!A:B, 2,FALSE)</f>
        <v>Ms</v>
      </c>
      <c r="C2221">
        <f>VLOOKUP(A2221,Medical_Examinations[],2,FALSE)</f>
        <v>20.149999999999999</v>
      </c>
      <c r="D2221">
        <f>VLOOKUP(A2221,Medical_Examinations[],3,FALSE)</f>
        <v>4.1500000000000004</v>
      </c>
      <c r="E2221" t="str">
        <f>VLOOKUP(A2221,Medical_Examinations[],4,FALSE)</f>
        <v>No</v>
      </c>
      <c r="F2221" t="str">
        <f>VLOOKUP(A2221,Medical_Examinations[],5,FALSE)</f>
        <v>No</v>
      </c>
      <c r="G2221" t="str">
        <f>VLOOKUP(A2221,Medical_Examinations[],6,FALSE)</f>
        <v>No</v>
      </c>
      <c r="H2221">
        <f>VLOOKUP(A2221,Medical_Examinations[],7,FALSE)</f>
        <v>1</v>
      </c>
      <c r="I2221" t="str">
        <f>VLOOKUP(A2221,Medical_Examinations[],8,FALSE)</f>
        <v>No</v>
      </c>
      <c r="J2221" t="str">
        <f>VLOOKUP(A2221,Medical_Examinations[],9,FALSE)</f>
        <v>Normal Weight</v>
      </c>
      <c r="K2221" t="str">
        <f>VLOOKUP(A2221,Medical_Examinations[],10,FALSE)</f>
        <v>Normal</v>
      </c>
      <c r="M2221">
        <f>VLOOKUP(A2221,Hospitalisation_Details__2[],4,FALSE)</f>
        <v>1566.88</v>
      </c>
      <c r="N2221" t="str">
        <f>VLOOKUP(A2221,Hospitalisation_Details__2[],5,FALSE)</f>
        <v>tier - 2</v>
      </c>
      <c r="O2221" t="str">
        <f>VLOOKUP(A2221,Hospitalisation_Details__2[],6,FALSE)</f>
        <v>tier - 1</v>
      </c>
      <c r="P2221" t="str">
        <f>VLOOKUP(A2221,Hospitalisation_Details__2[],7,FALSE)</f>
        <v>R1013</v>
      </c>
    </row>
    <row r="2222" spans="1:16" x14ac:dyDescent="0.35">
      <c r="A2222" t="str">
        <v>Id2221</v>
      </c>
      <c r="B2222" t="str">
        <f>VLOOKUP(A2222,'Customer Names (2)'!A:B, 2,FALSE)</f>
        <v>Mr</v>
      </c>
      <c r="C2222">
        <f>VLOOKUP(A2222,Medical_Examinations[],2,FALSE)</f>
        <v>36.85</v>
      </c>
      <c r="D2222">
        <f>VLOOKUP(A2222,Medical_Examinations[],3,FALSE)</f>
        <v>4.3600000000000003</v>
      </c>
      <c r="E2222" t="str">
        <f>VLOOKUP(A2222,Medical_Examinations[],4,FALSE)</f>
        <v>Yes</v>
      </c>
      <c r="F2222" t="str">
        <f>VLOOKUP(A2222,Medical_Examinations[],5,FALSE)</f>
        <v>No</v>
      </c>
      <c r="G2222" t="str">
        <f>VLOOKUP(A2222,Medical_Examinations[],6,FALSE)</f>
        <v>No</v>
      </c>
      <c r="H2222">
        <f>VLOOKUP(A2222,Medical_Examinations[],7,FALSE)</f>
        <v>0</v>
      </c>
      <c r="I2222" t="str">
        <f>VLOOKUP(A2222,Medical_Examinations[],8,FALSE)</f>
        <v>No</v>
      </c>
      <c r="J2222" t="str">
        <f>VLOOKUP(A2222,Medical_Examinations[],9,FALSE)</f>
        <v>Obesity</v>
      </c>
      <c r="K2222" t="str">
        <f>VLOOKUP(A2222,Medical_Examinations[],10,FALSE)</f>
        <v>Normal</v>
      </c>
      <c r="M2222">
        <f>VLOOKUP(A2222,Hospitalisation_Details__2[],4,FALSE)</f>
        <v>1534.3</v>
      </c>
      <c r="N2222" t="str">
        <f>VLOOKUP(A2222,Hospitalisation_Details__2[],5,FALSE)</f>
        <v>tier - 2</v>
      </c>
      <c r="O2222" t="str">
        <f>VLOOKUP(A2222,Hospitalisation_Details__2[],6,FALSE)</f>
        <v>tier - 2</v>
      </c>
      <c r="P2222" t="str">
        <f>VLOOKUP(A2222,Hospitalisation_Details__2[],7,FALSE)</f>
        <v>R1013</v>
      </c>
    </row>
    <row r="2223" spans="1:16" x14ac:dyDescent="0.35">
      <c r="A2223" t="str">
        <v>Id2222</v>
      </c>
      <c r="B2223" t="str">
        <f>VLOOKUP(A2223,'Customer Names (2)'!A:B, 2,FALSE)</f>
        <v>Mr</v>
      </c>
      <c r="C2223">
        <f>VLOOKUP(A2223,Medical_Examinations[],2,FALSE)</f>
        <v>35.53</v>
      </c>
      <c r="D2223">
        <f>VLOOKUP(A2223,Medical_Examinations[],3,FALSE)</f>
        <v>4.55</v>
      </c>
      <c r="E2223" t="str">
        <f>VLOOKUP(A2223,Medical_Examinations[],4,FALSE)</f>
        <v>Yes</v>
      </c>
      <c r="F2223" t="str">
        <f>VLOOKUP(A2223,Medical_Examinations[],5,FALSE)</f>
        <v>No</v>
      </c>
      <c r="G2223" t="str">
        <f>VLOOKUP(A2223,Medical_Examinations[],6,FALSE)</f>
        <v>No</v>
      </c>
      <c r="H2223">
        <f>VLOOKUP(A2223,Medical_Examinations[],7,FALSE)</f>
        <v>0</v>
      </c>
      <c r="I2223" t="str">
        <f>VLOOKUP(A2223,Medical_Examinations[],8,FALSE)</f>
        <v>No</v>
      </c>
      <c r="J2223" t="str">
        <f>VLOOKUP(A2223,Medical_Examinations[],9,FALSE)</f>
        <v>Obesity</v>
      </c>
      <c r="K2223" t="str">
        <f>VLOOKUP(A2223,Medical_Examinations[],10,FALSE)</f>
        <v>Normal</v>
      </c>
      <c r="M2223">
        <f>VLOOKUP(A2223,Hospitalisation_Details__2[],4,FALSE)</f>
        <v>1532.47</v>
      </c>
      <c r="N2223" t="str">
        <f>VLOOKUP(A2223,Hospitalisation_Details__2[],5,FALSE)</f>
        <v>tier - 2</v>
      </c>
      <c r="O2223" t="str">
        <f>VLOOKUP(A2223,Hospitalisation_Details__2[],6,FALSE)</f>
        <v>tier - 2</v>
      </c>
      <c r="P2223" t="str">
        <f>VLOOKUP(A2223,Hospitalisation_Details__2[],7,FALSE)</f>
        <v>R1013</v>
      </c>
    </row>
    <row r="2224" spans="1:16" x14ac:dyDescent="0.35">
      <c r="A2224" t="str">
        <v>Id2223</v>
      </c>
      <c r="B2224" t="str">
        <f>VLOOKUP(A2224,'Customer Names (2)'!A:B, 2,FALSE)</f>
        <v>Mr</v>
      </c>
      <c r="C2224">
        <f>VLOOKUP(A2224,Medical_Examinations[],2,FALSE)</f>
        <v>31.1</v>
      </c>
      <c r="D2224">
        <f>VLOOKUP(A2224,Medical_Examinations[],3,FALSE)</f>
        <v>4.37</v>
      </c>
      <c r="E2224" t="str">
        <f>VLOOKUP(A2224,Medical_Examinations[],4,FALSE)</f>
        <v>Yes</v>
      </c>
      <c r="F2224" t="str">
        <f>VLOOKUP(A2224,Medical_Examinations[],5,FALSE)</f>
        <v>No</v>
      </c>
      <c r="G2224" t="str">
        <f>VLOOKUP(A2224,Medical_Examinations[],6,FALSE)</f>
        <v>No</v>
      </c>
      <c r="H2224">
        <f>VLOOKUP(A2224,Medical_Examinations[],7,FALSE)</f>
        <v>0</v>
      </c>
      <c r="I2224" t="str">
        <f>VLOOKUP(A2224,Medical_Examinations[],8,FALSE)</f>
        <v>No</v>
      </c>
      <c r="J2224" t="str">
        <f>VLOOKUP(A2224,Medical_Examinations[],9,FALSE)</f>
        <v>Obesity</v>
      </c>
      <c r="K2224" t="str">
        <f>VLOOKUP(A2224,Medical_Examinations[],10,FALSE)</f>
        <v>Normal</v>
      </c>
      <c r="M2224">
        <f>VLOOKUP(A2224,Hospitalisation_Details__2[],4,FALSE)</f>
        <v>1526.31</v>
      </c>
      <c r="N2224" t="str">
        <f>VLOOKUP(A2224,Hospitalisation_Details__2[],5,FALSE)</f>
        <v>tier - 2</v>
      </c>
      <c r="O2224" t="str">
        <f>VLOOKUP(A2224,Hospitalisation_Details__2[],6,FALSE)</f>
        <v>tier - 3</v>
      </c>
      <c r="P2224" t="str">
        <f>VLOOKUP(A2224,Hospitalisation_Details__2[],7,FALSE)</f>
        <v>R1011</v>
      </c>
    </row>
    <row r="2225" spans="1:16" x14ac:dyDescent="0.35">
      <c r="A2225" t="str">
        <v>Id2224</v>
      </c>
      <c r="B2225" t="str">
        <f>VLOOKUP(A2225,'Customer Names (2)'!A:B, 2,FALSE)</f>
        <v>Mr</v>
      </c>
      <c r="C2225">
        <f>VLOOKUP(A2225,Medical_Examinations[],2,FALSE)</f>
        <v>23.21</v>
      </c>
      <c r="D2225">
        <f>VLOOKUP(A2225,Medical_Examinations[],3,FALSE)</f>
        <v>5.24</v>
      </c>
      <c r="E2225" t="str">
        <f>VLOOKUP(A2225,Medical_Examinations[],4,FALSE)</f>
        <v>Yes</v>
      </c>
      <c r="F2225" t="str">
        <f>VLOOKUP(A2225,Medical_Examinations[],5,FALSE)</f>
        <v>No</v>
      </c>
      <c r="G2225" t="str">
        <f>VLOOKUP(A2225,Medical_Examinations[],6,FALSE)</f>
        <v>No</v>
      </c>
      <c r="H2225">
        <f>VLOOKUP(A2225,Medical_Examinations[],7,FALSE)</f>
        <v>0</v>
      </c>
      <c r="I2225" t="str">
        <f>VLOOKUP(A2225,Medical_Examinations[],8,FALSE)</f>
        <v>No</v>
      </c>
      <c r="J2225" t="str">
        <f>VLOOKUP(A2225,Medical_Examinations[],9,FALSE)</f>
        <v>Normal Weight</v>
      </c>
      <c r="K2225" t="str">
        <f>VLOOKUP(A2225,Medical_Examinations[],10,FALSE)</f>
        <v>Normal</v>
      </c>
      <c r="M2225">
        <f>VLOOKUP(A2225,Hospitalisation_Details__2[],4,FALSE)</f>
        <v>1515.34</v>
      </c>
      <c r="N2225" t="str">
        <f>VLOOKUP(A2225,Hospitalisation_Details__2[],5,FALSE)</f>
        <v>tier - 2</v>
      </c>
      <c r="O2225" t="str">
        <f>VLOOKUP(A2225,Hospitalisation_Details__2[],6,FALSE)</f>
        <v>tier - 3</v>
      </c>
      <c r="P2225" t="str">
        <f>VLOOKUP(A2225,Hospitalisation_Details__2[],7,FALSE)</f>
        <v>R1013</v>
      </c>
    </row>
    <row r="2226" spans="1:16" x14ac:dyDescent="0.35">
      <c r="A2226" t="str">
        <v>Id2225</v>
      </c>
      <c r="B2226" t="str">
        <f>VLOOKUP(A2226,'Customer Names (2)'!A:B, 2,FALSE)</f>
        <v>Mr</v>
      </c>
      <c r="C2226">
        <f>VLOOKUP(A2226,Medical_Examinations[],2,FALSE)</f>
        <v>18.36</v>
      </c>
      <c r="D2226">
        <f>VLOOKUP(A2226,Medical_Examinations[],3,FALSE)</f>
        <v>5.96</v>
      </c>
      <c r="E2226" t="str">
        <f>VLOOKUP(A2226,Medical_Examinations[],4,FALSE)</f>
        <v>No</v>
      </c>
      <c r="F2226" t="str">
        <f>VLOOKUP(A2226,Medical_Examinations[],5,FALSE)</f>
        <v>No</v>
      </c>
      <c r="G2226" t="str">
        <f>VLOOKUP(A2226,Medical_Examinations[],6,FALSE)</f>
        <v>No</v>
      </c>
      <c r="H2226">
        <f>VLOOKUP(A2226,Medical_Examinations[],7,FALSE)</f>
        <v>1</v>
      </c>
      <c r="I2226" t="str">
        <f>VLOOKUP(A2226,Medical_Examinations[],8,FALSE)</f>
        <v>No</v>
      </c>
      <c r="J2226" t="str">
        <f>VLOOKUP(A2226,Medical_Examinations[],9,FALSE)</f>
        <v>Underweight</v>
      </c>
      <c r="K2226" t="str">
        <f>VLOOKUP(A2226,Medical_Examinations[],10,FALSE)</f>
        <v>Prediabetes</v>
      </c>
      <c r="M2226">
        <f>VLOOKUP(A2226,Hospitalisation_Details__2[],4,FALSE)</f>
        <v>1497</v>
      </c>
      <c r="N2226" t="str">
        <f>VLOOKUP(A2226,Hospitalisation_Details__2[],5,FALSE)</f>
        <v>tier - 2</v>
      </c>
      <c r="O2226" t="str">
        <f>VLOOKUP(A2226,Hospitalisation_Details__2[],6,FALSE)</f>
        <v>tier - 2</v>
      </c>
      <c r="P2226" t="str">
        <f>VLOOKUP(A2226,Hospitalisation_Details__2[],7,FALSE)</f>
        <v>R1013</v>
      </c>
    </row>
    <row r="2227" spans="1:16" x14ac:dyDescent="0.35">
      <c r="A2227" t="str">
        <v>Id2226</v>
      </c>
      <c r="B2227" t="str">
        <f>VLOOKUP(A2227,'Customer Names (2)'!A:B, 2,FALSE)</f>
        <v>Ms</v>
      </c>
      <c r="C2227">
        <f>VLOOKUP(A2227,Medical_Examinations[],2,FALSE)</f>
        <v>15.92</v>
      </c>
      <c r="D2227">
        <f>VLOOKUP(A2227,Medical_Examinations[],3,FALSE)</f>
        <v>4.76</v>
      </c>
      <c r="E2227" t="str">
        <f>VLOOKUP(A2227,Medical_Examinations[],4,FALSE)</f>
        <v>Yes</v>
      </c>
      <c r="F2227" t="str">
        <f>VLOOKUP(A2227,Medical_Examinations[],5,FALSE)</f>
        <v>No</v>
      </c>
      <c r="G2227" t="str">
        <f>VLOOKUP(A2227,Medical_Examinations[],6,FALSE)</f>
        <v>No</v>
      </c>
      <c r="H2227">
        <f>VLOOKUP(A2227,Medical_Examinations[],7,FALSE)</f>
        <v>1</v>
      </c>
      <c r="I2227" t="str">
        <f>VLOOKUP(A2227,Medical_Examinations[],8,FALSE)</f>
        <v>No</v>
      </c>
      <c r="J2227" t="str">
        <f>VLOOKUP(A2227,Medical_Examinations[],9,FALSE)</f>
        <v>Underweight</v>
      </c>
      <c r="K2227" t="str">
        <f>VLOOKUP(A2227,Medical_Examinations[],10,FALSE)</f>
        <v>Normal</v>
      </c>
      <c r="M2227">
        <f>VLOOKUP(A2227,Hospitalisation_Details__2[],4,FALSE)</f>
        <v>1493</v>
      </c>
      <c r="N2227" t="str">
        <f>VLOOKUP(A2227,Hospitalisation_Details__2[],5,FALSE)</f>
        <v>tier - 2</v>
      </c>
      <c r="O2227" t="str">
        <f>VLOOKUP(A2227,Hospitalisation_Details__2[],6,FALSE)</f>
        <v>tier - 3</v>
      </c>
      <c r="P2227" t="str">
        <f>VLOOKUP(A2227,Hospitalisation_Details__2[],7,FALSE)</f>
        <v>R1013</v>
      </c>
    </row>
    <row r="2228" spans="1:16" x14ac:dyDescent="0.35">
      <c r="A2228" t="str">
        <v>Id2227</v>
      </c>
      <c r="B2228" t="str">
        <f>VLOOKUP(A2228,'Customer Names (2)'!A:B, 2,FALSE)</f>
        <v>Ms</v>
      </c>
      <c r="C2228">
        <f>VLOOKUP(A2228,Medical_Examinations[],2,FALSE)</f>
        <v>15.17</v>
      </c>
      <c r="D2228">
        <f>VLOOKUP(A2228,Medical_Examinations[],3,FALSE)</f>
        <v>4.3</v>
      </c>
      <c r="E2228" t="str">
        <f>VLOOKUP(A2228,Medical_Examinations[],4,FALSE)</f>
        <v>Yes</v>
      </c>
      <c r="F2228" t="str">
        <f>VLOOKUP(A2228,Medical_Examinations[],5,FALSE)</f>
        <v>No</v>
      </c>
      <c r="G2228" t="str">
        <f>VLOOKUP(A2228,Medical_Examinations[],6,FALSE)</f>
        <v>Yes</v>
      </c>
      <c r="H2228">
        <f>VLOOKUP(A2228,Medical_Examinations[],7,FALSE)</f>
        <v>1</v>
      </c>
      <c r="I2228" t="str">
        <f>VLOOKUP(A2228,Medical_Examinations[],8,FALSE)</f>
        <v>No</v>
      </c>
      <c r="J2228" t="str">
        <f>VLOOKUP(A2228,Medical_Examinations[],9,FALSE)</f>
        <v>Underweight</v>
      </c>
      <c r="K2228" t="str">
        <f>VLOOKUP(A2228,Medical_Examinations[],10,FALSE)</f>
        <v>Normal</v>
      </c>
      <c r="M2228">
        <f>VLOOKUP(A2228,Hospitalisation_Details__2[],4,FALSE)</f>
        <v>1481</v>
      </c>
      <c r="N2228" t="str">
        <f>VLOOKUP(A2228,Hospitalisation_Details__2[],5,FALSE)</f>
        <v>tier - 2</v>
      </c>
      <c r="O2228" t="str">
        <f>VLOOKUP(A2228,Hospitalisation_Details__2[],6,FALSE)</f>
        <v>tier - 1</v>
      </c>
      <c r="P2228" t="str">
        <f>VLOOKUP(A2228,Hospitalisation_Details__2[],7,FALSE)</f>
        <v>R1012</v>
      </c>
    </row>
    <row r="2229" spans="1:16" x14ac:dyDescent="0.35">
      <c r="A2229" t="str">
        <v>Id2228</v>
      </c>
      <c r="B2229" t="str">
        <f>VLOOKUP(A2229,'Customer Names (2)'!A:B, 2,FALSE)</f>
        <v>Ms</v>
      </c>
      <c r="C2229">
        <f>VLOOKUP(A2229,Medical_Examinations[],2,FALSE)</f>
        <v>16.63</v>
      </c>
      <c r="D2229">
        <f>VLOOKUP(A2229,Medical_Examinations[],3,FALSE)</f>
        <v>4.5</v>
      </c>
      <c r="E2229" t="str">
        <f>VLOOKUP(A2229,Medical_Examinations[],4,FALSE)</f>
        <v>No</v>
      </c>
      <c r="F2229" t="str">
        <f>VLOOKUP(A2229,Medical_Examinations[],5,FALSE)</f>
        <v>No</v>
      </c>
      <c r="G2229" t="str">
        <f>VLOOKUP(A2229,Medical_Examinations[],6,FALSE)</f>
        <v>No</v>
      </c>
      <c r="H2229">
        <f>VLOOKUP(A2229,Medical_Examinations[],7,FALSE)</f>
        <v>1</v>
      </c>
      <c r="I2229" t="str">
        <f>VLOOKUP(A2229,Medical_Examinations[],8,FALSE)</f>
        <v>No</v>
      </c>
      <c r="J2229" t="str">
        <f>VLOOKUP(A2229,Medical_Examinations[],9,FALSE)</f>
        <v>Underweight</v>
      </c>
      <c r="K2229" t="str">
        <f>VLOOKUP(A2229,Medical_Examinations[],10,FALSE)</f>
        <v>Normal</v>
      </c>
      <c r="M2229">
        <f>VLOOKUP(A2229,Hospitalisation_Details__2[],4,FALSE)</f>
        <v>1477</v>
      </c>
      <c r="N2229" t="str">
        <f>VLOOKUP(A2229,Hospitalisation_Details__2[],5,FALSE)</f>
        <v>tier - 2</v>
      </c>
      <c r="O2229" t="str">
        <f>VLOOKUP(A2229,Hospitalisation_Details__2[],6,FALSE)</f>
        <v>tier - 1</v>
      </c>
      <c r="P2229" t="str">
        <f>VLOOKUP(A2229,Hospitalisation_Details__2[],7,FALSE)</f>
        <v>R1013</v>
      </c>
    </row>
    <row r="2230" spans="1:16" x14ac:dyDescent="0.35">
      <c r="A2230" t="str">
        <v>Id2229</v>
      </c>
      <c r="B2230" t="str">
        <f>VLOOKUP(A2230,'Customer Names (2)'!A:B, 2,FALSE)</f>
        <v>Ms</v>
      </c>
      <c r="C2230">
        <f>VLOOKUP(A2230,Medical_Examinations[],2,FALSE)</f>
        <v>19.39</v>
      </c>
      <c r="D2230">
        <f>VLOOKUP(A2230,Medical_Examinations[],3,FALSE)</f>
        <v>5.59</v>
      </c>
      <c r="E2230" t="str">
        <f>VLOOKUP(A2230,Medical_Examinations[],4,FALSE)</f>
        <v>No</v>
      </c>
      <c r="F2230" t="str">
        <f>VLOOKUP(A2230,Medical_Examinations[],5,FALSE)</f>
        <v>No</v>
      </c>
      <c r="G2230" t="str">
        <f>VLOOKUP(A2230,Medical_Examinations[],6,FALSE)</f>
        <v>Yes</v>
      </c>
      <c r="H2230">
        <f>VLOOKUP(A2230,Medical_Examinations[],7,FALSE)</f>
        <v>1</v>
      </c>
      <c r="I2230" t="str">
        <f>VLOOKUP(A2230,Medical_Examinations[],8,FALSE)</f>
        <v>No</v>
      </c>
      <c r="J2230" t="str">
        <f>VLOOKUP(A2230,Medical_Examinations[],9,FALSE)</f>
        <v>Normal Weight</v>
      </c>
      <c r="K2230" t="str">
        <f>VLOOKUP(A2230,Medical_Examinations[],10,FALSE)</f>
        <v>Normal</v>
      </c>
      <c r="M2230">
        <f>VLOOKUP(A2230,Hospitalisation_Details__2[],4,FALSE)</f>
        <v>1467</v>
      </c>
      <c r="N2230" t="str">
        <f>VLOOKUP(A2230,Hospitalisation_Details__2[],5,FALSE)</f>
        <v>tier - 2</v>
      </c>
      <c r="O2230" t="str">
        <f>VLOOKUP(A2230,Hospitalisation_Details__2[],6,FALSE)</f>
        <v>tier - 2</v>
      </c>
      <c r="P2230" t="str">
        <f>VLOOKUP(A2230,Hospitalisation_Details__2[],7,FALSE)</f>
        <v>R1013</v>
      </c>
    </row>
    <row r="2231" spans="1:16" x14ac:dyDescent="0.35">
      <c r="A2231" t="str">
        <v>Id2230</v>
      </c>
      <c r="B2231" t="str">
        <f>VLOOKUP(A2231,'Customer Names (2)'!A:B, 2,FALSE)</f>
        <v>Mr</v>
      </c>
      <c r="C2231">
        <f>VLOOKUP(A2231,Medical_Examinations[],2,FALSE)</f>
        <v>17.34</v>
      </c>
      <c r="D2231">
        <f>VLOOKUP(A2231,Medical_Examinations[],3,FALSE)</f>
        <v>6.29</v>
      </c>
      <c r="E2231" t="str">
        <f>VLOOKUP(A2231,Medical_Examinations[],4,FALSE)</f>
        <v>Yes</v>
      </c>
      <c r="F2231" t="str">
        <f>VLOOKUP(A2231,Medical_Examinations[],5,FALSE)</f>
        <v>No</v>
      </c>
      <c r="G2231" t="str">
        <f>VLOOKUP(A2231,Medical_Examinations[],6,FALSE)</f>
        <v>Yes</v>
      </c>
      <c r="H2231">
        <f>VLOOKUP(A2231,Medical_Examinations[],7,FALSE)</f>
        <v>1</v>
      </c>
      <c r="I2231" t="str">
        <f>VLOOKUP(A2231,Medical_Examinations[],8,FALSE)</f>
        <v>No</v>
      </c>
      <c r="J2231" t="str">
        <f>VLOOKUP(A2231,Medical_Examinations[],9,FALSE)</f>
        <v>Underweight</v>
      </c>
      <c r="K2231" t="str">
        <f>VLOOKUP(A2231,Medical_Examinations[],10,FALSE)</f>
        <v>Prediabetes</v>
      </c>
      <c r="M2231">
        <f>VLOOKUP(A2231,Hospitalisation_Details__2[],4,FALSE)</f>
        <v>1445</v>
      </c>
      <c r="N2231" t="str">
        <f>VLOOKUP(A2231,Hospitalisation_Details__2[],5,FALSE)</f>
        <v>tier - 2</v>
      </c>
      <c r="O2231" t="str">
        <f>VLOOKUP(A2231,Hospitalisation_Details__2[],6,FALSE)</f>
        <v>tier - 1</v>
      </c>
      <c r="P2231" t="str">
        <f>VLOOKUP(A2231,Hospitalisation_Details__2[],7,FALSE)</f>
        <v>R1013</v>
      </c>
    </row>
    <row r="2232" spans="1:16" x14ac:dyDescent="0.35">
      <c r="A2232" t="str">
        <v>Id2231</v>
      </c>
      <c r="B2232" t="str">
        <f>VLOOKUP(A2232,'Customer Names (2)'!A:B, 2,FALSE)</f>
        <v>Ms</v>
      </c>
      <c r="C2232">
        <f>VLOOKUP(A2232,Medical_Examinations[],2,FALSE)</f>
        <v>17.940000000000001</v>
      </c>
      <c r="D2232">
        <f>VLOOKUP(A2232,Medical_Examinations[],3,FALSE)</f>
        <v>4.1900000000000004</v>
      </c>
      <c r="E2232" t="str">
        <f>VLOOKUP(A2232,Medical_Examinations[],4,FALSE)</f>
        <v>No</v>
      </c>
      <c r="F2232" t="str">
        <f>VLOOKUP(A2232,Medical_Examinations[],5,FALSE)</f>
        <v>yes</v>
      </c>
      <c r="G2232" t="str">
        <f>VLOOKUP(A2232,Medical_Examinations[],6,FALSE)</f>
        <v>No</v>
      </c>
      <c r="H2232">
        <f>VLOOKUP(A2232,Medical_Examinations[],7,FALSE)</f>
        <v>1</v>
      </c>
      <c r="I2232" t="str">
        <f>VLOOKUP(A2232,Medical_Examinations[],8,FALSE)</f>
        <v>No</v>
      </c>
      <c r="J2232" t="str">
        <f>VLOOKUP(A2232,Medical_Examinations[],9,FALSE)</f>
        <v>Underweight</v>
      </c>
      <c r="K2232" t="str">
        <f>VLOOKUP(A2232,Medical_Examinations[],10,FALSE)</f>
        <v>Normal</v>
      </c>
      <c r="M2232">
        <f>VLOOKUP(A2232,Hospitalisation_Details__2[],4,FALSE)</f>
        <v>1438</v>
      </c>
      <c r="N2232" t="str">
        <f>VLOOKUP(A2232,Hospitalisation_Details__2[],5,FALSE)</f>
        <v>tier - 2</v>
      </c>
      <c r="O2232" t="str">
        <f>VLOOKUP(A2232,Hospitalisation_Details__2[],6,FALSE)</f>
        <v>tier - 2</v>
      </c>
      <c r="P2232" t="str">
        <f>VLOOKUP(A2232,Hospitalisation_Details__2[],7,FALSE)</f>
        <v>R1013</v>
      </c>
    </row>
    <row r="2233" spans="1:16" x14ac:dyDescent="0.35">
      <c r="A2233" t="str">
        <v>Id2232</v>
      </c>
      <c r="B2233" t="str">
        <f>VLOOKUP(A2233,'Customer Names (2)'!A:B, 2,FALSE)</f>
        <v>Ms</v>
      </c>
      <c r="C2233">
        <f>VLOOKUP(A2233,Medical_Examinations[],2,FALSE)</f>
        <v>16.670000000000002</v>
      </c>
      <c r="D2233">
        <f>VLOOKUP(A2233,Medical_Examinations[],3,FALSE)</f>
        <v>4.7</v>
      </c>
      <c r="E2233" t="str">
        <f>VLOOKUP(A2233,Medical_Examinations[],4,FALSE)</f>
        <v>Yes</v>
      </c>
      <c r="F2233" t="str">
        <f>VLOOKUP(A2233,Medical_Examinations[],5,FALSE)</f>
        <v>No</v>
      </c>
      <c r="G2233" t="str">
        <f>VLOOKUP(A2233,Medical_Examinations[],6,FALSE)</f>
        <v>Yes</v>
      </c>
      <c r="H2233">
        <f>VLOOKUP(A2233,Medical_Examinations[],7,FALSE)</f>
        <v>1</v>
      </c>
      <c r="I2233" t="str">
        <f>VLOOKUP(A2233,Medical_Examinations[],8,FALSE)</f>
        <v>No</v>
      </c>
      <c r="J2233" t="str">
        <f>VLOOKUP(A2233,Medical_Examinations[],9,FALSE)</f>
        <v>Underweight</v>
      </c>
      <c r="K2233" t="str">
        <f>VLOOKUP(A2233,Medical_Examinations[],10,FALSE)</f>
        <v>Normal</v>
      </c>
      <c r="M2233">
        <f>VLOOKUP(A2233,Hospitalisation_Details__2[],4,FALSE)</f>
        <v>1422</v>
      </c>
      <c r="N2233" t="str">
        <f>VLOOKUP(A2233,Hospitalisation_Details__2[],5,FALSE)</f>
        <v>tier - 2</v>
      </c>
      <c r="O2233" t="str">
        <f>VLOOKUP(A2233,Hospitalisation_Details__2[],6,FALSE)</f>
        <v>tier - 2</v>
      </c>
      <c r="P2233" t="str">
        <f>VLOOKUP(A2233,Hospitalisation_Details__2[],7,FALSE)</f>
        <v>R1013</v>
      </c>
    </row>
    <row r="2234" spans="1:16" x14ac:dyDescent="0.35">
      <c r="A2234" t="str">
        <v>Id2233</v>
      </c>
      <c r="B2234" t="str">
        <f>VLOOKUP(A2234,'Customer Names (2)'!A:B, 2,FALSE)</f>
        <v>Ms</v>
      </c>
      <c r="C2234">
        <f>VLOOKUP(A2234,Medical_Examinations[],2,FALSE)</f>
        <v>20.58</v>
      </c>
      <c r="D2234">
        <f>VLOOKUP(A2234,Medical_Examinations[],3,FALSE)</f>
        <v>5.64</v>
      </c>
      <c r="E2234" t="str">
        <f>VLOOKUP(A2234,Medical_Examinations[],4,FALSE)</f>
        <v>Yes</v>
      </c>
      <c r="F2234" t="str">
        <f>VLOOKUP(A2234,Medical_Examinations[],5,FALSE)</f>
        <v>No</v>
      </c>
      <c r="G2234" t="str">
        <f>VLOOKUP(A2234,Medical_Examinations[],6,FALSE)</f>
        <v>No</v>
      </c>
      <c r="H2234">
        <f>VLOOKUP(A2234,Medical_Examinations[],7,FALSE)</f>
        <v>0</v>
      </c>
      <c r="I2234" t="str">
        <f>VLOOKUP(A2234,Medical_Examinations[],8,FALSE)</f>
        <v>No</v>
      </c>
      <c r="J2234" t="str">
        <f>VLOOKUP(A2234,Medical_Examinations[],9,FALSE)</f>
        <v>Normal Weight</v>
      </c>
      <c r="K2234" t="str">
        <f>VLOOKUP(A2234,Medical_Examinations[],10,FALSE)</f>
        <v>Normal</v>
      </c>
      <c r="M2234">
        <f>VLOOKUP(A2234,Hospitalisation_Details__2[],4,FALSE)</f>
        <v>1421</v>
      </c>
      <c r="N2234" t="str">
        <f>VLOOKUP(A2234,Hospitalisation_Details__2[],5,FALSE)</f>
        <v>tier - 2</v>
      </c>
      <c r="O2234" t="str">
        <f>VLOOKUP(A2234,Hospitalisation_Details__2[],6,FALSE)</f>
        <v>tier - 2</v>
      </c>
      <c r="P2234" t="str">
        <f>VLOOKUP(A2234,Hospitalisation_Details__2[],7,FALSE)</f>
        <v>R1013</v>
      </c>
    </row>
    <row r="2235" spans="1:16" x14ac:dyDescent="0.35">
      <c r="A2235" t="str">
        <v>Id2234</v>
      </c>
      <c r="B2235" t="str">
        <f>VLOOKUP(A2235,'Customer Names (2)'!A:B, 2,FALSE)</f>
        <v>Mr</v>
      </c>
      <c r="C2235">
        <f>VLOOKUP(A2235,Medical_Examinations[],2,FALSE)</f>
        <v>16.5</v>
      </c>
      <c r="D2235">
        <f>VLOOKUP(A2235,Medical_Examinations[],3,FALSE)</f>
        <v>4.1100000000000003</v>
      </c>
      <c r="E2235" t="str">
        <f>VLOOKUP(A2235,Medical_Examinations[],4,FALSE)</f>
        <v>Yes</v>
      </c>
      <c r="F2235" t="str">
        <f>VLOOKUP(A2235,Medical_Examinations[],5,FALSE)</f>
        <v>No</v>
      </c>
      <c r="G2235" t="str">
        <f>VLOOKUP(A2235,Medical_Examinations[],6,FALSE)</f>
        <v>No</v>
      </c>
      <c r="H2235">
        <f>VLOOKUP(A2235,Medical_Examinations[],7,FALSE)</f>
        <v>0</v>
      </c>
      <c r="I2235" t="str">
        <f>VLOOKUP(A2235,Medical_Examinations[],8,FALSE)</f>
        <v>No</v>
      </c>
      <c r="J2235" t="str">
        <f>VLOOKUP(A2235,Medical_Examinations[],9,FALSE)</f>
        <v>Underweight</v>
      </c>
      <c r="K2235" t="str">
        <f>VLOOKUP(A2235,Medical_Examinations[],10,FALSE)</f>
        <v>Normal</v>
      </c>
      <c r="M2235">
        <f>VLOOKUP(A2235,Hospitalisation_Details__2[],4,FALSE)</f>
        <v>1417</v>
      </c>
      <c r="N2235" t="str">
        <f>VLOOKUP(A2235,Hospitalisation_Details__2[],5,FALSE)</f>
        <v>tier - 2</v>
      </c>
      <c r="O2235" t="str">
        <f>VLOOKUP(A2235,Hospitalisation_Details__2[],6,FALSE)</f>
        <v>tier - 3</v>
      </c>
      <c r="P2235" t="str">
        <f>VLOOKUP(A2235,Hospitalisation_Details__2[],7,FALSE)</f>
        <v>R1013</v>
      </c>
    </row>
    <row r="2236" spans="1:16" x14ac:dyDescent="0.35">
      <c r="A2236" t="str">
        <v>Id2235</v>
      </c>
      <c r="B2236" t="str">
        <f>VLOOKUP(A2236,'Customer Names (2)'!A:B, 2,FALSE)</f>
        <v>Mr</v>
      </c>
      <c r="C2236">
        <f>VLOOKUP(A2236,Medical_Examinations[],2,FALSE)</f>
        <v>15.41</v>
      </c>
      <c r="D2236">
        <f>VLOOKUP(A2236,Medical_Examinations[],3,FALSE)</f>
        <v>5.43</v>
      </c>
      <c r="E2236" t="str">
        <f>VLOOKUP(A2236,Medical_Examinations[],4,FALSE)</f>
        <v>Yes</v>
      </c>
      <c r="F2236" t="str">
        <f>VLOOKUP(A2236,Medical_Examinations[],5,FALSE)</f>
        <v>No</v>
      </c>
      <c r="G2236" t="str">
        <f>VLOOKUP(A2236,Medical_Examinations[],6,FALSE)</f>
        <v>Yes</v>
      </c>
      <c r="H2236">
        <f>VLOOKUP(A2236,Medical_Examinations[],7,FALSE)</f>
        <v>1</v>
      </c>
      <c r="I2236" t="str">
        <f>VLOOKUP(A2236,Medical_Examinations[],8,FALSE)</f>
        <v>No</v>
      </c>
      <c r="J2236" t="str">
        <f>VLOOKUP(A2236,Medical_Examinations[],9,FALSE)</f>
        <v>Underweight</v>
      </c>
      <c r="K2236" t="str">
        <f>VLOOKUP(A2236,Medical_Examinations[],10,FALSE)</f>
        <v>Normal</v>
      </c>
      <c r="M2236">
        <f>VLOOKUP(A2236,Hospitalisation_Details__2[],4,FALSE)</f>
        <v>1402</v>
      </c>
      <c r="N2236" t="str">
        <f>VLOOKUP(A2236,Hospitalisation_Details__2[],5,FALSE)</f>
        <v>tier - 2</v>
      </c>
      <c r="O2236" t="str">
        <f>VLOOKUP(A2236,Hospitalisation_Details__2[],6,FALSE)</f>
        <v>tier - 3</v>
      </c>
      <c r="P2236" t="str">
        <f>VLOOKUP(A2236,Hospitalisation_Details__2[],7,FALSE)</f>
        <v>R1011</v>
      </c>
    </row>
    <row r="2237" spans="1:16" x14ac:dyDescent="0.35">
      <c r="A2237" t="str">
        <v>Id2236</v>
      </c>
      <c r="B2237" t="str">
        <f>VLOOKUP(A2237,'Customer Names (2)'!A:B, 2,FALSE)</f>
        <v>Mr</v>
      </c>
      <c r="C2237">
        <f>VLOOKUP(A2237,Medical_Examinations[],2,FALSE)</f>
        <v>24.59</v>
      </c>
      <c r="D2237">
        <f>VLOOKUP(A2237,Medical_Examinations[],3,FALSE)</f>
        <v>4.38</v>
      </c>
      <c r="E2237" t="str">
        <f>VLOOKUP(A2237,Medical_Examinations[],4,FALSE)</f>
        <v>No</v>
      </c>
      <c r="F2237" t="str">
        <f>VLOOKUP(A2237,Medical_Examinations[],5,FALSE)</f>
        <v>No</v>
      </c>
      <c r="G2237" t="str">
        <f>VLOOKUP(A2237,Medical_Examinations[],6,FALSE)</f>
        <v>No</v>
      </c>
      <c r="H2237">
        <f>VLOOKUP(A2237,Medical_Examinations[],7,FALSE)</f>
        <v>1</v>
      </c>
      <c r="I2237" t="str">
        <f>VLOOKUP(A2237,Medical_Examinations[],8,FALSE)</f>
        <v>No</v>
      </c>
      <c r="J2237" t="str">
        <f>VLOOKUP(A2237,Medical_Examinations[],9,FALSE)</f>
        <v>Normal Weight</v>
      </c>
      <c r="K2237" t="str">
        <f>VLOOKUP(A2237,Medical_Examinations[],10,FALSE)</f>
        <v>Normal</v>
      </c>
      <c r="M2237">
        <f>VLOOKUP(A2237,Hospitalisation_Details__2[],4,FALSE)</f>
        <v>1400.44</v>
      </c>
      <c r="N2237" t="str">
        <f>VLOOKUP(A2237,Hospitalisation_Details__2[],5,FALSE)</f>
        <v>tier - 2</v>
      </c>
      <c r="O2237" t="str">
        <f>VLOOKUP(A2237,Hospitalisation_Details__2[],6,FALSE)</f>
        <v>tier - 2</v>
      </c>
      <c r="P2237" t="str">
        <f>VLOOKUP(A2237,Hospitalisation_Details__2[],7,FALSE)</f>
        <v>R1013</v>
      </c>
    </row>
    <row r="2238" spans="1:16" x14ac:dyDescent="0.35">
      <c r="A2238" t="str">
        <v>Id2237</v>
      </c>
      <c r="B2238" t="str">
        <f>VLOOKUP(A2238,'Customer Names (2)'!A:B, 2,FALSE)</f>
        <v>Mr</v>
      </c>
      <c r="C2238">
        <f>VLOOKUP(A2238,Medical_Examinations[],2,FALSE)</f>
        <v>33.33</v>
      </c>
      <c r="D2238">
        <f>VLOOKUP(A2238,Medical_Examinations[],3,FALSE)</f>
        <v>9.7899999999999991</v>
      </c>
      <c r="E2238" t="str">
        <f>VLOOKUP(A2238,Medical_Examinations[],4,FALSE)</f>
        <v>No</v>
      </c>
      <c r="F2238" t="str">
        <f>VLOOKUP(A2238,Medical_Examinations[],5,FALSE)</f>
        <v>No</v>
      </c>
      <c r="G2238" t="str">
        <f>VLOOKUP(A2238,Medical_Examinations[],6,FALSE)</f>
        <v>No</v>
      </c>
      <c r="H2238">
        <f>VLOOKUP(A2238,Medical_Examinations[],7,FALSE)</f>
        <v>0</v>
      </c>
      <c r="I2238" t="str">
        <f>VLOOKUP(A2238,Medical_Examinations[],8,FALSE)</f>
        <v>No</v>
      </c>
      <c r="J2238" t="str">
        <f>VLOOKUP(A2238,Medical_Examinations[],9,FALSE)</f>
        <v>Obesity</v>
      </c>
      <c r="K2238" t="str">
        <f>VLOOKUP(A2238,Medical_Examinations[],10,FALSE)</f>
        <v>Diabetes</v>
      </c>
      <c r="M2238">
        <f>VLOOKUP(A2238,Hospitalisation_Details__2[],4,FALSE)</f>
        <v>1391.53</v>
      </c>
      <c r="N2238" t="str">
        <f>VLOOKUP(A2238,Hospitalisation_Details__2[],5,FALSE)</f>
        <v>tier - 2</v>
      </c>
      <c r="O2238" t="str">
        <f>VLOOKUP(A2238,Hospitalisation_Details__2[],6,FALSE)</f>
        <v>tier - 1</v>
      </c>
      <c r="P2238" t="str">
        <f>VLOOKUP(A2238,Hospitalisation_Details__2[],7,FALSE)</f>
        <v>R1013</v>
      </c>
    </row>
    <row r="2239" spans="1:16" x14ac:dyDescent="0.35">
      <c r="A2239" t="str">
        <v>Id2238</v>
      </c>
      <c r="B2239" t="str">
        <f>VLOOKUP(A2239,'Customer Names (2)'!A:B, 2,FALSE)</f>
        <v>Mr</v>
      </c>
      <c r="C2239">
        <f>VLOOKUP(A2239,Medical_Examinations[],2,FALSE)</f>
        <v>18.5</v>
      </c>
      <c r="D2239">
        <f>VLOOKUP(A2239,Medical_Examinations[],3,FALSE)</f>
        <v>11.84</v>
      </c>
      <c r="E2239" t="str">
        <f>VLOOKUP(A2239,Medical_Examinations[],4,FALSE)</f>
        <v>No</v>
      </c>
      <c r="F2239" t="str">
        <f>VLOOKUP(A2239,Medical_Examinations[],5,FALSE)</f>
        <v>No</v>
      </c>
      <c r="G2239" t="str">
        <f>VLOOKUP(A2239,Medical_Examinations[],6,FALSE)</f>
        <v>No</v>
      </c>
      <c r="H2239">
        <f>VLOOKUP(A2239,Medical_Examinations[],7,FALSE)</f>
        <v>0</v>
      </c>
      <c r="I2239" t="str">
        <f>VLOOKUP(A2239,Medical_Examinations[],8,FALSE)</f>
        <v>No</v>
      </c>
      <c r="J2239" t="str">
        <f>VLOOKUP(A2239,Medical_Examinations[],9,FALSE)</f>
        <v>Normal Weight</v>
      </c>
      <c r="K2239" t="str">
        <f>VLOOKUP(A2239,Medical_Examinations[],10,FALSE)</f>
        <v>Diabetes</v>
      </c>
      <c r="M2239">
        <f>VLOOKUP(A2239,Hospitalisation_Details__2[],4,FALSE)</f>
        <v>1390</v>
      </c>
      <c r="N2239" t="str">
        <f>VLOOKUP(A2239,Hospitalisation_Details__2[],5,FALSE)</f>
        <v>tier - 2</v>
      </c>
      <c r="O2239" t="str">
        <f>VLOOKUP(A2239,Hospitalisation_Details__2[],6,FALSE)</f>
        <v>tier - 2</v>
      </c>
      <c r="P2239" t="str">
        <f>VLOOKUP(A2239,Hospitalisation_Details__2[],7,FALSE)</f>
        <v>R1013</v>
      </c>
    </row>
    <row r="2240" spans="1:16" x14ac:dyDescent="0.35">
      <c r="A2240" t="str">
        <v>Id2239</v>
      </c>
      <c r="B2240" t="str">
        <f>VLOOKUP(A2240,'Customer Names (2)'!A:B, 2,FALSE)</f>
        <v>Mr</v>
      </c>
      <c r="C2240">
        <f>VLOOKUP(A2240,Medical_Examinations[],2,FALSE)</f>
        <v>18.579999999999998</v>
      </c>
      <c r="D2240">
        <f>VLOOKUP(A2240,Medical_Examinations[],3,FALSE)</f>
        <v>6.22</v>
      </c>
      <c r="E2240" t="str">
        <f>VLOOKUP(A2240,Medical_Examinations[],4,FALSE)</f>
        <v>No</v>
      </c>
      <c r="F2240" t="str">
        <f>VLOOKUP(A2240,Medical_Examinations[],5,FALSE)</f>
        <v>No</v>
      </c>
      <c r="G2240" t="str">
        <f>VLOOKUP(A2240,Medical_Examinations[],6,FALSE)</f>
        <v>No</v>
      </c>
      <c r="H2240">
        <f>VLOOKUP(A2240,Medical_Examinations[],7,FALSE)</f>
        <v>0</v>
      </c>
      <c r="I2240" t="str">
        <f>VLOOKUP(A2240,Medical_Examinations[],8,FALSE)</f>
        <v>No</v>
      </c>
      <c r="J2240" t="str">
        <f>VLOOKUP(A2240,Medical_Examinations[],9,FALSE)</f>
        <v>Normal Weight</v>
      </c>
      <c r="K2240" t="str">
        <f>VLOOKUP(A2240,Medical_Examinations[],10,FALSE)</f>
        <v>Prediabetes</v>
      </c>
      <c r="M2240">
        <f>VLOOKUP(A2240,Hospitalisation_Details__2[],4,FALSE)</f>
        <v>1389</v>
      </c>
      <c r="N2240" t="str">
        <f>VLOOKUP(A2240,Hospitalisation_Details__2[],5,FALSE)</f>
        <v>tier - 2</v>
      </c>
      <c r="O2240" t="str">
        <f>VLOOKUP(A2240,Hospitalisation_Details__2[],6,FALSE)</f>
        <v>tier - 2</v>
      </c>
      <c r="P2240" t="str">
        <f>VLOOKUP(A2240,Hospitalisation_Details__2[],7,FALSE)</f>
        <v>R1013</v>
      </c>
    </row>
    <row r="2241" spans="1:16" x14ac:dyDescent="0.35">
      <c r="A2241" t="str">
        <v>Id2240</v>
      </c>
      <c r="B2241" t="str">
        <f>VLOOKUP(A2241,'Customer Names (2)'!A:B, 2,FALSE)</f>
        <v>Ms</v>
      </c>
      <c r="C2241">
        <f>VLOOKUP(A2241,Medical_Examinations[],2,FALSE)</f>
        <v>16.64</v>
      </c>
      <c r="D2241">
        <f>VLOOKUP(A2241,Medical_Examinations[],3,FALSE)</f>
        <v>10.01</v>
      </c>
      <c r="E2241" t="str">
        <f>VLOOKUP(A2241,Medical_Examinations[],4,FALSE)</f>
        <v>No</v>
      </c>
      <c r="F2241" t="str">
        <f>VLOOKUP(A2241,Medical_Examinations[],5,FALSE)</f>
        <v>No</v>
      </c>
      <c r="G2241" t="str">
        <f>VLOOKUP(A2241,Medical_Examinations[],6,FALSE)</f>
        <v>No</v>
      </c>
      <c r="H2241">
        <f>VLOOKUP(A2241,Medical_Examinations[],7,FALSE)</f>
        <v>0</v>
      </c>
      <c r="I2241" t="str">
        <f>VLOOKUP(A2241,Medical_Examinations[],8,FALSE)</f>
        <v>No</v>
      </c>
      <c r="J2241" t="str">
        <f>VLOOKUP(A2241,Medical_Examinations[],9,FALSE)</f>
        <v>Underweight</v>
      </c>
      <c r="K2241" t="str">
        <f>VLOOKUP(A2241,Medical_Examinations[],10,FALSE)</f>
        <v>Diabetes</v>
      </c>
      <c r="M2241">
        <f>VLOOKUP(A2241,Hospitalisation_Details__2[],4,FALSE)</f>
        <v>1382</v>
      </c>
      <c r="N2241" t="str">
        <f>VLOOKUP(A2241,Hospitalisation_Details__2[],5,FALSE)</f>
        <v>tier - 2</v>
      </c>
      <c r="O2241" t="str">
        <f>VLOOKUP(A2241,Hospitalisation_Details__2[],6,FALSE)</f>
        <v>tier - 1</v>
      </c>
      <c r="P2241" t="str">
        <f>VLOOKUP(A2241,Hospitalisation_Details__2[],7,FALSE)</f>
        <v>R1013</v>
      </c>
    </row>
    <row r="2242" spans="1:16" x14ac:dyDescent="0.35">
      <c r="A2242" t="str">
        <v>Id2241</v>
      </c>
      <c r="B2242" t="str">
        <f>VLOOKUP(A2242,'Customer Names (2)'!A:B, 2,FALSE)</f>
        <v>Ms</v>
      </c>
      <c r="C2242">
        <f>VLOOKUP(A2242,Medical_Examinations[],2,FALSE)</f>
        <v>19.329999999999998</v>
      </c>
      <c r="D2242">
        <f>VLOOKUP(A2242,Medical_Examinations[],3,FALSE)</f>
        <v>4.32</v>
      </c>
      <c r="E2242" t="str">
        <f>VLOOKUP(A2242,Medical_Examinations[],4,FALSE)</f>
        <v>No</v>
      </c>
      <c r="F2242" t="str">
        <f>VLOOKUP(A2242,Medical_Examinations[],5,FALSE)</f>
        <v>No</v>
      </c>
      <c r="G2242" t="str">
        <f>VLOOKUP(A2242,Medical_Examinations[],6,FALSE)</f>
        <v>No</v>
      </c>
      <c r="H2242">
        <f>VLOOKUP(A2242,Medical_Examinations[],7,FALSE)</f>
        <v>1</v>
      </c>
      <c r="I2242" t="str">
        <f>VLOOKUP(A2242,Medical_Examinations[],8,FALSE)</f>
        <v>No</v>
      </c>
      <c r="J2242" t="str">
        <f>VLOOKUP(A2242,Medical_Examinations[],9,FALSE)</f>
        <v>Normal Weight</v>
      </c>
      <c r="K2242" t="str">
        <f>VLOOKUP(A2242,Medical_Examinations[],10,FALSE)</f>
        <v>Normal</v>
      </c>
      <c r="M2242">
        <f>VLOOKUP(A2242,Hospitalisation_Details__2[],4,FALSE)</f>
        <v>1359</v>
      </c>
      <c r="N2242" t="str">
        <f>VLOOKUP(A2242,Hospitalisation_Details__2[],5,FALSE)</f>
        <v>tier - 2</v>
      </c>
      <c r="O2242" t="str">
        <f>VLOOKUP(A2242,Hospitalisation_Details__2[],6,FALSE)</f>
        <v>tier - 1</v>
      </c>
      <c r="P2242" t="str">
        <f>VLOOKUP(A2242,Hospitalisation_Details__2[],7,FALSE)</f>
        <v>R1013</v>
      </c>
    </row>
    <row r="2243" spans="1:16" x14ac:dyDescent="0.35">
      <c r="A2243" t="str">
        <v>Id2242</v>
      </c>
      <c r="B2243" t="str">
        <f>VLOOKUP(A2243,'Customer Names (2)'!A:B, 2,FALSE)</f>
        <v>Ms</v>
      </c>
      <c r="C2243">
        <f>VLOOKUP(A2243,Medical_Examinations[],2,FALSE)</f>
        <v>21.26</v>
      </c>
      <c r="D2243">
        <f>VLOOKUP(A2243,Medical_Examinations[],3,FALSE)</f>
        <v>5.65</v>
      </c>
      <c r="E2243" t="str">
        <f>VLOOKUP(A2243,Medical_Examinations[],4,FALSE)</f>
        <v>Yes</v>
      </c>
      <c r="F2243" t="str">
        <f>VLOOKUP(A2243,Medical_Examinations[],5,FALSE)</f>
        <v>No</v>
      </c>
      <c r="G2243" t="str">
        <f>VLOOKUP(A2243,Medical_Examinations[],6,FALSE)</f>
        <v>Yes</v>
      </c>
      <c r="H2243">
        <f>VLOOKUP(A2243,Medical_Examinations[],7,FALSE)</f>
        <v>1</v>
      </c>
      <c r="I2243" t="str">
        <f>VLOOKUP(A2243,Medical_Examinations[],8,FALSE)</f>
        <v>No</v>
      </c>
      <c r="J2243" t="str">
        <f>VLOOKUP(A2243,Medical_Examinations[],9,FALSE)</f>
        <v>Normal Weight</v>
      </c>
      <c r="K2243" t="str">
        <f>VLOOKUP(A2243,Medical_Examinations[],10,FALSE)</f>
        <v>Normal</v>
      </c>
      <c r="M2243">
        <f>VLOOKUP(A2243,Hospitalisation_Details__2[],4,FALSE)</f>
        <v>1341.16</v>
      </c>
      <c r="N2243" t="str">
        <f>VLOOKUP(A2243,Hospitalisation_Details__2[],5,FALSE)</f>
        <v>tier - 2</v>
      </c>
      <c r="O2243" t="str">
        <f>VLOOKUP(A2243,Hospitalisation_Details__2[],6,FALSE)</f>
        <v>tier - 2</v>
      </c>
      <c r="P2243" t="str">
        <f>VLOOKUP(A2243,Hospitalisation_Details__2[],7,FALSE)</f>
        <v>R1012</v>
      </c>
    </row>
    <row r="2244" spans="1:16" x14ac:dyDescent="0.35">
      <c r="A2244" t="str">
        <v>Id2243</v>
      </c>
      <c r="B2244" t="str">
        <f>VLOOKUP(A2244,'Customer Names (2)'!A:B, 2,FALSE)</f>
        <v>Mr</v>
      </c>
      <c r="C2244">
        <f>VLOOKUP(A2244,Medical_Examinations[],2,FALSE)</f>
        <v>15.6</v>
      </c>
      <c r="D2244">
        <f>VLOOKUP(A2244,Medical_Examinations[],3,FALSE)</f>
        <v>4.12</v>
      </c>
      <c r="E2244" t="str">
        <f>VLOOKUP(A2244,Medical_Examinations[],4,FALSE)</f>
        <v>Yes</v>
      </c>
      <c r="F2244" t="str">
        <f>VLOOKUP(A2244,Medical_Examinations[],5,FALSE)</f>
        <v>No</v>
      </c>
      <c r="G2244" t="str">
        <f>VLOOKUP(A2244,Medical_Examinations[],6,FALSE)</f>
        <v>No</v>
      </c>
      <c r="H2244">
        <f>VLOOKUP(A2244,Medical_Examinations[],7,FALSE)</f>
        <v>1</v>
      </c>
      <c r="I2244" t="str">
        <f>VLOOKUP(A2244,Medical_Examinations[],8,FALSE)</f>
        <v>No</v>
      </c>
      <c r="J2244" t="str">
        <f>VLOOKUP(A2244,Medical_Examinations[],9,FALSE)</f>
        <v>Underweight</v>
      </c>
      <c r="K2244" t="str">
        <f>VLOOKUP(A2244,Medical_Examinations[],10,FALSE)</f>
        <v>Normal</v>
      </c>
      <c r="M2244">
        <f>VLOOKUP(A2244,Hospitalisation_Details__2[],4,FALSE)</f>
        <v>1338</v>
      </c>
      <c r="N2244" t="str">
        <f>VLOOKUP(A2244,Hospitalisation_Details__2[],5,FALSE)</f>
        <v>tier - 2</v>
      </c>
      <c r="O2244" t="str">
        <f>VLOOKUP(A2244,Hospitalisation_Details__2[],6,FALSE)</f>
        <v>tier - 3</v>
      </c>
      <c r="P2244" t="str">
        <f>VLOOKUP(A2244,Hospitalisation_Details__2[],7,FALSE)</f>
        <v>R1012</v>
      </c>
    </row>
    <row r="2245" spans="1:16" x14ac:dyDescent="0.35">
      <c r="A2245" t="str">
        <v>Id2244</v>
      </c>
      <c r="B2245" t="str">
        <f>VLOOKUP(A2245,'Customer Names (2)'!A:B, 2,FALSE)</f>
        <v>Mr</v>
      </c>
      <c r="C2245">
        <f>VLOOKUP(A2245,Medical_Examinations[],2,FALSE)</f>
        <v>24.39</v>
      </c>
      <c r="D2245">
        <f>VLOOKUP(A2245,Medical_Examinations[],3,FALSE)</f>
        <v>6.24</v>
      </c>
      <c r="E2245" t="str">
        <f>VLOOKUP(A2245,Medical_Examinations[],4,FALSE)</f>
        <v>No</v>
      </c>
      <c r="F2245" t="str">
        <f>VLOOKUP(A2245,Medical_Examinations[],5,FALSE)</f>
        <v>No</v>
      </c>
      <c r="G2245" t="str">
        <f>VLOOKUP(A2245,Medical_Examinations[],6,FALSE)</f>
        <v>No</v>
      </c>
      <c r="H2245">
        <f>VLOOKUP(A2245,Medical_Examinations[],7,FALSE)</f>
        <v>1</v>
      </c>
      <c r="I2245" t="str">
        <f>VLOOKUP(A2245,Medical_Examinations[],8,FALSE)</f>
        <v>No</v>
      </c>
      <c r="J2245" t="str">
        <f>VLOOKUP(A2245,Medical_Examinations[],9,FALSE)</f>
        <v>Normal Weight</v>
      </c>
      <c r="K2245" t="str">
        <f>VLOOKUP(A2245,Medical_Examinations[],10,FALSE)</f>
        <v>Prediabetes</v>
      </c>
      <c r="M2245">
        <f>VLOOKUP(A2245,Hospitalisation_Details__2[],4,FALSE)</f>
        <v>1332.61</v>
      </c>
      <c r="N2245" t="str">
        <f>VLOOKUP(A2245,Hospitalisation_Details__2[],5,FALSE)</f>
        <v>tier - 2</v>
      </c>
      <c r="O2245" t="str">
        <f>VLOOKUP(A2245,Hospitalisation_Details__2[],6,FALSE)</f>
        <v>tier - 3</v>
      </c>
      <c r="P2245" t="str">
        <f>VLOOKUP(A2245,Hospitalisation_Details__2[],7,FALSE)</f>
        <v>R1013</v>
      </c>
    </row>
    <row r="2246" spans="1:16" x14ac:dyDescent="0.35">
      <c r="A2246" t="str">
        <v>Id2245</v>
      </c>
      <c r="B2246" t="str">
        <f>VLOOKUP(A2246,'Customer Names (2)'!A:B, 2,FALSE)</f>
        <v>Ms</v>
      </c>
      <c r="C2246">
        <f>VLOOKUP(A2246,Medical_Examinations[],2,FALSE)</f>
        <v>24.75</v>
      </c>
      <c r="D2246">
        <f>VLOOKUP(A2246,Medical_Examinations[],3,FALSE)</f>
        <v>4.83</v>
      </c>
      <c r="E2246" t="str">
        <f>VLOOKUP(A2246,Medical_Examinations[],4,FALSE)</f>
        <v>No</v>
      </c>
      <c r="F2246" t="str">
        <f>VLOOKUP(A2246,Medical_Examinations[],5,FALSE)</f>
        <v>No</v>
      </c>
      <c r="G2246" t="str">
        <f>VLOOKUP(A2246,Medical_Examinations[],6,FALSE)</f>
        <v>No</v>
      </c>
      <c r="H2246">
        <f>VLOOKUP(A2246,Medical_Examinations[],7,FALSE)</f>
        <v>0</v>
      </c>
      <c r="I2246" t="str">
        <f>VLOOKUP(A2246,Medical_Examinations[],8,FALSE)</f>
        <v>No</v>
      </c>
      <c r="J2246" t="str">
        <f>VLOOKUP(A2246,Medical_Examinations[],9,FALSE)</f>
        <v>Normal Weight</v>
      </c>
      <c r="K2246" t="str">
        <f>VLOOKUP(A2246,Medical_Examinations[],10,FALSE)</f>
        <v>Normal</v>
      </c>
      <c r="M2246">
        <f>VLOOKUP(A2246,Hospitalisation_Details__2[],4,FALSE)</f>
        <v>1329.17</v>
      </c>
      <c r="N2246" t="str">
        <f>VLOOKUP(A2246,Hospitalisation_Details__2[],5,FALSE)</f>
        <v>tier - 2</v>
      </c>
      <c r="O2246" t="str">
        <f>VLOOKUP(A2246,Hospitalisation_Details__2[],6,FALSE)</f>
        <v>tier - 3</v>
      </c>
      <c r="P2246" t="str">
        <f>VLOOKUP(A2246,Hospitalisation_Details__2[],7,FALSE)</f>
        <v>R1013</v>
      </c>
    </row>
    <row r="2247" spans="1:16" x14ac:dyDescent="0.35">
      <c r="A2247" t="str">
        <v>Id2246</v>
      </c>
      <c r="B2247" t="str">
        <f>VLOOKUP(A2247,'Customer Names (2)'!A:B, 2,FALSE)</f>
        <v>Ms</v>
      </c>
      <c r="C2247">
        <f>VLOOKUP(A2247,Medical_Examinations[],2,FALSE)</f>
        <v>20.88</v>
      </c>
      <c r="D2247">
        <f>VLOOKUP(A2247,Medical_Examinations[],3,FALSE)</f>
        <v>7.4</v>
      </c>
      <c r="E2247" t="str">
        <f>VLOOKUP(A2247,Medical_Examinations[],4,FALSE)</f>
        <v>No</v>
      </c>
      <c r="F2247" t="str">
        <f>VLOOKUP(A2247,Medical_Examinations[],5,FALSE)</f>
        <v>No</v>
      </c>
      <c r="G2247" t="str">
        <f>VLOOKUP(A2247,Medical_Examinations[],6,FALSE)</f>
        <v>No</v>
      </c>
      <c r="H2247">
        <f>VLOOKUP(A2247,Medical_Examinations[],7,FALSE)</f>
        <v>0</v>
      </c>
      <c r="I2247" t="str">
        <f>VLOOKUP(A2247,Medical_Examinations[],8,FALSE)</f>
        <v>No</v>
      </c>
      <c r="J2247" t="str">
        <f>VLOOKUP(A2247,Medical_Examinations[],9,FALSE)</f>
        <v>Normal Weight</v>
      </c>
      <c r="K2247" t="str">
        <f>VLOOKUP(A2247,Medical_Examinations[],10,FALSE)</f>
        <v>Diabetes</v>
      </c>
      <c r="M2247">
        <f>VLOOKUP(A2247,Hospitalisation_Details__2[],4,FALSE)</f>
        <v>1315</v>
      </c>
      <c r="N2247" t="str">
        <f>VLOOKUP(A2247,Hospitalisation_Details__2[],5,FALSE)</f>
        <v>tier - 2</v>
      </c>
      <c r="O2247" t="str">
        <f>VLOOKUP(A2247,Hospitalisation_Details__2[],6,FALSE)</f>
        <v>tier - 2</v>
      </c>
      <c r="P2247" t="str">
        <f>VLOOKUP(A2247,Hospitalisation_Details__2[],7,FALSE)</f>
        <v>R1013</v>
      </c>
    </row>
    <row r="2248" spans="1:16" x14ac:dyDescent="0.35">
      <c r="A2248" t="str">
        <v>Id2247</v>
      </c>
      <c r="B2248" t="str">
        <f>VLOOKUP(A2248,'Customer Names (2)'!A:B, 2,FALSE)</f>
        <v>Ms</v>
      </c>
      <c r="C2248">
        <f>VLOOKUP(A2248,Medical_Examinations[],2,FALSE)</f>
        <v>20.43</v>
      </c>
      <c r="D2248">
        <f>VLOOKUP(A2248,Medical_Examinations[],3,FALSE)</f>
        <v>4.54</v>
      </c>
      <c r="E2248" t="str">
        <f>VLOOKUP(A2248,Medical_Examinations[],4,FALSE)</f>
        <v>No</v>
      </c>
      <c r="F2248" t="str">
        <f>VLOOKUP(A2248,Medical_Examinations[],5,FALSE)</f>
        <v>No</v>
      </c>
      <c r="G2248" t="str">
        <f>VLOOKUP(A2248,Medical_Examinations[],6,FALSE)</f>
        <v>No</v>
      </c>
      <c r="H2248">
        <f>VLOOKUP(A2248,Medical_Examinations[],7,FALSE)</f>
        <v>0</v>
      </c>
      <c r="I2248" t="str">
        <f>VLOOKUP(A2248,Medical_Examinations[],8,FALSE)</f>
        <v>No</v>
      </c>
      <c r="J2248" t="str">
        <f>VLOOKUP(A2248,Medical_Examinations[],9,FALSE)</f>
        <v>Normal Weight</v>
      </c>
      <c r="K2248" t="str">
        <f>VLOOKUP(A2248,Medical_Examinations[],10,FALSE)</f>
        <v>Normal</v>
      </c>
      <c r="M2248">
        <f>VLOOKUP(A2248,Hospitalisation_Details__2[],4,FALSE)</f>
        <v>1304</v>
      </c>
      <c r="N2248" t="str">
        <f>VLOOKUP(A2248,Hospitalisation_Details__2[],5,FALSE)</f>
        <v>tier - 2</v>
      </c>
      <c r="O2248" t="str">
        <f>VLOOKUP(A2248,Hospitalisation_Details__2[],6,FALSE)</f>
        <v>tier - 2</v>
      </c>
      <c r="P2248" t="str">
        <f>VLOOKUP(A2248,Hospitalisation_Details__2[],7,FALSE)</f>
        <v>R1013</v>
      </c>
    </row>
    <row r="2249" spans="1:16" x14ac:dyDescent="0.35">
      <c r="A2249" t="str">
        <v>Id2248</v>
      </c>
      <c r="B2249" t="str">
        <f>VLOOKUP(A2249,'Customer Names (2)'!A:B, 2,FALSE)</f>
        <v>Mr</v>
      </c>
      <c r="C2249">
        <f>VLOOKUP(A2249,Medical_Examinations[],2,FALSE)</f>
        <v>15.18</v>
      </c>
      <c r="D2249">
        <f>VLOOKUP(A2249,Medical_Examinations[],3,FALSE)</f>
        <v>11.11</v>
      </c>
      <c r="E2249" t="str">
        <f>VLOOKUP(A2249,Medical_Examinations[],4,FALSE)</f>
        <v>No</v>
      </c>
      <c r="F2249" t="str">
        <f>VLOOKUP(A2249,Medical_Examinations[],5,FALSE)</f>
        <v>No</v>
      </c>
      <c r="G2249" t="str">
        <f>VLOOKUP(A2249,Medical_Examinations[],6,FALSE)</f>
        <v>No</v>
      </c>
      <c r="H2249">
        <f>VLOOKUP(A2249,Medical_Examinations[],7,FALSE)</f>
        <v>0</v>
      </c>
      <c r="I2249" t="str">
        <f>VLOOKUP(A2249,Medical_Examinations[],8,FALSE)</f>
        <v>No</v>
      </c>
      <c r="J2249" t="str">
        <f>VLOOKUP(A2249,Medical_Examinations[],9,FALSE)</f>
        <v>Underweight</v>
      </c>
      <c r="K2249" t="str">
        <f>VLOOKUP(A2249,Medical_Examinations[],10,FALSE)</f>
        <v>Diabetes</v>
      </c>
      <c r="M2249">
        <f>VLOOKUP(A2249,Hospitalisation_Details__2[],4,FALSE)</f>
        <v>1304</v>
      </c>
      <c r="N2249" t="str">
        <f>VLOOKUP(A2249,Hospitalisation_Details__2[],5,FALSE)</f>
        <v>tier - 2</v>
      </c>
      <c r="O2249" t="str">
        <f>VLOOKUP(A2249,Hospitalisation_Details__2[],6,FALSE)</f>
        <v>tier - 2</v>
      </c>
      <c r="P2249" t="str">
        <f>VLOOKUP(A2249,Hospitalisation_Details__2[],7,FALSE)</f>
        <v>R1012</v>
      </c>
    </row>
    <row r="2250" spans="1:16" x14ac:dyDescent="0.35">
      <c r="A2250" t="str">
        <v>Id2249</v>
      </c>
      <c r="B2250" t="str">
        <f>VLOOKUP(A2250,'Customer Names (2)'!A:B, 2,FALSE)</f>
        <v>Mr</v>
      </c>
      <c r="C2250">
        <f>VLOOKUP(A2250,Medical_Examinations[],2,FALSE)</f>
        <v>15.12</v>
      </c>
      <c r="D2250">
        <f>VLOOKUP(A2250,Medical_Examinations[],3,FALSE)</f>
        <v>4.03</v>
      </c>
      <c r="E2250" t="str">
        <f>VLOOKUP(A2250,Medical_Examinations[],4,FALSE)</f>
        <v>Yes</v>
      </c>
      <c r="F2250" t="str">
        <f>VLOOKUP(A2250,Medical_Examinations[],5,FALSE)</f>
        <v>No</v>
      </c>
      <c r="G2250" t="str">
        <f>VLOOKUP(A2250,Medical_Examinations[],6,FALSE)</f>
        <v>No</v>
      </c>
      <c r="H2250">
        <f>VLOOKUP(A2250,Medical_Examinations[],7,FALSE)</f>
        <v>0</v>
      </c>
      <c r="I2250" t="str">
        <f>VLOOKUP(A2250,Medical_Examinations[],8,FALSE)</f>
        <v>No</v>
      </c>
      <c r="J2250" t="str">
        <f>VLOOKUP(A2250,Medical_Examinations[],9,FALSE)</f>
        <v>Underweight</v>
      </c>
      <c r="K2250" t="str">
        <f>VLOOKUP(A2250,Medical_Examinations[],10,FALSE)</f>
        <v>Normal</v>
      </c>
      <c r="M2250">
        <f>VLOOKUP(A2250,Hospitalisation_Details__2[],4,FALSE)</f>
        <v>1293</v>
      </c>
      <c r="N2250" t="str">
        <f>VLOOKUP(A2250,Hospitalisation_Details__2[],5,FALSE)</f>
        <v>tier - 2</v>
      </c>
      <c r="O2250" t="str">
        <f>VLOOKUP(A2250,Hospitalisation_Details__2[],6,FALSE)</f>
        <v>tier - 3</v>
      </c>
      <c r="P2250" t="str">
        <f>VLOOKUP(A2250,Hospitalisation_Details__2[],7,FALSE)</f>
        <v>R1012</v>
      </c>
    </row>
    <row r="2251" spans="1:16" x14ac:dyDescent="0.35">
      <c r="A2251" t="str">
        <v>Id2250</v>
      </c>
      <c r="B2251" t="str">
        <f>VLOOKUP(A2251,'Customer Names (2)'!A:B, 2,FALSE)</f>
        <v>Ms</v>
      </c>
      <c r="C2251">
        <f>VLOOKUP(A2251,Medical_Examinations[],2,FALSE)</f>
        <v>23.88</v>
      </c>
      <c r="D2251">
        <f>VLOOKUP(A2251,Medical_Examinations[],3,FALSE)</f>
        <v>4.51</v>
      </c>
      <c r="E2251" t="str">
        <f>VLOOKUP(A2251,Medical_Examinations[],4,FALSE)</f>
        <v>No</v>
      </c>
      <c r="F2251" t="str">
        <f>VLOOKUP(A2251,Medical_Examinations[],5,FALSE)</f>
        <v>No</v>
      </c>
      <c r="G2251" t="str">
        <f>VLOOKUP(A2251,Medical_Examinations[],6,FALSE)</f>
        <v>No</v>
      </c>
      <c r="H2251">
        <f>VLOOKUP(A2251,Medical_Examinations[],7,FALSE)</f>
        <v>1</v>
      </c>
      <c r="I2251" t="str">
        <f>VLOOKUP(A2251,Medical_Examinations[],8,FALSE)</f>
        <v>No</v>
      </c>
      <c r="J2251" t="str">
        <f>VLOOKUP(A2251,Medical_Examinations[],9,FALSE)</f>
        <v>Normal Weight</v>
      </c>
      <c r="K2251" t="str">
        <f>VLOOKUP(A2251,Medical_Examinations[],10,FALSE)</f>
        <v>Normal</v>
      </c>
      <c r="M2251">
        <f>VLOOKUP(A2251,Hospitalisation_Details__2[],4,FALSE)</f>
        <v>1290.93</v>
      </c>
      <c r="N2251" t="str">
        <f>VLOOKUP(A2251,Hospitalisation_Details__2[],5,FALSE)</f>
        <v>tier - 2</v>
      </c>
      <c r="O2251" t="str">
        <f>VLOOKUP(A2251,Hospitalisation_Details__2[],6,FALSE)</f>
        <v>tier - 2</v>
      </c>
      <c r="P2251" t="str">
        <f>VLOOKUP(A2251,Hospitalisation_Details__2[],7,FALSE)</f>
        <v>R1013</v>
      </c>
    </row>
    <row r="2252" spans="1:16" x14ac:dyDescent="0.35">
      <c r="A2252" t="str">
        <v>Id2251</v>
      </c>
      <c r="B2252" t="str">
        <f>VLOOKUP(A2252,'Customer Names (2)'!A:B, 2,FALSE)</f>
        <v>Ms</v>
      </c>
      <c r="C2252">
        <f>VLOOKUP(A2252,Medical_Examinations[],2,FALSE)</f>
        <v>16.13</v>
      </c>
      <c r="D2252">
        <f>VLOOKUP(A2252,Medical_Examinations[],3,FALSE)</f>
        <v>5.56</v>
      </c>
      <c r="E2252" t="str">
        <f>VLOOKUP(A2252,Medical_Examinations[],4,FALSE)</f>
        <v>No</v>
      </c>
      <c r="F2252" t="str">
        <f>VLOOKUP(A2252,Medical_Examinations[],5,FALSE)</f>
        <v>yes</v>
      </c>
      <c r="G2252" t="str">
        <f>VLOOKUP(A2252,Medical_Examinations[],6,FALSE)</f>
        <v>No</v>
      </c>
      <c r="H2252">
        <f>VLOOKUP(A2252,Medical_Examinations[],7,FALSE)</f>
        <v>1</v>
      </c>
      <c r="I2252" t="str">
        <f>VLOOKUP(A2252,Medical_Examinations[],8,FALSE)</f>
        <v>No</v>
      </c>
      <c r="J2252" t="str">
        <f>VLOOKUP(A2252,Medical_Examinations[],9,FALSE)</f>
        <v>Underweight</v>
      </c>
      <c r="K2252" t="str">
        <f>VLOOKUP(A2252,Medical_Examinations[],10,FALSE)</f>
        <v>Normal</v>
      </c>
      <c r="M2252">
        <f>VLOOKUP(A2252,Hospitalisation_Details__2[],4,FALSE)</f>
        <v>1286</v>
      </c>
      <c r="N2252" t="str">
        <f>VLOOKUP(A2252,Hospitalisation_Details__2[],5,FALSE)</f>
        <v>tier - 2</v>
      </c>
      <c r="O2252" t="str">
        <f>VLOOKUP(A2252,Hospitalisation_Details__2[],6,FALSE)</f>
        <v>tier - 2</v>
      </c>
      <c r="P2252" t="str">
        <f>VLOOKUP(A2252,Hospitalisation_Details__2[],7,FALSE)</f>
        <v>R1013</v>
      </c>
    </row>
    <row r="2253" spans="1:16" x14ac:dyDescent="0.35">
      <c r="A2253" t="str">
        <v>Id2252</v>
      </c>
      <c r="B2253" t="str">
        <f>VLOOKUP(A2253,'Customer Names (2)'!A:B, 2,FALSE)</f>
        <v>Mr</v>
      </c>
      <c r="C2253">
        <f>VLOOKUP(A2253,Medical_Examinations[],2,FALSE)</f>
        <v>24.09</v>
      </c>
      <c r="D2253">
        <f>VLOOKUP(A2253,Medical_Examinations[],3,FALSE)</f>
        <v>4.0999999999999996</v>
      </c>
      <c r="E2253" t="str">
        <f>VLOOKUP(A2253,Medical_Examinations[],4,FALSE)</f>
        <v>No</v>
      </c>
      <c r="F2253" t="str">
        <f>VLOOKUP(A2253,Medical_Examinations[],5,FALSE)</f>
        <v>yes</v>
      </c>
      <c r="G2253" t="str">
        <f>VLOOKUP(A2253,Medical_Examinations[],6,FALSE)</f>
        <v>No</v>
      </c>
      <c r="H2253">
        <f>VLOOKUP(A2253,Medical_Examinations[],7,FALSE)</f>
        <v>1</v>
      </c>
      <c r="I2253" t="str">
        <f>VLOOKUP(A2253,Medical_Examinations[],8,FALSE)</f>
        <v>No</v>
      </c>
      <c r="J2253" t="str">
        <f>VLOOKUP(A2253,Medical_Examinations[],9,FALSE)</f>
        <v>Normal Weight</v>
      </c>
      <c r="K2253" t="str">
        <f>VLOOKUP(A2253,Medical_Examinations[],10,FALSE)</f>
        <v>Normal</v>
      </c>
      <c r="M2253">
        <f>VLOOKUP(A2253,Hospitalisation_Details__2[],4,FALSE)</f>
        <v>1285</v>
      </c>
      <c r="N2253" t="str">
        <f>VLOOKUP(A2253,Hospitalisation_Details__2[],5,FALSE)</f>
        <v>tier - 2</v>
      </c>
      <c r="O2253" t="str">
        <f>VLOOKUP(A2253,Hospitalisation_Details__2[],6,FALSE)</f>
        <v>tier - 3</v>
      </c>
      <c r="P2253" t="str">
        <f>VLOOKUP(A2253,Hospitalisation_Details__2[],7,FALSE)</f>
        <v>R1013</v>
      </c>
    </row>
    <row r="2254" spans="1:16" x14ac:dyDescent="0.35">
      <c r="A2254" t="str">
        <v>Id2253</v>
      </c>
      <c r="B2254" t="str">
        <f>VLOOKUP(A2254,'Customer Names (2)'!A:B, 2,FALSE)</f>
        <v>Ms</v>
      </c>
      <c r="C2254">
        <f>VLOOKUP(A2254,Medical_Examinations[],2,FALSE)</f>
        <v>19.43</v>
      </c>
      <c r="D2254">
        <f>VLOOKUP(A2254,Medical_Examinations[],3,FALSE)</f>
        <v>5.85</v>
      </c>
      <c r="E2254" t="str">
        <f>VLOOKUP(A2254,Medical_Examinations[],4,FALSE)</f>
        <v>No</v>
      </c>
      <c r="F2254" t="str">
        <f>VLOOKUP(A2254,Medical_Examinations[],5,FALSE)</f>
        <v>yes</v>
      </c>
      <c r="G2254" t="str">
        <f>VLOOKUP(A2254,Medical_Examinations[],6,FALSE)</f>
        <v>No</v>
      </c>
      <c r="H2254">
        <f>VLOOKUP(A2254,Medical_Examinations[],7,FALSE)</f>
        <v>1</v>
      </c>
      <c r="I2254" t="str">
        <f>VLOOKUP(A2254,Medical_Examinations[],8,FALSE)</f>
        <v>No</v>
      </c>
      <c r="J2254" t="str">
        <f>VLOOKUP(A2254,Medical_Examinations[],9,FALSE)</f>
        <v>Normal Weight</v>
      </c>
      <c r="K2254" t="str">
        <f>VLOOKUP(A2254,Medical_Examinations[],10,FALSE)</f>
        <v>Prediabetes</v>
      </c>
      <c r="M2254">
        <f>VLOOKUP(A2254,Hospitalisation_Details__2[],4,FALSE)</f>
        <v>1283</v>
      </c>
      <c r="N2254" t="str">
        <f>VLOOKUP(A2254,Hospitalisation_Details__2[],5,FALSE)</f>
        <v>tier - 2</v>
      </c>
      <c r="O2254" t="str">
        <f>VLOOKUP(A2254,Hospitalisation_Details__2[],6,FALSE)</f>
        <v>tier - 1</v>
      </c>
      <c r="P2254" t="str">
        <f>VLOOKUP(A2254,Hospitalisation_Details__2[],7,FALSE)</f>
        <v>R1013</v>
      </c>
    </row>
    <row r="2255" spans="1:16" x14ac:dyDescent="0.35">
      <c r="A2255" t="str">
        <v>Id2254</v>
      </c>
      <c r="B2255" t="str">
        <f>VLOOKUP(A2255,'Customer Names (2)'!A:B, 2,FALSE)</f>
        <v>Ms</v>
      </c>
      <c r="C2255">
        <f>VLOOKUP(A2255,Medical_Examinations[],2,FALSE)</f>
        <v>15.22</v>
      </c>
      <c r="D2255">
        <f>VLOOKUP(A2255,Medical_Examinations[],3,FALSE)</f>
        <v>4.92</v>
      </c>
      <c r="E2255" t="str">
        <f>VLOOKUP(A2255,Medical_Examinations[],4,FALSE)</f>
        <v>Yes</v>
      </c>
      <c r="F2255" t="str">
        <f>VLOOKUP(A2255,Medical_Examinations[],5,FALSE)</f>
        <v>No</v>
      </c>
      <c r="G2255" t="str">
        <f>VLOOKUP(A2255,Medical_Examinations[],6,FALSE)</f>
        <v>Yes</v>
      </c>
      <c r="H2255">
        <f>VLOOKUP(A2255,Medical_Examinations[],7,FALSE)</f>
        <v>1</v>
      </c>
      <c r="I2255" t="str">
        <f>VLOOKUP(A2255,Medical_Examinations[],8,FALSE)</f>
        <v>No</v>
      </c>
      <c r="J2255" t="str">
        <f>VLOOKUP(A2255,Medical_Examinations[],9,FALSE)</f>
        <v>Underweight</v>
      </c>
      <c r="K2255" t="str">
        <f>VLOOKUP(A2255,Medical_Examinations[],10,FALSE)</f>
        <v>Normal</v>
      </c>
      <c r="M2255">
        <f>VLOOKUP(A2255,Hospitalisation_Details__2[],4,FALSE)</f>
        <v>1276</v>
      </c>
      <c r="N2255" t="str">
        <f>VLOOKUP(A2255,Hospitalisation_Details__2[],5,FALSE)</f>
        <v>tier - 2</v>
      </c>
      <c r="O2255" t="str">
        <f>VLOOKUP(A2255,Hospitalisation_Details__2[],6,FALSE)</f>
        <v>tier - 2</v>
      </c>
      <c r="P2255" t="str">
        <f>VLOOKUP(A2255,Hospitalisation_Details__2[],7,FALSE)</f>
        <v>R1012</v>
      </c>
    </row>
    <row r="2256" spans="1:16" x14ac:dyDescent="0.35">
      <c r="A2256" t="str">
        <v>Id2255</v>
      </c>
      <c r="B2256" t="str">
        <f>VLOOKUP(A2256,'Customer Names (2)'!A:B, 2,FALSE)</f>
        <v>Ms</v>
      </c>
      <c r="C2256">
        <f>VLOOKUP(A2256,Medical_Examinations[],2,FALSE)</f>
        <v>20.72</v>
      </c>
      <c r="D2256">
        <f>VLOOKUP(A2256,Medical_Examinations[],3,FALSE)</f>
        <v>9.4600000000000009</v>
      </c>
      <c r="E2256" t="str">
        <f>VLOOKUP(A2256,Medical_Examinations[],4,FALSE)</f>
        <v>No</v>
      </c>
      <c r="F2256" t="str">
        <f>VLOOKUP(A2256,Medical_Examinations[],5,FALSE)</f>
        <v>No</v>
      </c>
      <c r="G2256" t="str">
        <f>VLOOKUP(A2256,Medical_Examinations[],6,FALSE)</f>
        <v>No</v>
      </c>
      <c r="H2256">
        <f>VLOOKUP(A2256,Medical_Examinations[],7,FALSE)</f>
        <v>0</v>
      </c>
      <c r="I2256" t="str">
        <f>VLOOKUP(A2256,Medical_Examinations[],8,FALSE)</f>
        <v>No</v>
      </c>
      <c r="J2256" t="str">
        <f>VLOOKUP(A2256,Medical_Examinations[],9,FALSE)</f>
        <v>Normal Weight</v>
      </c>
      <c r="K2256" t="str">
        <f>VLOOKUP(A2256,Medical_Examinations[],10,FALSE)</f>
        <v>Diabetes</v>
      </c>
      <c r="M2256">
        <f>VLOOKUP(A2256,Hospitalisation_Details__2[],4,FALSE)</f>
        <v>1267</v>
      </c>
      <c r="N2256" t="str">
        <f>VLOOKUP(A2256,Hospitalisation_Details__2[],5,FALSE)</f>
        <v>tier - 2</v>
      </c>
      <c r="O2256" t="str">
        <f>VLOOKUP(A2256,Hospitalisation_Details__2[],6,FALSE)</f>
        <v>tier - 1</v>
      </c>
      <c r="P2256" t="str">
        <f>VLOOKUP(A2256,Hospitalisation_Details__2[],7,FALSE)</f>
        <v>R1013</v>
      </c>
    </row>
    <row r="2257" spans="1:16" x14ac:dyDescent="0.35">
      <c r="A2257" t="str">
        <v>Id2256</v>
      </c>
      <c r="B2257" t="str">
        <f>VLOOKUP(A2257,'Customer Names (2)'!A:B, 2,FALSE)</f>
        <v>Mr</v>
      </c>
      <c r="C2257">
        <f>VLOOKUP(A2257,Medical_Examinations[],2,FALSE)</f>
        <v>35.4</v>
      </c>
      <c r="D2257">
        <f>VLOOKUP(A2257,Medical_Examinations[],3,FALSE)</f>
        <v>5.94</v>
      </c>
      <c r="E2257" t="str">
        <f>VLOOKUP(A2257,Medical_Examinations[],4,FALSE)</f>
        <v>No</v>
      </c>
      <c r="F2257" t="str">
        <f>VLOOKUP(A2257,Medical_Examinations[],5,FALSE)</f>
        <v>No</v>
      </c>
      <c r="G2257" t="str">
        <f>VLOOKUP(A2257,Medical_Examinations[],6,FALSE)</f>
        <v>Yes</v>
      </c>
      <c r="H2257">
        <f>VLOOKUP(A2257,Medical_Examinations[],7,FALSE)</f>
        <v>1</v>
      </c>
      <c r="I2257" t="str">
        <f>VLOOKUP(A2257,Medical_Examinations[],8,FALSE)</f>
        <v>No</v>
      </c>
      <c r="J2257" t="str">
        <f>VLOOKUP(A2257,Medical_Examinations[],9,FALSE)</f>
        <v>Obesity</v>
      </c>
      <c r="K2257" t="str">
        <f>VLOOKUP(A2257,Medical_Examinations[],10,FALSE)</f>
        <v>Prediabetes</v>
      </c>
      <c r="M2257">
        <f>VLOOKUP(A2257,Hospitalisation_Details__2[],4,FALSE)</f>
        <v>1263.25</v>
      </c>
      <c r="N2257" t="str">
        <f>VLOOKUP(A2257,Hospitalisation_Details__2[],5,FALSE)</f>
        <v>tier - 2</v>
      </c>
      <c r="O2257" t="str">
        <f>VLOOKUP(A2257,Hospitalisation_Details__2[],6,FALSE)</f>
        <v>tier - 3</v>
      </c>
      <c r="P2257" t="str">
        <f>VLOOKUP(A2257,Hospitalisation_Details__2[],7,FALSE)</f>
        <v>R1011</v>
      </c>
    </row>
    <row r="2258" spans="1:16" x14ac:dyDescent="0.35">
      <c r="A2258" t="str">
        <v>Id2257</v>
      </c>
      <c r="B2258" t="str">
        <f>VLOOKUP(A2258,'Customer Names (2)'!A:B, 2,FALSE)</f>
        <v>Mr</v>
      </c>
      <c r="C2258">
        <f>VLOOKUP(A2258,Medical_Examinations[],2,FALSE)</f>
        <v>34.4</v>
      </c>
      <c r="D2258">
        <f>VLOOKUP(A2258,Medical_Examinations[],3,FALSE)</f>
        <v>5.7</v>
      </c>
      <c r="E2258" t="str">
        <f>VLOOKUP(A2258,Medical_Examinations[],4,FALSE)</f>
        <v>No</v>
      </c>
      <c r="F2258" t="str">
        <f>VLOOKUP(A2258,Medical_Examinations[],5,FALSE)</f>
        <v>No</v>
      </c>
      <c r="G2258" t="str">
        <f>VLOOKUP(A2258,Medical_Examinations[],6,FALSE)</f>
        <v>Yes</v>
      </c>
      <c r="H2258">
        <f>VLOOKUP(A2258,Medical_Examinations[],7,FALSE)</f>
        <v>1</v>
      </c>
      <c r="I2258" t="str">
        <f>VLOOKUP(A2258,Medical_Examinations[],8,FALSE)</f>
        <v>No</v>
      </c>
      <c r="J2258" t="str">
        <f>VLOOKUP(A2258,Medical_Examinations[],9,FALSE)</f>
        <v>Obesity</v>
      </c>
      <c r="K2258" t="str">
        <f>VLOOKUP(A2258,Medical_Examinations[],10,FALSE)</f>
        <v>Prediabetes</v>
      </c>
      <c r="M2258">
        <f>VLOOKUP(A2258,Hospitalisation_Details__2[],4,FALSE)</f>
        <v>1261.8599999999999</v>
      </c>
      <c r="N2258" t="str">
        <f>VLOOKUP(A2258,Hospitalisation_Details__2[],5,FALSE)</f>
        <v>tier - 2</v>
      </c>
      <c r="O2258" t="str">
        <f>VLOOKUP(A2258,Hospitalisation_Details__2[],6,FALSE)</f>
        <v>tier - 3</v>
      </c>
      <c r="P2258" t="str">
        <f>VLOOKUP(A2258,Hospitalisation_Details__2[],7,FALSE)</f>
        <v>R1011</v>
      </c>
    </row>
    <row r="2259" spans="1:16" x14ac:dyDescent="0.35">
      <c r="A2259" t="str">
        <v>Id2258</v>
      </c>
      <c r="B2259" t="str">
        <f>VLOOKUP(A2259,'Customer Names (2)'!A:B, 2,FALSE)</f>
        <v>Mr</v>
      </c>
      <c r="C2259">
        <f>VLOOKUP(A2259,Medical_Examinations[],2,FALSE)</f>
        <v>34.1</v>
      </c>
      <c r="D2259">
        <f>VLOOKUP(A2259,Medical_Examinations[],3,FALSE)</f>
        <v>4.13</v>
      </c>
      <c r="E2259" t="str">
        <f>VLOOKUP(A2259,Medical_Examinations[],4,FALSE)</f>
        <v>No</v>
      </c>
      <c r="F2259" t="str">
        <f>VLOOKUP(A2259,Medical_Examinations[],5,FALSE)</f>
        <v>No</v>
      </c>
      <c r="G2259" t="str">
        <f>VLOOKUP(A2259,Medical_Examinations[],6,FALSE)</f>
        <v>Yes</v>
      </c>
      <c r="H2259">
        <f>VLOOKUP(A2259,Medical_Examinations[],7,FALSE)</f>
        <v>1</v>
      </c>
      <c r="I2259" t="str">
        <f>VLOOKUP(A2259,Medical_Examinations[],8,FALSE)</f>
        <v>No</v>
      </c>
      <c r="J2259" t="str">
        <f>VLOOKUP(A2259,Medical_Examinations[],9,FALSE)</f>
        <v>Obesity</v>
      </c>
      <c r="K2259" t="str">
        <f>VLOOKUP(A2259,Medical_Examinations[],10,FALSE)</f>
        <v>Normal</v>
      </c>
      <c r="M2259">
        <f>VLOOKUP(A2259,Hospitalisation_Details__2[],4,FALSE)</f>
        <v>1261.44</v>
      </c>
      <c r="N2259" t="str">
        <f>VLOOKUP(A2259,Hospitalisation_Details__2[],5,FALSE)</f>
        <v>tier - 2</v>
      </c>
      <c r="O2259" t="str">
        <f>VLOOKUP(A2259,Hospitalisation_Details__2[],6,FALSE)</f>
        <v>tier - 3</v>
      </c>
      <c r="P2259" t="str">
        <f>VLOOKUP(A2259,Hospitalisation_Details__2[],7,FALSE)</f>
        <v>R1011</v>
      </c>
    </row>
    <row r="2260" spans="1:16" x14ac:dyDescent="0.35">
      <c r="A2260" t="str">
        <v>Id2259</v>
      </c>
      <c r="B2260" t="str">
        <f>VLOOKUP(A2260,'Customer Names (2)'!A:B, 2,FALSE)</f>
        <v>Mr</v>
      </c>
      <c r="C2260">
        <f>VLOOKUP(A2260,Medical_Examinations[],2,FALSE)</f>
        <v>30.4</v>
      </c>
      <c r="D2260">
        <f>VLOOKUP(A2260,Medical_Examinations[],3,FALSE)</f>
        <v>4.7699999999999996</v>
      </c>
      <c r="E2260" t="str">
        <f>VLOOKUP(A2260,Medical_Examinations[],4,FALSE)</f>
        <v>No</v>
      </c>
      <c r="F2260" t="str">
        <f>VLOOKUP(A2260,Medical_Examinations[],5,FALSE)</f>
        <v>No</v>
      </c>
      <c r="G2260" t="str">
        <f>VLOOKUP(A2260,Medical_Examinations[],6,FALSE)</f>
        <v>Yes</v>
      </c>
      <c r="H2260">
        <f>VLOOKUP(A2260,Medical_Examinations[],7,FALSE)</f>
        <v>1</v>
      </c>
      <c r="I2260" t="str">
        <f>VLOOKUP(A2260,Medical_Examinations[],8,FALSE)</f>
        <v>No</v>
      </c>
      <c r="J2260" t="str">
        <f>VLOOKUP(A2260,Medical_Examinations[],9,FALSE)</f>
        <v>Obesity</v>
      </c>
      <c r="K2260" t="str">
        <f>VLOOKUP(A2260,Medical_Examinations[],10,FALSE)</f>
        <v>Normal</v>
      </c>
      <c r="M2260">
        <f>VLOOKUP(A2260,Hospitalisation_Details__2[],4,FALSE)</f>
        <v>1256.3</v>
      </c>
      <c r="N2260" t="str">
        <f>VLOOKUP(A2260,Hospitalisation_Details__2[],5,FALSE)</f>
        <v>tier - 2</v>
      </c>
      <c r="O2260" t="str">
        <f>VLOOKUP(A2260,Hospitalisation_Details__2[],6,FALSE)</f>
        <v>tier - 3</v>
      </c>
      <c r="P2260" t="str">
        <f>VLOOKUP(A2260,Hospitalisation_Details__2[],7,FALSE)</f>
        <v>R1011</v>
      </c>
    </row>
    <row r="2261" spans="1:16" x14ac:dyDescent="0.35">
      <c r="A2261" t="str">
        <v>Id2260</v>
      </c>
      <c r="B2261" t="str">
        <f>VLOOKUP(A2261,'Customer Names (2)'!A:B, 2,FALSE)</f>
        <v>Mr</v>
      </c>
      <c r="C2261">
        <f>VLOOKUP(A2261,Medical_Examinations[],2,FALSE)</f>
        <v>28.7</v>
      </c>
      <c r="D2261">
        <f>VLOOKUP(A2261,Medical_Examinations[],3,FALSE)</f>
        <v>4.99</v>
      </c>
      <c r="E2261" t="str">
        <f>VLOOKUP(A2261,Medical_Examinations[],4,FALSE)</f>
        <v>No</v>
      </c>
      <c r="F2261" t="str">
        <f>VLOOKUP(A2261,Medical_Examinations[],5,FALSE)</f>
        <v>No</v>
      </c>
      <c r="G2261" t="str">
        <f>VLOOKUP(A2261,Medical_Examinations[],6,FALSE)</f>
        <v>Yes</v>
      </c>
      <c r="H2261">
        <f>VLOOKUP(A2261,Medical_Examinations[],7,FALSE)</f>
        <v>1</v>
      </c>
      <c r="I2261" t="str">
        <f>VLOOKUP(A2261,Medical_Examinations[],8,FALSE)</f>
        <v>No</v>
      </c>
      <c r="J2261" t="str">
        <f>VLOOKUP(A2261,Medical_Examinations[],9,FALSE)</f>
        <v>Overweight</v>
      </c>
      <c r="K2261" t="str">
        <f>VLOOKUP(A2261,Medical_Examinations[],10,FALSE)</f>
        <v>Normal</v>
      </c>
      <c r="M2261">
        <f>VLOOKUP(A2261,Hospitalisation_Details__2[],4,FALSE)</f>
        <v>1253.94</v>
      </c>
      <c r="N2261" t="str">
        <f>VLOOKUP(A2261,Hospitalisation_Details__2[],5,FALSE)</f>
        <v>tier - 2</v>
      </c>
      <c r="O2261" t="str">
        <f>VLOOKUP(A2261,Hospitalisation_Details__2[],6,FALSE)</f>
        <v>tier - 2</v>
      </c>
      <c r="P2261" t="str">
        <f>VLOOKUP(A2261,Hospitalisation_Details__2[],7,FALSE)</f>
        <v>R1011</v>
      </c>
    </row>
    <row r="2262" spans="1:16" x14ac:dyDescent="0.35">
      <c r="A2262" t="str">
        <v>Id2261</v>
      </c>
      <c r="B2262" t="str">
        <f>VLOOKUP(A2262,'Customer Names (2)'!A:B, 2,FALSE)</f>
        <v>Ms</v>
      </c>
      <c r="C2262">
        <f>VLOOKUP(A2262,Medical_Examinations[],2,FALSE)</f>
        <v>17.440000000000001</v>
      </c>
      <c r="D2262">
        <f>VLOOKUP(A2262,Medical_Examinations[],3,FALSE)</f>
        <v>4.42</v>
      </c>
      <c r="E2262" t="str">
        <f>VLOOKUP(A2262,Medical_Examinations[],4,FALSE)</f>
        <v>Yes</v>
      </c>
      <c r="F2262" t="str">
        <f>VLOOKUP(A2262,Medical_Examinations[],5,FALSE)</f>
        <v>No</v>
      </c>
      <c r="G2262" t="str">
        <f>VLOOKUP(A2262,Medical_Examinations[],6,FALSE)</f>
        <v>Yes</v>
      </c>
      <c r="H2262">
        <f>VLOOKUP(A2262,Medical_Examinations[],7,FALSE)</f>
        <v>1</v>
      </c>
      <c r="I2262" t="str">
        <f>VLOOKUP(A2262,Medical_Examinations[],8,FALSE)</f>
        <v>No</v>
      </c>
      <c r="J2262" t="str">
        <f>VLOOKUP(A2262,Medical_Examinations[],9,FALSE)</f>
        <v>Underweight</v>
      </c>
      <c r="K2262" t="str">
        <f>VLOOKUP(A2262,Medical_Examinations[],10,FALSE)</f>
        <v>Normal</v>
      </c>
      <c r="M2262">
        <f>VLOOKUP(A2262,Hospitalisation_Details__2[],4,FALSE)</f>
        <v>1253</v>
      </c>
      <c r="N2262" t="str">
        <f>VLOOKUP(A2262,Hospitalisation_Details__2[],5,FALSE)</f>
        <v>tier - 2</v>
      </c>
      <c r="O2262" t="str">
        <f>VLOOKUP(A2262,Hospitalisation_Details__2[],6,FALSE)</f>
        <v>tier - 2</v>
      </c>
      <c r="P2262" t="str">
        <f>VLOOKUP(A2262,Hospitalisation_Details__2[],7,FALSE)</f>
        <v>R1013</v>
      </c>
    </row>
    <row r="2263" spans="1:16" x14ac:dyDescent="0.35">
      <c r="A2263" t="str">
        <v>Id2262</v>
      </c>
      <c r="B2263" t="str">
        <f>VLOOKUP(A2263,'Customer Names (2)'!A:B, 2,FALSE)</f>
        <v>Mr</v>
      </c>
      <c r="C2263">
        <f>VLOOKUP(A2263,Medical_Examinations[],2,FALSE)</f>
        <v>27.6</v>
      </c>
      <c r="D2263">
        <f>VLOOKUP(A2263,Medical_Examinations[],3,FALSE)</f>
        <v>4.01</v>
      </c>
      <c r="E2263" t="str">
        <f>VLOOKUP(A2263,Medical_Examinations[],4,FALSE)</f>
        <v>No</v>
      </c>
      <c r="F2263" t="str">
        <f>VLOOKUP(A2263,Medical_Examinations[],5,FALSE)</f>
        <v>No</v>
      </c>
      <c r="G2263" t="str">
        <f>VLOOKUP(A2263,Medical_Examinations[],6,FALSE)</f>
        <v>Yes</v>
      </c>
      <c r="H2263">
        <f>VLOOKUP(A2263,Medical_Examinations[],7,FALSE)</f>
        <v>1</v>
      </c>
      <c r="I2263" t="str">
        <f>VLOOKUP(A2263,Medical_Examinations[],8,FALSE)</f>
        <v>No</v>
      </c>
      <c r="J2263" t="str">
        <f>VLOOKUP(A2263,Medical_Examinations[],9,FALSE)</f>
        <v>Overweight</v>
      </c>
      <c r="K2263" t="str">
        <f>VLOOKUP(A2263,Medical_Examinations[],10,FALSE)</f>
        <v>Normal</v>
      </c>
      <c r="M2263">
        <f>VLOOKUP(A2263,Hospitalisation_Details__2[],4,FALSE)</f>
        <v>1252.4100000000001</v>
      </c>
      <c r="N2263" t="str">
        <f>VLOOKUP(A2263,Hospitalisation_Details__2[],5,FALSE)</f>
        <v>tier - 2</v>
      </c>
      <c r="O2263" t="str">
        <f>VLOOKUP(A2263,Hospitalisation_Details__2[],6,FALSE)</f>
        <v>tier - 3</v>
      </c>
      <c r="P2263" t="str">
        <f>VLOOKUP(A2263,Hospitalisation_Details__2[],7,FALSE)</f>
        <v>R1011</v>
      </c>
    </row>
    <row r="2264" spans="1:16" x14ac:dyDescent="0.35">
      <c r="A2264" t="str">
        <v>Id2263</v>
      </c>
      <c r="B2264" t="str">
        <f>VLOOKUP(A2264,'Customer Names (2)'!A:B, 2,FALSE)</f>
        <v>Mr</v>
      </c>
      <c r="C2264">
        <f>VLOOKUP(A2264,Medical_Examinations[],2,FALSE)</f>
        <v>20.7</v>
      </c>
      <c r="D2264">
        <f>VLOOKUP(A2264,Medical_Examinations[],3,FALSE)</f>
        <v>4.49</v>
      </c>
      <c r="E2264" t="str">
        <f>VLOOKUP(A2264,Medical_Examinations[],4,FALSE)</f>
        <v>No</v>
      </c>
      <c r="F2264" t="str">
        <f>VLOOKUP(A2264,Medical_Examinations[],5,FALSE)</f>
        <v>No</v>
      </c>
      <c r="G2264" t="str">
        <f>VLOOKUP(A2264,Medical_Examinations[],6,FALSE)</f>
        <v>Yes</v>
      </c>
      <c r="H2264">
        <f>VLOOKUP(A2264,Medical_Examinations[],7,FALSE)</f>
        <v>1</v>
      </c>
      <c r="I2264" t="str">
        <f>VLOOKUP(A2264,Medical_Examinations[],8,FALSE)</f>
        <v>No</v>
      </c>
      <c r="J2264" t="str">
        <f>VLOOKUP(A2264,Medical_Examinations[],9,FALSE)</f>
        <v>Normal Weight</v>
      </c>
      <c r="K2264" t="str">
        <f>VLOOKUP(A2264,Medical_Examinations[],10,FALSE)</f>
        <v>Normal</v>
      </c>
      <c r="M2264">
        <f>VLOOKUP(A2264,Hospitalisation_Details__2[],4,FALSE)</f>
        <v>1242.82</v>
      </c>
      <c r="N2264" t="str">
        <f>VLOOKUP(A2264,Hospitalisation_Details__2[],5,FALSE)</f>
        <v>tier - 2</v>
      </c>
      <c r="O2264" t="str">
        <f>VLOOKUP(A2264,Hospitalisation_Details__2[],6,FALSE)</f>
        <v>tier - 1</v>
      </c>
      <c r="P2264" t="str">
        <f>VLOOKUP(A2264,Hospitalisation_Details__2[],7,FALSE)</f>
        <v>R1011</v>
      </c>
    </row>
    <row r="2265" spans="1:16" x14ac:dyDescent="0.35">
      <c r="A2265" t="str">
        <v>Id2264</v>
      </c>
      <c r="B2265" t="str">
        <f>VLOOKUP(A2265,'Customer Names (2)'!A:B, 2,FALSE)</f>
        <v>Mr</v>
      </c>
      <c r="C2265">
        <f>VLOOKUP(A2265,Medical_Examinations[],2,FALSE)</f>
        <v>20.3</v>
      </c>
      <c r="D2265">
        <f>VLOOKUP(A2265,Medical_Examinations[],3,FALSE)</f>
        <v>6.37</v>
      </c>
      <c r="E2265" t="str">
        <f>VLOOKUP(A2265,Medical_Examinations[],4,FALSE)</f>
        <v>No</v>
      </c>
      <c r="F2265" t="str">
        <f>VLOOKUP(A2265,Medical_Examinations[],5,FALSE)</f>
        <v>No</v>
      </c>
      <c r="G2265" t="str">
        <f>VLOOKUP(A2265,Medical_Examinations[],6,FALSE)</f>
        <v>Yes</v>
      </c>
      <c r="H2265">
        <f>VLOOKUP(A2265,Medical_Examinations[],7,FALSE)</f>
        <v>1</v>
      </c>
      <c r="I2265" t="str">
        <f>VLOOKUP(A2265,Medical_Examinations[],8,FALSE)</f>
        <v>No</v>
      </c>
      <c r="J2265" t="str">
        <f>VLOOKUP(A2265,Medical_Examinations[],9,FALSE)</f>
        <v>Normal Weight</v>
      </c>
      <c r="K2265" t="str">
        <f>VLOOKUP(A2265,Medical_Examinations[],10,FALSE)</f>
        <v>Prediabetes</v>
      </c>
      <c r="M2265">
        <f>VLOOKUP(A2265,Hospitalisation_Details__2[],4,FALSE)</f>
        <v>1242.26</v>
      </c>
      <c r="N2265" t="str">
        <f>VLOOKUP(A2265,Hospitalisation_Details__2[],5,FALSE)</f>
        <v>tier - 2</v>
      </c>
      <c r="O2265" t="str">
        <f>VLOOKUP(A2265,Hospitalisation_Details__2[],6,FALSE)</f>
        <v>tier - 1</v>
      </c>
      <c r="P2265" t="str">
        <f>VLOOKUP(A2265,Hospitalisation_Details__2[],7,FALSE)</f>
        <v>R1011</v>
      </c>
    </row>
    <row r="2266" spans="1:16" x14ac:dyDescent="0.35">
      <c r="A2266" t="str">
        <v>Id2265</v>
      </c>
      <c r="B2266" t="str">
        <f>VLOOKUP(A2266,'Customer Names (2)'!A:B, 2,FALSE)</f>
        <v>Mr</v>
      </c>
      <c r="C2266">
        <f>VLOOKUP(A2266,Medical_Examinations[],2,FALSE)</f>
        <v>19.8</v>
      </c>
      <c r="D2266">
        <f>VLOOKUP(A2266,Medical_Examinations[],3,FALSE)</f>
        <v>5.12</v>
      </c>
      <c r="E2266" t="str">
        <f>VLOOKUP(A2266,Medical_Examinations[],4,FALSE)</f>
        <v>No</v>
      </c>
      <c r="F2266" t="str">
        <f>VLOOKUP(A2266,Medical_Examinations[],5,FALSE)</f>
        <v>No</v>
      </c>
      <c r="G2266" t="str">
        <f>VLOOKUP(A2266,Medical_Examinations[],6,FALSE)</f>
        <v>Yes</v>
      </c>
      <c r="H2266">
        <f>VLOOKUP(A2266,Medical_Examinations[],7,FALSE)</f>
        <v>1</v>
      </c>
      <c r="I2266" t="str">
        <f>VLOOKUP(A2266,Medical_Examinations[],8,FALSE)</f>
        <v>No</v>
      </c>
      <c r="J2266" t="str">
        <f>VLOOKUP(A2266,Medical_Examinations[],9,FALSE)</f>
        <v>Normal Weight</v>
      </c>
      <c r="K2266" t="str">
        <f>VLOOKUP(A2266,Medical_Examinations[],10,FALSE)</f>
        <v>Normal</v>
      </c>
      <c r="M2266">
        <f>VLOOKUP(A2266,Hospitalisation_Details__2[],4,FALSE)</f>
        <v>1241.57</v>
      </c>
      <c r="N2266" t="str">
        <f>VLOOKUP(A2266,Hospitalisation_Details__2[],5,FALSE)</f>
        <v>tier - 2</v>
      </c>
      <c r="O2266" t="str">
        <f>VLOOKUP(A2266,Hospitalisation_Details__2[],6,FALSE)</f>
        <v>tier - 2</v>
      </c>
      <c r="P2266" t="str">
        <f>VLOOKUP(A2266,Hospitalisation_Details__2[],7,FALSE)</f>
        <v>R1011</v>
      </c>
    </row>
    <row r="2267" spans="1:16" x14ac:dyDescent="0.35">
      <c r="A2267" t="str">
        <v>Id2266</v>
      </c>
      <c r="B2267" t="str">
        <f>VLOOKUP(A2267,'Customer Names (2)'!A:B, 2,FALSE)</f>
        <v>Ms</v>
      </c>
      <c r="C2267">
        <f>VLOOKUP(A2267,Medical_Examinations[],2,FALSE)</f>
        <v>21.87</v>
      </c>
      <c r="D2267">
        <f>VLOOKUP(A2267,Medical_Examinations[],3,FALSE)</f>
        <v>8.59</v>
      </c>
      <c r="E2267" t="str">
        <f>VLOOKUP(A2267,Medical_Examinations[],4,FALSE)</f>
        <v>No</v>
      </c>
      <c r="F2267" t="str">
        <f>VLOOKUP(A2267,Medical_Examinations[],5,FALSE)</f>
        <v>No</v>
      </c>
      <c r="G2267" t="str">
        <f>VLOOKUP(A2267,Medical_Examinations[],6,FALSE)</f>
        <v>No</v>
      </c>
      <c r="H2267">
        <f>VLOOKUP(A2267,Medical_Examinations[],7,FALSE)</f>
        <v>0</v>
      </c>
      <c r="I2267" t="str">
        <f>VLOOKUP(A2267,Medical_Examinations[],8,FALSE)</f>
        <v>No</v>
      </c>
      <c r="J2267" t="str">
        <f>VLOOKUP(A2267,Medical_Examinations[],9,FALSE)</f>
        <v>Normal Weight</v>
      </c>
      <c r="K2267" t="str">
        <f>VLOOKUP(A2267,Medical_Examinations[],10,FALSE)</f>
        <v>Diabetes</v>
      </c>
      <c r="M2267">
        <f>VLOOKUP(A2267,Hospitalisation_Details__2[],4,FALSE)</f>
        <v>1241</v>
      </c>
      <c r="N2267" t="str">
        <f>VLOOKUP(A2267,Hospitalisation_Details__2[],5,FALSE)</f>
        <v>tier - 2</v>
      </c>
      <c r="O2267" t="str">
        <f>VLOOKUP(A2267,Hospitalisation_Details__2[],6,FALSE)</f>
        <v>tier - 2</v>
      </c>
      <c r="P2267" t="str">
        <f>VLOOKUP(A2267,Hospitalisation_Details__2[],7,FALSE)</f>
        <v>R1013</v>
      </c>
    </row>
    <row r="2268" spans="1:16" x14ac:dyDescent="0.35">
      <c r="A2268" t="str">
        <v>Id2267</v>
      </c>
      <c r="B2268" t="str">
        <f>VLOOKUP(A2268,'Customer Names (2)'!A:B, 2,FALSE)</f>
        <v>Ms</v>
      </c>
      <c r="C2268">
        <f>VLOOKUP(A2268,Medical_Examinations[],2,FALSE)</f>
        <v>16.600000000000001</v>
      </c>
      <c r="D2268">
        <f>VLOOKUP(A2268,Medical_Examinations[],3,FALSE)</f>
        <v>5.87</v>
      </c>
      <c r="E2268" t="str">
        <f>VLOOKUP(A2268,Medical_Examinations[],4,FALSE)</f>
        <v>No</v>
      </c>
      <c r="F2268" t="str">
        <f>VLOOKUP(A2268,Medical_Examinations[],5,FALSE)</f>
        <v>No</v>
      </c>
      <c r="G2268" t="str">
        <f>VLOOKUP(A2268,Medical_Examinations[],6,FALSE)</f>
        <v>No</v>
      </c>
      <c r="H2268">
        <f>VLOOKUP(A2268,Medical_Examinations[],7,FALSE)</f>
        <v>1</v>
      </c>
      <c r="I2268" t="str">
        <f>VLOOKUP(A2268,Medical_Examinations[],8,FALSE)</f>
        <v>No</v>
      </c>
      <c r="J2268" t="str">
        <f>VLOOKUP(A2268,Medical_Examinations[],9,FALSE)</f>
        <v>Underweight</v>
      </c>
      <c r="K2268" t="str">
        <f>VLOOKUP(A2268,Medical_Examinations[],10,FALSE)</f>
        <v>Prediabetes</v>
      </c>
      <c r="M2268">
        <f>VLOOKUP(A2268,Hospitalisation_Details__2[],4,FALSE)</f>
        <v>1240</v>
      </c>
      <c r="N2268" t="str">
        <f>VLOOKUP(A2268,Hospitalisation_Details__2[],5,FALSE)</f>
        <v>tier - 2</v>
      </c>
      <c r="O2268" t="str">
        <f>VLOOKUP(A2268,Hospitalisation_Details__2[],6,FALSE)</f>
        <v>tier - 1</v>
      </c>
      <c r="P2268" t="str">
        <f>VLOOKUP(A2268,Hospitalisation_Details__2[],7,FALSE)</f>
        <v>R1012</v>
      </c>
    </row>
    <row r="2269" spans="1:16" x14ac:dyDescent="0.35">
      <c r="A2269" t="str">
        <v>Id2268</v>
      </c>
      <c r="B2269" t="str">
        <f>VLOOKUP(A2269,'Customer Names (2)'!A:B, 2,FALSE)</f>
        <v>Ms</v>
      </c>
      <c r="C2269">
        <f>VLOOKUP(A2269,Medical_Examinations[],2,FALSE)</f>
        <v>21.98</v>
      </c>
      <c r="D2269">
        <f>VLOOKUP(A2269,Medical_Examinations[],3,FALSE)</f>
        <v>7.03</v>
      </c>
      <c r="E2269" t="str">
        <f>VLOOKUP(A2269,Medical_Examinations[],4,FALSE)</f>
        <v>No</v>
      </c>
      <c r="F2269" t="str">
        <f>VLOOKUP(A2269,Medical_Examinations[],5,FALSE)</f>
        <v>No</v>
      </c>
      <c r="G2269" t="str">
        <f>VLOOKUP(A2269,Medical_Examinations[],6,FALSE)</f>
        <v>No</v>
      </c>
      <c r="H2269">
        <f>VLOOKUP(A2269,Medical_Examinations[],7,FALSE)</f>
        <v>0</v>
      </c>
      <c r="I2269" t="str">
        <f>VLOOKUP(A2269,Medical_Examinations[],8,FALSE)</f>
        <v>No</v>
      </c>
      <c r="J2269" t="str">
        <f>VLOOKUP(A2269,Medical_Examinations[],9,FALSE)</f>
        <v>Normal Weight</v>
      </c>
      <c r="K2269" t="str">
        <f>VLOOKUP(A2269,Medical_Examinations[],10,FALSE)</f>
        <v>Diabetes</v>
      </c>
      <c r="M2269">
        <f>VLOOKUP(A2269,Hospitalisation_Details__2[],4,FALSE)</f>
        <v>1237</v>
      </c>
      <c r="N2269" t="str">
        <f>VLOOKUP(A2269,Hospitalisation_Details__2[],5,FALSE)</f>
        <v>tier - 2</v>
      </c>
      <c r="O2269" t="str">
        <f>VLOOKUP(A2269,Hospitalisation_Details__2[],6,FALSE)</f>
        <v>tier - 2</v>
      </c>
      <c r="P2269" t="str">
        <f>VLOOKUP(A2269,Hospitalisation_Details__2[],7,FALSE)</f>
        <v>R1013</v>
      </c>
    </row>
    <row r="2270" spans="1:16" x14ac:dyDescent="0.35">
      <c r="A2270" t="str">
        <v>Id2269</v>
      </c>
      <c r="B2270" t="str">
        <f>VLOOKUP(A2270,'Customer Names (2)'!A:B, 2,FALSE)</f>
        <v>Ms</v>
      </c>
      <c r="C2270">
        <f>VLOOKUP(A2270,Medical_Examinations[],2,FALSE)</f>
        <v>19.7</v>
      </c>
      <c r="D2270">
        <f>VLOOKUP(A2270,Medical_Examinations[],3,FALSE)</f>
        <v>5.51</v>
      </c>
      <c r="E2270" t="str">
        <f>VLOOKUP(A2270,Medical_Examinations[],4,FALSE)</f>
        <v>No</v>
      </c>
      <c r="F2270" t="str">
        <f>VLOOKUP(A2270,Medical_Examinations[],5,FALSE)</f>
        <v>No</v>
      </c>
      <c r="G2270" t="str">
        <f>VLOOKUP(A2270,Medical_Examinations[],6,FALSE)</f>
        <v>No</v>
      </c>
      <c r="H2270">
        <f>VLOOKUP(A2270,Medical_Examinations[],7,FALSE)</f>
        <v>1</v>
      </c>
      <c r="I2270" t="str">
        <f>VLOOKUP(A2270,Medical_Examinations[],8,FALSE)</f>
        <v>No</v>
      </c>
      <c r="J2270" t="str">
        <f>VLOOKUP(A2270,Medical_Examinations[],9,FALSE)</f>
        <v>Normal Weight</v>
      </c>
      <c r="K2270" t="str">
        <f>VLOOKUP(A2270,Medical_Examinations[],10,FALSE)</f>
        <v>Normal</v>
      </c>
      <c r="M2270">
        <f>VLOOKUP(A2270,Hospitalisation_Details__2[],4,FALSE)</f>
        <v>1234</v>
      </c>
      <c r="N2270" t="str">
        <f>VLOOKUP(A2270,Hospitalisation_Details__2[],5,FALSE)</f>
        <v>tier - 2</v>
      </c>
      <c r="O2270" t="str">
        <f>VLOOKUP(A2270,Hospitalisation_Details__2[],6,FALSE)</f>
        <v>tier - 1</v>
      </c>
      <c r="P2270" t="str">
        <f>VLOOKUP(A2270,Hospitalisation_Details__2[],7,FALSE)</f>
        <v>R1013</v>
      </c>
    </row>
    <row r="2271" spans="1:16" x14ac:dyDescent="0.35">
      <c r="A2271" t="str">
        <v>Id2270</v>
      </c>
      <c r="B2271" t="str">
        <f>VLOOKUP(A2271,'Customer Names (2)'!A:B, 2,FALSE)</f>
        <v>Ms</v>
      </c>
      <c r="C2271">
        <f>VLOOKUP(A2271,Medical_Examinations[],2,FALSE)</f>
        <v>19.21</v>
      </c>
      <c r="D2271">
        <f>VLOOKUP(A2271,Medical_Examinations[],3,FALSE)</f>
        <v>4.76</v>
      </c>
      <c r="E2271" t="str">
        <f>VLOOKUP(A2271,Medical_Examinations[],4,FALSE)</f>
        <v>No</v>
      </c>
      <c r="F2271" t="str">
        <f>VLOOKUP(A2271,Medical_Examinations[],5,FALSE)</f>
        <v>yes</v>
      </c>
      <c r="G2271" t="str">
        <f>VLOOKUP(A2271,Medical_Examinations[],6,FALSE)</f>
        <v>No</v>
      </c>
      <c r="H2271">
        <f>VLOOKUP(A2271,Medical_Examinations[],7,FALSE)</f>
        <v>1</v>
      </c>
      <c r="I2271" t="str">
        <f>VLOOKUP(A2271,Medical_Examinations[],8,FALSE)</f>
        <v>No</v>
      </c>
      <c r="J2271" t="str">
        <f>VLOOKUP(A2271,Medical_Examinations[],9,FALSE)</f>
        <v>Normal Weight</v>
      </c>
      <c r="K2271" t="str">
        <f>VLOOKUP(A2271,Medical_Examinations[],10,FALSE)</f>
        <v>Normal</v>
      </c>
      <c r="M2271">
        <f>VLOOKUP(A2271,Hospitalisation_Details__2[],4,FALSE)</f>
        <v>1228</v>
      </c>
      <c r="N2271" t="str">
        <f>VLOOKUP(A2271,Hospitalisation_Details__2[],5,FALSE)</f>
        <v>tier - 2</v>
      </c>
      <c r="O2271" t="str">
        <f>VLOOKUP(A2271,Hospitalisation_Details__2[],6,FALSE)</f>
        <v>tier - 1</v>
      </c>
      <c r="P2271" t="str">
        <f>VLOOKUP(A2271,Hospitalisation_Details__2[],7,FALSE)</f>
        <v>R1012</v>
      </c>
    </row>
    <row r="2272" spans="1:16" x14ac:dyDescent="0.35">
      <c r="A2272" t="str">
        <v>Id2271</v>
      </c>
      <c r="B2272" t="str">
        <f>VLOOKUP(A2272,'Customer Names (2)'!A:B, 2,FALSE)</f>
        <v>Mr</v>
      </c>
      <c r="C2272">
        <f>VLOOKUP(A2272,Medical_Examinations[],2,FALSE)</f>
        <v>19.3</v>
      </c>
      <c r="D2272">
        <f>VLOOKUP(A2272,Medical_Examinations[],3,FALSE)</f>
        <v>4.7</v>
      </c>
      <c r="E2272" t="str">
        <f>VLOOKUP(A2272,Medical_Examinations[],4,FALSE)</f>
        <v>No</v>
      </c>
      <c r="F2272" t="str">
        <f>VLOOKUP(A2272,Medical_Examinations[],5,FALSE)</f>
        <v>yes</v>
      </c>
      <c r="G2272" t="str">
        <f>VLOOKUP(A2272,Medical_Examinations[],6,FALSE)</f>
        <v>No</v>
      </c>
      <c r="H2272">
        <f>VLOOKUP(A2272,Medical_Examinations[],7,FALSE)</f>
        <v>1</v>
      </c>
      <c r="I2272" t="str">
        <f>VLOOKUP(A2272,Medical_Examinations[],8,FALSE)</f>
        <v>No</v>
      </c>
      <c r="J2272" t="str">
        <f>VLOOKUP(A2272,Medical_Examinations[],9,FALSE)</f>
        <v>Normal Weight</v>
      </c>
      <c r="K2272" t="str">
        <f>VLOOKUP(A2272,Medical_Examinations[],10,FALSE)</f>
        <v>Normal</v>
      </c>
      <c r="M2272">
        <f>VLOOKUP(A2272,Hospitalisation_Details__2[],4,FALSE)</f>
        <v>1224</v>
      </c>
      <c r="N2272" t="str">
        <f>VLOOKUP(A2272,Hospitalisation_Details__2[],5,FALSE)</f>
        <v>tier - 2</v>
      </c>
      <c r="O2272" t="str">
        <f>VLOOKUP(A2272,Hospitalisation_Details__2[],6,FALSE)</f>
        <v>tier - 1</v>
      </c>
      <c r="P2272" t="str">
        <f>VLOOKUP(A2272,Hospitalisation_Details__2[],7,FALSE)</f>
        <v>R1013</v>
      </c>
    </row>
    <row r="2273" spans="1:16" x14ac:dyDescent="0.35">
      <c r="A2273" t="str">
        <v>Id2272</v>
      </c>
      <c r="B2273" t="str">
        <f>VLOOKUP(A2273,'Customer Names (2)'!A:B, 2,FALSE)</f>
        <v>Ms</v>
      </c>
      <c r="C2273">
        <f>VLOOKUP(A2273,Medical_Examinations[],2,FALSE)</f>
        <v>16.22</v>
      </c>
      <c r="D2273">
        <f>VLOOKUP(A2273,Medical_Examinations[],3,FALSE)</f>
        <v>6.21</v>
      </c>
      <c r="E2273" t="str">
        <f>VLOOKUP(A2273,Medical_Examinations[],4,FALSE)</f>
        <v>Yes</v>
      </c>
      <c r="F2273" t="str">
        <f>VLOOKUP(A2273,Medical_Examinations[],5,FALSE)</f>
        <v>No</v>
      </c>
      <c r="G2273" t="str">
        <f>VLOOKUP(A2273,Medical_Examinations[],6,FALSE)</f>
        <v>No</v>
      </c>
      <c r="H2273">
        <f>VLOOKUP(A2273,Medical_Examinations[],7,FALSE)</f>
        <v>0</v>
      </c>
      <c r="I2273" t="str">
        <f>VLOOKUP(A2273,Medical_Examinations[],8,FALSE)</f>
        <v>No</v>
      </c>
      <c r="J2273" t="str">
        <f>VLOOKUP(A2273,Medical_Examinations[],9,FALSE)</f>
        <v>Underweight</v>
      </c>
      <c r="K2273" t="str">
        <f>VLOOKUP(A2273,Medical_Examinations[],10,FALSE)</f>
        <v>Prediabetes</v>
      </c>
      <c r="M2273">
        <f>VLOOKUP(A2273,Hospitalisation_Details__2[],4,FALSE)</f>
        <v>1220</v>
      </c>
      <c r="N2273" t="str">
        <f>VLOOKUP(A2273,Hospitalisation_Details__2[],5,FALSE)</f>
        <v>tier - 2</v>
      </c>
      <c r="O2273" t="str">
        <f>VLOOKUP(A2273,Hospitalisation_Details__2[],6,FALSE)</f>
        <v>tier - 3</v>
      </c>
      <c r="P2273" t="str">
        <f>VLOOKUP(A2273,Hospitalisation_Details__2[],7,FALSE)</f>
        <v>R1012</v>
      </c>
    </row>
    <row r="2274" spans="1:16" x14ac:dyDescent="0.35">
      <c r="A2274" t="str">
        <v>Id2273</v>
      </c>
      <c r="B2274" t="str">
        <f>VLOOKUP(A2274,'Customer Names (2)'!A:B, 2,FALSE)</f>
        <v>Mr</v>
      </c>
      <c r="C2274">
        <f>VLOOKUP(A2274,Medical_Examinations[],2,FALSE)</f>
        <v>17.12</v>
      </c>
      <c r="D2274">
        <f>VLOOKUP(A2274,Medical_Examinations[],3,FALSE)</f>
        <v>4.5199999999999996</v>
      </c>
      <c r="E2274" t="str">
        <f>VLOOKUP(A2274,Medical_Examinations[],4,FALSE)</f>
        <v>No</v>
      </c>
      <c r="F2274" t="str">
        <f>VLOOKUP(A2274,Medical_Examinations[],5,FALSE)</f>
        <v>yes</v>
      </c>
      <c r="G2274" t="str">
        <f>VLOOKUP(A2274,Medical_Examinations[],6,FALSE)</f>
        <v>No</v>
      </c>
      <c r="H2274">
        <f>VLOOKUP(A2274,Medical_Examinations[],7,FALSE)</f>
        <v>1</v>
      </c>
      <c r="I2274" t="str">
        <f>VLOOKUP(A2274,Medical_Examinations[],8,FALSE)</f>
        <v>No</v>
      </c>
      <c r="J2274" t="str">
        <f>VLOOKUP(A2274,Medical_Examinations[],9,FALSE)</f>
        <v>Underweight</v>
      </c>
      <c r="K2274" t="str">
        <f>VLOOKUP(A2274,Medical_Examinations[],10,FALSE)</f>
        <v>Normal</v>
      </c>
      <c r="M2274">
        <f>VLOOKUP(A2274,Hospitalisation_Details__2[],4,FALSE)</f>
        <v>1210</v>
      </c>
      <c r="N2274" t="str">
        <f>VLOOKUP(A2274,Hospitalisation_Details__2[],5,FALSE)</f>
        <v>tier - 2</v>
      </c>
      <c r="O2274" t="str">
        <f>VLOOKUP(A2274,Hospitalisation_Details__2[],6,FALSE)</f>
        <v>tier - 1</v>
      </c>
      <c r="P2274" t="str">
        <f>VLOOKUP(A2274,Hospitalisation_Details__2[],7,FALSE)</f>
        <v>R1013</v>
      </c>
    </row>
    <row r="2275" spans="1:16" x14ac:dyDescent="0.35">
      <c r="A2275" t="str">
        <v>Id2274</v>
      </c>
      <c r="B2275" t="str">
        <f>VLOOKUP(A2275,'Customer Names (2)'!A:B, 2,FALSE)</f>
        <v>Ms</v>
      </c>
      <c r="C2275">
        <f>VLOOKUP(A2275,Medical_Examinations[],2,FALSE)</f>
        <v>19.07</v>
      </c>
      <c r="D2275">
        <f>VLOOKUP(A2275,Medical_Examinations[],3,FALSE)</f>
        <v>5.45</v>
      </c>
      <c r="E2275" t="str">
        <f>VLOOKUP(A2275,Medical_Examinations[],4,FALSE)</f>
        <v>No</v>
      </c>
      <c r="F2275" t="str">
        <f>VLOOKUP(A2275,Medical_Examinations[],5,FALSE)</f>
        <v>No</v>
      </c>
      <c r="G2275" t="str">
        <f>VLOOKUP(A2275,Medical_Examinations[],6,FALSE)</f>
        <v>No</v>
      </c>
      <c r="H2275">
        <f>VLOOKUP(A2275,Medical_Examinations[],7,FALSE)</f>
        <v>1</v>
      </c>
      <c r="I2275" t="str">
        <f>VLOOKUP(A2275,Medical_Examinations[],8,FALSE)</f>
        <v>No</v>
      </c>
      <c r="J2275" t="str">
        <f>VLOOKUP(A2275,Medical_Examinations[],9,FALSE)</f>
        <v>Normal Weight</v>
      </c>
      <c r="K2275" t="str">
        <f>VLOOKUP(A2275,Medical_Examinations[],10,FALSE)</f>
        <v>Normal</v>
      </c>
      <c r="M2275">
        <f>VLOOKUP(A2275,Hospitalisation_Details__2[],4,FALSE)</f>
        <v>1200.55</v>
      </c>
      <c r="N2275" t="str">
        <f>VLOOKUP(A2275,Hospitalisation_Details__2[],5,FALSE)</f>
        <v>tier - 2</v>
      </c>
      <c r="O2275" t="str">
        <f>VLOOKUP(A2275,Hospitalisation_Details__2[],6,FALSE)</f>
        <v>tier - 3</v>
      </c>
      <c r="P2275" t="str">
        <f>VLOOKUP(A2275,Hospitalisation_Details__2[],7,FALSE)</f>
        <v>R1013</v>
      </c>
    </row>
    <row r="2276" spans="1:16" x14ac:dyDescent="0.35">
      <c r="A2276" t="str">
        <v>Id2275</v>
      </c>
      <c r="B2276" t="str">
        <f>VLOOKUP(A2276,'Customer Names (2)'!A:B, 2,FALSE)</f>
        <v>Mr</v>
      </c>
      <c r="C2276">
        <f>VLOOKUP(A2276,Medical_Examinations[],2,FALSE)</f>
        <v>15.56</v>
      </c>
      <c r="D2276">
        <f>VLOOKUP(A2276,Medical_Examinations[],3,FALSE)</f>
        <v>4.42</v>
      </c>
      <c r="E2276" t="str">
        <f>VLOOKUP(A2276,Medical_Examinations[],4,FALSE)</f>
        <v>No</v>
      </c>
      <c r="F2276" t="str">
        <f>VLOOKUP(A2276,Medical_Examinations[],5,FALSE)</f>
        <v>No</v>
      </c>
      <c r="G2276" t="str">
        <f>VLOOKUP(A2276,Medical_Examinations[],6,FALSE)</f>
        <v>No</v>
      </c>
      <c r="H2276">
        <f>VLOOKUP(A2276,Medical_Examinations[],7,FALSE)</f>
        <v>0</v>
      </c>
      <c r="I2276" t="str">
        <f>VLOOKUP(A2276,Medical_Examinations[],8,FALSE)</f>
        <v>No</v>
      </c>
      <c r="J2276" t="str">
        <f>VLOOKUP(A2276,Medical_Examinations[],9,FALSE)</f>
        <v>Underweight</v>
      </c>
      <c r="K2276" t="str">
        <f>VLOOKUP(A2276,Medical_Examinations[],10,FALSE)</f>
        <v>Normal</v>
      </c>
      <c r="M2276">
        <f>VLOOKUP(A2276,Hospitalisation_Details__2[],4,FALSE)</f>
        <v>1200</v>
      </c>
      <c r="N2276" t="str">
        <f>VLOOKUP(A2276,Hospitalisation_Details__2[],5,FALSE)</f>
        <v>tier - 2</v>
      </c>
      <c r="O2276" t="str">
        <f>VLOOKUP(A2276,Hospitalisation_Details__2[],6,FALSE)</f>
        <v>tier - 3</v>
      </c>
      <c r="P2276" t="str">
        <f>VLOOKUP(A2276,Hospitalisation_Details__2[],7,FALSE)</f>
        <v>R1012</v>
      </c>
    </row>
    <row r="2277" spans="1:16" x14ac:dyDescent="0.35">
      <c r="A2277" t="str">
        <v>Id2276</v>
      </c>
      <c r="B2277" t="str">
        <f>VLOOKUP(A2277,'Customer Names (2)'!A:B, 2,FALSE)</f>
        <v>Mr</v>
      </c>
      <c r="C2277">
        <f>VLOOKUP(A2277,Medical_Examinations[],2,FALSE)</f>
        <v>22.76</v>
      </c>
      <c r="D2277">
        <f>VLOOKUP(A2277,Medical_Examinations[],3,FALSE)</f>
        <v>9.44</v>
      </c>
      <c r="E2277" t="str">
        <f>VLOOKUP(A2277,Medical_Examinations[],4,FALSE)</f>
        <v>No</v>
      </c>
      <c r="F2277" t="str">
        <f>VLOOKUP(A2277,Medical_Examinations[],5,FALSE)</f>
        <v>No</v>
      </c>
      <c r="G2277" t="str">
        <f>VLOOKUP(A2277,Medical_Examinations[],6,FALSE)</f>
        <v>No</v>
      </c>
      <c r="H2277">
        <f>VLOOKUP(A2277,Medical_Examinations[],7,FALSE)</f>
        <v>0</v>
      </c>
      <c r="I2277" t="str">
        <f>VLOOKUP(A2277,Medical_Examinations[],8,FALSE)</f>
        <v>No</v>
      </c>
      <c r="J2277" t="str">
        <f>VLOOKUP(A2277,Medical_Examinations[],9,FALSE)</f>
        <v>Normal Weight</v>
      </c>
      <c r="K2277" t="str">
        <f>VLOOKUP(A2277,Medical_Examinations[],10,FALSE)</f>
        <v>Diabetes</v>
      </c>
      <c r="M2277">
        <f>VLOOKUP(A2277,Hospitalisation_Details__2[],4,FALSE)</f>
        <v>1191</v>
      </c>
      <c r="N2277" t="str">
        <f>VLOOKUP(A2277,Hospitalisation_Details__2[],5,FALSE)</f>
        <v>tier - 2</v>
      </c>
      <c r="O2277" t="str">
        <f>VLOOKUP(A2277,Hospitalisation_Details__2[],6,FALSE)</f>
        <v>tier - 1</v>
      </c>
      <c r="P2277" t="str">
        <f>VLOOKUP(A2277,Hospitalisation_Details__2[],7,FALSE)</f>
        <v>R1013</v>
      </c>
    </row>
    <row r="2278" spans="1:16" x14ac:dyDescent="0.35">
      <c r="A2278" t="str">
        <v>Id2277</v>
      </c>
      <c r="B2278" t="str">
        <f>VLOOKUP(A2278,'Customer Names (2)'!A:B, 2,FALSE)</f>
        <v>Ms</v>
      </c>
      <c r="C2278">
        <f>VLOOKUP(A2278,Medical_Examinations[],2,FALSE)</f>
        <v>22.79</v>
      </c>
      <c r="D2278">
        <f>VLOOKUP(A2278,Medical_Examinations[],3,FALSE)</f>
        <v>6.15</v>
      </c>
      <c r="E2278" t="str">
        <f>VLOOKUP(A2278,Medical_Examinations[],4,FALSE)</f>
        <v>Yes</v>
      </c>
      <c r="F2278" t="str">
        <f>VLOOKUP(A2278,Medical_Examinations[],5,FALSE)</f>
        <v>No</v>
      </c>
      <c r="G2278" t="str">
        <f>VLOOKUP(A2278,Medical_Examinations[],6,FALSE)</f>
        <v>Yes</v>
      </c>
      <c r="H2278">
        <f>VLOOKUP(A2278,Medical_Examinations[],7,FALSE)</f>
        <v>1</v>
      </c>
      <c r="I2278" t="str">
        <f>VLOOKUP(A2278,Medical_Examinations[],8,FALSE)</f>
        <v>No</v>
      </c>
      <c r="J2278" t="str">
        <f>VLOOKUP(A2278,Medical_Examinations[],9,FALSE)</f>
        <v>Normal Weight</v>
      </c>
      <c r="K2278" t="str">
        <f>VLOOKUP(A2278,Medical_Examinations[],10,FALSE)</f>
        <v>Prediabetes</v>
      </c>
      <c r="M2278">
        <f>VLOOKUP(A2278,Hospitalisation_Details__2[],4,FALSE)</f>
        <v>1178.07</v>
      </c>
      <c r="N2278" t="str">
        <f>VLOOKUP(A2278,Hospitalisation_Details__2[],5,FALSE)</f>
        <v>tier - 2</v>
      </c>
      <c r="O2278" t="str">
        <f>VLOOKUP(A2278,Hospitalisation_Details__2[],6,FALSE)</f>
        <v>tier - 2</v>
      </c>
      <c r="P2278" t="str">
        <f>VLOOKUP(A2278,Hospitalisation_Details__2[],7,FALSE)</f>
        <v>R1013</v>
      </c>
    </row>
    <row r="2279" spans="1:16" x14ac:dyDescent="0.35">
      <c r="A2279" t="str">
        <v>Id2278</v>
      </c>
      <c r="B2279" t="str">
        <f>VLOOKUP(A2279,'Customer Names (2)'!A:B, 2,FALSE)</f>
        <v>Mr</v>
      </c>
      <c r="C2279">
        <f>VLOOKUP(A2279,Medical_Examinations[],2,FALSE)</f>
        <v>17.41</v>
      </c>
      <c r="D2279">
        <f>VLOOKUP(A2279,Medical_Examinations[],3,FALSE)</f>
        <v>5.13</v>
      </c>
      <c r="E2279" t="str">
        <f>VLOOKUP(A2279,Medical_Examinations[],4,FALSE)</f>
        <v>Yes</v>
      </c>
      <c r="F2279" t="str">
        <f>VLOOKUP(A2279,Medical_Examinations[],5,FALSE)</f>
        <v>No</v>
      </c>
      <c r="G2279" t="str">
        <f>VLOOKUP(A2279,Medical_Examinations[],6,FALSE)</f>
        <v>No</v>
      </c>
      <c r="H2279">
        <f>VLOOKUP(A2279,Medical_Examinations[],7,FALSE)</f>
        <v>0</v>
      </c>
      <c r="I2279" t="str">
        <f>VLOOKUP(A2279,Medical_Examinations[],8,FALSE)</f>
        <v>No</v>
      </c>
      <c r="J2279" t="str">
        <f>VLOOKUP(A2279,Medical_Examinations[],9,FALSE)</f>
        <v>Underweight</v>
      </c>
      <c r="K2279" t="str">
        <f>VLOOKUP(A2279,Medical_Examinations[],10,FALSE)</f>
        <v>Normal</v>
      </c>
      <c r="M2279">
        <f>VLOOKUP(A2279,Hospitalisation_Details__2[],4,FALSE)</f>
        <v>1178</v>
      </c>
      <c r="N2279" t="str">
        <f>VLOOKUP(A2279,Hospitalisation_Details__2[],5,FALSE)</f>
        <v>tier - 2</v>
      </c>
      <c r="O2279" t="str">
        <f>VLOOKUP(A2279,Hospitalisation_Details__2[],6,FALSE)</f>
        <v>tier - 3</v>
      </c>
      <c r="P2279" t="str">
        <f>VLOOKUP(A2279,Hospitalisation_Details__2[],7,FALSE)</f>
        <v>R1013</v>
      </c>
    </row>
    <row r="2280" spans="1:16" x14ac:dyDescent="0.35">
      <c r="A2280" t="str">
        <v>Id2279</v>
      </c>
      <c r="B2280" t="str">
        <f>VLOOKUP(A2280,'Customer Names (2)'!A:B, 2,FALSE)</f>
        <v>Mr</v>
      </c>
      <c r="C2280">
        <f>VLOOKUP(A2280,Medical_Examinations[],2,FALSE)</f>
        <v>19.32</v>
      </c>
      <c r="D2280">
        <f>VLOOKUP(A2280,Medical_Examinations[],3,FALSE)</f>
        <v>4.96</v>
      </c>
      <c r="E2280" t="str">
        <f>VLOOKUP(A2280,Medical_Examinations[],4,FALSE)</f>
        <v>Yes</v>
      </c>
      <c r="F2280" t="str">
        <f>VLOOKUP(A2280,Medical_Examinations[],5,FALSE)</f>
        <v>No</v>
      </c>
      <c r="G2280" t="str">
        <f>VLOOKUP(A2280,Medical_Examinations[],6,FALSE)</f>
        <v>No</v>
      </c>
      <c r="H2280">
        <f>VLOOKUP(A2280,Medical_Examinations[],7,FALSE)</f>
        <v>0</v>
      </c>
      <c r="I2280" t="str">
        <f>VLOOKUP(A2280,Medical_Examinations[],8,FALSE)</f>
        <v>No</v>
      </c>
      <c r="J2280" t="str">
        <f>VLOOKUP(A2280,Medical_Examinations[],9,FALSE)</f>
        <v>Normal Weight</v>
      </c>
      <c r="K2280" t="str">
        <f>VLOOKUP(A2280,Medical_Examinations[],10,FALSE)</f>
        <v>Normal</v>
      </c>
      <c r="M2280">
        <f>VLOOKUP(A2280,Hospitalisation_Details__2[],4,FALSE)</f>
        <v>1167</v>
      </c>
      <c r="N2280" t="str">
        <f>VLOOKUP(A2280,Hospitalisation_Details__2[],5,FALSE)</f>
        <v>tier - 2</v>
      </c>
      <c r="O2280" t="str">
        <f>VLOOKUP(A2280,Hospitalisation_Details__2[],6,FALSE)</f>
        <v>tier - 1</v>
      </c>
      <c r="P2280" t="str">
        <f>VLOOKUP(A2280,Hospitalisation_Details__2[],7,FALSE)</f>
        <v>R1013</v>
      </c>
    </row>
    <row r="2281" spans="1:16" x14ac:dyDescent="0.35">
      <c r="A2281" t="str">
        <v>Id2280</v>
      </c>
      <c r="B2281" t="str">
        <f>VLOOKUP(A2281,'Customer Names (2)'!A:B, 2,FALSE)</f>
        <v>Mr</v>
      </c>
      <c r="C2281">
        <f>VLOOKUP(A2281,Medical_Examinations[],2,FALSE)</f>
        <v>18.25</v>
      </c>
      <c r="D2281">
        <f>VLOOKUP(A2281,Medical_Examinations[],3,FALSE)</f>
        <v>10.95</v>
      </c>
      <c r="E2281" t="str">
        <f>VLOOKUP(A2281,Medical_Examinations[],4,FALSE)</f>
        <v>No</v>
      </c>
      <c r="F2281" t="str">
        <f>VLOOKUP(A2281,Medical_Examinations[],5,FALSE)</f>
        <v>No</v>
      </c>
      <c r="G2281" t="str">
        <f>VLOOKUP(A2281,Medical_Examinations[],6,FALSE)</f>
        <v>No</v>
      </c>
      <c r="H2281">
        <f>VLOOKUP(A2281,Medical_Examinations[],7,FALSE)</f>
        <v>0</v>
      </c>
      <c r="I2281" t="str">
        <f>VLOOKUP(A2281,Medical_Examinations[],8,FALSE)</f>
        <v>No</v>
      </c>
      <c r="J2281" t="str">
        <f>VLOOKUP(A2281,Medical_Examinations[],9,FALSE)</f>
        <v>Underweight</v>
      </c>
      <c r="K2281" t="str">
        <f>VLOOKUP(A2281,Medical_Examinations[],10,FALSE)</f>
        <v>Diabetes</v>
      </c>
      <c r="M2281">
        <f>VLOOKUP(A2281,Hospitalisation_Details__2[],4,FALSE)</f>
        <v>1165</v>
      </c>
      <c r="N2281" t="str">
        <f>VLOOKUP(A2281,Hospitalisation_Details__2[],5,FALSE)</f>
        <v>tier - 2</v>
      </c>
      <c r="O2281" t="str">
        <f>VLOOKUP(A2281,Hospitalisation_Details__2[],6,FALSE)</f>
        <v>tier - 3</v>
      </c>
      <c r="P2281" t="str">
        <f>VLOOKUP(A2281,Hospitalisation_Details__2[],7,FALSE)</f>
        <v>R1012</v>
      </c>
    </row>
    <row r="2282" spans="1:16" x14ac:dyDescent="0.35">
      <c r="A2282" t="str">
        <v>Id2281</v>
      </c>
      <c r="B2282" t="str">
        <f>VLOOKUP(A2282,'Customer Names (2)'!A:B, 2,FALSE)</f>
        <v>Mr</v>
      </c>
      <c r="C2282">
        <f>VLOOKUP(A2282,Medical_Examinations[],2,FALSE)</f>
        <v>53.13</v>
      </c>
      <c r="D2282">
        <f>VLOOKUP(A2282,Medical_Examinations[],3,FALSE)</f>
        <v>4.4400000000000004</v>
      </c>
      <c r="E2282" t="str">
        <f>VLOOKUP(A2282,Medical_Examinations[],4,FALSE)</f>
        <v>No</v>
      </c>
      <c r="F2282" t="str">
        <f>VLOOKUP(A2282,Medical_Examinations[],5,FALSE)</f>
        <v>yes</v>
      </c>
      <c r="G2282" t="str">
        <f>VLOOKUP(A2282,Medical_Examinations[],6,FALSE)</f>
        <v>No</v>
      </c>
      <c r="H2282">
        <f>VLOOKUP(A2282,Medical_Examinations[],7,FALSE)</f>
        <v>1</v>
      </c>
      <c r="I2282" t="str">
        <f>VLOOKUP(A2282,Medical_Examinations[],8,FALSE)</f>
        <v>No</v>
      </c>
      <c r="J2282" t="str">
        <f>VLOOKUP(A2282,Medical_Examinations[],9,FALSE)</f>
        <v>Obesity</v>
      </c>
      <c r="K2282" t="str">
        <f>VLOOKUP(A2282,Medical_Examinations[],10,FALSE)</f>
        <v>Normal</v>
      </c>
      <c r="M2282">
        <f>VLOOKUP(A2282,Hospitalisation_Details__2[],4,FALSE)</f>
        <v>1163.46</v>
      </c>
      <c r="N2282" t="str">
        <f>VLOOKUP(A2282,Hospitalisation_Details__2[],5,FALSE)</f>
        <v>tier - 2</v>
      </c>
      <c r="O2282" t="str">
        <f>VLOOKUP(A2282,Hospitalisation_Details__2[],6,FALSE)</f>
        <v>tier - 3</v>
      </c>
      <c r="P2282" t="str">
        <f>VLOOKUP(A2282,Hospitalisation_Details__2[],7,FALSE)</f>
        <v>R1013</v>
      </c>
    </row>
    <row r="2283" spans="1:16" x14ac:dyDescent="0.35">
      <c r="A2283" t="str">
        <v>Id2282</v>
      </c>
      <c r="B2283" t="str">
        <f>VLOOKUP(A2283,'Customer Names (2)'!A:B, 2,FALSE)</f>
        <v>Ms</v>
      </c>
      <c r="C2283">
        <f>VLOOKUP(A2283,Medical_Examinations[],2,FALSE)</f>
        <v>20.46</v>
      </c>
      <c r="D2283">
        <f>VLOOKUP(A2283,Medical_Examinations[],3,FALSE)</f>
        <v>4.0199999999999996</v>
      </c>
      <c r="E2283" t="str">
        <f>VLOOKUP(A2283,Medical_Examinations[],4,FALSE)</f>
        <v>No</v>
      </c>
      <c r="F2283" t="str">
        <f>VLOOKUP(A2283,Medical_Examinations[],5,FALSE)</f>
        <v>No</v>
      </c>
      <c r="G2283" t="str">
        <f>VLOOKUP(A2283,Medical_Examinations[],6,FALSE)</f>
        <v>No</v>
      </c>
      <c r="H2283">
        <f>VLOOKUP(A2283,Medical_Examinations[],7,FALSE)</f>
        <v>0</v>
      </c>
      <c r="I2283" t="str">
        <f>VLOOKUP(A2283,Medical_Examinations[],8,FALSE)</f>
        <v>No</v>
      </c>
      <c r="J2283" t="str">
        <f>VLOOKUP(A2283,Medical_Examinations[],9,FALSE)</f>
        <v>Normal Weight</v>
      </c>
      <c r="K2283" t="str">
        <f>VLOOKUP(A2283,Medical_Examinations[],10,FALSE)</f>
        <v>Normal</v>
      </c>
      <c r="M2283">
        <f>VLOOKUP(A2283,Hospitalisation_Details__2[],4,FALSE)</f>
        <v>1158.32</v>
      </c>
      <c r="N2283" t="str">
        <f>VLOOKUP(A2283,Hospitalisation_Details__2[],5,FALSE)</f>
        <v>tier - 2</v>
      </c>
      <c r="O2283" t="str">
        <f>VLOOKUP(A2283,Hospitalisation_Details__2[],6,FALSE)</f>
        <v>tier - 1</v>
      </c>
      <c r="P2283" t="str">
        <f>VLOOKUP(A2283,Hospitalisation_Details__2[],7,FALSE)</f>
        <v>R1013</v>
      </c>
    </row>
    <row r="2284" spans="1:16" x14ac:dyDescent="0.35">
      <c r="A2284" t="str">
        <v>Id2283</v>
      </c>
      <c r="B2284" t="str">
        <f>VLOOKUP(A2284,'Customer Names (2)'!A:B, 2,FALSE)</f>
        <v>Mr</v>
      </c>
      <c r="C2284">
        <f>VLOOKUP(A2284,Medical_Examinations[],2,FALSE)</f>
        <v>43.01</v>
      </c>
      <c r="D2284">
        <f>VLOOKUP(A2284,Medical_Examinations[],3,FALSE)</f>
        <v>5.44</v>
      </c>
      <c r="E2284" t="str">
        <f>VLOOKUP(A2284,Medical_Examinations[],4,FALSE)</f>
        <v>No</v>
      </c>
      <c r="F2284" t="str">
        <f>VLOOKUP(A2284,Medical_Examinations[],5,FALSE)</f>
        <v>yes</v>
      </c>
      <c r="G2284" t="str">
        <f>VLOOKUP(A2284,Medical_Examinations[],6,FALSE)</f>
        <v>No</v>
      </c>
      <c r="H2284">
        <f>VLOOKUP(A2284,Medical_Examinations[],7,FALSE)</f>
        <v>1</v>
      </c>
      <c r="I2284" t="str">
        <f>VLOOKUP(A2284,Medical_Examinations[],8,FALSE)</f>
        <v>No</v>
      </c>
      <c r="J2284" t="str">
        <f>VLOOKUP(A2284,Medical_Examinations[],9,FALSE)</f>
        <v>Obesity</v>
      </c>
      <c r="K2284" t="str">
        <f>VLOOKUP(A2284,Medical_Examinations[],10,FALSE)</f>
        <v>Normal</v>
      </c>
      <c r="M2284">
        <f>VLOOKUP(A2284,Hospitalisation_Details__2[],4,FALSE)</f>
        <v>1149.4000000000001</v>
      </c>
      <c r="N2284" t="str">
        <f>VLOOKUP(A2284,Hospitalisation_Details__2[],5,FALSE)</f>
        <v>tier - 2</v>
      </c>
      <c r="O2284" t="str">
        <f>VLOOKUP(A2284,Hospitalisation_Details__2[],6,FALSE)</f>
        <v>tier - 2</v>
      </c>
      <c r="P2284" t="str">
        <f>VLOOKUP(A2284,Hospitalisation_Details__2[],7,FALSE)</f>
        <v>R1013</v>
      </c>
    </row>
    <row r="2285" spans="1:16" x14ac:dyDescent="0.35">
      <c r="A2285" t="str">
        <v>Id2284</v>
      </c>
      <c r="B2285" t="str">
        <f>VLOOKUP(A2285,'Customer Names (2)'!A:B, 2,FALSE)</f>
        <v>Ms</v>
      </c>
      <c r="C2285">
        <f>VLOOKUP(A2285,Medical_Examinations[],2,FALSE)</f>
        <v>15.01</v>
      </c>
      <c r="D2285">
        <f>VLOOKUP(A2285,Medical_Examinations[],3,FALSE)</f>
        <v>4.1500000000000004</v>
      </c>
      <c r="E2285" t="str">
        <f>VLOOKUP(A2285,Medical_Examinations[],4,FALSE)</f>
        <v>No</v>
      </c>
      <c r="F2285" t="str">
        <f>VLOOKUP(A2285,Medical_Examinations[],5,FALSE)</f>
        <v>No</v>
      </c>
      <c r="G2285" t="str">
        <f>VLOOKUP(A2285,Medical_Examinations[],6,FALSE)</f>
        <v>Yes</v>
      </c>
      <c r="H2285">
        <f>VLOOKUP(A2285,Medical_Examinations[],7,FALSE)</f>
        <v>1</v>
      </c>
      <c r="I2285" t="str">
        <f>VLOOKUP(A2285,Medical_Examinations[],8,FALSE)</f>
        <v>No</v>
      </c>
      <c r="J2285" t="str">
        <f>VLOOKUP(A2285,Medical_Examinations[],9,FALSE)</f>
        <v>Underweight</v>
      </c>
      <c r="K2285" t="str">
        <f>VLOOKUP(A2285,Medical_Examinations[],10,FALSE)</f>
        <v>Normal</v>
      </c>
      <c r="M2285">
        <f>VLOOKUP(A2285,Hospitalisation_Details__2[],4,FALSE)</f>
        <v>1149</v>
      </c>
      <c r="N2285" t="str">
        <f>VLOOKUP(A2285,Hospitalisation_Details__2[],5,FALSE)</f>
        <v>tier - 2</v>
      </c>
      <c r="O2285" t="str">
        <f>VLOOKUP(A2285,Hospitalisation_Details__2[],6,FALSE)</f>
        <v>tier - 1</v>
      </c>
      <c r="P2285" t="str">
        <f>VLOOKUP(A2285,Hospitalisation_Details__2[],7,FALSE)</f>
        <v>R1012</v>
      </c>
    </row>
    <row r="2286" spans="1:16" x14ac:dyDescent="0.35">
      <c r="A2286" t="str">
        <v>Id2285</v>
      </c>
      <c r="B2286" t="str">
        <f>VLOOKUP(A2286,'Customer Names (2)'!A:B, 2,FALSE)</f>
        <v>Mr</v>
      </c>
      <c r="C2286">
        <f>VLOOKUP(A2286,Medical_Examinations[],2,FALSE)</f>
        <v>41.14</v>
      </c>
      <c r="D2286">
        <f>VLOOKUP(A2286,Medical_Examinations[],3,FALSE)</f>
        <v>6.02</v>
      </c>
      <c r="E2286" t="str">
        <f>VLOOKUP(A2286,Medical_Examinations[],4,FALSE)</f>
        <v>No</v>
      </c>
      <c r="F2286" t="str">
        <f>VLOOKUP(A2286,Medical_Examinations[],5,FALSE)</f>
        <v>yes</v>
      </c>
      <c r="G2286" t="str">
        <f>VLOOKUP(A2286,Medical_Examinations[],6,FALSE)</f>
        <v>No</v>
      </c>
      <c r="H2286">
        <f>VLOOKUP(A2286,Medical_Examinations[],7,FALSE)</f>
        <v>1</v>
      </c>
      <c r="I2286" t="str">
        <f>VLOOKUP(A2286,Medical_Examinations[],8,FALSE)</f>
        <v>No</v>
      </c>
      <c r="J2286" t="str">
        <f>VLOOKUP(A2286,Medical_Examinations[],9,FALSE)</f>
        <v>Obesity</v>
      </c>
      <c r="K2286" t="str">
        <f>VLOOKUP(A2286,Medical_Examinations[],10,FALSE)</f>
        <v>Prediabetes</v>
      </c>
      <c r="M2286">
        <f>VLOOKUP(A2286,Hospitalisation_Details__2[],4,FALSE)</f>
        <v>1146.8</v>
      </c>
      <c r="N2286" t="str">
        <f>VLOOKUP(A2286,Hospitalisation_Details__2[],5,FALSE)</f>
        <v>tier - 2</v>
      </c>
      <c r="O2286" t="str">
        <f>VLOOKUP(A2286,Hospitalisation_Details__2[],6,FALSE)</f>
        <v>tier - 2</v>
      </c>
      <c r="P2286" t="str">
        <f>VLOOKUP(A2286,Hospitalisation_Details__2[],7,FALSE)</f>
        <v>R1013</v>
      </c>
    </row>
    <row r="2287" spans="1:16" x14ac:dyDescent="0.35">
      <c r="A2287" t="str">
        <v>Id2286</v>
      </c>
      <c r="B2287" t="str">
        <f>VLOOKUP(A2287,'Customer Names (2)'!A:B, 2,FALSE)</f>
        <v>Ms</v>
      </c>
      <c r="C2287">
        <f>VLOOKUP(A2287,Medical_Examinations[],2,FALSE)</f>
        <v>16.55</v>
      </c>
      <c r="D2287">
        <f>VLOOKUP(A2287,Medical_Examinations[],3,FALSE)</f>
        <v>7.73</v>
      </c>
      <c r="E2287" t="str">
        <f>VLOOKUP(A2287,Medical_Examinations[],4,FALSE)</f>
        <v>No</v>
      </c>
      <c r="F2287" t="str">
        <f>VLOOKUP(A2287,Medical_Examinations[],5,FALSE)</f>
        <v>No</v>
      </c>
      <c r="G2287" t="str">
        <f>VLOOKUP(A2287,Medical_Examinations[],6,FALSE)</f>
        <v>No</v>
      </c>
      <c r="H2287">
        <f>VLOOKUP(A2287,Medical_Examinations[],7,FALSE)</f>
        <v>0</v>
      </c>
      <c r="I2287" t="str">
        <f>VLOOKUP(A2287,Medical_Examinations[],8,FALSE)</f>
        <v>No</v>
      </c>
      <c r="J2287" t="str">
        <f>VLOOKUP(A2287,Medical_Examinations[],9,FALSE)</f>
        <v>Underweight</v>
      </c>
      <c r="K2287" t="str">
        <f>VLOOKUP(A2287,Medical_Examinations[],10,FALSE)</f>
        <v>Diabetes</v>
      </c>
      <c r="M2287">
        <f>VLOOKUP(A2287,Hospitalisation_Details__2[],4,FALSE)</f>
        <v>1142</v>
      </c>
      <c r="N2287" t="str">
        <f>VLOOKUP(A2287,Hospitalisation_Details__2[],5,FALSE)</f>
        <v>tier - 3</v>
      </c>
      <c r="O2287" t="str">
        <f>VLOOKUP(A2287,Hospitalisation_Details__2[],6,FALSE)</f>
        <v>tier - 2</v>
      </c>
      <c r="P2287" t="str">
        <f>VLOOKUP(A2287,Hospitalisation_Details__2[],7,FALSE)</f>
        <v>R1011</v>
      </c>
    </row>
    <row r="2288" spans="1:16" x14ac:dyDescent="0.35">
      <c r="A2288" t="str">
        <v>Id2287</v>
      </c>
      <c r="B2288" t="str">
        <f>VLOOKUP(A2288,'Customer Names (2)'!A:B, 2,FALSE)</f>
        <v>Mr</v>
      </c>
      <c r="C2288">
        <f>VLOOKUP(A2288,Medical_Examinations[],2,FALSE)</f>
        <v>37.29</v>
      </c>
      <c r="D2288">
        <f>VLOOKUP(A2288,Medical_Examinations[],3,FALSE)</f>
        <v>5.03</v>
      </c>
      <c r="E2288" t="str">
        <f>VLOOKUP(A2288,Medical_Examinations[],4,FALSE)</f>
        <v>No</v>
      </c>
      <c r="F2288" t="str">
        <f>VLOOKUP(A2288,Medical_Examinations[],5,FALSE)</f>
        <v>yes</v>
      </c>
      <c r="G2288" t="str">
        <f>VLOOKUP(A2288,Medical_Examinations[],6,FALSE)</f>
        <v>No</v>
      </c>
      <c r="H2288">
        <f>VLOOKUP(A2288,Medical_Examinations[],7,FALSE)</f>
        <v>1</v>
      </c>
      <c r="I2288" t="str">
        <f>VLOOKUP(A2288,Medical_Examinations[],8,FALSE)</f>
        <v>No</v>
      </c>
      <c r="J2288" t="str">
        <f>VLOOKUP(A2288,Medical_Examinations[],9,FALSE)</f>
        <v>Obesity</v>
      </c>
      <c r="K2288" t="str">
        <f>VLOOKUP(A2288,Medical_Examinations[],10,FALSE)</f>
        <v>Normal</v>
      </c>
      <c r="M2288">
        <f>VLOOKUP(A2288,Hospitalisation_Details__2[],4,FALSE)</f>
        <v>1141.45</v>
      </c>
      <c r="N2288" t="str">
        <f>VLOOKUP(A2288,Hospitalisation_Details__2[],5,FALSE)</f>
        <v>tier - 3</v>
      </c>
      <c r="O2288" t="str">
        <f>VLOOKUP(A2288,Hospitalisation_Details__2[],6,FALSE)</f>
        <v>tier - 3</v>
      </c>
      <c r="P2288" t="str">
        <f>VLOOKUP(A2288,Hospitalisation_Details__2[],7,FALSE)</f>
        <v>R1013</v>
      </c>
    </row>
    <row r="2289" spans="1:16" x14ac:dyDescent="0.35">
      <c r="A2289" t="str">
        <v>Id2288</v>
      </c>
      <c r="B2289" t="str">
        <f>VLOOKUP(A2289,'Customer Names (2)'!A:B, 2,FALSE)</f>
        <v>Ms</v>
      </c>
      <c r="C2289">
        <f>VLOOKUP(A2289,Medical_Examinations[],2,FALSE)</f>
        <v>16.739999999999998</v>
      </c>
      <c r="D2289">
        <f>VLOOKUP(A2289,Medical_Examinations[],3,FALSE)</f>
        <v>4.08</v>
      </c>
      <c r="E2289" t="str">
        <f>VLOOKUP(A2289,Medical_Examinations[],4,FALSE)</f>
        <v>Yes</v>
      </c>
      <c r="F2289" t="str">
        <f>VLOOKUP(A2289,Medical_Examinations[],5,FALSE)</f>
        <v>No</v>
      </c>
      <c r="G2289" t="str">
        <f>VLOOKUP(A2289,Medical_Examinations[],6,FALSE)</f>
        <v>No</v>
      </c>
      <c r="H2289">
        <f>VLOOKUP(A2289,Medical_Examinations[],7,FALSE)</f>
        <v>0</v>
      </c>
      <c r="I2289" t="str">
        <f>VLOOKUP(A2289,Medical_Examinations[],8,FALSE)</f>
        <v>No</v>
      </c>
      <c r="J2289" t="str">
        <f>VLOOKUP(A2289,Medical_Examinations[],9,FALSE)</f>
        <v>Underweight</v>
      </c>
      <c r="K2289" t="str">
        <f>VLOOKUP(A2289,Medical_Examinations[],10,FALSE)</f>
        <v>Normal</v>
      </c>
      <c r="M2289">
        <f>VLOOKUP(A2289,Hospitalisation_Details__2[],4,FALSE)</f>
        <v>1141</v>
      </c>
      <c r="N2289" t="str">
        <f>VLOOKUP(A2289,Hospitalisation_Details__2[],5,FALSE)</f>
        <v>tier - 3</v>
      </c>
      <c r="O2289" t="str">
        <f>VLOOKUP(A2289,Hospitalisation_Details__2[],6,FALSE)</f>
        <v>tier - 1</v>
      </c>
      <c r="P2289" t="str">
        <f>VLOOKUP(A2289,Hospitalisation_Details__2[],7,FALSE)</f>
        <v>R1013</v>
      </c>
    </row>
    <row r="2290" spans="1:16" x14ac:dyDescent="0.35">
      <c r="A2290" t="str">
        <v>Id2289</v>
      </c>
      <c r="B2290" t="str">
        <f>VLOOKUP(A2290,'Customer Names (2)'!A:B, 2,FALSE)</f>
        <v>Mr</v>
      </c>
      <c r="C2290">
        <f>VLOOKUP(A2290,Medical_Examinations[],2,FALSE)</f>
        <v>34.43</v>
      </c>
      <c r="D2290">
        <f>VLOOKUP(A2290,Medical_Examinations[],3,FALSE)</f>
        <v>4.2699999999999996</v>
      </c>
      <c r="E2290" t="str">
        <f>VLOOKUP(A2290,Medical_Examinations[],4,FALSE)</f>
        <v>No</v>
      </c>
      <c r="F2290" t="str">
        <f>VLOOKUP(A2290,Medical_Examinations[],5,FALSE)</f>
        <v>yes</v>
      </c>
      <c r="G2290" t="str">
        <f>VLOOKUP(A2290,Medical_Examinations[],6,FALSE)</f>
        <v>No</v>
      </c>
      <c r="H2290">
        <f>VLOOKUP(A2290,Medical_Examinations[],7,FALSE)</f>
        <v>1</v>
      </c>
      <c r="I2290" t="str">
        <f>VLOOKUP(A2290,Medical_Examinations[],8,FALSE)</f>
        <v>No</v>
      </c>
      <c r="J2290" t="str">
        <f>VLOOKUP(A2290,Medical_Examinations[],9,FALSE)</f>
        <v>Obesity</v>
      </c>
      <c r="K2290" t="str">
        <f>VLOOKUP(A2290,Medical_Examinations[],10,FALSE)</f>
        <v>Normal</v>
      </c>
      <c r="M2290">
        <f>VLOOKUP(A2290,Hospitalisation_Details__2[],4,FALSE)</f>
        <v>1137.47</v>
      </c>
      <c r="N2290" t="str">
        <f>VLOOKUP(A2290,Hospitalisation_Details__2[],5,FALSE)</f>
        <v>tier - 3</v>
      </c>
      <c r="O2290" t="str">
        <f>VLOOKUP(A2290,Hospitalisation_Details__2[],6,FALSE)</f>
        <v>tier - 2</v>
      </c>
      <c r="P2290" t="str">
        <f>VLOOKUP(A2290,Hospitalisation_Details__2[],7,FALSE)</f>
        <v>R1013</v>
      </c>
    </row>
    <row r="2291" spans="1:16" x14ac:dyDescent="0.35">
      <c r="A2291" t="str">
        <v>Id2290</v>
      </c>
      <c r="B2291" t="str">
        <f>VLOOKUP(A2291,'Customer Names (2)'!A:B, 2,FALSE)</f>
        <v>Mr</v>
      </c>
      <c r="C2291">
        <f>VLOOKUP(A2291,Medical_Examinations[],2,FALSE)</f>
        <v>34.1</v>
      </c>
      <c r="D2291">
        <f>VLOOKUP(A2291,Medical_Examinations[],3,FALSE)</f>
        <v>4.07</v>
      </c>
      <c r="E2291" t="str">
        <f>VLOOKUP(A2291,Medical_Examinations[],4,FALSE)</f>
        <v>No</v>
      </c>
      <c r="F2291" t="str">
        <f>VLOOKUP(A2291,Medical_Examinations[],5,FALSE)</f>
        <v>yes</v>
      </c>
      <c r="G2291" t="str">
        <f>VLOOKUP(A2291,Medical_Examinations[],6,FALSE)</f>
        <v>No</v>
      </c>
      <c r="H2291">
        <f>VLOOKUP(A2291,Medical_Examinations[],7,FALSE)</f>
        <v>1</v>
      </c>
      <c r="I2291" t="str">
        <f>VLOOKUP(A2291,Medical_Examinations[],8,FALSE)</f>
        <v>No</v>
      </c>
      <c r="J2291" t="str">
        <f>VLOOKUP(A2291,Medical_Examinations[],9,FALSE)</f>
        <v>Obesity</v>
      </c>
      <c r="K2291" t="str">
        <f>VLOOKUP(A2291,Medical_Examinations[],10,FALSE)</f>
        <v>Normal</v>
      </c>
      <c r="M2291">
        <f>VLOOKUP(A2291,Hospitalisation_Details__2[],4,FALSE)</f>
        <v>1137.01</v>
      </c>
      <c r="N2291" t="str">
        <f>VLOOKUP(A2291,Hospitalisation_Details__2[],5,FALSE)</f>
        <v>tier - 3</v>
      </c>
      <c r="O2291" t="str">
        <f>VLOOKUP(A2291,Hospitalisation_Details__2[],6,FALSE)</f>
        <v>tier - 1</v>
      </c>
      <c r="P2291" t="str">
        <f>VLOOKUP(A2291,Hospitalisation_Details__2[],7,FALSE)</f>
        <v>R1013</v>
      </c>
    </row>
    <row r="2292" spans="1:16" x14ac:dyDescent="0.35">
      <c r="A2292" t="str">
        <v>Id2291</v>
      </c>
      <c r="B2292" t="str">
        <f>VLOOKUP(A2292,'Customer Names (2)'!A:B, 2,FALSE)</f>
        <v>Ms</v>
      </c>
      <c r="C2292">
        <f>VLOOKUP(A2292,Medical_Examinations[],2,FALSE)</f>
        <v>19.3</v>
      </c>
      <c r="D2292">
        <f>VLOOKUP(A2292,Medical_Examinations[],3,FALSE)</f>
        <v>10.36</v>
      </c>
      <c r="E2292" t="str">
        <f>VLOOKUP(A2292,Medical_Examinations[],4,FALSE)</f>
        <v>No</v>
      </c>
      <c r="F2292" t="str">
        <f>VLOOKUP(A2292,Medical_Examinations[],5,FALSE)</f>
        <v>No</v>
      </c>
      <c r="G2292" t="str">
        <f>VLOOKUP(A2292,Medical_Examinations[],6,FALSE)</f>
        <v>No</v>
      </c>
      <c r="H2292">
        <f>VLOOKUP(A2292,Medical_Examinations[],7,FALSE)</f>
        <v>0</v>
      </c>
      <c r="I2292" t="str">
        <f>VLOOKUP(A2292,Medical_Examinations[],8,FALSE)</f>
        <v>No</v>
      </c>
      <c r="J2292" t="str">
        <f>VLOOKUP(A2292,Medical_Examinations[],9,FALSE)</f>
        <v>Normal Weight</v>
      </c>
      <c r="K2292" t="str">
        <f>VLOOKUP(A2292,Medical_Examinations[],10,FALSE)</f>
        <v>Diabetes</v>
      </c>
      <c r="M2292">
        <f>VLOOKUP(A2292,Hospitalisation_Details__2[],4,FALSE)</f>
        <v>1137</v>
      </c>
      <c r="N2292" t="str">
        <f>VLOOKUP(A2292,Hospitalisation_Details__2[],5,FALSE)</f>
        <v>tier - 3</v>
      </c>
      <c r="O2292" t="str">
        <f>VLOOKUP(A2292,Hospitalisation_Details__2[],6,FALSE)</f>
        <v>tier - 1</v>
      </c>
      <c r="P2292" t="str">
        <f>VLOOKUP(A2292,Hospitalisation_Details__2[],7,FALSE)</f>
        <v>R1013</v>
      </c>
    </row>
    <row r="2293" spans="1:16" x14ac:dyDescent="0.35">
      <c r="A2293" t="str">
        <v>Id2292</v>
      </c>
      <c r="B2293" t="str">
        <f>VLOOKUP(A2293,'Customer Names (2)'!A:B, 2,FALSE)</f>
        <v>Mr</v>
      </c>
      <c r="C2293">
        <f>VLOOKUP(A2293,Medical_Examinations[],2,FALSE)</f>
        <v>33.659999999999997</v>
      </c>
      <c r="D2293">
        <f>VLOOKUP(A2293,Medical_Examinations[],3,FALSE)</f>
        <v>5.71</v>
      </c>
      <c r="E2293" t="str">
        <f>VLOOKUP(A2293,Medical_Examinations[],4,FALSE)</f>
        <v>No</v>
      </c>
      <c r="F2293" t="str">
        <f>VLOOKUP(A2293,Medical_Examinations[],5,FALSE)</f>
        <v>yes</v>
      </c>
      <c r="G2293" t="str">
        <f>VLOOKUP(A2293,Medical_Examinations[],6,FALSE)</f>
        <v>No</v>
      </c>
      <c r="H2293">
        <f>VLOOKUP(A2293,Medical_Examinations[],7,FALSE)</f>
        <v>1</v>
      </c>
      <c r="I2293" t="str">
        <f>VLOOKUP(A2293,Medical_Examinations[],8,FALSE)</f>
        <v>No</v>
      </c>
      <c r="J2293" t="str">
        <f>VLOOKUP(A2293,Medical_Examinations[],9,FALSE)</f>
        <v>Obesity</v>
      </c>
      <c r="K2293" t="str">
        <f>VLOOKUP(A2293,Medical_Examinations[],10,FALSE)</f>
        <v>Prediabetes</v>
      </c>
      <c r="M2293">
        <f>VLOOKUP(A2293,Hospitalisation_Details__2[],4,FALSE)</f>
        <v>1136.4000000000001</v>
      </c>
      <c r="N2293" t="str">
        <f>VLOOKUP(A2293,Hospitalisation_Details__2[],5,FALSE)</f>
        <v>tier - 3</v>
      </c>
      <c r="O2293" t="str">
        <f>VLOOKUP(A2293,Hospitalisation_Details__2[],6,FALSE)</f>
        <v>tier - 3</v>
      </c>
      <c r="P2293" t="str">
        <f>VLOOKUP(A2293,Hospitalisation_Details__2[],7,FALSE)</f>
        <v>R1013</v>
      </c>
    </row>
    <row r="2294" spans="1:16" x14ac:dyDescent="0.35">
      <c r="A2294" t="str">
        <v>Id2293</v>
      </c>
      <c r="B2294" t="str">
        <f>VLOOKUP(A2294,'Customer Names (2)'!A:B, 2,FALSE)</f>
        <v>Mr</v>
      </c>
      <c r="C2294">
        <f>VLOOKUP(A2294,Medical_Examinations[],2,FALSE)</f>
        <v>33.33</v>
      </c>
      <c r="D2294">
        <f>VLOOKUP(A2294,Medical_Examinations[],3,FALSE)</f>
        <v>6.08</v>
      </c>
      <c r="E2294" t="str">
        <f>VLOOKUP(A2294,Medical_Examinations[],4,FALSE)</f>
        <v>No</v>
      </c>
      <c r="F2294" t="str">
        <f>VLOOKUP(A2294,Medical_Examinations[],5,FALSE)</f>
        <v>yes</v>
      </c>
      <c r="G2294" t="str">
        <f>VLOOKUP(A2294,Medical_Examinations[],6,FALSE)</f>
        <v>No</v>
      </c>
      <c r="H2294">
        <f>VLOOKUP(A2294,Medical_Examinations[],7,FALSE)</f>
        <v>1</v>
      </c>
      <c r="I2294" t="str">
        <f>VLOOKUP(A2294,Medical_Examinations[],8,FALSE)</f>
        <v>No</v>
      </c>
      <c r="J2294" t="str">
        <f>VLOOKUP(A2294,Medical_Examinations[],9,FALSE)</f>
        <v>Obesity</v>
      </c>
      <c r="K2294" t="str">
        <f>VLOOKUP(A2294,Medical_Examinations[],10,FALSE)</f>
        <v>Prediabetes</v>
      </c>
      <c r="M2294">
        <f>VLOOKUP(A2294,Hospitalisation_Details__2[],4,FALSE)</f>
        <v>1135.94</v>
      </c>
      <c r="N2294" t="str">
        <f>VLOOKUP(A2294,Hospitalisation_Details__2[],5,FALSE)</f>
        <v>tier - 3</v>
      </c>
      <c r="O2294" t="str">
        <f>VLOOKUP(A2294,Hospitalisation_Details__2[],6,FALSE)</f>
        <v>tier - 3</v>
      </c>
      <c r="P2294" t="str">
        <f>VLOOKUP(A2294,Hospitalisation_Details__2[],7,FALSE)</f>
        <v>R1013</v>
      </c>
    </row>
    <row r="2295" spans="1:16" x14ac:dyDescent="0.35">
      <c r="A2295" t="str">
        <v>Id2294</v>
      </c>
      <c r="B2295" t="str">
        <f>VLOOKUP(A2295,'Customer Names (2)'!A:B, 2,FALSE)</f>
        <v>Ms</v>
      </c>
      <c r="C2295">
        <f>VLOOKUP(A2295,Medical_Examinations[],2,FALSE)</f>
        <v>21.84</v>
      </c>
      <c r="D2295">
        <f>VLOOKUP(A2295,Medical_Examinations[],3,FALSE)</f>
        <v>5.71</v>
      </c>
      <c r="E2295" t="str">
        <f>VLOOKUP(A2295,Medical_Examinations[],4,FALSE)</f>
        <v>No</v>
      </c>
      <c r="F2295" t="str">
        <f>VLOOKUP(A2295,Medical_Examinations[],5,FALSE)</f>
        <v>yes</v>
      </c>
      <c r="G2295" t="str">
        <f>VLOOKUP(A2295,Medical_Examinations[],6,FALSE)</f>
        <v>No</v>
      </c>
      <c r="H2295">
        <f>VLOOKUP(A2295,Medical_Examinations[],7,FALSE)</f>
        <v>1</v>
      </c>
      <c r="I2295" t="str">
        <f>VLOOKUP(A2295,Medical_Examinations[],8,FALSE)</f>
        <v>No</v>
      </c>
      <c r="J2295" t="str">
        <f>VLOOKUP(A2295,Medical_Examinations[],9,FALSE)</f>
        <v>Normal Weight</v>
      </c>
      <c r="K2295" t="str">
        <f>VLOOKUP(A2295,Medical_Examinations[],10,FALSE)</f>
        <v>Prediabetes</v>
      </c>
      <c r="M2295">
        <f>VLOOKUP(A2295,Hospitalisation_Details__2[],4,FALSE)</f>
        <v>1135</v>
      </c>
      <c r="N2295" t="str">
        <f>VLOOKUP(A2295,Hospitalisation_Details__2[],5,FALSE)</f>
        <v>tier - 3</v>
      </c>
      <c r="O2295" t="str">
        <f>VLOOKUP(A2295,Hospitalisation_Details__2[],6,FALSE)</f>
        <v>tier - 3</v>
      </c>
      <c r="P2295" t="str">
        <f>VLOOKUP(A2295,Hospitalisation_Details__2[],7,FALSE)</f>
        <v>R1013</v>
      </c>
    </row>
    <row r="2296" spans="1:16" x14ac:dyDescent="0.35">
      <c r="A2296" t="str">
        <v>Id2295</v>
      </c>
      <c r="B2296" t="str">
        <f>VLOOKUP(A2296,'Customer Names (2)'!A:B, 2,FALSE)</f>
        <v>Mr</v>
      </c>
      <c r="C2296">
        <f>VLOOKUP(A2296,Medical_Examinations[],2,FALSE)</f>
        <v>16.87</v>
      </c>
      <c r="D2296">
        <f>VLOOKUP(A2296,Medical_Examinations[],3,FALSE)</f>
        <v>9.1300000000000008</v>
      </c>
      <c r="E2296" t="str">
        <f>VLOOKUP(A2296,Medical_Examinations[],4,FALSE)</f>
        <v>No</v>
      </c>
      <c r="F2296" t="str">
        <f>VLOOKUP(A2296,Medical_Examinations[],5,FALSE)</f>
        <v>No</v>
      </c>
      <c r="G2296" t="str">
        <f>VLOOKUP(A2296,Medical_Examinations[],6,FALSE)</f>
        <v>No</v>
      </c>
      <c r="H2296">
        <f>VLOOKUP(A2296,Medical_Examinations[],7,FALSE)</f>
        <v>0</v>
      </c>
      <c r="I2296" t="str">
        <f>VLOOKUP(A2296,Medical_Examinations[],8,FALSE)</f>
        <v>No</v>
      </c>
      <c r="J2296" t="str">
        <f>VLOOKUP(A2296,Medical_Examinations[],9,FALSE)</f>
        <v>Underweight</v>
      </c>
      <c r="K2296" t="str">
        <f>VLOOKUP(A2296,Medical_Examinations[],10,FALSE)</f>
        <v>Diabetes</v>
      </c>
      <c r="M2296">
        <f>VLOOKUP(A2296,Hospitalisation_Details__2[],4,FALSE)</f>
        <v>1132</v>
      </c>
      <c r="N2296" t="str">
        <f>VLOOKUP(A2296,Hospitalisation_Details__2[],5,FALSE)</f>
        <v>tier - 3</v>
      </c>
      <c r="O2296" t="str">
        <f>VLOOKUP(A2296,Hospitalisation_Details__2[],6,FALSE)</f>
        <v>tier - 1</v>
      </c>
      <c r="P2296" t="str">
        <f>VLOOKUP(A2296,Hospitalisation_Details__2[],7,FALSE)</f>
        <v>R1013</v>
      </c>
    </row>
    <row r="2297" spans="1:16" x14ac:dyDescent="0.35">
      <c r="A2297" t="str">
        <v>Id2296</v>
      </c>
      <c r="B2297" t="str">
        <f>VLOOKUP(A2297,'Customer Names (2)'!A:B, 2,FALSE)</f>
        <v>Mr</v>
      </c>
      <c r="C2297">
        <f>VLOOKUP(A2297,Medical_Examinations[],2,FALSE)</f>
        <v>30.14</v>
      </c>
      <c r="D2297">
        <f>VLOOKUP(A2297,Medical_Examinations[],3,FALSE)</f>
        <v>5.49</v>
      </c>
      <c r="E2297" t="str">
        <f>VLOOKUP(A2297,Medical_Examinations[],4,FALSE)</f>
        <v>No</v>
      </c>
      <c r="F2297" t="str">
        <f>VLOOKUP(A2297,Medical_Examinations[],5,FALSE)</f>
        <v>yes</v>
      </c>
      <c r="G2297" t="str">
        <f>VLOOKUP(A2297,Medical_Examinations[],6,FALSE)</f>
        <v>No</v>
      </c>
      <c r="H2297">
        <f>VLOOKUP(A2297,Medical_Examinations[],7,FALSE)</f>
        <v>1</v>
      </c>
      <c r="I2297" t="str">
        <f>VLOOKUP(A2297,Medical_Examinations[],8,FALSE)</f>
        <v>No</v>
      </c>
      <c r="J2297" t="str">
        <f>VLOOKUP(A2297,Medical_Examinations[],9,FALSE)</f>
        <v>Obesity</v>
      </c>
      <c r="K2297" t="str">
        <f>VLOOKUP(A2297,Medical_Examinations[],10,FALSE)</f>
        <v>Normal</v>
      </c>
      <c r="M2297">
        <f>VLOOKUP(A2297,Hospitalisation_Details__2[],4,FALSE)</f>
        <v>1131.51</v>
      </c>
      <c r="N2297" t="str">
        <f>VLOOKUP(A2297,Hospitalisation_Details__2[],5,FALSE)</f>
        <v>tier - 3</v>
      </c>
      <c r="O2297" t="str">
        <f>VLOOKUP(A2297,Hospitalisation_Details__2[],6,FALSE)</f>
        <v>tier - 1</v>
      </c>
      <c r="P2297" t="str">
        <f>VLOOKUP(A2297,Hospitalisation_Details__2[],7,FALSE)</f>
        <v>R1013</v>
      </c>
    </row>
    <row r="2298" spans="1:16" x14ac:dyDescent="0.35">
      <c r="A2298" t="str">
        <v>Id2297</v>
      </c>
      <c r="B2298" t="str">
        <f>VLOOKUP(A2298,'Customer Names (2)'!A:B, 2,FALSE)</f>
        <v>Mr</v>
      </c>
      <c r="C2298">
        <f>VLOOKUP(A2298,Medical_Examinations[],2,FALSE)</f>
        <v>23.21</v>
      </c>
      <c r="D2298">
        <f>VLOOKUP(A2298,Medical_Examinations[],3,FALSE)</f>
        <v>4.37</v>
      </c>
      <c r="E2298" t="str">
        <f>VLOOKUP(A2298,Medical_Examinations[],4,FALSE)</f>
        <v>No</v>
      </c>
      <c r="F2298" t="str">
        <f>VLOOKUP(A2298,Medical_Examinations[],5,FALSE)</f>
        <v>yes</v>
      </c>
      <c r="G2298" t="str">
        <f>VLOOKUP(A2298,Medical_Examinations[],6,FALSE)</f>
        <v>No</v>
      </c>
      <c r="H2298">
        <f>VLOOKUP(A2298,Medical_Examinations[],7,FALSE)</f>
        <v>1</v>
      </c>
      <c r="I2298" t="str">
        <f>VLOOKUP(A2298,Medical_Examinations[],8,FALSE)</f>
        <v>No</v>
      </c>
      <c r="J2298" t="str">
        <f>VLOOKUP(A2298,Medical_Examinations[],9,FALSE)</f>
        <v>Normal Weight</v>
      </c>
      <c r="K2298" t="str">
        <f>VLOOKUP(A2298,Medical_Examinations[],10,FALSE)</f>
        <v>Normal</v>
      </c>
      <c r="M2298">
        <f>VLOOKUP(A2298,Hospitalisation_Details__2[],4,FALSE)</f>
        <v>1121.8699999999999</v>
      </c>
      <c r="N2298" t="str">
        <f>VLOOKUP(A2298,Hospitalisation_Details__2[],5,FALSE)</f>
        <v>tier - 3</v>
      </c>
      <c r="O2298" t="str">
        <f>VLOOKUP(A2298,Hospitalisation_Details__2[],6,FALSE)</f>
        <v>tier - 1</v>
      </c>
      <c r="P2298" t="str">
        <f>VLOOKUP(A2298,Hospitalisation_Details__2[],7,FALSE)</f>
        <v>R1013</v>
      </c>
    </row>
    <row r="2299" spans="1:16" x14ac:dyDescent="0.35">
      <c r="A2299" t="str">
        <v>Id2298</v>
      </c>
      <c r="B2299" t="str">
        <f>VLOOKUP(A2299,'Customer Names (2)'!A:B, 2,FALSE)</f>
        <v>Ms</v>
      </c>
      <c r="C2299">
        <f>VLOOKUP(A2299,Medical_Examinations[],2,FALSE)</f>
        <v>17.170000000000002</v>
      </c>
      <c r="D2299">
        <f>VLOOKUP(A2299,Medical_Examinations[],3,FALSE)</f>
        <v>8.4600000000000009</v>
      </c>
      <c r="E2299" t="str">
        <f>VLOOKUP(A2299,Medical_Examinations[],4,FALSE)</f>
        <v>No</v>
      </c>
      <c r="F2299" t="str">
        <f>VLOOKUP(A2299,Medical_Examinations[],5,FALSE)</f>
        <v>No</v>
      </c>
      <c r="G2299" t="str">
        <f>VLOOKUP(A2299,Medical_Examinations[],6,FALSE)</f>
        <v>No</v>
      </c>
      <c r="H2299">
        <f>VLOOKUP(A2299,Medical_Examinations[],7,FALSE)</f>
        <v>0</v>
      </c>
      <c r="I2299" t="str">
        <f>VLOOKUP(A2299,Medical_Examinations[],8,FALSE)</f>
        <v>No</v>
      </c>
      <c r="J2299" t="str">
        <f>VLOOKUP(A2299,Medical_Examinations[],9,FALSE)</f>
        <v>Underweight</v>
      </c>
      <c r="K2299" t="str">
        <f>VLOOKUP(A2299,Medical_Examinations[],10,FALSE)</f>
        <v>Diabetes</v>
      </c>
      <c r="M2299">
        <f>VLOOKUP(A2299,Hospitalisation_Details__2[],4,FALSE)</f>
        <v>1086</v>
      </c>
      <c r="N2299" t="str">
        <f>VLOOKUP(A2299,Hospitalisation_Details__2[],5,FALSE)</f>
        <v>tier - 3</v>
      </c>
      <c r="O2299" t="str">
        <f>VLOOKUP(A2299,Hospitalisation_Details__2[],6,FALSE)</f>
        <v>tier - 3</v>
      </c>
      <c r="P2299" t="str">
        <f>VLOOKUP(A2299,Hospitalisation_Details__2[],7,FALSE)</f>
        <v>R1013</v>
      </c>
    </row>
    <row r="2300" spans="1:16" x14ac:dyDescent="0.35">
      <c r="A2300" t="str">
        <v>Id2299</v>
      </c>
      <c r="B2300" t="str">
        <f>VLOOKUP(A2300,'Customer Names (2)'!A:B, 2,FALSE)</f>
        <v>Mr</v>
      </c>
      <c r="C2300">
        <f>VLOOKUP(A2300,Medical_Examinations[],2,FALSE)</f>
        <v>15.61</v>
      </c>
      <c r="D2300">
        <f>VLOOKUP(A2300,Medical_Examinations[],3,FALSE)</f>
        <v>5.28</v>
      </c>
      <c r="E2300" t="str">
        <f>VLOOKUP(A2300,Medical_Examinations[],4,FALSE)</f>
        <v>No</v>
      </c>
      <c r="F2300" t="str">
        <f>VLOOKUP(A2300,Medical_Examinations[],5,FALSE)</f>
        <v>No</v>
      </c>
      <c r="G2300" t="str">
        <f>VLOOKUP(A2300,Medical_Examinations[],6,FALSE)</f>
        <v>No</v>
      </c>
      <c r="H2300">
        <f>VLOOKUP(A2300,Medical_Examinations[],7,FALSE)</f>
        <v>1</v>
      </c>
      <c r="I2300" t="str">
        <f>VLOOKUP(A2300,Medical_Examinations[],8,FALSE)</f>
        <v>No</v>
      </c>
      <c r="J2300" t="str">
        <f>VLOOKUP(A2300,Medical_Examinations[],9,FALSE)</f>
        <v>Underweight</v>
      </c>
      <c r="K2300" t="str">
        <f>VLOOKUP(A2300,Medical_Examinations[],10,FALSE)</f>
        <v>Normal</v>
      </c>
      <c r="M2300">
        <f>VLOOKUP(A2300,Hospitalisation_Details__2[],4,FALSE)</f>
        <v>1082</v>
      </c>
      <c r="N2300" t="str">
        <f>VLOOKUP(A2300,Hospitalisation_Details__2[],5,FALSE)</f>
        <v>tier - 3</v>
      </c>
      <c r="O2300" t="str">
        <f>VLOOKUP(A2300,Hospitalisation_Details__2[],6,FALSE)</f>
        <v>tier - 2</v>
      </c>
      <c r="P2300" t="str">
        <f>VLOOKUP(A2300,Hospitalisation_Details__2[],7,FALSE)</f>
        <v>R1013</v>
      </c>
    </row>
    <row r="2301" spans="1:16" x14ac:dyDescent="0.35">
      <c r="A2301" t="str">
        <v>Id2300</v>
      </c>
      <c r="B2301" t="str">
        <f>VLOOKUP(A2301,'Customer Names (2)'!A:B, 2,FALSE)</f>
        <v>Mr</v>
      </c>
      <c r="C2301">
        <f>VLOOKUP(A2301,Medical_Examinations[],2,FALSE)</f>
        <v>17.98</v>
      </c>
      <c r="D2301">
        <f>VLOOKUP(A2301,Medical_Examinations[],3,FALSE)</f>
        <v>5.33</v>
      </c>
      <c r="E2301" t="str">
        <f>VLOOKUP(A2301,Medical_Examinations[],4,FALSE)</f>
        <v>Yes</v>
      </c>
      <c r="F2301" t="str">
        <f>VLOOKUP(A2301,Medical_Examinations[],5,FALSE)</f>
        <v>No</v>
      </c>
      <c r="G2301" t="str">
        <f>VLOOKUP(A2301,Medical_Examinations[],6,FALSE)</f>
        <v>Yes</v>
      </c>
      <c r="H2301">
        <f>VLOOKUP(A2301,Medical_Examinations[],7,FALSE)</f>
        <v>1</v>
      </c>
      <c r="I2301" t="str">
        <f>VLOOKUP(A2301,Medical_Examinations[],8,FALSE)</f>
        <v>No</v>
      </c>
      <c r="J2301" t="str">
        <f>VLOOKUP(A2301,Medical_Examinations[],9,FALSE)</f>
        <v>Underweight</v>
      </c>
      <c r="K2301" t="str">
        <f>VLOOKUP(A2301,Medical_Examinations[],10,FALSE)</f>
        <v>Normal</v>
      </c>
      <c r="M2301">
        <f>VLOOKUP(A2301,Hospitalisation_Details__2[],4,FALSE)</f>
        <v>1071</v>
      </c>
      <c r="N2301" t="str">
        <f>VLOOKUP(A2301,Hospitalisation_Details__2[],5,FALSE)</f>
        <v>tier - 3</v>
      </c>
      <c r="O2301" t="str">
        <f>VLOOKUP(A2301,Hospitalisation_Details__2[],6,FALSE)</f>
        <v>tier - 3</v>
      </c>
      <c r="P2301" t="str">
        <f>VLOOKUP(A2301,Hospitalisation_Details__2[],7,FALSE)</f>
        <v>R1013</v>
      </c>
    </row>
    <row r="2302" spans="1:16" x14ac:dyDescent="0.35">
      <c r="A2302" t="str">
        <v>Id2301</v>
      </c>
      <c r="B2302" t="str">
        <f>VLOOKUP(A2302,'Customer Names (2)'!A:B, 2,FALSE)</f>
        <v>Mr</v>
      </c>
      <c r="C2302">
        <f>VLOOKUP(A2302,Medical_Examinations[],2,FALSE)</f>
        <v>21.64</v>
      </c>
      <c r="D2302">
        <f>VLOOKUP(A2302,Medical_Examinations[],3,FALSE)</f>
        <v>5.5</v>
      </c>
      <c r="E2302" t="str">
        <f>VLOOKUP(A2302,Medical_Examinations[],4,FALSE)</f>
        <v>No</v>
      </c>
      <c r="F2302" t="str">
        <f>VLOOKUP(A2302,Medical_Examinations[],5,FALSE)</f>
        <v>yes</v>
      </c>
      <c r="G2302" t="str">
        <f>VLOOKUP(A2302,Medical_Examinations[],6,FALSE)</f>
        <v>No</v>
      </c>
      <c r="H2302">
        <f>VLOOKUP(A2302,Medical_Examinations[],7,FALSE)</f>
        <v>1</v>
      </c>
      <c r="I2302" t="str">
        <f>VLOOKUP(A2302,Medical_Examinations[],8,FALSE)</f>
        <v>No</v>
      </c>
      <c r="J2302" t="str">
        <f>VLOOKUP(A2302,Medical_Examinations[],9,FALSE)</f>
        <v>Normal Weight</v>
      </c>
      <c r="K2302" t="str">
        <f>VLOOKUP(A2302,Medical_Examinations[],10,FALSE)</f>
        <v>Normal</v>
      </c>
      <c r="M2302">
        <f>VLOOKUP(A2302,Hospitalisation_Details__2[],4,FALSE)</f>
        <v>1070</v>
      </c>
      <c r="N2302" t="str">
        <f>VLOOKUP(A2302,Hospitalisation_Details__2[],5,FALSE)</f>
        <v>tier - 3</v>
      </c>
      <c r="O2302" t="str">
        <f>VLOOKUP(A2302,Hospitalisation_Details__2[],6,FALSE)</f>
        <v>tier - 3</v>
      </c>
      <c r="P2302" t="str">
        <f>VLOOKUP(A2302,Hospitalisation_Details__2[],7,FALSE)</f>
        <v>R1013</v>
      </c>
    </row>
    <row r="2303" spans="1:16" x14ac:dyDescent="0.35">
      <c r="A2303" t="str">
        <v>Id2302</v>
      </c>
      <c r="B2303" t="str">
        <f>VLOOKUP(A2303,'Customer Names (2)'!A:B, 2,FALSE)</f>
        <v>Mr</v>
      </c>
      <c r="C2303">
        <f>VLOOKUP(A2303,Medical_Examinations[],2,FALSE)</f>
        <v>16.399999999999999</v>
      </c>
      <c r="D2303">
        <f>VLOOKUP(A2303,Medical_Examinations[],3,FALSE)</f>
        <v>5.4</v>
      </c>
      <c r="E2303" t="str">
        <f>VLOOKUP(A2303,Medical_Examinations[],4,FALSE)</f>
        <v>No</v>
      </c>
      <c r="F2303" t="str">
        <f>VLOOKUP(A2303,Medical_Examinations[],5,FALSE)</f>
        <v>No</v>
      </c>
      <c r="G2303" t="str">
        <f>VLOOKUP(A2303,Medical_Examinations[],6,FALSE)</f>
        <v>Yes</v>
      </c>
      <c r="H2303">
        <f>VLOOKUP(A2303,Medical_Examinations[],7,FALSE)</f>
        <v>1</v>
      </c>
      <c r="I2303" t="str">
        <f>VLOOKUP(A2303,Medical_Examinations[],8,FALSE)</f>
        <v>No</v>
      </c>
      <c r="J2303" t="str">
        <f>VLOOKUP(A2303,Medical_Examinations[],9,FALSE)</f>
        <v>Underweight</v>
      </c>
      <c r="K2303" t="str">
        <f>VLOOKUP(A2303,Medical_Examinations[],10,FALSE)</f>
        <v>Normal</v>
      </c>
      <c r="M2303">
        <f>VLOOKUP(A2303,Hospitalisation_Details__2[],4,FALSE)</f>
        <v>1068</v>
      </c>
      <c r="N2303" t="str">
        <f>VLOOKUP(A2303,Hospitalisation_Details__2[],5,FALSE)</f>
        <v>tier - 3</v>
      </c>
      <c r="O2303" t="str">
        <f>VLOOKUP(A2303,Hospitalisation_Details__2[],6,FALSE)</f>
        <v>tier - 1</v>
      </c>
      <c r="P2303" t="str">
        <f>VLOOKUP(A2303,Hospitalisation_Details__2[],7,FALSE)</f>
        <v>R1013</v>
      </c>
    </row>
    <row r="2304" spans="1:16" x14ac:dyDescent="0.35">
      <c r="A2304" t="str">
        <v>Id2303</v>
      </c>
      <c r="B2304" t="str">
        <f>VLOOKUP(A2304,'Customer Names (2)'!A:B, 2,FALSE)</f>
        <v>Ms</v>
      </c>
      <c r="C2304">
        <f>VLOOKUP(A2304,Medical_Examinations[],2,FALSE)</f>
        <v>15.77</v>
      </c>
      <c r="D2304">
        <f>VLOOKUP(A2304,Medical_Examinations[],3,FALSE)</f>
        <v>6.05</v>
      </c>
      <c r="E2304" t="str">
        <f>VLOOKUP(A2304,Medical_Examinations[],4,FALSE)</f>
        <v>Yes</v>
      </c>
      <c r="F2304" t="str">
        <f>VLOOKUP(A2304,Medical_Examinations[],5,FALSE)</f>
        <v>No</v>
      </c>
      <c r="G2304" t="str">
        <f>VLOOKUP(A2304,Medical_Examinations[],6,FALSE)</f>
        <v>No</v>
      </c>
      <c r="H2304">
        <f>VLOOKUP(A2304,Medical_Examinations[],7,FALSE)</f>
        <v>1</v>
      </c>
      <c r="I2304" t="str">
        <f>VLOOKUP(A2304,Medical_Examinations[],8,FALSE)</f>
        <v>No</v>
      </c>
      <c r="J2304" t="str">
        <f>VLOOKUP(A2304,Medical_Examinations[],9,FALSE)</f>
        <v>Underweight</v>
      </c>
      <c r="K2304" t="str">
        <f>VLOOKUP(A2304,Medical_Examinations[],10,FALSE)</f>
        <v>Prediabetes</v>
      </c>
      <c r="M2304">
        <f>VLOOKUP(A2304,Hospitalisation_Details__2[],4,FALSE)</f>
        <v>1056</v>
      </c>
      <c r="N2304" t="str">
        <f>VLOOKUP(A2304,Hospitalisation_Details__2[],5,FALSE)</f>
        <v>tier - 3</v>
      </c>
      <c r="O2304" t="str">
        <f>VLOOKUP(A2304,Hospitalisation_Details__2[],6,FALSE)</f>
        <v>tier - 2</v>
      </c>
      <c r="P2304" t="str">
        <f>VLOOKUP(A2304,Hospitalisation_Details__2[],7,FALSE)</f>
        <v>R1013</v>
      </c>
    </row>
    <row r="2305" spans="1:16" x14ac:dyDescent="0.35">
      <c r="A2305" t="str">
        <v>Id2304</v>
      </c>
      <c r="B2305" t="str">
        <f>VLOOKUP(A2305,'Customer Names (2)'!A:B, 2,FALSE)</f>
        <v>Mr</v>
      </c>
      <c r="C2305">
        <f>VLOOKUP(A2305,Medical_Examinations[],2,FALSE)</f>
        <v>18.27</v>
      </c>
      <c r="D2305">
        <f>VLOOKUP(A2305,Medical_Examinations[],3,FALSE)</f>
        <v>11.46</v>
      </c>
      <c r="E2305" t="str">
        <f>VLOOKUP(A2305,Medical_Examinations[],4,FALSE)</f>
        <v>No</v>
      </c>
      <c r="F2305" t="str">
        <f>VLOOKUP(A2305,Medical_Examinations[],5,FALSE)</f>
        <v>No</v>
      </c>
      <c r="G2305" t="str">
        <f>VLOOKUP(A2305,Medical_Examinations[],6,FALSE)</f>
        <v>No</v>
      </c>
      <c r="H2305">
        <f>VLOOKUP(A2305,Medical_Examinations[],7,FALSE)</f>
        <v>0</v>
      </c>
      <c r="I2305" t="str">
        <f>VLOOKUP(A2305,Medical_Examinations[],8,FALSE)</f>
        <v>No</v>
      </c>
      <c r="J2305" t="str">
        <f>VLOOKUP(A2305,Medical_Examinations[],9,FALSE)</f>
        <v>Underweight</v>
      </c>
      <c r="K2305" t="str">
        <f>VLOOKUP(A2305,Medical_Examinations[],10,FALSE)</f>
        <v>Diabetes</v>
      </c>
      <c r="M2305">
        <f>VLOOKUP(A2305,Hospitalisation_Details__2[],4,FALSE)</f>
        <v>1049</v>
      </c>
      <c r="N2305" t="str">
        <f>VLOOKUP(A2305,Hospitalisation_Details__2[],5,FALSE)</f>
        <v>tier - 3</v>
      </c>
      <c r="O2305" t="str">
        <f>VLOOKUP(A2305,Hospitalisation_Details__2[],6,FALSE)</f>
        <v>tier - 2</v>
      </c>
      <c r="P2305" t="str">
        <f>VLOOKUP(A2305,Hospitalisation_Details__2[],7,FALSE)</f>
        <v>R1012</v>
      </c>
    </row>
    <row r="2306" spans="1:16" x14ac:dyDescent="0.35">
      <c r="A2306" t="str">
        <v>Id2305</v>
      </c>
      <c r="B2306" t="str">
        <f>VLOOKUP(A2306,'Customer Names (2)'!A:B, 2,FALSE)</f>
        <v>Mr</v>
      </c>
      <c r="C2306">
        <f>VLOOKUP(A2306,Medical_Examinations[],2,FALSE)</f>
        <v>16.489999999999998</v>
      </c>
      <c r="D2306">
        <f>VLOOKUP(A2306,Medical_Examinations[],3,FALSE)</f>
        <v>8.48</v>
      </c>
      <c r="E2306" t="str">
        <f>VLOOKUP(A2306,Medical_Examinations[],4,FALSE)</f>
        <v>No</v>
      </c>
      <c r="F2306" t="str">
        <f>VLOOKUP(A2306,Medical_Examinations[],5,FALSE)</f>
        <v>No</v>
      </c>
      <c r="G2306" t="str">
        <f>VLOOKUP(A2306,Medical_Examinations[],6,FALSE)</f>
        <v>No</v>
      </c>
      <c r="H2306">
        <f>VLOOKUP(A2306,Medical_Examinations[],7,FALSE)</f>
        <v>0</v>
      </c>
      <c r="I2306" t="str">
        <f>VLOOKUP(A2306,Medical_Examinations[],8,FALSE)</f>
        <v>No</v>
      </c>
      <c r="J2306" t="str">
        <f>VLOOKUP(A2306,Medical_Examinations[],9,FALSE)</f>
        <v>Underweight</v>
      </c>
      <c r="K2306" t="str">
        <f>VLOOKUP(A2306,Medical_Examinations[],10,FALSE)</f>
        <v>Diabetes</v>
      </c>
      <c r="M2306">
        <f>VLOOKUP(A2306,Hospitalisation_Details__2[],4,FALSE)</f>
        <v>1047</v>
      </c>
      <c r="N2306" t="str">
        <f>VLOOKUP(A2306,Hospitalisation_Details__2[],5,FALSE)</f>
        <v>tier - 3</v>
      </c>
      <c r="O2306" t="str">
        <f>VLOOKUP(A2306,Hospitalisation_Details__2[],6,FALSE)</f>
        <v>tier - 1</v>
      </c>
      <c r="P2306" t="str">
        <f>VLOOKUP(A2306,Hospitalisation_Details__2[],7,FALSE)</f>
        <v>R1013</v>
      </c>
    </row>
    <row r="2307" spans="1:16" x14ac:dyDescent="0.35">
      <c r="A2307" t="str">
        <v>Id2306</v>
      </c>
      <c r="B2307" t="str">
        <f>VLOOKUP(A2307,'Customer Names (2)'!A:B, 2,FALSE)</f>
        <v>Mr</v>
      </c>
      <c r="C2307">
        <f>VLOOKUP(A2307,Medical_Examinations[],2,FALSE)</f>
        <v>16.14</v>
      </c>
      <c r="D2307">
        <f>VLOOKUP(A2307,Medical_Examinations[],3,FALSE)</f>
        <v>4.8600000000000003</v>
      </c>
      <c r="E2307" t="str">
        <f>VLOOKUP(A2307,Medical_Examinations[],4,FALSE)</f>
        <v>No</v>
      </c>
      <c r="F2307" t="str">
        <f>VLOOKUP(A2307,Medical_Examinations[],5,FALSE)</f>
        <v>No</v>
      </c>
      <c r="G2307" t="str">
        <f>VLOOKUP(A2307,Medical_Examinations[],6,FALSE)</f>
        <v>No</v>
      </c>
      <c r="H2307">
        <f>VLOOKUP(A2307,Medical_Examinations[],7,FALSE)</f>
        <v>0</v>
      </c>
      <c r="I2307" t="str">
        <f>VLOOKUP(A2307,Medical_Examinations[],8,FALSE)</f>
        <v>No</v>
      </c>
      <c r="J2307" t="str">
        <f>VLOOKUP(A2307,Medical_Examinations[],9,FALSE)</f>
        <v>Underweight</v>
      </c>
      <c r="K2307" t="str">
        <f>VLOOKUP(A2307,Medical_Examinations[],10,FALSE)</f>
        <v>Normal</v>
      </c>
      <c r="M2307">
        <f>VLOOKUP(A2307,Hospitalisation_Details__2[],4,FALSE)</f>
        <v>1044</v>
      </c>
      <c r="N2307" t="str">
        <f>VLOOKUP(A2307,Hospitalisation_Details__2[],5,FALSE)</f>
        <v>tier - 3</v>
      </c>
      <c r="O2307" t="str">
        <f>VLOOKUP(A2307,Hospitalisation_Details__2[],6,FALSE)</f>
        <v>tier - 2</v>
      </c>
      <c r="P2307" t="str">
        <f>VLOOKUP(A2307,Hospitalisation_Details__2[],7,FALSE)</f>
        <v>R1013</v>
      </c>
    </row>
    <row r="2308" spans="1:16" x14ac:dyDescent="0.35">
      <c r="A2308" t="str">
        <v>Id2307</v>
      </c>
      <c r="B2308" t="str">
        <f>VLOOKUP(A2308,'Customer Names (2)'!A:B, 2,FALSE)</f>
        <v>Ms</v>
      </c>
      <c r="C2308">
        <f>VLOOKUP(A2308,Medical_Examinations[],2,FALSE)</f>
        <v>20.85</v>
      </c>
      <c r="D2308">
        <f>VLOOKUP(A2308,Medical_Examinations[],3,FALSE)</f>
        <v>4.45</v>
      </c>
      <c r="E2308" t="str">
        <f>VLOOKUP(A2308,Medical_Examinations[],4,FALSE)</f>
        <v>Yes</v>
      </c>
      <c r="F2308" t="str">
        <f>VLOOKUP(A2308,Medical_Examinations[],5,FALSE)</f>
        <v>No</v>
      </c>
      <c r="G2308" t="str">
        <f>VLOOKUP(A2308,Medical_Examinations[],6,FALSE)</f>
        <v>No</v>
      </c>
      <c r="H2308">
        <f>VLOOKUP(A2308,Medical_Examinations[],7,FALSE)</f>
        <v>1</v>
      </c>
      <c r="I2308" t="str">
        <f>VLOOKUP(A2308,Medical_Examinations[],8,FALSE)</f>
        <v>No</v>
      </c>
      <c r="J2308" t="str">
        <f>VLOOKUP(A2308,Medical_Examinations[],9,FALSE)</f>
        <v>Normal Weight</v>
      </c>
      <c r="K2308" t="str">
        <f>VLOOKUP(A2308,Medical_Examinations[],10,FALSE)</f>
        <v>Normal</v>
      </c>
      <c r="M2308">
        <f>VLOOKUP(A2308,Hospitalisation_Details__2[],4,FALSE)</f>
        <v>1033.74</v>
      </c>
      <c r="N2308" t="str">
        <f>VLOOKUP(A2308,Hospitalisation_Details__2[],5,FALSE)</f>
        <v>tier - 3</v>
      </c>
      <c r="O2308" t="str">
        <f>VLOOKUP(A2308,Hospitalisation_Details__2[],6,FALSE)</f>
        <v>tier - 1</v>
      </c>
      <c r="P2308" t="str">
        <f>VLOOKUP(A2308,Hospitalisation_Details__2[],7,FALSE)</f>
        <v>R1013</v>
      </c>
    </row>
    <row r="2309" spans="1:16" x14ac:dyDescent="0.35">
      <c r="A2309" t="str">
        <v>Id2308</v>
      </c>
      <c r="B2309" t="str">
        <f>VLOOKUP(A2309,'Customer Names (2)'!A:B, 2,FALSE)</f>
        <v>Ms</v>
      </c>
      <c r="C2309">
        <f>VLOOKUP(A2309,Medical_Examinations[],2,FALSE)</f>
        <v>15.88</v>
      </c>
      <c r="D2309">
        <f>VLOOKUP(A2309,Medical_Examinations[],3,FALSE)</f>
        <v>4.3600000000000003</v>
      </c>
      <c r="E2309" t="str">
        <f>VLOOKUP(A2309,Medical_Examinations[],4,FALSE)</f>
        <v>No</v>
      </c>
      <c r="F2309" t="str">
        <f>VLOOKUP(A2309,Medical_Examinations[],5,FALSE)</f>
        <v>No</v>
      </c>
      <c r="G2309" t="str">
        <f>VLOOKUP(A2309,Medical_Examinations[],6,FALSE)</f>
        <v>No</v>
      </c>
      <c r="H2309">
        <f>VLOOKUP(A2309,Medical_Examinations[],7,FALSE)</f>
        <v>0</v>
      </c>
      <c r="I2309" t="str">
        <f>VLOOKUP(A2309,Medical_Examinations[],8,FALSE)</f>
        <v>No</v>
      </c>
      <c r="J2309" t="str">
        <f>VLOOKUP(A2309,Medical_Examinations[],9,FALSE)</f>
        <v>Underweight</v>
      </c>
      <c r="K2309" t="str">
        <f>VLOOKUP(A2309,Medical_Examinations[],10,FALSE)</f>
        <v>Normal</v>
      </c>
      <c r="M2309">
        <f>VLOOKUP(A2309,Hospitalisation_Details__2[],4,FALSE)</f>
        <v>1019</v>
      </c>
      <c r="N2309" t="str">
        <f>VLOOKUP(A2309,Hospitalisation_Details__2[],5,FALSE)</f>
        <v>tier - 3</v>
      </c>
      <c r="O2309" t="str">
        <f>VLOOKUP(A2309,Hospitalisation_Details__2[],6,FALSE)</f>
        <v>tier - 2</v>
      </c>
      <c r="P2309" t="str">
        <f>VLOOKUP(A2309,Hospitalisation_Details__2[],7,FALSE)</f>
        <v>R1013</v>
      </c>
    </row>
    <row r="2310" spans="1:16" x14ac:dyDescent="0.35">
      <c r="A2310" t="str">
        <v>Id2309</v>
      </c>
      <c r="B2310" t="str">
        <f>VLOOKUP(A2310,'Customer Names (2)'!A:B, 2,FALSE)</f>
        <v>Ms</v>
      </c>
      <c r="C2310">
        <f>VLOOKUP(A2310,Medical_Examinations[],2,FALSE)</f>
        <v>20.66</v>
      </c>
      <c r="D2310">
        <f>VLOOKUP(A2310,Medical_Examinations[],3,FALSE)</f>
        <v>5.8</v>
      </c>
      <c r="E2310" t="str">
        <f>VLOOKUP(A2310,Medical_Examinations[],4,FALSE)</f>
        <v>No</v>
      </c>
      <c r="F2310" t="str">
        <f>VLOOKUP(A2310,Medical_Examinations[],5,FALSE)</f>
        <v>yes</v>
      </c>
      <c r="G2310" t="str">
        <f>VLOOKUP(A2310,Medical_Examinations[],6,FALSE)</f>
        <v>No</v>
      </c>
      <c r="H2310">
        <f>VLOOKUP(A2310,Medical_Examinations[],7,FALSE)</f>
        <v>1</v>
      </c>
      <c r="I2310" t="str">
        <f>VLOOKUP(A2310,Medical_Examinations[],8,FALSE)</f>
        <v>No</v>
      </c>
      <c r="J2310" t="str">
        <f>VLOOKUP(A2310,Medical_Examinations[],9,FALSE)</f>
        <v>Normal Weight</v>
      </c>
      <c r="K2310" t="str">
        <f>VLOOKUP(A2310,Medical_Examinations[],10,FALSE)</f>
        <v>Prediabetes</v>
      </c>
      <c r="M2310">
        <f>VLOOKUP(A2310,Hospitalisation_Details__2[],4,FALSE)</f>
        <v>1012</v>
      </c>
      <c r="N2310" t="str">
        <f>VLOOKUP(A2310,Hospitalisation_Details__2[],5,FALSE)</f>
        <v>tier - 3</v>
      </c>
      <c r="O2310" t="str">
        <f>VLOOKUP(A2310,Hospitalisation_Details__2[],6,FALSE)</f>
        <v>tier - 2</v>
      </c>
      <c r="P2310" t="str">
        <f>VLOOKUP(A2310,Hospitalisation_Details__2[],7,FALSE)</f>
        <v>R1013</v>
      </c>
    </row>
    <row r="2311" spans="1:16" x14ac:dyDescent="0.35">
      <c r="A2311" t="str">
        <v>Id2310</v>
      </c>
      <c r="B2311" t="str">
        <f>VLOOKUP(A2311,'Customer Names (2)'!A:B, 2,FALSE)</f>
        <v>Mr</v>
      </c>
      <c r="C2311">
        <f>VLOOKUP(A2311,Medical_Examinations[],2,FALSE)</f>
        <v>20.399999999999999</v>
      </c>
      <c r="D2311">
        <f>VLOOKUP(A2311,Medical_Examinations[],3,FALSE)</f>
        <v>5.27</v>
      </c>
      <c r="E2311" t="str">
        <f>VLOOKUP(A2311,Medical_Examinations[],4,FALSE)</f>
        <v>No</v>
      </c>
      <c r="F2311" t="str">
        <f>VLOOKUP(A2311,Medical_Examinations[],5,FALSE)</f>
        <v>No</v>
      </c>
      <c r="G2311" t="str">
        <f>VLOOKUP(A2311,Medical_Examinations[],6,FALSE)</f>
        <v>No</v>
      </c>
      <c r="H2311">
        <f>VLOOKUP(A2311,Medical_Examinations[],7,FALSE)</f>
        <v>0</v>
      </c>
      <c r="I2311" t="str">
        <f>VLOOKUP(A2311,Medical_Examinations[],8,FALSE)</f>
        <v>No</v>
      </c>
      <c r="J2311" t="str">
        <f>VLOOKUP(A2311,Medical_Examinations[],9,FALSE)</f>
        <v>Normal Weight</v>
      </c>
      <c r="K2311" t="str">
        <f>VLOOKUP(A2311,Medical_Examinations[],10,FALSE)</f>
        <v>Normal</v>
      </c>
      <c r="M2311">
        <f>VLOOKUP(A2311,Hospitalisation_Details__2[],4,FALSE)</f>
        <v>1006.65</v>
      </c>
      <c r="N2311" t="str">
        <f>VLOOKUP(A2311,Hospitalisation_Details__2[],5,FALSE)</f>
        <v>tier - 3</v>
      </c>
      <c r="O2311" t="str">
        <f>VLOOKUP(A2311,Hospitalisation_Details__2[],6,FALSE)</f>
        <v>tier - 2</v>
      </c>
      <c r="P2311" t="str">
        <f>VLOOKUP(A2311,Hospitalisation_Details__2[],7,FALSE)</f>
        <v>R1013</v>
      </c>
    </row>
    <row r="2312" spans="1:16" x14ac:dyDescent="0.35">
      <c r="A2312" t="str">
        <v>Id2311</v>
      </c>
      <c r="B2312" t="str">
        <f>VLOOKUP(A2312,'Customer Names (2)'!A:B, 2,FALSE)</f>
        <v>Mrs</v>
      </c>
      <c r="C2312">
        <f>VLOOKUP(A2312,Medical_Examinations[],2,FALSE)</f>
        <v>25.19</v>
      </c>
      <c r="D2312">
        <f>VLOOKUP(A2312,Medical_Examinations[],3,FALSE)</f>
        <v>5.64</v>
      </c>
      <c r="E2312" t="str">
        <f>VLOOKUP(A2312,Medical_Examinations[],4,FALSE)</f>
        <v>Yes</v>
      </c>
      <c r="F2312" t="str">
        <f>VLOOKUP(A2312,Medical_Examinations[],5,FALSE)</f>
        <v>No</v>
      </c>
      <c r="G2312" t="str">
        <f>VLOOKUP(A2312,Medical_Examinations[],6,FALSE)</f>
        <v>No</v>
      </c>
      <c r="H2312">
        <f>VLOOKUP(A2312,Medical_Examinations[],7,FALSE)</f>
        <v>0</v>
      </c>
      <c r="I2312" t="str">
        <f>VLOOKUP(A2312,Medical_Examinations[],8,FALSE)</f>
        <v>No</v>
      </c>
      <c r="J2312" t="str">
        <f>VLOOKUP(A2312,Medical_Examinations[],9,FALSE)</f>
        <v>Overweight</v>
      </c>
      <c r="K2312" t="str">
        <f>VLOOKUP(A2312,Medical_Examinations[],10,FALSE)</f>
        <v>Normal</v>
      </c>
      <c r="M2312">
        <f>VLOOKUP(A2312,Hospitalisation_Details__2[],4,FALSE)</f>
        <v>964.71</v>
      </c>
      <c r="N2312" t="str">
        <f>VLOOKUP(A2312,Hospitalisation_Details__2[],5,FALSE)</f>
        <v>tier - 3</v>
      </c>
      <c r="O2312" t="str">
        <f>VLOOKUP(A2312,Hospitalisation_Details__2[],6,FALSE)</f>
        <v>tier - 2</v>
      </c>
      <c r="P2312" t="str">
        <f>VLOOKUP(A2312,Hospitalisation_Details__2[],7,FALSE)</f>
        <v>R1013</v>
      </c>
    </row>
    <row r="2313" spans="1:16" x14ac:dyDescent="0.35">
      <c r="A2313" t="str">
        <v>Id2312</v>
      </c>
      <c r="B2313" t="str">
        <f>VLOOKUP(A2313,'Customer Names (2)'!A:B, 2,FALSE)</f>
        <v>Ms</v>
      </c>
      <c r="C2313">
        <f>VLOOKUP(A2313,Medical_Examinations[],2,FALSE)</f>
        <v>20.54</v>
      </c>
      <c r="D2313">
        <f>VLOOKUP(A2313,Medical_Examinations[],3,FALSE)</f>
        <v>4.2</v>
      </c>
      <c r="E2313" t="str">
        <f>VLOOKUP(A2313,Medical_Examinations[],4,FALSE)</f>
        <v>Yes</v>
      </c>
      <c r="F2313" t="str">
        <f>VLOOKUP(A2313,Medical_Examinations[],5,FALSE)</f>
        <v>No</v>
      </c>
      <c r="G2313" t="str">
        <f>VLOOKUP(A2313,Medical_Examinations[],6,FALSE)</f>
        <v>No</v>
      </c>
      <c r="H2313">
        <f>VLOOKUP(A2313,Medical_Examinations[],7,FALSE)</f>
        <v>1</v>
      </c>
      <c r="I2313" t="str">
        <f>VLOOKUP(A2313,Medical_Examinations[],8,FALSE)</f>
        <v>No</v>
      </c>
      <c r="J2313" t="str">
        <f>VLOOKUP(A2313,Medical_Examinations[],9,FALSE)</f>
        <v>Normal Weight</v>
      </c>
      <c r="K2313" t="str">
        <f>VLOOKUP(A2313,Medical_Examinations[],10,FALSE)</f>
        <v>Normal</v>
      </c>
      <c r="M2313">
        <f>VLOOKUP(A2313,Hospitalisation_Details__2[],4,FALSE)</f>
        <v>928.59</v>
      </c>
      <c r="N2313" t="str">
        <f>VLOOKUP(A2313,Hospitalisation_Details__2[],5,FALSE)</f>
        <v>tier - 3</v>
      </c>
      <c r="O2313" t="str">
        <f>VLOOKUP(A2313,Hospitalisation_Details__2[],6,FALSE)</f>
        <v>tier - 1</v>
      </c>
      <c r="P2313" t="str">
        <f>VLOOKUP(A2313,Hospitalisation_Details__2[],7,FALSE)</f>
        <v>R1013</v>
      </c>
    </row>
    <row r="2314" spans="1:16" x14ac:dyDescent="0.35">
      <c r="A2314" t="str">
        <v>Id2313</v>
      </c>
      <c r="B2314" t="str">
        <f>VLOOKUP(A2314,'Customer Names (2)'!A:B, 2,FALSE)</f>
        <v>Mr</v>
      </c>
      <c r="C2314">
        <f>VLOOKUP(A2314,Medical_Examinations[],2,FALSE)</f>
        <v>20.13</v>
      </c>
      <c r="D2314">
        <f>VLOOKUP(A2314,Medical_Examinations[],3,FALSE)</f>
        <v>5.42</v>
      </c>
      <c r="E2314" t="str">
        <f>VLOOKUP(A2314,Medical_Examinations[],4,FALSE)</f>
        <v>No</v>
      </c>
      <c r="F2314" t="str">
        <f>VLOOKUP(A2314,Medical_Examinations[],5,FALSE)</f>
        <v>No</v>
      </c>
      <c r="G2314" t="str">
        <f>VLOOKUP(A2314,Medical_Examinations[],6,FALSE)</f>
        <v>No</v>
      </c>
      <c r="H2314">
        <f>VLOOKUP(A2314,Medical_Examinations[],7,FALSE)</f>
        <v>0</v>
      </c>
      <c r="I2314" t="str">
        <f>VLOOKUP(A2314,Medical_Examinations[],8,FALSE)</f>
        <v>No</v>
      </c>
      <c r="J2314" t="str">
        <f>VLOOKUP(A2314,Medical_Examinations[],9,FALSE)</f>
        <v>Normal Weight</v>
      </c>
      <c r="K2314" t="str">
        <f>VLOOKUP(A2314,Medical_Examinations[],10,FALSE)</f>
        <v>Normal</v>
      </c>
      <c r="M2314">
        <f>VLOOKUP(A2314,Hospitalisation_Details__2[],4,FALSE)</f>
        <v>915.07</v>
      </c>
      <c r="N2314" t="str">
        <f>VLOOKUP(A2314,Hospitalisation_Details__2[],5,FALSE)</f>
        <v>tier - 3</v>
      </c>
      <c r="O2314" t="str">
        <f>VLOOKUP(A2314,Hospitalisation_Details__2[],6,FALSE)</f>
        <v>tier - 1</v>
      </c>
      <c r="P2314" t="str">
        <f>VLOOKUP(A2314,Hospitalisation_Details__2[],7,FALSE)</f>
        <v>R1013</v>
      </c>
    </row>
    <row r="2315" spans="1:16" x14ac:dyDescent="0.35">
      <c r="A2315" t="str">
        <v>Id2314</v>
      </c>
      <c r="B2315" t="str">
        <f>VLOOKUP(A2315,'Customer Names (2)'!A:B, 2,FALSE)</f>
        <v>Ms</v>
      </c>
      <c r="C2315">
        <f>VLOOKUP(A2315,Medical_Examinations[],2,FALSE)</f>
        <v>18.93</v>
      </c>
      <c r="D2315">
        <f>VLOOKUP(A2315,Medical_Examinations[],3,FALSE)</f>
        <v>6.11</v>
      </c>
      <c r="E2315" t="str">
        <f>VLOOKUP(A2315,Medical_Examinations[],4,FALSE)</f>
        <v>No</v>
      </c>
      <c r="F2315" t="str">
        <f>VLOOKUP(A2315,Medical_Examinations[],5,FALSE)</f>
        <v>No</v>
      </c>
      <c r="G2315" t="str">
        <f>VLOOKUP(A2315,Medical_Examinations[],6,FALSE)</f>
        <v>Yes</v>
      </c>
      <c r="H2315">
        <f>VLOOKUP(A2315,Medical_Examinations[],7,FALSE)</f>
        <v>1</v>
      </c>
      <c r="I2315" t="str">
        <f>VLOOKUP(A2315,Medical_Examinations[],8,FALSE)</f>
        <v>No</v>
      </c>
      <c r="J2315" t="str">
        <f>VLOOKUP(A2315,Medical_Examinations[],9,FALSE)</f>
        <v>Normal Weight</v>
      </c>
      <c r="K2315" t="str">
        <f>VLOOKUP(A2315,Medical_Examinations[],10,FALSE)</f>
        <v>Prediabetes</v>
      </c>
      <c r="M2315">
        <f>VLOOKUP(A2315,Hospitalisation_Details__2[],4,FALSE)</f>
        <v>896.21</v>
      </c>
      <c r="N2315" t="str">
        <f>VLOOKUP(A2315,Hospitalisation_Details__2[],5,FALSE)</f>
        <v>tier - 3</v>
      </c>
      <c r="O2315" t="str">
        <f>VLOOKUP(A2315,Hospitalisation_Details__2[],6,FALSE)</f>
        <v>tier - 1</v>
      </c>
      <c r="P2315" t="str">
        <f>VLOOKUP(A2315,Hospitalisation_Details__2[],7,FALSE)</f>
        <v>R1013</v>
      </c>
    </row>
    <row r="2316" spans="1:16" x14ac:dyDescent="0.35">
      <c r="A2316" t="str">
        <v>Id2315</v>
      </c>
      <c r="B2316" t="str">
        <f>VLOOKUP(A2316,'Customer Names (2)'!A:B, 2,FALSE)</f>
        <v>Ms</v>
      </c>
      <c r="C2316">
        <f>VLOOKUP(A2316,Medical_Examinations[],2,FALSE)</f>
        <v>24.14</v>
      </c>
      <c r="D2316">
        <f>VLOOKUP(A2316,Medical_Examinations[],3,FALSE)</f>
        <v>5.29</v>
      </c>
      <c r="E2316" t="str">
        <f>VLOOKUP(A2316,Medical_Examinations[],4,FALSE)</f>
        <v>No</v>
      </c>
      <c r="F2316" t="str">
        <f>VLOOKUP(A2316,Medical_Examinations[],5,FALSE)</f>
        <v>yes</v>
      </c>
      <c r="G2316" t="str">
        <f>VLOOKUP(A2316,Medical_Examinations[],6,FALSE)</f>
        <v>No</v>
      </c>
      <c r="H2316">
        <f>VLOOKUP(A2316,Medical_Examinations[],7,FALSE)</f>
        <v>1</v>
      </c>
      <c r="I2316" t="str">
        <f>VLOOKUP(A2316,Medical_Examinations[],8,FALSE)</f>
        <v>No</v>
      </c>
      <c r="J2316" t="str">
        <f>VLOOKUP(A2316,Medical_Examinations[],9,FALSE)</f>
        <v>Normal Weight</v>
      </c>
      <c r="K2316" t="str">
        <f>VLOOKUP(A2316,Medical_Examinations[],10,FALSE)</f>
        <v>Normal</v>
      </c>
      <c r="M2316">
        <f>VLOOKUP(A2316,Hospitalisation_Details__2[],4,FALSE)</f>
        <v>865.41</v>
      </c>
      <c r="N2316" t="str">
        <f>VLOOKUP(A2316,Hospitalisation_Details__2[],5,FALSE)</f>
        <v>tier - 3</v>
      </c>
      <c r="O2316" t="str">
        <f>VLOOKUP(A2316,Hospitalisation_Details__2[],6,FALSE)</f>
        <v>tier - 1</v>
      </c>
      <c r="P2316" t="str">
        <f>VLOOKUP(A2316,Hospitalisation_Details__2[],7,FALSE)</f>
        <v>R1013</v>
      </c>
    </row>
    <row r="2317" spans="1:16" x14ac:dyDescent="0.35">
      <c r="A2317" t="str">
        <v>Id2316</v>
      </c>
      <c r="B2317" t="str">
        <f>VLOOKUP(A2317,'Customer Names (2)'!A:B, 2,FALSE)</f>
        <v>Mr</v>
      </c>
      <c r="C2317">
        <f>VLOOKUP(A2317,Medical_Examinations[],2,FALSE)</f>
        <v>25.03</v>
      </c>
      <c r="D2317">
        <f>VLOOKUP(A2317,Medical_Examinations[],3,FALSE)</f>
        <v>5.91</v>
      </c>
      <c r="E2317" t="str">
        <f>VLOOKUP(A2317,Medical_Examinations[],4,FALSE)</f>
        <v>No</v>
      </c>
      <c r="F2317" t="str">
        <f>VLOOKUP(A2317,Medical_Examinations[],5,FALSE)</f>
        <v>yes</v>
      </c>
      <c r="G2317" t="str">
        <f>VLOOKUP(A2317,Medical_Examinations[],6,FALSE)</f>
        <v>No</v>
      </c>
      <c r="H2317">
        <f>VLOOKUP(A2317,Medical_Examinations[],7,FALSE)</f>
        <v>1</v>
      </c>
      <c r="I2317" t="str">
        <f>VLOOKUP(A2317,Medical_Examinations[],8,FALSE)</f>
        <v>No</v>
      </c>
      <c r="J2317" t="str">
        <f>VLOOKUP(A2317,Medical_Examinations[],9,FALSE)</f>
        <v>Overweight</v>
      </c>
      <c r="K2317" t="str">
        <f>VLOOKUP(A2317,Medical_Examinations[],10,FALSE)</f>
        <v>Prediabetes</v>
      </c>
      <c r="M2317">
        <f>VLOOKUP(A2317,Hospitalisation_Details__2[],4,FALSE)</f>
        <v>830.52</v>
      </c>
      <c r="N2317" t="str">
        <f>VLOOKUP(A2317,Hospitalisation_Details__2[],5,FALSE)</f>
        <v>tier - 3</v>
      </c>
      <c r="O2317" t="str">
        <f>VLOOKUP(A2317,Hospitalisation_Details__2[],6,FALSE)</f>
        <v>tier - 2</v>
      </c>
      <c r="P2317" t="str">
        <f>VLOOKUP(A2317,Hospitalisation_Details__2[],7,FALSE)</f>
        <v>R1011</v>
      </c>
    </row>
    <row r="2318" spans="1:16" x14ac:dyDescent="0.35">
      <c r="A2318" t="str">
        <v>Id2317</v>
      </c>
      <c r="B2318" t="str">
        <f>VLOOKUP(A2318,'Customer Names (2)'!A:B, 2,FALSE)</f>
        <v>Mr</v>
      </c>
      <c r="C2318">
        <f>VLOOKUP(A2318,Medical_Examinations[],2,FALSE)</f>
        <v>20.47</v>
      </c>
      <c r="D2318">
        <f>VLOOKUP(A2318,Medical_Examinations[],3,FALSE)</f>
        <v>5.81</v>
      </c>
      <c r="E2318" t="str">
        <f>VLOOKUP(A2318,Medical_Examinations[],4,FALSE)</f>
        <v>Yes</v>
      </c>
      <c r="F2318" t="str">
        <f>VLOOKUP(A2318,Medical_Examinations[],5,FALSE)</f>
        <v>No</v>
      </c>
      <c r="G2318" t="str">
        <f>VLOOKUP(A2318,Medical_Examinations[],6,FALSE)</f>
        <v>No</v>
      </c>
      <c r="H2318">
        <f>VLOOKUP(A2318,Medical_Examinations[],7,FALSE)</f>
        <v>1</v>
      </c>
      <c r="I2318" t="str">
        <f>VLOOKUP(A2318,Medical_Examinations[],8,FALSE)</f>
        <v>No</v>
      </c>
      <c r="J2318" t="str">
        <f>VLOOKUP(A2318,Medical_Examinations[],9,FALSE)</f>
        <v>Normal Weight</v>
      </c>
      <c r="K2318" t="str">
        <f>VLOOKUP(A2318,Medical_Examinations[],10,FALSE)</f>
        <v>Prediabetes</v>
      </c>
      <c r="M2318">
        <f>VLOOKUP(A2318,Hospitalisation_Details__2[],4,FALSE)</f>
        <v>773.54</v>
      </c>
      <c r="N2318" t="str">
        <f>VLOOKUP(A2318,Hospitalisation_Details__2[],5,FALSE)</f>
        <v>tier - 3</v>
      </c>
      <c r="O2318" t="str">
        <f>VLOOKUP(A2318,Hospitalisation_Details__2[],6,FALSE)</f>
        <v>tier - 2</v>
      </c>
      <c r="P2318" t="str">
        <f>VLOOKUP(A2318,Hospitalisation_Details__2[],7,FALSE)</f>
        <v>R1013</v>
      </c>
    </row>
    <row r="2319" spans="1:16" x14ac:dyDescent="0.35">
      <c r="A2319" t="str">
        <v>Id2318</v>
      </c>
      <c r="B2319" t="str">
        <f>VLOOKUP(A2319,'Customer Names (2)'!A:B, 2,FALSE)</f>
        <v>Ms</v>
      </c>
      <c r="C2319">
        <f>VLOOKUP(A2319,Medical_Examinations[],2,FALSE)</f>
        <v>18.82</v>
      </c>
      <c r="D2319">
        <f>VLOOKUP(A2319,Medical_Examinations[],3,FALSE)</f>
        <v>5.51</v>
      </c>
      <c r="E2319" t="str">
        <f>VLOOKUP(A2319,Medical_Examinations[],4,FALSE)</f>
        <v>Yes</v>
      </c>
      <c r="F2319" t="str">
        <f>VLOOKUP(A2319,Medical_Examinations[],5,FALSE)</f>
        <v>No</v>
      </c>
      <c r="G2319" t="str">
        <f>VLOOKUP(A2319,Medical_Examinations[],6,FALSE)</f>
        <v>No</v>
      </c>
      <c r="H2319">
        <f>VLOOKUP(A2319,Medical_Examinations[],7,FALSE)</f>
        <v>0</v>
      </c>
      <c r="I2319" t="str">
        <f>VLOOKUP(A2319,Medical_Examinations[],8,FALSE)</f>
        <v>No</v>
      </c>
      <c r="J2319" t="str">
        <f>VLOOKUP(A2319,Medical_Examinations[],9,FALSE)</f>
        <v>Normal Weight</v>
      </c>
      <c r="K2319" t="str">
        <f>VLOOKUP(A2319,Medical_Examinations[],10,FALSE)</f>
        <v>Normal</v>
      </c>
      <c r="M2319">
        <f>VLOOKUP(A2319,Hospitalisation_Details__2[],4,FALSE)</f>
        <v>770.38</v>
      </c>
      <c r="N2319" t="str">
        <f>VLOOKUP(A2319,Hospitalisation_Details__2[],5,FALSE)</f>
        <v>tier - 3</v>
      </c>
      <c r="O2319" t="str">
        <f>VLOOKUP(A2319,Hospitalisation_Details__2[],6,FALSE)</f>
        <v>?</v>
      </c>
      <c r="P2319" t="str">
        <f>VLOOKUP(A2319,Hospitalisation_Details__2[],7,FALSE)</f>
        <v>R1012</v>
      </c>
    </row>
    <row r="2320" spans="1:16" x14ac:dyDescent="0.35">
      <c r="A2320" t="str">
        <v>Id2319</v>
      </c>
      <c r="B2320" t="str">
        <f>VLOOKUP(A2320,'Customer Names (2)'!A:B, 2,FALSE)</f>
        <v>Mr</v>
      </c>
      <c r="C2320">
        <f>VLOOKUP(A2320,Medical_Examinations[],2,FALSE)</f>
        <v>17.079999999999998</v>
      </c>
      <c r="D2320">
        <f>VLOOKUP(A2320,Medical_Examinations[],3,FALSE)</f>
        <v>5.73</v>
      </c>
      <c r="E2320" t="str">
        <f>VLOOKUP(A2320,Medical_Examinations[],4,FALSE)</f>
        <v>No</v>
      </c>
      <c r="F2320" t="str">
        <f>VLOOKUP(A2320,Medical_Examinations[],5,FALSE)</f>
        <v>No</v>
      </c>
      <c r="G2320" t="str">
        <f>VLOOKUP(A2320,Medical_Examinations[],6,FALSE)</f>
        <v>Yes</v>
      </c>
      <c r="H2320">
        <f>VLOOKUP(A2320,Medical_Examinations[],7,FALSE)</f>
        <v>1</v>
      </c>
      <c r="I2320" t="str">
        <f>VLOOKUP(A2320,Medical_Examinations[],8,FALSE)</f>
        <v>No</v>
      </c>
      <c r="J2320" t="str">
        <f>VLOOKUP(A2320,Medical_Examinations[],9,FALSE)</f>
        <v>Underweight</v>
      </c>
      <c r="K2320" t="str">
        <f>VLOOKUP(A2320,Medical_Examinations[],10,FALSE)</f>
        <v>Prediabetes</v>
      </c>
      <c r="M2320">
        <f>VLOOKUP(A2320,Hospitalisation_Details__2[],4,FALSE)</f>
        <v>770</v>
      </c>
      <c r="N2320" t="str">
        <f>VLOOKUP(A2320,Hospitalisation_Details__2[],5,FALSE)</f>
        <v>tier - 3</v>
      </c>
      <c r="O2320" t="str">
        <f>VLOOKUP(A2320,Hospitalisation_Details__2[],6,FALSE)</f>
        <v>tier - 3</v>
      </c>
      <c r="P2320" t="str">
        <f>VLOOKUP(A2320,Hospitalisation_Details__2[],7,FALSE)</f>
        <v>R1013</v>
      </c>
    </row>
    <row r="2321" spans="1:16" x14ac:dyDescent="0.35">
      <c r="A2321" t="str">
        <v>Id2320</v>
      </c>
      <c r="B2321" t="str">
        <f>VLOOKUP(A2321,'Customer Names (2)'!A:B, 2,FALSE)</f>
        <v>Ms</v>
      </c>
      <c r="C2321">
        <f>VLOOKUP(A2321,Medical_Examinations[],2,FALSE)</f>
        <v>19.21</v>
      </c>
      <c r="D2321">
        <f>VLOOKUP(A2321,Medical_Examinations[],3,FALSE)</f>
        <v>5.53</v>
      </c>
      <c r="E2321" t="str">
        <f>VLOOKUP(A2321,Medical_Examinations[],4,FALSE)</f>
        <v>Yes</v>
      </c>
      <c r="F2321" t="str">
        <f>VLOOKUP(A2321,Medical_Examinations[],5,FALSE)</f>
        <v>No</v>
      </c>
      <c r="G2321" t="str">
        <f>VLOOKUP(A2321,Medical_Examinations[],6,FALSE)</f>
        <v>No</v>
      </c>
      <c r="H2321">
        <f>VLOOKUP(A2321,Medical_Examinations[],7,FALSE)</f>
        <v>0</v>
      </c>
      <c r="I2321" t="str">
        <f>VLOOKUP(A2321,Medical_Examinations[],8,FALSE)</f>
        <v>No</v>
      </c>
      <c r="J2321" t="str">
        <f>VLOOKUP(A2321,Medical_Examinations[],9,FALSE)</f>
        <v>Normal Weight</v>
      </c>
      <c r="K2321" t="str">
        <f>VLOOKUP(A2321,Medical_Examinations[],10,FALSE)</f>
        <v>Normal</v>
      </c>
      <c r="M2321">
        <f>VLOOKUP(A2321,Hospitalisation_Details__2[],4,FALSE)</f>
        <v>760</v>
      </c>
      <c r="N2321" t="str">
        <f>VLOOKUP(A2321,Hospitalisation_Details__2[],5,FALSE)</f>
        <v>tier - 3</v>
      </c>
      <c r="O2321" t="str">
        <f>VLOOKUP(A2321,Hospitalisation_Details__2[],6,FALSE)</f>
        <v>tier - 3</v>
      </c>
      <c r="P2321" t="str">
        <f>VLOOKUP(A2321,Hospitalisation_Details__2[],7,FALSE)</f>
        <v>R1013</v>
      </c>
    </row>
    <row r="2322" spans="1:16" x14ac:dyDescent="0.35">
      <c r="A2322" t="str">
        <v>Id2321</v>
      </c>
      <c r="B2322" t="str">
        <f>VLOOKUP(A2322,'Customer Names (2)'!A:B, 2,FALSE)</f>
        <v>Mr</v>
      </c>
      <c r="C2322">
        <f>VLOOKUP(A2322,Medical_Examinations[],2,FALSE)</f>
        <v>17.86</v>
      </c>
      <c r="D2322">
        <f>VLOOKUP(A2322,Medical_Examinations[],3,FALSE)</f>
        <v>5.43</v>
      </c>
      <c r="E2322" t="str">
        <f>VLOOKUP(A2322,Medical_Examinations[],4,FALSE)</f>
        <v>No</v>
      </c>
      <c r="F2322" t="str">
        <f>VLOOKUP(A2322,Medical_Examinations[],5,FALSE)</f>
        <v>No</v>
      </c>
      <c r="G2322" t="str">
        <f>VLOOKUP(A2322,Medical_Examinations[],6,FALSE)</f>
        <v>Yes</v>
      </c>
      <c r="H2322">
        <f>VLOOKUP(A2322,Medical_Examinations[],7,FALSE)</f>
        <v>1</v>
      </c>
      <c r="I2322" t="str">
        <f>VLOOKUP(A2322,Medical_Examinations[],8,FALSE)</f>
        <v>No</v>
      </c>
      <c r="J2322" t="str">
        <f>VLOOKUP(A2322,Medical_Examinations[],9,FALSE)</f>
        <v>Underweight</v>
      </c>
      <c r="K2322" t="str">
        <f>VLOOKUP(A2322,Medical_Examinations[],10,FALSE)</f>
        <v>Normal</v>
      </c>
      <c r="M2322">
        <f>VLOOKUP(A2322,Hospitalisation_Details__2[],4,FALSE)</f>
        <v>760</v>
      </c>
      <c r="N2322" t="str">
        <f>VLOOKUP(A2322,Hospitalisation_Details__2[],5,FALSE)</f>
        <v>tier - 3</v>
      </c>
      <c r="O2322" t="str">
        <f>VLOOKUP(A2322,Hospitalisation_Details__2[],6,FALSE)</f>
        <v>tier - 1</v>
      </c>
      <c r="P2322" t="str">
        <f>VLOOKUP(A2322,Hospitalisation_Details__2[],7,FALSE)</f>
        <v>R1013</v>
      </c>
    </row>
    <row r="2323" spans="1:16" x14ac:dyDescent="0.35">
      <c r="A2323" t="str">
        <v>Id2322</v>
      </c>
      <c r="B2323" t="str">
        <f>VLOOKUP(A2323,'Customer Names (2)'!A:B, 2,FALSE)</f>
        <v>Ms</v>
      </c>
      <c r="C2323">
        <f>VLOOKUP(A2323,Medical_Examinations[],2,FALSE)</f>
        <v>21.38</v>
      </c>
      <c r="D2323">
        <f>VLOOKUP(A2323,Medical_Examinations[],3,FALSE)</f>
        <v>8.01</v>
      </c>
      <c r="E2323" t="str">
        <f>VLOOKUP(A2323,Medical_Examinations[],4,FALSE)</f>
        <v>No</v>
      </c>
      <c r="F2323" t="str">
        <f>VLOOKUP(A2323,Medical_Examinations[],5,FALSE)</f>
        <v>No</v>
      </c>
      <c r="G2323" t="str">
        <f>VLOOKUP(A2323,Medical_Examinations[],6,FALSE)</f>
        <v>No</v>
      </c>
      <c r="H2323">
        <f>VLOOKUP(A2323,Medical_Examinations[],7,FALSE)</f>
        <v>0</v>
      </c>
      <c r="I2323" t="str">
        <f>VLOOKUP(A2323,Medical_Examinations[],8,FALSE)</f>
        <v>No</v>
      </c>
      <c r="J2323" t="str">
        <f>VLOOKUP(A2323,Medical_Examinations[],9,FALSE)</f>
        <v>Normal Weight</v>
      </c>
      <c r="K2323" t="str">
        <f>VLOOKUP(A2323,Medical_Examinations[],10,FALSE)</f>
        <v>Diabetes</v>
      </c>
      <c r="M2323">
        <f>VLOOKUP(A2323,Hospitalisation_Details__2[],4,FALSE)</f>
        <v>750</v>
      </c>
      <c r="N2323" t="str">
        <f>VLOOKUP(A2323,Hospitalisation_Details__2[],5,FALSE)</f>
        <v>tier - 3</v>
      </c>
      <c r="O2323" t="str">
        <f>VLOOKUP(A2323,Hospitalisation_Details__2[],6,FALSE)</f>
        <v>tier - 1</v>
      </c>
      <c r="P2323" t="str">
        <f>VLOOKUP(A2323,Hospitalisation_Details__2[],7,FALSE)</f>
        <v>R1012</v>
      </c>
    </row>
    <row r="2324" spans="1:16" x14ac:dyDescent="0.35">
      <c r="A2324" t="str">
        <v>Id2323</v>
      </c>
      <c r="B2324" t="str">
        <f>VLOOKUP(A2324,'Customer Names (2)'!A:B, 2,FALSE)</f>
        <v>Mr</v>
      </c>
      <c r="C2324">
        <f>VLOOKUP(A2324,Medical_Examinations[],2,FALSE)</f>
        <v>23.35</v>
      </c>
      <c r="D2324">
        <f>VLOOKUP(A2324,Medical_Examinations[],3,FALSE)</f>
        <v>5.94</v>
      </c>
      <c r="E2324" t="str">
        <f>VLOOKUP(A2324,Medical_Examinations[],4,FALSE)</f>
        <v>No</v>
      </c>
      <c r="F2324" t="str">
        <f>VLOOKUP(A2324,Medical_Examinations[],5,FALSE)</f>
        <v>No</v>
      </c>
      <c r="G2324" t="str">
        <f>VLOOKUP(A2324,Medical_Examinations[],6,FALSE)</f>
        <v>No</v>
      </c>
      <c r="H2324">
        <f>VLOOKUP(A2324,Medical_Examinations[],7,FALSE)</f>
        <v>0</v>
      </c>
      <c r="I2324" t="str">
        <f>VLOOKUP(A2324,Medical_Examinations[],8,FALSE)</f>
        <v>No</v>
      </c>
      <c r="J2324" t="str">
        <f>VLOOKUP(A2324,Medical_Examinations[],9,FALSE)</f>
        <v>Normal Weight</v>
      </c>
      <c r="K2324" t="str">
        <f>VLOOKUP(A2324,Medical_Examinations[],10,FALSE)</f>
        <v>Prediabetes</v>
      </c>
      <c r="M2324">
        <f>VLOOKUP(A2324,Hospitalisation_Details__2[],4,FALSE)</f>
        <v>722.99</v>
      </c>
      <c r="N2324" t="str">
        <f>VLOOKUP(A2324,Hospitalisation_Details__2[],5,FALSE)</f>
        <v>tier - 3</v>
      </c>
      <c r="O2324" t="str">
        <f>VLOOKUP(A2324,Hospitalisation_Details__2[],6,FALSE)</f>
        <v>tier - 1</v>
      </c>
      <c r="P2324" t="str">
        <f>VLOOKUP(A2324,Hospitalisation_Details__2[],7,FALSE)</f>
        <v>R1013</v>
      </c>
    </row>
    <row r="2325" spans="1:16" x14ac:dyDescent="0.35">
      <c r="A2325" t="str">
        <v>Id2324</v>
      </c>
      <c r="B2325" t="str">
        <f>VLOOKUP(A2325,'Customer Names (2)'!A:B, 2,FALSE)</f>
        <v>Ms</v>
      </c>
      <c r="C2325">
        <f>VLOOKUP(A2325,Medical_Examinations[],2,FALSE)</f>
        <v>22.24</v>
      </c>
      <c r="D2325">
        <f>VLOOKUP(A2325,Medical_Examinations[],3,FALSE)</f>
        <v>5.04</v>
      </c>
      <c r="E2325" t="str">
        <f>VLOOKUP(A2325,Medical_Examinations[],4,FALSE)</f>
        <v>No</v>
      </c>
      <c r="F2325" t="str">
        <f>VLOOKUP(A2325,Medical_Examinations[],5,FALSE)</f>
        <v>No</v>
      </c>
      <c r="G2325" t="str">
        <f>VLOOKUP(A2325,Medical_Examinations[],6,FALSE)</f>
        <v>No</v>
      </c>
      <c r="H2325">
        <f>VLOOKUP(A2325,Medical_Examinations[],7,FALSE)</f>
        <v>0</v>
      </c>
      <c r="I2325" t="str">
        <f>VLOOKUP(A2325,Medical_Examinations[],8,FALSE)</f>
        <v>No</v>
      </c>
      <c r="J2325" t="str">
        <f>VLOOKUP(A2325,Medical_Examinations[],9,FALSE)</f>
        <v>Normal Weight</v>
      </c>
      <c r="K2325" t="str">
        <f>VLOOKUP(A2325,Medical_Examinations[],10,FALSE)</f>
        <v>Normal</v>
      </c>
      <c r="M2325">
        <f>VLOOKUP(A2325,Hospitalisation_Details__2[],4,FALSE)</f>
        <v>700</v>
      </c>
      <c r="N2325" t="str">
        <f>VLOOKUP(A2325,Hospitalisation_Details__2[],5,FALSE)</f>
        <v>?</v>
      </c>
      <c r="O2325" t="str">
        <f>VLOOKUP(A2325,Hospitalisation_Details__2[],6,FALSE)</f>
        <v>tier - 3</v>
      </c>
      <c r="P2325" t="str">
        <f>VLOOKUP(A2325,Hospitalisation_Details__2[],7,FALSE)</f>
        <v>R1013</v>
      </c>
    </row>
    <row r="2326" spans="1:16" x14ac:dyDescent="0.35">
      <c r="A2326" t="str">
        <v>Id2325</v>
      </c>
      <c r="B2326" t="str">
        <f>VLOOKUP(A2326,'Customer Names (2)'!A:B, 2,FALSE)</f>
        <v>Mr</v>
      </c>
      <c r="C2326">
        <f>VLOOKUP(A2326,Medical_Examinations[],2,FALSE)</f>
        <v>24.76</v>
      </c>
      <c r="D2326">
        <f>VLOOKUP(A2326,Medical_Examinations[],3,FALSE)</f>
        <v>4.54</v>
      </c>
      <c r="E2326" t="str">
        <f>VLOOKUP(A2326,Medical_Examinations[],4,FALSE)</f>
        <v>Yes</v>
      </c>
      <c r="F2326" t="str">
        <f>VLOOKUP(A2326,Medical_Examinations[],5,FALSE)</f>
        <v>No</v>
      </c>
      <c r="G2326" t="str">
        <f>VLOOKUP(A2326,Medical_Examinations[],6,FALSE)</f>
        <v>No</v>
      </c>
      <c r="H2326">
        <f>VLOOKUP(A2326,Medical_Examinations[],7,FALSE)</f>
        <v>0</v>
      </c>
      <c r="I2326" t="str">
        <f>VLOOKUP(A2326,Medical_Examinations[],8,FALSE)</f>
        <v>No</v>
      </c>
      <c r="J2326" t="str">
        <f>VLOOKUP(A2326,Medical_Examinations[],9,FALSE)</f>
        <v>Normal Weight</v>
      </c>
      <c r="K2326" t="str">
        <f>VLOOKUP(A2326,Medical_Examinations[],10,FALSE)</f>
        <v>Normal</v>
      </c>
      <c r="M2326">
        <f>VLOOKUP(A2326,Hospitalisation_Details__2[],4,FALSE)</f>
        <v>687.54</v>
      </c>
      <c r="N2326" t="str">
        <f>VLOOKUP(A2326,Hospitalisation_Details__2[],5,FALSE)</f>
        <v>tier - 3</v>
      </c>
      <c r="O2326" t="str">
        <f>VLOOKUP(A2326,Hospitalisation_Details__2[],6,FALSE)</f>
        <v>tier - 2</v>
      </c>
      <c r="P2326" t="str">
        <f>VLOOKUP(A2326,Hospitalisation_Details__2[],7,FALSE)</f>
        <v>R1013</v>
      </c>
    </row>
    <row r="2327" spans="1:16" x14ac:dyDescent="0.35">
      <c r="A2327" t="str">
        <v>Id2326</v>
      </c>
      <c r="B2327" t="str">
        <f>VLOOKUP(A2327,'Customer Names (2)'!A:B, 2,FALSE)</f>
        <v>Mr</v>
      </c>
      <c r="C2327">
        <f>VLOOKUP(A2327,Medical_Examinations[],2,FALSE)</f>
        <v>20.100000000000001</v>
      </c>
      <c r="D2327">
        <f>VLOOKUP(A2327,Medical_Examinations[],3,FALSE)</f>
        <v>5.6</v>
      </c>
      <c r="E2327" t="str">
        <f>VLOOKUP(A2327,Medical_Examinations[],4,FALSE)</f>
        <v>Yes</v>
      </c>
      <c r="F2327" t="str">
        <f>VLOOKUP(A2327,Medical_Examinations[],5,FALSE)</f>
        <v>No</v>
      </c>
      <c r="G2327" t="str">
        <f>VLOOKUP(A2327,Medical_Examinations[],6,FALSE)</f>
        <v>Yes</v>
      </c>
      <c r="H2327">
        <f>VLOOKUP(A2327,Medical_Examinations[],7,FALSE)</f>
        <v>1</v>
      </c>
      <c r="I2327" t="str">
        <f>VLOOKUP(A2327,Medical_Examinations[],8,FALSE)</f>
        <v>No</v>
      </c>
      <c r="J2327" t="str">
        <f>VLOOKUP(A2327,Medical_Examinations[],9,FALSE)</f>
        <v>Normal Weight</v>
      </c>
      <c r="K2327" t="str">
        <f>VLOOKUP(A2327,Medical_Examinations[],10,FALSE)</f>
        <v>Normal</v>
      </c>
      <c r="M2327">
        <f>VLOOKUP(A2327,Hospitalisation_Details__2[],4,FALSE)</f>
        <v>670</v>
      </c>
      <c r="N2327" t="str">
        <f>VLOOKUP(A2327,Hospitalisation_Details__2[],5,FALSE)</f>
        <v>tier - 3</v>
      </c>
      <c r="O2327" t="str">
        <f>VLOOKUP(A2327,Hospitalisation_Details__2[],6,FALSE)</f>
        <v>tier - 3</v>
      </c>
      <c r="P2327" t="str">
        <f>VLOOKUP(A2327,Hospitalisation_Details__2[],7,FALSE)</f>
        <v>R1013</v>
      </c>
    </row>
    <row r="2328" spans="1:16" x14ac:dyDescent="0.35">
      <c r="A2328" t="str">
        <v>Id2327</v>
      </c>
      <c r="B2328" t="str">
        <f>VLOOKUP(A2328,'Customer Names (2)'!A:B, 2,FALSE)</f>
        <v>Ms</v>
      </c>
      <c r="C2328">
        <f>VLOOKUP(A2328,Medical_Examinations[],2,FALSE)</f>
        <v>21.77</v>
      </c>
      <c r="D2328">
        <f>VLOOKUP(A2328,Medical_Examinations[],3,FALSE)</f>
        <v>10.67</v>
      </c>
      <c r="E2328" t="str">
        <f>VLOOKUP(A2328,Medical_Examinations[],4,FALSE)</f>
        <v>No</v>
      </c>
      <c r="F2328" t="str">
        <f>VLOOKUP(A2328,Medical_Examinations[],5,FALSE)</f>
        <v>No</v>
      </c>
      <c r="G2328" t="str">
        <f>VLOOKUP(A2328,Medical_Examinations[],6,FALSE)</f>
        <v>No</v>
      </c>
      <c r="H2328">
        <f>VLOOKUP(A2328,Medical_Examinations[],7,FALSE)</f>
        <v>0</v>
      </c>
      <c r="I2328" t="str">
        <f>VLOOKUP(A2328,Medical_Examinations[],8,FALSE)</f>
        <v>No</v>
      </c>
      <c r="J2328" t="str">
        <f>VLOOKUP(A2328,Medical_Examinations[],9,FALSE)</f>
        <v>Normal Weight</v>
      </c>
      <c r="K2328" t="str">
        <f>VLOOKUP(A2328,Medical_Examinations[],10,FALSE)</f>
        <v>Diabetes</v>
      </c>
      <c r="M2328">
        <f>VLOOKUP(A2328,Hospitalisation_Details__2[],4,FALSE)</f>
        <v>668</v>
      </c>
      <c r="N2328" t="str">
        <f>VLOOKUP(A2328,Hospitalisation_Details__2[],5,FALSE)</f>
        <v>tier - 3</v>
      </c>
      <c r="O2328" t="str">
        <f>VLOOKUP(A2328,Hospitalisation_Details__2[],6,FALSE)</f>
        <v>tier - 2</v>
      </c>
      <c r="P2328" t="str">
        <f>VLOOKUP(A2328,Hospitalisation_Details__2[],7,FALSE)</f>
        <v>R1012</v>
      </c>
    </row>
    <row r="2329" spans="1:16" x14ac:dyDescent="0.35">
      <c r="A2329" t="str">
        <v>Id2328</v>
      </c>
      <c r="B2329" t="str">
        <f>VLOOKUP(A2329,'Customer Names (2)'!A:B, 2,FALSE)</f>
        <v>Ms</v>
      </c>
      <c r="C2329">
        <f>VLOOKUP(A2329,Medical_Examinations[],2,FALSE)</f>
        <v>17.82</v>
      </c>
      <c r="D2329">
        <f>VLOOKUP(A2329,Medical_Examinations[],3,FALSE)</f>
        <v>5.26</v>
      </c>
      <c r="E2329" t="str">
        <f>VLOOKUP(A2329,Medical_Examinations[],4,FALSE)</f>
        <v>Yes</v>
      </c>
      <c r="F2329" t="str">
        <f>VLOOKUP(A2329,Medical_Examinations[],5,FALSE)</f>
        <v>No</v>
      </c>
      <c r="G2329" t="str">
        <f>VLOOKUP(A2329,Medical_Examinations[],6,FALSE)</f>
        <v>No</v>
      </c>
      <c r="H2329">
        <f>VLOOKUP(A2329,Medical_Examinations[],7,FALSE)</f>
        <v>1</v>
      </c>
      <c r="I2329" t="str">
        <f>VLOOKUP(A2329,Medical_Examinations[],8,FALSE)</f>
        <v>No</v>
      </c>
      <c r="J2329" t="str">
        <f>VLOOKUP(A2329,Medical_Examinations[],9,FALSE)</f>
        <v>Underweight</v>
      </c>
      <c r="K2329" t="str">
        <f>VLOOKUP(A2329,Medical_Examinations[],10,FALSE)</f>
        <v>Normal</v>
      </c>
      <c r="M2329">
        <f>VLOOKUP(A2329,Hospitalisation_Details__2[],4,FALSE)</f>
        <v>650</v>
      </c>
      <c r="N2329" t="str">
        <f>VLOOKUP(A2329,Hospitalisation_Details__2[],5,FALSE)</f>
        <v>tier - 3</v>
      </c>
      <c r="O2329" t="str">
        <f>VLOOKUP(A2329,Hospitalisation_Details__2[],6,FALSE)</f>
        <v>tier - 3</v>
      </c>
      <c r="P2329" t="str">
        <f>VLOOKUP(A2329,Hospitalisation_Details__2[],7,FALSE)</f>
        <v>R1013</v>
      </c>
    </row>
    <row r="2330" spans="1:16" x14ac:dyDescent="0.35">
      <c r="A2330" t="str">
        <v>Id2329</v>
      </c>
      <c r="B2330" t="str">
        <f>VLOOKUP(A2330,'Customer Names (2)'!A:B, 2,FALSE)</f>
        <v>Ms</v>
      </c>
      <c r="C2330">
        <f>VLOOKUP(A2330,Medical_Examinations[],2,FALSE)</f>
        <v>17.07</v>
      </c>
      <c r="D2330">
        <f>VLOOKUP(A2330,Medical_Examinations[],3,FALSE)</f>
        <v>5.22</v>
      </c>
      <c r="E2330" t="str">
        <f>VLOOKUP(A2330,Medical_Examinations[],4,FALSE)</f>
        <v>No</v>
      </c>
      <c r="F2330" t="str">
        <f>VLOOKUP(A2330,Medical_Examinations[],5,FALSE)</f>
        <v>No</v>
      </c>
      <c r="G2330" t="str">
        <f>VLOOKUP(A2330,Medical_Examinations[],6,FALSE)</f>
        <v>Yes</v>
      </c>
      <c r="H2330">
        <f>VLOOKUP(A2330,Medical_Examinations[],7,FALSE)</f>
        <v>1</v>
      </c>
      <c r="I2330" t="str">
        <f>VLOOKUP(A2330,Medical_Examinations[],8,FALSE)</f>
        <v>No</v>
      </c>
      <c r="J2330" t="str">
        <f>VLOOKUP(A2330,Medical_Examinations[],9,FALSE)</f>
        <v>Underweight</v>
      </c>
      <c r="K2330" t="str">
        <f>VLOOKUP(A2330,Medical_Examinations[],10,FALSE)</f>
        <v>Normal</v>
      </c>
      <c r="M2330">
        <f>VLOOKUP(A2330,Hospitalisation_Details__2[],4,FALSE)</f>
        <v>650</v>
      </c>
      <c r="N2330" t="str">
        <f>VLOOKUP(A2330,Hospitalisation_Details__2[],5,FALSE)</f>
        <v>tier - 3</v>
      </c>
      <c r="O2330" t="str">
        <f>VLOOKUP(A2330,Hospitalisation_Details__2[],6,FALSE)</f>
        <v>tier - 3</v>
      </c>
      <c r="P2330" t="str">
        <f>VLOOKUP(A2330,Hospitalisation_Details__2[],7,FALSE)</f>
        <v>R1013</v>
      </c>
    </row>
    <row r="2331" spans="1:16" x14ac:dyDescent="0.35">
      <c r="A2331" t="str">
        <v>Id2330</v>
      </c>
      <c r="B2331" t="str">
        <f>VLOOKUP(A2331,'Customer Names (2)'!A:B, 2,FALSE)</f>
        <v>Ms</v>
      </c>
      <c r="C2331">
        <f>VLOOKUP(A2331,Medical_Examinations[],2,FALSE)</f>
        <v>22.24</v>
      </c>
      <c r="D2331">
        <f>VLOOKUP(A2331,Medical_Examinations[],3,FALSE)</f>
        <v>4.29</v>
      </c>
      <c r="E2331" t="str">
        <f>VLOOKUP(A2331,Medical_Examinations[],4,FALSE)</f>
        <v>Yes</v>
      </c>
      <c r="F2331" t="str">
        <f>VLOOKUP(A2331,Medical_Examinations[],5,FALSE)</f>
        <v>No</v>
      </c>
      <c r="G2331" t="str">
        <f>VLOOKUP(A2331,Medical_Examinations[],6,FALSE)</f>
        <v>No</v>
      </c>
      <c r="H2331">
        <f>VLOOKUP(A2331,Medical_Examinations[],7,FALSE)</f>
        <v>0</v>
      </c>
      <c r="I2331" t="str">
        <f>VLOOKUP(A2331,Medical_Examinations[],8,FALSE)</f>
        <v>No</v>
      </c>
      <c r="J2331" t="str">
        <f>VLOOKUP(A2331,Medical_Examinations[],9,FALSE)</f>
        <v>Normal Weight</v>
      </c>
      <c r="K2331" t="str">
        <f>VLOOKUP(A2331,Medical_Examinations[],10,FALSE)</f>
        <v>Normal</v>
      </c>
      <c r="M2331">
        <f>VLOOKUP(A2331,Hospitalisation_Details__2[],4,FALSE)</f>
        <v>646.14</v>
      </c>
      <c r="N2331" t="str">
        <f>VLOOKUP(A2331,Hospitalisation_Details__2[],5,FALSE)</f>
        <v>tier - 3</v>
      </c>
      <c r="O2331" t="str">
        <f>VLOOKUP(A2331,Hospitalisation_Details__2[],6,FALSE)</f>
        <v>tier - 3</v>
      </c>
      <c r="P2331" t="str">
        <f>VLOOKUP(A2331,Hospitalisation_Details__2[],7,FALSE)</f>
        <v>R1012</v>
      </c>
    </row>
    <row r="2332" spans="1:16" x14ac:dyDescent="0.35">
      <c r="A2332" t="str">
        <v>Id2331</v>
      </c>
      <c r="B2332" t="str">
        <f>VLOOKUP(A2332,'Customer Names (2)'!A:B, 2,FALSE)</f>
        <v>Mr</v>
      </c>
      <c r="C2332">
        <f>VLOOKUP(A2332,Medical_Examinations[],2,FALSE)</f>
        <v>22.34</v>
      </c>
      <c r="D2332">
        <f>VLOOKUP(A2332,Medical_Examinations[],3,FALSE)</f>
        <v>5.57</v>
      </c>
      <c r="E2332" t="str">
        <f>VLOOKUP(A2332,Medical_Examinations[],4,FALSE)</f>
        <v>No</v>
      </c>
      <c r="F2332" t="str">
        <f>VLOOKUP(A2332,Medical_Examinations[],5,FALSE)</f>
        <v>No</v>
      </c>
      <c r="G2332" t="str">
        <f>VLOOKUP(A2332,Medical_Examinations[],6,FALSE)</f>
        <v>No</v>
      </c>
      <c r="H2332">
        <f>VLOOKUP(A2332,Medical_Examinations[],7,FALSE)</f>
        <v>1</v>
      </c>
      <c r="I2332" t="str">
        <f>VLOOKUP(A2332,Medical_Examinations[],8,FALSE)</f>
        <v>No</v>
      </c>
      <c r="J2332" t="str">
        <f>VLOOKUP(A2332,Medical_Examinations[],9,FALSE)</f>
        <v>Normal Weight</v>
      </c>
      <c r="K2332" t="str">
        <f>VLOOKUP(A2332,Medical_Examinations[],10,FALSE)</f>
        <v>Normal</v>
      </c>
      <c r="M2332">
        <f>VLOOKUP(A2332,Hospitalisation_Details__2[],4,FALSE)</f>
        <v>637.26</v>
      </c>
      <c r="N2332" t="str">
        <f>VLOOKUP(A2332,Hospitalisation_Details__2[],5,FALSE)</f>
        <v>tier - 3</v>
      </c>
      <c r="O2332" t="str">
        <f>VLOOKUP(A2332,Hospitalisation_Details__2[],6,FALSE)</f>
        <v>tier - 3</v>
      </c>
      <c r="P2332" t="str">
        <f>VLOOKUP(A2332,Hospitalisation_Details__2[],7,FALSE)</f>
        <v>R1013</v>
      </c>
    </row>
    <row r="2333" spans="1:16" x14ac:dyDescent="0.35">
      <c r="A2333" t="str">
        <v>Id2332</v>
      </c>
      <c r="B2333" t="str">
        <f>VLOOKUP(A2333,'Customer Names (2)'!A:B, 2,FALSE)</f>
        <v>Mr</v>
      </c>
      <c r="C2333">
        <f>VLOOKUP(A2333,Medical_Examinations[],2,FALSE)</f>
        <v>17.7</v>
      </c>
      <c r="D2333">
        <f>VLOOKUP(A2333,Medical_Examinations[],3,FALSE)</f>
        <v>6.28</v>
      </c>
      <c r="E2333" t="str">
        <f>VLOOKUP(A2333,Medical_Examinations[],4,FALSE)</f>
        <v>No</v>
      </c>
      <c r="F2333" t="str">
        <f>VLOOKUP(A2333,Medical_Examinations[],5,FALSE)</f>
        <v>No</v>
      </c>
      <c r="G2333" t="str">
        <f>VLOOKUP(A2333,Medical_Examinations[],6,FALSE)</f>
        <v>No</v>
      </c>
      <c r="H2333">
        <f>VLOOKUP(A2333,Medical_Examinations[],7,FALSE)</f>
        <v>1</v>
      </c>
      <c r="I2333" t="str">
        <f>VLOOKUP(A2333,Medical_Examinations[],8,FALSE)</f>
        <v>No</v>
      </c>
      <c r="J2333" t="str">
        <f>VLOOKUP(A2333,Medical_Examinations[],9,FALSE)</f>
        <v>Underweight</v>
      </c>
      <c r="K2333" t="str">
        <f>VLOOKUP(A2333,Medical_Examinations[],10,FALSE)</f>
        <v>Prediabetes</v>
      </c>
      <c r="M2333">
        <f>VLOOKUP(A2333,Hospitalisation_Details__2[],4,FALSE)</f>
        <v>604.54</v>
      </c>
      <c r="N2333" t="str">
        <f>VLOOKUP(A2333,Hospitalisation_Details__2[],5,FALSE)</f>
        <v>tier - 3</v>
      </c>
      <c r="O2333" t="str">
        <f>VLOOKUP(A2333,Hospitalisation_Details__2[],6,FALSE)</f>
        <v>tier - 3</v>
      </c>
      <c r="P2333" t="str">
        <f>VLOOKUP(A2333,Hospitalisation_Details__2[],7,FALSE)</f>
        <v>R1013</v>
      </c>
    </row>
    <row r="2334" spans="1:16" x14ac:dyDescent="0.35">
      <c r="A2334" t="str">
        <v>Id2333</v>
      </c>
      <c r="B2334" t="str">
        <f>VLOOKUP(A2334,'Customer Names (2)'!A:B, 2,FALSE)</f>
        <v>Ms</v>
      </c>
      <c r="C2334">
        <f>VLOOKUP(A2334,Medical_Examinations[],2,FALSE)</f>
        <v>16.47</v>
      </c>
      <c r="D2334">
        <f>VLOOKUP(A2334,Medical_Examinations[],3,FALSE)</f>
        <v>6.35</v>
      </c>
      <c r="E2334" t="str">
        <f>VLOOKUP(A2334,Medical_Examinations[],4,FALSE)</f>
        <v>No</v>
      </c>
      <c r="F2334" t="str">
        <f>VLOOKUP(A2334,Medical_Examinations[],5,FALSE)</f>
        <v>No</v>
      </c>
      <c r="G2334" t="str">
        <f>VLOOKUP(A2334,Medical_Examinations[],6,FALSE)</f>
        <v>Yes</v>
      </c>
      <c r="H2334">
        <f>VLOOKUP(A2334,Medical_Examinations[],7,FALSE)</f>
        <v>1</v>
      </c>
      <c r="I2334" t="str">
        <f>VLOOKUP(A2334,Medical_Examinations[],8,FALSE)</f>
        <v>No</v>
      </c>
      <c r="J2334" t="str">
        <f>VLOOKUP(A2334,Medical_Examinations[],9,FALSE)</f>
        <v>Underweight</v>
      </c>
      <c r="K2334" t="str">
        <f>VLOOKUP(A2334,Medical_Examinations[],10,FALSE)</f>
        <v>Prediabetes</v>
      </c>
      <c r="M2334">
        <f>VLOOKUP(A2334,Hospitalisation_Details__2[],4,FALSE)</f>
        <v>600</v>
      </c>
      <c r="N2334" t="str">
        <f>VLOOKUP(A2334,Hospitalisation_Details__2[],5,FALSE)</f>
        <v>tier - 2</v>
      </c>
      <c r="O2334" t="str">
        <f>VLOOKUP(A2334,Hospitalisation_Details__2[],6,FALSE)</f>
        <v>tier - 1</v>
      </c>
      <c r="P2334" t="str">
        <f>VLOOKUP(A2334,Hospitalisation_Details__2[],7,FALSE)</f>
        <v>R1013</v>
      </c>
    </row>
    <row r="2335" spans="1:16" x14ac:dyDescent="0.35">
      <c r="A2335" t="str">
        <v>Id2334</v>
      </c>
      <c r="B2335" t="str">
        <f>VLOOKUP(A2335,'Customer Names (2)'!A:B, 2,FALSE)</f>
        <v>Mr</v>
      </c>
      <c r="C2335">
        <f>VLOOKUP(A2335,Medical_Examinations[],2,FALSE)</f>
        <v>17.600000000000001</v>
      </c>
      <c r="D2335">
        <f>VLOOKUP(A2335,Medical_Examinations[],3,FALSE)</f>
        <v>4.3899999999999997</v>
      </c>
      <c r="E2335" t="str">
        <f>VLOOKUP(A2335,Medical_Examinations[],4,FALSE)</f>
        <v>No</v>
      </c>
      <c r="F2335" t="str">
        <f>VLOOKUP(A2335,Medical_Examinations[],5,FALSE)</f>
        <v>No</v>
      </c>
      <c r="G2335" t="str">
        <f>VLOOKUP(A2335,Medical_Examinations[],6,FALSE)</f>
        <v>No</v>
      </c>
      <c r="H2335">
        <f>VLOOKUP(A2335,Medical_Examinations[],7,FALSE)</f>
        <v>1</v>
      </c>
      <c r="I2335" t="str">
        <f>VLOOKUP(A2335,Medical_Examinations[],8,FALSE)</f>
        <v>No</v>
      </c>
      <c r="J2335" t="str">
        <f>VLOOKUP(A2335,Medical_Examinations[],9,FALSE)</f>
        <v>Underweight</v>
      </c>
      <c r="K2335" t="str">
        <f>VLOOKUP(A2335,Medical_Examinations[],10,FALSE)</f>
        <v>Normal</v>
      </c>
      <c r="M2335">
        <f>VLOOKUP(A2335,Hospitalisation_Details__2[],4,FALSE)</f>
        <v>570.62</v>
      </c>
      <c r="N2335" t="str">
        <f>VLOOKUP(A2335,Hospitalisation_Details__2[],5,FALSE)</f>
        <v>tier - 2</v>
      </c>
      <c r="O2335" t="str">
        <f>VLOOKUP(A2335,Hospitalisation_Details__2[],6,FALSE)</f>
        <v>tier - 1</v>
      </c>
      <c r="P2335" t="str">
        <f>VLOOKUP(A2335,Hospitalisation_Details__2[],7,FALSE)</f>
        <v>R1013</v>
      </c>
    </row>
    <row r="2336" spans="1:16" x14ac:dyDescent="0.35">
      <c r="A2336" t="str">
        <v>Id2335</v>
      </c>
      <c r="B2336" t="str">
        <f>VLOOKUP(A2336,'Customer Names (2)'!A:B, 2,FALSE)</f>
        <v>Mr</v>
      </c>
      <c r="C2336">
        <f>VLOOKUP(A2336,Medical_Examinations[],2,FALSE)</f>
        <v>17.579999999999998</v>
      </c>
      <c r="D2336">
        <f>VLOOKUP(A2336,Medical_Examinations[],3,FALSE)</f>
        <v>4.51</v>
      </c>
      <c r="E2336" t="str">
        <f>VLOOKUP(A2336,Medical_Examinations[],4,FALSE)</f>
        <v>No</v>
      </c>
      <c r="F2336" t="str">
        <f>VLOOKUP(A2336,Medical_Examinations[],5,FALSE)</f>
        <v>No</v>
      </c>
      <c r="G2336" t="str">
        <f>VLOOKUP(A2336,Medical_Examinations[],6,FALSE)</f>
        <v>No</v>
      </c>
      <c r="H2336">
        <f>VLOOKUP(A2336,Medical_Examinations[],7,FALSE)</f>
        <v>1</v>
      </c>
      <c r="I2336" t="str">
        <f>VLOOKUP(A2336,Medical_Examinations[],8,FALSE)</f>
        <v>No</v>
      </c>
      <c r="J2336" t="str">
        <f>VLOOKUP(A2336,Medical_Examinations[],9,FALSE)</f>
        <v>Underweight</v>
      </c>
      <c r="K2336" t="str">
        <f>VLOOKUP(A2336,Medical_Examinations[],10,FALSE)</f>
        <v>Normal</v>
      </c>
      <c r="M2336">
        <f>VLOOKUP(A2336,Hospitalisation_Details__2[],4,FALSE)</f>
        <v>563.84</v>
      </c>
      <c r="N2336" t="str">
        <f>VLOOKUP(A2336,Hospitalisation_Details__2[],5,FALSE)</f>
        <v>tier - 2</v>
      </c>
      <c r="O2336" t="str">
        <f>VLOOKUP(A2336,Hospitalisation_Details__2[],6,FALSE)</f>
        <v>tier - 3</v>
      </c>
      <c r="P2336" t="str">
        <f>VLOOKUP(A2336,Hospitalisation_Details__2[],7,FALSE)</f>
        <v>R1013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1374C4-857D-4259-8B44-F37C2E9CE1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Names</vt:lpstr>
      <vt:lpstr>Medical Examinations</vt:lpstr>
      <vt:lpstr>Errors in Hospitalisation Detai</vt:lpstr>
      <vt:lpstr>Hospitalisation Details (3)</vt:lpstr>
      <vt:lpstr>Customer Names (3)</vt:lpstr>
      <vt:lpstr>Medical Examinations (2)</vt:lpstr>
      <vt:lpstr>Customer Names (2)</vt:lpstr>
      <vt:lpstr>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2026-09-18T16:08:44Z</dcterms:modified>
</cp:coreProperties>
</file>